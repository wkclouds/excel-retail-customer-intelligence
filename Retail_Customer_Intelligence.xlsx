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worksheets/sheet4.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tables/table4.xml" ContentType="application/vnd.openxmlformats-officedocument.spreadsheetml.table+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6.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tables/table8.xml" ContentType="application/vnd.openxmlformats-officedocument.spreadsheetml.table+xml"/>
  <Override PartName="/xl/tables/table9.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worksheets/sheet9.xml" ContentType="application/vnd.openxmlformats-officedocument.spreadsheetml.worksheet+xml"/>
  <Override PartName="/xl/tables/table12.xml" ContentType="application/vnd.openxmlformats-officedocument.spreadsheetml.table+xml"/>
  <Override PartName="/xl/worksheets/sheet10.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d253f9242bc4110" /></Relationships>
</file>

<file path=xl/workbook.xml><?xml version="1.0" encoding="utf-8"?>
<x:workbook xmlns:x="http://schemas.openxmlformats.org/spreadsheetml/2006/main">
  <x:sheets>
    <x:sheet xmlns:r="http://schemas.openxmlformats.org/officeDocument/2006/relationships" name="Start_Here" sheetId="1" r:id="Rf6a6463058d041f6"/>
    <x:sheet xmlns:r="http://schemas.openxmlformats.org/officeDocument/2006/relationships" name="Sales_Overview" sheetId="2" r:id="R61501d65f9cc4510"/>
    <x:sheet xmlns:r="http://schemas.openxmlformats.org/officeDocument/2006/relationships" name="Product_Analysis" sheetId="3" r:id="Rd336185dc6414890"/>
    <x:sheet xmlns:r="http://schemas.openxmlformats.org/officeDocument/2006/relationships" name="Customer_RFM" sheetId="4" r:id="R6b774f40f07a4207"/>
    <x:sheet xmlns:r="http://schemas.openxmlformats.org/officeDocument/2006/relationships" name="Cohort_Retention" sheetId="5" r:id="Rdda7985851d448ea"/>
    <x:sheet xmlns:r="http://schemas.openxmlformats.org/officeDocument/2006/relationships" name="Regional_Analysis" sheetId="6" r:id="R002fbaa49b694a2c"/>
    <x:sheet xmlns:r="http://schemas.openxmlformats.org/officeDocument/2006/relationships" name="Insights" sheetId="7" r:id="Raee5dcaedc7640d3"/>
    <x:sheet xmlns:r="http://schemas.openxmlformats.org/officeDocument/2006/relationships" name="Data_Quality" sheetId="8" r:id="R8ad57176361b486a"/>
    <x:sheet xmlns:r="http://schemas.openxmlformats.org/officeDocument/2006/relationships" name="Data_Dictionary" sheetId="9" r:id="R780c70949cd0459d"/>
    <x:sheet xmlns:r="http://schemas.openxmlformats.org/officeDocument/2006/relationships" name="Monthly_Data" sheetId="10" r:id="R3c3fc1d85c42474a"/>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quot;£&quot;#,##0.00;(&quot;£&quot;#,##0.00);&quot;£&quot;0.00"/>
    <x:numFmt numFmtId="201" formatCode="mmm yyyy"/>
    <x:numFmt numFmtId="202" formatCode="#,##0.00"/>
    <x:numFmt numFmtId="203" formatCode="#,##0"/>
    <x:numFmt numFmtId="204" formatCode="0.0%"/>
    <x:numFmt numFmtId="205" formatCode="dd mmm yyyy"/>
    <x:numFmt numFmtId="206" formatCode="0%"/>
  </x:numFmts>
  <x:fonts count="11">
    <x:font>
      <x:sz val="11"/>
      <x:name val="Carlito"/>
    </x:font>
    <x:font>
      <x:sz val="11"/>
      <x:color rgb="FF20364D"/>
      <x:name val="Arial"/>
    </x:font>
    <x:font>
      <x:b/>
      <x:sz val="17"/>
      <x:color rgb="FF20364D"/>
      <x:name val="Arial"/>
    </x:font>
    <x:font>
      <x:sz val="10"/>
      <x:color rgb="FF627183"/>
      <x:name val="Arial"/>
    </x:font>
    <x:font>
      <x:b/>
      <x:sz val="11"/>
      <x:color rgb="FFFFFFFF"/>
      <x:name val="Arial"/>
    </x:font>
    <x:font>
      <x:sz val="10"/>
      <x:color rgb="FF20364D"/>
      <x:name val="Arial"/>
    </x:font>
    <x:font>
      <x:sz val="11"/>
      <x:color rgb="FF20364D"/>
      <x:name val="Arial"/>
    </x:font>
    <x:font>
      <x:b/>
      <x:sz val="18"/>
      <x:color rgb="FF20364D"/>
      <x:name val="Arial"/>
    </x:font>
    <x:font>
      <x:b/>
      <x:sz val="12"/>
      <x:color rgb="FF20364D"/>
      <x:name val="Arial"/>
    </x:font>
    <x:font>
      <x:b/>
      <x:sz val="15"/>
      <x:color rgb="FF20364D"/>
      <x:name val="Arial"/>
    </x:font>
    <x:font>
      <x:b/>
      <x:sz val="11"/>
      <x:color rgb="FF3157A1"/>
      <x:name val="Arial"/>
    </x:font>
  </x:fonts>
  <x:fills count="4">
    <x:fill>
      <x:patternFill patternType="none"/>
    </x:fill>
    <x:fill>
      <x:patternFill patternType="gray125"/>
    </x:fill>
    <x:fill>
      <x:patternFill patternType="solid">
        <x:fgColor rgb="FF20364D"/>
      </x:patternFill>
    </x:fill>
    <x:fill>
      <x:patternFill patternType="solid">
        <x:fgColor rgb="FFFFF0CE"/>
      </x:patternFill>
    </x:fill>
  </x:fills>
  <x:borders count="3">
    <x:border/>
    <x:border>
      <x:bottom style="thin">
        <x:color rgb="FF177D87"/>
      </x:bottom>
    </x:border>
    <x:border>
      <x:bottom style="medium">
        <x:color rgb="FFDAA746"/>
      </x:bottom>
    </x:border>
  </x:borders>
  <x:cellStyleXfs count="1">
    <x:xf numFmtId="0" fontId="0" fillId="0" borderId="0"/>
  </x:cellStyleXfs>
  <x:cellXfs count="3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2" fillId="0" borderId="1" xfId="0" applyNumberFormat="1" applyFont="1" applyFill="1" applyBorder="1" applyAlignment="1">
      <x:alignment vertical="center" wrapText="1"/>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5" fillId="0" borderId="0" xfId="0" applyNumberFormat="1" applyFont="1" applyFill="1" applyBorder="1" applyAlignment="1">
      <x:alignment vertical="center" wrapText="1"/>
    </x:xf>
    <x:xf numFmtId="0" fontId="6" fillId="0" borderId="0" xfId="0" applyNumberFormat="1" applyFont="1" applyFill="1" applyBorder="1" applyAlignment="1">
      <x:alignment vertical="center"/>
    </x:xf>
    <x:xf numFmtId="0" fontId="6"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6" fillId="3" borderId="0" xfId="0" applyNumberFormat="1" applyFont="1" applyFill="1" applyBorder="1" applyAlignment="1">
      <x:alignment vertical="center" wrapText="1"/>
    </x:xf>
    <x:xf numFmtId="200" fontId="7"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203" fontId="7" fillId="0" borderId="0" xfId="0" applyNumberFormat="1" applyFont="1" applyFill="1" applyBorder="1" applyAlignment="1">
      <x:alignment vertical="center"/>
    </x:xf>
    <x:xf numFmtId="204" fontId="1" fillId="0" borderId="0" xfId="0" applyNumberFormat="1" applyFont="1" applyFill="1" applyBorder="1" applyAlignment="1">
      <x:alignment vertical="center"/>
    </x:xf>
    <x:xf numFmtId="204" fontId="7"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0" fontId="1" fillId="0" borderId="2" xfId="0" applyNumberFormat="1" applyFont="1" applyFill="1" applyBorder="1" applyAlignment="1">
      <x:alignment vertical="center"/>
    </x:xf>
    <x:xf numFmtId="206" fontId="1" fillId="0" borderId="0" xfId="0" applyNumberFormat="1" applyFont="1" applyFill="1" applyBorder="1" applyAlignment="1">
      <x:alignment vertical="center"/>
    </x:xf>
    <x:xf numFmtId="206" fontId="1" fillId="0" borderId="2"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8" fillId="0" borderId="0" xfId="0" applyNumberFormat="1" applyFont="1" applyFill="1" applyBorder="1" applyAlignment="1">
      <x:alignment vertical="center"/>
    </x:xf>
    <x:xf numFmtId="0" fontId="8" fillId="0" borderId="0" xfId="0" applyNumberFormat="1" applyFont="1" applyFill="1" applyBorder="1" applyAlignment="1">
      <x:alignment vertical="center" wrapText="1"/>
    </x:xf>
    <x:xf numFmtId="0" fontId="9" fillId="0" borderId="0" xfId="0" applyNumberFormat="1" applyFont="1" applyFill="1" applyBorder="1" applyAlignment="1">
      <x:alignment vertical="center"/>
    </x:xf>
    <x:xf numFmtId="0" fontId="9" fillId="0" borderId="0" xfId="0" applyNumberFormat="1" applyFont="1" applyFill="1" applyBorder="1" applyAlignment="1">
      <x:alignment vertical="center" wrapText="1"/>
    </x:xf>
    <x:xf numFmtId="0" fontId="10" fillId="0" borderId="0" xfId="0" applyNumberFormat="1" applyFont="1" applyFill="1" applyBorder="1" applyAlignment="1">
      <x:alignment vertical="center"/>
    </x:xf>
  </x:cellXfs>
  <x:cellStyles count="1">
    <x:cellStyle name="Normal" xfId="0"/>
  </x:cellStyles>
  <x:dxfs count="1">
    <x:dxf>
      <x:font>
        <x:color rgb="FF9C3226"/>
      </x:font>
      <x:fill>
        <x:patternFill patternType="solid">
          <x:bgColor rgb="FFFDE4D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53bc84c586b49da" /><Relationship Type="http://schemas.openxmlformats.org/officeDocument/2006/relationships/theme" Target="/xl/theme/theme1.xml" Id="Rf40ad21341c54d23" /><Relationship Type="http://schemas.openxmlformats.org/officeDocument/2006/relationships/sharedStrings" Target="/xl/sharedStrings.xml" Id="R4de670370c694bad" /><Relationship Type="http://schemas.openxmlformats.org/officeDocument/2006/relationships/worksheet" Target="/xl/worksheets/sheet1.xml" Id="Rf6a6463058d041f6" /><Relationship Type="http://schemas.openxmlformats.org/officeDocument/2006/relationships/worksheet" Target="/xl/worksheets/sheet2.xml" Id="R61501d65f9cc4510" /><Relationship Type="http://schemas.openxmlformats.org/officeDocument/2006/relationships/worksheet" Target="/xl/worksheets/sheet3.xml" Id="Rd336185dc6414890" /><Relationship Type="http://schemas.openxmlformats.org/officeDocument/2006/relationships/worksheet" Target="/xl/worksheets/sheet4.xml" Id="R6b774f40f07a4207" /><Relationship Type="http://schemas.openxmlformats.org/officeDocument/2006/relationships/worksheet" Target="/xl/worksheets/sheet5.xml" Id="Rdda7985851d448ea" /><Relationship Type="http://schemas.openxmlformats.org/officeDocument/2006/relationships/worksheet" Target="/xl/worksheets/sheet6.xml" Id="R002fbaa49b694a2c" /><Relationship Type="http://schemas.openxmlformats.org/officeDocument/2006/relationships/worksheet" Target="/xl/worksheets/sheet7.xml" Id="Raee5dcaedc7640d3" /><Relationship Type="http://schemas.openxmlformats.org/officeDocument/2006/relationships/worksheet" Target="/xl/worksheets/sheet8.xml" Id="R8ad57176361b486a" /><Relationship Type="http://schemas.openxmlformats.org/officeDocument/2006/relationships/worksheet" Target="/xl/worksheets/sheet9.xml" Id="R780c70949cd0459d" /><Relationship Type="http://schemas.openxmlformats.org/officeDocument/2006/relationships/worksheet" Target="/xl/worksheets/sheet10.xml" Id="R3c3fc1d85c42474a" /></Relationships>
</file>

<file path=xl/drawings/_rels/drawing1.xml.rels>&#65279;<?xml version="1.0" encoding="utf-8"?><Relationships xmlns="http://schemas.openxmlformats.org/package/2006/relationships"><Relationship Type="http://schemas.openxmlformats.org/officeDocument/2006/relationships/chart" Target="/xl/drawings/charts/chart1.xml" Id="R94324680b0fb467b" /></Relationships>
</file>

<file path=xl/drawings/_rels/drawing2.xml.rels>&#65279;<?xml version="1.0" encoding="utf-8"?><Relationships xmlns="http://schemas.openxmlformats.org/package/2006/relationships"><Relationship Type="http://schemas.openxmlformats.org/officeDocument/2006/relationships/chart" Target="/xl/drawings/charts/chart2.xml" Id="R1eb3bd75ee214c90" /></Relationships>
</file>

<file path=xl/drawings/_rels/drawing3.xml.rels>&#65279;<?xml version="1.0" encoding="utf-8"?><Relationships xmlns="http://schemas.openxmlformats.org/package/2006/relationships"><Relationship Type="http://schemas.openxmlformats.org/officeDocument/2006/relationships/chart" Target="/xl/drawings/charts/chart3.xml" Id="R408edc481914414b" /></Relationships>
</file>

<file path=xl/drawings/_rels/drawing4.xml.rels>&#65279;<?xml version="1.0" encoding="utf-8"?><Relationships xmlns="http://schemas.openxmlformats.org/package/2006/relationships"><Relationship Type="http://schemas.openxmlformats.org/officeDocument/2006/relationships/chart" Target="/xl/drawings/charts/chart4.xml" Id="R62794d12da574f4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Monthly net sales (GBP)</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lineChart>
        <c:grouping val="standard"/>
        <c:varyColors val="0"/>
        <c:ser>
          <c:idx val="0"/>
          <c:order val="0"/>
          <c:tx>
            <c:v>Net sales</c:v>
          </c:tx>
          <c:spPr>
            <a:solidFill xmlns:a="http://schemas.openxmlformats.org/drawingml/2006/main">
              <a:srgbClr val="177D87"/>
            </a:solidFill>
            <a:ln xmlns:a="http://schemas.openxmlformats.org/drawingml/2006/main" w="19050">
              <a:solidFill>
                <a:srgbClr val="177D87"/>
              </a:solidFill>
              <a:prstDash val="solid"/>
            </a:ln>
          </c:spPr>
          <c:marker>
            <c:symbol val="none"/>
          </c:marker>
          <c:cat>
            <c:strRef>
              <c:f>'Sales_Overview'!$B$38:$B$62</c:f>
              <c:strCache>
                <c:ptCount val="0"/>
              </c:strCache>
            </c:strRef>
          </c:cat>
          <c:val>
            <c:numRef>
              <c:f>'Sales_Overview'!$E$38:$E$62</c:f>
              <c:numCache>
                <c:formatCode>"£"#,##0.00;("£"#,##0.00);"£"0.00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quot;£&quot;0.0,,&quot;m&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Top 10 stock codes by gross sales</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barChart>
        <c:barDir val="col"/>
        <c:varyColors val="0"/>
        <c:ser>
          <c:idx val="0"/>
          <c:order val="0"/>
          <c:tx>
            <c:v>Gross sales</c:v>
          </c:tx>
          <c:spPr>
            <a:solidFill xmlns:a="http://schemas.openxmlformats.org/drawingml/2006/main">
              <a:srgbClr val="177D87"/>
            </a:solidFill>
          </c:spPr>
          <c:cat>
            <c:strRef>
              <c:f>'Product_Analysis'!$B$12:$B$21</c:f>
              <c:strCache>
                <c:ptCount val="0"/>
              </c:strCache>
            </c:strRef>
          </c:cat>
          <c:val>
            <c:numRef>
              <c:f>'Product_Analysis'!$C$12:$C$21</c:f>
              <c:numCache>
                <c:formatCode>"£"#,##0.00;("£"#,##0.00);"£"0.00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quot;£&quot;0,&quot;k&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Customers by RFM segment</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barChart>
        <c:barDir val="col"/>
        <c:varyColors val="0"/>
        <c:ser>
          <c:idx val="0"/>
          <c:order val="0"/>
          <c:tx>
            <c:v>Customers</c:v>
          </c:tx>
          <c:spPr>
            <a:solidFill xmlns:a="http://schemas.openxmlformats.org/drawingml/2006/main">
              <a:srgbClr val="177D87"/>
            </a:solidFill>
          </c:spPr>
          <c:cat>
            <c:strRef>
              <c:f>'Customer_RFM'!$B$8:$B$13</c:f>
              <c:strCache>
                <c:ptCount val="0"/>
              </c:strCache>
            </c:strRef>
          </c:cat>
          <c:val>
            <c:numRef>
              <c:f>'Customer_RFM'!$C$8:$C$13</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Largest non-UK markets by net sales</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barChart>
        <c:barDir val="col"/>
        <c:varyColors val="0"/>
        <c:ser>
          <c:idx val="0"/>
          <c:order val="0"/>
          <c:tx>
            <c:v>Net sales</c:v>
          </c:tx>
          <c:spPr>
            <a:solidFill xmlns:a="http://schemas.openxmlformats.org/drawingml/2006/main">
              <a:srgbClr val="177D87"/>
            </a:solidFill>
          </c:spPr>
          <c:cat>
            <c:strRef>
              <c:f>'Regional_Analysis'!$B$8:$B$15</c:f>
              <c:strCache>
                <c:ptCount val="0"/>
              </c:strCache>
            </c:strRef>
          </c:cat>
          <c:val>
            <c:numRef>
              <c:f>'Regional_Analysis'!$C$8:$C$15</c:f>
              <c:numCache>
                <c:formatCode>"£"#,##0.00;("£"#,##0.00);"£"0.00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quot;£&quot;0,&quot;k&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xdr:col>
      <xdr:colOff>0</xdr:colOff>
      <xdr:row>19</xdr:row>
      <xdr:rowOff>0</xdr:rowOff>
    </xdr:from>
    <xdr:to>
      <xdr:col>12</xdr:col>
      <xdr:colOff>0</xdr:colOff>
      <xdr:row>35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4324680b0fb467b"/>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9</xdr:row>
      <xdr:rowOff>0</xdr:rowOff>
    </xdr:from>
    <xdr:to>
      <xdr:col>12</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eb3bd75ee214c90"/>
        </a:graphicData>
      </a:graphic>
    </xdr:graphicFrame>
    <xdr:clientData/>
  </xdr:twoCellAnchor>
</xdr:wsDr>
</file>

<file path=xl/drawings/drawing3.xml><?xml version="1.0" encoding="utf-8"?>
<xdr:wsDr xmlns:xdr="http://schemas.openxmlformats.org/drawingml/2006/spreadsheetDrawing">
  <xdr:twoCellAnchor>
    <xdr:from>
      <xdr:col>6</xdr:col>
      <xdr:colOff>0</xdr:colOff>
      <xdr:row>5</xdr:row>
      <xdr:rowOff>0</xdr:rowOff>
    </xdr:from>
    <xdr:to>
      <xdr:col>12</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08edc481914414b"/>
        </a:graphicData>
      </a:graphic>
    </xdr:graphicFrame>
    <xdr:clientData/>
  </xdr:twoCellAnchor>
</xdr:wsDr>
</file>

<file path=xl/drawings/drawing4.xml><?xml version="1.0" encoding="utf-8"?>
<xdr:wsDr xmlns:xdr="http://schemas.openxmlformats.org/drawingml/2006/spreadsheetDrawing">
  <xdr:twoCellAnchor>
    <xdr:from>
      <xdr:col>5</xdr:col>
      <xdr:colOff>0</xdr:colOff>
      <xdr:row>5</xdr:row>
      <xdr:rowOff>0</xdr:rowOff>
    </xdr:from>
    <xdr:to>
      <xdr:col>12</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2794d12da574f45"/>
        </a:graphicData>
      </a:graphic>
    </xdr:graphicFrame>
    <xdr:clientData/>
  </xdr:twoCellAnchor>
</xdr:wsDr>
</file>

<file path=xl/tables/table1.xml><?xml version="1.0" encoding="utf-8"?>
<x:table xmlns:x="http://schemas.openxmlformats.org/spreadsheetml/2006/main" id="3" name="MonthlySales" displayName="MonthlySales" ref="B37:H62" headerRowCount="1" totalsRowCount="0" totalsRowShown="0">
  <x:tableColumns count="7">
    <x:tableColumn id="1" name="Month"/>
    <x:tableColumn id="2" name="Gross sales"/>
    <x:tableColumn id="3" name="Return value"/>
    <x:tableColumn id="4" name="Net sales"/>
    <x:tableColumn id="5" name="Orders"/>
    <x:tableColumn id="6" name="Gross AOV"/>
    <x:tableColumn id="7" name="Coverage"/>
  </x:tableColumns>
  <x:tableStyleInfo name="TableStyleMedium2" showFirstColumn="0" showLastColumn="0" showRowStripes="1" showColumnStripes="0"/>
</x:table>
</file>

<file path=xl/tables/table2.xml><?xml version="1.0" encoding="utf-8"?>
<x:table xmlns:x="http://schemas.openxmlformats.org/spreadsheetml/2006/main" id="4" name="TopProducts" displayName="TopProducts" ref="B11:C21" headerRowCount="1" totalsRowCount="0" totalsRowShown="0">
  <x:tableColumns count="2">
    <x:tableColumn id="1" name="Stock code"/>
    <x:tableColumn id="2" name="Gross sales"/>
  </x:tableColumns>
  <x:tableStyleInfo name="TableStyleMedium2" showFirstColumn="0" showLastColumn="0" showRowStripes="1" showColumnStripes="0"/>
</x:table>
</file>

<file path=xl/tables/table3.xml><?xml version="1.0" encoding="utf-8"?>
<x:table xmlns:x="http://schemas.openxmlformats.org/spreadsheetml/2006/main" id="5" name="ProductDetail" displayName="ProductDetail" ref="B33:J5337" headerRowCount="1" totalsRowCount="0" totalsRowShown="0">
  <x:tableColumns count="9">
    <x:tableColumn id="1" name="Rank"/>
    <x:tableColumn id="2" name="Code"/>
    <x:tableColumn id="3" name="Description"/>
    <x:tableColumn id="4" name="Gross sales"/>
    <x:tableColumn id="5" name="Returns"/>
    <x:tableColumn id="6" name="Net sales"/>
    <x:tableColumn id="7" name="Gross share"/>
    <x:tableColumn id="8" name="Cumulative share"/>
    <x:tableColumn id="9" name="Orders"/>
  </x:tableColumns>
  <x:tableStyleInfo name="TableStyleMedium2" showFirstColumn="0" showLastColumn="0" showRowStripes="1" showColumnStripes="0"/>
</x:table>
</file>

<file path=xl/tables/table4.xml><?xml version="1.0" encoding="utf-8"?>
<x:table xmlns:x="http://schemas.openxmlformats.org/spreadsheetml/2006/main" id="6" name="SegmentSummary" displayName="SegmentSummary" ref="B7:E13" headerRowCount="1" totalsRowCount="0" totalsRowShown="0">
  <x:tableColumns count="4">
    <x:tableColumn id="1" name="Segment"/>
    <x:tableColumn id="2" name="Customers"/>
    <x:tableColumn id="3" name="Gross sales"/>
    <x:tableColumn id="4" name="Customer share"/>
  </x:tableColumns>
  <x:tableStyleInfo name="TableStyleMedium2" showFirstColumn="0" showLastColumn="0" showRowStripes="1" showColumnStripes="0"/>
</x:table>
</file>

<file path=xl/tables/table5.xml><?xml version="1.0" encoding="utf-8"?>
<x:table xmlns:x="http://schemas.openxmlformats.org/spreadsheetml/2006/main" id="7" name="CustomerDetail" displayName="CustomerDetail" ref="B38:L5916" headerRowCount="1" totalsRowCount="0" totalsRowShown="0">
  <x:tableColumns count="11">
    <x:tableColumn id="1" name="Customer ID"/>
    <x:tableColumn id="2" name="Country"/>
    <x:tableColumn id="3" name="First observed"/>
    <x:tableColumn id="4" name="Last purchase"/>
    <x:tableColumn id="5" name="Recency days"/>
    <x:tableColumn id="6" name="Orders"/>
    <x:tableColumn id="7" name="Gross spend"/>
    <x:tableColumn id="8" name="R"/>
    <x:tableColumn id="9" name="F"/>
    <x:tableColumn id="10" name="M"/>
    <x:tableColumn id="11" name="Segment"/>
  </x:tableColumns>
  <x:tableStyleInfo name="TableStyleMedium2" showFirstColumn="0" showLastColumn="0" showRowStripes="1" showColumnStripes="0"/>
</x:table>
</file>

<file path=xl/tables/table6.xml><?xml version="1.0" encoding="utf-8"?>
<x:table xmlns:x="http://schemas.openxmlformats.org/spreadsheetml/2006/main" id="8" name="RetentionRates" displayName="RetentionRates" ref="B10:AB35" headerRowCount="1" totalsRowCount="0" totalsRowShown="0">
  <x:tableColumns count="27">
    <x:tableColumn id="1" name="Cohort"/>
    <x:tableColumn id="2" name="Customers"/>
    <x:tableColumn id="3" name="M0"/>
    <x:tableColumn id="4" name="M1"/>
    <x:tableColumn id="5" name="M2"/>
    <x:tableColumn id="6" name="M3"/>
    <x:tableColumn id="7" name="M4"/>
    <x:tableColumn id="8" name="M5"/>
    <x:tableColumn id="9" name="M6"/>
    <x:tableColumn id="10" name="M7"/>
    <x:tableColumn id="11" name="M8"/>
    <x:tableColumn id="12" name="M9"/>
    <x:tableColumn id="13" name="M10"/>
    <x:tableColumn id="14" name="M11"/>
    <x:tableColumn id="15" name="M12"/>
    <x:tableColumn id="16" name="M13"/>
    <x:tableColumn id="17" name="M14"/>
    <x:tableColumn id="18" name="M15"/>
    <x:tableColumn id="19" name="M16"/>
    <x:tableColumn id="20" name="M17"/>
    <x:tableColumn id="21" name="M18"/>
    <x:tableColumn id="22" name="M19"/>
    <x:tableColumn id="23" name="M20"/>
    <x:tableColumn id="24" name="M21"/>
    <x:tableColumn id="25" name="M22"/>
    <x:tableColumn id="26" name="M23"/>
    <x:tableColumn id="27" name="M24"/>
  </x:tableColumns>
  <x:tableStyleInfo name="TableStyleMedium2" showFirstColumn="0" showLastColumn="0" showRowStripes="1" showColumnStripes="0"/>
</x:table>
</file>

<file path=xl/tables/table7.xml><?xml version="1.0" encoding="utf-8"?>
<x:table xmlns:x="http://schemas.openxmlformats.org/spreadsheetml/2006/main" id="9" name="RetentionCounts" displayName="RetentionCounts" ref="B41:AB66" headerRowCount="1" totalsRowCount="0" totalsRowShown="0">
  <x:tableColumns count="27">
    <x:tableColumn id="1" name="Cohort"/>
    <x:tableColumn id="2" name="Customers"/>
    <x:tableColumn id="3" name="M0"/>
    <x:tableColumn id="4" name="M1"/>
    <x:tableColumn id="5" name="M2"/>
    <x:tableColumn id="6" name="M3"/>
    <x:tableColumn id="7" name="M4"/>
    <x:tableColumn id="8" name="M5"/>
    <x:tableColumn id="9" name="M6"/>
    <x:tableColumn id="10" name="M7"/>
    <x:tableColumn id="11" name="M8"/>
    <x:tableColumn id="12" name="M9"/>
    <x:tableColumn id="13" name="M10"/>
    <x:tableColumn id="14" name="M11"/>
    <x:tableColumn id="15" name="M12"/>
    <x:tableColumn id="16" name="M13"/>
    <x:tableColumn id="17" name="M14"/>
    <x:tableColumn id="18" name="M15"/>
    <x:tableColumn id="19" name="M16"/>
    <x:tableColumn id="20" name="M17"/>
    <x:tableColumn id="21" name="M18"/>
    <x:tableColumn id="22" name="M19"/>
    <x:tableColumn id="23" name="M20"/>
    <x:tableColumn id="24" name="M21"/>
    <x:tableColumn id="25" name="M22"/>
    <x:tableColumn id="26" name="M23"/>
    <x:tableColumn id="27" name="M24"/>
  </x:tableColumns>
  <x:tableStyleInfo name="TableStyleMedium2" showFirstColumn="0" showLastColumn="0" showRowStripes="1" showColumnStripes="0"/>
</x:table>
</file>

<file path=xl/tables/table8.xml><?xml version="1.0" encoding="utf-8"?>
<x:table xmlns:x="http://schemas.openxmlformats.org/spreadsheetml/2006/main" id="10" name="InternationalTop" displayName="InternationalTop" ref="B7:C15" headerRowCount="1" totalsRowCount="0" totalsRowShown="0">
  <x:tableColumns count="2">
    <x:tableColumn id="1" name="Country"/>
    <x:tableColumn id="2" name="Net sales"/>
  </x:tableColumns>
  <x:tableStyleInfo name="TableStyleMedium2" showFirstColumn="0" showLastColumn="0" showRowStripes="1" showColumnStripes="0"/>
</x:table>
</file>

<file path=xl/tables/table9.xml><?xml version="1.0" encoding="utf-8"?>
<x:table xmlns:x="http://schemas.openxmlformats.org/spreadsheetml/2006/main" id="11" name="CountryDetail" displayName="CountryDetail" ref="B32:H75" headerRowCount="1" totalsRowCount="0" totalsRowShown="0">
  <x:tableColumns count="7">
    <x:tableColumn id="1" name="Country"/>
    <x:tableColumn id="2" name="Gross sales"/>
    <x:tableColumn id="3" name="Returns"/>
    <x:tableColumn id="4" name="Net sales"/>
    <x:tableColumn id="5" name="Orders"/>
    <x:tableColumn id="6" name="Customers"/>
    <x:tableColumn id="7" name="Net share"/>
  </x:tableColumns>
  <x:tableStyleInfo name="TableStyleMedium2" showFirstColumn="0" showLastColumn="0" showRowStripes="1" showColumnStripes="0"/>
</x:table>
</file>

<file path=xl/tables/table10.xml><?xml version="1.0" encoding="utf-8"?>
<x:table xmlns:x="http://schemas.openxmlformats.org/spreadsheetml/2006/main" id="12" name="QualityProfile" displayName="QualityProfile" ref="B6:D22" headerRowCount="1" totalsRowCount="0" totalsRowShown="0">
  <x:tableColumns count="3">
    <x:tableColumn id="1" name="Condition"/>
    <x:tableColumn id="2" name="Rows"/>
    <x:tableColumn id="3" name="Treatment"/>
  </x:tableColumns>
  <x:tableStyleInfo name="TableStyleMedium2" showFirstColumn="0" showLastColumn="0" showRowStripes="1" showColumnStripes="0"/>
</x:table>
</file>

<file path=xl/tables/table11.xml><?xml version="1.0" encoding="utf-8"?>
<x:table xmlns:x="http://schemas.openxmlformats.org/spreadsheetml/2006/main" id="13" name="Reconciliations" displayName="Reconciliations" ref="B25:E33" headerRowCount="1" totalsRowCount="0" totalsRowShown="0">
  <x:tableColumns count="4">
    <x:tableColumn id="1" name="Check"/>
    <x:tableColumn id="2" name="Actual"/>
    <x:tableColumn id="3" name="Expected"/>
    <x:tableColumn id="4" name="Difference"/>
  </x:tableColumns>
  <x:tableStyleInfo name="TableStyleMedium2" showFirstColumn="0" showLastColumn="0" showRowStripes="1" showColumnStripes="0"/>
</x:table>
</file>

<file path=xl/tables/table12.xml><?xml version="1.0" encoding="utf-8"?>
<x:table xmlns:x="http://schemas.openxmlformats.org/spreadsheetml/2006/main" id="14" name="Dictionary" displayName="Dictionary" ref="B11:D27" headerRowCount="1" totalsRowCount="0" totalsRowShown="0">
  <x:tableColumns count="3">
    <x:tableColumn id="1" name="Field or metric"/>
    <x:tableColumn id="2" name="Unit / type"/>
    <x:tableColumn id="3" name="Definition"/>
  </x:tableColumns>
  <x:tableStyleInfo name="TableStyleMedium2" showFirstColumn="0" showLastColumn="0" showRowStripes="1" showColumnStripes="0"/>
</x:table>
</file>

<file path=xl/tables/table13.xml><?xml version="1.0" encoding="utf-8"?>
<x:table xmlns:x="http://schemas.openxmlformats.org/spreadsheetml/2006/main" id="1" name="CountryMonth" displayName="CountryMonth" ref="A6:F600" headerRowCount="1" totalsRowCount="0" totalsRowShown="0">
  <x:tableColumns count="6">
    <x:tableColumn id="1" name="Month start"/>
    <x:tableColumn id="2" name="Month label"/>
    <x:tableColumn id="3" name="Country"/>
    <x:tableColumn id="4" name="Gross sales"/>
    <x:tableColumn id="5" name="Returns"/>
    <x:tableColumn id="6" name="Orders"/>
  </x:tableColumns>
  <x:tableStyleInfo name="TableStyleMedium2" showFirstColumn="0" showLastColumn="0" showRowStripes="1" showColumnStripes="0"/>
</x:table>
</file>

<file path=xl/tables/table14.xml><?xml version="1.0" encoding="utf-8"?>
<x:table xmlns:x="http://schemas.openxmlformats.org/spreadsheetml/2006/main" id="2" name="SourceControls" displayName="SourceControls" ref="I6:J20" headerRowCount="1" totalsRowCount="0" totalsRowShown="0">
  <x:tableColumns count="2">
    <x:tableColumn id="1" name="Independent source control"/>
    <x:tableColumn id="2" name="Valu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f55a42afc1ae4a95" /><Relationship Type="http://schemas.openxmlformats.org/officeDocument/2006/relationships/table" Target="/xl/tables/table1.xml" Id="Rcfb6f99fb4e842f3" /></Relationships>
</file>

<file path=xl/worksheets/_rels/sheet3.xml.rels>&#65279;<?xml version="1.0" encoding="utf-8"?><Relationships xmlns="http://schemas.openxmlformats.org/package/2006/relationships"><Relationship Type="http://schemas.openxmlformats.org/officeDocument/2006/relationships/drawing" Target="/xl/drawings/drawing2.xml" Id="Rb9ca692477764282" /><Relationship Type="http://schemas.openxmlformats.org/officeDocument/2006/relationships/table" Target="/xl/tables/table2.xml" Id="R649e9941604c4577" /><Relationship Type="http://schemas.openxmlformats.org/officeDocument/2006/relationships/table" Target="/xl/tables/table3.xml" Id="Rf5dc22470205443a" /></Relationships>
</file>

<file path=xl/worksheets/_rels/sheet4.xml.rels>&#65279;<?xml version="1.0" encoding="utf-8"?><Relationships xmlns="http://schemas.openxmlformats.org/package/2006/relationships"><Relationship Type="http://schemas.openxmlformats.org/officeDocument/2006/relationships/drawing" Target="/xl/drawings/drawing3.xml" Id="Read071233c784962" /><Relationship Type="http://schemas.openxmlformats.org/officeDocument/2006/relationships/table" Target="/xl/tables/table4.xml" Id="Rfaa86807e68d43da" /><Relationship Type="http://schemas.openxmlformats.org/officeDocument/2006/relationships/table" Target="/xl/tables/table5.xml" Id="Rfc5f3d7df3974b97" /></Relationships>
</file>

<file path=xl/worksheets/_rels/sheet5.xml.rels>&#65279;<?xml version="1.0" encoding="utf-8"?><Relationships xmlns="http://schemas.openxmlformats.org/package/2006/relationships"><Relationship Type="http://schemas.openxmlformats.org/officeDocument/2006/relationships/table" Target="/xl/tables/table6.xml" Id="R2ddd6c39692c4f72" /><Relationship Type="http://schemas.openxmlformats.org/officeDocument/2006/relationships/table" Target="/xl/tables/table7.xml" Id="Re5305c4f9ef949ea" /></Relationships>
</file>

<file path=xl/worksheets/_rels/sheet6.xml.rels>&#65279;<?xml version="1.0" encoding="utf-8"?><Relationships xmlns="http://schemas.openxmlformats.org/package/2006/relationships"><Relationship Type="http://schemas.openxmlformats.org/officeDocument/2006/relationships/drawing" Target="/xl/drawings/drawing4.xml" Id="R10b33ff5c79b4f9d" /><Relationship Type="http://schemas.openxmlformats.org/officeDocument/2006/relationships/table" Target="/xl/tables/table8.xml" Id="R144ef5d8585a4176" /><Relationship Type="http://schemas.openxmlformats.org/officeDocument/2006/relationships/table" Target="/xl/tables/table9.xml" Id="R1ffa3a7064924356" /></Relationships>
</file>

<file path=xl/worksheets/_rels/sheet8.xml.rels>&#65279;<?xml version="1.0" encoding="utf-8"?><Relationships xmlns="http://schemas.openxmlformats.org/package/2006/relationships"><Relationship Type="http://schemas.openxmlformats.org/officeDocument/2006/relationships/table" Target="/xl/tables/table10.xml" Id="Ra3d0d26f0f12429b" /><Relationship Type="http://schemas.openxmlformats.org/officeDocument/2006/relationships/table" Target="/xl/tables/table11.xml" Id="Rf35e44318b714ac0" /></Relationships>
</file>

<file path=xl/worksheets/_rels/sheet9.xml.rels>&#65279;<?xml version="1.0" encoding="utf-8"?><Relationships xmlns="http://schemas.openxmlformats.org/package/2006/relationships"><Relationship Type="http://schemas.openxmlformats.org/officeDocument/2006/relationships/table" Target="/xl/tables/table12.xml" Id="R3fd53d82e0df4e09" /></Relationships>
</file>

<file path=xl/worksheets/_rels/sheet10.xml.rels>&#65279;<?xml version="1.0" encoding="utf-8"?><Relationships xmlns="http://schemas.openxmlformats.org/package/2006/relationships"><Relationship Type="http://schemas.openxmlformats.org/officeDocument/2006/relationships/table" Target="/xl/tables/table13.xml" Id="R0c858c517b614406" /><Relationship Type="http://schemas.openxmlformats.org/officeDocument/2006/relationships/table" Target="/xl/tables/table14.xml" Id="Rb99b195eb5714926" /></Relationships>
</file>

<file path=xl/worksheets/sheet1.xml><?xml version="1.0" encoding="utf-8"?>
<x:worksheet xmlns:x="http://schemas.openxmlformats.org/spreadsheetml/2006/main">
  <x:sheetPr>
    <x:tabColor rgb="FF20364D"/>
  </x:sheetPr>
  <x:sheetViews>
    <x:sheetView showGridLines="0" workbookViewId="0"/>
  </x:sheetViews>
  <x:sheetFormatPr defaultRowHeight="15"/>
  <x:cols>
    <x:col min="1" max="1" width="3" hidden="0" customWidth="1"/>
    <x:col min="2" max="2" width="27"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s>
  <x:sheetData>
    <x:row r="1" ht="23" customHeight="1">
      <x:c r="A1" s="2"/>
      <x:c r="B1" s="2"/>
      <x:c r="C1" s="2"/>
      <x:c r="D1" s="2"/>
      <x:c r="E1" s="2"/>
      <x:c r="F1" s="2"/>
      <x:c r="G1" s="2"/>
      <x:c r="H1" s="2"/>
      <x:c r="I1" s="2"/>
      <x:c r="J1" s="2"/>
      <x:c r="K1" s="2"/>
      <x:c r="L1" s="2"/>
    </x:row>
    <x:row r="2" ht="23" customHeight="1">
      <x:c r="A2" s="2"/>
      <x:c r="B2" s="4" t="str">
        <x:v>Retail Customer Intelligence</x:v>
      </x:c>
      <x:c r="C2" s="4" t="str">
        <x:v>Retail Customer Intelligence</x:v>
      </x:c>
      <x:c r="D2" s="4" t="str">
        <x:v>Retail Customer Intelligence</x:v>
      </x:c>
      <x:c r="E2" s="4" t="str">
        <x:v>Retail Customer Intelligence</x:v>
      </x:c>
      <x:c r="F2" s="4" t="str">
        <x:v>Retail Customer Intelligence</x:v>
      </x:c>
      <x:c r="G2" s="4" t="str">
        <x:v>Retail Customer Intelligence</x:v>
      </x:c>
      <x:c r="H2" s="4" t="str">
        <x:v>Retail Customer Intelligence</x:v>
      </x:c>
      <x:c r="I2" s="4" t="str">
        <x:v>Retail Customer Intelligence</x:v>
      </x:c>
      <x:c r="J2" s="4" t="str">
        <x:v>Retail Customer Intelligence</x:v>
      </x:c>
      <x:c r="K2" s="4" t="str">
        <x:v>Retail Customer Intelligence</x:v>
      </x:c>
      <x:c r="L2" s="4" t="str">
        <x:v>Retail Customer Intelligence</x:v>
      </x:c>
    </x:row>
    <x:row r="3" ht="23" customHeight="1">
      <x:c r="A3" s="2"/>
      <x:c r="B3" s="5" t="str">
        <x:v>Retail Customer Intelligence</x:v>
      </x:c>
      <x:c r="C3" s="5" t="str">
        <x:v>Retail Customer Intelligence</x:v>
      </x:c>
      <x:c r="D3" s="5" t="str">
        <x:v>Retail Customer Intelligence</x:v>
      </x:c>
      <x:c r="E3" s="5" t="str">
        <x:v>Retail Customer Intelligence</x:v>
      </x:c>
      <x:c r="F3" s="5" t="str">
        <x:v>Retail Customer Intelligence</x:v>
      </x:c>
      <x:c r="G3" s="5" t="str">
        <x:v>Retail Customer Intelligence</x:v>
      </x:c>
      <x:c r="H3" s="5" t="str">
        <x:v>Retail Customer Intelligence</x:v>
      </x:c>
      <x:c r="I3" s="5" t="str">
        <x:v>Retail Customer Intelligence</x:v>
      </x:c>
      <x:c r="J3" s="5" t="str">
        <x:v>Retail Customer Intelligence</x:v>
      </x:c>
      <x:c r="K3" s="5" t="str">
        <x:v>Retail Customer Intelligence</x:v>
      </x:c>
      <x:c r="L3" s="5" t="str">
        <x:v>Retail Customer Intelligence</x:v>
      </x:c>
    </x:row>
    <x:row r="4" ht="23" customHeight="1">
      <x:c r="A4" s="2"/>
      <x:c r="B4" s="7" t="str">
        <x:v>Waqas Khan · Data science portfolio project</x:v>
      </x:c>
      <x:c r="C4" s="7" t="str">
        <x:v>Waqas Khan · Data science portfolio project</x:v>
      </x:c>
      <x:c r="D4" s="7" t="str">
        <x:v>Waqas Khan · Data science portfolio project</x:v>
      </x:c>
      <x:c r="E4" s="7" t="str">
        <x:v>Waqas Khan · Data science portfolio project</x:v>
      </x:c>
      <x:c r="F4" s="7" t="str">
        <x:v>Waqas Khan · Data science portfolio project</x:v>
      </x:c>
      <x:c r="G4" s="7" t="str">
        <x:v>Waqas Khan · Data science portfolio project</x:v>
      </x:c>
      <x:c r="H4" s="7" t="str">
        <x:v>Waqas Khan · Data science portfolio project</x:v>
      </x:c>
      <x:c r="I4" s="7" t="str">
        <x:v>Waqas Khan · Data science portfolio project</x:v>
      </x:c>
      <x:c r="J4" s="7" t="str">
        <x:v>Waqas Khan · Data science portfolio project</x:v>
      </x:c>
      <x:c r="K4" s="7" t="str">
        <x:v>Waqas Khan · Data science portfolio project</x:v>
      </x:c>
      <x:c r="L4" s="7" t="str">
        <x:v>Waqas Khan · Data science portfolio project</x:v>
      </x:c>
    </x:row>
    <x:row r="5" ht="23" customHeight="1">
      <x:c r="A5" s="2"/>
      <x:c r="B5" s="2"/>
      <x:c r="C5" s="2"/>
      <x:c r="D5" s="2"/>
      <x:c r="E5" s="2"/>
      <x:c r="F5" s="2"/>
      <x:c r="G5" s="2"/>
      <x:c r="H5" s="2"/>
      <x:c r="I5" s="2"/>
      <x:c r="J5" s="2"/>
      <x:c r="K5" s="2"/>
      <x:c r="L5" s="2"/>
    </x:row>
    <x:row r="6" ht="23" customHeight="1">
      <x:c r="A6" s="2"/>
      <x:c r="B6" s="33" t="str">
        <x:v>Explore sales performance, customer purchasing behavior, product concentration and retention using 1,067,371 genuine historical retail records.</x:v>
      </x:c>
      <x:c r="C6" s="33" t="str">
        <x:v>Explore sales performance, customer purchasing behavior, product concentration and retention using 1,067,371 genuine historical retail records.</x:v>
      </x:c>
      <x:c r="D6" s="33" t="str">
        <x:v>Explore sales performance, customer purchasing behavior, product concentration and retention using 1,067,371 genuine historical retail records.</x:v>
      </x:c>
      <x:c r="E6" s="33" t="str">
        <x:v>Explore sales performance, customer purchasing behavior, product concentration and retention using 1,067,371 genuine historical retail records.</x:v>
      </x:c>
      <x:c r="F6" s="33" t="str">
        <x:v>Explore sales performance, customer purchasing behavior, product concentration and retention using 1,067,371 genuine historical retail records.</x:v>
      </x:c>
      <x:c r="G6" s="33" t="str">
        <x:v>Explore sales performance, customer purchasing behavior, product concentration and retention using 1,067,371 genuine historical retail records.</x:v>
      </x:c>
      <x:c r="H6" s="33" t="str">
        <x:v>Explore sales performance, customer purchasing behavior, product concentration and retention using 1,067,371 genuine historical retail records.</x:v>
      </x:c>
      <x:c r="I6" s="33" t="str">
        <x:v>Explore sales performance, customer purchasing behavior, product concentration and retention using 1,067,371 genuine historical retail records.</x:v>
      </x:c>
      <x:c r="J6" s="33" t="str">
        <x:v>Explore sales performance, customer purchasing behavior, product concentration and retention using 1,067,371 genuine historical retail records.</x:v>
      </x:c>
      <x:c r="K6" s="33" t="str">
        <x:v>Explore sales performance, customer purchasing behavior, product concentration and retention using 1,067,371 genuine historical retail records.</x:v>
      </x:c>
      <x:c r="L6" s="33" t="str">
        <x:v>Explore sales performance, customer purchasing behavior, product concentration and retention using 1,067,371 genuine historical retail records.</x:v>
      </x:c>
    </x:row>
    <x:row r="7" ht="23" customHeight="1">
      <x:c r="A7" s="2"/>
      <x:c r="B7" s="33" t="str">
        <x:v>Explore sales performance, customer purchasing behavior, product concentration and retention using 1,067,371 genuine historical retail records.</x:v>
      </x:c>
      <x:c r="C7" s="33" t="str">
        <x:v>Explore sales performance, customer purchasing behavior, product concentration and retention using 1,067,371 genuine historical retail records.</x:v>
      </x:c>
      <x:c r="D7" s="33" t="str">
        <x:v>Explore sales performance, customer purchasing behavior, product concentration and retention using 1,067,371 genuine historical retail records.</x:v>
      </x:c>
      <x:c r="E7" s="33" t="str">
        <x:v>Explore sales performance, customer purchasing behavior, product concentration and retention using 1,067,371 genuine historical retail records.</x:v>
      </x:c>
      <x:c r="F7" s="33" t="str">
        <x:v>Explore sales performance, customer purchasing behavior, product concentration and retention using 1,067,371 genuine historical retail records.</x:v>
      </x:c>
      <x:c r="G7" s="33" t="str">
        <x:v>Explore sales performance, customer purchasing behavior, product concentration and retention using 1,067,371 genuine historical retail records.</x:v>
      </x:c>
      <x:c r="H7" s="33" t="str">
        <x:v>Explore sales performance, customer purchasing behavior, product concentration and retention using 1,067,371 genuine historical retail records.</x:v>
      </x:c>
      <x:c r="I7" s="33" t="str">
        <x:v>Explore sales performance, customer purchasing behavior, product concentration and retention using 1,067,371 genuine historical retail records.</x:v>
      </x:c>
      <x:c r="J7" s="33" t="str">
        <x:v>Explore sales performance, customer purchasing behavior, product concentration and retention using 1,067,371 genuine historical retail records.</x:v>
      </x:c>
      <x:c r="K7" s="33" t="str">
        <x:v>Explore sales performance, customer purchasing behavior, product concentration and retention using 1,067,371 genuine historical retail records.</x:v>
      </x:c>
      <x:c r="L7" s="33" t="str">
        <x:v>Explore sales performance, customer purchasing behavior, product concentration and retention using 1,067,371 genuine historical retail records.</x:v>
      </x:c>
    </x:row>
    <x:row r="8" ht="23" customHeight="1">
      <x:c r="A8" s="2"/>
      <x:c r="B8" s="33" t="str">
        <x:v>Explore sales performance, customer purchasing behavior, product concentration and retention using 1,067,371 genuine historical retail records.</x:v>
      </x:c>
      <x:c r="C8" s="33" t="str">
        <x:v>Explore sales performance, customer purchasing behavior, product concentration and retention using 1,067,371 genuine historical retail records.</x:v>
      </x:c>
      <x:c r="D8" s="33" t="str">
        <x:v>Explore sales performance, customer purchasing behavior, product concentration and retention using 1,067,371 genuine historical retail records.</x:v>
      </x:c>
      <x:c r="E8" s="33" t="str">
        <x:v>Explore sales performance, customer purchasing behavior, product concentration and retention using 1,067,371 genuine historical retail records.</x:v>
      </x:c>
      <x:c r="F8" s="33" t="str">
        <x:v>Explore sales performance, customer purchasing behavior, product concentration and retention using 1,067,371 genuine historical retail records.</x:v>
      </x:c>
      <x:c r="G8" s="33" t="str">
        <x:v>Explore sales performance, customer purchasing behavior, product concentration and retention using 1,067,371 genuine historical retail records.</x:v>
      </x:c>
      <x:c r="H8" s="33" t="str">
        <x:v>Explore sales performance, customer purchasing behavior, product concentration and retention using 1,067,371 genuine historical retail records.</x:v>
      </x:c>
      <x:c r="I8" s="33" t="str">
        <x:v>Explore sales performance, customer purchasing behavior, product concentration and retention using 1,067,371 genuine historical retail records.</x:v>
      </x:c>
      <x:c r="J8" s="33" t="str">
        <x:v>Explore sales performance, customer purchasing behavior, product concentration and retention using 1,067,371 genuine historical retail records.</x:v>
      </x:c>
      <x:c r="K8" s="33" t="str">
        <x:v>Explore sales performance, customer purchasing behavior, product concentration and retention using 1,067,371 genuine historical retail records.</x:v>
      </x:c>
      <x:c r="L8" s="33" t="str">
        <x:v>Explore sales performance, customer purchasing behavior, product concentration and retention using 1,067,371 genuine historical retail records.</x:v>
      </x:c>
    </x:row>
    <x:row r="9" ht="23" customHeight="1">
      <x:c r="A9" s="2"/>
      <x:c r="B9" s="33" t="str">
        <x:v>Explore sales performance, customer purchasing behavior, product concentration and retention using 1,067,371 genuine historical retail records.</x:v>
      </x:c>
      <x:c r="C9" s="33" t="str">
        <x:v>Explore sales performance, customer purchasing behavior, product concentration and retention using 1,067,371 genuine historical retail records.</x:v>
      </x:c>
      <x:c r="D9" s="33" t="str">
        <x:v>Explore sales performance, customer purchasing behavior, product concentration and retention using 1,067,371 genuine historical retail records.</x:v>
      </x:c>
      <x:c r="E9" s="33" t="str">
        <x:v>Explore sales performance, customer purchasing behavior, product concentration and retention using 1,067,371 genuine historical retail records.</x:v>
      </x:c>
      <x:c r="F9" s="33" t="str">
        <x:v>Explore sales performance, customer purchasing behavior, product concentration and retention using 1,067,371 genuine historical retail records.</x:v>
      </x:c>
      <x:c r="G9" s="33" t="str">
        <x:v>Explore sales performance, customer purchasing behavior, product concentration and retention using 1,067,371 genuine historical retail records.</x:v>
      </x:c>
      <x:c r="H9" s="33" t="str">
        <x:v>Explore sales performance, customer purchasing behavior, product concentration and retention using 1,067,371 genuine historical retail records.</x:v>
      </x:c>
      <x:c r="I9" s="33" t="str">
        <x:v>Explore sales performance, customer purchasing behavior, product concentration and retention using 1,067,371 genuine historical retail records.</x:v>
      </x:c>
      <x:c r="J9" s="33" t="str">
        <x:v>Explore sales performance, customer purchasing behavior, product concentration and retention using 1,067,371 genuine historical retail records.</x:v>
      </x:c>
      <x:c r="K9" s="33" t="str">
        <x:v>Explore sales performance, customer purchasing behavior, product concentration and retention using 1,067,371 genuine historical retail records.</x:v>
      </x:c>
      <x:c r="L9" s="33" t="str">
        <x:v>Explore sales performance, customer purchasing behavior, product concentration and retention using 1,067,371 genuine historical retail records.</x:v>
      </x:c>
    </x:row>
    <x:row r="10" ht="23" customHeight="1">
      <x:c r="A10" s="2"/>
      <x:c r="B10" s="7" t="str">
        <x:v>Select the named worksheet tab at the bottom of Excel. Ctrl+Page Up / Page Down moves between sheets.</x:v>
      </x:c>
      <x:c r="C10" s="7" t="str">
        <x:v>Select the named worksheet tab at the bottom of Excel. Ctrl+Page Up / Page Down moves between sheets.</x:v>
      </x:c>
      <x:c r="D10" s="7" t="str">
        <x:v>Select the named worksheet tab at the bottom of Excel. Ctrl+Page Up / Page Down moves between sheets.</x:v>
      </x:c>
      <x:c r="E10" s="7" t="str">
        <x:v>Select the named worksheet tab at the bottom of Excel. Ctrl+Page Up / Page Down moves between sheets.</x:v>
      </x:c>
      <x:c r="F10" s="7" t="str">
        <x:v>Select the named worksheet tab at the bottom of Excel. Ctrl+Page Up / Page Down moves between sheets.</x:v>
      </x:c>
      <x:c r="G10" s="7" t="str">
        <x:v>Select the named worksheet tab at the bottom of Excel. Ctrl+Page Up / Page Down moves between sheets.</x:v>
      </x:c>
      <x:c r="H10" s="7" t="str">
        <x:v>Select the named worksheet tab at the bottom of Excel. Ctrl+Page Up / Page Down moves between sheets.</x:v>
      </x:c>
      <x:c r="I10" s="7" t="str">
        <x:v>Select the named worksheet tab at the bottom of Excel. Ctrl+Page Up / Page Down moves between sheets.</x:v>
      </x:c>
      <x:c r="J10" s="7" t="str">
        <x:v>Select the named worksheet tab at the bottom of Excel. Ctrl+Page Up / Page Down moves between sheets.</x:v>
      </x:c>
      <x:c r="K10" s="7" t="str">
        <x:v>Select the named worksheet tab at the bottom of Excel. Ctrl+Page Up / Page Down moves between sheets.</x:v>
      </x:c>
      <x:c r="L10" s="7" t="str">
        <x:v>Select the named worksheet tab at the bottom of Excel. Ctrl+Page Up / Page Down moves between sheets.</x:v>
      </x:c>
    </x:row>
    <x:row r="11" ht="23" customHeight="1">
      <x:c r="A11" s="2"/>
      <x:c r="B11" s="2"/>
      <x:c r="C11" s="2"/>
      <x:c r="D11" s="2"/>
      <x:c r="E11" s="2"/>
      <x:c r="F11" s="2"/>
      <x:c r="G11" s="2"/>
      <x:c r="H11" s="2"/>
      <x:c r="I11" s="2"/>
      <x:c r="J11" s="2"/>
      <x:c r="K11" s="2"/>
      <x:c r="L11" s="2"/>
    </x:row>
    <x:row r="12" ht="23" customHeight="1">
      <x:c r="A12" s="2"/>
      <x:c r="B12" s="34" t="str">
        <x:v>Sales_Overview</x:v>
      </x:c>
      <x:c r="C12" s="2"/>
      <x:c r="D12" s="2"/>
      <x:c r="E12" s="17" t="str">
        <x:v>Change amber month and country cells; review the linked KPIs and chart.</x:v>
      </x:c>
      <x:c r="F12" s="17" t="str">
        <x:v>Change amber month and country cells; review the linked KPIs and chart.</x:v>
      </x:c>
      <x:c r="G12" s="17" t="str">
        <x:v>Change amber month and country cells; review the linked KPIs and chart.</x:v>
      </x:c>
      <x:c r="H12" s="17" t="str">
        <x:v>Change amber month and country cells; review the linked KPIs and chart.</x:v>
      </x:c>
      <x:c r="I12" s="17" t="str">
        <x:v>Change amber month and country cells; review the linked KPIs and chart.</x:v>
      </x:c>
      <x:c r="J12" s="17" t="str">
        <x:v>Change amber month and country cells; review the linked KPIs and chart.</x:v>
      </x:c>
      <x:c r="K12" s="17" t="str">
        <x:v>Change amber month and country cells; review the linked KPIs and chart.</x:v>
      </x:c>
      <x:c r="L12" s="17" t="str">
        <x:v>Change amber month and country cells; review the linked KPIs and chart.</x:v>
      </x:c>
    </x:row>
    <x:row r="13" ht="23" customHeight="1">
      <x:c r="A13" s="2"/>
      <x:c r="B13" s="2"/>
      <x:c r="C13" s="2"/>
      <x:c r="D13" s="2"/>
      <x:c r="E13" s="17" t="str">
        <x:v>Change amber month and country cells; review the linked KPIs and chart.</x:v>
      </x:c>
      <x:c r="F13" s="17" t="str">
        <x:v>Change amber month and country cells; review the linked KPIs and chart.</x:v>
      </x:c>
      <x:c r="G13" s="17" t="str">
        <x:v>Change amber month and country cells; review the linked KPIs and chart.</x:v>
      </x:c>
      <x:c r="H13" s="17" t="str">
        <x:v>Change amber month and country cells; review the linked KPIs and chart.</x:v>
      </x:c>
      <x:c r="I13" s="17" t="str">
        <x:v>Change amber month and country cells; review the linked KPIs and chart.</x:v>
      </x:c>
      <x:c r="J13" s="17" t="str">
        <x:v>Change amber month and country cells; review the linked KPIs and chart.</x:v>
      </x:c>
      <x:c r="K13" s="17" t="str">
        <x:v>Change amber month and country cells; review the linked KPIs and chart.</x:v>
      </x:c>
      <x:c r="L13" s="17" t="str">
        <x:v>Change amber month and country cells; review the linked KPIs and chart.</x:v>
      </x:c>
    </x:row>
    <x:row r="14" ht="23" customHeight="1">
      <x:c r="A14" s="2"/>
      <x:c r="B14" s="34" t="str">
        <x:v>Product_Analysis</x:v>
      </x:c>
      <x:c r="C14" s="2"/>
      <x:c r="D14" s="2"/>
      <x:c r="E14" s="17" t="str">
        <x:v>Inspect gross-sales rankings and Pareto concentration.</x:v>
      </x:c>
      <x:c r="F14" s="17" t="str">
        <x:v>Inspect gross-sales rankings and Pareto concentration.</x:v>
      </x:c>
      <x:c r="G14" s="17" t="str">
        <x:v>Inspect gross-sales rankings and Pareto concentration.</x:v>
      </x:c>
      <x:c r="H14" s="17" t="str">
        <x:v>Inspect gross-sales rankings and Pareto concentration.</x:v>
      </x:c>
      <x:c r="I14" s="17" t="str">
        <x:v>Inspect gross-sales rankings and Pareto concentration.</x:v>
      </x:c>
      <x:c r="J14" s="17" t="str">
        <x:v>Inspect gross-sales rankings and Pareto concentration.</x:v>
      </x:c>
      <x:c r="K14" s="17" t="str">
        <x:v>Inspect gross-sales rankings and Pareto concentration.</x:v>
      </x:c>
      <x:c r="L14" s="17" t="str">
        <x:v>Inspect gross-sales rankings and Pareto concentration.</x:v>
      </x:c>
    </x:row>
    <x:row r="15" ht="23" customHeight="1">
      <x:c r="A15" s="2"/>
      <x:c r="B15" s="2"/>
      <x:c r="C15" s="2"/>
      <x:c r="D15" s="2"/>
      <x:c r="E15" s="17" t="str">
        <x:v>Inspect gross-sales rankings and Pareto concentration.</x:v>
      </x:c>
      <x:c r="F15" s="17" t="str">
        <x:v>Inspect gross-sales rankings and Pareto concentration.</x:v>
      </x:c>
      <x:c r="G15" s="17" t="str">
        <x:v>Inspect gross-sales rankings and Pareto concentration.</x:v>
      </x:c>
      <x:c r="H15" s="17" t="str">
        <x:v>Inspect gross-sales rankings and Pareto concentration.</x:v>
      </x:c>
      <x:c r="I15" s="17" t="str">
        <x:v>Inspect gross-sales rankings and Pareto concentration.</x:v>
      </x:c>
      <x:c r="J15" s="17" t="str">
        <x:v>Inspect gross-sales rankings and Pareto concentration.</x:v>
      </x:c>
      <x:c r="K15" s="17" t="str">
        <x:v>Inspect gross-sales rankings and Pareto concentration.</x:v>
      </x:c>
      <x:c r="L15" s="17" t="str">
        <x:v>Inspect gross-sales rankings and Pareto concentration.</x:v>
      </x:c>
    </x:row>
    <x:row r="16" ht="23" customHeight="1">
      <x:c r="A16" s="2"/>
      <x:c r="B16" s="34" t="str">
        <x:v>Customer_RFM</x:v>
      </x:c>
      <x:c r="C16" s="2"/>
      <x:c r="D16" s="2"/>
      <x:c r="E16" s="17" t="str">
        <x:v>Choose a segment; filter customer detail by country or segment.</x:v>
      </x:c>
      <x:c r="F16" s="17" t="str">
        <x:v>Choose a segment; filter customer detail by country or segment.</x:v>
      </x:c>
      <x:c r="G16" s="17" t="str">
        <x:v>Choose a segment; filter customer detail by country or segment.</x:v>
      </x:c>
      <x:c r="H16" s="17" t="str">
        <x:v>Choose a segment; filter customer detail by country or segment.</x:v>
      </x:c>
      <x:c r="I16" s="17" t="str">
        <x:v>Choose a segment; filter customer detail by country or segment.</x:v>
      </x:c>
      <x:c r="J16" s="17" t="str">
        <x:v>Choose a segment; filter customer detail by country or segment.</x:v>
      </x:c>
      <x:c r="K16" s="17" t="str">
        <x:v>Choose a segment; filter customer detail by country or segment.</x:v>
      </x:c>
      <x:c r="L16" s="17" t="str">
        <x:v>Choose a segment; filter customer detail by country or segment.</x:v>
      </x:c>
    </x:row>
    <x:row r="17" ht="23" customHeight="1">
      <x:c r="A17" s="2"/>
      <x:c r="B17" s="2"/>
      <x:c r="C17" s="2"/>
      <x:c r="D17" s="2"/>
      <x:c r="E17" s="17" t="str">
        <x:v>Choose a segment; filter customer detail by country or segment.</x:v>
      </x:c>
      <x:c r="F17" s="17" t="str">
        <x:v>Choose a segment; filter customer detail by country or segment.</x:v>
      </x:c>
      <x:c r="G17" s="17" t="str">
        <x:v>Choose a segment; filter customer detail by country or segment.</x:v>
      </x:c>
      <x:c r="H17" s="17" t="str">
        <x:v>Choose a segment; filter customer detail by country or segment.</x:v>
      </x:c>
      <x:c r="I17" s="17" t="str">
        <x:v>Choose a segment; filter customer detail by country or segment.</x:v>
      </x:c>
      <x:c r="J17" s="17" t="str">
        <x:v>Choose a segment; filter customer detail by country or segment.</x:v>
      </x:c>
      <x:c r="K17" s="17" t="str">
        <x:v>Choose a segment; filter customer detail by country or segment.</x:v>
      </x:c>
      <x:c r="L17" s="17" t="str">
        <x:v>Choose a segment; filter customer detail by country or segment.</x:v>
      </x:c>
    </x:row>
    <x:row r="18" ht="23" customHeight="1">
      <x:c r="A18" s="2"/>
      <x:c r="B18" s="34" t="str">
        <x:v>Cohort_Retention</x:v>
      </x:c>
      <x:c r="C18" s="2"/>
      <x:c r="D18" s="2"/>
      <x:c r="E18" s="17" t="str">
        <x:v>Read the retention heatmap by first observed purchase month.</x:v>
      </x:c>
      <x:c r="F18" s="17" t="str">
        <x:v>Read the retention heatmap by first observed purchase month.</x:v>
      </x:c>
      <x:c r="G18" s="17" t="str">
        <x:v>Read the retention heatmap by first observed purchase month.</x:v>
      </x:c>
      <x:c r="H18" s="17" t="str">
        <x:v>Read the retention heatmap by first observed purchase month.</x:v>
      </x:c>
      <x:c r="I18" s="17" t="str">
        <x:v>Read the retention heatmap by first observed purchase month.</x:v>
      </x:c>
      <x:c r="J18" s="17" t="str">
        <x:v>Read the retention heatmap by first observed purchase month.</x:v>
      </x:c>
      <x:c r="K18" s="17" t="str">
        <x:v>Read the retention heatmap by first observed purchase month.</x:v>
      </x:c>
      <x:c r="L18" s="17" t="str">
        <x:v>Read the retention heatmap by first observed purchase month.</x:v>
      </x:c>
    </x:row>
    <x:row r="19" ht="23" customHeight="1">
      <x:c r="A19" s="2"/>
      <x:c r="B19" s="2"/>
      <x:c r="C19" s="2"/>
      <x:c r="D19" s="2"/>
      <x:c r="E19" s="17" t="str">
        <x:v>Read the retention heatmap by first observed purchase month.</x:v>
      </x:c>
      <x:c r="F19" s="17" t="str">
        <x:v>Read the retention heatmap by first observed purchase month.</x:v>
      </x:c>
      <x:c r="G19" s="17" t="str">
        <x:v>Read the retention heatmap by first observed purchase month.</x:v>
      </x:c>
      <x:c r="H19" s="17" t="str">
        <x:v>Read the retention heatmap by first observed purchase month.</x:v>
      </x:c>
      <x:c r="I19" s="17" t="str">
        <x:v>Read the retention heatmap by first observed purchase month.</x:v>
      </x:c>
      <x:c r="J19" s="17" t="str">
        <x:v>Read the retention heatmap by first observed purchase month.</x:v>
      </x:c>
      <x:c r="K19" s="17" t="str">
        <x:v>Read the retention heatmap by first observed purchase month.</x:v>
      </x:c>
      <x:c r="L19" s="17" t="str">
        <x:v>Read the retention heatmap by first observed purchase month.</x:v>
      </x:c>
    </x:row>
    <x:row r="20" ht="23" customHeight="1">
      <x:c r="A20" s="2"/>
      <x:c r="B20" s="34" t="str">
        <x:v>Regional_Analysis</x:v>
      </x:c>
      <x:c r="C20" s="2"/>
      <x:c r="D20" s="2"/>
      <x:c r="E20" s="17" t="str">
        <x:v>Compare the UK with international markets.</x:v>
      </x:c>
      <x:c r="F20" s="17" t="str">
        <x:v>Compare the UK with international markets.</x:v>
      </x:c>
      <x:c r="G20" s="17" t="str">
        <x:v>Compare the UK with international markets.</x:v>
      </x:c>
      <x:c r="H20" s="17" t="str">
        <x:v>Compare the UK with international markets.</x:v>
      </x:c>
      <x:c r="I20" s="17" t="str">
        <x:v>Compare the UK with international markets.</x:v>
      </x:c>
      <x:c r="J20" s="17" t="str">
        <x:v>Compare the UK with international markets.</x:v>
      </x:c>
      <x:c r="K20" s="17" t="str">
        <x:v>Compare the UK with international markets.</x:v>
      </x:c>
      <x:c r="L20" s="17" t="str">
        <x:v>Compare the UK with international markets.</x:v>
      </x:c>
    </x:row>
    <x:row r="21" ht="23" customHeight="1">
      <x:c r="A21" s="2"/>
      <x:c r="B21" s="2"/>
      <x:c r="C21" s="2"/>
      <x:c r="D21" s="2"/>
      <x:c r="E21" s="17" t="str">
        <x:v>Compare the UK with international markets.</x:v>
      </x:c>
      <x:c r="F21" s="17" t="str">
        <x:v>Compare the UK with international markets.</x:v>
      </x:c>
      <x:c r="G21" s="17" t="str">
        <x:v>Compare the UK with international markets.</x:v>
      </x:c>
      <x:c r="H21" s="17" t="str">
        <x:v>Compare the UK with international markets.</x:v>
      </x:c>
      <x:c r="I21" s="17" t="str">
        <x:v>Compare the UK with international markets.</x:v>
      </x:c>
      <x:c r="J21" s="17" t="str">
        <x:v>Compare the UK with international markets.</x:v>
      </x:c>
      <x:c r="K21" s="17" t="str">
        <x:v>Compare the UK with international markets.</x:v>
      </x:c>
      <x:c r="L21" s="17" t="str">
        <x:v>Compare the UK with international markets.</x:v>
      </x:c>
    </x:row>
    <x:row r="22" ht="23" customHeight="1">
      <x:c r="A22" s="2"/>
      <x:c r="B22" s="34" t="str">
        <x:v>Insights</x:v>
      </x:c>
      <x:c r="C22" s="2"/>
      <x:c r="D22" s="2"/>
      <x:c r="E22" s="17" t="str">
        <x:v>Use five evidence-based findings for your presentation.</x:v>
      </x:c>
      <x:c r="F22" s="17" t="str">
        <x:v>Use five evidence-based findings for your presentation.</x:v>
      </x:c>
      <x:c r="G22" s="17" t="str">
        <x:v>Use five evidence-based findings for your presentation.</x:v>
      </x:c>
      <x:c r="H22" s="17" t="str">
        <x:v>Use five evidence-based findings for your presentation.</x:v>
      </x:c>
      <x:c r="I22" s="17" t="str">
        <x:v>Use five evidence-based findings for your presentation.</x:v>
      </x:c>
      <x:c r="J22" s="17" t="str">
        <x:v>Use five evidence-based findings for your presentation.</x:v>
      </x:c>
      <x:c r="K22" s="17" t="str">
        <x:v>Use five evidence-based findings for your presentation.</x:v>
      </x:c>
      <x:c r="L22" s="17" t="str">
        <x:v>Use five evidence-based findings for your presentation.</x:v>
      </x:c>
    </x:row>
    <x:row r="23" ht="23" customHeight="1">
      <x:c r="A23" s="2"/>
      <x:c r="B23" s="2"/>
      <x:c r="C23" s="2"/>
      <x:c r="D23" s="2"/>
      <x:c r="E23" s="17" t="str">
        <x:v>Use five evidence-based findings for your presentation.</x:v>
      </x:c>
      <x:c r="F23" s="17" t="str">
        <x:v>Use five evidence-based findings for your presentation.</x:v>
      </x:c>
      <x:c r="G23" s="17" t="str">
        <x:v>Use five evidence-based findings for your presentation.</x:v>
      </x:c>
      <x:c r="H23" s="17" t="str">
        <x:v>Use five evidence-based findings for your presentation.</x:v>
      </x:c>
      <x:c r="I23" s="17" t="str">
        <x:v>Use five evidence-based findings for your presentation.</x:v>
      </x:c>
      <x:c r="J23" s="17" t="str">
        <x:v>Use five evidence-based findings for your presentation.</x:v>
      </x:c>
      <x:c r="K23" s="17" t="str">
        <x:v>Use five evidence-based findings for your presentation.</x:v>
      </x:c>
      <x:c r="L23" s="17" t="str">
        <x:v>Use five evidence-based findings for your presentation.</x:v>
      </x:c>
    </x:row>
    <x:row r="24" ht="23" customHeight="1">
      <x:c r="A24" s="2"/>
      <x:c r="B24" s="34" t="str">
        <x:v>Data_Quality</x:v>
      </x:c>
      <x:c r="C24" s="2"/>
      <x:c r="D24" s="2"/>
      <x:c r="E24" s="17" t="str">
        <x:v>Inspect exclusions, duplicate sensitivity and reconciliation.</x:v>
      </x:c>
      <x:c r="F24" s="17" t="str">
        <x:v>Inspect exclusions, duplicate sensitivity and reconciliation.</x:v>
      </x:c>
      <x:c r="G24" s="17" t="str">
        <x:v>Inspect exclusions, duplicate sensitivity and reconciliation.</x:v>
      </x:c>
      <x:c r="H24" s="17" t="str">
        <x:v>Inspect exclusions, duplicate sensitivity and reconciliation.</x:v>
      </x:c>
      <x:c r="I24" s="17" t="str">
        <x:v>Inspect exclusions, duplicate sensitivity and reconciliation.</x:v>
      </x:c>
      <x:c r="J24" s="17" t="str">
        <x:v>Inspect exclusions, duplicate sensitivity and reconciliation.</x:v>
      </x:c>
      <x:c r="K24" s="17" t="str">
        <x:v>Inspect exclusions, duplicate sensitivity and reconciliation.</x:v>
      </x:c>
      <x:c r="L24" s="17" t="str">
        <x:v>Inspect exclusions, duplicate sensitivity and reconciliation.</x:v>
      </x:c>
    </x:row>
    <x:row r="25" ht="23" customHeight="1">
      <x:c r="A25" s="2"/>
      <x:c r="B25" s="2"/>
      <x:c r="C25" s="2"/>
      <x:c r="D25" s="2"/>
      <x:c r="E25" s="17" t="str">
        <x:v>Inspect exclusions, duplicate sensitivity and reconciliation.</x:v>
      </x:c>
      <x:c r="F25" s="17" t="str">
        <x:v>Inspect exclusions, duplicate sensitivity and reconciliation.</x:v>
      </x:c>
      <x:c r="G25" s="17" t="str">
        <x:v>Inspect exclusions, duplicate sensitivity and reconciliation.</x:v>
      </x:c>
      <x:c r="H25" s="17" t="str">
        <x:v>Inspect exclusions, duplicate sensitivity and reconciliation.</x:v>
      </x:c>
      <x:c r="I25" s="17" t="str">
        <x:v>Inspect exclusions, duplicate sensitivity and reconciliation.</x:v>
      </x:c>
      <x:c r="J25" s="17" t="str">
        <x:v>Inspect exclusions, duplicate sensitivity and reconciliation.</x:v>
      </x:c>
      <x:c r="K25" s="17" t="str">
        <x:v>Inspect exclusions, duplicate sensitivity and reconciliation.</x:v>
      </x:c>
      <x:c r="L25" s="17" t="str">
        <x:v>Inspect exclusions, duplicate sensitivity and reconciliation.</x:v>
      </x:c>
    </x:row>
    <x:row r="26" ht="23" customHeight="1">
      <x:c r="A26" s="2"/>
      <x:c r="B26" s="34" t="str">
        <x:v>Data_Dictionary</x:v>
      </x:c>
      <x:c r="C26" s="2"/>
      <x:c r="D26" s="2"/>
      <x:c r="E26" s="17" t="str">
        <x:v>Read definitions, dataset attribution and limitations.</x:v>
      </x:c>
      <x:c r="F26" s="17" t="str">
        <x:v>Read definitions, dataset attribution and limitations.</x:v>
      </x:c>
      <x:c r="G26" s="17" t="str">
        <x:v>Read definitions, dataset attribution and limitations.</x:v>
      </x:c>
      <x:c r="H26" s="17" t="str">
        <x:v>Read definitions, dataset attribution and limitations.</x:v>
      </x:c>
      <x:c r="I26" s="17" t="str">
        <x:v>Read definitions, dataset attribution and limitations.</x:v>
      </x:c>
      <x:c r="J26" s="17" t="str">
        <x:v>Read definitions, dataset attribution and limitations.</x:v>
      </x:c>
      <x:c r="K26" s="17" t="str">
        <x:v>Read definitions, dataset attribution and limitations.</x:v>
      </x:c>
      <x:c r="L26" s="17" t="str">
        <x:v>Read definitions, dataset attribution and limitations.</x:v>
      </x:c>
    </x:row>
    <x:row r="27" ht="23" customHeight="1">
      <x:c r="A27" s="2"/>
      <x:c r="B27" s="2"/>
      <x:c r="C27" s="2"/>
      <x:c r="D27" s="2"/>
      <x:c r="E27" s="17" t="str">
        <x:v>Read definitions, dataset attribution and limitations.</x:v>
      </x:c>
      <x:c r="F27" s="17" t="str">
        <x:v>Read definitions, dataset attribution and limitations.</x:v>
      </x:c>
      <x:c r="G27" s="17" t="str">
        <x:v>Read definitions, dataset attribution and limitations.</x:v>
      </x:c>
      <x:c r="H27" s="17" t="str">
        <x:v>Read definitions, dataset attribution and limitations.</x:v>
      </x:c>
      <x:c r="I27" s="17" t="str">
        <x:v>Read definitions, dataset attribution and limitations.</x:v>
      </x:c>
      <x:c r="J27" s="17" t="str">
        <x:v>Read definitions, dataset attribution and limitations.</x:v>
      </x:c>
      <x:c r="K27" s="17" t="str">
        <x:v>Read definitions, dataset attribution and limitations.</x:v>
      </x:c>
      <x:c r="L27" s="17" t="str">
        <x:v>Read definitions, dataset attribution and limitations.</x:v>
      </x:c>
    </x:row>
    <x:row r="28" ht="23" customHeight="1">
      <x:c r="A28" s="2"/>
      <x:c r="B28" s="2"/>
      <x:c r="C28" s="2"/>
      <x:c r="D28" s="2"/>
      <x:c r="E28" s="2"/>
      <x:c r="F28" s="2"/>
      <x:c r="G28" s="2"/>
      <x:c r="H28" s="2"/>
      <x:c r="I28" s="2"/>
      <x:c r="J28" s="2"/>
      <x:c r="K28" s="2"/>
      <x:c r="L28" s="2"/>
    </x:row>
    <x:row r="29" ht="23" customHeight="1">
      <x:c r="A29" s="2"/>
      <x:c r="B29" s="2"/>
      <x:c r="C29" s="2"/>
      <x:c r="D29" s="2"/>
      <x:c r="E29" s="2"/>
      <x:c r="F29" s="2"/>
      <x:c r="G29" s="2"/>
      <x:c r="H29" s="2"/>
      <x:c r="I29" s="2"/>
      <x:c r="J29" s="2"/>
      <x:c r="K29" s="2"/>
      <x:c r="L29" s="2"/>
    </x:row>
    <x:row r="30" ht="23" customHeight="1">
      <x:c r="A30" s="2"/>
      <x:c r="B30" s="17" t="str">
        <x:v>Refresh: run the preparation script with the official source workbook, then rebuild the Excel workbook. Table edits and dashboard selections update dependent formulas; source transactions are refreshed through the scripts, not Excel Refresh All.</x:v>
      </x:c>
      <x:c r="C30" s="17" t="str">
        <x:v>Refresh: run the preparation script with the official source workbook, then rebuild the Excel workbook. Table edits and dashboard selections update dependent formulas; source transactions are refreshed through the scripts, not Excel Refresh All.</x:v>
      </x:c>
      <x:c r="D30" s="17" t="str">
        <x:v>Refresh: run the preparation script with the official source workbook, then rebuild the Excel workbook. Table edits and dashboard selections update dependent formulas; source transactions are refreshed through the scripts, not Excel Refresh All.</x:v>
      </x:c>
      <x:c r="E30" s="17" t="str">
        <x:v>Refresh: run the preparation script with the official source workbook, then rebuild the Excel workbook. Table edits and dashboard selections update dependent formulas; source transactions are refreshed through the scripts, not Excel Refresh All.</x:v>
      </x:c>
      <x:c r="F30" s="17" t="str">
        <x:v>Refresh: run the preparation script with the official source workbook, then rebuild the Excel workbook. Table edits and dashboard selections update dependent formulas; source transactions are refreshed through the scripts, not Excel Refresh All.</x:v>
      </x:c>
      <x:c r="G30" s="17" t="str">
        <x:v>Refresh: run the preparation script with the official source workbook, then rebuild the Excel workbook. Table edits and dashboard selections update dependent formulas; source transactions are refreshed through the scripts, not Excel Refresh All.</x:v>
      </x:c>
      <x:c r="H30" s="17" t="str">
        <x:v>Refresh: run the preparation script with the official source workbook, then rebuild the Excel workbook. Table edits and dashboard selections update dependent formulas; source transactions are refreshed through the scripts, not Excel Refresh All.</x:v>
      </x:c>
      <x:c r="I30" s="17" t="str">
        <x:v>Refresh: run the preparation script with the official source workbook, then rebuild the Excel workbook. Table edits and dashboard selections update dependent formulas; source transactions are refreshed through the scripts, not Excel Refresh All.</x:v>
      </x:c>
      <x:c r="J30" s="17" t="str">
        <x:v>Refresh: run the preparation script with the official source workbook, then rebuild the Excel workbook. Table edits and dashboard selections update dependent formulas; source transactions are refreshed through the scripts, not Excel Refresh All.</x:v>
      </x:c>
      <x:c r="K30" s="17" t="str">
        <x:v>Refresh: run the preparation script with the official source workbook, then rebuild the Excel workbook. Table edits and dashboard selections update dependent formulas; source transactions are refreshed through the scripts, not Excel Refresh All.</x:v>
      </x:c>
      <x:c r="L30" s="17" t="str">
        <x:v>Refresh: run the preparation script with the official source workbook, then rebuild the Excel workbook. Table edits and dashboard selections update dependent formulas; source transactions are refreshed through the scripts, not Excel Refresh All.</x:v>
      </x:c>
    </x:row>
    <x:row r="31" ht="23" customHeight="1">
      <x:c r="A31" s="2"/>
      <x:c r="B31" s="17" t="str">
        <x:v>Refresh: run the preparation script with the official source workbook, then rebuild the Excel workbook. Table edits and dashboard selections update dependent formulas; source transactions are refreshed through the scripts, not Excel Refresh All.</x:v>
      </x:c>
      <x:c r="C31" s="17" t="str">
        <x:v>Refresh: run the preparation script with the official source workbook, then rebuild the Excel workbook. Table edits and dashboard selections update dependent formulas; source transactions are refreshed through the scripts, not Excel Refresh All.</x:v>
      </x:c>
      <x:c r="D31" s="17" t="str">
        <x:v>Refresh: run the preparation script with the official source workbook, then rebuild the Excel workbook. Table edits and dashboard selections update dependent formulas; source transactions are refreshed through the scripts, not Excel Refresh All.</x:v>
      </x:c>
      <x:c r="E31" s="17" t="str">
        <x:v>Refresh: run the preparation script with the official source workbook, then rebuild the Excel workbook. Table edits and dashboard selections update dependent formulas; source transactions are refreshed through the scripts, not Excel Refresh All.</x:v>
      </x:c>
      <x:c r="F31" s="17" t="str">
        <x:v>Refresh: run the preparation script with the official source workbook, then rebuild the Excel workbook. Table edits and dashboard selections update dependent formulas; source transactions are refreshed through the scripts, not Excel Refresh All.</x:v>
      </x:c>
      <x:c r="G31" s="17" t="str">
        <x:v>Refresh: run the preparation script with the official source workbook, then rebuild the Excel workbook. Table edits and dashboard selections update dependent formulas; source transactions are refreshed through the scripts, not Excel Refresh All.</x:v>
      </x:c>
      <x:c r="H31" s="17" t="str">
        <x:v>Refresh: run the preparation script with the official source workbook, then rebuild the Excel workbook. Table edits and dashboard selections update dependent formulas; source transactions are refreshed through the scripts, not Excel Refresh All.</x:v>
      </x:c>
      <x:c r="I31" s="17" t="str">
        <x:v>Refresh: run the preparation script with the official source workbook, then rebuild the Excel workbook. Table edits and dashboard selections update dependent formulas; source transactions are refreshed through the scripts, not Excel Refresh All.</x:v>
      </x:c>
      <x:c r="J31" s="17" t="str">
        <x:v>Refresh: run the preparation script with the official source workbook, then rebuild the Excel workbook. Table edits and dashboard selections update dependent formulas; source transactions are refreshed through the scripts, not Excel Refresh All.</x:v>
      </x:c>
      <x:c r="K31" s="17" t="str">
        <x:v>Refresh: run the preparation script with the official source workbook, then rebuild the Excel workbook. Table edits and dashboard selections update dependent formulas; source transactions are refreshed through the scripts, not Excel Refresh All.</x:v>
      </x:c>
      <x:c r="L31" s="17" t="str">
        <x:v>Refresh: run the preparation script with the official source workbook, then rebuild the Excel workbook. Table edits and dashboard selections update dependent formulas; source transactions are refreshed through the scripts, not Excel Refresh All.</x:v>
      </x:c>
    </x:row>
    <x:row r="32" ht="23" customHeight="1">
      <x:c r="A32" s="2"/>
      <x:c r="B32" s="17" t="str">
        <x:v>Refresh: run the preparation script with the official source workbook, then rebuild the Excel workbook. Table edits and dashboard selections update dependent formulas; source transactions are refreshed through the scripts, not Excel Refresh All.</x:v>
      </x:c>
      <x:c r="C32" s="17" t="str">
        <x:v>Refresh: run the preparation script with the official source workbook, then rebuild the Excel workbook. Table edits and dashboard selections update dependent formulas; source transactions are refreshed through the scripts, not Excel Refresh All.</x:v>
      </x:c>
      <x:c r="D32" s="17" t="str">
        <x:v>Refresh: run the preparation script with the official source workbook, then rebuild the Excel workbook. Table edits and dashboard selections update dependent formulas; source transactions are refreshed through the scripts, not Excel Refresh All.</x:v>
      </x:c>
      <x:c r="E32" s="17" t="str">
        <x:v>Refresh: run the preparation script with the official source workbook, then rebuild the Excel workbook. Table edits and dashboard selections update dependent formulas; source transactions are refreshed through the scripts, not Excel Refresh All.</x:v>
      </x:c>
      <x:c r="F32" s="17" t="str">
        <x:v>Refresh: run the preparation script with the official source workbook, then rebuild the Excel workbook. Table edits and dashboard selections update dependent formulas; source transactions are refreshed through the scripts, not Excel Refresh All.</x:v>
      </x:c>
      <x:c r="G32" s="17" t="str">
        <x:v>Refresh: run the preparation script with the official source workbook, then rebuild the Excel workbook. Table edits and dashboard selections update dependent formulas; source transactions are refreshed through the scripts, not Excel Refresh All.</x:v>
      </x:c>
      <x:c r="H32" s="17" t="str">
        <x:v>Refresh: run the preparation script with the official source workbook, then rebuild the Excel workbook. Table edits and dashboard selections update dependent formulas; source transactions are refreshed through the scripts, not Excel Refresh All.</x:v>
      </x:c>
      <x:c r="I32" s="17" t="str">
        <x:v>Refresh: run the preparation script with the official source workbook, then rebuild the Excel workbook. Table edits and dashboard selections update dependent formulas; source transactions are refreshed through the scripts, not Excel Refresh All.</x:v>
      </x:c>
      <x:c r="J32" s="17" t="str">
        <x:v>Refresh: run the preparation script with the official source workbook, then rebuild the Excel workbook. Table edits and dashboard selections update dependent formulas; source transactions are refreshed through the scripts, not Excel Refresh All.</x:v>
      </x:c>
      <x:c r="K32" s="17" t="str">
        <x:v>Refresh: run the preparation script with the official source workbook, then rebuild the Excel workbook. Table edits and dashboard selections update dependent formulas; source transactions are refreshed through the scripts, not Excel Refresh All.</x:v>
      </x:c>
      <x:c r="L32" s="17" t="str">
        <x:v>Refresh: run the preparation script with the official source workbook, then rebuild the Excel workbook. Table edits and dashboard selections update dependent formulas; source transactions are refreshed through the scripts, not Excel Refresh All.</x:v>
      </x:c>
    </x:row>
    <x:row r="33" ht="23" customHeight="1">
      <x:c r="A33" s="2"/>
      <x:c r="B33" s="17" t="str">
        <x:v>Refresh: run the preparation script with the official source workbook, then rebuild the Excel workbook. Table edits and dashboard selections update dependent formulas; source transactions are refreshed through the scripts, not Excel Refresh All.</x:v>
      </x:c>
      <x:c r="C33" s="17" t="str">
        <x:v>Refresh: run the preparation script with the official source workbook, then rebuild the Excel workbook. Table edits and dashboard selections update dependent formulas; source transactions are refreshed through the scripts, not Excel Refresh All.</x:v>
      </x:c>
      <x:c r="D33" s="17" t="str">
        <x:v>Refresh: run the preparation script with the official source workbook, then rebuild the Excel workbook. Table edits and dashboard selections update dependent formulas; source transactions are refreshed through the scripts, not Excel Refresh All.</x:v>
      </x:c>
      <x:c r="E33" s="17" t="str">
        <x:v>Refresh: run the preparation script with the official source workbook, then rebuild the Excel workbook. Table edits and dashboard selections update dependent formulas; source transactions are refreshed through the scripts, not Excel Refresh All.</x:v>
      </x:c>
      <x:c r="F33" s="17" t="str">
        <x:v>Refresh: run the preparation script with the official source workbook, then rebuild the Excel workbook. Table edits and dashboard selections update dependent formulas; source transactions are refreshed through the scripts, not Excel Refresh All.</x:v>
      </x:c>
      <x:c r="G33" s="17" t="str">
        <x:v>Refresh: run the preparation script with the official source workbook, then rebuild the Excel workbook. Table edits and dashboard selections update dependent formulas; source transactions are refreshed through the scripts, not Excel Refresh All.</x:v>
      </x:c>
      <x:c r="H33" s="17" t="str">
        <x:v>Refresh: run the preparation script with the official source workbook, then rebuild the Excel workbook. Table edits and dashboard selections update dependent formulas; source transactions are refreshed through the scripts, not Excel Refresh All.</x:v>
      </x:c>
      <x:c r="I33" s="17" t="str">
        <x:v>Refresh: run the preparation script with the official source workbook, then rebuild the Excel workbook. Table edits and dashboard selections update dependent formulas; source transactions are refreshed through the scripts, not Excel Refresh All.</x:v>
      </x:c>
      <x:c r="J33" s="17" t="str">
        <x:v>Refresh: run the preparation script with the official source workbook, then rebuild the Excel workbook. Table edits and dashboard selections update dependent formulas; source transactions are refreshed through the scripts, not Excel Refresh All.</x:v>
      </x:c>
      <x:c r="K33" s="17" t="str">
        <x:v>Refresh: run the preparation script with the official source workbook, then rebuild the Excel workbook. Table edits and dashboard selections update dependent formulas; source transactions are refreshed through the scripts, not Excel Refresh All.</x:v>
      </x:c>
      <x:c r="L33" s="17" t="str">
        <x:v>Refresh: run the preparation script with the official source workbook, then rebuild the Excel workbook. Table edits and dashboard selections update dependent formulas; source transactions are refreshed through the scripts, not Excel Refresh All.</x:v>
      </x:c>
    </x:row>
    <x:row r="34" ht="23" customHeight="1">
      <x:c r="A34" s="2"/>
      <x:c r="B34" s="2"/>
      <x:c r="C34" s="2"/>
      <x:c r="D34" s="2"/>
      <x:c r="E34" s="2"/>
      <x:c r="F34" s="2"/>
      <x:c r="G34" s="2"/>
      <x:c r="H34" s="2"/>
      <x:c r="I34" s="2"/>
      <x:c r="J34" s="2"/>
      <x:c r="K34" s="2"/>
      <x:c r="L34" s="2"/>
    </x:row>
    <x:row r="35" ht="23" customHeight="1">
      <x:c r="A35" s="2"/>
      <x:c r="B35" s="17" t="str">
        <x:v>Compatibility: created as a macro-free .xlsx with native tables, charts, formulas and dropdowns. Office 2024 64-bit was detected on this laptop. Desktop Excel opening and filter interaction still require a native application check.</x:v>
      </x:c>
      <x:c r="C35" s="17" t="str">
        <x:v>Compatibility: created as a macro-free .xlsx with native tables, charts, formulas and dropdowns. Office 2024 64-bit was detected on this laptop. Desktop Excel opening and filter interaction still require a native application check.</x:v>
      </x:c>
      <x:c r="D35" s="17" t="str">
        <x:v>Compatibility: created as a macro-free .xlsx with native tables, charts, formulas and dropdowns. Office 2024 64-bit was detected on this laptop. Desktop Excel opening and filter interaction still require a native application check.</x:v>
      </x:c>
      <x:c r="E35" s="17" t="str">
        <x:v>Compatibility: created as a macro-free .xlsx with native tables, charts, formulas and dropdowns. Office 2024 64-bit was detected on this laptop. Desktop Excel opening and filter interaction still require a native application check.</x:v>
      </x:c>
      <x:c r="F35" s="17" t="str">
        <x:v>Compatibility: created as a macro-free .xlsx with native tables, charts, formulas and dropdowns. Office 2024 64-bit was detected on this laptop. Desktop Excel opening and filter interaction still require a native application check.</x:v>
      </x:c>
      <x:c r="G35" s="17" t="str">
        <x:v>Compatibility: created as a macro-free .xlsx with native tables, charts, formulas and dropdowns. Office 2024 64-bit was detected on this laptop. Desktop Excel opening and filter interaction still require a native application check.</x:v>
      </x:c>
      <x:c r="H35" s="17" t="str">
        <x:v>Compatibility: created as a macro-free .xlsx with native tables, charts, formulas and dropdowns. Office 2024 64-bit was detected on this laptop. Desktop Excel opening and filter interaction still require a native application check.</x:v>
      </x:c>
      <x:c r="I35" s="17" t="str">
        <x:v>Compatibility: created as a macro-free .xlsx with native tables, charts, formulas and dropdowns. Office 2024 64-bit was detected on this laptop. Desktop Excel opening and filter interaction still require a native application check.</x:v>
      </x:c>
      <x:c r="J35" s="17" t="str">
        <x:v>Compatibility: created as a macro-free .xlsx with native tables, charts, formulas and dropdowns. Office 2024 64-bit was detected on this laptop. Desktop Excel opening and filter interaction still require a native application check.</x:v>
      </x:c>
      <x:c r="K35" s="17" t="str">
        <x:v>Compatibility: created as a macro-free .xlsx with native tables, charts, formulas and dropdowns. Office 2024 64-bit was detected on this laptop. Desktop Excel opening and filter interaction still require a native application check.</x:v>
      </x:c>
      <x:c r="L35" s="17" t="str">
        <x:v>Compatibility: created as a macro-free .xlsx with native tables, charts, formulas and dropdowns. Office 2024 64-bit was detected on this laptop. Desktop Excel opening and filter interaction still require a native application check.</x:v>
      </x:c>
    </x:row>
    <x:row r="36" ht="23" customHeight="1">
      <x:c r="A36" s="2"/>
      <x:c r="B36" s="17" t="str">
        <x:v>Compatibility: created as a macro-free .xlsx with native tables, charts, formulas and dropdowns. Office 2024 64-bit was detected on this laptop. Desktop Excel opening and filter interaction still require a native application check.</x:v>
      </x:c>
      <x:c r="C36" s="17" t="str">
        <x:v>Compatibility: created as a macro-free .xlsx with native tables, charts, formulas and dropdowns. Office 2024 64-bit was detected on this laptop. Desktop Excel opening and filter interaction still require a native application check.</x:v>
      </x:c>
      <x:c r="D36" s="17" t="str">
        <x:v>Compatibility: created as a macro-free .xlsx with native tables, charts, formulas and dropdowns. Office 2024 64-bit was detected on this laptop. Desktop Excel opening and filter interaction still require a native application check.</x:v>
      </x:c>
      <x:c r="E36" s="17" t="str">
        <x:v>Compatibility: created as a macro-free .xlsx with native tables, charts, formulas and dropdowns. Office 2024 64-bit was detected on this laptop. Desktop Excel opening and filter interaction still require a native application check.</x:v>
      </x:c>
      <x:c r="F36" s="17" t="str">
        <x:v>Compatibility: created as a macro-free .xlsx with native tables, charts, formulas and dropdowns. Office 2024 64-bit was detected on this laptop. Desktop Excel opening and filter interaction still require a native application check.</x:v>
      </x:c>
      <x:c r="G36" s="17" t="str">
        <x:v>Compatibility: created as a macro-free .xlsx with native tables, charts, formulas and dropdowns. Office 2024 64-bit was detected on this laptop. Desktop Excel opening and filter interaction still require a native application check.</x:v>
      </x:c>
      <x:c r="H36" s="17" t="str">
        <x:v>Compatibility: created as a macro-free .xlsx with native tables, charts, formulas and dropdowns. Office 2024 64-bit was detected on this laptop. Desktop Excel opening and filter interaction still require a native application check.</x:v>
      </x:c>
      <x:c r="I36" s="17" t="str">
        <x:v>Compatibility: created as a macro-free .xlsx with native tables, charts, formulas and dropdowns. Office 2024 64-bit was detected on this laptop. Desktop Excel opening and filter interaction still require a native application check.</x:v>
      </x:c>
      <x:c r="J36" s="17" t="str">
        <x:v>Compatibility: created as a macro-free .xlsx with native tables, charts, formulas and dropdowns. Office 2024 64-bit was detected on this laptop. Desktop Excel opening and filter interaction still require a native application check.</x:v>
      </x:c>
      <x:c r="K36" s="17" t="str">
        <x:v>Compatibility: created as a macro-free .xlsx with native tables, charts, formulas and dropdowns. Office 2024 64-bit was detected on this laptop. Desktop Excel opening and filter interaction still require a native application check.</x:v>
      </x:c>
      <x:c r="L36" s="17" t="str">
        <x:v>Compatibility: created as a macro-free .xlsx with native tables, charts, formulas and dropdowns. Office 2024 64-bit was detected on this laptop. Desktop Excel opening and filter interaction still require a native application check.</x:v>
      </x:c>
    </x:row>
    <x:row r="37" ht="23" customHeight="1">
      <x:c r="A37" s="2"/>
      <x:c r="B37" s="17" t="str">
        <x:v>Compatibility: created as a macro-free .xlsx with native tables, charts, formulas and dropdowns. Office 2024 64-bit was detected on this laptop. Desktop Excel opening and filter interaction still require a native application check.</x:v>
      </x:c>
      <x:c r="C37" s="17" t="str">
        <x:v>Compatibility: created as a macro-free .xlsx with native tables, charts, formulas and dropdowns. Office 2024 64-bit was detected on this laptop. Desktop Excel opening and filter interaction still require a native application check.</x:v>
      </x:c>
      <x:c r="D37" s="17" t="str">
        <x:v>Compatibility: created as a macro-free .xlsx with native tables, charts, formulas and dropdowns. Office 2024 64-bit was detected on this laptop. Desktop Excel opening and filter interaction still require a native application check.</x:v>
      </x:c>
      <x:c r="E37" s="17" t="str">
        <x:v>Compatibility: created as a macro-free .xlsx with native tables, charts, formulas and dropdowns. Office 2024 64-bit was detected on this laptop. Desktop Excel opening and filter interaction still require a native application check.</x:v>
      </x:c>
      <x:c r="F37" s="17" t="str">
        <x:v>Compatibility: created as a macro-free .xlsx with native tables, charts, formulas and dropdowns. Office 2024 64-bit was detected on this laptop. Desktop Excel opening and filter interaction still require a native application check.</x:v>
      </x:c>
      <x:c r="G37" s="17" t="str">
        <x:v>Compatibility: created as a macro-free .xlsx with native tables, charts, formulas and dropdowns. Office 2024 64-bit was detected on this laptop. Desktop Excel opening and filter interaction still require a native application check.</x:v>
      </x:c>
      <x:c r="H37" s="17" t="str">
        <x:v>Compatibility: created as a macro-free .xlsx with native tables, charts, formulas and dropdowns. Office 2024 64-bit was detected on this laptop. Desktop Excel opening and filter interaction still require a native application check.</x:v>
      </x:c>
      <x:c r="I37" s="17" t="str">
        <x:v>Compatibility: created as a macro-free .xlsx with native tables, charts, formulas and dropdowns. Office 2024 64-bit was detected on this laptop. Desktop Excel opening and filter interaction still require a native application check.</x:v>
      </x:c>
      <x:c r="J37" s="17" t="str">
        <x:v>Compatibility: created as a macro-free .xlsx with native tables, charts, formulas and dropdowns. Office 2024 64-bit was detected on this laptop. Desktop Excel opening and filter interaction still require a native application check.</x:v>
      </x:c>
      <x:c r="K37" s="17" t="str">
        <x:v>Compatibility: created as a macro-free .xlsx with native tables, charts, formulas and dropdowns. Office 2024 64-bit was detected on this laptop. Desktop Excel opening and filter interaction still require a native application check.</x:v>
      </x:c>
      <x:c r="L37" s="17" t="str">
        <x:v>Compatibility: created as a macro-free .xlsx with native tables, charts, formulas and dropdowns. Office 2024 64-bit was detected on this laptop. Desktop Excel opening and filter interaction still require a native application check.</x:v>
      </x:c>
    </x:row>
    <x:row r="38" ht="23" customHeight="1">
      <x:c r="A38" s="2"/>
      <x:c r="B38" s="17" t="str">
        <x:v>Compatibility: created as a macro-free .xlsx with native tables, charts, formulas and dropdowns. Office 2024 64-bit was detected on this laptop. Desktop Excel opening and filter interaction still require a native application check.</x:v>
      </x:c>
      <x:c r="C38" s="17" t="str">
        <x:v>Compatibility: created as a macro-free .xlsx with native tables, charts, formulas and dropdowns. Office 2024 64-bit was detected on this laptop. Desktop Excel opening and filter interaction still require a native application check.</x:v>
      </x:c>
      <x:c r="D38" s="17" t="str">
        <x:v>Compatibility: created as a macro-free .xlsx with native tables, charts, formulas and dropdowns. Office 2024 64-bit was detected on this laptop. Desktop Excel opening and filter interaction still require a native application check.</x:v>
      </x:c>
      <x:c r="E38" s="17" t="str">
        <x:v>Compatibility: created as a macro-free .xlsx with native tables, charts, formulas and dropdowns. Office 2024 64-bit was detected on this laptop. Desktop Excel opening and filter interaction still require a native application check.</x:v>
      </x:c>
      <x:c r="F38" s="17" t="str">
        <x:v>Compatibility: created as a macro-free .xlsx with native tables, charts, formulas and dropdowns. Office 2024 64-bit was detected on this laptop. Desktop Excel opening and filter interaction still require a native application check.</x:v>
      </x:c>
      <x:c r="G38" s="17" t="str">
        <x:v>Compatibility: created as a macro-free .xlsx with native tables, charts, formulas and dropdowns. Office 2024 64-bit was detected on this laptop. Desktop Excel opening and filter interaction still require a native application check.</x:v>
      </x:c>
      <x:c r="H38" s="17" t="str">
        <x:v>Compatibility: created as a macro-free .xlsx with native tables, charts, formulas and dropdowns. Office 2024 64-bit was detected on this laptop. Desktop Excel opening and filter interaction still require a native application check.</x:v>
      </x:c>
      <x:c r="I38" s="17" t="str">
        <x:v>Compatibility: created as a macro-free .xlsx with native tables, charts, formulas and dropdowns. Office 2024 64-bit was detected on this laptop. Desktop Excel opening and filter interaction still require a native application check.</x:v>
      </x:c>
      <x:c r="J38" s="17" t="str">
        <x:v>Compatibility: created as a macro-free .xlsx with native tables, charts, formulas and dropdowns. Office 2024 64-bit was detected on this laptop. Desktop Excel opening and filter interaction still require a native application check.</x:v>
      </x:c>
      <x:c r="K38" s="17" t="str">
        <x:v>Compatibility: created as a macro-free .xlsx with native tables, charts, formulas and dropdowns. Office 2024 64-bit was detected on this laptop. Desktop Excel opening and filter interaction still require a native application check.</x:v>
      </x:c>
      <x:c r="L38" s="17" t="str">
        <x:v>Compatibility: created as a macro-free .xlsx with native tables, charts, formulas and dropdowns. Office 2024 64-bit was detected on this laptop. Desktop Excel opening and filter interaction still require a native application check.</x:v>
      </x:c>
    </x:row>
    <x:row r="39" ht="23" customHeight="1">
      <x:c r="A39" s="2"/>
      <x:c r="B39" s="2"/>
      <x:c r="C39" s="2"/>
      <x:c r="D39" s="2"/>
      <x:c r="E39" s="2"/>
      <x:c r="F39" s="2"/>
      <x:c r="G39" s="2"/>
      <x:c r="H39" s="2"/>
      <x:c r="I39" s="2"/>
      <x:c r="J39" s="2"/>
      <x:c r="K39" s="2"/>
      <x:c r="L39" s="2"/>
    </x:row>
    <x:row r="40" ht="23" customHeight="1">
      <x:c r="A40" s="2"/>
      <x:c r="B40" s="17" t="str">
        <x:v>Start with the sales dashboard, then customer segments and cohort retention. Use the README walkthrough and interview explanation. Data and derived tables are CC BY 4.0; project code is MIT. Source data is historical, not current business performance.</x:v>
      </x:c>
      <x:c r="C40" s="17" t="str">
        <x:v>Start with the sales dashboard, then customer segments and cohort retention. Use the README walkthrough and interview explanation. Data and derived tables are CC BY 4.0; project code is MIT. Source data is historical, not current business performance.</x:v>
      </x:c>
      <x:c r="D40" s="17" t="str">
        <x:v>Start with the sales dashboard, then customer segments and cohort retention. Use the README walkthrough and interview explanation. Data and derived tables are CC BY 4.0; project code is MIT. Source data is historical, not current business performance.</x:v>
      </x:c>
      <x:c r="E40" s="17" t="str">
        <x:v>Start with the sales dashboard, then customer segments and cohort retention. Use the README walkthrough and interview explanation. Data and derived tables are CC BY 4.0; project code is MIT. Source data is historical, not current business performance.</x:v>
      </x:c>
      <x:c r="F40" s="17" t="str">
        <x:v>Start with the sales dashboard, then customer segments and cohort retention. Use the README walkthrough and interview explanation. Data and derived tables are CC BY 4.0; project code is MIT. Source data is historical, not current business performance.</x:v>
      </x:c>
      <x:c r="G40" s="17" t="str">
        <x:v>Start with the sales dashboard, then customer segments and cohort retention. Use the README walkthrough and interview explanation. Data and derived tables are CC BY 4.0; project code is MIT. Source data is historical, not current business performance.</x:v>
      </x:c>
      <x:c r="H40" s="17" t="str">
        <x:v>Start with the sales dashboard, then customer segments and cohort retention. Use the README walkthrough and interview explanation. Data and derived tables are CC BY 4.0; project code is MIT. Source data is historical, not current business performance.</x:v>
      </x:c>
      <x:c r="I40" s="17" t="str">
        <x:v>Start with the sales dashboard, then customer segments and cohort retention. Use the README walkthrough and interview explanation. Data and derived tables are CC BY 4.0; project code is MIT. Source data is historical, not current business performance.</x:v>
      </x:c>
      <x:c r="J40" s="17" t="str">
        <x:v>Start with the sales dashboard, then customer segments and cohort retention. Use the README walkthrough and interview explanation. Data and derived tables are CC BY 4.0; project code is MIT. Source data is historical, not current business performance.</x:v>
      </x:c>
      <x:c r="K40" s="17" t="str">
        <x:v>Start with the sales dashboard, then customer segments and cohort retention. Use the README walkthrough and interview explanation. Data and derived tables are CC BY 4.0; project code is MIT. Source data is historical, not current business performance.</x:v>
      </x:c>
      <x:c r="L40" s="17" t="str">
        <x:v>Start with the sales dashboard, then customer segments and cohort retention. Use the README walkthrough and interview explanation. Data and derived tables are CC BY 4.0; project code is MIT. Source data is historical, not current business performance.</x:v>
      </x:c>
    </x:row>
    <x:row r="41" ht="23" customHeight="1">
      <x:c r="A41" s="2"/>
      <x:c r="B41" s="17" t="str">
        <x:v>Start with the sales dashboard, then customer segments and cohort retention. Use the README walkthrough and interview explanation. Data and derived tables are CC BY 4.0; project code is MIT. Source data is historical, not current business performance.</x:v>
      </x:c>
      <x:c r="C41" s="17" t="str">
        <x:v>Start with the sales dashboard, then customer segments and cohort retention. Use the README walkthrough and interview explanation. Data and derived tables are CC BY 4.0; project code is MIT. Source data is historical, not current business performance.</x:v>
      </x:c>
      <x:c r="D41" s="17" t="str">
        <x:v>Start with the sales dashboard, then customer segments and cohort retention. Use the README walkthrough and interview explanation. Data and derived tables are CC BY 4.0; project code is MIT. Source data is historical, not current business performance.</x:v>
      </x:c>
      <x:c r="E41" s="17" t="str">
        <x:v>Start with the sales dashboard, then customer segments and cohort retention. Use the README walkthrough and interview explanation. Data and derived tables are CC BY 4.0; project code is MIT. Source data is historical, not current business performance.</x:v>
      </x:c>
      <x:c r="F41" s="17" t="str">
        <x:v>Start with the sales dashboard, then customer segments and cohort retention. Use the README walkthrough and interview explanation. Data and derived tables are CC BY 4.0; project code is MIT. Source data is historical, not current business performance.</x:v>
      </x:c>
      <x:c r="G41" s="17" t="str">
        <x:v>Start with the sales dashboard, then customer segments and cohort retention. Use the README walkthrough and interview explanation. Data and derived tables are CC BY 4.0; project code is MIT. Source data is historical, not current business performance.</x:v>
      </x:c>
      <x:c r="H41" s="17" t="str">
        <x:v>Start with the sales dashboard, then customer segments and cohort retention. Use the README walkthrough and interview explanation. Data and derived tables are CC BY 4.0; project code is MIT. Source data is historical, not current business performance.</x:v>
      </x:c>
      <x:c r="I41" s="17" t="str">
        <x:v>Start with the sales dashboard, then customer segments and cohort retention. Use the README walkthrough and interview explanation. Data and derived tables are CC BY 4.0; project code is MIT. Source data is historical, not current business performance.</x:v>
      </x:c>
      <x:c r="J41" s="17" t="str">
        <x:v>Start with the sales dashboard, then customer segments and cohort retention. Use the README walkthrough and interview explanation. Data and derived tables are CC BY 4.0; project code is MIT. Source data is historical, not current business performance.</x:v>
      </x:c>
      <x:c r="K41" s="17" t="str">
        <x:v>Start with the sales dashboard, then customer segments and cohort retention. Use the README walkthrough and interview explanation. Data and derived tables are CC BY 4.0; project code is MIT. Source data is historical, not current business performance.</x:v>
      </x:c>
      <x:c r="L41" s="17" t="str">
        <x:v>Start with the sales dashboard, then customer segments and cohort retention. Use the README walkthrough and interview explanation. Data and derived tables are CC BY 4.0; project code is MIT. Source data is historical, not current business performance.</x:v>
      </x:c>
    </x:row>
    <x:row r="42" ht="23" customHeight="1">
      <x:c r="A42" s="2"/>
      <x:c r="B42" s="17" t="str">
        <x:v>Start with the sales dashboard, then customer segments and cohort retention. Use the README walkthrough and interview explanation. Data and derived tables are CC BY 4.0; project code is MIT. Source data is historical, not current business performance.</x:v>
      </x:c>
      <x:c r="C42" s="17" t="str">
        <x:v>Start with the sales dashboard, then customer segments and cohort retention. Use the README walkthrough and interview explanation. Data and derived tables are CC BY 4.0; project code is MIT. Source data is historical, not current business performance.</x:v>
      </x:c>
      <x:c r="D42" s="17" t="str">
        <x:v>Start with the sales dashboard, then customer segments and cohort retention. Use the README walkthrough and interview explanation. Data and derived tables are CC BY 4.0; project code is MIT. Source data is historical, not current business performance.</x:v>
      </x:c>
      <x:c r="E42" s="17" t="str">
        <x:v>Start with the sales dashboard, then customer segments and cohort retention. Use the README walkthrough and interview explanation. Data and derived tables are CC BY 4.0; project code is MIT. Source data is historical, not current business performance.</x:v>
      </x:c>
      <x:c r="F42" s="17" t="str">
        <x:v>Start with the sales dashboard, then customer segments and cohort retention. Use the README walkthrough and interview explanation. Data and derived tables are CC BY 4.0; project code is MIT. Source data is historical, not current business performance.</x:v>
      </x:c>
      <x:c r="G42" s="17" t="str">
        <x:v>Start with the sales dashboard, then customer segments and cohort retention. Use the README walkthrough and interview explanation. Data and derived tables are CC BY 4.0; project code is MIT. Source data is historical, not current business performance.</x:v>
      </x:c>
      <x:c r="H42" s="17" t="str">
        <x:v>Start with the sales dashboard, then customer segments and cohort retention. Use the README walkthrough and interview explanation. Data and derived tables are CC BY 4.0; project code is MIT. Source data is historical, not current business performance.</x:v>
      </x:c>
      <x:c r="I42" s="17" t="str">
        <x:v>Start with the sales dashboard, then customer segments and cohort retention. Use the README walkthrough and interview explanation. Data and derived tables are CC BY 4.0; project code is MIT. Source data is historical, not current business performance.</x:v>
      </x:c>
      <x:c r="J42" s="17" t="str">
        <x:v>Start with the sales dashboard, then customer segments and cohort retention. Use the README walkthrough and interview explanation. Data and derived tables are CC BY 4.0; project code is MIT. Source data is historical, not current business performance.</x:v>
      </x:c>
      <x:c r="K42" s="17" t="str">
        <x:v>Start with the sales dashboard, then customer segments and cohort retention. Use the README walkthrough and interview explanation. Data and derived tables are CC BY 4.0; project code is MIT. Source data is historical, not current business performance.</x:v>
      </x:c>
      <x:c r="L42" s="17" t="str">
        <x:v>Start with the sales dashboard, then customer segments and cohort retention. Use the README walkthrough and interview explanation. Data and derived tables are CC BY 4.0; project code is MIT. Source data is historical, not current business performance.</x:v>
      </x:c>
    </x:row>
    <x:row r="43" ht="23" customHeight="1">
      <x:c r="A43" s="2"/>
      <x:c r="B43" s="17" t="str">
        <x:v>Start with the sales dashboard, then customer segments and cohort retention. Use the README walkthrough and interview explanation. Data and derived tables are CC BY 4.0; project code is MIT. Source data is historical, not current business performance.</x:v>
      </x:c>
      <x:c r="C43" s="17" t="str">
        <x:v>Start with the sales dashboard, then customer segments and cohort retention. Use the README walkthrough and interview explanation. Data and derived tables are CC BY 4.0; project code is MIT. Source data is historical, not current business performance.</x:v>
      </x:c>
      <x:c r="D43" s="17" t="str">
        <x:v>Start with the sales dashboard, then customer segments and cohort retention. Use the README walkthrough and interview explanation. Data and derived tables are CC BY 4.0; project code is MIT. Source data is historical, not current business performance.</x:v>
      </x:c>
      <x:c r="E43" s="17" t="str">
        <x:v>Start with the sales dashboard, then customer segments and cohort retention. Use the README walkthrough and interview explanation. Data and derived tables are CC BY 4.0; project code is MIT. Source data is historical, not current business performance.</x:v>
      </x:c>
      <x:c r="F43" s="17" t="str">
        <x:v>Start with the sales dashboard, then customer segments and cohort retention. Use the README walkthrough and interview explanation. Data and derived tables are CC BY 4.0; project code is MIT. Source data is historical, not current business performance.</x:v>
      </x:c>
      <x:c r="G43" s="17" t="str">
        <x:v>Start with the sales dashboard, then customer segments and cohort retention. Use the README walkthrough and interview explanation. Data and derived tables are CC BY 4.0; project code is MIT. Source data is historical, not current business performance.</x:v>
      </x:c>
      <x:c r="H43" s="17" t="str">
        <x:v>Start with the sales dashboard, then customer segments and cohort retention. Use the README walkthrough and interview explanation. Data and derived tables are CC BY 4.0; project code is MIT. Source data is historical, not current business performance.</x:v>
      </x:c>
      <x:c r="I43" s="17" t="str">
        <x:v>Start with the sales dashboard, then customer segments and cohort retention. Use the README walkthrough and interview explanation. Data and derived tables are CC BY 4.0; project code is MIT. Source data is historical, not current business performance.</x:v>
      </x:c>
      <x:c r="J43" s="17" t="str">
        <x:v>Start with the sales dashboard, then customer segments and cohort retention. Use the README walkthrough and interview explanation. Data and derived tables are CC BY 4.0; project code is MIT. Source data is historical, not current business performance.</x:v>
      </x:c>
      <x:c r="K43" s="17" t="str">
        <x:v>Start with the sales dashboard, then customer segments and cohort retention. Use the README walkthrough and interview explanation. Data and derived tables are CC BY 4.0; project code is MIT. Source data is historical, not current business performance.</x:v>
      </x:c>
      <x:c r="L43" s="17" t="str">
        <x:v>Start with the sales dashboard, then customer segments and cohort retention. Use the README walkthrough and interview explanation. Data and derived tables are CC BY 4.0; project code is MIT. Source data is historical, not current business performance.</x:v>
      </x:c>
    </x:row>
    <x:row r="44" ht="23" customHeight="1">
      <x:c r="A44" s="2"/>
      <x:c r="B44" s="17" t="str">
        <x:v>Start with the sales dashboard, then customer segments and cohort retention. Use the README walkthrough and interview explanation. Data and derived tables are CC BY 4.0; project code is MIT. Source data is historical, not current business performance.</x:v>
      </x:c>
      <x:c r="C44" s="17" t="str">
        <x:v>Start with the sales dashboard, then customer segments and cohort retention. Use the README walkthrough and interview explanation. Data and derived tables are CC BY 4.0; project code is MIT. Source data is historical, not current business performance.</x:v>
      </x:c>
      <x:c r="D44" s="17" t="str">
        <x:v>Start with the sales dashboard, then customer segments and cohort retention. Use the README walkthrough and interview explanation. Data and derived tables are CC BY 4.0; project code is MIT. Source data is historical, not current business performance.</x:v>
      </x:c>
      <x:c r="E44" s="17" t="str">
        <x:v>Start with the sales dashboard, then customer segments and cohort retention. Use the README walkthrough and interview explanation. Data and derived tables are CC BY 4.0; project code is MIT. Source data is historical, not current business performance.</x:v>
      </x:c>
      <x:c r="F44" s="17" t="str">
        <x:v>Start with the sales dashboard, then customer segments and cohort retention. Use the README walkthrough and interview explanation. Data and derived tables are CC BY 4.0; project code is MIT. Source data is historical, not current business performance.</x:v>
      </x:c>
      <x:c r="G44" s="17" t="str">
        <x:v>Start with the sales dashboard, then customer segments and cohort retention. Use the README walkthrough and interview explanation. Data and derived tables are CC BY 4.0; project code is MIT. Source data is historical, not current business performance.</x:v>
      </x:c>
      <x:c r="H44" s="17" t="str">
        <x:v>Start with the sales dashboard, then customer segments and cohort retention. Use the README walkthrough and interview explanation. Data and derived tables are CC BY 4.0; project code is MIT. Source data is historical, not current business performance.</x:v>
      </x:c>
      <x:c r="I44" s="17" t="str">
        <x:v>Start with the sales dashboard, then customer segments and cohort retention. Use the README walkthrough and interview explanation. Data and derived tables are CC BY 4.0; project code is MIT. Source data is historical, not current business performance.</x:v>
      </x:c>
      <x:c r="J44" s="17" t="str">
        <x:v>Start with the sales dashboard, then customer segments and cohort retention. Use the README walkthrough and interview explanation. Data and derived tables are CC BY 4.0; project code is MIT. Source data is historical, not current business performance.</x:v>
      </x:c>
      <x:c r="K44" s="17" t="str">
        <x:v>Start with the sales dashboard, then customer segments and cohort retention. Use the README walkthrough and interview explanation. Data and derived tables are CC BY 4.0; project code is MIT. Source data is historical, not current business performance.</x:v>
      </x:c>
      <x:c r="L44" s="17" t="str">
        <x:v>Start with the sales dashboard, then customer segments and cohort retention. Use the README walkthrough and interview explanation. Data and derived tables are CC BY 4.0; project code is MIT. Source data is historical, not current business performance.</x:v>
      </x:c>
    </x:row>
    <x:row r="45" ht="23" customHeight="1">
      <x:c r="A45" s="2"/>
      <x:c r="B45" s="2"/>
      <x:c r="C45" s="2"/>
      <x:c r="D45" s="2"/>
      <x:c r="E45" s="2"/>
      <x:c r="F45" s="2"/>
      <x:c r="G45" s="2"/>
      <x:c r="H45" s="2"/>
      <x:c r="I45" s="2"/>
      <x:c r="J45" s="2"/>
      <x:c r="K45" s="2"/>
      <x:c r="L45" s="2"/>
    </x:row>
    <x:row r="46" ht="23" customHeight="1">
      <x:c r="A46" s="2"/>
      <x:c r="B46" s="2"/>
      <x:c r="C46" s="2"/>
      <x:c r="D46" s="2"/>
      <x:c r="E46" s="2"/>
      <x:c r="F46" s="2"/>
      <x:c r="G46" s="2"/>
      <x:c r="H46" s="2"/>
      <x:c r="I46" s="2"/>
      <x:c r="J46" s="2"/>
      <x:c r="K46" s="2"/>
      <x:c r="L46" s="2"/>
    </x:row>
    <x:row r="47" ht="23" customHeight="1">
      <x:c r="A47" s="2"/>
      <x:c r="B47" s="2"/>
      <x:c r="C47" s="2"/>
      <x:c r="D47" s="2"/>
      <x:c r="E47" s="2"/>
      <x:c r="F47" s="2"/>
      <x:c r="G47" s="2"/>
      <x:c r="H47" s="2"/>
      <x:c r="I47" s="2"/>
      <x:c r="J47" s="2"/>
      <x:c r="K47" s="2"/>
      <x:c r="L47" s="2"/>
    </x:row>
  </x:sheetData>
  <x:mergeCells>
    <x:mergeCell ref="B2:L3"/>
    <x:mergeCell ref="B4:L4"/>
    <x:mergeCell ref="B6:L9"/>
    <x:mergeCell ref="E12:L13"/>
    <x:mergeCell ref="E14:L15"/>
    <x:mergeCell ref="E16:L17"/>
    <x:mergeCell ref="E18:L19"/>
    <x:mergeCell ref="E20:L21"/>
    <x:mergeCell ref="E22:L23"/>
    <x:mergeCell ref="E24:L25"/>
    <x:mergeCell ref="E26:L27"/>
    <x:mergeCell ref="B10:L10"/>
    <x:mergeCell ref="B30:L33"/>
    <x:mergeCell ref="B35:L38"/>
    <x:mergeCell ref="B40:L44"/>
  </x:mergeCells>
  <x:pageMargins left="0.7" right="0.7" top="0.75" bottom="0.75" header="0.3" footer="0.3"/>
</x:worksheet>
</file>

<file path=xl/worksheets/sheet2.xml><?xml version="1.0" encoding="utf-8"?>
<x:worksheet xmlns:x="http://schemas.openxmlformats.org/spreadsheetml/2006/main">
  <x:sheetPr>
    <x:tabColor rgb="FF20364D"/>
  </x:sheetPr>
  <x:sheetViews>
    <x:sheetView showGridLines="0" workbookViewId="0"/>
  </x:sheetViews>
  <x:sheetFormatPr defaultRowHeight="15"/>
  <x:cols>
    <x:col min="1" max="1" width="3" hidden="0" customWidth="1"/>
    <x:col min="2" max="2" width="13" hidden="0" customWidth="1"/>
    <x:col min="3" max="3" width="16" hidden="0" customWidth="1"/>
    <x:col min="4" max="4" width="16" hidden="0" customWidth="1"/>
    <x:col min="5" max="5" width="16" hidden="0" customWidth="1"/>
    <x:col min="6" max="6" width="16" hidden="0" customWidth="1"/>
    <x:col min="7" max="7" width="16" hidden="0" customWidth="1"/>
    <x:col min="8" max="8" width="22" hidden="0" customWidth="1"/>
    <x:col min="9" max="9" width="13" hidden="0" customWidth="1"/>
    <x:col min="10" max="10" width="13" hidden="0" customWidth="1"/>
    <x:col min="11" max="11" width="13" hidden="0" customWidth="1"/>
    <x:col min="12" max="12" width="13" hidden="0" customWidth="1"/>
  </x:cols>
  <x:sheetData>
    <x:row r="1" ht="23" customHeight="1">
      <x:c r="A1" s="2"/>
      <x:c r="B1" s="2"/>
      <x:c r="C1" s="2"/>
      <x:c r="D1" s="2"/>
      <x:c r="E1" s="2"/>
      <x:c r="F1" s="2"/>
      <x:c r="G1" s="2"/>
      <x:c r="H1" s="2"/>
      <x:c r="I1" s="2"/>
      <x:c r="J1" s="2"/>
      <x:c r="K1" s="2"/>
      <x:c r="L1" s="2"/>
    </x:row>
    <x:row r="2" ht="23" customHeight="1">
      <x:c r="A2" s="2"/>
      <x:c r="B2" s="4" t="str">
        <x:v>Retail sales overview</x:v>
      </x:c>
      <x:c r="C2" s="4" t="str">
        <x:v>Retail sales overview</x:v>
      </x:c>
      <x:c r="D2" s="4" t="str">
        <x:v>Retail sales overview</x:v>
      </x:c>
      <x:c r="E2" s="4" t="str">
        <x:v>Retail sales overview</x:v>
      </x:c>
      <x:c r="F2" s="4" t="str">
        <x:v>Retail sales overview</x:v>
      </x:c>
      <x:c r="G2" s="4" t="str">
        <x:v>Retail sales overview</x:v>
      </x:c>
      <x:c r="H2" s="4" t="str">
        <x:v>Retail sales overview</x:v>
      </x:c>
      <x:c r="I2" s="4" t="str">
        <x:v>Retail sales overview</x:v>
      </x:c>
      <x:c r="J2" s="4" t="str">
        <x:v>Retail sales overview</x:v>
      </x:c>
      <x:c r="K2" s="4" t="str">
        <x:v>Retail sales overview</x:v>
      </x:c>
      <x:c r="L2" s="4" t="str">
        <x:v>Retail sales overview</x:v>
      </x:c>
    </x:row>
    <x:row r="3" ht="23" customHeight="1">
      <x:c r="A3" s="2"/>
      <x:c r="B3" s="5" t="str">
        <x:v>Retail sales overview</x:v>
      </x:c>
      <x:c r="C3" s="5" t="str">
        <x:v>Retail sales overview</x:v>
      </x:c>
      <x:c r="D3" s="5" t="str">
        <x:v>Retail sales overview</x:v>
      </x:c>
      <x:c r="E3" s="5" t="str">
        <x:v>Retail sales overview</x:v>
      </x:c>
      <x:c r="F3" s="5" t="str">
        <x:v>Retail sales overview</x:v>
      </x:c>
      <x:c r="G3" s="5" t="str">
        <x:v>Retail sales overview</x:v>
      </x:c>
      <x:c r="H3" s="5" t="str">
        <x:v>Retail sales overview</x:v>
      </x:c>
      <x:c r="I3" s="5" t="str">
        <x:v>Retail sales overview</x:v>
      </x:c>
      <x:c r="J3" s="5" t="str">
        <x:v>Retail sales overview</x:v>
      </x:c>
      <x:c r="K3" s="5" t="str">
        <x:v>Retail sales overview</x:v>
      </x:c>
      <x:c r="L3" s="5" t="str">
        <x:v>Retail sales overview</x:v>
      </x:c>
    </x:row>
    <x:row r="4" ht="23" customHeight="1">
      <x:c r="A4" s="2"/>
      <x:c r="B4" s="7" t="str">
        <x:v>Historical UK online retailer. December 2009–December 2011; GBP.</x:v>
      </x:c>
      <x:c r="C4" s="7" t="str">
        <x:v>Historical UK online retailer. December 2009–December 2011; GBP.</x:v>
      </x:c>
      <x:c r="D4" s="7" t="str">
        <x:v>Historical UK online retailer. December 2009–December 2011; GBP.</x:v>
      </x:c>
      <x:c r="E4" s="7" t="str">
        <x:v>Historical UK online retailer. December 2009–December 2011; GBP.</x:v>
      </x:c>
      <x:c r="F4" s="7" t="str">
        <x:v>Historical UK online retailer. December 2009–December 2011; GBP.</x:v>
      </x:c>
      <x:c r="G4" s="7" t="str">
        <x:v>Historical UK online retailer. December 2009–December 2011; GBP.</x:v>
      </x:c>
      <x:c r="H4" s="7" t="str">
        <x:v>Historical UK online retailer. December 2009–December 2011; GBP.</x:v>
      </x:c>
      <x:c r="I4" s="7" t="str">
        <x:v>Historical UK online retailer. December 2009–December 2011; GBP.</x:v>
      </x:c>
      <x:c r="J4" s="7" t="str">
        <x:v>Historical UK online retailer. December 2009–December 2011; GBP.</x:v>
      </x:c>
      <x:c r="K4" s="7" t="str">
        <x:v>Historical UK online retailer. December 2009–December 2011; GBP.</x:v>
      </x:c>
      <x:c r="L4" s="7" t="str">
        <x:v>Historical UK online retailer. December 2009–December 2011; GBP.</x:v>
      </x:c>
    </x:row>
    <x:row r="5" ht="23" customHeight="1">
      <x:c r="A5" s="2"/>
      <x:c r="B5" s="2"/>
      <x:c r="C5" s="2"/>
      <x:c r="D5" s="2"/>
      <x:c r="E5" s="2"/>
      <x:c r="F5" s="2"/>
      <x:c r="G5" s="2"/>
      <x:c r="H5" s="2"/>
      <x:c r="I5" s="2"/>
      <x:c r="J5" s="2"/>
      <x:c r="K5" s="2"/>
      <x:c r="L5" s="2"/>
    </x:row>
    <x:row r="6" ht="23" customHeight="1">
      <x:c r="A6" s="2"/>
      <x:c r="B6" s="2" t="str">
        <x:v>Start month</x:v>
      </x:c>
      <x:c r="C6" s="2"/>
      <x:c r="D6" s="2"/>
      <x:c r="E6" s="2" t="str">
        <x:v>End month</x:v>
      </x:c>
      <x:c r="F6" s="2"/>
      <x:c r="G6" s="2"/>
      <x:c r="H6" s="2" t="str">
        <x:v>Country</x:v>
      </x:c>
      <x:c r="I6" s="2"/>
      <x:c r="J6" s="2"/>
      <x:c r="K6" s="2"/>
      <x:c r="L6" s="2"/>
    </x:row>
    <x:row r="7" ht="23" customHeight="1">
      <x:c r="A7" s="2"/>
      <x:c r="B7" s="18" t="str">
        <x:v>2009-12</x:v>
      </x:c>
      <x:c r="C7" s="2"/>
      <x:c r="D7" s="2"/>
      <x:c r="E7" s="18" t="str">
        <x:v>2011-12</x:v>
      </x:c>
      <x:c r="F7" s="2"/>
      <x:c r="G7" s="2"/>
      <x:c r="H7" s="19" t="str">
        <x:v>All countries</x:v>
      </x:c>
      <x:c r="I7" s="19" t="str">
        <x:v>All countries</x:v>
      </x:c>
      <x:c r="J7" s="19" t="str">
        <x:v>All countries</x:v>
      </x:c>
      <x:c r="K7" s="19" t="str">
        <x:v>All countries</x:v>
      </x:c>
      <x:c r="L7" s="19" t="str">
        <x:v>All countries</x:v>
      </x:c>
    </x:row>
    <x:row r="8" ht="23" customHeight="1">
      <x:c r="A8" s="2"/>
      <x:c r="B8" s="2"/>
      <x:c r="C8" s="2"/>
      <x:c r="D8" s="2"/>
      <x:c r="E8" s="2"/>
      <x:c r="F8" s="2"/>
      <x:c r="G8" s="2"/>
      <x:c r="H8" s="2"/>
      <x:c r="I8" s="2"/>
      <x:c r="J8" s="2"/>
      <x:c r="K8" s="2"/>
      <x:c r="L8" s="2"/>
    </x:row>
    <x:row r="9" ht="23" customHeight="1">
      <x:c r="A9" s="2"/>
      <x:c r="B9" s="7" t="str">
        <x:v>Gross sales</x:v>
      </x:c>
      <x:c r="C9" s="7" t="str">
        <x:v>Gross sales</x:v>
      </x:c>
      <x:c r="D9" s="7" t="str">
        <x:v>Gross sales</x:v>
      </x:c>
      <x:c r="E9" s="2"/>
      <x:c r="F9" s="7" t="str">
        <x:v>Returns / adjustments</x:v>
      </x:c>
      <x:c r="G9" s="7" t="str">
        <x:v>Returns / adjustments</x:v>
      </x:c>
      <x:c r="H9" s="7" t="str">
        <x:v>Returns / adjustments</x:v>
      </x:c>
      <x:c r="I9" s="2"/>
      <x:c r="J9" s="7" t="str">
        <x:v>Net sales</x:v>
      </x:c>
      <x:c r="K9" s="7" t="str">
        <x:v>Net sales</x:v>
      </x:c>
      <x:c r="L9" s="7" t="str">
        <x:v>Net sales</x:v>
      </x:c>
    </x:row>
    <x:row r="10" ht="23" customHeight="1">
      <x:c r="A10" s="2"/>
      <x:c r="B10" s="20" t="n">
        <x:f>SUM(C38:C62)</x:f>
        <x:v>20533741.918000005</x:v>
      </x:c>
      <x:c r="C10" s="2"/>
      <x:c r="D10" s="2"/>
      <x:c r="E10" s="2"/>
      <x:c r="F10" s="20" t="n">
        <x:f>SUM(D38:D62)</x:f>
        <x:v>1466050.8000000003</x:v>
      </x:c>
      <x:c r="G10" s="2"/>
      <x:c r="H10" s="2"/>
      <x:c r="I10" s="2"/>
      <x:c r="J10" s="20" t="n">
        <x:f>B10-F10</x:f>
        <x:v>19067691.118000004</x:v>
      </x:c>
      <x:c r="K10" s="2"/>
      <x:c r="L10" s="2"/>
    </x:row>
    <x:row r="11" ht="23" customHeight="1">
      <x:c r="A11" s="2"/>
      <x:c r="B11" s="2"/>
      <x:c r="C11" s="2"/>
      <x:c r="D11" s="2"/>
      <x:c r="E11" s="2"/>
      <x:c r="F11" s="2"/>
      <x:c r="G11" s="2"/>
      <x:c r="H11" s="2"/>
      <x:c r="I11" s="2"/>
      <x:c r="J11" s="2"/>
      <x:c r="K11" s="2"/>
      <x:c r="L11" s="2"/>
    </x:row>
    <x:row r="12" ht="23" customHeight="1">
      <x:c r="A12" s="2"/>
      <x:c r="B12" s="2"/>
      <x:c r="C12" s="2"/>
      <x:c r="D12" s="2"/>
      <x:c r="E12" s="2"/>
      <x:c r="F12" s="2"/>
      <x:c r="G12" s="2"/>
      <x:c r="H12" s="2"/>
      <x:c r="I12" s="2"/>
      <x:c r="J12" s="2"/>
      <x:c r="K12" s="2"/>
      <x:c r="L12" s="2"/>
    </x:row>
    <x:row r="13" ht="23" customHeight="1">
      <x:c r="A13" s="2"/>
      <x:c r="B13" s="7" t="str">
        <x:v>Distinct purchase orders</x:v>
      </x:c>
      <x:c r="C13" s="7" t="str">
        <x:v>Distinct purchase orders</x:v>
      </x:c>
      <x:c r="D13" s="7" t="str">
        <x:v>Distinct purchase orders</x:v>
      </x:c>
      <x:c r="E13" s="2"/>
      <x:c r="F13" s="7" t="str">
        <x:v>Gross average order value</x:v>
      </x:c>
      <x:c r="G13" s="7" t="str">
        <x:v>Gross average order value</x:v>
      </x:c>
      <x:c r="H13" s="7" t="str">
        <x:v>Gross average order value</x:v>
      </x:c>
      <x:c r="I13" s="2"/>
      <x:c r="J13" s="7" t="str">
        <x:v>Return value / gross sales</x:v>
      </x:c>
      <x:c r="K13" s="7" t="str">
        <x:v>Return value / gross sales</x:v>
      </x:c>
      <x:c r="L13" s="7" t="str">
        <x:v>Return value / gross sales</x:v>
      </x:c>
    </x:row>
    <x:row r="14" ht="23" customHeight="1">
      <x:c r="A14" s="2"/>
      <x:c r="B14" s="22" t="n">
        <x:f>SUM(F38:F62)</x:f>
        <x:v>40077</x:v>
      </x:c>
      <x:c r="C14" s="2"/>
      <x:c r="D14" s="2"/>
      <x:c r="E14" s="2"/>
      <x:c r="F14" s="20" t="n">
        <x:f>IF(B14=0,0,B10/B14)</x:f>
        <x:v>512.3572602240688</x:v>
      </x:c>
      <x:c r="G14" s="2"/>
      <x:c r="H14" s="2"/>
      <x:c r="I14" s="2"/>
      <x:c r="J14" s="24" t="n">
        <x:f>IF(B10=0,0,F10/B10)</x:f>
        <x:v>0.07139715721832712</x:v>
      </x:c>
      <x:c r="K14" s="2"/>
      <x:c r="L14" s="2"/>
    </x:row>
    <x:row r="15" ht="23" customHeight="1">
      <x:c r="A15" s="2"/>
      <x:c r="B15" s="2"/>
      <x:c r="C15" s="2"/>
      <x:c r="D15" s="2"/>
      <x:c r="E15" s="2"/>
      <x:c r="F15" s="2"/>
      <x:c r="G15" s="2"/>
      <x:c r="H15" s="2"/>
      <x:c r="I15" s="2"/>
      <x:c r="J15" s="2"/>
      <x:c r="K15" s="2"/>
      <x:c r="L15" s="2"/>
    </x:row>
    <x:row r="16" ht="23" customHeight="1">
      <x:c r="A16" s="2"/>
      <x:c r="B16" s="15" t="str">
        <x:v>Amber cells filter this dashboard and its chart only. AOV = positive purchase revenue ÷ distinct purchase invoices. Returns are shown separately; December 2011 ends on 9 December.</x:v>
      </x:c>
      <x:c r="C16" s="15" t="str">
        <x:v>Amber cells filter this dashboard and its chart only. AOV = positive purchase revenue ÷ distinct purchase invoices. Returns are shown separately; December 2011 ends on 9 December.</x:v>
      </x:c>
      <x:c r="D16" s="15" t="str">
        <x:v>Amber cells filter this dashboard and its chart only. AOV = positive purchase revenue ÷ distinct purchase invoices. Returns are shown separately; December 2011 ends on 9 December.</x:v>
      </x:c>
      <x:c r="E16" s="15" t="str">
        <x:v>Amber cells filter this dashboard and its chart only. AOV = positive purchase revenue ÷ distinct purchase invoices. Returns are shown separately; December 2011 ends on 9 December.</x:v>
      </x:c>
      <x:c r="F16" s="15" t="str">
        <x:v>Amber cells filter this dashboard and its chart only. AOV = positive purchase revenue ÷ distinct purchase invoices. Returns are shown separately; December 2011 ends on 9 December.</x:v>
      </x:c>
      <x:c r="G16" s="15" t="str">
        <x:v>Amber cells filter this dashboard and its chart only. AOV = positive purchase revenue ÷ distinct purchase invoices. Returns are shown separately; December 2011 ends on 9 December.</x:v>
      </x:c>
      <x:c r="H16" s="15" t="str">
        <x:v>Amber cells filter this dashboard and its chart only. AOV = positive purchase revenue ÷ distinct purchase invoices. Returns are shown separately; December 2011 ends on 9 December.</x:v>
      </x:c>
      <x:c r="I16" s="15" t="str">
        <x:v>Amber cells filter this dashboard and its chart only. AOV = positive purchase revenue ÷ distinct purchase invoices. Returns are shown separately; December 2011 ends on 9 December.</x:v>
      </x:c>
      <x:c r="J16" s="15" t="str">
        <x:v>Amber cells filter this dashboard and its chart only. AOV = positive purchase revenue ÷ distinct purchase invoices. Returns are shown separately; December 2011 ends on 9 December.</x:v>
      </x:c>
      <x:c r="K16" s="15" t="str">
        <x:v>Amber cells filter this dashboard and its chart only. AOV = positive purchase revenue ÷ distinct purchase invoices. Returns are shown separately; December 2011 ends on 9 December.</x:v>
      </x:c>
      <x:c r="L16" s="15" t="str">
        <x:v>Amber cells filter this dashboard and its chart only. AOV = positive purchase revenue ÷ distinct purchase invoices. Returns are shown separately; December 2011 ends on 9 December.</x:v>
      </x:c>
    </x:row>
    <x:row r="17" ht="23" customHeight="1">
      <x:c r="A17" s="2"/>
      <x:c r="B17" s="15" t="str">
        <x:v>Amber cells filter this dashboard and its chart only. AOV = positive purchase revenue ÷ distinct purchase invoices. Returns are shown separately; December 2011 ends on 9 December.</x:v>
      </x:c>
      <x:c r="C17" s="15" t="str">
        <x:v>Amber cells filter this dashboard and its chart only. AOV = positive purchase revenue ÷ distinct purchase invoices. Returns are shown separately; December 2011 ends on 9 December.</x:v>
      </x:c>
      <x:c r="D17" s="15" t="str">
        <x:v>Amber cells filter this dashboard and its chart only. AOV = positive purchase revenue ÷ distinct purchase invoices. Returns are shown separately; December 2011 ends on 9 December.</x:v>
      </x:c>
      <x:c r="E17" s="15" t="str">
        <x:v>Amber cells filter this dashboard and its chart only. AOV = positive purchase revenue ÷ distinct purchase invoices. Returns are shown separately; December 2011 ends on 9 December.</x:v>
      </x:c>
      <x:c r="F17" s="15" t="str">
        <x:v>Amber cells filter this dashboard and its chart only. AOV = positive purchase revenue ÷ distinct purchase invoices. Returns are shown separately; December 2011 ends on 9 December.</x:v>
      </x:c>
      <x:c r="G17" s="15" t="str">
        <x:v>Amber cells filter this dashboard and its chart only. AOV = positive purchase revenue ÷ distinct purchase invoices. Returns are shown separately; December 2011 ends on 9 December.</x:v>
      </x:c>
      <x:c r="H17" s="15" t="str">
        <x:v>Amber cells filter this dashboard and its chart only. AOV = positive purchase revenue ÷ distinct purchase invoices. Returns are shown separately; December 2011 ends on 9 December.</x:v>
      </x:c>
      <x:c r="I17" s="15" t="str">
        <x:v>Amber cells filter this dashboard and its chart only. AOV = positive purchase revenue ÷ distinct purchase invoices. Returns are shown separately; December 2011 ends on 9 December.</x:v>
      </x:c>
      <x:c r="J17" s="15" t="str">
        <x:v>Amber cells filter this dashboard and its chart only. AOV = positive purchase revenue ÷ distinct purchase invoices. Returns are shown separately; December 2011 ends on 9 December.</x:v>
      </x:c>
      <x:c r="K17" s="15" t="str">
        <x:v>Amber cells filter this dashboard and its chart only. AOV = positive purchase revenue ÷ distinct purchase invoices. Returns are shown separately; December 2011 ends on 9 December.</x:v>
      </x:c>
      <x:c r="L17" s="15" t="str">
        <x:v>Amber cells filter this dashboard and its chart only. AOV = positive purchase revenue ÷ distinct purchase invoices. Returns are shown separately; December 2011 ends on 9 December.</x:v>
      </x:c>
    </x:row>
    <x:row r="18" ht="23" customHeight="1">
      <x:c r="A18" s="2"/>
      <x:c r="B18" s="2" t="str">
        <x:f>IF(B7&gt;E7,"Invalid range: start month is after end month","Monthly net sales for the selected scope")</x:f>
        <x:v>Monthly net sales for the selected scope</x:v>
      </x:c>
      <x:c r="C18" s="2"/>
      <x:c r="D18" s="2"/>
      <x:c r="E18" s="2"/>
      <x:c r="F18" s="2"/>
      <x:c r="G18" s="2"/>
      <x:c r="H18" s="2"/>
      <x:c r="I18" s="2"/>
      <x:c r="J18" s="2"/>
      <x:c r="K18" s="2"/>
      <x:c r="L18" s="2"/>
    </x:row>
    <x:row r="19" ht="23" customHeight="1">
      <x:c r="A19" s="2"/>
      <x:c r="B19" s="2"/>
      <x:c r="C19" s="2"/>
      <x:c r="D19" s="2"/>
      <x:c r="E19" s="2"/>
      <x:c r="F19" s="2"/>
      <x:c r="G19" s="2"/>
      <x:c r="H19" s="2"/>
      <x:c r="I19" s="2"/>
      <x:c r="J19" s="2"/>
      <x:c r="K19" s="2"/>
      <x:c r="L19" s="2"/>
    </x:row>
    <x:row r="20" ht="23" customHeight="1">
      <x:c r="A20" s="2"/>
      <x:c r="B20" s="2"/>
      <x:c r="C20" s="2"/>
      <x:c r="D20" s="2"/>
      <x:c r="E20" s="2"/>
      <x:c r="F20" s="2"/>
      <x:c r="G20" s="2"/>
      <x:c r="H20" s="2"/>
      <x:c r="I20" s="2"/>
      <x:c r="J20" s="2"/>
      <x:c r="K20" s="2"/>
      <x:c r="L20" s="2"/>
    </x:row>
    <x:row r="21" ht="23" customHeight="1">
      <x:c r="A21" s="2"/>
      <x:c r="B21" s="2"/>
      <x:c r="C21" s="2"/>
      <x:c r="D21" s="2"/>
      <x:c r="E21" s="2"/>
      <x:c r="F21" s="2"/>
      <x:c r="G21" s="2"/>
      <x:c r="H21" s="2"/>
      <x:c r="I21" s="2"/>
      <x:c r="J21" s="2"/>
      <x:c r="K21" s="2"/>
      <x:c r="L21" s="2"/>
    </x:row>
    <x:row r="22" ht="23" customHeight="1">
      <x:c r="A22" s="2"/>
      <x:c r="B22" s="2"/>
      <x:c r="C22" s="2"/>
      <x:c r="D22" s="2"/>
      <x:c r="E22" s="2"/>
      <x:c r="F22" s="2"/>
      <x:c r="G22" s="2"/>
      <x:c r="H22" s="2"/>
      <x:c r="I22" s="2"/>
      <x:c r="J22" s="2"/>
      <x:c r="K22" s="2"/>
      <x:c r="L22" s="2"/>
    </x:row>
    <x:row r="23" ht="23" customHeight="1">
      <x:c r="A23" s="2"/>
      <x:c r="B23" s="2"/>
      <x:c r="C23" s="2"/>
      <x:c r="D23" s="2"/>
      <x:c r="E23" s="2"/>
      <x:c r="F23" s="2"/>
      <x:c r="G23" s="2"/>
      <x:c r="H23" s="2"/>
      <x:c r="I23" s="2"/>
      <x:c r="J23" s="2"/>
      <x:c r="K23" s="2"/>
      <x:c r="L23" s="2"/>
    </x:row>
    <x:row r="24" ht="23" customHeight="1">
      <x:c r="A24" s="2"/>
      <x:c r="B24" s="2"/>
      <x:c r="C24" s="2"/>
      <x:c r="D24" s="2"/>
      <x:c r="E24" s="2"/>
      <x:c r="F24" s="2"/>
      <x:c r="G24" s="2"/>
      <x:c r="H24" s="2"/>
      <x:c r="I24" s="2"/>
      <x:c r="J24" s="2"/>
      <x:c r="K24" s="2"/>
      <x:c r="L24" s="2"/>
    </x:row>
    <x:row r="25" ht="23" customHeight="1">
      <x:c r="A25" s="2"/>
      <x:c r="B25" s="2"/>
      <x:c r="C25" s="2"/>
      <x:c r="D25" s="2"/>
      <x:c r="E25" s="2"/>
      <x:c r="F25" s="2"/>
      <x:c r="G25" s="2"/>
      <x:c r="H25" s="2"/>
      <x:c r="I25" s="2"/>
      <x:c r="J25" s="2"/>
      <x:c r="K25" s="2"/>
      <x:c r="L25" s="2"/>
    </x:row>
    <x:row r="26" ht="23" customHeight="1">
      <x:c r="A26" s="2"/>
      <x:c r="B26" s="2"/>
      <x:c r="C26" s="2"/>
      <x:c r="D26" s="2"/>
      <x:c r="E26" s="2"/>
      <x:c r="F26" s="2"/>
      <x:c r="G26" s="2"/>
      <x:c r="H26" s="2"/>
      <x:c r="I26" s="2"/>
      <x:c r="J26" s="2"/>
      <x:c r="K26" s="2"/>
      <x:c r="L26" s="2"/>
    </x:row>
    <x:row r="27" ht="23" customHeight="1">
      <x:c r="A27" s="2"/>
      <x:c r="B27" s="2"/>
      <x:c r="C27" s="2"/>
      <x:c r="D27" s="2"/>
      <x:c r="E27" s="2"/>
      <x:c r="F27" s="2"/>
      <x:c r="G27" s="2"/>
      <x:c r="H27" s="2"/>
      <x:c r="I27" s="2"/>
      <x:c r="J27" s="2"/>
      <x:c r="K27" s="2"/>
      <x:c r="L27" s="2"/>
    </x:row>
    <x:row r="28" ht="23" customHeight="1">
      <x:c r="A28" s="2"/>
      <x:c r="B28" s="2"/>
      <x:c r="C28" s="2"/>
      <x:c r="D28" s="2"/>
      <x:c r="E28" s="2"/>
      <x:c r="F28" s="2"/>
      <x:c r="G28" s="2"/>
      <x:c r="H28" s="2"/>
      <x:c r="I28" s="2"/>
      <x:c r="J28" s="2"/>
      <x:c r="K28" s="2"/>
      <x:c r="L28" s="2"/>
    </x:row>
    <x:row r="29" ht="23" customHeight="1">
      <x:c r="A29" s="2"/>
      <x:c r="B29" s="2"/>
      <x:c r="C29" s="2"/>
      <x:c r="D29" s="2"/>
      <x:c r="E29" s="2"/>
      <x:c r="F29" s="2"/>
      <x:c r="G29" s="2"/>
      <x:c r="H29" s="2"/>
      <x:c r="I29" s="2"/>
      <x:c r="J29" s="2"/>
      <x:c r="K29" s="2"/>
      <x:c r="L29" s="2"/>
    </x:row>
    <x:row r="30" ht="23" customHeight="1">
      <x:c r="A30" s="2"/>
      <x:c r="B30" s="2"/>
      <x:c r="C30" s="2"/>
      <x:c r="D30" s="2"/>
      <x:c r="E30" s="2"/>
      <x:c r="F30" s="2"/>
      <x:c r="G30" s="2"/>
      <x:c r="H30" s="2"/>
      <x:c r="I30" s="2"/>
      <x:c r="J30" s="2"/>
      <x:c r="K30" s="2"/>
      <x:c r="L30" s="2"/>
    </x:row>
    <x:row r="31" ht="23" customHeight="1">
      <x:c r="A31" s="2"/>
      <x:c r="B31" s="2"/>
      <x:c r="C31" s="2"/>
      <x:c r="D31" s="2"/>
      <x:c r="E31" s="2"/>
      <x:c r="F31" s="2"/>
      <x:c r="G31" s="2"/>
      <x:c r="H31" s="2"/>
      <x:c r="I31" s="2"/>
      <x:c r="J31" s="2"/>
      <x:c r="K31" s="2"/>
      <x:c r="L31" s="2"/>
    </x:row>
    <x:row r="32" ht="23" customHeight="1">
      <x:c r="A32" s="2"/>
      <x:c r="B32" s="2"/>
      <x:c r="C32" s="2"/>
      <x:c r="D32" s="2"/>
      <x:c r="E32" s="2"/>
      <x:c r="F32" s="2"/>
      <x:c r="G32" s="2"/>
      <x:c r="H32" s="2"/>
      <x:c r="I32" s="2"/>
      <x:c r="J32" s="2"/>
      <x:c r="K32" s="2"/>
      <x:c r="L32" s="2"/>
    </x:row>
    <x:row r="33" ht="23" customHeight="1">
      <x:c r="A33" s="2"/>
      <x:c r="B33" s="2"/>
      <x:c r="C33" s="2"/>
      <x:c r="D33" s="2"/>
      <x:c r="E33" s="2"/>
      <x:c r="F33" s="2"/>
      <x:c r="G33" s="2"/>
      <x:c r="H33" s="2"/>
      <x:c r="I33" s="2"/>
      <x:c r="J33" s="2"/>
      <x:c r="K33" s="2"/>
      <x:c r="L33" s="2"/>
    </x:row>
    <x:row r="34" ht="23" customHeight="1">
      <x:c r="A34" s="2"/>
      <x:c r="B34" s="2"/>
      <x:c r="C34" s="2"/>
      <x:c r="D34" s="2"/>
      <x:c r="E34" s="2"/>
      <x:c r="F34" s="2"/>
      <x:c r="G34" s="2"/>
      <x:c r="H34" s="2"/>
      <x:c r="I34" s="2"/>
      <x:c r="J34" s="2"/>
      <x:c r="K34" s="2"/>
      <x:c r="L34" s="2"/>
    </x:row>
    <x:row r="35" ht="23" customHeight="1">
      <x:c r="A35" s="2"/>
      <x:c r="B35" s="2"/>
      <x:c r="C35" s="2"/>
      <x:c r="D35" s="2"/>
      <x:c r="E35" s="2"/>
      <x:c r="F35" s="2"/>
      <x:c r="G35" s="2"/>
      <x:c r="H35" s="2"/>
      <x:c r="I35" s="2"/>
      <x:c r="J35" s="2"/>
      <x:c r="K35" s="2"/>
      <x:c r="L35" s="2"/>
    </x:row>
    <x:row r="36" ht="23" customHeight="1">
      <x:c r="A36" s="2"/>
      <x:c r="B36" s="2"/>
      <x:c r="C36" s="2"/>
      <x:c r="D36" s="2"/>
      <x:c r="E36" s="2"/>
      <x:c r="F36" s="2"/>
      <x:c r="G36" s="2"/>
      <x:c r="H36" s="2"/>
      <x:c r="I36" s="2"/>
      <x:c r="J36" s="2"/>
      <x:c r="K36" s="2"/>
      <x:c r="L36" s="2"/>
    </x:row>
    <x:row r="37" ht="34" customHeight="1">
      <x:c r="A37" s="2"/>
      <x:c r="B37" s="10" t="str">
        <x:v>Month</x:v>
      </x:c>
      <x:c r="C37" s="10" t="str">
        <x:v>Gross sales</x:v>
      </x:c>
      <x:c r="D37" s="10" t="str">
        <x:v>Return value</x:v>
      </x:c>
      <x:c r="E37" s="10" t="str">
        <x:v>Net sales</x:v>
      </x:c>
      <x:c r="F37" s="10" t="str">
        <x:v>Orders</x:v>
      </x:c>
      <x:c r="G37" s="10" t="str">
        <x:v>Gross AOV</x:v>
      </x:c>
      <x:c r="H37" s="10" t="str">
        <x:v>Coverage</x:v>
      </x:c>
      <x:c r="I37" s="2"/>
      <x:c r="J37" s="2"/>
      <x:c r="K37" s="2"/>
      <x:c r="L37" s="2"/>
    </x:row>
    <x:row r="38" ht="22" customHeight="1">
      <x:c r="A38" s="2"/>
      <x:c r="B38" s="2" t="str">
        <x:v>2009-12</x:v>
      </x:c>
      <x:c r="C38" s="11" t="n">
        <x:f>IF(AND(B38&gt;=$B$7,B38&lt;=$E$7),SUMIFS('Monthly_Data'!$D$7:$D$600,'Monthly_Data'!$B$7:$B$600,B38,'Monthly_Data'!$C$7:$C$600,IF($H$7="All countries","*",$H$7)),0)</x:f>
        <x:v>825685.76</x:v>
      </x:c>
      <x:c r="D38" s="11" t="n">
        <x:f>IF(AND(B38&gt;=$B$7,B38&lt;=$E$7),SUMIFS('Monthly_Data'!$E$7:$E$600,'Monthly_Data'!$B$7:$B$600,B38,'Monthly_Data'!$C$7:$C$600,IF($H$7="All countries","*",$H$7)),0)</x:f>
        <x:v>25838.649999999998</x:v>
      </x:c>
      <x:c r="E38" s="11" t="n">
        <x:f>C38-D38</x:f>
        <x:v>799847.11</x:v>
      </x:c>
      <x:c r="F38" s="21" t="n">
        <x:f>IF(AND(B38&gt;=$B$7,B38&lt;=$E$7),SUMIFS('Monthly_Data'!$F$7:$F$600,'Monthly_Data'!$B$7:$B$600,B38,'Monthly_Data'!$C$7:$C$600,IF($H$7="All countries","*",$H$7)),0)</x:f>
        <x:v>1682</x:v>
      </x:c>
      <x:c r="G38" s="11" t="n">
        <x:f>IF(F38=0,0,C38/F38)</x:f>
        <x:v>490.8952199762188</x:v>
      </x:c>
      <x:c r="H38" s="2" t="str">
        <x:v>Complete month</x:v>
      </x:c>
      <x:c r="I38" s="2"/>
      <x:c r="J38" s="2"/>
      <x:c r="K38" s="2"/>
      <x:c r="L38" s="2"/>
    </x:row>
    <x:row r="39" ht="22" customHeight="1">
      <x:c r="A39" s="2"/>
      <x:c r="B39" s="2" t="str">
        <x:v>2010-01</x:v>
      </x:c>
      <x:c r="C39" s="11" t="n">
        <x:f>IF(AND(B39&gt;=$B$7,B39&lt;=$E$7),SUMIFS('Monthly_Data'!$D$7:$D$600,'Monthly_Data'!$B$7:$B$600,B39,'Monthly_Data'!$C$7:$C$600,IF($H$7="All countries","*",$H$7)),0)</x:f>
        <x:v>652708.502</x:v>
      </x:c>
      <x:c r="D39" s="11" t="n">
        <x:f>IF(AND(B39&gt;=$B$7,B39&lt;=$E$7),SUMIFS('Monthly_Data'!$E$7:$E$600,'Monthly_Data'!$B$7:$B$600,B39,'Monthly_Data'!$C$7:$C$600,IF($H$7="All countries","*",$H$7)),0)</x:f>
        <x:v>28675.61</x:v>
      </x:c>
      <x:c r="E39" s="11" t="n">
        <x:f>C39-D39</x:f>
        <x:v>624032.892</x:v>
      </x:c>
      <x:c r="F39" s="21" t="n">
        <x:f>IF(AND(B39&gt;=$B$7,B39&lt;=$E$7),SUMIFS('Monthly_Data'!$F$7:$F$600,'Monthly_Data'!$B$7:$B$600,B39,'Monthly_Data'!$C$7:$C$600,IF($H$7="All countries","*",$H$7)),0)</x:f>
        <x:v>1105</x:v>
      </x:c>
      <x:c r="G39" s="11" t="n">
        <x:f>IF(F39=0,0,C39/F39)</x:f>
        <x:v>590.6864271493213</x:v>
      </x:c>
      <x:c r="H39" s="2" t="str">
        <x:v>Complete month</x:v>
      </x:c>
      <x:c r="I39" s="2"/>
      <x:c r="J39" s="2"/>
      <x:c r="K39" s="2"/>
      <x:c r="L39" s="2"/>
    </x:row>
    <x:row r="40" ht="22" customHeight="1">
      <x:c r="A40" s="2"/>
      <x:c r="B40" s="2" t="str">
        <x:v>2010-02</x:v>
      </x:c>
      <x:c r="C40" s="11" t="n">
        <x:f>IF(AND(B40&gt;=$B$7,B40&lt;=$E$7),SUMIFS('Monthly_Data'!$D$7:$D$600,'Monthly_Data'!$B$7:$B$600,B40,'Monthly_Data'!$C$7:$C$600,IF($H$7="All countries","*",$H$7)),0)</x:f>
        <x:v>553339.736</x:v>
      </x:c>
      <x:c r="D40" s="11" t="n">
        <x:f>IF(AND(B40&gt;=$B$7,B40&lt;=$E$7),SUMIFS('Monthly_Data'!$E$7:$E$600,'Monthly_Data'!$B$7:$B$600,B40,'Monthly_Data'!$C$7:$C$600,IF($H$7="All countries","*",$H$7)),0)</x:f>
        <x:v>20995.45</x:v>
      </x:c>
      <x:c r="E40" s="11" t="n">
        <x:f>C40-D40</x:f>
        <x:v>532344.2860000001</x:v>
      </x:c>
      <x:c r="F40" s="21" t="n">
        <x:f>IF(AND(B40&gt;=$B$7,B40&lt;=$E$7),SUMIFS('Monthly_Data'!$F$7:$F$600,'Monthly_Data'!$B$7:$B$600,B40,'Monthly_Data'!$C$7:$C$600,IF($H$7="All countries","*",$H$7)),0)</x:f>
        <x:v>1201</x:v>
      </x:c>
      <x:c r="G40" s="11" t="n">
        <x:f>IF(F40=0,0,C40/F40)</x:f>
        <x:v>460.7325029142382</x:v>
      </x:c>
      <x:c r="H40" s="2" t="str">
        <x:v>Complete month</x:v>
      </x:c>
      <x:c r="I40" s="2"/>
      <x:c r="J40" s="2"/>
      <x:c r="K40" s="2"/>
      <x:c r="L40" s="2"/>
    </x:row>
    <x:row r="41" ht="22" customHeight="1">
      <x:c r="A41" s="2"/>
      <x:c r="B41" s="2" t="str">
        <x:v>2010-03</x:v>
      </x:c>
      <x:c r="C41" s="11" t="n">
        <x:f>IF(AND(B41&gt;=$B$7,B41&lt;=$E$7),SUMIFS('Monthly_Data'!$D$7:$D$600,'Monthly_Data'!$B$7:$B$600,B41,'Monthly_Data'!$C$7:$C$600,IF($H$7="All countries","*",$H$7)),0)</x:f>
        <x:v>833570.131</x:v>
      </x:c>
      <x:c r="D41" s="11" t="n">
        <x:f>IF(AND(B41&gt;=$B$7,B41&lt;=$E$7),SUMIFS('Monthly_Data'!$E$7:$E$600,'Monthly_Data'!$B$7:$B$600,B41,'Monthly_Data'!$C$7:$C$600,IF($H$7="All countries","*",$H$7)),0)</x:f>
        <x:v>67721.37</x:v>
      </x:c>
      <x:c r="E41" s="11" t="n">
        <x:f>C41-D41</x:f>
        <x:v>765848.761</x:v>
      </x:c>
      <x:c r="F41" s="21" t="n">
        <x:f>IF(AND(B41&gt;=$B$7,B41&lt;=$E$7),SUMIFS('Monthly_Data'!$F$7:$F$600,'Monthly_Data'!$B$7:$B$600,B41,'Monthly_Data'!$C$7:$C$600,IF($H$7="All countries","*",$H$7)),0)</x:f>
        <x:v>1681</x:v>
      </x:c>
      <x:c r="G41" s="11" t="n">
        <x:f>IF(F41=0,0,C41/F41)</x:f>
        <x:v>495.8775318262939</x:v>
      </x:c>
      <x:c r="H41" s="2" t="str">
        <x:v>Complete month</x:v>
      </x:c>
      <x:c r="I41" s="2"/>
      <x:c r="J41" s="2"/>
      <x:c r="K41" s="2"/>
      <x:c r="L41" s="2"/>
    </x:row>
    <x:row r="42" ht="22" customHeight="1">
      <x:c r="A42" s="2"/>
      <x:c r="B42" s="2" t="str">
        <x:v>2010-04</x:v>
      </x:c>
      <x:c r="C42" s="11" t="n">
        <x:f>IF(AND(B42&gt;=$B$7,B42&lt;=$E$7),SUMIFS('Monthly_Data'!$D$7:$D$600,'Monthly_Data'!$B$7:$B$600,B42,'Monthly_Data'!$C$7:$C$600,IF($H$7="All countries","*",$H$7)),0)</x:f>
        <x:v>681528.9920000001</x:v>
      </x:c>
      <x:c r="D42" s="11" t="n">
        <x:f>IF(AND(B42&gt;=$B$7,B42&lt;=$E$7),SUMIFS('Monthly_Data'!$E$7:$E$600,'Monthly_Data'!$B$7:$B$600,B42,'Monthly_Data'!$C$7:$C$600,IF($H$7="All countries","*",$H$7)),0)</x:f>
        <x:v>37354.2</x:v>
      </x:c>
      <x:c r="E42" s="11" t="n">
        <x:f>C42-D42</x:f>
        <x:v>644174.7920000001</x:v>
      </x:c>
      <x:c r="F42" s="21" t="n">
        <x:f>IF(AND(B42&gt;=$B$7,B42&lt;=$E$7),SUMIFS('Monthly_Data'!$F$7:$F$600,'Monthly_Data'!$B$7:$B$600,B42,'Monthly_Data'!$C$7:$C$600,IF($H$7="All countries","*",$H$7)),0)</x:f>
        <x:v>1462</x:v>
      </x:c>
      <x:c r="G42" s="11" t="n">
        <x:f>IF(F42=0,0,C42/F42)</x:f>
        <x:v>466.1621012311902</x:v>
      </x:c>
      <x:c r="H42" s="2" t="str">
        <x:v>Complete month</x:v>
      </x:c>
      <x:c r="I42" s="2"/>
      <x:c r="J42" s="2"/>
      <x:c r="K42" s="2"/>
      <x:c r="L42" s="2"/>
    </x:row>
    <x:row r="43" ht="22" customHeight="1">
      <x:c r="A43" s="2"/>
      <x:c r="B43" s="2" t="str">
        <x:v>2010-05</x:v>
      </x:c>
      <x:c r="C43" s="11" t="n">
        <x:f>IF(AND(B43&gt;=$B$7,B43&lt;=$E$7),SUMIFS('Monthly_Data'!$D$7:$D$600,'Monthly_Data'!$B$7:$B$600,B43,'Monthly_Data'!$C$7:$C$600,IF($H$7="All countries","*",$H$7)),0)</x:f>
        <x:v>659858.8600000001</x:v>
      </x:c>
      <x:c r="D43" s="11" t="n">
        <x:f>IF(AND(B43&gt;=$B$7,B43&lt;=$E$7),SUMIFS('Monthly_Data'!$E$7:$E$600,'Monthly_Data'!$B$7:$B$600,B43,'Monthly_Data'!$C$7:$C$600,IF($H$7="All countries","*",$H$7)),0)</x:f>
        <x:v>44536.03</x:v>
      </x:c>
      <x:c r="E43" s="11" t="n">
        <x:f>C43-D43</x:f>
        <x:v>615322.8300000001</x:v>
      </x:c>
      <x:c r="F43" s="21" t="n">
        <x:f>IF(AND(B43&gt;=$B$7,B43&lt;=$E$7),SUMIFS('Monthly_Data'!$F$7:$F$600,'Monthly_Data'!$B$7:$B$600,B43,'Monthly_Data'!$C$7:$C$600,IF($H$7="All countries","*",$H$7)),0)</x:f>
        <x:v>1500</x:v>
      </x:c>
      <x:c r="G43" s="11" t="n">
        <x:f>IF(F43=0,0,C43/F43)</x:f>
        <x:v>439.90590666666674</x:v>
      </x:c>
      <x:c r="H43" s="2" t="str">
        <x:v>Complete month</x:v>
      </x:c>
      <x:c r="I43" s="2"/>
      <x:c r="J43" s="2"/>
      <x:c r="K43" s="2"/>
      <x:c r="L43" s="2"/>
    </x:row>
    <x:row r="44" ht="22" customHeight="1">
      <x:c r="A44" s="2"/>
      <x:c r="B44" s="2" t="str">
        <x:v>2010-06</x:v>
      </x:c>
      <x:c r="C44" s="11" t="n">
        <x:f>IF(AND(B44&gt;=$B$7,B44&lt;=$E$7),SUMIFS('Monthly_Data'!$D$7:$D$600,'Monthly_Data'!$B$7:$B$600,B44,'Monthly_Data'!$C$7:$C$600,IF($H$7="All countries","*",$H$7)),0)</x:f>
        <x:v>752270.14</x:v>
      </x:c>
      <x:c r="D44" s="11" t="n">
        <x:f>IF(AND(B44&gt;=$B$7,B44&lt;=$E$7),SUMIFS('Monthly_Data'!$E$7:$E$600,'Monthly_Data'!$B$7:$B$600,B44,'Monthly_Data'!$C$7:$C$600,IF($H$7="All countries","*",$H$7)),0)</x:f>
        <x:v>72483.53</x:v>
      </x:c>
      <x:c r="E44" s="11" t="n">
        <x:f>C44-D44</x:f>
        <x:v>679786.61</x:v>
      </x:c>
      <x:c r="F44" s="21" t="n">
        <x:f>IF(AND(B44&gt;=$B$7,B44&lt;=$E$7),SUMIFS('Monthly_Data'!$F$7:$F$600,'Monthly_Data'!$B$7:$B$600,B44,'Monthly_Data'!$C$7:$C$600,IF($H$7="All countries","*",$H$7)),0)</x:f>
        <x:v>1645</x:v>
      </x:c>
      <x:c r="G44" s="11" t="n">
        <x:f>IF(F44=0,0,C44/F44)</x:f>
        <x:v>457.3070759878419</x:v>
      </x:c>
      <x:c r="H44" s="2" t="str">
        <x:v>Complete month</x:v>
      </x:c>
      <x:c r="I44" s="2"/>
      <x:c r="J44" s="2"/>
      <x:c r="K44" s="2"/>
      <x:c r="L44" s="2"/>
    </x:row>
    <x:row r="45" ht="22" customHeight="1">
      <x:c r="A45" s="2"/>
      <x:c r="B45" s="2" t="str">
        <x:v>2010-07</x:v>
      </x:c>
      <x:c r="C45" s="11" t="n">
        <x:f>IF(AND(B45&gt;=$B$7,B45&lt;=$E$7),SUMIFS('Monthly_Data'!$D$7:$D$600,'Monthly_Data'!$B$7:$B$600,B45,'Monthly_Data'!$C$7:$C$600,IF($H$7="All countries","*",$H$7)),0)</x:f>
        <x:v>650712.9400000001</x:v>
      </x:c>
      <x:c r="D45" s="11" t="n">
        <x:f>IF(AND(B45&gt;=$B$7,B45&lt;=$E$7),SUMIFS('Monthly_Data'!$E$7:$E$600,'Monthly_Data'!$B$7:$B$600,B45,'Monthly_Data'!$C$7:$C$600,IF($H$7="All countries","*",$H$7)),0)</x:f>
        <x:v>31444.79</x:v>
      </x:c>
      <x:c r="E45" s="11" t="n">
        <x:f>C45-D45</x:f>
        <x:v>619268.15</x:v>
      </x:c>
      <x:c r="F45" s="21" t="n">
        <x:f>IF(AND(B45&gt;=$B$7,B45&lt;=$E$7),SUMIFS('Monthly_Data'!$F$7:$F$600,'Monthly_Data'!$B$7:$B$600,B45,'Monthly_Data'!$C$7:$C$600,IF($H$7="All countries","*",$H$7)),0)</x:f>
        <x:v>1529</x:v>
      </x:c>
      <x:c r="G45" s="11" t="n">
        <x:f>IF(F45=0,0,C45/F45)</x:f>
        <x:v>425.5807325049052</x:v>
      </x:c>
      <x:c r="H45" s="2" t="str">
        <x:v>Complete month</x:v>
      </x:c>
      <x:c r="I45" s="2"/>
      <x:c r="J45" s="2"/>
      <x:c r="K45" s="2"/>
      <x:c r="L45" s="2"/>
    </x:row>
    <x:row r="46" ht="22" customHeight="1">
      <x:c r="A46" s="2"/>
      <x:c r="B46" s="2" t="str">
        <x:v>2010-08</x:v>
      </x:c>
      <x:c r="C46" s="11" t="n">
        <x:f>IF(AND(B46&gt;=$B$7,B46&lt;=$E$7),SUMIFS('Monthly_Data'!$D$7:$D$600,'Monthly_Data'!$B$7:$B$600,B46,'Monthly_Data'!$C$7:$C$600,IF($H$7="All countries","*",$H$7)),0)</x:f>
        <x:v>697274.91</x:v>
      </x:c>
      <x:c r="D46" s="11" t="n">
        <x:f>IF(AND(B46&gt;=$B$7,B46&lt;=$E$7),SUMIFS('Monthly_Data'!$E$7:$E$600,'Monthly_Data'!$B$7:$B$600,B46,'Monthly_Data'!$C$7:$C$600,IF($H$7="All countries","*",$H$7)),0)</x:f>
        <x:v>40498.56999999999</x:v>
      </x:c>
      <x:c r="E46" s="11" t="n">
        <x:f>C46-D46</x:f>
        <x:v>656776.3400000001</x:v>
      </x:c>
      <x:c r="F46" s="21" t="n">
        <x:f>IF(AND(B46&gt;=$B$7,B46&lt;=$E$7),SUMIFS('Monthly_Data'!$F$7:$F$600,'Monthly_Data'!$B$7:$B$600,B46,'Monthly_Data'!$C$7:$C$600,IF($H$7="All countries","*",$H$7)),0)</x:f>
        <x:v>1425</x:v>
      </x:c>
      <x:c r="G46" s="11" t="n">
        <x:f>IF(F46=0,0,C46/F46)</x:f>
        <x:v>489.3157263157895</x:v>
      </x:c>
      <x:c r="H46" s="2" t="str">
        <x:v>Complete month</x:v>
      </x:c>
      <x:c r="I46" s="2"/>
      <x:c r="J46" s="2"/>
      <x:c r="K46" s="2"/>
      <x:c r="L46" s="2"/>
    </x:row>
    <x:row r="47" ht="22" customHeight="1">
      <x:c r="A47" s="2"/>
      <x:c r="B47" s="2" t="str">
        <x:v>2010-09</x:v>
      </x:c>
      <x:c r="C47" s="11" t="n">
        <x:f>IF(AND(B47&gt;=$B$7,B47&lt;=$E$7),SUMIFS('Monthly_Data'!$D$7:$D$600,'Monthly_Data'!$B$7:$B$600,B47,'Monthly_Data'!$C$7:$C$600,IF($H$7="All countries","*",$H$7)),0)</x:f>
        <x:v>924333.011</x:v>
      </x:c>
      <x:c r="D47" s="11" t="n">
        <x:f>IF(AND(B47&gt;=$B$7,B47&lt;=$E$7),SUMIFS('Monthly_Data'!$E$7:$E$600,'Monthly_Data'!$B$7:$B$600,B47,'Monthly_Data'!$C$7:$C$600,IF($H$7="All countries","*",$H$7)),0)</x:f>
        <x:v>70682.58</x:v>
      </x:c>
      <x:c r="E47" s="11" t="n">
        <x:f>C47-D47</x:f>
        <x:v>853650.4310000001</x:v>
      </x:c>
      <x:c r="F47" s="21" t="n">
        <x:f>IF(AND(B47&gt;=$B$7,B47&lt;=$E$7),SUMIFS('Monthly_Data'!$F$7:$F$600,'Monthly_Data'!$B$7:$B$600,B47,'Monthly_Data'!$C$7:$C$600,IF($H$7="All countries","*",$H$7)),0)</x:f>
        <x:v>1839</x:v>
      </x:c>
      <x:c r="G47" s="11" t="n">
        <x:f>IF(F47=0,0,C47/F47)</x:f>
        <x:v>502.62806470908106</x:v>
      </x:c>
      <x:c r="H47" s="2" t="str">
        <x:v>Complete month</x:v>
      </x:c>
      <x:c r="I47" s="2"/>
      <x:c r="J47" s="2"/>
      <x:c r="K47" s="2"/>
      <x:c r="L47" s="2"/>
    </x:row>
    <x:row r="48" ht="22" customHeight="1">
      <x:c r="A48" s="2"/>
      <x:c r="B48" s="2" t="str">
        <x:v>2010-10</x:v>
      </x:c>
      <x:c r="C48" s="11" t="n">
        <x:f>IF(AND(B48&gt;=$B$7,B48&lt;=$E$7),SUMIFS('Monthly_Data'!$D$7:$D$600,'Monthly_Data'!$B$7:$B$600,B48,'Monthly_Data'!$C$7:$C$600,IF($H$7="All countries","*",$H$7)),0)</x:f>
        <x:v>1165483.91</x:v>
      </x:c>
      <x:c r="D48" s="11" t="n">
        <x:f>IF(AND(B48&gt;=$B$7,B48&lt;=$E$7),SUMIFS('Monthly_Data'!$E$7:$E$600,'Monthly_Data'!$B$7:$B$600,B48,'Monthly_Data'!$C$7:$C$600,IF($H$7="All countries","*",$H$7)),0)</x:f>
        <x:v>81389.69</x:v>
      </x:c>
      <x:c r="E48" s="11" t="n">
        <x:f>C48-D48</x:f>
        <x:v>1084094.22</x:v>
      </x:c>
      <x:c r="F48" s="21" t="n">
        <x:f>IF(AND(B48&gt;=$B$7,B48&lt;=$E$7),SUMIFS('Monthly_Data'!$F$7:$F$600,'Monthly_Data'!$B$7:$B$600,B48,'Monthly_Data'!$C$7:$C$600,IF($H$7="All countries","*",$H$7)),0)</x:f>
        <x:v>2301</x:v>
      </x:c>
      <x:c r="G48" s="11" t="n">
        <x:f>IF(F48=0,0,C48/F48)</x:f>
        <x:v>506.51191221208165</x:v>
      </x:c>
      <x:c r="H48" s="2" t="str">
        <x:v>Complete month</x:v>
      </x:c>
      <x:c r="I48" s="2"/>
      <x:c r="J48" s="2"/>
      <x:c r="K48" s="2"/>
      <x:c r="L48" s="2"/>
    </x:row>
    <x:row r="49" ht="22" customHeight="1">
      <x:c r="A49" s="2"/>
      <x:c r="B49" s="2" t="str">
        <x:v>2010-11</x:v>
      </x:c>
      <x:c r="C49" s="11" t="n">
        <x:f>IF(AND(B49&gt;=$B$7,B49&lt;=$E$7),SUMIFS('Monthly_Data'!$D$7:$D$600,'Monthly_Data'!$B$7:$B$600,B49,'Monthly_Data'!$C$7:$C$600,IF($H$7="All countries","*",$H$7)),0)</x:f>
        <x:v>1470272.482</x:v>
      </x:c>
      <x:c r="D49" s="11" t="n">
        <x:f>IF(AND(B49&gt;=$B$7,B49&lt;=$E$7),SUMIFS('Monthly_Data'!$E$7:$E$600,'Monthly_Data'!$B$7:$B$600,B49,'Monthly_Data'!$C$7:$C$600,IF($H$7="All countries","*",$H$7)),0)</x:f>
        <x:v>47617.840000000004</x:v>
      </x:c>
      <x:c r="E49" s="11" t="n">
        <x:f>C49-D49</x:f>
        <x:v>1422654.642</x:v>
      </x:c>
      <x:c r="F49" s="21" t="n">
        <x:f>IF(AND(B49&gt;=$B$7,B49&lt;=$E$7),SUMIFS('Monthly_Data'!$F$7:$F$600,'Monthly_Data'!$B$7:$B$600,B49,'Monthly_Data'!$C$7:$C$600,IF($H$7="All countries","*",$H$7)),0)</x:f>
        <x:v>2747</x:v>
      </x:c>
      <x:c r="G49" s="11" t="n">
        <x:f>IF(F49=0,0,C49/F49)</x:f>
        <x:v>535.2284244630506</x:v>
      </x:c>
      <x:c r="H49" s="2" t="str">
        <x:v>Complete month</x:v>
      </x:c>
      <x:c r="I49" s="2"/>
      <x:c r="J49" s="2"/>
      <x:c r="K49" s="2"/>
      <x:c r="L49" s="2"/>
    </x:row>
    <x:row r="50" ht="22" customHeight="1">
      <x:c r="A50" s="2"/>
      <x:c r="B50" s="2" t="str">
        <x:v>2010-12</x:v>
      </x:c>
      <x:c r="C50" s="11" t="n">
        <x:f>IF(AND(B50&gt;=$B$7,B50&lt;=$E$7),SUMIFS('Monthly_Data'!$D$7:$D$600,'Monthly_Data'!$B$7:$B$600,B50,'Monthly_Data'!$C$7:$C$600,IF($H$7="All countries","*",$H$7)),0)</x:f>
        <x:v>823746.14</x:v>
      </x:c>
      <x:c r="D50" s="11" t="n">
        <x:f>IF(AND(B50&gt;=$B$7,B50&lt;=$E$7),SUMIFS('Monthly_Data'!$E$7:$E$600,'Monthly_Data'!$B$7:$B$600,B50,'Monthly_Data'!$C$7:$C$600,IF($H$7="All countries","*",$H$7)),0)</x:f>
        <x:v>74789.12</x:v>
      </x:c>
      <x:c r="E50" s="11" t="n">
        <x:f>C50-D50</x:f>
        <x:v>748957.02</x:v>
      </x:c>
      <x:c r="F50" s="21" t="n">
        <x:f>IF(AND(B50&gt;=$B$7,B50&lt;=$E$7),SUMIFS('Monthly_Data'!$F$7:$F$600,'Monthly_Data'!$B$7:$B$600,B50,'Monthly_Data'!$C$7:$C$600,IF($H$7="All countries","*",$H$7)),0)</x:f>
        <x:v>1559</x:v>
      </x:c>
      <x:c r="G50" s="11" t="n">
        <x:f>IF(F50=0,0,C50/F50)</x:f>
        <x:v>528.3811032713278</x:v>
      </x:c>
      <x:c r="H50" s="2" t="str">
        <x:v>Complete month</x:v>
      </x:c>
      <x:c r="I50" s="2"/>
      <x:c r="J50" s="2"/>
      <x:c r="K50" s="2"/>
      <x:c r="L50" s="2"/>
    </x:row>
    <x:row r="51" ht="22" customHeight="1">
      <x:c r="A51" s="2"/>
      <x:c r="B51" s="2" t="str">
        <x:v>2011-01</x:v>
      </x:c>
      <x:c r="C51" s="11" t="n">
        <x:f>IF(AND(B51&gt;=$B$7,B51&lt;=$E$7),SUMIFS('Monthly_Data'!$D$7:$D$600,'Monthly_Data'!$B$7:$B$600,B51,'Monthly_Data'!$C$7:$C$600,IF($H$7="All countries","*",$H$7)),0)</x:f>
        <x:v>691364.5599999999</x:v>
      </x:c>
      <x:c r="D51" s="11" t="n">
        <x:f>IF(AND(B51&gt;=$B$7,B51&lt;=$E$7),SUMIFS('Monthly_Data'!$E$7:$E$600,'Monthly_Data'!$B$7:$B$600,B51,'Monthly_Data'!$C$7:$C$600,IF($H$7="All countries","*",$H$7)),0)</x:f>
        <x:v>131364.30000000002</x:v>
      </x:c>
      <x:c r="E51" s="11" t="n">
        <x:f>C51-D51</x:f>
        <x:v>560000.2599999999</x:v>
      </x:c>
      <x:c r="F51" s="21" t="n">
        <x:f>IF(AND(B51&gt;=$B$7,B51&lt;=$E$7),SUMIFS('Monthly_Data'!$F$7:$F$600,'Monthly_Data'!$B$7:$B$600,B51,'Monthly_Data'!$C$7:$C$600,IF($H$7="All countries","*",$H$7)),0)</x:f>
        <x:v>1086</x:v>
      </x:c>
      <x:c r="G51" s="11" t="n">
        <x:f>IF(F51=0,0,C51/F51)</x:f>
        <x:v>636.6156169429097</x:v>
      </x:c>
      <x:c r="H51" s="2" t="str">
        <x:v>Complete month</x:v>
      </x:c>
      <x:c r="I51" s="2"/>
      <x:c r="J51" s="2"/>
      <x:c r="K51" s="2"/>
      <x:c r="L51" s="2"/>
    </x:row>
    <x:row r="52" ht="22" customHeight="1">
      <x:c r="A52" s="2"/>
      <x:c r="B52" s="2" t="str">
        <x:v>2011-02</x:v>
      </x:c>
      <x:c r="C52" s="11" t="n">
        <x:f>IF(AND(B52&gt;=$B$7,B52&lt;=$E$7),SUMIFS('Monthly_Data'!$D$7:$D$600,'Monthly_Data'!$B$7:$B$600,B52,'Monthly_Data'!$C$7:$C$600,IF($H$7="All countries","*",$H$7)),0)</x:f>
        <x:v>523631.89</x:v>
      </x:c>
      <x:c r="D52" s="11" t="n">
        <x:f>IF(AND(B52&gt;=$B$7,B52&lt;=$E$7),SUMIFS('Monthly_Data'!$E$7:$E$600,'Monthly_Data'!$B$7:$B$600,B52,'Monthly_Data'!$C$7:$C$600,IF($H$7="All countries","*",$H$7)),0)</x:f>
        <x:v>25569.24</x:v>
      </x:c>
      <x:c r="E52" s="11" t="n">
        <x:f>C52-D52</x:f>
        <x:v>498062.65</x:v>
      </x:c>
      <x:c r="F52" s="21" t="n">
        <x:f>IF(AND(B52&gt;=$B$7,B52&lt;=$E$7),SUMIFS('Monthly_Data'!$F$7:$F$600,'Monthly_Data'!$B$7:$B$600,B52,'Monthly_Data'!$C$7:$C$600,IF($H$7="All countries","*",$H$7)),0)</x:f>
        <x:v>1100</x:v>
      </x:c>
      <x:c r="G52" s="11" t="n">
        <x:f>IF(F52=0,0,C52/F52)</x:f>
        <x:v>476.0289909090909</x:v>
      </x:c>
      <x:c r="H52" s="2" t="str">
        <x:v>Complete month</x:v>
      </x:c>
      <x:c r="I52" s="2"/>
      <x:c r="J52" s="2"/>
      <x:c r="K52" s="2"/>
      <x:c r="L52" s="2"/>
    </x:row>
    <x:row r="53" ht="22" customHeight="1">
      <x:c r="A53" s="2"/>
      <x:c r="B53" s="2" t="str">
        <x:v>2011-03</x:v>
      </x:c>
      <x:c r="C53" s="11" t="n">
        <x:f>IF(AND(B53&gt;=$B$7,B53&lt;=$E$7),SUMIFS('Monthly_Data'!$D$7:$D$600,'Monthly_Data'!$B$7:$B$600,B53,'Monthly_Data'!$C$7:$C$600,IF($H$7="All countries","*",$H$7)),0)</x:f>
        <x:v>717639.36</x:v>
      </x:c>
      <x:c r="D53" s="11" t="n">
        <x:f>IF(AND(B53&gt;=$B$7,B53&lt;=$E$7),SUMIFS('Monthly_Data'!$E$7:$E$600,'Monthly_Data'!$B$7:$B$600,B53,'Monthly_Data'!$C$7:$C$600,IF($H$7="All countries","*",$H$7)),0)</x:f>
        <x:v>34372.28</x:v>
      </x:c>
      <x:c r="E53" s="11" t="n">
        <x:f>C53-D53</x:f>
        <x:v>683267.08</x:v>
      </x:c>
      <x:c r="F53" s="21" t="n">
        <x:f>IF(AND(B53&gt;=$B$7,B53&lt;=$E$7),SUMIFS('Monthly_Data'!$F$7:$F$600,'Monthly_Data'!$B$7:$B$600,B53,'Monthly_Data'!$C$7:$C$600,IF($H$7="All countries","*",$H$7)),0)</x:f>
        <x:v>1454</x:v>
      </x:c>
      <x:c r="G53" s="11" t="n">
        <x:f>IF(F53=0,0,C53/F53)</x:f>
        <x:v>493.56214580467673</x:v>
      </x:c>
      <x:c r="H53" s="2" t="str">
        <x:v>Complete month</x:v>
      </x:c>
      <x:c r="I53" s="2"/>
      <x:c r="J53" s="2"/>
      <x:c r="K53" s="2"/>
      <x:c r="L53" s="2"/>
    </x:row>
    <x:row r="54" ht="22" customHeight="1">
      <x:c r="A54" s="2"/>
      <x:c r="B54" s="2" t="str">
        <x:v>2011-04</x:v>
      </x:c>
      <x:c r="C54" s="11" t="n">
        <x:f>IF(AND(B54&gt;=$B$7,B54&lt;=$E$7),SUMIFS('Monthly_Data'!$D$7:$D$600,'Monthly_Data'!$B$7:$B$600,B54,'Monthly_Data'!$C$7:$C$600,IF($H$7="All countries","*",$H$7)),0)</x:f>
        <x:v>537808.6209999999</x:v>
      </x:c>
      <x:c r="D54" s="11" t="n">
        <x:f>IF(AND(B54&gt;=$B$7,B54&lt;=$E$7),SUMIFS('Monthly_Data'!$E$7:$E$600,'Monthly_Data'!$B$7:$B$600,B54,'Monthly_Data'!$C$7:$C$600,IF($H$7="All countries","*",$H$7)),0)</x:f>
        <x:v>44601.5</x:v>
      </x:c>
      <x:c r="E54" s="11" t="n">
        <x:f>C54-D54</x:f>
        <x:v>493207.1209999999</x:v>
      </x:c>
      <x:c r="F54" s="21" t="n">
        <x:f>IF(AND(B54&gt;=$B$7,B54&lt;=$E$7),SUMIFS('Monthly_Data'!$F$7:$F$600,'Monthly_Data'!$B$7:$B$600,B54,'Monthly_Data'!$C$7:$C$600,IF($H$7="All countries","*",$H$7)),0)</x:f>
        <x:v>1246</x:v>
      </x:c>
      <x:c r="G54" s="11" t="n">
        <x:f>IF(F54=0,0,C54/F54)</x:f>
        <x:v>431.628106741573</x:v>
      </x:c>
      <x:c r="H54" s="2" t="str">
        <x:v>Complete month</x:v>
      </x:c>
      <x:c r="I54" s="2"/>
      <x:c r="J54" s="2"/>
      <x:c r="K54" s="2"/>
      <x:c r="L54" s="2"/>
    </x:row>
    <x:row r="55" ht="22" customHeight="1">
      <x:c r="A55" s="2"/>
      <x:c r="B55" s="2" t="str">
        <x:v>2011-05</x:v>
      </x:c>
      <x:c r="C55" s="11" t="n">
        <x:f>IF(AND(B55&gt;=$B$7,B55&lt;=$E$7),SUMIFS('Monthly_Data'!$D$7:$D$600,'Monthly_Data'!$B$7:$B$600,B55,'Monthly_Data'!$C$7:$C$600,IF($H$7="All countries","*",$H$7)),0)</x:f>
        <x:v>770536.02</x:v>
      </x:c>
      <x:c r="D55" s="11" t="n">
        <x:f>IF(AND(B55&gt;=$B$7,B55&lt;=$E$7),SUMIFS('Monthly_Data'!$E$7:$E$600,'Monthly_Data'!$B$7:$B$600,B55,'Monthly_Data'!$C$7:$C$600,IF($H$7="All countries","*",$H$7)),0)</x:f>
        <x:v>47202.51</x:v>
      </x:c>
      <x:c r="E55" s="11" t="n">
        <x:f>C55-D55</x:f>
        <x:v>723333.51</x:v>
      </x:c>
      <x:c r="F55" s="21" t="n">
        <x:f>IF(AND(B55&gt;=$B$7,B55&lt;=$E$7),SUMIFS('Monthly_Data'!$F$7:$F$600,'Monthly_Data'!$B$7:$B$600,B55,'Monthly_Data'!$C$7:$C$600,IF($H$7="All countries","*",$H$7)),0)</x:f>
        <x:v>1681</x:v>
      </x:c>
      <x:c r="G55" s="11" t="n">
        <x:f>IF(F55=0,0,C55/F55)</x:f>
        <x:v>458.3795478881618</x:v>
      </x:c>
      <x:c r="H55" s="2" t="str">
        <x:v>Complete month</x:v>
      </x:c>
      <x:c r="I55" s="2"/>
      <x:c r="J55" s="2"/>
      <x:c r="K55" s="2"/>
      <x:c r="L55" s="2"/>
    </x:row>
    <x:row r="56" ht="22" customHeight="1">
      <x:c r="A56" s="2"/>
      <x:c r="B56" s="2" t="str">
        <x:v>2011-06</x:v>
      </x:c>
      <x:c r="C56" s="11" t="n">
        <x:f>IF(AND(B56&gt;=$B$7,B56&lt;=$E$7),SUMIFS('Monthly_Data'!$D$7:$D$600,'Monthly_Data'!$B$7:$B$600,B56,'Monthly_Data'!$C$7:$C$600,IF($H$7="All countries","*",$H$7)),0)</x:f>
        <x:v>761739.9000000001</x:v>
      </x:c>
      <x:c r="D56" s="11" t="n">
        <x:f>IF(AND(B56&gt;=$B$7,B56&lt;=$E$7),SUMIFS('Monthly_Data'!$E$7:$E$600,'Monthly_Data'!$B$7:$B$600,B56,'Monthly_Data'!$C$7:$C$600,IF($H$7="All countries","*",$H$7)),0)</x:f>
        <x:v>70616.78</x:v>
      </x:c>
      <x:c r="E56" s="11" t="n">
        <x:f>C56-D56</x:f>
        <x:v>691123.1200000001</x:v>
      </x:c>
      <x:c r="F56" s="21" t="n">
        <x:f>IF(AND(B56&gt;=$B$7,B56&lt;=$E$7),SUMIFS('Monthly_Data'!$F$7:$F$600,'Monthly_Data'!$B$7:$B$600,B56,'Monthly_Data'!$C$7:$C$600,IF($H$7="All countries","*",$H$7)),0)</x:f>
        <x:v>1533</x:v>
      </x:c>
      <x:c r="G56" s="11" t="n">
        <x:f>IF(F56=0,0,C56/F56)</x:f>
        <x:v>496.8949119373778</x:v>
      </x:c>
      <x:c r="H56" s="2" t="str">
        <x:v>Complete month</x:v>
      </x:c>
      <x:c r="I56" s="2"/>
      <x:c r="J56" s="2"/>
      <x:c r="K56" s="2"/>
      <x:c r="L56" s="2"/>
    </x:row>
    <x:row r="57" ht="22" customHeight="1">
      <x:c r="A57" s="2"/>
      <x:c r="B57" s="2" t="str">
        <x:v>2011-07</x:v>
      </x:c>
      <x:c r="C57" s="11" t="n">
        <x:f>IF(AND(B57&gt;=$B$7,B57&lt;=$E$7),SUMIFS('Monthly_Data'!$D$7:$D$600,'Monthly_Data'!$B$7:$B$600,B57,'Monthly_Data'!$C$7:$C$600,IF($H$7="All countries","*",$H$7)),0)</x:f>
        <x:v>719221.1910000001</x:v>
      </x:c>
      <x:c r="D57" s="11" t="n">
        <x:f>IF(AND(B57&gt;=$B$7,B57&lt;=$E$7),SUMIFS('Monthly_Data'!$E$7:$E$600,'Monthly_Data'!$B$7:$B$600,B57,'Monthly_Data'!$C$7:$C$600,IF($H$7="All countries","*",$H$7)),0)</x:f>
        <x:v>37921.08</x:v>
      </x:c>
      <x:c r="E57" s="11" t="n">
        <x:f>C57-D57</x:f>
        <x:v>681300.1110000001</x:v>
      </x:c>
      <x:c r="F57" s="21" t="n">
        <x:f>IF(AND(B57&gt;=$B$7,B57&lt;=$E$7),SUMIFS('Monthly_Data'!$F$7:$F$600,'Monthly_Data'!$B$7:$B$600,B57,'Monthly_Data'!$C$7:$C$600,IF($H$7="All countries","*",$H$7)),0)</x:f>
        <x:v>1475</x:v>
      </x:c>
      <x:c r="G57" s="11" t="n">
        <x:f>IF(F57=0,0,C57/F57)</x:f>
        <x:v>487.6075871186441</x:v>
      </x:c>
      <x:c r="H57" s="2" t="str">
        <x:v>Complete month</x:v>
      </x:c>
      <x:c r="I57" s="2"/>
      <x:c r="J57" s="2"/>
      <x:c r="K57" s="2"/>
      <x:c r="L57" s="2"/>
    </x:row>
    <x:row r="58" ht="22" customHeight="1">
      <x:c r="A58" s="2"/>
      <x:c r="B58" s="2" t="str">
        <x:v>2011-08</x:v>
      </x:c>
      <x:c r="C58" s="11" t="n">
        <x:f>IF(AND(B58&gt;=$B$7,B58&lt;=$E$7),SUMIFS('Monthly_Data'!$D$7:$D$600,'Monthly_Data'!$B$7:$B$600,B58,'Monthly_Data'!$C$7:$C$600,IF($H$7="All countries","*",$H$7)),0)</x:f>
        <x:v>759138.38</x:v>
      </x:c>
      <x:c r="D58" s="11" t="n">
        <x:f>IF(AND(B58&gt;=$B$7,B58&lt;=$E$7),SUMIFS('Monthly_Data'!$E$7:$E$600,'Monthly_Data'!$B$7:$B$600,B58,'Monthly_Data'!$C$7:$C$600,IF($H$7="All countries","*",$H$7)),0)</x:f>
        <x:v>54333.75</x:v>
      </x:c>
      <x:c r="E58" s="11" t="n">
        <x:f>C58-D58</x:f>
        <x:v>704804.63</x:v>
      </x:c>
      <x:c r="F58" s="21" t="n">
        <x:f>IF(AND(B58&gt;=$B$7,B58&lt;=$E$7),SUMIFS('Monthly_Data'!$F$7:$F$600,'Monthly_Data'!$B$7:$B$600,B58,'Monthly_Data'!$C$7:$C$600,IF($H$7="All countries","*",$H$7)),0)</x:f>
        <x:v>1361</x:v>
      </x:c>
      <x:c r="G58" s="11" t="n">
        <x:f>IF(F58=0,0,C58/F58)</x:f>
        <x:v>557.7798530492286</x:v>
      </x:c>
      <x:c r="H58" s="2" t="str">
        <x:v>Complete month</x:v>
      </x:c>
      <x:c r="I58" s="2"/>
      <x:c r="J58" s="2"/>
      <x:c r="K58" s="2"/>
      <x:c r="L58" s="2"/>
    </x:row>
    <x:row r="59" ht="22" customHeight="1">
      <x:c r="A59" s="2"/>
      <x:c r="B59" s="2" t="str">
        <x:v>2011-09</x:v>
      </x:c>
      <x:c r="C59" s="11" t="n">
        <x:f>IF(AND(B59&gt;=$B$7,B59&lt;=$E$7),SUMIFS('Monthly_Data'!$D$7:$D$600,'Monthly_Data'!$B$7:$B$600,B59,'Monthly_Data'!$C$7:$C$600,IF($H$7="All countries","*",$H$7)),0)</x:f>
        <x:v>1058590.172</x:v>
      </x:c>
      <x:c r="D59" s="11" t="n">
        <x:f>IF(AND(B59&gt;=$B$7,B59&lt;=$E$7),SUMIFS('Monthly_Data'!$E$7:$E$600,'Monthly_Data'!$B$7:$B$600,B59,'Monthly_Data'!$C$7:$C$600,IF($H$7="All countries","*",$H$7)),0)</x:f>
        <x:v>38902.55</x:v>
      </x:c>
      <x:c r="E59" s="11" t="n">
        <x:f>C59-D59</x:f>
        <x:v>1019687.622</x:v>
      </x:c>
      <x:c r="F59" s="21" t="n">
        <x:f>IF(AND(B59&gt;=$B$7,B59&lt;=$E$7),SUMIFS('Monthly_Data'!$F$7:$F$600,'Monthly_Data'!$B$7:$B$600,B59,'Monthly_Data'!$C$7:$C$600,IF($H$7="All countries","*",$H$7)),0)</x:f>
        <x:v>1837</x:v>
      </x:c>
      <x:c r="G59" s="11" t="n">
        <x:f>IF(F59=0,0,C59/F59)</x:f>
        <x:v>576.2603004899293</x:v>
      </x:c>
      <x:c r="H59" s="2" t="str">
        <x:v>Complete month</x:v>
      </x:c>
      <x:c r="I59" s="2"/>
      <x:c r="J59" s="2"/>
      <x:c r="K59" s="2"/>
      <x:c r="L59" s="2"/>
    </x:row>
    <x:row r="60" ht="22" customHeight="1">
      <x:c r="A60" s="2"/>
      <x:c r="B60" s="2" t="str">
        <x:v>2011-10</x:v>
      </x:c>
      <x:c r="C60" s="11" t="n">
        <x:f>IF(AND(B60&gt;=$B$7,B60&lt;=$E$7),SUMIFS('Monthly_Data'!$D$7:$D$600,'Monthly_Data'!$B$7:$B$600,B60,'Monthly_Data'!$C$7:$C$600,IF($H$7="All countries","*",$H$7)),0)</x:f>
        <x:v>1154979.3</x:v>
      </x:c>
      <x:c r="D60" s="11" t="n">
        <x:f>IF(AND(B60&gt;=$B$7,B60&lt;=$E$7),SUMIFS('Monthly_Data'!$E$7:$E$600,'Monthly_Data'!$B$7:$B$600,B60,'Monthly_Data'!$C$7:$C$600,IF($H$7="All countries","*",$H$7)),0)</x:f>
        <x:v>84274.63</x:v>
      </x:c>
      <x:c r="E60" s="11" t="n">
        <x:f>C60-D60</x:f>
        <x:v>1070704.67</x:v>
      </x:c>
      <x:c r="F60" s="21" t="n">
        <x:f>IF(AND(B60&gt;=$B$7,B60&lt;=$E$7),SUMIFS('Monthly_Data'!$F$7:$F$600,'Monthly_Data'!$B$7:$B$600,B60,'Monthly_Data'!$C$7:$C$600,IF($H$7="All countries","*",$H$7)),0)</x:f>
        <x:v>2040</x:v>
      </x:c>
      <x:c r="G60" s="11" t="n">
        <x:f>IF(F60=0,0,C60/F60)</x:f>
        <x:v>566.1663235294118</x:v>
      </x:c>
      <x:c r="H60" s="2" t="str">
        <x:v>Complete month</x:v>
      </x:c>
      <x:c r="I60" s="2"/>
      <x:c r="J60" s="2"/>
      <x:c r="K60" s="2"/>
      <x:c r="L60" s="2"/>
    </x:row>
    <x:row r="61" ht="22" customHeight="1">
      <x:c r="A61" s="2"/>
      <x:c r="B61" s="2" t="str">
        <x:v>2011-11</x:v>
      </x:c>
      <x:c r="C61" s="11" t="n">
        <x:f>IF(AND(B61&gt;=$B$7,B61&lt;=$E$7),SUMIFS('Monthly_Data'!$D$7:$D$600,'Monthly_Data'!$B$7:$B$600,B61,'Monthly_Data'!$C$7:$C$600,IF($H$7="All countries","*",$H$7)),0)</x:f>
        <x:v>1509496.33</x:v>
      </x:c>
      <x:c r="D61" s="11" t="n">
        <x:f>IF(AND(B61&gt;=$B$7,B61&lt;=$E$7),SUMIFS('Monthly_Data'!$E$7:$E$600,'Monthly_Data'!$B$7:$B$600,B61,'Monthly_Data'!$C$7:$C$600,IF($H$7="All countries","*",$H$7)),0)</x:f>
        <x:v>47740.08</x:v>
      </x:c>
      <x:c r="E61" s="11" t="n">
        <x:f>C61-D61</x:f>
        <x:v>1461756.25</x:v>
      </x:c>
      <x:c r="F61" s="21" t="n">
        <x:f>IF(AND(B61&gt;=$B$7,B61&lt;=$E$7),SUMIFS('Monthly_Data'!$F$7:$F$600,'Monthly_Data'!$B$7:$B$600,B61,'Monthly_Data'!$C$7:$C$600,IF($H$7="All countries","*",$H$7)),0)</x:f>
        <x:v>2769</x:v>
      </x:c>
      <x:c r="G61" s="11" t="n">
        <x:f>IF(F61=0,0,C61/F61)</x:f>
        <x:v>545.1413253882268</x:v>
      </x:c>
      <x:c r="H61" s="2" t="str">
        <x:v>Complete month</x:v>
      </x:c>
      <x:c r="I61" s="2"/>
      <x:c r="J61" s="2"/>
      <x:c r="K61" s="2"/>
      <x:c r="L61" s="2"/>
    </x:row>
    <x:row r="62" ht="22" customHeight="1">
      <x:c r="A62" s="2"/>
      <x:c r="B62" s="2" t="str">
        <x:v>2011-12</x:v>
      </x:c>
      <x:c r="C62" s="11" t="n">
        <x:f>IF(AND(B62&gt;=$B$7,B62&lt;=$E$7),SUMIFS('Monthly_Data'!$D$7:$D$600,'Monthly_Data'!$B$7:$B$600,B62,'Monthly_Data'!$C$7:$C$600,IF($H$7="All countries","*",$H$7)),0)</x:f>
        <x:v>638810.6799999999</x:v>
      </x:c>
      <x:c r="D62" s="11" t="n">
        <x:f>IF(AND(B62&gt;=$B$7,B62&lt;=$E$7),SUMIFS('Monthly_Data'!$E$7:$E$600,'Monthly_Data'!$B$7:$B$600,B62,'Monthly_Data'!$C$7:$C$600,IF($H$7="All countries","*",$H$7)),0)</x:f>
        <x:v>205124.67</x:v>
      </x:c>
      <x:c r="E62" s="11" t="n">
        <x:f>C62-D62</x:f>
        <x:v>433686.0099999999</x:v>
      </x:c>
      <x:c r="F62" s="21" t="n">
        <x:f>IF(AND(B62&gt;=$B$7,B62&lt;=$E$7),SUMIFS('Monthly_Data'!$F$7:$F$600,'Monthly_Data'!$B$7:$B$600,B62,'Monthly_Data'!$C$7:$C$600,IF($H$7="All countries","*",$H$7)),0)</x:f>
        <x:v>819</x:v>
      </x:c>
      <x:c r="G62" s="11" t="n">
        <x:f>IF(F62=0,0,C62/F62)</x:f>
        <x:v>779.9886202686201</x:v>
      </x:c>
      <x:c r="H62" s="2" t="str">
        <x:v>Partial month</x:v>
      </x:c>
      <x:c r="I62" s="2"/>
      <x:c r="J62" s="2"/>
      <x:c r="K62" s="2"/>
      <x:c r="L62" s="2"/>
    </x:row>
    <x:row r="63" ht="23" customHeight="1">
      <x:c r="A63" s="2"/>
      <x:c r="B63" s="2"/>
      <x:c r="C63" s="2"/>
      <x:c r="D63" s="2"/>
      <x:c r="E63" s="2"/>
      <x:c r="F63" s="2"/>
      <x:c r="G63" s="2"/>
      <x:c r="H63" s="2"/>
      <x:c r="I63" s="2"/>
      <x:c r="J63" s="2"/>
      <x:c r="K63" s="2"/>
      <x:c r="L63" s="2"/>
    </x:row>
    <x:row r="64" ht="23" customHeight="1">
      <x:c r="A64" s="2"/>
      <x:c r="B64" s="15" t="str">
        <x:v>Months outside the selected date range display zero and are excluded from totals. Order counts are additive here because each invoice belongs to one month and one country, checked during preparation.</x:v>
      </x:c>
      <x:c r="C64" s="15" t="str">
        <x:v>Months outside the selected date range display zero and are excluded from totals. Order counts are additive here because each invoice belongs to one month and one country, checked during preparation.</x:v>
      </x:c>
      <x:c r="D64" s="15" t="str">
        <x:v>Months outside the selected date range display zero and are excluded from totals. Order counts are additive here because each invoice belongs to one month and one country, checked during preparation.</x:v>
      </x:c>
      <x:c r="E64" s="15" t="str">
        <x:v>Months outside the selected date range display zero and are excluded from totals. Order counts are additive here because each invoice belongs to one month and one country, checked during preparation.</x:v>
      </x:c>
      <x:c r="F64" s="15" t="str">
        <x:v>Months outside the selected date range display zero and are excluded from totals. Order counts are additive here because each invoice belongs to one month and one country, checked during preparation.</x:v>
      </x:c>
      <x:c r="G64" s="15" t="str">
        <x:v>Months outside the selected date range display zero and are excluded from totals. Order counts are additive here because each invoice belongs to one month and one country, checked during preparation.</x:v>
      </x:c>
      <x:c r="H64" s="15" t="str">
        <x:v>Months outside the selected date range display zero and are excluded from totals. Order counts are additive here because each invoice belongs to one month and one country, checked during preparation.</x:v>
      </x:c>
      <x:c r="I64" s="15" t="str">
        <x:v>Months outside the selected date range display zero and are excluded from totals. Order counts are additive here because each invoice belongs to one month and one country, checked during preparation.</x:v>
      </x:c>
      <x:c r="J64" s="15" t="str">
        <x:v>Months outside the selected date range display zero and are excluded from totals. Order counts are additive here because each invoice belongs to one month and one country, checked during preparation.</x:v>
      </x:c>
      <x:c r="K64" s="15" t="str">
        <x:v>Months outside the selected date range display zero and are excluded from totals. Order counts are additive here because each invoice belongs to one month and one country, checked during preparation.</x:v>
      </x:c>
      <x:c r="L64" s="15" t="str">
        <x:v>Months outside the selected date range display zero and are excluded from totals. Order counts are additive here because each invoice belongs to one month and one country, checked during preparation.</x:v>
      </x:c>
    </x:row>
    <x:row r="65" ht="23" customHeight="1">
      <x:c r="A65" s="2"/>
      <x:c r="B65" s="15" t="str">
        <x:v>Months outside the selected date range display zero and are excluded from totals. Order counts are additive here because each invoice belongs to one month and one country, checked during preparation.</x:v>
      </x:c>
      <x:c r="C65" s="15" t="str">
        <x:v>Months outside the selected date range display zero and are excluded from totals. Order counts are additive here because each invoice belongs to one month and one country, checked during preparation.</x:v>
      </x:c>
      <x:c r="D65" s="15" t="str">
        <x:v>Months outside the selected date range display zero and are excluded from totals. Order counts are additive here because each invoice belongs to one month and one country, checked during preparation.</x:v>
      </x:c>
      <x:c r="E65" s="15" t="str">
        <x:v>Months outside the selected date range display zero and are excluded from totals. Order counts are additive here because each invoice belongs to one month and one country, checked during preparation.</x:v>
      </x:c>
      <x:c r="F65" s="15" t="str">
        <x:v>Months outside the selected date range display zero and are excluded from totals. Order counts are additive here because each invoice belongs to one month and one country, checked during preparation.</x:v>
      </x:c>
      <x:c r="G65" s="15" t="str">
        <x:v>Months outside the selected date range display zero and are excluded from totals. Order counts are additive here because each invoice belongs to one month and one country, checked during preparation.</x:v>
      </x:c>
      <x:c r="H65" s="15" t="str">
        <x:v>Months outside the selected date range display zero and are excluded from totals. Order counts are additive here because each invoice belongs to one month and one country, checked during preparation.</x:v>
      </x:c>
      <x:c r="I65" s="15" t="str">
        <x:v>Months outside the selected date range display zero and are excluded from totals. Order counts are additive here because each invoice belongs to one month and one country, checked during preparation.</x:v>
      </x:c>
      <x:c r="J65" s="15" t="str">
        <x:v>Months outside the selected date range display zero and are excluded from totals. Order counts are additive here because each invoice belongs to one month and one country, checked during preparation.</x:v>
      </x:c>
      <x:c r="K65" s="15" t="str">
        <x:v>Months outside the selected date range display zero and are excluded from totals. Order counts are additive here because each invoice belongs to one month and one country, checked during preparation.</x:v>
      </x:c>
      <x:c r="L65" s="15" t="str">
        <x:v>Months outside the selected date range display zero and are excluded from totals. Order counts are additive here because each invoice belongs to one month and one country, checked during preparation.</x:v>
      </x:c>
    </x:row>
    <x:row r="66" ht="23" customHeight="1">
      <x:c r="A66" s="2"/>
      <x:c r="B66" s="15" t="str">
        <x:v>Months outside the selected date range display zero and are excluded from totals. Order counts are additive here because each invoice belongs to one month and one country, checked during preparation.</x:v>
      </x:c>
      <x:c r="C66" s="15" t="str">
        <x:v>Months outside the selected date range display zero and are excluded from totals. Order counts are additive here because each invoice belongs to one month and one country, checked during preparation.</x:v>
      </x:c>
      <x:c r="D66" s="15" t="str">
        <x:v>Months outside the selected date range display zero and are excluded from totals. Order counts are additive here because each invoice belongs to one month and one country, checked during preparation.</x:v>
      </x:c>
      <x:c r="E66" s="15" t="str">
        <x:v>Months outside the selected date range display zero and are excluded from totals. Order counts are additive here because each invoice belongs to one month and one country, checked during preparation.</x:v>
      </x:c>
      <x:c r="F66" s="15" t="str">
        <x:v>Months outside the selected date range display zero and are excluded from totals. Order counts are additive here because each invoice belongs to one month and one country, checked during preparation.</x:v>
      </x:c>
      <x:c r="G66" s="15" t="str">
        <x:v>Months outside the selected date range display zero and are excluded from totals. Order counts are additive here because each invoice belongs to one month and one country, checked during preparation.</x:v>
      </x:c>
      <x:c r="H66" s="15" t="str">
        <x:v>Months outside the selected date range display zero and are excluded from totals. Order counts are additive here because each invoice belongs to one month and one country, checked during preparation.</x:v>
      </x:c>
      <x:c r="I66" s="15" t="str">
        <x:v>Months outside the selected date range display zero and are excluded from totals. Order counts are additive here because each invoice belongs to one month and one country, checked during preparation.</x:v>
      </x:c>
      <x:c r="J66" s="15" t="str">
        <x:v>Months outside the selected date range display zero and are excluded from totals. Order counts are additive here because each invoice belongs to one month and one country, checked during preparation.</x:v>
      </x:c>
      <x:c r="K66" s="15" t="str">
        <x:v>Months outside the selected date range display zero and are excluded from totals. Order counts are additive here because each invoice belongs to one month and one country, checked during preparation.</x:v>
      </x:c>
      <x:c r="L66" s="15" t="str">
        <x:v>Months outside the selected date range display zero and are excluded from totals. Order counts are additive here because each invoice belongs to one month and one country, checked during preparation.</x:v>
      </x:c>
    </x:row>
  </x:sheetData>
  <x:mergeCells>
    <x:mergeCell ref="B2:L3"/>
    <x:mergeCell ref="B4:L4"/>
    <x:mergeCell ref="H7:L7"/>
    <x:mergeCell ref="B9:D9"/>
    <x:mergeCell ref="B10:D11"/>
    <x:mergeCell ref="F9:H9"/>
    <x:mergeCell ref="F10:H11"/>
    <x:mergeCell ref="J9:L9"/>
    <x:mergeCell ref="J10:L11"/>
    <x:mergeCell ref="B13:D13"/>
    <x:mergeCell ref="B14:D15"/>
    <x:mergeCell ref="F13:H13"/>
    <x:mergeCell ref="F14:H15"/>
    <x:mergeCell ref="J13:L13"/>
    <x:mergeCell ref="J14:L15"/>
    <x:mergeCell ref="B16:L17"/>
    <x:mergeCell ref="B18:L18"/>
    <x:mergeCell ref="B64:L66"/>
  </x:mergeCells>
  <x:dataValidations count="3">
    <x:dataValidation type="list" sqref="B7">
      <x:formula1>'Monthly_Data'!$O$7:$O$31</x:formula1>
    </x:dataValidation>
    <x:dataValidation type="list" sqref="E7">
      <x:formula1>'Monthly_Data'!$O$7:$O$31</x:formula1>
    </x:dataValidation>
    <x:dataValidation type="list" sqref="H7">
      <x:formula1>'Monthly_Data'!$L$7:$L$50</x:formula1>
    </x:dataValidation>
  </x:dataValidations>
  <x:pageMargins left="0.7" right="0.7" top="0.75" bottom="0.75" header="0.3" footer="0.3"/>
  <x:drawing xmlns:r="http://schemas.openxmlformats.org/officeDocument/2006/relationships" r:id="Rf55a42afc1ae4a95"/>
  <x:tableParts count="1">
    <x:tablePart xmlns:r="http://schemas.openxmlformats.org/officeDocument/2006/relationships" r:id="Rcfb6f99fb4e842f3"/>
  </x:tableParts>
</x:worksheet>
</file>

<file path=xl/worksheets/sheet3.xml><?xml version="1.0" encoding="utf-8"?>
<x:worksheet xmlns:x="http://schemas.openxmlformats.org/spreadsheetml/2006/main">
  <x:sheetPr>
    <x:tabColor rgb="FF20364D"/>
  </x:sheetPr>
  <x:sheetViews>
    <x:sheetView showGridLines="0" workbookViewId="0">
      <x:pane ySplit="5" topLeftCell="A6" activePane="bottomLeft" state="frozen"/>
    </x:sheetView>
  </x:sheetViews>
  <x:sheetFormatPr defaultRowHeight="15"/>
  <x:cols>
    <x:col min="1" max="1" width="3" hidden="0" customWidth="1"/>
    <x:col min="2" max="2" width="13" hidden="0" customWidth="1"/>
    <x:col min="3" max="3" width="13" hidden="0" customWidth="1"/>
    <x:col min="4" max="4" width="48" hidden="0" customWidth="1"/>
    <x:col min="5" max="5" width="17" hidden="0" customWidth="1"/>
    <x:col min="6" max="6" width="17" hidden="0" customWidth="1"/>
    <x:col min="7" max="7" width="17" hidden="0" customWidth="1"/>
    <x:col min="8" max="8" width="17" hidden="0" customWidth="1"/>
    <x:col min="9" max="9" width="17" hidden="0" customWidth="1"/>
    <x:col min="10" max="10" width="13" hidden="0" customWidth="1"/>
    <x:col min="11" max="11" width="13" hidden="0" customWidth="1"/>
    <x:col min="12" max="12" width="13" hidden="0" customWidth="1"/>
  </x:cols>
  <x:sheetData>
    <x:row r="1" ht="23" customHeight="1">
      <x:c r="A1" s="2"/>
      <x:c r="B1" s="2"/>
      <x:c r="C1" s="2"/>
      <x:c r="D1" s="2"/>
      <x:c r="E1" s="2"/>
      <x:c r="F1" s="2"/>
      <x:c r="G1" s="2"/>
      <x:c r="H1" s="2"/>
      <x:c r="I1" s="2"/>
      <x:c r="J1" s="2"/>
      <x:c r="K1" s="2"/>
      <x:c r="L1" s="2"/>
    </x:row>
    <x:row r="2" ht="23" customHeight="1">
      <x:c r="A2" s="2"/>
      <x:c r="B2" s="4" t="str">
        <x:v>Product contribution</x:v>
      </x:c>
      <x:c r="C2" s="4" t="str">
        <x:v>Product contribution</x:v>
      </x:c>
      <x:c r="D2" s="4" t="str">
        <x:v>Product contribution</x:v>
      </x:c>
      <x:c r="E2" s="4" t="str">
        <x:v>Product contribution</x:v>
      </x:c>
      <x:c r="F2" s="4" t="str">
        <x:v>Product contribution</x:v>
      </x:c>
      <x:c r="G2" s="4" t="str">
        <x:v>Product contribution</x:v>
      </x:c>
      <x:c r="H2" s="4" t="str">
        <x:v>Product contribution</x:v>
      </x:c>
      <x:c r="I2" s="4" t="str">
        <x:v>Product contribution</x:v>
      </x:c>
      <x:c r="J2" s="4" t="str">
        <x:v>Product contribution</x:v>
      </x:c>
      <x:c r="K2" s="4" t="str">
        <x:v>Product contribution</x:v>
      </x:c>
      <x:c r="L2" s="4" t="str">
        <x:v>Product contribution</x:v>
      </x:c>
    </x:row>
    <x:row r="3" ht="23" customHeight="1">
      <x:c r="A3" s="2"/>
      <x:c r="B3" s="5" t="str">
        <x:v>Product contribution</x:v>
      </x:c>
      <x:c r="C3" s="5" t="str">
        <x:v>Product contribution</x:v>
      </x:c>
      <x:c r="D3" s="5" t="str">
        <x:v>Product contribution</x:v>
      </x:c>
      <x:c r="E3" s="5" t="str">
        <x:v>Product contribution</x:v>
      </x:c>
      <x:c r="F3" s="5" t="str">
        <x:v>Product contribution</x:v>
      </x:c>
      <x:c r="G3" s="5" t="str">
        <x:v>Product contribution</x:v>
      </x:c>
      <x:c r="H3" s="5" t="str">
        <x:v>Product contribution</x:v>
      </x:c>
      <x:c r="I3" s="5" t="str">
        <x:v>Product contribution</x:v>
      </x:c>
      <x:c r="J3" s="5" t="str">
        <x:v>Product contribution</x:v>
      </x:c>
      <x:c r="K3" s="5" t="str">
        <x:v>Product contribution</x:v>
      </x:c>
      <x:c r="L3" s="5" t="str">
        <x:v>Product contribution</x:v>
      </x:c>
    </x:row>
    <x:row r="4" ht="23" customHeight="1">
      <x:c r="A4" s="2"/>
      <x:c r="B4" s="7" t="str">
        <x:v>Gross sales ranking by stock code. Includes service and adjustment codes; no product categories are supplied.</x:v>
      </x:c>
      <x:c r="C4" s="7" t="str">
        <x:v>Gross sales ranking by stock code. Includes service and adjustment codes; no product categories are supplied.</x:v>
      </x:c>
      <x:c r="D4" s="7" t="str">
        <x:v>Gross sales ranking by stock code. Includes service and adjustment codes; no product categories are supplied.</x:v>
      </x:c>
      <x:c r="E4" s="7" t="str">
        <x:v>Gross sales ranking by stock code. Includes service and adjustment codes; no product categories are supplied.</x:v>
      </x:c>
      <x:c r="F4" s="7" t="str">
        <x:v>Gross sales ranking by stock code. Includes service and adjustment codes; no product categories are supplied.</x:v>
      </x:c>
      <x:c r="G4" s="7" t="str">
        <x:v>Gross sales ranking by stock code. Includes service and adjustment codes; no product categories are supplied.</x:v>
      </x:c>
      <x:c r="H4" s="7" t="str">
        <x:v>Gross sales ranking by stock code. Includes service and adjustment codes; no product categories are supplied.</x:v>
      </x:c>
      <x:c r="I4" s="7" t="str">
        <x:v>Gross sales ranking by stock code. Includes service and adjustment codes; no product categories are supplied.</x:v>
      </x:c>
      <x:c r="J4" s="7" t="str">
        <x:v>Gross sales ranking by stock code. Includes service and adjustment codes; no product categories are supplied.</x:v>
      </x:c>
      <x:c r="K4" s="7" t="str">
        <x:v>Gross sales ranking by stock code. Includes service and adjustment codes; no product categories are supplied.</x:v>
      </x:c>
      <x:c r="L4" s="7" t="str">
        <x:v>Gross sales ranking by stock code. Includes service and adjustment codes; no product categories are supplied.</x:v>
      </x:c>
    </x:row>
    <x:row r="5" ht="23" customHeight="1">
      <x:c r="A5" s="2"/>
      <x:c r="B5" s="2"/>
      <x:c r="C5" s="2"/>
      <x:c r="D5" s="2"/>
      <x:c r="E5" s="2"/>
      <x:c r="F5" s="2"/>
      <x:c r="G5" s="2"/>
      <x:c r="H5" s="2"/>
      <x:c r="I5" s="2"/>
      <x:c r="J5" s="2"/>
      <x:c r="K5" s="2"/>
      <x:c r="L5" s="2"/>
    </x:row>
    <x:row r="6" ht="23" customHeight="1">
      <x:c r="A6" s="2"/>
      <x:c r="B6" s="7" t="str">
        <x:v>Codes producing 80% of gross sales</x:v>
      </x:c>
      <x:c r="C6" s="7" t="str">
        <x:v>Codes producing 80% of gross sales</x:v>
      </x:c>
      <x:c r="D6" s="7" t="str">
        <x:v>Codes producing 80% of gross sales</x:v>
      </x:c>
      <x:c r="E6" s="7" t="str">
        <x:v>Codes producing 80% of gross sales</x:v>
      </x:c>
      <x:c r="F6" s="2"/>
      <x:c r="G6" s="7" t="str">
        <x:v>Share of positive-sales codes</x:v>
      </x:c>
      <x:c r="H6" s="7" t="str">
        <x:v>Share of positive-sales codes</x:v>
      </x:c>
      <x:c r="I6" s="7" t="str">
        <x:v>Share of positive-sales codes</x:v>
      </x:c>
      <x:c r="J6" s="7" t="str">
        <x:v>Share of positive-sales codes</x:v>
      </x:c>
      <x:c r="K6" s="7" t="str">
        <x:v>Share of positive-sales codes</x:v>
      </x:c>
      <x:c r="L6" s="7" t="str">
        <x:v>Share of positive-sales codes</x:v>
      </x:c>
    </x:row>
    <x:row r="7" ht="23" customHeight="1">
      <x:c r="A7" s="2"/>
      <x:c r="B7" s="22" t="n">
        <x:f>'Monthly_Data'!J20</x:f>
        <x:v>1010</x:v>
      </x:c>
      <x:c r="C7" s="2"/>
      <x:c r="D7" s="2"/>
      <x:c r="E7" s="2"/>
      <x:c r="F7" s="2"/>
      <x:c r="G7" s="24" t="n">
        <x:f>'Monthly_Data'!J20/'Monthly_Data'!J19</x:f>
        <x:v>0.20545158665581773</x:v>
      </x:c>
      <x:c r="H7" s="2"/>
      <x:c r="I7" s="2"/>
      <x:c r="J7" s="2"/>
      <x:c r="K7" s="2"/>
      <x:c r="L7" s="2"/>
    </x:row>
    <x:row r="8" ht="23" customHeight="1">
      <x:c r="A8" s="2"/>
      <x:c r="B8" s="2"/>
      <x:c r="C8" s="2"/>
      <x:c r="D8" s="2"/>
      <x:c r="E8" s="2"/>
      <x:c r="F8" s="2"/>
      <x:c r="G8" s="2"/>
      <x:c r="H8" s="2"/>
      <x:c r="I8" s="2"/>
      <x:c r="J8" s="2"/>
      <x:c r="K8" s="2"/>
      <x:c r="L8" s="2"/>
    </x:row>
    <x:row r="9" ht="23" customHeight="1">
      <x:c r="A9" s="2"/>
      <x:c r="B9" s="2"/>
      <x:c r="C9" s="2"/>
      <x:c r="D9" s="2"/>
      <x:c r="E9" s="2"/>
      <x:c r="F9" s="2"/>
      <x:c r="G9" s="2"/>
      <x:c r="H9" s="2"/>
      <x:c r="I9" s="2"/>
      <x:c r="J9" s="2"/>
      <x:c r="K9" s="2"/>
      <x:c r="L9" s="2"/>
    </x:row>
    <x:row r="10" ht="23" customHeight="1">
      <x:c r="A10" s="2"/>
      <x:c r="B10" s="2"/>
      <x:c r="C10" s="2"/>
      <x:c r="D10" s="2"/>
      <x:c r="E10" s="2"/>
      <x:c r="F10" s="2"/>
      <x:c r="G10" s="2"/>
      <x:c r="H10" s="2"/>
      <x:c r="I10" s="2"/>
      <x:c r="J10" s="2"/>
      <x:c r="K10" s="2"/>
      <x:c r="L10" s="2"/>
    </x:row>
    <x:row r="11" ht="34" customHeight="1">
      <x:c r="A11" s="2"/>
      <x:c r="B11" s="10" t="str">
        <x:v>Stock code</x:v>
      </x:c>
      <x:c r="C11" s="10" t="str">
        <x:v>Gross sales</x:v>
      </x:c>
      <x:c r="D11" s="2"/>
      <x:c r="E11" s="2"/>
      <x:c r="F11" s="2"/>
      <x:c r="G11" s="2"/>
      <x:c r="H11" s="2"/>
      <x:c r="I11" s="2"/>
      <x:c r="J11" s="2"/>
      <x:c r="K11" s="2"/>
      <x:c r="L11" s="2"/>
    </x:row>
    <x:row r="12" ht="22" customHeight="1">
      <x:c r="A12" s="2"/>
      <x:c r="B12" s="2" t="str">
        <x:v>M</x:v>
      </x:c>
      <x:c r="C12" s="11" t="n">
        <x:v>339614.89</x:v>
      </x:c>
      <x:c r="D12" s="2"/>
      <x:c r="E12" s="2"/>
      <x:c r="F12" s="2"/>
      <x:c r="G12" s="2"/>
      <x:c r="H12" s="2"/>
      <x:c r="I12" s="2"/>
      <x:c r="J12" s="2"/>
      <x:c r="K12" s="2"/>
      <x:c r="L12" s="2"/>
    </x:row>
    <x:row r="13" ht="22" customHeight="1">
      <x:c r="A13" s="2"/>
      <x:c r="B13" s="2" t="str">
        <x:v>22423</x:v>
      </x:c>
      <x:c r="C13" s="11" t="n">
        <x:v>331084.26999999996</x:v>
      </x:c>
      <x:c r="D13" s="2"/>
      <x:c r="E13" s="2"/>
      <x:c r="F13" s="2"/>
      <x:c r="G13" s="2"/>
      <x:c r="H13" s="2"/>
      <x:c r="I13" s="2"/>
      <x:c r="J13" s="2"/>
      <x:c r="K13" s="2"/>
      <x:c r="L13" s="2"/>
    </x:row>
    <x:row r="14" ht="22" customHeight="1">
      <x:c r="A14" s="2"/>
      <x:c r="B14" s="2" t="str">
        <x:v>DOT</x:v>
      </x:c>
      <x:c r="C14" s="11" t="n">
        <x:v>309854.11</x:v>
      </x:c>
      <x:c r="D14" s="2"/>
      <x:c r="E14" s="2"/>
      <x:c r="F14" s="2"/>
      <x:c r="G14" s="2"/>
      <x:c r="H14" s="2"/>
      <x:c r="I14" s="2"/>
      <x:c r="J14" s="2"/>
      <x:c r="K14" s="2"/>
      <x:c r="L14" s="2"/>
    </x:row>
    <x:row r="15" ht="22" customHeight="1">
      <x:c r="A15" s="2"/>
      <x:c r="B15" s="2" t="str">
        <x:v>85123A</x:v>
      </x:c>
      <x:c r="C15" s="11" t="n">
        <x:v>258065.91</x:v>
      </x:c>
      <x:c r="D15" s="2"/>
      <x:c r="E15" s="2"/>
      <x:c r="F15" s="2"/>
      <x:c r="G15" s="2"/>
      <x:c r="H15" s="2"/>
      <x:c r="I15" s="2"/>
      <x:c r="J15" s="2"/>
      <x:c r="K15" s="2"/>
      <x:c r="L15" s="2"/>
    </x:row>
    <x:row r="16" ht="22" customHeight="1">
      <x:c r="A16" s="2"/>
      <x:c r="B16" s="2" t="str">
        <x:v>85099B</x:v>
      </x:c>
      <x:c r="C16" s="11" t="n">
        <x:v>180888.03</x:v>
      </x:c>
      <x:c r="D16" s="2"/>
      <x:c r="E16" s="2"/>
      <x:c r="F16" s="2"/>
      <x:c r="G16" s="2"/>
      <x:c r="H16" s="2"/>
      <x:c r="I16" s="2"/>
      <x:c r="J16" s="2"/>
      <x:c r="K16" s="2"/>
      <x:c r="L16" s="2"/>
    </x:row>
    <x:row r="17" ht="22" customHeight="1">
      <x:c r="A17" s="2"/>
      <x:c r="B17" s="2" t="str">
        <x:v>23843</x:v>
      </x:c>
      <x:c r="C17" s="11" t="n">
        <x:v>168469.6</x:v>
      </x:c>
      <x:c r="D17" s="2"/>
      <x:c r="E17" s="2"/>
      <x:c r="F17" s="2"/>
      <x:c r="G17" s="2"/>
      <x:c r="H17" s="2"/>
      <x:c r="I17" s="2"/>
      <x:c r="J17" s="2"/>
      <x:c r="K17" s="2"/>
      <x:c r="L17" s="2"/>
    </x:row>
    <x:row r="18" ht="22" customHeight="1">
      <x:c r="A18" s="2"/>
      <x:c r="B18" s="2" t="str">
        <x:v>47566</x:v>
      </x:c>
      <x:c r="C18" s="11" t="n">
        <x:v>148395.98</x:v>
      </x:c>
      <x:c r="D18" s="2"/>
      <x:c r="E18" s="2"/>
      <x:c r="F18" s="2"/>
      <x:c r="G18" s="2"/>
      <x:c r="H18" s="2"/>
      <x:c r="I18" s="2"/>
      <x:c r="J18" s="2"/>
      <x:c r="K18" s="2"/>
      <x:c r="L18" s="2"/>
    </x:row>
    <x:row r="19" ht="22" customHeight="1">
      <x:c r="A19" s="2"/>
      <x:c r="B19" s="2" t="str">
        <x:v>84879</x:v>
      </x:c>
      <x:c r="C19" s="11" t="n">
        <x:v>129681.08</x:v>
      </x:c>
      <x:c r="D19" s="2"/>
      <x:c r="E19" s="2"/>
      <x:c r="F19" s="2"/>
      <x:c r="G19" s="2"/>
      <x:c r="H19" s="2"/>
      <x:c r="I19" s="2"/>
      <x:c r="J19" s="2"/>
      <x:c r="K19" s="2"/>
      <x:c r="L19" s="2"/>
    </x:row>
    <x:row r="20" ht="22" customHeight="1">
      <x:c r="A20" s="2"/>
      <x:c r="B20" s="2" t="str">
        <x:v>POST</x:v>
      </x:c>
      <x:c r="C20" s="11" t="n">
        <x:v>125682.42</x:v>
      </x:c>
      <x:c r="D20" s="2"/>
      <x:c r="E20" s="2"/>
      <x:c r="F20" s="2"/>
      <x:c r="G20" s="2"/>
      <x:c r="H20" s="2"/>
      <x:c r="I20" s="2"/>
      <x:c r="J20" s="2"/>
      <x:c r="K20" s="2"/>
      <x:c r="L20" s="2"/>
    </x:row>
    <x:row r="21" ht="22" customHeight="1">
      <x:c r="A21" s="2"/>
      <x:c r="B21" s="2" t="str">
        <x:v>22086</x:v>
      </x:c>
      <x:c r="C21" s="11" t="n">
        <x:v>117884.19</x:v>
      </x:c>
      <x:c r="D21" s="2"/>
      <x:c r="E21" s="2"/>
      <x:c r="F21" s="2"/>
      <x:c r="G21" s="2"/>
      <x:c r="H21" s="2"/>
      <x:c r="I21" s="2"/>
      <x:c r="J21" s="2"/>
      <x:c r="K21" s="2"/>
      <x:c r="L21" s="2"/>
    </x:row>
    <x:row r="22" ht="23" customHeight="1">
      <x:c r="A22" s="2"/>
      <x:c r="B22" s="2"/>
      <x:c r="C22" s="2"/>
      <x:c r="D22" s="2"/>
      <x:c r="E22" s="2"/>
      <x:c r="F22" s="2"/>
      <x:c r="G22" s="2"/>
      <x:c r="H22" s="2"/>
      <x:c r="I22" s="2"/>
      <x:c r="J22" s="2"/>
      <x:c r="K22" s="2"/>
      <x:c r="L22" s="2"/>
    </x:row>
    <x:row r="23" ht="23" customHeight="1">
      <x:c r="A23" s="2"/>
      <x:c r="B23" s="2"/>
      <x:c r="C23" s="2"/>
      <x:c r="D23" s="2"/>
      <x:c r="E23" s="2"/>
      <x:c r="F23" s="2"/>
      <x:c r="G23" s="2"/>
      <x:c r="H23" s="2"/>
      <x:c r="I23" s="2"/>
      <x:c r="J23" s="2"/>
      <x:c r="K23" s="2"/>
      <x:c r="L23" s="2"/>
    </x:row>
    <x:row r="24" ht="23" customHeight="1">
      <x:c r="A24" s="2"/>
      <x:c r="B24" s="2"/>
      <x:c r="C24" s="2"/>
      <x:c r="D24" s="2"/>
      <x:c r="E24" s="2"/>
      <x:c r="F24" s="2"/>
      <x:c r="G24" s="2"/>
      <x:c r="H24" s="2"/>
      <x:c r="I24" s="2"/>
      <x:c r="J24" s="2"/>
      <x:c r="K24" s="2"/>
      <x:c r="L24" s="2"/>
    </x:row>
    <x:row r="25" ht="23" customHeight="1">
      <x:c r="A25" s="2"/>
      <x:c r="B25" s="2"/>
      <x:c r="C25" s="2"/>
      <x:c r="D25" s="2"/>
      <x:c r="E25" s="2"/>
      <x:c r="F25" s="2"/>
      <x:c r="G25" s="2"/>
      <x:c r="H25" s="2"/>
      <x:c r="I25" s="2"/>
      <x:c r="J25" s="2"/>
      <x:c r="K25" s="2"/>
      <x:c r="L25" s="2"/>
    </x:row>
    <x:row r="26" ht="23" customHeight="1">
      <x:c r="A26" s="2"/>
      <x:c r="B26" s="2"/>
      <x:c r="C26" s="2"/>
      <x:c r="D26" s="2"/>
      <x:c r="E26" s="2"/>
      <x:c r="F26" s="2"/>
      <x:c r="G26" s="2"/>
      <x:c r="H26" s="2"/>
      <x:c r="I26" s="2"/>
      <x:c r="J26" s="2"/>
      <x:c r="K26" s="2"/>
      <x:c r="L26" s="2"/>
    </x:row>
    <x:row r="27" ht="23" customHeight="1">
      <x:c r="A27" s="2"/>
      <x:c r="B27" s="2"/>
      <x:c r="C27" s="2"/>
      <x:c r="D27" s="2"/>
      <x:c r="E27" s="2"/>
      <x:c r="F27" s="2"/>
      <x:c r="G27" s="2"/>
      <x:c r="H27" s="2"/>
      <x:c r="I27" s="2"/>
      <x:c r="J27" s="2"/>
      <x:c r="K27" s="2"/>
      <x:c r="L27" s="2"/>
    </x:row>
    <x:row r="28" ht="23" customHeight="1">
      <x:c r="A28" s="2"/>
      <x:c r="B28" s="15" t="str">
        <x:v>Pareto ranks all codes by gross sales. Return-only codes remain in the full table. Descriptions use the last non-missing description for each code. Ranking, shares and cumulative percentages refresh when the preparation script is rerun.</x:v>
      </x:c>
      <x:c r="C28" s="15" t="str">
        <x:v>Pareto ranks all codes by gross sales. Return-only codes remain in the full table. Descriptions use the last non-missing description for each code. Ranking, shares and cumulative percentages refresh when the preparation script is rerun.</x:v>
      </x:c>
      <x:c r="D28" s="15" t="str">
        <x:v>Pareto ranks all codes by gross sales. Return-only codes remain in the full table. Descriptions use the last non-missing description for each code. Ranking, shares and cumulative percentages refresh when the preparation script is rerun.</x:v>
      </x:c>
      <x:c r="E28" s="15" t="str">
        <x:v>Pareto ranks all codes by gross sales. Return-only codes remain in the full table. Descriptions use the last non-missing description for each code. Ranking, shares and cumulative percentages refresh when the preparation script is rerun.</x:v>
      </x:c>
      <x:c r="F28" s="15" t="str">
        <x:v>Pareto ranks all codes by gross sales. Return-only codes remain in the full table. Descriptions use the last non-missing description for each code. Ranking, shares and cumulative percentages refresh when the preparation script is rerun.</x:v>
      </x:c>
      <x:c r="G28" s="15" t="str">
        <x:v>Pareto ranks all codes by gross sales. Return-only codes remain in the full table. Descriptions use the last non-missing description for each code. Ranking, shares and cumulative percentages refresh when the preparation script is rerun.</x:v>
      </x:c>
      <x:c r="H28" s="15" t="str">
        <x:v>Pareto ranks all codes by gross sales. Return-only codes remain in the full table. Descriptions use the last non-missing description for each code. Ranking, shares and cumulative percentages refresh when the preparation script is rerun.</x:v>
      </x:c>
      <x:c r="I28" s="15" t="str">
        <x:v>Pareto ranks all codes by gross sales. Return-only codes remain in the full table. Descriptions use the last non-missing description for each code. Ranking, shares and cumulative percentages refresh when the preparation script is rerun.</x:v>
      </x:c>
      <x:c r="J28" s="15" t="str">
        <x:v>Pareto ranks all codes by gross sales. Return-only codes remain in the full table. Descriptions use the last non-missing description for each code. Ranking, shares and cumulative percentages refresh when the preparation script is rerun.</x:v>
      </x:c>
      <x:c r="K28" s="15" t="str">
        <x:v>Pareto ranks all codes by gross sales. Return-only codes remain in the full table. Descriptions use the last non-missing description for each code. Ranking, shares and cumulative percentages refresh when the preparation script is rerun.</x:v>
      </x:c>
      <x:c r="L28" s="15" t="str">
        <x:v>Pareto ranks all codes by gross sales. Return-only codes remain in the full table. Descriptions use the last non-missing description for each code. Ranking, shares and cumulative percentages refresh when the preparation script is rerun.</x:v>
      </x:c>
    </x:row>
    <x:row r="29" ht="23" customHeight="1">
      <x:c r="A29" s="2"/>
      <x:c r="B29" s="15" t="str">
        <x:v>Pareto ranks all codes by gross sales. Return-only codes remain in the full table. Descriptions use the last non-missing description for each code. Ranking, shares and cumulative percentages refresh when the preparation script is rerun.</x:v>
      </x:c>
      <x:c r="C29" s="15" t="str">
        <x:v>Pareto ranks all codes by gross sales. Return-only codes remain in the full table. Descriptions use the last non-missing description for each code. Ranking, shares and cumulative percentages refresh when the preparation script is rerun.</x:v>
      </x:c>
      <x:c r="D29" s="15" t="str">
        <x:v>Pareto ranks all codes by gross sales. Return-only codes remain in the full table. Descriptions use the last non-missing description for each code. Ranking, shares and cumulative percentages refresh when the preparation script is rerun.</x:v>
      </x:c>
      <x:c r="E29" s="15" t="str">
        <x:v>Pareto ranks all codes by gross sales. Return-only codes remain in the full table. Descriptions use the last non-missing description for each code. Ranking, shares and cumulative percentages refresh when the preparation script is rerun.</x:v>
      </x:c>
      <x:c r="F29" s="15" t="str">
        <x:v>Pareto ranks all codes by gross sales. Return-only codes remain in the full table. Descriptions use the last non-missing description for each code. Ranking, shares and cumulative percentages refresh when the preparation script is rerun.</x:v>
      </x:c>
      <x:c r="G29" s="15" t="str">
        <x:v>Pareto ranks all codes by gross sales. Return-only codes remain in the full table. Descriptions use the last non-missing description for each code. Ranking, shares and cumulative percentages refresh when the preparation script is rerun.</x:v>
      </x:c>
      <x:c r="H29" s="15" t="str">
        <x:v>Pareto ranks all codes by gross sales. Return-only codes remain in the full table. Descriptions use the last non-missing description for each code. Ranking, shares and cumulative percentages refresh when the preparation script is rerun.</x:v>
      </x:c>
      <x:c r="I29" s="15" t="str">
        <x:v>Pareto ranks all codes by gross sales. Return-only codes remain in the full table. Descriptions use the last non-missing description for each code. Ranking, shares and cumulative percentages refresh when the preparation script is rerun.</x:v>
      </x:c>
      <x:c r="J29" s="15" t="str">
        <x:v>Pareto ranks all codes by gross sales. Return-only codes remain in the full table. Descriptions use the last non-missing description for each code. Ranking, shares and cumulative percentages refresh when the preparation script is rerun.</x:v>
      </x:c>
      <x:c r="K29" s="15" t="str">
        <x:v>Pareto ranks all codes by gross sales. Return-only codes remain in the full table. Descriptions use the last non-missing description for each code. Ranking, shares and cumulative percentages refresh when the preparation script is rerun.</x:v>
      </x:c>
      <x:c r="L29" s="15" t="str">
        <x:v>Pareto ranks all codes by gross sales. Return-only codes remain in the full table. Descriptions use the last non-missing description for each code. Ranking, shares and cumulative percentages refresh when the preparation script is rerun.</x:v>
      </x:c>
    </x:row>
    <x:row r="30" ht="23" customHeight="1">
      <x:c r="A30" s="2"/>
      <x:c r="B30" s="15" t="str">
        <x:v>Pareto ranks all codes by gross sales. Return-only codes remain in the full table. Descriptions use the last non-missing description for each code. Ranking, shares and cumulative percentages refresh when the preparation script is rerun.</x:v>
      </x:c>
      <x:c r="C30" s="15" t="str">
        <x:v>Pareto ranks all codes by gross sales. Return-only codes remain in the full table. Descriptions use the last non-missing description for each code. Ranking, shares and cumulative percentages refresh when the preparation script is rerun.</x:v>
      </x:c>
      <x:c r="D30" s="15" t="str">
        <x:v>Pareto ranks all codes by gross sales. Return-only codes remain in the full table. Descriptions use the last non-missing description for each code. Ranking, shares and cumulative percentages refresh when the preparation script is rerun.</x:v>
      </x:c>
      <x:c r="E30" s="15" t="str">
        <x:v>Pareto ranks all codes by gross sales. Return-only codes remain in the full table. Descriptions use the last non-missing description for each code. Ranking, shares and cumulative percentages refresh when the preparation script is rerun.</x:v>
      </x:c>
      <x:c r="F30" s="15" t="str">
        <x:v>Pareto ranks all codes by gross sales. Return-only codes remain in the full table. Descriptions use the last non-missing description for each code. Ranking, shares and cumulative percentages refresh when the preparation script is rerun.</x:v>
      </x:c>
      <x:c r="G30" s="15" t="str">
        <x:v>Pareto ranks all codes by gross sales. Return-only codes remain in the full table. Descriptions use the last non-missing description for each code. Ranking, shares and cumulative percentages refresh when the preparation script is rerun.</x:v>
      </x:c>
      <x:c r="H30" s="15" t="str">
        <x:v>Pareto ranks all codes by gross sales. Return-only codes remain in the full table. Descriptions use the last non-missing description for each code. Ranking, shares and cumulative percentages refresh when the preparation script is rerun.</x:v>
      </x:c>
      <x:c r="I30" s="15" t="str">
        <x:v>Pareto ranks all codes by gross sales. Return-only codes remain in the full table. Descriptions use the last non-missing description for each code. Ranking, shares and cumulative percentages refresh when the preparation script is rerun.</x:v>
      </x:c>
      <x:c r="J30" s="15" t="str">
        <x:v>Pareto ranks all codes by gross sales. Return-only codes remain in the full table. Descriptions use the last non-missing description for each code. Ranking, shares and cumulative percentages refresh when the preparation script is rerun.</x:v>
      </x:c>
      <x:c r="K30" s="15" t="str">
        <x:v>Pareto ranks all codes by gross sales. Return-only codes remain in the full table. Descriptions use the last non-missing description for each code. Ranking, shares and cumulative percentages refresh when the preparation script is rerun.</x:v>
      </x:c>
      <x:c r="L30" s="15" t="str">
        <x:v>Pareto ranks all codes by gross sales. Return-only codes remain in the full table. Descriptions use the last non-missing description for each code. Ranking, shares and cumulative percentages refresh when the preparation script is rerun.</x:v>
      </x:c>
    </x:row>
    <x:row r="31" ht="23" customHeight="1">
      <x:c r="A31" s="2"/>
      <x:c r="B31" s="2"/>
      <x:c r="C31" s="2"/>
      <x:c r="D31" s="2"/>
      <x:c r="E31" s="2"/>
      <x:c r="F31" s="2"/>
      <x:c r="G31" s="2"/>
      <x:c r="H31" s="2"/>
      <x:c r="I31" s="2"/>
      <x:c r="J31" s="2"/>
      <x:c r="K31" s="2"/>
      <x:c r="L31" s="2"/>
    </x:row>
    <x:row r="32" ht="23" customHeight="1">
      <x:c r="A32" s="2"/>
      <x:c r="B32" s="2"/>
      <x:c r="C32" s="2"/>
      <x:c r="D32" s="2"/>
      <x:c r="E32" s="2"/>
      <x:c r="F32" s="2"/>
      <x:c r="G32" s="2"/>
      <x:c r="H32" s="2"/>
      <x:c r="I32" s="2"/>
      <x:c r="J32" s="2"/>
      <x:c r="K32" s="2"/>
      <x:c r="L32" s="2"/>
    </x:row>
    <x:row r="33" ht="34" customHeight="1">
      <x:c r="A33" s="2"/>
      <x:c r="B33" s="10" t="str">
        <x:v>Rank</x:v>
      </x:c>
      <x:c r="C33" s="10" t="str">
        <x:v>Code</x:v>
      </x:c>
      <x:c r="D33" s="10" t="str">
        <x:v>Description</x:v>
      </x:c>
      <x:c r="E33" s="10" t="str">
        <x:v>Gross sales</x:v>
      </x:c>
      <x:c r="F33" s="10" t="str">
        <x:v>Returns</x:v>
      </x:c>
      <x:c r="G33" s="10" t="str">
        <x:v>Net sales</x:v>
      </x:c>
      <x:c r="H33" s="10" t="str">
        <x:v>Gross share</x:v>
      </x:c>
      <x:c r="I33" s="10" t="str">
        <x:v>Cumulative share</x:v>
      </x:c>
      <x:c r="J33" s="10" t="str">
        <x:v>Orders</x:v>
      </x:c>
      <x:c r="K33" s="2"/>
      <x:c r="L33" s="2"/>
    </x:row>
    <x:row r="34" ht="22" customHeight="1">
      <x:c r="A34" s="2"/>
      <x:c r="B34" s="2" t="n">
        <x:v>1</x:v>
      </x:c>
      <x:c r="C34" s="2" t="str">
        <x:v>M</x:v>
      </x:c>
      <x:c r="D34" s="2" t="str">
        <x:v>Manual</x:v>
      </x:c>
      <x:c r="E34" s="11" t="n">
        <x:v>339614.89</x:v>
      </x:c>
      <x:c r="F34" s="11" t="n">
        <x:v>423312.65</x:v>
      </x:c>
      <x:c r="G34" s="11" t="n">
        <x:v>-83697.76</x:v>
      </x:c>
      <x:c r="H34" s="23" t="n">
        <x:v>0.01653935709118325</x:v>
      </x:c>
      <x:c r="I34" s="23" t="n">
        <x:v>0.01653935709118325</x:v>
      </x:c>
      <x:c r="J34" s="2" t="n">
        <x:v>784</x:v>
      </x:c>
      <x:c r="K34" s="2"/>
      <x:c r="L34" s="2"/>
    </x:row>
    <x:row r="35" ht="22" customHeight="1">
      <x:c r="A35" s="2"/>
      <x:c r="B35" s="2" t="n">
        <x:v>2</x:v>
      </x:c>
      <x:c r="C35" s="2" t="str">
        <x:v>22423</x:v>
      </x:c>
      <x:c r="D35" s="2" t="str">
        <x:v>REGENCY CAKESTAND 3 TIER</x:v>
      </x:c>
      <x:c r="E35" s="11" t="n">
        <x:v>331084.26999999996</x:v>
      </x:c>
      <x:c r="F35" s="11" t="n">
        <x:v>16570.8</x:v>
      </x:c>
      <x:c r="G35" s="11" t="n">
        <x:v>314513.47</x:v>
      </x:c>
      <x:c r="H35" s="23" t="n">
        <x:v>0.016123913085211692</x:v>
      </x:c>
      <x:c r="I35" s="23" t="n">
        <x:v>0.03266327017639494</x:v>
      </x:c>
      <x:c r="J35" s="2" t="n">
        <x:v>3918</x:v>
      </x:c>
      <x:c r="K35" s="2"/>
      <x:c r="L35" s="2"/>
    </x:row>
    <x:row r="36" ht="22" customHeight="1">
      <x:c r="A36" s="2"/>
      <x:c r="B36" s="2" t="n">
        <x:v>3</x:v>
      </x:c>
      <x:c r="C36" s="2" t="str">
        <x:v>DOT</x:v>
      </x:c>
      <x:c r="D36" s="2" t="str">
        <x:v>DOTCOM POSTAGE</x:v>
      </x:c>
      <x:c r="E36" s="11" t="n">
        <x:v>309854.11</x:v>
      </x:c>
      <x:c r="F36" s="11" t="n">
        <x:v>10.01</x:v>
      </x:c>
      <x:c r="G36" s="11" t="n">
        <x:v>309844.1</x:v>
      </x:c>
      <x:c r="H36" s="23" t="n">
        <x:v>0.015089997295056098</x:v>
      </x:c>
      <x:c r="I36" s="23" t="n">
        <x:v>0.04775326747145104</x:v>
      </x:c>
      <x:c r="J36" s="2" t="n">
        <x:v>1415</x:v>
      </x:c>
      <x:c r="K36" s="2"/>
      <x:c r="L36" s="2"/>
    </x:row>
    <x:row r="37" ht="22" customHeight="1">
      <x:c r="A37" s="2"/>
      <x:c r="B37" s="2" t="n">
        <x:v>4</x:v>
      </x:c>
      <x:c r="C37" s="2" t="str">
        <x:v>85123A</x:v>
      </x:c>
      <x:c r="D37" s="2" t="str">
        <x:v>CREAM HANGING HEART T-LIGHT HOLDER</x:v>
      </x:c>
      <x:c r="E37" s="11" t="n">
        <x:v>258065.91</x:v>
      </x:c>
      <x:c r="F37" s="11" t="n">
        <x:v>9387.1</x:v>
      </x:c>
      <x:c r="G37" s="11" t="n">
        <x:v>248678.81</x:v>
      </x:c>
      <x:c r="H37" s="23" t="n">
        <x:v>0.012567894883970365</x:v>
      </x:c>
      <x:c r="I37" s="23" t="n">
        <x:v>0.060321162355421405</x:v>
      </x:c>
      <x:c r="J37" s="2" t="n">
        <x:v>5365</x:v>
      </x:c>
      <x:c r="K37" s="2"/>
      <x:c r="L37" s="2"/>
    </x:row>
    <x:row r="38" ht="22" customHeight="1">
      <x:c r="A38" s="2"/>
      <x:c r="B38" s="2" t="n">
        <x:v>5</x:v>
      </x:c>
      <x:c r="C38" s="2" t="str">
        <x:v>85099B</x:v>
      </x:c>
      <x:c r="D38" s="2" t="str">
        <x:v>JUMBO BAG RED RETROSPOT</x:v>
      </x:c>
      <x:c r="E38" s="11" t="n">
        <x:v>180888.03</x:v>
      </x:c>
      <x:c r="F38" s="11" t="n">
        <x:v>2168.82</x:v>
      </x:c>
      <x:c r="G38" s="11" t="n">
        <x:v>178719.21</x:v>
      </x:c>
      <x:c r="H38" s="23" t="n">
        <x:v>0.008809306687615105</x:v>
      </x:c>
      <x:c r="I38" s="23" t="n">
        <x:v>0.0691304690430365</x:v>
      </x:c>
      <x:c r="J38" s="2" t="n">
        <x:v>3989</x:v>
      </x:c>
      <x:c r="K38" s="2"/>
      <x:c r="L38" s="2"/>
    </x:row>
    <x:row r="39" ht="22" customHeight="1">
      <x:c r="A39" s="2"/>
      <x:c r="B39" s="2" t="n">
        <x:v>6</x:v>
      </x:c>
      <x:c r="C39" s="2" t="str">
        <x:v>23843</x:v>
      </x:c>
      <x:c r="D39" s="2" t="str">
        <x:v>PAPER CRAFT , LITTLE BIRDIE</x:v>
      </x:c>
      <x:c r="E39" s="11" t="n">
        <x:v>168469.6</x:v>
      </x:c>
      <x:c r="F39" s="11" t="n">
        <x:v>168469.6</x:v>
      </x:c>
      <x:c r="G39" s="11" t="n">
        <x:v>0</x:v>
      </x:c>
      <x:c r="H39" s="23" t="n">
        <x:v>0.008204525053094125</x:v>
      </x:c>
      <x:c r="I39" s="23" t="n">
        <x:v>0.07733499409613064</x:v>
      </x:c>
      <x:c r="J39" s="2" t="n">
        <x:v>1</x:v>
      </x:c>
      <x:c r="K39" s="2"/>
      <x:c r="L39" s="2"/>
    </x:row>
    <x:row r="40" ht="22" customHeight="1">
      <x:c r="A40" s="2"/>
      <x:c r="B40" s="2" t="n">
        <x:v>7</x:v>
      </x:c>
      <x:c r="C40" s="2" t="str">
        <x:v>47566</x:v>
      </x:c>
      <x:c r="D40" s="2" t="str">
        <x:v>PARTY BUNTING</x:v>
      </x:c>
      <x:c r="E40" s="11" t="n">
        <x:v>148395.98</x:v>
      </x:c>
      <x:c r="F40" s="11" t="n">
        <x:v>1238.5500000000002</x:v>
      </x:c>
      <x:c r="G40" s="11" t="n">
        <x:v>147157.43</x:v>
      </x:c>
      <x:c r="H40" s="23" t="n">
        <x:v>0.00722693314217197</x:v>
      </x:c>
      <x:c r="I40" s="23" t="n">
        <x:v>0.08456192723830261</x:v>
      </x:c>
      <x:c r="J40" s="2" t="n">
        <x:v>2674</x:v>
      </x:c>
      <x:c r="K40" s="2"/>
      <x:c r="L40" s="2"/>
    </x:row>
    <x:row r="41" ht="22" customHeight="1">
      <x:c r="A41" s="2"/>
      <x:c r="B41" s="2" t="n">
        <x:v>8</x:v>
      </x:c>
      <x:c r="C41" s="2" t="str">
        <x:v>84879</x:v>
      </x:c>
      <x:c r="D41" s="2" t="str">
        <x:v>ASSORTED COLOUR BIRD ORNAMENT</x:v>
      </x:c>
      <x:c r="E41" s="11" t="n">
        <x:v>129681.08</x:v>
      </x:c>
      <x:c r="F41" s="11" t="n">
        <x:v>774.0699999999999</x:v>
      </x:c>
      <x:c r="G41" s="11" t="n">
        <x:v>128907.01</x:v>
      </x:c>
      <x:c r="H41" s="23" t="n">
        <x:v>0.006315511343128396</x:v>
      </x:c>
      <x:c r="I41" s="23" t="n">
        <x:v>0.090877438581431</x:v>
      </x:c>
      <x:c r="J41" s="2" t="n">
        <x:v>2807</x:v>
      </x:c>
      <x:c r="K41" s="2"/>
      <x:c r="L41" s="2"/>
    </x:row>
    <x:row r="42" ht="22" customHeight="1">
      <x:c r="A42" s="2"/>
      <x:c r="B42" s="2" t="n">
        <x:v>9</x:v>
      </x:c>
      <x:c r="C42" s="2" t="str">
        <x:v>POST</x:v>
      </x:c>
      <x:c r="D42" s="2" t="str">
        <x:v>POSTAGE</x:v>
      </x:c>
      <x:c r="E42" s="11" t="n">
        <x:v>125682.42</x:v>
      </x:c>
      <x:c r="F42" s="11" t="n">
        <x:v>15252.01</x:v>
      </x:c>
      <x:c r="G42" s="11" t="n">
        <x:v>110430.41</x:v>
      </x:c>
      <x:c r="H42" s="23" t="n">
        <x:v>0.006120775283039184</x:v>
      </x:c>
      <x:c r="I42" s="23" t="n">
        <x:v>0.09699821386447019</x:v>
      </x:c>
      <x:c r="J42" s="2" t="n">
        <x:v>1851</x:v>
      </x:c>
      <x:c r="K42" s="2"/>
      <x:c r="L42" s="2"/>
    </x:row>
    <x:row r="43" ht="22" customHeight="1">
      <x:c r="A43" s="2"/>
      <x:c r="B43" s="2" t="n">
        <x:v>10</x:v>
      </x:c>
      <x:c r="C43" s="2" t="str">
        <x:v>22086</x:v>
      </x:c>
      <x:c r="D43" s="2" t="str">
        <x:v>PAPER CHAIN KIT 50'S CHRISTMAS </x:v>
      </x:c>
      <x:c r="E43" s="11" t="n">
        <x:v>117884.19</x:v>
      </x:c>
      <x:c r="F43" s="11" t="n">
        <x:v>1461.7</x:v>
      </x:c>
      <x:c r="G43" s="11" t="n">
        <x:v>116422.49</x:v>
      </x:c>
      <x:c r="H43" s="23" t="n">
        <x:v>0.005740998911487343</x:v>
      </x:c>
      <x:c r="I43" s="23" t="n">
        <x:v>0.10273921277595753</x:v>
      </x:c>
      <x:c r="J43" s="2" t="n">
        <x:v>2018</x:v>
      </x:c>
      <x:c r="K43" s="2"/>
      <x:c r="L43" s="2"/>
    </x:row>
    <x:row r="44" ht="22" customHeight="1">
      <x:c r="A44" s="2"/>
      <x:c r="B44" s="2" t="n">
        <x:v>11</x:v>
      </x:c>
      <x:c r="C44" s="2" t="str">
        <x:v>23166</x:v>
      </x:c>
      <x:c r="D44" s="2" t="str">
        <x:v>MEDIUM CERAMIC TOP STORAGE JAR</x:v>
      </x:c>
      <x:c r="E44" s="11" t="n">
        <x:v>81700.92000000001</x:v>
      </x:c>
      <x:c r="F44" s="11" t="n">
        <x:v>77479.64</x:v>
      </x:c>
      <x:c r="G44" s="11" t="n">
        <x:v>4221.28</x:v>
      </x:c>
      <x:c r="H44" s="23" t="n">
        <x:v>0.0039788617352972825</x:v>
      </x:c>
      <x:c r="I44" s="23" t="n">
        <x:v>0.10671807451125481</x:v>
      </x:c>
      <x:c r="J44" s="2" t="n">
        <x:v>247</x:v>
      </x:c>
      <x:c r="K44" s="2"/>
      <x:c r="L44" s="2"/>
    </x:row>
    <x:row r="45" ht="22" customHeight="1">
      <x:c r="A45" s="2"/>
      <x:c r="B45" s="2" t="n">
        <x:v>12</x:v>
      </x:c>
      <x:c r="C45" s="2" t="str">
        <x:v>79321</x:v>
      </x:c>
      <x:c r="D45" s="2" t="str">
        <x:v>CHILLI LIGHTS</x:v>
      </x:c>
      <x:c r="E45" s="11" t="n">
        <x:v>80873.23</x:v>
      </x:c>
      <x:c r="F45" s="11" t="n">
        <x:v>635.75</x:v>
      </x:c>
      <x:c r="G45" s="11" t="n">
        <x:v>80237.48</x:v>
      </x:c>
      <x:c r="H45" s="23" t="n">
        <x:v>0.003938552959463567</x:v>
      </x:c>
      <x:c r="I45" s="23" t="n">
        <x:v>0.11065662747071837</x:v>
      </x:c>
      <x:c r="J45" s="2" t="n">
        <x:v>1135</x:v>
      </x:c>
      <x:c r="K45" s="2"/>
      <x:c r="L45" s="2"/>
    </x:row>
    <x:row r="46" ht="22" customHeight="1">
      <x:c r="A46" s="2"/>
      <x:c r="B46" s="2" t="n">
        <x:v>13</x:v>
      </x:c>
      <x:c r="C46" s="2" t="str">
        <x:v>22197</x:v>
      </x:c>
      <x:c r="D46" s="2" t="str">
        <x:v>POPCORN HOLDER</x:v>
      </x:c>
      <x:c r="E46" s="11" t="n">
        <x:v>79552.5</x:v>
      </x:c>
      <x:c r="F46" s="11" t="n">
        <x:v>616.58</x:v>
      </x:c>
      <x:c r="G46" s="11" t="n">
        <x:v>78935.92</x:v>
      </x:c>
      <x:c r="H46" s="23" t="n">
        <x:v>0.0038742329731077324</x:v>
      </x:c>
      <x:c r="I46" s="23" t="n">
        <x:v>0.11453086044382611</x:v>
      </x:c>
      <x:c r="J46" s="2" t="n">
        <x:v>2322</x:v>
      </x:c>
      <x:c r="K46" s="2"/>
      <x:c r="L46" s="2"/>
    </x:row>
    <x:row r="47" ht="22" customHeight="1">
      <x:c r="A47" s="2"/>
      <x:c r="B47" s="2" t="n">
        <x:v>14</x:v>
      </x:c>
      <x:c r="C47" s="2" t="str">
        <x:v>22386</x:v>
      </x:c>
      <x:c r="D47" s="2" t="str">
        <x:v>JUMBO BAG PINK POLKADOT</x:v>
      </x:c>
      <x:c r="E47" s="11" t="n">
        <x:v>76385.2</x:v>
      </x:c>
      <x:c r="F47" s="11" t="n">
        <x:v>866.98</x:v>
      </x:c>
      <x:c r="G47" s="11" t="n">
        <x:v>75518.22</x:v>
      </x:c>
      <x:c r="H47" s="23" t="n">
        <x:v>0.0037199844190619873</x:v>
      </x:c>
      <x:c r="I47" s="23" t="n">
        <x:v>0.1182508448628881</x:v>
      </x:c>
      <x:c r="J47" s="2" t="n">
        <x:v>2245</x:v>
      </x:c>
      <x:c r="K47" s="2"/>
      <x:c r="L47" s="2"/>
    </x:row>
    <x:row r="48" ht="22" customHeight="1">
      <x:c r="A48" s="2"/>
      <x:c r="B48" s="2" t="n">
        <x:v>15</x:v>
      </x:c>
      <x:c r="C48" s="2" t="str">
        <x:v>20725</x:v>
      </x:c>
      <x:c r="D48" s="2" t="str">
        <x:v>LUNCH BAG RED RETROSPOT</x:v>
      </x:c>
      <x:c r="E48" s="11" t="n">
        <x:v>71396.14</x:v>
      </x:c>
      <x:c r="F48" s="11" t="n">
        <x:v>1383.75</x:v>
      </x:c>
      <x:c r="G48" s="11" t="n">
        <x:v>70012.39</x:v>
      </x:c>
      <x:c r="H48" s="23" t="n">
        <x:v>0.003477015552504521</x:v>
      </x:c>
      <x:c r="I48" s="23" t="n">
        <x:v>0.12172786041539262</x:v>
      </x:c>
      <x:c r="J48" s="2" t="n">
        <x:v>3056</x:v>
      </x:c>
      <x:c r="K48" s="2"/>
      <x:c r="L48" s="2"/>
    </x:row>
    <x:row r="49" ht="22" customHeight="1">
      <x:c r="A49" s="2"/>
      <x:c r="B49" s="2" t="n">
        <x:v>16</x:v>
      </x:c>
      <x:c r="C49" s="2" t="str">
        <x:v>84347</x:v>
      </x:c>
      <x:c r="D49" s="2" t="str">
        <x:v>ROTATING SILVER ANGELS T-LIGHT HLDR</x:v>
      </x:c>
      <x:c r="E49" s="11" t="n">
        <x:v>71361.6</x:v>
      </x:c>
      <x:c r="F49" s="11" t="n">
        <x:v>330.45000000000005</x:v>
      </x:c>
      <x:c r="G49" s="11" t="n">
        <x:v>71031.15</x:v>
      </x:c>
      <x:c r="H49" s="23" t="n">
        <x:v>0.0034753334431190065</x:v>
      </x:c>
      <x:c r="I49" s="23" t="n">
        <x:v>0.1252031938585116</x:v>
      </x:c>
      <x:c r="J49" s="2" t="n">
        <x:v>756</x:v>
      </x:c>
      <x:c r="K49" s="2"/>
      <x:c r="L49" s="2"/>
    </x:row>
    <x:row r="50" ht="22" customHeight="1">
      <x:c r="A50" s="2"/>
      <x:c r="B50" s="2" t="n">
        <x:v>17</x:v>
      </x:c>
      <x:c r="C50" s="2" t="str">
        <x:v>85099F</x:v>
      </x:c>
      <x:c r="D50" s="2" t="str">
        <x:v>JUMBO BAG STRAWBERRY</x:v>
      </x:c>
      <x:c r="E50" s="11" t="n">
        <x:v>68091.85</x:v>
      </x:c>
      <x:c r="F50" s="11" t="n">
        <x:v>512.24</x:v>
      </x:c>
      <x:c r="G50" s="11" t="n">
        <x:v>67579.61</x:v>
      </x:c>
      <x:c r="H50" s="23" t="n">
        <x:v>0.0033160955403023886</x:v>
      </x:c>
      <x:c r="I50" s="23" t="n">
        <x:v>0.128519289398814</x:v>
      </x:c>
      <x:c r="J50" s="2" t="n">
        <x:v>1830</x:v>
      </x:c>
      <x:c r="K50" s="2"/>
      <x:c r="L50" s="2"/>
    </x:row>
    <x:row r="51" ht="22" customHeight="1">
      <x:c r="A51" s="2"/>
      <x:c r="B51" s="2" t="n">
        <x:v>18</x:v>
      </x:c>
      <x:c r="C51" s="2" t="str">
        <x:v>48138</x:v>
      </x:c>
      <x:c r="D51" s="2" t="str">
        <x:v>DOORMAT UNION FLAG</x:v>
      </x:c>
      <x:c r="E51" s="11" t="n">
        <x:v>67138.19</x:v>
      </x:c>
      <x:c r="F51" s="11" t="n">
        <x:v>359.40999999999997</x:v>
      </x:c>
      <x:c r="G51" s="11" t="n">
        <x:v>66778.78</x:v>
      </x:c>
      <x:c r="H51" s="23" t="n">
        <x:v>0.0032696519839448394</x:v>
      </x:c>
      <x:c r="I51" s="23" t="n">
        <x:v>0.13178894138275882</x:v>
      </x:c>
      <x:c r="J51" s="2" t="n">
        <x:v>1664</x:v>
      </x:c>
      <x:c r="K51" s="2"/>
      <x:c r="L51" s="2"/>
    </x:row>
    <x:row r="52" ht="22" customHeight="1">
      <x:c r="A52" s="2"/>
      <x:c r="B52" s="2" t="n">
        <x:v>19</x:v>
      </x:c>
      <x:c r="C52" s="2" t="str">
        <x:v>23084</x:v>
      </x:c>
      <x:c r="D52" s="2" t="str">
        <x:v>RABBIT NIGHT LIGHT</x:v>
      </x:c>
      <x:c r="E52" s="11" t="n">
        <x:v>66964.99</x:v>
      </x:c>
      <x:c r="F52" s="11" t="n">
        <x:v>208.4</x:v>
      </x:c>
      <x:c r="G52" s="11" t="n">
        <x:v>66756.59</x:v>
      </x:c>
      <x:c r="H52" s="23" t="n">
        <x:v>0.003261217086852451</x:v>
      </x:c>
      <x:c r="I52" s="23" t="n">
        <x:v>0.13505015846961127</x:v>
      </x:c>
      <x:c r="J52" s="2" t="n">
        <x:v>994</x:v>
      </x:c>
      <x:c r="K52" s="2"/>
      <x:c r="L52" s="2"/>
    </x:row>
    <x:row r="53" ht="22" customHeight="1">
      <x:c r="A53" s="2"/>
      <x:c r="B53" s="2" t="n">
        <x:v>20</x:v>
      </x:c>
      <x:c r="C53" s="2" t="str">
        <x:v>20685</x:v>
      </x:c>
      <x:c r="D53" s="2" t="str">
        <x:v>DOORMAT RED RETROSPOT</x:v>
      </x:c>
      <x:c r="E53" s="11" t="n">
        <x:v>66464.71</x:v>
      </x:c>
      <x:c r="F53" s="11" t="n">
        <x:v>632.53</x:v>
      </x:c>
      <x:c r="G53" s="11" t="n">
        <x:v>65832.18</x:v>
      </x:c>
      <x:c r="H53" s="23" t="n">
        <x:v>0.0032368532859437887</x:v>
      </x:c>
      <x:c r="I53" s="23" t="n">
        <x:v>0.13828701175555505</x:v>
      </x:c>
      <x:c r="J53" s="2" t="n">
        <x:v>1725</x:v>
      </x:c>
      <x:c r="K53" s="2"/>
      <x:c r="L53" s="2"/>
    </x:row>
    <x:row r="54" ht="22" customHeight="1">
      <x:c r="A54" s="2"/>
      <x:c r="B54" s="2" t="n">
        <x:v>21</x:v>
      </x:c>
      <x:c r="C54" s="2" t="str">
        <x:v>21137</x:v>
      </x:c>
      <x:c r="D54" s="2" t="str">
        <x:v>BLACK RECORD COVER FRAME</x:v>
      </x:c>
      <x:c r="E54" s="11" t="n">
        <x:v>65223.04</x:v>
      </x:c>
      <x:c r="F54" s="11" t="n">
        <x:v>82.29</x:v>
      </x:c>
      <x:c r="G54" s="11" t="n">
        <x:v>65140.75</x:v>
      </x:c>
      <x:c r="H54" s="23" t="n">
        <x:v>0.003176383547648717</x:v>
      </x:c>
      <x:c r="I54" s="23" t="n">
        <x:v>0.14146339530320376</x:v>
      </x:c>
      <x:c r="J54" s="2" t="n">
        <x:v>634</x:v>
      </x:c>
      <x:c r="K54" s="2"/>
      <x:c r="L54" s="2"/>
    </x:row>
    <x:row r="55" ht="22" customHeight="1">
      <x:c r="A55" s="2"/>
      <x:c r="B55" s="2" t="n">
        <x:v>22</x:v>
      </x:c>
      <x:c r="C55" s="2" t="str">
        <x:v>21843</x:v>
      </x:c>
      <x:c r="D55" s="2" t="str">
        <x:v>RED RETROSPOT CAKE STAND</x:v>
      </x:c>
      <x:c r="E55" s="11" t="n">
        <x:v>65189.95</x:v>
      </x:c>
      <x:c r="F55" s="11" t="n">
        <x:v>5270.25</x:v>
      </x:c>
      <x:c r="G55" s="11" t="n">
        <x:v>59919.7</x:v>
      </x:c>
      <x:c r="H55" s="23" t="n">
        <x:v>0.0031747720537411697</x:v>
      </x:c>
      <x:c r="I55" s="23" t="n">
        <x:v>0.14463816735694493</x:v>
      </x:c>
      <x:c r="J55" s="2" t="n">
        <x:v>1527</x:v>
      </x:c>
      <x:c r="K55" s="2"/>
      <x:c r="L55" s="2"/>
    </x:row>
    <x:row r="56" ht="22" customHeight="1">
      <x:c r="A56" s="2"/>
      <x:c r="B56" s="2" t="n">
        <x:v>23</x:v>
      </x:c>
      <x:c r="C56" s="2" t="str">
        <x:v>21931</x:v>
      </x:c>
      <x:c r="D56" s="2" t="str">
        <x:v>JUMBO STORAGE BAG SUKI</x:v>
      </x:c>
      <x:c r="E56" s="11" t="n">
        <x:v>61565.11</x:v>
      </x:c>
      <x:c r="F56" s="11" t="n">
        <x:v>710.63</x:v>
      </x:c>
      <x:c r="G56" s="11" t="n">
        <x:v>60854.48</x:v>
      </x:c>
      <x:c r="H56" s="23" t="n">
        <x:v>0.002998241150875266</x:v>
      </x:c>
      <x:c r="I56" s="23" t="n">
        <x:v>0.1476364085078202</x:v>
      </x:c>
      <x:c r="J56" s="2" t="n">
        <x:v>2329</x:v>
      </x:c>
      <x:c r="K56" s="2"/>
      <x:c r="L56" s="2"/>
    </x:row>
    <x:row r="57" ht="22" customHeight="1">
      <x:c r="A57" s="2"/>
      <x:c r="B57" s="2" t="n">
        <x:v>24</x:v>
      </x:c>
      <x:c r="C57" s="2" t="str">
        <x:v>22502</x:v>
      </x:c>
      <x:c r="D57" s="2" t="str">
        <x:v>PICNIC BASKET WICKER SMALL</x:v>
      </x:c>
      <x:c r="E57" s="11" t="n">
        <x:v>60924.5</x:v>
      </x:c>
      <x:c r="F57" s="11" t="n">
        <x:v>436.42</x:v>
      </x:c>
      <x:c r="G57" s="11" t="n">
        <x:v>60488.08</x:v>
      </x:c>
      <x:c r="H57" s="23" t="n">
        <x:v>0.002967043232709243</x:v>
      </x:c>
      <x:c r="I57" s="23" t="n">
        <x:v>0.15060345174052944</x:v>
      </x:c>
      <x:c r="J57" s="2" t="n">
        <x:v>924</x:v>
      </x:c>
      <x:c r="K57" s="2"/>
      <x:c r="L57" s="2"/>
    </x:row>
    <x:row r="58" ht="22" customHeight="1">
      <x:c r="A58" s="2"/>
      <x:c r="B58" s="2" t="n">
        <x:v>25</x:v>
      </x:c>
      <x:c r="C58" s="2" t="str">
        <x:v>21621</x:v>
      </x:c>
      <x:c r="D58" s="2" t="str">
        <x:v>VINTAGE UNION JACK BUNTING</x:v>
      </x:c>
      <x:c r="E58" s="11" t="n">
        <x:v>60405.04</x:v>
      </x:c>
      <x:c r="F58" s="11" t="n">
        <x:v>544</x:v>
      </x:c>
      <x:c r="G58" s="11" t="n">
        <x:v>59861.04</x:v>
      </x:c>
      <x:c r="H58" s="23" t="n">
        <x:v>0.002941745359478225</x:v>
      </x:c>
      <x:c r="I58" s="23" t="n">
        <x:v>0.15354519710000766</x:v>
      </x:c>
      <x:c r="J58" s="2" t="n">
        <x:v>1292</x:v>
      </x:c>
      <x:c r="K58" s="2"/>
      <x:c r="L58" s="2"/>
    </x:row>
    <x:row r="59" ht="22" customHeight="1">
      <x:c r="A59" s="2"/>
      <x:c r="B59" s="2" t="n">
        <x:v>26</x:v>
      </x:c>
      <x:c r="C59" s="2" t="str">
        <x:v>22114</x:v>
      </x:c>
      <x:c r="D59" s="2" t="str">
        <x:v>HOT WATER BOTTLE TEA AND SYMPATHY</x:v>
      </x:c>
      <x:c r="E59" s="11" t="n">
        <x:v>59336.64</x:v>
      </x:c>
      <x:c r="F59" s="11" t="n">
        <x:v>795.2</x:v>
      </x:c>
      <x:c r="G59" s="11" t="n">
        <x:v>58541.44</x:v>
      </x:c>
      <x:c r="H59" s="23" t="n">
        <x:v>0.0028897139272986163</x:v>
      </x:c>
      <x:c r="I59" s="23" t="n">
        <x:v>0.15643491102730628</x:v>
      </x:c>
      <x:c r="J59" s="2" t="n">
        <x:v>1583</x:v>
      </x:c>
      <x:c r="K59" s="2"/>
      <x:c r="L59" s="2"/>
    </x:row>
    <x:row r="60" ht="22" customHeight="1">
      <x:c r="A60" s="2"/>
      <x:c r="B60" s="2" t="n">
        <x:v>27</x:v>
      </x:c>
      <x:c r="C60" s="2" t="str">
        <x:v>85099C</x:v>
      </x:c>
      <x:c r="D60" s="2" t="str">
        <x:v>JUMBO  BAG BAROQUE BLACK WHITE</x:v>
      </x:c>
      <x:c r="E60" s="11" t="n">
        <x:v>59226.87</x:v>
      </x:c>
      <x:c r="F60" s="11" t="n">
        <x:v>570.88</x:v>
      </x:c>
      <x:c r="G60" s="11" t="n">
        <x:v>58655.99</x:v>
      </x:c>
      <x:c r="H60" s="23" t="n">
        <x:v>0.002884368092114832</x:v>
      </x:c>
      <x:c r="I60" s="23" t="n">
        <x:v>0.15931927911942112</x:v>
      </x:c>
      <x:c r="J60" s="2" t="n">
        <x:v>1868</x:v>
      </x:c>
      <x:c r="K60" s="2"/>
      <x:c r="L60" s="2"/>
    </x:row>
    <x:row r="61" ht="22" customHeight="1">
      <x:c r="A61" s="2"/>
      <x:c r="B61" s="2" t="n">
        <x:v>28</x:v>
      </x:c>
      <x:c r="C61" s="2" t="str">
        <x:v>22910</x:v>
      </x:c>
      <x:c r="D61" s="2" t="str">
        <x:v>PAPER CHAIN KIT VINTAGE CHRISTMAS</x:v>
      </x:c>
      <x:c r="E61" s="11" t="n">
        <x:v>58699.9</x:v>
      </x:c>
      <x:c r="F61" s="11" t="n">
        <x:v>1185.6</x:v>
      </x:c>
      <x:c r="G61" s="11" t="n">
        <x:v>57514.3</x:v>
      </x:c>
      <x:c r="H61" s="23" t="n">
        <x:v>0.0028587044794082723</x:v>
      </x:c>
      <x:c r="I61" s="23" t="n">
        <x:v>0.1621779835988294</x:v>
      </x:c>
      <x:c r="J61" s="2" t="n">
        <x:v>1427</x:v>
      </x:c>
      <x:c r="K61" s="2"/>
      <x:c r="L61" s="2"/>
    </x:row>
    <x:row r="62" ht="22" customHeight="1">
      <x:c r="A62" s="2"/>
      <x:c r="B62" s="2" t="n">
        <x:v>29</x:v>
      </x:c>
      <x:c r="C62" s="2" t="str">
        <x:v>22112</x:v>
      </x:c>
      <x:c r="D62" s="2" t="str">
        <x:v>CHOCOLATE HOT WATER BOTTLE</x:v>
      </x:c>
      <x:c r="E62" s="11" t="n">
        <x:v>58095.79</x:v>
      </x:c>
      <x:c r="F62" s="11" t="n">
        <x:v>687.48</x:v>
      </x:c>
      <x:c r="G62" s="11" t="n">
        <x:v>57408.310000000005</x:v>
      </x:c>
      <x:c r="H62" s="23" t="n">
        <x:v>0.002829284123273844</x:v>
      </x:c>
      <x:c r="I62" s="23" t="n">
        <x:v>0.16500726772210325</x:v>
      </x:c>
      <x:c r="J62" s="2" t="n">
        <x:v>1721</x:v>
      </x:c>
      <x:c r="K62" s="2"/>
      <x:c r="L62" s="2"/>
    </x:row>
    <x:row r="63" ht="22" customHeight="1">
      <x:c r="A63" s="2"/>
      <x:c r="B63" s="2" t="n">
        <x:v>30</x:v>
      </x:c>
      <x:c r="C63" s="2" t="str">
        <x:v>15056N</x:v>
      </x:c>
      <x:c r="D63" s="2" t="str">
        <x:v>EDWARDIAN PARASOL NATURAL</x:v>
      </x:c>
      <x:c r="E63" s="11" t="n">
        <x:v>57999.25</x:v>
      </x:c>
      <x:c r="F63" s="11" t="n">
        <x:v>840.55</x:v>
      </x:c>
      <x:c r="G63" s="11" t="n">
        <x:v>57158.700000000004</x:v>
      </x:c>
      <x:c r="H63" s="23" t="n">
        <x:v>0.0028245825934511003</x:v>
      </x:c>
      <x:c r="I63" s="23" t="n">
        <x:v>0.16783185031555437</x:v>
      </x:c>
      <x:c r="J63" s="2" t="n">
        <x:v>1033</x:v>
      </x:c>
      <x:c r="K63" s="2"/>
      <x:c r="L63" s="2"/>
    </x:row>
    <x:row r="64" ht="22" customHeight="1">
      <x:c r="A64" s="2"/>
      <x:c r="B64" s="2" t="n">
        <x:v>31</x:v>
      </x:c>
      <x:c r="C64" s="2" t="str">
        <x:v>22411</x:v>
      </x:c>
      <x:c r="D64" s="2" t="str">
        <x:v>JUMBO SHOPPER VINTAGE RED PAISLEY</x:v>
      </x:c>
      <x:c r="E64" s="11" t="n">
        <x:v>57442.86</x:v>
      </x:c>
      <x:c r="F64" s="11" t="n">
        <x:v>791.52</x:v>
      </x:c>
      <x:c r="G64" s="11" t="n">
        <x:v>56651.340000000004</x:v>
      </x:c>
      <x:c r="H64" s="23" t="n">
        <x:v>0.0027974862170467457</x:v>
      </x:c>
      <x:c r="I64" s="23" t="n">
        <x:v>0.17062933653260112</x:v>
      </x:c>
      <x:c r="J64" s="2" t="n">
        <x:v>2192</x:v>
      </x:c>
      <x:c r="K64" s="2"/>
      <x:c r="L64" s="2"/>
    </x:row>
    <x:row r="65" ht="22" customHeight="1">
      <x:c r="A65" s="2"/>
      <x:c r="B65" s="2" t="n">
        <x:v>32</x:v>
      </x:c>
      <x:c r="C65" s="2" t="str">
        <x:v>82484</x:v>
      </x:c>
      <x:c r="D65" s="2" t="str">
        <x:v>WOOD BLACK BOARD ANT WHITE FINISH</x:v>
      </x:c>
      <x:c r="E65" s="11" t="n">
        <x:v>56809.03</x:v>
      </x:c>
      <x:c r="F65" s="11" t="n">
        <x:v>325</x:v>
      </x:c>
      <x:c r="G65" s="11" t="n">
        <x:v>56484.03</x:v>
      </x:c>
      <x:c r="H65" s="23" t="n">
        <x:v>0.0027666184871156323</x:v>
      </x:c>
      <x:c r="I65" s="23" t="n">
        <x:v>0.17339595501971675</x:v>
      </x:c>
      <x:c r="J65" s="2" t="n">
        <x:v>1176</x:v>
      </x:c>
      <x:c r="K65" s="2"/>
      <x:c r="L65" s="2"/>
    </x:row>
    <x:row r="66" ht="22" customHeight="1">
      <x:c r="A66" s="2"/>
      <x:c r="B66" s="2" t="n">
        <x:v>33</x:v>
      </x:c>
      <x:c r="C66" s="2" t="str">
        <x:v>22470</x:v>
      </x:c>
      <x:c r="D66" s="2" t="str">
        <x:v>HEART OF WICKER LARGE</x:v>
      </x:c>
      <x:c r="E66" s="11" t="n">
        <x:v>53632.98</x:v>
      </x:c>
      <x:c r="F66" s="11" t="n">
        <x:v>1028.7</x:v>
      </x:c>
      <x:c r="G66" s="11" t="n">
        <x:v>52604.280000000006</x:v>
      </x:c>
      <x:c r="H66" s="23" t="n">
        <x:v>0.0026119438051856016</x:v>
      </x:c>
      <x:c r="I66" s="23" t="n">
        <x:v>0.17600789882490234</x:v>
      </x:c>
      <x:c r="J66" s="2" t="n">
        <x:v>1952</x:v>
      </x:c>
      <x:c r="K66" s="2"/>
      <x:c r="L66" s="2"/>
    </x:row>
    <x:row r="67" ht="22" customHeight="1">
      <x:c r="A67" s="2"/>
      <x:c r="B67" s="2" t="n">
        <x:v>34</x:v>
      </x:c>
      <x:c r="C67" s="2" t="str">
        <x:v>22139</x:v>
      </x:c>
      <x:c r="D67" s="2" t="str">
        <x:v>RETROSPOT TEA SET CERAMIC 11 PC </x:v>
      </x:c>
      <x:c r="E67" s="11" t="n">
        <x:v>52971.71</x:v>
      </x:c>
      <x:c r="F67" s="11" t="n">
        <x:v>2014.5</x:v>
      </x:c>
      <x:c r="G67" s="11" t="n">
        <x:v>50957.21</x:v>
      </x:c>
      <x:c r="H67" s="23" t="n">
        <x:v>0.002579739738209366</x:v>
      </x:c>
      <x:c r="I67" s="23" t="n">
        <x:v>0.17858763856311172</x:v>
      </x:c>
      <x:c r="J67" s="2" t="n">
        <x:v>2093</x:v>
      </x:c>
      <x:c r="K67" s="2"/>
      <x:c r="L67" s="2"/>
    </x:row>
    <x:row r="68" ht="22" customHeight="1">
      <x:c r="A68" s="2"/>
      <x:c r="B68" s="2" t="n">
        <x:v>35</x:v>
      </x:c>
      <x:c r="C68" s="2" t="str">
        <x:v>22178</x:v>
      </x:c>
      <x:c r="D68" s="2" t="str">
        <x:v>VICTORIAN GLASS HANGING T-LIGHT</x:v>
      </x:c>
      <x:c r="E68" s="11" t="n">
        <x:v>52607.72</x:v>
      </x:c>
      <x:c r="F68" s="11" t="n">
        <x:v>1262.94</x:v>
      </x:c>
      <x:c r="G68" s="11" t="n">
        <x:v>51344.78</x:v>
      </x:c>
      <x:c r="H68" s="23" t="n">
        <x:v>0.0025620133052263487</x:v>
      </x:c>
      <x:c r="I68" s="23" t="n">
        <x:v>0.18114965186833806</x:v>
      </x:c>
      <x:c r="J68" s="2" t="n">
        <x:v>1816</x:v>
      </x:c>
      <x:c r="K68" s="2"/>
      <x:c r="L68" s="2"/>
    </x:row>
    <x:row r="69" ht="22" customHeight="1">
      <x:c r="A69" s="2"/>
      <x:c r="B69" s="2" t="n">
        <x:v>36</x:v>
      </x:c>
      <x:c r="C69" s="2" t="str">
        <x:v>20914</x:v>
      </x:c>
      <x:c r="D69" s="2" t="str">
        <x:v>SET/5 RED RETROSPOT LID GLASS BOWLS</x:v>
      </x:c>
      <x:c r="E69" s="11" t="n">
        <x:v>52588.21</x:v>
      </x:c>
      <x:c r="F69" s="11" t="n">
        <x:v>1068.8</x:v>
      </x:c>
      <x:c r="G69" s="11" t="n">
        <x:v>51519.41</x:v>
      </x:c>
      <x:c r="H69" s="23" t="n">
        <x:v>0.002561063161795214</x:v>
      </x:c>
      <x:c r="I69" s="23" t="n">
        <x:v>0.18371071503013328</x:v>
      </x:c>
      <x:c r="J69" s="2" t="n">
        <x:v>2030</x:v>
      </x:c>
      <x:c r="K69" s="2"/>
      <x:c r="L69" s="2"/>
    </x:row>
    <x:row r="70" ht="22" customHeight="1">
      <x:c r="A70" s="2"/>
      <x:c r="B70" s="2" t="n">
        <x:v>37</x:v>
      </x:c>
      <x:c r="C70" s="2" t="str">
        <x:v>21212</x:v>
      </x:c>
      <x:c r="D70" s="2" t="str">
        <x:v>PACK OF 72 RETROSPOT CAKE CASES</x:v>
      </x:c>
      <x:c r="E70" s="11" t="n">
        <x:v>51873.55</x:v>
      </x:c>
      <x:c r="F70" s="11" t="n">
        <x:v>549.66</x:v>
      </x:c>
      <x:c r="G70" s="11" t="n">
        <x:v>51323.89</x:v>
      </x:c>
      <x:c r="H70" s="23" t="n">
        <x:v>0.002526258984219888</x:v>
      </x:c>
      <x:c r="I70" s="23" t="n">
        <x:v>0.18623697401435316</x:v>
      </x:c>
      <x:c r="J70" s="2" t="n">
        <x:v>3118</x:v>
      </x:c>
      <x:c r="K70" s="2"/>
      <x:c r="L70" s="2"/>
    </x:row>
    <x:row r="71" ht="22" customHeight="1">
      <x:c r="A71" s="2"/>
      <x:c r="B71" s="2" t="n">
        <x:v>38</x:v>
      </x:c>
      <x:c r="C71" s="2" t="str">
        <x:v>21733</x:v>
      </x:c>
      <x:c r="D71" s="2" t="str">
        <x:v>RED HANGING HEART T-LIGHT HOLDER</x:v>
      </x:c>
      <x:c r="E71" s="11" t="n">
        <x:v>50461.54</x:v>
      </x:c>
      <x:c r="F71" s="11" t="n">
        <x:v>1105.2</x:v>
      </x:c>
      <x:c r="G71" s="11" t="n">
        <x:v>49356.340000000004</x:v>
      </x:c>
      <x:c r="H71" s="23" t="n">
        <x:v>0.0024574936317751767</x:v>
      </x:c>
      <x:c r="I71" s="23" t="n">
        <x:v>0.18869446764612832</x:v>
      </x:c>
      <x:c r="J71" s="2" t="n">
        <x:v>1760</x:v>
      </x:c>
      <x:c r="K71" s="2"/>
      <x:c r="L71" s="2"/>
    </x:row>
    <x:row r="72" ht="22" customHeight="1">
      <x:c r="A72" s="2"/>
      <x:c r="B72" s="2" t="n">
        <x:v>39</x:v>
      </x:c>
      <x:c r="C72" s="2" t="str">
        <x:v>22090</x:v>
      </x:c>
      <x:c r="D72" s="2" t="str">
        <x:v>PAPER BUNTING RETROSPOT</x:v>
      </x:c>
      <x:c r="E72" s="11" t="n">
        <x:v>50461.4</x:v>
      </x:c>
      <x:c r="F72" s="11" t="n">
        <x:v>1290.1499999999999</x:v>
      </x:c>
      <x:c r="G72" s="11" t="n">
        <x:v>49171.25</x:v>
      </x:c>
      <x:c r="H72" s="23" t="n">
        <x:v>0.002457486813729028</x:v>
      </x:c>
      <x:c r="I72" s="23" t="n">
        <x:v>0.19115195445985736</x:v>
      </x:c>
      <x:c r="J72" s="2" t="n">
        <x:v>1703</x:v>
      </x:c>
      <x:c r="K72" s="2"/>
      <x:c r="L72" s="2"/>
    </x:row>
    <x:row r="73" ht="22" customHeight="1">
      <x:c r="A73" s="2"/>
      <x:c r="B73" s="2" t="n">
        <x:v>40</x:v>
      </x:c>
      <x:c r="C73" s="2" t="str">
        <x:v>21181</x:v>
      </x:c>
      <x:c r="D73" s="2" t="str">
        <x:v>PLEASE ONE PERSON METAL SIGN</x:v>
      </x:c>
      <x:c r="E73" s="11" t="n">
        <x:v>50301.94</x:v>
      </x:c>
      <x:c r="F73" s="11" t="n">
        <x:v>225.90000000000003</x:v>
      </x:c>
      <x:c r="G73" s="11" t="n">
        <x:v>50076.04000000001</x:v>
      </x:c>
      <x:c r="H73" s="23" t="n">
        <x:v>0.002449721059165793</x:v>
      </x:c>
      <x:c r="I73" s="23" t="n">
        <x:v>0.19360167551902316</x:v>
      </x:c>
      <x:c r="J73" s="2" t="n">
        <x:v>1810</x:v>
      </x:c>
      <x:c r="K73" s="2"/>
      <x:c r="L73" s="2"/>
    </x:row>
    <x:row r="74" ht="22" customHeight="1">
      <x:c r="A74" s="2"/>
      <x:c r="B74" s="2" t="n">
        <x:v>41</x:v>
      </x:c>
      <x:c r="C74" s="2" t="str">
        <x:v>22111</x:v>
      </x:c>
      <x:c r="D74" s="2" t="str">
        <x:v>SCOTTIE DOG HOT WATER BOTTLE</x:v>
      </x:c>
      <x:c r="E74" s="11" t="n">
        <x:v>50017.490000000005</x:v>
      </x:c>
      <x:c r="F74" s="11" t="n">
        <x:v>936.65</x:v>
      </x:c>
      <x:c r="G74" s="11" t="n">
        <x:v>49080.840000000004</x:v>
      </x:c>
      <x:c r="H74" s="23" t="n">
        <x:v>0.0024358682504017634</x:v>
      </x:c>
      <x:c r="I74" s="23" t="n">
        <x:v>0.19603754376942492</x:v>
      </x:c>
      <x:c r="J74" s="2" t="n">
        <x:v>1689</x:v>
      </x:c>
      <x:c r="K74" s="2"/>
      <x:c r="L74" s="2"/>
    </x:row>
    <x:row r="75" ht="22" customHeight="1">
      <x:c r="A75" s="2"/>
      <x:c r="B75" s="2" t="n">
        <x:v>42</x:v>
      </x:c>
      <x:c r="C75" s="2" t="str">
        <x:v>21929</x:v>
      </x:c>
      <x:c r="D75" s="2" t="str">
        <x:v>JUMBO BAG PINK VINTAGE PAISLEY</x:v>
      </x:c>
      <x:c r="E75" s="11" t="n">
        <x:v>49685.27</x:v>
      </x:c>
      <x:c r="F75" s="11" t="n">
        <x:v>483.96999999999997</x:v>
      </x:c>
      <x:c r="G75" s="11" t="n">
        <x:v>49201.3</x:v>
      </x:c>
      <x:c r="H75" s="23" t="n">
        <x:v>0.0024196890268911777</x:v>
      </x:c>
      <x:c r="I75" s="23" t="n">
        <x:v>0.1984572327963161</x:v>
      </x:c>
      <x:c r="J75" s="2" t="n">
        <x:v>1619</x:v>
      </x:c>
      <x:c r="K75" s="2"/>
      <x:c r="L75" s="2"/>
    </x:row>
    <x:row r="76" ht="22" customHeight="1">
      <x:c r="A76" s="2"/>
      <x:c r="B76" s="2" t="n">
        <x:v>43</x:v>
      </x:c>
      <x:c r="C76" s="2" t="str">
        <x:v>21232</x:v>
      </x:c>
      <x:c r="D76" s="2" t="str">
        <x:v>STRAWBERRY CERAMIC TRINKET POT</x:v>
      </x:c>
      <x:c r="E76" s="11" t="n">
        <x:v>49400.57</x:v>
      </x:c>
      <x:c r="F76" s="11" t="n">
        <x:v>952.59</x:v>
      </x:c>
      <x:c r="G76" s="11" t="n">
        <x:v>48447.98</x:v>
      </x:c>
      <x:c r="H76" s="23" t="n">
        <x:v>0.0024058240430447396</x:v>
      </x:c>
      <x:c r="I76" s="23" t="n">
        <x:v>0.20086305683936084</x:v>
      </x:c>
      <x:c r="J76" s="2" t="n">
        <x:v>2435</x:v>
      </x:c>
      <x:c r="K76" s="2"/>
      <x:c r="L76" s="2"/>
    </x:row>
    <x:row r="77" ht="22" customHeight="1">
      <x:c r="A77" s="2"/>
      <x:c r="B77" s="2" t="n">
        <x:v>44</x:v>
      </x:c>
      <x:c r="C77" s="2" t="str">
        <x:v>84946</x:v>
      </x:c>
      <x:c r="D77" s="2" t="str">
        <x:v>ANTIQUE SILVER T-LIGHT GLASS</x:v>
      </x:c>
      <x:c r="E77" s="11" t="n">
        <x:v>49391.65</x:v>
      </x:c>
      <x:c r="F77" s="11" t="n">
        <x:v>503.03000000000003</x:v>
      </x:c>
      <x:c r="G77" s="11" t="n">
        <x:v>48888.62</x:v>
      </x:c>
      <x:c r="H77" s="23" t="n">
        <x:v>0.0024053896361044156</x:v>
      </x:c>
      <x:c r="I77" s="23" t="n">
        <x:v>0.20326844647546527</x:v>
      </x:c>
      <x:c r="J77" s="2" t="n">
        <x:v>1769</x:v>
      </x:c>
      <x:c r="K77" s="2"/>
      <x:c r="L77" s="2"/>
    </x:row>
    <x:row r="78" ht="22" customHeight="1">
      <x:c r="A78" s="2"/>
      <x:c r="B78" s="2" t="n">
        <x:v>45</x:v>
      </x:c>
      <x:c r="C78" s="2" t="str">
        <x:v>22189</x:v>
      </x:c>
      <x:c r="D78" s="2" t="str">
        <x:v>CREAM HEART CARD HOLDER</x:v>
      </x:c>
      <x:c r="E78" s="11" t="n">
        <x:v>49348.340000000004</x:v>
      </x:c>
      <x:c r="F78" s="11" t="n">
        <x:v>168.73000000000002</x:v>
      </x:c>
      <x:c r="G78" s="11" t="n">
        <x:v>49179.61</x:v>
      </x:c>
      <x:c r="H78" s="23" t="n">
        <x:v>0.0024032804248280224</x:v>
      </x:c>
      <x:c r="I78" s="23" t="n">
        <x:v>0.20567172690029328</x:v>
      </x:c>
      <x:c r="J78" s="2" t="n">
        <x:v>1299</x:v>
      </x:c>
      <x:c r="K78" s="2"/>
      <x:c r="L78" s="2"/>
    </x:row>
    <x:row r="79" ht="22" customHeight="1">
      <x:c r="A79" s="2"/>
      <x:c r="B79" s="2" t="n">
        <x:v>46</x:v>
      </x:c>
      <x:c r="C79" s="2" t="str">
        <x:v>22469</x:v>
      </x:c>
      <x:c r="D79" s="2" t="str">
        <x:v>HEART OF WICKER SMALL</x:v>
      </x:c>
      <x:c r="E79" s="11" t="n">
        <x:v>48974.71</x:v>
      </x:c>
      <x:c r="F79" s="11" t="n">
        <x:v>424.65</x:v>
      </x:c>
      <x:c r="G79" s="11" t="n">
        <x:v>48550.06</x:v>
      </x:c>
      <x:c r="H79" s="23" t="n">
        <x:v>0.002385084520667345</x:v>
      </x:c>
      <x:c r="I79" s="23" t="n">
        <x:v>0.20805681142096064</x:v>
      </x:c>
      <x:c r="J79" s="2" t="n">
        <x:v>2151</x:v>
      </x:c>
      <x:c r="K79" s="2"/>
      <x:c r="L79" s="2"/>
    </x:row>
    <x:row r="80" ht="22" customHeight="1">
      <x:c r="A80" s="2"/>
      <x:c r="B80" s="2" t="n">
        <x:v>47</x:v>
      </x:c>
      <x:c r="C80" s="2" t="str">
        <x:v>48194</x:v>
      </x:c>
      <x:c r="D80" s="2" t="str">
        <x:v>DOORMAT HEARTS</x:v>
      </x:c>
      <x:c r="E80" s="11" t="n">
        <x:v>48817.38</x:v>
      </x:c>
      <x:c r="F80" s="11" t="n">
        <x:v>172.17</x:v>
      </x:c>
      <x:c r="G80" s="11" t="n">
        <x:v>48645.21</x:v>
      </x:c>
      <x:c r="H80" s="23" t="n">
        <x:v>0.002377422497806228</x:v>
      </x:c>
      <x:c r="I80" s="23" t="n">
        <x:v>0.21043423391876687</x:v>
      </x:c>
      <x:c r="J80" s="2" t="n">
        <x:v>1349</x:v>
      </x:c>
      <x:c r="K80" s="2"/>
      <x:c r="L80" s="2"/>
    </x:row>
    <x:row r="81" ht="22" customHeight="1">
      <x:c r="A81" s="2"/>
      <x:c r="B81" s="2" t="n">
        <x:v>48</x:v>
      </x:c>
      <x:c r="C81" s="2" t="str">
        <x:v>21731</x:v>
      </x:c>
      <x:c r="D81" s="2" t="str">
        <x:v>RED TOADSTOOL LED NIGHT LIGHT</x:v>
      </x:c>
      <x:c r="E81" s="11" t="n">
        <x:v>48347.189999999995</x:v>
      </x:c>
      <x:c r="F81" s="11" t="n">
        <x:v>1457.8999999999999</x:v>
      </x:c>
      <x:c r="G81" s="11" t="n">
        <x:v>46889.28999999999</x:v>
      </x:c>
      <x:c r="H81" s="23" t="n">
        <x:v>0.0023545240898162146</x:v>
      </x:c>
      <x:c r="I81" s="23" t="n">
        <x:v>0.21278875800858307</x:v>
      </x:c>
      <x:c r="J81" s="2" t="n">
        <x:v>1537</x:v>
      </x:c>
      <x:c r="K81" s="2"/>
      <x:c r="L81" s="2"/>
    </x:row>
    <x:row r="82" ht="22" customHeight="1">
      <x:c r="A82" s="2"/>
      <x:c r="B82" s="2" t="n">
        <x:v>49</x:v>
      </x:c>
      <x:c r="C82" s="2" t="str">
        <x:v>15056BL</x:v>
      </x:c>
      <x:c r="D82" s="2" t="str">
        <x:v>EDWARDIAN PARASOL BLACK</x:v>
      </x:c>
      <x:c r="E82" s="11" t="n">
        <x:v>47541.15</x:v>
      </x:c>
      <x:c r="F82" s="11" t="n">
        <x:v>1071.3500000000001</x:v>
      </x:c>
      <x:c r="G82" s="11" t="n">
        <x:v>46469.8</x:v>
      </x:c>
      <x:c r="H82" s="23" t="n">
        <x:v>0.002315269676119049</x:v>
      </x:c>
      <x:c r="I82" s="23" t="n">
        <x:v>0.21510402768470213</x:v>
      </x:c>
      <x:c r="J82" s="2" t="n">
        <x:v>857</x:v>
      </x:c>
      <x:c r="K82" s="2"/>
      <x:c r="L82" s="2"/>
    </x:row>
    <x:row r="83" ht="22" customHeight="1">
      <x:c r="A83" s="2"/>
      <x:c r="B83" s="2" t="n">
        <x:v>50</x:v>
      </x:c>
      <x:c r="C83" s="2" t="str">
        <x:v>22457</x:v>
      </x:c>
      <x:c r="D83" s="2" t="str">
        <x:v>NATURAL SLATE HEART CHALKBOARD </x:v>
      </x:c>
      <x:c r="E83" s="11" t="n">
        <x:v>47536.030000000006</x:v>
      </x:c>
      <x:c r="F83" s="11" t="n">
        <x:v>315.95000000000005</x:v>
      </x:c>
      <x:c r="G83" s="11" t="n">
        <x:v>47220.08</x:v>
      </x:c>
      <x:c r="H83" s="23" t="n">
        <x:v>0.00231502033043133</x:v>
      </x:c>
      <x:c r="I83" s="23" t="n">
        <x:v>0.21741904801513345</x:v>
      </x:c>
      <x:c r="J83" s="2" t="n">
        <x:v>2046</x:v>
      </x:c>
      <x:c r="K83" s="2"/>
      <x:c r="L83" s="2"/>
    </x:row>
    <x:row r="84" ht="22" customHeight="1">
      <x:c r="A84" s="2"/>
      <x:c r="B84" s="2" t="n">
        <x:v>51</x:v>
      </x:c>
      <x:c r="C84" s="2" t="str">
        <x:v>21754</x:v>
      </x:c>
      <x:c r="D84" s="2" t="str">
        <x:v>HOME BUILDING BLOCK WORD</x:v>
      </x:c>
      <x:c r="E84" s="11" t="n">
        <x:v>46821.94</x:v>
      </x:c>
      <x:c r="F84" s="11" t="n">
        <x:v>231.65</x:v>
      </x:c>
      <x:c r="G84" s="11" t="n">
        <x:v>46590.29</x:v>
      </x:c>
      <x:c r="H84" s="23" t="n">
        <x:v>0.002280243912043894</x:v>
      </x:c>
      <x:c r="I84" s="23" t="n">
        <x:v>0.21969929192717735</x:v>
      </x:c>
      <x:c r="J84" s="2" t="n">
        <x:v>2066</x:v>
      </x:c>
      <x:c r="K84" s="2"/>
      <x:c r="L84" s="2"/>
    </x:row>
    <x:row r="85" ht="22" customHeight="1">
      <x:c r="A85" s="2"/>
      <x:c r="B85" s="2" t="n">
        <x:v>52</x:v>
      </x:c>
      <x:c r="C85" s="2" t="str">
        <x:v>48187</x:v>
      </x:c>
      <x:c r="D85" s="2" t="str">
        <x:v>DOORMAT NEW ENGLAND</x:v>
      </x:c>
      <x:c r="E85" s="11" t="n">
        <x:v>46643.66</x:v>
      </x:c>
      <x:c r="F85" s="11" t="n">
        <x:v>76.46000000000001</x:v>
      </x:c>
      <x:c r="G85" s="11" t="n">
        <x:v>46567.2</x:v>
      </x:c>
      <x:c r="H85" s="23" t="n">
        <x:v>0.002271561617276971</x:v>
      </x:c>
      <x:c r="I85" s="23" t="n">
        <x:v>0.22197085354445434</x:v>
      </x:c>
      <x:c r="J85" s="2" t="n">
        <x:v>1282</x:v>
      </x:c>
      <x:c r="K85" s="2"/>
      <x:c r="L85" s="2"/>
    </x:row>
    <x:row r="86" ht="22" customHeight="1">
      <x:c r="A86" s="2"/>
      <x:c r="B86" s="2" t="n">
        <x:v>53</x:v>
      </x:c>
      <x:c r="C86" s="2" t="str">
        <x:v>21928</x:v>
      </x:c>
      <x:c r="D86" s="2" t="str">
        <x:v>JUMBO BAG SCANDINAVIAN BLUE PAISLEY</x:v>
      </x:c>
      <x:c r="E86" s="11" t="n">
        <x:v>46275.06</x:v>
      </x:c>
      <x:c r="F86" s="11" t="n">
        <x:v>536.58</x:v>
      </x:c>
      <x:c r="G86" s="11" t="n">
        <x:v>45738.48</x:v>
      </x:c>
      <x:c r="H86" s="23" t="n">
        <x:v>0.0022536106757743463</x:v>
      </x:c>
      <x:c r="I86" s="23" t="n">
        <x:v>0.22422446422022868</x:v>
      </x:c>
      <x:c r="J86" s="2" t="n">
        <x:v>1542</x:v>
      </x:c>
      <x:c r="K86" s="2"/>
      <x:c r="L86" s="2"/>
    </x:row>
    <x:row r="87" ht="22" customHeight="1">
      <x:c r="A87" s="2"/>
      <x:c r="B87" s="2" t="n">
        <x:v>54</x:v>
      </x:c>
      <x:c r="C87" s="2" t="str">
        <x:v>21523</x:v>
      </x:c>
      <x:c r="D87" s="2" t="str">
        <x:v>DOORMAT FANCY FONT HOME SWEET HOME</x:v>
      </x:c>
      <x:c r="E87" s="11" t="n">
        <x:v>46114.59</x:v>
      </x:c>
      <x:c r="F87" s="11" t="n">
        <x:v>47.54</x:v>
      </x:c>
      <x:c r="G87" s="11" t="n">
        <x:v>46067.05</x:v>
      </x:c>
      <x:c r="H87" s="23" t="n">
        <x:v>0.0022457957338781823</x:v>
      </x:c>
      <x:c r="I87" s="23" t="n">
        <x:v>0.22647025995410686</x:v>
      </x:c>
      <x:c r="J87" s="2" t="n">
        <x:v>1122</x:v>
      </x:c>
      <x:c r="K87" s="2"/>
      <x:c r="L87" s="2"/>
    </x:row>
    <x:row r="88" ht="22" customHeight="1">
      <x:c r="A88" s="2"/>
      <x:c r="B88" s="2" t="n">
        <x:v>55</x:v>
      </x:c>
      <x:c r="C88" s="2" t="str">
        <x:v>22138</x:v>
      </x:c>
      <x:c r="D88" s="2" t="str">
        <x:v>BAKING SET 9 PIECE RETROSPOT </x:v>
      </x:c>
      <x:c r="E88" s="11" t="n">
        <x:v>45966.16</x:v>
      </x:c>
      <x:c r="F88" s="11" t="n">
        <x:v>4052.9500000000003</x:v>
      </x:c>
      <x:c r="G88" s="11" t="n">
        <x:v>41913.21</x:v>
      </x:c>
      <x:c r="H88" s="23" t="n">
        <x:v>0.0022385671439507965</x:v>
      </x:c>
      <x:c r="I88" s="23" t="n">
        <x:v>0.22870882709805765</x:v>
      </x:c>
      <x:c r="J88" s="2" t="n">
        <x:v>1914</x:v>
      </x:c>
      <x:c r="K88" s="2"/>
      <x:c r="L88" s="2"/>
    </x:row>
    <x:row r="89" ht="22" customHeight="1">
      <x:c r="A89" s="2"/>
      <x:c r="B89" s="2" t="n">
        <x:v>56</x:v>
      </x:c>
      <x:c r="C89" s="2" t="str">
        <x:v>20727</x:v>
      </x:c>
      <x:c r="D89" s="2" t="str">
        <x:v>LUNCH BAG  BLACK SKULL.</x:v>
      </x:c>
      <x:c r="E89" s="11" t="n">
        <x:v>45792.22</x:v>
      </x:c>
      <x:c r="F89" s="11" t="n">
        <x:v>1778.95</x:v>
      </x:c>
      <x:c r="G89" s="11" t="n">
        <x:v>44013.27</x:v>
      </x:c>
      <x:c r="H89" s="23" t="n">
        <x:v>0.0022300962086144794</x:v>
      </x:c>
      <x:c r="I89" s="23" t="n">
        <x:v>0.23093892330667212</x:v>
      </x:c>
      <x:c r="J89" s="2" t="n">
        <x:v>2351</x:v>
      </x:c>
      <x:c r="K89" s="2"/>
      <x:c r="L89" s="2"/>
    </x:row>
    <x:row r="90" ht="22" customHeight="1">
      <x:c r="A90" s="2"/>
      <x:c r="B90" s="2" t="n">
        <x:v>57</x:v>
      </x:c>
      <x:c r="C90" s="2" t="str">
        <x:v>48185</x:v>
      </x:c>
      <x:c r="D90" s="2" t="str">
        <x:v>DOORMAT FAIRY CAKE</x:v>
      </x:c>
      <x:c r="E90" s="11" t="n">
        <x:v>45777.19</x:v>
      </x:c>
      <x:c r="F90" s="11" t="n">
        <x:v>4678.68</x:v>
      </x:c>
      <x:c r="G90" s="11" t="n">
        <x:v>41098.51</x:v>
      </x:c>
      <x:c r="H90" s="23" t="n">
        <x:v>0.0022293642426600992</x:v>
      </x:c>
      <x:c r="I90" s="23" t="n">
        <x:v>0.23316828754933222</x:v>
      </x:c>
      <x:c r="J90" s="2" t="n">
        <x:v>983</x:v>
      </x:c>
      <x:c r="K90" s="2"/>
      <x:c r="L90" s="2"/>
    </x:row>
    <x:row r="91" ht="22" customHeight="1">
      <x:c r="A91" s="2"/>
      <x:c r="B91" s="2" t="n">
        <x:v>58</x:v>
      </x:c>
      <x:c r="C91" s="2" t="str">
        <x:v>21623</x:v>
      </x:c>
      <x:c r="D91" s="2" t="str">
        <x:v>VINTAGE UNION JACK MEMOBOARD</x:v>
      </x:c>
      <x:c r="E91" s="11" t="n">
        <x:v>45441.979999999996</x:v>
      </x:c>
      <x:c r="F91" s="11" t="n">
        <x:v>499.20000000000005</x:v>
      </x:c>
      <x:c r="G91" s="11" t="n">
        <x:v>44942.78</x:v>
      </x:c>
      <x:c r="H91" s="23" t="n">
        <x:v>0.002213039405163912</x:v>
      </x:c>
      <x:c r="I91" s="23" t="n">
        <x:v>0.23538132695449612</x:v>
      </x:c>
      <x:c r="J91" s="2" t="n">
        <x:v>530</x:v>
      </x:c>
      <x:c r="K91" s="2"/>
      <x:c r="L91" s="2"/>
    </x:row>
    <x:row r="92" ht="22" customHeight="1">
      <x:c r="A92" s="2"/>
      <x:c r="B92" s="2" t="n">
        <x:v>59</x:v>
      </x:c>
      <x:c r="C92" s="2" t="str">
        <x:v>22355</x:v>
      </x:c>
      <x:c r="D92" s="2" t="str">
        <x:v>CHARLOTTE BAG SUKI DESIGN</x:v>
      </x:c>
      <x:c r="E92" s="11" t="n">
        <x:v>45426.01</x:v>
      </x:c>
      <x:c r="F92" s="11" t="n">
        <x:v>142.69</x:v>
      </x:c>
      <x:c r="G92" s="11" t="n">
        <x:v>45283.32</x:v>
      </x:c>
      <x:c r="H92" s="23" t="n">
        <x:v>0.0022122616608996775</x:v>
      </x:c>
      <x:c r="I92" s="23" t="n">
        <x:v>0.2375935886153958</x:v>
      </x:c>
      <x:c r="J92" s="2" t="n">
        <x:v>1742</x:v>
      </x:c>
      <x:c r="K92" s="2"/>
      <x:c r="L92" s="2"/>
    </x:row>
    <x:row r="93" ht="22" customHeight="1">
      <x:c r="A93" s="2"/>
      <x:c r="B93" s="2" t="n">
        <x:v>60</x:v>
      </x:c>
      <x:c r="C93" s="2" t="str">
        <x:v>71477</x:v>
      </x:c>
      <x:c r="D93" s="2" t="str">
        <x:v>COLOURED GLASS STAR T-LIGHT HOLDER</x:v>
      </x:c>
      <x:c r="E93" s="11" t="n">
        <x:v>44708.15</x:v>
      </x:c>
      <x:c r="F93" s="11" t="n">
        <x:v>7164.12</x:v>
      </x:c>
      <x:c r="G93" s="11" t="n">
        <x:v>37544.03</x:v>
      </x:c>
      <x:c r="H93" s="23" t="n">
        <x:v>0.002177301642269526</x:v>
      </x:c>
      <x:c r="I93" s="23" t="n">
        <x:v>0.23977089025766535</x:v>
      </x:c>
      <x:c r="J93" s="2" t="n">
        <x:v>809</x:v>
      </x:c>
      <x:c r="K93" s="2"/>
      <x:c r="L93" s="2"/>
    </x:row>
    <x:row r="94" ht="22" customHeight="1">
      <x:c r="A94" s="2"/>
      <x:c r="B94" s="2" t="n">
        <x:v>61</x:v>
      </x:c>
      <x:c r="C94" s="2" t="str">
        <x:v>22326</x:v>
      </x:c>
      <x:c r="D94" s="2" t="str">
        <x:v>ROUND SNACK BOXES SET OF4 WOODLAND </x:v>
      </x:c>
      <x:c r="E94" s="11" t="n">
        <x:v>44360.990000000005</x:v>
      </x:c>
      <x:c r="F94" s="11" t="n">
        <x:v>171.10000000000002</x:v>
      </x:c>
      <x:c r="G94" s="11" t="n">
        <x:v>44189.89</x:v>
      </x:c>
      <x:c r="H94" s="23" t="n">
        <x:v>0.0021603948358342277</x:v>
      </x:c>
      <x:c r="I94" s="23" t="n">
        <x:v>0.24193128509349957</x:v>
      </x:c>
      <x:c r="J94" s="2" t="n">
        <x:v>1391</x:v>
      </x:c>
      <x:c r="K94" s="2"/>
      <x:c r="L94" s="2"/>
    </x:row>
    <x:row r="95" ht="22" customHeight="1">
      <x:c r="A95" s="2"/>
      <x:c r="B95" s="2" t="n">
        <x:v>62</x:v>
      </x:c>
      <x:c r="C95" s="2" t="str">
        <x:v>21175</x:v>
      </x:c>
      <x:c r="D95" s="2" t="str">
        <x:v>GIN AND TONIC DIET METAL SIGN</x:v>
      </x:c>
      <x:c r="E95" s="11" t="n">
        <x:v>43956.48</x:v>
      </x:c>
      <x:c r="F95" s="11" t="n">
        <x:v>3785.58</x:v>
      </x:c>
      <x:c r="G95" s="11" t="n">
        <x:v>40170.9</x:v>
      </x:c>
      <x:c r="H95" s="23" t="n">
        <x:v>0.002140695065494492</x:v>
      </x:c>
      <x:c r="I95" s="23" t="n">
        <x:v>0.24407198015899406</x:v>
      </x:c>
      <x:c r="J95" s="2" t="n">
        <x:v>1659</x:v>
      </x:c>
      <x:c r="K95" s="2"/>
      <x:c r="L95" s="2"/>
    </x:row>
    <x:row r="96" ht="22" customHeight="1">
      <x:c r="A96" s="2"/>
      <x:c r="B96" s="2" t="n">
        <x:v>63</x:v>
      </x:c>
      <x:c r="C96" s="2" t="str">
        <x:v>82494L</x:v>
      </x:c>
      <x:c r="D96" s="2" t="str">
        <x:v>WOODEN FRAME ANTIQUE WHITE </x:v>
      </x:c>
      <x:c r="E96" s="11" t="n">
        <x:v>43923.26</x:v>
      </x:c>
      <x:c r="F96" s="11" t="n">
        <x:v>1325.85</x:v>
      </x:c>
      <x:c r="G96" s="11" t="n">
        <x:v>42597.41</x:v>
      </x:c>
      <x:c r="H96" s="23" t="n">
        <x:v>0.002139077240544093</x:v>
      </x:c>
      <x:c r="I96" s="23" t="n">
        <x:v>0.24621105739953816</x:v>
      </x:c>
      <x:c r="J96" s="2" t="n">
        <x:v>1973</x:v>
      </x:c>
      <x:c r="K96" s="2"/>
      <x:c r="L96" s="2"/>
    </x:row>
    <x:row r="97" ht="22" customHeight="1">
      <x:c r="A97" s="2"/>
      <x:c r="B97" s="2" t="n">
        <x:v>64</x:v>
      </x:c>
      <x:c r="C97" s="2" t="str">
        <x:v>84078A</x:v>
      </x:c>
      <x:c r="D97" s="2" t="str">
        <x:v>SET/4 WHITE RETRO STORAGE CUBES </x:v>
      </x:c>
      <x:c r="E97" s="11" t="n">
        <x:v>43844.96000000001</x:v>
      </x:c>
      <x:c r="F97" s="11" t="n">
        <x:v>5187.650000000001</x:v>
      </x:c>
      <x:c r="G97" s="11" t="n">
        <x:v>38657.310000000005</x:v>
      </x:c>
      <x:c r="H97" s="23" t="n">
        <x:v>0.0021352640047338505</x:v>
      </x:c>
      <x:c r="I97" s="23" t="n">
        <x:v>0.248346321404272</x:v>
      </x:c>
      <x:c r="J97" s="2" t="n">
        <x:v>328</x:v>
      </x:c>
      <x:c r="K97" s="2"/>
      <x:c r="L97" s="2"/>
    </x:row>
    <x:row r="98" ht="22" customHeight="1">
      <x:c r="A98" s="2"/>
      <x:c r="B98" s="2" t="n">
        <x:v>65</x:v>
      </x:c>
      <x:c r="C98" s="2" t="str">
        <x:v>22383</x:v>
      </x:c>
      <x:c r="D98" s="2" t="str">
        <x:v>LUNCH BAG SUKI DESIGN </x:v>
      </x:c>
      <x:c r="E98" s="11" t="n">
        <x:v>43348.4</x:v>
      </x:c>
      <x:c r="F98" s="11" t="n">
        <x:v>285.8</x:v>
      </x:c>
      <x:c r="G98" s="11" t="n">
        <x:v>43062.6</x:v>
      </x:c>
      <x:c r="H98" s="23" t="n">
        <x:v>0.0021110813690514217</x:v>
      </x:c>
      <x:c r="I98" s="23" t="n">
        <x:v>0.25045740277332346</x:v>
      </x:c>
      <x:c r="J98" s="2" t="n">
        <x:v>2398</x:v>
      </x:c>
      <x:c r="K98" s="2"/>
      <x:c r="L98" s="2"/>
    </x:row>
    <x:row r="99" ht="22" customHeight="1">
      <x:c r="A99" s="2"/>
      <x:c r="B99" s="2" t="n">
        <x:v>66</x:v>
      </x:c>
      <x:c r="C99" s="2" t="str">
        <x:v>84029E</x:v>
      </x:c>
      <x:c r="D99" s="2" t="str">
        <x:v>RED WOOLLY HOTTIE WHITE HEART.</x:v>
      </x:c>
      <x:c r="E99" s="11" t="n">
        <x:v>43251.79</x:v>
      </x:c>
      <x:c r="F99" s="11" t="n">
        <x:v>327.7</x:v>
      </x:c>
      <x:c r="G99" s="11" t="n">
        <x:v>42924.090000000004</x:v>
      </x:c>
      <x:c r="H99" s="23" t="n">
        <x:v>0.002106376430205604</x:v>
      </x:c>
      <x:c r="I99" s="23" t="n">
        <x:v>0.25256377920352907</x:v>
      </x:c>
      <x:c r="J99" s="2" t="n">
        <x:v>1145</x:v>
      </x:c>
      <x:c r="K99" s="2"/>
      <x:c r="L99" s="2"/>
    </x:row>
    <x:row r="100" ht="22" customHeight="1">
      <x:c r="A100" s="2"/>
      <x:c r="B100" s="2" t="n">
        <x:v>67</x:v>
      </x:c>
      <x:c r="C100" s="2" t="str">
        <x:v>23298</x:v>
      </x:c>
      <x:c r="D100" s="2" t="str">
        <x:v>SPOTTY BUNTING</x:v>
      </x:c>
      <x:c r="E100" s="11" t="n">
        <x:v>43182.83</x:v>
      </x:c>
      <x:c r="F100" s="11" t="n">
        <x:v>482.81</x:v>
      </x:c>
      <x:c r="G100" s="11" t="n">
        <x:v>42700.020000000004</x:v>
      </x:c>
      <x:c r="H100" s="23" t="n">
        <x:v>0.002103018055474131</x:v>
      </x:c>
      <x:c r="I100" s="23" t="n">
        <x:v>0.2546667972590032</x:v>
      </x:c>
      <x:c r="J100" s="2" t="n">
        <x:v>1146</x:v>
      </x:c>
      <x:c r="K100" s="2"/>
      <x:c r="L100" s="2"/>
    </x:row>
    <x:row r="101" ht="22" customHeight="1">
      <x:c r="A101" s="2"/>
      <x:c r="B101" s="2" t="n">
        <x:v>68</x:v>
      </x:c>
      <x:c r="C101" s="2" t="str">
        <x:v>21915</x:v>
      </x:c>
      <x:c r="D101" s="2" t="str">
        <x:v>RED  HARMONICA IN BOX </x:v>
      </x:c>
      <x:c r="E101" s="11" t="n">
        <x:v>42787.04</x:v>
      </x:c>
      <x:c r="F101" s="11" t="n">
        <x:v>991</x:v>
      </x:c>
      <x:c r="G101" s="11" t="n">
        <x:v>41796.04</x:v>
      </x:c>
      <x:c r="H101" s="23" t="n">
        <x:v>0.0020837429520087925</x:v>
      </x:c>
      <x:c r="I101" s="23" t="n">
        <x:v>0.256750540211012</x:v>
      </x:c>
      <x:c r="J101" s="2" t="n">
        <x:v>1025</x:v>
      </x:c>
      <x:c r="K101" s="2"/>
      <x:c r="L101" s="2"/>
    </x:row>
    <x:row r="102" ht="22" customHeight="1">
      <x:c r="A102" s="2"/>
      <x:c r="B102" s="2" t="n">
        <x:v>69</x:v>
      </x:c>
      <x:c r="C102" s="2" t="str">
        <x:v>20728</x:v>
      </x:c>
      <x:c r="D102" s="2" t="str">
        <x:v>LUNCH BAG CARS BLUE</x:v>
      </x:c>
      <x:c r="E102" s="11" t="n">
        <x:v>42354.45</x:v>
      </x:c>
      <x:c r="F102" s="11" t="n">
        <x:v>1678</x:v>
      </x:c>
      <x:c r="G102" s="11" t="n">
        <x:v>40676.45</x:v>
      </x:c>
      <x:c r="H102" s="23" t="n">
        <x:v>0.00206267567641297</x:v>
      </x:c>
      <x:c r="I102" s="23" t="n">
        <x:v>0.258813215887425</x:v>
      </x:c>
      <x:c r="J102" s="2" t="n">
        <x:v>2067</x:v>
      </x:c>
      <x:c r="K102" s="2"/>
      <x:c r="L102" s="2"/>
    </x:row>
    <x:row r="103" ht="22" customHeight="1">
      <x:c r="A103" s="2"/>
      <x:c r="B103" s="2" t="n">
        <x:v>70</x:v>
      </x:c>
      <x:c r="C103" s="2" t="str">
        <x:v>23203</x:v>
      </x:c>
      <x:c r="D103" s="2" t="str">
        <x:v>JUMBO BAG VINTAGE DOILY </x:v>
      </x:c>
      <x:c r="E103" s="11" t="n">
        <x:v>42067.78</x:v>
      </x:c>
      <x:c r="F103" s="11" t="n">
        <x:v>1076.4</x:v>
      </x:c>
      <x:c r="G103" s="11" t="n">
        <x:v>40991.38</x:v>
      </x:c>
      <x:c r="H103" s="23" t="n">
        <x:v>0.0020487147529171554</x:v>
      </x:c>
      <x:c r="I103" s="23" t="n">
        <x:v>0.2608619306403422</x:v>
      </x:c>
      <x:c r="J103" s="2" t="n">
        <x:v>1231</x:v>
      </x:c>
      <x:c r="K103" s="2"/>
      <x:c r="L103" s="2"/>
    </x:row>
    <x:row r="104" ht="22" customHeight="1">
      <x:c r="A104" s="2"/>
      <x:c r="B104" s="2" t="n">
        <x:v>71</x:v>
      </x:c>
      <x:c r="C104" s="2" t="str">
        <x:v>82482</x:v>
      </x:c>
      <x:c r="D104" s="2" t="str">
        <x:v>WOODEN PICTURE FRAME WHITE FINISH</x:v>
      </x:c>
      <x:c r="E104" s="11" t="n">
        <x:v>41972.85</x:v>
      </x:c>
      <x:c r="F104" s="11" t="n">
        <x:v>1068.15</x:v>
      </x:c>
      <x:c r="G104" s="11" t="n">
        <x:v>40904.7</x:v>
      </x:c>
      <x:c r="H104" s="23" t="n">
        <x:v>0.0020440916306251203</x:v>
      </x:c>
      <x:c r="I104" s="23" t="n">
        <x:v>0.2629060222709673</x:v>
      </x:c>
      <x:c r="J104" s="2" t="n">
        <x:v>2006</x:v>
      </x:c>
      <x:c r="K104" s="2"/>
      <x:c r="L104" s="2"/>
    </x:row>
    <x:row r="105" ht="22" customHeight="1">
      <x:c r="A105" s="2"/>
      <x:c r="B105" s="2" t="n">
        <x:v>72</x:v>
      </x:c>
      <x:c r="C105" s="2" t="str">
        <x:v>20713</x:v>
      </x:c>
      <x:c r="D105" s="2" t="str">
        <x:v>JUMBO BAG OWLS</x:v>
      </x:c>
      <x:c r="E105" s="11" t="n">
        <x:v>40724.25</x:v>
      </x:c>
      <x:c r="F105" s="11" t="n">
        <x:v>448.98</x:v>
      </x:c>
      <x:c r="G105" s="11" t="n">
        <x:v>40275.27</x:v>
      </x:c>
      <x:c r="H105" s="23" t="n">
        <x:v>0.0019832843990456937</x:v>
      </x:c>
      <x:c r="I105" s="23" t="n">
        <x:v>0.26488930667001304</x:v>
      </x:c>
      <x:c r="J105" s="2" t="n">
        <x:v>1314</x:v>
      </x:c>
      <x:c r="K105" s="2"/>
      <x:c r="L105" s="2"/>
    </x:row>
    <x:row r="106" ht="22" customHeight="1">
      <x:c r="A106" s="2"/>
      <x:c r="B106" s="2" t="n">
        <x:v>73</x:v>
      </x:c>
      <x:c r="C106" s="2" t="str">
        <x:v>22083</x:v>
      </x:c>
      <x:c r="D106" s="2" t="str">
        <x:v>PAPER CHAIN KIT RETROSPOT</x:v>
      </x:c>
      <x:c r="E106" s="11" t="n">
        <x:v>40535.47</x:v>
      </x:c>
      <x:c r="F106" s="11" t="n">
        <x:v>1397.6</x:v>
      </x:c>
      <x:c r="G106" s="11" t="n">
        <x:v>39137.87</x:v>
      </x:c>
      <x:c r="H106" s="23" t="n">
        <x:v>0.001974090750817627</x:v>
      </x:c>
      <x:c r="I106" s="23" t="n">
        <x:v>0.26686339742083065</x:v>
      </x:c>
      <x:c r="J106" s="2" t="n">
        <x:v>1401</x:v>
      </x:c>
      <x:c r="K106" s="2"/>
      <x:c r="L106" s="2"/>
    </x:row>
    <x:row r="107" ht="22" customHeight="1">
      <x:c r="A107" s="2"/>
      <x:c r="B107" s="2" t="n">
        <x:v>74</x:v>
      </x:c>
      <x:c r="C107" s="2" t="str">
        <x:v>84997D</x:v>
      </x:c>
      <x:c r="D107" s="2" t="str">
        <x:v>CHILDRENS CUTLERY POLKADOT PINK</x:v>
      </x:c>
      <x:c r="E107" s="11" t="n">
        <x:v>39932.19</x:v>
      </x:c>
      <x:c r="F107" s="11" t="n">
        <x:v>206.25</x:v>
      </x:c>
      <x:c r="G107" s="11" t="n">
        <x:v>39725.94</x:v>
      </x:c>
      <x:c r="H107" s="23" t="n">
        <x:v>0.0019447108159567942</x:v>
      </x:c>
      <x:c r="I107" s="23" t="n">
        <x:v>0.26880810823678747</x:v>
      </x:c>
      <x:c r="J107" s="2" t="n">
        <x:v>1085</x:v>
      </x:c>
      <x:c r="K107" s="2"/>
      <x:c r="L107" s="2"/>
    </x:row>
    <x:row r="108" ht="22" customHeight="1">
      <x:c r="A108" s="2"/>
      <x:c r="B108" s="2" t="n">
        <x:v>75</x:v>
      </x:c>
      <x:c r="C108" s="2" t="str">
        <x:v>85066</x:v>
      </x:c>
      <x:c r="D108" s="2" t="str">
        <x:v>CREAM SWEETHEART MINI CHEST</x:v>
      </x:c>
      <x:c r="E108" s="11" t="n">
        <x:v>38854.979999999996</x:v>
      </x:c>
      <x:c r="F108" s="11" t="n">
        <x:v>1248.15</x:v>
      </x:c>
      <x:c r="G108" s="11" t="n">
        <x:v>37606.83</x:v>
      </x:c>
      <x:c r="H108" s="23" t="n">
        <x:v>0.001892250333873121</x:v>
      </x:c>
      <x:c r="I108" s="23" t="n">
        <x:v>0.2707003585706606</x:v>
      </x:c>
      <x:c r="J108" s="2" t="n">
        <x:v>929</x:v>
      </x:c>
      <x:c r="K108" s="2"/>
      <x:c r="L108" s="2"/>
    </x:row>
    <x:row r="109" ht="22" customHeight="1">
      <x:c r="A109" s="2"/>
      <x:c r="B109" s="2" t="n">
        <x:v>76</x:v>
      </x:c>
      <x:c r="C109" s="2" t="str">
        <x:v>20726</x:v>
      </x:c>
      <x:c r="D109" s="2" t="str">
        <x:v>LUNCH BAG WOODLAND</x:v>
      </x:c>
      <x:c r="E109" s="11" t="n">
        <x:v>38572.74</x:v>
      </x:c>
      <x:c r="F109" s="11" t="n">
        <x:v>1497.95</x:v>
      </x:c>
      <x:c r="G109" s="11" t="n">
        <x:v>37074.79</x:v>
      </x:c>
      <x:c r="H109" s="23" t="n">
        <x:v>0.0018785051528375795</x:v>
      </x:c>
      <x:c r="I109" s="23" t="n">
        <x:v>0.2725788637234982</x:v>
      </x:c>
      <x:c r="J109" s="2" t="n">
        <x:v>1926</x:v>
      </x:c>
      <x:c r="K109" s="2"/>
      <x:c r="L109" s="2"/>
    </x:row>
    <x:row r="110" ht="22" customHeight="1">
      <x:c r="A110" s="2"/>
      <x:c r="B110" s="2" t="n">
        <x:v>77</x:v>
      </x:c>
      <x:c r="C110" s="2" t="str">
        <x:v>22960</x:v>
      </x:c>
      <x:c r="D110" s="2" t="str">
        <x:v>JAM MAKING SET WITH JARS</x:v>
      </x:c>
      <x:c r="E110" s="11" t="n">
        <x:v>38431.11</x:v>
      </x:c>
      <x:c r="F110" s="11" t="n">
        <x:v>1012.79</x:v>
      </x:c>
      <x:c r="G110" s="11" t="n">
        <x:v>37418.32</x:v>
      </x:c>
      <x:c r="H110" s="23" t="n">
        <x:v>0.001871607725151696</x:v>
      </x:c>
      <x:c r="I110" s="23" t="n">
        <x:v>0.2744504714486499</x:v>
      </x:c>
      <x:c r="J110" s="2" t="n">
        <x:v>1159</x:v>
      </x:c>
      <x:c r="K110" s="2"/>
      <x:c r="L110" s="2"/>
    </x:row>
    <x:row r="111" ht="22" customHeight="1">
      <x:c r="A111" s="2"/>
      <x:c r="B111" s="2" t="n">
        <x:v>78</x:v>
      </x:c>
      <x:c r="C111" s="2" t="str">
        <x:v>82486</x:v>
      </x:c>
      <x:c r="D111" s="2" t="str">
        <x:v>3 DRAWER ANTIQUE WHITE WOOD CABINET</x:v>
      </x:c>
      <x:c r="E111" s="11" t="n">
        <x:v>38430.03</x:v>
      </x:c>
      <x:c r="F111" s="11" t="n">
        <x:v>855.15</x:v>
      </x:c>
      <x:c r="G111" s="11" t="n">
        <x:v>37574.88</x:v>
      </x:c>
      <x:c r="H111" s="23" t="n">
        <x:v>0.0018715551287956927</x:v>
      </x:c>
      <x:c r="I111" s="23" t="n">
        <x:v>0.2763220265774456</x:v>
      </x:c>
      <x:c r="J111" s="2" t="n">
        <x:v>1274</x:v>
      </x:c>
      <x:c r="K111" s="2"/>
      <x:c r="L111" s="2"/>
    </x:row>
    <x:row r="112" ht="22" customHeight="1">
      <x:c r="A112" s="2"/>
      <x:c r="B112" s="2" t="n">
        <x:v>79</x:v>
      </x:c>
      <x:c r="C112" s="2" t="str">
        <x:v>22699</x:v>
      </x:c>
      <x:c r="D112" s="2" t="str">
        <x:v>ROSES REGENCY TEACUP AND SAUCER </x:v>
      </x:c>
      <x:c r="E112" s="11" t="n">
        <x:v>38323.25</x:v>
      </x:c>
      <x:c r="F112" s="11" t="n">
        <x:v>1295.25</x:v>
      </x:c>
      <x:c r="G112" s="11" t="n">
        <x:v>37028</x:v>
      </x:c>
      <x:c r="H112" s="23" t="n">
        <x:v>0.00186635490759751</x:v>
      </x:c>
      <x:c r="I112" s="23" t="n">
        <x:v>0.2781883814850431</x:v>
      </x:c>
      <x:c r="J112" s="2" t="n">
        <x:v>1424</x:v>
      </x:c>
      <x:c r="K112" s="2"/>
      <x:c r="L112" s="2"/>
    </x:row>
    <x:row r="113" ht="22" customHeight="1">
      <x:c r="A113" s="2"/>
      <x:c r="B113" s="2" t="n">
        <x:v>80</x:v>
      </x:c>
      <x:c r="C113" s="2" t="str">
        <x:v>21166</x:v>
      </x:c>
      <x:c r="D113" s="2" t="str">
        <x:v>COOK WITH WINE METAL SIGN </x:v>
      </x:c>
      <x:c r="E113" s="11" t="n">
        <x:v>38270.81</x:v>
      </x:c>
      <x:c r="F113" s="11" t="n">
        <x:v>967.2299999999999</x:v>
      </x:c>
      <x:c r="G113" s="11" t="n">
        <x:v>37303.58</x:v>
      </x:c>
      <x:c r="H113" s="23" t="n">
        <x:v>0.0018638010623115693</x:v>
      </x:c>
      <x:c r="I113" s="23" t="n">
        <x:v>0.28005218254735464</x:v>
      </x:c>
      <x:c r="J113" s="2" t="n">
        <x:v>1425</x:v>
      </x:c>
      <x:c r="K113" s="2"/>
      <x:c r="L113" s="2"/>
    </x:row>
    <x:row r="114" ht="22" customHeight="1">
      <x:c r="A114" s="2"/>
      <x:c r="B114" s="2" t="n">
        <x:v>81</x:v>
      </x:c>
      <x:c r="C114" s="2" t="str">
        <x:v>23284</x:v>
      </x:c>
      <x:c r="D114" s="2" t="str">
        <x:v>DOORMAT KEEP CALM AND COME IN</x:v>
      </x:c>
      <x:c r="E114" s="11" t="n">
        <x:v>38166.64</x:v>
      </x:c>
      <x:c r="F114" s="11" t="n">
        <x:v>1601.25</x:v>
      </x:c>
      <x:c r="G114" s="11" t="n">
        <x:v>36565.39</x:v>
      </x:c>
      <x:c r="H114" s="23" t="n">
        <x:v>0.001858727948973728</x:v>
      </x:c>
      <x:c r="I114" s="23" t="n">
        <x:v>0.2819109104963284</x:v>
      </x:c>
      <x:c r="J114" s="2" t="n">
        <x:v>728</x:v>
      </x:c>
      <x:c r="K114" s="2"/>
      <x:c r="L114" s="2"/>
    </x:row>
    <x:row r="115" ht="22" customHeight="1">
      <x:c r="A115" s="2"/>
      <x:c r="B115" s="2" t="n">
        <x:v>82</x:v>
      </x:c>
      <x:c r="C115" s="2" t="str">
        <x:v>22720</x:v>
      </x:c>
      <x:c r="D115" s="2" t="str">
        <x:v>SET OF 3 CAKE TINS PANTRY DESIGN </x:v>
      </x:c>
      <x:c r="E115" s="11" t="n">
        <x:v>38158.39</x:v>
      </x:c>
      <x:c r="F115" s="11" t="n">
        <x:v>744.95</x:v>
      </x:c>
      <x:c r="G115" s="11" t="n">
        <x:v>37413.44</x:v>
      </x:c>
      <x:c r="H115" s="23" t="n">
        <x:v>0.001858326171254258</x:v>
      </x:c>
      <x:c r="I115" s="23" t="n">
        <x:v>0.28376923666758264</x:v>
      </x:c>
      <x:c r="J115" s="2" t="n">
        <x:v>1385</x:v>
      </x:c>
      <x:c r="K115" s="2"/>
      <x:c r="L115" s="2"/>
    </x:row>
    <x:row r="116" ht="22" customHeight="1">
      <x:c r="A116" s="2"/>
      <x:c r="B116" s="2" t="n">
        <x:v>83</x:v>
      </x:c>
      <x:c r="C116" s="2" t="str">
        <x:v>22629</x:v>
      </x:c>
      <x:c r="D116" s="2" t="str">
        <x:v>SPACEBOY LUNCH BOX </x:v>
      </x:c>
      <x:c r="E116" s="11" t="n">
        <x:v>38014</x:v>
      </x:c>
      <x:c r="F116" s="11" t="n">
        <x:v>125.85000000000001</x:v>
      </x:c>
      <x:c r="G116" s="11" t="n">
        <x:v>37888.15</x:v>
      </x:c>
      <x:c r="H116" s="23" t="n">
        <x:v>0.0018512943306585883</x:v>
      </x:c>
      <x:c r="I116" s="23" t="n">
        <x:v>0.28562053099824125</x:v>
      </x:c>
      <x:c r="J116" s="2" t="n">
        <x:v>1368</x:v>
      </x:c>
      <x:c r="K116" s="2"/>
      <x:c r="L116" s="2"/>
    </x:row>
    <x:row r="117" ht="22" customHeight="1">
      <x:c r="A117" s="2"/>
      <x:c r="B117" s="2" t="n">
        <x:v>84</x:v>
      </x:c>
      <x:c r="C117" s="2" t="str">
        <x:v>20712</x:v>
      </x:c>
      <x:c r="D117" s="2" t="str">
        <x:v>JUMBO BAG WOODLAND ANIMALS</x:v>
      </x:c>
      <x:c r="E117" s="11" t="n">
        <x:v>37540.32</x:v>
      </x:c>
      <x:c r="F117" s="11" t="n">
        <x:v>447.61</x:v>
      </x:c>
      <x:c r="G117" s="11" t="n">
        <x:v>37092.71</x:v>
      </x:c>
      <x:c r="H117" s="23" t="n">
        <x:v>0.0018282259585181567</x:v>
      </x:c>
      <x:c r="I117" s="23" t="n">
        <x:v>0.2874487569567594</x:v>
      </x:c>
      <x:c r="J117" s="2" t="n">
        <x:v>1415</x:v>
      </x:c>
      <x:c r="K117" s="2"/>
      <x:c r="L117" s="2"/>
    </x:row>
    <x:row r="118" ht="22" customHeight="1">
      <x:c r="A118" s="2"/>
      <x:c r="B118" s="2" t="n">
        <x:v>85</x:v>
      </x:c>
      <x:c r="C118" s="2" t="str">
        <x:v>21485</x:v>
      </x:c>
      <x:c r="D118" s="2" t="str">
        <x:v>RETROSPOT HEART HOT WATER BOTTLE</x:v>
      </x:c>
      <x:c r="E118" s="11" t="n">
        <x:v>37334.12</x:v>
      </x:c>
      <x:c r="F118" s="11" t="n">
        <x:v>178.20000000000002</x:v>
      </x:c>
      <x:c r="G118" s="11" t="n">
        <x:v>37155.92</x:v>
      </x:c>
      <x:c r="H118" s="23" t="n">
        <x:v>0.001818183950547888</x:v>
      </x:c>
      <x:c r="I118" s="23" t="n">
        <x:v>0.2892669409073073</x:v>
      </x:c>
      <x:c r="J118" s="2" t="n">
        <x:v>1385</x:v>
      </x:c>
      <x:c r="K118" s="2"/>
      <x:c r="L118" s="2"/>
    </x:row>
    <x:row r="119" ht="22" customHeight="1">
      <x:c r="A119" s="2"/>
      <x:c r="B119" s="2" t="n">
        <x:v>86</x:v>
      </x:c>
      <x:c r="C119" s="2" t="str">
        <x:v>22727</x:v>
      </x:c>
      <x:c r="D119" s="2" t="str">
        <x:v>ALARM CLOCK BAKELIKE RED </x:v>
      </x:c>
      <x:c r="E119" s="11" t="n">
        <x:v>36637.52</x:v>
      </x:c>
      <x:c r="F119" s="11" t="n">
        <x:v>326.25</x:v>
      </x:c>
      <x:c r="G119" s="11" t="n">
        <x:v>36311.27</x:v>
      </x:c>
      <x:c r="H119" s="23" t="n">
        <x:v>0.0017842593009257282</x:v>
      </x:c>
      <x:c r="I119" s="23" t="n">
        <x:v>0.29105120020823305</x:v>
      </x:c>
      <x:c r="J119" s="2" t="n">
        <x:v>1363</x:v>
      </x:c>
      <x:c r="K119" s="2"/>
      <x:c r="L119" s="2"/>
    </x:row>
    <x:row r="120" ht="22" customHeight="1">
      <x:c r="A120" s="2"/>
      <x:c r="B120" s="2" t="n">
        <x:v>87</x:v>
      </x:c>
      <x:c r="C120" s="2" t="str">
        <x:v>22328</x:v>
      </x:c>
      <x:c r="D120" s="2" t="str">
        <x:v>ROUND SNACK BOXES SET OF 4 FRUITS </x:v>
      </x:c>
      <x:c r="E120" s="11" t="n">
        <x:v>36270.61</x:v>
      </x:c>
      <x:c r="F120" s="11" t="n">
        <x:v>1812.4499999999998</x:v>
      </x:c>
      <x:c r="G120" s="11" t="n">
        <x:v>34458.16</x:v>
      </x:c>
      <x:c r="H120" s="23" t="n">
        <x:v>0.0017663906629801834</x:v>
      </x:c>
      <x:c r="I120" s="23" t="n">
        <x:v>0.29281759087121323</x:v>
      </x:c>
      <x:c r="J120" s="2" t="n">
        <x:v>1159</x:v>
      </x:c>
      <x:c r="K120" s="2"/>
      <x:c r="L120" s="2"/>
    </x:row>
    <x:row r="121" ht="22" customHeight="1">
      <x:c r="A121" s="2"/>
      <x:c r="B121" s="2" t="n">
        <x:v>88</x:v>
      </x:c>
      <x:c r="C121" s="2" t="str">
        <x:v>21524</x:v>
      </x:c>
      <x:c r="D121" s="2" t="str">
        <x:v>DOORMAT SPOTTY HOME SWEET HOME</x:v>
      </x:c>
      <x:c r="E121" s="11" t="n">
        <x:v>36057.55</x:v>
      </x:c>
      <x:c r="F121" s="11" t="n">
        <x:v>56.39</x:v>
      </x:c>
      <x:c r="G121" s="11" t="n">
        <x:v>36001.16</x:v>
      </x:c>
      <x:c r="H121" s="23" t="n">
        <x:v>0.0017560145707486343</x:v>
      </x:c>
      <x:c r="I121" s="23" t="n">
        <x:v>0.29457360544196187</x:v>
      </x:c>
      <x:c r="J121" s="2" t="n">
        <x:v>1150</x:v>
      </x:c>
      <x:c r="K121" s="2"/>
      <x:c r="L121" s="2"/>
    </x:row>
    <x:row r="122" ht="22" customHeight="1">
      <x:c r="A122" s="2"/>
      <x:c r="B122" s="2" t="n">
        <x:v>89</x:v>
      </x:c>
      <x:c r="C122" s="2" t="str">
        <x:v>20724</x:v>
      </x:c>
      <x:c r="D122" s="2" t="str">
        <x:v>RED RETROSPOT CHARLOTTE BAG</x:v>
      </x:c>
      <x:c r="E122" s="11" t="n">
        <x:v>35227.61</x:v>
      </x:c>
      <x:c r="F122" s="11" t="n">
        <x:v>252.82999999999998</x:v>
      </x:c>
      <x:c r="G122" s="11" t="n">
        <x:v>34974.78</x:v>
      </x:c>
      <x:c r="H122" s="23" t="n">
        <x:v>0.0017155962191732464</x:v>
      </x:c>
      <x:c r="I122" s="23" t="n">
        <x:v>0.2962892016611351</x:v>
      </x:c>
      <x:c r="J122" s="2" t="n">
        <x:v>2035</x:v>
      </x:c>
      <x:c r="K122" s="2"/>
      <x:c r="L122" s="2"/>
    </x:row>
    <x:row r="123" ht="22" customHeight="1">
      <x:c r="A123" s="2"/>
      <x:c r="B123" s="2" t="n">
        <x:v>90</x:v>
      </x:c>
      <x:c r="C123" s="2" t="str">
        <x:v>21755</x:v>
      </x:c>
      <x:c r="D123" s="2" t="str">
        <x:v>LOVE BUILDING BLOCK WORD</x:v>
      </x:c>
      <x:c r="E123" s="11" t="n">
        <x:v>35121.62</x:v>
      </x:c>
      <x:c r="F123" s="11" t="n">
        <x:v>285.6</x:v>
      </x:c>
      <x:c r="G123" s="11" t="n">
        <x:v>34836.020000000004</x:v>
      </x:c>
      <x:c r="H123" s="23" t="n">
        <x:v>0.0017104344712354734</x:v>
      </x:c>
      <x:c r="I123" s="23" t="n">
        <x:v>0.29799963613237057</x:v>
      </x:c>
      <x:c r="J123" s="2" t="n">
        <x:v>1696</x:v>
      </x:c>
      <x:c r="K123" s="2"/>
      <x:c r="L123" s="2"/>
    </x:row>
    <x:row r="124" ht="22" customHeight="1">
      <x:c r="A124" s="2"/>
      <x:c r="B124" s="2" t="n">
        <x:v>91</x:v>
      </x:c>
      <x:c r="C124" s="2" t="str">
        <x:v>22379</x:v>
      </x:c>
      <x:c r="D124" s="2" t="str">
        <x:v>RECYCLING BAG RETROSPOT </x:v>
      </x:c>
      <x:c r="E124" s="11" t="n">
        <x:v>34684.94</x:v>
      </x:c>
      <x:c r="F124" s="11" t="n">
        <x:v>128.95000000000002</x:v>
      </x:c>
      <x:c r="G124" s="11" t="n">
        <x:v>34555.99</x:v>
      </x:c>
      <x:c r="H124" s="23" t="n">
        <x:v>0.001689168011291453</x:v>
      </x:c>
      <x:c r="I124" s="23" t="n">
        <x:v>0.299688804143662</x:v>
      </x:c>
      <x:c r="J124" s="2" t="n">
        <x:v>1570</x:v>
      </x:c>
      <x:c r="K124" s="2"/>
      <x:c r="L124" s="2"/>
    </x:row>
    <x:row r="125" ht="22" customHeight="1">
      <x:c r="A125" s="2"/>
      <x:c r="B125" s="2" t="n">
        <x:v>92</x:v>
      </x:c>
      <x:c r="C125" s="2" t="str">
        <x:v>84997B</x:v>
      </x:c>
      <x:c r="D125" s="2" t="str">
        <x:v>CHILDRENS CUTLERY RETROSPOT RED </x:v>
      </x:c>
      <x:c r="E125" s="11" t="n">
        <x:v>34525.57</x:v>
      </x:c>
      <x:c r="F125" s="11" t="n">
        <x:v>382.83000000000004</x:v>
      </x:c>
      <x:c r="G125" s="11" t="n">
        <x:v>34142.74</x:v>
      </x:c>
      <x:c r="H125" s="23" t="n">
        <x:v>0.0016814066397578848</x:v>
      </x:c>
      <x:c r="I125" s="23" t="n">
        <x:v>0.3013702107834199</x:v>
      </x:c>
      <x:c r="J125" s="2" t="n">
        <x:v>1019</x:v>
      </x:c>
      <x:c r="K125" s="2"/>
      <x:c r="L125" s="2"/>
    </x:row>
    <x:row r="126" ht="22" customHeight="1">
      <x:c r="A126" s="2"/>
      <x:c r="B126" s="2" t="n">
        <x:v>93</x:v>
      </x:c>
      <x:c r="C126" s="2" t="str">
        <x:v>22382</x:v>
      </x:c>
      <x:c r="D126" s="2" t="str">
        <x:v>LUNCH BAG SPACEBOY DESIGN </x:v>
      </x:c>
      <x:c r="E126" s="11" t="n">
        <x:v>34189.12</x:v>
      </x:c>
      <x:c r="F126" s="11" t="n">
        <x:v>387.25</x:v>
      </x:c>
      <x:c r="G126" s="11" t="n">
        <x:v>33801.87</x:v>
      </x:c>
      <x:c r="H126" s="23" t="n">
        <x:v>0.001665021413852953</x:v>
      </x:c>
      <x:c r="I126" s="23" t="n">
        <x:v>0.30303523219727285</x:v>
      </x:c>
      <x:c r="J126" s="2" t="n">
        <x:v>2153</x:v>
      </x:c>
      <x:c r="K126" s="2"/>
      <x:c r="L126" s="2"/>
    </x:row>
    <x:row r="127" ht="22" customHeight="1">
      <x:c r="A127" s="2"/>
      <x:c r="B127" s="2" t="n">
        <x:v>94</x:v>
      </x:c>
      <x:c r="C127" s="2" t="str">
        <x:v>22384</x:v>
      </x:c>
      <x:c r="D127" s="2" t="str">
        <x:v>LUNCH BAG PINK POLKADOT</x:v>
      </x:c>
      <x:c r="E127" s="11" t="n">
        <x:v>34167.99</x:v>
      </x:c>
      <x:c r="F127" s="11" t="n">
        <x:v>434.85</x:v>
      </x:c>
      <x:c r="G127" s="11" t="n">
        <x:v>33733.14</x:v>
      </x:c>
      <x:c r="H127" s="23" t="n">
        <x:v>0.0016639923758878133</x:v>
      </x:c>
      <x:c r="I127" s="23" t="n">
        <x:v>0.3046992245731607</x:v>
      </x:c>
      <x:c r="J127" s="2" t="n">
        <x:v>2106</x:v>
      </x:c>
      <x:c r="K127" s="2"/>
      <x:c r="L127" s="2"/>
    </x:row>
    <x:row r="128" ht="22" customHeight="1">
      <x:c r="A128" s="2"/>
      <x:c r="B128" s="2" t="n">
        <x:v>95</x:v>
      </x:c>
      <x:c r="C128" s="2" t="str">
        <x:v>22666</x:v>
      </x:c>
      <x:c r="D128" s="2" t="str">
        <x:v>RECIPE BOX PANTRY YELLOW DESIGN</x:v>
      </x:c>
      <x:c r="E128" s="11" t="n">
        <x:v>33747.520000000004</x:v>
      </x:c>
      <x:c r="F128" s="11" t="n">
        <x:v>655.5500000000001</x:v>
      </x:c>
      <x:c r="G128" s="11" t="n">
        <x:v>33091.97</x:v>
      </x:c>
      <x:c r="H128" s="23" t="n">
        <x:v>0.0016435153482871395</x:v>
      </x:c>
      <x:c r="I128" s="23" t="n">
        <x:v>0.30634273992144784</x:v>
      </x:c>
      <x:c r="J128" s="2" t="n">
        <x:v>1657</x:v>
      </x:c>
      <x:c r="K128" s="2"/>
      <x:c r="L128" s="2"/>
    </x:row>
    <x:row r="129" ht="22" customHeight="1">
      <x:c r="A129" s="2"/>
      <x:c r="B129" s="2" t="n">
        <x:v>96</x:v>
      </x:c>
      <x:c r="C129" s="2" t="str">
        <x:v>22630</x:v>
      </x:c>
      <x:c r="D129" s="2" t="str">
        <x:v>DOLLY GIRL LUNCH BOX</x:v>
      </x:c>
      <x:c r="E129" s="11" t="n">
        <x:v>33437.38</x:v>
      </x:c>
      <x:c r="F129" s="11" t="n">
        <x:v>530.9999999999999</x:v>
      </x:c>
      <x:c r="G129" s="11" t="n">
        <x:v>32906.38</x:v>
      </x:c>
      <x:c r="H129" s="23" t="n">
        <x:v>0.0016284114280548446</x:v>
      </x:c>
      <x:c r="I129" s="23" t="n">
        <x:v>0.3079711513495027</x:v>
      </x:c>
      <x:c r="J129" s="2" t="n">
        <x:v>1333</x:v>
      </x:c>
      <x:c r="K129" s="2"/>
      <x:c r="L129" s="2"/>
    </x:row>
    <x:row r="130" ht="22" customHeight="1">
      <x:c r="A130" s="2"/>
      <x:c r="B130" s="2" t="n">
        <x:v>97</x:v>
      </x:c>
      <x:c r="C130" s="2" t="str">
        <x:v>15036</x:v>
      </x:c>
      <x:c r="D130" s="2" t="str">
        <x:v>ASSORTED COLOURS SILK FAN</x:v>
      </x:c>
      <x:c r="E130" s="11" t="n">
        <x:v>32967.03</x:v>
      </x:c>
      <x:c r="F130" s="11" t="n">
        <x:v>644.03</x:v>
      </x:c>
      <x:c r="G130" s="11" t="n">
        <x:v>32323</x:v>
      </x:c>
      <x:c r="H130" s="23" t="n">
        <x:v>0.00160550522801209</x:v>
      </x:c>
      <x:c r="I130" s="23" t="n">
        <x:v>0.3095766565775148</x:v>
      </x:c>
      <x:c r="J130" s="2" t="n">
        <x:v>991</x:v>
      </x:c>
      <x:c r="K130" s="2"/>
      <x:c r="L130" s="2"/>
    </x:row>
    <x:row r="131" ht="22" customHeight="1">
      <x:c r="A131" s="2"/>
      <x:c r="B131" s="2" t="n">
        <x:v>98</x:v>
      </x:c>
      <x:c r="C131" s="2" t="str">
        <x:v>84997C</x:v>
      </x:c>
      <x:c r="D131" s="2" t="str">
        <x:v>CHILDRENS CUTLERY POLKADOT BLUE</x:v>
      </x:c>
      <x:c r="E131" s="11" t="n">
        <x:v>32789.51</x:v>
      </x:c>
      <x:c r="F131" s="11" t="n">
        <x:v>319.48</x:v>
      </x:c>
      <x:c r="G131" s="11" t="n">
        <x:v>32470.030000000002</x:v>
      </x:c>
      <x:c r="H131" s="23" t="n">
        <x:v>0.001596859945495688</x:v>
      </x:c>
      <x:c r="I131" s="23" t="n">
        <x:v>0.3111735165230105</x:v>
      </x:c>
      <x:c r="J131" s="2" t="n">
        <x:v>951</x:v>
      </x:c>
      <x:c r="K131" s="2"/>
      <x:c r="L131" s="2"/>
    </x:row>
    <x:row r="132" ht="22" customHeight="1">
      <x:c r="A132" s="2"/>
      <x:c r="B132" s="2" t="n">
        <x:v>99</x:v>
      </x:c>
      <x:c r="C132" s="2" t="str">
        <x:v>22726</x:v>
      </x:c>
      <x:c r="D132" s="2" t="str">
        <x:v>ALARM CLOCK BAKELIKE GREEN</x:v>
      </x:c>
      <x:c r="E132" s="11" t="n">
        <x:v>32680.57</x:v>
      </x:c>
      <x:c r="F132" s="11" t="n">
        <x:v>247.5</x:v>
      </x:c>
      <x:c r="G132" s="11" t="n">
        <x:v>32433.07</x:v>
      </x:c>
      <x:c r="H132" s="23" t="n">
        <x:v>0.0015915545315854983</x:v>
      </x:c>
      <x:c r="I132" s="23" t="n">
        <x:v>0.312765071054596</x:v>
      </x:c>
      <x:c r="J132" s="2" t="n">
        <x:v>1273</x:v>
      </x:c>
      <x:c r="K132" s="2"/>
      <x:c r="L132" s="2"/>
    </x:row>
    <x:row r="133" ht="22" customHeight="1">
      <x:c r="A133" s="2"/>
      <x:c r="B133" s="2" t="n">
        <x:v>100</x:v>
      </x:c>
      <x:c r="C133" s="2" t="str">
        <x:v>22385</x:v>
      </x:c>
      <x:c r="D133" s="2" t="str">
        <x:v>JUMBO BAG SPACEBOY DESIGN</x:v>
      </x:c>
      <x:c r="E133" s="11" t="n">
        <x:v>32447.67</x:v>
      </x:c>
      <x:c r="F133" s="11" t="n">
        <x:v>725.44</x:v>
      </x:c>
      <x:c r="G133" s="11" t="n">
        <x:v>31722.23</x:v>
      </x:c>
      <x:c r="H133" s="23" t="n">
        <x:v>0.0015802122248140356</x:v>
      </x:c>
      <x:c r="I133" s="23" t="n">
        <x:v>0.31434528327941</x:v>
      </x:c>
      <x:c r="J133" s="2" t="n">
        <x:v>1248</x:v>
      </x:c>
      <x:c r="K133" s="2"/>
      <x:c r="L133" s="2"/>
    </x:row>
    <x:row r="134" ht="22" customHeight="1">
      <x:c r="A134" s="2"/>
      <x:c r="B134" s="2" t="n">
        <x:v>101</x:v>
      </x:c>
      <x:c r="C134" s="2" t="str">
        <x:v>22865</x:v>
      </x:c>
      <x:c r="D134" s="2" t="str">
        <x:v>HAND WARMER OWL DESIGN</x:v>
      </x:c>
      <x:c r="E134" s="11" t="n">
        <x:v>31594.540000000005</x:v>
      </x:c>
      <x:c r="F134" s="11" t="n">
        <x:v>264.35</x:v>
      </x:c>
      <x:c r="G134" s="11" t="n">
        <x:v>31330.190000000002</x:v>
      </x:c>
      <x:c r="H134" s="23" t="n">
        <x:v>0.001538664512594465</x:v>
      </x:c>
      <x:c r="I134" s="23" t="n">
        <x:v>0.3158839477920045</x:v>
      </x:c>
      <x:c r="J134" s="2" t="n">
        <x:v>1212</x:v>
      </x:c>
      <x:c r="K134" s="2"/>
      <x:c r="L134" s="2"/>
    </x:row>
    <x:row r="135" ht="22" customHeight="1">
      <x:c r="A135" s="2"/>
      <x:c r="B135" s="2" t="n">
        <x:v>102</x:v>
      </x:c>
      <x:c r="C135" s="2" t="str">
        <x:v>22077</x:v>
      </x:c>
      <x:c r="D135" s="2" t="str">
        <x:v>6 RIBBONS RUSTIC CHARM</x:v>
      </x:c>
      <x:c r="E135" s="11" t="n">
        <x:v>31584.659999999996</x:v>
      </x:c>
      <x:c r="F135" s="11" t="n">
        <x:v>194.7</x:v>
      </x:c>
      <x:c r="G135" s="11" t="n">
        <x:v>31389.959999999995</x:v>
      </x:c>
      <x:c r="H135" s="23" t="n">
        <x:v>0.0015381833533376933</x:v>
      </x:c>
      <x:c r="I135" s="23" t="n">
        <x:v>0.31742213114534223</x:v>
      </x:c>
      <x:c r="J135" s="2" t="n">
        <x:v>1751</x:v>
      </x:c>
      <x:c r="K135" s="2"/>
      <x:c r="L135" s="2"/>
    </x:row>
    <x:row r="136" ht="22" customHeight="1">
      <x:c r="A136" s="2"/>
      <x:c r="B136" s="2" t="n">
        <x:v>103</x:v>
      </x:c>
      <x:c r="C136" s="2" t="str">
        <x:v>85152</x:v>
      </x:c>
      <x:c r="D136" s="2" t="str">
        <x:v>HAND OVER THE CHOCOLATE   SIGN </x:v>
      </x:c>
      <x:c r="E136" s="11" t="n">
        <x:v>31571.9</x:v>
      </x:c>
      <x:c r="F136" s="11" t="n">
        <x:v>191.51000000000002</x:v>
      </x:c>
      <x:c r="G136" s="11" t="n">
        <x:v>31380.390000000003</x:v>
      </x:c>
      <x:c r="H136" s="23" t="n">
        <x:v>0.00153756193713158</x:v>
      </x:c>
      <x:c r="I136" s="23" t="n">
        <x:v>0.3189596930824738</x:v>
      </x:c>
      <x:c r="J136" s="2" t="n">
        <x:v>1460</x:v>
      </x:c>
      <x:c r="K136" s="2"/>
      <x:c r="L136" s="2"/>
    </x:row>
    <x:row r="137" ht="22" customHeight="1">
      <x:c r="A137" s="2"/>
      <x:c r="B137" s="2" t="n">
        <x:v>104</x:v>
      </x:c>
      <x:c r="C137" s="2" t="str">
        <x:v>48184</x:v>
      </x:c>
      <x:c r="D137" s="2" t="str">
        <x:v>DOORMAT ENGLISH ROSE </x:v>
      </x:c>
      <x:c r="E137" s="11" t="n">
        <x:v>31194.96</x:v>
      </x:c>
      <x:c r="F137" s="11" t="n">
        <x:v>86.07</x:v>
      </x:c>
      <x:c r="G137" s="11" t="n">
        <x:v>31108.89</x:v>
      </x:c>
      <x:c r="H137" s="23" t="n">
        <x:v>0.0015192048348798188</x:v>
      </x:c>
      <x:c r="I137" s="23" t="n">
        <x:v>0.3204788979173536</x:v>
      </x:c>
      <x:c r="J137" s="2" t="n">
        <x:v>851</x:v>
      </x:c>
      <x:c r="K137" s="2"/>
      <x:c r="L137" s="2"/>
    </x:row>
    <x:row r="138" ht="22" customHeight="1">
      <x:c r="A138" s="2"/>
      <x:c r="B138" s="2" t="n">
        <x:v>105</x:v>
      </x:c>
      <x:c r="C138" s="2" t="str">
        <x:v>23245</x:v>
      </x:c>
      <x:c r="D138" s="2" t="str">
        <x:v>SET OF 3 REGENCY CAKE TINS</x:v>
      </x:c>
      <x:c r="E138" s="11" t="n">
        <x:v>31177.95</x:v>
      </x:c>
      <x:c r="F138" s="11" t="n">
        <x:v>421.5</x:v>
      </x:c>
      <x:c r="G138" s="11" t="n">
        <x:v>30756.45</x:v>
      </x:c>
      <x:c r="H138" s="23" t="n">
        <x:v>0.001518376442272766</x:v>
      </x:c>
      <x:c r="I138" s="23" t="n">
        <x:v>0.3219972743596264</x:v>
      </x:c>
      <x:c r="J138" s="2" t="n">
        <x:v>873</x:v>
      </x:c>
      <x:c r="K138" s="2"/>
      <x:c r="L138" s="2"/>
    </x:row>
    <x:row r="139" ht="22" customHeight="1">
      <x:c r="A139" s="2"/>
      <x:c r="B139" s="2" t="n">
        <x:v>106</x:v>
      </x:c>
      <x:c r="C139" s="2" t="str">
        <x:v>21479</x:v>
      </x:c>
      <x:c r="D139" s="2" t="str">
        <x:v>WHITE SKULL HOT WATER BOTTLE </x:v>
      </x:c>
      <x:c r="E139" s="11" t="n">
        <x:v>31137.05</x:v>
      </x:c>
      <x:c r="F139" s="11" t="n">
        <x:v>677.1800000000001</x:v>
      </x:c>
      <x:c r="G139" s="11" t="n">
        <x:v>30459.87</x:v>
      </x:c>
      <x:c r="H139" s="23" t="n">
        <x:v>0.0015163845987907873</x:v>
      </x:c>
      <x:c r="I139" s="23" t="n">
        <x:v>0.32351365895841716</x:v>
      </x:c>
      <x:c r="J139" s="2" t="n">
        <x:v>930</x:v>
      </x:c>
      <x:c r="K139" s="2"/>
      <x:c r="L139" s="2"/>
    </x:row>
    <x:row r="140" ht="22" customHeight="1">
      <x:c r="A140" s="2"/>
      <x:c r="B140" s="2" t="n">
        <x:v>107</x:v>
      </x:c>
      <x:c r="C140" s="2" t="str">
        <x:v>85014B</x:v>
      </x:c>
      <x:c r="D140" s="2" t="str">
        <x:v>RED RETROSPOT UMBRELLA</x:v>
      </x:c>
      <x:c r="E140" s="11" t="n">
        <x:v>30812.280000000002</x:v>
      </x:c>
      <x:c r="F140" s="11" t="n">
        <x:v>105.10000000000001</x:v>
      </x:c>
      <x:c r="G140" s="11" t="n">
        <x:v>30707.18</x:v>
      </x:c>
      <x:c r="H140" s="23" t="n">
        <x:v>0.001500568192735966</x:v>
      </x:c>
      <x:c r="I140" s="23" t="n">
        <x:v>0.32501422715115313</x:v>
      </x:c>
      <x:c r="J140" s="2" t="n">
        <x:v>900</x:v>
      </x:c>
      <x:c r="K140" s="2"/>
      <x:c r="L140" s="2"/>
    </x:row>
    <x:row r="141" ht="22" customHeight="1">
      <x:c r="A141" s="2"/>
      <x:c r="B141" s="2" t="n">
        <x:v>108</x:v>
      </x:c>
      <x:c r="C141" s="2" t="str">
        <x:v>22697</x:v>
      </x:c>
      <x:c r="D141" s="2" t="str">
        <x:v>GREEN REGENCY TEACUP AND SAUCER</x:v>
      </x:c>
      <x:c r="E141" s="11" t="n">
        <x:v>30528.300000000003</x:v>
      </x:c>
      <x:c r="F141" s="11" t="n">
        <x:v>506.8</x:v>
      </x:c>
      <x:c r="G141" s="11" t="n">
        <x:v>30021.5</x:v>
      </x:c>
      <x:c r="H141" s="23" t="n">
        <x:v>0.0014867382731268634</x:v>
      </x:c>
      <x:c r="I141" s="23" t="n">
        <x:v>0.32650096542428</x:v>
      </x:c>
      <x:c r="J141" s="2" t="n">
        <x:v>1353</x:v>
      </x:c>
      <x:c r="K141" s="2"/>
      <x:c r="L141" s="2"/>
    </x:row>
    <x:row r="142" ht="22" customHeight="1">
      <x:c r="A142" s="2"/>
      <x:c r="B142" s="2" t="n">
        <x:v>109</x:v>
      </x:c>
      <x:c r="C142" s="2" t="str">
        <x:v>23199</x:v>
      </x:c>
      <x:c r="D142" s="2" t="str">
        <x:v>JUMBO BAG APPLES</x:v>
      </x:c>
      <x:c r="E142" s="11" t="n">
        <x:v>30475.65</x:v>
      </x:c>
      <x:c r="F142" s="11" t="n">
        <x:v>1309.25</x:v>
      </x:c>
      <x:c r="G142" s="11" t="n">
        <x:v>29166.4</x:v>
      </x:c>
      <x:c r="H142" s="23" t="n">
        <x:v>0.0014841742007717</x:v>
      </x:c>
      <x:c r="I142" s="23" t="n">
        <x:v>0.32798513962505166</x:v>
      </x:c>
      <x:c r="J142" s="2" t="n">
        <x:v>978</x:v>
      </x:c>
      <x:c r="K142" s="2"/>
      <x:c r="L142" s="2"/>
    </x:row>
    <x:row r="143" ht="22" customHeight="1">
      <x:c r="A143" s="2"/>
      <x:c r="B143" s="2" t="n">
        <x:v>110</x:v>
      </x:c>
      <x:c r="C143" s="2" t="str">
        <x:v>22501</x:v>
      </x:c>
      <x:c r="D143" s="2" t="str">
        <x:v>PICNIC BASKET WICKER LARGE</x:v>
      </x:c>
      <x:c r="E143" s="11" t="n">
        <x:v>30399.059999999998</x:v>
      </x:c>
      <x:c r="F143" s="11" t="n">
        <x:v>1158.45</x:v>
      </x:c>
      <x:c r="G143" s="11" t="n">
        <x:v>29240.61</x:v>
      </x:c>
      <x:c r="H143" s="23" t="n">
        <x:v>0.0014804442425251291</x:v>
      </x:c>
      <x:c r="I143" s="23" t="n">
        <x:v>0.3294655838675768</x:v>
      </x:c>
      <x:c r="J143" s="2" t="n">
        <x:v>762</x:v>
      </x:c>
      <x:c r="K143" s="2"/>
      <x:c r="L143" s="2"/>
    </x:row>
    <x:row r="144" ht="22" customHeight="1">
      <x:c r="A144" s="2"/>
      <x:c r="B144" s="2" t="n">
        <x:v>111</x:v>
      </x:c>
      <x:c r="C144" s="2" t="str">
        <x:v>20679</x:v>
      </x:c>
      <x:c r="D144" s="2" t="str">
        <x:v>EDWARDIAN PARASOL RED</x:v>
      </x:c>
      <x:c r="E144" s="11" t="n">
        <x:v>30038.82</x:v>
      </x:c>
      <x:c r="F144" s="11" t="n">
        <x:v>107.1</x:v>
      </x:c>
      <x:c r="G144" s="11" t="n">
        <x:v>29931.72</x:v>
      </x:c>
      <x:c r="H144" s="23" t="n">
        <x:v>0.0014629004357782345</x:v>
      </x:c>
      <x:c r="I144" s="23" t="n">
        <x:v>0.33092848430335503</x:v>
      </x:c>
      <x:c r="J144" s="2" t="n">
        <x:v>715</x:v>
      </x:c>
      <x:c r="K144" s="2"/>
      <x:c r="L144" s="2"/>
    </x:row>
    <x:row r="145" ht="22" customHeight="1">
      <x:c r="A145" s="2"/>
      <x:c r="B145" s="2" t="n">
        <x:v>112</x:v>
      </x:c>
      <x:c r="C145" s="2" t="str">
        <x:v>21217</x:v>
      </x:c>
      <x:c r="D145" s="2" t="str">
        <x:v>RED RETROSPOT ROUND CAKE TINS</x:v>
      </x:c>
      <x:c r="E145" s="11" t="n">
        <x:v>29858.789999999997</x:v>
      </x:c>
      <x:c r="F145" s="11" t="n">
        <x:v>484.49999999999994</x:v>
      </x:c>
      <x:c r="G145" s="11" t="n">
        <x:v>29374.289999999997</x:v>
      </x:c>
      <x:c r="H145" s="23" t="n">
        <x:v>0.001454132915434454</x:v>
      </x:c>
      <x:c r="I145" s="23" t="n">
        <x:v>0.3323826172187895</x:v>
      </x:c>
      <x:c r="J145" s="2" t="n">
        <x:v>928</x:v>
      </x:c>
      <x:c r="K145" s="2"/>
      <x:c r="L145" s="2"/>
    </x:row>
    <x:row r="146" ht="22" customHeight="1">
      <x:c r="A146" s="2"/>
      <x:c r="B146" s="2" t="n">
        <x:v>113</x:v>
      </x:c>
      <x:c r="C146" s="2" t="str">
        <x:v>84029G</x:v>
      </x:c>
      <x:c r="D146" s="2" t="str">
        <x:v>KNITTED UNION FLAG HOT WATER BOTTLE</x:v>
      </x:c>
      <x:c r="E146" s="11" t="n">
        <x:v>29661.23</x:v>
      </x:c>
      <x:c r="F146" s="11" t="n">
        <x:v>219.7</x:v>
      </x:c>
      <x:c r="G146" s="11" t="n">
        <x:v>29441.53</x:v>
      </x:c>
      <x:c r="H146" s="23" t="n">
        <x:v>0.0014445116783122123</x:v>
      </x:c>
      <x:c r="I146" s="23" t="n">
        <x:v>0.3338271288971017</x:v>
      </x:c>
      <x:c r="J146" s="2" t="n">
        <x:v>1009</x:v>
      </x:c>
      <x:c r="K146" s="2"/>
      <x:c r="L146" s="2"/>
    </x:row>
    <x:row r="147" ht="22" customHeight="1">
      <x:c r="A147" s="2"/>
      <x:c r="B147" s="2" t="n">
        <x:v>114</x:v>
      </x:c>
      <x:c r="C147" s="2" t="str">
        <x:v>22659</x:v>
      </x:c>
      <x:c r="D147" s="2" t="str">
        <x:v>LUNCH BOX I LOVE LONDON</x:v>
      </x:c>
      <x:c r="E147" s="11" t="n">
        <x:v>29610.609999999997</x:v>
      </x:c>
      <x:c r="F147" s="11" t="n">
        <x:v>574.9499999999999</x:v>
      </x:c>
      <x:c r="G147" s="11" t="n">
        <x:v>29035.66</x:v>
      </x:c>
      <x:c r="H147" s="23" t="n">
        <x:v>0.0014420464676262034</x:v>
      </x:c>
      <x:c r="I147" s="23" t="n">
        <x:v>0.3352691753647279</x:v>
      </x:c>
      <x:c r="J147" s="2" t="n">
        <x:v>1075</x:v>
      </x:c>
      <x:c r="K147" s="2"/>
      <x:c r="L147" s="2"/>
    </x:row>
    <x:row r="148" ht="22" customHeight="1">
      <x:c r="A148" s="2"/>
      <x:c r="B148" s="2" t="n">
        <x:v>115</x:v>
      </x:c>
      <x:c r="C148" s="2" t="str">
        <x:v>22158</x:v>
      </x:c>
      <x:c r="D148" s="2" t="str">
        <x:v>3 HEARTS HANGING DECORATION RUSTIC</x:v>
      </x:c>
      <x:c r="E148" s="11" t="n">
        <x:v>29475.58</x:v>
      </x:c>
      <x:c r="F148" s="11" t="n">
        <x:v>287.1</x:v>
      </x:c>
      <x:c r="G148" s="11" t="n">
        <x:v>29188.48</x:v>
      </x:c>
      <x:c r="H148" s="23" t="n">
        <x:v>0.001435470462115896</x:v>
      </x:c>
      <x:c r="I148" s="23" t="n">
        <x:v>0.3367046458268438</x:v>
      </x:c>
      <x:c r="J148" s="2" t="n">
        <x:v>718</x:v>
      </x:c>
      <x:c r="K148" s="2"/>
      <x:c r="L148" s="2"/>
    </x:row>
    <x:row r="149" ht="22" customHeight="1">
      <x:c r="A149" s="2"/>
      <x:c r="B149" s="2" t="n">
        <x:v>116</x:v>
      </x:c>
      <x:c r="C149" s="2" t="str">
        <x:v>22622</x:v>
      </x:c>
      <x:c r="D149" s="2" t="str">
        <x:v>BOX OF VINTAGE ALPHABET BLOCKS</x:v>
      </x:c>
      <x:c r="E149" s="11" t="n">
        <x:v>29470.01</x:v>
      </x:c>
      <x:c r="F149" s="11" t="n">
        <x:v>559.35</x:v>
      </x:c>
      <x:c r="G149" s="11" t="n">
        <x:v>28910.66</x:v>
      </x:c>
      <x:c r="H149" s="23" t="n">
        <x:v>0.0014351992012798416</x:v>
      </x:c>
      <x:c r="I149" s="23" t="n">
        <x:v>0.3381398450281236</x:v>
      </x:c>
      <x:c r="J149" s="2" t="n">
        <x:v>571</x:v>
      </x:c>
      <x:c r="K149" s="2"/>
      <x:c r="L149" s="2"/>
    </x:row>
    <x:row r="150" ht="22" customHeight="1">
      <x:c r="A150" s="2"/>
      <x:c r="B150" s="2" t="n">
        <x:v>117</x:v>
      </x:c>
      <x:c r="C150" s="2" t="str">
        <x:v>47590B</x:v>
      </x:c>
      <x:c r="D150" s="2" t="str">
        <x:v>PINK HAPPY BIRTHDAY BUNTING</x:v>
      </x:c>
      <x:c r="E150" s="11" t="n">
        <x:v>29418.36</x:v>
      </x:c>
      <x:c r="F150" s="11" t="n">
        <x:v>293.05</x:v>
      </x:c>
      <x:c r="G150" s="11" t="n">
        <x:v>29125.31</x:v>
      </x:c>
      <x:c r="H150" s="23" t="n">
        <x:v>0.0014326838292543112</x:v>
      </x:c>
      <x:c r="I150" s="23" t="n">
        <x:v>0.33957252885737793</x:v>
      </x:c>
      <x:c r="J150" s="2" t="n">
        <x:v>872</x:v>
      </x:c>
      <x:c r="K150" s="2"/>
      <x:c r="L150" s="2"/>
    </x:row>
    <x:row r="151" ht="22" customHeight="1">
      <x:c r="A151" s="2"/>
      <x:c r="B151" s="2" t="n">
        <x:v>118</x:v>
      </x:c>
      <x:c r="C151" s="2" t="str">
        <x:v>82483</x:v>
      </x:c>
      <x:c r="D151" s="2" t="str">
        <x:v>WOOD 2 DRAWER CABINET WHITE FINISH</x:v>
      </x:c>
      <x:c r="E151" s="11" t="n">
        <x:v>29202.82</x:v>
      </x:c>
      <x:c r="F151" s="11" t="n">
        <x:v>1698.7</x:v>
      </x:c>
      <x:c r="G151" s="11" t="n">
        <x:v>27504.120000000003</x:v>
      </x:c>
      <x:c r="H151" s="23" t="n">
        <x:v>0.0014221869602052725</x:v>
      </x:c>
      <x:c r="I151" s="23" t="n">
        <x:v>0.3409947158175832</x:v>
      </x:c>
      <x:c r="J151" s="2" t="n">
        <x:v>1123</x:v>
      </x:c>
      <x:c r="K151" s="2"/>
      <x:c r="L151" s="2"/>
    </x:row>
    <x:row r="152" ht="22" customHeight="1">
      <x:c r="A152" s="2"/>
      <x:c r="B152" s="2" t="n">
        <x:v>119</x:v>
      </x:c>
      <x:c r="C152" s="2" t="str">
        <x:v>23355</x:v>
      </x:c>
      <x:c r="D152" s="2" t="str">
        <x:v>HOT WATER BOTTLE KEEP CALM</x:v>
      </x:c>
      <x:c r="E152" s="11" t="n">
        <x:v>28842.550000000003</x:v>
      </x:c>
      <x:c r="F152" s="11" t="n">
        <x:v>417.6</x:v>
      </x:c>
      <x:c r="G152" s="11" t="n">
        <x:v>28424.95</x:v>
      </x:c>
      <x:c r="H152" s="23" t="n">
        <x:v>0.0014046416924484893</x:v>
      </x:c>
      <x:c r="I152" s="23" t="n">
        <x:v>0.3423993575100317</x:v>
      </x:c>
      <x:c r="J152" s="2" t="n">
        <x:v>782</x:v>
      </x:c>
      <x:c r="K152" s="2"/>
      <x:c r="L152" s="2"/>
    </x:row>
    <x:row r="153" ht="22" customHeight="1">
      <x:c r="A153" s="2"/>
      <x:c r="B153" s="2" t="n">
        <x:v>120</x:v>
      </x:c>
      <x:c r="C153" s="2" t="str">
        <x:v>48188</x:v>
      </x:c>
      <x:c r="D153" s="2" t="str">
        <x:v>DOORMAT WELCOME PUPPIES</x:v>
      </x:c>
      <x:c r="E153" s="11" t="n">
        <x:v>28662.03</x:v>
      </x:c>
      <x:c r="F153" s="11" t="n">
        <x:v>85.35</x:v>
      </x:c>
      <x:c r="G153" s="11" t="n">
        <x:v>28576.68</x:v>
      </x:c>
      <x:c r="H153" s="23" t="n">
        <x:v>0.0013958503089431887</x:v>
      </x:c>
      <x:c r="I153" s="23" t="n">
        <x:v>0.3437952078189749</x:v>
      </x:c>
      <x:c r="J153" s="2" t="n">
        <x:v>698</x:v>
      </x:c>
      <x:c r="K153" s="2"/>
      <x:c r="L153" s="2"/>
    </x:row>
    <x:row r="154" ht="22" customHeight="1">
      <x:c r="A154" s="2"/>
      <x:c r="B154" s="2" t="n">
        <x:v>121</x:v>
      </x:c>
      <x:c r="C154" s="2" t="str">
        <x:v>20971</x:v>
      </x:c>
      <x:c r="D154" s="2" t="str">
        <x:v>PINK BLUE FELT CRAFT TRINKET BOX</x:v>
      </x:c>
      <x:c r="E154" s="11" t="n">
        <x:v>28642.22</x:v>
      </x:c>
      <x:c r="F154" s="11" t="n">
        <x:v>4113.08</x:v>
      </x:c>
      <x:c r="G154" s="11" t="n">
        <x:v>24529.14</x:v>
      </x:c>
      <x:c r="H154" s="23" t="n">
        <x:v>0.0013948855554131643</x:v>
      </x:c>
      <x:c r="I154" s="23" t="n">
        <x:v>0.34519009337438805</x:v>
      </x:c>
      <x:c r="J154" s="2" t="n">
        <x:v>1148</x:v>
      </x:c>
      <x:c r="K154" s="2"/>
      <x:c r="L154" s="2"/>
    </x:row>
    <x:row r="155" ht="22" customHeight="1">
      <x:c r="A155" s="2"/>
      <x:c r="B155" s="2" t="n">
        <x:v>122</x:v>
      </x:c>
      <x:c r="C155" s="2" t="str">
        <x:v>84978</x:v>
      </x:c>
      <x:c r="D155" s="2" t="str">
        <x:v>HANGING HEART JAR T-LIGHT HOLDER</x:v>
      </x:c>
      <x:c r="E155" s="11" t="n">
        <x:v>28580.96</x:v>
      </x:c>
      <x:c r="F155" s="11" t="n">
        <x:v>417.72</x:v>
      </x:c>
      <x:c r="G155" s="11" t="n">
        <x:v>28163.24</x:v>
      </x:c>
      <x:c r="H155" s="23" t="n">
        <x:v>0.0013919021732198631</x:v>
      </x:c>
      <x:c r="I155" s="23" t="n">
        <x:v>0.34658199554760794</x:v>
      </x:c>
      <x:c r="J155" s="2" t="n">
        <x:v>1425</x:v>
      </x:c>
      <x:c r="K155" s="2"/>
      <x:c r="L155" s="2"/>
    </x:row>
    <x:row r="156" ht="22" customHeight="1">
      <x:c r="A156" s="2"/>
      <x:c r="B156" s="2" t="n">
        <x:v>123</x:v>
      </x:c>
      <x:c r="C156" s="2" t="str">
        <x:v>22866</x:v>
      </x:c>
      <x:c r="D156" s="2" t="str">
        <x:v>HAND WARMER SCOTTY DOG DESIGN</x:v>
      </x:c>
      <x:c r="E156" s="11" t="n">
        <x:v>28357.170000000002</x:v>
      </x:c>
      <x:c r="F156" s="11" t="n">
        <x:v>259.50000000000006</x:v>
      </x:c>
      <x:c r="G156" s="11" t="n">
        <x:v>28097.670000000002</x:v>
      </x:c>
      <x:c r="H156" s="23" t="n">
        <x:v>0.0013810035264513547</x:v>
      </x:c>
      <x:c r="I156" s="23" t="n">
        <x:v>0.3479629990740593</x:v>
      </x:c>
      <x:c r="J156" s="2" t="n">
        <x:v>1083</x:v>
      </x:c>
      <x:c r="K156" s="2"/>
      <x:c r="L156" s="2"/>
    </x:row>
    <x:row r="157" ht="22" customHeight="1">
      <x:c r="A157" s="2"/>
      <x:c r="B157" s="2" t="n">
        <x:v>124</x:v>
      </x:c>
      <x:c r="C157" s="2" t="str">
        <x:v>22467</x:v>
      </x:c>
      <x:c r="D157" s="2" t="str">
        <x:v>GUMBALL COAT RACK</x:v>
      </x:c>
      <x:c r="E157" s="11" t="n">
        <x:v>28278.78</x:v>
      </x:c>
      <x:c r="F157" s="11" t="n">
        <x:v>665.55</x:v>
      </x:c>
      <x:c r="G157" s="11" t="n">
        <x:v>27613.23</x:v>
      </x:c>
      <x:c r="H157" s="23" t="n">
        <x:v>0.001377185907611445</x:v>
      </x:c>
      <x:c r="I157" s="23" t="n">
        <x:v>0.34934018498167074</x:v>
      </x:c>
      <x:c r="J157" s="2" t="n">
        <x:v>1095</x:v>
      </x:c>
      <x:c r="K157" s="2"/>
      <x:c r="L157" s="2"/>
    </x:row>
    <x:row r="158" ht="22" customHeight="1">
      <x:c r="A158" s="2"/>
      <x:c r="B158" s="2" t="n">
        <x:v>125</x:v>
      </x:c>
      <x:c r="C158" s="2" t="str">
        <x:v>22752</x:v>
      </x:c>
      <x:c r="D158" s="2" t="str">
        <x:v>SET 7 BABUSHKA NESTING BOXES</x:v>
      </x:c>
      <x:c r="E158" s="11" t="n">
        <x:v>28207.45</x:v>
      </x:c>
      <x:c r="F158" s="11" t="n">
        <x:v>1761.2000000000003</x:v>
      </x:c>
      <x:c r="G158" s="11" t="n">
        <x:v>26446.25</x:v>
      </x:c>
      <x:c r="H158" s="23" t="n">
        <x:v>0.0013737121130987424</x:v>
      </x:c>
      <x:c r="I158" s="23" t="n">
        <x:v>0.35071389709476947</x:v>
      </x:c>
      <x:c r="J158" s="2" t="n">
        <x:v>692</x:v>
      </x:c>
      <x:c r="K158" s="2"/>
      <x:c r="L158" s="2"/>
    </x:row>
    <x:row r="159" ht="22" customHeight="1">
      <x:c r="A159" s="2"/>
      <x:c r="B159" s="2" t="n">
        <x:v>126</x:v>
      </x:c>
      <x:c r="C159" s="2" t="str">
        <x:v>21977</x:v>
      </x:c>
      <x:c r="D159" s="2" t="str">
        <x:v>PACK OF 60 PINK PAISLEY CAKE CASES</x:v>
      </x:c>
      <x:c r="E159" s="11" t="n">
        <x:v>28159.08</x:v>
      </x:c>
      <x:c r="F159" s="11" t="n">
        <x:v>117.30000000000001</x:v>
      </x:c>
      <x:c r="G159" s="11" t="n">
        <x:v>28041.780000000002</x:v>
      </x:c>
      <x:c r="H159" s="23" t="n">
        <x:v>0.0013713564781544074</x:v>
      </x:c>
      <x:c r="I159" s="23" t="n">
        <x:v>0.35208525357292386</x:v>
      </x:c>
      <x:c r="J159" s="2" t="n">
        <x:v>1993</x:v>
      </x:c>
      <x:c r="K159" s="2"/>
      <x:c r="L159" s="2"/>
    </x:row>
    <x:row r="160" ht="22" customHeight="1">
      <x:c r="A160" s="2"/>
      <x:c r="B160" s="2" t="n">
        <x:v>127</x:v>
      </x:c>
      <x:c r="C160" s="2" t="str">
        <x:v>82583</x:v>
      </x:c>
      <x:c r="D160" s="2" t="str">
        <x:v>HOT BATHS METAL SIGN</x:v>
      </x:c>
      <x:c r="E160" s="11" t="n">
        <x:v>28128.99</x:v>
      </x:c>
      <x:c r="F160" s="11" t="n">
        <x:v>204.09</x:v>
      </x:c>
      <x:c r="G160" s="11" t="n">
        <x:v>27924.9</x:v>
      </x:c>
      <x:c r="H160" s="23" t="n">
        <x:v>0.0013698910852357584</x:v>
      </x:c>
      <x:c r="I160" s="23" t="n">
        <x:v>0.35345514465815964</x:v>
      </x:c>
      <x:c r="J160" s="2" t="n">
        <x:v>1176</x:v>
      </x:c>
      <x:c r="K160" s="2"/>
      <x:c r="L160" s="2"/>
    </x:row>
    <x:row r="161" ht="22" customHeight="1">
      <x:c r="A161" s="2"/>
      <x:c r="B161" s="2" t="n">
        <x:v>128</x:v>
      </x:c>
      <x:c r="C161" s="2" t="str">
        <x:v>22188</x:v>
      </x:c>
      <x:c r="D161" s="2" t="str">
        <x:v>BLACK HEART CARD HOLDER</x:v>
      </x:c>
      <x:c r="E161" s="11" t="n">
        <x:v>28115.98</x:v>
      </x:c>
      <x:c r="F161" s="11" t="n">
        <x:v>19.75</x:v>
      </x:c>
      <x:c r="G161" s="11" t="n">
        <x:v>28096.23</x:v>
      </x:c>
      <x:c r="H161" s="23" t="n">
        <x:v>0.0013692574939472367</x:v>
      </x:c>
      <x:c r="I161" s="23" t="n">
        <x:v>0.35482440215210687</x:v>
      </x:c>
      <x:c r="J161" s="2" t="n">
        <x:v>566</x:v>
      </x:c>
      <x:c r="K161" s="2"/>
      <x:c r="L161" s="2"/>
    </x:row>
    <x:row r="162" ht="22" customHeight="1">
      <x:c r="A162" s="2"/>
      <x:c r="B162" s="2" t="n">
        <x:v>129</x:v>
      </x:c>
      <x:c r="C162" s="2" t="str">
        <x:v>23201</x:v>
      </x:c>
      <x:c r="D162" s="2" t="str">
        <x:v>JUMBO BAG ALPHABET</x:v>
      </x:c>
      <x:c r="E162" s="11" t="n">
        <x:v>27890.170000000002</x:v>
      </x:c>
      <x:c r="F162" s="11" t="n">
        <x:v>1076.02</x:v>
      </x:c>
      <x:c r="G162" s="11" t="n">
        <x:v>26814.15</x:v>
      </x:c>
      <x:c r="H162" s="23" t="n">
        <x:v>0.00135826047251287</x:v>
      </x:c>
      <x:c r="I162" s="23" t="n">
        <x:v>0.35618266262461973</x:v>
      </x:c>
      <x:c r="J162" s="2" t="n">
        <x:v>906</x:v>
      </x:c>
      <x:c r="K162" s="2"/>
      <x:c r="L162" s="2"/>
    </x:row>
    <x:row r="163" ht="22" customHeight="1">
      <x:c r="A163" s="2"/>
      <x:c r="B163" s="2" t="n">
        <x:v>130</x:v>
      </x:c>
      <x:c r="C163" s="2" t="str">
        <x:v>22492</x:v>
      </x:c>
      <x:c r="D163" s="2" t="str">
        <x:v>MINI PAINT SET VINTAGE </x:v>
      </x:c>
      <x:c r="E163" s="11" t="n">
        <x:v>27864.390000000003</x:v>
      </x:c>
      <x:c r="F163" s="11" t="n">
        <x:v>182.65</x:v>
      </x:c>
      <x:c r="G163" s="11" t="n">
        <x:v>27681.74</x:v>
      </x:c>
      <x:c r="H163" s="23" t="n">
        <x:v>0.0013570049780149383</x:v>
      </x:c>
      <x:c r="I163" s="23" t="n">
        <x:v>0.35753966760263467</x:v>
      </x:c>
      <x:c r="J163" s="2" t="n">
        <x:v>732</x:v>
      </x:c>
      <x:c r="K163" s="2"/>
      <x:c r="L163" s="2"/>
    </x:row>
    <x:row r="164" ht="22" customHeight="1">
      <x:c r="A164" s="2"/>
      <x:c r="B164" s="2" t="n">
        <x:v>131</x:v>
      </x:c>
      <x:c r="C164" s="2" t="str">
        <x:v>20719</x:v>
      </x:c>
      <x:c r="D164" s="2" t="str">
        <x:v>WOODLAND CHARLOTTE BAG</x:v>
      </x:c>
      <x:c r="E164" s="11" t="n">
        <x:v>27634.97</x:v>
      </x:c>
      <x:c r="F164" s="11" t="n">
        <x:v>106.82</x:v>
      </x:c>
      <x:c r="G164" s="11" t="n">
        <x:v>27528.149999999998</x:v>
      </x:c>
      <x:c r="H164" s="23" t="n">
        <x:v>0.0013458321483905973</x:v>
      </x:c>
      <x:c r="I164" s="23" t="n">
        <x:v>0.3588854997510253</x:v>
      </x:c>
      <x:c r="J164" s="2" t="n">
        <x:v>1573</x:v>
      </x:c>
      <x:c r="K164" s="2"/>
      <x:c r="L164" s="2"/>
    </x:row>
    <x:row r="165" ht="22" customHeight="1">
      <x:c r="A165" s="2"/>
      <x:c r="B165" s="2" t="n">
        <x:v>132</x:v>
      </x:c>
      <x:c r="C165" s="2" t="str">
        <x:v>22624</x:v>
      </x:c>
      <x:c r="D165" s="2" t="str">
        <x:v>IVORY KITCHEN SCALES</x:v>
      </x:c>
      <x:c r="E165" s="11" t="n">
        <x:v>27500.33</x:v>
      </x:c>
      <x:c r="F165" s="11" t="n">
        <x:v>244.8</x:v>
      </x:c>
      <x:c r="G165" s="11" t="n">
        <x:v>27255.530000000002</x:v>
      </x:c>
      <x:c r="H165" s="23" t="n">
        <x:v>0.0013392751360088466</x:v>
      </x:c>
      <x:c r="I165" s="23" t="n">
        <x:v>0.36022477488703414</x:v>
      </x:c>
      <x:c r="J165" s="2" t="n">
        <x:v>1219</x:v>
      </x:c>
      <x:c r="K165" s="2"/>
      <x:c r="L165" s="2"/>
    </x:row>
    <x:row r="166" ht="22" customHeight="1">
      <x:c r="A166" s="2"/>
      <x:c r="B166" s="2" t="n">
        <x:v>133</x:v>
      </x:c>
      <x:c r="C166" s="2" t="str">
        <x:v>21930</x:v>
      </x:c>
      <x:c r="D166" s="2" t="str">
        <x:v>JUMBO STORAGE BAG SKULLS</x:v>
      </x:c>
      <x:c r="E166" s="11" t="n">
        <x:v>27402.79</x:v>
      </x:c>
      <x:c r="F166" s="11" t="n">
        <x:v>11.49</x:v>
      </x:c>
      <x:c r="G166" s="11" t="n">
        <x:v>27391.3</x:v>
      </x:c>
      <x:c r="H166" s="23" t="n">
        <x:v>0.00133452490585647</x:v>
      </x:c>
      <x:c r="I166" s="23" t="n">
        <x:v>0.3615592997928906</x:v>
      </x:c>
      <x:c r="J166" s="2" t="n">
        <x:v>1321</x:v>
      </x:c>
      <x:c r="K166" s="2"/>
      <x:c r="L166" s="2"/>
    </x:row>
    <x:row r="167" ht="22" customHeight="1">
      <x:c r="A167" s="2"/>
      <x:c r="B167" s="2" t="n">
        <x:v>134</x:v>
      </x:c>
      <x:c r="C167" s="2" t="str">
        <x:v>72741</x:v>
      </x:c>
      <x:c r="D167" s="2" t="str">
        <x:v>GRAND CHOCOLATECANDLE</x:v>
      </x:c>
      <x:c r="E167" s="11" t="n">
        <x:v>27333.71</x:v>
      </x:c>
      <x:c r="F167" s="11" t="n">
        <x:v>89.3</x:v>
      </x:c>
      <x:c r="G167" s="11" t="n">
        <x:v>27244.41</x:v>
      </x:c>
      <x:c r="H167" s="23" t="n">
        <x:v>0.0013311606870854411</x:v>
      </x:c>
      <x:c r="I167" s="23" t="n">
        <x:v>0.36289046047997603</x:v>
      </x:c>
      <x:c r="J167" s="2" t="n">
        <x:v>920</x:v>
      </x:c>
      <x:c r="K167" s="2"/>
      <x:c r="L167" s="2"/>
    </x:row>
    <x:row r="168" ht="22" customHeight="1">
      <x:c r="A168" s="2"/>
      <x:c r="B168" s="2" t="n">
        <x:v>135</x:v>
      </x:c>
      <x:c r="C168" s="2" t="str">
        <x:v>22835</x:v>
      </x:c>
      <x:c r="D168" s="2" t="str">
        <x:v>HOT WATER BOTTLE I AM SO POORLY</x:v>
      </x:c>
      <x:c r="E168" s="11" t="n">
        <x:v>27282.190000000002</x:v>
      </x:c>
      <x:c r="F168" s="11" t="n">
        <x:v>1744.8</x:v>
      </x:c>
      <x:c r="G168" s="11" t="n">
        <x:v>25537.39</x:v>
      </x:c>
      <x:c r="H168" s="23" t="n">
        <x:v>0.001328651646102763</x:v>
      </x:c>
      <x:c r="I168" s="23" t="n">
        <x:v>0.36421911212607877</x:v>
      </x:c>
      <x:c r="J168" s="2" t="n">
        <x:v>1011</x:v>
      </x:c>
      <x:c r="K168" s="2"/>
      <x:c r="L168" s="2"/>
    </x:row>
    <x:row r="169" ht="22" customHeight="1">
      <x:c r="A169" s="2"/>
      <x:c r="B169" s="2" t="n">
        <x:v>136</x:v>
      </x:c>
      <x:c r="C169" s="2" t="str">
        <x:v>84991</x:v>
      </x:c>
      <x:c r="D169" s="2" t="str">
        <x:v>60 TEATIME FAIRY CAKE CASES</x:v>
      </x:c>
      <x:c r="E169" s="11" t="n">
        <x:v>27123.510000000002</x:v>
      </x:c>
      <x:c r="F169" s="11" t="n">
        <x:v>187.95000000000002</x:v>
      </x:c>
      <x:c r="G169" s="11" t="n">
        <x:v>26935.56</x:v>
      </x:c>
      <x:c r="H169" s="23" t="n">
        <x:v>0.0013209238777966415</x:v>
      </x:c>
      <x:c r="I169" s="23" t="n">
        <x:v>0.3655400360038754</x:v>
      </x:c>
      <x:c r="J169" s="2" t="n">
        <x:v>2127</x:v>
      </x:c>
      <x:c r="K169" s="2"/>
      <x:c r="L169" s="2"/>
    </x:row>
    <x:row r="170" ht="22" customHeight="1">
      <x:c r="A170" s="2"/>
      <x:c r="B170" s="2" t="n">
        <x:v>137</x:v>
      </x:c>
      <x:c r="C170" s="2" t="str">
        <x:v>22961</x:v>
      </x:c>
      <x:c r="D170" s="2" t="str">
        <x:v>JAM MAKING SET PRINTED</x:v>
      </x:c>
      <x:c r="E170" s="11" t="n">
        <x:v>26911.629999999997</x:v>
      </x:c>
      <x:c r="F170" s="11" t="n">
        <x:v>444.59999999999997</x:v>
      </x:c>
      <x:c r="G170" s="11" t="n">
        <x:v>26467.03</x:v>
      </x:c>
      <x:c r="H170" s="23" t="n">
        <x:v>0.0013106052519540584</x:v>
      </x:c>
      <x:c r="I170" s="23" t="n">
        <x:v>0.36685064125582945</x:v>
      </x:c>
      <x:c r="J170" s="2" t="n">
        <x:v>1200</x:v>
      </x:c>
      <x:c r="K170" s="2"/>
      <x:c r="L170" s="2"/>
    </x:row>
    <x:row r="171" ht="22" customHeight="1">
      <x:c r="A171" s="2"/>
      <x:c r="B171" s="2" t="n">
        <x:v>138</x:v>
      </x:c>
      <x:c r="C171" s="2" t="str">
        <x:v>20750</x:v>
      </x:c>
      <x:c r="D171" s="2" t="str">
        <x:v>RED RETROSPOT MINI CASES</x:v>
      </x:c>
      <x:c r="E171" s="11" t="n">
        <x:v>26906.379999999997</x:v>
      </x:c>
      <x:c r="F171" s="11" t="n">
        <x:v>144.6</x:v>
      </x:c>
      <x:c r="G171" s="11" t="n">
        <x:v>26761.78</x:v>
      </x:c>
      <x:c r="H171" s="23" t="n">
        <x:v>0.0013103495752234866</x:v>
      </x:c>
      <x:c r="I171" s="23" t="n">
        <x:v>0.3681609908310529</x:v>
      </x:c>
      <x:c r="J171" s="2" t="n">
        <x:v>909</x:v>
      </x:c>
      <x:c r="K171" s="2"/>
      <x:c r="L171" s="2"/>
    </x:row>
    <x:row r="172" ht="22" customHeight="1">
      <x:c r="A172" s="2"/>
      <x:c r="B172" s="2" t="n">
        <x:v>139</x:v>
      </x:c>
      <x:c r="C172" s="2" t="str">
        <x:v>71459</x:v>
      </x:c>
      <x:c r="D172" s="2" t="str">
        <x:v>HANGING JAM JAR T-LIGHT HOLDERS</x:v>
      </x:c>
      <x:c r="E172" s="11" t="n">
        <x:v>26840.79</x:v>
      </x:c>
      <x:c r="F172" s="11" t="n">
        <x:v>257.28</x:v>
      </x:c>
      <x:c r="G172" s="11" t="n">
        <x:v>26583.51</x:v>
      </x:c>
      <x:c r="H172" s="23" t="n">
        <x:v>0.001307155320602876</x:v>
      </x:c>
      <x:c r="I172" s="23" t="n">
        <x:v>0.3694681461516558</x:v>
      </x:c>
      <x:c r="J172" s="2" t="n">
        <x:v>1017</x:v>
      </x:c>
      <x:c r="K172" s="2"/>
      <x:c r="L172" s="2"/>
    </x:row>
    <x:row r="173" ht="22" customHeight="1">
      <x:c r="A173" s="2"/>
      <x:c r="B173" s="2" t="n">
        <x:v>140</x:v>
      </x:c>
      <x:c r="C173" s="2" t="str">
        <x:v>22734</x:v>
      </x:c>
      <x:c r="D173" s="2" t="str">
        <x:v>SET OF 6 RIBBONS VINTAGE CHRISTMAS</x:v>
      </x:c>
      <x:c r="E173" s="11" t="n">
        <x:v>26785.51</x:v>
      </x:c>
      <x:c r="F173" s="11" t="n">
        <x:v>86.7</x:v>
      </x:c>
      <x:c r="G173" s="11" t="n">
        <x:v>26698.81</x:v>
      </x:c>
      <x:c r="H173" s="23" t="n">
        <x:v>0.0013044631663807786</x:v>
      </x:c>
      <x:c r="I173" s="23" t="n">
        <x:v>0.3707726093180366</x:v>
      </x:c>
      <x:c r="J173" s="2" t="n">
        <x:v>756</x:v>
      </x:c>
      <x:c r="K173" s="2"/>
      <x:c r="L173" s="2"/>
    </x:row>
    <x:row r="174" ht="22" customHeight="1">
      <x:c r="A174" s="2"/>
      <x:c r="B174" s="2" t="n">
        <x:v>141</x:v>
      </x:c>
      <x:c r="C174" s="2" t="str">
        <x:v>22149</x:v>
      </x:c>
      <x:c r="D174" s="2" t="str">
        <x:v>check</x:v>
      </x:c>
      <x:c r="E174" s="11" t="n">
        <x:v>26286.170000000002</x:v>
      </x:c>
      <x:c r="F174" s="11" t="n">
        <x:v>1244.4</x:v>
      </x:c>
      <x:c r="G174" s="11" t="n">
        <x:v>25041.77</x:v>
      </x:c>
      <x:c r="H174" s="23" t="n">
        <x:v>0.0012801451437819715</x:v>
      </x:c>
      <x:c r="I174" s="23" t="n">
        <x:v>0.37205275446181857</x:v>
      </x:c>
      <x:c r="J174" s="2" t="n">
        <x:v>1382</x:v>
      </x:c>
      <x:c r="K174" s="2"/>
      <x:c r="L174" s="2"/>
    </x:row>
    <x:row r="175" ht="22" customHeight="1">
      <x:c r="A175" s="2"/>
      <x:c r="B175" s="2" t="n">
        <x:v>142</x:v>
      </x:c>
      <x:c r="C175" s="2" t="str">
        <x:v>22867</x:v>
      </x:c>
      <x:c r="D175" s="2" t="str">
        <x:v>HAND WARMER BIRD DESIGN</x:v>
      </x:c>
      <x:c r="E175" s="11" t="n">
        <x:v>26168.030000000002</x:v>
      </x:c>
      <x:c r="F175" s="11" t="n">
        <x:v>172.20000000000002</x:v>
      </x:c>
      <x:c r="G175" s="11" t="n">
        <x:v>25995.83</x:v>
      </x:c>
      <x:c r="H175" s="23" t="n">
        <x:v>0.0012743916868391608</x:v>
      </x:c>
      <x:c r="I175" s="23" t="n">
        <x:v>0.37332714614865775</x:v>
      </x:c>
      <x:c r="J175" s="2" t="n">
        <x:v>1054</x:v>
      </x:c>
      <x:c r="K175" s="2"/>
      <x:c r="L175" s="2"/>
    </x:row>
    <x:row r="176" ht="22" customHeight="1">
      <x:c r="A176" s="2"/>
      <x:c r="B176" s="2" t="n">
        <x:v>143</x:v>
      </x:c>
      <x:c r="C176" s="2" t="str">
        <x:v>48111</x:v>
      </x:c>
      <x:c r="D176" s="2" t="str">
        <x:v>DOORMAT 3 SMILEY CATS</x:v>
      </x:c>
      <x:c r="E176" s="11" t="n">
        <x:v>26030.42</x:v>
      </x:c>
      <x:c r="F176" s="11" t="n">
        <x:v>102.4</x:v>
      </x:c>
      <x:c r="G176" s="11" t="n">
        <x:v>25928.02</x:v>
      </x:c>
      <x:c r="H176" s="23" t="n">
        <x:v>0.0012676900344784007</x:v>
      </x:c>
      <x:c r="I176" s="23" t="n">
        <x:v>0.37459483618313616</x:v>
      </x:c>
      <x:c r="J176" s="2" t="n">
        <x:v>720</x:v>
      </x:c>
      <x:c r="K176" s="2"/>
      <x:c r="L176" s="2"/>
    </x:row>
    <x:row r="177" ht="22" customHeight="1">
      <x:c r="A177" s="2"/>
      <x:c r="B177" s="2" t="n">
        <x:v>144</x:v>
      </x:c>
      <x:c r="C177" s="2" t="str">
        <x:v>22551</x:v>
      </x:c>
      <x:c r="D177" s="2" t="str">
        <x:v>PLASTERS IN TIN SPACEBOY</x:v>
      </x:c>
      <x:c r="E177" s="11" t="n">
        <x:v>25973.92</x:v>
      </x:c>
      <x:c r="F177" s="11" t="n">
        <x:v>435.15</x:v>
      </x:c>
      <x:c r="G177" s="11" t="n">
        <x:v>25538.769999999997</x:v>
      </x:c>
      <x:c r="H177" s="23" t="n">
        <x:v>0.0012649384658541514</x:v>
      </x:c>
      <x:c r="I177" s="23" t="n">
        <x:v>0.3758597746489903</x:v>
      </x:c>
      <x:c r="J177" s="2" t="n">
        <x:v>1299</x:v>
      </x:c>
      <x:c r="K177" s="2"/>
      <x:c r="L177" s="2"/>
    </x:row>
    <x:row r="178" ht="22" customHeight="1">
      <x:c r="A178" s="2"/>
      <x:c r="B178" s="2" t="n">
        <x:v>145</x:v>
      </x:c>
      <x:c r="C178" s="2" t="str">
        <x:v>47566B</x:v>
      </x:c>
      <x:c r="D178" s="2" t="str">
        <x:v>TEA TIME PARTY BUNTING</x:v>
      </x:c>
      <x:c r="E178" s="11" t="n">
        <x:v>25836.940000000002</x:v>
      </x:c>
      <x:c r="F178" s="11" t="n">
        <x:v>4490.5</x:v>
      </x:c>
      <x:c r="G178" s="11" t="n">
        <x:v>21346.440000000002</x:v>
      </x:c>
      <x:c r="H178" s="23" t="n">
        <x:v>0.0012582674947010603</x:v>
      </x:c>
      <x:c r="I178" s="23" t="n">
        <x:v>0.3771180421436913</x:v>
      </x:c>
      <x:c r="J178" s="2" t="n">
        <x:v>761</x:v>
      </x:c>
      <x:c r="K178" s="2"/>
      <x:c r="L178" s="2"/>
    </x:row>
    <x:row r="179" ht="22" customHeight="1">
      <x:c r="A179" s="2"/>
      <x:c r="B179" s="2" t="n">
        <x:v>146</x:v>
      </x:c>
      <x:c r="C179" s="2" t="str">
        <x:v>82600</x:v>
      </x:c>
      <x:c r="D179" s="2" t="str">
        <x:v>N0 SINGING METAL SIGN</x:v>
      </x:c>
      <x:c r="E179" s="11" t="n">
        <x:v>25780.29</x:v>
      </x:c>
      <x:c r="F179" s="11" t="n">
        <x:v>83.80000000000001</x:v>
      </x:c>
      <x:c r="G179" s="11" t="n">
        <x:v>25696.49</x:v>
      </x:c>
      <x:c r="H179" s="23" t="n">
        <x:v>0.001255508621027366</x:v>
      </x:c>
      <x:c r="I179" s="23" t="n">
        <x:v>0.3783735507647187</x:v>
      </x:c>
      <x:c r="J179" s="2" t="n">
        <x:v>1201</x:v>
      </x:c>
      <x:c r="K179" s="2"/>
      <x:c r="L179" s="2"/>
    </x:row>
    <x:row r="180" ht="22" customHeight="1">
      <x:c r="A180" s="2"/>
      <x:c r="B180" s="2" t="n">
        <x:v>147</x:v>
      </x:c>
      <x:c r="C180" s="2" t="str">
        <x:v>20711</x:v>
      </x:c>
      <x:c r="D180" s="2" t="str">
        <x:v>JUMBO BAG TOYS </x:v>
      </x:c>
      <x:c r="E180" s="11" t="n">
        <x:v>25723.03</x:v>
      </x:c>
      <x:c r="F180" s="11" t="n">
        <x:v>70.31</x:v>
      </x:c>
      <x:c r="G180" s="11" t="n">
        <x:v>25652.72</x:v>
      </x:c>
      <x:c r="H180" s="23" t="n">
        <x:v>0.001252720040152596</x:v>
      </x:c>
      <x:c r="I180" s="23" t="n">
        <x:v>0.37962627080487127</x:v>
      </x:c>
      <x:c r="J180" s="2" t="n">
        <x:v>1052</x:v>
      </x:c>
      <x:c r="K180" s="2"/>
      <x:c r="L180" s="2"/>
    </x:row>
    <x:row r="181" ht="22" customHeight="1">
      <x:c r="A181" s="2"/>
      <x:c r="B181" s="2" t="n">
        <x:v>148</x:v>
      </x:c>
      <x:c r="C181" s="2" t="str">
        <x:v>21481</x:v>
      </x:c>
      <x:c r="D181" s="2" t="str">
        <x:v>FAWN BLUE HOT WATER BOTTLE</x:v>
      </x:c>
      <x:c r="E181" s="11" t="n">
        <x:v>25677.25</x:v>
      </x:c>
      <x:c r="F181" s="11" t="n">
        <x:v>2065.9</x:v>
      </x:c>
      <x:c r="G181" s="11" t="n">
        <x:v>23611.350000000002</x:v>
      </x:c>
      <x:c r="H181" s="23" t="n">
        <x:v>0.0012504905390620096</x:v>
      </x:c>
      <x:c r="I181" s="23" t="n">
        <x:v>0.3808767613439333</x:v>
      </x:c>
      <x:c r="J181" s="2" t="n">
        <x:v>1050</x:v>
      </x:c>
      <x:c r="K181" s="2"/>
      <x:c r="L181" s="2"/>
    </x:row>
    <x:row r="182" ht="22" customHeight="1">
      <x:c r="A182" s="2"/>
      <x:c r="B182" s="2" t="n">
        <x:v>149</x:v>
      </x:c>
      <x:c r="C182" s="2" t="str">
        <x:v>22507</x:v>
      </x:c>
      <x:c r="D182" s="2" t="str">
        <x:v>MEMO BOARD RETROSPOT  DESIGN</x:v>
      </x:c>
      <x:c r="E182" s="11" t="n">
        <x:v>25603.46</x:v>
      </x:c>
      <x:c r="F182" s="11" t="n">
        <x:v>118.10000000000001</x:v>
      </x:c>
      <x:c r="G182" s="11" t="n">
        <x:v>25485.36</x:v>
      </x:c>
      <x:c r="H182" s="23" t="n">
        <x:v>0.0012468969417384105</x:v>
      </x:c>
      <x:c r="I182" s="23" t="n">
        <x:v>0.3821236582856717</x:v>
      </x:c>
      <x:c r="J182" s="2" t="n">
        <x:v>900</x:v>
      </x:c>
      <x:c r="K182" s="2"/>
      <x:c r="L182" s="2"/>
    </x:row>
    <x:row r="183" ht="22" customHeight="1">
      <x:c r="A183" s="2"/>
      <x:c r="B183" s="2" t="n">
        <x:v>150</x:v>
      </x:c>
      <x:c r="C183" s="2" t="str">
        <x:v>37503</x:v>
      </x:c>
      <x:c r="D183" s="2" t="str">
        <x:v>TEA TIME CAKE STAND IN GIFT BOX</x:v>
      </x:c>
      <x:c r="E183" s="11" t="n">
        <x:v>25471.329999999998</x:v>
      </x:c>
      <x:c r="F183" s="11" t="n">
        <x:v>515.45</x:v>
      </x:c>
      <x:c r="G183" s="11" t="n">
        <x:v>24955.88</x:v>
      </x:c>
      <x:c r="H183" s="23" t="n">
        <x:v>0.0012404621671840378</x:v>
      </x:c>
      <x:c r="I183" s="23" t="n">
        <x:v>0.38336412045285573</x:v>
      </x:c>
      <x:c r="J183" s="2" t="n">
        <x:v>522</x:v>
      </x:c>
      <x:c r="K183" s="2"/>
      <x:c r="L183" s="2"/>
    </x:row>
    <x:row r="184" ht="22" customHeight="1">
      <x:c r="A184" s="2"/>
      <x:c r="B184" s="2" t="n">
        <x:v>151</x:v>
      </x:c>
      <x:c r="C184" s="2" t="str">
        <x:v>22087</x:v>
      </x:c>
      <x:c r="D184" s="2" t="str">
        <x:v>PAPER BUNTING WHITE LACE</x:v>
      </x:c>
      <x:c r="E184" s="11" t="n">
        <x:v>25445.15</x:v>
      </x:c>
      <x:c r="F184" s="11" t="n">
        <x:v>465.40000000000003</x:v>
      </x:c>
      <x:c r="G184" s="11" t="n">
        <x:v>24979.75</x:v>
      </x:c>
      <x:c r="H184" s="23" t="n">
        <x:v>0.001239187192554253</x:v>
      </x:c>
      <x:c r="I184" s="23" t="n">
        <x:v>0.38460330764540995</x:v>
      </x:c>
      <x:c r="J184" s="2" t="n">
        <x:v>847</x:v>
      </x:c>
      <x:c r="K184" s="2"/>
      <x:c r="L184" s="2"/>
    </x:row>
    <x:row r="185" ht="22" customHeight="1">
      <x:c r="A185" s="2"/>
      <x:c r="B185" s="2" t="n">
        <x:v>152</x:v>
      </x:c>
      <x:c r="C185" s="2" t="str">
        <x:v>21080</x:v>
      </x:c>
      <x:c r="D185" s="2" t="str">
        <x:v>SET/20 RED RETROSPOT PAPER NAPKINS </x:v>
      </x:c>
      <x:c r="E185" s="11" t="n">
        <x:v>25435.629999999997</x:v>
      </x:c>
      <x:c r="F185" s="11" t="n">
        <x:v>433.66999999999996</x:v>
      </x:c>
      <x:c r="G185" s="11" t="n">
        <x:v>25001.96</x:v>
      </x:c>
      <x:c r="H185" s="23" t="n">
        <x:v>0.0012387235654161494</x:v>
      </x:c>
      <x:c r="I185" s="23" t="n">
        <x:v>0.3858420312108261</x:v>
      </x:c>
      <x:c r="J185" s="2" t="n">
        <x:v>2123</x:v>
      </x:c>
      <x:c r="K185" s="2"/>
      <x:c r="L185" s="2"/>
    </x:row>
    <x:row r="186" ht="22" customHeight="1">
      <x:c r="A186" s="2"/>
      <x:c r="B186" s="2" t="n">
        <x:v>153</x:v>
      </x:c>
      <x:c r="C186" s="2" t="str">
        <x:v>21108</x:v>
      </x:c>
      <x:c r="D186" s="2" t="str">
        <x:v>FAIRY CAKE FLANNEL ASSORTED COLOUR</x:v>
      </x:c>
      <x:c r="E186" s="11" t="n">
        <x:v>25435.57</x:v>
      </x:c>
      <x:c r="F186" s="11" t="n">
        <x:v>6614.370000000001</x:v>
      </x:c>
      <x:c r="G186" s="11" t="n">
        <x:v>18821.2</x:v>
      </x:c>
      <x:c r="H186" s="23" t="n">
        <x:v>0.0012387206433963716</x:v>
      </x:c>
      <x:c r="I186" s="23" t="n">
        <x:v>0.38708075185422247</x:v>
      </x:c>
      <x:c r="J186" s="2" t="n">
        <x:v>613</x:v>
      </x:c>
      <x:c r="K186" s="2"/>
      <x:c r="L186" s="2"/>
    </x:row>
    <x:row r="187" ht="22" customHeight="1">
      <x:c r="A187" s="2"/>
      <x:c r="B187" s="2" t="n">
        <x:v>154</x:v>
      </x:c>
      <x:c r="C187" s="2" t="str">
        <x:v>84755</x:v>
      </x:c>
      <x:c r="D187" s="2" t="str">
        <x:v>COLOUR GLASS T-LIGHT HOLDER HANGING</x:v>
      </x:c>
      <x:c r="E187" s="11" t="n">
        <x:v>25293.530000000002</x:v>
      </x:c>
      <x:c r="F187" s="11" t="n">
        <x:v>415.35</x:v>
      </x:c>
      <x:c r="G187" s="11" t="n">
        <x:v>24878.18</x:v>
      </x:c>
      <x:c r="H187" s="23" t="n">
        <x:v>0.0012318032485753388</x:v>
      </x:c>
      <x:c r="I187" s="23" t="n">
        <x:v>0.38831255510279783</x:v>
      </x:c>
      <x:c r="J187" s="2" t="n">
        <x:v>1259</x:v>
      </x:c>
      <x:c r="K187" s="2"/>
      <x:c r="L187" s="2"/>
    </x:row>
    <x:row r="188" ht="22" customHeight="1">
      <x:c r="A188" s="2"/>
      <x:c r="B188" s="2" t="n">
        <x:v>155</x:v>
      </x:c>
      <x:c r="C188" s="2" t="str">
        <x:v>22084</x:v>
      </x:c>
      <x:c r="D188" s="2" t="str">
        <x:v>PAPER CHAIN KIT EMPIRE</x:v>
      </x:c>
      <x:c r="E188" s="11" t="n">
        <x:v>25190.11</x:v>
      </x:c>
      <x:c r="F188" s="11" t="n">
        <x:v>299.45</x:v>
      </x:c>
      <x:c r="G188" s="11" t="n">
        <x:v>24890.66</x:v>
      </x:c>
      <x:c r="H188" s="23" t="n">
        <x:v>0.0012267666604847216</x:v>
      </x:c>
      <x:c r="I188" s="23" t="n">
        <x:v>0.38953932176328254</x:v>
      </x:c>
      <x:c r="J188" s="2" t="n">
        <x:v>811</x:v>
      </x:c>
      <x:c r="K188" s="2"/>
      <x:c r="L188" s="2"/>
    </x:row>
    <x:row r="189" ht="22" customHeight="1">
      <x:c r="A189" s="2"/>
      <x:c r="B189" s="2" t="n">
        <x:v>156</x:v>
      </x:c>
      <x:c r="C189" s="2" t="str">
        <x:v>21527</x:v>
      </x:c>
      <x:c r="D189" s="2" t="str">
        <x:v>RED RETROSPOT TRADITIONAL TEAPOT </x:v>
      </x:c>
      <x:c r="E189" s="11" t="n">
        <x:v>25087.72</x:v>
      </x:c>
      <x:c r="F189" s="11" t="n">
        <x:v>1333.48</x:v>
      </x:c>
      <x:c r="G189" s="11" t="n">
        <x:v>23754.24</x:v>
      </x:c>
      <x:c r="H189" s="23" t="n">
        <x:v>0.0012217802337336264</x:v>
      </x:c>
      <x:c r="I189" s="23" t="n">
        <x:v>0.3907611019970162</x:v>
      </x:c>
      <x:c r="J189" s="2" t="n">
        <x:v>831</x:v>
      </x:c>
      <x:c r="K189" s="2"/>
      <x:c r="L189" s="2"/>
    </x:row>
    <x:row r="190" ht="22" customHeight="1">
      <x:c r="A190" s="2"/>
      <x:c r="B190" s="2" t="n">
        <x:v>157</x:v>
      </x:c>
      <x:c r="C190" s="2" t="str">
        <x:v>23173</x:v>
      </x:c>
      <x:c r="D190" s="2" t="str">
        <x:v>REGENCY TEAPOT ROSES </x:v>
      </x:c>
      <x:c r="E190" s="11" t="n">
        <x:v>24918.93</x:v>
      </x:c>
      <x:c r="F190" s="11" t="n">
        <x:v>436.40000000000003</x:v>
      </x:c>
      <x:c r="G190" s="11" t="n">
        <x:v>24482.530000000002</x:v>
      </x:c>
      <x:c r="H190" s="23" t="n">
        <x:v>0.001213560105094918</x:v>
      </x:c>
      <x:c r="I190" s="23" t="n">
        <x:v>0.3919746621021111</x:v>
      </x:c>
      <x:c r="J190" s="2" t="n">
        <x:v>416</x:v>
      </x:c>
      <x:c r="K190" s="2"/>
      <x:c r="L190" s="2"/>
    </x:row>
    <x:row r="191" ht="22" customHeight="1">
      <x:c r="A191" s="2"/>
      <x:c r="B191" s="2" t="n">
        <x:v>158</x:v>
      </x:c>
      <x:c r="C191" s="2" t="str">
        <x:v>20972</x:v>
      </x:c>
      <x:c r="D191" s="2" t="str">
        <x:v>PINK CREAM FELT CRAFT TRINKET BOX </x:v>
      </x:c>
      <x:c r="E191" s="11" t="n">
        <x:v>24856.56</x:v>
      </x:c>
      <x:c r="F191" s="11" t="n">
        <x:v>1553.39</x:v>
      </x:c>
      <x:c r="G191" s="11" t="n">
        <x:v>23303.170000000002</x:v>
      </x:c>
      <x:c r="H191" s="23" t="n">
        <x:v>0.0012105226655357247</x:v>
      </x:c>
      <x:c r="I191" s="23" t="n">
        <x:v>0.39318518476764686</x:v>
      </x:c>
      <x:c r="J191" s="2" t="n">
        <x:v>1397</x:v>
      </x:c>
      <x:c r="K191" s="2"/>
      <x:c r="L191" s="2"/>
    </x:row>
    <x:row r="192" ht="22" customHeight="1">
      <x:c r="A192" s="2"/>
      <x:c r="B192" s="2" t="n">
        <x:v>159</x:v>
      </x:c>
      <x:c r="C192" s="2" t="str">
        <x:v>21314</x:v>
      </x:c>
      <x:c r="D192" s="2" t="str">
        <x:v>SMALL GLASS HEART TRINKET POT</x:v>
      </x:c>
      <x:c r="E192" s="11" t="n">
        <x:v>24664.49</x:v>
      </x:c>
      <x:c r="F192" s="11" t="n">
        <x:v>2296.8</x:v>
      </x:c>
      <x:c r="G192" s="11" t="n">
        <x:v>22367.690000000002</x:v>
      </x:c>
      <x:c r="H192" s="23" t="n">
        <x:v>0.0012011687932231663</x:v>
      </x:c>
      <x:c r="I192" s="23" t="n">
        <x:v>0.39438635356087004</x:v>
      </x:c>
      <x:c r="J192" s="2" t="n">
        <x:v>1066</x:v>
      </x:c>
      <x:c r="K192" s="2"/>
      <x:c r="L192" s="2"/>
    </x:row>
    <x:row r="193" ht="22" customHeight="1">
      <x:c r="A193" s="2"/>
      <x:c r="B193" s="2" t="n">
        <x:v>160</x:v>
      </x:c>
      <x:c r="C193" s="2" t="str">
        <x:v>84836</x:v>
      </x:c>
      <x:c r="D193" s="2" t="str">
        <x:v>ZINC METAL HEART DECORATION</x:v>
      </x:c>
      <x:c r="E193" s="11" t="n">
        <x:v>24531.83</x:v>
      </x:c>
      <x:c r="F193" s="11" t="n">
        <x:v>127.5</x:v>
      </x:c>
      <x:c r="G193" s="11" t="n">
        <x:v>24404.33</x:v>
      </x:c>
      <x:c r="H193" s="23" t="n">
        <x:v>0.0011947082074940884</x:v>
      </x:c>
      <x:c r="I193" s="23" t="n">
        <x:v>0.3955810617683641</x:v>
      </x:c>
      <x:c r="J193" s="2" t="n">
        <x:v>1408</x:v>
      </x:c>
      <x:c r="K193" s="2"/>
      <x:c r="L193" s="2"/>
    </x:row>
    <x:row r="194" ht="22" customHeight="1">
      <x:c r="A194" s="2"/>
      <x:c r="B194" s="2" t="n">
        <x:v>161</x:v>
      </x:c>
      <x:c r="C194" s="2" t="str">
        <x:v>84077</x:v>
      </x:c>
      <x:c r="D194" s="2" t="str">
        <x:v>WORLD WAR 2 GLIDERS ASSTD DESIGNS</x:v>
      </x:c>
      <x:c r="E194" s="11" t="n">
        <x:v>24507.53</x:v>
      </x:c>
      <x:c r="F194" s="11" t="n">
        <x:v>361.68</x:v>
      </x:c>
      <x:c r="G194" s="11" t="n">
        <x:v>24145.85</x:v>
      </x:c>
      <x:c r="H194" s="23" t="n">
        <x:v>0.001193524789484013</x:v>
      </x:c>
      <x:c r="I194" s="23" t="n">
        <x:v>0.39677458655784814</x:v>
      </x:c>
      <x:c r="J194" s="2" t="n">
        <x:v>1019</x:v>
      </x:c>
      <x:c r="K194" s="2"/>
      <x:c r="L194" s="2"/>
    </x:row>
    <x:row r="195" ht="22" customHeight="1">
      <x:c r="A195" s="2"/>
      <x:c r="B195" s="2" t="n">
        <x:v>162</x:v>
      </x:c>
      <x:c r="C195" s="2" t="str">
        <x:v>22722</x:v>
      </x:c>
      <x:c r="D195" s="2" t="str">
        <x:v>SET OF 6 SPICE TINS PANTRY DESIGN</x:v>
      </x:c>
      <x:c r="E195" s="11" t="n">
        <x:v>24507.36</x:v>
      </x:c>
      <x:c r="F195" s="11" t="n">
        <x:v>141.70000000000002</x:v>
      </x:c>
      <x:c r="G195" s="11" t="n">
        <x:v>24365.66</x:v>
      </x:c>
      <x:c r="H195" s="23" t="n">
        <x:v>0.0011935165104279754</x:v>
      </x:c>
      <x:c r="I195" s="23" t="n">
        <x:v>0.3979681030682761</x:v>
      </x:c>
      <x:c r="J195" s="2" t="n">
        <x:v>835</x:v>
      </x:c>
      <x:c r="K195" s="2"/>
      <x:c r="L195" s="2"/>
    </x:row>
    <x:row r="196" ht="22" customHeight="1">
      <x:c r="A196" s="2"/>
      <x:c r="B196" s="2" t="n">
        <x:v>163</x:v>
      </x:c>
      <x:c r="C196" s="2" t="str">
        <x:v>22698</x:v>
      </x:c>
      <x:c r="D196" s="2" t="str">
        <x:v>PINK REGENCY TEACUP AND SAUCER</x:v>
      </x:c>
      <x:c r="E196" s="11" t="n">
        <x:v>24486.72</x:v>
      </x:c>
      <x:c r="F196" s="11" t="n">
        <x:v>607.95</x:v>
      </x:c>
      <x:c r="G196" s="11" t="n">
        <x:v>23878.77</x:v>
      </x:c>
      <x:c r="H196" s="23" t="n">
        <x:v>0.0011925113356243558</x:v>
      </x:c>
      <x:c r="I196" s="23" t="n">
        <x:v>0.3991606144039005</x:v>
      </x:c>
      <x:c r="J196" s="2" t="n">
        <x:v>1033</x:v>
      </x:c>
      <x:c r="K196" s="2"/>
      <x:c r="L196" s="2"/>
    </x:row>
    <x:row r="197" ht="22" customHeight="1">
      <x:c r="A197" s="2"/>
      <x:c r="B197" s="2" t="n">
        <x:v>164</x:v>
      </x:c>
      <x:c r="C197" s="2" t="str">
        <x:v>22728</x:v>
      </x:c>
      <x:c r="D197" s="2" t="str">
        <x:v>ALARM CLOCK BAKELIKE PINK</x:v>
      </x:c>
      <x:c r="E197" s="11" t="n">
        <x:v>24306.06</x:v>
      </x:c>
      <x:c r="F197" s="11" t="n">
        <x:v>243.75</x:v>
      </x:c>
      <x:c r="G197" s="11" t="n">
        <x:v>24062.31</x:v>
      </x:c>
      <x:c r="H197" s="23" t="n">
        <x:v>0.001183713134072907</x:v>
      </x:c>
      <x:c r="I197" s="23" t="n">
        <x:v>0.4003443275379734</x:v>
      </x:c>
      <x:c r="J197" s="2" t="n">
        <x:v>969</x:v>
      </x:c>
      <x:c r="K197" s="2"/>
      <x:c r="L197" s="2"/>
    </x:row>
    <x:row r="198" ht="22" customHeight="1">
      <x:c r="A198" s="2"/>
      <x:c r="B198" s="2" t="n">
        <x:v>165</x:v>
      </x:c>
      <x:c r="C198" s="2" t="str">
        <x:v>21231</x:v>
      </x:c>
      <x:c r="D198" s="2" t="str">
        <x:v>SWEETHEART CERAMIC TRINKET BOX</x:v>
      </x:c>
      <x:c r="E198" s="11" t="n">
        <x:v>24247.61</x:v>
      </x:c>
      <x:c r="F198" s="11" t="n">
        <x:v>388.93</x:v>
      </x:c>
      <x:c r="G198" s="11" t="n">
        <x:v>23858.68</x:v>
      </x:c>
      <x:c r="H198" s="23" t="n">
        <x:v>0.0011808665998058738</x:v>
      </x:c>
      <x:c r="I198" s="23" t="n">
        <x:v>0.40152519413777926</x:v>
      </x:c>
      <x:c r="J198" s="2" t="n">
        <x:v>1482</x:v>
      </x:c>
      <x:c r="K198" s="2"/>
      <x:c r="L198" s="2"/>
    </x:row>
    <x:row r="199" ht="22" customHeight="1">
      <x:c r="A199" s="2"/>
      <x:c r="B199" s="2" t="n">
        <x:v>166</x:v>
      </x:c>
      <x:c r="C199" s="2" t="str">
        <x:v>47590A</x:v>
      </x:c>
      <x:c r="D199" s="2" t="str">
        <x:v>BLUE HAPPY BIRTHDAY BUNTING</x:v>
      </x:c>
      <x:c r="E199" s="11" t="n">
        <x:v>24190.36</x:v>
      </x:c>
      <x:c r="F199" s="11" t="n">
        <x:v>887.8000000000001</x:v>
      </x:c>
      <x:c r="G199" s="11" t="n">
        <x:v>23302.56</x:v>
      </x:c>
      <x:c r="H199" s="23" t="n">
        <x:v>0.0011780785059344002</x:v>
      </x:c>
      <x:c r="I199" s="23" t="n">
        <x:v>0.40270327264371364</x:v>
      </x:c>
      <x:c r="J199" s="2" t="n">
        <x:v>689</x:v>
      </x:c>
      <x:c r="K199" s="2"/>
      <x:c r="L199" s="2"/>
    </x:row>
    <x:row r="200" ht="22" customHeight="1">
      <x:c r="A200" s="2"/>
      <x:c r="B200" s="2" t="n">
        <x:v>167</x:v>
      </x:c>
      <x:c r="C200" s="2" t="str">
        <x:v>22171</x:v>
      </x:c>
      <x:c r="D200" s="2" t="str">
        <x:v>3 HOOK PHOTO SHELF ANTIQUE WHITE</x:v>
      </x:c>
      <x:c r="E200" s="11" t="n">
        <x:v>23877.760000000002</x:v>
      </x:c>
      <x:c r="F200" s="11" t="n">
        <x:v>1229.1</x:v>
      </x:c>
      <x:c r="G200" s="11" t="n">
        <x:v>22648.66</x:v>
      </x:c>
      <x:c r="H200" s="23" t="n">
        <x:v>0.001162854782891209</x:v>
      </x:c>
      <x:c r="I200" s="23" t="n">
        <x:v>0.4038661274266048</x:v>
      </x:c>
      <x:c r="J200" s="2" t="n">
        <x:v>661</x:v>
      </x:c>
      <x:c r="K200" s="2"/>
      <x:c r="L200" s="2"/>
    </x:row>
    <x:row r="201" ht="22" customHeight="1">
      <x:c r="A201" s="2"/>
      <x:c r="B201" s="2" t="n">
        <x:v>168</x:v>
      </x:c>
      <x:c r="C201" s="2" t="str">
        <x:v>23344</x:v>
      </x:c>
      <x:c r="D201" s="2" t="str">
        <x:v>JUMBO BAG 50'S CHRISTMAS </x:v>
      </x:c>
      <x:c r="E201" s="11" t="n">
        <x:v>23815.75</x:v>
      </x:c>
      <x:c r="F201" s="11" t="n">
        <x:v>486.96000000000004</x:v>
      </x:c>
      <x:c r="G201" s="11" t="n">
        <x:v>23328.79</x:v>
      </x:c>
      <x:c r="H201" s="23" t="n">
        <x:v>0.0011598348754506833</x:v>
      </x:c>
      <x:c r="I201" s="23" t="n">
        <x:v>0.4050259623020555</x:v>
      </x:c>
      <x:c r="J201" s="2" t="n">
        <x:v>716</x:v>
      </x:c>
      <x:c r="K201" s="2"/>
      <x:c r="L201" s="2"/>
    </x:row>
    <x:row r="202" ht="22" customHeight="1">
      <x:c r="A202" s="2"/>
      <x:c r="B202" s="2" t="n">
        <x:v>169</x:v>
      </x:c>
      <x:c r="C202" s="2" t="str">
        <x:v>21955</x:v>
      </x:c>
      <x:c r="D202" s="2" t="str">
        <x:v>DOORMAT UNION JACK GUNS AND ROSES</x:v>
      </x:c>
      <x:c r="E202" s="11" t="n">
        <x:v>23809.22</x:v>
      </x:c>
      <x:c r="F202" s="11" t="n">
        <x:v>183.28</x:v>
      </x:c>
      <x:c r="G202" s="11" t="n">
        <x:v>23625.94</x:v>
      </x:c>
      <x:c r="H202" s="23" t="n">
        <x:v>0.0011595168622981816</x:v>
      </x:c>
      <x:c r="I202" s="23" t="n">
        <x:v>0.4061854791643537</x:v>
      </x:c>
      <x:c r="J202" s="2" t="n">
        <x:v>729</x:v>
      </x:c>
      <x:c r="K202" s="2"/>
      <x:c r="L202" s="2"/>
    </x:row>
    <x:row r="203" ht="22" customHeight="1">
      <x:c r="A203" s="2"/>
      <x:c r="B203" s="2" t="n">
        <x:v>170</x:v>
      </x:c>
      <x:c r="C203" s="2" t="str">
        <x:v>21790</x:v>
      </x:c>
      <x:c r="D203" s="2" t="str">
        <x:v>VINTAGE SNAP CARDS</x:v>
      </x:c>
      <x:c r="E203" s="11" t="n">
        <x:v>23538.469999999998</x:v>
      </x:c>
      <x:c r="F203" s="11" t="n">
        <x:v>162.67</x:v>
      </x:c>
      <x:c r="G203" s="11" t="n">
        <x:v>23375.8</x:v>
      </x:c>
      <x:c r="H203" s="23" t="n">
        <x:v>0.0011463312480501197</x:v>
      </x:c>
      <x:c r="I203" s="23" t="n">
        <x:v>0.40733181041240385</x:v>
      </x:c>
      <x:c r="J203" s="2" t="n">
        <x:v>1888</x:v>
      </x:c>
      <x:c r="K203" s="2"/>
      <x:c r="L203" s="2"/>
    </x:row>
    <x:row r="204" ht="22" customHeight="1">
      <x:c r="A204" s="2"/>
      <x:c r="B204" s="2" t="n">
        <x:v>171</x:v>
      </x:c>
      <x:c r="C204" s="2" t="str">
        <x:v>23243</x:v>
      </x:c>
      <x:c r="D204" s="2" t="str">
        <x:v>SET OF TEA COFFEE SUGAR TINS PANTRY</x:v>
      </x:c>
      <x:c r="E204" s="11" t="n">
        <x:v>23514.170000000002</x:v>
      </x:c>
      <x:c r="F204" s="11" t="n">
        <x:v>545.5500000000001</x:v>
      </x:c>
      <x:c r="G204" s="11" t="n">
        <x:v>22968.62</x:v>
      </x:c>
      <x:c r="H204" s="23" t="n">
        <x:v>0.0011451478300400447</x:v>
      </x:c>
      <x:c r="I204" s="23" t="n">
        <x:v>0.4084769582424439</x:v>
      </x:c>
      <x:c r="J204" s="2" t="n">
        <x:v>470</x:v>
      </x:c>
      <x:c r="K204" s="2"/>
      <x:c r="L204" s="2"/>
    </x:row>
    <x:row r="205" ht="22" customHeight="1">
      <x:c r="A205" s="2"/>
      <x:c r="B205" s="2" t="n">
        <x:v>172</x:v>
      </x:c>
      <x:c r="C205" s="2" t="str">
        <x:v>22605</x:v>
      </x:c>
      <x:c r="D205" s="2" t="str">
        <x:v>WOODEN CROQUET GARDEN SET</x:v>
      </x:c>
      <x:c r="E205" s="11" t="n">
        <x:v>23439.57</x:v>
      </x:c>
      <x:c r="F205" s="11" t="n">
        <x:v>170.29999999999998</x:v>
      </x:c>
      <x:c r="G205" s="11" t="n">
        <x:v>23269.27</x:v>
      </x:c>
      <x:c r="H205" s="23" t="n">
        <x:v>0.0011415147854494428</x:v>
      </x:c>
      <x:c r="I205" s="23" t="n">
        <x:v>0.40961847302789334</x:v>
      </x:c>
      <x:c r="J205" s="2" t="n">
        <x:v>642</x:v>
      </x:c>
      <x:c r="K205" s="2"/>
      <x:c r="L205" s="2"/>
    </x:row>
    <x:row r="206" ht="22" customHeight="1">
      <x:c r="A206" s="2"/>
      <x:c r="B206" s="2" t="n">
        <x:v>173</x:v>
      </x:c>
      <x:c r="C206" s="2" t="str">
        <x:v>48173C</x:v>
      </x:c>
      <x:c r="D206" s="2" t="str">
        <x:v>DOORMAT BLACK FLOCK </x:v>
      </x:c>
      <x:c r="E206" s="11" t="n">
        <x:v>23172.35</x:v>
      </x:c>
      <x:c r="F206" s="11" t="n">
        <x:v>55.93</x:v>
      </x:c>
      <x:c r="G206" s="11" t="n">
        <x:v>23116.420000000002</x:v>
      </x:c>
      <x:c r="H206" s="23" t="n">
        <x:v>0.001128501083364985</x:v>
      </x:c>
      <x:c r="I206" s="23" t="n">
        <x:v>0.4107469741112583</x:v>
      </x:c>
      <x:c r="J206" s="2" t="n">
        <x:v>500</x:v>
      </x:c>
      <x:c r="K206" s="2"/>
      <x:c r="L206" s="2"/>
    </x:row>
    <x:row r="207" ht="22" customHeight="1">
      <x:c r="A207" s="2"/>
      <x:c r="B207" s="2" t="n">
        <x:v>174</x:v>
      </x:c>
      <x:c r="C207" s="2" t="str">
        <x:v>22625</x:v>
      </x:c>
      <x:c r="D207" s="2" t="str">
        <x:v>RED KITCHEN SCALES</x:v>
      </x:c>
      <x:c r="E207" s="11" t="n">
        <x:v>23105.350000000002</x:v>
      </x:c>
      <x:c r="F207" s="11" t="n">
        <x:v>299.2</x:v>
      </x:c>
      <x:c r="G207" s="11" t="n">
        <x:v>22806.15</x:v>
      </x:c>
      <x:c r="H207" s="23" t="n">
        <x:v>0.001125238161279592</x:v>
      </x:c>
      <x:c r="I207" s="23" t="n">
        <x:v>0.4118722122725379</x:v>
      </x:c>
      <x:c r="J207" s="2" t="n">
        <x:v>950</x:v>
      </x:c>
      <x:c r="K207" s="2"/>
      <x:c r="L207" s="2"/>
    </x:row>
    <x:row r="208" ht="22" customHeight="1">
      <x:c r="A208" s="2"/>
      <x:c r="B208" s="2" t="n">
        <x:v>175</x:v>
      </x:c>
      <x:c r="C208" s="2" t="str">
        <x:v>84406B</x:v>
      </x:c>
      <x:c r="D208" s="2" t="str">
        <x:v>CREAM CUPID HEARTS COAT HANGER</x:v>
      </x:c>
      <x:c r="E208" s="11" t="n">
        <x:v>23084.28</x:v>
      </x:c>
      <x:c r="F208" s="11" t="n">
        <x:v>663.1</x:v>
      </x:c>
      <x:c r="G208" s="11" t="n">
        <x:v>22421.18</x:v>
      </x:c>
      <x:c r="H208" s="23" t="n">
        <x:v>0.0011242120453342304</x:v>
      </x:c>
      <x:c r="I208" s="23" t="n">
        <x:v>0.41299642431787215</x:v>
      </x:c>
      <x:c r="J208" s="2" t="n">
        <x:v>841</x:v>
      </x:c>
      <x:c r="K208" s="2"/>
      <x:c r="L208" s="2"/>
    </x:row>
    <x:row r="209" ht="22" customHeight="1">
      <x:c r="A209" s="2"/>
      <x:c r="B209" s="2" t="n">
        <x:v>176</x:v>
      </x:c>
      <x:c r="C209" s="2" t="str">
        <x:v>22607</x:v>
      </x:c>
      <x:c r="D209" s="2" t="str">
        <x:v>WOODEN ROUNDERS GARDEN SET </x:v>
      </x:c>
      <x:c r="E209" s="11" t="n">
        <x:v>23015.79</x:v>
      </x:c>
      <x:c r="F209" s="11" t="n">
        <x:v>133.55</x:v>
      </x:c>
      <x:c r="G209" s="11" t="n">
        <x:v>22882.24</x:v>
      </x:c>
      <x:c r="H209" s="23" t="n">
        <x:v>0.0011208765597576847</x:v>
      </x:c>
      <x:c r="I209" s="23" t="n">
        <x:v>0.4141173008776298</x:v>
      </x:c>
      <x:c r="J209" s="2" t="n">
        <x:v>744</x:v>
      </x:c>
      <x:c r="K209" s="2"/>
      <x:c r="L209" s="2"/>
    </x:row>
    <x:row r="210" ht="22" customHeight="1">
      <x:c r="A210" s="2"/>
      <x:c r="B210" s="2" t="n">
        <x:v>177</x:v>
      </x:c>
      <x:c r="C210" s="2" t="str">
        <x:v>21791</x:v>
      </x:c>
      <x:c r="D210" s="2" t="str">
        <x:v>VINTAGE HEADS AND TAILS CARD GAME </x:v>
      </x:c>
      <x:c r="E210" s="11" t="n">
        <x:v>22924.85</x:v>
      </x:c>
      <x:c r="F210" s="11" t="n">
        <x:v>1156.25</x:v>
      </x:c>
      <x:c r="G210" s="11" t="n">
        <x:v>21768.6</x:v>
      </x:c>
      <x:c r="H210" s="23" t="n">
        <x:v>0.0011164477517808843</x:v>
      </x:c>
      <x:c r="I210" s="23" t="n">
        <x:v>0.4152337486294107</x:v>
      </x:c>
      <x:c r="J210" s="2" t="n">
        <x:v>1313</x:v>
      </x:c>
      <x:c r="K210" s="2"/>
      <x:c r="L210" s="2"/>
    </x:row>
    <x:row r="211" ht="22" customHeight="1">
      <x:c r="A211" s="2"/>
      <x:c r="B211" s="2" t="n">
        <x:v>178</x:v>
      </x:c>
      <x:c r="C211" s="2" t="str">
        <x:v>22554</x:v>
      </x:c>
      <x:c r="D211" s="2" t="str">
        <x:v>PLASTERS IN TIN WOODLAND ANIMALS</x:v>
      </x:c>
      <x:c r="E211" s="11" t="n">
        <x:v>22903.219999999998</x:v>
      </x:c>
      <x:c r="F211" s="11" t="n">
        <x:v>243.14999999999998</x:v>
      </x:c>
      <x:c r="G211" s="11" t="n">
        <x:v>22660.069999999996</x:v>
      </x:c>
      <x:c r="H211" s="23" t="n">
        <x:v>0.0011153943636509282</x:v>
      </x:c>
      <x:c r="I211" s="23" t="n">
        <x:v>0.41634914299306164</x:v>
      </x:c>
      <x:c r="J211" s="2" t="n">
        <x:v>1275</x:v>
      </x:c>
      <x:c r="K211" s="2"/>
      <x:c r="L211" s="2"/>
    </x:row>
    <x:row r="212" ht="22" customHeight="1">
      <x:c r="A212" s="2"/>
      <x:c r="B212" s="2" t="n">
        <x:v>179</x:v>
      </x:c>
      <x:c r="C212" s="2" t="str">
        <x:v>21936</x:v>
      </x:c>
      <x:c r="D212" s="2" t="str">
        <x:v>RED RETROSPOT PICNIC BAG</x:v>
      </x:c>
      <x:c r="E212" s="11" t="n">
        <x:v>22770.809999999998</x:v>
      </x:c>
      <x:c r="F212" s="11" t="n">
        <x:v>391.75</x:v>
      </x:c>
      <x:c r="G212" s="11" t="n">
        <x:v>22379.059999999998</x:v>
      </x:c>
      <x:c r="H212" s="23" t="n">
        <x:v>0.0011089459530042585</x:v>
      </x:c>
      <x:c r="I212" s="23" t="n">
        <x:v>0.4174580889460659</x:v>
      </x:c>
      <x:c r="J212" s="2" t="n">
        <x:v>1046</x:v>
      </x:c>
      <x:c r="K212" s="2"/>
      <x:c r="L212" s="2"/>
    </x:row>
    <x:row r="213" ht="22" customHeight="1">
      <x:c r="A213" s="2"/>
      <x:c r="B213" s="2" t="n">
        <x:v>180</x:v>
      </x:c>
      <x:c r="C213" s="2" t="str">
        <x:v>22556</x:v>
      </x:c>
      <x:c r="D213" s="2" t="str">
        <x:v>PLASTERS IN TIN CIRCUS PARADE </x:v>
      </x:c>
      <x:c r="E213" s="11" t="n">
        <x:v>22376.98</x:v>
      </x:c>
      <x:c r="F213" s="11" t="n">
        <x:v>176.54999999999998</x:v>
      </x:c>
      <x:c r="G213" s="11" t="n">
        <x:v>22200.429999999997</x:v>
      </x:c>
      <x:c r="H213" s="23" t="n">
        <x:v>0.0010897663021850006</x:v>
      </x:c>
      <x:c r="I213" s="23" t="n">
        <x:v>0.4185478552482509</x:v>
      </x:c>
      <x:c r="J213" s="2" t="n">
        <x:v>1196</x:v>
      </x:c>
      <x:c r="K213" s="2"/>
      <x:c r="L213" s="2"/>
    </x:row>
    <x:row r="214" ht="22" customHeight="1">
      <x:c r="A214" s="2"/>
      <x:c r="B214" s="2" t="n">
        <x:v>181</x:v>
      </x:c>
      <x:c r="C214" s="2" t="str">
        <x:v>37449</x:v>
      </x:c>
      <x:c r="D214" s="2" t="str">
        <x:v>CERAMIC CAKE STAND + HANGING CAKES</x:v>
      </x:c>
      <x:c r="E214" s="11" t="n">
        <x:v>22363.149999999998</x:v>
      </x:c>
      <x:c r="F214" s="11" t="n">
        <x:v>2234.15</x:v>
      </x:c>
      <x:c r="G214" s="11" t="n">
        <x:v>20129</x:v>
      </x:c>
      <x:c r="H214" s="23" t="n">
        <x:v>0.0010890927766261799</x:v>
      </x:c>
      <x:c r="I214" s="23" t="n">
        <x:v>0.41963694802487705</x:v>
      </x:c>
      <x:c r="J214" s="2" t="n">
        <x:v>477</x:v>
      </x:c>
      <x:c r="K214" s="2"/>
      <x:c r="L214" s="2"/>
    </x:row>
    <x:row r="215" ht="22" customHeight="1">
      <x:c r="A215" s="2"/>
      <x:c r="B215" s="2" t="n">
        <x:v>182</x:v>
      </x:c>
      <x:c r="C215" s="2" t="str">
        <x:v>20749</x:v>
      </x:c>
      <x:c r="D215" s="2" t="str">
        <x:v>ASSORTED COLOUR MINI CASES</x:v>
      </x:c>
      <x:c r="E215" s="11" t="n">
        <x:v>22200.96</x:v>
      </x:c>
      <x:c r="F215" s="11" t="n">
        <x:v>101.75</x:v>
      </x:c>
      <x:c r="G215" s="11" t="n">
        <x:v>22099.21</x:v>
      </x:c>
      <x:c r="H215" s="23" t="n">
        <x:v>0.0010811940701630474</x:v>
      </x:c>
      <x:c r="I215" s="23" t="n">
        <x:v>0.4207181420950401</x:v>
      </x:c>
      <x:c r="J215" s="2" t="n">
        <x:v>766</x:v>
      </x:c>
      <x:c r="K215" s="2"/>
      <x:c r="L215" s="2"/>
    </x:row>
    <x:row r="216" ht="22" customHeight="1">
      <x:c r="A216" s="2"/>
      <x:c r="B216" s="2" t="n">
        <x:v>183</x:v>
      </x:c>
      <x:c r="C216" s="2" t="str">
        <x:v>22113</x:v>
      </x:c>
      <x:c r="D216" s="2" t="str">
        <x:v>GREY HEART HOT WATER BOTTLE</x:v>
      </x:c>
      <x:c r="E216" s="11" t="n">
        <x:v>22163.73</x:v>
      </x:c>
      <x:c r="F216" s="11" t="n">
        <x:v>121.8</x:v>
      </x:c>
      <x:c r="G216" s="11" t="n">
        <x:v>22041.93</x:v>
      </x:c>
      <x:c r="H216" s="23" t="n">
        <x:v>0.001079380956890821</x:v>
      </x:c>
      <x:c r="I216" s="23" t="n">
        <x:v>0.4217975230519309</x:v>
      </x:c>
      <x:c r="J216" s="2" t="n">
        <x:v>996</x:v>
      </x:c>
      <x:c r="K216" s="2"/>
      <x:c r="L216" s="2"/>
    </x:row>
    <x:row r="217" ht="22" customHeight="1">
      <x:c r="A217" s="2"/>
      <x:c r="B217" s="2" t="n">
        <x:v>184</x:v>
      </x:c>
      <x:c r="C217" s="2" t="str">
        <x:v>22585</x:v>
      </x:c>
      <x:c r="D217" s="2" t="str">
        <x:v>PACK OF 6 BIRDY GIFT TAGS</x:v>
      </x:c>
      <x:c r="E217" s="11" t="n">
        <x:v>22022.3</x:v>
      </x:c>
      <x:c r="F217" s="11" t="n">
        <x:v>442.91</x:v>
      </x:c>
      <x:c r="G217" s="11" t="n">
        <x:v>21579.39</x:v>
      </x:c>
      <x:c r="H217" s="23" t="n">
        <x:v>0.001072493269270864</x:v>
      </x:c>
      <x:c r="I217" s="23" t="n">
        <x:v>0.4228700163212018</x:v>
      </x:c>
      <x:c r="J217" s="2" t="n">
        <x:v>1084</x:v>
      </x:c>
      <x:c r="K217" s="2"/>
      <x:c r="L217" s="2"/>
    </x:row>
    <x:row r="218" ht="22" customHeight="1">
      <x:c r="A218" s="2"/>
      <x:c r="B218" s="2" t="n">
        <x:v>185</x:v>
      </x:c>
      <x:c r="C218" s="2" t="str">
        <x:v>84970S</x:v>
      </x:c>
      <x:c r="D218" s="2" t="str">
        <x:v>HANGING HEART ZINC T-LIGHT HOLDER</x:v>
      </x:c>
      <x:c r="E218" s="11" t="n">
        <x:v>21869.059999999998</x:v>
      </x:c>
      <x:c r="F218" s="11" t="n">
        <x:v>105.19999999999999</x:v>
      </x:c>
      <x:c r="G218" s="11" t="n">
        <x:v>21763.86</x:v>
      </x:c>
      <x:c r="H218" s="23" t="n">
        <x:v>0.0010650304307579445</x:v>
      </x:c>
      <x:c r="I218" s="23" t="n">
        <x:v>0.42393504675195975</x:v>
      </x:c>
      <x:c r="J218" s="2" t="n">
        <x:v>1425</x:v>
      </x:c>
      <x:c r="K218" s="2"/>
      <x:c r="L218" s="2"/>
    </x:row>
    <x:row r="219" ht="22" customHeight="1">
      <x:c r="A219" s="2"/>
      <x:c r="B219" s="2" t="n">
        <x:v>186</x:v>
      </x:c>
      <x:c r="C219" s="2" t="str">
        <x:v>23202</x:v>
      </x:c>
      <x:c r="D219" s="2" t="str">
        <x:v>JUMBO BAG VINTAGE LEAF</x:v>
      </x:c>
      <x:c r="E219" s="11" t="n">
        <x:v>21852.81</x:v>
      </x:c>
      <x:c r="F219" s="11" t="n">
        <x:v>442.46000000000004</x:v>
      </x:c>
      <x:c r="G219" s="11" t="n">
        <x:v>21410.350000000002</x:v>
      </x:c>
      <x:c r="H219" s="23" t="n">
        <x:v>0.0010642390504014127</x:v>
      </x:c>
      <x:c r="I219" s="23" t="n">
        <x:v>0.4249992858023612</x:v>
      </x:c>
      <x:c r="J219" s="2" t="n">
        <x:v>879</x:v>
      </x:c>
      <x:c r="K219" s="2"/>
      <x:c r="L219" s="2"/>
    </x:row>
    <x:row r="220" ht="22" customHeight="1">
      <x:c r="A220" s="2"/>
      <x:c r="B220" s="2" t="n">
        <x:v>187</x:v>
      </x:c>
      <x:c r="C220" s="2" t="str">
        <x:v>22499</x:v>
      </x:c>
      <x:c r="D220" s="2" t="str">
        <x:v>WOODEN UNION JACK BUNTING</x:v>
      </x:c>
      <x:c r="E220" s="11" t="n">
        <x:v>21838.420000000002</x:v>
      </x:c>
      <x:c r="F220" s="11" t="n">
        <x:v>41.650000000000006</x:v>
      </x:c>
      <x:c r="G220" s="11" t="n">
        <x:v>21796.77</x:v>
      </x:c>
      <x:c r="H220" s="23" t="n">
        <x:v>0.0010635382526579978</x:v>
      </x:c>
      <x:c r="I220" s="23" t="n">
        <x:v>0.42606282405501916</x:v>
      </x:c>
      <x:c r="J220" s="2" t="n">
        <x:v>774</x:v>
      </x:c>
      <x:c r="K220" s="2"/>
      <x:c r="L220" s="2"/>
    </x:row>
    <x:row r="221" ht="22" customHeight="1">
      <x:c r="A221" s="2"/>
      <x:c r="B221" s="2" t="n">
        <x:v>188</x:v>
      </x:c>
      <x:c r="C221" s="2" t="str">
        <x:v>85014A</x:v>
      </x:c>
      <x:c r="D221" s="2" t="str">
        <x:v>BLACK/BLUE POLKADOT UMBRELLA</x:v>
      </x:c>
      <x:c r="E221" s="11" t="n">
        <x:v>21827.33</x:v>
      </x:c>
      <x:c r="F221" s="11" t="n">
        <x:v>47.6</x:v>
      </x:c>
      <x:c r="G221" s="11" t="n">
        <x:v>21779.73</x:v>
      </x:c>
      <x:c r="H221" s="23" t="n">
        <x:v>0.0010629981660023708</x:v>
      </x:c>
      <x:c r="I221" s="23" t="n">
        <x:v>0.4271258222210215</x:v>
      </x:c>
      <x:c r="J221" s="2" t="n">
        <x:v>684</x:v>
      </x:c>
      <x:c r="K221" s="2"/>
      <x:c r="L221" s="2"/>
    </x:row>
    <x:row r="222" ht="22" customHeight="1">
      <x:c r="A222" s="2"/>
      <x:c r="B222" s="2" t="n">
        <x:v>189</x:v>
      </x:c>
      <x:c r="C222" s="2" t="str">
        <x:v>22941</x:v>
      </x:c>
      <x:c r="D222" s="2" t="str">
        <x:v>CHRISTMAS LIGHTS 10 REINDEER</x:v>
      </x:c>
      <x:c r="E222" s="11" t="n">
        <x:v>21753.08</x:v>
      </x:c>
      <x:c r="F222" s="11" t="n">
        <x:v>610.3000000000001</x:v>
      </x:c>
      <x:c r="G222" s="11" t="n">
        <x:v>21142.78</x:v>
      </x:c>
      <x:c r="H222" s="23" t="n">
        <x:v>0.0010593821665271406</x:v>
      </x:c>
      <x:c r="I222" s="23" t="n">
        <x:v>0.42818520438754865</x:v>
      </x:c>
      <x:c r="J222" s="2" t="n">
        <x:v>483</x:v>
      </x:c>
      <x:c r="K222" s="2"/>
      <x:c r="L222" s="2"/>
    </x:row>
    <x:row r="223" ht="22" customHeight="1">
      <x:c r="A223" s="2"/>
      <x:c r="B223" s="2" t="n">
        <x:v>190</x:v>
      </x:c>
      <x:c r="C223" s="2" t="str">
        <x:v>21210</x:v>
      </x:c>
      <x:c r="D223" s="2" t="str">
        <x:v>SET OF 72 RETROSPOT PAPER  DOILIES</x:v>
      </x:c>
      <x:c r="E223" s="11" t="n">
        <x:v>21735.89</x:v>
      </x:c>
      <x:c r="F223" s="11" t="n">
        <x:v>197.54999999999998</x:v>
      </x:c>
      <x:c r="G223" s="11" t="n">
        <x:v>21538.34</x:v>
      </x:c>
      <x:c r="H223" s="23" t="n">
        <x:v>0.0010585450078607539</x:v>
      </x:c>
      <x:c r="I223" s="23" t="n">
        <x:v>0.4292437493954094</x:v>
      </x:c>
      <x:c r="J223" s="2" t="n">
        <x:v>1161</x:v>
      </x:c>
      <x:c r="K223" s="2"/>
      <x:c r="L223" s="2"/>
    </x:row>
    <x:row r="224" ht="22" customHeight="1">
      <x:c r="A224" s="2"/>
      <x:c r="B224" s="2" t="n">
        <x:v>191</x:v>
      </x:c>
      <x:c r="C224" s="2" t="str">
        <x:v>22456</x:v>
      </x:c>
      <x:c r="D224" s="2" t="str">
        <x:v>NATURAL SLATE CHALKBOARD LARGE </x:v>
      </x:c>
      <x:c r="E224" s="11" t="n">
        <x:v>21607.95</x:v>
      </x:c>
      <x:c r="F224" s="11" t="n">
        <x:v>501.5</x:v>
      </x:c>
      <x:c r="G224" s="11" t="n">
        <x:v>21106.45</x:v>
      </x:c>
      <x:c r="H224" s="23" t="n">
        <x:v>0.0010523142876875426</x:v>
      </x:c>
      <x:c r="I224" s="23" t="n">
        <x:v>0.4302960636830969</x:v>
      </x:c>
      <x:c r="J224" s="2" t="n">
        <x:v>835</x:v>
      </x:c>
      <x:c r="K224" s="2"/>
      <x:c r="L224" s="2"/>
    </x:row>
    <x:row r="225" ht="22" customHeight="1">
      <x:c r="A225" s="2"/>
      <x:c r="B225" s="2" t="n">
        <x:v>192</x:v>
      </x:c>
      <x:c r="C225" s="2" t="str">
        <x:v>22969</x:v>
      </x:c>
      <x:c r="D225" s="2" t="str">
        <x:v>HOMEMADE JAM SCENTED CANDLES</x:v>
      </x:c>
      <x:c r="E225" s="11" t="n">
        <x:v>21519.39</x:v>
      </x:c>
      <x:c r="F225" s="11" t="n">
        <x:v>185.79999999999998</x:v>
      </x:c>
      <x:c r="G225" s="11" t="n">
        <x:v>21333.59</x:v>
      </x:c>
      <x:c r="H225" s="23" t="n">
        <x:v>0.0010480013864952679</x:v>
      </x:c>
      <x:c r="I225" s="23" t="n">
        <x:v>0.43134406506959216</x:v>
      </x:c>
      <x:c r="J225" s="2" t="n">
        <x:v>709</x:v>
      </x:c>
      <x:c r="K225" s="2"/>
      <x:c r="L225" s="2"/>
    </x:row>
    <x:row r="226" ht="22" customHeight="1">
      <x:c r="A226" s="2"/>
      <x:c r="B226" s="2" t="n">
        <x:v>193</x:v>
      </x:c>
      <x:c r="C226" s="2" t="str">
        <x:v>21213</x:v>
      </x:c>
      <x:c r="D226" s="2" t="str">
        <x:v>PACK OF 72 SKULL CAKE CASES</x:v>
      </x:c>
      <x:c r="E226" s="11" t="n">
        <x:v>21463.86</x:v>
      </x:c>
      <x:c r="F226" s="11" t="n">
        <x:v>48.95</x:v>
      </x:c>
      <x:c r="G226" s="11" t="n">
        <x:v>21414.91</x:v>
      </x:c>
      <x:c r="H226" s="23" t="n">
        <x:v>0.0010452970571907625</x:v>
      </x:c>
      <x:c r="I226" s="23" t="n">
        <x:v>0.4323893621267829</x:v>
      </x:c>
      <x:c r="J226" s="2" t="n">
        <x:v>1481</x:v>
      </x:c>
      <x:c r="K226" s="2"/>
      <x:c r="L226" s="2"/>
    </x:row>
    <x:row r="227" ht="22" customHeight="1">
      <x:c r="A227" s="2"/>
      <x:c r="B227" s="2" t="n">
        <x:v>194</x:v>
      </x:c>
      <x:c r="C227" s="2" t="str">
        <x:v>21258</x:v>
      </x:c>
      <x:c r="D227" s="2" t="str">
        <x:v>VICTORIAN SEWING BOX LARGE</x:v>
      </x:c>
      <x:c r="E227" s="11" t="n">
        <x:v>21450.309999999998</x:v>
      </x:c>
      <x:c r="F227" s="11" t="n">
        <x:v>1360.1499999999999</x:v>
      </x:c>
      <x:c r="G227" s="11" t="n">
        <x:v>20090.16</x:v>
      </x:c>
      <x:c r="H227" s="23" t="n">
        <x:v>0.0010446371677242387</x:v>
      </x:c>
      <x:c r="I227" s="23" t="n">
        <x:v>0.43343399929450716</x:v>
      </x:c>
      <x:c r="J227" s="2" t="n">
        <x:v>526</x:v>
      </x:c>
      <x:c r="K227" s="2"/>
      <x:c r="L227" s="2"/>
    </x:row>
    <x:row r="228" ht="22" customHeight="1">
      <x:c r="A228" s="2"/>
      <x:c r="B228" s="2" t="n">
        <x:v>195</x:v>
      </x:c>
      <x:c r="C228" s="2" t="str">
        <x:v>23209</x:v>
      </x:c>
      <x:c r="D228" s="2" t="str">
        <x:v>LUNCH BAG VINTAGE DOILY </x:v>
      </x:c>
      <x:c r="E228" s="11" t="n">
        <x:v>21450.17</x:v>
      </x:c>
      <x:c r="F228" s="11" t="n">
        <x:v>65.80000000000001</x:v>
      </x:c>
      <x:c r="G228" s="11" t="n">
        <x:v>21384.37</x:v>
      </x:c>
      <x:c r="H228" s="23" t="n">
        <x:v>0.0010446303496780903</x:v>
      </x:c>
      <x:c r="I228" s="23" t="n">
        <x:v>0.43447862964418527</x:v>
      </x:c>
      <x:c r="J228" s="2" t="n">
        <x:v>1098</x:v>
      </x:c>
      <x:c r="K228" s="2"/>
      <x:c r="L228" s="2"/>
    </x:row>
    <x:row r="229" ht="22" customHeight="1">
      <x:c r="A229" s="2"/>
      <x:c r="B229" s="2" t="n">
        <x:v>196</x:v>
      </x:c>
      <x:c r="C229" s="2" t="str">
        <x:v>85048</x:v>
      </x:c>
      <x:c r="D229" s="2" t="str">
        <x:v>15CM CHRISTMAS GLASS BALL 20 LIGHTS</x:v>
      </x:c>
      <x:c r="E229" s="11" t="n">
        <x:v>21248.83</x:v>
      </x:c>
      <x:c r="F229" s="11" t="n">
        <x:v>695.35</x:v>
      </x:c>
      <x:c r="G229" s="11" t="n">
        <x:v>20553.48</x:v>
      </x:c>
      <x:c r="H229" s="23" t="n">
        <x:v>0.0010348250253098368</x:v>
      </x:c>
      <x:c r="I229" s="23" t="n">
        <x:v>0.4355134546694951</x:v>
      </x:c>
      <x:c r="J229" s="2" t="n">
        <x:v>517</x:v>
      </x:c>
      <x:c r="K229" s="2"/>
      <x:c r="L229" s="2"/>
    </x:row>
    <x:row r="230" ht="22" customHeight="1">
      <x:c r="A230" s="2"/>
      <x:c r="B230" s="2" t="n">
        <x:v>197</x:v>
      </x:c>
      <x:c r="C230" s="2" t="str">
        <x:v>22570</x:v>
      </x:c>
      <x:c r="D230" s="2" t="str">
        <x:v>FELTCRAFT CUSHION RABBIT</x:v>
      </x:c>
      <x:c r="E230" s="11" t="n">
        <x:v>20934.85</x:v>
      </x:c>
      <x:c r="F230" s="11" t="n">
        <x:v>1464.33</x:v>
      </x:c>
      <x:c r="G230" s="11" t="n">
        <x:v>19470.52</x:v>
      </x:c>
      <x:c r="H230" s="23" t="n">
        <x:v>0.001019534095811752</x:v>
      </x:c>
      <x:c r="I230" s="23" t="n">
        <x:v>0.43653298876530683</x:v>
      </x:c>
      <x:c r="J230" s="2" t="n">
        <x:v>807</x:v>
      </x:c>
      <x:c r="K230" s="2"/>
      <x:c r="L230" s="2"/>
    </x:row>
    <x:row r="231" ht="22" customHeight="1">
      <x:c r="A231" s="2"/>
      <x:c r="B231" s="2" t="n">
        <x:v>198</x:v>
      </x:c>
      <x:c r="C231" s="2" t="str">
        <x:v>22424</x:v>
      </x:c>
      <x:c r="D231" s="2" t="str">
        <x:v>ENAMEL BREAD BIN CREAM</x:v>
      </x:c>
      <x:c r="E231" s="11" t="n">
        <x:v>20925.14</x:v>
      </x:c>
      <x:c r="F231" s="11" t="n">
        <x:v>570.45</x:v>
      </x:c>
      <x:c r="G231" s="11" t="n">
        <x:v>20354.69</x:v>
      </x:c>
      <x:c r="H231" s="23" t="n">
        <x:v>0.0010190612156110183</x:v>
      </x:c>
      <x:c r="I231" s="23" t="n">
        <x:v>0.43755204998091785</x:v>
      </x:c>
      <x:c r="J231" s="2" t="n">
        <x:v>739</x:v>
      </x:c>
      <x:c r="K231" s="2"/>
      <x:c r="L231" s="2"/>
    </x:row>
    <x:row r="232" ht="22" customHeight="1">
      <x:c r="A232" s="2"/>
      <x:c r="B232" s="2" t="n">
        <x:v>199</x:v>
      </x:c>
      <x:c r="C232" s="2" t="str">
        <x:v>23206</x:v>
      </x:c>
      <x:c r="D232" s="2" t="str">
        <x:v>LUNCH BAG APPLE DESIGN</x:v>
      </x:c>
      <x:c r="E232" s="11" t="n">
        <x:v>20911.98</x:v>
      </x:c>
      <x:c r="F232" s="11" t="n">
        <x:v>97.15</x:v>
      </x:c>
      <x:c r="G232" s="11" t="n">
        <x:v>20814.829999999998</x:v>
      </x:c>
      <x:c r="H232" s="23" t="n">
        <x:v>0.0010184203192730515</x:v>
      </x:c>
      <x:c r="I232" s="23" t="n">
        <x:v>0.4385704703001909</x:v>
      </x:c>
      <x:c r="J232" s="2" t="n">
        <x:v>1036</x:v>
      </x:c>
      <x:c r="K232" s="2"/>
      <x:c r="L232" s="2"/>
    </x:row>
    <x:row r="233" ht="22" customHeight="1">
      <x:c r="A233" s="2"/>
      <x:c r="B233" s="2" t="n">
        <x:v>200</x:v>
      </x:c>
      <x:c r="C233" s="2" t="str">
        <x:v>22294</x:v>
      </x:c>
      <x:c r="D233" s="2" t="str">
        <x:v>HEART FILIGREE DOVE  SMALL</x:v>
      </x:c>
      <x:c r="E233" s="11" t="n">
        <x:v>20883.13</x:v>
      </x:c>
      <x:c r="F233" s="11" t="n">
        <x:v>133.75</x:v>
      </x:c>
      <x:c r="G233" s="11" t="n">
        <x:v>20749.38</x:v>
      </x:c>
      <x:c r="H233" s="23" t="n">
        <x:v>0.0010170153147631474</x:v>
      </x:c>
      <x:c r="I233" s="23" t="n">
        <x:v>0.4395874856149541</x:v>
      </x:c>
      <x:c r="J233" s="2" t="n">
        <x:v>861</x:v>
      </x:c>
      <x:c r="K233" s="2"/>
      <x:c r="L233" s="2"/>
    </x:row>
    <x:row r="234" ht="22" customHeight="1">
      <x:c r="A234" s="2"/>
      <x:c r="B234" s="2" t="n">
        <x:v>201</x:v>
      </x:c>
      <x:c r="C234" s="2" t="str">
        <x:v>22356</x:v>
      </x:c>
      <x:c r="D234" s="2" t="str">
        <x:v>CHARLOTTE BAG PINK POLKADOT</x:v>
      </x:c>
      <x:c r="E234" s="11" t="n">
        <x:v>20881.25</x:v>
      </x:c>
      <x:c r="F234" s="11" t="n">
        <x:v>430.74</x:v>
      </x:c>
      <x:c r="G234" s="11" t="n">
        <x:v>20450.51</x:v>
      </x:c>
      <x:c r="H234" s="23" t="n">
        <x:v>0.0010169237581434379</x:v>
      </x:c>
      <x:c r="I234" s="23" t="n">
        <x:v>0.4406044093730975</x:v>
      </x:c>
      <x:c r="J234" s="2" t="n">
        <x:v>1584</x:v>
      </x:c>
      <x:c r="K234" s="2"/>
      <x:c r="L234" s="2"/>
    </x:row>
    <x:row r="235" ht="22" customHeight="1">
      <x:c r="A235" s="2"/>
      <x:c r="B235" s="2" t="n">
        <x:v>202</x:v>
      </x:c>
      <x:c r="C235" s="2" t="str">
        <x:v>21218</x:v>
      </x:c>
      <x:c r="D235" s="2" t="str">
        <x:v>RED SPOTTY BISCUIT TIN</x:v>
      </x:c>
      <x:c r="E235" s="11" t="n">
        <x:v>20822.81</x:v>
      </x:c>
      <x:c r="F235" s="11" t="n">
        <x:v>277.25</x:v>
      </x:c>
      <x:c r="G235" s="11" t="n">
        <x:v>20545.56</x:v>
      </x:c>
      <x:c r="H235" s="23" t="n">
        <x:v>0.0010140777108797012</x:v>
      </x:c>
      <x:c r="I235" s="23" t="n">
        <x:v>0.4416184870839772</x:v>
      </x:c>
      <x:c r="J235" s="2" t="n">
        <x:v>897</x:v>
      </x:c>
      <x:c r="K235" s="2"/>
      <x:c r="L235" s="2"/>
    </x:row>
    <x:row r="236" ht="22" customHeight="1">
      <x:c r="A236" s="2"/>
      <x:c r="B236" s="2" t="n">
        <x:v>203</x:v>
      </x:c>
      <x:c r="C236" s="2" t="str">
        <x:v>48116</x:v>
      </x:c>
      <x:c r="D236" s="2" t="str">
        <x:v>DOORMAT MULTICOLOUR STRIPE</x:v>
      </x:c>
      <x:c r="E236" s="11" t="n">
        <x:v>20728.07</x:v>
      </x:c>
      <x:c r="F236" s="11" t="n">
        <x:v>24.15</x:v>
      </x:c>
      <x:c r="G236" s="11" t="n">
        <x:v>20703.920000000002</x:v>
      </x:c>
      <x:c r="H236" s="23" t="n">
        <x:v>0.0010094638416502963</x:v>
      </x:c>
      <x:c r="I236" s="23" t="n">
        <x:v>0.4426279509256275</x:v>
      </x:c>
      <x:c r="J236" s="2" t="n">
        <x:v>496</x:v>
      </x:c>
      <x:c r="K236" s="2"/>
      <x:c r="L236" s="2"/>
    </x:row>
    <x:row r="237" ht="22" customHeight="1">
      <x:c r="A237" s="2"/>
      <x:c r="B237" s="2" t="n">
        <x:v>204</x:v>
      </x:c>
      <x:c r="C237" s="2" t="str">
        <x:v>22632</x:v>
      </x:c>
      <x:c r="D237" s="2" t="str">
        <x:v>HAND WARMER RED RETROSPOT</x:v>
      </x:c>
      <x:c r="E237" s="11" t="n">
        <x:v>20586.530000000002</x:v>
      </x:c>
      <x:c r="F237" s="11" t="n">
        <x:v>71.5</x:v>
      </x:c>
      <x:c r="G237" s="11" t="n">
        <x:v>20515.030000000002</x:v>
      </x:c>
      <x:c r="H237" s="23" t="n">
        <x:v>0.0010025707969940798</x:v>
      </x:c>
      <x:c r="I237" s="23" t="n">
        <x:v>0.4436305217226216</x:v>
      </x:c>
      <x:c r="J237" s="2" t="n">
        <x:v>779</x:v>
      </x:c>
      <x:c r="K237" s="2"/>
      <x:c r="L237" s="2"/>
    </x:row>
    <x:row r="238" ht="22" customHeight="1">
      <x:c r="A238" s="2"/>
      <x:c r="B238" s="2" t="n">
        <x:v>205</x:v>
      </x:c>
      <x:c r="C238" s="2" t="str">
        <x:v>22617</x:v>
      </x:c>
      <x:c r="D238" s="2" t="str">
        <x:v>BAKING SET SPACEBOY DESIGN</x:v>
      </x:c>
      <x:c r="E238" s="11" t="n">
        <x:v>20571.74</x:v>
      </x:c>
      <x:c r="F238" s="11" t="n">
        <x:v>1147.55</x:v>
      </x:c>
      <x:c r="G238" s="11" t="n">
        <x:v>19424.190000000002</x:v>
      </x:c>
      <x:c r="H238" s="23" t="n">
        <x:v>0.0010018505191188116</x:v>
      </x:c>
      <x:c r="I238" s="23" t="n">
        <x:v>0.4446323722417404</x:v>
      </x:c>
      <x:c r="J238" s="2" t="n">
        <x:v>942</x:v>
      </x:c>
      <x:c r="K238" s="2"/>
      <x:c r="L238" s="2"/>
    </x:row>
    <x:row r="239" ht="22" customHeight="1">
      <x:c r="A239" s="2"/>
      <x:c r="B239" s="2" t="n">
        <x:v>206</x:v>
      </x:c>
      <x:c r="C239" s="2" t="str">
        <x:v>22693</x:v>
      </x:c>
      <x:c r="D239" s="2" t="str">
        <x:v>GROW A FLYTRAP OR SUNFLOWER IN TIN</x:v>
      </x:c>
      <x:c r="E239" s="11" t="n">
        <x:v>20469.08</x:v>
      </x:c>
      <x:c r="F239" s="11" t="n">
        <x:v>90</x:v>
      </x:c>
      <x:c r="G239" s="11" t="n">
        <x:v>20379.08</x:v>
      </x:c>
      <x:c r="H239" s="23" t="n">
        <x:v>0.0009968509432787156</x:v>
      </x:c>
      <x:c r="I239" s="23" t="n">
        <x:v>0.44562922318501913</x:v>
      </x:c>
      <x:c r="J239" s="2" t="n">
        <x:v>350</x:v>
      </x:c>
      <x:c r="K239" s="2"/>
      <x:c r="L239" s="2"/>
    </x:row>
    <x:row r="240" ht="22" customHeight="1">
      <x:c r="A240" s="2"/>
      <x:c r="B240" s="2" t="n">
        <x:v>207</x:v>
      </x:c>
      <x:c r="C240" s="2" t="str">
        <x:v>AMAZONFEE</x:v>
      </x:c>
      <x:c r="D240" s="2" t="str">
        <x:v>AMAZON FEE</x:v>
      </x:c>
      <x:c r="E240" s="11" t="n">
        <x:v>20467.8</x:v>
      </x:c>
      <x:c r="F240" s="11" t="n">
        <x:v>241988.3</x:v>
      </x:c>
      <x:c r="G240" s="11" t="n">
        <x:v>-221520.5</x:v>
      </x:c>
      <x:c r="H240" s="23" t="n">
        <x:v>0.0009967886068567857</x:v>
      </x:c>
      <x:c r="I240" s="23" t="n">
        <x:v>0.44662601179187594</x:v>
      </x:c>
      <x:c r="J240" s="2" t="n">
        <x:v>3</x:v>
      </x:c>
      <x:c r="K240" s="2"/>
      <x:c r="L240" s="2"/>
    </x:row>
    <x:row r="241" ht="22" customHeight="1">
      <x:c r="A241" s="2"/>
      <x:c r="B241" s="2" t="n">
        <x:v>208</x:v>
      </x:c>
      <x:c r="C241" s="2" t="str">
        <x:v>20723</x:v>
      </x:c>
      <x:c r="D241" s="2" t="str">
        <x:v>STRAWBERRY CHARLOTTE BAG</x:v>
      </x:c>
      <x:c r="E241" s="11" t="n">
        <x:v>20438.45</x:v>
      </x:c>
      <x:c r="F241" s="11" t="n">
        <x:v>157.78</x:v>
      </x:c>
      <x:c r="G241" s="11" t="n">
        <x:v>20280.67</x:v>
      </x:c>
      <x:c r="H241" s="23" t="n">
        <x:v>0.000995359252182065</x:v>
      </x:c>
      <x:c r="I241" s="23" t="n">
        <x:v>0.447621371044058</x:v>
      </x:c>
      <x:c r="J241" s="2" t="n">
        <x:v>1379</x:v>
      </x:c>
      <x:c r="K241" s="2"/>
      <x:c r="L241" s="2"/>
    </x:row>
    <x:row r="242" ht="22" customHeight="1">
      <x:c r="A242" s="2"/>
      <x:c r="B242" s="2" t="n">
        <x:v>209</x:v>
      </x:c>
      <x:c r="C242" s="2" t="str">
        <x:v>21559</x:v>
      </x:c>
      <x:c r="D242" s="2" t="str">
        <x:v>STRAWBERRY LUNCH BOX WITH CUTLERY</x:v>
      </x:c>
      <x:c r="E242" s="11" t="n">
        <x:v>20416.93</x:v>
      </x:c>
      <x:c r="F242" s="11" t="n">
        <x:v>86.25</x:v>
      </x:c>
      <x:c r="G242" s="11" t="n">
        <x:v>20330.68</x:v>
      </x:c>
      <x:c r="H242" s="23" t="n">
        <x:v>0.0009943112210883686</x:v>
      </x:c>
      <x:c r="I242" s="23" t="n">
        <x:v>0.4486156822651464</x:v>
      </x:c>
      <x:c r="J242" s="2" t="n">
        <x:v>1221</x:v>
      </x:c>
      <x:c r="K242" s="2"/>
      <x:c r="L242" s="2"/>
    </x:row>
    <x:row r="243" ht="22" customHeight="1">
      <x:c r="A243" s="2"/>
      <x:c r="B243" s="2" t="n">
        <x:v>210</x:v>
      </x:c>
      <x:c r="C243" s="2" t="str">
        <x:v>22568</x:v>
      </x:c>
      <x:c r="D243" s="2" t="str">
        <x:v>FELTCRAFT CUSHION OWL</x:v>
      </x:c>
      <x:c r="E243" s="11" t="n">
        <x:v>20274.97</x:v>
      </x:c>
      <x:c r="F243" s="11" t="n">
        <x:v>1213.3200000000002</x:v>
      </x:c>
      <x:c r="G243" s="11" t="n">
        <x:v>19061.65</x:v>
      </x:c>
      <x:c r="H243" s="23" t="n">
        <x:v>0.0009873977222937065</x:v>
      </x:c>
      <x:c r="I243" s="23" t="n">
        <x:v>0.44960307998744015</x:v>
      </x:c>
      <x:c r="J243" s="2" t="n">
        <x:v>875</x:v>
      </x:c>
      <x:c r="K243" s="2"/>
      <x:c r="L243" s="2"/>
    </x:row>
    <x:row r="244" ht="22" customHeight="1">
      <x:c r="A244" s="2"/>
      <x:c r="B244" s="2" t="n">
        <x:v>211</x:v>
      </x:c>
      <x:c r="C244" s="2" t="str">
        <x:v>85150</x:v>
      </x:c>
      <x:c r="D244" s="2" t="str">
        <x:v>LADIES &amp; GENTLEMEN METAL SIGN</x:v>
      </x:c>
      <x:c r="E244" s="11" t="n">
        <x:v>20255.57</x:v>
      </x:c>
      <x:c r="F244" s="11" t="n">
        <x:v>64.94999999999999</x:v>
      </x:c>
      <x:c r="G244" s="11" t="n">
        <x:v>20190.62</x:v>
      </x:c>
      <x:c r="H244" s="23" t="n">
        <x:v>0.0009864529358988314</x:v>
      </x:c>
      <x:c r="I244" s="23" t="n">
        <x:v>0.450589532923339</x:v>
      </x:c>
      <x:c r="J244" s="2" t="n">
        <x:v>1110</x:v>
      </x:c>
      <x:c r="K244" s="2"/>
      <x:c r="L244" s="2"/>
    </x:row>
    <x:row r="245" ht="22" customHeight="1">
      <x:c r="A245" s="2"/>
      <x:c r="B245" s="2" t="n">
        <x:v>212</x:v>
      </x:c>
      <x:c r="C245" s="2" t="str">
        <x:v>21216</x:v>
      </x:c>
      <x:c r="D245" s="2" t="str">
        <x:v>SET 3 RETROSPOT TEA,COFFEE,SUGAR</x:v>
      </x:c>
      <x:c r="E245" s="11" t="n">
        <x:v>20213.55</x:v>
      </x:c>
      <x:c r="F245" s="11" t="n">
        <x:v>111.75</x:v>
      </x:c>
      <x:c r="G245" s="11" t="n">
        <x:v>20101.8</x:v>
      </x:c>
      <x:c r="H245" s="23" t="n">
        <x:v>0.000984406548047664</x:v>
      </x:c>
      <x:c r="I245" s="23" t="n">
        <x:v>0.45157393947138663</x:v>
      </x:c>
      <x:c r="J245" s="2" t="n">
        <x:v>802</x:v>
      </x:c>
      <x:c r="K245" s="2"/>
      <x:c r="L245" s="2"/>
    </x:row>
    <x:row r="246" ht="22" customHeight="1">
      <x:c r="A246" s="2"/>
      <x:c r="B246" s="2" t="n">
        <x:v>213</x:v>
      </x:c>
      <x:c r="C246" s="2" t="str">
        <x:v>22273</x:v>
      </x:c>
      <x:c r="D246" s="2" t="str">
        <x:v>FELTCRAFT DOLL MOLLY</x:v>
      </x:c>
      <x:c r="E246" s="11" t="n">
        <x:v>20192.29</x:v>
      </x:c>
      <x:c r="F246" s="11" t="n">
        <x:v>3562.7999999999997</x:v>
      </x:c>
      <x:c r="G246" s="11" t="n">
        <x:v>16629.49</x:v>
      </x:c>
      <x:c r="H246" s="23" t="n">
        <x:v>0.0009833711790396724</x:v>
      </x:c>
      <x:c r="I246" s="23" t="n">
        <x:v>0.4525573106504263</x:v>
      </x:c>
      <x:c r="J246" s="2" t="n">
        <x:v>810</x:v>
      </x:c>
      <x:c r="K246" s="2"/>
      <x:c r="L246" s="2"/>
    </x:row>
    <x:row r="247" ht="22" customHeight="1">
      <x:c r="A247" s="2"/>
      <x:c r="B247" s="2" t="n">
        <x:v>214</x:v>
      </x:c>
      <x:c r="C247" s="2" t="str">
        <x:v>22569</x:v>
      </x:c>
      <x:c r="D247" s="2" t="str">
        <x:v>FELTCRAFT CUSHION BUTTERFLY</x:v>
      </x:c>
      <x:c r="E247" s="11" t="n">
        <x:v>20145.68</x:v>
      </x:c>
      <x:c r="F247" s="11" t="n">
        <x:v>1170.63</x:v>
      </x:c>
      <x:c r="G247" s="11" t="n">
        <x:v>18975.05</x:v>
      </x:c>
      <x:c r="H247" s="23" t="n">
        <x:v>0.0009811012566754908</x:v>
      </x:c>
      <x:c r="I247" s="23" t="n">
        <x:v>0.4535384119071018</x:v>
      </x:c>
      <x:c r="J247" s="2" t="n">
        <x:v>784</x:v>
      </x:c>
      <x:c r="K247" s="2"/>
      <x:c r="L247" s="2"/>
    </x:row>
    <x:row r="248" ht="22" customHeight="1">
      <x:c r="A248" s="2"/>
      <x:c r="B248" s="2" t="n">
        <x:v>215</x:v>
      </x:c>
      <x:c r="C248" s="2" t="str">
        <x:v>21622</x:v>
      </x:c>
      <x:c r="D248" s="2" t="str">
        <x:v>VINTAGE UNION JACK CUSHION COVER</x:v>
      </x:c>
      <x:c r="E248" s="11" t="n">
        <x:v>20021.09</x:v>
      </x:c>
      <x:c r="F248" s="11" t="n">
        <x:v>212.85000000000002</x:v>
      </x:c>
      <x:c r="G248" s="11" t="n">
        <x:v>19808.24</x:v>
      </x:c>
      <x:c r="H248" s="23" t="n">
        <x:v>0.000975033682606549</x:v>
      </x:c>
      <x:c r="I248" s="23" t="n">
        <x:v>0.45451344558970835</x:v>
      </x:c>
      <x:c r="J248" s="2" t="n">
        <x:v>626</x:v>
      </x:c>
      <x:c r="K248" s="2"/>
      <x:c r="L248" s="2"/>
    </x:row>
    <x:row r="249" ht="22" customHeight="1">
      <x:c r="A249" s="2"/>
      <x:c r="B249" s="2" t="n">
        <x:v>216</x:v>
      </x:c>
      <x:c r="C249" s="2" t="str">
        <x:v>22900</x:v>
      </x:c>
      <x:c r="D249" s="2" t="str">
        <x:v>SET 2 TEA TOWELS I LOVE LONDON </x:v>
      </x:c>
      <x:c r="E249" s="11" t="n">
        <x:v>19906.94</x:v>
      </x:c>
      <x:c r="F249" s="11" t="n">
        <x:v>552.5999999999999</x:v>
      </x:c>
      <x:c r="G249" s="11" t="n">
        <x:v>19354.34</x:v>
      </x:c>
      <x:c r="H249" s="23" t="n">
        <x:v>0.0009694745399789728</x:v>
      </x:c>
      <x:c r="I249" s="23" t="n">
        <x:v>0.45548292012968733</x:v>
      </x:c>
      <x:c r="J249" s="2" t="n">
        <x:v>723</x:v>
      </x:c>
      <x:c r="K249" s="2"/>
      <x:c r="L249" s="2"/>
    </x:row>
    <x:row r="250" ht="22" customHeight="1">
      <x:c r="A250" s="2"/>
      <x:c r="B250" s="2" t="n">
        <x:v>217</x:v>
      </x:c>
      <x:c r="C250" s="2" t="str">
        <x:v>22413</x:v>
      </x:c>
      <x:c r="D250" s="2" t="str">
        <x:v>METAL SIGN TAKE IT OR LEAVE IT </x:v>
      </x:c>
      <x:c r="E250" s="11" t="n">
        <x:v>19757.74</x:v>
      </x:c>
      <x:c r="F250" s="11" t="n">
        <x:v>340.54999999999995</x:v>
      </x:c>
      <x:c r="G250" s="11" t="n">
        <x:v>19417.190000000002</x:v>
      </x:c>
      <x:c r="H250" s="23" t="n">
        <x:v>0.0009622084507977697</x:v>
      </x:c>
      <x:c r="I250" s="23" t="n">
        <x:v>0.4564451285804851</x:v>
      </x:c>
      <x:c r="J250" s="2" t="n">
        <x:v>881</x:v>
      </x:c>
      <x:c r="K250" s="2"/>
      <x:c r="L250" s="2"/>
    </x:row>
    <x:row r="251" ht="22" customHeight="1">
      <x:c r="A251" s="2"/>
      <x:c r="B251" s="2" t="n">
        <x:v>218</x:v>
      </x:c>
      <x:c r="C251" s="2" t="str">
        <x:v>48129</x:v>
      </x:c>
      <x:c r="D251" s="2" t="str">
        <x:v>DOORMAT TOPIARY</x:v>
      </x:c>
      <x:c r="E251" s="11" t="n">
        <x:v>19646.08</x:v>
      </x:c>
      <x:c r="F251" s="11" t="n">
        <x:v>159.15</x:v>
      </x:c>
      <x:c r="G251" s="11" t="n">
        <x:v>19486.93</x:v>
      </x:c>
      <x:c r="H251" s="23" t="n">
        <x:v>0.0009567705719909791</x:v>
      </x:c>
      <x:c r="I251" s="23" t="n">
        <x:v>0.4574018991524761</x:v>
      </x:c>
      <x:c r="J251" s="2" t="n">
        <x:v>543</x:v>
      </x:c>
      <x:c r="K251" s="2"/>
      <x:c r="L251" s="2"/>
    </x:row>
    <x:row r="252" ht="22" customHeight="1">
      <x:c r="A252" s="2"/>
      <x:c r="B252" s="2" t="n">
        <x:v>219</x:v>
      </x:c>
      <x:c r="C252" s="2" t="str">
        <x:v>22381</x:v>
      </x:c>
      <x:c r="D252" s="2" t="str">
        <x:v>TOY TIDY PINK POLKADOT</x:v>
      </x:c>
      <x:c r="E252" s="11" t="n">
        <x:v>19634.24</x:v>
      </x:c>
      <x:c r="F252" s="11" t="n">
        <x:v>62.75</x:v>
      </x:c>
      <x:c r="G252" s="11" t="n">
        <x:v>19571.49</x:v>
      </x:c>
      <x:c r="H252" s="23" t="n">
        <x:v>0.0009561939600881275</x:v>
      </x:c>
      <x:c r="I252" s="23" t="n">
        <x:v>0.4583580931125642</x:v>
      </x:c>
      <x:c r="J252" s="2" t="n">
        <x:v>1100</x:v>
      </x:c>
      <x:c r="K252" s="2"/>
      <x:c r="L252" s="2"/>
    </x:row>
    <x:row r="253" ht="22" customHeight="1">
      <x:c r="A253" s="2"/>
      <x:c r="B253" s="2" t="n">
        <x:v>220</x:v>
      </x:c>
      <x:c r="C253" s="2" t="str">
        <x:v>21174</x:v>
      </x:c>
      <x:c r="D253" s="2" t="str">
        <x:v>POTTERING IN THE SHED METAL SIGN</x:v>
      </x:c>
      <x:c r="E253" s="11" t="n">
        <x:v>19619.42</x:v>
      </x:c>
      <x:c r="F253" s="11" t="n">
        <x:v>7.8</x:v>
      </x:c>
      <x:c r="G253" s="11" t="n">
        <x:v>19611.62</x:v>
      </x:c>
      <x:c r="H253" s="23" t="n">
        <x:v>0.0009554722212029703</x:v>
      </x:c>
      <x:c r="I253" s="23" t="n">
        <x:v>0.45931356533376716</x:v>
      </x:c>
      <x:c r="J253" s="2" t="n">
        <x:v>1135</x:v>
      </x:c>
      <x:c r="K253" s="2"/>
      <x:c r="L253" s="2"/>
    </x:row>
    <x:row r="254" ht="22" customHeight="1">
      <x:c r="A254" s="2"/>
      <x:c r="B254" s="2" t="n">
        <x:v>221</x:v>
      </x:c>
      <x:c r="C254" s="2" t="str">
        <x:v>22558</x:v>
      </x:c>
      <x:c r="D254" s="2" t="str">
        <x:v>CLOTHES PEGS RETROSPOT PACK 24 </x:v>
      </x:c>
      <x:c r="E254" s="11" t="n">
        <x:v>19539.59</x:v>
      </x:c>
      <x:c r="F254" s="11" t="n">
        <x:v>130.70999999999998</x:v>
      </x:c>
      <x:c r="G254" s="11" t="n">
        <x:v>19408.879999999997</x:v>
      </x:c>
      <x:c r="H254" s="23" t="n">
        <x:v>0.0009515844738883896</x:v>
      </x:c>
      <x:c r="I254" s="23" t="n">
        <x:v>0.46026514980765554</x:v>
      </x:c>
      <x:c r="J254" s="2" t="n">
        <x:v>1202</x:v>
      </x:c>
      <x:c r="K254" s="2"/>
      <x:c r="L254" s="2"/>
    </x:row>
    <x:row r="255" ht="22" customHeight="1">
      <x:c r="A255" s="2"/>
      <x:c r="B255" s="2" t="n">
        <x:v>222</x:v>
      </x:c>
      <x:c r="C255" s="2" t="str">
        <x:v>22561</x:v>
      </x:c>
      <x:c r="D255" s="2" t="str">
        <x:v>WOODEN SCHOOL COLOURING SET</x:v>
      </x:c>
      <x:c r="E255" s="11" t="n">
        <x:v>19534.17</x:v>
      </x:c>
      <x:c r="F255" s="11" t="n">
        <x:v>631.5</x:v>
      </x:c>
      <x:c r="G255" s="11" t="n">
        <x:v>18902.67</x:v>
      </x:c>
      <x:c r="H255" s="23" t="n">
        <x:v>0.0009513205181017801</x:v>
      </x:c>
      <x:c r="I255" s="23" t="n">
        <x:v>0.4612164703257573</x:v>
      </x:c>
      <x:c r="J255" s="2" t="n">
        <x:v>904</x:v>
      </x:c>
      <x:c r="K255" s="2"/>
      <x:c r="L255" s="2"/>
    </x:row>
    <x:row r="256" ht="22" customHeight="1">
      <x:c r="A256" s="2"/>
      <x:c r="B256" s="2" t="n">
        <x:v>223</x:v>
      </x:c>
      <x:c r="C256" s="2" t="str">
        <x:v>22169</x:v>
      </x:c>
      <x:c r="D256" s="2" t="str">
        <x:v>FAMILY ALBUM WHITE PICTURE FRAME</x:v>
      </x:c>
      <x:c r="E256" s="11" t="n">
        <x:v>19533.1</x:v>
      </x:c>
      <x:c r="F256" s="11" t="n">
        <x:v>741.2</x:v>
      </x:c>
      <x:c r="G256" s="11" t="n">
        <x:v>18791.9</x:v>
      </x:c>
      <x:c r="H256" s="23" t="n">
        <x:v>0.0009512684087490731</x:v>
      </x:c>
      <x:c r="I256" s="23" t="n">
        <x:v>0.4621677387345064</x:v>
      </x:c>
      <x:c r="J256" s="2" t="n">
        <x:v>701</x:v>
      </x:c>
      <x:c r="K256" s="2"/>
      <x:c r="L256" s="2"/>
    </x:row>
    <x:row r="257" ht="22" customHeight="1">
      <x:c r="A257" s="2"/>
      <x:c r="B257" s="2" t="n">
        <x:v>224</x:v>
      </x:c>
      <x:c r="C257" s="2" t="str">
        <x:v>84997A</x:v>
      </x:c>
      <x:c r="D257" s="2" t="str">
        <x:v>CHILDRENS CUTLERY POLKADOT GREEN </x:v>
      </x:c>
      <x:c r="E257" s="11" t="n">
        <x:v>19411.95</x:v>
      </x:c>
      <x:c r="F257" s="11" t="n">
        <x:v>98.7</x:v>
      </x:c>
      <x:c r="G257" s="11" t="n">
        <x:v>19313.25</x:v>
      </x:c>
      <x:c r="H257" s="23" t="n">
        <x:v>0.000945368363814068</x:v>
      </x:c>
      <x:c r="I257" s="23" t="n">
        <x:v>0.4631131070983205</x:v>
      </x:c>
      <x:c r="J257" s="2" t="n">
        <x:v>589</x:v>
      </x:c>
      <x:c r="K257" s="2"/>
      <x:c r="L257" s="2"/>
    </x:row>
    <x:row r="258" ht="22" customHeight="1">
      <x:c r="A258" s="2"/>
      <x:c r="B258" s="2" t="n">
        <x:v>225</x:v>
      </x:c>
      <x:c r="C258" s="2" t="str">
        <x:v>21340</x:v>
      </x:c>
      <x:c r="D258" s="2" t="str">
        <x:v>CLASSIC METAL BIRDCAGE PLANT HOLDER</x:v>
      </x:c>
      <x:c r="E258" s="11" t="n">
        <x:v>19337.48</x:v>
      </x:c>
      <x:c r="F258" s="11" t="n">
        <x:v>670.0999999999999</x:v>
      </x:c>
      <x:c r="G258" s="11" t="n">
        <x:v>18667.38</x:v>
      </x:c>
      <x:c r="H258" s="23" t="n">
        <x:v>0.0009417416502663186</x:v>
      </x:c>
      <x:c r="I258" s="23" t="n">
        <x:v>0.4640548487485868</x:v>
      </x:c>
      <x:c r="J258" s="2" t="n">
        <x:v>419</x:v>
      </x:c>
      <x:c r="K258" s="2"/>
      <x:c r="L258" s="2"/>
    </x:row>
    <x:row r="259" ht="22" customHeight="1">
      <x:c r="A259" s="2"/>
      <x:c r="B259" s="2" t="n">
        <x:v>226</x:v>
      </x:c>
      <x:c r="C259" s="2" t="str">
        <x:v>22427</x:v>
      </x:c>
      <x:c r="D259" s="2" t="str">
        <x:v>ENAMEL FLOWER JUG CREAM</x:v>
      </x:c>
      <x:c r="E259" s="11" t="n">
        <x:v>19326.83</x:v>
      </x:c>
      <x:c r="F259" s="11" t="n">
        <x:v>291.5</x:v>
      </x:c>
      <x:c r="G259" s="11" t="n">
        <x:v>19035.33</x:v>
      </x:c>
      <x:c r="H259" s="23" t="n">
        <x:v>0.0009412229917557301</x:v>
      </x:c>
      <x:c r="I259" s="23" t="n">
        <x:v>0.4649960717403426</x:v>
      </x:c>
      <x:c r="J259" s="2" t="n">
        <x:v>798</x:v>
      </x:c>
      <x:c r="K259" s="2"/>
      <x:c r="L259" s="2"/>
    </x:row>
    <x:row r="260" ht="22" customHeight="1">
      <x:c r="A260" s="2"/>
      <x:c r="B260" s="2" t="n">
        <x:v>227</x:v>
      </x:c>
      <x:c r="C260" s="2" t="str">
        <x:v>22952</x:v>
      </x:c>
      <x:c r="D260" s="2" t="str">
        <x:v>60 CAKE CASES VINTAGE CHRISTMAS</x:v>
      </x:c>
      <x:c r="E260" s="11" t="n">
        <x:v>19275.8</x:v>
      </x:c>
      <x:c r="F260" s="11" t="n">
        <x:v>241.2</x:v>
      </x:c>
      <x:c r="G260" s="11" t="n">
        <x:v>19034.600000000002</x:v>
      </x:c>
      <x:c r="H260" s="23" t="n">
        <x:v>0.0009387378139345718</x:v>
      </x:c>
      <x:c r="I260" s="23" t="n">
        <x:v>0.46593480955427713</x:v>
      </x:c>
      <x:c r="J260" s="2" t="n">
        <x:v>1144</x:v>
      </x:c>
      <x:c r="K260" s="2"/>
      <x:c r="L260" s="2"/>
    </x:row>
    <x:row r="261" ht="22" customHeight="1">
      <x:c r="A261" s="2"/>
      <x:c r="B261" s="2" t="n">
        <x:v>228</x:v>
      </x:c>
      <x:c r="C261" s="2" t="str">
        <x:v>21908</x:v>
      </x:c>
      <x:c r="D261" s="2" t="str">
        <x:v>CHOCOLATE THIS WAY METAL SIGN</x:v>
      </x:c>
      <x:c r="E261" s="11" t="n">
        <x:v>19180.58</x:v>
      </x:c>
      <x:c r="F261" s="11" t="n">
        <x:v>67.2</x:v>
      </x:c>
      <x:c r="G261" s="11" t="n">
        <x:v>19113.38</x:v>
      </x:c>
      <x:c r="H261" s="23" t="n">
        <x:v>0.0009341005685469433</x:v>
      </x:c>
      <x:c r="I261" s="23" t="n">
        <x:v>0.46686891012282405</x:v>
      </x:c>
      <x:c r="J261" s="2" t="n">
        <x:v>974</x:v>
      </x:c>
      <x:c r="K261" s="2"/>
      <x:c r="L261" s="2"/>
    </x:row>
    <x:row r="262" ht="22" customHeight="1">
      <x:c r="A262" s="2"/>
      <x:c r="B262" s="2" t="n">
        <x:v>229</x:v>
      </x:c>
      <x:c r="C262" s="2" t="str">
        <x:v>22061</x:v>
      </x:c>
      <x:c r="D262" s="2" t="str">
        <x:v>LARGE CAKE STAND  HANGING STRAWBERY</x:v>
      </x:c>
      <x:c r="E262" s="11" t="n">
        <x:v>19161.17</x:v>
      </x:c>
      <x:c r="F262" s="11" t="n">
        <x:v>1060.35</x:v>
      </x:c>
      <x:c r="G262" s="11" t="n">
        <x:v>18100.82</x:v>
      </x:c>
      <x:c r="H262" s="23" t="n">
        <x:v>0.0009331552951487719</x:v>
      </x:c>
      <x:c r="I262" s="23" t="n">
        <x:v>0.4678020654179728</x:v>
      </x:c>
      <x:c r="J262" s="2" t="n">
        <x:v>520</x:v>
      </x:c>
      <x:c r="K262" s="2"/>
      <x:c r="L262" s="2"/>
    </x:row>
    <x:row r="263" ht="22" customHeight="1">
      <x:c r="A263" s="2"/>
      <x:c r="B263" s="2" t="n">
        <x:v>230</x:v>
      </x:c>
      <x:c r="C263" s="2" t="str">
        <x:v>84949</x:v>
      </x:c>
      <x:c r="D263" s="2" t="str">
        <x:v>SILVER HANGING T-LIGHT HOLDER</x:v>
      </x:c>
      <x:c r="E263" s="11" t="n">
        <x:v>19104.899999999998</x:v>
      </x:c>
      <x:c r="F263" s="11" t="n">
        <x:v>793.8</x:v>
      </x:c>
      <x:c r="G263" s="11" t="n">
        <x:v>18311.1</x:v>
      </x:c>
      <x:c r="H263" s="23" t="n">
        <x:v>0.0009304149276003382</x:v>
      </x:c>
      <x:c r="I263" s="23" t="n">
        <x:v>0.46873248034557313</x:v>
      </x:c>
      <x:c r="J263" s="2" t="n">
        <x:v>693</x:v>
      </x:c>
      <x:c r="K263" s="2"/>
      <x:c r="L263" s="2"/>
    </x:row>
    <x:row r="264" ht="22" customHeight="1">
      <x:c r="A264" s="2"/>
      <x:c r="B264" s="2" t="n">
        <x:v>231</x:v>
      </x:c>
      <x:c r="C264" s="2" t="str">
        <x:v>71053</x:v>
      </x:c>
      <x:c r="D264" s="2" t="str">
        <x:v>WHITE MOROCCAN METAL LANTERN</x:v>
      </x:c>
      <x:c r="E264" s="11" t="n">
        <x:v>18970.52</x:v>
      </x:c>
      <x:c r="F264" s="11" t="n">
        <x:v>248.52</x:v>
      </x:c>
      <x:c r="G264" s="11" t="n">
        <x:v>18722</x:v>
      </x:c>
      <x:c r="H264" s="23" t="n">
        <x:v>0.0009238705773042921</x:v>
      </x:c>
      <x:c r="I264" s="23" t="n">
        <x:v>0.46965635092287744</x:v>
      </x:c>
      <x:c r="J264" s="2" t="n">
        <x:v>727</x:v>
      </x:c>
      <x:c r="K264" s="2"/>
      <x:c r="L264" s="2"/>
    </x:row>
    <x:row r="265" ht="22" customHeight="1">
      <x:c r="A265" s="2"/>
      <x:c r="B265" s="2" t="n">
        <x:v>232</x:v>
      </x:c>
      <x:c r="C265" s="2" t="str">
        <x:v>84947</x:v>
      </x:c>
      <x:c r="D265" s="2" t="str">
        <x:v>ANTIQUE SILVER TEA GLASS ENGRAVED</x:v>
      </x:c>
      <x:c r="E265" s="11" t="n">
        <x:v>18911.670000000002</x:v>
      </x:c>
      <x:c r="F265" s="11" t="n">
        <x:v>44.54</x:v>
      </x:c>
      <x:c r="G265" s="11" t="n">
        <x:v>18867.13</x:v>
      </x:c>
      <x:c r="H265" s="23" t="n">
        <x:v>0.000921004562905406</x:v>
      </x:c>
      <x:c r="I265" s="23" t="n">
        <x:v>0.47057735548578283</x:v>
      </x:c>
      <x:c r="J265" s="2" t="n">
        <x:v>680</x:v>
      </x:c>
      <x:c r="K265" s="2"/>
      <x:c r="L265" s="2"/>
    </x:row>
    <x:row r="266" ht="22" customHeight="1">
      <x:c r="A266" s="2"/>
      <x:c r="B266" s="2" t="n">
        <x:v>233</x:v>
      </x:c>
      <x:c r="C266" s="2" t="str">
        <x:v>22555</x:v>
      </x:c>
      <x:c r="D266" s="2" t="str">
        <x:v>PLASTERS IN TIN STRONGMAN</x:v>
      </x:c>
      <x:c r="E266" s="11" t="n">
        <x:v>18718.269999999997</x:v>
      </x:c>
      <x:c r="F266" s="11" t="n">
        <x:v>65.99999999999999</x:v>
      </x:c>
      <x:c r="G266" s="11" t="n">
        <x:v>18652.269999999997</x:v>
      </x:c>
      <x:c r="H266" s="23" t="n">
        <x:v>0.0009115859191544359</x:v>
      </x:c>
      <x:c r="I266" s="23" t="n">
        <x:v>0.47148894140493725</x:v>
      </x:c>
      <x:c r="J266" s="2" t="n">
        <x:v>967</x:v>
      </x:c>
      <x:c r="K266" s="2"/>
      <x:c r="L266" s="2"/>
    </x:row>
    <x:row r="267" ht="22" customHeight="1">
      <x:c r="A267" s="2"/>
      <x:c r="B267" s="2" t="n">
        <x:v>234</x:v>
      </x:c>
      <x:c r="C267" s="2" t="str">
        <x:v>21035</x:v>
      </x:c>
      <x:c r="D267" s="2" t="str">
        <x:v>SET/2 RED RETROSPOT TEA TOWELS </x:v>
      </x:c>
      <x:c r="E267" s="11" t="n">
        <x:v>18681.38</x:v>
      </x:c>
      <x:c r="F267" s="11" t="n">
        <x:v>570.65</x:v>
      </x:c>
      <x:c r="G267" s="11" t="n">
        <x:v>18110.73</x:v>
      </x:c>
      <x:c r="H267" s="23" t="n">
        <x:v>0.0009097893639942846</x:v>
      </x:c>
      <x:c r="I267" s="23" t="n">
        <x:v>0.4723987307689315</x:v>
      </x:c>
      <x:c r="J267" s="2" t="n">
        <x:v>929</x:v>
      </x:c>
      <x:c r="K267" s="2"/>
      <x:c r="L267" s="2"/>
    </x:row>
    <x:row r="268" ht="22" customHeight="1">
      <x:c r="A268" s="2"/>
      <x:c r="B268" s="2" t="n">
        <x:v>235</x:v>
      </x:c>
      <x:c r="C268" s="2" t="str">
        <x:v>22041</x:v>
      </x:c>
      <x:c r="D268" s="2" t="str">
        <x:v>RECORD FRAME 7" SINGLE SIZE </x:v>
      </x:c>
      <x:c r="E268" s="11" t="n">
        <x:v>18650.870000000003</x:v>
      </x:c>
      <x:c r="F268" s="11" t="n">
        <x:v>103.94999999999999</x:v>
      </x:c>
      <x:c r="G268" s="11" t="n">
        <x:v>18546.920000000002</x:v>
      </x:c>
      <x:c r="H268" s="23" t="n">
        <x:v>0.0009083035169371902</x:v>
      </x:c>
      <x:c r="I268" s="23" t="n">
        <x:v>0.47330703428586873</x:v>
      </x:c>
      <x:c r="J268" s="2" t="n">
        <x:v>555</x:v>
      </x:c>
      <x:c r="K268" s="2"/>
      <x:c r="L268" s="2"/>
    </x:row>
    <x:row r="269" ht="22" customHeight="1">
      <x:c r="A269" s="2"/>
      <x:c r="B269" s="2" t="n">
        <x:v>236</x:v>
      </x:c>
      <x:c r="C269" s="2" t="str">
        <x:v>21121</x:v>
      </x:c>
      <x:c r="D269" s="2" t="str">
        <x:v>SET/10 RED POLKADOT PARTY CANDLES</x:v>
      </x:c>
      <x:c r="E269" s="11" t="n">
        <x:v>18490.2</x:v>
      </x:c>
      <x:c r="F269" s="11" t="n">
        <x:v>242.5</x:v>
      </x:c>
      <x:c r="G269" s="11" t="n">
        <x:v>18247.7</x:v>
      </x:c>
      <x:c r="H269" s="23" t="n">
        <x:v>0.0009004788349750994</x:v>
      </x:c>
      <x:c r="I269" s="23" t="n">
        <x:v>0.47420751312084386</x:v>
      </x:c>
      <x:c r="J269" s="2" t="n">
        <x:v>873</x:v>
      </x:c>
      <x:c r="K269" s="2"/>
      <x:c r="L269" s="2"/>
    </x:row>
    <x:row r="270" ht="22" customHeight="1">
      <x:c r="A270" s="2"/>
      <x:c r="B270" s="2" t="n">
        <x:v>237</x:v>
      </x:c>
      <x:c r="C270" s="2" t="str">
        <x:v>22847</x:v>
      </x:c>
      <x:c r="D270" s="2" t="str">
        <x:v>BREAD BIN DINER STYLE IVORY</x:v>
      </x:c>
      <x:c r="E270" s="11" t="n">
        <x:v>18352.739999999998</x:v>
      </x:c>
      <x:c r="F270" s="11" t="n">
        <x:v>794.55</x:v>
      </x:c>
      <x:c r="G270" s="11" t="n">
        <x:v>17558.19</x:v>
      </x:c>
      <x:c r="H270" s="23" t="n">
        <x:v>0.0008937844876637843</x:v>
      </x:c>
      <x:c r="I270" s="23" t="n">
        <x:v>0.47510129760850767</x:v>
      </x:c>
      <x:c r="J270" s="2" t="n">
        <x:v>482</x:v>
      </x:c>
      <x:c r="K270" s="2"/>
      <x:c r="L270" s="2"/>
    </x:row>
    <x:row r="271" ht="22" customHeight="1">
      <x:c r="A271" s="2"/>
      <x:c r="B271" s="2" t="n">
        <x:v>238</x:v>
      </x:c>
      <x:c r="C271" s="2" t="str">
        <x:v>21484</x:v>
      </x:c>
      <x:c r="D271" s="2" t="str">
        <x:v>CHICK GREY HOT WATER BOTTLE</x:v>
      </x:c>
      <x:c r="E271" s="11" t="n">
        <x:v>18327.79</x:v>
      </x:c>
      <x:c r="F271" s="11" t="n">
        <x:v>157.95</x:v>
      </x:c>
      <x:c r="G271" s="11" t="n">
        <x:v>18169.84</x:v>
      </x:c>
      <x:c r="H271" s="23" t="n">
        <x:v>0.0008925694144394478</x:v>
      </x:c>
      <x:c r="I271" s="23" t="n">
        <x:v>0.4759938670229471</x:v>
      </x:c>
      <x:c r="J271" s="2" t="n">
        <x:v>864</x:v>
      </x:c>
      <x:c r="K271" s="2"/>
      <x:c r="L271" s="2"/>
    </x:row>
    <x:row r="272" ht="22" customHeight="1">
      <x:c r="A272" s="2"/>
      <x:c r="B272" s="2" t="n">
        <x:v>239</x:v>
      </x:c>
      <x:c r="C272" s="2" t="str">
        <x:v>21430</x:v>
      </x:c>
      <x:c r="D272" s="2" t="str">
        <x:v>SET/3 RED GINGHAM ROSE STORAGE BOX</x:v>
      </x:c>
      <x:c r="E272" s="11" t="n">
        <x:v>18082.47</x:v>
      </x:c>
      <x:c r="F272" s="11" t="n">
        <x:v>222.78</x:v>
      </x:c>
      <x:c r="G272" s="11" t="n">
        <x:v>17859.69</x:v>
      </x:c>
      <x:c r="H272" s="23" t="n">
        <x:v>0.0008806222495739465</x:v>
      </x:c>
      <x:c r="I272" s="23" t="n">
        <x:v>0.4768744892725211</x:v>
      </x:c>
      <x:c r="J272" s="2" t="n">
        <x:v>814</x:v>
      </x:c>
      <x:c r="K272" s="2"/>
      <x:c r="L272" s="2"/>
    </x:row>
    <x:row r="273" ht="22" customHeight="1">
      <x:c r="A273" s="2"/>
      <x:c r="B273" s="2" t="n">
        <x:v>240</x:v>
      </x:c>
      <x:c r="C273" s="2" t="str">
        <x:v>22505</x:v>
      </x:c>
      <x:c r="D273" s="2" t="str">
        <x:v>MEMO BOARD COTTAGE DESIGN</x:v>
      </x:c>
      <x:c r="E273" s="11" t="n">
        <x:v>18074.23</x:v>
      </x:c>
      <x:c r="F273" s="11" t="n">
        <x:v>94.05000000000001</x:v>
      </x:c>
      <x:c r="G273" s="11" t="n">
        <x:v>17980.18</x:v>
      </x:c>
      <x:c r="H273" s="23" t="n">
        <x:v>0.0008802209588577727</x:v>
      </x:c>
      <x:c r="I273" s="23" t="n">
        <x:v>0.47775471023137883</x:v>
      </x:c>
      <x:c r="J273" s="2" t="n">
        <x:v>744</x:v>
      </x:c>
      <x:c r="K273" s="2"/>
      <x:c r="L273" s="2"/>
    </x:row>
    <x:row r="274" ht="22" customHeight="1">
      <x:c r="A274" s="2"/>
      <x:c r="B274" s="2" t="n">
        <x:v>241</x:v>
      </x:c>
      <x:c r="C274" s="2" t="str">
        <x:v>79323W</x:v>
      </x:c>
      <x:c r="D274" s="2" t="str">
        <x:v>Unsaleable, destroyed.</x:v>
      </x:c>
      <x:c r="E274" s="11" t="n">
        <x:v>18048.72</x:v>
      </x:c>
      <x:c r="F274" s="11" t="n">
        <x:v>6421.1</x:v>
      </x:c>
      <x:c r="G274" s="11" t="n">
        <x:v>11627.62</x:v>
      </x:c>
      <x:c r="H274" s="23" t="n">
        <x:v>0.0008789786134488418</x:v>
      </x:c>
      <x:c r="I274" s="23" t="n">
        <x:v>0.47863368884482765</x:v>
      </x:c>
      <x:c r="J274" s="2" t="n">
        <x:v>349</x:v>
      </x:c>
      <x:c r="K274" s="2"/>
      <x:c r="L274" s="2"/>
    </x:row>
    <x:row r="275" ht="22" customHeight="1">
      <x:c r="A275" s="2"/>
      <x:c r="B275" s="2" t="n">
        <x:v>242</x:v>
      </x:c>
      <x:c r="C275" s="2" t="str">
        <x:v>22147</x:v>
      </x:c>
      <x:c r="D275" s="2" t="str">
        <x:v>FELTCRAFT BUTTERFLY HEARTS</x:v>
      </x:c>
      <x:c r="E275" s="11" t="n">
        <x:v>17955.93</x:v>
      </x:c>
      <x:c r="F275" s="11" t="n">
        <x:v>1142.8000000000002</x:v>
      </x:c>
      <x:c r="G275" s="11" t="n">
        <x:v>16813.129999999997</x:v>
      </x:c>
      <x:c r="H275" s="23" t="n">
        <x:v>0.0008744597098622208</x:v>
      </x:c>
      <x:c r="I275" s="23" t="n">
        <x:v>0.4795081485546899</x:v>
      </x:c>
      <x:c r="J275" s="2" t="n">
        <x:v>1132</x:v>
      </x:c>
      <x:c r="K275" s="2"/>
      <x:c r="L275" s="2"/>
    </x:row>
    <x:row r="276" ht="22" customHeight="1">
      <x:c r="A276" s="2"/>
      <x:c r="B276" s="2" t="n">
        <x:v>243</x:v>
      </x:c>
      <x:c r="C276" s="2" t="str">
        <x:v>22560</x:v>
      </x:c>
      <x:c r="D276" s="2" t="str">
        <x:v>TRADITIONAL MODELLING CLAY</x:v>
      </x:c>
      <x:c r="E276" s="11" t="n">
        <x:v>17904.21</x:v>
      </x:c>
      <x:c r="F276" s="11" t="n">
        <x:v>191.20000000000002</x:v>
      </x:c>
      <x:c r="G276" s="11" t="n">
        <x:v>17713.010000000002</x:v>
      </x:c>
      <x:c r="H276" s="23" t="n">
        <x:v>0.0008719409288136161</x:v>
      </x:c>
      <x:c r="I276" s="23" t="n">
        <x:v>0.48038008948350347</x:v>
      </x:c>
      <x:c r="J276" s="2" t="n">
        <x:v>742</x:v>
      </x:c>
      <x:c r="K276" s="2"/>
      <x:c r="L276" s="2"/>
    </x:row>
    <x:row r="277" ht="22" customHeight="1">
      <x:c r="A277" s="2"/>
      <x:c r="B277" s="2" t="n">
        <x:v>244</x:v>
      </x:c>
      <x:c r="C277" s="2" t="str">
        <x:v>22352</x:v>
      </x:c>
      <x:c r="D277" s="2" t="str">
        <x:v>LUNCH BOX WITH CUTLERY RETROSPOT </x:v>
      </x:c>
      <x:c r="E277" s="11" t="n">
        <x:v>17879.16</x:v>
      </x:c>
      <x:c r="F277" s="11" t="n">
        <x:v>165.29999999999998</x:v>
      </x:c>
      <x:c r="G277" s="11" t="n">
        <x:v>17713.86</x:v>
      </x:c>
      <x:c r="H277" s="23" t="n">
        <x:v>0.0008707209855563162</x:v>
      </x:c>
      <x:c r="I277" s="23" t="n">
        <x:v>0.48125081046905976</x:v>
      </x:c>
      <x:c r="J277" s="2" t="n">
        <x:v>1117</x:v>
      </x:c>
      <x:c r="K277" s="2"/>
      <x:c r="L277" s="2"/>
    </x:row>
    <x:row r="278" ht="22" customHeight="1">
      <x:c r="A278" s="2"/>
      <x:c r="B278" s="2" t="n">
        <x:v>245</x:v>
      </x:c>
      <x:c r="C278" s="2" t="str">
        <x:v>22297</x:v>
      </x:c>
      <x:c r="D278" s="2" t="str">
        <x:v>HEART IVORY TRELLIS SMALL</x:v>
      </x:c>
      <x:c r="E278" s="11" t="n">
        <x:v>17840.12</x:v>
      </x:c>
      <x:c r="F278" s="11" t="n">
        <x:v>343.75</x:v>
      </x:c>
      <x:c r="G278" s="11" t="n">
        <x:v>17496.37</x:v>
      </x:c>
      <x:c r="H278" s="23" t="n">
        <x:v>0.0008688197246874543</x:v>
      </x:c>
      <x:c r="I278" s="23" t="n">
        <x:v>0.4821196301937472</x:v>
      </x:c>
      <x:c r="J278" s="2" t="n">
        <x:v>969</x:v>
      </x:c>
      <x:c r="K278" s="2"/>
      <x:c r="L278" s="2"/>
    </x:row>
    <x:row r="279" ht="22" customHeight="1">
      <x:c r="A279" s="2"/>
      <x:c r="B279" s="2" t="n">
        <x:v>246</x:v>
      </x:c>
      <x:c r="C279" s="2" t="str">
        <x:v>84945</x:v>
      </x:c>
      <x:c r="D279" s="2" t="str">
        <x:v>MULTI COLOUR SILVER T-LIGHT HOLDER</x:v>
      </x:c>
      <x:c r="E279" s="11" t="n">
        <x:v>17767.96</x:v>
      </x:c>
      <x:c r="F279" s="11" t="n">
        <x:v>141.73</x:v>
      </x:c>
      <x:c r="G279" s="11" t="n">
        <x:v>17626.23</x:v>
      </x:c>
      <x:c r="H279" s="23" t="n">
        <x:v>0.0008653055089011566</x:v>
      </x:c>
      <x:c r="I279" s="23" t="n">
        <x:v>0.4829849357026484</x:v>
      </x:c>
      <x:c r="J279" s="2" t="n">
        <x:v>653</x:v>
      </x:c>
      <x:c r="K279" s="2"/>
      <x:c r="L279" s="2"/>
    </x:row>
    <x:row r="280" ht="22" customHeight="1">
      <x:c r="A280" s="2"/>
      <x:c r="B280" s="2" t="n">
        <x:v>247</x:v>
      </x:c>
      <x:c r="C280" s="2" t="str">
        <x:v>21914</x:v>
      </x:c>
      <x:c r="D280" s="2" t="str">
        <x:v>BLUE HARMONICA IN BOX </x:v>
      </x:c>
      <x:c r="E280" s="11" t="n">
        <x:v>17729.11</x:v>
      </x:c>
      <x:c r="F280" s="11" t="n">
        <x:v>150</x:v>
      </x:c>
      <x:c r="G280" s="11" t="n">
        <x:v>17579.11</x:v>
      </x:c>
      <x:c r="H280" s="23" t="n">
        <x:v>0.0008634135010949252</x:v>
      </x:c>
      <x:c r="I280" s="23" t="n">
        <x:v>0.4838483492037433</x:v>
      </x:c>
      <x:c r="J280" s="2" t="n">
        <x:v>963</x:v>
      </x:c>
      <x:c r="K280" s="2"/>
      <x:c r="L280" s="2"/>
    </x:row>
    <x:row r="281" ht="22" customHeight="1">
      <x:c r="A281" s="2"/>
      <x:c r="B281" s="2" t="n">
        <x:v>248</x:v>
      </x:c>
      <x:c r="C281" s="2" t="str">
        <x:v>22633</x:v>
      </x:c>
      <x:c r="D281" s="2" t="str">
        <x:v>HAND WARMER UNION JACK</x:v>
      </x:c>
      <x:c r="E281" s="11" t="n">
        <x:v>17664.870000000003</x:v>
      </x:c>
      <x:c r="F281" s="11" t="n">
        <x:v>81.9</x:v>
      </x:c>
      <x:c r="G281" s="11" t="n">
        <x:v>17582.97</x:v>
      </x:c>
      <x:c r="H281" s="23" t="n">
        <x:v>0.0008602849919193186</x:v>
      </x:c>
      <x:c r="I281" s="23" t="n">
        <x:v>0.4847086341956626</x:v>
      </x:c>
      <x:c r="J281" s="2" t="n">
        <x:v>858</x:v>
      </x:c>
      <x:c r="K281" s="2"/>
      <x:c r="L281" s="2"/>
    </x:row>
    <x:row r="282" ht="22" customHeight="1">
      <x:c r="A282" s="2"/>
      <x:c r="B282" s="2" t="n">
        <x:v>249</x:v>
      </x:c>
      <x:c r="C282" s="2" t="str">
        <x:v>22776</x:v>
      </x:c>
      <x:c r="D282" s="2" t="str">
        <x:v>SWEETHEART 3 TIER CAKE STAND </x:v>
      </x:c>
      <x:c r="E282" s="11" t="n">
        <x:v>17540.41</x:v>
      </x:c>
      <x:c r="F282" s="11" t="n">
        <x:v>1230.35</x:v>
      </x:c>
      <x:c r="G282" s="11" t="n">
        <x:v>16310.06</x:v>
      </x:c>
      <x:c r="H282" s="23" t="n">
        <x:v>0.000854223748893229</x:v>
      </x:c>
      <x:c r="I282" s="23" t="n">
        <x:v>0.48556285794455584</x:v>
      </x:c>
      <x:c r="J282" s="2" t="n">
        <x:v>691</x:v>
      </x:c>
      <x:c r="K282" s="2"/>
      <x:c r="L282" s="2"/>
    </x:row>
    <x:row r="283" ht="22" customHeight="1">
      <x:c r="A283" s="2"/>
      <x:c r="B283" s="2" t="n">
        <x:v>250</x:v>
      </x:c>
      <x:c r="C283" s="2" t="str">
        <x:v>21136</x:v>
      </x:c>
      <x:c r="D283" s="2" t="str">
        <x:v>PAINTED METAL PEARS ASSORTED</x:v>
      </x:c>
      <x:c r="E283" s="11" t="n">
        <x:v>17515.67</x:v>
      </x:c>
      <x:c r="F283" s="11" t="n">
        <x:v>329.36999999999995</x:v>
      </x:c>
      <x:c r="G283" s="11" t="n">
        <x:v>17186.3</x:v>
      </x:c>
      <x:c r="H283" s="23" t="n">
        <x:v>0.0008530189027381151</x:v>
      </x:c>
      <x:c r="I283" s="23" t="n">
        <x:v>0.4864158768472939</x:v>
      </x:c>
      <x:c r="J283" s="2" t="n">
        <x:v>739</x:v>
      </x:c>
      <x:c r="K283" s="2"/>
      <x:c r="L283" s="2"/>
    </x:row>
    <x:row r="284" ht="22" customHeight="1">
      <x:c r="A284" s="2"/>
      <x:c r="B284" s="2" t="n">
        <x:v>251</x:v>
      </x:c>
      <x:c r="C284" s="2" t="str">
        <x:v>84467</x:v>
      </x:c>
      <x:c r="D284" s="2" t="str">
        <x:v>ENGLISH ROSE DESIGN QUILTED THROW</x:v>
      </x:c>
      <x:c r="E284" s="11" t="n">
        <x:v>17477.66</x:v>
      </x:c>
      <x:c r="F284" s="11" t="n">
        <x:v>79.9</x:v>
      </x:c>
      <x:c r="G284" s="11" t="n">
        <x:v>17397.76</x:v>
      </x:c>
      <x:c r="H284" s="23" t="n">
        <x:v>0.0008511678032087752</x:v>
      </x:c>
      <x:c r="I284" s="23" t="n">
        <x:v>0.4872670446505027</x:v>
      </x:c>
      <x:c r="J284" s="2" t="n">
        <x:v>83</x:v>
      </x:c>
      <x:c r="K284" s="2"/>
      <x:c r="L284" s="2"/>
    </x:row>
    <x:row r="285" ht="22" customHeight="1">
      <x:c r="A285" s="2"/>
      <x:c r="B285" s="2" t="n">
        <x:v>252</x:v>
      </x:c>
      <x:c r="C285" s="2" t="str">
        <x:v>20718</x:v>
      </x:c>
      <x:c r="D285" s="2" t="str">
        <x:v>RED RETROSPOT SHOPPER BAG</x:v>
      </x:c>
      <x:c r="E285" s="11" t="n">
        <x:v>17467.35</x:v>
      </x:c>
      <x:c r="F285" s="11" t="n">
        <x:v>71.74</x:v>
      </x:c>
      <x:c r="G285" s="11" t="n">
        <x:v>17395.61</x:v>
      </x:c>
      <x:c r="H285" s="23" t="n">
        <x:v>0.0008506657028102617</x:v>
      </x:c>
      <x:c r="I285" s="23" t="n">
        <x:v>0.488117710353313</x:v>
      </x:c>
      <x:c r="J285" s="2" t="n">
        <x:v>1213</x:v>
      </x:c>
      <x:c r="K285" s="2"/>
      <x:c r="L285" s="2"/>
    </x:row>
    <x:row r="286" ht="22" customHeight="1">
      <x:c r="A286" s="2"/>
      <x:c r="B286" s="2" t="n">
        <x:v>253</x:v>
      </x:c>
      <x:c r="C286" s="2" t="str">
        <x:v>47591D</x:v>
      </x:c>
      <x:c r="D286" s="2" t="str">
        <x:v>PINK FAIRY CAKE CHILDRENS APRON</x:v>
      </x:c>
      <x:c r="E286" s="11" t="n">
        <x:v>17455.94</x:v>
      </x:c>
      <x:c r="F286" s="11" t="n">
        <x:v>23.4</x:v>
      </x:c>
      <x:c r="G286" s="11" t="n">
        <x:v>17432.54</x:v>
      </x:c>
      <x:c r="H286" s="23" t="n">
        <x:v>0.0008501100320491522</x:v>
      </x:c>
      <x:c r="I286" s="23" t="n">
        <x:v>0.48896782038536213</x:v>
      </x:c>
      <x:c r="J286" s="2" t="n">
        <x:v>1140</x:v>
      </x:c>
      <x:c r="K286" s="2"/>
      <x:c r="L286" s="2"/>
    </x:row>
    <x:row r="287" ht="22" customHeight="1">
      <x:c r="A287" s="2"/>
      <x:c r="B287" s="2" t="n">
        <x:v>254</x:v>
      </x:c>
      <x:c r="C287" s="2" t="str">
        <x:v>22557</x:v>
      </x:c>
      <x:c r="D287" s="2" t="str">
        <x:v>PLASTERS IN TIN VINTAGE PAISLEY </x:v>
      </x:c>
      <x:c r="E287" s="11" t="n">
        <x:v>17437.6</x:v>
      </x:c>
      <x:c r="F287" s="11" t="n">
        <x:v>112.19999999999999</x:v>
      </x:c>
      <x:c r="G287" s="11" t="n">
        <x:v>17325.399999999998</x:v>
      </x:c>
      <x:c r="H287" s="23" t="n">
        <x:v>0.000849216868003688</x:v>
      </x:c>
      <x:c r="I287" s="23" t="n">
        <x:v>0.48981703725336584</x:v>
      </x:c>
      <x:c r="J287" s="2" t="n">
        <x:v>1126</x:v>
      </x:c>
      <x:c r="K287" s="2"/>
      <x:c r="L287" s="2"/>
    </x:row>
    <x:row r="288" ht="22" customHeight="1">
      <x:c r="A288" s="2"/>
      <x:c r="B288" s="2" t="n">
        <x:v>255</x:v>
      </x:c>
      <x:c r="C288" s="2" t="str">
        <x:v>84992</x:v>
      </x:c>
      <x:c r="D288" s="2" t="str">
        <x:v>72 SWEETHEART FAIRY CAKE CASES</x:v>
      </x:c>
      <x:c r="E288" s="11" t="n">
        <x:v>17404.8</x:v>
      </x:c>
      <x:c r="F288" s="11" t="n">
        <x:v>175.33</x:v>
      </x:c>
      <x:c r="G288" s="11" t="n">
        <x:v>17229.47</x:v>
      </x:c>
      <x:c r="H288" s="23" t="n">
        <x:v>0.0008476194971917345</x:v>
      </x:c>
      <x:c r="I288" s="23" t="n">
        <x:v>0.4906646567505576</x:v>
      </x:c>
      <x:c r="J288" s="2" t="n">
        <x:v>1460</x:v>
      </x:c>
      <x:c r="K288" s="2"/>
      <x:c r="L288" s="2"/>
    </x:row>
    <x:row r="289" ht="22" customHeight="1">
      <x:c r="A289" s="2"/>
      <x:c r="B289" s="2" t="n">
        <x:v>256</x:v>
      </x:c>
      <x:c r="C289" s="2" t="str">
        <x:v>22366</x:v>
      </x:c>
      <x:c r="D289" s="2" t="str">
        <x:v>DOORMAT AIRMAIL </x:v>
      </x:c>
      <x:c r="E289" s="11" t="n">
        <x:v>17264.77</x:v>
      </x:c>
      <x:c r="F289" s="11" t="n">
        <x:v>209.97000000000003</x:v>
      </x:c>
      <x:c r="G289" s="11" t="n">
        <x:v>17054.8</x:v>
      </x:c>
      <x:c r="H289" s="23" t="n">
        <x:v>0.0008407999900332634</x:v>
      </x:c>
      <x:c r="I289" s="23" t="n">
        <x:v>0.4915054567405909</x:v>
      </x:c>
      <x:c r="J289" s="2" t="n">
        <x:v>568</x:v>
      </x:c>
      <x:c r="K289" s="2"/>
      <x:c r="L289" s="2"/>
    </x:row>
    <x:row r="290" ht="22" customHeight="1">
      <x:c r="A290" s="2"/>
      <x:c r="B290" s="2" t="n">
        <x:v>257</x:v>
      </x:c>
      <x:c r="C290" s="2" t="str">
        <x:v>84970L</x:v>
      </x:c>
      <x:c r="D290" s="2" t="str">
        <x:v>SINGLE HEART ZINC T-LIGHT HOLDER</x:v>
      </x:c>
      <x:c r="E290" s="11" t="n">
        <x:v>17249.539999999997</x:v>
      </x:c>
      <x:c r="F290" s="11" t="n">
        <x:v>34.199999999999996</x:v>
      </x:c>
      <x:c r="G290" s="11" t="n">
        <x:v>17215.34</x:v>
      </x:c>
      <x:c r="H290" s="23" t="n">
        <x:v>0.0008400582840129568</x:v>
      </x:c>
      <x:c r="I290" s="23" t="n">
        <x:v>0.49234551502460383</x:v>
      </x:c>
      <x:c r="J290" s="2" t="n">
        <x:v>1080</x:v>
      </x:c>
      <x:c r="K290" s="2"/>
      <x:c r="L290" s="2"/>
    </x:row>
    <x:row r="291" ht="22" customHeight="1">
      <x:c r="A291" s="2"/>
      <x:c r="B291" s="2" t="n">
        <x:v>258</x:v>
      </x:c>
      <x:c r="C291" s="2" t="str">
        <x:v>21889</x:v>
      </x:c>
      <x:c r="D291" s="2" t="str">
        <x:v>WOODEN BOX OF DOMINOES</x:v>
      </x:c>
      <x:c r="E291" s="11" t="n">
        <x:v>17119.41</x:v>
      </x:c>
      <x:c r="F291" s="11" t="n">
        <x:v>193.75</x:v>
      </x:c>
      <x:c r="G291" s="11" t="n">
        <x:v>16925.66</x:v>
      </x:c>
      <x:c r="H291" s="23" t="n">
        <x:v>0.0008337209101178497</x:v>
      </x:c>
      <x:c r="I291" s="23" t="n">
        <x:v>0.4931792359347217</x:v>
      </x:c>
      <x:c r="J291" s="2" t="n">
        <x:v>1123</x:v>
      </x:c>
      <x:c r="K291" s="2"/>
      <x:c r="L291" s="2"/>
    </x:row>
    <x:row r="292" ht="22" customHeight="1">
      <x:c r="A292" s="2"/>
      <x:c r="B292" s="2" t="n">
        <x:v>259</x:v>
      </x:c>
      <x:c r="C292" s="2" t="str">
        <x:v>23240</x:v>
      </x:c>
      <x:c r="D292" s="2" t="str">
        <x:v>SET OF 4 KNICK KNACK TINS DOILY </x:v>
      </x:c>
      <x:c r="E292" s="11" t="n">
        <x:v>17037.52</x:v>
      </x:c>
      <x:c r="F292" s="11" t="n">
        <x:v>206.70000000000002</x:v>
      </x:c>
      <x:c r="G292" s="11" t="n">
        <x:v>16830.82</x:v>
      </x:c>
      <x:c r="H292" s="23" t="n">
        <x:v>0.0008297328401242255</x:v>
      </x:c>
      <x:c r="I292" s="23" t="n">
        <x:v>0.4940089687748459</x:v>
      </x:c>
      <x:c r="J292" s="2" t="n">
        <x:v>536</x:v>
      </x:c>
      <x:c r="K292" s="2"/>
      <x:c r="L292" s="2"/>
    </x:row>
    <x:row r="293" ht="22" customHeight="1">
      <x:c r="A293" s="2"/>
      <x:c r="B293" s="2" t="n">
        <x:v>260</x:v>
      </x:c>
      <x:c r="C293" s="2" t="str">
        <x:v>21156</x:v>
      </x:c>
      <x:c r="D293" s="2" t="str">
        <x:v>RETROSPOT CHILDRENS APRON</x:v>
      </x:c>
      <x:c r="E293" s="11" t="n">
        <x:v>17017.88</x:v>
      </x:c>
      <x:c r="F293" s="11" t="n">
        <x:v>142.35</x:v>
      </x:c>
      <x:c r="G293" s="11" t="n">
        <x:v>16875.53</x:v>
      </x:c>
      <x:c r="H293" s="23" t="n">
        <x:v>0.0008287763656502387</x:v>
      </x:c>
      <x:c r="I293" s="23" t="n">
        <x:v>0.49483774514049617</x:v>
      </x:c>
      <x:c r="J293" s="2" t="n">
        <x:v>930</x:v>
      </x:c>
      <x:c r="K293" s="2"/>
      <x:c r="L293" s="2"/>
    </x:row>
    <x:row r="294" ht="22" customHeight="1">
      <x:c r="A294" s="2"/>
      <x:c r="B294" s="2" t="n">
        <x:v>261</x:v>
      </x:c>
      <x:c r="C294" s="2" t="str">
        <x:v>22654</x:v>
      </x:c>
      <x:c r="D294" s="2" t="str">
        <x:v>DELUXE SEWING KIT </x:v>
      </x:c>
      <x:c r="E294" s="11" t="n">
        <x:v>17006.97</x:v>
      </x:c>
      <x:c r="F294" s="11" t="n">
        <x:v>306.40000000000003</x:v>
      </x:c>
      <x:c r="G294" s="11" t="n">
        <x:v>16700.57</x:v>
      </x:c>
      <x:c r="H294" s="23" t="n">
        <x:v>0.0008282450450539457</x:v>
      </x:c>
      <x:c r="I294" s="23" t="n">
        <x:v>0.49566599018555013</x:v>
      </x:c>
      <x:c r="J294" s="2" t="n">
        <x:v>597</x:v>
      </x:c>
      <x:c r="K294" s="2"/>
      <x:c r="L294" s="2"/>
    </x:row>
    <x:row r="295" ht="22" customHeight="1">
      <x:c r="A295" s="2"/>
      <x:c r="B295" s="2" t="n">
        <x:v>262</x:v>
      </x:c>
      <x:c r="C295" s="2" t="str">
        <x:v>21535</x:v>
      </x:c>
      <x:c r="D295" s="2" t="str">
        <x:v>RED RETROSPOT SMALL MILK JUG</x:v>
      </x:c>
      <x:c r="E295" s="11" t="n">
        <x:v>16921.149999999998</x:v>
      </x:c>
      <x:c r="F295" s="11" t="n">
        <x:v>223.04999999999998</x:v>
      </x:c>
      <x:c r="G295" s="11" t="n">
        <x:v>16698.1</x:v>
      </x:c>
      <x:c r="H295" s="23" t="n">
        <x:v>0.0008240655827648647</x:v>
      </x:c>
      <x:c r="I295" s="23" t="n">
        <x:v>0.496490055768315</x:v>
      </x:c>
      <x:c r="J295" s="2" t="n">
        <x:v>1111</x:v>
      </x:c>
      <x:c r="K295" s="2"/>
      <x:c r="L295" s="2"/>
    </x:row>
    <x:row r="296" ht="22" customHeight="1">
      <x:c r="A296" s="2"/>
      <x:c r="B296" s="2" t="n">
        <x:v>263</x:v>
      </x:c>
      <x:c r="C296" s="2" t="str">
        <x:v>22652</x:v>
      </x:c>
      <x:c r="D296" s="2" t="str">
        <x:v>TRAVEL SEWING KIT</x:v>
      </x:c>
      <x:c r="E296" s="11" t="n">
        <x:v>16822.1</x:v>
      </x:c>
      <x:c r="F296" s="11" t="n">
        <x:v>92.39999999999999</x:v>
      </x:c>
      <x:c r="G296" s="11" t="n">
        <x:v>16729.7</x:v>
      </x:c>
      <x:c r="H296" s="23" t="n">
        <x:v>0.0008192418151147428</x:v>
      </x:c>
      <x:c r="I296" s="23" t="n">
        <x:v>0.49730929758342973</x:v>
      </x:c>
      <x:c r="J296" s="2" t="n">
        <x:v>830</x:v>
      </x:c>
      <x:c r="K296" s="2"/>
      <x:c r="L296" s="2"/>
    </x:row>
    <x:row r="297" ht="22" customHeight="1">
      <x:c r="A297" s="2"/>
      <x:c r="B297" s="2" t="n">
        <x:v>264</x:v>
      </x:c>
      <x:c r="C297" s="2" t="str">
        <x:v>21533</x:v>
      </x:c>
      <x:c r="D297" s="2" t="str">
        <x:v>RETROSPOT LARGE MILK JUG</x:v>
      </x:c>
      <x:c r="E297" s="11" t="n">
        <x:v>16793.07</x:v>
      </x:c>
      <x:c r="F297" s="11" t="n">
        <x:v>375</x:v>
      </x:c>
      <x:c r="G297" s="11" t="n">
        <x:v>16418.07</x:v>
      </x:c>
      <x:c r="H297" s="23" t="n">
        <x:v>0.0008178280445455047</x:v>
      </x:c>
      <x:c r="I297" s="23" t="n">
        <x:v>0.49812712562797523</x:v>
      </x:c>
      <x:c r="J297" s="2" t="n">
        <x:v>954</x:v>
      </x:c>
      <x:c r="K297" s="2"/>
      <x:c r="L297" s="2"/>
    </x:row>
    <x:row r="298" ht="22" customHeight="1">
      <x:c r="A298" s="2"/>
      <x:c r="B298" s="2" t="n">
        <x:v>265</x:v>
      </x:c>
      <x:c r="C298" s="2" t="str">
        <x:v>21164</x:v>
      </x:c>
      <x:c r="D298" s="2" t="str">
        <x:v>HOME SWEET HOME METAL SIGN </x:v>
      </x:c>
      <x:c r="E298" s="11" t="n">
        <x:v>16679.510000000002</x:v>
      </x:c>
      <x:c r="F298" s="11" t="n">
        <x:v>64.9</x:v>
      </x:c>
      <x:c r="G298" s="11" t="n">
        <x:v>16614.61</x:v>
      </x:c>
      <x:c r="H298" s="23" t="n">
        <x:v>0.000812297635112412</x:v>
      </x:c>
      <x:c r="I298" s="23" t="n">
        <x:v>0.49893942326308766</x:v>
      </x:c>
      <x:c r="J298" s="2" t="n">
        <x:v>721</x:v>
      </x:c>
      <x:c r="K298" s="2"/>
      <x:c r="L298" s="2"/>
    </x:row>
    <x:row r="299" ht="22" customHeight="1">
      <x:c r="A299" s="2"/>
      <x:c r="B299" s="2" t="n">
        <x:v>266</x:v>
      </x:c>
      <x:c r="C299" s="2" t="str">
        <x:v>72760B</x:v>
      </x:c>
      <x:c r="D299" s="2" t="str">
        <x:v>VINTAGE CREAM 3 BASKET CAKE STAND</x:v>
      </x:c>
      <x:c r="E299" s="11" t="n">
        <x:v>16634.41</x:v>
      </x:c>
      <x:c r="F299" s="11" t="n">
        <x:v>170.34</x:v>
      </x:c>
      <x:c r="G299" s="11" t="n">
        <x:v>16464.07</x:v>
      </x:c>
      <x:c r="H299" s="23" t="n">
        <x:v>0.0008101012502459759</x:v>
      </x:c>
      <x:c r="I299" s="23" t="n">
        <x:v>0.49974952451333365</x:v>
      </x:c>
      <x:c r="J299" s="2" t="n">
        <x:v>494</x:v>
      </x:c>
      <x:c r="K299" s="2"/>
      <x:c r="L299" s="2"/>
    </x:row>
    <x:row r="300" ht="22" customHeight="1">
      <x:c r="A300" s="2"/>
      <x:c r="B300" s="2" t="n">
        <x:v>267</x:v>
      </x:c>
      <x:c r="C300" s="2" t="str">
        <x:v>22993</x:v>
      </x:c>
      <x:c r="D300" s="2" t="str">
        <x:v>SET OF 4 PANTRY JELLY MOULDS</x:v>
      </x:c>
      <x:c r="E300" s="11" t="n">
        <x:v>16507.23</x:v>
      </x:c>
      <x:c r="F300" s="11" t="n">
        <x:v>85</x:v>
      </x:c>
      <x:c r="G300" s="11" t="n">
        <x:v>16422.23</x:v>
      </x:c>
      <x:c r="H300" s="23" t="n">
        <x:v>0.0008039075423232852</x:v>
      </x:c>
      <x:c r="I300" s="23" t="n">
        <x:v>0.5005534320556569</x:v>
      </x:c>
      <x:c r="J300" s="2" t="n">
        <x:v>1073</x:v>
      </x:c>
      <x:c r="K300" s="2"/>
      <x:c r="L300" s="2"/>
    </x:row>
    <x:row r="301" ht="22" customHeight="1">
      <x:c r="A301" s="2"/>
      <x:c r="B301" s="2" t="n">
        <x:v>268</x:v>
      </x:c>
      <x:c r="C301" s="2" t="str">
        <x:v>22837</x:v>
      </x:c>
      <x:c r="D301" s="2" t="str">
        <x:v>HOT WATER BOTTLE BABUSHKA </x:v>
      </x:c>
      <x:c r="E301" s="11" t="n">
        <x:v>16487.73</x:v>
      </x:c>
      <x:c r="F301" s="11" t="n">
        <x:v>157.65</x:v>
      </x:c>
      <x:c r="G301" s="11" t="n">
        <x:v>16330.08</x:v>
      </x:c>
      <x:c r="H301" s="23" t="n">
        <x:v>0.000802957885895447</x:v>
      </x:c>
      <x:c r="I301" s="23" t="n">
        <x:v>0.5013563899415524</x:v>
      </x:c>
      <x:c r="J301" s="2" t="n">
        <x:v>450</x:v>
      </x:c>
      <x:c r="K301" s="2"/>
      <x:c r="L301" s="2"/>
    </x:row>
    <x:row r="302" ht="22" customHeight="1">
      <x:c r="A302" s="2"/>
      <x:c r="B302" s="2" t="n">
        <x:v>269</x:v>
      </x:c>
      <x:c r="C302" s="2" t="str">
        <x:v>22487</x:v>
      </x:c>
      <x:c r="D302" s="2" t="str">
        <x:v>WHITE WOOD GARDEN PLANT LADDER</x:v>
      </x:c>
      <x:c r="E302" s="11" t="n">
        <x:v>16393.6</x:v>
      </x:c>
      <x:c r="F302" s="11" t="n">
        <x:v>645.55</x:v>
      </x:c>
      <x:c r="G302" s="11" t="n">
        <x:v>15748.05</x:v>
      </x:c>
      <x:c r="H302" s="23" t="n">
        <x:v>0.0007983737238671182</x:v>
      </x:c>
      <x:c r="I302" s="23" t="n">
        <x:v>0.5021547636654196</x:v>
      </x:c>
      <x:c r="J302" s="2" t="n">
        <x:v>898</x:v>
      </x:c>
      <x:c r="K302" s="2"/>
      <x:c r="L302" s="2"/>
    </x:row>
    <x:row r="303" ht="22" customHeight="1">
      <x:c r="A303" s="2"/>
      <x:c r="B303" s="2" t="n">
        <x:v>270</x:v>
      </x:c>
      <x:c r="C303" s="2" t="str">
        <x:v>21155</x:v>
      </x:c>
      <x:c r="D303" s="2" t="str">
        <x:v>RED RETROSPOT PEG BAG</x:v>
      </x:c>
      <x:c r="E303" s="11" t="n">
        <x:v>16360.79</x:v>
      </x:c>
      <x:c r="F303" s="11" t="n">
        <x:v>562.69</x:v>
      </x:c>
      <x:c r="G303" s="11" t="n">
        <x:v>15798.1</x:v>
      </x:c>
      <x:c r="H303" s="23" t="n">
        <x:v>0.0007967758660518684</x:v>
      </x:c>
      <x:c r="I303" s="23" t="n">
        <x:v>0.5029515395314714</x:v>
      </x:c>
      <x:c r="J303" s="2" t="n">
        <x:v>969</x:v>
      </x:c>
      <x:c r="K303" s="2"/>
      <x:c r="L303" s="2"/>
    </x:row>
    <x:row r="304" ht="22" customHeight="1">
      <x:c r="A304" s="2"/>
      <x:c r="B304" s="2" t="n">
        <x:v>271</x:v>
      </x:c>
      <x:c r="C304" s="2" t="str">
        <x:v>23301</x:v>
      </x:c>
      <x:c r="D304" s="2" t="str">
        <x:v>GARDENERS KNEELING PAD KEEP CALM </x:v>
      </x:c>
      <x:c r="E304" s="11" t="n">
        <x:v>16357.05</x:v>
      </x:c>
      <x:c r="F304" s="11" t="n">
        <x:v>168.89999999999998</x:v>
      </x:c>
      <x:c r="G304" s="11" t="n">
        <x:v>16188.15</x:v>
      </x:c>
      <x:c r="H304" s="23" t="n">
        <x:v>0.0007965937268190419</x:v>
      </x:c>
      <x:c r="I304" s="23" t="n">
        <x:v>0.5037481332582905</x:v>
      </x:c>
      <x:c r="J304" s="2" t="n">
        <x:v>913</x:v>
      </x:c>
      <x:c r="K304" s="2"/>
      <x:c r="L304" s="2"/>
    </x:row>
    <x:row r="305" ht="22" customHeight="1">
      <x:c r="A305" s="2"/>
      <x:c r="B305" s="2" t="n">
        <x:v>272</x:v>
      </x:c>
      <x:c r="C305" s="2" t="str">
        <x:v>22191</x:v>
      </x:c>
      <x:c r="D305" s="2" t="str">
        <x:v>IVORY DINER WALL CLOCK</x:v>
      </x:c>
      <x:c r="E305" s="11" t="n">
        <x:v>16284.050000000001</x:v>
      </x:c>
      <x:c r="F305" s="11" t="n">
        <x:v>2703.8500000000004</x:v>
      </x:c>
      <x:c r="G305" s="11" t="n">
        <x:v>13580.2</x:v>
      </x:c>
      <x:c r="H305" s="23" t="n">
        <x:v>0.0007930386027558527</x:v>
      </x:c>
      <x:c r="I305" s="23" t="n">
        <x:v>0.5045411718610463</x:v>
      </x:c>
      <x:c r="J305" s="2" t="n">
        <x:v>620</x:v>
      </x:c>
      <x:c r="K305" s="2"/>
      <x:c r="L305" s="2"/>
    </x:row>
    <x:row r="306" ht="22" customHeight="1">
      <x:c r="A306" s="2"/>
      <x:c r="B306" s="2" t="n">
        <x:v>273</x:v>
      </x:c>
      <x:c r="C306" s="2" t="str">
        <x:v>22662</x:v>
      </x:c>
      <x:c r="D306" s="2" t="str">
        <x:v>LUNCH BAG DOLLY GIRL DESIGN</x:v>
      </x:c>
      <x:c r="E306" s="11" t="n">
        <x:v>16266.41</x:v>
      </x:c>
      <x:c r="F306" s="11" t="n">
        <x:v>112.2</x:v>
      </x:c>
      <x:c r="G306" s="11" t="n">
        <x:v>16154.21</x:v>
      </x:c>
      <x:c r="H306" s="23" t="n">
        <x:v>0.0007921795289411313</x:v>
      </x:c>
      <x:c r="I306" s="23" t="n">
        <x:v>0.5053333513899875</x:v>
      </x:c>
      <x:c r="J306" s="2" t="n">
        <x:v>994</x:v>
      </x:c>
      <x:c r="K306" s="2"/>
      <x:c r="L306" s="2"/>
    </x:row>
    <x:row r="307" ht="22" customHeight="1">
      <x:c r="A307" s="2"/>
      <x:c r="B307" s="2" t="n">
        <x:v>274</x:v>
      </x:c>
      <x:c r="C307" s="2" t="str">
        <x:v>22296</x:v>
      </x:c>
      <x:c r="D307" s="2" t="str">
        <x:v>HEART IVORY TRELLIS LARGE</x:v>
      </x:c>
      <x:c r="E307" s="11" t="n">
        <x:v>16222.259999999998</x:v>
      </x:c>
      <x:c r="F307" s="11" t="n">
        <x:v>13.2</x:v>
      </x:c>
      <x:c r="G307" s="11" t="n">
        <x:v>16209.059999999998</x:v>
      </x:c>
      <x:c r="H307" s="23" t="n">
        <x:v>0.0007900294093878462</x:v>
      </x:c>
      <x:c r="I307" s="23" t="n">
        <x:v>0.5061233807993754</x:v>
      </x:c>
      <x:c r="J307" s="2" t="n">
        <x:v>833</x:v>
      </x:c>
      <x:c r="K307" s="2"/>
      <x:c r="L307" s="2"/>
    </x:row>
    <x:row r="308" ht="22" customHeight="1">
      <x:c r="A308" s="2"/>
      <x:c r="B308" s="2" t="n">
        <x:v>275</x:v>
      </x:c>
      <x:c r="C308" s="2" t="str">
        <x:v>22193</x:v>
      </x:c>
      <x:c r="D308" s="2" t="str">
        <x:v>RED DINER WALL CLOCK</x:v>
      </x:c>
      <x:c r="E308" s="11" t="n">
        <x:v>16177.480000000001</x:v>
      </x:c>
      <x:c r="F308" s="11" t="n">
        <x:v>319.6</x:v>
      </x:c>
      <x:c r="G308" s="11" t="n">
        <x:v>15857.880000000001</x:v>
      </x:c>
      <x:c r="H308" s="23" t="n">
        <x:v>0.0007878486086268927</x:v>
      </x:c>
      <x:c r="I308" s="23" t="n">
        <x:v>0.5069112294080023</x:v>
      </x:c>
      <x:c r="J308" s="2" t="n">
        <x:v>617</x:v>
      </x:c>
      <x:c r="K308" s="2"/>
      <x:c r="L308" s="2"/>
    </x:row>
    <x:row r="309" ht="22" customHeight="1">
      <x:c r="A309" s="2"/>
      <x:c r="B309" s="2" t="n">
        <x:v>276</x:v>
      </x:c>
      <x:c r="C309" s="2" t="str">
        <x:v>22634</x:v>
      </x:c>
      <x:c r="D309" s="2" t="str">
        <x:v>CHILDS BREAKFAST SET SPACEBOY </x:v>
      </x:c>
      <x:c r="E309" s="11" t="n">
        <x:v>16036.1</x:v>
      </x:c>
      <x:c r="F309" s="11" t="n">
        <x:v>906.3</x:v>
      </x:c>
      <x:c r="G309" s="11" t="n">
        <x:v>15129.8</x:v>
      </x:c>
      <x:c r="H309" s="23" t="n">
        <x:v>0.0007809633560234173</x:v>
      </x:c>
      <x:c r="I309" s="23" t="n">
        <x:v>0.5076921927640257</x:v>
      </x:c>
      <x:c r="J309" s="2" t="n">
        <x:v>499</x:v>
      </x:c>
      <x:c r="K309" s="2"/>
      <x:c r="L309" s="2"/>
    </x:row>
    <x:row r="310" ht="22" customHeight="1">
      <x:c r="A310" s="2"/>
      <x:c r="B310" s="2" t="n">
        <x:v>277</x:v>
      </x:c>
      <x:c r="C310" s="2" t="str">
        <x:v>21877</x:v>
      </x:c>
      <x:c r="D310" s="2" t="str">
        <x:v>HOME SWEET HOME MUG</x:v>
      </x:c>
      <x:c r="E310" s="11" t="n">
        <x:v>15996.8</x:v>
      </x:c>
      <x:c r="F310" s="11" t="n">
        <x:v>1176.82</x:v>
      </x:c>
      <x:c r="G310" s="11" t="n">
        <x:v>14819.98</x:v>
      </x:c>
      <x:c r="H310" s="23" t="n">
        <x:v>0.000779049433068851</x:v>
      </x:c>
      <x:c r="I310" s="23" t="n">
        <x:v>0.5084712421970945</x:v>
      </x:c>
      <x:c r="J310" s="2" t="n">
        <x:v>755</x:v>
      </x:c>
      <x:c r="K310" s="2"/>
      <x:c r="L310" s="2"/>
    </x:row>
    <x:row r="311" ht="22" customHeight="1">
      <x:c r="A311" s="2"/>
      <x:c r="B311" s="2" t="n">
        <x:v>278</x:v>
      </x:c>
      <x:c r="C311" s="2" t="str">
        <x:v>22692</x:v>
      </x:c>
      <x:c r="D311" s="2" t="str">
        <x:v>DOORMAT WELCOME TO OUR HOME</x:v>
      </x:c>
      <x:c r="E311" s="11" t="n">
        <x:v>15982.45</x:v>
      </x:c>
      <x:c r="F311" s="11" t="n">
        <x:v>665.0500000000001</x:v>
      </x:c>
      <x:c r="G311" s="11" t="n">
        <x:v>15317.4</x:v>
      </x:c>
      <x:c r="H311" s="23" t="n">
        <x:v>0.0007783505833386214</x:v>
      </x:c>
      <x:c r="I311" s="23" t="n">
        <x:v>0.5092495927804331</x:v>
      </x:c>
      <x:c r="J311" s="2" t="n">
        <x:v>606</x:v>
      </x:c>
      <x:c r="K311" s="2"/>
      <x:c r="L311" s="2"/>
    </x:row>
    <x:row r="312" ht="22" customHeight="1">
      <x:c r="A312" s="2"/>
      <x:c r="B312" s="2" t="n">
        <x:v>279</x:v>
      </x:c>
      <x:c r="C312" s="2" t="str">
        <x:v>35004C</x:v>
      </x:c>
      <x:c r="D312" s="2" t="str">
        <x:v>SET OF 3 COLOURED  FLYING DUCKS</x:v>
      </x:c>
      <x:c r="E312" s="11" t="n">
        <x:v>15896.18</x:v>
      </x:c>
      <x:c r="F312" s="11" t="n">
        <x:v>426.8</x:v>
      </x:c>
      <x:c r="G312" s="11" t="n">
        <x:v>15469.380000000001</x:v>
      </x:c>
      <x:c r="H312" s="23" t="n">
        <x:v>0.0007741492059012058</x:v>
      </x:c>
      <x:c r="I312" s="23" t="n">
        <x:v>0.5100237419863344</x:v>
      </x:c>
      <x:c r="J312" s="2" t="n">
        <x:v>355</x:v>
      </x:c>
      <x:c r="K312" s="2"/>
      <x:c r="L312" s="2"/>
    </x:row>
    <x:row r="313" ht="22" customHeight="1">
      <x:c r="A313" s="2"/>
      <x:c r="B313" s="2" t="n">
        <x:v>280</x:v>
      </x:c>
      <x:c r="C313" s="2" t="str">
        <x:v>22759</x:v>
      </x:c>
      <x:c r="D313" s="2" t="str">
        <x:v>check</x:v>
      </x:c>
      <x:c r="E313" s="11" t="n">
        <x:v>15894.609999999999</x:v>
      </x:c>
      <x:c r="F313" s="11" t="n">
        <x:v>42.89999999999999</x:v>
      </x:c>
      <x:c r="G313" s="11" t="n">
        <x:v>15851.71</x:v>
      </x:c>
      <x:c r="H313" s="23" t="n">
        <x:v>0.0007740727463836823</x:v>
      </x:c>
      <x:c r="I313" s="23" t="n">
        <x:v>0.510797814732718</x:v>
      </x:c>
      <x:c r="J313" s="2" t="n">
        <x:v>795</x:v>
      </x:c>
      <x:c r="K313" s="2"/>
      <x:c r="L313" s="2"/>
    </x:row>
    <x:row r="314" ht="22" customHeight="1">
      <x:c r="A314" s="2"/>
      <x:c r="B314" s="2" t="n">
        <x:v>281</x:v>
      </x:c>
      <x:c r="C314" s="2" t="str">
        <x:v>22690</x:v>
      </x:c>
      <x:c r="D314" s="2" t="str">
        <x:v>DOORMAT HOME SWEET HOME BLUE </x:v>
      </x:c>
      <x:c r="E314" s="11" t="n">
        <x:v>15859.74</x:v>
      </x:c>
      <x:c r="F314" s="11" t="n">
        <x:v>48.3</x:v>
      </x:c>
      <x:c r="G314" s="11" t="n">
        <x:v>15811.44</x:v>
      </x:c>
      <x:c r="H314" s="23" t="n">
        <x:v>0.0007723745658893891</x:v>
      </x:c>
      <x:c r="I314" s="23" t="n">
        <x:v>0.5115701892986074</x:v>
      </x:c>
      <x:c r="J314" s="2" t="n">
        <x:v>437</x:v>
      </x:c>
      <x:c r="K314" s="2"/>
      <x:c r="L314" s="2"/>
    </x:row>
    <x:row r="315" ht="22" customHeight="1">
      <x:c r="A315" s="2"/>
      <x:c r="B315" s="2" t="n">
        <x:v>282</x:v>
      </x:c>
      <x:c r="C315" s="2" t="str">
        <x:v>22635</x:v>
      </x:c>
      <x:c r="D315" s="2" t="str">
        <x:v>CHILDS BREAKFAST SET DOLLY GIRL </x:v>
      </x:c>
      <x:c r="E315" s="11" t="n">
        <x:v>15834.81</x:v>
      </x:c>
      <x:c r="F315" s="11" t="n">
        <x:v>1113.4499999999998</x:v>
      </x:c>
      <x:c r="G315" s="11" t="n">
        <x:v>14721.359999999999</x:v>
      </x:c>
      <x:c r="H315" s="23" t="n">
        <x:v>0.0007711604666716451</x:v>
      </x:c>
      <x:c r="I315" s="23" t="n">
        <x:v>0.5123413497652791</x:v>
      </x:c>
      <x:c r="J315" s="2" t="n">
        <x:v>485</x:v>
      </x:c>
      <x:c r="K315" s="2"/>
      <x:c r="L315" s="2"/>
    </x:row>
    <x:row r="316" ht="22" customHeight="1">
      <x:c r="A316" s="2"/>
      <x:c r="B316" s="2" t="n">
        <x:v>283</x:v>
      </x:c>
      <x:c r="C316" s="2" t="str">
        <x:v>23313</x:v>
      </x:c>
      <x:c r="D316" s="2" t="str">
        <x:v>VINTAGE CHRISTMAS BUNTING</x:v>
      </x:c>
      <x:c r="E316" s="11" t="n">
        <x:v>15833.310000000001</x:v>
      </x:c>
      <x:c r="F316" s="11" t="n">
        <x:v>64.35</x:v>
      </x:c>
      <x:c r="G316" s="11" t="n">
        <x:v>15768.960000000001</x:v>
      </x:c>
      <x:c r="H316" s="23" t="n">
        <x:v>0.0007710874161771961</x:v>
      </x:c>
      <x:c r="I316" s="23" t="n">
        <x:v>0.5131124371814563</x:v>
      </x:c>
      <x:c r="J316" s="2" t="n">
        <x:v>401</x:v>
      </x:c>
      <x:c r="K316" s="2"/>
      <x:c r="L316" s="2"/>
    </x:row>
    <x:row r="317" ht="22" customHeight="1">
      <x:c r="A317" s="2"/>
      <x:c r="B317" s="2" t="n">
        <x:v>284</x:v>
      </x:c>
      <x:c r="C317" s="2" t="str">
        <x:v>22367</x:v>
      </x:c>
      <x:c r="D317" s="2" t="str">
        <x:v>CHILDRENS APRON SPACEBOY DESIGN</x:v>
      </x:c>
      <x:c r="E317" s="11" t="n">
        <x:v>15811.82</x:v>
      </x:c>
      <x:c r="F317" s="11" t="n">
        <x:v>101.39999999999999</x:v>
      </x:c>
      <x:c r="G317" s="11" t="n">
        <x:v>15710.42</x:v>
      </x:c>
      <x:c r="H317" s="23" t="n">
        <x:v>0.0007700408460933886</x:v>
      </x:c>
      <x:c r="I317" s="23" t="n">
        <x:v>0.5138824780275496</x:v>
      </x:c>
      <x:c r="J317" s="2" t="n">
        <x:v>1156</x:v>
      </x:c>
      <x:c r="K317" s="2"/>
      <x:c r="L317" s="2"/>
    </x:row>
    <x:row r="318" ht="22" customHeight="1">
      <x:c r="A318" s="2"/>
      <x:c r="B318" s="2" t="n">
        <x:v>285</x:v>
      </x:c>
      <x:c r="C318" s="2" t="str">
        <x:v>84375</x:v>
      </x:c>
      <x:c r="D318" s="2" t="str">
        <x:v>SET OF 20 KIDS COOKIE CUTTERS</x:v>
      </x:c>
      <x:c r="E318" s="11" t="n">
        <x:v>15794.28</x:v>
      </x:c>
      <x:c r="F318" s="11" t="n">
        <x:v>120.89999999999999</x:v>
      </x:c>
      <x:c r="G318" s="11" t="n">
        <x:v>15673.380000000001</x:v>
      </x:c>
      <x:c r="H318" s="23" t="n">
        <x:v>0.0007691866423116307</x:v>
      </x:c>
      <x:c r="I318" s="23" t="n">
        <x:v>0.5146516646698612</x:v>
      </x:c>
      <x:c r="J318" s="2" t="n">
        <x:v>796</x:v>
      </x:c>
      <x:c r="K318" s="2"/>
      <x:c r="L318" s="2"/>
    </x:row>
    <x:row r="319" ht="22" customHeight="1">
      <x:c r="A319" s="2"/>
      <x:c r="B319" s="2" t="n">
        <x:v>286</x:v>
      </x:c>
      <x:c r="C319" s="2" t="str">
        <x:v>22170</x:v>
      </x:c>
      <x:c r="D319" s="2" t="str">
        <x:v>PICTURE FRAME WOOD TRIPLE PORTRAIT</x:v>
      </x:c>
      <x:c r="E319" s="11" t="n">
        <x:v>15753.27</x:v>
      </x:c>
      <x:c r="F319" s="11" t="n">
        <x:v>581.9</x:v>
      </x:c>
      <x:c r="G319" s="11" t="n">
        <x:v>15171.37</x:v>
      </x:c>
      <x:c r="H319" s="23" t="n">
        <x:v>0.0007671894417933924</x:v>
      </x:c>
      <x:c r="I319" s="23" t="n">
        <x:v>0.5154188541116547</x:v>
      </x:c>
      <x:c r="J319" s="2" t="n">
        <x:v>575</x:v>
      </x:c>
      <x:c r="K319" s="2"/>
      <x:c r="L319" s="2"/>
    </x:row>
    <x:row r="320" ht="22" customHeight="1">
      <x:c r="A320" s="2"/>
      <x:c r="B320" s="2" t="n">
        <x:v>287</x:v>
      </x:c>
      <x:c r="C320" s="2" t="str">
        <x:v>22619</x:v>
      </x:c>
      <x:c r="D320" s="2" t="str">
        <x:v>SET OF 6 SOLDIER SKITTLES</x:v>
      </x:c>
      <x:c r="E320" s="11" t="n">
        <x:v>15668.84</x:v>
      </x:c>
      <x:c r="F320" s="11" t="n">
        <x:v>37.5</x:v>
      </x:c>
      <x:c r="G320" s="11" t="n">
        <x:v>15631.34</x:v>
      </x:c>
      <x:c r="H320" s="23" t="n">
        <x:v>0.000763077672962501</x:v>
      </x:c>
      <x:c r="I320" s="23" t="n">
        <x:v>0.5161819317846171</x:v>
      </x:c>
      <x:c r="J320" s="2" t="n">
        <x:v>708</x:v>
      </x:c>
      <x:c r="K320" s="2"/>
      <x:c r="L320" s="2"/>
    </x:row>
    <x:row r="321" ht="22" customHeight="1">
      <x:c r="A321" s="2"/>
      <x:c r="B321" s="2" t="n">
        <x:v>288</x:v>
      </x:c>
      <x:c r="C321" s="2" t="str">
        <x:v>22333</x:v>
      </x:c>
      <x:c r="D321" s="2" t="str">
        <x:v>RETROSPOT PARTY BAG + STICKER SET</x:v>
      </x:c>
      <x:c r="E321" s="11" t="n">
        <x:v>15651.199999999999</x:v>
      </x:c>
      <x:c r="F321" s="11" t="n">
        <x:v>1947.8999999999999</x:v>
      </x:c>
      <x:c r="G321" s="11" t="n">
        <x:v>13703.3</x:v>
      </x:c>
      <x:c r="H321" s="23" t="n">
        <x:v>0.0007622185991477796</x:v>
      </x:c>
      <x:c r="I321" s="23" t="n">
        <x:v>0.516944150383765</x:v>
      </x:c>
      <x:c r="J321" s="2" t="n">
        <x:v>697</x:v>
      </x:c>
      <x:c r="K321" s="2"/>
      <x:c r="L321" s="2"/>
    </x:row>
    <x:row r="322" ht="22" customHeight="1">
      <x:c r="A322" s="2"/>
      <x:c r="B322" s="2" t="n">
        <x:v>289</x:v>
      </x:c>
      <x:c r="C322" s="2" t="str">
        <x:v>21891</x:v>
      </x:c>
      <x:c r="D322" s="2" t="str">
        <x:v>TRADITIONAL WOODEN SKIPPING ROPE</x:v>
      </x:c>
      <x:c r="E322" s="11" t="n">
        <x:v>15588.9</x:v>
      </x:c>
      <x:c r="F322" s="11" t="n">
        <x:v>118.07</x:v>
      </x:c>
      <x:c r="G322" s="11" t="n">
        <x:v>15470.83</x:v>
      </x:c>
      <x:c r="H322" s="23" t="n">
        <x:v>0.0007591845686116606</x:v>
      </x:c>
      <x:c r="I322" s="23" t="n">
        <x:v>0.5177033349523766</x:v>
      </x:c>
      <x:c r="J322" s="2" t="n">
        <x:v>835</x:v>
      </x:c>
      <x:c r="K322" s="2"/>
      <x:c r="L322" s="2"/>
    </x:row>
    <x:row r="323" ht="22" customHeight="1">
      <x:c r="A323" s="2"/>
      <x:c r="B323" s="2" t="n">
        <x:v>290</x:v>
      </x:c>
      <x:c r="C323" s="2" t="str">
        <x:v>22749</x:v>
      </x:c>
      <x:c r="D323" s="2" t="str">
        <x:v>FELTCRAFT PRINCESS CHARLOTTE DOLL</x:v>
      </x:c>
      <x:c r="E323" s="11" t="n">
        <x:v>15429.35</x:v>
      </x:c>
      <x:c r="F323" s="11" t="n">
        <x:v>3.75</x:v>
      </x:c>
      <x:c r="G323" s="11" t="n">
        <x:v>15425.6</x:v>
      </x:c>
      <x:c r="H323" s="23" t="n">
        <x:v>0.0007514144310187586</x:v>
      </x:c>
      <x:c r="I323" s="23" t="n">
        <x:v>0.5184547493833954</x:v>
      </x:c>
      <x:c r="J323" s="2" t="n">
        <x:v>685</x:v>
      </x:c>
      <x:c r="K323" s="2"/>
      <x:c r="L323" s="2"/>
    </x:row>
    <x:row r="324" ht="22" customHeight="1">
      <x:c r="A324" s="2"/>
      <x:c r="B324" s="2" t="n">
        <x:v>291</x:v>
      </x:c>
      <x:c r="C324" s="2" t="str">
        <x:v>22173</x:v>
      </x:c>
      <x:c r="D324" s="2" t="str">
        <x:v>METAL 4 HOOK HANGER FRENCH CHATEAU</x:v>
      </x:c>
      <x:c r="E324" s="11" t="n">
        <x:v>15426.65</x:v>
      </x:c>
      <x:c r="F324" s="11" t="n">
        <x:v>399.71999999999997</x:v>
      </x:c>
      <x:c r="G324" s="11" t="n">
        <x:v>15026.93</x:v>
      </x:c>
      <x:c r="H324" s="23" t="n">
        <x:v>0.0007512829401287502</x:v>
      </x:c>
      <x:c r="I324" s="23" t="n">
        <x:v>0.5192060323235241</x:v>
      </x:c>
      <x:c r="J324" s="2" t="n">
        <x:v>997</x:v>
      </x:c>
      <x:c r="K324" s="2"/>
      <x:c r="L324" s="2"/>
    </x:row>
    <x:row r="325" ht="22" customHeight="1">
      <x:c r="A325" s="2"/>
      <x:c r="B325" s="2" t="n">
        <x:v>292</x:v>
      </x:c>
      <x:c r="C325" s="2" t="str">
        <x:v>84378</x:v>
      </x:c>
      <x:c r="D325" s="2" t="str">
        <x:v>SET OF 3 HEART COOKIE CUTTERS</x:v>
      </x:c>
      <x:c r="E325" s="11" t="n">
        <x:v>15417.19</x:v>
      </x:c>
      <x:c r="F325" s="11" t="n">
        <x:v>116.06</x:v>
      </x:c>
      <x:c r="G325" s="11" t="n">
        <x:v>15301.13</x:v>
      </x:c>
      <x:c r="H325" s="23" t="n">
        <x:v>0.0007508222350104246</x:v>
      </x:c>
      <x:c r="I325" s="23" t="n">
        <x:v>0.5199568545585346</x:v>
      </x:c>
      <x:c r="J325" s="2" t="n">
        <x:v>1248</x:v>
      </x:c>
      <x:c r="K325" s="2"/>
      <x:c r="L325" s="2"/>
    </x:row>
    <x:row r="326" ht="22" customHeight="1">
      <x:c r="A326" s="2"/>
      <x:c r="B326" s="2" t="n">
        <x:v>293</x:v>
      </x:c>
      <x:c r="C326" s="2" t="str">
        <x:v>21844</x:v>
      </x:c>
      <x:c r="D326" s="2" t="str">
        <x:v>RED RETROSPOT MUG</x:v>
      </x:c>
      <x:c r="E326" s="11" t="n">
        <x:v>15367.79</x:v>
      </x:c>
      <x:c r="F326" s="11" t="n">
        <x:v>141.20000000000002</x:v>
      </x:c>
      <x:c r="G326" s="11" t="n">
        <x:v>15226.59</x:v>
      </x:c>
      <x:c r="H326" s="23" t="n">
        <x:v>0.0007484164387265678</x:v>
      </x:c>
      <x:c r="I326" s="23" t="n">
        <x:v>0.5207052709972612</x:v>
      </x:c>
      <x:c r="J326" s="2" t="n">
        <x:v>494</x:v>
      </x:c>
      <x:c r="K326" s="2"/>
      <x:c r="L326" s="2"/>
    </x:row>
    <x:row r="327" ht="22" customHeight="1">
      <x:c r="A327" s="2"/>
      <x:c r="B327" s="2" t="n">
        <x:v>294</x:v>
      </x:c>
      <x:c r="C327" s="2" t="str">
        <x:v>22940</x:v>
      </x:c>
      <x:c r="D327" s="2" t="str">
        <x:v>FELTCRAFT CHRISTMAS FAIRY</x:v>
      </x:c>
      <x:c r="E327" s="11" t="n">
        <x:v>15363.56</x:v>
      </x:c>
      <x:c r="F327" s="11" t="n">
        <x:v>120.75</x:v>
      </x:c>
      <x:c r="G327" s="11" t="n">
        <x:v>15242.81</x:v>
      </x:c>
      <x:c r="H327" s="23" t="n">
        <x:v>0.0007482104363322212</x:v>
      </x:c>
      <x:c r="I327" s="23" t="n">
        <x:v>0.5214534814335934</x:v>
      </x:c>
      <x:c r="J327" s="2" t="n">
        <x:v>586</x:v>
      </x:c>
      <x:c r="K327" s="2"/>
      <x:c r="L327" s="2"/>
    </x:row>
    <x:row r="328" ht="22" customHeight="1">
      <x:c r="A328" s="2"/>
      <x:c r="B328" s="2" t="n">
        <x:v>295</x:v>
      </x:c>
      <x:c r="C328" s="2" t="str">
        <x:v>85232B</x:v>
      </x:c>
      <x:c r="D328" s="2" t="str">
        <x:v>SET OF 3 BABUSHKA STACKING TINS</x:v>
      </x:c>
      <x:c r="E328" s="11" t="n">
        <x:v>15357.28</x:v>
      </x:c>
      <x:c r="F328" s="11" t="n">
        <x:v>1502.75</x:v>
      </x:c>
      <x:c r="G328" s="11" t="n">
        <x:v>13854.53</x:v>
      </x:c>
      <x:c r="H328" s="23" t="n">
        <x:v>0.0007479045982621277</x:v>
      </x:c>
      <x:c r="I328" s="23" t="n">
        <x:v>0.5222013860318555</x:v>
      </x:c>
      <x:c r="J328" s="2" t="n">
        <x:v>539</x:v>
      </x:c>
      <x:c r="K328" s="2"/>
      <x:c r="L328" s="2"/>
    </x:row>
    <x:row r="329" ht="22" customHeight="1">
      <x:c r="A329" s="2"/>
      <x:c r="B329" s="2" t="n">
        <x:v>296</x:v>
      </x:c>
      <x:c r="C329" s="2" t="str">
        <x:v>21094</x:v>
      </x:c>
      <x:c r="D329" s="2" t="str">
        <x:v>SET/6 RED SPOTTY PAPER PLATES</x:v>
      </x:c>
      <x:c r="E329" s="11" t="n">
        <x:v>15334.88</x:v>
      </x:c>
      <x:c r="F329" s="11" t="n">
        <x:v>495.24</x:v>
      </x:c>
      <x:c r="G329" s="11" t="n">
        <x:v>14839.64</x:v>
      </x:c>
      <x:c r="H329" s="23" t="n">
        <x:v>0.0007468137108783545</x:v>
      </x:c>
      <x:c r="I329" s="23" t="n">
        <x:v>0.5229481997427339</x:v>
      </x:c>
      <x:c r="J329" s="2" t="n">
        <x:v>984</x:v>
      </x:c>
      <x:c r="K329" s="2"/>
      <x:c r="L329" s="2"/>
    </x:row>
    <x:row r="330" ht="22" customHeight="1">
      <x:c r="A330" s="2"/>
      <x:c r="B330" s="2" t="n">
        <x:v>297</x:v>
      </x:c>
      <x:c r="C330" s="2" t="str">
        <x:v>22365</x:v>
      </x:c>
      <x:c r="D330" s="2" t="str">
        <x:v>DOORMAT RESPECTABLE HOUSE</x:v>
      </x:c>
      <x:c r="E330" s="11" t="n">
        <x:v>15304.79</x:v>
      </x:c>
      <x:c r="F330" s="11" t="n">
        <x:v>22.65</x:v>
      </x:c>
      <x:c r="G330" s="11" t="n">
        <x:v>15282.14</x:v>
      </x:c>
      <x:c r="H330" s="23" t="n">
        <x:v>0.0007453483179597057</x:v>
      </x:c>
      <x:c r="I330" s="23" t="n">
        <x:v>0.5236935480606936</x:v>
      </x:c>
      <x:c r="J330" s="2" t="n">
        <x:v>443</x:v>
      </x:c>
      <x:c r="K330" s="2"/>
      <x:c r="L330" s="2"/>
    </x:row>
    <x:row r="331" ht="22" customHeight="1">
      <x:c r="A331" s="2"/>
      <x:c r="B331" s="2" t="n">
        <x:v>298</x:v>
      </x:c>
      <x:c r="C331" s="2" t="str">
        <x:v>22909</x:v>
      </x:c>
      <x:c r="D331" s="2" t="str">
        <x:v>SET OF 20 VINTAGE CHRISTMAS NAPKINS</x:v>
      </x:c>
      <x:c r="E331" s="11" t="n">
        <x:v>15294.519999999999</x:v>
      </x:c>
      <x:c r="F331" s="11" t="n">
        <x:v>334.22</x:v>
      </x:c>
      <x:c r="G331" s="11" t="n">
        <x:v>14960.3</x:v>
      </x:c>
      <x:c r="H331" s="23" t="n">
        <x:v>0.0007448481655743776</x:v>
      </x:c>
      <x:c r="I331" s="23" t="n">
        <x:v>0.524438396226268</x:v>
      </x:c>
      <x:c r="J331" s="2" t="n">
        <x:v>1086</x:v>
      </x:c>
      <x:c r="K331" s="2"/>
      <x:c r="L331" s="2"/>
    </x:row>
    <x:row r="332" ht="22" customHeight="1">
      <x:c r="A332" s="2"/>
      <x:c r="B332" s="2" t="n">
        <x:v>299</x:v>
      </x:c>
      <x:c r="C332" s="2" t="str">
        <x:v>21975</x:v>
      </x:c>
      <x:c r="D332" s="2" t="str">
        <x:v>PACK OF 60 DINOSAUR CAKE CASES</x:v>
      </x:c>
      <x:c r="E332" s="11" t="n">
        <x:v>15288.32</x:v>
      </x:c>
      <x:c r="F332" s="11" t="n">
        <x:v>49.260000000000005</x:v>
      </x:c>
      <x:c r="G332" s="11" t="n">
        <x:v>15239.060000000001</x:v>
      </x:c>
      <x:c r="H332" s="23" t="n">
        <x:v>0.0007445462235306546</x:v>
      </x:c>
      <x:c r="I332" s="23" t="n">
        <x:v>0.5251829424497987</x:v>
      </x:c>
      <x:c r="J332" s="2" t="n">
        <x:v>1303</x:v>
      </x:c>
      <x:c r="K332" s="2"/>
      <x:c r="L332" s="2"/>
    </x:row>
    <x:row r="333" ht="22" customHeight="1">
      <x:c r="A333" s="2"/>
      <x:c r="B333" s="2" t="n">
        <x:v>300</x:v>
      </x:c>
      <x:c r="C333" s="2" t="str">
        <x:v>21165</x:v>
      </x:c>
      <x:c r="D333" s="2" t="str">
        <x:v>BEWARE OF THE CAT METAL SIGN </x:v>
      </x:c>
      <x:c r="E333" s="11" t="n">
        <x:v>15175.83</x:v>
      </x:c>
      <x:c r="F333" s="11" t="n">
        <x:v>82.59</x:v>
      </x:c>
      <x:c r="G333" s="11" t="n">
        <x:v>15093.24</x:v>
      </x:c>
      <x:c r="H333" s="23" t="n">
        <x:v>0.0007390679234502689</x:v>
      </x:c>
      <x:c r="I333" s="23" t="n">
        <x:v>0.5259220103732489</x:v>
      </x:c>
      <x:c r="J333" s="2" t="n">
        <x:v>966</x:v>
      </x:c>
      <x:c r="K333" s="2"/>
      <x:c r="L333" s="2"/>
    </x:row>
    <x:row r="334" ht="22" customHeight="1">
      <x:c r="A334" s="2"/>
      <x:c r="B334" s="2" t="n">
        <x:v>301</x:v>
      </x:c>
      <x:c r="C334" s="2" t="str">
        <x:v>35970</x:v>
      </x:c>
      <x:c r="D334" s="2" t="str">
        <x:v>ZINC FOLKART SLEIGH BELLS</x:v>
      </x:c>
      <x:c r="E334" s="11" t="n">
        <x:v>15152.01</x:v>
      </x:c>
      <x:c r="F334" s="11" t="n">
        <x:v>122.85999999999999</x:v>
      </x:c>
      <x:c r="G334" s="11" t="n">
        <x:v>15029.15</x:v>
      </x:c>
      <x:c r="H334" s="23" t="n">
        <x:v>0.0007379078815984173</x:v>
      </x:c>
      <x:c r="I334" s="23" t="n">
        <x:v>0.5266599182548474</x:v>
      </x:c>
      <x:c r="J334" s="2" t="n">
        <x:v>692</x:v>
      </x:c>
      <x:c r="K334" s="2"/>
      <x:c r="L334" s="2"/>
    </x:row>
    <x:row r="335" ht="22" customHeight="1">
      <x:c r="A335" s="2"/>
      <x:c r="B335" s="2" t="n">
        <x:v>302</x:v>
      </x:c>
      <x:c r="C335" s="2" t="str">
        <x:v>82582</x:v>
      </x:c>
      <x:c r="D335" s="2" t="str">
        <x:v>AREA PATROLLED METAL SIGN</x:v>
      </x:c>
      <x:c r="E335" s="11" t="n">
        <x:v>15146.68</x:v>
      </x:c>
      <x:c r="F335" s="11" t="n">
        <x:v>241.38</x:v>
      </x:c>
      <x:c r="G335" s="11" t="n">
        <x:v>14905.300000000001</x:v>
      </x:c>
      <x:c r="H335" s="23" t="n">
        <x:v>0.0007376483088414749</x:v>
      </x:c>
      <x:c r="I335" s="23" t="n">
        <x:v>0.5273975665636889</x:v>
      </x:c>
      <x:c r="J335" s="2" t="n">
        <x:v>796</x:v>
      </x:c>
      <x:c r="K335" s="2"/>
      <x:c r="L335" s="2"/>
    </x:row>
    <x:row r="336" ht="22" customHeight="1">
      <x:c r="A336" s="2"/>
      <x:c r="B336" s="2" t="n">
        <x:v>303</x:v>
      </x:c>
      <x:c r="C336" s="2" t="str">
        <x:v>22946</x:v>
      </x:c>
      <x:c r="D336" s="2" t="str">
        <x:v>WOODEN ADVENT CALENDAR CREAM</x:v>
      </x:c>
      <x:c r="E336" s="11" t="n">
        <x:v>15094.47</x:v>
      </x:c>
      <x:c r="F336" s="11" t="n">
        <x:v>390.3</x:v>
      </x:c>
      <x:c r="G336" s="11" t="n">
        <x:v>14704.17</x:v>
      </x:c>
      <x:c r="H336" s="23" t="n">
        <x:v>0.00073510566463135</x:v>
      </x:c>
      <x:c r="I336" s="23" t="n">
        <x:v>0.5281326722283202</x:v>
      </x:c>
      <x:c r="J336" s="2" t="n">
        <x:v>275</x:v>
      </x:c>
      <x:c r="K336" s="2"/>
      <x:c r="L336" s="2"/>
    </x:row>
    <x:row r="337" ht="22" customHeight="1">
      <x:c r="A337" s="2"/>
      <x:c r="B337" s="2" t="n">
        <x:v>304</x:v>
      </x:c>
      <x:c r="C337" s="2" t="str">
        <x:v>21122</x:v>
      </x:c>
      <x:c r="D337" s="2" t="str">
        <x:v>SET/10 PINK POLKADOT PARTY CANDLES</x:v>
      </x:c>
      <x:c r="E337" s="11" t="n">
        <x:v>15018.53</x:v>
      </x:c>
      <x:c r="F337" s="11" t="n">
        <x:v>91.25</x:v>
      </x:c>
      <x:c r="G337" s="11" t="n">
        <x:v>14927.28</x:v>
      </x:c>
      <x:c r="H337" s="23" t="n">
        <x:v>0.0007314073615990405</x:v>
      </x:c>
      <x:c r="I337" s="23" t="n">
        <x:v>0.5288640795899192</x:v>
      </x:c>
      <x:c r="J337" s="2" t="n">
        <x:v>807</x:v>
      </x:c>
      <x:c r="K337" s="2"/>
      <x:c r="L337" s="2"/>
    </x:row>
    <x:row r="338" ht="22" customHeight="1">
      <x:c r="A338" s="2"/>
      <x:c r="B338" s="2" t="n">
        <x:v>305</x:v>
      </x:c>
      <x:c r="C338" s="2" t="str">
        <x:v>22606</x:v>
      </x:c>
      <x:c r="D338" s="2" t="str">
        <x:v>WOODEN SKITTLES GARDEN SET</x:v>
      </x:c>
      <x:c r="E338" s="11" t="n">
        <x:v>14977.64</x:v>
      </x:c>
      <x:c r="F338" s="11" t="n">
        <x:v>430.7</x:v>
      </x:c>
      <x:c r="G338" s="11" t="n">
        <x:v>14546.94</x:v>
      </x:c>
      <x:c r="H338" s="23" t="n">
        <x:v>0.0007294160051203581</x:v>
      </x:c>
      <x:c r="I338" s="23" t="n">
        <x:v>0.5295934955950395</x:v>
      </x:c>
      <x:c r="J338" s="2" t="n">
        <x:v>374</x:v>
      </x:c>
      <x:c r="K338" s="2"/>
      <x:c r="L338" s="2"/>
    </x:row>
    <x:row r="339" ht="22" customHeight="1">
      <x:c r="A339" s="2"/>
      <x:c r="B339" s="2" t="n">
        <x:v>306</x:v>
      </x:c>
      <x:c r="C339" s="2" t="str">
        <x:v>22730</x:v>
      </x:c>
      <x:c r="D339" s="2" t="str">
        <x:v>ALARM CLOCK BAKELIKE IVORY</x:v>
      </x:c>
      <x:c r="E339" s="11" t="n">
        <x:v>14893.52</x:v>
      </x:c>
      <x:c r="F339" s="11" t="n">
        <x:v>225</x:v>
      </x:c>
      <x:c r="G339" s="11" t="n">
        <x:v>14668.52</x:v>
      </x:c>
      <x:c r="H339" s="23" t="n">
        <x:v>0.000725319333391653</x:v>
      </x:c>
      <x:c r="I339" s="23" t="n">
        <x:v>0.5303188149284312</x:v>
      </x:c>
      <x:c r="J339" s="2" t="n">
        <x:v>746</x:v>
      </x:c>
      <x:c r="K339" s="2"/>
      <x:c r="L339" s="2"/>
    </x:row>
    <x:row r="340" ht="22" customHeight="1">
      <x:c r="A340" s="2"/>
      <x:c r="B340" s="2" t="n">
        <x:v>307</x:v>
      </x:c>
      <x:c r="C340" s="2" t="str">
        <x:v>21770</x:v>
      </x:c>
      <x:c r="D340" s="2" t="str">
        <x:v>OPEN CLOSED METAL SIGN</x:v>
      </x:c>
      <x:c r="E340" s="11" t="n">
        <x:v>14832.050000000001</x:v>
      </x:c>
      <x:c r="F340" s="11" t="n">
        <x:v>212.4</x:v>
      </x:c>
      <x:c r="G340" s="11" t="n">
        <x:v>14619.650000000001</x:v>
      </x:c>
      <x:c r="H340" s="23" t="n">
        <x:v>0.0007223257241291292</x:v>
      </x:c>
      <x:c r="I340" s="23" t="n">
        <x:v>0.5310411406525604</x:v>
      </x:c>
      <x:c r="J340" s="2" t="n">
        <x:v>651</x:v>
      </x:c>
      <x:c r="K340" s="2"/>
      <x:c r="L340" s="2"/>
    </x:row>
    <x:row r="341" ht="22" customHeight="1">
      <x:c r="A341" s="2"/>
      <x:c r="B341" s="2" t="n">
        <x:v>308</x:v>
      </x:c>
      <x:c r="C341" s="2" t="str">
        <x:v>17003</x:v>
      </x:c>
      <x:c r="D341" s="2" t="str">
        <x:v>BROCADE RING PURSE </x:v>
      </x:c>
      <x:c r="E341" s="11" t="n">
        <x:v>14776.86</x:v>
      </x:c>
      <x:c r="F341" s="11" t="n">
        <x:v>215.78</x:v>
      </x:c>
      <x:c r="G341" s="11" t="n">
        <x:v>14561.08</x:v>
      </x:c>
      <x:c r="H341" s="23" t="n">
        <x:v>0.0007196379529366987</x:v>
      </x:c>
      <x:c r="I341" s="23" t="n">
        <x:v>0.5317607786054971</x:v>
      </x:c>
      <x:c r="J341" s="2" t="n">
        <x:v>456</x:v>
      </x:c>
      <x:c r="K341" s="2"/>
      <x:c r="L341" s="2"/>
    </x:row>
    <x:row r="342" ht="22" customHeight="1">
      <x:c r="A342" s="2"/>
      <x:c r="B342" s="2" t="n">
        <x:v>309</x:v>
      </x:c>
      <x:c r="C342" s="2" t="str">
        <x:v>21912</x:v>
      </x:c>
      <x:c r="D342" s="2" t="str">
        <x:v>VINTAGE SNAKES &amp; LADDERS</x:v>
      </x:c>
      <x:c r="E342" s="11" t="n">
        <x:v>14685.08</x:v>
      </x:c>
      <x:c r="F342" s="11" t="n">
        <x:v>285</x:v>
      </x:c>
      <x:c r="G342" s="11" t="n">
        <x:v>14400.08</x:v>
      </x:c>
      <x:c r="H342" s="23" t="n">
        <x:v>0.0007151682366830068</x:v>
      </x:c>
      <x:c r="I342" s="23" t="n">
        <x:v>0.5324759468421801</x:v>
      </x:c>
      <x:c r="J342" s="2" t="n">
        <x:v>828</x:v>
      </x:c>
      <x:c r="K342" s="2"/>
      <x:c r="L342" s="2"/>
    </x:row>
    <x:row r="343" ht="22" customHeight="1">
      <x:c r="A343" s="2"/>
      <x:c r="B343" s="2" t="n">
        <x:v>310</x:v>
      </x:c>
      <x:c r="C343" s="2" t="str">
        <x:v>22485</x:v>
      </x:c>
      <x:c r="D343" s="2" t="str">
        <x:v>SET OF 2 WOODEN MARKET CRATES</x:v>
      </x:c>
      <x:c r="E343" s="11" t="n">
        <x:v>14677.84</x:v>
      </x:c>
      <x:c r="F343" s="11" t="n">
        <x:v>165.75</x:v>
      </x:c>
      <x:c r="G343" s="11" t="n">
        <x:v>14512.09</x:v>
      </x:c>
      <x:c r="H343" s="23" t="n">
        <x:v>0.0007148156462964658</x:v>
      </x:c>
      <x:c r="I343" s="23" t="n">
        <x:v>0.5331907624884766</x:v>
      </x:c>
      <x:c r="J343" s="2" t="n">
        <x:v>419</x:v>
      </x:c>
      <x:c r="K343" s="2"/>
      <x:c r="L343" s="2"/>
    </x:row>
    <x:row r="344" ht="22" customHeight="1">
      <x:c r="A344" s="2"/>
      <x:c r="B344" s="2" t="n">
        <x:v>311</x:v>
      </x:c>
      <x:c r="C344" s="2" t="str">
        <x:v>21380</x:v>
      </x:c>
      <x:c r="D344" s="2" t="str">
        <x:v>WOODEN HAPPY BIRTHDAY GARLAND</x:v>
      </x:c>
      <x:c r="E344" s="11" t="n">
        <x:v>14622.820000000002</x:v>
      </x:c>
      <x:c r="F344" s="11" t="n">
        <x:v>1601.7</x:v>
      </x:c>
      <x:c r="G344" s="11" t="n">
        <x:v>13021.12</x:v>
      </x:c>
      <x:c r="H344" s="23" t="n">
        <x:v>0.0007121361541600731</x:v>
      </x:c>
      <x:c r="I344" s="23" t="n">
        <x:v>0.5339028986426367</x:v>
      </x:c>
      <x:c r="J344" s="2" t="n">
        <x:v>651</x:v>
      </x:c>
      <x:c r="K344" s="2"/>
      <x:c r="L344" s="2"/>
    </x:row>
    <x:row r="345" ht="22" customHeight="1">
      <x:c r="A345" s="2"/>
      <x:c r="B345" s="2" t="n">
        <x:v>312</x:v>
      </x:c>
      <x:c r="C345" s="2" t="str">
        <x:v>84050</x:v>
      </x:c>
      <x:c r="D345" s="2" t="str">
        <x:v>check</x:v>
      </x:c>
      <x:c r="E345" s="11" t="n">
        <x:v>14549.75</x:v>
      </x:c>
      <x:c r="F345" s="11" t="n">
        <x:v>107.3</x:v>
      </x:c>
      <x:c r="G345" s="11" t="n">
        <x:v>14442.449999999999</x:v>
      </x:c>
      <x:c r="H345" s="23" t="n">
        <x:v>0.0007085776210738095</x:v>
      </x:c>
      <x:c r="I345" s="23" t="n">
        <x:v>0.5346114762637105</x:v>
      </x:c>
      <x:c r="J345" s="2" t="n">
        <x:v>715</x:v>
      </x:c>
      <x:c r="K345" s="2"/>
      <x:c r="L345" s="2"/>
    </x:row>
    <x:row r="346" ht="22" customHeight="1">
      <x:c r="A346" s="2"/>
      <x:c r="B346" s="2" t="n">
        <x:v>313</x:v>
      </x:c>
      <x:c r="C346" s="2" t="str">
        <x:v>22150</x:v>
      </x:c>
      <x:c r="D346" s="2" t="str">
        <x:v>3 STRIPEY MICE FELTCRAFT</x:v>
      </x:c>
      <x:c r="E346" s="11" t="n">
        <x:v>14527.5</x:v>
      </x:c>
      <x:c r="F346" s="11" t="n">
        <x:v>1264.8</x:v>
      </x:c>
      <x:c r="G346" s="11" t="n">
        <x:v>13262.699999999999</x:v>
      </x:c>
      <x:c r="H346" s="23" t="n">
        <x:v>0.0007074940387394813</x:v>
      </x:c>
      <x:c r="I346" s="23" t="n">
        <x:v>0.53531897030245</x:v>
      </x:c>
      <x:c r="J346" s="2" t="n">
        <x:v>938</x:v>
      </x:c>
      <x:c r="K346" s="2"/>
      <x:c r="L346" s="2"/>
    </x:row>
    <x:row r="347" ht="22" customHeight="1">
      <x:c r="A347" s="2"/>
      <x:c r="B347" s="2" t="n">
        <x:v>314</x:v>
      </x:c>
      <x:c r="C347" s="2" t="str">
        <x:v>21672</x:v>
      </x:c>
      <x:c r="D347" s="2" t="str">
        <x:v>WHITE SPOT RED CERAMIC DRAWER KNOB</x:v>
      </x:c>
      <x:c r="E347" s="11" t="n">
        <x:v>14461.03</x:v>
      </x:c>
      <x:c r="F347" s="11" t="n">
        <x:v>81.3</x:v>
      </x:c>
      <x:c r="G347" s="11" t="n">
        <x:v>14379.73</x:v>
      </x:c>
      <x:c r="H347" s="23" t="n">
        <x:v>0.0007042569278287937</x:v>
      </x:c>
      <x:c r="I347" s="23" t="n">
        <x:v>0.5360232272302788</x:v>
      </x:c>
      <x:c r="J347" s="2" t="n">
        <x:v>815</x:v>
      </x:c>
      <x:c r="K347" s="2"/>
      <x:c r="L347" s="2"/>
    </x:row>
    <x:row r="348" ht="22" customHeight="1">
      <x:c r="A348" s="2"/>
      <x:c r="B348" s="2" t="n">
        <x:v>315</x:v>
      </x:c>
      <x:c r="C348" s="2" t="str">
        <x:v>22179</x:v>
      </x:c>
      <x:c r="D348" s="2" t="str">
        <x:v>SET 10 NIGHT OWL LIGHTS</x:v>
      </x:c>
      <x:c r="E348" s="11" t="n">
        <x:v>14425.36</x:v>
      </x:c>
      <x:c r="F348" s="11" t="n">
        <x:v>224.6</x:v>
      </x:c>
      <x:c r="G348" s="11" t="n">
        <x:v>14200.76</x:v>
      </x:c>
      <x:c r="H348" s="23" t="n">
        <x:v>0.0007025197870707943</x:v>
      </x:c>
      <x:c r="I348" s="23" t="n">
        <x:v>0.5367257470173497</x:v>
      </x:c>
      <x:c r="J348" s="2" t="n">
        <x:v>566</x:v>
      </x:c>
      <x:c r="K348" s="2"/>
      <x:c r="L348" s="2"/>
    </x:row>
    <x:row r="349" ht="22" customHeight="1">
      <x:c r="A349" s="2"/>
      <x:c r="B349" s="2" t="n">
        <x:v>316</x:v>
      </x:c>
      <x:c r="C349" s="2" t="str">
        <x:v>21169</x:v>
      </x:c>
      <x:c r="D349" s="2" t="str">
        <x:v>YOU'RE CONFUSING ME METAL SIGN </x:v>
      </x:c>
      <x:c r="E349" s="11" t="n">
        <x:v>14291.34</x:v>
      </x:c>
      <x:c r="F349" s="11" t="n">
        <x:v>54.57</x:v>
      </x:c>
      <x:c r="G349" s="11" t="n">
        <x:v>14236.77</x:v>
      </x:c>
      <x:c r="H349" s="23" t="n">
        <x:v>0.0006959929688934158</x:v>
      </x:c>
      <x:c r="I349" s="23" t="n">
        <x:v>0.5374217399862431</x:v>
      </x:c>
      <x:c r="J349" s="2" t="n">
        <x:v>772</x:v>
      </x:c>
      <x:c r="K349" s="2"/>
      <x:c r="L349" s="2"/>
    </x:row>
    <x:row r="350" ht="22" customHeight="1">
      <x:c r="A350" s="2"/>
      <x:c r="B350" s="2" t="n">
        <x:v>317</x:v>
      </x:c>
      <x:c r="C350" s="2" t="str">
        <x:v>20748</x:v>
      </x:c>
      <x:c r="D350" s="2" t="str">
        <x:v>KENSINGTON COFFEE SET</x:v>
      </x:c>
      <x:c r="E350" s="11" t="n">
        <x:v>14266.980000000001</x:v>
      </x:c>
      <x:c r="F350" s="11" t="n">
        <x:v>0</x:v>
      </x:c>
      <x:c r="G350" s="11" t="n">
        <x:v>14266.980000000001</x:v>
      </x:c>
      <x:c r="H350" s="23" t="n">
        <x:v>0.0006948066288635625</x:v>
      </x:c>
      <x:c r="I350" s="23" t="n">
        <x:v>0.5381165466151067</x:v>
      </x:c>
      <x:c r="J350" s="2" t="n">
        <x:v>183</x:v>
      </x:c>
      <x:c r="K350" s="2"/>
      <x:c r="L350" s="2"/>
    </x:row>
    <x:row r="351" ht="22" customHeight="1">
      <x:c r="A351" s="2"/>
      <x:c r="B351" s="2" t="n">
        <x:v>318</x:v>
      </x:c>
      <x:c r="C351" s="2" t="str">
        <x:v>23200</x:v>
      </x:c>
      <x:c r="D351" s="2" t="str">
        <x:v>JUMBO BAG PEARS</x:v>
      </x:c>
      <x:c r="E351" s="11" t="n">
        <x:v>14197.28</x:v>
      </x:c>
      <x:c r="F351" s="11" t="n">
        <x:v>243.63000000000002</x:v>
      </x:c>
      <x:c r="G351" s="11" t="n">
        <x:v>13953.65</x:v>
      </x:c>
      <x:c r="H351" s="23" t="n">
        <x:v>0.0006914122158881613</x:v>
      </x:c>
      <x:c r="I351" s="23" t="n">
        <x:v>0.5388079588309949</x:v>
      </x:c>
      <x:c r="J351" s="2" t="n">
        <x:v>595</x:v>
      </x:c>
      <x:c r="K351" s="2"/>
      <x:c r="L351" s="2"/>
    </x:row>
    <x:row r="352" ht="22" customHeight="1">
      <x:c r="A352" s="2"/>
      <x:c r="B352" s="2" t="n">
        <x:v>319</x:v>
      </x:c>
      <x:c r="C352" s="2" t="str">
        <x:v>22295</x:v>
      </x:c>
      <x:c r="D352" s="2" t="str">
        <x:v>HEART FILIGREE DOVE LARGE</x:v>
      </x:c>
      <x:c r="E352" s="11" t="n">
        <x:v>14190.339999999998</x:v>
      </x:c>
      <x:c r="F352" s="11" t="n">
        <x:v>79.19999999999999</x:v>
      </x:c>
      <x:c r="G352" s="11" t="n">
        <x:v>14111.139999999998</x:v>
      </x:c>
      <x:c r="H352" s="23" t="n">
        <x:v>0.00069107423560051</x:v>
      </x:c>
      <x:c r="I352" s="23" t="n">
        <x:v>0.5394990330665954</x:v>
      </x:c>
      <x:c r="J352" s="2" t="n">
        <x:v>706</x:v>
      </x:c>
      <x:c r="K352" s="2"/>
      <x:c r="L352" s="2"/>
    </x:row>
    <x:row r="353" ht="22" customHeight="1">
      <x:c r="A353" s="2"/>
      <x:c r="B353" s="2" t="n">
        <x:v>320</x:v>
      </x:c>
      <x:c r="C353" s="2" t="str">
        <x:v>22804</x:v>
      </x:c>
      <x:c r="D353" s="2" t="str">
        <x:v>PINK HANGING HEART T-LIGHT HOLDER</x:v>
      </x:c>
      <x:c r="E353" s="11" t="n">
        <x:v>14123</x:v>
      </x:c>
      <x:c r="F353" s="11" t="n">
        <x:v>1294.8</x:v>
      </x:c>
      <x:c r="G353" s="11" t="n">
        <x:v>12828.2</x:v>
      </x:c>
      <x:c r="H353" s="23" t="n">
        <x:v>0.000687794755403042</x:v>
      </x:c>
      <x:c r="I353" s="23" t="n">
        <x:v>0.5401868278219984</x:v>
      </x:c>
      <x:c r="J353" s="2" t="n">
        <x:v>670</x:v>
      </x:c>
      <x:c r="K353" s="2"/>
      <x:c r="L353" s="2"/>
    </x:row>
    <x:row r="354" ht="22" customHeight="1">
      <x:c r="A354" s="2"/>
      <x:c r="B354" s="2" t="n">
        <x:v>321</x:v>
      </x:c>
      <x:c r="C354" s="2" t="str">
        <x:v>84380</x:v>
      </x:c>
      <x:c r="D354" s="2" t="str">
        <x:v>SET OF 3 BUTTERFLY COOKIE CUTTERS</x:v>
      </x:c>
      <x:c r="E354" s="11" t="n">
        <x:v>14085.49</x:v>
      </x:c>
      <x:c r="F354" s="11" t="n">
        <x:v>251.39000000000001</x:v>
      </x:c>
      <x:c r="G354" s="11" t="n">
        <x:v>13834.1</x:v>
      </x:c>
      <x:c r="H354" s="23" t="n">
        <x:v>0.0006859680060385183</x:v>
      </x:c>
      <x:c r="I354" s="23" t="n">
        <x:v>0.5408727958280369</x:v>
      </x:c>
      <x:c r="J354" s="2" t="n">
        <x:v>1114</x:v>
      </x:c>
      <x:c r="K354" s="2"/>
      <x:c r="L354" s="2"/>
    </x:row>
    <x:row r="355" ht="22" customHeight="1">
      <x:c r="A355" s="2"/>
      <x:c r="B355" s="2" t="n">
        <x:v>322</x:v>
      </x:c>
      <x:c r="C355" s="2" t="str">
        <x:v>22627</x:v>
      </x:c>
      <x:c r="D355" s="2" t="str">
        <x:v>MINT KITCHEN SCALES</x:v>
      </x:c>
      <x:c r="E355" s="11" t="n">
        <x:v>14076.300000000001</x:v>
      </x:c>
      <x:c r="F355" s="11" t="n">
        <x:v>125.71000000000001</x:v>
      </x:c>
      <x:c r="G355" s="11" t="n">
        <x:v>13950.59</x:v>
      </x:c>
      <x:c r="H355" s="23" t="n">
        <x:v>0.0006855204500091937</x:v>
      </x:c>
      <x:c r="I355" s="23" t="n">
        <x:v>0.5415583162780462</x:v>
      </x:c>
      <x:c r="J355" s="2" t="n">
        <x:v>653</x:v>
      </x:c>
      <x:c r="K355" s="2"/>
      <x:c r="L355" s="2"/>
    </x:row>
    <x:row r="356" ht="22" customHeight="1">
      <x:c r="A356" s="2"/>
      <x:c r="B356" s="2" t="n">
        <x:v>323</x:v>
      </x:c>
      <x:c r="C356" s="2" t="str">
        <x:v>35400</x:v>
      </x:c>
      <x:c r="D356" s="2" t="str">
        <x:v>WOODEN BOX ADVENT CALENDAR </x:v>
      </x:c>
      <x:c r="E356" s="11" t="n">
        <x:v>14070.699999999999</x:v>
      </x:c>
      <x:c r="F356" s="11" t="n">
        <x:v>779.4499999999999</x:v>
      </x:c>
      <x:c r="G356" s="11" t="n">
        <x:v>13291.25</x:v>
      </x:c>
      <x:c r="H356" s="23" t="n">
        <x:v>0.0006852477281632502</x:v>
      </x:c>
      <x:c r="I356" s="23" t="n">
        <x:v>0.5422435640062094</x:v>
      </x:c>
      <x:c r="J356" s="2" t="n">
        <x:v>419</x:v>
      </x:c>
      <x:c r="K356" s="2"/>
      <x:c r="L356" s="2"/>
    </x:row>
    <x:row r="357" ht="22" customHeight="1">
      <x:c r="A357" s="2"/>
      <x:c r="B357" s="2" t="n">
        <x:v>324</x:v>
      </x:c>
      <x:c r="C357" s="2" t="str">
        <x:v>21257</x:v>
      </x:c>
      <x:c r="D357" s="2" t="str">
        <x:v>VICTORIAN SEWING BOX MEDIUM</x:v>
      </x:c>
      <x:c r="E357" s="11" t="n">
        <x:v>14040.03</x:v>
      </x:c>
      <x:c r="F357" s="11" t="n">
        <x:v>205.3</x:v>
      </x:c>
      <x:c r="G357" s="11" t="n">
        <x:v>13834.73</x:v>
      </x:c>
      <x:c r="H357" s="23" t="n">
        <x:v>0.0006837540890534144</x:v>
      </x:c>
      <x:c r="I357" s="23" t="n">
        <x:v>0.5429273180952628</x:v>
      </x:c>
      <x:c r="J357" s="2" t="n">
        <x:v>532</x:v>
      </x:c>
      <x:c r="K357" s="2"/>
      <x:c r="L357" s="2"/>
    </x:row>
    <x:row r="358" ht="22" customHeight="1">
      <x:c r="A358" s="2"/>
      <x:c r="B358" s="2" t="n">
        <x:v>325</x:v>
      </x:c>
      <x:c r="C358" s="2" t="str">
        <x:v>21668</x:v>
      </x:c>
      <x:c r="D358" s="2" t="str">
        <x:v>RED STRIPE CERAMIC DRAWER KNOB</x:v>
      </x:c>
      <x:c r="E358" s="11" t="n">
        <x:v>14004.92</x:v>
      </x:c>
      <x:c r="F358" s="11" t="n">
        <x:v>106.42</x:v>
      </x:c>
      <x:c r="G358" s="11" t="n">
        <x:v>13898.5</x:v>
      </x:c>
      <x:c r="H358" s="23" t="n">
        <x:v>0.0006820442204800093</x:v>
      </x:c>
      <x:c r="I358" s="23" t="n">
        <x:v>0.5436093623157429</x:v>
      </x:c>
      <x:c r="J358" s="2" t="n">
        <x:v>825</x:v>
      </x:c>
      <x:c r="K358" s="2"/>
      <x:c r="L358" s="2"/>
    </x:row>
    <x:row r="359" ht="22" customHeight="1">
      <x:c r="A359" s="2"/>
      <x:c r="B359" s="2" t="n">
        <x:v>326</x:v>
      </x:c>
      <x:c r="C359" s="2" t="str">
        <x:v>22271</x:v>
      </x:c>
      <x:c r="D359" s="2" t="str">
        <x:v>FELTCRAFT DOLL ROSIE</x:v>
      </x:c>
      <x:c r="E359" s="11" t="n">
        <x:v>13983.68</x:v>
      </x:c>
      <x:c r="F359" s="11" t="n">
        <x:v>839.2</x:v>
      </x:c>
      <x:c r="G359" s="11" t="n">
        <x:v>13144.480000000001</x:v>
      </x:c>
      <x:c r="H359" s="23" t="n">
        <x:v>0.0006810098254786102</x:v>
      </x:c>
      <x:c r="I359" s="23" t="n">
        <x:v>0.5442903721412214</x:v>
      </x:c>
      <x:c r="J359" s="2" t="n">
        <x:v>787</x:v>
      </x:c>
      <x:c r="K359" s="2"/>
      <x:c r="L359" s="2"/>
    </x:row>
    <x:row r="360" ht="22" customHeight="1">
      <x:c r="A360" s="2"/>
      <x:c r="B360" s="2" t="n">
        <x:v>327</x:v>
      </x:c>
      <x:c r="C360" s="2" t="str">
        <x:v>23343</x:v>
      </x:c>
      <x:c r="D360" s="2" t="str">
        <x:v>JUMBO BAG VINTAGE CHRISTMAS </x:v>
      </x:c>
      <x:c r="E360" s="11" t="n">
        <x:v>13978.95</x:v>
      </x:c>
      <x:c r="F360" s="11" t="n">
        <x:v>505.68</x:v>
      </x:c>
      <x:c r="G360" s="11" t="n">
        <x:v>13473.27</x:v>
      </x:c>
      <x:c r="H360" s="23" t="n">
        <x:v>0.0006807794729194474</x:v>
      </x:c>
      <x:c r="I360" s="23" t="n">
        <x:v>0.5449711516141409</x:v>
      </x:c>
      <x:c r="J360" s="2" t="n">
        <x:v>476</x:v>
      </x:c>
      <x:c r="K360" s="2"/>
      <x:c r="L360" s="2"/>
    </x:row>
    <x:row r="361" ht="22" customHeight="1">
      <x:c r="A361" s="2"/>
      <x:c r="B361" s="2" t="n">
        <x:v>328</x:v>
      </x:c>
      <x:c r="C361" s="2" t="str">
        <x:v>22236</x:v>
      </x:c>
      <x:c r="D361" s="2" t="str">
        <x:v>CAKE STAND 3 TIER MAGIC GARDEN</x:v>
      </x:c>
      <x:c r="E361" s="11" t="n">
        <x:v>13978.269999999999</x:v>
      </x:c>
      <x:c r="F361" s="11" t="n">
        <x:v>1121.25</x:v>
      </x:c>
      <x:c r="G361" s="11" t="n">
        <x:v>12857.019999999999</x:v>
      </x:c>
      <x:c r="H361" s="23" t="n">
        <x:v>0.000680746356695297</x:v>
      </x:c>
      <x:c r="I361" s="23" t="n">
        <x:v>0.5456518979708362</x:v>
      </x:c>
      <x:c r="J361" s="2" t="n">
        <x:v>421</x:v>
      </x:c>
      <x:c r="K361" s="2"/>
      <x:c r="L361" s="2"/>
    </x:row>
    <x:row r="362" ht="22" customHeight="1">
      <x:c r="A362" s="2"/>
      <x:c r="B362" s="2" t="n">
        <x:v>329</x:v>
      </x:c>
      <x:c r="C362" s="2" t="str">
        <x:v>21669</x:v>
      </x:c>
      <x:c r="D362" s="2" t="str">
        <x:v>BLUE STRIPE CERAMIC DRAWER KNOB</x:v>
      </x:c>
      <x:c r="E362" s="11" t="n">
        <x:v>13960.28</x:v>
      </x:c>
      <x:c r="F362" s="11" t="n">
        <x:v>147.32</x:v>
      </x:c>
      <x:c r="G362" s="11" t="n">
        <x:v>13812.96</x:v>
      </x:c>
      <x:c r="H362" s="23" t="n">
        <x:v>0.0006798702377652043</x:v>
      </x:c>
      <x:c r="I362" s="23" t="n">
        <x:v>0.5463317682086014</x:v>
      </x:c>
      <x:c r="J362" s="2" t="n">
        <x:v>805</x:v>
      </x:c>
      <x:c r="K362" s="2"/>
      <x:c r="L362" s="2"/>
    </x:row>
    <x:row r="363" ht="22" customHeight="1">
      <x:c r="A363" s="2"/>
      <x:c r="B363" s="2" t="n">
        <x:v>330</x:v>
      </x:c>
      <x:c r="C363" s="2" t="str">
        <x:v>21259</x:v>
      </x:c>
      <x:c r="D363" s="2" t="str">
        <x:v>VICTORIAN SEWING BOX SMALL </x:v>
      </x:c>
      <x:c r="E363" s="11" t="n">
        <x:v>13951.02</x:v>
      </x:c>
      <x:c r="F363" s="11" t="n">
        <x:v>155.65</x:v>
      </x:c>
      <x:c r="G363" s="11" t="n">
        <x:v>13795.37</x:v>
      </x:c>
      <x:c r="H363" s="23" t="n">
        <x:v>0.0006794192727128053</x:v>
      </x:c>
      <x:c r="I363" s="23" t="n">
        <x:v>0.5470111874813142</x:v>
      </x:c>
      <x:c r="J363" s="2" t="n">
        <x:v>655</x:v>
      </x:c>
      <x:c r="K363" s="2"/>
      <x:c r="L363" s="2"/>
    </x:row>
    <x:row r="364" ht="22" customHeight="1">
      <x:c r="A364" s="2"/>
      <x:c r="B364" s="2" t="n">
        <x:v>331</x:v>
      </x:c>
      <x:c r="C364" s="2" t="str">
        <x:v>21888</x:v>
      </x:c>
      <x:c r="D364" s="2" t="str">
        <x:v>BINGO SET</x:v>
      </x:c>
      <x:c r="E364" s="11" t="n">
        <x:v>13880.92</x:v>
      </x:c>
      <x:c r="F364" s="11" t="n">
        <x:v>363.75</x:v>
      </x:c>
      <x:c r="G364" s="11" t="n">
        <x:v>13517.17</x:v>
      </x:c>
      <x:c r="H364" s="23" t="n">
        <x:v>0.0006760053796055508</x:v>
      </x:c>
      <x:c r="I364" s="23" t="n">
        <x:v>0.5476871928609197</x:v>
      </x:c>
      <x:c r="J364" s="2" t="n">
        <x:v>825</x:v>
      </x:c>
      <x:c r="K364" s="2"/>
      <x:c r="L364" s="2"/>
    </x:row>
    <x:row r="365" ht="22" customHeight="1">
      <x:c r="A365" s="2"/>
      <x:c r="B365" s="2" t="n">
        <x:v>332</x:v>
      </x:c>
      <x:c r="C365" s="2" t="str">
        <x:v>22444</x:v>
      </x:c>
      <x:c r="D365" s="2" t="str">
        <x:v>GROW YOUR OWN PLANT IN A CAN </x:v>
      </x:c>
      <x:c r="E365" s="11" t="n">
        <x:v>13860.35</x:v>
      </x:c>
      <x:c r="F365" s="11" t="n">
        <x:v>142.5</x:v>
      </x:c>
      <x:c r="G365" s="11" t="n">
        <x:v>13717.85</x:v>
      </x:c>
      <x:c r="H365" s="23" t="n">
        <x:v>0.0006750036138250056</x:v>
      </x:c>
      <x:c r="I365" s="23" t="n">
        <x:v>0.5483621964747447</x:v>
      </x:c>
      <x:c r="J365" s="2" t="n">
        <x:v>453</x:v>
      </x:c>
      <x:c r="K365" s="2"/>
      <x:c r="L365" s="2"/>
    </x:row>
    <x:row r="366" ht="22" customHeight="1">
      <x:c r="A366" s="2"/>
      <x:c r="B366" s="2" t="n">
        <x:v>333</x:v>
      </x:c>
      <x:c r="C366" s="2" t="str">
        <x:v>22621</x:v>
      </x:c>
      <x:c r="D366" s="2" t="str">
        <x:v>TRADITIONAL KNITTING NANCY</x:v>
      </x:c>
      <x:c r="E366" s="11" t="n">
        <x:v>13800.669999999998</x:v>
      </x:c>
      <x:c r="F366" s="11" t="n">
        <x:v>114.05</x:v>
      </x:c>
      <x:c r="G366" s="11" t="n">
        <x:v>13686.619999999999</x:v>
      </x:c>
      <x:c r="H366" s="23" t="n">
        <x:v>0.0006720971781525242</x:v>
      </x:c>
      <x:c r="I366" s="23" t="n">
        <x:v>0.5490342936528972</x:v>
      </x:c>
      <x:c r="J366" s="2" t="n">
        <x:v>875</x:v>
      </x:c>
      <x:c r="K366" s="2"/>
      <x:c r="L366" s="2"/>
    </x:row>
    <x:row r="367" ht="22" customHeight="1">
      <x:c r="A367" s="2"/>
      <x:c r="B367" s="2" t="n">
        <x:v>334</x:v>
      </x:c>
      <x:c r="C367" s="2" t="str">
        <x:v>79323P</x:v>
      </x:c>
      <x:c r="D367" s="2" t="str">
        <x:v>Unsaleable, destroyed.</x:v>
      </x:c>
      <x:c r="E367" s="11" t="n">
        <x:v>13787.93</x:v>
      </x:c>
      <x:c r="F367" s="11" t="n">
        <x:v>4021.35</x:v>
      </x:c>
      <x:c r="G367" s="11" t="n">
        <x:v>9766.58</x:v>
      </x:c>
      <x:c r="H367" s="23" t="n">
        <x:v>0.0006714767359530034</x:v>
      </x:c>
      <x:c r="I367" s="23" t="n">
        <x:v>0.5497057703888503</x:v>
      </x:c>
      <x:c r="J367" s="2" t="n">
        <x:v>265</x:v>
      </x:c>
      <x:c r="K367" s="2"/>
      <x:c r="L367" s="2"/>
    </x:row>
    <x:row r="368" ht="22" customHeight="1">
      <x:c r="A368" s="2"/>
      <x:c r="B368" s="2" t="n">
        <x:v>335</x:v>
      </x:c>
      <x:c r="C368" s="2" t="str">
        <x:v>22109</x:v>
      </x:c>
      <x:c r="D368" s="2" t="str">
        <x:v>FULL ENGLISH BREAKFAST PLATE</x:v>
      </x:c>
      <x:c r="E368" s="11" t="n">
        <x:v>13768.86</x:v>
      </x:c>
      <x:c r="F368" s="11" t="n">
        <x:v>271.26</x:v>
      </x:c>
      <x:c r="G368" s="11" t="n">
        <x:v>13497.6</x:v>
      </x:c>
      <x:c r="H368" s="23" t="n">
        <x:v>0.0006705480206669072</x:v>
      </x:c>
      <x:c r="I368" s="23" t="n">
        <x:v>0.5503763184095172</x:v>
      </x:c>
      <x:c r="J368" s="2" t="n">
        <x:v>642</x:v>
      </x:c>
      <x:c r="K368" s="2"/>
      <x:c r="L368" s="2"/>
    </x:row>
    <x:row r="369" ht="22" customHeight="1">
      <x:c r="A369" s="2"/>
      <x:c r="B369" s="2" t="n">
        <x:v>336</x:v>
      </x:c>
      <x:c r="C369" s="2" t="str">
        <x:v>23077</x:v>
      </x:c>
      <x:c r="D369" s="2" t="str">
        <x:v>DOUGHNUT LIP GLOSS </x:v>
      </x:c>
      <x:c r="E369" s="11" t="n">
        <x:v>13720.77</x:v>
      </x:c>
      <x:c r="F369" s="11" t="n">
        <x:v>75</x:v>
      </x:c>
      <x:c r="G369" s="11" t="n">
        <x:v>13645.77</x:v>
      </x:c>
      <x:c r="H369" s="23" t="n">
        <x:v>0.0006682060218148692</x:v>
      </x:c>
      <x:c r="I369" s="23" t="n">
        <x:v>0.551044524431332</x:v>
      </x:c>
      <x:c r="J369" s="2" t="n">
        <x:v>344</x:v>
      </x:c>
      <x:c r="K369" s="2"/>
      <x:c r="L369" s="2"/>
    </x:row>
    <x:row r="370" ht="22" customHeight="1">
      <x:c r="A370" s="2"/>
      <x:c r="B370" s="2" t="n">
        <x:v>337</x:v>
      </x:c>
      <x:c r="C370" s="2" t="str">
        <x:v>21871</x:v>
      </x:c>
      <x:c r="D370" s="2" t="str">
        <x:v>SAVE THE PLANET MUG</x:v>
      </x:c>
      <x:c r="E370" s="11" t="n">
        <x:v>13710.29</x:v>
      </x:c>
      <x:c r="F370" s="11" t="n">
        <x:v>892.19</x:v>
      </x:c>
      <x:c r="G370" s="11" t="n">
        <x:v>12818.1</x:v>
      </x:c>
      <x:c r="H370" s="23" t="n">
        <x:v>0.0006676956423603182</x:v>
      </x:c>
      <x:c r="I370" s="23" t="n">
        <x:v>0.5517122200736924</x:v>
      </x:c>
      <x:c r="J370" s="2" t="n">
        <x:v>779</x:v>
      </x:c>
      <x:c r="K370" s="2"/>
      <x:c r="L370" s="2"/>
    </x:row>
    <x:row r="371" ht="22" customHeight="1">
      <x:c r="A371" s="2"/>
      <x:c r="B371" s="2" t="n">
        <x:v>338</x:v>
      </x:c>
      <x:c r="C371" s="2" t="str">
        <x:v>47556B</x:v>
      </x:c>
      <x:c r="D371" s="2" t="str">
        <x:v>TEA TIME TEA TOWELS </x:v>
      </x:c>
      <x:c r="E371" s="11" t="n">
        <x:v>13693.970000000001</x:v>
      </x:c>
      <x:c r="F371" s="11" t="n">
        <x:v>402.59999999999997</x:v>
      </x:c>
      <x:c r="G371" s="11" t="n">
        <x:v>13291.37</x:v>
      </x:c>
      <x:c r="H371" s="23" t="n">
        <x:v>0.0006669008529807121</x:v>
      </x:c>
      <x:c r="I371" s="23" t="n">
        <x:v>0.5523791209266731</x:v>
      </x:c>
      <x:c r="J371" s="2" t="n">
        <x:v>449</x:v>
      </x:c>
      <x:c r="K371" s="2"/>
      <x:c r="L371" s="2"/>
    </x:row>
    <x:row r="372" ht="22" customHeight="1">
      <x:c r="A372" s="2"/>
      <x:c r="B372" s="2" t="n">
        <x:v>339</x:v>
      </x:c>
      <x:c r="C372" s="2" t="str">
        <x:v>22667</x:v>
      </x:c>
      <x:c r="D372" s="2" t="str">
        <x:v>RECIPE BOX RETROSPOT </x:v>
      </x:c>
      <x:c r="E372" s="11" t="n">
        <x:v>13654.2</x:v>
      </x:c>
      <x:c r="F372" s="11" t="n">
        <x:v>428.90000000000003</x:v>
      </x:c>
      <x:c r="G372" s="11" t="n">
        <x:v>13225.300000000001</x:v>
      </x:c>
      <x:c r="H372" s="23" t="n">
        <x:v>0.0006649640408712184</x:v>
      </x:c>
      <x:c r="I372" s="23" t="n">
        <x:v>0.5530440849675443</x:v>
      </x:c>
      <x:c r="J372" s="2" t="n">
        <x:v>848</x:v>
      </x:c>
      <x:c r="K372" s="2"/>
      <x:c r="L372" s="2"/>
    </x:row>
    <x:row r="373" ht="22" customHeight="1">
      <x:c r="A373" s="2"/>
      <x:c r="B373" s="2" t="n">
        <x:v>340</x:v>
      </x:c>
      <x:c r="C373" s="2" t="str">
        <x:v>21539</x:v>
      </x:c>
      <x:c r="D373" s="2" t="str">
        <x:v>RED RETROSPOT BUTTER DISH</x:v>
      </x:c>
      <x:c r="E373" s="11" t="n">
        <x:v>13635.79</x:v>
      </x:c>
      <x:c r="F373" s="11" t="n">
        <x:v>334.31</x:v>
      </x:c>
      <x:c r="G373" s="11" t="n">
        <x:v>13301.480000000001</x:v>
      </x:c>
      <x:c r="H373" s="23" t="n">
        <x:v>0.0006640674678026798</x:v>
      </x:c>
      <x:c r="I373" s="23" t="n">
        <x:v>0.553708152435347</x:v>
      </x:c>
      <x:c r="J373" s="2" t="n">
        <x:v>709</x:v>
      </x:c>
      <x:c r="K373" s="2"/>
      <x:c r="L373" s="2"/>
    </x:row>
    <x:row r="374" ht="22" customHeight="1">
      <x:c r="A374" s="2"/>
      <x:c r="B374" s="2" t="n">
        <x:v>341</x:v>
      </x:c>
      <x:c r="C374" s="2" t="str">
        <x:v>21390</x:v>
      </x:c>
      <x:c r="D374" s="2" t="str">
        <x:v>FILIGRIS HEART WITH BUTTERFLY</x:v>
      </x:c>
      <x:c r="E374" s="11" t="n">
        <x:v>13625.47</x:v>
      </x:c>
      <x:c r="F374" s="11" t="n">
        <x:v>93.75</x:v>
      </x:c>
      <x:c r="G374" s="11" t="n">
        <x:v>13531.72</x:v>
      </x:c>
      <x:c r="H374" s="23" t="n">
        <x:v>0.00066356488040087</x:v>
      </x:c>
      <x:c r="I374" s="23" t="n">
        <x:v>0.5543717173157479</x:v>
      </x:c>
      <x:c r="J374" s="2" t="n">
        <x:v>588</x:v>
      </x:c>
      <x:c r="K374" s="2"/>
      <x:c r="L374" s="2"/>
    </x:row>
    <x:row r="375" ht="22" customHeight="1">
      <x:c r="A375" s="2"/>
      <x:c r="B375" s="2" t="n">
        <x:v>342</x:v>
      </x:c>
      <x:c r="C375" s="2" t="str">
        <x:v>22636</x:v>
      </x:c>
      <x:c r="D375" s="2" t="str">
        <x:v>CHILDS BREAKFAST SET CIRCUS PARADE</x:v>
      </x:c>
      <x:c r="E375" s="11" t="n">
        <x:v>13496.53</x:v>
      </x:c>
      <x:c r="F375" s="11" t="n">
        <x:v>375.7</x:v>
      </x:c>
      <x:c r="G375" s="11" t="n">
        <x:v>13120.83</x:v>
      </x:c>
      <x:c r="H375" s="23" t="n">
        <x:v>0.0006572854598980259</x:v>
      </x:c>
      <x:c r="I375" s="23" t="n">
        <x:v>0.5550290027756459</x:v>
      </x:c>
      <x:c r="J375" s="2" t="n">
        <x:v>489</x:v>
      </x:c>
      <x:c r="K375" s="2"/>
      <x:c r="L375" s="2"/>
    </x:row>
    <x:row r="376" ht="22" customHeight="1">
      <x:c r="A376" s="2"/>
      <x:c r="B376" s="2" t="n">
        <x:v>343</x:v>
      </x:c>
      <x:c r="C376" s="2" t="str">
        <x:v>23356</x:v>
      </x:c>
      <x:c r="D376" s="2" t="str">
        <x:v>LOVE HOT WATER BOTTLE</x:v>
      </x:c>
      <x:c r="E376" s="11" t="n">
        <x:v>13494.970000000001</x:v>
      </x:c>
      <x:c r="F376" s="11" t="n">
        <x:v>53.55</x:v>
      </x:c>
      <x:c r="G376" s="11" t="n">
        <x:v>13441.42</x:v>
      </x:c>
      <x:c r="H376" s="23" t="n">
        <x:v>0.0006572094873837989</x:v>
      </x:c>
      <x:c r="I376" s="23" t="n">
        <x:v>0.5556862122630297</x:v>
      </x:c>
      <x:c r="J376" s="2" t="n">
        <x:v>476</x:v>
      </x:c>
      <x:c r="K376" s="2"/>
      <x:c r="L376" s="2"/>
    </x:row>
    <x:row r="377" ht="22" customHeight="1">
      <x:c r="A377" s="2"/>
      <x:c r="B377" s="2" t="n">
        <x:v>344</x:v>
      </x:c>
      <x:c r="C377" s="2" t="str">
        <x:v>C2</x:v>
      </x:c>
      <x:c r="D377" s="2" t="str">
        <x:v>CARRIAGE</x:v>
      </x:c>
      <x:c r="E377" s="11" t="n">
        <x:v>13426</x:v>
      </x:c>
      <x:c r="F377" s="11" t="n">
        <x:v>290</x:v>
      </x:c>
      <x:c r="G377" s="11" t="n">
        <x:v>13136</x:v>
      </x:c>
      <x:c r="H377" s="23" t="n">
        <x:v>0.0006538506256490294</x:v>
      </x:c>
      <x:c r="I377" s="23" t="n">
        <x:v>0.5563400628886788</x:v>
      </x:c>
      <x:c r="J377" s="2" t="n">
        <x:v>267</x:v>
      </x:c>
      <x:c r="K377" s="2"/>
      <x:c r="L377" s="2"/>
    </x:row>
    <x:row r="378" ht="22" customHeight="1">
      <x:c r="A378" s="2"/>
      <x:c r="B378" s="2" t="n">
        <x:v>345</x:v>
      </x:c>
      <x:c r="C378" s="2" t="str">
        <x:v>23207</x:v>
      </x:c>
      <x:c r="D378" s="2" t="str">
        <x:v>LUNCH BAG ALPHABET DESIGN</x:v>
      </x:c>
      <x:c r="E378" s="11" t="n">
        <x:v>13360.2</x:v>
      </x:c>
      <x:c r="F378" s="11" t="n">
        <x:v>659.6</x:v>
      </x:c>
      <x:c r="G378" s="11" t="n">
        <x:v>12700.6</x:v>
      </x:c>
      <x:c r="H378" s="23" t="n">
        <x:v>0.0006506461439591959</x:v>
      </x:c>
      <x:c r="I378" s="23" t="n">
        <x:v>0.5569907090326379</x:v>
      </x:c>
      <x:c r="J378" s="2" t="n">
        <x:v>740</x:v>
      </x:c>
      <x:c r="K378" s="2"/>
      <x:c r="L378" s="2"/>
    </x:row>
    <x:row r="379" ht="22" customHeight="1">
      <x:c r="A379" s="2"/>
      <x:c r="B379" s="2" t="n">
        <x:v>346</x:v>
      </x:c>
      <x:c r="C379" s="2" t="str">
        <x:v>21673</x:v>
      </x:c>
      <x:c r="D379" s="2" t="str">
        <x:v>WHITE SPOT BLUE CERAMIC DRAWER KNOB</x:v>
      </x:c>
      <x:c r="E379" s="11" t="n">
        <x:v>13332.94</x:v>
      </x:c>
      <x:c r="F379" s="11" t="n">
        <x:v>143.95</x:v>
      </x:c>
      <x:c r="G379" s="11" t="n">
        <x:v>13188.99</x:v>
      </x:c>
      <x:c r="H379" s="23" t="n">
        <x:v>0.0006493185729734076</x:v>
      </x:c>
      <x:c r="I379" s="23" t="n">
        <x:v>0.5576400276056114</x:v>
      </x:c>
      <x:c r="J379" s="2" t="n">
        <x:v>763</x:v>
      </x:c>
      <x:c r="K379" s="2"/>
      <x:c r="L379" s="2"/>
    </x:row>
    <x:row r="380" ht="22" customHeight="1">
      <x:c r="A380" s="2"/>
      <x:c r="B380" s="2" t="n">
        <x:v>347</x:v>
      </x:c>
      <x:c r="C380" s="2" t="str">
        <x:v>22584</x:v>
      </x:c>
      <x:c r="D380" s="2" t="str">
        <x:v>PACK OF 6 PANETTONE GIFT BOXES</x:v>
      </x:c>
      <x:c r="E380" s="11" t="n">
        <x:v>13331.13</x:v>
      </x:c>
      <x:c r="F380" s="11" t="n">
        <x:v>425.85</x:v>
      </x:c>
      <x:c r="G380" s="11" t="n">
        <x:v>12905.28</x:v>
      </x:c>
      <x:c r="H380" s="23" t="n">
        <x:v>0.0006492304253767723</x:v>
      </x:c>
      <x:c r="I380" s="23" t="n">
        <x:v>0.5582892580309882</x:v>
      </x:c>
      <x:c r="J380" s="2" t="n">
        <x:v>589</x:v>
      </x:c>
      <x:c r="K380" s="2"/>
      <x:c r="L380" s="2"/>
    </x:row>
    <x:row r="381" ht="22" customHeight="1">
      <x:c r="A381" s="2"/>
      <x:c r="B381" s="2" t="n">
        <x:v>348</x:v>
      </x:c>
      <x:c r="C381" s="2" t="str">
        <x:v>22207</x:v>
      </x:c>
      <x:c r="D381" s="2" t="str">
        <x:v>FRYING PAN UNION FLAG</x:v>
      </x:c>
      <x:c r="E381" s="11" t="n">
        <x:v>13307.07</x:v>
      </x:c>
      <x:c r="F381" s="11" t="n">
        <x:v>324.75</x:v>
      </x:c>
      <x:c r="G381" s="11" t="n">
        <x:v>12982.32</x:v>
      </x:c>
      <x:c r="H381" s="23" t="n">
        <x:v>0.0006480586954458089</x:v>
      </x:c>
      <x:c r="I381" s="23" t="n">
        <x:v>0.558937316726434</x:v>
      </x:c>
      <x:c r="J381" s="2" t="n">
        <x:v>480</x:v>
      </x:c>
      <x:c r="K381" s="2"/>
      <x:c r="L381" s="2"/>
    </x:row>
    <x:row r="382" ht="22" customHeight="1">
      <x:c r="A382" s="2"/>
      <x:c r="B382" s="2" t="n">
        <x:v>349</x:v>
      </x:c>
      <x:c r="C382" s="2" t="str">
        <x:v>23108</x:v>
      </x:c>
      <x:c r="D382" s="2" t="str">
        <x:v>SET OF 10 LED DOLLY LIGHTS</x:v>
      </x:c>
      <x:c r="E382" s="11" t="n">
        <x:v>13303.019999999999</x:v>
      </x:c>
      <x:c r="F382" s="11" t="n">
        <x:v>317.6</x:v>
      </x:c>
      <x:c r="G382" s="11" t="n">
        <x:v>12985.42</x:v>
      </x:c>
      <x:c r="H382" s="23" t="n">
        <x:v>0.0006478614591107963</x:v>
      </x:c>
      <x:c r="I382" s="23" t="n">
        <x:v>0.5595851781855448</x:v>
      </x:c>
      <x:c r="J382" s="2" t="n">
        <x:v>372</x:v>
      </x:c>
      <x:c r="K382" s="2"/>
      <x:c r="L382" s="2"/>
    </x:row>
    <x:row r="383" ht="22" customHeight="1">
      <x:c r="A383" s="2"/>
      <x:c r="B383" s="2" t="n">
        <x:v>350</x:v>
      </x:c>
      <x:c r="C383" s="2" t="str">
        <x:v>21098</x:v>
      </x:c>
      <x:c r="D383" s="2" t="str">
        <x:v>CHRISTMAS TOILET ROLL</x:v>
      </x:c>
      <x:c r="E383" s="11" t="n">
        <x:v>13298.93</x:v>
      </x:c>
      <x:c r="F383" s="11" t="n">
        <x:v>246.39000000000001</x:v>
      </x:c>
      <x:c r="G383" s="11" t="n">
        <x:v>13052.54</x:v>
      </x:c>
      <x:c r="H383" s="23" t="n">
        <x:v>0.0006476622747625984</x:v>
      </x:c>
      <x:c r="I383" s="23" t="n">
        <x:v>0.5602328404603074</x:v>
      </x:c>
      <x:c r="J383" s="2" t="n">
        <x:v>596</x:v>
      </x:c>
      <x:c r="K383" s="2"/>
      <x:c r="L383" s="2"/>
    </x:row>
    <x:row r="384" ht="22" customHeight="1">
      <x:c r="A384" s="2"/>
      <x:c r="B384" s="2" t="n">
        <x:v>351</x:v>
      </x:c>
      <x:c r="C384" s="2" t="str">
        <x:v>23328</x:v>
      </x:c>
      <x:c r="D384" s="2" t="str">
        <x:v>SET 6 SCHOOL MILK BOTTLES IN CRATE</x:v>
      </x:c>
      <x:c r="E384" s="11" t="n">
        <x:v>13284.49</x:v>
      </x:c>
      <x:c r="F384" s="11" t="n">
        <x:v>29.64</x:v>
      </x:c>
      <x:c r="G384" s="11" t="n">
        <x:v>13254.85</x:v>
      </x:c>
      <x:c r="H384" s="23" t="n">
        <x:v>0.0006469590420027018</x:v>
      </x:c>
      <x:c r="I384" s="23" t="n">
        <x:v>0.5608797995023102</x:v>
      </x:c>
      <x:c r="J384" s="2" t="n">
        <x:v>405</x:v>
      </x:c>
      <x:c r="K384" s="2"/>
      <x:c r="L384" s="2"/>
    </x:row>
    <x:row r="385" ht="22" customHeight="1">
      <x:c r="A385" s="2"/>
      <x:c r="B385" s="2" t="n">
        <x:v>352</x:v>
      </x:c>
      <x:c r="C385" s="2" t="str">
        <x:v>22580</x:v>
      </x:c>
      <x:c r="D385" s="2" t="str">
        <x:v>ADVENT CALENDAR GINGHAM SACK</x:v>
      </x:c>
      <x:c r="E385" s="11" t="n">
        <x:v>13283.880000000001</x:v>
      </x:c>
      <x:c r="F385" s="11" t="n">
        <x:v>331.8</x:v>
      </x:c>
      <x:c r="G385" s="11" t="n">
        <x:v>12952.08</x:v>
      </x:c>
      <x:c r="H385" s="23" t="n">
        <x:v>0.000646929334801626</x:v>
      </x:c>
      <x:c r="I385" s="23" t="n">
        <x:v>0.5615267288371117</x:v>
      </x:c>
      <x:c r="J385" s="2" t="n">
        <x:v>495</x:v>
      </x:c>
      <x:c r="K385" s="2"/>
      <x:c r="L385" s="2"/>
    </x:row>
    <x:row r="386" ht="22" customHeight="1">
      <x:c r="A386" s="2"/>
      <x:c r="B386" s="2" t="n">
        <x:v>353</x:v>
      </x:c>
      <x:c r="C386" s="2" t="str">
        <x:v>22846</x:v>
      </x:c>
      <x:c r="D386" s="2" t="str">
        <x:v>BREAD BIN DINER STYLE RED </x:v>
      </x:c>
      <x:c r="E386" s="11" t="n">
        <x:v>13281.769999999999</x:v>
      </x:c>
      <x:c r="F386" s="11" t="n">
        <x:v>450.59999999999997</x:v>
      </x:c>
      <x:c r="G386" s="11" t="n">
        <x:v>12831.17</x:v>
      </x:c>
      <x:c r="H386" s="23" t="n">
        <x:v>0.0006468265771061007</x:v>
      </x:c>
      <x:c r="I386" s="23" t="n">
        <x:v>0.5621735554142179</x:v>
      </x:c>
      <x:c r="J386" s="2" t="n">
        <x:v>346</x:v>
      </x:c>
      <x:c r="K386" s="2"/>
      <x:c r="L386" s="2"/>
    </x:row>
    <x:row r="387" ht="22" customHeight="1">
      <x:c r="A387" s="2"/>
      <x:c r="B387" s="2" t="n">
        <x:v>354</x:v>
      </x:c>
      <x:c r="C387" s="2" t="str">
        <x:v>22838</x:v>
      </x:c>
      <x:c r="D387" s="2" t="str">
        <x:v>3 TIER CAKE TIN RED AND CREAM</x:v>
      </x:c>
      <x:c r="E387" s="11" t="n">
        <x:v>13280.66</x:v>
      </x:c>
      <x:c r="F387" s="11" t="n">
        <x:v>1816.6999999999998</x:v>
      </x:c>
      <x:c r="G387" s="11" t="n">
        <x:v>11463.96</x:v>
      </x:c>
      <x:c r="H387" s="23" t="n">
        <x:v>0.0006467725197402084</x:v>
      </x:c>
      <x:c r="I387" s="23" t="n">
        <x:v>0.5628203279339581</x:v>
      </x:c>
      <x:c r="J387" s="2" t="n">
        <x:v>271</x:v>
      </x:c>
      <x:c r="K387" s="2"/>
      <x:c r="L387" s="2"/>
    </x:row>
    <x:row r="388" ht="22" customHeight="1">
      <x:c r="A388" s="2"/>
      <x:c r="B388" s="2" t="n">
        <x:v>355</x:v>
      </x:c>
      <x:c r="C388" s="2" t="str">
        <x:v>21704</x:v>
      </x:c>
      <x:c r="D388" s="2" t="str">
        <x:v>BAG 250g SWIRLY MARBLES</x:v>
      </x:c>
      <x:c r="E388" s="11" t="n">
        <x:v>13239.41</x:v>
      </x:c>
      <x:c r="F388" s="11" t="n">
        <x:v>512.07</x:v>
      </x:c>
      <x:c r="G388" s="11" t="n">
        <x:v>12727.339999999998</x:v>
      </x:c>
      <x:c r="H388" s="23" t="n">
        <x:v>0.0006447636311428584</x:v>
      </x:c>
      <x:c r="I388" s="23" t="n">
        <x:v>0.5634650915651009</x:v>
      </x:c>
      <x:c r="J388" s="2" t="n">
        <x:v>568</x:v>
      </x:c>
      <x:c r="K388" s="2"/>
      <x:c r="L388" s="2"/>
    </x:row>
    <x:row r="389" ht="22" customHeight="1">
      <x:c r="A389" s="2"/>
      <x:c r="B389" s="2" t="n">
        <x:v>356</x:v>
      </x:c>
      <x:c r="C389" s="2" t="str">
        <x:v>15044A</x:v>
      </x:c>
      <x:c r="D389" s="2" t="str">
        <x:v>PINK PAPER PARASOL </x:v>
      </x:c>
      <x:c r="E389" s="11" t="n">
        <x:v>13228.550000000001</x:v>
      </x:c>
      <x:c r="F389" s="11" t="n">
        <x:v>8.05</x:v>
      </x:c>
      <x:c r="G389" s="11" t="n">
        <x:v>13220.5</x:v>
      </x:c>
      <x:c r="H389" s="23" t="n">
        <x:v>0.000644234745563047</x:v>
      </x:c>
      <x:c r="I389" s="23" t="n">
        <x:v>0.564109326310664</x:v>
      </x:c>
      <x:c r="J389" s="2" t="n">
        <x:v>250</x:v>
      </x:c>
      <x:c r="K389" s="2"/>
      <x:c r="L389" s="2"/>
    </x:row>
    <x:row r="390" ht="22" customHeight="1">
      <x:c r="A390" s="2"/>
      <x:c r="B390" s="2" t="n">
        <x:v>357</x:v>
      </x:c>
      <x:c r="C390" s="2" t="str">
        <x:v>75049L</x:v>
      </x:c>
      <x:c r="D390" s="2" t="str">
        <x:v>LARGE CIRCULAR MIRROR MOBILE</x:v>
      </x:c>
      <x:c r="E390" s="11" t="n">
        <x:v>13183.8</x:v>
      </x:c>
      <x:c r="F390" s="11" t="n">
        <x:v>808.75</x:v>
      </x:c>
      <x:c r="G390" s="11" t="n">
        <x:v>12375.05</x:v>
      </x:c>
      <x:c r="H390" s="23" t="n">
        <x:v>0.0006420554058119822</x:v>
      </x:c>
      <x:c r="I390" s="23" t="n">
        <x:v>0.564751381716476</x:v>
      </x:c>
      <x:c r="J390" s="2" t="n">
        <x:v>344</x:v>
      </x:c>
      <x:c r="K390" s="2"/>
      <x:c r="L390" s="2"/>
    </x:row>
    <x:row r="391" ht="22" customHeight="1">
      <x:c r="A391" s="2"/>
      <x:c r="B391" s="2" t="n">
        <x:v>358</x:v>
      </x:c>
      <x:c r="C391" s="2" t="str">
        <x:v>20676</x:v>
      </x:c>
      <x:c r="D391" s="2" t="str">
        <x:v>RED RETROSPOT BOWL</x:v>
      </x:c>
      <x:c r="E391" s="11" t="n">
        <x:v>13173.2</x:v>
      </x:c>
      <x:c r="F391" s="11" t="n">
        <x:v>156.81</x:v>
      </x:c>
      <x:c r="G391" s="11" t="n">
        <x:v>13016.390000000001</x:v>
      </x:c>
      <x:c r="H391" s="23" t="n">
        <x:v>0.0006415391823178754</x:v>
      </x:c>
      <x:c r="I391" s="23" t="n">
        <x:v>0.5653929208987939</x:v>
      </x:c>
      <x:c r="J391" s="2" t="n">
        <x:v>966</x:v>
      </x:c>
      <x:c r="K391" s="2"/>
      <x:c r="L391" s="2"/>
    </x:row>
    <x:row r="392" ht="22" customHeight="1">
      <x:c r="A392" s="2"/>
      <x:c r="B392" s="2" t="n">
        <x:v>359</x:v>
      </x:c>
      <x:c r="C392" s="2" t="str">
        <x:v>22464</x:v>
      </x:c>
      <x:c r="D392" s="2" t="str">
        <x:v>HANGING METAL HEART LANTERN</x:v>
      </x:c>
      <x:c r="E392" s="11" t="n">
        <x:v>13132.949999999999</x:v>
      </x:c>
      <x:c r="F392" s="11" t="n">
        <x:v>378.9</x:v>
      </x:c>
      <x:c r="G392" s="11" t="n">
        <x:v>12754.05</x:v>
      </x:c>
      <x:c r="H392" s="23" t="n">
        <x:v>0.000639578994050158</x:v>
      </x:c>
      <x:c r="I392" s="23" t="n">
        <x:v>0.5660324998928441</x:v>
      </x:c>
      <x:c r="J392" s="2" t="n">
        <x:v>784</x:v>
      </x:c>
      <x:c r="K392" s="2"/>
      <x:c r="L392" s="2"/>
    </x:row>
    <x:row r="393" ht="22" customHeight="1">
      <x:c r="A393" s="2"/>
      <x:c r="B393" s="2" t="n">
        <x:v>360</x:v>
      </x:c>
      <x:c r="C393" s="2" t="str">
        <x:v>22553</x:v>
      </x:c>
      <x:c r="D393" s="2" t="str">
        <x:v>PLASTERS IN TIN SKULLS</x:v>
      </x:c>
      <x:c r="E393" s="11" t="n">
        <x:v>13131.949999999999</x:v>
      </x:c>
      <x:c r="F393" s="11" t="n">
        <x:v>158.39999999999998</x:v>
      </x:c>
      <x:c r="G393" s="11" t="n">
        <x:v>12973.55</x:v>
      </x:c>
      <x:c r="H393" s="23" t="n">
        <x:v>0.0006395302937205251</x:v>
      </x:c>
      <x:c r="I393" s="23" t="n">
        <x:v>0.5666720301865646</x:v>
      </x:c>
      <x:c r="J393" s="2" t="n">
        <x:v>1090</x:v>
      </x:c>
      <x:c r="K393" s="2"/>
      <x:c r="L393" s="2"/>
    </x:row>
    <x:row r="394" ht="22" customHeight="1">
      <x:c r="A394" s="2"/>
      <x:c r="B394" s="2" t="n">
        <x:v>361</x:v>
      </x:c>
      <x:c r="C394" s="2" t="str">
        <x:v>21935</x:v>
      </x:c>
      <x:c r="D394" s="2" t="str">
        <x:v>SUKI  SHOULDER BAG</x:v>
      </x:c>
      <x:c r="E394" s="11" t="n">
        <x:v>13103.21</x:v>
      </x:c>
      <x:c r="F394" s="11" t="n">
        <x:v>196.15</x:v>
      </x:c>
      <x:c r="G394" s="11" t="n">
        <x:v>12907.06</x:v>
      </x:c>
      <x:c r="H394" s="23" t="n">
        <x:v>0.0006381306462468805</x:v>
      </x:c>
      <x:c r="I394" s="23" t="n">
        <x:v>0.5673101608328115</x:v>
      </x:c>
      <x:c r="J394" s="2" t="n">
        <x:v>921</x:v>
      </x:c>
      <x:c r="K394" s="2"/>
      <x:c r="L394" s="2"/>
    </x:row>
    <x:row r="395" ht="22" customHeight="1">
      <x:c r="A395" s="2"/>
      <x:c r="B395" s="2" t="n">
        <x:v>362</x:v>
      </x:c>
      <x:c r="C395" s="2" t="str">
        <x:v>22088</x:v>
      </x:c>
      <x:c r="D395" s="2" t="str">
        <x:v>PAPER BUNTING COLOURED LACE</x:v>
      </x:c>
      <x:c r="E395" s="11" t="n">
        <x:v>13082.78</x:v>
      </x:c>
      <x:c r="F395" s="11" t="n">
        <x:v>198.04999999999998</x:v>
      </x:c>
      <x:c r="G395" s="11" t="n">
        <x:v>12884.730000000001</x:v>
      </x:c>
      <x:c r="H395" s="23" t="n">
        <x:v>0.000637135698512484</x:v>
      </x:c>
      <x:c r="I395" s="23" t="n">
        <x:v>0.567947296531324</x:v>
      </x:c>
      <x:c r="J395" s="2" t="n">
        <x:v>619</x:v>
      </x:c>
      <x:c r="K395" s="2"/>
      <x:c r="L395" s="2"/>
    </x:row>
    <x:row r="396" ht="22" customHeight="1">
      <x:c r="A396" s="2"/>
      <x:c r="B396" s="2" t="n">
        <x:v>363</x:v>
      </x:c>
      <x:c r="C396" s="2" t="str">
        <x:v>22766</x:v>
      </x:c>
      <x:c r="D396" s="2" t="str">
        <x:v>PHOTO FRAME CORNICE</x:v>
      </x:c>
      <x:c r="E396" s="11" t="n">
        <x:v>12979.300000000001</x:v>
      </x:c>
      <x:c r="F396" s="11" t="n">
        <x:v>185.85000000000002</x:v>
      </x:c>
      <x:c r="G396" s="11" t="n">
        <x:v>12793.45</x:v>
      </x:c>
      <x:c r="H396" s="23" t="n">
        <x:v>0.0006320961884020891</x:v>
      </x:c>
      <x:c r="I396" s="23" t="n">
        <x:v>0.5685793927197261</x:v>
      </x:c>
      <x:c r="J396" s="2" t="n">
        <x:v>640</x:v>
      </x:c>
      <x:c r="K396" s="2"/>
      <x:c r="L396" s="2"/>
    </x:row>
    <x:row r="397" ht="22" customHeight="1">
      <x:c r="A397" s="2"/>
      <x:c r="B397" s="2" t="n">
        <x:v>364</x:v>
      </x:c>
      <x:c r="C397" s="2" t="str">
        <x:v>84988</x:v>
      </x:c>
      <x:c r="D397" s="2" t="str">
        <x:v>SET OF 72 PINK HEART PAPER DOILIES</x:v>
      </x:c>
      <x:c r="E397" s="11" t="n">
        <x:v>12929.189999999999</x:v>
      </x:c>
      <x:c r="F397" s="11" t="n">
        <x:v>91.27</x:v>
      </x:c>
      <x:c r="G397" s="11" t="n">
        <x:v>12837.92</x:v>
      </x:c>
      <x:c r="H397" s="23" t="n">
        <x:v>0.0006296558148841929</x:v>
      </x:c>
      <x:c r="I397" s="23" t="n">
        <x:v>0.5692090485346103</x:v>
      </x:c>
      <x:c r="J397" s="2" t="n">
        <x:v>1019</x:v>
      </x:c>
      <x:c r="K397" s="2"/>
      <x:c r="L397" s="2"/>
    </x:row>
    <x:row r="398" ht="22" customHeight="1">
      <x:c r="A398" s="2"/>
      <x:c r="B398" s="2" t="n">
        <x:v>365</x:v>
      </x:c>
      <x:c r="C398" s="2" t="str">
        <x:v>21906</x:v>
      </x:c>
      <x:c r="D398" s="2" t="str">
        <x:v>PHARMACIE FIRST AID TIN</x:v>
      </x:c>
      <x:c r="E398" s="11" t="n">
        <x:v>12919.960000000001</x:v>
      </x:c>
      <x:c r="F398" s="11" t="n">
        <x:v>263.25</x:v>
      </x:c>
      <x:c r="G398" s="11" t="n">
        <x:v>12656.710000000001</x:v>
      </x:c>
      <x:c r="H398" s="23" t="n">
        <x:v>0.0006292063108416829</x:v>
      </x:c>
      <x:c r="I398" s="23" t="n">
        <x:v>0.569838254845452</x:v>
      </x:c>
      <x:c r="J398" s="2" t="n">
        <x:v>424</x:v>
      </x:c>
      <x:c r="K398" s="2"/>
      <x:c r="L398" s="2"/>
    </x:row>
    <x:row r="399" ht="22" customHeight="1">
      <x:c r="A399" s="2"/>
      <x:c r="B399" s="2" t="n">
        <x:v>366</x:v>
      </x:c>
      <x:c r="C399" s="2" t="str">
        <x:v>22655</x:v>
      </x:c>
      <x:c r="D399" s="2" t="str">
        <x:v>VINTAGE RED KITCHEN CABINET</x:v>
      </x:c>
      <x:c r="E399" s="11" t="n">
        <x:v>12845</x:v>
      </x:c>
      <x:c r="F399" s="11" t="n">
        <x:v>2320.5</x:v>
      </x:c>
      <x:c r="G399" s="11" t="n">
        <x:v>10524.5</x:v>
      </x:c>
      <x:c r="H399" s="23" t="n">
        <x:v>0.0006255557341324135</x:v>
      </x:c>
      <x:c r="I399" s="23" t="n">
        <x:v>0.5704638105795844</x:v>
      </x:c>
      <x:c r="J399" s="2" t="n">
        <x:v>53</x:v>
      </x:c>
      <x:c r="K399" s="2"/>
      <x:c r="L399" s="2"/>
    </x:row>
    <x:row r="400" ht="22" customHeight="1">
      <x:c r="A400" s="2"/>
      <x:c r="B400" s="2" t="n">
        <x:v>367</x:v>
      </x:c>
      <x:c r="C400" s="2" t="str">
        <x:v>22198</x:v>
      </x:c>
      <x:c r="D400" s="2" t="str">
        <x:v>LARGE POPCORN HOLDER </x:v>
      </x:c>
      <x:c r="E400" s="11" t="n">
        <x:v>12782.71</x:v>
      </x:c>
      <x:c r="F400" s="11" t="n">
        <x:v>347.29999999999995</x:v>
      </x:c>
      <x:c r="G400" s="11" t="n">
        <x:v>12435.41</x:v>
      </x:c>
      <x:c r="H400" s="23" t="n">
        <x:v>0.0006225221905995907</x:v>
      </x:c>
      <x:c r="I400" s="23" t="n">
        <x:v>0.571086332770184</x:v>
      </x:c>
      <x:c r="J400" s="2" t="n">
        <x:v>646</x:v>
      </x:c>
      <x:c r="K400" s="2"/>
      <x:c r="L400" s="2"/>
    </x:row>
    <x:row r="401" ht="22" customHeight="1">
      <x:c r="A401" s="2"/>
      <x:c r="B401" s="2" t="n">
        <x:v>368</x:v>
      </x:c>
      <x:c r="C401" s="2" t="str">
        <x:v>22646</x:v>
      </x:c>
      <x:c r="D401" s="2" t="str">
        <x:v>CERAMIC STRAWBERRY CAKE MONEY BANK</x:v>
      </x:c>
      <x:c r="E401" s="11" t="n">
        <x:v>12735.91</x:v>
      </x:c>
      <x:c r="F401" s="11" t="n">
        <x:v>155</x:v>
      </x:c>
      <x:c r="G401" s="11" t="n">
        <x:v>12580.91</x:v>
      </x:c>
      <x:c r="H401" s="23" t="n">
        <x:v>0.000620243015172779</x:v>
      </x:c>
      <x:c r="I401" s="23" t="n">
        <x:v>0.5717065757853568</x:v>
      </x:c>
      <x:c r="J401" s="2" t="n">
        <x:v>880</x:v>
      </x:c>
      <x:c r="K401" s="2"/>
      <x:c r="L401" s="2"/>
    </x:row>
    <x:row r="402" ht="22" customHeight="1">
      <x:c r="A402" s="2"/>
      <x:c r="B402" s="2" t="n">
        <x:v>369</x:v>
      </x:c>
      <x:c r="C402" s="2" t="str">
        <x:v>22303</x:v>
      </x:c>
      <x:c r="D402" s="2" t="str">
        <x:v>COFFEE MUG APPLES DESIGN</x:v>
      </x:c>
      <x:c r="E402" s="11" t="n">
        <x:v>12734.78</x:v>
      </x:c>
      <x:c r="F402" s="11" t="n">
        <x:v>336.45</x:v>
      </x:c>
      <x:c r="G402" s="11" t="n">
        <x:v>12398.33</x:v>
      </x:c>
      <x:c r="H402" s="23" t="n">
        <x:v>0.000620187983800294</x:v>
      </x:c>
      <x:c r="I402" s="23" t="n">
        <x:v>0.572326763769157</x:v>
      </x:c>
      <x:c r="J402" s="2" t="n">
        <x:v>540</x:v>
      </x:c>
      <x:c r="K402" s="2"/>
      <x:c r="L402" s="2"/>
    </x:row>
    <x:row r="403" ht="22" customHeight="1">
      <x:c r="A403" s="2"/>
      <x:c r="B403" s="2" t="n">
        <x:v>370</x:v>
      </x:c>
      <x:c r="C403" s="2" t="str">
        <x:v>22947</x:v>
      </x:c>
      <x:c r="D403" s="2" t="str">
        <x:v>WOODEN ADVENT CALENDAR RED</x:v>
      </x:c>
      <x:c r="E403" s="11" t="n">
        <x:v>12704.15</x:v>
      </x:c>
      <x:c r="F403" s="11" t="n">
        <x:v>221.26999999999998</x:v>
      </x:c>
      <x:c r="G403" s="11" t="n">
        <x:v>12482.88</x:v>
      </x:c>
      <x:c r="H403" s="23" t="n">
        <x:v>0.0006186962927036434</x:v>
      </x:c>
      <x:c r="I403" s="23" t="n">
        <x:v>0.5729454600618606</x:v>
      </x:c>
      <x:c r="J403" s="2" t="n">
        <x:v>209</x:v>
      </x:c>
      <x:c r="K403" s="2"/>
      <x:c r="L403" s="2"/>
    </x:row>
    <x:row r="404" ht="22" customHeight="1">
      <x:c r="A404" s="2"/>
      <x:c r="B404" s="2" t="n">
        <x:v>371</x:v>
      </x:c>
      <x:c r="C404" s="2" t="str">
        <x:v>22616</x:v>
      </x:c>
      <x:c r="D404" s="2" t="str">
        <x:v>PACK OF 12 LONDON TISSUES </x:v>
      </x:c>
      <x:c r="E404" s="11" t="n">
        <x:v>12476.99</x:v>
      </x:c>
      <x:c r="F404" s="11" t="n">
        <x:v>22.08</x:v>
      </x:c>
      <x:c r="G404" s="11" t="n">
        <x:v>12454.91</x:v>
      </x:c>
      <x:c r="H404" s="23" t="n">
        <x:v>0.0006076335258242726</x:v>
      </x:c>
      <x:c r="I404" s="23" t="n">
        <x:v>0.5735530935876849</x:v>
      </x:c>
      <x:c r="J404" s="2" t="n">
        <x:v>825</x:v>
      </x:c>
      <x:c r="K404" s="2"/>
      <x:c r="L404" s="2"/>
    </x:row>
    <x:row r="405" ht="22" customHeight="1">
      <x:c r="A405" s="2"/>
      <x:c r="B405" s="2" t="n">
        <x:v>372</x:v>
      </x:c>
      <x:c r="C405" s="2" t="str">
        <x:v>22623</x:v>
      </x:c>
      <x:c r="D405" s="2" t="str">
        <x:v>BOX OF VINTAGE JIGSAW BLOCKS </x:v>
      </x:c>
      <x:c r="E405" s="11" t="n">
        <x:v>12454.08</x:v>
      </x:c>
      <x:c r="F405" s="11" t="n">
        <x:v>355.05</x:v>
      </x:c>
      <x:c r="G405" s="11" t="n">
        <x:v>12099.03</x:v>
      </x:c>
      <x:c r="H405" s="23" t="n">
        <x:v>0.0006065178012723868</x:v>
      </x:c>
      <x:c r="I405" s="23" t="n">
        <x:v>0.5741596113889573</x:v>
      </x:c>
      <x:c r="J405" s="2" t="n">
        <x:v>541</x:v>
      </x:c>
      <x:c r="K405" s="2"/>
      <x:c r="L405" s="2"/>
    </x:row>
    <x:row r="406" ht="22" customHeight="1">
      <x:c r="A406" s="2"/>
      <x:c r="B406" s="2" t="n">
        <x:v>373</x:v>
      </x:c>
      <x:c r="C406" s="2" t="str">
        <x:v>62018</x:v>
      </x:c>
      <x:c r="D406" s="2" t="str">
        <x:v>SOMBRERO </x:v>
      </x:c>
      <x:c r="E406" s="11" t="n">
        <x:v>12450.85</x:v>
      </x:c>
      <x:c r="F406" s="11" t="n">
        <x:v>0</x:v>
      </x:c>
      <x:c r="G406" s="11" t="n">
        <x:v>12450.85</x:v>
      </x:c>
      <x:c r="H406" s="23" t="n">
        <x:v>0.000606360499207673</x:v>
      </x:c>
      <x:c r="I406" s="23" t="n">
        <x:v>0.574765971888165</x:v>
      </x:c>
      <x:c r="J406" s="2" t="n">
        <x:v>127</x:v>
      </x:c>
      <x:c r="K406" s="2"/>
      <x:c r="L406" s="2"/>
    </x:row>
    <x:row r="407" ht="22" customHeight="1">
      <x:c r="A407" s="2"/>
      <x:c r="B407" s="2" t="n">
        <x:v>374</x:v>
      </x:c>
      <x:c r="C407" s="2" t="str">
        <x:v>22144</x:v>
      </x:c>
      <x:c r="D407" s="2" t="str">
        <x:v>CHRISTMAS CRAFT LITTLE FRIENDS</x:v>
      </x:c>
      <x:c r="E407" s="11" t="n">
        <x:v>12411.87</x:v>
      </x:c>
      <x:c r="F407" s="11" t="n">
        <x:v>98.7</x:v>
      </x:c>
      <x:c r="G407" s="11" t="n">
        <x:v>12313.17</x:v>
      </x:c>
      <x:c r="H407" s="23" t="n">
        <x:v>0.0006044621603585893</x:v>
      </x:c>
      <x:c r="I407" s="23" t="n">
        <x:v>0.5753704340485236</x:v>
      </x:c>
      <x:c r="J407" s="2" t="n">
        <x:v>704</x:v>
      </x:c>
      <x:c r="K407" s="2"/>
      <x:c r="L407" s="2"/>
    </x:row>
    <x:row r="408" ht="22" customHeight="1">
      <x:c r="A408" s="2"/>
      <x:c r="B408" s="2" t="n">
        <x:v>375</x:v>
      </x:c>
      <x:c r="C408" s="2" t="str">
        <x:v>21671</x:v>
      </x:c>
      <x:c r="D408" s="2" t="str">
        <x:v>RED SPOT CERAMIC DRAWER KNOB</x:v>
      </x:c>
      <x:c r="E408" s="11" t="n">
        <x:v>12386.82</x:v>
      </x:c>
      <x:c r="F408" s="11" t="n">
        <x:v>237.31</x:v>
      </x:c>
      <x:c r="G408" s="11" t="n">
        <x:v>12149.51</x:v>
      </x:c>
      <x:c r="H408" s="23" t="n">
        <x:v>0.0006032422171012893</x:v>
      </x:c>
      <x:c r="I408" s="23" t="n">
        <x:v>0.5759736762656249</x:v>
      </x:c>
      <x:c r="J408" s="2" t="n">
        <x:v>727</x:v>
      </x:c>
      <x:c r="K408" s="2"/>
      <x:c r="L408" s="2"/>
    </x:row>
    <x:row r="409" ht="22" customHeight="1">
      <x:c r="A409" s="2"/>
      <x:c r="B409" s="2" t="n">
        <x:v>376</x:v>
      </x:c>
      <x:c r="C409" s="2" t="str">
        <x:v>22082</x:v>
      </x:c>
      <x:c r="D409" s="2" t="str">
        <x:v>RIBBON REEL STRIPES DESIGN </x:v>
      </x:c>
      <x:c r="E409" s="11" t="n">
        <x:v>12353.75</x:v>
      </x:c>
      <x:c r="F409" s="11" t="n">
        <x:v>51.15</x:v>
      </x:c>
      <x:c r="G409" s="11" t="n">
        <x:v>12302.6</x:v>
      </x:c>
      <x:c r="H409" s="23" t="n">
        <x:v>0.0006016316972003349</x:v>
      </x:c>
      <x:c r="I409" s="23" t="n">
        <x:v>0.5765753079628252</x:v>
      </x:c>
      <x:c r="J409" s="2" t="n">
        <x:v>957</x:v>
      </x:c>
      <x:c r="K409" s="2"/>
      <x:c r="L409" s="2"/>
    </x:row>
    <x:row r="410" ht="22" customHeight="1">
      <x:c r="A410" s="2"/>
      <x:c r="B410" s="2" t="n">
        <x:v>377</x:v>
      </x:c>
      <x:c r="C410" s="2" t="str">
        <x:v>23174</x:v>
      </x:c>
      <x:c r="D410" s="2" t="str">
        <x:v>REGENCY SUGAR BOWL GREEN</x:v>
      </x:c>
      <x:c r="E410" s="11" t="n">
        <x:v>12350.73</x:v>
      </x:c>
      <x:c r="F410" s="11" t="n">
        <x:v>345.2</x:v>
      </x:c>
      <x:c r="G410" s="11" t="n">
        <x:v>12005.53</x:v>
      </x:c>
      <x:c r="H410" s="23" t="n">
        <x:v>0.0006014846222048441</x:v>
      </x:c>
      <x:c r="I410" s="23" t="n">
        <x:v>0.5771767925850301</x:v>
      </x:c>
      <x:c r="J410" s="2" t="n">
        <x:v>322</x:v>
      </x:c>
      <x:c r="K410" s="2"/>
      <x:c r="L410" s="2"/>
    </x:row>
    <x:row r="411" ht="22" customHeight="1">
      <x:c r="A411" s="2"/>
      <x:c r="B411" s="2" t="n">
        <x:v>378</x:v>
      </x:c>
      <x:c r="C411" s="2" t="str">
        <x:v>22631</x:v>
      </x:c>
      <x:c r="D411" s="2" t="str">
        <x:v>CIRCUS PARADE LUNCH BOX </x:v>
      </x:c>
      <x:c r="E411" s="11" t="n">
        <x:v>12255.5</x:v>
      </x:c>
      <x:c r="F411" s="11" t="n">
        <x:v>70.19999999999999</x:v>
      </x:c>
      <x:c r="G411" s="11" t="n">
        <x:v>12185.3</x:v>
      </x:c>
      <x:c r="H411" s="23" t="n">
        <x:v>0.0005968468898139193</x:v>
      </x:c>
      <x:c r="I411" s="23" t="n">
        <x:v>0.577773639474844</x:v>
      </x:c>
      <x:c r="J411" s="2" t="n">
        <x:v>663</x:v>
      </x:c>
      <x:c r="K411" s="2"/>
      <x:c r="L411" s="2"/>
    </x:row>
    <x:row r="412" ht="22" customHeight="1">
      <x:c r="A412" s="2"/>
      <x:c r="B412" s="2" t="n">
        <x:v>379</x:v>
      </x:c>
      <x:c r="C412" s="2" t="str">
        <x:v>15056P</x:v>
      </x:c>
      <x:c r="D412" s="2" t="str">
        <x:v>EDWARDIAN PARASOL PINK</x:v>
      </x:c>
      <x:c r="E412" s="11" t="n">
        <x:v>12246.77</x:v>
      </x:c>
      <x:c r="F412" s="11" t="n">
        <x:v>1091.05</x:v>
      </x:c>
      <x:c r="G412" s="11" t="n">
        <x:v>11155.720000000001</x:v>
      </x:c>
      <x:c r="H412" s="23" t="n">
        <x:v>0.0005964217359362256</x:v>
      </x:c>
      <x:c r="I412" s="23" t="n">
        <x:v>0.5783700612107802</x:v>
      </x:c>
      <x:c r="J412" s="2" t="n">
        <x:v>344</x:v>
      </x:c>
      <x:c r="K412" s="2"/>
      <x:c r="L412" s="2"/>
    </x:row>
    <x:row r="413" ht="22" customHeight="1">
      <x:c r="A413" s="2"/>
      <x:c r="B413" s="2" t="n">
        <x:v>380</x:v>
      </x:c>
      <x:c r="C413" s="2" t="str">
        <x:v>85042</x:v>
      </x:c>
      <x:c r="D413" s="2" t="str">
        <x:v>ANTIQUE LILY FAIRY LIGHTS</x:v>
      </x:c>
      <x:c r="E413" s="11" t="n">
        <x:v>12239.51</x:v>
      </x:c>
      <x:c r="F413" s="11" t="n">
        <x:v>757.4</x:v>
      </x:c>
      <x:c r="G413" s="11" t="n">
        <x:v>11482.11</x:v>
      </x:c>
      <x:c r="H413" s="23" t="n">
        <x:v>0.000596068171543092</x:v>
      </x:c>
      <x:c r="I413" s="23" t="n">
        <x:v>0.5789661293823233</x:v>
      </x:c>
      <x:c r="J413" s="2" t="n">
        <x:v>292</x:v>
      </x:c>
      <x:c r="K413" s="2"/>
      <x:c r="L413" s="2"/>
    </x:row>
    <x:row r="414" ht="22" customHeight="1">
      <x:c r="A414" s="2"/>
      <x:c r="B414" s="2" t="n">
        <x:v>381</x:v>
      </x:c>
      <x:c r="C414" s="2" t="str">
        <x:v>22301</x:v>
      </x:c>
      <x:c r="D414" s="2" t="str">
        <x:v>COFFEE MUG CAT + BIRD DESIGN</x:v>
      </x:c>
      <x:c r="E414" s="11" t="n">
        <x:v>12231.88</x:v>
      </x:c>
      <x:c r="F414" s="11" t="n">
        <x:v>192</x:v>
      </x:c>
      <x:c r="G414" s="11" t="n">
        <x:v>12039.88</x:v>
      </x:c>
      <x:c r="H414" s="23" t="n">
        <x:v>0.0005956965880279942</x:v>
      </x:c>
      <x:c r="I414" s="23" t="n">
        <x:v>0.5795618259703513</x:v>
      </x:c>
      <x:c r="J414" s="2" t="n">
        <x:v>643</x:v>
      </x:c>
      <x:c r="K414" s="2"/>
      <x:c r="L414" s="2"/>
    </x:row>
    <x:row r="415" ht="22" customHeight="1">
      <x:c r="A415" s="2"/>
      <x:c r="B415" s="2" t="n">
        <x:v>382</x:v>
      </x:c>
      <x:c r="C415" s="2" t="str">
        <x:v>21124</x:v>
      </x:c>
      <x:c r="D415" s="2" t="str">
        <x:v>SET/10 BLUE POLKADOT PARTY CANDLES</x:v>
      </x:c>
      <x:c r="E415" s="11" t="n">
        <x:v>12184.04</x:v>
      </x:c>
      <x:c r="F415" s="11" t="n">
        <x:v>61.25</x:v>
      </x:c>
      <x:c r="G415" s="11" t="n">
        <x:v>12122.79</x:v>
      </x:c>
      <x:c r="H415" s="23" t="n">
        <x:v>0.0005933667642583644</x:v>
      </x:c>
      <x:c r="I415" s="23" t="n">
        <x:v>0.5801551927346097</x:v>
      </x:c>
      <x:c r="J415" s="2" t="n">
        <x:v>629</x:v>
      </x:c>
      <x:c r="K415" s="2"/>
      <x:c r="L415" s="2"/>
    </x:row>
    <x:row r="416" ht="22" customHeight="1">
      <x:c r="A416" s="2"/>
      <x:c r="B416" s="2" t="n">
        <x:v>383</x:v>
      </x:c>
      <x:c r="C416" s="2" t="str">
        <x:v>21670</x:v>
      </x:c>
      <x:c r="D416" s="2" t="str">
        <x:v>BLUE SPOT CERAMIC DRAWER KNOB</x:v>
      </x:c>
      <x:c r="E416" s="11" t="n">
        <x:v>12170.45</x:v>
      </x:c>
      <x:c r="F416" s="11" t="n">
        <x:v>100</x:v>
      </x:c>
      <x:c r="G416" s="11" t="n">
        <x:v>12070.45</x:v>
      </x:c>
      <x:c r="H416" s="23" t="n">
        <x:v>0.0005927049267786557</x:v>
      </x:c>
      <x:c r="I416" s="23" t="n">
        <x:v>0.5807478976613883</x:v>
      </x:c>
      <x:c r="J416" s="2" t="n">
        <x:v>767</x:v>
      </x:c>
      <x:c r="K416" s="2"/>
      <x:c r="L416" s="2"/>
    </x:row>
    <x:row r="417" ht="22" customHeight="1">
      <x:c r="A417" s="2"/>
      <x:c r="B417" s="2" t="n">
        <x:v>384</x:v>
      </x:c>
      <x:c r="C417" s="2" t="str">
        <x:v>22192</x:v>
      </x:c>
      <x:c r="D417" s="2" t="str">
        <x:v>BLUE DINER WALL CLOCK</x:v>
      </x:c>
      <x:c r="E417" s="11" t="n">
        <x:v>12121.800000000001</x:v>
      </x:c>
      <x:c r="F417" s="11" t="n">
        <x:v>252.45000000000002</x:v>
      </x:c>
      <x:c r="G417" s="11" t="n">
        <x:v>11869.35</x:v>
      </x:c>
      <x:c r="H417" s="23" t="n">
        <x:v>0.0005903356557420234</x:v>
      </x:c>
      <x:c r="I417" s="23" t="n">
        <x:v>0.5813382333171304</x:v>
      </x:c>
      <x:c r="J417" s="2" t="n">
        <x:v>543</x:v>
      </x:c>
      <x:c r="K417" s="2"/>
      <x:c r="L417" s="2"/>
    </x:row>
    <x:row r="418" ht="22" customHeight="1">
      <x:c r="A418" s="2"/>
      <x:c r="B418" s="2" t="n">
        <x:v>385</x:v>
      </x:c>
      <x:c r="C418" s="2" t="str">
        <x:v>20969</x:v>
      </x:c>
      <x:c r="D418" s="2" t="str">
        <x:v>RED FLORAL FELTCRAFT SHOULDER BAG</x:v>
      </x:c>
      <x:c r="E418" s="11" t="n">
        <x:v>12081.52</x:v>
      </x:c>
      <x:c r="F418" s="11" t="n">
        <x:v>980.07</x:v>
      </x:c>
      <x:c r="G418" s="11" t="n">
        <x:v>11101.45</x:v>
      </x:c>
      <x:c r="H418" s="23" t="n">
        <x:v>0.000588374006464417</x:v>
      </x:c>
      <x:c r="I418" s="23" t="n">
        <x:v>0.5819266073235948</x:v>
      </x:c>
      <x:c r="J418" s="2" t="n">
        <x:v>613</x:v>
      </x:c>
      <x:c r="K418" s="2"/>
      <x:c r="L418" s="2"/>
    </x:row>
    <x:row r="419" ht="22" customHeight="1">
      <x:c r="A419" s="2"/>
      <x:c r="B419" s="2" t="n">
        <x:v>386</x:v>
      </x:c>
      <x:c r="C419" s="2" t="str">
        <x:v>21937</x:v>
      </x:c>
      <x:c r="D419" s="2" t="str">
        <x:v>STRAWBERRY   PICNIC BAG</x:v>
      </x:c>
      <x:c r="E419" s="11" t="n">
        <x:v>12065.369999999999</x:v>
      </x:c>
      <x:c r="F419" s="11" t="n">
        <x:v>169.1</x:v>
      </x:c>
      <x:c r="G419" s="11" t="n">
        <x:v>11896.27</x:v>
      </x:c>
      <x:c r="H419" s="23" t="n">
        <x:v>0.0005875874961408483</x:v>
      </x:c>
      <x:c r="I419" s="23" t="n">
        <x:v>0.5825141948197357</x:v>
      </x:c>
      <x:c r="J419" s="2" t="n">
        <x:v>657</x:v>
      </x:c>
      <x:c r="K419" s="2"/>
      <x:c r="L419" s="2"/>
    </x:row>
    <x:row r="420" ht="22" customHeight="1">
      <x:c r="A420" s="2"/>
      <x:c r="B420" s="2" t="n">
        <x:v>387</x:v>
      </x:c>
      <x:c r="C420" s="2" t="str">
        <x:v>84212</x:v>
      </x:c>
      <x:c r="D420" s="2" t="str">
        <x:v>ASSORTED FLOWER COLOUR "LEIS"</x:v>
      </x:c>
      <x:c r="E420" s="11" t="n">
        <x:v>11965.39</x:v>
      </x:c>
      <x:c r="F420" s="11" t="n">
        <x:v>46.800000000000004</x:v>
      </x:c>
      <x:c r="G420" s="11" t="n">
        <x:v>11918.59</x:v>
      </x:c>
      <x:c r="H420" s="23" t="n">
        <x:v>0.0005827184371841681</x:v>
      </x:c>
      <x:c r="I420" s="23" t="n">
        <x:v>0.5830969132569198</x:v>
      </x:c>
      <x:c r="J420" s="2" t="n">
        <x:v>277</x:v>
      </x:c>
      <x:c r="K420" s="2"/>
      <x:c r="L420" s="2"/>
    </x:row>
    <x:row r="421" ht="22" customHeight="1">
      <x:c r="A421" s="2"/>
      <x:c r="B421" s="2" t="n">
        <x:v>388</x:v>
      </x:c>
      <x:c r="C421" s="2" t="str">
        <x:v>21787</x:v>
      </x:c>
      <x:c r="D421" s="2" t="str">
        <x:v>RAIN PONCHO RETROSPOT</x:v>
      </x:c>
      <x:c r="E421" s="11" t="n">
        <x:v>11932.88</x:v>
      </x:c>
      <x:c r="F421" s="11" t="n">
        <x:v>420</x:v>
      </x:c>
      <x:c r="G421" s="11" t="n">
        <x:v>11512.88</x:v>
      </x:c>
      <x:c r="H421" s="23" t="n">
        <x:v>0.000581135189467808</x:v>
      </x:c>
      <x:c r="I421" s="23" t="n">
        <x:v>0.5836780484463876</x:v>
      </x:c>
      <x:c r="J421" s="2" t="n">
        <x:v>469</x:v>
      </x:c>
      <x:c r="K421" s="2"/>
      <x:c r="L421" s="2"/>
    </x:row>
    <x:row r="422" ht="22" customHeight="1">
      <x:c r="A422" s="2"/>
      <x:c r="B422" s="2" t="n">
        <x:v>389</x:v>
      </x:c>
      <x:c r="C422" s="2" t="str">
        <x:v>21242</x:v>
      </x:c>
      <x:c r="D422" s="2" t="str">
        <x:v>RED RETROSPOT PLATE </x:v>
      </x:c>
      <x:c r="E422" s="11" t="n">
        <x:v>11922.8</x:v>
      </x:c>
      <x:c r="F422" s="11" t="n">
        <x:v>70.98</x:v>
      </x:c>
      <x:c r="G422" s="11" t="n">
        <x:v>11851.82</x:v>
      </x:c>
      <x:c r="H422" s="23" t="n">
        <x:v>0.00058064429014511</x:v>
      </x:c>
      <x:c r="I422" s="23" t="n">
        <x:v>0.5842586927365327</x:v>
      </x:c>
      <x:c r="J422" s="2" t="n">
        <x:v>657</x:v>
      </x:c>
      <x:c r="K422" s="2"/>
      <x:c r="L422" s="2"/>
    </x:row>
    <x:row r="423" ht="22" customHeight="1">
      <x:c r="A423" s="2"/>
      <x:c r="B423" s="2" t="n">
        <x:v>390</x:v>
      </x:c>
      <x:c r="C423" s="2" t="str">
        <x:v>22729</x:v>
      </x:c>
      <x:c r="D423" s="2" t="str">
        <x:v>ALARM CLOCK BAKELIKE ORANGE</x:v>
      </x:c>
      <x:c r="E423" s="11" t="n">
        <x:v>11882.75</x:v>
      </x:c>
      <x:c r="F423" s="11" t="n">
        <x:v>130.89</x:v>
      </x:c>
      <x:c r="G423" s="11" t="n">
        <x:v>11751.86</x:v>
      </x:c>
      <x:c r="H423" s="23" t="n">
        <x:v>0.0005786938419433192</x:v>
      </x:c>
      <x:c r="I423" s="23" t="n">
        <x:v>0.5848373865784761</x:v>
      </x:c>
      <x:c r="J423" s="2" t="n">
        <x:v>612</x:v>
      </x:c>
      <x:c r="K423" s="2"/>
      <x:c r="L423" s="2"/>
    </x:row>
    <x:row r="424" ht="22" customHeight="1">
      <x:c r="A424" s="2"/>
      <x:c r="B424" s="2" t="n">
        <x:v>391</x:v>
      </x:c>
      <x:c r="C424" s="2" t="str">
        <x:v>22243</x:v>
      </x:c>
      <x:c r="D424" s="2" t="str">
        <x:v>5 HOOK HANGER RED MAGIC TOADSTOOL</x:v>
      </x:c>
      <x:c r="E424" s="11" t="n">
        <x:v>11871.8</x:v>
      </x:c>
      <x:c r="F424" s="11" t="n">
        <x:v>141.89999999999998</x:v>
      </x:c>
      <x:c r="G424" s="11" t="n">
        <x:v>11729.9</x:v>
      </x:c>
      <x:c r="H424" s="23" t="n">
        <x:v>0.0005781605733338409</x:v>
      </x:c>
      <x:c r="I424" s="23" t="n">
        <x:v>0.5854155471518099</x:v>
      </x:c>
      <x:c r="J424" s="2" t="n">
        <x:v>388</x:v>
      </x:c>
      <x:c r="K424" s="2"/>
      <x:c r="L424" s="2"/>
    </x:row>
    <x:row r="425" ht="22" customHeight="1">
      <x:c r="A425" s="2"/>
      <x:c r="B425" s="2" t="n">
        <x:v>392</x:v>
      </x:c>
      <x:c r="C425" s="2" t="str">
        <x:v>84987</x:v>
      </x:c>
      <x:c r="D425" s="2" t="str">
        <x:v>SET OF 36 TEATIME PAPER DOILIES</x:v>
      </x:c>
      <x:c r="E425" s="11" t="n">
        <x:v>11868.5</x:v>
      </x:c>
      <x:c r="F425" s="11" t="n">
        <x:v>97.69999999999999</x:v>
      </x:c>
      <x:c r="G425" s="11" t="n">
        <x:v>11770.8</x:v>
      </x:c>
      <x:c r="H425" s="23" t="n">
        <x:v>0.0005779998622460528</x:v>
      </x:c>
      <x:c r="I425" s="23" t="n">
        <x:v>0.5859935470140559</x:v>
      </x:c>
      <x:c r="J425" s="2" t="n">
        <x:v>812</x:v>
      </x:c>
      <x:c r="K425" s="2"/>
      <x:c r="L425" s="2"/>
    </x:row>
    <x:row r="426" ht="22" customHeight="1">
      <x:c r="A426" s="2"/>
      <x:c r="B426" s="2" t="n">
        <x:v>393</x:v>
      </x:c>
      <x:c r="C426" s="2" t="str">
        <x:v>20975</x:v>
      </x:c>
      <x:c r="D426" s="2" t="str">
        <x:v>12 PENCILS SMALL TUBE RED RETROSPOT</x:v>
      </x:c>
      <x:c r="E426" s="11" t="n">
        <x:v>11859.76</x:v>
      </x:c>
      <x:c r="F426" s="11" t="n">
        <x:v>858.35</x:v>
      </x:c>
      <x:c r="G426" s="11" t="n">
        <x:v>11001.410000000002</x:v>
      </x:c>
      <x:c r="H426" s="23" t="n">
        <x:v>0.0005775742213650629</x:v>
      </x:c>
      <x:c r="I426" s="23" t="n">
        <x:v>0.586571121235421</x:v>
      </x:c>
      <x:c r="J426" s="2" t="n">
        <x:v>902</x:v>
      </x:c>
      <x:c r="K426" s="2"/>
      <x:c r="L426" s="2"/>
    </x:row>
    <x:row r="427" ht="22" customHeight="1">
      <x:c r="A427" s="2"/>
      <x:c r="B427" s="2" t="n">
        <x:v>394</x:v>
      </x:c>
      <x:c r="C427" s="2" t="str">
        <x:v>22791</x:v>
      </x:c>
      <x:c r="D427" s="2" t="str">
        <x:v>T-LIGHT GLASS FLUTED ANTIQUE</x:v>
      </x:c>
      <x:c r="E427" s="11" t="n">
        <x:v>11838.69</x:v>
      </x:c>
      <x:c r="F427" s="11" t="n">
        <x:v>209</x:v>
      </x:c>
      <x:c r="G427" s="11" t="n">
        <x:v>11629.69</x:v>
      </x:c>
      <x:c r="H427" s="23" t="n">
        <x:v>0.0005765481054197013</x:v>
      </x:c>
      <x:c r="I427" s="23" t="n">
        <x:v>0.5871476693408407</x:v>
      </x:c>
      <x:c r="J427" s="2" t="n">
        <x:v>434</x:v>
      </x:c>
      <x:c r="K427" s="2"/>
      <x:c r="L427" s="2"/>
    </x:row>
    <x:row r="428" ht="22" customHeight="1">
      <x:c r="A428" s="2"/>
      <x:c r="B428" s="2" t="n">
        <x:v>395</x:v>
      </x:c>
      <x:c r="C428" s="2" t="str">
        <x:v>23300</x:v>
      </x:c>
      <x:c r="D428" s="2" t="str">
        <x:v>GARDENERS KNEELING PAD CUP OF TEA </x:v>
      </x:c>
      <x:c r="E428" s="11" t="n">
        <x:v>11815.689999999999</x:v>
      </x:c>
      <x:c r="F428" s="11" t="n">
        <x:v>231.59999999999997</x:v>
      </x:c>
      <x:c r="G428" s="11" t="n">
        <x:v>11584.09</x:v>
      </x:c>
      <x:c r="H428" s="23" t="n">
        <x:v>0.0005754279978381484</x:v>
      </x:c>
      <x:c r="I428" s="23" t="n">
        <x:v>0.5877230973386789</x:v>
      </x:c>
      <x:c r="J428" s="2" t="n">
        <x:v>758</x:v>
      </x:c>
      <x:c r="K428" s="2"/>
      <x:c r="L428" s="2"/>
    </x:row>
    <x:row r="429" ht="22" customHeight="1">
      <x:c r="A429" s="2"/>
      <x:c r="B429" s="2" t="n">
        <x:v>396</x:v>
      </x:c>
      <x:c r="C429" s="2" t="str">
        <x:v>22488</x:v>
      </x:c>
      <x:c r="D429" s="2" t="str">
        <x:v>NATURAL SLATE RECTANGLE CHALKBOARD</x:v>
      </x:c>
      <x:c r="E429" s="11" t="n">
        <x:v>11793.009999999998</x:v>
      </x:c>
      <x:c r="F429" s="11" t="n">
        <x:v>80.85</x:v>
      </x:c>
      <x:c r="G429" s="11" t="n">
        <x:v>11712.159999999998</x:v>
      </x:c>
      <x:c r="H429" s="23" t="n">
        <x:v>0.000574323474362078</x:v>
      </x:c>
      <x:c r="I429" s="23" t="n">
        <x:v>0.5882974208130409</x:v>
      </x:c>
      <x:c r="J429" s="2" t="n">
        <x:v>808</x:v>
      </x:c>
      <x:c r="K429" s="2"/>
      <x:c r="L429" s="2"/>
    </x:row>
    <x:row r="430" ht="22" customHeight="1">
      <x:c r="A430" s="2"/>
      <x:c r="B430" s="2" t="n">
        <x:v>397</x:v>
      </x:c>
      <x:c r="C430" s="2" t="str">
        <x:v>22750</x:v>
      </x:c>
      <x:c r="D430" s="2" t="str">
        <x:v>FELTCRAFT PRINCESS LOLA DOLL</x:v>
      </x:c>
      <x:c r="E430" s="11" t="n">
        <x:v>11780.1</x:v>
      </x:c>
      <x:c r="F430" s="11" t="n">
        <x:v>37.5</x:v>
      </x:c>
      <x:c r="G430" s="11" t="n">
        <x:v>11742.6</x:v>
      </x:c>
      <x:c r="H430" s="23" t="n">
        <x:v>0.0005736947531065196</x:v>
      </x:c>
      <x:c r="I430" s="23" t="n">
        <x:v>0.5888711155661475</x:v>
      </x:c>
      <x:c r="J430" s="2" t="n">
        <x:v>647</x:v>
      </x:c>
      <x:c r="K430" s="2"/>
      <x:c r="L430" s="2"/>
    </x:row>
    <x:row r="431" ht="22" customHeight="1">
      <x:c r="A431" s="2"/>
      <x:c r="B431" s="2" t="n">
        <x:v>398</x:v>
      </x:c>
      <x:c r="C431" s="2" t="str">
        <x:v>21428</x:v>
      </x:c>
      <x:c r="D431" s="2" t="str">
        <x:v>SET3 BOOK BOX GREEN GINGHAM FLOWER </x:v>
      </x:c>
      <x:c r="E431" s="11" t="n">
        <x:v>11779.93</x:v>
      </x:c>
      <x:c r="F431" s="11" t="n">
        <x:v>166</x:v>
      </x:c>
      <x:c r="G431" s="11" t="n">
        <x:v>11613.93</x:v>
      </x:c>
      <x:c r="H431" s="23" t="n">
        <x:v>0.000573686474050482</x:v>
      </x:c>
      <x:c r="I431" s="23" t="n">
        <x:v>0.5894448020401979</x:v>
      </x:c>
      <x:c r="J431" s="2" t="n">
        <x:v>465</x:v>
      </x:c>
      <x:c r="K431" s="2"/>
      <x:c r="L431" s="2"/>
    </x:row>
    <x:row r="432" ht="22" customHeight="1">
      <x:c r="A432" s="2"/>
      <x:c r="B432" s="2" t="n">
        <x:v>399</x:v>
      </x:c>
      <x:c r="C432" s="2" t="str">
        <x:v>47567B</x:v>
      </x:c>
      <x:c r="D432" s="2" t="str">
        <x:v>TEA TIME KITCHEN APRON</x:v>
      </x:c>
      <x:c r="E432" s="11" t="n">
        <x:v>11748.720000000001</x:v>
      </x:c>
      <x:c r="F432" s="11" t="n">
        <x:v>76.05000000000001</x:v>
      </x:c>
      <x:c r="G432" s="11" t="n">
        <x:v>11672.67</x:v>
      </x:c>
      <x:c r="H432" s="23" t="n">
        <x:v>0.0005721665367626446</x:v>
      </x:c>
      <x:c r="I432" s="23" t="n">
        <x:v>0.5900169685769605</x:v>
      </x:c>
      <x:c r="J432" s="2" t="n">
        <x:v>348</x:v>
      </x:c>
      <x:c r="K432" s="2"/>
      <x:c r="L432" s="2"/>
    </x:row>
    <x:row r="433" ht="22" customHeight="1">
      <x:c r="A433" s="2"/>
      <x:c r="B433" s="2" t="n">
        <x:v>400</x:v>
      </x:c>
      <x:c r="C433" s="2" t="str">
        <x:v>22943</x:v>
      </x:c>
      <x:c r="D433" s="2" t="str">
        <x:v>CHRISTMAS LIGHTS 10 VINTAGE BAUBLES</x:v>
      </x:c>
      <x:c r="E433" s="11" t="n">
        <x:v>11726.34</x:v>
      </x:c>
      <x:c r="F433" s="11" t="n">
        <x:v>190.25</x:v>
      </x:c>
      <x:c r="G433" s="11" t="n">
        <x:v>11536.09</x:v>
      </x:c>
      <x:c r="H433" s="23" t="n">
        <x:v>0.000571076623385464</x:v>
      </x:c>
      <x:c r="I433" s="23" t="n">
        <x:v>0.590588045200346</x:v>
      </x:c>
      <x:c r="J433" s="2" t="n">
        <x:v>356</x:v>
      </x:c>
      <x:c r="K433" s="2"/>
      <x:c r="L433" s="2"/>
    </x:row>
    <x:row r="434" ht="22" customHeight="1">
      <x:c r="A434" s="2"/>
      <x:c r="B434" s="2" t="n">
        <x:v>401</x:v>
      </x:c>
      <x:c r="C434" s="2" t="str">
        <x:v>21154</x:v>
      </x:c>
      <x:c r="D434" s="2" t="str">
        <x:v>RED RETROSPOT OVEN GLOVE </x:v>
      </x:c>
      <x:c r="E434" s="11" t="n">
        <x:v>11701.2</x:v>
      </x:c>
      <x:c r="F434" s="11" t="n">
        <x:v>240.75</x:v>
      </x:c>
      <x:c r="G434" s="11" t="n">
        <x:v>11460.45</x:v>
      </x:c>
      <x:c r="H434" s="23" t="n">
        <x:v>0.0005698522970984972</x:v>
      </x:c>
      <x:c r="I434" s="23" t="n">
        <x:v>0.5911578974974445</x:v>
      </x:c>
      <x:c r="J434" s="2" t="n">
        <x:v>903</x:v>
      </x:c>
      <x:c r="K434" s="2"/>
      <x:c r="L434" s="2"/>
    </x:row>
    <x:row r="435" ht="22" customHeight="1">
      <x:c r="A435" s="2"/>
      <x:c r="B435" s="2" t="n">
        <x:v>402</x:v>
      </x:c>
      <x:c r="C435" s="2" t="str">
        <x:v>21326</x:v>
      </x:c>
      <x:c r="D435" s="2" t="str">
        <x:v>AGED GLASS SILVER T-LIGHT HOLDER</x:v>
      </x:c>
      <x:c r="E435" s="11" t="n">
        <x:v>11679.66</x:v>
      </x:c>
      <x:c r="F435" s="11" t="n">
        <x:v>66.3</x:v>
      </x:c>
      <x:c r="G435" s="11" t="n">
        <x:v>11613.36</x:v>
      </x:c>
      <x:c r="H435" s="23" t="n">
        <x:v>0.0005688032919982082</x:v>
      </x:c>
      <x:c r="I435" s="23" t="n">
        <x:v>0.5917267007894427</x:v>
      </x:c>
      <x:c r="J435" s="2" t="n">
        <x:v>643</x:v>
      </x:c>
      <x:c r="K435" s="2"/>
      <x:c r="L435" s="2"/>
    </x:row>
    <x:row r="436" ht="22" customHeight="1">
      <x:c r="A436" s="2"/>
      <x:c r="B436" s="2" t="n">
        <x:v>403</x:v>
      </x:c>
      <x:c r="C436" s="2" t="str">
        <x:v>22151</x:v>
      </x:c>
      <x:c r="D436" s="2" t="str">
        <x:v>PLACE SETTING WHITE HEART</x:v>
      </x:c>
      <x:c r="E436" s="11" t="n">
        <x:v>11671.35</x:v>
      </x:c>
      <x:c r="F436" s="11" t="n">
        <x:v>332.46</x:v>
      </x:c>
      <x:c r="G436" s="11" t="n">
        <x:v>11338.89</x:v>
      </x:c>
      <x:c r="H436" s="23" t="n">
        <x:v>0.0005683985922589602</x:v>
      </x:c>
      <x:c r="I436" s="23" t="n">
        <x:v>0.5922950993817017</x:v>
      </x:c>
      <x:c r="J436" s="2" t="n">
        <x:v>716</x:v>
      </x:c>
      <x:c r="K436" s="2"/>
      <x:c r="L436" s="2"/>
    </x:row>
    <x:row r="437" ht="22" customHeight="1">
      <x:c r="A437" s="2"/>
      <x:c r="B437" s="2" t="n">
        <x:v>404</x:v>
      </x:c>
      <x:c r="C437" s="2" t="str">
        <x:v>22844</x:v>
      </x:c>
      <x:c r="D437" s="2" t="str">
        <x:v>VINTAGE CREAM DOG FOOD CONTAINER</x:v>
      </x:c>
      <x:c r="E437" s="11" t="n">
        <x:v>11627.28</x:v>
      </x:c>
      <x:c r="F437" s="11" t="n">
        <x:v>236.3</x:v>
      </x:c>
      <x:c r="G437" s="11" t="n">
        <x:v>11390.98</x:v>
      </x:c>
      <x:c r="H437" s="23" t="n">
        <x:v>0.0005662523687320458</x:v>
      </x:c>
      <x:c r="I437" s="23" t="n">
        <x:v>0.5928613517504338</x:v>
      </x:c>
      <x:c r="J437" s="2" t="n">
        <x:v>498</x:v>
      </x:c>
      <x:c r="K437" s="2"/>
      <x:c r="L437" s="2"/>
    </x:row>
    <x:row r="438" ht="22" customHeight="1">
      <x:c r="A438" s="2"/>
      <x:c r="B438" s="2" t="n">
        <x:v>405</x:v>
      </x:c>
      <x:c r="C438" s="2" t="str">
        <x:v>22649</x:v>
      </x:c>
      <x:c r="D438" s="2" t="str">
        <x:v>STRAWBERRY FAIRY CAKE TEAPOT</x:v>
      </x:c>
      <x:c r="E438" s="11" t="n">
        <x:v>11616.03</x:v>
      </x:c>
      <x:c r="F438" s="11" t="n">
        <x:v>352.90000000000003</x:v>
      </x:c>
      <x:c r="G438" s="11" t="n">
        <x:v>11263.130000000001</x:v>
      </x:c>
      <x:c r="H438" s="23" t="n">
        <x:v>0.0005657044900236777</x:v>
      </x:c>
      <x:c r="I438" s="23" t="n">
        <x:v>0.5934270562404574</x:v>
      </x:c>
      <x:c r="J438" s="2" t="n">
        <x:v>486</x:v>
      </x:c>
      <x:c r="K438" s="2"/>
      <x:c r="L438" s="2"/>
    </x:row>
    <x:row r="439" ht="22" customHeight="1">
      <x:c r="A439" s="2"/>
      <x:c r="B439" s="2" t="n">
        <x:v>406</x:v>
      </x:c>
      <x:c r="C439" s="2" t="str">
        <x:v>23581</x:v>
      </x:c>
      <x:c r="D439" s="2" t="str">
        <x:v>JUMBO BAG PAISLEY PARK</x:v>
      </x:c>
      <x:c r="E439" s="11" t="n">
        <x:v>11613.03</x:v>
      </x:c>
      <x:c r="F439" s="11" t="n">
        <x:v>224.76</x:v>
      </x:c>
      <x:c r="G439" s="11" t="n">
        <x:v>11388.27</x:v>
      </x:c>
      <x:c r="H439" s="23" t="n">
        <x:v>0.0005655583890347794</x:v>
      </x:c>
      <x:c r="I439" s="23" t="n">
        <x:v>0.5939926146294923</x:v>
      </x:c>
      <x:c r="J439" s="2" t="n">
        <x:v>338</x:v>
      </x:c>
      <x:c r="K439" s="2"/>
      <x:c r="L439" s="2"/>
    </x:row>
    <x:row r="440" ht="22" customHeight="1">
      <x:c r="A440" s="2"/>
      <x:c r="B440" s="2" t="n">
        <x:v>407</x:v>
      </x:c>
      <x:c r="C440" s="2" t="str">
        <x:v>21260</x:v>
      </x:c>
      <x:c r="D440" s="2" t="str">
        <x:v>FIRST AID TIN</x:v>
      </x:c>
      <x:c r="E440" s="11" t="n">
        <x:v>11609.93</x:v>
      </x:c>
      <x:c r="F440" s="11" t="n">
        <x:v>197.25</x:v>
      </x:c>
      <x:c r="G440" s="11" t="n">
        <x:v>11412.68</x:v>
      </x:c>
      <x:c r="H440" s="23" t="n">
        <x:v>0.000565407418012918</x:v>
      </x:c>
      <x:c r="I440" s="23" t="n">
        <x:v>0.5945580220475052</x:v>
      </x:c>
      <x:c r="J440" s="2" t="n">
        <x:v>534</x:v>
      </x:c>
      <x:c r="K440" s="2"/>
      <x:c r="L440" s="2"/>
    </x:row>
    <x:row r="441" ht="22" customHeight="1">
      <x:c r="A441" s="2"/>
      <x:c r="B441" s="2" t="n">
        <x:v>408</x:v>
      </x:c>
      <x:c r="C441" s="2" t="str">
        <x:v>22508</x:v>
      </x:c>
      <x:c r="D441" s="2" t="str">
        <x:v>DOORSTOP RETROSPOT HEART</x:v>
      </x:c>
      <x:c r="E441" s="11" t="n">
        <x:v>11599.45</x:v>
      </x:c>
      <x:c r="F441" s="11" t="n">
        <x:v>97.5</x:v>
      </x:c>
      <x:c r="G441" s="11" t="n">
        <x:v>11501.95</x:v>
      </x:c>
      <x:c r="H441" s="23" t="n">
        <x:v>0.000564897038558367</x:v>
      </x:c>
      <x:c r="I441" s="23" t="n">
        <x:v>0.5951229190860635</x:v>
      </x:c>
      <x:c r="J441" s="2" t="n">
        <x:v>697</x:v>
      </x:c>
      <x:c r="K441" s="2"/>
      <x:c r="L441" s="2"/>
    </x:row>
    <x:row r="442" ht="22" customHeight="1">
      <x:c r="A442" s="2"/>
      <x:c r="B442" s="2" t="n">
        <x:v>409</x:v>
      </x:c>
      <x:c r="C442" s="2" t="str">
        <x:v>22468</x:v>
      </x:c>
      <x:c r="D442" s="2" t="str">
        <x:v>BABUSHKA LIGHTS STRING OF 10</x:v>
      </x:c>
      <x:c r="E442" s="11" t="n">
        <x:v>11549.35</x:v>
      </x:c>
      <x:c r="F442" s="11" t="n">
        <x:v>352.3</x:v>
      </x:c>
      <x:c r="G442" s="11" t="n">
        <x:v>11197.05</x:v>
      </x:c>
      <x:c r="H442" s="23" t="n">
        <x:v>0.0005624571520437672</x:v>
      </x:c>
      <x:c r="I442" s="23" t="n">
        <x:v>0.5956853762381072</x:v>
      </x:c>
      <x:c r="J442" s="2" t="n">
        <x:v>413</x:v>
      </x:c>
      <x:c r="K442" s="2"/>
      <x:c r="L442" s="2"/>
    </x:row>
    <x:row r="443" ht="22" customHeight="1">
      <x:c r="A443" s="2"/>
      <x:c r="B443" s="2" t="n">
        <x:v>410</x:v>
      </x:c>
      <x:c r="C443" s="2" t="str">
        <x:v>22637</x:v>
      </x:c>
      <x:c r="D443" s="2" t="str">
        <x:v>PIGGY BANK RETROSPOT </x:v>
      </x:c>
      <x:c r="E443" s="11" t="n">
        <x:v>11523.42</x:v>
      </x:c>
      <x:c r="F443" s="11" t="n">
        <x:v>171.9</x:v>
      </x:c>
      <x:c r="G443" s="11" t="n">
        <x:v>11351.52</x:v>
      </x:c>
      <x:c r="H443" s="23" t="n">
        <x:v>0.0005611943524963905</x:v>
      </x:c>
      <x:c r="I443" s="23" t="n">
        <x:v>0.5962465705906036</x:v>
      </x:c>
      <x:c r="J443" s="2" t="n">
        <x:v>598</x:v>
      </x:c>
      <x:c r="K443" s="2"/>
      <x:c r="L443" s="2"/>
    </x:row>
    <x:row r="444" ht="22" customHeight="1">
      <x:c r="A444" s="2"/>
      <x:c r="B444" s="2" t="n">
        <x:v>411</x:v>
      </x:c>
      <x:c r="C444" s="2" t="str">
        <x:v>22663</x:v>
      </x:c>
      <x:c r="D444" s="2" t="str">
        <x:v>JUMBO BAG DOLLY GIRL DESIGN</x:v>
      </x:c>
      <x:c r="E444" s="11" t="n">
        <x:v>11469.32</x:v>
      </x:c>
      <x:c r="F444" s="11" t="n">
        <x:v>66.3</x:v>
      </x:c>
      <x:c r="G444" s="11" t="n">
        <x:v>11403.02</x:v>
      </x:c>
      <x:c r="H444" s="23" t="n">
        <x:v>0.0005585596646632598</x:v>
      </x:c>
      <x:c r="I444" s="23" t="n">
        <x:v>0.5968051302552668</x:v>
      </x:c>
      <x:c r="J444" s="2" t="n">
        <x:v>688</x:v>
      </x:c>
      <x:c r="K444" s="2"/>
      <x:c r="L444" s="2"/>
    </x:row>
    <x:row r="445" ht="22" customHeight="1">
      <x:c r="A445" s="2"/>
      <x:c r="B445" s="2" t="n">
        <x:v>412</x:v>
      </x:c>
      <x:c r="C445" s="2" t="str">
        <x:v>22950</x:v>
      </x:c>
      <x:c r="D445" s="2" t="str">
        <x:v>36 DOILIES VINTAGE CHRISTMAS</x:v>
      </x:c>
      <x:c r="E445" s="11" t="n">
        <x:v>11454.09</x:v>
      </x:c>
      <x:c r="F445" s="11" t="n">
        <x:v>773.65</x:v>
      </x:c>
      <x:c r="G445" s="11" t="n">
        <x:v>10680.439999999999</x:v>
      </x:c>
      <x:c r="H445" s="23" t="n">
        <x:v>0.0005578179586429534</x:v>
      </x:c>
      <x:c r="I445" s="23" t="n">
        <x:v>0.5973629482139098</x:v>
      </x:c>
      <x:c r="J445" s="2" t="n">
        <x:v>352</x:v>
      </x:c>
      <x:c r="K445" s="2"/>
      <x:c r="L445" s="2"/>
    </x:row>
    <x:row r="446" ht="22" customHeight="1">
      <x:c r="A446" s="2"/>
      <x:c r="B446" s="2" t="n">
        <x:v>413</x:v>
      </x:c>
      <x:c r="C446" s="2" t="str">
        <x:v>22740</x:v>
      </x:c>
      <x:c r="D446" s="2" t="str">
        <x:v>adjustment</x:v>
      </x:c>
      <x:c r="E446" s="11" t="n">
        <x:v>11436.109999999999</x:v>
      </x:c>
      <x:c r="F446" s="11" t="n">
        <x:v>0</x:v>
      </x:c>
      <x:c r="G446" s="11" t="n">
        <x:v>11436.109999999999</x:v>
      </x:c>
      <x:c r="H446" s="23" t="n">
        <x:v>0.0005569423267161568</x:v>
      </x:c>
      <x:c r="I446" s="23" t="n">
        <x:v>0.5979198905406259</x:v>
      </x:c>
      <x:c r="J446" s="2" t="n">
        <x:v>300</x:v>
      </x:c>
      <x:c r="K446" s="2"/>
      <x:c r="L446" s="2"/>
    </x:row>
    <x:row r="447" ht="22" customHeight="1">
      <x:c r="A447" s="2"/>
      <x:c r="B447" s="2" t="n">
        <x:v>414</x:v>
      </x:c>
      <x:c r="C447" s="2" t="str">
        <x:v>21172</x:v>
      </x:c>
      <x:c r="D447" s="2" t="str">
        <x:v>PARTY METAL SIGN </x:v>
      </x:c>
      <x:c r="E447" s="11" t="n">
        <x:v>11411.16</x:v>
      </x:c>
      <x:c r="F447" s="11" t="n">
        <x:v>110.85</x:v>
      </x:c>
      <x:c r="G447" s="11" t="n">
        <x:v>11300.31</x:v>
      </x:c>
      <x:c r="H447" s="23" t="n">
        <x:v>0.0005557272534918202</x:v>
      </x:c>
      <x:c r="I447" s="23" t="n">
        <x:v>0.5984756177941177</x:v>
      </x:c>
      <x:c r="J447" s="2" t="n">
        <x:v>971</x:v>
      </x:c>
      <x:c r="K447" s="2"/>
      <x:c r="L447" s="2"/>
    </x:row>
    <x:row r="448" ht="22" customHeight="1">
      <x:c r="A448" s="2"/>
      <x:c r="B448" s="2" t="n">
        <x:v>415</x:v>
      </x:c>
      <x:c r="C448" s="2" t="str">
        <x:v>21429</x:v>
      </x:c>
      <x:c r="D448" s="2" t="str">
        <x:v>RED GINGHAM ROSE JEWELLERY BOX</x:v>
      </x:c>
      <x:c r="E448" s="11" t="n">
        <x:v>11384.699999999999</x:v>
      </x:c>
      <x:c r="F448" s="11" t="n">
        <x:v>120.3</x:v>
      </x:c>
      <x:c r="G448" s="11" t="n">
        <x:v>11264.4</x:v>
      </x:c>
      <x:c r="H448" s="23" t="n">
        <x:v>0.0005544386427697381</x:v>
      </x:c>
      <x:c r="I448" s="23" t="n">
        <x:v>0.5990300564368874</x:v>
      </x:c>
      <x:c r="J448" s="2" t="n">
        <x:v>997</x:v>
      </x:c>
      <x:c r="K448" s="2"/>
      <x:c r="L448" s="2"/>
    </x:row>
    <x:row r="449" ht="22" customHeight="1">
      <x:c r="A449" s="2"/>
      <x:c r="B449" s="2" t="n">
        <x:v>416</x:v>
      </x:c>
      <x:c r="C449" s="2" t="str">
        <x:v>22834</x:v>
      </x:c>
      <x:c r="D449" s="2" t="str">
        <x:v>HAND WARMER BABUSHKA DESIGN</x:v>
      </x:c>
      <x:c r="E449" s="11" t="n">
        <x:v>11329.03</x:v>
      </x:c>
      <x:c r="F449" s="11" t="n">
        <x:v>331.25</x:v>
      </x:c>
      <x:c r="G449" s="11" t="n">
        <x:v>10997.78</x:v>
      </x:c>
      <x:c r="H449" s="23" t="n">
        <x:v>0.0005517274954190841</x:v>
      </x:c>
      <x:c r="I449" s="23" t="n">
        <x:v>0.5995817839323065</x:v>
      </x:c>
      <x:c r="J449" s="2" t="n">
        <x:v>597</x:v>
      </x:c>
      <x:c r="K449" s="2"/>
      <x:c r="L449" s="2"/>
    </x:row>
    <x:row r="450" ht="22" customHeight="1">
      <x:c r="A450" s="2"/>
      <x:c r="B450" s="2" t="n">
        <x:v>417</x:v>
      </x:c>
      <x:c r="C450" s="2" t="str">
        <x:v>22988</x:v>
      </x:c>
      <x:c r="D450" s="2" t="str">
        <x:v>SOLDIERS EGG CUP </x:v>
      </x:c>
      <x:c r="E450" s="11" t="n">
        <x:v>11318.45</x:v>
      </x:c>
      <x:c r="F450" s="11" t="n">
        <x:v>132.78</x:v>
      </x:c>
      <x:c r="G450" s="11" t="n">
        <x:v>11185.67</x:v>
      </x:c>
      <x:c r="H450" s="23" t="n">
        <x:v>0.00055121224593157</x:v>
      </x:c>
      <x:c r="I450" s="23" t="n">
        <x:v>0.6001329961782381</x:v>
      </x:c>
      <x:c r="J450" s="2" t="n">
        <x:v>446</x:v>
      </x:c>
      <x:c r="K450" s="2"/>
      <x:c r="L450" s="2"/>
    </x:row>
    <x:row r="451" ht="22" customHeight="1">
      <x:c r="A451" s="2"/>
      <x:c r="B451" s="2" t="n">
        <x:v>418</x:v>
      </x:c>
      <x:c r="C451" s="2" t="str">
        <x:v>22968</x:v>
      </x:c>
      <x:c r="D451" s="2" t="str">
        <x:v>ROSE COTTAGE KEEPSAKE BOX </x:v>
      </x:c>
      <x:c r="E451" s="11" t="n">
        <x:v>11234.57</x:v>
      </x:c>
      <x:c r="F451" s="11" t="n">
        <x:v>248.54999999999998</x:v>
      </x:c>
      <x:c r="G451" s="11" t="n">
        <x:v>10986.02</x:v>
      </x:c>
      <x:c r="H451" s="23" t="n">
        <x:v>0.0005471272622819765</x:v>
      </x:c>
      <x:c r="I451" s="23" t="n">
        <x:v>0.6006801234405201</x:v>
      </x:c>
      <x:c r="J451" s="2" t="n">
        <x:v>306</x:v>
      </x:c>
      <x:c r="K451" s="2"/>
      <x:c r="L451" s="2"/>
    </x:row>
    <x:row r="452" ht="22" customHeight="1">
      <x:c r="A452" s="2"/>
      <x:c r="B452" s="2" t="n">
        <x:v>419</x:v>
      </x:c>
      <x:c r="C452" s="2" t="str">
        <x:v>21922</x:v>
      </x:c>
      <x:c r="D452" s="2" t="str">
        <x:v>UNION STRIPE WITH FRINGE  HAMMOCK</x:v>
      </x:c>
      <x:c r="E452" s="11" t="n">
        <x:v>11223.03</x:v>
      </x:c>
      <x:c r="F452" s="11" t="n">
        <x:v>190.64999999999998</x:v>
      </x:c>
      <x:c r="G452" s="11" t="n">
        <x:v>11032.380000000001</x:v>
      </x:c>
      <x:c r="H452" s="23" t="n">
        <x:v>0.0005465652604780149</x:v>
      </x:c>
      <x:c r="I452" s="23" t="n">
        <x:v>0.6012266887009982</x:v>
      </x:c>
      <x:c r="J452" s="2" t="n">
        <x:v>388</x:v>
      </x:c>
      <x:c r="K452" s="2"/>
      <x:c r="L452" s="2"/>
    </x:row>
    <x:row r="453" ht="22" customHeight="1">
      <x:c r="A453" s="2"/>
      <x:c r="B453" s="2" t="n">
        <x:v>420</x:v>
      </x:c>
      <x:c r="C453" s="2" t="str">
        <x:v>22795</x:v>
      </x:c>
      <x:c r="D453" s="2" t="str">
        <x:v>SWEETHEART RECIPE BOOK STAND</x:v>
      </x:c>
      <x:c r="E453" s="11" t="n">
        <x:v>11209.56</x:v>
      </x:c>
      <x:c r="F453" s="11" t="n">
        <x:v>118.95</x:v>
      </x:c>
      <x:c r="G453" s="11" t="n">
        <x:v>11090.61</x:v>
      </x:c>
      <x:c r="H453" s="23" t="n">
        <x:v>0.0005459092670378619</x:v>
      </x:c>
      <x:c r="I453" s="23" t="n">
        <x:v>0.6017725979680361</x:v>
      </x:c>
      <x:c r="J453" s="2" t="n">
        <x:v>498</x:v>
      </x:c>
      <x:c r="K453" s="2"/>
      <x:c r="L453" s="2"/>
    </x:row>
    <x:row r="454" ht="22" customHeight="1">
      <x:c r="A454" s="2"/>
      <x:c r="B454" s="2" t="n">
        <x:v>421</x:v>
      </x:c>
      <x:c r="C454" s="2" t="str">
        <x:v>72351B</x:v>
      </x:c>
      <x:c r="D454" s="2" t="str">
        <x:v>SET/6 PINK  BUTTERFLY T-LIGHTS</x:v>
      </x:c>
      <x:c r="E454" s="11" t="n">
        <x:v>11195.39</x:v>
      </x:c>
      <x:c r="F454" s="11" t="n">
        <x:v>221.60000000000002</x:v>
      </x:c>
      <x:c r="G454" s="11" t="n">
        <x:v>10973.79</x:v>
      </x:c>
      <x:c r="H454" s="23" t="n">
        <x:v>0.0005452191833669661</x:v>
      </x:c>
      <x:c r="I454" s="23" t="n">
        <x:v>0.602317817151403</x:v>
      </x:c>
      <x:c r="J454" s="2" t="n">
        <x:v>499</x:v>
      </x:c>
      <x:c r="K454" s="2"/>
      <x:c r="L454" s="2"/>
    </x:row>
    <x:row r="455" ht="22" customHeight="1">
      <x:c r="A455" s="2"/>
      <x:c r="B455" s="2" t="n">
        <x:v>422</x:v>
      </x:c>
      <x:c r="C455" s="2" t="str">
        <x:v>21868</x:v>
      </x:c>
      <x:c r="D455" s="2" t="str">
        <x:v>POTTING SHED TEA MUG</x:v>
      </x:c>
      <x:c r="E455" s="11" t="n">
        <x:v>11188.64</x:v>
      </x:c>
      <x:c r="F455" s="11" t="n">
        <x:v>250.39000000000001</x:v>
      </x:c>
      <x:c r="G455" s="11" t="n">
        <x:v>10938.25</x:v>
      </x:c>
      <x:c r="H455" s="23" t="n">
        <x:v>0.0005448904561419452</x:v>
      </x:c>
      <x:c r="I455" s="23" t="n">
        <x:v>0.6028627076075449</x:v>
      </x:c>
      <x:c r="J455" s="2" t="n">
        <x:v>881</x:v>
      </x:c>
      <x:c r="K455" s="2"/>
      <x:c r="L455" s="2"/>
    </x:row>
    <x:row r="456" ht="22" customHeight="1">
      <x:c r="A456" s="2"/>
      <x:c r="B456" s="2" t="n">
        <x:v>423</x:v>
      </x:c>
      <x:c r="C456" s="2" t="str">
        <x:v>47599A</x:v>
      </x:c>
      <x:c r="D456" s="2" t="str">
        <x:v>PINK PARTY BAGS</x:v>
      </x:c>
      <x:c r="E456" s="11" t="n">
        <x:v>11186.87</x:v>
      </x:c>
      <x:c r="F456" s="11" t="n">
        <x:v>247.35999999999999</x:v>
      </x:c>
      <x:c r="G456" s="11" t="n">
        <x:v>10939.51</x:v>
      </x:c>
      <x:c r="H456" s="23" t="n">
        <x:v>0.0005448042565584953</x:v>
      </x:c>
      <x:c r="I456" s="23" t="n">
        <x:v>0.6034075118641034</x:v>
      </x:c>
      <x:c r="J456" s="2" t="n">
        <x:v>369</x:v>
      </x:c>
      <x:c r="K456" s="2"/>
      <x:c r="L456" s="2"/>
    </x:row>
    <x:row r="457" ht="22" customHeight="1">
      <x:c r="A457" s="2"/>
      <x:c r="B457" s="2" t="n">
        <x:v>424</x:v>
      </x:c>
      <x:c r="C457" s="2" t="str">
        <x:v>22417</x:v>
      </x:c>
      <x:c r="D457" s="2" t="str">
        <x:v>PACK OF 60 SPACEBOY CAKE CASES</x:v>
      </x:c>
      <x:c r="E457" s="11" t="n">
        <x:v>11168.7</x:v>
      </x:c>
      <x:c r="F457" s="11" t="n">
        <x:v>62.7</x:v>
      </x:c>
      <x:c r="G457" s="11" t="n">
        <x:v>11106</x:v>
      </x:c>
      <x:c r="H457" s="23" t="n">
        <x:v>0.0005439193715690686</x:v>
      </x:c>
      <x:c r="I457" s="23" t="n">
        <x:v>0.6039514312356724</x:v>
      </x:c>
      <x:c r="J457" s="2" t="n">
        <x:v>1103</x:v>
      </x:c>
      <x:c r="K457" s="2"/>
      <x:c r="L457" s="2"/>
    </x:row>
    <x:row r="458" ht="22" customHeight="1">
      <x:c r="A458" s="2"/>
      <x:c r="B458" s="2" t="n">
        <x:v>425</x:v>
      </x:c>
      <x:c r="C458" s="2" t="str">
        <x:v>23170</x:v>
      </x:c>
      <x:c r="D458" s="2" t="str">
        <x:v>REGENCY TEA PLATE ROSES </x:v>
      </x:c>
      <x:c r="E458" s="11" t="n">
        <x:v>11117.05</x:v>
      </x:c>
      <x:c r="F458" s="11" t="n">
        <x:v>1046.3</x:v>
      </x:c>
      <x:c r="G458" s="11" t="n">
        <x:v>10070.749999999998</x:v>
      </x:c>
      <x:c r="H458" s="23" t="n">
        <x:v>0.0005414039995435381</x:v>
      </x:c>
      <x:c r="I458" s="23" t="n">
        <x:v>0.6044928352352159</x:v>
      </x:c>
      <x:c r="J458" s="2" t="n">
        <x:v>445</x:v>
      </x:c>
      <x:c r="K458" s="2"/>
      <x:c r="L458" s="2"/>
    </x:row>
    <x:row r="459" ht="22" customHeight="1">
      <x:c r="A459" s="2"/>
      <x:c r="B459" s="2" t="n">
        <x:v>426</x:v>
      </x:c>
      <x:c r="C459" s="2" t="str">
        <x:v>21735</x:v>
      </x:c>
      <x:c r="D459" s="2" t="str">
        <x:v>TWO DOOR CURIO CABINET</x:v>
      </x:c>
      <x:c r="E459" s="11" t="n">
        <x:v>11112.85</x:v>
      </x:c>
      <x:c r="F459" s="11" t="n">
        <x:v>2535.6</x:v>
      </x:c>
      <x:c r="G459" s="11" t="n">
        <x:v>8577.25</x:v>
      </x:c>
      <x:c r="H459" s="23" t="n">
        <x:v>0.0005411994581590807</x:v>
      </x:c>
      <x:c r="I459" s="23" t="n">
        <x:v>0.605034034693375</x:v>
      </x:c>
      <x:c r="J459" s="2" t="n">
        <x:v>262</x:v>
      </x:c>
      <x:c r="K459" s="2"/>
      <x:c r="L459" s="2"/>
    </x:row>
    <x:row r="460" ht="22" customHeight="1">
      <x:c r="A460" s="2"/>
      <x:c r="B460" s="2" t="n">
        <x:v>427</x:v>
      </x:c>
      <x:c r="C460" s="2" t="str">
        <x:v>22620</x:v>
      </x:c>
      <x:c r="D460" s="2" t="str">
        <x:v>4 TRADITIONAL SPINNING TOPS</x:v>
      </x:c>
      <x:c r="E460" s="11" t="n">
        <x:v>11091.949999999999</x:v>
      </x:c>
      <x:c r="F460" s="11" t="n">
        <x:v>20.4</x:v>
      </x:c>
      <x:c r="G460" s="11" t="n">
        <x:v>11071.55</x:v>
      </x:c>
      <x:c r="H460" s="23" t="n">
        <x:v>0.0005401816212697565</x:v>
      </x:c>
      <x:c r="I460" s="23" t="n">
        <x:v>0.6055742163146448</x:v>
      </x:c>
      <x:c r="J460" s="2" t="n">
        <x:v>841</x:v>
      </x:c>
      <x:c r="K460" s="2"/>
      <x:c r="L460" s="2"/>
    </x:row>
    <x:row r="461" ht="22" customHeight="1">
      <x:c r="A461" s="2"/>
      <x:c r="B461" s="2" t="n">
        <x:v>428</x:v>
      </x:c>
      <x:c r="C461" s="2" t="str">
        <x:v>22768</x:v>
      </x:c>
      <x:c r="D461" s="2" t="str">
        <x:v>FAMILY PHOTO FRAME CORNICE</x:v>
      </x:c>
      <x:c r="E461" s="11" t="n">
        <x:v>11084.619999999999</x:v>
      </x:c>
      <x:c r="F461" s="11" t="n">
        <x:v>375.2</x:v>
      </x:c>
      <x:c r="G461" s="11" t="n">
        <x:v>10709.42</x:v>
      </x:c>
      <x:c r="H461" s="23" t="n">
        <x:v>0.0005398246478535486</x:v>
      </x:c>
      <x:c r="I461" s="23" t="n">
        <x:v>0.6061140409624983</x:v>
      </x:c>
      <x:c r="J461" s="2" t="n">
        <x:v>354</x:v>
      </x:c>
      <x:c r="K461" s="2"/>
      <x:c r="L461" s="2"/>
    </x:row>
    <x:row r="462" ht="22" customHeight="1">
      <x:c r="A462" s="2"/>
      <x:c r="B462" s="2" t="n">
        <x:v>429</x:v>
      </x:c>
      <x:c r="C462" s="2" t="str">
        <x:v>B</x:v>
      </x:c>
      <x:c r="D462" s="2" t="str">
        <x:v>Adjust bad debt</x:v>
      </x:c>
      <x:c r="E462" s="11" t="n">
        <x:v>11062.06</x:v>
      </x:c>
      <x:c r="F462" s="11" t="n">
        <x:v>0</x:v>
      </x:c>
      <x:c r="G462" s="11" t="n">
        <x:v>11062.06</x:v>
      </x:c>
      <x:c r="H462" s="23" t="n">
        <x:v>0.0005387259684170343</x:v>
      </x:c>
      <x:c r="I462" s="23" t="n">
        <x:v>0.6066527669309154</x:v>
      </x:c>
      <x:c r="J462" s="2" t="n">
        <x:v>1</x:v>
      </x:c>
      <x:c r="K462" s="2"/>
      <x:c r="L462" s="2"/>
    </x:row>
    <x:row r="463" ht="22" customHeight="1">
      <x:c r="A463" s="2"/>
      <x:c r="B463" s="2" t="n">
        <x:v>430</x:v>
      </x:c>
      <x:c r="C463" s="2" t="str">
        <x:v>22130</x:v>
      </x:c>
      <x:c r="D463" s="2" t="str">
        <x:v>PARTY CONE CHRISTMAS DECORATION </x:v>
      </x:c>
      <x:c r="E463" s="11" t="n">
        <x:v>11037.109999999999</x:v>
      </x:c>
      <x:c r="F463" s="11" t="n">
        <x:v>136.7</x:v>
      </x:c>
      <x:c r="G463" s="11" t="n">
        <x:v>10900.41</x:v>
      </x:c>
      <x:c r="H463" s="23" t="n">
        <x:v>0.0005375108951926976</x:v>
      </x:c>
      <x:c r="I463" s="23" t="n">
        <x:v>0.6071902778261081</x:v>
      </x:c>
      <x:c r="J463" s="2" t="n">
        <x:v>424</x:v>
      </x:c>
      <x:c r="K463" s="2"/>
      <x:c r="L463" s="2"/>
    </x:row>
    <x:row r="464" ht="22" customHeight="1">
      <x:c r="A464" s="2"/>
      <x:c r="B464" s="2" t="n">
        <x:v>431</x:v>
      </x:c>
      <x:c r="C464" s="2" t="str">
        <x:v>22694</x:v>
      </x:c>
      <x:c r="D464" s="2" t="str">
        <x:v>WICKER STAR </x:v>
      </x:c>
      <x:c r="E464" s="11" t="n">
        <x:v>11000.6</x:v>
      </x:c>
      <x:c r="F464" s="11" t="n">
        <x:v>348</x:v>
      </x:c>
      <x:c r="G464" s="11" t="n">
        <x:v>10652.6</x:v>
      </x:c>
      <x:c r="H464" s="23" t="n">
        <x:v>0.0005357328461578067</x:v>
      </x:c>
      <x:c r="I464" s="23" t="n">
        <x:v>0.607726010672266</x:v>
      </x:c>
      <x:c r="J464" s="2" t="n">
        <x:v>858</x:v>
      </x:c>
      <x:c r="K464" s="2"/>
      <x:c r="L464" s="2"/>
    </x:row>
    <x:row r="465" ht="22" customHeight="1">
      <x:c r="A465" s="2"/>
      <x:c r="B465" s="2" t="n">
        <x:v>432</x:v>
      </x:c>
      <x:c r="C465" s="2" t="str">
        <x:v>21749</x:v>
      </x:c>
      <x:c r="D465" s="2" t="str">
        <x:v>LARGE RED RETROSPOT WINDMILL</x:v>
      </x:c>
      <x:c r="E465" s="11" t="n">
        <x:v>10980.980000000001</x:v>
      </x:c>
      <x:c r="F465" s="11" t="n">
        <x:v>1381.8999999999999</x:v>
      </x:c>
      <x:c r="G465" s="11" t="n">
        <x:v>9599.080000000002</x:v>
      </x:c>
      <x:c r="H465" s="23" t="n">
        <x:v>0.0005347773456904127</x:v>
      </x:c>
      <x:c r="I465" s="23" t="n">
        <x:v>0.6082607880179564</x:v>
      </x:c>
      <x:c r="J465" s="2" t="n">
        <x:v>286</x:v>
      </x:c>
      <x:c r="K465" s="2"/>
      <x:c r="L465" s="2"/>
    </x:row>
    <x:row r="466" ht="22" customHeight="1">
      <x:c r="A466" s="2"/>
      <x:c r="B466" s="2" t="n">
        <x:v>433</x:v>
      </x:c>
      <x:c r="C466" s="2" t="str">
        <x:v>20828</x:v>
      </x:c>
      <x:c r="D466" s="2" t="str">
        <x:v>GLITTER BUTTERFLY CLIPS</x:v>
      </x:c>
      <x:c r="E466" s="11" t="n">
        <x:v>10973.63</x:v>
      </x:c>
      <x:c r="F466" s="11" t="n">
        <x:v>76.5</x:v>
      </x:c>
      <x:c r="G466" s="11" t="n">
        <x:v>10897.13</x:v>
      </x:c>
      <x:c r="H466" s="23" t="n">
        <x:v>0.000534419398267612</x:v>
      </x:c>
      <x:c r="I466" s="23" t="n">
        <x:v>0.608795207416224</x:v>
      </x:c>
      <x:c r="J466" s="2" t="n">
        <x:v>607</x:v>
      </x:c>
      <x:c r="K466" s="2"/>
      <x:c r="L466" s="2"/>
    </x:row>
    <x:row r="467" ht="22" customHeight="1">
      <x:c r="A467" s="2"/>
      <x:c r="B467" s="2" t="n">
        <x:v>434</x:v>
      </x:c>
      <x:c r="C467" s="2" t="str">
        <x:v>22668</x:v>
      </x:c>
      <x:c r="D467" s="2" t="str">
        <x:v>PINK BABY BUNTING</x:v>
      </x:c>
      <x:c r="E467" s="11" t="n">
        <x:v>10930.5</x:v>
      </x:c>
      <x:c r="F467" s="11" t="n">
        <x:v>177.64999999999998</x:v>
      </x:c>
      <x:c r="G467" s="11" t="n">
        <x:v>10752.85</x:v>
      </x:c>
      <x:c r="H467" s="23" t="n">
        <x:v>0.0005323189530505524</x:v>
      </x:c>
      <x:c r="I467" s="23" t="n">
        <x:v>0.6093275263692745</x:v>
      </x:c>
      <x:c r="J467" s="2" t="n">
        <x:v>579</x:v>
      </x:c>
      <x:c r="K467" s="2"/>
      <x:c r="L467" s="2"/>
    </x:row>
    <x:row r="468" ht="22" customHeight="1">
      <x:c r="A468" s="2"/>
      <x:c r="B468" s="2" t="n">
        <x:v>435</x:v>
      </x:c>
      <x:c r="C468" s="2" t="str">
        <x:v>21907</x:v>
      </x:c>
      <x:c r="D468" s="2" t="str">
        <x:v>I'M ON HOLIDAY METAL SIGN</x:v>
      </x:c>
      <x:c r="E468" s="11" t="n">
        <x:v>10910.320000000002</x:v>
      </x:c>
      <x:c r="F468" s="11" t="n">
        <x:v>44.10000000000001</x:v>
      </x:c>
      <x:c r="G468" s="11" t="n">
        <x:v>10866.220000000001</x:v>
      </x:c>
      <x:c r="H468" s="23" t="n">
        <x:v>0.0005313361803985639</x:v>
      </x:c>
      <x:c r="I468" s="23" t="n">
        <x:v>0.609858862549673</x:v>
      </x:c>
      <x:c r="J468" s="2" t="n">
        <x:v>771</x:v>
      </x:c>
      <x:c r="K468" s="2"/>
      <x:c r="L468" s="2"/>
    </x:row>
    <x:row r="469" ht="22" customHeight="1">
      <x:c r="A469" s="2"/>
      <x:c r="B469" s="2" t="n">
        <x:v>436</x:v>
      </x:c>
      <x:c r="C469" s="2" t="str">
        <x:v>21498</x:v>
      </x:c>
      <x:c r="D469" s="2" t="str">
        <x:v>RED RETROSPOT WRAP </x:v>
      </x:c>
      <x:c r="E469" s="11" t="n">
        <x:v>10872.92</x:v>
      </x:c>
      <x:c r="F469" s="11" t="n">
        <x:v>42</x:v>
      </x:c>
      <x:c r="G469" s="11" t="n">
        <x:v>10830.92</x:v>
      </x:c>
      <x:c r="H469" s="23" t="n">
        <x:v>0.0005295147880702998</x:v>
      </x:c>
      <x:c r="I469" s="23" t="n">
        <x:v>0.6103883773377433</x:v>
      </x:c>
      <x:c r="J469" s="2" t="n">
        <x:v>802</x:v>
      </x:c>
      <x:c r="K469" s="2"/>
      <x:c r="L469" s="2"/>
    </x:row>
    <x:row r="470" ht="22" customHeight="1">
      <x:c r="A470" s="2"/>
      <x:c r="B470" s="2" t="n">
        <x:v>437</x:v>
      </x:c>
      <x:c r="C470" s="2" t="str">
        <x:v>37370</x:v>
      </x:c>
      <x:c r="D470" s="2" t="str">
        <x:v>RETRO COFFEE MUGS ASSORTED</x:v>
      </x:c>
      <x:c r="E470" s="11" t="n">
        <x:v>10854.59</x:v>
      </x:c>
      <x:c r="F470" s="11" t="n">
        <x:v>57.42</x:v>
      </x:c>
      <x:c r="G470" s="11" t="n">
        <x:v>10797.17</x:v>
      </x:c>
      <x:c r="H470" s="23" t="n">
        <x:v>0.0005286221110281319</x:v>
      </x:c>
      <x:c r="I470" s="23" t="n">
        <x:v>0.6109169994487714</x:v>
      </x:c>
      <x:c r="J470" s="2" t="n">
        <x:v>492</x:v>
      </x:c>
      <x:c r="K470" s="2"/>
      <x:c r="L470" s="2"/>
    </x:row>
    <x:row r="471" ht="22" customHeight="1">
      <x:c r="A471" s="2"/>
      <x:c r="B471" s="2" t="n">
        <x:v>438</x:v>
      </x:c>
      <x:c r="C471" s="2" t="str">
        <x:v>21558</x:v>
      </x:c>
      <x:c r="D471" s="2" t="str">
        <x:v>SKULL LUNCH BOX WITH CUTLERY </x:v>
      </x:c>
      <x:c r="E471" s="11" t="n">
        <x:v>10854.01</x:v>
      </x:c>
      <x:c r="F471" s="11" t="n">
        <x:v>232.95</x:v>
      </x:c>
      <x:c r="G471" s="11" t="n">
        <x:v>10621.06</x:v>
      </x:c>
      <x:c r="H471" s="23" t="n">
        <x:v>0.0005285938648369448</x:v>
      </x:c>
      <x:c r="I471" s="23" t="n">
        <x:v>0.6114455933136084</x:v>
      </x:c>
      <x:c r="J471" s="2" t="n">
        <x:v>768</x:v>
      </x:c>
      <x:c r="K471" s="2"/>
      <x:c r="L471" s="2"/>
    </x:row>
    <x:row r="472" ht="22" customHeight="1">
      <x:c r="A472" s="2"/>
      <x:c r="B472" s="2" t="n">
        <x:v>439</x:v>
      </x:c>
      <x:c r="C472" s="2" t="str">
        <x:v>22274</x:v>
      </x:c>
      <x:c r="D472" s="2" t="str">
        <x:v>FELTCRAFT DOLL EMILY</x:v>
      </x:c>
      <x:c r="E472" s="11" t="n">
        <x:v>10814.320000000002</x:v>
      </x:c>
      <x:c r="F472" s="11" t="n">
        <x:v>199.1</x:v>
      </x:c>
      <x:c r="G472" s="11" t="n">
        <x:v>10615.220000000001</x:v>
      </x:c>
      <x:c r="H472" s="23" t="n">
        <x:v>0.0005266609487538219</x:v>
      </x:c>
      <x:c r="I472" s="23" t="n">
        <x:v>0.6119722542623622</x:v>
      </x:c>
      <x:c r="J472" s="2" t="n">
        <x:v>656</x:v>
      </x:c>
      <x:c r="K472" s="2"/>
      <x:c r="L472" s="2"/>
    </x:row>
    <x:row r="473" ht="22" customHeight="1">
      <x:c r="A473" s="2"/>
      <x:c r="B473" s="2" t="n">
        <x:v>440</x:v>
      </x:c>
      <x:c r="C473" s="2" t="str">
        <x:v>22904</x:v>
      </x:c>
      <x:c r="D473" s="2" t="str">
        <x:v>CALENDAR PAPER CUT DESIGN</x:v>
      </x:c>
      <x:c r="E473" s="11" t="n">
        <x:v>10802.25</x:v>
      </x:c>
      <x:c r="F473" s="11" t="n">
        <x:v>885.9</x:v>
      </x:c>
      <x:c r="G473" s="11" t="n">
        <x:v>9916.35</x:v>
      </x:c>
      <x:c r="H473" s="23" t="n">
        <x:v>0.0005260731357751547</x:v>
      </x:c>
      <x:c r="I473" s="23" t="n">
        <x:v>0.6124983273981374</x:v>
      </x:c>
      <x:c r="J473" s="2" t="n">
        <x:v>463</x:v>
      </x:c>
      <x:c r="K473" s="2"/>
      <x:c r="L473" s="2"/>
    </x:row>
    <x:row r="474" ht="22" customHeight="1">
      <x:c r="A474" s="2"/>
      <x:c r="B474" s="2" t="n">
        <x:v>441</x:v>
      </x:c>
      <x:c r="C474" s="2" t="str">
        <x:v>21086</x:v>
      </x:c>
      <x:c r="D474" s="2" t="str">
        <x:v>SET/6 RED SPOTTY PAPER CUPS</x:v>
      </x:c>
      <x:c r="E474" s="11" t="n">
        <x:v>10792.210000000001</x:v>
      </x:c>
      <x:c r="F474" s="11" t="n">
        <x:v>422.64000000000004</x:v>
      </x:c>
      <x:c r="G474" s="11" t="n">
        <x:v>10369.57</x:v>
      </x:c>
      <x:c r="H474" s="23" t="n">
        <x:v>0.0005255841844656423</x:v>
      </x:c>
      <x:c r="I474" s="23" t="n">
        <x:v>0.613023911582603</x:v>
      </x:c>
      <x:c r="J474" s="2" t="n">
        <x:v>843</x:v>
      </x:c>
      <x:c r="K474" s="2"/>
      <x:c r="L474" s="2"/>
    </x:row>
    <x:row r="475" ht="22" customHeight="1">
      <x:c r="A475" s="2"/>
      <x:c r="B475" s="2" t="n">
        <x:v>442</x:v>
      </x:c>
      <x:c r="C475" s="2" t="str">
        <x:v>22812</x:v>
      </x:c>
      <x:c r="D475" s="2" t="str">
        <x:v>PACK 3 BOXES CHRISTMAS PANETTONE</x:v>
      </x:c>
      <x:c r="E475" s="11" t="n">
        <x:v>10750.029999999999</x:v>
      </x:c>
      <x:c r="F475" s="11" t="n">
        <x:v>91.64999999999999</x:v>
      </x:c>
      <x:c r="G475" s="11" t="n">
        <x:v>10658.38</x:v>
      </x:c>
      <x:c r="H475" s="23" t="n">
        <x:v>0.0005235300045617336</x:v>
      </x:c>
      <x:c r="I475" s="23" t="n">
        <x:v>0.6135474415871648</x:v>
      </x:c>
      <x:c r="J475" s="2" t="n">
        <x:v>462</x:v>
      </x:c>
      <x:c r="K475" s="2"/>
      <x:c r="L475" s="2"/>
    </x:row>
    <x:row r="476" ht="22" customHeight="1">
      <x:c r="A476" s="2"/>
      <x:c r="B476" s="2" t="n">
        <x:v>443</x:v>
      </x:c>
      <x:c r="C476" s="2" t="str">
        <x:v>21833</x:v>
      </x:c>
      <x:c r="D476" s="2" t="str">
        <x:v>CAMOUFLAGE LED TORCH</x:v>
      </x:c>
      <x:c r="E476" s="11" t="n">
        <x:v>10691.81</x:v>
      </x:c>
      <x:c r="F476" s="11" t="n">
        <x:v>297.5</x:v>
      </x:c>
      <x:c r="G476" s="11" t="n">
        <x:v>10394.31</x:v>
      </x:c>
      <x:c r="H476" s="23" t="n">
        <x:v>0.0005206946713705161</x:v>
      </x:c>
      <x:c r="I476" s="23" t="n">
        <x:v>0.6140681362585353</x:v>
      </x:c>
      <x:c r="J476" s="2" t="n">
        <x:v>444</x:v>
      </x:c>
      <x:c r="K476" s="2"/>
      <x:c r="L476" s="2"/>
    </x:row>
    <x:row r="477" ht="22" customHeight="1">
      <x:c r="A477" s="2"/>
      <x:c r="B477" s="2" t="n">
        <x:v>444</x:v>
      </x:c>
      <x:c r="C477" s="2" t="str">
        <x:v>21624</x:v>
      </x:c>
      <x:c r="D477" s="2" t="str">
        <x:v>VINTAGE UNION JACK DOORSTOP</x:v>
      </x:c>
      <x:c r="E477" s="11" t="n">
        <x:v>10664.95</x:v>
      </x:c>
      <x:c r="F477" s="11" t="n">
        <x:v>128.75</x:v>
      </x:c>
      <x:c r="G477" s="11" t="n">
        <x:v>10536.2</x:v>
      </x:c>
      <x:c r="H477" s="23" t="n">
        <x:v>0.000519386580516581</x:v>
      </x:c>
      <x:c r="I477" s="23" t="n">
        <x:v>0.6145875228390518</x:v>
      </x:c>
      <x:c r="J477" s="2" t="n">
        <x:v>403</x:v>
      </x:c>
      <x:c r="K477" s="2"/>
      <x:c r="L477" s="2"/>
    </x:row>
    <x:row r="478" ht="22" customHeight="1">
      <x:c r="A478" s="2"/>
      <x:c r="B478" s="2" t="n">
        <x:v>445</x:v>
      </x:c>
      <x:c r="C478" s="2" t="str">
        <x:v>22064</x:v>
      </x:c>
      <x:c r="D478" s="2" t="str">
        <x:v>PINK DOUGHNUT TRINKET POT </x:v>
      </x:c>
      <x:c r="E478" s="11" t="n">
        <x:v>10647.109999999999</x:v>
      </x:c>
      <x:c r="F478" s="11" t="n">
        <x:v>222.7</x:v>
      </x:c>
      <x:c r="G478" s="11" t="n">
        <x:v>10424.41</x:v>
      </x:c>
      <x:c r="H478" s="23" t="n">
        <x:v>0.000518517766635933</x:v>
      </x:c>
      <x:c r="I478" s="23" t="n">
        <x:v>0.6151060406056877</x:v>
      </x:c>
      <x:c r="J478" s="2" t="n">
        <x:v>693</x:v>
      </x:c>
      <x:c r="K478" s="2"/>
      <x:c r="L478" s="2"/>
    </x:row>
    <x:row r="479" ht="22" customHeight="1">
      <x:c r="A479" s="2"/>
      <x:c r="B479" s="2" t="n">
        <x:v>446</x:v>
      </x:c>
      <x:c r="C479" s="2" t="str">
        <x:v>21974</x:v>
      </x:c>
      <x:c r="D479" s="2" t="str">
        <x:v>SET OF 36 PAISLEY FLOWER DOILIES</x:v>
      </x:c>
      <x:c r="E479" s="11" t="n">
        <x:v>10622.15</x:v>
      </x:c>
      <x:c r="F479" s="11" t="n">
        <x:v>201.45</x:v>
      </x:c>
      <x:c r="G479" s="11" t="n">
        <x:v>10420.699999999999</x:v>
      </x:c>
      <x:c r="H479" s="23" t="n">
        <x:v>0.0005173022064083001</x:v>
      </x:c>
      <x:c r="I479" s="23" t="n">
        <x:v>0.6156233428120961</x:v>
      </x:c>
      <x:c r="J479" s="2" t="n">
        <x:v>808</x:v>
      </x:c>
      <x:c r="K479" s="2"/>
      <x:c r="L479" s="2"/>
    </x:row>
    <x:row r="480" ht="22" customHeight="1">
      <x:c r="A480" s="2"/>
      <x:c r="B480" s="2" t="n">
        <x:v>447</x:v>
      </x:c>
      <x:c r="C480" s="2" t="str">
        <x:v>22348</x:v>
      </x:c>
      <x:c r="D480" s="2" t="str">
        <x:v>TEA BAG PLATE RED RETROSPOT</x:v>
      </x:c>
      <x:c r="E480" s="11" t="n">
        <x:v>10589.92</x:v>
      </x:c>
      <x:c r="F480" s="11" t="n">
        <x:v>85</x:v>
      </x:c>
      <x:c r="G480" s="11" t="n">
        <x:v>10504.92</x:v>
      </x:c>
      <x:c r="H480" s="23" t="n">
        <x:v>0.0005157325947842372</x:v>
      </x:c>
      <x:c r="I480" s="23" t="n">
        <x:v>0.6161390754068803</x:v>
      </x:c>
      <x:c r="J480" s="2" t="n">
        <x:v>961</x:v>
      </x:c>
      <x:c r="K480" s="2"/>
      <x:c r="L480" s="2"/>
    </x:row>
    <x:row r="481" ht="22" customHeight="1">
      <x:c r="A481" s="2"/>
      <x:c r="B481" s="2" t="n">
        <x:v>448</x:v>
      </x:c>
      <x:c r="C481" s="2" t="str">
        <x:v>22349</x:v>
      </x:c>
      <x:c r="D481" s="2" t="str">
        <x:v>DOG BOWL CHASING BALL DESIGN</x:v>
      </x:c>
      <x:c r="E481" s="11" t="n">
        <x:v>10562.92</x:v>
      </x:c>
      <x:c r="F481" s="11" t="n">
        <x:v>132.12</x:v>
      </x:c>
      <x:c r="G481" s="11" t="n">
        <x:v>10430.8</x:v>
      </x:c>
      <x:c r="H481" s="23" t="n">
        <x:v>0.0005144176858841536</x:v>
      </x:c>
      <x:c r="I481" s="23" t="n">
        <x:v>0.6166534930927644</x:v>
      </x:c>
      <x:c r="J481" s="2" t="n">
        <x:v>366</x:v>
      </x:c>
      <x:c r="K481" s="2"/>
      <x:c r="L481" s="2"/>
    </x:row>
    <x:row r="482" ht="22" customHeight="1">
      <x:c r="A482" s="2"/>
      <x:c r="B482" s="2" t="n">
        <x:v>449</x:v>
      </x:c>
      <x:c r="C482" s="2" t="str">
        <x:v>22595</x:v>
      </x:c>
      <x:c r="D482" s="2" t="str">
        <x:v>GINGHAM HEART DECORATION</x:v>
      </x:c>
      <x:c r="E482" s="11" t="n">
        <x:v>10557.92</x:v>
      </x:c>
      <x:c r="F482" s="11" t="n">
        <x:v>103.67999999999999</x:v>
      </x:c>
      <x:c r="G482" s="11" t="n">
        <x:v>10454.24</x:v>
      </x:c>
      <x:c r="H482" s="23" t="n">
        <x:v>0.0005141741842359899</x:v>
      </x:c>
      <x:c r="I482" s="23" t="n">
        <x:v>0.6171676672770003</x:v>
      </x:c>
      <x:c r="J482" s="2" t="n">
        <x:v>796</x:v>
      </x:c>
      <x:c r="K482" s="2"/>
      <x:c r="L482" s="2"/>
    </x:row>
    <x:row r="483" ht="22" customHeight="1">
      <x:c r="A483" s="2"/>
      <x:c r="B483" s="2" t="n">
        <x:v>450</x:v>
      </x:c>
      <x:c r="C483" s="2" t="str">
        <x:v>82001S</x:v>
      </x:c>
      <x:c r="D483" s="2" t="str">
        <x:v>SILVER RECORD COVER FRAME</x:v>
      </x:c>
      <x:c r="E483" s="11" t="n">
        <x:v>10531.4</x:v>
      </x:c>
      <x:c r="F483" s="11" t="n">
        <x:v>40.53</x:v>
      </x:c>
      <x:c r="G483" s="11" t="n">
        <x:v>10490.87</x:v>
      </x:c>
      <x:c r="H483" s="23" t="n">
        <x:v>0.0005128826514941299</x:v>
      </x:c>
      <x:c r="I483" s="23" t="n">
        <x:v>0.6176805499284945</x:v>
      </x:c>
      <x:c r="J483" s="2" t="n">
        <x:v>230</x:v>
      </x:c>
      <x:c r="K483" s="2"/>
      <x:c r="L483" s="2"/>
    </x:row>
    <x:row r="484" ht="22" customHeight="1">
      <x:c r="A484" s="2"/>
      <x:c r="B484" s="2" t="n">
        <x:v>451</x:v>
      </x:c>
      <x:c r="C484" s="2" t="str">
        <x:v>22302</x:v>
      </x:c>
      <x:c r="D484" s="2" t="str">
        <x:v>COFFEE MUG PEARS  DESIGN</x:v>
      </x:c>
      <x:c r="E484" s="11" t="n">
        <x:v>10510.3</x:v>
      </x:c>
      <x:c r="F484" s="11" t="n">
        <x:v>94.35</x:v>
      </x:c>
      <x:c r="G484" s="11" t="n">
        <x:v>10415.95</x:v>
      </x:c>
      <x:c r="H484" s="23" t="n">
        <x:v>0.0005118550745388793</x:v>
      </x:c>
      <x:c r="I484" s="23" t="n">
        <x:v>0.6181924050030334</x:v>
      </x:c>
      <x:c r="J484" s="2" t="n">
        <x:v>396</x:v>
      </x:c>
      <x:c r="K484" s="2"/>
      <x:c r="L484" s="2"/>
    </x:row>
    <x:row r="485" ht="22" customHeight="1">
      <x:c r="A485" s="2"/>
      <x:c r="B485" s="2" t="n">
        <x:v>452</x:v>
      </x:c>
      <x:c r="C485" s="2" t="str">
        <x:v>23208</x:v>
      </x:c>
      <x:c r="D485" s="2" t="str">
        <x:v>LUNCH BAG VINTAGE LEAF DESIGN</x:v>
      </x:c>
      <x:c r="E485" s="11" t="n">
        <x:v>10498.01</x:v>
      </x:c>
      <x:c r="F485" s="11" t="n">
        <x:v>109.85</x:v>
      </x:c>
      <x:c r="G485" s="11" t="n">
        <x:v>10388.16</x:v>
      </x:c>
      <x:c r="H485" s="23" t="n">
        <x:v>0.0005112565474876931</x:v>
      </x:c>
      <x:c r="I485" s="23" t="n">
        <x:v>0.6187036615505211</x:v>
      </x:c>
      <x:c r="J485" s="2" t="n">
        <x:v>668</x:v>
      </x:c>
      <x:c r="K485" s="2"/>
      <x:c r="L485" s="2"/>
    </x:row>
    <x:row r="486" ht="22" customHeight="1">
      <x:c r="A486" s="2"/>
      <x:c r="B486" s="2" t="n">
        <x:v>453</x:v>
      </x:c>
      <x:c r="C486" s="2" t="str">
        <x:v>21982</x:v>
      </x:c>
      <x:c r="D486" s="2" t="str">
        <x:v>PACK OF 12 SUKI TISSUES </x:v>
      </x:c>
      <x:c r="E486" s="11" t="n">
        <x:v>10489.05</x:v>
      </x:c>
      <x:c r="F486" s="11" t="n">
        <x:v>10.83</x:v>
      </x:c>
      <x:c r="G486" s="11" t="n">
        <x:v>10478.22</x:v>
      </x:c>
      <x:c r="H486" s="23" t="n">
        <x:v>0.0005108201925341838</x:v>
      </x:c>
      <x:c r="I486" s="23" t="n">
        <x:v>0.6192144817430554</x:v>
      </x:c>
      <x:c r="J486" s="2" t="n">
        <x:v>718</x:v>
      </x:c>
      <x:c r="K486" s="2"/>
      <x:c r="L486" s="2"/>
    </x:row>
    <x:row r="487" ht="22" customHeight="1">
      <x:c r="A487" s="2"/>
      <x:c r="B487" s="2" t="n">
        <x:v>454</x:v>
      </x:c>
      <x:c r="C487" s="2" t="str">
        <x:v>21890</x:v>
      </x:c>
      <x:c r="D487" s="2" t="str">
        <x:v>S/6 WOODEN SKITTLES IN COTTON BAG</x:v>
      </x:c>
      <x:c r="E487" s="11" t="n">
        <x:v>10484.65</x:v>
      </x:c>
      <x:c r="F487" s="11" t="n">
        <x:v>30.200000000000003</x:v>
      </x:c>
      <x:c r="G487" s="11" t="n">
        <x:v>10454.45</x:v>
      </x:c>
      <x:c r="H487" s="23" t="n">
        <x:v>0.0005106059110837998</x:v>
      </x:c>
      <x:c r="I487" s="23" t="n">
        <x:v>0.6197250876541391</x:v>
      </x:c>
      <x:c r="J487" s="2" t="n">
        <x:v>547</x:v>
      </x:c>
      <x:c r="K487" s="2"/>
      <x:c r="L487" s="2"/>
    </x:row>
    <x:row r="488" ht="22" customHeight="1">
      <x:c r="A488" s="2"/>
      <x:c r="B488" s="2" t="n">
        <x:v>455</x:v>
      </x:c>
      <x:c r="C488" s="2" t="str">
        <x:v>20754</x:v>
      </x:c>
      <x:c r="D488" s="2" t="str">
        <x:v>RETROSPOT RED WASHING UP GLOVES</x:v>
      </x:c>
      <x:c r="E488" s="11" t="n">
        <x:v>10449.02</x:v>
      </x:c>
      <x:c r="F488" s="11" t="n">
        <x:v>66.30000000000001</x:v>
      </x:c>
      <x:c r="G488" s="11" t="n">
        <x:v>10382.720000000001</x:v>
      </x:c>
      <x:c r="H488" s="23" t="n">
        <x:v>0.0005088707183389857</x:v>
      </x:c>
      <x:c r="I488" s="23" t="n">
        <x:v>0.6202339583724781</x:v>
      </x:c>
      <x:c r="J488" s="2" t="n">
        <x:v>852</x:v>
      </x:c>
      <x:c r="K488" s="2"/>
      <x:c r="L488" s="2"/>
    </x:row>
    <x:row r="489" ht="22" customHeight="1">
      <x:c r="A489" s="2"/>
      <x:c r="B489" s="2" t="n">
        <x:v>456</x:v>
      </x:c>
      <x:c r="C489" s="2" t="str">
        <x:v>22418</x:v>
      </x:c>
      <x:c r="D489" s="2" t="str">
        <x:v>10 COLOUR SPACEBOY PEN</x:v>
      </x:c>
      <x:c r="E489" s="11" t="n">
        <x:v>10419.429999999998</x:v>
      </x:c>
      <x:c r="F489" s="11" t="n">
        <x:v>176.79999999999998</x:v>
      </x:c>
      <x:c r="G489" s="11" t="n">
        <x:v>10242.63</x:v>
      </x:c>
      <x:c r="H489" s="23" t="n">
        <x:v>0.0005074296755851531</x:v>
      </x:c>
      <x:c r="I489" s="23" t="n">
        <x:v>0.6207413880480632</x:v>
      </x:c>
      <x:c r="J489" s="2" t="n">
        <x:v>586</x:v>
      </x:c>
      <x:c r="K489" s="2"/>
      <x:c r="L489" s="2"/>
    </x:row>
    <x:row r="490" ht="22" customHeight="1">
      <x:c r="A490" s="2"/>
      <x:c r="B490" s="2" t="n">
        <x:v>457</x:v>
      </x:c>
      <x:c r="C490" s="2" t="str">
        <x:v>22174</x:v>
      </x:c>
      <x:c r="D490" s="2" t="str">
        <x:v>PHOTO CUBE</x:v>
      </x:c>
      <x:c r="E490" s="11" t="n">
        <x:v>10410.63</x:v>
      </x:c>
      <x:c r="F490" s="11" t="n">
        <x:v>79.19999999999999</x:v>
      </x:c>
      <x:c r="G490" s="11" t="n">
        <x:v>10331.43</x:v>
      </x:c>
      <x:c r="H490" s="23" t="n">
        <x:v>0.0005070011126843851</x:v>
      </x:c>
      <x:c r="I490" s="23" t="n">
        <x:v>0.6212483891607476</x:v>
      </x:c>
      <x:c r="J490" s="2" t="n">
        <x:v>557</x:v>
      </x:c>
      <x:c r="K490" s="2"/>
      <x:c r="L490" s="2"/>
    </x:row>
    <x:row r="491" ht="22" customHeight="1">
      <x:c r="A491" s="2"/>
      <x:c r="B491" s="2" t="n">
        <x:v>458</x:v>
      </x:c>
      <x:c r="C491" s="2" t="str">
        <x:v>22992</x:v>
      </x:c>
      <x:c r="D491" s="2" t="str">
        <x:v>REVOLVER WOODEN RULER </x:v>
      </x:c>
      <x:c r="E491" s="11" t="n">
        <x:v>10379.84</x:v>
      </x:c>
      <x:c r="F491" s="11" t="n">
        <x:v>1193.4</x:v>
      </x:c>
      <x:c r="G491" s="11" t="n">
        <x:v>9186.44</x:v>
      </x:c>
      <x:c r="H491" s="23" t="n">
        <x:v>0.0005055016295349935</x:v>
      </x:c>
      <x:c r="I491" s="23" t="n">
        <x:v>0.6217538907902826</x:v>
      </x:c>
      <x:c r="J491" s="2" t="n">
        <x:v>348</x:v>
      </x:c>
      <x:c r="K491" s="2"/>
      <x:c r="L491" s="2"/>
    </x:row>
    <x:row r="492" ht="22" customHeight="1">
      <x:c r="A492" s="2"/>
      <x:c r="B492" s="2" t="n">
        <x:v>459</x:v>
      </x:c>
      <x:c r="C492" s="2" t="str">
        <x:v>22725</x:v>
      </x:c>
      <x:c r="D492" s="2" t="str">
        <x:v>ALARM CLOCK BAKELIKE CHOCOLATE</x:v>
      </x:c>
      <x:c r="E492" s="11" t="n">
        <x:v>10366.17</x:v>
      </x:c>
      <x:c r="F492" s="11" t="n">
        <x:v>221.25</x:v>
      </x:c>
      <x:c r="G492" s="11" t="n">
        <x:v>10144.92</x:v>
      </x:c>
      <x:c r="H492" s="23" t="n">
        <x:v>0.000504835896028914</x:v>
      </x:c>
      <x:c r="I492" s="23" t="n">
        <x:v>0.6222587266863115</x:v>
      </x:c>
      <x:c r="J492" s="2" t="n">
        <x:v>549</x:v>
      </x:c>
      <x:c r="K492" s="2"/>
      <x:c r="L492" s="2"/>
    </x:row>
    <x:row r="493" ht="22" customHeight="1">
      <x:c r="A493" s="2"/>
      <x:c r="B493" s="2" t="n">
        <x:v>460</x:v>
      </x:c>
      <x:c r="C493" s="2" t="str">
        <x:v>22120</x:v>
      </x:c>
      <x:c r="D493" s="2" t="str">
        <x:v>WELCOME  WOODEN BLOCK LETTERS</x:v>
      </x:c>
      <x:c r="E493" s="11" t="n">
        <x:v>10353.99</x:v>
      </x:c>
      <x:c r="F493" s="11" t="n">
        <x:v>187.6</x:v>
      </x:c>
      <x:c r="G493" s="11" t="n">
        <x:v>10166.39</x:v>
      </x:c>
      <x:c r="H493" s="23" t="n">
        <x:v>0.0005042427260139873</x:v>
      </x:c>
      <x:c r="I493" s="23" t="n">
        <x:v>0.6227629694123256</x:v>
      </x:c>
      <x:c r="J493" s="2" t="n">
        <x:v>367</x:v>
      </x:c>
      <x:c r="K493" s="2"/>
      <x:c r="L493" s="2"/>
    </x:row>
    <x:row r="494" ht="22" customHeight="1">
      <x:c r="A494" s="2"/>
      <x:c r="B494" s="2" t="n">
        <x:v>461</x:v>
      </x:c>
      <x:c r="C494" s="2" t="str">
        <x:v>22089</x:v>
      </x:c>
      <x:c r="D494" s="2" t="str">
        <x:v>PAPER BUNTING VINTAGE PAISLEY</x:v>
      </x:c>
      <x:c r="E494" s="11" t="n">
        <x:v>10309.25</x:v>
      </x:c>
      <x:c r="F494" s="11" t="n">
        <x:v>173.89999999999998</x:v>
      </x:c>
      <x:c r="G494" s="11" t="n">
        <x:v>10135.35</x:v>
      </x:c>
      <x:c r="H494" s="23" t="n">
        <x:v>0.0005020638732662191</x:v>
      </x:c>
      <x:c r="I494" s="23" t="n">
        <x:v>0.6232650332855918</x:v>
      </x:c>
      <x:c r="J494" s="2" t="n">
        <x:v>552</x:v>
      </x:c>
      <x:c r="K494" s="2"/>
      <x:c r="L494" s="2"/>
    </x:row>
    <x:row r="495" ht="22" customHeight="1">
      <x:c r="A495" s="2"/>
      <x:c r="B495" s="2" t="n">
        <x:v>462</x:v>
      </x:c>
      <x:c r="C495" s="2" t="str">
        <x:v>20979</x:v>
      </x:c>
      <x:c r="D495" s="2" t="str">
        <x:v>36 PENCILS TUBE RED RETROSPOT</x:v>
      </x:c>
      <x:c r="E495" s="11" t="n">
        <x:v>10279.31</x:v>
      </x:c>
      <x:c r="F495" s="11" t="n">
        <x:v>463.18</x:v>
      </x:c>
      <x:c r="G495" s="11" t="n">
        <x:v>9816.13</x:v>
      </x:c>
      <x:c r="H495" s="23" t="n">
        <x:v>0.0005006057853970151</x:v>
      </x:c>
      <x:c r="I495" s="23" t="n">
        <x:v>0.6237656390709888</x:v>
      </x:c>
      <x:c r="J495" s="2" t="n">
        <x:v>709</x:v>
      </x:c>
      <x:c r="K495" s="2"/>
      <x:c r="L495" s="2"/>
    </x:row>
    <x:row r="496" ht="22" customHeight="1">
      <x:c r="A496" s="2"/>
      <x:c r="B496" s="2" t="n">
        <x:v>463</x:v>
      </x:c>
      <x:c r="C496" s="2" t="str">
        <x:v>21781</x:v>
      </x:c>
      <x:c r="D496" s="2" t="str">
        <x:v>MA CAMPAGNE CUTLERY BOX</x:v>
      </x:c>
      <x:c r="E496" s="11" t="n">
        <x:v>10275.22</x:v>
      </x:c>
      <x:c r="F496" s="11" t="n">
        <x:v>600.6</x:v>
      </x:c>
      <x:c r="G496" s="11" t="n">
        <x:v>9674.619999999999</x:v>
      </x:c>
      <x:c r="H496" s="23" t="n">
        <x:v>0.0005004066010488172</x:v>
      </x:c>
      <x:c r="I496" s="23" t="n">
        <x:v>0.6242660456720376</x:v>
      </x:c>
      <x:c r="J496" s="2" t="n">
        <x:v>363</x:v>
      </x:c>
      <x:c r="K496" s="2"/>
      <x:c r="L496" s="2"/>
    </x:row>
    <x:row r="497" ht="22" customHeight="1">
      <x:c r="A497" s="2"/>
      <x:c r="B497" s="2" t="n">
        <x:v>464</x:v>
      </x:c>
      <x:c r="C497" s="2" t="str">
        <x:v>22771</x:v>
      </x:c>
      <x:c r="D497" s="2" t="str">
        <x:v>CLEAR DRAWER KNOB ACRYLIC EDWARDIAN</x:v>
      </x:c>
      <x:c r="E497" s="11" t="n">
        <x:v>10267.08</x:v>
      </x:c>
      <x:c r="F497" s="11" t="n">
        <x:v>37.5</x:v>
      </x:c>
      <x:c r="G497" s="11" t="n">
        <x:v>10229.58</x:v>
      </x:c>
      <x:c r="H497" s="23" t="n">
        <x:v>0.0005000101803656068</x:v>
      </x:c>
      <x:c r="I497" s="23" t="n">
        <x:v>0.6247660558524032</x:v>
      </x:c>
      <x:c r="J497" s="2" t="n">
        <x:v>512</x:v>
      </x:c>
      <x:c r="K497" s="2"/>
      <x:c r="L497" s="2"/>
    </x:row>
    <x:row r="498" ht="22" customHeight="1">
      <x:c r="A498" s="2"/>
      <x:c r="B498" s="2" t="n">
        <x:v>465</x:v>
      </x:c>
      <x:c r="C498" s="2" t="str">
        <x:v>22380</x:v>
      </x:c>
      <x:c r="D498" s="2" t="str">
        <x:v>TOY TIDY SPACEBOY  </x:v>
      </x:c>
      <x:c r="E498" s="11" t="n">
        <x:v>10242.86</x:v>
      </x:c>
      <x:c r="F498" s="11" t="n">
        <x:v>94.5</x:v>
      </x:c>
      <x:c r="G498" s="11" t="n">
        <x:v>10148.36</x:v>
      </x:c>
      <x:c r="H498" s="23" t="n">
        <x:v>0.0004988306583819021</x:v>
      </x:c>
      <x:c r="I498" s="23" t="n">
        <x:v>0.625264886510785</x:v>
      </x:c>
      <x:c r="J498" s="2" t="n">
        <x:v>688</x:v>
      </x:c>
      <x:c r="K498" s="2"/>
      <x:c r="L498" s="2"/>
    </x:row>
    <x:row r="499" ht="22" customHeight="1">
      <x:c r="A499" s="2"/>
      <x:c r="B499" s="2" t="n">
        <x:v>466</x:v>
      </x:c>
      <x:c r="C499" s="2" t="str">
        <x:v>23582</x:v>
      </x:c>
      <x:c r="D499" s="2" t="str">
        <x:v>VINTAGE DOILY JUMBO BAG RED </x:v>
      </x:c>
      <x:c r="E499" s="11" t="n">
        <x:v>10233.45</x:v>
      </x:c>
      <x:c r="F499" s="11" t="n">
        <x:v>222.68</x:v>
      </x:c>
      <x:c r="G499" s="11" t="n">
        <x:v>10010.77</x:v>
      </x:c>
      <x:c r="H499" s="23" t="n">
        <x:v>0.0004983723882800581</x:v>
      </x:c>
      <x:c r="I499" s="23" t="n">
        <x:v>0.6257632588990651</x:v>
      </x:c>
      <x:c r="J499" s="2" t="n">
        <x:v>259</x:v>
      </x:c>
      <x:c r="K499" s="2"/>
      <x:c r="L499" s="2"/>
    </x:row>
    <x:row r="500" ht="22" customHeight="1">
      <x:c r="A500" s="2"/>
      <x:c r="B500" s="2" t="n">
        <x:v>467</x:v>
      </x:c>
      <x:c r="C500" s="2" t="str">
        <x:v>22970</x:v>
      </x:c>
      <x:c r="D500" s="2" t="str">
        <x:v>LONDON BUS COFFEE MUG</x:v>
      </x:c>
      <x:c r="E500" s="11" t="n">
        <x:v>10224.75</x:v>
      </x:c>
      <x:c r="F500" s="11" t="n">
        <x:v>33.6</x:v>
      </x:c>
      <x:c r="G500" s="11" t="n">
        <x:v>10191.15</x:v>
      </x:c>
      <x:c r="H500" s="23" t="n">
        <x:v>0.0004979486954122534</x:v>
      </x:c>
      <x:c r="I500" s="23" t="n">
        <x:v>0.6262612075944773</x:v>
      </x:c>
      <x:c r="J500" s="2" t="n">
        <x:v>317</x:v>
      </x:c>
      <x:c r="K500" s="2"/>
      <x:c r="L500" s="2"/>
    </x:row>
    <x:row r="501" ht="22" customHeight="1">
      <x:c r="A501" s="2"/>
      <x:c r="B501" s="2" t="n">
        <x:v>468</x:v>
      </x:c>
      <x:c r="C501" s="2" t="str">
        <x:v>21531</x:v>
      </x:c>
      <x:c r="D501" s="2" t="str">
        <x:v>RED RETROSPOT SUGAR JAM BOWL</x:v>
      </x:c>
      <x:c r="E501" s="11" t="n">
        <x:v>10204.72</x:v>
      </x:c>
      <x:c r="F501" s="11" t="n">
        <x:v>92.55</x:v>
      </x:c>
      <x:c r="G501" s="11" t="n">
        <x:v>10112.17</x:v>
      </x:c>
      <x:c r="H501" s="23" t="n">
        <x:v>0.0004969732278097097</x:v>
      </x:c>
      <x:c r="I501" s="23" t="n">
        <x:v>0.6267581808222871</x:v>
      </x:c>
      <x:c r="J501" s="2" t="n">
        <x:v>776</x:v>
      </x:c>
      <x:c r="K501" s="2"/>
      <x:c r="L501" s="2"/>
    </x:row>
    <x:row r="502" ht="22" customHeight="1">
      <x:c r="A502" s="2"/>
      <x:c r="B502" s="2" t="n">
        <x:v>469</x:v>
      </x:c>
      <x:c r="C502" s="2" t="str">
        <x:v>20682</x:v>
      </x:c>
      <x:c r="D502" s="2" t="str">
        <x:v>RED RETROSPOT CHILDRENS UMBRELLA</x:v>
      </x:c>
      <x:c r="E502" s="11" t="n">
        <x:v>10197.31</x:v>
      </x:c>
      <x:c r="F502" s="11" t="n">
        <x:v>178.75</x:v>
      </x:c>
      <x:c r="G502" s="11" t="n">
        <x:v>10018.56</x:v>
      </x:c>
      <x:c r="H502" s="23" t="n">
        <x:v>0.0004966123583671312</x:v>
      </x:c>
      <x:c r="I502" s="23" t="n">
        <x:v>0.6272547931806542</x:v>
      </x:c>
      <x:c r="J502" s="2" t="n">
        <x:v>589</x:v>
      </x:c>
      <x:c r="K502" s="2"/>
      <x:c r="L502" s="2"/>
    </x:row>
    <x:row r="503" ht="22" customHeight="1">
      <x:c r="A503" s="2"/>
      <x:c r="B503" s="2" t="n">
        <x:v>470</x:v>
      </x:c>
      <x:c r="C503" s="2" t="str">
        <x:v>22748</x:v>
      </x:c>
      <x:c r="D503" s="2" t="str">
        <x:v>POPPY'S PLAYHOUSE KITCHEN</x:v>
      </x:c>
      <x:c r="E503" s="11" t="n">
        <x:v>10197.1</x:v>
      </x:c>
      <x:c r="F503" s="11" t="n">
        <x:v>35.7</x:v>
      </x:c>
      <x:c r="G503" s="11" t="n">
        <x:v>10161.4</x:v>
      </x:c>
      <x:c r="H503" s="23" t="n">
        <x:v>0.0004966021312979084</x:v>
      </x:c>
      <x:c r="I503" s="23" t="n">
        <x:v>0.6277513953119521</x:v>
      </x:c>
      <x:c r="J503" s="2" t="n">
        <x:v>742</x:v>
      </x:c>
      <x:c r="K503" s="2"/>
      <x:c r="L503" s="2"/>
    </x:row>
    <x:row r="504" ht="22" customHeight="1">
      <x:c r="A504" s="2"/>
      <x:c r="B504" s="2" t="n">
        <x:v>471</x:v>
      </x:c>
      <x:c r="C504" s="2" t="str">
        <x:v>21892</x:v>
      </x:c>
      <x:c r="D504" s="2" t="str">
        <x:v>TRADITIONAL WOODEN CATCH CUP GAME </x:v>
      </x:c>
      <x:c r="E504" s="11" t="n">
        <x:v>10173.78</x:v>
      </x:c>
      <x:c r="F504" s="11" t="n">
        <x:v>67.5</x:v>
      </x:c>
      <x:c r="G504" s="11" t="n">
        <x:v>10106.28</x:v>
      </x:c>
      <x:c r="H504" s="23" t="n">
        <x:v>0.0004954664396108732</x:v>
      </x:c>
      <x:c r="I504" s="23" t="n">
        <x:v>0.628246861751563</x:v>
      </x:c>
      <x:c r="J504" s="2" t="n">
        <x:v>818</x:v>
      </x:c>
      <x:c r="K504" s="2"/>
      <x:c r="L504" s="2"/>
    </x:row>
    <x:row r="505" ht="22" customHeight="1">
      <x:c r="A505" s="2"/>
      <x:c r="B505" s="2" t="n">
        <x:v>472</x:v>
      </x:c>
      <x:c r="C505" s="2" t="str">
        <x:v>21033</x:v>
      </x:c>
      <x:c r="D505" s="2" t="str">
        <x:v>JUMBO BAG CHARLIE AND LOLA TOYS</x:v>
      </x:c>
      <x:c r="E505" s="11" t="n">
        <x:v>10157.79</x:v>
      </x:c>
      <x:c r="F505" s="11" t="n">
        <x:v>31.29</x:v>
      </x:c>
      <x:c r="G505" s="11" t="n">
        <x:v>10126.5</x:v>
      </x:c>
      <x:c r="H505" s="23" t="n">
        <x:v>0.0004946877213400458</x:v>
      </x:c>
      <x:c r="I505" s="23" t="n">
        <x:v>0.6287415494729031</x:v>
      </x:c>
      <x:c r="J505" s="2" t="n">
        <x:v>573</x:v>
      </x:c>
      <x:c r="K505" s="2"/>
      <x:c r="L505" s="2"/>
    </x:row>
    <x:row r="506" ht="22" customHeight="1">
      <x:c r="A506" s="2"/>
      <x:c r="B506" s="2" t="n">
        <x:v>473</x:v>
      </x:c>
      <x:c r="C506" s="2" t="str">
        <x:v>22966</x:v>
      </x:c>
      <x:c r="D506" s="2" t="str">
        <x:v>GINGERBREAD MAN COOKIE CUTTER</x:v>
      </x:c>
      <x:c r="E506" s="11" t="n">
        <x:v>10156.26</x:v>
      </x:c>
      <x:c r="F506" s="11" t="n">
        <x:v>6.25</x:v>
      </x:c>
      <x:c r="G506" s="11" t="n">
        <x:v>10150.01</x:v>
      </x:c>
      <x:c r="H506" s="23" t="n">
        <x:v>0.0004946132098357077</x:v>
      </x:c>
      <x:c r="I506" s="23" t="n">
        <x:v>0.6292361626827387</x:v>
      </x:c>
      <x:c r="J506" s="2" t="n">
        <x:v>732</x:v>
      </x:c>
      <x:c r="K506" s="2"/>
      <x:c r="L506" s="2"/>
    </x:row>
    <x:row r="507" ht="22" customHeight="1">
      <x:c r="A507" s="2"/>
      <x:c r="B507" s="2" t="n">
        <x:v>474</x:v>
      </x:c>
      <x:c r="C507" s="2" t="str">
        <x:v>22180</x:v>
      </x:c>
      <x:c r="D507" s="2" t="str">
        <x:v>RETROSPOT LAMP</x:v>
      </x:c>
      <x:c r="E507" s="11" t="n">
        <x:v>10143.18</x:v>
      </x:c>
      <x:c r="F507" s="11" t="n">
        <x:v>483.2</x:v>
      </x:c>
      <x:c r="G507" s="11" t="n">
        <x:v>9659.98</x:v>
      </x:c>
      <x:c r="H507" s="23" t="n">
        <x:v>0.0004939762095241116</x:v>
      </x:c>
      <x:c r="I507" s="23" t="n">
        <x:v>0.6297301388922628</x:v>
      </x:c>
      <x:c r="J507" s="2" t="n">
        <x:v>410</x:v>
      </x:c>
      <x:c r="K507" s="2"/>
      <x:c r="L507" s="2"/>
    </x:row>
    <x:row r="508" ht="22" customHeight="1">
      <x:c r="A508" s="2"/>
      <x:c r="B508" s="2" t="n">
        <x:v>475</x:v>
      </x:c>
      <x:c r="C508" s="2" t="str">
        <x:v>84792</x:v>
      </x:c>
      <x:c r="D508" s="2" t="str">
        <x:v>ENCHANTED BIRD COATHANGER 5 HOOK</x:v>
      </x:c>
      <x:c r="E508" s="11" t="n">
        <x:v>10128.810000000001</x:v>
      </x:c>
      <x:c r="F508" s="11" t="n">
        <x:v>270.45</x:v>
      </x:c>
      <x:c r="G508" s="11" t="n">
        <x:v>9858.36</x:v>
      </x:c>
      <x:c r="H508" s="23" t="n">
        <x:v>0.0004932763857872893</x:v>
      </x:c>
      <x:c r="I508" s="23" t="n">
        <x:v>0.6302234152780501</x:v>
      </x:c>
      <x:c r="J508" s="2" t="n">
        <x:v>519</x:v>
      </x:c>
      <x:c r="K508" s="2"/>
      <x:c r="L508" s="2"/>
    </x:row>
    <x:row r="509" ht="22" customHeight="1">
      <x:c r="A509" s="2"/>
      <x:c r="B509" s="2" t="n">
        <x:v>476</x:v>
      </x:c>
      <x:c r="C509" s="2" t="str">
        <x:v>22840</x:v>
      </x:c>
      <x:c r="D509" s="2" t="str">
        <x:v>ROUND CAKE TIN VINTAGE RED</x:v>
      </x:c>
      <x:c r="E509" s="11" t="n">
        <x:v>10071.35</x:v>
      </x:c>
      <x:c r="F509" s="11" t="n">
        <x:v>229.55</x:v>
      </x:c>
      <x:c r="G509" s="11" t="n">
        <x:v>9841.800000000001</x:v>
      </x:c>
      <x:c r="H509" s="23" t="n">
        <x:v>0.0004904780648465926</x:v>
      </x:c>
      <x:c r="I509" s="23" t="n">
        <x:v>0.6307138933428967</x:v>
      </x:c>
      <x:c r="J509" s="2" t="n">
        <x:v>402</x:v>
      </x:c>
      <x:c r="K509" s="2"/>
      <x:c r="L509" s="2"/>
    </x:row>
    <x:row r="510" ht="22" customHeight="1">
      <x:c r="A510" s="2"/>
      <x:c r="B510" s="2" t="n">
        <x:v>477</x:v>
      </x:c>
      <x:c r="C510" s="2" t="str">
        <x:v>23171</x:v>
      </x:c>
      <x:c r="D510" s="2" t="str">
        <x:v>REGENCY TEA PLATE GREEN </x:v>
      </x:c>
      <x:c r="E510" s="11" t="n">
        <x:v>10051.99</x:v>
      </x:c>
      <x:c r="F510" s="11" t="n">
        <x:v>146.25</x:v>
      </x:c>
      <x:c r="G510" s="11" t="n">
        <x:v>9905.74</x:v>
      </x:c>
      <x:c r="H510" s="23" t="n">
        <x:v>0.000489535226464903</x:v>
      </x:c>
      <x:c r="I510" s="23" t="n">
        <x:v>0.6312034285693616</x:v>
      </x:c>
      <x:c r="J510" s="2" t="n">
        <x:v>381</x:v>
      </x:c>
      <x:c r="K510" s="2"/>
      <x:c r="L510" s="2"/>
    </x:row>
    <x:row r="511" ht="22" customHeight="1">
      <x:c r="A511" s="2"/>
      <x:c r="B511" s="2" t="n">
        <x:v>478</x:v>
      </x:c>
      <x:c r="C511" s="2" t="str">
        <x:v>21756</x:v>
      </x:c>
      <x:c r="D511" s="2" t="str">
        <x:v>BATH BUILDING BLOCK WORD</x:v>
      </x:c>
      <x:c r="E511" s="11" t="n">
        <x:v>10039.85</x:v>
      </x:c>
      <x:c r="F511" s="11" t="n">
        <x:v>35.7</x:v>
      </x:c>
      <x:c r="G511" s="11" t="n">
        <x:v>10004.15</x:v>
      </x:c>
      <x:c r="H511" s="23" t="n">
        <x:v>0.0004889440044631617</x:v>
      </x:c>
      <x:c r="I511" s="23" t="n">
        <x:v>0.6316923725738248</x:v>
      </x:c>
      <x:c r="J511" s="2" t="n">
        <x:v>581</x:v>
      </x:c>
      <x:c r="K511" s="2"/>
      <x:c r="L511" s="2"/>
    </x:row>
    <x:row r="512" ht="22" customHeight="1">
      <x:c r="A512" s="2"/>
      <x:c r="B512" s="2" t="n">
        <x:v>479</x:v>
      </x:c>
      <x:c r="C512" s="2" t="str">
        <x:v>22645</x:v>
      </x:c>
      <x:c r="D512" s="2" t="str">
        <x:v>CERAMIC HEART FAIRY CAKE MONEY BANK</x:v>
      </x:c>
      <x:c r="E512" s="11" t="n">
        <x:v>10006.72</x:v>
      </x:c>
      <x:c r="F512" s="11" t="n">
        <x:v>125.94999999999999</x:v>
      </x:c>
      <x:c r="G512" s="11" t="n">
        <x:v>9880.77</x:v>
      </x:c>
      <x:c r="H512" s="23" t="n">
        <x:v>0.00048733056254242926</x:v>
      </x:c>
      <x:c r="I512" s="23" t="n">
        <x:v>0.6321797031363673</x:v>
      </x:c>
      <x:c r="J512" s="2" t="n">
        <x:v>741</x:v>
      </x:c>
      <x:c r="K512" s="2"/>
      <x:c r="L512" s="2"/>
    </x:row>
    <x:row r="513" ht="22" customHeight="1">
      <x:c r="A513" s="2"/>
      <x:c r="B513" s="2" t="n">
        <x:v>480</x:v>
      </x:c>
      <x:c r="C513" s="2" t="str">
        <x:v>22300</x:v>
      </x:c>
      <x:c r="D513" s="2" t="str">
        <x:v>COFFEE MUG DOG + BALL DESIGN</x:v>
      </x:c>
      <x:c r="E513" s="11" t="n">
        <x:v>9988.3</x:v>
      </x:c>
      <x:c r="F513" s="11" t="n">
        <x:v>160.64999999999998</x:v>
      </x:c>
      <x:c r="G513" s="11" t="n">
        <x:v>9827.65</x:v>
      </x:c>
      <x:c r="H513" s="23" t="n">
        <x:v>0.00048643350247059436</x:v>
      </x:c>
      <x:c r="I513" s="23" t="n">
        <x:v>0.6326661366388379</x:v>
      </x:c>
      <x:c r="J513" s="2" t="n">
        <x:v>526</x:v>
      </x:c>
      <x:c r="K513" s="2"/>
      <x:c r="L513" s="2"/>
    </x:row>
    <x:row r="514" ht="22" customHeight="1">
      <x:c r="A514" s="2"/>
      <x:c r="B514" s="2" t="n">
        <x:v>481</x:v>
      </x:c>
      <x:c r="C514" s="2" t="str">
        <x:v>22327</x:v>
      </x:c>
      <x:c r="D514" s="2" t="str">
        <x:v>ROUND SNACK BOXES SET OF 4 SKULLS</x:v>
      </x:c>
      <x:c r="E514" s="11" t="n">
        <x:v>9981.9</x:v>
      </x:c>
      <x:c r="F514" s="11" t="n">
        <x:v>64.5</x:v>
      </x:c>
      <x:c r="G514" s="11" t="n">
        <x:v>9917.4</x:v>
      </x:c>
      <x:c r="H514" s="23" t="n">
        <x:v>0.0004861218203609449</x:v>
      </x:c>
      <x:c r="I514" s="23" t="n">
        <x:v>0.6331522584591988</x:v>
      </x:c>
      <x:c r="J514" s="2" t="n">
        <x:v>646</x:v>
      </x:c>
      <x:c r="K514" s="2"/>
      <x:c r="L514" s="2"/>
    </x:row>
    <x:row r="515" ht="22" customHeight="1">
      <x:c r="A515" s="2"/>
      <x:c r="B515" s="2" t="n">
        <x:v>482</x:v>
      </x:c>
      <x:c r="C515" s="2" t="str">
        <x:v>23076</x:v>
      </x:c>
      <x:c r="D515" s="2" t="str">
        <x:v>ICE CREAM SUNDAE LIP GLOSS</x:v>
      </x:c>
      <x:c r="E515" s="11" t="n">
        <x:v>9965.76</x:v>
      </x:c>
      <x:c r="F515" s="11" t="n">
        <x:v>35</x:v>
      </x:c>
      <x:c r="G515" s="11" t="n">
        <x:v>9930.76</x:v>
      </x:c>
      <x:c r="H515" s="23" t="n">
        <x:v>0.0004853357970406727</x:v>
      </x:c>
      <x:c r="I515" s="23" t="n">
        <x:v>0.6336375942562394</x:v>
      </x:c>
      <x:c r="J515" s="2" t="n">
        <x:v>277</x:v>
      </x:c>
      <x:c r="K515" s="2"/>
      <x:c r="L515" s="2"/>
    </x:row>
    <x:row r="516" ht="22" customHeight="1">
      <x:c r="A516" s="2"/>
      <x:c r="B516" s="2" t="n">
        <x:v>483</x:v>
      </x:c>
      <x:c r="C516" s="2" t="str">
        <x:v>22131</x:v>
      </x:c>
      <x:c r="D516" s="2" t="str">
        <x:v>FOOD CONTAINER SET 3 LOVE HEART </x:v>
      </x:c>
      <x:c r="E516" s="11" t="n">
        <x:v>9940.24</x:v>
      </x:c>
      <x:c r="F516" s="11" t="n">
        <x:v>29.099999999999998</x:v>
      </x:c>
      <x:c r="G516" s="11" t="n">
        <x:v>9911.14</x:v>
      </x:c>
      <x:c r="H516" s="23" t="n">
        <x:v>0.0004840929646284454</x:v>
      </x:c>
      <x:c r="I516" s="23" t="n">
        <x:v>0.6341216872208679</x:v>
      </x:c>
      <x:c r="J516" s="2" t="n">
        <x:v>692</x:v>
      </x:c>
      <x:c r="K516" s="2"/>
      <x:c r="L516" s="2"/>
    </x:row>
    <x:row r="517" ht="22" customHeight="1">
      <x:c r="A517" s="2"/>
      <x:c r="B517" s="2" t="n">
        <x:v>484</x:v>
      </x:c>
      <x:c r="C517" s="2" t="str">
        <x:v>84880</x:v>
      </x:c>
      <x:c r="D517" s="2" t="str">
        <x:v>WHITE WIRE EGG HOLDER</x:v>
      </x:c>
      <x:c r="E517" s="11" t="n">
        <x:v>9927.84</x:v>
      </x:c>
      <x:c r="F517" s="11" t="n">
        <x:v>78.9</x:v>
      </x:c>
      <x:c r="G517" s="11" t="n">
        <x:v>9848.94</x:v>
      </x:c>
      <x:c r="H517" s="23" t="n">
        <x:v>0.0004834890805409996</x:v>
      </x:c>
      <x:c r="I517" s="23" t="n">
        <x:v>0.6346051763014089</x:v>
      </x:c>
      <x:c r="J517" s="2" t="n">
        <x:v>375</x:v>
      </x:c>
      <x:c r="K517" s="2"/>
      <x:c r="L517" s="2"/>
    </x:row>
    <x:row r="518" ht="22" customHeight="1">
      <x:c r="A518" s="2"/>
      <x:c r="B518" s="2" t="n">
        <x:v>485</x:v>
      </x:c>
      <x:c r="C518" s="2" t="str">
        <x:v>22429</x:v>
      </x:c>
      <x:c r="D518" s="2" t="str">
        <x:v>ENAMEL MEASURING JUG CREAM</x:v>
      </x:c>
      <x:c r="E518" s="11" t="n">
        <x:v>9912.039999999999</x:v>
      </x:c>
      <x:c r="F518" s="11" t="n">
        <x:v>178.5</x:v>
      </x:c>
      <x:c r="G518" s="11" t="n">
        <x:v>9733.539999999999</x:v>
      </x:c>
      <x:c r="H518" s="23" t="n">
        <x:v>0.0004827196153328024</x:v>
      </x:c>
      <x:c r="I518" s="23" t="n">
        <x:v>0.6350878959167416</x:v>
      </x:c>
      <x:c r="J518" s="2" t="n">
        <x:v>625</x:v>
      </x:c>
      <x:c r="K518" s="2"/>
      <x:c r="L518" s="2"/>
    </x:row>
    <x:row r="519" ht="22" customHeight="1">
      <x:c r="A519" s="2"/>
      <x:c r="B519" s="2" t="n">
        <x:v>486</x:v>
      </x:c>
      <x:c r="C519" s="2" t="str">
        <x:v>22466</x:v>
      </x:c>
      <x:c r="D519" s="2" t="str">
        <x:v>FAIRY TALE COTTAGE NIGHT LIGHT</x:v>
      </x:c>
      <x:c r="E519" s="11" t="n">
        <x:v>9863.029999999999</x:v>
      </x:c>
      <x:c r="F519" s="11" t="n">
        <x:v>70.94999999999999</x:v>
      </x:c>
      <x:c r="G519" s="11" t="n">
        <x:v>9792.08</x:v>
      </x:c>
      <x:c r="H519" s="23" t="n">
        <x:v>0.0004803328121775023</x:v>
      </x:c>
      <x:c r="I519" s="23" t="n">
        <x:v>0.6355682287289192</x:v>
      </x:c>
      <x:c r="J519" s="2" t="n">
        <x:v>394</x:v>
      </x:c>
      <x:c r="K519" s="2"/>
      <x:c r="L519" s="2"/>
    </x:row>
    <x:row r="520" ht="22" customHeight="1">
      <x:c r="A520" s="2"/>
      <x:c r="B520" s="2" t="n">
        <x:v>487</x:v>
      </x:c>
      <x:c r="C520" s="2" t="str">
        <x:v>20829</x:v>
      </x:c>
      <x:c r="D520" s="2" t="str">
        <x:v>GLITTER HANGING BUTTERFLY STRING</x:v>
      </x:c>
      <x:c r="E520" s="11" t="n">
        <x:v>9841.82</x:v>
      </x:c>
      <x:c r="F520" s="11" t="n">
        <x:v>1801.96</x:v>
      </x:c>
      <x:c r="G520" s="11" t="n">
        <x:v>8039.860000000001</x:v>
      </x:c>
      <x:c r="H520" s="23" t="n">
        <x:v>0.00047929987818599217</x:v>
      </x:c>
      <x:c r="I520" s="23" t="n">
        <x:v>0.6360475286071051</x:v>
      </x:c>
      <x:c r="J520" s="2" t="n">
        <x:v>481</x:v>
      </x:c>
      <x:c r="K520" s="2"/>
      <x:c r="L520" s="2"/>
    </x:row>
    <x:row r="521" ht="22" customHeight="1">
      <x:c r="A521" s="2"/>
      <x:c r="B521" s="2" t="n">
        <x:v>488</x:v>
      </x:c>
      <x:c r="C521" s="2" t="str">
        <x:v>79000</x:v>
      </x:c>
      <x:c r="D521" s="2" t="str">
        <x:v>MOROCCAN TEA GLASS</x:v>
      </x:c>
      <x:c r="E521" s="11" t="n">
        <x:v>9831.31</x:v>
      </x:c>
      <x:c r="F521" s="11" t="n">
        <x:v>171.9</x:v>
      </x:c>
      <x:c r="G521" s="11" t="n">
        <x:v>9659.41</x:v>
      </x:c>
      <x:c r="H521" s="23" t="n">
        <x:v>0.00047878803772155213</x:v>
      </x:c>
      <x:c r="I521" s="23" t="n">
        <x:v>0.6365263166448266</x:v>
      </x:c>
      <x:c r="J521" s="2" t="n">
        <x:v>436</x:v>
      </x:c>
      <x:c r="K521" s="2"/>
      <x:c r="L521" s="2"/>
    </x:row>
    <x:row r="522" ht="22" customHeight="1">
      <x:c r="A522" s="2"/>
      <x:c r="B522" s="2" t="n">
        <x:v>489</x:v>
      </x:c>
      <x:c r="C522" s="2" t="str">
        <x:v>20677</x:v>
      </x:c>
      <x:c r="D522" s="2" t="str">
        <x:v>PINK POLKADOT BOWL</x:v>
      </x:c>
      <x:c r="E522" s="11" t="n">
        <x:v>9821.81</x:v>
      </x:c>
      <x:c r="F522" s="11" t="n">
        <x:v>17.310000000000002</x:v>
      </x:c>
      <x:c r="G522" s="11" t="n">
        <x:v>9804.5</x:v>
      </x:c>
      <x:c r="H522" s="23" t="n">
        <x:v>0.0004783253845900412</x:v>
      </x:c>
      <x:c r="I522" s="23" t="n">
        <x:v>0.6370046420294166</x:v>
      </x:c>
      <x:c r="J522" s="2" t="n">
        <x:v>760</x:v>
      </x:c>
      <x:c r="K522" s="2"/>
      <x:c r="L522" s="2"/>
    </x:row>
    <x:row r="523" ht="22" customHeight="1">
      <x:c r="A523" s="2"/>
      <x:c r="B523" s="2" t="n">
        <x:v>490</x:v>
      </x:c>
      <x:c r="C523" s="2" t="str">
        <x:v>22745</x:v>
      </x:c>
      <x:c r="D523" s="2" t="str">
        <x:v>POPPY'S PLAYHOUSE BEDROOM </x:v>
      </x:c>
      <x:c r="E523" s="11" t="n">
        <x:v>9804.54</x:v>
      </x:c>
      <x:c r="F523" s="11" t="n">
        <x:v>27.300000000000004</x:v>
      </x:c>
      <x:c r="G523" s="11" t="n">
        <x:v>9777.24</x:v>
      </x:c>
      <x:c r="H523" s="23" t="n">
        <x:v>0.00047748432989728405</x:v>
      </x:c>
      <x:c r="I523" s="23" t="n">
        <x:v>0.6374821263593139</x:v>
      </x:c>
      <x:c r="J523" s="2" t="n">
        <x:v>703</x:v>
      </x:c>
      <x:c r="K523" s="2"/>
      <x:c r="L523" s="2"/>
    </x:row>
    <x:row r="524" ht="22" customHeight="1">
      <x:c r="A524" s="2"/>
      <x:c r="B524" s="2" t="n">
        <x:v>491</x:v>
      </x:c>
      <x:c r="C524" s="2" t="str">
        <x:v>21488</x:v>
      </x:c>
      <x:c r="D524" s="2" t="str">
        <x:v>RED WHITE SCARF  HOT WATER BOTTLE</x:v>
      </x:c>
      <x:c r="E524" s="11" t="n">
        <x:v>9804.33</x:v>
      </x:c>
      <x:c r="F524" s="11" t="n">
        <x:v>0</x:v>
      </x:c>
      <x:c r="G524" s="11" t="n">
        <x:v>9804.33</x:v>
      </x:c>
      <x:c r="H524" s="23" t="n">
        <x:v>0.00047747410282806115</x:v>
      </x:c>
      <x:c r="I524" s="23" t="n">
        <x:v>0.637959600462142</x:v>
      </x:c>
      <x:c r="J524" s="2" t="n">
        <x:v>359</x:v>
      </x:c>
      <x:c r="K524" s="2"/>
      <x:c r="L524" s="2"/>
    </x:row>
    <x:row r="525" ht="22" customHeight="1">
      <x:c r="A525" s="2"/>
      <x:c r="B525" s="2" t="n">
        <x:v>492</x:v>
      </x:c>
      <x:c r="C525" s="2" t="str">
        <x:v>22549</x:v>
      </x:c>
      <x:c r="D525" s="2" t="str">
        <x:v>PICTURE DOMINOES</x:v>
      </x:c>
      <x:c r="E525" s="11" t="n">
        <x:v>9728.56</x:v>
      </x:c>
      <x:c r="F525" s="11" t="n">
        <x:v>1.45</x:v>
      </x:c>
      <x:c r="G525" s="11" t="n">
        <x:v>9727.109999999999</x:v>
      </x:c>
      <x:c r="H525" s="23" t="n">
        <x:v>0.0004737840788517892</x:v>
      </x:c>
      <x:c r="I525" s="23" t="n">
        <x:v>0.6384333845409937</x:v>
      </x:c>
      <x:c r="J525" s="2" t="n">
        <x:v>711</x:v>
      </x:c>
      <x:c r="K525" s="2"/>
      <x:c r="L525" s="2"/>
    </x:row>
    <x:row r="526" ht="22" customHeight="1">
      <x:c r="A526" s="2"/>
      <x:c r="B526" s="2" t="n">
        <x:v>493</x:v>
      </x:c>
      <x:c r="C526" s="2" t="str">
        <x:v>47570B</x:v>
      </x:c>
      <x:c r="D526" s="2" t="str">
        <x:v>TEA TIME TABLE CLOTH</x:v>
      </x:c>
      <x:c r="E526" s="11" t="n">
        <x:v>9643.57</x:v>
      </x:c>
      <x:c r="F526" s="11" t="n">
        <x:v>21.3</x:v>
      </x:c>
      <x:c r="G526" s="11" t="n">
        <x:v>9622.27</x:v>
      </x:c>
      <x:c r="H526" s="23" t="n">
        <x:v>0.00046964503783630346</x:v>
      </x:c>
      <x:c r="I526" s="23" t="n">
        <x:v>0.63890302957883</x:v>
      </x:c>
      <x:c r="J526" s="2" t="n">
        <x:v>224</x:v>
      </x:c>
      <x:c r="K526" s="2"/>
      <x:c r="L526" s="2"/>
    </x:row>
    <x:row r="527" ht="22" customHeight="1">
      <x:c r="A527" s="2"/>
      <x:c r="B527" s="2" t="n">
        <x:v>494</x:v>
      </x:c>
      <x:c r="C527" s="2" t="str">
        <x:v>23175</x:v>
      </x:c>
      <x:c r="D527" s="2" t="str">
        <x:v>REGENCY MILK JUG PINK </x:v>
      </x:c>
      <x:c r="E527" s="11" t="n">
        <x:v>9600.15</x:v>
      </x:c>
      <x:c r="F527" s="11" t="n">
        <x:v>225.5</x:v>
      </x:c>
      <x:c r="G527" s="11" t="n">
        <x:v>9374.65</x:v>
      </x:c>
      <x:c r="H527" s="23" t="n">
        <x:v>0.00046753046952365034</x:v>
      </x:c>
      <x:c r="I527" s="23" t="n">
        <x:v>0.6393705600483537</x:v>
      </x:c>
      <x:c r="J527" s="2" t="n">
        <x:v>329</x:v>
      </x:c>
      <x:c r="K527" s="2"/>
      <x:c r="L527" s="2"/>
    </x:row>
    <x:row r="528" ht="22" customHeight="1">
      <x:c r="A528" s="2"/>
      <x:c r="B528" s="2" t="n">
        <x:v>495</x:v>
      </x:c>
      <x:c r="C528" s="2" t="str">
        <x:v>22665</x:v>
      </x:c>
      <x:c r="D528" s="2" t="str">
        <x:v>RECIPE BOX BLUE SKETCHBOOK DESIGN</x:v>
      </x:c>
      <x:c r="E528" s="11" t="n">
        <x:v>9598.69</x:v>
      </x:c>
      <x:c r="F528" s="11" t="n">
        <x:v>129.95000000000002</x:v>
      </x:c>
      <x:c r="G528" s="11" t="n">
        <x:v>9468.74</x:v>
      </x:c>
      <x:c r="H528" s="23" t="n">
        <x:v>0.0004674593670423866</x:v>
      </x:c>
      <x:c r="I528" s="23" t="n">
        <x:v>0.6398380194153961</x:v>
      </x:c>
      <x:c r="J528" s="2" t="n">
        <x:v>703</x:v>
      </x:c>
      <x:c r="K528" s="2"/>
      <x:c r="L528" s="2"/>
    </x:row>
    <x:row r="529" ht="22" customHeight="1">
      <x:c r="A529" s="2"/>
      <x:c r="B529" s="2" t="n">
        <x:v>496</x:v>
      </x:c>
      <x:c r="C529" s="2" t="str">
        <x:v>22978</x:v>
      </x:c>
      <x:c r="D529" s="2" t="str">
        <x:v>PANTRY ROLLING PIN</x:v>
      </x:c>
      <x:c r="E529" s="11" t="n">
        <x:v>9568.73</x:v>
      </x:c>
      <x:c r="F529" s="11" t="n">
        <x:v>272.61</x:v>
      </x:c>
      <x:c r="G529" s="11" t="n">
        <x:v>9296.119999999999</x:v>
      </x:c>
      <x:c r="H529" s="23" t="n">
        <x:v>0.00046600030516658997</x:v>
      </x:c>
      <x:c r="I529" s="23" t="n">
        <x:v>0.6403040197205627</x:v>
      </x:c>
      <x:c r="J529" s="2" t="n">
        <x:v>238</x:v>
      </x:c>
      <x:c r="K529" s="2"/>
      <x:c r="L529" s="2"/>
    </x:row>
    <x:row r="530" ht="22" customHeight="1">
      <x:c r="A530" s="2"/>
      <x:c r="B530" s="2" t="n">
        <x:v>497</x:v>
      </x:c>
      <x:c r="C530" s="2" t="str">
        <x:v>35961</x:v>
      </x:c>
      <x:c r="D530" s="2" t="str">
        <x:v>FOLKART ZINC HEART CHRISTMAS DEC</x:v>
      </x:c>
      <x:c r="E530" s="11" t="n">
        <x:v>9550.48</x:v>
      </x:c>
      <x:c r="F530" s="11" t="n">
        <x:v>0.85</x:v>
      </x:c>
      <x:c r="G530" s="11" t="n">
        <x:v>9549.63</x:v>
      </x:c>
      <x:c r="H530" s="23" t="n">
        <x:v>0.0004651115241507927</x:v>
      </x:c>
      <x:c r="I530" s="23" t="n">
        <x:v>0.6407691312447135</x:v>
      </x:c>
      <x:c r="J530" s="2" t="n">
        <x:v>637</x:v>
      </x:c>
      <x:c r="K530" s="2"/>
      <x:c r="L530" s="2"/>
    </x:row>
    <x:row r="531" ht="22" customHeight="1">
      <x:c r="A531" s="2"/>
      <x:c r="B531" s="2" t="n">
        <x:v>498</x:v>
      </x:c>
      <x:c r="C531" s="2" t="str">
        <x:v>82552</x:v>
      </x:c>
      <x:c r="D531" s="2" t="str">
        <x:v>WASHROOM METAL SIGN</x:v>
      </x:c>
      <x:c r="E531" s="11" t="n">
        <x:v>9541.06</x:v>
      </x:c>
      <x:c r="F531" s="11" t="n">
        <x:v>8.75</x:v>
      </x:c>
      <x:c r="G531" s="11" t="n">
        <x:v>9532.31</x:v>
      </x:c>
      <x:c r="H531" s="23" t="n">
        <x:v>0.00046465276704565233</x:v>
      </x:c>
      <x:c r="I531" s="23" t="n">
        <x:v>0.6412337840117591</x:v>
      </x:c>
      <x:c r="J531" s="2" t="n">
        <x:v>794</x:v>
      </x:c>
      <x:c r="K531" s="2"/>
      <x:c r="L531" s="2"/>
    </x:row>
    <x:row r="532" ht="22" customHeight="1">
      <x:c r="A532" s="2"/>
      <x:c r="B532" s="2" t="n">
        <x:v>499</x:v>
      </x:c>
      <x:c r="C532" s="2" t="str">
        <x:v>16014</x:v>
      </x:c>
      <x:c r="D532" s="2" t="str">
        <x:v>SMALL CHINESE STYLE SCISSOR</x:v>
      </x:c>
      <x:c r="E532" s="11" t="n">
        <x:v>9513.1</x:v>
      </x:c>
      <x:c r="F532" s="11" t="n">
        <x:v>0</x:v>
      </x:c>
      <x:c r="G532" s="11" t="n">
        <x:v>9513.1</x:v>
      </x:c>
      <x:c r="H532" s="23" t="n">
        <x:v>0.00046329110582912124</x:v>
      </x:c>
      <x:c r="I532" s="23" t="n">
        <x:v>0.6416970751175882</x:v>
      </x:c>
      <x:c r="J532" s="2" t="n">
        <x:v>93</x:v>
      </x:c>
      <x:c r="K532" s="2"/>
      <x:c r="L532" s="2"/>
    </x:row>
    <x:row r="533" ht="22" customHeight="1">
      <x:c r="A533" s="2"/>
      <x:c r="B533" s="2" t="n">
        <x:v>500</x:v>
      </x:c>
      <x:c r="C533" s="2" t="str">
        <x:v>22942</x:v>
      </x:c>
      <x:c r="D533" s="2" t="str">
        <x:v>CHRISTMAS LIGHTS 10 SANTAS </x:v>
      </x:c>
      <x:c r="E533" s="11" t="n">
        <x:v>9483.41</x:v>
      </x:c>
      <x:c r="F533" s="11" t="n">
        <x:v>612.85</x:v>
      </x:c>
      <x:c r="G533" s="11" t="n">
        <x:v>8870.560000000001</x:v>
      </x:c>
      <x:c r="H533" s="23" t="n">
        <x:v>0.0004618451930423255</x:v>
      </x:c>
      <x:c r="I533" s="23" t="n">
        <x:v>0.6421589203106306</x:v>
      </x:c>
      <x:c r="J533" s="2" t="n">
        <x:v>246</x:v>
      </x:c>
      <x:c r="K533" s="2"/>
      <x:c r="L533" s="2"/>
    </x:row>
    <x:row r="534" ht="22" customHeight="1">
      <x:c r="A534" s="2"/>
      <x:c r="B534" s="2" t="n">
        <x:v>501</x:v>
      </x:c>
      <x:c r="C534" s="2" t="str">
        <x:v>22767</x:v>
      </x:c>
      <x:c r="D534" s="2" t="str">
        <x:v>TRIPLE PHOTO FRAME CORNICE </x:v>
      </x:c>
      <x:c r="E534" s="11" t="n">
        <x:v>9478.23</x:v>
      </x:c>
      <x:c r="F534" s="11" t="n">
        <x:v>398</x:v>
      </x:c>
      <x:c r="G534" s="11" t="n">
        <x:v>9080.23</x:v>
      </x:c>
      <x:c r="H534" s="23" t="n">
        <x:v>0.00046159292533482795</x:v>
      </x:c>
      <x:c r="I534" s="23" t="n">
        <x:v>0.6426205132359655</x:v>
      </x:c>
      <x:c r="J534" s="2" t="n">
        <x:v>295</x:v>
      </x:c>
      <x:c r="K534" s="2"/>
      <x:c r="L534" s="2"/>
    </x:row>
    <x:row r="535" ht="22" customHeight="1">
      <x:c r="A535" s="2"/>
      <x:c r="B535" s="2" t="n">
        <x:v>502</x:v>
      </x:c>
      <x:c r="C535" s="2" t="str">
        <x:v>21716</x:v>
      </x:c>
      <x:c r="D535" s="2" t="str">
        <x:v>BOYS VINTAGE TIN SEASIDE BUCKET</x:v>
      </x:c>
      <x:c r="E535" s="11" t="n">
        <x:v>9437.869999999999</x:v>
      </x:c>
      <x:c r="F535" s="11" t="n">
        <x:v>25.5</x:v>
      </x:c>
      <x:c r="G535" s="11" t="n">
        <x:v>9412.369999999999</x:v>
      </x:c>
      <x:c r="H535" s="23" t="n">
        <x:v>0.0004596273800308509</x:v>
      </x:c>
      <x:c r="I535" s="23" t="n">
        <x:v>0.6430801406159963</x:v>
      </x:c>
      <x:c r="J535" s="2" t="n">
        <x:v>496</x:v>
      </x:c>
      <x:c r="K535" s="2"/>
      <x:c r="L535" s="2"/>
    </x:row>
    <x:row r="536" ht="22" customHeight="1">
      <x:c r="A536" s="2"/>
      <x:c r="B536" s="2" t="n">
        <x:v>503</x:v>
      </x:c>
      <x:c r="C536" s="2" t="str">
        <x:v>21385</x:v>
      </x:c>
      <x:c r="D536" s="2" t="str">
        <x:v>IVORY HANGING DECORATION  HEART</x:v>
      </x:c>
      <x:c r="E536" s="11" t="n">
        <x:v>9426.939999999999</x:v>
      </x:c>
      <x:c r="F536" s="11" t="n">
        <x:v>5.1</x:v>
      </x:c>
      <x:c r="G536" s="11" t="n">
        <x:v>9421.84</x:v>
      </x:c>
      <x:c r="H536" s="23" t="n">
        <x:v>0.0004590950854279652</x:v>
      </x:c>
      <x:c r="I536" s="23" t="n">
        <x:v>0.6435392357014242</x:v>
      </x:c>
      <x:c r="J536" s="2" t="n">
        <x:v>690</x:v>
      </x:c>
      <x:c r="K536" s="2"/>
      <x:c r="L536" s="2"/>
    </x:row>
    <x:row r="537" ht="22" customHeight="1">
      <x:c r="A537" s="2"/>
      <x:c r="B537" s="2" t="n">
        <x:v>504</x:v>
      </x:c>
      <x:c r="C537" s="2" t="str">
        <x:v>20970</x:v>
      </x:c>
      <x:c r="D537" s="2" t="str">
        <x:v>PINK FLORAL FELTCRAFT SHOULDER BAG</x:v>
      </x:c>
      <x:c r="E537" s="11" t="n">
        <x:v>9402.29</x:v>
      </x:c>
      <x:c r="F537" s="11" t="n">
        <x:v>11.25</x:v>
      </x:c>
      <x:c r="G537" s="11" t="n">
        <x:v>9391.04</x:v>
      </x:c>
      <x:c r="H537" s="23" t="n">
        <x:v>0.0004578946223025185</x:v>
      </x:c>
      <x:c r="I537" s="23" t="n">
        <x:v>0.6439971303237267</x:v>
      </x:c>
      <x:c r="J537" s="2" t="n">
        <x:v>574</x:v>
      </x:c>
      <x:c r="K537" s="2"/>
      <x:c r="L537" s="2"/>
    </x:row>
    <x:row r="538" ht="22" customHeight="1">
      <x:c r="A538" s="2"/>
      <x:c r="B538" s="2" t="n">
        <x:v>505</x:v>
      </x:c>
      <x:c r="C538" s="2" t="str">
        <x:v>22357</x:v>
      </x:c>
      <x:c r="D538" s="2" t="str">
        <x:v>KINGS CHOICE BISCUIT TIN</x:v>
      </x:c>
      <x:c r="E538" s="11" t="n">
        <x:v>9360.91</x:v>
      </x:c>
      <x:c r="F538" s="11" t="n">
        <x:v>198</x:v>
      </x:c>
      <x:c r="G538" s="11" t="n">
        <x:v>9162.91</x:v>
      </x:c>
      <x:c r="H538" s="23" t="n">
        <x:v>0.0004558794026623161</x:v>
      </x:c>
      <x:c r="I538" s="23" t="n">
        <x:v>0.6444530097263891</x:v>
      </x:c>
      <x:c r="J538" s="2" t="n">
        <x:v>462</x:v>
      </x:c>
      <x:c r="K538" s="2"/>
      <x:c r="L538" s="2"/>
    </x:row>
    <x:row r="539" ht="22" customHeight="1">
      <x:c r="A539" s="2"/>
      <x:c r="B539" s="2" t="n">
        <x:v>506</x:v>
      </x:c>
      <x:c r="C539" s="2" t="str">
        <x:v>84692</x:v>
      </x:c>
      <x:c r="D539" s="2" t="str">
        <x:v>BOX OF 24 COCKTAIL PARASOLS</x:v>
      </x:c>
      <x:c r="E539" s="11" t="n">
        <x:v>9352.22</x:v>
      </x:c>
      <x:c r="F539" s="11" t="n">
        <x:v>86.94</x:v>
      </x:c>
      <x:c r="G539" s="11" t="n">
        <x:v>9265.28</x:v>
      </x:c>
      <x:c r="H539" s="23" t="n">
        <x:v>0.0004554561967978077</x:v>
      </x:c>
      <x:c r="I539" s="23" t="n">
        <x:v>0.6449084659231868</x:v>
      </x:c>
      <x:c r="J539" s="2" t="n">
        <x:v>1122</x:v>
      </x:c>
      <x:c r="K539" s="2"/>
      <x:c r="L539" s="2"/>
    </x:row>
    <x:row r="540" ht="22" customHeight="1">
      <x:c r="A540" s="2"/>
      <x:c r="B540" s="2" t="n">
        <x:v>507</x:v>
      </x:c>
      <x:c r="C540" s="2" t="str">
        <x:v>21658</x:v>
      </x:c>
      <x:c r="D540" s="2" t="str">
        <x:v>GLASS  BEURRE DISH</x:v>
      </x:c>
      <x:c r="E540" s="11" t="n">
        <x:v>9295.59</x:v>
      </x:c>
      <x:c r="F540" s="11" t="n">
        <x:v>351.44</x:v>
      </x:c>
      <x:c r="G540" s="11" t="n">
        <x:v>8944.15</x:v>
      </x:c>
      <x:c r="H540" s="23" t="n">
        <x:v>0.0004526982971307062</x:v>
      </x:c>
      <x:c r="I540" s="23" t="n">
        <x:v>0.6453611642203175</x:v>
      </x:c>
      <x:c r="J540" s="2" t="n">
        <x:v>519</x:v>
      </x:c>
      <x:c r="K540" s="2"/>
      <x:c r="L540" s="2"/>
    </x:row>
    <x:row r="541" ht="22" customHeight="1">
      <x:c r="A541" s="2"/>
      <x:c r="B541" s="2" t="n">
        <x:v>508</x:v>
      </x:c>
      <x:c r="C541" s="2" t="str">
        <x:v>22219</x:v>
      </x:c>
      <x:c r="D541" s="2" t="str">
        <x:v>LOVEBIRD HANGING DECORATION WHITE </x:v>
      </x:c>
      <x:c r="E541" s="11" t="n">
        <x:v>9294.279999999999</x:v>
      </x:c>
      <x:c r="F541" s="11" t="n">
        <x:v>93.89</x:v>
      </x:c>
      <x:c r="G541" s="11" t="n">
        <x:v>9200.39</x:v>
      </x:c>
      <x:c r="H541" s="23" t="n">
        <x:v>0.0004526344996988873</x:v>
      </x:c>
      <x:c r="I541" s="23" t="n">
        <x:v>0.6458137987200164</x:v>
      </x:c>
      <x:c r="J541" s="2" t="n">
        <x:v>1149</x:v>
      </x:c>
      <x:c r="K541" s="2"/>
      <x:c r="L541" s="2"/>
    </x:row>
    <x:row r="542" ht="22" customHeight="1">
      <x:c r="A542" s="2"/>
      <x:c r="B542" s="2" t="n">
        <x:v>509</x:v>
      </x:c>
      <x:c r="C542" s="2" t="str">
        <x:v>21243</x:v>
      </x:c>
      <x:c r="D542" s="2" t="str">
        <x:v>PINK POLKADOT PLATE </x:v>
      </x:c>
      <x:c r="E542" s="11" t="n">
        <x:v>9292.77</x:v>
      </x:c>
      <x:c r="F542" s="11" t="n">
        <x:v>27.04</x:v>
      </x:c>
      <x:c r="G542" s="11" t="n">
        <x:v>9265.73</x:v>
      </x:c>
      <x:c r="H542" s="23" t="n">
        <x:v>0.0004525609622011419</x:v>
      </x:c>
      <x:c r="I542" s="23" t="n">
        <x:v>0.6462663596822176</x:v>
      </x:c>
      <x:c r="J542" s="2" t="n">
        <x:v>503</x:v>
      </x:c>
      <x:c r="K542" s="2"/>
      <x:c r="L542" s="2"/>
    </x:row>
    <x:row r="543" ht="22" customHeight="1">
      <x:c r="A543" s="2"/>
      <x:c r="B543" s="2" t="n">
        <x:v>510</x:v>
      </x:c>
      <x:c r="C543" s="2" t="str">
        <x:v>22656</x:v>
      </x:c>
      <x:c r="D543" s="2" t="str">
        <x:v>VINTAGE BLUE KITCHEN CABINET</x:v>
      </x:c>
      <x:c r="E543" s="11" t="n">
        <x:v>9290</x:v>
      </x:c>
      <x:c r="F543" s="11" t="n">
        <x:v>2368.5</x:v>
      </x:c>
      <x:c r="G543" s="11" t="n">
        <x:v>6921.5</x:v>
      </x:c>
      <x:c r="H543" s="23" t="n">
        <x:v>0.0004524260622880592</x:v>
      </x:c>
      <x:c r="I543" s="23" t="n">
        <x:v>0.6467187857445056</x:v>
      </x:c>
      <x:c r="J543" s="2" t="n">
        <x:v>37</x:v>
      </x:c>
      <x:c r="K543" s="2"/>
      <x:c r="L543" s="2"/>
    </x:row>
    <x:row r="544" ht="22" customHeight="1">
      <x:c r="A544" s="2"/>
      <x:c r="B544" s="2" t="n">
        <x:v>511</x:v>
      </x:c>
      <x:c r="C544" s="2" t="str">
        <x:v>22072</x:v>
      </x:c>
      <x:c r="D544" s="2" t="str">
        <x:v>RED RETROSPOT TEA CUP AND SAUCER </x:v>
      </x:c>
      <x:c r="E544" s="11" t="n">
        <x:v>9284.76</x:v>
      </x:c>
      <x:c r="F544" s="11" t="n">
        <x:v>183.75</x:v>
      </x:c>
      <x:c r="G544" s="11" t="n">
        <x:v>9101.01</x:v>
      </x:c>
      <x:c r="H544" s="23" t="n">
        <x:v>0.0004521708725607838</x:v>
      </x:c>
      <x:c r="I544" s="23" t="n">
        <x:v>0.6471709566170664</x:v>
      </x:c>
      <x:c r="J544" s="2" t="n">
        <x:v>511</x:v>
      </x:c>
      <x:c r="K544" s="2"/>
      <x:c r="L544" s="2"/>
    </x:row>
    <x:row r="545" ht="22" customHeight="1">
      <x:c r="A545" s="2"/>
      <x:c r="B545" s="2" t="n">
        <x:v>512</x:v>
      </x:c>
      <x:c r="C545" s="2" t="str">
        <x:v>23319</x:v>
      </x:c>
      <x:c r="D545" s="2" t="str">
        <x:v>BOX OF 6 MINI 50'S CRACKERS</x:v>
      </x:c>
      <x:c r="E545" s="11" t="n">
        <x:v>9266.84</x:v>
      </x:c>
      <x:c r="F545" s="11" t="n">
        <x:v>244.97000000000003</x:v>
      </x:c>
      <x:c r="G545" s="11" t="n">
        <x:v>9021.87</x:v>
      </x:c>
      <x:c r="H545" s="23" t="n">
        <x:v>0.00045129816265376523</x:v>
      </x:c>
      <x:c r="I545" s="23" t="n">
        <x:v>0.6476222547797201</x:v>
      </x:c>
      <x:c r="J545" s="2" t="n">
        <x:v>403</x:v>
      </x:c>
      <x:c r="K545" s="2"/>
      <x:c r="L545" s="2"/>
    </x:row>
    <x:row r="546" ht="22" customHeight="1">
      <x:c r="A546" s="2"/>
      <x:c r="B546" s="2" t="n">
        <x:v>513</x:v>
      </x:c>
      <x:c r="C546" s="2" t="str">
        <x:v>20747</x:v>
      </x:c>
      <x:c r="D546" s="2" t="str">
        <x:v>PICCADILLY TEA SET</x:v>
      </x:c>
      <x:c r="E546" s="11" t="n">
        <x:v>9239.87</x:v>
      </x:c>
      <x:c r="F546" s="11" t="n">
        <x:v>55.4</x:v>
      </x:c>
      <x:c r="G546" s="11" t="n">
        <x:v>9184.47</x:v>
      </x:c>
      <x:c r="H546" s="23" t="n">
        <x:v>0.00044998471476357055</x:v>
      </x:c>
      <x:c r="I546" s="23" t="n">
        <x:v>0.6480722394944837</x:v>
      </x:c>
      <x:c r="J546" s="2" t="n">
        <x:v>108</x:v>
      </x:c>
      <x:c r="K546" s="2"/>
      <x:c r="L546" s="2"/>
    </x:row>
    <x:row r="547" ht="22" customHeight="1">
      <x:c r="A547" s="2"/>
      <x:c r="B547" s="2" t="n">
        <x:v>514</x:v>
      </x:c>
      <x:c r="C547" s="2" t="str">
        <x:v>22121</x:v>
      </x:c>
      <x:c r="D547" s="2" t="str">
        <x:v>NOEL WOODEN BLOCK LETTERS </x:v>
      </x:c>
      <x:c r="E547" s="11" t="n">
        <x:v>9221.16</x:v>
      </x:c>
      <x:c r="F547" s="11" t="n">
        <x:v>47.6</x:v>
      </x:c>
      <x:c r="G547" s="11" t="n">
        <x:v>9173.560000000001</x:v>
      </x:c>
      <x:c r="H547" s="23" t="n">
        <x:v>0.00044907353159614213</x:v>
      </x:c>
      <x:c r="I547" s="23" t="n">
        <x:v>0.6485213130260798</x:v>
      </x:c>
      <x:c r="J547" s="2" t="n">
        <x:v>438</x:v>
      </x:c>
      <x:c r="K547" s="2"/>
      <x:c r="L547" s="2"/>
    </x:row>
    <x:row r="548" ht="22" customHeight="1">
      <x:c r="A548" s="2"/>
      <x:c r="B548" s="2" t="n">
        <x:v>515</x:v>
      </x:c>
      <x:c r="C548" s="2" t="str">
        <x:v>21745</x:v>
      </x:c>
      <x:c r="D548" s="2" t="str">
        <x:v>GAOLERS KEYS DECORATIVE GARDEN </x:v>
      </x:c>
      <x:c r="E548" s="11" t="n">
        <x:v>9220.24</x:v>
      </x:c>
      <x:c r="F548" s="11" t="n">
        <x:v>71.25</x:v>
      </x:c>
      <x:c r="G548" s="11" t="n">
        <x:v>9148.99</x:v>
      </x:c>
      <x:c r="H548" s="23" t="n">
        <x:v>0.00044902872729288</x:v>
      </x:c>
      <x:c r="I548" s="23" t="n">
        <x:v>0.6489703417533728</x:v>
      </x:c>
      <x:c r="J548" s="2" t="n">
        <x:v>486</x:v>
      </x:c>
      <x:c r="K548" s="2"/>
      <x:c r="L548" s="2"/>
    </x:row>
    <x:row r="549" ht="22" customHeight="1">
      <x:c r="A549" s="2"/>
      <x:c r="B549" s="2" t="n">
        <x:v>516</x:v>
      </x:c>
      <x:c r="C549" s="2" t="str">
        <x:v>22741</x:v>
      </x:c>
      <x:c r="D549" s="2" t="str">
        <x:v>FUNKY DIVA PEN</x:v>
      </x:c>
      <x:c r="E549" s="11" t="n">
        <x:v>9173.029999999999</x:v>
      </x:c>
      <x:c r="F549" s="11" t="n">
        <x:v>43.349999999999994</x:v>
      </x:c>
      <x:c r="G549" s="11" t="n">
        <x:v>9129.679999999998</x:v>
      </x:c>
      <x:c r="H549" s="23" t="n">
        <x:v>0.0004467295847309188</x:v>
      </x:c>
      <x:c r="I549" s="23" t="n">
        <x:v>0.6494170713381037</x:v>
      </x:c>
      <x:c r="J549" s="2" t="n">
        <x:v>292</x:v>
      </x:c>
      <x:c r="K549" s="2"/>
      <x:c r="L549" s="2"/>
    </x:row>
    <x:row r="550" ht="22" customHeight="1">
      <x:c r="A550" s="2"/>
      <x:c r="B550" s="2" t="n">
        <x:v>517</x:v>
      </x:c>
      <x:c r="C550" s="2" t="str">
        <x:v>23318</x:v>
      </x:c>
      <x:c r="D550" s="2" t="str">
        <x:v>BOX OF 6 MINI VINTAGE CRACKERS</x:v>
      </x:c>
      <x:c r="E550" s="11" t="n">
        <x:v>9167.390000000001</x:v>
      </x:c>
      <x:c r="F550" s="11" t="n">
        <x:v>368.71000000000004</x:v>
      </x:c>
      <x:c r="G550" s="11" t="n">
        <x:v>8798.68</x:v>
      </x:c>
      <x:c r="H550" s="23" t="n">
        <x:v>0.0004464549148717903</x:v>
      </x:c>
      <x:c r="I550" s="23" t="n">
        <x:v>0.6498635262529755</x:v>
      </x:c>
      <x:c r="J550" s="2" t="n">
        <x:v>376</x:v>
      </x:c>
      <x:c r="K550" s="2"/>
      <x:c r="L550" s="2"/>
    </x:row>
    <x:row r="551" ht="22" customHeight="1">
      <x:c r="A551" s="2"/>
      <x:c r="B551" s="2" t="n">
        <x:v>518</x:v>
      </x:c>
      <x:c r="C551" s="2" t="str">
        <x:v>22195</x:v>
      </x:c>
      <x:c r="D551" s="2" t="str">
        <x:v>LARGE HEART MEASURING SPOONS</x:v>
      </x:c>
      <x:c r="E551" s="11" t="n">
        <x:v>9160.74</x:v>
      </x:c>
      <x:c r="F551" s="11" t="n">
        <x:v>28.349999999999998</x:v>
      </x:c>
      <x:c r="G551" s="11" t="n">
        <x:v>9132.39</x:v>
      </x:c>
      <x:c r="H551" s="23" t="n">
        <x:v>0.0004461310576797326</x:v>
      </x:c>
      <x:c r="I551" s="23" t="n">
        <x:v>0.6503096573106553</x:v>
      </x:c>
      <x:c r="J551" s="2" t="n">
        <x:v>811</x:v>
      </x:c>
      <x:c r="K551" s="2"/>
      <x:c r="L551" s="2"/>
    </x:row>
    <x:row r="552" ht="22" customHeight="1">
      <x:c r="A552" s="2"/>
      <x:c r="B552" s="2" t="n">
        <x:v>519</x:v>
      </x:c>
      <x:c r="C552" s="2" t="str">
        <x:v>23080</x:v>
      </x:c>
      <x:c r="D552" s="2" t="str">
        <x:v>RED METAL BOX TOP SECRET</x:v>
      </x:c>
      <x:c r="E552" s="11" t="n">
        <x:v>9158.87</x:v>
      </x:c>
      <x:c r="F552" s="11" t="n">
        <x:v>90.75</x:v>
      </x:c>
      <x:c r="G552" s="11" t="n">
        <x:v>9068.12</x:v>
      </x:c>
      <x:c r="H552" s="23" t="n">
        <x:v>0.00044603998806331944</x:v>
      </x:c>
      <x:c r="I552" s="23" t="n">
        <x:v>0.6507556972987186</x:v>
      </x:c>
      <x:c r="J552" s="2" t="n">
        <x:v>257</x:v>
      </x:c>
      <x:c r="K552" s="2"/>
      <x:c r="L552" s="2"/>
    </x:row>
    <x:row r="553" ht="22" customHeight="1">
      <x:c r="A553" s="2"/>
      <x:c r="B553" s="2" t="n">
        <x:v>520</x:v>
      </x:c>
      <x:c r="C553" s="2" t="str">
        <x:v>21777</x:v>
      </x:c>
      <x:c r="D553" s="2" t="str">
        <x:v>RECIPE BOX WITH METAL HEART</x:v>
      </x:c>
      <x:c r="E553" s="11" t="n">
        <x:v>9147.06</x:v>
      </x:c>
      <x:c r="F553" s="11" t="n">
        <x:v>119.25</x:v>
      </x:c>
      <x:c r="G553" s="11" t="n">
        <x:v>9027.81</x:v>
      </x:c>
      <x:c r="H553" s="23" t="n">
        <x:v>0.0004454648371703568</x:v>
      </x:c>
      <x:c r="I553" s="23" t="n">
        <x:v>0.651201162135889</x:v>
      </x:c>
      <x:c r="J553" s="2" t="n">
        <x:v>367</x:v>
      </x:c>
      <x:c r="K553" s="2"/>
      <x:c r="L553" s="2"/>
    </x:row>
    <x:row r="554" ht="22" customHeight="1">
      <x:c r="A554" s="2"/>
      <x:c r="B554" s="2" t="n">
        <x:v>521</x:v>
      </x:c>
      <x:c r="C554" s="2" t="str">
        <x:v>22244</x:v>
      </x:c>
      <x:c r="D554" s="2" t="str">
        <x:v>3 HOOK HANGER MAGIC GARDEN</x:v>
      </x:c>
      <x:c r="E554" s="11" t="n">
        <x:v>9133.16</x:v>
      </x:c>
      <x:c r="F554" s="11" t="n">
        <x:v>117</x:v>
      </x:c>
      <x:c r="G554" s="11" t="n">
        <x:v>9016.16</x:v>
      </x:c>
      <x:c r="H554" s="23" t="n">
        <x:v>0.0004447879025884619</x:v>
      </x:c>
      <x:c r="I554" s="23" t="n">
        <x:v>0.6516459500384775</x:v>
      </x:c>
      <x:c r="J554" s="2" t="n">
        <x:v>431</x:v>
      </x:c>
      <x:c r="K554" s="2"/>
      <x:c r="L554" s="2"/>
    </x:row>
    <x:row r="555" ht="22" customHeight="1">
      <x:c r="A555" s="2"/>
      <x:c r="B555" s="2" t="n">
        <x:v>522</x:v>
      </x:c>
      <x:c r="C555" s="2" t="str">
        <x:v>21933</x:v>
      </x:c>
      <x:c r="D555" s="2" t="str">
        <x:v>PINK VINTAGE PAISLEY PICNIC BAG</x:v>
      </x:c>
      <x:c r="E555" s="11" t="n">
        <x:v>9117.83</x:v>
      </x:c>
      <x:c r="F555" s="11" t="n">
        <x:v>58.050000000000004</x:v>
      </x:c>
      <x:c r="G555" s="11" t="n">
        <x:v>9059.78</x:v>
      </x:c>
      <x:c r="H555" s="23" t="n">
        <x:v>0.00044404132653519217</x:v>
      </x:c>
      <x:c r="I555" s="23" t="n">
        <x:v>0.6520899913650127</x:v>
      </x:c>
      <x:c r="J555" s="2" t="n">
        <x:v>625</x:v>
      </x:c>
      <x:c r="K555" s="2"/>
      <x:c r="L555" s="2"/>
    </x:row>
    <x:row r="556" ht="22" customHeight="1">
      <x:c r="A556" s="2"/>
      <x:c r="B556" s="2" t="n">
        <x:v>523</x:v>
      </x:c>
      <x:c r="C556" s="2" t="str">
        <x:v>84030E</x:v>
      </x:c>
      <x:c r="D556" s="2" t="str">
        <x:v>ENGLISH ROSE HOT WATER BOTTLE</x:v>
      </x:c>
      <x:c r="E556" s="11" t="n">
        <x:v>9101.65</x:v>
      </x:c>
      <x:c r="F556" s="11" t="n">
        <x:v>55.25</x:v>
      </x:c>
      <x:c r="G556" s="11" t="n">
        <x:v>9046.4</x:v>
      </x:c>
      <x:c r="H556" s="23" t="n">
        <x:v>0.00044325335520173457</x:v>
      </x:c>
      <x:c r="I556" s="23" t="n">
        <x:v>0.6525332447202145</x:v>
      </x:c>
      <x:c r="J556" s="2" t="n">
        <x:v>485</x:v>
      </x:c>
      <x:c r="K556" s="2"/>
      <x:c r="L556" s="2"/>
    </x:row>
    <x:row r="557" ht="22" customHeight="1">
      <x:c r="A557" s="2"/>
      <x:c r="B557" s="2" t="n">
        <x:v>524</x:v>
      </x:c>
      <x:c r="C557" s="2" t="str">
        <x:v>21041</x:v>
      </x:c>
      <x:c r="D557" s="2" t="str">
        <x:v>RED RETROSPOT OVEN GLOVE DOUBLE</x:v>
      </x:c>
      <x:c r="E557" s="11" t="n">
        <x:v>9072.890000000001</x:v>
      </x:c>
      <x:c r="F557" s="11" t="n">
        <x:v>38.35</x:v>
      </x:c>
      <x:c r="G557" s="11" t="n">
        <x:v>9034.54</x:v>
      </x:c>
      <x:c r="H557" s="23" t="n">
        <x:v>0.00044185273372149736</x:v>
      </x:c>
      <x:c r="I557" s="23" t="n">
        <x:v>0.652975097453936</x:v>
      </x:c>
      <x:c r="J557" s="2" t="n">
        <x:v>525</x:v>
      </x:c>
      <x:c r="K557" s="2"/>
      <x:c r="L557" s="2"/>
    </x:row>
    <x:row r="558" ht="22" customHeight="1">
      <x:c r="A558" s="2"/>
      <x:c r="B558" s="2" t="n">
        <x:v>525</x:v>
      </x:c>
      <x:c r="C558" s="2" t="str">
        <x:v>22989</x:v>
      </x:c>
      <x:c r="D558" s="2" t="str">
        <x:v>SET 2 PANTRY DESIGN TEA TOWELS</x:v>
      </x:c>
      <x:c r="E558" s="11" t="n">
        <x:v>9012.27</x:v>
      </x:c>
      <x:c r="F558" s="11" t="n">
        <x:v>78</x:v>
      </x:c>
      <x:c r="G558" s="11" t="n">
        <x:v>8934.27</x:v>
      </x:c>
      <x:c r="H558" s="23" t="n">
        <x:v>0.00043890051973916126</x:v>
      </x:c>
      <x:c r="I558" s="23" t="n">
        <x:v>0.6534139979736752</x:v>
      </x:c>
      <x:c r="J558" s="2" t="n">
        <x:v>372</x:v>
      </x:c>
      <x:c r="K558" s="2"/>
      <x:c r="L558" s="2"/>
    </x:row>
    <x:row r="559" ht="22" customHeight="1">
      <x:c r="A559" s="2"/>
      <x:c r="B559" s="2" t="n">
        <x:v>526</x:v>
      </x:c>
      <x:c r="C559" s="2" t="str">
        <x:v>22839</x:v>
      </x:c>
      <x:c r="D559" s="2" t="str">
        <x:v>3 TIER CAKE TIN GREEN AND CREAM</x:v>
      </x:c>
      <x:c r="E559" s="11" t="n">
        <x:v>9001.07</x:v>
      </x:c>
      <x:c r="F559" s="11" t="n">
        <x:v>222.04999999999998</x:v>
      </x:c>
      <x:c r="G559" s="11" t="n">
        <x:v>8779.02</x:v>
      </x:c>
      <x:c r="H559" s="23" t="n">
        <x:v>0.0004383550760472746</x:v>
      </x:c>
      <x:c r="I559" s="23" t="n">
        <x:v>0.6538523530497224</x:v>
      </x:c>
      <x:c r="J559" s="2" t="n">
        <x:v>260</x:v>
      </x:c>
      <x:c r="K559" s="2"/>
      <x:c r="L559" s="2"/>
    </x:row>
    <x:row r="560" ht="22" customHeight="1">
      <x:c r="A560" s="2"/>
      <x:c r="B560" s="2" t="n">
        <x:v>527</x:v>
      </x:c>
      <x:c r="C560" s="2" t="str">
        <x:v>21985</x:v>
      </x:c>
      <x:c r="D560" s="2" t="str">
        <x:v>PACK OF 12 HEARTS DESIGN TISSUES </x:v>
      </x:c>
      <x:c r="E560" s="11" t="n">
        <x:v>8989.51</x:v>
      </x:c>
      <x:c r="F560" s="11" t="n">
        <x:v>31.319999999999997</x:v>
      </x:c>
      <x:c r="G560" s="11" t="n">
        <x:v>8958.189999999999</x:v>
      </x:c>
      <x:c r="H560" s="23" t="n">
        <x:v>0.0004377921002367203</x:v>
      </x:c>
      <x:c r="I560" s="23" t="n">
        <x:v>0.6542901451499592</x:v>
      </x:c>
      <x:c r="J560" s="2" t="n">
        <x:v>919</x:v>
      </x:c>
      <x:c r="K560" s="2"/>
      <x:c r="L560" s="2"/>
    </x:row>
    <x:row r="561" ht="22" customHeight="1">
      <x:c r="A561" s="2"/>
      <x:c r="B561" s="2" t="n">
        <x:v>528</x:v>
      </x:c>
      <x:c r="C561" s="2" t="str">
        <x:v>21715</x:v>
      </x:c>
      <x:c r="D561" s="2" t="str">
        <x:v>GIRLS VINTAGE TIN SEASIDE BUCKET</x:v>
      </x:c>
      <x:c r="E561" s="11" t="n">
        <x:v>8987.24</x:v>
      </x:c>
      <x:c r="F561" s="11" t="n">
        <x:v>69.75</x:v>
      </x:c>
      <x:c r="G561" s="11" t="n">
        <x:v>8917.49</x:v>
      </x:c>
      <x:c r="H561" s="23" t="n">
        <x:v>0.00043768155048845396</x:v>
      </x:c>
      <x:c r="I561" s="23" t="n">
        <x:v>0.6547278267004476</x:v>
      </x:c>
      <x:c r="J561" s="2" t="n">
        <x:v>487</x:v>
      </x:c>
      <x:c r="K561" s="2"/>
      <x:c r="L561" s="2"/>
    </x:row>
    <x:row r="562" ht="22" customHeight="1">
      <x:c r="A562" s="2"/>
      <x:c r="B562" s="2" t="n">
        <x:v>529</x:v>
      </x:c>
      <x:c r="C562" s="2" t="str">
        <x:v>22371</x:v>
      </x:c>
      <x:c r="D562" s="2" t="str">
        <x:v>AIRLINE BAG VINTAGE TOKYO 78</x:v>
      </x:c>
      <x:c r="E562" s="11" t="n">
        <x:v>8970.8</x:v>
      </x:c>
      <x:c r="F562" s="11" t="n">
        <x:v>76.88</x:v>
      </x:c>
      <x:c r="G562" s="11" t="n">
        <x:v>8893.92</x:v>
      </x:c>
      <x:c r="H562" s="23" t="n">
        <x:v>0.0004368809170692919</x:v>
      </x:c>
      <x:c r="I562" s="23" t="n">
        <x:v>0.6551647076175169</x:v>
      </x:c>
      <x:c r="J562" s="2" t="n">
        <x:v>684</x:v>
      </x:c>
      <x:c r="K562" s="2"/>
      <x:c r="L562" s="2"/>
    </x:row>
    <x:row r="563" ht="22" customHeight="1">
      <x:c r="A563" s="2"/>
      <x:c r="B563" s="2" t="n">
        <x:v>530</x:v>
      </x:c>
      <x:c r="C563" s="2" t="str">
        <x:v>23439</x:v>
      </x:c>
      <x:c r="D563" s="2" t="str">
        <x:v>HAND WARMER RED LOVE HEART</x:v>
      </x:c>
      <x:c r="E563" s="11" t="n">
        <x:v>8941.61</x:v>
      </x:c>
      <x:c r="F563" s="11" t="n">
        <x:v>0</x:v>
      </x:c>
      <x:c r="G563" s="11" t="n">
        <x:v>8941.61</x:v>
      </x:c>
      <x:c r="H563" s="23" t="n">
        <x:v>0.00043545935444731256</x:v>
      </x:c>
      <x:c r="I563" s="23" t="n">
        <x:v>0.6556001669719642</x:v>
      </x:c>
      <x:c r="J563" s="2" t="n">
        <x:v>397</x:v>
      </x:c>
      <x:c r="K563" s="2"/>
      <x:c r="L563" s="2"/>
    </x:row>
    <x:row r="564" ht="22" customHeight="1">
      <x:c r="A564" s="2"/>
      <x:c r="B564" s="2" t="n">
        <x:v>531</x:v>
      </x:c>
      <x:c r="C564" s="2" t="str">
        <x:v>23322</x:v>
      </x:c>
      <x:c r="D564" s="2" t="str">
        <x:v>LARGE WHITE HEART OF WICKER</x:v>
      </x:c>
      <x:c r="E564" s="11" t="n">
        <x:v>8925.410000000002</x:v>
      </x:c>
      <x:c r="F564" s="11" t="n">
        <x:v>169.85000000000002</x:v>
      </x:c>
      <x:c r="G564" s="11" t="n">
        <x:v>8755.560000000001</x:v>
      </x:c>
      <x:c r="H564" s="23" t="n">
        <x:v>0.0004346704091072624</x:v>
      </x:c>
      <x:c r="I564" s="23" t="n">
        <x:v>0.6560348373810715</x:v>
      </x:c>
      <x:c r="J564" s="2" t="n">
        <x:v>562</x:v>
      </x:c>
      <x:c r="K564" s="2"/>
      <x:c r="L564" s="2"/>
    </x:row>
    <x:row r="565" ht="22" customHeight="1">
      <x:c r="A565" s="2"/>
      <x:c r="B565" s="2" t="n">
        <x:v>532</x:v>
      </x:c>
      <x:c r="C565" s="2" t="str">
        <x:v>22141</x:v>
      </x:c>
      <x:c r="D565" s="2" t="str">
        <x:v>CHRISTMAS CRAFT TREE TOP ANGEL</x:v>
      </x:c>
      <x:c r="E565" s="11" t="n">
        <x:v>8909.91</x:v>
      </x:c>
      <x:c r="F565" s="11" t="n">
        <x:v>33.6</x:v>
      </x:c>
      <x:c r="G565" s="11" t="n">
        <x:v>8876.310000000001</x:v>
      </x:c>
      <x:c r="H565" s="23" t="n">
        <x:v>0.000433915553997955</x:v>
      </x:c>
      <x:c r="I565" s="23" t="n">
        <x:v>0.6564687529350695</x:v>
      </x:c>
      <x:c r="J565" s="2" t="n">
        <x:v>572</x:v>
      </x:c>
      <x:c r="K565" s="2"/>
      <x:c r="L565" s="2"/>
    </x:row>
    <x:row r="566" ht="22" customHeight="1">
      <x:c r="A566" s="2"/>
      <x:c r="B566" s="2" t="n">
        <x:v>533</x:v>
      </x:c>
      <x:c r="C566" s="2" t="str">
        <x:v>ADJUST</x:v>
      </x:c>
      <x:c r="D566" s="2" t="str">
        <x:v>Adjustment by Peter on 24/05/2010 1</x:v>
      </x:c>
      <x:c r="E566" s="11" t="n">
        <x:v>8897.929999999998</x:v>
      </x:c>
      <x:c r="F566" s="11" t="n">
        <x:v>2062.69</x:v>
      </x:c>
      <x:c r="G566" s="11" t="n">
        <x:v>6835.24</x:v>
      </x:c>
      <x:c r="H566" s="23" t="n">
        <x:v>0.00043333212404895484</x:v>
      </x:c>
      <x:c r="I566" s="23" t="n">
        <x:v>0.6569020850591184</x:v>
      </x:c>
      <x:c r="J566" s="2" t="n">
        <x:v>36</x:v>
      </x:c>
      <x:c r="K566" s="2"/>
      <x:c r="L566" s="2"/>
    </x:row>
    <x:row r="567" ht="22" customHeight="1">
      <x:c r="A567" s="2"/>
      <x:c r="B567" s="2" t="n">
        <x:v>534</x:v>
      </x:c>
      <x:c r="C567" s="2" t="str">
        <x:v>22215</x:v>
      </x:c>
      <x:c r="D567" s="2" t="str">
        <x:v>CAKE STAND WHITE TWO TIER LACE</x:v>
      </x:c>
      <x:c r="E567" s="11" t="n">
        <x:v>8860.93</x:v>
      </x:c>
      <x:c r="F567" s="11" t="n">
        <x:v>510</x:v>
      </x:c>
      <x:c r="G567" s="11" t="n">
        <x:v>8350.93</x:v>
      </x:c>
      <x:c r="H567" s="23" t="n">
        <x:v>0.00043153021185254393</x:v>
      </x:c>
      <x:c r="I567" s="23" t="n">
        <x:v>0.6573336152709709</x:v>
      </x:c>
      <x:c r="J567" s="2" t="n">
        <x:v>359</x:v>
      </x:c>
      <x:c r="K567" s="2"/>
      <x:c r="L567" s="2"/>
    </x:row>
    <x:row r="568" ht="22" customHeight="1">
      <x:c r="A568" s="2"/>
      <x:c r="B568" s="2" t="n">
        <x:v>535</x:v>
      </x:c>
      <x:c r="C568" s="2" t="str">
        <x:v>84839</x:v>
      </x:c>
      <x:c r="D568" s="2" t="str">
        <x:v>SWEETHEART KEY CABINET</x:v>
      </x:c>
      <x:c r="E568" s="11" t="n">
        <x:v>8848.3</x:v>
      </x:c>
      <x:c r="F568" s="11" t="n">
        <x:v>78.6</x:v>
      </x:c>
      <x:c r="G568" s="11" t="n">
        <x:v>8769.7</x:v>
      </x:c>
      <x:c r="H568" s="23" t="n">
        <x:v>0.00043091512668928247</x:v>
      </x:c>
      <x:c r="I568" s="23" t="n">
        <x:v>0.6577645303976601</x:v>
      </x:c>
      <x:c r="J568" s="2" t="n">
        <x:v>393</x:v>
      </x:c>
      <x:c r="K568" s="2"/>
      <x:c r="L568" s="2"/>
    </x:row>
    <x:row r="569" ht="22" customHeight="1">
      <x:c r="A569" s="2"/>
      <x:c r="B569" s="2" t="n">
        <x:v>536</x:v>
      </x:c>
      <x:c r="C569" s="2" t="str">
        <x:v>21042</x:v>
      </x:c>
      <x:c r="D569" s="2" t="str">
        <x:v>RED RETROSPOT APRON </x:v>
      </x:c>
      <x:c r="E569" s="11" t="n">
        <x:v>8741.11</x:v>
      </x:c>
      <x:c r="F569" s="11" t="n">
        <x:v>105.80000000000001</x:v>
      </x:c>
      <x:c r="G569" s="11" t="n">
        <x:v>8635.310000000001</x:v>
      </x:c>
      <x:c r="H569" s="23" t="n">
        <x:v>0.00042569493835595024</x:v>
      </x:c>
      <x:c r="I569" s="23" t="n">
        <x:v>0.6581902253360161</x:v>
      </x:c>
      <x:c r="J569" s="2" t="n">
        <x:v>399</x:v>
      </x:c>
      <x:c r="K569" s="2"/>
      <x:c r="L569" s="2"/>
    </x:row>
    <x:row r="570" ht="22" customHeight="1">
      <x:c r="A570" s="2"/>
      <x:c r="B570" s="2" t="n">
        <x:v>537</x:v>
      </x:c>
      <x:c r="C570" s="2" t="str">
        <x:v>20974</x:v>
      </x:c>
      <x:c r="D570" s="2" t="str">
        <x:v>12 PENCILS SMALL TUBE SKULL</x:v>
      </x:c>
      <x:c r="E570" s="11" t="n">
        <x:v>8697.59</x:v>
      </x:c>
      <x:c r="F570" s="11" t="n">
        <x:v>397.8</x:v>
      </x:c>
      <x:c r="G570" s="11" t="n">
        <x:v>8299.79</x:v>
      </x:c>
      <x:c r="H570" s="23" t="n">
        <x:v>0.00042357550001033385</x:v>
      </x:c>
      <x:c r="I570" s="23" t="n">
        <x:v>0.6586138008360265</x:v>
      </x:c>
      <x:c r="J570" s="2" t="n">
        <x:v>822</x:v>
      </x:c>
      <x:c r="K570" s="2"/>
      <x:c r="L570" s="2"/>
    </x:row>
    <x:row r="571" ht="22" customHeight="1">
      <x:c r="A571" s="2"/>
      <x:c r="B571" s="2" t="n">
        <x:v>538</x:v>
      </x:c>
      <x:c r="C571" s="2" t="str">
        <x:v>22895</x:v>
      </x:c>
      <x:c r="D571" s="2" t="str">
        <x:v>SET OF 2 TEA TOWELS APPLE AND PEARS</x:v>
      </x:c>
      <x:c r="E571" s="11" t="n">
        <x:v>8681.84</x:v>
      </x:c>
      <x:c r="F571" s="11" t="n">
        <x:v>17.700000000000003</x:v>
      </x:c>
      <x:c r="G571" s="11" t="n">
        <x:v>8664.14</x:v>
      </x:c>
      <x:c r="H571" s="23" t="n">
        <x:v>0.00042280846981861836</x:v>
      </x:c>
      <x:c r="I571" s="23" t="n">
        <x:v>0.6590366093058451</x:v>
      </x:c>
      <x:c r="J571" s="2" t="n">
        <x:v>411</x:v>
      </x:c>
      <x:c r="K571" s="2"/>
      <x:c r="L571" s="2"/>
    </x:row>
    <x:row r="572" ht="22" customHeight="1">
      <x:c r="A572" s="2"/>
      <x:c r="B572" s="2" t="n">
        <x:v>539</x:v>
      </x:c>
      <x:c r="C572" s="2" t="str">
        <x:v>23256</x:v>
      </x:c>
      <x:c r="D572" s="2" t="str">
        <x:v>CHILDRENS CUTLERY SPACEBOY </x:v>
      </x:c>
      <x:c r="E572" s="11" t="n">
        <x:v>8675.37</x:v>
      </x:c>
      <x:c r="F572" s="11" t="n">
        <x:v>338</x:v>
      </x:c>
      <x:c r="G572" s="11" t="n">
        <x:v>8337.37</x:v>
      </x:c>
      <x:c r="H572" s="23" t="n">
        <x:v>0.0004224933786858946</x:v>
      </x:c>
      <x:c r="I572" s="23" t="n">
        <x:v>0.659459102684531</x:v>
      </x:c>
      <x:c r="J572" s="2" t="n">
        <x:v>368</x:v>
      </x:c>
      <x:c r="K572" s="2"/>
      <x:c r="L572" s="2"/>
    </x:row>
    <x:row r="573" ht="22" customHeight="1">
      <x:c r="A573" s="2"/>
      <x:c r="B573" s="2" t="n">
        <x:v>540</x:v>
      </x:c>
      <x:c r="C573" s="2" t="str">
        <x:v>22212</x:v>
      </x:c>
      <x:c r="D573" s="2" t="str">
        <x:v>FOUR HOOK  WHITE LOVEBIRDS</x:v>
      </x:c>
      <x:c r="E573" s="11" t="n">
        <x:v>8671.7</x:v>
      </x:c>
      <x:c r="F573" s="11" t="n">
        <x:v>84</x:v>
      </x:c>
      <x:c r="G573" s="11" t="n">
        <x:v>8587.7</x:v>
      </x:c>
      <x:c r="H573" s="23" t="n">
        <x:v>0.0004223146484761425</x:v>
      </x:c>
      <x:c r="I573" s="23" t="n">
        <x:v>0.6598814173330072</x:v>
      </x:c>
      <x:c r="J573" s="2" t="n">
        <x:v>828</x:v>
      </x:c>
      <x:c r="K573" s="2"/>
      <x:c r="L573" s="2"/>
    </x:row>
    <x:row r="574" ht="22" customHeight="1">
      <x:c r="A574" s="2"/>
      <x:c r="B574" s="2" t="n">
        <x:v>541</x:v>
      </x:c>
      <x:c r="C574" s="2" t="str">
        <x:v>21980</x:v>
      </x:c>
      <x:c r="D574" s="2" t="str">
        <x:v>PACK OF 12 RED RETROSPOT TISSUES </x:v>
      </x:c>
      <x:c r="E574" s="11" t="n">
        <x:v>8651.59</x:v>
      </x:c>
      <x:c r="F574" s="11" t="n">
        <x:v>55.67999999999999</x:v>
      </x:c>
      <x:c r="G574" s="11" t="n">
        <x:v>8595.91</x:v>
      </x:c>
      <x:c r="H574" s="23" t="n">
        <x:v>0.0004213352848472283</x:v>
      </x:c>
      <x:c r="I574" s="23" t="n">
        <x:v>0.6603027526178544</x:v>
      </x:c>
      <x:c r="J574" s="2" t="n">
        <x:v>676</x:v>
      </x:c>
      <x:c r="K574" s="2"/>
      <x:c r="L574" s="2"/>
    </x:row>
    <x:row r="575" ht="22" customHeight="1">
      <x:c r="A575" s="2"/>
      <x:c r="B575" s="2" t="n">
        <x:v>542</x:v>
      </x:c>
      <x:c r="C575" s="2" t="str">
        <x:v>84032A</x:v>
      </x:c>
      <x:c r="D575" s="2" t="str">
        <x:v>CHARLIE+LOLA PINK HOT WATER BOTTLE</x:v>
      </x:c>
      <x:c r="E575" s="11" t="n">
        <x:v>8644.75</x:v>
      </x:c>
      <x:c r="F575" s="11" t="n">
        <x:v>112.10000000000001</x:v>
      </x:c>
      <x:c r="G575" s="11" t="n">
        <x:v>8532.65</x:v>
      </x:c>
      <x:c r="H575" s="23" t="n">
        <x:v>0.00042100217459254037</x:v>
      </x:c>
      <x:c r="I575" s="23" t="n">
        <x:v>0.6607237547924469</x:v>
      </x:c>
      <x:c r="J575" s="2" t="n">
        <x:v>662</x:v>
      </x:c>
      <x:c r="K575" s="2"/>
      <x:c r="L575" s="2"/>
    </x:row>
    <x:row r="576" ht="22" customHeight="1">
      <x:c r="A576" s="2"/>
      <x:c r="B576" s="2" t="n">
        <x:v>543</x:v>
      </x:c>
      <x:c r="C576" s="2" t="str">
        <x:v>21135</x:v>
      </x:c>
      <x:c r="D576" s="2" t="str">
        <x:v>VICTORIAN  METAL POSTCARD SPRING</x:v>
      </x:c>
      <x:c r="E576" s="11" t="n">
        <x:v>8638.22</x:v>
      </x:c>
      <x:c r="F576" s="11" t="n">
        <x:v>182.8</x:v>
      </x:c>
      <x:c r="G576" s="11" t="n">
        <x:v>8455.42</x:v>
      </x:c>
      <x:c r="H576" s="23" t="n">
        <x:v>0.00042068416144003864</x:v>
      </x:c>
      <x:c r="I576" s="23" t="n">
        <x:v>0.661144438953887</x:v>
      </x:c>
      <x:c r="J576" s="2" t="n">
        <x:v>405</x:v>
      </x:c>
      <x:c r="K576" s="2"/>
      <x:c r="L576" s="2"/>
    </x:row>
    <x:row r="577" ht="22" customHeight="1">
      <x:c r="A577" s="2"/>
      <x:c r="B577" s="2" t="n">
        <x:v>544</x:v>
      </x:c>
      <x:c r="C577" s="2" t="str">
        <x:v>22110</x:v>
      </x:c>
      <x:c r="D577" s="2" t="str">
        <x:v>BIRD HOUSE HOT WATER BOTTLE</x:v>
      </x:c>
      <x:c r="E577" s="11" t="n">
        <x:v>8620.76</x:v>
      </x:c>
      <x:c r="F577" s="11" t="n">
        <x:v>10.2</x:v>
      </x:c>
      <x:c r="G577" s="11" t="n">
        <x:v>8610.56</x:v>
      </x:c>
      <x:c r="H577" s="23" t="n">
        <x:v>0.0004198338536846512</x:v>
      </x:c>
      <x:c r="I577" s="23" t="n">
        <x:v>0.6615642728075716</x:v>
      </x:c>
      <x:c r="J577" s="2" t="n">
        <x:v>512</x:v>
      </x:c>
      <x:c r="K577" s="2"/>
      <x:c r="L577" s="2"/>
    </x:row>
    <x:row r="578" ht="22" customHeight="1">
      <x:c r="A578" s="2"/>
      <x:c r="B578" s="2" t="n">
        <x:v>545</x:v>
      </x:c>
      <x:c r="C578" s="2" t="str">
        <x:v>23534</x:v>
      </x:c>
      <x:c r="D578" s="2" t="str">
        <x:v>WALL ART STOP FOR TEA </x:v>
      </x:c>
      <x:c r="E578" s="11" t="n">
        <x:v>8614.85</x:v>
      </x:c>
      <x:c r="F578" s="11" t="n">
        <x:v>41.650000000000006</x:v>
      </x:c>
      <x:c r="G578" s="11" t="n">
        <x:v>8573.2</x:v>
      </x:c>
      <x:c r="H578" s="23" t="n">
        <x:v>0.0004195460347365218</x:v>
      </x:c>
      <x:c r="I578" s="23" t="n">
        <x:v>0.6619838188423081</x:v>
      </x:c>
      <x:c r="J578" s="2" t="n">
        <x:v>260</x:v>
      </x:c>
      <x:c r="K578" s="2"/>
      <x:c r="L578" s="2"/>
    </x:row>
    <x:row r="579" ht="22" customHeight="1">
      <x:c r="A579" s="2"/>
      <x:c r="B579" s="2" t="n">
        <x:v>546</x:v>
      </x:c>
      <x:c r="C579" s="2" t="str">
        <x:v>22283</x:v>
      </x:c>
      <x:c r="D579" s="2" t="str">
        <x:v>6 EGG HOUSE PAINTED WOOD</x:v>
      </x:c>
      <x:c r="E579" s="11" t="n">
        <x:v>8596.69</x:v>
      </x:c>
      <x:c r="F579" s="11" t="n">
        <x:v>143.1</x:v>
      </x:c>
      <x:c r="G579" s="11" t="n">
        <x:v>8453.59</x:v>
      </x:c>
      <x:c r="H579" s="23" t="n">
        <x:v>0.0004186616367503914</x:v>
      </x:c>
      <x:c r="I579" s="23" t="n">
        <x:v>0.6624024804790585</x:v>
      </x:c>
      <x:c r="J579" s="2" t="n">
        <x:v>382</x:v>
      </x:c>
      <x:c r="K579" s="2"/>
      <x:c r="L579" s="2"/>
    </x:row>
    <x:row r="580" ht="22" customHeight="1">
      <x:c r="A580" s="2"/>
      <x:c r="B580" s="2" t="n">
        <x:v>547</x:v>
      </x:c>
      <x:c r="C580" s="2" t="str">
        <x:v>21381</x:v>
      </x:c>
      <x:c r="D580" s="2" t="str">
        <x:v>MINI WOODEN HAPPY BIRTHDAY GARLAND</x:v>
      </x:c>
      <x:c r="E580" s="11" t="n">
        <x:v>8583.21</x:v>
      </x:c>
      <x:c r="F580" s="11" t="n">
        <x:v>949.7099999999999</x:v>
      </x:c>
      <x:c r="G580" s="11" t="n">
        <x:v>7633.5</x:v>
      </x:c>
      <x:c r="H580" s="23" t="n">
        <x:v>0.00041800515630694215</x:v>
      </x:c>
      <x:c r="I580" s="23" t="n">
        <x:v>0.6628204856353654</x:v>
      </x:c>
      <x:c r="J580" s="2" t="n">
        <x:v>532</x:v>
      </x:c>
      <x:c r="K580" s="2"/>
      <x:c r="L580" s="2"/>
    </x:row>
    <x:row r="581" ht="22" customHeight="1">
      <x:c r="A581" s="2"/>
      <x:c r="B581" s="2" t="n">
        <x:v>548</x:v>
      </x:c>
      <x:c r="C581" s="2" t="str">
        <x:v>23082</x:v>
      </x:c>
      <x:c r="D581" s="2" t="str">
        <x:v>SET 6 PAPER TABLE LANTERN HEARTS </x:v>
      </x:c>
      <x:c r="E581" s="11" t="n">
        <x:v>8577.51</x:v>
      </x:c>
      <x:c r="F581" s="11" t="n">
        <x:v>103.16</x:v>
      </x:c>
      <x:c r="G581" s="11" t="n">
        <x:v>8474.35</x:v>
      </x:c>
      <x:c r="H581" s="23" t="n">
        <x:v>0.0004177275644280356</x:v>
      </x:c>
      <x:c r="I581" s="23" t="n">
        <x:v>0.6632382131997935</x:v>
      </x:c>
      <x:c r="J581" s="2" t="n">
        <x:v>297</x:v>
      </x:c>
      <x:c r="K581" s="2"/>
      <x:c r="L581" s="2"/>
    </x:row>
    <x:row r="582" ht="22" customHeight="1">
      <x:c r="A582" s="2"/>
      <x:c r="B582" s="2" t="n">
        <x:v>549</x:v>
      </x:c>
      <x:c r="C582" s="2" t="str">
        <x:v>23078</x:v>
      </x:c>
      <x:c r="D582" s="2" t="str">
        <x:v>ICE CREAM PEN LIP GLOSS </x:v>
      </x:c>
      <x:c r="E582" s="11" t="n">
        <x:v>8553.34</x:v>
      </x:c>
      <x:c r="F582" s="11" t="n">
        <x:v>60</x:v>
      </x:c>
      <x:c r="G582" s="11" t="n">
        <x:v>8493.34</x:v>
      </x:c>
      <x:c r="H582" s="23" t="n">
        <x:v>0.00041655047746081255</x:v>
      </x:c>
      <x:c r="I582" s="23" t="n">
        <x:v>0.6636547636772543</x:v>
      </x:c>
      <x:c r="J582" s="2" t="n">
        <x:v>257</x:v>
      </x:c>
      <x:c r="K582" s="2"/>
      <x:c r="L582" s="2"/>
    </x:row>
    <x:row r="583" ht="22" customHeight="1">
      <x:c r="A583" s="2"/>
      <x:c r="B583" s="2" t="n">
        <x:v>550</x:v>
      </x:c>
      <x:c r="C583" s="2" t="str">
        <x:v>21186</x:v>
      </x:c>
      <x:c r="D583" s="2" t="str">
        <x:v>WHITE DOVE HONEYCOMB PAPER GARLAND</x:v>
      </x:c>
      <x:c r="E583" s="11" t="n">
        <x:v>8540.42</x:v>
      </x:c>
      <x:c r="F583" s="11" t="n">
        <x:v>14.5</x:v>
      </x:c>
      <x:c r="G583" s="11" t="n">
        <x:v>8525.92</x:v>
      </x:c>
      <x:c r="H583" s="23" t="n">
        <x:v>0.0004159212692019577</x:v>
      </x:c>
      <x:c r="I583" s="23" t="n">
        <x:v>0.6640706849464563</x:v>
      </x:c>
      <x:c r="J583" s="2" t="n">
        <x:v>369</x:v>
      </x:c>
      <x:c r="K583" s="2"/>
      <x:c r="L583" s="2"/>
    </x:row>
    <x:row r="584" ht="22" customHeight="1">
      <x:c r="A584" s="2"/>
      <x:c r="B584" s="2" t="n">
        <x:v>551</x:v>
      </x:c>
      <x:c r="C584" s="2" t="str">
        <x:v>22073</x:v>
      </x:c>
      <x:c r="D584" s="2" t="str">
        <x:v>RED RETROSPOT STORAGE JAR</x:v>
      </x:c>
      <x:c r="E584" s="11" t="n">
        <x:v>8517.89</x:v>
      </x:c>
      <x:c r="F584" s="11" t="n">
        <x:v>164.28</x:v>
      </x:c>
      <x:c r="G584" s="11" t="n">
        <x:v>8353.61</x:v>
      </x:c>
      <x:c r="H584" s="23" t="n">
        <x:v>0.00041482405077533223</x:v>
      </x:c>
      <x:c r="I584" s="23" t="n">
        <x:v>0.6644855089972316</x:v>
      </x:c>
      <x:c r="J584" s="2" t="n">
        <x:v>474</x:v>
      </x:c>
      <x:c r="K584" s="2"/>
      <x:c r="L584" s="2"/>
    </x:row>
    <x:row r="585" ht="22" customHeight="1">
      <x:c r="A585" s="2"/>
      <x:c r="B585" s="2" t="n">
        <x:v>552</x:v>
      </x:c>
      <x:c r="C585" s="2" t="str">
        <x:v>22078</x:v>
      </x:c>
      <x:c r="D585" s="2" t="str">
        <x:v>RIBBON REEL LACE DESIGN </x:v>
      </x:c>
      <x:c r="E585" s="11" t="n">
        <x:v>8510.84</x:v>
      </x:c>
      <x:c r="F585" s="11" t="n">
        <x:v>79.8</x:v>
      </x:c>
      <x:c r="G585" s="11" t="n">
        <x:v>8431.04</x:v>
      </x:c>
      <x:c r="H585" s="23" t="n">
        <x:v>0.00041448071345142153</x:v>
      </x:c>
      <x:c r="I585" s="23" t="n">
        <x:v>0.664899989710683</x:v>
      </x:c>
      <x:c r="J585" s="2" t="n">
        <x:v>480</x:v>
      </x:c>
      <x:c r="K585" s="2"/>
      <x:c r="L585" s="2"/>
    </x:row>
    <x:row r="586" ht="22" customHeight="1">
      <x:c r="A586" s="2"/>
      <x:c r="B586" s="2" t="n">
        <x:v>553</x:v>
      </x:c>
      <x:c r="C586" s="2" t="str">
        <x:v>23493</x:v>
      </x:c>
      <x:c r="D586" s="2" t="str">
        <x:v>VINTAGE DOILY TRAVEL SEWING KIT</x:v>
      </x:c>
      <x:c r="E586" s="11" t="n">
        <x:v>8509.68</x:v>
      </x:c>
      <x:c r="F586" s="11" t="n">
        <x:v>11.399999999999999</x:v>
      </x:c>
      <x:c r="G586" s="11" t="n">
        <x:v>8498.28</x:v>
      </x:c>
      <x:c r="H586" s="23" t="n">
        <x:v>0.0004144242210690476</x:v>
      </x:c>
      <x:c r="I586" s="23" t="n">
        <x:v>0.6653144139317521</x:v>
      </x:c>
      <x:c r="J586" s="2" t="n">
        <x:v>415</x:v>
      </x:c>
      <x:c r="K586" s="2"/>
      <x:c r="L586" s="2"/>
    </x:row>
    <x:row r="587" ht="22" customHeight="1">
      <x:c r="A587" s="2"/>
      <x:c r="B587" s="2" t="n">
        <x:v>554</x:v>
      </x:c>
      <x:c r="C587" s="2" t="str">
        <x:v>21932</x:v>
      </x:c>
      <x:c r="D587" s="2" t="str">
        <x:v>SCANDINAVIAN PAISLEY PICNIC BAG</x:v>
      </x:c>
      <x:c r="E587" s="11" t="n">
        <x:v>8508.16</x:v>
      </x:c>
      <x:c r="F587" s="11" t="n">
        <x:v>58.3</x:v>
      </x:c>
      <x:c r="G587" s="11" t="n">
        <x:v>8449.86</x:v>
      </x:c>
      <x:c r="H587" s="23" t="n">
        <x:v>0.0004143501965680058</x:v>
      </x:c>
      <x:c r="I587" s="23" t="n">
        <x:v>0.66572876412832</x:v>
      </x:c>
      <x:c r="J587" s="2" t="n">
        <x:v>649</x:v>
      </x:c>
      <x:c r="K587" s="2"/>
      <x:c r="L587" s="2"/>
    </x:row>
    <x:row r="588" ht="22" customHeight="1">
      <x:c r="A588" s="2"/>
      <x:c r="B588" s="2" t="n">
        <x:v>555</x:v>
      </x:c>
      <x:c r="C588" s="2" t="str">
        <x:v>22079</x:v>
      </x:c>
      <x:c r="D588" s="2" t="str">
        <x:v>RIBBON REEL HEARTS DESIGN </x:v>
      </x:c>
      <x:c r="E588" s="11" t="n">
        <x:v>8500.74</x:v>
      </x:c>
      <x:c r="F588" s="11" t="n">
        <x:v>100.65</x:v>
      </x:c>
      <x:c r="G588" s="11" t="n">
        <x:v>8400.09</x:v>
      </x:c>
      <x:c r="H588" s="23" t="n">
        <x:v>0.00041398884012213094</x:v>
      </x:c>
      <x:c r="I588" s="23" t="n">
        <x:v>0.6661427529684422</x:v>
      </x:c>
      <x:c r="J588" s="2" t="n">
        <x:v>684</x:v>
      </x:c>
      <x:c r="K588" s="2"/>
      <x:c r="L588" s="2"/>
    </x:row>
    <x:row r="589" ht="22" customHeight="1">
      <x:c r="A589" s="2"/>
      <x:c r="B589" s="2" t="n">
        <x:v>556</x:v>
      </x:c>
      <x:c r="C589" s="2" t="str">
        <x:v>72807C</x:v>
      </x:c>
      <x:c r="D589" s="2" t="str">
        <x:v>SET/3 VANILLA SCENTED CANDLE IN BOX</x:v>
      </x:c>
      <x:c r="E589" s="11" t="n">
        <x:v>8493.42</x:v>
      </x:c>
      <x:c r="F589" s="11" t="n">
        <x:v>566.38</x:v>
      </x:c>
      <x:c r="G589" s="11" t="n">
        <x:v>7927.04</x:v>
      </x:c>
      <x:c r="H589" s="23" t="n">
        <x:v>0.0004136323537092194</x:v>
      </x:c>
      <x:c r="I589" s="23" t="n">
        <x:v>0.6665563853221513</x:v>
      </x:c>
      <x:c r="J589" s="2" t="n">
        <x:v>345</x:v>
      </x:c>
      <x:c r="K589" s="2"/>
      <x:c r="L589" s="2"/>
    </x:row>
    <x:row r="590" ht="22" customHeight="1">
      <x:c r="A590" s="2"/>
      <x:c r="B590" s="2" t="n">
        <x:v>557</x:v>
      </x:c>
      <x:c r="C590" s="2" t="str">
        <x:v>79323LP</x:v>
      </x:c>
      <x:c r="D590" s="2" t="str">
        <x:v>Unsaleable, destroyed.</x:v>
      </x:c>
      <x:c r="E590" s="11" t="n">
        <x:v>8481.19</x:v>
      </x:c>
      <x:c r="F590" s="11" t="n">
        <x:v>2702.8</x:v>
      </x:c>
      <x:c r="G590" s="11" t="n">
        <x:v>5778.39</x:v>
      </x:c>
      <x:c r="H590" s="23" t="n">
        <x:v>0.00041303674867781113</x:v>
      </x:c>
      <x:c r="I590" s="23" t="n">
        <x:v>0.6669694220708291</x:v>
      </x:c>
      <x:c r="J590" s="2" t="n">
        <x:v>170</x:v>
      </x:c>
      <x:c r="K590" s="2"/>
      <x:c r="L590" s="2"/>
    </x:row>
    <x:row r="591" ht="22" customHeight="1">
      <x:c r="A591" s="2"/>
      <x:c r="B591" s="2" t="n">
        <x:v>558</x:v>
      </x:c>
      <x:c r="C591" s="2" t="str">
        <x:v>48189</x:v>
      </x:c>
      <x:c r="D591" s="2" t="str">
        <x:v>adjustment</x:v>
      </x:c>
      <x:c r="E591" s="11" t="n">
        <x:v>8477.03</x:v>
      </x:c>
      <x:c r="F591" s="11" t="n">
        <x:v>67.5</x:v>
      </x:c>
      <x:c r="G591" s="11" t="n">
        <x:v>8409.53</x:v>
      </x:c>
      <x:c r="H591" s="23" t="n">
        <x:v>0.000412834155306539</x:v>
      </x:c>
      <x:c r="I591" s="23" t="n">
        <x:v>0.6673822562261357</x:v>
      </x:c>
      <x:c r="J591" s="2" t="n">
        <x:v>274</x:v>
      </x:c>
      <x:c r="K591" s="2"/>
      <x:c r="L591" s="2"/>
    </x:row>
    <x:row r="592" ht="22" customHeight="1">
      <x:c r="A592" s="2"/>
      <x:c r="B592" s="2" t="n">
        <x:v>559</x:v>
      </x:c>
      <x:c r="C592" s="2" t="str">
        <x:v>23321</x:v>
      </x:c>
      <x:c r="D592" s="2" t="str">
        <x:v>SMALL WHITE HEART OF WICKER</x:v>
      </x:c>
      <x:c r="E592" s="11" t="n">
        <x:v>8473.269999999999</x:v>
      </x:c>
      <x:c r="F592" s="11" t="n">
        <x:v>64.35</x:v>
      </x:c>
      <x:c r="G592" s="11" t="n">
        <x:v>8408.92</x:v>
      </x:c>
      <x:c r="H592" s="23" t="n">
        <x:v>0.0004126510420671198</x:v>
      </x:c>
      <x:c r="I592" s="23" t="n">
        <x:v>0.6677949072682028</x:v>
      </x:c>
      <x:c r="J592" s="2" t="n">
        <x:v>629</x:v>
      </x:c>
      <x:c r="K592" s="2"/>
      <x:c r="L592" s="2"/>
    </x:row>
    <x:row r="593" ht="22" customHeight="1">
      <x:c r="A593" s="2"/>
      <x:c r="B593" s="2" t="n">
        <x:v>560</x:v>
      </x:c>
      <x:c r="C593" s="2" t="str">
        <x:v>22751</x:v>
      </x:c>
      <x:c r="D593" s="2" t="str">
        <x:v>FELTCRAFT PRINCESS OLIVIA DOLL</x:v>
      </x:c>
      <x:c r="E593" s="11" t="n">
        <x:v>8472.22</x:v>
      </x:c>
      <x:c r="F593" s="11" t="n">
        <x:v>22.5</x:v>
      </x:c>
      <x:c r="G593" s="11" t="n">
        <x:v>8449.72</x:v>
      </x:c>
      <x:c r="H593" s="23" t="n">
        <x:v>0.0004125999067210055</x:v>
      </x:c>
      <x:c r="I593" s="23" t="n">
        <x:v>0.6682075071749238</x:v>
      </x:c>
      <x:c r="J593" s="2" t="n">
        <x:v>466</x:v>
      </x:c>
      <x:c r="K593" s="2"/>
      <x:c r="L593" s="2"/>
    </x:row>
    <x:row r="594" ht="22" customHeight="1">
      <x:c r="A594" s="2"/>
      <x:c r="B594" s="2" t="n">
        <x:v>561</x:v>
      </x:c>
      <x:c r="C594" s="2" t="str">
        <x:v>23535</x:v>
      </x:c>
      <x:c r="D594" s="2" t="str">
        <x:v>WALL ART BICYCLE SAFETY</x:v>
      </x:c>
      <x:c r="E594" s="11" t="n">
        <x:v>8469.99</x:v>
      </x:c>
      <x:c r="F594" s="11" t="n">
        <x:v>5.95</x:v>
      </x:c>
      <x:c r="G594" s="11" t="n">
        <x:v>8464.04</x:v>
      </x:c>
      <x:c r="H594" s="23" t="n">
        <x:v>0.0004124913049859245</x:v>
      </x:c>
      <x:c r="I594" s="23" t="n">
        <x:v>0.6686199984799097</x:v>
      </x:c>
      <x:c r="J594" s="2" t="n">
        <x:v>215</x:v>
      </x:c>
      <x:c r="K594" s="2"/>
      <x:c r="L594" s="2"/>
    </x:row>
    <x:row r="595" ht="22" customHeight="1">
      <x:c r="A595" s="2"/>
      <x:c r="B595" s="2" t="n">
        <x:v>562</x:v>
      </x:c>
      <x:c r="C595" s="2" t="str">
        <x:v>85049E</x:v>
      </x:c>
      <x:c r="D595" s="2" t="str">
        <x:v>SCANDINAVIAN REDS RIBBONS</x:v>
      </x:c>
      <x:c r="E595" s="11" t="n">
        <x:v>8469.72</x:v>
      </x:c>
      <x:c r="F595" s="11" t="n">
        <x:v>35</x:v>
      </x:c>
      <x:c r="G595" s="11" t="n">
        <x:v>8434.72</x:v>
      </x:c>
      <x:c r="H595" s="23" t="n">
        <x:v>0.00041247815589692366</x:v>
      </x:c>
      <x:c r="I595" s="23" t="n">
        <x:v>0.6690324766358067</x:v>
      </x:c>
      <x:c r="J595" s="2" t="n">
        <x:v>830</x:v>
      </x:c>
      <x:c r="K595" s="2"/>
      <x:c r="L595" s="2"/>
    </x:row>
    <x:row r="596" ht="22" customHeight="1">
      <x:c r="A596" s="2"/>
      <x:c r="B596" s="2" t="n">
        <x:v>563</x:v>
      </x:c>
      <x:c r="C596" s="2" t="str">
        <x:v>22354</x:v>
      </x:c>
      <x:c r="D596" s="2" t="str">
        <x:v>RETROSPOT PADDED SEAT CUSHION</x:v>
      </x:c>
      <x:c r="E596" s="11" t="n">
        <x:v>8458.31</x:v>
      </x:c>
      <x:c r="F596" s="11" t="n">
        <x:v>70.89</x:v>
      </x:c>
      <x:c r="G596" s="11" t="n">
        <x:v>8387.42</x:v>
      </x:c>
      <x:c r="H596" s="23" t="n">
        <x:v>0.00041192248513581423</x:v>
      </x:c>
      <x:c r="I596" s="23" t="n">
        <x:v>0.6694443991209424</x:v>
      </x:c>
      <x:c r="J596" s="2" t="n">
        <x:v>280</x:v>
      </x:c>
      <x:c r="K596" s="2"/>
      <x:c r="L596" s="2"/>
    </x:row>
    <x:row r="597" ht="22" customHeight="1">
      <x:c r="A597" s="2"/>
      <x:c r="B597" s="2" t="n">
        <x:v>564</x:v>
      </x:c>
      <x:c r="C597" s="2" t="str">
        <x:v>22329</x:v>
      </x:c>
      <x:c r="D597" s="2" t="str">
        <x:v>ROUND CONTAINER SET OF 5 RETROSPOT</x:v>
      </x:c>
      <x:c r="E597" s="11" t="n">
        <x:v>8445.3</x:v>
      </x:c>
      <x:c r="F597" s="11" t="n">
        <x:v>47.849999999999994</x:v>
      </x:c>
      <x:c r="G597" s="11" t="n">
        <x:v>8397.449999999999</x:v>
      </x:c>
      <x:c r="H597" s="23" t="n">
        <x:v>0.0004112888938472924</x:v>
      </x:c>
      <x:c r="I597" s="23" t="n">
        <x:v>0.6698556880147898</x:v>
      </x:c>
      <x:c r="J597" s="2" t="n">
        <x:v>610</x:v>
      </x:c>
      <x:c r="K597" s="2"/>
      <x:c r="L597" s="2"/>
    </x:row>
    <x:row r="598" ht="22" customHeight="1">
      <x:c r="A598" s="2"/>
      <x:c r="B598" s="2" t="n">
        <x:v>565</x:v>
      </x:c>
      <x:c r="C598" s="2" t="str">
        <x:v>22358</x:v>
      </x:c>
      <x:c r="D598" s="2" t="str">
        <x:v>KINGS CHOICE TEA CADDY </x:v>
      </x:c>
      <x:c r="E598" s="11" t="n">
        <x:v>8414.26</x:v>
      </x:c>
      <x:c r="F598" s="11" t="n">
        <x:v>170.35</x:v>
      </x:c>
      <x:c r="G598" s="11" t="n">
        <x:v>8243.91</x:v>
      </x:c>
      <x:c r="H598" s="23" t="n">
        <x:v>0.0004097772356154925</x:v>
      </x:c>
      <x:c r="I598" s="23" t="n">
        <x:v>0.6702654652504053</x:v>
      </x:c>
      <x:c r="J598" s="2" t="n">
        <x:v>605</x:v>
      </x:c>
      <x:c r="K598" s="2"/>
      <x:c r="L598" s="2"/>
    </x:row>
    <x:row r="599" ht="22" customHeight="1">
      <x:c r="A599" s="2"/>
      <x:c r="B599" s="2" t="n">
        <x:v>566</x:v>
      </x:c>
      <x:c r="C599" s="2" t="str">
        <x:v>21411</x:v>
      </x:c>
      <x:c r="D599" s="2" t="str">
        <x:v>GINGHAM HEART  DOORSTOP RED</x:v>
      </x:c>
      <x:c r="E599" s="11" t="n">
        <x:v>8394.39</x:v>
      </x:c>
      <x:c r="F599" s="11" t="n">
        <x:v>34</x:v>
      </x:c>
      <x:c r="G599" s="11" t="n">
        <x:v>8360.39</x:v>
      </x:c>
      <x:c r="H599" s="23" t="n">
        <x:v>0.0004088095600656901</x:v>
      </x:c>
      <x:c r="I599" s="23" t="n">
        <x:v>0.670674274810471</x:v>
      </x:c>
      <x:c r="J599" s="2" t="n">
        <x:v>624</x:v>
      </x:c>
      <x:c r="K599" s="2"/>
      <x:c r="L599" s="2"/>
    </x:row>
    <x:row r="600" ht="22" customHeight="1">
      <x:c r="A600" s="2"/>
      <x:c r="B600" s="2" t="n">
        <x:v>567</x:v>
      </x:c>
      <x:c r="C600" s="2" t="str">
        <x:v>22628</x:v>
      </x:c>
      <x:c r="D600" s="2" t="str">
        <x:v>PICNIC BOXES SET OF 3 RETROSPOT </x:v>
      </x:c>
      <x:c r="E600" s="11" t="n">
        <x:v>8387.6</x:v>
      </x:c>
      <x:c r="F600" s="11" t="n">
        <x:v>133.65</x:v>
      </x:c>
      <x:c r="G600" s="11" t="n">
        <x:v>8253.95</x:v>
      </x:c>
      <x:c r="H600" s="23" t="n">
        <x:v>0.00040847888482748395</x:v>
      </x:c>
      <x:c r="I600" s="23" t="n">
        <x:v>0.6710827536952986</x:v>
      </x:c>
      <x:c r="J600" s="2" t="n">
        <x:v>350</x:v>
      </x:c>
      <x:c r="K600" s="2"/>
      <x:c r="L600" s="2"/>
    </x:row>
    <x:row r="601" ht="22" customHeight="1">
      <x:c r="A601" s="2"/>
      <x:c r="B601" s="2" t="n">
        <x:v>568</x:v>
      </x:c>
      <x:c r="C601" s="2" t="str">
        <x:v>51008</x:v>
      </x:c>
      <x:c r="D601" s="2" t="str">
        <x:v>AFGHAN SLIPPER SOCK PAIR</x:v>
      </x:c>
      <x:c r="E601" s="11" t="n">
        <x:v>8378.8</x:v>
      </x:c>
      <x:c r="F601" s="11" t="n">
        <x:v>1054.05</x:v>
      </x:c>
      <x:c r="G601" s="11" t="n">
        <x:v>7324.75</x:v>
      </x:c>
      <x:c r="H601" s="23" t="n">
        <x:v>0.0004080503219267159</x:v>
      </x:c>
      <x:c r="I601" s="23" t="n">
        <x:v>0.6714908040172253</x:v>
      </x:c>
      <x:c r="J601" s="2" t="n">
        <x:v>80</x:v>
      </x:c>
      <x:c r="K601" s="2"/>
      <x:c r="L601" s="2"/>
    </x:row>
    <x:row r="602" ht="22" customHeight="1">
      <x:c r="A602" s="2"/>
      <x:c r="B602" s="2" t="n">
        <x:v>569</x:v>
      </x:c>
      <x:c r="C602" s="2" t="str">
        <x:v>22689</x:v>
      </x:c>
      <x:c r="D602" s="2" t="str">
        <x:v>DOORMAT MERRY CHRISTMAS RED </x:v>
      </x:c>
      <x:c r="E602" s="11" t="n">
        <x:v>8366.72</x:v>
      </x:c>
      <x:c r="F602" s="11" t="n">
        <x:v>354</x:v>
      </x:c>
      <x:c r="G602" s="11" t="n">
        <x:v>8012.72</x:v>
      </x:c>
      <x:c r="H602" s="23" t="n">
        <x:v>0.0004074620219447525</x:v>
      </x:c>
      <x:c r="I602" s="23" t="n">
        <x:v>0.67189826603917</x:v>
      </x:c>
      <x:c r="J602" s="2" t="n">
        <x:v>264</x:v>
      </x:c>
      <x:c r="K602" s="2"/>
      <x:c r="L602" s="2"/>
    </x:row>
    <x:row r="603" ht="22" customHeight="1">
      <x:c r="A603" s="2"/>
      <x:c r="B603" s="2" t="n">
        <x:v>570</x:v>
      </x:c>
      <x:c r="C603" s="2" t="str">
        <x:v>21934</x:v>
      </x:c>
      <x:c r="D603" s="2" t="str">
        <x:v>SKULL SHOULDER BAG</x:v>
      </x:c>
      <x:c r="E603" s="11" t="n">
        <x:v>8283.47</x:v>
      </x:c>
      <x:c r="F603" s="11" t="n">
        <x:v>100.64999999999999</x:v>
      </x:c>
      <x:c r="G603" s="11" t="n">
        <x:v>8182.82</x:v>
      </x:c>
      <x:c r="H603" s="23" t="n">
        <x:v>0.00040340771950282776</x:v>
      </x:c>
      <x:c r="I603" s="23" t="n">
        <x:v>0.6723016737586729</x:v>
      </x:c>
      <x:c r="J603" s="2" t="n">
        <x:v>725</x:v>
      </x:c>
      <x:c r="K603" s="2"/>
      <x:c r="L603" s="2"/>
    </x:row>
    <x:row r="604" ht="22" customHeight="1">
      <x:c r="A604" s="2"/>
      <x:c r="B604" s="2" t="n">
        <x:v>571</x:v>
      </x:c>
      <x:c r="C604" s="2" t="str">
        <x:v>21244</x:v>
      </x:c>
      <x:c r="D604" s="2" t="str">
        <x:v>BLUE POLKADOT PLATE </x:v>
      </x:c>
      <x:c r="E604" s="11" t="n">
        <x:v>8282.449999999999</x:v>
      </x:c>
      <x:c r="F604" s="11" t="n">
        <x:v>38.87</x:v>
      </x:c>
      <x:c r="G604" s="11" t="n">
        <x:v>8243.58</x:v>
      </x:c>
      <x:c r="H604" s="23" t="n">
        <x:v>0.0004033580451666023</x:v>
      </x:c>
      <x:c r="I604" s="23" t="n">
        <x:v>0.6727050318038394</x:v>
      </x:c>
      <x:c r="J604" s="2" t="n">
        <x:v>445</x:v>
      </x:c>
      <x:c r="K604" s="2"/>
      <x:c r="L604" s="2"/>
    </x:row>
    <x:row r="605" ht="22" customHeight="1">
      <x:c r="A605" s="2"/>
      <x:c r="B605" s="2" t="n">
        <x:v>572</x:v>
      </x:c>
      <x:c r="C605" s="2" t="str">
        <x:v>85067</x:v>
      </x:c>
      <x:c r="D605" s="2" t="str">
        <x:v>CREAM SWEETHEART WALL CABINET</x:v>
      </x:c>
      <x:c r="E605" s="11" t="n">
        <x:v>8239.89</x:v>
      </x:c>
      <x:c r="F605" s="11" t="n">
        <x:v>202.45</x:v>
      </x:c>
      <x:c r="G605" s="11" t="n">
        <x:v>8037.44</x:v>
      </x:c>
      <x:c r="H605" s="23" t="n">
        <x:v>0.00040128535913743337</x:v>
      </x:c>
      <x:c r="I605" s="23" t="n">
        <x:v>0.6731063171629769</x:v>
      </x:c>
      <x:c r="J605" s="2" t="n">
        <x:v>175</x:v>
      </x:c>
      <x:c r="K605" s="2"/>
      <x:c r="L605" s="2"/>
    </x:row>
    <x:row r="606" ht="22" customHeight="1">
      <x:c r="A606" s="2"/>
      <x:c r="B606" s="2" t="n">
        <x:v>573</x:v>
      </x:c>
      <x:c r="C606" s="2" t="str">
        <x:v>21874</x:v>
      </x:c>
      <x:c r="D606" s="2" t="str">
        <x:v>GIN AND TONIC MUG</x:v>
      </x:c>
      <x:c r="E606" s="11" t="n">
        <x:v>8229.17</x:v>
      </x:c>
      <x:c r="F606" s="11" t="n">
        <x:v>36.46</x:v>
      </x:c>
      <x:c r="G606" s="11" t="n">
        <x:v>8192.71</x:v>
      </x:c>
      <x:c r="H606" s="23" t="n">
        <x:v>0.00040076329160377053</x:v>
      </x:c>
      <x:c r="I606" s="23" t="n">
        <x:v>0.6735070804545806</x:v>
      </x:c>
      <x:c r="J606" s="2" t="n">
        <x:v>617</x:v>
      </x:c>
      <x:c r="K606" s="2"/>
      <x:c r="L606" s="2"/>
    </x:row>
    <x:row r="607" ht="22" customHeight="1">
      <x:c r="A607" s="2"/>
      <x:c r="B607" s="2" t="n">
        <x:v>574</x:v>
      </x:c>
      <x:c r="C607" s="2" t="str">
        <x:v>22055</x:v>
      </x:c>
      <x:c r="D607" s="2" t="str">
        <x:v>MINI CAKE STAND  HANGING STRAWBERY</x:v>
      </x:c>
      <x:c r="E607" s="11" t="n">
        <x:v>8212.189999999999</x:v>
      </x:c>
      <x:c r="F607" s="11" t="n">
        <x:v>82.94999999999999</x:v>
      </x:c>
      <x:c r="G607" s="11" t="n">
        <x:v>8129.24</x:v>
      </x:c>
      <x:c r="H607" s="23" t="n">
        <x:v>0.00039993636000660676</x:v>
      </x:c>
      <x:c r="I607" s="23" t="n">
        <x:v>0.6739070168145872</x:v>
      </x:c>
      <x:c r="J607" s="2" t="n">
        <x:v>724</x:v>
      </x:c>
      <x:c r="K607" s="2"/>
      <x:c r="L607" s="2"/>
    </x:row>
    <x:row r="608" ht="22" customHeight="1">
      <x:c r="A608" s="2"/>
      <x:c r="B608" s="2" t="n">
        <x:v>575</x:v>
      </x:c>
      <x:c r="C608" s="2" t="str">
        <x:v>21238</x:v>
      </x:c>
      <x:c r="D608" s="2" t="str">
        <x:v>RED RETROSPOT CUP</x:v>
      </x:c>
      <x:c r="E608" s="11" t="n">
        <x:v>8181.849999999999</x:v>
      </x:c>
      <x:c r="F608" s="11" t="n">
        <x:v>126.39</x:v>
      </x:c>
      <x:c r="G608" s="11" t="n">
        <x:v>8055.46</x:v>
      </x:c>
      <x:c r="H608" s="23" t="n">
        <x:v>0.00039845879200554977</x:v>
      </x:c>
      <x:c r="I608" s="23" t="n">
        <x:v>0.6743054756065927</x:v>
      </x:c>
      <x:c r="J608" s="2" t="n">
        <x:v>903</x:v>
      </x:c>
      <x:c r="K608" s="2"/>
      <x:c r="L608" s="2"/>
    </x:row>
    <x:row r="609" ht="22" customHeight="1">
      <x:c r="A609" s="2"/>
      <x:c r="B609" s="2" t="n">
        <x:v>576</x:v>
      </x:c>
      <x:c r="C609" s="2" t="str">
        <x:v>85049A</x:v>
      </x:c>
      <x:c r="D609" s="2" t="str">
        <x:v>TRADITIONAL CHRISTMAS RIBBONS</x:v>
      </x:c>
      <x:c r="E609" s="11" t="n">
        <x:v>8123.53</x:v>
      </x:c>
      <x:c r="F609" s="11" t="n">
        <x:v>63.75</x:v>
      </x:c>
      <x:c r="G609" s="11" t="n">
        <x:v>8059.78</x:v>
      </x:c>
      <x:c r="H609" s="23" t="n">
        <x:v>0.00039561858878136896</x:v>
      </x:c>
      <x:c r="I609" s="23" t="n">
        <x:v>0.674701094195374</x:v>
      </x:c>
      <x:c r="J609" s="2" t="n">
        <x:v>667</x:v>
      </x:c>
      <x:c r="K609" s="2"/>
      <x:c r="L609" s="2"/>
    </x:row>
    <x:row r="610" ht="22" customHeight="1">
      <x:c r="A610" s="2"/>
      <x:c r="B610" s="2" t="n">
        <x:v>577</x:v>
      </x:c>
      <x:c r="C610" s="2" t="str">
        <x:v>84508A</x:v>
      </x:c>
      <x:c r="D610" s="2" t="str">
        <x:v>check</x:v>
      </x:c>
      <x:c r="E610" s="11" t="n">
        <x:v>8091.4800000000005</x:v>
      </x:c>
      <x:c r="F610" s="11" t="n">
        <x:v>21.9</x:v>
      </x:c>
      <x:c r="G610" s="11" t="n">
        <x:v>8069.580000000001</x:v>
      </x:c>
      <x:c r="H610" s="23" t="n">
        <x:v>0.00039405774321664004</x:v>
      </x:c>
      <x:c r="I610" s="23" t="n">
        <x:v>0.6750951519385907</x:v>
      </x:c>
      <x:c r="J610" s="2" t="n">
        <x:v>108</x:v>
      </x:c>
      <x:c r="K610" s="2"/>
      <x:c r="L610" s="2"/>
    </x:row>
    <x:row r="611" ht="22" customHeight="1">
      <x:c r="A611" s="2"/>
      <x:c r="B611" s="2" t="n">
        <x:v>578</x:v>
      </x:c>
      <x:c r="C611" s="2" t="str">
        <x:v>82551</x:v>
      </x:c>
      <x:c r="D611" s="2" t="str">
        <x:v>LAUNDRY 15C METAL SIGN</x:v>
      </x:c>
      <x:c r="E611" s="11" t="n">
        <x:v>8082.59</x:v>
      </x:c>
      <x:c r="F611" s="11" t="n">
        <x:v>7.7</x:v>
      </x:c>
      <x:c r="G611" s="11" t="n">
        <x:v>8074.889999999999</x:v>
      </x:c>
      <x:c r="H611" s="23" t="n">
        <x:v>0.000393624797286205</x:v>
      </x:c>
      <x:c r="I611" s="23" t="n">
        <x:v>0.6754887767358769</x:v>
      </x:c>
      <x:c r="J611" s="2" t="n">
        <x:v>751</x:v>
      </x:c>
      <x:c r="K611" s="2"/>
      <x:c r="L611" s="2"/>
    </x:row>
    <x:row r="612" ht="22" customHeight="1">
      <x:c r="A612" s="2"/>
      <x:c r="B612" s="2" t="n">
        <x:v>579</x:v>
      </x:c>
      <x:c r="C612" s="2" t="str">
        <x:v>20675</x:v>
      </x:c>
      <x:c r="D612" s="2" t="str">
        <x:v>BLUE POLKADOT BOWL</x:v>
      </x:c>
      <x:c r="E612" s="11" t="n">
        <x:v>8079.08</x:v>
      </x:c>
      <x:c r="F612" s="11" t="n">
        <x:v>49.81</x:v>
      </x:c>
      <x:c r="G612" s="11" t="n">
        <x:v>8029.27</x:v>
      </x:c>
      <x:c r="H612" s="23" t="n">
        <x:v>0.00039345385912919415</x:v>
      </x:c>
      <x:c r="I612" s="23" t="n">
        <x:v>0.6758822305950061</x:v>
      </x:c>
      <x:c r="J612" s="2" t="n">
        <x:v>693</x:v>
      </x:c>
      <x:c r="K612" s="2"/>
      <x:c r="L612" s="2"/>
    </x:row>
    <x:row r="613" ht="22" customHeight="1">
      <x:c r="A613" s="2"/>
      <x:c r="B613" s="2" t="n">
        <x:v>580</x:v>
      </x:c>
      <x:c r="C613" s="2" t="str">
        <x:v>22796</x:v>
      </x:c>
      <x:c r="D613" s="2" t="str">
        <x:v>PHOTO FRAME 3 CLASSIC HANGING</x:v>
      </x:c>
      <x:c r="E613" s="11" t="n">
        <x:v>8060.249999999999</x:v>
      </x:c>
      <x:c r="F613" s="11" t="n">
        <x:v>563.8499999999999</x:v>
      </x:c>
      <x:c r="G613" s="11" t="n">
        <x:v>7496.4</x:v>
      </x:c>
      <x:c r="H613" s="23" t="n">
        <x:v>0.0003925368319222098</x:v>
      </x:c>
      <x:c r="I613" s="23" t="n">
        <x:v>0.6762747674269283</x:v>
      </x:c>
      <x:c r="J613" s="2" t="n">
        <x:v>316</x:v>
      </x:c>
      <x:c r="K613" s="2"/>
      <x:c r="L613" s="2"/>
    </x:row>
    <x:row r="614" ht="22" customHeight="1">
      <x:c r="A614" s="2"/>
      <x:c r="B614" s="2" t="n">
        <x:v>581</x:v>
      </x:c>
      <x:c r="C614" s="2" t="str">
        <x:v>22738</x:v>
      </x:c>
      <x:c r="D614" s="2" t="str">
        <x:v>RIBBON REEL SNOWY VILLAGE</x:v>
      </x:c>
      <x:c r="E614" s="11" t="n">
        <x:v>8047.22</x:v>
      </x:c>
      <x:c r="F614" s="11" t="n">
        <x:v>207</x:v>
      </x:c>
      <x:c r="G614" s="11" t="n">
        <x:v>7840.22</x:v>
      </x:c>
      <x:c r="H614" s="23" t="n">
        <x:v>0.0003919022666270954</x:v>
      </x:c>
      <x:c r="I614" s="23" t="n">
        <x:v>0.6766666696935554</x:v>
      </x:c>
      <x:c r="J614" s="2" t="n">
        <x:v>498</x:v>
      </x:c>
      <x:c r="K614" s="2"/>
      <x:c r="L614" s="2"/>
    </x:row>
    <x:row r="615" ht="22" customHeight="1">
      <x:c r="A615" s="2"/>
      <x:c r="B615" s="2" t="n">
        <x:v>582</x:v>
      </x:c>
      <x:c r="C615" s="2" t="str">
        <x:v>84568</x:v>
      </x:c>
      <x:c r="D615" s="2" t="str">
        <x:v>GIRLS ALPHABET IRON ON PATCHES </x:v>
      </x:c>
      <x:c r="E615" s="11" t="n">
        <x:v>8033.47</x:v>
      </x:c>
      <x:c r="F615" s="11" t="n">
        <x:v>181.64999999999998</x:v>
      </x:c>
      <x:c r="G615" s="11" t="n">
        <x:v>7851.82</x:v>
      </x:c>
      <x:c r="H615" s="23" t="n">
        <x:v>0.00039123263709464536</x:v>
      </x:c>
      <x:c r="I615" s="23" t="n">
        <x:v>0.67705790233065</x:v>
      </x:c>
      <x:c r="J615" s="2" t="n">
        <x:v>310</x:v>
      </x:c>
      <x:c r="K615" s="2"/>
      <x:c r="L615" s="2"/>
    </x:row>
    <x:row r="616" ht="22" customHeight="1">
      <x:c r="A616" s="2"/>
      <x:c r="B616" s="2" t="n">
        <x:v>583</x:v>
      </x:c>
      <x:c r="C616" s="2" t="str">
        <x:v>22504</x:v>
      </x:c>
      <x:c r="D616" s="2" t="str">
        <x:v>CABIN BAG VINTAGE RETROSPOT</x:v>
      </x:c>
      <x:c r="E616" s="11" t="n">
        <x:v>7985.03</x:v>
      </x:c>
      <x:c r="F616" s="11" t="n">
        <x:v>322.25</x:v>
      </x:c>
      <x:c r="G616" s="11" t="n">
        <x:v>7662.78</x:v>
      </x:c>
      <x:c r="H616" s="23" t="n">
        <x:v>0.0003888735931272359</x:v>
      </x:c>
      <x:c r="I616" s="23" t="n">
        <x:v>0.6774467759237772</x:v>
      </x:c>
      <x:c r="J616" s="2" t="n">
        <x:v>115</x:v>
      </x:c>
      <x:c r="K616" s="2"/>
      <x:c r="L616" s="2"/>
    </x:row>
    <x:row r="617" ht="22" customHeight="1">
      <x:c r="A617" s="2"/>
      <x:c r="B617" s="2" t="n">
        <x:v>584</x:v>
      </x:c>
      <x:c r="C617" s="2" t="str">
        <x:v>21115</x:v>
      </x:c>
      <x:c r="D617" s="2" t="str">
        <x:v>ROSE CARAVAN DOORSTOP</x:v>
      </x:c>
      <x:c r="E617" s="11" t="n">
        <x:v>7975.1900000000005</x:v>
      </x:c>
      <x:c r="F617" s="11" t="n">
        <x:v>6.75</x:v>
      </x:c>
      <x:c r="G617" s="11" t="n">
        <x:v>7968.4400000000005</x:v>
      </x:c>
      <x:c r="H617" s="23" t="n">
        <x:v>0.0003883943818836499</x:v>
      </x:c>
      <x:c r="I617" s="23" t="n">
        <x:v>0.6778351703056609</x:v>
      </x:c>
      <x:c r="J617" s="2" t="n">
        <x:v>431</x:v>
      </x:c>
      <x:c r="K617" s="2"/>
      <x:c r="L617" s="2"/>
    </x:row>
    <x:row r="618" ht="22" customHeight="1">
      <x:c r="A618" s="2"/>
      <x:c r="B618" s="2" t="n">
        <x:v>585</x:v>
      </x:c>
      <x:c r="C618" s="2" t="str">
        <x:v>22592</x:v>
      </x:c>
      <x:c r="D618" s="2" t="str">
        <x:v>CARDHOLDER HOLLY WREATH METAL</x:v>
      </x:c>
      <x:c r="E618" s="11" t="n">
        <x:v>7964.34</x:v>
      </x:c>
      <x:c r="F618" s="11" t="n">
        <x:v>7.5</x:v>
      </x:c>
      <x:c r="G618" s="11" t="n">
        <x:v>7956.84</x:v>
      </x:c>
      <x:c r="H618" s="23" t="n">
        <x:v>0.00038786598330713476</x:v>
      </x:c>
      <x:c r="I618" s="23" t="n">
        <x:v>0.678223036288968</x:v>
      </x:c>
      <x:c r="J618" s="2" t="n">
        <x:v>304</x:v>
      </x:c>
      <x:c r="K618" s="2"/>
      <x:c r="L618" s="2"/>
    </x:row>
    <x:row r="619" ht="22" customHeight="1">
      <x:c r="A619" s="2"/>
      <x:c r="B619" s="2" t="n">
        <x:v>586</x:v>
      </x:c>
      <x:c r="C619" s="2" t="str">
        <x:v>21769</x:v>
      </x:c>
      <x:c r="D619" s="2" t="str">
        <x:v>showroom</x:v>
      </x:c>
      <x:c r="E619" s="11" t="n">
        <x:v>7954.87</x:v>
      </x:c>
      <x:c r="F619" s="11" t="n">
        <x:v>319.8</x:v>
      </x:c>
      <x:c r="G619" s="11" t="n">
        <x:v>7635.07</x:v>
      </x:c>
      <x:c r="H619" s="23" t="n">
        <x:v>0.00038740479118551277</x:v>
      </x:c>
      <x:c r="I619" s="23" t="n">
        <x:v>0.6786104410801534</x:v>
      </x:c>
      <x:c r="J619" s="2" t="n">
        <x:v>48</x:v>
      </x:c>
      <x:c r="K619" s="2"/>
      <x:c r="L619" s="2"/>
    </x:row>
    <x:row r="620" ht="22" customHeight="1">
      <x:c r="A620" s="2"/>
      <x:c r="B620" s="2" t="n">
        <x:v>587</x:v>
      </x:c>
      <x:c r="C620" s="2" t="str">
        <x:v>22353</x:v>
      </x:c>
      <x:c r="D620" s="2" t="str">
        <x:v>LUNCH BOX WITH CUTLERY FAIRY CAKES </x:v>
      </x:c>
      <x:c r="E620" s="11" t="n">
        <x:v>7933.19</x:v>
      </x:c>
      <x:c r="F620" s="11" t="n">
        <x:v>50.99999999999999</x:v>
      </x:c>
      <x:c r="G620" s="11" t="n">
        <x:v>7882.19</x:v>
      </x:c>
      <x:c r="H620" s="23" t="n">
        <x:v>0.0003863489680390752</x:v>
      </x:c>
      <x:c r="I620" s="23" t="n">
        <x:v>0.6789967900481926</x:v>
      </x:c>
      <x:c r="J620" s="2" t="n">
        <x:v>493</x:v>
      </x:c>
      <x:c r="K620" s="2"/>
      <x:c r="L620" s="2"/>
    </x:row>
    <x:row r="621" ht="22" customHeight="1">
      <x:c r="A621" s="2"/>
      <x:c r="B621" s="2" t="n">
        <x:v>588</x:v>
      </x:c>
      <x:c r="C621" s="2" t="str">
        <x:v>22275</x:v>
      </x:c>
      <x:c r="D621" s="2" t="str">
        <x:v>WEEKEND BAG VINTAGE ROSE PAISLEY</x:v>
      </x:c>
      <x:c r="E621" s="11" t="n">
        <x:v>7909.33</x:v>
      </x:c>
      <x:c r="F621" s="11" t="n">
        <x:v>42.5</x:v>
      </x:c>
      <x:c r="G621" s="11" t="n">
        <x:v>7866.83</x:v>
      </x:c>
      <x:c r="H621" s="23" t="n">
        <x:v>0.0003851869781740383</x:v>
      </x:c>
      <x:c r="I621" s="23" t="n">
        <x:v>0.6793819770263666</x:v>
      </x:c>
      <x:c r="J621" s="2" t="n">
        <x:v>313</x:v>
      </x:c>
      <x:c r="K621" s="2"/>
      <x:c r="L621" s="2"/>
    </x:row>
    <x:row r="622" ht="22" customHeight="1">
      <x:c r="A622" s="2"/>
      <x:c r="B622" s="2" t="n">
        <x:v>589</x:v>
      </x:c>
      <x:c r="C622" s="2" t="str">
        <x:v>21116</x:v>
      </x:c>
      <x:c r="D622" s="2" t="str">
        <x:v>OWL DOORSTOP</x:v>
      </x:c>
      <x:c r="E622" s="11" t="n">
        <x:v>7904.96</x:v>
      </x:c>
      <x:c r="F622" s="11" t="n">
        <x:v>4.95</x:v>
      </x:c>
      <x:c r="G622" s="11" t="n">
        <x:v>7900.01</x:v>
      </x:c>
      <x:c r="H622" s="23" t="n">
        <x:v>0.00038497415773354324</x:v>
      </x:c>
      <x:c r="I622" s="23" t="n">
        <x:v>0.6797669511841001</x:v>
      </x:c>
      <x:c r="J622" s="2" t="n">
        <x:v>534</x:v>
      </x:c>
      <x:c r="K622" s="2"/>
      <x:c r="L622" s="2"/>
    </x:row>
    <x:row r="623" ht="22" customHeight="1">
      <x:c r="A623" s="2"/>
      <x:c r="B623" s="2" t="n">
        <x:v>590</x:v>
      </x:c>
      <x:c r="C623" s="2" t="str">
        <x:v>21875</x:v>
      </x:c>
      <x:c r="D623" s="2" t="str">
        <x:v>KINGS CHOICE MUG</x:v>
      </x:c>
      <x:c r="E623" s="11" t="n">
        <x:v>7889.58</x:v>
      </x:c>
      <x:c r="F623" s="11" t="n">
        <x:v>81.53</x:v>
      </x:c>
      <x:c r="G623" s="11" t="n">
        <x:v>7808.05</x:v>
      </x:c>
      <x:c r="H623" s="23" t="n">
        <x:v>0.00038422514666379187</x:v>
      </x:c>
      <x:c r="I623" s="23" t="n">
        <x:v>0.6801511763307639</x:v>
      </x:c>
      <x:c r="J623" s="2" t="n">
        <x:v>414</x:v>
      </x:c>
      <x:c r="K623" s="2"/>
      <x:c r="L623" s="2"/>
    </x:row>
    <x:row r="624" ht="22" customHeight="1">
      <x:c r="A624" s="2"/>
      <x:c r="B624" s="2" t="n">
        <x:v>591</x:v>
      </x:c>
      <x:c r="C624" s="2" t="str">
        <x:v>22350</x:v>
      </x:c>
      <x:c r="D624" s="2" t="str">
        <x:v>ILLUSTRATED CAT BOWL </x:v>
      </x:c>
      <x:c r="E624" s="11" t="n">
        <x:v>7885.99</x:v>
      </x:c>
      <x:c r="F624" s="11" t="n">
        <x:v>5.1</x:v>
      </x:c>
      <x:c r="G624" s="11" t="n">
        <x:v>7880.889999999999</x:v>
      </x:c>
      <x:c r="H624" s="23" t="n">
        <x:v>0.00038405031248041035</x:v>
      </x:c>
      <x:c r="I624" s="23" t="n">
        <x:v>0.6805352266432444</x:v>
      </x:c>
      <x:c r="J624" s="2" t="n">
        <x:v>331</x:v>
      </x:c>
      <x:c r="K624" s="2"/>
      <x:c r="L624" s="2"/>
    </x:row>
    <x:row r="625" ht="22" customHeight="1">
      <x:c r="A625" s="2"/>
      <x:c r="B625" s="2" t="n">
        <x:v>592</x:v>
      </x:c>
      <x:c r="C625" s="2" t="str">
        <x:v>22890</x:v>
      </x:c>
      <x:c r="D625" s="2" t="str">
        <x:v>NOVELTY BISCUITS CAKE STAND 3 TIER</x:v>
      </x:c>
      <x:c r="E625" s="11" t="n">
        <x:v>7881.66</x:v>
      </x:c>
      <x:c r="F625" s="11" t="n">
        <x:v>481.34999999999997</x:v>
      </x:c>
      <x:c r="G625" s="11" t="n">
        <x:v>7400.3099999999995</x:v>
      </x:c>
      <x:c r="H625" s="23" t="n">
        <x:v>0.00038383944005310064</x:v>
      </x:c>
      <x:c r="I625" s="23" t="n">
        <x:v>0.6809190660832974</x:v>
      </x:c>
      <x:c r="J625" s="2" t="n">
        <x:v>260</x:v>
      </x:c>
      <x:c r="K625" s="2"/>
      <x:c r="L625" s="2"/>
    </x:row>
    <x:row r="626" ht="22" customHeight="1">
      <x:c r="A626" s="2"/>
      <x:c r="B626" s="2" t="n">
        <x:v>593</x:v>
      </x:c>
      <x:c r="C626" s="2" t="str">
        <x:v>21976</x:v>
      </x:c>
      <x:c r="D626" s="2" t="str">
        <x:v>PACK OF 60 MUSHROOM CAKE CASES</x:v>
      </x:c>
      <x:c r="E626" s="11" t="n">
        <x:v>7832.52</x:v>
      </x:c>
      <x:c r="F626" s="11" t="n">
        <x:v>30.25</x:v>
      </x:c>
      <x:c r="G626" s="11" t="n">
        <x:v>7802.27</x:v>
      </x:c>
      <x:c r="H626" s="23" t="n">
        <x:v>0.0003814463058549483</x:v>
      </x:c>
      <x:c r="I626" s="23" t="n">
        <x:v>0.6813005123891523</x:v>
      </x:c>
      <x:c r="J626" s="2" t="n">
        <x:v>950</x:v>
      </x:c>
      <x:c r="K626" s="2"/>
      <x:c r="L626" s="2"/>
    </x:row>
    <x:row r="627" ht="22" customHeight="1">
      <x:c r="A627" s="2"/>
      <x:c r="B627" s="2" t="n">
        <x:v>594</x:v>
      </x:c>
      <x:c r="C627" s="2" t="str">
        <x:v>23238</x:v>
      </x:c>
      <x:c r="D627" s="2" t="str">
        <x:v>SET OF 4 KNICK KNACK TINS LONDON </x:v>
      </x:c>
      <x:c r="E627" s="11" t="n">
        <x:v>7825.56</x:v>
      </x:c>
      <x:c r="F627" s="11" t="n">
        <x:v>65.60000000000001</x:v>
      </x:c>
      <x:c r="G627" s="11" t="n">
        <x:v>7759.96</x:v>
      </x:c>
      <x:c r="H627" s="23" t="n">
        <x:v>0.00038110735156070453</x:v>
      </x:c>
      <x:c r="I627" s="23" t="n">
        <x:v>0.6816816197407131</x:v>
      </x:c>
      <x:c r="J627" s="2" t="n">
        <x:v>274</x:v>
      </x:c>
      <x:c r="K627" s="2"/>
      <x:c r="L627" s="2"/>
    </x:row>
    <x:row r="628" ht="22" customHeight="1">
      <x:c r="A628" s="2"/>
      <x:c r="B628" s="2" t="n">
        <x:v>595</x:v>
      </x:c>
      <x:c r="C628" s="2" t="str">
        <x:v>22588</x:v>
      </x:c>
      <x:c r="D628" s="2" t="str">
        <x:v>CARD HOLDER GINGHAM HEART</x:v>
      </x:c>
      <x:c r="E628" s="11" t="n">
        <x:v>7805.23</x:v>
      </x:c>
      <x:c r="F628" s="11" t="n">
        <x:v>411.87000000000006</x:v>
      </x:c>
      <x:c r="G628" s="11" t="n">
        <x:v>7393.36</x:v>
      </x:c>
      <x:c r="H628" s="23" t="n">
        <x:v>0.0003801172738592711</x:v>
      </x:c>
      <x:c r="I628" s="23" t="n">
        <x:v>0.6820617370145723</x:v>
      </x:c>
      <x:c r="J628" s="2" t="n">
        <x:v>483</x:v>
      </x:c>
      <x:c r="K628" s="2"/>
      <x:c r="L628" s="2"/>
    </x:row>
    <x:row r="629" ht="22" customHeight="1">
      <x:c r="A629" s="2"/>
      <x:c r="B629" s="2" t="n">
        <x:v>596</x:v>
      </x:c>
      <x:c r="C629" s="2" t="str">
        <x:v>22784</x:v>
      </x:c>
      <x:c r="D629" s="2" t="str">
        <x:v>LANTERN CREAM GAZEBO </x:v>
      </x:c>
      <x:c r="E629" s="11" t="n">
        <x:v>7776.64</x:v>
      </x:c>
      <x:c r="F629" s="11" t="n">
        <x:v>249</x:v>
      </x:c>
      <x:c r="G629" s="11" t="n">
        <x:v>7527.64</x:v>
      </x:c>
      <x:c r="H629" s="23" t="n">
        <x:v>0.00037872493143507137</x:v>
      </x:c>
      <x:c r="I629" s="23" t="n">
        <x:v>0.6824404619460074</x:v>
      </x:c>
      <x:c r="J629" s="2" t="n">
        <x:v>369</x:v>
      </x:c>
      <x:c r="K629" s="2"/>
      <x:c r="L629" s="2"/>
    </x:row>
    <x:row r="630" ht="22" customHeight="1">
      <x:c r="A630" s="2"/>
      <x:c r="B630" s="2" t="n">
        <x:v>597</x:v>
      </x:c>
      <x:c r="C630" s="2" t="str">
        <x:v>20717</x:v>
      </x:c>
      <x:c r="D630" s="2" t="str">
        <x:v>STRAWBERRY SHOPPER BAG</x:v>
      </x:c>
      <x:c r="E630" s="11" t="n">
        <x:v>7773.73</x:v>
      </x:c>
      <x:c r="F630" s="11" t="n">
        <x:v>137.25</x:v>
      </x:c>
      <x:c r="G630" s="11" t="n">
        <x:v>7636.48</x:v>
      </x:c>
      <x:c r="H630" s="23" t="n">
        <x:v>0.0003785832134758401</x:v>
      </x:c>
      <x:c r="I630" s="23" t="n">
        <x:v>0.6828190451594832</x:v>
      </x:c>
      <x:c r="J630" s="2" t="n">
        <x:v>757</x:v>
      </x:c>
      <x:c r="K630" s="2"/>
      <x:c r="L630" s="2"/>
    </x:row>
    <x:row r="631" ht="22" customHeight="1">
      <x:c r="A631" s="2"/>
      <x:c r="B631" s="2" t="n">
        <x:v>598</x:v>
      </x:c>
      <x:c r="C631" s="2" t="str">
        <x:v>21588</x:v>
      </x:c>
      <x:c r="D631" s="2" t="str">
        <x:v>RETROSPOT GIANT TUBE MATCHES</x:v>
      </x:c>
      <x:c r="E631" s="11" t="n">
        <x:v>7766.4</x:v>
      </x:c>
      <x:c r="F631" s="11" t="n">
        <x:v>63.74999999999999</x:v>
      </x:c>
      <x:c r="G631" s="11" t="n">
        <x:v>7702.65</x:v>
      </x:c>
      <x:c r="H631" s="23" t="n">
        <x:v>0.0003782262400596322</x:v>
      </x:c>
      <x:c r="I631" s="23" t="n">
        <x:v>0.6831972713995429</x:v>
      </x:c>
      <x:c r="J631" s="2" t="n">
        <x:v>284</x:v>
      </x:c>
      <x:c r="K631" s="2"/>
      <x:c r="L631" s="2"/>
    </x:row>
    <x:row r="632" ht="22" customHeight="1">
      <x:c r="A632" s="2"/>
      <x:c r="B632" s="2" t="n">
        <x:v>599</x:v>
      </x:c>
      <x:c r="C632" s="2" t="str">
        <x:v>23007</x:v>
      </x:c>
      <x:c r="D632" s="2" t="str">
        <x:v> SPACEBOY BABY GIFT SET</x:v>
      </x:c>
      <x:c r="E632" s="11" t="n">
        <x:v>7758.699999999999</x:v>
      </x:c>
      <x:c r="F632" s="11" t="n">
        <x:v>101.69999999999999</x:v>
      </x:c>
      <x:c r="G632" s="11" t="n">
        <x:v>7656.999999999999</x:v>
      </x:c>
      <x:c r="H632" s="23" t="n">
        <x:v>0.00037785124752146015</x:v>
      </x:c>
      <x:c r="I632" s="23" t="n">
        <x:v>0.6835751226470643</x:v>
      </x:c>
      <x:c r="J632" s="2" t="n">
        <x:v>184</x:v>
      </x:c>
      <x:c r="K632" s="2"/>
      <x:c r="L632" s="2"/>
    </x:row>
    <x:row r="633" ht="22" customHeight="1">
      <x:c r="A633" s="2"/>
      <x:c r="B633" s="2" t="n">
        <x:v>600</x:v>
      </x:c>
      <x:c r="C633" s="2" t="str">
        <x:v>22809</x:v>
      </x:c>
      <x:c r="D633" s="2" t="str">
        <x:v>SET OF 6 T-LIGHTS SANTA</x:v>
      </x:c>
      <x:c r="E633" s="11" t="n">
        <x:v>7753.22</x:v>
      </x:c>
      <x:c r="F633" s="11" t="n">
        <x:v>132</x:v>
      </x:c>
      <x:c r="G633" s="11" t="n">
        <x:v>7621.22</x:v>
      </x:c>
      <x:c r="H633" s="23" t="n">
        <x:v>0.00037758436971507283</x:v>
      </x:c>
      <x:c r="I633" s="23" t="n">
        <x:v>0.6839527070167793</x:v>
      </x:c>
      <x:c r="J633" s="2" t="n">
        <x:v>379</x:v>
      </x:c>
      <x:c r="K633" s="2"/>
      <x:c r="L633" s="2"/>
    </x:row>
    <x:row r="634" ht="22" customHeight="1">
      <x:c r="A634" s="2"/>
      <x:c r="B634" s="2" t="n">
        <x:v>601</x:v>
      </x:c>
      <x:c r="C634" s="2" t="str">
        <x:v>23204</x:v>
      </x:c>
      <x:c r="D634" s="2" t="str">
        <x:v>CHARLOTTE BAG APPLES DESIGN</x:v>
      </x:c>
      <x:c r="E634" s="11" t="n">
        <x:v>7741.94</x:v>
      </x:c>
      <x:c r="F634" s="11" t="n">
        <x:v>138.34</x:v>
      </x:c>
      <x:c r="G634" s="11" t="n">
        <x:v>7603.599999999999</x:v>
      </x:c>
      <x:c r="H634" s="23" t="n">
        <x:v>0.00037703502999681564</x:v>
      </x:c>
      <x:c r="I634" s="23" t="n">
        <x:v>0.6843297420467762</x:v>
      </x:c>
      <x:c r="J634" s="2" t="n">
        <x:v>583</x:v>
      </x:c>
      <x:c r="K634" s="2"/>
      <x:c r="L634" s="2"/>
    </x:row>
    <x:row r="635" ht="22" customHeight="1">
      <x:c r="A635" s="2"/>
      <x:c r="B635" s="2" t="n">
        <x:v>602</x:v>
      </x:c>
      <x:c r="C635" s="2" t="str">
        <x:v>21110</x:v>
      </x:c>
      <x:c r="D635" s="2" t="str">
        <x:v>LARGE CAKE TOWEL PINK SPOTS</x:v>
      </x:c>
      <x:c r="E635" s="11" t="n">
        <x:v>7736.12</x:v>
      </x:c>
      <x:c r="F635" s="11" t="n">
        <x:v>38.9</x:v>
      </x:c>
      <x:c r="G635" s="11" t="n">
        <x:v>7697.22</x:v>
      </x:c>
      <x:c r="H635" s="23" t="n">
        <x:v>0.0003767515940783532</x:v>
      </x:c>
      <x:c r="I635" s="23" t="n">
        <x:v>0.6847064936408546</x:v>
      </x:c>
      <x:c r="J635" s="2" t="n">
        <x:v>329</x:v>
      </x:c>
      <x:c r="K635" s="2"/>
      <x:c r="L635" s="2"/>
    </x:row>
    <x:row r="636" ht="22" customHeight="1">
      <x:c r="A636" s="2"/>
      <x:c r="B636" s="2" t="n">
        <x:v>603</x:v>
      </x:c>
      <x:c r="C636" s="2" t="str">
        <x:v>84032B</x:v>
      </x:c>
      <x:c r="D636" s="2" t="str">
        <x:v>CHARLIE + LOLA RED HOT WATER BOTTLE</x:v>
      </x:c>
      <x:c r="E636" s="11" t="n">
        <x:v>7716.950000000001</x:v>
      </x:c>
      <x:c r="F636" s="11" t="n">
        <x:v>168.9</x:v>
      </x:c>
      <x:c r="G636" s="11" t="n">
        <x:v>7548.05</x:v>
      </x:c>
      <x:c r="H636" s="23" t="n">
        <x:v>0.0003758180087592938</x:v>
      </x:c>
      <x:c r="I636" s="23" t="n">
        <x:v>0.6850823116496139</x:v>
      </x:c>
      <x:c r="J636" s="2" t="n">
        <x:v>601</x:v>
      </x:c>
      <x:c r="K636" s="2"/>
      <x:c r="L636" s="2"/>
    </x:row>
    <x:row r="637" ht="22" customHeight="1">
      <x:c r="A637" s="2"/>
      <x:c r="B637" s="2" t="n">
        <x:v>604</x:v>
      </x:c>
      <x:c r="C637" s="2" t="str">
        <x:v>22550</x:v>
      </x:c>
      <x:c r="D637" s="2" t="str">
        <x:v>HOLIDAY FUN LUDO</x:v>
      </x:c>
      <x:c r="E637" s="11" t="n">
        <x:v>7692.14</x:v>
      </x:c>
      <x:c r="F637" s="11" t="n">
        <x:v>330</x:v>
      </x:c>
      <x:c r="G637" s="11" t="n">
        <x:v>7362.14</x:v>
      </x:c>
      <x:c r="H637" s="23" t="n">
        <x:v>0.0003746097535811057</x:v>
      </x:c>
      <x:c r="I637" s="23" t="n">
        <x:v>0.6854569214031949</x:v>
      </x:c>
      <x:c r="J637" s="2" t="n">
        <x:v>425</x:v>
      </x:c>
      <x:c r="K637" s="2"/>
      <x:c r="L637" s="2"/>
    </x:row>
    <x:row r="638" ht="22" customHeight="1">
      <x:c r="A638" s="2"/>
      <x:c r="B638" s="2" t="n">
        <x:v>605</x:v>
      </x:c>
      <x:c r="C638" s="2" t="str">
        <x:v>22813</x:v>
      </x:c>
      <x:c r="D638" s="2" t="str">
        <x:v>PACK 3 BOXES BIRD PANETTONE </x:v>
      </x:c>
      <x:c r="E638" s="11" t="n">
        <x:v>7679.429999999999</x:v>
      </x:c>
      <x:c r="F638" s="11" t="n">
        <x:v>1.95</x:v>
      </x:c>
      <x:c r="G638" s="11" t="n">
        <x:v>7677.48</x:v>
      </x:c>
      <x:c r="H638" s="23" t="n">
        <x:v>0.0003739907723914737</x:v>
      </x:c>
      <x:c r="I638" s="23" t="n">
        <x:v>0.6858309121755863</x:v>
      </x:c>
      <x:c r="J638" s="2" t="n">
        <x:v>373</x:v>
      </x:c>
      <x:c r="K638" s="2"/>
      <x:c r="L638" s="2"/>
    </x:row>
    <x:row r="639" ht="22" customHeight="1">
      <x:c r="A639" s="2"/>
      <x:c r="B639" s="2" t="n">
        <x:v>606</x:v>
      </x:c>
      <x:c r="C639" s="2" t="str">
        <x:v>22165</x:v>
      </x:c>
      <x:c r="D639" s="2" t="str">
        <x:v>DIAMANTE HEART SHAPED WALL MIRROR, </x:v>
      </x:c>
      <x:c r="E639" s="11" t="n">
        <x:v>7673.7300000000005</x:v>
      </x:c>
      <x:c r="F639" s="11" t="n">
        <x:v>89.25</x:v>
      </x:c>
      <x:c r="G639" s="11" t="n">
        <x:v>7584.4800000000005</x:v>
      </x:c>
      <x:c r="H639" s="23" t="n">
        <x:v>0.00037371318051256715</x:v>
      </x:c>
      <x:c r="I639" s="23" t="n">
        <x:v>0.6862046253560989</x:v>
      </x:c>
      <x:c r="J639" s="2" t="n">
        <x:v>272</x:v>
      </x:c>
      <x:c r="K639" s="2"/>
      <x:c r="L639" s="2"/>
    </x:row>
    <x:row r="640" ht="22" customHeight="1">
      <x:c r="A640" s="2"/>
      <x:c r="B640" s="2" t="n">
        <x:v>607</x:v>
      </x:c>
      <x:c r="C640" s="2" t="str">
        <x:v>21870</x:v>
      </x:c>
      <x:c r="D640" s="2" t="str">
        <x:v>I CAN ONLY PLEASE ONE PERSON MUG</x:v>
      </x:c>
      <x:c r="E640" s="11" t="n">
        <x:v>7651.24</x:v>
      </x:c>
      <x:c r="F640" s="11" t="n">
        <x:v>121.25</x:v>
      </x:c>
      <x:c r="G640" s="11" t="n">
        <x:v>7529.99</x:v>
      </x:c>
      <x:c r="H640" s="23" t="n">
        <x:v>0.00037261791009912703</x:v>
      </x:c>
      <x:c r="I640" s="23" t="n">
        <x:v>0.6865772432661981</x:v>
      </x:c>
      <x:c r="J640" s="2" t="n">
        <x:v>630</x:v>
      </x:c>
      <x:c r="K640" s="2"/>
      <x:c r="L640" s="2"/>
    </x:row>
    <x:row r="641" ht="22" customHeight="1">
      <x:c r="A641" s="2"/>
      <x:c r="B641" s="2" t="n">
        <x:v>608</x:v>
      </x:c>
      <x:c r="C641" s="2" t="str">
        <x:v>22528</x:v>
      </x:c>
      <x:c r="D641" s="2" t="str">
        <x:v>GARDENERS KNEELING PAD</x:v>
      </x:c>
      <x:c r="E641" s="11" t="n">
        <x:v>7630.91</x:v>
      </x:c>
      <x:c r="F641" s="11" t="n">
        <x:v>56.25</x:v>
      </x:c>
      <x:c r="G641" s="11" t="n">
        <x:v>7574.66</x:v>
      </x:c>
      <x:c r="H641" s="23" t="n">
        <x:v>0.00037162783239769366</x:v>
      </x:c>
      <x:c r="I641" s="23" t="n">
        <x:v>0.6869488710985958</x:v>
      </x:c>
      <x:c r="J641" s="2" t="n">
        <x:v>554</x:v>
      </x:c>
      <x:c r="K641" s="2"/>
      <x:c r="L641" s="2"/>
    </x:row>
    <x:row r="642" ht="22" customHeight="1">
      <x:c r="A642" s="2"/>
      <x:c r="B642" s="2" t="n">
        <x:v>609</x:v>
      </x:c>
      <x:c r="C642" s="2" t="str">
        <x:v>84968C</x:v>
      </x:c>
      <x:c r="D642" s="2" t="str">
        <x:v>SET OF 16 VINTAGE PISTACHIO CUTLERY</x:v>
      </x:c>
      <x:c r="E642" s="11" t="n">
        <x:v>7629.25</x:v>
      </x:c>
      <x:c r="F642" s="11" t="n">
        <x:v>51</x:v>
      </x:c>
      <x:c r="G642" s="11" t="n">
        <x:v>7578.25</x:v>
      </x:c>
      <x:c r="H642" s="23" t="n">
        <x:v>0.0003715469898505033</x:v>
      </x:c>
      <x:c r="I642" s="23" t="n">
        <x:v>0.6873204180884463</x:v>
      </x:c>
      <x:c r="J642" s="2" t="n">
        <x:v>191</x:v>
      </x:c>
      <x:c r="K642" s="2"/>
      <x:c r="L642" s="2"/>
    </x:row>
    <x:row r="643" ht="22" customHeight="1">
      <x:c r="A643" s="2"/>
      <x:c r="B643" s="2" t="n">
        <x:v>610</x:v>
      </x:c>
      <x:c r="C643" s="2" t="str">
        <x:v>22669</x:v>
      </x:c>
      <x:c r="D643" s="2" t="str">
        <x:v>RED BABY BUNTING </x:v>
      </x:c>
      <x:c r="E643" s="11" t="n">
        <x:v>7628.69</x:v>
      </x:c>
      <x:c r="F643" s="11" t="n">
        <x:v>142.25</x:v>
      </x:c>
      <x:c r="G643" s="11" t="n">
        <x:v>7486.44</x:v>
      </x:c>
      <x:c r="H643" s="23" t="n">
        <x:v>0.00037151971766590896</x:v>
      </x:c>
      <x:c r="I643" s="23" t="n">
        <x:v>0.6876919378061123</x:v>
      </x:c>
      <x:c r="J643" s="2" t="n">
        <x:v>438</x:v>
      </x:c>
      <x:c r="K643" s="2"/>
      <x:c r="L643" s="2"/>
    </x:row>
    <x:row r="644" ht="22" customHeight="1">
      <x:c r="A644" s="2"/>
      <x:c r="B644" s="2" t="n">
        <x:v>611</x:v>
      </x:c>
      <x:c r="C644" s="2" t="str">
        <x:v>22493</x:v>
      </x:c>
      <x:c r="D644" s="2" t="str">
        <x:v>PAINT YOUR OWN CANVAS SET</x:v>
      </x:c>
      <x:c r="E644" s="11" t="n">
        <x:v>7627.919999999999</x:v>
      </x:c>
      <x:c r="F644" s="11" t="n">
        <x:v>398.1</x:v>
      </x:c>
      <x:c r="G644" s="11" t="n">
        <x:v>7229.82</x:v>
      </x:c>
      <x:c r="H644" s="23" t="n">
        <x:v>0.00037148221841209176</x:v>
      </x:c>
      <x:c r="I644" s="23" t="n">
        <x:v>0.6880634200245244</x:v>
      </x:c>
      <x:c r="J644" s="2" t="n">
        <x:v>418</x:v>
      </x:c>
      <x:c r="K644" s="2"/>
      <x:c r="L644" s="2"/>
    </x:row>
    <x:row r="645" ht="22" customHeight="1">
      <x:c r="A645" s="2"/>
      <x:c r="B645" s="2" t="n">
        <x:v>612</x:v>
      </x:c>
      <x:c r="C645" s="2" t="str">
        <x:v>22991</x:v>
      </x:c>
      <x:c r="D645" s="2" t="str">
        <x:v>GIRAFFE WOODEN RULER</x:v>
      </x:c>
      <x:c r="E645" s="11" t="n">
        <x:v>7608.79</x:v>
      </x:c>
      <x:c r="F645" s="11" t="n">
        <x:v>1185.8999999999999</x:v>
      </x:c>
      <x:c r="G645" s="11" t="n">
        <x:v>6422.889999999999</x:v>
      </x:c>
      <x:c r="H645" s="23" t="n">
        <x:v>0.0003705505811062177</x:v>
      </x:c>
      <x:c r="I645" s="23" t="n">
        <x:v>0.6884339706056306</x:v>
      </x:c>
      <x:c r="J645" s="2" t="n">
        <x:v>274</x:v>
      </x:c>
      <x:c r="K645" s="2"/>
      <x:c r="L645" s="2"/>
    </x:row>
    <x:row r="646" ht="22" customHeight="1">
      <x:c r="A646" s="2"/>
      <x:c r="B646" s="2" t="n">
        <x:v>613</x:v>
      </x:c>
      <x:c r="C646" s="2" t="str">
        <x:v>22242</x:v>
      </x:c>
      <x:c r="D646" s="2" t="str">
        <x:v>5 HOOK HANGER MAGIC TOADSTOOL</x:v>
      </x:c>
      <x:c r="E646" s="11" t="n">
        <x:v>7595.459999999999</x:v>
      </x:c>
      <x:c r="F646" s="11" t="n">
        <x:v>94.04999999999998</x:v>
      </x:c>
      <x:c r="G646" s="11" t="n">
        <x:v>7501.409999999999</x:v>
      </x:c>
      <x:c r="H646" s="23" t="n">
        <x:v>0.00036990140571221334</x:v>
      </x:c>
      <x:c r="I646" s="23" t="n">
        <x:v>0.6888038720113429</x:v>
      </x:c>
      <x:c r="J646" s="2" t="n">
        <x:v>368</x:v>
      </x:c>
      <x:c r="K646" s="2"/>
      <x:c r="L646" s="2"/>
    </x:row>
    <x:row r="647" ht="22" customHeight="1">
      <x:c r="A647" s="2"/>
      <x:c r="B647" s="2" t="n">
        <x:v>614</x:v>
      </x:c>
      <x:c r="C647" s="2" t="str">
        <x:v>85065</x:v>
      </x:c>
      <x:c r="D647" s="2" t="str">
        <x:v>CREAM SWEETHEART TRAYS</x:v>
      </x:c>
      <x:c r="E647" s="11" t="n">
        <x:v>7575.44</x:v>
      </x:c>
      <x:c r="F647" s="11" t="n">
        <x:v>377.8</x:v>
      </x:c>
      <x:c r="G647" s="11" t="n">
        <x:v>7197.64</x:v>
      </x:c>
      <x:c r="H647" s="23" t="n">
        <x:v>0.00036892642511296615</x:v>
      </x:c>
      <x:c r="I647" s="23" t="n">
        <x:v>0.6891727984364558</x:v>
      </x:c>
      <x:c r="J647" s="2" t="n">
        <x:v>256</x:v>
      </x:c>
      <x:c r="K647" s="2"/>
      <x:c r="L647" s="2"/>
    </x:row>
    <x:row r="648" ht="22" customHeight="1">
      <x:c r="A648" s="2"/>
      <x:c r="B648" s="2" t="n">
        <x:v>615</x:v>
      </x:c>
      <x:c r="C648" s="2" t="str">
        <x:v>22360</x:v>
      </x:c>
      <x:c r="D648" s="2" t="str">
        <x:v>GLASS JAR ENGLISH CONFECTIONERY</x:v>
      </x:c>
      <x:c r="E648" s="11" t="n">
        <x:v>7567.95</x:v>
      </x:c>
      <x:c r="F648" s="11" t="n">
        <x:v>527.4</x:v>
      </x:c>
      <x:c r="G648" s="11" t="n">
        <x:v>7040.55</x:v>
      </x:c>
      <x:c r="H648" s="23" t="n">
        <x:v>0.000368561659644017</x:v>
      </x:c>
      <x:c r="I648" s="23" t="n">
        <x:v>0.6895413600960999</x:v>
      </x:c>
      <x:c r="J648" s="2" t="n">
        <x:v>425</x:v>
      </x:c>
      <x:c r="K648" s="2"/>
      <x:c r="L648" s="2"/>
    </x:row>
    <x:row r="649" ht="22" customHeight="1">
      <x:c r="A649" s="2"/>
      <x:c r="B649" s="2" t="n">
        <x:v>616</x:v>
      </x:c>
      <x:c r="C649" s="2" t="str">
        <x:v>22489</x:v>
      </x:c>
      <x:c r="D649" s="2" t="str">
        <x:v>PACK OF 12 TRADITIONAL CRAYONS</x:v>
      </x:c>
      <x:c r="E649" s="11" t="n">
        <x:v>7559.59</x:v>
      </x:c>
      <x:c r="F649" s="11" t="n">
        <x:v>128.88</x:v>
      </x:c>
      <x:c r="G649" s="11" t="n">
        <x:v>7430.71</x:v>
      </x:c>
      <x:c r="H649" s="23" t="n">
        <x:v>0.0003681545248882874</x:v>
      </x:c>
      <x:c r="I649" s="23" t="n">
        <x:v>0.6899095146209882</x:v>
      </x:c>
      <x:c r="J649" s="2" t="n">
        <x:v>785</x:v>
      </x:c>
      <x:c r="K649" s="2"/>
      <x:c r="L649" s="2"/>
    </x:row>
    <x:row r="650" ht="22" customHeight="1">
      <x:c r="A650" s="2"/>
      <x:c r="B650" s="2" t="n">
        <x:v>617</x:v>
      </x:c>
      <x:c r="C650" s="2" t="str">
        <x:v>22224</x:v>
      </x:c>
      <x:c r="D650" s="2" t="str">
        <x:v>WHITE LOVEBIRD LANTERN</x:v>
      </x:c>
      <x:c r="E650" s="11" t="n">
        <x:v>7530.89</x:v>
      </x:c>
      <x:c r="F650" s="11" t="n">
        <x:v>64.9</x:v>
      </x:c>
      <x:c r="G650" s="11" t="n">
        <x:v>7465.990000000001</x:v>
      </x:c>
      <x:c r="H650" s="23" t="n">
        <x:v>0.00036675682542782807</x:v>
      </x:c>
      <x:c r="I650" s="23" t="n">
        <x:v>0.690276271446416</x:v>
      </x:c>
      <x:c r="J650" s="2" t="n">
        <x:v>401</x:v>
      </x:c>
      <x:c r="K650" s="2"/>
      <x:c r="L650" s="2"/>
    </x:row>
    <x:row r="651" ht="22" customHeight="1">
      <x:c r="A651" s="2"/>
      <x:c r="B651" s="2" t="n">
        <x:v>618</x:v>
      </x:c>
      <x:c r="C651" s="2" t="str">
        <x:v>21463</x:v>
      </x:c>
      <x:c r="D651" s="2" t="str">
        <x:v>MIRRORED DISCO BALL </x:v>
      </x:c>
      <x:c r="E651" s="11" t="n">
        <x:v>7520.51</x:v>
      </x:c>
      <x:c r="F651" s="11" t="n">
        <x:v>397.35</x:v>
      </x:c>
      <x:c r="G651" s="11" t="n">
        <x:v>7123.160000000001</x:v>
      </x:c>
      <x:c r="H651" s="23" t="n">
        <x:v>0.00036625131600624033</x:v>
      </x:c>
      <x:c r="I651" s="23" t="n">
        <x:v>0.6906425227624222</x:v>
      </x:c>
      <x:c r="J651" s="2" t="n">
        <x:v>302</x:v>
      </x:c>
      <x:c r="K651" s="2"/>
      <x:c r="L651" s="2"/>
    </x:row>
    <x:row r="652" ht="22" customHeight="1">
      <x:c r="A652" s="2"/>
      <x:c r="B652" s="2" t="n">
        <x:v>619</x:v>
      </x:c>
      <x:c r="C652" s="2" t="str">
        <x:v>85064</x:v>
      </x:c>
      <x:c r="D652" s="2" t="str">
        <x:v>CREAM SWEETHEART LETTER RACK</x:v>
      </x:c>
      <x:c r="E652" s="11" t="n">
        <x:v>7514.86</x:v>
      </x:c>
      <x:c r="F652" s="11" t="n">
        <x:v>20.200000000000003</x:v>
      </x:c>
      <x:c r="G652" s="11" t="n">
        <x:v>7494.66</x:v>
      </x:c>
      <x:c r="H652" s="23" t="n">
        <x:v>0.0003659761591438154</x:v>
      </x:c>
      <x:c r="I652" s="23" t="n">
        <x:v>0.691008498921566</x:v>
      </x:c>
      <x:c r="J652" s="2" t="n">
        <x:v>279</x:v>
      </x:c>
      <x:c r="K652" s="2"/>
      <x:c r="L652" s="2"/>
    </x:row>
    <x:row r="653" ht="22" customHeight="1">
      <x:c r="A653" s="2"/>
      <x:c r="B653" s="2" t="n">
        <x:v>620</x:v>
      </x:c>
      <x:c r="C653" s="2" t="str">
        <x:v>22199</x:v>
      </x:c>
      <x:c r="D653" s="2" t="str">
        <x:v>FRYING PAN RED RETROSPOT</x:v>
      </x:c>
      <x:c r="E653" s="11" t="n">
        <x:v>7485.85</x:v>
      </x:c>
      <x:c r="F653" s="11" t="n">
        <x:v>1066.75</x:v>
      </x:c>
      <x:c r="G653" s="11" t="n">
        <x:v>6419.1</x:v>
      </x:c>
      <x:c r="H653" s="23" t="n">
        <x:v>0.0003645633625811699</x:v>
      </x:c>
      <x:c r="I653" s="23" t="n">
        <x:v>0.6913730622841472</x:v>
      </x:c>
      <x:c r="J653" s="2" t="n">
        <x:v>405</x:v>
      </x:c>
      <x:c r="K653" s="2"/>
      <x:c r="L653" s="2"/>
    </x:row>
    <x:row r="654" ht="22" customHeight="1">
      <x:c r="A654" s="2"/>
      <x:c r="B654" s="2" t="n">
        <x:v>621</x:v>
      </x:c>
      <x:c r="C654" s="2" t="str">
        <x:v>82580</x:v>
      </x:c>
      <x:c r="D654" s="2" t="str">
        <x:v>BATHROOM METAL SIGN</x:v>
      </x:c>
      <x:c r="E654" s="11" t="n">
        <x:v>7471.72</x:v>
      </x:c>
      <x:c r="F654" s="11" t="n">
        <x:v>129.49</x:v>
      </x:c>
      <x:c r="G654" s="11" t="n">
        <x:v>7342.2300000000005</x:v>
      </x:c>
      <x:c r="H654" s="23" t="n">
        <x:v>0.00036387522692345946</x:v>
      </x:c>
      <x:c r="I654" s="23" t="n">
        <x:v>0.6917369375110707</x:v>
      </x:c>
      <x:c r="J654" s="2" t="n">
        <x:v>1336</x:v>
      </x:c>
      <x:c r="K654" s="2"/>
      <x:c r="L654" s="2"/>
    </x:row>
    <x:row r="655" ht="22" customHeight="1">
      <x:c r="A655" s="2"/>
      <x:c r="B655" s="2" t="n">
        <x:v>622</x:v>
      </x:c>
      <x:c r="C655" s="2" t="str">
        <x:v>21746</x:v>
      </x:c>
      <x:c r="D655" s="2" t="str">
        <x:v>SMALL RED RETROSPOT WINDMILL</x:v>
      </x:c>
      <x:c r="E655" s="11" t="n">
        <x:v>7469.59</x:v>
      </x:c>
      <x:c r="F655" s="11" t="n">
        <x:v>72.5</x:v>
      </x:c>
      <x:c r="G655" s="11" t="n">
        <x:v>7397.09</x:v>
      </x:c>
      <x:c r="H655" s="23" t="n">
        <x:v>0.00036377149522134173</x:v>
      </x:c>
      <x:c r="I655" s="23" t="n">
        <x:v>0.6921007090062921</x:v>
      </x:c>
      <x:c r="J655" s="2" t="n">
        <x:v>488</x:v>
      </x:c>
      <x:c r="K655" s="2"/>
      <x:c r="L655" s="2"/>
    </x:row>
    <x:row r="656" ht="22" customHeight="1">
      <x:c r="A656" s="2"/>
      <x:c r="B656" s="2" t="n">
        <x:v>623</x:v>
      </x:c>
      <x:c r="C656" s="2" t="str">
        <x:v>21361</x:v>
      </x:c>
      <x:c r="D656" s="2" t="str">
        <x:v>LOVE LARGE WOOD LETTERS </x:v>
      </x:c>
      <x:c r="E656" s="11" t="n">
        <x:v>7450.99</x:v>
      </x:c>
      <x:c r="F656" s="11" t="n">
        <x:v>202.2</x:v>
      </x:c>
      <x:c r="G656" s="11" t="n">
        <x:v>7248.79</x:v>
      </x:c>
      <x:c r="H656" s="23" t="n">
        <x:v>0.00036286566909017295</x:v>
      </x:c>
      <x:c r="I656" s="23" t="n">
        <x:v>0.6924635746753822</x:v>
      </x:c>
      <x:c r="J656" s="2" t="n">
        <x:v>286</x:v>
      </x:c>
      <x:c r="K656" s="2"/>
      <x:c r="L656" s="2"/>
    </x:row>
    <x:row r="657" ht="22" customHeight="1">
      <x:c r="A657" s="2"/>
      <x:c r="B657" s="2" t="n">
        <x:v>624</x:v>
      </x:c>
      <x:c r="C657" s="2" t="str">
        <x:v>22739</x:v>
      </x:c>
      <x:c r="D657" s="2" t="str">
        <x:v>RIBBON REEL CHRISTMAS SOCK BAUBLE</x:v>
      </x:c>
      <x:c r="E657" s="11" t="n">
        <x:v>7415.19</x:v>
      </x:c>
      <x:c r="F657" s="11" t="n">
        <x:v>190.5</x:v>
      </x:c>
      <x:c r="G657" s="11" t="n">
        <x:v>7224.69</x:v>
      </x:c>
      <x:c r="H657" s="23" t="n">
        <x:v>0.0003611221972893212</x:v>
      </x:c>
      <x:c r="I657" s="23" t="n">
        <x:v>0.6928246968726716</x:v>
      </x:c>
      <x:c r="J657" s="2" t="n">
        <x:v>601</x:v>
      </x:c>
      <x:c r="K657" s="2"/>
      <x:c r="L657" s="2"/>
    </x:row>
    <x:row r="658" ht="22" customHeight="1">
      <x:c r="A658" s="2"/>
      <x:c r="B658" s="2" t="n">
        <x:v>625</x:v>
      </x:c>
      <x:c r="C658" s="2" t="str">
        <x:v>11001</x:v>
      </x:c>
      <x:c r="D658" s="2" t="str">
        <x:v>ASSTD DESIGN RACING CAR PEN</x:v>
      </x:c>
      <x:c r="E658" s="11" t="n">
        <x:v>7413.72</x:v>
      </x:c>
      <x:c r="F658" s="11" t="n">
        <x:v>1093.39</x:v>
      </x:c>
      <x:c r="G658" s="11" t="n">
        <x:v>6320.33</x:v>
      </x:c>
      <x:c r="H658" s="23" t="n">
        <x:v>0.00036105060780476113</x:v>
      </x:c>
      <x:c r="I658" s="23" t="n">
        <x:v>0.6931857474804763</x:v>
      </x:c>
      <x:c r="J658" s="2" t="n">
        <x:v>251</x:v>
      </x:c>
      <x:c r="K658" s="2"/>
      <x:c r="L658" s="2"/>
    </x:row>
    <x:row r="659" ht="22" customHeight="1">
      <x:c r="A659" s="2"/>
      <x:c r="B659" s="2" t="n">
        <x:v>626</x:v>
      </x:c>
      <x:c r="C659" s="2" t="str">
        <x:v>21737</x:v>
      </x:c>
      <x:c r="D659" s="2" t="str">
        <x:v>SET 3 WICKER LOG BASKETS</x:v>
      </x:c>
      <x:c r="E659" s="11" t="n">
        <x:v>7402.5599999999995</x:v>
      </x:c>
      <x:c r="F659" s="11" t="n">
        <x:v>0</x:v>
      </x:c>
      <x:c r="G659" s="11" t="n">
        <x:v>7402.5599999999995</x:v>
      </x:c>
      <x:c r="H659" s="23" t="n">
        <x:v>0.00036050711212605983</x:v>
      </x:c>
      <x:c r="I659" s="23" t="n">
        <x:v>0.6935462545926024</x:v>
      </x:c>
      <x:c r="J659" s="2" t="n">
        <x:v>164</x:v>
      </x:c>
      <x:c r="K659" s="2"/>
      <x:c r="L659" s="2"/>
    </x:row>
    <x:row r="660" ht="22" customHeight="1">
      <x:c r="A660" s="2"/>
      <x:c r="B660" s="2" t="n">
        <x:v>627</x:v>
      </x:c>
      <x:c r="C660" s="2" t="str">
        <x:v>72351A</x:v>
      </x:c>
      <x:c r="D660" s="2" t="str">
        <x:v>SET/6 TURQUOISE BUTTERFLY T-LIGHTS</x:v>
      </x:c>
      <x:c r="E660" s="11" t="n">
        <x:v>7402.280000000001</x:v>
      </x:c>
      <x:c r="F660" s="11" t="n">
        <x:v>67.03</x:v>
      </x:c>
      <x:c r="G660" s="11" t="n">
        <x:v>7335.25</x:v>
      </x:c>
      <x:c r="H660" s="23" t="n">
        <x:v>0.0003604934760337627</x:v>
      </x:c>
      <x:c r="I660" s="23" t="n">
        <x:v>0.6939067480686362</x:v>
      </x:c>
      <x:c r="J660" s="2" t="n">
        <x:v>399</x:v>
      </x:c>
      <x:c r="K660" s="2"/>
      <x:c r="L660" s="2"/>
    </x:row>
    <x:row r="661" ht="22" customHeight="1">
      <x:c r="A661" s="2"/>
      <x:c r="B661" s="2" t="n">
        <x:v>628</x:v>
      </x:c>
      <x:c r="C661" s="2" t="str">
        <x:v>22945</x:v>
      </x:c>
      <x:c r="D661" s="2" t="str">
        <x:v>CHRISTMAS METAL TAGS ASSORTED </x:v>
      </x:c>
      <x:c r="E661" s="11" t="n">
        <x:v>7386.099999999999</x:v>
      </x:c>
      <x:c r="F661" s="11" t="n">
        <x:v>210.77999999999997</x:v>
      </x:c>
      <x:c r="G661" s="11" t="n">
        <x:v>7175.32</x:v>
      </x:c>
      <x:c r="H661" s="23" t="n">
        <x:v>0.0003597055047003051</x:v>
      </x:c>
      <x:c r="I661" s="23" t="n">
        <x:v>0.6942664535733365</x:v>
      </x:c>
      <x:c r="J661" s="2" t="n">
        <x:v>338</x:v>
      </x:c>
      <x:c r="K661" s="2"/>
      <x:c r="L661" s="2"/>
    </x:row>
    <x:row r="662" ht="22" customHeight="1">
      <x:c r="A662" s="2"/>
      <x:c r="B662" s="2" t="n">
        <x:v>629</x:v>
      </x:c>
      <x:c r="C662" s="2" t="str">
        <x:v>21114</x:v>
      </x:c>
      <x:c r="D662" s="2" t="str">
        <x:v>LAVENDER SCENTED FABRIC HEART</x:v>
      </x:c>
      <x:c r="E662" s="11" t="n">
        <x:v>7368.64</x:v>
      </x:c>
      <x:c r="F662" s="11" t="n">
        <x:v>75</x:v>
      </x:c>
      <x:c r="G662" s="11" t="n">
        <x:v>7293.64</x:v>
      </x:c>
      <x:c r="H662" s="23" t="n">
        <x:v>0.00035885519694491767</x:v>
      </x:c>
      <x:c r="I662" s="23" t="n">
        <x:v>0.6946253087702814</x:v>
      </x:c>
      <x:c r="J662" s="2" t="n">
        <x:v>494</x:v>
      </x:c>
      <x:c r="K662" s="2"/>
      <x:c r="L662" s="2"/>
    </x:row>
    <x:row r="663" ht="22" customHeight="1">
      <x:c r="A663" s="2"/>
      <x:c r="B663" s="2" t="n">
        <x:v>630</x:v>
      </x:c>
      <x:c r="C663" s="2" t="str">
        <x:v>22465</x:v>
      </x:c>
      <x:c r="D663" s="2" t="str">
        <x:v>HANGING METAL STAR LANTERN</x:v>
      </x:c>
      <x:c r="E663" s="11" t="n">
        <x:v>7366.739999999999</x:v>
      </x:c>
      <x:c r="F663" s="11" t="n">
        <x:v>217.64999999999998</x:v>
      </x:c>
      <x:c r="G663" s="11" t="n">
        <x:v>7149.089999999999</x:v>
      </x:c>
      <x:c r="H663" s="23" t="n">
        <x:v>0.0003587626663186154</x:v>
      </x:c>
      <x:c r="I663" s="23" t="n">
        <x:v>0.6949840714366</x:v>
      </x:c>
      <x:c r="J663" s="2" t="n">
        <x:v>461</x:v>
      </x:c>
      <x:c r="K663" s="2"/>
      <x:c r="L663" s="2"/>
    </x:row>
    <x:row r="664" ht="22" customHeight="1">
      <x:c r="A664" s="2"/>
      <x:c r="B664" s="2" t="n">
        <x:v>631</x:v>
      </x:c>
      <x:c r="C664" s="2" t="str">
        <x:v>21876</x:v>
      </x:c>
      <x:c r="D664" s="2" t="str">
        <x:v>POTTERING MUG</x:v>
      </x:c>
      <x:c r="E664" s="11" t="n">
        <x:v>7364.15</x:v>
      </x:c>
      <x:c r="F664" s="11" t="n">
        <x:v>112.39999999999999</x:v>
      </x:c>
      <x:c r="G664" s="11" t="n">
        <x:v>7251.75</x:v>
      </x:c>
      <x:c r="H664" s="23" t="n">
        <x:v>0.00035863653246486665</x:v>
      </x:c>
      <x:c r="I664" s="23" t="n">
        <x:v>0.6953427079690648</x:v>
      </x:c>
      <x:c r="J664" s="2" t="n">
        <x:v>623</x:v>
      </x:c>
      <x:c r="K664" s="2"/>
      <x:c r="L664" s="2"/>
    </x:row>
    <x:row r="665" ht="22" customHeight="1">
      <x:c r="A665" s="2"/>
      <x:c r="B665" s="2" t="n">
        <x:v>632</x:v>
      </x:c>
      <x:c r="C665" s="2" t="str">
        <x:v>23382</x:v>
      </x:c>
      <x:c r="D665" s="2" t="str">
        <x:v>BOX OF 6 CHRISTMAS CAKE DECORATIONS</x:v>
      </x:c>
      <x:c r="E665" s="11" t="n">
        <x:v>7356.18</x:v>
      </x:c>
      <x:c r="F665" s="11" t="n">
        <x:v>63.75</x:v>
      </x:c>
      <x:c r="G665" s="11" t="n">
        <x:v>7292.43</x:v>
      </x:c>
      <x:c r="H665" s="23" t="n">
        <x:v>0.00035824839083769384</x:v>
      </x:c>
      <x:c r="I665" s="23" t="n">
        <x:v>0.6957009563599025</x:v>
      </x:c>
      <x:c r="J665" s="2" t="n">
        <x:v>220</x:v>
      </x:c>
      <x:c r="K665" s="2"/>
      <x:c r="L665" s="2"/>
    </x:row>
    <x:row r="666" ht="22" customHeight="1">
      <x:c r="A666" s="2"/>
      <x:c r="B666" s="2" t="n">
        <x:v>633</x:v>
      </x:c>
      <x:c r="C666" s="2" t="str">
        <x:v>22798</x:v>
      </x:c>
      <x:c r="D666" s="2" t="str">
        <x:v>ANTIQUE GLASS DRESSING TABLE POT</x:v>
      </x:c>
      <x:c r="E666" s="11" t="n">
        <x:v>7350.84</x:v>
      </x:c>
      <x:c r="F666" s="11" t="n">
        <x:v>153.4</x:v>
      </x:c>
      <x:c r="G666" s="11" t="n">
        <x:v>7197.4400000000005</x:v>
      </x:c>
      <x:c r="H666" s="23" t="n">
        <x:v>0.00035798833107745506</x:v>
      </x:c>
      <x:c r="I666" s="23" t="n">
        <x:v>0.69605894469098</x:v>
      </x:c>
      <x:c r="J666" s="2" t="n">
        <x:v>356</x:v>
      </x:c>
      <x:c r="K666" s="2"/>
      <x:c r="L666" s="2"/>
    </x:row>
    <x:row r="667" ht="22" customHeight="1">
      <x:c r="A667" s="2"/>
      <x:c r="B667" s="2" t="n">
        <x:v>634</x:v>
      </x:c>
      <x:c r="C667" s="2" t="str">
        <x:v>21561</x:v>
      </x:c>
      <x:c r="D667" s="2" t="str">
        <x:v>DINOSAUR LUNCH BOX WITH CUTLERY</x:v>
      </x:c>
      <x:c r="E667" s="11" t="n">
        <x:v>7331.96</x:v>
      </x:c>
      <x:c r="F667" s="11" t="n">
        <x:v>7.6499999999999995</x:v>
      </x:c>
      <x:c r="G667" s="11" t="n">
        <x:v>7324.3099999999995</x:v>
      </x:c>
      <x:c r="H667" s="23" t="n">
        <x:v>0.0003570688688539891</x:v>
      </x:c>
      <x:c r="I667" s="23" t="n">
        <x:v>0.696416013559834</x:v>
      </x:c>
      <x:c r="J667" s="2" t="n">
        <x:v>522</x:v>
      </x:c>
      <x:c r="K667" s="2"/>
      <x:c r="L667" s="2"/>
    </x:row>
    <x:row r="668" ht="22" customHeight="1">
      <x:c r="A668" s="2"/>
      <x:c r="B668" s="2" t="n">
        <x:v>635</x:v>
      </x:c>
      <x:c r="C668" s="2" t="str">
        <x:v>22029</x:v>
      </x:c>
      <x:c r="D668" s="2" t="str">
        <x:v>SPACEBOY BIRTHDAY CARD</x:v>
      </x:c>
      <x:c r="E668" s="11" t="n">
        <x:v>7321.08</x:v>
      </x:c>
      <x:c r="F668" s="11" t="n">
        <x:v>25.2</x:v>
      </x:c>
      <x:c r="G668" s="11" t="n">
        <x:v>7295.88</x:v>
      </x:c>
      <x:c r="H668" s="23" t="n">
        <x:v>0.00035653900926758503</x:v>
      </x:c>
      <x:c r="I668" s="23" t="n">
        <x:v>0.6967725525691015</x:v>
      </x:c>
      <x:c r="J668" s="2" t="n">
        <x:v>1101</x:v>
      </x:c>
      <x:c r="K668" s="2"/>
      <x:c r="L668" s="2"/>
    </x:row>
    <x:row r="669" ht="22" customHeight="1">
      <x:c r="A669" s="2"/>
      <x:c r="B669" s="2" t="n">
        <x:v>636</x:v>
      </x:c>
      <x:c r="C669" s="2" t="str">
        <x:v>22282</x:v>
      </x:c>
      <x:c r="D669" s="2" t="str">
        <x:v>12 EGG HOUSE PAINTED WOOD</x:v>
      </x:c>
      <x:c r="E669" s="11" t="n">
        <x:v>7304.69</x:v>
      </x:c>
      <x:c r="F669" s="11" t="n">
        <x:v>25.5</x:v>
      </x:c>
      <x:c r="G669" s="11" t="n">
        <x:v>7279.19</x:v>
      </x:c>
      <x:c r="H669" s="23" t="n">
        <x:v>0.0003557408108649045</x:v>
      </x:c>
      <x:c r="I669" s="23" t="n">
        <x:v>0.6971282933799664</x:v>
      </x:c>
      <x:c r="J669" s="2" t="n">
        <x:v>216</x:v>
      </x:c>
      <x:c r="K669" s="2"/>
      <x:c r="L669" s="2"/>
    </x:row>
    <x:row r="670" ht="22" customHeight="1">
      <x:c r="A670" s="2"/>
      <x:c r="B670" s="2" t="n">
        <x:v>637</x:v>
      </x:c>
      <x:c r="C670" s="2" t="str">
        <x:v>22907</x:v>
      </x:c>
      <x:c r="D670" s="2" t="str">
        <x:v>PACK OF 20 NAPKINS PANTRY DESIGN</x:v>
      </x:c>
      <x:c r="E670" s="11" t="n">
        <x:v>7294.33</x:v>
      </x:c>
      <x:c r="F670" s="11" t="n">
        <x:v>167.07999999999998</x:v>
      </x:c>
      <x:c r="G670" s="11" t="n">
        <x:v>7127.25</x:v>
      </x:c>
      <x:c r="H670" s="23" t="n">
        <x:v>0.0003552362754499095</x:v>
      </x:c>
      <x:c r="I670" s="23" t="n">
        <x:v>0.6974835296554163</x:v>
      </x:c>
      <x:c r="J670" s="2" t="n">
        <x:v>829</x:v>
      </x:c>
      <x:c r="K670" s="2"/>
      <x:c r="L670" s="2"/>
    </x:row>
    <x:row r="671" ht="22" customHeight="1">
      <x:c r="A671" s="2"/>
      <x:c r="B671" s="2" t="n">
        <x:v>638</x:v>
      </x:c>
      <x:c r="C671" s="2" t="str">
        <x:v>23083</x:v>
      </x:c>
      <x:c r="D671" s="2" t="str">
        <x:v>SET 6 PAPER TABLE LANTERN STARS </x:v>
      </x:c>
      <x:c r="E671" s="11" t="n">
        <x:v>7254.650000000001</x:v>
      </x:c>
      <x:c r="F671" s="11" t="n">
        <x:v>214.17000000000002</x:v>
      </x:c>
      <x:c r="G671" s="11" t="n">
        <x:v>7040.4800000000005</x:v>
      </x:c>
      <x:c r="H671" s="23" t="n">
        <x:v>0.0003533038463700828</x:v>
      </x:c>
      <x:c r="I671" s="23" t="n">
        <x:v>0.6978368335017864</x:v>
      </x:c>
      <x:c r="J671" s="2" t="n">
        <x:v>246</x:v>
      </x:c>
      <x:c r="K671" s="2"/>
      <x:c r="L671" s="2"/>
    </x:row>
    <x:row r="672" ht="22" customHeight="1">
      <x:c r="A672" s="2"/>
      <x:c r="B672" s="2" t="n">
        <x:v>639</x:v>
      </x:c>
      <x:c r="C672" s="2" t="str">
        <x:v>85174</x:v>
      </x:c>
      <x:c r="D672" s="2" t="str">
        <x:v>S/4 CACTI CANDLES</x:v>
      </x:c>
      <x:c r="E672" s="11" t="n">
        <x:v>7252.86</x:v>
      </x:c>
      <x:c r="F672" s="11" t="n">
        <x:v>607.65</x:v>
      </x:c>
      <x:c r="G672" s="11" t="n">
        <x:v>6645.21</x:v>
      </x:c>
      <x:c r="H672" s="23" t="n">
        <x:v>0.0003532166727800402</x:v>
      </x:c>
      <x:c r="I672" s="23" t="n">
        <x:v>0.6981900501745664</x:v>
      </x:c>
      <x:c r="J672" s="2" t="n">
        <x:v>357</x:v>
      </x:c>
      <x:c r="K672" s="2"/>
      <x:c r="L672" s="2"/>
    </x:row>
    <x:row r="673" ht="22" customHeight="1">
      <x:c r="A673" s="2"/>
      <x:c r="B673" s="2" t="n">
        <x:v>640</x:v>
      </x:c>
      <x:c r="C673" s="2" t="str">
        <x:v>22414</x:v>
      </x:c>
      <x:c r="D673" s="2" t="str">
        <x:v>DOORMAT NEIGHBOURHOOD WITCH </x:v>
      </x:c>
      <x:c r="E673" s="11" t="n">
        <x:v>7211.0599999999995</x:v>
      </x:c>
      <x:c r="F673" s="11" t="n">
        <x:v>16.2</x:v>
      </x:c>
      <x:c r="G673" s="11" t="n">
        <x:v>7194.86</x:v>
      </x:c>
      <x:c r="H673" s="23" t="n">
        <x:v>0.00035118099900139206</x:v>
      </x:c>
      <x:c r="I673" s="23" t="n">
        <x:v>0.6985412311735678</x:v>
      </x:c>
      <x:c r="J673" s="2" t="n">
        <x:v>220</x:v>
      </x:c>
      <x:c r="K673" s="2"/>
      <x:c r="L673" s="2"/>
    </x:row>
    <x:row r="674" ht="22" customHeight="1">
      <x:c r="A674" s="2"/>
      <x:c r="B674" s="2" t="n">
        <x:v>641</x:v>
      </x:c>
      <x:c r="C674" s="2" t="str">
        <x:v>22626</x:v>
      </x:c>
      <x:c r="D674" s="2" t="str">
        <x:v>BLACK KITCHEN SCALES</x:v>
      </x:c>
      <x:c r="E674" s="11" t="n">
        <x:v>7209.9800000000005</x:v>
      </x:c>
      <x:c r="F674" s="11" t="n">
        <x:v>110.5</x:v>
      </x:c>
      <x:c r="G674" s="11" t="n">
        <x:v>7099.4800000000005</x:v>
      </x:c>
      <x:c r="H674" s="23" t="n">
        <x:v>0.00035112840264538874</x:v>
      </x:c>
      <x:c r="I674" s="23" t="n">
        <x:v>0.6988923595762132</x:v>
      </x:c>
      <x:c r="J674" s="2" t="n">
        <x:v>339</x:v>
      </x:c>
      <x:c r="K674" s="2"/>
      <x:c r="L674" s="2"/>
    </x:row>
    <x:row r="675" ht="22" customHeight="1">
      <x:c r="A675" s="2"/>
      <x:c r="B675" s="2" t="n">
        <x:v>642</x:v>
      </x:c>
      <x:c r="C675" s="2" t="str">
        <x:v>22577</x:v>
      </x:c>
      <x:c r="D675" s="2" t="str">
        <x:v>WOODEN HEART CHRISTMAS SCANDINAVIAN</x:v>
      </x:c>
      <x:c r="E675" s="11" t="n">
        <x:v>7157.66</x:v>
      </x:c>
      <x:c r="F675" s="11" t="n">
        <x:v>83.05</x:v>
      </x:c>
      <x:c r="G675" s="11" t="n">
        <x:v>7074.61</x:v>
      </x:c>
      <x:c r="H675" s="23" t="n">
        <x:v>0.0003485804013990043</x:v>
      </x:c>
      <x:c r="I675" s="23" t="n">
        <x:v>0.6992409399776122</x:v>
      </x:c>
      <x:c r="J675" s="2" t="n">
        <x:v>832</x:v>
      </x:c>
      <x:c r="K675" s="2"/>
      <x:c r="L675" s="2"/>
    </x:row>
    <x:row r="676" ht="22" customHeight="1">
      <x:c r="A676" s="2"/>
      <x:c r="B676" s="2" t="n">
        <x:v>643</x:v>
      </x:c>
      <x:c r="C676" s="2" t="str">
        <x:v>22827</x:v>
      </x:c>
      <x:c r="D676" s="2" t="str">
        <x:v>RUSTIC  SEVENTEEN DRAWER SIDEBOARD</x:v>
      </x:c>
      <x:c r="E676" s="11" t="n">
        <x:v>7150</x:v>
      </x:c>
      <x:c r="F676" s="11" t="n">
        <x:v>580</x:v>
      </x:c>
      <x:c r="G676" s="11" t="n">
        <x:v>6570</x:v>
      </x:c>
      <x:c r="H676" s="23" t="n">
        <x:v>0.0003482073568740176</x:v>
      </x:c>
      <x:c r="I676" s="23" t="n">
        <x:v>0.6995891473344862</x:v>
      </x:c>
      <x:c r="J676" s="2" t="n">
        <x:v>35</x:v>
      </x:c>
      <x:c r="K676" s="2"/>
      <x:c r="L676" s="2"/>
    </x:row>
    <x:row r="677" ht="22" customHeight="1">
      <x:c r="A677" s="2"/>
      <x:c r="B677" s="2" t="n">
        <x:v>644</x:v>
      </x:c>
      <x:c r="C677" s="2" t="str">
        <x:v>21981</x:v>
      </x:c>
      <x:c r="D677" s="2" t="str">
        <x:v>PACK OF 12 WOODLAND TISSUES </x:v>
      </x:c>
      <x:c r="E677" s="11" t="n">
        <x:v>7142.799999999999</x:v>
      </x:c>
      <x:c r="F677" s="11" t="n">
        <x:v>9.69</x:v>
      </x:c>
      <x:c r="G677" s="11" t="n">
        <x:v>7133.11</x:v>
      </x:c>
      <x:c r="H677" s="23" t="n">
        <x:v>0.00034785671450066194</x:v>
      </x:c>
      <x:c r="I677" s="23" t="n">
        <x:v>0.6999370040489868</x:v>
      </x:c>
      <x:c r="J677" s="2" t="n">
        <x:v>553</x:v>
      </x:c>
      <x:c r="K677" s="2"/>
      <x:c r="L677" s="2"/>
    </x:row>
    <x:row r="678" ht="22" customHeight="1">
      <x:c r="A678" s="2"/>
      <x:c r="B678" s="2" t="n">
        <x:v>645</x:v>
      </x:c>
      <x:c r="C678" s="2" t="str">
        <x:v>22644</x:v>
      </x:c>
      <x:c r="D678" s="2" t="str">
        <x:v>CERAMIC CHERRY CAKE MONEY BANK</x:v>
      </x:c>
      <x:c r="E678" s="11" t="n">
        <x:v>7120.63</x:v>
      </x:c>
      <x:c r="F678" s="11" t="n">
        <x:v>254.45</x:v>
      </x:c>
      <x:c r="G678" s="11" t="n">
        <x:v>6866.179999999999</x:v>
      </x:c>
      <x:c r="H678" s="23" t="n">
        <x:v>0.00034677702819270435</x:v>
      </x:c>
      <x:c r="I678" s="23" t="n">
        <x:v>0.7002837810771796</x:v>
      </x:c>
      <x:c r="J678" s="2" t="n">
        <x:v>610</x:v>
      </x:c>
      <x:c r="K678" s="2"/>
      <x:c r="L678" s="2"/>
    </x:row>
    <x:row r="679" ht="22" customHeight="1">
      <x:c r="A679" s="2"/>
      <x:c r="B679" s="2" t="n">
        <x:v>646</x:v>
      </x:c>
      <x:c r="C679" s="2" t="str">
        <x:v>23236</x:v>
      </x:c>
      <x:c r="D679" s="2" t="str">
        <x:v>STORAGE TIN VINTAGE DOILY </x:v>
      </x:c>
      <x:c r="E679" s="11" t="n">
        <x:v>7106.21</x:v>
      </x:c>
      <x:c r="F679" s="11" t="n">
        <x:v>95.37</x:v>
      </x:c>
      <x:c r="G679" s="11" t="n">
        <x:v>7010.84</x:v>
      </x:c>
      <x:c r="H679" s="23" t="n">
        <x:v>0.00034607476943940036</x:v>
      </x:c>
      <x:c r="I679" s="23" t="n">
        <x:v>0.700629855846619</x:v>
      </x:c>
      <x:c r="J679" s="2" t="n">
        <x:v>327</x:v>
      </x:c>
      <x:c r="K679" s="2"/>
      <x:c r="L679" s="2"/>
    </x:row>
    <x:row r="680" ht="22" customHeight="1">
      <x:c r="A680" s="2"/>
      <x:c r="B680" s="2" t="n">
        <x:v>647</x:v>
      </x:c>
      <x:c r="C680" s="2" t="str">
        <x:v>21625</x:v>
      </x:c>
      <x:c r="D680" s="2" t="str">
        <x:v>VINTAGE UNION JACK APRON</x:v>
      </x:c>
      <x:c r="E680" s="11" t="n">
        <x:v>7086.27</x:v>
      </x:c>
      <x:c r="F680" s="11" t="n">
        <x:v>0</x:v>
      </x:c>
      <x:c r="G680" s="11" t="n">
        <x:v>7086.27</x:v>
      </x:c>
      <x:c r="H680" s="23" t="n">
        <x:v>0.00034510368486652377</x:v>
      </x:c>
      <x:c r="I680" s="23" t="n">
        <x:v>0.7009749595314855</x:v>
      </x:c>
      <x:c r="J680" s="2" t="n">
        <x:v>334</x:v>
      </x:c>
      <x:c r="K680" s="2"/>
      <x:c r="L680" s="2"/>
    </x:row>
    <x:row r="681" ht="22" customHeight="1">
      <x:c r="A681" s="2"/>
      <x:c r="B681" s="2" t="n">
        <x:v>648</x:v>
      </x:c>
      <x:c r="C681" s="2" t="str">
        <x:v>23320</x:v>
      </x:c>
      <x:c r="D681" s="2" t="str">
        <x:v>GIANT 50'S CHRISTMAS CRACKER</x:v>
      </x:c>
      <x:c r="E681" s="11" t="n">
        <x:v>7072.16</x:v>
      </x:c>
      <x:c r="F681" s="11" t="n">
        <x:v>37.57</x:v>
      </x:c>
      <x:c r="G681" s="11" t="n">
        <x:v>7034.59</x:v>
      </x:c>
      <x:c r="H681" s="23" t="n">
        <x:v>0.0003444165232154059</x:v>
      </x:c>
      <x:c r="I681" s="23" t="n">
        <x:v>0.7013193760547008</x:v>
      </x:c>
      <x:c r="J681" s="2" t="n">
        <x:v>333</x:v>
      </x:c>
      <x:c r="K681" s="2"/>
      <x:c r="L681" s="2"/>
    </x:row>
    <x:row r="682" ht="22" customHeight="1">
      <x:c r="A682" s="2"/>
      <x:c r="B682" s="2" t="n">
        <x:v>649</x:v>
      </x:c>
      <x:c r="C682" s="2" t="str">
        <x:v>21700</x:v>
      </x:c>
      <x:c r="D682" s="2" t="str">
        <x:v>BIG DOUGHNUT FRIDGE MAGNETS</x:v>
      </x:c>
      <x:c r="E682" s="11" t="n">
        <x:v>7070.16</x:v>
      </x:c>
      <x:c r="F682" s="11" t="n">
        <x:v>102.85</x:v>
      </x:c>
      <x:c r="G682" s="11" t="n">
        <x:v>6967.3099999999995</x:v>
      </x:c>
      <x:c r="H682" s="23" t="n">
        <x:v>0.00034431912255614047</x:v>
      </x:c>
      <x:c r="I682" s="23" t="n">
        <x:v>0.701663695177257</x:v>
      </x:c>
      <x:c r="J682" s="2" t="n">
        <x:v>525</x:v>
      </x:c>
      <x:c r="K682" s="2"/>
      <x:c r="L682" s="2"/>
    </x:row>
    <x:row r="683" ht="22" customHeight="1">
      <x:c r="A683" s="2"/>
      <x:c r="B683" s="2" t="n">
        <x:v>650</x:v>
      </x:c>
      <x:c r="C683" s="2" t="str">
        <x:v>22781</x:v>
      </x:c>
      <x:c r="D683" s="2" t="str">
        <x:v>GUMBALL MAGAZINE RACK</x:v>
      </x:c>
      <x:c r="E683" s="11" t="n">
        <x:v>7068.2300000000005</x:v>
      </x:c>
      <x:c r="F683" s="11" t="n">
        <x:v>366.75</x:v>
      </x:c>
      <x:c r="G683" s="11" t="n">
        <x:v>6701.4800000000005</x:v>
      </x:c>
      <x:c r="H683" s="23" t="n">
        <x:v>0.00034422513091994934</x:v>
      </x:c>
      <x:c r="I683" s="23" t="n">
        <x:v>0.7020079203081769</x:v>
      </x:c>
      <x:c r="J683" s="2" t="n">
        <x:v>307</x:v>
      </x:c>
      <x:c r="K683" s="2"/>
      <x:c r="L683" s="2"/>
    </x:row>
    <x:row r="684" ht="22" customHeight="1">
      <x:c r="A684" s="2"/>
      <x:c r="B684" s="2" t="n">
        <x:v>651</x:v>
      </x:c>
      <x:c r="C684" s="2" t="str">
        <x:v>37450</x:v>
      </x:c>
      <x:c r="D684" s="2" t="str">
        <x:v>CERAMIC CAKE BOWL + HANGING CAKES</x:v>
      </x:c>
      <x:c r="E684" s="11" t="n">
        <x:v>7046.740000000001</x:v>
      </x:c>
      <x:c r="F684" s="11" t="n">
        <x:v>193.2</x:v>
      </x:c>
      <x:c r="G684" s="11" t="n">
        <x:v>6853.54</x:v>
      </x:c>
      <x:c r="H684" s="23" t="n">
        <x:v>0.000343178560836142</x:v>
      </x:c>
      <x:c r="I684" s="23" t="n">
        <x:v>0.702351098869013</x:v>
      </x:c>
      <x:c r="J684" s="2" t="n">
        <x:v>391</x:v>
      </x:c>
      <x:c r="K684" s="2"/>
      <x:c r="L684" s="2"/>
    </x:row>
    <x:row r="685" ht="22" customHeight="1">
      <x:c r="A685" s="2"/>
      <x:c r="B685" s="2" t="n">
        <x:v>652</x:v>
      </x:c>
      <x:c r="C685" s="2" t="str">
        <x:v>23215</x:v>
      </x:c>
      <x:c r="D685" s="2" t="str">
        <x:v>JINGLE BELL HEART ANTIQUE SILVER</x:v>
      </x:c>
      <x:c r="E685" s="11" t="n">
        <x:v>7044.64</x:v>
      </x:c>
      <x:c r="F685" s="11" t="n">
        <x:v>214.8</x:v>
      </x:c>
      <x:c r="G685" s="11" t="n">
        <x:v>6829.84</x:v>
      </x:c>
      <x:c r="H685" s="23" t="n">
        <x:v>0.00034307629014391323</x:v>
      </x:c>
      <x:c r="I685" s="23" t="n">
        <x:v>0.702694175159157</x:v>
      </x:c>
      <x:c r="J685" s="2" t="n">
        <x:v>210</x:v>
      </x:c>
      <x:c r="K685" s="2"/>
      <x:c r="L685" s="2"/>
    </x:row>
    <x:row r="686" ht="22" customHeight="1">
      <x:c r="A686" s="2"/>
      <x:c r="B686" s="2" t="n">
        <x:v>653</x:v>
      </x:c>
      <x:c r="C686" s="2" t="str">
        <x:v>21984</x:v>
      </x:c>
      <x:c r="D686" s="2" t="str">
        <x:v>PACK OF 12 PINK PAISLEY TISSUES </x:v>
      </x:c>
      <x:c r="E686" s="11" t="n">
        <x:v>7030.33</x:v>
      </x:c>
      <x:c r="F686" s="11" t="n">
        <x:v>41.279999999999994</x:v>
      </x:c>
      <x:c r="G686" s="11" t="n">
        <x:v>6989.05</x:v>
      </x:c>
      <x:c r="H686" s="23" t="n">
        <x:v>0.0003423793884268688</x:v>
      </x:c>
      <x:c r="I686" s="23" t="n">
        <x:v>0.7030365545475838</x:v>
      </x:c>
      <x:c r="J686" s="2" t="n">
        <x:v>432</x:v>
      </x:c>
      <x:c r="K686" s="2"/>
      <x:c r="L686" s="2"/>
    </x:row>
    <x:row r="687" ht="22" customHeight="1">
      <x:c r="A687" s="2"/>
      <x:c r="B687" s="2" t="n">
        <x:v>654</x:v>
      </x:c>
      <x:c r="C687" s="2" t="str">
        <x:v>23543</x:v>
      </x:c>
      <x:c r="D687" s="2" t="str">
        <x:v>WALL ART KEEP CALM </x:v>
      </x:c>
      <x:c r="E687" s="11" t="n">
        <x:v>7019.01</x:v>
      </x:c>
      <x:c r="F687" s="11" t="n">
        <x:v>0</x:v>
      </x:c>
      <x:c r="G687" s="11" t="n">
        <x:v>7019.01</x:v>
      </x:c>
      <x:c r="H687" s="23" t="n">
        <x:v>0.00034182810069542636</x:v>
      </x:c>
      <x:c r="I687" s="23" t="n">
        <x:v>0.7033783826482792</x:v>
      </x:c>
      <x:c r="J687" s="2" t="n">
        <x:v>103</x:v>
      </x:c>
      <x:c r="K687" s="2"/>
      <x:c r="L687" s="2"/>
    </x:row>
    <x:row r="688" ht="22" customHeight="1">
      <x:c r="A688" s="2"/>
      <x:c r="B688" s="2" t="n">
        <x:v>655</x:v>
      </x:c>
      <x:c r="C688" s="2" t="str">
        <x:v>22618</x:v>
      </x:c>
      <x:c r="D688" s="2" t="str">
        <x:v>mouldy, unsaleable.</x:v>
      </x:c>
      <x:c r="E688" s="11" t="n">
        <x:v>7004.25</x:v>
      </x:c>
      <x:c r="F688" s="11" t="n">
        <x:v>1226.07</x:v>
      </x:c>
      <x:c r="G688" s="11" t="n">
        <x:v>5778.179999999999</x:v>
      </x:c>
      <x:c r="H688" s="23" t="n">
        <x:v>0.0003411092838300472</x:v>
      </x:c>
      <x:c r="I688" s="23" t="n">
        <x:v>0.7037194919321093</x:v>
      </x:c>
      <x:c r="J688" s="2" t="n">
        <x:v>242</x:v>
      </x:c>
      <x:c r="K688" s="2"/>
      <x:c r="L688" s="2"/>
    </x:row>
    <x:row r="689" ht="22" customHeight="1">
      <x:c r="A689" s="2"/>
      <x:c r="B689" s="2" t="n">
        <x:v>656</x:v>
      </x:c>
      <x:c r="C689" s="2" t="str">
        <x:v>23283</x:v>
      </x:c>
      <x:c r="D689" s="2" t="str">
        <x:v>DOORMAT VINTAGE LEAF</x:v>
      </x:c>
      <x:c r="E689" s="11" t="n">
        <x:v>7003.38</x:v>
      </x:c>
      <x:c r="F689" s="11" t="n">
        <x:v>57.45</x:v>
      </x:c>
      <x:c r="G689" s="11" t="n">
        <x:v>6945.93</x:v>
      </x:c>
      <x:c r="H689" s="23" t="n">
        <x:v>0.0003410669145432668</x:v>
      </x:c>
      <x:c r="I689" s="23" t="n">
        <x:v>0.7040605588466525</x:v>
      </x:c>
      <x:c r="J689" s="2" t="n">
        <x:v>233</x:v>
      </x:c>
      <x:c r="K689" s="2"/>
      <x:c r="L689" s="2"/>
    </x:row>
    <x:row r="690" ht="22" customHeight="1">
      <x:c r="A690" s="2"/>
      <x:c r="B690" s="2" t="n">
        <x:v>657</x:v>
      </x:c>
      <x:c r="C690" s="2" t="str">
        <x:v>23293</x:v>
      </x:c>
      <x:c r="D690" s="2" t="str">
        <x:v>SET OF 12 FAIRY CAKE BAKING CASES</x:v>
      </x:c>
      <x:c r="E690" s="11" t="n">
        <x:v>7001.99</x:v>
      </x:c>
      <x:c r="F690" s="11" t="n">
        <x:v>26.56</x:v>
      </x:c>
      <x:c r="G690" s="11" t="n">
        <x:v>6975.429999999999</x:v>
      </x:c>
      <x:c r="H690" s="23" t="n">
        <x:v>0.00034099922108507725</x:v>
      </x:c>
      <x:c r="I690" s="23" t="n">
        <x:v>0.7044015580677376</x:v>
      </x:c>
      <x:c r="J690" s="2" t="n">
        <x:v>552</x:v>
      </x:c>
      <x:c r="K690" s="2"/>
      <x:c r="L690" s="2"/>
    </x:row>
    <x:row r="691" ht="22" customHeight="1">
      <x:c r="A691" s="2"/>
      <x:c r="B691" s="2" t="n">
        <x:v>658</x:v>
      </x:c>
      <x:c r="C691" s="2" t="str">
        <x:v>21497</x:v>
      </x:c>
      <x:c r="D691" s="2" t="str">
        <x:v>FANCY FONTS BIRTHDAY WRAP</x:v>
      </x:c>
      <x:c r="E691" s="11" t="n">
        <x:v>6999</x:v>
      </x:c>
      <x:c r="F691" s="11" t="n">
        <x:v>0</x:v>
      </x:c>
      <x:c r="G691" s="11" t="n">
        <x:v>6999</x:v>
      </x:c>
      <x:c r="H691" s="23" t="n">
        <x:v>0.0003408536070994754</x:v>
      </x:c>
      <x:c r="I691" s="23" t="n">
        <x:v>0.7047424116748371</x:v>
      </x:c>
      <x:c r="J691" s="2" t="n">
        <x:v>485</x:v>
      </x:c>
      <x:c r="K691" s="2"/>
      <x:c r="L691" s="2"/>
    </x:row>
    <x:row r="692" ht="22" customHeight="1">
      <x:c r="A692" s="2"/>
      <x:c r="B692" s="2" t="n">
        <x:v>659</x:v>
      </x:c>
      <x:c r="C692" s="2" t="str">
        <x:v>22567</x:v>
      </x:c>
      <x:c r="D692" s="2" t="str">
        <x:v>20 DOLLY PEGS RETROSPOT</x:v>
      </x:c>
      <x:c r="E692" s="11" t="n">
        <x:v>6991.53</x:v>
      </x:c>
      <x:c r="F692" s="11" t="n">
        <x:v>61.45</x:v>
      </x:c>
      <x:c r="G692" s="11" t="n">
        <x:v>6930.08</x:v>
      </x:c>
      <x:c r="H692" s="23" t="n">
        <x:v>0.0003404898156371189</x:v>
      </x:c>
      <x:c r="I692" s="23" t="n">
        <x:v>0.7050829014904743</x:v>
      </x:c>
      <x:c r="J692" s="2" t="n">
        <x:v>506</x:v>
      </x:c>
      <x:c r="K692" s="2"/>
      <x:c r="L692" s="2"/>
    </x:row>
    <x:row r="693" ht="22" customHeight="1">
      <x:c r="A693" s="2"/>
      <x:c r="B693" s="2" t="n">
        <x:v>660</x:v>
      </x:c>
      <x:c r="C693" s="2" t="str">
        <x:v>22498</x:v>
      </x:c>
      <x:c r="D693" s="2" t="str">
        <x:v>WOODEN REGATTA BUNTING</x:v>
      </x:c>
      <x:c r="E693" s="11" t="n">
        <x:v>6963.490000000001</x:v>
      </x:c>
      <x:c r="F693" s="11" t="n">
        <x:v>0</x:v>
      </x:c>
      <x:c r="G693" s="11" t="n">
        <x:v>6963.490000000001</x:v>
      </x:c>
      <x:c r="H693" s="23" t="n">
        <x:v>0.0003391242583942172</x:v>
      </x:c>
      <x:c r="I693" s="23" t="n">
        <x:v>0.7054220257488685</x:v>
      </x:c>
      <x:c r="J693" s="2" t="n">
        <x:v>381</x:v>
      </x:c>
      <x:c r="K693" s="2"/>
      <x:c r="L693" s="2"/>
    </x:row>
    <x:row r="694" ht="22" customHeight="1">
      <x:c r="A694" s="2"/>
      <x:c r="B694" s="2" t="n">
        <x:v>661</x:v>
      </x:c>
      <x:c r="C694" s="2" t="str">
        <x:v>22563</x:v>
      </x:c>
      <x:c r="D694" s="2" t="str">
        <x:v>HAPPY STENCIL CRAFT</x:v>
      </x:c>
      <x:c r="E694" s="11" t="n">
        <x:v>6956.35</x:v>
      </x:c>
      <x:c r="F694" s="11" t="n">
        <x:v>3.75</x:v>
      </x:c>
      <x:c r="G694" s="11" t="n">
        <x:v>6952.6</x:v>
      </x:c>
      <x:c r="H694" s="23" t="n">
        <x:v>0.0003387765380406395</x:v>
      </x:c>
      <x:c r="I694" s="23" t="n">
        <x:v>0.7057608022869091</x:v>
      </x:c>
      <x:c r="J694" s="2" t="n">
        <x:v>533</x:v>
      </x:c>
      <x:c r="K694" s="2"/>
      <x:c r="L694" s="2"/>
    </x:row>
    <x:row r="695" ht="22" customHeight="1">
      <x:c r="A695" s="2"/>
      <x:c r="B695" s="2" t="n">
        <x:v>662</x:v>
      </x:c>
      <x:c r="C695" s="2" t="str">
        <x:v>10002</x:v>
      </x:c>
      <x:c r="D695" s="2" t="str">
        <x:v>INFLATABLE POLITICAL GLOBE </x:v>
      </x:c>
      <x:c r="E695" s="11" t="n">
        <x:v>6946.51</x:v>
      </x:c>
      <x:c r="F695" s="11" t="n">
        <x:v>883.5500000000001</x:v>
      </x:c>
      <x:c r="G695" s="11" t="n">
        <x:v>6062.96</x:v>
      </x:c>
      <x:c r="H695" s="23" t="n">
        <x:v>0.00033829732679705344</x:v>
      </x:c>
      <x:c r="I695" s="23" t="n">
        <x:v>0.7060990996137061</x:v>
      </x:c>
      <x:c r="J695" s="2" t="n">
        <x:v>362</x:v>
      </x:c>
      <x:c r="K695" s="2"/>
      <x:c r="L695" s="2"/>
    </x:row>
    <x:row r="696" ht="22" customHeight="1">
      <x:c r="A696" s="2"/>
      <x:c r="B696" s="2" t="n">
        <x:v>663</x:v>
      </x:c>
      <x:c r="C696" s="2" t="str">
        <x:v>23254</x:v>
      </x:c>
      <x:c r="D696" s="2" t="str">
        <x:v>CHILDRENS CUTLERY DOLLY GIRL </x:v>
      </x:c>
      <x:c r="E696" s="11" t="n">
        <x:v>6932.16</x:v>
      </x:c>
      <x:c r="F696" s="11" t="n">
        <x:v>83</x:v>
      </x:c>
      <x:c r="G696" s="11" t="n">
        <x:v>6849.160000000001</x:v>
      </x:c>
      <x:c r="H696" s="23" t="n">
        <x:v>0.00033759847706682375</x:v>
      </x:c>
      <x:c r="I696" s="23" t="n">
        <x:v>0.7064366980907729</x:v>
      </x:c>
      <x:c r="J696" s="2" t="n">
        <x:v>299</x:v>
      </x:c>
      <x:c r="K696" s="2"/>
      <x:c r="L696" s="2"/>
    </x:row>
    <x:row r="697" ht="22" customHeight="1">
      <x:c r="A697" s="2"/>
      <x:c r="B697" s="2" t="n">
        <x:v>664</x:v>
      </x:c>
      <x:c r="C697" s="2" t="str">
        <x:v>22377</x:v>
      </x:c>
      <x:c r="D697" s="2" t="str">
        <x:v>BOTTLE BAG RETROSPOT </x:v>
      </x:c>
      <x:c r="E697" s="11" t="n">
        <x:v>6924.31</x:v>
      </x:c>
      <x:c r="F697" s="11" t="n">
        <x:v>116.8</x:v>
      </x:c>
      <x:c r="G697" s="11" t="n">
        <x:v>6807.51</x:v>
      </x:c>
      <x:c r="H697" s="23" t="n">
        <x:v>0.0003372161794792069</x:v>
      </x:c>
      <x:c r="I697" s="23" t="n">
        <x:v>0.7067739142702522</x:v>
      </x:c>
      <x:c r="J697" s="2" t="n">
        <x:v>435</x:v>
      </x:c>
      <x:c r="K697" s="2"/>
      <x:c r="L697" s="2"/>
    </x:row>
    <x:row r="698" ht="22" customHeight="1">
      <x:c r="A698" s="2"/>
      <x:c r="B698" s="2" t="n">
        <x:v>665</x:v>
      </x:c>
      <x:c r="C698" s="2" t="str">
        <x:v>21768</x:v>
      </x:c>
      <x:c r="D698" s="2" t="str">
        <x:v>WALL MOUNTED VINTAGE ORGANISER</x:v>
      </x:c>
      <x:c r="E698" s="11" t="n">
        <x:v>6924.04</x:v>
      </x:c>
      <x:c r="F698" s="11" t="n">
        <x:v>27.7</x:v>
      </x:c>
      <x:c r="G698" s="11" t="n">
        <x:v>6896.34</x:v>
      </x:c>
      <x:c r="H698" s="23" t="n">
        <x:v>0.000337203030390206</x:v>
      </x:c>
      <x:c r="I698" s="23" t="n">
        <x:v>0.7071111173006424</x:v>
      </x:c>
      <x:c r="J698" s="2" t="n">
        <x:v>163</x:v>
      </x:c>
      <x:c r="K698" s="2"/>
      <x:c r="L698" s="2"/>
    </x:row>
    <x:row r="699" ht="22" customHeight="1">
      <x:c r="A699" s="2"/>
      <x:c r="B699" s="2" t="n">
        <x:v>666</x:v>
      </x:c>
      <x:c r="C699" s="2" t="str">
        <x:v>21903</x:v>
      </x:c>
      <x:c r="D699" s="2" t="str">
        <x:v>MAN FLU METAL SIGN</x:v>
      </x:c>
      <x:c r="E699" s="11" t="n">
        <x:v>6923.570000000001</x:v>
      </x:c>
      <x:c r="F699" s="11" t="n">
        <x:v>33.1</x:v>
      </x:c>
      <x:c r="G699" s="11" t="n">
        <x:v>6890.47</x:v>
      </x:c>
      <x:c r="H699" s="23" t="n">
        <x:v>0.00033718014123527865</x:v>
      </x:c>
      <x:c r="I699" s="23" t="n">
        <x:v>0.7074482974418776</x:v>
      </x:c>
      <x:c r="J699" s="2" t="n">
        <x:v>407</x:v>
      </x:c>
      <x:c r="K699" s="2"/>
      <x:c r="L699" s="2"/>
    </x:row>
    <x:row r="700" ht="22" customHeight="1">
      <x:c r="A700" s="2"/>
      <x:c r="B700" s="2" t="n">
        <x:v>667</x:v>
      </x:c>
      <x:c r="C700" s="2" t="str">
        <x:v>22220</x:v>
      </x:c>
      <x:c r="D700" s="2" t="str">
        <x:v>CAKE STAND LOVEBIRD 2 TIER WHITE</x:v>
      </x:c>
      <x:c r="E700" s="11" t="n">
        <x:v>6895.389999999999</x:v>
      </x:c>
      <x:c r="F700" s="11" t="n">
        <x:v>485.7</x:v>
      </x:c>
      <x:c r="G700" s="11" t="n">
        <x:v>6409.69</x:v>
      </x:c>
      <x:c r="H700" s="23" t="n">
        <x:v>0.00033580776594622824</x:v>
      </x:c>
      <x:c r="I700" s="23" t="n">
        <x:v>0.7077841052078239</x:v>
      </x:c>
      <x:c r="J700" s="2" t="n">
        <x:v>270</x:v>
      </x:c>
      <x:c r="K700" s="2"/>
      <x:c r="L700" s="2"/>
    </x:row>
    <x:row r="701" ht="22" customHeight="1">
      <x:c r="A701" s="2"/>
      <x:c r="B701" s="2" t="n">
        <x:v>668</x:v>
      </x:c>
      <x:c r="C701" s="2" t="str">
        <x:v>22938</x:v>
      </x:c>
      <x:c r="D701" s="2" t="str">
        <x:v>CUPCAKE LACE PAPER SET 6</x:v>
      </x:c>
      <x:c r="E701" s="11" t="n">
        <x:v>6891.249999999999</x:v>
      </x:c>
      <x:c r="F701" s="11" t="n">
        <x:v>117</x:v>
      </x:c>
      <x:c r="G701" s="11" t="n">
        <x:v>6774.249999999999</x:v>
      </x:c>
      <x:c r="H701" s="23" t="n">
        <x:v>0.0003356061465815487</x:v>
      </x:c>
      <x:c r="I701" s="23" t="n">
        <x:v>0.7081197113544054</x:v>
      </x:c>
      <x:c r="J701" s="2" t="n">
        <x:v>273</x:v>
      </x:c>
      <x:c r="K701" s="2"/>
      <x:c r="L701" s="2"/>
    </x:row>
    <x:row r="702" ht="22" customHeight="1">
      <x:c r="A702" s="2"/>
      <x:c r="B702" s="2" t="n">
        <x:v>669</x:v>
      </x:c>
      <x:c r="C702" s="2" t="str">
        <x:v>22085</x:v>
      </x:c>
      <x:c r="D702" s="2" t="str">
        <x:v>PAPER CHAIN KIT SKULLS </x:v>
      </x:c>
      <x:c r="E702" s="11" t="n">
        <x:v>6886.82</x:v>
      </x:c>
      <x:c r="F702" s="11" t="n">
        <x:v>1501.75</x:v>
      </x:c>
      <x:c r="G702" s="11" t="n">
        <x:v>5385.070000000001</x:v>
      </x:c>
      <x:c r="H702" s="23" t="n">
        <x:v>0.0003353904041212758</x:v>
      </x:c>
      <x:c r="I702" s="23" t="n">
        <x:v>0.7084551017585267</x:v>
      </x:c>
      <x:c r="J702" s="2" t="n">
        <x:v>230</x:v>
      </x:c>
      <x:c r="K702" s="2"/>
      <x:c r="L702" s="2"/>
    </x:row>
    <x:row r="703" ht="22" customHeight="1">
      <x:c r="A703" s="2"/>
      <x:c r="B703" s="2" t="n">
        <x:v>670</x:v>
      </x:c>
      <x:c r="C703" s="2" t="str">
        <x:v>21563</x:v>
      </x:c>
      <x:c r="D703" s="2" t="str">
        <x:v>RED HEART SHAPE LOVE BUCKET </x:v>
      </x:c>
      <x:c r="E703" s="11" t="n">
        <x:v>6881.610000000001</x:v>
      </x:c>
      <x:c r="F703" s="11" t="n">
        <x:v>52.05</x:v>
      </x:c>
      <x:c r="G703" s="11" t="n">
        <x:v>6829.56</x:v>
      </x:c>
      <x:c r="H703" s="23" t="n">
        <x:v>0.0003351366754038893</x:v>
      </x:c>
      <x:c r="I703" s="23" t="n">
        <x:v>0.7087902384339305</x:v>
      </x:c>
      <x:c r="J703" s="2" t="n">
        <x:v>362</x:v>
      </x:c>
      <x:c r="K703" s="2"/>
      <x:c r="L703" s="2"/>
    </x:row>
    <x:row r="704" ht="22" customHeight="1">
      <x:c r="A704" s="2"/>
      <x:c r="B704" s="2" t="n">
        <x:v>671</x:v>
      </x:c>
      <x:c r="C704" s="2" t="str">
        <x:v>23109</x:v>
      </x:c>
      <x:c r="D704" s="2" t="str">
        <x:v>PACK OF SIX LED TEA LIGHTS</x:v>
      </x:c>
      <x:c r="E704" s="11" t="n">
        <x:v>6878.37</x:v>
      </x:c>
      <x:c r="F704" s="11" t="n">
        <x:v>239.04000000000002</x:v>
      </x:c>
      <x:c r="G704" s="11" t="n">
        <x:v>6639.33</x:v>
      </x:c>
      <x:c r="H704" s="23" t="n">
        <x:v>0.00033497888633587925</x:v>
      </x:c>
      <x:c r="I704" s="23" t="n">
        <x:v>0.7091252173202663</x:v>
      </x:c>
      <x:c r="J704" s="2" t="n">
        <x:v>268</x:v>
      </x:c>
      <x:c r="K704" s="2"/>
      <x:c r="L704" s="2"/>
    </x:row>
    <x:row r="705" ht="22" customHeight="1">
      <x:c r="A705" s="2"/>
      <x:c r="B705" s="2" t="n">
        <x:v>672</x:v>
      </x:c>
      <x:c r="C705" s="2" t="str">
        <x:v>85220</x:v>
      </x:c>
      <x:c r="D705" s="2" t="str">
        <x:v>SMALL FAIRY CAKE FRIDGE MAGNETS</x:v>
      </x:c>
      <x:c r="E705" s="11" t="n">
        <x:v>6875</x:v>
      </x:c>
      <x:c r="F705" s="11" t="n">
        <x:v>3645.6499999999996</x:v>
      </x:c>
      <x:c r="G705" s="11" t="n">
        <x:v>3229.35</x:v>
      </x:c>
      <x:c r="H705" s="23" t="n">
        <x:v>0.00033481476622501693</x:v>
      </x:c>
      <x:c r="I705" s="23" t="n">
        <x:v>0.7094600320864913</x:v>
      </x:c>
      <x:c r="J705" s="2" t="n">
        <x:v>5</x:v>
      </x:c>
      <x:c r="K705" s="2"/>
      <x:c r="L705" s="2"/>
    </x:row>
    <x:row r="706" ht="22" customHeight="1">
      <x:c r="A706" s="2"/>
      <x:c r="B706" s="2" t="n">
        <x:v>673</x:v>
      </x:c>
      <x:c r="C706" s="2" t="str">
        <x:v>23103</x:v>
      </x:c>
      <x:c r="D706" s="2" t="str">
        <x:v>JINGLE BELL HEART DECORATION</x:v>
      </x:c>
      <x:c r="E706" s="11" t="n">
        <x:v>6859.359999999999</x:v>
      </x:c>
      <x:c r="F706" s="11" t="n">
        <x:v>46.199999999999996</x:v>
      </x:c>
      <x:c r="G706" s="11" t="n">
        <x:v>6813.159999999999</x:v>
      </x:c>
      <x:c r="H706" s="23" t="n">
        <x:v>0.00033405309306956096</x:v>
      </x:c>
      <x:c r="I706" s="23" t="n">
        <x:v>0.7097940851795609</x:v>
      </x:c>
      <x:c r="J706" s="2" t="n">
        <x:v>365</x:v>
      </x:c>
      <x:c r="K706" s="2"/>
      <x:c r="L706" s="2"/>
    </x:row>
    <x:row r="707" ht="22" customHeight="1">
      <x:c r="A707" s="2"/>
      <x:c r="B707" s="2" t="n">
        <x:v>674</x:v>
      </x:c>
      <x:c r="C707" s="2" t="str">
        <x:v>37448</x:v>
      </x:c>
      <x:c r="D707" s="2" t="str">
        <x:v>CERAMIC CAKE DESIGN SPOTTED MUG</x:v>
      </x:c>
      <x:c r="E707" s="11" t="n">
        <x:v>6858.5</x:v>
      </x:c>
      <x:c r="F707" s="11" t="n">
        <x:v>97.86</x:v>
      </x:c>
      <x:c r="G707" s="11" t="n">
        <x:v>6760.639999999999</x:v>
      </x:c>
      <x:c r="H707" s="23" t="n">
        <x:v>0.0003340112107860769</x:v>
      </x:c>
      <x:c r="I707" s="23" t="n">
        <x:v>0.7101280963903469</x:v>
      </x:c>
      <x:c r="J707" s="2" t="n">
        <x:v>528</x:v>
      </x:c>
      <x:c r="K707" s="2"/>
      <x:c r="L707" s="2"/>
    </x:row>
    <x:row r="708" ht="22" customHeight="1">
      <x:c r="A708" s="2"/>
      <x:c r="B708" s="2" t="n">
        <x:v>675</x:v>
      </x:c>
      <x:c r="C708" s="2" t="str">
        <x:v>47502</x:v>
      </x:c>
      <x:c r="D708" s="2" t="str">
        <x:v>POLKADOT CUTLERY 24 PCS IN TRAY</x:v>
      </x:c>
      <x:c r="E708" s="11" t="n">
        <x:v>6855.75</x:v>
      </x:c>
      <x:c r="F708" s="11" t="n">
        <x:v>387.95</x:v>
      </x:c>
      <x:c r="G708" s="11" t="n">
        <x:v>6467.8</x:v>
      </x:c>
      <x:c r="H708" s="23" t="n">
        <x:v>0.0003338772848795869</x:v>
      </x:c>
      <x:c r="I708" s="23" t="n">
        <x:v>0.7104619736752265</x:v>
      </x:c>
      <x:c r="J708" s="2" t="n">
        <x:v>79</x:v>
      </x:c>
      <x:c r="K708" s="2"/>
      <x:c r="L708" s="2"/>
    </x:row>
    <x:row r="709" ht="22" customHeight="1">
      <x:c r="A709" s="2"/>
      <x:c r="B709" s="2" t="n">
        <x:v>676</x:v>
      </x:c>
      <x:c r="C709" s="2" t="str">
        <x:v>22378</x:v>
      </x:c>
      <x:c r="D709" s="2" t="str">
        <x:v>WALL TIDY RETROSPOT </x:v>
      </x:c>
      <x:c r="E709" s="11" t="n">
        <x:v>6841.21</x:v>
      </x:c>
      <x:c r="F709" s="11" t="n">
        <x:v>31.5</x:v>
      </x:c>
      <x:c r="G709" s="11" t="n">
        <x:v>6809.71</x:v>
      </x:c>
      <x:c r="H709" s="23" t="n">
        <x:v>0.000333169182086727</x:v>
      </x:c>
      <x:c r="I709" s="23" t="n">
        <x:v>0.7107951428573132</x:v>
      </x:c>
      <x:c r="J709" s="2" t="n">
        <x:v>546</x:v>
      </x:c>
      <x:c r="K709" s="2"/>
      <x:c r="L709" s="2"/>
    </x:row>
    <x:row r="710" ht="22" customHeight="1">
      <x:c r="A710" s="2"/>
      <x:c r="B710" s="2" t="n">
        <x:v>677</x:v>
      </x:c>
      <x:c r="C710" s="2" t="str">
        <x:v>22187</x:v>
      </x:c>
      <x:c r="D710" s="2" t="str">
        <x:v>GREEN CHRISTMAS TREE CARD HOLDER</x:v>
      </x:c>
      <x:c r="E710" s="11" t="n">
        <x:v>6824.95</x:v>
      </x:c>
      <x:c r="F710" s="11" t="n">
        <x:v>191.45</x:v>
      </x:c>
      <x:c r="G710" s="11" t="n">
        <x:v>6633.5</x:v>
      </x:c>
      <x:c r="H710" s="23" t="n">
        <x:v>0.0003323773147268988</x:v>
      </x:c>
      <x:c r="I710" s="23" t="n">
        <x:v>0.7111275201720401</x:v>
      </x:c>
      <x:c r="J710" s="2" t="n">
        <x:v>364</x:v>
      </x:c>
      <x:c r="K710" s="2"/>
      <x:c r="L710" s="2"/>
    </x:row>
    <x:row r="711" ht="22" customHeight="1">
      <x:c r="A711" s="2"/>
      <x:c r="B711" s="2" t="n">
        <x:v>678</x:v>
      </x:c>
      <x:c r="C711" s="2" t="str">
        <x:v>23541</x:v>
      </x:c>
      <x:c r="D711" s="2" t="str">
        <x:v>WALL ART CLASSIC PUDDINGS </x:v>
      </x:c>
      <x:c r="E711" s="11" t="n">
        <x:v>6823.91</x:v>
      </x:c>
      <x:c r="F711" s="11" t="n">
        <x:v>16.5</x:v>
      </x:c>
      <x:c r="G711" s="11" t="n">
        <x:v>6807.41</x:v>
      </x:c>
      <x:c r="H711" s="23" t="n">
        <x:v>0.00033232666638408076</x:v>
      </x:c>
      <x:c r="I711" s="23" t="n">
        <x:v>0.7114598468384241</x:v>
      </x:c>
      <x:c r="J711" s="2" t="n">
        <x:v>152</x:v>
      </x:c>
      <x:c r="K711" s="2"/>
      <x:c r="L711" s="2"/>
    </x:row>
    <x:row r="712" ht="22" customHeight="1">
      <x:c r="A712" s="2"/>
      <x:c r="B712" s="2" t="n">
        <x:v>679</x:v>
      </x:c>
      <x:c r="C712" s="2" t="str">
        <x:v>35004B</x:v>
      </x:c>
      <x:c r="D712" s="2" t="str">
        <x:v>SET OF 3 BLACK FLYING DUCKS</x:v>
      </x:c>
      <x:c r="E712" s="11" t="n">
        <x:v>6809.650000000001</x:v>
      </x:c>
      <x:c r="F712" s="11" t="n">
        <x:v>364.65000000000003</x:v>
      </x:c>
      <x:c r="G712" s="11" t="n">
        <x:v>6445</x:v>
      </x:c>
      <x:c r="H712" s="23" t="n">
        <x:v>0.0003316321996835181</x:v>
      </x:c>
      <x:c r="I712" s="23" t="n">
        <x:v>0.7117914790381077</x:v>
      </x:c>
      <x:c r="J712" s="2" t="n">
        <x:v>275</x:v>
      </x:c>
      <x:c r="K712" s="2"/>
      <x:c r="L712" s="2"/>
    </x:row>
    <x:row r="713" ht="22" customHeight="1">
      <x:c r="A713" s="2"/>
      <x:c r="B713" s="2" t="n">
        <x:v>680</x:v>
      </x:c>
      <x:c r="C713" s="2" t="str">
        <x:v>21989</x:v>
      </x:c>
      <x:c r="D713" s="2" t="str">
        <x:v>PACK OF 20 SKULL PAPER NAPKINS</x:v>
      </x:c>
      <x:c r="E713" s="11" t="n">
        <x:v>6801.75</x:v>
      </x:c>
      <x:c r="F713" s="11" t="n">
        <x:v>409.44</x:v>
      </x:c>
      <x:c r="G713" s="11" t="n">
        <x:v>6392.3099999999995</x:v>
      </x:c>
      <x:c r="H713" s="23" t="n">
        <x:v>0.0003312474670794195</x:v>
      </x:c>
      <x:c r="I713" s="23" t="n">
        <x:v>0.7121227265051872</x:v>
      </x:c>
      <x:c r="J713" s="2" t="n">
        <x:v>654</x:v>
      </x:c>
      <x:c r="K713" s="2"/>
      <x:c r="L713" s="2"/>
    </x:row>
    <x:row r="714" ht="22" customHeight="1">
      <x:c r="A714" s="2"/>
      <x:c r="B714" s="2" t="n">
        <x:v>681</x:v>
      </x:c>
      <x:c r="C714" s="2" t="str">
        <x:v>23297</x:v>
      </x:c>
      <x:c r="D714" s="2" t="str">
        <x:v>SET 40 HEART SHAPE PETIT FOUR CASES</x:v>
      </x:c>
      <x:c r="E714" s="11" t="n">
        <x:v>6792.23</x:v>
      </x:c>
      <x:c r="F714" s="11" t="n">
        <x:v>42.9</x:v>
      </x:c>
      <x:c r="G714" s="11" t="n">
        <x:v>6749.33</x:v>
      </x:c>
      <x:c r="H714" s="23" t="n">
        <x:v>0.00033078383994131585</x:v>
      </x:c>
      <x:c r="I714" s="23" t="n">
        <x:v>0.7124535103451285</x:v>
      </x:c>
      <x:c r="J714" s="2" t="n">
        <x:v>161</x:v>
      </x:c>
      <x:c r="K714" s="2"/>
      <x:c r="L714" s="2"/>
    </x:row>
    <x:row r="715" ht="22" customHeight="1">
      <x:c r="A715" s="2"/>
      <x:c r="B715" s="2" t="n">
        <x:v>682</x:v>
      </x:c>
      <x:c r="C715" s="2" t="str">
        <x:v>37500</x:v>
      </x:c>
      <x:c r="D715" s="2" t="str">
        <x:v>TEA TIME TEAPOT IN GIFT BOX</x:v>
      </x:c>
      <x:c r="E715" s="11" t="n">
        <x:v>6787.46</x:v>
      </x:c>
      <x:c r="F715" s="11" t="n">
        <x:v>119.97</x:v>
      </x:c>
      <x:c r="G715" s="11" t="n">
        <x:v>6667.49</x:v>
      </x:c>
      <x:c r="H715" s="23" t="n">
        <x:v>0.0003305515393689678</x:v>
      </x:c>
      <x:c r="I715" s="23" t="n">
        <x:v>0.7127840618844975</x:v>
      </x:c>
      <x:c r="J715" s="2" t="n">
        <x:v>263</x:v>
      </x:c>
      <x:c r="K715" s="2"/>
      <x:c r="L715" s="2"/>
    </x:row>
    <x:row r="716" ht="22" customHeight="1">
      <x:c r="A716" s="2"/>
      <x:c r="B716" s="2" t="n">
        <x:v>683</x:v>
      </x:c>
      <x:c r="C716" s="2" t="str">
        <x:v>20973</x:v>
      </x:c>
      <x:c r="D716" s="2" t="str">
        <x:v>12 PENCIL SMALL TUBE WOODLAND</x:v>
      </x:c>
      <x:c r="E716" s="11" t="n">
        <x:v>6786.3</x:v>
      </x:c>
      <x:c r="F716" s="11" t="n">
        <x:v>4.55</x:v>
      </x:c>
      <x:c r="G716" s="11" t="n">
        <x:v>6781.750000000001</x:v>
      </x:c>
      <x:c r="H716" s="23" t="n">
        <x:v>0.0003304950469865938</x:v>
      </x:c>
      <x:c r="I716" s="23" t="n">
        <x:v>0.7131145569314841</x:v>
      </x:c>
      <x:c r="J716" s="2" t="n">
        <x:v>658</x:v>
      </x:c>
      <x:c r="K716" s="2"/>
      <x:c r="L716" s="2"/>
    </x:row>
    <x:row r="717" ht="22" customHeight="1">
      <x:c r="A717" s="2"/>
      <x:c r="B717" s="2" t="n">
        <x:v>684</x:v>
      </x:c>
      <x:c r="C717" s="2" t="str">
        <x:v>22430</x:v>
      </x:c>
      <x:c r="D717" s="2" t="str">
        <x:v>ENAMEL WATERING CAN CREAM</x:v>
      </x:c>
      <x:c r="E717" s="11" t="n">
        <x:v>6786.13</x:v>
      </x:c>
      <x:c r="F717" s="11" t="n">
        <x:v>171.95000000000002</x:v>
      </x:c>
      <x:c r="G717" s="11" t="n">
        <x:v>6614.18</x:v>
      </x:c>
      <x:c r="H717" s="23" t="n">
        <x:v>0.00033048676793055623</x:v>
      </x:c>
      <x:c r="I717" s="23" t="n">
        <x:v>0.7134450436994146</x:v>
      </x:c>
      <x:c r="J717" s="2" t="n">
        <x:v>356</x:v>
      </x:c>
      <x:c r="K717" s="2"/>
      <x:c r="L717" s="2"/>
    </x:row>
    <x:row r="718" ht="22" customHeight="1">
      <x:c r="A718" s="2"/>
      <x:c r="B718" s="2" t="n">
        <x:v>685</x:v>
      </x:c>
      <x:c r="C718" s="2" t="str">
        <x:v>22311</x:v>
      </x:c>
      <x:c r="D718" s="2" t="str">
        <x:v>OFFICE MUG WARMER BLACK+SILVER </x:v>
      </x:c>
      <x:c r="E718" s="11" t="n">
        <x:v>6782.11</x:v>
      </x:c>
      <x:c r="F718" s="11" t="n">
        <x:v>33.50000000000001</x:v>
      </x:c>
      <x:c r="G718" s="11" t="n">
        <x:v>6748.61</x:v>
      </x:c>
      <x:c r="H718" s="23" t="n">
        <x:v>0.00033029099260543265</x:v>
      </x:c>
      <x:c r="I718" s="23" t="n">
        <x:v>0.71377533469202</x:v>
      </x:c>
      <x:c r="J718" s="2" t="n">
        <x:v>300</x:v>
      </x:c>
      <x:c r="K718" s="2"/>
      <x:c r="L718" s="2"/>
    </x:row>
    <x:row r="719" ht="22" customHeight="1">
      <x:c r="A719" s="2"/>
      <x:c r="B719" s="2" t="n">
        <x:v>686</x:v>
      </x:c>
      <x:c r="C719" s="2" t="str">
        <x:v>22431</x:v>
      </x:c>
      <x:c r="D719" s="2" t="str">
        <x:v>WATERING CAN BLUE ELEPHANT</x:v>
      </x:c>
      <x:c r="E719" s="11" t="n">
        <x:v>6777.37</x:v>
      </x:c>
      <x:c r="F719" s="11" t="n">
        <x:v>35.099999999999994</x:v>
      </x:c>
      <x:c r="G719" s="11" t="n">
        <x:v>6742.2699999999995</x:v>
      </x:c>
      <x:c r="H719" s="23" t="n">
        <x:v>0.0003300601530429735</x:v>
      </x:c>
      <x:c r="I719" s="23" t="n">
        <x:v>0.714105394845063</x:v>
      </x:c>
      <x:c r="J719" s="2" t="n">
        <x:v>620</x:v>
      </x:c>
      <x:c r="K719" s="2"/>
      <x:c r="L719" s="2"/>
    </x:row>
    <x:row r="720" ht="22" customHeight="1">
      <x:c r="A720" s="2"/>
      <x:c r="B720" s="2" t="n">
        <x:v>687</x:v>
      </x:c>
      <x:c r="C720" s="2" t="str">
        <x:v>22845</x:v>
      </x:c>
      <x:c r="D720" s="2" t="str">
        <x:v>VINTAGE CREAM CAT FOOD CONTAINER</x:v>
      </x:c>
      <x:c r="E720" s="11" t="n">
        <x:v>6777.3</x:v>
      </x:c>
      <x:c r="F720" s="11" t="n">
        <x:v>88.1</x:v>
      </x:c>
      <x:c r="G720" s="11" t="n">
        <x:v>6689.2</x:v>
      </x:c>
      <x:c r="H720" s="23" t="n">
        <x:v>0.00033005674401989925</x:v>
      </x:c>
      <x:c r="I720" s="23" t="n">
        <x:v>0.7144354515890828</x:v>
      </x:c>
      <x:c r="J720" s="2" t="n">
        <x:v>394</x:v>
      </x:c>
      <x:c r="K720" s="2"/>
      <x:c r="L720" s="2"/>
    </x:row>
    <x:row r="721" ht="22" customHeight="1">
      <x:c r="A721" s="2"/>
      <x:c r="B721" s="2" t="n">
        <x:v>688</x:v>
      </x:c>
      <x:c r="C721" s="2" t="str">
        <x:v>21992</x:v>
      </x:c>
      <x:c r="D721" s="2" t="str">
        <x:v>check</x:v>
      </x:c>
      <x:c r="E721" s="11" t="n">
        <x:v>6766.15</x:v>
      </x:c>
      <x:c r="F721" s="11" t="n">
        <x:v>17.700000000000003</x:v>
      </x:c>
      <x:c r="G721" s="11" t="n">
        <x:v>6748.45</x:v>
      </x:c>
      <x:c r="H721" s="23" t="n">
        <x:v>0.00032951373534449425</x:v>
      </x:c>
      <x:c r="I721" s="23" t="n">
        <x:v>0.7147649653244273</x:v>
      </x:c>
      <x:c r="J721" s="2" t="n">
        <x:v>656</x:v>
      </x:c>
      <x:c r="K721" s="2"/>
      <x:c r="L721" s="2"/>
    </x:row>
    <x:row r="722" ht="22" customHeight="1">
      <x:c r="A722" s="2"/>
      <x:c r="B722" s="2" t="n">
        <x:v>689</x:v>
      </x:c>
      <x:c r="C722" s="2" t="str">
        <x:v>22810</x:v>
      </x:c>
      <x:c r="D722" s="2" t="str">
        <x:v>SET OF 6 T-LIGHTS SNOWMEN</x:v>
      </x:c>
      <x:c r="E722" s="11" t="n">
        <x:v>6761.580000000001</x:v>
      </x:c>
      <x:c r="F722" s="11" t="n">
        <x:v>169.6</x:v>
      </x:c>
      <x:c r="G722" s="11" t="n">
        <x:v>6591.9800000000005</x:v>
      </x:c>
      <x:c r="H722" s="23" t="n">
        <x:v>0.0003292911748380728</x:v>
      </x:c>
      <x:c r="I722" s="23" t="n">
        <x:v>0.7150942564992654</x:v>
      </x:c>
      <x:c r="J722" s="2" t="n">
        <x:v>328</x:v>
      </x:c>
      <x:c r="K722" s="2"/>
      <x:c r="L722" s="2"/>
    </x:row>
    <x:row r="723" ht="22" customHeight="1">
      <x:c r="A723" s="2"/>
      <x:c r="B723" s="2" t="n">
        <x:v>690</x:v>
      </x:c>
      <x:c r="C723" s="2" t="str">
        <x:v>22575</x:v>
      </x:c>
      <x:c r="D723" s="2" t="str">
        <x:v>METAL MERRY CHRISTMAS WREATH</x:v>
      </x:c>
      <x:c r="E723" s="11" t="n">
        <x:v>6760.16</x:v>
      </x:c>
      <x:c r="F723" s="11" t="n">
        <x:v>160.5</x:v>
      </x:c>
      <x:c r="G723" s="11" t="n">
        <x:v>6599.66</x:v>
      </x:c>
      <x:c r="H723" s="23" t="n">
        <x:v>0.00032922202036999427</x:v>
      </x:c>
      <x:c r="I723" s="23" t="n">
        <x:v>0.7154234785196354</x:v>
      </x:c>
      <x:c r="J723" s="2" t="n">
        <x:v>330</x:v>
      </x:c>
      <x:c r="K723" s="2"/>
      <x:c r="L723" s="2"/>
    </x:row>
    <x:row r="724" ht="22" customHeight="1">
      <x:c r="A724" s="2"/>
      <x:c r="B724" s="2" t="n">
        <x:v>691</x:v>
      </x:c>
      <x:c r="C724" s="2" t="str">
        <x:v>23008</x:v>
      </x:c>
      <x:c r="D724" s="2" t="str">
        <x:v>DOLLY GIRL BABY GIFT SET</x:v>
      </x:c>
      <x:c r="E724" s="11" t="n">
        <x:v>6753.509999999999</x:v>
      </x:c>
      <x:c r="F724" s="11" t="n">
        <x:v>118.65</x:v>
      </x:c>
      <x:c r="G724" s="11" t="n">
        <x:v>6634.86</x:v>
      </x:c>
      <x:c r="H724" s="23" t="n">
        <x:v>0.00032889816317793654</x:v>
      </x:c>
      <x:c r="I724" s="23" t="n">
        <x:v>0.7157523766828133</x:v>
      </x:c>
      <x:c r="J724" s="2" t="n">
        <x:v>133</x:v>
      </x:c>
      <x:c r="K724" s="2"/>
      <x:c r="L724" s="2"/>
    </x:row>
    <x:row r="725" ht="22" customHeight="1">
      <x:c r="A725" s="2"/>
      <x:c r="B725" s="2" t="n">
        <x:v>692</x:v>
      </x:c>
      <x:c r="C725" s="2" t="str">
        <x:v>23229</x:v>
      </x:c>
      <x:c r="D725" s="2" t="str">
        <x:v>VINTAGE DONKEY TAIL GAME </x:v>
      </x:c>
      <x:c r="E725" s="11" t="n">
        <x:v>6739.71</x:v>
      </x:c>
      <x:c r="F725" s="11" t="n">
        <x:v>40.89</x:v>
      </x:c>
      <x:c r="G725" s="11" t="n">
        <x:v>6698.82</x:v>
      </x:c>
      <x:c r="H725" s="23" t="n">
        <x:v>0.0003282260986290049</x:v>
      </x:c>
      <x:c r="I725" s="23" t="n">
        <x:v>0.7160806027814424</x:v>
      </x:c>
      <x:c r="J725" s="2" t="n">
        <x:v>256</x:v>
      </x:c>
      <x:c r="K725" s="2"/>
      <x:c r="L725" s="2"/>
    </x:row>
    <x:row r="726" ht="22" customHeight="1">
      <x:c r="A726" s="2"/>
      <x:c r="B726" s="2" t="n">
        <x:v>693</x:v>
      </x:c>
      <x:c r="C726" s="2" t="str">
        <x:v>22432</x:v>
      </x:c>
      <x:c r="D726" s="2" t="str">
        <x:v>WATERING CAN PINK BUNNY</x:v>
      </x:c>
      <x:c r="E726" s="11" t="n">
        <x:v>6738.219999999999</x:v>
      </x:c>
      <x:c r="F726" s="11" t="n">
        <x:v>35.1</x:v>
      </x:c>
      <x:c r="G726" s="11" t="n">
        <x:v>6703.12</x:v>
      </x:c>
      <x:c r="H726" s="23" t="n">
        <x:v>0.00032815353513785214</x:v>
      </x:c>
      <x:c r="I726" s="23" t="n">
        <x:v>0.7164087563165802</x:v>
      </x:c>
      <x:c r="J726" s="2" t="n">
        <x:v>517</x:v>
      </x:c>
      <x:c r="K726" s="2"/>
      <x:c r="L726" s="2"/>
    </x:row>
    <x:row r="727" ht="22" customHeight="1">
      <x:c r="A727" s="2"/>
      <x:c r="B727" s="2" t="n">
        <x:v>694</x:v>
      </x:c>
      <x:c r="C727" s="2" t="str">
        <x:v>23480</x:v>
      </x:c>
      <x:c r="D727" s="2" t="str">
        <x:v>MINI LIGHTS WOODLAND MUSHROOMS</x:v>
      </x:c>
      <x:c r="E727" s="11" t="n">
        <x:v>6726.64</x:v>
      </x:c>
      <x:c r="F727" s="11" t="n">
        <x:v>68.1</x:v>
      </x:c>
      <x:c r="G727" s="11" t="n">
        <x:v>6658.54</x:v>
      </x:c>
      <x:c r="H727" s="23" t="n">
        <x:v>0.00032758958532070514</x:v>
      </x:c>
      <x:c r="I727" s="23" t="n">
        <x:v>0.7167363459019009</x:v>
      </x:c>
      <x:c r="J727" s="2" t="n">
        <x:v>215</x:v>
      </x:c>
      <x:c r="K727" s="2"/>
      <x:c r="L727" s="2"/>
    </x:row>
    <x:row r="728" ht="22" customHeight="1">
      <x:c r="A728" s="2"/>
      <x:c r="B728" s="2" t="n">
        <x:v>695</x:v>
      </x:c>
      <x:c r="C728" s="2" t="str">
        <x:v>22746</x:v>
      </x:c>
      <x:c r="D728" s="2" t="str">
        <x:v>POPPY'S PLAYHOUSE LIVINGROOM </x:v>
      </x:c>
      <x:c r="E728" s="11" t="n">
        <x:v>6722.35</x:v>
      </x:c>
      <x:c r="F728" s="11" t="n">
        <x:v>25.200000000000003</x:v>
      </x:c>
      <x:c r="G728" s="11" t="n">
        <x:v>6697.150000000001</x:v>
      </x:c>
      <x:c r="H728" s="23" t="n">
        <x:v>0.00032738066090658076</x:v>
      </x:c>
      <x:c r="I728" s="23" t="n">
        <x:v>0.7170637265628075</x:v>
      </x:c>
      <x:c r="J728" s="2" t="n">
        <x:v>564</x:v>
      </x:c>
      <x:c r="K728" s="2"/>
      <x:c r="L728" s="2"/>
    </x:row>
    <x:row r="729" ht="22" customHeight="1">
      <x:c r="A729" s="2"/>
      <x:c r="B729" s="2" t="n">
        <x:v>696</x:v>
      </x:c>
      <x:c r="C729" s="2" t="str">
        <x:v>23247</x:v>
      </x:c>
      <x:c r="D729" s="2" t="str">
        <x:v>BISCUIT TIN 50'S CHRISTMAS</x:v>
      </x:c>
      <x:c r="E729" s="11" t="n">
        <x:v>6715.93</x:v>
      </x:c>
      <x:c r="F729" s="11" t="n">
        <x:v>118.54000000000002</x:v>
      </x:c>
      <x:c r="G729" s="11" t="n">
        <x:v>6597.39</x:v>
      </x:c>
      <x:c r="H729" s="23" t="n">
        <x:v>0.0003270680047903386</x:v>
      </x:c>
      <x:c r="I729" s="23" t="n">
        <x:v>0.7173907945675978</x:v>
      </x:c>
      <x:c r="J729" s="2" t="n">
        <x:v>309</x:v>
      </x:c>
      <x:c r="K729" s="2"/>
      <x:c r="L729" s="2"/>
    </x:row>
    <x:row r="730" ht="22" customHeight="1">
      <x:c r="A730" s="2"/>
      <x:c r="B730" s="2" t="n">
        <x:v>697</x:v>
      </x:c>
      <x:c r="C730" s="2" t="str">
        <x:v>22221</x:v>
      </x:c>
      <x:c r="D730" s="2" t="str">
        <x:v>CAKE STAND LOVEBIRD 2 TIER PINK</x:v>
      </x:c>
      <x:c r="E730" s="11" t="n">
        <x:v>6712.28</x:v>
      </x:c>
      <x:c r="F730" s="11" t="n">
        <x:v>119.39999999999999</x:v>
      </x:c>
      <x:c r="G730" s="11" t="n">
        <x:v>6592.88</x:v>
      </x:c>
      <x:c r="H730" s="23" t="n">
        <x:v>0.00032689024858717914</x:v>
      </x:c>
      <x:c r="I730" s="23" t="n">
        <x:v>0.717717684816185</x:v>
      </x:c>
      <x:c r="J730" s="2" t="n">
        <x:v>156</x:v>
      </x:c>
      <x:c r="K730" s="2"/>
      <x:c r="L730" s="2"/>
    </x:row>
    <x:row r="731" ht="22" customHeight="1">
      <x:c r="A731" s="2"/>
      <x:c r="B731" s="2" t="n">
        <x:v>698</x:v>
      </x:c>
      <x:c r="C731" s="2" t="str">
        <x:v>22526</x:v>
      </x:c>
      <x:c r="D731" s="2" t="str">
        <x:v>WHEELBARROW FOR CHILDREN </x:v>
      </x:c>
      <x:c r="E731" s="11" t="n">
        <x:v>6702.42</x:v>
      </x:c>
      <x:c r="F731" s="11" t="n">
        <x:v>153</x:v>
      </x:c>
      <x:c r="G731" s="11" t="n">
        <x:v>6549.42</x:v>
      </x:c>
      <x:c r="H731" s="23" t="n">
        <x:v>0.0003264100633370004</x:v>
      </x:c>
      <x:c r="I731" s="23" t="n">
        <x:v>0.718044094879522</x:v>
      </x:c>
      <x:c r="J731" s="2" t="n">
        <x:v>207</x:v>
      </x:c>
      <x:c r="K731" s="2"/>
      <x:c r="L731" s="2"/>
    </x:row>
    <x:row r="732" ht="22" customHeight="1">
      <x:c r="A732" s="2"/>
      <x:c r="B732" s="2" t="n">
        <x:v>699</x:v>
      </x:c>
      <x:c r="C732" s="2" t="str">
        <x:v>22059</x:v>
      </x:c>
      <x:c r="D732" s="2" t="str">
        <x:v>CERAMIC STRAWBERRY DESIGN MUG</x:v>
      </x:c>
      <x:c r="E732" s="11" t="n">
        <x:v>6687.49</x:v>
      </x:c>
      <x:c r="F732" s="11" t="n">
        <x:v>96.85</x:v>
      </x:c>
      <x:c r="G732" s="11" t="n">
        <x:v>6590.639999999999</x:v>
      </x:c>
      <x:c r="H732" s="23" t="n">
        <x:v>0.0003256829674155838</x:v>
      </x:c>
      <x:c r="I732" s="23" t="n">
        <x:v>0.7183697778469376</x:v>
      </x:c>
      <x:c r="J732" s="2" t="n">
        <x:v>458</x:v>
      </x:c>
      <x:c r="K732" s="2"/>
      <x:c r="L732" s="2"/>
    </x:row>
    <x:row r="733" ht="22" customHeight="1">
      <x:c r="A733" s="2"/>
      <x:c r="B733" s="2" t="n">
        <x:v>700</x:v>
      </x:c>
      <x:c r="C733" s="2" t="str">
        <x:v>85047</x:v>
      </x:c>
      <x:c r="D733" s="2" t="str">
        <x:v>WHITE BEADED GARLAND STRING 20LIGHT</x:v>
      </x:c>
      <x:c r="E733" s="11" t="n">
        <x:v>6683.379999999999</x:v>
      </x:c>
      <x:c r="F733" s="11" t="n">
        <x:v>450.7</x:v>
      </x:c>
      <x:c r="G733" s="11" t="n">
        <x:v>6232.679999999999</x:v>
      </x:c>
      <x:c r="H733" s="23" t="n">
        <x:v>0.0003254828090607932</x:v>
      </x:c>
      <x:c r="I733" s="23" t="n">
        <x:v>0.7186952606559983</x:v>
      </x:c>
      <x:c r="J733" s="2" t="n">
        <x:v>236</x:v>
      </x:c>
      <x:c r="K733" s="2"/>
      <x:c r="L733" s="2"/>
    </x:row>
    <x:row r="734" ht="22" customHeight="1">
      <x:c r="A734" s="2"/>
      <x:c r="B734" s="2" t="n">
        <x:v>701</x:v>
      </x:c>
      <x:c r="C734" s="2" t="str">
        <x:v>23169</x:v>
      </x:c>
      <x:c r="D734" s="2" t="str">
        <x:v>smashed</x:v>
      </x:c>
      <x:c r="E734" s="11" t="n">
        <x:v>6671.14</x:v>
      </x:c>
      <x:c r="F734" s="11" t="n">
        <x:v>379.15000000000003</x:v>
      </x:c>
      <x:c r="G734" s="11" t="n">
        <x:v>6291.990000000001</x:v>
      </x:c>
      <x:c r="H734" s="23" t="n">
        <x:v>0.00032488671702608866</x:v>
      </x:c>
      <x:c r="I734" s="23" t="n">
        <x:v>0.7190201473730244</x:v>
      </x:c>
      <x:c r="J734" s="2" t="n">
        <x:v>314</x:v>
      </x:c>
      <x:c r="K734" s="2"/>
      <x:c r="L734" s="2"/>
    </x:row>
    <x:row r="735" ht="22" customHeight="1">
      <x:c r="A735" s="2"/>
      <x:c r="B735" s="2" t="n">
        <x:v>702</x:v>
      </x:c>
      <x:c r="C735" s="2" t="str">
        <x:v>85014D</x:v>
      </x:c>
      <x:c r="D735" s="2" t="str">
        <x:v>PINK/BROWN DOTS RUFFLED UMBRELLA</x:v>
      </x:c>
      <x:c r="E735" s="11" t="n">
        <x:v>6670.4</x:v>
      </x:c>
      <x:c r="F735" s="11" t="n">
        <x:v>0</x:v>
      </x:c>
      <x:c r="G735" s="11" t="n">
        <x:v>6670.4</x:v>
      </x:c>
      <x:c r="H735" s="23" t="n">
        <x:v>0.0003248506787821604</x:v>
      </x:c>
      <x:c r="I735" s="23" t="n">
        <x:v>0.7193449980518066</x:v>
      </x:c>
      <x:c r="J735" s="2" t="n">
        <x:v>90</x:v>
      </x:c>
      <x:c r="K735" s="2"/>
      <x:c r="L735" s="2"/>
    </x:row>
    <x:row r="736" ht="22" customHeight="1">
      <x:c r="A736" s="2"/>
      <x:c r="B736" s="2" t="n">
        <x:v>703</x:v>
      </x:c>
      <x:c r="C736" s="2" t="str">
        <x:v>47599B</x:v>
      </x:c>
      <x:c r="D736" s="2" t="str">
        <x:v>BLUE PARTY BAGS </x:v>
      </x:c>
      <x:c r="E736" s="11" t="n">
        <x:v>6664.64</x:v>
      </x:c>
      <x:c r="F736" s="11" t="n">
        <x:v>343.96</x:v>
      </x:c>
      <x:c r="G736" s="11" t="n">
        <x:v>6320.68</x:v>
      </x:c>
      <x:c r="H736" s="23" t="n">
        <x:v>0.0003245701648834759</x:v>
      </x:c>
      <x:c r="I736" s="23" t="n">
        <x:v>0.7196695682166901</x:v>
      </x:c>
      <x:c r="J736" s="2" t="n">
        <x:v>286</x:v>
      </x:c>
      <x:c r="K736" s="2"/>
      <x:c r="L736" s="2"/>
    </x:row>
    <x:row r="737" ht="22" customHeight="1">
      <x:c r="A737" s="2"/>
      <x:c r="B737" s="2" t="n">
        <x:v>704</x:v>
      </x:c>
      <x:c r="C737" s="2" t="str">
        <x:v>85068</x:v>
      </x:c>
      <x:c r="D737" s="2" t="str">
        <x:v>CREAM SWEETHEART SHELF + HOOKS</x:v>
      </x:c>
      <x:c r="E737" s="11" t="n">
        <x:v>6655.1900000000005</x:v>
      </x:c>
      <x:c r="F737" s="11" t="n">
        <x:v>29.8</x:v>
      </x:c>
      <x:c r="G737" s="11" t="n">
        <x:v>6625.39</x:v>
      </x:c>
      <x:c r="H737" s="23" t="n">
        <x:v>0.0003241099467684466</x:v>
      </x:c>
      <x:c r="I737" s="23" t="n">
        <x:v>0.7199936781634586</x:v>
      </x:c>
      <x:c r="J737" s="2" t="n">
        <x:v>197</x:v>
      </x:c>
      <x:c r="K737" s="2"/>
      <x:c r="L737" s="2"/>
    </x:row>
    <x:row r="738" ht="22" customHeight="1">
      <x:c r="A738" s="2"/>
      <x:c r="B738" s="2" t="n">
        <x:v>705</x:v>
      </x:c>
      <x:c r="C738" s="2" t="str">
        <x:v>21107</x:v>
      </x:c>
      <x:c r="D738" s="2" t="str">
        <x:v>CREAM SLICE FLANNEL PINK SPOT </x:v>
      </x:c>
      <x:c r="E738" s="11" t="n">
        <x:v>6654.27</x:v>
      </x:c>
      <x:c r="F738" s="11" t="n">
        <x:v>0</x:v>
      </x:c>
      <x:c r="G738" s="11" t="n">
        <x:v>6654.27</x:v>
      </x:c>
      <x:c r="H738" s="23" t="n">
        <x:v>0.0003240651424651845</x:v>
      </x:c>
      <x:c r="I738" s="23" t="n">
        <x:v>0.7203177433059238</x:v>
      </x:c>
      <x:c r="J738" s="2" t="n">
        <x:v>313</x:v>
      </x:c>
      <x:c r="K738" s="2"/>
      <x:c r="L738" s="2"/>
    </x:row>
    <x:row r="739" ht="22" customHeight="1">
      <x:c r="A739" s="2"/>
      <x:c r="B739" s="2" t="n">
        <x:v>706</x:v>
      </x:c>
      <x:c r="C739" s="2" t="str">
        <x:v>22779</x:v>
      </x:c>
      <x:c r="D739" s="2" t="str">
        <x:v>WOODEN OWLS LIGHT GARLAND </x:v>
      </x:c>
      <x:c r="E739" s="11" t="n">
        <x:v>6648.35</x:v>
      </x:c>
      <x:c r="F739" s="11" t="n">
        <x:v>110.5</x:v>
      </x:c>
      <x:c r="G739" s="11" t="n">
        <x:v>6537.85</x:v>
      </x:c>
      <x:c r="H739" s="23" t="n">
        <x:v>0.00032377683651375877</x:v>
      </x:c>
      <x:c r="I739" s="23" t="n">
        <x:v>0.7206415201424375</x:v>
      </x:c>
      <x:c r="J739" s="2" t="n">
        <x:v>193</x:v>
      </x:c>
      <x:c r="K739" s="2"/>
      <x:c r="L739" s="2"/>
    </x:row>
    <x:row r="740" ht="22" customHeight="1">
      <x:c r="A740" s="2"/>
      <x:c r="B740" s="2" t="n">
        <x:v>707</x:v>
      </x:c>
      <x:c r="C740" s="2" t="str">
        <x:v>22661</x:v>
      </x:c>
      <x:c r="D740" s="2" t="str">
        <x:v>CHARLOTTE BAG DOLLY GIRL DESIGN</x:v>
      </x:c>
      <x:c r="E740" s="11" t="n">
        <x:v>6647.65</x:v>
      </x:c>
      <x:c r="F740" s="11" t="n">
        <x:v>13.34</x:v>
      </x:c>
      <x:c r="G740" s="11" t="n">
        <x:v>6634.3099999999995</x:v>
      </x:c>
      <x:c r="H740" s="23" t="n">
        <x:v>0.0003237427462830158</x:v>
      </x:c>
      <x:c r="I740" s="23" t="n">
        <x:v>0.7209652628887205</x:v>
      </x:c>
      <x:c r="J740" s="2" t="n">
        <x:v>631</x:v>
      </x:c>
      <x:c r="K740" s="2"/>
      <x:c r="L740" s="2"/>
    </x:row>
    <x:row r="741" ht="22" customHeight="1">
      <x:c r="A741" s="2"/>
      <x:c r="B741" s="2" t="n">
        <x:v>708</x:v>
      </x:c>
      <x:c r="C741" s="2" t="str">
        <x:v>22898</x:v>
      </x:c>
      <x:c r="D741" s="2" t="str">
        <x:v>CHILDRENS APRON APPLES DESIGN</x:v>
      </x:c>
      <x:c r="E741" s="11" t="n">
        <x:v>6627.5599999999995</x:v>
      </x:c>
      <x:c r="F741" s="11" t="n">
        <x:v>1.65</x:v>
      </x:c>
      <x:c r="G741" s="11" t="n">
        <x:v>6625.91</x:v>
      </x:c>
      <x:c r="H741" s="23" t="n">
        <x:v>0.00032276435666069427</x:v>
      </x:c>
      <x:c r="I741" s="23" t="n">
        <x:v>0.7212880272453812</x:v>
      </x:c>
      <x:c r="J741" s="2" t="n">
        <x:v>471</x:v>
      </x:c>
      <x:c r="K741" s="2"/>
      <x:c r="L741" s="2"/>
    </x:row>
    <x:row r="742" ht="22" customHeight="1">
      <x:c r="A742" s="2"/>
      <x:c r="B742" s="2" t="n">
        <x:v>709</x:v>
      </x:c>
      <x:c r="C742" s="2" t="str">
        <x:v>85175</x:v>
      </x:c>
      <x:c r="D742" s="2" t="str">
        <x:v>CACTI T-LIGHT CANDLES</x:v>
      </x:c>
      <x:c r="E742" s="11" t="n">
        <x:v>6626.42</x:v>
      </x:c>
      <x:c r="F742" s="11" t="n">
        <x:v>248.82</x:v>
      </x:c>
      <x:c r="G742" s="11" t="n">
        <x:v>6377.599999999999</x:v>
      </x:c>
      <x:c r="H742" s="23" t="n">
        <x:v>0.000322708838284913</x:v>
      </x:c>
      <x:c r="I742" s="23" t="n">
        <x:v>0.7216107360836661</x:v>
      </x:c>
      <x:c r="J742" s="2" t="n">
        <x:v>442</x:v>
      </x:c>
      <x:c r="K742" s="2"/>
      <x:c r="L742" s="2"/>
    </x:row>
    <x:row r="743" ht="22" customHeight="1">
      <x:c r="A743" s="2"/>
      <x:c r="B743" s="2" t="n">
        <x:v>710</x:v>
      </x:c>
      <x:c r="C743" s="2" t="str">
        <x:v>21592</x:v>
      </x:c>
      <x:c r="D743" s="2" t="str">
        <x:v>RETROSPOT CIGAR BOX MATCHES </x:v>
      </x:c>
      <x:c r="E743" s="11" t="n">
        <x:v>6576.6</x:v>
      </x:c>
      <x:c r="F743" s="11" t="n">
        <x:v>30</x:v>
      </x:c>
      <x:c r="G743" s="11" t="n">
        <x:v>6546.6</x:v>
      </x:c>
      <x:c r="H743" s="23" t="n">
        <x:v>0.0003202825878626104</x:v>
      </x:c>
      <x:c r="I743" s="23" t="n">
        <x:v>0.7219310186715288</x:v>
      </x:c>
      <x:c r="J743" s="2" t="n">
        <x:v>476</x:v>
      </x:c>
      <x:c r="K743" s="2"/>
      <x:c r="L743" s="2"/>
    </x:row>
    <x:row r="744" ht="22" customHeight="1">
      <x:c r="A744" s="2"/>
      <x:c r="B744" s="2" t="n">
        <x:v>711</x:v>
      </x:c>
      <x:c r="C744" s="2" t="str">
        <x:v>22080</x:v>
      </x:c>
      <x:c r="D744" s="2" t="str">
        <x:v>RIBBON REEL POLKADOTS </x:v>
      </x:c>
      <x:c r="E744" s="11" t="n">
        <x:v>6570.19</x:v>
      </x:c>
      <x:c r="F744" s="11" t="n">
        <x:v>67.65</x:v>
      </x:c>
      <x:c r="G744" s="11" t="n">
        <x:v>6502.54</x:v>
      </x:c>
      <x:c r="H744" s="23" t="n">
        <x:v>0.00031997041874966454</x:v>
      </x:c>
      <x:c r="I744" s="23" t="n">
        <x:v>0.7222509890902784</x:v>
      </x:c>
      <x:c r="J744" s="2" t="n">
        <x:v>519</x:v>
      </x:c>
      <x:c r="K744" s="2"/>
      <x:c r="L744" s="2"/>
    </x:row>
    <x:row r="745" ht="22" customHeight="1">
      <x:c r="A745" s="2"/>
      <x:c r="B745" s="2" t="n">
        <x:v>712</x:v>
      </x:c>
      <x:c r="C745" s="2" t="str">
        <x:v>16156S</x:v>
      </x:c>
      <x:c r="D745" s="2" t="str">
        <x:v>WRAP PINK FAIRY CAKES </x:v>
      </x:c>
      <x:c r="E745" s="11" t="n">
        <x:v>6558.62</x:v>
      </x:c>
      <x:c r="F745" s="11" t="n">
        <x:v>61.32</x:v>
      </x:c>
      <x:c r="G745" s="11" t="n">
        <x:v>6497.3</x:v>
      </x:c>
      <x:c r="H745" s="23" t="n">
        <x:v>0.0003194069559358139</x:v>
      </x:c>
      <x:c r="I745" s="23" t="n">
        <x:v>0.7225703960462142</x:v>
      </x:c>
      <x:c r="J745" s="2" t="n">
        <x:v>419</x:v>
      </x:c>
      <x:c r="K745" s="2"/>
      <x:c r="L745" s="2"/>
    </x:row>
    <x:row r="746" ht="22" customHeight="1">
      <x:c r="A746" s="2"/>
      <x:c r="B746" s="2" t="n">
        <x:v>713</x:v>
      </x:c>
      <x:c r="C746" s="2" t="str">
        <x:v>21240</x:v>
      </x:c>
      <x:c r="D746" s="2" t="str">
        <x:v>BLUE POLKADOT CUP</x:v>
      </x:c>
      <x:c r="E746" s="11" t="n">
        <x:v>6543.39</x:v>
      </x:c>
      <x:c r="F746" s="11" t="n">
        <x:v>37.99</x:v>
      </x:c>
      <x:c r="G746" s="11" t="n">
        <x:v>6505.4</x:v>
      </x:c>
      <x:c r="H746" s="23" t="n">
        <x:v>0.00031866524991550744</x:v>
      </x:c>
      <x:c r="I746" s="23" t="n">
        <x:v>0.7228890612961297</x:v>
      </x:c>
      <x:c r="J746" s="2" t="n">
        <x:v>769</x:v>
      </x:c>
      <x:c r="K746" s="2"/>
      <x:c r="L746" s="2"/>
    </x:row>
    <x:row r="747" ht="22" customHeight="1">
      <x:c r="A747" s="2"/>
      <x:c r="B747" s="2" t="n">
        <x:v>714</x:v>
      </x:c>
      <x:c r="C747" s="2" t="str">
        <x:v>84968A</x:v>
      </x:c>
      <x:c r="D747" s="2" t="str">
        <x:v>SET OF 16 VINTAGE ROSE CUTLERY</x:v>
      </x:c>
      <x:c r="E747" s="11" t="n">
        <x:v>6538.08</x:v>
      </x:c>
      <x:c r="F747" s="11" t="n">
        <x:v>390.29999999999995</x:v>
      </x:c>
      <x:c r="G747" s="11" t="n">
        <x:v>6147.78</x:v>
      </x:c>
      <x:c r="H747" s="23" t="n">
        <x:v>0.00031840665116515763</x:v>
      </x:c>
      <x:c r="I747" s="23" t="n">
        <x:v>0.7232074679472948</x:v>
      </x:c>
      <x:c r="J747" s="2" t="n">
        <x:v>204</x:v>
      </x:c>
      <x:c r="K747" s="2"/>
      <x:c r="L747" s="2"/>
    </x:row>
    <x:row r="748" ht="22" customHeight="1">
      <x:c r="A748" s="2"/>
      <x:c r="B748" s="2" t="n">
        <x:v>715</x:v>
      </x:c>
      <x:c r="C748" s="2" t="str">
        <x:v>21201</x:v>
      </x:c>
      <x:c r="D748" s="2" t="str">
        <x:v>TROPICAL  HONEYCOMB PAPER GARLAND </x:v>
      </x:c>
      <x:c r="E748" s="11" t="n">
        <x:v>6522.26</x:v>
      </x:c>
      <x:c r="F748" s="11" t="n">
        <x:v>33.15</x:v>
      </x:c>
      <x:c r="G748" s="11" t="n">
        <x:v>6489.110000000001</x:v>
      </x:c>
      <x:c r="H748" s="23" t="n">
        <x:v>0.00031763621195036784</x:v>
      </x:c>
      <x:c r="I748" s="23" t="n">
        <x:v>0.7235251041592452</x:v>
      </x:c>
      <x:c r="J748" s="2" t="n">
        <x:v>235</x:v>
      </x:c>
      <x:c r="K748" s="2"/>
      <x:c r="L748" s="2"/>
    </x:row>
    <x:row r="749" ht="22" customHeight="1">
      <x:c r="A749" s="2"/>
      <x:c r="B749" s="2" t="n">
        <x:v>716</x:v>
      </x:c>
      <x:c r="C749" s="2" t="str">
        <x:v>22332</x:v>
      </x:c>
      <x:c r="D749" s="2" t="str">
        <x:v>SKULLS PARTY BAG + STICKER SET</x:v>
      </x:c>
      <x:c r="E749" s="11" t="n">
        <x:v>6522.2</x:v>
      </x:c>
      <x:c r="F749" s="11" t="n">
        <x:v>669.3</x:v>
      </x:c>
      <x:c r="G749" s="11" t="n">
        <x:v>5852.9</x:v>
      </x:c>
      <x:c r="H749" s="23" t="n">
        <x:v>0.00031763328993058984</x:v>
      </x:c>
      <x:c r="I749" s="23" t="n">
        <x:v>0.7238427374491758</x:v>
      </x:c>
      <x:c r="J749" s="2" t="n">
        <x:v>381</x:v>
      </x:c>
      <x:c r="K749" s="2"/>
      <x:c r="L749" s="2"/>
    </x:row>
    <x:row r="750" ht="22" customHeight="1">
      <x:c r="A750" s="2"/>
      <x:c r="B750" s="2" t="n">
        <x:v>717</x:v>
      </x:c>
      <x:c r="C750" s="2" t="str">
        <x:v>22364</x:v>
      </x:c>
      <x:c r="D750" s="2" t="str">
        <x:v>GLASS JAR DIGESTIVE BISCUITS</x:v>
      </x:c>
      <x:c r="E750" s="11" t="n">
        <x:v>6516.31</x:v>
      </x:c>
      <x:c r="F750" s="11" t="n">
        <x:v>309.85</x:v>
      </x:c>
      <x:c r="G750" s="11" t="n">
        <x:v>6206.46</x:v>
      </x:c>
      <x:c r="H750" s="23" t="n">
        <x:v>0.0003173464449890531</x:v>
      </x:c>
      <x:c r="I750" s="23" t="n">
        <x:v>0.7241600838941649</x:v>
      </x:c>
      <x:c r="J750" s="2" t="n">
        <x:v>340</x:v>
      </x:c>
      <x:c r="K750" s="2"/>
      <x:c r="L750" s="2"/>
    </x:row>
    <x:row r="751" ht="22" customHeight="1">
      <x:c r="A751" s="2"/>
      <x:c r="B751" s="2" t="n">
        <x:v>718</x:v>
      </x:c>
      <x:c r="C751" s="2" t="str">
        <x:v>22596</x:v>
      </x:c>
      <x:c r="D751" s="2" t="str">
        <x:v>CHRISTMAS STAR WISH LIST CHALKBOARD</x:v>
      </x:c>
      <x:c r="E751" s="11" t="n">
        <x:v>6515.599999999999</x:v>
      </x:c>
      <x:c r="F751" s="11" t="n">
        <x:v>34.120000000000005</x:v>
      </x:c>
      <x:c r="G751" s="11" t="n">
        <x:v>6481.48</x:v>
      </x:c>
      <x:c r="H751" s="23" t="n">
        <x:v>0.0003173118677550138</x:v>
      </x:c>
      <x:c r="I751" s="23" t="n">
        <x:v>0.7244773957619198</x:v>
      </x:c>
      <x:c r="J751" s="2" t="n">
        <x:v>438</x:v>
      </x:c>
      <x:c r="K751" s="2"/>
      <x:c r="L751" s="2"/>
    </x:row>
    <x:row r="752" ht="22" customHeight="1">
      <x:c r="A752" s="2"/>
      <x:c r="B752" s="2" t="n">
        <x:v>719</x:v>
      </x:c>
      <x:c r="C752" s="2" t="str">
        <x:v>22148</x:v>
      </x:c>
      <x:c r="D752" s="2" t="str">
        <x:v>EASTER CRAFT 4 CHICKS </x:v>
      </x:c>
      <x:c r="E752" s="11" t="n">
        <x:v>6499.79</x:v>
      </x:c>
      <x:c r="F752" s="11" t="n">
        <x:v>101.39999999999999</x:v>
      </x:c>
      <x:c r="G752" s="11" t="n">
        <x:v>6398.39</x:v>
      </x:c>
      <x:c r="H752" s="23" t="n">
        <x:v>0.0003165419155435204</x:v>
      </x:c>
      <x:c r="I752" s="23" t="n">
        <x:v>0.7247939376774634</x:v>
      </x:c>
      <x:c r="J752" s="2" t="n">
        <x:v>299</x:v>
      </x:c>
      <x:c r="K752" s="2"/>
      <x:c r="L752" s="2"/>
    </x:row>
    <x:row r="753" ht="22" customHeight="1">
      <x:c r="A753" s="2"/>
      <x:c r="B753" s="2" t="n">
        <x:v>720</x:v>
      </x:c>
      <x:c r="C753" s="2" t="str">
        <x:v>85062</x:v>
      </x:c>
      <x:c r="D753" s="2" t="str">
        <x:v>PEARL CRYSTAL PUMPKIN T-LIGHT HLDR</x:v>
      </x:c>
      <x:c r="E753" s="11" t="n">
        <x:v>6491.98</x:v>
      </x:c>
      <x:c r="F753" s="11" t="n">
        <x:v>14.27</x:v>
      </x:c>
      <x:c r="G753" s="11" t="n">
        <x:v>6477.709999999999</x:v>
      </x:c>
      <x:c r="H753" s="23" t="n">
        <x:v>0.0003161615659690888</x:v>
      </x:c>
      <x:c r="I753" s="23" t="n">
        <x:v>0.7251100992434325</x:v>
      </x:c>
      <x:c r="J753" s="2" t="n">
        <x:v>342</x:v>
      </x:c>
      <x:c r="K753" s="2"/>
      <x:c r="L753" s="2"/>
    </x:row>
    <x:row r="754" ht="22" customHeight="1">
      <x:c r="A754" s="2"/>
      <x:c r="B754" s="2" t="n">
        <x:v>721</x:v>
      </x:c>
      <x:c r="C754" s="2" t="str">
        <x:v>23311</x:v>
      </x:c>
      <x:c r="D754" s="2" t="str">
        <x:v>VINTAGE CHRISTMAS STOCKING </x:v>
      </x:c>
      <x:c r="E754" s="11" t="n">
        <x:v>6488.2</x:v>
      </x:c>
      <x:c r="F754" s="11" t="n">
        <x:v>38.25</x:v>
      </x:c>
      <x:c r="G754" s="11" t="n">
        <x:v>6449.95</x:v>
      </x:c>
      <x:c r="H754" s="23" t="n">
        <x:v>0.0003159774787230771</x:v>
      </x:c>
      <x:c r="I754" s="23" t="n">
        <x:v>0.7254260767221555</x:v>
      </x:c>
      <x:c r="J754" s="2" t="n">
        <x:v>344</x:v>
      </x:c>
      <x:c r="K754" s="2"/>
      <x:c r="L754" s="2"/>
    </x:row>
    <x:row r="755" ht="22" customHeight="1">
      <x:c r="A755" s="2"/>
      <x:c r="B755" s="2" t="n">
        <x:v>722</x:v>
      </x:c>
      <x:c r="C755" s="2" t="str">
        <x:v>22142</x:v>
      </x:c>
      <x:c r="D755" s="2" t="str">
        <x:v>CHRISTMAS CRAFT WHITE FAIRY </x:v>
      </x:c>
      <x:c r="E755" s="11" t="n">
        <x:v>6464.24</x:v>
      </x:c>
      <x:c r="F755" s="11" t="n">
        <x:v>26.1</x:v>
      </x:c>
      <x:c r="G755" s="11" t="n">
        <x:v>6438.139999999999</x:v>
      </x:c>
      <x:c r="H755" s="23" t="n">
        <x:v>0.00031481061882507685</x:v>
      </x:c>
      <x:c r="I755" s="23" t="n">
        <x:v>0.7257408873409806</x:v>
      </x:c>
      <x:c r="J755" s="2" t="n">
        <x:v>503</x:v>
      </x:c>
      <x:c r="K755" s="2"/>
      <x:c r="L755" s="2"/>
    </x:row>
    <x:row r="756" ht="22" customHeight="1">
      <x:c r="A756" s="2"/>
      <x:c r="B756" s="2" t="n">
        <x:v>723</x:v>
      </x:c>
      <x:c r="C756" s="2" t="str">
        <x:v>23553</x:v>
      </x:c>
      <x:c r="D756" s="2" t="str">
        <x:v>LANDMARK FRAME CAMDEN TOWN </x:v>
      </x:c>
      <x:c r="E756" s="11" t="n">
        <x:v>6457.15</x:v>
      </x:c>
      <x:c r="F756" s="11" t="n">
        <x:v>0</x:v>
      </x:c>
      <x:c r="G756" s="11" t="n">
        <x:v>6457.15</x:v>
      </x:c>
      <x:c r="H756" s="23" t="n">
        <x:v>0.00031446533348798077</x:v>
      </x:c>
      <x:c r="I756" s="23" t="n">
        <x:v>0.7260553526744686</x:v>
      </x:c>
      <x:c r="J756" s="2" t="n">
        <x:v>68</x:v>
      </x:c>
      <x:c r="K756" s="2"/>
      <x:c r="L756" s="2"/>
    </x:row>
    <x:row r="757" ht="22" customHeight="1">
      <x:c r="A757" s="2"/>
      <x:c r="B757" s="2" t="n">
        <x:v>724</x:v>
      </x:c>
      <x:c r="C757" s="2" t="str">
        <x:v>21494</x:v>
      </x:c>
      <x:c r="D757" s="2" t="str">
        <x:v>ROTATING LEAVES T-LIGHT HOLDER</x:v>
      </x:c>
      <x:c r="E757" s="11" t="n">
        <x:v>6456.5</x:v>
      </x:c>
      <x:c r="F757" s="11" t="n">
        <x:v>5</x:v>
      </x:c>
      <x:c r="G757" s="11" t="n">
        <x:v>6451.5</x:v>
      </x:c>
      <x:c r="H757" s="23" t="n">
        <x:v>0.00031443367827371956</x:v>
      </x:c>
      <x:c r="I757" s="23" t="n">
        <x:v>0.7263697863527424</x:v>
      </x:c>
      <x:c r="J757" s="2" t="n">
        <x:v>501</x:v>
      </x:c>
      <x:c r="K757" s="2"/>
      <x:c r="L757" s="2"/>
    </x:row>
    <x:row r="758" ht="22" customHeight="1">
      <x:c r="A758" s="2"/>
      <x:c r="B758" s="2" t="n">
        <x:v>725</x:v>
      </x:c>
      <x:c r="C758" s="2" t="str">
        <x:v>21500</x:v>
      </x:c>
      <x:c r="D758" s="2" t="str">
        <x:v>PINK POLKADOT WRAP </x:v>
      </x:c>
      <x:c r="E758" s="11" t="n">
        <x:v>6453.5</x:v>
      </x:c>
      <x:c r="F758" s="11" t="n">
        <x:v>0</x:v>
      </x:c>
      <x:c r="G758" s="11" t="n">
        <x:v>6453.5</x:v>
      </x:c>
      <x:c r="H758" s="23" t="n">
        <x:v>0.00031428757728482135</x:v>
      </x:c>
      <x:c r="I758" s="23" t="n">
        <x:v>0.7266840739300272</x:v>
      </x:c>
      <x:c r="J758" s="2" t="n">
        <x:v>492</x:v>
      </x:c>
      <x:c r="K758" s="2"/>
      <x:c r="L758" s="2"/>
    </x:row>
    <x:row r="759" ht="22" customHeight="1">
      <x:c r="A759" s="2"/>
      <x:c r="B759" s="2" t="n">
        <x:v>726</x:v>
      </x:c>
      <x:c r="C759" s="2" t="str">
        <x:v>23188</x:v>
      </x:c>
      <x:c r="D759" s="2" t="str">
        <x:v>VINTAGE  2 METRE FOLDING RULER</x:v>
      </x:c>
      <x:c r="E759" s="11" t="n">
        <x:v>6451.07</x:v>
      </x:c>
      <x:c r="F759" s="11" t="n">
        <x:v>23.099999999999994</x:v>
      </x:c>
      <x:c r="G759" s="11" t="n">
        <x:v>6427.969999999999</x:v>
      </x:c>
      <x:c r="H759" s="23" t="n">
        <x:v>0.0003141692354838138</x:v>
      </x:c>
      <x:c r="I759" s="23" t="n">
        <x:v>0.726998243165511</x:v>
      </x:c>
      <x:c r="J759" s="2" t="n">
        <x:v>333</x:v>
      </x:c>
      <x:c r="K759" s="2"/>
      <x:c r="L759" s="2"/>
    </x:row>
    <x:row r="760" ht="22" customHeight="1">
      <x:c r="A760" s="2"/>
      <x:c r="B760" s="2" t="n">
        <x:v>727</x:v>
      </x:c>
      <x:c r="C760" s="2" t="str">
        <x:v>21239</x:v>
      </x:c>
      <x:c r="D760" s="2" t="str">
        <x:v>PINK  POLKADOT CUP</x:v>
      </x:c>
      <x:c r="E760" s="11" t="n">
        <x:v>6449.44</x:v>
      </x:c>
      <x:c r="F760" s="11" t="n">
        <x:v>44.07</x:v>
      </x:c>
      <x:c r="G760" s="11" t="n">
        <x:v>6405.37</x:v>
      </x:c>
      <x:c r="H760" s="23" t="n">
        <x:v>0.00031408985394651244</x:v>
      </x:c>
      <x:c r="I760" s="23" t="n">
        <x:v>0.7273123330194575</x:v>
      </x:c>
      <x:c r="J760" s="2" t="n">
        <x:v>751</x:v>
      </x:c>
      <x:c r="K760" s="2"/>
      <x:c r="L760" s="2"/>
    </x:row>
    <x:row r="761" ht="22" customHeight="1">
      <x:c r="A761" s="2"/>
      <x:c r="B761" s="2" t="n">
        <x:v>728</x:v>
      </x:c>
      <x:c r="C761" s="2" t="str">
        <x:v>15060B</x:v>
      </x:c>
      <x:c r="D761" s="2" t="str">
        <x:v>FAIRY CAKE DESIGN UMBRELLA</x:v>
      </x:c>
      <x:c r="E761" s="11" t="n">
        <x:v>6448.7300000000005</x:v>
      </x:c>
      <x:c r="F761" s="11" t="n">
        <x:v>42.22</x:v>
      </x:c>
      <x:c r="G761" s="11" t="n">
        <x:v>6406.51</x:v>
      </x:c>
      <x:c r="H761" s="23" t="n">
        <x:v>0.00031405527671247323</x:v>
      </x:c>
      <x:c r="I761" s="23" t="n">
        <x:v>0.72762638829617</x:v>
      </x:c>
      <x:c r="J761" s="2" t="n">
        <x:v>449</x:v>
      </x:c>
      <x:c r="K761" s="2"/>
      <x:c r="L761" s="2"/>
    </x:row>
    <x:row r="762" ht="22" customHeight="1">
      <x:c r="A762" s="2"/>
      <x:c r="B762" s="2" t="n">
        <x:v>729</x:v>
      </x:c>
      <x:c r="C762" s="2" t="str">
        <x:v>23571</x:v>
      </x:c>
      <x:c r="D762" s="2" t="str">
        <x:v>TRADITIONAL NAUGHTS &amp; CROSSES</x:v>
      </x:c>
      <x:c r="E762" s="11" t="n">
        <x:v>6436.61</x:v>
      </x:c>
      <x:c r="F762" s="11" t="n">
        <x:v>0</x:v>
      </x:c>
      <x:c r="G762" s="11" t="n">
        <x:v>6436.61</x:v>
      </x:c>
      <x:c r="H762" s="23" t="n">
        <x:v>0.00031346502871732455</x:v>
      </x:c>
      <x:c r="I762" s="23" t="n">
        <x:v>0.7279398533248873</x:v>
      </x:c>
      <x:c r="J762" s="2" t="n">
        <x:v>257</x:v>
      </x:c>
      <x:c r="K762" s="2"/>
      <x:c r="L762" s="2"/>
    </x:row>
    <x:row r="763" ht="22" customHeight="1">
      <x:c r="A763" s="2"/>
      <x:c r="B763" s="2" t="n">
        <x:v>730</x:v>
      </x:c>
      <x:c r="C763" s="2" t="str">
        <x:v>22578</x:v>
      </x:c>
      <x:c r="D763" s="2" t="str">
        <x:v>WOODEN STAR CHRISTMAS SCANDINAVIAN</x:v>
      </x:c>
      <x:c r="E763" s="11" t="n">
        <x:v>6433.98</x:v>
      </x:c>
      <x:c r="F763" s="11" t="n">
        <x:v>112.49</x:v>
      </x:c>
      <x:c r="G763" s="11" t="n">
        <x:v>6321.49</x:v>
      </x:c>
      <x:c r="H763" s="23" t="n">
        <x:v>0.00031333694685039046</x:v>
      </x:c>
      <x:c r="I763" s="23" t="n">
        <x:v>0.7282531902717377</x:v>
      </x:c>
      <x:c r="J763" s="2" t="n">
        <x:v>768</x:v>
      </x:c>
      <x:c r="K763" s="2"/>
      <x:c r="L763" s="2"/>
    </x:row>
    <x:row r="764" ht="22" customHeight="1">
      <x:c r="A764" s="2"/>
      <x:c r="B764" s="2" t="n">
        <x:v>731</x:v>
      </x:c>
      <x:c r="C764" s="2" t="str">
        <x:v>23134</x:v>
      </x:c>
      <x:c r="D764" s="2" t="str">
        <x:v>LARGE ZINC HEART WALL ORGANISER</x:v>
      </x:c>
      <x:c r="E764" s="11" t="n">
        <x:v>6431.110000000001</x:v>
      </x:c>
      <x:c r="F764" s="11" t="n">
        <x:v>0</x:v>
      </x:c>
      <x:c r="G764" s="11" t="n">
        <x:v>6431.110000000001</x:v>
      </x:c>
      <x:c r="H764" s="23" t="n">
        <x:v>0.00031319717690434456</x:v>
      </x:c>
      <x:c r="I764" s="23" t="n">
        <x:v>0.7285663874486421</x:v>
      </x:c>
      <x:c r="J764" s="2" t="n">
        <x:v>38</x:v>
      </x:c>
      <x:c r="K764" s="2"/>
      <x:c r="L764" s="2"/>
    </x:row>
    <x:row r="765" ht="22" customHeight="1">
      <x:c r="A765" s="2"/>
      <x:c r="B765" s="2" t="n">
        <x:v>732</x:v>
      </x:c>
      <x:c r="C765" s="2" t="str">
        <x:v>22979</x:v>
      </x:c>
      <x:c r="D765" s="2" t="str">
        <x:v>PANTRY WASHING UP BRUSH</x:v>
      </x:c>
      <x:c r="E765" s="11" t="n">
        <x:v>6401.969999999999</x:v>
      </x:c>
      <x:c r="F765" s="11" t="n">
        <x:v>117.55000000000001</x:v>
      </x:c>
      <x:c r="G765" s="11" t="n">
        <x:v>6284.42</x:v>
      </x:c>
      <x:c r="H765" s="23" t="n">
        <x:v>0.00031177804929884677</x:v>
      </x:c>
      <x:c r="I765" s="23" t="n">
        <x:v>0.7288781654979409</x:v>
      </x:c>
      <x:c r="J765" s="2" t="n">
        <x:v>381</x:v>
      </x:c>
      <x:c r="K765" s="2"/>
      <x:c r="L765" s="2"/>
    </x:row>
    <x:row r="766" ht="22" customHeight="1">
      <x:c r="A766" s="2"/>
      <x:c r="B766" s="2" t="n">
        <x:v>733</x:v>
      </x:c>
      <x:c r="C766" s="2" t="str">
        <x:v>22063</x:v>
      </x:c>
      <x:c r="D766" s="2" t="str">
        <x:v>CERAMIC BOWL WITH STRAWBERRY DESIGN</x:v>
      </x:c>
      <x:c r="E766" s="11" t="n">
        <x:v>6391.46</x:v>
      </x:c>
      <x:c r="F766" s="11" t="n">
        <x:v>46.8</x:v>
      </x:c>
      <x:c r="G766" s="11" t="n">
        <x:v>6344.66</x:v>
      </x:c>
      <x:c r="H766" s="23" t="n">
        <x:v>0.0003112662088344068</x:v>
      </x:c>
      <x:c r="I766" s="23" t="n">
        <x:v>0.7291894317067753</x:v>
      </x:c>
      <x:c r="J766" s="2" t="n">
        <x:v>356</x:v>
      </x:c>
      <x:c r="K766" s="2"/>
      <x:c r="L766" s="2"/>
    </x:row>
    <x:row r="767" ht="22" customHeight="1">
      <x:c r="A767" s="2"/>
      <x:c r="B767" s="2" t="n">
        <x:v>734</x:v>
      </x:c>
      <x:c r="C767" s="2" t="str">
        <x:v>79067</x:v>
      </x:c>
      <x:c r="D767" s="2" t="str">
        <x:v>CORONA MEXICAN TRAY</x:v>
      </x:c>
      <x:c r="E767" s="11" t="n">
        <x:v>6383.95</x:v>
      </x:c>
      <x:c r="F767" s="11" t="n">
        <x:v>62.7</x:v>
      </x:c>
      <x:c r="G767" s="11" t="n">
        <x:v>6321.25</x:v>
      </x:c>
      <x:c r="H767" s="23" t="n">
        <x:v>0.000310900469358865</x:v>
      </x:c>
      <x:c r="I767" s="23" t="n">
        <x:v>0.7295003321761342</x:v>
      </x:c>
      <x:c r="J767" s="2" t="n">
        <x:v>396</x:v>
      </x:c>
      <x:c r="K767" s="2"/>
      <x:c r="L767" s="2"/>
    </x:row>
    <x:row r="768" ht="22" customHeight="1">
      <x:c r="A768" s="2"/>
      <x:c r="B768" s="2" t="n">
        <x:v>735</x:v>
      </x:c>
      <x:c r="C768" s="2" t="str">
        <x:v>23307</x:v>
      </x:c>
      <x:c r="D768" s="2" t="str">
        <x:v>SET OF 60 PANTRY DESIGN CAKE CASES </x:v>
      </x:c>
      <x:c r="E768" s="11" t="n">
        <x:v>6379.59</x:v>
      </x:c>
      <x:c r="F768" s="11" t="n">
        <x:v>48.400000000000006</x:v>
      </x:c>
      <x:c r="G768" s="11" t="n">
        <x:v>6331.1900000000005</x:v>
      </x:c>
      <x:c r="H768" s="23" t="n">
        <x:v>0.0003106881359216663</x:v>
      </x:c>
      <x:c r="I768" s="23" t="n">
        <x:v>0.7298110203120559</x:v>
      </x:c>
      <x:c r="J768" s="2" t="n">
        <x:v>629</x:v>
      </x:c>
      <x:c r="K768" s="2"/>
      <x:c r="L768" s="2"/>
    </x:row>
    <x:row r="769" ht="22" customHeight="1">
      <x:c r="A769" s="2"/>
      <x:c r="B769" s="2" t="n">
        <x:v>736</x:v>
      </x:c>
      <x:c r="C769" s="2" t="str">
        <x:v>23172</x:v>
      </x:c>
      <x:c r="D769" s="2" t="str">
        <x:v>REGENCY TEA PLATE PINK</x:v>
      </x:c>
      <x:c r="E769" s="11" t="n">
        <x:v>6360.909999999999</x:v>
      </x:c>
      <x:c r="F769" s="11" t="n">
        <x:v>154.29999999999998</x:v>
      </x:c>
      <x:c r="G769" s="11" t="n">
        <x:v>6206.61</x:v>
      </x:c>
      <x:c r="H769" s="23" t="n">
        <x:v>0.00030977841376412683</x:v>
      </x:c>
      <x:c r="I769" s="23" t="n">
        <x:v>0.73012079872582</x:v>
      </x:c>
      <x:c r="J769" s="2" t="n">
        <x:v>305</x:v>
      </x:c>
      <x:c r="K769" s="2"/>
      <x:c r="L769" s="2"/>
    </x:row>
    <x:row r="770" ht="22" customHeight="1">
      <x:c r="A770" s="2"/>
      <x:c r="B770" s="2" t="n">
        <x:v>737</x:v>
      </x:c>
      <x:c r="C770" s="2" t="str">
        <x:v>22582</x:v>
      </x:c>
      <x:c r="D770" s="2" t="str">
        <x:v>PACK OF 6 SWEETIE GIFT BOXES</x:v>
      </x:c>
      <x:c r="E770" s="11" t="n">
        <x:v>6334.97</x:v>
      </x:c>
      <x:c r="F770" s="11" t="n">
        <x:v>183.6</x:v>
      </x:c>
      <x:c r="G770" s="11" t="n">
        <x:v>6151.37</x:v>
      </x:c>
      <x:c r="H770" s="23" t="n">
        <x:v>0.0003085151272134539</x:v>
      </x:c>
      <x:c r="I770" s="23" t="n">
        <x:v>0.7304293138530334</x:v>
      </x:c>
      <x:c r="J770" s="2" t="n">
        <x:v>295</x:v>
      </x:c>
      <x:c r="K770" s="2"/>
      <x:c r="L770" s="2"/>
    </x:row>
    <x:row r="771" ht="22" customHeight="1">
      <x:c r="A771" s="2"/>
      <x:c r="B771" s="2" t="n">
        <x:v>738</x:v>
      </x:c>
      <x:c r="C771" s="2" t="str">
        <x:v>84520B</x:v>
      </x:c>
      <x:c r="D771" s="2" t="str">
        <x:v>PACK 20 ENGLISH ROSE PAPER NAPKINS</x:v>
      </x:c>
      <x:c r="E771" s="11" t="n">
        <x:v>6332.67</x:v>
      </x:c>
      <x:c r="F771" s="11" t="n">
        <x:v>10.2</x:v>
      </x:c>
      <x:c r="G771" s="11" t="n">
        <x:v>6322.469999999999</x:v>
      </x:c>
      <x:c r="H771" s="23" t="n">
        <x:v>0.0003084031164552986</x:v>
      </x:c>
      <x:c r="I771" s="23" t="n">
        <x:v>0.7307377169694887</x:v>
      </x:c>
      <x:c r="J771" s="2" t="n">
        <x:v>722</x:v>
      </x:c>
      <x:c r="K771" s="2"/>
      <x:c r="L771" s="2"/>
    </x:row>
    <x:row r="772" ht="22" customHeight="1">
      <x:c r="A772" s="2"/>
      <x:c r="B772" s="2" t="n">
        <x:v>739</x:v>
      </x:c>
      <x:c r="C772" s="2" t="str">
        <x:v>47559B</x:v>
      </x:c>
      <x:c r="D772" s="2" t="str">
        <x:v>TEA TIME OVEN GLOVE</x:v>
      </x:c>
      <x:c r="E772" s="11" t="n">
        <x:v>6325.44</x:v>
      </x:c>
      <x:c r="F772" s="11" t="n">
        <x:v>67.5</x:v>
      </x:c>
      <x:c r="G772" s="11" t="n">
        <x:v>6257.94</x:v>
      </x:c>
      <x:c r="H772" s="23" t="n">
        <x:v>0.00030805101307205396</x:v>
      </x:c>
      <x:c r="I772" s="23" t="n">
        <x:v>0.7310457679825608</x:v>
      </x:c>
      <x:c r="J772" s="2" t="n">
        <x:v>701</x:v>
      </x:c>
      <x:c r="K772" s="2"/>
      <x:c r="L772" s="2"/>
    </x:row>
    <x:row r="773" ht="22" customHeight="1">
      <x:c r="A773" s="2"/>
      <x:c r="B773" s="2" t="n">
        <x:v>740</x:v>
      </x:c>
      <x:c r="C773" s="2" t="str">
        <x:v>22849</x:v>
      </x:c>
      <x:c r="D773" s="2" t="str">
        <x:v>BREAD BIN DINER STYLE MINT</x:v>
      </x:c>
      <x:c r="E773" s="11" t="n">
        <x:v>6321.63</x:v>
      </x:c>
      <x:c r="F773" s="11" t="n">
        <x:v>251.2</x:v>
      </x:c>
      <x:c r="G773" s="11" t="n">
        <x:v>6070.429999999999</x:v>
      </x:c>
      <x:c r="H773" s="23" t="n">
        <x:v>0.0003078654648161533</x:v>
      </x:c>
      <x:c r="I773" s="23" t="n">
        <x:v>0.731353633447377</x:v>
      </x:c>
      <x:c r="J773" s="2" t="n">
        <x:v>162</x:v>
      </x:c>
      <x:c r="K773" s="2"/>
      <x:c r="L773" s="2"/>
    </x:row>
    <x:row r="774" ht="22" customHeight="1">
      <x:c r="A774" s="2"/>
      <x:c r="B774" s="2" t="n">
        <x:v>741</x:v>
      </x:c>
      <x:c r="C774" s="2" t="str">
        <x:v>22065</x:v>
      </x:c>
      <x:c r="D774" s="2" t="str">
        <x:v>CHRISTMAS PUDDING TRINKET POT </x:v>
      </x:c>
      <x:c r="E774" s="11" t="n">
        <x:v>6320.12</x:v>
      </x:c>
      <x:c r="F774" s="11" t="n">
        <x:v>54.769999999999996</x:v>
      </x:c>
      <x:c r="G774" s="11" t="n">
        <x:v>6265.349999999999</x:v>
      </x:c>
      <x:c r="H774" s="23" t="n">
        <x:v>0.00030779192731840785</x:v>
      </x:c>
      <x:c r="I774" s="23" t="n">
        <x:v>0.7316614253746955</x:v>
      </x:c>
      <x:c r="J774" s="2" t="n">
        <x:v>456</x:v>
      </x:c>
      <x:c r="K774" s="2"/>
      <x:c r="L774" s="2"/>
    </x:row>
    <x:row r="775" ht="22" customHeight="1">
      <x:c r="A775" s="2"/>
      <x:c r="B775" s="2" t="n">
        <x:v>742</x:v>
      </x:c>
      <x:c r="C775" s="2" t="str">
        <x:v>22783</x:v>
      </x:c>
      <x:c r="D775" s="2" t="str">
        <x:v>SET 3 WICKER OVAL BASKETS W LIDS</x:v>
      </x:c>
      <x:c r="E775" s="11" t="n">
        <x:v>6316.3</x:v>
      </x:c>
      <x:c r="F775" s="11" t="n">
        <x:v>0</x:v>
      </x:c>
      <x:c r="G775" s="11" t="n">
        <x:v>6316.3</x:v>
      </x:c>
      <x:c r="H775" s="23" t="n">
        <x:v>0.00030760589205921086</x:v>
      </x:c>
      <x:c r="I775" s="23" t="n">
        <x:v>0.7319690312667547</x:v>
      </x:c>
      <x:c r="J775" s="2" t="n">
        <x:v>45</x:v>
      </x:c>
      <x:c r="K775" s="2"/>
      <x:c r="L775" s="2"/>
    </x:row>
    <x:row r="776" ht="22" customHeight="1">
      <x:c r="A776" s="2"/>
      <x:c r="B776" s="2" t="n">
        <x:v>743</x:v>
      </x:c>
      <x:c r="C776" s="2" t="str">
        <x:v>22460</x:v>
      </x:c>
      <x:c r="D776" s="2" t="str">
        <x:v>EMBOSSED GLASS TEALIGHT HOLDER</x:v>
      </x:c>
      <x:c r="E776" s="11" t="n">
        <x:v>6300.12</x:v>
      </x:c>
      <x:c r="F776" s="11" t="n">
        <x:v>32.120000000000005</x:v>
      </x:c>
      <x:c r="G776" s="11" t="n">
        <x:v>6268</x:v>
      </x:c>
      <x:c r="H776" s="23" t="n">
        <x:v>0.00030681792072575326</x:v>
      </x:c>
      <x:c r="I776" s="23" t="n">
        <x:v>0.7322758491874805</x:v>
      </x:c>
      <x:c r="J776" s="2" t="n">
        <x:v>376</x:v>
      </x:c>
      <x:c r="K776" s="2"/>
      <x:c r="L776" s="2"/>
    </x:row>
    <x:row r="777" ht="22" customHeight="1">
      <x:c r="A777" s="2"/>
      <x:c r="B777" s="2" t="n">
        <x:v>744</x:v>
      </x:c>
      <x:c r="C777" s="2" t="str">
        <x:v>22185</x:v>
      </x:c>
      <x:c r="D777" s="2" t="str">
        <x:v>SLATE TILE NATURAL HANGING</x:v>
      </x:c>
      <x:c r="E777" s="11" t="n">
        <x:v>6293.419999999999</x:v>
      </x:c>
      <x:c r="F777" s="11" t="n">
        <x:v>6.6</x:v>
      </x:c>
      <x:c r="G777" s="11" t="n">
        <x:v>6286.82</x:v>
      </x:c>
      <x:c r="H777" s="23" t="n">
        <x:v>0.0003064916285172139</x:v>
      </x:c>
      <x:c r="I777" s="23" t="n">
        <x:v>0.7325823408159977</x:v>
      </x:c>
      <x:c r="J777" s="2" t="n">
        <x:v>462</x:v>
      </x:c>
      <x:c r="K777" s="2"/>
      <x:c r="L777" s="2"/>
    </x:row>
    <x:row r="778" ht="22" customHeight="1">
      <x:c r="A778" s="2"/>
      <x:c r="B778" s="2" t="n">
        <x:v>745</x:v>
      </x:c>
      <x:c r="C778" s="2" t="str">
        <x:v>22906</x:v>
      </x:c>
      <x:c r="D778" s="2" t="str">
        <x:v>12 MESSAGE CARDS WITH ENVELOPES</x:v>
      </x:c>
      <x:c r="E778" s="11" t="n">
        <x:v>6256.08</x:v>
      </x:c>
      <x:c r="F778" s="11" t="n">
        <x:v>88.65</x:v>
      </x:c>
      <x:c r="G778" s="11" t="n">
        <x:v>6167.429999999999</x:v>
      </x:c>
      <x:c r="H778" s="23" t="n">
        <x:v>0.00030467315820872784</x:v>
      </x:c>
      <x:c r="I778" s="23" t="n">
        <x:v>0.7328870139742064</x:v>
      </x:c>
      <x:c r="J778" s="2" t="n">
        <x:v>445</x:v>
      </x:c>
      <x:c r="K778" s="2"/>
      <x:c r="L778" s="2"/>
    </x:row>
    <x:row r="779" ht="22" customHeight="1">
      <x:c r="A779" s="2"/>
      <x:c r="B779" s="2" t="n">
        <x:v>746</x:v>
      </x:c>
      <x:c r="C779" s="2" t="str">
        <x:v>84884A</x:v>
      </x:c>
      <x:c r="D779" s="2" t="str">
        <x:v>ANT WHITE WIRE HEART SPIRAL</x:v>
      </x:c>
      <x:c r="E779" s="11" t="n">
        <x:v>6248.28</x:v>
      </x:c>
      <x:c r="F779" s="11" t="n">
        <x:v>3.95</x:v>
      </x:c>
      <x:c r="G779" s="11" t="n">
        <x:v>6244.33</x:v>
      </x:c>
      <x:c r="H779" s="23" t="n">
        <x:v>0.00030429329563759255</x:v>
      </x:c>
      <x:c r="I779" s="23" t="n">
        <x:v>0.733191307269844</x:v>
      </x:c>
      <x:c r="J779" s="2" t="n">
        <x:v>312</x:v>
      </x:c>
      <x:c r="K779" s="2"/>
      <x:c r="L779" s="2"/>
    </x:row>
    <x:row r="780" ht="22" customHeight="1">
      <x:c r="A780" s="2"/>
      <x:c r="B780" s="2" t="n">
        <x:v>747</x:v>
      </x:c>
      <x:c r="C780" s="2" t="str">
        <x:v>21714</x:v>
      </x:c>
      <x:c r="D780" s="2" t="str">
        <x:v>CITRONELLA CANDLE GARDEN POT</x:v>
      </x:c>
      <x:c r="E780" s="11" t="n">
        <x:v>6229.89</x:v>
      </x:c>
      <x:c r="F780" s="11" t="n">
        <x:v>70.1</x:v>
      </x:c>
      <x:c r="G780" s="11" t="n">
        <x:v>6159.79</x:v>
      </x:c>
      <x:c r="H780" s="23" t="n">
        <x:v>0.0003033976965756467</x:v>
      </x:c>
      <x:c r="I780" s="23" t="n">
        <x:v>0.7334947049664197</x:v>
      </x:c>
      <x:c r="J780" s="2" t="n">
        <x:v>522</x:v>
      </x:c>
      <x:c r="K780" s="2"/>
      <x:c r="L780" s="2"/>
    </x:row>
    <x:row r="781" ht="22" customHeight="1">
      <x:c r="A781" s="2"/>
      <x:c r="B781" s="2" t="n">
        <x:v>748</x:v>
      </x:c>
      <x:c r="C781" s="2" t="str">
        <x:v>22435</x:v>
      </x:c>
      <x:c r="D781" s="2" t="str">
        <x:v>SET OF 9 HEART SHAPED BALLOONS</x:v>
      </x:c>
      <x:c r="E781" s="11" t="n">
        <x:v>6218.97</x:v>
      </x:c>
      <x:c r="F781" s="11" t="n">
        <x:v>154.75</x:v>
      </x:c>
      <x:c r="G781" s="11" t="n">
        <x:v>6064.22</x:v>
      </x:c>
      <x:c r="H781" s="23" t="n">
        <x:v>0.00030286588897605724</x:v>
      </x:c>
      <x:c r="I781" s="23" t="n">
        <x:v>0.7337975708553958</x:v>
      </x:c>
      <x:c r="J781" s="2" t="n">
        <x:v>537</x:v>
      </x:c>
      <x:c r="K781" s="2"/>
      <x:c r="L781" s="2"/>
    </x:row>
    <x:row r="782" ht="22" customHeight="1">
      <x:c r="A782" s="2"/>
      <x:c r="B782" s="2" t="n">
        <x:v>749</x:v>
      </x:c>
      <x:c r="C782" s="2" t="str">
        <x:v>22826</x:v>
      </x:c>
      <x:c r="D782" s="2" t="str">
        <x:v>LOVE SEAT ANTIQUE WHITE METAL</x:v>
      </x:c>
      <x:c r="E782" s="11" t="n">
        <x:v>6210</x:v>
      </x:c>
      <x:c r="F782" s="11" t="n">
        <x:v>517.5</x:v>
      </x:c>
      <x:c r="G782" s="11" t="n">
        <x:v>5692.5</x:v>
      </x:c>
      <x:c r="H782" s="23" t="n">
        <x:v>0.00030242904701925167</x:v>
      </x:c>
      <x:c r="I782" s="23" t="n">
        <x:v>0.734099999902415</x:v>
      </x:c>
      <x:c r="J782" s="2" t="n">
        <x:v>41</x:v>
      </x:c>
      <x:c r="K782" s="2"/>
      <x:c r="L782" s="2"/>
    </x:row>
    <x:row r="783" ht="22" customHeight="1">
      <x:c r="A783" s="2"/>
      <x:c r="B783" s="2" t="n">
        <x:v>750</x:v>
      </x:c>
      <x:c r="C783" s="2" t="str">
        <x:v>21078</x:v>
      </x:c>
      <x:c r="D783" s="2" t="str">
        <x:v>SET/20 STRAWBERRY PAPER NAPKINS </x:v>
      </x:c>
      <x:c r="E783" s="11" t="n">
        <x:v>6194</x:v>
      </x:c>
      <x:c r="F783" s="11" t="n">
        <x:v>1.7</x:v>
      </x:c>
      <x:c r="G783" s="11" t="n">
        <x:v>6192.299999999999</x:v>
      </x:c>
      <x:c r="H783" s="23" t="n">
        <x:v>0.000301649841745128</x:v>
      </x:c>
      <x:c r="I783" s="23" t="n">
        <x:v>0.7344016497441601</x:v>
      </x:c>
      <x:c r="J783" s="2" t="n">
        <x:v>741</x:v>
      </x:c>
      <x:c r="K783" s="2"/>
      <x:c r="L783" s="2"/>
    </x:row>
    <x:row r="784" ht="22" customHeight="1">
      <x:c r="A784" s="2"/>
      <x:c r="B784" s="2" t="n">
        <x:v>751</x:v>
      </x:c>
      <x:c r="C784" s="2" t="str">
        <x:v>22780</x:v>
      </x:c>
      <x:c r="D784" s="2" t="str">
        <x:v>LIGHT GARLAND BUTTERFILES PINK</x:v>
      </x:c>
      <x:c r="E784" s="11" t="n">
        <x:v>6176.09</x:v>
      </x:c>
      <x:c r="F784" s="11" t="n">
        <x:v>106.25</x:v>
      </x:c>
      <x:c r="G784" s="11" t="n">
        <x:v>6069.84</x:v>
      </x:c>
      <x:c r="H784" s="23" t="n">
        <x:v>0.0003007776188414058</x:v>
      </x:c>
      <x:c r="I784" s="23" t="n">
        <x:v>0.7347024273630015</x:v>
      </x:c>
      <x:c r="J784" s="2" t="n">
        <x:v>179</x:v>
      </x:c>
      <x:c r="K784" s="2"/>
      <x:c r="L784" s="2"/>
    </x:row>
    <x:row r="785" ht="22" customHeight="1">
      <x:c r="A785" s="2"/>
      <x:c r="B785" s="2" t="n">
        <x:v>752</x:v>
      </x:c>
      <x:c r="C785" s="2" t="str">
        <x:v>22222</x:v>
      </x:c>
      <x:c r="D785" s="2" t="str">
        <x:v>CAKE PLATE LOVEBIRD WHITE</x:v>
      </x:c>
      <x:c r="E785" s="11" t="n">
        <x:v>6165.79</x:v>
      </x:c>
      <x:c r="F785" s="11" t="n">
        <x:v>24.75</x:v>
      </x:c>
      <x:c r="G785" s="11" t="n">
        <x:v>6141.04</x:v>
      </x:c>
      <x:c r="H785" s="23" t="n">
        <x:v>0.0003002760054461887</x:v>
      </x:c>
      <x:c r="I785" s="23" t="n">
        <x:v>0.7350027033684478</x:v>
      </x:c>
      <x:c r="J785" s="2" t="n">
        <x:v>403</x:v>
      </x:c>
      <x:c r="K785" s="2"/>
      <x:c r="L785" s="2"/>
    </x:row>
    <x:row r="786" ht="22" customHeight="1">
      <x:c r="A786" s="2"/>
      <x:c r="B786" s="2" t="n">
        <x:v>753</x:v>
      </x:c>
      <x:c r="C786" s="2" t="str">
        <x:v>22196</x:v>
      </x:c>
      <x:c r="D786" s="2" t="str">
        <x:v>SMALL HEART MEASURING SPOONS</x:v>
      </x:c>
      <x:c r="E786" s="11" t="n">
        <x:v>6159.04</x:v>
      </x:c>
      <x:c r="F786" s="11" t="n">
        <x:v>36.04</x:v>
      </x:c>
      <x:c r="G786" s="11" t="n">
        <x:v>6123</x:v>
      </x:c>
      <x:c r="H786" s="23" t="n">
        <x:v>0.00029994727822116774</x:v>
      </x:c>
      <x:c r="I786" s="23" t="n">
        <x:v>0.7353026506466689</x:v>
      </x:c>
      <x:c r="J786" s="2" t="n">
        <x:v>981</x:v>
      </x:c>
      <x:c r="K786" s="2"/>
      <x:c r="L786" s="2"/>
    </x:row>
    <x:row r="787" ht="22" customHeight="1">
      <x:c r="A787" s="2"/>
      <x:c r="B787" s="2" t="n">
        <x:v>754</x:v>
      </x:c>
      <x:c r="C787" s="2" t="str">
        <x:v>20751</x:v>
      </x:c>
      <x:c r="D787" s="2" t="str">
        <x:v>FUNKY WASHING UP GLOVES ASSORTED</x:v>
      </x:c>
      <x:c r="E787" s="11" t="n">
        <x:v>6157.660000000001</x:v>
      </x:c>
      <x:c r="F787" s="11" t="n">
        <x:v>6.300000000000001</x:v>
      </x:c>
      <x:c r="G787" s="11" t="n">
        <x:v>6151.360000000001</x:v>
      </x:c>
      <x:c r="H787" s="23" t="n">
        <x:v>0.0002998800717662746</x:v>
      </x:c>
      <x:c r="I787" s="23" t="n">
        <x:v>0.7356025307184352</x:v>
      </x:c>
      <x:c r="J787" s="2" t="n">
        <x:v>471</x:v>
      </x:c>
      <x:c r="K787" s="2"/>
      <x:c r="L787" s="2"/>
    </x:row>
    <x:row r="788" ht="22" customHeight="1">
      <x:c r="A788" s="2"/>
      <x:c r="B788" s="2" t="n">
        <x:v>755</x:v>
      </x:c>
      <x:c r="C788" s="2" t="str">
        <x:v>22848</x:v>
      </x:c>
      <x:c r="D788" s="2" t="str">
        <x:v>AMAZON</x:v>
      </x:c>
      <x:c r="E788" s="11" t="n">
        <x:v>6145.55</x:v>
      </x:c>
      <x:c r="F788" s="11" t="n">
        <x:v>208.35</x:v>
      </x:c>
      <x:c r="G788" s="11" t="n">
        <x:v>5937.2</x:v>
      </x:c>
      <x:c r="H788" s="23" t="n">
        <x:v>0.0002992903107744222</x:v>
      </x:c>
      <x:c r="I788" s="23" t="n">
        <x:v>0.7359018210292096</x:v>
      </x:c>
      <x:c r="J788" s="2" t="n">
        <x:v>151</x:v>
      </x:c>
      <x:c r="K788" s="2"/>
      <x:c r="L788" s="2"/>
    </x:row>
    <x:row r="789" ht="22" customHeight="1">
      <x:c r="A789" s="2"/>
      <x:c r="B789" s="2" t="n">
        <x:v>756</x:v>
      </x:c>
      <x:c r="C789" s="2" t="str">
        <x:v>23192</x:v>
      </x:c>
      <x:c r="D789" s="2" t="str">
        <x:v>BUNDLE OF 3 ALPHABET EXERCISE BOOKS</x:v>
      </x:c>
      <x:c r="E789" s="11" t="n">
        <x:v>6142.289999999999</x:v>
      </x:c>
      <x:c r="F789" s="11" t="n">
        <x:v>4.949999999999999</x:v>
      </x:c>
      <x:c r="G789" s="11" t="n">
        <x:v>6137.339999999999</x:v>
      </x:c>
      <x:c r="H789" s="23" t="n">
        <x:v>0.0002991315476998195</x:v>
      </x:c>
      <x:c r="I789" s="23" t="n">
        <x:v>0.7362009525769094</x:v>
      </x:c>
      <x:c r="J789" s="2" t="n">
        <x:v>345</x:v>
      </x:c>
      <x:c r="K789" s="2"/>
      <x:c r="L789" s="2"/>
    </x:row>
    <x:row r="790" ht="22" customHeight="1">
      <x:c r="A790" s="2"/>
      <x:c r="B790" s="2" t="n">
        <x:v>757</x:v>
      </x:c>
      <x:c r="C790" s="2" t="str">
        <x:v>84832</x:v>
      </x:c>
      <x:c r="D790" s="2" t="str">
        <x:v>ZINC WILLIE WINKIE  CANDLE STICK</x:v>
      </x:c>
      <x:c r="E790" s="11" t="n">
        <x:v>6138.95</x:v>
      </x:c>
      <x:c r="F790" s="11" t="n">
        <x:v>10.2</x:v>
      </x:c>
      <x:c r="G790" s="11" t="n">
        <x:v>6128.75</x:v>
      </x:c>
      <x:c r="H790" s="23" t="n">
        <x:v>0.0002989688885988462</x:v>
      </x:c>
      <x:c r="I790" s="23" t="n">
        <x:v>0.7364999214655082</x:v>
      </x:c>
      <x:c r="J790" s="2" t="n">
        <x:v>630</x:v>
      </x:c>
      <x:c r="K790" s="2"/>
      <x:c r="L790" s="2"/>
    </x:row>
    <x:row r="791" ht="22" customHeight="1">
      <x:c r="A791" s="2"/>
      <x:c r="B791" s="2" t="n">
        <x:v>758</x:v>
      </x:c>
      <x:c r="C791" s="2" t="str">
        <x:v>21584</x:v>
      </x:c>
      <x:c r="D791" s="2" t="str">
        <x:v>RETROSPOT SMALL TUBE MATCHES</x:v>
      </x:c>
      <x:c r="E791" s="11" t="n">
        <x:v>6129.45</x:v>
      </x:c>
      <x:c r="F791" s="11" t="n">
        <x:v>44.55</x:v>
      </x:c>
      <x:c r="G791" s="11" t="n">
        <x:v>6084.9</x:v>
      </x:c>
      <x:c r="H791" s="23" t="n">
        <x:v>0.0002985062354673353</x:v>
      </x:c>
      <x:c r="I791" s="23" t="n">
        <x:v>0.7367984277009756</x:v>
      </x:c>
      <x:c r="J791" s="2" t="n">
        <x:v>352</x:v>
      </x:c>
      <x:c r="K791" s="2"/>
      <x:c r="L791" s="2"/>
    </x:row>
    <x:row r="792" ht="22" customHeight="1">
      <x:c r="A792" s="2"/>
      <x:c r="B792" s="2" t="n">
        <x:v>759</x:v>
      </x:c>
      <x:c r="C792" s="2" t="str">
        <x:v>21667</x:v>
      </x:c>
      <x:c r="D792" s="2" t="str">
        <x:v>GLASS CAKE COVER AND PLATE</x:v>
      </x:c>
      <x:c r="E792" s="11" t="n">
        <x:v>6126.25</x:v>
      </x:c>
      <x:c r="F792" s="11" t="n">
        <x:v>393.74999999999994</x:v>
      </x:c>
      <x:c r="G792" s="11" t="n">
        <x:v>5732.5</x:v>
      </x:c>
      <x:c r="H792" s="23" t="n">
        <x:v>0.00029835039441251053</x:v>
      </x:c>
      <x:c r="I792" s="23" t="n">
        <x:v>0.7370967780953881</x:v>
      </x:c>
      <x:c r="J792" s="2" t="n">
        <x:v>163</x:v>
      </x:c>
      <x:c r="K792" s="2"/>
      <x:c r="L792" s="2"/>
    </x:row>
    <x:row r="793" ht="22" customHeight="1">
      <x:c r="A793" s="2"/>
      <x:c r="B793" s="2" t="n">
        <x:v>760</x:v>
      </x:c>
      <x:c r="C793" s="2" t="str">
        <x:v>23118</x:v>
      </x:c>
      <x:c r="D793" s="2" t="str">
        <x:v>PARISIENNE JEWELLERY DRAWER </x:v>
      </x:c>
      <x:c r="E793" s="11" t="n">
        <x:v>6102.18</x:v>
      </x:c>
      <x:c r="F793" s="11" t="n">
        <x:v>180</x:v>
      </x:c>
      <x:c r="G793" s="11" t="n">
        <x:v>5922.18</x:v>
      </x:c>
      <x:c r="H793" s="23" t="n">
        <x:v>0.00029717817747825073</x:v>
      </x:c>
      <x:c r="I793" s="23" t="n">
        <x:v>0.7373939562728663</x:v>
      </x:c>
      <x:c r="J793" s="2" t="n">
        <x:v>258</x:v>
      </x:c>
      <x:c r="K793" s="2"/>
      <x:c r="L793" s="2"/>
    </x:row>
    <x:row r="794" ht="22" customHeight="1">
      <x:c r="A794" s="2"/>
      <x:c r="B794" s="2" t="n">
        <x:v>761</x:v>
      </x:c>
      <x:c r="C794" s="2" t="str">
        <x:v>21499</x:v>
      </x:c>
      <x:c r="D794" s="2" t="str">
        <x:v>BLUE POLKADOT WRAP</x:v>
      </x:c>
      <x:c r="E794" s="11" t="n">
        <x:v>6070.34</x:v>
      </x:c>
      <x:c r="F794" s="11" t="n">
        <x:v>82.5</x:v>
      </x:c>
      <x:c r="G794" s="11" t="n">
        <x:v>5987.84</x:v>
      </x:c>
      <x:c r="H794" s="23" t="n">
        <x:v>0.0002956275589827446</x:v>
      </x:c>
      <x:c r="I794" s="23" t="n">
        <x:v>0.737689583831849</x:v>
      </x:c>
      <x:c r="J794" s="2" t="n">
        <x:v>460</x:v>
      </x:c>
      <x:c r="K794" s="2"/>
      <x:c r="L794" s="2"/>
    </x:row>
    <x:row r="795" ht="22" customHeight="1">
      <x:c r="A795" s="2"/>
      <x:c r="B795" s="2" t="n">
        <x:v>762</x:v>
      </x:c>
      <x:c r="C795" s="2" t="str">
        <x:v>22167</x:v>
      </x:c>
      <x:c r="D795" s="2" t="str">
        <x:v> OVAL WALL MIRROR DIAMANTE </x:v>
      </x:c>
      <x:c r="E795" s="11" t="n">
        <x:v>6066.28</x:v>
      </x:c>
      <x:c r="F795" s="11" t="n">
        <x:v>248.74999999999997</x:v>
      </x:c>
      <x:c r="G795" s="11" t="n">
        <x:v>5817.53</x:v>
      </x:c>
      <x:c r="H795" s="23" t="n">
        <x:v>0.00029542983564443575</x:v>
      </x:c>
      <x:c r="I795" s="23" t="n">
        <x:v>0.7379850136674935</x:v>
      </x:c>
      <x:c r="J795" s="2" t="n">
        <x:v>303</x:v>
      </x:c>
      <x:c r="K795" s="2"/>
      <x:c r="L795" s="2"/>
    </x:row>
    <x:row r="796" ht="22" customHeight="1">
      <x:c r="A796" s="2"/>
      <x:c r="B796" s="2" t="n">
        <x:v>763</x:v>
      </x:c>
      <x:c r="C796" s="2" t="str">
        <x:v>21591</x:v>
      </x:c>
      <x:c r="D796" s="2" t="str">
        <x:v>COSY HOUR CIGAR BOX MATCHES </x:v>
      </x:c>
      <x:c r="E796" s="11" t="n">
        <x:v>6053.08</x:v>
      </x:c>
      <x:c r="F796" s="11" t="n">
        <x:v>67.5</x:v>
      </x:c>
      <x:c r="G796" s="11" t="n">
        <x:v>5985.58</x:v>
      </x:c>
      <x:c r="H796" s="23" t="n">
        <x:v>0.0002947869912932837</x:v>
      </x:c>
      <x:c r="I796" s="23" t="n">
        <x:v>0.7382798006587867</x:v>
      </x:c>
      <x:c r="J796" s="2" t="n">
        <x:v>365</x:v>
      </x:c>
      <x:c r="K796" s="2"/>
      <x:c r="L796" s="2"/>
    </x:row>
    <x:row r="797" ht="22" customHeight="1">
      <x:c r="A797" s="2"/>
      <x:c r="B797" s="2" t="n">
        <x:v>764</x:v>
      </x:c>
      <x:c r="C797" s="2" t="str">
        <x:v>72802C</x:v>
      </x:c>
      <x:c r="D797" s="2" t="str">
        <x:v>VANILLA SCENT CANDLE JEWELLED BOX</x:v>
      </x:c>
      <x:c r="E797" s="11" t="n">
        <x:v>6051.8099999999995</x:v>
      </x:c>
      <x:c r="F797" s="11" t="n">
        <x:v>584.06</x:v>
      </x:c>
      <x:c r="G797" s="11" t="n">
        <x:v>5467.75</x:v>
      </x:c>
      <x:c r="H797" s="23" t="n">
        <x:v>0.0002947251418746501</x:v>
      </x:c>
      <x:c r="I797" s="23" t="n">
        <x:v>0.7385745258006614</x:v>
      </x:c>
      <x:c r="J797" s="2" t="n">
        <x:v>269</x:v>
      </x:c>
      <x:c r="K797" s="2"/>
      <x:c r="L797" s="2"/>
    </x:row>
    <x:row r="798" ht="22" customHeight="1">
      <x:c r="A798" s="2"/>
      <x:c r="B798" s="2" t="n">
        <x:v>765</x:v>
      </x:c>
      <x:c r="C798" s="2" t="str">
        <x:v>22361</x:v>
      </x:c>
      <x:c r="D798" s="2" t="str">
        <x:v>GLASS JAR DAISY FRESH COTTON WOOL</x:v>
      </x:c>
      <x:c r="E798" s="11" t="n">
        <x:v>6051.01</x:v>
      </x:c>
      <x:c r="F798" s="11" t="n">
        <x:v>232.85000000000002</x:v>
      </x:c>
      <x:c r="G798" s="11" t="n">
        <x:v>5818.16</x:v>
      </x:c>
      <x:c r="H798" s="23" t="n">
        <x:v>0.00029468618161094395</x:v>
      </x:c>
      <x:c r="I798" s="23" t="n">
        <x:v>0.7388692119822724</x:v>
      </x:c>
      <x:c r="J798" s="2" t="n">
        <x:v>496</x:v>
      </x:c>
      <x:c r="K798" s="2"/>
      <x:c r="L798" s="2"/>
    </x:row>
    <x:row r="799" ht="22" customHeight="1">
      <x:c r="A799" s="2"/>
      <x:c r="B799" s="2" t="n">
        <x:v>766</x:v>
      </x:c>
      <x:c r="C799" s="2" t="str">
        <x:v>21586</x:v>
      </x:c>
      <x:c r="D799" s="2" t="str">
        <x:v>KINGS CHOICE GIANT TUBE MATCHES</x:v>
      </x:c>
      <x:c r="E799" s="11" t="n">
        <x:v>6036.6</x:v>
      </x:c>
      <x:c r="F799" s="11" t="n">
        <x:v>94.35</x:v>
      </x:c>
      <x:c r="G799" s="11" t="n">
        <x:v>5942.25</x:v>
      </x:c>
      <x:c r="H799" s="23" t="n">
        <x:v>0.0002939844098609363</x:v>
      </x:c>
      <x:c r="I799" s="23" t="n">
        <x:v>0.7391631963921333</x:v>
      </x:c>
      <x:c r="J799" s="2" t="n">
        <x:v>238</x:v>
      </x:c>
      <x:c r="K799" s="2"/>
      <x:c r="L799" s="2"/>
    </x:row>
    <x:row r="800" ht="22" customHeight="1">
      <x:c r="A800" s="2"/>
      <x:c r="B800" s="2" t="n">
        <x:v>767</x:v>
      </x:c>
      <x:c r="C800" s="2" t="str">
        <x:v>85178</x:v>
      </x:c>
      <x:c r="D800" s="2" t="str">
        <x:v>VICTORIAN SEWING KIT</x:v>
      </x:c>
      <x:c r="E800" s="11" t="n">
        <x:v>6030.7699999999995</x:v>
      </x:c>
      <x:c r="F800" s="11" t="n">
        <x:v>337.85</x:v>
      </x:c>
      <x:c r="G800" s="11" t="n">
        <x:v>5692.92</x:v>
      </x:c>
      <x:c r="H800" s="23" t="n">
        <x:v>0.0002937004869391775</x:v>
      </x:c>
      <x:c r="I800" s="23" t="n">
        <x:v>0.7394568968790726</x:v>
      </x:c>
      <x:c r="J800" s="2" t="n">
        <x:v>313</x:v>
      </x:c>
      <x:c r="K800" s="2"/>
      <x:c r="L800" s="2"/>
    </x:row>
    <x:row r="801" ht="22" customHeight="1">
      <x:c r="A801" s="2"/>
      <x:c r="B801" s="2" t="n">
        <x:v>768</x:v>
      </x:c>
      <x:c r="C801" s="2" t="str">
        <x:v>23526</x:v>
      </x:c>
      <x:c r="D801" s="2" t="str">
        <x:v>WALL ART DOG LICENCE </x:v>
      </x:c>
      <x:c r="E801" s="11" t="n">
        <x:v>6021.4</x:v>
      </x:c>
      <x:c r="F801" s="11" t="n">
        <x:v>95.2</x:v>
      </x:c>
      <x:c r="G801" s="11" t="n">
        <x:v>5926.2</x:v>
      </x:c>
      <x:c r="H801" s="23" t="n">
        <x:v>0.00029324416485051883</x:v>
      </x:c>
      <x:c r="I801" s="23" t="n">
        <x:v>0.7397501410439231</x:v>
      </x:c>
      <x:c r="J801" s="2" t="n">
        <x:v>143</x:v>
      </x:c>
      <x:c r="K801" s="2"/>
      <x:c r="L801" s="2"/>
    </x:row>
    <x:row r="802" ht="22" customHeight="1">
      <x:c r="A802" s="2"/>
      <x:c r="B802" s="2" t="n">
        <x:v>769</x:v>
      </x:c>
      <x:c r="C802" s="2" t="str">
        <x:v>21918</x:v>
      </x:c>
      <x:c r="D802" s="2" t="str">
        <x:v>SET 12 KIDS COLOUR  CHALK STICKS</x:v>
      </x:c>
      <x:c r="E802" s="11" t="n">
        <x:v>6020.28</x:v>
      </x:c>
      <x:c r="F802" s="11" t="n">
        <x:v>18.06</x:v>
      </x:c>
      <x:c r="G802" s="11" t="n">
        <x:v>6002.22</x:v>
      </x:c>
      <x:c r="H802" s="23" t="n">
        <x:v>0.0002931896204813302</x:v>
      </x:c>
      <x:c r="I802" s="23" t="n">
        <x:v>0.7400433306644044</x:v>
      </x:c>
      <x:c r="J802" s="2" t="n">
        <x:v>788</x:v>
      </x:c>
      <x:c r="K802" s="2"/>
      <x:c r="L802" s="2"/>
    </x:row>
    <x:row r="803" ht="22" customHeight="1">
      <x:c r="A803" s="2"/>
      <x:c r="B803" s="2" t="n">
        <x:v>770</x:v>
      </x:c>
      <x:c r="C803" s="2" t="str">
        <x:v>22331</x:v>
      </x:c>
      <x:c r="D803" s="2" t="str">
        <x:v>WOODLAND PARTY BAG + STICKER SET</x:v>
      </x:c>
      <x:c r="E803" s="11" t="n">
        <x:v>6011.57</x:v>
      </x:c>
      <x:c r="F803" s="11" t="n">
        <x:v>46.199999999999996</x:v>
      </x:c>
      <x:c r="G803" s="11" t="n">
        <x:v>5965.37</x:v>
      </x:c>
      <x:c r="H803" s="23" t="n">
        <x:v>0.0002927654406102291</x:v>
      </x:c>
      <x:c r="I803" s="23" t="n">
        <x:v>0.7403360961050146</x:v>
      </x:c>
      <x:c r="J803" s="2" t="n">
        <x:v>437</x:v>
      </x:c>
      <x:c r="K803" s="2"/>
      <x:c r="L803" s="2"/>
    </x:row>
    <x:row r="804" ht="22" customHeight="1">
      <x:c r="A804" s="2"/>
      <x:c r="B804" s="2" t="n">
        <x:v>771</x:v>
      </x:c>
      <x:c r="C804" s="2" t="str">
        <x:v>22841</x:v>
      </x:c>
      <x:c r="D804" s="2" t="str">
        <x:v>ROUND CAKE TIN VINTAGE GREEN</x:v>
      </x:c>
      <x:c r="E804" s="11" t="n">
        <x:v>6010.47</x:v>
      </x:c>
      <x:c r="F804" s="11" t="n">
        <x:v>151.05</x:v>
      </x:c>
      <x:c r="G804" s="11" t="n">
        <x:v>5859.42</x:v>
      </x:c>
      <x:c r="H804" s="23" t="n">
        <x:v>0.0002927118702476331</x:v>
      </x:c>
      <x:c r="I804" s="23" t="n">
        <x:v>0.7406288079752622</x:v>
      </x:c>
      <x:c r="J804" s="2" t="n">
        <x:v>306</x:v>
      </x:c>
      <x:c r="K804" s="2"/>
      <x:c r="L804" s="2"/>
    </x:row>
    <x:row r="805" ht="22" customHeight="1">
      <x:c r="A805" s="2"/>
      <x:c r="B805" s="2" t="n">
        <x:v>772</x:v>
      </x:c>
      <x:c r="C805" s="2" t="str">
        <x:v>22772</x:v>
      </x:c>
      <x:c r="D805" s="2" t="str">
        <x:v>PINK DRAWER KNOB ACRYLIC EDWARDIAN</x:v>
      </x:c>
      <x:c r="E805" s="11" t="n">
        <x:v>6009.92</x:v>
      </x:c>
      <x:c r="F805" s="11" t="n">
        <x:v>18.75</x:v>
      </x:c>
      <x:c r="G805" s="11" t="n">
        <x:v>5991.17</x:v>
      </x:c>
      <x:c r="H805" s="23" t="n">
        <x:v>0.0002926850850663351</x:v>
      </x:c>
      <x:c r="I805" s="23" t="n">
        <x:v>0.7409214930603285</x:v>
      </x:c>
      <x:c r="J805" s="2" t="n">
        <x:v>314</x:v>
      </x:c>
      <x:c r="K805" s="2"/>
      <x:c r="L805" s="2"/>
    </x:row>
    <x:row r="806" ht="22" customHeight="1">
      <x:c r="A806" s="2"/>
      <x:c r="B806" s="2" t="n">
        <x:v>773</x:v>
      </x:c>
      <x:c r="C806" s="2" t="str">
        <x:v>22855</x:v>
      </x:c>
      <x:c r="D806" s="2" t="str">
        <x:v>FINE WICKER HEART </x:v>
      </x:c>
      <x:c r="E806" s="11" t="n">
        <x:v>5995.49</x:v>
      </x:c>
      <x:c r="F806" s="11" t="n">
        <x:v>15</x:v>
      </x:c>
      <x:c r="G806" s="11" t="n">
        <x:v>5980.49</x:v>
      </x:c>
      <x:c r="H806" s="23" t="n">
        <x:v>0.0002919823393097348</x:v>
      </x:c>
      <x:c r="I806" s="23" t="n">
        <x:v>0.7412134753996382</x:v>
      </x:c>
      <x:c r="J806" s="2" t="n">
        <x:v>427</x:v>
      </x:c>
      <x:c r="K806" s="2"/>
      <x:c r="L806" s="2"/>
    </x:row>
    <x:row r="807" ht="22" customHeight="1">
      <x:c r="A807" s="2"/>
      <x:c r="B807" s="2" t="n">
        <x:v>774</x:v>
      </x:c>
      <x:c r="C807" s="2" t="str">
        <x:v>22045</x:v>
      </x:c>
      <x:c r="D807" s="2" t="str">
        <x:v>SPACEBOY GIFT WRAP</x:v>
      </x:c>
      <x:c r="E807" s="11" t="n">
        <x:v>5992.14</x:v>
      </x:c>
      <x:c r="F807" s="11" t="n">
        <x:v>44.1</x:v>
      </x:c>
      <x:c r="G807" s="11" t="n">
        <x:v>5948.04</x:v>
      </x:c>
      <x:c r="H807" s="23" t="n">
        <x:v>0.00029181919320546516</x:v>
      </x:c>
      <x:c r="I807" s="23" t="n">
        <x:v>0.7415052945928436</x:v>
      </x:c>
      <x:c r="J807" s="2" t="n">
        <x:v>473</x:v>
      </x:c>
      <x:c r="K807" s="2"/>
      <x:c r="L807" s="2"/>
    </x:row>
    <x:row r="808" ht="22" customHeight="1">
      <x:c r="A808" s="2"/>
      <x:c r="B808" s="2" t="n">
        <x:v>775</x:v>
      </x:c>
      <x:c r="C808" s="2" t="str">
        <x:v>23296</x:v>
      </x:c>
      <x:c r="D808" s="2" t="str">
        <x:v>SET OF 6 TEA TIME BAKING CASES</x:v>
      </x:c>
      <x:c r="E808" s="11" t="n">
        <x:v>5988.05</x:v>
      </x:c>
      <x:c r="F808" s="11" t="n">
        <x:v>33.75</x:v>
      </x:c>
      <x:c r="G808" s="11" t="n">
        <x:v>5954.3</x:v>
      </x:c>
      <x:c r="H808" s="23" t="n">
        <x:v>0.0002916200088572673</x:v>
      </x:c>
      <x:c r="I808" s="23" t="n">
        <x:v>0.7417969146017009</x:v>
      </x:c>
      <x:c r="J808" s="2" t="n">
        <x:v>378</x:v>
      </x:c>
      <x:c r="K808" s="2"/>
      <x:c r="L808" s="2"/>
    </x:row>
    <x:row r="809" ht="22" customHeight="1">
      <x:c r="A809" s="2"/>
      <x:c r="B809" s="2" t="n">
        <x:v>776</x:v>
      </x:c>
      <x:c r="C809" s="2" t="str">
        <x:v>22278</x:v>
      </x:c>
      <x:c r="D809" s="2" t="str">
        <x:v>OVERNIGHT BAG VINTAGE ROSE PAISLEY</x:v>
      </x:c>
      <x:c r="E809" s="11" t="n">
        <x:v>5969.43</x:v>
      </x:c>
      <x:c r="F809" s="11" t="n">
        <x:v>117.32000000000001</x:v>
      </x:c>
      <x:c r="G809" s="11" t="n">
        <x:v>5852.110000000001</x:v>
      </x:c>
      <x:c r="H809" s="23" t="n">
        <x:v>0.0002907132087195059</x:v>
      </x:c>
      <x:c r="I809" s="23" t="n">
        <x:v>0.7420876278104205</x:v>
      </x:c>
      <x:c r="J809" s="2" t="n">
        <x:v>383</x:v>
      </x:c>
      <x:c r="K809" s="2"/>
      <x:c r="L809" s="2"/>
    </x:row>
    <x:row r="810" ht="22" customHeight="1">
      <x:c r="A810" s="2"/>
      <x:c r="B810" s="2" t="n">
        <x:v>777</x:v>
      </x:c>
      <x:c r="C810" s="2" t="str">
        <x:v>23312</x:v>
      </x:c>
      <x:c r="D810" s="2" t="str">
        <x:v>VINTAGE CHRISTMAS GIFT SACK</x:v>
      </x:c>
      <x:c r="E810" s="11" t="n">
        <x:v>5968.3</x:v>
      </x:c>
      <x:c r="F810" s="11" t="n">
        <x:v>4.15</x:v>
      </x:c>
      <x:c r="G810" s="11" t="n">
        <x:v>5964.150000000001</x:v>
      </x:c>
      <x:c r="H810" s="23" t="n">
        <x:v>0.00029065817734702087</x:v>
      </x:c>
      <x:c r="I810" s="23" t="n">
        <x:v>0.7423782859877675</x:v>
      </x:c>
      <x:c r="J810" s="2" t="n">
        <x:v>214</x:v>
      </x:c>
      <x:c r="K810" s="2"/>
      <x:c r="L810" s="2"/>
    </x:row>
    <x:row r="811" ht="22" customHeight="1">
      <x:c r="A811" s="2"/>
      <x:c r="B811" s="2" t="n">
        <x:v>778</x:v>
      </x:c>
      <x:c r="C811" s="2" t="str">
        <x:v>22491</x:v>
      </x:c>
      <x:c r="D811" s="2" t="str">
        <x:v>PACK OF 12 COLOURED PENCILS</x:v>
      </x:c>
      <x:c r="E811" s="11" t="n">
        <x:v>5961.049999999999</x:v>
      </x:c>
      <x:c r="F811" s="11" t="n">
        <x:v>134.28</x:v>
      </x:c>
      <x:c r="G811" s="11" t="n">
        <x:v>5826.7699999999995</x:v>
      </x:c>
      <x:c r="H811" s="23" t="n">
        <x:v>0.00029030509995718357</x:v>
      </x:c>
      <x:c r="I811" s="23" t="n">
        <x:v>0.7426685910877246</x:v>
      </x:c>
      <x:c r="J811" s="2" t="n">
        <x:v>390</x:v>
      </x:c>
      <x:c r="K811" s="2"/>
      <x:c r="L811" s="2"/>
    </x:row>
    <x:row r="812" ht="22" customHeight="1">
      <x:c r="A812" s="2"/>
      <x:c r="B812" s="2" t="n">
        <x:v>779</x:v>
      </x:c>
      <x:c r="C812" s="2" t="str">
        <x:v>23052</x:v>
      </x:c>
      <x:c r="D812" s="2" t="str">
        <x:v>RECYCLED ACAPULCO MAT TURQUOISE</x:v>
      </x:c>
      <x:c r="E812" s="11" t="n">
        <x:v>5949.34</x:v>
      </x:c>
      <x:c r="F812" s="11" t="n">
        <x:v>8.25</x:v>
      </x:c>
      <x:c r="G812" s="11" t="n">
        <x:v>5941.09</x:v>
      </x:c>
      <x:c r="H812" s="23" t="n">
        <x:v>0.0002897348190971843</x:v>
      </x:c>
      <x:c r="I812" s="23" t="n">
        <x:v>0.7429583259068219</x:v>
      </x:c>
      <x:c r="J812" s="2" t="n">
        <x:v>278</x:v>
      </x:c>
      <x:c r="K812" s="2"/>
      <x:c r="L812" s="2"/>
    </x:row>
    <x:row r="813" ht="22" customHeight="1">
      <x:c r="A813" s="2"/>
      <x:c r="B813" s="2" t="n">
        <x:v>780</x:v>
      </x:c>
      <x:c r="C813" s="2" t="str">
        <x:v>23154</x:v>
      </x:c>
      <x:c r="D813" s="2" t="str">
        <x:v>SET OF 4 JAM JAR MAGNETS</x:v>
      </x:c>
      <x:c r="E813" s="11" t="n">
        <x:v>5907.360000000001</x:v>
      </x:c>
      <x:c r="F813" s="11" t="n">
        <x:v>126.88</x:v>
      </x:c>
      <x:c r="G813" s="11" t="n">
        <x:v>5780.4800000000005</x:v>
      </x:c>
      <x:c r="H813" s="23" t="n">
        <x:v>0.00028769037925920234</x:v>
      </x:c>
      <x:c r="I813" s="23" t="n">
        <x:v>0.7432460162860811</x:v>
      </x:c>
      <x:c r="J813" s="2" t="n">
        <x:v>235</x:v>
      </x:c>
      <x:c r="K813" s="2"/>
      <x:c r="L813" s="2"/>
    </x:row>
    <x:row r="814" ht="22" customHeight="1">
      <x:c r="A814" s="2"/>
      <x:c r="B814" s="2" t="n">
        <x:v>781</x:v>
      </x:c>
      <x:c r="C814" s="2" t="str">
        <x:v>48197</x:v>
      </x:c>
      <x:c r="D814" s="2" t="str">
        <x:v>DOORMAT BIRD ON THE WIRE</x:v>
      </x:c>
      <x:c r="E814" s="11" t="n">
        <x:v>5905.64</x:v>
      </x:c>
      <x:c r="F814" s="11" t="n">
        <x:v>0</x:v>
      </x:c>
      <x:c r="G814" s="11" t="n">
        <x:v>5905.64</x:v>
      </x:c>
      <x:c r="H814" s="23" t="n">
        <x:v>0.00028760661469223405</x:v>
      </x:c>
      <x:c r="I814" s="23" t="n">
        <x:v>0.7435336229007733</x:v>
      </x:c>
      <x:c r="J814" s="2" t="n">
        <x:v>225</x:v>
      </x:c>
      <x:c r="K814" s="2"/>
      <x:c r="L814" s="2"/>
    </x:row>
    <x:row r="815" ht="22" customHeight="1">
      <x:c r="A815" s="2"/>
      <x:c r="B815" s="2" t="n">
        <x:v>782</x:v>
      </x:c>
      <x:c r="C815" s="2" t="str">
        <x:v>84509A</x:v>
      </x:c>
      <x:c r="D815" s="2" t="str">
        <x:v>SET OF 4 ENGLISH ROSE PLACEMATS</x:v>
      </x:c>
      <x:c r="E815" s="11" t="n">
        <x:v>5901.54</x:v>
      </x:c>
      <x:c r="F815" s="11" t="n">
        <x:v>48.75</x:v>
      </x:c>
      <x:c r="G815" s="11" t="n">
        <x:v>5852.79</x:v>
      </x:c>
      <x:c r="H815" s="23" t="n">
        <x:v>0.00028740694334073987</x:v>
      </x:c>
      <x:c r="I815" s="23" t="n">
        <x:v>0.743821029844114</x:v>
      </x:c>
      <x:c r="J815" s="2" t="n">
        <x:v>404</x:v>
      </x:c>
      <x:c r="K815" s="2"/>
      <x:c r="L815" s="2"/>
    </x:row>
    <x:row r="816" ht="22" customHeight="1">
      <x:c r="A816" s="2"/>
      <x:c r="B816" s="2" t="n">
        <x:v>783</x:v>
      </x:c>
      <x:c r="C816" s="2" t="str">
        <x:v>22241</x:v>
      </x:c>
      <x:c r="D816" s="2" t="str">
        <x:v>GARLAND WOODEN HAPPY EASTER</x:v>
      </x:c>
      <x:c r="E816" s="11" t="n">
        <x:v>5897.42</x:v>
      </x:c>
      <x:c r="F816" s="11" t="n">
        <x:v>22.31</x:v>
      </x:c>
      <x:c r="G816" s="11" t="n">
        <x:v>5875.11</x:v>
      </x:c>
      <x:c r="H816" s="23" t="n">
        <x:v>0.000287206297982653</x:v>
      </x:c>
      <x:c r="I816" s="23" t="n">
        <x:v>0.7441082361420966</x:v>
      </x:c>
      <x:c r="J816" s="2" t="n">
        <x:v>474</x:v>
      </x:c>
      <x:c r="K816" s="2"/>
      <x:c r="L816" s="2"/>
    </x:row>
    <x:row r="817" ht="22" customHeight="1">
      <x:c r="A817" s="2"/>
      <x:c r="B817" s="2" t="n">
        <x:v>784</x:v>
      </x:c>
      <x:c r="C817" s="2" t="str">
        <x:v>21407</x:v>
      </x:c>
      <x:c r="D817" s="2" t="str">
        <x:v>BROWN CHECK CAT DOORSTOP </x:v>
      </x:c>
      <x:c r="E817" s="11" t="n">
        <x:v>5896.08</x:v>
      </x:c>
      <x:c r="F817" s="11" t="n">
        <x:v>8.5</x:v>
      </x:c>
      <x:c r="G817" s="11" t="n">
        <x:v>5887.58</x:v>
      </x:c>
      <x:c r="H817" s="23" t="n">
        <x:v>0.00028714103954094515</x:v>
      </x:c>
      <x:c r="I817" s="23" t="n">
        <x:v>0.7443953771816376</x:v>
      </x:c>
      <x:c r="J817" s="2" t="n">
        <x:v>453</x:v>
      </x:c>
      <x:c r="K817" s="2"/>
      <x:c r="L817" s="2"/>
    </x:row>
    <x:row r="818" ht="22" customHeight="1">
      <x:c r="A818" s="2"/>
      <x:c r="B818" s="2" t="n">
        <x:v>785</x:v>
      </x:c>
      <x:c r="C818" s="2" t="str">
        <x:v>22737</x:v>
      </x:c>
      <x:c r="D818" s="2" t="str">
        <x:v>RIBBON REEL CHRISTMAS PRESENT </x:v>
      </x:c>
      <x:c r="E818" s="11" t="n">
        <x:v>5894.88</x:v>
      </x:c>
      <x:c r="F818" s="11" t="n">
        <x:v>66</x:v>
      </x:c>
      <x:c r="G818" s="11" t="n">
        <x:v>5828.88</x:v>
      </x:c>
      <x:c r="H818" s="23" t="n">
        <x:v>0.0002870825991453859</x:v>
      </x:c>
      <x:c r="I818" s="23" t="n">
        <x:v>0.744682459780783</x:v>
      </x:c>
      <x:c r="J818" s="2" t="n">
        <x:v>493</x:v>
      </x:c>
      <x:c r="K818" s="2"/>
      <x:c r="L818" s="2"/>
    </x:row>
    <x:row r="819" ht="22" customHeight="1">
      <x:c r="A819" s="2"/>
      <x:c r="B819" s="2" t="n">
        <x:v>786</x:v>
      </x:c>
      <x:c r="C819" s="2" t="str">
        <x:v>23113</x:v>
      </x:c>
      <x:c r="D819" s="2" t="str">
        <x:v>PANTRY CHOPPING BOARD</x:v>
      </x:c>
      <x:c r="E819" s="11" t="n">
        <x:v>5868.5</x:v>
      </x:c>
      <x:c r="F819" s="11" t="n">
        <x:v>4803.0599999999995</x:v>
      </x:c>
      <x:c r="G819" s="11" t="n">
        <x:v>1065.44</x:v>
      </x:c>
      <x:c r="H819" s="23" t="n">
        <x:v>0.00028579788444967443</x:v>
      </x:c>
      <x:c r="I819" s="23" t="n">
        <x:v>0.7449682576652327</x:v>
      </x:c>
      <x:c r="J819" s="2" t="n">
        <x:v>57</x:v>
      </x:c>
      <x:c r="K819" s="2"/>
      <x:c r="L819" s="2"/>
    </x:row>
    <x:row r="820" ht="22" customHeight="1">
      <x:c r="A820" s="2"/>
      <x:c r="B820" s="2" t="n">
        <x:v>787</x:v>
      </x:c>
      <x:c r="C820" s="2" t="str">
        <x:v>22660</x:v>
      </x:c>
      <x:c r="D820" s="2" t="str">
        <x:v>DOORMAT I LOVE LONDON</x:v>
      </x:c>
      <x:c r="E820" s="11" t="n">
        <x:v>5862.8</x:v>
      </x:c>
      <x:c r="F820" s="11" t="n">
        <x:v>47.7</x:v>
      </x:c>
      <x:c r="G820" s="11" t="n">
        <x:v>5815.1</x:v>
      </x:c>
      <x:c r="H820" s="23" t="n">
        <x:v>0.0002855202925707679</x:v>
      </x:c>
      <x:c r="I820" s="23" t="n">
        <x:v>0.7452537779578035</x:v>
      </x:c>
      <x:c r="J820" s="2" t="n">
        <x:v>194</x:v>
      </x:c>
      <x:c r="K820" s="2"/>
      <x:c r="L820" s="2"/>
    </x:row>
    <x:row r="821" ht="22" customHeight="1">
      <x:c r="A821" s="2"/>
      <x:c r="B821" s="2" t="n">
        <x:v>788</x:v>
      </x:c>
      <x:c r="C821" s="2" t="str">
        <x:v>21832</x:v>
      </x:c>
      <x:c r="D821" s="2" t="str">
        <x:v>CHOCOLATE CALCULATOR</x:v>
      </x:c>
      <x:c r="E821" s="11" t="n">
        <x:v>5849.959999999999</x:v>
      </x:c>
      <x:c r="F821" s="11" t="n">
        <x:v>69.3</x:v>
      </x:c>
      <x:c r="G821" s="11" t="n">
        <x:v>5780.66</x:v>
      </x:c>
      <x:c r="H821" s="23" t="n">
        <x:v>0.0002848949803382836</x:v>
      </x:c>
      <x:c r="I821" s="23" t="n">
        <x:v>0.7455386729381417</x:v>
      </x:c>
      <x:c r="J821" s="2" t="n">
        <x:v>459</x:v>
      </x:c>
      <x:c r="K821" s="2"/>
      <x:c r="L821" s="2"/>
    </x:row>
    <x:row r="822" ht="22" customHeight="1">
      <x:c r="A822" s="2"/>
      <x:c r="B822" s="2" t="n">
        <x:v>789</x:v>
      </x:c>
      <x:c r="C822" s="2" t="str">
        <x:v>22971</x:v>
      </x:c>
      <x:c r="D822" s="2" t="str">
        <x:v>QUEENS GUARD COFFEE MUG</x:v>
      </x:c>
      <x:c r="E822" s="11" t="n">
        <x:v>5849.29</x:v>
      </x:c>
      <x:c r="F822" s="11" t="n">
        <x:v>37.65</x:v>
      </x:c>
      <x:c r="G822" s="11" t="n">
        <x:v>5811.64</x:v>
      </x:c>
      <x:c r="H822" s="23" t="n">
        <x:v>0.0002848623511174297</x:v>
      </x:c>
      <x:c r="I822" s="23" t="n">
        <x:v>0.7458235352892592</x:v>
      </x:c>
      <x:c r="J822" s="2" t="n">
        <x:v>272</x:v>
      </x:c>
      <x:c r="K822" s="2"/>
      <x:c r="L822" s="2"/>
    </x:row>
    <x:row r="823" ht="22" customHeight="1">
      <x:c r="A823" s="2"/>
      <x:c r="B823" s="2" t="n">
        <x:v>790</x:v>
      </x:c>
      <x:c r="C823" s="2" t="str">
        <x:v>23485</x:v>
      </x:c>
      <x:c r="D823" s="2" t="str">
        <x:v>BOTANICAL GARDENS WALL CLOCK </x:v>
      </x:c>
      <x:c r="E823" s="11" t="n">
        <x:v>5843.92</x:v>
      </x:c>
      <x:c r="F823" s="11" t="n">
        <x:v>407.4</x:v>
      </x:c>
      <x:c r="G823" s="11" t="n">
        <x:v>5436.52</x:v>
      </x:c>
      <x:c r="H823" s="23" t="n">
        <x:v>0.00028460083034730196</x:v>
      </x:c>
      <x:c r="I823" s="23" t="n">
        <x:v>0.7461081361196065</x:v>
      </x:c>
      <x:c r="J823" s="2" t="n">
        <x:v>83</x:v>
      </x:c>
      <x:c r="K823" s="2"/>
      <x:c r="L823" s="2"/>
    </x:row>
    <x:row r="824" ht="22" customHeight="1">
      <x:c r="A824" s="2"/>
      <x:c r="B824" s="2" t="n">
        <x:v>791</x:v>
      </x:c>
      <x:c r="C824" s="2" t="str">
        <x:v>21988</x:v>
      </x:c>
      <x:c r="D824" s="2" t="str">
        <x:v>PACK OF 6 SKULL PAPER PLATES</x:v>
      </x:c>
      <x:c r="E824" s="11" t="n">
        <x:v>5820.95</x:v>
      </x:c>
      <x:c r="F824" s="11" t="n">
        <x:v>368.64</x:v>
      </x:c>
      <x:c r="G824" s="11" t="n">
        <x:v>5452.3099999999995</x:v>
      </x:c>
      <x:c r="H824" s="23" t="n">
        <x:v>0.00028348218377563815</x:v>
      </x:c>
      <x:c r="I824" s="23" t="n">
        <x:v>0.7463916183033821</x:v>
      </x:c>
      <x:c r="J824" s="2" t="n">
        <x:v>416</x:v>
      </x:c>
      <x:c r="K824" s="2"/>
      <x:c r="L824" s="2"/>
    </x:row>
    <x:row r="825" ht="22" customHeight="1">
      <x:c r="A825" s="2"/>
      <x:c r="B825" s="2" t="n">
        <x:v>792</x:v>
      </x:c>
      <x:c r="C825" s="2" t="str">
        <x:v>85038</x:v>
      </x:c>
      <x:c r="D825" s="2" t="str">
        <x:v>6 CHOCOLATE LOVE HEART T-LIGHTS</x:v>
      </x:c>
      <x:c r="E825" s="11" t="n">
        <x:v>5820.38</x:v>
      </x:c>
      <x:c r="F825" s="11" t="n">
        <x:v>0</x:v>
      </x:c>
      <x:c r="G825" s="11" t="n">
        <x:v>5820.38</x:v>
      </x:c>
      <x:c r="H825" s="23" t="n">
        <x:v>0.0002834544245877475</x:v>
      </x:c>
      <x:c r="I825" s="23" t="n">
        <x:v>0.7466750727279698</x:v>
      </x:c>
      <x:c r="J825" s="2" t="n">
        <x:v>382</x:v>
      </x:c>
      <x:c r="K825" s="2"/>
      <x:c r="L825" s="2"/>
    </x:row>
    <x:row r="826" ht="22" customHeight="1">
      <x:c r="A826" s="2"/>
      <x:c r="B826" s="2" t="n">
        <x:v>793</x:v>
      </x:c>
      <x:c r="C826" s="2" t="str">
        <x:v>85132C</x:v>
      </x:c>
      <x:c r="D826" s="2" t="str">
        <x:v>CHARLIE AND LOLA FIGURES TINS</x:v>
      </x:c>
      <x:c r="E826" s="11" t="n">
        <x:v>5818.94</x:v>
      </x:c>
      <x:c r="F826" s="11" t="n">
        <x:v>79.39999999999999</x:v>
      </x:c>
      <x:c r="G826" s="11" t="n">
        <x:v>5739.54</x:v>
      </x:c>
      <x:c r="H826" s="23" t="n">
        <x:v>0.00028338429611307636</x:v>
      </x:c>
      <x:c r="I826" s="23" t="n">
        <x:v>0.7469584570240829</x:v>
      </x:c>
      <x:c r="J826" s="2" t="n">
        <x:v>302</x:v>
      </x:c>
      <x:c r="K826" s="2"/>
      <x:c r="L826" s="2"/>
    </x:row>
    <x:row r="827" ht="22" customHeight="1">
      <x:c r="A827" s="2"/>
      <x:c r="B827" s="2" t="n">
        <x:v>794</x:v>
      </x:c>
      <x:c r="C827" s="2" t="str">
        <x:v>22951</x:v>
      </x:c>
      <x:c r="D827" s="2" t="str">
        <x:v>60 CAKE CASES DOLLY GIRL DESIGN</x:v>
      </x:c>
      <x:c r="E827" s="11" t="n">
        <x:v>5807.42</x:v>
      </x:c>
      <x:c r="F827" s="11" t="n">
        <x:v>116.4</x:v>
      </x:c>
      <x:c r="G827" s="11" t="n">
        <x:v>5691.02</x:v>
      </x:c>
      <x:c r="H827" s="23" t="n">
        <x:v>0.0002828232683157073</x:v>
      </x:c>
      <x:c r="I827" s="23" t="n">
        <x:v>0.7472412802923987</x:v>
      </x:c>
      <x:c r="J827" s="2" t="n">
        <x:v>634</x:v>
      </x:c>
      <x:c r="K827" s="2"/>
      <x:c r="L827" s="2"/>
    </x:row>
    <x:row r="828" ht="22" customHeight="1">
      <x:c r="A828" s="2"/>
      <x:c r="B828" s="2" t="n">
        <x:v>795</x:v>
      </x:c>
      <x:c r="C828" s="2" t="str">
        <x:v>21313</x:v>
      </x:c>
      <x:c r="D828" s="2" t="str">
        <x:v>GLASS HEART T-LIGHT HOLDER </x:v>
      </x:c>
      <x:c r="E828" s="11" t="n">
        <x:v>5794.0599999999995</x:v>
      </x:c>
      <x:c r="F828" s="11" t="n">
        <x:v>110.14999999999999</x:v>
      </x:c>
      <x:c r="G828" s="11" t="n">
        <x:v>5683.91</x:v>
      </x:c>
      <x:c r="H828" s="23" t="n">
        <x:v>0.000282172631911814</x:v>
      </x:c>
      <x:c r="I828" s="23" t="n">
        <x:v>0.7475234529243104</x:v>
      </x:c>
      <x:c r="J828" s="2" t="n">
        <x:v>415</x:v>
      </x:c>
      <x:c r="K828" s="2"/>
      <x:c r="L828" s="2"/>
    </x:row>
    <x:row r="829" ht="22" customHeight="1">
      <x:c r="A829" s="2"/>
      <x:c r="B829" s="2" t="n">
        <x:v>796</x:v>
      </x:c>
      <x:c r="C829" s="2" t="str">
        <x:v>22200</x:v>
      </x:c>
      <x:c r="D829" s="2" t="str">
        <x:v>FRYING PAN PINK POLKADOT</x:v>
      </x:c>
      <x:c r="E829" s="11" t="n">
        <x:v>5784.92</x:v>
      </x:c>
      <x:c r="F829" s="11" t="n">
        <x:v>44.25</x:v>
      </x:c>
      <x:c r="G829" s="11" t="n">
        <x:v>5740.67</x:v>
      </x:c>
      <x:c r="H829" s="23" t="n">
        <x:v>0.0002817275108989709</x:v>
      </x:c>
      <x:c r="I829" s="23" t="n">
        <x:v>0.7478051804352094</x:v>
      </x:c>
      <x:c r="J829" s="2" t="n">
        <x:v>357</x:v>
      </x:c>
      <x:c r="K829" s="2"/>
      <x:c r="L829" s="2"/>
    </x:row>
    <x:row r="830" ht="22" customHeight="1">
      <x:c r="A830" s="2"/>
      <x:c r="B830" s="2" t="n">
        <x:v>797</x:v>
      </x:c>
      <x:c r="C830" s="2" t="str">
        <x:v>22687</x:v>
      </x:c>
      <x:c r="D830" s="2" t="str">
        <x:v>DOORMAT CHRISTMAS VILLAGE</x:v>
      </x:c>
      <x:c r="E830" s="11" t="n">
        <x:v>5784.67</x:v>
      </x:c>
      <x:c r="F830" s="11" t="n">
        <x:v>0</x:v>
      </x:c>
      <x:c r="G830" s="11" t="n">
        <x:v>5784.67</x:v>
      </x:c>
      <x:c r="H830" s="23" t="n">
        <x:v>0.00028171533581656274</x:v>
      </x:c>
      <x:c r="I830" s="23" t="n">
        <x:v>0.7480868957710259</x:v>
      </x:c>
      <x:c r="J830" s="2" t="n">
        <x:v>149</x:v>
      </x:c>
      <x:c r="K830" s="2"/>
      <x:c r="L830" s="2"/>
    </x:row>
    <x:row r="831" ht="22" customHeight="1">
      <x:c r="A831" s="2"/>
      <x:c r="B831" s="2" t="n">
        <x:v>798</x:v>
      </x:c>
      <x:c r="C831" s="2" t="str">
        <x:v>22964</x:v>
      </x:c>
      <x:c r="D831" s="2" t="str">
        <x:v>3 PIECE SPACEBOY COOKIE CUTTER SET</x:v>
      </x:c>
      <x:c r="E831" s="11" t="n">
        <x:v>5777.2300000000005</x:v>
      </x:c>
      <x:c r="F831" s="11" t="n">
        <x:v>29.400000000000002</x:v>
      </x:c>
      <x:c r="G831" s="11" t="n">
        <x:v>5747.830000000001</x:v>
      </x:c>
      <x:c r="H831" s="23" t="n">
        <x:v>0.0002813530053640952</x:v>
      </x:c>
      <x:c r="I831" s="23" t="n">
        <x:v>0.7483682487763901</x:v>
      </x:c>
      <x:c r="J831" s="2" t="n">
        <x:v>408</x:v>
      </x:c>
      <x:c r="K831" s="2"/>
      <x:c r="L831" s="2"/>
    </x:row>
    <x:row r="832" ht="22" customHeight="1">
      <x:c r="A832" s="2"/>
      <x:c r="B832" s="2" t="n">
        <x:v>799</x:v>
      </x:c>
      <x:c r="C832" s="2" t="str">
        <x:v>22899</x:v>
      </x:c>
      <x:c r="D832" s="2" t="str">
        <x:v>CHILDREN'S APRON DOLLY GIRL </x:v>
      </x:c>
      <x:c r="E832" s="11" t="n">
        <x:v>5771.860000000001</x:v>
      </x:c>
      <x:c r="F832" s="11" t="n">
        <x:v>14.450000000000001</x:v>
      </x:c>
      <x:c r="G832" s="11" t="n">
        <x:v>5757.410000000001</x:v>
      </x:c>
      <x:c r="H832" s="23" t="n">
        <x:v>0.00028109148459396746</x:v>
      </x:c>
      <x:c r="I832" s="23" t="n">
        <x:v>0.7486493402609841</x:v>
      </x:c>
      <x:c r="J832" s="2" t="n">
        <x:v>421</x:v>
      </x:c>
      <x:c r="K832" s="2"/>
      <x:c r="L832" s="2"/>
    </x:row>
    <x:row r="833" ht="22" customHeight="1">
      <x:c r="A833" s="2"/>
      <x:c r="B833" s="2" t="n">
        <x:v>800</x:v>
      </x:c>
      <x:c r="C833" s="2" t="str">
        <x:v>21452</x:v>
      </x:c>
      <x:c r="D833" s="2" t="str">
        <x:v>TOADSTOOL MONEY BOX</x:v>
      </x:c>
      <x:c r="E833" s="11" t="n">
        <x:v>5754.93</x:v>
      </x:c>
      <x:c r="F833" s="11" t="n">
        <x:v>127</x:v>
      </x:c>
      <x:c r="G833" s="11" t="n">
        <x:v>5627.93</x:v>
      </x:c>
      <x:c r="H833" s="23" t="n">
        <x:v>0.0002802669880132853</x:v>
      </x:c>
      <x:c r="I833" s="23" t="n">
        <x:v>0.7489296072489974</x:v>
      </x:c>
      <x:c r="J833" s="2" t="n">
        <x:v>408</x:v>
      </x:c>
      <x:c r="K833" s="2"/>
      <x:c r="L833" s="2"/>
    </x:row>
    <x:row r="834" ht="22" customHeight="1">
      <x:c r="A834" s="2"/>
      <x:c r="B834" s="2" t="n">
        <x:v>801</x:v>
      </x:c>
      <x:c r="C834" s="2" t="str">
        <x:v>22441</x:v>
      </x:c>
      <x:c r="D834" s="2" t="str">
        <x:v>GROW YOUR OWN BASIL IN ENAMEL MUG</x:v>
      </x:c>
      <x:c r="E834" s="11" t="n">
        <x:v>5744.27</x:v>
      </x:c>
      <x:c r="F834" s="11" t="n">
        <x:v>21</x:v>
      </x:c>
      <x:c r="G834" s="11" t="n">
        <x:v>5723.27</x:v>
      </x:c>
      <x:c r="H834" s="23" t="n">
        <x:v>0.00027974784249940043</x:v>
      </x:c>
      <x:c r="I834" s="23" t="n">
        <x:v>0.7492093550914968</x:v>
      </x:c>
      <x:c r="J834" s="2" t="n">
        <x:v>472</x:v>
      </x:c>
      <x:c r="K834" s="2"/>
      <x:c r="L834" s="2"/>
    </x:row>
    <x:row r="835" ht="22" customHeight="1">
      <x:c r="A835" s="2"/>
      <x:c r="B835" s="2" t="n">
        <x:v>802</x:v>
      </x:c>
      <x:c r="C835" s="2" t="str">
        <x:v>37495</x:v>
      </x:c>
      <x:c r="D835" s="2" t="str">
        <x:v>FAIRY CAKE BIRTHDAY CANDLE SET</x:v>
      </x:c>
      <x:c r="E835" s="11" t="n">
        <x:v>5736.35</x:v>
      </x:c>
      <x:c r="F835" s="11" t="n">
        <x:v>493.2</x:v>
      </x:c>
      <x:c r="G835" s="11" t="n">
        <x:v>5243.15</x:v>
      </x:c>
      <x:c r="H835" s="23" t="n">
        <x:v>0.00027936213588870926</x:v>
      </x:c>
      <x:c r="I835" s="23" t="n">
        <x:v>0.7494887172273855</x:v>
      </x:c>
      <x:c r="J835" s="2" t="n">
        <x:v>330</x:v>
      </x:c>
      <x:c r="K835" s="2"/>
      <x:c r="L835" s="2"/>
    </x:row>
    <x:row r="836" ht="22" customHeight="1">
      <x:c r="A836" s="2"/>
      <x:c r="B836" s="2" t="n">
        <x:v>803</x:v>
      </x:c>
      <x:c r="C836" s="2" t="str">
        <x:v>84968B</x:v>
      </x:c>
      <x:c r="D836" s="2" t="str">
        <x:v>SET OF 16 VINTAGE IVORY CUTLERY</x:v>
      </x:c>
      <x:c r="E836" s="11" t="n">
        <x:v>5732.41</x:v>
      </x:c>
      <x:c r="F836" s="11" t="n">
        <x:v>12.75</x:v>
      </x:c>
      <x:c r="G836" s="11" t="n">
        <x:v>5719.66</x:v>
      </x:c>
      <x:c r="H836" s="23" t="n">
        <x:v>0.00027917025658995623</x:v>
      </x:c>
      <x:c r="I836" s="23" t="n">
        <x:v>0.7497678874839755</x:v>
      </x:c>
      <x:c r="J836" s="2" t="n">
        <x:v>135</x:v>
      </x:c>
      <x:c r="K836" s="2"/>
      <x:c r="L836" s="2"/>
    </x:row>
    <x:row r="837" ht="22" customHeight="1">
      <x:c r="A837" s="2"/>
      <x:c r="B837" s="2" t="n">
        <x:v>804</x:v>
      </x:c>
      <x:c r="C837" s="2" t="str">
        <x:v>23205</x:v>
      </x:c>
      <x:c r="D837" s="2" t="str">
        <x:v>CHARLOTTE BAG VINTAGE ALPHABET </x:v>
      </x:c>
      <x:c r="E837" s="11" t="n">
        <x:v>5728.08</x:v>
      </x:c>
      <x:c r="F837" s="11" t="n">
        <x:v>140.25</x:v>
      </x:c>
      <x:c r="G837" s="11" t="n">
        <x:v>5587.83</x:v>
      </x:c>
      <x:c r="H837" s="23" t="n">
        <x:v>0.00027895938416264653</x:v>
      </x:c>
      <x:c r="I837" s="23" t="n">
        <x:v>0.7500468468681382</x:v>
      </x:c>
      <x:c r="J837" s="2" t="n">
        <x:v>467</x:v>
      </x:c>
      <x:c r="K837" s="2"/>
      <x:c r="L837" s="2"/>
    </x:row>
    <x:row r="838" ht="22" customHeight="1">
      <x:c r="A838" s="2"/>
      <x:c r="B838" s="2" t="n">
        <x:v>805</x:v>
      </x:c>
      <x:c r="C838" s="2" t="str">
        <x:v>21528</x:v>
      </x:c>
      <x:c r="D838" s="2" t="str">
        <x:v>DAIRY MAID TRADITIONAL TEAPOT </x:v>
      </x:c>
      <x:c r="E838" s="11" t="n">
        <x:v>5721.85</x:v>
      </x:c>
      <x:c r="F838" s="11" t="n">
        <x:v>213.4</x:v>
      </x:c>
      <x:c r="G838" s="11" t="n">
        <x:v>5508.45</x:v>
      </x:c>
      <x:c r="H838" s="23" t="n">
        <x:v>0.00027865598110903467</x:v>
      </x:c>
      <x:c r="I838" s="23" t="n">
        <x:v>0.7503255028492472</x:v>
      </x:c>
      <x:c r="J838" s="2" t="n">
        <x:v>257</x:v>
      </x:c>
      <x:c r="K838" s="2"/>
      <x:c r="L838" s="2"/>
    </x:row>
    <x:row r="839" ht="22" customHeight="1">
      <x:c r="A839" s="2"/>
      <x:c r="B839" s="2" t="n">
        <x:v>806</x:v>
      </x:c>
      <x:c r="C839" s="2" t="str">
        <x:v>22070</x:v>
      </x:c>
      <x:c r="D839" s="2" t="str">
        <x:v>SMALL RED RETROSPOT MUG IN BOX </x:v>
      </x:c>
      <x:c r="E839" s="11" t="n">
        <x:v>5720.24</x:v>
      </x:c>
      <x:c r="F839" s="11" t="n">
        <x:v>474.79</x:v>
      </x:c>
      <x:c r="G839" s="11" t="n">
        <x:v>5245.45</x:v>
      </x:c>
      <x:c r="H839" s="23" t="n">
        <x:v>0.0002785775735783259</x:v>
      </x:c>
      <x:c r="I839" s="23" t="n">
        <x:v>0.7506040804228254</x:v>
      </x:c>
      <x:c r="J839" s="2" t="n">
        <x:v>320</x:v>
      </x:c>
      <x:c r="K839" s="2"/>
      <x:c r="L839" s="2"/>
    </x:row>
    <x:row r="840" ht="22" customHeight="1">
      <x:c r="A840" s="2"/>
      <x:c r="B840" s="2" t="n">
        <x:v>807</x:v>
      </x:c>
      <x:c r="C840" s="2" t="str">
        <x:v>21577</x:v>
      </x:c>
      <x:c r="D840" s="2" t="str">
        <x:v>SAVE THE PLANET COTTON TOTE BAG</x:v>
      </x:c>
      <x:c r="E840" s="11" t="n">
        <x:v>5718.7699999999995</x:v>
      </x:c>
      <x:c r="F840" s="11" t="n">
        <x:v>36</x:v>
      </x:c>
      <x:c r="G840" s="11" t="n">
        <x:v>5682.7699999999995</x:v>
      </x:c>
      <x:c r="H840" s="23" t="n">
        <x:v>0.0002785059840937658</x:v>
      </x:c>
      <x:c r="I840" s="23" t="n">
        <x:v>0.7508825864069192</x:v>
      </x:c>
      <x:c r="J840" s="2" t="n">
        <x:v>464</x:v>
      </x:c>
      <x:c r="K840" s="2"/>
      <x:c r="L840" s="2"/>
    </x:row>
    <x:row r="841" ht="22" customHeight="1">
      <x:c r="A841" s="2"/>
      <x:c r="B841" s="2" t="n">
        <x:v>808</x:v>
      </x:c>
      <x:c r="C841" s="2" t="str">
        <x:v>22115</x:v>
      </x:c>
      <x:c r="D841" s="2" t="str">
        <x:v>METAL SIGN EMPIRE TEA</x:v>
      </x:c>
      <x:c r="E841" s="11" t="n">
        <x:v>5703.950000000001</x:v>
      </x:c>
      <x:c r="F841" s="11" t="n">
        <x:v>2.95</x:v>
      </x:c>
      <x:c r="G841" s="11" t="n">
        <x:v>5701</x:v>
      </x:c>
      <x:c r="H841" s="23" t="n">
        <x:v>0.0002777842452086088</x:v>
      </x:c>
      <x:c r="I841" s="23" t="n">
        <x:v>0.7511603706521278</x:v>
      </x:c>
      <x:c r="J841" s="2" t="n">
        <x:v>500</x:v>
      </x:c>
      <x:c r="K841" s="2"/>
      <x:c r="L841" s="2"/>
    </x:row>
    <x:row r="842" ht="22" customHeight="1">
      <x:c r="A842" s="2"/>
      <x:c r="B842" s="2" t="n">
        <x:v>809</x:v>
      </x:c>
      <x:c r="C842" s="2" t="str">
        <x:v>22341</x:v>
      </x:c>
      <x:c r="D842" s="2" t="str">
        <x:v>LOVE GARLAND PAINTED ZINC </x:v>
      </x:c>
      <x:c r="E842" s="11" t="n">
        <x:v>5702.19</x:v>
      </x:c>
      <x:c r="F842" s="11" t="n">
        <x:v>1858.1999999999998</x:v>
      </x:c>
      <x:c r="G842" s="11" t="n">
        <x:v>3843.99</x:v>
      </x:c>
      <x:c r="H842" s="23" t="n">
        <x:v>0.00027769853262845517</x:v>
      </x:c>
      <x:c r="I842" s="23" t="n">
        <x:v>0.7514380691847563</x:v>
      </x:c>
      <x:c r="J842" s="2" t="n">
        <x:v>240</x:v>
      </x:c>
      <x:c r="K842" s="2"/>
      <x:c r="L842" s="2"/>
    </x:row>
    <x:row r="843" ht="22" customHeight="1">
      <x:c r="A843" s="2"/>
      <x:c r="B843" s="2" t="n">
        <x:v>810</x:v>
      </x:c>
      <x:c r="C843" s="2" t="str">
        <x:v>22060</x:v>
      </x:c>
      <x:c r="D843" s="2" t="str">
        <x:v>damaged</x:v>
      </x:c>
      <x:c r="E843" s="11" t="n">
        <x:v>5699.3099999999995</x:v>
      </x:c>
      <x:c r="F843" s="11" t="n">
        <x:v>186.7</x:v>
      </x:c>
      <x:c r="G843" s="11" t="n">
        <x:v>5512.61</x:v>
      </x:c>
      <x:c r="H843" s="23" t="n">
        <x:v>0.0002775582756791129</x:v>
      </x:c>
      <x:c r="I843" s="23" t="n">
        <x:v>0.7517156274604354</x:v>
      </x:c>
      <x:c r="J843" s="2" t="n">
        <x:v>158</x:v>
      </x:c>
      <x:c r="K843" s="2"/>
      <x:c r="L843" s="2"/>
    </x:row>
    <x:row r="844" ht="22" customHeight="1">
      <x:c r="A844" s="2"/>
      <x:c r="B844" s="2" t="n">
        <x:v>811</x:v>
      </x:c>
      <x:c r="C844" s="2" t="str">
        <x:v>22335</x:v>
      </x:c>
      <x:c r="D844" s="2" t="str">
        <x:v>HEART DECORATION PAINTED ZINC </x:v>
      </x:c>
      <x:c r="E844" s="11" t="n">
        <x:v>5655.17</x:v>
      </x:c>
      <x:c r="F844" s="11" t="n">
        <x:v>292.95000000000005</x:v>
      </x:c>
      <x:c r="G844" s="11" t="n">
        <x:v>5362.22</x:v>
      </x:c>
      <x:c r="H844" s="23" t="n">
        <x:v>0.0002754086431291242</x:v>
      </x:c>
      <x:c r="I844" s="23" t="n">
        <x:v>0.7519910361035645</x:v>
      </x:c>
      <x:c r="J844" s="2" t="n">
        <x:v>510</x:v>
      </x:c>
      <x:c r="K844" s="2"/>
      <x:c r="L844" s="2"/>
    </x:row>
    <x:row r="845" ht="22" customHeight="1">
      <x:c r="A845" s="2"/>
      <x:c r="B845" s="2" t="n">
        <x:v>812</x:v>
      </x:c>
      <x:c r="C845" s="2" t="str">
        <x:v>21703</x:v>
      </x:c>
      <x:c r="D845" s="2" t="str">
        <x:v>BAG 125g SWIRLY MARBLES</x:v>
      </x:c>
      <x:c r="E845" s="11" t="n">
        <x:v>5647.31</x:v>
      </x:c>
      <x:c r="F845" s="11" t="n">
        <x:v>71.82</x:v>
      </x:c>
      <x:c r="G845" s="11" t="n">
        <x:v>5575.49</x:v>
      </x:c>
      <x:c r="H845" s="23" t="n">
        <x:v>0.000275025858538211</x:v>
      </x:c>
      <x:c r="I845" s="23" t="n">
        <x:v>0.7522660619621028</x:v>
      </x:c>
      <x:c r="J845" s="2" t="n">
        <x:v>561</x:v>
      </x:c>
      <x:c r="K845" s="2"/>
      <x:c r="L845" s="2"/>
    </x:row>
    <x:row r="846" ht="22" customHeight="1">
      <x:c r="A846" s="2"/>
      <x:c r="B846" s="2" t="n">
        <x:v>813</x:v>
      </x:c>
      <x:c r="C846" s="2" t="str">
        <x:v>22119</x:v>
      </x:c>
      <x:c r="D846" s="2" t="str">
        <x:v>PEACE WOODEN BLOCK LETTERS</x:v>
      </x:c>
      <x:c r="E846" s="11" t="n">
        <x:v>5631.17</x:v>
      </x:c>
      <x:c r="F846" s="11" t="n">
        <x:v>48.650000000000006</x:v>
      </x:c>
      <x:c r="G846" s="11" t="n">
        <x:v>5582.52</x:v>
      </x:c>
      <x:c r="H846" s="23" t="n">
        <x:v>0.0002742398352179387</x:v>
      </x:c>
      <x:c r="I846" s="23" t="n">
        <x:v>0.7525403017973207</x:v>
      </x:c>
      <x:c r="J846" s="2" t="n">
        <x:v>340</x:v>
      </x:c>
      <x:c r="K846" s="2"/>
      <x:c r="L846" s="2"/>
    </x:row>
    <x:row r="847" ht="22" customHeight="1">
      <x:c r="A847" s="2"/>
      <x:c r="B847" s="2" t="n">
        <x:v>814</x:v>
      </x:c>
      <x:c r="C847" s="2" t="str">
        <x:v>22854</x:v>
      </x:c>
      <x:c r="D847" s="2" t="str">
        <x:v>CREAM SWEETHEART EGG HOLDER</x:v>
      </x:c>
      <x:c r="E847" s="11" t="n">
        <x:v>5624.5</x:v>
      </x:c>
      <x:c r="F847" s="11" t="n">
        <x:v>29.700000000000003</x:v>
      </x:c>
      <x:c r="G847" s="11" t="n">
        <x:v>5594.8</x:v>
      </x:c>
      <x:c r="H847" s="23" t="n">
        <x:v>0.0002739150040192884</x:v>
      </x:c>
      <x:c r="I847" s="23" t="n">
        <x:v>0.75281421680134</x:v>
      </x:c>
      <x:c r="J847" s="2" t="n">
        <x:v>244</x:v>
      </x:c>
      <x:c r="K847" s="2"/>
      <x:c r="L847" s="2"/>
    </x:row>
    <x:row r="848" ht="22" customHeight="1">
      <x:c r="A848" s="2"/>
      <x:c r="B848" s="2" t="n">
        <x:v>815</x:v>
      </x:c>
      <x:c r="C848" s="2" t="str">
        <x:v>22653</x:v>
      </x:c>
      <x:c r="D848" s="2" t="str">
        <x:v>BUTTON BOX </x:v>
      </x:c>
      <x:c r="E848" s="11" t="n">
        <x:v>5622.11</x:v>
      </x:c>
      <x:c r="F848" s="11" t="n">
        <x:v>85.8</x:v>
      </x:c>
      <x:c r="G848" s="11" t="n">
        <x:v>5536.3099999999995</x:v>
      </x:c>
      <x:c r="H848" s="23" t="n">
        <x:v>0.00027379861023146617</x:v>
      </x:c>
      <x:c r="I848" s="23" t="n">
        <x:v>0.7530880154115714</x:v>
      </x:c>
      <x:c r="J848" s="2" t="n">
        <x:v>381</x:v>
      </x:c>
      <x:c r="K848" s="2"/>
      <x:c r="L848" s="2"/>
    </x:row>
    <x:row r="849" ht="22" customHeight="1">
      <x:c r="A849" s="2"/>
      <x:c r="B849" s="2" t="n">
        <x:v>816</x:v>
      </x:c>
      <x:c r="C849" s="2" t="str">
        <x:v>22156</x:v>
      </x:c>
      <x:c r="D849" s="2" t="str">
        <x:v>HEART DECORATION WITH PEARLS </x:v>
      </x:c>
      <x:c r="E849" s="11" t="n">
        <x:v>5613.219999999999</x:v>
      </x:c>
      <x:c r="F849" s="11" t="n">
        <x:v>183.41</x:v>
      </x:c>
      <x:c r="G849" s="11" t="n">
        <x:v>5429.8099999999995</x:v>
      </x:c>
      <x:c r="H849" s="23" t="n">
        <x:v>0.0002733656643010312</x:v>
      </x:c>
      <x:c r="I849" s="23" t="n">
        <x:v>0.7533613810758725</x:v>
      </x:c>
      <x:c r="J849" s="2" t="n">
        <x:v>581</x:v>
      </x:c>
      <x:c r="K849" s="2"/>
      <x:c r="L849" s="2"/>
    </x:row>
    <x:row r="850" ht="22" customHeight="1">
      <x:c r="A850" s="2"/>
      <x:c r="B850" s="2" t="n">
        <x:v>817</x:v>
      </x:c>
      <x:c r="C850" s="2" t="str">
        <x:v>21207</x:v>
      </x:c>
      <x:c r="D850" s="2" t="str">
        <x:v>SKULL AND CROSSBONES  GARLAND </x:v>
      </x:c>
      <x:c r="E850" s="11" t="n">
        <x:v>5599.07</x:v>
      </x:c>
      <x:c r="F850" s="11" t="n">
        <x:v>709.25</x:v>
      </x:c>
      <x:c r="G850" s="11" t="n">
        <x:v>4889.82</x:v>
      </x:c>
      <x:c r="H850" s="23" t="n">
        <x:v>0.00027267655463672805</x:v>
      </x:c>
      <x:c r="I850" s="23" t="n">
        <x:v>0.7536340576305092</x:v>
      </x:c>
      <x:c r="J850" s="2" t="n">
        <x:v>282</x:v>
      </x:c>
      <x:c r="K850" s="2"/>
      <x:c r="L850" s="2"/>
    </x:row>
    <x:row r="851" ht="22" customHeight="1">
      <x:c r="A851" s="2"/>
      <x:c r="B851" s="2" t="n">
        <x:v>818</x:v>
      </x:c>
      <x:c r="C851" s="2" t="str">
        <x:v>21730</x:v>
      </x:c>
      <x:c r="D851" s="2" t="str">
        <x:v>GLASS STAR FROSTED T-LIGHT HOLDER</x:v>
      </x:c>
      <x:c r="E851" s="11" t="n">
        <x:v>5578.72</x:v>
      </x:c>
      <x:c r="F851" s="11" t="n">
        <x:v>172.55</x:v>
      </x:c>
      <x:c r="G851" s="11" t="n">
        <x:v>5406.17</x:v>
      </x:c>
      <x:c r="H851" s="23" t="n">
        <x:v>0.000271685502928702</x:v>
      </x:c>
      <x:c r="I851" s="23" t="n">
        <x:v>0.7539057431334378</x:v>
      </x:c>
      <x:c r="J851" s="2" t="n">
        <x:v>293</x:v>
      </x:c>
      <x:c r="K851" s="2"/>
      <x:c r="L851" s="2"/>
    </x:row>
    <x:row r="852" ht="22" customHeight="1">
      <x:c r="A852" s="2"/>
      <x:c r="B852" s="2" t="n">
        <x:v>819</x:v>
      </x:c>
      <x:c r="C852" s="2" t="str">
        <x:v>23531</x:v>
      </x:c>
      <x:c r="D852" s="2" t="str">
        <x:v>WALL ART BIG LOVE </x:v>
      </x:c>
      <x:c r="E852" s="11" t="n">
        <x:v>5559.11</x:v>
      </x:c>
      <x:c r="F852" s="11" t="n">
        <x:v>0</x:v>
      </x:c>
      <x:c r="G852" s="11" t="n">
        <x:v>5559.11</x:v>
      </x:c>
      <x:c r="H852" s="23" t="n">
        <x:v>0.00027073048946460416</x:v>
      </x:c>
      <x:c r="I852" s="23" t="n">
        <x:v>0.7541764736229024</x:v>
      </x:c>
      <x:c r="J852" s="2" t="n">
        <x:v>112</x:v>
      </x:c>
      <x:c r="K852" s="2"/>
      <x:c r="L852" s="2"/>
    </x:row>
    <x:row r="853" ht="22" customHeight="1">
      <x:c r="A853" s="2"/>
      <x:c r="B853" s="2" t="n">
        <x:v>820</x:v>
      </x:c>
      <x:c r="C853" s="2" t="str">
        <x:v>23126</x:v>
      </x:c>
      <x:c r="D853" s="2" t="str">
        <x:v>FELTCRAFT GIRL AMELIE KIT</x:v>
      </x:c>
      <x:c r="E853" s="11" t="n">
        <x:v>5556.79</x:v>
      </x:c>
      <x:c r="F853" s="11" t="n">
        <x:v>79.2</x:v>
      </x:c>
      <x:c r="G853" s="11" t="n">
        <x:v>5477.59</x:v>
      </x:c>
      <x:c r="H853" s="23" t="n">
        <x:v>0.00027061750469985625</x:v>
      </x:c>
      <x:c r="I853" s="23" t="n">
        <x:v>0.7544470911276022</x:v>
      </x:c>
      <x:c r="J853" s="2" t="n">
        <x:v>291</x:v>
      </x:c>
      <x:c r="K853" s="2"/>
      <x:c r="L853" s="2"/>
    </x:row>
    <x:row r="854" ht="22" customHeight="1">
      <x:c r="A854" s="2"/>
      <x:c r="B854" s="2" t="n">
        <x:v>821</x:v>
      </x:c>
      <x:c r="C854" s="2" t="str">
        <x:v>21900</x:v>
      </x:c>
      <x:c r="D854" s="2" t="str">
        <x:v>KEY FOB , SHED</x:v>
      </x:c>
      <x:c r="E854" s="11" t="n">
        <x:v>5538.240000000001</x:v>
      </x:c>
      <x:c r="F854" s="11" t="n">
        <x:v>3.25</x:v>
      </x:c>
      <x:c r="G854" s="11" t="n">
        <x:v>5534.990000000001</x:v>
      </x:c>
      <x:c r="H854" s="23" t="n">
        <x:v>0.00026971411358516916</x:v>
      </x:c>
      <x:c r="I854" s="23" t="n">
        <x:v>0.7547168052411873</x:v>
      </x:c>
      <x:c r="J854" s="2" t="n">
        <x:v>835</x:v>
      </x:c>
      <x:c r="K854" s="2"/>
      <x:c r="L854" s="2"/>
    </x:row>
    <x:row r="855" ht="22" customHeight="1">
      <x:c r="A855" s="2"/>
      <x:c r="B855" s="2" t="n">
        <x:v>822</x:v>
      </x:c>
      <x:c r="C855" s="2" t="str">
        <x:v>84971S</x:v>
      </x:c>
      <x:c r="D855" s="2" t="str">
        <x:v>SMALL HEART FLOWERS HOOK </x:v>
      </x:c>
      <x:c r="E855" s="11" t="n">
        <x:v>5534.96</x:v>
      </x:c>
      <x:c r="F855" s="11" t="n">
        <x:v>1.7</x:v>
      </x:c>
      <x:c r="G855" s="11" t="n">
        <x:v>5533.259999999999</x:v>
      </x:c>
      <x:c r="H855" s="23" t="n">
        <x:v>0.00026955437650397375</x:v>
      </x:c>
      <x:c r="I855" s="23" t="n">
        <x:v>0.7549863596176913</x:v>
      </x:c>
      <x:c r="J855" s="2" t="n">
        <x:v>459</x:v>
      </x:c>
      <x:c r="K855" s="2"/>
      <x:c r="L855" s="2"/>
    </x:row>
    <x:row r="856" ht="22" customHeight="1">
      <x:c r="A856" s="2"/>
      <x:c r="B856" s="2" t="n">
        <x:v>823</x:v>
      </x:c>
      <x:c r="C856" s="2" t="str">
        <x:v>23177</x:v>
      </x:c>
      <x:c r="D856" s="2" t="str">
        <x:v>TREASURE ISLAND BOOK BOX</x:v>
      </x:c>
      <x:c r="E856" s="11" t="n">
        <x:v>5528.04</x:v>
      </x:c>
      <x:c r="F856" s="11" t="n">
        <x:v>45</x:v>
      </x:c>
      <x:c r="G856" s="11" t="n">
        <x:v>5483.04</x:v>
      </x:c>
      <x:c r="H856" s="23" t="n">
        <x:v>0.0002692173702229153</x:v>
      </x:c>
      <x:c r="I856" s="23" t="n">
        <x:v>0.7552555769879142</x:v>
      </x:c>
      <x:c r="J856" s="2" t="n">
        <x:v>267</x:v>
      </x:c>
      <x:c r="K856" s="2"/>
      <x:c r="L856" s="2"/>
    </x:row>
    <x:row r="857" ht="22" customHeight="1">
      <x:c r="A857" s="2"/>
      <x:c r="B857" s="2" t="n">
        <x:v>824</x:v>
      </x:c>
      <x:c r="C857" s="2" t="str">
        <x:v>23133</x:v>
      </x:c>
      <x:c r="D857" s="2" t="str">
        <x:v>LARGE IVORY HEART WALL ORGANISER</x:v>
      </x:c>
      <x:c r="E857" s="11" t="n">
        <x:v>5525.4</x:v>
      </x:c>
      <x:c r="F857" s="11" t="n">
        <x:v>8.25</x:v>
      </x:c>
      <x:c r="G857" s="11" t="n">
        <x:v>5517.15</x:v>
      </x:c>
      <x:c r="H857" s="23" t="n">
        <x:v>0.00026908880135268485</x:v>
      </x:c>
      <x:c r="I857" s="23" t="n">
        <x:v>0.7555246657892669</x:v>
      </x:c>
      <x:c r="J857" s="2" t="n">
        <x:v>155</x:v>
      </x:c>
      <x:c r="K857" s="2"/>
      <x:c r="L857" s="2"/>
    </x:row>
    <x:row r="858" ht="22" customHeight="1">
      <x:c r="A858" s="2"/>
      <x:c r="B858" s="2" t="n">
        <x:v>825</x:v>
      </x:c>
      <x:c r="C858" s="2" t="str">
        <x:v>22602</x:v>
      </x:c>
      <x:c r="D858" s="2" t="str">
        <x:v>RETROSPOT WOODEN HEART DECORATION</x:v>
      </x:c>
      <x:c r="E858" s="11" t="n">
        <x:v>5521.82</x:v>
      </x:c>
      <x:c r="F858" s="11" t="n">
        <x:v>44.199999999999996</x:v>
      </x:c>
      <x:c r="G858" s="11" t="n">
        <x:v>5477.62</x:v>
      </x:c>
      <x:c r="H858" s="23" t="n">
        <x:v>0.0002689144541725997</x:v>
      </x:c>
      <x:c r="I858" s="23" t="n">
        <x:v>0.7557935802434396</x:v>
      </x:c>
      <x:c r="J858" s="2" t="n">
        <x:v>535</x:v>
      </x:c>
      <x:c r="K858" s="2"/>
      <x:c r="L858" s="2"/>
    </x:row>
    <x:row r="859" ht="22" customHeight="1">
      <x:c r="A859" s="2"/>
      <x:c r="B859" s="2" t="n">
        <x:v>826</x:v>
      </x:c>
      <x:c r="C859" s="2" t="str">
        <x:v>23158</x:v>
      </x:c>
      <x:c r="D859" s="2" t="str">
        <x:v>SET OF 5 LUCKY CAT MAGNETS </x:v>
      </x:c>
      <x:c r="E859" s="11" t="n">
        <x:v>5517.99</x:v>
      </x:c>
      <x:c r="F859" s="11" t="n">
        <x:v>124.8</x:v>
      </x:c>
      <x:c r="G859" s="11" t="n">
        <x:v>5393.1900000000005</x:v>
      </x:c>
      <x:c r="H859" s="23" t="n">
        <x:v>0.00026872793191010634</x:v>
      </x:c>
      <x:c r="I859" s="23" t="n">
        <x:v>0.7560623081753497</x:v>
      </x:c>
      <x:c r="J859" s="2" t="n">
        <x:v>255</x:v>
      </x:c>
      <x:c r="K859" s="2"/>
      <x:c r="L859" s="2"/>
    </x:row>
    <x:row r="860" ht="22" customHeight="1">
      <x:c r="A860" s="2"/>
      <x:c r="B860" s="2" t="n">
        <x:v>827</x:v>
      </x:c>
      <x:c r="C860" s="2" t="str">
        <x:v>22534</x:v>
      </x:c>
      <x:c r="D860" s="2" t="str">
        <x:v>MAGIC DRAWING SLATE SPACEBOY </x:v>
      </x:c>
      <x:c r="E860" s="11" t="n">
        <x:v>5516.05</x:v>
      </x:c>
      <x:c r="F860" s="11" t="n">
        <x:v>58.38</x:v>
      </x:c>
      <x:c r="G860" s="11" t="n">
        <x:v>5457.67</x:v>
      </x:c>
      <x:c r="H860" s="23" t="n">
        <x:v>0.00026863345327061885</x:v>
      </x:c>
      <x:c r="I860" s="23" t="n">
        <x:v>0.7563309416286204</x:v>
      </x:c>
      <x:c r="J860" s="2" t="n">
        <x:v>583</x:v>
      </x:c>
      <x:c r="K860" s="2"/>
      <x:c r="L860" s="2"/>
    </x:row>
    <x:row r="861" ht="22" customHeight="1">
      <x:c r="A861" s="2"/>
      <x:c r="B861" s="2" t="n">
        <x:v>828</x:v>
      </x:c>
      <x:c r="C861" s="2" t="str">
        <x:v>23583</x:v>
      </x:c>
      <x:c r="D861" s="2" t="str">
        <x:v>LUNCH BAG PAISLEY PARK  </x:v>
      </x:c>
      <x:c r="E861" s="11" t="n">
        <x:v>5513.83</x:v>
      </x:c>
      <x:c r="F861" s="11" t="n">
        <x:v>16.5</x:v>
      </x:c>
      <x:c r="G861" s="11" t="n">
        <x:v>5497.33</x:v>
      </x:c>
      <x:c r="H861" s="23" t="n">
        <x:v>0.0002685253385388342</x:v>
      </x:c>
      <x:c r="I861" s="23" t="n">
        <x:v>0.7565994669671592</x:v>
      </x:c>
      <x:c r="J861" s="2" t="n">
        <x:v>325</x:v>
      </x:c>
      <x:c r="K861" s="2"/>
      <x:c r="L861" s="2"/>
    </x:row>
    <x:row r="862" ht="22" customHeight="1">
      <x:c r="A862" s="2"/>
      <x:c r="B862" s="2" t="n">
        <x:v>829</x:v>
      </x:c>
      <x:c r="C862" s="2" t="str">
        <x:v>22670</x:v>
      </x:c>
      <x:c r="D862" s="2" t="str">
        <x:v>FRENCH WC SIGN BLUE METAL</x:v>
      </x:c>
      <x:c r="E862" s="11" t="n">
        <x:v>5513.07</x:v>
      </x:c>
      <x:c r="F862" s="11" t="n">
        <x:v>1340.56</x:v>
      </x:c>
      <x:c r="G862" s="11" t="n">
        <x:v>4172.51</x:v>
      </x:c>
      <x:c r="H862" s="23" t="n">
        <x:v>0.0002684883262883133</x:v>
      </x:c>
      <x:c r="I862" s="23" t="n">
        <x:v>0.7568679552934475</x:v>
      </x:c>
      <x:c r="J862" s="2" t="n">
        <x:v>425</x:v>
      </x:c>
      <x:c r="K862" s="2"/>
      <x:c r="L862" s="2"/>
    </x:row>
    <x:row r="863" ht="22" customHeight="1">
      <x:c r="A863" s="2"/>
      <x:c r="B863" s="2" t="n">
        <x:v>830</x:v>
      </x:c>
      <x:c r="C863" s="2" t="str">
        <x:v>82599</x:v>
      </x:c>
      <x:c r="D863" s="2" t="str">
        <x:v>FANNY'S REST STOPMETAL SIGN</x:v>
      </x:c>
      <x:c r="E863" s="11" t="n">
        <x:v>5508.84</x:v>
      </x:c>
      <x:c r="F863" s="11" t="n">
        <x:v>6.76</x:v>
      </x:c>
      <x:c r="G863" s="11" t="n">
        <x:v>5502.080000000001</x:v>
      </x:c>
      <x:c r="H863" s="23" t="n">
        <x:v>0.0002682823238939669</x:v>
      </x:c>
      <x:c r="I863" s="23" t="n">
        <x:v>0.7571362376173415</x:v>
      </x:c>
      <x:c r="J863" s="2" t="n">
        <x:v>506</x:v>
      </x:c>
      <x:c r="K863" s="2"/>
      <x:c r="L863" s="2"/>
    </x:row>
    <x:row r="864" ht="22" customHeight="1">
      <x:c r="A864" s="2"/>
      <x:c r="B864" s="2" t="n">
        <x:v>831</x:v>
      </x:c>
      <x:c r="C864" s="2" t="str">
        <x:v>85061W</x:v>
      </x:c>
      <x:c r="D864" s="2" t="str">
        <x:v>WHITE JEWELLED HEART DECORATION</x:v>
      </x:c>
      <x:c r="E864" s="11" t="n">
        <x:v>5502.49</x:v>
      </x:c>
      <x:c r="F864" s="11" t="n">
        <x:v>21.25</x:v>
      </x:c>
      <x:c r="G864" s="11" t="n">
        <x:v>5481.24</x:v>
      </x:c>
      <x:c r="H864" s="23" t="n">
        <x:v>0.00026797307680079903</x:v>
      </x:c>
      <x:c r="I864" s="23" t="n">
        <x:v>0.7574042106941423</x:v>
      </x:c>
      <x:c r="J864" s="2" t="n">
        <x:v>469</x:v>
      </x:c>
      <x:c r="K864" s="2"/>
      <x:c r="L864" s="2"/>
    </x:row>
    <x:row r="865" ht="22" customHeight="1">
      <x:c r="A865" s="2"/>
      <x:c r="B865" s="2" t="n">
        <x:v>832</x:v>
      </x:c>
      <x:c r="C865" s="2" t="str">
        <x:v>22168</x:v>
      </x:c>
      <x:c r="D865" s="2" t="str">
        <x:v>ORGANISER WOOD ANTIQUE WHITE </x:v>
      </x:c>
      <x:c r="E865" s="11" t="n">
        <x:v>5501.43</x:v>
      </x:c>
      <x:c r="F865" s="11" t="n">
        <x:v>381.65</x:v>
      </x:c>
      <x:c r="G865" s="11" t="n">
        <x:v>5119.78</x:v>
      </x:c>
      <x:c r="H865" s="23" t="n">
        <x:v>0.00026792145445138837</x:v>
      </x:c>
      <x:c r="I865" s="23" t="n">
        <x:v>0.7576721321485937</x:v>
      </x:c>
      <x:c r="J865" s="2" t="n">
        <x:v>312</x:v>
      </x:c>
      <x:c r="K865" s="2"/>
      <x:c r="L865" s="2"/>
    </x:row>
    <x:row r="866" ht="22" customHeight="1">
      <x:c r="A866" s="2"/>
      <x:c r="B866" s="2" t="n">
        <x:v>833</x:v>
      </x:c>
      <x:c r="C866" s="2" t="str">
        <x:v>79029</x:v>
      </x:c>
      <x:c r="D866" s="2" t="str">
        <x:v>GLASS HONEYPOT WASP CATCHER</x:v>
      </x:c>
      <x:c r="E866" s="11" t="n">
        <x:v>5501.12</x:v>
      </x:c>
      <x:c r="F866" s="11" t="n">
        <x:v>49.349999999999994</x:v>
      </x:c>
      <x:c r="G866" s="11" t="n">
        <x:v>5451.7699999999995</x:v>
      </x:c>
      <x:c r="H866" s="23" t="n">
        <x:v>0.0002679063573492022</x:v>
      </x:c>
      <x:c r="I866" s="23" t="n">
        <x:v>0.7579400385059429</x:v>
      </x:c>
      <x:c r="J866" s="2" t="n">
        <x:v>343</x:v>
      </x:c>
      <x:c r="K866" s="2"/>
      <x:c r="L866" s="2"/>
    </x:row>
    <x:row r="867" ht="22" customHeight="1">
      <x:c r="A867" s="2"/>
      <x:c r="B867" s="2" t="n">
        <x:v>834</x:v>
      </x:c>
      <x:c r="C867" s="2" t="str">
        <x:v>40016</x:v>
      </x:c>
      <x:c r="D867" s="2" t="str">
        <x:v>CHINESE DRAGON PAPER LANTERNS</x:v>
      </x:c>
      <x:c r="E867" s="11" t="n">
        <x:v>5492.35</x:v>
      </x:c>
      <x:c r="F867" s="11" t="n">
        <x:v>0</x:v>
      </x:c>
      <x:c r="G867" s="11" t="n">
        <x:v>5492.35</x:v>
      </x:c>
      <x:c r="H867" s="23" t="n">
        <x:v>0.00026747925545832316</x:v>
      </x:c>
      <x:c r="I867" s="23" t="n">
        <x:v>0.7582075177614013</x:v>
      </x:c>
      <x:c r="J867" s="2" t="n">
        <x:v>244</x:v>
      </x:c>
      <x:c r="K867" s="2"/>
      <x:c r="L867" s="2"/>
    </x:row>
    <x:row r="868" ht="22" customHeight="1">
      <x:c r="A868" s="2"/>
      <x:c r="B868" s="2" t="n">
        <x:v>835</x:v>
      </x:c>
      <x:c r="C868" s="2" t="str">
        <x:v>21112</x:v>
      </x:c>
      <x:c r="D868" s="2" t="str">
        <x:v>SWISS ROLL TOWEL PINK  SPOTS</x:v>
      </x:c>
      <x:c r="E868" s="11" t="n">
        <x:v>5484.26</x:v>
      </x:c>
      <x:c r="F868" s="11" t="n">
        <x:v>507.29999999999995</x:v>
      </x:c>
      <x:c r="G868" s="11" t="n">
        <x:v>4976.96</x:v>
      </x:c>
      <x:c r="H868" s="23" t="n">
        <x:v>0.0002670852697915944</x:v>
      </x:c>
      <x:c r="I868" s="23" t="n">
        <x:v>0.7584746030311929</x:v>
      </x:c>
      <x:c r="J868" s="2" t="n">
        <x:v>189</x:v>
      </x:c>
      <x:c r="K868" s="2"/>
      <x:c r="L868" s="2"/>
    </x:row>
    <x:row r="869" ht="22" customHeight="1">
      <x:c r="A869" s="2"/>
      <x:c r="B869" s="2" t="n">
        <x:v>836</x:v>
      </x:c>
      <x:c r="C869" s="2" t="str">
        <x:v>20983</x:v>
      </x:c>
      <x:c r="D869" s="2" t="str">
        <x:v>12 PENCILS TALL TUBE RED RETROSPOT</x:v>
      </x:c>
      <x:c r="E869" s="11" t="n">
        <x:v>5481.83</x:v>
      </x:c>
      <x:c r="F869" s="11" t="n">
        <x:v>26.349999999999998</x:v>
      </x:c>
      <x:c r="G869" s="11" t="n">
        <x:v>5455.48</x:v>
      </x:c>
      <x:c r="H869" s="23" t="n">
        <x:v>0.0002669669279905868</x:v>
      </x:c>
      <x:c r="I869" s="23" t="n">
        <x:v>0.7587415699591834</x:v>
      </x:c>
      <x:c r="J869" s="2" t="n">
        <x:v>641</x:v>
      </x:c>
      <x:c r="K869" s="2"/>
      <x:c r="L869" s="2"/>
    </x:row>
    <x:row r="870" ht="22" customHeight="1">
      <x:c r="A870" s="2"/>
      <x:c r="B870" s="2" t="n">
        <x:v>837</x:v>
      </x:c>
      <x:c r="C870" s="2" t="str">
        <x:v>22203</x:v>
      </x:c>
      <x:c r="D870" s="2" t="str">
        <x:v>MILK PAN RED RETROSPOT</x:v>
      </x:c>
      <x:c r="E870" s="11" t="n">
        <x:v>5473.26</x:v>
      </x:c>
      <x:c r="F870" s="11" t="n">
        <x:v>56.25</x:v>
      </x:c>
      <x:c r="G870" s="11" t="n">
        <x:v>5417.01</x:v>
      </x:c>
      <x:c r="H870" s="23" t="n">
        <x:v>0.0002665495661656344</x:v>
      </x:c>
      <x:c r="I870" s="23" t="n">
        <x:v>0.7590081195253491</x:v>
      </x:c>
      <x:c r="J870" s="2" t="n">
        <x:v>392</x:v>
      </x:c>
      <x:c r="K870" s="2"/>
      <x:c r="L870" s="2"/>
    </x:row>
    <x:row r="871" ht="22" customHeight="1">
      <x:c r="A871" s="2"/>
      <x:c r="B871" s="2" t="n">
        <x:v>838</x:v>
      </x:c>
      <x:c r="C871" s="2" t="str">
        <x:v>72756</x:v>
      </x:c>
      <x:c r="D871" s="2" t="str">
        <x:v>FAIRY CAKE CANDLES</x:v>
      </x:c>
      <x:c r="E871" s="11" t="n">
        <x:v>5472.89</x:v>
      </x:c>
      <x:c r="F871" s="11" t="n">
        <x:v>37.25</x:v>
      </x:c>
      <x:c r="G871" s="11" t="n">
        <x:v>5435.64</x:v>
      </x:c>
      <x:c r="H871" s="23" t="n">
        <x:v>0.00026653154704367026</x:v>
      </x:c>
      <x:c r="I871" s="23" t="n">
        <x:v>0.7592746510723928</x:v>
      </x:c>
      <x:c r="J871" s="2" t="n">
        <x:v>129</x:v>
      </x:c>
      <x:c r="K871" s="2"/>
      <x:c r="L871" s="2"/>
    </x:row>
    <x:row r="872" ht="22" customHeight="1">
      <x:c r="A872" s="2"/>
      <x:c r="B872" s="2" t="n">
        <x:v>839</x:v>
      </x:c>
      <x:c r="C872" s="2" t="str">
        <x:v>22763</x:v>
      </x:c>
      <x:c r="D872" s="2" t="str">
        <x:v>KEY CABINET MA CAMPAGNE</x:v>
      </x:c>
      <x:c r="E872" s="11" t="n">
        <x:v>5470.39</x:v>
      </x:c>
      <x:c r="F872" s="11" t="n">
        <x:v>69.64999999999999</x:v>
      </x:c>
      <x:c r="G872" s="11" t="n">
        <x:v>5400.74</x:v>
      </x:c>
      <x:c r="H872" s="23" t="n">
        <x:v>0.0002664097962195884</x:v>
      </x:c>
      <x:c r="I872" s="23" t="n">
        <x:v>0.7595410608686124</x:v>
      </x:c>
      <x:c r="J872" s="2" t="n">
        <x:v>135</x:v>
      </x:c>
      <x:c r="K872" s="2"/>
      <x:c r="L872" s="2"/>
    </x:row>
    <x:row r="873" ht="22" customHeight="1">
      <x:c r="A873" s="2"/>
      <x:c r="B873" s="2" t="n">
        <x:v>840</x:v>
      </x:c>
      <x:c r="C873" s="2" t="str">
        <x:v>16161P</x:v>
      </x:c>
      <x:c r="D873" s="2" t="str">
        <x:v>WRAP ENGLISH ROSE </x:v>
      </x:c>
      <x:c r="E873" s="11" t="n">
        <x:v>5466.9</x:v>
      </x:c>
      <x:c r="F873" s="11" t="n">
        <x:v>10.5</x:v>
      </x:c>
      <x:c r="G873" s="11" t="n">
        <x:v>5456.4</x:v>
      </x:c>
      <x:c r="H873" s="23" t="n">
        <x:v>0.00026623983206917017</x:v>
      </x:c>
      <x:c r="I873" s="23" t="n">
        <x:v>0.7598073007006816</x:v>
      </x:c>
      <x:c r="J873" s="2" t="n">
        <x:v>440</x:v>
      </x:c>
      <x:c r="K873" s="2"/>
      <x:c r="L873" s="2"/>
    </x:row>
    <x:row r="874" ht="22" customHeight="1">
      <x:c r="A874" s="2"/>
      <x:c r="B874" s="2" t="n">
        <x:v>841</x:v>
      </x:c>
      <x:c r="C874" s="2" t="str">
        <x:v>22437</x:v>
      </x:c>
      <x:c r="D874" s="2" t="str">
        <x:v>SET OF 9 BLACK SKULL BALLOONS</x:v>
      </x:c>
      <x:c r="E874" s="11" t="n">
        <x:v>5461.37</x:v>
      </x:c>
      <x:c r="F874" s="11" t="n">
        <x:v>13.6</x:v>
      </x:c>
      <x:c r="G874" s="11" t="n">
        <x:v>5447.7699999999995</x:v>
      </x:c>
      <x:c r="H874" s="23" t="n">
        <x:v>0.0002659705192463012</x:v>
      </x:c>
      <x:c r="I874" s="23" t="n">
        <x:v>0.7600732712199278</x:v>
      </x:c>
      <x:c r="J874" s="2" t="n">
        <x:v>443</x:v>
      </x:c>
      <x:c r="K874" s="2"/>
      <x:c r="L874" s="2"/>
    </x:row>
    <x:row r="875" ht="22" customHeight="1">
      <x:c r="A875" s="2"/>
      <x:c r="B875" s="2" t="n">
        <x:v>842</x:v>
      </x:c>
      <x:c r="C875" s="2" t="str">
        <x:v>85063</x:v>
      </x:c>
      <x:c r="D875" s="2" t="str">
        <x:v>CREAM SWEETHEART MAGAZINE RACK</x:v>
      </x:c>
      <x:c r="E875" s="11" t="n">
        <x:v>5460.639999999999</x:v>
      </x:c>
      <x:c r="F875" s="11" t="n">
        <x:v>1060.7</x:v>
      </x:c>
      <x:c r="G875" s="11" t="n">
        <x:v>4399.94</x:v>
      </x:c>
      <x:c r="H875" s="23" t="n">
        <x:v>0.0002659349680056693</x:v>
      </x:c>
      <x:c r="I875" s="23" t="n">
        <x:v>0.7603392061879335</x:v>
      </x:c>
      <x:c r="J875" s="2" t="n">
        <x:v>180</x:v>
      </x:c>
      <x:c r="K875" s="2"/>
      <x:c r="L875" s="2"/>
    </x:row>
    <x:row r="876" ht="22" customHeight="1">
      <x:c r="A876" s="2"/>
      <x:c r="B876" s="2" t="n">
        <x:v>843</x:v>
      </x:c>
      <x:c r="C876" s="2" t="str">
        <x:v>22483</x:v>
      </x:c>
      <x:c r="D876" s="2" t="str">
        <x:v>RED GINGHAM TEDDY BEAR </x:v>
      </x:c>
      <x:c r="E876" s="11" t="n">
        <x:v>5458.21</x:v>
      </x:c>
      <x:c r="F876" s="11" t="n">
        <x:v>50.150000000000006</x:v>
      </x:c>
      <x:c r="G876" s="11" t="n">
        <x:v>5408.06</x:v>
      </x:c>
      <x:c r="H876" s="23" t="n">
        <x:v>0.0002658166262046618</x:v>
      </x:c>
      <x:c r="I876" s="23" t="n">
        <x:v>0.7606050228141381</x:v>
      </x:c>
      <x:c r="J876" s="2" t="n">
        <x:v>349</x:v>
      </x:c>
      <x:c r="K876" s="2"/>
      <x:c r="L876" s="2"/>
    </x:row>
    <x:row r="877" ht="22" customHeight="1">
      <x:c r="A877" s="2"/>
      <x:c r="B877" s="2" t="n">
        <x:v>844</x:v>
      </x:c>
      <x:c r="C877" s="2" t="str">
        <x:v>20978</x:v>
      </x:c>
      <x:c r="D877" s="2" t="str">
        <x:v>36 PENCILS TUBE SKULLS</x:v>
      </x:c>
      <x:c r="E877" s="11" t="n">
        <x:v>5453.57</x:v>
      </x:c>
      <x:c r="F877" s="11" t="n">
        <x:v>22.5</x:v>
      </x:c>
      <x:c r="G877" s="11" t="n">
        <x:v>5431.07</x:v>
      </x:c>
      <x:c r="H877" s="23" t="n">
        <x:v>0.0002655906566751659</x:v>
      </x:c>
      <x:c r="I877" s="23" t="n">
        <x:v>0.7608706134708133</x:v>
      </x:c>
      <x:c r="J877" s="2" t="n">
        <x:v>557</x:v>
      </x:c>
      <x:c r="K877" s="2"/>
      <x:c r="L877" s="2"/>
    </x:row>
    <x:row r="878" ht="22" customHeight="1">
      <x:c r="A878" s="2"/>
      <x:c r="B878" s="2" t="n">
        <x:v>845</x:v>
      </x:c>
      <x:c r="C878" s="2" t="str">
        <x:v>22443</x:v>
      </x:c>
      <x:c r="D878" s="2" t="str">
        <x:v>GROW YOUR OWN HERBS SET OF 3</x:v>
      </x:c>
      <x:c r="E878" s="11" t="n">
        <x:v>5449.08</x:v>
      </x:c>
      <x:c r="F878" s="11" t="n">
        <x:v>39.75</x:v>
      </x:c>
      <x:c r="G878" s="11" t="n">
        <x:v>5409.33</x:v>
      </x:c>
      <x:c r="H878" s="23" t="n">
        <x:v>0.00026537199219511495</x:v>
      </x:c>
      <x:c r="I878" s="23" t="n">
        <x:v>0.7611359854630084</x:v>
      </x:c>
      <x:c r="J878" s="2" t="n">
        <x:v>264</x:v>
      </x:c>
      <x:c r="K878" s="2"/>
      <x:c r="L878" s="2"/>
    </x:row>
    <x:row r="879" ht="22" customHeight="1">
      <x:c r="A879" s="2"/>
      <x:c r="B879" s="2" t="n">
        <x:v>846</x:v>
      </x:c>
      <x:c r="C879" s="2" t="str">
        <x:v>21432</x:v>
      </x:c>
      <x:c r="D879" s="2" t="str">
        <x:v>SET OF 3 CASES WOODLAND DESIGN</x:v>
      </x:c>
      <x:c r="E879" s="11" t="n">
        <x:v>5441.860000000001</x:v>
      </x:c>
      <x:c r="F879" s="11" t="n">
        <x:v>129.35</x:v>
      </x:c>
      <x:c r="G879" s="11" t="n">
        <x:v>5312.51</x:v>
      </x:c>
      <x:c r="H879" s="23" t="n">
        <x:v>0.00026502037581516667</x:v>
      </x:c>
      <x:c r="I879" s="23" t="n">
        <x:v>0.7614010058388236</x:v>
      </x:c>
      <x:c r="J879" s="2" t="n">
        <x:v>237</x:v>
      </x:c>
      <x:c r="K879" s="2"/>
      <x:c r="L879" s="2"/>
    </x:row>
    <x:row r="880" ht="22" customHeight="1">
      <x:c r="A880" s="2"/>
      <x:c r="B880" s="2" t="n">
        <x:v>847</x:v>
      </x:c>
      <x:c r="C880" s="2" t="str">
        <x:v>22186</x:v>
      </x:c>
      <x:c r="D880" s="2" t="str">
        <x:v>RED STAR CARD HOLDER</x:v>
      </x:c>
      <x:c r="E880" s="11" t="n">
        <x:v>5434.35</x:v>
      </x:c>
      <x:c r="F880" s="11" t="n">
        <x:v>182.29999999999998</x:v>
      </x:c>
      <x:c r="G880" s="11" t="n">
        <x:v>5252.05</x:v>
      </x:c>
      <x:c r="H880" s="23" t="n">
        <x:v>0.00026465463633962484</x:v>
      </x:c>
      <x:c r="I880" s="23" t="n">
        <x:v>0.7616656604751633</x:v>
      </x:c>
      <x:c r="J880" s="2" t="n">
        <x:v>345</x:v>
      </x:c>
      <x:c r="K880" s="2"/>
      <x:c r="L880" s="2"/>
    </x:row>
    <x:row r="881" ht="22" customHeight="1">
      <x:c r="A881" s="2"/>
      <x:c r="B881" s="2" t="n">
        <x:v>848</x:v>
      </x:c>
      <x:c r="C881" s="2" t="str">
        <x:v>23135</x:v>
      </x:c>
      <x:c r="D881" s="2" t="str">
        <x:v>SMALL ZINC HEART WALL ORGANISER</x:v>
      </x:c>
      <x:c r="E881" s="11" t="n">
        <x:v>5416.18</x:v>
      </x:c>
      <x:c r="F881" s="11" t="n">
        <x:v>0</x:v>
      </x:c>
      <x:c r="G881" s="11" t="n">
        <x:v>5416.18</x:v>
      </x:c>
      <x:c r="H881" s="23" t="n">
        <x:v>0.00026376975135019816</x:v>
      </x:c>
      <x:c r="I881" s="23" t="n">
        <x:v>0.7619294302265135</x:v>
      </x:c>
      <x:c r="J881" s="2" t="n">
        <x:v>45</x:v>
      </x:c>
      <x:c r="K881" s="2"/>
      <x:c r="L881" s="2"/>
    </x:row>
    <x:row r="882" ht="22" customHeight="1">
      <x:c r="A882" s="2"/>
      <x:c r="B882" s="2" t="n">
        <x:v>849</x:v>
      </x:c>
      <x:c r="C882" s="2" t="str">
        <x:v>21069</x:v>
      </x:c>
      <x:c r="D882" s="2" t="str">
        <x:v>VINTAGE BILLBOARD TEA MUG</x:v>
      </x:c>
      <x:c r="E882" s="11" t="n">
        <x:v>5415.610000000001</x:v>
      </x:c>
      <x:c r="F882" s="11" t="n">
        <x:v>770.8900000000001</x:v>
      </x:c>
      <x:c r="G882" s="11" t="n">
        <x:v>4644.72</x:v>
      </x:c>
      <x:c r="H882" s="23" t="n">
        <x:v>0.0002637419921623075</x:v>
      </x:c>
      <x:c r="I882" s="23" t="n">
        <x:v>0.7621931722186758</x:v>
      </x:c>
      <x:c r="J882" s="2" t="n">
        <x:v>279</x:v>
      </x:c>
      <x:c r="K882" s="2"/>
      <x:c r="L882" s="2"/>
    </x:row>
    <x:row r="883" ht="22" customHeight="1">
      <x:c r="A883" s="2"/>
      <x:c r="B883" s="2" t="n">
        <x:v>850</x:v>
      </x:c>
      <x:c r="C883" s="2" t="str">
        <x:v>21491</x:v>
      </x:c>
      <x:c r="D883" s="2" t="str">
        <x:v>SET OF THREE VINTAGE GIFT WRAPS</x:v>
      </x:c>
      <x:c r="E883" s="11" t="n">
        <x:v>5404.0599999999995</x:v>
      </x:c>
      <x:c r="F883" s="11" t="n">
        <x:v>99.44999999999999</x:v>
      </x:c>
      <x:c r="G883" s="11" t="n">
        <x:v>5304.61</x:v>
      </x:c>
      <x:c r="H883" s="23" t="n">
        <x:v>0.0002631795033550494</x:v>
      </x:c>
      <x:c r="I883" s="23" t="n">
        <x:v>0.7624563517220309</x:v>
      </x:c>
      <x:c r="J883" s="2" t="n">
        <x:v>248</x:v>
      </x:c>
      <x:c r="K883" s="2"/>
      <x:c r="L883" s="2"/>
    </x:row>
    <x:row r="884" ht="22" customHeight="1">
      <x:c r="A884" s="2"/>
      <x:c r="B884" s="2" t="n">
        <x:v>851</x:v>
      </x:c>
      <x:c r="C884" s="2" t="str">
        <x:v>84937</x:v>
      </x:c>
      <x:c r="D884" s="2" t="str">
        <x:v>KASHMIR FOLKART TUMBLERS</x:v>
      </x:c>
      <x:c r="E884" s="11" t="n">
        <x:v>5396.64</x:v>
      </x:c>
      <x:c r="F884" s="11" t="n">
        <x:v>37.800000000000004</x:v>
      </x:c>
      <x:c r="G884" s="11" t="n">
        <x:v>5358.84</x:v>
      </x:c>
      <x:c r="H884" s="23" t="n">
        <x:v>0.0002628181469091746</x:v>
      </x:c>
      <x:c r="I884" s="23" t="n">
        <x:v>0.7627191698689401</x:v>
      </x:c>
      <x:c r="J884" s="2" t="n">
        <x:v>124</x:v>
      </x:c>
      <x:c r="K884" s="2"/>
      <x:c r="L884" s="2"/>
    </x:row>
    <x:row r="885" ht="22" customHeight="1">
      <x:c r="A885" s="2"/>
      <x:c r="B885" s="2" t="n">
        <x:v>852</x:v>
      </x:c>
      <x:c r="C885" s="2" t="str">
        <x:v>84968D</x:v>
      </x:c>
      <x:c r="D885" s="2" t="str">
        <x:v>SET OF 16 VINTAGE RED CUTLERY</x:v>
      </x:c>
      <x:c r="E885" s="11" t="n">
        <x:v>5393.71</x:v>
      </x:c>
      <x:c r="F885" s="11" t="n">
        <x:v>12.75</x:v>
      </x:c>
      <x:c r="G885" s="11" t="n">
        <x:v>5380.96</x:v>
      </x:c>
      <x:c r="H885" s="23" t="n">
        <x:v>0.0002626754549433507</x:v>
      </x:c>
      <x:c r="I885" s="23" t="n">
        <x:v>0.7629818453238834</x:v>
      </x:c>
      <x:c r="J885" s="2" t="n">
        <x:v>106</x:v>
      </x:c>
      <x:c r="K885" s="2"/>
      <x:c r="L885" s="2"/>
    </x:row>
    <x:row r="886" ht="22" customHeight="1">
      <x:c r="A886" s="2"/>
      <x:c r="B886" s="2" t="n">
        <x:v>853</x:v>
      </x:c>
      <x:c r="C886" s="2" t="str">
        <x:v>22218</x:v>
      </x:c>
      <x:c r="D886" s="2" t="str">
        <x:v>CAKE STAND LACE WHITE</x:v>
      </x:c>
      <x:c r="E886" s="11" t="n">
        <x:v>5378.41</x:v>
      </x:c>
      <x:c r="F886" s="11" t="n">
        <x:v>250.75</x:v>
      </x:c>
      <x:c r="G886" s="11" t="n">
        <x:v>5127.66</x:v>
      </x:c>
      <x:c r="H886" s="23" t="n">
        <x:v>0.00026193033989996994</x:v>
      </x:c>
      <x:c r="I886" s="23" t="n">
        <x:v>0.7632437756637833</x:v>
      </x:c>
      <x:c r="J886" s="2" t="n">
        <x:v>264</x:v>
      </x:c>
      <x:c r="K886" s="2"/>
      <x:c r="L886" s="2"/>
    </x:row>
    <x:row r="887" ht="22" customHeight="1">
      <x:c r="A887" s="2"/>
      <x:c r="B887" s="2" t="n">
        <x:v>854</x:v>
      </x:c>
      <x:c r="C887" s="2" t="str">
        <x:v>23494</x:v>
      </x:c>
      <x:c r="D887" s="2" t="str">
        <x:v>VINTAGE DOILY DELUXE SEWING KIT </x:v>
      </x:c>
      <x:c r="E887" s="11" t="n">
        <x:v>5377.81</x:v>
      </x:c>
      <x:c r="F887" s="11" t="n">
        <x:v>386.75</x:v>
      </x:c>
      <x:c r="G887" s="11" t="n">
        <x:v>4991.06</x:v>
      </x:c>
      <x:c r="H887" s="23" t="n">
        <x:v>0.0002619011197021903</x:v>
      </x:c>
      <x:c r="I887" s="23" t="n">
        <x:v>0.7635056767834855</x:v>
      </x:c>
      <x:c r="J887" s="2" t="n">
        <x:v>205</x:v>
      </x:c>
      <x:c r="K887" s="2"/>
      <x:c r="L887" s="2"/>
    </x:row>
    <x:row r="888" ht="22" customHeight="1">
      <x:c r="A888" s="2"/>
      <x:c r="B888" s="2" t="n">
        <x:v>855</x:v>
      </x:c>
      <x:c r="C888" s="2" t="str">
        <x:v>22775</x:v>
      </x:c>
      <x:c r="D888" s="2" t="str">
        <x:v>PURPLE DRAWERKNOB ACRYLIC EDWARDIAN</x:v>
      </x:c>
      <x:c r="E888" s="11" t="n">
        <x:v>5372.53</x:v>
      </x:c>
      <x:c r="F888" s="11" t="n">
        <x:v>87.5</x:v>
      </x:c>
      <x:c r="G888" s="11" t="n">
        <x:v>5285.03</x:v>
      </x:c>
      <x:c r="H888" s="23" t="n">
        <x:v>0.0002616439819617295</x:v>
      </x:c>
      <x:c r="I888" s="23" t="n">
        <x:v>0.7637673207654472</x:v>
      </x:c>
      <x:c r="J888" s="2" t="n">
        <x:v>284</x:v>
      </x:c>
      <x:c r="K888" s="2"/>
      <x:c r="L888" s="2"/>
    </x:row>
    <x:row r="889" ht="22" customHeight="1">
      <x:c r="A889" s="2"/>
      <x:c r="B889" s="2" t="n">
        <x:v>856</x:v>
      </x:c>
      <x:c r="C889" s="2" t="str">
        <x:v>37446</x:v>
      </x:c>
      <x:c r="D889" s="2" t="str">
        <x:v>MINI CAKE STAND WITH HANGING CAKES</x:v>
      </x:c>
      <x:c r="E889" s="11" t="n">
        <x:v>5351.1</x:v>
      </x:c>
      <x:c r="F889" s="11" t="n">
        <x:v>121.69999999999999</x:v>
      </x:c>
      <x:c r="G889" s="11" t="n">
        <x:v>5229.4</x:v>
      </x:c>
      <x:c r="H889" s="23" t="n">
        <x:v>0.0002606003338977001</x:v>
      </x:c>
      <x:c r="I889" s="23" t="n">
        <x:v>0.7640279210993449</x:v>
      </x:c>
      <x:c r="J889" s="2" t="n">
        <x:v>410</x:v>
      </x:c>
      <x:c r="K889" s="2"/>
      <x:c r="L889" s="2"/>
    </x:row>
    <x:row r="890" ht="22" customHeight="1">
      <x:c r="A890" s="2"/>
      <x:c r="B890" s="2" t="n">
        <x:v>857</x:v>
      </x:c>
      <x:c r="C890" s="2" t="str">
        <x:v>35832</x:v>
      </x:c>
      <x:c r="D890" s="2" t="str">
        <x:v>WOOLLY HAT SOCK GLOVE ADVENT STRING</x:v>
      </x:c>
      <x:c r="E890" s="11" t="n">
        <x:v>5347.750000000001</x:v>
      </x:c>
      <x:c r="F890" s="11" t="n">
        <x:v>13.55</x:v>
      </x:c>
      <x:c r="G890" s="11" t="n">
        <x:v>5334.200000000001</x:v>
      </x:c>
      <x:c r="H890" s="23" t="n">
        <x:v>0.00026043718779343046</x:v>
      </x:c>
      <x:c r="I890" s="23" t="n">
        <x:v>0.7642883582871384</x:v>
      </x:c>
      <x:c r="J890" s="2" t="n">
        <x:v>188</x:v>
      </x:c>
      <x:c r="K890" s="2"/>
      <x:c r="L890" s="2"/>
    </x:row>
    <x:row r="891" ht="22" customHeight="1">
      <x:c r="A891" s="2"/>
      <x:c r="B891" s="2" t="n">
        <x:v>858</x:v>
      </x:c>
      <x:c r="C891" s="2" t="str">
        <x:v>21363</x:v>
      </x:c>
      <x:c r="D891" s="2" t="str">
        <x:v>HOME SMALL WOOD LETTERS</x:v>
      </x:c>
      <x:c r="E891" s="11" t="n">
        <x:v>5345.9800000000005</x:v>
      </x:c>
      <x:c r="F891" s="11" t="n">
        <x:v>92.65</x:v>
      </x:c>
      <x:c r="G891" s="11" t="n">
        <x:v>5253.33</x:v>
      </x:c>
      <x:c r="H891" s="23" t="n">
        <x:v>0.00026035098820998055</x:v>
      </x:c>
      <x:c r="I891" s="23" t="n">
        <x:v>0.7645487092753483</x:v>
      </x:c>
      <x:c r="J891" s="2" t="n">
        <x:v>401</x:v>
      </x:c>
      <x:c r="K891" s="2"/>
      <x:c r="L891" s="2"/>
    </x:row>
    <x:row r="892" ht="22" customHeight="1">
      <x:c r="A892" s="2"/>
      <x:c r="B892" s="2" t="n">
        <x:v>859</x:v>
      </x:c>
      <x:c r="C892" s="2" t="str">
        <x:v>22842</x:v>
      </x:c>
      <x:c r="D892" s="2" t="str">
        <x:v>BISCUIT TIN VINTAGE RED</x:v>
      </x:c>
      <x:c r="E892" s="11" t="n">
        <x:v>5315.33</x:v>
      </x:c>
      <x:c r="F892" s="11" t="n">
        <x:v>134.2</x:v>
      </x:c>
      <x:c r="G892" s="11" t="n">
        <x:v>5181.13</x:v>
      </x:c>
      <x:c r="H892" s="23" t="n">
        <x:v>0.0002588583231067373</x:v>
      </x:c>
      <x:c r="I892" s="23" t="n">
        <x:v>0.7648075675984551</x:v>
      </x:c>
      <x:c r="J892" s="2" t="n">
        <x:v>237</x:v>
      </x:c>
      <x:c r="K892" s="2"/>
      <x:c r="L892" s="2"/>
    </x:row>
    <x:row r="893" ht="22" customHeight="1">
      <x:c r="A893" s="2"/>
      <x:c r="B893" s="2" t="n">
        <x:v>860</x:v>
      </x:c>
      <x:c r="C893" s="2" t="str">
        <x:v>22998</x:v>
      </x:c>
      <x:c r="D893" s="2" t="str">
        <x:v>TRAVEL CARD WALLET KEEP CALM</x:v>
      </x:c>
      <x:c r="E893" s="11" t="n">
        <x:v>5314.9</x:v>
      </x:c>
      <x:c r="F893" s="11" t="n">
        <x:v>74.34</x:v>
      </x:c>
      <x:c r="G893" s="11" t="n">
        <x:v>5240.5599999999995</x:v>
      </x:c>
      <x:c r="H893" s="23" t="n">
        <x:v>0.00025883738196499527</x:v>
      </x:c>
      <x:c r="I893" s="23" t="n">
        <x:v>0.7650664049804201</x:v>
      </x:c>
      <x:c r="J893" s="2" t="n">
        <x:v>534</x:v>
      </x:c>
      <x:c r="K893" s="2"/>
      <x:c r="L893" s="2"/>
    </x:row>
    <x:row r="894" ht="22" customHeight="1">
      <x:c r="A894" s="2"/>
      <x:c r="B894" s="2" t="n">
        <x:v>861</x:v>
      </x:c>
      <x:c r="C894" s="2" t="str">
        <x:v>22801</x:v>
      </x:c>
      <x:c r="D894" s="2" t="str">
        <x:v>ANTIQUE GLASS PEDESTAL BOWL</x:v>
      </x:c>
      <x:c r="E894" s="11" t="n">
        <x:v>5296.7</x:v>
      </x:c>
      <x:c r="F894" s="11" t="n">
        <x:v>138.39</x:v>
      </x:c>
      <x:c r="G894" s="11" t="n">
        <x:v>5158.31</x:v>
      </x:c>
      <x:c r="H894" s="23" t="n">
        <x:v>0.00025795103596567957</x:v>
      </x:c>
      <x:c r="I894" s="23" t="n">
        <x:v>0.7653243560163858</x:v>
      </x:c>
      <x:c r="J894" s="2" t="n">
        <x:v>299</x:v>
      </x:c>
      <x:c r="K894" s="2"/>
      <x:c r="L894" s="2"/>
    </x:row>
    <x:row r="895" ht="22" customHeight="1">
      <x:c r="A895" s="2"/>
      <x:c r="B895" s="2" t="n">
        <x:v>862</x:v>
      </x:c>
      <x:c r="C895" s="2" t="str">
        <x:v>22175</x:v>
      </x:c>
      <x:c r="D895" s="2" t="str">
        <x:v>PINK OWL SOFT TOY</x:v>
      </x:c>
      <x:c r="E895" s="11" t="n">
        <x:v>5293.06</x:v>
      </x:c>
      <x:c r="F895" s="11" t="n">
        <x:v>23.6</x:v>
      </x:c>
      <x:c r="G895" s="11" t="n">
        <x:v>5269.46</x:v>
      </x:c>
      <x:c r="H895" s="23" t="n">
        <x:v>0.00025777376676581646</x:v>
      </x:c>
      <x:c r="I895" s="23" t="n">
        <x:v>0.7655821297831517</x:v>
      </x:c>
      <x:c r="J895" s="2" t="n">
        <x:v>363</x:v>
      </x:c>
      <x:c r="K895" s="2"/>
      <x:c r="L895" s="2"/>
    </x:row>
    <x:row r="896" ht="22" customHeight="1">
      <x:c r="A896" s="2"/>
      <x:c r="B896" s="2" t="n">
        <x:v>863</x:v>
      </x:c>
      <x:c r="C896" s="2" t="str">
        <x:v>22030</x:v>
      </x:c>
      <x:c r="D896" s="2" t="str">
        <x:v>SWALLOWS GREETING CARD</x:v>
      </x:c>
      <x:c r="E896" s="11" t="n">
        <x:v>5278.48</x:v>
      </x:c>
      <x:c r="F896" s="11" t="n">
        <x:v>50.4</x:v>
      </x:c>
      <x:c r="G896" s="11" t="n">
        <x:v>5228.08</x:v>
      </x:c>
      <x:c r="H896" s="23" t="n">
        <x:v>0.0002570637159597712</x:v>
      </x:c>
      <x:c r="I896" s="23" t="n">
        <x:v>0.7658391934991114</x:v>
      </x:c>
      <x:c r="J896" s="2" t="n">
        <x:v>685</x:v>
      </x:c>
      <x:c r="K896" s="2"/>
      <x:c r="L896" s="2"/>
    </x:row>
    <x:row r="897" ht="22" customHeight="1">
      <x:c r="A897" s="2"/>
      <x:c r="B897" s="2" t="n">
        <x:v>864</x:v>
      </x:c>
      <x:c r="C897" s="2" t="str">
        <x:v>21718</x:v>
      </x:c>
      <x:c r="D897" s="2" t="str">
        <x:v>RED METAL BEACH SPADE </x:v>
      </x:c>
      <x:c r="E897" s="11" t="n">
        <x:v>5254.05</x:v>
      </x:c>
      <x:c r="F897" s="11" t="n">
        <x:v>65</x:v>
      </x:c>
      <x:c r="G897" s="11" t="n">
        <x:v>5189.05</x:v>
      </x:c>
      <x:c r="H897" s="23" t="n">
        <x:v>0.00025587396690684365</x:v>
      </x:c>
      <x:c r="I897" s="23" t="n">
        <x:v>0.7660950674660183</x:v>
      </x:c>
      <x:c r="J897" s="2" t="n">
        <x:v>467</x:v>
      </x:c>
      <x:c r="K897" s="2"/>
      <x:c r="L897" s="2"/>
    </x:row>
    <x:row r="898" ht="22" customHeight="1">
      <x:c r="A898" s="2"/>
      <x:c r="B898" s="2" t="n">
        <x:v>865</x:v>
      </x:c>
      <x:c r="C898" s="2" t="str">
        <x:v>22896</x:v>
      </x:c>
      <x:c r="D898" s="2" t="str">
        <x:v>PEG BAG APPLES DESIGN</x:v>
      </x:c>
      <x:c r="E898" s="11" t="n">
        <x:v>5253.5</x:v>
      </x:c>
      <x:c r="F898" s="11" t="n">
        <x:v>45.9</x:v>
      </x:c>
      <x:c r="G898" s="11" t="n">
        <x:v>5207.599999999999</x:v>
      </x:c>
      <x:c r="H898" s="23" t="n">
        <x:v>0.00025584718172554565</x:v>
      </x:c>
      <x:c r="I898" s="23" t="n">
        <x:v>0.7663509146477439</x:v>
      </x:c>
      <x:c r="J898" s="2" t="n">
        <x:v>367</x:v>
      </x:c>
      <x:c r="K898" s="2"/>
      <x:c r="L898" s="2"/>
    </x:row>
    <x:row r="899" ht="22" customHeight="1">
      <x:c r="A899" s="2"/>
      <x:c r="B899" s="2" t="n">
        <x:v>866</x:v>
      </x:c>
      <x:c r="C899" s="2" t="str">
        <x:v>21993</x:v>
      </x:c>
      <x:c r="D899" s="2" t="str">
        <x:v>FLORAL FOLK STATIONERY SET</x:v>
      </x:c>
      <x:c r="E899" s="11" t="n">
        <x:v>5233.2300000000005</x:v>
      </x:c>
      <x:c r="F899" s="11" t="n">
        <x:v>15</x:v>
      </x:c>
      <x:c r="G899" s="11" t="n">
        <x:v>5218.2300000000005</x:v>
      </x:c>
      <x:c r="H899" s="23" t="n">
        <x:v>0.0002548600260438903</x:v>
      </x:c>
      <x:c r="I899" s="23" t="n">
        <x:v>0.7666057746737878</x:v>
      </x:c>
      <x:c r="J899" s="2" t="n">
        <x:v>577</x:v>
      </x:c>
      <x:c r="K899" s="2"/>
      <x:c r="L899" s="2"/>
    </x:row>
    <x:row r="900" ht="22" customHeight="1">
      <x:c r="A900" s="2"/>
      <x:c r="B900" s="2" t="n">
        <x:v>867</x:v>
      </x:c>
      <x:c r="C900" s="2" t="str">
        <x:v>22564</x:v>
      </x:c>
      <x:c r="D900" s="2" t="str">
        <x:v>ALPHABET STENCIL CRAFT</x:v>
      </x:c>
      <x:c r="E900" s="11" t="n">
        <x:v>5228.900000000001</x:v>
      </x:c>
      <x:c r="F900" s="11" t="n">
        <x:v>721.07</x:v>
      </x:c>
      <x:c r="G900" s="11" t="n">
        <x:v>4507.83</x:v>
      </x:c>
      <x:c r="H900" s="23" t="n">
        <x:v>0.0002546491536165805</x:v>
      </x:c>
      <x:c r="I900" s="23" t="n">
        <x:v>0.7668604238274044</x:v>
      </x:c>
      <x:c r="J900" s="2" t="n">
        <x:v>343</x:v>
      </x:c>
      <x:c r="K900" s="2"/>
      <x:c r="L900" s="2"/>
    </x:row>
    <x:row r="901" ht="22" customHeight="1">
      <x:c r="A901" s="2"/>
      <x:c r="B901" s="2" t="n">
        <x:v>868</x:v>
      </x:c>
      <x:c r="C901" s="2" t="str">
        <x:v>22476</x:v>
      </x:c>
      <x:c r="D901" s="2" t="str">
        <x:v>EMPIRE UNION JACK TV DINNER TRAY</x:v>
      </x:c>
      <x:c r="E901" s="11" t="n">
        <x:v>5228.51</x:v>
      </x:c>
      <x:c r="F901" s="11" t="n">
        <x:v>49.5</x:v>
      </x:c>
      <x:c r="G901" s="11" t="n">
        <x:v>5179.01</x:v>
      </x:c>
      <x:c r="H901" s="23" t="n">
        <x:v>0.00025463016048802374</x:v>
      </x:c>
      <x:c r="I901" s="23" t="n">
        <x:v>0.7671150539878924</x:v>
      </x:c>
      <x:c r="J901" s="2" t="n">
        <x:v>269</x:v>
      </x:c>
      <x:c r="K901" s="2"/>
      <x:c r="L901" s="2"/>
    </x:row>
    <x:row r="902" ht="22" customHeight="1">
      <x:c r="A902" s="2"/>
      <x:c r="B902" s="2" t="n">
        <x:v>869</x:v>
      </x:c>
      <x:c r="C902" s="2" t="str">
        <x:v>21713</x:v>
      </x:c>
      <x:c r="D902" s="2" t="str">
        <x:v>CITRONELLA CANDLE FLOWERPOT</x:v>
      </x:c>
      <x:c r="E902" s="11" t="n">
        <x:v>5221.04</x:v>
      </x:c>
      <x:c r="F902" s="11" t="n">
        <x:v>233.00000000000003</x:v>
      </x:c>
      <x:c r="G902" s="11" t="n">
        <x:v>4988.04</x:v>
      </x:c>
      <x:c r="H902" s="23" t="n">
        <x:v>0.00025426636902566724</x:v>
      </x:c>
      <x:c r="I902" s="23" t="n">
        <x:v>0.7673693203569181</x:v>
      </x:c>
      <x:c r="J902" s="2" t="n">
        <x:v>391</x:v>
      </x:c>
      <x:c r="K902" s="2"/>
      <x:c r="L902" s="2"/>
    </x:row>
    <x:row r="903" ht="22" customHeight="1">
      <x:c r="A903" s="2"/>
      <x:c r="B903" s="2" t="n">
        <x:v>870</x:v>
      </x:c>
      <x:c r="C903" s="2" t="str">
        <x:v>23132</x:v>
      </x:c>
      <x:c r="D903" s="2" t="str">
        <x:v>SMALL IVORY HEART WALL ORGANISER</x:v>
      </x:c>
      <x:c r="E903" s="11" t="n">
        <x:v>5219.1</x:v>
      </x:c>
      <x:c r="F903" s="11" t="n">
        <x:v>23</x:v>
      </x:c>
      <x:c r="G903" s="11" t="n">
        <x:v>5196.1</x:v>
      </x:c>
      <x:c r="H903" s="23" t="n">
        <x:v>0.0002541718903861798</x:v>
      </x:c>
      <x:c r="I903" s="23" t="n">
        <x:v>0.7676234922473043</x:v>
      </x:c>
      <x:c r="J903" s="2" t="n">
        <x:v>152</x:v>
      </x:c>
      <x:c r="K903" s="2"/>
      <x:c r="L903" s="2"/>
    </x:row>
    <x:row r="904" ht="22" customHeight="1">
      <x:c r="A904" s="2"/>
      <x:c r="B904" s="2" t="n">
        <x:v>871</x:v>
      </x:c>
      <x:c r="C904" s="2" t="str">
        <x:v>22433</x:v>
      </x:c>
      <x:c r="D904" s="2" t="str">
        <x:v>WATERING CAN GREEN DINOSAUR</x:v>
      </x:c>
      <x:c r="E904" s="11" t="n">
        <x:v>5215.53</x:v>
      </x:c>
      <x:c r="F904" s="11" t="n">
        <x:v>29.25</x:v>
      </x:c>
      <x:c r="G904" s="11" t="n">
        <x:v>5186.28</x:v>
      </x:c>
      <x:c r="H904" s="23" t="n">
        <x:v>0.0002539980302093909</x:v>
      </x:c>
      <x:c r="I904" s="23" t="n">
        <x:v>0.7678774902775137</x:v>
      </x:c>
      <x:c r="J904" s="2" t="n">
        <x:v>422</x:v>
      </x:c>
      <x:c r="K904" s="2"/>
      <x:c r="L904" s="2"/>
    </x:row>
    <x:row r="905" ht="22" customHeight="1">
      <x:c r="A905" s="2"/>
      <x:c r="B905" s="2" t="n">
        <x:v>872</x:v>
      </x:c>
      <x:c r="C905" s="2" t="str">
        <x:v>22691</x:v>
      </x:c>
      <x:c r="D905" s="2" t="str">
        <x:v>DOORMAT WELCOME SUNRISE</x:v>
      </x:c>
      <x:c r="E905" s="11" t="n">
        <x:v>5214.04</x:v>
      </x:c>
      <x:c r="F905" s="11" t="n">
        <x:v>665.35</x:v>
      </x:c>
      <x:c r="G905" s="11" t="n">
        <x:v>4548.6900000000005</x:v>
      </x:c>
      <x:c r="H905" s="23" t="n">
        <x:v>0.00025392546671823817</x:v>
      </x:c>
      <x:c r="I905" s="23" t="n">
        <x:v>0.7681314157442319</x:v>
      </x:c>
      <x:c r="J905" s="2" t="n">
        <x:v>218</x:v>
      </x:c>
      <x:c r="K905" s="2"/>
      <x:c r="L905" s="2"/>
    </x:row>
    <x:row r="906" ht="22" customHeight="1">
      <x:c r="A906" s="2"/>
      <x:c r="B906" s="2" t="n">
        <x:v>873</x:v>
      </x:c>
      <x:c r="C906" s="2" t="str">
        <x:v>22117</x:v>
      </x:c>
      <x:c r="D906" s="2" t="str">
        <x:v>METAL SIGN HER DINNER IS SERVED </x:v>
      </x:c>
      <x:c r="E906" s="11" t="n">
        <x:v>5207.7300000000005</x:v>
      </x:c>
      <x:c r="F906" s="11" t="n">
        <x:v>2.95</x:v>
      </x:c>
      <x:c r="G906" s="11" t="n">
        <x:v>5204.78</x:v>
      </x:c>
      <x:c r="H906" s="23" t="n">
        <x:v>0.00025361816763825565</x:v>
      </x:c>
      <x:c r="I906" s="23" t="n">
        <x:v>0.7683850339118702</x:v>
      </x:c>
      <x:c r="J906" s="2" t="n">
        <x:v>230</x:v>
      </x:c>
      <x:c r="K906" s="2"/>
      <x:c r="L906" s="2"/>
    </x:row>
    <x:row r="907" ht="22" customHeight="1">
      <x:c r="A907" s="2"/>
      <x:c r="B907" s="2" t="n">
        <x:v>874</x:v>
      </x:c>
      <x:c r="C907" s="2" t="str">
        <x:v>21587</x:v>
      </x:c>
      <x:c r="D907" s="2" t="str">
        <x:v>COSY HOUR GIANT TUBE MATCHES</x:v>
      </x:c>
      <x:c r="E907" s="11" t="n">
        <x:v>5198.549999999999</x:v>
      </x:c>
      <x:c r="F907" s="11" t="n">
        <x:v>15.299999999999999</x:v>
      </x:c>
      <x:c r="G907" s="11" t="n">
        <x:v>5183.25</x:v>
      </x:c>
      <x:c r="H907" s="23" t="n">
        <x:v>0.0002531710986122271</x:v>
      </x:c>
      <x:c r="I907" s="23" t="n">
        <x:v>0.7686382050104824</x:v>
      </x:c>
      <x:c r="J907" s="2" t="n">
        <x:v>260</x:v>
      </x:c>
      <x:c r="K907" s="2"/>
      <x:c r="L907" s="2"/>
    </x:row>
    <x:row r="908" ht="22" customHeight="1">
      <x:c r="A908" s="2"/>
      <x:c r="B908" s="2" t="n">
        <x:v>875</x:v>
      </x:c>
      <x:c r="C908" s="2" t="str">
        <x:v>85132A</x:v>
      </x:c>
      <x:c r="D908" s="2" t="str">
        <x:v>damaged</x:v>
      </x:c>
      <x:c r="E908" s="11" t="n">
        <x:v>5195.7699999999995</x:v>
      </x:c>
      <x:c r="F908" s="11" t="n">
        <x:v>33.75</x:v>
      </x:c>
      <x:c r="G908" s="11" t="n">
        <x:v>5162.0199999999995</x:v>
      </x:c>
      <x:c r="H908" s="23" t="n">
        <x:v>0.0002530357116958482</x:v>
      </x:c>
      <x:c r="I908" s="23" t="n">
        <x:v>0.7688912407221783</x:v>
      </x:c>
      <x:c r="J908" s="2" t="n">
        <x:v>250</x:v>
      </x:c>
      <x:c r="K908" s="2"/>
      <x:c r="L908" s="2"/>
    </x:row>
    <x:row r="909" ht="22" customHeight="1">
      <x:c r="A909" s="2"/>
      <x:c r="B909" s="2" t="n">
        <x:v>876</x:v>
      </x:c>
      <x:c r="C909" s="2" t="str">
        <x:v>23263</x:v>
      </x:c>
      <x:c r="D909" s="2" t="str">
        <x:v>SET OF 3 WOODEN HEART DECORATIONS</x:v>
      </x:c>
      <x:c r="E909" s="11" t="n">
        <x:v>5184.69</x:v>
      </x:c>
      <x:c r="F909" s="11" t="n">
        <x:v>58.75</x:v>
      </x:c>
      <x:c r="G909" s="11" t="n">
        <x:v>5125.94</x:v>
      </x:c>
      <x:c r="H909" s="23" t="n">
        <x:v>0.00025249611204351753</x:v>
      </x:c>
      <x:c r="I909" s="23" t="n">
        <x:v>0.7691437368342218</x:v>
      </x:c>
      <x:c r="J909" s="2" t="n">
        <x:v>445</x:v>
      </x:c>
      <x:c r="K909" s="2"/>
      <x:c r="L909" s="2"/>
    </x:row>
    <x:row r="910" ht="22" customHeight="1">
      <x:c r="A910" s="2"/>
      <x:c r="B910" s="2" t="n">
        <x:v>877</x:v>
      </x:c>
      <x:c r="C910" s="2" t="str">
        <x:v>22472</x:v>
      </x:c>
      <x:c r="D910" s="2" t="str">
        <x:v>TV DINNER TRAY DOLLY GIRL</x:v>
      </x:c>
      <x:c r="E910" s="11" t="n">
        <x:v>5175.17</x:v>
      </x:c>
      <x:c r="F910" s="11" t="n">
        <x:v>24.75</x:v>
      </x:c>
      <x:c r="G910" s="11" t="n">
        <x:v>5150.42</x:v>
      </x:c>
      <x:c r="H910" s="23" t="n">
        <x:v>0.00025203248490541396</x:v>
      </x:c>
      <x:c r="I910" s="23" t="n">
        <x:v>0.7693957693191272</x:v>
      </x:c>
      <x:c r="J910" s="2" t="n">
        <x:v>250</x:v>
      </x:c>
      <x:c r="K910" s="2"/>
      <x:c r="L910" s="2"/>
    </x:row>
    <x:row r="911" ht="22" customHeight="1">
      <x:c r="A911" s="2"/>
      <x:c r="B911" s="2" t="n">
        <x:v>878</x:v>
      </x:c>
      <x:c r="C911" s="2" t="str">
        <x:v>21872</x:v>
      </x:c>
      <x:c r="D911" s="2" t="str">
        <x:v>GLAMOROUS  MUG</x:v>
      </x:c>
      <x:c r="E911" s="11" t="n">
        <x:v>5172.55</x:v>
      </x:c>
      <x:c r="F911" s="11" t="n">
        <x:v>41.47</x:v>
      </x:c>
      <x:c r="G911" s="11" t="n">
        <x:v>5131.08</x:v>
      </x:c>
      <x:c r="H911" s="23" t="n">
        <x:v>0.0002519048900417762</x:v>
      </x:c>
      <x:c r="I911" s="23" t="n">
        <x:v>0.769647674209169</x:v>
      </x:c>
      <x:c r="J911" s="2" t="n">
        <x:v>330</x:v>
      </x:c>
      <x:c r="K911" s="2"/>
      <x:c r="L911" s="2"/>
    </x:row>
    <x:row r="912" ht="22" customHeight="1">
      <x:c r="A912" s="2"/>
      <x:c r="B912" s="2" t="n">
        <x:v>879</x:v>
      </x:c>
      <x:c r="C912" s="2" t="str">
        <x:v>23157</x:v>
      </x:c>
      <x:c r="D912" s="2" t="str">
        <x:v>SET OF 6 NATIVITY MAGNETS </x:v>
      </x:c>
      <x:c r="E912" s="11" t="n">
        <x:v>5170.1</x:v>
      </x:c>
      <x:c r="F912" s="11" t="n">
        <x:v>444</x:v>
      </x:c>
      <x:c r="G912" s="11" t="n">
        <x:v>4726.1</x:v>
      </x:c>
      <x:c r="H912" s="23" t="n">
        <x:v>0.000251785574234176</x:v>
      </x:c>
      <x:c r="I912" s="23" t="n">
        <x:v>0.7698994597834032</x:v>
      </x:c>
      <x:c r="J912" s="2" t="n">
        <x:v>163</x:v>
      </x:c>
      <x:c r="K912" s="2"/>
      <x:c r="L912" s="2"/>
    </x:row>
    <x:row r="913" ht="22" customHeight="1">
      <x:c r="A913" s="2"/>
      <x:c r="B913" s="2" t="n">
        <x:v>880</x:v>
      </x:c>
      <x:c r="C913" s="2" t="str">
        <x:v>22894</x:v>
      </x:c>
      <x:c r="D913" s="2" t="str">
        <x:v>TABLECLOTH RED APPLES DESIGN </x:v>
      </x:c>
      <x:c r="E913" s="11" t="n">
        <x:v>5169.28</x:v>
      </x:c>
      <x:c r="F913" s="11" t="n">
        <x:v>17</x:v>
      </x:c>
      <x:c r="G913" s="11" t="n">
        <x:v>5152.28</x:v>
      </x:c>
      <x:c r="H913" s="23" t="n">
        <x:v>0.00025174563996387714</x:v>
      </x:c>
      <x:c r="I913" s="23" t="n">
        <x:v>0.7701512054233671</x:v>
      </x:c>
      <x:c r="J913" s="2" t="n">
        <x:v>192</x:v>
      </x:c>
      <x:c r="K913" s="2"/>
      <x:c r="L913" s="2"/>
    </x:row>
    <x:row r="914" ht="22" customHeight="1">
      <x:c r="A914" s="2"/>
      <x:c r="B914" s="2" t="n">
        <x:v>881</x:v>
      </x:c>
      <x:c r="C914" s="2" t="str">
        <x:v>22412</x:v>
      </x:c>
      <x:c r="D914" s="2" t="str">
        <x:v>METAL SIGN NEIGHBOURHOOD WITCH </x:v>
      </x:c>
      <x:c r="E914" s="11" t="n">
        <x:v>5159.72</x:v>
      </x:c>
      <x:c r="F914" s="11" t="n">
        <x:v>4.2</x:v>
      </x:c>
      <x:c r="G914" s="11" t="n">
        <x:v>5155.52</x:v>
      </x:c>
      <x:c r="H914" s="23" t="n">
        <x:v>0.0002512800648125883</x:v>
      </x:c>
      <x:c r="I914" s="23" t="n">
        <x:v>0.7704024854881797</x:v>
      </x:c>
      <x:c r="J914" s="2" t="n">
        <x:v>402</x:v>
      </x:c>
      <x:c r="K914" s="2"/>
      <x:c r="L914" s="2"/>
    </x:row>
    <x:row r="915" ht="22" customHeight="1">
      <x:c r="A915" s="2"/>
      <x:c r="B915" s="2" t="n">
        <x:v>882</x:v>
      </x:c>
      <x:c r="C915" s="2" t="str">
        <x:v>23165</x:v>
      </x:c>
      <x:c r="D915" s="2" t="str">
        <x:v>LARGE CERAMIC TOP STORAGE JAR</x:v>
      </x:c>
      <x:c r="E915" s="11" t="n">
        <x:v>5147.66</x:v>
      </x:c>
      <x:c r="F915" s="11" t="n">
        <x:v>154.5</x:v>
      </x:c>
      <x:c r="G915" s="11" t="n">
        <x:v>4993.16</x:v>
      </x:c>
      <x:c r="H915" s="23" t="n">
        <x:v>0.00025069273883721754</x:v>
      </x:c>
      <x:c r="I915" s="23" t="n">
        <x:v>0.770653178227017</x:v>
      </x:c>
      <x:c r="J915" s="2" t="n">
        <x:v>280</x:v>
      </x:c>
      <x:c r="K915" s="2"/>
      <x:c r="L915" s="2"/>
    </x:row>
    <x:row r="916" ht="22" customHeight="1">
      <x:c r="A916" s="2"/>
      <x:c r="B916" s="2" t="n">
        <x:v>883</x:v>
      </x:c>
      <x:c r="C916" s="2" t="str">
        <x:v>22571</x:v>
      </x:c>
      <x:c r="D916" s="2" t="str">
        <x:v>ROCKING HORSE RED CHRISTMAS </x:v>
      </x:c>
      <x:c r="E916" s="11" t="n">
        <x:v>5144.59</x:v>
      </x:c>
      <x:c r="F916" s="11" t="n">
        <x:v>80.17</x:v>
      </x:c>
      <x:c r="G916" s="11" t="n">
        <x:v>5064.42</x:v>
      </x:c>
      <x:c r="H916" s="23" t="n">
        <x:v>0.0002505432288252451</x:v>
      </x:c>
      <x:c r="I916" s="23" t="n">
        <x:v>0.7709037214558422</x:v>
      </x:c>
      <x:c r="J916" s="2" t="n">
        <x:v>511</x:v>
      </x:c>
      <x:c r="K916" s="2"/>
      <x:c r="L916" s="2"/>
    </x:row>
    <x:row r="917" ht="22" customHeight="1">
      <x:c r="A917" s="2"/>
      <x:c r="B917" s="2" t="n">
        <x:v>884</x:v>
      </x:c>
      <x:c r="C917" s="2" t="str">
        <x:v>23162</x:v>
      </x:c>
      <x:c r="D917" s="2" t="str">
        <x:v>REGENCY TEA STRAINER</x:v>
      </x:c>
      <x:c r="E917" s="11" t="n">
        <x:v>5143.6900000000005</x:v>
      </x:c>
      <x:c r="F917" s="11" t="n">
        <x:v>0</x:v>
      </x:c>
      <x:c r="G917" s="11" t="n">
        <x:v>5143.6900000000005</x:v>
      </x:c>
      <x:c r="H917" s="23" t="n">
        <x:v>0.00025049939852857565</x:v>
      </x:c>
      <x:c r="I917" s="23" t="n">
        <x:v>0.7711542208543708</x:v>
      </x:c>
      <x:c r="J917" s="2" t="n">
        <x:v>176</x:v>
      </x:c>
      <x:c r="K917" s="2"/>
      <x:c r="L917" s="2"/>
    </x:row>
    <x:row r="918" ht="22" customHeight="1">
      <x:c r="A918" s="2"/>
      <x:c r="B918" s="2" t="n">
        <x:v>885</x:v>
      </x:c>
      <x:c r="C918" s="2" t="str">
        <x:v>22509</x:v>
      </x:c>
      <x:c r="D918" s="2" t="str">
        <x:v>SEWING BOX RETROSPOT DESIGN </x:v>
      </x:c>
      <x:c r="E918" s="11" t="n">
        <x:v>5138.26</x:v>
      </x:c>
      <x:c r="F918" s="11" t="n">
        <x:v>288.04999999999995</x:v>
      </x:c>
      <x:c r="G918" s="11" t="n">
        <x:v>4850.21</x:v>
      </x:c>
      <x:c r="H918" s="23" t="n">
        <x:v>0.0002502349557386699</x:v>
      </x:c>
      <x:c r="I918" s="23" t="n">
        <x:v>0.7714044558101094</x:v>
      </x:c>
      <x:c r="J918" s="2" t="n">
        <x:v>187</x:v>
      </x:c>
      <x:c r="K918" s="2"/>
      <x:c r="L918" s="2"/>
    </x:row>
    <x:row r="919" ht="22" customHeight="1">
      <x:c r="A919" s="2"/>
      <x:c r="B919" s="2" t="n">
        <x:v>886</x:v>
      </x:c>
      <x:c r="C919" s="2" t="str">
        <x:v>22426</x:v>
      </x:c>
      <x:c r="D919" s="2" t="str">
        <x:v>ENAMEL WASH BOWL CREAM</x:v>
      </x:c>
      <x:c r="E919" s="11" t="n">
        <x:v>5137.05</x:v>
      </x:c>
      <x:c r="F919" s="11" t="n">
        <x:v>129.7</x:v>
      </x:c>
      <x:c r="G919" s="11" t="n">
        <x:v>5007.35</x:v>
      </x:c>
      <x:c r="H919" s="23" t="n">
        <x:v>0.0002501760283398143</x:v>
      </x:c>
      <x:c r="I919" s="23" t="n">
        <x:v>0.7716546318384492</x:v>
      </x:c>
      <x:c r="J919" s="2" t="n">
        <x:v>372</x:v>
      </x:c>
      <x:c r="K919" s="2"/>
      <x:c r="L919" s="2"/>
    </x:row>
    <x:row r="920" ht="22" customHeight="1">
      <x:c r="A920" s="2"/>
      <x:c r="B920" s="2" t="n">
        <x:v>887</x:v>
      </x:c>
      <x:c r="C920" s="2" t="str">
        <x:v>21495</x:v>
      </x:c>
      <x:c r="D920" s="2" t="str">
        <x:v>SKULLS AND CROSSBONES WRAP</x:v>
      </x:c>
      <x:c r="E920" s="11" t="n">
        <x:v>5119.3</x:v>
      </x:c>
      <x:c r="F920" s="11" t="n">
        <x:v>10.5</x:v>
      </x:c>
      <x:c r="G920" s="11" t="n">
        <x:v>5108.8</x:v>
      </x:c>
      <x:c r="H920" s="23" t="n">
        <x:v>0.00024931159748883336</x:v>
      </x:c>
      <x:c r="I920" s="23" t="n">
        <x:v>0.771903943435938</x:v>
      </x:c>
      <x:c r="J920" s="2" t="n">
        <x:v>376</x:v>
      </x:c>
      <x:c r="K920" s="2"/>
      <x:c r="L920" s="2"/>
    </x:row>
    <x:row r="921" ht="22" customHeight="1">
      <x:c r="A921" s="2"/>
      <x:c r="B921" s="2" t="n">
        <x:v>888</x:v>
      </x:c>
      <x:c r="C921" s="2" t="str">
        <x:v>22374</x:v>
      </x:c>
      <x:c r="D921" s="2" t="str">
        <x:v>AIRLINE BAG VINTAGE JET SET RED</x:v>
      </x:c>
      <x:c r="E921" s="11" t="n">
        <x:v>5116.84</x:v>
      </x:c>
      <x:c r="F921" s="11" t="n">
        <x:v>23.35</x:v>
      </x:c>
      <x:c r="G921" s="11" t="n">
        <x:v>5093.49</x:v>
      </x:c>
      <x:c r="H921" s="23" t="n">
        <x:v>0.00024919179467793685</x:v>
      </x:c>
      <x:c r="I921" s="23" t="n">
        <x:v>0.772153135230616</x:v>
      </x:c>
      <x:c r="J921" s="2" t="n">
        <x:v>430</x:v>
      </x:c>
      <x:c r="K921" s="2"/>
      <x:c r="L921" s="2"/>
    </x:row>
    <x:row r="922" ht="22" customHeight="1">
      <x:c r="A922" s="2"/>
      <x:c r="B922" s="2" t="n">
        <x:v>889</x:v>
      </x:c>
      <x:c r="C922" s="2" t="str">
        <x:v>22610</x:v>
      </x:c>
      <x:c r="D922" s="2" t="str">
        <x:v>PENS ASSORTED FUNNY FACE</x:v>
      </x:c>
      <x:c r="E922" s="11" t="n">
        <x:v>5114.38</x:v>
      </x:c>
      <x:c r="F922" s="11" t="n">
        <x:v>30.599999999999998</x:v>
      </x:c>
      <x:c r="G922" s="11" t="n">
        <x:v>5083.78</x:v>
      </x:c>
      <x:c r="H922" s="23" t="n">
        <x:v>0.0002490719918670403</x:v>
      </x:c>
      <x:c r="I922" s="23" t="n">
        <x:v>0.7724022072224831</x:v>
      </x:c>
      <x:c r="J922" s="2" t="n">
        <x:v>287</x:v>
      </x:c>
      <x:c r="K922" s="2"/>
      <x:c r="L922" s="2"/>
    </x:row>
    <x:row r="923" ht="22" customHeight="1">
      <x:c r="A923" s="2"/>
      <x:c r="B923" s="2" t="n">
        <x:v>890</x:v>
      </x:c>
      <x:c r="C923" s="2" t="str">
        <x:v>21471</x:v>
      </x:c>
      <x:c r="D923" s="2" t="str">
        <x:v>STRAWBERRY RAFFIA FOOD COVER</x:v>
      </x:c>
      <x:c r="E923" s="11" t="n">
        <x:v>5114.38</x:v>
      </x:c>
      <x:c r="F923" s="11" t="n">
        <x:v>15</x:v>
      </x:c>
      <x:c r="G923" s="11" t="n">
        <x:v>5099.38</x:v>
      </x:c>
      <x:c r="H923" s="23" t="n">
        <x:v>0.0002490719918670403</x:v>
      </x:c>
      <x:c r="I923" s="23" t="n">
        <x:v>0.7726512792143502</x:v>
      </x:c>
      <x:c r="J923" s="2" t="n">
        <x:v>319</x:v>
      </x:c>
      <x:c r="K923" s="2"/>
      <x:c r="L923" s="2"/>
    </x:row>
    <x:row r="924" ht="22" customHeight="1">
      <x:c r="A924" s="2"/>
      <x:c r="B924" s="2" t="n">
        <x:v>891</x:v>
      </x:c>
      <x:c r="C924" s="2" t="str">
        <x:v>23397</x:v>
      </x:c>
      <x:c r="D924" s="2" t="str">
        <x:v>FOOT STOOL HOME SWEET HOME </x:v>
      </x:c>
      <x:c r="E924" s="11" t="n">
        <x:v>5097.65</x:v>
      </x:c>
      <x:c r="F924" s="11" t="n">
        <x:v>59.699999999999996</x:v>
      </x:c>
      <x:c r="G924" s="11" t="n">
        <x:v>5037.95</x:v>
      </x:c>
      <x:c r="H924" s="23" t="n">
        <x:v>0.00024825723535228474</x:v>
      </x:c>
      <x:c r="I924" s="23" t="n">
        <x:v>0.7728995364497024</x:v>
      </x:c>
      <x:c r="J924" s="2" t="n">
        <x:v>217</x:v>
      </x:c>
      <x:c r="K924" s="2"/>
      <x:c r="L924" s="2"/>
    </x:row>
    <x:row r="925" ht="22" customHeight="1">
      <x:c r="A925" s="2"/>
      <x:c r="B925" s="2" t="n">
        <x:v>892</x:v>
      </x:c>
      <x:c r="C925" s="2" t="str">
        <x:v>23234</x:v>
      </x:c>
      <x:c r="D925" s="2" t="str">
        <x:v>BISCUIT TIN VINTAGE CHRISTMAS</x:v>
      </x:c>
      <x:c r="E925" s="11" t="n">
        <x:v>5088.45</x:v>
      </x:c>
      <x:c r="F925" s="11" t="n">
        <x:v>46.24</x:v>
      </x:c>
      <x:c r="G925" s="11" t="n">
        <x:v>5042.21</x:v>
      </x:c>
      <x:c r="H925" s="23" t="n">
        <x:v>0.0002478091923196636</x:v>
      </x:c>
      <x:c r="I925" s="23" t="n">
        <x:v>0.7731473456420221</x:v>
      </x:c>
      <x:c r="J925" s="2" t="n">
        <x:v>277</x:v>
      </x:c>
      <x:c r="K925" s="2"/>
      <x:c r="L925" s="2"/>
    </x:row>
    <x:row r="926" ht="22" customHeight="1">
      <x:c r="A926" s="2"/>
      <x:c r="B926" s="2" t="n">
        <x:v>893</x:v>
      </x:c>
      <x:c r="C926" s="2" t="str">
        <x:v>20977</x:v>
      </x:c>
      <x:c r="D926" s="2" t="str">
        <x:v>36 PENCILS TUBE WOODLAND</x:v>
      </x:c>
      <x:c r="E926" s="11" t="n">
        <x:v>5081.24</x:v>
      </x:c>
      <x:c r="F926" s="11" t="n">
        <x:v>95</x:v>
      </x:c>
      <x:c r="G926" s="11" t="n">
        <x:v>4986.24</x:v>
      </x:c>
      <x:c r="H926" s="23" t="n">
        <x:v>0.00024745806294301163</x:v>
      </x:c>
      <x:c r="I926" s="23" t="n">
        <x:v>0.7733948037049652</x:v>
      </x:c>
      <x:c r="J926" s="2" t="n">
        <x:v>485</x:v>
      </x:c>
      <x:c r="K926" s="2"/>
      <x:c r="L926" s="2"/>
    </x:row>
    <x:row r="927" ht="22" customHeight="1">
      <x:c r="A927" s="2"/>
      <x:c r="B927" s="2" t="n">
        <x:v>894</x:v>
      </x:c>
      <x:c r="C927" s="2" t="str">
        <x:v>21578</x:v>
      </x:c>
      <x:c r="D927" s="2" t="str">
        <x:v>WOODLAND DESIGN  COTTON TOTE BAG</x:v>
      </x:c>
      <x:c r="E927" s="11" t="n">
        <x:v>5080.86</x:v>
      </x:c>
      <x:c r="F927" s="11" t="n">
        <x:v>22.5</x:v>
      </x:c>
      <x:c r="G927" s="11" t="n">
        <x:v>5058.36</x:v>
      </x:c>
      <x:c r="H927" s="23" t="n">
        <x:v>0.0002474395568177512</x:v>
      </x:c>
      <x:c r="I927" s="23" t="n">
        <x:v>0.7736422432617829</x:v>
      </x:c>
      <x:c r="J927" s="2" t="n">
        <x:v>380</x:v>
      </x:c>
      <x:c r="K927" s="2"/>
      <x:c r="L927" s="2"/>
    </x:row>
    <x:row r="928" ht="22" customHeight="1">
      <x:c r="A928" s="2"/>
      <x:c r="B928" s="2" t="n">
        <x:v>895</x:v>
      </x:c>
      <x:c r="C928" s="2" t="str">
        <x:v>23295</x:v>
      </x:c>
      <x:c r="D928" s="2" t="str">
        <x:v>SET OF 12 MINI LOAF BAKING CASES</x:v>
      </x:c>
      <x:c r="E928" s="11" t="n">
        <x:v>5078.429999999999</x:v>
      </x:c>
      <x:c r="F928" s="11" t="n">
        <x:v>10.79</x:v>
      </x:c>
      <x:c r="G928" s="11" t="n">
        <x:v>5067.639999999999</x:v>
      </x:c>
      <x:c r="H928" s="23" t="n">
        <x:v>0.0002473212150167436</x:v>
      </x:c>
      <x:c r="I928" s="23" t="n">
        <x:v>0.7738895644767996</x:v>
      </x:c>
      <x:c r="J928" s="2" t="n">
        <x:v>444</x:v>
      </x:c>
      <x:c r="K928" s="2"/>
      <x:c r="L928" s="2"/>
    </x:row>
    <x:row r="929" ht="22" customHeight="1">
      <x:c r="A929" s="2"/>
      <x:c r="B929" s="2" t="n">
        <x:v>896</x:v>
      </x:c>
      <x:c r="C929" s="2" t="str">
        <x:v>23198</x:v>
      </x:c>
      <x:c r="D929" s="2" t="str">
        <x:v>PANTRY MAGNETIC  SHOPPING LIST</x:v>
      </x:c>
      <x:c r="E929" s="11" t="n">
        <x:v>5068.4</x:v>
      </x:c>
      <x:c r="F929" s="11" t="n">
        <x:v>92.8</x:v>
      </x:c>
      <x:c r="G929" s="11" t="n">
        <x:v>4975.599999999999</x:v>
      </x:c>
      <x:c r="H929" s="23" t="n">
        <x:v>0.0002468327507105274</x:v>
      </x:c>
      <x:c r="I929" s="23" t="n">
        <x:v>0.7741363972275102</x:v>
      </x:c>
      <x:c r="J929" s="2" t="n">
        <x:v>475</x:v>
      </x:c>
      <x:c r="K929" s="2"/>
      <x:c r="L929" s="2"/>
    </x:row>
    <x:row r="930" ht="22" customHeight="1">
      <x:c r="A930" s="2"/>
      <x:c r="B930" s="2" t="n">
        <x:v>897</x:v>
      </x:c>
      <x:c r="C930" s="2" t="str">
        <x:v>21544</x:v>
      </x:c>
      <x:c r="D930" s="2" t="str">
        <x:v>SKULLS  WATER TRANSFER TATTOOS </x:v>
      </x:c>
      <x:c r="E930" s="11" t="n">
        <x:v>5054.759999999999</x:v>
      </x:c>
      <x:c r="F930" s="11" t="n">
        <x:v>20.4</x:v>
      </x:c>
      <x:c r="G930" s="11" t="n">
        <x:v>5034.36</x:v>
      </x:c>
      <x:c r="H930" s="23" t="n">
        <x:v>0.00024616847821433695</x:v>
      </x:c>
      <x:c r="I930" s="23" t="n">
        <x:v>0.7743825657057245</x:v>
      </x:c>
      <x:c r="J930" s="2" t="n">
        <x:v>503</x:v>
      </x:c>
      <x:c r="K930" s="2"/>
      <x:c r="L930" s="2"/>
    </x:row>
    <x:row r="931" ht="22" customHeight="1">
      <x:c r="A931" s="2"/>
      <x:c r="B931" s="2" t="n">
        <x:v>898</x:v>
      </x:c>
      <x:c r="C931" s="2" t="str">
        <x:v>21706</x:v>
      </x:c>
      <x:c r="D931" s="2" t="str">
        <x:v>FOLDING UMBRELLA RED/WHITE POLKADOT</x:v>
      </x:c>
      <x:c r="E931" s="11" t="n">
        <x:v>5046.01</x:v>
      </x:c>
      <x:c r="F931" s="11" t="n">
        <x:v>148.5</x:v>
      </x:c>
      <x:c r="G931" s="11" t="n">
        <x:v>4897.51</x:v>
      </x:c>
      <x:c r="H931" s="23" t="n">
        <x:v>0.0002457423503300506</x:v>
      </x:c>
      <x:c r="I931" s="23" t="n">
        <x:v>0.7746283080560545</x:v>
      </x:c>
      <x:c r="J931" s="2" t="n">
        <x:v>254</x:v>
      </x:c>
      <x:c r="K931" s="2"/>
      <x:c r="L931" s="2"/>
    </x:row>
    <x:row r="932" ht="22" customHeight="1">
      <x:c r="A932" s="2"/>
      <x:c r="B932" s="2" t="n">
        <x:v>899</x:v>
      </x:c>
      <x:c r="C932" s="2" t="str">
        <x:v>23314</x:v>
      </x:c>
      <x:c r="D932" s="2" t="str">
        <x:v>VINTAGE CHRISTMAS TABLECLOTH</x:v>
      </x:c>
      <x:c r="E932" s="11" t="n">
        <x:v>5037.96</x:v>
      </x:c>
      <x:c r="F932" s="11" t="n">
        <x:v>62.5</x:v>
      </x:c>
      <x:c r="G932" s="11" t="n">
        <x:v>4975.46</x:v>
      </x:c>
      <x:c r="H932" s="23" t="n">
        <x:v>0.0002453503126765071</x:v>
      </x:c>
      <x:c r="I932" s="23" t="n">
        <x:v>0.774873658368731</x:v>
      </x:c>
      <x:c r="J932" s="2" t="n">
        <x:v>117</x:v>
      </x:c>
      <x:c r="K932" s="2"/>
      <x:c r="L932" s="2"/>
    </x:row>
    <x:row r="933" ht="22" customHeight="1">
      <x:c r="A933" s="2"/>
      <x:c r="B933" s="2" t="n">
        <x:v>900</x:v>
      </x:c>
      <x:c r="C933" s="2" t="str">
        <x:v>46000S</x:v>
      </x:c>
      <x:c r="D933" s="2" t="str">
        <x:v>POLYESTER FILLER PAD 40x40cm</x:v>
      </x:c>
      <x:c r="E933" s="11" t="n">
        <x:v>5032.95</x:v>
      </x:c>
      <x:c r="F933" s="11" t="n">
        <x:v>101.5</x:v>
      </x:c>
      <x:c r="G933" s="11" t="n">
        <x:v>4931.45</x:v>
      </x:c>
      <x:c r="H933" s="23" t="n">
        <x:v>0.0002451063240250471</x:v>
      </x:c>
      <x:c r="I933" s="23" t="n">
        <x:v>0.7751187646927561</x:v>
      </x:c>
      <x:c r="J933" s="2" t="n">
        <x:v>380</x:v>
      </x:c>
      <x:c r="K933" s="2"/>
      <x:c r="L933" s="2"/>
    </x:row>
    <x:row r="934" ht="22" customHeight="1">
      <x:c r="A934" s="2"/>
      <x:c r="B934" s="2" t="n">
        <x:v>901</x:v>
      </x:c>
      <x:c r="C934" s="2" t="str">
        <x:v>21071</x:v>
      </x:c>
      <x:c r="D934" s="2" t="str">
        <x:v>VINTAGE BILLBOARD DRINK ME MUG</x:v>
      </x:c>
      <x:c r="E934" s="11" t="n">
        <x:v>5029.57</x:v>
      </x:c>
      <x:c r="F934" s="11" t="n">
        <x:v>13.67</x:v>
      </x:c>
      <x:c r="G934" s="11" t="n">
        <x:v>5015.9</x:v>
      </x:c>
      <x:c r="H934" s="23" t="n">
        <x:v>0.0002449417169108885</x:v>
      </x:c>
      <x:c r="I934" s="23" t="n">
        <x:v>0.775363706409667</x:v>
      </x:c>
      <x:c r="J934" s="2" t="n">
        <x:v>472</x:v>
      </x:c>
      <x:c r="K934" s="2"/>
      <x:c r="L934" s="2"/>
    </x:row>
    <x:row r="935" ht="22" customHeight="1">
      <x:c r="A935" s="2"/>
      <x:c r="B935" s="2" t="n">
        <x:v>902</x:v>
      </x:c>
      <x:c r="C935" s="2" t="str">
        <x:v>22957</x:v>
      </x:c>
      <x:c r="D935" s="2" t="str">
        <x:v>SET 3 PAPER VINTAGE CHICK PAPER EGG</x:v>
      </x:c>
      <x:c r="E935" s="11" t="n">
        <x:v>5023.5</x:v>
      </x:c>
      <x:c r="F935" s="11" t="n">
        <x:v>71.9</x:v>
      </x:c>
      <x:c r="G935" s="11" t="n">
        <x:v>4951.6</x:v>
      </x:c>
      <x:c r="H935" s="23" t="n">
        <x:v>0.00024464610591001785</x:v>
      </x:c>
      <x:c r="I935" s="23" t="n">
        <x:v>0.775608352515577</x:v>
      </x:c>
      <x:c r="J935" s="2" t="n">
        <x:v>214</x:v>
      </x:c>
      <x:c r="K935" s="2"/>
      <x:c r="L935" s="2"/>
    </x:row>
    <x:row r="936" ht="22" customHeight="1">
      <x:c r="A936" s="2"/>
      <x:c r="B936" s="2" t="n">
        <x:v>903</x:v>
      </x:c>
      <x:c r="C936" s="2" t="str">
        <x:v>22732</x:v>
      </x:c>
      <x:c r="D936" s="2" t="str">
        <x:v>3D VINTAGE CHRISTMAS STICKERS </x:v>
      </x:c>
      <x:c r="E936" s="11" t="n">
        <x:v>5004.34</x:v>
      </x:c>
      <x:c r="F936" s="11" t="n">
        <x:v>0</x:v>
      </x:c>
      <x:c r="G936" s="11" t="n">
        <x:v>5004.34</x:v>
      </x:c>
      <x:c r="H936" s="23" t="n">
        <x:v>0.00024371300759425474</x:v>
      </x:c>
      <x:c r="I936" s="23" t="n">
        <x:v>0.7758520655231713</x:v>
      </x:c>
      <x:c r="J936" s="2" t="n">
        <x:v>337</x:v>
      </x:c>
      <x:c r="K936" s="2"/>
      <x:c r="L936" s="2"/>
    </x:row>
    <x:row r="937" ht="22" customHeight="1">
      <x:c r="A937" s="2"/>
      <x:c r="B937" s="2" t="n">
        <x:v>904</x:v>
      </x:c>
      <x:c r="C937" s="2" t="str">
        <x:v>22318</x:v>
      </x:c>
      <x:c r="D937" s="2" t="str">
        <x:v>FIVE HEART HANGING DECORATION</x:v>
      </x:c>
      <x:c r="E937" s="11" t="n">
        <x:v>5001.68</x:v>
      </x:c>
      <x:c r="F937" s="11" t="n">
        <x:v>59.00000000000001</x:v>
      </x:c>
      <x:c r="G937" s="11" t="n">
        <x:v>4942.68</x:v>
      </x:c>
      <x:c r="H937" s="23" t="n">
        <x:v>0.00024358346471743168</x:v>
      </x:c>
      <x:c r="I937" s="23" t="n">
        <x:v>0.7760956489878887</x:v>
      </x:c>
      <x:c r="J937" s="2" t="n">
        <x:v>389</x:v>
      </x:c>
      <x:c r="K937" s="2"/>
      <x:c r="L937" s="2"/>
    </x:row>
    <x:row r="938" ht="22" customHeight="1">
      <x:c r="A938" s="2"/>
      <x:c r="B938" s="2" t="n">
        <x:v>905</x:v>
      </x:c>
      <x:c r="C938" s="2" t="str">
        <x:v>84796B</x:v>
      </x:c>
      <x:c r="D938" s="2" t="str">
        <x:v>BLUE SAVANNAH PICNIC HAMPER FOR 2</x:v>
      </x:c>
      <x:c r="E938" s="11" t="n">
        <x:v>4999.79</x:v>
      </x:c>
      <x:c r="F938" s="11" t="n">
        <x:v>0</x:v>
      </x:c>
      <x:c r="G938" s="11" t="n">
        <x:v>4999.79</x:v>
      </x:c>
      <x:c r="H938" s="23" t="n">
        <x:v>0.0002434914210944258</x:v>
      </x:c>
      <x:c r="I938" s="23" t="n">
        <x:v>0.7763391404089832</x:v>
      </x:c>
      <x:c r="J938" s="2" t="n">
        <x:v>180</x:v>
      </x:c>
      <x:c r="K938" s="2"/>
      <x:c r="L938" s="2"/>
    </x:row>
    <x:row r="939" ht="22" customHeight="1">
      <x:c r="A939" s="2"/>
      <x:c r="B939" s="2" t="n">
        <x:v>906</x:v>
      </x:c>
      <x:c r="C939" s="2" t="str">
        <x:v>23310</x:v>
      </x:c>
      <x:c r="D939" s="2" t="str">
        <x:v>BUBBLEGUM RING ASSORTED</x:v>
      </x:c>
      <x:c r="E939" s="11" t="n">
        <x:v>4997.28</x:v>
      </x:c>
      <x:c r="F939" s="11" t="n">
        <x:v>0</x:v>
      </x:c>
      <x:c r="G939" s="11" t="n">
        <x:v>4997.28</x:v>
      </x:c>
      <x:c r="H939" s="23" t="n">
        <x:v>0.00024336918326704765</x:v>
      </x:c>
      <x:c r="I939" s="23" t="n">
        <x:v>0.7765825095922503</x:v>
      </x:c>
      <x:c r="J939" s="2" t="n">
        <x:v>245</x:v>
      </x:c>
      <x:c r="K939" s="2"/>
      <x:c r="L939" s="2"/>
    </x:row>
    <x:row r="940" ht="22" customHeight="1">
      <x:c r="A940" s="2"/>
      <x:c r="B940" s="2" t="n">
        <x:v>907</x:v>
      </x:c>
      <x:c r="C940" s="2" t="str">
        <x:v>22583</x:v>
      </x:c>
      <x:c r="D940" s="2" t="str">
        <x:v>PACK OF 6 HANDBAG GIFT BOXES</x:v>
      </x:c>
      <x:c r="E940" s="11" t="n">
        <x:v>4996.549999999999</x:v>
      </x:c>
      <x:c r="F940" s="11" t="n">
        <x:v>272.85</x:v>
      </x:c>
      <x:c r="G940" s="11" t="n">
        <x:v>4723.7</x:v>
      </x:c>
      <x:c r="H940" s="23" t="n">
        <x:v>0.00024333363202641572</x:v>
      </x:c>
      <x:c r="I940" s="23" t="n">
        <x:v>0.7768258432242767</x:v>
      </x:c>
      <x:c r="J940" s="2" t="n">
        <x:v>349</x:v>
      </x:c>
      <x:c r="K940" s="2"/>
      <x:c r="L940" s="2"/>
    </x:row>
    <x:row r="941" ht="22" customHeight="1">
      <x:c r="A941" s="2"/>
      <x:c r="B941" s="2" t="n">
        <x:v>908</x:v>
      </x:c>
      <x:c r="C941" s="2" t="str">
        <x:v>47568</x:v>
      </x:c>
      <x:c r="D941" s="2" t="str">
        <x:v>ENGLISH ROSE DESIGN PEG BAG</x:v>
      </x:c>
      <x:c r="E941" s="11" t="n">
        <x:v>4993.52</x:v>
      </x:c>
      <x:c r="F941" s="11" t="n">
        <x:v>44.970000000000006</x:v>
      </x:c>
      <x:c r="G941" s="11" t="n">
        <x:v>4948.55</x:v>
      </x:c>
      <x:c r="H941" s="23" t="n">
        <x:v>0.0002431860700276286</x:v>
      </x:c>
      <x:c r="I941" s="23" t="n">
        <x:v>0.7770690292943043</x:v>
      </x:c>
      <x:c r="J941" s="2" t="n">
        <x:v>410</x:v>
      </x:c>
      <x:c r="K941" s="2"/>
      <x:c r="L941" s="2"/>
    </x:row>
    <x:row r="942" ht="22" customHeight="1">
      <x:c r="A942" s="2"/>
      <x:c r="B942" s="2" t="n">
        <x:v>909</x:v>
      </x:c>
      <x:c r="C942" s="2" t="str">
        <x:v>22604</x:v>
      </x:c>
      <x:c r="D942" s="2" t="str">
        <x:v>SET OF 4 NAPKIN CHARMS CUTLERY</x:v>
      </x:c>
      <x:c r="E942" s="11" t="n">
        <x:v>4983.12</x:v>
      </x:c>
      <x:c r="F942" s="11" t="n">
        <x:v>61.199999999999996</x:v>
      </x:c>
      <x:c r="G942" s="11" t="n">
        <x:v>4921.92</x:v>
      </x:c>
      <x:c r="H942" s="23" t="n">
        <x:v>0.0002426795865994482</x:v>
      </x:c>
      <x:c r="I942" s="23" t="n">
        <x:v>0.7773117088809037</x:v>
      </x:c>
      <x:c r="J942" s="2" t="n">
        <x:v>247</x:v>
      </x:c>
      <x:c r="K942" s="2"/>
      <x:c r="L942" s="2"/>
    </x:row>
    <x:row r="943" ht="22" customHeight="1">
      <x:c r="A943" s="2"/>
      <x:c r="B943" s="2" t="n">
        <x:v>910</x:v>
      </x:c>
      <x:c r="C943" s="2" t="str">
        <x:v>21896</x:v>
      </x:c>
      <x:c r="D943" s="2" t="str">
        <x:v>POTTING SHED TWINE</x:v>
      </x:c>
      <x:c r="E943" s="11" t="n">
        <x:v>4979.740000000001</x:v>
      </x:c>
      <x:c r="F943" s="11" t="n">
        <x:v>28.650000000000002</x:v>
      </x:c>
      <x:c r="G943" s="11" t="n">
        <x:v>4951.09</x:v>
      </x:c>
      <x:c r="H943" s="23" t="n">
        <x:v>0.0002425149794852896</x:v>
      </x:c>
      <x:c r="I943" s="23" t="n">
        <x:v>0.777554223860389</x:v>
      </x:c>
      <x:c r="J943" s="2" t="n">
        <x:v>290</x:v>
      </x:c>
      <x:c r="K943" s="2"/>
      <x:c r="L943" s="2"/>
    </x:row>
    <x:row r="944" ht="22" customHeight="1">
      <x:c r="A944" s="2"/>
      <x:c r="B944" s="2" t="n">
        <x:v>911</x:v>
      </x:c>
      <x:c r="C944" s="2" t="str">
        <x:v>23556</x:v>
      </x:c>
      <x:c r="D944" s="2" t="str">
        <x:v>LANDMARK FRAME COVENT GARDEN </x:v>
      </x:c>
      <x:c r="E944" s="11" t="n">
        <x:v>4974.51</x:v>
      </x:c>
      <x:c r="F944" s="11" t="n">
        <x:v>12.5</x:v>
      </x:c>
      <x:c r="G944" s="11" t="n">
        <x:v>4962.01</x:v>
      </x:c>
      <x:c r="H944" s="23" t="n">
        <x:v>0.0002422602767613104</x:v>
      </x:c>
      <x:c r="I944" s="23" t="n">
        <x:v>0.7777964841371503</x:v>
      </x:c>
      <x:c r="J944" s="2" t="n">
        <x:v>53</x:v>
      </x:c>
      <x:c r="K944" s="2"/>
      <x:c r="L944" s="2"/>
    </x:row>
    <x:row r="945" ht="22" customHeight="1">
      <x:c r="A945" s="2"/>
      <x:c r="B945" s="2" t="n">
        <x:v>912</x:v>
      </x:c>
      <x:c r="C945" s="2" t="str">
        <x:v>21056</x:v>
      </x:c>
      <x:c r="D945" s="2" t="str">
        <x:v>DOCTOR'S BAG SOFT TOY</x:v>
      </x:c>
      <x:c r="E945" s="11" t="n">
        <x:v>4970.28</x:v>
      </x:c>
      <x:c r="F945" s="11" t="n">
        <x:v>693.9</x:v>
      </x:c>
      <x:c r="G945" s="11" t="n">
        <x:v>4276.38</x:v>
      </x:c>
      <x:c r="H945" s="23" t="n">
        <x:v>0.00024205427436696395</x:v>
      </x:c>
      <x:c r="I945" s="23" t="n">
        <x:v>0.7780385384115173</x:v>
      </x:c>
      <x:c r="J945" s="2" t="n">
        <x:v>195</x:v>
      </x:c>
      <x:c r="K945" s="2"/>
      <x:c r="L945" s="2"/>
    </x:row>
    <x:row r="946" ht="22" customHeight="1">
      <x:c r="A946" s="2"/>
      <x:c r="B946" s="2" t="n">
        <x:v>913</x:v>
      </x:c>
      <x:c r="C946" s="2" t="str">
        <x:v>23570</x:v>
      </x:c>
      <x:c r="D946" s="2" t="str">
        <x:v>TRADITIONAL PICK UP STICKS GAME </x:v>
      </x:c>
      <x:c r="E946" s="11" t="n">
        <x:v>4944.37</x:v>
      </x:c>
      <x:c r="F946" s="11" t="n">
        <x:v>0</x:v>
      </x:c>
      <x:c r="G946" s="11" t="n">
        <x:v>4944.37</x:v>
      </x:c>
      <x:c r="H946" s="23" t="n">
        <x:v>0.00024079244882617992</x:v>
      </x:c>
      <x:c r="I946" s="23" t="n">
        <x:v>0.7782793308603434</x:v>
      </x:c>
      <x:c r="J946" s="2" t="n">
        <x:v>276</x:v>
      </x:c>
      <x:c r="K946" s="2"/>
      <x:c r="L946" s="2"/>
    </x:row>
    <x:row r="947" ht="22" customHeight="1">
      <x:c r="A947" s="2"/>
      <x:c r="B947" s="2" t="n">
        <x:v>914</x:v>
      </x:c>
      <x:c r="C947" s="2" t="str">
        <x:v>85184C</x:v>
      </x:c>
      <x:c r="D947" s="2" t="str">
        <x:v>SET 4 VALENTINE DECOUPAGE HEART BOX</x:v>
      </x:c>
      <x:c r="E947" s="11" t="n">
        <x:v>4912.360000000001</x:v>
      </x:c>
      <x:c r="F947" s="11" t="n">
        <x:v>0</x:v>
      </x:c>
      <x:c r="G947" s="11" t="n">
        <x:v>4912.360000000001</x:v>
      </x:c>
      <x:c r="H947" s="23" t="n">
        <x:v>0.00023923355127463628</x:v>
      </x:c>
      <x:c r="I947" s="23" t="n">
        <x:v>0.778518564411618</x:v>
      </x:c>
      <x:c r="J947" s="2" t="n">
        <x:v>345</x:v>
      </x:c>
      <x:c r="K947" s="2"/>
      <x:c r="L947" s="2"/>
    </x:row>
    <x:row r="948" ht="22" customHeight="1">
      <x:c r="A948" s="2"/>
      <x:c r="B948" s="2" t="n">
        <x:v>915</x:v>
      </x:c>
      <x:c r="C948" s="2" t="str">
        <x:v>22276</x:v>
      </x:c>
      <x:c r="D948" s="2" t="str">
        <x:v>WASH BAG VINTAGE ROSE PAISLEY</x:v>
      </x:c>
      <x:c r="E948" s="11" t="n">
        <x:v>4900.16</x:v>
      </x:c>
      <x:c r="F948" s="11" t="n">
        <x:v>42.9</x:v>
      </x:c>
      <x:c r="G948" s="11" t="n">
        <x:v>4857.26</x:v>
      </x:c>
      <x:c r="H948" s="23" t="n">
        <x:v>0.00023863940725311693</x:v>
      </x:c>
      <x:c r="I948" s="23" t="n">
        <x:v>0.7787572038188711</x:v>
      </x:c>
      <x:c r="J948" s="2" t="n">
        <x:v>373</x:v>
      </x:c>
      <x:c r="K948" s="2"/>
      <x:c r="L948" s="2"/>
    </x:row>
    <x:row r="949" ht="22" customHeight="1">
      <x:c r="A949" s="2"/>
      <x:c r="B949" s="2" t="n">
        <x:v>916</x:v>
      </x:c>
      <x:c r="C949" s="2" t="str">
        <x:v>23010</x:v>
      </x:c>
      <x:c r="D949" s="2" t="str">
        <x:v>CIRCUS PARADE BABY GIFT SET</x:v>
      </x:c>
      <x:c r="E949" s="11" t="n">
        <x:v>4896.549999999999</x:v>
      </x:c>
      <x:c r="F949" s="11" t="n">
        <x:v>50.849999999999994</x:v>
      </x:c>
      <x:c r="G949" s="11" t="n">
        <x:v>4845.7</x:v>
      </x:c>
      <x:c r="H949" s="23" t="n">
        <x:v>0.00023846359906314274</x:v>
      </x:c>
      <x:c r="I949" s="23" t="n">
        <x:v>0.7789956674179342</x:v>
      </x:c>
      <x:c r="J949" s="2" t="n">
        <x:v>111</x:v>
      </x:c>
      <x:c r="K949" s="2"/>
      <x:c r="L949" s="2"/>
    </x:row>
    <x:row r="950" ht="22" customHeight="1">
      <x:c r="A950" s="2"/>
      <x:c r="B950" s="2" t="n">
        <x:v>917</x:v>
      </x:c>
      <x:c r="C950" s="2" t="str">
        <x:v>22956</x:v>
      </x:c>
      <x:c r="D950" s="2" t="str">
        <x:v>36 FOIL HEART CAKE CASES</x:v>
      </x:c>
      <x:c r="E950" s="11" t="n">
        <x:v>4896.490000000001</x:v>
      </x:c>
      <x:c r="F950" s="11" t="n">
        <x:v>283.20000000000005</x:v>
      </x:c>
      <x:c r="G950" s="11" t="n">
        <x:v>4613.290000000001</x:v>
      </x:c>
      <x:c r="H950" s="23" t="n">
        <x:v>0.00023846067704336486</x:v>
      </x:c>
      <x:c r="I950" s="23" t="n">
        <x:v>0.7792341280949776</x:v>
      </x:c>
      <x:c r="J950" s="2" t="n">
        <x:v>256</x:v>
      </x:c>
      <x:c r="K950" s="2"/>
      <x:c r="L950" s="2"/>
    </x:row>
    <x:row r="951" ht="22" customHeight="1">
      <x:c r="A951" s="2"/>
      <x:c r="B951" s="2" t="n">
        <x:v>918</x:v>
      </x:c>
      <x:c r="C951" s="2" t="str">
        <x:v>23351</x:v>
      </x:c>
      <x:c r="D951" s="2" t="str">
        <x:v>ROLL WRAP 50'S CHRISTMAS</x:v>
      </x:c>
      <x:c r="E951" s="11" t="n">
        <x:v>4880.65</x:v>
      </x:c>
      <x:c r="F951" s="11" t="n">
        <x:v>104.88</x:v>
      </x:c>
      <x:c r="G951" s="11" t="n">
        <x:v>4775.77</x:v>
      </x:c>
      <x:c r="H951" s="23" t="n">
        <x:v>0.00023768926382198237</x:v>
      </x:c>
      <x:c r="I951" s="23" t="n">
        <x:v>0.7794718173587996</x:v>
      </x:c>
      <x:c r="J951" s="2" t="n">
        <x:v>354</x:v>
      </x:c>
      <x:c r="K951" s="2"/>
      <x:c r="L951" s="2"/>
    </x:row>
    <x:row r="952" ht="22" customHeight="1">
      <x:c r="A952" s="2"/>
      <x:c r="B952" s="2" t="n">
        <x:v>919</x:v>
      </x:c>
      <x:c r="C952" s="2" t="str">
        <x:v>22593</x:v>
      </x:c>
      <x:c r="D952" s="2" t="str">
        <x:v>CHRISTMAS GINGHAM STAR</x:v>
      </x:c>
      <x:c r="E952" s="11" t="n">
        <x:v>4870.65</x:v>
      </x:c>
      <x:c r="F952" s="11" t="n">
        <x:v>103.67999999999999</x:v>
      </x:c>
      <x:c r="G952" s="11" t="n">
        <x:v>4766.969999999999</x:v>
      </x:c>
      <x:c r="H952" s="23" t="n">
        <x:v>0.00023720226052565506</x:v>
      </x:c>
      <x:c r="I952" s="23" t="n">
        <x:v>0.7797090196193253</x:v>
      </x:c>
      <x:c r="J952" s="2" t="n">
        <x:v>415</x:v>
      </x:c>
      <x:c r="K952" s="2"/>
      <x:c r="L952" s="2"/>
    </x:row>
    <x:row r="953" ht="22" customHeight="1">
      <x:c r="A953" s="2"/>
      <x:c r="B953" s="2" t="n">
        <x:v>920</x:v>
      </x:c>
      <x:c r="C953" s="2" t="str">
        <x:v>23503</x:v>
      </x:c>
      <x:c r="D953" s="2" t="str">
        <x:v>PLAYING CARDS KEEP CALM &amp; CARRY ON</x:v>
      </x:c>
      <x:c r="E953" s="11" t="n">
        <x:v>4864.3</x:v>
      </x:c>
      <x:c r="F953" s="11" t="n">
        <x:v>2.5</x:v>
      </x:c>
      <x:c r="G953" s="11" t="n">
        <x:v>4861.8</x:v>
      </x:c>
      <x:c r="H953" s="23" t="n">
        <x:v>0.00023689301343248726</x:v>
      </x:c>
      <x:c r="I953" s="23" t="n">
        <x:v>0.7799459126327577</x:v>
      </x:c>
      <x:c r="J953" s="2" t="n">
        <x:v>335</x:v>
      </x:c>
      <x:c r="K953" s="2"/>
      <x:c r="L953" s="2"/>
    </x:row>
    <x:row r="954" ht="22" customHeight="1">
      <x:c r="A954" s="2"/>
      <x:c r="B954" s="2" t="n">
        <x:v>921</x:v>
      </x:c>
      <x:c r="C954" s="2" t="str">
        <x:v>21534</x:v>
      </x:c>
      <x:c r="D954" s="2" t="str">
        <x:v>DAIRY MAID LARGE MILK JUG</x:v>
      </x:c>
      <x:c r="E954" s="11" t="n">
        <x:v>4852.79</x:v>
      </x:c>
      <x:c r="F954" s="11" t="n">
        <x:v>143.55</x:v>
      </x:c>
      <x:c r="G954" s="11" t="n">
        <x:v>4709.24</x:v>
      </x:c>
      <x:c r="H954" s="23" t="n">
        <x:v>0.00023633247263841453</x:v>
      </x:c>
      <x:c r="I954" s="23" t="n">
        <x:v>0.7801822451053961</x:v>
      </x:c>
      <x:c r="J954" s="2" t="n">
        <x:v>342</x:v>
      </x:c>
      <x:c r="K954" s="2"/>
      <x:c r="L954" s="2"/>
    </x:row>
    <x:row r="955" ht="22" customHeight="1">
      <x:c r="A955" s="2"/>
      <x:c r="B955" s="2" t="n">
        <x:v>922</x:v>
      </x:c>
      <x:c r="C955" s="2" t="str">
        <x:v>22107</x:v>
      </x:c>
      <x:c r="D955" s="2" t="str">
        <x:v>PIZZA PLATE IN BOX</x:v>
      </x:c>
      <x:c r="E955" s="11" t="n">
        <x:v>4849.34</x:v>
      </x:c>
      <x:c r="F955" s="11" t="n">
        <x:v>330.71000000000004</x:v>
      </x:c>
      <x:c r="G955" s="11" t="n">
        <x:v>4518.63</x:v>
      </x:c>
      <x:c r="H955" s="23" t="n">
        <x:v>0.00023616445650118163</x:v>
      </x:c>
      <x:c r="I955" s="23" t="n">
        <x:v>0.7804184095618973</x:v>
      </x:c>
      <x:c r="J955" s="2" t="n">
        <x:v>369</x:v>
      </x:c>
      <x:c r="K955" s="2"/>
      <x:c r="L955" s="2"/>
    </x:row>
    <x:row r="956" ht="22" customHeight="1">
      <x:c r="A956" s="2"/>
      <x:c r="B956" s="2" t="n">
        <x:v>923</x:v>
      </x:c>
      <x:c r="C956" s="2" t="str">
        <x:v>84270</x:v>
      </x:c>
      <x:c r="D956" s="2" t="str">
        <x:v>ASSTD DESIGN BUBBLE GUM RING</x:v>
      </x:c>
      <x:c r="E956" s="11" t="n">
        <x:v>4836.9</x:v>
      </x:c>
      <x:c r="F956" s="11" t="n">
        <x:v>293.40000000000003</x:v>
      </x:c>
      <x:c r="G956" s="11" t="n">
        <x:v>4543.5</x:v>
      </x:c>
      <x:c r="H956" s="23" t="n">
        <x:v>0.00023555862440055044</x:v>
      </x:c>
      <x:c r="I956" s="23" t="n">
        <x:v>0.7806539681862978</x:v>
      </x:c>
      <x:c r="J956" s="2" t="n">
        <x:v>476</x:v>
      </x:c>
      <x:c r="K956" s="2"/>
      <x:c r="L956" s="2"/>
    </x:row>
    <x:row r="957" ht="22" customHeight="1">
      <x:c r="A957" s="2"/>
      <x:c r="B957" s="2" t="n">
        <x:v>924</x:v>
      </x:c>
      <x:c r="C957" s="2" t="str">
        <x:v>22027</x:v>
      </x:c>
      <x:c r="D957" s="2" t="str">
        <x:v>TEA PARTY BIRTHDAY CARD</x:v>
      </x:c>
      <x:c r="E957" s="11" t="n">
        <x:v>4836.73</x:v>
      </x:c>
      <x:c r="F957" s="11" t="n">
        <x:v>87.12</x:v>
      </x:c>
      <x:c r="G957" s="11" t="n">
        <x:v>4749.61</x:v>
      </x:c>
      <x:c r="H957" s="23" t="n">
        <x:v>0.00023555034534451287</x:v>
      </x:c>
      <x:c r="I957" s="23" t="n">
        <x:v>0.7808895185316423</x:v>
      </x:c>
      <x:c r="J957" s="2" t="n">
        <x:v>845</x:v>
      </x:c>
      <x:c r="K957" s="2"/>
      <x:c r="L957" s="2"/>
    </x:row>
    <x:row r="958" ht="22" customHeight="1">
      <x:c r="A958" s="2"/>
      <x:c r="B958" s="2" t="n">
        <x:v>925</x:v>
      </x:c>
      <x:c r="C958" s="2" t="str">
        <x:v>23554</x:v>
      </x:c>
      <x:c r="D958" s="2" t="str">
        <x:v>LANDMARK FRAME OXFORD STREET</x:v>
      </x:c>
      <x:c r="E958" s="11" t="n">
        <x:v>4830.53</x:v>
      </x:c>
      <x:c r="F958" s="11" t="n">
        <x:v>0</x:v>
      </x:c>
      <x:c r="G958" s="11" t="n">
        <x:v>4830.53</x:v>
      </x:c>
      <x:c r="H958" s="23" t="n">
        <x:v>0.00023524840330078995</x:v>
      </x:c>
      <x:c r="I958" s="23" t="n">
        <x:v>0.7811247669349431</x:v>
      </x:c>
      <x:c r="J958" s="2" t="n">
        <x:v>57</x:v>
      </x:c>
      <x:c r="K958" s="2"/>
      <x:c r="L958" s="2"/>
    </x:row>
    <x:row r="959" ht="22" customHeight="1">
      <x:c r="A959" s="2"/>
      <x:c r="B959" s="2" t="n">
        <x:v>926</x:v>
      </x:c>
      <x:c r="C959" s="2" t="str">
        <x:v>23555</x:v>
      </x:c>
      <x:c r="D959" s="2" t="str">
        <x:v>LANDMARK FRAME NOTTING HILL </x:v>
      </x:c>
      <x:c r="E959" s="11" t="n">
        <x:v>4818.07</x:v>
      </x:c>
      <x:c r="F959" s="11" t="n">
        <x:v>0</x:v>
      </x:c>
      <x:c r="G959" s="11" t="n">
        <x:v>4818.07</x:v>
      </x:c>
      <x:c r="H959" s="23" t="n">
        <x:v>0.00023464159719356614</x:v>
      </x:c>
      <x:c r="I959" s="23" t="n">
        <x:v>0.7813594085321367</x:v>
      </x:c>
      <x:c r="J959" s="2" t="n">
        <x:v>50</x:v>
      </x:c>
      <x:c r="K959" s="2"/>
      <x:c r="L959" s="2"/>
    </x:row>
    <x:row r="960" ht="22" customHeight="1">
      <x:c r="A960" s="2"/>
      <x:c r="B960" s="2" t="n">
        <x:v>927</x:v>
      </x:c>
      <x:c r="C960" s="2" t="str">
        <x:v>21249</x:v>
      </x:c>
      <x:c r="D960" s="2" t="str">
        <x:v>WOODLAND  HEIGHT CHART STICKERS </x:v>
      </x:c>
      <x:c r="E960" s="11" t="n">
        <x:v>4791.18</x:v>
      </x:c>
      <x:c r="F960" s="11" t="n">
        <x:v>46.400000000000006</x:v>
      </x:c>
      <x:c r="G960" s="11" t="n">
        <x:v>4744.780000000001</x:v>
      </x:c>
      <x:c r="H960" s="23" t="n">
        <x:v>0.00023333204532974207</x:v>
      </x:c>
      <x:c r="I960" s="23" t="n">
        <x:v>0.7815927405774664</x:v>
      </x:c>
      <x:c r="J960" s="2" t="n">
        <x:v>259</x:v>
      </x:c>
      <x:c r="K960" s="2"/>
      <x:c r="L960" s="2"/>
    </x:row>
    <x:row r="961" ht="22" customHeight="1">
      <x:c r="A961" s="2"/>
      <x:c r="B961" s="2" t="n">
        <x:v>928</x:v>
      </x:c>
      <x:c r="C961" s="2" t="str">
        <x:v>21986</x:v>
      </x:c>
      <x:c r="D961" s="2" t="str">
        <x:v>PACK OF 12 PINK POLKADOT TISSUES</x:v>
      </x:c>
      <x:c r="E961" s="11" t="n">
        <x:v>4788.45</x:v>
      </x:c>
      <x:c r="F961" s="11" t="n">
        <x:v>6.959999999999999</x:v>
      </x:c>
      <x:c r="G961" s="11" t="n">
        <x:v>4781.49</x:v>
      </x:c>
      <x:c r="H961" s="23" t="n">
        <x:v>0.00023319909342984469</x:v>
      </x:c>
      <x:c r="I961" s="23" t="n">
        <x:v>0.7818259396708963</x:v>
      </x:c>
      <x:c r="J961" s="2" t="n">
        <x:v>469</x:v>
      </x:c>
      <x:c r="K961" s="2"/>
      <x:c r="L961" s="2"/>
    </x:row>
    <x:row r="962" ht="22" customHeight="1">
      <x:c r="A962" s="2"/>
      <x:c r="B962" s="2" t="n">
        <x:v>929</x:v>
      </x:c>
      <x:c r="C962" s="2" t="str">
        <x:v>22442</x:v>
      </x:c>
      <x:c r="D962" s="2" t="str">
        <x:v>GROW YOUR OWN FLOWERS SET OF 3</x:v>
      </x:c>
      <x:c r="E962" s="11" t="n">
        <x:v>4781.22</x:v>
      </x:c>
      <x:c r="F962" s="11" t="n">
        <x:v>141.9</x:v>
      </x:c>
      <x:c r="G962" s="11" t="n">
        <x:v>4639.32</x:v>
      </x:c>
      <x:c r="H962" s="23" t="n">
        <x:v>0.00023284699004660008</x:v>
      </x:c>
      <x:c r="I962" s="23" t="n">
        <x:v>0.7820587866609429</x:v>
      </x:c>
      <x:c r="J962" s="2" t="n">
        <x:v>172</x:v>
      </x:c>
      <x:c r="K962" s="2"/>
      <x:c r="L962" s="2"/>
    </x:row>
    <x:row r="963" ht="22" customHeight="1">
      <x:c r="A963" s="2"/>
      <x:c r="B963" s="2" t="n">
        <x:v>930</x:v>
      </x:c>
      <x:c r="C963" s="2" t="str">
        <x:v>23389</x:v>
      </x:c>
      <x:c r="D963" s="2" t="str">
        <x:v>SPACEBOY MINI BACKPACK</x:v>
      </x:c>
      <x:c r="E963" s="11" t="n">
        <x:v>4780.54</x:v>
      </x:c>
      <x:c r="F963" s="11" t="n">
        <x:v>8.3</x:v>
      </x:c>
      <x:c r="G963" s="11" t="n">
        <x:v>4772.24</x:v>
      </x:c>
      <x:c r="H963" s="23" t="n">
        <x:v>0.00023281387382244982</x:v>
      </x:c>
      <x:c r="I963" s="23" t="n">
        <x:v>0.7822916005347653</x:v>
      </x:c>
      <x:c r="J963" s="2" t="n">
        <x:v>237</x:v>
      </x:c>
      <x:c r="K963" s="2"/>
      <x:c r="L963" s="2"/>
    </x:row>
    <x:row r="964" ht="22" customHeight="1">
      <x:c r="A964" s="2"/>
      <x:c r="B964" s="2" t="n">
        <x:v>931</x:v>
      </x:c>
      <x:c r="C964" s="2" t="str">
        <x:v>20681</x:v>
      </x:c>
      <x:c r="D964" s="2" t="str">
        <x:v>PINK POLKADOT CHILDRENS UMBRELLA</x:v>
      </x:c>
      <x:c r="E964" s="11" t="n">
        <x:v>4779.9</x:v>
      </x:c>
      <x:c r="F964" s="11" t="n">
        <x:v>99.75</x:v>
      </x:c>
      <x:c r="G964" s="11" t="n">
        <x:v>4680.15</x:v>
      </x:c>
      <x:c r="H964" s="23" t="n">
        <x:v>0.00023278270561148483</x:v>
      </x:c>
      <x:c r="I964" s="23" t="n">
        <x:v>0.7825243832403768</x:v>
      </x:c>
      <x:c r="J964" s="2" t="n">
        <x:v>341</x:v>
      </x:c>
      <x:c r="K964" s="2"/>
      <x:c r="L964" s="2"/>
    </x:row>
    <x:row r="965" ht="22" customHeight="1">
      <x:c r="A965" s="2"/>
      <x:c r="B965" s="2" t="n">
        <x:v>932</x:v>
      </x:c>
      <x:c r="C965" s="2" t="str">
        <x:v>23159</x:v>
      </x:c>
      <x:c r="D965" s="2" t="str">
        <x:v>SET OF 5 PANCAKE DAY MAGNETS</x:v>
      </x:c>
      <x:c r="E965" s="11" t="n">
        <x:v>4771.76</x:v>
      </x:c>
      <x:c r="F965" s="11" t="n">
        <x:v>52</x:v>
      </x:c>
      <x:c r="G965" s="11" t="n">
        <x:v>4719.76</x:v>
      </x:c>
      <x:c r="H965" s="23" t="n">
        <x:v>0.00023238628492827445</x:v>
      </x:c>
      <x:c r="I965" s="23" t="n">
        <x:v>0.782756769525305</x:v>
      </x:c>
      <x:c r="J965" s="2" t="n">
        <x:v>223</x:v>
      </x:c>
      <x:c r="K965" s="2"/>
      <x:c r="L965" s="2"/>
    </x:row>
    <x:row r="966" ht="22" customHeight="1">
      <x:c r="A966" s="2"/>
      <x:c r="B966" s="2" t="n">
        <x:v>933</x:v>
      </x:c>
      <x:c r="C966" s="2" t="str">
        <x:v>22128</x:v>
      </x:c>
      <x:c r="D966" s="2" t="str">
        <x:v>PARTY CONES CANDY ASSORTED</x:v>
      </x:c>
      <x:c r="E966" s="11" t="n">
        <x:v>4767.09</x:v>
      </x:c>
      <x:c r="F966" s="11" t="n">
        <x:v>70</x:v>
      </x:c>
      <x:c r="G966" s="11" t="n">
        <x:v>4697.09</x:v>
      </x:c>
      <x:c r="H966" s="23" t="n">
        <x:v>0.0002321588543888896</x:v>
      </x:c>
      <x:c r="I966" s="23" t="n">
        <x:v>0.7829889283796939</x:v>
      </x:c>
      <x:c r="J966" s="2" t="n">
        <x:v>195</x:v>
      </x:c>
      <x:c r="K966" s="2"/>
      <x:c r="L966" s="2"/>
    </x:row>
    <x:row r="967" ht="22" customHeight="1">
      <x:c r="A967" s="2"/>
      <x:c r="B967" s="2" t="n">
        <x:v>934</x:v>
      </x:c>
      <x:c r="C967" s="2" t="str">
        <x:v>23184</x:v>
      </x:c>
      <x:c r="D967" s="2" t="str">
        <x:v>BULL DOG BOTTLE OPENER</x:v>
      </x:c>
      <x:c r="E967" s="11" t="n">
        <x:v>4764.5</x:v>
      </x:c>
      <x:c r="F967" s="11" t="n">
        <x:v>64.35</x:v>
      </x:c>
      <x:c r="G967" s="11" t="n">
        <x:v>4700.150000000001</x:v>
      </x:c>
      <x:c r="H967" s="23" t="n">
        <x:v>0.00023203272053514082</x:v>
      </x:c>
      <x:c r="I967" s="23" t="n">
        <x:v>0.7832209611002291</x:v>
      </x:c>
      <x:c r="J967" s="2" t="n">
        <x:v>264</x:v>
      </x:c>
      <x:c r="K967" s="2"/>
      <x:c r="L967" s="2"/>
    </x:row>
    <x:row r="968" ht="22" customHeight="1">
      <x:c r="A968" s="2"/>
      <x:c r="B968" s="2" t="n">
        <x:v>935</x:v>
      </x:c>
      <x:c r="C968" s="2" t="str">
        <x:v>21916</x:v>
      </x:c>
      <x:c r="D968" s="2" t="str">
        <x:v>SET 12 RETRO WHITE CHALK STICKS</x:v>
      </x:c>
      <x:c r="E968" s="11" t="n">
        <x:v>4763.24</x:v>
      </x:c>
      <x:c r="F968" s="11" t="n">
        <x:v>94.5</x:v>
      </x:c>
      <x:c r="G968" s="11" t="n">
        <x:v>4668.74</x:v>
      </x:c>
      <x:c r="H968" s="23" t="n">
        <x:v>0.00023197135811980357</x:v>
      </x:c>
      <x:c r="I968" s="23" t="n">
        <x:v>0.7834529324583489</x:v>
      </x:c>
      <x:c r="J968" s="2" t="n">
        <x:v>713</x:v>
      </x:c>
      <x:c r="K968" s="2"/>
      <x:c r="L968" s="2"/>
    </x:row>
    <x:row r="969" ht="22" customHeight="1">
      <x:c r="A969" s="2"/>
      <x:c r="B969" s="2" t="n">
        <x:v>936</x:v>
      </x:c>
      <x:c r="C969" s="2" t="str">
        <x:v>22474</x:v>
      </x:c>
      <x:c r="D969" s="2" t="str">
        <x:v>SPACEBOY TV DINNER TRAY</x:v>
      </x:c>
      <x:c r="E969" s="11" t="n">
        <x:v>4761.38</x:v>
      </x:c>
      <x:c r="F969" s="11" t="n">
        <x:v>136</x:v>
      </x:c>
      <x:c r="G969" s="11" t="n">
        <x:v>4625.38</x:v>
      </x:c>
      <x:c r="H969" s="23" t="n">
        <x:v>0.0002318807755066867</x:v>
      </x:c>
      <x:c r="I969" s="23" t="n">
        <x:v>0.7836848132338556</x:v>
      </x:c>
      <x:c r="J969" s="2" t="n">
        <x:v>254</x:v>
      </x:c>
      <x:c r="K969" s="2"/>
      <x:c r="L969" s="2"/>
    </x:row>
    <x:row r="970" ht="22" customHeight="1">
      <x:c r="A970" s="2"/>
      <x:c r="B970" s="2" t="n">
        <x:v>937</x:v>
      </x:c>
      <x:c r="C970" s="2" t="str">
        <x:v>22688</x:v>
      </x:c>
      <x:c r="D970" s="2" t="str">
        <x:v>DOORMAT PEACE ON EARTH BLUE</x:v>
      </x:c>
      <x:c r="E970" s="11" t="n">
        <x:v>4756.7</x:v>
      </x:c>
      <x:c r="F970" s="11" t="n">
        <x:v>0</x:v>
      </x:c>
      <x:c r="G970" s="11" t="n">
        <x:v>4756.7</x:v>
      </x:c>
      <x:c r="H970" s="23" t="n">
        <x:v>0.00023165285796400553</x:v>
      </x:c>
      <x:c r="I970" s="23" t="n">
        <x:v>0.7839164660918196</x:v>
      </x:c>
      <x:c r="J970" s="2" t="n">
        <x:v>93</x:v>
      </x:c>
      <x:c r="K970" s="2"/>
      <x:c r="L970" s="2"/>
    </x:row>
    <x:row r="971" ht="22" customHeight="1">
      <x:c r="A971" s="2"/>
      <x:c r="B971" s="2" t="n">
        <x:v>938</x:v>
      </x:c>
      <x:c r="C971" s="2" t="str">
        <x:v>23569</x:v>
      </x:c>
      <x:c r="D971" s="2" t="str">
        <x:v>TRADTIONAL ALPHABET STAMP SET</x:v>
      </x:c>
      <x:c r="E971" s="11" t="n">
        <x:v>4752.31</x:v>
      </x:c>
      <x:c r="F971" s="11" t="n">
        <x:v>9.9</x:v>
      </x:c>
      <x:c r="G971" s="11" t="n">
        <x:v>4742.41</x:v>
      </x:c>
      <x:c r="H971" s="23" t="n">
        <x:v>0.00023143906351691786</x:v>
      </x:c>
      <x:c r="I971" s="23" t="n">
        <x:v>0.7841479051553366</x:v>
      </x:c>
      <x:c r="J971" s="2" t="n">
        <x:v>192</x:v>
      </x:c>
      <x:c r="K971" s="2"/>
      <x:c r="L971" s="2"/>
    </x:row>
    <x:row r="972" ht="22" customHeight="1">
      <x:c r="A972" s="2"/>
      <x:c r="B972" s="2" t="n">
        <x:v>939</x:v>
      </x:c>
      <x:c r="C972" s="2" t="str">
        <x:v>22434</x:v>
      </x:c>
      <x:c r="D972" s="2" t="str">
        <x:v>BALLOON PUMP WITH 10 BALLOONS</x:v>
      </x:c>
      <x:c r="E972" s="11" t="n">
        <x:v>4749.09</x:v>
      </x:c>
      <x:c r="F972" s="11" t="n">
        <x:v>35.099999999999994</x:v>
      </x:c>
      <x:c r="G972" s="11" t="n">
        <x:v>4713.99</x:v>
      </x:c>
      <x:c r="H972" s="23" t="n">
        <x:v>0.00023128224845550048</x:v>
      </x:c>
      <x:c r="I972" s="23" t="n">
        <x:v>0.7843791874037921</x:v>
      </x:c>
      <x:c r="J972" s="2" t="n">
        <x:v>281</x:v>
      </x:c>
      <x:c r="K972" s="2"/>
      <x:c r="L972" s="2"/>
    </x:row>
    <x:row r="973" ht="22" customHeight="1">
      <x:c r="A973" s="2"/>
      <x:c r="B973" s="2" t="n">
        <x:v>940</x:v>
      </x:c>
      <x:c r="C973" s="2" t="str">
        <x:v>23286</x:v>
      </x:c>
      <x:c r="D973" s="2" t="str">
        <x:v>BLUE VINTAGE SPOT BEAKER</x:v>
      </x:c>
      <x:c r="E973" s="11" t="n">
        <x:v>4747.62</x:v>
      </x:c>
      <x:c r="F973" s="11" t="n">
        <x:v>41.65</x:v>
      </x:c>
      <x:c r="G973" s="11" t="n">
        <x:v>4705.97</x:v>
      </x:c>
      <x:c r="H973" s="23" t="n">
        <x:v>0.00023121065897094035</x:v>
      </x:c>
      <x:c r="I973" s="23" t="n">
        <x:v>0.784610398062763</x:v>
      </x:c>
      <x:c r="J973" s="2" t="n">
        <x:v>222</x:v>
      </x:c>
      <x:c r="K973" s="2"/>
      <x:c r="L973" s="2"/>
    </x:row>
    <x:row r="974" ht="22" customHeight="1">
      <x:c r="A974" s="2"/>
      <x:c r="B974" s="2" t="n">
        <x:v>941</x:v>
      </x:c>
      <x:c r="C974" s="2" t="str">
        <x:v>23558</x:v>
      </x:c>
      <x:c r="D974" s="2" t="str">
        <x:v>LANDMARK FRAME LONDON BRIDGE </x:v>
      </x:c>
      <x:c r="E974" s="11" t="n">
        <x:v>4741.37</x:v>
      </x:c>
      <x:c r="F974" s="11" t="n">
        <x:v>0</x:v>
      </x:c>
      <x:c r="G974" s="11" t="n">
        <x:v>4741.37</x:v>
      </x:c>
      <x:c r="H974" s="23" t="n">
        <x:v>0.0002309062819107358</x:v>
      </x:c>
      <x:c r="I974" s="23" t="n">
        <x:v>0.7848413043446737</x:v>
      </x:c>
      <x:c r="J974" s="2" t="n">
        <x:v>52</x:v>
      </x:c>
      <x:c r="K974" s="2"/>
      <x:c r="L974" s="2"/>
    </x:row>
    <x:row r="975" ht="22" customHeight="1">
      <x:c r="A975" s="2"/>
      <x:c r="B975" s="2" t="n">
        <x:v>942</x:v>
      </x:c>
      <x:c r="C975" s="2" t="str">
        <x:v>22399</x:v>
      </x:c>
      <x:c r="D975" s="2" t="str">
        <x:v>MAGNETS PACK OF 4 CHILDHOOD MEMORY</x:v>
      </x:c>
      <x:c r="E975" s="11" t="n">
        <x:v>4739.6</x:v>
      </x:c>
      <x:c r="F975" s="11" t="n">
        <x:v>30</x:v>
      </x:c>
      <x:c r="G975" s="11" t="n">
        <x:v>4709.6</x:v>
      </x:c>
      <x:c r="H975" s="23" t="n">
        <x:v>0.00023082008232728587</x:v>
      </x:c>
      <x:c r="I975" s="23" t="n">
        <x:v>0.785072124427001</x:v>
      </x:c>
      <x:c r="J975" s="2" t="n">
        <x:v>277</x:v>
      </x:c>
      <x:c r="K975" s="2"/>
      <x:c r="L975" s="2"/>
    </x:row>
    <x:row r="976" ht="22" customHeight="1">
      <x:c r="A976" s="2"/>
      <x:c r="B976" s="2" t="n">
        <x:v>943</x:v>
      </x:c>
      <x:c r="C976" s="2" t="str">
        <x:v>22672</x:v>
      </x:c>
      <x:c r="D976" s="2" t="str">
        <x:v>FRENCH BATHROOM SIGN BLUE METAL</x:v>
      </x:c>
      <x:c r="E976" s="11" t="n">
        <x:v>4737.759999999999</x:v>
      </x:c>
      <x:c r="F976" s="11" t="n">
        <x:v>28.049999999999997</x:v>
      </x:c>
      <x:c r="G976" s="11" t="n">
        <x:v>4709.709999999999</x:v>
      </x:c>
      <x:c r="H976" s="23" t="n">
        <x:v>0.0002307304737207616</x:v>
      </x:c>
      <x:c r="I976" s="23" t="n">
        <x:v>0.7853028549007218</x:v>
      </x:c>
      <x:c r="J976" s="2" t="n">
        <x:v>370</x:v>
      </x:c>
      <x:c r="K976" s="2"/>
      <x:c r="L976" s="2"/>
    </x:row>
    <x:row r="977" ht="22" customHeight="1">
      <x:c r="A977" s="2"/>
      <x:c r="B977" s="2" t="n">
        <x:v>944</x:v>
      </x:c>
      <x:c r="C977" s="2" t="str">
        <x:v>85049G</x:v>
      </x:c>
      <x:c r="D977" s="2" t="str">
        <x:v>CHOCOLATE BOX RIBBONS </x:v>
      </x:c>
      <x:c r="E977" s="11" t="n">
        <x:v>4733.62</x:v>
      </x:c>
      <x:c r="F977" s="11" t="n">
        <x:v>56.25</x:v>
      </x:c>
      <x:c r="G977" s="11" t="n">
        <x:v>4677.37</x:v>
      </x:c>
      <x:c r="H977" s="23" t="n">
        <x:v>0.00023052885435608214</x:v>
      </x:c>
      <x:c r="I977" s="23" t="n">
        <x:v>0.7855333837550779</x:v>
      </x:c>
      <x:c r="J977" s="2" t="n">
        <x:v>510</x:v>
      </x:c>
      <x:c r="K977" s="2"/>
      <x:c r="L977" s="2"/>
    </x:row>
    <x:row r="978" ht="22" customHeight="1">
      <x:c r="A978" s="2"/>
      <x:c r="B978" s="2" t="n">
        <x:v>945</x:v>
      </x:c>
      <x:c r="C978" s="2" t="str">
        <x:v>22305</x:v>
      </x:c>
      <x:c r="D978" s="2" t="str">
        <x:v>COFFEE MUG PINK PAISLEY DESIGN</x:v>
      </x:c>
      <x:c r="E978" s="11" t="n">
        <x:v>4716.63</x:v>
      </x:c>
      <x:c r="F978" s="11" t="n">
        <x:v>28.049999999999997</x:v>
      </x:c>
      <x:c r="G978" s="11" t="n">
        <x:v>4688.58</x:v>
      </x:c>
      <x:c r="H978" s="23" t="n">
        <x:v>0.00022970143575562206</x:v>
      </x:c>
      <x:c r="I978" s="23" t="n">
        <x:v>0.7857630851908335</x:v>
      </x:c>
      <x:c r="J978" s="2" t="n">
        <x:v>144</x:v>
      </x:c>
      <x:c r="K978" s="2"/>
      <x:c r="L978" s="2"/>
    </x:row>
    <x:row r="979" ht="22" customHeight="1">
      <x:c r="A979" s="2"/>
      <x:c r="B979" s="2" t="n">
        <x:v>946</x:v>
      </x:c>
      <x:c r="C979" s="2" t="str">
        <x:v>23241</x:v>
      </x:c>
      <x:c r="D979" s="2" t="str">
        <x:v>TREASURE TIN GYMKHANA DESIGN</x:v>
      </x:c>
      <x:c r="E979" s="11" t="n">
        <x:v>4709.070000000001</x:v>
      </x:c>
      <x:c r="F979" s="11" t="n">
        <x:v>14.56</x:v>
      </x:c>
      <x:c r="G979" s="11" t="n">
        <x:v>4694.51</x:v>
      </x:c>
      <x:c r="H979" s="23" t="n">
        <x:v>0.00022933326126359864</x:v>
      </x:c>
      <x:c r="I979" s="23" t="n">
        <x:v>0.7859924184520971</x:v>
      </x:c>
      <x:c r="J979" s="2" t="n">
        <x:v>363</x:v>
      </x:c>
      <x:c r="K979" s="2"/>
      <x:c r="L979" s="2"/>
    </x:row>
    <x:row r="980" ht="22" customHeight="1">
      <x:c r="A980" s="2"/>
      <x:c r="B980" s="2" t="n">
        <x:v>947</x:v>
      </x:c>
      <x:c r="C980" s="2" t="str">
        <x:v>22304</x:v>
      </x:c>
      <x:c r="D980" s="2" t="str">
        <x:v>COFFEE MUG BLUE PAISLEY DESIGN</x:v>
      </x:c>
      <x:c r="E980" s="11" t="n">
        <x:v>4704.86</x:v>
      </x:c>
      <x:c r="F980" s="11" t="n">
        <x:v>44.55</x:v>
      </x:c>
      <x:c r="G980" s="11" t="n">
        <x:v>4660.31</x:v>
      </x:c>
      <x:c r="H980" s="23" t="n">
        <x:v>0.0002291282328758448</x:v>
      </x:c>
      <x:c r="I980" s="23" t="n">
        <x:v>0.7862215466849729</x:v>
      </x:c>
      <x:c r="J980" s="2" t="n">
        <x:v>167</x:v>
      </x:c>
      <x:c r="K980" s="2"/>
      <x:c r="L980" s="2"/>
    </x:row>
    <x:row r="981" ht="22" customHeight="1">
      <x:c r="A981" s="2"/>
      <x:c r="B981" s="2" t="n">
        <x:v>948</x:v>
      </x:c>
      <x:c r="C981" s="2" t="str">
        <x:v>20961</x:v>
      </x:c>
      <x:c r="D981" s="2" t="str">
        <x:v>STRAWBERRY BATH SPONGE </x:v>
      </x:c>
      <x:c r="E981" s="11" t="n">
        <x:v>4702.65</x:v>
      </x:c>
      <x:c r="F981" s="11" t="n">
        <x:v>88.75</x:v>
      </x:c>
      <x:c r="G981" s="11" t="n">
        <x:v>4613.9</x:v>
      </x:c>
      <x:c r="H981" s="23" t="n">
        <x:v>0.00022902060514735646</x:v>
      </x:c>
      <x:c r="I981" s="23" t="n">
        <x:v>0.7864505672901203</x:v>
      </x:c>
      <x:c r="J981" s="2" t="n">
        <x:v>514</x:v>
      </x:c>
      <x:c r="K981" s="2"/>
      <x:c r="L981" s="2"/>
    </x:row>
    <x:row r="982" ht="22" customHeight="1">
      <x:c r="A982" s="2"/>
      <x:c r="B982" s="2" t="n">
        <x:v>949</x:v>
      </x:c>
      <x:c r="C982" s="2" t="str">
        <x:v>23176</x:v>
      </x:c>
      <x:c r="D982" s="2" t="str">
        <x:v>ABC TREASURE BOOK BOX </x:v>
      </x:c>
      <x:c r="E982" s="11" t="n">
        <x:v>4697.58</x:v>
      </x:c>
      <x:c r="F982" s="11" t="n">
        <x:v>101.25</x:v>
      </x:c>
      <x:c r="G982" s="11" t="n">
        <x:v>4596.33</x:v>
      </x:c>
      <x:c r="H982" s="23" t="n">
        <x:v>0.00022877369447611855</x:v>
      </x:c>
      <x:c r="I982" s="23" t="n">
        <x:v>0.7866793409845965</x:v>
      </x:c>
      <x:c r="J982" s="2" t="n">
        <x:v>226</x:v>
      </x:c>
      <x:c r="K982" s="2"/>
      <x:c r="L982" s="2"/>
    </x:row>
    <x:row r="983" ht="22" customHeight="1">
      <x:c r="A983" s="2"/>
      <x:c r="B983" s="2" t="n">
        <x:v>950</x:v>
      </x:c>
      <x:c r="C983" s="2" t="str">
        <x:v>22562</x:v>
      </x:c>
      <x:c r="D983" s="2" t="str">
        <x:v>MONSTERS STENCIL CRAFT</x:v>
      </x:c>
      <x:c r="E983" s="11" t="n">
        <x:v>4693.55</x:v>
      </x:c>
      <x:c r="F983" s="11" t="n">
        <x:v>0</x:v>
      </x:c>
      <x:c r="G983" s="11" t="n">
        <x:v>4693.55</x:v>
      </x:c>
      <x:c r="H983" s="23" t="n">
        <x:v>0.00022857743214769867</x:v>
      </x:c>
      <x:c r="I983" s="23" t="n">
        <x:v>0.7869079184167441</x:v>
      </x:c>
      <x:c r="J983" s="2" t="n">
        <x:v>393</x:v>
      </x:c>
      <x:c r="K983" s="2"/>
      <x:c r="L983" s="2"/>
    </x:row>
    <x:row r="984" ht="22" customHeight="1">
      <x:c r="A984" s="2"/>
      <x:c r="B984" s="2" t="n">
        <x:v>951</x:v>
      </x:c>
      <x:c r="C984" s="2" t="str">
        <x:v>20963</x:v>
      </x:c>
      <x:c r="D984" s="2" t="str">
        <x:v>APPLE BATH SPONGE</x:v>
      </x:c>
      <x:c r="E984" s="11" t="n">
        <x:v>4681.15</x:v>
      </x:c>
      <x:c r="F984" s="11" t="n">
        <x:v>12.5</x:v>
      </x:c>
      <x:c r="G984" s="11" t="n">
        <x:v>4668.65</x:v>
      </x:c>
      <x:c r="H984" s="23" t="n">
        <x:v>0.00022797354806025277</x:v>
      </x:c>
      <x:c r="I984" s="23" t="n">
        <x:v>0.7871358919648044</x:v>
      </x:c>
      <x:c r="J984" s="2" t="n">
        <x:v>509</x:v>
      </x:c>
      <x:c r="K984" s="2"/>
      <x:c r="L984" s="2"/>
    </x:row>
    <x:row r="985" ht="22" customHeight="1">
      <x:c r="A985" s="2"/>
      <x:c r="B985" s="2" t="n">
        <x:v>952</x:v>
      </x:c>
      <x:c r="C985" s="2" t="str">
        <x:v>22721</x:v>
      </x:c>
      <x:c r="D985" s="2" t="str">
        <x:v>SET OF 3 CAKE TINS SKETCHBOOK</x:v>
      </x:c>
      <x:c r="E985" s="11" t="n">
        <x:v>4678.71</x:v>
      </x:c>
      <x:c r="F985" s="11" t="n">
        <x:v>0</x:v>
      </x:c>
      <x:c r="G985" s="11" t="n">
        <x:v>4678.71</x:v>
      </x:c>
      <x:c r="H985" s="23" t="n">
        <x:v>0.00022785471925594895</x:v>
      </x:c>
      <x:c r="I985" s="23" t="n">
        <x:v>0.7873637466840603</x:v>
      </x:c>
      <x:c r="J985" s="2" t="n">
        <x:v>297</x:v>
      </x:c>
      <x:c r="K985" s="2"/>
      <x:c r="L985" s="2"/>
    </x:row>
    <x:row r="986" ht="22" customHeight="1">
      <x:c r="A986" s="2"/>
      <x:c r="B986" s="2" t="n">
        <x:v>953</x:v>
      </x:c>
      <x:c r="C986" s="2" t="str">
        <x:v>22075</x:v>
      </x:c>
      <x:c r="D986" s="2" t="str">
        <x:v>6 RIBBONS ELEGANT CHRISTMAS </x:v>
      </x:c>
      <x:c r="E986" s="11" t="n">
        <x:v>4676.65</x:v>
      </x:c>
      <x:c r="F986" s="11" t="n">
        <x:v>19.799999999999997</x:v>
      </x:c>
      <x:c r="G986" s="11" t="n">
        <x:v>4656.849999999999</x:v>
      </x:c>
      <x:c r="H986" s="23" t="n">
        <x:v>0.0002277543965769055</x:v>
      </x:c>
      <x:c r="I986" s="23" t="n">
        <x:v>0.7875915010806371</x:v>
      </x:c>
      <x:c r="J986" s="2" t="n">
        <x:v>358</x:v>
      </x:c>
      <x:c r="K986" s="2"/>
      <x:c r="L986" s="2"/>
    </x:row>
    <x:row r="987" ht="22" customHeight="1">
      <x:c r="A987" s="2"/>
      <x:c r="B987" s="2" t="n">
        <x:v>954</x:v>
      </x:c>
      <x:c r="C987" s="2" t="str">
        <x:v>82581</x:v>
      </x:c>
      <x:c r="D987" s="2" t="str">
        <x:v>TOILET METAL SIGN</x:v>
      </x:c>
      <x:c r="E987" s="11" t="n">
        <x:v>4673.200000000001</x:v>
      </x:c>
      <x:c r="F987" s="11" t="n">
        <x:v>38.660000000000004</x:v>
      </x:c>
      <x:c r="G987" s="11" t="n">
        <x:v>4634.54</x:v>
      </x:c>
      <x:c r="H987" s="23" t="n">
        <x:v>0.00022758638043967263</x:v>
      </x:c>
      <x:c r="I987" s="23" t="n">
        <x:v>0.7878190874610768</x:v>
      </x:c>
      <x:c r="J987" s="2" t="n">
        <x:v>913</x:v>
      </x:c>
      <x:c r="K987" s="2"/>
      <x:c r="L987" s="2"/>
    </x:row>
    <x:row r="988" ht="22" customHeight="1">
      <x:c r="A988" s="2"/>
      <x:c r="B988" s="2" t="n">
        <x:v>955</x:v>
      </x:c>
      <x:c r="C988" s="2" t="str">
        <x:v>72807B</x:v>
      </x:c>
      <x:c r="D988" s="2" t="str">
        <x:v>????missing</x:v>
      </x:c>
      <x:c r="E988" s="11" t="n">
        <x:v>4658.62</x:v>
      </x:c>
      <x:c r="F988" s="11" t="n">
        <x:v>119</x:v>
      </x:c>
      <x:c r="G988" s="11" t="n">
        <x:v>4539.62</x:v>
      </x:c>
      <x:c r="H988" s="23" t="n">
        <x:v>0.0002268763296336274</x:v>
      </x:c>
      <x:c r="I988" s="23" t="n">
        <x:v>0.7880459637907103</x:v>
      </x:c>
      <x:c r="J988" s="2" t="n">
        <x:v>225</x:v>
      </x:c>
      <x:c r="K988" s="2"/>
      <x:c r="L988" s="2"/>
    </x:row>
    <x:row r="989" ht="22" customHeight="1">
      <x:c r="A989" s="2"/>
      <x:c r="B989" s="2" t="n">
        <x:v>956</x:v>
      </x:c>
      <x:c r="C989" s="2" t="str">
        <x:v>15044B</x:v>
      </x:c>
      <x:c r="D989" s="2" t="str">
        <x:v>BLUE PAPER PARASOL </x:v>
      </x:c>
      <x:c r="E989" s="11" t="n">
        <x:v>4644.13</x:v>
      </x:c>
      <x:c r="F989" s="11" t="n">
        <x:v>2.95</x:v>
      </x:c>
      <x:c r="G989" s="11" t="n">
        <x:v>4641.18</x:v>
      </x:c>
      <x:c r="H989" s="23" t="n">
        <x:v>0.00022617066185724914</x:v>
      </x:c>
      <x:c r="I989" s="23" t="n">
        <x:v>0.7882721344525676</x:v>
      </x:c>
      <x:c r="J989" s="2" t="n">
        <x:v>189</x:v>
      </x:c>
      <x:c r="K989" s="2"/>
      <x:c r="L989" s="2"/>
    </x:row>
    <x:row r="990" ht="22" customHeight="1">
      <x:c r="A990" s="2"/>
      <x:c r="B990" s="2" t="n">
        <x:v>957</x:v>
      </x:c>
      <x:c r="C990" s="2" t="str">
        <x:v>22574</x:v>
      </x:c>
      <x:c r="D990" s="2" t="str">
        <x:v>HEART WOODEN CHRISTMAS DECORATION</x:v>
      </x:c>
      <x:c r="E990" s="11" t="n">
        <x:v>4632.57</x:v>
      </x:c>
      <x:c r="F990" s="11" t="n">
        <x:v>219.84</x:v>
      </x:c>
      <x:c r="G990" s="11" t="n">
        <x:v>4412.73</x:v>
      </x:c>
      <x:c r="H990" s="23" t="n">
        <x:v>0.00022560768604669478</x:v>
      </x:c>
      <x:c r="I990" s="23" t="n">
        <x:v>0.7884977421386143</x:v>
      </x:c>
      <x:c r="J990" s="2" t="n">
        <x:v>415</x:v>
      </x:c>
      <x:c r="K990" s="2"/>
      <x:c r="L990" s="2"/>
    </x:row>
    <x:row r="991" ht="22" customHeight="1">
      <x:c r="A991" s="2"/>
      <x:c r="B991" s="2" t="n">
        <x:v>958</x:v>
      </x:c>
      <x:c r="C991" s="2" t="str">
        <x:v>21328</x:v>
      </x:c>
      <x:c r="D991" s="2" t="str">
        <x:v>BALLOONS  WRITING SET </x:v>
      </x:c>
      <x:c r="E991" s="11" t="n">
        <x:v>4629.13</x:v>
      </x:c>
      <x:c r="F991" s="11" t="n">
        <x:v>0</x:v>
      </x:c>
      <x:c r="G991" s="11" t="n">
        <x:v>4629.13</x:v>
      </x:c>
      <x:c r="H991" s="23" t="n">
        <x:v>0.00022544015691275821</x:v>
      </x:c>
      <x:c r="I991" s="23" t="n">
        <x:v>0.7887231822955271</x:v>
      </x:c>
      <x:c r="J991" s="2" t="n">
        <x:v>643</x:v>
      </x:c>
      <x:c r="K991" s="2"/>
      <x:c r="L991" s="2"/>
    </x:row>
    <x:row r="992" ht="22" customHeight="1">
      <x:c r="A992" s="2"/>
      <x:c r="B992" s="2" t="n">
        <x:v>959</x:v>
      </x:c>
      <x:c r="C992" s="2" t="str">
        <x:v>22800</x:v>
      </x:c>
      <x:c r="D992" s="2" t="str">
        <x:v>ANTIQUE TALL SWIRLGLASS TRINKET POT</x:v>
      </x:c>
      <x:c r="E992" s="11" t="n">
        <x:v>4605.15</x:v>
      </x:c>
      <x:c r="F992" s="11" t="n">
        <x:v>60</x:v>
      </x:c>
      <x:c r="G992" s="11" t="n">
        <x:v>4545.15</x:v>
      </x:c>
      <x:c r="H992" s="23" t="n">
        <x:v>0.00022427232300816532</x:v>
      </x:c>
      <x:c r="I992" s="23" t="n">
        <x:v>0.7889474546185352</x:v>
      </x:c>
      <x:c r="J992" s="2" t="n">
        <x:v>268</x:v>
      </x:c>
      <x:c r="K992" s="2"/>
      <x:c r="L992" s="2"/>
    </x:row>
    <x:row r="993" ht="22" customHeight="1">
      <x:c r="A993" s="2"/>
      <x:c r="B993" s="2" t="n">
        <x:v>960</x:v>
      </x:c>
      <x:c r="C993" s="2" t="str">
        <x:v>21811</x:v>
      </x:c>
      <x:c r="D993" s="2" t="str">
        <x:v>HANGING HEART WITH BELL</x:v>
      </x:c>
      <x:c r="E993" s="11" t="n">
        <x:v>4592.18</x:v>
      </x:c>
      <x:c r="F993" s="11" t="n">
        <x:v>18.72</x:v>
      </x:c>
      <x:c r="G993" s="11" t="n">
        <x:v>4573.46</x:v>
      </x:c>
      <x:c r="H993" s="23" t="n">
        <x:v>0.00022364067973282885</x:v>
      </x:c>
      <x:c r="I993" s="23" t="n">
        <x:v>0.789171095298268</x:v>
      </x:c>
      <x:c r="J993" s="2" t="n">
        <x:v>382</x:v>
      </x:c>
      <x:c r="K993" s="2"/>
      <x:c r="L993" s="2"/>
    </x:row>
    <x:row r="994" ht="22" customHeight="1">
      <x:c r="A994" s="2"/>
      <x:c r="B994" s="2" t="n">
        <x:v>961</x:v>
      </x:c>
      <x:c r="C994" s="2" t="str">
        <x:v>21878</x:v>
      </x:c>
      <x:c r="D994" s="2" t="str">
        <x:v>PACK OF 6 SANDCASTLE FLAGS ASSORTED</x:v>
      </x:c>
      <x:c r="E994" s="11" t="n">
        <x:v>4590.73</x:v>
      </x:c>
      <x:c r="F994" s="11" t="n">
        <x:v>304.81</x:v>
      </x:c>
      <x:c r="G994" s="11" t="n">
        <x:v>4285.92</x:v>
      </x:c>
      <x:c r="H994" s="23" t="n">
        <x:v>0.00022357006425486136</x:v>
      </x:c>
      <x:c r="I994" s="23" t="n">
        <x:v>0.7893946653625229</x:v>
      </x:c>
      <x:c r="J994" s="2" t="n">
        <x:v>403</x:v>
      </x:c>
      <x:c r="K994" s="2"/>
      <x:c r="L994" s="2"/>
    </x:row>
    <x:row r="995" ht="22" customHeight="1">
      <x:c r="A995" s="2"/>
      <x:c r="B995" s="2" t="n">
        <x:v>962</x:v>
      </x:c>
      <x:c r="C995" s="2" t="str">
        <x:v>51014A</x:v>
      </x:c>
      <x:c r="D995" s="2" t="str">
        <x:v>FEATHER PEN,HOT PINK</x:v>
      </x:c>
      <x:c r="E995" s="11" t="n">
        <x:v>4575.22</x:v>
      </x:c>
      <x:c r="F995" s="11" t="n">
        <x:v>165.75</x:v>
      </x:c>
      <x:c r="G995" s="11" t="n">
        <x:v>4409.47</x:v>
      </x:c>
      <x:c r="H995" s="23" t="n">
        <x:v>0.00022281472214225775</x:v>
      </x:c>
      <x:c r="I995" s="23" t="n">
        <x:v>0.7896174800846651</x:v>
      </x:c>
      <x:c r="J995" s="2" t="n">
        <x:v>376</x:v>
      </x:c>
      <x:c r="K995" s="2"/>
      <x:c r="L995" s="2"/>
    </x:row>
    <x:row r="996" ht="22" customHeight="1">
      <x:c r="A996" s="2"/>
      <x:c r="B996" s="2" t="n">
        <x:v>963</x:v>
      </x:c>
      <x:c r="C996" s="2" t="str">
        <x:v>21506</x:v>
      </x:c>
      <x:c r="D996" s="2" t="str">
        <x:v>FANCY FONT BIRTHDAY CARD, </x:v>
      </x:c>
      <x:c r="E996" s="11" t="n">
        <x:v>4574.8099999999995</x:v>
      </x:c>
      <x:c r="F996" s="11" t="n">
        <x:v>25.2</x:v>
      </x:c>
      <x:c r="G996" s="11" t="n">
        <x:v>4549.61</x:v>
      </x:c>
      <x:c r="H996" s="23" t="n">
        <x:v>0.0002227947550071083</x:v>
      </x:c>
      <x:c r="I996" s="23" t="n">
        <x:v>0.7898402748396722</x:v>
      </x:c>
      <x:c r="J996" s="2" t="n">
        <x:v>665</x:v>
      </x:c>
      <x:c r="K996" s="2"/>
      <x:c r="L996" s="2"/>
    </x:row>
    <x:row r="997" ht="22" customHeight="1">
      <x:c r="A997" s="2"/>
      <x:c r="B997" s="2" t="n">
        <x:v>964</x:v>
      </x:c>
      <x:c r="C997" s="2" t="str">
        <x:v>23285</x:v>
      </x:c>
      <x:c r="D997" s="2" t="str">
        <x:v>PINK VINTAGE SPOT BEAKER</x:v>
      </x:c>
      <x:c r="E997" s="11" t="n">
        <x:v>4572.41</x:v>
      </x:c>
      <x:c r="F997" s="11" t="n">
        <x:v>1.7</x:v>
      </x:c>
      <x:c r="G997" s="11" t="n">
        <x:v>4570.71</x:v>
      </x:c>
      <x:c r="H997" s="23" t="n">
        <x:v>0.00022267787421598976</x:v>
      </x:c>
      <x:c r="I997" s="23" t="n">
        <x:v>0.7900629527138883</x:v>
      </x:c>
      <x:c r="J997" s="2" t="n">
        <x:v>191</x:v>
      </x:c>
      <x:c r="K997" s="2"/>
      <x:c r="L997" s="2"/>
    </x:row>
    <x:row r="998" ht="22" customHeight="1">
      <x:c r="A998" s="2"/>
      <x:c r="B998" s="2" t="n">
        <x:v>965</x:v>
      </x:c>
      <x:c r="C998" s="2" t="str">
        <x:v>10135</x:v>
      </x:c>
      <x:c r="D998" s="2" t="str">
        <x:v>COLOURING PENCILS BROWN TUBE</x:v>
      </x:c>
      <x:c r="E998" s="11" t="n">
        <x:v>4568.71</x:v>
      </x:c>
      <x:c r="F998" s="11" t="n">
        <x:v>13.75</x:v>
      </x:c>
      <x:c r="G998" s="11" t="n">
        <x:v>4554.96</x:v>
      </x:c>
      <x:c r="H998" s="23" t="n">
        <x:v>0.00022249768299634868</x:v>
      </x:c>
      <x:c r="I998" s="23" t="n">
        <x:v>0.7902854503968846</x:v>
      </x:c>
      <x:c r="J998" s="2" t="n">
        <x:v>324</x:v>
      </x:c>
      <x:c r="K998" s="2"/>
      <x:c r="L998" s="2"/>
    </x:row>
    <x:row r="999" ht="22" customHeight="1">
      <x:c r="A999" s="2"/>
      <x:c r="B999" s="2" t="n">
        <x:v>966</x:v>
      </x:c>
      <x:c r="C999" s="2" t="str">
        <x:v>22743</x:v>
      </x:c>
      <x:c r="D999" s="2" t="str">
        <x:v>MAKE YOUR OWN FLOWERPOWER CARD KIT</x:v>
      </x:c>
      <x:c r="E999" s="11" t="n">
        <x:v>4563.150000000001</x:v>
      </x:c>
      <x:c r="F999" s="11" t="n">
        <x:v>17.700000000000003</x:v>
      </x:c>
      <x:c r="G999" s="11" t="n">
        <x:v>4545.450000000001</x:v>
      </x:c>
      <x:c r="H999" s="23" t="n">
        <x:v>0.00022222690916359072</x:v>
      </x:c>
      <x:c r="I999" s="23" t="n">
        <x:v>0.7905076773060482</x:v>
      </x:c>
      <x:c r="J999" s="2" t="n">
        <x:v>351</x:v>
      </x:c>
      <x:c r="K999" s="2"/>
      <x:c r="L999" s="2"/>
    </x:row>
    <x:row r="1000" ht="22" customHeight="1">
      <x:c r="A1000" s="2"/>
      <x:c r="B1000" s="2" t="n">
        <x:v>967</x:v>
      </x:c>
      <x:c r="C1000" s="2" t="str">
        <x:v>22736</x:v>
      </x:c>
      <x:c r="D1000" s="2" t="str">
        <x:v>RIBBON REEL MAKING SNOWMEN </x:v>
      </x:c>
      <x:c r="E1000" s="11" t="n">
        <x:v>4563.03</x:v>
      </x:c>
      <x:c r="F1000" s="11" t="n">
        <x:v>37.95</x:v>
      </x:c>
      <x:c r="G1000" s="11" t="n">
        <x:v>4525.08</x:v>
      </x:c>
      <x:c r="H1000" s="23" t="n">
        <x:v>0.00022222106512403476</x:v>
      </x:c>
      <x:c r="I1000" s="23" t="n">
        <x:v>0.7907298983711722</x:v>
      </x:c>
      <x:c r="J1000" s="2" t="n">
        <x:v>408</x:v>
      </x:c>
      <x:c r="K1000" s="2"/>
      <x:c r="L1000" s="2"/>
    </x:row>
    <x:row r="1001" ht="22" customHeight="1">
      <x:c r="A1001" s="2"/>
      <x:c r="B1001" s="2" t="n">
        <x:v>968</x:v>
      </x:c>
      <x:c r="C1001" s="2" t="str">
        <x:v>15044D</x:v>
      </x:c>
      <x:c r="D1001" s="2" t="str">
        <x:v>RED PAPER PARASOL</x:v>
      </x:c>
      <x:c r="E1001" s="11" t="n">
        <x:v>4562.6</x:v>
      </x:c>
      <x:c r="F1001" s="11" t="n">
        <x:v>26.150000000000002</x:v>
      </x:c>
      <x:c r="G1001" s="11" t="n">
        <x:v>4536.45</x:v>
      </x:c>
      <x:c r="H1001" s="23" t="n">
        <x:v>0.0002222001239822927</x:v>
      </x:c>
      <x:c r="I1001" s="23" t="n">
        <x:v>0.7909520984951546</x:v>
      </x:c>
      <x:c r="J1001" s="2" t="n">
        <x:v>227</x:v>
      </x:c>
      <x:c r="K1001" s="2"/>
      <x:c r="L1001" s="2"/>
    </x:row>
    <x:row r="1002" ht="22" customHeight="1">
      <x:c r="A1002" s="2"/>
      <x:c r="B1002" s="2" t="n">
        <x:v>969</x:v>
      </x:c>
      <x:c r="C1002" s="2" t="str">
        <x:v>23404</x:v>
      </x:c>
      <x:c r="D1002" s="2" t="str">
        <x:v>HOME SWEET HOME BLACKBOARD</x:v>
      </x:c>
      <x:c r="E1002" s="11" t="n">
        <x:v>4561.76</x:v>
      </x:c>
      <x:c r="F1002" s="11" t="n">
        <x:v>143.55</x:v>
      </x:c>
      <x:c r="G1002" s="11" t="n">
        <x:v>4418.21</x:v>
      </x:c>
      <x:c r="H1002" s="23" t="n">
        <x:v>0.0002221592157054012</x:v>
      </x:c>
      <x:c r="I1002" s="23" t="n">
        <x:v>0.79117425771086</x:v>
      </x:c>
      <x:c r="J1002" s="2" t="n">
        <x:v>169</x:v>
      </x:c>
      <x:c r="K1002" s="2"/>
      <x:c r="L1002" s="2"/>
    </x:row>
    <x:row r="1003" ht="22" customHeight="1">
      <x:c r="A1003" s="2"/>
      <x:c r="B1003" s="2" t="n">
        <x:v>970</x:v>
      </x:c>
      <x:c r="C1003" s="2" t="str">
        <x:v>23168</x:v>
      </x:c>
      <x:c r="D1003" s="2" t="str">
        <x:v>CLASSIC CAFE SUGAR DISPENSER</x:v>
      </x:c>
      <x:c r="E1003" s="11" t="n">
        <x:v>4559.92</x:v>
      </x:c>
      <x:c r="F1003" s="11" t="n">
        <x:v>65.61</x:v>
      </x:c>
      <x:c r="G1003" s="11" t="n">
        <x:v>4494.3099999999995</x:v>
      </x:c>
      <x:c r="H1003" s="23" t="n">
        <x:v>0.00022206960709887698</x:v>
      </x:c>
      <x:c r="I1003" s="23" t="n">
        <x:v>0.791396327317959</x:v>
      </x:c>
      <x:c r="J1003" s="2" t="n">
        <x:v>337</x:v>
      </x:c>
      <x:c r="K1003" s="2"/>
      <x:c r="L1003" s="2"/>
    </x:row>
    <x:row r="1004" ht="22" customHeight="1">
      <x:c r="A1004" s="2"/>
      <x:c r="B1004" s="2" t="n">
        <x:v>971</x:v>
      </x:c>
      <x:c r="C1004" s="2" t="str">
        <x:v>23275</x:v>
      </x:c>
      <x:c r="D1004" s="2" t="str">
        <x:v>SET OF 3 HANGING OWLS OLLIE BEAK</x:v>
      </x:c>
      <x:c r="E1004" s="11" t="n">
        <x:v>4557.97</x:v>
      </x:c>
      <x:c r="F1004" s="11" t="n">
        <x:v>95.41</x:v>
      </x:c>
      <x:c r="G1004" s="11" t="n">
        <x:v>4462.56</x:v>
      </x:c>
      <x:c r="H1004" s="23" t="n">
        <x:v>0.00022197464145609316</x:v>
      </x:c>
      <x:c r="I1004" s="23" t="n">
        <x:v>0.7916183019594151</x:v>
      </x:c>
      <x:c r="J1004" s="2" t="n">
        <x:v>325</x:v>
      </x:c>
      <x:c r="K1004" s="2"/>
      <x:c r="L1004" s="2"/>
    </x:row>
    <x:row r="1005" ht="22" customHeight="1">
      <x:c r="A1005" s="2"/>
      <x:c r="B1005" s="2" t="n">
        <x:v>972</x:v>
      </x:c>
      <x:c r="C1005" s="2" t="str">
        <x:v>22601</x:v>
      </x:c>
      <x:c r="D1005" s="2" t="str">
        <x:v>CHRISTMAS RETROSPOT ANGEL WOOD</x:v>
      </x:c>
      <x:c r="E1005" s="11" t="n">
        <x:v>4549.74</x:v>
      </x:c>
      <x:c r="F1005" s="11" t="n">
        <x:v>3.4</x:v>
      </x:c>
      <x:c r="G1005" s="11" t="n">
        <x:v>4546.34</x:v>
      </x:c>
      <x:c r="H1005" s="23" t="n">
        <x:v>0.00022157383774321578</x:v>
      </x:c>
      <x:c r="I1005" s="23" t="n">
        <x:v>0.7918398757971583</x:v>
      </x:c>
      <x:c r="J1005" s="2" t="n">
        <x:v>417</x:v>
      </x:c>
      <x:c r="K1005" s="2"/>
      <x:c r="L1005" s="2"/>
    </x:row>
    <x:row r="1006" ht="22" customHeight="1">
      <x:c r="A1006" s="2"/>
      <x:c r="B1006" s="2" t="n">
        <x:v>973</x:v>
      </x:c>
      <x:c r="C1006" s="2" t="str">
        <x:v>85184D</x:v>
      </x:c>
      <x:c r="D1006" s="2" t="str">
        <x:v>S/4 BLUE ROUND DECOUPAGE BOXES</x:v>
      </x:c>
      <x:c r="E1006" s="11" t="n">
        <x:v>4549.73</x:v>
      </x:c>
      <x:c r="F1006" s="11" t="n">
        <x:v>1664.9199999999998</x:v>
      </x:c>
      <x:c r="G1006" s="11" t="n">
        <x:v>2884.81</x:v>
      </x:c>
      <x:c r="H1006" s="23" t="n">
        <x:v>0.00022157335073991945</x:v>
      </x:c>
      <x:c r="I1006" s="23" t="n">
        <x:v>0.7920614491478982</x:v>
      </x:c>
      <x:c r="J1006" s="2" t="n">
        <x:v>66</x:v>
      </x:c>
      <x:c r="K1006" s="2"/>
      <x:c r="L1006" s="2"/>
    </x:row>
    <x:row r="1007" ht="22" customHeight="1">
      <x:c r="A1007" s="2"/>
      <x:c r="B1007" s="2" t="n">
        <x:v>974</x:v>
      </x:c>
      <x:c r="C1007" s="2" t="str">
        <x:v>37447</x:v>
      </x:c>
      <x:c r="D1007" s="2" t="str">
        <x:v>CERAMIC CAKE DESIGN SPOTTED PLATE</x:v>
      </x:c>
      <x:c r="E1007" s="11" t="n">
        <x:v>4546.8099999999995</x:v>
      </x:c>
      <x:c r="F1007" s="11" t="n">
        <x:v>109.16</x:v>
      </x:c>
      <x:c r="G1007" s="11" t="n">
        <x:v>4437.65</x:v>
      </x:c>
      <x:c r="H1007" s="23" t="n">
        <x:v>0.00022143114577739185</x:v>
      </x:c>
      <x:c r="I1007" s="23" t="n">
        <x:v>0.7922828802936757</x:v>
      </x:c>
      <x:c r="J1007" s="2" t="n">
        <x:v>364</x:v>
      </x:c>
      <x:c r="K1007" s="2"/>
      <x:c r="L1007" s="2"/>
    </x:row>
    <x:row r="1008" ht="22" customHeight="1">
      <x:c r="A1008" s="2"/>
      <x:c r="B1008" s="2" t="n">
        <x:v>975</x:v>
      </x:c>
      <x:c r="C1008" s="2" t="str">
        <x:v>21614</x:v>
      </x:c>
      <x:c r="D1008" s="2" t="str">
        <x:v>SET OF 12 ROSE BOTANICAL T-LIGHTS</x:v>
      </x:c>
      <x:c r="E1008" s="11" t="n">
        <x:v>4541.12</x:v>
      </x:c>
      <x:c r="F1008" s="11" t="n">
        <x:v>336.05</x:v>
      </x:c>
      <x:c r="G1008" s="11" t="n">
        <x:v>4205.070000000001</x:v>
      </x:c>
      <x:c r="H1008" s="23" t="n">
        <x:v>0.00022115404090178165</x:v>
      </x:c>
      <x:c r="I1008" s="23" t="n">
        <x:v>0.7925040343345774</x:v>
      </x:c>
      <x:c r="J1008" s="2" t="n">
        <x:v>194</x:v>
      </x:c>
      <x:c r="K1008" s="2"/>
      <x:c r="L1008" s="2"/>
    </x:row>
    <x:row r="1009" ht="22" customHeight="1">
      <x:c r="A1009" s="2"/>
      <x:c r="B1009" s="2" t="n">
        <x:v>976</x:v>
      </x:c>
      <x:c r="C1009" s="2" t="str">
        <x:v>21990</x:v>
      </x:c>
      <x:c r="D1009" s="2" t="str">
        <x:v>MODERN FLORAL STATIONERY SET</x:v>
      </x:c>
      <x:c r="E1009" s="11" t="n">
        <x:v>4540.99</x:v>
      </x:c>
      <x:c r="F1009" s="11" t="n">
        <x:v>15</x:v>
      </x:c>
      <x:c r="G1009" s="11" t="n">
        <x:v>4525.99</x:v>
      </x:c>
      <x:c r="H1009" s="23" t="n">
        <x:v>0.00022114770985892938</x:v>
      </x:c>
      <x:c r="I1009" s="23" t="n">
        <x:v>0.7927251820444363</x:v>
      </x:c>
      <x:c r="J1009" s="2" t="n">
        <x:v>497</x:v>
      </x:c>
      <x:c r="K1009" s="2"/>
      <x:c r="L1009" s="2"/>
    </x:row>
    <x:row r="1010" ht="22" customHeight="1">
      <x:c r="A1010" s="2"/>
      <x:c r="B1010" s="2" t="n">
        <x:v>977</x:v>
      </x:c>
      <x:c r="C1010" s="2" t="str">
        <x:v>22908</x:v>
      </x:c>
      <x:c r="D1010" s="2" t="str">
        <x:v>PACK OF 20 NAPKINS RED APPLES</x:v>
      </x:c>
      <x:c r="E1010" s="11" t="n">
        <x:v>4529.95</x:v>
      </x:c>
      <x:c r="F1010" s="11" t="n">
        <x:v>5.949999999999999</x:v>
      </x:c>
      <x:c r="G1010" s="11" t="n">
        <x:v>4524</x:v>
      </x:c>
      <x:c r="H1010" s="23" t="n">
        <x:v>0.00022061005821978405</x:v>
      </x:c>
      <x:c r="I1010" s="23" t="n">
        <x:v>0.7929457921026561</x:v>
      </x:c>
      <x:c r="J1010" s="2" t="n">
        <x:v>485</x:v>
      </x:c>
      <x:c r="K1010" s="2"/>
      <x:c r="L1010" s="2"/>
    </x:row>
    <x:row r="1011" ht="22" customHeight="1">
      <x:c r="A1011" s="2"/>
      <x:c r="B1011" s="2" t="n">
        <x:v>978</x:v>
      </x:c>
      <x:c r="C1011" s="2" t="str">
        <x:v>21564</x:v>
      </x:c>
      <x:c r="D1011" s="2" t="str">
        <x:v>PINK  HEART SHAPE LOVE BUCKET </x:v>
      </x:c>
      <x:c r="E1011" s="11" t="n">
        <x:v>4527.450000000001</x:v>
      </x:c>
      <x:c r="F1011" s="11" t="n">
        <x:v>31.650000000000002</x:v>
      </x:c>
      <x:c r="G1011" s="11" t="n">
        <x:v>4495.8</x:v>
      </x:c>
      <x:c r="H1011" s="23" t="n">
        <x:v>0.00022048830739570228</x:v>
      </x:c>
      <x:c r="I1011" s="23" t="n">
        <x:v>0.7931662804100519</x:v>
      </x:c>
      <x:c r="J1011" s="2" t="n">
        <x:v>294</x:v>
      </x:c>
      <x:c r="K1011" s="2"/>
      <x:c r="L1011" s="2"/>
    </x:row>
    <x:row r="1012" ht="22" customHeight="1">
      <x:c r="A1012" s="2"/>
      <x:c r="B1012" s="2" t="n">
        <x:v>979</x:v>
      </x:c>
      <x:c r="C1012" s="2" t="str">
        <x:v>23309</x:v>
      </x:c>
      <x:c r="D1012" s="2" t="str">
        <x:v>SET OF 60 I LOVE LONDON CAKE CASES </x:v>
      </x:c>
      <x:c r="E1012" s="11" t="n">
        <x:v>4527.2</x:v>
      </x:c>
      <x:c r="F1012" s="11" t="n">
        <x:v>48.400000000000006</x:v>
      </x:c>
      <x:c r="G1012" s="11" t="n">
        <x:v>4478.8</x:v>
      </x:c>
      <x:c r="H1012" s="23" t="n">
        <x:v>0.00022047613231329405</x:v>
      </x:c>
      <x:c r="I1012" s="23" t="n">
        <x:v>0.7933867565423651</x:v>
      </x:c>
      <x:c r="J1012" s="2" t="n">
        <x:v>407</x:v>
      </x:c>
      <x:c r="K1012" s="2"/>
      <x:c r="L1012" s="2"/>
    </x:row>
    <x:row r="1013" ht="22" customHeight="1">
      <x:c r="A1013" s="2"/>
      <x:c r="B1013" s="2" t="n">
        <x:v>980</x:v>
      </x:c>
      <x:c r="C1013" s="2" t="str">
        <x:v>22760</x:v>
      </x:c>
      <x:c r="D1013" s="2" t="str">
        <x:v>TRAY, BREAKFAST IN BED</x:v>
      </x:c>
      <x:c r="E1013" s="11" t="n">
        <x:v>4519.639999999999</x:v>
      </x:c>
      <x:c r="F1013" s="11" t="n">
        <x:v>125.7</x:v>
      </x:c>
      <x:c r="G1013" s="11" t="n">
        <x:v>4393.94</x:v>
      </x:c>
      <x:c r="H1013" s="23" t="n">
        <x:v>0.0002201079578212706</x:v>
      </x:c>
      <x:c r="I1013" s="23" t="n">
        <x:v>0.7936068645001864</x:v>
      </x:c>
      <x:c r="J1013" s="2" t="n">
        <x:v>120</x:v>
      </x:c>
      <x:c r="K1013" s="2"/>
      <x:c r="L1013" s="2"/>
    </x:row>
    <x:row r="1014" ht="22" customHeight="1">
      <x:c r="A1014" s="2"/>
      <x:c r="B1014" s="2" t="n">
        <x:v>981</x:v>
      </x:c>
      <x:c r="C1014" s="2" t="str">
        <x:v>23163</x:v>
      </x:c>
      <x:c r="D1014" s="2" t="str">
        <x:v>REGENCY SUGAR TONGS</x:v>
      </x:c>
      <x:c r="E1014" s="11" t="n">
        <x:v>4515.22</x:v>
      </x:c>
      <x:c r="F1014" s="11" t="n">
        <x:v>114.4</x:v>
      </x:c>
      <x:c r="G1014" s="11" t="n">
        <x:v>4400.820000000001</x:v>
      </x:c>
      <x:c r="H1014" s="23" t="n">
        <x:v>0.00021989270236429396</x:v>
      </x:c>
      <x:c r="I1014" s="23" t="n">
        <x:v>0.7938267572025507</x:v>
      </x:c>
      <x:c r="J1014" s="2" t="n">
        <x:v>209</x:v>
      </x:c>
      <x:c r="K1014" s="2"/>
      <x:c r="L1014" s="2"/>
    </x:row>
    <x:row r="1015" ht="22" customHeight="1">
      <x:c r="A1015" s="2"/>
      <x:c r="B1015" s="2" t="n">
        <x:v>982</x:v>
      </x:c>
      <x:c r="C1015" s="2" t="str">
        <x:v>23112</x:v>
      </x:c>
      <x:c r="D1015" s="2" t="str">
        <x:v>PARISIENNE CURIO CABINET</x:v>
      </x:c>
      <x:c r="E1015" s="11" t="n">
        <x:v>4514.58</x:v>
      </x:c>
      <x:c r="F1015" s="11" t="n">
        <x:v>239.85000000000002</x:v>
      </x:c>
      <x:c r="G1015" s="11" t="n">
        <x:v>4274.7300000000005</x:v>
      </x:c>
      <x:c r="H1015" s="23" t="n">
        <x:v>0.000219861534153329</x:v>
      </x:c>
      <x:c r="I1015" s="23" t="n">
        <x:v>0.794046618736704</x:v>
      </x:c>
      <x:c r="J1015" s="2" t="n">
        <x:v>241</x:v>
      </x:c>
      <x:c r="K1015" s="2"/>
      <x:c r="L1015" s="2"/>
    </x:row>
    <x:row r="1016" ht="22" customHeight="1">
      <x:c r="A1016" s="2"/>
      <x:c r="B1016" s="2" t="n">
        <x:v>983</x:v>
      </x:c>
      <x:c r="C1016" s="2" t="str">
        <x:v>22451</x:v>
      </x:c>
      <x:c r="D1016" s="2" t="str">
        <x:v>SILK PURSE BABUSHKA RED</x:v>
      </x:c>
      <x:c r="E1016" s="11" t="n">
        <x:v>4507.04</x:v>
      </x:c>
      <x:c r="F1016" s="11" t="n">
        <x:v>26.8</x:v>
      </x:c>
      <x:c r="G1016" s="11" t="n">
        <x:v>4480.24</x:v>
      </x:c>
      <x:c r="H1016" s="23" t="n">
        <x:v>0.00021949433366789823</x:v>
      </x:c>
      <x:c r="I1016" s="23" t="n">
        <x:v>0.7942661130703719</x:v>
      </x:c>
      <x:c r="J1016" s="2" t="n">
        <x:v>238</x:v>
      </x:c>
      <x:c r="K1016" s="2"/>
      <x:c r="L1016" s="2"/>
    </x:row>
    <x:row r="1017" ht="22" customHeight="1">
      <x:c r="A1017" s="2"/>
      <x:c r="B1017" s="2" t="n">
        <x:v>984</x:v>
      </x:c>
      <x:c r="C1017" s="2" t="str">
        <x:v>22747</x:v>
      </x:c>
      <x:c r="D1017" s="2" t="str">
        <x:v>POPPY'S PLAYHOUSE BATHROOM</x:v>
      </x:c>
      <x:c r="E1017" s="11" t="n">
        <x:v>4499.8</x:v>
      </x:c>
      <x:c r="F1017" s="11" t="n">
        <x:v>12.600000000000001</x:v>
      </x:c>
      <x:c r="G1017" s="11" t="n">
        <x:v>4487.2</x:v>
      </x:c>
      <x:c r="H1017" s="23" t="n">
        <x:v>0.00021914174328135726</x:v>
      </x:c>
      <x:c r="I1017" s="23" t="n">
        <x:v>0.7944852548136532</x:v>
      </x:c>
      <x:c r="J1017" s="2" t="n">
        <x:v>402</x:v>
      </x:c>
      <x:c r="K1017" s="2"/>
      <x:c r="L1017" s="2"/>
    </x:row>
    <x:row r="1018" ht="22" customHeight="1">
      <x:c r="A1018" s="2"/>
      <x:c r="B1018" s="2" t="n">
        <x:v>985</x:v>
      </x:c>
      <x:c r="C1018" s="2" t="str">
        <x:v>21109</x:v>
      </x:c>
      <x:c r="D1018" s="2" t="str">
        <x:v>LARGE CAKE TOWEL CHOCOLATE SPOTS</x:v>
      </x:c>
      <x:c r="E1018" s="11" t="n">
        <x:v>4498.69</x:v>
      </x:c>
      <x:c r="F1018" s="11" t="n">
        <x:v>13.5</x:v>
      </x:c>
      <x:c r="G1018" s="11" t="n">
        <x:v>4485.19</x:v>
      </x:c>
      <x:c r="H1018" s="23" t="n">
        <x:v>0.00021908768591546491</x:v>
      </x:c>
      <x:c r="I1018" s="23" t="n">
        <x:v>0.7947043424995687</x:v>
      </x:c>
      <x:c r="J1018" s="2" t="n">
        <x:v>223</x:v>
      </x:c>
      <x:c r="K1018" s="2"/>
      <x:c r="L1018" s="2"/>
    </x:row>
    <x:row r="1019" ht="22" customHeight="1">
      <x:c r="A1019" s="2"/>
      <x:c r="B1019" s="2" t="n">
        <x:v>986</x:v>
      </x:c>
      <x:c r="C1019" s="2" t="str">
        <x:v>84279P</x:v>
      </x:c>
      <x:c r="D1019" s="2" t="str">
        <x:v>CHERRY BLOSSOM  DECORATIVE FLASK</x:v>
      </x:c>
      <x:c r="E1019" s="11" t="n">
        <x:v>4491.67</x:v>
      </x:c>
      <x:c r="F1019" s="11" t="n">
        <x:v>163.56</x:v>
      </x:c>
      <x:c r="G1019" s="11" t="n">
        <x:v>4328.11</x:v>
      </x:c>
      <x:c r="H1019" s="23" t="n">
        <x:v>0.00021874580960144318</x:v>
      </x:c>
      <x:c r="I1019" s="23" t="n">
        <x:v>0.7949230883091701</x:v>
      </x:c>
      <x:c r="J1019" s="2" t="n">
        <x:v>299</x:v>
      </x:c>
      <x:c r="K1019" s="2"/>
      <x:c r="L1019" s="2"/>
    </x:row>
    <x:row r="1020" ht="22" customHeight="1">
      <x:c r="A1020" s="2"/>
      <x:c r="B1020" s="2" t="n">
        <x:v>987</x:v>
      </x:c>
      <x:c r="C1020" s="2" t="str">
        <x:v>84968E</x:v>
      </x:c>
      <x:c r="D1020" s="2" t="str">
        <x:v>SET OF 16 VINTAGE BLACK CUTLERY</x:v>
      </x:c>
      <x:c r="E1020" s="11" t="n">
        <x:v>4490.48</x:v>
      </x:c>
      <x:c r="F1020" s="11" t="n">
        <x:v>51</x:v>
      </x:c>
      <x:c r="G1020" s="11" t="n">
        <x:v>4439.48</x:v>
      </x:c>
      <x:c r="H1020" s="23" t="n">
        <x:v>0.0002186878562091802</x:v>
      </x:c>
      <x:c r="I1020" s="23" t="n">
        <x:v>0.7951417761653793</x:v>
      </x:c>
      <x:c r="J1020" s="2" t="n">
        <x:v>98</x:v>
      </x:c>
      <x:c r="K1020" s="2"/>
      <x:c r="L1020" s="2"/>
    </x:row>
    <x:row r="1021" ht="22" customHeight="1">
      <x:c r="A1021" s="2"/>
      <x:c r="B1021" s="2" t="n">
        <x:v>988</x:v>
      </x:c>
      <x:c r="C1021" s="2" t="str">
        <x:v>23167</x:v>
      </x:c>
      <x:c r="D1021" s="2" t="str">
        <x:v>SMALL CERAMIC TOP STORAGE JAR </x:v>
      </x:c>
      <x:c r="E1021" s="11" t="n">
        <x:v>4476.009999999999</x:v>
      </x:c>
      <x:c r="F1021" s="11" t="n">
        <x:v>365.19</x:v>
      </x:c>
      <x:c r="G1021" s="11" t="n">
        <x:v>4110.82</x:v>
      </x:c>
      <x:c r="H1021" s="23" t="n">
        <x:v>0.00021798316243939458</x:v>
      </x:c>
      <x:c r="I1021" s="23" t="n">
        <x:v>0.7953597593278187</x:v>
      </x:c>
      <x:c r="J1021" s="2" t="n">
        <x:v>231</x:v>
      </x:c>
      <x:c r="K1021" s="2"/>
      <x:c r="L1021" s="2"/>
    </x:row>
    <x:row r="1022" ht="22" customHeight="1">
      <x:c r="A1022" s="2"/>
      <x:c r="B1022" s="2" t="n">
        <x:v>989</x:v>
      </x:c>
      <x:c r="C1022" s="2" t="str">
        <x:v>23530</x:v>
      </x:c>
      <x:c r="D1022" s="2" t="str">
        <x:v>WALL ART ONLY ONE PERSON </x:v>
      </x:c>
      <x:c r="E1022" s="11" t="n">
        <x:v>4465.97</x:v>
      </x:c>
      <x:c r="F1022" s="11" t="n">
        <x:v>0</x:v>
      </x:c>
      <x:c r="G1022" s="11" t="n">
        <x:v>4465.97</x:v>
      </x:c>
      <x:c r="H1022" s="23" t="n">
        <x:v>0.00021749421112988204</x:v>
      </x:c>
      <x:c r="I1022" s="23" t="n">
        <x:v>0.7955772535389486</x:v>
      </x:c>
      <x:c r="J1022" s="2" t="n">
        <x:v>87</x:v>
      </x:c>
      <x:c r="K1022" s="2"/>
      <x:c r="L1022" s="2"/>
    </x:row>
    <x:row r="1023" ht="22" customHeight="1">
      <x:c r="A1023" s="2"/>
      <x:c r="B1023" s="2" t="n">
        <x:v>990</x:v>
      </x:c>
      <x:c r="C1023" s="2" t="str">
        <x:v>22291</x:v>
      </x:c>
      <x:c r="D1023" s="2" t="str">
        <x:v>HANGING CHICK CREAM DECORATION</x:v>
      </x:c>
      <x:c r="E1023" s="11" t="n">
        <x:v>4456.429999999999</x:v>
      </x:c>
      <x:c r="F1023" s="11" t="n">
        <x:v>69.6</x:v>
      </x:c>
      <x:c r="G1023" s="11" t="n">
        <x:v>4386.83</x:v>
      </x:c>
      <x:c r="H1023" s="23" t="n">
        <x:v>0.00021702960998518575</x:v>
      </x:c>
      <x:c r="I1023" s="23" t="n">
        <x:v>0.7957942831489337</x:v>
      </x:c>
      <x:c r="J1023" s="2" t="n">
        <x:v>264</x:v>
      </x:c>
      <x:c r="K1023" s="2"/>
      <x:c r="L1023" s="2"/>
    </x:row>
    <x:row r="1024" ht="22" customHeight="1">
      <x:c r="A1024" s="2"/>
      <x:c r="B1024" s="2" t="n">
        <x:v>991</x:v>
      </x:c>
      <x:c r="C1024" s="2" t="str">
        <x:v>21064</x:v>
      </x:c>
      <x:c r="D1024" s="2" t="str">
        <x:v>BOOM BOX SPEAKER BOYS</x:v>
      </x:c>
      <x:c r="E1024" s="11" t="n">
        <x:v>4453.2699999999995</x:v>
      </x:c>
      <x:c r="F1024" s="11" t="n">
        <x:v>53.550000000000004</x:v>
      </x:c>
      <x:c r="G1024" s="11" t="n">
        <x:v>4399.72</x:v>
      </x:c>
      <x:c r="H1024" s="23" t="n">
        <x:v>0.00021687571694354633</x:v>
      </x:c>
      <x:c r="I1024" s="23" t="n">
        <x:v>0.7960111588658773</x:v>
      </x:c>
      <x:c r="J1024" s="2" t="n">
        <x:v>171</x:v>
      </x:c>
      <x:c r="K1024" s="2"/>
      <x:c r="L1024" s="2"/>
    </x:row>
    <x:row r="1025" ht="22" customHeight="1">
      <x:c r="A1025" s="2"/>
      <x:c r="B1025" s="2" t="n">
        <x:v>992</x:v>
      </x:c>
      <x:c r="C1025" s="2" t="str">
        <x:v>23288</x:v>
      </x:c>
      <x:c r="D1025" s="2" t="str">
        <x:v>GREEN VINTAGE SPOT BEAKER</x:v>
      </x:c>
      <x:c r="E1025" s="11" t="n">
        <x:v>4444.2300000000005</x:v>
      </x:c>
      <x:c r="F1025" s="11" t="n">
        <x:v>15.17</x:v>
      </x:c>
      <x:c r="G1025" s="11" t="n">
        <x:v>4429.0599999999995</x:v>
      </x:c>
      <x:c r="H1025" s="23" t="n">
        <x:v>0.0002164354659636665</x:v>
      </x:c>
      <x:c r="I1025" s="23" t="n">
        <x:v>0.7962275943318409</x:v>
      </x:c>
      <x:c r="J1025" s="2" t="n">
        <x:v>185</x:v>
      </x:c>
      <x:c r="K1025" s="2"/>
      <x:c r="L1025" s="2"/>
    </x:row>
    <x:row r="1026" ht="22" customHeight="1">
      <x:c r="A1026" s="2"/>
      <x:c r="B1026" s="2" t="n">
        <x:v>993</x:v>
      </x:c>
      <x:c r="C1026" s="2" t="str">
        <x:v>21864</x:v>
      </x:c>
      <x:c r="D1026" s="2" t="str">
        <x:v>UNION JACK FLAG PASSPORT COVER </x:v>
      </x:c>
      <x:c r="E1026" s="11" t="n">
        <x:v>4442.04</x:v>
      </x:c>
      <x:c r="F1026" s="11" t="n">
        <x:v>42</x:v>
      </x:c>
      <x:c r="G1026" s="11" t="n">
        <x:v>4400.04</x:v>
      </x:c>
      <x:c r="H1026" s="23" t="n">
        <x:v>0.00021632881224177078</x:v>
      </x:c>
      <x:c r="I1026" s="23" t="n">
        <x:v>0.7964439231440826</x:v>
      </x:c>
      <x:c r="J1026" s="2" t="n">
        <x:v>411</x:v>
      </x:c>
      <x:c r="K1026" s="2"/>
      <x:c r="L1026" s="2"/>
    </x:row>
    <x:row r="1027" ht="22" customHeight="1">
      <x:c r="A1027" s="2"/>
      <x:c r="B1027" s="2" t="n">
        <x:v>994</x:v>
      </x:c>
      <x:c r="C1027" s="2" t="str">
        <x:v>22299</x:v>
      </x:c>
      <x:c r="D1027" s="2" t="str">
        <x:v>PIG KEYRING WITH LIGHT &amp; SOUND </x:v>
      </x:c>
      <x:c r="E1027" s="11" t="n">
        <x:v>4432.07</x:v>
      </x:c>
      <x:c r="F1027" s="11" t="n">
        <x:v>71.25</x:v>
      </x:c>
      <x:c r="G1027" s="11" t="n">
        <x:v>4360.82</x:v>
      </x:c>
      <x:c r="H1027" s="23" t="n">
        <x:v>0.00021584326995533246</x:v>
      </x:c>
      <x:c r="I1027" s="23" t="n">
        <x:v>0.796659766414038</x:v>
      </x:c>
      <x:c r="J1027" s="2" t="n">
        <x:v>202</x:v>
      </x:c>
      <x:c r="K1027" s="2"/>
      <x:c r="L1027" s="2"/>
    </x:row>
    <x:row r="1028" ht="22" customHeight="1">
      <x:c r="A1028" s="2"/>
      <x:c r="B1028" s="2" t="n">
        <x:v>995</x:v>
      </x:c>
      <x:c r="C1028" s="2" t="str">
        <x:v>22733</x:v>
      </x:c>
      <x:c r="D1028" s="2" t="str">
        <x:v>3D TRADITIONAL CHRISTMAS STICKERS</x:v>
      </x:c>
      <x:c r="E1028" s="11" t="n">
        <x:v>4429.24</x:v>
      </x:c>
      <x:c r="F1028" s="11" t="n">
        <x:v>25</x:v>
      </x:c>
      <x:c r="G1028" s="11" t="n">
        <x:v>4404.24</x:v>
      </x:c>
      <x:c r="H1028" s="23" t="n">
        <x:v>0.00021570544802247183</x:v>
      </x:c>
      <x:c r="I1028" s="23" t="n">
        <x:v>0.7968754718620605</x:v>
      </x:c>
      <x:c r="J1028" s="2" t="n">
        <x:v>338</x:v>
      </x:c>
      <x:c r="K1028" s="2"/>
      <x:c r="L1028" s="2"/>
    </x:row>
    <x:row r="1029" ht="22" customHeight="1">
      <x:c r="A1029" s="2"/>
      <x:c r="B1029" s="2" t="n">
        <x:v>996</x:v>
      </x:c>
      <x:c r="C1029" s="2" t="str">
        <x:v>79341</x:v>
      </x:c>
      <x:c r="D1029" s="2" t="str">
        <x:v>Unsaleable, destroyed.</x:v>
      </x:c>
      <x:c r="E1029" s="11" t="n">
        <x:v>4423.6900000000005</x:v>
      </x:c>
      <x:c r="F1029" s="11" t="n">
        <x:v>2519.6000000000004</x:v>
      </x:c>
      <x:c r="G1029" s="11" t="n">
        <x:v>1904.0900000000001</x:v>
      </x:c>
      <x:c r="H1029" s="23" t="n">
        <x:v>0.00021543516119301023</x:v>
      </x:c>
      <x:c r="I1029" s="23" t="n">
        <x:v>0.7970909070232536</x:v>
      </x:c>
      <x:c r="J1029" s="2" t="n">
        <x:v>79</x:v>
      </x:c>
      <x:c r="K1029" s="2"/>
      <x:c r="L1029" s="2"/>
    </x:row>
    <x:row r="1030" ht="22" customHeight="1">
      <x:c r="A1030" s="2"/>
      <x:c r="B1030" s="2" t="n">
        <x:v>997</x:v>
      </x:c>
      <x:c r="C1030" s="2" t="str">
        <x:v>21810</x:v>
      </x:c>
      <x:c r="D1030" s="2" t="str">
        <x:v>CHRISTMAS HANGING STAR WITH BELL</x:v>
      </x:c>
      <x:c r="E1030" s="11" t="n">
        <x:v>4415.36</x:v>
      </x:c>
      <x:c r="F1030" s="11" t="n">
        <x:v>73.75</x:v>
      </x:c>
      <x:c r="G1030" s="11" t="n">
        <x:v>4341.61</x:v>
      </x:c>
      <x:c r="H1030" s="23" t="n">
        <x:v>0.00021502948744716956</x:v>
      </x:c>
      <x:c r="I1030" s="23" t="n">
        <x:v>0.7973059365107007</x:v>
      </x:c>
      <x:c r="J1030" s="2" t="n">
        <x:v>344</x:v>
      </x:c>
      <x:c r="K1030" s="2"/>
      <x:c r="L1030" s="2"/>
    </x:row>
    <x:row r="1031" ht="22" customHeight="1">
      <x:c r="A1031" s="2"/>
      <x:c r="B1031" s="2" t="n">
        <x:v>998</x:v>
      </x:c>
      <x:c r="C1031" s="2" t="str">
        <x:v>22548</x:v>
      </x:c>
      <x:c r="D1031" s="2" t="str">
        <x:v>adjustment</x:v>
      </x:c>
      <x:c r="E1031" s="11" t="n">
        <x:v>4411.81</x:v>
      </x:c>
      <x:c r="F1031" s="11" t="n">
        <x:v>0</x:v>
      </x:c>
      <x:c r="G1031" s="11" t="n">
        <x:v>4411.81</x:v>
      </x:c>
      <x:c r="H1031" s="23" t="n">
        <x:v>0.0002148566012769734</x:v>
      </x:c>
      <x:c r="I1031" s="23" t="n">
        <x:v>0.7975207931119777</x:v>
      </x:c>
      <x:c r="J1031" s="2" t="n">
        <x:v>428</x:v>
      </x:c>
      <x:c r="K1031" s="2"/>
      <x:c r="L1031" s="2"/>
    </x:row>
    <x:row r="1032" ht="22" customHeight="1">
      <x:c r="A1032" s="2"/>
      <x:c r="B1032" s="2" t="n">
        <x:v>999</x:v>
      </x:c>
      <x:c r="C1032" s="2" t="str">
        <x:v>84031A</x:v>
      </x:c>
      <x:c r="D1032" s="2" t="str">
        <x:v>CHARLIE+LOLA RED HOT WATER BOTTLE </x:v>
      </x:c>
      <x:c r="E1032" s="11" t="n">
        <x:v>4409.92</x:v>
      </x:c>
      <x:c r="F1032" s="11" t="n">
        <x:v>71.55</x:v>
      </x:c>
      <x:c r="G1032" s="11" t="n">
        <x:v>4338.37</x:v>
      </x:c>
      <x:c r="H1032" s="23" t="n">
        <x:v>0.0002147645576539675</x:v>
      </x:c>
      <x:c r="I1032" s="23" t="n">
        <x:v>0.7977355576696317</x:v>
      </x:c>
      <x:c r="J1032" s="2" t="n">
        <x:v>314</x:v>
      </x:c>
      <x:c r="K1032" s="2"/>
      <x:c r="L1032" s="2"/>
    </x:row>
    <x:row r="1033" ht="22" customHeight="1">
      <x:c r="A1033" s="2"/>
      <x:c r="B1033" s="2" t="n">
        <x:v>1000</x:v>
      </x:c>
      <x:c r="C1033" s="2" t="str">
        <x:v>22573</x:v>
      </x:c>
      <x:c r="D1033" s="2" t="str">
        <x:v>STAR WOODEN CHRISTMAS DECORATION</x:v>
      </x:c>
      <x:c r="E1033" s="11" t="n">
        <x:v>4408.08</x:v>
      </x:c>
      <x:c r="F1033" s="11" t="n">
        <x:v>0</x:v>
      </x:c>
      <x:c r="G1033" s="11" t="n">
        <x:v>4408.08</x:v>
      </x:c>
      <x:c r="H1033" s="23" t="n">
        <x:v>0.0002146749490474433</x:v>
      </x:c>
      <x:c r="I1033" s="23" t="n">
        <x:v>0.7979502326186791</x:v>
      </x:c>
      <x:c r="J1033" s="2" t="n">
        <x:v>405</x:v>
      </x:c>
      <x:c r="K1033" s="2"/>
      <x:c r="L1033" s="2"/>
    </x:row>
    <x:row r="1034" ht="22" customHeight="1">
      <x:c r="A1034" s="2"/>
      <x:c r="B1034" s="2" t="n">
        <x:v>1001</x:v>
      </x:c>
      <x:c r="C1034" s="2" t="str">
        <x:v>21967</x:v>
      </x:c>
      <x:c r="D1034" s="2" t="str">
        <x:v>PACK OF 12 SKULL TISSUES</x:v>
      </x:c>
      <x:c r="E1034" s="11" t="n">
        <x:v>4406.469999999999</x:v>
      </x:c>
      <x:c r="F1034" s="11" t="n">
        <x:v>0</x:v>
      </x:c>
      <x:c r="G1034" s="11" t="n">
        <x:v>4406.469999999999</x:v>
      </x:c>
      <x:c r="H1034" s="23" t="n">
        <x:v>0.00021459654151673456</x:v>
      </x:c>
      <x:c r="I1034" s="23" t="n">
        <x:v>0.7981648291601959</x:v>
      </x:c>
      <x:c r="J1034" s="2" t="n">
        <x:v>479</x:v>
      </x:c>
      <x:c r="K1034" s="2"/>
      <x:c r="L1034" s="2"/>
    </x:row>
    <x:row r="1035" ht="22" customHeight="1">
      <x:c r="A1035" s="2"/>
      <x:c r="B1035" s="2" t="n">
        <x:v>1002</x:v>
      </x:c>
      <x:c r="C1035" s="2" t="str">
        <x:v>22449</x:v>
      </x:c>
      <x:c r="D1035" s="2" t="str">
        <x:v>SILK PURSE BABUSHKA PINK</x:v>
      </x:c>
      <x:c r="E1035" s="11" t="n">
        <x:v>4384.5</x:v>
      </x:c>
      <x:c r="F1035" s="11" t="n">
        <x:v>40.2</x:v>
      </x:c>
      <x:c r="G1035" s="11" t="n">
        <x:v>4344.3</x:v>
      </x:c>
      <x:c r="H1035" s="23" t="n">
        <x:v>0.00021352659527470351</x:v>
      </x:c>
      <x:c r="I1035" s="23" t="n">
        <x:v>0.7983783557554707</x:v>
      </x:c>
      <x:c r="J1035" s="2" t="n">
        <x:v>308</x:v>
      </x:c>
      <x:c r="K1035" s="2"/>
      <x:c r="L1035" s="2"/>
    </x:row>
    <x:row r="1036" ht="22" customHeight="1">
      <x:c r="A1036" s="2"/>
      <x:c r="B1036" s="2" t="n">
        <x:v>1003</x:v>
      </x:c>
      <x:c r="C1036" s="2" t="str">
        <x:v>85053</x:v>
      </x:c>
      <x:c r="D1036" s="2" t="str">
        <x:v>FRENCH ENAMEL CANDLEHOLDER</x:v>
      </x:c>
      <x:c r="E1036" s="11" t="n">
        <x:v>4382.18</x:v>
      </x:c>
      <x:c r="F1036" s="11" t="n">
        <x:v>84.46000000000001</x:v>
      </x:c>
      <x:c r="G1036" s="11" t="n">
        <x:v>4297.72</x:v>
      </x:c>
      <x:c r="H1036" s="23" t="n">
        <x:v>0.0002134136105099556</x:v>
      </x:c>
      <x:c r="I1036" s="23" t="n">
        <x:v>0.7985917693659806</x:v>
      </x:c>
      <x:c r="J1036" s="2" t="n">
        <x:v>378</x:v>
      </x:c>
      <x:c r="K1036" s="2"/>
      <x:c r="L1036" s="2"/>
    </x:row>
    <x:row r="1037" ht="22" customHeight="1">
      <x:c r="A1037" s="2"/>
      <x:c r="B1037" s="2" t="n">
        <x:v>1004</x:v>
      </x:c>
      <x:c r="C1037" s="2" t="str">
        <x:v>22594</x:v>
      </x:c>
      <x:c r="D1037" s="2" t="str">
        <x:v>CHRISTMAS GINGHAM TREE</x:v>
      </x:c>
      <x:c r="E1037" s="11" t="n">
        <x:v>4379.88</x:v>
      </x:c>
      <x:c r="F1037" s="11" t="n">
        <x:v>0.85</x:v>
      </x:c>
      <x:c r="G1037" s="11" t="n">
        <x:v>4379.03</x:v>
      </x:c>
      <x:c r="H1037" s="23" t="n">
        <x:v>0.00021330159975180033</x:v>
      </x:c>
      <x:c r="I1037" s="23" t="n">
        <x:v>0.7988050709657324</x:v>
      </x:c>
      <x:c r="J1037" s="2" t="n">
        <x:v>412</x:v>
      </x:c>
      <x:c r="K1037" s="2"/>
      <x:c r="L1037" s="2"/>
    </x:row>
    <x:row r="1038" ht="22" customHeight="1">
      <x:c r="A1038" s="2"/>
      <x:c r="B1038" s="2" t="n">
        <x:v>1005</x:v>
      </x:c>
      <x:c r="C1038" s="2" t="str">
        <x:v>20674</x:v>
      </x:c>
      <x:c r="D1038" s="2" t="str">
        <x:v>GREEN POLKADOT BOWL</x:v>
      </x:c>
      <x:c r="E1038" s="11" t="n">
        <x:v>4379.77</x:v>
      </x:c>
      <x:c r="F1038" s="11" t="n">
        <x:v>18.560000000000002</x:v>
      </x:c>
      <x:c r="G1038" s="11" t="n">
        <x:v>4361.21</x:v>
      </x:c>
      <x:c r="H1038" s="23" t="n">
        <x:v>0.00021329624271554073</x:v>
      </x:c>
      <x:c r="I1038" s="23" t="n">
        <x:v>0.7990183672084479</x:v>
      </x:c>
      <x:c r="J1038" s="2" t="n">
        <x:v>463</x:v>
      </x:c>
      <x:c r="K1038" s="2"/>
      <x:c r="L1038" s="2"/>
    </x:row>
    <x:row r="1039" ht="22" customHeight="1">
      <x:c r="A1039" s="2"/>
      <x:c r="B1039" s="2" t="n">
        <x:v>1006</x:v>
      </x:c>
      <x:c r="C1039" s="2" t="str">
        <x:v>22071</x:v>
      </x:c>
      <x:c r="D1039" s="2" t="str">
        <x:v>SMALL WHITE RETROSPOT MUG IN BOX </x:v>
      </x:c>
      <x:c r="E1039" s="11" t="n">
        <x:v>4378.38</x:v>
      </x:c>
      <x:c r="F1039" s="11" t="n">
        <x:v>248.75</x:v>
      </x:c>
      <x:c r="G1039" s="11" t="n">
        <x:v>4129.63</x:v>
      </x:c>
      <x:c r="H1039" s="23" t="n">
        <x:v>0.00021322854925735123</x:v>
      </x:c>
      <x:c r="I1039" s="23" t="n">
        <x:v>0.7992315957577052</x:v>
      </x:c>
      <x:c r="J1039" s="2" t="n">
        <x:v>256</x:v>
      </x:c>
      <x:c r="K1039" s="2"/>
      <x:c r="L1039" s="2"/>
    </x:row>
    <x:row r="1040" ht="22" customHeight="1">
      <x:c r="A1040" s="2"/>
      <x:c r="B1040" s="2" t="n">
        <x:v>1007</x:v>
      </x:c>
      <x:c r="C1040" s="2" t="str">
        <x:v>21537</x:v>
      </x:c>
      <x:c r="D1040" s="2" t="str">
        <x:v>RED RETROSPOT PUDDING BOWL</x:v>
      </x:c>
      <x:c r="E1040" s="11" t="n">
        <x:v>4359.96</x:v>
      </x:c>
      <x:c r="F1040" s="11" t="n">
        <x:v>247</x:v>
      </x:c>
      <x:c r="G1040" s="11" t="n">
        <x:v>4112.96</x:v>
      </x:c>
      <x:c r="H1040" s="23" t="n">
        <x:v>0.00021233148918551635</x:v>
      </x:c>
      <x:c r="I1040" s="23" t="n">
        <x:v>0.7994439272468907</x:v>
      </x:c>
      <x:c r="J1040" s="2" t="n">
        <x:v>256</x:v>
      </x:c>
      <x:c r="K1040" s="2"/>
      <x:c r="L1040" s="2"/>
    </x:row>
    <x:row r="1041" ht="22" customHeight="1">
      <x:c r="A1041" s="2"/>
      <x:c r="B1041" s="2" t="n">
        <x:v>1008</x:v>
      </x:c>
      <x:c r="C1041" s="2" t="str">
        <x:v>79320</x:v>
      </x:c>
      <x:c r="D1041" s="2" t="str">
        <x:v>FLAMINGO LIGHTS</x:v>
      </x:c>
      <x:c r="E1041" s="11" t="n">
        <x:v>4357.38</x:v>
      </x:c>
      <x:c r="F1041" s="11" t="n">
        <x:v>77.10000000000001</x:v>
      </x:c>
      <x:c r="G1041" s="11" t="n">
        <x:v>4280.28</x:v>
      </x:c>
      <x:c r="H1041" s="23" t="n">
        <x:v>0.0002122058423350639</x:v>
      </x:c>
      <x:c r="I1041" s="23" t="n">
        <x:v>0.7996561330892258</x:v>
      </x:c>
      <x:c r="J1041" s="2" t="n">
        <x:v>150</x:v>
      </x:c>
      <x:c r="K1041" s="2"/>
      <x:c r="L1041" s="2"/>
    </x:row>
    <x:row r="1042" ht="22" customHeight="1">
      <x:c r="A1042" s="2"/>
      <x:c r="B1042" s="2" t="n">
        <x:v>1009</x:v>
      </x:c>
      <x:c r="C1042" s="2" t="str">
        <x:v>23349</x:v>
      </x:c>
      <x:c r="D1042" s="2" t="str">
        <x:v>ROLL WRAP VINTAGE CHRISTMAS</x:v>
      </x:c>
      <x:c r="E1042" s="11" t="n">
        <x:v>4355.1</x:v>
      </x:c>
      <x:c r="F1042" s="11" t="n">
        <x:v>30</x:v>
      </x:c>
      <x:c r="G1042" s="11" t="n">
        <x:v>4325.1</x:v>
      </x:c>
      <x:c r="H1042" s="23" t="n">
        <x:v>0.0002120948055835013</x:v>
      </x:c>
      <x:c r="I1042" s="23" t="n">
        <x:v>0.7998682278948093</x:v>
      </x:c>
      <x:c r="J1042" s="2" t="n">
        <x:v>337</x:v>
      </x:c>
      <x:c r="K1042" s="2"/>
      <x:c r="L1042" s="2"/>
    </x:row>
    <x:row r="1043" ht="22" customHeight="1">
      <x:c r="A1043" s="2"/>
      <x:c r="B1043" s="2" t="n">
        <x:v>1010</x:v>
      </x:c>
      <x:c r="C1043" s="2" t="str">
        <x:v>22227</x:v>
      </x:c>
      <x:c r="D1043" s="2" t="str">
        <x:v>HANGING HEART MIRROR DECORATION </x:v>
      </x:c>
      <x:c r="E1043" s="11" t="n">
        <x:v>4353.92</x:v>
      </x:c>
      <x:c r="F1043" s="11" t="n">
        <x:v>21.450000000000003</x:v>
      </x:c>
      <x:c r="G1043" s="11" t="n">
        <x:v>4332.47</x:v>
      </x:c>
      <x:c r="H1043" s="23" t="n">
        <x:v>0.00021203733919453465</x:v>
      </x:c>
      <x:c r="I1043" s="23" t="n">
        <x:v>0.8000802652340038</x:v>
      </x:c>
      <x:c r="J1043" s="2" t="n">
        <x:v>643</x:v>
      </x:c>
      <x:c r="K1043" s="2"/>
      <x:c r="L1043" s="2"/>
    </x:row>
    <x:row r="1044" ht="22" customHeight="1">
      <x:c r="A1044" s="2"/>
      <x:c r="B1044" s="2" t="n">
        <x:v>1011</x:v>
      </x:c>
      <x:c r="C1044" s="2" t="str">
        <x:v>22202</x:v>
      </x:c>
      <x:c r="D1044" s="2" t="str">
        <x:v>MILK PAN PINK POLKADOT</x:v>
      </x:c>
      <x:c r="E1044" s="11" t="n">
        <x:v>4351.25</x:v>
      </x:c>
      <x:c r="F1044" s="11" t="n">
        <x:v>116.25</x:v>
      </x:c>
      <x:c r="G1044" s="11" t="n">
        <x:v>4235</x:v>
      </x:c>
      <x:c r="H1044" s="23" t="n">
        <x:v>0.00021190730931441526</x:v>
      </x:c>
      <x:c r="I1044" s="23" t="n">
        <x:v>0.8002921725433182</x:v>
      </x:c>
      <x:c r="J1044" s="2" t="n">
        <x:v>264</x:v>
      </x:c>
      <x:c r="K1044" s="2"/>
      <x:c r="L1044" s="2"/>
    </x:row>
    <x:row r="1045" ht="22" customHeight="1">
      <x:c r="A1045" s="2"/>
      <x:c r="B1045" s="2" t="n">
        <x:v>1012</x:v>
      </x:c>
      <x:c r="C1045" s="2" t="str">
        <x:v>84598</x:v>
      </x:c>
      <x:c r="D1045" s="2" t="str">
        <x:v>BOYS ALPHABET IRON ON PATCHES</x:v>
      </x:c>
      <x:c r="E1045" s="11" t="n">
        <x:v>4350.14</x:v>
      </x:c>
      <x:c r="F1045" s="11" t="n">
        <x:v>120.96</x:v>
      </x:c>
      <x:c r="G1045" s="11" t="n">
        <x:v>4229.18</x:v>
      </x:c>
      <x:c r="H1045" s="23" t="n">
        <x:v>0.00021185325194852294</x:v>
      </x:c>
      <x:c r="I1045" s="23" t="n">
        <x:v>0.8005040257952667</x:v>
      </x:c>
      <x:c r="J1045" s="2" t="n">
        <x:v>217</x:v>
      </x:c>
      <x:c r="K1045" s="2"/>
      <x:c r="L1045" s="2"/>
    </x:row>
    <x:row r="1046" ht="22" customHeight="1">
      <x:c r="A1046" s="2"/>
      <x:c r="B1046" s="2" t="n">
        <x:v>1013</x:v>
      </x:c>
      <x:c r="C1046" s="2" t="str">
        <x:v>15039</x:v>
      </x:c>
      <x:c r="D1046" s="2" t="str">
        <x:v>SANDALWOOD FAN</x:v>
      </x:c>
      <x:c r="E1046" s="11" t="n">
        <x:v>4347.32</x:v>
      </x:c>
      <x:c r="F1046" s="11" t="n">
        <x:v>22.95</x:v>
      </x:c>
      <x:c r="G1046" s="11" t="n">
        <x:v>4324.37</x:v>
      </x:c>
      <x:c r="H1046" s="23" t="n">
        <x:v>0.0002117159170189586</x:v>
      </x:c>
      <x:c r="I1046" s="23" t="n">
        <x:v>0.8007157417122857</x:v>
      </x:c>
      <x:c r="J1046" s="2" t="n">
        <x:v>306</x:v>
      </x:c>
      <x:c r="K1046" s="2"/>
      <x:c r="L1046" s="2"/>
    </x:row>
    <x:row r="1047" ht="22" customHeight="1">
      <x:c r="A1047" s="2"/>
      <x:c r="B1047" s="2" t="n">
        <x:v>1014</x:v>
      </x:c>
      <x:c r="C1047" s="2" t="str">
        <x:v>22611</x:v>
      </x:c>
      <x:c r="D1047" s="2" t="str">
        <x:v>VINTAGE UNION JACK SHOPPING BAG</x:v>
      </x:c>
      <x:c r="E1047" s="11" t="n">
        <x:v>4343.58</x:v>
      </x:c>
      <x:c r="F1047" s="11" t="n">
        <x:v>19.8</x:v>
      </x:c>
      <x:c r="G1047" s="11" t="n">
        <x:v>4323.780000000001</x:v>
      </x:c>
      <x:c r="H1047" s="23" t="n">
        <x:v>0.0002115337777861322</x:v>
      </x:c>
      <x:c r="I1047" s="23" t="n">
        <x:v>0.8009272754900718</x:v>
      </x:c>
      <x:c r="J1047" s="2" t="n">
        <x:v>195</x:v>
      </x:c>
      <x:c r="K1047" s="2"/>
      <x:c r="L1047" s="2"/>
    </x:row>
    <x:row r="1048" ht="22" customHeight="1">
      <x:c r="A1048" s="2"/>
      <x:c r="B1048" s="2" t="n">
        <x:v>1015</x:v>
      </x:c>
      <x:c r="C1048" s="2" t="str">
        <x:v>21899</x:v>
      </x:c>
      <x:c r="D1048" s="2" t="str">
        <x:v>GARAGE KEY FOB</x:v>
      </x:c>
      <x:c r="E1048" s="11" t="n">
        <x:v>4336.12</x:v>
      </x:c>
      <x:c r="F1048" s="11" t="n">
        <x:v>43.550000000000004</x:v>
      </x:c>
      <x:c r="G1048" s="11" t="n">
        <x:v>4292.570000000001</x:v>
      </x:c>
      <x:c r="H1048" s="23" t="n">
        <x:v>0.00021117047332707206</x:v>
      </x:c>
      <x:c r="I1048" s="23" t="n">
        <x:v>0.8011384459633989</x:v>
      </x:c>
      <x:c r="J1048" s="2" t="n">
        <x:v>622</x:v>
      </x:c>
      <x:c r="K1048" s="2"/>
      <x:c r="L1048" s="2"/>
    </x:row>
    <x:row r="1049" ht="22" customHeight="1">
      <x:c r="A1049" s="2"/>
      <x:c r="B1049" s="2" t="n">
        <x:v>1016</x:v>
      </x:c>
      <x:c r="C1049" s="2" t="str">
        <x:v>22892</x:v>
      </x:c>
      <x:c r="D1049" s="2" t="str">
        <x:v>SET OF SALT AND PEPPER TOADSTOOLS</x:v>
      </x:c>
      <x:c r="E1049" s="11" t="n">
        <x:v>4329.56</x:v>
      </x:c>
      <x:c r="F1049" s="11" t="n">
        <x:v>139.94</x:v>
      </x:c>
      <x:c r="G1049" s="11" t="n">
        <x:v>4189.62</x:v>
      </x:c>
      <x:c r="H1049" s="23" t="n">
        <x:v>0.00021085099916468136</x:v>
      </x:c>
      <x:c r="I1049" s="23" t="n">
        <x:v>0.8013492969625636</x:v>
      </x:c>
      <x:c r="J1049" s="2" t="n">
        <x:v>295</x:v>
      </x:c>
      <x:c r="K1049" s="2"/>
      <x:c r="L1049" s="2"/>
    </x:row>
    <x:row r="1050" ht="22" customHeight="1">
      <x:c r="A1050" s="2"/>
      <x:c r="B1050" s="2" t="n">
        <x:v>1017</x:v>
      </x:c>
      <x:c r="C1050" s="2" t="str">
        <x:v>22425</x:v>
      </x:c>
      <x:c r="D1050" s="2" t="str">
        <x:v>ENAMEL COLANDER CREAM</x:v>
      </x:c>
      <x:c r="E1050" s="11" t="n">
        <x:v>4326.47</x:v>
      </x:c>
      <x:c r="F1050" s="11" t="n">
        <x:v>112.55</x:v>
      </x:c>
      <x:c r="G1050" s="11" t="n">
        <x:v>4213.92</x:v>
      </x:c>
      <x:c r="H1050" s="23" t="n">
        <x:v>0.00021070051514611622</x:v>
      </x:c>
      <x:c r="I1050" s="23" t="n">
        <x:v>0.8015599974777098</x:v>
      </x:c>
      <x:c r="J1050" s="2" t="n">
        <x:v>301</x:v>
      </x:c>
      <x:c r="K1050" s="2"/>
      <x:c r="L1050" s="2"/>
    </x:row>
    <x:row r="1051" ht="22" customHeight="1">
      <x:c r="A1051" s="2"/>
      <x:c r="B1051" s="2" t="n">
        <x:v>1018</x:v>
      </x:c>
      <x:c r="C1051" s="2" t="str">
        <x:v>84997b</x:v>
      </x:c>
      <x:c r="D1051" s="2" t="str">
        <x:v>CHILDRENS CUTLERY RETROSPOT RED </x:v>
      </x:c>
      <x:c r="E1051" s="11" t="n">
        <x:v>4322.57</x:v>
      </x:c>
      <x:c r="F1051" s="11" t="n">
        <x:v>0</x:v>
      </x:c>
      <x:c r="G1051" s="11" t="n">
        <x:v>4322.57</x:v>
      </x:c>
      <x:c r="H1051" s="23" t="n">
        <x:v>0.00021051058386054855</x:v>
      </x:c>
      <x:c r="I1051" s="23" t="n">
        <x:v>0.8017705080615704</x:v>
      </x:c>
      <x:c r="J1051" s="2" t="n">
        <x:v>85</x:v>
      </x:c>
      <x:c r="K1051" s="2"/>
      <x:c r="L1051" s="2"/>
    </x:row>
    <x:row r="1052" ht="22" customHeight="1">
      <x:c r="A1052" s="2"/>
      <x:c r="B1052" s="2" t="n">
        <x:v>1019</x:v>
      </x:c>
      <x:c r="C1052" s="2" t="str">
        <x:v>21913</x:v>
      </x:c>
      <x:c r="D1052" s="2" t="str">
        <x:v>VINTAGE SEASIDE JIGSAW PUZZLES</x:v>
      </x:c>
      <x:c r="E1052" s="11" t="n">
        <x:v>4309.98</x:v>
      </x:c>
      <x:c r="F1052" s="11" t="n">
        <x:v>15</x:v>
      </x:c>
      <x:c r="G1052" s="11" t="n">
        <x:v>4294.98</x:v>
      </x:c>
      <x:c r="H1052" s="23" t="n">
        <x:v>0.00020989744671047247</x:v>
      </x:c>
      <x:c r="I1052" s="23" t="n">
        <x:v>0.8019804055082809</x:v>
      </x:c>
      <x:c r="J1052" s="2" t="n">
        <x:v>298</x:v>
      </x:c>
      <x:c r="K1052" s="2"/>
      <x:c r="L1052" s="2"/>
    </x:row>
    <x:row r="1053" ht="22" customHeight="1">
      <x:c r="A1053" s="2"/>
      <x:c r="B1053" s="2" t="n">
        <x:v>1020</x:v>
      </x:c>
      <x:c r="C1053" s="2" t="str">
        <x:v>47580</x:v>
      </x:c>
      <x:c r="D1053" s="2" t="str">
        <x:v>TEA TIME DES TEA COSY</x:v>
      </x:c>
      <x:c r="E1053" s="11" t="n">
        <x:v>4308.8</x:v>
      </x:c>
      <x:c r="F1053" s="11" t="n">
        <x:v>53.55</x:v>
      </x:c>
      <x:c r="G1053" s="11" t="n">
        <x:v>4255.25</x:v>
      </x:c>
      <x:c r="H1053" s="23" t="n">
        <x:v>0.00020983998032150588</x:v>
      </x:c>
      <x:c r="I1053" s="23" t="n">
        <x:v>0.8021902454886024</x:v>
      </x:c>
      <x:c r="J1053" s="2" t="n">
        <x:v>344</x:v>
      </x:c>
      <x:c r="K1053" s="2"/>
      <x:c r="L1053" s="2"/>
    </x:row>
    <x:row r="1054" ht="22" customHeight="1">
      <x:c r="A1054" s="2"/>
      <x:c r="B1054" s="2" t="n">
        <x:v>1021</x:v>
      </x:c>
      <x:c r="C1054" s="2" t="str">
        <x:v>21012</x:v>
      </x:c>
      <x:c r="D1054" s="2" t="str">
        <x:v>ANTIQUE ALL GLASS CANDLESTICK</x:v>
      </x:c>
      <x:c r="E1054" s="11" t="n">
        <x:v>4300</x:v>
      </x:c>
      <x:c r="F1054" s="11" t="n">
        <x:v>10.5</x:v>
      </x:c>
      <x:c r="G1054" s="11" t="n">
        <x:v>4289.5</x:v>
      </x:c>
      <x:c r="H1054" s="23" t="n">
        <x:v>0.00020941141742073787</x:v>
      </x:c>
      <x:c r="I1054" s="23" t="n">
        <x:v>0.8023996569060231</x:v>
      </x:c>
      <x:c r="J1054" s="2" t="n">
        <x:v>299</x:v>
      </x:c>
      <x:c r="K1054" s="2"/>
      <x:c r="L1054" s="2"/>
    </x:row>
    <x:row r="1055" ht="22" customHeight="1">
      <x:c r="A1055" s="2"/>
      <x:c r="B1055" s="2" t="n">
        <x:v>1022</x:v>
      </x:c>
      <x:c r="C1055" s="2" t="str">
        <x:v>21153</x:v>
      </x:c>
      <x:c r="D1055" s="2" t="str">
        <x:v>RED SPOTTY TABLECLOTH </x:v>
      </x:c>
      <x:c r="E1055" s="11" t="n">
        <x:v>4294.6900000000005</x:v>
      </x:c>
      <x:c r="F1055" s="11" t="n">
        <x:v>21.3</x:v>
      </x:c>
      <x:c r="G1055" s="11" t="n">
        <x:v>4273.39</x:v>
      </x:c>
      <x:c r="H1055" s="23" t="n">
        <x:v>0.0002091528186703881</x:v>
      </x:c>
      <x:c r="I1055" s="23" t="n">
        <x:v>0.8026088097246935</x:v>
      </x:c>
      <x:c r="J1055" s="2" t="n">
        <x:v>139</x:v>
      </x:c>
      <x:c r="K1055" s="2"/>
      <x:c r="L1055" s="2"/>
    </x:row>
    <x:row r="1056" ht="22" customHeight="1">
      <x:c r="A1056" s="2"/>
      <x:c r="B1056" s="2" t="n">
        <x:v>1023</x:v>
      </x:c>
      <x:c r="C1056" s="2" t="str">
        <x:v>21245</x:v>
      </x:c>
      <x:c r="D1056" s="2" t="str">
        <x:v>GREEN POLKADOT PLATE </x:v>
      </x:c>
      <x:c r="E1056" s="11" t="n">
        <x:v>4288.639999999999</x:v>
      </x:c>
      <x:c r="F1056" s="11" t="n">
        <x:v>6.76</x:v>
      </x:c>
      <x:c r="G1056" s="11" t="n">
        <x:v>4281.88</x:v>
      </x:c>
      <x:c r="H1056" s="23" t="n">
        <x:v>0.00020885818167611003</x:v>
      </x:c>
      <x:c r="I1056" s="23" t="n">
        <x:v>0.8028176679063697</x:v>
      </x:c>
      <x:c r="J1056" s="2" t="n">
        <x:v>304</x:v>
      </x:c>
      <x:c r="K1056" s="2"/>
      <x:c r="L1056" s="2"/>
    </x:row>
    <x:row r="1057" ht="22" customHeight="1">
      <x:c r="A1057" s="2"/>
      <x:c r="B1057" s="2" t="n">
        <x:v>1024</x:v>
      </x:c>
      <x:c r="C1057" s="2" t="str">
        <x:v>84969</x:v>
      </x:c>
      <x:c r="D1057" s="2" t="str">
        <x:v>BOX OF 6 ASSORTED COLOUR TEASPOONS</x:v>
      </x:c>
      <x:c r="E1057" s="11" t="n">
        <x:v>4288.43</x:v>
      </x:c>
      <x:c r="F1057" s="11" t="n">
        <x:v>21.25</x:v>
      </x:c>
      <x:c r="G1057" s="11" t="n">
        <x:v>4267.18</x:v>
      </x:c>
      <x:c r="H1057" s="23" t="n">
        <x:v>0.0002088479546068872</x:v>
      </x:c>
      <x:c r="I1057" s="23" t="n">
        <x:v>0.8030265158609765</x:v>
      </x:c>
      <x:c r="J1057" s="2" t="n">
        <x:v>341</x:v>
      </x:c>
      <x:c r="K1057" s="2"/>
      <x:c r="L1057" s="2"/>
    </x:row>
    <x:row r="1058" ht="22" customHeight="1">
      <x:c r="A1058" s="2"/>
      <x:c r="B1058" s="2" t="n">
        <x:v>1025</x:v>
      </x:c>
      <x:c r="C1058" s="2" t="str">
        <x:v>23050</x:v>
      </x:c>
      <x:c r="D1058" s="2" t="str">
        <x:v>RECYCLED ACAPULCO MAT GREEN</x:v>
      </x:c>
      <x:c r="E1058" s="11" t="n">
        <x:v>4286.55</x:v>
      </x:c>
      <x:c r="F1058" s="11" t="n">
        <x:v>8.25</x:v>
      </x:c>
      <x:c r="G1058" s="11" t="n">
        <x:v>4278.3</x:v>
      </x:c>
      <x:c r="H1058" s="23" t="n">
        <x:v>0.00020875639798717766</x:v>
      </x:c>
      <x:c r="I1058" s="23" t="n">
        <x:v>0.8032352722589637</x:v>
      </x:c>
      <x:c r="J1058" s="2" t="n">
        <x:v>205</x:v>
      </x:c>
      <x:c r="K1058" s="2"/>
      <x:c r="L1058" s="2"/>
    </x:row>
    <x:row r="1059" ht="22" customHeight="1">
      <x:c r="A1059" s="2"/>
      <x:c r="B1059" s="2" t="n">
        <x:v>1026</x:v>
      </x:c>
      <x:c r="C1059" s="2" t="str">
        <x:v>20966</x:v>
      </x:c>
      <x:c r="D1059" s="2" t="str">
        <x:v>SANDWICH BATH SPONGE</x:v>
      </x:c>
      <x:c r="E1059" s="11" t="n">
        <x:v>4282.74</x:v>
      </x:c>
      <x:c r="F1059" s="11" t="n">
        <x:v>1.25</x:v>
      </x:c>
      <x:c r="G1059" s="11" t="n">
        <x:v>4281.49</x:v>
      </x:c>
      <x:c r="H1059" s="23" t="n">
        <x:v>0.00020857084973127692</x:v>
      </x:c>
      <x:c r="I1059" s="23" t="n">
        <x:v>0.803443843108695</x:v>
      </x:c>
      <x:c r="J1059" s="2" t="n">
        <x:v>420</x:v>
      </x:c>
      <x:c r="K1059" s="2"/>
      <x:c r="L1059" s="2"/>
    </x:row>
    <x:row r="1060" ht="22" customHeight="1">
      <x:c r="A1060" s="2"/>
      <x:c r="B1060" s="2" t="n">
        <x:v>1027</x:v>
      </x:c>
      <x:c r="C1060" s="2" t="str">
        <x:v>22723</x:v>
      </x:c>
      <x:c r="D1060" s="2" t="str">
        <x:v>SET OF 6 HERB TINS SKETCHBOOK</x:v>
      </x:c>
      <x:c r="E1060" s="11" t="n">
        <x:v>4282.570000000001</x:v>
      </x:c>
      <x:c r="F1060" s="11" t="n">
        <x:v>7.9</x:v>
      </x:c>
      <x:c r="G1060" s="11" t="n">
        <x:v>4274.67</x:v>
      </x:c>
      <x:c r="H1060" s="23" t="n">
        <x:v>0.0002085625706752394</x:v>
      </x:c>
      <x:c r="I1060" s="23" t="n">
        <x:v>0.8036524056793702</x:v>
      </x:c>
      <x:c r="J1060" s="2" t="n">
        <x:v>295</x:v>
      </x:c>
      <x:c r="K1060" s="2"/>
      <x:c r="L1060" s="2"/>
    </x:row>
    <x:row r="1061" ht="22" customHeight="1">
      <x:c r="A1061" s="2"/>
      <x:c r="B1061" s="2" t="n">
        <x:v>1028</x:v>
      </x:c>
      <x:c r="C1061" s="2" t="str">
        <x:v>22285</x:v>
      </x:c>
      <x:c r="D1061" s="2" t="str">
        <x:v>HANGING HEN ON NEST DECORATION</x:v>
      </x:c>
      <x:c r="E1061" s="11" t="n">
        <x:v>4281.009999999999</x:v>
      </x:c>
      <x:c r="F1061" s="11" t="n">
        <x:v>19.799999999999997</x:v>
      </x:c>
      <x:c r="G1061" s="11" t="n">
        <x:v>4261.21</x:v>
      </x:c>
      <x:c r="H1061" s="23" t="n">
        <x:v>0.00020848659816101228</x:v>
      </x:c>
      <x:c r="I1061" s="23" t="n">
        <x:v>0.8038608922775312</x:v>
      </x:c>
      <x:c r="J1061" s="2" t="n">
        <x:v>261</x:v>
      </x:c>
      <x:c r="K1061" s="2"/>
      <x:c r="L1061" s="2"/>
    </x:row>
    <x:row r="1062" ht="22" customHeight="1">
      <x:c r="A1062" s="2"/>
      <x:c r="B1062" s="2" t="n">
        <x:v>1029</x:v>
      </x:c>
      <x:c r="C1062" s="2" t="str">
        <x:v>84950</x:v>
      </x:c>
      <x:c r="D1062" s="2" t="str">
        <x:v>ASSORTED COLOUR T-LIGHT HOLDER</x:v>
      </x:c>
      <x:c r="E1062" s="11" t="n">
        <x:v>4279.07</x:v>
      </x:c>
      <x:c r="F1062" s="11" t="n">
        <x:v>44.5</x:v>
      </x:c>
      <x:c r="G1062" s="11" t="n">
        <x:v>4234.57</x:v>
      </x:c>
      <x:c r="H1062" s="23" t="n">
        <x:v>0.00020839211952152482</x:v>
      </x:c>
      <x:c r="I1062" s="23" t="n">
        <x:v>0.8040692843970527</x:v>
      </x:c>
      <x:c r="J1062" s="2" t="n">
        <x:v>274</x:v>
      </x:c>
      <x:c r="K1062" s="2"/>
      <x:c r="L1062" s="2"/>
    </x:row>
    <x:row r="1063" ht="22" customHeight="1">
      <x:c r="A1063" s="2"/>
      <x:c r="B1063" s="2" t="n">
        <x:v>1030</x:v>
      </x:c>
      <x:c r="C1063" s="2" t="str">
        <x:v>23237</x:v>
      </x:c>
      <x:c r="D1063" s="2" t="str">
        <x:v>SET OF 4 KNICK KNACK TINS LEAF</x:v>
      </x:c>
      <x:c r="E1063" s="11" t="n">
        <x:v>4278.54</x:v>
      </x:c>
      <x:c r="F1063" s="11" t="n">
        <x:v>69.35000000000001</x:v>
      </x:c>
      <x:c r="G1063" s="11" t="n">
        <x:v>4209.1900000000005</x:v>
      </x:c>
      <x:c r="H1063" s="23" t="n">
        <x:v>0.0002083663083468195</x:v>
      </x:c>
      <x:c r="I1063" s="23" t="n">
        <x:v>0.8042776507053996</x:v>
      </x:c>
      <x:c r="J1063" s="2" t="n">
        <x:v>177</x:v>
      </x:c>
      <x:c r="K1063" s="2"/>
      <x:c r="L1063" s="2"/>
    </x:row>
    <x:row r="1064" ht="22" customHeight="1">
      <x:c r="A1064" s="2"/>
      <x:c r="B1064" s="2" t="n">
        <x:v>1031</x:v>
      </x:c>
      <x:c r="C1064" s="2" t="str">
        <x:v>22312</x:v>
      </x:c>
      <x:c r="D1064" s="2" t="str">
        <x:v>OFFICE MUG WARMER POLKADOT</x:v>
      </x:c>
      <x:c r="E1064" s="11" t="n">
        <x:v>4277.650000000001</x:v>
      </x:c>
      <x:c r="F1064" s="11" t="n">
        <x:v>81.65000000000002</x:v>
      </x:c>
      <x:c r="G1064" s="11" t="n">
        <x:v>4196</x:v>
      </x:c>
      <x:c r="H1064" s="23" t="n">
        <x:v>0.00020832296505344638</x:v>
      </x:c>
      <x:c r="I1064" s="23" t="n">
        <x:v>0.804485973670453</x:v>
      </x:c>
      <x:c r="J1064" s="2" t="n">
        <x:v>269</x:v>
      </x:c>
      <x:c r="K1064" s="2"/>
      <x:c r="L1064" s="2"/>
    </x:row>
    <x:row r="1065" ht="22" customHeight="1">
      <x:c r="A1065" s="2"/>
      <x:c r="B1065" s="2" t="n">
        <x:v>1032</x:v>
      </x:c>
      <x:c r="C1065" s="2" t="str">
        <x:v>72802B</x:v>
      </x:c>
      <x:c r="D1065" s="2" t="str">
        <x:v>check</x:v>
      </x:c>
      <x:c r="E1065" s="11" t="n">
        <x:v>4263.22</x:v>
      </x:c>
      <x:c r="F1065" s="11" t="n">
        <x:v>679.24</x:v>
      </x:c>
      <x:c r="G1065" s="11" t="n">
        <x:v>3583.98</x:v>
      </x:c>
      <x:c r="H1065" s="23" t="n">
        <x:v>0.00020762021929684608</x:v>
      </x:c>
      <x:c r="I1065" s="23" t="n">
        <x:v>0.8046935938897499</x:v>
      </x:c>
      <x:c r="J1065" s="2" t="n">
        <x:v>212</x:v>
      </x:c>
      <x:c r="K1065" s="2"/>
      <x:c r="L1065" s="2"/>
    </x:row>
    <x:row r="1066" ht="22" customHeight="1">
      <x:c r="A1066" s="2"/>
      <x:c r="B1066" s="2" t="n">
        <x:v>1033</x:v>
      </x:c>
      <x:c r="C1066" s="2" t="str">
        <x:v>20665</x:v>
      </x:c>
      <x:c r="D1066" s="2" t="str">
        <x:v>RED RETROSPOT PURSE </x:v>
      </x:c>
      <x:c r="E1066" s="11" t="n">
        <x:v>4262.240000000001</x:v>
      </x:c>
      <x:c r="F1066" s="11" t="n">
        <x:v>94.40000000000002</x:v>
      </x:c>
      <x:c r="G1066" s="11" t="n">
        <x:v>4167.84</x:v>
      </x:c>
      <x:c r="H1066" s="23" t="n">
        <x:v>0.00020757249297380603</x:v>
      </x:c>
      <x:c r="I1066" s="23" t="n">
        <x:v>0.8049011663827237</x:v>
      </x:c>
      <x:c r="J1066" s="2" t="n">
        <x:v>348</x:v>
      </x:c>
      <x:c r="K1066" s="2"/>
      <x:c r="L1066" s="2"/>
    </x:row>
    <x:row r="1067" ht="22" customHeight="1">
      <x:c r="A1067" s="2"/>
      <x:c r="B1067" s="2" t="n">
        <x:v>1034</x:v>
      </x:c>
      <x:c r="C1067" s="2" t="str">
        <x:v>22744</x:v>
      </x:c>
      <x:c r="D1067" s="2" t="str">
        <x:v>MAKE YOUR OWN MONSOON CARD KIT</x:v>
      </x:c>
      <x:c r="E1067" s="11" t="n">
        <x:v>4260.71</x:v>
      </x:c>
      <x:c r="F1067" s="11" t="n">
        <x:v>163.7</x:v>
      </x:c>
      <x:c r="G1067" s="11" t="n">
        <x:v>4097.01</x:v>
      </x:c>
      <x:c r="H1067" s="23" t="n">
        <x:v>0.0002074979814694679</x:v>
      </x:c>
      <x:c r="I1067" s="23" t="n">
        <x:v>0.8051086643641931</x:v>
      </x:c>
      <x:c r="J1067" s="2" t="n">
        <x:v>300</x:v>
      </x:c>
      <x:c r="K1067" s="2"/>
      <x:c r="L1067" s="2"/>
    </x:row>
    <x:row r="1068" ht="22" customHeight="1">
      <x:c r="A1068" s="2"/>
      <x:c r="B1068" s="2" t="n">
        <x:v>1035</x:v>
      </x:c>
      <x:c r="C1068" s="2" t="str">
        <x:v>22530</x:v>
      </x:c>
      <x:c r="D1068" s="2" t="str">
        <x:v>MAGIC DRAWING SLATE DOLLY GIRL </x:v>
      </x:c>
      <x:c r="E1068" s="11" t="n">
        <x:v>4258.77</x:v>
      </x:c>
      <x:c r="F1068" s="11" t="n">
        <x:v>20.16</x:v>
      </x:c>
      <x:c r="G1068" s="11" t="n">
        <x:v>4238.61</x:v>
      </x:c>
      <x:c r="H1068" s="23" t="n">
        <x:v>0.00020740350282998045</x:v>
      </x:c>
      <x:c r="I1068" s="23" t="n">
        <x:v>0.8053160678670231</x:v>
      </x:c>
      <x:c r="J1068" s="2" t="n">
        <x:v>468</x:v>
      </x:c>
      <x:c r="K1068" s="2"/>
      <x:c r="L1068" s="2"/>
    </x:row>
    <x:row r="1069" ht="22" customHeight="1">
      <x:c r="A1069" s="2"/>
      <x:c r="B1069" s="2" t="n">
        <x:v>1036</x:v>
      </x:c>
      <x:c r="C1069" s="2" t="str">
        <x:v>20982</x:v>
      </x:c>
      <x:c r="D1069" s="2" t="str">
        <x:v>12 PENCILS TALL TUBE SKULLS</x:v>
      </x:c>
      <x:c r="E1069" s="11" t="n">
        <x:v>4254</x:v>
      </x:c>
      <x:c r="F1069" s="11" t="n">
        <x:v>24.65</x:v>
      </x:c>
      <x:c r="G1069" s="11" t="n">
        <x:v>4229.349999999999</x:v>
      </x:c>
      <x:c r="H1069" s="23" t="n">
        <x:v>0.0002071712022576323</x:v>
      </x:c>
      <x:c r="I1069" s="23" t="n">
        <x:v>0.8055232390692808</x:v>
      </x:c>
      <x:c r="J1069" s="2" t="n">
        <x:v>576</x:v>
      </x:c>
      <x:c r="K1069" s="2"/>
      <x:c r="L1069" s="2"/>
    </x:row>
    <x:row r="1070" ht="22" customHeight="1">
      <x:c r="A1070" s="2"/>
      <x:c r="B1070" s="2" t="n">
        <x:v>1037</x:v>
      </x:c>
      <x:c r="C1070" s="2" t="str">
        <x:v>21556</x:v>
      </x:c>
      <x:c r="D1070" s="2" t="str">
        <x:v>CERAMIC STRAWBERRY MONEY BOX</x:v>
      </x:c>
      <x:c r="E1070" s="11" t="n">
        <x:v>4249.51</x:v>
      </x:c>
      <x:c r="F1070" s="11" t="n">
        <x:v>10.2</x:v>
      </x:c>
      <x:c r="G1070" s="11" t="n">
        <x:v>4239.3099999999995</x:v>
      </x:c>
      <x:c r="H1070" s="23" t="n">
        <x:v>0.00020695253777758136</x:v>
      </x:c>
      <x:c r="I1070" s="23" t="n">
        <x:v>0.8057301916070584</x:v>
      </x:c>
      <x:c r="J1070" s="2" t="n">
        <x:v>293</x:v>
      </x:c>
      <x:c r="K1070" s="2"/>
      <x:c r="L1070" s="2"/>
    </x:row>
    <x:row r="1071" ht="22" customHeight="1">
      <x:c r="A1071" s="2"/>
      <x:c r="B1071" s="2" t="n">
        <x:v>1038</x:v>
      </x:c>
      <x:c r="C1071" s="2" t="str">
        <x:v>22497</x:v>
      </x:c>
      <x:c r="D1071" s="2" t="str">
        <x:v>SET OF 2 TINS VINTAGE BATHROOM </x:v>
      </x:c>
      <x:c r="E1071" s="11" t="n">
        <x:v>4243.32</x:v>
      </x:c>
      <x:c r="F1071" s="11" t="n">
        <x:v>21.25</x:v>
      </x:c>
      <x:c r="G1071" s="11" t="n">
        <x:v>4222.07</x:v>
      </x:c>
      <x:c r="H1071" s="23" t="n">
        <x:v>0.00020665108273715472</x:v>
      </x:c>
      <x:c r="I1071" s="23" t="n">
        <x:v>0.8059368426897956</x:v>
      </x:c>
      <x:c r="J1071" s="2" t="n">
        <x:v>279</x:v>
      </x:c>
      <x:c r="K1071" s="2"/>
      <x:c r="L1071" s="2"/>
    </x:row>
    <x:row r="1072" ht="22" customHeight="1">
      <x:c r="A1072" s="2"/>
      <x:c r="B1072" s="2" t="n">
        <x:v>1039</x:v>
      </x:c>
      <x:c r="C1072" s="2" t="str">
        <x:v>21068</x:v>
      </x:c>
      <x:c r="D1072" s="2" t="str">
        <x:v>VINTAGE BILLBOARD LOVE/HATE MUG</x:v>
      </x:c>
      <x:c r="E1072" s="11" t="n">
        <x:v>4227.13</x:v>
      </x:c>
      <x:c r="F1072" s="11" t="n">
        <x:v>98.33000000000001</x:v>
      </x:c>
      <x:c r="G1072" s="11" t="n">
        <x:v>4128.8</x:v>
      </x:c>
      <x:c r="H1072" s="23" t="n">
        <x:v>0.00020586262440040084</x:v>
      </x:c>
      <x:c r="I1072" s="23" t="n">
        <x:v>0.806142705314196</x:v>
      </x:c>
      <x:c r="J1072" s="2" t="n">
        <x:v>373</x:v>
      </x:c>
      <x:c r="K1072" s="2"/>
      <x:c r="L1072" s="2"/>
    </x:row>
    <x:row r="1073" ht="22" customHeight="1">
      <x:c r="A1073" s="2"/>
      <x:c r="B1073" s="2" t="n">
        <x:v>1040</x:v>
      </x:c>
      <x:c r="C1073" s="2" t="str">
        <x:v>21355</x:v>
      </x:c>
      <x:c r="D1073" s="2" t="str">
        <x:v>TOAST ITS - I LOVE YOU </x:v>
      </x:c>
      <x:c r="E1073" s="11" t="n">
        <x:v>4225.55</x:v>
      </x:c>
      <x:c r="F1073" s="11" t="n">
        <x:v>60</x:v>
      </x:c>
      <x:c r="G1073" s="11" t="n">
        <x:v>4165.55</x:v>
      </x:c>
      <x:c r="H1073" s="23" t="n">
        <x:v>0.00020578567787958113</x:v>
      </x:c>
      <x:c r="I1073" s="23" t="n">
        <x:v>0.8063484909920755</x:v>
      </x:c>
      <x:c r="J1073" s="2" t="n">
        <x:v>341</x:v>
      </x:c>
      <x:c r="K1073" s="2"/>
      <x:c r="L1073" s="2"/>
    </x:row>
    <x:row r="1074" ht="22" customHeight="1">
      <x:c r="A1074" s="2"/>
      <x:c r="B1074" s="2" t="n">
        <x:v>1041</x:v>
      </x:c>
      <x:c r="C1074" s="2" t="str">
        <x:v>72807A</x:v>
      </x:c>
      <x:c r="D1074" s="2" t="str">
        <x:v>AMAZON</x:v>
      </x:c>
      <x:c r="E1074" s="11" t="n">
        <x:v>4217.79</x:v>
      </x:c>
      <x:c r="F1074" s="11" t="n">
        <x:v>72.25</x:v>
      </x:c>
      <x:c r="G1074" s="11" t="n">
        <x:v>4145.54</x:v>
      </x:c>
      <x:c r="H1074" s="23" t="n">
        <x:v>0.00020540776332163114</x:v>
      </x:c>
      <x:c r="I1074" s="23" t="n">
        <x:v>0.8065538987553972</x:v>
      </x:c>
      <x:c r="J1074" s="2" t="n">
        <x:v>216</x:v>
      </x:c>
      <x:c r="K1074" s="2"/>
      <x:c r="L1074" s="2"/>
    </x:row>
    <x:row r="1075" ht="22" customHeight="1">
      <x:c r="A1075" s="2"/>
      <x:c r="B1075" s="2" t="n">
        <x:v>1042</x:v>
      </x:c>
      <x:c r="C1075" s="2" t="str">
        <x:v>23089</x:v>
      </x:c>
      <x:c r="D1075" s="2" t="str">
        <x:v>GLASS BON BON JAR</x:v>
      </x:c>
      <x:c r="E1075" s="11" t="n">
        <x:v>4217.73</x:v>
      </x:c>
      <x:c r="F1075" s="11" t="n">
        <x:v>25.65</x:v>
      </x:c>
      <x:c r="G1075" s="11" t="n">
        <x:v>4192.08</x:v>
      </x:c>
      <x:c r="H1075" s="23" t="n">
        <x:v>0.00020540484130185318</x:v>
      </x:c>
      <x:c r="I1075" s="23" t="n">
        <x:v>0.806759303596699</x:v>
      </x:c>
      <x:c r="J1075" s="2" t="n">
        <x:v>225</x:v>
      </x:c>
      <x:c r="K1075" s="2"/>
      <x:c r="L1075" s="2"/>
    </x:row>
    <x:row r="1076" ht="22" customHeight="1">
      <x:c r="A1076" s="2"/>
      <x:c r="B1076" s="2" t="n">
        <x:v>1043</x:v>
      </x:c>
      <x:c r="C1076" s="2" t="str">
        <x:v>22851</x:v>
      </x:c>
      <x:c r="D1076" s="2" t="str">
        <x:v>SET 20 NAPKINS FAIRY CAKES DESIGN </x:v>
      </x:c>
      <x:c r="E1076" s="11" t="n">
        <x:v>4214.929999999999</x:v>
      </x:c>
      <x:c r="F1076" s="11" t="n">
        <x:v>66.3</x:v>
      </x:c>
      <x:c r="G1076" s="11" t="n">
        <x:v>4148.63</x:v>
      </x:c>
      <x:c r="H1076" s="23" t="n">
        <x:v>0.00020526848037888152</x:v>
      </x:c>
      <x:c r="I1076" s="23" t="n">
        <x:v>0.8069645720770778</x:v>
      </x:c>
      <x:c r="J1076" s="2" t="n">
        <x:v>523</x:v>
      </x:c>
      <x:c r="K1076" s="2"/>
      <x:c r="L1076" s="2"/>
    </x:row>
    <x:row r="1077" ht="22" customHeight="1">
      <x:c r="A1077" s="2"/>
      <x:c r="B1077" s="2" t="n">
        <x:v>1044</x:v>
      </x:c>
      <x:c r="C1077" s="2" t="str">
        <x:v>22600</x:v>
      </x:c>
      <x:c r="D1077" s="2" t="str">
        <x:v>CHRISTMAS RETROSPOT STAR WOOD</x:v>
      </x:c>
      <x:c r="E1077" s="11" t="n">
        <x:v>4212.45</x:v>
      </x:c>
      <x:c r="F1077" s="11" t="n">
        <x:v>23.799999999999997</x:v>
      </x:c>
      <x:c r="G1077" s="11" t="n">
        <x:v>4188.65</x:v>
      </x:c>
      <x:c r="H1077" s="23" t="n">
        <x:v>0.00020514770356139237</x:v>
      </x:c>
      <x:c r="I1077" s="23" t="n">
        <x:v>0.8071697197806392</x:v>
      </x:c>
      <x:c r="J1077" s="2" t="n">
        <x:v>429</x:v>
      </x:c>
      <x:c r="K1077" s="2"/>
      <x:c r="L1077" s="2"/>
    </x:row>
    <x:row r="1078" ht="22" customHeight="1">
      <x:c r="A1078" s="2"/>
      <x:c r="B1078" s="2" t="n">
        <x:v>1045</x:v>
      </x:c>
      <x:c r="C1078" s="2" t="str">
        <x:v>21707</x:v>
      </x:c>
      <x:c r="D1078" s="2" t="str">
        <x:v>FOLDING UMBRELLA BLACKBLUE POLKADOT</x:v>
      </x:c>
      <x:c r="E1078" s="11" t="n">
        <x:v>4209.7</x:v>
      </x:c>
      <x:c r="F1078" s="11" t="n">
        <x:v>0</x:v>
      </x:c>
      <x:c r="G1078" s="11" t="n">
        <x:v>4209.7</x:v>
      </x:c>
      <x:c r="H1078" s="23" t="n">
        <x:v>0.00020501377765490237</x:v>
      </x:c>
      <x:c r="I1078" s="23" t="n">
        <x:v>0.8073747335582941</x:v>
      </x:c>
      <x:c r="J1078" s="2" t="n">
        <x:v>172</x:v>
      </x:c>
      <x:c r="K1078" s="2"/>
      <x:c r="L1078" s="2"/>
    </x:row>
    <x:row r="1079" ht="22" customHeight="1">
      <x:c r="A1079" s="2"/>
      <x:c r="B1079" s="2" t="n">
        <x:v>1046</x:v>
      </x:c>
      <x:c r="C1079" s="2" t="str">
        <x:v>23012</x:v>
      </x:c>
      <x:c r="D1079" s="2" t="str">
        <x:v>GLASS APOTHECARY BOTTLE PERFUME</x:v>
      </x:c>
      <x:c r="E1079" s="11" t="n">
        <x:v>4208.96</x:v>
      </x:c>
      <x:c r="F1079" s="11" t="n">
        <x:v>31.6</x:v>
      </x:c>
      <x:c r="G1079" s="11" t="n">
        <x:v>4177.360000000001</x:v>
      </x:c>
      <x:c r="H1079" s="23" t="n">
        <x:v>0.00020497773941097414</x:v>
      </x:c>
      <x:c r="I1079" s="23" t="n">
        <x:v>0.8075797112977051</x:v>
      </x:c>
      <x:c r="J1079" s="2" t="n">
        <x:v>246</x:v>
      </x:c>
      <x:c r="K1079" s="2"/>
      <x:c r="L1079" s="2"/>
    </x:row>
    <x:row r="1080" ht="22" customHeight="1">
      <x:c r="A1080" s="2"/>
      <x:c r="B1080" s="2" t="n">
        <x:v>1047</x:v>
      </x:c>
      <x:c r="C1080" s="2" t="str">
        <x:v>22797</x:v>
      </x:c>
      <x:c r="D1080" s="2" t="str">
        <x:v>CHEST OF DRAWERS GINGHAM HEART </x:v>
      </x:c>
      <x:c r="E1080" s="11" t="n">
        <x:v>4205.5599999999995</x:v>
      </x:c>
      <x:c r="F1080" s="11" t="n">
        <x:v>411.75</x:v>
      </x:c>
      <x:c r="G1080" s="11" t="n">
        <x:v>3793.81</x:v>
      </x:c>
      <x:c r="H1080" s="23" t="n">
        <x:v>0.00020481215829022285</x:v>
      </x:c>
      <x:c r="I1080" s="23" t="n">
        <x:v>0.8077845234559954</x:v>
      </x:c>
      <x:c r="J1080" s="2" t="n">
        <x:v>140</x:v>
      </x:c>
      <x:c r="K1080" s="2"/>
      <x:c r="L1080" s="2"/>
    </x:row>
    <x:row r="1081" ht="22" customHeight="1">
      <x:c r="A1081" s="2"/>
      <x:c r="B1081" s="2" t="n">
        <x:v>1048</x:v>
      </x:c>
      <x:c r="C1081" s="2" t="str">
        <x:v>21470</x:v>
      </x:c>
      <x:c r="D1081" s="2" t="str">
        <x:v>FLOWER VINE RAFFIA FOOD COVER</x:v>
      </x:c>
      <x:c r="E1081" s="11" t="n">
        <x:v>4202.18</x:v>
      </x:c>
      <x:c r="F1081" s="11" t="n">
        <x:v>33.75</x:v>
      </x:c>
      <x:c r="G1081" s="11" t="n">
        <x:v>4168.43</x:v>
      </x:c>
      <x:c r="H1081" s="23" t="n">
        <x:v>0.00020464755117606426</x:v>
      </x:c>
      <x:c r="I1081" s="23" t="n">
        <x:v>0.8079891710071715</x:v>
      </x:c>
      <x:c r="J1081" s="2" t="n">
        <x:v>319</x:v>
      </x:c>
      <x:c r="K1081" s="2"/>
      <x:c r="L1081" s="2"/>
    </x:row>
    <x:row r="1082" ht="22" customHeight="1">
      <x:c r="A1082" s="2"/>
      <x:c r="B1082" s="2" t="n">
        <x:v>1049</x:v>
      </x:c>
      <x:c r="C1082" s="2" t="str">
        <x:v>23144</x:v>
      </x:c>
      <x:c r="D1082" s="2" t="str">
        <x:v>ZINC T-LIGHT HOLDER STARS SMALL</x:v>
      </x:c>
      <x:c r="E1082" s="11" t="n">
        <x:v>4197.83</x:v>
      </x:c>
      <x:c r="F1082" s="11" t="n">
        <x:v>36.519999999999996</x:v>
      </x:c>
      <x:c r="G1082" s="11" t="n">
        <x:v>4161.3099999999995</x:v>
      </x:c>
      <x:c r="H1082" s="23" t="n">
        <x:v>0.00020443570474216186</x:v>
      </x:c>
      <x:c r="I1082" s="23" t="n">
        <x:v>0.8081936067119136</x:v>
      </x:c>
      <x:c r="J1082" s="2" t="n">
        <x:v>274</x:v>
      </x:c>
      <x:c r="K1082" s="2"/>
      <x:c r="L1082" s="2"/>
    </x:row>
    <x:row r="1083" ht="22" customHeight="1">
      <x:c r="A1083" s="2"/>
      <x:c r="B1083" s="2" t="n">
        <x:v>1050</x:v>
      </x:c>
      <x:c r="C1083" s="2" t="str">
        <x:v>21609</x:v>
      </x:c>
      <x:c r="D1083" s="2" t="str">
        <x:v>SET 12 LAVENDER  BOTANICAL T-LIGHTS</x:v>
      </x:c>
      <x:c r="E1083" s="11" t="n">
        <x:v>4195.14</x:v>
      </x:c>
      <x:c r="F1083" s="11" t="n">
        <x:v>0</x:v>
      </x:c>
      <x:c r="G1083" s="11" t="n">
        <x:v>4195.14</x:v>
      </x:c>
      <x:c r="H1083" s="23" t="n">
        <x:v>0.00020430470085544983</x:v>
      </x:c>
      <x:c r="I1083" s="23" t="n">
        <x:v>0.8083979114127691</x:v>
      </x:c>
      <x:c r="J1083" s="2" t="n">
        <x:v>218</x:v>
      </x:c>
      <x:c r="K1083" s="2"/>
      <x:c r="L1083" s="2"/>
    </x:row>
    <x:row r="1084" ht="22" customHeight="1">
      <x:c r="A1084" s="2"/>
      <x:c r="B1084" s="2" t="n">
        <x:v>1051</x:v>
      </x:c>
      <x:c r="C1084" s="2" t="str">
        <x:v>21143</x:v>
      </x:c>
      <x:c r="D1084" s="2" t="str">
        <x:v>ANTIQUE GLASS HEART DECORATION </x:v>
      </x:c>
      <x:c r="E1084" s="11" t="n">
        <x:v>4190.099999999999</x:v>
      </x:c>
      <x:c r="F1084" s="11" t="n">
        <x:v>37.05</x:v>
      </x:c>
      <x:c r="G1084" s="11" t="n">
        <x:v>4153.049999999999</x:v>
      </x:c>
      <x:c r="H1084" s="23" t="n">
        <x:v>0.00020405925119410084</x:v>
      </x:c>
      <x:c r="I1084" s="23" t="n">
        <x:v>0.8086019706639632</x:v>
      </x:c>
      <x:c r="J1084" s="2" t="n">
        <x:v>182</x:v>
      </x:c>
      <x:c r="K1084" s="2"/>
      <x:c r="L1084" s="2"/>
    </x:row>
    <x:row r="1085" ht="22" customHeight="1">
      <x:c r="A1085" s="2"/>
      <x:c r="B1085" s="2" t="n">
        <x:v>1052</x:v>
      </x:c>
      <x:c r="C1085" s="2" t="str">
        <x:v>21474</x:v>
      </x:c>
      <x:c r="D1085" s="2" t="str">
        <x:v>SWEETHEART CREAM STEEL FOLDIN BENCH</x:v>
      </x:c>
      <x:c r="E1085" s="11" t="n">
        <x:v>4189.5</x:v>
      </x:c>
      <x:c r="F1085" s="11" t="n">
        <x:v>139.64999999999998</x:v>
      </x:c>
      <x:c r="G1085" s="11" t="n">
        <x:v>4049.85</x:v>
      </x:c>
      <x:c r="H1085" s="23" t="n">
        <x:v>0.00020403003099632122</x:v>
      </x:c>
      <x:c r="I1085" s="23" t="n">
        <x:v>0.8088060006949596</x:v>
      </x:c>
      <x:c r="J1085" s="2" t="n">
        <x:v>94</x:v>
      </x:c>
      <x:c r="K1085" s="2"/>
      <x:c r="L1085" s="2"/>
    </x:row>
    <x:row r="1086" ht="22" customHeight="1">
      <x:c r="A1086" s="2"/>
      <x:c r="B1086" s="2" t="n">
        <x:v>1053</x:v>
      </x:c>
      <x:c r="C1086" s="2" t="str">
        <x:v>22926</x:v>
      </x:c>
      <x:c r="D1086" s="2" t="str">
        <x:v>IVORY GIANT GARDEN THERMOMETER</x:v>
      </x:c>
      <x:c r="E1086" s="11" t="n">
        <x:v>4174.110000000001</x:v>
      </x:c>
      <x:c r="F1086" s="11" t="n">
        <x:v>89.25</x:v>
      </x:c>
      <x:c r="G1086" s="11" t="n">
        <x:v>4084.86</x:v>
      </x:c>
      <x:c r="H1086" s="23" t="n">
        <x:v>0.00020328053292327354</x:v>
      </x:c>
      <x:c r="I1086" s="23" t="n">
        <x:v>0.8090092812278828</x:v>
      </x:c>
      <x:c r="J1086" s="2" t="n">
        <x:v>216</x:v>
      </x:c>
      <x:c r="K1086" s="2"/>
      <x:c r="L1086" s="2"/>
    </x:row>
    <x:row r="1087" ht="22" customHeight="1">
      <x:c r="A1087" s="2"/>
      <x:c r="B1087" s="2" t="n">
        <x:v>1054</x:v>
      </x:c>
      <x:c r="C1087" s="2" t="str">
        <x:v>22833</x:v>
      </x:c>
      <x:c r="D1087" s="2" t="str">
        <x:v>HALL CABINET WITH 3 DRAWERS</x:v>
      </x:c>
      <x:c r="E1087" s="11" t="n">
        <x:v>4163.54</x:v>
      </x:c>
      <x:c r="F1087" s="11" t="n">
        <x:v>0</x:v>
      </x:c>
      <x:c r="G1087" s="11" t="n">
        <x:v>4163.54</x:v>
      </x:c>
      <x:c r="H1087" s="23" t="n">
        <x:v>0.00020276577043905556</x:v>
      </x:c>
      <x:c r="I1087" s="23" t="n">
        <x:v>0.8092120469983219</x:v>
      </x:c>
      <x:c r="J1087" s="2" t="n">
        <x:v>13</x:v>
      </x:c>
      <x:c r="K1087" s="2"/>
      <x:c r="L1087" s="2"/>
    </x:row>
    <x:row r="1088" ht="22" customHeight="1">
      <x:c r="A1088" s="2"/>
      <x:c r="B1088" s="2" t="n">
        <x:v>1055</x:v>
      </x:c>
      <x:c r="C1088" s="2" t="str">
        <x:v>22127</x:v>
      </x:c>
      <x:c r="D1088" s="2" t="str">
        <x:v>sold in set?</x:v>
      </x:c>
      <x:c r="E1088" s="11" t="n">
        <x:v>4160.61</x:v>
      </x:c>
      <x:c r="F1088" s="11" t="n">
        <x:v>122.31</x:v>
      </x:c>
      <x:c r="G1088" s="11" t="n">
        <x:v>4038.3</x:v>
      </x:c>
      <x:c r="H1088" s="23" t="n">
        <x:v>0.00020262307847323166</x:v>
      </x:c>
      <x:c r="I1088" s="23" t="n">
        <x:v>0.8094146700767951</x:v>
      </x:c>
      <x:c r="J1088" s="2" t="n">
        <x:v>155</x:v>
      </x:c>
      <x:c r="K1088" s="2"/>
      <x:c r="L1088" s="2"/>
    </x:row>
    <x:row r="1089" ht="22" customHeight="1">
      <x:c r="A1089" s="2"/>
      <x:c r="B1089" s="2" t="n">
        <x:v>1056</x:v>
      </x:c>
      <x:c r="C1089" s="2" t="str">
        <x:v>23110</x:v>
      </x:c>
      <x:c r="D1089" s="2" t="str">
        <x:v>PARISIENNE KEY CABINET </x:v>
      </x:c>
      <x:c r="E1089" s="11" t="n">
        <x:v>4158.68</x:v>
      </x:c>
      <x:c r="F1089" s="11" t="n">
        <x:v>293.25</x:v>
      </x:c>
      <x:c r="G1089" s="11" t="n">
        <x:v>3865.43</x:v>
      </x:c>
      <x:c r="H1089" s="23" t="n">
        <x:v>0.0002025290868370405</x:v>
      </x:c>
      <x:c r="I1089" s="23" t="n">
        <x:v>0.8096171991636322</x:v>
      </x:c>
      <x:c r="J1089" s="2" t="n">
        <x:v>255</x:v>
      </x:c>
      <x:c r="K1089" s="2"/>
      <x:c r="L1089" s="2"/>
    </x:row>
    <x:row r="1090" ht="22" customHeight="1">
      <x:c r="A1090" s="2"/>
      <x:c r="B1090" s="2" t="n">
        <x:v>1057</x:v>
      </x:c>
      <x:c r="C1090" s="2" t="str">
        <x:v>21590</x:v>
      </x:c>
      <x:c r="D1090" s="2" t="str">
        <x:v>KINGS CHOICE CIGAR BOX MATCHES </x:v>
      </x:c>
      <x:c r="E1090" s="11" t="n">
        <x:v>4151.28</x:v>
      </x:c>
      <x:c r="F1090" s="11" t="n">
        <x:v>32.5</x:v>
      </x:c>
      <x:c r="G1090" s="11" t="n">
        <x:v>4118.78</x:v>
      </x:c>
      <x:c r="H1090" s="23" t="n">
        <x:v>0.0002021687043977583</x:v>
      </x:c>
      <x:c r="I1090" s="23" t="n">
        <x:v>0.8098193678680299</x:v>
      </x:c>
      <x:c r="J1090" s="2" t="n">
        <x:v>286</x:v>
      </x:c>
      <x:c r="K1090" s="2"/>
      <x:c r="L1090" s="2"/>
    </x:row>
    <x:row r="1091" ht="22" customHeight="1">
      <x:c r="A1091" s="2"/>
      <x:c r="B1091" s="2" t="n">
        <x:v>1058</x:v>
      </x:c>
      <x:c r="C1091" s="2" t="str">
        <x:v>70006</x:v>
      </x:c>
      <x:c r="D1091" s="2" t="str">
        <x:v>LOVE HEART POCKET WARMER</x:v>
      </x:c>
      <x:c r="E1091" s="11" t="n">
        <x:v>4147.8099999999995</x:v>
      </x:c>
      <x:c r="F1091" s="11" t="n">
        <x:v>2.44</x:v>
      </x:c>
      <x:c r="G1091" s="11" t="n">
        <x:v>4145.37</x:v>
      </x:c>
      <x:c r="H1091" s="23" t="n">
        <x:v>0.0002019997142539327</x:v>
      </x:c>
      <x:c r="I1091" s="23" t="n">
        <x:v>0.8100213675822838</x:v>
      </x:c>
      <x:c r="J1091" s="2" t="n">
        <x:v>290</x:v>
      </x:c>
      <x:c r="K1091" s="2"/>
      <x:c r="L1091" s="2"/>
    </x:row>
    <x:row r="1092" ht="22" customHeight="1">
      <x:c r="A1092" s="2"/>
      <x:c r="B1092" s="2" t="n">
        <x:v>1059</x:v>
      </x:c>
      <x:c r="C1092" s="2" t="str">
        <x:v>23486</x:v>
      </x:c>
      <x:c r="D1092" s="2" t="str">
        <x:v>ANTIQUE HEART SHELF UNIT</x:v>
      </x:c>
      <x:c r="E1092" s="11" t="n">
        <x:v>4145.47</x:v>
      </x:c>
      <x:c r="F1092" s="11" t="n">
        <x:v>199.65</x:v>
      </x:c>
      <x:c r="G1092" s="11" t="n">
        <x:v>3945.82</x:v>
      </x:c>
      <x:c r="H1092" s="23" t="n">
        <x:v>0.00020188575548259216</x:v>
      </x:c>
      <x:c r="I1092" s="23" t="n">
        <x:v>0.8102232533377665</x:v>
      </x:c>
      <x:c r="J1092" s="2" t="n">
        <x:v>74</x:v>
      </x:c>
      <x:c r="K1092" s="2"/>
      <x:c r="L1092" s="2"/>
    </x:row>
    <x:row r="1093" ht="22" customHeight="1">
      <x:c r="A1093" s="2"/>
      <x:c r="B1093" s="2" t="n">
        <x:v>1060</x:v>
      </x:c>
      <x:c r="C1093" s="2" t="str">
        <x:v>23306</x:v>
      </x:c>
      <x:c r="D1093" s="2" t="str">
        <x:v>SET OF 36 PANTRY PAPER DOILIES</x:v>
      </x:c>
      <x:c r="E1093" s="11" t="n">
        <x:v>4123.38</x:v>
      </x:c>
      <x:c r="F1093" s="11" t="n">
        <x:v>10.149999999999999</x:v>
      </x:c>
      <x:c r="G1093" s="11" t="n">
        <x:v>4113.23</x:v>
      </x:c>
      <x:c r="H1093" s="23" t="n">
        <x:v>0.00020080996520100515</x:v>
      </x:c>
      <x:c r="I1093" s="23" t="n">
        <x:v>0.8104240633029675</x:v>
      </x:c>
      <x:c r="J1093" s="2" t="n">
        <x:v>277</x:v>
      </x:c>
      <x:c r="K1093" s="2"/>
      <x:c r="L1093" s="2"/>
    </x:row>
    <x:row r="1094" ht="22" customHeight="1">
      <x:c r="A1094" s="2"/>
      <x:c r="B1094" s="2" t="n">
        <x:v>1061</x:v>
      </x:c>
      <x:c r="C1094" s="2" t="str">
        <x:v>22125</x:v>
      </x:c>
      <x:c r="D1094" s="2" t="str">
        <x:v>UNION JACK HOT WATER BOTTLE </x:v>
      </x:c>
      <x:c r="E1094" s="11" t="n">
        <x:v>4118.84</x:v>
      </x:c>
      <x:c r="F1094" s="11" t="n">
        <x:v>314.85</x:v>
      </x:c>
      <x:c r="G1094" s="11" t="n">
        <x:v>3803.9900000000002</x:v>
      </x:c>
      <x:c r="H1094" s="23" t="n">
        <x:v>0.00020058886570447254</x:v>
      </x:c>
      <x:c r="I1094" s="23" t="n">
        <x:v>0.810624652168672</x:v>
      </x:c>
      <x:c r="J1094" s="2" t="n">
        <x:v>183</x:v>
      </x:c>
      <x:c r="K1094" s="2"/>
      <x:c r="L1094" s="2"/>
    </x:row>
    <x:row r="1095" ht="22" customHeight="1">
      <x:c r="A1095" s="2"/>
      <x:c r="B1095" s="2" t="n">
        <x:v>1062</x:v>
      </x:c>
      <x:c r="C1095" s="2" t="str">
        <x:v>22807</x:v>
      </x:c>
      <x:c r="D1095" s="2" t="str">
        <x:v>SET OF 6 T-LIGHTS TOADSTOOLS</x:v>
      </x:c>
      <x:c r="E1095" s="11" t="n">
        <x:v>4102.91</x:v>
      </x:c>
      <x:c r="F1095" s="11" t="n">
        <x:v>51.25</x:v>
      </x:c>
      <x:c r="G1095" s="11" t="n">
        <x:v>4051.6600000000003</x:v>
      </x:c>
      <x:c r="H1095" s="23" t="n">
        <x:v>0.00019981306945342315</x:v>
      </x:c>
      <x:c r="I1095" s="23" t="n">
        <x:v>0.8108244652381253</x:v>
      </x:c>
      <x:c r="J1095" s="2" t="n">
        <x:v>294</x:v>
      </x:c>
      <x:c r="K1095" s="2"/>
      <x:c r="L1095" s="2"/>
    </x:row>
    <x:row r="1096" ht="22" customHeight="1">
      <x:c r="A1096" s="2"/>
      <x:c r="B1096" s="2" t="n">
        <x:v>1063</x:v>
      </x:c>
      <x:c r="C1096" s="2" t="str">
        <x:v>23255</x:v>
      </x:c>
      <x:c r="D1096" s="2" t="str">
        <x:v>CHILDRENS CUTLERY CIRCUS PARADE</x:v>
      </x:c>
      <x:c r="E1096" s="11" t="n">
        <x:v>4101.37</x:v>
      </x:c>
      <x:c r="F1096" s="11" t="n">
        <x:v>37.35</x:v>
      </x:c>
      <x:c r="G1096" s="11" t="n">
        <x:v>4064.02</x:v>
      </x:c>
      <x:c r="H1096" s="23" t="n">
        <x:v>0.00019973807094578874</x:v>
      </x:c>
      <x:c r="I1096" s="23" t="n">
        <x:v>0.8110242033090711</x:v>
      </x:c>
      <x:c r="J1096" s="2" t="n">
        <x:v>158</x:v>
      </x:c>
      <x:c r="K1096" s="2"/>
      <x:c r="L1096" s="2"/>
    </x:row>
    <x:row r="1097" ht="22" customHeight="1">
      <x:c r="A1097" s="2"/>
      <x:c r="B1097" s="2" t="n">
        <x:v>1064</x:v>
      </x:c>
      <x:c r="C1097" s="2" t="str">
        <x:v>84596B</x:v>
      </x:c>
      <x:c r="D1097" s="2" t="str">
        <x:v>SMALL DOLLY MIX DESIGN ORANGE BOWL</x:v>
      </x:c>
      <x:c r="E1097" s="11" t="n">
        <x:v>4100.2699999999995</x:v>
      </x:c>
      <x:c r="F1097" s="11" t="n">
        <x:v>46.72</x:v>
      </x:c>
      <x:c r="G1097" s="11" t="n">
        <x:v>4053.5499999999997</x:v>
      </x:c>
      <x:c r="H1097" s="23" t="n">
        <x:v>0.00019968450058319273</x:v>
      </x:c>
      <x:c r="I1097" s="23" t="n">
        <x:v>0.8112238878096543</x:v>
      </x:c>
      <x:c r="J1097" s="2" t="n">
        <x:v>725</x:v>
      </x:c>
      <x:c r="K1097" s="2"/>
      <x:c r="L1097" s="2"/>
    </x:row>
    <x:row r="1098" ht="22" customHeight="1">
      <x:c r="A1098" s="2"/>
      <x:c r="B1098" s="2" t="n">
        <x:v>1065</x:v>
      </x:c>
      <x:c r="C1098" s="2" t="str">
        <x:v>23193</x:v>
      </x:c>
      <x:c r="D1098" s="2" t="str">
        <x:v>BUFFALO BILL TREASURE BOOK BOX</x:v>
      </x:c>
      <x:c r="E1098" s="11" t="n">
        <x:v>4097.28</x:v>
      </x:c>
      <x:c r="F1098" s="11" t="n">
        <x:v>45</x:v>
      </x:c>
      <x:c r="G1098" s="11" t="n">
        <x:v>4052.28</x:v>
      </x:c>
      <x:c r="H1098" s="23" t="n">
        <x:v>0.0001995388865975909</x:v>
      </x:c>
      <x:c r="I1098" s="23" t="n">
        <x:v>0.8114234266962519</x:v>
      </x:c>
      <x:c r="J1098" s="2" t="n">
        <x:v>175</x:v>
      </x:c>
      <x:c r="K1098" s="2"/>
      <x:c r="L1098" s="2"/>
    </x:row>
    <x:row r="1099" ht="22" customHeight="1">
      <x:c r="A1099" s="2"/>
      <x:c r="B1099" s="2" t="n">
        <x:v>1066</x:v>
      </x:c>
      <x:c r="C1099" s="2" t="str">
        <x:v>23194</x:v>
      </x:c>
      <x:c r="D1099" s="2" t="str">
        <x:v>GYMKHANA TREASURE BOOK BOX</x:v>
      </x:c>
      <x:c r="E1099" s="11" t="n">
        <x:v>4086.37</x:v>
      </x:c>
      <x:c r="F1099" s="11" t="n">
        <x:v>83.25</x:v>
      </x:c>
      <x:c r="G1099" s="11" t="n">
        <x:v>4003.12</x:v>
      </x:c>
      <x:c r="H1099" s="23" t="n">
        <x:v>0.0001990075660012978</x:v>
      </x:c>
      <x:c r="I1099" s="23" t="n">
        <x:v>0.8116224342622532</x:v>
      </x:c>
      <x:c r="J1099" s="2" t="n">
        <x:v>214</x:v>
      </x:c>
      <x:c r="K1099" s="2"/>
      <x:c r="L1099" s="2"/>
    </x:row>
    <x:row r="1100" ht="22" customHeight="1">
      <x:c r="A1100" s="2"/>
      <x:c r="B1100" s="2" t="n">
        <x:v>1067</x:v>
      </x:c>
      <x:c r="C1100" s="2" t="str">
        <x:v>21911</x:v>
      </x:c>
      <x:c r="D1100" s="2" t="str">
        <x:v>GARDEN METAL SIGN </x:v>
      </x:c>
      <x:c r="E1100" s="11" t="n">
        <x:v>4085.7999999999997</x:v>
      </x:c>
      <x:c r="F1100" s="11" t="n">
        <x:v>19.799999999999997</x:v>
      </x:c>
      <x:c r="G1100" s="11" t="n">
        <x:v>4065.9999999999995</x:v>
      </x:c>
      <x:c r="H1100" s="23" t="n">
        <x:v>0.00019897980681340713</x:v>
      </x:c>
      <x:c r="I1100" s="23" t="n">
        <x:v>0.8118214140690666</x:v>
      </x:c>
      <x:c r="J1100" s="2" t="n">
        <x:v>344</x:v>
      </x:c>
      <x:c r="K1100" s="2"/>
      <x:c r="L1100" s="2"/>
    </x:row>
    <x:row r="1101" ht="22" customHeight="1">
      <x:c r="A1101" s="2"/>
      <x:c r="B1101" s="2" t="n">
        <x:v>1068</x:v>
      </x:c>
      <x:c r="C1101" s="2" t="str">
        <x:v>16161U</x:v>
      </x:c>
      <x:c r="D1101" s="2" t="str">
        <x:v>WRAP SUKI AND FRIENDS</x:v>
      </x:c>
      <x:c r="E1101" s="11" t="n">
        <x:v>4084.92</x:v>
      </x:c>
      <x:c r="F1101" s="11" t="n">
        <x:v>31.5</x:v>
      </x:c>
      <x:c r="G1101" s="11" t="n">
        <x:v>4053.42</x:v>
      </x:c>
      <x:c r="H1101" s="23" t="n">
        <x:v>0.00019893695052333035</x:v>
      </x:c>
      <x:c r="I1101" s="23" t="n">
        <x:v>0.8120203510195899</x:v>
      </x:c>
      <x:c r="J1101" s="2" t="n">
        <x:v>318</x:v>
      </x:c>
      <x:c r="K1101" s="2"/>
      <x:c r="L1101" s="2"/>
    </x:row>
    <x:row r="1102" ht="22" customHeight="1">
      <x:c r="A1102" s="2"/>
      <x:c r="B1102" s="2" t="n">
        <x:v>1069</x:v>
      </x:c>
      <x:c r="C1102" s="2" t="str">
        <x:v>23009</x:v>
      </x:c>
      <x:c r="D1102" s="2" t="str">
        <x:v>I LOVE LONDON BABY GIFT SET</x:v>
      </x:c>
      <x:c r="E1102" s="11" t="n">
        <x:v>4082.5199999999995</x:v>
      </x:c>
      <x:c r="F1102" s="11" t="n">
        <x:v>0</x:v>
      </x:c>
      <x:c r="G1102" s="11" t="n">
        <x:v>4082.5199999999995</x:v>
      </x:c>
      <x:c r="H1102" s="23" t="n">
        <x:v>0.00019882006973221178</x:v>
      </x:c>
      <x:c r="I1102" s="23" t="n">
        <x:v>0.8122191710893222</x:v>
      </x:c>
      <x:c r="J1102" s="2" t="n">
        <x:v>103</x:v>
      </x:c>
      <x:c r="K1102" s="2"/>
      <x:c r="L1102" s="2"/>
    </x:row>
    <x:row r="1103" ht="22" customHeight="1">
      <x:c r="A1103" s="2"/>
      <x:c r="B1103" s="2" t="n">
        <x:v>1070</x:v>
      </x:c>
      <x:c r="C1103" s="2" t="str">
        <x:v>21472</x:v>
      </x:c>
      <x:c r="D1103" s="2" t="str">
        <x:v>LADYBIRD + BEE RAFFIA FOOD COVER</x:v>
      </x:c>
      <x:c r="E1103" s="11" t="n">
        <x:v>4081.57</x:v>
      </x:c>
      <x:c r="F1103" s="11" t="n">
        <x:v>0</x:v>
      </x:c>
      <x:c r="G1103" s="11" t="n">
        <x:v>4081.57</x:v>
      </x:c>
      <x:c r="H1103" s="23" t="n">
        <x:v>0.0001987738044190607</x:v>
      </x:c>
      <x:c r="I1103" s="23" t="n">
        <x:v>0.8124179448937412</x:v>
      </x:c>
      <x:c r="J1103" s="2" t="n">
        <x:v>285</x:v>
      </x:c>
      <x:c r="K1103" s="2"/>
      <x:c r="L1103" s="2"/>
    </x:row>
    <x:row r="1104" ht="22" customHeight="1">
      <x:c r="A1104" s="2"/>
      <x:c r="B1104" s="2" t="n">
        <x:v>1071</x:v>
      </x:c>
      <x:c r="C1104" s="2" t="str">
        <x:v>21901</x:v>
      </x:c>
      <x:c r="D1104" s="2" t="str">
        <x:v>KEY FOB , BACK DOOR </x:v>
      </x:c>
      <x:c r="E1104" s="11" t="n">
        <x:v>4077.76</x:v>
      </x:c>
      <x:c r="F1104" s="11" t="n">
        <x:v>99.45</x:v>
      </x:c>
      <x:c r="G1104" s="11" t="n">
        <x:v>3978.3100000000004</x:v>
      </x:c>
      <x:c r="H1104" s="23" t="n">
        <x:v>0.00019858825616316002</x:v>
      </x:c>
      <x:c r="I1104" s="23" t="n">
        <x:v>0.8126165331499043</x:v>
      </x:c>
      <x:c r="J1104" s="2" t="n">
        <x:v>688</x:v>
      </x:c>
      <x:c r="K1104" s="2"/>
      <x:c r="L1104" s="2"/>
    </x:row>
    <x:row r="1105" ht="22" customHeight="1">
      <x:c r="A1105" s="2"/>
      <x:c r="B1105" s="2" t="n">
        <x:v>1072</x:v>
      </x:c>
      <x:c r="C1105" s="2" t="str">
        <x:v>20981</x:v>
      </x:c>
      <x:c r="D1105" s="2" t="str">
        <x:v>12 PENCILS TALL TUBE WOODLAND</x:v>
      </x:c>
      <x:c r="E1105" s="11" t="n">
        <x:v>4076.81</x:v>
      </x:c>
      <x:c r="F1105" s="11" t="n">
        <x:v>67.14999999999999</x:v>
      </x:c>
      <x:c r="G1105" s="11" t="n">
        <x:v>4009.66</x:v>
      </x:c>
      <x:c r="H1105" s="23" t="n">
        <x:v>0.00019854199085000892</x:v>
      </x:c>
      <x:c r="I1105" s="23" t="n">
        <x:v>0.8128150751407544</x:v>
      </x:c>
      <x:c r="J1105" s="2" t="n">
        <x:v>513</x:v>
      </x:c>
      <x:c r="K1105" s="2"/>
      <x:c r="L1105" s="2"/>
    </x:row>
    <x:row r="1106" ht="22" customHeight="1">
      <x:c r="A1106" s="2"/>
      <x:c r="B1106" s="2" t="n">
        <x:v>1073</x:v>
      </x:c>
      <x:c r="C1106" s="2" t="str">
        <x:v>22359</x:v>
      </x:c>
      <x:c r="D1106" s="2" t="str">
        <x:v>GLASS JAR KINGS CHOICE</x:v>
      </x:c>
      <x:c r="E1106" s="11" t="n">
        <x:v>4072.83</x:v>
      </x:c>
      <x:c r="F1106" s="11" t="n">
        <x:v>115.05000000000001</x:v>
      </x:c>
      <x:c r="G1106" s="11" t="n">
        <x:v>3957.7799999999997</x:v>
      </x:c>
      <x:c r="H1106" s="23" t="n">
        <x:v>0.00019834816353807064</x:v>
      </x:c>
      <x:c r="I1106" s="23" t="n">
        <x:v>0.8130134233042924</x:v>
      </x:c>
      <x:c r="J1106" s="2" t="n">
        <x:v>202</x:v>
      </x:c>
      <x:c r="K1106" s="2"/>
      <x:c r="L1106" s="2"/>
    </x:row>
    <x:row r="1107" ht="22" customHeight="1">
      <x:c r="A1107" s="2"/>
      <x:c r="B1107" s="2" t="n">
        <x:v>1074</x:v>
      </x:c>
      <x:c r="C1107" s="2" t="str">
        <x:v>22284</x:v>
      </x:c>
      <x:c r="D1107" s="2" t="str">
        <x:v>HEN HOUSE DECORATION</x:v>
      </x:c>
      <x:c r="E1107" s="11" t="n">
        <x:v>4067.24</x:v>
      </x:c>
      <x:c r="F1107" s="11" t="n">
        <x:v>42.89999999999999</x:v>
      </x:c>
      <x:c r="G1107" s="11" t="n">
        <x:v>4024.3399999999997</x:v>
      </x:c>
      <x:c r="H1107" s="23" t="n">
        <x:v>0.00019807592869542368</x:v>
      </x:c>
      <x:c r="I1107" s="23" t="n">
        <x:v>0.8132114992329879</x:v>
      </x:c>
      <x:c r="J1107" s="2" t="n">
        <x:v>300</x:v>
      </x:c>
      <x:c r="K1107" s="2"/>
      <x:c r="L1107" s="2"/>
    </x:row>
    <x:row r="1108" ht="22" customHeight="1">
      <x:c r="A1108" s="2"/>
      <x:c r="B1108" s="2" t="n">
        <x:v>1075</x:v>
      </x:c>
      <x:c r="C1108" s="2" t="str">
        <x:v>84580</x:v>
      </x:c>
      <x:c r="D1108" s="2" t="str">
        <x:v>MOUSE TOY WITH PINK T-SHIRT</x:v>
      </x:c>
      <x:c r="E1108" s="11" t="n">
        <x:v>4066.94</x:v>
      </x:c>
      <x:c r="F1108" s="11" t="n">
        <x:v>15</x:v>
      </x:c>
      <x:c r="G1108" s="11" t="n">
        <x:v>4051.94</x:v>
      </x:c>
      <x:c r="H1108" s="23" t="n">
        <x:v>0.00019806131859653387</x:v>
      </x:c>
      <x:c r="I1108" s="23" t="n">
        <x:v>0.8134095605515844</x:v>
      </x:c>
      <x:c r="J1108" s="2" t="n">
        <x:v>442</x:v>
      </x:c>
      <x:c r="K1108" s="2"/>
      <x:c r="L1108" s="2"/>
    </x:row>
    <x:row r="1109" ht="22" customHeight="1">
      <x:c r="A1109" s="2"/>
      <x:c r="B1109" s="2" t="n">
        <x:v>1076</x:v>
      </x:c>
      <x:c r="C1109" s="2" t="str">
        <x:v>72349B</x:v>
      </x:c>
      <x:c r="D1109" s="2" t="str">
        <x:v>SET/6 PURPLE BUTTERFLY T-LIGHTS</x:v>
      </x:c>
      <x:c r="E1109" s="11" t="n">
        <x:v>4058.3900000000003</x:v>
      </x:c>
      <x:c r="F1109" s="11" t="n">
        <x:v>25.200000000000003</x:v>
      </x:c>
      <x:c r="G1109" s="11" t="n">
        <x:v>4033.1900000000005</x:v>
      </x:c>
      <x:c r="H1109" s="23" t="n">
        <x:v>0.00019764493077817404</x:v>
      </x:c>
      <x:c r="I1109" s="23" t="n">
        <x:v>0.8136072054823626</x:v>
      </x:c>
      <x:c r="J1109" s="2" t="n">
        <x:v>287</x:v>
      </x:c>
      <x:c r="K1109" s="2"/>
      <x:c r="L1109" s="2"/>
    </x:row>
    <x:row r="1110" ht="22" customHeight="1">
      <x:c r="A1110" s="2"/>
      <x:c r="B1110" s="2" t="n">
        <x:v>1077</x:v>
      </x:c>
      <x:c r="C1110" s="2" t="str">
        <x:v>21717</x:v>
      </x:c>
      <x:c r="D1110" s="2" t="str">
        <x:v>EASTER TIN BUCKET</x:v>
      </x:c>
      <x:c r="E1110" s="11" t="n">
        <x:v>4057.48</x:v>
      </x:c>
      <x:c r="F1110" s="11" t="n">
        <x:v>22.95</x:v>
      </x:c>
      <x:c r="G1110" s="11" t="n">
        <x:v>4034.5299999999997</x:v>
      </x:c>
      <x:c r="H1110" s="23" t="n">
        <x:v>0.00019760061347820823</x:v>
      </x:c>
      <x:c r="I1110" s="23" t="n">
        <x:v>0.8138048060958408</x:v>
      </x:c>
      <x:c r="J1110" s="2" t="n">
        <x:v>176</x:v>
      </x:c>
      <x:c r="K1110" s="2"/>
      <x:c r="L1110" s="2"/>
    </x:row>
    <x:row r="1111" ht="22" customHeight="1">
      <x:c r="A1111" s="2"/>
      <x:c r="B1111" s="2" t="n">
        <x:v>1078</x:v>
      </x:c>
      <x:c r="C1111" s="2" t="str">
        <x:v>35924</x:v>
      </x:c>
      <x:c r="D1111" s="2" t="str">
        <x:v>HANGING FAIRY CAKE DECORATION</x:v>
      </x:c>
      <x:c r="E1111" s="11" t="n">
        <x:v>4055.7</x:v>
      </x:c>
      <x:c r="F1111" s="11" t="n">
        <x:v>347.67999999999995</x:v>
      </x:c>
      <x:c r="G1111" s="11" t="n">
        <x:v>3708.02</x:v>
      </x:c>
      <x:c r="H1111" s="23" t="n">
        <x:v>0.00019751392689146198</x:v>
      </x:c>
      <x:c r="I1111" s="23" t="n">
        <x:v>0.8140023200227323</x:v>
      </x:c>
      <x:c r="J1111" s="2" t="n">
        <x:v>188</x:v>
      </x:c>
      <x:c r="K1111" s="2"/>
      <x:c r="L1111" s="2"/>
    </x:row>
    <x:row r="1112" ht="22" customHeight="1">
      <x:c r="A1112" s="2"/>
      <x:c r="B1112" s="2" t="n">
        <x:v>1079</x:v>
      </x:c>
      <x:c r="C1112" s="2" t="str">
        <x:v>21679</x:v>
      </x:c>
      <x:c r="D1112" s="2" t="str">
        <x:v>SKULLS  STICKERS</x:v>
      </x:c>
      <x:c r="E1112" s="11" t="n">
        <x:v>4054.91</x:v>
      </x:c>
      <x:c r="F1112" s="11" t="n">
        <x:v>652.68</x:v>
      </x:c>
      <x:c r="G1112" s="11" t="n">
        <x:v>3402.2299999999996</x:v>
      </x:c>
      <x:c r="H1112" s="23" t="n">
        <x:v>0.00019747545363105212</x:v>
      </x:c>
      <x:c r="I1112" s="23" t="n">
        <x:v>0.8141997954763633</x:v>
      </x:c>
      <x:c r="J1112" s="2" t="n">
        <x:v>370</x:v>
      </x:c>
      <x:c r="K1112" s="2"/>
      <x:c r="L1112" s="2"/>
    </x:row>
    <x:row r="1113" ht="22" customHeight="1">
      <x:c r="A1113" s="2"/>
      <x:c r="B1113" s="2" t="n">
        <x:v>1080</x:v>
      </x:c>
      <x:c r="C1113" s="2" t="str">
        <x:v>23340</x:v>
      </x:c>
      <x:c r="D1113" s="2" t="str">
        <x:v>VINTAGE CHRISTMAS CAKE FRILL</x:v>
      </x:c>
      <x:c r="E1113" s="11" t="n">
        <x:v>4053.8799999999997</x:v>
      </x:c>
      <x:c r="F1113" s="11" t="n">
        <x:v>0</x:v>
      </x:c>
      <x:c r="G1113" s="11" t="n">
        <x:v>4053.8799999999997</x:v>
      </x:c>
      <x:c r="H1113" s="23" t="n">
        <x:v>0.0001974252922915304</x:v>
      </x:c>
      <x:c r="I1113" s="23" t="n">
        <x:v>0.8143972207686548</x:v>
      </x:c>
      <x:c r="J1113" s="2" t="n">
        <x:v>151</x:v>
      </x:c>
      <x:c r="K1113" s="2"/>
      <x:c r="L1113" s="2"/>
    </x:row>
    <x:row r="1114" ht="22" customHeight="1">
      <x:c r="A1114" s="2"/>
      <x:c r="B1114" s="2" t="n">
        <x:v>1081</x:v>
      </x:c>
      <x:c r="C1114" s="2" t="str">
        <x:v>23081</x:v>
      </x:c>
      <x:c r="D1114" s="2" t="str">
        <x:v>GREEN METAL BOX ARMY SUPPLIES</x:v>
      </x:c>
      <x:c r="E1114" s="11" t="n">
        <x:v>4046.5</x:v>
      </x:c>
      <x:c r="F1114" s="11" t="n">
        <x:v>49.5</x:v>
      </x:c>
      <x:c r="G1114" s="11" t="n">
        <x:v>3997</x:v>
      </x:c>
      <x:c r="H1114" s="23" t="n">
        <x:v>0.00019706588385884086</x:v>
      </x:c>
      <x:c r="I1114" s="23" t="n">
        <x:v>0.8145942866525137</x:v>
      </x:c>
      <x:c r="J1114" s="2" t="n">
        <x:v>139</x:v>
      </x:c>
      <x:c r="K1114" s="2"/>
      <x:c r="L1114" s="2"/>
    </x:row>
    <x:row r="1115" ht="22" customHeight="1">
      <x:c r="A1115" s="2"/>
      <x:c r="B1115" s="2" t="n">
        <x:v>1082</x:v>
      </x:c>
      <x:c r="C1115" s="2" t="str">
        <x:v>22639</x:v>
      </x:c>
      <x:c r="D1115" s="2" t="str">
        <x:v>SET OF 4 NAPKIN CHARMS HEARTS</x:v>
      </x:c>
      <x:c r="E1115" s="11" t="n">
        <x:v>4036.42</x:v>
      </x:c>
      <x:c r="F1115" s="11" t="n">
        <x:v>15.299999999999999</x:v>
      </x:c>
      <x:c r="G1115" s="11" t="n">
        <x:v>4021.12</x:v>
      </x:c>
      <x:c r="H1115" s="23" t="n">
        <x:v>0.00019657498453614297</x:v>
      </x:c>
      <x:c r="I1115" s="23" t="n">
        <x:v>0.8147908616370498</x:v>
      </x:c>
      <x:c r="J1115" s="2" t="n">
        <x:v>275</x:v>
      </x:c>
      <x:c r="K1115" s="2"/>
      <x:c r="L1115" s="2"/>
    </x:row>
    <x:row r="1116" ht="22" customHeight="1">
      <x:c r="A1116" s="2"/>
      <x:c r="B1116" s="2" t="n">
        <x:v>1083</x:v>
      </x:c>
      <x:c r="C1116" s="2" t="str">
        <x:v>21349</x:v>
      </x:c>
      <x:c r="D1116" s="2" t="str">
        <x:v>check</x:v>
      </x:c>
      <x:c r="E1116" s="11" t="n">
        <x:v>4024.23</x:v>
      </x:c>
      <x:c r="F1116" s="11" t="n">
        <x:v>54</x:v>
      </x:c>
      <x:c r="G1116" s="11" t="n">
        <x:v>3970.23</x:v>
      </x:c>
      <x:c r="H1116" s="23" t="n">
        <x:v>0.00019598132751791998</x:v>
      </x:c>
      <x:c r="I1116" s="23" t="n">
        <x:v>0.8149868429645678</x:v>
      </x:c>
      <x:c r="J1116" s="2" t="n">
        <x:v>171</x:v>
      </x:c>
      <x:c r="K1116" s="2"/>
      <x:c r="L1116" s="2"/>
    </x:row>
    <x:row r="1117" ht="22" customHeight="1">
      <x:c r="A1117" s="2"/>
      <x:c r="B1117" s="2" t="n">
        <x:v>1084</x:v>
      </x:c>
      <x:c r="C1117" s="2" t="str">
        <x:v>22053</x:v>
      </x:c>
      <x:c r="D1117" s="2" t="str">
        <x:v>EMPIRE DESIGN ROSETTE</x:v>
      </x:c>
      <x:c r="E1117" s="11" t="n">
        <x:v>4023.3899999999994</x:v>
      </x:c>
      <x:c r="F1117" s="11" t="n">
        <x:v>2.5</x:v>
      </x:c>
      <x:c r="G1117" s="11" t="n">
        <x:v>4020.8899999999994</x:v>
      </x:c>
      <x:c r="H1117" s="23" t="n">
        <x:v>0.00019594041924102847</x:v>
      </x:c>
      <x:c r="I1117" s="23" t="n">
        <x:v>0.8151827833838088</x:v>
      </x:c>
      <x:c r="J1117" s="2" t="n">
        <x:v>87</x:v>
      </x:c>
      <x:c r="K1117" s="2"/>
      <x:c r="L1117" s="2"/>
    </x:row>
    <x:row r="1118" ht="22" customHeight="1">
      <x:c r="A1118" s="2"/>
      <x:c r="B1118" s="2" t="n">
        <x:v>1085</x:v>
      </x:c>
      <x:c r="C1118" s="2" t="str">
        <x:v>22057</x:v>
      </x:c>
      <x:c r="D1118" s="2" t="str">
        <x:v>CERAMIC PLATE STRAWBERRY DESIGN</x:v>
      </x:c>
      <x:c r="E1118" s="11" t="n">
        <x:v>4019.18</x:v>
      </x:c>
      <x:c r="F1118" s="11" t="n">
        <x:v>122.17999999999999</x:v>
      </x:c>
      <x:c r="G1118" s="11" t="n">
        <x:v>3897</x:v>
      </x:c>
      <x:c r="H1118" s="23" t="n">
        <x:v>0.00019573539085327468</x:v>
      </x:c>
      <x:c r="I1118" s="23" t="n">
        <x:v>0.815378518774662</x:v>
      </x:c>
      <x:c r="J1118" s="2" t="n">
        <x:v>260</x:v>
      </x:c>
      <x:c r="K1118" s="2"/>
      <x:c r="L1118" s="2"/>
    </x:row>
    <x:row r="1119" ht="22" customHeight="1">
      <x:c r="A1119" s="2"/>
      <x:c r="B1119" s="2" t="n">
        <x:v>1086</x:v>
      </x:c>
      <x:c r="C1119" s="2" t="str">
        <x:v>20967</x:v>
      </x:c>
      <x:c r="D1119" s="2" t="str">
        <x:v>GREY FLORAL FELTCRAFT SHOULDER BAG</x:v>
      </x:c>
      <x:c r="E1119" s="11" t="n">
        <x:v>4012.34</x:v>
      </x:c>
      <x:c r="F1119" s="11" t="n">
        <x:v>75</x:v>
      </x:c>
      <x:c r="G1119" s="11" t="n">
        <x:v>3937.34</x:v>
      </x:c>
      <x:c r="H1119" s="23" t="n">
        <x:v>0.00019540228059858683</x:v>
      </x:c>
      <x:c r="I1119" s="23" t="n">
        <x:v>0.8155739210552606</x:v>
      </x:c>
      <x:c r="J1119" s="2" t="n">
        <x:v>296</x:v>
      </x:c>
      <x:c r="K1119" s="2"/>
      <x:c r="L1119" s="2"/>
    </x:row>
    <x:row r="1120" ht="22" customHeight="1">
      <x:c r="A1120" s="2"/>
      <x:c r="B1120" s="2" t="n">
        <x:v>1087</x:v>
      </x:c>
      <x:c r="C1120" s="2" t="str">
        <x:v>22454</x:v>
      </x:c>
      <x:c r="D1120" s="2" t="str">
        <x:v>MEASURING TAPE BABUSHKA RED</x:v>
      </x:c>
      <x:c r="E1120" s="11" t="n">
        <x:v>4007.38</x:v>
      </x:c>
      <x:c r="F1120" s="11" t="n">
        <x:v>41.300000000000004</x:v>
      </x:c>
      <x:c r="G1120" s="11" t="n">
        <x:v>3966.0800000000004</x:v>
      </x:c>
      <x:c r="H1120" s="23" t="n">
        <x:v>0.0001951607269636085</x:v>
      </x:c>
      <x:c r="I1120" s="23" t="n">
        <x:v>0.8157690817822242</x:v>
      </x:c>
      <x:c r="J1120" s="2" t="n">
        <x:v>179</x:v>
      </x:c>
      <x:c r="K1120" s="2"/>
      <x:c r="L1120" s="2"/>
    </x:row>
    <x:row r="1121" ht="22" customHeight="1">
      <x:c r="A1121" s="2"/>
      <x:c r="B1121" s="2" t="n">
        <x:v>1088</x:v>
      </x:c>
      <x:c r="C1121" s="2" t="str">
        <x:v>22245</x:v>
      </x:c>
      <x:c r="D1121" s="2" t="str">
        <x:v>HOOK, 1 HANGER ,MAGIC GARDEN</x:v>
      </x:c>
      <x:c r="E1121" s="11" t="n">
        <x:v>4005.85</x:v>
      </x:c>
      <x:c r="F1121" s="11" t="n">
        <x:v>26.35</x:v>
      </x:c>
      <x:c r="G1121" s="11" t="n">
        <x:v>3979.5</x:v>
      </x:c>
      <x:c r="H1121" s="23" t="n">
        <x:v>0.0001950862154592704</x:v>
      </x:c>
      <x:c r="I1121" s="23" t="n">
        <x:v>0.8159641679976835</x:v>
      </x:c>
      <x:c r="J1121" s="2" t="n">
        <x:v>413</x:v>
      </x:c>
      <x:c r="K1121" s="2"/>
      <x:c r="L1121" s="2"/>
    </x:row>
    <x:row r="1122" ht="22" customHeight="1">
      <x:c r="A1122" s="2"/>
      <x:c r="B1122" s="2" t="n">
        <x:v>1089</x:v>
      </x:c>
      <x:c r="C1122" s="2" t="str">
        <x:v>22959</x:v>
      </x:c>
      <x:c r="D1122" s="2" t="str">
        <x:v>WRAP CHRISTMAS VILLAGE</x:v>
      </x:c>
      <x:c r="E1122" s="11" t="n">
        <x:v>4002.96</x:v>
      </x:c>
      <x:c r="F1122" s="11" t="n">
        <x:v>147</x:v>
      </x:c>
      <x:c r="G1122" s="11" t="n">
        <x:v>3855.96</x:v>
      </x:c>
      <x:c r="H1122" s="23" t="n">
        <x:v>0.00019494547150663183</x:v>
      </x:c>
      <x:c r="I1122" s="23" t="n">
        <x:v>0.8161591134691901</x:v>
      </x:c>
      <x:c r="J1122" s="2" t="n">
        <x:v>284</x:v>
      </x:c>
      <x:c r="K1122" s="2"/>
      <x:c r="L1122" s="2"/>
    </x:row>
    <x:row r="1123" ht="22" customHeight="1">
      <x:c r="A1123" s="2"/>
      <x:c r="B1123" s="2" t="n">
        <x:v>1090</x:v>
      </x:c>
      <x:c r="C1123" s="2" t="str">
        <x:v>23129</x:v>
      </x:c>
      <x:c r="D1123" s="2" t="str">
        <x:v>HEART SHAPED HOLLY WREATH</x:v>
      </x:c>
      <x:c r="E1123" s="11" t="n">
        <x:v>3999.5000000000005</x:v>
      </x:c>
      <x:c r="F1123" s="11" t="n">
        <x:v>4.15</x:v>
      </x:c>
      <x:c r="G1123" s="11" t="n">
        <x:v>3995.3500000000004</x:v>
      </x:c>
      <x:c r="H1123" s="23" t="n">
        <x:v>0.0001947769683661026</x:v>
      </x:c>
      <x:c r="I1123" s="23" t="n">
        <x:v>0.8163538904375562</x:v>
      </x:c>
      <x:c r="J1123" s="2" t="n">
        <x:v>172</x:v>
      </x:c>
      <x:c r="K1123" s="2"/>
      <x:c r="L1123" s="2"/>
    </x:row>
    <x:row r="1124" ht="22" customHeight="1">
      <x:c r="A1124" s="2"/>
      <x:c r="B1124" s="2" t="n">
        <x:v>1091</x:v>
      </x:c>
      <x:c r="C1124" s="2" t="str">
        <x:v>85206A</x:v>
      </x:c>
      <x:c r="D1124" s="2" t="str">
        <x:v>CREAM FELT EASTER EGG BASKET</x:v>
      </x:c>
      <x:c r="E1124" s="11" t="n">
        <x:v>3994.4599999999996</x:v>
      </x:c>
      <x:c r="F1124" s="11" t="n">
        <x:v>16.5</x:v>
      </x:c>
      <x:c r="G1124" s="11" t="n">
        <x:v>3977.9599999999996</x:v>
      </x:c>
      <x:c r="H1124" s="23" t="n">
        <x:v>0.00019453151870475359</x:v>
      </x:c>
      <x:c r="I1124" s="23" t="n">
        <x:v>0.816548421956261</x:v>
      </x:c>
      <x:c r="J1124" s="2" t="n">
        <x:v>318</x:v>
      </x:c>
      <x:c r="K1124" s="2"/>
      <x:c r="L1124" s="2"/>
    </x:row>
    <x:row r="1125" ht="22" customHeight="1">
      <x:c r="A1125" s="2"/>
      <x:c r="B1125" s="2" t="n">
        <x:v>1092</x:v>
      </x:c>
      <x:c r="C1125" s="2" t="str">
        <x:v>21987</x:v>
      </x:c>
      <x:c r="D1125" s="2" t="str">
        <x:v>PACK OF 6 SKULL PAPER CUPS</x:v>
      </x:c>
      <x:c r="E1125" s="11" t="n">
        <x:v>3990.6600000000003</x:v>
      </x:c>
      <x:c r="F1125" s="11" t="n">
        <x:v>138.04999999999998</x:v>
      </x:c>
      <x:c r="G1125" s="11" t="n">
        <x:v>3852.61</x:v>
      </x:c>
      <x:c r="H1125" s="23" t="n">
        <x:v>0.00019434645745214927</x:v>
      </x:c>
      <x:c r="I1125" s="23" t="n">
        <x:v>0.8167427684137132</x:v>
      </x:c>
      <x:c r="J1125" s="2" t="n">
        <x:v>385</x:v>
      </x:c>
      <x:c r="K1125" s="2"/>
      <x:c r="L1125" s="2"/>
    </x:row>
    <x:row r="1126" ht="22" customHeight="1">
      <x:c r="A1126" s="2"/>
      <x:c r="B1126" s="2" t="n">
        <x:v>1093</x:v>
      </x:c>
      <x:c r="C1126" s="2" t="str">
        <x:v>23130</x:v>
      </x:c>
      <x:c r="D1126" s="2" t="str">
        <x:v>MISTLETOE HEART WREATH GREEN</x:v>
      </x:c>
      <x:c r="E1126" s="11" t="n">
        <x:v>3988.98</x:v>
      </x:c>
      <x:c r="F1126" s="11" t="n">
        <x:v>37.35</x:v>
      </x:c>
      <x:c r="G1126" s="11" t="n">
        <x:v>3951.63</x:v>
      </x:c>
      <x:c r="H1126" s="23" t="n">
        <x:v>0.00019426464089836626</x:v>
      </x:c>
      <x:c r="I1126" s="23" t="n">
        <x:v>0.8169370330546115</x:v>
      </x:c>
      <x:c r="J1126" s="2" t="n">
        <x:v>184</x:v>
      </x:c>
      <x:c r="K1126" s="2"/>
      <x:c r="L1126" s="2"/>
    </x:row>
    <x:row r="1127" ht="22" customHeight="1">
      <x:c r="A1127" s="2"/>
      <x:c r="B1127" s="2" t="n">
        <x:v>1094</x:v>
      </x:c>
      <x:c r="C1127" s="2" t="str">
        <x:v>22612</x:v>
      </x:c>
      <x:c r="D1127" s="2" t="str">
        <x:v>TEA COSY VINTAGE UNION JACK</x:v>
      </x:c>
      <x:c r="E1127" s="11" t="n">
        <x:v>3984.99</x:v>
      </x:c>
      <x:c r="F1127" s="11" t="n">
        <x:v>15</x:v>
      </x:c>
      <x:c r="G1127" s="11" t="n">
        <x:v>3969.99</x:v>
      </x:c>
      <x:c r="H1127" s="23" t="n">
        <x:v>0.00019407032658313165</x:v>
      </x:c>
      <x:c r="I1127" s="23" t="n">
        <x:v>0.8171311033811947</x:v>
      </x:c>
      <x:c r="J1127" s="2" t="n">
        <x:v>109</x:v>
      </x:c>
      <x:c r="K1127" s="2"/>
      <x:c r="L1127" s="2"/>
    </x:row>
    <x:row r="1128" ht="22" customHeight="1">
      <x:c r="A1128" s="2"/>
      <x:c r="B1128" s="2" t="n">
        <x:v>1095</x:v>
      </x:c>
      <x:c r="C1128" s="2" t="str">
        <x:v>22445</x:v>
      </x:c>
      <x:c r="D1128" s="2" t="str">
        <x:v>PENCIL CASE LIFE IS BEAUTIFUL</x:v>
      </x:c>
      <x:c r="E1128" s="11" t="n">
        <x:v>3975.4100000000003</x:v>
      </x:c>
      <x:c r="F1128" s="11" t="n">
        <x:v>0</x:v>
      </x:c>
      <x:c r="G1128" s="11" t="n">
        <x:v>3975.4100000000003</x:v>
      </x:c>
      <x:c r="H1128" s="23" t="n">
        <x:v>0.00019360377742525013</x:v>
      </x:c>
      <x:c r="I1128" s="23" t="n">
        <x:v>0.8173247071586199</x:v>
      </x:c>
      <x:c r="J1128" s="2" t="n">
        <x:v>275</x:v>
      </x:c>
      <x:c r="K1128" s="2"/>
      <x:c r="L1128" s="2"/>
    </x:row>
    <x:row r="1129" ht="22" customHeight="1">
      <x:c r="A1129" s="2"/>
      <x:c r="B1129" s="2" t="n">
        <x:v>1096</x:v>
      </x:c>
      <x:c r="C1129" s="2" t="str">
        <x:v>22731</x:v>
      </x:c>
      <x:c r="D1129" s="2" t="str">
        <x:v>3D CHRISTMAS STAMPS STICKERS </x:v>
      </x:c>
      <x:c r="E1129" s="11" t="n">
        <x:v>3974.37</x:v>
      </x:c>
      <x:c r="F1129" s="11" t="n">
        <x:v>42.5</x:v>
      </x:c>
      <x:c r="G1129" s="11" t="n">
        <x:v>3931.87</x:v>
      </x:c>
      <x:c r="H1129" s="23" t="n">
        <x:v>0.00019355312908243206</x:v>
      </x:c>
      <x:c r="I1129" s="23" t="n">
        <x:v>0.8175182602877024</x:v>
      </x:c>
      <x:c r="J1129" s="2" t="n">
        <x:v>266</x:v>
      </x:c>
      <x:c r="K1129" s="2"/>
      <x:c r="L1129" s="2"/>
    </x:row>
    <x:row r="1130" ht="22" customHeight="1">
      <x:c r="A1130" s="2"/>
      <x:c r="B1130" s="2" t="n">
        <x:v>1097</x:v>
      </x:c>
      <x:c r="C1130" s="2" t="str">
        <x:v>21648</x:v>
      </x:c>
      <x:c r="D1130" s="2" t="str">
        <x:v>ASSORTED TUTTI FRUTTI SMALL PURSE</x:v>
      </x:c>
      <x:c r="E1130" s="11" t="n">
        <x:v>3968.98</x:v>
      </x:c>
      <x:c r="F1130" s="11" t="n">
        <x:v>274.4</x:v>
      </x:c>
      <x:c r="G1130" s="11" t="n">
        <x:v>3694.58</x:v>
      </x:c>
      <x:c r="H1130" s="23" t="n">
        <x:v>0.00019329063430571168</x:v>
      </x:c>
      <x:c r="I1130" s="23" t="n">
        <x:v>0.8177115509220081</x:v>
      </x:c>
      <x:c r="J1130" s="2" t="n">
        <x:v>231</x:v>
      </x:c>
      <x:c r="K1130" s="2"/>
      <x:c r="L1130" s="2"/>
    </x:row>
    <x:row r="1131" ht="22" customHeight="1">
      <x:c r="A1131" s="2"/>
      <x:c r="B1131" s="2" t="n">
        <x:v>1098</x:v>
      </x:c>
      <x:c r="C1131" s="2" t="str">
        <x:v>21812</x:v>
      </x:c>
      <x:c r="D1131" s="2" t="str">
        <x:v>GARLAND WITH HEARTS AND BELLS</x:v>
      </x:c>
      <x:c r="E1131" s="11" t="n">
        <x:v>3957.09</x:v>
      </x:c>
      <x:c r="F1131" s="11" t="n">
        <x:v>128.70000000000002</x:v>
      </x:c>
      <x:c r="G1131" s="11" t="n">
        <x:v>3828.3900000000003</x:v>
      </x:c>
      <x:c r="H1131" s="23" t="n">
        <x:v>0.00019271158738637853</x:v>
      </x:c>
      <x:c r="I1131" s="23" t="n">
        <x:v>0.8179042625093945</x:v>
      </x:c>
      <x:c r="J1131" s="2" t="n">
        <x:v>205</x:v>
      </x:c>
      <x:c r="K1131" s="2"/>
      <x:c r="L1131" s="2"/>
    </x:row>
    <x:row r="1132" ht="22" customHeight="1">
      <x:c r="A1132" s="2"/>
      <x:c r="B1132" s="2" t="n">
        <x:v>1099</x:v>
      </x:c>
      <x:c r="C1132" s="2" t="str">
        <x:v>21034</x:v>
      </x:c>
      <x:c r="D1132" s="2" t="str">
        <x:v>REX CASH+CARRY JUMBO SHOPPER</x:v>
      </x:c>
      <x:c r="E1132" s="11" t="n">
        <x:v>3951.0499999999997</x:v>
      </x:c>
      <x:c r="F1132" s="11" t="n">
        <x:v>26.599999999999998</x:v>
      </x:c>
      <x:c r="G1132" s="11" t="n">
        <x:v>3924.45</x:v>
      </x:c>
      <x:c r="H1132" s="23" t="n">
        <x:v>0.0001924174373953968</x:v>
      </x:c>
      <x:c r="I1132" s="23" t="n">
        <x:v>0.8180966799467899</x:v>
      </x:c>
      <x:c r="J1132" s="2" t="n">
        <x:v>1902</x:v>
      </x:c>
      <x:c r="K1132" s="2"/>
      <x:c r="L1132" s="2"/>
    </x:row>
    <x:row r="1133" ht="22" customHeight="1">
      <x:c r="A1133" s="2"/>
      <x:c r="B1133" s="2" t="n">
        <x:v>1100</x:v>
      </x:c>
      <x:c r="C1133" s="2" t="str">
        <x:v>18097C</x:v>
      </x:c>
      <x:c r="D1133" s="2" t="str">
        <x:v>WHITE TALL PORCELAIN T-LIGHT HOLDER</x:v>
      </x:c>
      <x:c r="E1133" s="11" t="n">
        <x:v>3942.77</x:v>
      </x:c>
      <x:c r="F1133" s="11" t="n">
        <x:v>571.8000000000001</x:v>
      </x:c>
      <x:c r="G1133" s="11" t="n">
        <x:v>3370.97</x:v>
      </x:c>
      <x:c r="H1133" s="23" t="n">
        <x:v>0.0001920141986660378</x:v>
      </x:c>
      <x:c r="I1133" s="23" t="n">
        <x:v>0.8182886941454559</x:v>
      </x:c>
      <x:c r="J1133" s="2" t="n">
        <x:v>211</x:v>
      </x:c>
      <x:c r="K1133" s="2"/>
      <x:c r="L1133" s="2"/>
    </x:row>
    <x:row r="1134" ht="22" customHeight="1">
      <x:c r="A1134" s="2"/>
      <x:c r="B1134" s="2" t="n">
        <x:v>1101</x:v>
      </x:c>
      <x:c r="C1134" s="2" t="str">
        <x:v>22788</x:v>
      </x:c>
      <x:c r="D1134" s="2" t="str">
        <x:v>BROCANTE COAT RACK</x:v>
      </x:c>
      <x:c r="E1134" s="11" t="n">
        <x:v>3942.62</x:v>
      </x:c>
      <x:c r="F1134" s="11" t="n">
        <x:v>66.75</x:v>
      </x:c>
      <x:c r="G1134" s="11" t="n">
        <x:v>3875.87</x:v>
      </x:c>
      <x:c r="H1134" s="23" t="n">
        <x:v>0.0001920068936165929</x:v>
      </x:c>
      <x:c r="I1134" s="23" t="n">
        <x:v>0.8184807010390726</x:v>
      </x:c>
      <x:c r="J1134" s="2" t="n">
        <x:v>84</x:v>
      </x:c>
      <x:c r="K1134" s="2"/>
      <x:c r="L1134" s="2"/>
    </x:row>
    <x:row r="1135" ht="22" customHeight="1">
      <x:c r="A1135" s="2"/>
      <x:c r="B1135" s="2" t="n">
        <x:v>1102</x:v>
      </x:c>
      <x:c r="C1135" s="2" t="str">
        <x:v>23557</x:v>
      </x:c>
      <x:c r="D1135" s="2" t="str">
        <x:v>LANDMARK FRAME BAKER STREET </x:v>
      </x:c>
      <x:c r="E1135" s="11" t="n">
        <x:v>3930.27</x:v>
      </x:c>
      <x:c r="F1135" s="11" t="n">
        <x:v>0</x:v>
      </x:c>
      <x:c r="G1135" s="11" t="n">
        <x:v>3930.27</x:v>
      </x:c>
      <x:c r="H1135" s="23" t="n">
        <x:v>0.0001914054445456287</x:v>
      </x:c>
      <x:c r="I1135" s="23" t="n">
        <x:v>0.8186721064836182</x:v>
      </x:c>
      <x:c r="J1135" s="2" t="n">
        <x:v>32</x:v>
      </x:c>
      <x:c r="K1135" s="2"/>
      <x:c r="L1135" s="2"/>
    </x:row>
    <x:row r="1136" ht="22" customHeight="1">
      <x:c r="A1136" s="2"/>
      <x:c r="B1136" s="2" t="n">
        <x:v>1103</x:v>
      </x:c>
      <x:c r="C1136" s="2" t="str">
        <x:v>22980</x:v>
      </x:c>
      <x:c r="D1136" s="2" t="str">
        <x:v>PANTRY SCRUBBING BRUSH</x:v>
      </x:c>
      <x:c r="E1136" s="11" t="n">
        <x:v>3914.9599999999996</x:v>
      </x:c>
      <x:c r="F1136" s="11" t="n">
        <x:v>124.04999999999998</x:v>
      </x:c>
      <x:c r="G1136" s="11" t="n">
        <x:v>3790.9099999999994</x:v>
      </x:c>
      <x:c r="H1136" s="23" t="n">
        <x:v>0.00019065984249895158</x:v>
      </x:c>
      <x:c r="I1136" s="23" t="n">
        <x:v>0.8188627663261172</x:v>
      </x:c>
      <x:c r="J1136" s="2" t="n">
        <x:v>291</x:v>
      </x:c>
      <x:c r="K1136" s="2"/>
      <x:c r="L1136" s="2"/>
    </x:row>
    <x:row r="1137" ht="22" customHeight="1">
      <x:c r="A1137" s="2"/>
      <x:c r="B1137" s="2" t="n">
        <x:v>1104</x:v>
      </x:c>
      <x:c r="C1137" s="2" t="str">
        <x:v>46000M</x:v>
      </x:c>
      <x:c r="D1137" s="2" t="str">
        <x:v>POLYESTER FILLER PAD 45x45cm</x:v>
      </x:c>
      <x:c r="E1137" s="11" t="n">
        <x:v>3901.3500000000004</x:v>
      </x:c>
      <x:c r="F1137" s="11" t="n">
        <x:v>32.55</x:v>
      </x:c>
      <x:c r="G1137" s="11" t="n">
        <x:v>3868.8</x:v>
      </x:c>
      <x:c r="H1137" s="23" t="n">
        <x:v>0.00018999703101265017</x:v>
      </x:c>
      <x:c r="I1137" s="23" t="n">
        <x:v>0.8190527633571298</x:v>
      </x:c>
      <x:c r="J1137" s="2" t="n">
        <x:v>353</x:v>
      </x:c>
      <x:c r="K1137" s="2"/>
      <x:c r="L1137" s="2"/>
    </x:row>
    <x:row r="1138" ht="22" customHeight="1">
      <x:c r="A1138" s="2"/>
      <x:c r="B1138" s="2" t="n">
        <x:v>1105</x:v>
      </x:c>
      <x:c r="C1138" s="2" t="str">
        <x:v>23049</x:v>
      </x:c>
      <x:c r="D1138" s="2" t="str">
        <x:v>RECYCLED ACAPULCO MAT RED</x:v>
      </x:c>
      <x:c r="E1138" s="11" t="n">
        <x:v>3896.84</x:v>
      </x:c>
      <x:c r="F1138" s="11" t="n">
        <x:v>24.75</x:v>
      </x:c>
      <x:c r="G1138" s="11" t="n">
        <x:v>3872.09</x:v>
      </x:c>
      <x:c r="H1138" s="23" t="n">
        <x:v>0.00018977739252600654</x:v>
      </x:c>
      <x:c r="I1138" s="23" t="n">
        <x:v>0.8192425407496559</x:v>
      </x:c>
      <x:c r="J1138" s="2" t="n">
        <x:v>186</x:v>
      </x:c>
      <x:c r="K1138" s="2"/>
      <x:c r="L1138" s="2"/>
    </x:row>
    <x:row r="1139" ht="22" customHeight="1">
      <x:c r="A1139" s="2"/>
      <x:c r="B1139" s="2" t="n">
        <x:v>1106</x:v>
      </x:c>
      <x:c r="C1139" s="2" t="str">
        <x:v>22314</x:v>
      </x:c>
      <x:c r="D1139" s="2" t="str">
        <x:v>OFFICE MUG WARMER CHOC+BLUE</x:v>
      </x:c>
      <x:c r="E1139" s="11" t="n">
        <x:v>3891.4300000000003</x:v>
      </x:c>
      <x:c r="F1139" s="11" t="n">
        <x:v>15.8</x:v>
      </x:c>
      <x:c r="G1139" s="11" t="n">
        <x:v>3875.63</x:v>
      </x:c>
      <x:c r="H1139" s="23" t="n">
        <x:v>0.0001895139237426935</x:v>
      </x:c>
      <x:c r="I1139" s="23" t="n">
        <x:v>0.8194320546733985</x:v>
      </x:c>
      <x:c r="J1139" s="2" t="n">
        <x:v>249</x:v>
      </x:c>
      <x:c r="K1139" s="2"/>
      <x:c r="L1139" s="2"/>
    </x:row>
    <x:row r="1140" ht="22" customHeight="1">
      <x:c r="A1140" s="2"/>
      <x:c r="B1140" s="2" t="n">
        <x:v>1107</x:v>
      </x:c>
      <x:c r="C1140" s="2" t="str">
        <x:v>21192</x:v>
      </x:c>
      <x:c r="D1140" s="2" t="str">
        <x:v>WHITE BELL HONEYCOMB PAPER </x:v>
      </x:c>
      <x:c r="E1140" s="11" t="n">
        <x:v>3888.9399999999996</x:v>
      </x:c>
      <x:c r="F1140" s="11" t="n">
        <x:v>69.6</x:v>
      </x:c>
      <x:c r="G1140" s="11" t="n">
        <x:v>3819.3399999999997</x:v>
      </x:c>
      <x:c r="H1140" s="23" t="n">
        <x:v>0.00018939265992190795</x:v>
      </x:c>
      <x:c r="I1140" s="23" t="n">
        <x:v>0.8196214473333204</x:v>
      </x:c>
      <x:c r="J1140" s="2" t="n">
        <x:v>216</x:v>
      </x:c>
      <x:c r="K1140" s="2"/>
      <x:c r="L1140" s="2"/>
    </x:row>
    <x:row r="1141" ht="22" customHeight="1">
      <x:c r="A1141" s="2"/>
      <x:c r="B1141" s="2" t="n">
        <x:v>1108</x:v>
      </x:c>
      <x:c r="C1141" s="2" t="str">
        <x:v>37340</x:v>
      </x:c>
      <x:c r="D1141" s="2" t="str">
        <x:v>MULTICOLOUR SPRING FLOWER MUG</x:v>
      </x:c>
      <x:c r="E1141" s="11" t="n">
        <x:v>3886.43</x:v>
      </x:c>
      <x:c r="F1141" s="11" t="n">
        <x:v>501.2200000000001</x:v>
      </x:c>
      <x:c r="G1141" s="11" t="n">
        <x:v>3385.21</x:v>
      </x:c>
      <x:c r="H1141" s="23" t="n">
        <x:v>0.00018927042209452983</x:v>
      </x:c>
      <x:c r="I1141" s="23" t="n">
        <x:v>0.8198107177554149</x:v>
      </x:c>
      <x:c r="J1141" s="2" t="n">
        <x:v>204</x:v>
      </x:c>
      <x:c r="K1141" s="2"/>
      <x:c r="L1141" s="2"/>
    </x:row>
    <x:row r="1142" ht="22" customHeight="1">
      <x:c r="A1142" s="2"/>
      <x:c r="B1142" s="2" t="n">
        <x:v>1109</x:v>
      </x:c>
      <x:c r="C1142" s="2" t="str">
        <x:v>22790</x:v>
      </x:c>
      <x:c r="D1142" s="2" t="str">
        <x:v>MIRROR, ARCHED GEORGIAN</x:v>
      </x:c>
      <x:c r="E1142" s="11" t="n">
        <x:v>3884.0000000000005</x:v>
      </x:c>
      <x:c r="F1142" s="11" t="n">
        <x:v>0</x:v>
      </x:c>
      <x:c r="G1142" s="11" t="n">
        <x:v>3884.0000000000005</x:v>
      </x:c>
      <x:c r="H1142" s="23" t="n">
        <x:v>0.0001891520802935223</x:v>
      </x:c>
      <x:c r="I1142" s="23" t="n">
        <x:v>0.8199998698357085</x:v>
      </x:c>
      <x:c r="J1142" s="2" t="n">
        <x:v>1</x:v>
      </x:c>
      <x:c r="K1142" s="2"/>
      <x:c r="L1142" s="2"/>
    </x:row>
    <x:row r="1143" ht="22" customHeight="1">
      <x:c r="A1143" s="2"/>
      <x:c r="B1143" s="2" t="n">
        <x:v>1110</x:v>
      </x:c>
      <x:c r="C1143" s="2" t="str">
        <x:v>23552</x:v>
      </x:c>
      <x:c r="D1143" s="2" t="str">
        <x:v>BICYCLE PUNCTURE REPAIR KIT </x:v>
      </x:c>
      <x:c r="E1143" s="11" t="n">
        <x:v>3883.99</x:v>
      </x:c>
      <x:c r="F1143" s="11" t="n">
        <x:v>0</x:v>
      </x:c>
      <x:c r="G1143" s="11" t="n">
        <x:v>3883.99</x:v>
      </x:c>
      <x:c r="H1143" s="23" t="n">
        <x:v>0.00018915159329022595</x:v>
      </x:c>
      <x:c r="I1143" s="23" t="n">
        <x:v>0.8201890214289987</x:v>
      </x:c>
      <x:c r="J1143" s="2" t="n">
        <x:v>116</x:v>
      </x:c>
      <x:c r="K1143" s="2"/>
      <x:c r="L1143" s="2"/>
    </x:row>
    <x:row r="1144" ht="22" customHeight="1">
      <x:c r="A1144" s="2"/>
      <x:c r="B1144" s="2" t="n">
        <x:v>1111</x:v>
      </x:c>
      <x:c r="C1144" s="2" t="str">
        <x:v>23032</x:v>
      </x:c>
      <x:c r="D1144" s="2" t="str">
        <x:v>DRAWER KNOB CRACKLE GLAZE IVORY</x:v>
      </x:c>
      <x:c r="E1144" s="11" t="n">
        <x:v>3876.7799999999997</x:v>
      </x:c>
      <x:c r="F1144" s="11" t="n">
        <x:v>75.89999999999999</x:v>
      </x:c>
      <x:c r="G1144" s="11" t="n">
        <x:v>3800.8799999999997</x:v>
      </x:c>
      <x:c r="H1144" s="23" t="n">
        <x:v>0.00018880046391357396</x:v>
      </x:c>
      <x:c r="I1144" s="23" t="n">
        <x:v>0.8203778218929123</x:v>
      </x:c>
      <x:c r="J1144" s="2" t="n">
        <x:v>199</x:v>
      </x:c>
      <x:c r="K1144" s="2"/>
      <x:c r="L1144" s="2"/>
    </x:row>
    <x:row r="1145" ht="22" customHeight="1">
      <x:c r="A1145" s="2"/>
      <x:c r="B1145" s="2" t="n">
        <x:v>1112</x:v>
      </x:c>
      <x:c r="C1145" s="2" t="str">
        <x:v>22591</x:v>
      </x:c>
      <x:c r="D1145" s="2" t="str">
        <x:v>CARDHOLDER GINGHAM CHRISTMAS TREE</x:v>
      </x:c>
      <x:c r="E1145" s="11" t="n">
        <x:v>3874.5499999999997</x:v>
      </x:c>
      <x:c r="F1145" s="11" t="n">
        <x:v>214.7</x:v>
      </x:c>
      <x:c r="G1145" s="11" t="n">
        <x:v>3659.85</x:v>
      </x:c>
      <x:c r="H1145" s="23" t="n">
        <x:v>0.000188691862178493</x:v>
      </x:c>
      <x:c r="I1145" s="23" t="n">
        <x:v>0.8205665137550908</x:v>
      </x:c>
      <x:c r="J1145" s="2" t="n">
        <x:v>208</x:v>
      </x:c>
      <x:c r="K1145" s="2"/>
      <x:c r="L1145" s="2"/>
    </x:row>
    <x:row r="1146" ht="22" customHeight="1">
      <x:c r="A1146" s="2"/>
      <x:c r="B1146" s="2" t="n">
        <x:v>1113</x:v>
      </x:c>
      <x:c r="C1146" s="2" t="str">
        <x:v>22118</x:v>
      </x:c>
      <x:c r="D1146" s="2" t="str">
        <x:v>JOY WOODEN BLOCK LETTERS</x:v>
      </x:c>
      <x:c r="E1146" s="11" t="n">
        <x:v>3873.0200000000004</x:v>
      </x:c>
      <x:c r="F1146" s="11" t="n">
        <x:v>9.9</x:v>
      </x:c>
      <x:c r="G1146" s="11" t="n">
        <x:v>3863.1200000000003</x:v>
      </x:c>
      <x:c r="H1146" s="23" t="n">
        <x:v>0.00018861735067415494</x:v>
      </x:c>
      <x:c r="I1146" s="23" t="n">
        <x:v>0.8207551311057649</x:v>
      </x:c>
      <x:c r="J1146" s="2" t="n">
        <x:v>271</x:v>
      </x:c>
      <x:c r="K1146" s="2"/>
      <x:c r="L1146" s="2"/>
    </x:row>
    <x:row r="1147" ht="22" customHeight="1">
      <x:c r="A1147" s="2"/>
      <x:c r="B1147" s="2" t="n">
        <x:v>1114</x:v>
      </x:c>
      <x:c r="C1147" s="2" t="str">
        <x:v>22843</x:v>
      </x:c>
      <x:c r="D1147" s="2" t="str">
        <x:v>BISCUIT TIN VINTAGE GREEN</x:v>
      </x:c>
      <x:c r="E1147" s="11" t="n">
        <x:v>3872.01</x:v>
      </x:c>
      <x:c r="F1147" s="11" t="n">
        <x:v>107.2</x:v>
      </x:c>
      <x:c r="G1147" s="11" t="n">
        <x:v>3764.81</x:v>
      </x:c>
      <x:c r="H1147" s="23" t="n">
        <x:v>0.00018856816334122587</x:v>
      </x:c>
      <x:c r="I1147" s="23" t="n">
        <x:v>0.8209436992691062</x:v>
      </x:c>
      <x:c r="J1147" s="2" t="n">
        <x:v>177</x:v>
      </x:c>
      <x:c r="K1147" s="2"/>
      <x:c r="L1147" s="2"/>
    </x:row>
    <x:row r="1148" ht="22" customHeight="1">
      <x:c r="A1148" s="2"/>
      <x:c r="B1148" s="2" t="n">
        <x:v>1115</x:v>
      </x:c>
      <x:c r="C1148" s="2" t="str">
        <x:v>22475</x:v>
      </x:c>
      <x:c r="D1148" s="2" t="str">
        <x:v>SKULL DESIGN TV DINNER TRAY</x:v>
      </x:c>
      <x:c r="E1148" s="11" t="n">
        <x:v>3871.65</x:v>
      </x:c>
      <x:c r="F1148" s="11" t="n">
        <x:v>29.700000000000003</x:v>
      </x:c>
      <x:c r="G1148" s="11" t="n">
        <x:v>3841.9500000000003</x:v>
      </x:c>
      <x:c r="H1148" s="23" t="n">
        <x:v>0.00018855063122255808</x:v>
      </x:c>
      <x:c r="I1148" s="23" t="n">
        <x:v>0.8211322499003287</x:v>
      </x:c>
      <x:c r="J1148" s="2" t="n">
        <x:v>256</x:v>
      </x:c>
      <x:c r="K1148" s="2"/>
      <x:c r="L1148" s="2"/>
    </x:row>
    <x:row r="1149" ht="22" customHeight="1">
      <x:c r="A1149" s="2"/>
      <x:c r="B1149" s="2" t="n">
        <x:v>1116</x:v>
      </x:c>
      <x:c r="C1149" s="2" t="str">
        <x:v>21055</x:v>
      </x:c>
      <x:c r="D1149" s="2" t="str">
        <x:v>TOOL BOX SOFT TOY </x:v>
      </x:c>
      <x:c r="E1149" s="11" t="n">
        <x:v>3865.9399999999996</x:v>
      </x:c>
      <x:c r="F1149" s="11" t="n">
        <x:v>62.65</x:v>
      </x:c>
      <x:c r="G1149" s="11" t="n">
        <x:v>3803.29</x:v>
      </x:c>
      <x:c r="H1149" s="23" t="n">
        <x:v>0.00018827255234035516</x:v>
      </x:c>
      <x:c r="I1149" s="23" t="n">
        <x:v>0.8213205224526691</x:v>
      </x:c>
      <x:c r="J1149" s="2" t="n">
        <x:v>222</x:v>
      </x:c>
      <x:c r="K1149" s="2"/>
      <x:c r="L1149" s="2"/>
    </x:row>
    <x:row r="1150" ht="22" customHeight="1">
      <x:c r="A1150" s="2"/>
      <x:c r="B1150" s="2" t="n">
        <x:v>1117</x:v>
      </x:c>
      <x:c r="C1150" s="2" t="str">
        <x:v>22478</x:v>
      </x:c>
      <x:c r="D1150" s="2" t="str">
        <x:v>BIRDHOUSE GARDEN MARKER </x:v>
      </x:c>
      <x:c r="E1150" s="11" t="n">
        <x:v>3855.91</x:v>
      </x:c>
      <x:c r="F1150" s="11" t="n">
        <x:v>2.5</x:v>
      </x:c>
      <x:c r="G1150" s="11" t="n">
        <x:v>3853.41</x:v>
      </x:c>
      <x:c r="H1150" s="23" t="n">
        <x:v>0.0001877840880341389</x:v>
      </x:c>
      <x:c r="I1150" s="23" t="n">
        <x:v>0.8215083065407032</x:v>
      </x:c>
      <x:c r="J1150" s="2" t="n">
        <x:v>317</x:v>
      </x:c>
      <x:c r="K1150" s="2"/>
      <x:c r="L1150" s="2"/>
    </x:row>
    <x:row r="1151" ht="22" customHeight="1">
      <x:c r="A1151" s="2"/>
      <x:c r="B1151" s="2" t="n">
        <x:v>1118</x:v>
      </x:c>
      <x:c r="C1151" s="2" t="str">
        <x:v>22777</x:v>
      </x:c>
      <x:c r="D1151" s="2" t="str">
        <x:v>GLASS CLOCHE LARGE</x:v>
      </x:c>
      <x:c r="E1151" s="11" t="n">
        <x:v>3855.82</x:v>
      </x:c>
      <x:c r="F1151" s="11" t="n">
        <x:v>50.15</x:v>
      </x:c>
      <x:c r="G1151" s="11" t="n">
        <x:v>3805.67</x:v>
      </x:c>
      <x:c r="H1151" s="23" t="n">
        <x:v>0.000187779705004472</x:v>
      </x:c>
      <x:c r="I1151" s="23" t="n">
        <x:v>0.8216960862457077</x:v>
      </x:c>
      <x:c r="J1151" s="2" t="n">
        <x:v>100</x:v>
      </x:c>
      <x:c r="K1151" s="2"/>
      <x:c r="L1151" s="2"/>
    </x:row>
    <x:row r="1152" ht="22" customHeight="1">
      <x:c r="A1152" s="2"/>
      <x:c r="B1152" s="2" t="n">
        <x:v>1119</x:v>
      </x:c>
      <x:c r="C1152" s="2" t="str">
        <x:v>22272</x:v>
      </x:c>
      <x:c r="D1152" s="2" t="str">
        <x:v>Damaged</x:v>
      </x:c>
      <x:c r="E1152" s="11" t="n">
        <x:v>3851.2900000000004</x:v>
      </x:c>
      <x:c r="F1152" s="11" t="n">
        <x:v>2.95</x:v>
      </x:c>
      <x:c r="G1152" s="11" t="n">
        <x:v>3848.34</x:v>
      </x:c>
      <x:c r="H1152" s="23" t="n">
        <x:v>0.00018755909251123572</x:v>
      </x:c>
      <x:c r="I1152" s="23" t="n">
        <x:v>0.8218836453382189</x:v>
      </x:c>
      <x:c r="J1152" s="2" t="n">
        <x:v>300</x:v>
      </x:c>
      <x:c r="K1152" s="2"/>
      <x:c r="L1152" s="2"/>
    </x:row>
    <x:row r="1153" ht="22" customHeight="1">
      <x:c r="A1153" s="2"/>
      <x:c r="B1153" s="2" t="n">
        <x:v>1120</x:v>
      </x:c>
      <x:c r="C1153" s="2" t="str">
        <x:v>23253</x:v>
      </x:c>
      <x:c r="D1153" s="2" t="str">
        <x:v>16 PIECE CUTLERY SET PANTRY DESIGN</x:v>
      </x:c>
      <x:c r="E1153" s="11" t="n">
        <x:v>3848.8599999999997</x:v>
      </x:c>
      <x:c r="F1153" s="11" t="n">
        <x:v>31.9</x:v>
      </x:c>
      <x:c r="G1153" s="11" t="n">
        <x:v>3816.96</x:v>
      </x:c>
      <x:c r="H1153" s="23" t="n">
        <x:v>0.00018744075071022815</x:v>
      </x:c>
      <x:c r="I1153" s="23" t="n">
        <x:v>0.8220710860889291</x:v>
      </x:c>
      <x:c r="J1153" s="2" t="n">
        <x:v>70</x:v>
      </x:c>
      <x:c r="K1153" s="2"/>
      <x:c r="L1153" s="2"/>
    </x:row>
    <x:row r="1154" ht="22" customHeight="1">
      <x:c r="A1154" s="2"/>
      <x:c r="B1154" s="2" t="n">
        <x:v>1121</x:v>
      </x:c>
      <x:c r="C1154" s="2" t="str">
        <x:v>21447</x:v>
      </x:c>
      <x:c r="D1154" s="2" t="str">
        <x:v>12 IVORY ROSE PEG PLACE SETTINGS</x:v>
      </x:c>
      <x:c r="E1154" s="11" t="n">
        <x:v>3846.38</x:v>
      </x:c>
      <x:c r="F1154" s="11" t="n">
        <x:v>1.25</x:v>
      </x:c>
      <x:c r="G1154" s="11" t="n">
        <x:v>3845.13</x:v>
      </x:c>
      <x:c r="H1154" s="23" t="n">
        <x:v>0.000187319973892739</x:v>
      </x:c>
      <x:c r="I1154" s="23" t="n">
        <x:v>0.8222584060628219</x:v>
      </x:c>
      <x:c r="J1154" s="2" t="n">
        <x:v>336</x:v>
      </x:c>
      <x:c r="K1154" s="2"/>
      <x:c r="L1154" s="2"/>
    </x:row>
    <x:row r="1155" ht="22" customHeight="1">
      <x:c r="A1155" s="2"/>
      <x:c r="B1155" s="2" t="n">
        <x:v>1122</x:v>
      </x:c>
      <x:c r="C1155" s="2" t="str">
        <x:v>22778</x:v>
      </x:c>
      <x:c r="D1155" s="2" t="str">
        <x:v>GLASS CLOCHE SMALL</x:v>
      </x:c>
      <x:c r="E1155" s="11" t="n">
        <x:v>3844.46</x:v>
      </x:c>
      <x:c r="F1155" s="11" t="n">
        <x:v>250.77</x:v>
      </x:c>
      <x:c r="G1155" s="11" t="n">
        <x:v>3593.69</x:v>
      </x:c>
      <x:c r="H1155" s="23" t="n">
        <x:v>0.00018722646925984417</x:v>
      </x:c>
      <x:c r="I1155" s="23" t="n">
        <x:v>0.8224456325320817</x:v>
      </x:c>
      <x:c r="J1155" s="2" t="n">
        <x:v>194</x:v>
      </x:c>
      <x:c r="K1155" s="2"/>
      <x:c r="L1155" s="2"/>
    </x:row>
    <x:row r="1156" ht="22" customHeight="1">
      <x:c r="A1156" s="2"/>
      <x:c r="B1156" s="2" t="n">
        <x:v>1123</x:v>
      </x:c>
      <x:c r="C1156" s="2" t="str">
        <x:v>21067</x:v>
      </x:c>
      <x:c r="D1156" s="2" t="str">
        <x:v>VINTAGE RED TEATIME MUG</x:v>
      </x:c>
      <x:c r="E1156" s="11" t="n">
        <x:v>3840.67</x:v>
      </x:c>
      <x:c r="F1156" s="11" t="n">
        <x:v>39.760000000000005</x:v>
      </x:c>
      <x:c r="G1156" s="11" t="n">
        <x:v>3800.91</x:v>
      </x:c>
      <x:c r="H1156" s="23" t="n">
        <x:v>0.0001870418950105361</x:v>
      </x:c>
      <x:c r="I1156" s="23" t="n">
        <x:v>0.8226326744270922</x:v>
      </x:c>
      <x:c r="J1156" s="2" t="n">
        <x:v>266</x:v>
      </x:c>
      <x:c r="K1156" s="2"/>
      <x:c r="L1156" s="2"/>
    </x:row>
    <x:row r="1157" ht="22" customHeight="1">
      <x:c r="A1157" s="2"/>
      <x:c r="B1157" s="2" t="n">
        <x:v>1124</x:v>
      </x:c>
      <x:c r="C1157" s="2" t="str">
        <x:v>23131</x:v>
      </x:c>
      <x:c r="D1157" s="2" t="str">
        <x:v>MISTLETOE HEART WREATH CREAM</x:v>
      </x:c>
      <x:c r="E1157" s="11" t="n">
        <x:v>3840.13</x:v>
      </x:c>
      <x:c r="F1157" s="11" t="n">
        <x:v>24.9</x:v>
      </x:c>
      <x:c r="G1157" s="11" t="n">
        <x:v>3815.2300000000005</x:v>
      </x:c>
      <x:c r="H1157" s="23" t="n">
        <x:v>0.00018701559683253444</x:v>
      </x:c>
      <x:c r="I1157" s="23" t="n">
        <x:v>0.8228196900239247</x:v>
      </x:c>
      <x:c r="J1157" s="2" t="n">
        <x:v>115</x:v>
      </x:c>
      <x:c r="K1157" s="2"/>
      <x:c r="L1157" s="2"/>
    </x:row>
    <x:row r="1158" ht="22" customHeight="1">
      <x:c r="A1158" s="2"/>
      <x:c r="B1158" s="2" t="n">
        <x:v>1125</x:v>
      </x:c>
      <x:c r="C1158" s="2" t="str">
        <x:v>23111</x:v>
      </x:c>
      <x:c r="D1158" s="2" t="str">
        <x:v>PARISIENNE SEWING BOX</x:v>
      </x:c>
      <x:c r="E1158" s="11" t="n">
        <x:v>3839.2400000000002</x:v>
      </x:c>
      <x:c r="F1158" s="11" t="n">
        <x:v>283.2</x:v>
      </x:c>
      <x:c r="G1158" s="11" t="n">
        <x:v>3556.04</x:v>
      </x:c>
      <x:c r="H1158" s="23" t="n">
        <x:v>0.00018697225353916133</x:v>
      </x:c>
      <x:c r="I1158" s="23" t="n">
        <x:v>0.8230066622774639</x:v>
      </x:c>
      <x:c r="J1158" s="2" t="n">
        <x:v>138</x:v>
      </x:c>
      <x:c r="K1158" s="2"/>
      <x:c r="L1158" s="2"/>
    </x:row>
    <x:row r="1159" ht="22" customHeight="1">
      <x:c r="A1159" s="2"/>
      <x:c r="B1159" s="2" t="n">
        <x:v>1126</x:v>
      </x:c>
      <x:c r="C1159" s="2" t="str">
        <x:v>85040B</x:v>
      </x:c>
      <x:c r="D1159" s="2" t="str">
        <x:v>SET/4 BLUE FLOWER CANDLES IN BOWL</x:v>
      </x:c>
      <x:c r="E1159" s="11" t="n">
        <x:v>3838.5299999999997</x:v>
      </x:c>
      <x:c r="F1159" s="11" t="n">
        <x:v>97.64999999999999</x:v>
      </x:c>
      <x:c r="G1159" s="11" t="n">
        <x:v>3740.8799999999997</x:v>
      </x:c>
      <x:c r="H1159" s="23" t="n">
        <x:v>0.00018693767630512207</x:v>
      </x:c>
      <x:c r="I1159" s="23" t="n">
        <x:v>0.8231935999537691</x:v>
      </x:c>
      <x:c r="J1159" s="2" t="n">
        <x:v>252</x:v>
      </x:c>
      <x:c r="K1159" s="2"/>
      <x:c r="L1159" s="2"/>
    </x:row>
    <x:row r="1160" ht="22" customHeight="1">
      <x:c r="A1160" s="2"/>
      <x:c r="B1160" s="2" t="n">
        <x:v>1127</x:v>
      </x:c>
      <x:c r="C1160" s="2" t="str">
        <x:v>22965</x:v>
      </x:c>
      <x:c r="D1160" s="2" t="str">
        <x:v>3 TRADITIONAl BISCUIT CUTTERS  SET</x:v>
      </x:c>
      <x:c r="E1160" s="11" t="n">
        <x:v>3838.2400000000002</x:v>
      </x:c>
      <x:c r="F1160" s="11" t="n">
        <x:v>79.80000000000001</x:v>
      </x:c>
      <x:c r="G1160" s="11" t="n">
        <x:v>3758.4400000000005</x:v>
      </x:c>
      <x:c r="H1160" s="23" t="n">
        <x:v>0.0001869235532095286</x:v>
      </x:c>
      <x:c r="I1160" s="23" t="n">
        <x:v>0.8233805235069785</x:v>
      </x:c>
      <x:c r="J1160" s="2" t="n">
        <x:v>260</x:v>
      </x:c>
      <x:c r="K1160" s="2"/>
      <x:c r="L1160" s="2"/>
    </x:row>
    <x:row r="1161" ht="22" customHeight="1">
      <x:c r="A1161" s="2"/>
      <x:c r="B1161" s="2" t="n">
        <x:v>1128</x:v>
      </x:c>
      <x:c r="C1161" s="2" t="str">
        <x:v>21846</x:v>
      </x:c>
      <x:c r="D1161" s="2" t="str">
        <x:v>PINK DIAMANTE PEN IN GIFT BOX</x:v>
      </x:c>
      <x:c r="E1161" s="11" t="n">
        <x:v>3833.4</x:v>
      </x:c>
      <x:c r="F1161" s="11" t="n">
        <x:v>81.85000000000001</x:v>
      </x:c>
      <x:c r="G1161" s="11" t="n">
        <x:v>3751.5499999999997</x:v>
      </x:c>
      <x:c r="H1161" s="23" t="n">
        <x:v>0.00018668784361410617</x:v>
      </x:c>
      <x:c r="I1161" s="23" t="n">
        <x:v>0.8235672113505926</x:v>
      </x:c>
      <x:c r="J1161" s="2" t="n">
        <x:v>264</x:v>
      </x:c>
      <x:c r="K1161" s="2"/>
      <x:c r="L1161" s="2"/>
    </x:row>
    <x:row r="1162" ht="22" customHeight="1">
      <x:c r="A1162" s="2"/>
      <x:c r="B1162" s="2" t="n">
        <x:v>1129</x:v>
      </x:c>
      <x:c r="C1162" s="2" t="str">
        <x:v>71038</x:v>
      </x:c>
      <x:c r="D1162" s="2" t="str">
        <x:v>WHITE HANGING BEADS CANDLE HOLDER</x:v>
      </x:c>
      <x:c r="E1162" s="11" t="n">
        <x:v>3821.9500000000003</x:v>
      </x:c>
      <x:c r="F1162" s="11" t="n">
        <x:v>70.85</x:v>
      </x:c>
      <x:c r="G1162" s="11" t="n">
        <x:v>3751.1000000000004</x:v>
      </x:c>
      <x:c r="H1162" s="23" t="n">
        <x:v>0.00018613022483981144</x:v>
      </x:c>
      <x:c r="I1162" s="23" t="n">
        <x:v>0.8237533415754325</x:v>
      </x:c>
      <x:c r="J1162" s="2" t="n">
        <x:v>144</x:v>
      </x:c>
      <x:c r="K1162" s="2"/>
      <x:c r="L1162" s="2"/>
    </x:row>
    <x:row r="1163" ht="22" customHeight="1">
      <x:c r="A1163" s="2"/>
      <x:c r="B1163" s="2" t="n">
        <x:v>1130</x:v>
      </x:c>
      <x:c r="C1163" s="2" t="str">
        <x:v>72802A</x:v>
      </x:c>
      <x:c r="D1163" s="2" t="str">
        <x:v>ROSE SCENT CANDLE IN JEWELLED BOX</x:v>
      </x:c>
      <x:c r="E1163" s="11" t="n">
        <x:v>3806.9</x:v>
      </x:c>
      <x:c r="F1163" s="11" t="n">
        <x:v>185.09</x:v>
      </x:c>
      <x:c r="G1163" s="11" t="n">
        <x:v>3621.81</x:v>
      </x:c>
      <x:c r="H1163" s="23" t="n">
        <x:v>0.00018539728487883882</x:v>
      </x:c>
      <x:c r="I1163" s="23" t="n">
        <x:v>0.8239387388603113</x:v>
      </x:c>
      <x:c r="J1163" s="2" t="n">
        <x:v>182</x:v>
      </x:c>
      <x:c r="K1163" s="2"/>
      <x:c r="L1163" s="2"/>
    </x:row>
    <x:row r="1164" ht="22" customHeight="1">
      <x:c r="A1164" s="2"/>
      <x:c r="B1164" s="2" t="n">
        <x:v>1131</x:v>
      </x:c>
      <x:c r="C1164" s="2" t="str">
        <x:v>21100</x:v>
      </x:c>
      <x:c r="D1164" s="2" t="str">
        <x:v>Damaged</x:v>
      </x:c>
      <x:c r="E1164" s="11" t="n">
        <x:v>3806.5499999999997</x:v>
      </x:c>
      <x:c r="F1164" s="11" t="n">
        <x:v>6.6</x:v>
      </x:c>
      <x:c r="G1164" s="11" t="n">
        <x:v>3799.95</x:v>
      </x:c>
      <x:c r="H1164" s="23" t="n">
        <x:v>0.00018538023976346737</x:v>
      </x:c>
      <x:c r="I1164" s="23" t="n">
        <x:v>0.8241241191000748</x:v>
      </x:c>
      <x:c r="J1164" s="2" t="n">
        <x:v>269</x:v>
      </x:c>
      <x:c r="K1164" s="2"/>
      <x:c r="L1164" s="2"/>
    </x:row>
    <x:row r="1165" ht="22" customHeight="1">
      <x:c r="A1165" s="2"/>
      <x:c r="B1165" s="2" t="n">
        <x:v>1132</x:v>
      </x:c>
      <x:c r="C1165" s="2" t="str">
        <x:v>23542</x:v>
      </x:c>
      <x:c r="D1165" s="2" t="str">
        <x:v>WALL ART 70'S ALPHABET </x:v>
      </x:c>
      <x:c r="E1165" s="11" t="n">
        <x:v>3800.16</x:v>
      </x:c>
      <x:c r="F1165" s="11" t="n">
        <x:v>48.7</x:v>
      </x:c>
      <x:c r="G1165" s="11" t="n">
        <x:v>3751.46</x:v>
      </x:c>
      <x:c r="H1165" s="23" t="n">
        <x:v>0.00018506904465711421</x:v>
      </x:c>
      <x:c r="I1165" s="23" t="n">
        <x:v>0.8243091881447319</x:v>
      </x:c>
      <x:c r="J1165" s="2" t="n">
        <x:v>89</x:v>
      </x:c>
      <x:c r="K1165" s="2"/>
      <x:c r="L1165" s="2"/>
    </x:row>
    <x:row r="1166" ht="22" customHeight="1">
      <x:c r="A1166" s="2"/>
      <x:c r="B1166" s="2" t="n">
        <x:v>1133</x:v>
      </x:c>
      <x:c r="C1166" s="2" t="str">
        <x:v>22579</x:v>
      </x:c>
      <x:c r="D1166" s="2" t="str">
        <x:v>WOODEN TREE CHRISTMAS SCANDINAVIAN</x:v>
      </x:c>
      <x:c r="E1166" s="11" t="n">
        <x:v>3799.85</x:v>
      </x:c>
      <x:c r="F1166" s="11" t="n">
        <x:v>81.6</x:v>
      </x:c>
      <x:c r="G1166" s="11" t="n">
        <x:v>3718.2499999999995</x:v>
      </x:c>
      <x:c r="H1166" s="23" t="n">
        <x:v>0.00018505394755492807</x:v>
      </x:c>
      <x:c r="I1166" s="23" t="n">
        <x:v>0.8244942420922868</x:v>
      </x:c>
      <x:c r="J1166" s="2" t="n">
        <x:v>553</x:v>
      </x:c>
      <x:c r="K1166" s="2"/>
      <x:c r="L1166" s="2"/>
    </x:row>
    <x:row r="1167" ht="22" customHeight="1">
      <x:c r="A1167" s="2"/>
      <x:c r="B1167" s="2" t="n">
        <x:v>1134</x:v>
      </x:c>
      <x:c r="C1167" s="2" t="str">
        <x:v>22458</x:v>
      </x:c>
      <x:c r="D1167" s="2" t="str">
        <x:v>Missing</x:v>
      </x:c>
      <x:c r="E1167" s="11" t="n">
        <x:v>3795.5699999999997</x:v>
      </x:c>
      <x:c r="F1167" s="11" t="n">
        <x:v>0</x:v>
      </x:c>
      <x:c r="G1167" s="11" t="n">
        <x:v>3795.5699999999997</x:v>
      </x:c>
      <x:c r="H1167" s="23" t="n">
        <x:v>0.00018484551014409997</x:v>
      </x:c>
      <x:c r="I1167" s="23" t="n">
        <x:v>0.8246790876024309</x:v>
      </x:c>
      <x:c r="J1167" s="2" t="n">
        <x:v>173</x:v>
      </x:c>
      <x:c r="K1167" s="2"/>
      <x:c r="L1167" s="2"/>
    </x:row>
    <x:row r="1168" ht="22" customHeight="1">
      <x:c r="A1168" s="2"/>
      <x:c r="B1168" s="2" t="n">
        <x:v>1135</x:v>
      </x:c>
      <x:c r="C1168" s="2" t="str">
        <x:v>84016</x:v>
      </x:c>
      <x:c r="D1168" s="2" t="str">
        <x:v>FLAG OF ST GEORGE CAR FLAG</x:v>
      </x:c>
      <x:c r="E1168" s="11" t="n">
        <x:v>3791.67</x:v>
      </x:c>
      <x:c r="F1168" s="11" t="n">
        <x:v>50.3</x:v>
      </x:c>
      <x:c r="G1168" s="11" t="n">
        <x:v>3741.3700000000003</x:v>
      </x:c>
      <x:c r="H1168" s="23" t="n">
        <x:v>0.00018465557885853236</x:v>
      </x:c>
      <x:c r="I1168" s="23" t="n">
        <x:v>0.8248637431812894</x:v>
      </x:c>
      <x:c r="J1168" s="2" t="n">
        <x:v>62</x:v>
      </x:c>
      <x:c r="K1168" s="2"/>
      <x:c r="L1168" s="2"/>
    </x:row>
    <x:row r="1169" ht="22" customHeight="1">
      <x:c r="A1169" s="2"/>
      <x:c r="B1169" s="2" t="n">
        <x:v>1136</x:v>
      </x:c>
      <x:c r="C1169" s="2" t="str">
        <x:v>21813</x:v>
      </x:c>
      <x:c r="D1169" s="2" t="str">
        <x:v>GARLAND WITH STARS AND BELLS</x:v>
      </x:c>
      <x:c r="E1169" s="11" t="n">
        <x:v>3791.11</x:v>
      </x:c>
      <x:c r="F1169" s="11" t="n">
        <x:v>103.95</x:v>
      </x:c>
      <x:c r="G1169" s="11" t="n">
        <x:v>3687.1600000000003</x:v>
      </x:c>
      <x:c r="H1169" s="23" t="n">
        <x:v>0.00018462830667393803</x:v>
      </x:c>
      <x:c r="I1169" s="23" t="n">
        <x:v>0.8250483714879634</x:v>
      </x:c>
      <x:c r="J1169" s="2" t="n">
        <x:v>184</x:v>
      </x:c>
      <x:c r="K1169" s="2"/>
      <x:c r="L1169" s="2"/>
    </x:row>
    <x:row r="1170" ht="22" customHeight="1">
      <x:c r="A1170" s="2"/>
      <x:c r="B1170" s="2" t="n">
        <x:v>1137</x:v>
      </x:c>
      <x:c r="C1170" s="2" t="str">
        <x:v>22292</x:v>
      </x:c>
      <x:c r="D1170" s="2" t="str">
        <x:v>HANGING CHICK  YELLOW DECORATION</x:v>
      </x:c>
      <x:c r="E1170" s="11" t="n">
        <x:v>3786.79</x:v>
      </x:c>
      <x:c r="F1170" s="11" t="n">
        <x:v>34.8</x:v>
      </x:c>
      <x:c r="G1170" s="11" t="n">
        <x:v>3751.99</x:v>
      </x:c>
      <x:c r="H1170" s="23" t="n">
        <x:v>0.00018441792124992463</x:v>
      </x:c>
      <x:c r="I1170" s="23" t="n">
        <x:v>0.8252327894092133</x:v>
      </x:c>
      <x:c r="J1170" s="2" t="n">
        <x:v>222</x:v>
      </x:c>
      <x:c r="K1170" s="2"/>
      <x:c r="L1170" s="2"/>
    </x:row>
    <x:row r="1171" ht="22" customHeight="1">
      <x:c r="A1171" s="2"/>
      <x:c r="B1171" s="2" t="n">
        <x:v>1138</x:v>
      </x:c>
      <x:c r="C1171" s="2" t="str">
        <x:v>23299</x:v>
      </x:c>
      <x:c r="D1171" s="2" t="str">
        <x:v>FOOD COVER WITH BEADS SET 2 </x:v>
      </x:c>
      <x:c r="E1171" s="11" t="n">
        <x:v>3784.13</x:v>
      </x:c>
      <x:c r="F1171" s="11" t="n">
        <x:v>30</x:v>
      </x:c>
      <x:c r="G1171" s="11" t="n">
        <x:v>3754.13</x:v>
      </x:c>
      <x:c r="H1171" s="23" t="n">
        <x:v>0.00018428837837310158</x:v>
      </x:c>
      <x:c r="I1171" s="23" t="n">
        <x:v>0.8254170777875864</x:v>
      </x:c>
      <x:c r="J1171" s="2" t="n">
        <x:v>146</x:v>
      </x:c>
      <x:c r="K1171" s="2"/>
      <x:c r="L1171" s="2"/>
    </x:row>
    <x:row r="1172" ht="22" customHeight="1">
      <x:c r="A1172" s="2"/>
      <x:c r="B1172" s="2" t="n">
        <x:v>1139</x:v>
      </x:c>
      <x:c r="C1172" s="2" t="str">
        <x:v>21627</x:v>
      </x:c>
      <x:c r="D1172" s="2" t="str">
        <x:v>ELEPHANT CARNIVAL POUFFE</x:v>
      </x:c>
      <x:c r="E1172" s="11" t="n">
        <x:v>3781.2999999999997</x:v>
      </x:c>
      <x:c r="F1172" s="11" t="n">
        <x:v>78.7</x:v>
      </x:c>
      <x:c r="G1172" s="11" t="n">
        <x:v>3702.6</x:v>
      </x:c>
      <x:c r="H1172" s="23" t="n">
        <x:v>0.00018415055644024095</x:v>
      </x:c>
      <x:c r="I1172" s="23" t="n">
        <x:v>0.8256012283440267</x:v>
      </x:c>
      <x:c r="J1172" s="2" t="n">
        <x:v>115</x:v>
      </x:c>
      <x:c r="K1172" s="2"/>
      <x:c r="L1172" s="2"/>
    </x:row>
    <x:row r="1173" ht="22" customHeight="1">
      <x:c r="A1173" s="2"/>
      <x:c r="B1173" s="2" t="n">
        <x:v>1140</x:v>
      </x:c>
      <x:c r="C1173" s="2" t="str">
        <x:v>21743</x:v>
      </x:c>
      <x:c r="D1173" s="2" t="str">
        <x:v>STAR PORTABLE TABLE LIGHT </x:v>
      </x:c>
      <x:c r="E1173" s="11" t="n">
        <x:v>3778.88</x:v>
      </x:c>
      <x:c r="F1173" s="11" t="n">
        <x:v>174.05</x:v>
      </x:c>
      <x:c r="G1173" s="11" t="n">
        <x:v>3604.8300000000004</x:v>
      </x:c>
      <x:c r="H1173" s="23" t="n">
        <x:v>0.00018403270164252974</x:v>
      </x:c>
      <x:c r="I1173" s="23" t="n">
        <x:v>0.8257852610456693</x:v>
      </x:c>
      <x:c r="J1173" s="2" t="n">
        <x:v>182</x:v>
      </x:c>
      <x:c r="K1173" s="2"/>
      <x:c r="L1173" s="2"/>
    </x:row>
    <x:row r="1174" ht="22" customHeight="1">
      <x:c r="A1174" s="2"/>
      <x:c r="B1174" s="2" t="n">
        <x:v>1141</x:v>
      </x:c>
      <x:c r="C1174" s="2" t="str">
        <x:v>23092</x:v>
      </x:c>
      <x:c r="D1174" s="2" t="str">
        <x:v>LARGE ANTIQUE WHITE PHOTO FRAME</x:v>
      </x:c>
      <x:c r="E1174" s="11" t="n">
        <x:v>3773.5800000000004</x:v>
      </x:c>
      <x:c r="F1174" s="11" t="n">
        <x:v>77.75</x:v>
      </x:c>
      <x:c r="G1174" s="11" t="n">
        <x:v>3695.8300000000004</x:v>
      </x:c>
      <x:c r="H1174" s="23" t="n">
        <x:v>0.0001837745898954763</x:v>
      </x:c>
      <x:c r="I1174" s="23" t="n">
        <x:v>0.8259690356355648</x:v>
      </x:c>
      <x:c r="J1174" s="2" t="n">
        <x:v>135</x:v>
      </x:c>
      <x:c r="K1174" s="2"/>
      <x:c r="L1174" s="2"/>
    </x:row>
    <x:row r="1175" ht="22" customHeight="1">
      <x:c r="A1175" s="2"/>
      <x:c r="B1175" s="2" t="n">
        <x:v>1142</x:v>
      </x:c>
      <x:c r="C1175" s="2" t="str">
        <x:v>84356</x:v>
      </x:c>
      <x:c r="D1175" s="2" t="str">
        <x:v>POMPOM CURTAIN</x:v>
      </x:c>
      <x:c r="E1175" s="11" t="n">
        <x:v>3771.0400000000004</x:v>
      </x:c>
      <x:c r="F1175" s="11" t="n">
        <x:v>41.7</x:v>
      </x:c>
      <x:c r="G1175" s="11" t="n">
        <x:v>3729.34</x:v>
      </x:c>
      <x:c r="H1175" s="23" t="n">
        <x:v>0.00018365089105820917</x:v>
      </x:c>
      <x:c r="I1175" s="23" t="n">
        <x:v>0.826152686526623</x:v>
      </x:c>
      <x:c r="J1175" s="2" t="n">
        <x:v>133</x:v>
      </x:c>
      <x:c r="K1175" s="2"/>
      <x:c r="L1175" s="2"/>
    </x:row>
    <x:row r="1176" ht="22" customHeight="1">
      <x:c r="A1176" s="2"/>
      <x:c r="B1176" s="2" t="n">
        <x:v>1143</x:v>
      </x:c>
      <x:c r="C1176" s="2" t="str">
        <x:v>21329</x:v>
      </x:c>
      <x:c r="D1176" s="2" t="str">
        <x:v>DINOSAURS  WRITING SET </x:v>
      </x:c>
      <x:c r="E1176" s="11" t="n">
        <x:v>3770.5599999999995</x:v>
      </x:c>
      <x:c r="F1176" s="11" t="n">
        <x:v>33</x:v>
      </x:c>
      <x:c r="G1176" s="11" t="n">
        <x:v>3737.5599999999995</x:v>
      </x:c>
      <x:c r="H1176" s="23" t="n">
        <x:v>0.0001836275148999854</x:v>
      </x:c>
      <x:c r="I1176" s="23" t="n">
        <x:v>0.826336314041523</x:v>
      </x:c>
      <x:c r="J1176" s="2" t="n">
        <x:v>555</x:v>
      </x:c>
      <x:c r="K1176" s="2"/>
      <x:c r="L1176" s="2"/>
    </x:row>
    <x:row r="1177" ht="22" customHeight="1">
      <x:c r="A1177" s="2"/>
      <x:c r="B1177" s="2" t="n">
        <x:v>1144</x:v>
      </x:c>
      <x:c r="C1177" s="2" t="str">
        <x:v>85049C</x:v>
      </x:c>
      <x:c r="D1177" s="2" t="str">
        <x:v>ROMANTIC PINKS RIBBONS </x:v>
      </x:c>
      <x:c r="E1177" s="11" t="n">
        <x:v>3770.04</x:v>
      </x:c>
      <x:c r="F1177" s="11" t="n">
        <x:v>31.25</x:v>
      </x:c>
      <x:c r="G1177" s="11" t="n">
        <x:v>3738.79</x:v>
      </x:c>
      <x:c r="H1177" s="23" t="n">
        <x:v>0.0001836021907285764</x:v>
      </x:c>
      <x:c r="I1177" s="23" t="n">
        <x:v>0.8265199162322515</x:v>
      </x:c>
      <x:c r="J1177" s="2" t="n">
        <x:v>500</x:v>
      </x:c>
      <x:c r="K1177" s="2"/>
      <x:c r="L1177" s="2"/>
    </x:row>
    <x:row r="1178" ht="22" customHeight="1">
      <x:c r="A1178" s="2"/>
      <x:c r="B1178" s="2" t="n">
        <x:v>1145</x:v>
      </x:c>
      <x:c r="C1178" s="2" t="str">
        <x:v>23127</x:v>
      </x:c>
      <x:c r="D1178" s="2" t="str">
        <x:v>FELTCRAFT GIRL NICOLE KIT</x:v>
      </x:c>
      <x:c r="E1178" s="11" t="n">
        <x:v>3763.9500000000003</x:v>
      </x:c>
      <x:c r="F1178" s="11" t="n">
        <x:v>64.35000000000001</x:v>
      </x:c>
      <x:c r="G1178" s="11" t="n">
        <x:v>3699.6000000000004</x:v>
      </x:c>
      <x:c r="H1178" s="23" t="n">
        <x:v>0.0001833056057211131</x:v>
      </x:c>
      <x:c r="I1178" s="23" t="n">
        <x:v>0.8267032218379726</x:v>
      </x:c>
      <x:c r="J1178" s="2" t="n">
        <x:v>194</x:v>
      </x:c>
      <x:c r="K1178" s="2"/>
      <x:c r="L1178" s="2"/>
    </x:row>
    <x:row r="1179" ht="22" customHeight="1">
      <x:c r="A1179" s="2"/>
      <x:c r="B1179" s="2" t="n">
        <x:v>1146</x:v>
      </x:c>
      <x:c r="C1179" s="2" t="str">
        <x:v>22830</x:v>
      </x:c>
      <x:c r="D1179" s="2" t="str">
        <x:v>UTILTY CABINET WITH HOOKS</x:v>
      </x:c>
      <x:c r="E1179" s="11" t="n">
        <x:v>3760.71</x:v>
      </x:c>
      <x:c r="F1179" s="11" t="n">
        <x:v>0</x:v>
      </x:c>
      <x:c r="G1179" s="11" t="n">
        <x:v>3760.71</x:v>
      </x:c>
      <x:c r="H1179" s="23" t="n">
        <x:v>0.00018314781665310304</x:v>
      </x:c>
      <x:c r="I1179" s="23" t="n">
        <x:v>0.8268863696546257</x:v>
      </x:c>
      <x:c r="J1179" s="2" t="n">
        <x:v>18</x:v>
      </x:c>
      <x:c r="K1179" s="2"/>
      <x:c r="L1179" s="2"/>
    </x:row>
    <x:row r="1180" ht="22" customHeight="1">
      <x:c r="A1180" s="2"/>
      <x:c r="B1180" s="2" t="n">
        <x:v>1147</x:v>
      </x:c>
      <x:c r="C1180" s="2" t="str">
        <x:v>21845</x:v>
      </x:c>
      <x:c r="D1180" s="2" t="str">
        <x:v>DAIRY MAID STRIPE MUG</x:v>
      </x:c>
      <x:c r="E1180" s="11" t="n">
        <x:v>3759.2000000000003</x:v>
      </x:c>
      <x:c r="F1180" s="11" t="n">
        <x:v>111.04</x:v>
      </x:c>
      <x:c r="G1180" s="11" t="n">
        <x:v>3648.1600000000003</x:v>
      </x:c>
      <x:c r="H1180" s="23" t="n">
        <x:v>0.00018307427915535763</x:v>
      </x:c>
      <x:c r="I1180" s="23" t="n">
        <x:v>0.827069443933781</x:v>
      </x:c>
      <x:c r="J1180" s="2" t="n">
        <x:v>158</x:v>
      </x:c>
      <x:c r="K1180" s="2"/>
      <x:c r="L1180" s="2"/>
    </x:row>
    <x:row r="1181" ht="22" customHeight="1">
      <x:c r="A1181" s="2"/>
      <x:c r="B1181" s="2" t="n">
        <x:v>1148</x:v>
      </x:c>
      <x:c r="C1181" s="2" t="str">
        <x:v>22544</x:v>
      </x:c>
      <x:c r="D1181" s="2" t="str">
        <x:v>MINI JIGSAW SPACEBOY</x:v>
      </x:c>
      <x:c r="E1181" s="11" t="n">
        <x:v>3758.2</x:v>
      </x:c>
      <x:c r="F1181" s="11" t="n">
        <x:v>38.22</x:v>
      </x:c>
      <x:c r="G1181" s="11" t="n">
        <x:v>3719.98</x:v>
      </x:c>
      <x:c r="H1181" s="23" t="n">
        <x:v>0.0001830255788257249</x:v>
      </x:c>
      <x:c r="I1181" s="23" t="n">
        <x:v>0.8272524695126068</x:v>
      </x:c>
      <x:c r="J1181" s="2" t="n">
        <x:v>341</x:v>
      </x:c>
      <x:c r="K1181" s="2"/>
      <x:c r="L1181" s="2"/>
    </x:row>
    <x:row r="1182" ht="22" customHeight="1">
      <x:c r="A1182" s="2"/>
      <x:c r="B1182" s="2" t="n">
        <x:v>1149</x:v>
      </x:c>
      <x:c r="C1182" s="2" t="str">
        <x:v>22162</x:v>
      </x:c>
      <x:c r="D1182" s="2" t="str">
        <x:v>HEART GARLAND RUSTIC PADDED</x:v>
      </x:c>
      <x:c r="E1182" s="11" t="n">
        <x:v>3746.75</x:v>
      </x:c>
      <x:c r="F1182" s="11" t="n">
        <x:v>35.400000000000006</x:v>
      </x:c>
      <x:c r="G1182" s="11" t="n">
        <x:v>3711.3500000000004</x:v>
      </x:c>
      <x:c r="H1182" s="23" t="n">
        <x:v>0.00018246796005143013</x:v>
      </x:c>
      <x:c r="I1182" s="23" t="n">
        <x:v>0.8274349374726582</x:v>
      </x:c>
      <x:c r="J1182" s="2" t="n">
        <x:v>260</x:v>
      </x:c>
      <x:c r="K1182" s="2"/>
      <x:c r="L1182" s="2"/>
    </x:row>
    <x:row r="1183" ht="22" customHeight="1">
      <x:c r="A1183" s="2"/>
      <x:c r="B1183" s="2" t="n">
        <x:v>1150</x:v>
      </x:c>
      <x:c r="C1183" s="2" t="str">
        <x:v>21795</x:v>
      </x:c>
      <x:c r="D1183" s="2" t="str">
        <x:v>SET OF 3 BLUE STRIPE BASKET</x:v>
      </x:c>
      <x:c r="E1183" s="11" t="n">
        <x:v>3734.9400000000005</x:v>
      </x:c>
      <x:c r="F1183" s="11" t="n">
        <x:v>12.75</x:v>
      </x:c>
      <x:c r="G1183" s="11" t="n">
        <x:v>3722.1900000000005</x:v>
      </x:c>
      <x:c r="H1183" s="23" t="n">
        <x:v>0.00018189280915846762</x:v>
      </x:c>
      <x:c r="I1183" s="23" t="n">
        <x:v>0.8276168302818167</x:v>
      </x:c>
      <x:c r="J1183" s="2" t="n">
        <x:v>80</x:v>
      </x:c>
      <x:c r="K1183" s="2"/>
      <x:c r="L1183" s="2"/>
    </x:row>
    <x:row r="1184" ht="22" customHeight="1">
      <x:c r="A1184" s="2"/>
      <x:c r="B1184" s="2" t="n">
        <x:v>1151</x:v>
      </x:c>
      <x:c r="C1184" s="2" t="str">
        <x:v>22494</x:v>
      </x:c>
      <x:c r="D1184" s="2" t="str">
        <x:v>EMERGENCY FIRST AID TIN </x:v>
      </x:c>
      <x:c r="E1184" s="11" t="n">
        <x:v>3732.17</x:v>
      </x:c>
      <x:c r="F1184" s="11" t="n">
        <x:v>63.75</x:v>
      </x:c>
      <x:c r="G1184" s="11" t="n">
        <x:v>3668.42</x:v>
      </x:c>
      <x:c r="H1184" s="23" t="n">
        <x:v>0.00018175790924538493</x:v>
      </x:c>
      <x:c r="I1184" s="23" t="n">
        <x:v>0.827798588191062</x:v>
      </x:c>
      <x:c r="J1184" s="2" t="n">
        <x:v>468</x:v>
      </x:c>
      <x:c r="K1184" s="2"/>
      <x:c r="L1184" s="2"/>
    </x:row>
    <x:row r="1185" ht="22" customHeight="1">
      <x:c r="A1185" s="2"/>
      <x:c r="B1185" s="2" t="n">
        <x:v>1152</x:v>
      </x:c>
      <x:c r="C1185" s="2" t="str">
        <x:v>23091</x:v>
      </x:c>
      <x:c r="D1185" s="2" t="str">
        <x:v>ZINC HERB GARDEN CONTAINER</x:v>
      </x:c>
      <x:c r="E1185" s="11" t="n">
        <x:v>3725.07</x:v>
      </x:c>
      <x:c r="F1185" s="11" t="n">
        <x:v>43.75</x:v>
      </x:c>
      <x:c r="G1185" s="11" t="n">
        <x:v>3681.32</x:v>
      </x:c>
      <x:c r="H1185" s="23" t="n">
        <x:v>0.00018141213690499257</x:v>
      </x:c>
      <x:c r="I1185" s="23" t="n">
        <x:v>0.827980000327967</x:v>
      </x:c>
      <x:c r="J1185" s="2" t="n">
        <x:v>209</x:v>
      </x:c>
      <x:c r="K1185" s="2"/>
      <x:c r="L1185" s="2"/>
    </x:row>
    <x:row r="1186" ht="22" customHeight="1">
      <x:c r="A1186" s="2"/>
      <x:c r="B1186" s="2" t="n">
        <x:v>1153</x:v>
      </x:c>
      <x:c r="C1186" s="2" t="str">
        <x:v>23182</x:v>
      </x:c>
      <x:c r="D1186" s="2" t="str">
        <x:v>TOILET SIGN OCCUPIED OR VACANT</x:v>
      </x:c>
      <x:c r="E1186" s="11" t="n">
        <x:v>3718.0899999999997</x:v>
      </x:c>
      <x:c r="F1186" s="11" t="n">
        <x:v>11.62</x:v>
      </x:c>
      <x:c r="G1186" s="11" t="n">
        <x:v>3706.47</x:v>
      </x:c>
      <x:c r="H1186" s="23" t="n">
        <x:v>0.0001810722086041561</x:v>
      </x:c>
      <x:c r="I1186" s="23" t="n">
        <x:v>0.8281610725365712</x:v>
      </x:c>
      <x:c r="J1186" s="2" t="n">
        <x:v>433</x:v>
      </x:c>
      <x:c r="K1186" s="2"/>
      <x:c r="L1186" s="2"/>
    </x:row>
    <x:row r="1187" ht="22" customHeight="1">
      <x:c r="A1187" s="2"/>
      <x:c r="B1187" s="2" t="n">
        <x:v>1154</x:v>
      </x:c>
      <x:c r="C1187" s="2" t="str">
        <x:v>23064</x:v>
      </x:c>
      <x:c r="D1187" s="2" t="str">
        <x:v>CINDERELLA CHANDELIER </x:v>
      </x:c>
      <x:c r="E1187" s="11" t="n">
        <x:v>3717.56</x:v>
      </x:c>
      <x:c r="F1187" s="11" t="n">
        <x:v>1514.05</x:v>
      </x:c>
      <x:c r="G1187" s="11" t="n">
        <x:v>2203.51</x:v>
      </x:c>
      <x:c r="H1187" s="23" t="n">
        <x:v>0.00018104639742945076</x:v>
      </x:c>
      <x:c r="I1187" s="23" t="n">
        <x:v>0.8283421189340007</x:v>
      </x:c>
      <x:c r="J1187" s="2" t="n">
        <x:v>23</x:v>
      </x:c>
      <x:c r="K1187" s="2"/>
      <x:c r="L1187" s="2"/>
    </x:row>
    <x:row r="1188" ht="22" customHeight="1">
      <x:c r="A1188" s="2"/>
      <x:c r="B1188" s="2" t="n">
        <x:v>1155</x:v>
      </x:c>
      <x:c r="C1188" s="2" t="str">
        <x:v>22782</x:v>
      </x:c>
      <x:c r="D1188" s="2" t="str">
        <x:v>SET 3 WICKER STORAGE BASKETS </x:v>
      </x:c>
      <x:c r="E1188" s="11" t="n">
        <x:v>3712.2999999999997</x:v>
      </x:c>
      <x:c r="F1188" s="11" t="n">
        <x:v>0</x:v>
      </x:c>
      <x:c r="G1188" s="11" t="n">
        <x:v>3712.2999999999997</x:v>
      </x:c>
      <x:c r="H1188" s="23" t="n">
        <x:v>0.0001807902336955826</x:v>
      </x:c>
      <x:c r="I1188" s="23" t="n">
        <x:v>0.8285229091676962</x:v>
      </x:c>
      <x:c r="J1188" s="2" t="n">
        <x:v>84</x:v>
      </x:c>
      <x:c r="K1188" s="2"/>
      <x:c r="L1188" s="2"/>
    </x:row>
    <x:row r="1189" ht="22" customHeight="1">
      <x:c r="A1189" s="2"/>
      <x:c r="B1189" s="2" t="n">
        <x:v>1156</x:v>
      </x:c>
      <x:c r="C1189" s="2" t="str">
        <x:v>85232D</x:v>
      </x:c>
      <x:c r="D1189" s="2" t="str">
        <x:v>SET/3 DECOUPAGE STACKING TINS</x:v>
      </x:c>
      <x:c r="E1189" s="11" t="n">
        <x:v>3705.96</x:v>
      </x:c>
      <x:c r="F1189" s="11" t="n">
        <x:v>64.35000000000001</x:v>
      </x:c>
      <x:c r="G1189" s="11" t="n">
        <x:v>3641.61</x:v>
      </x:c>
      <x:c r="H1189" s="23" t="n">
        <x:v>0.0001804814736057111</x:v>
      </x:c>
      <x:c r="I1189" s="23" t="n">
        <x:v>0.8287033906413019</x:v>
      </x:c>
      <x:c r="J1189" s="2" t="n">
        <x:v>223</x:v>
      </x:c>
      <x:c r="K1189" s="2"/>
      <x:c r="L1189" s="2"/>
    </x:row>
    <x:row r="1190" ht="22" customHeight="1">
      <x:c r="A1190" s="2"/>
      <x:c r="B1190" s="2" t="n">
        <x:v>1157</x:v>
      </x:c>
      <x:c r="C1190" s="2" t="str">
        <x:v>22398</x:v>
      </x:c>
      <x:c r="D1190" s="2" t="str">
        <x:v>MAGNETS PACK OF 4 SWALLOWS</x:v>
      </x:c>
      <x:c r="E1190" s="11" t="n">
        <x:v>3705.37</x:v>
      </x:c>
      <x:c r="F1190" s="11" t="n">
        <x:v>120</x:v>
      </x:c>
      <x:c r="G1190" s="11" t="n">
        <x:v>3585.37</x:v>
      </x:c>
      <x:c r="H1190" s="23" t="n">
        <x:v>0.00018045274041122777</x:v>
      </x:c>
      <x:c r="I1190" s="23" t="n">
        <x:v>0.8288838433817132</x:v>
      </x:c>
      <x:c r="J1190" s="2" t="n">
        <x:v>430</x:v>
      </x:c>
      <x:c r="K1190" s="2"/>
      <x:c r="L1190" s="2"/>
    </x:row>
    <x:row r="1191" ht="22" customHeight="1">
      <x:c r="A1191" s="2"/>
      <x:c r="B1191" s="2" t="n">
        <x:v>1158</x:v>
      </x:c>
      <x:c r="C1191" s="2" t="str">
        <x:v>21351</x:v>
      </x:c>
      <x:c r="D1191" s="2" t="str">
        <x:v>CINAMMON &amp; ORANGE WREATH</x:v>
      </x:c>
      <x:c r="E1191" s="11" t="n">
        <x:v>3702.75</x:v>
      </x:c>
      <x:c r="F1191" s="11" t="n">
        <x:v>91.95</x:v>
      </x:c>
      <x:c r="G1191" s="11" t="n">
        <x:v>3610.8</x:v>
      </x:c>
      <x:c r="H1191" s="23" t="n">
        <x:v>0.00018032514554759002</x:v>
      </x:c>
      <x:c r="I1191" s="23" t="n">
        <x:v>0.8290641685272607</x:v>
      </x:c>
      <x:c r="J1191" s="2" t="n">
        <x:v>177</x:v>
      </x:c>
      <x:c r="K1191" s="2"/>
      <x:c r="L1191" s="2"/>
    </x:row>
    <x:row r="1192" ht="22" customHeight="1">
      <x:c r="A1192" s="2"/>
      <x:c r="B1192" s="2" t="n">
        <x:v>1159</x:v>
      </x:c>
      <x:c r="C1192" s="2" t="str">
        <x:v>20692</x:v>
      </x:c>
      <x:c r="D1192" s="2" t="str">
        <x:v>FLORAL ELEPHANT SOFT TOY</x:v>
      </x:c>
      <x:c r="E1192" s="11" t="n">
        <x:v>3699.76</x:v>
      </x:c>
      <x:c r="F1192" s="11" t="n">
        <x:v>8.5</x:v>
      </x:c>
      <x:c r="G1192" s="11" t="n">
        <x:v>3691.26</x:v>
      </x:c>
      <x:c r="H1192" s="23" t="n">
        <x:v>0.00018017953156198818</x:v>
      </x:c>
      <x:c r="I1192" s="23" t="n">
        <x:v>0.8292443480588227</x:v>
      </x:c>
      <x:c r="J1192" s="2" t="n">
        <x:v>139</x:v>
      </x:c>
      <x:c r="K1192" s="2"/>
      <x:c r="L1192" s="2"/>
    </x:row>
    <x:row r="1193" ht="22" customHeight="1">
      <x:c r="A1193" s="2"/>
      <x:c r="B1193" s="2" t="n">
        <x:v>1160</x:v>
      </x:c>
      <x:c r="C1193" s="2" t="str">
        <x:v>21246</x:v>
      </x:c>
      <x:c r="D1193" s="2" t="str">
        <x:v>damaged</x:v>
      </x:c>
      <x:c r="E1193" s="11" t="n">
        <x:v>3685.63</x:v>
      </x:c>
      <x:c r="F1193" s="11" t="n">
        <x:v>39.6</x:v>
      </x:c>
      <x:c r="G1193" s="11" t="n">
        <x:v>3646.03</x:v>
      </x:c>
      <x:c r="H1193" s="23" t="n">
        <x:v>0.0001794913959042777</x:v>
      </x:c>
      <x:c r="I1193" s="23" t="n">
        <x:v>0.829423839454727</x:v>
      </x:c>
      <x:c r="J1193" s="2" t="n">
        <x:v>209</x:v>
      </x:c>
      <x:c r="K1193" s="2"/>
      <x:c r="L1193" s="2"/>
    </x:row>
    <x:row r="1194" ht="22" customHeight="1">
      <x:c r="A1194" s="2"/>
      <x:c r="B1194" s="2" t="n">
        <x:v>1161</x:v>
      </x:c>
      <x:c r="C1194" s="2" t="str">
        <x:v>23013</x:v>
      </x:c>
      <x:c r="D1194" s="2" t="str">
        <x:v>GLASS APOTHECARY BOTTLE TONIC</x:v>
      </x:c>
      <x:c r="E1194" s="11" t="n">
        <x:v>3678.11</x:v>
      </x:c>
      <x:c r="F1194" s="11" t="n">
        <x:v>23.7</x:v>
      </x:c>
      <x:c r="G1194" s="11" t="n">
        <x:v>3654.4100000000003</x:v>
      </x:c>
      <x:c r="H1194" s="23" t="n">
        <x:v>0.00017912516942543958</x:v>
      </x:c>
      <x:c r="I1194" s="23" t="n">
        <x:v>0.8296029646241524</x:v>
      </x:c>
      <x:c r="J1194" s="2" t="n">
        <x:v>223</x:v>
      </x:c>
      <x:c r="K1194" s="2"/>
      <x:c r="L1194" s="2"/>
    </x:row>
    <x:row r="1195" ht="22" customHeight="1">
      <x:c r="A1195" s="2"/>
      <x:c r="B1195" s="2" t="n">
        <x:v>1162</x:v>
      </x:c>
      <x:c r="C1195" s="2" t="str">
        <x:v>85040A</x:v>
      </x:c>
      <x:c r="D1195" s="2" t="str">
        <x:v>S/4 PINK FLOWER CANDLES IN BOWL</x:v>
      </x:c>
      <x:c r="E1195" s="11" t="n">
        <x:v>3677.8399999999997</x:v>
      </x:c>
      <x:c r="F1195" s="11" t="n">
        <x:v>72.6</x:v>
      </x:c>
      <x:c r="G1195" s="11" t="n">
        <x:v>3605.24</x:v>
      </x:c>
      <x:c r="H1195" s="23" t="n">
        <x:v>0.0001791120203364387</x:v>
      </x:c>
      <x:c r="I1195" s="23" t="n">
        <x:v>0.8297820766444889</x:v>
      </x:c>
      <x:c r="J1195" s="2" t="n">
        <x:v>400</x:v>
      </x:c>
      <x:c r="K1195" s="2"/>
      <x:c r="L1195" s="2"/>
    </x:row>
    <x:row r="1196" ht="22" customHeight="1">
      <x:c r="A1196" s="2"/>
      <x:c r="B1196" s="2" t="n">
        <x:v>1163</x:v>
      </x:c>
      <x:c r="C1196" s="2" t="str">
        <x:v>20785</x:v>
      </x:c>
      <x:c r="D1196" s="2" t="str">
        <x:v>FUSCHIA RETRO BAR STOOL</x:v>
      </x:c>
      <x:c r="E1196" s="11" t="n">
        <x:v>3672.35</x:v>
      </x:c>
      <x:c r="F1196" s="11" t="n">
        <x:v>39.95</x:v>
      </x:c>
      <x:c r="G1196" s="11" t="n">
        <x:v>3632.4</x:v>
      </x:c>
      <x:c r="H1196" s="23" t="n">
        <x:v>0.00017884465552675503</x:v>
      </x:c>
      <x:c r="I1196" s="23" t="n">
        <x:v>0.8299609213000156</x:v>
      </x:c>
      <x:c r="J1196" s="2" t="n">
        <x:v>36</x:v>
      </x:c>
      <x:c r="K1196" s="2"/>
      <x:c r="L1196" s="2"/>
    </x:row>
    <x:row r="1197" ht="22" customHeight="1">
      <x:c r="A1197" s="2"/>
      <x:c r="B1197" s="2" t="n">
        <x:v>1164</x:v>
      </x:c>
      <x:c r="C1197" s="2" t="str">
        <x:v>84558A</x:v>
      </x:c>
      <x:c r="D1197" s="2" t="str">
        <x:v>3D DOG PICTURE PLAYING CARDS</x:v>
      </x:c>
      <x:c r="E1197" s="11" t="n">
        <x:v>3666.4600000000005</x:v>
      </x:c>
      <x:c r="F1197" s="11" t="n">
        <x:v>73.75</x:v>
      </x:c>
      <x:c r="G1197" s="11" t="n">
        <x:v>3592.7100000000005</x:v>
      </x:c>
      <x:c r="H1197" s="23" t="n">
        <x:v>0.00017855781058521828</x:v>
      </x:c>
      <x:c r="I1197" s="23" t="n">
        <x:v>0.8301394791106008</x:v>
      </x:c>
      <x:c r="J1197" s="2" t="n">
        <x:v>199</x:v>
      </x:c>
      <x:c r="K1197" s="2"/>
      <x:c r="L1197" s="2"/>
    </x:row>
    <x:row r="1198" ht="22" customHeight="1">
      <x:c r="A1198" s="2"/>
      <x:c r="B1198" s="2" t="n">
        <x:v>1165</x:v>
      </x:c>
      <x:c r="C1198" s="2" t="str">
        <x:v>23497</x:v>
      </x:c>
      <x:c r="D1198" s="2" t="str">
        <x:v>CLASSIC CHROME BICYCLE BELL </x:v>
      </x:c>
      <x:c r="E1198" s="11" t="n">
        <x:v>3660.37</x:v>
      </x:c>
      <x:c r="F1198" s="11" t="n">
        <x:v>17.4</x:v>
      </x:c>
      <x:c r="G1198" s="11" t="n">
        <x:v>3642.97</x:v>
      </x:c>
      <x:c r="H1198" s="23" t="n">
        <x:v>0.00017826122557775494</x:v>
      </x:c>
      <x:c r="I1198" s="23" t="n">
        <x:v>0.8303177403361786</x:v>
      </x:c>
      <x:c r="J1198" s="2" t="n">
        <x:v>195</x:v>
      </x:c>
      <x:c r="K1198" s="2"/>
      <x:c r="L1198" s="2"/>
    </x:row>
    <x:row r="1199" ht="22" customHeight="1">
      <x:c r="A1199" s="2"/>
      <x:c r="B1199" s="2" t="n">
        <x:v>1166</x:v>
      </x:c>
      <x:c r="C1199" s="2" t="str">
        <x:v>23191</x:v>
      </x:c>
      <x:c r="D1199" s="2" t="str">
        <x:v>BUNDLE OF 3 RETRO NOTE BOOKS</x:v>
      </x:c>
      <x:c r="E1199" s="11" t="n">
        <x:v>3656.9399999999996</x:v>
      </x:c>
      <x:c r="F1199" s="11" t="n">
        <x:v>4.949999999999999</x:v>
      </x:c>
      <x:c r="G1199" s="11" t="n">
        <x:v>3651.99</x:v>
      </x:c>
      <x:c r="H1199" s="23" t="n">
        <x:v>0.00017809418344711466</x:v>
      </x:c>
      <x:c r="I1199" s="23" t="n">
        <x:v>0.8304958345196257</x:v>
      </x:c>
      <x:c r="J1199" s="2" t="n">
        <x:v>281</x:v>
      </x:c>
      <x:c r="K1199" s="2"/>
      <x:c r="L1199" s="2"/>
    </x:row>
    <x:row r="1200" ht="22" customHeight="1">
      <x:c r="A1200" s="2"/>
      <x:c r="B1200" s="2" t="n">
        <x:v>1167</x:v>
      </x:c>
      <x:c r="C1200" s="2" t="str">
        <x:v>22769</x:v>
      </x:c>
      <x:c r="D1200" s="2" t="str">
        <x:v>CHALKBOARD KITCHEN ORGANISER</x:v>
      </x:c>
      <x:c r="E1200" s="11" t="n">
        <x:v>3656.86</x:v>
      </x:c>
      <x:c r="F1200" s="11" t="n">
        <x:v>400.15</x:v>
      </x:c>
      <x:c r="G1200" s="11" t="n">
        <x:v>3256.71</x:v>
      </x:c>
      <x:c r="H1200" s="23" t="n">
        <x:v>0.00017809028742074408</x:v>
      </x:c>
      <x:c r="I1200" s="23" t="n">
        <x:v>0.8306739248070465</x:v>
      </x:c>
      <x:c r="J1200" s="2" t="n">
        <x:v>45</x:v>
      </x:c>
      <x:c r="K1200" s="2"/>
      <x:c r="L1200" s="2"/>
    </x:row>
    <x:row r="1201" ht="22" customHeight="1">
      <x:c r="A1201" s="2"/>
      <x:c r="B1201" s="2" t="n">
        <x:v>1168</x:v>
      </x:c>
      <x:c r="C1201" s="2" t="str">
        <x:v>22823</x:v>
      </x:c>
      <x:c r="D1201" s="2" t="str">
        <x:v>CHEST NATURAL WOOD 20 DRAWERS</x:v>
      </x:c>
      <x:c r="E1201" s="11" t="n">
        <x:v>3655</x:v>
      </x:c>
      <x:c r="F1201" s="11" t="n">
        <x:v>0</x:v>
      </x:c>
      <x:c r="G1201" s="11" t="n">
        <x:v>3655</x:v>
      </x:c>
      <x:c r="H1201" s="23" t="n">
        <x:v>0.0001779997048076272</x:v>
      </x:c>
      <x:c r="I1201" s="23" t="n">
        <x:v>0.8308519245118541</x:v>
      </x:c>
      <x:c r="J1201" s="2" t="n">
        <x:v>18</x:v>
      </x:c>
      <x:c r="K1201" s="2"/>
      <x:c r="L1201" s="2"/>
    </x:row>
    <x:row r="1202" ht="22" customHeight="1">
      <x:c r="A1202" s="2"/>
      <x:c r="B1202" s="2" t="n">
        <x:v>1169</x:v>
      </x:c>
      <x:c r="C1202" s="2" t="str">
        <x:v>22962</x:v>
      </x:c>
      <x:c r="D1202" s="2" t="str">
        <x:v>JAM JAR WITH PINK LID</x:v>
      </x:c>
      <x:c r="E1202" s="11" t="n">
        <x:v>3647.73</x:v>
      </x:c>
      <x:c r="F1202" s="11" t="n">
        <x:v>72.97</x:v>
      </x:c>
      <x:c r="G1202" s="11" t="n">
        <x:v>3574.7599999999998</x:v>
      </x:c>
      <x:c r="H1202" s="23" t="n">
        <x:v>0.00017764565341119723</x:v>
      </x:c>
      <x:c r="I1202" s="23" t="n">
        <x:v>0.8310295701652652</x:v>
      </x:c>
      <x:c r="J1202" s="2" t="n">
        <x:v>354</x:v>
      </x:c>
      <x:c r="K1202" s="2"/>
      <x:c r="L1202" s="2"/>
    </x:row>
    <x:row r="1203" ht="22" customHeight="1">
      <x:c r="A1203" s="2"/>
      <x:c r="B1203" s="2" t="n">
        <x:v>1170</x:v>
      </x:c>
      <x:c r="C1203" s="2" t="str">
        <x:v>21486</x:v>
      </x:c>
      <x:c r="D1203" s="2" t="str">
        <x:v>PINK HEART DOTS HOT WATER BOTTLE</x:v>
      </x:c>
      <x:c r="E1203" s="11" t="n">
        <x:v>3646.17</x:v>
      </x:c>
      <x:c r="F1203" s="11" t="n">
        <x:v>3.75</x:v>
      </x:c>
      <x:c r="G1203" s="11" t="n">
        <x:v>3642.42</x:v>
      </x:c>
      <x:c r="H1203" s="23" t="n">
        <x:v>0.0001775696808969702</x:v>
      </x:c>
      <x:c r="I1203" s="23" t="n">
        <x:v>0.8312071398461622</x:v>
      </x:c>
      <x:c r="J1203" s="2" t="n">
        <x:v>294</x:v>
      </x:c>
      <x:c r="K1203" s="2"/>
      <x:c r="L1203" s="2"/>
    </x:row>
    <x:row r="1204" ht="22" customHeight="1">
      <x:c r="A1204" s="2"/>
      <x:c r="B1204" s="2" t="n">
        <x:v>1171</x:v>
      </x:c>
      <x:c r="C1204" s="2" t="str">
        <x:v>22589</x:v>
      </x:c>
      <x:c r="D1204" s="2" t="str">
        <x:v>CARDHOLDER GINGHAM STAR</x:v>
      </x:c>
      <x:c r="E1204" s="11" t="n">
        <x:v>3636.98</x:v>
      </x:c>
      <x:c r="F1204" s="11" t="n">
        <x:v>45.9</x:v>
      </x:c>
      <x:c r="G1204" s="11" t="n">
        <x:v>3591.08</x:v>
      </x:c>
      <x:c r="H1204" s="23" t="n">
        <x:v>0.0001771221248676454</x:v>
      </x:c>
      <x:c r="I1204" s="23" t="n">
        <x:v>0.8313842619710299</x:v>
      </x:c>
      <x:c r="J1204" s="2" t="n">
        <x:v>238</x:v>
      </x:c>
      <x:c r="K1204" s="2"/>
      <x:c r="L1204" s="2"/>
    </x:row>
    <x:row r="1205" ht="22" customHeight="1">
      <x:c r="A1205" s="2"/>
      <x:c r="B1205" s="2" t="n">
        <x:v>1172</x:v>
      </x:c>
      <x:c r="C1205" s="2" t="str">
        <x:v>22774</x:v>
      </x:c>
      <x:c r="D1205" s="2" t="str">
        <x:v>RED DRAWER KNOB ACRYLIC EDWARDIAN</x:v>
      </x:c>
      <x:c r="E1205" s="11" t="n">
        <x:v>3636.06</x:v>
      </x:c>
      <x:c r="F1205" s="11" t="n">
        <x:v>34.81</x:v>
      </x:c>
      <x:c r="G1205" s="11" t="n">
        <x:v>3601.25</x:v>
      </x:c>
      <x:c r="H1205" s="23" t="n">
        <x:v>0.0001770773205643833</x:v>
      </x:c>
      <x:c r="I1205" s="23" t="n">
        <x:v>0.8315613392915943</x:v>
      </x:c>
      <x:c r="J1205" s="2" t="n">
        <x:v>184</x:v>
      </x:c>
      <x:c r="K1205" s="2"/>
      <x:c r="L1205" s="2"/>
    </x:row>
    <x:row r="1206" ht="22" customHeight="1">
      <x:c r="A1206" s="2"/>
      <x:c r="B1206" s="2" t="n">
        <x:v>1173</x:v>
      </x:c>
      <x:c r="C1206" s="2" t="str">
        <x:v>23085</x:v>
      </x:c>
      <x:c r="D1206" s="2" t="str">
        <x:v>ANTIQUE SILVER BAUBLE LAMP  </x:v>
      </x:c>
      <x:c r="E1206" s="11" t="n">
        <x:v>3635.23</x:v>
      </x:c>
      <x:c r="F1206" s="11" t="n">
        <x:v>128.75</x:v>
      </x:c>
      <x:c r="G1206" s="11" t="n">
        <x:v>3506.48</x:v>
      </x:c>
      <x:c r="H1206" s="23" t="n">
        <x:v>0.00017703689929078812</x:v>
      </x:c>
      <x:c r="I1206" s="23" t="n">
        <x:v>0.8317383761908851</x:v>
      </x:c>
      <x:c r="J1206" s="2" t="n">
        <x:v>78</x:v>
      </x:c>
      <x:c r="K1206" s="2"/>
      <x:c r="L1206" s="2"/>
    </x:row>
    <x:row r="1207" ht="22" customHeight="1">
      <x:c r="A1207" s="2"/>
      <x:c r="B1207" s="2" t="n">
        <x:v>1174</x:v>
      </x:c>
      <x:c r="C1207" s="2" t="str">
        <x:v>85114B</x:v>
      </x:c>
      <x:c r="D1207" s="2" t="str">
        <x:v>IVORY ENCHANTED FOREST PLACEMAT</x:v>
      </x:c>
      <x:c r="E1207" s="11" t="n">
        <x:v>3632.8999999999996</x:v>
      </x:c>
      <x:c r="F1207" s="11" t="n">
        <x:v>3.3</x:v>
      </x:c>
      <x:c r="G1207" s="11" t="n">
        <x:v>3629.6</x:v>
      </x:c>
      <x:c r="H1207" s="23" t="n">
        <x:v>0.00017692342752274385</x:v>
      </x:c>
      <x:c r="I1207" s="23" t="n">
        <x:v>0.8319152996184078</x:v>
      </x:c>
      <x:c r="J1207" s="2" t="n">
        <x:v>223</x:v>
      </x:c>
      <x:c r="K1207" s="2"/>
      <x:c r="L1207" s="2"/>
    </x:row>
    <x:row r="1208" ht="22" customHeight="1">
      <x:c r="A1208" s="2"/>
      <x:c r="B1208" s="2" t="n">
        <x:v>1175</x:v>
      </x:c>
      <x:c r="C1208" s="2" t="str">
        <x:v>23294</x:v>
      </x:c>
      <x:c r="D1208" s="2" t="str">
        <x:v>SET OF 6 SNACK LOAF BAKING CASES</x:v>
      </x:c>
      <x:c r="E1208" s="11" t="n">
        <x:v>3631.0499999999997</x:v>
      </x:c>
      <x:c r="F1208" s="11" t="n">
        <x:v>10.79</x:v>
      </x:c>
      <x:c r="G1208" s="11" t="n">
        <x:v>3620.2599999999998</x:v>
      </x:c>
      <x:c r="H1208" s="23" t="n">
        <x:v>0.0001768333319129233</x:v>
      </x:c>
      <x:c r="I1208" s="23" t="n">
        <x:v>0.8320921329503207</x:v>
      </x:c>
      <x:c r="J1208" s="2" t="n">
        <x:v>354</x:v>
      </x:c>
      <x:c r="K1208" s="2"/>
      <x:c r="L1208" s="2"/>
    </x:row>
    <x:row r="1209" ht="22" customHeight="1">
      <x:c r="A1209" s="2"/>
      <x:c r="B1209" s="2" t="n">
        <x:v>1176</x:v>
      </x:c>
      <x:c r="C1209" s="2" t="str">
        <x:v>22461</x:v>
      </x:c>
      <x:c r="D1209" s="2" t="str">
        <x:v>SAVOY ART DECO CLOCK</x:v>
      </x:c>
      <x:c r="E1209" s="11" t="n">
        <x:v>3620.56</x:v>
      </x:c>
      <x:c r="F1209" s="11" t="n">
        <x:v>625.6999999999999</x:v>
      </x:c>
      <x:c r="G1209" s="11" t="n">
        <x:v>2994.86</x:v>
      </x:c>
      <x:c r="H1209" s="23" t="n">
        <x:v>0.00017632246545507595</x:v>
      </x:c>
      <x:c r="I1209" s="23" t="n">
        <x:v>0.8322684554157758</x:v>
      </x:c>
      <x:c r="J1209" s="2" t="n">
        <x:v>146</x:v>
      </x:c>
      <x:c r="K1209" s="2"/>
      <x:c r="L1209" s="2"/>
    </x:row>
    <x:row r="1210" ht="22" customHeight="1">
      <x:c r="A1210" s="2"/>
      <x:c r="B1210" s="2" t="n">
        <x:v>1177</x:v>
      </x:c>
      <x:c r="C1210" s="2" t="str">
        <x:v>23210</x:v>
      </x:c>
      <x:c r="D1210" s="2" t="str">
        <x:v>WHITE ROCKING HORSE HAND PAINTED</x:v>
      </x:c>
      <x:c r="E1210" s="11" t="n">
        <x:v>3617.78</x:v>
      </x:c>
      <x:c r="F1210" s="11" t="n">
        <x:v>219.76</x:v>
      </x:c>
      <x:c r="G1210" s="11" t="n">
        <x:v>3398.02</x:v>
      </x:c>
      <x:c r="H1210" s="23" t="n">
        <x:v>0.000176187078538697</x:v>
      </x:c>
      <x:c r="I1210" s="23" t="n">
        <x:v>0.8324446424943145</x:v>
      </x:c>
      <x:c r="J1210" s="2" t="n">
        <x:v>192</x:v>
      </x:c>
      <x:c r="K1210" s="2"/>
      <x:c r="L1210" s="2"/>
    </x:row>
    <x:row r="1211" ht="22" customHeight="1">
      <x:c r="A1211" s="2"/>
      <x:c r="B1211" s="2" t="n">
        <x:v>1178</x:v>
      </x:c>
      <x:c r="C1211" s="2" t="str">
        <x:v>21866</x:v>
      </x:c>
      <x:c r="D1211" s="2" t="str">
        <x:v>UNION JACK FLAG LUGGAGE TAG</x:v>
      </x:c>
      <x:c r="E1211" s="11" t="n">
        <x:v>3612.75</x:v>
      </x:c>
      <x:c r="F1211" s="11" t="n">
        <x:v>31.25</x:v>
      </x:c>
      <x:c r="G1211" s="11" t="n">
        <x:v>3581.5</x:v>
      </x:c>
      <x:c r="H1211" s="23" t="n">
        <x:v>0.00017594211588064436</x:v>
      </x:c>
      <x:c r="I1211" s="23" t="n">
        <x:v>0.8326205846101952</x:v>
      </x:c>
      <x:c r="J1211" s="2" t="n">
        <x:v>453</x:v>
      </x:c>
      <x:c r="K1211" s="2"/>
      <x:c r="L1211" s="2"/>
    </x:row>
    <x:row r="1212" ht="22" customHeight="1">
      <x:c r="A1212" s="2"/>
      <x:c r="B1212" s="2" t="n">
        <x:v>1179</x:v>
      </x:c>
      <x:c r="C1212" s="2" t="str">
        <x:v>22944</x:v>
      </x:c>
      <x:c r="D1212" s="2" t="str">
        <x:v>CHRISTMAS METAL POSTCARD WITH BELLS</x:v>
      </x:c>
      <x:c r="E1212" s="11" t="n">
        <x:v>3592.9900000000002</x:v>
      </x:c>
      <x:c r="F1212" s="11" t="n">
        <x:v>311.21000000000004</x:v>
      </x:c>
      <x:c r="G1212" s="11" t="n">
        <x:v>3281.78</x:v>
      </x:c>
      <x:c r="H1212" s="23" t="n">
        <x:v>0.00017497979736710162</x:v>
      </x:c>
      <x:c r="I1212" s="23" t="n">
        <x:v>0.8327955644075623</x:v>
      </x:c>
      <x:c r="J1212" s="2" t="n">
        <x:v>158</x:v>
      </x:c>
      <x:c r="K1212" s="2"/>
      <x:c r="L1212" s="2"/>
    </x:row>
    <x:row r="1213" ht="22" customHeight="1">
      <x:c r="A1213" s="2"/>
      <x:c r="B1213" s="2" t="n">
        <x:v>1180</x:v>
      </x:c>
      <x:c r="C1213" s="2" t="str">
        <x:v>21509</x:v>
      </x:c>
      <x:c r="D1213" s="2" t="str">
        <x:v>COWBOYS AND INDIANS BIRTHDAY CARD </x:v>
      </x:c>
      <x:c r="E1213" s="11" t="n">
        <x:v>3592.2599999999998</x:v>
      </x:c>
      <x:c r="F1213" s="11" t="n">
        <x:v>10.08</x:v>
      </x:c>
      <x:c r="G1213" s="11" t="n">
        <x:v>3582.18</x:v>
      </x:c>
      <x:c r="H1213" s="23" t="n">
        <x:v>0.00017494424612646972</x:v>
      </x:c>
      <x:c r="I1213" s="23" t="n">
        <x:v>0.8329705086536888</x:v>
      </x:c>
      <x:c r="J1213" s="2" t="n">
        <x:v>628</x:v>
      </x:c>
      <x:c r="K1213" s="2"/>
      <x:c r="L1213" s="2"/>
    </x:row>
    <x:row r="1214" ht="22" customHeight="1">
      <x:c r="A1214" s="2"/>
      <x:c r="B1214" s="2" t="n">
        <x:v>1181</x:v>
      </x:c>
      <x:c r="C1214" s="2" t="str">
        <x:v>22536</x:v>
      </x:c>
      <x:c r="D1214" s="2" t="str">
        <x:v>MAGIC DRAWING SLATE PURDEY</x:v>
      </x:c>
      <x:c r="E1214" s="11" t="n">
        <x:v>3589.18</x:v>
      </x:c>
      <x:c r="F1214" s="11" t="n">
        <x:v>47.81999999999999</x:v>
      </x:c>
      <x:c r="G1214" s="11" t="n">
        <x:v>3541.36</x:v>
      </x:c>
      <x:c r="H1214" s="23" t="n">
        <x:v>0.0001747942491112009</x:v>
      </x:c>
      <x:c r="I1214" s="23" t="n">
        <x:v>0.8331453029028</x:v>
      </x:c>
      <x:c r="J1214" s="2" t="n">
        <x:v>365</x:v>
      </x:c>
      <x:c r="K1214" s="2"/>
      <x:c r="L1214" s="2"/>
    </x:row>
    <x:row r="1215" ht="22" customHeight="1">
      <x:c r="A1215" s="2"/>
      <x:c r="B1215" s="2" t="n">
        <x:v>1182</x:v>
      </x:c>
      <x:c r="C1215" s="2" t="str">
        <x:v>22704</x:v>
      </x:c>
      <x:c r="D1215" s="2" t="str">
        <x:v>WRAP RED APPLES </x:v>
      </x:c>
      <x:c r="E1215" s="11" t="n">
        <x:v>3585.76</x:v>
      </x:c>
      <x:c r="F1215" s="11" t="n">
        <x:v>21</x:v>
      </x:c>
      <x:c r="G1215" s="11" t="n">
        <x:v>3564.76</x:v>
      </x:c>
      <x:c r="H1215" s="23" t="n">
        <x:v>0.000174627693983857</x:v>
      </x:c>
      <x:c r="I1215" s="23" t="n">
        <x:v>0.8333199305967839</x:v>
      </x:c>
      <x:c r="J1215" s="2" t="n">
        <x:v>295</x:v>
      </x:c>
      <x:c r="K1215" s="2"/>
      <x:c r="L1215" s="2"/>
    </x:row>
    <x:row r="1216" ht="22" customHeight="1">
      <x:c r="A1216" s="2"/>
      <x:c r="B1216" s="2" t="n">
        <x:v>1183</x:v>
      </x:c>
      <x:c r="C1216" s="2" t="str">
        <x:v>21784</x:v>
      </x:c>
      <x:c r="D1216" s="2" t="str">
        <x:v>SHOE SHINE BOX </x:v>
      </x:c>
      <x:c r="E1216" s="11" t="n">
        <x:v>3578.08</x:v>
      </x:c>
      <x:c r="F1216" s="11" t="n">
        <x:v>69.64999999999999</x:v>
      </x:c>
      <x:c r="G1216" s="11" t="n">
        <x:v>3508.43</x:v>
      </x:c>
      <x:c r="H1216" s="23" t="n">
        <x:v>0.0001742536754522776</x:v>
      </x:c>
      <x:c r="I1216" s="23" t="n">
        <x:v>0.8334941842722362</x:v>
      </x:c>
      <x:c r="J1216" s="2" t="n">
        <x:v>178</x:v>
      </x:c>
      <x:c r="K1216" s="2"/>
      <x:c r="L1216" s="2"/>
    </x:row>
    <x:row r="1217" ht="22" customHeight="1">
      <x:c r="A1217" s="2"/>
      <x:c r="B1217" s="2" t="n">
        <x:v>1184</x:v>
      </x:c>
      <x:c r="C1217" s="2" t="str">
        <x:v>21054</x:v>
      </x:c>
      <x:c r="D1217" s="2" t="str">
        <x:v>NURSE'S BAG SOFT TOY</x:v>
      </x:c>
      <x:c r="E1217" s="11" t="n">
        <x:v>3573.7999999999997</x:v>
      </x:c>
      <x:c r="F1217" s="11" t="n">
        <x:v>17.9</x:v>
      </x:c>
      <x:c r="G1217" s="11" t="n">
        <x:v>3555.8999999999996</x:v>
      </x:c>
      <x:c r="H1217" s="23" t="n">
        <x:v>0.0001740452380414495</x:v>
      </x:c>
      <x:c r="I1217" s="23" t="n">
        <x:v>0.8336682295102776</x:v>
      </x:c>
      <x:c r="J1217" s="2" t="n">
        <x:v>182</x:v>
      </x:c>
      <x:c r="K1217" s="2"/>
      <x:c r="L1217" s="2"/>
    </x:row>
    <x:row r="1218" ht="22" customHeight="1">
      <x:c r="A1218" s="2"/>
      <x:c r="B1218" s="2" t="n">
        <x:v>1185</x:v>
      </x:c>
      <x:c r="C1218" s="2" t="str">
        <x:v>84968F</x:v>
      </x:c>
      <x:c r="D1218" s="2" t="str">
        <x:v>SET OF 16 VINTAGE SKY BLUE CUTLERY</x:v>
      </x:c>
      <x:c r="E1218" s="11" t="n">
        <x:v>3571.77</x:v>
      </x:c>
      <x:c r="F1218" s="11" t="n">
        <x:v>0</x:v>
      </x:c>
      <x:c r="G1218" s="11" t="n">
        <x:v>3571.77</x:v>
      </x:c>
      <x:c r="H1218" s="23" t="n">
        <x:v>0.00017394637637229508</x:v>
      </x:c>
      <x:c r="I1218" s="23" t="n">
        <x:v>0.8338421758866499</x:v>
      </x:c>
      <x:c r="J1218" s="2" t="n">
        <x:v>131</x:v>
      </x:c>
      <x:c r="K1218" s="2"/>
      <x:c r="L1218" s="2"/>
    </x:row>
    <x:row r="1219" ht="22" customHeight="1">
      <x:c r="A1219" s="2"/>
      <x:c r="B1219" s="2" t="n">
        <x:v>1186</x:v>
      </x:c>
      <x:c r="C1219" s="2" t="str">
        <x:v>20784</x:v>
      </x:c>
      <x:c r="D1219" s="2" t="str">
        <x:v>RED RETRO BAR STOOL</x:v>
      </x:c>
      <x:c r="E1219" s="11" t="n">
        <x:v>3570.87</x:v>
      </x:c>
      <x:c r="F1219" s="11" t="n">
        <x:v>39.95</x:v>
      </x:c>
      <x:c r="G1219" s="11" t="n">
        <x:v>3530.92</x:v>
      </x:c>
      <x:c r="H1219" s="23" t="n">
        <x:v>0.0001739025460756256</x:v>
      </x:c>
      <x:c r="I1219" s="23" t="n">
        <x:v>0.8340160784327255</x:v>
      </x:c>
      <x:c r="J1219" s="2" t="n">
        <x:v>37</x:v>
      </x:c>
      <x:c r="K1219" s="2"/>
      <x:c r="L1219" s="2"/>
    </x:row>
    <x:row r="1220" ht="22" customHeight="1">
      <x:c r="A1220" s="2"/>
      <x:c r="B1220" s="2" t="n">
        <x:v>1187</x:v>
      </x:c>
      <x:c r="C1220" s="2" t="str">
        <x:v>23332</x:v>
      </x:c>
      <x:c r="D1220" s="2" t="str">
        <x:v>IVORY WICKER HEART LARGE</x:v>
      </x:c>
      <x:c r="E1220" s="11" t="n">
        <x:v>3570.7599999999998</x:v>
      </x:c>
      <x:c r="F1220" s="11" t="n">
        <x:v>3.3</x:v>
      </x:c>
      <x:c r="G1220" s="11" t="n">
        <x:v>3567.4599999999996</x:v>
      </x:c>
      <x:c r="H1220" s="23" t="n">
        <x:v>0.000173897189039366</x:v>
      </x:c>
      <x:c r="I1220" s="23" t="n">
        <x:v>0.8341899756217649</x:v>
      </x:c>
      <x:c r="J1220" s="2" t="n">
        <x:v>287</x:v>
      </x:c>
      <x:c r="K1220" s="2"/>
      <x:c r="L1220" s="2"/>
    </x:row>
    <x:row r="1221" ht="22" customHeight="1">
      <x:c r="A1221" s="2"/>
      <x:c r="B1221" s="2" t="n">
        <x:v>1188</x:v>
      </x:c>
      <x:c r="C1221" s="2" t="str">
        <x:v>22334</x:v>
      </x:c>
      <x:c r="D1221" s="2" t="str">
        <x:v>DINOSAUR PARTY BAG + STICKER SET</x:v>
      </x:c>
      <x:c r="E1221" s="11" t="n">
        <x:v>3555.66</x:v>
      </x:c>
      <x:c r="F1221" s="11" t="n">
        <x:v>31.349999999999998</x:v>
      </x:c>
      <x:c r="G1221" s="11" t="n">
        <x:v>3524.31</x:v>
      </x:c>
      <x:c r="H1221" s="23" t="n">
        <x:v>0.0001731618140619118</x:v>
      </x:c>
      <x:c r="I1221" s="23" t="n">
        <x:v>0.8343631374358268</x:v>
      </x:c>
      <x:c r="J1221" s="2" t="n">
        <x:v>264</x:v>
      </x:c>
      <x:c r="K1221" s="2"/>
      <x:c r="L1221" s="2"/>
    </x:row>
    <x:row r="1222" ht="22" customHeight="1">
      <x:c r="A1222" s="2"/>
      <x:c r="B1222" s="2" t="n">
        <x:v>1189</x:v>
      </x:c>
      <x:c r="C1222" s="2" t="str">
        <x:v>22603</x:v>
      </x:c>
      <x:c r="D1222" s="2" t="str">
        <x:v>CHRISTMAS RETROSPOT TREE WOOD</x:v>
      </x:c>
      <x:c r="E1222" s="11" t="n">
        <x:v>3553.79</x:v>
      </x:c>
      <x:c r="F1222" s="11" t="n">
        <x:v>11.049999999999999</x:v>
      </x:c>
      <x:c r="G1222" s="11" t="n">
        <x:v>3542.74</x:v>
      </x:c>
      <x:c r="H1222" s="23" t="n">
        <x:v>0.0001730707444454986</x:v>
      </x:c>
      <x:c r="I1222" s="23" t="n">
        <x:v>0.8345362081802723</x:v>
      </x:c>
      <x:c r="J1222" s="2" t="n">
        <x:v>388</x:v>
      </x:c>
      <x:c r="K1222" s="2"/>
      <x:c r="L1222" s="2"/>
    </x:row>
    <x:row r="1223" ht="22" customHeight="1">
      <x:c r="A1223" s="2"/>
      <x:c r="B1223" s="2" t="n">
        <x:v>1190</x:v>
      </x:c>
      <x:c r="C1223" s="2" t="str">
        <x:v>21794</x:v>
      </x:c>
      <x:c r="D1223" s="2" t="str">
        <x:v>adjustment</x:v>
      </x:c>
      <x:c r="E1223" s="11" t="n">
        <x:v>3552.09</x:v>
      </x:c>
      <x:c r="F1223" s="11" t="n">
        <x:v>79.35</x:v>
      </x:c>
      <x:c r="G1223" s="11" t="n">
        <x:v>3472.7400000000002</x:v>
      </x:c>
      <x:c r="H1223" s="23" t="n">
        <x:v>0.00017298795388512298</x:v>
      </x:c>
      <x:c r="I1223" s="23" t="n">
        <x:v>0.8347091961341574</x:v>
      </x:c>
      <x:c r="J1223" s="2" t="n">
        <x:v>178</x:v>
      </x:c>
      <x:c r="K1223" s="2"/>
      <x:c r="L1223" s="2"/>
    </x:row>
    <x:row r="1224" ht="22" customHeight="1">
      <x:c r="A1224" s="2"/>
      <x:c r="B1224" s="2" t="n">
        <x:v>1191</x:v>
      </x:c>
      <x:c r="C1224" s="2" t="str">
        <x:v>20886</x:v>
      </x:c>
      <x:c r="D1224" s="2" t="str">
        <x:v>BOX OF 9 PEBBLE CANDLES</x:v>
      </x:c>
      <x:c r="E1224" s="11" t="n">
        <x:v>3551.92</x:v>
      </x:c>
      <x:c r="F1224" s="11" t="n">
        <x:v>11.7</x:v>
      </x:c>
      <x:c r="G1224" s="11" t="n">
        <x:v>3540.22</x:v>
      </x:c>
      <x:c r="H1224" s="23" t="n">
        <x:v>0.0001729796748290854</x:v>
      </x:c>
      <x:c r="I1224" s="23" t="n">
        <x:v>0.8348821758089865</x:v>
      </x:c>
      <x:c r="J1224" s="2" t="n">
        <x:v>308</x:v>
      </x:c>
      <x:c r="K1224" s="2"/>
      <x:c r="L1224" s="2"/>
    </x:row>
    <x:row r="1225" ht="22" customHeight="1">
      <x:c r="A1225" s="2"/>
      <x:c r="B1225" s="2" t="n">
        <x:v>1192</x:v>
      </x:c>
      <x:c r="C1225" s="2" t="str">
        <x:v>22320</x:v>
      </x:c>
      <x:c r="D1225" s="2" t="str">
        <x:v>BIRDS MOBILE VINTAGE DESIGN</x:v>
      </x:c>
      <x:c r="E1225" s="11" t="n">
        <x:v>3550.9700000000003</x:v>
      </x:c>
      <x:c r="F1225" s="11" t="n">
        <x:v>136.85</x:v>
      </x:c>
      <x:c r="G1225" s="11" t="n">
        <x:v>3414.1200000000003</x:v>
      </x:c>
      <x:c r="H1225" s="23" t="n">
        <x:v>0.00017293340951593433</x:v>
      </x:c>
      <x:c r="I1225" s="23" t="n">
        <x:v>0.8350551092185025</x:v>
      </x:c>
      <x:c r="J1225" s="2" t="n">
        <x:v>180</x:v>
      </x:c>
      <x:c r="K1225" s="2"/>
      <x:c r="L1225" s="2"/>
    </x:row>
    <x:row r="1226" ht="22" customHeight="1">
      <x:c r="A1226" s="2"/>
      <x:c r="B1226" s="2" t="n">
        <x:v>1193</x:v>
      </x:c>
      <x:c r="C1226" s="2" t="str">
        <x:v>22176</x:v>
      </x:c>
      <x:c r="D1226" s="2" t="str">
        <x:v>amazon</x:v>
      </x:c>
      <x:c r="E1226" s="11" t="n">
        <x:v>3548.63</x:v>
      </x:c>
      <x:c r="F1226" s="11" t="n">
        <x:v>26.550000000000004</x:v>
      </x:c>
      <x:c r="G1226" s="11" t="n">
        <x:v>3522.0800000000004</x:v>
      </x:c>
      <x:c r="H1226" s="23" t="n">
        <x:v>0.00017281945074459372</x:v>
      </x:c>
      <x:c r="I1226" s="23" t="n">
        <x:v>0.835227928669247</x:v>
      </x:c>
      <x:c r="J1226" s="2" t="n">
        <x:v>258</x:v>
      </x:c>
      <x:c r="K1226" s="2"/>
      <x:c r="L1226" s="2"/>
    </x:row>
    <x:row r="1227" ht="22" customHeight="1">
      <x:c r="A1227" s="2"/>
      <x:c r="B1227" s="2" t="n">
        <x:v>1194</x:v>
      </x:c>
      <x:c r="C1227" s="2" t="str">
        <x:v>22166</x:v>
      </x:c>
      <x:c r="D1227" s="2" t="str">
        <x:v>WALL MIRROR RECTANGLE DIAMANTE PINK</x:v>
      </x:c>
      <x:c r="E1227" s="11" t="n">
        <x:v>3536.7000000000003</x:v>
      </x:c>
      <x:c r="F1227" s="11" t="n">
        <x:v>63.6</x:v>
      </x:c>
      <x:c r="G1227" s="11" t="n">
        <x:v>3473.1</x:v>
      </x:c>
      <x:c r="H1227" s="23" t="n">
        <x:v>0.00017223845581207527</x:v>
      </x:c>
      <x:c r="I1227" s="23" t="n">
        <x:v>0.835400167125059</x:v>
      </x:c>
      <x:c r="J1227" s="2" t="n">
        <x:v>159</x:v>
      </x:c>
      <x:c r="K1227" s="2"/>
      <x:c r="L1227" s="2"/>
    </x:row>
    <x:row r="1228" ht="22" customHeight="1">
      <x:c r="A1228" s="2"/>
      <x:c r="B1228" s="2" t="n">
        <x:v>1195</x:v>
      </x:c>
      <x:c r="C1228" s="2" t="str">
        <x:v>20786</x:v>
      </x:c>
      <x:c r="D1228" s="2" t="str">
        <x:v>Damages</x:v>
      </x:c>
      <x:c r="E1228" s="11" t="n">
        <x:v>3533.9</x:v>
      </x:c>
      <x:c r="F1228" s="11" t="n">
        <x:v>79.9</x:v>
      </x:c>
      <x:c r="G1228" s="11" t="n">
        <x:v>3454</x:v>
      </x:c>
      <x:c r="H1228" s="23" t="n">
        <x:v>0.00017210209488910361</x:v>
      </x:c>
      <x:c r="I1228" s="23" t="n">
        <x:v>0.8355722692199481</x:v>
      </x:c>
      <x:c r="J1228" s="2" t="n">
        <x:v>31</x:v>
      </x:c>
      <x:c r="K1228" s="2"/>
      <x:c r="L1228" s="2"/>
    </x:row>
    <x:row r="1229" ht="22" customHeight="1">
      <x:c r="A1229" s="2"/>
      <x:c r="B1229" s="2" t="n">
        <x:v>1196</x:v>
      </x:c>
      <x:c r="C1229" s="2" t="str">
        <x:v>47505</x:v>
      </x:c>
      <x:c r="D1229" s="2" t="str">
        <x:v>MINATURE COLOURED GARDENING SET</x:v>
      </x:c>
      <x:c r="E1229" s="11" t="n">
        <x:v>3532.3700000000003</x:v>
      </x:c>
      <x:c r="F1229" s="11" t="n">
        <x:v>87.05000000000001</x:v>
      </x:c>
      <x:c r="G1229" s="11" t="n">
        <x:v>3445.32</x:v>
      </x:c>
      <x:c r="H1229" s="23" t="n">
        <x:v>0.00017202758338476554</x:v>
      </x:c>
      <x:c r="I1229" s="23" t="n">
        <x:v>0.8357442968033328</x:v>
      </x:c>
      <x:c r="J1229" s="2" t="n">
        <x:v>178</x:v>
      </x:c>
      <x:c r="K1229" s="2"/>
      <x:c r="L1229" s="2"/>
    </x:row>
    <x:row r="1230" ht="22" customHeight="1">
      <x:c r="A1230" s="2"/>
      <x:c r="B1230" s="2" t="n">
        <x:v>1197</x:v>
      </x:c>
      <x:c r="C1230" s="2" t="str">
        <x:v>21179</x:v>
      </x:c>
      <x:c r="D1230" s="2" t="str">
        <x:v>damaged</x:v>
      </x:c>
      <x:c r="E1230" s="11" t="n">
        <x:v>3529.54</x:v>
      </x:c>
      <x:c r="F1230" s="11" t="n">
        <x:v>4.68</x:v>
      </x:c>
      <x:c r="G1230" s="11" t="n">
        <x:v>3524.86</x:v>
      </x:c>
      <x:c r="H1230" s="23" t="n">
        <x:v>0.00017188976145190491</x:v>
      </x:c>
      <x:c r="I1230" s="23" t="n">
        <x:v>0.8359161865647847</x:v>
      </x:c>
      <x:c r="J1230" s="2" t="n">
        <x:v>505</x:v>
      </x:c>
      <x:c r="K1230" s="2"/>
      <x:c r="L1230" s="2"/>
    </x:row>
    <x:row r="1231" ht="22" customHeight="1">
      <x:c r="A1231" s="2"/>
      <x:c r="B1231" s="2" t="n">
        <x:v>1198</x:v>
      </x:c>
      <x:c r="C1231" s="2" t="str">
        <x:v>22902</x:v>
      </x:c>
      <x:c r="D1231" s="2" t="str">
        <x:v>TOTE BAG I LOVE LONDON</x:v>
      </x:c>
      <x:c r="E1231" s="11" t="n">
        <x:v>3527.56</x:v>
      </x:c>
      <x:c r="F1231" s="11" t="n">
        <x:v>50.400000000000006</x:v>
      </x:c>
      <x:c r="G1231" s="11" t="n">
        <x:v>3477.1600000000003</x:v>
      </x:c>
      <x:c r="H1231" s="23" t="n">
        <x:v>0.0001717933347992321</x:v>
      </x:c>
      <x:c r="I1231" s="23" t="n">
        <x:v>0.8360879798995839</x:v>
      </x:c>
      <x:c r="J1231" s="2" t="n">
        <x:v>199</x:v>
      </x:c>
      <x:c r="K1231" s="2"/>
      <x:c r="L1231" s="2"/>
    </x:row>
    <x:row r="1232" ht="22" customHeight="1">
      <x:c r="A1232" s="2"/>
      <x:c r="B1232" s="2" t="n">
        <x:v>1199</x:v>
      </x:c>
      <x:c r="C1232" s="2" t="str">
        <x:v>23353</x:v>
      </x:c>
      <x:c r="D1232" s="2" t="str">
        <x:v>6 GIFT TAGS VINTAGE CHRISTMAS </x:v>
      </x:c>
      <x:c r="E1232" s="11" t="n">
        <x:v>3517.5199999999995</x:v>
      </x:c>
      <x:c r="F1232" s="11" t="n">
        <x:v>19.919999999999998</x:v>
      </x:c>
      <x:c r="G1232" s="11" t="n">
        <x:v>3497.6</x:v>
      </x:c>
      <x:c r="H1232" s="23" t="n">
        <x:v>0.00017130438348971947</x:v>
      </x:c>
      <x:c r="I1232" s="23" t="n">
        <x:v>0.8362592842830736</x:v>
      </x:c>
      <x:c r="J1232" s="2" t="n">
        <x:v>327</x:v>
      </x:c>
      <x:c r="K1232" s="2"/>
      <x:c r="L1232" s="2"/>
    </x:row>
    <x:row r="1233" ht="22" customHeight="1">
      <x:c r="A1233" s="2"/>
      <x:c r="B1233" s="2" t="n">
        <x:v>1200</x:v>
      </x:c>
      <x:c r="C1233" s="2" t="str">
        <x:v>22939</x:v>
      </x:c>
      <x:c r="D1233" s="2" t="str">
        <x:v>ADULT APRON APPLE DELIGHT</x:v>
      </x:c>
      <x:c r="E1233" s="11" t="n">
        <x:v>3517.39</x:v>
      </x:c>
      <x:c r="F1233" s="11" t="n">
        <x:v>69.30000000000001</x:v>
      </x:c>
      <x:c r="G1233" s="11" t="n">
        <x:v>3448.09</x:v>
      </x:c>
      <x:c r="H1233" s="23" t="n">
        <x:v>0.00017129805244686723</x:v>
      </x:c>
      <x:c r="I1233" s="23" t="n">
        <x:v>0.8364305823355205</x:v>
      </x:c>
      <x:c r="J1233" s="2" t="n">
        <x:v>181</x:v>
      </x:c>
      <x:c r="K1233" s="2"/>
      <x:c r="L1233" s="2"/>
    </x:row>
    <x:row r="1234" ht="22" customHeight="1">
      <x:c r="A1234" s="2"/>
      <x:c r="B1234" s="2" t="n">
        <x:v>1201</x:v>
      </x:c>
      <x:c r="C1234" s="2" t="str">
        <x:v>22531</x:v>
      </x:c>
      <x:c r="D1234" s="2" t="str">
        <x:v>MAGIC DRAWING SLATE CIRCUS PARADE  </x:v>
      </x:c>
      <x:c r="E1234" s="11" t="n">
        <x:v>3512.8</x:v>
      </x:c>
      <x:c r="F1234" s="11" t="n">
        <x:v>0</x:v>
      </x:c>
      <x:c r="G1234" s="11" t="n">
        <x:v>3512.8</x:v>
      </x:c>
      <x:c r="H1234" s="23" t="n">
        <x:v>0.00017107451793385301</x:v>
      </x:c>
      <x:c r="I1234" s="23" t="n">
        <x:v>0.8366016568534543</x:v>
      </x:c>
      <x:c r="J1234" s="2" t="n">
        <x:v>406</x:v>
      </x:c>
      <x:c r="K1234" s="2"/>
      <x:c r="L1234" s="2"/>
    </x:row>
    <x:row r="1235" ht="22" customHeight="1">
      <x:c r="A1235" s="2"/>
      <x:c r="B1235" s="2" t="n">
        <x:v>1202</x:v>
      </x:c>
      <x:c r="C1235" s="2" t="str">
        <x:v>22765</x:v>
      </x:c>
      <x:c r="D1235" s="2" t="str">
        <x:v>NEWSPAPER STAND</x:v>
      </x:c>
      <x:c r="E1235" s="11" t="n">
        <x:v>3508.3</x:v>
      </x:c>
      <x:c r="F1235" s="11" t="n">
        <x:v>14.95</x:v>
      </x:c>
      <x:c r="G1235" s="11" t="n">
        <x:v>3493.35</x:v>
      </x:c>
      <x:c r="H1235" s="23" t="n">
        <x:v>0.00017085536645050574</x:v>
      </x:c>
      <x:c r="I1235" s="23" t="n">
        <x:v>0.8367725122199048</x:v>
      </x:c>
      <x:c r="J1235" s="2" t="n">
        <x:v>53</x:v>
      </x:c>
      <x:c r="K1235" s="2"/>
      <x:c r="L1235" s="2"/>
    </x:row>
    <x:row r="1236" ht="22" customHeight="1">
      <x:c r="A1236" s="2"/>
      <x:c r="B1236" s="2" t="n">
        <x:v>1203</x:v>
      </x:c>
      <x:c r="C1236" s="2" t="str">
        <x:v>23189</x:v>
      </x:c>
      <x:c r="D1236" s="2" t="str">
        <x:v>SET OF 12 FORK CANDLES</x:v>
      </x:c>
      <x:c r="E1236" s="11" t="n">
        <x:v>3507.51</x:v>
      </x:c>
      <x:c r="F1236" s="11" t="n">
        <x:v>2.89</x:v>
      </x:c>
      <x:c r="G1236" s="11" t="n">
        <x:v>3504.62</x:v>
      </x:c>
      <x:c r="H1236" s="23" t="n">
        <x:v>0.00017081689319009587</x:v>
      </x:c>
      <x:c r="I1236" s="23" t="n">
        <x:v>0.8369433291130949</x:v>
      </x:c>
      <x:c r="J1236" s="2" t="n">
        <x:v>141</x:v>
      </x:c>
      <x:c r="K1236" s="2"/>
      <x:c r="L1236" s="2"/>
    </x:row>
    <x:row r="1237" ht="22" customHeight="1">
      <x:c r="A1237" s="2"/>
      <x:c r="B1237" s="2" t="n">
        <x:v>1204</x:v>
      </x:c>
      <x:c r="C1237" s="2" t="str">
        <x:v>84352</x:v>
      </x:c>
      <x:c r="D1237" s="2" t="str">
        <x:v>SILVER CHRISTMAS TREE BAUBLE STAND </x:v>
      </x:c>
      <x:c r="E1237" s="11" t="n">
        <x:v>3505.58</x:v>
      </x:c>
      <x:c r="F1237" s="11" t="n">
        <x:v>118.65</x:v>
      </x:c>
      <x:c r="G1237" s="11" t="n">
        <x:v>3386.93</x:v>
      </x:c>
      <x:c r="H1237" s="23" t="n">
        <x:v>0.00017072290155390471</x:v>
      </x:c>
      <x:c r="I1237" s="23" t="n">
        <x:v>0.8371140520146488</x:v>
      </x:c>
      <x:c r="J1237" s="2" t="n">
        <x:v>126</x:v>
      </x:c>
      <x:c r="K1237" s="2"/>
      <x:c r="L1237" s="2"/>
    </x:row>
    <x:row r="1238" ht="22" customHeight="1">
      <x:c r="A1238" s="2"/>
      <x:c r="B1238" s="2" t="n">
        <x:v>1205</x:v>
      </x:c>
      <x:c r="C1238" s="2" t="str">
        <x:v>22076</x:v>
      </x:c>
      <x:c r="D1238" s="2" t="str">
        <x:v>6 RIBBONS EMPIRE  </x:v>
      </x:c>
      <x:c r="E1238" s="11" t="n">
        <x:v>3496.7899999999995</x:v>
      </x:c>
      <x:c r="F1238" s="11" t="n">
        <x:v>0</x:v>
      </x:c>
      <x:c r="G1238" s="11" t="n">
        <x:v>3496.7899999999995</x:v>
      </x:c>
      <x:c r="H1238" s="23" t="n">
        <x:v>0.000170294825656433</x:v>
      </x:c>
      <x:c r="I1238" s="23" t="n">
        <x:v>0.8372843468403053</x:v>
      </x:c>
      <x:c r="J1238" s="2" t="n">
        <x:v>375</x:v>
      </x:c>
      <x:c r="K1238" s="2"/>
      <x:c r="L1238" s="2"/>
    </x:row>
    <x:row r="1239" ht="22" customHeight="1">
      <x:c r="A1239" s="2"/>
      <x:c r="B1239" s="2" t="n">
        <x:v>1206</x:v>
      </x:c>
      <x:c r="C1239" s="2" t="str">
        <x:v>21469</x:v>
      </x:c>
      <x:c r="D1239" s="2" t="str">
        <x:v>POLKA DOT RAFFIA FOOD COVER</x:v>
      </x:c>
      <x:c r="E1239" s="11" t="n">
        <x:v>3482.01</x:v>
      </x:c>
      <x:c r="F1239" s="11" t="n">
        <x:v>67.5</x:v>
      </x:c>
      <x:c r="G1239" s="11" t="n">
        <x:v>3414.51</x:v>
      </x:c>
      <x:c r="H1239" s="23" t="n">
        <x:v>0.00016957503478446127</x:v>
      </x:c>
      <x:c r="I1239" s="23" t="n">
        <x:v>0.8374539218750897</x:v>
      </x:c>
      <x:c r="J1239" s="2" t="n">
        <x:v>210</x:v>
      </x:c>
      <x:c r="K1239" s="2"/>
      <x:c r="L1239" s="2"/>
    </x:row>
    <x:row r="1240" ht="22" customHeight="1">
      <x:c r="A1240" s="2"/>
      <x:c r="B1240" s="2" t="n">
        <x:v>1207</x:v>
      </x:c>
      <x:c r="C1240" s="2" t="str">
        <x:v>21466</x:v>
      </x:c>
      <x:c r="D1240" s="2" t="str">
        <x:v>RED FLOWER CROCHET FOOD COVER</x:v>
      </x:c>
      <x:c r="E1240" s="11" t="n">
        <x:v>3479.79</x:v>
      </x:c>
      <x:c r="F1240" s="11" t="n">
        <x:v>0</x:v>
      </x:c>
      <x:c r="G1240" s="11" t="n">
        <x:v>3479.79</x:v>
      </x:c>
      <x:c r="H1240" s="23" t="n">
        <x:v>0.0001694669200526766</x:v>
      </x:c>
      <x:c r="I1240" s="23" t="n">
        <x:v>0.8376233887951424</x:v>
      </x:c>
      <x:c r="J1240" s="2" t="n">
        <x:v>275</x:v>
      </x:c>
      <x:c r="K1240" s="2"/>
      <x:c r="L1240" s="2"/>
    </x:row>
    <x:row r="1241" ht="22" customHeight="1">
      <x:c r="A1241" s="2"/>
      <x:c r="B1241" s="2" t="n">
        <x:v>1208</x:v>
      </x:c>
      <x:c r="C1241" s="2" t="str">
        <x:v>23232</x:v>
      </x:c>
      <x:c r="D1241" s="2" t="str">
        <x:v>WRAP VINTAGE LEAF DESIGN</x:v>
      </x:c>
      <x:c r="E1241" s="11" t="n">
        <x:v>3478.92</x:v>
      </x:c>
      <x:c r="F1241" s="11" t="n">
        <x:v>21.42</x:v>
      </x:c>
      <x:c r="G1241" s="11" t="n">
        <x:v>3457.5</x:v>
      </x:c>
      <x:c r="H1241" s="23" t="n">
        <x:v>0.00016942455076589613</x:v>
      </x:c>
      <x:c r="I1241" s="23" t="n">
        <x:v>0.8377928133459083</x:v>
      </x:c>
      <x:c r="J1241" s="2" t="n">
        <x:v>238</x:v>
      </x:c>
      <x:c r="K1241" s="2"/>
      <x:c r="L1241" s="2"/>
    </x:row>
    <x:row r="1242" ht="22" customHeight="1">
      <x:c r="A1242" s="2"/>
      <x:c r="B1242" s="2" t="n">
        <x:v>1209</x:v>
      </x:c>
      <x:c r="C1242" s="2" t="str">
        <x:v>22309</x:v>
      </x:c>
      <x:c r="D1242" s="2" t="str">
        <x:v>TEA COSY RED  STRIPE</x:v>
      </x:c>
      <x:c r="E1242" s="11" t="n">
        <x:v>3466.73</x:v>
      </x:c>
      <x:c r="F1242" s="11" t="n">
        <x:v>66.3</x:v>
      </x:c>
      <x:c r="G1242" s="11" t="n">
        <x:v>3400.43</x:v>
      </x:c>
      <x:c r="H1242" s="23" t="n">
        <x:v>0.00016883089374767317</x:v>
      </x:c>
      <x:c r="I1242" s="23" t="n">
        <x:v>0.8379616442396559</x:v>
      </x:c>
      <x:c r="J1242" s="2" t="n">
        <x:v>266</x:v>
      </x:c>
      <x:c r="K1242" s="2"/>
      <x:c r="L1242" s="2"/>
    </x:row>
    <x:row r="1243" ht="22" customHeight="1">
      <x:c r="A1243" s="2"/>
      <x:c r="B1243" s="2" t="n">
        <x:v>1210</x:v>
      </x:c>
      <x:c r="C1243" s="2" t="str">
        <x:v>22764</x:v>
      </x:c>
      <x:c r="D1243" s="2" t="str">
        <x:v>RUSTIC WOODEN CABINET, GLASS DOORS</x:v>
      </x:c>
      <x:c r="E1243" s="11" t="n">
        <x:v>3462.49</x:v>
      </x:c>
      <x:c r="F1243" s="11" t="n">
        <x:v>93.8</x:v>
      </x:c>
      <x:c r="G1243" s="11" t="n">
        <x:v>3368.6899999999996</x:v>
      </x:c>
      <x:c r="H1243" s="23" t="n">
        <x:v>0.00016862440435003038</x:v>
      </x:c>
      <x:c r="I1243" s="23" t="n">
        <x:v>0.838130268644006</x:v>
      </x:c>
      <x:c r="J1243" s="2" t="n">
        <x:v>25</x:v>
      </x:c>
      <x:c r="K1243" s="2"/>
      <x:c r="L1243" s="2"/>
    </x:row>
    <x:row r="1244" ht="22" customHeight="1">
      <x:c r="A1244" s="2"/>
      <x:c r="B1244" s="2" t="n">
        <x:v>1211</x:v>
      </x:c>
      <x:c r="C1244" s="2" t="str">
        <x:v>21507</x:v>
      </x:c>
      <x:c r="D1244" s="2" t="str">
        <x:v>ELEPHANT BIRTHDAY CARD </x:v>
      </x:c>
      <x:c r="E1244" s="11" t="n">
        <x:v>3460.45</x:v>
      </x:c>
      <x:c r="F1244" s="11" t="n">
        <x:v>10.08</x:v>
      </x:c>
      <x:c r="G1244" s="11" t="n">
        <x:v>3450.37</x:v>
      </x:c>
      <x:c r="H1244" s="23" t="n">
        <x:v>0.00016852505567757962</x:v>
      </x:c>
      <x:c r="I1244" s="23" t="n">
        <x:v>0.8382987936996835</x:v>
      </x:c>
      <x:c r="J1244" s="2" t="n">
        <x:v>584</x:v>
      </x:c>
      <x:c r="K1244" s="2"/>
      <x:c r="L1244" s="2"/>
    </x:row>
    <x:row r="1245" ht="22" customHeight="1">
      <x:c r="A1245" s="2"/>
      <x:c r="B1245" s="2" t="n">
        <x:v>1212</x:v>
      </x:c>
      <x:c r="C1245" s="2" t="str">
        <x:v>23350</x:v>
      </x:c>
      <x:c r="D1245" s="2" t="str">
        <x:v>ROLL WRAP VINTAGE SPOT </x:v>
      </x:c>
      <x:c r="E1245" s="11" t="n">
        <x:v>3456.33</x:v>
      </x:c>
      <x:c r="F1245" s="11" t="n">
        <x:v>30</x:v>
      </x:c>
      <x:c r="G1245" s="11" t="n">
        <x:v>3426.33</x:v>
      </x:c>
      <x:c r="H1245" s="23" t="n">
        <x:v>0.00016832441031949276</x:v>
      </x:c>
      <x:c r="I1245" s="23" t="n">
        <x:v>0.838467118110003</x:v>
      </x:c>
      <x:c r="J1245" s="2" t="n">
        <x:v>305</x:v>
      </x:c>
      <x:c r="K1245" s="2"/>
      <x:c r="L1245" s="2"/>
    </x:row>
    <x:row r="1246" ht="22" customHeight="1">
      <x:c r="A1246" s="2"/>
      <x:c r="B1246" s="2" t="n">
        <x:v>1213</x:v>
      </x:c>
      <x:c r="C1246" s="2" t="str">
        <x:v>22172</x:v>
      </x:c>
      <x:c r="D1246" s="2" t="str">
        <x:v>METAL SHELF WITH RAIL </x:v>
      </x:c>
      <x:c r="E1246" s="11" t="n">
        <x:v>3451.82</x:v>
      </x:c>
      <x:c r="F1246" s="11" t="n">
        <x:v>34</x:v>
      </x:c>
      <x:c r="G1246" s="11" t="n">
        <x:v>3417.82</x:v>
      </x:c>
      <x:c r="H1246" s="23" t="n">
        <x:v>0.00016810477183284915</x:v>
      </x:c>
      <x:c r="I1246" s="23" t="n">
        <x:v>0.8386352228818358</x:v>
      </x:c>
      <x:c r="J1246" s="2" t="n">
        <x:v>185</x:v>
      </x:c>
      <x:c r="K1246" s="2"/>
      <x:c r="L1246" s="2"/>
    </x:row>
    <x:row r="1247" ht="22" customHeight="1">
      <x:c r="A1247" s="2"/>
      <x:c r="B1247" s="2" t="n">
        <x:v>1214</x:v>
      </x:c>
      <x:c r="C1247" s="2" t="str">
        <x:v>23426</x:v>
      </x:c>
      <x:c r="D1247" s="2" t="str">
        <x:v>METAL SIGN DROP YOUR PANTS</x:v>
      </x:c>
      <x:c r="E1247" s="11" t="n">
        <x:v>3450.21</x:v>
      </x:c>
      <x:c r="F1247" s="11" t="n">
        <x:v>17.34</x:v>
      </x:c>
      <x:c r="G1247" s="11" t="n">
        <x:v>3432.87</x:v>
      </x:c>
      <x:c r="H1247" s="23" t="n">
        <x:v>0.00016802636430214045</x:v>
      </x:c>
      <x:c r="I1247" s="23" t="n">
        <x:v>0.8388032492461379</x:v>
      </x:c>
      <x:c r="J1247" s="2" t="n">
        <x:v>206</x:v>
      </x:c>
      <x:c r="K1247" s="2"/>
      <x:c r="L1247" s="2"/>
    </x:row>
    <x:row r="1248" ht="22" customHeight="1">
      <x:c r="A1248" s="2"/>
      <x:c r="B1248" s="2" t="n">
        <x:v>1215</x:v>
      </x:c>
      <x:c r="C1248" s="2" t="str">
        <x:v>23388</x:v>
      </x:c>
      <x:c r="D1248" s="2" t="str">
        <x:v>WOODLAND MINI BACKPACK</x:v>
      </x:c>
      <x:c r="E1248" s="11" t="n">
        <x:v>3448.69</x:v>
      </x:c>
      <x:c r="F1248" s="11" t="n">
        <x:v>0</x:v>
      </x:c>
      <x:c r="G1248" s="11" t="n">
        <x:v>3448.69</x:v>
      </x:c>
      <x:c r="H1248" s="23" t="n">
        <x:v>0.0001679523398010987</x:v>
      </x:c>
      <x:c r="I1248" s="23" t="n">
        <x:v>0.838971201585939</x:v>
      </x:c>
      <x:c r="J1248" s="2" t="n">
        <x:v>154</x:v>
      </x:c>
      <x:c r="K1248" s="2"/>
      <x:c r="L1248" s="2"/>
    </x:row>
    <x:row r="1249" ht="22" customHeight="1">
      <x:c r="A1249" s="2"/>
      <x:c r="B1249" s="2" t="n">
        <x:v>1216</x:v>
      </x:c>
      <x:c r="C1249" s="2" t="str">
        <x:v>85123a</x:v>
      </x:c>
      <x:c r="D1249" s="2" t="str">
        <x:v>WHITE HANGING HEART T-LIGHT HOLDER</x:v>
      </x:c>
      <x:c r="E1249" s="11" t="n">
        <x:v>3444.02</x:v>
      </x:c>
      <x:c r="F1249" s="11" t="n">
        <x:v>0</x:v>
      </x:c>
      <x:c r="G1249" s="11" t="n">
        <x:v>3444.02</x:v>
      </x:c>
      <x:c r="H1249" s="23" t="n">
        <x:v>0.00016772490926171386</x:v>
      </x:c>
      <x:c r="I1249" s="23" t="n">
        <x:v>0.8391389264952007</x:v>
      </x:c>
      <x:c r="J1249" s="2" t="n">
        <x:v>99</x:v>
      </x:c>
      <x:c r="K1249" s="2"/>
      <x:c r="L1249" s="2"/>
    </x:row>
    <x:row r="1250" ht="22" customHeight="1">
      <x:c r="A1250" s="2"/>
      <x:c r="B1250" s="2" t="n">
        <x:v>1217</x:v>
      </x:c>
      <x:c r="C1250" s="2" t="str">
        <x:v>23536</x:v>
      </x:c>
      <x:c r="D1250" s="2" t="str">
        <x:v>WALL ART VILLAGE SHOW </x:v>
      </x:c>
      <x:c r="E1250" s="11" t="n">
        <x:v>3442.13</x:v>
      </x:c>
      <x:c r="F1250" s="11" t="n">
        <x:v>23.8</x:v>
      </x:c>
      <x:c r="G1250" s="11" t="n">
        <x:v>3418.33</x:v>
      </x:c>
      <x:c r="H1250" s="23" t="n">
        <x:v>0.000167632865638708</x:v>
      </x:c>
      <x:c r="I1250" s="23" t="n">
        <x:v>0.8393065593608394</x:v>
      </x:c>
      <x:c r="J1250" s="2" t="n">
        <x:v>85</x:v>
      </x:c>
      <x:c r="K1250" s="2"/>
      <x:c r="L1250" s="2"/>
    </x:row>
    <x:row r="1251" ht="22" customHeight="1">
      <x:c r="A1251" s="2"/>
      <x:c r="B1251" s="2" t="n">
        <x:v>1218</x:v>
      </x:c>
      <x:c r="C1251" s="2" t="str">
        <x:v>23065</x:v>
      </x:c>
      <x:c r="D1251" s="2" t="str">
        <x:v>LARGE DECO JEWELLERY STAND</x:v>
      </x:c>
      <x:c r="E1251" s="11" t="n">
        <x:v>3439.94</x:v>
      </x:c>
      <x:c r="F1251" s="11" t="n">
        <x:v>12.5</x:v>
      </x:c>
      <x:c r="G1251" s="11" t="n">
        <x:v>3427.44</x:v>
      </x:c>
      <x:c r="H1251" s="23" t="n">
        <x:v>0.00016752621191681234</x:v>
      </x:c>
      <x:c r="I1251" s="23" t="n">
        <x:v>0.8394740855727563</x:v>
      </x:c>
      <x:c r="J1251" s="2" t="n">
        <x:v>99</x:v>
      </x:c>
      <x:c r="K1251" s="2"/>
      <x:c r="L1251" s="2"/>
    </x:row>
    <x:row r="1252" ht="22" customHeight="1">
      <x:c r="A1252" s="2"/>
      <x:c r="B1252" s="2" t="n">
        <x:v>1219</x:v>
      </x:c>
      <x:c r="C1252" s="2" t="str">
        <x:v>23156</x:v>
      </x:c>
      <x:c r="D1252" s="2" t="str">
        <x:v>SET OF 5 MINI GROCERY MAGNETS</x:v>
      </x:c>
      <x:c r="E1252" s="11" t="n">
        <x:v>3437.85</x:v>
      </x:c>
      <x:c r="F1252" s="11" t="n">
        <x:v>49.92</x:v>
      </x:c>
      <x:c r="G1252" s="11" t="n">
        <x:v>3387.9300000000003</x:v>
      </x:c>
      <x:c r="H1252" s="23" t="n">
        <x:v>0.00016742442822787992</x:v>
      </x:c>
      <x:c r="I1252" s="23" t="n">
        <x:v>0.8396415100009842</x:v>
      </x:c>
      <x:c r="J1252" s="2" t="n">
        <x:v>205</x:v>
      </x:c>
      <x:c r="K1252" s="2"/>
      <x:c r="L1252" s="2"/>
    </x:row>
    <x:row r="1253" ht="22" customHeight="1">
      <x:c r="A1253" s="2"/>
      <x:c r="B1253" s="2" t="n">
        <x:v>1220</x:v>
      </x:c>
      <x:c r="C1253" s="2" t="str">
        <x:v>22440</x:v>
      </x:c>
      <x:c r="D1253" s="2" t="str">
        <x:v>BALLOON WATER BOMB PACK OF 35</x:v>
      </x:c>
      <x:c r="E1253" s="11" t="n">
        <x:v>3437.21</x:v>
      </x:c>
      <x:c r="F1253" s="11" t="n">
        <x:v>22.68</x:v>
      </x:c>
      <x:c r="G1253" s="11" t="n">
        <x:v>3414.53</x:v>
      </x:c>
      <x:c r="H1253" s="23" t="n">
        <x:v>0.00016739326001691498</x:v>
      </x:c>
      <x:c r="I1253" s="23" t="n">
        <x:v>0.8398089032610011</x:v>
      </x:c>
      <x:c r="J1253" s="2" t="n">
        <x:v>292</x:v>
      </x:c>
      <x:c r="K1253" s="2"/>
      <x:c r="L1253" s="2"/>
    </x:row>
    <x:row r="1254" ht="22" customHeight="1">
      <x:c r="A1254" s="2"/>
      <x:c r="B1254" s="2" t="n">
        <x:v>1221</x:v>
      </x:c>
      <x:c r="C1254" s="2" t="str">
        <x:v>23354</x:v>
      </x:c>
      <x:c r="D1254" s="2" t="str">
        <x:v>6 GIFT TAGS 50'S CHRISTMAS </x:v>
      </x:c>
      <x:c r="E1254" s="11" t="n">
        <x:v>3431.89</x:v>
      </x:c>
      <x:c r="F1254" s="11" t="n">
        <x:v>49.8</x:v>
      </x:c>
      <x:c r="G1254" s="11" t="n">
        <x:v>3382.0899999999997</x:v>
      </x:c>
      <x:c r="H1254" s="23" t="n">
        <x:v>0.00016713417426326884</x:v>
      </x:c>
      <x:c r="I1254" s="23" t="n">
        <x:v>0.8399760374352644</x:v>
      </x:c>
      <x:c r="J1254" s="2" t="n">
        <x:v>322</x:v>
      </x:c>
      <x:c r="K1254" s="2"/>
      <x:c r="L1254" s="2"/>
    </x:row>
    <x:row r="1255" ht="22" customHeight="1">
      <x:c r="A1255" s="2"/>
      <x:c r="B1255" s="2" t="n">
        <x:v>1222</x:v>
      </x:c>
      <x:c r="C1255" s="2" t="str">
        <x:v>22452</x:v>
      </x:c>
      <x:c r="D1255" s="2" t="str">
        <x:v>MEASURING TAPE BABUSHKA PINK</x:v>
      </x:c>
      <x:c r="E1255" s="11" t="n">
        <x:v>3428.9</x:v>
      </x:c>
      <x:c r="F1255" s="11" t="n">
        <x:v>38.35000000000001</x:v>
      </x:c>
      <x:c r="G1255" s="11" t="n">
        <x:v>3390.55</x:v>
      </x:c>
      <x:c r="H1255" s="23" t="n">
        <x:v>0.000166988560277667</x:v>
      </x:c>
      <x:c r="I1255" s="23" t="n">
        <x:v>0.840143025995542</x:v>
      </x:c>
      <x:c r="J1255" s="2" t="n">
        <x:v>255</x:v>
      </x:c>
      <x:c r="K1255" s="2"/>
      <x:c r="L1255" s="2"/>
    </x:row>
    <x:row r="1256" ht="22" customHeight="1">
      <x:c r="A1256" s="2"/>
      <x:c r="B1256" s="2" t="n">
        <x:v>1223</x:v>
      </x:c>
      <x:c r="C1256" s="2" t="str">
        <x:v>21364</x:v>
      </x:c>
      <x:c r="D1256" s="2" t="str">
        <x:v>PEACE SMALL WOOD LETTERS</x:v>
      </x:c>
      <x:c r="E1256" s="11" t="n">
        <x:v>3427.9700000000003</x:v>
      </x:c>
      <x:c r="F1256" s="11" t="n">
        <x:v>13.5</x:v>
      </x:c>
      <x:c r="G1256" s="11" t="n">
        <x:v>3414.4700000000003</x:v>
      </x:c>
      <x:c r="H1256" s="23" t="n">
        <x:v>0.00016694326897110856</x:v>
      </x:c>
      <x:c r="I1256" s="23" t="n">
        <x:v>0.8403099692645132</x:v>
      </x:c>
      <x:c r="J1256" s="2" t="n">
        <x:v>167</x:v>
      </x:c>
      <x:c r="K1256" s="2"/>
      <x:c r="L1256" s="2"/>
    </x:row>
    <x:row r="1257" ht="22" customHeight="1">
      <x:c r="A1257" s="2"/>
      <x:c r="B1257" s="2" t="n">
        <x:v>1224</x:v>
      </x:c>
      <x:c r="C1257" s="2" t="str">
        <x:v>23014</x:v>
      </x:c>
      <x:c r="D1257" s="2" t="str">
        <x:v>GLASS APOTHECARY BOTTLE ELIXIR</x:v>
      </x:c>
      <x:c r="E1257" s="11" t="n">
        <x:v>3427.4800000000005</x:v>
      </x:c>
      <x:c r="F1257" s="11" t="n">
        <x:v>35.55</x:v>
      </x:c>
      <x:c r="G1257" s="11" t="n">
        <x:v>3391.9300000000003</x:v>
      </x:c>
      <x:c r="H1257" s="23" t="n">
        <x:v>0.00016691940580958853</x:v>
      </x:c>
      <x:c r="I1257" s="23" t="n">
        <x:v>0.8404768886703228</x:v>
      </x:c>
      <x:c r="J1257" s="2" t="n">
        <x:v>209</x:v>
      </x:c>
      <x:c r="K1257" s="2"/>
      <x:c r="L1257" s="2"/>
    </x:row>
    <x:row r="1258" ht="22" customHeight="1">
      <x:c r="A1258" s="2"/>
      <x:c r="B1258" s="2" t="n">
        <x:v>1225</x:v>
      </x:c>
      <x:c r="C1258" s="2" t="str">
        <x:v>21039</x:v>
      </x:c>
      <x:c r="D1258" s="2" t="str">
        <x:v>RED RETROSPOT SHOPPING BAG</x:v>
      </x:c>
      <x:c r="E1258" s="11" t="n">
        <x:v>3423.6499999999996</x:v>
      </x:c>
      <x:c r="F1258" s="11" t="n">
        <x:v>40.8</x:v>
      </x:c>
      <x:c r="G1258" s="11" t="n">
        <x:v>3382.85</x:v>
      </x:c>
      <x:c r="H1258" s="23" t="n">
        <x:v>0.00016673288354709514</x:v>
      </x:c>
      <x:c r="I1258" s="23" t="n">
        <x:v>0.8406436215538698</x:v>
      </x:c>
      <x:c r="J1258" s="2" t="n">
        <x:v>228</x:v>
      </x:c>
      <x:c r="K1258" s="2"/>
      <x:c r="L1258" s="2"/>
    </x:row>
    <x:row r="1259" ht="22" customHeight="1">
      <x:c r="A1259" s="2"/>
      <x:c r="B1259" s="2" t="n">
        <x:v>1226</x:v>
      </x:c>
      <x:c r="C1259" s="2" t="str">
        <x:v>37501</x:v>
      </x:c>
      <x:c r="D1259" s="2" t="str">
        <x:v>TEA TIME TEA SET IN GIFT BOX</x:v>
      </x:c>
      <x:c r="E1259" s="11" t="n">
        <x:v>3422</x:v>
      </x:c>
      <x:c r="F1259" s="11" t="n">
        <x:v>104.25</x:v>
      </x:c>
      <x:c r="G1259" s="11" t="n">
        <x:v>3317.75</x:v>
      </x:c>
      <x:c r="H1259" s="23" t="n">
        <x:v>0.00016665252800320115</x:v>
      </x:c>
      <x:c r="I1259" s="23" t="n">
        <x:v>0.840810274081873</x:v>
      </x:c>
      <x:c r="J1259" s="2" t="n">
        <x:v>177</x:v>
      </x:c>
      <x:c r="K1259" s="2"/>
      <x:c r="L1259" s="2"/>
    </x:row>
    <x:row r="1260" ht="22" customHeight="1">
      <x:c r="A1260" s="2"/>
      <x:c r="B1260" s="2" t="n">
        <x:v>1227</x:v>
      </x:c>
      <x:c r="C1260" s="2" t="str">
        <x:v>21902</x:v>
      </x:c>
      <x:c r="D1260" s="2" t="str">
        <x:v>KEY FOB , FRONT  DOOR </x:v>
      </x:c>
      <x:c r="E1260" s="11" t="n">
        <x:v>3419.0800000000004</x:v>
      </x:c>
      <x:c r="F1260" s="11" t="n">
        <x:v>37.050000000000004</x:v>
      </x:c>
      <x:c r="G1260" s="11" t="n">
        <x:v>3382.03</x:v>
      </x:c>
      <x:c r="H1260" s="23" t="n">
        <x:v>0.00016651032304067361</x:v>
      </x:c>
      <x:c r="I1260" s="23" t="n">
        <x:v>0.8409767844049137</x:v>
      </x:c>
      <x:c r="J1260" s="2" t="n">
        <x:v>474</x:v>
      </x:c>
      <x:c r="K1260" s="2"/>
      <x:c r="L1260" s="2"/>
    </x:row>
    <x:row r="1261" ht="22" customHeight="1">
      <x:c r="A1261" s="2"/>
      <x:c r="B1261" s="2" t="n">
        <x:v>1228</x:v>
      </x:c>
      <x:c r="C1261" s="2" t="str">
        <x:v>22459</x:v>
      </x:c>
      <x:c r="D1261" s="2" t="str">
        <x:v>CAST IRON HOOK GARDEN TROWEL</x:v>
      </x:c>
      <x:c r="E1261" s="11" t="n">
        <x:v>3410.14</x:v>
      </x:c>
      <x:c r="F1261" s="11" t="n">
        <x:v>0</x:v>
      </x:c>
      <x:c r="G1261" s="11" t="n">
        <x:v>3410.14</x:v>
      </x:c>
      <x:c r="H1261" s="23" t="n">
        <x:v>0.00016607494209375698</x:v>
      </x:c>
      <x:c r="I1261" s="23" t="n">
        <x:v>0.8411428593470075</x:v>
      </x:c>
      <x:c r="J1261" s="2" t="n">
        <x:v>172</x:v>
      </x:c>
      <x:c r="K1261" s="2"/>
      <x:c r="L1261" s="2"/>
    </x:row>
    <x:row r="1262" ht="22" customHeight="1">
      <x:c r="A1262" s="2"/>
      <x:c r="B1262" s="2" t="n">
        <x:v>1229</x:v>
      </x:c>
      <x:c r="C1262" s="2" t="str">
        <x:v>21191</x:v>
      </x:c>
      <x:c r="D1262" s="2" t="str">
        <x:v>LARGE WHITE HONEYCOMB PAPER BELL  </x:v>
      </x:c>
      <x:c r="E1262" s="11" t="n">
        <x:v>3408.61</x:v>
      </x:c>
      <x:c r="F1262" s="11" t="n">
        <x:v>0</x:v>
      </x:c>
      <x:c r="G1262" s="11" t="n">
        <x:v>3408.61</x:v>
      </x:c>
      <x:c r="H1262" s="23" t="n">
        <x:v>0.0001660004305894189</x:v>
      </x:c>
      <x:c r="I1262" s="23" t="n">
        <x:v>0.841308859777597</x:v>
      </x:c>
      <x:c r="J1262" s="2" t="n">
        <x:v>201</x:v>
      </x:c>
      <x:c r="K1262" s="2"/>
      <x:c r="L1262" s="2"/>
    </x:row>
    <x:row r="1263" ht="22" customHeight="1">
      <x:c r="A1263" s="2"/>
      <x:c r="B1263" s="2" t="n">
        <x:v>1230</x:v>
      </x:c>
      <x:c r="C1263" s="2" t="str">
        <x:v>84472</x:v>
      </x:c>
      <x:c r="D1263" s="2" t="str">
        <x:v>PINK AND LILAC QUILTED THROW </x:v>
      </x:c>
      <x:c r="E1263" s="11" t="n">
        <x:v>3402.32</x:v>
      </x:c>
      <x:c r="F1263" s="11" t="n">
        <x:v>125.9</x:v>
      </x:c>
      <x:c r="G1263" s="11" t="n">
        <x:v>3276.42</x:v>
      </x:c>
      <x:c r="H1263" s="23" t="n">
        <x:v>0.00016569410551602905</x:v>
      </x:c>
      <x:c r="I1263" s="23" t="n">
        <x:v>0.841474553883113</x:v>
      </x:c>
      <x:c r="J1263" s="2" t="n">
        <x:v>30</x:v>
      </x:c>
      <x:c r="K1263" s="2"/>
      <x:c r="L1263" s="2"/>
    </x:row>
    <x:row r="1264" ht="22" customHeight="1">
      <x:c r="A1264" s="2"/>
      <x:c r="B1264" s="2" t="n">
        <x:v>1231</x:v>
      </x:c>
      <x:c r="C1264" s="2" t="str">
        <x:v>23239</x:v>
      </x:c>
      <x:c r="D1264" s="2" t="str">
        <x:v>SET OF 4 KNICK KNACK TINS POPPIES</x:v>
      </x:c>
      <x:c r="E1264" s="11" t="n">
        <x:v>3399.4900000000002</x:v>
      </x:c>
      <x:c r="F1264" s="11" t="n">
        <x:v>115.80000000000001</x:v>
      </x:c>
      <x:c r="G1264" s="11" t="n">
        <x:v>3283.69</x:v>
      </x:c>
      <x:c r="H1264" s="23" t="n">
        <x:v>0.00016555628358316842</x:v>
      </x:c>
      <x:c r="I1264" s="23" t="n">
        <x:v>0.8416401101666962</x:v>
      </x:c>
      <x:c r="J1264" s="2" t="n">
        <x:v>178</x:v>
      </x:c>
      <x:c r="K1264" s="2"/>
      <x:c r="L1264" s="2"/>
    </x:row>
    <x:row r="1265" ht="22" customHeight="1">
      <x:c r="A1265" s="2"/>
      <x:c r="B1265" s="2" t="n">
        <x:v>1232</x:v>
      </x:c>
      <x:c r="C1265" s="2" t="str">
        <x:v>21123</x:v>
      </x:c>
      <x:c r="D1265" s="2" t="str">
        <x:v>SET/10 IVORY POLKADOT PARTY CANDLES</x:v>
      </x:c>
      <x:c r="E1265" s="11" t="n">
        <x:v>3398.06</x:v>
      </x:c>
      <x:c r="F1265" s="11" t="n">
        <x:v>60</x:v>
      </x:c>
      <x:c r="G1265" s="11" t="n">
        <x:v>3338.06</x:v>
      </x:c>
      <x:c r="H1265" s="23" t="n">
        <x:v>0.0001654866421117936</x:v>
      </x:c>
      <x:c r="I1265" s="23" t="n">
        <x:v>0.841805596808808</x:v>
      </x:c>
      <x:c r="J1265" s="2" t="n">
        <x:v>252</x:v>
      </x:c>
      <x:c r="K1265" s="2"/>
      <x:c r="L1265" s="2"/>
    </x:row>
    <x:row r="1266" ht="22" customHeight="1">
      <x:c r="A1266" s="2"/>
      <x:c r="B1266" s="2" t="n">
        <x:v>1233</x:v>
      </x:c>
      <x:c r="C1266" s="2" t="str">
        <x:v>22862</x:v>
      </x:c>
      <x:c r="D1266" s="2" t="str">
        <x:v>LOVE HEART NAPKIN BOX </x:v>
      </x:c>
      <x:c r="E1266" s="11" t="n">
        <x:v>3394.47</x:v>
      </x:c>
      <x:c r="F1266" s="11" t="n">
        <x:v>17</x:v>
      </x:c>
      <x:c r="G1266" s="11" t="n">
        <x:v>3377.47</x:v>
      </x:c>
      <x:c r="H1266" s="23" t="n">
        <x:v>0.0001653118079284121</x:v>
      </x:c>
      <x:c r="I1266" s="23" t="n">
        <x:v>0.8419709086167364</x:v>
      </x:c>
      <x:c r="J1266" s="2" t="n">
        <x:v>221</x:v>
      </x:c>
      <x:c r="K1266" s="2"/>
      <x:c r="L1266" s="2"/>
    </x:row>
    <x:row r="1267" ht="22" customHeight="1">
      <x:c r="A1267" s="2"/>
      <x:c r="B1267" s="2" t="n">
        <x:v>1234</x:v>
      </x:c>
      <x:c r="C1267" s="2" t="str">
        <x:v>21327</x:v>
      </x:c>
      <x:c r="D1267" s="2" t="str">
        <x:v>SKULLS WRITING SET </x:v>
      </x:c>
      <x:c r="E1267" s="11" t="n">
        <x:v>3386.7599999999998</x:v>
      </x:c>
      <x:c r="F1267" s="11" t="n">
        <x:v>0</x:v>
      </x:c>
      <x:c r="G1267" s="11" t="n">
        <x:v>3386.7599999999998</x:v>
      </x:c>
      <x:c r="H1267" s="23" t="n">
        <x:v>0.00016493632838694374</x:v>
      </x:c>
      <x:c r="I1267" s="23" t="n">
        <x:v>0.8421358449451234</x:v>
      </x:c>
      <x:c r="J1267" s="2" t="n">
        <x:v>495</x:v>
      </x:c>
      <x:c r="K1267" s="2"/>
      <x:c r="L1267" s="2"/>
    </x:row>
    <x:row r="1268" ht="22" customHeight="1">
      <x:c r="A1268" s="2"/>
      <x:c r="B1268" s="2" t="n">
        <x:v>1235</x:v>
      </x:c>
      <x:c r="C1268" s="2" t="str">
        <x:v>22428</x:v>
      </x:c>
      <x:c r="D1268" s="2" t="str">
        <x:v>ENAMEL FIRE BUCKET CREAM</x:v>
      </x:c>
      <x:c r="E1268" s="11" t="n">
        <x:v>3386.62</x:v>
      </x:c>
      <x:c r="F1268" s="11" t="n">
        <x:v>104.25</x:v>
      </x:c>
      <x:c r="G1268" s="11" t="n">
        <x:v>3282.37</x:v>
      </x:c>
      <x:c r="H1268" s="23" t="n">
        <x:v>0.00016492951034079517</x:v>
      </x:c>
      <x:c r="I1268" s="23" t="n">
        <x:v>0.8423007744554641</x:v>
      </x:c>
      <x:c r="J1268" s="2" t="n">
        <x:v>191</x:v>
      </x:c>
      <x:c r="K1268" s="2"/>
      <x:c r="L1268" s="2"/>
    </x:row>
    <x:row r="1269" ht="22" customHeight="1">
      <x:c r="A1269" s="2"/>
      <x:c r="B1269" s="2" t="n">
        <x:v>1236</x:v>
      </x:c>
      <x:c r="C1269" s="2" t="str">
        <x:v>44230</x:v>
      </x:c>
      <x:c r="D1269" s="2" t="str">
        <x:v>SQUARE MIRROR CURTAIN</x:v>
      </x:c>
      <x:c r="E1269" s="11" t="n">
        <x:v>3381.6200000000003</x:v>
      </x:c>
      <x:c r="F1269" s="11" t="n">
        <x:v>77.91</x:v>
      </x:c>
      <x:c r="G1269" s="11" t="n">
        <x:v>3303.71</x:v>
      </x:c>
      <x:c r="H1269" s="23" t="n">
        <x:v>0.00016468600869263154</x:v>
      </x:c>
      <x:c r="I1269" s="23" t="n">
        <x:v>0.8424654604641568</x:v>
      </x:c>
      <x:c r="J1269" s="2" t="n">
        <x:v>53</x:v>
      </x:c>
      <x:c r="K1269" s="2"/>
      <x:c r="L1269" s="2"/>
    </x:row>
    <x:row r="1270" ht="22" customHeight="1">
      <x:c r="A1270" s="2"/>
      <x:c r="B1270" s="2" t="n">
        <x:v>1237</x:v>
      </x:c>
      <x:c r="C1270" s="2" t="str">
        <x:v>22822</x:v>
      </x:c>
      <x:c r="D1270" s="2" t="str">
        <x:v>CREAM WALL PLANTER HEART SHAPED</x:v>
      </x:c>
      <x:c r="E1270" s="11" t="n">
        <x:v>3379.25</x:v>
      </x:c>
      <x:c r="F1270" s="11" t="n">
        <x:v>11.9</x:v>
      </x:c>
      <x:c r="G1270" s="11" t="n">
        <x:v>3367.35</x:v>
      </x:c>
      <x:c r="H1270" s="23" t="n">
        <x:v>0.00016457058891140196</x:v>
      </x:c>
      <x:c r="I1270" s="23" t="n">
        <x:v>0.8426300310530682</x:v>
      </x:c>
      <x:c r="J1270" s="2" t="n">
        <x:v>183</x:v>
      </x:c>
      <x:c r="K1270" s="2"/>
      <x:c r="L1270" s="2"/>
    </x:row>
    <x:row r="1271" ht="22" customHeight="1">
      <x:c r="A1271" s="2"/>
      <x:c r="B1271" s="2" t="n">
        <x:v>1238</x:v>
      </x:c>
      <x:c r="C1271" s="2" t="str">
        <x:v>22047</x:v>
      </x:c>
      <x:c r="D1271" s="2" t="str">
        <x:v>EMPIRE GIFT WRAP</x:v>
      </x:c>
      <x:c r="E1271" s="11" t="n">
        <x:v>3372</x:v>
      </x:c>
      <x:c r="F1271" s="11" t="n">
        <x:v>89</x:v>
      </x:c>
      <x:c r="G1271" s="11" t="n">
        <x:v>3283</x:v>
      </x:c>
      <x:c r="H1271" s="23" t="n">
        <x:v>0.00016421751152156467</x:v>
      </x:c>
      <x:c r="I1271" s="23" t="n">
        <x:v>0.8427942485645897</x:v>
      </x:c>
      <x:c r="J1271" s="2" t="n">
        <x:v>261</x:v>
      </x:c>
      <x:c r="K1271" s="2"/>
      <x:c r="L1271" s="2"/>
    </x:row>
    <x:row r="1272" ht="22" customHeight="1">
      <x:c r="A1272" s="2"/>
      <x:c r="B1272" s="2" t="n">
        <x:v>1239</x:v>
      </x:c>
      <x:c r="C1272" s="2" t="str">
        <x:v>21211</x:v>
      </x:c>
      <x:c r="D1272" s="2" t="str">
        <x:v>SET OF 72 SKULL PAPER  DOILIES</x:v>
      </x:c>
      <x:c r="E1272" s="11" t="n">
        <x:v>3369.99</x:v>
      </x:c>
      <x:c r="F1272" s="11" t="n">
        <x:v>17.4</x:v>
      </x:c>
      <x:c r="G1272" s="11" t="n">
        <x:v>3352.5899999999997</x:v>
      </x:c>
      <x:c r="H1272" s="23" t="n">
        <x:v>0.00016411962385900287</x:v>
      </x:c>
      <x:c r="I1272" s="23" t="n">
        <x:v>0.8429583681884487</x:v>
      </x:c>
      <x:c r="J1272" s="2" t="n">
        <x:v>237</x:v>
      </x:c>
      <x:c r="K1272" s="2"/>
      <x:c r="L1272" s="2"/>
    </x:row>
    <x:row r="1273" ht="22" customHeight="1">
      <x:c r="A1273" s="2"/>
      <x:c r="B1273" s="2" t="n">
        <x:v>1240</x:v>
      </x:c>
      <x:c r="C1273" s="2" t="str">
        <x:v>22477</x:v>
      </x:c>
      <x:c r="D1273" s="2" t="str">
        <x:v>WATERING CAN GARDEN MARKER</x:v>
      </x:c>
      <x:c r="E1273" s="11" t="n">
        <x:v>3369.24</x:v>
      </x:c>
      <x:c r="F1273" s="11" t="n">
        <x:v>1.25</x:v>
      </x:c>
      <x:c r="G1273" s="11" t="n">
        <x:v>3367.99</x:v>
      </x:c>
      <x:c r="H1273" s="23" t="n">
        <x:v>0.0001640830986117783</x:v>
      </x:c>
      <x:c r="I1273" s="23" t="n">
        <x:v>0.8431224512870605</x:v>
      </x:c>
      <x:c r="J1273" s="2" t="n">
        <x:v>276</x:v>
      </x:c>
      <x:c r="K1273" s="2"/>
      <x:c r="L1273" s="2"/>
    </x:row>
    <x:row r="1274" ht="22" customHeight="1">
      <x:c r="A1274" s="2"/>
      <x:c r="B1274" s="2" t="n">
        <x:v>1241</x:v>
      </x:c>
      <x:c r="C1274" s="2" t="str">
        <x:v>22223</x:v>
      </x:c>
      <x:c r="D1274" s="2" t="str">
        <x:v>CAKE PLATE LOVEBIRD PINK</x:v>
      </x:c>
      <x:c r="E1274" s="11" t="n">
        <x:v>3364.61</x:v>
      </x:c>
      <x:c r="F1274" s="11" t="n">
        <x:v>4.95</x:v>
      </x:c>
      <x:c r="G1274" s="11" t="n">
        <x:v>3359.6600000000003</x:v>
      </x:c>
      <x:c r="H1274" s="23" t="n">
        <x:v>0.0001638576160855788</x:v>
      </x:c>
      <x:c r="I1274" s="23" t="n">
        <x:v>0.8432863089031462</x:v>
      </x:c>
      <x:c r="J1274" s="2" t="n">
        <x:v>175</x:v>
      </x:c>
      <x:c r="K1274" s="2"/>
      <x:c r="L1274" s="2"/>
    </x:row>
    <x:row r="1275" ht="22" customHeight="1">
      <x:c r="A1275" s="2"/>
      <x:c r="B1275" s="2" t="n">
        <x:v>1242</x:v>
      </x:c>
      <x:c r="C1275" s="2" t="str">
        <x:v>84797A</x:v>
      </x:c>
      <x:c r="D1275" s="2" t="str">
        <x:v>PINK HAWAIIAN PICNIC HAMPER FOR 4</x:v>
      </x:c>
      <x:c r="E1275" s="11" t="n">
        <x:v>3361.25</x:v>
      </x:c>
      <x:c r="F1275" s="11" t="n">
        <x:v>0</x:v>
      </x:c>
      <x:c r="G1275" s="11" t="n">
        <x:v>3361.25</x:v>
      </x:c>
      <x:c r="H1275" s="23" t="n">
        <x:v>0.00016369398297801284</x:v>
      </x:c>
      <x:c r="I1275" s="23" t="n">
        <x:v>0.8434500028861242</x:v>
      </x:c>
      <x:c r="J1275" s="2" t="n">
        <x:v>44</x:v>
      </x:c>
      <x:c r="K1275" s="2"/>
      <x:c r="L1275" s="2"/>
    </x:row>
    <x:row r="1276" ht="22" customHeight="1">
      <x:c r="A1276" s="2"/>
      <x:c r="B1276" s="2" t="n">
        <x:v>1243</x:v>
      </x:c>
      <x:c r="C1276" s="2" t="str">
        <x:v>21917</x:v>
      </x:c>
      <x:c r="D1276" s="2" t="str">
        <x:v>SET 12 KIDS  WHITE CHALK STICKS</x:v>
      </x:c>
      <x:c r="E1276" s="11" t="n">
        <x:v>3336.82</x:v>
      </x:c>
      <x:c r="F1276" s="11" t="n">
        <x:v>8.82</x:v>
      </x:c>
      <x:c r="G1276" s="11" t="n">
        <x:v>3328</x:v>
      </x:c>
      <x:c r="H1276" s="23" t="n">
        <x:v>0.00016250423392508525</x:v>
      </x:c>
      <x:c r="I1276" s="23" t="n">
        <x:v>0.8436125071200492</x:v>
      </x:c>
      <x:c r="J1276" s="2" t="n">
        <x:v>467</x:v>
      </x:c>
      <x:c r="K1276" s="2"/>
      <x:c r="L1276" s="2"/>
    </x:row>
    <x:row r="1277" ht="22" customHeight="1">
      <x:c r="A1277" s="2"/>
      <x:c r="B1277" s="2" t="n">
        <x:v>1244</x:v>
      </x:c>
      <x:c r="C1277" s="2" t="str">
        <x:v>20702</x:v>
      </x:c>
      <x:c r="D1277" s="2" t="str">
        <x:v>PINK PADDED MOBILE</x:v>
      </x:c>
      <x:c r="E1277" s="11" t="n">
        <x:v>3330.7</x:v>
      </x:c>
      <x:c r="F1277" s="11" t="n">
        <x:v>46.75</x:v>
      </x:c>
      <x:c r="G1277" s="11" t="n">
        <x:v>3283.95</x:v>
      </x:c>
      <x:c r="H1277" s="23" t="n">
        <x:v>0.0001622061879077329</x:v>
      </x:c>
      <x:c r="I1277" s="23" t="n">
        <x:v>0.843774713307957</x:v>
      </x:c>
      <x:c r="J1277" s="2" t="n">
        <x:v>245</x:v>
      </x:c>
      <x:c r="K1277" s="2"/>
      <x:c r="L1277" s="2"/>
    </x:row>
    <x:row r="1278" ht="22" customHeight="1">
      <x:c r="A1278" s="2"/>
      <x:c r="B1278" s="2" t="n">
        <x:v>1245</x:v>
      </x:c>
      <x:c r="C1278" s="2" t="str">
        <x:v>22136</x:v>
      </x:c>
      <x:c r="D1278" s="2" t="str">
        <x:v>LOVE HEART SOCK HANGER</x:v>
      </x:c>
      <x:c r="E1278" s="11" t="n">
        <x:v>3330.47</x:v>
      </x:c>
      <x:c r="F1278" s="11" t="n">
        <x:v>4.55</x:v>
      </x:c>
      <x:c r="G1278" s="11" t="n">
        <x:v>3325.9199999999996</x:v>
      </x:c>
      <x:c r="H1278" s="23" t="n">
        <x:v>0.0001621949868319174</x:v>
      </x:c>
      <x:c r="I1278" s="23" t="n">
        <x:v>0.8439369082947888</x:v>
      </x:c>
      <x:c r="J1278" s="2" t="n">
        <x:v>265</x:v>
      </x:c>
      <x:c r="K1278" s="2"/>
      <x:c r="L1278" s="2"/>
    </x:row>
    <x:row r="1279" ht="22" customHeight="1">
      <x:c r="A1279" s="2"/>
      <x:c r="B1279" s="2" t="n">
        <x:v>1246</x:v>
      </x:c>
      <x:c r="C1279" s="2" t="str">
        <x:v>15058B</x:v>
      </x:c>
      <x:c r="D1279" s="2" t="str">
        <x:v>PINK POLKADOT GARDEN PARASOL</x:v>
      </x:c>
      <x:c r="E1279" s="11" t="n">
        <x:v>3327.67</x:v>
      </x:c>
      <x:c r="F1279" s="11" t="n">
        <x:v>69.15</x:v>
      </x:c>
      <x:c r="G1279" s="11" t="n">
        <x:v>3258.52</x:v>
      </x:c>
      <x:c r="H1279" s="23" t="n">
        <x:v>0.00016205862590894577</x:v>
      </x:c>
      <x:c r="I1279" s="23" t="n">
        <x:v>0.8440989669206977</x:v>
      </x:c>
      <x:c r="J1279" s="2" t="n">
        <x:v>156</x:v>
      </x:c>
      <x:c r="K1279" s="2"/>
      <x:c r="L1279" s="2"/>
    </x:row>
    <x:row r="1280" ht="22" customHeight="1">
      <x:c r="A1280" s="2"/>
      <x:c r="B1280" s="2" t="n">
        <x:v>1247</x:v>
      </x:c>
      <x:c r="C1280" s="2" t="str">
        <x:v>84828</x:v>
      </x:c>
      <x:c r="D1280" s="2" t="str">
        <x:v>JUNGLE POPSICLES ICE LOLLY MOULDS</x:v>
      </x:c>
      <x:c r="E1280" s="11" t="n">
        <x:v>3321.43</x:v>
      </x:c>
      <x:c r="F1280" s="11" t="n">
        <x:v>45</x:v>
      </x:c>
      <x:c r="G1280" s="11" t="n">
        <x:v>3276.43</x:v>
      </x:c>
      <x:c r="H1280" s="23" t="n">
        <x:v>0.00016175473585203752</x:v>
      </x:c>
      <x:c r="I1280" s="23" t="n">
        <x:v>0.8442607216565498</x:v>
      </x:c>
      <x:c r="J1280" s="2" t="n">
        <x:v>353</x:v>
      </x:c>
      <x:c r="K1280" s="2"/>
      <x:c r="L1280" s="2"/>
    </x:row>
    <x:row r="1281" ht="22" customHeight="1">
      <x:c r="A1281" s="2"/>
      <x:c r="B1281" s="2" t="n">
        <x:v>1248</x:v>
      </x:c>
      <x:c r="C1281" s="2" t="str">
        <x:v>23395</x:v>
      </x:c>
      <x:c r="D1281" s="2" t="str">
        <x:v>BELLE JARDINIERE CUSHION COVER</x:v>
      </x:c>
      <x:c r="E1281" s="11" t="n">
        <x:v>3305.83</x:v>
      </x:c>
      <x:c r="F1281" s="11" t="n">
        <x:v>26.25</x:v>
      </x:c>
      <x:c r="G1281" s="11" t="n">
        <x:v>3279.58</x:v>
      </x:c>
      <x:c r="H1281" s="23" t="n">
        <x:v>0.00016099501070976693</x:v>
      </x:c>
      <x:c r="I1281" s="23" t="n">
        <x:v>0.8444217166672595</x:v>
      </x:c>
      <x:c r="J1281" s="2" t="n">
        <x:v>210</x:v>
      </x:c>
      <x:c r="K1281" s="2"/>
      <x:c r="L1281" s="2"/>
    </x:row>
    <x:row r="1282" ht="22" customHeight="1">
      <x:c r="A1282" s="2"/>
      <x:c r="B1282" s="2" t="n">
        <x:v>1249</x:v>
      </x:c>
      <x:c r="C1282" s="2" t="str">
        <x:v>22281</x:v>
      </x:c>
      <x:c r="D1282" s="2" t="str">
        <x:v>EASTER TREE YELLOW BIRDS</x:v>
      </x:c>
      <x:c r="E1282" s="11" t="n">
        <x:v>3303.71</x:v>
      </x:c>
      <x:c r="F1282" s="11" t="n">
        <x:v>95.2</x:v>
      </x:c>
      <x:c r="G1282" s="11" t="n">
        <x:v>3208.51</x:v>
      </x:c>
      <x:c r="H1282" s="23" t="n">
        <x:v>0.00016089176601094557</x:v>
      </x:c>
      <x:c r="I1282" s="23" t="n">
        <x:v>0.8445826084332705</x:v>
      </x:c>
      <x:c r="J1282" s="2" t="n">
        <x:v>149</x:v>
      </x:c>
      <x:c r="K1282" s="2"/>
      <x:c r="L1282" s="2"/>
    </x:row>
    <x:row r="1283" ht="22" customHeight="1">
      <x:c r="A1283" s="2"/>
      <x:c r="B1283" s="2" t="n">
        <x:v>1250</x:v>
      </x:c>
      <x:c r="C1283" s="2" t="str">
        <x:v>84813</x:v>
      </x:c>
      <x:c r="D1283" s="2" t="str">
        <x:v>SET OF 4 DIAMOND NAPKIN RINGS</x:v>
      </x:c>
      <x:c r="E1283" s="11" t="n">
        <x:v>3300.7599999999998</x:v>
      </x:c>
      <x:c r="F1283" s="11" t="n">
        <x:v>3.95</x:v>
      </x:c>
      <x:c r="G1283" s="11" t="n">
        <x:v>3296.81</x:v>
      </x:c>
      <x:c r="H1283" s="23" t="n">
        <x:v>0.000160748100038529</x:v>
      </x:c>
      <x:c r="I1283" s="23" t="n">
        <x:v>0.844743356533309</x:v>
      </x:c>
      <x:c r="J1283" s="2" t="n">
        <x:v>99</x:v>
      </x:c>
      <x:c r="K1283" s="2"/>
      <x:c r="L1283" s="2"/>
    </x:row>
    <x:row r="1284" ht="22" customHeight="1">
      <x:c r="A1284" s="2"/>
      <x:c r="B1284" s="2" t="n">
        <x:v>1251</x:v>
      </x:c>
      <x:c r="C1284" s="2" t="str">
        <x:v>84975</x:v>
      </x:c>
      <x:c r="D1284" s="2" t="str">
        <x:v>HEART SHAPED MIRROR</x:v>
      </x:c>
      <x:c r="E1284" s="11" t="n">
        <x:v>3300.2</x:v>
      </x:c>
      <x:c r="F1284" s="11" t="n">
        <x:v>15.21</x:v>
      </x:c>
      <x:c r="G1284" s="11" t="n">
        <x:v>3284.99</x:v>
      </x:c>
      <x:c r="H1284" s="23" t="n">
        <x:v>0.00016072082785393468</x:v>
      </x:c>
      <x:c r="I1284" s="23" t="n">
        <x:v>0.8449040773611629</x:v>
      </x:c>
      <x:c r="J1284" s="2" t="n">
        <x:v>212</x:v>
      </x:c>
      <x:c r="K1284" s="2"/>
      <x:c r="L1284" s="2"/>
    </x:row>
    <x:row r="1285" ht="22" customHeight="1">
      <x:c r="A1285" s="2"/>
      <x:c r="B1285" s="2" t="n">
        <x:v>1252</x:v>
      </x:c>
      <x:c r="C1285" s="2" t="str">
        <x:v>22183</x:v>
      </x:c>
      <x:c r="D1285" s="2" t="str">
        <x:v>CAKE STAND VICTORIAN FILIGREE MED</x:v>
      </x:c>
      <x:c r="E1285" s="11" t="n">
        <x:v>3297.25</x:v>
      </x:c>
      <x:c r="F1285" s="11" t="n">
        <x:v>56.2</x:v>
      </x:c>
      <x:c r="G1285" s="11" t="n">
        <x:v>3241.05</x:v>
      </x:c>
      <x:c r="H1285" s="23" t="n">
        <x:v>0.0001605771618815181</x:v>
      </x:c>
      <x:c r="I1285" s="23" t="n">
        <x:v>0.8450646545230445</x:v>
      </x:c>
      <x:c r="J1285" s="2" t="n">
        <x:v>209</x:v>
      </x:c>
      <x:c r="K1285" s="2"/>
      <x:c r="L1285" s="2"/>
    </x:row>
    <x:row r="1286" ht="22" customHeight="1">
      <x:c r="A1286" s="2"/>
      <x:c r="B1286" s="2" t="n">
        <x:v>1253</x:v>
      </x:c>
      <x:c r="C1286" s="2" t="str">
        <x:v>22122</x:v>
      </x:c>
      <x:c r="D1286" s="2" t="str">
        <x:v>SET OF 2 FANCY FONT TEA TOWELS</x:v>
      </x:c>
      <x:c r="E1286" s="11" t="n">
        <x:v>3295.9800000000005</x:v>
      </x:c>
      <x:c r="F1286" s="11" t="n">
        <x:v>0</x:v>
      </x:c>
      <x:c r="G1286" s="11" t="n">
        <x:v>3295.9800000000005</x:v>
      </x:c>
      <x:c r="H1286" s="23" t="n">
        <x:v>0.00016051531246288458</x:v>
      </x:c>
      <x:c r="I1286" s="23" t="n">
        <x:v>0.8452251698355073</x:v>
      </x:c>
      <x:c r="J1286" s="2" t="n">
        <x:v>191</x:v>
      </x:c>
      <x:c r="K1286" s="2"/>
      <x:c r="L1286" s="2"/>
    </x:row>
    <x:row r="1287" ht="22" customHeight="1">
      <x:c r="A1287" s="2"/>
      <x:c r="B1287" s="2" t="n">
        <x:v>1254</x:v>
      </x:c>
      <x:c r="C1287" s="2" t="str">
        <x:v>37410</x:v>
      </x:c>
      <x:c r="D1287" s="2" t="str">
        <x:v>BLACK AND WHITE PAISLEY FLOWER MUG</x:v>
      </x:c>
      <x:c r="E1287" s="11" t="n">
        <x:v>3288.65</x:v>
      </x:c>
      <x:c r="F1287" s="11" t="n">
        <x:v>7.5</x:v>
      </x:c>
      <x:c r="G1287" s="11" t="n">
        <x:v>3281.15</x:v>
      </x:c>
      <x:c r="H1287" s="23" t="n">
        <x:v>0.00016015833904667665</x:v>
      </x:c>
      <x:c r="I1287" s="23" t="n">
        <x:v>0.845385328174554</x:v>
      </x:c>
      <x:c r="J1287" s="2" t="n">
        <x:v>33</x:v>
      </x:c>
      <x:c r="K1287" s="2"/>
      <x:c r="L1287" s="2"/>
    </x:row>
    <x:row r="1288" ht="22" customHeight="1">
      <x:c r="A1288" s="2"/>
      <x:c r="B1288" s="2" t="n">
        <x:v>1255</x:v>
      </x:c>
      <x:c r="C1288" s="2" t="str">
        <x:v>23308</x:v>
      </x:c>
      <x:c r="D1288" s="2" t="str">
        <x:v>SET OF 60 VINTAGE LEAF CAKE CASES </x:v>
      </x:c>
      <x:c r="E1288" s="11" t="n">
        <x:v>3279.21</x:v>
      </x:c>
      <x:c r="F1288" s="11" t="n">
        <x:v>0</x:v>
      </x:c>
      <x:c r="G1288" s="11" t="n">
        <x:v>3279.21</x:v>
      </x:c>
      <x:c r="H1288" s="23" t="n">
        <x:v>0.00015969860793494368</x:v>
      </x:c>
      <x:c r="I1288" s="23" t="n">
        <x:v>0.845545026782489</x:v>
      </x:c>
      <x:c r="J1288" s="2" t="n">
        <x:v>382</x:v>
      </x:c>
      <x:c r="K1288" s="2"/>
      <x:c r="L1288" s="2"/>
    </x:row>
    <x:row r="1289" ht="22" customHeight="1">
      <x:c r="A1289" s="2"/>
      <x:c r="B1289" s="2" t="n">
        <x:v>1256</x:v>
      </x:c>
      <x:c r="C1289" s="2" t="str">
        <x:v>22967</x:v>
      </x:c>
      <x:c r="D1289" s="2" t="str">
        <x:v>SET 3 SONG BIRD PAPER EGGS ASSORTED</x:v>
      </x:c>
      <x:c r="E1289" s="11" t="n">
        <x:v>3277.3100000000004</x:v>
      </x:c>
      <x:c r="F1289" s="11" t="n">
        <x:v>64.9</x:v>
      </x:c>
      <x:c r="G1289" s="11" t="n">
        <x:v>3212.4100000000003</x:v>
      </x:c>
      <x:c r="H1289" s="23" t="n">
        <x:v>0.00015960607730864152</x:v>
      </x:c>
      <x:c r="I1289" s="23" t="n">
        <x:v>0.8457046328597977</x:v>
      </x:c>
      <x:c r="J1289" s="2" t="n">
        <x:v>138</x:v>
      </x:c>
      <x:c r="K1289" s="2"/>
      <x:c r="L1289" s="2"/>
    </x:row>
    <x:row r="1290" ht="22" customHeight="1">
      <x:c r="A1290" s="2"/>
      <x:c r="B1290" s="2" t="n">
        <x:v>1257</x:v>
      </x:c>
      <x:c r="C1290" s="2" t="str">
        <x:v>22762</x:v>
      </x:c>
      <x:c r="D1290" s="2" t="str">
        <x:v>CUPBOARD 3 DRAWER MA CAMPAGNE</x:v>
      </x:c>
      <x:c r="E1290" s="11" t="n">
        <x:v>3276.62</x:v>
      </x:c>
      <x:c r="F1290" s="11" t="n">
        <x:v>244.9</x:v>
      </x:c>
      <x:c r="G1290" s="11" t="n">
        <x:v>3031.72</x:v>
      </x:c>
      <x:c r="H1290" s="23" t="n">
        <x:v>0.0001595724740811949</x:v>
      </x:c>
      <x:c r="I1290" s="23" t="n">
        <x:v>0.8458642053338788</x:v>
      </x:c>
      <x:c r="J1290" s="2" t="n">
        <x:v>133</x:v>
      </x:c>
      <x:c r="K1290" s="2"/>
      <x:c r="L1290" s="2"/>
    </x:row>
    <x:row r="1291" ht="22" customHeight="1">
      <x:c r="A1291" s="2"/>
      <x:c r="B1291" s="2" t="n">
        <x:v>1258</x:v>
      </x:c>
      <x:c r="C1291" s="2" t="str">
        <x:v>22792</x:v>
      </x:c>
      <x:c r="D1291" s="2" t="str">
        <x:v>FLUTED ANTIQUE CANDLE HOLDER</x:v>
      </x:c>
      <x:c r="E1291" s="11" t="n">
        <x:v>3271.73</x:v>
      </x:c>
      <x:c r="F1291" s="11" t="n">
        <x:v>10.2</x:v>
      </x:c>
      <x:c r="G1291" s="11" t="n">
        <x:v>3261.5299999999997</x:v>
      </x:c>
      <x:c r="H1291" s="23" t="n">
        <x:v>0.00015933432946929087</x:v>
      </x:c>
      <x:c r="I1291" s="23" t="n">
        <x:v>0.8460235396633481</x:v>
      </x:c>
      <x:c r="J1291" s="2" t="n">
        <x:v>262</x:v>
      </x:c>
      <x:c r="K1291" s="2"/>
      <x:c r="L1291" s="2"/>
    </x:row>
    <x:row r="1292" ht="22" customHeight="1">
      <x:c r="A1292" s="2"/>
      <x:c r="B1292" s="2" t="n">
        <x:v>1259</x:v>
      </x:c>
      <x:c r="C1292" s="2" t="str">
        <x:v>22794</x:v>
      </x:c>
      <x:c r="D1292" s="2" t="str">
        <x:v>SWEETHEART WIRE MAGAZINE RACK</x:v>
      </x:c>
      <x:c r="E1292" s="11" t="n">
        <x:v>3271.35</x:v>
      </x:c>
      <x:c r="F1292" s="11" t="n">
        <x:v>39.75</x:v>
      </x:c>
      <x:c r="G1292" s="11" t="n">
        <x:v>3231.6</x:v>
      </x:c>
      <x:c r="H1292" s="23" t="n">
        <x:v>0.00015931582334403042</x:v>
      </x:c>
      <x:c r="I1292" s="23" t="n">
        <x:v>0.8461828554866921</x:v>
      </x:c>
      <x:c r="J1292" s="2" t="n">
        <x:v>209</x:v>
      </x:c>
      <x:c r="K1292" s="2"/>
      <x:c r="L1292" s="2"/>
    </x:row>
    <x:row r="1293" ht="22" customHeight="1">
      <x:c r="A1293" s="2"/>
      <x:c r="B1293" s="2" t="n">
        <x:v>1260</x:v>
      </x:c>
      <x:c r="C1293" s="2" t="str">
        <x:v>21467</x:v>
      </x:c>
      <x:c r="D1293" s="2" t="str">
        <x:v>CHERRY CROCHET FOOD COVER</x:v>
      </x:c>
      <x:c r="E1293" s="11" t="n">
        <x:v>3271.25</x:v>
      </x:c>
      <x:c r="F1293" s="11" t="n">
        <x:v>18.75</x:v>
      </x:c>
      <x:c r="G1293" s="11" t="n">
        <x:v>3252.5</x:v>
      </x:c>
      <x:c r="H1293" s="23" t="n">
        <x:v>0.00015931095331106715</x:v>
      </x:c>
      <x:c r="I1293" s="23" t="n">
        <x:v>0.8463421664400033</x:v>
      </x:c>
      <x:c r="J1293" s="2" t="n">
        <x:v>254</x:v>
      </x:c>
      <x:c r="K1293" s="2"/>
      <x:c r="L1293" s="2"/>
    </x:row>
    <x:row r="1294" ht="22" customHeight="1">
      <x:c r="A1294" s="2"/>
      <x:c r="B1294" s="2" t="n">
        <x:v>1261</x:v>
      </x:c>
      <x:c r="C1294" s="2" t="str">
        <x:v>21829</x:v>
      </x:c>
      <x:c r="D1294" s="2" t="str">
        <x:v>adjustment</x:v>
      </x:c>
      <x:c r="E1294" s="11" t="n">
        <x:v>3269.8999999999996</x:v>
      </x:c>
      <x:c r="F1294" s="11" t="n">
        <x:v>60.69</x:v>
      </x:c>
      <x:c r="G1294" s="11" t="n">
        <x:v>3209.21</x:v>
      </x:c>
      <x:c r="H1294" s="23" t="n">
        <x:v>0.00015924520786606296</x:v>
      </x:c>
      <x:c r="I1294" s="23" t="n">
        <x:v>0.8465014116478693</x:v>
      </x:c>
      <x:c r="J1294" s="2" t="n">
        <x:v>409</x:v>
      </x:c>
      <x:c r="K1294" s="2"/>
      <x:c r="L1294" s="2"/>
    </x:row>
    <x:row r="1295" ht="22" customHeight="1">
      <x:c r="A1295" s="2"/>
      <x:c r="B1295" s="2" t="n">
        <x:v>1262</x:v>
      </x:c>
      <x:c r="C1295" s="2" t="str">
        <x:v>84031B</x:v>
      </x:c>
      <x:c r="D1295" s="2" t="str">
        <x:v>CHARLIE LOLA BLUE HOT WATER BOTTLE </x:v>
      </x:c>
      <x:c r="E1295" s="11" t="n">
        <x:v>3267.6800000000003</x:v>
      </x:c>
      <x:c r="F1295" s="11" t="n">
        <x:v>64.19999999999999</x:v>
      </x:c>
      <x:c r="G1295" s="11" t="n">
        <x:v>3203.48</x:v>
      </x:c>
      <x:c r="H1295" s="23" t="n">
        <x:v>0.00015913709313427832</x:v>
      </x:c>
      <x:c r="I1295" s="23" t="n">
        <x:v>0.8466605487410036</x:v>
      </x:c>
      <x:c r="J1295" s="2" t="n">
        <x:v>271</x:v>
      </x:c>
      <x:c r="K1295" s="2"/>
      <x:c r="L1295" s="2"/>
    </x:row>
    <x:row r="1296" ht="22" customHeight="1">
      <x:c r="A1296" s="2"/>
      <x:c r="B1296" s="2" t="n">
        <x:v>1263</x:v>
      </x:c>
      <x:c r="C1296" s="2" t="str">
        <x:v>18098C</x:v>
      </x:c>
      <x:c r="D1296" s="2" t="str">
        <x:v>PORCELAIN BUTTERFLY OIL BURNER</x:v>
      </x:c>
      <x:c r="E1296" s="11" t="n">
        <x:v>3266.53</x:v>
      </x:c>
      <x:c r="F1296" s="11" t="n">
        <x:v>70.80000000000001</x:v>
      </x:c>
      <x:c r="G1296" s="11" t="n">
        <x:v>3195.73</x:v>
      </x:c>
      <x:c r="H1296" s="23" t="n">
        <x:v>0.00015908108775520067</x:v>
      </x:c>
      <x:c r="I1296" s="23" t="n">
        <x:v>0.8468196298287588</x:v>
      </x:c>
      <x:c r="J1296" s="2" t="n">
        <x:v>236</x:v>
      </x:c>
      <x:c r="K1296" s="2"/>
      <x:c r="L1296" s="2"/>
    </x:row>
    <x:row r="1297" ht="22" customHeight="1">
      <x:c r="A1297" s="2"/>
      <x:c r="B1297" s="2" t="n">
        <x:v>1264</x:v>
      </x:c>
      <x:c r="C1297" s="2" t="str">
        <x:v>84510A</x:v>
      </x:c>
      <x:c r="D1297" s="2" t="str">
        <x:v>SET OF 4 ENGLISH ROSE COASTERS</x:v>
      </x:c>
      <x:c r="E1297" s="11" t="n">
        <x:v>3264.14</x:v>
      </x:c>
      <x:c r="F1297" s="11" t="n">
        <x:v>26.25</x:v>
      </x:c>
      <x:c r="G1297" s="11" t="n">
        <x:v>3237.89</x:v>
      </x:c>
      <x:c r="H1297" s="23" t="n">
        <x:v>0.00015896469396737843</x:v>
      </x:c>
      <x:c r="I1297" s="23" t="n">
        <x:v>0.8469785945227262</x:v>
      </x:c>
      <x:c r="J1297" s="2" t="n">
        <x:v>474</x:v>
      </x:c>
      <x:c r="K1297" s="2"/>
      <x:c r="L1297" s="2"/>
    </x:row>
    <x:row r="1298" ht="22" customHeight="1">
      <x:c r="A1298" s="2"/>
      <x:c r="B1298" s="2" t="n">
        <x:v>1265</x:v>
      </x:c>
      <x:c r="C1298" s="2" t="str">
        <x:v>23053</x:v>
      </x:c>
      <x:c r="D1298" s="2" t="str">
        <x:v>RECYCLED ACAPULCO MAT PINK</x:v>
      </x:c>
      <x:c r="E1298" s="11" t="n">
        <x:v>3262.57</x:v>
      </x:c>
      <x:c r="F1298" s="11" t="n">
        <x:v>8.25</x:v>
      </x:c>
      <x:c r="G1298" s="11" t="n">
        <x:v>3254.32</x:v>
      </x:c>
      <x:c r="H1298" s="23" t="n">
        <x:v>0.00015888823444985505</x:v>
      </x:c>
      <x:c r="I1298" s="23" t="n">
        <x:v>0.847137482757176</x:v>
      </x:c>
      <x:c r="J1298" s="2" t="n">
        <x:v>164</x:v>
      </x:c>
      <x:c r="K1298" s="2"/>
      <x:c r="L1298" s="2"/>
    </x:row>
    <x:row r="1299" ht="22" customHeight="1">
      <x:c r="A1299" s="2"/>
      <x:c r="B1299" s="2" t="n">
        <x:v>1266</x:v>
      </x:c>
      <x:c r="C1299" s="2" t="str">
        <x:v>21477</x:v>
      </x:c>
      <x:c r="D1299" s="2" t="str">
        <x:v>STRING OF 20 ROSE LIGHTS</x:v>
      </x:c>
      <x:c r="E1299" s="11" t="n">
        <x:v>3248.94</x:v>
      </x:c>
      <x:c r="F1299" s="11" t="n">
        <x:v>257.24999999999994</x:v>
      </x:c>
      <x:c r="G1299" s="11" t="n">
        <x:v>2991.69</x:v>
      </x:c>
      <x:c r="H1299" s="23" t="n">
        <x:v>0.00015822444895696096</x:v>
      </x:c>
      <x:c r="I1299" s="23" t="n">
        <x:v>0.847295707206133</x:v>
      </x:c>
      <x:c r="J1299" s="2" t="n">
        <x:v>45</x:v>
      </x:c>
      <x:c r="K1299" s="2"/>
      <x:c r="L1299" s="2"/>
    </x:row>
    <x:row r="1300" ht="22" customHeight="1">
      <x:c r="A1300" s="2"/>
      <x:c r="B1300" s="2" t="n">
        <x:v>1267</x:v>
      </x:c>
      <x:c r="C1300" s="2" t="str">
        <x:v>22419</x:v>
      </x:c>
      <x:c r="D1300" s="2" t="str">
        <x:v>LIPSTICK PEN RED</x:v>
      </x:c>
      <x:c r="E1300" s="11" t="n">
        <x:v>3246.37</x:v>
      </x:c>
      <x:c r="F1300" s="11" t="n">
        <x:v>4.140000000000001</x:v>
      </x:c>
      <x:c r="G1300" s="11" t="n">
        <x:v>3242.23</x:v>
      </x:c>
      <x:c r="H1300" s="23" t="n">
        <x:v>0.00015809928910980481</x:v>
      </x:c>
      <x:c r="I1300" s="23" t="n">
        <x:v>0.8474538064952428</x:v>
      </x:c>
      <x:c r="J1300" s="2" t="n">
        <x:v>509</x:v>
      </x:c>
      <x:c r="K1300" s="2"/>
      <x:c r="L1300" s="2"/>
    </x:row>
    <x:row r="1301" ht="22" customHeight="1">
      <x:c r="A1301" s="2"/>
      <x:c r="B1301" s="2" t="n">
        <x:v>1268</x:v>
      </x:c>
      <x:c r="C1301" s="2" t="str">
        <x:v>21732</x:v>
      </x:c>
      <x:c r="D1301" s="2" t="str">
        <x:v>RED HANGING METAL STAR TLIGHT HLDR</x:v>
      </x:c>
      <x:c r="E1301" s="11" t="n">
        <x:v>3244.57</x:v>
      </x:c>
      <x:c r="F1301" s="11" t="n">
        <x:v>10.530000000000001</x:v>
      </x:c>
      <x:c r="G1301" s="11" t="n">
        <x:v>3234.04</x:v>
      </x:c>
      <x:c r="H1301" s="23" t="n">
        <x:v>0.00015801162851646593</x:v>
      </x:c>
      <x:c r="I1301" s="23" t="n">
        <x:v>0.8476118181237593</x:v>
      </x:c>
      <x:c r="J1301" s="2" t="n">
        <x:v>58</x:v>
      </x:c>
      <x:c r="K1301" s="2"/>
      <x:c r="L1301" s="2"/>
    </x:row>
    <x:row r="1302" ht="22" customHeight="1">
      <x:c r="A1302" s="2"/>
      <x:c r="B1302" s="2" t="n">
        <x:v>1269</x:v>
      </x:c>
      <x:c r="C1302" s="2" t="str">
        <x:v>84849B</x:v>
      </x:c>
      <x:c r="D1302" s="2" t="str">
        <x:v>FAIRY SOAP SOAP HOLDER</x:v>
      </x:c>
      <x:c r="E1302" s="11" t="n">
        <x:v>3244.14</x:v>
      </x:c>
      <x:c r="F1302" s="11" t="n">
        <x:v>21.970000000000002</x:v>
      </x:c>
      <x:c r="G1302" s="11" t="n">
        <x:v>3222.17</x:v>
      </x:c>
      <x:c r="H1302" s="23" t="n">
        <x:v>0.00015799068737472384</x:v>
      </x:c>
      <x:c r="I1302" s="23" t="n">
        <x:v>0.8477698088111341</x:v>
      </x:c>
      <x:c r="J1302" s="2" t="n">
        <x:v>293</x:v>
      </x:c>
      <x:c r="K1302" s="2"/>
      <x:c r="L1302" s="2"/>
    </x:row>
    <x:row r="1303" ht="22" customHeight="1">
      <x:c r="A1303" s="2"/>
      <x:c r="B1303" s="2" t="n">
        <x:v>1270</x:v>
      </x:c>
      <x:c r="C1303" s="2" t="str">
        <x:v>20992</x:v>
      </x:c>
      <x:c r="D1303" s="2" t="str">
        <x:v>JAZZ HEARTS PURSE NOTEBOOK</x:v>
      </x:c>
      <x:c r="E1303" s="11" t="n">
        <x:v>3243.2799999999997</x:v>
      </x:c>
      <x:c r="F1303" s="11" t="n">
        <x:v>0</x:v>
      </x:c>
      <x:c r="G1303" s="11" t="n">
        <x:v>3243.2799999999997</x:v>
      </x:c>
      <x:c r="H1303" s="23" t="n">
        <x:v>0.00015794880509123967</x:v>
      </x:c>
      <x:c r="I1303" s="23" t="n">
        <x:v>0.8479277576162253</x:v>
      </x:c>
      <x:c r="J1303" s="2" t="n">
        <x:v>433</x:v>
      </x:c>
      <x:c r="K1303" s="2"/>
      <x:c r="L1303" s="2"/>
    </x:row>
    <x:row r="1304" ht="22" customHeight="1">
      <x:c r="A1304" s="2"/>
      <x:c r="B1304" s="2" t="n">
        <x:v>1271</x:v>
      </x:c>
      <x:c r="C1304" s="2" t="str">
        <x:v>84837</x:v>
      </x:c>
      <x:c r="D1304" s="2" t="str">
        <x:v>WHITE SWEETHEARTS CABINET 4 DRAWERS</x:v>
      </x:c>
      <x:c r="E1304" s="11" t="n">
        <x:v>3235.54</x:v>
      </x:c>
      <x:c r="F1304" s="11" t="n">
        <x:v>0</x:v>
      </x:c>
      <x:c r="G1304" s="11" t="n">
        <x:v>3235.54</x:v>
      </x:c>
      <x:c r="H1304" s="23" t="n">
        <x:v>0.00015757186453988238</x:v>
      </x:c>
      <x:c r="I1304" s="23" t="n">
        <x:v>0.8480853294807652</x:v>
      </x:c>
      <x:c r="J1304" s="2" t="n">
        <x:v>143</x:v>
      </x:c>
      <x:c r="K1304" s="2"/>
      <x:c r="L1304" s="2"/>
    </x:row>
    <x:row r="1305" ht="22" customHeight="1">
      <x:c r="A1305" s="2"/>
      <x:c r="B1305" s="2" t="n">
        <x:v>1272</x:v>
      </x:c>
      <x:c r="C1305" s="2" t="str">
        <x:v>22972</x:v>
      </x:c>
      <x:c r="D1305" s="2" t="str">
        <x:v>CHILDREN'S SPACEBOY MUG</x:v>
      </x:c>
      <x:c r="E1305" s="11" t="n">
        <x:v>3234.5899999999997</x:v>
      </x:c>
      <x:c r="F1305" s="11" t="n">
        <x:v>56.099999999999994</x:v>
      </x:c>
      <x:c r="G1305" s="11" t="n">
        <x:v>3178.49</x:v>
      </x:c>
      <x:c r="H1305" s="23" t="n">
        <x:v>0.00015752559922673127</x:v>
      </x:c>
      <x:c r="I1305" s="23" t="n">
        <x:v>0.848242855079992</x:v>
      </x:c>
      <x:c r="J1305" s="2" t="n">
        <x:v>243</x:v>
      </x:c>
      <x:c r="K1305" s="2"/>
      <x:c r="L1305" s="2"/>
    </x:row>
    <x:row r="1306" ht="22" customHeight="1">
      <x:c r="A1306" s="2"/>
      <x:c r="B1306" s="2" t="n">
        <x:v>1273</x:v>
      </x:c>
      <x:c r="C1306" s="2" t="str">
        <x:v>23393</x:v>
      </x:c>
      <x:c r="D1306" s="2" t="str">
        <x:v>HOME SWEET HOME CUSHION COVER </x:v>
      </x:c>
      <x:c r="E1306" s="11" t="n">
        <x:v>3230.41</x:v>
      </x:c>
      <x:c r="F1306" s="11" t="n">
        <x:v>78.75</x:v>
      </x:c>
      <x:c r="G1306" s="11" t="n">
        <x:v>3151.66</x:v>
      </x:c>
      <x:c r="H1306" s="23" t="n">
        <x:v>0.00015732203184886645</x:v>
      </x:c>
      <x:c r="I1306" s="23" t="n">
        <x:v>0.8484001771118408</x:v>
      </x:c>
      <x:c r="J1306" s="2" t="n">
        <x:v>229</x:v>
      </x:c>
      <x:c r="K1306" s="2"/>
      <x:c r="L1306" s="2"/>
    </x:row>
    <x:row r="1307" ht="22" customHeight="1">
      <x:c r="A1307" s="2"/>
      <x:c r="B1307" s="2" t="n">
        <x:v>1274</x:v>
      </x:c>
      <x:c r="C1307" s="2" t="str">
        <x:v>23230</x:v>
      </x:c>
      <x:c r="D1307" s="2" t="str">
        <x:v>WRAP ALPHABET DESIGN</x:v>
      </x:c>
      <x:c r="E1307" s="11" t="n">
        <x:v>3228.42</x:v>
      </x:c>
      <x:c r="F1307" s="11" t="n">
        <x:v>31.5</x:v>
      </x:c>
      <x:c r="G1307" s="11" t="n">
        <x:v>3196.92</x:v>
      </x:c>
      <x:c r="H1307" s="23" t="n">
        <x:v>0.00015722511819289732</x:v>
      </x:c>
      <x:c r="I1307" s="23" t="n">
        <x:v>0.8485574022300337</x:v>
      </x:c>
      <x:c r="J1307" s="2" t="n">
        <x:v>235</x:v>
      </x:c>
      <x:c r="K1307" s="2"/>
      <x:c r="L1307" s="2"/>
    </x:row>
    <x:row r="1308" ht="22" customHeight="1">
      <x:c r="A1308" s="2"/>
      <x:c r="B1308" s="2" t="n">
        <x:v>1275</x:v>
      </x:c>
      <x:c r="C1308" s="2" t="str">
        <x:v>23035</x:v>
      </x:c>
      <x:c r="D1308" s="2" t="str">
        <x:v>DRAWER KNOB CERAMIC IVORY</x:v>
      </x:c>
      <x:c r="E1308" s="11" t="n">
        <x:v>3226.0899999999997</x:v>
      </x:c>
      <x:c r="F1308" s="11" t="n">
        <x:v>13.049999999999999</x:v>
      </x:c>
      <x:c r="G1308" s="11" t="n">
        <x:v>3213.04</x:v>
      </x:c>
      <x:c r="H1308" s="23" t="n">
        <x:v>0.00015711164642485305</x:v>
      </x:c>
      <x:c r="I1308" s="23" t="n">
        <x:v>0.8487145138764586</x:v>
      </x:c>
      <x:c r="J1308" s="2" t="n">
        <x:v>191</x:v>
      </x:c>
      <x:c r="K1308" s="2"/>
      <x:c r="L1308" s="2"/>
    </x:row>
    <x:row r="1309" ht="22" customHeight="1">
      <x:c r="A1309" s="2"/>
      <x:c r="B1309" s="2" t="n">
        <x:v>1276</x:v>
      </x:c>
      <x:c r="C1309" s="2" t="str">
        <x:v>21830</x:v>
      </x:c>
      <x:c r="D1309" s="2" t="str">
        <x:v>ASSORTED CREEPY CRAWLIES</x:v>
      </x:c>
      <x:c r="E1309" s="11" t="n">
        <x:v>3225.92</x:v>
      </x:c>
      <x:c r="F1309" s="11" t="n">
        <x:v>247.67999999999998</x:v>
      </x:c>
      <x:c r="G1309" s="11" t="n">
        <x:v>2978.24</x:v>
      </x:c>
      <x:c r="H1309" s="23" t="n">
        <x:v>0.0001571033673688155</x:v>
      </x:c>
      <x:c r="I1309" s="23" t="n">
        <x:v>0.8488716172438274</x:v>
      </x:c>
      <x:c r="J1309" s="2" t="n">
        <x:v>256</x:v>
      </x:c>
      <x:c r="K1309" s="2"/>
      <x:c r="L1309" s="2"/>
    </x:row>
    <x:row r="1310" ht="22" customHeight="1">
      <x:c r="A1310" s="2"/>
      <x:c r="B1310" s="2" t="n">
        <x:v>1277</x:v>
      </x:c>
      <x:c r="C1310" s="2" t="str">
        <x:v>23051</x:v>
      </x:c>
      <x:c r="D1310" s="2" t="str">
        <x:v>RECYCLED ACAPULCO MAT BLUE</x:v>
      </x:c>
      <x:c r="E1310" s="11" t="n">
        <x:v>3223.49</x:v>
      </x:c>
      <x:c r="F1310" s="11" t="n">
        <x:v>16.5</x:v>
      </x:c>
      <x:c r="G1310" s="11" t="n">
        <x:v>3206.99</x:v>
      </x:c>
      <x:c r="H1310" s="23" t="n">
        <x:v>0.00015698502556780796</x:v>
      </x:c>
      <x:c r="I1310" s="23" t="n">
        <x:v>0.8490286022693952</x:v>
      </x:c>
      <x:c r="J1310" s="2" t="n">
        <x:v>162</x:v>
      </x:c>
      <x:c r="K1310" s="2"/>
      <x:c r="L1310" s="2"/>
    </x:row>
    <x:row r="1311" ht="22" customHeight="1">
      <x:c r="A1311" s="2"/>
      <x:c r="B1311" s="2" t="n">
        <x:v>1278</x:v>
      </x:c>
      <x:c r="C1311" s="2" t="str">
        <x:v>21473</x:v>
      </x:c>
      <x:c r="D1311" s="2" t="str">
        <x:v>SWEETHEART CREAM STEEL TABLE RECT</x:v>
      </x:c>
      <x:c r="E1311" s="11" t="n">
        <x:v>3212.16</x:v>
      </x:c>
      <x:c r="F1311" s="11" t="n">
        <x:v>79.8</x:v>
      </x:c>
      <x:c r="G1311" s="11" t="n">
        <x:v>3132.3599999999997</x:v>
      </x:c>
      <x:c r="H1311" s="23" t="n">
        <x:v>0.00015643325083306914</x:v>
      </x:c>
      <x:c r="I1311" s="23" t="n">
        <x:v>0.8491850355202283</x:v>
      </x:c>
      <x:c r="J1311" s="2" t="n">
        <x:v>90</x:v>
      </x:c>
      <x:c r="K1311" s="2"/>
      <x:c r="L1311" s="2"/>
    </x:row>
    <x:row r="1312" ht="22" customHeight="1">
      <x:c r="A1312" s="2"/>
      <x:c r="B1312" s="2" t="n">
        <x:v>1279</x:v>
      </x:c>
      <x:c r="C1312" s="2" t="str">
        <x:v>22194</x:v>
      </x:c>
      <x:c r="D1312" s="2" t="str">
        <x:v>BLACK DINER WALL CLOCK</x:v>
      </x:c>
      <x:c r="E1312" s="11" t="n">
        <x:v>3212.1</x:v>
      </x:c>
      <x:c r="F1312" s="11" t="n">
        <x:v>51</x:v>
      </x:c>
      <x:c r="G1312" s="11" t="n">
        <x:v>3161.1</x:v>
      </x:c>
      <x:c r="H1312" s="23" t="n">
        <x:v>0.00015643032881329118</x:v>
      </x:c>
      <x:c r="I1312" s="23" t="n">
        <x:v>0.8493414658490416</x:v>
      </x:c>
      <x:c r="J1312" s="2" t="n">
        <x:v>160</x:v>
      </x:c>
      <x:c r="K1312" s="2"/>
      <x:c r="L1312" s="2"/>
    </x:row>
    <x:row r="1313" ht="22" customHeight="1">
      <x:c r="A1313" s="2"/>
      <x:c r="B1313" s="2" t="n">
        <x:v>1280</x:v>
      </x:c>
      <x:c r="C1313" s="2" t="str">
        <x:v>84944</x:v>
      </x:c>
      <x:c r="D1313" s="2" t="str">
        <x:v>SET OF 6 KASHMIR FOLKART BAUBLES</x:v>
      </x:c>
      <x:c r="E1313" s="11" t="n">
        <x:v>3210.7799999999997</x:v>
      </x:c>
      <x:c r="F1313" s="11" t="n">
        <x:v>244.45</x:v>
      </x:c>
      <x:c r="G1313" s="11" t="n">
        <x:v>2966.33</x:v>
      </x:c>
      <x:c r="H1313" s="23" t="n">
        <x:v>0.00015636604437817598</x:v>
      </x:c>
      <x:c r="I1313" s="23" t="n">
        <x:v>0.8494978318934198</x:v>
      </x:c>
      <x:c r="J1313" s="2" t="n">
        <x:v>194</x:v>
      </x:c>
      <x:c r="K1313" s="2"/>
      <x:c r="L1313" s="2"/>
    </x:row>
    <x:row r="1314" ht="22" customHeight="1">
      <x:c r="A1314" s="2"/>
      <x:c r="B1314" s="2" t="n">
        <x:v>1281</x:v>
      </x:c>
      <x:c r="C1314" s="2" t="str">
        <x:v>79323GR</x:v>
      </x:c>
      <x:c r="D1314" s="2" t="str">
        <x:v>Unsaleable, destroyed.</x:v>
      </x:c>
      <x:c r="E1314" s="11" t="n">
        <x:v>3209.36</x:v>
      </x:c>
      <x:c r="F1314" s="11" t="n">
        <x:v>1168.5</x:v>
      </x:c>
      <x:c r="G1314" s="11" t="n">
        <x:v>2040.8600000000001</x:v>
      </x:c>
      <x:c r="H1314" s="23" t="n">
        <x:v>0.0001562968899100975</x:v>
      </x:c>
      <x:c r="I1314" s="23" t="n">
        <x:v>0.8496541287833299</x:v>
      </x:c>
      <x:c r="J1314" s="2" t="n">
        <x:v>83</x:v>
      </x:c>
      <x:c r="K1314" s="2"/>
      <x:c r="L1314" s="2"/>
    </x:row>
    <x:row r="1315" ht="22" customHeight="1">
      <x:c r="A1315" s="2"/>
      <x:c r="B1315" s="2" t="n">
        <x:v>1282</x:v>
      </x:c>
      <x:c r="C1315" s="2" t="str">
        <x:v>79164</x:v>
      </x:c>
      <x:c r="D1315" s="2" t="str">
        <x:v>BLACK WINE GLASS</x:v>
      </x:c>
      <x:c r="E1315" s="11" t="n">
        <x:v>3208.25</x:v>
      </x:c>
      <x:c r="F1315" s="11" t="n">
        <x:v>36.599999999999994</x:v>
      </x:c>
      <x:c r="G1315" s="11" t="n">
        <x:v>3171.65</x:v>
      </x:c>
      <x:c r="H1315" s="23" t="n">
        <x:v>0.00015624283254420517</x:v>
      </x:c>
      <x:c r="I1315" s="23" t="n">
        <x:v>0.8498103716158741</x:v>
      </x:c>
      <x:c r="J1315" s="2" t="n">
        <x:v>91</x:v>
      </x:c>
      <x:c r="K1315" s="2"/>
      <x:c r="L1315" s="2"/>
    </x:row>
    <x:row r="1316" ht="22" customHeight="1">
      <x:c r="A1316" s="2"/>
      <x:c r="B1316" s="2" t="n">
        <x:v>1283</x:v>
      </x:c>
      <x:c r="C1316" s="2" t="str">
        <x:v>84596F</x:v>
      </x:c>
      <x:c r="D1316" s="2" t="str">
        <x:v>SMALL MARSHMALLOWS PINK BOWL</x:v>
      </x:c>
      <x:c r="E1316" s="11" t="n">
        <x:v>3206.06</x:v>
      </x:c>
      <x:c r="F1316" s="11" t="n">
        <x:v>6.72</x:v>
      </x:c>
      <x:c r="G1316" s="11" t="n">
        <x:v>3199.34</x:v>
      </x:c>
      <x:c r="H1316" s="23" t="n">
        <x:v>0.0001561361788223095</x:v>
      </x:c>
      <x:c r="I1316" s="23" t="n">
        <x:v>0.8499665077946964</x:v>
      </x:c>
      <x:c r="J1316" s="2" t="n">
        <x:v>600</x:v>
      </x:c>
      <x:c r="K1316" s="2"/>
      <x:c r="L1316" s="2"/>
    </x:row>
    <x:row r="1317" ht="22" customHeight="1">
      <x:c r="A1317" s="2"/>
      <x:c r="B1317" s="2" t="n">
        <x:v>1284</x:v>
      </x:c>
      <x:c r="C1317" s="2" t="str">
        <x:v>21628</x:v>
      </x:c>
      <x:c r="D1317" s="2" t="str">
        <x:v>TRIANGULAR POUFFE VINTAGE </x:v>
      </x:c>
      <x:c r="E1317" s="11" t="n">
        <x:v>3200.23</x:v>
      </x:c>
      <x:c r="F1317" s="11" t="n">
        <x:v>59.8</x:v>
      </x:c>
      <x:c r="G1317" s="11" t="n">
        <x:v>3140.43</x:v>
      </x:c>
      <x:c r="H1317" s="23" t="n">
        <x:v>0.0001558522559005507</x:v>
      </x:c>
      <x:c r="I1317" s="23" t="n">
        <x:v>0.8501223600505969</x:v>
      </x:c>
      <x:c r="J1317" s="2" t="n">
        <x:v>87</x:v>
      </x:c>
      <x:c r="K1317" s="2"/>
      <x:c r="L1317" s="2"/>
    </x:row>
    <x:row r="1318" ht="22" customHeight="1">
      <x:c r="A1318" s="2"/>
      <x:c r="B1318" s="2" t="n">
        <x:v>1285</x:v>
      </x:c>
      <x:c r="C1318" s="2" t="str">
        <x:v>21333</x:v>
      </x:c>
      <x:c r="D1318" s="2" t="str">
        <x:v>CLASSIC WHITE FRAME</x:v>
      </x:c>
      <x:c r="E1318" s="11" t="n">
        <x:v>3197.9900000000002</x:v>
      </x:c>
      <x:c r="F1318" s="11" t="n">
        <x:v>59.02</x:v>
      </x:c>
      <x:c r="G1318" s="11" t="n">
        <x:v>3138.9700000000003</x:v>
      </x:c>
      <x:c r="H1318" s="23" t="n">
        <x:v>0.0001557431671621734</x:v>
      </x:c>
      <x:c r="I1318" s="23" t="n">
        <x:v>0.8502781032177591</x:v>
      </x:c>
      <x:c r="J1318" s="2" t="n">
        <x:v>222</x:v>
      </x:c>
      <x:c r="K1318" s="2"/>
      <x:c r="L1318" s="2"/>
    </x:row>
    <x:row r="1319" ht="22" customHeight="1">
      <x:c r="A1319" s="2"/>
      <x:c r="B1319" s="2" t="n">
        <x:v>1286</x:v>
      </x:c>
      <x:c r="C1319" s="2" t="str">
        <x:v>23342</x:v>
      </x:c>
      <x:c r="D1319" s="2" t="str">
        <x:v>MINT DINER WALL CLOCK</x:v>
      </x:c>
      <x:c r="E1319" s="11" t="n">
        <x:v>3193.41</x:v>
      </x:c>
      <x:c r="F1319" s="11" t="n">
        <x:v>8.5</x:v>
      </x:c>
      <x:c r="G1319" s="11" t="n">
        <x:v>3184.91</x:v>
      </x:c>
      <x:c r="H1319" s="23" t="n">
        <x:v>0.00015552011965245545</x:v>
      </x:c>
      <x:c r="I1319" s="23" t="n">
        <x:v>0.8504336233374116</x:v>
      </x:c>
      <x:c r="J1319" s="2" t="n">
        <x:v>163</x:v>
      </x:c>
      <x:c r="K1319" s="2"/>
      <x:c r="L1319" s="2"/>
    </x:row>
    <x:row r="1320" ht="22" customHeight="1">
      <x:c r="A1320" s="2"/>
      <x:c r="B1320" s="2" t="n">
        <x:v>1287</x:v>
      </x:c>
      <x:c r="C1320" s="2" t="str">
        <x:v>21111</x:v>
      </x:c>
      <x:c r="D1320" s="2" t="str">
        <x:v>SWISS ROLL TOWEL, CHOCOLATE  SPOTS</x:v>
      </x:c>
      <x:c r="E1320" s="11" t="n">
        <x:v>3188.4100000000003</x:v>
      </x:c>
      <x:c r="F1320" s="11" t="n">
        <x:v>20.650000000000002</x:v>
      </x:c>
      <x:c r="G1320" s="11" t="n">
        <x:v>3167.76</x:v>
      </x:c>
      <x:c r="H1320" s="23" t="n">
        <x:v>0.00015527661800429182</x:v>
      </x:c>
      <x:c r="I1320" s="23" t="n">
        <x:v>0.8505888999554159</x:v>
      </x:c>
      <x:c r="J1320" s="2" t="n">
        <x:v>214</x:v>
      </x:c>
      <x:c r="K1320" s="2"/>
      <x:c r="L1320" s="2"/>
    </x:row>
    <x:row r="1321" ht="22" customHeight="1">
      <x:c r="A1321" s="2"/>
      <x:c r="B1321" s="2" t="n">
        <x:v>1288</x:v>
      </x:c>
      <x:c r="C1321" s="2" t="str">
        <x:v>22773</x:v>
      </x:c>
      <x:c r="D1321" s="2" t="str">
        <x:v>GREEN DRAWER KNOB ACRYLIC EDWARDIAN</x:v>
      </x:c>
      <x:c r="E1321" s="11" t="n">
        <x:v>3186.11</x:v>
      </x:c>
      <x:c r="F1321" s="11" t="n">
        <x:v>15</x:v>
      </x:c>
      <x:c r="G1321" s="11" t="n">
        <x:v>3171.11</x:v>
      </x:c>
      <x:c r="H1321" s="23" t="n">
        <x:v>0.00015516460724613655</x:v>
      </x:c>
      <x:c r="I1321" s="23" t="n">
        <x:v>0.850744064562662</x:v>
      </x:c>
      <x:c r="J1321" s="2" t="n">
        <x:v>227</x:v>
      </x:c>
      <x:c r="K1321" s="2"/>
      <x:c r="L1321" s="2"/>
    </x:row>
    <x:row r="1322" ht="22" customHeight="1">
      <x:c r="A1322" s="2"/>
      <x:c r="B1322" s="2" t="n">
        <x:v>1289</x:v>
      </x:c>
      <x:c r="C1322" s="2" t="str">
        <x:v>22863</x:v>
      </x:c>
      <x:c r="D1322" s="2" t="str">
        <x:v>SOAP DISH BROCANTE</x:v>
      </x:c>
      <x:c r="E1322" s="11" t="n">
        <x:v>3184.31</x:v>
      </x:c>
      <x:c r="F1322" s="11" t="n">
        <x:v>38.35000000000001</x:v>
      </x:c>
      <x:c r="G1322" s="11" t="n">
        <x:v>3145.96</x:v>
      </x:c>
      <x:c r="H1322" s="23" t="n">
        <x:v>0.00015507694665279763</x:v>
      </x:c>
      <x:c r="I1322" s="23" t="n">
        <x:v>0.8508991415093149</x:v>
      </x:c>
      <x:c r="J1322" s="2" t="n">
        <x:v>169</x:v>
      </x:c>
      <x:c r="K1322" s="2"/>
      <x:c r="L1322" s="2"/>
    </x:row>
    <x:row r="1323" ht="22" customHeight="1">
      <x:c r="A1323" s="2"/>
      <x:c r="B1323" s="2" t="n">
        <x:v>1290</x:v>
      </x:c>
      <x:c r="C1323" s="2" t="str">
        <x:v>21557</x:v>
      </x:c>
      <x:c r="D1323" s="2" t="str">
        <x:v>SET OF 6 FUNKY BEAKERS</x:v>
      </x:c>
      <x:c r="E1323" s="11" t="n">
        <x:v>3178.2400000000002</x:v>
      </x:c>
      <x:c r="F1323" s="11" t="n">
        <x:v>2.95</x:v>
      </x:c>
      <x:c r="G1323" s="11" t="n">
        <x:v>3175.29</x:v>
      </x:c>
      <x:c r="H1323" s="23" t="n">
        <x:v>0.00015478133565192696</x:v>
      </x:c>
      <x:c r="I1323" s="23" t="n">
        <x:v>0.8510539228449668</x:v>
      </x:c>
      <x:c r="J1323" s="2" t="n">
        <x:v>302</x:v>
      </x:c>
      <x:c r="K1323" s="2"/>
      <x:c r="L1323" s="2"/>
    </x:row>
    <x:row r="1324" ht="22" customHeight="1">
      <x:c r="A1324" s="2"/>
      <x:c r="B1324" s="2" t="n">
        <x:v>1291</x:v>
      </x:c>
      <x:c r="C1324" s="2" t="str">
        <x:v>22503</x:v>
      </x:c>
      <x:c r="D1324" s="2" t="str">
        <x:v>CABIN BAG VINTAGE PAISLEY</x:v>
      </x:c>
      <x:c r="E1324" s="11" t="n">
        <x:v>3178.02</x:v>
      </x:c>
      <x:c r="F1324" s="11" t="n">
        <x:v>546.6999999999999</x:v>
      </x:c>
      <x:c r="G1324" s="11" t="n">
        <x:v>2631.3199999999997</x:v>
      </x:c>
      <x:c r="H1324" s="23" t="n">
        <x:v>0.00015477062157940775</x:v>
      </x:c>
      <x:c r="I1324" s="23" t="n">
        <x:v>0.8512086934665463</x:v>
      </x:c>
      <x:c r="J1324" s="2" t="n">
        <x:v>54</x:v>
      </x:c>
      <x:c r="K1324" s="2"/>
      <x:c r="L1324" s="2"/>
    </x:row>
    <x:row r="1325" ht="22" customHeight="1">
      <x:c r="A1325" s="2"/>
      <x:c r="B1325" s="2" t="n">
        <x:v>1292</x:v>
      </x:c>
      <x:c r="C1325" s="2" t="str">
        <x:v>22406</x:v>
      </x:c>
      <x:c r="D1325" s="2" t="str">
        <x:v>MONEY BOX KINGS CHOICE DESIGN</x:v>
      </x:c>
      <x:c r="E1325" s="11" t="n">
        <x:v>3169.35</x:v>
      </x:c>
      <x:c r="F1325" s="11" t="n">
        <x:v>55.660000000000004</x:v>
      </x:c>
      <x:c r="G1325" s="11" t="n">
        <x:v>3113.69</x:v>
      </x:c>
      <x:c r="H1325" s="23" t="n">
        <x:v>0.00015434838972149198</x:v>
      </x:c>
      <x:c r="I1325" s="23" t="n">
        <x:v>0.8513630418562678</x:v>
      </x:c>
      <x:c r="J1325" s="2" t="n">
        <x:v>217</x:v>
      </x:c>
      <x:c r="K1325" s="2"/>
      <x:c r="L1325" s="2"/>
    </x:row>
    <x:row r="1326" ht="22" customHeight="1">
      <x:c r="A1326" s="2"/>
      <x:c r="B1326" s="2" t="n">
        <x:v>1293</x:v>
      </x:c>
      <x:c r="C1326" s="2" t="str">
        <x:v>21949</x:v>
      </x:c>
      <x:c r="D1326" s="2" t="str">
        <x:v>SET OF 6 STRAWBERRY CHOPSTICKS</x:v>
      </x:c>
      <x:c r="E1326" s="11" t="n">
        <x:v>3164.18</x:v>
      </x:c>
      <x:c r="F1326" s="11" t="n">
        <x:v>7.5</x:v>
      </x:c>
      <x:c r="G1326" s="11" t="n">
        <x:v>3156.68</x:v>
      </x:c>
      <x:c r="H1326" s="23" t="n">
        <x:v>0.00015409660901729078</x:v>
      </x:c>
      <x:c r="I1326" s="23" t="n">
        <x:v>0.8515171384652851</x:v>
      </x:c>
      <x:c r="J1326" s="2" t="n">
        <x:v>269</x:v>
      </x:c>
      <x:c r="K1326" s="2"/>
      <x:c r="L1326" s="2"/>
    </x:row>
    <x:row r="1327" ht="22" customHeight="1">
      <x:c r="A1327" s="2"/>
      <x:c r="B1327" s="2" t="n">
        <x:v>1294</x:v>
      </x:c>
      <x:c r="C1327" s="2" t="str">
        <x:v>21820</x:v>
      </x:c>
      <x:c r="D1327" s="2" t="str">
        <x:v>GLITTER HEART GARLAND WITH BELLS </x:v>
      </x:c>
      <x:c r="E1327" s="11" t="n">
        <x:v>3162.39</x:v>
      </x:c>
      <x:c r="F1327" s="11" t="n">
        <x:v>112.5</x:v>
      </x:c>
      <x:c r="G1327" s="11" t="n">
        <x:v>3049.89</x:v>
      </x:c>
      <x:c r="H1327" s="23" t="n">
        <x:v>0.0001540094354272482</x:v>
      </x:c>
      <x:c r="I1327" s="23" t="n">
        <x:v>0.8516711479007123</x:v>
      </x:c>
      <x:c r="J1327" s="2" t="n">
        <x:v>180</x:v>
      </x:c>
      <x:c r="K1327" s="2"/>
      <x:c r="L1327" s="2"/>
    </x:row>
    <x:row r="1328" ht="22" customHeight="1">
      <x:c r="A1328" s="2"/>
      <x:c r="B1328" s="2" t="n">
        <x:v>1295</x:v>
      </x:c>
      <x:c r="C1328" s="2" t="str">
        <x:v>22700</x:v>
      </x:c>
      <x:c r="D1328" s="2" t="str">
        <x:v>BLACK AND WHITE DOG BOWL</x:v>
      </x:c>
      <x:c r="E1328" s="11" t="n">
        <x:v>3161.3</x:v>
      </x:c>
      <x:c r="F1328" s="11" t="n">
        <x:v>31.300000000000004</x:v>
      </x:c>
      <x:c r="G1328" s="11" t="n">
        <x:v>3130</x:v>
      </x:c>
      <x:c r="H1328" s="23" t="n">
        <x:v>0.0001539563520679485</x:v>
      </x:c>
      <x:c r="I1328" s="23" t="n">
        <x:v>0.8518251042527802</x:v>
      </x:c>
      <x:c r="J1328" s="2" t="n">
        <x:v>98</x:v>
      </x:c>
      <x:c r="K1328" s="2"/>
      <x:c r="L1328" s="2"/>
    </x:row>
    <x:row r="1329" ht="22" customHeight="1">
      <x:c r="A1329" s="2"/>
      <x:c r="B1329" s="2" t="n">
        <x:v>1296</x:v>
      </x:c>
      <x:c r="C1329" s="2" t="str">
        <x:v>22702</x:v>
      </x:c>
      <x:c r="D1329" s="2" t="str">
        <x:v>BLACK AND WHITE CAT BOWL</x:v>
      </x:c>
      <x:c r="E1329" s="11" t="n">
        <x:v>3160.5199999999995</x:v>
      </x:c>
      <x:c r="F1329" s="11" t="n">
        <x:v>3.95</x:v>
      </x:c>
      <x:c r="G1329" s="11" t="n">
        <x:v>3156.5699999999997</x:v>
      </x:c>
      <x:c r="H1329" s="23" t="n">
        <x:v>0.00015391836581083495</x:v>
      </x:c>
      <x:c r="I1329" s="23" t="n">
        <x:v>0.851979022618591</x:v>
      </x:c>
      <x:c r="J1329" s="2" t="n">
        <x:v>94</x:v>
      </x:c>
      <x:c r="K1329" s="2"/>
      <x:c r="L1329" s="2"/>
    </x:row>
    <x:row r="1330" ht="22" customHeight="1">
      <x:c r="A1330" s="2"/>
      <x:c r="B1330" s="2" t="n">
        <x:v>1297</x:v>
      </x:c>
      <x:c r="C1330" s="2" t="str">
        <x:v>21519</x:v>
      </x:c>
      <x:c r="D1330" s="2" t="str">
        <x:v>GIN &amp; TONIC DIET GREETING CARD </x:v>
      </x:c>
      <x:c r="E1330" s="11" t="n">
        <x:v>3160.0099999999998</x:v>
      </x:c>
      <x:c r="F1330" s="11" t="n">
        <x:v>15.120000000000001</x:v>
      </x:c>
      <x:c r="G1330" s="11" t="n">
        <x:v>3144.89</x:v>
      </x:c>
      <x:c r="H1330" s="23" t="n">
        <x:v>0.0001538935286427223</x:v>
      </x:c>
      <x:c r="I1330" s="23" t="n">
        <x:v>0.8521329161472337</x:v>
      </x:c>
      <x:c r="J1330" s="2" t="n">
        <x:v>553</x:v>
      </x:c>
      <x:c r="K1330" s="2"/>
      <x:c r="L1330" s="2"/>
    </x:row>
    <x:row r="1331" ht="22" customHeight="1">
      <x:c r="A1331" s="2"/>
      <x:c r="B1331" s="2" t="n">
        <x:v>1298</x:v>
      </x:c>
      <x:c r="C1331" s="2" t="str">
        <x:v>82494l</x:v>
      </x:c>
      <x:c r="D1331" s="2" t="str">
        <x:v>WOODEN FRAME ANTIQUE WHITE </x:v>
      </x:c>
      <x:c r="E1331" s="11" t="n">
        <x:v>3155.93</x:v>
      </x:c>
      <x:c r="F1331" s="11" t="n">
        <x:v>0</x:v>
      </x:c>
      <x:c r="G1331" s="11" t="n">
        <x:v>3155.93</x:v>
      </x:c>
      <x:c r="H1331" s="23" t="n">
        <x:v>0.00015369483129782074</x:v>
      </x:c>
      <x:c r="I1331" s="23" t="n">
        <x:v>0.8522866109785315</x:v>
      </x:c>
      <x:c r="J1331" s="2" t="n">
        <x:v>86</x:v>
      </x:c>
      <x:c r="K1331" s="2"/>
      <x:c r="L1331" s="2"/>
    </x:row>
    <x:row r="1332" ht="22" customHeight="1">
      <x:c r="A1332" s="2"/>
      <x:c r="B1332" s="2" t="n">
        <x:v>1299</x:v>
      </x:c>
      <x:c r="C1332" s="2" t="str">
        <x:v>21765</x:v>
      </x:c>
      <x:c r="D1332" s="2" t="str">
        <x:v>HANGING METAL BIRD BATH</x:v>
      </x:c>
      <x:c r="E1332" s="11" t="n">
        <x:v>3155.89</x:v>
      </x:c>
      <x:c r="F1332" s="11" t="n">
        <x:v>66.75</x:v>
      </x:c>
      <x:c r="G1332" s="11" t="n">
        <x:v>3089.14</x:v>
      </x:c>
      <x:c r="H1332" s="23" t="n">
        <x:v>0.00015369288328463543</x:v>
      </x:c>
      <x:c r="I1332" s="23" t="n">
        <x:v>0.8524403038618161</x:v>
      </x:c>
      <x:c r="J1332" s="2" t="n">
        <x:v>143</x:v>
      </x:c>
      <x:c r="K1332" s="2"/>
      <x:c r="L1332" s="2"/>
    </x:row>
    <x:row r="1333" ht="22" customHeight="1">
      <x:c r="A1333" s="2"/>
      <x:c r="B1333" s="2" t="n">
        <x:v>1300</x:v>
      </x:c>
      <x:c r="C1333" s="2" t="str">
        <x:v>23323</x:v>
      </x:c>
      <x:c r="D1333" s="2" t="str">
        <x:v>WHITE WICKER STAR </x:v>
      </x:c>
      <x:c r="E1333" s="11" t="n">
        <x:v>3155.1800000000003</x:v>
      </x:c>
      <x:c r="F1333" s="11" t="n">
        <x:v>6.300000000000001</x:v>
      </x:c>
      <x:c r="G1333" s="11" t="n">
        <x:v>3148.88</x:v>
      </x:c>
      <x:c r="H1333" s="23" t="n">
        <x:v>0.00015365830605059623</x:v>
      </x:c>
      <x:c r="I1333" s="23" t="n">
        <x:v>0.8525939621678668</x:v>
      </x:c>
      <x:c r="J1333" s="2" t="n">
        <x:v>294</x:v>
      </x:c>
      <x:c r="K1333" s="2"/>
      <x:c r="L1333" s="2"/>
    </x:row>
    <x:row r="1334" ht="22" customHeight="1">
      <x:c r="A1334" s="2"/>
      <x:c r="B1334" s="2" t="n">
        <x:v>1301</x:v>
      </x:c>
      <x:c r="C1334" s="2" t="str">
        <x:v>15058A</x:v>
      </x:c>
      <x:c r="D1334" s="2" t="str">
        <x:v>BLUE POLKADOT GARDEN PARASOL</x:v>
      </x:c>
      <x:c r="E1334" s="11" t="n">
        <x:v>3153.73</x:v>
      </x:c>
      <x:c r="F1334" s="11" t="n">
        <x:v>120.75</x:v>
      </x:c>
      <x:c r="G1334" s="11" t="n">
        <x:v>3032.98</x:v>
      </x:c>
      <x:c r="H1334" s="23" t="n">
        <x:v>0.00015358769057262874</x:v>
      </x:c>
      <x:c r="I1334" s="23" t="n">
        <x:v>0.8527475498584394</x:v>
      </x:c>
      <x:c r="J1334" s="2" t="n">
        <x:v>148</x:v>
      </x:c>
      <x:c r="K1334" s="2"/>
      <x:c r="L1334" s="2"/>
    </x:row>
    <x:row r="1335" ht="22" customHeight="1">
      <x:c r="A1335" s="2"/>
      <x:c r="B1335" s="2" t="n">
        <x:v>1302</x:v>
      </x:c>
      <x:c r="C1335" s="2" t="str">
        <x:v>22313</x:v>
      </x:c>
      <x:c r="D1335" s="2" t="str">
        <x:v>OFFICE MUG WARMER PINK</x:v>
      </x:c>
      <x:c r="E1335" s="11" t="n">
        <x:v>3151.02</x:v>
      </x:c>
      <x:c r="F1335" s="11" t="n">
        <x:v>647.4</x:v>
      </x:c>
      <x:c r="G1335" s="11" t="n">
        <x:v>2503.6200000000003</x:v>
      </x:c>
      <x:c r="H1335" s="23" t="n">
        <x:v>0.00015345571267932404</x:v>
      </x:c>
      <x:c r="I1335" s="23" t="n">
        <x:v>0.8529010055711187</x:v>
      </x:c>
      <x:c r="J1335" s="2" t="n">
        <x:v>137</x:v>
      </x:c>
      <x:c r="K1335" s="2"/>
      <x:c r="L1335" s="2"/>
    </x:row>
    <x:row r="1336" ht="22" customHeight="1">
      <x:c r="A1336" s="2"/>
      <x:c r="B1336" s="2" t="n">
        <x:v>1303</x:v>
      </x:c>
      <x:c r="C1336" s="2" t="str">
        <x:v>22325</x:v>
      </x:c>
      <x:c r="D1336" s="2" t="str">
        <x:v>MOBILE VINTAGE HEARTS </x:v>
      </x:c>
      <x:c r="E1336" s="11" t="n">
        <x:v>3149.8900000000003</x:v>
      </x:c>
      <x:c r="F1336" s="11" t="n">
        <x:v>237.60000000000002</x:v>
      </x:c>
      <x:c r="G1336" s="11" t="n">
        <x:v>2912.29</x:v>
      </x:c>
      <x:c r="H1336" s="23" t="n">
        <x:v>0.00015340068130683909</x:v>
      </x:c>
      <x:c r="I1336" s="23" t="n">
        <x:v>0.8530544062524256</x:v>
      </x:c>
      <x:c r="J1336" s="2" t="n">
        <x:v>224</x:v>
      </x:c>
      <x:c r="K1336" s="2"/>
      <x:c r="L1336" s="2"/>
    </x:row>
    <x:row r="1337" ht="22" customHeight="1">
      <x:c r="A1337" s="2"/>
      <x:c r="B1337" s="2" t="n">
        <x:v>1304</x:v>
      </x:c>
      <x:c r="C1337" s="2" t="str">
        <x:v>21705</x:v>
      </x:c>
      <x:c r="D1337" s="2" t="str">
        <x:v>BAG 500g SWIRLY MARBLES</x:v>
      </x:c>
      <x:c r="E1337" s="11" t="n">
        <x:v>3145.7099999999996</x:v>
      </x:c>
      <x:c r="F1337" s="11" t="n">
        <x:v>41.49999999999999</x:v>
      </x:c>
      <x:c r="G1337" s="11" t="n">
        <x:v>3104.2099999999996</x:v>
      </x:c>
      <x:c r="H1337" s="23" t="n">
        <x:v>0.00015319711392897424</x:v>
      </x:c>
      <x:c r="I1337" s="23" t="n">
        <x:v>0.8532076033663546</x:v>
      </x:c>
      <x:c r="J1337" s="2" t="n">
        <x:v>225</x:v>
      </x:c>
      <x:c r="K1337" s="2"/>
      <x:c r="L1337" s="2"/>
    </x:row>
    <x:row r="1338" ht="22" customHeight="1">
      <x:c r="A1338" s="2"/>
      <x:c r="B1338" s="2" t="n">
        <x:v>1305</x:v>
      </x:c>
      <x:c r="C1338" s="2" t="str">
        <x:v>82578</x:v>
      </x:c>
      <x:c r="D1338" s="2" t="str">
        <x:v>KITCHEN METAL SIGN</x:v>
      </x:c>
      <x:c r="E1338" s="11" t="n">
        <x:v>3134.7400000000002</x:v>
      </x:c>
      <x:c r="F1338" s="11" t="n">
        <x:v>7.15</x:v>
      </x:c>
      <x:c r="G1338" s="11" t="n">
        <x:v>3127.59</x:v>
      </x:c>
      <x:c r="H1338" s="23" t="n">
        <x:v>0.00015266287131290323</x:v>
      </x:c>
      <x:c r="I1338" s="23" t="n">
        <x:v>0.8533602662376675</x:v>
      </x:c>
      <x:c r="J1338" s="2" t="n">
        <x:v>704</x:v>
      </x:c>
      <x:c r="K1338" s="2"/>
      <x:c r="L1338" s="2"/>
    </x:row>
    <x:row r="1339" ht="22" customHeight="1">
      <x:c r="A1339" s="2"/>
      <x:c r="B1339" s="2" t="n">
        <x:v>1306</x:v>
      </x:c>
      <x:c r="C1339" s="2" t="str">
        <x:v>22095</x:v>
      </x:c>
      <x:c r="D1339" s="2" t="str">
        <x:v>LADS ONLY TISSUE BOX</x:v>
      </x:c>
      <x:c r="E1339" s="11" t="n">
        <x:v>3129.98</x:v>
      </x:c>
      <x:c r="F1339" s="11" t="n">
        <x:v>119.88000000000001</x:v>
      </x:c>
      <x:c r="G1339" s="11" t="n">
        <x:v>3010.1</x:v>
      </x:c>
      <x:c r="H1339" s="23" t="n">
        <x:v>0.0001524310577438514</x:v>
      </x:c>
      <x:c r="I1339" s="23" t="n">
        <x:v>0.8535126972954113</x:v>
      </x:c>
      <x:c r="J1339" s="2" t="n">
        <x:v>284</x:v>
      </x:c>
      <x:c r="K1339" s="2"/>
      <x:c r="L1339" s="2"/>
    </x:row>
    <x:row r="1340" ht="22" customHeight="1">
      <x:c r="A1340" s="2"/>
      <x:c r="B1340" s="2" t="n">
        <x:v>1307</x:v>
      </x:c>
      <x:c r="C1340" s="2" t="str">
        <x:v>22347</x:v>
      </x:c>
      <x:c r="D1340" s="2" t="str">
        <x:v>PIZZA SLICE DISH</x:v>
      </x:c>
      <x:c r="E1340" s="11" t="n">
        <x:v>3126.68</x:v>
      </x:c>
      <x:c r="F1340" s="11" t="n">
        <x:v>0</x:v>
      </x:c>
      <x:c r="G1340" s="11" t="n">
        <x:v>3126.68</x:v>
      </x:c>
      <x:c r="H1340" s="23" t="n">
        <x:v>0.0001522703466560634</x:v>
      </x:c>
      <x:c r="I1340" s="23" t="n">
        <x:v>0.8536649676420675</x:v>
      </x:c>
      <x:c r="J1340" s="2" t="n">
        <x:v>115</x:v>
      </x:c>
      <x:c r="K1340" s="2"/>
      <x:c r="L1340" s="2"/>
    </x:row>
    <x:row r="1341" ht="22" customHeight="1">
      <x:c r="A1341" s="2"/>
      <x:c r="B1341" s="2" t="n">
        <x:v>1308</x:v>
      </x:c>
      <x:c r="C1341" s="2" t="str">
        <x:v>22891</x:v>
      </x:c>
      <x:c r="D1341" s="2" t="str">
        <x:v>TEA FOR ONE POLKADOT</x:v>
      </x:c>
      <x:c r="E1341" s="11" t="n">
        <x:v>3124.95</x:v>
      </x:c>
      <x:c r="F1341" s="11" t="n">
        <x:v>157.25</x:v>
      </x:c>
      <x:c r="G1341" s="11" t="n">
        <x:v>2967.7</x:v>
      </x:c>
      <x:c r="H1341" s="23" t="n">
        <x:v>0.00015218609508579878</x:v>
      </x:c>
      <x:c r="I1341" s="23" t="n">
        <x:v>0.8538171537371533</x:v>
      </x:c>
      <x:c r="J1341" s="2" t="n">
        <x:v>230</x:v>
      </x:c>
      <x:c r="K1341" s="2"/>
      <x:c r="L1341" s="2"/>
    </x:row>
    <x:row r="1342" ht="22" customHeight="1">
      <x:c r="A1342" s="2"/>
      <x:c r="B1342" s="2" t="n">
        <x:v>1309</x:v>
      </x:c>
      <x:c r="C1342" s="2" t="str">
        <x:v>21272</x:v>
      </x:c>
      <x:c r="D1342" s="2" t="str">
        <x:v>SALLE DE BAIN HOOK</x:v>
      </x:c>
      <x:c r="E1342" s="11" t="n">
        <x:v>3119.83</x:v>
      </x:c>
      <x:c r="F1342" s="11" t="n">
        <x:v>16.25</x:v>
      </x:c>
      <x:c r="G1342" s="11" t="n">
        <x:v>3103.58</x:v>
      </x:c>
      <x:c r="H1342" s="23" t="n">
        <x:v>0.0001519367493980792</x:v>
      </x:c>
      <x:c r="I1342" s="23" t="n">
        <x:v>0.8539690904865513</x:v>
      </x:c>
      <x:c r="J1342" s="2" t="n">
        <x:v>339</x:v>
      </x:c>
      <x:c r="K1342" s="2"/>
      <x:c r="L1342" s="2"/>
    </x:row>
    <x:row r="1343" ht="22" customHeight="1">
      <x:c r="A1343" s="2"/>
      <x:c r="B1343" s="2" t="n">
        <x:v>1310</x:v>
      </x:c>
      <x:c r="C1343" s="2" t="str">
        <x:v>22154</x:v>
      </x:c>
      <x:c r="D1343" s="2" t="str">
        <x:v>ANGEL DECORATION 3 BUTTONS </x:v>
      </x:c>
      <x:c r="E1343" s="11" t="n">
        <x:v>3117.42</x:v>
      </x:c>
      <x:c r="F1343" s="11" t="n">
        <x:v>85.67999999999999</x:v>
      </x:c>
      <x:c r="G1343" s="11" t="n">
        <x:v>3031.74</x:v>
      </x:c>
      <x:c r="H1343" s="23" t="n">
        <x:v>0.00015181938160366434</x:v>
      </x:c>
      <x:c r="I1343" s="23" t="n">
        <x:v>0.854120909868155</x:v>
      </x:c>
      <x:c r="J1343" s="2" t="n">
        <x:v>317</x:v>
      </x:c>
      <x:c r="K1343" s="2"/>
      <x:c r="L1343" s="2"/>
    </x:row>
    <x:row r="1344" ht="22" customHeight="1">
      <x:c r="A1344" s="2"/>
      <x:c r="B1344" s="2" t="n">
        <x:v>1311</x:v>
      </x:c>
      <x:c r="C1344" s="2" t="str">
        <x:v>23346</x:v>
      </x:c>
      <x:c r="D1344" s="2" t="str">
        <x:v>SPACEBOY BEAKER</x:v>
      </x:c>
      <x:c r="E1344" s="11" t="n">
        <x:v>3117.34</x:v>
      </x:c>
      <x:c r="F1344" s="11" t="n">
        <x:v>7.5</x:v>
      </x:c>
      <x:c r="G1344" s="11" t="n">
        <x:v>3109.84</x:v>
      </x:c>
      <x:c r="H1344" s="23" t="n">
        <x:v>0.00015181548557729373</x:v>
      </x:c>
      <x:c r="I1344" s="23" t="n">
        <x:v>0.8542727253537323</x:v>
      </x:c>
      <x:c r="J1344" s="2" t="n">
        <x:v>184</x:v>
      </x:c>
      <x:c r="K1344" s="2"/>
      <x:c r="L1344" s="2"/>
    </x:row>
    <x:row r="1345" ht="22" customHeight="1">
      <x:c r="A1345" s="2"/>
      <x:c r="B1345" s="2" t="n">
        <x:v>1312</x:v>
      </x:c>
      <x:c r="C1345" s="2" t="str">
        <x:v>22310</x:v>
      </x:c>
      <x:c r="D1345" s="2" t="str">
        <x:v>IVORY KNITTED MUG COSY </x:v>
      </x:c>
      <x:c r="E1345" s="11" t="n">
        <x:v>3115.5899999999997</x:v>
      </x:c>
      <x:c r="F1345" s="11" t="n">
        <x:v>21.249999999999996</x:v>
      </x:c>
      <x:c r="G1345" s="11" t="n">
        <x:v>3094.3399999999997</x:v>
      </x:c>
      <x:c r="H1345" s="23" t="n">
        <x:v>0.00015173026000043642</x:v>
      </x:c>
      <x:c r="I1345" s="23" t="n">
        <x:v>0.8544244556137328</x:v>
      </x:c>
      <x:c r="J1345" s="2" t="n">
        <x:v>223</x:v>
      </x:c>
      <x:c r="K1345" s="2"/>
      <x:c r="L1345" s="2"/>
    </x:row>
    <x:row r="1346" ht="22" customHeight="1">
      <x:c r="A1346" s="2"/>
      <x:c r="B1346" s="2" t="n">
        <x:v>1313</x:v>
      </x:c>
      <x:c r="C1346" s="2" t="str">
        <x:v>85227</x:v>
      </x:c>
      <x:c r="D1346" s="2" t="str">
        <x:v>SET OF 6 3D KIT CARDS FOR KIDS</x:v>
      </x:c>
      <x:c r="E1346" s="11" t="n">
        <x:v>3114.49</x:v>
      </x:c>
      <x:c r="F1346" s="11" t="n">
        <x:v>25.5</x:v>
      </x:c>
      <x:c r="G1346" s="11" t="n">
        <x:v>3088.99</x:v>
      </x:c>
      <x:c r="H1346" s="23" t="n">
        <x:v>0.00015167668963784043</x:v>
      </x:c>
      <x:c r="I1346" s="23" t="n">
        <x:v>0.8545761323033707</x:v>
      </x:c>
      <x:c r="J1346" s="2" t="n">
        <x:v>442</x:v>
      </x:c>
      <x:c r="K1346" s="2"/>
      <x:c r="L1346" s="2"/>
    </x:row>
    <x:row r="1347" ht="22" customHeight="1">
      <x:c r="A1347" s="2"/>
      <x:c r="B1347" s="2" t="n">
        <x:v>1314</x:v>
      </x:c>
      <x:c r="C1347" s="2" t="str">
        <x:v>22177</x:v>
      </x:c>
      <x:c r="D1347" s="2" t="str">
        <x:v>5 HOOK BLACKBOARD ORGANISER </x:v>
      </x:c>
      <x:c r="E1347" s="11" t="n">
        <x:v>3111.41</x:v>
      </x:c>
      <x:c r="F1347" s="11" t="n">
        <x:v>227</x:v>
      </x:c>
      <x:c r="G1347" s="11" t="n">
        <x:v>2884.41</x:v>
      </x:c>
      <x:c r="H1347" s="23" t="n">
        <x:v>0.00015152669262257163</x:v>
      </x:c>
      <x:c r="I1347" s="23" t="n">
        <x:v>0.8547276589959932</x:v>
      </x:c>
      <x:c r="J1347" s="2" t="n">
        <x:v>125</x:v>
      </x:c>
      <x:c r="K1347" s="2"/>
      <x:c r="L1347" s="2"/>
    </x:row>
    <x:row r="1348" ht="22" customHeight="1">
      <x:c r="A1348" s="2"/>
      <x:c r="B1348" s="2" t="n">
        <x:v>1315</x:v>
      </x:c>
      <x:c r="C1348" s="2" t="str">
        <x:v>21352</x:v>
      </x:c>
      <x:c r="D1348" s="2" t="str">
        <x:v>EUCALYPTUS &amp; PINECONE  WREATH</x:v>
      </x:c>
      <x:c r="E1348" s="11" t="n">
        <x:v>3110.28</x:v>
      </x:c>
      <x:c r="F1348" s="11" t="n">
        <x:v>74.25</x:v>
      </x:c>
      <x:c r="G1348" s="11" t="n">
        <x:v>3036.03</x:v>
      </x:c>
      <x:c r="H1348" s="23" t="n">
        <x:v>0.00015147166125008664</x:v>
      </x:c>
      <x:c r="I1348" s="23" t="n">
        <x:v>0.8548791306572433</x:v>
      </x:c>
      <x:c r="J1348" s="2" t="n">
        <x:v>158</x:v>
      </x:c>
      <x:c r="K1348" s="2"/>
      <x:c r="L1348" s="2"/>
    </x:row>
    <x:row r="1349" ht="22" customHeight="1">
      <x:c r="A1349" s="2"/>
      <x:c r="B1349" s="2" t="n">
        <x:v>1316</x:v>
      </x:c>
      <x:c r="C1349" s="2" t="str">
        <x:v>20956</x:v>
      </x:c>
      <x:c r="D1349" s="2" t="str">
        <x:v>PORCELAIN T-LIGHT HOLDERS ASSORTED</x:v>
      </x:c>
      <x:c r="E1349" s="11" t="n">
        <x:v>3102.57</x:v>
      </x:c>
      <x:c r="F1349" s="11" t="n">
        <x:v>37.5</x:v>
      </x:c>
      <x:c r="G1349" s="11" t="n">
        <x:v>3065.07</x:v>
      </x:c>
      <x:c r="H1349" s="23" t="n">
        <x:v>0.0001510961817086183</x:v>
      </x:c>
      <x:c r="I1349" s="23" t="n">
        <x:v>0.8550302268389519</x:v>
      </x:c>
      <x:c r="J1349" s="2" t="n">
        <x:v>236</x:v>
      </x:c>
      <x:c r="K1349" s="2"/>
      <x:c r="L1349" s="2"/>
    </x:row>
    <x:row r="1350" ht="22" customHeight="1">
      <x:c r="A1350" s="2"/>
      <x:c r="B1350" s="2" t="n">
        <x:v>1317</x:v>
      </x:c>
      <x:c r="C1350" s="2" t="str">
        <x:v>22572</x:v>
      </x:c>
      <x:c r="D1350" s="2" t="str">
        <x:v>ROCKING HORSE GREEN CHRISTMAS </x:v>
      </x:c>
      <x:c r="E1350" s="11" t="n">
        <x:v>3102.48</x:v>
      </x:c>
      <x:c r="F1350" s="11" t="n">
        <x:v>2.55</x:v>
      </x:c>
      <x:c r="G1350" s="11" t="n">
        <x:v>3099.93</x:v>
      </x:c>
      <x:c r="H1350" s="23" t="n">
        <x:v>0.00015109179867895135</x:v>
      </x:c>
      <x:c r="I1350" s="23" t="n">
        <x:v>0.8551813186376309</x:v>
      </x:c>
      <x:c r="J1350" s="2" t="n">
        <x:v>362</x:v>
      </x:c>
      <x:c r="K1350" s="2"/>
      <x:c r="L1350" s="2"/>
    </x:row>
    <x:row r="1351" ht="22" customHeight="1">
      <x:c r="A1351" s="2"/>
      <x:c r="B1351" s="2" t="n">
        <x:v>1318</x:v>
      </x:c>
      <x:c r="C1351" s="2" t="str">
        <x:v>22129</x:v>
      </x:c>
      <x:c r="D1351" s="2" t="str">
        <x:v>PARTY CONES CANDY DECORATION</x:v>
      </x:c>
      <x:c r="E1351" s="11" t="n">
        <x:v>3100.22</x:v>
      </x:c>
      <x:c r="F1351" s="11" t="n">
        <x:v>15.299999999999999</x:v>
      </x:c>
      <x:c r="G1351" s="11" t="n">
        <x:v>3084.9199999999996</x:v>
      </x:c>
      <x:c r="H1351" s="23" t="n">
        <x:v>0.00015098173593398138</x:v>
      </x:c>
      <x:c r="I1351" s="23" t="n">
        <x:v>0.8553323003735649</x:v>
      </x:c>
      <x:c r="J1351" s="2" t="n">
        <x:v>174</x:v>
      </x:c>
      <x:c r="K1351" s="2"/>
      <x:c r="L1351" s="2"/>
    </x:row>
    <x:row r="1352" ht="22" customHeight="1">
      <x:c r="A1352" s="2"/>
      <x:c r="B1352" s="2" t="n">
        <x:v>1319</x:v>
      </x:c>
      <x:c r="C1352" s="2" t="str">
        <x:v>47504K</x:v>
      </x:c>
      <x:c r="D1352" s="2" t="str">
        <x:v>ENGLISH ROSE GARDEN SECATEURS</x:v>
      </x:c>
      <x:c r="E1352" s="11" t="n">
        <x:v>3098.8199999999997</x:v>
      </x:c>
      <x:c r="F1352" s="11" t="n">
        <x:v>28.98</x:v>
      </x:c>
      <x:c r="G1352" s="11" t="n">
        <x:v>3069.84</x:v>
      </x:c>
      <x:c r="H1352" s="23" t="n">
        <x:v>0.00015091355547249555</x:v>
      </x:c>
      <x:c r="I1352" s="23" t="n">
        <x:v>0.8554832139290374</x:v>
      </x:c>
      <x:c r="J1352" s="2" t="n">
        <x:v>312</x:v>
      </x:c>
      <x:c r="K1352" s="2"/>
      <x:c r="L1352" s="2"/>
    </x:row>
    <x:row r="1353" ht="22" customHeight="1">
      <x:c r="A1353" s="2"/>
      <x:c r="B1353" s="2" t="n">
        <x:v>1320</x:v>
      </x:c>
      <x:c r="C1353" s="2" t="str">
        <x:v>84997d</x:v>
      </x:c>
      <x:c r="D1353" s="2" t="str">
        <x:v>CHILDRENS CUTLERY POLKADOT PINK</x:v>
      </x:c>
      <x:c r="E1353" s="11" t="n">
        <x:v>3097.3799999999997</x:v>
      </x:c>
      <x:c r="F1353" s="11" t="n">
        <x:v>0</x:v>
      </x:c>
      <x:c r="G1353" s="11" t="n">
        <x:v>3097.3799999999997</x:v>
      </x:c>
      <x:c r="H1353" s="23" t="n">
        <x:v>0.00015084342699782442</x:v>
      </x:c>
      <x:c r="I1353" s="23" t="n">
        <x:v>0.8556340573560351</x:v>
      </x:c>
      <x:c r="J1353" s="2" t="n">
        <x:v>82</x:v>
      </x:c>
      <x:c r="K1353" s="2"/>
      <x:c r="L1353" s="2"/>
    </x:row>
    <x:row r="1354" ht="22" customHeight="1">
      <x:c r="A1354" s="2"/>
      <x:c r="B1354" s="2" t="n">
        <x:v>1321</x:v>
      </x:c>
      <x:c r="C1354" s="2" t="str">
        <x:v>79072</x:v>
      </x:c>
      <x:c r="D1354" s="2" t="str">
        <x:v>TEATIME CAKE TIN WITH HANDLE</x:v>
      </x:c>
      <x:c r="E1354" s="11" t="n">
        <x:v>3093.15</x:v>
      </x:c>
      <x:c r="F1354" s="11" t="n">
        <x:v>149.25</x:v>
      </x:c>
      <x:c r="G1354" s="11" t="n">
        <x:v>2943.9</x:v>
      </x:c>
      <x:c r="H1354" s="23" t="n">
        <x:v>0.000150637424603478</x:v>
      </x:c>
      <x:c r="I1354" s="23" t="n">
        <x:v>0.8557846947806387</x:v>
      </x:c>
      <x:c r="J1354" s="2" t="n">
        <x:v>107</x:v>
      </x:c>
      <x:c r="K1354" s="2"/>
      <x:c r="L1354" s="2"/>
    </x:row>
    <x:row r="1355" ht="22" customHeight="1">
      <x:c r="A1355" s="2"/>
      <x:c r="B1355" s="2" t="n">
        <x:v>1322</x:v>
      </x:c>
      <x:c r="C1355" s="2" t="str">
        <x:v>84279B</x:v>
      </x:c>
      <x:c r="D1355" s="2" t="str">
        <x:v>CHERRY BLOSSOM DECORATIVE FLASK</x:v>
      </x:c>
      <x:c r="E1355" s="11" t="n">
        <x:v>3088.17</x:v>
      </x:c>
      <x:c r="F1355" s="11" t="n">
        <x:v>63.75</x:v>
      </x:c>
      <x:c r="G1355" s="11" t="n">
        <x:v>3024.42</x:v>
      </x:c>
      <x:c r="H1355" s="23" t="n">
        <x:v>0.000150394896961907</x:v>
      </x:c>
      <x:c r="I1355" s="23" t="n">
        <x:v>0.8559350896776006</x:v>
      </x:c>
      <x:c r="J1355" s="2" t="n">
        <x:v>215</x:v>
      </x:c>
      <x:c r="K1355" s="2"/>
      <x:c r="L1355" s="2"/>
    </x:row>
    <x:row r="1356" ht="22" customHeight="1">
      <x:c r="A1356" s="2"/>
      <x:c r="B1356" s="2" t="n">
        <x:v>1323</x:v>
      </x:c>
      <x:c r="C1356" s="2" t="str">
        <x:v>84912B</x:v>
      </x:c>
      <x:c r="D1356" s="2" t="str">
        <x:v>GREEN ROSE WASHBAG</x:v>
      </x:c>
      <x:c r="E1356" s="11" t="n">
        <x:v>3087.64</x:v>
      </x:c>
      <x:c r="F1356" s="11" t="n">
        <x:v>0</x:v>
      </x:c>
      <x:c r="G1356" s="11" t="n">
        <x:v>3087.64</x:v>
      </x:c>
      <x:c r="H1356" s="23" t="n">
        <x:v>0.00015036908578720164</x:v>
      </x:c>
      <x:c r="I1356" s="23" t="n">
        <x:v>0.8560854587633878</x:v>
      </x:c>
      <x:c r="J1356" s="2" t="n">
        <x:v>259</x:v>
      </x:c>
      <x:c r="K1356" s="2"/>
      <x:c r="L1356" s="2"/>
    </x:row>
    <x:row r="1357" ht="22" customHeight="1">
      <x:c r="A1357" s="2"/>
      <x:c r="B1357" s="2" t="n">
        <x:v>1324</x:v>
      </x:c>
      <x:c r="C1357" s="2" t="str">
        <x:v>23461</x:v>
      </x:c>
      <x:c r="D1357" s="2" t="str">
        <x:v>SWEETHEART BIRD HOUSE</x:v>
      </x:c>
      <x:c r="E1357" s="11" t="n">
        <x:v>3082.71</x:v>
      </x:c>
      <x:c r="F1357" s="11" t="n">
        <x:v>16.6</x:v>
      </x:c>
      <x:c r="G1357" s="11" t="n">
        <x:v>3066.11</x:v>
      </x:c>
      <x:c r="H1357" s="23" t="n">
        <x:v>0.00015012899316211228</x:v>
      </x:c>
      <x:c r="I1357" s="23" t="n">
        <x:v>0.85623558775655</x:v>
      </x:c>
      <x:c r="J1357" s="2" t="n">
        <x:v>94</x:v>
      </x:c>
      <x:c r="K1357" s="2"/>
      <x:c r="L1357" s="2"/>
    </x:row>
    <x:row r="1358" ht="22" customHeight="1">
      <x:c r="A1358" s="2"/>
      <x:c r="B1358" s="2" t="n">
        <x:v>1325</x:v>
      </x:c>
      <x:c r="C1358" s="2" t="str">
        <x:v>22372</x:v>
      </x:c>
      <x:c r="D1358" s="2" t="str">
        <x:v>AIRLINE BAG VINTAGE WORLD CHAMPION </x:v>
      </x:c>
      <x:c r="E1358" s="11" t="n">
        <x:v>3081.93</x:v>
      </x:c>
      <x:c r="F1358" s="11" t="n">
        <x:v>33.95</x:v>
      </x:c>
      <x:c r="G1358" s="11" t="n">
        <x:v>3047.98</x:v>
      </x:c>
      <x:c r="H1358" s="23" t="n">
        <x:v>0.00015009100690499875</x:v>
      </x:c>
      <x:c r="I1358" s="23" t="n">
        <x:v>0.856385678763455</x:v>
      </x:c>
      <x:c r="J1358" s="2" t="n">
        <x:v>287</x:v>
      </x:c>
      <x:c r="K1358" s="2"/>
      <x:c r="L1358" s="2"/>
    </x:row>
    <x:row r="1359" ht="22" customHeight="1">
      <x:c r="A1359" s="2"/>
      <x:c r="B1359" s="2" t="n">
        <x:v>1326</x:v>
      </x:c>
      <x:c r="C1359" s="2" t="str">
        <x:v>22963</x:v>
      </x:c>
      <x:c r="D1359" s="2" t="str">
        <x:v>JAM JAR WITH GREEN LID</x:v>
      </x:c>
      <x:c r="E1359" s="11" t="n">
        <x:v>3080.2599999999998</x:v>
      </x:c>
      <x:c r="F1359" s="11" t="n">
        <x:v>90.86</x:v>
      </x:c>
      <x:c r="G1359" s="11" t="n">
        <x:v>2989.4</x:v>
      </x:c>
      <x:c r="H1359" s="23" t="n">
        <x:v>0.00015000967735451207</x:v>
      </x:c>
      <x:c r="I1359" s="23" t="n">
        <x:v>0.8565356884408094</x:v>
      </x:c>
      <x:c r="J1359" s="2" t="n">
        <x:v>319</x:v>
      </x:c>
      <x:c r="K1359" s="2"/>
      <x:c r="L1359" s="2"/>
    </x:row>
    <x:row r="1360" ht="22" customHeight="1">
      <x:c r="A1360" s="2"/>
      <x:c r="B1360" s="2" t="n">
        <x:v>1327</x:v>
      </x:c>
      <x:c r="C1360" s="2" t="str">
        <x:v>22757</x:v>
      </x:c>
      <x:c r="D1360" s="2" t="str">
        <x:v>LARGE RED BABUSHKA NOTEBOOK </x:v>
      </x:c>
      <x:c r="E1360" s="11" t="n">
        <x:v>3073.93</x:v>
      </x:c>
      <x:c r="F1360" s="11" t="n">
        <x:v>1.25</x:v>
      </x:c>
      <x:c r="G1360" s="11" t="n">
        <x:v>3072.68</x:v>
      </x:c>
      <x:c r="H1360" s="23" t="n">
        <x:v>0.0001497014042679369</x:v>
      </x:c>
      <x:c r="I1360" s="23" t="n">
        <x:v>0.8566853898450774</x:v>
      </x:c>
      <x:c r="J1360" s="2" t="n">
        <x:v>308</x:v>
      </x:c>
      <x:c r="K1360" s="2"/>
      <x:c r="L1360" s="2"/>
    </x:row>
    <x:row r="1361" ht="22" customHeight="1">
      <x:c r="A1361" s="2"/>
      <x:c r="B1361" s="2" t="n">
        <x:v>1328</x:v>
      </x:c>
      <x:c r="C1361" s="2" t="str">
        <x:v>21206</x:v>
      </x:c>
      <x:c r="D1361" s="2" t="str">
        <x:v>STRAWBERRY HONEYCOMB  GARLAND </x:v>
      </x:c>
      <x:c r="E1361" s="11" t="n">
        <x:v>3071.2</x:v>
      </x:c>
      <x:c r="F1361" s="11" t="n">
        <x:v>18.15</x:v>
      </x:c>
      <x:c r="G1361" s="11" t="n">
        <x:v>3053.0499999999997</x:v>
      </x:c>
      <x:c r="H1361" s="23" t="n">
        <x:v>0.00014956845236803955</x:v>
      </x:c>
      <x:c r="I1361" s="23" t="n">
        <x:v>0.8568349582974454</x:v>
      </x:c>
      <x:c r="J1361" s="2" t="n">
        <x:v>238</x:v>
      </x:c>
      <x:c r="K1361" s="2"/>
      <x:c r="L1361" s="2"/>
    </x:row>
    <x:row r="1362" ht="22" customHeight="1">
      <x:c r="A1362" s="2"/>
      <x:c r="B1362" s="2" t="n">
        <x:v>1329</x:v>
      </x:c>
      <x:c r="C1362" s="2" t="str">
        <x:v>22473</x:v>
      </x:c>
      <x:c r="D1362" s="2" t="str">
        <x:v>TV DINNER TRAY VINTAGE PAISLEY</x:v>
      </x:c>
      <x:c r="E1362" s="11" t="n">
        <x:v>3070.92</x:v>
      </x:c>
      <x:c r="F1362" s="11" t="n">
        <x:v>0</x:v>
      </x:c>
      <x:c r="G1362" s="11" t="n">
        <x:v>3070.92</x:v>
      </x:c>
      <x:c r="H1362" s="23" t="n">
        <x:v>0.0001495548162757424</x:v>
      </x:c>
      <x:c r="I1362" s="23" t="n">
        <x:v>0.8569845131137211</x:v>
      </x:c>
      <x:c r="J1362" s="2" t="n">
        <x:v>209</x:v>
      </x:c>
      <x:c r="K1362" s="2"/>
      <x:c r="L1362" s="2"/>
    </x:row>
    <x:row r="1363" ht="22" customHeight="1">
      <x:c r="A1363" s="2"/>
      <x:c r="B1363" s="2" t="n">
        <x:v>1330</x:v>
      </x:c>
      <x:c r="C1363" s="2" t="str">
        <x:v>20985</x:v>
      </x:c>
      <x:c r="D1363" s="2" t="str">
        <x:v>HEART CALCULATOR</x:v>
      </x:c>
      <x:c r="E1363" s="11" t="n">
        <x:v>3059.24</x:v>
      </x:c>
      <x:c r="F1363" s="11" t="n">
        <x:v>54.43</x:v>
      </x:c>
      <x:c r="G1363" s="11" t="n">
        <x:v>3004.81</x:v>
      </x:c>
      <x:c r="H1363" s="23" t="n">
        <x:v>0.0001489859964256321</x:v>
      </x:c>
      <x:c r="I1363" s="23" t="n">
        <x:v>0.8571334991101468</x:v>
      </x:c>
      <x:c r="J1363" s="2" t="n">
        <x:v>291</x:v>
      </x:c>
      <x:c r="K1363" s="2"/>
      <x:c r="L1363" s="2"/>
    </x:row>
    <x:row r="1364" ht="22" customHeight="1">
      <x:c r="A1364" s="2"/>
      <x:c r="B1364" s="2" t="n">
        <x:v>1331</x:v>
      </x:c>
      <x:c r="C1364" s="2" t="str">
        <x:v>21408</x:v>
      </x:c>
      <x:c r="D1364" s="2" t="str">
        <x:v>SPOTTY PINK DUCK DOORSTOP</x:v>
      </x:c>
      <x:c r="E1364" s="11" t="n">
        <x:v>3057.71</x:v>
      </x:c>
      <x:c r="F1364" s="11" t="n">
        <x:v>21.25</x:v>
      </x:c>
      <x:c r="G1364" s="11" t="n">
        <x:v>3036.46</x:v>
      </x:c>
      <x:c r="H1364" s="23" t="n">
        <x:v>0.00014891148492129404</x:v>
      </x:c>
      <x:c r="I1364" s="23" t="n">
        <x:v>0.857282410595068</x:v>
      </x:c>
      <x:c r="J1364" s="2" t="n">
        <x:v>240</x:v>
      </x:c>
      <x:c r="K1364" s="2"/>
      <x:c r="L1364" s="2"/>
    </x:row>
    <x:row r="1365" ht="22" customHeight="1">
      <x:c r="A1365" s="2"/>
      <x:c r="B1365" s="2" t="n">
        <x:v>1332</x:v>
      </x:c>
      <x:c r="C1365" s="2" t="str">
        <x:v>23329</x:v>
      </x:c>
      <x:c r="D1365" s="2" t="str">
        <x:v>DECORATIVE WICKER HEART LARGE</x:v>
      </x:c>
      <x:c r="E1365" s="11" t="n">
        <x:v>3056.3399999999997</x:v>
      </x:c>
      <x:c r="F1365" s="11" t="n">
        <x:v>4.949999999999999</x:v>
      </x:c>
      <x:c r="G1365" s="11" t="n">
        <x:v>3051.39</x:v>
      </x:c>
      <x:c r="H1365" s="23" t="n">
        <x:v>0.00014884476546969718</x:v>
      </x:c>
      <x:c r="I1365" s="23" t="n">
        <x:v>0.8574312553605378</x:v>
      </x:c>
      <x:c r="J1365" s="2" t="n">
        <x:v>233</x:v>
      </x:c>
      <x:c r="K1365" s="2"/>
      <x:c r="L1365" s="2"/>
    </x:row>
    <x:row r="1366" ht="22" customHeight="1">
      <x:c r="A1366" s="2"/>
      <x:c r="B1366" s="2" t="n">
        <x:v>1333</x:v>
      </x:c>
      <x:c r="C1366" s="2" t="str">
        <x:v>22037</x:v>
      </x:c>
      <x:c r="D1366" s="2" t="str">
        <x:v>ROBOT BIRTHDAY CARD</x:v>
      </x:c>
      <x:c r="E1366" s="11" t="n">
        <x:v>3055.86</x:v>
      </x:c>
      <x:c r="F1366" s="11" t="n">
        <x:v>5.04</x:v>
      </x:c>
      <x:c r="G1366" s="11" t="n">
        <x:v>3050.82</x:v>
      </x:c>
      <x:c r="H1366" s="23" t="n">
        <x:v>0.00014882138931147348</x:v>
      </x:c>
      <x:c r="I1366" s="23" t="n">
        <x:v>0.8575800767498493</x:v>
      </x:c>
      <x:c r="J1366" s="2" t="n">
        <x:v>634</x:v>
      </x:c>
      <x:c r="K1366" s="2"/>
      <x:c r="L1366" s="2"/>
    </x:row>
    <x:row r="1367" ht="22" customHeight="1">
      <x:c r="A1367" s="2"/>
      <x:c r="B1367" s="2" t="n">
        <x:v>1334</x:v>
      </x:c>
      <x:c r="C1367" s="2" t="str">
        <x:v>21786</x:v>
      </x:c>
      <x:c r="D1367" s="2" t="str">
        <x:v>POLKADOT RAIN HAT </x:v>
      </x:c>
      <x:c r="E1367" s="11" t="n">
        <x:v>3055.33</x:v>
      </x:c>
      <x:c r="F1367" s="11" t="n">
        <x:v>29.4</x:v>
      </x:c>
      <x:c r="G1367" s="11" t="n">
        <x:v>3025.93</x:v>
      </x:c>
      <x:c r="H1367" s="23" t="n">
        <x:v>0.00014879557813676813</x:v>
      </x:c>
      <x:c r="I1367" s="23" t="n">
        <x:v>0.857728872327986</x:v>
      </x:c>
      <x:c r="J1367" s="2" t="n">
        <x:v>450</x:v>
      </x:c>
      <x:c r="K1367" s="2"/>
      <x:c r="L1367" s="2"/>
    </x:row>
    <x:row r="1368" ht="22" customHeight="1">
      <x:c r="A1368" s="2"/>
      <x:c r="B1368" s="2" t="n">
        <x:v>1335</x:v>
      </x:c>
      <x:c r="C1368" s="2" t="str">
        <x:v>22754</x:v>
      </x:c>
      <x:c r="D1368" s="2" t="str">
        <x:v>SMALL RED BABUSHKA NOTEBOOK </x:v>
      </x:c>
      <x:c r="E1368" s="11" t="n">
        <x:v>3049.1099999999997</x:v>
      </x:c>
      <x:c r="F1368" s="11" t="n">
        <x:v>10.2</x:v>
      </x:c>
      <x:c r="G1368" s="11" t="n">
        <x:v>3038.91</x:v>
      </x:c>
      <x:c r="H1368" s="23" t="n">
        <x:v>0.00014849266208645254</x:v>
      </x:c>
      <x:c r="I1368" s="23" t="n">
        <x:v>0.8578773649900725</x:v>
      </x:c>
      <x:c r="J1368" s="2" t="n">
        <x:v>492</x:v>
      </x:c>
      <x:c r="K1368" s="2"/>
      <x:c r="L1368" s="2"/>
    </x:row>
    <x:row r="1369" ht="22" customHeight="1">
      <x:c r="A1369" s="2"/>
      <x:c r="B1369" s="2" t="n">
        <x:v>1336</x:v>
      </x:c>
      <x:c r="C1369" s="2" t="str">
        <x:v>22067</x:v>
      </x:c>
      <x:c r="D1369" s="2" t="str">
        <x:v>CHOC TRUFFLE GOLD TRINKET POT </x:v>
      </x:c>
      <x:c r="E1369" s="11" t="n">
        <x:v>3049.0199999999995</x:v>
      </x:c>
      <x:c r="F1369" s="11" t="n">
        <x:v>32.199999999999996</x:v>
      </x:c>
      <x:c r="G1369" s="11" t="n">
        <x:v>3016.8199999999997</x:v>
      </x:c>
      <x:c r="H1369" s="23" t="n">
        <x:v>0.0001484882790567856</x:v>
      </x:c>
      <x:c r="I1369" s="23" t="n">
        <x:v>0.8580258532691293</x:v>
      </x:c>
      <x:c r="J1369" s="2" t="n">
        <x:v>252</x:v>
      </x:c>
      <x:c r="K1369" s="2"/>
      <x:c r="L1369" s="2"/>
    </x:row>
    <x:row r="1370" ht="22" customHeight="1">
      <x:c r="A1370" s="2"/>
      <x:c r="B1370" s="2" t="n">
        <x:v>1337</x:v>
      </x:c>
      <x:c r="C1370" s="2" t="str">
        <x:v>22208</x:v>
      </x:c>
      <x:c r="D1370" s="2" t="str">
        <x:v>WOOD STAMP SET THANK YOU</x:v>
      </x:c>
      <x:c r="E1370" s="11" t="n">
        <x:v>3046.8799999999997</x:v>
      </x:c>
      <x:c r="F1370" s="11" t="n">
        <x:v>31.409999999999997</x:v>
      </x:c>
      <x:c r="G1370" s="11" t="n">
        <x:v>3015.47</x:v>
      </x:c>
      <x:c r="H1370" s="23" t="n">
        <x:v>0.00014838406035137157</x:v>
      </x:c>
      <x:c r="I1370" s="23" t="n">
        <x:v>0.8581742373294806</x:v>
      </x:c>
      <x:c r="J1370" s="2" t="n">
        <x:v>433</x:v>
      </x:c>
      <x:c r="K1370" s="2"/>
      <x:c r="L1370" s="2"/>
    </x:row>
    <x:row r="1371" ht="22" customHeight="1">
      <x:c r="A1371" s="2"/>
      <x:c r="B1371" s="2" t="n">
        <x:v>1338</x:v>
      </x:c>
      <x:c r="C1371" s="2" t="str">
        <x:v>23390</x:v>
      </x:c>
      <x:c r="D1371" s="2" t="str">
        <x:v>DOLLY GIRL MINI BACKPACK</x:v>
      </x:c>
      <x:c r="E1371" s="11" t="n">
        <x:v>3042.19</x:v>
      </x:c>
      <x:c r="F1371" s="11" t="n">
        <x:v>4.15</x:v>
      </x:c>
      <x:c r="G1371" s="11" t="n">
        <x:v>3038.04</x:v>
      </x:c>
      <x:c r="H1371" s="23" t="n">
        <x:v>0.0001481556558053941</x:v>
      </x:c>
      <x:c r="I1371" s="23" t="n">
        <x:v>0.858322392985286</x:v>
      </x:c>
      <x:c r="J1371" s="2" t="n">
        <x:v>163</x:v>
      </x:c>
      <x:c r="K1371" s="2"/>
      <x:c r="L1371" s="2"/>
    </x:row>
    <x:row r="1372" ht="22" customHeight="1">
      <x:c r="A1372" s="2"/>
      <x:c r="B1372" s="2" t="n">
        <x:v>1339</x:v>
      </x:c>
      <x:c r="C1372" s="2" t="str">
        <x:v>23242</x:v>
      </x:c>
      <x:c r="D1372" s="2" t="str">
        <x:v>TREASURE TIN BUFFALO BILL </x:v>
      </x:c>
      <x:c r="E1372" s="11" t="n">
        <x:v>3037.11</x:v>
      </x:c>
      <x:c r="F1372" s="11" t="n">
        <x:v>56.160000000000004</x:v>
      </x:c>
      <x:c r="G1372" s="11" t="n">
        <x:v>2980.9500000000003</x:v>
      </x:c>
      <x:c r="H1372" s="23" t="n">
        <x:v>0.00014790825813085982</x:v>
      </x:c>
      <x:c r="I1372" s="23" t="n">
        <x:v>0.8584703012434168</x:v>
      </x:c>
      <x:c r="J1372" s="2" t="n">
        <x:v>214</x:v>
      </x:c>
      <x:c r="K1372" s="2"/>
      <x:c r="L1372" s="2"/>
    </x:row>
    <x:row r="1373" ht="22" customHeight="1">
      <x:c r="A1373" s="2"/>
      <x:c r="B1373" s="2" t="n">
        <x:v>1340</x:v>
      </x:c>
      <x:c r="C1373" s="2" t="str">
        <x:v>15044C</x:v>
      </x:c>
      <x:c r="D1373" s="2" t="str">
        <x:v>PURPLE PAPER PARASOL</x:v>
      </x:c>
      <x:c r="E1373" s="11" t="n">
        <x:v>3036.11</x:v>
      </x:c>
      <x:c r="F1373" s="11" t="n">
        <x:v>13.95</x:v>
      </x:c>
      <x:c r="G1373" s="11" t="n">
        <x:v>3022.1600000000003</x:v>
      </x:c>
      <x:c r="H1373" s="23" t="n">
        <x:v>0.00014785955780122708</x:v>
      </x:c>
      <x:c r="I1373" s="23" t="n">
        <x:v>0.8586181608012181</x:v>
      </x:c>
      <x:c r="J1373" s="2" t="n">
        <x:v>231</x:v>
      </x:c>
      <x:c r="K1373" s="2"/>
      <x:c r="L1373" s="2"/>
    </x:row>
    <x:row r="1374" ht="22" customHeight="1">
      <x:c r="A1374" s="2"/>
      <x:c r="B1374" s="2" t="n">
        <x:v>1341</x:v>
      </x:c>
      <x:c r="C1374" s="2" t="str">
        <x:v>22712</x:v>
      </x:c>
      <x:c r="D1374" s="2" t="str">
        <x:v>CARD DOLLY GIRL </x:v>
      </x:c>
      <x:c r="E1374" s="11" t="n">
        <x:v>3032.66</x:v>
      </x:c>
      <x:c r="F1374" s="11" t="n">
        <x:v>15.54</x:v>
      </x:c>
      <x:c r="G1374" s="11" t="n">
        <x:v>3017.12</x:v>
      </x:c>
      <x:c r="H1374" s="23" t="n">
        <x:v>0.00014769154166399415</x:v>
      </x:c>
      <x:c r="I1374" s="23" t="n">
        <x:v>0.858765852342882</x:v>
      </x:c>
      <x:c r="J1374" s="2" t="n">
        <x:v>508</x:v>
      </x:c>
      <x:c r="K1374" s="2"/>
      <x:c r="L1374" s="2"/>
    </x:row>
    <x:row r="1375" ht="22" customHeight="1">
      <x:c r="A1375" s="2"/>
      <x:c r="B1375" s="2" t="n">
        <x:v>1342</x:v>
      </x:c>
      <x:c r="C1375" s="2" t="str">
        <x:v>22805</x:v>
      </x:c>
      <x:c r="D1375" s="2" t="str">
        <x:v>BLUE DRAWER KNOB ACRYLIC EDWARDIAN</x:v>
      </x:c>
      <x:c r="E1375" s="11" t="n">
        <x:v>3026.32</x:v>
      </x:c>
      <x:c r="F1375" s="11" t="n">
        <x:v>16.25</x:v>
      </x:c>
      <x:c r="G1375" s="11" t="n">
        <x:v>3010.07</x:v>
      </x:c>
      <x:c r="H1375" s="23" t="n">
        <x:v>0.00014738278157412266</x:v>
      </x:c>
      <x:c r="I1375" s="23" t="n">
        <x:v>0.8589132351244562</x:v>
      </x:c>
      <x:c r="J1375" s="2" t="n">
        <x:v>231</x:v>
      </x:c>
      <x:c r="K1375" s="2"/>
      <x:c r="L1375" s="2"/>
    </x:row>
    <x:row r="1376" ht="22" customHeight="1">
      <x:c r="A1376" s="2"/>
      <x:c r="B1376" s="2" t="n">
        <x:v>1343</x:v>
      </x:c>
      <x:c r="C1376" s="2" t="str">
        <x:v>21626</x:v>
      </x:c>
      <x:c r="D1376" s="2" t="str">
        <x:v>VINTAGE UNION JACK PENNANT</x:v>
      </x:c>
      <x:c r="E1376" s="11" t="n">
        <x:v>3024.87</x:v>
      </x:c>
      <x:c r="F1376" s="11" t="n">
        <x:v>117</x:v>
      </x:c>
      <x:c r="G1376" s="11" t="n">
        <x:v>2907.87</x:v>
      </x:c>
      <x:c r="H1376" s="23" t="n">
        <x:v>0.0001473121660961552</x:v>
      </x:c>
      <x:c r="I1376" s="23" t="n">
        <x:v>0.8590605472905524</x:v>
      </x:c>
      <x:c r="J1376" s="2" t="n">
        <x:v>204</x:v>
      </x:c>
      <x:c r="K1376" s="2"/>
      <x:c r="L1376" s="2"/>
    </x:row>
    <x:row r="1377" ht="22" customHeight="1">
      <x:c r="A1377" s="2"/>
      <x:c r="B1377" s="2" t="n">
        <x:v>1344</x:v>
      </x:c>
      <x:c r="C1377" s="2" t="str">
        <x:v>22402</x:v>
      </x:c>
      <x:c r="D1377" s="2" t="str">
        <x:v>MAGNETS PACK OF 4 VINTAGE COLLAGE</x:v>
      </x:c>
      <x:c r="E1377" s="11" t="n">
        <x:v>3016.45</x:v>
      </x:c>
      <x:c r="F1377" s="11" t="n">
        <x:v>17.5</x:v>
      </x:c>
      <x:c r="G1377" s="11" t="n">
        <x:v>2998.95</x:v>
      </x:c>
      <x:c r="H1377" s="23" t="n">
        <x:v>0.0001469021093206476</x:v>
      </x:c>
      <x:c r="I1377" s="23" t="n">
        <x:v>0.859207449399873</x:v>
      </x:c>
      <x:c r="J1377" s="2" t="n">
        <x:v>250</x:v>
      </x:c>
      <x:c r="K1377" s="2"/>
      <x:c r="L1377" s="2"/>
    </x:row>
    <x:row r="1378" ht="22" customHeight="1">
      <x:c r="A1378" s="2"/>
      <x:c r="B1378" s="2" t="n">
        <x:v>1345</x:v>
      </x:c>
      <x:c r="C1378" s="2" t="str">
        <x:v>23231</x:v>
      </x:c>
      <x:c r="D1378" s="2" t="str">
        <x:v>WRAP  VINTAGE DOILY </x:v>
      </x:c>
      <x:c r="E1378" s="11" t="n">
        <x:v>3008.34</x:v>
      </x:c>
      <x:c r="F1378" s="11" t="n">
        <x:v>0</x:v>
      </x:c>
      <x:c r="G1378" s="11" t="n">
        <x:v>3008.34</x:v>
      </x:c>
      <x:c r="H1378" s="23" t="n">
        <x:v>0.00014650714964732617</x:v>
      </x:c>
      <x:c r="I1378" s="23" t="n">
        <x:v>0.8593539565495204</x:v>
      </x:c>
      <x:c r="J1378" s="2" t="n">
        <x:v>260</x:v>
      </x:c>
      <x:c r="K1378" s="2"/>
      <x:c r="L1378" s="2"/>
    </x:row>
    <x:row r="1379" ht="22" customHeight="1">
      <x:c r="A1379" s="2"/>
      <x:c r="B1379" s="2" t="n">
        <x:v>1346</x:v>
      </x:c>
      <x:c r="C1379" s="2" t="str">
        <x:v>22755</x:v>
      </x:c>
      <x:c r="D1379" s="2" t="str">
        <x:v>SMALL PURPLE BABUSHKA NOTEBOOK </x:v>
      </x:c>
      <x:c r="E1379" s="11" t="n">
        <x:v>3004.43</x:v>
      </x:c>
      <x:c r="F1379" s="11" t="n">
        <x:v>10.2</x:v>
      </x:c>
      <x:c r="G1379" s="11" t="n">
        <x:v>2994.23</x:v>
      </x:c>
      <x:c r="H1379" s="23" t="n">
        <x:v>0.0001463167313584622</x:v>
      </x:c>
      <x:c r="I1379" s="23" t="n">
        <x:v>0.8595002732808789</x:v>
      </x:c>
      <x:c r="J1379" s="2" t="n">
        <x:v>499</x:v>
      </x:c>
      <x:c r="K1379" s="2"/>
      <x:c r="L1379" s="2"/>
    </x:row>
    <x:row r="1380" ht="22" customHeight="1">
      <x:c r="A1380" s="2"/>
      <x:c r="B1380" s="2" t="n">
        <x:v>1347</x:v>
      </x:c>
      <x:c r="C1380" s="2" t="str">
        <x:v>84912A</x:v>
      </x:c>
      <x:c r="D1380" s="2" t="str">
        <x:v>PINK ROSE WASHBAG</x:v>
      </x:c>
      <x:c r="E1380" s="11" t="n">
        <x:v>2996.44</x:v>
      </x:c>
      <x:c r="F1380" s="11" t="n">
        <x:v>0</x:v>
      </x:c>
      <x:c r="G1380" s="11" t="n">
        <x:v>2996.44</x:v>
      </x:c>
      <x:c r="H1380" s="23" t="n">
        <x:v>0.0001459276157246967</x:v>
      </x:c>
      <x:c r="I1380" s="23" t="n">
        <x:v>0.8596462008966036</x:v>
      </x:c>
      <x:c r="J1380" s="2" t="n">
        <x:v>231</x:v>
      </x:c>
      <x:c r="K1380" s="2"/>
      <x:c r="L1380" s="2"/>
    </x:row>
    <x:row r="1381" ht="22" customHeight="1">
      <x:c r="A1381" s="2"/>
      <x:c r="B1381" s="2" t="n">
        <x:v>1348</x:v>
      </x:c>
      <x:c r="C1381" s="2" t="str">
        <x:v>22925</x:v>
      </x:c>
      <x:c r="D1381" s="2" t="str">
        <x:v>AMAZON</x:v>
      </x:c>
      <x:c r="E1381" s="11" t="n">
        <x:v>2995.4700000000003</x:v>
      </x:c>
      <x:c r="F1381" s="11" t="n">
        <x:v>47.6</x:v>
      </x:c>
      <x:c r="G1381" s="11" t="n">
        <x:v>2947.8700000000003</x:v>
      </x:c>
      <x:c r="H1381" s="23" t="n">
        <x:v>0.00014588037640495295</x:v>
      </x:c>
      <x:c r="I1381" s="23" t="n">
        <x:v>0.8597920812730085</x:v>
      </x:c>
      <x:c r="J1381" s="2" t="n">
        <x:v>191</x:v>
      </x:c>
      <x:c r="K1381" s="2"/>
      <x:c r="L1381" s="2"/>
    </x:row>
    <x:row r="1382" ht="22" customHeight="1">
      <x:c r="A1382" s="2"/>
      <x:c r="B1382" s="2" t="n">
        <x:v>1349</x:v>
      </x:c>
      <x:c r="C1382" s="2" t="str">
        <x:v>22375</x:v>
      </x:c>
      <x:c r="D1382" s="2" t="str">
        <x:v>AIRLINE BAG VINTAGE JET SET BROWN</x:v>
      </x:c>
      <x:c r="E1382" s="11" t="n">
        <x:v>2994.74</x:v>
      </x:c>
      <x:c r="F1382" s="11" t="n">
        <x:v>10.6</x:v>
      </x:c>
      <x:c r="G1382" s="11" t="n">
        <x:v>2984.14</x:v>
      </x:c>
      <x:c r="H1382" s="23" t="n">
        <x:v>0.00014584482516432105</x:v>
      </x:c>
      <x:c r="I1382" s="23" t="n">
        <x:v>0.8599379260981729</x:v>
      </x:c>
      <x:c r="J1382" s="2" t="n">
        <x:v>284</x:v>
      </x:c>
      <x:c r="K1382" s="2"/>
      <x:c r="L1382" s="2"/>
    </x:row>
    <x:row r="1383" ht="22" customHeight="1">
      <x:c r="A1383" s="2"/>
      <x:c r="B1383" s="2" t="n">
        <x:v>1350</x:v>
      </x:c>
      <x:c r="C1383" s="2" t="str">
        <x:v>22132</x:v>
      </x:c>
      <x:c r="D1383" s="2" t="str">
        <x:v>RED LOVE HEART SHAPE CUP</x:v>
      </x:c>
      <x:c r="E1383" s="11" t="n">
        <x:v>2993.21</x:v>
      </x:c>
      <x:c r="F1383" s="11" t="n">
        <x:v>10.2</x:v>
      </x:c>
      <x:c r="G1383" s="11" t="n">
        <x:v>2983.0099999999998</x:v>
      </x:c>
      <x:c r="H1383" s="23" t="n">
        <x:v>0.00014577031365998298</x:v>
      </x:c>
      <x:c r="I1383" s="23" t="n">
        <x:v>0.8600836964118329</x:v>
      </x:c>
      <x:c r="J1383" s="2" t="n">
        <x:v>388</x:v>
      </x:c>
      <x:c r="K1383" s="2"/>
      <x:c r="L1383" s="2"/>
    </x:row>
    <x:row r="1384" ht="22" customHeight="1">
      <x:c r="A1384" s="2"/>
      <x:c r="B1384" s="2" t="n">
        <x:v>1351</x:v>
      </x:c>
      <x:c r="C1384" s="2" t="str">
        <x:v>21354</x:v>
      </x:c>
      <x:c r="D1384" s="2" t="str">
        <x:v>TOAST ITS - BEST MUM</x:v>
      </x:c>
      <x:c r="E1384" s="11" t="n">
        <x:v>2981.96</x:v>
      </x:c>
      <x:c r="F1384" s="11" t="n">
        <x:v>0</x:v>
      </x:c>
      <x:c r="G1384" s="11" t="n">
        <x:v>2981.96</x:v>
      </x:c>
      <x:c r="H1384" s="23" t="n">
        <x:v>0.00014522243495161476</x:v>
      </x:c>
      <x:c r="I1384" s="23" t="n">
        <x:v>0.8602289188467845</x:v>
      </x:c>
      <x:c r="J1384" s="2" t="n">
        <x:v>217</x:v>
      </x:c>
      <x:c r="K1384" s="2"/>
      <x:c r="L1384" s="2"/>
    </x:row>
    <x:row r="1385" ht="22" customHeight="1">
      <x:c r="A1385" s="2"/>
      <x:c r="B1385" s="2" t="n">
        <x:v>1352</x:v>
      </x:c>
      <x:c r="C1385" s="2" t="str">
        <x:v>22816</x:v>
      </x:c>
      <x:c r="D1385" s="2" t="str">
        <x:v>CARD MOTORBIKE SANTA</x:v>
      </x:c>
      <x:c r="E1385" s="11" t="n">
        <x:v>2976.13</x:v>
      </x:c>
      <x:c r="F1385" s="11" t="n">
        <x:v>20.16</x:v>
      </x:c>
      <x:c r="G1385" s="11" t="n">
        <x:v>2955.97</x:v>
      </x:c>
      <x:c r="H1385" s="23" t="n">
        <x:v>0.00014493851202985596</x:v>
      </x:c>
      <x:c r="I1385" s="23" t="n">
        <x:v>0.8603738573588144</x:v>
      </x:c>
      <x:c r="J1385" s="2" t="n">
        <x:v>436</x:v>
      </x:c>
      <x:c r="K1385" s="2"/>
      <x:c r="L1385" s="2"/>
    </x:row>
    <x:row r="1386" ht="22" customHeight="1">
      <x:c r="A1386" s="2"/>
      <x:c r="B1386" s="2" t="n">
        <x:v>1353</x:v>
      </x:c>
      <x:c r="C1386" s="2" t="str">
        <x:v>22519</x:v>
      </x:c>
      <x:c r="D1386" s="2" t="str">
        <x:v>CHILDS GARDEN BRUSH PINK</x:v>
      </x:c>
      <x:c r="E1386" s="11" t="n">
        <x:v>2972.9700000000003</x:v>
      </x:c>
      <x:c r="F1386" s="11" t="n">
        <x:v>29.400000000000002</x:v>
      </x:c>
      <x:c r="G1386" s="11" t="n">
        <x:v>2943.57</x:v>
      </x:c>
      <x:c r="H1386" s="23" t="n">
        <x:v>0.00014478461898821655</x:v>
      </x:c>
      <x:c r="I1386" s="23" t="n">
        <x:v>0.8605186419778027</x:v>
      </x:c>
      <x:c r="J1386" s="2" t="n">
        <x:v>258</x:v>
      </x:c>
      <x:c r="K1386" s="2"/>
      <x:c r="L1386" s="2"/>
    </x:row>
    <x:row r="1387" ht="22" customHeight="1">
      <x:c r="A1387" s="2"/>
      <x:c r="B1387" s="2" t="n">
        <x:v>1354</x:v>
      </x:c>
      <x:c r="C1387" s="2" t="str">
        <x:v>22674</x:v>
      </x:c>
      <x:c r="D1387" s="2" t="str">
        <x:v>FRENCH TOILET SIGN BLUE METAL</x:v>
      </x:c>
      <x:c r="E1387" s="11" t="n">
        <x:v>2962.58</x:v>
      </x:c>
      <x:c r="F1387" s="11" t="n">
        <x:v>17.5</x:v>
      </x:c>
      <x:c r="G1387" s="11" t="n">
        <x:v>2945.08</x:v>
      </x:c>
      <x:c r="H1387" s="23" t="n">
        <x:v>0.00014427862256333245</x:v>
      </x:c>
      <x:c r="I1387" s="23" t="n">
        <x:v>0.8606629206003661</x:v>
      </x:c>
      <x:c r="J1387" s="2" t="n">
        <x:v>297</x:v>
      </x:c>
      <x:c r="K1387" s="2"/>
      <x:c r="L1387" s="2"/>
    </x:row>
    <x:row r="1388" ht="22" customHeight="1">
      <x:c r="A1388" s="2"/>
      <x:c r="B1388" s="2" t="n">
        <x:v>1355</x:v>
      </x:c>
      <x:c r="C1388" s="2" t="str">
        <x:v>22905</x:v>
      </x:c>
      <x:c r="D1388" s="2" t="str">
        <x:v>CALENDAR IN SEASON DESIGN</x:v>
      </x:c>
      <x:c r="E1388" s="11" t="n">
        <x:v>2960.1200000000003</x:v>
      </x:c>
      <x:c r="F1388" s="11" t="n">
        <x:v>0</x:v>
      </x:c>
      <x:c r="G1388" s="11" t="n">
        <x:v>2960.1200000000003</x:v>
      </x:c>
      <x:c r="H1388" s="23" t="n">
        <x:v>0.00014415881975243596</x:v>
      </x:c>
      <x:c r="I1388" s="23" t="n">
        <x:v>0.8608070794201185</x:v>
      </x:c>
      <x:c r="J1388" s="2" t="n">
        <x:v>194</x:v>
      </x:c>
      <x:c r="K1388" s="2"/>
      <x:c r="L1388" s="2"/>
    </x:row>
    <x:row r="1389" ht="22" customHeight="1">
      <x:c r="A1389" s="2"/>
      <x:c r="B1389" s="2" t="n">
        <x:v>1356</x:v>
      </x:c>
      <x:c r="C1389" s="2" t="str">
        <x:v>84997c</x:v>
      </x:c>
      <x:c r="D1389" s="2" t="str">
        <x:v>CHILDRENS CUTLERY POLKADOT BLUE</x:v>
      </x:c>
      <x:c r="E1389" s="11" t="n">
        <x:v>2958.87</x:v>
      </x:c>
      <x:c r="F1389" s="11" t="n">
        <x:v>0</x:v>
      </x:c>
      <x:c r="G1389" s="11" t="n">
        <x:v>2958.87</x:v>
      </x:c>
      <x:c r="H1389" s="23" t="n">
        <x:v>0.00014409794434039504</x:v>
      </x:c>
      <x:c r="I1389" s="23" t="n">
        <x:v>0.8609511773644589</x:v>
      </x:c>
      <x:c r="J1389" s="2" t="n">
        <x:v>75</x:v>
      </x:c>
      <x:c r="K1389" s="2"/>
      <x:c r="L1389" s="2"/>
    </x:row>
    <x:row r="1390" ht="22" customHeight="1">
      <x:c r="A1390" s="2"/>
      <x:c r="B1390" s="2" t="n">
        <x:v>1357</x:v>
      </x:c>
      <x:c r="C1390" s="2" t="str">
        <x:v>22664</x:v>
      </x:c>
      <x:c r="D1390" s="2" t="str">
        <x:v>TOY TIDY DOLLY GIRL DESIGN</x:v>
      </x:c>
      <x:c r="E1390" s="11" t="n">
        <x:v>2956.29</x:v>
      </x:c>
      <x:c r="F1390" s="11" t="n">
        <x:v>25.2</x:v>
      </x:c>
      <x:c r="G1390" s="11" t="n">
        <x:v>2931.09</x:v>
      </x:c>
      <x:c r="H1390" s="23" t="n">
        <x:v>0.0001439722974899426</x:v>
      </x:c>
      <x:c r="I1390" s="23" t="n">
        <x:v>0.8610951496619489</x:v>
      </x:c>
      <x:c r="J1390" s="2" t="n">
        <x:v>266</x:v>
      </x:c>
      <x:c r="K1390" s="2"/>
      <x:c r="L1390" s="2"/>
    </x:row>
    <x:row r="1391" ht="22" customHeight="1">
      <x:c r="A1391" s="2"/>
      <x:c r="B1391" s="2" t="n">
        <x:v>1358</x:v>
      </x:c>
      <x:c r="C1391" s="2" t="str">
        <x:v>22927</x:v>
      </x:c>
      <x:c r="D1391" s="2" t="str">
        <x:v>GREEN GIANT GARDEN THERMOMETER</x:v>
      </x:c>
      <x:c r="E1391" s="11" t="n">
        <x:v>2948.57</x:v>
      </x:c>
      <x:c r="F1391" s="11" t="n">
        <x:v>83.3</x:v>
      </x:c>
      <x:c r="G1391" s="11" t="n">
        <x:v>2865.27</x:v>
      </x:c>
      <x:c r="H1391" s="23" t="n">
        <x:v>0.00014359633094517793</x:v>
      </x:c>
      <x:c r="I1391" s="23" t="n">
        <x:v>0.8612387459928941</x:v>
      </x:c>
      <x:c r="J1391" s="2" t="n">
        <x:v>162</x:v>
      </x:c>
      <x:c r="K1391" s="2"/>
      <x:c r="L1391" s="2"/>
    </x:row>
    <x:row r="1392" ht="22" customHeight="1">
      <x:c r="A1392" s="2"/>
      <x:c r="B1392" s="2" t="n">
        <x:v>1359</x:v>
      </x:c>
      <x:c r="C1392" s="2" t="str">
        <x:v>22990</x:v>
      </x:c>
      <x:c r="D1392" s="2" t="str">
        <x:v>COTTON APRON PANTRY DESIGN</x:v>
      </x:c>
      <x:c r="E1392" s="11" t="n">
        <x:v>2942.1800000000003</x:v>
      </x:c>
      <x:c r="F1392" s="11" t="n">
        <x:v>553.6999999999999</x:v>
      </x:c>
      <x:c r="G1392" s="11" t="n">
        <x:v>2388.48</x:v>
      </x:c>
      <x:c r="H1392" s="23" t="n">
        <x:v>0.00014328513583882477</x:v>
      </x:c>
      <x:c r="I1392" s="23" t="n">
        <x:v>0.8613820311287329</x:v>
      </x:c>
      <x:c r="J1392" s="2" t="n">
        <x:v>164</x:v>
      </x:c>
      <x:c r="K1392" s="2"/>
      <x:c r="L1392" s="2"/>
    </x:row>
    <x:row r="1393" ht="22" customHeight="1">
      <x:c r="A1393" s="2"/>
      <x:c r="B1393" s="2" t="n">
        <x:v>1360</x:v>
      </x:c>
      <x:c r="C1393" s="2" t="str">
        <x:v>23211</x:v>
      </x:c>
      <x:c r="D1393" s="2" t="str">
        <x:v>RED ROCKING HORSE HAND PAINTED</x:v>
      </x:c>
      <x:c r="E1393" s="11" t="n">
        <x:v>2933.07</x:v>
      </x:c>
      <x:c r="F1393" s="11" t="n">
        <x:v>30</x:v>
      </x:c>
      <x:c r="G1393" s="11" t="n">
        <x:v>2903.07</x:v>
      </x:c>
      <x:c r="H1393" s="23" t="n">
        <x:v>0.00014284147583587062</x:v>
      </x:c>
      <x:c r="I1393" s="23" t="n">
        <x:v>0.8615248726045688</x:v>
      </x:c>
      <x:c r="J1393" s="2" t="n">
        <x:v>160</x:v>
      </x:c>
      <x:c r="K1393" s="2"/>
      <x:c r="L1393" s="2"/>
    </x:row>
    <x:row r="1394" ht="22" customHeight="1">
      <x:c r="A1394" s="2"/>
      <x:c r="B1394" s="2" t="n">
        <x:v>1361</x:v>
      </x:c>
      <x:c r="C1394" s="2" t="str">
        <x:v>22277</x:v>
      </x:c>
      <x:c r="D1394" s="2" t="str">
        <x:v>COSMETIC BAG VINTAGE ROSE PAISLEY</x:v>
      </x:c>
      <x:c r="E1394" s="11" t="n">
        <x:v>2931.69</x:v>
      </x:c>
      <x:c r="F1394" s="11" t="n">
        <x:v>4.2</x:v>
      </x:c>
      <x:c r="G1394" s="11" t="n">
        <x:v>2927.4900000000002</x:v>
      </x:c>
      <x:c r="H1394" s="23" t="n">
        <x:v>0.00014277426938097743</x:v>
      </x:c>
      <x:c r="I1394" s="23" t="n">
        <x:v>0.8616676468739498</x:v>
      </x:c>
      <x:c r="J1394" s="2" t="n">
        <x:v>250</x:v>
      </x:c>
      <x:c r="K1394" s="2"/>
      <x:c r="L1394" s="2"/>
    </x:row>
    <x:row r="1395" ht="22" customHeight="1">
      <x:c r="A1395" s="2"/>
      <x:c r="B1395" s="2" t="n">
        <x:v>1362</x:v>
      </x:c>
      <x:c r="C1395" s="2" t="str">
        <x:v>85049D</x:v>
      </x:c>
      <x:c r="D1395" s="2" t="str">
        <x:v>BRIGHT BLUES RIBBONS </x:v>
      </x:c>
      <x:c r="E1395" s="11" t="n">
        <x:v>2930.46</x:v>
      </x:c>
      <x:c r="F1395" s="11" t="n">
        <x:v>0</x:v>
      </x:c>
      <x:c r="G1395" s="11" t="n">
        <x:v>2930.46</x:v>
      </x:c>
      <x:c r="H1395" s="23" t="n">
        <x:v>0.00014271436797552917</x:v>
      </x:c>
      <x:c r="I1395" s="23" t="n">
        <x:v>0.8618103612419253</x:v>
      </x:c>
      <x:c r="J1395" s="2" t="n">
        <x:v>400</x:v>
      </x:c>
      <x:c r="K1395" s="2"/>
      <x:c r="L1395" s="2"/>
    </x:row>
    <x:row r="1396" ht="22" customHeight="1">
      <x:c r="A1396" s="2"/>
      <x:c r="B1396" s="2" t="n">
        <x:v>1363</x:v>
      </x:c>
      <x:c r="C1396" s="2" t="str">
        <x:v>21948</x:v>
      </x:c>
      <x:c r="D1396" s="2" t="str">
        <x:v>SET OF 6 CAKE CHOPSTICKS</x:v>
      </x:c>
      <x:c r="E1396" s="11" t="n">
        <x:v>2923.86</x:v>
      </x:c>
      <x:c r="F1396" s="11" t="n">
        <x:v>0</x:v>
      </x:c>
      <x:c r="G1396" s="11" t="n">
        <x:v>2923.86</x:v>
      </x:c>
      <x:c r="H1396" s="23" t="n">
        <x:v>0.00014239294579995317</x:v>
      </x:c>
      <x:c r="I1396" s="23" t="n">
        <x:v>0.8619527541877253</x:v>
      </x:c>
      <x:c r="J1396" s="2" t="n">
        <x:v>267</x:v>
      </x:c>
      <x:c r="K1396" s="2"/>
      <x:c r="L1396" s="2"/>
    </x:row>
    <x:row r="1397" ht="22" customHeight="1">
      <x:c r="A1397" s="2"/>
      <x:c r="B1397" s="2" t="n">
        <x:v>1364</x:v>
      </x:c>
      <x:c r="C1397" s="2" t="str">
        <x:v>21214</x:v>
      </x:c>
      <x:c r="D1397" s="2" t="str">
        <x:v>SET OF 72 IVORY PAPER DOILIES</x:v>
      </x:c>
      <x:c r="E1397" s="11" t="n">
        <x:v>2922.27</x:v>
      </x:c>
      <x:c r="F1397" s="11" t="n">
        <x:v>1.45</x:v>
      </x:c>
      <x:c r="G1397" s="11" t="n">
        <x:v>2920.8199999999997</x:v>
      </x:c>
      <x:c r="H1397" s="23" t="n">
        <x:v>0.00014231551227583713</x:v>
      </x:c>
      <x:c r="I1397" s="23" t="n">
        <x:v>0.8620950697000012</x:v>
      </x:c>
      <x:c r="J1397" s="2" t="n">
        <x:v>199</x:v>
      </x:c>
      <x:c r="K1397" s="2"/>
      <x:c r="L1397" s="2"/>
    </x:row>
    <x:row r="1398" ht="22" customHeight="1">
      <x:c r="A1398" s="2"/>
      <x:c r="B1398" s="2" t="n">
        <x:v>1365</x:v>
      </x:c>
      <x:c r="C1398" s="2" t="str">
        <x:v>23056</x:v>
      </x:c>
      <x:c r="D1398" s="2" t="str">
        <x:v>FLOWERS CHANDELIER T-LIGHT HOLDER</x:v>
      </x:c>
      <x:c r="E1398" s="11" t="n">
        <x:v>2916.87</x:v>
      </x:c>
      <x:c r="F1398" s="11" t="n">
        <x:v>1859.07</x:v>
      </x:c>
      <x:c r="G1398" s="11" t="n">
        <x:v>1057.8000000000002</x:v>
      </x:c>
      <x:c r="H1398" s="23" t="n">
        <x:v>0.00014205253049582038</x:v>
      </x:c>
      <x:c r="I1398" s="23" t="n">
        <x:v>0.862237122230497</x:v>
      </x:c>
      <x:c r="J1398" s="2" t="n">
        <x:v>39</x:v>
      </x:c>
      <x:c r="K1398" s="2"/>
      <x:c r="L1398" s="2"/>
    </x:row>
    <x:row r="1399" ht="22" customHeight="1">
      <x:c r="A1399" s="2"/>
      <x:c r="B1399" s="2" t="n">
        <x:v>1366</x:v>
      </x:c>
      <x:c r="C1399" s="2" t="str">
        <x:v>21821</x:v>
      </x:c>
      <x:c r="D1399" s="2" t="str">
        <x:v>GLITTER STAR GARLAND WITH BELLS </x:v>
      </x:c>
      <x:c r="E1399" s="11" t="n">
        <x:v>2915.35</x:v>
      </x:c>
      <x:c r="F1399" s="11" t="n">
        <x:v>48.75</x:v>
      </x:c>
      <x:c r="G1399" s="11" t="n">
        <x:v>2866.6</x:v>
      </x:c>
      <x:c r="H1399" s="23" t="n">
        <x:v>0.00014197850599477862</x:v>
      </x:c>
      <x:c r="I1399" s="23" t="n">
        <x:v>0.8623791007364917</x:v>
      </x:c>
      <x:c r="J1399" s="2" t="n">
        <x:v>153</x:v>
      </x:c>
      <x:c r="K1399" s="2"/>
      <x:c r="L1399" s="2"/>
    </x:row>
    <x:row r="1400" ht="22" customHeight="1">
      <x:c r="A1400" s="2"/>
      <x:c r="B1400" s="2" t="n">
        <x:v>1367</x:v>
      </x:c>
      <x:c r="C1400" s="2" t="str">
        <x:v>22518</x:v>
      </x:c>
      <x:c r="D1400" s="2" t="str">
        <x:v>CHILDS GARDEN BRUSH BLUE</x:v>
      </x:c>
      <x:c r="E1400" s="11" t="n">
        <x:v>2914.5000000000005</x:v>
      </x:c>
      <x:c r="F1400" s="11" t="n">
        <x:v>0</x:v>
      </x:c>
      <x:c r="G1400" s="11" t="n">
        <x:v>2914.5000000000005</x:v>
      </x:c>
      <x:c r="H1400" s="23" t="n">
        <x:v>0.00014193711071459084</x:v>
      </x:c>
      <x:c r="I1400" s="23" t="n">
        <x:v>0.8625210378472064</x:v>
      </x:c>
      <x:c r="J1400" s="2" t="n">
        <x:v>266</x:v>
      </x:c>
      <x:c r="K1400" s="2"/>
      <x:c r="L1400" s="2"/>
    </x:row>
    <x:row r="1401" ht="22" customHeight="1">
      <x:c r="A1401" s="2"/>
      <x:c r="B1401" s="2" t="n">
        <x:v>1368</x:v>
      </x:c>
      <x:c r="C1401" s="2" t="str">
        <x:v>22955</x:v>
      </x:c>
      <x:c r="D1401" s="2" t="str">
        <x:v>36 FOIL STAR CAKE CASES </x:v>
      </x:c>
      <x:c r="E1401" s="11" t="n">
        <x:v>2908.36</x:v>
      </x:c>
      <x:c r="F1401" s="11" t="n">
        <x:v>0</x:v>
      </x:c>
      <x:c r="G1401" s="11" t="n">
        <x:v>2908.36</x:v>
      </x:c>
      <x:c r="H1401" s="23" t="n">
        <x:v>0.00014163809069064586</x:v>
      </x:c>
      <x:c r="I1401" s="23" t="n">
        <x:v>0.862662675937897</x:v>
      </x:c>
      <x:c r="J1401" s="2" t="n">
        <x:v>185</x:v>
      </x:c>
      <x:c r="K1401" s="2"/>
      <x:c r="L1401" s="2"/>
    </x:row>
    <x:row r="1402" ht="22" customHeight="1">
      <x:c r="A1402" s="2"/>
      <x:c r="B1402" s="2" t="n">
        <x:v>1369</x:v>
      </x:c>
      <x:c r="C1402" s="2" t="str">
        <x:v>22293</x:v>
      </x:c>
      <x:c r="D1402" s="2" t="str">
        <x:v>HANGING CHICK GREEN DECORATION</x:v>
      </x:c>
      <x:c r="E1402" s="11" t="n">
        <x:v>2903.7</x:v>
      </x:c>
      <x:c r="F1402" s="11" t="n">
        <x:v>34.8</x:v>
      </x:c>
      <x:c r="G1402" s="11" t="n">
        <x:v>2868.8999999999996</x:v>
      </x:c>
      <x:c r="H1402" s="23" t="n">
        <x:v>0.00014141114715455732</x:v>
      </x:c>
      <x:c r="I1402" s="23" t="n">
        <x:v>0.8628040870850516</x:v>
      </x:c>
      <x:c r="J1402" s="2" t="n">
        <x:v>225</x:v>
      </x:c>
      <x:c r="K1402" s="2"/>
      <x:c r="L1402" s="2"/>
    </x:row>
    <x:row r="1403" ht="22" customHeight="1">
      <x:c r="A1403" s="2"/>
      <x:c r="B1403" s="2" t="n">
        <x:v>1370</x:v>
      </x:c>
      <x:c r="C1403" s="2" t="str">
        <x:v>23290</x:v>
      </x:c>
      <x:c r="D1403" s="2" t="str">
        <x:v>SPACEBOY CHILDRENS BOWL</x:v>
      </x:c>
      <x:c r="E1403" s="11" t="n">
        <x:v>2899.1000000000004</x:v>
      </x:c>
      <x:c r="F1403" s="11" t="n">
        <x:v>12.5</x:v>
      </x:c>
      <x:c r="G1403" s="11" t="n">
        <x:v>2886.6000000000004</x:v>
      </x:c>
      <x:c r="H1403" s="23" t="n">
        <x:v>0.0001411871256382468</x:v>
      </x:c>
      <x:c r="I1403" s="23" t="n">
        <x:v>0.8629452742106899</x:v>
      </x:c>
      <x:c r="J1403" s="2" t="n">
        <x:v>214</x:v>
      </x:c>
      <x:c r="K1403" s="2"/>
      <x:c r="L1403" s="2"/>
    </x:row>
    <x:row r="1404" ht="22" customHeight="1">
      <x:c r="A1404" s="2"/>
      <x:c r="B1404" s="2" t="n">
        <x:v>1371</x:v>
      </x:c>
      <x:c r="C1404" s="2" t="str">
        <x:v>22897</x:v>
      </x:c>
      <x:c r="D1404" s="2" t="str">
        <x:v>OVEN MITT APPLES DESIGN</x:v>
      </x:c>
      <x:c r="E1404" s="11" t="n">
        <x:v>2897.65</x:v>
      </x:c>
      <x:c r="F1404" s="11" t="n">
        <x:v>60.9</x:v>
      </x:c>
      <x:c r="G1404" s="11" t="n">
        <x:v>2836.75</x:v>
      </x:c>
      <x:c r="H1404" s="23" t="n">
        <x:v>0.00014111651016027933</x:v>
      </x:c>
      <x:c r="I1404" s="23" t="n">
        <x:v>0.8630863907208501</x:v>
      </x:c>
      <x:c r="J1404" s="2" t="n">
        <x:v>298</x:v>
      </x:c>
      <x:c r="K1404" s="2"/>
      <x:c r="L1404" s="2"/>
    </x:row>
    <x:row r="1405" ht="22" customHeight="1">
      <x:c r="A1405" s="2"/>
      <x:c r="B1405" s="2" t="n">
        <x:v>1372</x:v>
      </x:c>
      <x:c r="C1405" s="2" t="str">
        <x:v>22184</x:v>
      </x:c>
      <x:c r="D1405" s="2" t="str">
        <x:v>CAKE STAND VICTORIAN FILIGREE LARGE</x:v>
      </x:c>
      <x:c r="E1405" s="11" t="n">
        <x:v>2895.57</x:v>
      </x:c>
      <x:c r="F1405" s="11" t="n">
        <x:v>134.8</x:v>
      </x:c>
      <x:c r="G1405" s="11" t="n">
        <x:v>2760.77</x:v>
      </x:c>
      <x:c r="H1405" s="23" t="n">
        <x:v>0.00014101521347464324</x:v>
      </x:c>
      <x:c r="I1405" s="23" t="n">
        <x:v>0.8632274059343248</x:v>
      </x:c>
      <x:c r="J1405" s="2" t="n">
        <x:v>146</x:v>
      </x:c>
      <x:c r="K1405" s="2"/>
      <x:c r="L1405" s="2"/>
    </x:row>
    <x:row r="1406" ht="22" customHeight="1">
      <x:c r="A1406" s="2"/>
      <x:c r="B1406" s="2" t="n">
        <x:v>1373</x:v>
      </x:c>
      <x:c r="C1406" s="2" t="str">
        <x:v>23345</x:v>
      </x:c>
      <x:c r="D1406" s="2" t="str">
        <x:v> DOLLY GIRL BEAKER</x:v>
      </x:c>
      <x:c r="E1406" s="11" t="n">
        <x:v>2891.25</x:v>
      </x:c>
      <x:c r="F1406" s="11" t="n">
        <x:v>8.75</x:v>
      </x:c>
      <x:c r="G1406" s="11" t="n">
        <x:v>2882.5</x:v>
      </x:c>
      <x:c r="H1406" s="23" t="n">
        <x:v>0.00014080482805062984</x:v>
      </x:c>
      <x:c r="I1406" s="23" t="n">
        <x:v>0.8633682107623755</x:v>
      </x:c>
      <x:c r="J1406" s="2" t="n">
        <x:v>174</x:v>
      </x:c>
      <x:c r="K1406" s="2"/>
      <x:c r="L1406" s="2"/>
    </x:row>
    <x:row r="1407" ht="22" customHeight="1">
      <x:c r="A1407" s="2"/>
      <x:c r="B1407" s="2" t="n">
        <x:v>1374</x:v>
      </x:c>
      <x:c r="C1407" s="2" t="str">
        <x:v>20752</x:v>
      </x:c>
      <x:c r="D1407" s="2" t="str">
        <x:v>BLUE POLKADOT WASHING UP GLOVES</x:v>
      </x:c>
      <x:c r="E1407" s="11" t="n">
        <x:v>2887.1000000000004</x:v>
      </x:c>
      <x:c r="F1407" s="11" t="n">
        <x:v>6.300000000000001</x:v>
      </x:c>
      <x:c r="G1407" s="11" t="n">
        <x:v>2880.8</x:v>
      </x:c>
      <x:c r="H1407" s="23" t="n">
        <x:v>0.00014060272168265405</x:v>
      </x:c>
      <x:c r="I1407" s="23" t="n">
        <x:v>0.8635088134840582</x:v>
      </x:c>
      <x:c r="J1407" s="2" t="n">
        <x:v>358</x:v>
      </x:c>
      <x:c r="K1407" s="2"/>
      <x:c r="L1407" s="2"/>
    </x:row>
    <x:row r="1408" ht="22" customHeight="1">
      <x:c r="A1408" s="2"/>
      <x:c r="B1408" s="2" t="n">
        <x:v>1375</x:v>
      </x:c>
      <x:c r="C1408" s="2" t="str">
        <x:v>21709</x:v>
      </x:c>
      <x:c r="D1408" s="2" t="str">
        <x:v>FOLDING UMBRELLA CHOCOLATE POLKADOT</x:v>
      </x:c>
      <x:c r="E1408" s="11" t="n">
        <x:v>2886.62</x:v>
      </x:c>
      <x:c r="F1408" s="11" t="n">
        <x:v>0</x:v>
      </x:c>
      <x:c r="G1408" s="11" t="n">
        <x:v>2886.62</x:v>
      </x:c>
      <x:c r="H1408" s="23" t="n">
        <x:v>0.0001405793455244303</x:v>
      </x:c>
      <x:c r="I1408" s="23" t="n">
        <x:v>0.8636493928295826</x:v>
      </x:c>
      <x:c r="J1408" s="2" t="n">
        <x:v>117</x:v>
      </x:c>
      <x:c r="K1408" s="2"/>
      <x:c r="L1408" s="2"/>
    </x:row>
    <x:row r="1409" ht="22" customHeight="1">
      <x:c r="A1409" s="2"/>
      <x:c r="B1409" s="2" t="n">
        <x:v>1376</x:v>
      </x:c>
      <x:c r="C1409" s="2" t="str">
        <x:v>22811</x:v>
      </x:c>
      <x:c r="D1409" s="2" t="str">
        <x:v>SET OF 6 T-LIGHTS CACTI </x:v>
      </x:c>
      <x:c r="E1409" s="11" t="n">
        <x:v>2884.13</x:v>
      </x:c>
      <x:c r="F1409" s="11" t="n">
        <x:v>2.95</x:v>
      </x:c>
      <x:c r="G1409" s="11" t="n">
        <x:v>2881.18</x:v>
      </x:c>
      <x:c r="H1409" s="23" t="n">
        <x:v>0.00014045808170364482</x:v>
      </x:c>
      <x:c r="I1409" s="23" t="n">
        <x:v>0.8637898509112862</x:v>
      </x:c>
      <x:c r="J1409" s="2" t="n">
        <x:v>140</x:v>
      </x:c>
      <x:c r="K1409" s="2"/>
      <x:c r="L1409" s="2"/>
    </x:row>
    <x:row r="1410" ht="22" customHeight="1">
      <x:c r="A1410" s="2"/>
      <x:c r="B1410" s="2" t="n">
        <x:v>1377</x:v>
      </x:c>
      <x:c r="C1410" s="2" t="str">
        <x:v>21688</x:v>
      </x:c>
      <x:c r="D1410" s="2" t="str">
        <x:v>mixed up</x:v>
      </x:c>
      <x:c r="E1410" s="11" t="n">
        <x:v>2881.05</x:v>
      </x:c>
      <x:c r="F1410" s="11" t="n">
        <x:v>17.700000000000003</x:v>
      </x:c>
      <x:c r="G1410" s="11" t="n">
        <x:v>2863.3500000000004</x:v>
      </x:c>
      <x:c r="H1410" s="23" t="n">
        <x:v>0.000140308084688376</x:v>
      </x:c>
      <x:c r="I1410" s="23" t="n">
        <x:v>0.8639301589959746</x:v>
      </x:c>
      <x:c r="J1410" s="2" t="n">
        <x:v>142</x:v>
      </x:c>
      <x:c r="K1410" s="2"/>
      <x:c r="L1410" s="2"/>
    </x:row>
    <x:row r="1411" ht="22" customHeight="1">
      <x:c r="A1411" s="2"/>
      <x:c r="B1411" s="2" t="n">
        <x:v>1378</x:v>
      </x:c>
      <x:c r="C1411" s="2" t="str">
        <x:v>21465</x:v>
      </x:c>
      <x:c r="D1411" s="2" t="str">
        <x:v>PINK FLOWER CROCHET FOOD COVER</x:v>
      </x:c>
      <x:c r="E1411" s="11" t="n">
        <x:v>2879.3900000000003</x:v>
      </x:c>
      <x:c r="F1411" s="11" t="n">
        <x:v>7.5</x:v>
      </x:c>
      <x:c r="G1411" s="11" t="n">
        <x:v>2871.8900000000003</x:v>
      </x:c>
      <x:c r="H1411" s="23" t="n">
        <x:v>0.0001402272421411857</x:v>
      </x:c>
      <x:c r="I1411" s="23" t="n">
        <x:v>0.8640703862381157</x:v>
      </x:c>
      <x:c r="J1411" s="2" t="n">
        <x:v>187</x:v>
      </x:c>
      <x:c r="K1411" s="2"/>
      <x:c r="L1411" s="2"/>
    </x:row>
    <x:row r="1412" ht="22" customHeight="1">
      <x:c r="A1412" s="2"/>
      <x:c r="B1412" s="2" t="n">
        <x:v>1379</x:v>
      </x:c>
      <x:c r="C1412" s="2" t="str">
        <x:v>22949</x:v>
      </x:c>
      <x:c r="D1412" s="2" t="str">
        <x:v>SET OF 36 DOLLY GIRL PAPER DOILIES</x:v>
      </x:c>
      <x:c r="E1412" s="11" t="n">
        <x:v>2875.5899999999997</x:v>
      </x:c>
      <x:c r="F1412" s="11" t="n">
        <x:v>26.099999999999998</x:v>
      </x:c>
      <x:c r="G1412" s="11" t="n">
        <x:v>2849.49</x:v>
      </x:c>
      <x:c r="H1412" s="23" t="n">
        <x:v>0.0001400421808885813</x:v>
      </x:c>
      <x:c r="I1412" s="23" t="n">
        <x:v>0.8642104284190043</x:v>
      </x:c>
      <x:c r="J1412" s="2" t="n">
        <x:v>177</x:v>
      </x:c>
      <x:c r="K1412" s="2"/>
      <x:c r="L1412" s="2"/>
    </x:row>
    <x:row r="1413" ht="22" customHeight="1">
      <x:c r="A1413" s="2"/>
      <x:c r="B1413" s="2" t="n">
        <x:v>1380</x:v>
      </x:c>
      <x:c r="C1413" s="2" t="str">
        <x:v>23427</x:v>
      </x:c>
      <x:c r="D1413" s="2" t="str">
        <x:v>STOOL HOME SWEET HOME </x:v>
      </x:c>
      <x:c r="E1413" s="11" t="n">
        <x:v>2873.08</x:v>
      </x:c>
      <x:c r="F1413" s="11" t="n">
        <x:v>22.9</x:v>
      </x:c>
      <x:c r="G1413" s="11" t="n">
        <x:v>2850.18</x:v>
      </x:c>
      <x:c r="H1413" s="23" t="n">
        <x:v>0.00013991994306120314</x:v>
      </x:c>
      <x:c r="I1413" s="23" t="n">
        <x:v>0.8643503483620655</x:v>
      </x:c>
      <x:c r="J1413" s="2" t="n">
        <x:v>114</x:v>
      </x:c>
      <x:c r="K1413" s="2"/>
      <x:c r="L1413" s="2"/>
    </x:row>
    <x:row r="1414" ht="22" customHeight="1">
      <x:c r="A1414" s="2"/>
      <x:c r="B1414" s="2" t="n">
        <x:v>1381</x:v>
      </x:c>
      <x:c r="C1414" s="2" t="str">
        <x:v>22480</x:v>
      </x:c>
      <x:c r="D1414" s="2" t="str">
        <x:v>RED TEA TOWEL CLASSIC DESIGN</x:v>
      </x:c>
      <x:c r="E1414" s="11" t="n">
        <x:v>2873.06</x:v>
      </x:c>
      <x:c r="F1414" s="11" t="n">
        <x:v>0</x:v>
      </x:c>
      <x:c r="G1414" s="11" t="n">
        <x:v>2873.06</x:v>
      </x:c>
      <x:c r="H1414" s="23" t="n">
        <x:v>0.00013991896905461048</x:v>
      </x:c>
      <x:c r="I1414" s="23" t="n">
        <x:v>0.8644902673311201</x:v>
      </x:c>
      <x:c r="J1414" s="2" t="n">
        <x:v>263</x:v>
      </x:c>
      <x:c r="K1414" s="2"/>
      <x:c r="L1414" s="2"/>
    </x:row>
    <x:row r="1415" ht="22" customHeight="1">
      <x:c r="A1415" s="2"/>
      <x:c r="B1415" s="2" t="n">
        <x:v>1382</x:v>
      </x:c>
      <x:c r="C1415" s="2" t="str">
        <x:v>21324</x:v>
      </x:c>
      <x:c r="D1415" s="2" t="str">
        <x:v>HANGING MEDINA LANTERN SMALL</x:v>
      </x:c>
      <x:c r="E1415" s="11" t="n">
        <x:v>2869.31</x:v>
      </x:c>
      <x:c r="F1415" s="11" t="n">
        <x:v>140.1</x:v>
      </x:c>
      <x:c r="G1415" s="11" t="n">
        <x:v>2729.21</x:v>
      </x:c>
      <x:c r="H1415" s="23" t="n">
        <x:v>0.00013973634281848774</x:v>
      </x:c>
      <x:c r="I1415" s="23" t="n">
        <x:v>0.8646300036739386</x:v>
      </x:c>
      <x:c r="J1415" s="2" t="n">
        <x:v>175</x:v>
      </x:c>
      <x:c r="K1415" s="2"/>
      <x:c r="L1415" s="2"/>
    </x:row>
    <x:row r="1416" ht="22" customHeight="1">
      <x:c r="A1416" s="2"/>
      <x:c r="B1416" s="2" t="n">
        <x:v>1383</x:v>
      </x:c>
      <x:c r="C1416" s="2" t="str">
        <x:v>23212</x:v>
      </x:c>
      <x:c r="D1416" s="2" t="str">
        <x:v>HEART WREATH DECORATION WITH BELL</x:v>
      </x:c>
      <x:c r="E1416" s="11" t="n">
        <x:v>2865.89</x:v>
      </x:c>
      <x:c r="F1416" s="11" t="n">
        <x:v>75</x:v>
      </x:c>
      <x:c r="G1416" s="11" t="n">
        <x:v>2790.89</x:v>
      </x:c>
      <x:c r="H1416" s="23" t="n">
        <x:v>0.00013956978769114382</x:v>
      </x:c>
      <x:c r="I1416" s="23" t="n">
        <x:v>0.8647695734616297</x:v>
      </x:c>
      <x:c r="J1416" s="2" t="n">
        <x:v>186</x:v>
      </x:c>
      <x:c r="K1416" s="2"/>
      <x:c r="L1416" s="2"/>
    </x:row>
    <x:row r="1417" ht="22" customHeight="1">
      <x:c r="A1417" s="2"/>
      <x:c r="B1417" s="2" t="n">
        <x:v>1384</x:v>
      </x:c>
      <x:c r="C1417" s="2" t="str">
        <x:v>22581</x:v>
      </x:c>
      <x:c r="D1417" s="2" t="str">
        <x:v>WOOD STOCKING CHRISTMAS SCANDISPOT</x:v>
      </x:c>
      <x:c r="E1417" s="11" t="n">
        <x:v>2861.98</x:v>
      </x:c>
      <x:c r="F1417" s="11" t="n">
        <x:v>1.7</x:v>
      </x:c>
      <x:c r="G1417" s="11" t="n">
        <x:v>2860.2799999999997</x:v>
      </x:c>
      <x:c r="H1417" s="23" t="n">
        <x:v>0.00013937936940227984</x:v>
      </x:c>
      <x:c r="I1417" s="23" t="n">
        <x:v>0.864908952831032</x:v>
      </x:c>
      <x:c r="J1417" s="2" t="n">
        <x:v>380</x:v>
      </x:c>
      <x:c r="K1417" s="2"/>
      <x:c r="L1417" s="2"/>
    </x:row>
    <x:row r="1418" ht="22" customHeight="1">
      <x:c r="A1418" s="2"/>
      <x:c r="B1418" s="2" t="n">
        <x:v>1385</x:v>
      </x:c>
      <x:c r="C1418" s="2" t="str">
        <x:v>21424</x:v>
      </x:c>
      <x:c r="D1418" s="2" t="str">
        <x:v>WOODLAND STORAGE BOX LARGE </x:v>
      </x:c>
      <x:c r="E1418" s="11" t="n">
        <x:v>2861.64</x:v>
      </x:c>
      <x:c r="F1418" s="11" t="n">
        <x:v>151.9</x:v>
      </x:c>
      <x:c r="G1418" s="11" t="n">
        <x:v>2709.7400000000002</x:v>
      </x:c>
      <x:c r="H1418" s="23" t="n">
        <x:v>0.00013936281129020472</x:v>
      </x:c>
      <x:c r="I1418" s="23" t="n">
        <x:v>0.8650483156423222</x:v>
      </x:c>
      <x:c r="J1418" s="2" t="n">
        <x:v>142</x:v>
      </x:c>
      <x:c r="K1418" s="2"/>
      <x:c r="L1418" s="2"/>
    </x:row>
    <x:row r="1419" ht="22" customHeight="1">
      <x:c r="A1419" s="2"/>
      <x:c r="B1419" s="2" t="n">
        <x:v>1386</x:v>
      </x:c>
      <x:c r="C1419" s="2" t="str">
        <x:v>23504</x:v>
      </x:c>
      <x:c r="D1419" s="2" t="str">
        <x:v>PLAYING CARDS JUBILEE UNION JACK</x:v>
      </x:c>
      <x:c r="E1419" s="11" t="n">
        <x:v>2857.64</x:v>
      </x:c>
      <x:c r="F1419" s="11" t="n">
        <x:v>0</x:v>
      </x:c>
      <x:c r="G1419" s="11" t="n">
        <x:v>2857.64</x:v>
      </x:c>
      <x:c r="H1419" s="23" t="n">
        <x:v>0.0001391680099716738</x:v>
      </x:c>
      <x:c r="I1419" s="23" t="n">
        <x:v>0.8651874836522939</x:v>
      </x:c>
      <x:c r="J1419" s="2" t="n">
        <x:v>208</x:v>
      </x:c>
      <x:c r="K1419" s="2"/>
      <x:c r="L1419" s="2"/>
    </x:row>
    <x:row r="1420" ht="22" customHeight="1">
      <x:c r="A1420" s="2"/>
      <x:c r="B1420" s="2" t="n">
        <x:v>1387</x:v>
      </x:c>
      <x:c r="C1420" s="2" t="str">
        <x:v>22983</x:v>
      </x:c>
      <x:c r="D1420" s="2" t="str">
        <x:v>CARD BILLBOARD FONT</x:v>
      </x:c>
      <x:c r="E1420" s="11" t="n">
        <x:v>2853.63</x:v>
      </x:c>
      <x:c r="F1420" s="11" t="n">
        <x:v>68.75999999999999</x:v>
      </x:c>
      <x:c r="G1420" s="11" t="n">
        <x:v>2784.87</x:v>
      </x:c>
      <x:c r="H1420" s="23" t="n">
        <x:v>0.00013897272164984655</x:v>
      </x:c>
      <x:c r="I1420" s="23" t="n">
        <x:v>0.8653264563739438</x:v>
      </x:c>
      <x:c r="J1420" s="2" t="n">
        <x:v>551</x:v>
      </x:c>
      <x:c r="K1420" s="2"/>
      <x:c r="L1420" s="2"/>
    </x:row>
    <x:row r="1421" ht="22" customHeight="1">
      <x:c r="A1421" s="2"/>
      <x:c r="B1421" s="2" t="n">
        <x:v>1388</x:v>
      </x:c>
      <x:c r="C1421" s="2" t="str">
        <x:v>22930</x:v>
      </x:c>
      <x:c r="D1421" s="2" t="str">
        <x:v>BAKING MOULD HEART MILK CHOCOLATE</x:v>
      </x:c>
      <x:c r="E1421" s="11" t="n">
        <x:v>2849.35</x:v>
      </x:c>
      <x:c r="F1421" s="11" t="n">
        <x:v>201.60000000000002</x:v>
      </x:c>
      <x:c r="G1421" s="11" t="n">
        <x:v>2647.75</x:v>
      </x:c>
      <x:c r="H1421" s="23" t="n">
        <x:v>0.00013876428423901846</x:v>
      </x:c>
      <x:c r="I1421" s="23" t="n">
        <x:v>0.8654652206581828</x:v>
      </x:c>
      <x:c r="J1421" s="2" t="n">
        <x:v>189</x:v>
      </x:c>
      <x:c r="K1421" s="2"/>
      <x:c r="L1421" s="2"/>
    </x:row>
    <x:row r="1422" ht="22" customHeight="1">
      <x:c r="A1422" s="2"/>
      <x:c r="B1422" s="2" t="n">
        <x:v>1389</x:v>
      </x:c>
      <x:c r="C1422" s="2" t="str">
        <x:v>23196</x:v>
      </x:c>
      <x:c r="D1422" s="2" t="str">
        <x:v>VINTAGE LEAF MAGNETIC NOTEPAD</x:v>
      </x:c>
      <x:c r="E1422" s="11" t="n">
        <x:v>2848.04</x:v>
      </x:c>
      <x:c r="F1422" s="11" t="n">
        <x:v>18.849999999999998</x:v>
      </x:c>
      <x:c r="G1422" s="11" t="n">
        <x:v>2829.19</x:v>
      </x:c>
      <x:c r="H1422" s="23" t="n">
        <x:v>0.0001387004868071996</x:v>
      </x:c>
      <x:c r="I1422" s="23" t="n">
        <x:v>0.86560392114499</x:v>
      </x:c>
      <x:c r="J1422" s="2" t="n">
        <x:v>298</x:v>
      </x:c>
      <x:c r="K1422" s="2"/>
      <x:c r="L1422" s="2"/>
    </x:row>
    <x:row r="1423" ht="22" customHeight="1">
      <x:c r="A1423" s="2"/>
      <x:c r="B1423" s="2" t="n">
        <x:v>1390</x:v>
      </x:c>
      <x:c r="C1423" s="2" t="str">
        <x:v>21439</x:v>
      </x:c>
      <x:c r="D1423" s="2" t="str">
        <x:v>BASKET OF TOADSTOOLS</x:v>
      </x:c>
      <x:c r="E1423" s="11" t="n">
        <x:v>2838.79</x:v>
      </x:c>
      <x:c r="F1423" s="11" t="n">
        <x:v>432.48</x:v>
      </x:c>
      <x:c r="G1423" s="11" t="n">
        <x:v>2406.31</x:v>
      </x:c>
      <x:c r="H1423" s="23" t="n">
        <x:v>0.00013825000875809684</x:v>
      </x:c>
      <x:c r="I1423" s="23" t="n">
        <x:v>0.8657421711537481</x:v>
      </x:c>
      <x:c r="J1423" s="2" t="n">
        <x:v>240</x:v>
      </x:c>
      <x:c r="K1423" s="2"/>
      <x:c r="L1423" s="2"/>
    </x:row>
    <x:row r="1424" ht="22" customHeight="1">
      <x:c r="A1424" s="2"/>
      <x:c r="B1424" s="2" t="n">
        <x:v>1391</x:v>
      </x:c>
      <x:c r="C1424" s="2" t="str">
        <x:v>22576</x:v>
      </x:c>
      <x:c r="D1424" s="2" t="str">
        <x:v>SWALLOW WOODEN CHRISTMAS DECORATION</x:v>
      </x:c>
      <x:c r="E1424" s="11" t="n">
        <x:v>2838.48</x:v>
      </x:c>
      <x:c r="F1424" s="11" t="n">
        <x:v>5.1</x:v>
      </x:c>
      <x:c r="G1424" s="11" t="n">
        <x:v>2833.3799999999997</x:v>
      </x:c>
      <x:c r="H1424" s="23" t="n">
        <x:v>0.0001382349116559107</x:v>
      </x:c>
      <x:c r="I1424" s="23" t="n">
        <x:v>0.865880406065404</x:v>
      </x:c>
      <x:c r="J1424" s="2" t="n">
        <x:v>330</x:v>
      </x:c>
      <x:c r="K1424" s="2"/>
      <x:c r="L1424" s="2"/>
    </x:row>
    <x:row r="1425" ht="22" customHeight="1">
      <x:c r="A1425" s="2"/>
      <x:c r="B1425" s="2" t="n">
        <x:v>1392</x:v>
      </x:c>
      <x:c r="C1425" s="2" t="str">
        <x:v>22710</x:v>
      </x:c>
      <x:c r="D1425" s="2" t="str">
        <x:v>WRAP I LOVE LONDON </x:v>
      </x:c>
      <x:c r="E1425" s="11" t="n">
        <x:v>2821.28</x:v>
      </x:c>
      <x:c r="F1425" s="11" t="n">
        <x:v>52.5</x:v>
      </x:c>
      <x:c r="G1425" s="11" t="n">
        <x:v>2768.78</x:v>
      </x:c>
      <x:c r="H1425" s="23" t="n">
        <x:v>0.00013739726598622777</x:v>
      </x:c>
      <x:c r="I1425" s="23" t="n">
        <x:v>0.8660178033313902</x:v>
      </x:c>
      <x:c r="J1425" s="2" t="n">
        <x:v>173</x:v>
      </x:c>
      <x:c r="K1425" s="2"/>
      <x:c r="L1425" s="2"/>
    </x:row>
    <x:row r="1426" ht="22" customHeight="1">
      <x:c r="A1426" s="2"/>
      <x:c r="B1426" s="2" t="n">
        <x:v>1393</x:v>
      </x:c>
      <x:c r="C1426" s="2" t="str">
        <x:v>35001W</x:v>
      </x:c>
      <x:c r="D1426" s="2" t="str">
        <x:v>HAND OPEN SHAPE DECO.WHITE</x:v>
      </x:c>
      <x:c r="E1426" s="11" t="n">
        <x:v>2820.65</x:v>
      </x:c>
      <x:c r="F1426" s="11" t="n">
        <x:v>66.81</x:v>
      </x:c>
      <x:c r="G1426" s="11" t="n">
        <x:v>2753.84</x:v>
      </x:c>
      <x:c r="H1426" s="23" t="n">
        <x:v>0.00013736658477855914</x:v>
      </x:c>
      <x:c r="I1426" s="23" t="n">
        <x:v>0.8661551699161688</x:v>
      </x:c>
      <x:c r="J1426" s="2" t="n">
        <x:v>190</x:v>
      </x:c>
      <x:c r="K1426" s="2"/>
      <x:c r="L1426" s="2"/>
    </x:row>
    <x:row r="1427" ht="22" customHeight="1">
      <x:c r="A1427" s="2"/>
      <x:c r="B1427" s="2" t="n">
        <x:v>1394</x:v>
      </x:c>
      <x:c r="C1427" s="2" t="str">
        <x:v>22217</x:v>
      </x:c>
      <x:c r="D1427" s="2" t="str">
        <x:v>T-LIGHT HOLDER HANGING LACE</x:v>
      </x:c>
      <x:c r="E1427" s="11" t="n">
        <x:v>2819.81</x:v>
      </x:c>
      <x:c r="F1427" s="11" t="n">
        <x:v>70</x:v>
      </x:c>
      <x:c r="G1427" s="11" t="n">
        <x:v>2749.81</x:v>
      </x:c>
      <x:c r="H1427" s="23" t="n">
        <x:v>0.00013732567650166764</x:v>
      </x:c>
      <x:c r="I1427" s="23" t="n">
        <x:v>0.8662924955926705</x:v>
      </x:c>
      <x:c r="J1427" s="2" t="n">
        <x:v>214</x:v>
      </x:c>
      <x:c r="K1427" s="2"/>
      <x:c r="L1427" s="2"/>
    </x:row>
    <x:row r="1428" ht="22" customHeight="1">
      <x:c r="A1428" s="2"/>
      <x:c r="B1428" s="2" t="n">
        <x:v>1395</x:v>
      </x:c>
      <x:c r="C1428" s="2" t="str">
        <x:v>21508</x:v>
      </x:c>
      <x:c r="D1428" s="2" t="str">
        <x:v>VINTAGE KID DOLLY CARD </x:v>
      </x:c>
      <x:c r="E1428" s="11" t="n">
        <x:v>2818.7</x:v>
      </x:c>
      <x:c r="F1428" s="11" t="n">
        <x:v>5.04</x:v>
      </x:c>
      <x:c r="G1428" s="11" t="n">
        <x:v>2813.66</x:v>
      </x:c>
      <x:c r="H1428" s="23" t="n">
        <x:v>0.0001372716191357753</x:v>
      </x:c>
      <x:c r="I1428" s="23" t="n">
        <x:v>0.8664297672118063</x:v>
      </x:c>
      <x:c r="J1428" s="2" t="n">
        <x:v>541</x:v>
      </x:c>
      <x:c r="K1428" s="2"/>
      <x:c r="L1428" s="2"/>
    </x:row>
    <x:row r="1429" ht="22" customHeight="1">
      <x:c r="A1429" s="2"/>
      <x:c r="B1429" s="2" t="n">
        <x:v>1396</x:v>
      </x:c>
      <x:c r="C1429" s="2" t="str">
        <x:v>22671</x:v>
      </x:c>
      <x:c r="D1429" s="2" t="str">
        <x:v>FRENCH LAUNDRY SIGN BLUE METAL</x:v>
      </x:c>
      <x:c r="E1429" s="11" t="n">
        <x:v>2817.9399999999996</x:v>
      </x:c>
      <x:c r="F1429" s="11" t="n">
        <x:v>6.3999999999999995</x:v>
      </x:c>
      <x:c r="G1429" s="11" t="n">
        <x:v>2811.5399999999995</x:v>
      </x:c>
      <x:c r="H1429" s="23" t="n">
        <x:v>0.00013723460688525442</x:v>
      </x:c>
      <x:c r="I1429" s="23" t="n">
        <x:v>0.8665670018186916</x:v>
      </x:c>
      <x:c r="J1429" s="2" t="n">
        <x:v>246</x:v>
      </x:c>
      <x:c r="K1429" s="2"/>
      <x:c r="L1429" s="2"/>
    </x:row>
    <x:row r="1430" ht="22" customHeight="1">
      <x:c r="A1430" s="2"/>
      <x:c r="B1430" s="2" t="n">
        <x:v>1397</x:v>
      </x:c>
      <x:c r="C1430" s="2" t="str">
        <x:v>22450</x:v>
      </x:c>
      <x:c r="D1430" s="2" t="str">
        <x:v>SILK PURSE BABUSHKA BLUE</x:v>
      </x:c>
      <x:c r="E1430" s="11" t="n">
        <x:v>2811.6800000000003</x:v>
      </x:c>
      <x:c r="F1430" s="11" t="n">
        <x:v>36.85</x:v>
      </x:c>
      <x:c r="G1430" s="11" t="n">
        <x:v>2774.83</x:v>
      </x:c>
      <x:c r="H1430" s="23" t="n">
        <x:v>0.00013692974282175356</x:v>
      </x:c>
      <x:c r="I1430" s="23" t="n">
        <x:v>0.8667039315615134</x:v>
      </x:c>
      <x:c r="J1430" s="2" t="n">
        <x:v>180</x:v>
      </x:c>
      <x:c r="K1430" s="2"/>
      <x:c r="L1430" s="2"/>
    </x:row>
    <x:row r="1431" ht="22" customHeight="1">
      <x:c r="A1431" s="2"/>
      <x:c r="B1431" s="2" t="n">
        <x:v>1398</x:v>
      </x:c>
      <x:c r="C1431" s="2" t="str">
        <x:v>22974</x:v>
      </x:c>
      <x:c r="D1431" s="2" t="str">
        <x:v>CHILDRENS DOLLY GIRL MUG</x:v>
      </x:c>
      <x:c r="E1431" s="11" t="n">
        <x:v>2810.66</x:v>
      </x:c>
      <x:c r="F1431" s="11" t="n">
        <x:v>33</x:v>
      </x:c>
      <x:c r="G1431" s="11" t="n">
        <x:v>2777.66</x:v>
      </x:c>
      <x:c r="H1431" s="23" t="n">
        <x:v>0.00013688006848552815</x:v>
      </x:c>
      <x:c r="I1431" s="23" t="n">
        <x:v>0.8668408116299989</x:v>
      </x:c>
      <x:c r="J1431" s="2" t="n">
        <x:v>211</x:v>
      </x:c>
      <x:c r="K1431" s="2"/>
      <x:c r="L1431" s="2"/>
    </x:row>
    <x:row r="1432" ht="22" customHeight="1">
      <x:c r="A1432" s="2"/>
      <x:c r="B1432" s="2" t="n">
        <x:v>1399</x:v>
      </x:c>
      <x:c r="C1432" s="2" t="str">
        <x:v>21360</x:v>
      </x:c>
      <x:c r="D1432" s="2" t="str">
        <x:v>Show Samples</x:v>
      </x:c>
      <x:c r="E1432" s="11" t="n">
        <x:v>2800.36</x:v>
      </x:c>
      <x:c r="F1432" s="11" t="n">
        <x:v>19.9</x:v>
      </x:c>
      <x:c r="G1432" s="11" t="n">
        <x:v>2780.46</x:v>
      </x:c>
      <x:c r="H1432" s="23" t="n">
        <x:v>0.00013637845509031104</x:v>
      </x:c>
      <x:c r="I1432" s="23" t="n">
        <x:v>0.8669771900850892</x:v>
      </x:c>
      <x:c r="J1432" s="2" t="n">
        <x:v>100</x:v>
      </x:c>
      <x:c r="K1432" s="2"/>
      <x:c r="L1432" s="2"/>
    </x:row>
    <x:row r="1433" ht="22" customHeight="1">
      <x:c r="A1433" s="2"/>
      <x:c r="B1433" s="2" t="n">
        <x:v>1400</x:v>
      </x:c>
      <x:c r="C1433" s="2" t="str">
        <x:v>21728</x:v>
      </x:c>
      <x:c r="D1433" s="2" t="str">
        <x:v>METAL MEDINA LANTERN </x:v>
      </x:c>
      <x:c r="E1433" s="11" t="n">
        <x:v>2798.61</x:v>
      </x:c>
      <x:c r="F1433" s="11" t="n">
        <x:v>25.5</x:v>
      </x:c>
      <x:c r="G1433" s="11" t="n">
        <x:v>2773.11</x:v>
      </x:c>
      <x:c r="H1433" s="23" t="n">
        <x:v>0.00013629322951345377</x:v>
      </x:c>
      <x:c r="I1433" s="23" t="n">
        <x:v>0.8671134833146027</x:v>
      </x:c>
      <x:c r="J1433" s="2" t="n">
        <x:v>40</x:v>
      </x:c>
      <x:c r="K1433" s="2"/>
      <x:c r="L1433" s="2"/>
    </x:row>
    <x:row r="1434" ht="22" customHeight="1">
      <x:c r="A1434" s="2"/>
      <x:c r="B1434" s="2" t="n">
        <x:v>1401</x:v>
      </x:c>
      <x:c r="C1434" s="2" t="str">
        <x:v>84909A</x:v>
      </x:c>
      <x:c r="D1434" s="2" t="str">
        <x:v>PINK PAISLEY QUILT </x:v>
      </x:c>
      <x:c r="E1434" s="11" t="n">
        <x:v>2797.55</x:v>
      </x:c>
      <x:c r="F1434" s="11" t="n">
        <x:v>0</x:v>
      </x:c>
      <x:c r="G1434" s="11" t="n">
        <x:v>2797.55</x:v>
      </x:c>
      <x:c r="H1434" s="23" t="n">
        <x:v>0.00013624160716404308</x:v>
      </x:c>
      <x:c r="I1434" s="23" t="n">
        <x:v>0.8672497249217668</x:v>
      </x:c>
      <x:c r="J1434" s="2" t="n">
        <x:v>30</x:v>
      </x:c>
      <x:c r="K1434" s="2"/>
      <x:c r="L1434" s="2"/>
    </x:row>
    <x:row r="1435" ht="22" customHeight="1">
      <x:c r="A1435" s="2"/>
      <x:c r="B1435" s="2" t="n">
        <x:v>1402</x:v>
      </x:c>
      <x:c r="C1435" s="2" t="str">
        <x:v>22696</x:v>
      </x:c>
      <x:c r="D1435" s="2" t="str">
        <x:v>WICKER WREATH LARGE</x:v>
      </x:c>
      <x:c r="E1435" s="11" t="n">
        <x:v>2796.68</x:v>
      </x:c>
      <x:c r="F1435" s="11" t="n">
        <x:v>0</x:v>
      </x:c>
      <x:c r="G1435" s="11" t="n">
        <x:v>2796.68</x:v>
      </x:c>
      <x:c r="H1435" s="23" t="n">
        <x:v>0.00013619923787726258</x:v>
      </x:c>
      <x:c r="I1435" s="23" t="n">
        <x:v>0.867385924159644</x:v>
      </x:c>
      <x:c r="J1435" s="2" t="n">
        <x:v>288</x:v>
      </x:c>
      <x:c r="K1435" s="2"/>
      <x:c r="L1435" s="2"/>
    </x:row>
    <x:row r="1436" ht="22" customHeight="1">
      <x:c r="A1436" s="2"/>
      <x:c r="B1436" s="2" t="n">
        <x:v>1403</x:v>
      </x:c>
      <x:c r="C1436" s="2" t="str">
        <x:v>85199S</x:v>
      </x:c>
      <x:c r="D1436" s="2" t="str">
        <x:v>SMALL HANGING IVORY/RED WOOD BIRD</x:v>
      </x:c>
      <x:c r="E1436" s="11" t="n">
        <x:v>2794.74</x:v>
      </x:c>
      <x:c r="F1436" s="11" t="n">
        <x:v>10.08</x:v>
      </x:c>
      <x:c r="G1436" s="11" t="n">
        <x:v>2784.66</x:v>
      </x:c>
      <x:c r="H1436" s="23" t="n">
        <x:v>0.0001361047592377751</x:v>
      </x:c>
      <x:c r="I1436" s="23" t="n">
        <x:v>0.8675220289188817</x:v>
      </x:c>
      <x:c r="J1436" s="2" t="n">
        <x:v>486</x:v>
      </x:c>
      <x:c r="K1436" s="2"/>
      <x:c r="L1436" s="2"/>
    </x:row>
    <x:row r="1437" ht="22" customHeight="1">
      <x:c r="A1437" s="2"/>
      <x:c r="B1437" s="2" t="n">
        <x:v>1404</x:v>
      </x:c>
      <x:c r="C1437" s="2" t="str">
        <x:v>84519A</x:v>
      </x:c>
      <x:c r="D1437" s="2" t="str">
        <x:v>TOMATO CHARLIE+LOLA COASTER SET</x:v>
      </x:c>
      <x:c r="E1437" s="11" t="n">
        <x:v>2791.4</x:v>
      </x:c>
      <x:c r="F1437" s="11" t="n">
        <x:v>0</x:v>
      </x:c>
      <x:c r="G1437" s="11" t="n">
        <x:v>2791.4</x:v>
      </x:c>
      <x:c r="H1437" s="23" t="n">
        <x:v>0.0001359421001368018</x:v>
      </x:c>
      <x:c r="I1437" s="23" t="n">
        <x:v>0.8676579710190185</x:v>
      </x:c>
      <x:c r="J1437" s="2" t="n">
        <x:v>203</x:v>
      </x:c>
      <x:c r="K1437" s="2"/>
      <x:c r="L1437" s="2"/>
    </x:row>
    <x:row r="1438" ht="22" customHeight="1">
      <x:c r="A1438" s="2"/>
      <x:c r="B1438" s="2" t="n">
        <x:v>1405</x:v>
      </x:c>
      <x:c r="C1438" s="2" t="str">
        <x:v>22101</x:v>
      </x:c>
      <x:c r="D1438" s="2" t="str">
        <x:v>MIRROR MOSAIC VOTIVE HOLDER</x:v>
      </x:c>
      <x:c r="E1438" s="11" t="n">
        <x:v>2790.27</x:v>
      </x:c>
      <x:c r="F1438" s="11" t="n">
        <x:v>128.45999999999998</x:v>
      </x:c>
      <x:c r="G1438" s="11" t="n">
        <x:v>2661.81</x:v>
      </x:c>
      <x:c r="H1438" s="23" t="n">
        <x:v>0.00013588706876431679</x:v>
      </x:c>
      <x:c r="I1438" s="23" t="n">
        <x:v>0.8677938580877829</x:v>
      </x:c>
      <x:c r="J1438" s="2" t="n">
        <x:v>116</x:v>
      </x:c>
      <x:c r="K1438" s="2"/>
      <x:c r="L1438" s="2"/>
    </x:row>
    <x:row r="1439" ht="22" customHeight="1">
      <x:c r="A1439" s="2"/>
      <x:c r="B1439" s="2" t="n">
        <x:v>1406</x:v>
      </x:c>
      <x:c r="C1439" s="2" t="str">
        <x:v>21796</x:v>
      </x:c>
      <x:c r="D1439" s="2" t="str">
        <x:v>SET OF 3 RED STRIPE BASKETS</x:v>
      </x:c>
      <x:c r="E1439" s="11" t="n">
        <x:v>2782.19</x:v>
      </x:c>
      <x:c r="F1439" s="11" t="n">
        <x:v>0</x:v>
      </x:c>
      <x:c r="G1439" s="11" t="n">
        <x:v>2782.19</x:v>
      </x:c>
      <x:c r="H1439" s="23" t="n">
        <x:v>0.00013549357010088435</x:v>
      </x:c>
      <x:c r="I1439" s="23" t="n">
        <x:v>0.8679293516578838</x:v>
      </x:c>
      <x:c r="J1439" s="2" t="n">
        <x:v>67</x:v>
      </x:c>
      <x:c r="K1439" s="2"/>
      <x:c r="L1439" s="2"/>
    </x:row>
    <x:row r="1440" ht="22" customHeight="1">
      <x:c r="A1440" s="2"/>
      <x:c r="B1440" s="2" t="n">
        <x:v>1407</x:v>
      </x:c>
      <x:c r="C1440" s="2" t="str">
        <x:v>23396</x:v>
      </x:c>
      <x:c r="D1440" s="2" t="str">
        <x:v>LE JARDIN BOTANIQUE CUSHION COVER</x:v>
      </x:c>
      <x:c r="E1440" s="11" t="n">
        <x:v>2780.5299999999997</x:v>
      </x:c>
      <x:c r="F1440" s="11" t="n">
        <x:v>15</x:v>
      </x:c>
      <x:c r="G1440" s="11" t="n">
        <x:v>2765.5299999999997</x:v>
      </x:c>
      <x:c r="H1440" s="23" t="n">
        <x:v>0.000135412727553694</x:v>
      </x:c>
      <x:c r="I1440" s="23" t="n">
        <x:v>0.8680647643854374</x:v>
      </x:c>
      <x:c r="J1440" s="2" t="n">
        <x:v>196</x:v>
      </x:c>
      <x:c r="K1440" s="2"/>
      <x:c r="L1440" s="2"/>
    </x:row>
    <x:row r="1441" ht="22" customHeight="1">
      <x:c r="A1441" s="2"/>
      <x:c r="B1441" s="2" t="n">
        <x:v>1408</x:v>
      </x:c>
      <x:c r="C1441" s="2" t="str">
        <x:v>22081</x:v>
      </x:c>
      <x:c r="D1441" s="2" t="str">
        <x:v>RIBBON REEL FLORA + FAUNA </x:v>
      </x:c>
      <x:c r="E1441" s="11" t="n">
        <x:v>2779.19</x:v>
      </x:c>
      <x:c r="F1441" s="11" t="n">
        <x:v>67.65</x:v>
      </x:c>
      <x:c r="G1441" s="11" t="n">
        <x:v>2711.54</x:v>
      </x:c>
      <x:c r="H1441" s="23" t="n">
        <x:v>0.00013534746911198614</x:v>
      </x:c>
      <x:c r="I1441" s="23" t="n">
        <x:v>0.8682001118545495</x:v>
      </x:c>
      <x:c r="J1441" s="2" t="n">
        <x:v>302</x:v>
      </x:c>
      <x:c r="K1441" s="2"/>
      <x:c r="L1441" s="2"/>
    </x:row>
    <x:row r="1442" ht="22" customHeight="1">
      <x:c r="A1442" s="2"/>
      <x:c r="B1442" s="2" t="n">
        <x:v>1409</x:v>
      </x:c>
      <x:c r="C1442" s="2" t="str">
        <x:v>21188</x:v>
      </x:c>
      <x:c r="D1442" s="2" t="str">
        <x:v>3D HEARTS  HONEYCOMB PAPER GARLAND</x:v>
      </x:c>
      <x:c r="E1442" s="11" t="n">
        <x:v>2771.34</x:v>
      </x:c>
      <x:c r="F1442" s="11" t="n">
        <x:v>89.64999999999999</x:v>
      </x:c>
      <x:c r="G1442" s="11" t="n">
        <x:v>2681.69</x:v>
      </x:c>
      <x:c r="H1442" s="23" t="n">
        <x:v>0.00013496517152436924</x:v>
      </x:c>
      <x:c r="I1442" s="23" t="n">
        <x:v>0.8683350770260738</x:v>
      </x:c>
      <x:c r="J1442" s="2" t="n">
        <x:v>128</x:v>
      </x:c>
      <x:c r="K1442" s="2"/>
      <x:c r="L1442" s="2"/>
    </x:row>
    <x:row r="1443" ht="22" customHeight="1">
      <x:c r="A1443" s="2"/>
      <x:c r="B1443" s="2" t="n">
        <x:v>1410</x:v>
      </x:c>
      <x:c r="C1443" s="2" t="str">
        <x:v>22597</x:v>
      </x:c>
      <x:c r="D1443" s="2" t="str">
        <x:v>MUSICAL ZINC HEART DECORATION </x:v>
      </x:c>
      <x:c r="E1443" s="11" t="n">
        <x:v>2768.92</x:v>
      </x:c>
      <x:c r="F1443" s="11" t="n">
        <x:v>28.9</x:v>
      </x:c>
      <x:c r="G1443" s="11" t="n">
        <x:v>2740.02</x:v>
      </x:c>
      <x:c r="H1443" s="23" t="n">
        <x:v>0.00013484731672665804</x:v>
      </x:c>
      <x:c r="I1443" s="23" t="n">
        <x:v>0.8684699243428005</x:v>
      </x:c>
      <x:c r="J1443" s="2" t="n">
        <x:v>291</x:v>
      </x:c>
      <x:c r="K1443" s="2"/>
      <x:c r="L1443" s="2"/>
    </x:row>
    <x:row r="1444" ht="22" customHeight="1">
      <x:c r="A1444" s="2"/>
      <x:c r="B1444" s="2" t="n">
        <x:v>1411</x:v>
      </x:c>
      <x:c r="C1444" s="2" t="str">
        <x:v>21682</x:v>
      </x:c>
      <x:c r="D1444" s="2" t="str">
        <x:v>LARGE MEDINA STAMPED METAL BOWL </x:v>
      </x:c>
      <x:c r="E1444" s="11" t="n">
        <x:v>2767.59</x:v>
      </x:c>
      <x:c r="F1444" s="11" t="n">
        <x:v>19.8</x:v>
      </x:c>
      <x:c r="G1444" s="11" t="n">
        <x:v>2747.79</x:v>
      </x:c>
      <x:c r="H1444" s="23" t="n">
        <x:v>0.0001347825452882465</x:v>
      </x:c>
      <x:c r="I1444" s="23" t="n">
        <x:v>0.8686047068880887</x:v>
      </x:c>
      <x:c r="J1444" s="2" t="n">
        <x:v>152</x:v>
      </x:c>
      <x:c r="K1444" s="2"/>
      <x:c r="L1444" s="2"/>
    </x:row>
    <x:row r="1445" ht="22" customHeight="1">
      <x:c r="A1445" s="2"/>
      <x:c r="B1445" s="2" t="n">
        <x:v>1412</x:v>
      </x:c>
      <x:c r="C1445" s="2" t="str">
        <x:v>85132B</x:v>
      </x:c>
      <x:c r="D1445" s="2" t="str">
        <x:v>CHARLIE AND LOLA TABLE TINS</x:v>
      </x:c>
      <x:c r="E1445" s="11" t="n">
        <x:v>2767.53</x:v>
      </x:c>
      <x:c r="F1445" s="11" t="n">
        <x:v>19.9</x:v>
      </x:c>
      <x:c r="G1445" s="11" t="n">
        <x:v>2747.63</x:v>
      </x:c>
      <x:c r="H1445" s="23" t="n">
        <x:v>0.00013477962326846854</x:v>
      </x:c>
      <x:c r="I1445" s="23" t="n">
        <x:v>0.8687394865113571</x:v>
      </x:c>
      <x:c r="J1445" s="2" t="n">
        <x:v>123</x:v>
      </x:c>
      <x:c r="K1445" s="2"/>
      <x:c r="L1445" s="2"/>
    </x:row>
    <x:row r="1446" ht="22" customHeight="1">
      <x:c r="A1446" s="2"/>
      <x:c r="B1446" s="2" t="n">
        <x:v>1413</x:v>
      </x:c>
      <x:c r="C1446" s="2" t="str">
        <x:v>22416</x:v>
      </x:c>
      <x:c r="D1446" s="2" t="str">
        <x:v>SET OF 36 SPACEBOY PAPER DOILIES</x:v>
      </x:c>
      <x:c r="E1446" s="11" t="n">
        <x:v>2764.81</x:v>
      </x:c>
      <x:c r="F1446" s="11" t="n">
        <x:v>8.7</x:v>
      </x:c>
      <x:c r="G1446" s="11" t="n">
        <x:v>2756.1099999999997</x:v>
      </x:c>
      <x:c r="H1446" s="23" t="n">
        <x:v>0.0001346471583718675</x:v>
      </x:c>
      <x:c r="I1446" s="23" t="n">
        <x:v>0.868874133669729</x:v>
      </x:c>
      <x:c r="J1446" s="2" t="n">
        <x:v>176</x:v>
      </x:c>
      <x:c r="K1446" s="2"/>
      <x:c r="L1446" s="2"/>
    </x:row>
    <x:row r="1447" ht="22" customHeight="1">
      <x:c r="A1447" s="2"/>
      <x:c r="B1447" s="2" t="n">
        <x:v>1414</x:v>
      </x:c>
      <x:c r="C1447" s="2" t="str">
        <x:v>23190</x:v>
      </x:c>
      <x:c r="D1447" s="2" t="str">
        <x:v>BUNDLE OF 3 SCHOOL EXERCISE BOOKS  </x:v>
      </x:c>
      <x:c r="E1447" s="11" t="n">
        <x:v>2761.8999999999996</x:v>
      </x:c>
      <x:c r="F1447" s="11" t="n">
        <x:v>3.3</x:v>
      </x:c>
      <x:c r="G1447" s="11" t="n">
        <x:v>2758.5999999999995</x:v>
      </x:c>
      <x:c r="H1447" s="23" t="n">
        <x:v>0.00013450544041263625</x:v>
      </x:c>
      <x:c r="I1447" s="23" t="n">
        <x:v>0.8690086391101416</x:v>
      </x:c>
      <x:c r="J1447" s="2" t="n">
        <x:v>202</x:v>
      </x:c>
      <x:c r="K1447" s="2"/>
      <x:c r="L1447" s="2"/>
    </x:row>
    <x:row r="1448" ht="22" customHeight="1">
      <x:c r="A1448" s="2"/>
      <x:c r="B1448" s="2" t="n">
        <x:v>1415</x:v>
      </x:c>
      <x:c r="C1448" s="2" t="str">
        <x:v>22145</x:v>
      </x:c>
      <x:c r="D1448" s="2" t="str">
        <x:v>CHRISTMAS CRAFT HEART STOCKING </x:v>
      </x:c>
      <x:c r="E1448" s="11" t="n">
        <x:v>2761.0600000000004</x:v>
      </x:c>
      <x:c r="F1448" s="11" t="n">
        <x:v>12.6</x:v>
      </x:c>
      <x:c r="G1448" s="11" t="n">
        <x:v>2748.46</x:v>
      </x:c>
      <x:c r="H1448" s="23" t="n">
        <x:v>0.00013446453213574478</x:v>
      </x:c>
      <x:c r="I1448" s="23" t="n">
        <x:v>0.8691431036422773</x:v>
      </x:c>
      <x:c r="J1448" s="2" t="n">
        <x:v>197</x:v>
      </x:c>
      <x:c r="K1448" s="2"/>
      <x:c r="L1448" s="2"/>
    </x:row>
    <x:row r="1449" ht="22" customHeight="1">
      <x:c r="A1449" s="2"/>
      <x:c r="B1449" s="2" t="n">
        <x:v>1416</x:v>
      </x:c>
      <x:c r="C1449" s="2" t="str">
        <x:v>51014C</x:v>
      </x:c>
      <x:c r="D1449" s="2" t="str">
        <x:v>FEATHER PEN,COAL BLACK</x:v>
      </x:c>
      <x:c r="E1449" s="11" t="n">
        <x:v>2760.8599999999997</x:v>
      </x:c>
      <x:c r="F1449" s="11" t="n">
        <x:v>182.34</x:v>
      </x:c>
      <x:c r="G1449" s="11" t="n">
        <x:v>2578.52</x:v>
      </x:c>
      <x:c r="H1449" s="23" t="n">
        <x:v>0.0001344547920698182</x:v>
      </x:c>
      <x:c r="I1449" s="23" t="n">
        <x:v>0.8692775584343472</x:v>
      </x:c>
      <x:c r="J1449" s="2" t="n">
        <x:v>265</x:v>
      </x:c>
      <x:c r="K1449" s="2"/>
      <x:c r="L1449" s="2"/>
    </x:row>
    <x:row r="1450" ht="22" customHeight="1">
      <x:c r="A1450" s="2"/>
      <x:c r="B1450" s="2" t="n">
        <x:v>1417</x:v>
      </x:c>
      <x:c r="C1450" s="2" t="str">
        <x:v>22315</x:v>
      </x:c>
      <x:c r="D1450" s="2" t="str">
        <x:v>200 RED + WHITE BENDY STRAWS</x:v>
      </x:c>
      <x:c r="E1450" s="11" t="n">
        <x:v>2759.51</x:v>
      </x:c>
      <x:c r="F1450" s="11" t="n">
        <x:v>6.25</x:v>
      </x:c>
      <x:c r="G1450" s="11" t="n">
        <x:v>2753.26</x:v>
      </x:c>
      <x:c r="H1450" s="23" t="n">
        <x:v>0.00013438904662481404</x:v>
      </x:c>
      <x:c r="I1450" s="23" t="n">
        <x:v>0.869411947480972</x:v>
      </x:c>
      <x:c r="J1450" s="2" t="n">
        <x:v>387</x:v>
      </x:c>
      <x:c r="K1450" s="2"/>
      <x:c r="L1450" s="2"/>
    </x:row>
    <x:row r="1451" ht="22" customHeight="1">
      <x:c r="A1451" s="2"/>
      <x:c r="B1451" s="2" t="n">
        <x:v>1418</x:v>
      </x:c>
      <x:c r="C1451" s="2" t="str">
        <x:v>22675</x:v>
      </x:c>
      <x:c r="D1451" s="2" t="str">
        <x:v>FRENCH KITCHEN SIGN BLUE METAL</x:v>
      </x:c>
      <x:c r="E1451" s="11" t="n">
        <x:v>2758.7</x:v>
      </x:c>
      <x:c r="F1451" s="11" t="n">
        <x:v>35</x:v>
      </x:c>
      <x:c r="G1451" s="11" t="n">
        <x:v>2723.7</x:v>
      </x:c>
      <x:c r="H1451" s="23" t="n">
        <x:v>0.0001343495993578115</x:v>
      </x:c>
      <x:c r="I1451" s="23" t="n">
        <x:v>0.8695462970803297</x:v>
      </x:c>
      <x:c r="J1451" s="2" t="n">
        <x:v>270</x:v>
      </x:c>
      <x:c r="K1451" s="2"/>
      <x:c r="L1451" s="2"/>
    </x:row>
    <x:row r="1452" ht="22" customHeight="1">
      <x:c r="A1452" s="2"/>
      <x:c r="B1452" s="2" t="n">
        <x:v>1419</x:v>
      </x:c>
      <x:c r="C1452" s="2" t="str">
        <x:v>23266</x:v>
      </x:c>
      <x:c r="D1452" s="2" t="str">
        <x:v>SET OF 3 WOODEN STOCKING DECORATION</x:v>
      </x:c>
      <x:c r="E1452" s="11" t="n">
        <x:v>2757.57</x:v>
      </x:c>
      <x:c r="F1452" s="11" t="n">
        <x:v>15</x:v>
      </x:c>
      <x:c r="G1452" s="11" t="n">
        <x:v>2742.57</x:v>
      </x:c>
      <x:c r="H1452" s="23" t="n">
        <x:v>0.00013429456798532655</x:v>
      </x:c>
      <x:c r="I1452" s="23" t="n">
        <x:v>0.869680591648315</x:v>
      </x:c>
      <x:c r="J1452" s="2" t="n">
        <x:v>319</x:v>
      </x:c>
      <x:c r="K1452" s="2"/>
      <x:c r="L1452" s="2"/>
    </x:row>
    <x:row r="1453" ht="22" customHeight="1">
      <x:c r="A1453" s="2"/>
      <x:c r="B1453" s="2" t="n">
        <x:v>1420</x:v>
      </x:c>
      <x:c r="C1453" s="2" t="str">
        <x:v>21683</x:v>
      </x:c>
      <x:c r="D1453" s="2" t="str">
        <x:v>MEDIUM MEDINA STAMPED METAL BOWL </x:v>
      </x:c>
      <x:c r="E1453" s="11" t="n">
        <x:v>2757.4700000000003</x:v>
      </x:c>
      <x:c r="F1453" s="11" t="n">
        <x:v>2.95</x:v>
      </x:c>
      <x:c r="G1453" s="11" t="n">
        <x:v>2754.5200000000004</x:v>
      </x:c>
      <x:c r="H1453" s="23" t="n">
        <x:v>0.00013428969795236328</x:v>
      </x:c>
      <x:c r="I1453" s="23" t="n">
        <x:v>0.8698148813462674</x:v>
      </x:c>
      <x:c r="J1453" s="2" t="n">
        <x:v>152</x:v>
      </x:c>
      <x:c r="K1453" s="2"/>
      <x:c r="L1453" s="2"/>
    </x:row>
    <x:row r="1454" ht="22" customHeight="1">
      <x:c r="A1454" s="2"/>
      <x:c r="B1454" s="2" t="n">
        <x:v>1421</x:v>
      </x:c>
      <x:c r="C1454" s="2" t="str">
        <x:v>23147</x:v>
      </x:c>
      <x:c r="D1454" s="2" t="str">
        <x:v>SINGLE ANTIQUE ROSE HOOK IVORY</x:v>
      </x:c>
      <x:c r="E1454" s="11" t="n">
        <x:v>2755.1</x:v>
      </x:c>
      <x:c r="F1454" s="11" t="n">
        <x:v>21.75</x:v>
      </x:c>
      <x:c r="G1454" s="11" t="n">
        <x:v>2733.35</x:v>
      </x:c>
      <x:c r="H1454" s="23" t="n">
        <x:v>0.00013417427817113368</x:v>
      </x:c>
      <x:c r="I1454" s="23" t="n">
        <x:v>0.8699490556244385</x:v>
      </x:c>
      <x:c r="J1454" s="2" t="n">
        <x:v>261</x:v>
      </x:c>
      <x:c r="K1454" s="2"/>
      <x:c r="L1454" s="2"/>
    </x:row>
    <x:row r="1455" ht="22" customHeight="1">
      <x:c r="A1455" s="2"/>
      <x:c r="B1455" s="2" t="n">
        <x:v>1422</x:v>
      </x:c>
      <x:c r="C1455" s="2" t="str">
        <x:v>15058C</x:v>
      </x:c>
      <x:c r="D1455" s="2" t="str">
        <x:v>ICE CREAM DESIGN GARDEN PARASOL</x:v>
      </x:c>
      <x:c r="E1455" s="11" t="n">
        <x:v>2753.72</x:v>
      </x:c>
      <x:c r="F1455" s="11" t="n">
        <x:v>23.8</x:v>
      </x:c>
      <x:c r="G1455" s="11" t="n">
        <x:v>2729.92</x:v>
      </x:c>
      <x:c r="H1455" s="23" t="n">
        <x:v>0.0001341070717162405</x:v>
      </x:c>
      <x:c r="I1455" s="23" t="n">
        <x:v>0.8700831626961547</x:v>
      </x:c>
      <x:c r="J1455" s="2" t="n">
        <x:v>122</x:v>
      </x:c>
      <x:c r="K1455" s="2"/>
      <x:c r="L1455" s="2"/>
    </x:row>
    <x:row r="1456" ht="22" customHeight="1">
      <x:c r="A1456" s="2"/>
      <x:c r="B1456" s="2" t="n">
        <x:v>1423</x:v>
      </x:c>
      <x:c r="C1456" s="2" t="str">
        <x:v>84795C</x:v>
      </x:c>
      <x:c r="D1456" s="2" t="str">
        <x:v>OCEAN STRIPE HAMMOCK </x:v>
      </x:c>
      <x:c r="E1456" s="11" t="n">
        <x:v>2752.59</x:v>
      </x:c>
      <x:c r="F1456" s="11" t="n">
        <x:v>7.95</x:v>
      </x:c>
      <x:c r="G1456" s="11" t="n">
        <x:v>2744.6400000000003</x:v>
      </x:c>
      <x:c r="H1456" s="23" t="n">
        <x:v>0.00013405204034375555</x:v>
      </x:c>
      <x:c r="I1456" s="23" t="n">
        <x:v>0.8702172147364985</x:v>
      </x:c>
      <x:c r="J1456" s="2" t="n">
        <x:v>131</x:v>
      </x:c>
      <x:c r="K1456" s="2"/>
      <x:c r="L1456" s="2"/>
    </x:row>
    <x:row r="1457" ht="22" customHeight="1">
      <x:c r="A1457" s="2"/>
      <x:c r="B1457" s="2" t="n">
        <x:v>1424</x:v>
      </x:c>
      <x:c r="C1457" s="2" t="str">
        <x:v>22525</x:v>
      </x:c>
      <x:c r="D1457" s="2" t="str">
        <x:v>CHILDRENS GARDEN GLOVES PINK</x:v>
      </x:c>
      <x:c r="E1457" s="11" t="n">
        <x:v>2752.54</x:v>
      </x:c>
      <x:c r="F1457" s="11" t="n">
        <x:v>18.75</x:v>
      </x:c>
      <x:c r="G1457" s="11" t="n">
        <x:v>2733.79</x:v>
      </x:c>
      <x:c r="H1457" s="23" t="n">
        <x:v>0.0001340496053272739</x:v>
      </x:c>
      <x:c r="I1457" s="23" t="n">
        <x:v>0.8703512643418257</x:v>
      </x:c>
      <x:c r="J1457" s="2" t="n">
        <x:v>328</x:v>
      </x:c>
      <x:c r="K1457" s="2"/>
      <x:c r="L1457" s="2"/>
    </x:row>
    <x:row r="1458" ht="22" customHeight="1">
      <x:c r="A1458" s="2"/>
      <x:c r="B1458" s="2" t="n">
        <x:v>1425</x:v>
      </x:c>
      <x:c r="C1458" s="2" t="str">
        <x:v>85015</x:v>
      </x:c>
      <x:c r="D1458" s="2" t="str">
        <x:v>SET OF 12  VINTAGE POSTCARD SET</x:v>
      </x:c>
      <x:c r="E1458" s="11" t="n">
        <x:v>2751.3</x:v>
      </x:c>
      <x:c r="F1458" s="11" t="n">
        <x:v>0</x:v>
      </x:c>
      <x:c r="G1458" s="11" t="n">
        <x:v>2751.3</x:v>
      </x:c>
      <x:c r="H1458" s="23" t="n">
        <x:v>0.00013398921691852933</x:v>
      </x:c>
      <x:c r="I1458" s="23" t="n">
        <x:v>0.8704852535587443</x:v>
      </x:c>
      <x:c r="J1458" s="2" t="n">
        <x:v>254</x:v>
      </x:c>
      <x:c r="K1458" s="2"/>
      <x:c r="L1458" s="2"/>
    </x:row>
    <x:row r="1459" ht="22" customHeight="1">
      <x:c r="A1459" s="2"/>
      <x:c r="B1459" s="2" t="n">
        <x:v>1426</x:v>
      </x:c>
      <x:c r="C1459" s="2" t="str">
        <x:v>23341</x:v>
      </x:c>
      <x:c r="D1459" s="2" t="str">
        <x:v>PINK DINER WALL CLOCK</x:v>
      </x:c>
      <x:c r="E1459" s="11" t="n">
        <x:v>2749.85</x:v>
      </x:c>
      <x:c r="F1459" s="11" t="n">
        <x:v>0</x:v>
      </x:c>
      <x:c r="G1459" s="11" t="n">
        <x:v>2749.85</x:v>
      </x:c>
      <x:c r="H1459" s="23" t="n">
        <x:v>0.00013391860144056186</x:v>
      </x:c>
      <x:c r="I1459" s="23" t="n">
        <x:v>0.8706191721601848</x:v>
      </x:c>
      <x:c r="J1459" s="2" t="n">
        <x:v>121</x:v>
      </x:c>
      <x:c r="K1459" s="2"/>
      <x:c r="L1459" s="2"/>
    </x:row>
    <x:row r="1460" ht="22" customHeight="1">
      <x:c r="A1460" s="2"/>
      <x:c r="B1460" s="2" t="n">
        <x:v>1427</x:v>
      </x:c>
      <x:c r="C1460" s="2" t="str">
        <x:v>22482</x:v>
      </x:c>
      <x:c r="D1460" s="2" t="str">
        <x:v>BLUE TEA TOWEL CLASSIC DESIGN</x:v>
      </x:c>
      <x:c r="E1460" s="11" t="n">
        <x:v>2748.18</x:v>
      </x:c>
      <x:c r="F1460" s="11" t="n">
        <x:v>0</x:v>
      </x:c>
      <x:c r="G1460" s="11" t="n">
        <x:v>2748.18</x:v>
      </x:c>
      <x:c r="H1460" s="23" t="n">
        <x:v>0.0001338372718900752</x:v>
      </x:c>
      <x:c r="I1460" s="23" t="n">
        <x:v>0.8707530094320749</x:v>
      </x:c>
      <x:c r="J1460" s="2" t="n">
        <x:v>214</x:v>
      </x:c>
      <x:c r="K1460" s="2"/>
      <x:c r="L1460" s="2"/>
    </x:row>
    <x:row r="1461" ht="22" customHeight="1">
      <x:c r="A1461" s="2"/>
      <x:c r="B1461" s="2" t="n">
        <x:v>1428</x:v>
      </x:c>
      <x:c r="C1461" s="2" t="str">
        <x:v>22066</x:v>
      </x:c>
      <x:c r="D1461" s="2" t="str">
        <x:v>LOVE HEART TRINKET POT</x:v>
      </x:c>
      <x:c r="E1461" s="11" t="n">
        <x:v>2745.5499999999997</x:v>
      </x:c>
      <x:c r="F1461" s="11" t="n">
        <x:v>10.65</x:v>
      </x:c>
      <x:c r="G1461" s="11" t="n">
        <x:v>2734.9</x:v>
      </x:c>
      <x:c r="H1461" s="23" t="n">
        <x:v>0.0001337091900231411</x:v>
      </x:c>
      <x:c r="I1461" s="23" t="n">
        <x:v>0.870886718622098</x:v>
      </x:c>
      <x:c r="J1461" s="2" t="n">
        <x:v>273</x:v>
      </x:c>
      <x:c r="K1461" s="2"/>
      <x:c r="L1461" s="2"/>
    </x:row>
    <x:row r="1462" ht="22" customHeight="1">
      <x:c r="A1462" s="2"/>
      <x:c r="B1462" s="2" t="n">
        <x:v>1429</x:v>
      </x:c>
      <x:c r="C1462" s="2" t="str">
        <x:v>23100</x:v>
      </x:c>
      <x:c r="D1462" s="2" t="str">
        <x:v>SILVER BELLS TABLE DECORATION</x:v>
      </x:c>
      <x:c r="E1462" s="11" t="n">
        <x:v>2743.13</x:v>
      </x:c>
      <x:c r="F1462" s="11" t="n">
        <x:v>1.25</x:v>
      </x:c>
      <x:c r="G1462" s="11" t="n">
        <x:v>2741.88</x:v>
      </x:c>
      <x:c r="H1462" s="23" t="n">
        <x:v>0.00013359133522542992</x:v>
      </x:c>
      <x:c r="I1462" s="23" t="n">
        <x:v>0.8710203099573234</x:v>
      </x:c>
      <x:c r="J1462" s="2" t="n">
        <x:v>257</x:v>
      </x:c>
      <x:c r="K1462" s="2"/>
      <x:c r="L1462" s="2"/>
    </x:row>
    <x:row r="1463" ht="22" customHeight="1">
      <x:c r="A1463" s="2"/>
      <x:c r="B1463" s="2" t="n">
        <x:v>1430</x:v>
      </x:c>
      <x:c r="C1463" s="2" t="str">
        <x:v>21693</x:v>
      </x:c>
      <x:c r="D1463" s="2" t="str">
        <x:v>mixed up</x:v>
      </x:c>
      <x:c r="E1463" s="11" t="n">
        <x:v>2743.0200000000004</x:v>
      </x:c>
      <x:c r="F1463" s="11" t="n">
        <x:v>0</x:v>
      </x:c>
      <x:c r="G1463" s="11" t="n">
        <x:v>2743.0200000000004</x:v>
      </x:c>
      <x:c r="H1463" s="23" t="n">
        <x:v>0.00013358597818917035</x:v>
      </x:c>
      <x:c r="I1463" s="23" t="n">
        <x:v>0.8711538959355125</x:v>
      </x:c>
      <x:c r="J1463" s="2" t="n">
        <x:v>120</x:v>
      </x:c>
      <x:c r="K1463" s="2"/>
      <x:c r="L1463" s="2"/>
    </x:row>
    <x:row r="1464" ht="22" customHeight="1">
      <x:c r="A1464" s="2"/>
      <x:c r="B1464" s="2" t="n">
        <x:v>1431</x:v>
      </x:c>
      <x:c r="C1464" s="2" t="str">
        <x:v>22161</x:v>
      </x:c>
      <x:c r="D1464" s="2" t="str">
        <x:v>HEART DECORATION RUSTIC HANGING </x:v>
      </x:c>
      <x:c r="E1464" s="11" t="n">
        <x:v>2739.69</x:v>
      </x:c>
      <x:c r="F1464" s="11" t="n">
        <x:v>28.880000000000003</x:v>
      </x:c>
      <x:c r="G1464" s="11" t="n">
        <x:v>2710.81</x:v>
      </x:c>
      <x:c r="H1464" s="23" t="n">
        <x:v>0.00013342380609149333</x:v>
      </x:c>
      <x:c r="I1464" s="23" t="n">
        <x:v>0.871287319741604</x:v>
      </x:c>
      <x:c r="J1464" s="2" t="n">
        <x:v>489</x:v>
      </x:c>
      <x:c r="K1464" s="2"/>
      <x:c r="L1464" s="2"/>
    </x:row>
    <x:row r="1465" ht="22" customHeight="1">
      <x:c r="A1465" s="2"/>
      <x:c r="B1465" s="2" t="n">
        <x:v>1432</x:v>
      </x:c>
      <x:c r="C1465" s="2" t="str">
        <x:v>22650</x:v>
      </x:c>
      <x:c r="D1465" s="2" t="str">
        <x:v>CERAMIC PIRATE CHEST MONEY BANK</x:v>
      </x:c>
      <x:c r="E1465" s="11" t="n">
        <x:v>2736.73</x:v>
      </x:c>
      <x:c r="F1465" s="11" t="n">
        <x:v>53.64999999999999</x:v>
      </x:c>
      <x:c r="G1465" s="11" t="n">
        <x:v>2683.08</x:v>
      </x:c>
      <x:c r="H1465" s="23" t="n">
        <x:v>0.00013327965311578046</x:v>
      </x:c>
      <x:c r="I1465" s="23" t="n">
        <x:v>0.8714205993947198</x:v>
      </x:c>
      <x:c r="J1465" s="2" t="n">
        <x:v>282</x:v>
      </x:c>
      <x:c r="K1465" s="2"/>
      <x:c r="L1465" s="2"/>
    </x:row>
    <x:row r="1466" ht="22" customHeight="1">
      <x:c r="A1466" s="2"/>
      <x:c r="B1466" s="2" t="n">
        <x:v>1433</x:v>
      </x:c>
      <x:c r="C1466" s="2" t="str">
        <x:v>22818</x:v>
      </x:c>
      <x:c r="D1466" s="2" t="str">
        <x:v>CARD CHRISTMAS VILLAGE</x:v>
      </x:c>
      <x:c r="E1466" s="11" t="n">
        <x:v>2735.98</x:v>
      </x:c>
      <x:c r="F1466" s="11" t="n">
        <x:v>60.48</x:v>
      </x:c>
      <x:c r="G1466" s="11" t="n">
        <x:v>2675.5</x:v>
      </x:c>
      <x:c r="H1466" s="23" t="n">
        <x:v>0.0001332431278685559</x:v>
      </x:c>
      <x:c r="I1466" s="23" t="n">
        <x:v>0.8715538425225884</x:v>
      </x:c>
      <x:c r="J1466" s="2" t="n">
        <x:v>404</x:v>
      </x:c>
      <x:c r="K1466" s="2"/>
      <x:c r="L1466" s="2"/>
    </x:row>
    <x:row r="1467" ht="22" customHeight="1">
      <x:c r="A1467" s="2"/>
      <x:c r="B1467" s="2" t="n">
        <x:v>1434</x:v>
      </x:c>
      <x:c r="C1467" s="2" t="str">
        <x:v>47503J</x:v>
      </x:c>
      <x:c r="D1467" s="2" t="str">
        <x:v>SET/3 FLORAL GARDEN TOOLS IN BAG</x:v>
      </x:c>
      <x:c r="E1467" s="11" t="n">
        <x:v>2735.5099999999998</x:v>
      </x:c>
      <x:c r="F1467" s="11" t="n">
        <x:v>151.05</x:v>
      </x:c>
      <x:c r="G1467" s="11" t="n">
        <x:v>2584.46</x:v>
      </x:c>
      <x:c r="H1467" s="23" t="n">
        <x:v>0.0001332202387136285</x:v>
      </x:c>
      <x:c r="I1467" s="23" t="n">
        <x:v>0.871687062761302</x:v>
      </x:c>
      <x:c r="J1467" s="2" t="n">
        <x:v>75</x:v>
      </x:c>
      <x:c r="K1467" s="2"/>
      <x:c r="L1467" s="2"/>
    </x:row>
    <x:row r="1468" ht="22" customHeight="1">
      <x:c r="A1468" s="2"/>
      <x:c r="B1468" s="2" t="n">
        <x:v>1435</x:v>
      </x:c>
      <x:c r="C1468" s="2" t="str">
        <x:v>85183B</x:v>
      </x:c>
      <x:c r="D1468" s="2" t="str">
        <x:v>CHARLIE &amp; LOLA WASTEPAPER BIN FLORA</x:v>
      </x:c>
      <x:c r="E1468" s="11" t="n">
        <x:v>2731.7599999999998</x:v>
      </x:c>
      <x:c r="F1468" s="11" t="n">
        <x:v>131.25</x:v>
      </x:c>
      <x:c r="G1468" s="11" t="n">
        <x:v>2600.5099999999998</x:v>
      </x:c>
      <x:c r="H1468" s="23" t="n">
        <x:v>0.00013303761247750577</x:v>
      </x:c>
      <x:c r="I1468" s="23" t="n">
        <x:v>0.8718201003737795</x:v>
      </x:c>
      <x:c r="J1468" s="2" t="n">
        <x:v>171</x:v>
      </x:c>
      <x:c r="K1468" s="2"/>
      <x:c r="L1468" s="2"/>
    </x:row>
    <x:row r="1469" ht="22" customHeight="1">
      <x:c r="A1469" s="2"/>
      <x:c r="B1469" s="2" t="n">
        <x:v>1436</x:v>
      </x:c>
      <x:c r="C1469" s="2" t="str">
        <x:v>21788</x:v>
      </x:c>
      <x:c r="D1469" s="2" t="str">
        <x:v>KIDS RAIN MAC BLUE</x:v>
      </x:c>
      <x:c r="E1469" s="11" t="n">
        <x:v>2729.3399999999997</x:v>
      </x:c>
      <x:c r="F1469" s="11" t="n">
        <x:v>61.849999999999994</x:v>
      </x:c>
      <x:c r="G1469" s="11" t="n">
        <x:v>2667.49</x:v>
      </x:c>
      <x:c r="H1469" s="23" t="n">
        <x:v>0.00013291975767979456</x:v>
      </x:c>
      <x:c r="I1469" s="23" t="n">
        <x:v>0.8719530201314594</x:v>
      </x:c>
      <x:c r="J1469" s="2" t="n">
        <x:v>206</x:v>
      </x:c>
      <x:c r="K1469" s="2"/>
      <x:c r="L1469" s="2"/>
    </x:row>
    <x:row r="1470" ht="22" customHeight="1">
      <x:c r="A1470" s="2"/>
      <x:c r="B1470" s="2" t="n">
        <x:v>1437</x:v>
      </x:c>
      <x:c r="C1470" s="2" t="str">
        <x:v>23407</x:v>
      </x:c>
      <x:c r="D1470" s="2" t="str">
        <x:v>SET OF 2 TRAYS HOME SWEET HOME</x:v>
      </x:c>
      <x:c r="E1470" s="11" t="n">
        <x:v>2729.33</x:v>
      </x:c>
      <x:c r="F1470" s="11" t="n">
        <x:v>59.699999999999996</x:v>
      </x:c>
      <x:c r="G1470" s="11" t="n">
        <x:v>2669.6299999999997</x:v>
      </x:c>
      <x:c r="H1470" s="23" t="n">
        <x:v>0.00013291927067649826</x:v>
      </x:c>
      <x:c r="I1470" s="23" t="n">
        <x:v>0.8720859394021359</x:v>
      </x:c>
      <x:c r="J1470" s="2" t="n">
        <x:v>133</x:v>
      </x:c>
      <x:c r="K1470" s="2"/>
      <x:c r="L1470" s="2"/>
    </x:row>
    <x:row r="1471" ht="22" customHeight="1">
      <x:c r="A1471" s="2"/>
      <x:c r="B1471" s="2" t="n">
        <x:v>1438</x:v>
      </x:c>
      <x:c r="C1471" s="2" t="str">
        <x:v>22914</x:v>
      </x:c>
      <x:c r="D1471" s="2" t="str">
        <x:v>BLUE COAT RACK PARIS FASHION</x:v>
      </x:c>
      <x:c r="E1471" s="11" t="n">
        <x:v>2725.61</x:v>
      </x:c>
      <x:c r="F1471" s="11" t="n">
        <x:v>24.75</x:v>
      </x:c>
      <x:c r="G1471" s="11" t="n">
        <x:v>2700.86</x:v>
      </x:c>
      <x:c r="H1471" s="23" t="n">
        <x:v>0.0001327381054502645</x:v>
      </x:c>
      <x:c r="I1471" s="23" t="n">
        <x:v>0.8722186775075861</x:v>
      </x:c>
      <x:c r="J1471" s="2" t="n">
        <x:v>170</x:v>
      </x:c>
      <x:c r="K1471" s="2"/>
      <x:c r="L1471" s="2"/>
    </x:row>
    <x:row r="1472" ht="22" customHeight="1">
      <x:c r="A1472" s="2"/>
      <x:c r="B1472" s="2" t="n">
        <x:v>1439</x:v>
      </x:c>
      <x:c r="C1472" s="2" t="str">
        <x:v>22651</x:v>
      </x:c>
      <x:c r="D1472" s="2" t="str">
        <x:v>GENTLEMAN SHIRT REPAIR KIT </x:v>
      </x:c>
      <x:c r="E1472" s="11" t="n">
        <x:v>2724.2599999999998</x:v>
      </x:c>
      <x:c r="F1472" s="11" t="n">
        <x:v>0</x:v>
      </x:c>
      <x:c r="G1472" s="11" t="n">
        <x:v>2724.2599999999998</x:v>
      </x:c>
      <x:c r="H1472" s="23" t="n">
        <x:v>0.0001326723600052603</x:v>
      </x:c>
      <x:c r="I1472" s="23" t="n">
        <x:v>0.8723513498675913</x:v>
      </x:c>
      <x:c r="J1472" s="2" t="n">
        <x:v>270</x:v>
      </x:c>
      <x:c r="K1472" s="2"/>
      <x:c r="L1472" s="2"/>
    </x:row>
    <x:row r="1473" ht="22" customHeight="1">
      <x:c r="A1473" s="2"/>
      <x:c r="B1473" s="2" t="n">
        <x:v>1440</x:v>
      </x:c>
      <x:c r="C1473" s="2" t="str">
        <x:v>21808</x:v>
      </x:c>
      <x:c r="D1473" s="2" t="str">
        <x:v>CHRISTMAS GARLAND STARS,TREES</x:v>
      </x:c>
      <x:c r="E1473" s="11" t="n">
        <x:v>2723.03</x:v>
      </x:c>
      <x:c r="F1473" s="11" t="n">
        <x:v>155</x:v>
      </x:c>
      <x:c r="G1473" s="11" t="n">
        <x:v>2568.03</x:v>
      </x:c>
      <x:c r="H1473" s="23" t="n">
        <x:v>0.00013261245859981207</x:v>
      </x:c>
      <x:c r="I1473" s="23" t="n">
        <x:v>0.8724839623261912</x:v>
      </x:c>
      <x:c r="J1473" s="2" t="n">
        <x:v>144</x:v>
      </x:c>
      <x:c r="K1473" s="2"/>
      <x:c r="L1473" s="2"/>
    </x:row>
    <x:row r="1474" ht="22" customHeight="1">
      <x:c r="A1474" s="2"/>
      <x:c r="B1474" s="2" t="n">
        <x:v>1441</x:v>
      </x:c>
      <x:c r="C1474" s="2" t="str">
        <x:v>23333</x:v>
      </x:c>
      <x:c r="D1474" s="2" t="str">
        <x:v>IVORY WICKER HEART MEDIUM</x:v>
      </x:c>
      <x:c r="E1474" s="11" t="n">
        <x:v>2721.7</x:v>
      </x:c>
      <x:c r="F1474" s="11" t="n">
        <x:v>15</x:v>
      </x:c>
      <x:c r="G1474" s="11" t="n">
        <x:v>2706.7</x:v>
      </x:c>
      <x:c r="H1474" s="23" t="n">
        <x:v>0.0001325476871614005</x:v>
      </x:c>
      <x:c r="I1474" s="23" t="n">
        <x:v>0.8726165100133526</x:v>
      </x:c>
      <x:c r="J1474" s="2" t="n">
        <x:v>233</x:v>
      </x:c>
      <x:c r="K1474" s="2"/>
      <x:c r="L1474" s="2"/>
    </x:row>
    <x:row r="1475" ht="22" customHeight="1">
      <x:c r="A1475" s="2"/>
      <x:c r="B1475" s="2" t="n">
        <x:v>1442</x:v>
      </x:c>
      <x:c r="C1475" s="2" t="str">
        <x:v>21744</x:v>
      </x:c>
      <x:c r="D1475" s="2" t="str">
        <x:v>SNOWFLAKE PORTABLE TABLE LIGHT </x:v>
      </x:c>
      <x:c r="E1475" s="11" t="n">
        <x:v>2720.76</x:v>
      </x:c>
      <x:c r="F1475" s="11" t="n">
        <x:v>17.700000000000003</x:v>
      </x:c>
      <x:c r="G1475" s="11" t="n">
        <x:v>2703.0600000000004</x:v>
      </x:c>
      <x:c r="H1475" s="23" t="n">
        <x:v>0.00013250190885154576</x:v>
      </x:c>
      <x:c r="I1475" s="23" t="n">
        <x:v>0.8727490119222041</x:v>
      </x:c>
      <x:c r="J1475" s="2" t="n">
        <x:v>217</x:v>
      </x:c>
      <x:c r="K1475" s="2"/>
      <x:c r="L1475" s="2"/>
    </x:row>
    <x:row r="1476" ht="22" customHeight="1">
      <x:c r="A1476" s="2"/>
      <x:c r="B1476" s="2" t="n">
        <x:v>1443</x:v>
      </x:c>
      <x:c r="C1476" s="2" t="str">
        <x:v>22231</x:v>
      </x:c>
      <x:c r="D1476" s="2" t="str">
        <x:v>JIGSAW TREE WITH BIRDHOUSE</x:v>
      </x:c>
      <x:c r="E1476" s="11" t="n">
        <x:v>2718.87</x:v>
      </x:c>
      <x:c r="F1476" s="11" t="n">
        <x:v>150.15</x:v>
      </x:c>
      <x:c r="G1476" s="11" t="n">
        <x:v>2568.72</x:v>
      </x:c>
      <x:c r="H1476" s="23" t="n">
        <x:v>0.00013240986522853988</x:v>
      </x:c>
      <x:c r="I1476" s="23" t="n">
        <x:v>0.8728814217874327</x:v>
      </x:c>
      <x:c r="J1476" s="2" t="n">
        <x:v>297</x:v>
      </x:c>
      <x:c r="K1476" s="2"/>
      <x:c r="L1476" s="2"/>
    </x:row>
    <x:row r="1477" ht="22" customHeight="1">
      <x:c r="A1477" s="2"/>
      <x:c r="B1477" s="2" t="n">
        <x:v>1444</x:v>
      </x:c>
      <x:c r="C1477" s="2" t="str">
        <x:v>23164</x:v>
      </x:c>
      <x:c r="D1477" s="2" t="str">
        <x:v>REGENCY CAKE SLICE</x:v>
      </x:c>
      <x:c r="E1477" s="11" t="n">
        <x:v>2718.65</x:v>
      </x:c>
      <x:c r="F1477" s="11" t="n">
        <x:v>4.95</x:v>
      </x:c>
      <x:c r="G1477" s="11" t="n">
        <x:v>2713.7000000000003</x:v>
      </x:c>
      <x:c r="H1477" s="23" t="n">
        <x:v>0.0001323991511560207</x:v>
      </x:c>
      <x:c r="I1477" s="23" t="n">
        <x:v>0.8730138209385887</x:v>
      </x:c>
      <x:c r="J1477" s="2" t="n">
        <x:v>92</x:v>
      </x:c>
      <x:c r="K1477" s="2"/>
      <x:c r="L1477" s="2"/>
    </x:row>
    <x:row r="1478" ht="22" customHeight="1">
      <x:c r="A1478" s="2"/>
      <x:c r="B1478" s="2" t="n">
        <x:v>1445</x:v>
      </x:c>
      <x:c r="C1478" s="2" t="str">
        <x:v>47480</x:v>
      </x:c>
      <x:c r="D1478" s="2" t="str">
        <x:v>HANGING PHOTO CLIP ROPE LADDER</x:v>
      </x:c>
      <x:c r="E1478" s="11" t="n">
        <x:v>2717.2799999999997</x:v>
      </x:c>
      <x:c r="F1478" s="11" t="n">
        <x:v>24.749999999999996</x:v>
      </x:c>
      <x:c r="G1478" s="11" t="n">
        <x:v>2692.5299999999997</x:v>
      </x:c>
      <x:c r="H1478" s="23" t="n">
        <x:v>0.00013233243170442384</x:v>
      </x:c>
      <x:c r="I1478" s="23" t="n">
        <x:v>0.8731461533702931</x:v>
      </x:c>
      <x:c r="J1478" s="2" t="n">
        <x:v>150</x:v>
      </x:c>
      <x:c r="K1478" s="2"/>
      <x:c r="L1478" s="2"/>
    </x:row>
    <x:row r="1479" ht="22" customHeight="1">
      <x:c r="A1479" s="2"/>
      <x:c r="B1479" s="2" t="n">
        <x:v>1446</x:v>
      </x:c>
      <x:c r="C1479" s="2" t="str">
        <x:v>22155</x:v>
      </x:c>
      <x:c r="D1479" s="2" t="str">
        <x:v>STAR DECORATION RUSTIC</x:v>
      </x:c>
      <x:c r="E1479" s="11" t="n">
        <x:v>2716.33</x:v>
      </x:c>
      <x:c r="F1479" s="11" t="n">
        <x:v>22.26</x:v>
      </x:c>
      <x:c r="G1479" s="11" t="n">
        <x:v>2694.07</x:v>
      </x:c>
      <x:c r="H1479" s="23" t="n">
        <x:v>0.00013228616639127276</x:v>
      </x:c>
      <x:c r="I1479" s="23" t="n">
        <x:v>0.8732784395366844</x:v>
      </x:c>
      <x:c r="J1479" s="2" t="n">
        <x:v>340</x:v>
      </x:c>
      <x:c r="K1479" s="2"/>
      <x:c r="L1479" s="2"/>
    </x:row>
    <x:row r="1480" ht="22" customHeight="1">
      <x:c r="A1480" s="2"/>
      <x:c r="B1480" s="2" t="n">
        <x:v>1447</x:v>
      </x:c>
      <x:c r="C1480" s="2" t="str">
        <x:v>21096</x:v>
      </x:c>
      <x:c r="D1480" s="2" t="str">
        <x:v>SET/6 FRUIT SALAD  PAPER PLATES</x:v>
      </x:c>
      <x:c r="E1480" s="11" t="n">
        <x:v>2715.96</x:v>
      </x:c>
      <x:c r="F1480" s="11" t="n">
        <x:v>911.0400000000001</x:v>
      </x:c>
      <x:c r="G1480" s="11" t="n">
        <x:v>1804.92</x:v>
      </x:c>
      <x:c r="H1480" s="23" t="n">
        <x:v>0.00013226814726930865</x:v>
      </x:c>
      <x:c r="I1480" s="23" t="n">
        <x:v>0.8734107076839537</x:v>
      </x:c>
      <x:c r="J1480" s="2" t="n">
        <x:v>143</x:v>
      </x:c>
      <x:c r="K1480" s="2"/>
      <x:c r="L1480" s="2"/>
    </x:row>
    <x:row r="1481" ht="22" customHeight="1">
      <x:c r="A1481" s="2"/>
      <x:c r="B1481" s="2" t="n">
        <x:v>1448</x:v>
      </x:c>
      <x:c r="C1481" s="2" t="str">
        <x:v>22524</x:v>
      </x:c>
      <x:c r="D1481" s="2" t="str">
        <x:v>CHILDRENS GARDEN GLOVES BLUE</x:v>
      </x:c>
      <x:c r="E1481" s="11" t="n">
        <x:v>2713.23</x:v>
      </x:c>
      <x:c r="F1481" s="11" t="n">
        <x:v>17.5</x:v>
      </x:c>
      <x:c r="G1481" s="11" t="n">
        <x:v>2695.73</x:v>
      </x:c>
      <x:c r="H1481" s="23" t="n">
        <x:v>0.0001321351953694113</x:v>
      </x:c>
      <x:c r="I1481" s="23" t="n">
        <x:v>0.873542842879323</x:v>
      </x:c>
      <x:c r="J1481" s="2" t="n">
        <x:v>293</x:v>
      </x:c>
      <x:c r="K1481" s="2"/>
      <x:c r="L1481" s="2"/>
    </x:row>
    <x:row r="1482" ht="22" customHeight="1">
      <x:c r="A1482" s="2"/>
      <x:c r="B1482" s="2" t="n">
        <x:v>1449</x:v>
      </x:c>
      <x:c r="C1482" s="2" t="str">
        <x:v>85035C</x:v>
      </x:c>
      <x:c r="D1482" s="2" t="str">
        <x:v>ROSE 3 WICK MORRIS BOX CANDLE</x:v>
      </x:c>
      <x:c r="E1482" s="11" t="n">
        <x:v>2712.6</x:v>
      </x:c>
      <x:c r="F1482" s="11" t="n">
        <x:v>12.75</x:v>
      </x:c>
      <x:c r="G1482" s="11" t="n">
        <x:v>2699.85</x:v>
      </x:c>
      <x:c r="H1482" s="23" t="n">
        <x:v>0.00013210451416174266</x:v>
      </x:c>
      <x:c r="I1482" s="23" t="n">
        <x:v>0.8736749473934848</x:v>
      </x:c>
      <x:c r="J1482" s="2" t="n">
        <x:v>197</x:v>
      </x:c>
      <x:c r="K1482" s="2"/>
      <x:c r="L1482" s="2"/>
    </x:row>
    <x:row r="1483" ht="22" customHeight="1">
      <x:c r="A1483" s="2"/>
      <x:c r="B1483" s="2" t="n">
        <x:v>1450</x:v>
      </x:c>
      <x:c r="C1483" s="2" t="str">
        <x:v>21224</x:v>
      </x:c>
      <x:c r="D1483" s="2" t="str">
        <x:v>SET/4 SKULL BADGES</x:v>
      </x:c>
      <x:c r="E1483" s="11" t="n">
        <x:v>2709.41</x:v>
      </x:c>
      <x:c r="F1483" s="11" t="n">
        <x:v>27.5</x:v>
      </x:c>
      <x:c r="G1483" s="11" t="n">
        <x:v>2681.91</x:v>
      </x:c>
      <x:c r="H1483" s="23" t="n">
        <x:v>0.00013194916011021428</x:v>
      </x:c>
      <x:c r="I1483" s="23" t="n">
        <x:v>0.873806896553595</x:v>
      </x:c>
      <x:c r="J1483" s="2" t="n">
        <x:v>312</x:v>
      </x:c>
      <x:c r="K1483" s="2"/>
      <x:c r="L1483" s="2"/>
    </x:row>
    <x:row r="1484" ht="22" customHeight="1">
      <x:c r="A1484" s="2"/>
      <x:c r="B1484" s="2" t="n">
        <x:v>1451</x:v>
      </x:c>
      <x:c r="C1484" s="2" t="str">
        <x:v>23489</x:v>
      </x:c>
      <x:c r="D1484" s="2" t="str">
        <x:v>VINTAGE BELLS GARLAND</x:v>
      </x:c>
      <x:c r="E1484" s="11" t="n">
        <x:v>2709.23</x:v>
      </x:c>
      <x:c r="F1484" s="11" t="n">
        <x:v>0</x:v>
      </x:c>
      <x:c r="G1484" s="11" t="n">
        <x:v>2709.23</x:v>
      </x:c>
      <x:c r="H1484" s="23" t="n">
        <x:v>0.00013194039405088037</x:v>
      </x:c>
      <x:c r="I1484" s="23" t="n">
        <x:v>0.8739388369476458</x:v>
      </x:c>
      <x:c r="J1484" s="2" t="n">
        <x:v>159</x:v>
      </x:c>
      <x:c r="K1484" s="2"/>
      <x:c r="L1484" s="2"/>
    </x:row>
    <x:row r="1485" ht="22" customHeight="1">
      <x:c r="A1485" s="2"/>
      <x:c r="B1485" s="2" t="n">
        <x:v>1452</x:v>
      </x:c>
      <x:c r="C1485" s="2" t="str">
        <x:v>22479</x:v>
      </x:c>
      <x:c r="D1485" s="2" t="str">
        <x:v>DAISY GARDEN MARKER</x:v>
      </x:c>
      <x:c r="E1485" s="11" t="n">
        <x:v>2706.19</x:v>
      </x:c>
      <x:c r="F1485" s="11" t="n">
        <x:v>0</x:v>
      </x:c>
      <x:c r="G1485" s="11" t="n">
        <x:v>2706.19</x:v>
      </x:c>
      <x:c r="H1485" s="23" t="n">
        <x:v>0.0001317923450487969</x:v>
      </x:c>
      <x:c r="I1485" s="23" t="n">
        <x:v>0.8740706292926946</x:v>
      </x:c>
      <x:c r="J1485" s="2" t="n">
        <x:v>214</x:v>
      </x:c>
      <x:c r="K1485" s="2"/>
      <x:c r="L1485" s="2"/>
    </x:row>
    <x:row r="1486" ht="22" customHeight="1">
      <x:c r="A1486" s="2"/>
      <x:c r="B1486" s="2" t="n">
        <x:v>1453</x:v>
      </x:c>
      <x:c r="C1486" s="2" t="str">
        <x:v>23292</x:v>
      </x:c>
      <x:c r="D1486" s="2" t="str">
        <x:v>SPACEBOY CHILDRENS CUP</x:v>
      </x:c>
      <x:c r="E1486" s="11" t="n">
        <x:v>2704.58</x:v>
      </x:c>
      <x:c r="F1486" s="11" t="n">
        <x:v>26.25</x:v>
      </x:c>
      <x:c r="G1486" s="11" t="n">
        <x:v>2678.33</x:v>
      </x:c>
      <x:c r="H1486" s="23" t="n">
        <x:v>0.0001317139375180882</x:v>
      </x:c>
      <x:c r="I1486" s="23" t="n">
        <x:v>0.8742023432302127</x:v>
      </x:c>
      <x:c r="J1486" s="2" t="n">
        <x:v>222</x:v>
      </x:c>
      <x:c r="K1486" s="2"/>
      <x:c r="L1486" s="2"/>
    </x:row>
    <x:row r="1487" ht="22" customHeight="1">
      <x:c r="A1487" s="2"/>
      <x:c r="B1487" s="2" t="n">
        <x:v>1454</x:v>
      </x:c>
      <x:c r="C1487" s="2" t="str">
        <x:v>22436</x:v>
      </x:c>
      <x:c r="D1487" s="2" t="str">
        <x:v>12 COLOURED PARTY BALLOONS</x:v>
      </x:c>
      <x:c r="E1487" s="11" t="n">
        <x:v>2701.35</x:v>
      </x:c>
      <x:c r="F1487" s="11" t="n">
        <x:v>17.55</x:v>
      </x:c>
      <x:c r="G1487" s="11" t="n">
        <x:v>2683.8</x:v>
      </x:c>
      <x:c r="H1487" s="23" t="n">
        <x:v>0.00013155663545337448</x:v>
      </x:c>
      <x:c r="I1487" s="23" t="n">
        <x:v>0.8743338998656661</x:v>
      </x:c>
      <x:c r="J1487" s="2" t="n">
        <x:v>289</x:v>
      </x:c>
      <x:c r="K1487" s="2"/>
      <x:c r="L1487" s="2"/>
    </x:row>
    <x:row r="1488" ht="22" customHeight="1">
      <x:c r="A1488" s="2"/>
      <x:c r="B1488" s="2" t="n">
        <x:v>1455</x:v>
      </x:c>
      <x:c r="C1488" s="2" t="str">
        <x:v>23264</x:v>
      </x:c>
      <x:c r="D1488" s="2" t="str">
        <x:v>SET OF 3 WOODEN SLEIGH DECORATIONS</x:v>
      </x:c>
      <x:c r="E1488" s="11" t="n">
        <x:v>2694.56</x:v>
      </x:c>
      <x:c r="F1488" s="11" t="n">
        <x:v>1.25</x:v>
      </x:c>
      <x:c r="G1488" s="11" t="n">
        <x:v>2693.31</x:v>
      </x:c>
      <x:c r="H1488" s="23" t="n">
        <x:v>0.00013122596021516823</x:v>
      </x:c>
      <x:c r="I1488" s="23" t="n">
        <x:v>0.8744651258258813</x:v>
      </x:c>
      <x:c r="J1488" s="2" t="n">
        <x:v>299</x:v>
      </x:c>
      <x:c r="K1488" s="2"/>
      <x:c r="L1488" s="2"/>
    </x:row>
    <x:row r="1489" ht="22" customHeight="1">
      <x:c r="A1489" s="2"/>
      <x:c r="B1489" s="2" t="n">
        <x:v>1456</x:v>
      </x:c>
      <x:c r="C1489" s="2" t="str">
        <x:v>22495</x:v>
      </x:c>
      <x:c r="D1489" s="2" t="str">
        <x:v>SET OF 2 ROUND TINS CAMEMBERT </x:v>
      </x:c>
      <x:c r="E1489" s="11" t="n">
        <x:v>2688.2200000000003</x:v>
      </x:c>
      <x:c r="F1489" s="11" t="n">
        <x:v>17.700000000000003</x:v>
      </x:c>
      <x:c r="G1489" s="11" t="n">
        <x:v>2670.5200000000004</x:v>
      </x:c>
      <x:c r="H1489" s="23" t="n">
        <x:v>0.00013091720012529674</x:v>
      </x:c>
      <x:c r="I1489" s="23" t="n">
        <x:v>0.8745960430260066</x:v>
      </x:c>
      <x:c r="J1489" s="2" t="n">
        <x:v>237</x:v>
      </x:c>
      <x:c r="K1489" s="2"/>
      <x:c r="L1489" s="2"/>
    </x:row>
    <x:row r="1490" ht="22" customHeight="1">
      <x:c r="A1490" s="2"/>
      <x:c r="B1490" s="2" t="n">
        <x:v>1457</x:v>
      </x:c>
      <x:c r="C1490" s="2" t="str">
        <x:v>21204</x:v>
      </x:c>
      <x:c r="D1490" s="2" t="str">
        <x:v>DAISIES  HONEYCOMB GARLAND </x:v>
      </x:c>
      <x:c r="E1490" s="11" t="n">
        <x:v>2682.99</x:v>
      </x:c>
      <x:c r="F1490" s="11" t="n">
        <x:v>71.25</x:v>
      </x:c>
      <x:c r="G1490" s="11" t="n">
        <x:v>2611.74</x:v>
      </x:c>
      <x:c r="H1490" s="23" t="n">
        <x:v>0.00013066249740131754</x:v>
      </x:c>
      <x:c r="I1490" s="23" t="n">
        <x:v>0.8747267055234079</x:v>
      </x:c>
      <x:c r="J1490" s="2" t="n">
        <x:v>205</x:v>
      </x:c>
      <x:c r="K1490" s="2"/>
      <x:c r="L1490" s="2"/>
    </x:row>
    <x:row r="1491" ht="22" customHeight="1">
      <x:c r="A1491" s="2"/>
      <x:c r="B1491" s="2" t="n">
        <x:v>1458</x:v>
      </x:c>
      <x:c r="C1491" s="2" t="str">
        <x:v>21923</x:v>
      </x:c>
      <x:c r="D1491" s="2" t="str">
        <x:v>RED/CREAM STRIPE FRINGE HAMMOCK</x:v>
      </x:c>
      <x:c r="E1491" s="11" t="n">
        <x:v>2678.54</x:v>
      </x:c>
      <x:c r="F1491" s="11" t="n">
        <x:v>15.9</x:v>
      </x:c>
      <x:c r="G1491" s="11" t="n">
        <x:v>2662.6400000000003</x:v>
      </x:c>
      <x:c r="H1491" s="23" t="n">
        <x:v>0.0001304457809344519</x:v>
      </x:c>
      <x:c r="I1491" s="23" t="n">
        <x:v>0.8748571513043424</x:v>
      </x:c>
      <x:c r="J1491" s="2" t="n">
        <x:v>119</x:v>
      </x:c>
      <x:c r="K1491" s="2"/>
      <x:c r="L1491" s="2"/>
    </x:row>
    <x:row r="1492" ht="22" customHeight="1">
      <x:c r="A1492" s="2"/>
      <x:c r="B1492" s="2" t="n">
        <x:v>1459</x:v>
      </x:c>
      <x:c r="C1492" s="2" t="str">
        <x:v>90057</x:v>
      </x:c>
      <x:c r="D1492" s="2" t="str">
        <x:v>DIAMANTE RING ASSORTED IN BOX.</x:v>
      </x:c>
      <x:c r="E1492" s="11" t="n">
        <x:v>2675.88</x:v>
      </x:c>
      <x:c r="F1492" s="11" t="n">
        <x:v>0</x:v>
      </x:c>
      <x:c r="G1492" s="11" t="n">
        <x:v>2675.88</x:v>
      </x:c>
      <x:c r="H1492" s="23" t="n">
        <x:v>0.00013031623805762884</x:v>
      </x:c>
      <x:c r="I1492" s="23" t="n">
        <x:v>0.8749874675424</x:v>
      </x:c>
      <x:c r="J1492" s="2" t="n">
        <x:v>37</x:v>
      </x:c>
      <x:c r="K1492" s="2"/>
      <x:c r="L1492" s="2"/>
    </x:row>
    <x:row r="1493" ht="22" customHeight="1">
      <x:c r="A1493" s="2"/>
      <x:c r="B1493" s="2" t="n">
        <x:v>1460</x:v>
      </x:c>
      <x:c r="C1493" s="2" t="str">
        <x:v>22028</x:v>
      </x:c>
      <x:c r="D1493" s="2" t="str">
        <x:v>PENNY FARTHING BIRTHDAY CARD</x:v>
      </x:c>
      <x:c r="E1493" s="11" t="n">
        <x:v>2675.21</x:v>
      </x:c>
      <x:c r="F1493" s="11" t="n">
        <x:v>10.08</x:v>
      </x:c>
      <x:c r="G1493" s="11" t="n">
        <x:v>2665.13</x:v>
      </x:c>
      <x:c r="H1493" s="23" t="n">
        <x:v>0.0001302836088367749</x:v>
      </x:c>
      <x:c r="I1493" s="23" t="n">
        <x:v>0.8751177511512368</x:v>
      </x:c>
      <x:c r="J1493" s="2" t="n">
        <x:v>507</x:v>
      </x:c>
      <x:c r="K1493" s="2"/>
      <x:c r="L1493" s="2"/>
    </x:row>
    <x:row r="1494" ht="22" customHeight="1">
      <x:c r="A1494" s="2"/>
      <x:c r="B1494" s="2" t="n">
        <x:v>1461</x:v>
      </x:c>
      <x:c r="C1494" s="2" t="str">
        <x:v>21742</x:v>
      </x:c>
      <x:c r="D1494" s="2" t="str">
        <x:v>LARGE ROUND WICKER PLATTER </x:v>
      </x:c>
      <x:c r="E1494" s="11" t="n">
        <x:v>2665.13</x:v>
      </x:c>
      <x:c r="F1494" s="11" t="n">
        <x:v>0</x:v>
      </x:c>
      <x:c r="G1494" s="11" t="n">
        <x:v>2665.13</x:v>
      </x:c>
      <x:c r="H1494" s="23" t="n">
        <x:v>0.00012979270951407701</x:v>
      </x:c>
      <x:c r="I1494" s="23" t="n">
        <x:v>0.8752475438607509</x:v>
      </x:c>
      <x:c r="J1494" s="2" t="n">
        <x:v>193</x:v>
      </x:c>
      <x:c r="K1494" s="2"/>
      <x:c r="L1494" s="2"/>
    </x:row>
    <x:row r="1495" ht="22" customHeight="1">
      <x:c r="A1495" s="2"/>
      <x:c r="B1495" s="2" t="n">
        <x:v>1462</x:v>
      </x:c>
      <x:c r="C1495" s="2" t="str">
        <x:v>22270</x:v>
      </x:c>
      <x:c r="D1495" s="2" t="str">
        <x:v>HAPPY EASTER HANGING DECORATION</x:v>
      </x:c>
      <x:c r="E1495" s="11" t="n">
        <x:v>2664.92</x:v>
      </x:c>
      <x:c r="F1495" s="11" t="n">
        <x:v>96.78</x:v>
      </x:c>
      <x:c r="G1495" s="11" t="n">
        <x:v>2568.14</x:v>
      </x:c>
      <x:c r="H1495" s="23" t="n">
        <x:v>0.00012978248244485414</x:v>
      </x:c>
      <x:c r="I1495" s="23" t="n">
        <x:v>0.8753773263431958</x:v>
      </x:c>
      <x:c r="J1495" s="2" t="n">
        <x:v>153</x:v>
      </x:c>
      <x:c r="K1495" s="2"/>
      <x:c r="L1495" s="2"/>
    </x:row>
    <x:row r="1496" ht="22" customHeight="1">
      <x:c r="A1496" s="2"/>
      <x:c r="B1496" s="2" t="n">
        <x:v>1463</x:v>
      </x:c>
      <x:c r="C1496" s="2" t="str">
        <x:v>22500</x:v>
      </x:c>
      <x:c r="D1496" s="2" t="str">
        <x:v>SET OF 2 TINS JARDIN DE PROVENCE</x:v>
      </x:c>
      <x:c r="E1496" s="11" t="n">
        <x:v>2660.96</x:v>
      </x:c>
      <x:c r="F1496" s="11" t="n">
        <x:v>19.8</x:v>
      </x:c>
      <x:c r="G1496" s="11" t="n">
        <x:v>2641.1600000000003</x:v>
      </x:c>
      <x:c r="H1496" s="23" t="n">
        <x:v>0.00012958962913950852</x:v>
      </x:c>
      <x:c r="I1496" s="23" t="n">
        <x:v>0.8755069159723353</x:v>
      </x:c>
      <x:c r="J1496" s="2" t="n">
        <x:v>198</x:v>
      </x:c>
      <x:c r="K1496" s="2"/>
      <x:c r="L1496" s="2"/>
    </x:row>
    <x:row r="1497" ht="22" customHeight="1">
      <x:c r="A1497" s="2"/>
      <x:c r="B1497" s="2" t="n">
        <x:v>1464</x:v>
      </x:c>
      <x:c r="C1497" s="2" t="str">
        <x:v>21897</x:v>
      </x:c>
      <x:c r="D1497" s="2" t="str">
        <x:v>POTTING SHED CANDLE CITRONELLA</x:v>
      </x:c>
      <x:c r="E1497" s="11" t="n">
        <x:v>2659.0600000000004</x:v>
      </x:c>
      <x:c r="F1497" s="11" t="n">
        <x:v>14.750000000000002</x:v>
      </x:c>
      <x:c r="G1497" s="11" t="n">
        <x:v>2644.3100000000004</x:v>
      </x:c>
      <x:c r="H1497" s="23" t="n">
        <x:v>0.00012949709851320634</x:v>
      </x:c>
      <x:c r="I1497" s="23" t="n">
        <x:v>0.8756364130708485</x:v>
      </x:c>
      <x:c r="J1497" s="2" t="n">
        <x:v>106</x:v>
      </x:c>
      <x:c r="K1497" s="2"/>
      <x:c r="L1497" s="2"/>
    </x:row>
    <x:row r="1498" ht="22" customHeight="1">
      <x:c r="A1498" s="2"/>
      <x:c r="B1498" s="2" t="n">
        <x:v>1465</x:v>
      </x:c>
      <x:c r="C1498" s="2" t="str">
        <x:v>85049B</x:v>
      </x:c>
      <x:c r="D1498" s="2" t="str">
        <x:v>Amazon</x:v>
      </x:c>
      <x:c r="E1498" s="11" t="n">
        <x:v>2658.3</x:v>
      </x:c>
      <x:c r="F1498" s="11" t="n">
        <x:v>0</x:v>
      </x:c>
      <x:c r="G1498" s="11" t="n">
        <x:v>2658.3</x:v>
      </x:c>
      <x:c r="H1498" s="23" t="n">
        <x:v>0.00012946008626268547</x:v>
      </x:c>
      <x:c r="I1498" s="23" t="n">
        <x:v>0.8757658731571112</x:v>
      </x:c>
      <x:c r="J1498" s="2" t="n">
        <x:v>338</x:v>
      </x:c>
      <x:c r="K1498" s="2"/>
      <x:c r="L1498" s="2"/>
    </x:row>
    <x:row r="1499" ht="22" customHeight="1">
      <x:c r="A1499" s="2"/>
      <x:c r="B1499" s="2" t="n">
        <x:v>1466</x:v>
      </x:c>
      <x:c r="C1499" s="2" t="str">
        <x:v>23146</x:v>
      </x:c>
      <x:c r="D1499" s="2" t="str">
        <x:v>TRIPLE HOOK ANTIQUE IVORY ROSE</x:v>
      </x:c>
      <x:c r="E1499" s="11" t="n">
        <x:v>2655.13</x:v>
      </x:c>
      <x:c r="F1499" s="11" t="n">
        <x:v>164.1</x:v>
      </x:c>
      <x:c r="G1499" s="11" t="n">
        <x:v>2491.03</x:v>
      </x:c>
      <x:c r="H1499" s="23" t="n">
        <x:v>0.0001293057062177497</x:v>
      </x:c>
      <x:c r="I1499" s="23" t="n">
        <x:v>0.8758951788633289</x:v>
      </x:c>
      <x:c r="J1499" s="2" t="n">
        <x:v>227</x:v>
      </x:c>
      <x:c r="K1499" s="2"/>
      <x:c r="L1499" s="2"/>
    </x:row>
    <x:row r="1500" ht="22" customHeight="1">
      <x:c r="A1500" s="2"/>
      <x:c r="B1500" s="2" t="n">
        <x:v>1467</x:v>
      </x:c>
      <x:c r="C1500" s="2" t="str">
        <x:v>22152</x:v>
      </x:c>
      <x:c r="D1500" s="2" t="str">
        <x:v>PLACE SETTING WHITE STAR</x:v>
      </x:c>
      <x:c r="E1500" s="11" t="n">
        <x:v>2653.2</x:v>
      </x:c>
      <x:c r="F1500" s="11" t="n">
        <x:v>4.62</x:v>
      </x:c>
      <x:c r="G1500" s="11" t="n">
        <x:v>2648.58</x:v>
      </x:c>
      <x:c r="H1500" s="23" t="n">
        <x:v>0.00012921171458155854</x:v>
      </x:c>
      <x:c r="I1500" s="23" t="n">
        <x:v>0.8760243905779105</x:v>
      </x:c>
      <x:c r="J1500" s="2" t="n">
        <x:v>241</x:v>
      </x:c>
      <x:c r="K1500" s="2"/>
      <x:c r="L1500" s="2"/>
    </x:row>
    <x:row r="1501" ht="22" customHeight="1">
      <x:c r="A1501" s="2"/>
      <x:c r="B1501" s="2" t="n">
        <x:v>1468</x:v>
      </x:c>
      <x:c r="C1501" s="2" t="str">
        <x:v>22094</x:v>
      </x:c>
      <x:c r="D1501" s="2" t="str">
        <x:v>RED RETROSPOT TISSUE BOX</x:v>
      </x:c>
      <x:c r="E1501" s="11" t="n">
        <x:v>2652.25</x:v>
      </x:c>
      <x:c r="F1501" s="11" t="n">
        <x:v>73.72</x:v>
      </x:c>
      <x:c r="G1501" s="11" t="n">
        <x:v>2578.53</x:v>
      </x:c>
      <x:c r="H1501" s="23" t="n">
        <x:v>0.00012916544926840743</x:v>
      </x:c>
      <x:c r="I1501" s="23" t="n">
        <x:v>0.8761535560271789</x:v>
      </x:c>
      <x:c r="J1501" s="2" t="n">
        <x:v>339</x:v>
      </x:c>
      <x:c r="K1501" s="2"/>
      <x:c r="L1501" s="2"/>
    </x:row>
    <x:row r="1502" ht="22" customHeight="1">
      <x:c r="A1502" s="2"/>
      <x:c r="B1502" s="2" t="n">
        <x:v>1469</x:v>
      </x:c>
      <x:c r="C1502" s="2" t="str">
        <x:v>22713</x:v>
      </x:c>
      <x:c r="D1502" s="2" t="str">
        <x:v>CARD I LOVE LONDON </x:v>
      </x:c>
      <x:c r="E1502" s="11" t="n">
        <x:v>2651.4</x:v>
      </x:c>
      <x:c r="F1502" s="11" t="n">
        <x:v>8.4</x:v>
      </x:c>
      <x:c r="G1502" s="11" t="n">
        <x:v>2643</x:v>
      </x:c>
      <x:c r="H1502" s="23" t="n">
        <x:v>0.00012912405398821962</x:v>
      </x:c>
      <x:c r="I1502" s="23" t="n">
        <x:v>0.8762826800811672</x:v>
      </x:c>
      <x:c r="J1502" s="2" t="n">
        <x:v>368</x:v>
      </x:c>
      <x:c r="K1502" s="2"/>
      <x:c r="L1502" s="2"/>
    </x:row>
    <x:row r="1503" ht="22" customHeight="1">
      <x:c r="A1503" s="2"/>
      <x:c r="B1503" s="2" t="n">
        <x:v>1470</x:v>
      </x:c>
      <x:c r="C1503" s="2" t="str">
        <x:v>72800E</x:v>
      </x:c>
      <x:c r="D1503" s="2" t="str">
        <x:v>4 IVORY DINNER CANDLES SILVER FLOCK</x:v>
      </x:c>
      <x:c r="E1503" s="11" t="n">
        <x:v>2648.8</x:v>
      </x:c>
      <x:c r="F1503" s="11" t="n">
        <x:v>9.48</x:v>
      </x:c>
      <x:c r="G1503" s="11" t="n">
        <x:v>2639.32</x:v>
      </x:c>
      <x:c r="H1503" s="23" t="n">
        <x:v>0.00012899743313117453</x:v>
      </x:c>
      <x:c r="I1503" s="23" t="n">
        <x:v>0.8764116775142984</x:v>
      </x:c>
      <x:c r="J1503" s="2" t="n">
        <x:v>286</x:v>
      </x:c>
      <x:c r="K1503" s="2"/>
      <x:c r="L1503" s="2"/>
    </x:row>
    <x:row r="1504" ht="22" customHeight="1">
      <x:c r="A1504" s="2"/>
      <x:c r="B1504" s="2" t="n">
        <x:v>1471</x:v>
      </x:c>
      <x:c r="C1504" s="2" t="str">
        <x:v>22376</x:v>
      </x:c>
      <x:c r="D1504" s="2" t="str">
        <x:v>AIRLINE BAG VINTAGE JET SET WHITE</x:v>
      </x:c>
      <x:c r="E1504" s="11" t="n">
        <x:v>2647.0299999999997</x:v>
      </x:c>
      <x:c r="F1504" s="11" t="n">
        <x:v>0</x:v>
      </x:c>
      <x:c r="G1504" s="11" t="n">
        <x:v>2647.0299999999997</x:v>
      </x:c>
      <x:c r="H1504" s="23" t="n">
        <x:v>0.0001289112335477246</x:v>
      </x:c>
      <x:c r="I1504" s="23" t="n">
        <x:v>0.8765405887478461</x:v>
      </x:c>
      <x:c r="J1504" s="2" t="n">
        <x:v>246</x:v>
      </x:c>
      <x:c r="K1504" s="2"/>
      <x:c r="L1504" s="2"/>
    </x:row>
    <x:row r="1505" ht="22" customHeight="1">
      <x:c r="A1505" s="2"/>
      <x:c r="B1505" s="2" t="n">
        <x:v>1472</x:v>
      </x:c>
      <x:c r="C1505" s="2" t="str">
        <x:v>85049F</x:v>
      </x:c>
      <x:c r="D1505" s="2" t="str">
        <x:v>BABY BOOM RIBBONS </x:v>
      </x:c>
      <x:c r="E1505" s="11" t="n">
        <x:v>2642.75</x:v>
      </x:c>
      <x:c r="F1505" s="11" t="n">
        <x:v>31.25</x:v>
      </x:c>
      <x:c r="G1505" s="11" t="n">
        <x:v>2611.5</x:v>
      </x:c>
      <x:c r="H1505" s="23" t="n">
        <x:v>0.0001287027961368965</x:v>
      </x:c>
      <x:c r="I1505" s="23" t="n">
        <x:v>0.876669291543983</x:v>
      </x:c>
      <x:c r="J1505" s="2" t="n">
        <x:v>314</x:v>
      </x:c>
      <x:c r="K1505" s="2"/>
      <x:c r="L1505" s="2"/>
    </x:row>
    <x:row r="1506" ht="22" customHeight="1">
      <x:c r="A1506" s="2"/>
      <x:c r="B1506" s="2" t="n">
        <x:v>1473</x:v>
      </x:c>
      <x:c r="C1506" s="2" t="str">
        <x:v>22146</x:v>
      </x:c>
      <x:c r="D1506" s="2" t="str">
        <x:v>EASTER CRAFT IVY WREATH WITH CHICK</x:v>
      </x:c>
      <x:c r="E1506" s="11" t="n">
        <x:v>2640.93</x:v>
      </x:c>
      <x:c r="F1506" s="11" t="n">
        <x:v>77.7</x:v>
      </x:c>
      <x:c r="G1506" s="11" t="n">
        <x:v>2563.23</x:v>
      </x:c>
      <x:c r="H1506" s="23" t="n">
        <x:v>0.00012861416153696494</x:v>
      </x:c>
      <x:c r="I1506" s="23" t="n">
        <x:v>0.87679790570552</x:v>
      </x:c>
      <x:c r="J1506" s="2" t="n">
        <x:v>107</x:v>
      </x:c>
      <x:c r="K1506" s="2"/>
      <x:c r="L1506" s="2"/>
    </x:row>
    <x:row r="1507" ht="22" customHeight="1">
      <x:c r="A1507" s="2"/>
      <x:c r="B1507" s="2" t="n">
        <x:v>1474</x:v>
      </x:c>
      <x:c r="C1507" s="2" t="str">
        <x:v>22758</x:v>
      </x:c>
      <x:c r="D1507" s="2" t="str">
        <x:v>LARGE PURPLE BABUSHKA NOTEBOOK  </x:v>
      </x:c>
      <x:c r="E1507" s="11" t="n">
        <x:v>2638.35</x:v>
      </x:c>
      <x:c r="F1507" s="11" t="n">
        <x:v>37.5</x:v>
      </x:c>
      <x:c r="G1507" s="11" t="n">
        <x:v>2600.85</x:v>
      </x:c>
      <x:c r="H1507" s="23" t="n">
        <x:v>0.0001284885146865125</x:v>
      </x:c>
      <x:c r="I1507" s="23" t="n">
        <x:v>0.8769263942202065</x:v>
      </x:c>
      <x:c r="J1507" s="2" t="n">
        <x:v>314</x:v>
      </x:c>
      <x:c r="K1507" s="2"/>
      <x:c r="L1507" s="2"/>
    </x:row>
    <x:row r="1508" ht="22" customHeight="1">
      <x:c r="A1508" s="2"/>
      <x:c r="B1508" s="2" t="n">
        <x:v>1475</x:v>
      </x:c>
      <x:c r="C1508" s="2" t="str">
        <x:v>84754</x:v>
      </x:c>
      <x:c r="D1508" s="2" t="str">
        <x:v>S/15 SILVER GLASS BAUBLES IN BAG</x:v>
      </x:c>
      <x:c r="E1508" s="11" t="n">
        <x:v>2637.09</x:v>
      </x:c>
      <x:c r="F1508" s="11" t="n">
        <x:v>155.14000000000001</x:v>
      </x:c>
      <x:c r="G1508" s="11" t="n">
        <x:v>2481.95</x:v>
      </x:c>
      <x:c r="H1508" s="23" t="n">
        <x:v>0.00012842715227117526</x:v>
      </x:c>
      <x:c r="I1508" s="23" t="n">
        <x:v>0.8770548213724776</x:v>
      </x:c>
      <x:c r="J1508" s="2" t="n">
        <x:v>218</x:v>
      </x:c>
      <x:c r="K1508" s="2"/>
      <x:c r="L1508" s="2"/>
    </x:row>
    <x:row r="1509" ht="22" customHeight="1">
      <x:c r="A1509" s="2"/>
      <x:c r="B1509" s="2" t="n">
        <x:v>1476</x:v>
      </x:c>
      <x:c r="C1509" s="2" t="str">
        <x:v>84012</x:v>
      </x:c>
      <x:c r="D1509" s="2" t="str">
        <x:v>MAGIC SHEEP WOOL GROWING FROM PAPER</x:v>
      </x:c>
      <x:c r="E1509" s="11" t="n">
        <x:v>2633.57</x:v>
      </x:c>
      <x:c r="F1509" s="11" t="n">
        <x:v>102</x:v>
      </x:c>
      <x:c r="G1509" s="11" t="n">
        <x:v>2531.57</x:v>
      </x:c>
      <x:c r="H1509" s="23" t="n">
        <x:v>0.00012825572711086807</x:v>
      </x:c>
      <x:c r="I1509" s="23" t="n">
        <x:v>0.8771830770995884</x:v>
      </x:c>
      <x:c r="J1509" s="2" t="n">
        <x:v>179</x:v>
      </x:c>
      <x:c r="K1509" s="2"/>
      <x:c r="L1509" s="2"/>
    </x:row>
    <x:row r="1510" ht="22" customHeight="1">
      <x:c r="A1510" s="2"/>
      <x:c r="B1510" s="2" t="n">
        <x:v>1477</x:v>
      </x:c>
      <x:c r="C1510" s="2" t="str">
        <x:v>82597</x:v>
      </x:c>
      <x:c r="D1510" s="2" t="str">
        <x:v>BOMBS AWAY METAL SIGN</x:v>
      </x:c>
      <x:c r="E1510" s="11" t="n">
        <x:v>2624.26</x:v>
      </x:c>
      <x:c r="F1510" s="11" t="n">
        <x:v>5.89</x:v>
      </x:c>
      <x:c r="G1510" s="11" t="n">
        <x:v>2618.3700000000003</x:v>
      </x:c>
      <x:c r="H1510" s="23" t="n">
        <x:v>0.00012780232704198734</x:v>
      </x:c>
      <x:c r="I1510" s="23" t="n">
        <x:v>0.8773108794266304</x:v>
      </x:c>
      <x:c r="J1510" s="2" t="n">
        <x:v>215</x:v>
      </x:c>
      <x:c r="K1510" s="2"/>
      <x:c r="L1510" s="2"/>
    </x:row>
    <x:row r="1511" ht="22" customHeight="1">
      <x:c r="A1511" s="2"/>
      <x:c r="B1511" s="2" t="n">
        <x:v>1478</x:v>
      </x:c>
      <x:c r="C1511" s="2" t="str">
        <x:v>84849D</x:v>
      </x:c>
      <x:c r="D1511" s="2" t="str">
        <x:v>HOT BATHS SOAP HOLDER</x:v>
      </x:c>
      <x:c r="E1511" s="11" t="n">
        <x:v>2621.65</x:v>
      </x:c>
      <x:c r="F1511" s="11" t="n">
        <x:v>40.56</x:v>
      </x:c>
      <x:c r="G1511" s="11" t="n">
        <x:v>2581.09</x:v>
      </x:c>
      <x:c r="H1511" s="23" t="n">
        <x:v>0.00012767521918164592</x:v>
      </x:c>
      <x:c r="I1511" s="23" t="n">
        <x:v>0.8774385546458121</x:v>
      </x:c>
      <x:c r="J1511" s="2" t="n">
        <x:v>260</x:v>
      </x:c>
      <x:c r="K1511" s="2"/>
      <x:c r="L1511" s="2"/>
    </x:row>
    <x:row r="1512" ht="22" customHeight="1">
      <x:c r="A1512" s="2"/>
      <x:c r="B1512" s="2" t="n">
        <x:v>1479</x:v>
      </x:c>
      <x:c r="C1512" s="2" t="str">
        <x:v>23054</x:v>
      </x:c>
      <x:c r="D1512" s="2" t="str">
        <x:v>RECYCLED ACAPULCO MAT LAVENDER</x:v>
      </x:c>
      <x:c r="E1512" s="11" t="n">
        <x:v>2621.43</x:v>
      </x:c>
      <x:c r="F1512" s="11" t="n">
        <x:v>8.25</x:v>
      </x:c>
      <x:c r="G1512" s="11" t="n">
        <x:v>2613.18</x:v>
      </x:c>
      <x:c r="H1512" s="23" t="n">
        <x:v>0.00012766450510912671</x:v>
      </x:c>
      <x:c r="I1512" s="23" t="n">
        <x:v>0.8775662191509213</x:v>
      </x:c>
      <x:c r="J1512" s="2" t="n">
        <x:v>130</x:v>
      </x:c>
      <x:c r="K1512" s="2"/>
      <x:c r="L1512" s="2"/>
    </x:row>
    <x:row r="1513" ht="22" customHeight="1">
      <x:c r="A1513" s="2"/>
      <x:c r="B1513" s="2" t="n">
        <x:v>1480</x:v>
      </x:c>
      <x:c r="C1513" s="2" t="str">
        <x:v>47585A</x:v>
      </x:c>
      <x:c r="D1513" s="2" t="str">
        <x:v>PINK FAIRY CAKE CUSHION COVER</x:v>
      </x:c>
      <x:c r="E1513" s="11" t="n">
        <x:v>2620.38</x:v>
      </x:c>
      <x:c r="F1513" s="11" t="n">
        <x:v>18.75</x:v>
      </x:c>
      <x:c r="G1513" s="11" t="n">
        <x:v>2601.63</x:v>
      </x:c>
      <x:c r="H1513" s="23" t="n">
        <x:v>0.00012761336976301234</x:v>
      </x:c>
      <x:c r="I1513" s="23" t="n">
        <x:v>0.8776938325206842</x:v>
      </x:c>
      <x:c r="J1513" s="2" t="n">
        <x:v>148</x:v>
      </x:c>
      <x:c r="K1513" s="2"/>
      <x:c r="L1513" s="2"/>
    </x:row>
    <x:row r="1514" ht="22" customHeight="1">
      <x:c r="A1514" s="2"/>
      <x:c r="B1514" s="2" t="n">
        <x:v>1481</x:v>
      </x:c>
      <x:c r="C1514" s="2" t="str">
        <x:v>21422</x:v>
      </x:c>
      <x:c r="D1514" s="2" t="str">
        <x:v>PORCELAIN ROSE SMALL</x:v>
      </x:c>
      <x:c r="E1514" s="11" t="n">
        <x:v>2619.17</x:v>
      </x:c>
      <x:c r="F1514" s="11" t="n">
        <x:v>3.4</x:v>
      </x:c>
      <x:c r="G1514" s="11" t="n">
        <x:v>2615.77</x:v>
      </x:c>
      <x:c r="H1514" s="23" t="n">
        <x:v>0.00012755444236415674</x:v>
      </x:c>
      <x:c r="I1514" s="23" t="n">
        <x:v>0.8778213869630483</x:v>
      </x:c>
      <x:c r="J1514" s="2" t="n">
        <x:v>147</x:v>
      </x:c>
      <x:c r="K1514" s="2"/>
      <x:c r="L1514" s="2"/>
    </x:row>
    <x:row r="1515" ht="22" customHeight="1">
      <x:c r="A1515" s="2"/>
      <x:c r="B1515" s="2" t="n">
        <x:v>1482</x:v>
      </x:c>
      <x:c r="C1515" s="2" t="str">
        <x:v>72799E</x:v>
      </x:c>
      <x:c r="D1515" s="2" t="str">
        <x:v>IVORY PILLAR CANDLE SILVER FLOCK</x:v>
      </x:c>
      <x:c r="E1515" s="11" t="n">
        <x:v>2618.34</x:v>
      </x:c>
      <x:c r="F1515" s="11" t="n">
        <x:v>17.700000000000003</x:v>
      </x:c>
      <x:c r="G1515" s="11" t="n">
        <x:v>2600.6400000000003</x:v>
      </x:c>
      <x:c r="H1515" s="23" t="n">
        <x:v>0.00012751402109056157</x:v>
      </x:c>
      <x:c r="I1515" s="23" t="n">
        <x:v>0.8779489009841389</x:v>
      </x:c>
      <x:c r="J1515" s="2" t="n">
        <x:v>178</x:v>
      </x:c>
      <x:c r="K1515" s="2"/>
      <x:c r="L1515" s="2"/>
    </x:row>
    <x:row r="1516" ht="22" customHeight="1">
      <x:c r="A1516" s="2"/>
      <x:c r="B1516" s="2" t="n">
        <x:v>1483</x:v>
      </x:c>
      <x:c r="C1516" s="2" t="str">
        <x:v>22046</x:v>
      </x:c>
      <x:c r="D1516" s="2" t="str">
        <x:v>TEA PARTY  WRAPPING PAPER </x:v>
      </x:c>
      <x:c r="E1516" s="11" t="n">
        <x:v>2613.5</x:v>
      </x:c>
      <x:c r="F1516" s="11" t="n">
        <x:v>14.28</x:v>
      </x:c>
      <x:c r="G1516" s="11" t="n">
        <x:v>2599.22</x:v>
      </x:c>
      <x:c r="H1516" s="23" t="n">
        <x:v>0.00012727831149513915</x:v>
      </x:c>
      <x:c r="I1516" s="23" t="n">
        <x:v>0.8780761792956341</x:v>
      </x:c>
      <x:c r="J1516" s="2" t="n">
        <x:v>208</x:v>
      </x:c>
      <x:c r="K1516" s="2"/>
      <x:c r="L1516" s="2"/>
    </x:row>
    <x:row r="1517" ht="22" customHeight="1">
      <x:c r="A1517" s="2"/>
      <x:c r="B1517" s="2" t="n">
        <x:v>1484</x:v>
      </x:c>
      <x:c r="C1517" s="2" t="str">
        <x:v>22439</x:v>
      </x:c>
      <x:c r="D1517" s="2" t="str">
        <x:v>6 ROCKET BALLOONS </x:v>
      </x:c>
      <x:c r="E1517" s="11" t="n">
        <x:v>2612.6600000000003</x:v>
      </x:c>
      <x:c r="F1517" s="11" t="n">
        <x:v>48.75</x:v>
      </x:c>
      <x:c r="G1517" s="11" t="n">
        <x:v>2563.9100000000003</x:v>
      </x:c>
      <x:c r="H1517" s="23" t="n">
        <x:v>0.00012723740321824768</x:v>
      </x:c>
      <x:c r="I1517" s="23" t="n">
        <x:v>0.8782034166988524</x:v>
      </x:c>
      <x:c r="J1517" s="2" t="n">
        <x:v>363</x:v>
      </x:c>
      <x:c r="K1517" s="2"/>
      <x:c r="L1517" s="2"/>
    </x:row>
    <x:row r="1518" ht="22" customHeight="1">
      <x:c r="A1518" s="2"/>
      <x:c r="B1518" s="2" t="n">
        <x:v>1485</x:v>
      </x:c>
      <x:c r="C1518" s="2" t="str">
        <x:v>85034B</x:v>
      </x:c>
      <x:c r="D1518" s="2" t="str">
        <x:v>3 WHITE CHOC MORRIS BOXED CANDLES</x:v>
      </x:c>
      <x:c r="E1518" s="11" t="n">
        <x:v>2611.64</x:v>
      </x:c>
      <x:c r="F1518" s="11" t="n">
        <x:v>0</x:v>
      </x:c>
      <x:c r="G1518" s="11" t="n">
        <x:v>2611.64</x:v>
      </x:c>
      <x:c r="H1518" s="23" t="n">
        <x:v>0.00012718772888202227</x:v>
      </x:c>
      <x:c r="I1518" s="23" t="n">
        <x:v>0.8783306044277344</x:v>
      </x:c>
      <x:c r="J1518" s="2" t="n">
        <x:v>152</x:v>
      </x:c>
      <x:c r="K1518" s="2"/>
      <x:c r="L1518" s="2"/>
    </x:row>
    <x:row r="1519" ht="22" customHeight="1">
      <x:c r="A1519" s="2"/>
      <x:c r="B1519" s="2" t="n">
        <x:v>1486</x:v>
      </x:c>
      <x:c r="C1519" s="2" t="str">
        <x:v>37502</x:v>
      </x:c>
      <x:c r="D1519" s="2" t="str">
        <x:v>TEA TIME MUG IN GIFT BOX</x:v>
      </x:c>
      <x:c r="E1519" s="11" t="n">
        <x:v>2611.59</x:v>
      </x:c>
      <x:c r="F1519" s="11" t="n">
        <x:v>2.95</x:v>
      </x:c>
      <x:c r="G1519" s="11" t="n">
        <x:v>2608.6400000000003</x:v>
      </x:c>
      <x:c r="H1519" s="23" t="n">
        <x:v>0.00012718529386554066</x:v>
      </x:c>
      <x:c r="I1519" s="23" t="n">
        <x:v>0.8784577897215999</x:v>
      </x:c>
      <x:c r="J1519" s="2" t="n">
        <x:v>171</x:v>
      </x:c>
      <x:c r="K1519" s="2"/>
      <x:c r="L1519" s="2"/>
    </x:row>
    <x:row r="1520" ht="22" customHeight="1">
      <x:c r="A1520" s="2"/>
      <x:c r="B1520" s="2" t="n">
        <x:v>1487</x:v>
      </x:c>
      <x:c r="C1520" s="2" t="str">
        <x:v>85034C</x:v>
      </x:c>
      <x:c r="D1520" s="2" t="str">
        <x:v>3 ROSE MORRIS BOXED CANDLES</x:v>
      </x:c>
      <x:c r="E1520" s="11" t="n">
        <x:v>2609.15</x:v>
      </x:c>
      <x:c r="F1520" s="11" t="n">
        <x:v>85.75</x:v>
      </x:c>
      <x:c r="G1520" s="11" t="n">
        <x:v>2523.4</x:v>
      </x:c>
      <x:c r="H1520" s="23" t="n">
        <x:v>0.0001270664650612368</x:v>
      </x:c>
      <x:c r="I1520" s="23" t="n">
        <x:v>0.8785848561866612</x:v>
      </x:c>
      <x:c r="J1520" s="2" t="n">
        <x:v>197</x:v>
      </x:c>
      <x:c r="K1520" s="2"/>
      <x:c r="L1520" s="2"/>
    </x:row>
    <x:row r="1521" ht="22" customHeight="1">
      <x:c r="A1521" s="2"/>
      <x:c r="B1521" s="2" t="n">
        <x:v>1488</x:v>
      </x:c>
      <x:c r="C1521" s="2" t="str">
        <x:v>90062</x:v>
      </x:c>
      <x:c r="D1521" s="2" t="str">
        <x:v>CARNIVAL BRACELET</x:v>
      </x:c>
      <x:c r="E1521" s="11" t="n">
        <x:v>2604.17</x:v>
      </x:c>
      <x:c r="F1521" s="11" t="n">
        <x:v>63.75</x:v>
      </x:c>
      <x:c r="G1521" s="11" t="n">
        <x:v>2540.42</x:v>
      </x:c>
      <x:c r="H1521" s="23" t="n">
        <x:v>0.0001268239374196658</x:v>
      </x:c>
      <x:c r="I1521" s="23" t="n">
        <x:v>0.8787116801240809</x:v>
      </x:c>
      <x:c r="J1521" s="2" t="n">
        <x:v>109</x:v>
      </x:c>
      <x:c r="K1521" s="2"/>
      <x:c r="L1521" s="2"/>
    </x:row>
    <x:row r="1522" ht="22" customHeight="1">
      <x:c r="A1522" s="2"/>
      <x:c r="B1522" s="2" t="n">
        <x:v>1489</x:v>
      </x:c>
      <x:c r="C1522" s="2" t="str">
        <x:v>22190</x:v>
      </x:c>
      <x:c r="D1522" s="2" t="str">
        <x:v>LOCAL CAFE MUG</x:v>
      </x:c>
      <x:c r="E1522" s="11" t="n">
        <x:v>2591.67</x:v>
      </x:c>
      <x:c r="F1522" s="11" t="n">
        <x:v>2.1</x:v>
      </x:c>
      <x:c r="G1522" s="11" t="n">
        <x:v>2589.57</x:v>
      </x:c>
      <x:c r="H1522" s="23" t="n">
        <x:v>0.00012621518329925668</x:v>
      </x:c>
      <x:c r="I1522" s="23" t="n">
        <x:v>0.8788378953073801</x:v>
      </x:c>
      <x:c r="J1522" s="2" t="n">
        <x:v>242</x:v>
      </x:c>
      <x:c r="K1522" s="2"/>
      <x:c r="L1522" s="2"/>
    </x:row>
    <x:row r="1523" ht="22" customHeight="1">
      <x:c r="A1523" s="2"/>
      <x:c r="B1523" s="2" t="n">
        <x:v>1490</x:v>
      </x:c>
      <x:c r="C1523" s="2" t="str">
        <x:v>22933</x:v>
      </x:c>
      <x:c r="D1523" s="2" t="str">
        <x:v>BAKING MOULD EASTER EGG MILK CHOC</x:v>
      </x:c>
      <x:c r="E1523" s="11" t="n">
        <x:v>2585.92</x:v>
      </x:c>
      <x:c r="F1523" s="11" t="n">
        <x:v>337.80000000000007</x:v>
      </x:c>
      <x:c r="G1523" s="11" t="n">
        <x:v>2248.1200000000003</x:v>
      </x:c>
      <x:c r="H1523" s="23" t="n">
        <x:v>0.0001259351564038685</x:v>
      </x:c>
      <x:c r="I1523" s="23" t="n">
        <x:v>0.878963830463784</x:v>
      </x:c>
      <x:c r="J1523" s="2" t="n">
        <x:v>122</x:v>
      </x:c>
      <x:c r="K1523" s="2"/>
      <x:c r="L1523" s="2"/>
    </x:row>
    <x:row r="1524" ht="22" customHeight="1">
      <x:c r="A1524" s="2"/>
      <x:c r="B1524" s="2" t="n">
        <x:v>1491</x:v>
      </x:c>
      <x:c r="C1524" s="2" t="str">
        <x:v>21818</x:v>
      </x:c>
      <x:c r="D1524" s="2" t="str">
        <x:v>GLITTER HEART DECORATION</x:v>
      </x:c>
      <x:c r="E1524" s="11" t="n">
        <x:v>2584.69</x:v>
      </x:c>
      <x:c r="F1524" s="11" t="n">
        <x:v>0</x:v>
      </x:c>
      <x:c r="G1524" s="11" t="n">
        <x:v>2584.69</x:v>
      </x:c>
      <x:c r="H1524" s="23" t="n">
        <x:v>0.00012587525499842023</x:v>
      </x:c>
      <x:c r="I1524" s="23" t="n">
        <x:v>0.8790897057187824</x:v>
      </x:c>
      <x:c r="J1524" s="2" t="n">
        <x:v>285</x:v>
      </x:c>
      <x:c r="K1524" s="2"/>
      <x:c r="L1524" s="2"/>
    </x:row>
    <x:row r="1525" ht="22" customHeight="1">
      <x:c r="A1525" s="2"/>
      <x:c r="B1525" s="2" t="n">
        <x:v>1492</x:v>
      </x:c>
      <x:c r="C1525" s="2" t="str">
        <x:v>21589</x:v>
      </x:c>
      <x:c r="D1525" s="2" t="str">
        <x:v>SWALLOW GIANT TUBE MATCHES</x:v>
      </x:c>
      <x:c r="E1525" s="11" t="n">
        <x:v>2583.4500000000003</x:v>
      </x:c>
      <x:c r="F1525" s="11" t="n">
        <x:v>30.599999999999998</x:v>
      </x:c>
      <x:c r="G1525" s="11" t="n">
        <x:v>2552.85</x:v>
      </x:c>
      <x:c r="H1525" s="23" t="n">
        <x:v>0.00012581486658967564</x:v>
      </x:c>
      <x:c r="I1525" s="23" t="n">
        <x:v>0.8792155205853721</x:v>
      </x:c>
      <x:c r="J1525" s="2" t="n">
        <x:v>88</x:v>
      </x:c>
      <x:c r="K1525" s="2"/>
      <x:c r="L1525" s="2"/>
    </x:row>
    <x:row r="1526" ht="22" customHeight="1">
      <x:c r="A1526" s="2"/>
      <x:c r="B1526" s="2" t="n">
        <x:v>1493</x:v>
      </x:c>
      <x:c r="C1526" s="2" t="str">
        <x:v>21171</x:v>
      </x:c>
      <x:c r="D1526" s="2" t="str">
        <x:v>BATHROOM METAL SIGN </x:v>
      </x:c>
      <x:c r="E1526" s="11" t="n">
        <x:v>2581.17</x:v>
      </x:c>
      <x:c r="F1526" s="11" t="n">
        <x:v>0</x:v>
      </x:c>
      <x:c r="G1526" s="11" t="n">
        <x:v>2581.17</x:v>
      </x:c>
      <x:c r="H1526" s="23" t="n">
        <x:v>0.000125703829838113</x:v>
      </x:c>
      <x:c r="I1526" s="23" t="n">
        <x:v>0.8793412244152102</x:v>
      </x:c>
      <x:c r="J1526" s="2" t="n">
        <x:v>260</x:v>
      </x:c>
      <x:c r="K1526" s="2"/>
      <x:c r="L1526" s="2"/>
    </x:row>
    <x:row r="1527" ht="22" customHeight="1">
      <x:c r="A1527" s="2"/>
      <x:c r="B1527" s="2" t="n">
        <x:v>1494</x:v>
      </x:c>
      <x:c r="C1527" s="2" t="str">
        <x:v>21642</x:v>
      </x:c>
      <x:c r="D1527" s="2" t="str">
        <x:v>ASSORTED TUTTI FRUTTI PEN</x:v>
      </x:c>
      <x:c r="E1527" s="11" t="n">
        <x:v>2578.87</x:v>
      </x:c>
      <x:c r="F1527" s="11" t="n">
        <x:v>172.33999999999997</x:v>
      </x:c>
      <x:c r="G1527" s="11" t="n">
        <x:v>2406.5299999999997</x:v>
      </x:c>
      <x:c r="H1527" s="23" t="n">
        <x:v>0.00012559181907995773</x:v>
      </x:c>
      <x:c r="I1527" s="23" t="n">
        <x:v>0.8794668162342902</x:v>
      </x:c>
      <x:c r="J1527" s="2" t="n">
        <x:v>251</x:v>
      </x:c>
      <x:c r="K1527" s="2"/>
      <x:c r="L1527" s="2"/>
    </x:row>
    <x:row r="1528" ht="22" customHeight="1">
      <x:c r="A1528" s="2"/>
      <x:c r="B1528" s="2" t="n">
        <x:v>1495</x:v>
      </x:c>
      <x:c r="C1528" s="2" t="str">
        <x:v>21653</x:v>
      </x:c>
      <x:c r="D1528" s="2" t="str">
        <x:v>GLASS ETCHED T-LIGHT HOLDER LARGE</x:v>
      </x:c>
      <x:c r="E1528" s="11" t="n">
        <x:v>2576.17</x:v>
      </x:c>
      <x:c r="F1528" s="11" t="n">
        <x:v>14.700000000000001</x:v>
      </x:c>
      <x:c r="G1528" s="11" t="n">
        <x:v>2561.4700000000003</x:v>
      </x:c>
      <x:c r="H1528" s="23" t="n">
        <x:v>0.00012546032818994937</x:v>
      </x:c>
      <x:c r="I1528" s="23" t="n">
        <x:v>0.8795922765624802</x:v>
      </x:c>
      <x:c r="J1528" s="2" t="n">
        <x:v>111</x:v>
      </x:c>
      <x:c r="K1528" s="2"/>
      <x:c r="L1528" s="2"/>
    </x:row>
    <x:row r="1529" ht="22" customHeight="1">
      <x:c r="A1529" s="2"/>
      <x:c r="B1529" s="2" t="n">
        <x:v>1496</x:v>
      </x:c>
      <x:c r="C1529" s="2" t="str">
        <x:v>22471</x:v>
      </x:c>
      <x:c r="D1529" s="2" t="str">
        <x:v>TV DINNER TRAY AIR HOSTESS </x:v>
      </x:c>
      <x:c r="E1529" s="11" t="n">
        <x:v>2573.71</x:v>
      </x:c>
      <x:c r="F1529" s="11" t="n">
        <x:v>11.85</x:v>
      </x:c>
      <x:c r="G1529" s="11" t="n">
        <x:v>2561.86</x:v>
      </x:c>
      <x:c r="H1529" s="23" t="n">
        <x:v>0.00012534052537905286</x:v>
      </x:c>
      <x:c r="I1529" s="23" t="n">
        <x:v>0.8797176170878592</x:v>
      </x:c>
      <x:c r="J1529" s="2" t="n">
        <x:v>176</x:v>
      </x:c>
      <x:c r="K1529" s="2"/>
      <x:c r="L1529" s="2"/>
    </x:row>
    <x:row r="1530" ht="22" customHeight="1">
      <x:c r="A1530" s="2"/>
      <x:c r="B1530" s="2" t="n">
        <x:v>1497</x:v>
      </x:c>
      <x:c r="C1530" s="2" t="str">
        <x:v>22937</x:v>
      </x:c>
      <x:c r="D1530" s="2" t="str">
        <x:v>BAKING MOULD CHOCOLATE CUPCAKES</x:v>
      </x:c>
      <x:c r="E1530" s="11" t="n">
        <x:v>2568.3399999999997</x:v>
      </x:c>
      <x:c r="F1530" s="11" t="n">
        <x:v>33.15</x:v>
      </x:c>
      <x:c r="G1530" s="11" t="n">
        <x:v>2535.19</x:v>
      </x:c>
      <x:c r="H1530" s="23" t="n">
        <x:v>0.00012507900460892508</x:v>
      </x:c>
      <x:c r="I1530" s="23" t="n">
        <x:v>0.8798426960924681</x:v>
      </x:c>
      <x:c r="J1530" s="2" t="n">
        <x:v>160</x:v>
      </x:c>
      <x:c r="K1530" s="2"/>
      <x:c r="L1530" s="2"/>
    </x:row>
    <x:row r="1531" ht="22" customHeight="1">
      <x:c r="A1531" s="2"/>
      <x:c r="B1531" s="2" t="n">
        <x:v>1498</x:v>
      </x:c>
      <x:c r="C1531" s="2" t="str">
        <x:v>21288</x:v>
      </x:c>
      <x:c r="D1531" s="2" t="str">
        <x:v>STRIPEY CHOCOLATE NESTING BOXES</x:v>
      </x:c>
      <x:c r="E1531" s="11" t="n">
        <x:v>2566.32</x:v>
      </x:c>
      <x:c r="F1531" s="11" t="n">
        <x:v>64.15</x:v>
      </x:c>
      <x:c r="G1531" s="11" t="n">
        <x:v>2502.17</x:v>
      </x:c>
      <x:c r="H1531" s="23" t="n">
        <x:v>0.000124980629943067</x:v>
      </x:c>
      <x:c r="I1531" s="23" t="n">
        <x:v>0.8799676767224112</x:v>
      </x:c>
      <x:c r="J1531" s="2" t="n">
        <x:v>224</x:v>
      </x:c>
      <x:c r="K1531" s="2"/>
      <x:c r="L1531" s="2"/>
    </x:row>
    <x:row r="1532" ht="22" customHeight="1">
      <x:c r="A1532" s="2"/>
      <x:c r="B1532" s="2" t="n">
        <x:v>1499</x:v>
      </x:c>
      <x:c r="C1532" s="2" t="str">
        <x:v>22735</x:v>
      </x:c>
      <x:c r="D1532" s="2" t="str">
        <x:v>RIBBON REEL SOCKS AND MITTENS</x:v>
      </x:c>
      <x:c r="E1532" s="11" t="n">
        <x:v>2566.13</x:v>
      </x:c>
      <x:c r="F1532" s="11" t="n">
        <x:v>0</x:v>
      </x:c>
      <x:c r="G1532" s="11" t="n">
        <x:v>2566.13</x:v>
      </x:c>
      <x:c r="H1532" s="23" t="n">
        <x:v>0.00012497137688043675</x:v>
      </x:c>
      <x:c r="I1532" s="23" t="n">
        <x:v>0.8800926480992916</x:v>
      </x:c>
      <x:c r="J1532" s="2" t="n">
        <x:v>231</x:v>
      </x:c>
      <x:c r="K1532" s="2"/>
      <x:c r="L1532" s="2"/>
    </x:row>
    <x:row r="1533" ht="22" customHeight="1">
      <x:c r="A1533" s="2"/>
      <x:c r="B1533" s="2" t="n">
        <x:v>1500</x:v>
      </x:c>
      <x:c r="C1533" s="2" t="str">
        <x:v>22828</x:v>
      </x:c>
      <x:c r="D1533" s="2" t="str">
        <x:v>REGENCY MIRROR WITH SHUTTERS</x:v>
      </x:c>
      <x:c r="E1533" s="11" t="n">
        <x:v>2565</x:v>
      </x:c>
      <x:c r="F1533" s="11" t="n">
        <x:v>290</x:v>
      </x:c>
      <x:c r="G1533" s="11" t="n">
        <x:v>2275</x:v>
      </x:c>
      <x:c r="H1533" s="23" t="n">
        <x:v>0.00012491634550795177</x:v>
      </x:c>
      <x:c r="I1533" s="23" t="n">
        <x:v>0.8802175644447995</x:v>
      </x:c>
      <x:c r="J1533" s="2" t="n">
        <x:v>11</x:v>
      </x:c>
      <x:c r="K1533" s="2"/>
      <x:c r="L1533" s="2"/>
    </x:row>
    <x:row r="1534" ht="22" customHeight="1">
      <x:c r="A1534" s="2"/>
      <x:c r="B1534" s="2" t="n">
        <x:v>1501</x:v>
      </x:c>
      <x:c r="C1534" s="2" t="str">
        <x:v>22342</x:v>
      </x:c>
      <x:c r="D1534" s="2" t="str">
        <x:v>HOME GARLAND PAINTED ZINC </x:v>
      </x:c>
      <x:c r="E1534" s="11" t="n">
        <x:v>2562.4999999999995</x:v>
      </x:c>
      <x:c r="F1534" s="11" t="n">
        <x:v>96.29999999999998</x:v>
      </x:c>
      <x:c r="G1534" s="11" t="n">
        <x:v>2466.2</x:v>
      </x:c>
      <x:c r="H1534" s="23" t="n">
        <x:v>0.00012479459468386992</x:v>
      </x:c>
      <x:c r="I1534" s="23" t="n">
        <x:v>0.8803423590394833</x:v>
      </x:c>
      <x:c r="J1534" s="2" t="n">
        <x:v>230</x:v>
      </x:c>
      <x:c r="K1534" s="2"/>
      <x:c r="L1534" s="2"/>
    </x:row>
    <x:row r="1535" ht="22" customHeight="1">
      <x:c r="A1535" s="2"/>
      <x:c r="B1535" s="2" t="n">
        <x:v>1502</x:v>
      </x:c>
      <x:c r="C1535" s="2" t="str">
        <x:v>85035B</x:v>
      </x:c>
      <x:c r="D1535" s="2" t="str">
        <x:v>check</x:v>
      </x:c>
      <x:c r="E1535" s="11" t="n">
        <x:v>2552.04</x:v>
      </x:c>
      <x:c r="F1535" s="11" t="n">
        <x:v>0</x:v>
      </x:c>
      <x:c r="G1535" s="11" t="n">
        <x:v>2552.04</x:v>
      </x:c>
      <x:c r="H1535" s="23" t="n">
        <x:v>0.0001242851892359116</x:v>
      </x:c>
      <x:c r="I1535" s="23" t="n">
        <x:v>0.8804666442287192</x:v>
      </x:c>
      <x:c r="J1535" s="2" t="n">
        <x:v>131</x:v>
      </x:c>
      <x:c r="K1535" s="2"/>
      <x:c r="L1535" s="2"/>
    </x:row>
    <x:row r="1536" ht="22" customHeight="1">
      <x:c r="A1536" s="2"/>
      <x:c r="B1536" s="2" t="n">
        <x:v>1503</x:v>
      </x:c>
      <x:c r="C1536" s="2" t="str">
        <x:v>20960</x:v>
      </x:c>
      <x:c r="D1536" s="2" t="str">
        <x:v>WATERMELON BATH SPONGE</x:v>
      </x:c>
      <x:c r="E1536" s="11" t="n">
        <x:v>2550.84</x:v>
      </x:c>
      <x:c r="F1536" s="11" t="n">
        <x:v>0</x:v>
      </x:c>
      <x:c r="G1536" s="11" t="n">
        <x:v>2550.84</x:v>
      </x:c>
      <x:c r="H1536" s="23" t="n">
        <x:v>0.00012422674884035232</x:v>
      </x:c>
      <x:c r="I1536" s="23" t="n">
        <x:v>0.8805908709775596</x:v>
      </x:c>
      <x:c r="J1536" s="2" t="n">
        <x:v>215</x:v>
      </x:c>
      <x:c r="K1536" s="2"/>
      <x:c r="L1536" s="2"/>
    </x:row>
    <x:row r="1537" ht="22" customHeight="1">
      <x:c r="A1537" s="2"/>
      <x:c r="B1537" s="2" t="n">
        <x:v>1504</x:v>
      </x:c>
      <x:c r="C1537" s="2" t="str">
        <x:v>21898</x:v>
      </x:c>
      <x:c r="D1537" s="2" t="str">
        <x:v>POTTING SHED ROSE CANDLE</x:v>
      </x:c>
      <x:c r="E1537" s="11" t="n">
        <x:v>2544.71</x:v>
      </x:c>
      <x:c r="F1537" s="11" t="n">
        <x:v>0</x:v>
      </x:c>
      <x:c r="G1537" s="11" t="n">
        <x:v>2544.71</x:v>
      </x:c>
      <x:c r="H1537" s="23" t="n">
        <x:v>0.0001239282158197037</x:v>
      </x:c>
      <x:c r="I1537" s="23" t="n">
        <x:v>0.8807147991933794</x:v>
      </x:c>
      <x:c r="J1537" s="2" t="n">
        <x:v>113</x:v>
      </x:c>
      <x:c r="K1537" s="2"/>
      <x:c r="L1537" s="2"/>
    </x:row>
    <x:row r="1538" ht="22" customHeight="1">
      <x:c r="A1538" s="2"/>
      <x:c r="B1538" s="2" t="n">
        <x:v>1505</x:v>
      </x:c>
      <x:c r="C1538" s="2" t="str">
        <x:v>21792</x:v>
      </x:c>
      <x:c r="D1538" s="2" t="str">
        <x:v>CLASSIC FRENCH STYLE BASKET GREEN </x:v>
      </x:c>
      <x:c r="E1538" s="11" t="n">
        <x:v>2538.13</x:v>
      </x:c>
      <x:c r="F1538" s="11" t="n">
        <x:v>84.95</x:v>
      </x:c>
      <x:c r="G1538" s="11" t="n">
        <x:v>2453.18</x:v>
      </x:c>
      <x:c r="H1538" s="23" t="n">
        <x:v>0.00012360776765072033</x:v>
      </x:c>
      <x:c r="I1538" s="23" t="n">
        <x:v>0.8808384069610301</x:v>
      </x:c>
      <x:c r="J1538" s="2" t="n">
        <x:v>141</x:v>
      </x:c>
      <x:c r="K1538" s="2"/>
      <x:c r="L1538" s="2"/>
    </x:row>
    <x:row r="1539" ht="22" customHeight="1">
      <x:c r="A1539" s="2"/>
      <x:c r="B1539" s="2" t="n">
        <x:v>1506</x:v>
      </x:c>
      <x:c r="C1539" s="2" t="str">
        <x:v>21215</x:v>
      </x:c>
      <x:c r="D1539" s="2" t="str">
        <x:v>IVORY PAPER CUP CAKE CASES </x:v>
      </x:c>
      <x:c r="E1539" s="11" t="n">
        <x:v>2537.73</x:v>
      </x:c>
      <x:c r="F1539" s="11" t="n">
        <x:v>17.64</x:v>
      </x:c>
      <x:c r="G1539" s="11" t="n">
        <x:v>2520.09</x:v>
      </x:c>
      <x:c r="H1539" s="23" t="n">
        <x:v>0.00012358828751886725</x:v>
      </x:c>
      <x:c r="I1539" s="23" t="n">
        <x:v>0.880961995248549</x:v>
      </x:c>
      <x:c r="J1539" s="2" t="n">
        <x:v>291</x:v>
      </x:c>
      <x:c r="K1539" s="2"/>
      <x:c r="L1539" s="2"/>
    </x:row>
    <x:row r="1540" ht="22" customHeight="1">
      <x:c r="A1540" s="2"/>
      <x:c r="B1540" s="2" t="n">
        <x:v>1507</x:v>
      </x:c>
      <x:c r="C1540" s="2" t="str">
        <x:v>20787</x:v>
      </x:c>
      <x:c r="D1540" s="2" t="str">
        <x:v>damaged</x:v>
      </x:c>
      <x:c r="E1540" s="11" t="n">
        <x:v>2535.1</x:v>
      </x:c>
      <x:c r="F1540" s="11" t="n">
        <x:v>0</x:v>
      </x:c>
      <x:c r="G1540" s="11" t="n">
        <x:v>2535.1</x:v>
      </x:c>
      <x:c r="H1540" s="23" t="n">
        <x:v>0.00012346020565193316</x:v>
      </x:c>
      <x:c r="I1540" s="23" t="n">
        <x:v>0.8810854554542009</x:v>
      </x:c>
      <x:c r="J1540" s="2" t="n">
        <x:v>30</x:v>
      </x:c>
      <x:c r="K1540" s="2"/>
      <x:c r="L1540" s="2"/>
    </x:row>
    <x:row r="1541" ht="22" customHeight="1">
      <x:c r="A1541" s="2"/>
      <x:c r="B1541" s="2" t="n">
        <x:v>1508</x:v>
      </x:c>
      <x:c r="C1541" s="2" t="str">
        <x:v>21203</x:v>
      </x:c>
      <x:c r="D1541" s="2" t="str">
        <x:v>BUTTERFLIES  HONEYCOMB GARLAND</x:v>
      </x:c>
      <x:c r="E1541" s="11" t="n">
        <x:v>2530.2999999999997</x:v>
      </x:c>
      <x:c r="F1541" s="11" t="n">
        <x:v>71.25</x:v>
      </x:c>
      <x:c r="G1541" s="11" t="n">
        <x:v>2459.0499999999997</x:v>
      </x:c>
      <x:c r="H1541" s="23" t="n">
        <x:v>0.00012322644406969604</x:v>
      </x:c>
      <x:c r="I1541" s="23" t="n">
        <x:v>0.8812086818982706</x:v>
      </x:c>
      <x:c r="J1541" s="2" t="n">
        <x:v>145</x:v>
      </x:c>
      <x:c r="K1541" s="2"/>
      <x:c r="L1541" s="2"/>
    </x:row>
    <x:row r="1542" ht="22" customHeight="1">
      <x:c r="A1542" s="2"/>
      <x:c r="B1542" s="2" t="n">
        <x:v>1509</x:v>
      </x:c>
      <x:c r="C1542" s="2" t="str">
        <x:v>23424</x:v>
      </x:c>
      <x:c r="D1542" s="2" t="str">
        <x:v>GINGHAM RECIPE BOOK BOX</x:v>
      </x:c>
      <x:c r="E1542" s="11" t="n">
        <x:v>2529.42</x:v>
      </x:c>
      <x:c r="F1542" s="11" t="n">
        <x:v>4.95</x:v>
      </x:c>
      <x:c r="G1542" s="11" t="n">
        <x:v>2524.47</x:v>
      </x:c>
      <x:c r="H1542" s="23" t="n">
        <x:v>0.00012318358777961926</x:v>
      </x:c>
      <x:c r="I1542" s="23" t="n">
        <x:v>0.8813318654860502</x:v>
      </x:c>
      <x:c r="J1542" s="2" t="n">
        <x:v>135</x:v>
      </x:c>
      <x:c r="K1542" s="2"/>
      <x:c r="L1542" s="2"/>
    </x:row>
    <x:row r="1543" ht="22" customHeight="1">
      <x:c r="A1543" s="2"/>
      <x:c r="B1543" s="2" t="n">
        <x:v>1510</x:v>
      </x:c>
      <x:c r="C1543" s="2" t="str">
        <x:v>23681</x:v>
      </x:c>
      <x:c r="D1543" s="2" t="str">
        <x:v>LUNCH BAG RED VINTAGE DOILY</x:v>
      </x:c>
      <x:c r="E1543" s="11" t="n">
        <x:v>2526.69</x:v>
      </x:c>
      <x:c r="F1543" s="11" t="n">
        <x:v>0</x:v>
      </x:c>
      <x:c r="G1543" s="11" t="n">
        <x:v>2526.69</x:v>
      </x:c>
      <x:c r="H1543" s="23" t="n">
        <x:v>0.0001230506358797219</x:v>
      </x:c>
      <x:c r="I1543" s="23" t="n">
        <x:v>0.8814549161219299</x:v>
      </x:c>
      <x:c r="J1543" s="2" t="n">
        <x:v>132</x:v>
      </x:c>
      <x:c r="K1543" s="2"/>
      <x:c r="L1543" s="2"/>
    </x:row>
    <x:row r="1544" ht="22" customHeight="1">
      <x:c r="A1544" s="2"/>
      <x:c r="B1544" s="2" t="n">
        <x:v>1511</x:v>
      </x:c>
      <x:c r="C1544" s="2" t="str">
        <x:v>21323</x:v>
      </x:c>
      <x:c r="D1544" s="2" t="str">
        <x:v>HANGING MEDINA LANTERN LARGE</x:v>
      </x:c>
      <x:c r="E1544" s="11" t="n">
        <x:v>2523.89</x:v>
      </x:c>
      <x:c r="F1544" s="11" t="n">
        <x:v>12.75</x:v>
      </x:c>
      <x:c r="G1544" s="11" t="n">
        <x:v>2511.14</x:v>
      </x:c>
      <x:c r="H1544" s="23" t="n">
        <x:v>0.00012291427495675025</x:v>
      </x:c>
      <x:c r="I1544" s="23" t="n">
        <x:v>0.8815778303968866</x:v>
      </x:c>
      <x:c r="J1544" s="2" t="n">
        <x:v>80</x:v>
      </x:c>
      <x:c r="K1544" s="2"/>
      <x:c r="L1544" s="2"/>
    </x:row>
    <x:row r="1545" ht="22" customHeight="1">
      <x:c r="A1545" s="2"/>
      <x:c r="B1545" s="2" t="n">
        <x:v>1512</x:v>
      </x:c>
      <x:c r="C1545" s="2" t="str">
        <x:v>22415</x:v>
      </x:c>
      <x:c r="D1545" s="2" t="str">
        <x:v>WHITE TISSUE REAM</x:v>
      </x:c>
      <x:c r="E1545" s="11" t="n">
        <x:v>2520.15</x:v>
      </x:c>
      <x:c r="F1545" s="11" t="n">
        <x:v>0</x:v>
      </x:c>
      <x:c r="G1545" s="11" t="n">
        <x:v>2520.15</x:v>
      </x:c>
      <x:c r="H1545" s="23" t="n">
        <x:v>0.00012273213572392384</x:v>
      </x:c>
      <x:c r="I1545" s="23" t="n">
        <x:v>0.8817005625326105</x:v>
      </x:c>
      <x:c r="J1545" s="2" t="n">
        <x:v>204</x:v>
      </x:c>
      <x:c r="K1545" s="2"/>
      <x:c r="L1545" s="2"/>
    </x:row>
    <x:row r="1546" ht="22" customHeight="1">
      <x:c r="A1546" s="2"/>
      <x:c r="B1546" s="2" t="n">
        <x:v>1513</x:v>
      </x:c>
      <x:c r="C1546" s="2" t="str">
        <x:v>21431</x:v>
      </x:c>
      <x:c r="D1546" s="2" t="str">
        <x:v>GREEN GINGHAM FLOWER JEWELLERY BOX</x:v>
      </x:c>
      <x:c r="E1546" s="11" t="n">
        <x:v>2519.6099999999997</x:v>
      </x:c>
      <x:c r="F1546" s="11" t="n">
        <x:v>3.3</x:v>
      </x:c>
      <x:c r="G1546" s="11" t="n">
        <x:v>2516.31</x:v>
      </x:c>
      <x:c r="H1546" s="23" t="n">
        <x:v>0.00012270583754592215</x:v>
      </x:c>
      <x:c r="I1546" s="23" t="n">
        <x:v>0.8818232683701565</x:v>
      </x:c>
      <x:c r="J1546" s="2" t="n">
        <x:v>278</x:v>
      </x:c>
      <x:c r="K1546" s="2"/>
      <x:c r="L1546" s="2"/>
    </x:row>
    <x:row r="1547" ht="22" customHeight="1">
      <x:c r="A1547" s="2"/>
      <x:c r="B1547" s="2" t="n">
        <x:v>1514</x:v>
      </x:c>
      <x:c r="C1547" s="2" t="str">
        <x:v>22153</x:v>
      </x:c>
      <x:c r="D1547" s="2" t="str">
        <x:v>ANGEL DECORATION STARS ON DRESS</x:v>
      </x:c>
      <x:c r="E1547" s="11" t="n">
        <x:v>2516.62</x:v>
      </x:c>
      <x:c r="F1547" s="11" t="n">
        <x:v>69.72</x:v>
      </x:c>
      <x:c r="G1547" s="11" t="n">
        <x:v>2446.9</x:v>
      </x:c>
      <x:c r="H1547" s="23" t="n">
        <x:v>0.0001225602235603203</x:v>
      </x:c>
      <x:c r="I1547" s="23" t="n">
        <x:v>0.8819458285937167</x:v>
      </x:c>
      <x:c r="J1547" s="2" t="n">
        <x:v>283</x:v>
      </x:c>
      <x:c r="K1547" s="2"/>
      <x:c r="L1547" s="2"/>
    </x:row>
    <x:row r="1548" ht="22" customHeight="1">
      <x:c r="A1548" s="2"/>
      <x:c r="B1548" s="2" t="n">
        <x:v>1515</x:v>
      </x:c>
      <x:c r="C1548" s="2" t="str">
        <x:v>23316</x:v>
      </x:c>
      <x:c r="D1548" s="2" t="str">
        <x:v>RED REFECTORY CLOCK </x:v>
      </x:c>
      <x:c r="E1548" s="11" t="n">
        <x:v>2511.59</x:v>
      </x:c>
      <x:c r="F1548" s="11" t="n">
        <x:v>9.95</x:v>
      </x:c>
      <x:c r="G1548" s="11" t="n">
        <x:v>2501.64</x:v>
      </x:c>
      <x:c r="H1548" s="23" t="n">
        <x:v>0.00012231526090226768</x:v>
      </x:c>
      <x:c r="I1548" s="23" t="n">
        <x:v>0.882068143854619</x:v>
      </x:c>
      <x:c r="J1548" s="2" t="n">
        <x:v>110</x:v>
      </x:c>
      <x:c r="K1548" s="2"/>
      <x:c r="L1548" s="2"/>
    </x:row>
    <x:row r="1549" ht="22" customHeight="1">
      <x:c r="A1549" s="2"/>
      <x:c r="B1549" s="2" t="n">
        <x:v>1516</x:v>
      </x:c>
      <x:c r="C1549" s="2" t="str">
        <x:v>85054</x:v>
      </x:c>
      <x:c r="D1549" s="2" t="str">
        <x:v>FRENCH ENAMEL POT W LID</x:v>
      </x:c>
      <x:c r="E1549" s="11" t="n">
        <x:v>2506.82</x:v>
      </x:c>
      <x:c r="F1549" s="11" t="n">
        <x:v>20.200000000000003</x:v>
      </x:c>
      <x:c r="G1549" s="11" t="n">
        <x:v>2486.6200000000003</x:v>
      </x:c>
      <x:c r="H1549" s="23" t="n">
        <x:v>0.00012208296032991956</x:v>
      </x:c>
      <x:c r="I1549" s="23" t="n">
        <x:v>0.8821902268149489</x:v>
      </x:c>
      <x:c r="J1549" s="2" t="n">
        <x:v>204</x:v>
      </x:c>
      <x:c r="K1549" s="2"/>
      <x:c r="L1549" s="2"/>
    </x:row>
    <x:row r="1550" ht="22" customHeight="1">
      <x:c r="A1550" s="2"/>
      <x:c r="B1550" s="2" t="n">
        <x:v>1517</x:v>
      </x:c>
      <x:c r="C1550" s="2" t="str">
        <x:v>82567</x:v>
      </x:c>
      <x:c r="D1550" s="2" t="str">
        <x:v>AIRLINE LOUNGE,METAL SIGN</x:v>
      </x:c>
      <x:c r="E1550" s="11" t="n">
        <x:v>2505.28</x:v>
      </x:c>
      <x:c r="F1550" s="11" t="n">
        <x:v>2.1</x:v>
      </x:c>
      <x:c r="G1550" s="11" t="n">
        <x:v>2503.1800000000003</x:v>
      </x:c>
      <x:c r="H1550" s="23" t="n">
        <x:v>0.00012200796182228516</x:v>
      </x:c>
      <x:c r="I1550" s="23" t="n">
        <x:v>0.8823122347767711</x:v>
      </x:c>
      <x:c r="J1550" s="2" t="n">
        <x:v>489</x:v>
      </x:c>
      <x:c r="K1550" s="2"/>
      <x:c r="L1550" s="2"/>
    </x:row>
    <x:row r="1551" ht="22" customHeight="1">
      <x:c r="A1551" s="2"/>
      <x:c r="B1551" s="2" t="n">
        <x:v>1518</x:v>
      </x:c>
      <x:c r="C1551" s="2" t="str">
        <x:v>85041</x:v>
      </x:c>
      <x:c r="D1551" s="2" t="str">
        <x:v>SET/4 PINK ORCHID CANDLES IN BOWL</x:v>
      </x:c>
      <x:c r="E1551" s="11" t="n">
        <x:v>2498.12</x:v>
      </x:c>
      <x:c r="F1551" s="11" t="n">
        <x:v>23.099999999999998</x:v>
      </x:c>
      <x:c r="G1551" s="11" t="n">
        <x:v>2475.02</x:v>
      </x:c>
      <x:c r="H1551" s="23" t="n">
        <x:v>0.0001216592674621148</x:v>
      </x:c>
      <x:c r="I1551" s="23" t="n">
        <x:v>0.8824338940442332</x:v>
      </x:c>
      <x:c r="J1551" s="2" t="n">
        <x:v>92</x:v>
      </x:c>
      <x:c r="K1551" s="2"/>
      <x:c r="L1551" s="2"/>
    </x:row>
    <x:row r="1552" ht="22" customHeight="1">
      <x:c r="A1552" s="2"/>
      <x:c r="B1552" s="2" t="n">
        <x:v>1519</x:v>
      </x:c>
      <x:c r="C1552" s="2" t="str">
        <x:v>23367</x:v>
      </x:c>
      <x:c r="D1552" s="2" t="str">
        <x:v>SET 12 COLOUR PENCILS SPACEBOY </x:v>
      </x:c>
      <x:c r="E1552" s="11" t="n">
        <x:v>2495.75</x:v>
      </x:c>
      <x:c r="F1552" s="11" t="n">
        <x:v>10.4</x:v>
      </x:c>
      <x:c r="G1552" s="11" t="n">
        <x:v>2485.35</x:v>
      </x:c>
      <x:c r="H1552" s="23" t="n">
        <x:v>0.00012154384768088524</x:v>
      </x:c>
      <x:c r="I1552" s="23" t="n">
        <x:v>0.8825554378919142</x:v>
      </x:c>
      <x:c r="J1552" s="2" t="n">
        <x:v>282</x:v>
      </x:c>
      <x:c r="K1552" s="2"/>
      <x:c r="L1552" s="2"/>
    </x:row>
    <x:row r="1553" ht="22" customHeight="1">
      <x:c r="A1553" s="2"/>
      <x:c r="B1553" s="2" t="n">
        <x:v>1520</x:v>
      </x:c>
      <x:c r="C1553" s="2" t="str">
        <x:v>21680</x:v>
      </x:c>
      <x:c r="D1553" s="2" t="str">
        <x:v>WOODLAND  STICKERS</x:v>
      </x:c>
      <x:c r="E1553" s="11" t="n">
        <x:v>2493.8799999999997</x:v>
      </x:c>
      <x:c r="F1553" s="11" t="n">
        <x:v>25.5</x:v>
      </x:c>
      <x:c r="G1553" s="11" t="n">
        <x:v>2468.3799999999997</x:v>
      </x:c>
      <x:c r="H1553" s="23" t="n">
        <x:v>0.00012145277806447201</x:v>
      </x:c>
      <x:c r="I1553" s="23" t="n">
        <x:v>0.8826768906699787</x:v>
      </x:c>
      <x:c r="J1553" s="2" t="n">
        <x:v>268</x:v>
      </x:c>
      <x:c r="K1553" s="2"/>
      <x:c r="L1553" s="2"/>
    </x:row>
    <x:row r="1554" ht="22" customHeight="1">
      <x:c r="A1554" s="2"/>
      <x:c r="B1554" s="2" t="n">
        <x:v>1521</x:v>
      </x:c>
      <x:c r="C1554" s="2" t="str">
        <x:v>22091</x:v>
      </x:c>
      <x:c r="D1554" s="2" t="str">
        <x:v>EMPIRE TISSUE BOX</x:v>
      </x:c>
      <x:c r="E1554" s="11" t="n">
        <x:v>2492.73</x:v>
      </x:c>
      <x:c r="F1554" s="11" t="n">
        <x:v>68.75</x:v>
      </x:c>
      <x:c r="G1554" s="11" t="n">
        <x:v>2423.98</x:v>
      </x:c>
      <x:c r="H1554" s="23" t="n">
        <x:v>0.00012139677268539439</x:v>
      </x:c>
      <x:c r="I1554" s="23" t="n">
        <x:v>0.8827982874426641</x:v>
      </x:c>
      <x:c r="J1554" s="2" t="n">
        <x:v>324</x:v>
      </x:c>
      <x:c r="K1554" s="2"/>
      <x:c r="L1554" s="2"/>
    </x:row>
    <x:row r="1555" ht="22" customHeight="1">
      <x:c r="A1555" s="2"/>
      <x:c r="B1555" s="2" t="n">
        <x:v>1522</x:v>
      </x:c>
      <x:c r="C1555" s="2" t="str">
        <x:v>22829</x:v>
      </x:c>
      <x:c r="D1555" s="2" t="str">
        <x:v>SWEETHEART WIRE WALL TIDY</x:v>
      </x:c>
      <x:c r="E1555" s="11" t="n">
        <x:v>2488.47</x:v>
      </x:c>
      <x:c r="F1555" s="11" t="n">
        <x:v>87.9</x:v>
      </x:c>
      <x:c r="G1555" s="11" t="n">
        <x:v>2400.5699999999997</x:v>
      </x:c>
      <x:c r="H1555" s="23" t="n">
        <x:v>0.00012118930928115896</x:v>
      </x:c>
      <x:c r="I1555" s="23" t="n">
        <x:v>0.8829194767519453</x:v>
      </x:c>
      <x:c r="J1555" s="2" t="n">
        <x:v>118</x:v>
      </x:c>
      <x:c r="K1555" s="2"/>
      <x:c r="L1555" s="2"/>
    </x:row>
    <x:row r="1556" ht="22" customHeight="1">
      <x:c r="A1556" s="2"/>
      <x:c r="B1556" s="2" t="n">
        <x:v>1523</x:v>
      </x:c>
      <x:c r="C1556" s="2" t="str">
        <x:v>21924</x:v>
      </x:c>
      <x:c r="D1556" s="2" t="str">
        <x:v>BLUE/CREAM STRIPE FRINGE HAMMOCK</x:v>
      </x:c>
      <x:c r="E1556" s="11" t="n">
        <x:v>2486.6600000000003</x:v>
      </x:c>
      <x:c r="F1556" s="11" t="n">
        <x:v>79.5</x:v>
      </x:c>
      <x:c r="G1556" s="11" t="n">
        <x:v>2407.1600000000003</x:v>
      </x:c>
      <x:c r="H1556" s="23" t="n">
        <x:v>0.00012110116168452374</x:v>
      </x:c>
      <x:c r="I1556" s="23" t="n">
        <x:v>0.8830405779136298</x:v>
      </x:c>
      <x:c r="J1556" s="2" t="n">
        <x:v>123</x:v>
      </x:c>
      <x:c r="K1556" s="2"/>
      <x:c r="L1556" s="2"/>
    </x:row>
    <x:row r="1557" ht="22" customHeight="1">
      <x:c r="A1557" s="2"/>
      <x:c r="B1557" s="2" t="n">
        <x:v>1524</x:v>
      </x:c>
      <x:c r="C1557" s="2" t="str">
        <x:v>85206B</x:v>
      </x:c>
      <x:c r="D1557" s="2" t="str">
        <x:v>PINK FELT EASTER EGG BASKET</x:v>
      </x:c>
      <x:c r="E1557" s="11" t="n">
        <x:v>2485.5499999999997</x:v>
      </x:c>
      <x:c r="F1557" s="11" t="n">
        <x:v>23.099999999999998</x:v>
      </x:c>
      <x:c r="G1557" s="11" t="n">
        <x:v>2462.45</x:v>
      </x:c>
      <x:c r="H1557" s="23" t="n">
        <x:v>0.00012104710431863138</x:v>
      </x:c>
      <x:c r="I1557" s="23" t="n">
        <x:v>0.8831616250179484</x:v>
      </x:c>
      <x:c r="J1557" s="2" t="n">
        <x:v>183</x:v>
      </x:c>
      <x:c r="K1557" s="2"/>
      <x:c r="L1557" s="2"/>
    </x:row>
    <x:row r="1558" ht="22" customHeight="1">
      <x:c r="A1558" s="2"/>
      <x:c r="B1558" s="2" t="n">
        <x:v>1525</x:v>
      </x:c>
      <x:c r="C1558" s="2" t="str">
        <x:v>22742</x:v>
      </x:c>
      <x:c r="D1558" s="2" t="str">
        <x:v>MAKE YOUR OWN PLAYTIME CARD KIT</x:v>
      </x:c>
      <x:c r="E1558" s="11" t="n">
        <x:v>2484.94</x:v>
      </x:c>
      <x:c r="F1558" s="11" t="n">
        <x:v>5.9</x:v>
      </x:c>
      <x:c r="G1558" s="11" t="n">
        <x:v>2479.0400000000004</x:v>
      </x:c>
      <x:c r="H1558" s="23" t="n">
        <x:v>0.00012101739711755543</x:v>
      </x:c>
      <x:c r="I1558" s="23" t="n">
        <x:v>0.8832826424150659</x:v>
      </x:c>
      <x:c r="J1558" s="2" t="n">
        <x:v>180</x:v>
      </x:c>
      <x:c r="K1558" s="2"/>
      <x:c r="L1558" s="2"/>
    </x:row>
    <x:row r="1559" ht="22" customHeight="1">
      <x:c r="A1559" s="2"/>
      <x:c r="B1559" s="2" t="n">
        <x:v>1526</x:v>
      </x:c>
      <x:c r="C1559" s="2" t="str">
        <x:v>20668</x:v>
      </x:c>
      <x:c r="D1559" s="2" t="str">
        <x:v>DISCO BALL CHRISTMAS DECORATION</x:v>
      </x:c>
      <x:c r="E1559" s="11" t="n">
        <x:v>2475.04</x:v>
      </x:c>
      <x:c r="F1559" s="11" t="n">
        <x:v>0.36</x:v>
      </x:c>
      <x:c r="G1559" s="11" t="n">
        <x:v>2474.68</x:v>
      </x:c>
      <x:c r="H1559" s="23" t="n">
        <x:v>0.00012053526385419141</x:v>
      </x:c>
      <x:c r="I1559" s="23" t="n">
        <x:v>0.8834031776789201</x:v>
      </x:c>
      <x:c r="J1559" s="2" t="n">
        <x:v>367</x:v>
      </x:c>
      <x:c r="K1559" s="2"/>
      <x:c r="L1559" s="2"/>
    </x:row>
    <x:row r="1560" ht="22" customHeight="1">
      <x:c r="A1560" s="2"/>
      <x:c r="B1560" s="2" t="n">
        <x:v>1527</x:v>
      </x:c>
      <x:c r="C1560" s="2" t="str">
        <x:v>22676</x:v>
      </x:c>
      <x:c r="D1560" s="2" t="str">
        <x:v>FRENCH BLUE METAL DOOR SIGN 1</x:v>
      </x:c>
      <x:c r="E1560" s="11" t="n">
        <x:v>2467.48</x:v>
      </x:c>
      <x:c r="F1560" s="11" t="n">
        <x:v>13.75</x:v>
      </x:c>
      <x:c r="G1560" s="11" t="n">
        <x:v>2453.73</x:v>
      </x:c>
      <x:c r="H1560" s="23" t="n">
        <x:v>0.00012016708936216796</x:v>
      </x:c>
      <x:c r="I1560" s="23" t="n">
        <x:v>0.8835233447682822</x:v>
      </x:c>
      <x:c r="J1560" s="2" t="n">
        <x:v>305</x:v>
      </x:c>
      <x:c r="K1560" s="2"/>
      <x:c r="L1560" s="2"/>
    </x:row>
    <x:row r="1561" ht="22" customHeight="1">
      <x:c r="A1561" s="2"/>
      <x:c r="B1561" s="2" t="n">
        <x:v>1528</x:v>
      </x:c>
      <x:c r="C1561" s="2" t="str">
        <x:v>22852</x:v>
      </x:c>
      <x:c r="D1561" s="2" t="str">
        <x:v>DOG BOWL VINTAGE CREAM</x:v>
      </x:c>
      <x:c r="E1561" s="11" t="n">
        <x:v>2467.11</x:v>
      </x:c>
      <x:c r="F1561" s="11" t="n">
        <x:v>21.25</x:v>
      </x:c>
      <x:c r="G1561" s="11" t="n">
        <x:v>2445.86</x:v>
      </x:c>
      <x:c r="H1561" s="23" t="n">
        <x:v>0.00012014907024020386</x:v>
      </x:c>
      <x:c r="I1561" s="23" t="n">
        <x:v>0.8836434938385224</x:v>
      </x:c>
      <x:c r="J1561" s="2" t="n">
        <x:v>160</x:v>
      </x:c>
      <x:c r="K1561" s="2"/>
      <x:c r="L1561" s="2"/>
    </x:row>
    <x:row r="1562" ht="22" customHeight="1">
      <x:c r="A1562" s="2"/>
      <x:c r="B1562" s="2" t="n">
        <x:v>1529</x:v>
      </x:c>
      <x:c r="C1562" s="2" t="str">
        <x:v>22789</x:v>
      </x:c>
      <x:c r="D1562" s="2" t="str">
        <x:v>T-LIGHT HOLDER SWEETHEART HANGING</x:v>
      </x:c>
      <x:c r="E1562" s="11" t="n">
        <x:v>2466.34</x:v>
      </x:c>
      <x:c r="F1562" s="11" t="n">
        <x:v>1.95</x:v>
      </x:c>
      <x:c r="G1562" s="11" t="n">
        <x:v>2464.39</x:v>
      </x:c>
      <x:c r="H1562" s="23" t="n">
        <x:v>0.00012011157098638666</x:v>
      </x:c>
      <x:c r="I1562" s="23" t="n">
        <x:v>0.8837636054095087</x:v>
      </x:c>
      <x:c r="J1562" s="2" t="n">
        <x:v>196</x:v>
      </x:c>
      <x:c r="K1562" s="2"/>
      <x:c r="L1562" s="2"/>
    </x:row>
    <x:row r="1563" ht="22" customHeight="1">
      <x:c r="A1563" s="2"/>
      <x:c r="B1563" s="2" t="n">
        <x:v>1530</x:v>
      </x:c>
      <x:c r="C1563" s="2" t="str">
        <x:v>22911</x:v>
      </x:c>
      <x:c r="D1563" s="2" t="str">
        <x:v>PAPER CHAIN KIT LONDON</x:v>
      </x:c>
      <x:c r="E1563" s="11" t="n">
        <x:v>2463.2000000000003</x:v>
      </x:c>
      <x:c r="F1563" s="11" t="n">
        <x:v>35.400000000000006</x:v>
      </x:c>
      <x:c r="G1563" s="11" t="n">
        <x:v>2427.8</x:v>
      </x:c>
      <x:c r="H1563" s="23" t="n">
        <x:v>0.0001199586519513399</x:v>
      </x:c>
      <x:c r="I1563" s="23" t="n">
        <x:v>0.8838835640614601</x:v>
      </x:c>
      <x:c r="J1563" s="2" t="n">
        <x:v>164</x:v>
      </x:c>
      <x:c r="K1563" s="2"/>
      <x:c r="L1563" s="2"/>
    </x:row>
    <x:row r="1564" ht="22" customHeight="1">
      <x:c r="A1564" s="2"/>
      <x:c r="B1564" s="2" t="n">
        <x:v>1531</x:v>
      </x:c>
      <x:c r="C1564" s="2" t="str">
        <x:v>23352</x:v>
      </x:c>
      <x:c r="D1564" s="2" t="str">
        <x:v>ROLL WRAP 50'S RED CHRISTMAS </x:v>
      </x:c>
      <x:c r="E1564" s="11" t="n">
        <x:v>2462.95</x:v>
      </x:c>
      <x:c r="F1564" s="11" t="n">
        <x:v>15</x:v>
      </x:c>
      <x:c r="G1564" s="11" t="n">
        <x:v>2447.95</x:v>
      </x:c>
      <x:c r="H1564" s="23" t="n">
        <x:v>0.00011994647686893169</x:v>
      </x:c>
      <x:c r="I1564" s="23" t="n">
        <x:v>0.884003510538329</x:v>
      </x:c>
      <x:c r="J1564" s="2" t="n">
        <x:v>212</x:v>
      </x:c>
      <x:c r="K1564" s="2"/>
      <x:c r="L1564" s="2"/>
    </x:row>
    <x:row r="1565" ht="22" customHeight="1">
      <x:c r="A1565" s="2"/>
      <x:c r="B1565" s="2" t="n">
        <x:v>1532</x:v>
      </x:c>
      <x:c r="C1565" s="2" t="str">
        <x:v>21616</x:v>
      </x:c>
      <x:c r="D1565" s="2" t="str">
        <x:v>4 PEAR BOTANICAL DINNER CANDLES</x:v>
      </x:c>
      <x:c r="E1565" s="11" t="n">
        <x:v>2462.33</x:v>
      </x:c>
      <x:c r="F1565" s="11" t="n">
        <x:v>0</x:v>
      </x:c>
      <x:c r="G1565" s="11" t="n">
        <x:v>2462.33</x:v>
      </x:c>
      <x:c r="H1565" s="23" t="n">
        <x:v>0.00011991628266455941</x:v>
      </x:c>
      <x:c r="I1565" s="23" t="n">
        <x:v>0.8841234268209937</x:v>
      </x:c>
      <x:c r="J1565" s="2" t="n">
        <x:v>191</x:v>
      </x:c>
      <x:c r="K1565" s="2"/>
      <x:c r="L1565" s="2"/>
    </x:row>
    <x:row r="1566" ht="22" customHeight="1">
      <x:c r="A1566" s="2"/>
      <x:c r="B1566" s="2" t="n">
        <x:v>1533</x:v>
      </x:c>
      <x:c r="C1566" s="2" t="str">
        <x:v>21330</x:v>
      </x:c>
      <x:c r="D1566" s="2" t="str">
        <x:v>WOODLAND ANIMAL  WRITING SET </x:v>
      </x:c>
      <x:c r="E1566" s="11" t="n">
        <x:v>2460.6699999999996</x:v>
      </x:c>
      <x:c r="F1566" s="11" t="n">
        <x:v>14.85</x:v>
      </x:c>
      <x:c r="G1566" s="11" t="n">
        <x:v>2445.8199999999997</x:v>
      </x:c>
      <x:c r="H1566" s="23" t="n">
        <x:v>0.00011983544011736906</x:v>
      </x:c>
      <x:c r="I1566" s="23" t="n">
        <x:v>0.884243262261111</x:v>
      </x:c>
      <x:c r="J1566" s="2" t="n">
        <x:v>201</x:v>
      </x:c>
      <x:c r="K1566" s="2"/>
      <x:c r="L1566" s="2"/>
    </x:row>
    <x:row r="1567" ht="22" customHeight="1">
      <x:c r="A1567" s="2"/>
      <x:c r="B1567" s="2" t="n">
        <x:v>1534</x:v>
      </x:c>
      <x:c r="C1567" s="2" t="str">
        <x:v>21686</x:v>
      </x:c>
      <x:c r="D1567" s="2" t="str">
        <x:v>MEDINA STAMPED METAL STOOL</x:v>
      </x:c>
      <x:c r="E1567" s="11" t="n">
        <x:v>2460.1400000000003</x:v>
      </x:c>
      <x:c r="F1567" s="11" t="n">
        <x:v>249.65000000000003</x:v>
      </x:c>
      <x:c r="G1567" s="11" t="n">
        <x:v>2210.4900000000002</x:v>
      </x:c>
      <x:c r="H1567" s="23" t="n">
        <x:v>0.00011980962894266374</x:v>
      </x:c>
      <x:c r="I1567" s="23" t="n">
        <x:v>0.8843630718900537</x:v>
      </x:c>
      <x:c r="J1567" s="2" t="n">
        <x:v>33</x:v>
      </x:c>
      <x:c r="K1567" s="2"/>
      <x:c r="L1567" s="2"/>
    </x:row>
    <x:row r="1568" ht="22" customHeight="1">
      <x:c r="A1568" s="2"/>
      <x:c r="B1568" s="2" t="n">
        <x:v>1535</x:v>
      </x:c>
      <x:c r="C1568" s="2" t="str">
        <x:v>21462</x:v>
      </x:c>
      <x:c r="D1568" s="2" t="str">
        <x:v>NURSERY A,B,C PAINTED LETTERS</x:v>
      </x:c>
      <x:c r="E1568" s="11" t="n">
        <x:v>2459.16</x:v>
      </x:c>
      <x:c r="F1568" s="11" t="n">
        <x:v>40.5</x:v>
      </x:c>
      <x:c r="G1568" s="11" t="n">
        <x:v>2418.66</x:v>
      </x:c>
      <x:c r="H1568" s="23" t="n">
        <x:v>0.00011976190261962365</x:v>
      </x:c>
      <x:c r="I1568" s="23" t="n">
        <x:v>0.8844828337926733</x:v>
      </x:c>
      <x:c r="J1568" s="2" t="n">
        <x:v>171</x:v>
      </x:c>
      <x:c r="K1568" s="2"/>
      <x:c r="L1568" s="2"/>
    </x:row>
    <x:row r="1569" ht="22" customHeight="1">
      <x:c r="A1569" s="2"/>
      <x:c r="B1569" s="2" t="n">
        <x:v>1536</x:v>
      </x:c>
      <x:c r="C1569" s="2" t="str">
        <x:v>84509F</x:v>
      </x:c>
      <x:c r="D1569" s="2" t="str">
        <x:v>SET OF 4 NEW ENGLAND PLACEMATS</x:v>
      </x:c>
      <x:c r="E1569" s="11" t="n">
        <x:v>2456.1</x:v>
      </x:c>
      <x:c r="F1569" s="11" t="n">
        <x:v>0</x:v>
      </x:c>
      <x:c r="G1569" s="11" t="n">
        <x:v>2456.1</x:v>
      </x:c>
      <x:c r="H1569" s="23" t="n">
        <x:v>0.0001196128796109475</x:v>
      </x:c>
      <x:c r="I1569" s="23" t="n">
        <x:v>0.8846024466722843</x:v>
      </x:c>
      <x:c r="J1569" s="2" t="n">
        <x:v>46</x:v>
      </x:c>
      <x:c r="K1569" s="2"/>
      <x:c r="L1569" s="2"/>
    </x:row>
    <x:row r="1570" ht="22" customHeight="1">
      <x:c r="A1570" s="2"/>
      <x:c r="B1570" s="2" t="n">
        <x:v>1537</x:v>
      </x:c>
      <x:c r="C1570" s="2" t="str">
        <x:v>21823</x:v>
      </x:c>
      <x:c r="D1570" s="2" t="str">
        <x:v>damaged</x:v>
      </x:c>
      <x:c r="E1570" s="11" t="n">
        <x:v>2453.91</x:v>
      </x:c>
      <x:c r="F1570" s="11" t="n">
        <x:v>34.8</x:v>
      </x:c>
      <x:c r="G1570" s="11" t="n">
        <x:v>2419.1099999999997</x:v>
      </x:c>
      <x:c r="H1570" s="23" t="n">
        <x:v>0.00011950622588905181</x:v>
      </x:c>
      <x:c r="I1570" s="23" t="n">
        <x:v>0.8847219528981733</x:v>
      </x:c>
      <x:c r="J1570" s="2" t="n">
        <x:v>212</x:v>
      </x:c>
      <x:c r="K1570" s="2"/>
      <x:c r="L1570" s="2"/>
    </x:row>
    <x:row r="1571" ht="22" customHeight="1">
      <x:c r="A1571" s="2"/>
      <x:c r="B1571" s="2" t="n">
        <x:v>1538</x:v>
      </x:c>
      <x:c r="C1571" s="2" t="str">
        <x:v>21747</x:v>
      </x:c>
      <x:c r="D1571" s="2" t="str">
        <x:v>SMALL SKULL WINDMILL</x:v>
      </x:c>
      <x:c r="E1571" s="11" t="n">
        <x:v>2453.6</x:v>
      </x:c>
      <x:c r="F1571" s="11" t="n">
        <x:v>136.98000000000002</x:v>
      </x:c>
      <x:c r="G1571" s="11" t="n">
        <x:v>2316.62</x:v>
      </x:c>
      <x:c r="H1571" s="23" t="n">
        <x:v>0.00011949112878686568</x:v>
      </x:c>
      <x:c r="I1571" s="23" t="n">
        <x:v>0.8848414440269602</x:v>
      </x:c>
      <x:c r="J1571" s="2" t="n">
        <x:v>153</x:v>
      </x:c>
      <x:c r="K1571" s="2"/>
      <x:c r="L1571" s="2"/>
    </x:row>
    <x:row r="1572" ht="22" customHeight="1">
      <x:c r="A1572" s="2"/>
      <x:c r="B1572" s="2" t="n">
        <x:v>1539</x:v>
      </x:c>
      <x:c r="C1572" s="2" t="str">
        <x:v>84509B</x:v>
      </x:c>
      <x:c r="D1572" s="2" t="str">
        <x:v>SET OF 4 FAIRY CAKE PLACEMATS</x:v>
      </x:c>
      <x:c r="E1572" s="11" t="n">
        <x:v>2452.67</x:v>
      </x:c>
      <x:c r="F1572" s="11" t="n">
        <x:v>15</x:v>
      </x:c>
      <x:c r="G1572" s="11" t="n">
        <x:v>2437.67</x:v>
      </x:c>
      <x:c r="H1572" s="23" t="n">
        <x:v>0.00011944583748030725</x:v>
      </x:c>
      <x:c r="I1572" s="23" t="n">
        <x:v>0.8849608898644405</x:v>
      </x:c>
      <x:c r="J1572" s="2" t="n">
        <x:v>196</x:v>
      </x:c>
      <x:c r="K1572" s="2"/>
      <x:c r="L1572" s="2"/>
    </x:row>
    <x:row r="1573" ht="22" customHeight="1">
      <x:c r="A1573" s="2"/>
      <x:c r="B1573" s="2" t="n">
        <x:v>1540</x:v>
      </x:c>
      <x:c r="C1573" s="2" t="str">
        <x:v>85036A</x:v>
      </x:c>
      <x:c r="D1573" s="2" t="str">
        <x:v>GARDENIA 1 WICK MORRIS BOXED CANDLE</x:v>
      </x:c>
      <x:c r="E1573" s="11" t="n">
        <x:v>2451.21</x:v>
      </x:c>
      <x:c r="F1573" s="11" t="n">
        <x:v>5.5</x:v>
      </x:c>
      <x:c r="G1573" s="11" t="n">
        <x:v>2445.71</x:v>
      </x:c>
      <x:c r="H1573" s="23" t="n">
        <x:v>0.00011937473499904345</x:v>
      </x:c>
      <x:c r="I1573" s="23" t="n">
        <x:v>0.8850802645994396</x:v>
      </x:c>
      <x:c r="J1573" s="2" t="n">
        <x:v>165</x:v>
      </x:c>
      <x:c r="K1573" s="2"/>
      <x:c r="L1573" s="2"/>
    </x:row>
    <x:row r="1574" ht="22" customHeight="1">
      <x:c r="A1574" s="2"/>
      <x:c r="B1574" s="2" t="n">
        <x:v>1541</x:v>
      </x:c>
      <x:c r="C1574" s="2" t="str">
        <x:v>84840</x:v>
      </x:c>
      <x:c r="D1574" s="2" t="str">
        <x:v>SWEETHEART CARRY-ALL BASKET</x:v>
      </x:c>
      <x:c r="E1574" s="11" t="n">
        <x:v>2447.82</x:v>
      </x:c>
      <x:c r="F1574" s="11" t="n">
        <x:v>25.5</x:v>
      </x:c>
      <x:c r="G1574" s="11" t="n">
        <x:v>2422.32</x:v>
      </x:c>
      <x:c r="H1574" s="23" t="n">
        <x:v>0.00011920964088158851</x:v>
      </x:c>
      <x:c r="I1574" s="23" t="n">
        <x:v>0.8851994742403212</x:v>
      </x:c>
      <x:c r="J1574" s="2" t="n">
        <x:v>140</x:v>
      </x:c>
      <x:c r="K1574" s="2"/>
      <x:c r="L1574" s="2"/>
    </x:row>
    <x:row r="1575" ht="22" customHeight="1">
      <x:c r="A1575" s="2"/>
      <x:c r="B1575" s="2" t="n">
        <x:v>1542</x:v>
      </x:c>
      <x:c r="C1575" s="2" t="str">
        <x:v>21274</x:v>
      </x:c>
      <x:c r="D1575" s="2" t="str">
        <x:v>EMBOSSED HEART 3 DRAWER SHELF</x:v>
      </x:c>
      <x:c r="E1575" s="11" t="n">
        <x:v>2446.19</x:v>
      </x:c>
      <x:c r="F1575" s="11" t="n">
        <x:v>12.75</x:v>
      </x:c>
      <x:c r="G1575" s="11" t="n">
        <x:v>2433.44</x:v>
      </x:c>
      <x:c r="H1575" s="23" t="n">
        <x:v>0.00011913025934428715</x:v>
      </x:c>
      <x:c r="I1575" s="23" t="n">
        <x:v>0.8853186044996655</x:v>
      </x:c>
      <x:c r="J1575" s="2" t="n">
        <x:v>105</x:v>
      </x:c>
      <x:c r="K1575" s="2"/>
      <x:c r="L1575" s="2"/>
    </x:row>
    <x:row r="1576" ht="22" customHeight="1">
      <x:c r="A1576" s="2"/>
      <x:c r="B1576" s="2" t="n">
        <x:v>1543</x:v>
      </x:c>
      <x:c r="C1576" s="2" t="str">
        <x:v>21789</x:v>
      </x:c>
      <x:c r="D1576" s="2" t="str">
        <x:v>KIDS RAIN MAC PINK</x:v>
      </x:c>
      <x:c r="E1576" s="11" t="n">
        <x:v>2439.62</x:v>
      </x:c>
      <x:c r="F1576" s="11" t="n">
        <x:v>78.19999999999999</x:v>
      </x:c>
      <x:c r="G1576" s="11" t="n">
        <x:v>2361.42</x:v>
      </x:c>
      <x:c r="H1576" s="23" t="n">
        <x:v>0.0001188102981786001</x:v>
      </x:c>
      <x:c r="I1576" s="23" t="n">
        <x:v>0.8854374147978441</x:v>
      </x:c>
      <x:c r="J1576" s="2" t="n">
        <x:v>218</x:v>
      </x:c>
      <x:c r="K1576" s="2"/>
      <x:c r="L1576" s="2"/>
    </x:row>
    <x:row r="1577" ht="22" customHeight="1">
      <x:c r="A1577" s="2"/>
      <x:c r="B1577" s="2" t="n">
        <x:v>1544</x:v>
      </x:c>
      <x:c r="C1577" s="2" t="str">
        <x:v>22021</x:v>
      </x:c>
      <x:c r="D1577" s="2" t="str">
        <x:v>BLUE FELT EASTER EGG BASKET</x:v>
      </x:c>
      <x:c r="E1577" s="11" t="n">
        <x:v>2433.6099999999997</x:v>
      </x:c>
      <x:c r="F1577" s="11" t="n">
        <x:v>19.799999999999997</x:v>
      </x:c>
      <x:c r="G1577" s="11" t="n">
        <x:v>2413.81</x:v>
      </x:c>
      <x:c r="H1577" s="23" t="n">
        <x:v>0.0001185176091975074</x:v>
      </x:c>
      <x:c r="I1577" s="23" t="n">
        <x:v>0.8855559324070416</x:v>
      </x:c>
      <x:c r="J1577" s="2" t="n">
        <x:v>233</x:v>
      </x:c>
      <x:c r="K1577" s="2"/>
      <x:c r="L1577" s="2"/>
    </x:row>
    <x:row r="1578" ht="22" customHeight="1">
      <x:c r="A1578" s="2"/>
      <x:c r="B1578" s="2" t="n">
        <x:v>1545</x:v>
      </x:c>
      <x:c r="C1578" s="2" t="str">
        <x:v>21809</x:v>
      </x:c>
      <x:c r="D1578" s="2" t="str">
        <x:v>CHRISTMAS HANGING TREE WITH BELL</x:v>
      </x:c>
      <x:c r="E1578" s="11" t="n">
        <x:v>2432.03</x:v>
      </x:c>
      <x:c r="F1578" s="11" t="n">
        <x:v>0</x:v>
      </x:c>
      <x:c r="G1578" s="11" t="n">
        <x:v>2432.03</x:v>
      </x:c>
      <x:c r="H1578" s="23" t="n">
        <x:v>0.0001184406626766877</x:v>
      </x:c>
      <x:c r="I1578" s="23" t="n">
        <x:v>0.8856743730697182</x:v>
      </x:c>
      <x:c r="J1578" s="2" t="n">
        <x:v>207</x:v>
      </x:c>
      <x:c r="K1578" s="2"/>
      <x:c r="L1578" s="2"/>
    </x:row>
    <x:row r="1579" ht="22" customHeight="1">
      <x:c r="A1579" s="2"/>
      <x:c r="B1579" s="2" t="n">
        <x:v>1546</x:v>
      </x:c>
      <x:c r="C1579" s="2" t="str">
        <x:v>23406</x:v>
      </x:c>
      <x:c r="D1579" s="2" t="str">
        <x:v>HOME SWEET HOME KEY HOLDER</x:v>
      </x:c>
      <x:c r="E1579" s="11" t="n">
        <x:v>2428.9100000000003</x:v>
      </x:c>
      <x:c r="F1579" s="11" t="n">
        <x:v>18.75</x:v>
      </x:c>
      <x:c r="G1579" s="11" t="n">
        <x:v>2410.1600000000003</x:v>
      </x:c>
      <x:c r="H1579" s="23" t="n">
        <x:v>0.0001182887176482336</x:v>
      </x:c>
      <x:c r="I1579" s="23" t="n">
        <x:v>0.8857926617873664</x:v>
      </x:c>
      <x:c r="J1579" s="2" t="n">
        <x:v>111</x:v>
      </x:c>
      <x:c r="K1579" s="2"/>
      <x:c r="L1579" s="2"/>
    </x:row>
    <x:row r="1580" ht="22" customHeight="1">
      <x:c r="A1580" s="2"/>
      <x:c r="B1580" s="2" t="n">
        <x:v>1547</x:v>
      </x:c>
      <x:c r="C1580" s="2" t="str">
        <x:v>22609</x:v>
      </x:c>
      <x:c r="D1580" s="2" t="str">
        <x:v>PENS ASSORTED SPACEBALL</x:v>
      </x:c>
      <x:c r="E1580" s="11" t="n">
        <x:v>2428.22</x:v>
      </x:c>
      <x:c r="F1580" s="11" t="n">
        <x:v>98.63999999999999</x:v>
      </x:c>
      <x:c r="G1580" s="11" t="n">
        <x:v>2329.58</x:v>
      </x:c>
      <x:c r="H1580" s="23" t="n">
        <x:v>0.00011825511442078698</x:v>
      </x:c>
      <x:c r="I1580" s="23" t="n">
        <x:v>0.8859109169017871</x:v>
      </x:c>
      <x:c r="J1580" s="2" t="n">
        <x:v>201</x:v>
      </x:c>
      <x:c r="K1580" s="2"/>
      <x:c r="L1580" s="2"/>
    </x:row>
    <x:row r="1581" ht="22" customHeight="1">
      <x:c r="A1581" s="2"/>
      <x:c r="B1581" s="2" t="n">
        <x:v>1548</x:v>
      </x:c>
      <x:c r="C1581" s="2" t="str">
        <x:v>22448</x:v>
      </x:c>
      <x:c r="D1581" s="2" t="str">
        <x:v>PIN CUSHION BABUSHKA RED</x:v>
      </x:c>
      <x:c r="E1581" s="11" t="n">
        <x:v>2426.73</x:v>
      </x:c>
      <x:c r="F1581" s="11" t="n">
        <x:v>20.1</x:v>
      </x:c>
      <x:c r="G1581" s="11" t="n">
        <x:v>2406.63</x:v>
      </x:c>
      <x:c r="H1581" s="23" t="n">
        <x:v>0.00011818255092963423</x:v>
      </x:c>
      <x:c r="I1581" s="23" t="n">
        <x:v>0.8860290994527168</x:v>
      </x:c>
      <x:c r="J1581" s="2" t="n">
        <x:v>121</x:v>
      </x:c>
      <x:c r="K1581" s="2"/>
      <x:c r="L1581" s="2"/>
    </x:row>
    <x:row r="1582" ht="22" customHeight="1">
      <x:c r="A1582" s="2"/>
      <x:c r="B1582" s="2" t="n">
        <x:v>1549</x:v>
      </x:c>
      <x:c r="C1582" s="2" t="str">
        <x:v>23265</x:v>
      </x:c>
      <x:c r="D1582" s="2" t="str">
        <x:v>SET OF 3 WOODEN TREE DECORATIONS</x:v>
      </x:c>
      <x:c r="E1582" s="11" t="n">
        <x:v>2423.54</x:v>
      </x:c>
      <x:c r="F1582" s="11" t="n">
        <x:v>18.75</x:v>
      </x:c>
      <x:c r="G1582" s="11" t="n">
        <x:v>2404.79</x:v>
      </x:c>
      <x:c r="H1582" s="23" t="n">
        <x:v>0.00011802719687810582</x:v>
      </x:c>
      <x:c r="I1582" s="23" t="n">
        <x:v>0.8861471266495949</x:v>
      </x:c>
      <x:c r="J1582" s="2" t="n">
        <x:v>293</x:v>
      </x:c>
      <x:c r="K1582" s="2"/>
      <x:c r="L1582" s="2"/>
    </x:row>
    <x:row r="1583" ht="22" customHeight="1">
      <x:c r="A1583" s="2"/>
      <x:c r="B1583" s="2" t="n">
        <x:v>1550</x:v>
      </x:c>
      <x:c r="C1583" s="2" t="str">
        <x:v>22613</x:v>
      </x:c>
      <x:c r="D1583" s="2" t="str">
        <x:v>PACK OF 20 SPACEBOY NAPKINS</x:v>
      </x:c>
      <x:c r="E1583" s="11" t="n">
        <x:v>2423.16</x:v>
      </x:c>
      <x:c r="F1583" s="11" t="n">
        <x:v>8.5</x:v>
      </x:c>
      <x:c r="G1583" s="11" t="n">
        <x:v>2414.66</x:v>
      </x:c>
      <x:c r="H1583" s="23" t="n">
        <x:v>0.00011800869075284538</x:v>
      </x:c>
      <x:c r="I1583" s="23" t="n">
        <x:v>0.8862651353403478</x:v>
      </x:c>
      <x:c r="J1583" s="2" t="n">
        <x:v>273</x:v>
      </x:c>
      <x:c r="K1583" s="2"/>
      <x:c r="L1583" s="2"/>
    </x:row>
    <x:row r="1584" ht="22" customHeight="1">
      <x:c r="A1584" s="2"/>
      <x:c r="B1584" s="2" t="n">
        <x:v>1551</x:v>
      </x:c>
      <x:c r="C1584" s="2" t="str">
        <x:v>22537</x:v>
      </x:c>
      <x:c r="D1584" s="2" t="str">
        <x:v>MAGIC DRAWING SLATE DINOSAUR</x:v>
      </x:c>
      <x:c r="E1584" s="11" t="n">
        <x:v>2423.01</x:v>
      </x:c>
      <x:c r="F1584" s="11" t="n">
        <x:v>20.16</x:v>
      </x:c>
      <x:c r="G1584" s="11" t="n">
        <x:v>2402.85</x:v>
      </x:c>
      <x:c r="H1584" s="23" t="n">
        <x:v>0.00011800138570340049</x:v>
      </x:c>
      <x:c r="I1584" s="23" t="n">
        <x:v>0.8863831367260512</x:v>
      </x:c>
      <x:c r="J1584" s="2" t="n">
        <x:v>350</x:v>
      </x:c>
      <x:c r="K1584" s="2"/>
      <x:c r="L1584" s="2"/>
    </x:row>
    <x:row r="1585" ht="22" customHeight="1">
      <x:c r="A1585" s="2"/>
      <x:c r="B1585" s="2" t="n">
        <x:v>1552</x:v>
      </x:c>
      <x:c r="C1585" s="2" t="str">
        <x:v>22362</x:v>
      </x:c>
      <x:c r="D1585" s="2" t="str">
        <x:v>GLASS JAR PEACOCK BATH SALTS</x:v>
      </x:c>
      <x:c r="E1585" s="11" t="n">
        <x:v>2422.33</x:v>
      </x:c>
      <x:c r="F1585" s="11" t="n">
        <x:v>144.55</x:v>
      </x:c>
      <x:c r="G1585" s="11" t="n">
        <x:v>2277.78</x:v>
      </x:c>
      <x:c r="H1585" s="23" t="n">
        <x:v>0.00011796826947925021</x:v>
      </x:c>
      <x:c r="I1585" s="23" t="n">
        <x:v>0.8865011049955305</x:v>
      </x:c>
      <x:c r="J1585" s="2" t="n">
        <x:v>253</x:v>
      </x:c>
      <x:c r="K1585" s="2"/>
      <x:c r="L1585" s="2"/>
    </x:row>
    <x:row r="1586" ht="22" customHeight="1">
      <x:c r="A1586" s="2"/>
      <x:c r="B1586" s="2" t="n">
        <x:v>1553</x:v>
      </x:c>
      <x:c r="C1586" s="2" t="str">
        <x:v>21973</x:v>
      </x:c>
      <x:c r="D1586" s="2" t="str">
        <x:v>SET OF 36 MUSHROOM PAPER DOILIES</x:v>
      </x:c>
      <x:c r="E1586" s="11" t="n">
        <x:v>2420.0299999999997</x:v>
      </x:c>
      <x:c r="F1586" s="11" t="n">
        <x:v>18.849999999999998</x:v>
      </x:c>
      <x:c r="G1586" s="11" t="n">
        <x:v>2401.18</x:v>
      </x:c>
      <x:c r="H1586" s="23" t="n">
        <x:v>0.00011785625872109493</x:v>
      </x:c>
      <x:c r="I1586" s="23" t="n">
        <x:v>0.8866189612542515</x:v>
      </x:c>
      <x:c r="J1586" s="2" t="n">
        <x:v>210</x:v>
      </x:c>
      <x:c r="K1586" s="2"/>
      <x:c r="L1586" s="2"/>
    </x:row>
    <x:row r="1587" ht="22" customHeight="1">
      <x:c r="A1587" s="2"/>
      <x:c r="B1587" s="2" t="n">
        <x:v>1554</x:v>
      </x:c>
      <x:c r="C1587" s="2" t="str">
        <x:v>21106</x:v>
      </x:c>
      <x:c r="D1587" s="2" t="str">
        <x:v>CREAM SLICE FLANNEL CHOCOLATE SPOT </x:v>
      </x:c>
      <x:c r="E1587" s="11" t="n">
        <x:v>2419.6800000000003</x:v>
      </x:c>
      <x:c r="F1587" s="11" t="n">
        <x:v>0</x:v>
      </x:c>
      <x:c r="G1587" s="11" t="n">
        <x:v>2419.6800000000003</x:v>
      </x:c>
      <x:c r="H1587" s="23" t="n">
        <x:v>0.0001178392136057235</x:v>
      </x:c>
      <x:c r="I1587" s="23" t="n">
        <x:v>0.8867368004678573</x:v>
      </x:c>
      <x:c r="J1587" s="2" t="n">
        <x:v>169</x:v>
      </x:c>
      <x:c r="K1587" s="2"/>
      <x:c r="L1587" s="2"/>
    </x:row>
    <x:row r="1588" ht="22" customHeight="1">
      <x:c r="A1588" s="2"/>
      <x:c r="B1588" s="2" t="n">
        <x:v>1555</x:v>
      </x:c>
      <x:c r="C1588" s="2" t="str">
        <x:v>22540</x:v>
      </x:c>
      <x:c r="D1588" s="2" t="str">
        <x:v>MINI JIGSAW CIRCUS PARADE </x:v>
      </x:c>
      <x:c r="E1588" s="11" t="n">
        <x:v>2410.29</x:v>
      </x:c>
      <x:c r="F1588" s="11" t="n">
        <x:v>1.26</x:v>
      </x:c>
      <x:c r="G1588" s="11" t="n">
        <x:v>2409.0299999999997</x:v>
      </x:c>
      <x:c r="H1588" s="23" t="n">
        <x:v>0.00011738191751047215</x:v>
      </x:c>
      <x:c r="I1588" s="23" t="n">
        <x:v>0.8868541823853677</x:v>
      </x:c>
      <x:c r="J1588" s="2" t="n">
        <x:v>189</x:v>
      </x:c>
      <x:c r="K1588" s="2"/>
      <x:c r="L1588" s="2"/>
    </x:row>
    <x:row r="1589" ht="22" customHeight="1">
      <x:c r="A1589" s="2"/>
      <x:c r="B1589" s="2" t="n">
        <x:v>1556</x:v>
      </x:c>
      <x:c r="C1589" s="2" t="str">
        <x:v>23400</x:v>
      </x:c>
      <x:c r="D1589" s="2" t="str">
        <x:v>SHELF WITH 4 HOOKS HOME SWEET HOME</x:v>
      </x:c>
      <x:c r="E1589" s="11" t="n">
        <x:v>2409.34</x:v>
      </x:c>
      <x:c r="F1589" s="11" t="n">
        <x:v>12.5</x:v>
      </x:c>
      <x:c r="G1589" s="11" t="n">
        <x:v>2396.84</x:v>
      </x:c>
      <x:c r="H1589" s="23" t="n">
        <x:v>0.00011733565219732107</x:v>
      </x:c>
      <x:c r="I1589" s="23" t="n">
        <x:v>0.886971518037565</x:v>
      </x:c>
      <x:c r="J1589" s="2" t="n">
        <x:v>107</x:v>
      </x:c>
      <x:c r="K1589" s="2"/>
      <x:c r="L1589" s="2"/>
    </x:row>
    <x:row r="1590" ht="22" customHeight="1">
      <x:c r="A1590" s="2"/>
      <x:c r="B1590" s="2" t="n">
        <x:v>1557</x:v>
      </x:c>
      <x:c r="C1590" s="2" t="str">
        <x:v>21540</x:v>
      </x:c>
      <x:c r="D1590" s="2" t="str">
        <x:v>damages</x:v>
      </x:c>
      <x:c r="E1590" s="11" t="n">
        <x:v>2403.45</x:v>
      </x:c>
      <x:c r="F1590" s="11" t="n">
        <x:v>81.5</x:v>
      </x:c>
      <x:c r="G1590" s="11" t="n">
        <x:v>2321.95</x:v>
      </x:c>
      <x:c r="H1590" s="23" t="n">
        <x:v>0.00011704880725578427</x:v>
      </x:c>
      <x:c r="I1590" s="23" t="n">
        <x:v>0.8870885668448208</x:v>
      </x:c>
      <x:c r="J1590" s="2" t="n">
        <x:v>87</x:v>
      </x:c>
      <x:c r="K1590" s="2"/>
      <x:c r="L1590" s="2"/>
    </x:row>
    <x:row r="1591" ht="22" customHeight="1">
      <x:c r="A1591" s="2"/>
      <x:c r="B1591" s="2" t="n">
        <x:v>1558</x:v>
      </x:c>
      <x:c r="C1591" s="2" t="str">
        <x:v>85059</x:v>
      </x:c>
      <x:c r="D1591" s="2" t="str">
        <x:v>FRENCH ENAMEL WATER BASIN</x:v>
      </x:c>
      <x:c r="E1591" s="11" t="n">
        <x:v>2399.89</x:v>
      </x:c>
      <x:c r="F1591" s="11" t="n">
        <x:v>30</x:v>
      </x:c>
      <x:c r="G1591" s="11" t="n">
        <x:v>2369.89</x:v>
      </x:c>
      <x:c r="H1591" s="23" t="n">
        <x:v>0.00011687543408229175</x:v>
      </x:c>
      <x:c r="I1591" s="23" t="n">
        <x:v>0.8872054422789032</x:v>
      </x:c>
      <x:c r="J1591" s="2" t="n">
        <x:v>211</x:v>
      </x:c>
      <x:c r="K1591" s="2"/>
      <x:c r="L1591" s="2"/>
    </x:row>
    <x:row r="1592" ht="22" customHeight="1">
      <x:c r="A1592" s="2"/>
      <x:c r="B1592" s="2" t="n">
        <x:v>1559</x:v>
      </x:c>
      <x:c r="C1592" s="2" t="str">
        <x:v>22986</x:v>
      </x:c>
      <x:c r="D1592" s="2" t="str">
        <x:v>WRAP GINGHAM ROSE </x:v>
      </x:c>
      <x:c r="E1592" s="11" t="n">
        <x:v>2389.9</x:v>
      </x:c>
      <x:c r="F1592" s="11" t="n">
        <x:v>10.5</x:v>
      </x:c>
      <x:c r="G1592" s="11" t="n">
        <x:v>2379.4</x:v>
      </x:c>
      <x:c r="H1592" s="23" t="n">
        <x:v>0.0001163889177892608</x:v>
      </x:c>
      <x:c r="I1592" s="23" t="n">
        <x:v>0.8873218311966925</x:v>
      </x:c>
      <x:c r="J1592" s="2" t="n">
        <x:v>204</x:v>
      </x:c>
      <x:c r="K1592" s="2"/>
      <x:c r="L1592" s="2"/>
    </x:row>
    <x:row r="1593" ht="22" customHeight="1">
      <x:c r="A1593" s="2"/>
      <x:c r="B1593" s="2" t="n">
        <x:v>1560</x:v>
      </x:c>
      <x:c r="C1593" s="2" t="str">
        <x:v>23028</x:v>
      </x:c>
      <x:c r="D1593" s="2" t="str">
        <x:v>DRAWER KNOB CRACKLE GLAZE BLUE</x:v>
      </x:c>
      <x:c r="E1593" s="11" t="n">
        <x:v>2387.0299999999997</x:v>
      </x:c>
      <x:c r="F1593" s="11" t="n">
        <x:v>11.55</x:v>
      </x:c>
      <x:c r="G1593" s="11" t="n">
        <x:v>2375.4799999999996</x:v>
      </x:c>
      <x:c r="H1593" s="23" t="n">
        <x:v>0.00011624914784321485</x:v>
      </x:c>
      <x:c r="I1593" s="23" t="n">
        <x:v>0.8874380803445358</x:v>
      </x:c>
      <x:c r="J1593" s="2" t="n">
        <x:v>137</x:v>
      </x:c>
      <x:c r="K1593" s="2"/>
      <x:c r="L1593" s="2"/>
    </x:row>
    <x:row r="1594" ht="22" customHeight="1">
      <x:c r="A1594" s="2"/>
      <x:c r="B1594" s="2" t="n">
        <x:v>1561</x:v>
      </x:c>
      <x:c r="C1594" s="2" t="str">
        <x:v>23048</x:v>
      </x:c>
      <x:c r="D1594" s="2" t="str">
        <x:v>SET OF 10 LANTERNS FAIRY LIGHT STAR</x:v>
      </x:c>
      <x:c r="E1594" s="11" t="n">
        <x:v>2384.9700000000003</x:v>
      </x:c>
      <x:c r="F1594" s="11" t="n">
        <x:v>136.95000000000002</x:v>
      </x:c>
      <x:c r="G1594" s="11" t="n">
        <x:v>2248.02</x:v>
      </x:c>
      <x:c r="H1594" s="23" t="n">
        <x:v>0.00011614882516417145</x:v>
      </x:c>
      <x:c r="I1594" s="23" t="n">
        <x:v>0.8875542291697</x:v>
      </x:c>
      <x:c r="J1594" s="2" t="n">
        <x:v>99</x:v>
      </x:c>
      <x:c r="K1594" s="2"/>
      <x:c r="L1594" s="2"/>
    </x:row>
    <x:row r="1595" ht="22" customHeight="1">
      <x:c r="A1595" s="2"/>
      <x:c r="B1595" s="2" t="n">
        <x:v>1562</x:v>
      </x:c>
      <x:c r="C1595" s="2" t="str">
        <x:v>84818</x:v>
      </x:c>
      <x:c r="D1595" s="2" t="str">
        <x:v>damages</x:v>
      </x:c>
      <x:c r="E1595" s="11" t="n">
        <x:v>2383.04</x:v>
      </x:c>
      <x:c r="F1595" s="11" t="n">
        <x:v>132.05</x:v>
      </x:c>
      <x:c r="G1595" s="11" t="n">
        <x:v>2250.99</x:v>
      </x:c>
      <x:c r="H1595" s="23" t="n">
        <x:v>0.00011605483352798026</x:v>
      </x:c>
      <x:c r="I1595" s="23" t="n">
        <x:v>0.8876702840032279</x:v>
      </x:c>
      <x:c r="J1595" s="2" t="n">
        <x:v>214</x:v>
      </x:c>
      <x:c r="K1595" s="2"/>
      <x:c r="L1595" s="2"/>
    </x:row>
    <x:row r="1596" ht="22" customHeight="1">
      <x:c r="A1596" s="2"/>
      <x:c r="B1596" s="2" t="n">
        <x:v>1563</x:v>
      </x:c>
      <x:c r="C1596" s="2" t="str">
        <x:v>84795B</x:v>
      </x:c>
      <x:c r="D1596" s="2" t="str">
        <x:v>SUNSET CHECK HAMMOCK</x:v>
      </x:c>
      <x:c r="E1596" s="11" t="n">
        <x:v>2379.09</x:v>
      </x:c>
      <x:c r="F1596" s="11" t="n">
        <x:v>0</x:v>
      </x:c>
      <x:c r="G1596" s="11" t="n">
        <x:v>2379.09</x:v>
      </x:c>
      <x:c r="H1596" s="23" t="n">
        <x:v>0.000115862467225931</x:v>
      </x:c>
      <x:c r="I1596" s="23" t="n">
        <x:v>0.8877861464704538</x:v>
      </x:c>
      <x:c r="J1596" s="2" t="n">
        <x:v>96</x:v>
      </x:c>
      <x:c r="K1596" s="2"/>
      <x:c r="L1596" s="2"/>
    </x:row>
    <x:row r="1597" ht="22" customHeight="1">
      <x:c r="A1597" s="2"/>
      <x:c r="B1597" s="2" t="n">
        <x:v>1564</x:v>
      </x:c>
      <x:c r="C1597" s="2" t="str">
        <x:v>22566</x:v>
      </x:c>
      <x:c r="D1597" s="2" t="str">
        <x:v>FELTCRAFT HAIRBAND PINK AND PURPLE</x:v>
      </x:c>
      <x:c r="E1597" s="11" t="n">
        <x:v>2378.9199999999996</x:v>
      </x:c>
      <x:c r="F1597" s="11" t="n">
        <x:v>0</x:v>
      </x:c>
      <x:c r="G1597" s="11" t="n">
        <x:v>2378.9199999999996</x:v>
      </x:c>
      <x:c r="H1597" s="23" t="n">
        <x:v>0.00011585418816989341</x:v>
      </x:c>
      <x:c r="I1597" s="23" t="n">
        <x:v>0.8879020006586237</x:v>
      </x:c>
      <x:c r="J1597" s="2" t="n">
        <x:v>297</x:v>
      </x:c>
      <x:c r="K1597" s="2"/>
      <x:c r="L1597" s="2"/>
    </x:row>
    <x:row r="1598" ht="22" customHeight="1">
      <x:c r="A1598" s="2"/>
      <x:c r="B1598" s="2" t="n">
        <x:v>1565</x:v>
      </x:c>
      <x:c r="C1598" s="2" t="str">
        <x:v>23498</x:v>
      </x:c>
      <x:c r="D1598" s="2" t="str">
        <x:v>CLASSIC BICYCLE CLIPS </x:v>
      </x:c>
      <x:c r="E1598" s="11" t="n">
        <x:v>2378.4799999999996</x:v>
      </x:c>
      <x:c r="F1598" s="11" t="n">
        <x:v>0</x:v>
      </x:c>
      <x:c r="G1598" s="11" t="n">
        <x:v>2378.4799999999996</x:v>
      </x:c>
      <x:c r="H1598" s="23" t="n">
        <x:v>0.00011583276002485499</x:v>
      </x:c>
      <x:c r="I1598" s="23" t="n">
        <x:v>0.8880178334186485</x:v>
      </x:c>
      <x:c r="J1598" s="2" t="n">
        <x:v>99</x:v>
      </x:c>
      <x:c r="K1598" s="2"/>
      <x:c r="L1598" s="2"/>
    </x:row>
    <x:row r="1599" ht="22" customHeight="1">
      <x:c r="A1599" s="2"/>
      <x:c r="B1599" s="2" t="n">
        <x:v>1566</x:v>
      </x:c>
      <x:c r="C1599" s="2" t="str">
        <x:v>10133</x:v>
      </x:c>
      <x:c r="D1599" s="2" t="str">
        <x:v>damaged</x:v>
      </x:c>
      <x:c r="E1599" s="11" t="n">
        <x:v>2377.88</x:v>
      </x:c>
      <x:c r="F1599" s="11" t="n">
        <x:v>12.7</x:v>
      </x:c>
      <x:c r="G1599" s="11" t="n">
        <x:v>2365.18</x:v>
      </x:c>
      <x:c r="H1599" s="23" t="n">
        <x:v>0.00011580353982707539</x:v>
      </x:c>
      <x:c r="I1599" s="23" t="n">
        <x:v>0.8881336369584756</x:v>
      </x:c>
      <x:c r="J1599" s="2" t="n">
        <x:v>289</x:v>
      </x:c>
      <x:c r="K1599" s="2"/>
      <x:c r="L1599" s="2"/>
    </x:row>
    <x:row r="1600" ht="22" customHeight="1">
      <x:c r="A1600" s="2"/>
      <x:c r="B1600" s="2" t="n">
        <x:v>1567</x:v>
      </x:c>
      <x:c r="C1600" s="2" t="str">
        <x:v>21873</x:v>
      </x:c>
      <x:c r="D1600" s="2" t="str">
        <x:v>IF YOU CAN'T STAND THE HEAT MUG</x:v>
      </x:c>
      <x:c r="E1600" s="11" t="n">
        <x:v>2377.5099999999998</x:v>
      </x:c>
      <x:c r="F1600" s="11" t="n">
        <x:v>100.07000000000001</x:v>
      </x:c>
      <x:c r="G1600" s="11" t="n">
        <x:v>2277.44</x:v>
      </x:c>
      <x:c r="H1600" s="23" t="n">
        <x:v>0.00011578552070511126</x:v>
      </x:c>
      <x:c r="I1600" s="23" t="n">
        <x:v>0.8882494224791807</x:v>
      </x:c>
      <x:c r="J1600" s="2" t="n">
        <x:v>199</x:v>
      </x:c>
      <x:c r="K1600" s="2"/>
      <x:c r="L1600" s="2"/>
    </x:row>
    <x:row r="1601" ht="22" customHeight="1">
      <x:c r="A1601" s="2"/>
      <x:c r="B1601" s="2" t="n">
        <x:v>1568</x:v>
      </x:c>
      <x:c r="C1601" s="2" t="str">
        <x:v>21262</x:v>
      </x:c>
      <x:c r="D1601" s="2" t="str">
        <x:v>WHITE GOOSE FEATHER CHRISTMAS TREE </x:v>
      </x:c>
      <x:c r="E1601" s="11" t="n">
        <x:v>2374.8700000000003</x:v>
      </x:c>
      <x:c r="F1601" s="11" t="n">
        <x:v>88.45</x:v>
      </x:c>
      <x:c r="G1601" s="11" t="n">
        <x:v>2286.42</x:v>
      </x:c>
      <x:c r="H1601" s="23" t="n">
        <x:v>0.00011565695183488088</x:v>
      </x:c>
      <x:c r="I1601" s="23" t="n">
        <x:v>0.8883650794310156</x:v>
      </x:c>
      <x:c r="J1601" s="2" t="n">
        <x:v>132</x:v>
      </x:c>
      <x:c r="K1601" s="2"/>
      <x:c r="L1601" s="2"/>
    </x:row>
    <x:row r="1602" ht="22" customHeight="1">
      <x:c r="A1602" s="2"/>
      <x:c r="B1602" s="2" t="n">
        <x:v>1569</x:v>
      </x:c>
      <x:c r="C1602" s="2" t="str">
        <x:v>23437</x:v>
      </x:c>
      <x:c r="D1602" s="2" t="str">
        <x:v> 50'S CHRISTMAS GIFT BAG LARGE</x:v>
      </x:c>
      <x:c r="E1602" s="11" t="n">
        <x:v>2373.63</x:v>
      </x:c>
      <x:c r="F1602" s="11" t="n">
        <x:v>2.5</x:v>
      </x:c>
      <x:c r="G1602" s="11" t="n">
        <x:v>2371.13</x:v>
      </x:c>
      <x:c r="H1602" s="23" t="n">
        <x:v>0.00011559656342613628</x:v>
      </x:c>
      <x:c r="I1602" s="23" t="n">
        <x:v>0.8884806759944418</x:v>
      </x:c>
      <x:c r="J1602" s="2" t="n">
        <x:v>131</x:v>
      </x:c>
      <x:c r="K1602" s="2"/>
      <x:c r="L1602" s="2"/>
    </x:row>
    <x:row r="1603" ht="22" customHeight="1">
      <x:c r="A1603" s="2"/>
      <x:c r="B1603" s="2" t="n">
        <x:v>1570</x:v>
      </x:c>
      <x:c r="C1603" s="2" t="str">
        <x:v>47570</x:v>
      </x:c>
      <x:c r="D1603" s="2" t="str">
        <x:v>ENGLISH ROSE TABLE CLOTH</x:v>
      </x:c>
      <x:c r="E1603" s="11" t="n">
        <x:v>2373.01</x:v>
      </x:c>
      <x:c r="F1603" s="11" t="n">
        <x:v>0</x:v>
      </x:c>
      <x:c r="G1603" s="11" t="n">
        <x:v>2373.01</x:v>
      </x:c>
      <x:c r="H1603" s="23" t="n">
        <x:v>0.000115566369221764</x:v>
      </x:c>
      <x:c r="I1603" s="23" t="n">
        <x:v>0.8885962423636635</x:v>
      </x:c>
      <x:c r="J1603" s="2" t="n">
        <x:v>78</x:v>
      </x:c>
      <x:c r="K1603" s="2"/>
      <x:c r="L1603" s="2"/>
    </x:row>
    <x:row r="1604" ht="22" customHeight="1">
      <x:c r="A1604" s="2"/>
      <x:c r="B1604" s="2" t="n">
        <x:v>1571</x:v>
      </x:c>
      <x:c r="C1604" s="2" t="str">
        <x:v>85034A</x:v>
      </x:c>
      <x:c r="D1604" s="2" t="str">
        <x:v>check</x:v>
      </x:c>
      <x:c r="E1604" s="11" t="n">
        <x:v>2368.57</x:v>
      </x:c>
      <x:c r="F1604" s="11" t="n">
        <x:v>37.75</x:v>
      </x:c>
      <x:c r="G1604" s="11" t="n">
        <x:v>2330.82</x:v>
      </x:c>
      <x:c r="H1604" s="23" t="n">
        <x:v>0.00011535013975819468</x:v>
      </x:c>
      <x:c r="I1604" s="23" t="n">
        <x:v>0.8887115925034217</x:v>
      </x:c>
      <x:c r="J1604" s="2" t="n">
        <x:v>135</x:v>
      </x:c>
      <x:c r="K1604" s="2"/>
      <x:c r="L1604" s="2"/>
    </x:row>
    <x:row r="1605" ht="22" customHeight="1">
      <x:c r="A1605" s="2"/>
      <x:c r="B1605" s="2" t="n">
        <x:v>1572</x:v>
      </x:c>
      <x:c r="C1605" s="2" t="str">
        <x:v>23436</x:v>
      </x:c>
      <x:c r="D1605" s="2" t="str">
        <x:v>VINTAGE CHRISTMAS GIFT BAG LARGE </x:v>
      </x:c>
      <x:c r="E1605" s="11" t="n">
        <x:v>2367.39</x:v>
      </x:c>
      <x:c r="F1605" s="11" t="n">
        <x:v>18.75</x:v>
      </x:c>
      <x:c r="G1605" s="11" t="n">
        <x:v>2348.64</x:v>
      </x:c>
      <x:c r="H1605" s="23" t="n">
        <x:v>0.00011529267336922805</x:v>
      </x:c>
      <x:c r="I1605" s="23" t="n">
        <x:v>0.8888268851767909</x:v>
      </x:c>
      <x:c r="J1605" s="2" t="n">
        <x:v>114</x:v>
      </x:c>
      <x:c r="K1605" s="2"/>
      <x:c r="L1605" s="2"/>
    </x:row>
    <x:row r="1606" ht="22" customHeight="1">
      <x:c r="A1606" s="2"/>
      <x:c r="B1606" s="2" t="n">
        <x:v>1573</x:v>
      </x:c>
      <x:c r="C1606" s="2" t="str">
        <x:v>21468</x:v>
      </x:c>
      <x:c r="D1606" s="2" t="str">
        <x:v>BUTTERFLY CROCHET FOOD COVER</x:v>
      </x:c>
      <x:c r="E1606" s="11" t="n">
        <x:v>2365.14</x:v>
      </x:c>
      <x:c r="F1606" s="11" t="n">
        <x:v>7.5</x:v>
      </x:c>
      <x:c r="G1606" s="11" t="n">
        <x:v>2357.64</x:v>
      </x:c>
      <x:c r="H1606" s="23" t="n">
        <x:v>0.0001151830976275544</x:v>
      </x:c>
      <x:c r="I1606" s="23" t="n">
        <x:v>0.8889420682744185</x:v>
      </x:c>
      <x:c r="J1606" s="2" t="n">
        <x:v>142</x:v>
      </x:c>
      <x:c r="K1606" s="2"/>
      <x:c r="L1606" s="2"/>
    </x:row>
    <x:row r="1607" ht="22" customHeight="1">
      <x:c r="A1607" s="2"/>
      <x:c r="B1607" s="2" t="n">
        <x:v>1574</x:v>
      </x:c>
      <x:c r="C1607" s="2" t="str">
        <x:v>85035A</x:v>
      </x:c>
      <x:c r="D1607" s="2" t="str">
        <x:v>CHECK</x:v>
      </x:c>
      <x:c r="E1607" s="11" t="n">
        <x:v>2361.9</x:v>
      </x:c>
      <x:c r="F1607" s="11" t="n">
        <x:v>133.94</x:v>
      </x:c>
      <x:c r="G1607" s="11" t="n">
        <x:v>2227.96</x:v>
      </x:c>
      <x:c r="H1607" s="23" t="n">
        <x:v>0.00011502530855954436</x:v>
      </x:c>
      <x:c r="I1607" s="23" t="n">
        <x:v>0.889057093582978</x:v>
      </x:c>
      <x:c r="J1607" s="2" t="n">
        <x:v>178</x:v>
      </x:c>
      <x:c r="K1607" s="2"/>
      <x:c r="L1607" s="2"/>
    </x:row>
    <x:row r="1608" ht="22" customHeight="1">
      <x:c r="A1608" s="2"/>
      <x:c r="B1608" s="2" t="n">
        <x:v>1575</x:v>
      </x:c>
      <x:c r="C1608" s="2" t="str">
        <x:v>22321</x:v>
      </x:c>
      <x:c r="D1608" s="2" t="str">
        <x:v>BIRD DECORATION RED RETROSPOT</x:v>
      </x:c>
      <x:c r="E1608" s="11" t="n">
        <x:v>2360.35</x:v>
      </x:c>
      <x:c r="F1608" s="11" t="n">
        <x:v>0.85</x:v>
      </x:c>
      <x:c r="G1608" s="11" t="n">
        <x:v>2359.5</x:v>
      </x:c>
      <x:c r="H1608" s="23" t="n">
        <x:v>0.00011494982304861362</x:v>
      </x:c>
      <x:c r="I1608" s="23" t="n">
        <x:v>0.8891720434060266</x:v>
      </x:c>
      <x:c r="J1608" s="2" t="n">
        <x:v>305</x:v>
      </x:c>
      <x:c r="K1608" s="2"/>
      <x:c r="L1608" s="2"/>
    </x:row>
    <x:row r="1609" ht="22" customHeight="1">
      <x:c r="A1609" s="2"/>
      <x:c r="B1609" s="2" t="n">
        <x:v>1576</x:v>
      </x:c>
      <x:c r="C1609" s="2" t="str">
        <x:v>22642</x:v>
      </x:c>
      <x:c r="D1609" s="2" t="str">
        <x:v>SET OF 4 NAPKIN CHARMS STARS   </x:v>
      </x:c>
      <x:c r="E1609" s="11" t="n">
        <x:v>2358.67</x:v>
      </x:c>
      <x:c r="F1609" s="11" t="n">
        <x:v>0</x:v>
      </x:c>
      <x:c r="G1609" s="11" t="n">
        <x:v>2358.67</x:v>
      </x:c>
      <x:c r="H1609" s="23" t="n">
        <x:v>0.00011486800649483065</x:v>
      </x:c>
      <x:c r="I1609" s="23" t="n">
        <x:v>0.8892869114125215</x:v>
      </x:c>
      <x:c r="J1609" s="2" t="n">
        <x:v>141</x:v>
      </x:c>
      <x:c r="K1609" s="2"/>
      <x:c r="L1609" s="2"/>
    </x:row>
    <x:row r="1610" ht="22" customHeight="1">
      <x:c r="A1610" s="2"/>
      <x:c r="B1610" s="2" t="n">
        <x:v>1577</x:v>
      </x:c>
      <x:c r="C1610" s="2" t="str">
        <x:v>21615</x:v>
      </x:c>
      <x:c r="D1610" s="2" t="str">
        <x:v>4 LAVENDER BOTANICAL DINNER CANDLES</x:v>
      </x:c>
      <x:c r="E1610" s="11" t="n">
        <x:v>2354.92</x:v>
      </x:c>
      <x:c r="F1610" s="11" t="n">
        <x:v>0</x:v>
      </x:c>
      <x:c r="G1610" s="11" t="n">
        <x:v>2354.92</x:v>
      </x:c>
      <x:c r="H1610" s="23" t="n">
        <x:v>0.00011468538025870791</x:v>
      </x:c>
      <x:c r="I1610" s="23" t="n">
        <x:v>0.8894015967927802</x:v>
      </x:c>
      <x:c r="J1610" s="2" t="n">
        <x:v>169</x:v>
      </x:c>
      <x:c r="K1610" s="2"/>
      <x:c r="L1610" s="2"/>
    </x:row>
    <x:row r="1611" ht="22" customHeight="1">
      <x:c r="A1611" s="2"/>
      <x:c r="B1611" s="2" t="n">
        <x:v>1578</x:v>
      </x:c>
      <x:c r="C1611" s="2" t="str">
        <x:v>23401</x:v>
      </x:c>
      <x:c r="D1611" s="2" t="str">
        <x:v>RUSTIC MIRROR WITH LACE HEART</x:v>
      </x:c>
      <x:c r="E1611" s="11" t="n">
        <x:v>2354.87</x:v>
      </x:c>
      <x:c r="F1611" s="11" t="n">
        <x:v>18.75</x:v>
      </x:c>
      <x:c r="G1611" s="11" t="n">
        <x:v>2336.12</x:v>
      </x:c>
      <x:c r="H1611" s="23" t="n">
        <x:v>0.00011468294524222627</x:v>
      </x:c>
      <x:c r="I1611" s="23" t="n">
        <x:v>0.8895162797380224</x:v>
      </x:c>
      <x:c r="J1611" s="2" t="n">
        <x:v>83</x:v>
      </x:c>
      <x:c r="K1611" s="2"/>
      <x:c r="L1611" s="2"/>
    </x:row>
    <x:row r="1612" ht="22" customHeight="1">
      <x:c r="A1612" s="2"/>
      <x:c r="B1612" s="2" t="n">
        <x:v>1579</x:v>
      </x:c>
      <x:c r="C1612" s="2" t="str">
        <x:v>23412</x:v>
      </x:c>
      <x:c r="D1612" s="2" t="str">
        <x:v>HEART MIRROR ANTIQUE WHITE</x:v>
      </x:c>
      <x:c r="E1612" s="11" t="n">
        <x:v>2354.8</x:v>
      </x:c>
      <x:c r="F1612" s="11" t="n">
        <x:v>15</x:v>
      </x:c>
      <x:c r="G1612" s="11" t="n">
        <x:v>2339.8</x:v>
      </x:c>
      <x:c r="H1612" s="23" t="n">
        <x:v>0.00011467953621915198</x:v>
      </x:c>
      <x:c r="I1612" s="23" t="n">
        <x:v>0.8896309592742415</x:v>
      </x:c>
      <x:c r="J1612" s="2" t="n">
        <x:v>76</x:v>
      </x:c>
      <x:c r="K1612" s="2"/>
      <x:c r="L1612" s="2"/>
    </x:row>
    <x:row r="1613" ht="22" customHeight="1">
      <x:c r="A1613" s="2"/>
      <x:c r="B1613" s="2" t="n">
        <x:v>1580</x:v>
      </x:c>
      <x:c r="C1613" s="2" t="str">
        <x:v>21824</x:v>
      </x:c>
      <x:c r="D1613" s="2" t="str">
        <x:v>PAINTED METAL STAR WITH HOLLY BELLS</x:v>
      </x:c>
      <x:c r="E1613" s="11" t="n">
        <x:v>2354.75</x:v>
      </x:c>
      <x:c r="F1613" s="11" t="n">
        <x:v>34.8</x:v>
      </x:c>
      <x:c r="G1613" s="11" t="n">
        <x:v>2319.95</x:v>
      </x:c>
      <x:c r="H1613" s="23" t="n">
        <x:v>0.00011467710120267035</x:v>
      </x:c>
      <x:c r="I1613" s="23" t="n">
        <x:v>0.8897456363754442</x:v>
      </x:c>
      <x:c r="J1613" s="2" t="n">
        <x:v>211</x:v>
      </x:c>
      <x:c r="K1613" s="2"/>
      <x:c r="L1613" s="2"/>
    </x:row>
    <x:row r="1614" ht="22" customHeight="1">
      <x:c r="A1614" s="2"/>
      <x:c r="B1614" s="2" t="n">
        <x:v>1581</x:v>
      </x:c>
      <x:c r="C1614" s="2" t="str">
        <x:v>21437</x:v>
      </x:c>
      <x:c r="D1614" s="2" t="str">
        <x:v>24 HANGING EASTER EGGS FLORAL TUB</x:v>
      </x:c>
      <x:c r="E1614" s="11" t="n">
        <x:v>2354.67</x:v>
      </x:c>
      <x:c r="F1614" s="11" t="n">
        <x:v>18.75</x:v>
      </x:c>
      <x:c r="G1614" s="11" t="n">
        <x:v>2335.92</x:v>
      </x:c>
      <x:c r="H1614" s="23" t="n">
        <x:v>0.00011467320517629973</x:v>
      </x:c>
      <x:c r="I1614" s="23" t="n">
        <x:v>0.8898603095806206</x:v>
      </x:c>
      <x:c r="J1614" s="2" t="n">
        <x:v>109</x:v>
      </x:c>
      <x:c r="K1614" s="2"/>
      <x:c r="L1614" s="2"/>
    </x:row>
    <x:row r="1615" ht="22" customHeight="1">
      <x:c r="A1615" s="2"/>
      <x:c r="B1615" s="2" t="n">
        <x:v>1582</x:v>
      </x:c>
      <x:c r="C1615" s="2" t="str">
        <x:v>21126</x:v>
      </x:c>
      <x:c r="D1615" s="2" t="str">
        <x:v>SET OF 6 GIRLS CELEBRATION CANDLES</x:v>
      </x:c>
      <x:c r="E1615" s="11" t="n">
        <x:v>2354.22</x:v>
      </x:c>
      <x:c r="F1615" s="11" t="n">
        <x:v>17.5</x:v>
      </x:c>
      <x:c r="G1615" s="11" t="n">
        <x:v>2336.72</x:v>
      </x:c>
      <x:c r="H1615" s="23" t="n">
        <x:v>0.00011465129002796499</x:v>
      </x:c>
      <x:c r="I1615" s="23" t="n">
        <x:v>0.8899749608706485</x:v>
      </x:c>
      <x:c r="J1615" s="2" t="n">
        <x:v>285</x:v>
      </x:c>
      <x:c r="K1615" s="2"/>
      <x:c r="L1615" s="2"/>
    </x:row>
    <x:row r="1616" ht="22" customHeight="1">
      <x:c r="A1616" s="2"/>
      <x:c r="B1616" s="2" t="n">
        <x:v>1583</x:v>
      </x:c>
      <x:c r="C1616" s="2" t="str">
        <x:v>22421</x:v>
      </x:c>
      <x:c r="D1616" s="2" t="str">
        <x:v>LIPSTICK PEN FUSCHIA</x:v>
      </x:c>
      <x:c r="E1616" s="11" t="n">
        <x:v>2352.7</x:v>
      </x:c>
      <x:c r="F1616" s="11" t="n">
        <x:v>18.6</x:v>
      </x:c>
      <x:c r="G1616" s="11" t="n">
        <x:v>2334.1</x:v>
      </x:c>
      <x:c r="H1616" s="23" t="n">
        <x:v>0.00011457726552692324</x:v>
      </x:c>
      <x:c r="I1616" s="23" t="n">
        <x:v>0.8900895381361754</x:v>
      </x:c>
      <x:c r="J1616" s="2" t="n">
        <x:v>406</x:v>
      </x:c>
      <x:c r="K1616" s="2"/>
      <x:c r="L1616" s="2"/>
    </x:row>
    <x:row r="1617" ht="22" customHeight="1">
      <x:c r="A1617" s="2"/>
      <x:c r="B1617" s="2" t="n">
        <x:v>1584</x:v>
      </x:c>
      <x:c r="C1617" s="2" t="str">
        <x:v>84459B</x:v>
      </x:c>
      <x:c r="D1617" s="2" t="str">
        <x:v>YELLOW METAL CHICKEN HEART </x:v>
      </x:c>
      <x:c r="E1617" s="11" t="n">
        <x:v>2341.77</x:v>
      </x:c>
      <x:c r="F1617" s="11" t="n">
        <x:v>35.76</x:v>
      </x:c>
      <x:c r="G1617" s="11" t="n">
        <x:v>2306.0099999999998</x:v>
      </x:c>
      <x:c r="H1617" s="23" t="n">
        <x:v>0.0001140449709240375</x:v>
      </x:c>
      <x:c r="I1617" s="23" t="n">
        <x:v>0.8902035831070995</x:v>
      </x:c>
      <x:c r="J1617" s="2" t="n">
        <x:v>213</x:v>
      </x:c>
      <x:c r="K1617" s="2"/>
      <x:c r="L1617" s="2"/>
    </x:row>
    <x:row r="1618" ht="22" customHeight="1">
      <x:c r="A1618" s="2"/>
      <x:c r="B1618" s="2" t="n">
        <x:v>1585</x:v>
      </x:c>
      <x:c r="C1618" s="2" t="str">
        <x:v>21708</x:v>
      </x:c>
      <x:c r="D1618" s="2" t="str">
        <x:v>FOLDING UMBRELLA CREAM POLKADOT</x:v>
      </x:c>
      <x:c r="E1618" s="11" t="n">
        <x:v>2341.43</x:v>
      </x:c>
      <x:c r="F1618" s="11" t="n">
        <x:v>19.8</x:v>
      </x:c>
      <x:c r="G1618" s="11" t="n">
        <x:v>2321.63</x:v>
      </x:c>
      <x:c r="H1618" s="23" t="n">
        <x:v>0.00011402841281196238</x:v>
      </x:c>
      <x:c r="I1618" s="23" t="n">
        <x:v>0.8903176115199114</x:v>
      </x:c>
      <x:c r="J1618" s="2" t="n">
        <x:v>129</x:v>
      </x:c>
      <x:c r="K1618" s="2"/>
      <x:c r="L1618" s="2"/>
    </x:row>
    <x:row r="1619" ht="22" customHeight="1">
      <x:c r="A1619" s="2"/>
      <x:c r="B1619" s="2" t="n">
        <x:v>1586</x:v>
      </x:c>
      <x:c r="C1619" s="2" t="str">
        <x:v>22306</x:v>
      </x:c>
      <x:c r="D1619" s="2" t="str">
        <x:v>SILVER MUG BONE CHINA TREE OF LIFE</x:v>
      </x:c>
      <x:c r="E1619" s="11" t="n">
        <x:v>2340.62</x:v>
      </x:c>
      <x:c r="F1619" s="11" t="n">
        <x:v>28.7</x:v>
      </x:c>
      <x:c r="G1619" s="11" t="n">
        <x:v>2311.92</x:v>
      </x:c>
      <x:c r="H1619" s="23" t="n">
        <x:v>0.00011398896554495987</x:v>
      </x:c>
      <x:c r="I1619" s="23" t="n">
        <x:v>0.8904316004854563</x:v>
      </x:c>
      <x:c r="J1619" s="2" t="n">
        <x:v>163</x:v>
      </x:c>
      <x:c r="K1619" s="2"/>
      <x:c r="L1619" s="2"/>
    </x:row>
    <x:row r="1620" ht="22" customHeight="1">
      <x:c r="A1620" s="2"/>
      <x:c r="B1620" s="2" t="n">
        <x:v>1587</x:v>
      </x:c>
      <x:c r="C1620" s="2" t="str">
        <x:v>21826</x:v>
      </x:c>
      <x:c r="D1620" s="2" t="str">
        <x:v>EIGHT PIECE DINOSAUR SET</x:v>
      </x:c>
      <x:c r="E1620" s="11" t="n">
        <x:v>2336.87</x:v>
      </x:c>
      <x:c r="F1620" s="11" t="n">
        <x:v>71.25</x:v>
      </x:c>
      <x:c r="G1620" s="11" t="n">
        <x:v>2265.62</x:v>
      </x:c>
      <x:c r="H1620" s="23" t="n">
        <x:v>0.00011380633930883713</x:v>
      </x:c>
      <x:c r="I1620" s="23" t="n">
        <x:v>0.8905454068247651</x:v>
      </x:c>
      <x:c r="J1620" s="2" t="n">
        <x:v>240</x:v>
      </x:c>
      <x:c r="K1620" s="2"/>
      <x:c r="L1620" s="2"/>
    </x:row>
    <x:row r="1621" ht="22" customHeight="1">
      <x:c r="A1621" s="2"/>
      <x:c r="B1621" s="2" t="n">
        <x:v>1588</x:v>
      </x:c>
      <x:c r="C1621" s="2" t="str">
        <x:v>21947</x:v>
      </x:c>
      <x:c r="D1621" s="2" t="str">
        <x:v>SET OF 6 HEART CHOPSTICKS</x:v>
      </x:c>
      <x:c r="E1621" s="11" t="n">
        <x:v>2327.81</x:v>
      </x:c>
      <x:c r="F1621" s="11" t="n">
        <x:v>0</x:v>
      </x:c>
      <x:c r="G1621" s="11" t="n">
        <x:v>2327.81</x:v>
      </x:c>
      <x:c r="H1621" s="23" t="n">
        <x:v>0.0001133651143223646</x:v>
      </x:c>
      <x:c r="I1621" s="23" t="n">
        <x:v>0.8906587719390875</x:v>
      </x:c>
      <x:c r="J1621" s="2" t="n">
        <x:v>298</x:v>
      </x:c>
      <x:c r="K1621" s="2"/>
      <x:c r="L1621" s="2"/>
    </x:row>
    <x:row r="1622" ht="22" customHeight="1">
      <x:c r="A1622" s="2"/>
      <x:c r="B1622" s="2" t="n">
        <x:v>1589</x:v>
      </x:c>
      <x:c r="C1622" s="2" t="str">
        <x:v>22973</x:v>
      </x:c>
      <x:c r="D1622" s="2" t="str">
        <x:v>CHILDREN'S CIRCUS PARADE MUG</x:v>
      </x:c>
      <x:c r="E1622" s="11" t="n">
        <x:v>2324.2299999999996</x:v>
      </x:c>
      <x:c r="F1622" s="11" t="n">
        <x:v>39.199999999999996</x:v>
      </x:c>
      <x:c r="G1622" s="11" t="n">
        <x:v>2285.0299999999997</x:v>
      </x:c>
      <x:c r="H1622" s="23" t="n">
        <x:v>0.00011319076714227941</x:v>
      </x:c>
      <x:c r="I1622" s="23" t="n">
        <x:v>0.8907719627062298</x:v>
      </x:c>
      <x:c r="J1622" s="2" t="n">
        <x:v>155</x:v>
      </x:c>
      <x:c r="K1622" s="2"/>
      <x:c r="L1622" s="2"/>
    </x:row>
    <x:row r="1623" ht="22" customHeight="1">
      <x:c r="A1623" s="2"/>
      <x:c r="B1623" s="2" t="n">
        <x:v>1590</x:v>
      </x:c>
      <x:c r="C1623" s="2" t="str">
        <x:v>23197</x:v>
      </x:c>
      <x:c r="D1623" s="2" t="str">
        <x:v>SKETCHBOOK MAGNETIC SHOPPING LIST</x:v>
      </x:c>
      <x:c r="E1623" s="11" t="n">
        <x:v>2323.7999999999997</x:v>
      </x:c>
      <x:c r="F1623" s="11" t="n">
        <x:v>36.25</x:v>
      </x:c>
      <x:c r="G1623" s="11" t="n">
        <x:v>2287.5499999999997</x:v>
      </x:c>
      <x:c r="H1623" s="23" t="n">
        <x:v>0.00011316982600053735</x:v>
      </x:c>
      <x:c r="I1623" s="23" t="n">
        <x:v>0.8908851325322303</x:v>
      </x:c>
      <x:c r="J1623" s="2" t="n">
        <x:v>249</x:v>
      </x:c>
      <x:c r="K1623" s="2"/>
      <x:c r="L1623" s="2"/>
    </x:row>
    <x:row r="1624" ht="22" customHeight="1">
      <x:c r="A1624" s="2"/>
      <x:c r="B1624" s="2" t="n">
        <x:v>1591</x:v>
      </x:c>
      <x:c r="C1624" s="2" t="str">
        <x:v>22251</x:v>
      </x:c>
      <x:c r="D1624" s="2" t="str">
        <x:v>BIRDHOUSE DECORATION MAGIC GARDEN</x:v>
      </x:c>
      <x:c r="E1624" s="11" t="n">
        <x:v>2322.64</x:v>
      </x:c>
      <x:c r="F1624" s="11" t="n">
        <x:v>23.75</x:v>
      </x:c>
      <x:c r="G1624" s="11" t="n">
        <x:v>2298.89</x:v>
      </x:c>
      <x:c r="H1624" s="23" t="n">
        <x:v>0.00011311333361816338</x:v>
      </x:c>
      <x:c r="I1624" s="23" t="n">
        <x:v>0.8909982458658485</x:v>
      </x:c>
      <x:c r="J1624" s="2" t="n">
        <x:v>298</x:v>
      </x:c>
      <x:c r="K1624" s="2"/>
      <x:c r="L1624" s="2"/>
    </x:row>
    <x:row r="1625" ht="22" customHeight="1">
      <x:c r="A1625" s="2"/>
      <x:c r="B1625" s="2" t="n">
        <x:v>1592</x:v>
      </x:c>
      <x:c r="C1625" s="2" t="str">
        <x:v>21696</x:v>
      </x:c>
      <x:c r="D1625" s="2" t="str">
        <x:v>SMALL SILVER TRELLIS CANDLEPOT</x:v>
      </x:c>
      <x:c r="E1625" s="11" t="n">
        <x:v>2321.9400000000005</x:v>
      </x:c>
      <x:c r="F1625" s="11" t="n">
        <x:v>88.50000000000001</x:v>
      </x:c>
      <x:c r="G1625" s="11" t="n">
        <x:v>2233.4400000000005</x:v>
      </x:c>
      <x:c r="H1625" s="23" t="n">
        <x:v>0.00011307924338742051</x:v>
      </x:c>
      <x:c r="I1625" s="23" t="n">
        <x:v>0.891111325109236</x:v>
      </x:c>
      <x:c r="J1625" s="2" t="n">
        <x:v>107</x:v>
      </x:c>
      <x:c r="K1625" s="2"/>
      <x:c r="L1625" s="2"/>
    </x:row>
    <x:row r="1626" ht="22" customHeight="1">
      <x:c r="A1626" s="2"/>
      <x:c r="B1626" s="2" t="n">
        <x:v>1593</x:v>
      </x:c>
      <x:c r="C1626" s="2" t="str">
        <x:v>85107</x:v>
      </x:c>
      <x:c r="D1626" s="2" t="str">
        <x:v>CUT GLASS T-LIGHT HOLDER OCTAGON</x:v>
      </x:c>
      <x:c r="E1626" s="11" t="n">
        <x:v>2315.59</x:v>
      </x:c>
      <x:c r="F1626" s="11" t="n">
        <x:v>0</x:v>
      </x:c>
      <x:c r="G1626" s="11" t="n">
        <x:v>2315.59</x:v>
      </x:c>
      <x:c r="H1626" s="23" t="n">
        <x:v>0.00011276999629425265</x:v>
      </x:c>
      <x:c r="I1626" s="23" t="n">
        <x:v>0.8912240951055302</x:v>
      </x:c>
      <x:c r="J1626" s="2" t="n">
        <x:v>70</x:v>
      </x:c>
      <x:c r="K1626" s="2"/>
      <x:c r="L1626" s="2"/>
    </x:row>
    <x:row r="1627" ht="22" customHeight="1">
      <x:c r="A1627" s="2"/>
      <x:c r="B1627" s="2" t="n">
        <x:v>1594</x:v>
      </x:c>
      <x:c r="C1627" s="2" t="str">
        <x:v>23371</x:v>
      </x:c>
      <x:c r="D1627" s="2" t="str">
        <x:v>SET 36 COLOUR PENCILS SPACEBOY </x:v>
      </x:c>
      <x:c r="E1627" s="11" t="n">
        <x:v>2313.53</x:v>
      </x:c>
      <x:c r="F1627" s="11" t="n">
        <x:v>0</x:v>
      </x:c>
      <x:c r="G1627" s="11" t="n">
        <x:v>2313.53</x:v>
      </x:c>
      <x:c r="H1627" s="23" t="n">
        <x:v>0.00011266967361520923</x:v>
      </x:c>
      <x:c r="I1627" s="23" t="n">
        <x:v>0.8913367647791455</x:v>
      </x:c>
      <x:c r="J1627" s="2" t="n">
        <x:v>185</x:v>
      </x:c>
      <x:c r="K1627" s="2"/>
      <x:c r="L1627" s="2"/>
    </x:row>
    <x:row r="1628" ht="22" customHeight="1">
      <x:c r="A1628" s="2"/>
      <x:c r="B1628" s="2" t="n">
        <x:v>1595</x:v>
      </x:c>
      <x:c r="C1628" s="2" t="str">
        <x:v>21741</x:v>
      </x:c>
      <x:c r="D1628" s="2" t="str">
        <x:v>COSY SLIPPER SHOES LARGE GREEN</x:v>
      </x:c>
      <x:c r="E1628" s="11" t="n">
        <x:v>2311.4500000000003</x:v>
      </x:c>
      <x:c r="F1628" s="11" t="n">
        <x:v>2.55</x:v>
      </x:c>
      <x:c r="G1628" s="11" t="n">
        <x:v>2308.9</x:v>
      </x:c>
      <x:c r="H1628" s="23" t="n">
        <x:v>0.00011256837692957316</x:v>
      </x:c>
      <x:c r="I1628" s="23" t="n">
        <x:v>0.891449333156075</x:v>
      </x:c>
      <x:c r="J1628" s="2" t="n">
        <x:v>190</x:v>
      </x:c>
      <x:c r="K1628" s="2"/>
      <x:c r="L1628" s="2"/>
    </x:row>
    <x:row r="1629" ht="22" customHeight="1">
      <x:c r="A1629" s="2"/>
      <x:c r="B1629" s="2" t="n">
        <x:v>1596</x:v>
      </x:c>
      <x:c r="C1629" s="2" t="str">
        <x:v>21482</x:v>
      </x:c>
      <x:c r="D1629" s="2" t="str">
        <x:v>MUSHROOM BLUE HOT WATER BOTTLE</x:v>
      </x:c>
      <x:c r="E1629" s="11" t="n">
        <x:v>2308.56</x:v>
      </x:c>
      <x:c r="F1629" s="11" t="n">
        <x:v>17.700000000000003</x:v>
      </x:c>
      <x:c r="G1629" s="11" t="n">
        <x:v>2290.86</x:v>
      </x:c>
      <x:c r="H1629" s="23" t="n">
        <x:v>0.00011242763297693455</x:v>
      </x:c>
      <x:c r="I1629" s="23" t="n">
        <x:v>0.8915617607890519</x:v>
      </x:c>
      <x:c r="J1629" s="2" t="n">
        <x:v>184</x:v>
      </x:c>
      <x:c r="K1629" s="2"/>
      <x:c r="L1629" s="2"/>
    </x:row>
    <x:row r="1630" ht="22" customHeight="1">
      <x:c r="A1630" s="2"/>
      <x:c r="B1630" s="2" t="n">
        <x:v>1597</x:v>
      </x:c>
      <x:c r="C1630" s="2" t="str">
        <x:v>22363</x:v>
      </x:c>
      <x:c r="D1630" s="2" t="str">
        <x:v>GLASS JAR MARMALADE </x:v>
      </x:c>
      <x:c r="E1630" s="11" t="n">
        <x:v>2306.34</x:v>
      </x:c>
      <x:c r="F1630" s="11" t="n">
        <x:v>400.40000000000003</x:v>
      </x:c>
      <x:c r="G1630" s="11" t="n">
        <x:v>1905.94</x:v>
      </x:c>
      <x:c r="H1630" s="23" t="n">
        <x:v>0.0001123195182451499</x:v>
      </x:c>
      <x:c r="I1630" s="23" t="n">
        <x:v>0.8916740803072971</x:v>
      </x:c>
      <x:c r="J1630" s="2" t="n">
        <x:v>169</x:v>
      </x:c>
      <x:c r="K1630" s="2"/>
      <x:c r="L1630" s="2"/>
    </x:row>
    <x:row r="1631" ht="22" customHeight="1">
      <x:c r="A1631" s="2"/>
      <x:c r="B1631" s="2" t="n">
        <x:v>1598</x:v>
      </x:c>
      <x:c r="C1631" s="2" t="str">
        <x:v>23029</x:v>
      </x:c>
      <x:c r="D1631" s="2" t="str">
        <x:v>DRAWER KNOB CRACKLE GLAZE GREEN</x:v>
      </x:c>
      <x:c r="E1631" s="11" t="n">
        <x:v>2303.9199999999996</x:v>
      </x:c>
      <x:c r="F1631" s="11" t="n">
        <x:v>46.199999999999996</x:v>
      </x:c>
      <x:c r="G1631" s="11" t="n">
        <x:v>2257.72</x:v>
      </x:c>
      <x:c r="H1631" s="23" t="n">
        <x:v>0.00011220166344743868</x:v>
      </x:c>
      <x:c r="I1631" s="23" t="n">
        <x:v>0.8917862819707445</x:v>
      </x:c>
      <x:c r="J1631" s="2" t="n">
        <x:v>156</x:v>
      </x:c>
      <x:c r="K1631" s="2"/>
      <x:c r="L1631" s="2"/>
    </x:row>
    <x:row r="1632" ht="22" customHeight="1">
      <x:c r="A1632" s="2"/>
      <x:c r="B1632" s="2" t="n">
        <x:v>1599</x:v>
      </x:c>
      <x:c r="C1632" s="2" t="str">
        <x:v>22409</x:v>
      </x:c>
      <x:c r="D1632" s="2" t="str">
        <x:v>MONEY BOX BISCUITS DESIGN</x:v>
      </x:c>
      <x:c r="E1632" s="11" t="n">
        <x:v>2300.46</x:v>
      </x:c>
      <x:c r="F1632" s="11" t="n">
        <x:v>17.5</x:v>
      </x:c>
      <x:c r="G1632" s="11" t="n">
        <x:v>2282.96</x:v>
      </x:c>
      <x:c r="H1632" s="23" t="n">
        <x:v>0.00011203316030690945</x:v>
      </x:c>
      <x:c r="I1632" s="23" t="n">
        <x:v>0.8918983151310514</x:v>
      </x:c>
      <x:c r="J1632" s="2" t="n">
        <x:v>164</x:v>
      </x:c>
      <x:c r="K1632" s="2"/>
      <x:c r="L1632" s="2"/>
    </x:row>
    <x:row r="1633" ht="22" customHeight="1">
      <x:c r="A1633" s="2"/>
      <x:c r="B1633" s="2" t="n">
        <x:v>1600</x:v>
      </x:c>
      <x:c r="C1633" s="2" t="str">
        <x:v>23330</x:v>
      </x:c>
      <x:c r="D1633" s="2" t="str">
        <x:v>DECORATIVE WICKER HEART MEDIUM</x:v>
      </x:c>
      <x:c r="E1633" s="11" t="n">
        <x:v>2299.47</x:v>
      </x:c>
      <x:c r="F1633" s="11" t="n">
        <x:v>7.5</x:v>
      </x:c>
      <x:c r="G1633" s="11" t="n">
        <x:v>2291.97</x:v>
      </x:c>
      <x:c r="H1633" s="23" t="n">
        <x:v>0.00011198494698057304</x:v>
      </x:c>
      <x:c r="I1633" s="23" t="n">
        <x:v>0.8920103000780321</x:v>
      </x:c>
      <x:c r="J1633" s="2" t="n">
        <x:v>216</x:v>
      </x:c>
      <x:c r="K1633" s="2"/>
      <x:c r="L1633" s="2"/>
    </x:row>
    <x:row r="1634" ht="22" customHeight="1">
      <x:c r="A1634" s="2"/>
      <x:c r="B1634" s="2" t="n">
        <x:v>1601</x:v>
      </x:c>
      <x:c r="C1634" s="2" t="str">
        <x:v>23360</x:v>
      </x:c>
      <x:c r="D1634" s="2" t="str">
        <x:v>SET 8 CANDLES VINTAGE DOILY</x:v>
      </x:c>
      <x:c r="E1634" s="11" t="n">
        <x:v>2296.15</x:v>
      </x:c>
      <x:c r="F1634" s="11" t="n">
        <x:v>0</x:v>
      </x:c>
      <x:c r="G1634" s="11" t="n">
        <x:v>2296.15</x:v>
      </x:c>
      <x:c r="H1634" s="23" t="n">
        <x:v>0.00011182326188619238</x:v>
      </x:c>
      <x:c r="I1634" s="23" t="n">
        <x:v>0.8921221233399182</x:v>
      </x:c>
      <x:c r="J1634" s="2" t="n">
        <x:v>114</x:v>
      </x:c>
      <x:c r="K1634" s="2"/>
      <x:c r="L1634" s="2"/>
    </x:row>
    <x:row r="1635" ht="22" customHeight="1">
      <x:c r="A1635" s="2"/>
      <x:c r="B1635" s="2" t="n">
        <x:v>1602</x:v>
      </x:c>
      <x:c r="C1635" s="2" t="str">
        <x:v>84536A</x:v>
      </x:c>
      <x:c r="D1635" s="2" t="str">
        <x:v>ENGLISH ROSE NOTEBOOK A7 SIZE</x:v>
      </x:c>
      <x:c r="E1635" s="11" t="n">
        <x:v>2293.09</x:v>
      </x:c>
      <x:c r="F1635" s="11" t="n">
        <x:v>15.959999999999999</x:v>
      </x:c>
      <x:c r="G1635" s="11" t="n">
        <x:v>2277.13</x:v>
      </x:c>
      <x:c r="H1635" s="23" t="n">
        <x:v>0.00011167423887751624</x:v>
      </x:c>
      <x:c r="I1635" s="23" t="n">
        <x:v>0.8922337975787957</x:v>
      </x:c>
      <x:c r="J1635" s="2" t="n">
        <x:v>613</x:v>
      </x:c>
      <x:c r="K1635" s="2"/>
      <x:c r="L1635" s="2"/>
    </x:row>
    <x:row r="1636" ht="22" customHeight="1">
      <x:c r="A1636" s="2"/>
      <x:c r="B1636" s="2" t="n">
        <x:v>1603</x:v>
      </x:c>
      <x:c r="C1636" s="2" t="str">
        <x:v>85176</x:v>
      </x:c>
      <x:c r="D1636" s="2" t="str">
        <x:v>SEWING SUSAN 21 NEEDLE SET</x:v>
      </x:c>
      <x:c r="E1636" s="11" t="n">
        <x:v>2293</x:v>
      </x:c>
      <x:c r="F1636" s="11" t="n">
        <x:v>13.18</x:v>
      </x:c>
      <x:c r="G1636" s="11" t="n">
        <x:v>2279.8199999999997</x:v>
      </x:c>
      <x:c r="H1636" s="23" t="n">
        <x:v>0.00011166985584784929</x:v>
      </x:c>
      <x:c r="I1636" s="23" t="n">
        <x:v>0.8923454674346436</x:v>
      </x:c>
      <x:c r="J1636" s="2" t="n">
        <x:v>306</x:v>
      </x:c>
      <x:c r="K1636" s="2"/>
      <x:c r="L1636" s="2"/>
    </x:row>
    <x:row r="1637" ht="22" customHeight="1">
      <x:c r="A1637" s="2"/>
      <x:c r="B1637" s="2" t="n">
        <x:v>1604</x:v>
      </x:c>
      <x:c r="C1637" s="2" t="str">
        <x:v>22831</x:v>
      </x:c>
      <x:c r="D1637" s="2" t="str">
        <x:v>WHITE BROCANTE SOAP DISH</x:v>
      </x:c>
      <x:c r="E1637" s="11" t="n">
        <x:v>2292.1800000000003</x:v>
      </x:c>
      <x:c r="F1637" s="11" t="n">
        <x:v>0</x:v>
      </x:c>
      <x:c r="G1637" s="11" t="n">
        <x:v>2292.1800000000003</x:v>
      </x:c>
      <x:c r="H1637" s="23" t="n">
        <x:v>0.00011162992157755046</x:v>
      </x:c>
      <x:c r="I1637" s="23" t="n">
        <x:v>0.8924570973562211</x:v>
      </x:c>
      <x:c r="J1637" s="2" t="n">
        <x:v>138</x:v>
      </x:c>
      <x:c r="K1637" s="2"/>
      <x:c r="L1637" s="2"/>
    </x:row>
    <x:row r="1638" ht="22" customHeight="1">
      <x:c r="A1638" s="2"/>
      <x:c r="B1638" s="2" t="n">
        <x:v>1605</x:v>
      </x:c>
      <x:c r="C1638" s="2" t="str">
        <x:v>21464</x:v>
      </x:c>
      <x:c r="D1638" s="2" t="str">
        <x:v>DISCO BALL ROTATOR BATTERY OPERATED</x:v>
      </x:c>
      <x:c r="E1638" s="11" t="n">
        <x:v>2291</x:v>
      </x:c>
      <x:c r="F1638" s="11" t="n">
        <x:v>89.25</x:v>
      </x:c>
      <x:c r="G1638" s="11" t="n">
        <x:v>2201.75</x:v>
      </x:c>
      <x:c r="H1638" s="23" t="n">
        <x:v>0.00011157245518858383</x:v>
      </x:c>
      <x:c r="I1638" s="23" t="n">
        <x:v>0.8925686698114097</x:v>
      </x:c>
      <x:c r="J1638" s="2" t="n">
        <x:v>217</x:v>
      </x:c>
      <x:c r="K1638" s="2"/>
      <x:c r="L1638" s="2"/>
    </x:row>
    <x:row r="1639" ht="22" customHeight="1">
      <x:c r="A1639" s="2"/>
      <x:c r="B1639" s="2" t="n">
        <x:v>1606</x:v>
      </x:c>
      <x:c r="C1639" s="2" t="str">
        <x:v>22246</x:v>
      </x:c>
      <x:c r="D1639" s="2" t="str">
        <x:v>MAGIC GARDEN FELT GARLAND </x:v>
      </x:c>
      <x:c r="E1639" s="11" t="n">
        <x:v>2289.9</x:v>
      </x:c>
      <x:c r="F1639" s="11" t="n">
        <x:v>23.4</x:v>
      </x:c>
      <x:c r="G1639" s="11" t="n">
        <x:v>2266.5</x:v>
      </x:c>
      <x:c r="H1639" s="23" t="n">
        <x:v>0.00011151888482598783</x:v>
      </x:c>
      <x:c r="I1639" s="23" t="n">
        <x:v>0.8926801886962357</x:v>
      </x:c>
      <x:c r="J1639" s="2" t="n">
        <x:v>188</x:v>
      </x:c>
      <x:c r="K1639" s="2"/>
      <x:c r="L1639" s="2"/>
    </x:row>
    <x:row r="1640" ht="22" customHeight="1">
      <x:c r="A1640" s="2"/>
      <x:c r="B1640" s="2" t="n">
        <x:v>1607</x:v>
      </x:c>
      <x:c r="C1640" s="2" t="str">
        <x:v>85172</x:v>
      </x:c>
      <x:c r="D1640" s="2" t="str">
        <x:v>HYACINTH BULB T-LIGHT CANDLES</x:v>
      </x:c>
      <x:c r="E1640" s="11" t="n">
        <x:v>2288</x:v>
      </x:c>
      <x:c r="F1640" s="11" t="n">
        <x:v>64.25999999999999</x:v>
      </x:c>
      <x:c r="G1640" s="11" t="n">
        <x:v>2223.74</x:v>
      </x:c>
      <x:c r="H1640" s="23" t="n">
        <x:v>0.00011142635419968564</x:v>
      </x:c>
      <x:c r="I1640" s="23" t="n">
        <x:v>0.8927916150504354</x:v>
      </x:c>
      <x:c r="J1640" s="2" t="n">
        <x:v>150</x:v>
      </x:c>
      <x:c r="K1640" s="2"/>
      <x:c r="L1640" s="2"/>
    </x:row>
    <x:row r="1641" ht="22" customHeight="1">
      <x:c r="A1641" s="2"/>
      <x:c r="B1641" s="2" t="n">
        <x:v>1608</x:v>
      </x:c>
      <x:c r="C1641" s="2" t="str">
        <x:v>21655</x:v>
      </x:c>
      <x:c r="D1641" s="2" t="str">
        <x:v>HANGING RIDGE GLASS T-LIGHT HOLDER</x:v>
      </x:c>
      <x:c r="E1641" s="11" t="n">
        <x:v>2287.64</x:v>
      </x:c>
      <x:c r="F1641" s="11" t="n">
        <x:v>201.92</x:v>
      </x:c>
      <x:c r="G1641" s="11" t="n">
        <x:v>2085.72</x:v>
      </x:c>
      <x:c r="H1641" s="23" t="n">
        <x:v>0.00011140882208101784</x:v>
      </x:c>
      <x:c r="I1641" s="23" t="n">
        <x:v>0.8929030238725164</x:v>
      </x:c>
      <x:c r="J1641" s="2" t="n">
        <x:v>89</x:v>
      </x:c>
      <x:c r="K1641" s="2"/>
      <x:c r="L1641" s="2"/>
    </x:row>
    <x:row r="1642" ht="22" customHeight="1">
      <x:c r="A1642" s="2"/>
      <x:c r="B1642" s="2" t="n">
        <x:v>1609</x:v>
      </x:c>
      <x:c r="C1642" s="2" t="str">
        <x:v>85199L</x:v>
      </x:c>
      <x:c r="D1642" s="2" t="str">
        <x:v>LARGE HANGING IVORY &amp; RED WOOD BIRD</x:v>
      </x:c>
      <x:c r="E1642" s="11" t="n">
        <x:v>2285.02</x:v>
      </x:c>
      <x:c r="F1642" s="11" t="n">
        <x:v>17.55</x:v>
      </x:c>
      <x:c r="G1642" s="11" t="n">
        <x:v>2267.4700000000003</x:v>
      </x:c>
      <x:c r="H1642" s="23" t="n">
        <x:v>0.0001112812272173801</x:v>
      </x:c>
      <x:c r="I1642" s="23" t="n">
        <x:v>0.8930143050997338</x:v>
      </x:c>
      <x:c r="J1642" s="2" t="n">
        <x:v>272</x:v>
      </x:c>
      <x:c r="K1642" s="2"/>
      <x:c r="L1642" s="2"/>
    </x:row>
    <x:row r="1643" ht="22" customHeight="1">
      <x:c r="A1643" s="2"/>
      <x:c r="B1643" s="2" t="n">
        <x:v>1610</x:v>
      </x:c>
      <x:c r="C1643" s="2" t="str">
        <x:v>23128</x:v>
      </x:c>
      <x:c r="D1643" s="2" t="str">
        <x:v>FELTCRAFT BOY JEAN-PAUL KIT</x:v>
      </x:c>
      <x:c r="E1643" s="11" t="n">
        <x:v>2283.41</x:v>
      </x:c>
      <x:c r="F1643" s="11" t="n">
        <x:v>34.650000000000006</x:v>
      </x:c>
      <x:c r="G1643" s="11" t="n">
        <x:v>2248.76</x:v>
      </x:c>
      <x:c r="H1643" s="23" t="n">
        <x:v>0.0001112028196866714</x:v>
      </x:c>
      <x:c r="I1643" s="23" t="n">
        <x:v>0.8931255079194205</x:v>
      </x:c>
      <x:c r="J1643" s="2" t="n">
        <x:v>139</x:v>
      </x:c>
      <x:c r="K1643" s="2"/>
      <x:c r="L1643" s="2"/>
    </x:row>
    <x:row r="1644" ht="22" customHeight="1">
      <x:c r="A1644" s="2"/>
      <x:c r="B1644" s="2" t="n">
        <x:v>1611</x:v>
      </x:c>
      <x:c r="C1644" s="2" t="str">
        <x:v>21819</x:v>
      </x:c>
      <x:c r="D1644" s="2" t="str">
        <x:v>GLITTER CHRISTMAS STAR </x:v>
      </x:c>
      <x:c r="E1644" s="11" t="n">
        <x:v>2281.46</x:v>
      </x:c>
      <x:c r="F1644" s="11" t="n">
        <x:v>0</x:v>
      </x:c>
      <x:c r="G1644" s="11" t="n">
        <x:v>2281.46</x:v>
      </x:c>
      <x:c r="H1644" s="23" t="n">
        <x:v>0.00011110785404388758</x:v>
      </x:c>
      <x:c r="I1644" s="23" t="n">
        <x:v>0.8932366157734644</x:v>
      </x:c>
      <x:c r="J1644" s="2" t="n">
        <x:v>248</x:v>
      </x:c>
      <x:c r="K1644" s="2"/>
      <x:c r="L1644" s="2"/>
    </x:row>
    <x:row r="1645" ht="22" customHeight="1">
      <x:c r="A1645" s="2"/>
      <x:c r="B1645" s="2" t="n">
        <x:v>1612</x:v>
      </x:c>
      <x:c r="C1645" s="2" t="str">
        <x:v>85106</x:v>
      </x:c>
      <x:c r="D1645" s="2" t="str">
        <x:v>CUT GLASS HEXAGON T-LIGHT HOLDER</x:v>
      </x:c>
      <x:c r="E1645" s="11" t="n">
        <x:v>2281.44</x:v>
      </x:c>
      <x:c r="F1645" s="11" t="n">
        <x:v>0</x:v>
      </x:c>
      <x:c r="G1645" s="11" t="n">
        <x:v>2281.44</x:v>
      </x:c>
      <x:c r="H1645" s="23" t="n">
        <x:v>0.00011110688003729493</x:v>
      </x:c>
      <x:c r="I1645" s="23" t="n">
        <x:v>0.8933477226535017</x:v>
      </x:c>
      <x:c r="J1645" s="2" t="n">
        <x:v>59</x:v>
      </x:c>
      <x:c r="K1645" s="2"/>
      <x:c r="L1645" s="2"/>
    </x:row>
    <x:row r="1646" ht="22" customHeight="1">
      <x:c r="A1646" s="2"/>
      <x:c r="B1646" s="2" t="n">
        <x:v>1613</x:v>
      </x:c>
      <x:c r="C1646" s="2" t="str">
        <x:v>23252</x:v>
      </x:c>
      <x:c r="D1646" s="2" t="str">
        <x:v>VINTAGE RED ENAMEL TRIM JUG </x:v>
      </x:c>
      <x:c r="E1646" s="11" t="n">
        <x:v>2276.61</x:v>
      </x:c>
      <x:c r="F1646" s="11" t="n">
        <x:v>123.75</x:v>
      </x:c>
      <x:c r="G1646" s="11" t="n">
        <x:v>2152.86</x:v>
      </x:c>
      <x:c r="H1646" s="23" t="n">
        <x:v>0.00011087165744516885</x:v>
      </x:c>
      <x:c r="I1646" s="23" t="n">
        <x:v>0.8934585943109469</x:v>
      </x:c>
      <x:c r="J1646" s="2" t="n">
        <x:v>138</x:v>
      </x:c>
      <x:c r="K1646" s="2"/>
      <x:c r="L1646" s="2"/>
    </x:row>
    <x:row r="1647" ht="22" customHeight="1">
      <x:c r="A1647" s="2"/>
      <x:c r="B1647" s="2" t="n">
        <x:v>1614</x:v>
      </x:c>
      <x:c r="C1647" s="2" t="str">
        <x:v>85183A</x:v>
      </x:c>
      <x:c r="D1647" s="2" t="str">
        <x:v>CHARLIE &amp; LOLA WASTEPAPER BIN BLUE</x:v>
      </x:c>
      <x:c r="E1647" s="11" t="n">
        <x:v>2275.75</x:v>
      </x:c>
      <x:c r="F1647" s="11" t="n">
        <x:v>18.75</x:v>
      </x:c>
      <x:c r="G1647" s="11" t="n">
        <x:v>2257</x:v>
      </x:c>
      <x:c r="H1647" s="23" t="n">
        <x:v>0.0001108297751616847</x:v>
      </x:c>
      <x:c r="I1647" s="23" t="n">
        <x:v>0.8935694240861085</x:v>
      </x:c>
      <x:c r="J1647" s="2" t="n">
        <x:v>141</x:v>
      </x:c>
      <x:c r="K1647" s="2"/>
      <x:c r="L1647" s="2"/>
    </x:row>
    <x:row r="1648" ht="22" customHeight="1">
      <x:c r="A1648" s="2"/>
      <x:c r="B1648" s="2" t="n">
        <x:v>1615</x:v>
      </x:c>
      <x:c r="C1648" s="2" t="str">
        <x:v>21804</x:v>
      </x:c>
      <x:c r="D1648" s="2" t="str">
        <x:v>dotcom</x:v>
      </x:c>
      <x:c r="E1648" s="11" t="n">
        <x:v>2270.9900000000002</x:v>
      </x:c>
      <x:c r="F1648" s="11" t="n">
        <x:v>7.5</x:v>
      </x:c>
      <x:c r="G1648" s="11" t="n">
        <x:v>2263.4900000000002</x:v>
      </x:c>
      <x:c r="H1648" s="23" t="n">
        <x:v>0.00011059796159263291</x:v>
      </x:c>
      <x:c r="I1648" s="23" t="n">
        <x:v>0.8936800220477011</x:v>
      </x:c>
      <x:c r="J1648" s="2" t="n">
        <x:v>137</x:v>
      </x:c>
      <x:c r="K1648" s="2"/>
      <x:c r="L1648" s="2"/>
    </x:row>
    <x:row r="1649" ht="22" customHeight="1">
      <x:c r="A1649" s="2"/>
      <x:c r="B1649" s="2" t="n">
        <x:v>1616</x:v>
      </x:c>
      <x:c r="C1649" s="2" t="str">
        <x:v>85014C</x:v>
      </x:c>
      <x:c r="D1649" s="2" t="str">
        <x:v>BLUE/BROWN DOTS RUFFLED UMBRELLA</x:v>
      </x:c>
      <x:c r="E1649" s="11" t="n">
        <x:v>2270.73</x:v>
      </x:c>
      <x:c r="F1649" s="11" t="n">
        <x:v>576</x:v>
      </x:c>
      <x:c r="G1649" s="11" t="n">
        <x:v>1694.73</x:v>
      </x:c>
      <x:c r="H1649" s="23" t="n">
        <x:v>0.0001105852995069284</x:v>
      </x:c>
      <x:c r="I1649" s="23" t="n">
        <x:v>0.893790607347208</x:v>
      </x:c>
      <x:c r="J1649" s="2" t="n">
        <x:v>72</x:v>
      </x:c>
      <x:c r="K1649" s="2"/>
      <x:c r="L1649" s="2"/>
    </x:row>
    <x:row r="1650" ht="22" customHeight="1">
      <x:c r="A1650" s="2"/>
      <x:c r="B1650" s="2" t="n">
        <x:v>1617</x:v>
      </x:c>
      <x:c r="C1650" s="2" t="str">
        <x:v>22539</x:v>
      </x:c>
      <x:c r="D1650" s="2" t="str">
        <x:v>MINI JIGSAW DOLLY GIRL</x:v>
      </x:c>
      <x:c r="E1650" s="11" t="n">
        <x:v>2269.39</x:v>
      </x:c>
      <x:c r="F1650" s="11" t="n">
        <x:v>0.42</x:v>
      </x:c>
      <x:c r="G1650" s="11" t="n">
        <x:v>2268.97</x:v>
      </x:c>
      <x:c r="H1650" s="23" t="n">
        <x:v>0.00011052004106522053</x:v>
      </x:c>
      <x:c r="I1650" s="23" t="n">
        <x:v>0.8939011273882733</x:v>
      </x:c>
      <x:c r="J1650" s="2" t="n">
        <x:v>247</x:v>
      </x:c>
      <x:c r="K1650" s="2"/>
      <x:c r="L1650" s="2"/>
    </x:row>
    <x:row r="1651" ht="22" customHeight="1">
      <x:c r="A1651" s="2"/>
      <x:c r="B1651" s="2" t="n">
        <x:v>1618</x:v>
      </x:c>
      <x:c r="C1651" s="2" t="str">
        <x:v>35001G</x:v>
      </x:c>
      <x:c r="D1651" s="2" t="str">
        <x:v>HAND OPEN SHAPE GOLD</x:v>
      </x:c>
      <x:c r="E1651" s="11" t="n">
        <x:v>2267.97</x:v>
      </x:c>
      <x:c r="F1651" s="11" t="n">
        <x:v>37.29</x:v>
      </x:c>
      <x:c r="G1651" s="11" t="n">
        <x:v>2230.68</x:v>
      </x:c>
      <x:c r="H1651" s="23" t="n">
        <x:v>0.00011045088659714204</x:v>
      </x:c>
      <x:c r="I1651" s="23" t="n">
        <x:v>0.8940115782748704</x:v>
      </x:c>
      <x:c r="J1651" s="2" t="n">
        <x:v>103</x:v>
      </x:c>
      <x:c r="K1651" s="2"/>
      <x:c r="L1651" s="2"/>
    </x:row>
    <x:row r="1652" ht="22" customHeight="1">
      <x:c r="A1652" s="2"/>
      <x:c r="B1652" s="2" t="n">
        <x:v>1619</x:v>
      </x:c>
      <x:c r="C1652" s="2" t="str">
        <x:v>22024</x:v>
      </x:c>
      <x:c r="D1652" s="2" t="str">
        <x:v>RAINY LADIES BIRTHDAY CARD</x:v>
      </x:c>
      <x:c r="E1652" s="11" t="n">
        <x:v>2267.08</x:v>
      </x:c>
      <x:c r="F1652" s="11" t="n">
        <x:v>15.120000000000001</x:v>
      </x:c>
      <x:c r="G1652" s="11" t="n">
        <x:v>2251.96</x:v>
      </x:c>
      <x:c r="H1652" s="23" t="n">
        <x:v>0.00011040754330376892</x:v>
      </x:c>
      <x:c r="I1652" s="23" t="n">
        <x:v>0.8941219858181741</x:v>
      </x:c>
      <x:c r="J1652" s="2" t="n">
        <x:v>439</x:v>
      </x:c>
      <x:c r="K1652" s="2"/>
      <x:c r="L1652" s="2"/>
    </x:row>
    <x:row r="1653" ht="22" customHeight="1">
      <x:c r="A1653" s="2"/>
      <x:c r="B1653" s="2" t="n">
        <x:v>1620</x:v>
      </x:c>
      <x:c r="C1653" s="2" t="str">
        <x:v>20658</x:v>
      </x:c>
      <x:c r="D1653" s="2" t="str">
        <x:v>RED RETROSPOT LUGGAGE TAG</x:v>
      </x:c>
      <x:c r="E1653" s="11" t="n">
        <x:v>2263.86</x:v>
      </x:c>
      <x:c r="F1653" s="11" t="n">
        <x:v>45</x:v>
      </x:c>
      <x:c r="G1653" s="11" t="n">
        <x:v>2218.86</x:v>
      </x:c>
      <x:c r="H1653" s="23" t="n">
        <x:v>0.00011025072824235155</x:v>
      </x:c>
      <x:c r="I1653" s="23" t="n">
        <x:v>0.8942322365464165</x:v>
      </x:c>
      <x:c r="J1653" s="2" t="n">
        <x:v>353</x:v>
      </x:c>
      <x:c r="K1653" s="2"/>
      <x:c r="L1653" s="2"/>
    </x:row>
    <x:row r="1654" ht="22" customHeight="1">
      <x:c r="A1654" s="2"/>
      <x:c r="B1654" s="2" t="n">
        <x:v>1621</x:v>
      </x:c>
      <x:c r="C1654" s="2" t="str">
        <x:v>85114C</x:v>
      </x:c>
      <x:c r="D1654" s="2" t="str">
        <x:v>RED ENCHANTED FOREST PLACEMAT</x:v>
      </x:c>
      <x:c r="E1654" s="11" t="n">
        <x:v>2263.06</x:v>
      </x:c>
      <x:c r="F1654" s="11" t="n">
        <x:v>0</x:v>
      </x:c>
      <x:c r="G1654" s="11" t="n">
        <x:v>2263.06</x:v>
      </x:c>
      <x:c r="H1654" s="23" t="n">
        <x:v>0.00011021176797864535</x:v>
      </x:c>
      <x:c r="I1654" s="23" t="n">
        <x:v>0.8943424483143951</x:v>
      </x:c>
      <x:c r="J1654" s="2" t="n">
        <x:v>161</x:v>
      </x:c>
      <x:c r="K1654" s="2"/>
      <x:c r="L1654" s="2"/>
    </x:row>
    <x:row r="1655" ht="22" customHeight="1">
      <x:c r="A1655" s="2"/>
      <x:c r="B1655" s="2" t="n">
        <x:v>1622</x:v>
      </x:c>
      <x:c r="C1655" s="2" t="str">
        <x:v>22133</x:v>
      </x:c>
      <x:c r="D1655" s="2" t="str">
        <x:v>PINK LOVE HEART SHAPE CUP</x:v>
      </x:c>
      <x:c r="E1655" s="11" t="n">
        <x:v>2258.61</x:v>
      </x:c>
      <x:c r="F1655" s="11" t="n">
        <x:v>10.2</x:v>
      </x:c>
      <x:c r="G1655" s="11" t="n">
        <x:v>2248.41</x:v>
      </x:c>
      <x:c r="H1655" s="23" t="n">
        <x:v>0.00010999505151177971</x:v>
      </x:c>
      <x:c r="I1655" s="23" t="n">
        <x:v>0.8944524433659069</x:v>
      </x:c>
      <x:c r="J1655" s="2" t="n">
        <x:v>327</x:v>
      </x:c>
      <x:c r="K1655" s="2"/>
      <x:c r="L1655" s="2"/>
    </x:row>
    <x:row r="1656" ht="22" customHeight="1">
      <x:c r="A1656" s="2"/>
      <x:c r="B1656" s="2" t="n">
        <x:v>1623</x:v>
      </x:c>
      <x:c r="C1656" s="2" t="str">
        <x:v>21681</x:v>
      </x:c>
      <x:c r="D1656" s="2" t="str">
        <x:v>GIANT MEDINA STAMPED METAL BOWL </x:v>
      </x:c>
      <x:c r="E1656" s="11" t="n">
        <x:v>2254.71</x:v>
      </x:c>
      <x:c r="F1656" s="11" t="n">
        <x:v>29.849999999999998</x:v>
      </x:c>
      <x:c r="G1656" s="11" t="n">
        <x:v>2224.8599999999997</x:v>
      </x:c>
      <x:c r="H1656" s="23" t="n">
        <x:v>0.00010980512022621207</x:v>
      </x:c>
      <x:c r="I1656" s="23" t="n">
        <x:v>0.8945622484861331</x:v>
      </x:c>
      <x:c r="J1656" s="2" t="n">
        <x:v>79</x:v>
      </x:c>
      <x:c r="K1656" s="2"/>
      <x:c r="L1656" s="2"/>
    </x:row>
    <x:row r="1657" ht="22" customHeight="1">
      <x:c r="A1657" s="2"/>
      <x:c r="B1657" s="2" t="n">
        <x:v>1624</x:v>
      </x:c>
      <x:c r="C1657" s="2" t="str">
        <x:v>21651</x:v>
      </x:c>
      <x:c r="D1657" s="2" t="str">
        <x:v>HANGING GLASS ETCHED TEALIGHT</x:v>
      </x:c>
      <x:c r="E1657" s="11" t="n">
        <x:v>2251.5099999999998</x:v>
      </x:c>
      <x:c r="F1657" s="11" t="n">
        <x:v>0</x:v>
      </x:c>
      <x:c r="G1657" s="11" t="n">
        <x:v>2251.5099999999998</x:v>
      </x:c>
      <x:c r="H1657" s="23" t="n">
        <x:v>0.00010964927917138731</x:v>
      </x:c>
      <x:c r="I1657" s="23" t="n">
        <x:v>0.8946718977653044</x:v>
      </x:c>
      <x:c r="J1657" s="2" t="n">
        <x:v>124</x:v>
      </x:c>
      <x:c r="K1657" s="2"/>
      <x:c r="L1657" s="2"/>
    </x:row>
    <x:row r="1658" ht="22" customHeight="1">
      <x:c r="A1658" s="2"/>
      <x:c r="B1658" s="2" t="n">
        <x:v>1625</x:v>
      </x:c>
      <x:c r="C1658" s="2" t="str">
        <x:v>21187</x:v>
      </x:c>
      <x:c r="D1658" s="2" t="str">
        <x:v>WHITE BELL HONEYCOMB PAPER GARLAND </x:v>
      </x:c>
      <x:c r="E1658" s="11" t="n">
        <x:v>2250.3799999999997</x:v>
      </x:c>
      <x:c r="F1658" s="11" t="n">
        <x:v>0</x:v>
      </x:c>
      <x:c r="G1658" s="11" t="n">
        <x:v>2250.3799999999997</x:v>
      </x:c>
      <x:c r="H1658" s="23" t="n">
        <x:v>0.00010959424779890232</x:v>
      </x:c>
      <x:c r="I1658" s="23" t="n">
        <x:v>0.8947814920131033</x:v>
      </x:c>
      <x:c r="J1658" s="2" t="n">
        <x:v>144</x:v>
      </x:c>
      <x:c r="K1658" s="2"/>
      <x:c r="L1658" s="2"/>
    </x:row>
    <x:row r="1659" ht="22" customHeight="1">
      <x:c r="A1659" s="2"/>
      <x:c r="B1659" s="2" t="n">
        <x:v>1626</x:v>
      </x:c>
      <x:c r="C1659" s="2" t="str">
        <x:v>21476</x:v>
      </x:c>
      <x:c r="D1659" s="2" t="str">
        <x:v>STEEL SWEETHEART ROUND TABLE CREAM</x:v>
      </x:c>
      <x:c r="E1659" s="11" t="n">
        <x:v>2249.41</x:v>
      </x:c>
      <x:c r="F1659" s="11" t="n">
        <x:v>29.9</x:v>
      </x:c>
      <x:c r="G1659" s="11" t="n">
        <x:v>2219.5099999999998</x:v>
      </x:c>
      <x:c r="H1659" s="23" t="n">
        <x:v>0.00010954700847915859</x:v>
      </x:c>
      <x:c r="I1659" s="23" t="n">
        <x:v>0.8948910390215825</x:v>
      </x:c>
      <x:c r="J1659" s="2" t="n">
        <x:v>85</x:v>
      </x:c>
      <x:c r="K1659" s="2"/>
      <x:c r="L1659" s="2"/>
    </x:row>
    <x:row r="1660" ht="22" customHeight="1">
      <x:c r="A1660" s="2"/>
      <x:c r="B1660" s="2" t="n">
        <x:v>1627</x:v>
      </x:c>
      <x:c r="C1660" s="2" t="str">
        <x:v>84469</x:v>
      </x:c>
      <x:c r="D1660" s="2" t="str">
        <x:v>ROSE DES PADDED FLOOR CUSHION</x:v>
      </x:c>
      <x:c r="E1660" s="11" t="n">
        <x:v>2249.41</x:v>
      </x:c>
      <x:c r="F1660" s="11" t="n">
        <x:v>0</x:v>
      </x:c>
      <x:c r="G1660" s="11" t="n">
        <x:v>2249.41</x:v>
      </x:c>
      <x:c r="H1660" s="23" t="n">
        <x:v>0.00010954700847915859</x:v>
      </x:c>
      <x:c r="I1660" s="23" t="n">
        <x:v>0.8950005860300617</x:v>
      </x:c>
      <x:c r="J1660" s="2" t="n">
        <x:v>44</x:v>
      </x:c>
      <x:c r="K1660" s="2"/>
      <x:c r="L1660" s="2"/>
    </x:row>
    <x:row r="1661" ht="22" customHeight="1">
      <x:c r="A1661" s="2"/>
      <x:c r="B1661" s="2" t="n">
        <x:v>1628</x:v>
      </x:c>
      <x:c r="C1661" s="2" t="str">
        <x:v>22286</x:v>
      </x:c>
      <x:c r="D1661" s="2" t="str">
        <x:v>DECORATION WOBBLY RABBIT METAL </x:v>
      </x:c>
      <x:c r="E1661" s="11" t="n">
        <x:v>2245.2999999999997</x:v>
      </x:c>
      <x:c r="F1661" s="11" t="n">
        <x:v>0</x:v>
      </x:c>
      <x:c r="G1661" s="11" t="n">
        <x:v>2245.2999999999997</x:v>
      </x:c>
      <x:c r="H1661" s="23" t="n">
        <x:v>0.00010934685012436806</x:v>
      </x:c>
      <x:c r="I1661" s="23" t="n">
        <x:v>0.895109932880186</x:v>
      </x:c>
      <x:c r="J1661" s="2" t="n">
        <x:v>195</x:v>
      </x:c>
      <x:c r="K1661" s="2"/>
      <x:c r="L1661" s="2"/>
    </x:row>
    <x:row r="1662" ht="22" customHeight="1">
      <x:c r="A1662" s="2"/>
      <x:c r="B1662" s="2" t="n">
        <x:v>1629</x:v>
      </x:c>
      <x:c r="C1662" s="2" t="str">
        <x:v>23093</x:v>
      </x:c>
      <x:c r="D1662" s="2" t="str">
        <x:v>SMALL PARISIENNE HEART PHOTO FRAME </x:v>
      </x:c>
      <x:c r="E1662" s="11" t="n">
        <x:v>2244.2200000000003</x:v>
      </x:c>
      <x:c r="F1662" s="11" t="n">
        <x:v>7.470000000000001</x:v>
      </x:c>
      <x:c r="G1662" s="11" t="n">
        <x:v>2236.75</x:v>
      </x:c>
      <x:c r="H1662" s="23" t="n">
        <x:v>0.00010929425376836473</x:v>
      </x:c>
      <x:c r="I1662" s="23" t="n">
        <x:v>0.8952192271339544</x:v>
      </x:c>
      <x:c r="J1662" s="2" t="n">
        <x:v>142</x:v>
      </x:c>
      <x:c r="K1662" s="2"/>
      <x:c r="L1662" s="2"/>
    </x:row>
    <x:row r="1663" ht="22" customHeight="1">
      <x:c r="A1663" s="2"/>
      <x:c r="B1663" s="2" t="n">
        <x:v>1630</x:v>
      </x:c>
      <x:c r="C1663" s="2" t="str">
        <x:v>23079</x:v>
      </x:c>
      <x:c r="D1663" s="2" t="str">
        <x:v>TOADSTOOL BEDSIDE LIGHT </x:v>
      </x:c>
      <x:c r="E1663" s="11" t="n">
        <x:v>2243.35</x:v>
      </x:c>
      <x:c r="F1663" s="11" t="n">
        <x:v>125.3</x:v>
      </x:c>
      <x:c r="G1663" s="11" t="n">
        <x:v>2118.0499999999997</x:v>
      </x:c>
      <x:c r="H1663" s="23" t="n">
        <x:v>0.00010925188448158425</x:v>
      </x:c>
      <x:c r="I1663" s="23" t="n">
        <x:v>0.895328479018436</x:v>
      </x:c>
      <x:c r="J1663" s="2" t="n">
        <x:v>106</x:v>
      </x:c>
      <x:c r="K1663" s="2"/>
      <x:c r="L1663" s="2"/>
    </x:row>
    <x:row r="1664" ht="22" customHeight="1">
      <x:c r="A1664" s="2"/>
      <x:c r="B1664" s="2" t="n">
        <x:v>1631</x:v>
      </x:c>
      <x:c r="C1664" s="2" t="str">
        <x:v>51014L</x:v>
      </x:c>
      <x:c r="D1664" s="2" t="str">
        <x:v>FEATHER PEN,LIGHT PINK</x:v>
      </x:c>
      <x:c r="E1664" s="11" t="n">
        <x:v>2242.75</x:v>
      </x:c>
      <x:c r="F1664" s="11" t="n">
        <x:v>167.88</x:v>
      </x:c>
      <x:c r="G1664" s="11" t="n">
        <x:v>2074.87</x:v>
      </x:c>
      <x:c r="H1664" s="23" t="n">
        <x:v>0.00010922266428380462</x:v>
      </x:c>
      <x:c r="I1664" s="23" t="n">
        <x:v>0.8954377016827199</x:v>
      </x:c>
      <x:c r="J1664" s="2" t="n">
        <x:v>226</x:v>
      </x:c>
      <x:c r="K1664" s="2"/>
      <x:c r="L1664" s="2"/>
    </x:row>
    <x:row r="1665" ht="22" customHeight="1">
      <x:c r="A1665" s="2"/>
      <x:c r="B1665" s="2" t="n">
        <x:v>1632</x:v>
      </x:c>
      <x:c r="C1665" s="2" t="str">
        <x:v>21710</x:v>
      </x:c>
      <x:c r="D1665" s="2" t="str">
        <x:v>FOLDING UMBRELLA PINKWHITE POLKADOT</x:v>
      </x:c>
      <x:c r="E1665" s="11" t="n">
        <x:v>2239.96</x:v>
      </x:c>
      <x:c r="F1665" s="11" t="n">
        <x:v>54.45</x:v>
      </x:c>
      <x:c r="G1665" s="11" t="n">
        <x:v>2185.5099999999998</x:v>
      </x:c>
      <x:c r="H1665" s="23" t="n">
        <x:v>0.0001090867903641293</x:v>
      </x:c>
      <x:c r="I1665" s="23" t="n">
        <x:v>0.895546788473084</x:v>
      </x:c>
      <x:c r="J1665" s="2" t="n">
        <x:v>110</x:v>
      </x:c>
      <x:c r="K1665" s="2"/>
      <x:c r="L1665" s="2"/>
    </x:row>
    <x:row r="1666" ht="22" customHeight="1">
      <x:c r="A1666" s="2"/>
      <x:c r="B1666" s="2" t="n">
        <x:v>1633</x:v>
      </x:c>
      <x:c r="C1666" s="2" t="str">
        <x:v>21638</x:v>
      </x:c>
      <x:c r="D1666" s="2" t="str">
        <x:v>ASSORTED TUTTI FRUTTI NOTEBOOK</x:v>
      </x:c>
      <x:c r="E1666" s="11" t="n">
        <x:v>2239.84</x:v>
      </x:c>
      <x:c r="F1666" s="11" t="n">
        <x:v>16.8</x:v>
      </x:c>
      <x:c r="G1666" s="11" t="n">
        <x:v>2223.0400000000004</x:v>
      </x:c>
      <x:c r="H1666" s="23" t="n">
        <x:v>0.00010908094632457338</x:v>
      </x:c>
      <x:c r="I1666" s="23" t="n">
        <x:v>0.8956558694194086</x:v>
      </x:c>
      <x:c r="J1666" s="2" t="n">
        <x:v>142</x:v>
      </x:c>
      <x:c r="K1666" s="2"/>
      <x:c r="L1666" s="2"/>
    </x:row>
    <x:row r="1667" ht="22" customHeight="1">
      <x:c r="A1667" s="2"/>
      <x:c r="B1667" s="2" t="n">
        <x:v>1634</x:v>
      </x:c>
      <x:c r="C1667" s="2" t="str">
        <x:v>85045</x:v>
      </x:c>
      <x:c r="D1667" s="2" t="str">
        <x:v>GREEN CHRISTMAS TREE STRING 20LIGHT</x:v>
      </x:c>
      <x:c r="E1667" s="11" t="n">
        <x:v>2239.34</x:v>
      </x:c>
      <x:c r="F1667" s="11" t="n">
        <x:v>54.5</x:v>
      </x:c>
      <x:c r="G1667" s="11" t="n">
        <x:v>2184.84</x:v>
      </x:c>
      <x:c r="H1667" s="23" t="n">
        <x:v>0.00010905659615975701</x:v>
      </x:c>
      <x:c r="I1667" s="23" t="n">
        <x:v>0.8957649260155683</x:v>
      </x:c>
      <x:c r="J1667" s="2" t="n">
        <x:v>83</x:v>
      </x:c>
      <x:c r="K1667" s="2"/>
      <x:c r="L1667" s="2"/>
    </x:row>
    <x:row r="1668" ht="22" customHeight="1">
      <x:c r="A1668" s="2"/>
      <x:c r="B1668" s="2" t="n">
        <x:v>1635</x:v>
      </x:c>
      <x:c r="C1668" s="2" t="str">
        <x:v>22163</x:v>
      </x:c>
      <x:c r="D1668" s="2" t="str">
        <x:v>HEART STRING MEMO HOLDER HANGING</x:v>
      </x:c>
      <x:c r="E1668" s="11" t="n">
        <x:v>2238.07</x:v>
      </x:c>
      <x:c r="F1668" s="11" t="n">
        <x:v>179.05000000000004</x:v>
      </x:c>
      <x:c r="G1668" s="11" t="n">
        <x:v>2059.02</x:v>
      </x:c>
      <x:c r="H1668" s="23" t="n">
        <x:v>0.00010899474674112345</x:v>
      </x:c>
      <x:c r="I1668" s="23" t="n">
        <x:v>0.8958739207623094</x:v>
      </x:c>
      <x:c r="J1668" s="2" t="n">
        <x:v>197</x:v>
      </x:c>
      <x:c r="K1668" s="2"/>
      <x:c r="L1668" s="2"/>
    </x:row>
    <x:row r="1669" ht="22" customHeight="1">
      <x:c r="A1669" s="2"/>
      <x:c r="B1669" s="2" t="n">
        <x:v>1636</x:v>
      </x:c>
      <x:c r="C1669" s="2" t="str">
        <x:v>20931</x:v>
      </x:c>
      <x:c r="D1669" s="2" t="str">
        <x:v>BLUE POT PLANT CANDLE </x:v>
      </x:c>
      <x:c r="E1669" s="11" t="n">
        <x:v>2238.07</x:v>
      </x:c>
      <x:c r="F1669" s="11" t="n">
        <x:v>87.55000000000001</x:v>
      </x:c>
      <x:c r="G1669" s="11" t="n">
        <x:v>2150.52</x:v>
      </x:c>
      <x:c r="H1669" s="23" t="n">
        <x:v>0.00010899474674112345</x:v>
      </x:c>
      <x:c r="I1669" s="23" t="n">
        <x:v>0.8959829155090505</x:v>
      </x:c>
      <x:c r="J1669" s="2" t="n">
        <x:v>157</x:v>
      </x:c>
      <x:c r="K1669" s="2"/>
      <x:c r="L1669" s="2"/>
    </x:row>
    <x:row r="1670" ht="22" customHeight="1">
      <x:c r="A1670" s="2"/>
      <x:c r="B1670" s="2" t="n">
        <x:v>1637</x:v>
      </x:c>
      <x:c r="C1670" s="2" t="str">
        <x:v>22803</x:v>
      </x:c>
      <x:c r="D1670" s="2" t="str">
        <x:v>IVORY EMBROIDERED QUILT </x:v>
      </x:c>
      <x:c r="E1670" s="11" t="n">
        <x:v>2237.84</x:v>
      </x:c>
      <x:c r="F1670" s="11" t="n">
        <x:v>0</x:v>
      </x:c>
      <x:c r="G1670" s="11" t="n">
        <x:v>2237.84</x:v>
      </x:c>
      <x:c r="H1670" s="23" t="n">
        <x:v>0.00010898354566530792</x:v>
      </x:c>
      <x:c r="I1670" s="23" t="n">
        <x:v>0.8960918990547159</x:v>
      </x:c>
      <x:c r="J1670" s="2" t="n">
        <x:v>36</x:v>
      </x:c>
      <x:c r="K1670" s="2"/>
      <x:c r="L1670" s="2"/>
    </x:row>
    <x:row r="1671" ht="22" customHeight="1">
      <x:c r="A1671" s="2"/>
      <x:c r="B1671" s="2" t="n">
        <x:v>1638</x:v>
      </x:c>
      <x:c r="C1671" s="2" t="str">
        <x:v>23326</x:v>
      </x:c>
      <x:c r="D1671" s="2" t="str">
        <x:v>HANGING MINI COLOURED BOTTLES</x:v>
      </x:c>
      <x:c r="E1671" s="11" t="n">
        <x:v>2237.71</x:v>
      </x:c>
      <x:c r="F1671" s="11" t="n">
        <x:v>0</x:v>
      </x:c>
      <x:c r="G1671" s="11" t="n">
        <x:v>2237.71</x:v>
      </x:c>
      <x:c r="H1671" s="23" t="n">
        <x:v>0.00010897721462245566</x:v>
      </x:c>
      <x:c r="I1671" s="23" t="n">
        <x:v>0.8962008762693383</x:v>
      </x:c>
      <x:c r="J1671" s="2" t="n">
        <x:v>76</x:v>
      </x:c>
      <x:c r="K1671" s="2"/>
      <x:c r="L1671" s="2"/>
    </x:row>
    <x:row r="1672" ht="22" customHeight="1">
      <x:c r="A1672" s="2"/>
      <x:c r="B1672" s="2" t="n">
        <x:v>1639</x:v>
      </x:c>
      <x:c r="C1672" s="2" t="str">
        <x:v>22336</x:v>
      </x:c>
      <x:c r="D1672" s="2" t="str">
        <x:v>damaged</x:v>
      </x:c>
      <x:c r="E1672" s="11" t="n">
        <x:v>2235.34</x:v>
      </x:c>
      <x:c r="F1672" s="11" t="n">
        <x:v>14.950000000000001</x:v>
      </x:c>
      <x:c r="G1672" s="11" t="n">
        <x:v>2220.3900000000003</x:v>
      </x:c>
      <x:c r="H1672" s="23" t="n">
        <x:v>0.0001088617948412261</x:v>
      </x:c>
      <x:c r="I1672" s="23" t="n">
        <x:v>0.8963097380641796</x:v>
      </x:c>
      <x:c r="J1672" s="2" t="n">
        <x:v>214</x:v>
      </x:c>
      <x:c r="K1672" s="2"/>
      <x:c r="L1672" s="2"/>
    </x:row>
    <x:row r="1673" ht="22" customHeight="1">
      <x:c r="A1673" s="2"/>
      <x:c r="B1673" s="2" t="n">
        <x:v>1640</x:v>
      </x:c>
      <x:c r="C1673" s="2" t="str">
        <x:v>16237</x:v>
      </x:c>
      <x:c r="D1673" s="2" t="str">
        <x:v>SLEEPING CAT ERASERS</x:v>
      </x:c>
      <x:c r="E1673" s="11" t="n">
        <x:v>2233.7799999999997</x:v>
      </x:c>
      <x:c r="F1673" s="11" t="n">
        <x:v>19.11</x:v>
      </x:c>
      <x:c r="G1673" s="11" t="n">
        <x:v>2214.67</x:v>
      </x:c>
      <x:c r="H1673" s="23" t="n">
        <x:v>0.00010878582232699901</x:v>
      </x:c>
      <x:c r="I1673" s="23" t="n">
        <x:v>0.8964185238865066</x:v>
      </x:c>
      <x:c r="J1673" s="2" t="n">
        <x:v>580</x:v>
      </x:c>
      <x:c r="K1673" s="2"/>
      <x:c r="L1673" s="2"/>
    </x:row>
    <x:row r="1674" ht="22" customHeight="1">
      <x:c r="A1674" s="2"/>
      <x:c r="B1674" s="2" t="n">
        <x:v>1641</x:v>
      </x:c>
      <x:c r="C1674" s="2" t="str">
        <x:v>21620</x:v>
      </x:c>
      <x:c r="D1674" s="2" t="str">
        <x:v>SET OF 4 ROSE BOTANICAL CANDLES</x:v>
      </x:c>
      <x:c r="E1674" s="11" t="n">
        <x:v>2232.98</x:v>
      </x:c>
      <x:c r="F1674" s="11" t="n">
        <x:v>22.5</x:v>
      </x:c>
      <x:c r="G1674" s="11" t="n">
        <x:v>2210.48</x:v>
      </x:c>
      <x:c r="H1674" s="23" t="n">
        <x:v>0.00010874686206329284</x:v>
      </x:c>
      <x:c r="I1674" s="23" t="n">
        <x:v>0.8965272707485699</x:v>
      </x:c>
      <x:c r="J1674" s="2" t="n">
        <x:v>222</x:v>
      </x:c>
      <x:c r="K1674" s="2"/>
      <x:c r="L1674" s="2"/>
    </x:row>
    <x:row r="1675" ht="22" customHeight="1">
      <x:c r="A1675" s="2"/>
      <x:c r="B1675" s="2" t="n">
        <x:v>1642</x:v>
      </x:c>
      <x:c r="C1675" s="2" t="str">
        <x:v>21398</x:v>
      </x:c>
      <x:c r="D1675" s="2" t="str">
        <x:v>damages</x:v>
      </x:c>
      <x:c r="E1675" s="11" t="n">
        <x:v>2231.9</x:v>
      </x:c>
      <x:c r="F1675" s="11" t="n">
        <x:v>4.2</x:v>
      </x:c>
      <x:c r="G1675" s="11" t="n">
        <x:v>2227.7</x:v>
      </x:c>
      <x:c r="H1675" s="23" t="n">
        <x:v>0.0001086942657072895</x:v>
      </x:c>
      <x:c r="I1675" s="23" t="n">
        <x:v>0.8966359650142771</x:v>
      </x:c>
      <x:c r="J1675" s="2" t="n">
        <x:v>126</x:v>
      </x:c>
      <x:c r="K1675" s="2"/>
      <x:c r="L1675" s="2"/>
    </x:row>
    <x:row r="1676" ht="22" customHeight="1">
      <x:c r="A1676" s="2"/>
      <x:c r="B1676" s="2" t="n">
        <x:v>1643</x:v>
      </x:c>
      <x:c r="C1676" s="2" t="str">
        <x:v>84691</x:v>
      </x:c>
      <x:c r="D1676" s="2" t="str">
        <x:v>PACK 20 DOLLY PEGS</x:v>
      </x:c>
      <x:c r="E1676" s="11" t="n">
        <x:v>2231.45</x:v>
      </x:c>
      <x:c r="F1676" s="11" t="n">
        <x:v>56.10000000000001</x:v>
      </x:c>
      <x:c r="G1676" s="11" t="n">
        <x:v>2175.35</x:v>
      </x:c>
      <x:c r="H1676" s="23" t="n">
        <x:v>0.00010867235055895475</x:v>
      </x:c>
      <x:c r="I1676" s="23" t="n">
        <x:v>0.8967446373648361</x:v>
      </x:c>
      <x:c r="J1676" s="2" t="n">
        <x:v>235</x:v>
      </x:c>
      <x:c r="K1676" s="2"/>
      <x:c r="L1676" s="2"/>
    </x:row>
    <x:row r="1677" ht="22" customHeight="1">
      <x:c r="A1677" s="2"/>
      <x:c r="B1677" s="2" t="n">
        <x:v>1644</x:v>
      </x:c>
      <x:c r="C1677" s="2" t="str">
        <x:v>23438</x:v>
      </x:c>
      <x:c r="D1677" s="2" t="str">
        <x:v> RED SPOT GIFT BAG LARGE</x:v>
      </x:c>
      <x:c r="E1677" s="11" t="n">
        <x:v>2227.42</x:v>
      </x:c>
      <x:c r="F1677" s="11" t="n">
        <x:v>0</x:v>
      </x:c>
      <x:c r="G1677" s="11" t="n">
        <x:v>2227.42</x:v>
      </x:c>
      <x:c r="H1677" s="23" t="n">
        <x:v>0.00010847608823053487</x:v>
      </x:c>
      <x:c r="I1677" s="23" t="n">
        <x:v>0.8968531134530666</x:v>
      </x:c>
      <x:c r="J1677" s="2" t="n">
        <x:v>109</x:v>
      </x:c>
      <x:c r="K1677" s="2"/>
      <x:c r="L1677" s="2"/>
    </x:row>
    <x:row r="1678" ht="22" customHeight="1">
      <x:c r="A1678" s="2"/>
      <x:c r="B1678" s="2" t="n">
        <x:v>1645</x:v>
      </x:c>
      <x:c r="C1678" s="2" t="str">
        <x:v>22074</x:v>
      </x:c>
      <x:c r="D1678" s="2" t="str">
        <x:v>6 RIBBONS SHIMMERING PINKS </x:v>
      </x:c>
      <x:c r="E1678" s="11" t="n">
        <x:v>2222.94</x:v>
      </x:c>
      <x:c r="F1678" s="11" t="n">
        <x:v>19.799999999999997</x:v>
      </x:c>
      <x:c r="G1678" s="11" t="n">
        <x:v>2203.14</x:v>
      </x:c>
      <x:c r="H1678" s="23" t="n">
        <x:v>0.00010825791075378024</x:v>
      </x:c>
      <x:c r="I1678" s="23" t="n">
        <x:v>0.8969613713638204</x:v>
      </x:c>
      <x:c r="J1678" s="2" t="n">
        <x:v>287</x:v>
      </x:c>
      <x:c r="K1678" s="2"/>
      <x:c r="L1678" s="2"/>
    </x:row>
    <x:row r="1679" ht="22" customHeight="1">
      <x:c r="A1679" s="2"/>
      <x:c r="B1679" s="2" t="n">
        <x:v>1646</x:v>
      </x:c>
      <x:c r="C1679" s="2" t="str">
        <x:v>21125</x:v>
      </x:c>
      <x:c r="D1679" s="2" t="str">
        <x:v>SET 6 FOOTBALL CELEBRATION CANDLES</x:v>
      </x:c>
      <x:c r="E1679" s="11" t="n">
        <x:v>2221.38</x:v>
      </x:c>
      <x:c r="F1679" s="11" t="n">
        <x:v>18.75</x:v>
      </x:c>
      <x:c r="G1679" s="11" t="n">
        <x:v>2202.63</x:v>
      </x:c>
      <x:c r="H1679" s="23" t="n">
        <x:v>0.00010818193823955319</x:v>
      </x:c>
      <x:c r="I1679" s="23" t="n">
        <x:v>0.89706955330206</x:v>
      </x:c>
      <x:c r="J1679" s="2" t="n">
        <x:v>246</x:v>
      </x:c>
      <x:c r="K1679" s="2"/>
      <x:c r="L1679" s="2"/>
    </x:row>
    <x:row r="1680" ht="22" customHeight="1">
      <x:c r="A1680" s="2"/>
      <x:c r="B1680" s="2" t="n">
        <x:v>1647</x:v>
      </x:c>
      <x:c r="C1680" s="2" t="str">
        <x:v>22711</x:v>
      </x:c>
      <x:c r="D1680" s="2" t="str">
        <x:v>WRAP CIRCUS PARADE</x:v>
      </x:c>
      <x:c r="E1680" s="11" t="n">
        <x:v>2220.84</x:v>
      </x:c>
      <x:c r="F1680" s="11" t="n">
        <x:v>21</x:v>
      </x:c>
      <x:c r="G1680" s="11" t="n">
        <x:v>2199.84</x:v>
      </x:c>
      <x:c r="H1680" s="23" t="n">
        <x:v>0.00010815564006155151</x:v>
      </x:c>
      <x:c r="I1680" s="23" t="n">
        <x:v>0.8971777089421215</x:v>
      </x:c>
      <x:c r="J1680" s="2" t="n">
        <x:v>181</x:v>
      </x:c>
      <x:c r="K1680" s="2"/>
      <x:c r="L1680" s="2"/>
    </x:row>
    <x:row r="1681" ht="22" customHeight="1">
      <x:c r="A1681" s="2"/>
      <x:c r="B1681" s="2" t="n">
        <x:v>1648</x:v>
      </x:c>
      <x:c r="C1681" s="2" t="str">
        <x:v>23501</x:v>
      </x:c>
      <x:c r="D1681" s="2" t="str">
        <x:v>KEY RING BASEBALL BOOT UNION JACK</x:v>
      </x:c>
      <x:c r="E1681" s="11" t="n">
        <x:v>2220.37</x:v>
      </x:c>
      <x:c r="F1681" s="11" t="n">
        <x:v>0</x:v>
      </x:c>
      <x:c r="G1681" s="11" t="n">
        <x:v>2220.37</x:v>
      </x:c>
      <x:c r="H1681" s="23" t="n">
        <x:v>0.00010813275090662411</x:v>
      </x:c>
      <x:c r="I1681" s="23" t="n">
        <x:v>0.897285841693028</x:v>
      </x:c>
      <x:c r="J1681" s="2" t="n">
        <x:v>112</x:v>
      </x:c>
      <x:c r="K1681" s="2"/>
      <x:c r="L1681" s="2"/>
    </x:row>
    <x:row r="1682" ht="22" customHeight="1">
      <x:c r="A1682" s="2"/>
      <x:c r="B1682" s="2" t="n">
        <x:v>1649</x:v>
      </x:c>
      <x:c r="C1682" s="2" t="str">
        <x:v>22453</x:v>
      </x:c>
      <x:c r="D1682" s="2" t="str">
        <x:v>MEASURING TAPE BABUSHKA BLUE</x:v>
      </x:c>
      <x:c r="E1682" s="11" t="n">
        <x:v>2218.82</x:v>
      </x:c>
      <x:c r="F1682" s="11" t="n">
        <x:v>23.6</x:v>
      </x:c>
      <x:c r="G1682" s="11" t="n">
        <x:v>2195.2200000000003</x:v>
      </x:c>
      <x:c r="H1682" s="23" t="n">
        <x:v>0.0001080572653956934</x:v>
      </x:c>
      <x:c r="I1682" s="23" t="n">
        <x:v>0.8973938989584237</x:v>
      </x:c>
      <x:c r="J1682" s="2" t="n">
        <x:v>144</x:v>
      </x:c>
      <x:c r="K1682" s="2"/>
      <x:c r="L1682" s="2"/>
    </x:row>
    <x:row r="1683" ht="22" customHeight="1">
      <x:c r="A1683" s="2"/>
      <x:c r="B1683" s="2" t="n">
        <x:v>1650</x:v>
      </x:c>
      <x:c r="C1683" s="2" t="str">
        <x:v>22716</x:v>
      </x:c>
      <x:c r="D1683" s="2" t="str">
        <x:v>CARD CIRCUS PARADE</x:v>
      </x:c>
      <x:c r="E1683" s="11" t="n">
        <x:v>2216.45</x:v>
      </x:c>
      <x:c r="F1683" s="11" t="n">
        <x:v>5.04</x:v>
      </x:c>
      <x:c r="G1683" s="11" t="n">
        <x:v>2211.41</x:v>
      </x:c>
      <x:c r="H1683" s="23" t="n">
        <x:v>0.00010794184561446382</x:v>
      </x:c>
      <x:c r="I1683" s="23" t="n">
        <x:v>0.8975018408040382</x:v>
      </x:c>
      <x:c r="J1683" s="2" t="n">
        <x:v>447</x:v>
      </x:c>
      <x:c r="K1683" s="2"/>
      <x:c r="L1683" s="2"/>
    </x:row>
    <x:row r="1684" ht="22" customHeight="1">
      <x:c r="A1684" s="2"/>
      <x:c r="B1684" s="2" t="n">
        <x:v>1651</x:v>
      </x:c>
      <x:c r="C1684" s="2" t="str">
        <x:v>84913A</x:v>
      </x:c>
      <x:c r="D1684" s="2" t="str">
        <x:v>SOFT PINK ROSE TOWEL </x:v>
      </x:c>
      <x:c r="E1684" s="11" t="n">
        <x:v>2211.54</x:v>
      </x:c>
      <x:c r="F1684" s="11" t="n">
        <x:v>0</x:v>
      </x:c>
      <x:c r="G1684" s="11" t="n">
        <x:v>2211.54</x:v>
      </x:c>
      <x:c r="H1684" s="23" t="n">
        <x:v>0.00010770272699596712</x:v>
      </x:c>
      <x:c r="I1684" s="23" t="n">
        <x:v>0.8976095435310342</x:v>
      </x:c>
      <x:c r="J1684" s="2" t="n">
        <x:v>266</x:v>
      </x:c>
      <x:c r="K1684" s="2"/>
      <x:c r="L1684" s="2"/>
    </x:row>
    <x:row r="1685" ht="22" customHeight="1">
      <x:c r="A1685" s="2"/>
      <x:c r="B1685" s="2" t="n">
        <x:v>1652</x:v>
      </x:c>
      <x:c r="C1685" s="2" t="str">
        <x:v>23403</x:v>
      </x:c>
      <x:c r="D1685" s="2" t="str">
        <x:v>LETTER HOLDER HOME SWEET HOME</x:v>
      </x:c>
      <x:c r="E1685" s="11" t="n">
        <x:v>2207.86</x:v>
      </x:c>
      <x:c r="F1685" s="11" t="n">
        <x:v>11.25</x:v>
      </x:c>
      <x:c r="G1685" s="11" t="n">
        <x:v>2196.61</x:v>
      </x:c>
      <x:c r="H1685" s="23" t="n">
        <x:v>0.00010752350978291869</x:v>
      </x:c>
      <x:c r="I1685" s="23" t="n">
        <x:v>0.8977170670408171</x:v>
      </x:c>
      <x:c r="J1685" s="2" t="n">
        <x:v>134</x:v>
      </x:c>
      <x:c r="K1685" s="2"/>
      <x:c r="L1685" s="2"/>
    </x:row>
    <x:row r="1686" ht="22" customHeight="1">
      <x:c r="A1686" s="2"/>
      <x:c r="B1686" s="2" t="n">
        <x:v>1653</x:v>
      </x:c>
      <x:c r="C1686" s="2" t="str">
        <x:v>22514</x:v>
      </x:c>
      <x:c r="D1686" s="2" t="str">
        <x:v>CHILDS GARDEN SPADE BLUE</x:v>
      </x:c>
      <x:c r="E1686" s="11" t="n">
        <x:v>2207.1200000000003</x:v>
      </x:c>
      <x:c r="F1686" s="11" t="n">
        <x:v>4.2</x:v>
      </x:c>
      <x:c r="G1686" s="11" t="n">
        <x:v>2202.92</x:v>
      </x:c>
      <x:c r="H1686" s="23" t="n">
        <x:v>0.00010748747153899047</x:v>
      </x:c>
      <x:c r="I1686" s="23" t="n">
        <x:v>0.8978245545123561</x:v>
      </x:c>
      <x:c r="J1686" s="2" t="n">
        <x:v>233</x:v>
      </x:c>
      <x:c r="K1686" s="2"/>
      <x:c r="L1686" s="2"/>
    </x:row>
    <x:row r="1687" ht="22" customHeight="1">
      <x:c r="A1687" s="2"/>
      <x:c r="B1687" s="2" t="n">
        <x:v>1654</x:v>
      </x:c>
      <x:c r="C1687" s="2" t="str">
        <x:v>22785</x:v>
      </x:c>
      <x:c r="D1687" s="2" t="str">
        <x:v>SQUARECUSHION COVER PINK UNION JACK</x:v>
      </x:c>
      <x:c r="E1687" s="11" t="n">
        <x:v>2207.11</x:v>
      </x:c>
      <x:c r="F1687" s="11" t="n">
        <x:v>0</x:v>
      </x:c>
      <x:c r="G1687" s="11" t="n">
        <x:v>2207.11</x:v>
      </x:c>
      <x:c r="H1687" s="23" t="n">
        <x:v>0.00010748698453569413</x:v>
      </x:c>
      <x:c r="I1687" s="23" t="n">
        <x:v>0.8979320414968918</x:v>
      </x:c>
      <x:c r="J1687" s="2" t="n">
        <x:v>122</x:v>
      </x:c>
      <x:c r="K1687" s="2"/>
      <x:c r="L1687" s="2"/>
    </x:row>
    <x:row r="1688" ht="22" customHeight="1">
      <x:c r="A1688" s="2"/>
      <x:c r="B1688" s="2" t="n">
        <x:v>1655</x:v>
      </x:c>
      <x:c r="C1688" s="2" t="str">
        <x:v>85116</x:v>
      </x:c>
      <x:c r="D1688" s="2" t="str">
        <x:v>BLACK CANDELABRA T-LIGHT HOLDER</x:v>
      </x:c>
      <x:c r="E1688" s="11" t="n">
        <x:v>2206.2400000000002</x:v>
      </x:c>
      <x:c r="F1688" s="11" t="n">
        <x:v>63.00000000000001</x:v>
      </x:c>
      <x:c r="G1688" s="11" t="n">
        <x:v>2143.2400000000002</x:v>
      </x:c>
      <x:c r="H1688" s="23" t="n">
        <x:v>0.00010744461524891366</x:v>
      </x:c>
      <x:c r="I1688" s="23" t="n">
        <x:v>0.8980394861121407</x:v>
      </x:c>
      <x:c r="J1688" s="2" t="n">
        <x:v>181</x:v>
      </x:c>
      <x:c r="K1688" s="2"/>
      <x:c r="L1688" s="2"/>
    </x:row>
    <x:row r="1689" ht="22" customHeight="1">
      <x:c r="A1689" s="2"/>
      <x:c r="B1689" s="2" t="n">
        <x:v>1656</x:v>
      </x:c>
      <x:c r="C1689" s="2" t="str">
        <x:v>22853</x:v>
      </x:c>
      <x:c r="D1689" s="2" t="str">
        <x:v>CAT BOWL VINTAGE CREAM</x:v>
      </x:c>
      <x:c r="E1689" s="11" t="n">
        <x:v>2205.57</x:v>
      </x:c>
      <x:c r="F1689" s="11" t="n">
        <x:v>19.5</x:v>
      </x:c>
      <x:c r="G1689" s="11" t="n">
        <x:v>2186.07</x:v>
      </x:c>
      <x:c r="H1689" s="23" t="n">
        <x:v>0.00010741198602805973</x:v>
      </x:c>
      <x:c r="I1689" s="23" t="n">
        <x:v>0.8981468980981687</x:v>
      </x:c>
      <x:c r="J1689" s="2" t="n">
        <x:v>146</x:v>
      </x:c>
      <x:c r="K1689" s="2"/>
      <x:c r="L1689" s="2"/>
    </x:row>
    <x:row r="1690" ht="22" customHeight="1">
      <x:c r="A1690" s="2"/>
      <x:c r="B1690" s="2" t="n">
        <x:v>1657</x:v>
      </x:c>
      <x:c r="C1690" s="2" t="str">
        <x:v>17091J</x:v>
      </x:c>
      <x:c r="D1690" s="2" t="str">
        <x:v>VANILLA INCENSE IN TIN</x:v>
      </x:c>
      <x:c r="E1690" s="11" t="n">
        <x:v>2204.35</x:v>
      </x:c>
      <x:c r="F1690" s="11" t="n">
        <x:v>0</x:v>
      </x:c>
      <x:c r="G1690" s="11" t="n">
        <x:v>2204.35</x:v>
      </x:c>
      <x:c r="H1690" s="23" t="n">
        <x:v>0.0001073525716259078</x:v>
      </x:c>
      <x:c r="I1690" s="23" t="n">
        <x:v>0.8982542506697946</x:v>
      </x:c>
      <x:c r="J1690" s="2" t="n">
        <x:v>178</x:v>
      </x:c>
      <x:c r="K1690" s="2"/>
      <x:c r="L1690" s="2"/>
    </x:row>
    <x:row r="1691" ht="22" customHeight="1">
      <x:c r="A1691" s="2"/>
      <x:c r="B1691" s="2" t="n">
        <x:v>1658</x:v>
      </x:c>
      <x:c r="C1691" s="2" t="str">
        <x:v>22920</x:v>
      </x:c>
      <x:c r="D1691" s="2" t="str">
        <x:v>HERB MARKER BASIL</x:v>
      </x:c>
      <x:c r="E1691" s="11" t="n">
        <x:v>2201.79</x:v>
      </x:c>
      <x:c r="F1691" s="11" t="n">
        <x:v>841.0500000000001</x:v>
      </x:c>
      <x:c r="G1691" s="11" t="n">
        <x:v>1360.74</x:v>
      </x:c>
      <x:c r="H1691" s="23" t="n">
        <x:v>0.00010722789878204801</x:v>
      </x:c>
      <x:c r="I1691" s="23" t="n">
        <x:v>0.8983614785685766</x:v>
      </x:c>
      <x:c r="J1691" s="2" t="n">
        <x:v>252</x:v>
      </x:c>
      <x:c r="K1691" s="2"/>
      <x:c r="L1691" s="2"/>
    </x:row>
    <x:row r="1692" ht="22" customHeight="1">
      <x:c r="A1692" s="2"/>
      <x:c r="B1692" s="2" t="n">
        <x:v>1659</x:v>
      </x:c>
      <x:c r="C1692" s="2" t="str">
        <x:v>23302</x:v>
      </x:c>
      <x:c r="D1692" s="2" t="str">
        <x:v>KNEELING MAT HOUSEWORK  DESIGN</x:v>
      </x:c>
      <x:c r="E1692" s="11" t="n">
        <x:v>2194.62</x:v>
      </x:c>
      <x:c r="F1692" s="11" t="n">
        <x:v>54.239999999999995</x:v>
      </x:c>
      <x:c r="G1692" s="11" t="n">
        <x:v>2140.3799999999997</x:v>
      </x:c>
      <x:c r="H1692" s="23" t="n">
        <x:v>0.00010687871741858133</x:v>
      </x:c>
      <x:c r="I1692" s="23" t="n">
        <x:v>0.8984683572859952</x:v>
      </x:c>
      <x:c r="J1692" s="2" t="n">
        <x:v>230</x:v>
      </x:c>
      <x:c r="K1692" s="2"/>
      <x:c r="L1692" s="2"/>
    </x:row>
    <x:row r="1693" ht="22" customHeight="1">
      <x:c r="A1693" s="2"/>
      <x:c r="B1693" s="2" t="n">
        <x:v>1660</x:v>
      </x:c>
      <x:c r="C1693" s="2" t="str">
        <x:v>21611</x:v>
      </x:c>
      <x:c r="D1693" s="2" t="str">
        <x:v>SET OF 12 LILY BOTANICAL T-LIGHTS</x:v>
      </x:c>
      <x:c r="E1693" s="11" t="n">
        <x:v>2193.9900000000002</x:v>
      </x:c>
      <x:c r="F1693" s="11" t="n">
        <x:v>17.700000000000003</x:v>
      </x:c>
      <x:c r="G1693" s="11" t="n">
        <x:v>2176.2900000000004</x:v>
      </x:c>
      <x:c r="H1693" s="23" t="n">
        <x:v>0.00010684803621091272</x:v>
      </x:c>
      <x:c r="I1693" s="23" t="n">
        <x:v>0.898575205322206</x:v>
      </x:c>
      <x:c r="J1693" s="2" t="n">
        <x:v>148</x:v>
      </x:c>
      <x:c r="K1693" s="2"/>
      <x:c r="L1693" s="2"/>
    </x:row>
    <x:row r="1694" ht="22" customHeight="1">
      <x:c r="A1694" s="2"/>
      <x:c r="B1694" s="2" t="n">
        <x:v>1661</x:v>
      </x:c>
      <x:c r="C1694" s="2" t="str">
        <x:v>20770</x:v>
      </x:c>
      <x:c r="D1694" s="2" t="str">
        <x:v>ABSTRACT CIRCLE JOURNAL </x:v>
      </x:c>
      <x:c r="E1694" s="11" t="n">
        <x:v>2193.14</x:v>
      </x:c>
      <x:c r="F1694" s="11" t="n">
        <x:v>20.099999999999998</x:v>
      </x:c>
      <x:c r="G1694" s="11" t="n">
        <x:v>2173.04</x:v>
      </x:c>
      <x:c r="H1694" s="23" t="n">
        <x:v>0.00010680664093072488</x:v>
      </x:c>
      <x:c r="I1694" s="23" t="n">
        <x:v>0.8986820119631368</x:v>
      </x:c>
      <x:c r="J1694" s="2" t="n">
        <x:v>201</x:v>
      </x:c>
      <x:c r="K1694" s="2"/>
      <x:c r="L1694" s="2"/>
    </x:row>
    <x:row r="1695" ht="22" customHeight="1">
      <x:c r="A1695" s="2"/>
      <x:c r="B1695" s="2" t="n">
        <x:v>1662</x:v>
      </x:c>
      <x:c r="C1695" s="2" t="str">
        <x:v>23020</x:v>
      </x:c>
      <x:c r="D1695" s="2" t="str">
        <x:v>GLASS  SONGBIRD STORAGE JAR</x:v>
      </x:c>
      <x:c r="E1695" s="11" t="n">
        <x:v>2191.84</x:v>
      </x:c>
      <x:c r="F1695" s="11" t="n">
        <x:v>73.65</x:v>
      </x:c>
      <x:c r="G1695" s="11" t="n">
        <x:v>2118.19</x:v>
      </x:c>
      <x:c r="H1695" s="23" t="n">
        <x:v>0.00010674333050220235</x:v>
      </x:c>
      <x:c r="I1695" s="23" t="n">
        <x:v>0.898788755293639</x:v>
      </x:c>
      <x:c r="J1695" s="2" t="n">
        <x:v>76</x:v>
      </x:c>
      <x:c r="K1695" s="2"/>
      <x:c r="L1695" s="2"/>
    </x:row>
    <x:row r="1696" ht="22" customHeight="1">
      <x:c r="A1696" s="2"/>
      <x:c r="B1696" s="2" t="n">
        <x:v>1663</x:v>
      </x:c>
      <x:c r="C1696" s="2" t="str">
        <x:v>23031</x:v>
      </x:c>
      <x:c r="D1696" s="2" t="str">
        <x:v>DRAWER KNOB CRACKLE GLAZE PINK</x:v>
      </x:c>
      <x:c r="E1696" s="11" t="n">
        <x:v>2181.9999999999995</x:v>
      </x:c>
      <x:c r="F1696" s="11" t="n">
        <x:v>33</x:v>
      </x:c>
      <x:c r="G1696" s="11" t="n">
        <x:v>2149</x:v>
      </x:c>
      <x:c r="H1696" s="23" t="n">
        <x:v>0.00010626411925861626</x:v>
      </x:c>
      <x:c r="I1696" s="23" t="n">
        <x:v>0.8988950194128976</x:v>
      </x:c>
      <x:c r="J1696" s="2" t="n">
        <x:v>155</x:v>
      </x:c>
      <x:c r="K1696" s="2"/>
      <x:c r="L1696" s="2"/>
    </x:row>
    <x:row r="1697" ht="22" customHeight="1">
      <x:c r="A1697" s="2"/>
      <x:c r="B1697" s="2" t="n">
        <x:v>1664</x:v>
      </x:c>
      <x:c r="C1697" s="2" t="str">
        <x:v>85039B</x:v>
      </x:c>
      <x:c r="D1697" s="2" t="str">
        <x:v>S/4 IVORY MINI ROSE CANDLE IN BOWL</x:v>
      </x:c>
      <x:c r="E1697" s="11" t="n">
        <x:v>2178.52</x:v>
      </x:c>
      <x:c r="F1697" s="11" t="n">
        <x:v>19.799999999999997</x:v>
      </x:c>
      <x:c r="G1697" s="11" t="n">
        <x:v>2158.72</x:v>
      </x:c>
      <x:c r="H1697" s="23" t="n">
        <x:v>0.00010609464211149438</x:v>
      </x:c>
      <x:c r="I1697" s="23" t="n">
        <x:v>0.8990011140550092</x:v>
      </x:c>
      <x:c r="J1697" s="2" t="n">
        <x:v>266</x:v>
      </x:c>
      <x:c r="K1697" s="2"/>
      <x:c r="L1697" s="2"/>
    </x:row>
    <x:row r="1698" ht="22" customHeight="1">
      <x:c r="A1698" s="2"/>
      <x:c r="B1698" s="2" t="n">
        <x:v>1665</x:v>
      </x:c>
      <x:c r="C1698" s="2" t="str">
        <x:v>23445</x:v>
      </x:c>
      <x:c r="D1698" s="2" t="str">
        <x:v>ICE CREAM BUBBLES</x:v>
      </x:c>
      <x:c r="E1698" s="11" t="n">
        <x:v>2177.8399999999997</x:v>
      </x:c>
      <x:c r="F1698" s="11" t="n">
        <x:v>16.599999999999998</x:v>
      </x:c>
      <x:c r="G1698" s="11" t="n">
        <x:v>2161.24</x:v>
      </x:c>
      <x:c r="H1698" s="23" t="n">
        <x:v>0.00010606152588734412</x:v>
      </x:c>
      <x:c r="I1698" s="23" t="n">
        <x:v>0.8991071755808965</x:v>
      </x:c>
      <x:c r="J1698" s="2" t="n">
        <x:v>101</x:v>
      </x:c>
      <x:c r="K1698" s="2"/>
      <x:c r="L1698" s="2"/>
    </x:row>
    <x:row r="1699" ht="22" customHeight="1">
      <x:c r="A1699" s="2"/>
      <x:c r="B1699" s="2" t="n">
        <x:v>1666</x:v>
      </x:c>
      <x:c r="C1699" s="2" t="str">
        <x:v>15056n</x:v>
      </x:c>
      <x:c r="D1699" s="2" t="str">
        <x:v>EDWARDIAN PARASOL NATURAL</x:v>
      </x:c>
      <x:c r="E1699" s="11" t="n">
        <x:v>2170.4</x:v>
      </x:c>
      <x:c r="F1699" s="11" t="n">
        <x:v>0</x:v>
      </x:c>
      <x:c r="G1699" s="11" t="n">
        <x:v>2170.4</x:v>
      </x:c>
      <x:c r="H1699" s="23" t="n">
        <x:v>0.00010569919543487662</x:v>
      </x:c>
      <x:c r="I1699" s="23" t="n">
        <x:v>0.8992128747763314</x:v>
      </x:c>
      <x:c r="J1699" s="2" t="n">
        <x:v>116</x:v>
      </x:c>
      <x:c r="K1699" s="2"/>
      <x:c r="L1699" s="2"/>
    </x:row>
    <x:row r="1700" ht="22" customHeight="1">
      <x:c r="A1700" s="2"/>
      <x:c r="B1700" s="2" t="n">
        <x:v>1667</x:v>
      </x:c>
      <x:c r="C1700" s="2" t="str">
        <x:v>22069</x:v>
      </x:c>
      <x:c r="D1700" s="2" t="str">
        <x:v>BROWN  PIRATE TREASURE CHEST </x:v>
      </x:c>
      <x:c r="E1700" s="11" t="n">
        <x:v>2167.93</x:v>
      </x:c>
      <x:c r="F1700" s="11" t="n">
        <x:v>0</x:v>
      </x:c>
      <x:c r="G1700" s="11" t="n">
        <x:v>2167.93</x:v>
      </x:c>
      <x:c r="H1700" s="23" t="n">
        <x:v>0.00010557890562068376</x:v>
      </x:c>
      <x:c r="I1700" s="23" t="n">
        <x:v>0.8993184536819521</x:v>
      </x:c>
      <x:c r="J1700" s="2" t="n">
        <x:v>267</x:v>
      </x:c>
      <x:c r="K1700" s="2"/>
      <x:c r="L1700" s="2"/>
    </x:row>
    <x:row r="1701" ht="22" customHeight="1">
      <x:c r="A1701" s="2"/>
      <x:c r="B1701" s="2" t="n">
        <x:v>1668</x:v>
      </x:c>
      <x:c r="C1701" s="2" t="str">
        <x:v>85103</x:v>
      </x:c>
      <x:c r="D1701" s="2" t="str">
        <x:v>stock creditted wrongly</x:v>
      </x:c>
      <x:c r="E1701" s="11" t="n">
        <x:v>2166.93</x:v>
      </x:c>
      <x:c r="F1701" s="11" t="n">
        <x:v>280.1</x:v>
      </x:c>
      <x:c r="G1701" s="11" t="n">
        <x:v>1886.83</x:v>
      </x:c>
      <x:c r="H1701" s="23" t="n">
        <x:v>0.00010553020529105103</x:v>
      </x:c>
      <x:c r="I1701" s="23" t="n">
        <x:v>0.8994239838872431</x:v>
      </x:c>
      <x:c r="J1701" s="2" t="n">
        <x:v>87</x:v>
      </x:c>
      <x:c r="K1701" s="2"/>
      <x:c r="L1701" s="2"/>
    </x:row>
    <x:row r="1702" ht="22" customHeight="1">
      <x:c r="A1702" s="2"/>
      <x:c r="B1702" s="2" t="n">
        <x:v>1669</x:v>
      </x:c>
      <x:c r="C1702" s="2" t="str">
        <x:v>22948</x:v>
      </x:c>
      <x:c r="D1702" s="2" t="str">
        <x:v>METAL DECORATION NAUGHTY CHILDREN </x:v>
      </x:c>
      <x:c r="E1702" s="11" t="n">
        <x:v>2166.39</x:v>
      </x:c>
      <x:c r="F1702" s="11" t="n">
        <x:v>10.2</x:v>
      </x:c>
      <x:c r="G1702" s="11" t="n">
        <x:v>2156.19</x:v>
      </x:c>
      <x:c r="H1702" s="23" t="n">
        <x:v>0.00010550390711304937</x:v>
      </x:c>
      <x:c r="I1702" s="23" t="n">
        <x:v>0.8995294877943562</x:v>
      </x:c>
      <x:c r="J1702" s="2" t="n">
        <x:v>180</x:v>
      </x:c>
      <x:c r="K1702" s="2"/>
      <x:c r="L1702" s="2"/>
    </x:row>
    <x:row r="1703" ht="22" customHeight="1">
      <x:c r="A1703" s="2"/>
      <x:c r="B1703" s="2" t="n">
        <x:v>1670</x:v>
      </x:c>
      <x:c r="C1703" s="2" t="str">
        <x:v>22182</x:v>
      </x:c>
      <x:c r="D1703" s="2" t="str">
        <x:v>CAKE STAND VICTORIAN FILIGREE SMALL</x:v>
      </x:c>
      <x:c r="E1703" s="11" t="n">
        <x:v>2166.35</x:v>
      </x:c>
      <x:c r="F1703" s="11" t="n">
        <x:v>19.8</x:v>
      </x:c>
      <x:c r="G1703" s="11" t="n">
        <x:v>2146.55</x:v>
      </x:c>
      <x:c r="H1703" s="23" t="n">
        <x:v>0.00010550195909986405</x:v>
      </x:c>
      <x:c r="I1703" s="23" t="n">
        <x:v>0.899634989753456</x:v>
      </x:c>
      <x:c r="J1703" s="2" t="n">
        <x:v>172</x:v>
      </x:c>
      <x:c r="K1703" s="2"/>
      <x:c r="L1703" s="2"/>
    </x:row>
    <x:row r="1704" ht="22" customHeight="1">
      <x:c r="A1704" s="2"/>
      <x:c r="B1704" s="2" t="n">
        <x:v>1671</x:v>
      </x:c>
      <x:c r="C1704" s="2" t="str">
        <x:v>85216</x:v>
      </x:c>
      <x:c r="D1704" s="2" t="str">
        <x:v>ASSORTED CAKES FRIDGE MAGNETS</x:v>
      </x:c>
      <x:c r="E1704" s="11" t="n">
        <x:v>2158.1200000000003</x:v>
      </x:c>
      <x:c r="F1704" s="11" t="n">
        <x:v>31.85</x:v>
      </x:c>
      <x:c r="G1704" s="11" t="n">
        <x:v>2126.27</x:v>
      </x:c>
      <x:c r="H1704" s="23" t="n">
        <x:v>0.00010510115538698671</x:v>
      </x:c>
      <x:c r="I1704" s="23" t="n">
        <x:v>0.899740090908843</x:v>
      </x:c>
      <x:c r="J1704" s="2" t="n">
        <x:v>187</x:v>
      </x:c>
      <x:c r="K1704" s="2"/>
      <x:c r="L1704" s="2"/>
    </x:row>
    <x:row r="1705" ht="22" customHeight="1">
      <x:c r="A1705" s="2"/>
      <x:c r="B1705" s="2" t="n">
        <x:v>1672</x:v>
      </x:c>
      <x:c r="C1705" s="2" t="str">
        <x:v>22714</x:v>
      </x:c>
      <x:c r="D1705" s="2" t="str">
        <x:v>CARD BIRTHDAY COWBOY</x:v>
      </x:c>
      <x:c r="E1705" s="11" t="n">
        <x:v>2157.91</x:v>
      </x:c>
      <x:c r="F1705" s="11" t="n">
        <x:v>41.04</x:v>
      </x:c>
      <x:c r="G1705" s="11" t="n">
        <x:v>2116.87</x:v>
      </x:c>
      <x:c r="H1705" s="23" t="n">
        <x:v>0.00010509092831776382</x:v>
      </x:c>
      <x:c r="I1705" s="23" t="n">
        <x:v>0.8998451818371608</x:v>
      </x:c>
      <x:c r="J1705" s="2" t="n">
        <x:v>359</x:v>
      </x:c>
      <x:c r="K1705" s="2"/>
      <x:c r="L1705" s="2"/>
    </x:row>
    <x:row r="1706" ht="22" customHeight="1">
      <x:c r="A1706" s="2"/>
      <x:c r="B1706" s="2" t="n">
        <x:v>1673</x:v>
      </x:c>
      <x:c r="C1706" s="2" t="str">
        <x:v>23370</x:v>
      </x:c>
      <x:c r="D1706" s="2" t="str">
        <x:v>SET 36 COLOURING PENCILS DOILY</x:v>
      </x:c>
      <x:c r="E1706" s="11" t="n">
        <x:v>2157.85</x:v>
      </x:c>
      <x:c r="F1706" s="11" t="n">
        <x:v>1.25</x:v>
      </x:c>
      <x:c r="G1706" s="11" t="n">
        <x:v>2156.6</x:v>
      </x:c>
      <x:c r="H1706" s="23" t="n">
        <x:v>0.00010508800629798585</x:v>
      </x:c>
      <x:c r="I1706" s="23" t="n">
        <x:v>0.8999502698434587</x:v>
      </x:c>
      <x:c r="J1706" s="2" t="n">
        <x:v>151</x:v>
      </x:c>
      <x:c r="K1706" s="2"/>
      <x:c r="L1706" s="2"/>
    </x:row>
    <x:row r="1707" ht="22" customHeight="1">
      <x:c r="A1707" s="2"/>
      <x:c r="B1707" s="2" t="n">
        <x:v>1674</x:v>
      </x:c>
      <x:c r="C1707" s="2" t="str">
        <x:v>22824</x:v>
      </x:c>
      <x:c r="D1707" s="2" t="str">
        <x:v>3 TIER SWEETHEART GARDEN SHELF</x:v>
      </x:c>
      <x:c r="E1707" s="11" t="n">
        <x:v>2153.9500000000003</x:v>
      </x:c>
      <x:c r="F1707" s="11" t="n">
        <x:v>35.95</x:v>
      </x:c>
      <x:c r="G1707" s="11" t="n">
        <x:v>2118</x:v>
      </x:c>
      <x:c r="H1707" s="23" t="n">
        <x:v>0.00010489807501241823</x:v>
      </x:c>
      <x:c r="I1707" s="23" t="n">
        <x:v>0.9000551679184712</x:v>
      </x:c>
      <x:c r="J1707" s="2" t="n">
        <x:v>48</x:v>
      </x:c>
      <x:c r="K1707" s="2"/>
      <x:c r="L1707" s="2"/>
    </x:row>
    <x:row r="1708" ht="22" customHeight="1">
      <x:c r="A1708" s="2"/>
      <x:c r="B1708" s="2" t="n">
        <x:v>1675</x:v>
      </x:c>
      <x:c r="C1708" s="2" t="str">
        <x:v>22338</x:v>
      </x:c>
      <x:c r="D1708" s="2" t="str">
        <x:v>STAR DECORATION PAINTED ZINC </x:v>
      </x:c>
      <x:c r="E1708" s="11" t="n">
        <x:v>2152.75</x:v>
      </x:c>
      <x:c r="F1708" s="11" t="n">
        <x:v>60.370000000000005</x:v>
      </x:c>
      <x:c r="G1708" s="11" t="n">
        <x:v>2092.38</x:v>
      </x:c>
      <x:c r="H1708" s="23" t="n">
        <x:v>0.00010483963461685893</x:v>
      </x:c>
      <x:c r="I1708" s="23" t="n">
        <x:v>0.900160007553088</x:v>
      </x:c>
      <x:c r="J1708" s="2" t="n">
        <x:v>264</x:v>
      </x:c>
      <x:c r="K1708" s="2"/>
      <x:c r="L1708" s="2"/>
    </x:row>
    <x:row r="1709" ht="22" customHeight="1">
      <x:c r="A1709" s="2"/>
      <x:c r="B1709" s="2" t="n">
        <x:v>1676</x:v>
      </x:c>
      <x:c r="C1709" s="2" t="str">
        <x:v>21359</x:v>
      </x:c>
      <x:c r="D1709" s="2" t="str">
        <x:v>RELAX LARGE WOOD LETTERS</x:v>
      </x:c>
      <x:c r="E1709" s="11" t="n">
        <x:v>2148.38</x:v>
      </x:c>
      <x:c r="F1709" s="11" t="n">
        <x:v>39.8</x:v>
      </x:c>
      <x:c r="G1709" s="11" t="n">
        <x:v>2108.58</x:v>
      </x:c>
      <x:c r="H1709" s="23" t="n">
        <x:v>0.00010462681417636391</x:v>
      </x:c>
      <x:c r="I1709" s="23" t="n">
        <x:v>0.9002646343672643</x:v>
      </x:c>
      <x:c r="J1709" s="2" t="n">
        <x:v>73</x:v>
      </x:c>
      <x:c r="K1709" s="2"/>
      <x:c r="L1709" s="2"/>
    </x:row>
    <x:row r="1710" ht="22" customHeight="1">
      <x:c r="A1710" s="2"/>
      <x:c r="B1710" s="2" t="n">
        <x:v>1677</x:v>
      </x:c>
      <x:c r="C1710" s="2" t="str">
        <x:v>23005</x:v>
      </x:c>
      <x:c r="D1710" s="2" t="str">
        <x:v>TRAVEL CARD WALLET I LOVE LONDON</x:v>
      </x:c>
      <x:c r="E1710" s="11" t="n">
        <x:v>2147.55</x:v>
      </x:c>
      <x:c r="F1710" s="11" t="n">
        <x:v>0.42</x:v>
      </x:c>
      <x:c r="G1710" s="11" t="n">
        <x:v>2147.13</x:v>
      </x:c>
      <x:c r="H1710" s="23" t="n">
        <x:v>0.00010458639290276876</x:v>
      </x:c>
      <x:c r="I1710" s="23" t="n">
        <x:v>0.9003692207601671</x:v>
      </x:c>
      <x:c r="J1710" s="2" t="n">
        <x:v>241</x:v>
      </x:c>
      <x:c r="K1710" s="2"/>
      <x:c r="L1710" s="2"/>
    </x:row>
    <x:row r="1711" ht="22" customHeight="1">
      <x:c r="A1711" s="2"/>
      <x:c r="B1711" s="2" t="n">
        <x:v>1678</x:v>
      </x:c>
      <x:c r="C1711" s="2" t="str">
        <x:v>23161</x:v>
      </x:c>
      <x:c r="D1711" s="2" t="str">
        <x:v>REGENCY CAKE FORK</x:v>
      </x:c>
      <x:c r="E1711" s="11" t="n">
        <x:v>2145.3</x:v>
      </x:c>
      <x:c r="F1711" s="11" t="n">
        <x:v>15</x:v>
      </x:c>
      <x:c r="G1711" s="11" t="n">
        <x:v>2130.3</x:v>
      </x:c>
      <x:c r="H1711" s="23" t="n">
        <x:v>0.0001044768171610951</x:v>
      </x:c>
      <x:c r="I1711" s="23" t="n">
        <x:v>0.9004736975773282</x:v>
      </x:c>
      <x:c r="J1711" s="2" t="n">
        <x:v>98</x:v>
      </x:c>
      <x:c r="K1711" s="2"/>
      <x:c r="L1711" s="2"/>
    </x:row>
    <x:row r="1712" ht="22" customHeight="1">
      <x:c r="A1712" s="2"/>
      <x:c r="B1712" s="2" t="n">
        <x:v>1679</x:v>
      </x:c>
      <x:c r="C1712" s="2" t="str">
        <x:v>21421</x:v>
      </x:c>
      <x:c r="D1712" s="2" t="str">
        <x:v>damaged</x:v>
      </x:c>
      <x:c r="E1712" s="11" t="n">
        <x:v>2144.48</x:v>
      </x:c>
      <x:c r="F1712" s="11" t="n">
        <x:v>7.5</x:v>
      </x:c>
      <x:c r="G1712" s="11" t="n">
        <x:v>2136.98</x:v>
      </x:c>
      <x:c r="H1712" s="23" t="n">
        <x:v>0.00010443688289079627</x:v>
      </x:c>
      <x:c r="I1712" s="23" t="n">
        <x:v>0.900578134460219</x:v>
      </x:c>
      <x:c r="J1712" s="2" t="n">
        <x:v>105</x:v>
      </x:c>
      <x:c r="K1712" s="2"/>
      <x:c r="L1712" s="2"/>
    </x:row>
    <x:row r="1713" ht="22" customHeight="1">
      <x:c r="A1713" s="2"/>
      <x:c r="B1713" s="2" t="n">
        <x:v>1680</x:v>
      </x:c>
      <x:c r="C1713" s="2" t="str">
        <x:v>21905</x:v>
      </x:c>
      <x:c r="D1713" s="2" t="str">
        <x:v>MORE BUTTER METAL SIGN </x:v>
      </x:c>
      <x:c r="E1713" s="11" t="n">
        <x:v>2143.17</x:v>
      </x:c>
      <x:c r="F1713" s="11" t="n">
        <x:v>4.2</x:v>
      </x:c>
      <x:c r="G1713" s="11" t="n">
        <x:v>2138.9700000000003</x:v>
      </x:c>
      <x:c r="H1713" s="23" t="n">
        <x:v>0.00010437308545897739</x:v>
      </x:c>
      <x:c r="I1713" s="23" t="n">
        <x:v>0.9006825075456779</x:v>
      </x:c>
      <x:c r="J1713" s="2" t="n">
        <x:v>263</x:v>
      </x:c>
      <x:c r="K1713" s="2"/>
      <x:c r="L1713" s="2"/>
    </x:row>
    <x:row r="1714" ht="22" customHeight="1">
      <x:c r="A1714" s="2"/>
      <x:c r="B1714" s="2" t="n">
        <x:v>1681</x:v>
      </x:c>
      <x:c r="C1714" s="2" t="str">
        <x:v>22677</x:v>
      </x:c>
      <x:c r="D1714" s="2" t="str">
        <x:v>FRENCH BLUE METAL DOOR SIGN 2</x:v>
      </x:c>
      <x:c r="E1714" s="11" t="n">
        <x:v>2143.03</x:v>
      </x:c>
      <x:c r="F1714" s="11" t="n">
        <x:v>13.75</x:v>
      </x:c>
      <x:c r="G1714" s="11" t="n">
        <x:v>2129.28</x:v>
      </x:c>
      <x:c r="H1714" s="23" t="n">
        <x:v>0.00010436626741282882</x:v>
      </x:c>
      <x:c r="I1714" s="23" t="n">
        <x:v>0.9007868738130907</x:v>
      </x:c>
      <x:c r="J1714" s="2" t="n">
        <x:v>280</x:v>
      </x:c>
      <x:c r="K1714" s="2"/>
      <x:c r="L1714" s="2"/>
    </x:row>
    <x:row r="1715" ht="22" customHeight="1">
      <x:c r="A1715" s="2"/>
      <x:c r="B1715" s="2" t="n">
        <x:v>1682</x:v>
      </x:c>
      <x:c r="C1715" s="2" t="str">
        <x:v>21617</x:v>
      </x:c>
      <x:c r="D1715" s="2" t="str">
        <x:v>4 LILY  BOTANICAL DINNER CANDLES</x:v>
      </x:c>
      <x:c r="E1715" s="11" t="n">
        <x:v>2142.51</x:v>
      </x:c>
      <x:c r="F1715" s="11" t="n">
        <x:v>0</x:v>
      </x:c>
      <x:c r="G1715" s="11" t="n">
        <x:v>2142.51</x:v>
      </x:c>
      <x:c r="H1715" s="23" t="n">
        <x:v>0.00010434094324141979</x:v>
      </x:c>
      <x:c r="I1715" s="23" t="n">
        <x:v>0.9008912147563322</x:v>
      </x:c>
      <x:c r="J1715" s="2" t="n">
        <x:v>169</x:v>
      </x:c>
      <x:c r="K1715" s="2"/>
      <x:c r="L1715" s="2"/>
    </x:row>
    <x:row r="1716" ht="22" customHeight="1">
      <x:c r="A1716" s="2"/>
      <x:c r="B1716" s="2" t="n">
        <x:v>1683</x:v>
      </x:c>
      <x:c r="C1716" s="2" t="str">
        <x:v>20764</x:v>
      </x:c>
      <x:c r="D1716" s="2" t="str">
        <x:v>ABSTRACT CIRCLES SKETCHBOOK </x:v>
      </x:c>
      <x:c r="E1716" s="11" t="n">
        <x:v>2142.26</x:v>
      </x:c>
      <x:c r="F1716" s="11" t="n">
        <x:v>15</x:v>
      </x:c>
      <x:c r="G1716" s="11" t="n">
        <x:v>2127.26</x:v>
      </x:c>
      <x:c r="H1716" s="23" t="n">
        <x:v>0.00010432876815901161</x:v>
      </x:c>
      <x:c r="I1716" s="23" t="n">
        <x:v>0.9009955435244912</x:v>
      </x:c>
      <x:c r="J1716" s="2" t="n">
        <x:v>193</x:v>
      </x:c>
      <x:c r="K1716" s="2"/>
      <x:c r="L1716" s="2"/>
    </x:row>
    <x:row r="1717" ht="22" customHeight="1">
      <x:c r="A1717" s="2"/>
      <x:c r="B1717" s="2" t="n">
        <x:v>1684</x:v>
      </x:c>
      <x:c r="C1717" s="2" t="str">
        <x:v>22708</x:v>
      </x:c>
      <x:c r="D1717" s="2" t="str">
        <x:v>WRAP DOLLY GIRL</x:v>
      </x:c>
      <x:c r="E1717" s="11" t="n">
        <x:v>2140.5</x:v>
      </x:c>
      <x:c r="F1717" s="11" t="n">
        <x:v>10.5</x:v>
      </x:c>
      <x:c r="G1717" s="11" t="n">
        <x:v>2130</x:v>
      </x:c>
      <x:c r="H1717" s="23" t="n">
        <x:v>0.000104243055578858</x:v>
      </x:c>
      <x:c r="I1717" s="23" t="n">
        <x:v>0.9010997865800701</x:v>
      </x:c>
      <x:c r="J1717" s="2" t="n">
        <x:v>159</x:v>
      </x:c>
      <x:c r="K1717" s="2"/>
      <x:c r="L1717" s="2"/>
    </x:row>
    <x:row r="1718" ht="22" customHeight="1">
      <x:c r="A1718" s="2"/>
      <x:c r="B1718" s="2" t="n">
        <x:v>1685</x:v>
      </x:c>
      <x:c r="C1718" s="2" t="str">
        <x:v>84670</x:v>
      </x:c>
      <x:c r="D1718" s="2" t="str">
        <x:v>JAPANESE CROCHETED ANIMAL</x:v>
      </x:c>
      <x:c r="E1718" s="11" t="n">
        <x:v>2140.06</x:v>
      </x:c>
      <x:c r="F1718" s="11" t="n">
        <x:v>63</x:v>
      </x:c>
      <x:c r="G1718" s="11" t="n">
        <x:v>2077.06</x:v>
      </x:c>
      <x:c r="H1718" s="23" t="n">
        <x:v>0.0001042216274338196</x:v>
      </x:c>
      <x:c r="I1718" s="23" t="n">
        <x:v>0.9012040082075039</x:v>
      </x:c>
      <x:c r="J1718" s="2" t="n">
        <x:v>182</x:v>
      </x:c>
      <x:c r="K1718" s="2"/>
      <x:c r="L1718" s="2"/>
    </x:row>
    <x:row r="1719" ht="22" customHeight="1">
      <x:c r="A1719" s="2"/>
      <x:c r="B1719" s="2" t="n">
        <x:v>1686</x:v>
      </x:c>
      <x:c r="C1719" s="2" t="str">
        <x:v>23213</x:v>
      </x:c>
      <x:c r="D1719" s="2" t="str">
        <x:v>STAR WREATH DECORATION WITH BELL</x:v>
      </x:c>
      <x:c r="E1719" s="11" t="n">
        <x:v>2139.67</x:v>
      </x:c>
      <x:c r="F1719" s="11" t="n">
        <x:v>15</x:v>
      </x:c>
      <x:c r="G1719" s="11" t="n">
        <x:v>2124.67</x:v>
      </x:c>
      <x:c r="H1719" s="23" t="n">
        <x:v>0.00010420263430526283</x:v>
      </x:c>
      <x:c r="I1719" s="23" t="n">
        <x:v>0.9013082108418091</x:v>
      </x:c>
      <x:c r="J1719" s="2" t="n">
        <x:v>152</x:v>
      </x:c>
      <x:c r="K1719" s="2"/>
      <x:c r="L1719" s="2"/>
    </x:row>
    <x:row r="1720" ht="22" customHeight="1">
      <x:c r="A1720" s="2"/>
      <x:c r="B1720" s="2" t="n">
        <x:v>1687</x:v>
      </x:c>
      <x:c r="C1720" s="2" t="str">
        <x:v>23066</x:v>
      </x:c>
      <x:c r="D1720" s="2" t="str">
        <x:v>SMALL DECO JEWELLERY STAND</x:v>
      </x:c>
      <x:c r="E1720" s="11" t="n">
        <x:v>2137.81</x:v>
      </x:c>
      <x:c r="F1720" s="11" t="n">
        <x:v>8.25</x:v>
      </x:c>
      <x:c r="G1720" s="11" t="n">
        <x:v>2129.56</x:v>
      </x:c>
      <x:c r="H1720" s="23" t="n">
        <x:v>0.00010411205169214595</x:v>
      </x:c>
      <x:c r="I1720" s="23" t="n">
        <x:v>0.9014123228935013</x:v>
      </x:c>
      <x:c r="J1720" s="2" t="n">
        <x:v>85</x:v>
      </x:c>
      <x:c r="K1720" s="2"/>
      <x:c r="L1720" s="2"/>
    </x:row>
    <x:row r="1721" ht="22" customHeight="1">
      <x:c r="A1721" s="2"/>
      <x:c r="B1721" s="2" t="n">
        <x:v>1688</x:v>
      </x:c>
      <x:c r="C1721" s="2" t="str">
        <x:v>21774</x:v>
      </x:c>
      <x:c r="D1721" s="2" t="str">
        <x:v>DECORATIVE CATS BATHROOM BOTTLE</x:v>
      </x:c>
      <x:c r="E1721" s="11" t="n">
        <x:v>2134.81</x:v>
      </x:c>
      <x:c r="F1721" s="11" t="n">
        <x:v>1.25</x:v>
      </x:c>
      <x:c r="G1721" s="11" t="n">
        <x:v>2133.56</x:v>
      </x:c>
      <x:c r="H1721" s="23" t="n">
        <x:v>0.00010396595070324776</x:v>
      </x:c>
      <x:c r="I1721" s="23" t="n">
        <x:v>0.9015162888442045</x:v>
      </x:c>
      <x:c r="J1721" s="2" t="n">
        <x:v>368</x:v>
      </x:c>
      <x:c r="K1721" s="2"/>
      <x:c r="L1721" s="2"/>
    </x:row>
    <x:row r="1722" ht="22" customHeight="1">
      <x:c r="A1722" s="2"/>
      <x:c r="B1722" s="2" t="n">
        <x:v>1689</x:v>
      </x:c>
      <x:c r="C1722" s="2" t="str">
        <x:v>22515</x:v>
      </x:c>
      <x:c r="D1722" s="2" t="str">
        <x:v>CHILDS GARDEN SPADE PINK</x:v>
      </x:c>
      <x:c r="E1722" s="11" t="n">
        <x:v>2131.84</x:v>
      </x:c>
      <x:c r="F1722" s="11" t="n">
        <x:v>8.4</x:v>
      </x:c>
      <x:c r="G1722" s="11" t="n">
        <x:v>2123.44</x:v>
      </x:c>
      <x:c r="H1722" s="23" t="n">
        <x:v>0.00010382131072423857</x:v>
      </x:c>
      <x:c r="I1722" s="23" t="n">
        <x:v>0.9016201101549288</x:v>
      </x:c>
      <x:c r="J1722" s="2" t="n">
        <x:v>208</x:v>
      </x:c>
      <x:c r="K1722" s="2"/>
      <x:c r="L1722" s="2"/>
    </x:row>
    <x:row r="1723" ht="22" customHeight="1">
      <x:c r="A1723" s="2"/>
      <x:c r="B1723" s="2" t="n">
        <x:v>1690</x:v>
      </x:c>
      <x:c r="C1723" s="2" t="str">
        <x:v>21643</x:v>
      </x:c>
      <x:c r="D1723" s="2" t="str">
        <x:v>damaged</x:v>
      </x:c>
      <x:c r="E1723" s="11" t="n">
        <x:v>2127.94</x:v>
      </x:c>
      <x:c r="F1723" s="11" t="n">
        <x:v>17.5</x:v>
      </x:c>
      <x:c r="G1723" s="11" t="n">
        <x:v>2110.44</x:v>
      </x:c>
      <x:c r="H1723" s="23" t="n">
        <x:v>0.00010363137943867091</x:v>
      </x:c>
      <x:c r="I1723" s="23" t="n">
        <x:v>0.9017237415343675</x:v>
      </x:c>
      <x:c r="J1723" s="2" t="n">
        <x:v>204</x:v>
      </x:c>
      <x:c r="K1723" s="2"/>
      <x:c r="L1723" s="2"/>
    </x:row>
    <x:row r="1724" ht="22" customHeight="1">
      <x:c r="A1724" s="2"/>
      <x:c r="B1724" s="2" t="n">
        <x:v>1691</x:v>
      </x:c>
      <x:c r="C1724" s="2" t="str">
        <x:v>21195</x:v>
      </x:c>
      <x:c r="D1724" s="2" t="str">
        <x:v>PINK  HONEYCOMB PAPER BALL </x:v>
      </x:c>
      <x:c r="E1724" s="11" t="n">
        <x:v>2122.66</x:v>
      </x:c>
      <x:c r="F1724" s="11" t="n">
        <x:v>0</x:v>
      </x:c>
      <x:c r="G1724" s="11" t="n">
        <x:v>2122.66</x:v>
      </x:c>
      <x:c r="H1724" s="23" t="n">
        <x:v>0.00010337424169821009</x:v>
      </x:c>
      <x:c r="I1724" s="23" t="n">
        <x:v>0.9018271157760658</x:v>
      </x:c>
      <x:c r="J1724" s="2" t="n">
        <x:v>150</x:v>
      </x:c>
      <x:c r="K1724" s="2"/>
      <x:c r="L1724" s="2"/>
    </x:row>
    <x:row r="1725" ht="22" customHeight="1">
      <x:c r="A1725" s="2"/>
      <x:c r="B1725" s="2" t="n">
        <x:v>1692</x:v>
      </x:c>
      <x:c r="C1725" s="2" t="str">
        <x:v>22023</x:v>
      </x:c>
      <x:c r="D1725" s="2" t="str">
        <x:v>EMPIRE BIRTHDAY CARD</x:v>
      </x:c>
      <x:c r="E1725" s="11" t="n">
        <x:v>2112.05</x:v>
      </x:c>
      <x:c r="F1725" s="11" t="n">
        <x:v>5.04</x:v>
      </x:c>
      <x:c r="G1725" s="11" t="n">
        <x:v>2107.01</x:v>
      </x:c>
      <x:c r="H1725" s="23" t="n">
        <x:v>0.00010285753120080685</x:v>
      </x:c>
      <x:c r="I1725" s="23" t="n">
        <x:v>0.9019299733072665</x:v>
      </x:c>
      <x:c r="J1725" s="2" t="n">
        <x:v>430</x:v>
      </x:c>
      <x:c r="K1725" s="2"/>
      <x:c r="L1725" s="2"/>
    </x:row>
    <x:row r="1726" ht="22" customHeight="1">
      <x:c r="A1726" s="2"/>
      <x:c r="B1726" s="2" t="n">
        <x:v>1693</x:v>
      </x:c>
      <x:c r="C1726" s="2" t="str">
        <x:v>85099b</x:v>
      </x:c>
      <x:c r="D1726" s="2" t="str">
        <x:v>JUMBO BAG RED RETROSPOT</x:v>
      </x:c>
      <x:c r="E1726" s="11" t="n">
        <x:v>2111.64</x:v>
      </x:c>
      <x:c r="F1726" s="11" t="n">
        <x:v>0</x:v>
      </x:c>
      <x:c r="G1726" s="11" t="n">
        <x:v>2111.64</x:v>
      </x:c>
      <x:c r="H1726" s="23" t="n">
        <x:v>0.00010283756406565741</x:v>
      </x:c>
      <x:c r="I1726" s="23" t="n">
        <x:v>0.9020328108713322</x:v>
      </x:c>
      <x:c r="J1726" s="2" t="n">
        <x:v>25</x:v>
      </x:c>
      <x:c r="K1726" s="2"/>
      <x:c r="L1726" s="2"/>
    </x:row>
    <x:row r="1727" ht="22" customHeight="1">
      <x:c r="A1727" s="2"/>
      <x:c r="B1727" s="2" t="n">
        <x:v>1694</x:v>
      </x:c>
      <x:c r="C1727" s="2" t="str">
        <x:v>23046</x:v>
      </x:c>
      <x:c r="D1727" s="2" t="str">
        <x:v>PAPER LANTERN 9 POINT DELUXE STAR</x:v>
      </x:c>
      <x:c r="E1727" s="11" t="n">
        <x:v>2111.4900000000002</x:v>
      </x:c>
      <x:c r="F1727" s="11" t="n">
        <x:v>0</x:v>
      </x:c>
      <x:c r="G1727" s="11" t="n">
        <x:v>2111.4900000000002</x:v>
      </x:c>
      <x:c r="H1727" s="23" t="n">
        <x:v>0.00010283025901621252</x:v>
      </x:c>
      <x:c r="I1727" s="23" t="n">
        <x:v>0.9021356411303485</x:v>
      </x:c>
      <x:c r="J1727" s="2" t="n">
        <x:v>36</x:v>
      </x:c>
      <x:c r="K1727" s="2"/>
      <x:c r="L1727" s="2"/>
    </x:row>
    <x:row r="1728" ht="22" customHeight="1">
      <x:c r="A1728" s="2"/>
      <x:c r="B1728" s="2" t="n">
        <x:v>1695</x:v>
      </x:c>
      <x:c r="C1728" s="2" t="str">
        <x:v>85114A</x:v>
      </x:c>
      <x:c r="D1728" s="2" t="str">
        <x:v>BLACK ENCHANTED FOREST PLACEMAT</x:v>
      </x:c>
      <x:c r="E1728" s="11" t="n">
        <x:v>2110.9</x:v>
      </x:c>
      <x:c r="F1728" s="11" t="n">
        <x:v>0</x:v>
      </x:c>
      <x:c r="G1728" s="11" t="n">
        <x:v>2110.9</x:v>
      </x:c>
      <x:c r="H1728" s="23" t="n">
        <x:v>0.0001028015258217292</x:v>
      </x:c>
      <x:c r="I1728" s="23" t="n">
        <x:v>0.9022384426561703</x:v>
      </x:c>
      <x:c r="J1728" s="2" t="n">
        <x:v>103</x:v>
      </x:c>
      <x:c r="K1728" s="2"/>
      <x:c r="L1728" s="2"/>
    </x:row>
    <x:row r="1729" ht="22" customHeight="1">
      <x:c r="A1729" s="2"/>
      <x:c r="B1729" s="2" t="n">
        <x:v>1696</x:v>
      </x:c>
      <x:c r="C1729" s="2" t="str">
        <x:v>22279</x:v>
      </x:c>
      <x:c r="D1729" s="2" t="str">
        <x:v>POCKET BAG BLUE PAISLEY RED SPOT</x:v>
      </x:c>
      <x:c r="E1729" s="11" t="n">
        <x:v>2110.87</x:v>
      </x:c>
      <x:c r="F1729" s="11" t="n">
        <x:v>46.25</x:v>
      </x:c>
      <x:c r="G1729" s="11" t="n">
        <x:v>2064.62</x:v>
      </x:c>
      <x:c r="H1729" s="23" t="n">
        <x:v>0.00010280006481184021</x:v>
      </x:c>
      <x:c r="I1729" s="23" t="n">
        <x:v>0.9023412427209822</x:v>
      </x:c>
      <x:c r="J1729" s="2" t="n">
        <x:v>214</x:v>
      </x:c>
      <x:c r="K1729" s="2"/>
      <x:c r="L1729" s="2"/>
    </x:row>
    <x:row r="1730" ht="22" customHeight="1">
      <x:c r="A1730" s="2"/>
      <x:c r="B1730" s="2" t="n">
        <x:v>1697</x:v>
      </x:c>
      <x:c r="C1730" s="2" t="str">
        <x:v>22913</x:v>
      </x:c>
      <x:c r="D1730" s="2" t="str">
        <x:v>RED COAT RACK PARIS FASHION</x:v>
      </x:c>
      <x:c r="E1730" s="11" t="n">
        <x:v>2107.85</x:v>
      </x:c>
      <x:c r="F1730" s="11" t="n">
        <x:v>19.8</x:v>
      </x:c>
      <x:c r="G1730" s="11" t="n">
        <x:v>2088.05</x:v>
      </x:c>
      <x:c r="H1730" s="23" t="n">
        <x:v>0.00010265298981634937</x:v>
      </x:c>
      <x:c r="I1730" s="23" t="n">
        <x:v>0.9024438957107985</x:v>
      </x:c>
      <x:c r="J1730" s="2" t="n">
        <x:v>122</x:v>
      </x:c>
      <x:c r="K1730" s="2"/>
      <x:c r="L1730" s="2"/>
    </x:row>
    <x:row r="1731" ht="22" customHeight="1">
      <x:c r="A1731" s="2"/>
      <x:c r="B1731" s="2" t="n">
        <x:v>1698</x:v>
      </x:c>
      <x:c r="C1731" s="2" t="str">
        <x:v>23251</x:v>
      </x:c>
      <x:c r="D1731" s="2" t="str">
        <x:v>VINTAGE RED ENAMEL TRIM MUG </x:v>
      </x:c>
      <x:c r="E1731" s="11" t="n">
        <x:v>2107</x:v>
      </x:c>
      <x:c r="F1731" s="11" t="n">
        <x:v>72.5</x:v>
      </x:c>
      <x:c r="G1731" s="11" t="n">
        <x:v>2034.5</x:v>
      </x:c>
      <x:c r="H1731" s="23" t="n">
        <x:v>0.00010261159453616155</x:v>
      </x:c>
      <x:c r="I1731" s="23" t="n">
        <x:v>0.9025465073053347</x:v>
      </x:c>
      <x:c r="J1731" s="2" t="n">
        <x:v>120</x:v>
      </x:c>
      <x:c r="K1731" s="2"/>
      <x:c r="L1731" s="2"/>
    </x:row>
    <x:row r="1732" ht="22" customHeight="1">
      <x:c r="A1732" s="2"/>
      <x:c r="B1732" s="2" t="n">
        <x:v>1699</x:v>
      </x:c>
      <x:c r="C1732" s="2" t="str">
        <x:v>23233</x:v>
      </x:c>
      <x:c r="D1732" s="2" t="str">
        <x:v>WRAP POPPIES  DESIGN</x:v>
      </x:c>
      <x:c r="E1732" s="11" t="n">
        <x:v>2105.5</x:v>
      </x:c>
      <x:c r="F1732" s="11" t="n">
        <x:v>10.5</x:v>
      </x:c>
      <x:c r="G1732" s="11" t="n">
        <x:v>2095</x:v>
      </x:c>
      <x:c r="H1732" s="23" t="n">
        <x:v>0.00010253854404171246</x:v>
      </x:c>
      <x:c r="I1732" s="23" t="n">
        <x:v>0.9026490458493764</x:v>
      </x:c>
      <x:c r="J1732" s="2" t="n">
        <x:v>158</x:v>
      </x:c>
      <x:c r="K1732" s="2"/>
      <x:c r="L1732" s="2"/>
    </x:row>
    <x:row r="1733" ht="22" customHeight="1">
      <x:c r="A1733" s="2"/>
      <x:c r="B1733" s="2" t="n">
        <x:v>1700</x:v>
      </x:c>
      <x:c r="C1733" s="2" t="str">
        <x:v>84676</x:v>
      </x:c>
      <x:c r="D1733" s="2" t="str">
        <x:v>BATH DUCK WATERING CAN</x:v>
      </x:c>
      <x:c r="E1733" s="11" t="n">
        <x:v>2102.46</x:v>
      </x:c>
      <x:c r="F1733" s="11" t="n">
        <x:v>132.55</x:v>
      </x:c>
      <x:c r="G1733" s="11" t="n">
        <x:v>1969.91</x:v>
      </x:c>
      <x:c r="H1733" s="23" t="n">
        <x:v>0.00010239049503962896</x:v>
      </x:c>
      <x:c r="I1733" s="23" t="n">
        <x:v>0.9027514363444161</x:v>
      </x:c>
      <x:c r="J1733" s="2" t="n">
        <x:v>110</x:v>
      </x:c>
      <x:c r="K1733" s="2"/>
      <x:c r="L1733" s="2"/>
    </x:row>
    <x:row r="1734" ht="22" customHeight="1">
      <x:c r="A1734" s="2"/>
      <x:c r="B1734" s="2" t="n">
        <x:v>1701</x:v>
      </x:c>
      <x:c r="C1734" s="2" t="str">
        <x:v>40018F</x:v>
      </x:c>
      <x:c r="D1734" s="2" t="str">
        <x:v>CHERRY DESIGN PAPERLANTERNS</x:v>
      </x:c>
      <x:c r="E1734" s="11" t="n">
        <x:v>2102.28</x:v>
      </x:c>
      <x:c r="F1734" s="11" t="n">
        <x:v>23.4</x:v>
      </x:c>
      <x:c r="G1734" s="11" t="n">
        <x:v>2078.88</x:v>
      </x:c>
      <x:c r="H1734" s="23" t="n">
        <x:v>0.00010238172898029508</x:v>
      </x:c>
      <x:c r="I1734" s="23" t="n">
        <x:v>0.9028538180733964</x:v>
      </x:c>
      <x:c r="J1734" s="2" t="n">
        <x:v>117</x:v>
      </x:c>
      <x:c r="K1734" s="2"/>
      <x:c r="L1734" s="2"/>
    </x:row>
    <x:row r="1735" ht="22" customHeight="1">
      <x:c r="A1735" s="2"/>
      <x:c r="B1735" s="2" t="n">
        <x:v>1702</x:v>
      </x:c>
      <x:c r="C1735" s="2" t="str">
        <x:v>21291</x:v>
      </x:c>
      <x:c r="D1735" s="2" t="str">
        <x:v>SMALL POLKADOT CHOCOLATE GIFT BAG </x:v>
      </x:c>
      <x:c r="E1735" s="11" t="n">
        <x:v>2101.73</x:v>
      </x:c>
      <x:c r="F1735" s="11" t="n">
        <x:v>56.95</x:v>
      </x:c>
      <x:c r="G1735" s="11" t="n">
        <x:v>2044.78</x:v>
      </x:c>
      <x:c r="H1735" s="23" t="n">
        <x:v>0.00010235494379899706</x:v>
      </x:c>
      <x:c r="I1735" s="23" t="n">
        <x:v>0.9029561730171953</x:v>
      </x:c>
      <x:c r="J1735" s="2" t="n">
        <x:v>153</x:v>
      </x:c>
      <x:c r="K1735" s="2"/>
      <x:c r="L1735" s="2"/>
    </x:row>
    <x:row r="1736" ht="22" customHeight="1">
      <x:c r="A1736" s="2"/>
      <x:c r="B1736" s="2" t="n">
        <x:v>1703</x:v>
      </x:c>
      <x:c r="C1736" s="2" t="str">
        <x:v>22996</x:v>
      </x:c>
      <x:c r="D1736" s="2" t="str">
        <x:v>TRAVEL CARD WALLET VINTAGE TICKET</x:v>
      </x:c>
      <x:c r="E1736" s="11" t="n">
        <x:v>2099.97</x:v>
      </x:c>
      <x:c r="F1736" s="11" t="n">
        <x:v>10.92</x:v>
      </x:c>
      <x:c r="G1736" s="11" t="n">
        <x:v>2089.05</x:v>
      </x:c>
      <x:c r="H1736" s="23" t="n">
        <x:v>0.00010226923121884345</x:v>
      </x:c>
      <x:c r="I1736" s="23" t="n">
        <x:v>0.9030584422484141</x:v>
      </x:c>
      <x:c r="J1736" s="2" t="n">
        <x:v>408</x:v>
      </x:c>
      <x:c r="K1736" s="2"/>
      <x:c r="L1736" s="2"/>
    </x:row>
    <x:row r="1737" ht="22" customHeight="1">
      <x:c r="A1737" s="2"/>
      <x:c r="B1737" s="2" t="n">
        <x:v>1704</x:v>
      </x:c>
      <x:c r="C1737" s="2" t="str">
        <x:v>21070</x:v>
      </x:c>
      <x:c r="D1737" s="2" t="str">
        <x:v>VINTAGE BILLBOARD MUG </x:v>
      </x:c>
      <x:c r="E1737" s="11" t="n">
        <x:v>2099.71</x:v>
      </x:c>
      <x:c r="F1737" s="11" t="n">
        <x:v>33.32</x:v>
      </x:c>
      <x:c r="G1737" s="11" t="n">
        <x:v>2066.39</x:v>
      </x:c>
      <x:c r="H1737" s="23" t="n">
        <x:v>0.00010225656913313895</x:v>
      </x:c>
      <x:c r="I1737" s="23" t="n">
        <x:v>0.9031606988175472</x:v>
      </x:c>
      <x:c r="J1737" s="2" t="n">
        <x:v>229</x:v>
      </x:c>
      <x:c r="K1737" s="2"/>
      <x:c r="L1737" s="2"/>
    </x:row>
    <x:row r="1738" ht="22" customHeight="1">
      <x:c r="A1738" s="2"/>
      <x:c r="B1738" s="2" t="n">
        <x:v>1705</x:v>
      </x:c>
      <x:c r="C1738" s="2" t="str">
        <x:v>21865</x:v>
      </x:c>
      <x:c r="D1738" s="2" t="str">
        <x:v>PINK UNION JACK  PASSPORT COVER </x:v>
      </x:c>
      <x:c r="E1738" s="11" t="n">
        <x:v>2098.2400000000002</x:v>
      </x:c>
      <x:c r="F1738" s="11" t="n">
        <x:v>12.600000000000001</x:v>
      </x:c>
      <x:c r="G1738" s="11" t="n">
        <x:v>2085.6400000000003</x:v>
      </x:c>
      <x:c r="H1738" s="23" t="n">
        <x:v>0.00010218497964857885</x:v>
      </x:c>
      <x:c r="I1738" s="23" t="n">
        <x:v>0.9032628837971958</x:v>
      </x:c>
      <x:c r="J1738" s="2" t="n">
        <x:v>297</x:v>
      </x:c>
      <x:c r="K1738" s="2"/>
      <x:c r="L1738" s="2"/>
    </x:row>
    <x:row r="1739" ht="22" customHeight="1">
      <x:c r="A1739" s="2"/>
      <x:c r="B1739" s="2" t="n">
        <x:v>1706</x:v>
      </x:c>
      <x:c r="C1739" s="2" t="str">
        <x:v>23152</x:v>
      </x:c>
      <x:c r="D1739" s="2" t="str">
        <x:v>IVORY SWEETHEART WIRE LETTER RACK </x:v>
      </x:c>
      <x:c r="E1739" s="11" t="n">
        <x:v>2095.65</x:v>
      </x:c>
      <x:c r="F1739" s="11" t="n">
        <x:v>26.25</x:v>
      </x:c>
      <x:c r="G1739" s="11" t="n">
        <x:v>2069.4</x:v>
      </x:c>
      <x:c r="H1739" s="23" t="n">
        <x:v>0.00010205884579483008</x:v>
      </x:c>
      <x:c r="I1739" s="23" t="n">
        <x:v>0.9033649426429906</x:v>
      </x:c>
      <x:c r="J1739" s="2" t="n">
        <x:v>159</x:v>
      </x:c>
      <x:c r="K1739" s="2"/>
      <x:c r="L1739" s="2"/>
    </x:row>
    <x:row r="1740" ht="22" customHeight="1">
      <x:c r="A1740" s="2"/>
      <x:c r="B1740" s="2" t="n">
        <x:v>1707</x:v>
      </x:c>
      <x:c r="C1740" s="2" t="str">
        <x:v>22859</x:v>
      </x:c>
      <x:c r="D1740" s="2" t="str">
        <x:v>EASTER TIN BUNNY BOUQUET</x:v>
      </x:c>
      <x:c r="E1740" s="11" t="n">
        <x:v>2095.6499999999996</x:v>
      </x:c>
      <x:c r="F1740" s="11" t="n">
        <x:v>52.8</x:v>
      </x:c>
      <x:c r="G1740" s="11" t="n">
        <x:v>2042.85</x:v>
      </x:c>
      <x:c r="H1740" s="23" t="n">
        <x:v>0.00010205884579483005</x:v>
      </x:c>
      <x:c r="I1740" s="23" t="n">
        <x:v>0.9034670014887854</x:v>
      </x:c>
      <x:c r="J1740" s="2" t="n">
        <x:v>165</x:v>
      </x:c>
      <x:c r="K1740" s="2"/>
      <x:c r="L1740" s="2"/>
    </x:row>
    <x:row r="1741" ht="22" customHeight="1">
      <x:c r="A1741" s="2"/>
      <x:c r="B1741" s="2" t="n">
        <x:v>1708</x:v>
      </x:c>
      <x:c r="C1741" s="2" t="str">
        <x:v>23315</x:v>
      </x:c>
      <x:c r="D1741" s="2" t="str">
        <x:v>IVORY REFECTORY CLOCK</x:v>
      </x:c>
      <x:c r="E1741" s="11" t="n">
        <x:v>2094.24</x:v>
      </x:c>
      <x:c r="F1741" s="11" t="n">
        <x:v>97.80000000000001</x:v>
      </x:c>
      <x:c r="G1741" s="11" t="n">
        <x:v>1996.44</x:v>
      </x:c>
      <x:c r="H1741" s="23" t="n">
        <x:v>0.0001019901783300479</x:v>
      </x:c>
      <x:c r="I1741" s="23" t="n">
        <x:v>0.9035689916671155</x:v>
      </x:c>
      <x:c r="J1741" s="2" t="n">
        <x:v>86</x:v>
      </x:c>
      <x:c r="K1741" s="2"/>
      <x:c r="L1741" s="2"/>
    </x:row>
    <x:row r="1742" ht="22" customHeight="1">
      <x:c r="A1742" s="2"/>
      <x:c r="B1742" s="2" t="n">
        <x:v>1709</x:v>
      </x:c>
      <x:c r="C1742" s="2" t="str">
        <x:v>72799F</x:v>
      </x:c>
      <x:c r="D1742" s="2" t="str">
        <x:v>IVORY PILLAR CANDLE GOLD FLOCK</x:v>
      </x:c>
      <x:c r="E1742" s="11" t="n">
        <x:v>2085.69</x:v>
      </x:c>
      <x:c r="F1742" s="11" t="n">
        <x:v>0</x:v>
      </x:c>
      <x:c r="G1742" s="11" t="n">
        <x:v>2085.69</x:v>
      </x:c>
      <x:c r="H1742" s="23" t="n">
        <x:v>0.00010157379051168809</x:v>
      </x:c>
      <x:c r="I1742" s="23" t="n">
        <x:v>0.9036705654576271</x:v>
      </x:c>
      <x:c r="J1742" s="2" t="n">
        <x:v>102</x:v>
      </x:c>
      <x:c r="K1742" s="2"/>
      <x:c r="L1742" s="2"/>
    </x:row>
    <x:row r="1743" ht="22" customHeight="1">
      <x:c r="A1743" s="2"/>
      <x:c r="B1743" s="2" t="n">
        <x:v>1710</x:v>
      </x:c>
      <x:c r="C1743" s="2" t="str">
        <x:v>21619</x:v>
      </x:c>
      <x:c r="D1743" s="2" t="str">
        <x:v>4 VANILLA BOTANICAL CANDLES</x:v>
      </x:c>
      <x:c r="E1743" s="11" t="n">
        <x:v>2085.27</x:v>
      </x:c>
      <x:c r="F1743" s="11" t="n">
        <x:v>0</x:v>
      </x:c>
      <x:c r="G1743" s="11" t="n">
        <x:v>2085.27</x:v>
      </x:c>
      <x:c r="H1743" s="23" t="n">
        <x:v>0.00010155333637324234</x:v>
      </x:c>
      <x:c r="I1743" s="23" t="n">
        <x:v>0.9037721187940004</x:v>
      </x:c>
      <x:c r="J1743" s="2" t="n">
        <x:v>212</x:v>
      </x:c>
      <x:c r="K1743" s="2"/>
      <x:c r="L1743" s="2"/>
    </x:row>
    <x:row r="1744" ht="22" customHeight="1">
      <x:c r="A1744" s="2"/>
      <x:c r="B1744" s="2" t="n">
        <x:v>1711</x:v>
      </x:c>
      <x:c r="C1744" s="2" t="str">
        <x:v>22308</x:v>
      </x:c>
      <x:c r="D1744" s="2" t="str">
        <x:v>TEA COSY BLUE STRIPE</x:v>
      </x:c>
      <x:c r="E1744" s="11" t="n">
        <x:v>2085.0499999999997</x:v>
      </x:c>
      <x:c r="F1744" s="11" t="n">
        <x:v>66.3</x:v>
      </x:c>
      <x:c r="G1744" s="11" t="n">
        <x:v>2018.75</x:v>
      </x:c>
      <x:c r="H1744" s="23" t="n">
        <x:v>0.00010154262230072312</x:v>
      </x:c>
      <x:c r="I1744" s="23" t="n">
        <x:v>0.9038736614163012</x:v>
      </x:c>
      <x:c r="J1744" s="2" t="n">
        <x:v>214</x:v>
      </x:c>
      <x:c r="K1744" s="2"/>
      <x:c r="L1744" s="2"/>
    </x:row>
    <x:row r="1745" ht="22" customHeight="1">
      <x:c r="A1745" s="2"/>
      <x:c r="B1745" s="2" t="n">
        <x:v>1712</x:v>
      </x:c>
      <x:c r="C1745" s="2" t="str">
        <x:v>84854</x:v>
      </x:c>
      <x:c r="D1745" s="2" t="str">
        <x:v>GIRLY PINK TOOL SET</x:v>
      </x:c>
      <x:c r="E1745" s="11" t="n">
        <x:v>2084.42</x:v>
      </x:c>
      <x:c r="F1745" s="11" t="n">
        <x:v>4.25</x:v>
      </x:c>
      <x:c r="G1745" s="11" t="n">
        <x:v>2080.17</x:v>
      </x:c>
      <x:c r="H1745" s="23" t="n">
        <x:v>0.00010151194109305452</x:v>
      </x:c>
      <x:c r="I1745" s="23" t="n">
        <x:v>0.9039751733573943</x:v>
      </x:c>
      <x:c r="J1745" s="2" t="n">
        <x:v>110</x:v>
      </x:c>
      <x:c r="K1745" s="2"/>
      <x:c r="L1745" s="2"/>
    </x:row>
    <x:row r="1746" ht="22" customHeight="1">
      <x:c r="A1746" s="2"/>
      <x:c r="B1746" s="2" t="n">
        <x:v>1713</x:v>
      </x:c>
      <x:c r="C1746" s="2" t="str">
        <x:v>79323S</x:v>
      </x:c>
      <x:c r="D1746" s="2" t="str">
        <x:v>Unsaleable, destroyed.</x:v>
      </x:c>
      <x:c r="E1746" s="11" t="n">
        <x:v>2084.32</x:v>
      </x:c>
      <x:c r="F1746" s="11" t="n">
        <x:v>997.0500000000001</x:v>
      </x:c>
      <x:c r="G1746" s="11" t="n">
        <x:v>1087.27</x:v>
      </x:c>
      <x:c r="H1746" s="23" t="n">
        <x:v>0.00010150707106009124</x:v>
      </x:c>
      <x:c r="I1746" s="23" t="n">
        <x:v>0.9040766804284543</x:v>
      </x:c>
      <x:c r="J1746" s="2" t="n">
        <x:v>56</x:v>
      </x:c>
      <x:c r="K1746" s="2"/>
      <x:c r="L1746" s="2"/>
    </x:row>
    <x:row r="1747" ht="22" customHeight="1">
      <x:c r="A1747" s="2"/>
      <x:c r="B1747" s="2" t="n">
        <x:v>1714</x:v>
      </x:c>
      <x:c r="C1747" s="2" t="str">
        <x:v>21640</x:v>
      </x:c>
      <x:c r="D1747" s="2" t="str">
        <x:v>ASSORTED TUTTI FRUTTI  FOB NOTEBOOK</x:v>
      </x:c>
      <x:c r="E1747" s="11" t="n">
        <x:v>2084.25</x:v>
      </x:c>
      <x:c r="F1747" s="11" t="n">
        <x:v>0</x:v>
      </x:c>
      <x:c r="G1747" s="11" t="n">
        <x:v>2084.25</x:v>
      </x:c>
      <x:c r="H1747" s="23" t="n">
        <x:v>0.00010150366203701696</x:v>
      </x:c>
      <x:c r="I1747" s="23" t="n">
        <x:v>0.9041781840904913</x:v>
      </x:c>
      <x:c r="J1747" s="2" t="n">
        <x:v>205</x:v>
      </x:c>
      <x:c r="K1747" s="2"/>
      <x:c r="L1747" s="2"/>
    </x:row>
    <x:row r="1748" ht="22" customHeight="1">
      <x:c r="A1748" s="2"/>
      <x:c r="B1748" s="2" t="n">
        <x:v>1715</x:v>
      </x:c>
      <x:c r="C1748" s="2" t="str">
        <x:v>84990</x:v>
      </x:c>
      <x:c r="D1748" s="2" t="str">
        <x:v>60 GOLD AND SILVER FAIRY CAKE CASES</x:v>
      </x:c>
      <x:c r="E1748" s="11" t="n">
        <x:v>2077.59</x:v>
      </x:c>
      <x:c r="F1748" s="11" t="n">
        <x:v>13.200000000000001</x:v>
      </x:c>
      <x:c r="G1748" s="11" t="n">
        <x:v>2064.39</x:v>
      </x:c>
      <x:c r="H1748" s="23" t="n">
        <x:v>0.00010117931784166298</x:v>
      </x:c>
      <x:c r="I1748" s="23" t="n">
        <x:v>0.904279363408333</x:v>
      </x:c>
      <x:c r="J1748" s="2" t="n">
        <x:v>193</x:v>
      </x:c>
      <x:c r="K1748" s="2"/>
      <x:c r="L1748" s="2"/>
    </x:row>
    <x:row r="1749" ht="22" customHeight="1">
      <x:c r="A1749" s="2"/>
      <x:c r="B1749" s="2" t="n">
        <x:v>1716</x:v>
      </x:c>
      <x:c r="C1749" s="2" t="str">
        <x:v>84796A</x:v>
      </x:c>
      <x:c r="D1749" s="2" t="str">
        <x:v>PINK HAWAIIAN PICNIC HAMPER FOR 2</x:v>
      </x:c>
      <x:c r="E1749" s="11" t="n">
        <x:v>2072.9500000000003</x:v>
      </x:c>
      <x:c r="F1749" s="11" t="n">
        <x:v>0</x:v>
      </x:c>
      <x:c r="G1749" s="11" t="n">
        <x:v>2072.9500000000003</x:v>
      </x:c>
      <x:c r="H1749" s="23" t="n">
        <x:v>0.00010095334831216712</x:v>
      </x:c>
      <x:c r="I1749" s="23" t="n">
        <x:v>0.9043803167566452</x:v>
      </x:c>
      <x:c r="J1749" s="2" t="n">
        <x:v>111</x:v>
      </x:c>
      <x:c r="K1749" s="2"/>
      <x:c r="L1749" s="2"/>
    </x:row>
    <x:row r="1750" ht="22" customHeight="1">
      <x:c r="A1750" s="2"/>
      <x:c r="B1750" s="2" t="n">
        <x:v>1717</x:v>
      </x:c>
      <x:c r="C1750" s="2" t="str">
        <x:v>22695</x:v>
      </x:c>
      <x:c r="D1750" s="2" t="str">
        <x:v>WICKER WREATH SMALL</x:v>
      </x:c>
      <x:c r="E1750" s="11" t="n">
        <x:v>2071.6</x:v>
      </x:c>
      <x:c r="F1750" s="11" t="n">
        <x:v>0</x:v>
      </x:c>
      <x:c r="G1750" s="11" t="n">
        <x:v>2071.6</x:v>
      </x:c>
      <x:c r="H1750" s="23" t="n">
        <x:v>0.00010088760286716291</x:v>
      </x:c>
      <x:c r="I1750" s="23" t="n">
        <x:v>0.9044812043595124</x:v>
      </x:c>
      <x:c r="J1750" s="2" t="n">
        <x:v>225</x:v>
      </x:c>
      <x:c r="K1750" s="2"/>
      <x:c r="L1750" s="2"/>
    </x:row>
    <x:row r="1751" ht="22" customHeight="1">
      <x:c r="A1751" s="2"/>
      <x:c r="B1751" s="2" t="n">
        <x:v>1718</x:v>
      </x:c>
      <x:c r="C1751" s="2" t="str">
        <x:v>23227</x:v>
      </x:c>
      <x:c r="D1751" s="2" t="str">
        <x:v>FILIGREE HEART BUTTERFLY WHITE </x:v>
      </x:c>
      <x:c r="E1751" s="11" t="n">
        <x:v>2070.06</x:v>
      </x:c>
      <x:c r="F1751" s="11" t="n">
        <x:v>7.5</x:v>
      </x:c>
      <x:c r="G1751" s="11" t="n">
        <x:v>2062.56</x:v>
      </x:c>
      <x:c r="H1751" s="23" t="n">
        <x:v>0.00010081260435952851</x:v>
      </x:c>
      <x:c r="I1751" s="23" t="n">
        <x:v>0.904582016963872</x:v>
      </x:c>
      <x:c r="J1751" s="2" t="n">
        <x:v>117</x:v>
      </x:c>
      <x:c r="K1751" s="2"/>
      <x:c r="L1751" s="2"/>
    </x:row>
    <x:row r="1752" ht="22" customHeight="1">
      <x:c r="A1752" s="2"/>
      <x:c r="B1752" s="2" t="n">
        <x:v>1719</x:v>
      </x:c>
      <x:c r="C1752" s="2" t="str">
        <x:v>85049H</x:v>
      </x:c>
      <x:c r="D1752" s="2" t="str">
        <x:v>URBAN BLACK RIBBONS </x:v>
      </x:c>
      <x:c r="E1752" s="11" t="n">
        <x:v>2068.43</x:v>
      </x:c>
      <x:c r="F1752" s="11" t="n">
        <x:v>0</x:v>
      </x:c>
      <x:c r="G1752" s="11" t="n">
        <x:v>2068.43</x:v>
      </x:c>
      <x:c r="H1752" s="23" t="n">
        <x:v>0.00010073322282222715</x:v>
      </x:c>
      <x:c r="I1752" s="23" t="n">
        <x:v>0.9046827501866942</x:v>
      </x:c>
      <x:c r="J1752" s="2" t="n">
        <x:v>334</x:v>
      </x:c>
      <x:c r="K1752" s="2"/>
      <x:c r="L1752" s="2"/>
    </x:row>
    <x:row r="1753" ht="22" customHeight="1">
      <x:c r="A1753" s="2"/>
      <x:c r="B1753" s="2" t="n">
        <x:v>1720</x:v>
      </x:c>
      <x:c r="C1753" s="2" t="str">
        <x:v>22935</x:v>
      </x:c>
      <x:c r="D1753" s="2" t="str">
        <x:v>BAKING MOULD ROSE MILK CHOCOLATE</x:v>
      </x:c>
      <x:c r="E1753" s="11" t="n">
        <x:v>2066.82</x:v>
      </x:c>
      <x:c r="F1753" s="11" t="n">
        <x:v>198</x:v>
      </x:c>
      <x:c r="G1753" s="11" t="n">
        <x:v>1868.82</x:v>
      </x:c>
      <x:c r="H1753" s="23" t="n">
        <x:v>0.00010065481529151848</x:v>
      </x:c>
      <x:c r="I1753" s="23" t="n">
        <x:v>0.9047834050019857</x:v>
      </x:c>
      <x:c r="J1753" s="2" t="n">
        <x:v>65</x:v>
      </x:c>
      <x:c r="K1753" s="2"/>
      <x:c r="L1753" s="2"/>
    </x:row>
    <x:row r="1754" ht="22" customHeight="1">
      <x:c r="A1754" s="2"/>
      <x:c r="B1754" s="2" t="n">
        <x:v>1721</x:v>
      </x:c>
      <x:c r="C1754" s="2" t="str">
        <x:v>21200</x:v>
      </x:c>
      <x:c r="D1754" s="2" t="str">
        <x:v>MULTICOLOUR HONEYCOMB PAPER GARLAND</x:v>
      </x:c>
      <x:c r="E1754" s="11" t="n">
        <x:v>2066.81</x:v>
      </x:c>
      <x:c r="F1754" s="11" t="n">
        <x:v>40.6</x:v>
      </x:c>
      <x:c r="G1754" s="11" t="n">
        <x:v>2026.2099999999998</x:v>
      </x:c>
      <x:c r="H1754" s="23" t="n">
        <x:v>0.00010065432828822214</x:v>
      </x:c>
      <x:c r="I1754" s="23" t="n">
        <x:v>0.9048840593302739</x:v>
      </x:c>
      <x:c r="J1754" s="2" t="n">
        <x:v>126</x:v>
      </x:c>
      <x:c r="K1754" s="2"/>
      <x:c r="L1754" s="2"/>
    </x:row>
    <x:row r="1755" ht="22" customHeight="1">
      <x:c r="A1755" s="2"/>
      <x:c r="B1755" s="2" t="n">
        <x:v>1722</x:v>
      </x:c>
      <x:c r="C1755" s="2" t="str">
        <x:v>21058</x:v>
      </x:c>
      <x:c r="D1755" s="2" t="str">
        <x:v>PARTY INVITES WOODLAND</x:v>
      </x:c>
      <x:c r="E1755" s="11" t="n">
        <x:v>2063.24</x:v>
      </x:c>
      <x:c r="F1755" s="11" t="n">
        <x:v>10.2</x:v>
      </x:c>
      <x:c r="G1755" s="11" t="n">
        <x:v>2053.04</x:v>
      </x:c>
      <x:c r="H1755" s="23" t="n">
        <x:v>0.00010048046811143328</x:v>
      </x:c>
      <x:c r="I1755" s="23" t="n">
        <x:v>0.9049845397983853</x:v>
      </x:c>
      <x:c r="J1755" s="2" t="n">
        <x:v>275</x:v>
      </x:c>
      <x:c r="K1755" s="2"/>
      <x:c r="L1755" s="2"/>
    </x:row>
    <x:row r="1756" ht="22" customHeight="1">
      <x:c r="A1756" s="2"/>
      <x:c r="B1756" s="2" t="n">
        <x:v>1723</x:v>
      </x:c>
      <x:c r="C1756" s="2" t="str">
        <x:v>21077</x:v>
      </x:c>
      <x:c r="D1756" s="2" t="str">
        <x:v>SET/20 WOODLAND PAPER NAPKINS </x:v>
      </x:c>
      <x:c r="E1756" s="11" t="n">
        <x:v>2060.65</x:v>
      </x:c>
      <x:c r="F1756" s="11" t="n">
        <x:v>0</x:v>
      </x:c>
      <x:c r="G1756" s="11" t="n">
        <x:v>2060.65</x:v>
      </x:c>
      <x:c r="H1756" s="23" t="n">
        <x:v>0.00010035433425768453</x:v>
      </x:c>
      <x:c r="I1756" s="23" t="n">
        <x:v>0.905084894132643</x:v>
      </x:c>
      <x:c r="J1756" s="2" t="n">
        <x:v>192</x:v>
      </x:c>
      <x:c r="K1756" s="2"/>
      <x:c r="L1756" s="2"/>
    </x:row>
    <x:row r="1757" ht="22" customHeight="1">
      <x:c r="A1757" s="2"/>
      <x:c r="B1757" s="2" t="n">
        <x:v>1724</x:v>
      </x:c>
      <x:c r="C1757" s="2" t="str">
        <x:v>23291</x:v>
      </x:c>
      <x:c r="D1757" s="2" t="str">
        <x:v>DOLLY GIRL CHILDRENS CUP</x:v>
      </x:c>
      <x:c r="E1757" s="11" t="n">
        <x:v>2060.28</x:v>
      </x:c>
      <x:c r="F1757" s="11" t="n">
        <x:v>12.5</x:v>
      </x:c>
      <x:c r="G1757" s="11" t="n">
        <x:v>2047.78</x:v>
      </x:c>
      <x:c r="H1757" s="23" t="n">
        <x:v>0.00010033631513572043</x:v>
      </x:c>
      <x:c r="I1757" s="23" t="n">
        <x:v>0.9051852304477788</x:v>
      </x:c>
      <x:c r="J1757" s="2" t="n">
        <x:v>195</x:v>
      </x:c>
      <x:c r="K1757" s="2"/>
      <x:c r="L1757" s="2"/>
    </x:row>
    <x:row r="1758" ht="22" customHeight="1">
      <x:c r="A1758" s="2"/>
      <x:c r="B1758" s="2" t="n">
        <x:v>1725</x:v>
      </x:c>
      <x:c r="C1758" s="2" t="str">
        <x:v>22400</x:v>
      </x:c>
      <x:c r="D1758" s="2" t="str">
        <x:v>MAGNETS PACK OF 4 HOME SWEET HOME</x:v>
      </x:c>
      <x:c r="E1758" s="11" t="n">
        <x:v>2057.29</x:v>
      </x:c>
      <x:c r="F1758" s="11" t="n">
        <x:v>30.39</x:v>
      </x:c>
      <x:c r="G1758" s="11" t="n">
        <x:v>2026.8999999999999</x:v>
      </x:c>
      <x:c r="H1758" s="23" t="n">
        <x:v>0.00010019070115011856</x:v>
      </x:c>
      <x:c r="I1758" s="23" t="n">
        <x:v>0.9052854211489288</x:v>
      </x:c>
      <x:c r="J1758" s="2" t="n">
        <x:v>234</x:v>
      </x:c>
      <x:c r="K1758" s="2"/>
      <x:c r="L1758" s="2"/>
    </x:row>
    <x:row r="1759" ht="22" customHeight="1">
      <x:c r="A1759" s="2"/>
      <x:c r="B1759" s="2" t="n">
        <x:v>1726</x:v>
      </x:c>
      <x:c r="C1759" s="2" t="str">
        <x:v>23490</x:v>
      </x:c>
      <x:c r="D1759" s="2" t="str">
        <x:v>T-LIGHT HOLDER HANGING LOVE BIRD</x:v>
      </x:c>
      <x:c r="E1759" s="11" t="n">
        <x:v>2055.27</x:v>
      </x:c>
      <x:c r="F1759" s="11" t="n">
        <x:v>11.25</x:v>
      </x:c>
      <x:c r="G1759" s="11" t="n">
        <x:v>2044.02</x:v>
      </x:c>
      <x:c r="H1759" s="23" t="n">
        <x:v>0.00010009232648426045</x:v>
      </x:c>
      <x:c r="I1759" s="23" t="n">
        <x:v>0.9053855134754131</x:v>
      </x:c>
      <x:c r="J1759" s="2" t="n">
        <x:v>101</x:v>
      </x:c>
      <x:c r="K1759" s="2"/>
      <x:c r="L1759" s="2"/>
    </x:row>
    <x:row r="1760" ht="22" customHeight="1">
      <x:c r="A1760" s="2"/>
      <x:c r="B1760" s="2" t="n">
        <x:v>1727</x:v>
      </x:c>
      <x:c r="C1760" s="2" t="str">
        <x:v>22903</x:v>
      </x:c>
      <x:c r="D1760" s="2" t="str">
        <x:v>CALENDAR FAMILY FAVOURITES</x:v>
      </x:c>
      <x:c r="E1760" s="11" t="n">
        <x:v>2053.96</x:v>
      </x:c>
      <x:c r="F1760" s="11" t="n">
        <x:v>880</x:v>
      </x:c>
      <x:c r="G1760" s="11" t="n">
        <x:v>1173.96</x:v>
      </x:c>
      <x:c r="H1760" s="23" t="n">
        <x:v>0.00010002852905244157</x:v>
      </x:c>
      <x:c r="I1760" s="23" t="n">
        <x:v>0.9054855420044655</x:v>
      </x:c>
      <x:c r="J1760" s="2" t="n">
        <x:v>82</x:v>
      </x:c>
      <x:c r="K1760" s="2"/>
      <x:c r="L1760" s="2"/>
    </x:row>
    <x:row r="1761" ht="22" customHeight="1">
      <x:c r="A1761" s="2"/>
      <x:c r="B1761" s="2" t="n">
        <x:v>1728</x:v>
      </x:c>
      <x:c r="C1761" s="2" t="str">
        <x:v>84459A</x:v>
      </x:c>
      <x:c r="D1761" s="2" t="str">
        <x:v>PINK METAL CHICKEN HEART </x:v>
      </x:c>
      <x:c r="E1761" s="11" t="n">
        <x:v>2046.1599999999999</x:v>
      </x:c>
      <x:c r="F1761" s="11" t="n">
        <x:v>143.04</x:v>
      </x:c>
      <x:c r="G1761" s="11" t="n">
        <x:v>1903.12</x:v>
      </x:c>
      <x:c r="H1761" s="23" t="n">
        <x:v>0.00009964866648130627</x:v>
      </x:c>
      <x:c r="I1761" s="23" t="n">
        <x:v>0.9055851906709468</x:v>
      </x:c>
      <x:c r="J1761" s="2" t="n">
        <x:v>201</x:v>
      </x:c>
      <x:c r="K1761" s="2"/>
      <x:c r="L1761" s="2"/>
    </x:row>
    <x:row r="1762" ht="22" customHeight="1">
      <x:c r="A1762" s="2"/>
      <x:c r="B1762" s="2" t="n">
        <x:v>1729</x:v>
      </x:c>
      <x:c r="C1762" s="2" t="str">
        <x:v>84509G</x:v>
      </x:c>
      <x:c r="D1762" s="2" t="str">
        <x:v>SET OF 4 FAIRY CAKE PLACEMATS </x:v>
      </x:c>
      <x:c r="E1762" s="11" t="n">
        <x:v>2045.45</x:v>
      </x:c>
      <x:c r="F1762" s="11" t="n">
        <x:v>0</x:v>
      </x:c>
      <x:c r="G1762" s="11" t="n">
        <x:v>2045.45</x:v>
      </x:c>
      <x:c r="H1762" s="23" t="n">
        <x:v>0.00009961408924726705</x:v>
      </x:c>
      <x:c r="I1762" s="23" t="n">
        <x:v>0.9056848047601941</x:v>
      </x:c>
      <x:c r="J1762" s="2" t="n">
        <x:v>159</x:v>
      </x:c>
      <x:c r="K1762" s="2"/>
      <x:c r="L1762" s="2"/>
    </x:row>
    <x:row r="1763" ht="22" customHeight="1">
      <x:c r="A1763" s="2"/>
      <x:c r="B1763" s="2" t="n">
        <x:v>1730</x:v>
      </x:c>
      <x:c r="C1763" s="2" t="str">
        <x:v>23500</x:v>
      </x:c>
      <x:c r="D1763" s="2" t="str">
        <x:v>KEY RING BASEBALL BOOT ASSORTED </x:v>
      </x:c>
      <x:c r="E1763" s="11" t="n">
        <x:v>2044.58</x:v>
      </x:c>
      <x:c r="F1763" s="11" t="n">
        <x:v>0</x:v>
      </x:c>
      <x:c r="G1763" s="11" t="n">
        <x:v>2044.58</x:v>
      </x:c>
      <x:c r="H1763" s="23" t="n">
        <x:v>0.00009957171996048656</x:v>
      </x:c>
      <x:c r="I1763" s="23" t="n">
        <x:v>0.9057843764801545</x:v>
      </x:c>
      <x:c r="J1763" s="2" t="n">
        <x:v>98</x:v>
      </x:c>
      <x:c r="K1763" s="2"/>
      <x:c r="L1763" s="2"/>
    </x:row>
    <x:row r="1764" ht="22" customHeight="1">
      <x:c r="A1764" s="2"/>
      <x:c r="B1764" s="2" t="n">
        <x:v>1731</x:v>
      </x:c>
      <x:c r="C1764" s="2" t="str">
        <x:v>22928</x:v>
      </x:c>
      <x:c r="D1764" s="2" t="str">
        <x:v>YELLOW GIANT GARDEN THERMOMETER</x:v>
      </x:c>
      <x:c r="E1764" s="11" t="n">
        <x:v>2041.3500000000001</x:v>
      </x:c>
      <x:c r="F1764" s="11" t="n">
        <x:v>35.7</x:v>
      </x:c>
      <x:c r="G1764" s="11" t="n">
        <x:v>2005.65</x:v>
      </x:c>
      <x:c r="H1764" s="23" t="n">
        <x:v>0.00009941441789577286</x:v>
      </x:c>
      <x:c r="I1764" s="23" t="n">
        <x:v>0.9058837908980503</x:v>
      </x:c>
      <x:c r="J1764" s="2" t="n">
        <x:v>118</x:v>
      </x:c>
      <x:c r="K1764" s="2"/>
      <x:c r="L1764" s="2"/>
    </x:row>
    <x:row r="1765" ht="22" customHeight="1">
      <x:c r="A1765" s="2"/>
      <x:c r="B1765" s="2" t="n">
        <x:v>1732</x:v>
      </x:c>
      <x:c r="C1765" s="2" t="str">
        <x:v>21348</x:v>
      </x:c>
      <x:c r="D1765" s="2" t="str">
        <x:v>PINK SPOTS CHOCOLATE NESTING BOXES </x:v>
      </x:c>
      <x:c r="E1765" s="11" t="n">
        <x:v>2039.69</x:v>
      </x:c>
      <x:c r="F1765" s="11" t="n">
        <x:v>54.25000000000001</x:v>
      </x:c>
      <x:c r="G1765" s="11" t="n">
        <x:v>1985.44</x:v>
      </x:c>
      <x:c r="H1765" s="23" t="n">
        <x:v>0.00009933357534858252</x:v>
      </x:c>
      <x:c r="I1765" s="23" t="n">
        <x:v>0.9059831244733989</x:v>
      </x:c>
      <x:c r="J1765" s="2" t="n">
        <x:v>133</x:v>
      </x:c>
      <x:c r="K1765" s="2"/>
      <x:c r="L1765" s="2"/>
    </x:row>
    <x:row r="1766" ht="22" customHeight="1">
      <x:c r="A1766" s="2"/>
      <x:c r="B1766" s="2" t="n">
        <x:v>1733</x:v>
      </x:c>
      <x:c r="C1766" s="2" t="str">
        <x:v>22201</x:v>
      </x:c>
      <x:c r="D1766" s="2" t="str">
        <x:v>FRYING PAN BLUE POLKADOT</x:v>
      </x:c>
      <x:c r="E1766" s="11" t="n">
        <x:v>2038.65</x:v>
      </x:c>
      <x:c r="F1766" s="11" t="n">
        <x:v>8.5</x:v>
      </x:c>
      <x:c r="G1766" s="11" t="n">
        <x:v>2030.15</x:v>
      </x:c>
      <x:c r="H1766" s="23" t="n">
        <x:v>0.00009928292700576448</x:v>
      </x:c>
      <x:c r="I1766" s="23" t="n">
        <x:v>0.9060824074004047</x:v>
      </x:c>
      <x:c r="J1766" s="2" t="n">
        <x:v>166</x:v>
      </x:c>
      <x:c r="K1766" s="2"/>
      <x:c r="L1766" s="2"/>
    </x:row>
    <x:row r="1767" ht="22" customHeight="1">
      <x:c r="A1767" s="2"/>
      <x:c r="B1767" s="2" t="n">
        <x:v>1734</x:v>
      </x:c>
      <x:c r="C1767" s="2" t="str">
        <x:v>85016</x:v>
      </x:c>
      <x:c r="D1767" s="2" t="str">
        <x:v>SET OF 6 VINTAGE NOTELETS KIT</x:v>
      </x:c>
      <x:c r="E1767" s="11" t="n">
        <x:v>2033.33</x:v>
      </x:c>
      <x:c r="F1767" s="11" t="n">
        <x:v>17.849999999999998</x:v>
      </x:c>
      <x:c r="G1767" s="11" t="n">
        <x:v>2015.48</x:v>
      </x:c>
      <x:c r="H1767" s="23" t="n">
        <x:v>0.00009902384125211834</x:v>
      </x:c>
      <x:c r="I1767" s="23" t="n">
        <x:v>0.9061814312416568</x:v>
      </x:c>
      <x:c r="J1767" s="2" t="n">
        <x:v>167</x:v>
      </x:c>
      <x:c r="K1767" s="2"/>
      <x:c r="L1767" s="2"/>
    </x:row>
    <x:row r="1768" ht="22" customHeight="1">
      <x:c r="A1768" s="2"/>
      <x:c r="B1768" s="2" t="n">
        <x:v>1735</x:v>
      </x:c>
      <x:c r="C1768" s="2" t="str">
        <x:v>22832</x:v>
      </x:c>
      <x:c r="D1768" s="2" t="str">
        <x:v>BROCANTE SHELF WITH HOOKS</x:v>
      </x:c>
      <x:c r="E1768" s="11" t="n">
        <x:v>2033.15</x:v>
      </x:c>
      <x:c r="F1768" s="11" t="n">
        <x:v>75.25</x:v>
      </x:c>
      <x:c r="G1768" s="11" t="n">
        <x:v>1957.9</x:v>
      </x:c>
      <x:c r="H1768" s="23" t="n">
        <x:v>0.00009901507519278447</x:v>
      </x:c>
      <x:c r="I1768" s="23" t="n">
        <x:v>0.9062804463168497</x:v>
      </x:c>
      <x:c r="J1768" s="2" t="n">
        <x:v>85</x:v>
      </x:c>
      <x:c r="K1768" s="2"/>
      <x:c r="L1768" s="2"/>
    </x:row>
    <x:row r="1769" ht="22" customHeight="1">
      <x:c r="A1769" s="2"/>
      <x:c r="B1769" s="2" t="n">
        <x:v>1736</x:v>
      </x:c>
      <x:c r="C1769" s="2" t="str">
        <x:v>22261</x:v>
      </x:c>
      <x:c r="D1769" s="2" t="str">
        <x:v>FELT EGG COSY WHITE RABBIT </x:v>
      </x:c>
      <x:c r="E1769" s="11" t="n">
        <x:v>2030.3</x:v>
      </x:c>
      <x:c r="F1769" s="11" t="n">
        <x:v>3.4</x:v>
      </x:c>
      <x:c r="G1769" s="11" t="n">
        <x:v>2026.8999999999999</x:v>
      </x:c>
      <x:c r="H1769" s="23" t="n">
        <x:v>0.00009887627925333117</x:v>
      </x:c>
      <x:c r="I1769" s="23" t="n">
        <x:v>0.906379322596103</x:v>
      </x:c>
      <x:c r="J1769" s="2" t="n">
        <x:v>243</x:v>
      </x:c>
      <x:c r="K1769" s="2"/>
      <x:c r="L1769" s="2"/>
    </x:row>
    <x:row r="1770" ht="22" customHeight="1">
      <x:c r="A1770" s="2"/>
      <x:c r="B1770" s="2" t="n">
        <x:v>1737</x:v>
      </x:c>
      <x:c r="C1770" s="2" t="str">
        <x:v>22799</x:v>
      </x:c>
      <x:c r="D1770" s="2" t="str">
        <x:v>SWEETHEART WIRE FRUIT BOWL</x:v>
      </x:c>
      <x:c r="E1770" s="11" t="n">
        <x:v>2029.34</x:v>
      </x:c>
      <x:c r="F1770" s="11" t="n">
        <x:v>8.5</x:v>
      </x:c>
      <x:c r="G1770" s="11" t="n">
        <x:v>2020.84</x:v>
      </x:c>
      <x:c r="H1770" s="23" t="n">
        <x:v>0.00009882952693688376</x:v>
      </x:c>
      <x:c r="I1770" s="23" t="n">
        <x:v>0.9064781521230398</x:v>
      </x:c>
      <x:c r="J1770" s="2" t="n">
        <x:v>108</x:v>
      </x:c>
      <x:c r="K1770" s="2"/>
      <x:c r="L1770" s="2"/>
    </x:row>
    <x:row r="1771" ht="22" customHeight="1">
      <x:c r="A1771" s="2"/>
      <x:c r="B1771" s="2" t="n">
        <x:v>1738</x:v>
      </x:c>
      <x:c r="C1771" s="2" t="str">
        <x:v>21612</x:v>
      </x:c>
      <x:c r="D1771" s="2" t="str">
        <x:v>SET 12 WILDFLOWER BOTANICAL T-LIGHT</x:v>
      </x:c>
      <x:c r="E1771" s="11" t="n">
        <x:v>2025.7700000000002</x:v>
      </x:c>
      <x:c r="F1771" s="11" t="n">
        <x:v>17.700000000000003</x:v>
      </x:c>
      <x:c r="G1771" s="11" t="n">
        <x:v>2008.0700000000002</x:v>
      </x:c>
      <x:c r="H1771" s="23" t="n">
        <x:v>0.00009865566676009493</x:v>
      </x:c>
      <x:c r="I1771" s="23" t="n">
        <x:v>0.9065768077898</x:v>
      </x:c>
      <x:c r="J1771" s="2" t="n">
        <x:v>113</x:v>
      </x:c>
      <x:c r="K1771" s="2"/>
      <x:c r="L1771" s="2"/>
    </x:row>
    <x:row r="1772" ht="22" customHeight="1">
      <x:c r="A1772" s="2"/>
      <x:c r="B1772" s="2" t="n">
        <x:v>1739</x:v>
      </x:c>
      <x:c r="C1772" s="2" t="str">
        <x:v>22211</x:v>
      </x:c>
      <x:c r="D1772" s="2" t="str">
        <x:v>WOOD STAMP SET FLOWERS</x:v>
      </x:c>
      <x:c r="E1772" s="11" t="n">
        <x:v>2025.6499999999999</x:v>
      </x:c>
      <x:c r="F1772" s="11" t="n">
        <x:v>71.25</x:v>
      </x:c>
      <x:c r="G1772" s="11" t="n">
        <x:v>1954.3999999999999</x:v>
      </x:c>
      <x:c r="H1772" s="23" t="n">
        <x:v>0.00009864982272053898</x:v>
      </x:c>
      <x:c r="I1772" s="23" t="n">
        <x:v>0.9066754576125206</x:v>
      </x:c>
      <x:c r="J1772" s="2" t="n">
        <x:v>291</x:v>
      </x:c>
      <x:c r="K1772" s="2"/>
      <x:c r="L1772" s="2"/>
    </x:row>
    <x:row r="1773" ht="22" customHeight="1">
      <x:c r="A1773" s="2"/>
      <x:c r="B1773" s="2" t="n">
        <x:v>1740</x:v>
      </x:c>
      <x:c r="C1773" s="2" t="str">
        <x:v>21504</x:v>
      </x:c>
      <x:c r="D1773" s="2" t="str">
        <x:v>SKULLS GREETING CARD</x:v>
      </x:c>
      <x:c r="E1773" s="11" t="n">
        <x:v>2025.18</x:v>
      </x:c>
      <x:c r="F1773" s="11" t="n">
        <x:v>5.04</x:v>
      </x:c>
      <x:c r="G1773" s="11" t="n">
        <x:v>2020.14</x:v>
      </x:c>
      <x:c r="H1773" s="23" t="n">
        <x:v>0.0000986269335656116</x:v>
      </x:c>
      <x:c r="I1773" s="23" t="n">
        <x:v>0.9067740845460862</x:v>
      </x:c>
      <x:c r="J1773" s="2" t="n">
        <x:v>329</x:v>
      </x:c>
      <x:c r="K1773" s="2"/>
      <x:c r="L1773" s="2"/>
    </x:row>
    <x:row r="1774" ht="22" customHeight="1">
      <x:c r="A1774" s="2"/>
      <x:c r="B1774" s="2" t="n">
        <x:v>1741</x:v>
      </x:c>
      <x:c r="C1774" s="2" t="str">
        <x:v>35953</x:v>
      </x:c>
      <x:c r="D1774" s="2" t="str">
        <x:v>FOLKART STAR CHRISTMAS DECORATIONS</x:v>
      </x:c>
      <x:c r="E1774" s="11" t="n">
        <x:v>2022.22</x:v>
      </x:c>
      <x:c r="F1774" s="11" t="n">
        <x:v>30</x:v>
      </x:c>
      <x:c r="G1774" s="11" t="n">
        <x:v>1992.22</x:v>
      </x:c>
      <x:c r="H1774" s="23" t="n">
        <x:v>0.00009848278058989873</x:v>
      </x:c>
      <x:c r="I1774" s="23" t="n">
        <x:v>0.9068725673266761</x:v>
      </x:c>
      <x:c r="J1774" s="2" t="n">
        <x:v>155</x:v>
      </x:c>
      <x:c r="K1774" s="2"/>
      <x:c r="L1774" s="2"/>
    </x:row>
    <x:row r="1775" ht="22" customHeight="1">
      <x:c r="A1775" s="2"/>
      <x:c r="B1775" s="2" t="n">
        <x:v>1742</x:v>
      </x:c>
      <x:c r="C1775" s="2" t="str">
        <x:v>23268</x:v>
      </x:c>
      <x:c r="D1775" s="2" t="str">
        <x:v>SET OF 2 CERAMIC CHRISTMAS REINDEER</x:v>
      </x:c>
      <x:c r="E1775" s="11" t="n">
        <x:v>2019.59</x:v>
      </x:c>
      <x:c r="F1775" s="11" t="n">
        <x:v>17.4</x:v>
      </x:c>
      <x:c r="G1775" s="11" t="n">
        <x:v>2002.1899999999998</x:v>
      </x:c>
      <x:c r="H1775" s="23" t="n">
        <x:v>0.00009835469872296465</x:v>
      </x:c>
      <x:c r="I1775" s="23" t="n">
        <x:v>0.9069709220253991</x:v>
      </x:c>
      <x:c r="J1775" s="2" t="n">
        <x:v>89</x:v>
      </x:c>
      <x:c r="K1775" s="2"/>
      <x:c r="L1775" s="2"/>
    </x:row>
    <x:row r="1776" ht="22" customHeight="1">
      <x:c r="A1776" s="2"/>
      <x:c r="B1776" s="2" t="n">
        <x:v>1743</x:v>
      </x:c>
      <x:c r="C1776" s="2" t="str">
        <x:v>21397</x:v>
      </x:c>
      <x:c r="D1776" s="2" t="str">
        <x:v>damaged</x:v>
      </x:c>
      <x:c r="E1776" s="11" t="n">
        <x:v>2017.74</x:v>
      </x:c>
      <x:c r="F1776" s="11" t="n">
        <x:v>15</x:v>
      </x:c>
      <x:c r="G1776" s="11" t="n">
        <x:v>2002.74</x:v>
      </x:c>
      <x:c r="H1776" s="23" t="n">
        <x:v>0.0000982646031131441</x:v>
      </x:c>
      <x:c r="I1776" s="23" t="n">
        <x:v>0.9070691866285122</x:v>
      </x:c>
      <x:c r="J1776" s="2" t="n">
        <x:v>180</x:v>
      </x:c>
      <x:c r="K1776" s="2"/>
      <x:c r="L1776" s="2"/>
    </x:row>
    <x:row r="1777" ht="22" customHeight="1">
      <x:c r="A1777" s="2"/>
      <x:c r="B1777" s="2" t="n">
        <x:v>1744</x:v>
      </x:c>
      <x:c r="C1777" s="2" t="str">
        <x:v>21356</x:v>
      </x:c>
      <x:c r="D1777" s="2" t="str">
        <x:v>TOAST ITS - FAIRY FLOWER</x:v>
      </x:c>
      <x:c r="E1777" s="11" t="n">
        <x:v>2015.4099999999999</x:v>
      </x:c>
      <x:c r="F1777" s="11" t="n">
        <x:v>1.25</x:v>
      </x:c>
      <x:c r="G1777" s="11" t="n">
        <x:v>2014.1599999999999</x:v>
      </x:c>
      <x:c r="H1777" s="23" t="n">
        <x:v>0.00009815113134509982</x:v>
      </x:c>
      <x:c r="I1777" s="23" t="n">
        <x:v>0.9071673377598574</x:v>
      </x:c>
      <x:c r="J1777" s="2" t="n">
        <x:v>349</x:v>
      </x:c>
      <x:c r="K1777" s="2"/>
      <x:c r="L1777" s="2"/>
    </x:row>
    <x:row r="1778" ht="22" customHeight="1">
      <x:c r="A1778" s="2"/>
      <x:c r="B1778" s="2" t="n">
        <x:v>1745</x:v>
      </x:c>
      <x:c r="C1778" s="2" t="str">
        <x:v>23289</x:v>
      </x:c>
      <x:c r="D1778" s="2" t="str">
        <x:v>DOLLY GIRL CHILDRENS BOWL</x:v>
      </x:c>
      <x:c r="E1778" s="11" t="n">
        <x:v>2013.7</x:v>
      </x:c>
      <x:c r="F1778" s="11" t="n">
        <x:v>15</x:v>
      </x:c>
      <x:c r="G1778" s="11" t="n">
        <x:v>1998.7</x:v>
      </x:c>
      <x:c r="H1778" s="23" t="n">
        <x:v>0.00009806785378142788</x:v>
      </x:c>
      <x:c r="I1778" s="23" t="n">
        <x:v>0.9072654056136388</x:v>
      </x:c>
      <x:c r="J1778" s="2" t="n">
        <x:v>191</x:v>
      </x:c>
      <x:c r="K1778" s="2"/>
      <x:c r="L1778" s="2"/>
    </x:row>
    <x:row r="1779" ht="22" customHeight="1">
      <x:c r="A1779" s="2"/>
      <x:c r="B1779" s="2" t="n">
        <x:v>1746</x:v>
      </x:c>
      <x:c r="C1779" s="2" t="str">
        <x:v>20686</x:v>
      </x:c>
      <x:c r="D1779" s="2" t="str">
        <x:v>DOLLY MIXTURE CHILDREN'S UMBRELLA</x:v>
      </x:c>
      <x:c r="E1779" s="11" t="n">
        <x:v>2012.59</x:v>
      </x:c>
      <x:c r="F1779" s="11" t="n">
        <x:v>25</x:v>
      </x:c>
      <x:c r="G1779" s="11" t="n">
        <x:v>1987.59</x:v>
      </x:c>
      <x:c r="H1779" s="23" t="n">
        <x:v>0.00009801379641553553</x:v>
      </x:c>
      <x:c r="I1779" s="23" t="n">
        <x:v>0.9073634194100543</x:v>
      </x:c>
      <x:c r="J1779" s="2" t="n">
        <x:v>186</x:v>
      </x:c>
      <x:c r="K1779" s="2"/>
      <x:c r="L1779" s="2"/>
    </x:row>
    <x:row r="1780" ht="22" customHeight="1">
      <x:c r="A1780" s="2"/>
      <x:c r="B1780" s="2" t="n">
        <x:v>1747</x:v>
      </x:c>
      <x:c r="C1780" s="2" t="str">
        <x:v>47591C</x:v>
      </x:c>
      <x:c r="D1780" s="2" t="str">
        <x:v>BLUE FAIRY CAKE CHILDRENS APRON</x:v>
      </x:c>
      <x:c r="E1780" s="11" t="n">
        <x:v>2012.43</x:v>
      </x:c>
      <x:c r="F1780" s="11" t="n">
        <x:v>0</x:v>
      </x:c>
      <x:c r="G1780" s="11" t="n">
        <x:v>2012.43</x:v>
      </x:c>
      <x:c r="H1780" s="23" t="n">
        <x:v>0.0000980060043627943</x:v>
      </x:c>
      <x:c r="I1780" s="23" t="n">
        <x:v>0.9074614254144171</x:v>
      </x:c>
      <x:c r="J1780" s="2" t="n">
        <x:v>159</x:v>
      </x:c>
      <x:c r="K1780" s="2"/>
      <x:c r="L1780" s="2"/>
    </x:row>
    <x:row r="1781" ht="22" customHeight="1">
      <x:c r="A1781" s="2"/>
      <x:c r="B1781" s="2" t="n">
        <x:v>1748</x:v>
      </x:c>
      <x:c r="C1781" s="2" t="str">
        <x:v>23358</x:v>
      </x:c>
      <x:c r="D1781" s="2" t="str">
        <x:v>HOT STUFF HOT WATER BOTTLE</x:v>
      </x:c>
      <x:c r="E1781" s="11" t="n">
        <x:v>2012.13</x:v>
      </x:c>
      <x:c r="F1781" s="11" t="n">
        <x:v>125.94</x:v>
      </x:c>
      <x:c r="G1781" s="11" t="n">
        <x:v>1886.19</x:v>
      </x:c>
      <x:c r="H1781" s="23" t="n">
        <x:v>0.00009799139426390449</x:v>
      </x:c>
      <x:c r="I1781" s="23" t="n">
        <x:v>0.907559416808681</x:v>
      </x:c>
      <x:c r="J1781" s="2" t="n">
        <x:v>89</x:v>
      </x:c>
      <x:c r="K1781" s="2"/>
      <x:c r="L1781" s="2"/>
    </x:row>
    <x:row r="1782" ht="22" customHeight="1">
      <x:c r="A1782" s="2"/>
      <x:c r="B1782" s="2" t="n">
        <x:v>1749</x:v>
      </x:c>
      <x:c r="C1782" s="2" t="str">
        <x:v>22520</x:v>
      </x:c>
      <x:c r="D1782" s="2" t="str">
        <x:v>CHILDS GARDEN TROWEL BLUE </x:v>
      </x:c>
      <x:c r="E1782" s="11" t="n">
        <x:v>2012.1299999999999</x:v>
      </x:c>
      <x:c r="F1782" s="11" t="n">
        <x:v>1.7</x:v>
      </x:c>
      <x:c r="G1782" s="11" t="n">
        <x:v>2010.4299999999998</x:v>
      </x:c>
      <x:c r="H1782" s="23" t="n">
        <x:v>0.00009799139426390447</x:v>
      </x:c>
      <x:c r="I1782" s="23" t="n">
        <x:v>0.9076574082029449</x:v>
      </x:c>
      <x:c r="J1782" s="2" t="n">
        <x:v>369</x:v>
      </x:c>
      <x:c r="K1782" s="2"/>
      <x:c r="L1782" s="2"/>
    </x:row>
    <x:row r="1783" ht="22" customHeight="1">
      <x:c r="A1783" s="2"/>
      <x:c r="B1783" s="2" t="n">
        <x:v>1750</x:v>
      </x:c>
      <x:c r="C1783" s="2" t="str">
        <x:v>23529</x:v>
      </x:c>
      <x:c r="D1783" s="2" t="str">
        <x:v>WALL ART DOLLY GIRL </x:v>
      </x:c>
      <x:c r="E1783" s="11" t="n">
        <x:v>2011.9900000000002</x:v>
      </x:c>
      <x:c r="F1783" s="11" t="n">
        <x:v>0</x:v>
      </x:c>
      <x:c r="G1783" s="11" t="n">
        <x:v>2011.9900000000002</x:v>
      </x:c>
      <x:c r="H1783" s="23" t="n">
        <x:v>0.00009798457621775591</x:v>
      </x:c>
      <x:c r="I1783" s="23" t="n">
        <x:v>0.9077553927791627</x:v>
      </x:c>
      <x:c r="J1783" s="2" t="n">
        <x:v>37</x:v>
      </x:c>
      <x:c r="K1783" s="2"/>
      <x:c r="L1783" s="2"/>
    </x:row>
    <x:row r="1784" ht="22" customHeight="1">
      <x:c r="A1784" s="2"/>
      <x:c r="B1784" s="2" t="n">
        <x:v>1751</x:v>
      </x:c>
      <x:c r="C1784" s="2" t="str">
        <x:v>21389</x:v>
      </x:c>
      <x:c r="D1784" s="2" t="str">
        <x:v>IVORY HANGING DECORATION  BIRD</x:v>
      </x:c>
      <x:c r="E1784" s="11" t="n">
        <x:v>2010.6399999999999</x:v>
      </x:c>
      <x:c r="F1784" s="11" t="n">
        <x:v>25.5</x:v>
      </x:c>
      <x:c r="G1784" s="11" t="n">
        <x:v>1985.1399999999999</x:v>
      </x:c>
      <x:c r="H1784" s="23" t="n">
        <x:v>0.0000979188307727517</x:v>
      </x:c>
      <x:c r="I1784" s="23" t="n">
        <x:v>0.9078533116099354</x:v>
      </x:c>
      <x:c r="J1784" s="2" t="n">
        <x:v>261</x:v>
      </x:c>
      <x:c r="K1784" s="2"/>
      <x:c r="L1784" s="2"/>
    </x:row>
    <x:row r="1785" ht="22" customHeight="1">
      <x:c r="A1785" s="2"/>
      <x:c r="B1785" s="2" t="n">
        <x:v>1752</x:v>
      </x:c>
      <x:c r="C1785" s="2" t="str">
        <x:v>37476</x:v>
      </x:c>
      <x:c r="D1785" s="2" t="str">
        <x:v>CONDIMENT TRAY 4 BOWLS AND 4 SPOONS</x:v>
      </x:c>
      <x:c r="E1785" s="11" t="n">
        <x:v>2010.6000000000001</x:v>
      </x:c>
      <x:c r="F1785" s="11" t="n">
        <x:v>0</x:v>
      </x:c>
      <x:c r="G1785" s="11" t="n">
        <x:v>2010.6000000000001</x:v>
      </x:c>
      <x:c r="H1785" s="23" t="n">
        <x:v>0.00009791688275956642</x:v>
      </x:c>
      <x:c r="I1785" s="23" t="n">
        <x:v>0.907951228492695</x:v>
      </x:c>
      <x:c r="J1785" s="2" t="n">
        <x:v>77</x:v>
      </x:c>
      <x:c r="K1785" s="2"/>
      <x:c r="L1785" s="2"/>
    </x:row>
    <x:row r="1786" ht="22" customHeight="1">
      <x:c r="A1786" s="2"/>
      <x:c r="B1786" s="2" t="n">
        <x:v>1753</x:v>
      </x:c>
      <x:c r="C1786" s="2" t="str">
        <x:v>20703</x:v>
      </x:c>
      <x:c r="D1786" s="2" t="str">
        <x:v>BLUE PADDED SOFT MOBILE</x:v>
      </x:c>
      <x:c r="E1786" s="11" t="n">
        <x:v>2010.47</x:v>
      </x:c>
      <x:c r="F1786" s="11" t="n">
        <x:v>123.25</x:v>
      </x:c>
      <x:c r="G1786" s="11" t="n">
        <x:v>1887.22</x:v>
      </x:c>
      <x:c r="H1786" s="23" t="n">
        <x:v>0.00009791055171671415</x:v>
      </x:c>
      <x:c r="I1786" s="23" t="n">
        <x:v>0.9080491390444118</x:v>
      </x:c>
      <x:c r="J1786" s="2" t="n">
        <x:v>169</x:v>
      </x:c>
      <x:c r="K1786" s="2"/>
      <x:c r="L1786" s="2"/>
    </x:row>
    <x:row r="1787" ht="22" customHeight="1">
      <x:c r="A1787" s="2"/>
      <x:c r="B1787" s="2" t="n">
        <x:v>1754</x:v>
      </x:c>
      <x:c r="C1787" s="2" t="str">
        <x:v>23274</x:v>
      </x:c>
      <x:c r="D1787" s="2" t="str">
        <x:v>STAR T-LIGHT HOLDER WILLIE WINKIE</x:v>
      </x:c>
      <x:c r="E1787" s="11" t="n">
        <x:v>2009.9499999999998</x:v>
      </x:c>
      <x:c r="F1787" s="11" t="n">
        <x:v>4.949999999999999</x:v>
      </x:c>
      <x:c r="G1787" s="11" t="n">
        <x:v>2004.9999999999998</x:v>
      </x:c>
      <x:c r="H1787" s="23" t="n">
        <x:v>0.00009788522754530512</x:v>
      </x:c>
      <x:c r="I1787" s="23" t="n">
        <x:v>0.908147024271957</x:v>
      </x:c>
      <x:c r="J1787" s="2" t="n">
        <x:v>119</x:v>
      </x:c>
      <x:c r="K1787" s="2"/>
      <x:c r="L1787" s="2"/>
    </x:row>
    <x:row r="1788" ht="22" customHeight="1">
      <x:c r="A1788" s="2"/>
      <x:c r="B1788" s="2" t="n">
        <x:v>1755</x:v>
      </x:c>
      <x:c r="C1788" s="2" t="str">
        <x:v>22496</x:v>
      </x:c>
      <x:c r="D1788" s="2" t="str">
        <x:v>SET OF 2 ROUND TINS DUTCH CHEESE</x:v>
      </x:c>
      <x:c r="E1788" s="11" t="n">
        <x:v>2007.89</x:v>
      </x:c>
      <x:c r="F1788" s="11" t="n">
        <x:v>17.700000000000003</x:v>
      </x:c>
      <x:c r="G1788" s="11" t="n">
        <x:v>1990.1900000000003</x:v>
      </x:c>
      <x:c r="H1788" s="23" t="n">
        <x:v>0.00009778490486626171</x:v>
      </x:c>
      <x:c r="I1788" s="23" t="n">
        <x:v>0.9082448091768233</x:v>
      </x:c>
      <x:c r="J1788" s="2" t="n">
        <x:v>193</x:v>
      </x:c>
      <x:c r="K1788" s="2"/>
      <x:c r="L1788" s="2"/>
    </x:row>
    <x:row r="1789" ht="22" customHeight="1">
      <x:c r="A1789" s="2"/>
      <x:c r="B1789" s="2" t="n">
        <x:v>1756</x:v>
      </x:c>
      <x:c r="C1789" s="2" t="str">
        <x:v>79323G</x:v>
      </x:c>
      <x:c r="D1789" s="2" t="str">
        <x:v>Unsaleable, destroyed.</x:v>
      </x:c>
      <x:c r="E1789" s="11" t="n">
        <x:v>2007.88</x:v>
      </x:c>
      <x:c r="F1789" s="11" t="n">
        <x:v>1118.45</x:v>
      </x:c>
      <x:c r="G1789" s="11" t="n">
        <x:v>889.4300000000001</x:v>
      </x:c>
      <x:c r="H1789" s="23" t="n">
        <x:v>0.00009778441786296539</x:v>
      </x:c>
      <x:c r="I1789" s="23" t="n">
        <x:v>0.9083425935946863</x:v>
      </x:c>
      <x:c r="J1789" s="2" t="n">
        <x:v>61</x:v>
      </x:c>
      <x:c r="K1789" s="2"/>
      <x:c r="L1789" s="2"/>
    </x:row>
    <x:row r="1790" ht="22" customHeight="1">
      <x:c r="A1790" s="2"/>
      <x:c r="B1790" s="2" t="n">
        <x:v>1757</x:v>
      </x:c>
      <x:c r="C1790" s="2" t="str">
        <x:v>22068</x:v>
      </x:c>
      <x:c r="D1790" s="2" t="str">
        <x:v>BLACK PIRATE TREASURE CHEST</x:v>
      </x:c>
      <x:c r="E1790" s="11" t="n">
        <x:v>2003.31</x:v>
      </x:c>
      <x:c r="F1790" s="11" t="n">
        <x:v>23.099999999999998</x:v>
      </x:c>
      <x:c r="G1790" s="11" t="n">
        <x:v>1980.2099999999998</x:v>
      </x:c>
      <x:c r="H1790" s="23" t="n">
        <x:v>0.0000975618573565438</x:v>
      </x:c>
      <x:c r="I1790" s="23" t="n">
        <x:v>0.9084401554520428</x:v>
      </x:c>
      <x:c r="J1790" s="2" t="n">
        <x:v>276</x:v>
      </x:c>
      <x:c r="K1790" s="2"/>
      <x:c r="L1790" s="2"/>
    </x:row>
    <x:row r="1791" ht="22" customHeight="1">
      <x:c r="A1791" s="2"/>
      <x:c r="B1791" s="2" t="n">
        <x:v>1758</x:v>
      </x:c>
      <x:c r="C1791" s="2" t="str">
        <x:v>22932</x:v>
      </x:c>
      <x:c r="D1791" s="2" t="str">
        <x:v>BAKING MOULD TOFFEE CUP CHOCOLATE</x:v>
      </x:c>
      <x:c r="E1791" s="11" t="n">
        <x:v>2000.88</x:v>
      </x:c>
      <x:c r="F1791" s="11" t="n">
        <x:v>262.8</x:v>
      </x:c>
      <x:c r="G1791" s="11" t="n">
        <x:v>1738.0800000000002</x:v>
      </x:c>
      <x:c r="H1791" s="23" t="n">
        <x:v>0.00009744351555553627</x:v>
      </x:c>
      <x:c r="I1791" s="23" t="n">
        <x:v>0.9085375989675983</x:v>
      </x:c>
      <x:c r="J1791" s="2" t="n">
        <x:v>72</x:v>
      </x:c>
      <x:c r="K1791" s="2"/>
      <x:c r="L1791" s="2"/>
    </x:row>
    <x:row r="1792" ht="22" customHeight="1">
      <x:c r="A1792" s="2"/>
      <x:c r="B1792" s="2" t="n">
        <x:v>1759</x:v>
      </x:c>
      <x:c r="C1792" s="2" t="str">
        <x:v>22521</x:v>
      </x:c>
      <x:c r="D1792" s="2" t="str">
        <x:v>CHILDS GARDEN TROWEL PINK</x:v>
      </x:c>
      <x:c r="E1792" s="11" t="n">
        <x:v>1998.1299999999999</x:v>
      </x:c>
      <x:c r="F1792" s="11" t="n">
        <x:v>1.7</x:v>
      </x:c>
      <x:c r="G1792" s="11" t="n">
        <x:v>1996.4299999999998</x:v>
      </x:c>
      <x:c r="H1792" s="23" t="n">
        <x:v>0.00009730958964904626</x:v>
      </x:c>
      <x:c r="I1792" s="23" t="n">
        <x:v>0.9086349085572474</x:v>
      </x:c>
      <x:c r="J1792" s="2" t="n">
        <x:v>370</x:v>
      </x:c>
      <x:c r="K1792" s="2"/>
      <x:c r="L1792" s="2"/>
    </x:row>
    <x:row r="1793" ht="22" customHeight="1">
      <x:c r="A1793" s="2"/>
      <x:c r="B1793" s="2" t="n">
        <x:v>1760</x:v>
      </x:c>
      <x:c r="C1793" s="2" t="str">
        <x:v>22405</x:v>
      </x:c>
      <x:c r="D1793" s="2" t="str">
        <x:v>MONEY BOX POCKET MONEY DESIGN</x:v>
      </x:c>
      <x:c r="E1793" s="11" t="n">
        <x:v>1995.88</x:v>
      </x:c>
      <x:c r="F1793" s="11" t="n">
        <x:v>16.06</x:v>
      </x:c>
      <x:c r="G1793" s="11" t="n">
        <x:v>1979.82</x:v>
      </x:c>
      <x:c r="H1793" s="23" t="n">
        <x:v>0.00009720001390737263</x:v>
      </x:c>
      <x:c r="I1793" s="23" t="n">
        <x:v>0.9087321085711547</x:v>
      </x:c>
      <x:c r="J1793" s="2" t="n">
        <x:v>217</x:v>
      </x:c>
      <x:c r="K1793" s="2"/>
      <x:c r="L1793" s="2"/>
    </x:row>
    <x:row r="1794" ht="22" customHeight="1">
      <x:c r="A1794" s="2"/>
      <x:c r="B1794" s="2" t="n">
        <x:v>1761</x:v>
      </x:c>
      <x:c r="C1794" s="2" t="str">
        <x:v>23357</x:v>
      </x:c>
      <x:c r="D1794" s="2" t="str">
        <x:v>HOT WATER BOTTLE SEX BOMB</x:v>
      </x:c>
      <x:c r="E1794" s="11" t="n">
        <x:v>1993.6000000000001</x:v>
      </x:c>
      <x:c r="F1794" s="11" t="n">
        <x:v>0</x:v>
      </x:c>
      <x:c r="G1794" s="11" t="n">
        <x:v>1993.6000000000001</x:v>
      </x:c>
      <x:c r="H1794" s="23" t="n">
        <x:v>0.00009708897715581</x:v>
      </x:c>
      <x:c r="I1794" s="23" t="n">
        <x:v>0.9088291975483105</x:v>
      </x:c>
      <x:c r="J1794" s="2" t="n">
        <x:v>102</x:v>
      </x:c>
      <x:c r="K1794" s="2"/>
      <x:c r="L1794" s="2"/>
    </x:row>
    <x:row r="1795" ht="22" customHeight="1">
      <x:c r="A1795" s="2"/>
      <x:c r="B1795" s="2" t="n">
        <x:v>1762</x:v>
      </x:c>
      <x:c r="C1795" s="2" t="str">
        <x:v>22719</x:v>
      </x:c>
      <x:c r="D1795" s="2" t="str">
        <x:v>GUMBALL MONOCHROME COAT RACK</x:v>
      </x:c>
      <x:c r="E1795" s="11" t="n">
        <x:v>1987.83</x:v>
      </x:c>
      <x:c r="F1795" s="11" t="n">
        <x:v>30.44</x:v>
      </x:c>
      <x:c r="G1795" s="11" t="n">
        <x:v>1957.39</x:v>
      </x:c>
      <x:c r="H1795" s="23" t="n">
        <x:v>0.00009680797625382914</x:v>
      </x:c>
      <x:c r="I1795" s="23" t="n">
        <x:v>0.9089260055245643</x:v>
      </x:c>
      <x:c r="J1795" s="2" t="n">
        <x:v>235</x:v>
      </x:c>
      <x:c r="K1795" s="2"/>
      <x:c r="L1795" s="2"/>
    </x:row>
    <x:row r="1796" ht="22" customHeight="1">
      <x:c r="A1796" s="2"/>
      <x:c r="B1796" s="2" t="n">
        <x:v>1763</x:v>
      </x:c>
      <x:c r="C1796" s="2" t="str">
        <x:v>79160</x:v>
      </x:c>
      <x:c r="D1796" s="2" t="str">
        <x:v>HEART SHAPE WIRELESS DOORBELL</x:v>
      </x:c>
      <x:c r="E1796" s="11" t="n">
        <x:v>1987.77</x:v>
      </x:c>
      <x:c r="F1796" s="11" t="n">
        <x:v>44.1</x:v>
      </x:c>
      <x:c r="G1796" s="11" t="n">
        <x:v>1943.67</x:v>
      </x:c>
      <x:c r="H1796" s="23" t="n">
        <x:v>0.00009680505423405119</x:v>
      </x:c>
      <x:c r="I1796" s="23" t="n">
        <x:v>0.9090228105787983</x:v>
      </x:c>
      <x:c r="J1796" s="2" t="n">
        <x:v>210</x:v>
      </x:c>
      <x:c r="K1796" s="2"/>
      <x:c r="L1796" s="2"/>
    </x:row>
    <x:row r="1797" ht="22" customHeight="1">
      <x:c r="A1797" s="2"/>
      <x:c r="B1797" s="2" t="n">
        <x:v>1764</x:v>
      </x:c>
      <x:c r="C1797" s="2" t="str">
        <x:v>21695</x:v>
      </x:c>
      <x:c r="D1797" s="2" t="str">
        <x:v>SMALL SILVER FLOWER CANDLE POT</x:v>
      </x:c>
      <x:c r="E1797" s="11" t="n">
        <x:v>1987.5800000000002</x:v>
      </x:c>
      <x:c r="F1797" s="11" t="n">
        <x:v>2.95</x:v>
      </x:c>
      <x:c r="G1797" s="11" t="n">
        <x:v>1984.63</x:v>
      </x:c>
      <x:c r="H1797" s="23" t="n">
        <x:v>0.00009679580117142098</x:v>
      </x:c>
      <x:c r="I1797" s="23" t="n">
        <x:v>0.9091196063799697</x:v>
      </x:c>
      <x:c r="J1797" s="2" t="n">
        <x:v>102</x:v>
      </x:c>
      <x:c r="K1797" s="2"/>
      <x:c r="L1797" s="2"/>
    </x:row>
    <x:row r="1798" ht="22" customHeight="1">
      <x:c r="A1798" s="2"/>
      <x:c r="B1798" s="2" t="n">
        <x:v>1765</x:v>
      </x:c>
      <x:c r="C1798" s="2" t="str">
        <x:v>22559</x:v>
      </x:c>
      <x:c r="D1798" s="2" t="str">
        <x:v>SEASIDE FLYING DISC</x:v>
      </x:c>
      <x:c r="E1798" s="11" t="n">
        <x:v>1986.8700000000001</x:v>
      </x:c>
      <x:c r="F1798" s="11" t="n">
        <x:v>5</x:v>
      </x:c>
      <x:c r="G1798" s="11" t="n">
        <x:v>1981.8700000000001</x:v>
      </x:c>
      <x:c r="H1798" s="23" t="n">
        <x:v>0.00009676122393738173</x:v>
      </x:c>
      <x:c r="I1798" s="23" t="n">
        <x:v>0.9092163676039071</x:v>
      </x:c>
      <x:c r="J1798" s="2" t="n">
        <x:v>202</x:v>
      </x:c>
      <x:c r="K1798" s="2"/>
      <x:c r="L1798" s="2"/>
    </x:row>
    <x:row r="1799" ht="22" customHeight="1">
      <x:c r="A1799" s="2"/>
      <x:c r="B1799" s="2" t="n">
        <x:v>1766</x:v>
      </x:c>
      <x:c r="C1799" s="2" t="str">
        <x:v>22343</x:v>
      </x:c>
      <x:c r="D1799" s="2" t="str">
        <x:v>PARTY PIZZA DISH RED RETROSPOT</x:v>
      </x:c>
      <x:c r="E1799" s="11" t="n">
        <x:v>1986.31</x:v>
      </x:c>
      <x:c r="F1799" s="11" t="n">
        <x:v>35.699999999999996</x:v>
      </x:c>
      <x:c r="G1799" s="11" t="n">
        <x:v>1950.61</x:v>
      </x:c>
      <x:c r="H1799" s="23" t="n">
        <x:v>0.00009673395175278739</x:v>
      </x:c>
      <x:c r="I1799" s="23" t="n">
        <x:v>0.9093131015556599</x:v>
      </x:c>
      <x:c r="J1799" s="2" t="n">
        <x:v>188</x:v>
      </x:c>
      <x:c r="K1799" s="2"/>
      <x:c r="L1799" s="2"/>
    </x:row>
    <x:row r="1800" ht="22" customHeight="1">
      <x:c r="A1800" s="2"/>
      <x:c r="B1800" s="2" t="n">
        <x:v>1767</x:v>
      </x:c>
      <x:c r="C1800" s="2" t="str">
        <x:v>85217</x:v>
      </x:c>
      <x:c r="D1800" s="2" t="str">
        <x:v>ASSORTED ICE CREAM FRIDGE MAGNETS</x:v>
      </x:c>
      <x:c r="E1800" s="11" t="n">
        <x:v>1985.7500000000002</x:v>
      </x:c>
      <x:c r="F1800" s="11" t="n">
        <x:v>62.400000000000006</x:v>
      </x:c>
      <x:c r="G1800" s="11" t="n">
        <x:v>1923.3500000000001</x:v>
      </x:c>
      <x:c r="H1800" s="23" t="n">
        <x:v>0.00009670667956819308</x:v>
      </x:c>
      <x:c r="I1800" s="23" t="n">
        <x:v>0.9094098082352281</x:v>
      </x:c>
      <x:c r="J1800" s="2" t="n">
        <x:v>164</x:v>
      </x:c>
      <x:c r="K1800" s="2"/>
      <x:c r="L1800" s="2"/>
    </x:row>
    <x:row r="1801" ht="22" customHeight="1">
      <x:c r="A1801" s="2"/>
      <x:c r="B1801" s="2" t="n">
        <x:v>1768</x:v>
      </x:c>
      <x:c r="C1801" s="2" t="str">
        <x:v>20871</x:v>
      </x:c>
      <x:c r="D1801" s="2" t="str">
        <x:v>OPULENT VELVET SET/3 CANDLES</x:v>
      </x:c>
      <x:c r="E1801" s="11" t="n">
        <x:v>1984.3500000000001</x:v>
      </x:c>
      <x:c r="F1801" s="11" t="n">
        <x:v>4.2</x:v>
      </x:c>
      <x:c r="G1801" s="11" t="n">
        <x:v>1980.15</x:v>
      </x:c>
      <x:c r="H1801" s="23" t="n">
        <x:v>0.00009663849910670726</x:v>
      </x:c>
      <x:c r="I1801" s="23" t="n">
        <x:v>0.9095064467343348</x:v>
      </x:c>
      <x:c r="J1801" s="2" t="n">
        <x:v>127</x:v>
      </x:c>
      <x:c r="K1801" s="2"/>
      <x:c r="L1801" s="2"/>
    </x:row>
    <x:row r="1802" ht="22" customHeight="1">
      <x:c r="A1802" s="2"/>
      <x:c r="B1802" s="2" t="n">
        <x:v>1769</x:v>
      </x:c>
      <x:c r="C1802" s="2" t="str">
        <x:v>17084R</x:v>
      </x:c>
      <x:c r="D1802" s="2" t="str">
        <x:v>ASSORTED INCENSE PACK</x:v>
      </x:c>
      <x:c r="E1802" s="11" t="n">
        <x:v>1983.57</x:v>
      </x:c>
      <x:c r="F1802" s="11" t="n">
        <x:v>0</x:v>
      </x:c>
      <x:c r="G1802" s="11" t="n">
        <x:v>1983.57</x:v>
      </x:c>
      <x:c r="H1802" s="23" t="n">
        <x:v>0.00009660051284959371</x:v>
      </x:c>
      <x:c r="I1802" s="23" t="n">
        <x:v>0.9096030472471843</x:v>
      </x:c>
      <x:c r="J1802" s="2" t="n">
        <x:v>66</x:v>
      </x:c>
      <x:c r="K1802" s="2"/>
      <x:c r="L1802" s="2"/>
    </x:row>
    <x:row r="1803" ht="22" customHeight="1">
      <x:c r="A1803" s="2"/>
      <x:c r="B1803" s="2" t="n">
        <x:v>1770</x:v>
      </x:c>
      <x:c r="C1803" s="2" t="str">
        <x:v>84872A</x:v>
      </x:c>
      <x:c r="D1803" s="2" t="str">
        <x:v>TEATIME FUNKY FLOWER BACKPACK FOR 2</x:v>
      </x:c>
      <x:c r="E1803" s="11" t="n">
        <x:v>1983.54</x:v>
      </x:c>
      <x:c r="F1803" s="11" t="n">
        <x:v>0</x:v>
      </x:c>
      <x:c r="G1803" s="11" t="n">
        <x:v>1983.54</x:v>
      </x:c>
      <x:c r="H1803" s="23" t="n">
        <x:v>0.00009659905183970473</x:v>
      </x:c>
      <x:c r="I1803" s="23" t="n">
        <x:v>0.909699646299024</x:v>
      </x:c>
      <x:c r="J1803" s="2" t="n">
        <x:v>102</x:v>
      </x:c>
      <x:c r="K1803" s="2"/>
      <x:c r="L1803" s="2"/>
    </x:row>
    <x:row r="1804" ht="22" customHeight="1">
      <x:c r="A1804" s="2"/>
      <x:c r="B1804" s="2" t="n">
        <x:v>1771</x:v>
      </x:c>
      <x:c r="C1804" s="2" t="str">
        <x:v>21657</x:v>
      </x:c>
      <x:c r="D1804" s="2" t="str">
        <x:v>MILK BOTTLE WITH GLASS STOPPER </x:v>
      </x:c>
      <x:c r="E1804" s="11" t="n">
        <x:v>1981.28</x:v>
      </x:c>
      <x:c r="F1804" s="11" t="n">
        <x:v>34.75</x:v>
      </x:c>
      <x:c r="G1804" s="11" t="n">
        <x:v>1946.53</x:v>
      </x:c>
      <x:c r="H1804" s="23" t="n">
        <x:v>0.00009648898909473477</x:v>
      </x:c>
      <x:c r="I1804" s="23" t="n">
        <x:v>0.9097961352881188</x:v>
      </x:c>
      <x:c r="J1804" s="2" t="n">
        <x:v>118</x:v>
      </x:c>
      <x:c r="K1804" s="2"/>
      <x:c r="L1804" s="2"/>
    </x:row>
    <x:row r="1805" ht="22" customHeight="1">
      <x:c r="A1805" s="2"/>
      <x:c r="B1805" s="2" t="n">
        <x:v>1772</x:v>
      </x:c>
      <x:c r="C1805" s="2" t="str">
        <x:v>23075</x:v>
      </x:c>
      <x:c r="D1805" s="2" t="str">
        <x:v>PARLOUR CERAMIC WALL HOOK</x:v>
      </x:c>
      <x:c r="E1805" s="11" t="n">
        <x:v>1981.0500000000002</x:v>
      </x:c>
      <x:c r="F1805" s="11" t="n">
        <x:v>141.10000000000002</x:v>
      </x:c>
      <x:c r="G1805" s="11" t="n">
        <x:v>1839.95</x:v>
      </x:c>
      <x:c r="H1805" s="23" t="n">
        <x:v>0.00009647778801891925</x:v>
      </x:c>
      <x:c r="I1805" s="23" t="n">
        <x:v>0.9098926130761377</x:v>
      </x:c>
      <x:c r="J1805" s="2" t="n">
        <x:v>80</x:v>
      </x:c>
      <x:c r="K1805" s="2"/>
      <x:c r="L1805" s="2"/>
    </x:row>
    <x:row r="1806" ht="22" customHeight="1">
      <x:c r="A1806" s="2"/>
      <x:c r="B1806" s="2" t="n">
        <x:v>1773</x:v>
      </x:c>
      <x:c r="C1806" s="2" t="str">
        <x:v>23145</x:v>
      </x:c>
      <x:c r="D1806" s="2" t="str">
        <x:v>ZINC T-LIGHT HOLDER STAR LARGE</x:v>
      </x:c>
      <x:c r="E1806" s="11" t="n">
        <x:v>1979.4799999999998</x:v>
      </x:c>
      <x:c r="F1806" s="11" t="n">
        <x:v>10.45</x:v>
      </x:c>
      <x:c r="G1806" s="11" t="n">
        <x:v>1969.0299999999997</x:v>
      </x:c>
      <x:c r="H1806" s="23" t="n">
        <x:v>0.00009640132850139585</x:v>
      </x:c>
      <x:c r="I1806" s="23" t="n">
        <x:v>0.9099890144046391</x:v>
      </x:c>
      <x:c r="J1806" s="2" t="n">
        <x:v>169</x:v>
      </x:c>
      <x:c r="K1806" s="2"/>
      <x:c r="L1806" s="2"/>
    </x:row>
    <x:row r="1807" ht="22" customHeight="1">
      <x:c r="A1807" s="2"/>
      <x:c r="B1807" s="2" t="n">
        <x:v>1774</x:v>
      </x:c>
      <x:c r="C1807" s="2" t="str">
        <x:v>22204</x:v>
      </x:c>
      <x:c r="D1807" s="2" t="str">
        <x:v>MILK PAN BLUE POLKADOT</x:v>
      </x:c>
      <x:c r="E1807" s="11" t="n">
        <x:v>1978.04</x:v>
      </x:c>
      <x:c r="F1807" s="11" t="n">
        <x:v>52.5</x:v>
      </x:c>
      <x:c r="G1807" s="11" t="n">
        <x:v>1925.54</x:v>
      </x:c>
      <x:c r="H1807" s="23" t="n">
        <x:v>0.00009633120002672473</x:v>
      </x:c>
      <x:c r="I1807" s="23" t="n">
        <x:v>0.9100853456046658</x:v>
      </x:c>
      <x:c r="J1807" s="2" t="n">
        <x:v>169</x:v>
      </x:c>
      <x:c r="K1807" s="2"/>
      <x:c r="L1807" s="2"/>
    </x:row>
    <x:row r="1808" ht="22" customHeight="1">
      <x:c r="A1808" s="2"/>
      <x:c r="B1808" s="2" t="n">
        <x:v>1775</x:v>
      </x:c>
      <x:c r="C1808" s="2" t="str">
        <x:v>21629</x:v>
      </x:c>
      <x:c r="D1808" s="2" t="str">
        <x:v>SQUARE FLOOR CUSHION VINTAGE RED</x:v>
      </x:c>
      <x:c r="E1808" s="11" t="n">
        <x:v>1977.27</x:v>
      </x:c>
      <x:c r="F1808" s="11" t="n">
        <x:v>7.95</x:v>
      </x:c>
      <x:c r="G1808" s="11" t="n">
        <x:v>1969.32</x:v>
      </x:c>
      <x:c r="H1808" s="23" t="n">
        <x:v>0.00009629370077290752</x:v>
      </x:c>
      <x:c r="I1808" s="23" t="n">
        <x:v>0.9101816393054387</x:v>
      </x:c>
      <x:c r="J1808" s="2" t="n">
        <x:v>105</x:v>
      </x:c>
      <x:c r="K1808" s="2"/>
      <x:c r="L1808" s="2"/>
    </x:row>
    <x:row r="1809" ht="22" customHeight="1">
      <x:c r="A1809" s="2"/>
      <x:c r="B1809" s="2" t="n">
        <x:v>1776</x:v>
      </x:c>
      <x:c r="C1809" s="2" t="str">
        <x:v>23068</x:v>
      </x:c>
      <x:c r="D1809" s="2" t="str">
        <x:v>ALUMINIUM STAMPED HEART</x:v>
      </x:c>
      <x:c r="E1809" s="11" t="n">
        <x:v>1976.89</x:v>
      </x:c>
      <x:c r="F1809" s="11" t="n">
        <x:v>0</x:v>
      </x:c>
      <x:c r="G1809" s="11" t="n">
        <x:v>1976.89</x:v>
      </x:c>
      <x:c r="H1809" s="23" t="n">
        <x:v>0.00009627519464764709</x:v>
      </x:c>
      <x:c r="I1809" s="23" t="n">
        <x:v>0.9102779145000863</x:v>
      </x:c>
      <x:c r="J1809" s="2" t="n">
        <x:v>136</x:v>
      </x:c>
      <x:c r="K1809" s="2"/>
      <x:c r="L1809" s="2"/>
    </x:row>
    <x:row r="1810" ht="22" customHeight="1">
      <x:c r="A1810" s="2"/>
      <x:c r="B1810" s="2" t="n">
        <x:v>1777</x:v>
      </x:c>
      <x:c r="C1810" s="2" t="str">
        <x:v>22599</x:v>
      </x:c>
      <x:c r="D1810" s="2" t="str">
        <x:v>CHRISTMAS MUSICAL ZINC STAR</x:v>
      </x:c>
      <x:c r="E1810" s="11" t="n">
        <x:v>1976.8799999999999</x:v>
      </x:c>
      <x:c r="F1810" s="11" t="n">
        <x:v>20.4</x:v>
      </x:c>
      <x:c r="G1810" s="11" t="n">
        <x:v>1956.4799999999998</x:v>
      </x:c>
      <x:c r="H1810" s="23" t="n">
        <x:v>0.00009627470764435076</x:v>
      </x:c>
      <x:c r="I1810" s="23" t="n">
        <x:v>0.9103741892077307</x:v>
      </x:c>
      <x:c r="J1810" s="2" t="n">
        <x:v>189</x:v>
      </x:c>
      <x:c r="K1810" s="2"/>
      <x:c r="L1810" s="2"/>
    </x:row>
    <x:row r="1811" ht="22" customHeight="1">
      <x:c r="A1811" s="2"/>
      <x:c r="B1811" s="2" t="n">
        <x:v>1778</x:v>
      </x:c>
      <x:c r="C1811" s="2" t="str">
        <x:v>21630</x:v>
      </x:c>
      <x:c r="D1811" s="2" t="str">
        <x:v>FLOOR CUSHION ELEPHANT CARNIVAL</x:v>
      </x:c>
      <x:c r="E1811" s="11" t="n">
        <x:v>1973.3899999999999</x:v>
      </x:c>
      <x:c r="F1811" s="11" t="n">
        <x:v>44.75</x:v>
      </x:c>
      <x:c r="G1811" s="11" t="n">
        <x:v>1928.6399999999999</x:v>
      </x:c>
      <x:c r="H1811" s="23" t="n">
        <x:v>0.00009610474349393253</x:v>
      </x:c>
      <x:c r="I1811" s="23" t="n">
        <x:v>0.9104702939512247</x:v>
      </x:c>
      <x:c r="J1811" s="2" t="n">
        <x:v>95</x:v>
      </x:c>
      <x:c r="K1811" s="2"/>
      <x:c r="L1811" s="2"/>
    </x:row>
    <x:row r="1812" ht="22" customHeight="1">
      <x:c r="A1812" s="2"/>
      <x:c r="B1812" s="2" t="n">
        <x:v>1779</x:v>
      </x:c>
      <x:c r="C1812" s="2" t="str">
        <x:v>21803</x:v>
      </x:c>
      <x:c r="D1812" s="2" t="str">
        <x:v>CHRISTMAS TREE STAR DECORATION</x:v>
      </x:c>
      <x:c r="E1812" s="11" t="n">
        <x:v>1969.62</x:v>
      </x:c>
      <x:c r="F1812" s="11" t="n">
        <x:v>0</x:v>
      </x:c>
      <x:c r="G1812" s="11" t="n">
        <x:v>1969.62</x:v>
      </x:c>
      <x:c r="H1812" s="23" t="n">
        <x:v>0.00009592114325121714</x:v>
      </x:c>
      <x:c r="I1812" s="23" t="n">
        <x:v>0.9105662150944759</x:v>
      </x:c>
      <x:c r="J1812" s="2" t="n">
        <x:v>322</x:v>
      </x:c>
      <x:c r="K1812" s="2"/>
      <x:c r="L1812" s="2"/>
    </x:row>
    <x:row r="1813" ht="22" customHeight="1">
      <x:c r="A1813" s="2"/>
      <x:c r="B1813" s="2" t="n">
        <x:v>1780</x:v>
      </x:c>
      <x:c r="C1813" s="2" t="str">
        <x:v>22931</x:v>
      </x:c>
      <x:c r="D1813" s="2" t="str">
        <x:v>BAKING MOULD HEART WHITE CHOCOLATE</x:v>
      </x:c>
      <x:c r="E1813" s="11" t="n">
        <x:v>1968.4</x:v>
      </x:c>
      <x:c r="F1813" s="11" t="n">
        <x:v>0</x:v>
      </x:c>
      <x:c r="G1813" s="11" t="n">
        <x:v>1968.4</x:v>
      </x:c>
      <x:c r="H1813" s="23" t="n">
        <x:v>0.00009586172884906522</x:v>
      </x:c>
      <x:c r="I1813" s="23" t="n">
        <x:v>0.9106620768233249</x:v>
      </x:c>
      <x:c r="J1813" s="2" t="n">
        <x:v>129</x:v>
      </x:c>
      <x:c r="K1813" s="2"/>
      <x:c r="L1813" s="2"/>
    </x:row>
    <x:row r="1814" ht="22" customHeight="1">
      <x:c r="A1814" s="2"/>
      <x:c r="B1814" s="2" t="n">
        <x:v>1781</x:v>
      </x:c>
      <x:c r="C1814" s="2" t="str">
        <x:v>21082</x:v>
      </x:c>
      <x:c r="D1814" s="2" t="str">
        <x:v>SET/20 FRUIT SALAD PAPER NAPKINS </x:v>
      </x:c>
      <x:c r="E1814" s="11" t="n">
        <x:v>1963.85</x:v>
      </x:c>
      <x:c r="F1814" s="11" t="n">
        <x:v>523.94</x:v>
      </x:c>
      <x:c r="G1814" s="11" t="n">
        <x:v>1439.91</x:v>
      </x:c>
      <x:c r="H1814" s="23" t="n">
        <x:v>0.00009564014234923629</x:v>
      </x:c>
      <x:c r="I1814" s="23" t="n">
        <x:v>0.9107577169656741</x:v>
      </x:c>
      <x:c r="J1814" s="2" t="n">
        <x:v>163</x:v>
      </x:c>
      <x:c r="K1814" s="2"/>
      <x:c r="L1814" s="2"/>
    </x:row>
    <x:row r="1815" ht="22" customHeight="1">
      <x:c r="A1815" s="2"/>
      <x:c r="B1815" s="2" t="n">
        <x:v>1782</x:v>
      </x:c>
      <x:c r="C1815" s="2" t="str">
        <x:v>23374</x:v>
      </x:c>
      <x:c r="D1815" s="2" t="str">
        <x:v>RED SPOT PAPER GIFT BAG</x:v>
      </x:c>
      <x:c r="E1815" s="11" t="n">
        <x:v>1962.83</x:v>
      </x:c>
      <x:c r="F1815" s="11" t="n">
        <x:v>13.12</x:v>
      </x:c>
      <x:c r="G1815" s="11" t="n">
        <x:v>1949.7099999999998</x:v>
      </x:c>
      <x:c r="H1815" s="23" t="n">
        <x:v>0.0000955904680130109</x:v>
      </x:c>
      <x:c r="I1815" s="23" t="n">
        <x:v>0.9108533074336871</x:v>
      </x:c>
      <x:c r="J1815" s="2" t="n">
        <x:v>131</x:v>
      </x:c>
      <x:c r="K1815" s="2"/>
      <x:c r="L1815" s="2"/>
    </x:row>
    <x:row r="1816" ht="22" customHeight="1">
      <x:c r="A1816" s="2"/>
      <x:c r="B1816" s="2" t="n">
        <x:v>1783</x:v>
      </x:c>
      <x:c r="C1816" s="2" t="str">
        <x:v>21647</x:v>
      </x:c>
      <x:c r="D1816" s="2" t="str">
        <x:v>ASSORTED TUTTI FRUTTI LARGE PURSE</x:v>
      </x:c>
      <x:c r="E1816" s="11" t="n">
        <x:v>1960.18</x:v>
      </x:c>
      <x:c r="F1816" s="11" t="n">
        <x:v>8.4</x:v>
      </x:c>
      <x:c r="G1816" s="11" t="n">
        <x:v>1951.7800000000002</x:v>
      </x:c>
      <x:c r="H1816" s="23" t="n">
        <x:v>0.00009546141213948417</x:v>
      </x:c>
      <x:c r="I1816" s="23" t="n">
        <x:v>0.9109487688458265</x:v>
      </x:c>
      <x:c r="J1816" s="2" t="n">
        <x:v>144</x:v>
      </x:c>
      <x:c r="K1816" s="2"/>
      <x:c r="L1816" s="2"/>
    </x:row>
    <x:row r="1817" ht="22" customHeight="1">
      <x:c r="A1817" s="2"/>
      <x:c r="B1817" s="2" t="n">
        <x:v>1784</x:v>
      </x:c>
      <x:c r="C1817" s="2" t="str">
        <x:v>23228</x:v>
      </x:c>
      <x:c r="D1817" s="2" t="str">
        <x:v>FILIGREE HEART BIRD WHITE </x:v>
      </x:c>
      <x:c r="E1817" s="11" t="n">
        <x:v>1960</x:v>
      </x:c>
      <x:c r="F1817" s="11" t="n">
        <x:v>149.76</x:v>
      </x:c>
      <x:c r="G1817" s="11" t="n">
        <x:v>1810.24</x:v>
      </x:c>
      <x:c r="H1817" s="23" t="n">
        <x:v>0.00009545264608015028</x:v>
      </x:c>
      <x:c r="I1817" s="23" t="n">
        <x:v>0.9110442214919067</x:v>
      </x:c>
      <x:c r="J1817" s="2" t="n">
        <x:v>125</x:v>
      </x:c>
      <x:c r="K1817" s="2"/>
      <x:c r="L1817" s="2"/>
    </x:row>
    <x:row r="1818" ht="22" customHeight="1">
      <x:c r="A1818" s="2"/>
      <x:c r="B1818" s="2" t="n">
        <x:v>1785</x:v>
      </x:c>
      <x:c r="C1818" s="2" t="str">
        <x:v>22262</x:v>
      </x:c>
      <x:c r="D1818" s="2" t="str">
        <x:v>FELT EGG COSY CHICKEN</x:v>
      </x:c>
      <x:c r="E1818" s="11" t="n">
        <x:v>1958.87</x:v>
      </x:c>
      <x:c r="F1818" s="11" t="n">
        <x:v>14.45</x:v>
      </x:c>
      <x:c r="G1818" s="11" t="n">
        <x:v>1944.4199999999998</x:v>
      </x:c>
      <x:c r="H1818" s="23" t="n">
        <x:v>0.00009539761470766528</x:v>
      </x:c>
      <x:c r="I1818" s="23" t="n">
        <x:v>0.9111396191066143</x:v>
      </x:c>
      <x:c r="J1818" s="2" t="n">
        <x:v>306</x:v>
      </x:c>
      <x:c r="K1818" s="2"/>
      <x:c r="L1818" s="2"/>
    </x:row>
    <x:row r="1819" ht="22" customHeight="1">
      <x:c r="A1819" s="2"/>
      <x:c r="B1819" s="2" t="n">
        <x:v>1786</x:v>
      </x:c>
      <x:c r="C1819" s="2" t="str">
        <x:v>22098</x:v>
      </x:c>
      <x:c r="D1819" s="2" t="str">
        <x:v>BOUDOIR SQUARE TISSUE BOX</x:v>
      </x:c>
      <x:c r="E1819" s="11" t="n">
        <x:v>1958.68</x:v>
      </x:c>
      <x:c r="F1819" s="11" t="n">
        <x:v>35.11</x:v>
      </x:c>
      <x:c r="G1819" s="11" t="n">
        <x:v>1923.57</x:v>
      </x:c>
      <x:c r="H1819" s="23" t="n">
        <x:v>0.00009538836164503509</x:v>
      </x:c>
      <x:c r="I1819" s="23" t="n">
        <x:v>0.9112350074682594</x:v>
      </x:c>
      <x:c r="J1819" s="2" t="n">
        <x:v>309</x:v>
      </x:c>
      <x:c r="K1819" s="2"/>
      <x:c r="L1819" s="2"/>
    </x:row>
    <x:row r="1820" ht="22" customHeight="1">
      <x:c r="A1820" s="2"/>
      <x:c r="B1820" s="2" t="n">
        <x:v>1787</x:v>
      </x:c>
      <x:c r="C1820" s="2" t="str">
        <x:v>22438</x:v>
      </x:c>
      <x:c r="D1820" s="2" t="str">
        <x:v>BALLOON ART MAKE YOUR OWN FLOWERS</x:v>
      </x:c>
      <x:c r="E1820" s="11" t="n">
        <x:v>1958.46</x:v>
      </x:c>
      <x:c r="F1820" s="11" t="n">
        <x:v>0</x:v>
      </x:c>
      <x:c r="G1820" s="11" t="n">
        <x:v>1958.46</x:v>
      </x:c>
      <x:c r="H1820" s="23" t="n">
        <x:v>0.00009537764757251588</x:v>
      </x:c>
      <x:c r="I1820" s="23" t="n">
        <x:v>0.9113303851158319</x:v>
      </x:c>
      <x:c r="J1820" s="2" t="n">
        <x:v>170</x:v>
      </x:c>
      <x:c r="K1820" s="2"/>
      <x:c r="L1820" s="2"/>
    </x:row>
    <x:row r="1821" ht="22" customHeight="1">
      <x:c r="A1821" s="2"/>
      <x:c r="B1821" s="2" t="n">
        <x:v>1788</x:v>
      </x:c>
      <x:c r="C1821" s="2" t="str">
        <x:v>20846</x:v>
      </x:c>
      <x:c r="D1821" s="2" t="str">
        <x:v>ZINC HEART LATTICE T-LIGHT HOLDER</x:v>
      </x:c>
      <x:c r="E1821" s="11" t="n">
        <x:v>1958.06</x:v>
      </x:c>
      <x:c r="F1821" s="11" t="n">
        <x:v>0</x:v>
      </x:c>
      <x:c r="G1821" s="11" t="n">
        <x:v>1958.06</x:v>
      </x:c>
      <x:c r="H1821" s="23" t="n">
        <x:v>0.00009535816744066278</x:v>
      </x:c>
      <x:c r="I1821" s="23" t="n">
        <x:v>0.9114257432832725</x:v>
      </x:c>
      <x:c r="J1821" s="2" t="n">
        <x:v>169</x:v>
      </x:c>
      <x:c r="K1821" s="2"/>
      <x:c r="L1821" s="2"/>
    </x:row>
    <x:row r="1822" ht="22" customHeight="1">
      <x:c r="A1822" s="2"/>
      <x:c r="B1822" s="2" t="n">
        <x:v>1789</x:v>
      </x:c>
      <x:c r="C1822" s="2" t="str">
        <x:v>23235</x:v>
      </x:c>
      <x:c r="D1822" s="2" t="str">
        <x:v>STORAGE TIN VINTAGE LEAF</x:v>
      </x:c>
      <x:c r="E1822" s="11" t="n">
        <x:v>1957.69</x:v>
      </x:c>
      <x:c r="F1822" s="11" t="n">
        <x:v>40.46</x:v>
      </x:c>
      <x:c r="G1822" s="11" t="n">
        <x:v>1917.23</x:v>
      </x:c>
      <x:c r="H1822" s="23" t="n">
        <x:v>0.00009534014831869868</x:v>
      </x:c>
      <x:c r="I1822" s="23" t="n">
        <x:v>0.9115210834315912</x:v>
      </x:c>
      <x:c r="J1822" s="2" t="n">
        <x:v>105</x:v>
      </x:c>
      <x:c r="K1822" s="2"/>
      <x:c r="L1822" s="2"/>
    </x:row>
    <x:row r="1823" ht="22" customHeight="1">
      <x:c r="A1823" s="2"/>
      <x:c r="B1823" s="2" t="n">
        <x:v>1790</x:v>
      </x:c>
      <x:c r="C1823" s="2" t="str">
        <x:v>22614</x:v>
      </x:c>
      <x:c r="D1823" s="2" t="str">
        <x:v>PACK OF 12 SPACEBOY TISSUES</x:v>
      </x:c>
      <x:c r="E1823" s="11" t="n">
        <x:v>1955.85</x:v>
      </x:c>
      <x:c r="F1823" s="11" t="n">
        <x:v>42.269999999999996</x:v>
      </x:c>
      <x:c r="G1823" s="11" t="n">
        <x:v>1913.58</x:v>
      </x:c>
      <x:c r="H1823" s="23" t="n">
        <x:v>0.00009525053971217445</x:v>
      </x:c>
      <x:c r="I1823" s="23" t="n">
        <x:v>0.9116163339713034</x:v>
      </x:c>
      <x:c r="J1823" s="2" t="n">
        <x:v>368</x:v>
      </x:c>
      <x:c r="K1823" s="2"/>
      <x:c r="L1823" s="2"/>
    </x:row>
    <x:row r="1824" ht="22" customHeight="1">
      <x:c r="A1824" s="2"/>
      <x:c r="B1824" s="2" t="n">
        <x:v>1791</x:v>
      </x:c>
      <x:c r="C1824" s="2" t="str">
        <x:v>35971</x:v>
      </x:c>
      <x:c r="D1824" s="2" t="str">
        <x:v>ROSE FOLKART HEART DECORATIONS</x:v>
      </x:c>
      <x:c r="E1824" s="11" t="n">
        <x:v>1955.24</x:v>
      </x:c>
      <x:c r="F1824" s="11" t="n">
        <x:v>21.25</x:v>
      </x:c>
      <x:c r="G1824" s="11" t="n">
        <x:v>1933.99</x:v>
      </x:c>
      <x:c r="H1824" s="23" t="n">
        <x:v>0.00009522083251109848</x:v>
      </x:c>
      <x:c r="I1824" s="23" t="n">
        <x:v>0.9117115548038145</x:v>
      </x:c>
      <x:c r="J1824" s="2" t="n">
        <x:v>217</x:v>
      </x:c>
      <x:c r="K1824" s="2"/>
      <x:c r="L1824" s="2"/>
    </x:row>
    <x:row r="1825" ht="22" customHeight="1">
      <x:c r="A1825" s="2"/>
      <x:c r="B1825" s="2" t="n">
        <x:v>1792</x:v>
      </x:c>
      <x:c r="C1825" s="2" t="str">
        <x:v>22802</x:v>
      </x:c>
      <x:c r="D1825" s="2" t="str">
        <x:v>FAUX FUR CHOCOLATE THROW</x:v>
      </x:c>
      <x:c r="E1825" s="11" t="n">
        <x:v>1953.54</x:v>
      </x:c>
      <x:c r="F1825" s="11" t="n">
        <x:v>0</x:v>
      </x:c>
      <x:c r="G1825" s="11" t="n">
        <x:v>1953.54</x:v>
      </x:c>
      <x:c r="H1825" s="23" t="n">
        <x:v>0.00009513804195072284</x:v>
      </x:c>
      <x:c r="I1825" s="23" t="n">
        <x:v>0.9118066928457652</x:v>
      </x:c>
      <x:c r="J1825" s="2" t="n">
        <x:v>62</x:v>
      </x:c>
      <x:c r="K1825" s="2"/>
      <x:c r="L1825" s="2"/>
    </x:row>
    <x:row r="1826" ht="22" customHeight="1">
      <x:c r="A1826" s="2"/>
      <x:c r="B1826" s="2" t="n">
        <x:v>1793</x:v>
      </x:c>
      <x:c r="C1826" s="2" t="str">
        <x:v>20984</x:v>
      </x:c>
      <x:c r="D1826" s="2" t="str">
        <x:v>damaged</x:v>
      </x:c>
      <x:c r="E1826" s="11" t="n">
        <x:v>1953.04</x:v>
      </x:c>
      <x:c r="F1826" s="11" t="n">
        <x:v>44.760000000000005</x:v>
      </x:c>
      <x:c r="G1826" s="11" t="n">
        <x:v>1908.28</x:v>
      </x:c>
      <x:c r="H1826" s="23" t="n">
        <x:v>0.00009511369178590648</x:v>
      </x:c>
      <x:c r="I1826" s="23" t="n">
        <x:v>0.9119018065375512</x:v>
      </x:c>
      <x:c r="J1826" s="2" t="n">
        <x:v>245</x:v>
      </x:c>
      <x:c r="K1826" s="2"/>
      <x:c r="L1826" s="2"/>
    </x:row>
    <x:row r="1827" ht="22" customHeight="1">
      <x:c r="A1827" s="2"/>
      <x:c r="B1827" s="2" t="n">
        <x:v>1794</x:v>
      </x:c>
      <x:c r="C1827" s="2" t="str">
        <x:v>21692</x:v>
      </x:c>
      <x:c r="D1827" s="2" t="str">
        <x:v>SILVER LATTICE VANILLA CANDLE POT</x:v>
      </x:c>
      <x:c r="E1827" s="11" t="n">
        <x:v>1940.37</x:v>
      </x:c>
      <x:c r="F1827" s="11" t="n">
        <x:v>15</x:v>
      </x:c>
      <x:c r="G1827" s="11" t="n">
        <x:v>1925.37</x:v>
      </x:c>
      <x:c r="H1827" s="23" t="n">
        <x:v>0.00009449665860945979</x:v>
      </x:c>
      <x:c r="I1827" s="23" t="n">
        <x:v>0.9119963031961607</x:v>
      </x:c>
      <x:c r="J1827" s="2" t="n">
        <x:v>111</x:v>
      </x:c>
      <x:c r="K1827" s="2"/>
      <x:c r="L1827" s="2"/>
    </x:row>
    <x:row r="1828" ht="22" customHeight="1">
      <x:c r="A1828" s="2"/>
      <x:c r="B1828" s="2" t="n">
        <x:v>1795</x:v>
      </x:c>
      <x:c r="C1828" s="2" t="str">
        <x:v>46775D</x:v>
      </x:c>
      <x:c r="D1828" s="2" t="str">
        <x:v>SUNSET COLOUR CHUNKY KNITTED THROW</x:v>
      </x:c>
      <x:c r="E1828" s="11" t="n">
        <x:v>1938.1899999999998</x:v>
      </x:c>
      <x:c r="F1828" s="11" t="n">
        <x:v>59.3</x:v>
      </x:c>
      <x:c r="G1828" s="11" t="n">
        <x:v>1878.8899999999999</x:v>
      </x:c>
      <x:c r="H1828" s="23" t="n">
        <x:v>0.00009439049189086044</x:v>
      </x:c>
      <x:c r="I1828" s="23" t="n">
        <x:v>0.9120906936880515</x:v>
      </x:c>
      <x:c r="J1828" s="2" t="n">
        <x:v>95</x:v>
      </x:c>
      <x:c r="K1828" s="2"/>
      <x:c r="L1828" s="2"/>
    </x:row>
    <x:row r="1829" ht="22" customHeight="1">
      <x:c r="A1829" s="2"/>
      <x:c r="B1829" s="2" t="n">
        <x:v>1796</x:v>
      </x:c>
      <x:c r="C1829" s="2" t="str">
        <x:v>22753</x:v>
      </x:c>
      <x:c r="D1829" s="2" t="str">
        <x:v>SMALL YELLOW BABUSHKA NOTEBOOK </x:v>
      </x:c>
      <x:c r="E1829" s="11" t="n">
        <x:v>1929.6599999999999</x:v>
      </x:c>
      <x:c r="F1829" s="11" t="n">
        <x:v>10.2</x:v>
      </x:c>
      <x:c r="G1829" s="11" t="n">
        <x:v>1919.4599999999998</x:v>
      </x:c>
      <x:c r="H1829" s="23" t="n">
        <x:v>0.00009397507807909326</x:v>
      </x:c>
      <x:c r="I1829" s="23" t="n">
        <x:v>0.9121846687661306</x:v>
      </x:c>
      <x:c r="J1829" s="2" t="n">
        <x:v>404</x:v>
      </x:c>
      <x:c r="K1829" s="2"/>
      <x:c r="L1829" s="2"/>
    </x:row>
    <x:row r="1830" ht="22" customHeight="1">
      <x:c r="A1830" s="2"/>
      <x:c r="B1830" s="2" t="n">
        <x:v>1797</x:v>
      </x:c>
      <x:c r="C1830" s="2" t="str">
        <x:v>21538</x:v>
      </x:c>
      <x:c r="D1830" s="2" t="str">
        <x:v>DAIRY MAID  PUDDING BOWL</x:v>
      </x:c>
      <x:c r="E1830" s="11" t="n">
        <x:v>1928.26</x:v>
      </x:c>
      <x:c r="F1830" s="11" t="n">
        <x:v>7.5</x:v>
      </x:c>
      <x:c r="G1830" s="11" t="n">
        <x:v>1920.76</x:v>
      </x:c>
      <x:c r="H1830" s="23" t="n">
        <x:v>0.00009390689761760745</x:v>
      </x:c>
      <x:c r="I1830" s="23" t="n">
        <x:v>0.9122785756637481</x:v>
      </x:c>
      <x:c r="J1830" s="2" t="n">
        <x:v>51</x:v>
      </x:c>
      <x:c r="K1830" s="2"/>
      <x:c r="L1830" s="2"/>
    </x:row>
    <x:row r="1831" ht="22" customHeight="1">
      <x:c r="A1831" s="2"/>
      <x:c r="B1831" s="2" t="n">
        <x:v>1798</x:v>
      </x:c>
      <x:c r="C1831" s="2" t="str">
        <x:v>21991</x:v>
      </x:c>
      <x:c r="D1831" s="2" t="str">
        <x:v>BOHEMIAN COLLAGE STATIONERY SET</x:v>
      </x:c>
      <x:c r="E1831" s="11" t="n">
        <x:v>1927.54</x:v>
      </x:c>
      <x:c r="F1831" s="11" t="n">
        <x:v>15</x:v>
      </x:c>
      <x:c r="G1831" s="11" t="n">
        <x:v>1912.54</x:v>
      </x:c>
      <x:c r="H1831" s="23" t="n">
        <x:v>0.00009387183338027187</x:v>
      </x:c>
      <x:c r="I1831" s="23" t="n">
        <x:v>0.9123724474971284</x:v>
      </x:c>
      <x:c r="J1831" s="2" t="n">
        <x:v>289</x:v>
      </x:c>
      <x:c r="K1831" s="2"/>
      <x:c r="L1831" s="2"/>
    </x:row>
    <x:row r="1832" ht="22" customHeight="1">
      <x:c r="A1832" s="2"/>
      <x:c r="B1832" s="2" t="n">
        <x:v>1799</x:v>
      </x:c>
      <x:c r="C1832" s="2" t="str">
        <x:v>84581</x:v>
      </x:c>
      <x:c r="D1832" s="2" t="str">
        <x:v>DOG TOY WITH PINK CROCHET SKIRT</x:v>
      </x:c>
      <x:c r="E1832" s="11" t="n">
        <x:v>1927.52</x:v>
      </x:c>
      <x:c r="F1832" s="11" t="n">
        <x:v>0</x:v>
      </x:c>
      <x:c r="G1832" s="11" t="n">
        <x:v>1927.52</x:v>
      </x:c>
      <x:c r="H1832" s="23" t="n">
        <x:v>0.00009387085937367921</x:v>
      </x:c>
      <x:c r="I1832" s="23" t="n">
        <x:v>0.912466318356502</x:v>
      </x:c>
      <x:c r="J1832" s="2" t="n">
        <x:v>234</x:v>
      </x:c>
      <x:c r="K1832" s="2"/>
      <x:c r="L1832" s="2"/>
    </x:row>
    <x:row r="1833" ht="22" customHeight="1">
      <x:c r="A1833" s="2"/>
      <x:c r="B1833" s="2" t="n">
        <x:v>1800</x:v>
      </x:c>
      <x:c r="C1833" s="2" t="str">
        <x:v>20716</x:v>
      </x:c>
      <x:c r="D1833" s="2" t="str">
        <x:v>PARTY FOOD SHOPPER BAG</x:v>
      </x:c>
      <x:c r="E1833" s="11" t="n">
        <x:v>1926.29</x:v>
      </x:c>
      <x:c r="F1833" s="11" t="n">
        <x:v>13.75</x:v>
      </x:c>
      <x:c r="G1833" s="11" t="n">
        <x:v>1912.54</x:v>
      </x:c>
      <x:c r="H1833" s="23" t="n">
        <x:v>0.00009381095796823096</x:v>
      </x:c>
      <x:c r="I1833" s="23" t="n">
        <x:v>0.9125601293144703</x:v>
      </x:c>
      <x:c r="J1833" s="2" t="n">
        <x:v>246</x:v>
      </x:c>
      <x:c r="K1833" s="2"/>
      <x:c r="L1833" s="2"/>
    </x:row>
    <x:row r="1834" ht="22" customHeight="1">
      <x:c r="A1834" s="2"/>
      <x:c r="B1834" s="2" t="n">
        <x:v>1801</x:v>
      </x:c>
      <x:c r="C1834" s="2" t="str">
        <x:v>21043</x:v>
      </x:c>
      <x:c r="D1834" s="2" t="str">
        <x:v>APRON MODERN VINTAGE COTTON</x:v>
      </x:c>
      <x:c r="E1834" s="11" t="n">
        <x:v>1924.93</x:v>
      </x:c>
      <x:c r="F1834" s="11" t="n">
        <x:v>17.85</x:v>
      </x:c>
      <x:c r="G1834" s="11" t="n">
        <x:v>1907.08</x:v>
      </x:c>
      <x:c r="H1834" s="23" t="n">
        <x:v>0.00009374472551993046</x:v>
      </x:c>
      <x:c r="I1834" s="23" t="n">
        <x:v>0.9126538740399902</x:v>
      </x:c>
      <x:c r="J1834" s="2" t="n">
        <x:v>141</x:v>
      </x:c>
      <x:c r="K1834" s="2"/>
      <x:c r="L1834" s="2"/>
    </x:row>
    <x:row r="1835" ht="22" customHeight="1">
      <x:c r="A1835" s="2"/>
      <x:c r="B1835" s="2" t="n">
        <x:v>1802</x:v>
      </x:c>
      <x:c r="C1835" s="2" t="str">
        <x:v>23094</x:v>
      </x:c>
      <x:c r="D1835" s="2" t="str">
        <x:v>LE GRAND TRAY CHIC SET</x:v>
      </x:c>
      <x:c r="E1835" s="11" t="n">
        <x:v>1924.92</x:v>
      </x:c>
      <x:c r="F1835" s="11" t="n">
        <x:v>25</x:v>
      </x:c>
      <x:c r="G1835" s="11" t="n">
        <x:v>1899.92</x:v>
      </x:c>
      <x:c r="H1835" s="23" t="n">
        <x:v>0.00009374423851663413</x:v>
      </x:c>
      <x:c r="I1835" s="23" t="n">
        <x:v>0.9127476182785068</x:v>
      </x:c>
      <x:c r="J1835" s="2" t="n">
        <x:v>79</x:v>
      </x:c>
      <x:c r="K1835" s="2"/>
      <x:c r="L1835" s="2"/>
    </x:row>
    <x:row r="1836" ht="22" customHeight="1">
      <x:c r="A1836" s="2"/>
      <x:c r="B1836" s="2" t="n">
        <x:v>1803</x:v>
      </x:c>
      <x:c r="C1836" s="2" t="str">
        <x:v>21802</x:v>
      </x:c>
      <x:c r="D1836" s="2" t="str">
        <x:v>CHRISTMAS TREE HEART DECORATION</x:v>
      </x:c>
      <x:c r="E1836" s="11" t="n">
        <x:v>1918.8799999999999</x:v>
      </x:c>
      <x:c r="F1836" s="11" t="n">
        <x:v>0.42</x:v>
      </x:c>
      <x:c r="G1836" s="11" t="n">
        <x:v>1918.46</x:v>
      </x:c>
      <x:c r="H1836" s="23" t="n">
        <x:v>0.00009345008852565243</x:v>
      </x:c>
      <x:c r="I1836" s="23" t="n">
        <x:v>0.9128410683670325</x:v>
      </x:c>
      <x:c r="J1836" s="2" t="n">
        <x:v>323</x:v>
      </x:c>
      <x:c r="K1836" s="2"/>
      <x:c r="L1836" s="2"/>
    </x:row>
    <x:row r="1837" ht="22" customHeight="1">
      <x:c r="A1837" s="2"/>
      <x:c r="B1837" s="2" t="n">
        <x:v>1804</x:v>
      </x:c>
      <x:c r="C1837" s="2" t="str">
        <x:v>23155</x:v>
      </x:c>
      <x:c r="D1837" s="2" t="str">
        <x:v>KNICKERBOCKERGLORY MAGNET ASSORTED </x:v>
      </x:c>
      <x:c r="E1837" s="11" t="n">
        <x:v>1914.7299999999998</x:v>
      </x:c>
      <x:c r="F1837" s="11" t="n">
        <x:v>129.71</x:v>
      </x:c>
      <x:c r="G1837" s="11" t="n">
        <x:v>1785.02</x:v>
      </x:c>
      <x:c r="H1837" s="23" t="n">
        <x:v>0.0000932479821576766</x:v>
      </x:c>
      <x:c r="I1837" s="23" t="n">
        <x:v>0.9129343163491902</x:v>
      </x:c>
      <x:c r="J1837" s="2" t="n">
        <x:v>135</x:v>
      </x:c>
      <x:c r="K1837" s="2"/>
      <x:c r="L1837" s="2"/>
    </x:row>
    <x:row r="1838" ht="22" customHeight="1">
      <x:c r="A1838" s="2"/>
      <x:c r="B1838" s="2" t="n">
        <x:v>1805</x:v>
      </x:c>
      <x:c r="C1838" s="2" t="str">
        <x:v>20684</x:v>
      </x:c>
      <x:c r="D1838" s="2" t="str">
        <x:v>STRAWBERRY DREAM CHILDS UMBRELLA</x:v>
      </x:c>
      <x:c r="E1838" s="11" t="n">
        <x:v>1913.31</x:v>
      </x:c>
      <x:c r="F1838" s="11" t="n">
        <x:v>36.5</x:v>
      </x:c>
      <x:c r="G1838" s="11" t="n">
        <x:v>1876.81</x:v>
      </x:c>
      <x:c r="H1838" s="23" t="n">
        <x:v>0.00009317882768959813</x:v>
      </x:c>
      <x:c r="I1838" s="23" t="n">
        <x:v>0.9130274951768798</x:v>
      </x:c>
      <x:c r="J1838" s="2" t="n">
        <x:v>176</x:v>
      </x:c>
      <x:c r="K1838" s="2"/>
      <x:c r="L1838" s="2"/>
    </x:row>
    <x:row r="1839" ht="22" customHeight="1">
      <x:c r="A1839" s="2"/>
      <x:c r="B1839" s="2" t="n">
        <x:v>1806</x:v>
      </x:c>
      <x:c r="C1839" s="2" t="str">
        <x:v>22522</x:v>
      </x:c>
      <x:c r="D1839" s="2" t="str">
        <x:v>CHILDS GARDEN FORK BLUE </x:v>
      </x:c>
      <x:c r="E1839" s="11" t="n">
        <x:v>1911.76</x:v>
      </x:c>
      <x:c r="F1839" s="11" t="n">
        <x:v>12.75</x:v>
      </x:c>
      <x:c r="G1839" s="11" t="n">
        <x:v>1899.01</x:v>
      </x:c>
      <x:c r="H1839" s="23" t="n">
        <x:v>0.00009310334217866739</x:v>
      </x:c>
      <x:c r="I1839" s="23" t="n">
        <x:v>0.9131205985190585</x:v>
      </x:c>
      <x:c r="J1839" s="2" t="n">
        <x:v>334</x:v>
      </x:c>
      <x:c r="K1839" s="2"/>
      <x:c r="L1839" s="2"/>
    </x:row>
    <x:row r="1840" ht="22" customHeight="1">
      <x:c r="A1840" s="2"/>
      <x:c r="B1840" s="2" t="n">
        <x:v>1807</x:v>
      </x:c>
      <x:c r="C1840" s="2" t="str">
        <x:v>40001</x:v>
      </x:c>
      <x:c r="D1840" s="2" t="str">
        <x:v>WHITE BAMBOO RIBS LAMPSHADE</x:v>
      </x:c>
      <x:c r="E1840" s="11" t="n">
        <x:v>1911.6499999999999</x:v>
      </x:c>
      <x:c r="F1840" s="11" t="n">
        <x:v>28.8</x:v>
      </x:c>
      <x:c r="G1840" s="11" t="n">
        <x:v>1882.85</x:v>
      </x:c>
      <x:c r="H1840" s="23" t="n">
        <x:v>0.00009309798514240779</x:v>
      </x:c>
      <x:c r="I1840" s="23" t="n">
        <x:v>0.9132136965042009</x:v>
      </x:c>
      <x:c r="J1840" s="2" t="n">
        <x:v>121</x:v>
      </x:c>
      <x:c r="K1840" s="2"/>
      <x:c r="L1840" s="2"/>
    </x:row>
    <x:row r="1841" ht="22" customHeight="1">
      <x:c r="A1841" s="2"/>
      <x:c r="B1841" s="2" t="n">
        <x:v>1808</x:v>
      </x:c>
      <x:c r="C1841" s="2" t="str">
        <x:v>21659</x:v>
      </x:c>
      <x:c r="D1841" s="2" t="str">
        <x:v>GLASS CAKE STAND</x:v>
      </x:c>
      <x:c r="E1841" s="11" t="n">
        <x:v>1906.6499999999999</x:v>
      </x:c>
      <x:c r="F1841" s="11" t="n">
        <x:v>59.8</x:v>
      </x:c>
      <x:c r="G1841" s="11" t="n">
        <x:v>1846.85</x:v>
      </x:c>
      <x:c r="H1841" s="23" t="n">
        <x:v>0.00009285448349424414</x:v>
      </x:c>
      <x:c r="I1841" s="23" t="n">
        <x:v>0.9133065509876952</x:v>
      </x:c>
      <x:c r="J1841" s="2" t="n">
        <x:v>66</x:v>
      </x:c>
      <x:c r="K1841" s="2"/>
      <x:c r="L1841" s="2"/>
    </x:row>
    <x:row r="1842" ht="22" customHeight="1">
      <x:c r="A1842" s="2"/>
      <x:c r="B1842" s="2" t="n">
        <x:v>1809</x:v>
      </x:c>
      <x:c r="C1842" s="2" t="str">
        <x:v>22513</x:v>
      </x:c>
      <x:c r="D1842" s="2" t="str">
        <x:v>DOORSTOP FOOTBALL DESIGN</x:v>
      </x:c>
      <x:c r="E1842" s="11" t="n">
        <x:v>1905.95</x:v>
      </x:c>
      <x:c r="F1842" s="11" t="n">
        <x:v>0</x:v>
      </x:c>
      <x:c r="G1842" s="11" t="n">
        <x:v>1905.95</x:v>
      </x:c>
      <x:c r="H1842" s="23" t="n">
        <x:v>0.00009282039326350124</x:v>
      </x:c>
      <x:c r="I1842" s="23" t="n">
        <x:v>0.9133993713809587</x:v>
      </x:c>
      <x:c r="J1842" s="2" t="n">
        <x:v>170</x:v>
      </x:c>
      <x:c r="K1842" s="2"/>
      <x:c r="L1842" s="2"/>
    </x:row>
    <x:row r="1843" ht="22" customHeight="1">
      <x:c r="A1843" s="2"/>
      <x:c r="B1843" s="2" t="n">
        <x:v>1810</x:v>
      </x:c>
      <x:c r="C1843" s="2" t="str">
        <x:v>22565</x:v>
      </x:c>
      <x:c r="D1843" s="2" t="str">
        <x:v>FELTCRAFT HAIRBANDS PINK AND WHITE </x:v>
      </x:c>
      <x:c r="E1843" s="11" t="n">
        <x:v>1905.59</x:v>
      </x:c>
      <x:c r="F1843" s="11" t="n">
        <x:v>0.85</x:v>
      </x:c>
      <x:c r="G1843" s="11" t="n">
        <x:v>1904.7399999999998</x:v>
      </x:c>
      <x:c r="H1843" s="23" t="n">
        <x:v>0.00009280286114483346</x:v>
      </x:c>
      <x:c r="I1843" s="23" t="n">
        <x:v>0.9134921742421036</x:v>
      </x:c>
      <x:c r="J1843" s="2" t="n">
        <x:v>278</x:v>
      </x:c>
      <x:c r="K1843" s="2"/>
      <x:c r="L1843" s="2"/>
    </x:row>
    <x:row r="1844" ht="22" customHeight="1">
      <x:c r="A1844" s="2"/>
      <x:c r="B1844" s="2" t="n">
        <x:v>1811</x:v>
      </x:c>
      <x:c r="C1844" s="2" t="str">
        <x:v>85162B</x:v>
      </x:c>
      <x:c r="D1844" s="2" t="str">
        <x:v>BLACK RETRODISC LAMPSHADE</x:v>
      </x:c>
      <x:c r="E1844" s="11" t="n">
        <x:v>1905.15</x:v>
      </x:c>
      <x:c r="F1844" s="11" t="n">
        <x:v>0</x:v>
      </x:c>
      <x:c r="G1844" s="11" t="n">
        <x:v>1905.15</x:v>
      </x:c>
      <x:c r="H1844" s="23" t="n">
        <x:v>0.00009278143299979505</x:v>
      </x:c>
      <x:c r="I1844" s="23" t="n">
        <x:v>0.9135849556751034</x:v>
      </x:c>
      <x:c r="J1844" s="2" t="n">
        <x:v>13</x:v>
      </x:c>
      <x:c r="K1844" s="2"/>
      <x:c r="L1844" s="2"/>
    </x:row>
    <x:row r="1845" ht="22" customHeight="1">
      <x:c r="A1845" s="2"/>
      <x:c r="B1845" s="2" t="n">
        <x:v>1812</x:v>
      </x:c>
      <x:c r="C1845" s="2" t="str">
        <x:v>84763</x:v>
      </x:c>
      <x:c r="D1845" s="2" t="str">
        <x:v>ZINC FINISH 15CM PLANTER POTS</x:v>
      </x:c>
      <x:c r="E1845" s="11" t="n">
        <x:v>1903</x:v>
      </x:c>
      <x:c r="F1845" s="11" t="n">
        <x:v>0</x:v>
      </x:c>
      <x:c r="G1845" s="11" t="n">
        <x:v>1903</x:v>
      </x:c>
      <x:c r="H1845" s="23" t="n">
        <x:v>0.00009267672729108469</x:v>
      </x:c>
      <x:c r="I1845" s="23" t="n">
        <x:v>0.9136776324023945</x:v>
      </x:c>
      <x:c r="J1845" s="2" t="n">
        <x:v>170</x:v>
      </x:c>
      <x:c r="K1845" s="2"/>
      <x:c r="L1845" s="2"/>
    </x:row>
    <x:row r="1846" ht="22" customHeight="1">
      <x:c r="A1846" s="2"/>
      <x:c r="B1846" s="2" t="n">
        <x:v>1813</x:v>
      </x:c>
      <x:c r="C1846" s="2" t="str">
        <x:v>21773</x:v>
      </x:c>
      <x:c r="D1846" s="2" t="str">
        <x:v>DECORATIVE ROSE BATHROOM BOTTLE</x:v>
      </x:c>
      <x:c r="E1846" s="11" t="n">
        <x:v>1901.9</x:v>
      </x:c>
      <x:c r="F1846" s="11" t="n">
        <x:v>31.25</x:v>
      </x:c>
      <x:c r="G1846" s="11" t="n">
        <x:v>1870.65</x:v>
      </x:c>
      <x:c r="H1846" s="23" t="n">
        <x:v>0.00009262315692848869</x:v>
      </x:c>
      <x:c r="I1846" s="23" t="n">
        <x:v>0.913770255559323</x:v>
      </x:c>
      <x:c r="J1846" s="2" t="n">
        <x:v>308</x:v>
      </x:c>
      <x:c r="K1846" s="2"/>
      <x:c r="L1846" s="2"/>
    </x:row>
    <x:row r="1847" ht="22" customHeight="1">
      <x:c r="A1847" s="2"/>
      <x:c r="B1847" s="2" t="n">
        <x:v>1814</x:v>
      </x:c>
      <x:c r="C1847" s="2" t="str">
        <x:v>22210</x:v>
      </x:c>
      <x:c r="D1847" s="2" t="str">
        <x:v>WOOD STAMP SET BEST WISHES</x:v>
      </x:c>
      <x:c r="E1847" s="11" t="n">
        <x:v>1901.7299999999998</x:v>
      </x:c>
      <x:c r="F1847" s="11" t="n">
        <x:v>24.749999999999996</x:v>
      </x:c>
      <x:c r="G1847" s="11" t="n">
        <x:v>1876.9799999999998</x:v>
      </x:c>
      <x:c r="H1847" s="23" t="n">
        <x:v>0.00009261487787245112</x:v>
      </x:c>
      <x:c r="I1847" s="23" t="n">
        <x:v>0.9138628704371955</x:v>
      </x:c>
      <x:c r="J1847" s="2" t="n">
        <x:v>287</x:v>
      </x:c>
      <x:c r="K1847" s="2"/>
      <x:c r="L1847" s="2"/>
    </x:row>
    <x:row r="1848" ht="22" customHeight="1">
      <x:c r="A1848" s="2"/>
      <x:c r="B1848" s="2" t="n">
        <x:v>1815</x:v>
      </x:c>
      <x:c r="C1848" s="2" t="str">
        <x:v>84519B</x:v>
      </x:c>
      <x:c r="D1848" s="2" t="str">
        <x:v>CARROT CHARLIE+LOLA COASTER SET</x:v>
      </x:c>
      <x:c r="E1848" s="11" t="n">
        <x:v>1899.5700000000002</x:v>
      </x:c>
      <x:c r="F1848" s="11" t="n">
        <x:v>2.95</x:v>
      </x:c>
      <x:c r="G1848" s="11" t="n">
        <x:v>1896.6200000000001</x:v>
      </x:c>
      <x:c r="H1848" s="23" t="n">
        <x:v>0.00009250968516044443</x:v>
      </x:c>
      <x:c r="I1848" s="23" t="n">
        <x:v>0.9139553801223559</x:v>
      </x:c>
      <x:c r="J1848" s="2" t="n">
        <x:v>214</x:v>
      </x:c>
      <x:c r="K1848" s="2"/>
      <x:c r="L1848" s="2"/>
    </x:row>
    <x:row r="1849" ht="22" customHeight="1">
      <x:c r="A1849" s="2"/>
      <x:c r="B1849" s="2" t="n">
        <x:v>1816</x:v>
      </x:c>
      <x:c r="C1849" s="2" t="str">
        <x:v>23491</x:v>
      </x:c>
      <x:c r="D1849" s="2" t="str">
        <x:v>VINTAGE JINGLE BELLS HEART</x:v>
      </x:c>
      <x:c r="E1849" s="11" t="n">
        <x:v>1897.76</x:v>
      </x:c>
      <x:c r="F1849" s="11" t="n">
        <x:v>8.25</x:v>
      </x:c>
      <x:c r="G1849" s="11" t="n">
        <x:v>1889.51</x:v>
      </x:c>
      <x:c r="H1849" s="23" t="n">
        <x:v>0.00009242153756380918</x:v>
      </x:c>
      <x:c r="I1849" s="23" t="n">
        <x:v>0.9140478016599197</x:v>
      </x:c>
      <x:c r="J1849" s="2" t="n">
        <x:v>78</x:v>
      </x:c>
      <x:c r="K1849" s="2"/>
      <x:c r="L1849" s="2"/>
    </x:row>
    <x:row r="1850" ht="22" customHeight="1">
      <x:c r="A1850" s="2"/>
      <x:c r="B1850" s="2" t="n">
        <x:v>1817</x:v>
      </x:c>
      <x:c r="C1850" s="2" t="str">
        <x:v>22985</x:v>
      </x:c>
      <x:c r="D1850" s="2" t="str">
        <x:v>WRAP BILLBOARD FONTS DESIGN</x:v>
      </x:c>
      <x:c r="E1850" s="11" t="n">
        <x:v>1895.24</x:v>
      </x:c>
      <x:c r="F1850" s="11" t="n">
        <x:v>0</x:v>
      </x:c>
      <x:c r="G1850" s="11" t="n">
        <x:v>1895.24</x:v>
      </x:c>
      <x:c r="H1850" s="23" t="n">
        <x:v>0.0000922988127331347</x:v>
      </x:c>
      <x:c r="I1850" s="23" t="n">
        <x:v>0.9141401004726528</x:v>
      </x:c>
      <x:c r="J1850" s="2" t="n">
        <x:v>136</x:v>
      </x:c>
      <x:c r="K1850" s="2"/>
      <x:c r="L1850" s="2"/>
    </x:row>
    <x:row r="1851" ht="22" customHeight="1">
      <x:c r="A1851" s="2"/>
      <x:c r="B1851" s="2" t="n">
        <x:v>1818</x:v>
      </x:c>
      <x:c r="C1851" s="2" t="str">
        <x:v>85232A</x:v>
      </x:c>
      <x:c r="D1851" s="2" t="str">
        <x:v>SET/3 POLKADOT STACKING TINS</x:v>
      </x:c>
      <x:c r="E1851" s="11" t="n">
        <x:v>1894.8300000000002</x:v>
      </x:c>
      <x:c r="F1851" s="11" t="n">
        <x:v>158.4</x:v>
      </x:c>
      <x:c r="G1851" s="11" t="n">
        <x:v>1736.43</x:v>
      </x:c>
      <x:c r="H1851" s="23" t="n">
        <x:v>0.0000922788455979853</x:v>
      </x:c>
      <x:c r="I1851" s="23" t="n">
        <x:v>0.9142323793182509</x:v>
      </x:c>
      <x:c r="J1851" s="2" t="n">
        <x:v>138</x:v>
      </x:c>
      <x:c r="K1851" s="2"/>
      <x:c r="L1851" s="2"/>
    </x:row>
    <x:row r="1852" ht="22" customHeight="1">
      <x:c r="A1852" s="2"/>
      <x:c r="B1852" s="2" t="n">
        <x:v>1819</x:v>
      </x:c>
      <x:c r="C1852" s="2" t="str">
        <x:v>16169E</x:v>
      </x:c>
      <x:c r="D1852" s="2" t="str">
        <x:v>WRAP 50'S  CHRISTMAS</x:v>
      </x:c>
      <x:c r="E1852" s="11" t="n">
        <x:v>1892.46</x:v>
      </x:c>
      <x:c r="F1852" s="11" t="n">
        <x:v>52.5</x:v>
      </x:c>
      <x:c r="G1852" s="11" t="n">
        <x:v>1839.96</x:v>
      </x:c>
      <x:c r="H1852" s="23" t="n">
        <x:v>0.00009216342581675572</x:v>
      </x:c>
      <x:c r="I1852" s="23" t="n">
        <x:v>0.9143245427440676</x:v>
      </x:c>
      <x:c r="J1852" s="2" t="n">
        <x:v>149</x:v>
      </x:c>
      <x:c r="K1852" s="2"/>
      <x:c r="L1852" s="2"/>
    </x:row>
    <x:row r="1853" ht="22" customHeight="1">
      <x:c r="A1853" s="2"/>
      <x:c r="B1853" s="2" t="n">
        <x:v>1820</x:v>
      </x:c>
      <x:c r="C1853" s="2" t="str">
        <x:v>21445</x:v>
      </x:c>
      <x:c r="D1853" s="2" t="str">
        <x:v>12 PINK ROSE PEG PLACE SETTINGS</x:v>
      </x:c>
      <x:c r="E1853" s="11" t="n">
        <x:v>1892.23</x:v>
      </x:c>
      <x:c r="F1853" s="11" t="n">
        <x:v>15</x:v>
      </x:c>
      <x:c r="G1853" s="11" t="n">
        <x:v>1877.23</x:v>
      </x:c>
      <x:c r="H1853" s="23" t="n">
        <x:v>0.0000921522247409402</x:v>
      </x:c>
      <x:c r="I1853" s="23" t="n">
        <x:v>0.9144166949688085</x:v>
      </x:c>
      <x:c r="J1853" s="2" t="n">
        <x:v>146</x:v>
      </x:c>
      <x:c r="K1853" s="2"/>
      <x:c r="L1853" s="2"/>
    </x:row>
    <x:row r="1854" ht="22" customHeight="1">
      <x:c r="A1854" s="2"/>
      <x:c r="B1854" s="2" t="n">
        <x:v>1821</x:v>
      </x:c>
      <x:c r="C1854" s="2" t="str">
        <x:v>23434</x:v>
      </x:c>
      <x:c r="D1854" s="2" t="str">
        <x:v>3 RAFFIA RIBBONS 50'S CHRISTMAS </x:v>
      </x:c>
      <x:c r="E1854" s="11" t="n">
        <x:v>1892.07</x:v>
      </x:c>
      <x:c r="F1854" s="11" t="n">
        <x:v>7.9</x:v>
      </x:c>
      <x:c r="G1854" s="11" t="n">
        <x:v>1884.17</x:v>
      </x:c>
      <x:c r="H1854" s="23" t="n">
        <x:v>0.00009214443268819894</x:v>
      </x:c>
      <x:c r="I1854" s="23" t="n">
        <x:v>0.9145088394014967</x:v>
      </x:c>
      <x:c r="J1854" s="2" t="n">
        <x:v>199</x:v>
      </x:c>
      <x:c r="K1854" s="2"/>
      <x:c r="L1854" s="2"/>
    </x:row>
    <x:row r="1855" ht="22" customHeight="1">
      <x:c r="A1855" s="2"/>
      <x:c r="B1855" s="2" t="n">
        <x:v>1822</x:v>
      </x:c>
      <x:c r="C1855" s="2" t="str">
        <x:v>21581</x:v>
      </x:c>
      <x:c r="D1855" s="2" t="str">
        <x:v>SKULLS  DESIGN  COTTON TOTE BAG</x:v>
      </x:c>
      <x:c r="E1855" s="11" t="n">
        <x:v>1890.74</x:v>
      </x:c>
      <x:c r="F1855" s="11" t="n">
        <x:v>45</x:v>
      </x:c>
      <x:c r="G1855" s="11" t="n">
        <x:v>1845.74</x:v>
      </x:c>
      <x:c r="H1855" s="23" t="n">
        <x:v>0.00009207966124978743</x:v>
      </x:c>
      <x:c r="I1855" s="23" t="n">
        <x:v>0.9146009190627465</x:v>
      </x:c>
      <x:c r="J1855" s="2" t="n">
        <x:v>203</x:v>
      </x:c>
      <x:c r="K1855" s="2"/>
      <x:c r="L1855" s="2"/>
    </x:row>
    <x:row r="1856" ht="22" customHeight="1">
      <x:c r="A1856" s="2"/>
      <x:c r="B1856" s="2" t="n">
        <x:v>1823</x:v>
      </x:c>
      <x:c r="C1856" s="2" t="str">
        <x:v>22523</x:v>
      </x:c>
      <x:c r="D1856" s="2" t="str">
        <x:v>CHILDS GARDEN FORK PINK</x:v>
      </x:c>
      <x:c r="E1856" s="11" t="n">
        <x:v>1889.09</x:v>
      </x:c>
      <x:c r="F1856" s="11" t="n">
        <x:v>12.75</x:v>
      </x:c>
      <x:c r="G1856" s="11" t="n">
        <x:v>1876.34</x:v>
      </x:c>
      <x:c r="H1856" s="23" t="n">
        <x:v>0.00009199930570589342</x:v>
      </x:c>
      <x:c r="I1856" s="23" t="n">
        <x:v>0.9146929183684525</x:v>
      </x:c>
      <x:c r="J1856" s="2" t="n">
        <x:v>352</x:v>
      </x:c>
      <x:c r="K1856" s="2"/>
      <x:c r="L1856" s="2"/>
    </x:row>
    <x:row r="1857" ht="22" customHeight="1">
      <x:c r="A1857" s="2"/>
      <x:c r="B1857" s="2" t="n">
        <x:v>1824</x:v>
      </x:c>
      <x:c r="C1857" s="2" t="str">
        <x:v>23394</x:v>
      </x:c>
      <x:c r="D1857" s="2" t="str">
        <x:v>POSTE FRANCE CUSHION COVER</x:v>
      </x:c>
      <x:c r="E1857" s="11" t="n">
        <x:v>1888.9</x:v>
      </x:c>
      <x:c r="F1857" s="11" t="n">
        <x:v>0</x:v>
      </x:c>
      <x:c r="G1857" s="11" t="n">
        <x:v>1888.9</x:v>
      </x:c>
      <x:c r="H1857" s="23" t="n">
        <x:v>0.00009199005264326321</x:v>
      </x:c>
      <x:c r="I1857" s="23" t="n">
        <x:v>0.9147849084210957</x:v>
      </x:c>
      <x:c r="J1857" s="2" t="n">
        <x:v>150</x:v>
      </x:c>
      <x:c r="K1857" s="2"/>
      <x:c r="L1857" s="2"/>
    </x:row>
    <x:row r="1858" ht="22" customHeight="1">
      <x:c r="A1858" s="2"/>
      <x:c r="B1858" s="2" t="n">
        <x:v>1825</x:v>
      </x:c>
      <x:c r="C1858" s="2" t="str">
        <x:v>85185B</x:v>
      </x:c>
      <x:c r="D1858" s="2" t="str">
        <x:v>PINK HORSE SOCK PUPPET KIT</x:v>
      </x:c>
      <x:c r="E1858" s="11" t="n">
        <x:v>1887.7100000000003</x:v>
      </x:c>
      <x:c r="F1858" s="11" t="n">
        <x:v>2.95</x:v>
      </x:c>
      <x:c r="G1858" s="11" t="n">
        <x:v>1884.7600000000002</x:v>
      </x:c>
      <x:c r="H1858" s="23" t="n">
        <x:v>0.00009193209925100027</x:v>
      </x:c>
      <x:c r="I1858" s="23" t="n">
        <x:v>0.9148768405203467</x:v>
      </x:c>
      <x:c r="J1858" s="2" t="n">
        <x:v>182</x:v>
      </x:c>
      <x:c r="K1858" s="2"/>
      <x:c r="L1858" s="2"/>
    </x:row>
    <x:row r="1859" ht="22" customHeight="1">
      <x:c r="A1859" s="2"/>
      <x:c r="B1859" s="2" t="n">
        <x:v>1826</x:v>
      </x:c>
      <x:c r="C1859" s="2" t="str">
        <x:v>21687</x:v>
      </x:c>
      <x:c r="D1859" s="2" t="str">
        <x:v>SILVER PLATE CANDLE BOWL LARGE</x:v>
      </x:c>
      <x:c r="E1859" s="11" t="n">
        <x:v>1886.23</x:v>
      </x:c>
      <x:c r="F1859" s="11" t="n">
        <x:v>3.75</x:v>
      </x:c>
      <x:c r="G1859" s="11" t="n">
        <x:v>1882.48</x:v>
      </x:c>
      <x:c r="H1859" s="23" t="n">
        <x:v>0.0000918600227631438</x:v>
      </x:c>
      <x:c r="I1859" s="23" t="n">
        <x:v>0.9149687005431099</x:v>
      </x:c>
      <x:c r="J1859" s="2" t="n">
        <x:v>101</x:v>
      </x:c>
      <x:c r="K1859" s="2"/>
      <x:c r="L1859" s="2"/>
    </x:row>
    <x:row r="1860" ht="22" customHeight="1">
      <x:c r="A1860" s="2"/>
      <x:c r="B1860" s="2" t="n">
        <x:v>1827</x:v>
      </x:c>
      <x:c r="C1860" s="2" t="str">
        <x:v>22858</x:v>
      </x:c>
      <x:c r="D1860" s="2" t="str">
        <x:v>EASTER TIN KEEPSAKE</x:v>
      </x:c>
      <x:c r="E1860" s="11" t="n">
        <x:v>1882.29</x:v>
      </x:c>
      <x:c r="F1860" s="11" t="n">
        <x:v>16.5</x:v>
      </x:c>
      <x:c r="G1860" s="11" t="n">
        <x:v>1865.79</x:v>
      </x:c>
      <x:c r="H1860" s="23" t="n">
        <x:v>0.00009166814346439086</x:v>
      </x:c>
      <x:c r="I1860" s="23" t="n">
        <x:v>0.9150603686865743</x:v>
      </x:c>
      <x:c r="J1860" s="2" t="n">
        <x:v>139</x:v>
      </x:c>
      <x:c r="K1860" s="2"/>
      <x:c r="L1860" s="2"/>
    </x:row>
    <x:row r="1861" ht="22" customHeight="1">
      <x:c r="A1861" s="2"/>
      <x:c r="B1861" s="2" t="n">
        <x:v>1828</x:v>
      </x:c>
      <x:c r="C1861" s="2" t="str">
        <x:v>85231B</x:v>
      </x:c>
      <x:c r="D1861" s="2" t="str">
        <x:v>CINAMMON SET OF 9 T-LIGHTS</x:v>
      </x:c>
      <x:c r="E1861" s="11" t="n">
        <x:v>1880.3899999999999</x:v>
      </x:c>
      <x:c r="F1861" s="11" t="n">
        <x:v>9.35</x:v>
      </x:c>
      <x:c r="G1861" s="11" t="n">
        <x:v>1871.04</x:v>
      </x:c>
      <x:c r="H1861" s="23" t="n">
        <x:v>0.00009157561283808866</x:v>
      </x:c>
      <x:c r="I1861" s="23" t="n">
        <x:v>0.9151519442994124</x:v>
      </x:c>
      <x:c r="J1861" s="2" t="n">
        <x:v>384</x:v>
      </x:c>
      <x:c r="K1861" s="2"/>
      <x:c r="L1861" s="2"/>
    </x:row>
    <x:row r="1862" ht="22" customHeight="1">
      <x:c r="A1862" s="2"/>
      <x:c r="B1862" s="2" t="n">
        <x:v>1829</x:v>
      </x:c>
      <x:c r="C1862" s="2" t="str">
        <x:v>84856S</x:v>
      </x:c>
      <x:c r="D1862" s="2" t="str">
        <x:v>SMALL TAHITI BEACH BAG</x:v>
      </x:c>
      <x:c r="E1862" s="11" t="n">
        <x:v>1877.21</x:v>
      </x:c>
      <x:c r="F1862" s="11" t="n">
        <x:v>3.81</x:v>
      </x:c>
      <x:c r="G1862" s="11" t="n">
        <x:v>1873.4</x:v>
      </x:c>
      <x:c r="H1862" s="23" t="n">
        <x:v>0.00009142074578985659</x:v>
      </x:c>
      <x:c r="I1862" s="23" t="n">
        <x:v>0.9152433650452022</x:v>
      </x:c>
      <x:c r="J1862" s="2" t="n">
        <x:v>33</x:v>
      </x:c>
      <x:c r="K1862" s="2"/>
      <x:c r="L1862" s="2"/>
    </x:row>
    <x:row r="1863" ht="22" customHeight="1">
      <x:c r="A1863" s="2"/>
      <x:c r="B1863" s="2" t="n">
        <x:v>1830</x:v>
      </x:c>
      <x:c r="C1863" s="2" t="str">
        <x:v>22678</x:v>
      </x:c>
      <x:c r="D1863" s="2" t="str">
        <x:v>FRENCH BLUE METAL DOOR SIGN 3</x:v>
      </x:c>
      <x:c r="E1863" s="11" t="n">
        <x:v>1876.78</x:v>
      </x:c>
      <x:c r="F1863" s="11" t="n">
        <x:v>13.75</x:v>
      </x:c>
      <x:c r="G1863" s="11" t="n">
        <x:v>1863.03</x:v>
      </x:c>
      <x:c r="H1863" s="23" t="n">
        <x:v>0.0000913998046481145</x:v>
      </x:c>
      <x:c r="I1863" s="23" t="n">
        <x:v>0.9153347648498503</x:v>
      </x:c>
      <x:c r="J1863" s="2" t="n">
        <x:v>248</x:v>
      </x:c>
      <x:c r="K1863" s="2"/>
      <x:c r="L1863" s="2"/>
    </x:row>
    <x:row r="1864" ht="22" customHeight="1">
      <x:c r="A1864" s="2"/>
      <x:c r="B1864" s="2" t="n">
        <x:v>1831</x:v>
      </x:c>
      <x:c r="C1864" s="2" t="str">
        <x:v>21983</x:v>
      </x:c>
      <x:c r="D1864" s="2" t="str">
        <x:v>PACK OF 12 BLUE PAISLEY TISSUES </x:v>
      </x:c>
      <x:c r="E1864" s="11" t="n">
        <x:v>1875.8899999999999</x:v>
      </x:c>
      <x:c r="F1864" s="11" t="n">
        <x:v>13.919999999999998</x:v>
      </x:c>
      <x:c r="G1864" s="11" t="n">
        <x:v>1861.9699999999998</x:v>
      </x:c>
      <x:c r="H1864" s="23" t="n">
        <x:v>0.00009135646135474138</x:v>
      </x:c>
      <x:c r="I1864" s="23" t="n">
        <x:v>0.915426121311205</x:v>
      </x:c>
      <x:c r="J1864" s="2" t="n">
        <x:v>325</x:v>
      </x:c>
      <x:c r="K1864" s="2"/>
      <x:c r="L1864" s="2"/>
    </x:row>
    <x:row r="1865" ht="22" customHeight="1">
      <x:c r="A1865" s="2"/>
      <x:c r="B1865" s="2" t="n">
        <x:v>1832</x:v>
      </x:c>
      <x:c r="C1865" s="2" t="str">
        <x:v>21841</x:v>
      </x:c>
      <x:c r="D1865" s="2" t="str">
        <x:v>BABY MOUSE RED GINGHAM DRESS</x:v>
      </x:c>
      <x:c r="E1865" s="11" t="n">
        <x:v>1874.47</x:v>
      </x:c>
      <x:c r="F1865" s="11" t="n">
        <x:v>12.75</x:v>
      </x:c>
      <x:c r="G1865" s="11" t="n">
        <x:v>1861.72</x:v>
      </x:c>
      <x:c r="H1865" s="23" t="n">
        <x:v>0.00009128730688666291</x:v>
      </x:c>
      <x:c r="I1865" s="23" t="n">
        <x:v>0.9155174086180917</x:v>
      </x:c>
      <x:c r="J1865" s="2" t="n">
        <x:v>132</x:v>
      </x:c>
      <x:c r="K1865" s="2"/>
      <x:c r="L1865" s="2"/>
    </x:row>
    <x:row r="1866" ht="22" customHeight="1">
      <x:c r="A1866" s="2"/>
      <x:c r="B1866" s="2" t="n">
        <x:v>1833</x:v>
      </x:c>
      <x:c r="C1866" s="2" t="str">
        <x:v>21085</x:v>
      </x:c>
      <x:c r="D1866" s="2" t="str">
        <x:v>SET/6 WOODLAND PAPER CUPS</x:v>
      </x:c>
      <x:c r="E1866" s="11" t="n">
        <x:v>1873.3300000000002</x:v>
      </x:c>
      <x:c r="F1866" s="11" t="n">
        <x:v>0</x:v>
      </x:c>
      <x:c r="G1866" s="11" t="n">
        <x:v>1873.3300000000002</x:v>
      </x:c>
      <x:c r="H1866" s="23" t="n">
        <x:v>0.0000912317885108816</x:v>
      </x:c>
      <x:c r="I1866" s="23" t="n">
        <x:v>0.9156086404066026</x:v>
      </x:c>
      <x:c r="J1866" s="2" t="n">
        <x:v>66</x:v>
      </x:c>
      <x:c r="K1866" s="2"/>
      <x:c r="L1866" s="2"/>
    </x:row>
    <x:row r="1867" ht="22" customHeight="1">
      <x:c r="A1867" s="2"/>
      <x:c r="B1867" s="2" t="n">
        <x:v>1834</x:v>
      </x:c>
      <x:c r="C1867" s="2" t="str">
        <x:v>23359</x:v>
      </x:c>
      <x:c r="D1867" s="2" t="str">
        <x:v>SET OF 12 T-LIGHTS VINTAGE DOILY</x:v>
      </x:c>
      <x:c r="E1867" s="11" t="n">
        <x:v>1872.31</x:v>
      </x:c>
      <x:c r="F1867" s="11" t="n">
        <x:v>0</x:v>
      </x:c>
      <x:c r="G1867" s="11" t="n">
        <x:v>1872.31</x:v>
      </x:c>
      <x:c r="H1867" s="23" t="n">
        <x:v>0.0000911821141746562</x:v>
      </x:c>
      <x:c r="I1867" s="23" t="n">
        <x:v>0.9156998225207773</x:v>
      </x:c>
      <x:c r="J1867" s="2" t="n">
        <x:v>79</x:v>
      </x:c>
      <x:c r="K1867" s="2"/>
      <x:c r="L1867" s="2"/>
    </x:row>
    <x:row r="1868" ht="22" customHeight="1">
      <x:c r="A1868" s="2"/>
      <x:c r="B1868" s="2" t="n">
        <x:v>1835</x:v>
      </x:c>
      <x:c r="C1868" s="2" t="str">
        <x:v>21241</x:v>
      </x:c>
      <x:c r="D1868" s="2" t="str">
        <x:v>GREEN POLKADOT CUP</x:v>
      </x:c>
      <x:c r="E1868" s="11" t="n">
        <x:v>1871.62</x:v>
      </x:c>
      <x:c r="F1868" s="11" t="n">
        <x:v>0.85</x:v>
      </x:c>
      <x:c r="G1868" s="11" t="n">
        <x:v>1870.77</x:v>
      </x:c>
      <x:c r="H1868" s="23" t="n">
        <x:v>0.00009114851094720962</x:v>
      </x:c>
      <x:c r="I1868" s="23" t="n">
        <x:v>0.9157909710317245</x:v>
      </x:c>
      <x:c r="J1868" s="2" t="n">
        <x:v>260</x:v>
      </x:c>
      <x:c r="K1868" s="2"/>
      <x:c r="L1868" s="2"/>
    </x:row>
    <x:row r="1869" ht="22" customHeight="1">
      <x:c r="A1869" s="2"/>
      <x:c r="B1869" s="2" t="n">
        <x:v>1836</x:v>
      </x:c>
      <x:c r="C1869" s="2" t="str">
        <x:v>23090</x:v>
      </x:c>
      <x:c r="D1869" s="2" t="str">
        <x:v>missing</x:v>
      </x:c>
      <x:c r="E1869" s="11" t="n">
        <x:v>1870.86</x:v>
      </x:c>
      <x:c r="F1869" s="11" t="n">
        <x:v>7.47</x:v>
      </x:c>
      <x:c r="G1869" s="11" t="n">
        <x:v>1863.3899999999999</x:v>
      </x:c>
      <x:c r="H1869" s="23" t="n">
        <x:v>0.00009111149869668875</x:v>
      </x:c>
      <x:c r="I1869" s="23" t="n">
        <x:v>0.9158820825304211</x:v>
      </x:c>
      <x:c r="J1869" s="2" t="n">
        <x:v>149</x:v>
      </x:c>
      <x:c r="K1869" s="2"/>
      <x:c r="L1869" s="2"/>
    </x:row>
    <x:row r="1870" ht="22" customHeight="1">
      <x:c r="A1870" s="2"/>
      <x:c r="B1870" s="2" t="n">
        <x:v>1837</x:v>
      </x:c>
      <x:c r="C1870" s="2" t="str">
        <x:v>16016</x:v>
      </x:c>
      <x:c r="D1870" s="2" t="str">
        <x:v>LARGE CHINESE STYLE SCISSOR</x:v>
      </x:c>
      <x:c r="E1870" s="11" t="n">
        <x:v>1870.7</x:v>
      </x:c>
      <x:c r="F1870" s="11" t="n">
        <x:v>0</x:v>
      </x:c>
      <x:c r="G1870" s="11" t="n">
        <x:v>1870.7</x:v>
      </x:c>
      <x:c r="H1870" s="23" t="n">
        <x:v>0.00009110370664394752</x:v>
      </x:c>
      <x:c r="I1870" s="23" t="n">
        <x:v>0.9159731862370651</x:v>
      </x:c>
      <x:c r="J1870" s="2" t="n">
        <x:v>106</x:v>
      </x:c>
      <x:c r="K1870" s="2"/>
      <x:c r="L1870" s="2"/>
    </x:row>
    <x:row r="1871" ht="22" customHeight="1">
      <x:c r="A1871" s="2"/>
      <x:c r="B1871" s="2" t="n">
        <x:v>1838</x:v>
      </x:c>
      <x:c r="C1871" s="2" t="str">
        <x:v>21091</x:v>
      </x:c>
      <x:c r="D1871" s="2" t="str">
        <x:v>SET/6 WOODLAND PAPER PLATES</x:v>
      </x:c>
      <x:c r="E1871" s="11" t="n">
        <x:v>1868.7</x:v>
      </x:c>
      <x:c r="F1871" s="11" t="n">
        <x:v>0</x:v>
      </x:c>
      <x:c r="G1871" s="11" t="n">
        <x:v>1868.7</x:v>
      </x:c>
      <x:c r="H1871" s="23" t="n">
        <x:v>0.00009100630598468205</x:v>
      </x:c>
      <x:c r="I1871" s="23" t="n">
        <x:v>0.9160641925430498</x:v>
      </x:c>
      <x:c r="J1871" s="2" t="n">
        <x:v>47</x:v>
      </x:c>
      <x:c r="K1871" s="2"/>
      <x:c r="L1871" s="2"/>
    </x:row>
    <x:row r="1872" ht="22" customHeight="1">
      <x:c r="A1872" s="2"/>
      <x:c r="B1872" s="2" t="n">
        <x:v>1839</x:v>
      </x:c>
      <x:c r="C1872" s="2" t="str">
        <x:v>23525</x:v>
      </x:c>
      <x:c r="D1872" s="2" t="str">
        <x:v>WALL ART BUFFALO BILL </x:v>
      </x:c>
      <x:c r="E1872" s="11" t="n">
        <x:v>1867.5700000000002</x:v>
      </x:c>
      <x:c r="F1872" s="11" t="n">
        <x:v>22.5</x:v>
      </x:c>
      <x:c r="G1872" s="11" t="n">
        <x:v>1845.0700000000002</x:v>
      </x:c>
      <x:c r="H1872" s="23" t="n">
        <x:v>0.00009095127461219708</x:v>
      </x:c>
      <x:c r="I1872" s="23" t="n">
        <x:v>0.916155143817662</x:v>
      </x:c>
      <x:c r="J1872" s="2" t="n">
        <x:v>53</x:v>
      </x:c>
      <x:c r="K1872" s="2"/>
      <x:c r="L1872" s="2"/>
    </x:row>
    <x:row r="1873" ht="22" customHeight="1">
      <x:c r="A1873" s="2"/>
      <x:c r="B1873" s="2" t="n">
        <x:v>1840</x:v>
      </x:c>
      <x:c r="C1873" s="2" t="str">
        <x:v>22535</x:v>
      </x:c>
      <x:c r="D1873" s="2" t="str">
        <x:v>MAGIC DRAWING SLATE BUNNIES </x:v>
      </x:c>
      <x:c r="E1873" s="11" t="n">
        <x:v>1865.85</x:v>
      </x:c>
      <x:c r="F1873" s="11" t="n">
        <x:v>50.4</x:v>
      </x:c>
      <x:c r="G1873" s="11" t="n">
        <x:v>1815.45</x:v>
      </x:c>
      <x:c r="H1873" s="23" t="n">
        <x:v>0.00009086751004522877</x:v>
      </x:c>
      <x:c r="I1873" s="23" t="n">
        <x:v>0.9162460113277073</x:v>
      </x:c>
      <x:c r="J1873" s="2" t="n">
        <x:v>298</x:v>
      </x:c>
      <x:c r="K1873" s="2"/>
      <x:c r="L1873" s="2"/>
    </x:row>
    <x:row r="1874" ht="22" customHeight="1">
      <x:c r="A1874" s="2"/>
      <x:c r="B1874" s="2" t="n">
        <x:v>1841</x:v>
      </x:c>
      <x:c r="C1874" s="2" t="str">
        <x:v>21394</x:v>
      </x:c>
      <x:c r="D1874" s="2" t="str">
        <x:v>RED POLKADOT BEAKER </x:v>
      </x:c>
      <x:c r="E1874" s="11" t="n">
        <x:v>1864.6299999999999</x:v>
      </x:c>
      <x:c r="F1874" s="11" t="n">
        <x:v>8.58</x:v>
      </x:c>
      <x:c r="G1874" s="11" t="n">
        <x:v>1856.05</x:v>
      </x:c>
      <x:c r="H1874" s="23" t="n">
        <x:v>0.00009080809564307683</x:v>
      </x:c>
      <x:c r="I1874" s="23" t="n">
        <x:v>0.9163368194233504</x:v>
      </x:c>
      <x:c r="J1874" s="2" t="n">
        <x:v>150</x:v>
      </x:c>
      <x:c r="K1874" s="2"/>
      <x:c r="L1874" s="2"/>
    </x:row>
    <x:row r="1875" ht="22" customHeight="1">
      <x:c r="A1875" s="2"/>
      <x:c r="B1875" s="2" t="n">
        <x:v>1842</x:v>
      </x:c>
      <x:c r="C1875" s="2" t="str">
        <x:v>21613</x:v>
      </x:c>
      <x:c r="D1875" s="2" t="str">
        <x:v>S/12 VANILLA  BOTANICAL T-LIGHTS</x:v>
      </x:c>
      <x:c r="E1875" s="11" t="n">
        <x:v>1861.4500000000003</x:v>
      </x:c>
      <x:c r="F1875" s="11" t="n">
        <x:v>0</x:v>
      </x:c>
      <x:c r="G1875" s="11" t="n">
        <x:v>1861.4500000000003</x:v>
      </x:c>
      <x:c r="H1875" s="23" t="n">
        <x:v>0.00009065322859484478</x:v>
      </x:c>
      <x:c r="I1875" s="23" t="n">
        <x:v>0.9164274726519452</x:v>
      </x:c>
      <x:c r="J1875" s="2" t="n">
        <x:v>145</x:v>
      </x:c>
      <x:c r="K1875" s="2"/>
      <x:c r="L1875" s="2"/>
    </x:row>
    <x:row r="1876" ht="22" customHeight="1">
      <x:c r="A1876" s="2"/>
      <x:c r="B1876" s="2" t="n">
        <x:v>1843</x:v>
      </x:c>
      <x:c r="C1876" s="2" t="str">
        <x:v>21287</x:v>
      </x:c>
      <x:c r="D1876" s="2" t="str">
        <x:v>SCENTED VELVET LOUNGE CANDLE </x:v>
      </x:c>
      <x:c r="E1876" s="11" t="n">
        <x:v>1860</x:v>
      </x:c>
      <x:c r="F1876" s="11" t="n">
        <x:v>0</x:v>
      </x:c>
      <x:c r="G1876" s="11" t="n">
        <x:v>1860</x:v>
      </x:c>
      <x:c r="H1876" s="23" t="n">
        <x:v>0.0000905826131168773</x:v>
      </x:c>
      <x:c r="I1876" s="23" t="n">
        <x:v>0.9165180552650621</x:v>
      </x:c>
      <x:c r="J1876" s="2" t="n">
        <x:v>93</x:v>
      </x:c>
      <x:c r="K1876" s="2"/>
      <x:c r="L1876" s="2"/>
    </x:row>
    <x:row r="1877" ht="22" customHeight="1">
      <x:c r="A1877" s="2"/>
      <x:c r="B1877" s="2" t="n">
        <x:v>1844</x:v>
      </x:c>
      <x:c r="C1877" s="2" t="str">
        <x:v>21677</x:v>
      </x:c>
      <x:c r="D1877" s="2" t="str">
        <x:v>HEARTS  STICKERS</x:v>
      </x:c>
      <x:c r="E1877" s="11" t="n">
        <x:v>1859.3799999999999</x:v>
      </x:c>
      <x:c r="F1877" s="11" t="n">
        <x:v>30.599999999999998</x:v>
      </x:c>
      <x:c r="G1877" s="11" t="n">
        <x:v>1828.78</x:v>
      </x:c>
      <x:c r="H1877" s="23" t="n">
        <x:v>0.00009055241891250501</x:v>
      </x:c>
      <x:c r="I1877" s="23" t="n">
        <x:v>0.9166086076839747</x:v>
      </x:c>
      <x:c r="J1877" s="2" t="n">
        <x:v>279</x:v>
      </x:c>
      <x:c r="K1877" s="2"/>
      <x:c r="L1877" s="2"/>
    </x:row>
    <x:row r="1878" ht="22" customHeight="1">
      <x:c r="A1878" s="2"/>
      <x:c r="B1878" s="2" t="n">
        <x:v>1845</x:v>
      </x:c>
      <x:c r="C1878" s="2" t="str">
        <x:v>22686</x:v>
      </x:c>
      <x:c r="D1878" s="2" t="str">
        <x:v>FRENCH BLUE METAL DOOR SIGN No</x:v>
      </x:c>
      <x:c r="E1878" s="11" t="n">
        <x:v>1857.39</x:v>
      </x:c>
      <x:c r="F1878" s="11" t="n">
        <x:v>30</x:v>
      </x:c>
      <x:c r="G1878" s="11" t="n">
        <x:v>1827.39</x:v>
      </x:c>
      <x:c r="H1878" s="23" t="n">
        <x:v>0.00009045550525653588</x:v>
      </x:c>
      <x:c r="I1878" s="23" t="n">
        <x:v>0.9166990631892312</x:v>
      </x:c>
      <x:c r="J1878" s="2" t="n">
        <x:v>221</x:v>
      </x:c>
      <x:c r="K1878" s="2"/>
      <x:c r="L1878" s="2"/>
    </x:row>
    <x:row r="1879" ht="22" customHeight="1">
      <x:c r="A1879" s="2"/>
      <x:c r="B1879" s="2" t="n">
        <x:v>1846</x:v>
      </x:c>
      <x:c r="C1879" s="2" t="str">
        <x:v>20772</x:v>
      </x:c>
      <x:c r="D1879" s="2" t="str">
        <x:v>GARDEN PATH JOURNAL</x:v>
      </x:c>
      <x:c r="E1879" s="11" t="n">
        <x:v>1851.28</x:v>
      </x:c>
      <x:c r="F1879" s="11" t="n">
        <x:v>320.25000000000006</x:v>
      </x:c>
      <x:c r="G1879" s="11" t="n">
        <x:v>1531.03</x:v>
      </x:c>
      <x:c r="H1879" s="23" t="n">
        <x:v>0.0000901579462424799</x:v>
      </x:c>
      <x:c r="I1879" s="23" t="n">
        <x:v>0.9167892211354737</x:v>
      </x:c>
      <x:c r="J1879" s="2" t="n">
        <x:v>161</x:v>
      </x:c>
      <x:c r="K1879" s="2"/>
      <x:c r="L1879" s="2"/>
    </x:row>
    <x:row r="1880" ht="22" customHeight="1">
      <x:c r="A1880" s="2"/>
      <x:c r="B1880" s="2" t="n">
        <x:v>1847</x:v>
      </x:c>
      <x:c r="C1880" s="2" t="str">
        <x:v>22587</x:v>
      </x:c>
      <x:c r="D1880" s="2" t="str">
        <x:v>FELTCRAFT HAIRBAND RED AND BLUE</x:v>
      </x:c>
      <x:c r="E1880" s="11" t="n">
        <x:v>1850.54</x:v>
      </x:c>
      <x:c r="F1880" s="11" t="n">
        <x:v>0</x:v>
      </x:c>
      <x:c r="G1880" s="11" t="n">
        <x:v>1850.54</x:v>
      </x:c>
      <x:c r="H1880" s="23" t="n">
        <x:v>0.00009012190799855169</x:v>
      </x:c>
      <x:c r="I1880" s="23" t="n">
        <x:v>0.9168793430434722</x:v>
      </x:c>
      <x:c r="J1880" s="2" t="n">
        <x:v>308</x:v>
      </x:c>
      <x:c r="K1880" s="2"/>
      <x:c r="L1880" s="2"/>
    </x:row>
    <x:row r="1881" ht="22" customHeight="1">
      <x:c r="A1881" s="2"/>
      <x:c r="B1881" s="2" t="n">
        <x:v>1848</x:v>
      </x:c>
      <x:c r="C1881" s="2" t="str">
        <x:v>21547</x:v>
      </x:c>
      <x:c r="D1881" s="2" t="str">
        <x:v>CERAMIC BIRDHOUSE CRESTED TIT SMALL</x:v>
      </x:c>
      <x:c r="E1881" s="11" t="n">
        <x:v>1848.4700000000003</x:v>
      </x:c>
      <x:c r="F1881" s="11" t="n">
        <x:v>5.9</x:v>
      </x:c>
      <x:c r="G1881" s="11" t="n">
        <x:v>1842.5700000000002</x:v>
      </x:c>
      <x:c r="H1881" s="23" t="n">
        <x:v>0.00009002109831621194</x:v>
      </x:c>
      <x:c r="I1881" s="23" t="n">
        <x:v>0.9169693641417884</x:v>
      </x:c>
      <x:c r="J1881" s="2" t="n">
        <x:v>119</x:v>
      </x:c>
      <x:c r="K1881" s="2"/>
      <x:c r="L1881" s="2"/>
    </x:row>
    <x:row r="1882" ht="22" customHeight="1">
      <x:c r="A1882" s="2"/>
      <x:c r="B1882" s="2" t="n">
        <x:v>1849</x:v>
      </x:c>
      <x:c r="C1882" s="2" t="str">
        <x:v>84797B</x:v>
      </x:c>
      <x:c r="D1882" s="2" t="str">
        <x:v>Donated to The Food Chain charity</x:v>
      </x:c>
      <x:c r="E1882" s="11" t="n">
        <x:v>1845.2</x:v>
      </x:c>
      <x:c r="F1882" s="11" t="n">
        <x:v>33.9</x:v>
      </x:c>
      <x:c r="G1882" s="11" t="n">
        <x:v>1811.3000000000002</x:v>
      </x:c>
      <x:c r="H1882" s="23" t="n">
        <x:v>0.00008986184823831291</x:v>
      </x:c>
      <x:c r="I1882" s="23" t="n">
        <x:v>0.9170592259900268</x:v>
      </x:c>
      <x:c r="J1882" s="2" t="n">
        <x:v>33</x:v>
      </x:c>
      <x:c r="K1882" s="2"/>
      <x:c r="L1882" s="2"/>
    </x:row>
    <x:row r="1883" ht="22" customHeight="1">
      <x:c r="A1883" s="2"/>
      <x:c r="B1883" s="2" t="n">
        <x:v>1850</x:v>
      </x:c>
      <x:c r="C1883" s="2" t="str">
        <x:v>21894</x:v>
      </x:c>
      <x:c r="D1883" s="2" t="str">
        <x:v>POTTING SHED SEED ENVELOPES</x:v>
      </x:c>
      <x:c r="E1883" s="11" t="n">
        <x:v>1844.89</x:v>
      </x:c>
      <x:c r="F1883" s="11" t="n">
        <x:v>0</x:v>
      </x:c>
      <x:c r="G1883" s="11" t="n">
        <x:v>1844.89</x:v>
      </x:c>
      <x:c r="H1883" s="23" t="n">
        <x:v>0.00008984675113612676</x:v>
      </x:c>
      <x:c r="I1883" s="23" t="n">
        <x:v>0.9171490727411629</x:v>
      </x:c>
      <x:c r="J1883" s="2" t="n">
        <x:v>247</x:v>
      </x:c>
      <x:c r="K1883" s="2"/>
      <x:c r="L1883" s="2"/>
    </x:row>
    <x:row r="1884" ht="22" customHeight="1">
      <x:c r="A1884" s="2"/>
      <x:c r="B1884" s="2" t="n">
        <x:v>1851</x:v>
      </x:c>
      <x:c r="C1884" s="2" t="str">
        <x:v>23378</x:v>
      </x:c>
      <x:c r="D1884" s="2" t="str">
        <x:v>PACK OF 12 50'S CHRISTMAS TISSUES</x:v>
      </x:c>
      <x:c r="E1884" s="11" t="n">
        <x:v>1842.42</x:v>
      </x:c>
      <x:c r="F1884" s="11" t="n">
        <x:v>0</x:v>
      </x:c>
      <x:c r="G1884" s="11" t="n">
        <x:v>1842.42</x:v>
      </x:c>
      <x:c r="H1884" s="23" t="n">
        <x:v>0.00008972646132193393</x:v>
      </x:c>
      <x:c r="I1884" s="23" t="n">
        <x:v>0.9172387992024847</x:v>
      </x:c>
      <x:c r="J1884" s="2" t="n">
        <x:v>176</x:v>
      </x:c>
      <x:c r="K1884" s="2"/>
      <x:c r="L1884" s="2"/>
    </x:row>
    <x:row r="1885" ht="22" customHeight="1">
      <x:c r="A1885" s="2"/>
      <x:c r="B1885" s="2" t="n">
        <x:v>1852</x:v>
      </x:c>
      <x:c r="C1885" s="2" t="str">
        <x:v>85162C</x:v>
      </x:c>
      <x:c r="D1885" s="2" t="str">
        <x:v>WHITE RETRODISC LAMPSHADE</x:v>
      </x:c>
      <x:c r="E1885" s="11" t="n">
        <x:v>1841.7</x:v>
      </x:c>
      <x:c r="F1885" s="11" t="n">
        <x:v>0</x:v>
      </x:c>
      <x:c r="G1885" s="11" t="n">
        <x:v>1841.7</x:v>
      </x:c>
      <x:c r="H1885" s="23" t="n">
        <x:v>0.00008969139708459835</x:v>
      </x:c>
      <x:c r="I1885" s="23" t="n">
        <x:v>0.9173284905995693</x:v>
      </x:c>
      <x:c r="J1885" s="2" t="n">
        <x:v>46</x:v>
      </x:c>
      <x:c r="K1885" s="2"/>
      <x:c r="L1885" s="2"/>
    </x:row>
    <x:row r="1886" ht="22" customHeight="1">
      <x:c r="A1886" s="2"/>
      <x:c r="B1886" s="2" t="n">
        <x:v>1853</x:v>
      </x:c>
      <x:c r="C1886" s="2" t="str">
        <x:v>21391</x:v>
      </x:c>
      <x:c r="D1886" s="2" t="str">
        <x:v>FRENCH LAVENDER SCENT HEART</x:v>
      </x:c>
      <x:c r="E1886" s="11" t="n">
        <x:v>1839.64</x:v>
      </x:c>
      <x:c r="F1886" s="11" t="n">
        <x:v>6.300000000000001</x:v>
      </x:c>
      <x:c r="G1886" s="11" t="n">
        <x:v>1833.3400000000001</x:v>
      </x:c>
      <x:c r="H1886" s="23" t="n">
        <x:v>0.00008959107440555494</x:v>
      </x:c>
      <x:c r="I1886" s="23" t="n">
        <x:v>0.9174180816739749</x:v>
      </x:c>
      <x:c r="J1886" s="2" t="n">
        <x:v>175</x:v>
      </x:c>
      <x:c r="K1886" s="2"/>
      <x:c r="L1886" s="2"/>
    </x:row>
    <x:row r="1887" ht="22" customHeight="1">
      <x:c r="A1887" s="2"/>
      <x:c r="B1887" s="2" t="n">
        <x:v>1854</x:v>
      </x:c>
      <x:c r="C1887" s="2" t="str">
        <x:v>21357</x:v>
      </x:c>
      <x:c r="D1887" s="2" t="str">
        <x:v>TOAST ITS - DINOSAUR</x:v>
      </x:c>
      <x:c r="E1887" s="11" t="n">
        <x:v>1836.51</x:v>
      </x:c>
      <x:c r="F1887" s="11" t="n">
        <x:v>60</x:v>
      </x:c>
      <x:c r="G1887" s="11" t="n">
        <x:v>1776.51</x:v>
      </x:c>
      <x:c r="H1887" s="23" t="n">
        <x:v>0.00008943864237380449</x:v>
      </x:c>
      <x:c r="I1887" s="23" t="n">
        <x:v>0.9175075203163486</x:v>
      </x:c>
      <x:c r="J1887" s="2" t="n">
        <x:v>211</x:v>
      </x:c>
      <x:c r="K1887" s="2"/>
      <x:c r="L1887" s="2"/>
    </x:row>
    <x:row r="1888" ht="22" customHeight="1">
      <x:c r="A1888" s="2"/>
      <x:c r="B1888" s="2" t="n">
        <x:v>1855</x:v>
      </x:c>
      <x:c r="C1888" s="2" t="str">
        <x:v>22317</x:v>
      </x:c>
      <x:c r="D1888" s="2" t="str">
        <x:v>FIVE CATS HANGING DECORATION</x:v>
      </x:c>
      <x:c r="E1888" s="11" t="n">
        <x:v>1836.4900000000002</x:v>
      </x:c>
      <x:c r="F1888" s="11" t="n">
        <x:v>0</x:v>
      </x:c>
      <x:c r="G1888" s="11" t="n">
        <x:v>1836.4900000000002</x:v>
      </x:c>
      <x:c r="H1888" s="23" t="n">
        <x:v>0.00008943766836721184</x:v>
      </x:c>
      <x:c r="I1888" s="23" t="n">
        <x:v>0.9175969579847159</x:v>
      </x:c>
      <x:c r="J1888" s="2" t="n">
        <x:v>167</x:v>
      </x:c>
      <x:c r="K1888" s="2"/>
      <x:c r="L1888" s="2"/>
    </x:row>
    <x:row r="1889" ht="22" customHeight="1">
      <x:c r="A1889" s="2"/>
      <x:c r="B1889" s="2" t="n">
        <x:v>1856</x:v>
      </x:c>
      <x:c r="C1889" s="2" t="str">
        <x:v>21618</x:v>
      </x:c>
      <x:c r="D1889" s="2" t="str">
        <x:v>4 WILDFLOWER BOTANICAL CANDLES</x:v>
      </x:c>
      <x:c r="E1889" s="11" t="n">
        <x:v>1826.24</x:v>
      </x:c>
      <x:c r="F1889" s="11" t="n">
        <x:v>0</x:v>
      </x:c>
      <x:c r="G1889" s="11" t="n">
        <x:v>1826.24</x:v>
      </x:c>
      <x:c r="H1889" s="23" t="n">
        <x:v>0.00008893848998847636</x:v>
      </x:c>
      <x:c r="I1889" s="23" t="n">
        <x:v>0.9176858964747043</x:v>
      </x:c>
      <x:c r="J1889" s="2" t="n">
        <x:v>139</x:v>
      </x:c>
      <x:c r="K1889" s="2"/>
      <x:c r="L1889" s="2"/>
    </x:row>
    <x:row r="1890" ht="22" customHeight="1">
      <x:c r="A1890" s="2"/>
      <x:c r="B1890" s="2" t="n">
        <x:v>1857</x:v>
      </x:c>
      <x:c r="C1890" s="2" t="str">
        <x:v>85173</x:v>
      </x:c>
      <x:c r="D1890" s="2" t="str">
        <x:v>SET/6 FROG PRINCE T-LIGHT CANDLES</x:v>
      </x:c>
      <x:c r="E1890" s="11" t="n">
        <x:v>1826.07</x:v>
      </x:c>
      <x:c r="F1890" s="11" t="n">
        <x:v>12.75</x:v>
      </x:c>
      <x:c r="G1890" s="11" t="n">
        <x:v>1813.32</x:v>
      </x:c>
      <x:c r="H1890" s="23" t="n">
        <x:v>0.00008893021093243878</x:v>
      </x:c>
      <x:c r="I1890" s="23" t="n">
        <x:v>0.9177748266856368</x:v>
      </x:c>
      <x:c r="J1890" s="2" t="n">
        <x:v>150</x:v>
      </x:c>
      <x:c r="K1890" s="2"/>
      <x:c r="L1890" s="2"/>
    </x:row>
    <x:row r="1891" ht="22" customHeight="1">
      <x:c r="A1891" s="2"/>
      <x:c r="B1891" s="2" t="n">
        <x:v>1858</x:v>
      </x:c>
      <x:c r="C1891" s="2" t="str">
        <x:v>85164B</x:v>
      </x:c>
      <x:c r="D1891" s="2" t="str">
        <x:v>BLACK BAROQUE CUCKOO CLOCK</x:v>
      </x:c>
      <x:c r="E1891" s="11" t="n">
        <x:v>1825.1799999999998</x:v>
      </x:c>
      <x:c r="F1891" s="11" t="n">
        <x:v>12.75</x:v>
      </x:c>
      <x:c r="G1891" s="11" t="n">
        <x:v>1812.4299999999998</x:v>
      </x:c>
      <x:c r="H1891" s="23" t="n">
        <x:v>0.00008888686763906564</x:v>
      </x:c>
      <x:c r="I1891" s="23" t="n">
        <x:v>0.9178637135532759</x:v>
      </x:c>
      <x:c r="J1891" s="2" t="n">
        <x:v>65</x:v>
      </x:c>
      <x:c r="K1891" s="2"/>
      <x:c r="L1891" s="2"/>
    </x:row>
    <x:row r="1892" ht="22" customHeight="1">
      <x:c r="A1892" s="2"/>
      <x:c r="B1892" s="2" t="n">
        <x:v>1859</x:v>
      </x:c>
      <x:c r="C1892" s="2" t="str">
        <x:v>21529</x:v>
      </x:c>
      <x:c r="D1892" s="2" t="str">
        <x:v>RED RETROSPOT TOASTRACK</x:v>
      </x:c>
      <x:c r="E1892" s="11" t="n">
        <x:v>1824.9400000000003</x:v>
      </x:c>
      <x:c r="F1892" s="11" t="n">
        <x:v>27.6</x:v>
      </x:c>
      <x:c r="G1892" s="11" t="n">
        <x:v>1797.3400000000001</x:v>
      </x:c>
      <x:c r="H1892" s="23" t="n">
        <x:v>0.00008887517955995381</x:v>
      </x:c>
      <x:c r="I1892" s="23" t="n">
        <x:v>0.9179525887328358</x:v>
      </x:c>
      <x:c r="J1892" s="2" t="n">
        <x:v>152</x:v>
      </x:c>
      <x:c r="K1892" s="2"/>
      <x:c r="L1892" s="2"/>
    </x:row>
    <x:row r="1893" ht="22" customHeight="1">
      <x:c r="A1893" s="2"/>
      <x:c r="B1893" s="2" t="n">
        <x:v>1860</x:v>
      </x:c>
      <x:c r="C1893" s="2" t="str">
        <x:v>84327A</x:v>
      </x:c>
      <x:c r="D1893" s="2" t="str">
        <x:v>PINK JUMPER LARRY THE LAMB</x:v>
      </x:c>
      <x:c r="E1893" s="11" t="n">
        <x:v>1824.47</x:v>
      </x:c>
      <x:c r="F1893" s="11" t="n">
        <x:v>6.76</x:v>
      </x:c>
      <x:c r="G1893" s="11" t="n">
        <x:v>1817.71</x:v>
      </x:c>
      <x:c r="H1893" s="23" t="n">
        <x:v>0.00008885229040502642</x:v>
      </x:c>
      <x:c r="I1893" s="23" t="n">
        <x:v>0.9180414410232408</x:v>
      </x:c>
      <x:c r="J1893" s="2" t="n">
        <x:v>123</x:v>
      </x:c>
      <x:c r="K1893" s="2"/>
      <x:c r="L1893" s="2"/>
    </x:row>
    <x:row r="1894" ht="22" customHeight="1">
      <x:c r="A1894" s="2"/>
      <x:c r="B1894" s="2" t="n">
        <x:v>1861</x:v>
      </x:c>
      <x:c r="C1894" s="2" t="str">
        <x:v>22680</x:v>
      </x:c>
      <x:c r="D1894" s="2" t="str">
        <x:v>FRENCH BLUE METAL DOOR SIGN 5</x:v>
      </x:c>
      <x:c r="E1894" s="11" t="n">
        <x:v>1824.2</x:v>
      </x:c>
      <x:c r="F1894" s="11" t="n">
        <x:v>37.5</x:v>
      </x:c>
      <x:c r="G1894" s="11" t="n">
        <x:v>1786.7</x:v>
      </x:c>
      <x:c r="H1894" s="23" t="n">
        <x:v>0.00008883914131602558</x:v>
      </x:c>
      <x:c r="I1894" s="23" t="n">
        <x:v>0.9181302801645569</x:v>
      </x:c>
      <x:c r="J1894" s="2" t="n">
        <x:v>230</x:v>
      </x:c>
      <x:c r="K1894" s="2"/>
      <x:c r="L1894" s="2"/>
    </x:row>
    <x:row r="1895" ht="22" customHeight="1">
      <x:c r="A1895" s="2"/>
      <x:c r="B1895" s="2" t="n">
        <x:v>1862</x:v>
      </x:c>
      <x:c r="C1895" s="2" t="str">
        <x:v>23148</x:v>
      </x:c>
      <x:c r="D1895" s="2" t="str">
        <x:v>MINIATURE ANTIQUE ROSE HOOK IVORY</x:v>
      </x:c>
      <x:c r="E1895" s="11" t="n">
        <x:v>1820.4599999999998</x:v>
      </x:c>
      <x:c r="F1895" s="11" t="n">
        <x:v>10.79</x:v>
      </x:c>
      <x:c r="G1895" s="11" t="n">
        <x:v>1809.6699999999998</x:v>
      </x:c>
      <x:c r="H1895" s="23" t="n">
        <x:v>0.00008865700208319916</x:v>
      </x:c>
      <x:c r="I1895" s="23" t="n">
        <x:v>0.91821893716664</x:v>
      </x:c>
      <x:c r="J1895" s="2" t="n">
        <x:v>247</x:v>
      </x:c>
      <x:c r="K1895" s="2"/>
      <x:c r="L1895" s="2"/>
    </x:row>
    <x:row r="1896" ht="22" customHeight="1">
      <x:c r="A1896" s="2"/>
      <x:c r="B1896" s="2" t="n">
        <x:v>1863</x:v>
      </x:c>
      <x:c r="C1896" s="2" t="str">
        <x:v>22586</x:v>
      </x:c>
      <x:c r="D1896" s="2" t="str">
        <x:v>FELTCRAFT HAIRBAND PINK AND BLUE</x:v>
      </x:c>
      <x:c r="E1896" s="11" t="n">
        <x:v>1818.54</x:v>
      </x:c>
      <x:c r="F1896" s="11" t="n">
        <x:v>40.8</x:v>
      </x:c>
      <x:c r="G1896" s="11" t="n">
        <x:v>1777.7399999999998</x:v>
      </x:c>
      <x:c r="H1896" s="23" t="n">
        <x:v>0.00008856349745030434</x:v>
      </x:c>
      <x:c r="I1896" s="23" t="n">
        <x:v>0.9183075006640904</x:v>
      </x:c>
      <x:c r="J1896" s="2" t="n">
        <x:v>295</x:v>
      </x:c>
      <x:c r="K1896" s="2"/>
      <x:c r="L1896" s="2"/>
    </x:row>
    <x:row r="1897" ht="22" customHeight="1">
      <x:c r="A1897" s="2"/>
      <x:c r="B1897" s="2" t="n">
        <x:v>1864</x:v>
      </x:c>
      <x:c r="C1897" s="2" t="str">
        <x:v>21088</x:v>
      </x:c>
      <x:c r="D1897" s="2" t="str">
        <x:v>SET/6 FRUIT SALAD PAPER CUPS</x:v>
      </x:c>
      <x:c r="E1897" s="11" t="n">
        <x:v>1816.73</x:v>
      </x:c>
      <x:c r="F1897" s="11" t="n">
        <x:v>572.52</x:v>
      </x:c>
      <x:c r="G1897" s="11" t="n">
        <x:v>1244.21</x:v>
      </x:c>
      <x:c r="H1897" s="23" t="n">
        <x:v>0.00008847534985366909</x:v>
      </x:c>
      <x:c r="I1897" s="23" t="n">
        <x:v>0.9183959760139441</x:v>
      </x:c>
      <x:c r="J1897" s="2" t="n">
        <x:v>136</x:v>
      </x:c>
      <x:c r="K1897" s="2"/>
      <x:c r="L1897" s="2"/>
    </x:row>
    <x:row r="1898" ht="22" customHeight="1">
      <x:c r="A1898" s="2"/>
      <x:c r="B1898" s="2" t="n">
        <x:v>1865</x:v>
      </x:c>
      <x:c r="C1898" s="2" t="str">
        <x:v>22307</x:v>
      </x:c>
      <x:c r="D1898" s="2" t="str">
        <x:v>GOLD MUG BONE CHINA TREE OF LIFE</x:v>
      </x:c>
      <x:c r="E1898" s="11" t="n">
        <x:v>1815.81</x:v>
      </x:c>
      <x:c r="F1898" s="11" t="n">
        <x:v>49.8</x:v>
      </x:c>
      <x:c r="G1898" s="11" t="n">
        <x:v>1766.01</x:v>
      </x:c>
      <x:c r="H1898" s="23" t="n">
        <x:v>0.00008843054555040698</x:v>
      </x:c>
      <x:c r="I1898" s="23" t="n">
        <x:v>0.9184844065594945</x:v>
      </x:c>
      <x:c r="J1898" s="2" t="n">
        <x:v>118</x:v>
      </x:c>
      <x:c r="K1898" s="2"/>
      <x:c r="L1898" s="2"/>
    </x:row>
    <x:row r="1899" ht="22" customHeight="1">
      <x:c r="A1899" s="2"/>
      <x:c r="B1899" s="2" t="n">
        <x:v>1866</x:v>
      </x:c>
      <x:c r="C1899" s="2" t="str">
        <x:v>21384</x:v>
      </x:c>
      <x:c r="D1899" s="2" t="str">
        <x:v>IVORY HANGING DECORATION  BUTTERFLY</x:v>
      </x:c>
      <x:c r="E1899" s="11" t="n">
        <x:v>1815.29</x:v>
      </x:c>
      <x:c r="F1899" s="11" t="n">
        <x:v>0</x:v>
      </x:c>
      <x:c r="G1899" s="11" t="n">
        <x:v>1815.29</x:v>
      </x:c>
      <x:c r="H1899" s="23" t="n">
        <x:v>0.00008840522137899796</x:v>
      </x:c>
      <x:c r="I1899" s="23" t="n">
        <x:v>0.9185728117808735</x:v>
      </x:c>
      <x:c r="J1899" s="2" t="n">
        <x:v>150</x:v>
      </x:c>
      <x:c r="K1899" s="2"/>
      <x:c r="L1899" s="2"/>
    </x:row>
    <x:row r="1900" ht="22" customHeight="1">
      <x:c r="A1900" s="2"/>
      <x:c r="B1900" s="2" t="n">
        <x:v>1867</x:v>
      </x:c>
      <x:c r="C1900" s="2" t="str">
        <x:v>21761</x:v>
      </x:c>
      <x:c r="D1900" s="2" t="str">
        <x:v>WOOD AND GLASS MEDICINE CABINET</x:v>
      </x:c>
      <x:c r="E1900" s="11" t="n">
        <x:v>1814.75</x:v>
      </x:c>
      <x:c r="F1900" s="11" t="n">
        <x:v>29.95</x:v>
      </x:c>
      <x:c r="G1900" s="11" t="n">
        <x:v>1784.8</x:v>
      </x:c>
      <x:c r="H1900" s="23" t="n">
        <x:v>0.00008837892320099628</x:v>
      </x:c>
      <x:c r="I1900" s="23" t="n">
        <x:v>0.9186611907040745</x:v>
      </x:c>
      <x:c r="J1900" s="2" t="n">
        <x:v>24</x:v>
      </x:c>
      <x:c r="K1900" s="2"/>
      <x:c r="L1900" s="2"/>
    </x:row>
    <x:row r="1901" ht="22" customHeight="1">
      <x:c r="A1901" s="2"/>
      <x:c r="B1901" s="2" t="n">
        <x:v>1868</x:v>
      </x:c>
      <x:c r="C1901" s="2" t="str">
        <x:v>23160</x:v>
      </x:c>
      <x:c r="D1901" s="2" t="str">
        <x:v>REGENCY TEA SPOON</x:v>
      </x:c>
      <x:c r="E1901" s="11" t="n">
        <x:v>1809.48</x:v>
      </x:c>
      <x:c r="F1901" s="11" t="n">
        <x:v>7.5</x:v>
      </x:c>
      <x:c r="G1901" s="11" t="n">
        <x:v>1801.98</x:v>
      </x:c>
      <x:c r="H1901" s="23" t="n">
        <x:v>0.0000881222724638318</x:v>
      </x:c>
      <x:c r="I1901" s="23" t="n">
        <x:v>0.9187493129765383</x:v>
      </x:c>
      <x:c r="J1901" s="2" t="n">
        <x:v>76</x:v>
      </x:c>
      <x:c r="K1901" s="2"/>
      <x:c r="L1901" s="2"/>
    </x:row>
    <x:row r="1902" ht="22" customHeight="1">
      <x:c r="A1902" s="2"/>
      <x:c r="B1902" s="2" t="n">
        <x:v>1869</x:v>
      </x:c>
      <x:c r="C1902" s="2" t="str">
        <x:v>21161</x:v>
      </x:c>
      <x:c r="D1902" s="2" t="str">
        <x:v>KEEP OUT BOYS DOOR HANGER </x:v>
      </x:c>
      <x:c r="E1902" s="11" t="n">
        <x:v>1808.95</x:v>
      </x:c>
      <x:c r="F1902" s="11" t="n">
        <x:v>47.66</x:v>
      </x:c>
      <x:c r="G1902" s="11" t="n">
        <x:v>1761.29</x:v>
      </x:c>
      <x:c r="H1902" s="23" t="n">
        <x:v>0.00008809646128912646</x:v>
      </x:c>
      <x:c r="I1902" s="23" t="n">
        <x:v>0.9188374094378274</x:v>
      </x:c>
      <x:c r="J1902" s="2" t="n">
        <x:v>206</x:v>
      </x:c>
      <x:c r="K1902" s="2"/>
      <x:c r="L1902" s="2"/>
    </x:row>
    <x:row r="1903" ht="22" customHeight="1">
      <x:c r="A1903" s="2"/>
      <x:c r="B1903" s="2" t="n">
        <x:v>1870</x:v>
      </x:c>
      <x:c r="C1903" s="2" t="str">
        <x:v>21548</x:v>
      </x:c>
      <x:c r="D1903" s="2" t="str">
        <x:v>CERAMIC BIRDHOUSE FINCH BLUE ROOF</x:v>
      </x:c>
      <x:c r="E1903" s="11" t="n">
        <x:v>1802.67</x:v>
      </x:c>
      <x:c r="F1903" s="11" t="n">
        <x:v>44.25</x:v>
      </x:c>
      <x:c r="G1903" s="11" t="n">
        <x:v>1758.42</x:v>
      </x:c>
      <x:c r="H1903" s="23" t="n">
        <x:v>0.00008779062321903291</x:v>
      </x:c>
      <x:c r="I1903" s="23" t="n">
        <x:v>0.9189252000610465</x:v>
      </x:c>
      <x:c r="J1903" s="2" t="n">
        <x:v>107</x:v>
      </x:c>
      <x:c r="K1903" s="2"/>
      <x:c r="L1903" s="2"/>
    </x:row>
    <x:row r="1904" ht="22" customHeight="1">
      <x:c r="A1904" s="2"/>
      <x:c r="B1904" s="2" t="n">
        <x:v>1871</x:v>
      </x:c>
      <x:c r="C1904" s="2" t="str">
        <x:v>90167</x:v>
      </x:c>
      <x:c r="D1904" s="2" t="str">
        <x:v>BEADED LOVE HEART JEWELLERY SET</x:v>
      </x:c>
      <x:c r="E1904" s="11" t="n">
        <x:v>1801.1699999999998</x:v>
      </x:c>
      <x:c r="F1904" s="11" t="n">
        <x:v>217.55999999999997</x:v>
      </x:c>
      <x:c r="G1904" s="11" t="n">
        <x:v>1583.61</x:v>
      </x:c>
      <x:c r="H1904" s="23" t="n">
        <x:v>0.00008771757272458381</x:v>
      </x:c>
      <x:c r="I1904" s="23" t="n">
        <x:v>0.9190129176337711</x:v>
      </x:c>
      <x:c r="J1904" s="2" t="n">
        <x:v>111</x:v>
      </x:c>
      <x:c r="K1904" s="2"/>
      <x:c r="L1904" s="2"/>
    </x:row>
    <x:row r="1905" ht="22" customHeight="1">
      <x:c r="A1905" s="2"/>
      <x:c r="B1905" s="2" t="n">
        <x:v>1872</x:v>
      </x:c>
      <x:c r="C1905" s="2" t="str">
        <x:v>21280</x:v>
      </x:c>
      <x:c r="D1905" s="2" t="str">
        <x:v>VINTAGE KITCHEN PRINT VEGETABLES</x:v>
      </x:c>
      <x:c r="E1905" s="11" t="n">
        <x:v>1800.44</x:v>
      </x:c>
      <x:c r="F1905" s="11" t="n">
        <x:v>312</x:v>
      </x:c>
      <x:c r="G1905" s="11" t="n">
        <x:v>1488.44</x:v>
      </x:c>
      <x:c r="H1905" s="23" t="n">
        <x:v>0.00008768202148395192</x:v>
      </x:c>
      <x:c r="I1905" s="23" t="n">
        <x:v>0.919100599655255</x:v>
      </x:c>
      <x:c r="J1905" s="2" t="n">
        <x:v>70</x:v>
      </x:c>
      <x:c r="K1905" s="2"/>
      <x:c r="L1905" s="2"/>
    </x:row>
    <x:row r="1906" ht="22" customHeight="1">
      <x:c r="A1906" s="2"/>
      <x:c r="B1906" s="2" t="n">
        <x:v>1873</x:v>
      </x:c>
      <x:c r="C1906" s="2" t="str">
        <x:v>22770</x:v>
      </x:c>
      <x:c r="D1906" s="2" t="str">
        <x:v>MIRROR CORNICE</x:v>
      </x:c>
      <x:c r="E1906" s="11" t="n">
        <x:v>1799.62</x:v>
      </x:c>
      <x:c r="F1906" s="11" t="n">
        <x:v>104.64999999999999</x:v>
      </x:c>
      <x:c r="G1906" s="11" t="n">
        <x:v>1694.97</x:v>
      </x:c>
      <x:c r="H1906" s="23" t="n">
        <x:v>0.00008764208721365309</x:v>
      </x:c>
      <x:c r="I1906" s="23" t="n">
        <x:v>0.9191882417424687</x:v>
      </x:c>
      <x:c r="J1906" s="2" t="n">
        <x:v>71</x:v>
      </x:c>
      <x:c r="K1906" s="2"/>
      <x:c r="L1906" s="2"/>
    </x:row>
    <x:row r="1907" ht="22" customHeight="1">
      <x:c r="A1907" s="2"/>
      <x:c r="B1907" s="2" t="n">
        <x:v>1874</x:v>
      </x:c>
      <x:c r="C1907" s="2" t="str">
        <x:v>21158</x:v>
      </x:c>
      <x:c r="D1907" s="2" t="str">
        <x:v>MOODY GIRL DOOR HANGER </x:v>
      </x:c>
      <x:c r="E1907" s="11" t="n">
        <x:v>1797.51</x:v>
      </x:c>
      <x:c r="F1907" s="11" t="n">
        <x:v>38.17</x:v>
      </x:c>
      <x:c r="G1907" s="11" t="n">
        <x:v>1759.34</x:v>
      </x:c>
      <x:c r="H1907" s="23" t="n">
        <x:v>0.00008753932951812802</x:v>
      </x:c>
      <x:c r="I1907" s="23" t="n">
        <x:v>0.9192757810719868</x:v>
      </x:c>
      <x:c r="J1907" s="2" t="n">
        <x:v>310</x:v>
      </x:c>
      <x:c r="K1907" s="2"/>
      <x:c r="L1907" s="2"/>
    </x:row>
    <x:row r="1908" ht="22" customHeight="1">
      <x:c r="A1908" s="2"/>
      <x:c r="B1908" s="2" t="n">
        <x:v>1875</x:v>
      </x:c>
      <x:c r="C1908" s="2" t="str">
        <x:v>22324</x:v>
      </x:c>
      <x:c r="D1908" s="2" t="str">
        <x:v>BLUE POLKADOT KIDS BAG</x:v>
      </x:c>
      <x:c r="E1908" s="11" t="n">
        <x:v>1797.06</x:v>
      </x:c>
      <x:c r="F1908" s="11" t="n">
        <x:v>15.6</x:v>
      </x:c>
      <x:c r="G1908" s="11" t="n">
        <x:v>1781.46</x:v>
      </x:c>
      <x:c r="H1908" s="23" t="n">
        <x:v>0.0000875174143697933</x:v>
      </x:c>
      <x:c r="I1908" s="23" t="n">
        <x:v>0.9193632984863566</x:v>
      </x:c>
      <x:c r="J1908" s="2" t="n">
        <x:v>152</x:v>
      </x:c>
      <x:c r="K1908" s="2"/>
      <x:c r="L1908" s="2"/>
    </x:row>
    <x:row r="1909" ht="22" customHeight="1">
      <x:c r="A1909" s="2"/>
      <x:c r="B1909" s="2" t="n">
        <x:v>1876</x:v>
      </x:c>
      <x:c r="C1909" s="2" t="str">
        <x:v>84748</x:v>
      </x:c>
      <x:c r="D1909" s="2" t="str">
        <x:v>FOLK FELT HANGING MULTICOL GARLAND</x:v>
      </x:c>
      <x:c r="E1909" s="11" t="n">
        <x:v>1796.12</x:v>
      </x:c>
      <x:c r="F1909" s="11" t="n">
        <x:v>0</x:v>
      </x:c>
      <x:c r="G1909" s="11" t="n">
        <x:v>1796.12</x:v>
      </x:c>
      <x:c r="H1909" s="23" t="n">
        <x:v>0.00008747163605993853</x:v>
      </x:c>
      <x:c r="I1909" s="23" t="n">
        <x:v>0.9194507701224165</x:v>
      </x:c>
      <x:c r="J1909" s="2" t="n">
        <x:v>93</x:v>
      </x:c>
      <x:c r="K1909" s="2"/>
      <x:c r="L1909" s="2"/>
    </x:row>
    <x:row r="1910" ht="22" customHeight="1">
      <x:c r="A1910" s="2"/>
      <x:c r="B1910" s="2" t="n">
        <x:v>1877</x:v>
      </x:c>
      <x:c r="C1910" s="2" t="str">
        <x:v>22254</x:v>
      </x:c>
      <x:c r="D1910" s="2" t="str">
        <x:v>FELT TOADSTOOL LARGE</x:v>
      </x:c>
      <x:c r="E1910" s="11" t="n">
        <x:v>1793.46</x:v>
      </x:c>
      <x:c r="F1910" s="11" t="n">
        <x:v>90</x:v>
      </x:c>
      <x:c r="G1910" s="11" t="n">
        <x:v>1703.46</x:v>
      </x:c>
      <x:c r="H1910" s="23" t="n">
        <x:v>0.00008734209318311547</x:v>
      </x:c>
      <x:c r="I1910" s="23" t="n">
        <x:v>0.9195381122155996</x:v>
      </x:c>
      <x:c r="J1910" s="2" t="n">
        <x:v>148</x:v>
      </x:c>
      <x:c r="K1910" s="2"/>
      <x:c r="L1910" s="2"/>
    </x:row>
    <x:row r="1911" ht="22" customHeight="1">
      <x:c r="A1911" s="2"/>
      <x:c r="B1911" s="2" t="n">
        <x:v>1878</x:v>
      </x:c>
      <x:c r="C1911" s="2" t="str">
        <x:v>22103</x:v>
      </x:c>
      <x:c r="D1911" s="2" t="str">
        <x:v>MIRROR MOSAIC T-LIGHT HOLDER ROUND</x:v>
      </x:c>
      <x:c r="E1911" s="11" t="n">
        <x:v>1790.34</x:v>
      </x:c>
      <x:c r="F1911" s="11" t="n">
        <x:v>203.31</x:v>
      </x:c>
      <x:c r="G1911" s="11" t="n">
        <x:v>1587.03</x:v>
      </x:c>
      <x:c r="H1911" s="23" t="n">
        <x:v>0.00008719014815466135</x:v>
      </x:c>
      <x:c r="I1911" s="23" t="n">
        <x:v>0.9196253023637542</x:v>
      </x:c>
      <x:c r="J1911" s="2" t="n">
        <x:v>71</x:v>
      </x:c>
      <x:c r="K1911" s="2"/>
      <x:c r="L1911" s="2"/>
    </x:row>
    <x:row r="1912" ht="22" customHeight="1">
      <x:c r="A1912" s="2"/>
      <x:c r="B1912" s="2" t="n">
        <x:v>1879</x:v>
      </x:c>
      <x:c r="C1912" s="2" t="str">
        <x:v>22922</x:v>
      </x:c>
      <x:c r="D1912" s="2" t="str">
        <x:v>FRIDGE MAGNETS US DINER ASSORTED</x:v>
      </x:c>
      <x:c r="E1912" s="11" t="n">
        <x:v>1789.1999999999998</x:v>
      </x:c>
      <x:c r="F1912" s="11" t="n">
        <x:v>183.29999999999998</x:v>
      </x:c>
      <x:c r="G1912" s="11" t="n">
        <x:v>1605.8999999999999</x:v>
      </x:c>
      <x:c r="H1912" s="23" t="n">
        <x:v>0.00008713462977888003</x:v>
      </x:c>
      <x:c r="I1912" s="23" t="n">
        <x:v>0.919712436993533</x:v>
      </x:c>
      <x:c r="J1912" s="2" t="n">
        <x:v>113</x:v>
      </x:c>
      <x:c r="K1912" s="2"/>
      <x:c r="L1912" s="2"/>
    </x:row>
    <x:row r="1913" ht="22" customHeight="1">
      <x:c r="A1913" s="2"/>
      <x:c r="B1913" s="2" t="n">
        <x:v>1880</x:v>
      </x:c>
      <x:c r="C1913" s="2" t="str">
        <x:v>22533</x:v>
      </x:c>
      <x:c r="D1913" s="2" t="str">
        <x:v>MAGIC DRAWING SLATE BAKE A CAKE </x:v>
      </x:c>
      <x:c r="E1913" s="11" t="n">
        <x:v>1787.56</x:v>
      </x:c>
      <x:c r="F1913" s="11" t="n">
        <x:v>30.240000000000002</x:v>
      </x:c>
      <x:c r="G1913" s="11" t="n">
        <x:v>1757.32</x:v>
      </x:c>
      <x:c r="H1913" s="23" t="n">
        <x:v>0.00008705476123828237</x:v>
      </x:c>
      <x:c r="I1913" s="23" t="n">
        <x:v>0.9197994917547713</x:v>
      </x:c>
      <x:c r="J1913" s="2" t="n">
        <x:v>231</x:v>
      </x:c>
      <x:c r="K1913" s="2"/>
      <x:c r="L1913" s="2"/>
    </x:row>
    <x:row r="1914" ht="22" customHeight="1">
      <x:c r="A1914" s="2"/>
      <x:c r="B1914" s="2" t="n">
        <x:v>1881</x:v>
      </x:c>
      <x:c r="C1914" s="2" t="str">
        <x:v>23317</x:v>
      </x:c>
      <x:c r="D1914" s="2" t="str">
        <x:v>BLUE REFECTORY CLOCK </x:v>
      </x:c>
      <x:c r="E1914" s="11" t="n">
        <x:v>1787.4099999999999</x:v>
      </x:c>
      <x:c r="F1914" s="11" t="n">
        <x:v>0</x:v>
      </x:c>
      <x:c r="G1914" s="11" t="n">
        <x:v>1787.4099999999999</x:v>
      </x:c>
      <x:c r="H1914" s="23" t="n">
        <x:v>0.00008704745618883745</x:v>
      </x:c>
      <x:c r="I1914" s="23" t="n">
        <x:v>0.9198865392109601</x:v>
      </x:c>
      <x:c r="J1914" s="2" t="n">
        <x:v>82</x:v>
      </x:c>
      <x:c r="K1914" s="2"/>
      <x:c r="L1914" s="2"/>
    </x:row>
    <x:row r="1915" ht="22" customHeight="1">
      <x:c r="A1915" s="2"/>
      <x:c r="B1915" s="2" t="n">
        <x:v>1882</x:v>
      </x:c>
      <x:c r="C1915" s="2" t="str">
        <x:v>23057</x:v>
      </x:c>
      <x:c r="D1915" s="2" t="str">
        <x:v>rusty throw away</x:v>
      </x:c>
      <x:c r="E1915" s="11" t="n">
        <x:v>1783.52</x:v>
      </x:c>
      <x:c r="F1915" s="11" t="n">
        <x:v>636.15</x:v>
      </x:c>
      <x:c r="G1915" s="11" t="n">
        <x:v>1147.3700000000001</x:v>
      </x:c>
      <x:c r="H1915" s="23" t="n">
        <x:v>0.00008685801190656613</x:v>
      </x:c>
      <x:c r="I1915" s="23" t="n">
        <x:v>0.9199733972228666</x:v>
      </x:c>
      <x:c r="J1915" s="2" t="n">
        <x:v>45</x:v>
      </x:c>
      <x:c r="K1915" s="2"/>
      <x:c r="L1915" s="2"/>
    </x:row>
    <x:row r="1916" ht="22" customHeight="1">
      <x:c r="A1916" s="2"/>
      <x:c r="B1916" s="2" t="n">
        <x:v>1883</x:v>
      </x:c>
      <x:c r="C1916" s="2" t="str">
        <x:v>20729</x:v>
      </x:c>
      <x:c r="D1916" s="2" t="str">
        <x:v>RED SPOTTY CANDY BAG</x:v>
      </x:c>
      <x:c r="E1916" s="11" t="n">
        <x:v>1778.12</x:v>
      </x:c>
      <x:c r="F1916" s="11" t="n">
        <x:v>27.5</x:v>
      </x:c>
      <x:c r="G1916" s="11" t="n">
        <x:v>1750.62</x:v>
      </x:c>
      <x:c r="H1916" s="23" t="n">
        <x:v>0.00008659503012654939</x:v>
      </x:c>
      <x:c r="I1916" s="23" t="n">
        <x:v>0.9200599922529932</x:v>
      </x:c>
      <x:c r="J1916" s="2" t="n">
        <x:v>121</x:v>
      </x:c>
      <x:c r="K1916" s="2"/>
      <x:c r="L1916" s="2"/>
    </x:row>
    <x:row r="1917" ht="22" customHeight="1">
      <x:c r="A1917" s="2"/>
      <x:c r="B1917" s="2" t="n">
        <x:v>1884</x:v>
      </x:c>
      <x:c r="C1917" s="2" t="str">
        <x:v>79302M</x:v>
      </x:c>
      <x:c r="D1917" s="2" t="str">
        <x:v>ART LIGHTS,FUNK MONKEY</x:v>
      </x:c>
      <x:c r="E1917" s="11" t="n">
        <x:v>1774.18</x:v>
      </x:c>
      <x:c r="F1917" s="11" t="n">
        <x:v>2.95</x:v>
      </x:c>
      <x:c r="G1917" s="11" t="n">
        <x:v>1771.23</x:v>
      </x:c>
      <x:c r="H1917" s="23" t="n">
        <x:v>0.00008640315082779644</x:v>
      </x:c>
      <x:c r="I1917" s="23" t="n">
        <x:v>0.9201463954038209</x:v>
      </x:c>
      <x:c r="J1917" s="2" t="n">
        <x:v>107</x:v>
      </x:c>
      <x:c r="K1917" s="2"/>
      <x:c r="L1917" s="2"/>
    </x:row>
    <x:row r="1918" ht="22" customHeight="1">
      <x:c r="A1918" s="2"/>
      <x:c r="B1918" s="2" t="n">
        <x:v>1885</x:v>
      </x:c>
      <x:c r="C1918" s="2" t="str">
        <x:v>21163</x:v>
      </x:c>
      <x:c r="D1918" s="2" t="str">
        <x:v>DO NOT TOUCH MY STUFF DOOR HANGER </x:v>
      </x:c>
      <x:c r="E1918" s="11" t="n">
        <x:v>1769.24</x:v>
      </x:c>
      <x:c r="F1918" s="11" t="n">
        <x:v>46.01</x:v>
      </x:c>
      <x:c r="G1918" s="11" t="n">
        <x:v>1723.23</x:v>
      </x:c>
      <x:c r="H1918" s="23" t="n">
        <x:v>0.00008616257119941076</x:v>
      </x:c>
      <x:c r="I1918" s="23" t="n">
        <x:v>0.9202325579750203</x:v>
      </x:c>
      <x:c r="J1918" s="2" t="n">
        <x:v>253</x:v>
      </x:c>
      <x:c r="K1918" s="2"/>
      <x:c r="L1918" s="2"/>
    </x:row>
    <x:row r="1919" ht="22" customHeight="1">
      <x:c r="A1919" s="2"/>
      <x:c r="B1919" s="2" t="n">
        <x:v>1886</x:v>
      </x:c>
      <x:c r="C1919" s="2" t="str">
        <x:v>37343</x:v>
      </x:c>
      <x:c r="D1919" s="2" t="str">
        <x:v>damaged</x:v>
      </x:c>
      <x:c r="E1919" s="11" t="n">
        <x:v>1768.9399999999998</x:v>
      </x:c>
      <x:c r="F1919" s="11" t="n">
        <x:v>0</x:v>
      </x:c>
      <x:c r="G1919" s="11" t="n">
        <x:v>1768.9399999999998</x:v>
      </x:c>
      <x:c r="H1919" s="23" t="n">
        <x:v>0.00008614796110052093</x:v>
      </x:c>
      <x:c r="I1919" s="23" t="n">
        <x:v>0.9203187059361209</x:v>
      </x:c>
      <x:c r="J1919" s="2" t="n">
        <x:v>104</x:v>
      </x:c>
      <x:c r="K1919" s="2"/>
      <x:c r="L1919" s="2"/>
    </x:row>
    <x:row r="1920" ht="22" customHeight="1">
      <x:c r="A1920" s="2"/>
      <x:c r="B1920" s="2" t="n">
        <x:v>1887</x:v>
      </x:c>
      <x:c r="C1920" s="2" t="str">
        <x:v>84507B</x:v>
      </x:c>
      <x:c r="D1920" s="2" t="str">
        <x:v>STRIPES DESIGN MONKEY DOLL</x:v>
      </x:c>
      <x:c r="E1920" s="11" t="n">
        <x:v>1764.03</x:v>
      </x:c>
      <x:c r="F1920" s="11" t="n">
        <x:v>11.049999999999999</x:v>
      </x:c>
      <x:c r="G1920" s="11" t="n">
        <x:v>1752.9799999999998</x:v>
      </x:c>
      <x:c r="H1920" s="23" t="n">
        <x:v>0.00008590884248202424</x:v>
      </x:c>
      <x:c r="I1920" s="23" t="n">
        <x:v>0.9204046147786029</x:v>
      </x:c>
      <x:c r="J1920" s="2" t="n">
        <x:v>115</x:v>
      </x:c>
      <x:c r="K1920" s="2"/>
      <x:c r="L1920" s="2"/>
    </x:row>
    <x:row r="1921" ht="22" customHeight="1">
      <x:c r="A1921" s="2"/>
      <x:c r="B1921" s="2" t="n">
        <x:v>1888</x:v>
      </x:c>
      <x:c r="C1921" s="2" t="str">
        <x:v>21205</x:v>
      </x:c>
      <x:c r="D1921" s="2" t="str">
        <x:v>MULTICOLOUR 3D BALLS GARLAND</x:v>
      </x:c>
      <x:c r="E1921" s="11" t="n">
        <x:v>1762.27</x:v>
      </x:c>
      <x:c r="F1921" s="11" t="n">
        <x:v>53.55</x:v>
      </x:c>
      <x:c r="G1921" s="11" t="n">
        <x:v>1708.72</x:v>
      </x:c>
      <x:c r="H1921" s="23" t="n">
        <x:v>0.00008582312990187063</x:v>
      </x:c>
      <x:c r="I1921" s="23" t="n">
        <x:v>0.9204904379085048</x:v>
      </x:c>
      <x:c r="J1921" s="2" t="n">
        <x:v>144</x:v>
      </x:c>
      <x:c r="K1921" s="2"/>
      <x:c r="L1921" s="2"/>
    </x:row>
    <x:row r="1922" ht="22" customHeight="1">
      <x:c r="A1922" s="2"/>
      <x:c r="B1922" s="2" t="n">
        <x:v>1889</x:v>
      </x:c>
      <x:c r="C1922" s="2" t="str">
        <x:v>22422</x:v>
      </x:c>
      <x:c r="D1922" s="2" t="str">
        <x:v>TOOTHPASTE TUBE PEN</x:v>
      </x:c>
      <x:c r="E1922" s="11" t="n">
        <x:v>1762.24</x:v>
      </x:c>
      <x:c r="F1922" s="11" t="n">
        <x:v>15.600000000000001</x:v>
      </x:c>
      <x:c r="G1922" s="11" t="n">
        <x:v>1746.64</x:v>
      </x:c>
      <x:c r="H1922" s="23" t="n">
        <x:v>0.00008582166889198164</x:v>
      </x:c>
      <x:c r="I1922" s="23" t="n">
        <x:v>0.9205762595773967</x:v>
      </x:c>
      <x:c r="J1922" s="2" t="n">
        <x:v>354</x:v>
      </x:c>
      <x:c r="K1922" s="2"/>
      <x:c r="L1922" s="2"/>
    </x:row>
    <x:row r="1923" ht="22" customHeight="1">
      <x:c r="A1923" s="2"/>
      <x:c r="B1923" s="2" t="n">
        <x:v>1890</x:v>
      </x:c>
      <x:c r="C1923" s="2" t="str">
        <x:v>22546</x:v>
      </x:c>
      <x:c r="D1923" s="2" t="str">
        <x:v>MINI JIGSAW PURDEY</x:v>
      </x:c>
      <x:c r="E1923" s="11" t="n">
        <x:v>1762.06</x:v>
      </x:c>
      <x:c r="F1923" s="11" t="n">
        <x:v>0.42</x:v>
      </x:c>
      <x:c r="G1923" s="11" t="n">
        <x:v>1761.6399999999999</x:v>
      </x:c>
      <x:c r="H1923" s="23" t="n">
        <x:v>0.00008581290283264775</x:v>
      </x:c>
      <x:c r="I1923" s="23" t="n">
        <x:v>0.9206620724802294</x:v>
      </x:c>
      <x:c r="J1923" s="2" t="n">
        <x:v>181</x:v>
      </x:c>
      <x:c r="K1923" s="2"/>
      <x:c r="L1923" s="2"/>
    </x:row>
    <x:row r="1924" ht="22" customHeight="1">
      <x:c r="A1924" s="2"/>
      <x:c r="B1924" s="2" t="n">
        <x:v>1891</x:v>
      </x:c>
      <x:c r="C1924" s="2" t="str">
        <x:v>21652</x:v>
      </x:c>
      <x:c r="D1924" s="2" t="str">
        <x:v>damages</x:v>
      </x:c>
      <x:c r="E1924" s="11" t="n">
        <x:v>1761.59</x:v>
      </x:c>
      <x:c r="F1924" s="11" t="n">
        <x:v>40.949999999999996</x:v>
      </x:c>
      <x:c r="G1924" s="11" t="n">
        <x:v>1720.6399999999999</x:v>
      </x:c>
      <x:c r="H1924" s="23" t="n">
        <x:v>0.00008579001367772036</x:v>
      </x:c>
      <x:c r="I1924" s="23" t="n">
        <x:v>0.920747862493907</x:v>
      </x:c>
      <x:c r="J1924" s="2" t="n">
        <x:v>78</x:v>
      </x:c>
      <x:c r="K1924" s="2"/>
      <x:c r="L1924" s="2"/>
    </x:row>
    <x:row r="1925" ht="22" customHeight="1">
      <x:c r="A1925" s="2"/>
      <x:c r="B1925" s="2" t="n">
        <x:v>1892</x:v>
      </x:c>
      <x:c r="C1925" s="2" t="str">
        <x:v>47566b</x:v>
      </x:c>
      <x:c r="D1925" s="2" t="str">
        <x:v>TEA TIME PARTY BUNTING</x:v>
      </x:c>
      <x:c r="E1925" s="11" t="n">
        <x:v>1761.2599999999998</x:v>
      </x:c>
      <x:c r="F1925" s="11" t="n">
        <x:v>0</x:v>
      </x:c>
      <x:c r="G1925" s="11" t="n">
        <x:v>1761.2599999999998</x:v>
      </x:c>
      <x:c r="H1925" s="23" t="n">
        <x:v>0.00008577394256894157</x:v>
      </x:c>
      <x:c r="I1925" s="23" t="n">
        <x:v>0.920833636436476</x:v>
      </x:c>
      <x:c r="J1925" s="2" t="n">
        <x:v>113</x:v>
      </x:c>
      <x:c r="K1925" s="2"/>
      <x:c r="L1925" s="2"/>
    </x:row>
    <x:row r="1926" ht="22" customHeight="1">
      <x:c r="A1926" s="2"/>
      <x:c r="B1926" s="2" t="n">
        <x:v>1893</x:v>
      </x:c>
      <x:c r="C1926" s="2" t="str">
        <x:v>23096</x:v>
      </x:c>
      <x:c r="D1926" s="2" t="str">
        <x:v>PETIT TRAY CHIC</x:v>
      </x:c>
      <x:c r="E1926" s="11" t="n">
        <x:v>1759.7899999999997</x:v>
      </x:c>
      <x:c r="F1926" s="11" t="n">
        <x:v>0</x:v>
      </x:c>
      <x:c r="G1926" s="11" t="n">
        <x:v>1759.7899999999997</x:v>
      </x:c>
      <x:c r="H1926" s="23" t="n">
        <x:v>0.00008570235308438145</x:v>
      </x:c>
      <x:c r="I1926" s="23" t="n">
        <x:v>0.9209193387895603</x:v>
      </x:c>
      <x:c r="J1926" s="2" t="n">
        <x:v>146</x:v>
      </x:c>
      <x:c r="K1926" s="2"/>
      <x:c r="L1926" s="2"/>
    </x:row>
    <x:row r="1927" ht="22" customHeight="1">
      <x:c r="A1927" s="2"/>
      <x:c r="B1927" s="2" t="n">
        <x:v>1894</x:v>
      </x:c>
      <x:c r="C1927" s="2" t="str">
        <x:v>22209</x:v>
      </x:c>
      <x:c r="D1927" s="2" t="str">
        <x:v>WOOD STAMP SET HAPPY BIRTHDAY</x:v>
      </x:c>
      <x:c r="E1927" s="11" t="n">
        <x:v>1759.7399999999998</x:v>
      </x:c>
      <x:c r="F1927" s="11" t="n">
        <x:v>36.36</x:v>
      </x:c>
      <x:c r="G1927" s="11" t="n">
        <x:v>1723.3799999999999</x:v>
      </x:c>
      <x:c r="H1927" s="23" t="n">
        <x:v>0.00008569991806789981</x:v>
      </x:c>
      <x:c r="I1927" s="23" t="n">
        <x:v>0.9210050387076283</x:v>
      </x:c>
      <x:c r="J1927" s="2" t="n">
        <x:v>257</x:v>
      </x:c>
      <x:c r="K1927" s="2"/>
      <x:c r="L1927" s="2"/>
    </x:row>
    <x:row r="1928" ht="22" customHeight="1">
      <x:c r="A1928" s="2"/>
      <x:c r="B1928" s="2" t="n">
        <x:v>1895</x:v>
      </x:c>
      <x:c r="C1928" s="2" t="str">
        <x:v>22446</x:v>
      </x:c>
      <x:c r="D1928" s="2" t="str">
        <x:v>PIN CUSHION BABUSHKA PINK</x:v>
      </x:c>
      <x:c r="E1928" s="11" t="n">
        <x:v>1755.28</x:v>
      </x:c>
      <x:c r="F1928" s="11" t="n">
        <x:v>20.1</x:v>
      </x:c>
      <x:c r="G1928" s="11" t="n">
        <x:v>1735.18</x:v>
      </x:c>
      <x:c r="H1928" s="23" t="n">
        <x:v>0.00008548271459773785</x:v>
      </x:c>
      <x:c r="I1928" s="23" t="n">
        <x:v>0.921090521422226</x:v>
      </x:c>
      <x:c r="J1928" s="2" t="n">
        <x:v>186</x:v>
      </x:c>
      <x:c r="K1928" s="2"/>
      <x:c r="L1928" s="2"/>
    </x:row>
    <x:row r="1929" ht="22" customHeight="1">
      <x:c r="A1929" s="2"/>
      <x:c r="B1929" s="2" t="n">
        <x:v>1896</x:v>
      </x:c>
      <x:c r="C1929" s="2" t="str">
        <x:v>20767</x:v>
      </x:c>
      <x:c r="D1929" s="2" t="str">
        <x:v>BLUE PAISLEY JOURNAL </x:v>
      </x:c>
      <x:c r="E1929" s="11" t="n">
        <x:v>1754.36</x:v>
      </x:c>
      <x:c r="F1929" s="11" t="n">
        <x:v>17.849999999999998</x:v>
      </x:c>
      <x:c r="G1929" s="11" t="n">
        <x:v>1736.51</x:v>
      </x:c>
      <x:c r="H1929" s="23" t="n">
        <x:v>0.00008543791029447573</x:v>
      </x:c>
      <x:c r="I1929" s="23" t="n">
        <x:v>0.9211759593325205</x:v>
      </x:c>
      <x:c r="J1929" s="2" t="n">
        <x:v>179</x:v>
      </x:c>
      <x:c r="K1929" s="2"/>
      <x:c r="L1929" s="2"/>
    </x:row>
    <x:row r="1930" ht="22" customHeight="1">
      <x:c r="A1930" s="2"/>
      <x:c r="B1930" s="2" t="n">
        <x:v>1897</x:v>
      </x:c>
      <x:c r="C1930" s="2" t="str">
        <x:v>23372</x:v>
      </x:c>
      <x:c r="D1930" s="2" t="str">
        <x:v>SET 36 COLOUR PENCILS DOLLY GIRL</x:v>
      </x:c>
      <x:c r="E1930" s="11" t="n">
        <x:v>1752.79</x:v>
      </x:c>
      <x:c r="F1930" s="11" t="n">
        <x:v>20</x:v>
      </x:c>
      <x:c r="G1930" s="11" t="n">
        <x:v>1732.79</x:v>
      </x:c>
      <x:c r="H1930" s="23" t="n">
        <x:v>0.00008536145077695236</x:v>
      </x:c>
      <x:c r="I1930" s="23" t="n">
        <x:v>0.9212613207832975</x:v>
      </x:c>
      <x:c r="J1930" s="2" t="n">
        <x:v>147</x:v>
      </x:c>
      <x:c r="K1930" s="2"/>
      <x:c r="L1930" s="2"/>
    </x:row>
    <x:row r="1931" ht="22" customHeight="1">
      <x:c r="A1931" s="2"/>
      <x:c r="B1931" s="2" t="n">
        <x:v>1898</x:v>
      </x:c>
      <x:c r="C1931" s="2" t="str">
        <x:v>23399</x:v>
      </x:c>
      <x:c r="D1931" s="2" t="str">
        <x:v>HOME SWEET HOME HANGING HEART</x:v>
      </x:c>
      <x:c r="E1931" s="11" t="n">
        <x:v>1752.35</x:v>
      </x:c>
      <x:c r="F1931" s="11" t="n">
        <x:v>0</x:v>
      </x:c>
      <x:c r="G1931" s="11" t="n">
        <x:v>1752.35</x:v>
      </x:c>
      <x:c r="H1931" s="23" t="n">
        <x:v>0.00008534002263191394</x:v>
      </x:c>
      <x:c r="I1931" s="23" t="n">
        <x:v>0.9213466608059294</x:v>
      </x:c>
      <x:c r="J1931" s="2" t="n">
        <x:v>225</x:v>
      </x:c>
      <x:c r="K1931" s="2"/>
      <x:c r="L1931" s="2"/>
    </x:row>
    <x:row r="1932" ht="22" customHeight="1">
      <x:c r="A1932" s="2"/>
      <x:c r="B1932" s="2" t="n">
        <x:v>1899</x:v>
      </x:c>
      <x:c r="C1932" s="2" t="str">
        <x:v>21000</x:v>
      </x:c>
      <x:c r="D1932" s="2" t="str">
        <x:v>ROSE DU SUD COSMETICS BAG</x:v>
      </x:c>
      <x:c r="E1932" s="11" t="n">
        <x:v>1749.23</x:v>
      </x:c>
      <x:c r="F1932" s="11" t="n">
        <x:v>0</x:v>
      </x:c>
      <x:c r="G1932" s="11" t="n">
        <x:v>1749.23</x:v>
      </x:c>
      <x:c r="H1932" s="23" t="n">
        <x:v>0.00008518807760345983</x:v>
      </x:c>
      <x:c r="I1932" s="23" t="n">
        <x:v>0.9214318488835329</x:v>
      </x:c>
      <x:c r="J1932" s="2" t="n">
        <x:v>94</x:v>
      </x:c>
      <x:c r="K1932" s="2"/>
      <x:c r="L1932" s="2"/>
    </x:row>
    <x:row r="1933" ht="22" customHeight="1">
      <x:c r="A1933" s="2"/>
      <x:c r="B1933" s="2" t="n">
        <x:v>1900</x:v>
      </x:c>
      <x:c r="C1933" s="2" t="str">
        <x:v>84535B</x:v>
      </x:c>
      <x:c r="D1933" s="2" t="str">
        <x:v>FAIRY CAKES NOTEBOOK A6 SIZE</x:v>
      </x:c>
      <x:c r="E1933" s="11" t="n">
        <x:v>1748.41</x:v>
      </x:c>
      <x:c r="F1933" s="11" t="n">
        <x:v>61.75</x:v>
      </x:c>
      <x:c r="G1933" s="11" t="n">
        <x:v>1686.66</x:v>
      </x:c>
      <x:c r="H1933" s="23" t="n">
        <x:v>0.000085148143333161</x:v>
      </x:c>
      <x:c r="I1933" s="23" t="n">
        <x:v>0.9215169970268661</x:v>
      </x:c>
      <x:c r="J1933" s="2" t="n">
        <x:v>327</x:v>
      </x:c>
      <x:c r="K1933" s="2"/>
      <x:c r="L1933" s="2"/>
    </x:row>
    <x:row r="1934" ht="22" customHeight="1">
      <x:c r="A1934" s="2"/>
      <x:c r="B1934" s="2" t="n">
        <x:v>1901</x:v>
      </x:c>
      <x:c r="C1934" s="2" t="str">
        <x:v>21780</x:v>
      </x:c>
      <x:c r="D1934" s="2" t="str">
        <x:v>MA CAMPAGNE 4 DRAWER WALL SHELF</x:v>
      </x:c>
      <x:c r="E1934" s="11" t="n">
        <x:v>1745.85</x:v>
      </x:c>
      <x:c r="F1934" s="11" t="n">
        <x:v>0</x:v>
      </x:c>
      <x:c r="G1934" s="11" t="n">
        <x:v>1745.85</x:v>
      </x:c>
      <x:c r="H1934" s="23" t="n">
        <x:v>0.00008502347048930121</x:v>
      </x:c>
      <x:c r="I1934" s="23" t="n">
        <x:v>0.9216020204973554</x:v>
      </x:c>
      <x:c r="J1934" s="2" t="n">
        <x:v>32</x:v>
      </x:c>
      <x:c r="K1934" s="2"/>
      <x:c r="L1934" s="2"/>
    </x:row>
    <x:row r="1935" ht="22" customHeight="1">
      <x:c r="A1935" s="2"/>
      <x:c r="B1935" s="2" t="n">
        <x:v>1902</x:v>
      </x:c>
      <x:c r="C1935" s="2" t="str">
        <x:v>85060</x:v>
      </x:c>
      <x:c r="D1935" s="2" t="str">
        <x:v>WOOD FAN WITH FLOWER DESIGN</x:v>
      </x:c>
      <x:c r="E1935" s="11" t="n">
        <x:v>1745.62</x:v>
      </x:c>
      <x:c r="F1935" s="11" t="n">
        <x:v>47.5</x:v>
      </x:c>
      <x:c r="G1935" s="11" t="n">
        <x:v>1698.12</x:v>
      </x:c>
      <x:c r="H1935" s="23" t="n">
        <x:v>0.00008501226941348568</x:v>
      </x:c>
      <x:c r="I1935" s="23" t="n">
        <x:v>0.9216870327667689</x:v>
      </x:c>
      <x:c r="J1935" s="2" t="n">
        <x:v>87</x:v>
      </x:c>
      <x:c r="K1935" s="2"/>
      <x:c r="L1935" s="2"/>
    </x:row>
    <x:row r="1936" ht="22" customHeight="1">
      <x:c r="A1936" s="2"/>
      <x:c r="B1936" s="2" t="n">
        <x:v>1903</x:v>
      </x:c>
      <x:c r="C1936" s="2" t="str">
        <x:v>23101</x:v>
      </x:c>
      <x:c r="D1936" s="2" t="str">
        <x:v>SILVER STARS TABLE DECORATION</x:v>
      </x:c>
      <x:c r="E1936" s="11" t="n">
        <x:v>1744.61</x:v>
      </x:c>
      <x:c r="F1936" s="11" t="n">
        <x:v>0</x:v>
      </x:c>
      <x:c r="G1936" s="11" t="n">
        <x:v>1744.61</x:v>
      </x:c>
      <x:c r="H1936" s="23" t="n">
        <x:v>0.00008496308208055662</x:v>
      </x:c>
      <x:c r="I1936" s="23" t="n">
        <x:v>0.9217719958488494</x:v>
      </x:c>
      <x:c r="J1936" s="2" t="n">
        <x:v>213</x:v>
      </x:c>
      <x:c r="K1936" s="2"/>
      <x:c r="L1936" s="2"/>
    </x:row>
    <x:row r="1937" ht="22" customHeight="1">
      <x:c r="A1937" s="2"/>
      <x:c r="B1937" s="2" t="n">
        <x:v>1904</x:v>
      </x:c>
      <x:c r="C1937" s="2" t="str">
        <x:v>21637</x:v>
      </x:c>
      <x:c r="D1937" s="2" t="str">
        <x:v>ASSORTED SANSKRIT MINI NOTEBOOK</x:v>
      </x:c>
      <x:c r="E1937" s="11" t="n">
        <x:v>1741.72</x:v>
      </x:c>
      <x:c r="F1937" s="11" t="n">
        <x:v>22.5</x:v>
      </x:c>
      <x:c r="G1937" s="11" t="n">
        <x:v>1719.22</x:v>
      </x:c>
      <x:c r="H1937" s="23" t="n">
        <x:v>0.00008482233812791803</x:v>
      </x:c>
      <x:c r="I1937" s="23" t="n">
        <x:v>0.9218568181869773</x:v>
      </x:c>
      <x:c r="J1937" s="2" t="n">
        <x:v>93</x:v>
      </x:c>
      <x:c r="K1937" s="2"/>
      <x:c r="L1937" s="2"/>
    </x:row>
    <x:row r="1938" ht="22" customHeight="1">
      <x:c r="A1938" s="2"/>
      <x:c r="B1938" s="2" t="n">
        <x:v>1905</x:v>
      </x:c>
      <x:c r="C1938" s="2" t="str">
        <x:v>21662</x:v>
      </x:c>
      <x:c r="D1938" s="2" t="str">
        <x:v>VINTAGE GLASS COFFEE CADDY</x:v>
      </x:c>
      <x:c r="E1938" s="11" t="n">
        <x:v>1741</x:v>
      </x:c>
      <x:c r="F1938" s="11" t="n">
        <x:v>23.8</x:v>
      </x:c>
      <x:c r="G1938" s="11" t="n">
        <x:v>1717.2</x:v>
      </x:c>
      <x:c r="H1938" s="23" t="n">
        <x:v>0.00008478727389058247</x:v>
      </x:c>
      <x:c r="I1938" s="23" t="n">
        <x:v>0.9219416054608679</x:v>
      </x:c>
      <x:c r="J1938" s="2" t="n">
        <x:v>106</x:v>
      </x:c>
      <x:c r="K1938" s="2"/>
      <x:c r="L1938" s="2"/>
    </x:row>
    <x:row r="1939" ht="22" customHeight="1">
      <x:c r="A1939" s="2"/>
      <x:c r="B1939" s="2" t="n">
        <x:v>1906</x:v>
      </x:c>
      <x:c r="C1939" s="2" t="str">
        <x:v>21760</x:v>
      </x:c>
      <x:c r="D1939" s="2" t="str">
        <x:v>used for show display</x:v>
      </x:c>
      <x:c r="E1939" s="11" t="n">
        <x:v>1740</x:v>
      </x:c>
      <x:c r="F1939" s="11" t="n">
        <x:v>250</x:v>
      </x:c>
      <x:c r="G1939" s="11" t="n">
        <x:v>1490</x:v>
      </x:c>
      <x:c r="H1939" s="23" t="n">
        <x:v>0.00008473857356094974</x:v>
      </x:c>
      <x:c r="I1939" s="23" t="n">
        <x:v>0.9220263440344288</x:v>
      </x:c>
      <x:c r="J1939" s="2" t="n">
        <x:v>12</x:v>
      </x:c>
      <x:c r="K1939" s="2"/>
      <x:c r="L1939" s="2"/>
    </x:row>
    <x:row r="1940" ht="22" customHeight="1">
      <x:c r="A1940" s="2"/>
      <x:c r="B1940" s="2" t="n">
        <x:v>1907</x:v>
      </x:c>
      <x:c r="C1940" s="2" t="str">
        <x:v>84006</x:v>
      </x:c>
      <x:c r="D1940" s="2" t="str">
        <x:v>MAGIC TREE -PAPER FLOWERS</x:v>
      </x:c>
      <x:c r="E1940" s="11" t="n">
        <x:v>1739.77</x:v>
      </x:c>
      <x:c r="F1940" s="11" t="n">
        <x:v>4.25</x:v>
      </x:c>
      <x:c r="G1940" s="11" t="n">
        <x:v>1735.52</x:v>
      </x:c>
      <x:c r="H1940" s="23" t="n">
        <x:v>0.00008472737248513421</x:v>
      </x:c>
      <x:c r="I1940" s="23" t="n">
        <x:v>0.922111071406914</x:v>
      </x:c>
      <x:c r="J1940" s="2" t="n">
        <x:v>212</x:v>
      </x:c>
      <x:c r="K1940" s="2"/>
      <x:c r="L1940" s="2"/>
    </x:row>
    <x:row r="1941" ht="22" customHeight="1">
      <x:c r="A1941" s="2"/>
      <x:c r="B1941" s="2" t="n">
        <x:v>1908</x:v>
      </x:c>
      <x:c r="C1941" s="2" t="str">
        <x:v>84843</x:v>
      </x:c>
      <x:c r="D1941" s="2" t="str">
        <x:v>WHITE SOAP RACK WITH 2 BOTTLES</x:v>
      </x:c>
      <x:c r="E1941" s="11" t="n">
        <x:v>1737.01</x:v>
      </x:c>
      <x:c r="F1941" s="11" t="n">
        <x:v>11.9</x:v>
      </x:c>
      <x:c r="G1941" s="11" t="n">
        <x:v>1725.1100000000001</x:v>
      </x:c>
      <x:c r="H1941" s="23" t="n">
        <x:v>0.00008459295957534787</x:v>
      </x:c>
      <x:c r="I1941" s="23" t="n">
        <x:v>0.9221956643664893</x:v>
      </x:c>
      <x:c r="J1941" s="2" t="n">
        <x:v>110</x:v>
      </x:c>
      <x:c r="K1941" s="2"/>
      <x:c r="L1941" s="2"/>
    </x:row>
    <x:row r="1942" ht="22" customHeight="1">
      <x:c r="A1942" s="2"/>
      <x:c r="B1942" s="2" t="n">
        <x:v>1909</x:v>
      </x:c>
      <x:c r="C1942" s="2" t="str">
        <x:v>22035</x:v>
      </x:c>
      <x:c r="D1942" s="2" t="str">
        <x:v>VINTAGE CARAVAN GREETING CARD </x:v>
      </x:c>
      <x:c r="E1942" s="11" t="n">
        <x:v>1736.28</x:v>
      </x:c>
      <x:c r="F1942" s="11" t="n">
        <x:v>20.580000000000002</x:v>
      </x:c>
      <x:c r="G1942" s="11" t="n">
        <x:v>1715.7</x:v>
      </x:c>
      <x:c r="H1942" s="23" t="n">
        <x:v>0.00008455740833471599</x:v>
      </x:c>
      <x:c r="I1942" s="23" t="n">
        <x:v>0.9222802217748239</x:v>
      </x:c>
      <x:c r="J1942" s="2" t="n">
        <x:v>360</x:v>
      </x:c>
      <x:c r="K1942" s="2"/>
      <x:c r="L1942" s="2"/>
    </x:row>
    <x:row r="1943" ht="22" customHeight="1">
      <x:c r="A1943" s="2"/>
      <x:c r="B1943" s="2" t="n">
        <x:v>1910</x:v>
      </x:c>
      <x:c r="C1943" s="2" t="str">
        <x:v>23244</x:v>
      </x:c>
      <x:c r="D1943" s="2" t="str">
        <x:v>ROUND STORAGE TIN VINTAGE LEAF</x:v>
      </x:c>
      <x:c r="E1943" s="11" t="n">
        <x:v>1733.9799999999998</x:v>
      </x:c>
      <x:c r="F1943" s="11" t="n">
        <x:v>16.95</x:v>
      </x:c>
      <x:c r="G1943" s="11" t="n">
        <x:v>1717.03</x:v>
      </x:c>
      <x:c r="H1943" s="23" t="n">
        <x:v>0.0000844453975765607</x:v>
      </x:c>
      <x:c r="I1943" s="23" t="n">
        <x:v>0.9223646671724005</x:v>
      </x:c>
      <x:c r="J1943" s="2" t="n">
        <x:v>112</x:v>
      </x:c>
      <x:c r="K1943" s="2"/>
      <x:c r="L1943" s="2"/>
    </x:row>
    <x:row r="1944" ht="22" customHeight="1">
      <x:c r="A1944" s="2"/>
      <x:c r="B1944" s="2" t="n">
        <x:v>1911</x:v>
      </x:c>
      <x:c r="C1944" s="2" t="str">
        <x:v>23181</x:v>
      </x:c>
      <x:c r="D1944" s="2" t="str">
        <x:v>BULL DOG BOTTLE TOP WALL CLOCK</x:v>
      </x:c>
      <x:c r="E1944" s="11" t="n">
        <x:v>1733.57</x:v>
      </x:c>
      <x:c r="F1944" s="11" t="n">
        <x:v>33</x:v>
      </x:c>
      <x:c r="G1944" s="11" t="n">
        <x:v>1700.57</x:v>
      </x:c>
      <x:c r="H1944" s="23" t="n">
        <x:v>0.00008442543044141128</x:v>
      </x:c>
      <x:c r="I1944" s="23" t="n">
        <x:v>0.9224490926028419</x:v>
      </x:c>
      <x:c r="J1944" s="2" t="n">
        <x:v>82</x:v>
      </x:c>
      <x:c r="K1944" s="2"/>
      <x:c r="L1944" s="2"/>
    </x:row>
    <x:row r="1945" ht="22" customHeight="1">
      <x:c r="A1945" s="2"/>
      <x:c r="B1945" s="2" t="n">
        <x:v>1912</x:v>
      </x:c>
      <x:c r="C1945" s="2" t="str">
        <x:v>21090</x:v>
      </x:c>
      <x:c r="D1945" s="2" t="str">
        <x:v>SET/6 COLLAGE PAPER PLATES</x:v>
      </x:c>
      <x:c r="E1945" s="11" t="n">
        <x:v>1733.1299999999999</x:v>
      </x:c>
      <x:c r="F1945" s="11" t="n">
        <x:v>14.04</x:v>
      </x:c>
      <x:c r="G1945" s="11" t="n">
        <x:v>1719.09</x:v>
      </x:c>
      <x:c r="H1945" s="23" t="n">
        <x:v>0.00008440400229637288</x:v>
      </x:c>
      <x:c r="I1945" s="23" t="n">
        <x:v>0.9225334966051383</x:v>
      </x:c>
      <x:c r="J1945" s="2" t="n">
        <x:v>278</x:v>
      </x:c>
      <x:c r="K1945" s="2"/>
      <x:c r="L1945" s="2"/>
    </x:row>
    <x:row r="1946" ht="22" customHeight="1">
      <x:c r="A1946" s="2"/>
      <x:c r="B1946" s="2" t="n">
        <x:v>1913</x:v>
      </x:c>
      <x:c r="C1946" s="2" t="str">
        <x:v>21275</x:v>
      </x:c>
      <x:c r="D1946" s="2" t="str">
        <x:v>ZINC TOP  2 DOOR WOODEN SHELF </x:v>
      </x:c>
      <x:c r="E1946" s="11" t="n">
        <x:v>1731.43</x:v>
      </x:c>
      <x:c r="F1946" s="11" t="n">
        <x:v>138.45</x:v>
      </x:c>
      <x:c r="G1946" s="11" t="n">
        <x:v>1592.98</x:v>
      </x:c>
      <x:c r="H1946" s="23" t="n">
        <x:v>0.00008432121173599725</x:v>
      </x:c>
      <x:c r="I1946" s="23" t="n">
        <x:v>0.9226178178168742</x:v>
      </x:c>
      <x:c r="J1946" s="2" t="n">
        <x:v>55</x:v>
      </x:c>
      <x:c r="K1946" s="2"/>
      <x:c r="L1946" s="2"/>
    </x:row>
    <x:row r="1947" ht="22" customHeight="1">
      <x:c r="A1947" s="2"/>
      <x:c r="B1947" s="2" t="n">
        <x:v>1914</x:v>
      </x:c>
      <x:c r="C1947" s="2" t="str">
        <x:v>37342</x:v>
      </x:c>
      <x:c r="D1947" s="2" t="str">
        <x:v>POLKADOT COFFEE CUP &amp; SAUCER PINK</x:v>
      </x:c>
      <x:c r="E1947" s="11" t="n">
        <x:v>1731.4</x:v>
      </x:c>
      <x:c r="F1947" s="11" t="n">
        <x:v>45.68</x:v>
      </x:c>
      <x:c r="G1947" s="11" t="n">
        <x:v>1685.72</x:v>
      </x:c>
      <x:c r="H1947" s="23" t="n">
        <x:v>0.00008431975072610826</x:v>
      </x:c>
      <x:c r="I1947" s="23" t="n">
        <x:v>0.9227021375676003</x:v>
      </x:c>
      <x:c r="J1947" s="2" t="n">
        <x:v>131</x:v>
      </x:c>
      <x:c r="K1947" s="2"/>
      <x:c r="L1947" s="2"/>
    </x:row>
    <x:row r="1948" ht="22" customHeight="1">
      <x:c r="A1948" s="2"/>
      <x:c r="B1948" s="2" t="n">
        <x:v>1915</x:v>
      </x:c>
      <x:c r="C1948" s="2" t="str">
        <x:v>21927</x:v>
      </x:c>
      <x:c r="D1948" s="2" t="str">
        <x:v>BLUE/CREAM STRIPE CUSHION COVER </x:v>
      </x:c>
      <x:c r="E1948" s="11" t="n">
        <x:v>1728.24</x:v>
      </x:c>
      <x:c r="F1948" s="11" t="n">
        <x:v>81.25</x:v>
      </x:c>
      <x:c r="G1948" s="11" t="n">
        <x:v>1646.99</x:v>
      </x:c>
      <x:c r="H1948" s="23" t="n">
        <x:v>0.00008416585768446883</x:v>
      </x:c>
      <x:c r="I1948" s="23" t="n">
        <x:v>0.9227863034252848</x:v>
      </x:c>
      <x:c r="J1948" s="2" t="n">
        <x:v>192</x:v>
      </x:c>
      <x:c r="K1948" s="2"/>
      <x:c r="L1948" s="2"/>
    </x:row>
    <x:row r="1949" ht="22" customHeight="1">
      <x:c r="A1949" s="2"/>
      <x:c r="B1949" s="2" t="n">
        <x:v>1916</x:v>
      </x:c>
      <x:c r="C1949" s="2" t="str">
        <x:v>23122</x:v>
      </x:c>
      <x:c r="D1949" s="2" t="str">
        <x:v>PARTY CHARMS 50 PIECES</x:v>
      </x:c>
      <x:c r="E1949" s="11" t="n">
        <x:v>1727.75</x:v>
      </x:c>
      <x:c r="F1949" s="11" t="n">
        <x:v>2.49</x:v>
      </x:c>
      <x:c r="G1949" s="11" t="n">
        <x:v>1725.26</x:v>
      </x:c>
      <x:c r="H1949" s="23" t="n">
        <x:v>0.0000841419945229488</x:v>
      </x:c>
      <x:c r="I1949" s="23" t="n">
        <x:v>0.9228704454198078</x:v>
      </x:c>
      <x:c r="J1949" s="2" t="n">
        <x:v>133</x:v>
      </x:c>
      <x:c r="K1949" s="2"/>
      <x:c r="L1949" s="2"/>
    </x:row>
    <x:row r="1950" ht="22" customHeight="1">
      <x:c r="A1950" s="2"/>
      <x:c r="B1950" s="2" t="n">
        <x:v>1917</x:v>
      </x:c>
      <x:c r="C1950" s="2" t="str">
        <x:v>22516</x:v>
      </x:c>
      <x:c r="D1950" s="2" t="str">
        <x:v>CHILDS GARDEN RAKE BLUE</x:v>
      </x:c>
      <x:c r="E1950" s="11" t="n">
        <x:v>1725.8000000000002</x:v>
      </x:c>
      <x:c r="F1950" s="11" t="n">
        <x:v>6.300000000000001</x:v>
      </x:c>
      <x:c r="G1950" s="11" t="n">
        <x:v>1719.5000000000002</x:v>
      </x:c>
      <x:c r="H1950" s="23" t="n">
        <x:v>0.00008404702888016499</x:v>
      </x:c>
      <x:c r="I1950" s="23" t="n">
        <x:v>0.922954492448688</x:v>
      </x:c>
      <x:c r="J1950" s="2" t="n">
        <x:v>162</x:v>
      </x:c>
      <x:c r="K1950" s="2"/>
      <x:c r="L1950" s="2"/>
    </x:row>
    <x:row r="1951" ht="22" customHeight="1">
      <x:c r="A1951" s="2"/>
      <x:c r="B1951" s="2" t="n">
        <x:v>1918</x:v>
      </x:c>
      <x:c r="C1951" s="2" t="str">
        <x:v>85127</x:v>
      </x:c>
      <x:c r="D1951" s="2" t="str">
        <x:v>SMALL SQUARE CUT GLASS CANDLESTICK</x:v>
      </x:c>
      <x:c r="E1951" s="11" t="n">
        <x:v>1725.52</x:v>
      </x:c>
      <x:c r="F1951" s="11" t="n">
        <x:v>24.75</x:v>
      </x:c>
      <x:c r="G1951" s="11" t="n">
        <x:v>1700.77</x:v>
      </x:c>
      <x:c r="H1951" s="23" t="n">
        <x:v>0.00008403339278786781</x:v>
      </x:c>
      <x:c r="I1951" s="23" t="n">
        <x:v>0.9230385258414758</x:v>
      </x:c>
      <x:c r="J1951" s="2" t="n">
        <x:v>81</x:v>
      </x:c>
      <x:c r="K1951" s="2"/>
      <x:c r="L1951" s="2"/>
    </x:row>
    <x:row r="1952" ht="22" customHeight="1">
      <x:c r="A1952" s="2"/>
      <x:c r="B1952" s="2" t="n">
        <x:v>1919</x:v>
      </x:c>
      <x:c r="C1952" s="2" t="str">
        <x:v>22026</x:v>
      </x:c>
      <x:c r="D1952" s="2" t="str">
        <x:v>BANQUET BIRTHDAY  CARD  </x:v>
      </x:c>
      <x:c r="E1952" s="11" t="n">
        <x:v>1722.51</x:v>
      </x:c>
      <x:c r="F1952" s="11" t="n">
        <x:v>5.04</x:v>
      </x:c>
      <x:c r="G1952" s="11" t="n">
        <x:v>1717.47</x:v>
      </x:c>
      <x:c r="H1952" s="23" t="n">
        <x:v>0.00008388680479567329</x:v>
      </x:c>
      <x:c r="I1952" s="23" t="n">
        <x:v>0.9231224126462715</x:v>
      </x:c>
      <x:c r="J1952" s="2" t="n">
        <x:v>366</x:v>
      </x:c>
      <x:c r="K1952" s="2"/>
      <x:c r="L1952" s="2"/>
    </x:row>
    <x:row r="1953" ht="22" customHeight="1">
      <x:c r="A1953" s="2"/>
      <x:c r="B1953" s="2" t="n">
        <x:v>1920</x:v>
      </x:c>
      <x:c r="C1953" s="2" t="str">
        <x:v>22319</x:v>
      </x:c>
      <x:c r="D1953" s="2" t="str">
        <x:v>HAIRCLIPS FORTIES FABRIC ASSORTED</x:v>
      </x:c>
      <x:c r="E1953" s="11" t="n">
        <x:v>1721.44</x:v>
      </x:c>
      <x:c r="F1953" s="11" t="n">
        <x:v>50.050000000000004</x:v>
      </x:c>
      <x:c r="G1953" s="11" t="n">
        <x:v>1671.39</x:v>
      </x:c>
      <x:c r="H1953" s="23" t="n">
        <x:v>0.00008383469544296627</x:v>
      </x:c>
      <x:c r="I1953" s="23" t="n">
        <x:v>0.9232062473417144</x:v>
      </x:c>
      <x:c r="J1953" s="2" t="n">
        <x:v>174</x:v>
      </x:c>
      <x:c r="K1953" s="2"/>
      <x:c r="L1953" s="2"/>
    </x:row>
    <x:row r="1954" ht="22" customHeight="1">
      <x:c r="A1954" s="2"/>
      <x:c r="B1954" s="2" t="n">
        <x:v>1921</x:v>
      </x:c>
      <x:c r="C1954" s="2" t="str">
        <x:v>23073</x:v>
      </x:c>
      <x:c r="D1954" s="2" t="str">
        <x:v>GEORGIAN TRINKET BOX</x:v>
      </x:c>
      <x:c r="E1954" s="11" t="n">
        <x:v>1719</x:v>
      </x:c>
      <x:c r="F1954" s="11" t="n">
        <x:v>12.5</x:v>
      </x:c>
      <x:c r="G1954" s="11" t="n">
        <x:v>1706.5</x:v>
      </x:c>
      <x:c r="H1954" s="23" t="n">
        <x:v>0.00008371586663866241</x:v>
      </x:c>
      <x:c r="I1954" s="23" t="n">
        <x:v>0.9232899632083531</x:v>
      </x:c>
      <x:c r="J1954" s="2" t="n">
        <x:v>61</x:v>
      </x:c>
      <x:c r="K1954" s="2"/>
      <x:c r="L1954" s="2"/>
    </x:row>
    <x:row r="1955" ht="22" customHeight="1">
      <x:c r="A1955" s="2"/>
      <x:c r="B1955" s="2" t="n">
        <x:v>1922</x:v>
      </x:c>
      <x:c r="C1955" s="2" t="str">
        <x:v>21895</x:v>
      </x:c>
      <x:c r="D1955" s="2" t="str">
        <x:v>POTTING SHED SOW 'N' GROW SET</x:v>
      </x:c>
      <x:c r="E1955" s="11" t="n">
        <x:v>1718.63</x:v>
      </x:c>
      <x:c r="F1955" s="11" t="n">
        <x:v>17</x:v>
      </x:c>
      <x:c r="G1955" s="11" t="n">
        <x:v>1701.63</x:v>
      </x:c>
      <x:c r="H1955" s="23" t="n">
        <x:v>0.00008369784751669831</x:v>
      </x:c>
      <x:c r="I1955" s="23" t="n">
        <x:v>0.9233736610558698</x:v>
      </x:c>
      <x:c r="J1955" s="2" t="n">
        <x:v>85</x:v>
      </x:c>
      <x:c r="K1955" s="2"/>
      <x:c r="L1955" s="2"/>
    </x:row>
    <x:row r="1956" ht="22" customHeight="1">
      <x:c r="A1956" s="2"/>
      <x:c r="B1956" s="2" t="n">
        <x:v>1923</x:v>
      </x:c>
      <x:c r="C1956" s="2" t="str">
        <x:v>10125</x:v>
      </x:c>
      <x:c r="D1956" s="2" t="str">
        <x:v>MINI FUNKY DESIGN TAPES</x:v>
      </x:c>
      <x:c r="E1956" s="11" t="n">
        <x:v>1718.33</x:v>
      </x:c>
      <x:c r="F1956" s="11" t="n">
        <x:v>0</x:v>
      </x:c>
      <x:c r="G1956" s="11" t="n">
        <x:v>1718.33</x:v>
      </x:c>
      <x:c r="H1956" s="23" t="n">
        <x:v>0.00008368323741780848</x:v>
      </x:c>
      <x:c r="I1956" s="23" t="n">
        <x:v>0.9234573442932876</x:v>
      </x:c>
      <x:c r="J1956" s="2" t="n">
        <x:v>167</x:v>
      </x:c>
      <x:c r="K1956" s="2"/>
      <x:c r="L1956" s="2"/>
    </x:row>
    <x:row r="1957" ht="22" customHeight="1">
      <x:c r="A1957" s="2"/>
      <x:c r="B1957" s="2" t="n">
        <x:v>1924</x:v>
      </x:c>
      <x:c r="C1957" s="2" t="str">
        <x:v>21281</x:v>
      </x:c>
      <x:c r="D1957" s="2" t="str">
        <x:v>VINTAGE KITCHEN PRINT SEAFOOD</x:v>
      </x:c>
      <x:c r="E1957" s="11" t="n">
        <x:v>1716.8</x:v>
      </x:c>
      <x:c r="F1957" s="11" t="n">
        <x:v>384</x:v>
      </x:c>
      <x:c r="G1957" s="11" t="n">
        <x:v>1332.8</x:v>
      </x:c>
      <x:c r="H1957" s="23" t="n">
        <x:v>0.00008360872591347041</x:v>
      </x:c>
      <x:c r="I1957" s="23" t="n">
        <x:v>0.9235409530192011</x:v>
      </x:c>
      <x:c r="J1957" s="2" t="n">
        <x:v>67</x:v>
      </x:c>
      <x:c r="K1957" s="2"/>
      <x:c r="L1957" s="2"/>
    </x:row>
    <x:row r="1958" ht="22" customHeight="1">
      <x:c r="A1958" s="2"/>
      <x:c r="B1958" s="2" t="n">
        <x:v>1925</x:v>
      </x:c>
      <x:c r="C1958" s="2" t="str">
        <x:v>21283</x:v>
      </x:c>
      <x:c r="D1958" s="2" t="str">
        <x:v>NATURAL BARK CANDLE SMALL</x:v>
      </x:c>
      <x:c r="E1958" s="11" t="n">
        <x:v>1710.45</x:v>
      </x:c>
      <x:c r="F1958" s="11" t="n">
        <x:v>39</x:v>
      </x:c>
      <x:c r="G1958" s="11" t="n">
        <x:v>1671.45</x:v>
      </x:c>
      <x:c r="H1958" s="23" t="n">
        <x:v>0.00008329947882030258</x:v>
      </x:c>
      <x:c r="I1958" s="23" t="n">
        <x:v>0.9236242524980215</x:v>
      </x:c>
      <x:c r="J1958" s="2" t="n">
        <x:v>81</x:v>
      </x:c>
      <x:c r="K1958" s="2"/>
      <x:c r="L1958" s="2"/>
    </x:row>
    <x:row r="1959" ht="22" customHeight="1">
      <x:c r="A1959" s="2"/>
      <x:c r="B1959" s="2" t="n">
        <x:v>1926</x:v>
      </x:c>
      <x:c r="C1959" s="2" t="str">
        <x:v>22934</x:v>
      </x:c>
      <x:c r="D1959" s="2" t="str">
        <x:v>BAKING MOULD EASTER EGG WHITE CHOC</x:v>
      </x:c>
      <x:c r="E1959" s="11" t="n">
        <x:v>1707.47</x:v>
      </x:c>
      <x:c r="F1959" s="11" t="n">
        <x:v>8.850000000000001</x:v>
      </x:c>
      <x:c r="G1959" s="11" t="n">
        <x:v>1698.6200000000001</x:v>
      </x:c>
      <x:c r="H1959" s="23" t="n">
        <x:v>0.00008315435183799705</x:v>
      </x:c>
      <x:c r="I1959" s="23" t="n">
        <x:v>0.9237074068498595</x:v>
      </x:c>
      <x:c r="J1959" s="2" t="n">
        <x:v>78</x:v>
      </x:c>
      <x:c r="K1959" s="2"/>
      <x:c r="L1959" s="2"/>
    </x:row>
    <x:row r="1960" ht="22" customHeight="1">
      <x:c r="A1960" s="2"/>
      <x:c r="B1960" s="2" t="n">
        <x:v>1927</x:v>
      </x:c>
      <x:c r="C1960" s="2" t="str">
        <x:v>20990</x:v>
      </x:c>
      <x:c r="D1960" s="2" t="str">
        <x:v>SPRING FLOWER CHOPSTICKS SET/5</x:v>
      </x:c>
      <x:c r="E1960" s="11" t="n">
        <x:v>1706.1399999999999</x:v>
      </x:c>
      <x:c r="F1960" s="11" t="n">
        <x:v>1.95</x:v>
      </x:c>
      <x:c r="G1960" s="11" t="n">
        <x:v>1704.19</x:v>
      </x:c>
      <x:c r="H1960" s="23" t="n">
        <x:v>0.0000830895803995855</x:v>
      </x:c>
      <x:c r="I1960" s="23" t="n">
        <x:v>0.9237904964302591</x:v>
      </x:c>
      <x:c r="J1960" s="2" t="n">
        <x:v>103</x:v>
      </x:c>
      <x:c r="K1960" s="2"/>
      <x:c r="L1960" s="2"/>
    </x:row>
    <x:row r="1961" ht="22" customHeight="1">
      <x:c r="A1961" s="2"/>
      <x:c r="B1961" s="2" t="n">
        <x:v>1928</x:v>
      </x:c>
      <x:c r="C1961" s="2" t="str">
        <x:v>23214</x:v>
      </x:c>
      <x:c r="D1961" s="2" t="str">
        <x:v>JINGLE BELL HEART ANTIQUE GOLD</x:v>
      </x:c>
      <x:c r="E1961" s="11" t="n">
        <x:v>1705.44</x:v>
      </x:c>
      <x:c r="F1961" s="11" t="n">
        <x:v>0</x:v>
      </x:c>
      <x:c r="G1961" s="11" t="n">
        <x:v>1705.44</x:v>
      </x:c>
      <x:c r="H1961" s="23" t="n">
        <x:v>0.0000830554901688426</x:v>
      </x:c>
      <x:c r="I1961" s="23" t="n">
        <x:v>0.923873551920428</x:v>
      </x:c>
      <x:c r="J1961" s="2" t="n">
        <x:v>103</x:v>
      </x:c>
      <x:c r="K1961" s="2"/>
      <x:c r="L1961" s="2"/>
    </x:row>
    <x:row r="1962" ht="22" customHeight="1">
      <x:c r="A1962" s="2"/>
      <x:c r="B1962" s="2" t="n">
        <x:v>1929</x:v>
      </x:c>
      <x:c r="C1962" s="2" t="str">
        <x:v>22679</x:v>
      </x:c>
      <x:c r="D1962" s="2" t="str">
        <x:v>FRENCH BLUE METAL DOOR SIGN 4</x:v>
      </x:c>
      <x:c r="E1962" s="11" t="n">
        <x:v>1704.43</x:v>
      </x:c>
      <x:c r="F1962" s="11" t="n">
        <x:v>12.5</x:v>
      </x:c>
      <x:c r="G1962" s="11" t="n">
        <x:v>1691.93</x:v>
      </x:c>
      <x:c r="H1962" s="23" t="n">
        <x:v>0.00008300630283591354</x:v>
      </x:c>
      <x:c r="I1962" s="23" t="n">
        <x:v>0.9239565582232638</x:v>
      </x:c>
      <x:c r="J1962" s="2" t="n">
        <x:v>230</x:v>
      </x:c>
      <x:c r="K1962" s="2"/>
      <x:c r="L1962" s="2"/>
    </x:row>
    <x:row r="1963" ht="22" customHeight="1">
      <x:c r="A1963" s="2"/>
      <x:c r="B1963" s="2" t="n">
        <x:v>1930</x:v>
      </x:c>
      <x:c r="C1963" s="2" t="str">
        <x:v>47591B</x:v>
      </x:c>
      <x:c r="D1963" s="2" t="str">
        <x:v>SCOTTIES CHILDRENS APRON</x:v>
      </x:c>
      <x:c r="E1963" s="11" t="n">
        <x:v>1704.3</x:v>
      </x:c>
      <x:c r="F1963" s="11" t="n">
        <x:v>0</x:v>
      </x:c>
      <x:c r="G1963" s="11" t="n">
        <x:v>1704.3</x:v>
      </x:c>
      <x:c r="H1963" s="23" t="n">
        <x:v>0.00008299997179306129</x:v>
      </x:c>
      <x:c r="I1963" s="23" t="n">
        <x:v>0.9240395581950569</x:v>
      </x:c>
      <x:c r="J1963" s="2" t="n">
        <x:v>281</x:v>
      </x:c>
      <x:c r="K1963" s="2"/>
      <x:c r="L1963" s="2"/>
    </x:row>
    <x:row r="1964" ht="22" customHeight="1">
      <x:c r="A1964" s="2"/>
      <x:c r="B1964" s="2" t="n">
        <x:v>1931</x:v>
      </x:c>
      <x:c r="C1964" s="2" t="str">
        <x:v>84795A</x:v>
      </x:c>
      <x:c r="D1964" s="2" t="str">
        <x:v>PASTEL STRIPE HAMMOCK </x:v>
      </x:c>
      <x:c r="E1964" s="11" t="n">
        <x:v>1703.97</x:v>
      </x:c>
      <x:c r="F1964" s="11" t="n">
        <x:v>0</x:v>
      </x:c>
      <x:c r="G1964" s="11" t="n">
        <x:v>1703.97</x:v>
      </x:c>
      <x:c r="H1964" s="23" t="n">
        <x:v>0.00008298390068428249</x:v>
      </x:c>
      <x:c r="I1964" s="23" t="n">
        <x:v>0.9241225420957412</x:v>
      </x:c>
      <x:c r="J1964" s="2" t="n">
        <x:v>70</x:v>
      </x:c>
      <x:c r="K1964" s="2"/>
      <x:c r="L1964" s="2"/>
    </x:row>
    <x:row r="1965" ht="22" customHeight="1">
      <x:c r="A1965" s="2"/>
      <x:c r="B1965" s="2" t="n">
        <x:v>1932</x:v>
      </x:c>
      <x:c r="C1965" s="2" t="str">
        <x:v>22123</x:v>
      </x:c>
      <x:c r="D1965" s="2" t="str">
        <x:v>PING MICROWAVE APRON</x:v>
      </x:c>
      <x:c r="E1965" s="11" t="n">
        <x:v>1700.93</x:v>
      </x:c>
      <x:c r="F1965" s="11" t="n">
        <x:v>142.8</x:v>
      </x:c>
      <x:c r="G1965" s="11" t="n">
        <x:v>1558.1299999999999</x:v>
      </x:c>
      <x:c r="H1965" s="23" t="n">
        <x:v>0.000082835851682199</x:v>
      </x:c>
      <x:c r="I1965" s="23" t="n">
        <x:v>0.9242053779474234</x:v>
      </x:c>
      <x:c r="J1965" s="2" t="n">
        <x:v>166</x:v>
      </x:c>
      <x:c r="K1965" s="2"/>
      <x:c r="L1965" s="2"/>
    </x:row>
    <x:row r="1966" ht="22" customHeight="1">
      <x:c r="A1966" s="2"/>
      <x:c r="B1966" s="2" t="n">
        <x:v>1933</x:v>
      </x:c>
      <x:c r="C1966" s="2" t="str">
        <x:v>21189</x:v>
      </x:c>
      <x:c r="D1966" s="2" t="str">
        <x:v>WHITE HONEYCOMB PAPER GARLAND </x:v>
      </x:c>
      <x:c r="E1966" s="11" t="n">
        <x:v>1700.53</x:v>
      </x:c>
      <x:c r="F1966" s="11" t="n">
        <x:v>0</x:v>
      </x:c>
      <x:c r="G1966" s="11" t="n">
        <x:v>1700.53</x:v>
      </x:c>
      <x:c r="H1966" s="23" t="n">
        <x:v>0.0000828163715503459</x:v>
      </x:c>
      <x:c r="I1966" s="23" t="n">
        <x:v>0.9242881943189738</x:v>
      </x:c>
      <x:c r="J1966" s="2" t="n">
        <x:v>123</x:v>
      </x:c>
      <x:c r="K1966" s="2"/>
      <x:c r="L1966" s="2"/>
    </x:row>
    <x:row r="1967" ht="22" customHeight="1">
      <x:c r="A1967" s="2"/>
      <x:c r="B1967" s="2" t="n">
        <x:v>1934</x:v>
      </x:c>
      <x:c r="C1967" s="2" t="str">
        <x:v>22706</x:v>
      </x:c>
      <x:c r="D1967" s="2" t="str">
        <x:v>WRAP COWBOYS  </x:v>
      </x:c>
      <x:c r="E1967" s="11" t="n">
        <x:v>1693.24</x:v>
      </x:c>
      <x:c r="F1967" s="11" t="n">
        <x:v>21</x:v>
      </x:c>
      <x:c r="G1967" s="11" t="n">
        <x:v>1672.24</x:v>
      </x:c>
      <x:c r="H1967" s="23" t="n">
        <x:v>0.0000824613461473233</x:v>
      </x:c>
      <x:c r="I1967" s="23" t="n">
        <x:v>0.9243706556651211</x:v>
      </x:c>
      <x:c r="J1967" s="2" t="n">
        <x:v>125</x:v>
      </x:c>
      <x:c r="K1967" s="2"/>
      <x:c r="L1967" s="2"/>
    </x:row>
    <x:row r="1968" ht="22" customHeight="1">
      <x:c r="A1968" s="2"/>
      <x:c r="B1968" s="2" t="n">
        <x:v>1935</x:v>
      </x:c>
      <x:c r="C1968" s="2" t="str">
        <x:v>21645</x:v>
      </x:c>
      <x:c r="D1968" s="2" t="str">
        <x:v>ASSORTED TUTTI FRUTTI ROUND BOX</x:v>
      </x:c>
      <x:c r="E1968" s="11" t="n">
        <x:v>1692.1499999999999</x:v>
      </x:c>
      <x:c r="F1968" s="11" t="n">
        <x:v>49.49999999999999</x:v>
      </x:c>
      <x:c r="G1968" s="11" t="n">
        <x:v>1642.6499999999999</x:v>
      </x:c>
      <x:c r="H1968" s="23" t="n">
        <x:v>0.00008240826278802362</x:v>
      </x:c>
      <x:c r="I1968" s="23" t="n">
        <x:v>0.9244530639279092</x:v>
      </x:c>
      <x:c r="J1968" s="2" t="n">
        <x:v>133</x:v>
      </x:c>
      <x:c r="K1968" s="2"/>
      <x:c r="L1968" s="2"/>
    </x:row>
    <x:row r="1969" ht="22" customHeight="1">
      <x:c r="A1969" s="2"/>
      <x:c r="B1969" s="2" t="n">
        <x:v>1936</x:v>
      </x:c>
      <x:c r="C1969" s="2" t="str">
        <x:v>70007</x:v>
      </x:c>
      <x:c r="D1969" s="2" t="str">
        <x:v>HI TEC ALPINE HAND WARMER</x:v>
      </x:c>
      <x:c r="E1969" s="11" t="n">
        <x:v>1691.1799999999998</x:v>
      </x:c>
      <x:c r="F1969" s="11" t="n">
        <x:v>19.799999999999997</x:v>
      </x:c>
      <x:c r="G1969" s="11" t="n">
        <x:v>1671.3799999999999</x:v>
      </x:c>
      <x:c r="H1969" s="23" t="n">
        <x:v>0.00008236102346827987</x:v>
      </x:c>
      <x:c r="I1969" s="23" t="n">
        <x:v>0.9245354249513774</x:v>
      </x:c>
      <x:c r="J1969" s="2" t="n">
        <x:v>205</x:v>
      </x:c>
      <x:c r="K1969" s="2"/>
      <x:c r="L1969" s="2"/>
    </x:row>
    <x:row r="1970" ht="22" customHeight="1">
      <x:c r="A1970" s="2"/>
      <x:c r="B1970" s="2" t="n">
        <x:v>1937</x:v>
      </x:c>
      <x:c r="C1970" s="2" t="str">
        <x:v>20996</x:v>
      </x:c>
      <x:c r="D1970" s="2" t="str">
        <x:v>JAZZ HEARTS ADDRESS BOOK</x:v>
      </x:c>
      <x:c r="E1970" s="11" t="n">
        <x:v>1688.6200000000001</x:v>
      </x:c>
      <x:c r="F1970" s="11" t="n">
        <x:v>5.88</x:v>
      </x:c>
      <x:c r="G1970" s="11" t="n">
        <x:v>1682.74</x:v>
      </x:c>
      <x:c r="H1970" s="23" t="n">
        <x:v>0.00008223635062442009</x:v>
      </x:c>
      <x:c r="I1970" s="23" t="n">
        <x:v>0.9246176613020018</x:v>
      </x:c>
      <x:c r="J1970" s="2" t="n">
        <x:v>335</x:v>
      </x:c>
      <x:c r="K1970" s="2"/>
      <x:c r="L1970" s="2"/>
    </x:row>
    <x:row r="1971" ht="22" customHeight="1">
      <x:c r="A1971" s="2"/>
      <x:c r="B1971" s="2" t="n">
        <x:v>1938</x:v>
      </x:c>
      <x:c r="C1971" s="2" t="str">
        <x:v>21576</x:v>
      </x:c>
      <x:c r="D1971" s="2" t="str">
        <x:v>LETS GO SHOPPING COTTON TOTE BAG</x:v>
      </x:c>
      <x:c r="E1971" s="11" t="n">
        <x:v>1688.44</x:v>
      </x:c>
      <x:c r="F1971" s="11" t="n">
        <x:v>20.25</x:v>
      </x:c>
      <x:c r="G1971" s="11" t="n">
        <x:v>1668.19</x:v>
      </x:c>
      <x:c r="H1971" s="23" t="n">
        <x:v>0.0000822275845650862</x:v>
      </x:c>
      <x:c r="I1971" s="23" t="n">
        <x:v>0.924699888886567</x:v>
      </x:c>
      <x:c r="J1971" s="2" t="n">
        <x:v>205</x:v>
      </x:c>
      <x:c r="K1971" s="2"/>
      <x:c r="L1971" s="2"/>
    </x:row>
    <x:row r="1972" ht="22" customHeight="1">
      <x:c r="A1972" s="2"/>
      <x:c r="B1972" s="2" t="n">
        <x:v>1939</x:v>
      </x:c>
      <x:c r="C1972" s="2" t="str">
        <x:v>22323</x:v>
      </x:c>
      <x:c r="D1972" s="2" t="str">
        <x:v>PINK POLKADOT KIDS BAG</x:v>
      </x:c>
      <x:c r="E1972" s="11" t="n">
        <x:v>1687.21</x:v>
      </x:c>
      <x:c r="F1972" s="11" t="n">
        <x:v>23.4</x:v>
      </x:c>
      <x:c r="G1972" s="11" t="n">
        <x:v>1663.81</x:v>
      </x:c>
      <x:c r="H1972" s="23" t="n">
        <x:v>0.00008216768315963794</x:v>
      </x:c>
      <x:c r="I1972" s="23" t="n">
        <x:v>0.9247820565697266</x:v>
      </x:c>
      <x:c r="J1972" s="2" t="n">
        <x:v>116</x:v>
      </x:c>
      <x:c r="K1972" s="2"/>
      <x:c r="L1972" s="2"/>
    </x:row>
    <x:row r="1973" ht="22" customHeight="1">
      <x:c r="A1973" s="2"/>
      <x:c r="B1973" s="2" t="n">
        <x:v>1940</x:v>
      </x:c>
      <x:c r="C1973" s="2" t="str">
        <x:v>21251</x:v>
      </x:c>
      <x:c r="D1973" s="2" t="str">
        <x:v>DINOSAUR HEIGHT CHART STICKER SET</x:v>
      </x:c>
      <x:c r="E1973" s="11" t="n">
        <x:v>1686.88</x:v>
      </x:c>
      <x:c r="F1973" s="11" t="n">
        <x:v>0</x:v>
      </x:c>
      <x:c r="G1973" s="11" t="n">
        <x:v>1686.88</x:v>
      </x:c>
      <x:c r="H1973" s="23" t="n">
        <x:v>0.00008215161205085914</x:v>
      </x:c>
      <x:c r="I1973" s="23" t="n">
        <x:v>0.9248642081817774</x:v>
      </x:c>
      <x:c r="J1973" s="2" t="n">
        <x:v>132</x:v>
      </x:c>
      <x:c r="K1973" s="2"/>
      <x:c r="L1973" s="2"/>
    </x:row>
    <x:row r="1974" ht="22" customHeight="1">
      <x:c r="A1974" s="2"/>
      <x:c r="B1974" s="2" t="n">
        <x:v>1941</x:v>
      </x:c>
      <x:c r="C1974" s="2" t="str">
        <x:v>85221</x:v>
      </x:c>
      <x:c r="D1974" s="2" t="str">
        <x:v>ASSORTED COLOUR SILK COIN PURSE</x:v>
      </x:c>
      <x:c r="E1974" s="11" t="n">
        <x:v>1685.46</x:v>
      </x:c>
      <x:c r="F1974" s="11" t="n">
        <x:v>155.92000000000002</x:v>
      </x:c>
      <x:c r="G1974" s="11" t="n">
        <x:v>1529.54</x:v>
      </x:c>
      <x:c r="H1974" s="23" t="n">
        <x:v>0.00008208245758278066</x:v>
      </x:c>
      <x:c r="I1974" s="23" t="n">
        <x:v>0.9249462906393602</x:v>
      </x:c>
      <x:c r="J1974" s="2" t="n">
        <x:v>47</x:v>
      </x:c>
      <x:c r="K1974" s="2"/>
      <x:c r="L1974" s="2"/>
    </x:row>
    <x:row r="1975" ht="22" customHeight="1">
      <x:c r="A1975" s="2"/>
      <x:c r="B1975" s="2" t="n">
        <x:v>1942</x:v>
      </x:c>
      <x:c r="C1975" s="2" t="str">
        <x:v>21278</x:v>
      </x:c>
      <x:c r="D1975" s="2" t="str">
        <x:v>VINTAGE KITCHEN PRINT PUDDINGS</x:v>
      </x:c>
      <x:c r="E1975" s="11" t="n">
        <x:v>1685.05</x:v>
      </x:c>
      <x:c r="F1975" s="11" t="n">
        <x:v>320.4</x:v>
      </x:c>
      <x:c r="G1975" s="11" t="n">
        <x:v>1364.6499999999999</x:v>
      </x:c>
      <x:c r="H1975" s="23" t="n">
        <x:v>0.00008206249044763124</x:v>
      </x:c>
      <x:c r="I1975" s="23" t="n">
        <x:v>0.9250283531298078</x:v>
      </x:c>
      <x:c r="J1975" s="2" t="n">
        <x:v>118</x:v>
      </x:c>
      <x:c r="K1975" s="2"/>
      <x:c r="L1975" s="2"/>
    </x:row>
    <x:row r="1976" ht="22" customHeight="1">
      <x:c r="A1976" s="2"/>
      <x:c r="B1976" s="2" t="n">
        <x:v>1943</x:v>
      </x:c>
      <x:c r="C1976" s="2" t="str">
        <x:v>17129F</x:v>
      </x:c>
      <x:c r="D1976" s="2" t="str">
        <x:v>BLUE GLASS GEMS IN BAG</x:v>
      </x:c>
      <x:c r="E1976" s="11" t="n">
        <x:v>1684.58</x:v>
      </x:c>
      <x:c r="F1976" s="11" t="n">
        <x:v>11.659999999999998</x:v>
      </x:c>
      <x:c r="G1976" s="11" t="n">
        <x:v>1672.9199999999998</x:v>
      </x:c>
      <x:c r="H1976" s="23" t="n">
        <x:v>0.00008203960129270385</x:v>
      </x:c>
      <x:c r="I1976" s="23" t="n">
        <x:v>0.9251103927311005</x:v>
      </x:c>
      <x:c r="J1976" s="2" t="n">
        <x:v>145</x:v>
      </x:c>
      <x:c r="K1976" s="2"/>
      <x:c r="L1976" s="2"/>
    </x:row>
    <x:row r="1977" ht="22" customHeight="1">
      <x:c r="A1977" s="2"/>
      <x:c r="B1977" s="2" t="n">
        <x:v>1944</x:v>
      </x:c>
      <x:c r="C1977" s="2" t="str">
        <x:v>21446</x:v>
      </x:c>
      <x:c r="D1977" s="2" t="str">
        <x:v>12 RED ROSE PEG PLACE SETTINGS</x:v>
      </x:c>
      <x:c r="E1977" s="11" t="n">
        <x:v>1683.58</x:v>
      </x:c>
      <x:c r="F1977" s="11" t="n">
        <x:v>0</x:v>
      </x:c>
      <x:c r="G1977" s="11" t="n">
        <x:v>1683.58</x:v>
      </x:c>
      <x:c r="H1977" s="23" t="n">
        <x:v>0.00008199090096307112</x:v>
      </x:c>
      <x:c r="I1977" s="23" t="n">
        <x:v>0.9251923836320636</x:v>
      </x:c>
      <x:c r="J1977" s="2" t="n">
        <x:v>232</x:v>
      </x:c>
      <x:c r="K1977" s="2"/>
      <x:c r="L1977" s="2"/>
    </x:row>
    <x:row r="1978" ht="22" customHeight="1">
      <x:c r="A1978" s="2"/>
      <x:c r="B1978" s="2" t="n">
        <x:v>1945</x:v>
      </x:c>
      <x:c r="C1978" s="2" t="str">
        <x:v>23368</x:v>
      </x:c>
      <x:c r="D1978" s="2" t="str">
        <x:v>SET 12 COLOUR PENCILS DOLLY GIRL </x:v>
      </x:c>
      <x:c r="E1978" s="11" t="n">
        <x:v>1681.5</x:v>
      </x:c>
      <x:c r="F1978" s="11" t="n">
        <x:v>3.9000000000000004</x:v>
      </x:c>
      <x:c r="G1978" s="11" t="n">
        <x:v>1677.6000000000001</x:v>
      </x:c>
      <x:c r="H1978" s="23" t="n">
        <x:v>0.00008188960427743504</x:v>
      </x:c>
      <x:c r="I1978" s="23" t="n">
        <x:v>0.925274273236341</x:v>
      </x:c>
      <x:c r="J1978" s="2" t="n">
        <x:v>232</x:v>
      </x:c>
      <x:c r="K1978" s="2"/>
      <x:c r="L1978" s="2"/>
    </x:row>
    <x:row r="1979" ht="22" customHeight="1">
      <x:c r="A1979" s="2"/>
      <x:c r="B1979" s="2" t="n">
        <x:v>1946</x:v>
      </x:c>
      <x:c r="C1979" s="2" t="str">
        <x:v>21382</x:v>
      </x:c>
      <x:c r="D1979" s="2" t="str">
        <x:v>SET/4 SPRING FLOWER DECORATION</x:v>
      </x:c>
      <x:c r="E1979" s="11" t="n">
        <x:v>1681.16</x:v>
      </x:c>
      <x:c r="F1979" s="11" t="n">
        <x:v>6</x:v>
      </x:c>
      <x:c r="G1979" s="11" t="n">
        <x:v>1675.16</x:v>
      </x:c>
      <x:c r="H1979" s="23" t="n">
        <x:v>0.00008187304616535993</x:v>
      </x:c>
      <x:c r="I1979" s="23" t="n">
        <x:v>0.9253561462825064</x:v>
      </x:c>
      <x:c r="J1979" s="2" t="n">
        <x:v>152</x:v>
      </x:c>
      <x:c r="K1979" s="2"/>
      <x:c r="L1979" s="2"/>
    </x:row>
    <x:row r="1980" ht="22" customHeight="1">
      <x:c r="A1980" s="2"/>
      <x:c r="B1980" s="2" t="n">
        <x:v>1947</x:v>
      </x:c>
      <x:c r="C1980" s="2" t="str">
        <x:v>22975</x:v>
      </x:c>
      <x:c r="D1980" s="2" t="str">
        <x:v>SPACEBOY CHILDRENS EGG CUP</x:v>
      </x:c>
      <x:c r="E1980" s="11" t="n">
        <x:v>1679.66</x:v>
      </x:c>
      <x:c r="F1980" s="11" t="n">
        <x:v>1.25</x:v>
      </x:c>
      <x:c r="G1980" s="11" t="n">
        <x:v>1678.41</x:v>
      </x:c>
      <x:c r="H1980" s="23" t="n">
        <x:v>0.00008179999567091083</x:v>
      </x:c>
      <x:c r="I1980" s="23" t="n">
        <x:v>0.9254379462781773</x:v>
      </x:c>
      <x:c r="J1980" s="2" t="n">
        <x:v>193</x:v>
      </x:c>
      <x:c r="K1980" s="2"/>
      <x:c r="L1980" s="2"/>
    </x:row>
    <x:row r="1981" ht="22" customHeight="1">
      <x:c r="A1981" s="2"/>
      <x:c r="B1981" s="2" t="n">
        <x:v>1948</x:v>
      </x:c>
      <x:c r="C1981" s="2" t="str">
        <x:v>21633</x:v>
      </x:c>
      <x:c r="D1981" s="2" t="str">
        <x:v>SUNFLOWER DECORATIVE PARASOL</x:v>
      </x:c>
      <x:c r="E1981" s="11" t="n">
        <x:v>1675.86</x:v>
      </x:c>
      <x:c r="F1981" s="11" t="n">
        <x:v>25.5</x:v>
      </x:c>
      <x:c r="G1981" s="11" t="n">
        <x:v>1650.36</x:v>
      </x:c>
      <x:c r="H1981" s="23" t="n">
        <x:v>0.00008161493441830645</x:v>
      </x:c>
      <x:c r="I1981" s="23" t="n">
        <x:v>0.9255195612125956</x:v>
      </x:c>
      <x:c r="J1981" s="2" t="n">
        <x:v>72</x:v>
      </x:c>
      <x:c r="K1981" s="2"/>
      <x:c r="L1981" s="2"/>
    </x:row>
    <x:row r="1982" ht="22" customHeight="1">
      <x:c r="A1982" s="2"/>
      <x:c r="B1982" s="2" t="n">
        <x:v>1949</x:v>
      </x:c>
      <x:c r="C1982" s="2" t="str">
        <x:v>46776F</x:v>
      </x:c>
      <x:c r="D1982" s="2" t="str">
        <x:v>WOVEN ROSE GARDEN CUSHION COVER </x:v>
      </x:c>
      <x:c r="E1982" s="11" t="n">
        <x:v>1675.73</x:v>
      </x:c>
      <x:c r="F1982" s="11" t="n">
        <x:v>0</x:v>
      </x:c>
      <x:c r="G1982" s="11" t="n">
        <x:v>1675.73</x:v>
      </x:c>
      <x:c r="H1982" s="23" t="n">
        <x:v>0.0000816086033754542</x:v>
      </x:c>
      <x:c r="I1982" s="23" t="n">
        <x:v>0.9256011698159711</x:v>
      </x:c>
      <x:c r="J1982" s="2" t="n">
        <x:v>157</x:v>
      </x:c>
      <x:c r="K1982" s="2"/>
      <x:c r="L1982" s="2"/>
    </x:row>
    <x:row r="1983" ht="22" customHeight="1">
      <x:c r="A1983" s="2"/>
      <x:c r="B1983" s="2" t="n">
        <x:v>1950</x:v>
      </x:c>
      <x:c r="C1983" s="2" t="str">
        <x:v>72816</x:v>
      </x:c>
      <x:c r="D1983" s="2" t="str">
        <x:v>SET/3 CHRISTMAS DECOUPAGE CANDLES</x:v>
      </x:c>
      <x:c r="E1983" s="11" t="n">
        <x:v>1673.72</x:v>
      </x:c>
      <x:c r="F1983" s="11" t="n">
        <x:v>30</x:v>
      </x:c>
      <x:c r="G1983" s="11" t="n">
        <x:v>1643.72</x:v>
      </x:c>
      <x:c r="H1983" s="23" t="n">
        <x:v>0.00008151071571289242</x:v>
      </x:c>
      <x:c r="I1983" s="23" t="n">
        <x:v>0.925682680531684</x:v>
      </x:c>
      <x:c r="J1983" s="2" t="n">
        <x:v>136</x:v>
      </x:c>
      <x:c r="K1983" s="2"/>
      <x:c r="L1983" s="2"/>
    </x:row>
    <x:row r="1984" ht="22" customHeight="1">
      <x:c r="A1984" s="2"/>
      <x:c r="B1984" s="2" t="n">
        <x:v>1951</x:v>
      </x:c>
      <x:c r="C1984" s="2" t="str">
        <x:v>72817</x:v>
      </x:c>
      <x:c r="D1984" s="2" t="str">
        <x:v>SET OF 2 CHRISTMAS DECOUPAGE CANDLE</x:v>
      </x:c>
      <x:c r="E1984" s="11" t="n">
        <x:v>1671.28</x:v>
      </x:c>
      <x:c r="F1984" s="11" t="n">
        <x:v>30</x:v>
      </x:c>
      <x:c r="G1984" s="11" t="n">
        <x:v>1641.28</x:v>
      </x:c>
      <x:c r="H1984" s="23" t="n">
        <x:v>0.00008139188690858856</x:v>
      </x:c>
      <x:c r="I1984" s="23" t="n">
        <x:v>0.9257640724185926</x:v>
      </x:c>
      <x:c r="J1984" s="2" t="n">
        <x:v>214</x:v>
      </x:c>
      <x:c r="K1984" s="2"/>
      <x:c r="L1984" s="2"/>
    </x:row>
    <x:row r="1985" ht="22" customHeight="1">
      <x:c r="A1985" s="2"/>
      <x:c r="B1985" s="2" t="n">
        <x:v>1952</x:v>
      </x:c>
      <x:c r="C1985" s="2" t="str">
        <x:v>85036C</x:v>
      </x:c>
      <x:c r="D1985" s="2" t="str">
        <x:v>ROSE 1 WICK MORRIS BOXED CANDLE</x:v>
      </x:c>
      <x:c r="E1985" s="11" t="n">
        <x:v>1671.27</x:v>
      </x:c>
      <x:c r="F1985" s="11" t="n">
        <x:v>232.25</x:v>
      </x:c>
      <x:c r="G1985" s="11" t="n">
        <x:v>1439.02</x:v>
      </x:c>
      <x:c r="H1985" s="23" t="n">
        <x:v>0.00008139139990529222</x:v>
      </x:c>
      <x:c r="I1985" s="23" t="n">
        <x:v>0.9258454638184979</x:v>
      </x:c>
      <x:c r="J1985" s="2" t="n">
        <x:v>128</x:v>
      </x:c>
      <x:c r="K1985" s="2"/>
      <x:c r="L1985" s="2"/>
    </x:row>
    <x:row r="1986" ht="22" customHeight="1">
      <x:c r="A1986" s="2"/>
      <x:c r="B1986" s="2" t="n">
        <x:v>1953</x:v>
      </x:c>
      <x:c r="C1986" s="2" t="str">
        <x:v>22673</x:v>
      </x:c>
      <x:c r="D1986" s="2" t="str">
        <x:v>FRENCH GARDEN SIGN BLUE METAL</x:v>
      </x:c>
      <x:c r="E1986" s="11" t="n">
        <x:v>1671.25</x:v>
      </x:c>
      <x:c r="F1986" s="11" t="n">
        <x:v>118.01</x:v>
      </x:c>
      <x:c r="G1986" s="11" t="n">
        <x:v>1553.24</x:v>
      </x:c>
      <x:c r="H1986" s="23" t="n">
        <x:v>0.00008139042589869957</x:v>
      </x:c>
      <x:c r="I1986" s="23" t="n">
        <x:v>0.9259268542443966</x:v>
      </x:c>
      <x:c r="J1986" s="2" t="n">
        <x:v>195</x:v>
      </x:c>
      <x:c r="K1986" s="2"/>
      <x:c r="L1986" s="2"/>
    </x:row>
    <x:row r="1987" ht="22" customHeight="1">
      <x:c r="A1987" s="2"/>
      <x:c r="B1987" s="2" t="n">
        <x:v>1954</x:v>
      </x:c>
      <x:c r="C1987" s="2" t="str">
        <x:v>22410</x:v>
      </x:c>
      <x:c r="D1987" s="2" t="str">
        <x:v>MONEY BOX HOUSEKEEPING DESIGN</x:v>
      </x:c>
      <x:c r="E1987" s="11" t="n">
        <x:v>1671.21</x:v>
      </x:c>
      <x:c r="F1987" s="11" t="n">
        <x:v>15</x:v>
      </x:c>
      <x:c r="G1987" s="11" t="n">
        <x:v>1656.21</x:v>
      </x:c>
      <x:c r="H1987" s="23" t="n">
        <x:v>0.00008138847788551426</x:v>
      </x:c>
      <x:c r="I1987" s="23" t="n">
        <x:v>0.9260082427222821</x:v>
      </x:c>
      <x:c r="J1987" s="2" t="n">
        <x:v>198</x:v>
      </x:c>
      <x:c r="K1987" s="2"/>
      <x:c r="L1987" s="2"/>
    </x:row>
    <x:row r="1988" ht="22" customHeight="1">
      <x:c r="A1988" s="2"/>
      <x:c r="B1988" s="2" t="n">
        <x:v>1955</x:v>
      </x:c>
      <x:c r="C1988" s="2" t="str">
        <x:v>23366</x:v>
      </x:c>
      <x:c r="D1988" s="2" t="str">
        <x:v>SET 12 COLOURING PENCILS DOILY</x:v>
      </x:c>
      <x:c r="E1988" s="11" t="n">
        <x:v>1670.55</x:v>
      </x:c>
      <x:c r="F1988" s="11" t="n">
        <x:v>0</x:v>
      </x:c>
      <x:c r="G1988" s="11" t="n">
        <x:v>1670.55</x:v>
      </x:c>
      <x:c r="H1988" s="23" t="n">
        <x:v>0.00008135633566795666</x:v>
      </x:c>
      <x:c r="I1988" s="23" t="n">
        <x:v>0.9260895990579501</x:v>
      </x:c>
      <x:c r="J1988" s="2" t="n">
        <x:v>195</x:v>
      </x:c>
      <x:c r="K1988" s="2"/>
      <x:c r="L1988" s="2"/>
    </x:row>
    <x:row r="1989" ht="22" customHeight="1">
      <x:c r="A1989" s="2"/>
      <x:c r="B1989" s="2" t="n">
        <x:v>1956</x:v>
      </x:c>
      <x:c r="C1989" s="2" t="str">
        <x:v>21284</x:v>
      </x:c>
      <x:c r="D1989" s="2" t="str">
        <x:v>RETROSPOT CANDLE  SMALL</x:v>
      </x:c>
      <x:c r="E1989" s="11" t="n">
        <x:v>1670.41</x:v>
      </x:c>
      <x:c r="F1989" s="11" t="n">
        <x:v>50.64</x:v>
      </x:c>
      <x:c r="G1989" s="11" t="n">
        <x:v>1619.77</x:v>
      </x:c>
      <x:c r="H1989" s="23" t="n">
        <x:v>0.00008134951762180808</x:v>
      </x:c>
      <x:c r="I1989" s="23" t="n">
        <x:v>0.9261709485755719</x:v>
      </x:c>
      <x:c r="J1989" s="2" t="n">
        <x:v>140</x:v>
      </x:c>
      <x:c r="K1989" s="2"/>
      <x:c r="L1989" s="2"/>
    </x:row>
    <x:row r="1990" ht="22" customHeight="1">
      <x:c r="A1990" s="2"/>
      <x:c r="B1990" s="2" t="n">
        <x:v>1957</x:v>
      </x:c>
      <x:c r="C1990" s="2" t="str">
        <x:v>35809A</x:v>
      </x:c>
      <x:c r="D1990" s="2" t="str">
        <x:v>ENAMEL PINK TEA CONTAINER</x:v>
      </x:c>
      <x:c r="E1990" s="11" t="n">
        <x:v>1667.6100000000001</x:v>
      </x:c>
      <x:c r="F1990" s="11" t="n">
        <x:v>0</x:v>
      </x:c>
      <x:c r="G1990" s="11" t="n">
        <x:v>1667.6100000000001</x:v>
      </x:c>
      <x:c r="H1990" s="23" t="n">
        <x:v>0.00008121315669883644</x:v>
      </x:c>
      <x:c r="I1990" s="23" t="n">
        <x:v>0.9262521617322708</x:v>
      </x:c>
      <x:c r="J1990" s="2" t="n">
        <x:v>177</x:v>
      </x:c>
      <x:c r="K1990" s="2"/>
      <x:c r="L1990" s="2"/>
    </x:row>
    <x:row r="1991" ht="22" customHeight="1">
      <x:c r="A1991" s="2"/>
      <x:c r="B1991" s="2" t="n">
        <x:v>1958</x:v>
      </x:c>
      <x:c r="C1991" s="2" t="str">
        <x:v>85039A</x:v>
      </x:c>
      <x:c r="D1991" s="2" t="str">
        <x:v>SET/4 RED MINI ROSE CANDLE IN BOWL</x:v>
      </x:c>
      <x:c r="E1991" s="11" t="n">
        <x:v>1664.6699999999998</x:v>
      </x:c>
      <x:c r="F1991" s="11" t="n">
        <x:v>4.949999999999999</x:v>
      </x:c>
      <x:c r="G1991" s="11" t="n">
        <x:v>1659.7199999999998</x:v>
      </x:c>
      <x:c r="H1991" s="23" t="n">
        <x:v>0.0000810699777297162</x:v>
      </x:c>
      <x:c r="I1991" s="23" t="n">
        <x:v>0.9263332317100005</x:v>
      </x:c>
      <x:c r="J1991" s="2" t="n">
        <x:v>251</x:v>
      </x:c>
      <x:c r="K1991" s="2"/>
      <x:c r="L1991" s="2"/>
    </x:row>
    <x:row r="1992" ht="22" customHeight="1">
      <x:c r="A1992" s="2"/>
      <x:c r="B1992" s="2" t="n">
        <x:v>1959</x:v>
      </x:c>
      <x:c r="C1992" s="2" t="str">
        <x:v>23505</x:v>
      </x:c>
      <x:c r="D1992" s="2" t="str">
        <x:v>PLAYING CARDS I LOVE LONDON </x:v>
      </x:c>
      <x:c r="E1992" s="11" t="n">
        <x:v>1660.04</x:v>
      </x:c>
      <x:c r="F1992" s="11" t="n">
        <x:v>0</x:v>
      </x:c>
      <x:c r="G1992" s="11" t="n">
        <x:v>1660.04</x:v>
      </x:c>
      <x:c r="H1992" s="23" t="n">
        <x:v>0.00008084449520351666</x:v>
      </x:c>
      <x:c r="I1992" s="23" t="n">
        <x:v>0.926414076205204</x:v>
      </x:c>
      <x:c r="J1992" s="2" t="n">
        <x:v>115</x:v>
      </x:c>
      <x:c r="K1992" s="2"/>
      <x:c r="L1992" s="2"/>
    </x:row>
    <x:row r="1993" ht="22" customHeight="1">
      <x:c r="A1993" s="2"/>
      <x:c r="B1993" s="2" t="n">
        <x:v>1960</x:v>
      </x:c>
      <x:c r="C1993" s="2" t="str">
        <x:v>23270</x:v>
      </x:c>
      <x:c r="D1993" s="2" t="str">
        <x:v>SET OF 2 CERAMIC PAINTED HEARTS </x:v>
      </x:c>
      <x:c r="E1993" s="11" t="n">
        <x:v>1659.37</x:v>
      </x:c>
      <x:c r="F1993" s="11" t="n">
        <x:v>8.7</x:v>
      </x:c>
      <x:c r="G1993" s="11" t="n">
        <x:v>1650.6699999999998</x:v>
      </x:c>
      <x:c r="H1993" s="23" t="n">
        <x:v>0.00008081186598266273</x:v>
      </x:c>
      <x:c r="I1993" s="23" t="n">
        <x:v>0.9264948880711866</x:v>
      </x:c>
      <x:c r="J1993" s="2" t="n">
        <x:v>125</x:v>
      </x:c>
      <x:c r="K1993" s="2"/>
      <x:c r="L1993" s="2"/>
    </x:row>
    <x:row r="1994" ht="22" customHeight="1">
      <x:c r="A1994" s="2"/>
      <x:c r="B1994" s="2" t="n">
        <x:v>1961</x:v>
      </x:c>
      <x:c r="C1994" s="2" t="str">
        <x:v>21294</x:v>
      </x:c>
      <x:c r="D1994" s="2" t="str">
        <x:v>ETCHED GLASS COASTER</x:v>
      </x:c>
      <x:c r="E1994" s="11" t="n">
        <x:v>1658.75</x:v>
      </x:c>
      <x:c r="F1994" s="11" t="n">
        <x:v>0</x:v>
      </x:c>
      <x:c r="G1994" s="11" t="n">
        <x:v>1658.75</x:v>
      </x:c>
      <x:c r="H1994" s="23" t="n">
        <x:v>0.00008078167177829045</x:v>
      </x:c>
      <x:c r="I1994" s="23" t="n">
        <x:v>0.9265756697429649</x:v>
      </x:c>
      <x:c r="J1994" s="2" t="n">
        <x:v>139</x:v>
      </x:c>
      <x:c r="K1994" s="2"/>
      <x:c r="L1994" s="2"/>
    </x:row>
    <x:row r="1995" ht="22" customHeight="1">
      <x:c r="A1995" s="2"/>
      <x:c r="B1995" s="2" t="n">
        <x:v>1962</x:v>
      </x:c>
      <x:c r="C1995" s="2" t="str">
        <x:v>21162</x:v>
      </x:c>
      <x:c r="D1995" s="2" t="str">
        <x:v>TOXIC AREA  DOOR HANGER </x:v>
      </x:c>
      <x:c r="E1995" s="11" t="n">
        <x:v>1657.05</x:v>
      </x:c>
      <x:c r="F1995" s="11" t="n">
        <x:v>44.76</x:v>
      </x:c>
      <x:c r="G1995" s="11" t="n">
        <x:v>1612.29</x:v>
      </x:c>
      <x:c r="H1995" s="23" t="n">
        <x:v>0.0000806988812179148</x:v>
      </x:c>
      <x:c r="I1995" s="23" t="n">
        <x:v>0.9266563686241828</x:v>
      </x:c>
      <x:c r="J1995" s="2" t="n">
        <x:v>285</x:v>
      </x:c>
      <x:c r="K1995" s="2"/>
      <x:c r="L1995" s="2"/>
    </x:row>
    <x:row r="1996" ht="22" customHeight="1">
      <x:c r="A1996" s="2"/>
      <x:c r="B1996" s="2" t="n">
        <x:v>1963</x:v>
      </x:c>
      <x:c r="C1996" s="2" t="str">
        <x:v>37441</x:v>
      </x:c>
      <x:c r="D1996" s="2" t="str">
        <x:v>ASSORTED WHITE EMBOSSED CHINA MUGS</x:v>
      </x:c>
      <x:c r="E1996" s="11" t="n">
        <x:v>1652.4</x:v>
      </x:c>
      <x:c r="F1996" s="11" t="n">
        <x:v>2.1</x:v>
      </x:c>
      <x:c r="G1996" s="11" t="n">
        <x:v>1650.3000000000002</x:v>
      </x:c>
      <x:c r="H1996" s="23" t="n">
        <x:v>0.00008047242468512262</x:v>
      </x:c>
      <x:c r="I1996" s="23" t="n">
        <x:v>0.9267368410488679</x:v>
      </x:c>
      <x:c r="J1996" s="2" t="n">
        <x:v>54</x:v>
      </x:c>
      <x:c r="K1996" s="2"/>
      <x:c r="L1996" s="2"/>
    </x:row>
    <x:row r="1997" ht="22" customHeight="1">
      <x:c r="A1997" s="2"/>
      <x:c r="B1997" s="2" t="n">
        <x:v>1964</x:v>
      </x:c>
      <x:c r="C1997" s="2" t="str">
        <x:v>22025</x:v>
      </x:c>
      <x:c r="D1997" s="2" t="str">
        <x:v>RING OF ROSES BIRTHDAY CARD</x:v>
      </x:c>
      <x:c r="E1997" s="11" t="n">
        <x:v>1651.72</x:v>
      </x:c>
      <x:c r="F1997" s="11" t="n">
        <x:v>5.04</x:v>
      </x:c>
      <x:c r="G1997" s="11" t="n">
        <x:v>1646.68</x:v>
      </x:c>
      <x:c r="H1997" s="23" t="n">
        <x:v>0.00008043930846097236</x:v>
      </x:c>
      <x:c r="I1997" s="23" t="n">
        <x:v>0.9268172803573289</x:v>
      </x:c>
      <x:c r="J1997" s="2" t="n">
        <x:v>288</x:v>
      </x:c>
      <x:c r="K1997" s="2"/>
      <x:c r="L1997" s="2"/>
    </x:row>
    <x:row r="1998" ht="22" customHeight="1">
      <x:c r="A1998" s="2"/>
      <x:c r="B1998" s="2" t="n">
        <x:v>1965</x:v>
      </x:c>
      <x:c r="C1998" s="2" t="str">
        <x:v>23483</x:v>
      </x:c>
      <x:c r="D1998" s="2" t="str">
        <x:v>HANGING  BUTTERFLY T-LIGHT HOLDER</x:v>
      </x:c>
      <x:c r="E1998" s="11" t="n">
        <x:v>1651.36</x:v>
      </x:c>
      <x:c r="F1998" s="11" t="n">
        <x:v>26.240000000000002</x:v>
      </x:c>
      <x:c r="G1998" s="11" t="n">
        <x:v>1625.12</x:v>
      </x:c>
      <x:c r="H1998" s="23" t="n">
        <x:v>0.00008042177634230456</x:v>
      </x:c>
      <x:c r="I1998" s="23" t="n">
        <x:v>0.9268977021336712</x:v>
      </x:c>
      <x:c r="J1998" s="2" t="n">
        <x:v>73</x:v>
      </x:c>
      <x:c r="K1998" s="2"/>
      <x:c r="L1998" s="2"/>
    </x:row>
    <x:row r="1999" ht="22" customHeight="1">
      <x:c r="A1999" s="2"/>
      <x:c r="B1999" s="2" t="n">
        <x:v>1966</x:v>
      </x:c>
      <x:c r="C1999" s="2" t="str">
        <x:v>21448</x:v>
      </x:c>
      <x:c r="D1999" s="2" t="str">
        <x:v>12 DAISY PEGS IN WOOD BOX</x:v>
      </x:c>
      <x:c r="E1999" s="11" t="n">
        <x:v>1650.0699999999997</x:v>
      </x:c>
      <x:c r="F1999" s="11" t="n">
        <x:v>0</x:v>
      </x:c>
      <x:c r="G1999" s="11" t="n">
        <x:v>1650.0699999999997</x:v>
      </x:c>
      <x:c r="H1999" s="23" t="n">
        <x:v>0.00008035895291707834</x:v>
      </x:c>
      <x:c r="I1999" s="23" t="n">
        <x:v>0.9269780610865882</x:v>
      </x:c>
      <x:c r="J1999" s="2" t="n">
        <x:v>211</x:v>
      </x:c>
      <x:c r="K1999" s="2"/>
      <x:c r="L1999" s="2"/>
    </x:row>
    <x:row r="2000" ht="22" customHeight="1">
      <x:c r="A2000" s="2"/>
      <x:c r="B2000" s="2" t="n">
        <x:v>1967</x:v>
      </x:c>
      <x:c r="C2000" s="2" t="str">
        <x:v>23273</x:v>
      </x:c>
      <x:c r="D2000" s="2" t="str">
        <x:v>HEART T-LIGHT HOLDER WILLIE WINKIE</x:v>
      </x:c>
      <x:c r="E2000" s="11" t="n">
        <x:v>1649.0499999999997</x:v>
      </x:c>
      <x:c r="F2000" s="11" t="n">
        <x:v>6.6</x:v>
      </x:c>
      <x:c r="G2000" s="11" t="n">
        <x:v>1642.4499999999998</x:v>
      </x:c>
      <x:c r="H2000" s="23" t="n">
        <x:v>0.00008030927858085296</x:v>
      </x:c>
      <x:c r="I2000" s="23" t="n">
        <x:v>0.927058370365169</x:v>
      </x:c>
      <x:c r="J2000" s="2" t="n">
        <x:v>112</x:v>
      </x:c>
      <x:c r="K2000" s="2"/>
      <x:c r="L2000" s="2"/>
    </x:row>
    <x:row r="2001" ht="22" customHeight="1">
      <x:c r="A2001" s="2"/>
      <x:c r="B2001" s="2" t="n">
        <x:v>1968</x:v>
      </x:c>
      <x:c r="C2001" s="2" t="str">
        <x:v>21426</x:v>
      </x:c>
      <x:c r="D2001" s="2" t="str">
        <x:v>WOODLAND STORAGE BOX SMALL</x:v>
      </x:c>
      <x:c r="E2001" s="11" t="n">
        <x:v>1647.0700000000002</x:v>
      </x:c>
      <x:c r="F2001" s="11" t="n">
        <x:v>161.40000000000003</x:v>
      </x:c>
      <x:c r="G2001" s="11" t="n">
        <x:v>1485.67</x:v>
      </x:c>
      <x:c r="H2001" s="23" t="n">
        <x:v>0.00008021285192818018</x:v>
      </x:c>
      <x:c r="I2001" s="23" t="n">
        <x:v>0.9271385832170972</x:v>
      </x:c>
      <x:c r="J2001" s="2" t="n">
        <x:v>99</x:v>
      </x:c>
      <x:c r="K2001" s="2"/>
      <x:c r="L2001" s="2"/>
    </x:row>
    <x:row r="2002" ht="22" customHeight="1">
      <x:c r="A2002" s="2"/>
      <x:c r="B2002" s="2" t="n">
        <x:v>1969</x:v>
      </x:c>
      <x:c r="C2002" s="2" t="str">
        <x:v>21332</x:v>
      </x:c>
      <x:c r="D2002" s="2" t="str">
        <x:v>MOROCCAN BEATEN METAL MIRROR</x:v>
      </x:c>
      <x:c r="E2002" s="11" t="n">
        <x:v>1644.17</x:v>
      </x:c>
      <x:c r="F2002" s="11" t="n">
        <x:v>109.75</x:v>
      </x:c>
      <x:c r="G2002" s="11" t="n">
        <x:v>1534.42</x:v>
      </x:c>
      <x:c r="H2002" s="23" t="n">
        <x:v>0.00008007162097224525</x:v>
      </x:c>
      <x:c r="I2002" s="23" t="n">
        <x:v>0.9272186548380694</x:v>
      </x:c>
      <x:c r="J2002" s="2" t="n">
        <x:v>50</x:v>
      </x:c>
      <x:c r="K2002" s="2"/>
      <x:c r="L2002" s="2"/>
    </x:row>
    <x:row r="2003" ht="22" customHeight="1">
      <x:c r="A2003" s="2"/>
      <x:c r="B2003" s="2" t="n">
        <x:v>1970</x:v>
      </x:c>
      <x:c r="C2003" s="2" t="str">
        <x:v>21545</x:v>
      </x:c>
      <x:c r="D2003" s="2" t="str">
        <x:v>CERAMIC BIRDHOUSE BUTTERFLY SMALL</x:v>
      </x:c>
      <x:c r="E2003" s="11" t="n">
        <x:v>1643.0700000000002</x:v>
      </x:c>
      <x:c r="F2003" s="11" t="n">
        <x:v>5.9</x:v>
      </x:c>
      <x:c r="G2003" s="11" t="n">
        <x:v>1637.17</x:v>
      </x:c>
      <x:c r="H2003" s="23" t="n">
        <x:v>0.00008001805060964925</x:v>
      </x:c>
      <x:c r="I2003" s="23" t="n">
        <x:v>0.9272986728886791</x:v>
      </x:c>
      <x:c r="J2003" s="2" t="n">
        <x:v>82</x:v>
      </x:c>
      <x:c r="K2003" s="2"/>
      <x:c r="L2003" s="2"/>
    </x:row>
    <x:row r="2004" ht="22" customHeight="1">
      <x:c r="A2004" s="2"/>
      <x:c r="B2004" s="2" t="n">
        <x:v>1971</x:v>
      </x:c>
      <x:c r="C2004" s="2" t="str">
        <x:v>48195</x:v>
      </x:c>
      <x:c r="D2004" s="2" t="str">
        <x:v>DOORMAT GREEN PAISLEY </x:v>
      </x:c>
      <x:c r="E2004" s="11" t="n">
        <x:v>1642.97</x:v>
      </x:c>
      <x:c r="F2004" s="11" t="n">
        <x:v>27</x:v>
      </x:c>
      <x:c r="G2004" s="11" t="n">
        <x:v>1615.97</x:v>
      </x:c>
      <x:c r="H2004" s="23" t="n">
        <x:v>0.00008001318057668598</x:v>
      </x:c>
      <x:c r="I2004" s="23" t="n">
        <x:v>0.9273786860692558</x:v>
      </x:c>
      <x:c r="J2004" s="2" t="n">
        <x:v>87</x:v>
      </x:c>
      <x:c r="K2004" s="2"/>
      <x:c r="L2004" s="2"/>
    </x:row>
    <x:row r="2005" ht="22" customHeight="1">
      <x:c r="A2005" s="2"/>
      <x:c r="B2005" s="2" t="n">
        <x:v>1972</x:v>
      </x:c>
      <x:c r="C2005" s="2" t="str">
        <x:v>23348</x:v>
      </x:c>
      <x:c r="D2005" s="2" t="str">
        <x:v>CHILDRENS TOY COOKING UTENSIL SET</x:v>
      </x:c>
      <x:c r="E2005" s="11" t="n">
        <x:v>1642.13</x:v>
      </x:c>
      <x:c r="F2005" s="11" t="n">
        <x:v>47.260000000000005</x:v>
      </x:c>
      <x:c r="G2005" s="11" t="n">
        <x:v>1594.8700000000001</x:v>
      </x:c>
      <x:c r="H2005" s="23" t="n">
        <x:v>0.00007997227229979449</x:v>
      </x:c>
      <x:c r="I2005" s="23" t="n">
        <x:v>0.9274586583415556</x:v>
      </x:c>
      <x:c r="J2005" s="2" t="n">
        <x:v>168</x:v>
      </x:c>
      <x:c r="K2005" s="2"/>
      <x:c r="L2005" s="2"/>
    </x:row>
    <x:row r="2006" ht="22" customHeight="1">
      <x:c r="A2006" s="2"/>
      <x:c r="B2006" s="2" t="n">
        <x:v>1973</x:v>
      </x:c>
      <x:c r="C2006" s="2" t="str">
        <x:v>85180A</x:v>
      </x:c>
      <x:c r="D2006" s="2" t="str">
        <x:v>RED HEARTS LIGHT CHAIN </x:v>
      </x:c>
      <x:c r="E2006" s="11" t="n">
        <x:v>1636.42</x:v>
      </x:c>
      <x:c r="F2006" s="11" t="n">
        <x:v>69.75</x:v>
      </x:c>
      <x:c r="G2006" s="11" t="n">
        <x:v>1566.67</x:v>
      </x:c>
      <x:c r="H2006" s="23" t="n">
        <x:v>0.0000796941934175916</x:v>
      </x:c>
      <x:c r="I2006" s="23" t="n">
        <x:v>0.9275383525349732</x:v>
      </x:c>
      <x:c r="J2006" s="2" t="n">
        <x:v>99</x:v>
      </x:c>
      <x:c r="K2006" s="2"/>
      <x:c r="L2006" s="2"/>
    </x:row>
    <x:row r="2007" ht="22" customHeight="1">
      <x:c r="A2007" s="2"/>
      <x:c r="B2007" s="2" t="n">
        <x:v>1974</x:v>
      </x:c>
      <x:c r="C2007" s="2" t="str">
        <x:v>21541</x:v>
      </x:c>
      <x:c r="D2007" s="2" t="str">
        <x:v>DINOSAURS WATER TRANSFER TATTOOS </x:v>
      </x:c>
      <x:c r="E2007" s="11" t="n">
        <x:v>1636.24</x:v>
      </x:c>
      <x:c r="F2007" s="11" t="n">
        <x:v>16.15</x:v>
      </x:c>
      <x:c r="G2007" s="11" t="n">
        <x:v>1620.09</x:v>
      </x:c>
      <x:c r="H2007" s="23" t="n">
        <x:v>0.0000796854273582577</x:v>
      </x:c>
      <x:c r="I2007" s="23" t="n">
        <x:v>0.9276180379623314</x:v>
      </x:c>
      <x:c r="J2007" s="2" t="n">
        <x:v>201</x:v>
      </x:c>
      <x:c r="K2007" s="2"/>
      <x:c r="L2007" s="2"/>
    </x:row>
    <x:row r="2008" ht="22" customHeight="1">
      <x:c r="A2008" s="2"/>
      <x:c r="B2008" s="2" t="n">
        <x:v>1975</x:v>
      </x:c>
      <x:c r="C2008" s="2" t="str">
        <x:v>23391</x:v>
      </x:c>
      <x:c r="D2008" s="2" t="str">
        <x:v> I LOVE LONDON MINI BACKPACK</x:v>
      </x:c>
      <x:c r="E2008" s="11" t="n">
        <x:v>1632.3200000000002</x:v>
      </x:c>
      <x:c r="F2008" s="11" t="n">
        <x:v>0</x:v>
      </x:c>
      <x:c r="G2008" s="11" t="n">
        <x:v>1632.3200000000002</x:v>
      </x:c>
      <x:c r="H2008" s="23" t="n">
        <x:v>0.0000794945220660974</x:v>
      </x:c>
      <x:c r="I2008" s="23" t="n">
        <x:v>0.9276975324843976</x:v>
      </x:c>
      <x:c r="J2008" s="2" t="n">
        <x:v>87</x:v>
      </x:c>
      <x:c r="K2008" s="2"/>
      <x:c r="L2008" s="2"/>
    </x:row>
    <x:row r="2009" ht="22" customHeight="1">
      <x:c r="A2009" s="2"/>
      <x:c r="B2009" s="2" t="n">
        <x:v>1976</x:v>
      </x:c>
      <x:c r="C2009" s="2" t="str">
        <x:v>35241</x:v>
      </x:c>
      <x:c r="D2009" s="2" t="str">
        <x:v>ENAMEL BLUE RIM BISCUIT BIN</x:v>
      </x:c>
      <x:c r="E2009" s="11" t="n">
        <x:v>1631.42</x:v>
      </x:c>
      <x:c r="F2009" s="11" t="n">
        <x:v>59.400000000000006</x:v>
      </x:c>
      <x:c r="G2009" s="11" t="n">
        <x:v>1572.02</x:v>
      </x:c>
      <x:c r="H2009" s="23" t="n">
        <x:v>0.00007945069176942795</x:v>
      </x:c>
      <x:c r="I2009" s="23" t="n">
        <x:v>0.927776983176167</x:v>
      </x:c>
      <x:c r="J2009" s="2" t="n">
        <x:v>130</x:v>
      </x:c>
      <x:c r="K2009" s="2"/>
      <x:c r="L2009" s="2"/>
    </x:row>
    <x:row r="2010" ht="22" customHeight="1">
      <x:c r="A2010" s="2"/>
      <x:c r="B2010" s="2" t="n">
        <x:v>1977</x:v>
      </x:c>
      <x:c r="C2010" s="2" t="str">
        <x:v>21593</x:v>
      </x:c>
      <x:c r="D2010" s="2" t="str">
        <x:v>SWALLOW CIGAR BOX MATCHES </x:v>
      </x:c>
      <x:c r="E2010" s="11" t="n">
        <x:v>1630.56</x:v>
      </x:c>
      <x:c r="F2010" s="11" t="n">
        <x:v>30</x:v>
      </x:c>
      <x:c r="G2010" s="11" t="n">
        <x:v>1600.56</x:v>
      </x:c>
      <x:c r="H2010" s="23" t="n">
        <x:v>0.0000794088094859438</x:v>
      </x:c>
      <x:c r="I2010" s="23" t="n">
        <x:v>0.927856391985653</x:v>
      </x:c>
      <x:c r="J2010" s="2" t="n">
        <x:v>94</x:v>
      </x:c>
      <x:c r="K2010" s="2"/>
      <x:c r="L2010" s="2"/>
    </x:row>
    <x:row r="2011" ht="22" customHeight="1">
      <x:c r="A2011" s="2"/>
      <x:c r="B2011" s="2" t="n">
        <x:v>1978</x:v>
      </x:c>
      <x:c r="C2011" s="2" t="str">
        <x:v>21837</x:v>
      </x:c>
      <x:c r="D2011" s="2" t="str">
        <x:v>CROSS STITCH ALPHABET CUSHION COVER</x:v>
      </x:c>
      <x:c r="E2011" s="11" t="n">
        <x:v>1628.5900000000001</x:v>
      </x:c>
      <x:c r="F2011" s="11" t="n">
        <x:v>11.9</x:v>
      </x:c>
      <x:c r="G2011" s="11" t="n">
        <x:v>1616.69</x:v>
      </x:c>
      <x:c r="H2011" s="23" t="n">
        <x:v>0.00007931286983656733</x:v>
      </x:c>
      <x:c r="I2011" s="23" t="n">
        <x:v>0.9279357048554895</x:v>
      </x:c>
      <x:c r="J2011" s="2" t="n">
        <x:v>91</x:v>
      </x:c>
      <x:c r="K2011" s="2"/>
      <x:c r="L2011" s="2"/>
    </x:row>
    <x:row r="2012" ht="22" customHeight="1">
      <x:c r="A2012" s="2"/>
      <x:c r="B2012" s="2" t="n">
        <x:v>1979</x:v>
      </x:c>
      <x:c r="C2012" s="2" t="str">
        <x:v>21793</x:v>
      </x:c>
      <x:c r="D2012" s="2" t="str">
        <x:v>CLASSIC FRENCH STYLE BASKET BROWN</x:v>
      </x:c>
      <x:c r="E2012" s="11" t="n">
        <x:v>1627.3600000000001</x:v>
      </x:c>
      <x:c r="F2012" s="11" t="n">
        <x:v>0</x:v>
      </x:c>
      <x:c r="G2012" s="11" t="n">
        <x:v>1627.3600000000001</x:v>
      </x:c>
      <x:c r="H2012" s="23" t="n">
        <x:v>0.00007925296843111906</x:v>
      </x:c>
      <x:c r="I2012" s="23" t="n">
        <x:v>0.9280149578239206</x:v>
      </x:c>
      <x:c r="J2012" s="2" t="n">
        <x:v>102</x:v>
      </x:c>
      <x:c r="K2012" s="2"/>
      <x:c r="L2012" s="2"/>
    </x:row>
    <x:row r="2013" ht="22" customHeight="1">
      <x:c r="A2013" s="2"/>
      <x:c r="B2013" s="2" t="n">
        <x:v>1980</x:v>
      </x:c>
      <x:c r="C2013" s="2" t="str">
        <x:v>21656</x:v>
      </x:c>
      <x:c r="D2013" s="2" t="str">
        <x:v>samples</x:v>
      </x:c>
      <x:c r="E2013" s="11" t="n">
        <x:v>1623.24</x:v>
      </x:c>
      <x:c r="F2013" s="11" t="n">
        <x:v>2.9</x:v>
      </x:c>
      <x:c r="G2013" s="11" t="n">
        <x:v>1620.34</x:v>
      </x:c>
      <x:c r="H2013" s="23" t="n">
        <x:v>0.00007905232307303222</x:v>
      </x:c>
      <x:c r="I2013" s="23" t="n">
        <x:v>0.9280940101469937</x:v>
      </x:c>
      <x:c r="J2013" s="2" t="n">
        <x:v>140</x:v>
      </x:c>
      <x:c r="K2013" s="2"/>
      <x:c r="L2013" s="2"/>
    </x:row>
    <x:row r="2014" ht="22" customHeight="1">
      <x:c r="A2014" s="2"/>
      <x:c r="B2014" s="2" t="n">
        <x:v>1981</x:v>
      </x:c>
      <x:c r="C2014" s="2" t="str">
        <x:v>21286</x:v>
      </x:c>
      <x:c r="D2014" s="2" t="str">
        <x:v>RETROSPOT CANDLE  LARGE</x:v>
      </x:c>
      <x:c r="E2014" s="11" t="n">
        <x:v>1623.01</x:v>
      </x:c>
      <x:c r="F2014" s="11" t="n">
        <x:v>30.599999999999998</x:v>
      </x:c>
      <x:c r="G2014" s="11" t="n">
        <x:v>1592.4099999999999</x:v>
      </x:c>
      <x:c r="H2014" s="23" t="n">
        <x:v>0.00007904112199721668</x:v>
      </x:c>
      <x:c r="I2014" s="23" t="n">
        <x:v>0.9281730512689909</x:v>
      </x:c>
      <x:c r="J2014" s="2" t="n">
        <x:v>101</x:v>
      </x:c>
      <x:c r="K2014" s="2"/>
      <x:c r="L2014" s="2"/>
    </x:row>
    <x:row r="2015" ht="22" customHeight="1">
      <x:c r="A2015" s="2"/>
      <x:c r="B2015" s="2" t="n">
        <x:v>1982</x:v>
      </x:c>
      <x:c r="C2015" s="2" t="str">
        <x:v>84619</x:v>
      </x:c>
      <x:c r="D2015" s="2" t="str">
        <x:v>BLUE GINGHAM ROSE QUILT </x:v>
      </x:c>
      <x:c r="E2015" s="11" t="n">
        <x:v>1622.96</x:v>
      </x:c>
      <x:c r="F2015" s="11" t="n">
        <x:v>0</x:v>
      </x:c>
      <x:c r="G2015" s="11" t="n">
        <x:v>1622.96</x:v>
      </x:c>
      <x:c r="H2015" s="23" t="n">
        <x:v>0.00007903868698073506</x:v>
      </x:c>
      <x:c r="I2015" s="23" t="n">
        <x:v>0.9282520899559716</x:v>
      </x:c>
      <x:c r="J2015" s="2" t="n">
        <x:v>29</x:v>
      </x:c>
      <x:c r="K2015" s="2"/>
      <x:c r="L2015" s="2"/>
    </x:row>
    <x:row r="2016" ht="22" customHeight="1">
      <x:c r="A2016" s="2"/>
      <x:c r="B2016" s="2" t="n">
        <x:v>1983</x:v>
      </x:c>
      <x:c r="C2016" s="2" t="str">
        <x:v>21279</x:v>
      </x:c>
      <x:c r="D2016" s="2" t="str">
        <x:v>VINTAGE KITCHEN PRINT FRUITS</x:v>
      </x:c>
      <x:c r="E2016" s="11" t="n">
        <x:v>1621.83</x:v>
      </x:c>
      <x:c r="F2016" s="11" t="n">
        <x:v>425.84999999999997</x:v>
      </x:c>
      <x:c r="G2016" s="11" t="n">
        <x:v>1195.98</x:v>
      </x:c>
      <x:c r="H2016" s="23" t="n">
        <x:v>0.00007898365560825006</x:v>
      </x:c>
      <x:c r="I2016" s="23" t="n">
        <x:v>0.9283310736115798</x:v>
      </x:c>
      <x:c r="J2016" s="2" t="n">
        <x:v>101</x:v>
      </x:c>
      <x:c r="K2016" s="2"/>
      <x:c r="L2016" s="2"/>
    </x:row>
    <x:row r="2017" ht="22" customHeight="1">
      <x:c r="A2017" s="2"/>
      <x:c r="B2017" s="2" t="n">
        <x:v>1984</x:v>
      </x:c>
      <x:c r="C2017" s="2" t="str">
        <x:v>85131A</x:v>
      </x:c>
      <x:c r="D2017" s="2" t="str">
        <x:v>BEADED PEARL HEART WHITE ON STICK</x:v>
      </x:c>
      <x:c r="E2017" s="11" t="n">
        <x:v>1620.48</x:v>
      </x:c>
      <x:c r="F2017" s="11" t="n">
        <x:v>12.52</x:v>
      </x:c>
      <x:c r="G2017" s="11" t="n">
        <x:v>1607.96</x:v>
      </x:c>
      <x:c r="H2017" s="23" t="n">
        <x:v>0.00007891791016324588</x:v>
      </x:c>
      <x:c r="I2017" s="23" t="n">
        <x:v>0.9284099915217431</x:v>
      </x:c>
      <x:c r="J2017" s="2" t="n">
        <x:v>199</x:v>
      </x:c>
      <x:c r="K2017" s="2"/>
      <x:c r="L2017" s="2"/>
    </x:row>
    <x:row r="2018" ht="22" customHeight="1">
      <x:c r="A2018" s="2"/>
      <x:c r="B2018" s="2" t="n">
        <x:v>1985</x:v>
      </x:c>
      <x:c r="C2018" s="2" t="str">
        <x:v>84919</x:v>
      </x:c>
      <x:c r="D2018" s="2" t="str">
        <x:v>BLUE CUSHION COVER WITH FLOWER</x:v>
      </x:c>
      <x:c r="E2018" s="11" t="n">
        <x:v>1619.84</x:v>
      </x:c>
      <x:c r="F2018" s="11" t="n">
        <x:v>723.4</x:v>
      </x:c>
      <x:c r="G2018" s="11" t="n">
        <x:v>896.44</x:v>
      </x:c>
      <x:c r="H2018" s="23" t="n">
        <x:v>0.00007888674195228093</x:v>
      </x:c>
      <x:c r="I2018" s="23" t="n">
        <x:v>0.9284888782636954</x:v>
      </x:c>
      <x:c r="J2018" s="2" t="n">
        <x:v>43</x:v>
      </x:c>
      <x:c r="K2018" s="2"/>
      <x:c r="L2018" s="2"/>
    </x:row>
    <x:row r="2019" ht="22" customHeight="1">
      <x:c r="A2019" s="2"/>
      <x:c r="B2019" s="2" t="n">
        <x:v>1986</x:v>
      </x:c>
      <x:c r="C2019" s="2" t="str">
        <x:v>21157</x:v>
      </x:c>
      <x:c r="D2019" s="2" t="str">
        <x:v>RED RETROSPOT WASHBAG</x:v>
      </x:c>
      <x:c r="E2019" s="11" t="n">
        <x:v>1619.0500000000002</x:v>
      </x:c>
      <x:c r="F2019" s="11" t="n">
        <x:v>12.600000000000001</x:v>
      </x:c>
      <x:c r="G2019" s="11" t="n">
        <x:v>1606.45</x:v>
      </x:c>
      <x:c r="H2019" s="23" t="n">
        <x:v>0.00007884826869187108</x:v>
      </x:c>
      <x:c r="I2019" s="23" t="n">
        <x:v>0.9285677265323873</x:v>
      </x:c>
      <x:c r="J2019" s="2" t="n">
        <x:v>176</x:v>
      </x:c>
      <x:c r="K2019" s="2"/>
      <x:c r="L2019" s="2"/>
    </x:row>
    <x:row r="2020" ht="22" customHeight="1">
      <x:c r="A2020" s="2"/>
      <x:c r="B2020" s="2" t="n">
        <x:v>1987</x:v>
      </x:c>
      <x:c r="C2020" s="2" t="str">
        <x:v>23280</x:v>
      </x:c>
      <x:c r="D2020" s="2" t="str">
        <x:v>FOLDING BUTTERFLY MIRROR HOT PINK </x:v>
      </x:c>
      <x:c r="E2020" s="11" t="n">
        <x:v>1614.99</x:v>
      </x:c>
      <x:c r="F2020" s="11" t="n">
        <x:v>1.66</x:v>
      </x:c>
      <x:c r="G2020" s="11" t="n">
        <x:v>1613.33</x:v>
      </x:c>
      <x:c r="H2020" s="23" t="n">
        <x:v>0.0000786505453535622</x:v>
      </x:c>
      <x:c r="I2020" s="23" t="n">
        <x:v>0.9286463770777409</x:v>
      </x:c>
      <x:c r="J2020" s="2" t="n">
        <x:v>157</x:v>
      </x:c>
      <x:c r="K2020" s="2"/>
      <x:c r="L2020" s="2"/>
    </x:row>
    <x:row r="2021" ht="22" customHeight="1">
      <x:c r="A2021" s="2"/>
      <x:c r="B2021" s="2" t="n">
        <x:v>1988</x:v>
      </x:c>
      <x:c r="C2021" s="2" t="str">
        <x:v>23217</x:v>
      </x:c>
      <x:c r="D2021" s="2" t="str">
        <x:v>LAUREL HEART ANTIQUE SILVER</x:v>
      </x:c>
      <x:c r="E2021" s="11" t="n">
        <x:v>1613.82</x:v>
      </x:c>
      <x:c r="F2021" s="11" t="n">
        <x:v>0</x:v>
      </x:c>
      <x:c r="G2021" s="11" t="n">
        <x:v>1613.82</x:v>
      </x:c>
      <x:c r="H2021" s="23" t="n">
        <x:v>0.0000785935659678919</x:v>
      </x:c>
      <x:c r="I2021" s="23" t="n">
        <x:v>0.9287249706437087</x:v>
      </x:c>
      <x:c r="J2021" s="2" t="n">
        <x:v>97</x:v>
      </x:c>
      <x:c r="K2021" s="2"/>
      <x:c r="L2021" s="2"/>
    </x:row>
    <x:row r="2022" ht="22" customHeight="1">
      <x:c r="A2022" s="2"/>
      <x:c r="B2022" s="2" t="n">
        <x:v>1989</x:v>
      </x:c>
      <x:c r="C2022" s="2" t="str">
        <x:v>23287</x:v>
      </x:c>
      <x:c r="D2022" s="2" t="str">
        <x:v>RED VINTAGE SPOT BEAKER</x:v>
      </x:c>
      <x:c r="E2022" s="11" t="n">
        <x:v>1613.59</x:v>
      </x:c>
      <x:c r="F2022" s="11" t="n">
        <x:v>43.349999999999994</x:v>
      </x:c>
      <x:c r="G2022" s="11" t="n">
        <x:v>1570.24</x:v>
      </x:c>
      <x:c r="H2022" s="23" t="n">
        <x:v>0.00007858236489207637</x:v>
      </x:c>
      <x:c r="I2022" s="23" t="n">
        <x:v>0.9288035530086008</x:v>
      </x:c>
      <x:c r="J2022" s="2" t="n">
        <x:v>198</x:v>
      </x:c>
      <x:c r="K2022" s="2"/>
      <x:c r="L2022" s="2"/>
    </x:row>
    <x:row r="2023" ht="22" customHeight="1">
      <x:c r="A2023" s="2"/>
      <x:c r="B2023" s="2" t="n">
        <x:v>1990</x:v>
      </x:c>
      <x:c r="C2023" s="2" t="str">
        <x:v>35471D</x:v>
      </x:c>
      <x:c r="D2023" s="2" t="str">
        <x:v>SET OF 3 BIRD LIGHT PINK FEATHER </x:v>
      </x:c>
      <x:c r="E2023" s="11" t="n">
        <x:v>1613.57</x:v>
      </x:c>
      <x:c r="F2023" s="11" t="n">
        <x:v>2.5</x:v>
      </x:c>
      <x:c r="G2023" s="11" t="n">
        <x:v>1611.07</x:v>
      </x:c>
      <x:c r="H2023" s="23" t="n">
        <x:v>0.00007858139088548372</x:v>
      </x:c>
      <x:c r="I2023" s="23" t="n">
        <x:v>0.9288821343994863</x:v>
      </x:c>
      <x:c r="J2023" s="2" t="n">
        <x:v>348</x:v>
      </x:c>
      <x:c r="K2023" s="2"/>
      <x:c r="L2023" s="2"/>
    </x:row>
    <x:row r="2024" ht="22" customHeight="1">
      <x:c r="A2024" s="2"/>
      <x:c r="B2024" s="2" t="n">
        <x:v>1991</x:v>
      </x:c>
      <x:c r="C2024" s="2" t="str">
        <x:v>23462</x:v>
      </x:c>
      <x:c r="D2024" s="2" t="str">
        <x:v>ROCOCO WALL MIRROR WHITE</x:v>
      </x:c>
      <x:c r="E2024" s="11" t="n">
        <x:v>1607.04</x:v>
      </x:c>
      <x:c r="F2024" s="11" t="n">
        <x:v>350.09999999999997</x:v>
      </x:c>
      <x:c r="G2024" s="11" t="n">
        <x:v>1256.94</x:v>
      </x:c>
      <x:c r="H2024" s="23" t="n">
        <x:v>0.000078263377732982</x:v>
      </x:c>
      <x:c r="I2024" s="23" t="n">
        <x:v>0.9289603977772193</x:v>
      </x:c>
      <x:c r="J2024" s="2" t="n">
        <x:v>46</x:v>
      </x:c>
      <x:c r="K2024" s="2"/>
      <x:c r="L2024" s="2"/>
    </x:row>
    <x:row r="2025" ht="22" customHeight="1">
      <x:c r="A2025" s="2"/>
      <x:c r="B2025" s="2" t="n">
        <x:v>1992</x:v>
      </x:c>
      <x:c r="C2025" s="2" t="str">
        <x:v>82615</x:v>
      </x:c>
      <x:c r="D2025" s="2" t="str">
        <x:v>PINK MARSHMALLOW SCARF KNITTING KIT</x:v>
      </x:c>
      <x:c r="E2025" s="11" t="n">
        <x:v>1606.92</x:v>
      </x:c>
      <x:c r="F2025" s="11" t="n">
        <x:v>11</x:v>
      </x:c>
      <x:c r="G2025" s="11" t="n">
        <x:v>1595.92</x:v>
      </x:c>
      <x:c r="H2025" s="23" t="n">
        <x:v>0.00007825753369342607</x:v>
      </x:c>
      <x:c r="I2025" s="23" t="n">
        <x:v>0.9290386553109127</x:v>
      </x:c>
      <x:c r="J2025" s="2" t="n">
        <x:v>90</x:v>
      </x:c>
      <x:c r="K2025" s="2"/>
      <x:c r="L2025" s="2"/>
    </x:row>
    <x:row r="2026" ht="22" customHeight="1">
      <x:c r="A2026" s="2"/>
      <x:c r="B2026" s="2" t="n">
        <x:v>1993</x:v>
      </x:c>
      <x:c r="C2026" s="2" t="str">
        <x:v>35810A</x:v>
      </x:c>
      <x:c r="D2026" s="2" t="str">
        <x:v>ENAMEL PINK COFFEE CONTAINER</x:v>
      </x:c>
      <x:c r="E2026" s="11" t="n">
        <x:v>1605.57</x:v>
      </x:c>
      <x:c r="F2026" s="11" t="n">
        <x:v>2.1</x:v>
      </x:c>
      <x:c r="G2026" s="11" t="n">
        <x:v>1603.47</x:v>
      </x:c>
      <x:c r="H2026" s="23" t="n">
        <x:v>0.00007819178824842188</x:v>
      </x:c>
      <x:c r="I2026" s="23" t="n">
        <x:v>0.9291168470991611</x:v>
      </x:c>
      <x:c r="J2026" s="2" t="n">
        <x:v>171</x:v>
      </x:c>
      <x:c r="K2026" s="2"/>
      <x:c r="L2026" s="2"/>
    </x:row>
    <x:row r="2027" ht="22" customHeight="1">
      <x:c r="A2027" s="2"/>
      <x:c r="B2027" s="2" t="n">
        <x:v>1994</x:v>
      </x:c>
      <x:c r="C2027" s="2" t="str">
        <x:v>21542</x:v>
      </x:c>
      <x:c r="D2027" s="2" t="str">
        <x:v>WOODLAND WATER TRANSFER TATTOOS </x:v>
      </x:c>
      <x:c r="E2027" s="11" t="n">
        <x:v>1605</x:v>
      </x:c>
      <x:c r="F2027" s="11" t="n">
        <x:v>59.5</x:v>
      </x:c>
      <x:c r="G2027" s="11" t="n">
        <x:v>1545.5</x:v>
      </x:c>
      <x:c r="H2027" s="23" t="n">
        <x:v>0.00007816402906053122</x:v>
      </x:c>
      <x:c r="I2027" s="23" t="n">
        <x:v>0.9291950111282217</x:v>
      </x:c>
      <x:c r="J2027" s="2" t="n">
        <x:v>190</x:v>
      </x:c>
      <x:c r="K2027" s="2"/>
      <x:c r="L2027" s="2"/>
    </x:row>
    <x:row r="2028" ht="22" customHeight="1">
      <x:c r="A2028" s="2"/>
      <x:c r="B2028" s="2" t="n">
        <x:v>1995</x:v>
      </x:c>
      <x:c r="C2028" s="2" t="str">
        <x:v>22517</x:v>
      </x:c>
      <x:c r="D2028" s="2" t="str">
        <x:v>CHILDS GARDEN RAKE PINK</x:v>
      </x:c>
      <x:c r="E2028" s="11" t="n">
        <x:v>1604.1100000000001</x:v>
      </x:c>
      <x:c r="F2028" s="11" t="n">
        <x:v>0</x:v>
      </x:c>
      <x:c r="G2028" s="11" t="n">
        <x:v>1604.1100000000001</x:v>
      </x:c>
      <x:c r="H2028" s="23" t="n">
        <x:v>0.0000781206857671581</x:v>
      </x:c>
      <x:c r="I2028" s="23" t="n">
        <x:v>0.9292731318139889</x:v>
      </x:c>
      <x:c r="J2028" s="2" t="n">
        <x:v>152</x:v>
      </x:c>
      <x:c r="K2028" s="2"/>
      <x:c r="L2028" s="2"/>
    </x:row>
    <x:row r="2029" ht="22" customHeight="1">
      <x:c r="A2029" s="2"/>
      <x:c r="B2029" s="2" t="n">
        <x:v>1996</x:v>
      </x:c>
      <x:c r="C2029" s="2" t="str">
        <x:v>21550</x:v>
      </x:c>
      <x:c r="D2029" s="2" t="str">
        <x:v>CERAMIC BIRDHOUSE CRESTED TIT LARGE</x:v>
      </x:c>
      <x:c r="E2029" s="11" t="n">
        <x:v>1601.21</x:v>
      </x:c>
      <x:c r="F2029" s="11" t="n">
        <x:v>5.95</x:v>
      </x:c>
      <x:c r="G2029" s="11" t="n">
        <x:v>1595.26</x:v>
      </x:c>
      <x:c r="H2029" s="23" t="n">
        <x:v>0.00007797945481122318</x:v>
      </x:c>
      <x:c r="I2029" s="23" t="n">
        <x:v>0.9293511112688001</x:v>
      </x:c>
      <x:c r="J2029" s="2" t="n">
        <x:v>64</x:v>
      </x:c>
      <x:c r="K2029" s="2"/>
      <x:c r="L2029" s="2"/>
    </x:row>
    <x:row r="2030" ht="22" customHeight="1">
      <x:c r="A2030" s="2"/>
      <x:c r="B2030" s="2" t="n">
        <x:v>1997</x:v>
      </x:c>
      <x:c r="C2030" s="2" t="str">
        <x:v>22260</x:v>
      </x:c>
      <x:c r="D2030" s="2" t="str">
        <x:v>FELT EGG COSY BLUE RABBIT </x:v>
      </x:c>
      <x:c r="E2030" s="11" t="n">
        <x:v>1599.02</x:v>
      </x:c>
      <x:c r="F2030" s="11" t="n">
        <x:v>13.6</x:v>
      </x:c>
      <x:c r="G2030" s="11" t="n">
        <x:v>1585.4199999999998</x:v>
      </x:c>
      <x:c r="H2030" s="23" t="n">
        <x:v>0.0000778728010893275</x:v>
      </x:c>
      <x:c r="I2030" s="23" t="n">
        <x:v>0.9294289840698894</x:v>
      </x:c>
      <x:c r="J2030" s="2" t="n">
        <x:v>241</x:v>
      </x:c>
      <x:c r="K2030" s="2"/>
      <x:c r="L2030" s="2"/>
    </x:row>
    <x:row r="2031" ht="22" customHeight="1">
      <x:c r="A2031" s="2"/>
      <x:c r="B2031" s="2" t="n">
        <x:v>1998</x:v>
      </x:c>
      <x:c r="C2031" s="2" t="str">
        <x:v>21383</x:v>
      </x:c>
      <x:c r="D2031" s="2" t="str">
        <x:v>PACK OF 12 STICKY BUNNIES</x:v>
      </x:c>
      <x:c r="E2031" s="11" t="n">
        <x:v>1598.88</x:v>
      </x:c>
      <x:c r="F2031" s="11" t="n">
        <x:v>40.300000000000004</x:v>
      </x:c>
      <x:c r="G2031" s="11" t="n">
        <x:v>1558.5800000000002</x:v>
      </x:c>
      <x:c r="H2031" s="23" t="n">
        <x:v>0.00007786598304317892</x:v>
      </x:c>
      <x:c r="I2031" s="23" t="n">
        <x:v>0.9295068500529325</x:v>
      </x:c>
      <x:c r="J2031" s="2" t="n">
        <x:v>323</x:v>
      </x:c>
      <x:c r="K2031" s="2"/>
      <x:c r="L2031" s="2"/>
    </x:row>
    <x:row r="2032" ht="22" customHeight="1">
      <x:c r="A2032" s="2"/>
      <x:c r="B2032" s="2" t="n">
        <x:v>1999</x:v>
      </x:c>
      <x:c r="C2032" s="2" t="str">
        <x:v>20802</x:v>
      </x:c>
      <x:c r="D2032" s="2" t="str">
        <x:v>SMALL GLASS SUNDAE DISH CLEAR</x:v>
      </x:c>
      <x:c r="E2032" s="11" t="n">
        <x:v>1596.81</x:v>
      </x:c>
      <x:c r="F2032" s="11" t="n">
        <x:v>34.92</x:v>
      </x:c>
      <x:c r="G2032" s="11" t="n">
        <x:v>1561.8899999999999</x:v>
      </x:c>
      <x:c r="H2032" s="23" t="n">
        <x:v>0.00007776517336083916</x:v>
      </x:c>
      <x:c r="I2032" s="23" t="n">
        <x:v>0.9295846152262934</x:v>
      </x:c>
      <x:c r="J2032" s="2" t="n">
        <x:v>116</x:v>
      </x:c>
      <x:c r="K2032" s="2"/>
      <x:c r="L2032" s="2"/>
    </x:row>
    <x:row r="2033" ht="22" customHeight="1">
      <x:c r="A2033" s="2"/>
      <x:c r="B2033" s="2" t="n">
        <x:v>2000</x:v>
      </x:c>
      <x:c r="C2033" s="2" t="str">
        <x:v>23226</x:v>
      </x:c>
      <x:c r="D2033" s="2" t="str">
        <x:v>FILIGREE HEART DAISY WHITE</x:v>
      </x:c>
      <x:c r="E2033" s="11" t="n">
        <x:v>1596.67</x:v>
      </x:c>
      <x:c r="F2033" s="11" t="n">
        <x:v>60</x:v>
      </x:c>
      <x:c r="G2033" s="11" t="n">
        <x:v>1536.67</x:v>
      </x:c>
      <x:c r="H2033" s="23" t="n">
        <x:v>0.00007775835531469059</x:v>
      </x:c>
      <x:c r="I2033" s="23" t="n">
        <x:v>0.9296623735816081</x:v>
      </x:c>
      <x:c r="J2033" s="2" t="n">
        <x:v>98</x:v>
      </x:c>
      <x:c r="K2033" s="2"/>
      <x:c r="L2033" s="2"/>
    </x:row>
    <x:row r="2034" ht="22" customHeight="1">
      <x:c r="A2034" s="2"/>
      <x:c r="B2034" s="2" t="n">
        <x:v>2001</x:v>
      </x:c>
      <x:c r="C2034" s="2" t="str">
        <x:v>84913B</x:v>
      </x:c>
      <x:c r="D2034" s="2" t="str">
        <x:v>MINT GREEN ROSE TOWEL</x:v>
      </x:c>
      <x:c r="E2034" s="11" t="n">
        <x:v>1593.29</x:v>
      </x:c>
      <x:c r="F2034" s="11" t="n">
        <x:v>4.65</x:v>
      </x:c>
      <x:c r="G2034" s="11" t="n">
        <x:v>1588.64</x:v>
      </x:c>
      <x:c r="H2034" s="23" t="n">
        <x:v>0.00007759374820053195</x:v>
      </x:c>
      <x:c r="I2034" s="23" t="n">
        <x:v>0.9297399673298086</x:v>
      </x:c>
      <x:c r="J2034" s="2" t="n">
        <x:v>200</x:v>
      </x:c>
      <x:c r="K2034" s="2"/>
      <x:c r="L2034" s="2"/>
    </x:row>
    <x:row r="2035" ht="22" customHeight="1">
      <x:c r="A2035" s="2"/>
      <x:c r="B2035" s="2" t="n">
        <x:v>2002</x:v>
      </x:c>
      <x:c r="C2035" s="2" t="str">
        <x:v>21694</x:v>
      </x:c>
      <x:c r="D2035" s="2" t="str">
        <x:v>SMALL REGAL  SILVER CANDLEPOT </x:v>
      </x:c>
      <x:c r="E2035" s="11" t="n">
        <x:v>1593.16</x:v>
      </x:c>
      <x:c r="F2035" s="11" t="n">
        <x:v>0</x:v>
      </x:c>
      <x:c r="G2035" s="11" t="n">
        <x:v>1593.16</x:v>
      </x:c>
      <x:c r="H2035" s="23" t="n">
        <x:v>0.00007758741715767971</x:v>
      </x:c>
      <x:c r="I2035" s="23" t="n">
        <x:v>0.9298175547469663</x:v>
      </x:c>
      <x:c r="J2035" s="2" t="n">
        <x:v>70</x:v>
      </x:c>
      <x:c r="K2035" s="2"/>
      <x:c r="L2035" s="2"/>
    </x:row>
    <x:row r="2036" ht="22" customHeight="1">
      <x:c r="A2036" s="2"/>
      <x:c r="B2036" s="2" t="n">
        <x:v>2003</x:v>
      </x:c>
      <x:c r="C2036" s="2" t="str">
        <x:v>22099</x:v>
      </x:c>
      <x:c r="D2036" s="2" t="str">
        <x:v>CARAVAN SQUARE TISSUE BOX</x:v>
      </x:c>
      <x:c r="E2036" s="11" t="n">
        <x:v>1592.02</x:v>
      </x:c>
      <x:c r="F2036" s="11" t="n">
        <x:v>30</x:v>
      </x:c>
      <x:c r="G2036" s="11" t="n">
        <x:v>1562.02</x:v>
      </x:c>
      <x:c r="H2036" s="23" t="n">
        <x:v>0.0000775318987818984</x:v>
      </x:c>
      <x:c r="I2036" s="23" t="n">
        <x:v>0.9298950866457482</x:v>
      </x:c>
      <x:c r="J2036" s="2" t="n">
        <x:v>291</x:v>
      </x:c>
      <x:c r="K2036" s="2"/>
      <x:c r="L2036" s="2"/>
    </x:row>
    <x:row r="2037" ht="22" customHeight="1">
      <x:c r="A2037" s="2"/>
      <x:c r="B2037" s="2" t="n">
        <x:v>2004</x:v>
      </x:c>
      <x:c r="C2037" s="2" t="str">
        <x:v>35160</x:v>
      </x:c>
      <x:c r="D2037" s="2" t="str">
        <x:v>BUDDHA INCENSE HOLDER ASSORTED</x:v>
      </x:c>
      <x:c r="E2037" s="11" t="n">
        <x:v>1590.6399999999999</x:v>
      </x:c>
      <x:c r="F2037" s="11" t="n">
        <x:v>0</x:v>
      </x:c>
      <x:c r="G2037" s="11" t="n">
        <x:v>1590.6399999999999</x:v>
      </x:c>
      <x:c r="H2037" s="23" t="n">
        <x:v>0.00007746469232700522</x:v>
      </x:c>
      <x:c r="I2037" s="23" t="n">
        <x:v>0.9299725513380752</x:v>
      </x:c>
      <x:c r="J2037" s="2" t="n">
        <x:v>56</x:v>
      </x:c>
      <x:c r="K2037" s="2"/>
      <x:c r="L2037" s="2"/>
    </x:row>
    <x:row r="2038" ht="22" customHeight="1">
      <x:c r="A2038" s="2"/>
      <x:c r="B2038" s="2" t="n">
        <x:v>2005</x:v>
      </x:c>
      <x:c r="C2038" s="2" t="str">
        <x:v>22106</x:v>
      </x:c>
      <x:c r="D2038" s="2" t="str">
        <x:v>MIRROR MOSAIC HURRICANE LAMP </x:v>
      </x:c>
      <x:c r="E2038" s="11" t="n">
        <x:v>1589.98</x:v>
      </x:c>
      <x:c r="F2038" s="11" t="n">
        <x:v>156.75</x:v>
      </x:c>
      <x:c r="G2038" s="11" t="n">
        <x:v>1433.23</x:v>
      </x:c>
      <x:c r="H2038" s="23" t="n">
        <x:v>0.00007743255010944763</x:v>
      </x:c>
      <x:c r="I2038" s="23" t="n">
        <x:v>0.9300499838881847</x:v>
      </x:c>
      <x:c r="J2038" s="2" t="n">
        <x:v>79</x:v>
      </x:c>
      <x:c r="K2038" s="2"/>
      <x:c r="L2038" s="2"/>
    </x:row>
    <x:row r="2039" ht="22" customHeight="1">
      <x:c r="A2039" s="2"/>
      <x:c r="B2039" s="2" t="n">
        <x:v>2006</x:v>
      </x:c>
      <x:c r="C2039" s="2" t="str">
        <x:v>21675</x:v>
      </x:c>
      <x:c r="D2039" s="2" t="str">
        <x:v>BUTTERFLIES STICKERS</x:v>
      </x:c>
      <x:c r="E2039" s="11" t="n">
        <x:v>1587.04</x:v>
      </x:c>
      <x:c r="F2039" s="11" t="n">
        <x:v>10.2</x:v>
      </x:c>
      <x:c r="G2039" s="11" t="n">
        <x:v>1576.84</x:v>
      </x:c>
      <x:c r="H2039" s="23" t="n">
        <x:v>0.0000772893711403274</x:v>
      </x:c>
      <x:c r="I2039" s="23" t="n">
        <x:v>0.9301272732593251</x:v>
      </x:c>
      <x:c r="J2039" s="2" t="n">
        <x:v>268</x:v>
      </x:c>
      <x:c r="K2039" s="2"/>
      <x:c r="L2039" s="2"/>
    </x:row>
    <x:row r="2040" ht="22" customHeight="1">
      <x:c r="A2040" s="2"/>
      <x:c r="B2040" s="2" t="n">
        <x:v>2007</x:v>
      </x:c>
      <x:c r="C2040" s="2" t="str">
        <x:v>85170A</x:v>
      </x:c>
      <x:c r="D2040" s="2" t="str">
        <x:v>SET/6 IVORY BIRD T-LIGHT CANDLES</x:v>
      </x:c>
      <x:c r="E2040" s="11" t="n">
        <x:v>1585.06</x:v>
      </x:c>
      <x:c r="F2040" s="11" t="n">
        <x:v>51.519999999999996</x:v>
      </x:c>
      <x:c r="G2040" s="11" t="n">
        <x:v>1533.54</x:v>
      </x:c>
      <x:c r="H2040" s="23" t="n">
        <x:v>0.00007719294448765459</x:v>
      </x:c>
      <x:c r="I2040" s="23" t="n">
        <x:v>0.9302044662038127</x:v>
      </x:c>
      <x:c r="J2040" s="2" t="n">
        <x:v>84</x:v>
      </x:c>
      <x:c r="K2040" s="2"/>
      <x:c r="L2040" s="2"/>
    </x:row>
    <x:row r="2041" ht="22" customHeight="1">
      <x:c r="A2041" s="2"/>
      <x:c r="B2041" s="2" t="n">
        <x:v>2008</x:v>
      </x:c>
      <x:c r="C2041" s="2" t="str">
        <x:v>21867</x:v>
      </x:c>
      <x:c r="D2041" s="2" t="str">
        <x:v>PINK UNION JACK  LUGGAGE TAG</x:v>
      </x:c>
      <x:c r="E2041" s="11" t="n">
        <x:v>1582.87</x:v>
      </x:c>
      <x:c r="F2041" s="11" t="n">
        <x:v>0</x:v>
      </x:c>
      <x:c r="G2041" s="11" t="n">
        <x:v>1582.87</x:v>
      </x:c>
      <x:c r="H2041" s="23" t="n">
        <x:v>0.00007708629076575891</x:v>
      </x:c>
      <x:c r="I2041" s="23" t="n">
        <x:v>0.9302815524945784</x:v>
      </x:c>
      <x:c r="J2041" s="2" t="n">
        <x:v>288</x:v>
      </x:c>
      <x:c r="K2041" s="2"/>
      <x:c r="L2041" s="2"/>
    </x:row>
    <x:row r="2042" ht="22" customHeight="1">
      <x:c r="A2042" s="2"/>
      <x:c r="B2042" s="2" t="n">
        <x:v>2009</x:v>
      </x:c>
      <x:c r="C2042" s="2" t="str">
        <x:v>85222</x:v>
      </x:c>
      <x:c r="D2042" s="2" t="str">
        <x:v>ASSORTED COLOUR SILK COSMETIC PURSE</x:v>
      </x:c>
      <x:c r="E2042" s="11" t="n">
        <x:v>1581.7800000000002</x:v>
      </x:c>
      <x:c r="F2042" s="11" t="n">
        <x:v>2.75</x:v>
      </x:c>
      <x:c r="G2042" s="11" t="n">
        <x:v>1579.0300000000002</x:v>
      </x:c>
      <x:c r="H2042" s="23" t="n">
        <x:v>0.00007703320740645925</x:v>
      </x:c>
      <x:c r="I2042" s="23" t="n">
        <x:v>0.9303585857019849</x:v>
      </x:c>
      <x:c r="J2042" s="2" t="n">
        <x:v>50</x:v>
      </x:c>
      <x:c r="K2042" s="2"/>
      <x:c r="L2042" s="2"/>
    </x:row>
    <x:row r="2043" ht="22" customHeight="1">
      <x:c r="A2043" s="2"/>
      <x:c r="B2043" s="2" t="n">
        <x:v>2010</x:v>
      </x:c>
      <x:c r="C2043" s="2" t="str">
        <x:v>23369</x:v>
      </x:c>
      <x:c r="D2043" s="2" t="str">
        <x:v>SET 36 COLOUR PENCILS LOVE LONDON</x:v>
      </x:c>
      <x:c r="E2043" s="11" t="n">
        <x:v>1581.06</x:v>
      </x:c>
      <x:c r="F2043" s="11" t="n">
        <x:v>0</x:v>
      </x:c>
      <x:c r="G2043" s="11" t="n">
        <x:v>1581.06</x:v>
      </x:c>
      <x:c r="H2043" s="23" t="n">
        <x:v>0.00007699814316912368</x:v>
      </x:c>
      <x:c r="I2043" s="23" t="n">
        <x:v>0.930435583845154</x:v>
      </x:c>
      <x:c r="J2043" s="2" t="n">
        <x:v>126</x:v>
      </x:c>
      <x:c r="K2043" s="2"/>
      <x:c r="L2043" s="2"/>
    </x:row>
    <x:row r="2044" ht="22" customHeight="1">
      <x:c r="A2044" s="2"/>
      <x:c r="B2044" s="2" t="n">
        <x:v>2011</x:v>
      </x:c>
      <x:c r="C2044" s="2" t="str">
        <x:v>22608</x:v>
      </x:c>
      <x:c r="D2044" s="2" t="str">
        <x:v>PENS ASSORTED FUNKY JEWELED </x:v>
      </x:c>
      <x:c r="E2044" s="11" t="n">
        <x:v>1580.6499999999999</x:v>
      </x:c>
      <x:c r="F2044" s="11" t="n">
        <x:v>31.93</x:v>
      </x:c>
      <x:c r="G2044" s="11" t="n">
        <x:v>1548.72</x:v>
      </x:c>
      <x:c r="H2044" s="23" t="n">
        <x:v>0.00007697817603397424</x:v>
      </x:c>
      <x:c r="I2044" s="23" t="n">
        <x:v>0.930512562021188</x:v>
      </x:c>
      <x:c r="J2044" s="2" t="n">
        <x:v>170</x:v>
      </x:c>
      <x:c r="K2044" s="2"/>
      <x:c r="L2044" s="2"/>
    </x:row>
    <x:row r="2045" ht="22" customHeight="1">
      <x:c r="A2045" s="2"/>
      <x:c r="B2045" s="2" t="n">
        <x:v>2012</x:v>
      </x:c>
      <x:c r="C2045" s="2" t="str">
        <x:v>21099</x:v>
      </x:c>
      <x:c r="D2045" s="2" t="str">
        <x:v>SET/6 STRAWBERRY PAPER CUPS</x:v>
      </x:c>
      <x:c r="E2045" s="11" t="n">
        <x:v>1580.3400000000001</x:v>
      </x:c>
      <x:c r="F2045" s="11" t="n">
        <x:v>78</x:v>
      </x:c>
      <x:c r="G2045" s="11" t="n">
        <x:v>1502.3400000000001</x:v>
      </x:c>
      <x:c r="H2045" s="23" t="n">
        <x:v>0.00007696307893178812</x:v>
      </x:c>
      <x:c r="I2045" s="23" t="n">
        <x:v>0.9305895251001198</x:v>
      </x:c>
      <x:c r="J2045" s="2" t="n">
        <x:v>33</x:v>
      </x:c>
      <x:c r="K2045" s="2"/>
      <x:c r="L2045" s="2"/>
    </x:row>
    <x:row r="2046" ht="22" customHeight="1">
      <x:c r="A2046" s="2"/>
      <x:c r="B2046" s="2" t="n">
        <x:v>2013</x:v>
      </x:c>
      <x:c r="C2046" s="2" t="str">
        <x:v>22705</x:v>
      </x:c>
      <x:c r="D2046" s="2" t="str">
        <x:v>WRAP GREEN PEARS </x:v>
      </x:c>
      <x:c r="E2046" s="11" t="n">
        <x:v>1578.36</x:v>
      </x:c>
      <x:c r="F2046" s="11" t="n">
        <x:v>10.5</x:v>
      </x:c>
      <x:c r="G2046" s="11" t="n">
        <x:v>1567.86</x:v>
      </x:c>
      <x:c r="H2046" s="23" t="n">
        <x:v>0.0000768666522791153</x:v>
      </x:c>
      <x:c r="I2046" s="23" t="n">
        <x:v>0.930666391752399</x:v>
      </x:c>
      <x:c r="J2046" s="2" t="n">
        <x:v>151</x:v>
      </x:c>
      <x:c r="K2046" s="2"/>
      <x:c r="L2046" s="2"/>
    </x:row>
    <x:row r="2047" ht="22" customHeight="1">
      <x:c r="A2047" s="2"/>
      <x:c r="B2047" s="2" t="n">
        <x:v>2014</x:v>
      </x:c>
      <x:c r="C2047" s="2" t="str">
        <x:v>21282</x:v>
      </x:c>
      <x:c r="D2047" s="2" t="str">
        <x:v>NATURAL BARK CANDLE LARGE</x:v>
      </x:c>
      <x:c r="E2047" s="11" t="n">
        <x:v>1577.53</x:v>
      </x:c>
      <x:c r="F2047" s="11" t="n">
        <x:v>51</x:v>
      </x:c>
      <x:c r="G2047" s="11" t="n">
        <x:v>1526.53</x:v>
      </x:c>
      <x:c r="H2047" s="23" t="n">
        <x:v>0.00007682623100552013</x:v>
      </x:c>
      <x:c r="I2047" s="23" t="n">
        <x:v>0.9307432179834044</x:v>
      </x:c>
      <x:c r="J2047" s="2" t="n">
        <x:v>69</x:v>
      </x:c>
      <x:c r="K2047" s="2"/>
      <x:c r="L2047" s="2"/>
    </x:row>
    <x:row r="2048" ht="22" customHeight="1">
      <x:c r="A2048" s="2"/>
      <x:c r="B2048" s="2" t="n">
        <x:v>2015</x:v>
      </x:c>
      <x:c r="C2048" s="2" t="str">
        <x:v>79323B</x:v>
      </x:c>
      <x:c r="D2048" s="2" t="str">
        <x:v>Unsaleable, destroyed.</x:v>
      </x:c>
      <x:c r="E2048" s="11" t="n">
        <x:v>1572.45</x:v>
      </x:c>
      <x:c r="F2048" s="11" t="n">
        <x:v>1557.2</x:v>
      </x:c>
      <x:c r="G2048" s="11" t="n">
        <x:v>15.250000000000028</x:v>
      </x:c>
      <x:c r="H2048" s="23" t="n">
        <x:v>0.00007657883333098588</x:v>
      </x:c>
      <x:c r="I2048" s="23" t="n">
        <x:v>0.9308197968167354</x:v>
      </x:c>
      <x:c r="J2048" s="2" t="n">
        <x:v>58</x:v>
      </x:c>
      <x:c r="K2048" s="2"/>
      <x:c r="L2048" s="2"/>
    </x:row>
    <x:row r="2049" ht="22" customHeight="1">
      <x:c r="A2049" s="2"/>
      <x:c r="B2049" s="2" t="n">
        <x:v>2016</x:v>
      </x:c>
      <x:c r="C2049" s="2" t="str">
        <x:v>21631</x:v>
      </x:c>
      <x:c r="D2049" s="2" t="str">
        <x:v>HIPPY CHIC DECORATIVE PARASOL</x:v>
      </x:c>
      <x:c r="E2049" s="11" t="n">
        <x:v>1571.75</x:v>
      </x:c>
      <x:c r="F2049" s="11" t="n">
        <x:v>0</x:v>
      </x:c>
      <x:c r="G2049" s="11" t="n">
        <x:v>1571.75</x:v>
      </x:c>
      <x:c r="H2049" s="23" t="n">
        <x:v>0.00007654474310024296</x:v>
      </x:c>
      <x:c r="I2049" s="23" t="n">
        <x:v>0.9308963415598357</x:v>
      </x:c>
      <x:c r="J2049" s="2" t="n">
        <x:v>54</x:v>
      </x:c>
      <x:c r="K2049" s="2"/>
      <x:c r="L2049" s="2"/>
    </x:row>
    <x:row r="2050" ht="22" customHeight="1">
      <x:c r="A2050" s="2"/>
      <x:c r="B2050" s="2" t="n">
        <x:v>2017</x:v>
      </x:c>
      <x:c r="C2050" s="2" t="str">
        <x:v>21092</x:v>
      </x:c>
      <x:c r="D2050" s="2" t="str">
        <x:v>phil said so</x:v>
      </x:c>
      <x:c r="E2050" s="11" t="n">
        <x:v>1571.5</x:v>
      </x:c>
      <x:c r="F2050" s="11" t="n">
        <x:v>20.4</x:v>
      </x:c>
      <x:c r="G2050" s="11" t="n">
        <x:v>1551.1</x:v>
      </x:c>
      <x:c r="H2050" s="23" t="n">
        <x:v>0.00007653256801783479</x:v>
      </x:c>
      <x:c r="I2050" s="23" t="n">
        <x:v>0.9309728741278536</x:v>
      </x:c>
      <x:c r="J2050" s="2" t="n">
        <x:v>28</x:v>
      </x:c>
      <x:c r="K2050" s="2"/>
      <x:c r="L2050" s="2"/>
    </x:row>
    <x:row r="2051" ht="22" customHeight="1">
      <x:c r="A2051" s="2"/>
      <x:c r="B2051" s="2" t="n">
        <x:v>2018</x:v>
      </x:c>
      <x:c r="C2051" s="2" t="str">
        <x:v>21289</x:v>
      </x:c>
      <x:c r="D2051" s="2" t="str">
        <x:v>LARGE STRIPES CHOCOLATE GIFT BAG</x:v>
      </x:c>
      <x:c r="E2051" s="11" t="n">
        <x:v>1570.56</x:v>
      </x:c>
      <x:c r="F2051" s="11" t="n">
        <x:v>25</x:v>
      </x:c>
      <x:c r="G2051" s="11" t="n">
        <x:v>1545.56</x:v>
      </x:c>
      <x:c r="H2051" s="23" t="n">
        <x:v>0.00007648678970798001</x:v>
      </x:c>
      <x:c r="I2051" s="23" t="n">
        <x:v>0.9310493609175615</x:v>
      </x:c>
      <x:c r="J2051" s="2" t="n">
        <x:v>102</x:v>
      </x:c>
      <x:c r="K2051" s="2"/>
      <x:c r="L2051" s="2"/>
    </x:row>
    <x:row r="2052" ht="22" customHeight="1">
      <x:c r="A2052" s="2"/>
      <x:c r="B2052" s="2" t="n">
        <x:v>2019</x:v>
      </x:c>
      <x:c r="C2052" s="2" t="str">
        <x:v>72803A</x:v>
      </x:c>
      <x:c r="D2052" s="2" t="str">
        <x:v>ROSE SCENT CANDLE JEWELLED DRAWER</x:v>
      </x:c>
      <x:c r="E2052" s="11" t="n">
        <x:v>1570.5</x:v>
      </x:c>
      <x:c r="F2052" s="11" t="n">
        <x:v>17</x:v>
      </x:c>
      <x:c r="G2052" s="11" t="n">
        <x:v>1553.5</x:v>
      </x:c>
      <x:c r="H2052" s="23" t="n">
        <x:v>0.00007648386768820204</x:v>
      </x:c>
      <x:c r="I2052" s="23" t="n">
        <x:v>0.9311258447852497</x:v>
      </x:c>
      <x:c r="J2052" s="2" t="n">
        <x:v>97</x:v>
      </x:c>
      <x:c r="K2052" s="2"/>
      <x:c r="L2052" s="2"/>
    </x:row>
    <x:row r="2053" ht="22" customHeight="1">
      <x:c r="A2053" s="2"/>
      <x:c r="B2053" s="2" t="n">
        <x:v>2020</x:v>
      </x:c>
      <x:c r="C2053" s="2" t="str">
        <x:v>21579</x:v>
      </x:c>
      <x:c r="D2053" s="2" t="str">
        <x:v>LOLITA  DESIGN  COTTON TOTE BAG</x:v>
      </x:c>
      <x:c r="E2053" s="11" t="n">
        <x:v>1569.85</x:v>
      </x:c>
      <x:c r="F2053" s="11" t="n">
        <x:v>38.25</x:v>
      </x:c>
      <x:c r="G2053" s="11" t="n">
        <x:v>1531.6</x:v>
      </x:c>
      <x:c r="H2053" s="23" t="n">
        <x:v>0.00007645221247394076</x:v>
      </x:c>
      <x:c r="I2053" s="23" t="n">
        <x:v>0.9312022969977237</x:v>
      </x:c>
      <x:c r="J2053" s="2" t="n">
        <x:v>136</x:v>
      </x:c>
      <x:c r="K2053" s="2"/>
      <x:c r="L2053" s="2"/>
    </x:row>
    <x:row r="2054" ht="22" customHeight="1">
      <x:c r="A2054" s="2"/>
      <x:c r="B2054" s="2" t="n">
        <x:v>2021</x:v>
      </x:c>
      <x:c r="C2054" s="2" t="str">
        <x:v>21925</x:v>
      </x:c>
      <x:c r="D2054" s="2" t="str">
        <x:v>UNION STRIPE CUSHION COVER </x:v>
      </x:c>
      <x:c r="E2054" s="11" t="n">
        <x:v>1567.33</x:v>
      </x:c>
      <x:c r="F2054" s="11" t="n">
        <x:v>22.5</x:v>
      </x:c>
      <x:c r="G2054" s="11" t="n">
        <x:v>1544.83</x:v>
      </x:c>
      <x:c r="H2054" s="23" t="n">
        <x:v>0.0000763294876432663</x:v>
      </x:c>
      <x:c r="I2054" s="23" t="n">
        <x:v>0.931278626485367</x:v>
      </x:c>
      <x:c r="J2054" s="2" t="n">
        <x:v>167</x:v>
      </x:c>
      <x:c r="K2054" s="2"/>
      <x:c r="L2054" s="2"/>
    </x:row>
    <x:row r="2055" ht="22" customHeight="1">
      <x:c r="A2055" s="2"/>
      <x:c r="B2055" s="2" t="n">
        <x:v>2022</x:v>
      </x:c>
      <x:c r="C2055" s="2" t="str">
        <x:v>15059A</x:v>
      </x:c>
      <x:c r="D2055" s="2" t="str">
        <x:v>ENGLISH ROSE EDWARDIAN PARASOL</x:v>
      </x:c>
      <x:c r="E2055" s="11" t="n">
        <x:v>1567</x:v>
      </x:c>
      <x:c r="F2055" s="11" t="n">
        <x:v>0</x:v>
      </x:c>
      <x:c r="G2055" s="11" t="n">
        <x:v>1567</x:v>
      </x:c>
      <x:c r="H2055" s="23" t="n">
        <x:v>0.0000763134165344875</x:v>
      </x:c>
      <x:c r="I2055" s="23" t="n">
        <x:v>0.9313549399019014</x:v>
      </x:c>
      <x:c r="J2055" s="2" t="n">
        <x:v>4</x:v>
      </x:c>
      <x:c r="K2055" s="2"/>
      <x:c r="L2055" s="2"/>
    </x:row>
    <x:row r="2056" ht="22" customHeight="1">
      <x:c r="A2056" s="2"/>
      <x:c r="B2056" s="2" t="n">
        <x:v>2023</x:v>
      </x:c>
      <x:c r="C2056" s="2" t="str">
        <x:v>84789</x:v>
      </x:c>
      <x:c r="D2056" s="2" t="str">
        <x:v>ENCHANTED BIRD PLANT CAGE</x:v>
      </x:c>
      <x:c r="E2056" s="11" t="n">
        <x:v>1565.89</x:v>
      </x:c>
      <x:c r="F2056" s="11" t="n">
        <x:v>30</x:v>
      </x:c>
      <x:c r="G2056" s="11" t="n">
        <x:v>1535.89</x:v>
      </x:c>
      <x:c r="H2056" s="23" t="n">
        <x:v>0.00007625935916859516</x:v>
      </x:c>
      <x:c r="I2056" s="23" t="n">
        <x:v>0.93143119926107</x:v>
      </x:c>
      <x:c r="J2056" s="2" t="n">
        <x:v>124</x:v>
      </x:c>
      <x:c r="K2056" s="2"/>
      <x:c r="L2056" s="2"/>
    </x:row>
    <x:row r="2057" ht="22" customHeight="1">
      <x:c r="A2057" s="2"/>
      <x:c r="B2057" s="2" t="n">
        <x:v>2024</x:v>
      </x:c>
      <x:c r="C2057" s="2" t="str">
        <x:v>21610</x:v>
      </x:c>
      <x:c r="D2057" s="2" t="str">
        <x:v>SET 12 PEAR BOTANICAL T-LIGHTS</x:v>
      </x:c>
      <x:c r="E2057" s="11" t="n">
        <x:v>1564.3200000000002</x:v>
      </x:c>
      <x:c r="F2057" s="11" t="n">
        <x:v>0</x:v>
      </x:c>
      <x:c r="G2057" s="11" t="n">
        <x:v>1564.3200000000002</x:v>
      </x:c>
      <x:c r="H2057" s="23" t="n">
        <x:v>0.00007618289965107179</x:v>
      </x:c>
      <x:c r="I2057" s="23" t="n">
        <x:v>0.931507382160721</x:v>
      </x:c>
      <x:c r="J2057" s="2" t="n">
        <x:v>97</x:v>
      </x:c>
      <x:c r="K2057" s="2"/>
      <x:c r="L2057" s="2"/>
    </x:row>
    <x:row r="2058" ht="22" customHeight="1">
      <x:c r="A2058" s="2"/>
      <x:c r="B2058" s="2" t="n">
        <x:v>2025</x:v>
      </x:c>
      <x:c r="C2058" s="2" t="str">
        <x:v>85194L</x:v>
      </x:c>
      <x:c r="D2058" s="2" t="str">
        <x:v>HANGING SPRING FLOWER EGG LARGE</x:v>
      </x:c>
      <x:c r="E2058" s="11" t="n">
        <x:v>1562.33</x:v>
      </x:c>
      <x:c r="F2058" s="11" t="n">
        <x:v>28.049999999999997</x:v>
      </x:c>
      <x:c r="G2058" s="11" t="n">
        <x:v>1534.28</x:v>
      </x:c>
      <x:c r="H2058" s="23" t="n">
        <x:v>0.00007608598599510265</x:v>
      </x:c>
      <x:c r="I2058" s="23" t="n">
        <x:v>0.9315834681467161</x:v>
      </x:c>
      <x:c r="J2058" s="2" t="n">
        <x:v>147</x:v>
      </x:c>
      <x:c r="K2058" s="2"/>
      <x:c r="L2058" s="2"/>
    </x:row>
    <x:row r="2059" ht="22" customHeight="1">
      <x:c r="A2059" s="2"/>
      <x:c r="B2059" s="2" t="n">
        <x:v>2026</x:v>
      </x:c>
      <x:c r="C2059" s="2" t="str">
        <x:v>21972</x:v>
      </x:c>
      <x:c r="D2059" s="2" t="str">
        <x:v>SET OF 36 DINOSAUR PAPER DOILIES</x:v>
      </x:c>
      <x:c r="E2059" s="11" t="n">
        <x:v>1562.27</x:v>
      </x:c>
      <x:c r="F2059" s="11" t="n">
        <x:v>2.9</x:v>
      </x:c>
      <x:c r="G2059" s="11" t="n">
        <x:v>1559.37</x:v>
      </x:c>
      <x:c r="H2059" s="23" t="n">
        <x:v>0.00007608306397532468</x:v>
      </x:c>
      <x:c r="I2059" s="23" t="n">
        <x:v>0.9316595512106914</x:v>
      </x:c>
      <x:c r="J2059" s="2" t="n">
        <x:v>171</x:v>
      </x:c>
      <x:c r="K2059" s="2"/>
      <x:c r="L2059" s="2"/>
    </x:row>
    <x:row r="2060" ht="22" customHeight="1">
      <x:c r="A2060" s="2"/>
      <x:c r="B2060" s="2" t="n">
        <x:v>2027</x:v>
      </x:c>
      <x:c r="C2060" s="2" t="str">
        <x:v>22681</x:v>
      </x:c>
      <x:c r="D2060" s="2" t="str">
        <x:v>FRENCH BLUE METAL DOOR SIGN 6</x:v>
      </x:c>
      <x:c r="E2060" s="11" t="n">
        <x:v>1562.02</x:v>
      </x:c>
      <x:c r="F2060" s="11" t="n">
        <x:v>14.81</x:v>
      </x:c>
      <x:c r="G2060" s="11" t="n">
        <x:v>1547.21</x:v>
      </x:c>
      <x:c r="H2060" s="23" t="n">
        <x:v>0.0000760708888929165</x:v>
      </x:c>
      <x:c r="I2060" s="23" t="n">
        <x:v>0.9317356220995844</x:v>
      </x:c>
      <x:c r="J2060" s="2" t="n">
        <x:v>189</x:v>
      </x:c>
      <x:c r="K2060" s="2"/>
      <x:c r="L2060" s="2"/>
    </x:row>
    <x:row r="2061" ht="22" customHeight="1">
      <x:c r="A2061" s="2"/>
      <x:c r="B2061" s="2" t="n">
        <x:v>2028</x:v>
      </x:c>
      <x:c r="C2061" s="2" t="str">
        <x:v>84536B</x:v>
      </x:c>
      <x:c r="D2061" s="2" t="str">
        <x:v>FAIRY CAKES NOTEBOOK A7 SIZE</x:v>
      </x:c>
      <x:c r="E2061" s="11" t="n">
        <x:v>1561.49</x:v>
      </x:c>
      <x:c r="F2061" s="11" t="n">
        <x:v>21.84</x:v>
      </x:c>
      <x:c r="G2061" s="11" t="n">
        <x:v>1539.65</x:v>
      </x:c>
      <x:c r="H2061" s="23" t="n">
        <x:v>0.00007604507771821116</x:v>
      </x:c>
      <x:c r="I2061" s="23" t="n">
        <x:v>0.9318116671773026</x:v>
      </x:c>
      <x:c r="J2061" s="2" t="n">
        <x:v>399</x:v>
      </x:c>
      <x:c r="K2061" s="2"/>
      <x:c r="L2061" s="2"/>
    </x:row>
    <x:row r="2062" ht="22" customHeight="1">
      <x:c r="A2062" s="2"/>
      <x:c r="B2062" s="2" t="n">
        <x:v>2029</x:v>
      </x:c>
      <x:c r="C2062" s="2" t="str">
        <x:v>21711</x:v>
      </x:c>
      <x:c r="D2062" s="2" t="str">
        <x:v>FOLDING UMBRELLA WHITE/RED POLKADOT</x:v>
      </x:c>
      <x:c r="E2062" s="11" t="n">
        <x:v>1560.6100000000001</x:v>
      </x:c>
      <x:c r="F2062" s="11" t="n">
        <x:v>0</x:v>
      </x:c>
      <x:c r="G2062" s="11" t="n">
        <x:v>1560.6100000000001</x:v>
      </x:c>
      <x:c r="H2062" s="23" t="n">
        <x:v>0.00007600222142813435</x:v>
      </x:c>
      <x:c r="I2062" s="23" t="n">
        <x:v>0.9318876693987307</x:v>
      </x:c>
      <x:c r="J2062" s="2" t="n">
        <x:v>71</x:v>
      </x:c>
      <x:c r="K2062" s="2"/>
      <x:c r="L2062" s="2"/>
    </x:row>
    <x:row r="2063" ht="22" customHeight="1">
      <x:c r="A2063" s="2"/>
      <x:c r="B2063" s="2" t="n">
        <x:v>2030</x:v>
      </x:c>
      <x:c r="C2063" s="2" t="str">
        <x:v>21276</x:v>
      </x:c>
      <x:c r="D2063" s="2" t="str">
        <x:v>TWO EMBOSSED HEART MINI DRAWERS</x:v>
      </x:c>
      <x:c r="E2063" s="11" t="n">
        <x:v>1558.94</x:v>
      </x:c>
      <x:c r="F2063" s="11" t="n">
        <x:v>76.2</x:v>
      </x:c>
      <x:c r="G2063" s="11" t="n">
        <x:v>1482.74</x:v>
      </x:c>
      <x:c r="H2063" s="23" t="n">
        <x:v>0.0000759208918776477</x:v>
      </x:c>
      <x:c r="I2063" s="23" t="n">
        <x:v>0.9319635902906084</x:v>
      </x:c>
      <x:c r="J2063" s="2" t="n">
        <x:v>29</x:v>
      </x:c>
      <x:c r="K2063" s="2"/>
      <x:c r="L2063" s="2"/>
    </x:row>
    <x:row r="2064" ht="22" customHeight="1">
      <x:c r="A2064" s="2"/>
      <x:c r="B2064" s="2" t="n">
        <x:v>2031</x:v>
      </x:c>
      <x:c r="C2064" s="2" t="str">
        <x:v>85036B</x:v>
      </x:c>
      <x:c r="D2064" s="2" t="str">
        <x:v>CHOCOLATE 1 WICK MORRIS BOX CANDLE</x:v>
      </x:c>
      <x:c r="E2064" s="11" t="n">
        <x:v>1558.1599999999999</x:v>
      </x:c>
      <x:c r="F2064" s="11" t="n">
        <x:v>25.5</x:v>
      </x:c>
      <x:c r="G2064" s="11" t="n">
        <x:v>1532.6599999999999</x:v>
      </x:c>
      <x:c r="H2064" s="23" t="n">
        <x:v>0.00007588290562053416</x:v>
      </x:c>
      <x:c r="I2064" s="23" t="n">
        <x:v>0.9320394731962289</x:v>
      </x:c>
      <x:c r="J2064" s="2" t="n">
        <x:v>87</x:v>
      </x:c>
      <x:c r="K2064" s="2"/>
      <x:c r="L2064" s="2"/>
    </x:row>
    <x:row r="2065" ht="22" customHeight="1">
      <x:c r="A2065" s="2"/>
      <x:c r="B2065" s="2" t="n">
        <x:v>2032</x:v>
      </x:c>
      <x:c r="C2065" s="2" t="str">
        <x:v>23524</x:v>
      </x:c>
      <x:c r="D2065" s="2" t="str">
        <x:v>WALL ART HORSE &amp; PONY </x:v>
      </x:c>
      <x:c r="E2065" s="11" t="n">
        <x:v>1557.63</x:v>
      </x:c>
      <x:c r="F2065" s="11" t="n">
        <x:v>22.5</x:v>
      </x:c>
      <x:c r="G2065" s="11" t="n">
        <x:v>1535.13</x:v>
      </x:c>
      <x:c r="H2065" s="23" t="n">
        <x:v>0.00007585709444582882</x:v>
      </x:c>
      <x:c r="I2065" s="23" t="n">
        <x:v>0.9321153302906747</x:v>
      </x:c>
      <x:c r="J2065" s="2" t="n">
        <x:v>63</x:v>
      </x:c>
      <x:c r="K2065" s="2"/>
      <x:c r="L2065" s="2"/>
    </x:row>
    <x:row r="2066" ht="22" customHeight="1">
      <x:c r="A2066" s="2"/>
      <x:c r="B2066" s="2" t="n">
        <x:v>2033</x:v>
      </x:c>
      <x:c r="C2066" s="2" t="str">
        <x:v>20766</x:v>
      </x:c>
      <x:c r="D2066" s="2" t="str">
        <x:v>GARDEN PATH SKETCHBOOK</x:v>
      </x:c>
      <x:c r="E2066" s="11" t="n">
        <x:v>1555.97</x:v>
      </x:c>
      <x:c r="F2066" s="11" t="n">
        <x:v>15</x:v>
      </x:c>
      <x:c r="G2066" s="11" t="n">
        <x:v>1540.97</x:v>
      </x:c>
      <x:c r="H2066" s="23" t="n">
        <x:v>0.00007577625189863849</x:v>
      </x:c>
      <x:c r="I2066" s="23" t="n">
        <x:v>0.9321911065425733</x:v>
      </x:c>
      <x:c r="J2066" s="2" t="n">
        <x:v>155</x:v>
      </x:c>
      <x:c r="K2066" s="2"/>
      <x:c r="L2066" s="2"/>
    </x:row>
    <x:row r="2067" ht="22" customHeight="1">
      <x:c r="A2067" s="2"/>
      <x:c r="B2067" s="2" t="n">
        <x:v>2034</x:v>
      </x:c>
      <x:c r="C2067" s="2" t="str">
        <x:v>21399</x:v>
      </x:c>
      <x:c r="D2067" s="2" t="str">
        <x:v>BLUE POLKADOT COFFEE MUG</x:v>
      </x:c>
      <x:c r="E2067" s="11" t="n">
        <x:v>1555.12</x:v>
      </x:c>
      <x:c r="F2067" s="11" t="n">
        <x:v>45.39</x:v>
      </x:c>
      <x:c r="G2067" s="11" t="n">
        <x:v>1509.73</x:v>
      </x:c>
      <x:c r="H2067" s="23" t="n">
        <x:v>0.00007573485661845066</x:v>
      </x:c>
      <x:c r="I2067" s="23" t="n">
        <x:v>0.9322668413991918</x:v>
      </x:c>
      <x:c r="J2067" s="2" t="n">
        <x:v>118</x:v>
      </x:c>
      <x:c r="K2067" s="2"/>
      <x:c r="L2067" s="2"/>
    </x:row>
    <x:row r="2068" ht="22" customHeight="1">
      <x:c r="A2068" s="2"/>
      <x:c r="B2068" s="2" t="n">
        <x:v>2035</x:v>
      </x:c>
      <x:c r="C2068" s="2" t="str">
        <x:v>22786</x:v>
      </x:c>
      <x:c r="D2068" s="2" t="str">
        <x:v>CUSHION COVER PINK UNION JACK</x:v>
      </x:c>
      <x:c r="E2068" s="11" t="n">
        <x:v>1555.05</x:v>
      </x:c>
      <x:c r="F2068" s="11" t="n">
        <x:v>0</x:v>
      </x:c>
      <x:c r="G2068" s="11" t="n">
        <x:v>1555.05</x:v>
      </x:c>
      <x:c r="H2068" s="23" t="n">
        <x:v>0.00007573144759537637</x:v>
      </x:c>
      <x:c r="I2068" s="23" t="n">
        <x:v>0.9323425728467872</x:v>
      </x:c>
      <x:c r="J2068" s="2" t="n">
        <x:v>92</x:v>
      </x:c>
      <x:c r="K2068" s="2"/>
      <x:c r="L2068" s="2"/>
    </x:row>
    <x:row r="2069" ht="22" customHeight="1">
      <x:c r="A2069" s="2"/>
      <x:c r="B2069" s="2" t="n">
        <x:v>2036</x:v>
      </x:c>
      <x:c r="C2069" s="2" t="str">
        <x:v>22982</x:v>
      </x:c>
      <x:c r="D2069" s="2" t="str">
        <x:v>PANTRY PASTRY BRUSH</x:v>
      </x:c>
      <x:c r="E2069" s="11" t="n">
        <x:v>1545.02</x:v>
      </x:c>
      <x:c r="F2069" s="11" t="n">
        <x:v>30</x:v>
      </x:c>
      <x:c r="G2069" s="11" t="n">
        <x:v>1515.02</x:v>
      </x:c>
      <x:c r="H2069" s="23" t="n">
        <x:v>0.00007524298328916009</x:v>
      </x:c>
      <x:c r="I2069" s="23" t="n">
        <x:v>0.9324178158300764</x:v>
      </x:c>
      <x:c r="J2069" s="2" t="n">
        <x:v>212</x:v>
      </x:c>
      <x:c r="K2069" s="2"/>
      <x:c r="L2069" s="2"/>
    </x:row>
    <x:row r="2070" ht="22" customHeight="1">
      <x:c r="A2070" s="2"/>
      <x:c r="B2070" s="2" t="n">
        <x:v>2037</x:v>
      </x:c>
      <x:c r="C2070" s="2" t="str">
        <x:v>16033</x:v>
      </x:c>
      <x:c r="D2070" s="2" t="str">
        <x:v>MINI HIGHLIGHTER PENS</x:v>
      </x:c>
      <x:c r="E2070" s="11" t="n">
        <x:v>1544.52</x:v>
      </x:c>
      <x:c r="F2070" s="11" t="n">
        <x:v>57.599999999999994</x:v>
      </x:c>
      <x:c r="G2070" s="11" t="n">
        <x:v>1486.9199999999998</x:v>
      </x:c>
      <x:c r="H2070" s="23" t="n">
        <x:v>0.00007521863312434373</x:v>
      </x:c>
      <x:c r="I2070" s="23" t="n">
        <x:v>0.9324930344632008</x:v>
      </x:c>
      <x:c r="J2070" s="2" t="n">
        <x:v>50</x:v>
      </x:c>
      <x:c r="K2070" s="2"/>
      <x:c r="L2070" s="2"/>
    </x:row>
    <x:row r="2071" ht="22" customHeight="1">
      <x:c r="A2071" s="2"/>
      <x:c r="B2071" s="2" t="n">
        <x:v>2038</x:v>
      </x:c>
      <x:c r="C2071" s="2" t="str">
        <x:v>75131</x:v>
      </x:c>
      <x:c r="D2071" s="2" t="str">
        <x:v>METAL TUBE CHIME ON BAMBOO</x:v>
      </x:c>
      <x:c r="E2071" s="11" t="n">
        <x:v>1543.03</x:v>
      </x:c>
      <x:c r="F2071" s="11" t="n">
        <x:v>0</x:v>
      </x:c>
      <x:c r="G2071" s="11" t="n">
        <x:v>1543.03</x:v>
      </x:c>
      <x:c r="H2071" s="23" t="n">
        <x:v>0.00007514606963319097</x:v>
      </x:c>
      <x:c r="I2071" s="23" t="n">
        <x:v>0.932568180532834</x:v>
      </x:c>
      <x:c r="J2071" s="2" t="n">
        <x:v>68</x:v>
      </x:c>
      <x:c r="K2071" s="2"/>
      <x:c r="L2071" s="2"/>
    </x:row>
    <x:row r="2072" ht="22" customHeight="1">
      <x:c r="A2072" s="2"/>
      <x:c r="B2072" s="2" t="n">
        <x:v>2039</x:v>
      </x:c>
      <x:c r="C2072" s="2" t="str">
        <x:v>20735</x:v>
      </x:c>
      <x:c r="D2072" s="2" t="str">
        <x:v>BLACK MINI TAPE MEASURE </x:v>
      </x:c>
      <x:c r="E2072" s="11" t="n">
        <x:v>1540.29</x:v>
      </x:c>
      <x:c r="F2072" s="11" t="n">
        <x:v>0</x:v>
      </x:c>
      <x:c r="G2072" s="11" t="n">
        <x:v>1540.29</x:v>
      </x:c>
      <x:c r="H2072" s="23" t="n">
        <x:v>0.00007501263072999728</x:v>
      </x:c>
      <x:c r="I2072" s="23" t="n">
        <x:v>0.9326431931635639</x:v>
      </x:c>
      <x:c r="J2072" s="2" t="n">
        <x:v>202</x:v>
      </x:c>
      <x:c r="K2072" s="2"/>
      <x:c r="L2072" s="2"/>
    </x:row>
    <x:row r="2073" ht="22" customHeight="1">
      <x:c r="A2073" s="2"/>
      <x:c r="B2073" s="2" t="n">
        <x:v>2040</x:v>
      </x:c>
      <x:c r="C2073" s="2" t="str">
        <x:v>84795D</x:v>
      </x:c>
      <x:c r="D2073" s="2" t="str">
        <x:v>SEASIDE STRIPE HAMMOCK</x:v>
      </x:c>
      <x:c r="E2073" s="11" t="n">
        <x:v>1538.79</x:v>
      </x:c>
      <x:c r="F2073" s="11" t="n">
        <x:v>6.95</x:v>
      </x:c>
      <x:c r="G2073" s="11" t="n">
        <x:v>1531.8400000000001</x:v>
      </x:c>
      <x:c r="H2073" s="23" t="n">
        <x:v>0.00007493958023554819</x:v>
      </x:c>
      <x:c r="I2073" s="23" t="n">
        <x:v>0.9327181327437994</x:v>
      </x:c>
      <x:c r="J2073" s="2" t="n">
        <x:v>83</x:v>
      </x:c>
      <x:c r="K2073" s="2"/>
      <x:c r="L2073" s="2"/>
    </x:row>
    <x:row r="2074" ht="22" customHeight="1">
      <x:c r="A2074" s="2"/>
      <x:c r="B2074" s="2" t="n">
        <x:v>2041</x:v>
      </x:c>
      <x:c r="C2074" s="2" t="str">
        <x:v>22322</x:v>
      </x:c>
      <x:c r="D2074" s="2" t="str">
        <x:v>BIRD DECORATION GREEN POLKADOT</x:v>
      </x:c>
      <x:c r="E2074" s="11" t="n">
        <x:v>1538.4099999999999</x:v>
      </x:c>
      <x:c r="F2074" s="11" t="n">
        <x:v>12.75</x:v>
      </x:c>
      <x:c r="G2074" s="11" t="n">
        <x:v>1525.6599999999999</x:v>
      </x:c>
      <x:c r="H2074" s="23" t="n">
        <x:v>0.00007492107411028774</x:v>
      </x:c>
      <x:c r="I2074" s="23" t="n">
        <x:v>0.9327930538179098</x:v>
      </x:c>
      <x:c r="J2074" s="2" t="n">
        <x:v>272</x:v>
      </x:c>
      <x:c r="K2074" s="2"/>
      <x:c r="L2074" s="2"/>
    </x:row>
    <x:row r="2075" ht="22" customHeight="1">
      <x:c r="A2075" s="2"/>
      <x:c r="B2075" s="2" t="n">
        <x:v>2042</x:v>
      </x:c>
      <x:c r="C2075" s="2" t="str">
        <x:v>21146</x:v>
      </x:c>
      <x:c r="D2075" s="2" t="str">
        <x:v>ANTIQUE GLASS RIDGED HANGING BALL</x:v>
      </x:c>
      <x:c r="E2075" s="11" t="n">
        <x:v>1537.07</x:v>
      </x:c>
      <x:c r="F2075" s="11" t="n">
        <x:v>3.9</x:v>
      </x:c>
      <x:c r="G2075" s="11" t="n">
        <x:v>1533.1699999999998</x:v>
      </x:c>
      <x:c r="H2075" s="23" t="n">
        <x:v>0.0000748558156685799</x:v>
      </x:c>
      <x:c r="I2075" s="23" t="n">
        <x:v>0.9328679096335784</x:v>
      </x:c>
      <x:c r="J2075" s="2" t="n">
        <x:v>58</x:v>
      </x:c>
      <x:c r="K2075" s="2"/>
      <x:c r="L2075" s="2"/>
    </x:row>
    <x:row r="2076" ht="22" customHeight="1">
      <x:c r="A2076" s="2"/>
      <x:c r="B2076" s="2" t="n">
        <x:v>2043</x:v>
      </x:c>
      <x:c r="C2076" s="2" t="str">
        <x:v>20768</x:v>
      </x:c>
      <x:c r="D2076" s="2" t="str">
        <x:v>GREEN FERN JOURNAL </x:v>
      </x:c>
      <x:c r="E2076" s="11" t="n">
        <x:v>1536.74</x:v>
      </x:c>
      <x:c r="F2076" s="11" t="n">
        <x:v>0</x:v>
      </x:c>
      <x:c r="G2076" s="11" t="n">
        <x:v>1536.74</x:v>
      </x:c>
      <x:c r="H2076" s="23" t="n">
        <x:v>0.0000748397445598011</x:v>
      </x:c>
      <x:c r="I2076" s="23" t="n">
        <x:v>0.9329427493781381</x:v>
      </x:c>
      <x:c r="J2076" s="2" t="n">
        <x:v>149</x:v>
      </x:c>
      <x:c r="K2076" s="2"/>
      <x:c r="L2076" s="2"/>
    </x:row>
    <x:row r="2077" ht="22" customHeight="1">
      <x:c r="A2077" s="2"/>
      <x:c r="B2077" s="2" t="n">
        <x:v>2044</x:v>
      </x:c>
      <x:c r="C2077" s="2" t="str">
        <x:v>22340</x:v>
      </x:c>
      <x:c r="D2077" s="2" t="str">
        <x:v>NOEL GARLAND PAINTED ZINC </x:v>
      </x:c>
      <x:c r="E2077" s="11" t="n">
        <x:v>1535.9199999999998</x:v>
      </x:c>
      <x:c r="F2077" s="11" t="n">
        <x:v>19.049999999999997</x:v>
      </x:c>
      <x:c r="G2077" s="11" t="n">
        <x:v>1516.87</x:v>
      </x:c>
      <x:c r="H2077" s="23" t="n">
        <x:v>0.00007479981028950224</x:v>
      </x:c>
      <x:c r="I2077" s="23" t="n">
        <x:v>0.9330175491884276</x:v>
      </x:c>
      <x:c r="J2077" s="2" t="n">
        <x:v>184</x:v>
      </x:c>
      <x:c r="K2077" s="2"/>
      <x:c r="L2077" s="2"/>
    </x:row>
    <x:row r="2078" ht="22" customHeight="1">
      <x:c r="A2078" s="2"/>
      <x:c r="B2078" s="2" t="n">
        <x:v>2045</x:v>
      </x:c>
      <x:c r="C2078" s="2" t="str">
        <x:v>20986</x:v>
      </x:c>
      <x:c r="D2078" s="2" t="str">
        <x:v>BLUE CALCULATOR RULER</x:v>
      </x:c>
      <x:c r="E2078" s="11" t="n">
        <x:v>1534.7</x:v>
      </x:c>
      <x:c r="F2078" s="11" t="n">
        <x:v>0</x:v>
      </x:c>
      <x:c r="G2078" s="11" t="n">
        <x:v>1534.7</x:v>
      </x:c>
      <x:c r="H2078" s="23" t="n">
        <x:v>0.00007474039588735033</x:v>
      </x:c>
      <x:c r="I2078" s="23" t="n">
        <x:v>0.933092289584315</x:v>
      </x:c>
      <x:c r="J2078" s="2" t="n">
        <x:v>204</x:v>
      </x:c>
      <x:c r="K2078" s="2"/>
      <x:c r="L2078" s="2"/>
    </x:row>
    <x:row r="2079" ht="22" customHeight="1">
      <x:c r="A2079" s="2"/>
      <x:c r="B2079" s="2" t="n">
        <x:v>2046</x:v>
      </x:c>
      <x:c r="C2079" s="2" t="str">
        <x:v>23267</x:v>
      </x:c>
      <x:c r="D2079" s="2" t="str">
        <x:v>SET OF 4 SANTA PLACE SETTINGS</x:v>
      </x:c>
      <x:c r="E2079" s="11" t="n">
        <x:v>1531.95</x:v>
      </x:c>
      <x:c r="F2079" s="11" t="n">
        <x:v>60</x:v>
      </x:c>
      <x:c r="G2079" s="11" t="n">
        <x:v>1471.95</x:v>
      </x:c>
      <x:c r="H2079" s="23" t="n">
        <x:v>0.00007460646998086032</x:v>
      </x:c>
      <x:c r="I2079" s="23" t="n">
        <x:v>0.9331668960542958</x:v>
      </x:c>
      <x:c r="J2079" s="2" t="n">
        <x:v>108</x:v>
      </x:c>
      <x:c r="K2079" s="2"/>
      <x:c r="L2079" s="2"/>
    </x:row>
    <x:row r="2080" ht="22" customHeight="1">
      <x:c r="A2080" s="2"/>
      <x:c r="B2080" s="2" t="n">
        <x:v>2047</x:v>
      </x:c>
      <x:c r="C2080" s="2" t="str">
        <x:v>72008</x:v>
      </x:c>
      <x:c r="D2080" s="2" t="str">
        <x:v>FROSTED BOX 9 WHITE T-LIGHT CANDLES</x:v>
      </x:c>
      <x:c r="E2080" s="11" t="n">
        <x:v>1531.82</x:v>
      </x:c>
      <x:c r="F2080" s="11" t="n">
        <x:v>10.5</x:v>
      </x:c>
      <x:c r="G2080" s="11" t="n">
        <x:v>1521.32</x:v>
      </x:c>
      <x:c r="H2080" s="23" t="n">
        <x:v>0.00007460013893800805</x:v>
      </x:c>
      <x:c r="I2080" s="23" t="n">
        <x:v>0.9332414961932338</x:v>
      </x:c>
      <x:c r="J2080" s="2" t="n">
        <x:v>215</x:v>
      </x:c>
      <x:c r="K2080" s="2"/>
      <x:c r="L2080" s="2"/>
    </x:row>
    <x:row r="2081" ht="22" customHeight="1">
      <x:c r="A2081" s="2"/>
      <x:c r="B2081" s="2" t="n">
        <x:v>2048</x:v>
      </x:c>
      <x:c r="C2081" s="2" t="str">
        <x:v>23250</x:v>
      </x:c>
      <x:c r="D2081" s="2" t="str">
        <x:v>VINTAGE RED TRIM ENAMEL BOWL </x:v>
      </x:c>
      <x:c r="E2081" s="11" t="n">
        <x:v>1531.03</x:v>
      </x:c>
      <x:c r="F2081" s="11" t="n">
        <x:v>141.8</x:v>
      </x:c>
      <x:c r="G2081" s="11" t="n">
        <x:v>1389.23</x:v>
      </x:c>
      <x:c r="H2081" s="23" t="n">
        <x:v>0.0000745616656775982</x:v>
      </x:c>
      <x:c r="I2081" s="23" t="n">
        <x:v>0.9333160578589115</x:v>
      </x:c>
      <x:c r="J2081" s="2" t="n">
        <x:v>110</x:v>
      </x:c>
      <x:c r="K2081" s="2"/>
      <x:c r="L2081" s="2"/>
    </x:row>
    <x:row r="2082" ht="22" customHeight="1">
      <x:c r="A2082" s="2"/>
      <x:c r="B2082" s="2" t="n">
        <x:v>2049</x:v>
      </x:c>
      <x:c r="C2082" s="2" t="str">
        <x:v>22288</x:v>
      </x:c>
      <x:c r="D2082" s="2" t="str">
        <x:v>HANGING METAL RABBIT DECORATION</x:v>
      </x:c>
      <x:c r="E2082" s="11" t="n">
        <x:v>1528.49</x:v>
      </x:c>
      <x:c r="F2082" s="11" t="n">
        <x:v>0</x:v>
      </x:c>
      <x:c r="G2082" s="11" t="n">
        <x:v>1528.49</x:v>
      </x:c>
      <x:c r="H2082" s="23" t="n">
        <x:v>0.00007443796684033107</x:v>
      </x:c>
      <x:c r="I2082" s="23" t="n">
        <x:v>0.9333904958257518</x:v>
      </x:c>
      <x:c r="J2082" s="2" t="n">
        <x:v>119</x:v>
      </x:c>
      <x:c r="K2082" s="2"/>
      <x:c r="L2082" s="2"/>
    </x:row>
    <x:row r="2083" ht="22" customHeight="1">
      <x:c r="A2083" s="2"/>
      <x:c r="B2083" s="2" t="n">
        <x:v>2050</x:v>
      </x:c>
      <x:c r="C2083" s="2" t="str">
        <x:v>20902</x:v>
      </x:c>
      <x:c r="D2083" s="2" t="str">
        <x:v>check</x:v>
      </x:c>
      <x:c r="E2083" s="11" t="n">
        <x:v>1525.22</x:v>
      </x:c>
      <x:c r="F2083" s="11" t="n">
        <x:v>0</x:v>
      </x:c>
      <x:c r="G2083" s="11" t="n">
        <x:v>1525.22</x:v>
      </x:c>
      <x:c r="H2083" s="23" t="n">
        <x:v>0.00007427871676243205</x:v>
      </x:c>
      <x:c r="I2083" s="23" t="n">
        <x:v>0.9334647745425143</x:v>
      </x:c>
      <x:c r="J2083" s="2" t="n">
        <x:v>116</x:v>
      </x:c>
      <x:c r="K2083" s="2"/>
      <x:c r="L2083" s="2"/>
    </x:row>
    <x:row r="2084" ht="22" customHeight="1">
      <x:c r="A2084" s="2"/>
      <x:c r="B2084" s="2" t="n">
        <x:v>2051</x:v>
      </x:c>
      <x:c r="C2084" s="2" t="str">
        <x:v>22337</x:v>
      </x:c>
      <x:c r="D2084" s="2" t="str">
        <x:v>ANGEL DECORATION PAINTED ZINC </x:v>
      </x:c>
      <x:c r="E2084" s="11" t="n">
        <x:v>1522.52</x:v>
      </x:c>
      <x:c r="F2084" s="11" t="n">
        <x:v>0</x:v>
      </x:c>
      <x:c r="G2084" s="11" t="n">
        <x:v>1522.52</x:v>
      </x:c>
      <x:c r="H2084" s="23" t="n">
        <x:v>0.00007414722587242368</x:v>
      </x:c>
      <x:c r="I2084" s="23" t="n">
        <x:v>0.9335389217683867</x:v>
      </x:c>
      <x:c r="J2084" s="2" t="n">
        <x:v>146</x:v>
      </x:c>
      <x:c r="K2084" s="2"/>
      <x:c r="L2084" s="2"/>
    </x:row>
    <x:row r="2085" ht="22" customHeight="1">
      <x:c r="A2085" s="2"/>
      <x:c r="B2085" s="2" t="n">
        <x:v>2052</x:v>
      </x:c>
      <x:c r="C2085" s="2" t="str">
        <x:v>22682</x:v>
      </x:c>
      <x:c r="D2085" s="2" t="str">
        <x:v>FRENCH BLUE METAL DOOR SIGN 7</x:v>
      </x:c>
      <x:c r="E2085" s="11" t="n">
        <x:v>1521.86</x:v>
      </x:c>
      <x:c r="F2085" s="11" t="n">
        <x:v>13.75</x:v>
      </x:c>
      <x:c r="G2085" s="11" t="n">
        <x:v>1508.11</x:v>
      </x:c>
      <x:c r="H2085" s="23" t="n">
        <x:v>0.00007411508365486607</x:v>
      </x:c>
      <x:c r="I2085" s="23" t="n">
        <x:v>0.9336130368520416</x:v>
      </x:c>
      <x:c r="J2085" s="2" t="n">
        <x:v>182</x:v>
      </x:c>
      <x:c r="K2085" s="2"/>
      <x:c r="L2085" s="2"/>
    </x:row>
    <x:row r="2086" ht="22" customHeight="1">
      <x:c r="A2086" s="2"/>
      <x:c r="B2086" s="2" t="n">
        <x:v>2053</x:v>
      </x:c>
      <x:c r="C2086" s="2" t="str">
        <x:v>21785</x:v>
      </x:c>
      <x:c r="D2086" s="2" t="str">
        <x:v>RAIN PONCHO </x:v>
      </x:c>
      <x:c r="E2086" s="11" t="n">
        <x:v>1520.58</x:v>
      </x:c>
      <x:c r="F2086" s="11" t="n">
        <x:v>0</x:v>
      </x:c>
      <x:c r="G2086" s="11" t="n">
        <x:v>1520.58</x:v>
      </x:c>
      <x:c r="H2086" s="23" t="n">
        <x:v>0.00007405274723293617</x:v>
      </x:c>
      <x:c r="I2086" s="23" t="n">
        <x:v>0.9336870895992745</x:v>
      </x:c>
      <x:c r="J2086" s="2" t="n">
        <x:v>100</x:v>
      </x:c>
      <x:c r="K2086" s="2"/>
      <x:c r="L2086" s="2"/>
    </x:row>
    <x:row r="2087" ht="22" customHeight="1">
      <x:c r="A2087" s="2"/>
      <x:c r="B2087" s="2" t="n">
        <x:v>2054</x:v>
      </x:c>
      <x:c r="C2087" s="2" t="str">
        <x:v>21661</x:v>
      </x:c>
      <x:c r="D2087" s="2" t="str">
        <x:v>VINTAGE GLASS TEA CADDY</x:v>
      </x:c>
      <x:c r="E2087" s="11" t="n">
        <x:v>1517.26</x:v>
      </x:c>
      <x:c r="F2087" s="11" t="n">
        <x:v>35.2</x:v>
      </x:c>
      <x:c r="G2087" s="11" t="n">
        <x:v>1482.0600000000002</x:v>
      </x:c>
      <x:c r="H2087" s="23" t="n">
        <x:v>0.00007389106213855552</x:v>
      </x:c>
      <x:c r="I2087" s="23" t="n">
        <x:v>0.933760980661413</x:v>
      </x:c>
      <x:c r="J2087" s="2" t="n">
        <x:v>98</x:v>
      </x:c>
      <x:c r="K2087" s="2"/>
      <x:c r="L2087" s="2"/>
    </x:row>
    <x:row r="2088" ht="22" customHeight="1">
      <x:c r="A2088" s="2"/>
      <x:c r="B2088" s="2" t="n">
        <x:v>2055</x:v>
      </x:c>
      <x:c r="C2088" s="2" t="str">
        <x:v>85177</x:v>
      </x:c>
      <x:c r="D2088" s="2" t="str">
        <x:v>BASKET OF FLOWERS SEWING KIT</x:v>
      </x:c>
      <x:c r="E2088" s="11" t="n">
        <x:v>1515.6299999999999</x:v>
      </x:c>
      <x:c r="F2088" s="11" t="n">
        <x:v>0.85</x:v>
      </x:c>
      <x:c r="G2088" s="11" t="n">
        <x:v>1514.78</x:v>
      </x:c>
      <x:c r="H2088" s="23" t="n">
        <x:v>0.00007381168060125416</x:v>
      </x:c>
      <x:c r="I2088" s="23" t="n">
        <x:v>0.9338347923420143</x:v>
      </x:c>
      <x:c r="J2088" s="2" t="n">
        <x:v>143</x:v>
      </x:c>
      <x:c r="K2088" s="2"/>
      <x:c r="L2088" s="2"/>
    </x:row>
    <x:row r="2089" ht="22" customHeight="1">
      <x:c r="A2089" s="2"/>
      <x:c r="B2089" s="2" t="n">
        <x:v>2056</x:v>
      </x:c>
      <x:c r="C2089" s="2" t="str">
        <x:v>21009</x:v>
      </x:c>
      <x:c r="D2089" s="2" t="str">
        <x:v>ETCHED GLASS STAR TREE DECORATION</x:v>
      </x:c>
      <x:c r="E2089" s="11" t="n">
        <x:v>1509.99</x:v>
      </x:c>
      <x:c r="F2089" s="11" t="n">
        <x:v>18.75</x:v>
      </x:c>
      <x:c r="G2089" s="11" t="n">
        <x:v>1491.24</x:v>
      </x:c>
      <x:c r="H2089" s="23" t="n">
        <x:v>0.00007353701074212557</x:v>
      </x:c>
      <x:c r="I2089" s="23" t="n">
        <x:v>0.9339083293527564</x:v>
      </x:c>
      <x:c r="J2089" s="2" t="n">
        <x:v>102</x:v>
      </x:c>
      <x:c r="K2089" s="2"/>
      <x:c r="L2089" s="2"/>
    </x:row>
    <x:row r="2090" ht="22" customHeight="1">
      <x:c r="A2090" s="2"/>
      <x:c r="B2090" s="2" t="n">
        <x:v>2057</x:v>
      </x:c>
      <x:c r="C2090" s="2" t="str">
        <x:v>22137</x:v>
      </x:c>
      <x:c r="D2090" s="2" t="str">
        <x:v>BATHROOM SET LOVE HEART DESIGN</x:v>
      </x:c>
      <x:c r="E2090" s="11" t="n">
        <x:v>1508.28</x:v>
      </x:c>
      <x:c r="F2090" s="11" t="n">
        <x:v>8.850000000000001</x:v>
      </x:c>
      <x:c r="G2090" s="11" t="n">
        <x:v>1499.43</x:v>
      </x:c>
      <x:c r="H2090" s="23" t="n">
        <x:v>0.00007345373317845361</x:v>
      </x:c>
      <x:c r="I2090" s="23" t="n">
        <x:v>0.9339817830859348</x:v>
      </x:c>
      <x:c r="J2090" s="2" t="n">
        <x:v>43</x:v>
      </x:c>
      <x:c r="K2090" s="2"/>
      <x:c r="L2090" s="2"/>
    </x:row>
    <x:row r="2091" ht="22" customHeight="1">
      <x:c r="A2091" s="2"/>
      <x:c r="B2091" s="2" t="n">
        <x:v>2058</x:v>
      </x:c>
      <x:c r="C2091" s="2" t="str">
        <x:v>21634</x:v>
      </x:c>
      <x:c r="D2091" s="2" t="str">
        <x:v>ASSORTED MINI MADRAS NOTEBOOK</x:v>
      </x:c>
      <x:c r="E2091" s="11" t="n">
        <x:v>1507.74</x:v>
      </x:c>
      <x:c r="F2091" s="11" t="n">
        <x:v>151.25</x:v>
      </x:c>
      <x:c r="G2091" s="11" t="n">
        <x:v>1356.49</x:v>
      </x:c>
      <x:c r="H2091" s="23" t="n">
        <x:v>0.00007342743500045193</x:v>
      </x:c>
      <x:c r="I2091" s="23" t="n">
        <x:v>0.9340552105209353</x:v>
      </x:c>
      <x:c r="J2091" s="2" t="n">
        <x:v>69</x:v>
      </x:c>
      <x:c r="K2091" s="2"/>
      <x:c r="L2091" s="2"/>
    </x:row>
    <x:row r="2092" ht="22" customHeight="1">
      <x:c r="A2092" s="2"/>
      <x:c r="B2092" s="2" t="n">
        <x:v>2059</x:v>
      </x:c>
      <x:c r="C2092" s="2" t="str">
        <x:v>21002</x:v>
      </x:c>
      <x:c r="D2092" s="2" t="str">
        <x:v>ROSE DU SUD DRAWSTRING BAG</x:v>
      </x:c>
      <x:c r="E2092" s="11" t="n">
        <x:v>1507.22</x:v>
      </x:c>
      <x:c r="F2092" s="11" t="n">
        <x:v>0</x:v>
      </x:c>
      <x:c r="G2092" s="11" t="n">
        <x:v>1507.22</x:v>
      </x:c>
      <x:c r="H2092" s="23" t="n">
        <x:v>0.00007340211082904291</x:v>
      </x:c>
      <x:c r="I2092" s="23" t="n">
        <x:v>0.9341286126317644</x:v>
      </x:c>
      <x:c r="J2092" s="2" t="n">
        <x:v>184</x:v>
      </x:c>
      <x:c r="K2092" s="2"/>
      <x:c r="L2092" s="2"/>
    </x:row>
    <x:row r="2093" ht="22" customHeight="1">
      <x:c r="A2093" s="2"/>
      <x:c r="B2093" s="2" t="n">
        <x:v>2060</x:v>
      </x:c>
      <x:c r="C2093" s="2" t="str">
        <x:v>23528</x:v>
      </x:c>
      <x:c r="D2093" s="2" t="str">
        <x:v>WALL ART SPACEBOY</x:v>
      </x:c>
      <x:c r="E2093" s="11" t="n">
        <x:v>1504.49</x:v>
      </x:c>
      <x:c r="F2093" s="11" t="n">
        <x:v>0</x:v>
      </x:c>
      <x:c r="G2093" s="11" t="n">
        <x:v>1504.49</x:v>
      </x:c>
      <x:c r="H2093" s="23" t="n">
        <x:v>0.00007326915892914557</x:v>
      </x:c>
      <x:c r="I2093" s="23" t="n">
        <x:v>0.9342018817906935</x:v>
      </x:c>
      <x:c r="J2093" s="2" t="n">
        <x:v>50</x:v>
      </x:c>
      <x:c r="K2093" s="2"/>
      <x:c r="L2093" s="2"/>
    </x:row>
    <x:row r="2094" ht="22" customHeight="1">
      <x:c r="A2094" s="2"/>
      <x:c r="B2094" s="2" t="n">
        <x:v>2061</x:v>
      </x:c>
      <x:c r="C2094" s="2" t="str">
        <x:v>84526</x:v>
      </x:c>
      <x:c r="D2094" s="2" t="str">
        <x:v>GIANT BLACK SUNGLASSES</x:v>
      </x:c>
      <x:c r="E2094" s="11" t="n">
        <x:v>1503.6399999999999</x:v>
      </x:c>
      <x:c r="F2094" s="11" t="n">
        <x:v>0</x:v>
      </x:c>
      <x:c r="G2094" s="11" t="n">
        <x:v>1503.6399999999999</x:v>
      </x:c>
      <x:c r="H2094" s="23" t="n">
        <x:v>0.00007322776364895773</x:v>
      </x:c>
      <x:c r="I2094" s="23" t="n">
        <x:v>0.9342751095543425</x:v>
      </x:c>
      <x:c r="J2094" s="2" t="n">
        <x:v>34</x:v>
      </x:c>
      <x:c r="K2094" s="2"/>
      <x:c r="L2094" s="2"/>
    </x:row>
    <x:row r="2095" ht="22" customHeight="1">
      <x:c r="A2095" s="2"/>
      <x:c r="B2095" s="2" t="n">
        <x:v>2062</x:v>
      </x:c>
      <x:c r="C2095" s="2" t="str">
        <x:v>85159B</x:v>
      </x:c>
      <x:c r="D2095" s="2" t="str">
        <x:v>WHITE TEA,COFFEE,SUGAR JARS</x:v>
      </x:c>
      <x:c r="E2095" s="11" t="n">
        <x:v>1503.5</x:v>
      </x:c>
      <x:c r="F2095" s="11" t="n">
        <x:v>92.89</x:v>
      </x:c>
      <x:c r="G2095" s="11" t="n">
        <x:v>1410.61</x:v>
      </x:c>
      <x:c r="H2095" s="23" t="n">
        <x:v>0.00007322094560280916</x:v>
      </x:c>
      <x:c r="I2095" s="23" t="n">
        <x:v>0.9343483304999453</x:v>
      </x:c>
      <x:c r="J2095" s="2" t="n">
        <x:v>88</x:v>
      </x:c>
      <x:c r="K2095" s="2"/>
      <x:c r="L2095" s="2"/>
    </x:row>
    <x:row r="2096" ht="22" customHeight="1">
      <x:c r="A2096" s="2"/>
      <x:c r="B2096" s="2" t="n">
        <x:v>2063</x:v>
      </x:c>
      <x:c r="C2096" s="2" t="str">
        <x:v>21066</x:v>
      </x:c>
      <x:c r="D2096" s="2" t="str">
        <x:v>VINTAGE RED MUG</x:v>
      </x:c>
      <x:c r="E2096" s="11" t="n">
        <x:v>1503.42</x:v>
      </x:c>
      <x:c r="F2096" s="11" t="n">
        <x:v>15</x:v>
      </x:c>
      <x:c r="G2096" s="11" t="n">
        <x:v>1488.42</x:v>
      </x:c>
      <x:c r="H2096" s="23" t="n">
        <x:v>0.00007321704957643854</x:v>
      </x:c>
      <x:c r="I2096" s="23" t="n">
        <x:v>0.9344215475495217</x:v>
      </x:c>
      <x:c r="J2096" s="2" t="n">
        <x:v>131</x:v>
      </x:c>
      <x:c r="K2096" s="2"/>
      <x:c r="L2096" s="2"/>
    </x:row>
    <x:row r="2097" ht="22" customHeight="1">
      <x:c r="A2097" s="2"/>
      <x:c r="B2097" s="2" t="n">
        <x:v>2064</x:v>
      </x:c>
      <x:c r="C2097" s="2" t="str">
        <x:v>22683</x:v>
      </x:c>
      <x:c r="D2097" s="2" t="str">
        <x:v>FRENCH BLUE METAL DOOR SIGN 8</x:v>
      </x:c>
      <x:c r="E2097" s="11" t="n">
        <x:v>1501.66</x:v>
      </x:c>
      <x:c r="F2097" s="11" t="n">
        <x:v>15</x:v>
      </x:c>
      <x:c r="G2097" s="11" t="n">
        <x:v>1486.66</x:v>
      </x:c>
      <x:c r="H2097" s="23" t="n">
        <x:v>0.00007313133699628494</x:v>
      </x:c>
      <x:c r="I2097" s="23" t="n">
        <x:v>0.9344946788865179</x:v>
      </x:c>
      <x:c r="J2097" s="2" t="n">
        <x:v>190</x:v>
      </x:c>
      <x:c r="K2097" s="2"/>
      <x:c r="L2097" s="2"/>
    </x:row>
    <x:row r="2098" ht="22" customHeight="1">
      <x:c r="A2098" s="2"/>
      <x:c r="B2098" s="2" t="n">
        <x:v>2065</x:v>
      </x:c>
      <x:c r="C2098" s="2" t="str">
        <x:v>84510B</x:v>
      </x:c>
      <x:c r="D2098" s="2" t="str">
        <x:v>SET OF 4 FAIRY CAKES COASTERS </x:v>
      </x:c>
      <x:c r="E2098" s="11" t="n">
        <x:v>1501.05</x:v>
      </x:c>
      <x:c r="F2098" s="11" t="n">
        <x:v>2.5</x:v>
      </x:c>
      <x:c r="G2098" s="11" t="n">
        <x:v>1498.55</x:v>
      </x:c>
      <x:c r="H2098" s="23" t="n">
        <x:v>0.00007310162979520896</x:v>
      </x:c>
      <x:c r="I2098" s="23" t="n">
        <x:v>0.9345677805163132</x:v>
      </x:c>
      <x:c r="J2098" s="2" t="n">
        <x:v>147</x:v>
      </x:c>
      <x:c r="K2098" s="2"/>
      <x:c r="L2098" s="2"/>
    </x:row>
    <x:row r="2099" ht="22" customHeight="1">
      <x:c r="A2099" s="2"/>
      <x:c r="B2099" s="2" t="n">
        <x:v>2066</x:v>
      </x:c>
      <x:c r="C2099" s="2" t="str">
        <x:v>23271</x:v>
      </x:c>
      <x:c r="D2099" s="2" t="str">
        <x:v>CHRISTMAS TABLE SILVER CANDLE SPIKE</x:v>
      </x:c>
      <x:c r="E2099" s="11" t="n">
        <x:v>1499.3799999999999</x:v>
      </x:c>
      <x:c r="F2099" s="11" t="n">
        <x:v>0</x:v>
      </x:c>
      <x:c r="G2099" s="11" t="n">
        <x:v>1499.3799999999999</x:v>
      </x:c>
      <x:c r="H2099" s="23" t="n">
        <x:v>0.0000730203002447223</x:v>
      </x:c>
      <x:c r="I2099" s="23" t="n">
        <x:v>0.9346408008165579</x:v>
      </x:c>
      <x:c r="J2099" s="2" t="n">
        <x:v>104</x:v>
      </x:c>
      <x:c r="K2099" s="2"/>
      <x:c r="L2099" s="2"/>
    </x:row>
    <x:row r="2100" ht="22" customHeight="1">
      <x:c r="A2100" s="2"/>
      <x:c r="B2100" s="2" t="n">
        <x:v>2067</x:v>
      </x:c>
      <x:c r="C2100" s="2" t="str">
        <x:v>85125</x:v>
      </x:c>
      <x:c r="D2100" s="2" t="str">
        <x:v>SMALL ROUND CUT GLASS CANDLESTICK</x:v>
      </x:c>
      <x:c r="E2100" s="11" t="n">
        <x:v>1499.3100000000002</x:v>
      </x:c>
      <x:c r="F2100" s="11" t="n">
        <x:v>19.8</x:v>
      </x:c>
      <x:c r="G2100" s="11" t="n">
        <x:v>1479.51</x:v>
      </x:c>
      <x:c r="H2100" s="23" t="n">
        <x:v>0.00007301689122164803</x:v>
      </x:c>
      <x:c r="I2100" s="23" t="n">
        <x:v>0.9347138177077795</x:v>
      </x:c>
      <x:c r="J2100" s="2" t="n">
        <x:v>62</x:v>
      </x:c>
      <x:c r="K2100" s="2"/>
      <x:c r="L2100" s="2"/>
    </x:row>
    <x:row r="2101" ht="22" customHeight="1">
      <x:c r="A2101" s="2"/>
      <x:c r="B2101" s="2" t="n">
        <x:v>2068</x:v>
      </x:c>
      <x:c r="C2101" s="2" t="str">
        <x:v>22976</x:v>
      </x:c>
      <x:c r="D2101" s="2" t="str">
        <x:v>CIRCUS PARADE CHILDRENS EGG CUP </x:v>
      </x:c>
      <x:c r="E2101" s="11" t="n">
        <x:v>1496.51</x:v>
      </x:c>
      <x:c r="F2101" s="11" t="n">
        <x:v>46.25</x:v>
      </x:c>
      <x:c r="G2101" s="11" t="n">
        <x:v>1450.26</x:v>
      </x:c>
      <x:c r="H2101" s="23" t="n">
        <x:v>0.00007288053029867637</x:v>
      </x:c>
      <x:c r="I2101" s="23" t="n">
        <x:v>0.9347866982380781</x:v>
      </x:c>
      <x:c r="J2101" s="2" t="n">
        <x:v>149</x:v>
      </x:c>
      <x:c r="K2101" s="2"/>
      <x:c r="L2101" s="2"/>
    </x:row>
    <x:row r="2102" ht="22" customHeight="1">
      <x:c r="A2102" s="2"/>
      <x:c r="B2102" s="2" t="n">
        <x:v>2069</x:v>
      </x:c>
      <x:c r="C2102" s="2" t="str">
        <x:v>21199</x:v>
      </x:c>
      <x:c r="D2102" s="2" t="str">
        <x:v>PINK  HEART CONFETTI IN TUBE</x:v>
      </x:c>
      <x:c r="E2102" s="11" t="n">
        <x:v>1495.6999999999998</x:v>
      </x:c>
      <x:c r="F2102" s="11" t="n">
        <x:v>20.16</x:v>
      </x:c>
      <x:c r="G2102" s="11" t="n">
        <x:v>1475.54</x:v>
      </x:c>
      <x:c r="H2102" s="23" t="n">
        <x:v>0.00007284108303167385</x:v>
      </x:c>
      <x:c r="I2102" s="23" t="n">
        <x:v>0.9348595393211098</x:v>
      </x:c>
      <x:c r="J2102" s="2" t="n">
        <x:v>149</x:v>
      </x:c>
      <x:c r="K2102" s="2"/>
      <x:c r="L2102" s="2"/>
    </x:row>
    <x:row r="2103" ht="22" customHeight="1">
      <x:c r="A2103" s="2"/>
      <x:c r="B2103" s="2" t="n">
        <x:v>2070</x:v>
      </x:c>
      <x:c r="C2103" s="2" t="str">
        <x:v>22157</x:v>
      </x:c>
      <x:c r="D2103" s="2" t="str">
        <x:v>ANGEL DECORATION WITH LACE PADDED</x:v>
      </x:c>
      <x:c r="E2103" s="11" t="n">
        <x:v>1493.8999999999999</x:v>
      </x:c>
      <x:c r="F2103" s="11" t="n">
        <x:v>81.6</x:v>
      </x:c>
      <x:c r="G2103" s="11" t="n">
        <x:v>1412.3</x:v>
      </x:c>
      <x:c r="H2103" s="23" t="n">
        <x:v>0.00007275342243833495</x:v>
      </x:c>
      <x:c r="I2103" s="23" t="n">
        <x:v>0.934932292743548</x:v>
      </x:c>
      <x:c r="J2103" s="2" t="n">
        <x:v>124</x:v>
      </x:c>
      <x:c r="K2103" s="2"/>
      <x:c r="L2103" s="2"/>
    </x:row>
    <x:row r="2104" ht="22" customHeight="1">
      <x:c r="A2104" s="2"/>
      <x:c r="B2104" s="2" t="n">
        <x:v>2071</x:v>
      </x:c>
      <x:c r="C2104" s="2" t="str">
        <x:v>85160A</x:v>
      </x:c>
      <x:c r="D2104" s="2" t="str">
        <x:v>WHITE BIRD GARDEN DESIGN MUG</x:v>
      </x:c>
      <x:c r="E2104" s="11" t="n">
        <x:v>1493.75</x:v>
      </x:c>
      <x:c r="F2104" s="11" t="n">
        <x:v>561.6</x:v>
      </x:c>
      <x:c r="G2104" s="11" t="n">
        <x:v>932.1500000000001</x:v>
      </x:c>
      <x:c r="H2104" s="23" t="n">
        <x:v>0.00007274611738889004</x:v>
      </x:c>
      <x:c r="I2104" s="23" t="n">
        <x:v>0.935005038860937</x:v>
      </x:c>
      <x:c r="J2104" s="2" t="n">
        <x:v>32</x:v>
      </x:c>
      <x:c r="K2104" s="2"/>
      <x:c r="L2104" s="2"/>
    </x:row>
    <x:row r="2105" ht="22" customHeight="1">
      <x:c r="A2105" s="2"/>
      <x:c r="B2105" s="2" t="n">
        <x:v>2072</x:v>
      </x:c>
      <x:c r="C2105" s="2" t="str">
        <x:v>21849</x:v>
      </x:c>
      <x:c r="D2105" s="2" t="str">
        <x:v>SILVER DIAMANTE PEN IN GIFT BOX</x:v>
      </x:c>
      <x:c r="E2105" s="11" t="n">
        <x:v>1493.41</x:v>
      </x:c>
      <x:c r="F2105" s="11" t="n">
        <x:v>120</x:v>
      </x:c>
      <x:c r="G2105" s="11" t="n">
        <x:v>1373.41</x:v>
      </x:c>
      <x:c r="H2105" s="23" t="n">
        <x:v>0.00007272955927681492</x:v>
      </x:c>
      <x:c r="I2105" s="23" t="n">
        <x:v>0.9350777684202138</x:v>
      </x:c>
      <x:c r="J2105" s="2" t="n">
        <x:v>134</x:v>
      </x:c>
      <x:c r="K2105" s="2"/>
      <x:c r="L2105" s="2"/>
    </x:row>
    <x:row r="2106" ht="22" customHeight="1">
      <x:c r="A2106" s="2"/>
      <x:c r="B2106" s="2" t="n">
        <x:v>2073</x:v>
      </x:c>
      <x:c r="C2106" s="2" t="str">
        <x:v>84856L</x:v>
      </x:c>
      <x:c r="D2106" s="2" t="str">
        <x:v>LARGE TAHITI BEACH BAG</x:v>
      </x:c>
      <x:c r="E2106" s="11" t="n">
        <x:v>1492.28</x:v>
      </x:c>
      <x:c r="F2106" s="11" t="n">
        <x:v>0</x:v>
      </x:c>
      <x:c r="G2106" s="11" t="n">
        <x:v>1492.28</x:v>
      </x:c>
      <x:c r="H2106" s="23" t="n">
        <x:v>0.00007267452790432993</x:v>
      </x:c>
      <x:c r="I2106" s="23" t="n">
        <x:v>0.9351504429481182</x:v>
      </x:c>
      <x:c r="J2106" s="2" t="n">
        <x:v>81</x:v>
      </x:c>
      <x:c r="K2106" s="2"/>
      <x:c r="L2106" s="2"/>
    </x:row>
    <x:row r="2107" ht="22" customHeight="1">
      <x:c r="A2107" s="2"/>
      <x:c r="B2107" s="2" t="n">
        <x:v>2074</x:v>
      </x:c>
      <x:c r="C2107" s="2" t="str">
        <x:v>23334</x:v>
      </x:c>
      <x:c r="D2107" s="2" t="str">
        <x:v>IVORY WICKER HEART SMALL</x:v>
      </x:c>
      <x:c r="E2107" s="11" t="n">
        <x:v>1491.75</x:v>
      </x:c>
      <x:c r="F2107" s="11" t="n">
        <x:v>0</x:v>
      </x:c>
      <x:c r="G2107" s="11" t="n">
        <x:v>1491.75</x:v>
      </x:c>
      <x:c r="H2107" s="23" t="n">
        <x:v>0.00007264871672962458</x:v>
      </x:c>
      <x:c r="I2107" s="23" t="n">
        <x:v>0.9352230916648478</x:v>
      </x:c>
      <x:c r="J2107" s="2" t="n">
        <x:v>130</x:v>
      </x:c>
      <x:c r="K2107" s="2"/>
      <x:c r="L2107" s="2"/>
    </x:row>
    <x:row r="2108" ht="22" customHeight="1">
      <x:c r="A2108" s="2"/>
      <x:c r="B2108" s="2" t="n">
        <x:v>2075</x:v>
      </x:c>
      <x:c r="C2108" s="2" t="str">
        <x:v>21051</x:v>
      </x:c>
      <x:c r="D2108" s="2" t="str">
        <x:v>RIBBONS PURSE </x:v>
      </x:c>
      <x:c r="E2108" s="11" t="n">
        <x:v>1490.3600000000001</x:v>
      </x:c>
      <x:c r="F2108" s="11" t="n">
        <x:v>12.600000000000001</x:v>
      </x:c>
      <x:c r="G2108" s="11" t="n">
        <x:v>1477.76</x:v>
      </x:c>
      <x:c r="H2108" s="23" t="n">
        <x:v>0.0000725810232714351</x:v>
      </x:c>
      <x:c r="I2108" s="23" t="n">
        <x:v>0.9352956726881193</x:v>
      </x:c>
      <x:c r="J2108" s="2" t="n">
        <x:v>127</x:v>
      </x:c>
      <x:c r="K2108" s="2"/>
      <x:c r="L2108" s="2"/>
    </x:row>
    <x:row r="2109" ht="22" customHeight="1">
      <x:c r="A2109" s="2"/>
      <x:c r="B2109" s="2" t="n">
        <x:v>2076</x:v>
      </x:c>
      <x:c r="C2109" s="2" t="str">
        <x:v>23559</x:v>
      </x:c>
      <x:c r="D2109" s="2" t="str">
        <x:v>WOODLAND BUNNIES LOLLY MAKERS</x:v>
      </x:c>
      <x:c r="E2109" s="11" t="n">
        <x:v>1488.65</x:v>
      </x:c>
      <x:c r="F2109" s="11" t="n">
        <x:v>0</x:v>
      </x:c>
      <x:c r="G2109" s="11" t="n">
        <x:v>1488.65</x:v>
      </x:c>
      <x:c r="H2109" s="23" t="n">
        <x:v>0.00007249774570776312</x:v>
      </x:c>
      <x:c r="I2109" s="23" t="n">
        <x:v>0.935368170433827</x:v>
      </x:c>
      <x:c r="J2109" s="2" t="n">
        <x:v>124</x:v>
      </x:c>
      <x:c r="K2109" s="2"/>
      <x:c r="L2109" s="2"/>
    </x:row>
    <x:row r="2110" ht="22" customHeight="1">
      <x:c r="A2110" s="2"/>
      <x:c r="B2110" s="2" t="n">
        <x:v>2077</x:v>
      </x:c>
      <x:c r="C2110" s="2" t="str">
        <x:v>23392</x:v>
      </x:c>
      <x:c r="D2110" s="2" t="str">
        <x:v>SPACEBOY ROCKET LOLLY MAKERS</x:v>
      </x:c>
      <x:c r="E2110" s="11" t="n">
        <x:v>1485.43</x:v>
      </x:c>
      <x:c r="F2110" s="11" t="n">
        <x:v>49.92</x:v>
      </x:c>
      <x:c r="G2110" s="11" t="n">
        <x:v>1435.51</x:v>
      </x:c>
      <x:c r="H2110" s="23" t="n">
        <x:v>0.00007234093064634573</x:v>
      </x:c>
      <x:c r="I2110" s="23" t="n">
        <x:v>0.9354405113644734</x:v>
      </x:c>
      <x:c r="J2110" s="2" t="n">
        <x:v>113</x:v>
      </x:c>
      <x:c r="K2110" s="2"/>
      <x:c r="L2110" s="2"/>
    </x:row>
    <x:row r="2111" ht="22" customHeight="1">
      <x:c r="A2111" s="2"/>
      <x:c r="B2111" s="2" t="n">
        <x:v>2078</x:v>
      </x:c>
      <x:c r="C2111" s="2" t="str">
        <x:v>21801</x:v>
      </x:c>
      <x:c r="D2111" s="2" t="str">
        <x:v>CHRISTMAS TREE DECORATION WITH BELL</x:v>
      </x:c>
      <x:c r="E2111" s="11" t="n">
        <x:v>1482.78</x:v>
      </x:c>
      <x:c r="F2111" s="11" t="n">
        <x:v>15.12</x:v>
      </x:c>
      <x:c r="G2111" s="11" t="n">
        <x:v>1467.6599999999999</x:v>
      </x:c>
      <x:c r="H2111" s="23" t="n">
        <x:v>0.00007221187477281899</x:v>
      </x:c>
      <x:c r="I2111" s="23" t="n">
        <x:v>0.9355127232392462</x:v>
      </x:c>
      <x:c r="J2111" s="2" t="n">
        <x:v>258</x:v>
      </x:c>
      <x:c r="K2111" s="2"/>
      <x:c r="L2111" s="2"/>
    </x:row>
    <x:row r="2112" ht="22" customHeight="1">
      <x:c r="A2112" s="2"/>
      <x:c r="B2112" s="2" t="n">
        <x:v>2079</x:v>
      </x:c>
      <x:c r="C2112" s="2" t="str">
        <x:v>21644</x:v>
      </x:c>
      <x:c r="D2112" s="2" t="str">
        <x:v>ASSORTED TUTTI FRUTTI HEART BOX</x:v>
      </x:c>
      <x:c r="E2112" s="11" t="n">
        <x:v>1482.72</x:v>
      </x:c>
      <x:c r="F2112" s="11" t="n">
        <x:v>35</x:v>
      </x:c>
      <x:c r="G2112" s="11" t="n">
        <x:v>1447.72</x:v>
      </x:c>
      <x:c r="H2112" s="23" t="n">
        <x:v>0.00007220895275304104</x:v>
      </x:c>
      <x:c r="I2112" s="23" t="n">
        <x:v>0.9355849321919992</x:v>
      </x:c>
      <x:c r="J2112" s="2" t="n">
        <x:v>137</x:v>
      </x:c>
      <x:c r="K2112" s="2"/>
      <x:c r="L2112" s="2"/>
    </x:row>
    <x:row r="2113" ht="22" customHeight="1">
      <x:c r="A2113" s="2"/>
      <x:c r="B2113" s="2" t="n">
        <x:v>2080</x:v>
      </x:c>
      <x:c r="C2113" s="2" t="str">
        <x:v>84997a</x:v>
      </x:c>
      <x:c r="D2113" s="2" t="str">
        <x:v>CHILDRENS CUTLERY POLKADOT GREEN </x:v>
      </x:c>
      <x:c r="E2113" s="11" t="n">
        <x:v>1481.78</x:v>
      </x:c>
      <x:c r="F2113" s="11" t="n">
        <x:v>0</x:v>
      </x:c>
      <x:c r="G2113" s="11" t="n">
        <x:v>1481.78</x:v>
      </x:c>
      <x:c r="H2113" s="23" t="n">
        <x:v>0.00007216317444318626</x:v>
      </x:c>
      <x:c r="I2113" s="23" t="n">
        <x:v>0.9356570953664424</x:v>
      </x:c>
      <x:c r="J2113" s="2" t="n">
        <x:v>81</x:v>
      </x:c>
      <x:c r="K2113" s="2"/>
      <x:c r="L2113" s="2"/>
    </x:row>
    <x:row r="2114" ht="22" customHeight="1">
      <x:c r="A2114" s="2"/>
      <x:c r="B2114" s="2" t="n">
        <x:v>2081</x:v>
      </x:c>
      <x:c r="C2114" s="2" t="str">
        <x:v>85198</x:v>
      </x:c>
      <x:c r="D2114" s="2" t="str">
        <x:v>ASSORTED FARMYARD ANIMALS IN BUCKET</x:v>
      </x:c>
      <x:c r="E2114" s="11" t="n">
        <x:v>1479.6999999999998</x:v>
      </x:c>
      <x:c r="F2114" s="11" t="n">
        <x:v>0</x:v>
      </x:c>
      <x:c r="G2114" s="11" t="n">
        <x:v>1479.6999999999998</x:v>
      </x:c>
      <x:c r="H2114" s="23" t="n">
        <x:v>0.00007206187775755018</x:v>
      </x:c>
      <x:c r="I2114" s="23" t="n">
        <x:v>0.9357291572441999</x:v>
      </x:c>
      <x:c r="J2114" s="2" t="n">
        <x:v>51</x:v>
      </x:c>
      <x:c r="K2114" s="2"/>
      <x:c r="L2114" s="2"/>
    </x:row>
    <x:row r="2115" ht="22" customHeight="1">
      <x:c r="A2115" s="2"/>
      <x:c r="B2115" s="2" t="n">
        <x:v>2082</x:v>
      </x:c>
      <x:c r="C2115" s="2" t="str">
        <x:v>18098c</x:v>
      </x:c>
      <x:c r="D2115" s="2" t="str">
        <x:v>PORCELAIN BUTTERFLY OIL BURNER</x:v>
      </x:c>
      <x:c r="E2115" s="11" t="n">
        <x:v>1479.61</x:v>
      </x:c>
      <x:c r="F2115" s="11" t="n">
        <x:v>0</x:v>
      </x:c>
      <x:c r="G2115" s="11" t="n">
        <x:v>1479.61</x:v>
      </x:c>
      <x:c r="H2115" s="23" t="n">
        <x:v>0.00007205749472788324</x:v>
      </x:c>
      <x:c r="I2115" s="23" t="n">
        <x:v>0.9358012147389277</x:v>
      </x:c>
      <x:c r="J2115" s="2" t="n">
        <x:v>135</x:v>
      </x:c>
      <x:c r="K2115" s="2"/>
      <x:c r="L2115" s="2"/>
    </x:row>
    <x:row r="2116" ht="22" customHeight="1">
      <x:c r="A2116" s="2"/>
      <x:c r="B2116" s="2" t="n">
        <x:v>2083</x:v>
      </x:c>
      <x:c r="C2116" s="2" t="str">
        <x:v>22815</x:v>
      </x:c>
      <x:c r="D2116" s="2" t="str">
        <x:v>CARD PSYCHEDELIC APPLES</x:v>
      </x:c>
      <x:c r="E2116" s="11" t="n">
        <x:v>1478.61</x:v>
      </x:c>
      <x:c r="F2116" s="11" t="n">
        <x:v>0</x:v>
      </x:c>
      <x:c r="G2116" s="11" t="n">
        <x:v>1478.61</x:v>
      </x:c>
      <x:c r="H2116" s="23" t="n">
        <x:v>0.00007200879439825052</x:v>
      </x:c>
      <x:c r="I2116" s="23" t="n">
        <x:v>0.935873223533326</x:v>
      </x:c>
      <x:c r="J2116" s="2" t="n">
        <x:v>340</x:v>
      </x:c>
      <x:c r="K2116" s="2"/>
      <x:c r="L2116" s="2"/>
    </x:row>
    <x:row r="2117" ht="22" customHeight="1">
      <x:c r="A2117" s="2"/>
      <x:c r="B2117" s="2" t="n">
        <x:v>2084</x:v>
      </x:c>
      <x:c r="C2117" s="2" t="str">
        <x:v>21851</x:v>
      </x:c>
      <x:c r="D2117" s="2" t="str">
        <x:v>LILAC DIAMANTE PEN IN GIFT BOX</x:v>
      </x:c>
      <x:c r="E2117" s="11" t="n">
        <x:v>1478.51</x:v>
      </x:c>
      <x:c r="F2117" s="11" t="n">
        <x:v>0</x:v>
      </x:c>
      <x:c r="G2117" s="11" t="n">
        <x:v>1478.51</x:v>
      </x:c>
      <x:c r="H2117" s="23" t="n">
        <x:v>0.00007200392436528724</x:v>
      </x:c>
      <x:c r="I2117" s="23" t="n">
        <x:v>0.9359452274576913</x:v>
      </x:c>
      <x:c r="J2117" s="2" t="n">
        <x:v>149</x:v>
      </x:c>
      <x:c r="K2117" s="2"/>
      <x:c r="L2117" s="2"/>
    </x:row>
    <x:row r="2118" ht="22" customHeight="1">
      <x:c r="A2118" s="2"/>
      <x:c r="B2118" s="2" t="n">
        <x:v>2085</x:v>
      </x:c>
      <x:c r="C2118" s="2" t="str">
        <x:v>21392</x:v>
      </x:c>
      <x:c r="D2118" s="2" t="str">
        <x:v>RED POLKADOT PUDDING BOWL</x:v>
      </x:c>
      <x:c r="E2118" s="11" t="n">
        <x:v>1478.13</x:v>
      </x:c>
      <x:c r="F2118" s="11" t="n">
        <x:v>478.44</x:v>
      </x:c>
      <x:c r="G2118" s="11" t="n">
        <x:v>999.69</x:v>
      </x:c>
      <x:c r="H2118" s="23" t="n">
        <x:v>0.00007198541824002681</x:v>
      </x:c>
      <x:c r="I2118" s="23" t="n">
        <x:v>0.9360172128759313</x:v>
      </x:c>
      <x:c r="J2118" s="2" t="n">
        <x:v>48</x:v>
      </x:c>
      <x:c r="K2118" s="2"/>
      <x:c r="L2118" s="2"/>
    </x:row>
    <x:row r="2119" ht="22" customHeight="1">
      <x:c r="A2119" s="2"/>
      <x:c r="B2119" s="2" t="n">
        <x:v>2086</x:v>
      </x:c>
      <x:c r="C2119" s="2" t="str">
        <x:v>79030G</x:v>
      </x:c>
      <x:c r="D2119" s="2" t="str">
        <x:v>TUMBLER NEW ENGLAND</x:v>
      </x:c>
      <x:c r="E2119" s="11" t="n">
        <x:v>1475.1899999999998</x:v>
      </x:c>
      <x:c r="F2119" s="11" t="n">
        <x:v>0</x:v>
      </x:c>
      <x:c r="G2119" s="11" t="n">
        <x:v>1475.1899999999998</x:v>
      </x:c>
      <x:c r="H2119" s="23" t="n">
        <x:v>0.00007184223927090658</x:v>
      </x:c>
      <x:c r="I2119" s="23" t="n">
        <x:v>0.9360890551152022</x:v>
      </x:c>
      <x:c r="J2119" s="2" t="n">
        <x:v>121</x:v>
      </x:c>
      <x:c r="K2119" s="2"/>
      <x:c r="L2119" s="2"/>
    </x:row>
    <x:row r="2120" ht="22" customHeight="1">
      <x:c r="A2120" s="2"/>
      <x:c r="B2120" s="2" t="n">
        <x:v>2087</x:v>
      </x:c>
      <x:c r="C2120" s="2" t="str">
        <x:v>84659A</x:v>
      </x:c>
      <x:c r="D2120" s="2" t="str">
        <x:v>WHITE TRAVEL ALARM CLOCK</x:v>
      </x:c>
      <x:c r="E2120" s="11" t="n">
        <x:v>1474.61</x:v>
      </x:c>
      <x:c r="F2120" s="11" t="n">
        <x:v>7.6499999999999995</x:v>
      </x:c>
      <x:c r="G2120" s="11" t="n">
        <x:v>1466.9599999999998</x:v>
      </x:c>
      <x:c r="H2120" s="23" t="n">
        <x:v>0.00007181399307971958</x:v>
      </x:c>
      <x:c r="I2120" s="23" t="n">
        <x:v>0.936160869108282</x:v>
      </x:c>
      <x:c r="J2120" s="2" t="n">
        <x:v>224</x:v>
      </x:c>
      <x:c r="K2120" s="2"/>
      <x:c r="L2120" s="2"/>
    </x:row>
    <x:row r="2121" ht="22" customHeight="1">
      <x:c r="A2121" s="2"/>
      <x:c r="B2121" s="2" t="n">
        <x:v>2088</x:v>
      </x:c>
      <x:c r="C2121" s="2" t="str">
        <x:v>22915</x:v>
      </x:c>
      <x:c r="D2121" s="2" t="str">
        <x:v>ASSORTED BOTTLE TOP  MAGNETS </x:v>
      </x:c>
      <x:c r="E2121" s="11" t="n">
        <x:v>1474.52</x:v>
      </x:c>
      <x:c r="F2121" s="11" t="n">
        <x:v>37.8</x:v>
      </x:c>
      <x:c r="G2121" s="11" t="n">
        <x:v>1436.72</x:v>
      </x:c>
      <x:c r="H2121" s="23" t="n">
        <x:v>0.00007180961005005265</x:v>
      </x:c>
      <x:c r="I2121" s="23" t="n">
        <x:v>0.936232678718332</x:v>
      </x:c>
      <x:c r="J2121" s="2" t="n">
        <x:v>194</x:v>
      </x:c>
      <x:c r="K2121" s="2"/>
      <x:c r="L2121" s="2"/>
    </x:row>
    <x:row r="2122" ht="22" customHeight="1">
      <x:c r="A2122" s="2"/>
      <x:c r="B2122" s="2" t="n">
        <x:v>2089</x:v>
      </x:c>
      <x:c r="C2122" s="2" t="str">
        <x:v>21198</x:v>
      </x:c>
      <x:c r="D2122" s="2" t="str">
        <x:v>WHITE HEART CONFETTI IN TUBE</x:v>
      </x:c>
      <x:c r="E2122" s="11" t="n">
        <x:v>1473.9499999999998</x:v>
      </x:c>
      <x:c r="F2122" s="11" t="n">
        <x:v>64.71</x:v>
      </x:c>
      <x:c r="G2122" s="11" t="n">
        <x:v>1409.2399999999998</x:v>
      </x:c>
      <x:c r="H2122" s="23" t="n">
        <x:v>0.00007178185086216199</x:v>
      </x:c>
      <x:c r="I2122" s="23" t="n">
        <x:v>0.9363044605691943</x:v>
      </x:c>
      <x:c r="J2122" s="2" t="n">
        <x:v>118</x:v>
      </x:c>
      <x:c r="K2122" s="2"/>
      <x:c r="L2122" s="2"/>
    </x:row>
    <x:row r="2123" ht="22" customHeight="1">
      <x:c r="A2123" s="2"/>
      <x:c r="B2123" s="2" t="n">
        <x:v>2090</x:v>
      </x:c>
      <x:c r="C2123" s="2" t="str">
        <x:v>21869</x:v>
      </x:c>
      <x:c r="D2123" s="2" t="str">
        <x:v>POTTING SHED COFFEE MUG</x:v>
      </x:c>
      <x:c r="E2123" s="11" t="n">
        <x:v>1473.3300000000002</x:v>
      </x:c>
      <x:c r="F2123" s="11" t="n">
        <x:v>21.25</x:v>
      </x:c>
      <x:c r="G2123" s="11" t="n">
        <x:v>1452.0800000000002</x:v>
      </x:c>
      <x:c r="H2123" s="23" t="n">
        <x:v>0.0000717516566577897</x:v>
      </x:c>
      <x:c r="I2123" s="23" t="n">
        <x:v>0.936376212225852</x:v>
      </x:c>
      <x:c r="J2123" s="2" t="n">
        <x:v>111</x:v>
      </x:c>
      <x:c r="K2123" s="2"/>
      <x:c r="L2123" s="2"/>
    </x:row>
    <x:row r="2124" ht="22" customHeight="1">
      <x:c r="A2124" s="2"/>
      <x:c r="B2124" s="2" t="n">
        <x:v>2091</x:v>
      </x:c>
      <x:c r="C2124" s="2" t="str">
        <x:v>21065</x:v>
      </x:c>
      <x:c r="D2124" s="2" t="str">
        <x:v>BOOM BOX SPEAKER GIRLS</x:v>
      </x:c>
      <x:c r="E2124" s="11" t="n">
        <x:v>1473.21</x:v>
      </x:c>
      <x:c r="F2124" s="11" t="n">
        <x:v>39.910000000000004</x:v>
      </x:c>
      <x:c r="G2124" s="11" t="n">
        <x:v>1433.3</x:v>
      </x:c>
      <x:c r="H2124" s="23" t="n">
        <x:v>0.00007174581261823377</x:v>
      </x:c>
      <x:c r="I2124" s="23" t="n">
        <x:v>0.9364479580384703</x:v>
      </x:c>
      <x:c r="J2124" s="2" t="n">
        <x:v>118</x:v>
      </x:c>
      <x:c r="K2124" s="2"/>
      <x:c r="L2124" s="2"/>
    </x:row>
    <x:row r="2125" ht="22" customHeight="1">
      <x:c r="A2125" s="2"/>
      <x:c r="B2125" s="2" t="n">
        <x:v>2092</x:v>
      </x:c>
      <x:c r="C2125" s="2" t="str">
        <x:v>84616</x:v>
      </x:c>
      <x:c r="D2125" s="2" t="str">
        <x:v>SILVER ROCCOCO CHANDELIER</x:v>
      </x:c>
      <x:c r="E2125" s="11" t="n">
        <x:v>1472.62</x:v>
      </x:c>
      <x:c r="F2125" s="11" t="n">
        <x:v>119.8</x:v>
      </x:c>
      <x:c r="G2125" s="11" t="n">
        <x:v>1352.82</x:v>
      </x:c>
      <x:c r="H2125" s="23" t="n">
        <x:v>0.00007171707942375046</x:v>
      </x:c>
      <x:c r="I2125" s="23" t="n">
        <x:v>0.936519675117894</x:v>
      </x:c>
      <x:c r="J2125" s="2" t="n">
        <x:v>25</x:v>
      </x:c>
      <x:c r="K2125" s="2"/>
      <x:c r="L2125" s="2"/>
    </x:row>
    <x:row r="2126" ht="22" customHeight="1">
      <x:c r="A2126" s="2"/>
      <x:c r="B2126" s="2" t="n">
        <x:v>2093</x:v>
      </x:c>
      <x:c r="C2126" s="2" t="str">
        <x:v>22912</x:v>
      </x:c>
      <x:c r="D2126" s="2" t="str">
        <x:v>YELLOW COAT RACK PARIS FASHION</x:v>
      </x:c>
      <x:c r="E2126" s="11" t="n">
        <x:v>1471.0900000000001</x:v>
      </x:c>
      <x:c r="F2126" s="11" t="n">
        <x:v>29.700000000000003</x:v>
      </x:c>
      <x:c r="G2126" s="11" t="n">
        <x:v>1441.39</x:v>
      </x:c>
      <x:c r="H2126" s="23" t="n">
        <x:v>0.00007164256791941239</x:v>
      </x:c>
      <x:c r="I2126" s="23" t="n">
        <x:v>0.9365913176858134</x:v>
      </x:c>
      <x:c r="J2126" s="2" t="n">
        <x:v>108</x:v>
      </x:c>
      <x:c r="K2126" s="2"/>
      <x:c r="L2126" s="2"/>
    </x:row>
    <x:row r="2127" ht="22" customHeight="1">
      <x:c r="A2127" s="2"/>
      <x:c r="B2127" s="2" t="n">
        <x:v>2094</x:v>
      </x:c>
      <x:c r="C2127" s="2" t="str">
        <x:v>20734</x:v>
      </x:c>
      <x:c r="D2127" s="2" t="str">
        <x:v>SILVER MINI TAPE MEASURE </x:v>
      </x:c>
      <x:c r="E2127" s="11" t="n">
        <x:v>1470.62</x:v>
      </x:c>
      <x:c r="F2127" s="11" t="n">
        <x:v>0.85</x:v>
      </x:c>
      <x:c r="G2127" s="11" t="n">
        <x:v>1469.77</x:v>
      </x:c>
      <x:c r="H2127" s="23" t="n">
        <x:v>0.000071619678764485</x:v>
      </x:c>
      <x:c r="I2127" s="23" t="n">
        <x:v>0.9366629373645778</x:v>
      </x:c>
      <x:c r="J2127" s="2" t="n">
        <x:v>117</x:v>
      </x:c>
      <x:c r="K2127" s="2"/>
      <x:c r="L2127" s="2"/>
    </x:row>
    <x:row r="2128" ht="22" customHeight="1">
      <x:c r="A2128" s="2"/>
      <x:c r="B2128" s="2" t="n">
        <x:v>2095</x:v>
      </x:c>
      <x:c r="C2128" s="2" t="str">
        <x:v>21410</x:v>
      </x:c>
      <x:c r="D2128" s="2" t="str">
        <x:v>COUNTRY COTTAGE  DOORSTOP GREEN</x:v>
      </x:c>
      <x:c r="E2128" s="11" t="n">
        <x:v>1466.78</x:v>
      </x:c>
      <x:c r="F2128" s="11" t="n">
        <x:v>4.25</x:v>
      </x:c>
      <x:c r="G2128" s="11" t="n">
        <x:v>1462.53</x:v>
      </x:c>
      <x:c r="H2128" s="23" t="n">
        <x:v>0.00007143266949869532</x:v>
      </x:c>
      <x:c r="I2128" s="23" t="n">
        <x:v>0.9367343700340766</x:v>
      </x:c>
      <x:c r="J2128" s="2" t="n">
        <x:v>150</x:v>
      </x:c>
      <x:c r="K2128" s="2"/>
      <x:c r="L2128" s="2"/>
    </x:row>
    <x:row r="2129" ht="22" customHeight="1">
      <x:c r="A2129" s="2"/>
      <x:c r="B2129" s="2" t="n">
        <x:v>2096</x:v>
      </x:c>
      <x:c r="C2129" s="2" t="str">
        <x:v>23034</x:v>
      </x:c>
      <x:c r="D2129" s="2" t="str">
        <x:v>DRAWER KNOB CERAMIC BLACK</x:v>
      </x:c>
      <x:c r="E2129" s="11" t="n">
        <x:v>1466.07</x:v>
      </x:c>
      <x:c r="F2129" s="11" t="n">
        <x:v>8.7</x:v>
      </x:c>
      <x:c r="G2129" s="11" t="n">
        <x:v>1457.37</x:v>
      </x:c>
      <x:c r="H2129" s="23" t="n">
        <x:v>0.00007139809226465608</x:v>
      </x:c>
      <x:c r="I2129" s="23" t="n">
        <x:v>0.9368057681263412</x:v>
      </x:c>
      <x:c r="J2129" s="2" t="n">
        <x:v>88</x:v>
      </x:c>
      <x:c r="K2129" s="2"/>
      <x:c r="L2129" s="2"/>
    </x:row>
    <x:row r="2130" ht="22" customHeight="1">
      <x:c r="A2130" s="2"/>
      <x:c r="B2130" s="2" t="n">
        <x:v>2097</x:v>
      </x:c>
      <x:c r="C2130" s="2" t="str">
        <x:v>22393</x:v>
      </x:c>
      <x:c r="D2130" s="2" t="str">
        <x:v>PAPERWEIGHT VINTAGE COLLAGE</x:v>
      </x:c>
      <x:c r="E2130" s="11" t="n">
        <x:v>1464.47</x:v>
      </x:c>
      <x:c r="F2130" s="11" t="n">
        <x:v>111.00000000000001</x:v>
      </x:c>
      <x:c r="G2130" s="11" t="n">
        <x:v>1353.4699999999998</x:v>
      </x:c>
      <x:c r="H2130" s="23" t="n">
        <x:v>0.00007132017173724372</x:v>
      </x:c>
      <x:c r="I2130" s="23" t="n">
        <x:v>0.9368770882980785</x:v>
      </x:c>
      <x:c r="J2130" s="2" t="n">
        <x:v>120</x:v>
      </x:c>
      <x:c r="K2130" s="2"/>
      <x:c r="L2130" s="2"/>
    </x:row>
    <x:row r="2131" ht="22" customHeight="1">
      <x:c r="A2131" s="2"/>
      <x:c r="B2131" s="2" t="n">
        <x:v>2098</x:v>
      </x:c>
      <x:c r="C2131" s="2" t="str">
        <x:v>23365</x:v>
      </x:c>
      <x:c r="D2131" s="2" t="str">
        <x:v>SET 12 COLOUR PENCILS LOVE LONDON</x:v>
      </x:c>
      <x:c r="E2131" s="11" t="n">
        <x:v>1464.38</x:v>
      </x:c>
      <x:c r="F2131" s="11" t="n">
        <x:v>0</x:v>
      </x:c>
      <x:c r="G2131" s="11" t="n">
        <x:v>1464.38</x:v>
      </x:c>
      <x:c r="H2131" s="23" t="n">
        <x:v>0.00007131578870757678</x:v>
      </x:c>
      <x:c r="I2131" s="23" t="n">
        <x:v>0.936948404086786</x:v>
      </x:c>
      <x:c r="J2131" s="2" t="n">
        <x:v>169</x:v>
      </x:c>
      <x:c r="K2131" s="2"/>
      <x:c r="L2131" s="2"/>
    </x:row>
    <x:row r="2132" ht="22" customHeight="1">
      <x:c r="A2132" s="2"/>
      <x:c r="B2132" s="2" t="n">
        <x:v>2099</x:v>
      </x:c>
      <x:c r="C2132" s="2" t="str">
        <x:v>21317</x:v>
      </x:c>
      <x:c r="D2132" s="2" t="str">
        <x:v>GLASS SPHERE CANDLE STAND MEDIUM</x:v>
      </x:c>
      <x:c r="E2132" s="11" t="n">
        <x:v>1464.3</x:v>
      </x:c>
      <x:c r="F2132" s="11" t="n">
        <x:v>15.850000000000001</x:v>
      </x:c>
      <x:c r="G2132" s="11" t="n">
        <x:v>1448.45</x:v>
      </x:c>
      <x:c r="H2132" s="23" t="n">
        <x:v>0.00007131189268120614</x:v>
      </x:c>
      <x:c r="I2132" s="23" t="n">
        <x:v>0.9370197159794672</x:v>
      </x:c>
      <x:c r="J2132" s="2" t="n">
        <x:v>74</x:v>
      </x:c>
      <x:c r="K2132" s="2"/>
      <x:c r="L2132" s="2"/>
    </x:row>
    <x:row r="2133" ht="22" customHeight="1">
      <x:c r="A2133" s="2"/>
      <x:c r="B2133" s="2" t="n">
        <x:v>2100</x:v>
      </x:c>
      <x:c r="C2133" s="2" t="str">
        <x:v>22052</x:v>
      </x:c>
      <x:c r="D2133" s="2" t="str">
        <x:v>VINTAGE CARAVAN GIFT WRAP</x:v>
      </x:c>
      <x:c r="E2133" s="11" t="n">
        <x:v>1460.5</x:v>
      </x:c>
      <x:c r="F2133" s="11" t="n">
        <x:v>21</x:v>
      </x:c>
      <x:c r="G2133" s="11" t="n">
        <x:v>1439.5</x:v>
      </x:c>
      <x:c r="H2133" s="23" t="n">
        <x:v>0.00007112683142860178</x:v>
      </x:c>
      <x:c r="I2133" s="23" t="n">
        <x:v>0.9370908428108958</x:v>
      </x:c>
      <x:c r="J2133" s="2" t="n">
        <x:v>128</x:v>
      </x:c>
      <x:c r="K2133" s="2"/>
      <x:c r="L2133" s="2"/>
    </x:row>
    <x:row r="2134" ht="22" customHeight="1">
      <x:c r="A2134" s="2"/>
      <x:c r="B2134" s="2" t="n">
        <x:v>2101</x:v>
      </x:c>
      <x:c r="C2134" s="2" t="str">
        <x:v>23470</x:v>
      </x:c>
      <x:c r="D2134" s="2" t="str">
        <x:v>CARD HOLDER LOVE BIRD LARGE </x:v>
      </x:c>
      <x:c r="E2134" s="11" t="n">
        <x:v>1460.5</x:v>
      </x:c>
      <x:c r="F2134" s="11" t="n">
        <x:v>70.7</x:v>
      </x:c>
      <x:c r="G2134" s="11" t="n">
        <x:v>1389.8</x:v>
      </x:c>
      <x:c r="H2134" s="23" t="n">
        <x:v>0.00007112683142860178</x:v>
      </x:c>
      <x:c r="I2134" s="23" t="n">
        <x:v>0.9371619696423245</x:v>
      </x:c>
      <x:c r="J2134" s="2" t="n">
        <x:v>84</x:v>
      </x:c>
      <x:c r="K2134" s="2"/>
      <x:c r="L2134" s="2"/>
    </x:row>
    <x:row r="2135" ht="22" customHeight="1">
      <x:c r="A2135" s="2"/>
      <x:c r="B2135" s="2" t="n">
        <x:v>2102</x:v>
      </x:c>
      <x:c r="C2135" s="2" t="str">
        <x:v>22929</x:v>
      </x:c>
      <x:c r="D2135" s="2" t="str">
        <x:v>SCHOOL DESK AND CHAIR </x:v>
      </x:c>
      <x:c r="E2135" s="11" t="n">
        <x:v>1459.75</x:v>
      </x:c>
      <x:c r="F2135" s="11" t="n">
        <x:v>195</x:v>
      </x:c>
      <x:c r="G2135" s="11" t="n">
        <x:v>1264.75</x:v>
      </x:c>
      <x:c r="H2135" s="23" t="n">
        <x:v>0.00007109030618137723</x:v>
      </x:c>
      <x:c r="I2135" s="23" t="n">
        <x:v>0.9372330599485058</x:v>
      </x:c>
      <x:c r="J2135" s="2" t="n">
        <x:v>17</x:v>
      </x:c>
      <x:c r="K2135" s="2"/>
      <x:c r="L2135" s="2"/>
    </x:row>
    <x:row r="2136" ht="22" customHeight="1">
      <x:c r="A2136" s="2"/>
      <x:c r="B2136" s="2" t="n">
        <x:v>2103</x:v>
      </x:c>
      <x:c r="C2136" s="2" t="str">
        <x:v>85136C</x:v>
      </x:c>
      <x:c r="D2136" s="2" t="str">
        <x:v>RED SHARK HELICOPTER</x:v>
      </x:c>
      <x:c r="E2136" s="11" t="n">
        <x:v>1459.64</x:v>
      </x:c>
      <x:c r="F2136" s="11" t="n">
        <x:v>119.77000000000001</x:v>
      </x:c>
      <x:c r="G2136" s="11" t="n">
        <x:v>1339.8700000000001</x:v>
      </x:c>
      <x:c r="H2136" s="23" t="n">
        <x:v>0.00007108494914511763</x:v>
      </x:c>
      <x:c r="I2136" s="23" t="n">
        <x:v>0.9373041448976509</x:v>
      </x:c>
      <x:c r="J2136" s="2" t="n">
        <x:v>122</x:v>
      </x:c>
      <x:c r="K2136" s="2"/>
      <x:c r="L2136" s="2"/>
    </x:row>
    <x:row r="2137" ht="22" customHeight="1">
      <x:c r="A2137" s="2"/>
      <x:c r="B2137" s="2" t="n">
        <x:v>2104</x:v>
      </x:c>
      <x:c r="C2137" s="2" t="str">
        <x:v>22228</x:v>
      </x:c>
      <x:c r="D2137" s="2" t="str">
        <x:v>BUNNY WOODEN PAINTED WITH BIRD </x:v>
      </x:c>
      <x:c r="E2137" s="11" t="n">
        <x:v>1458.3</x:v>
      </x:c>
      <x:c r="F2137" s="11" t="n">
        <x:v>29.749999999999996</x:v>
      </x:c>
      <x:c r="G2137" s="11" t="n">
        <x:v>1428.55</x:v>
      </x:c>
      <x:c r="H2137" s="23" t="n">
        <x:v>0.00007101969070340977</x:v>
      </x:c>
      <x:c r="I2137" s="23" t="n">
        <x:v>0.9373751645883543</x:v>
      </x:c>
      <x:c r="J2137" s="2" t="n">
        <x:v>275</x:v>
      </x:c>
      <x:c r="K2137" s="2"/>
      <x:c r="L2137" s="2"/>
    </x:row>
    <x:row r="2138" ht="22" customHeight="1">
      <x:c r="A2138" s="2"/>
      <x:c r="B2138" s="2" t="n">
        <x:v>2105</x:v>
      </x:c>
      <x:c r="C2138" s="2" t="str">
        <x:v>21739</x:v>
      </x:c>
      <x:c r="D2138" s="2" t="str">
        <x:v>COSY SLIPPER SHOES SMALL GREEN</x:v>
      </x:c>
      <x:c r="E2138" s="11" t="n">
        <x:v>1457.7500000000002</x:v>
      </x:c>
      <x:c r="F2138" s="11" t="n">
        <x:v>2.95</x:v>
      </x:c>
      <x:c r="G2138" s="11" t="n">
        <x:v>1454.8000000000002</x:v>
      </x:c>
      <x:c r="H2138" s="23" t="n">
        <x:v>0.00007099290552211179</x:v>
      </x:c>
      <x:c r="I2138" s="23" t="n">
        <x:v>0.9374461574938765</x:v>
      </x:c>
      <x:c r="J2138" s="2" t="n">
        <x:v>177</x:v>
      </x:c>
      <x:c r="K2138" s="2"/>
      <x:c r="L2138" s="2"/>
    </x:row>
    <x:row r="2139" ht="22" customHeight="1">
      <x:c r="A2139" s="2"/>
      <x:c r="B2139" s="2" t="n">
        <x:v>2106</x:v>
      </x:c>
      <x:c r="C2139" s="2" t="str">
        <x:v>85098B</x:v>
      </x:c>
      <x:c r="D2139" s="2" t="str">
        <x:v>BLUE FLYING SINGING CANARY</x:v>
      </x:c>
      <x:c r="E2139" s="11" t="n">
        <x:v>1456.94</x:v>
      </x:c>
      <x:c r="F2139" s="11" t="n">
        <x:v>154.15</x:v>
      </x:c>
      <x:c r="G2139" s="11" t="n">
        <x:v>1302.79</x:v>
      </x:c>
      <x:c r="H2139" s="23" t="n">
        <x:v>0.00007095345825510926</x:v>
      </x:c>
      <x:c r="I2139" s="23" t="n">
        <x:v>0.9375171109521316</x:v>
      </x:c>
      <x:c r="J2139" s="2" t="n">
        <x:v>114</x:v>
      </x:c>
      <x:c r="K2139" s="2"/>
      <x:c r="L2139" s="2"/>
    </x:row>
    <x:row r="2140" ht="22" customHeight="1">
      <x:c r="A2140" s="2"/>
      <x:c r="B2140" s="2" t="n">
        <x:v>2107</x:v>
      </x:c>
      <x:c r="C2140" s="2" t="str">
        <x:v>15056bl</x:v>
      </x:c>
      <x:c r="D2140" s="2" t="str">
        <x:v>EDWARDIAN PARASOL BLACK</x:v>
      </x:c>
      <x:c r="E2140" s="11" t="n">
        <x:v>1456.3200000000002</x:v>
      </x:c>
      <x:c r="F2140" s="11" t="n">
        <x:v>0</x:v>
      </x:c>
      <x:c r="G2140" s="11" t="n">
        <x:v>1456.3200000000002</x:v>
      </x:c>
      <x:c r="H2140" s="23" t="n">
        <x:v>0.00007092326405073698</x:v>
      </x:c>
      <x:c r="I2140" s="23" t="n">
        <x:v>0.9375880342161824</x:v>
      </x:c>
      <x:c r="J2140" s="2" t="n">
        <x:v>87</x:v>
      </x:c>
      <x:c r="K2140" s="2"/>
      <x:c r="L2140" s="2"/>
    </x:row>
    <x:row r="2141" ht="22" customHeight="1">
      <x:c r="A2141" s="2"/>
      <x:c r="B2141" s="2" t="n">
        <x:v>2108</x:v>
      </x:c>
      <x:c r="C2141" s="2" t="str">
        <x:v>23086</x:v>
      </x:c>
      <x:c r="D2141" s="2" t="str">
        <x:v>ZINC  STAR T-LIGHT HOLDER </x:v>
      </x:c>
      <x:c r="E2141" s="11" t="n">
        <x:v>1455.18</x:v>
      </x:c>
      <x:c r="F2141" s="11" t="n">
        <x:v>20</x:v>
      </x:c>
      <x:c r="G2141" s="11" t="n">
        <x:v>1435.18</x:v>
      </x:c>
      <x:c r="H2141" s="23" t="n">
        <x:v>0.00007086774567495566</x:v>
      </x:c>
      <x:c r="I2141" s="23" t="n">
        <x:v>0.9376589019618574</x:v>
      </x:c>
      <x:c r="J2141" s="2" t="n">
        <x:v>47</x:v>
      </x:c>
      <x:c r="K2141" s="2"/>
      <x:c r="L2141" s="2"/>
    </x:row>
    <x:row r="2142" ht="22" customHeight="1">
      <x:c r="A2142" s="2"/>
      <x:c r="B2142" s="2" t="n">
        <x:v>2109</x:v>
      </x:c>
      <x:c r="C2142" s="2" t="str">
        <x:v>20733</x:v>
      </x:c>
      <x:c r="D2142" s="2" t="str">
        <x:v>GOLD MINI TAPE MEASURE </x:v>
      </x:c>
      <x:c r="E2142" s="11" t="n">
        <x:v>1454.75</x:v>
      </x:c>
      <x:c r="F2142" s="11" t="n">
        <x:v>216</x:v>
      </x:c>
      <x:c r="G2142" s="11" t="n">
        <x:v>1238.75</x:v>
      </x:c>
      <x:c r="H2142" s="23" t="n">
        <x:v>0.00007084680453321359</x:v>
      </x:c>
      <x:c r="I2142" s="23" t="n">
        <x:v>0.9377297487663906</x:v>
      </x:c>
      <x:c r="J2142" s="2" t="n">
        <x:v>294</x:v>
      </x:c>
      <x:c r="K2142" s="2"/>
      <x:c r="L2142" s="2"/>
    </x:row>
    <x:row r="2143" ht="22" customHeight="1">
      <x:c r="A2143" s="2"/>
      <x:c r="B2143" s="2" t="n">
        <x:v>2110</x:v>
      </x:c>
      <x:c r="C2143" s="2" t="str">
        <x:v>84637</x:v>
      </x:c>
      <x:c r="D2143" s="2" t="str">
        <x:v>KITCHEN FLOWER POTS WALL PLAQUE</x:v>
      </x:c>
      <x:c r="E2143" s="11" t="n">
        <x:v>1454.49</x:v>
      </x:c>
      <x:c r="F2143" s="11" t="n">
        <x:v>0</x:v>
      </x:c>
      <x:c r="G2143" s="11" t="n">
        <x:v>1454.49</x:v>
      </x:c>
      <x:c r="H2143" s="23" t="n">
        <x:v>0.00007083414244750908</x:v>
      </x:c>
      <x:c r="I2143" s="23" t="n">
        <x:v>0.937800582908838</x:v>
      </x:c>
      <x:c r="J2143" s="2" t="n">
        <x:v>114</x:v>
      </x:c>
      <x:c r="K2143" s="2"/>
      <x:c r="L2143" s="2"/>
    </x:row>
    <x:row r="2144" ht="22" customHeight="1">
      <x:c r="A2144" s="2"/>
      <x:c r="B2144" s="2" t="n">
        <x:v>2111</x:v>
      </x:c>
      <x:c r="C2144" s="2" t="str">
        <x:v>21822</x:v>
      </x:c>
      <x:c r="D2144" s="2" t="str">
        <x:v>GLITTER CHRISTMAS TREE WITH BELLS</x:v>
      </x:c>
      <x:c r="E2144" s="11" t="n">
        <x:v>1454.04</x:v>
      </x:c>
      <x:c r="F2144" s="11" t="n">
        <x:v>16.39</x:v>
      </x:c>
      <x:c r="G2144" s="11" t="n">
        <x:v>1437.6499999999999</x:v>
      </x:c>
      <x:c r="H2144" s="23" t="n">
        <x:v>0.00007081222729917434</x:v>
      </x:c>
      <x:c r="I2144" s="23" t="n">
        <x:v>0.9378713951361373</x:v>
      </x:c>
      <x:c r="J2144" s="2" t="n">
        <x:v>142</x:v>
      </x:c>
      <x:c r="K2144" s="2"/>
      <x:c r="L2144" s="2"/>
    </x:row>
    <x:row r="2145" ht="22" customHeight="1">
      <x:c r="A2145" s="2"/>
      <x:c r="B2145" s="2" t="n">
        <x:v>2112</x:v>
      </x:c>
      <x:c r="C2145" s="2" t="str">
        <x:v>22390</x:v>
      </x:c>
      <x:c r="D2145" s="2" t="str">
        <x:v>PAPERWEIGHT CHILDHOOD MEMORIES</x:v>
      </x:c>
      <x:c r="E2145" s="11" t="n">
        <x:v>1453.62</x:v>
      </x:c>
      <x:c r="F2145" s="11" t="n">
        <x:v>0</x:v>
      </x:c>
      <x:c r="G2145" s="11" t="n">
        <x:v>1453.62</x:v>
      </x:c>
      <x:c r="H2145" s="23" t="n">
        <x:v>0.00007079177316072859</x:v>
      </x:c>
      <x:c r="I2145" s="23" t="n">
        <x:v>0.937942186909298</x:v>
      </x:c>
      <x:c r="J2145" s="2" t="n">
        <x:v>83</x:v>
      </x:c>
      <x:c r="K2145" s="2"/>
      <x:c r="L2145" s="2"/>
    </x:row>
    <x:row r="2146" ht="22" customHeight="1">
      <x:c r="A2146" s="2"/>
      <x:c r="B2146" s="2" t="n">
        <x:v>2113</x:v>
      </x:c>
      <x:c r="C2146" s="2" t="str">
        <x:v>85049a</x:v>
      </x:c>
      <x:c r="D2146" s="2" t="str">
        <x:v>TRADITIONAL CHRISTMAS RIBBONS</x:v>
      </x:c>
      <x:c r="E2146" s="11" t="n">
        <x:v>1451.24</x:v>
      </x:c>
      <x:c r="F2146" s="11" t="n">
        <x:v>0</x:v>
      </x:c>
      <x:c r="G2146" s="11" t="n">
        <x:v>1451.24</x:v>
      </x:c>
      <x:c r="H2146" s="23" t="n">
        <x:v>0.0000706758663762027</x:v>
      </x:c>
      <x:c r="I2146" s="23" t="n">
        <x:v>0.9380128627756742</x:v>
      </x:c>
      <x:c r="J2146" s="2" t="n">
        <x:v>51</x:v>
      </x:c>
      <x:c r="K2146" s="2"/>
      <x:c r="L2146" s="2"/>
    </x:row>
    <x:row r="2147" ht="22" customHeight="1">
      <x:c r="A2147" s="2"/>
      <x:c r="B2147" s="2" t="n">
        <x:v>2114</x:v>
      </x:c>
      <x:c r="C2147" s="2" t="str">
        <x:v>85055</x:v>
      </x:c>
      <x:c r="D2147" s="2" t="str">
        <x:v>FRENCH ENAMEL UTENSIL HOLDER</x:v>
      </x:c>
      <x:c r="E2147" s="11" t="n">
        <x:v>1450.44</x:v>
      </x:c>
      <x:c r="F2147" s="11" t="n">
        <x:v>0</x:v>
      </x:c>
      <x:c r="G2147" s="11" t="n">
        <x:v>1450.44</x:v>
      </x:c>
      <x:c r="H2147" s="23" t="n">
        <x:v>0.00007063690611249652</x:v>
      </x:c>
      <x:c r="I2147" s="23" t="n">
        <x:v>0.9380834996817867</x:v>
      </x:c>
      <x:c r="J2147" s="2" t="n">
        <x:v>107</x:v>
      </x:c>
      <x:c r="K2147" s="2"/>
      <x:c r="L2147" s="2"/>
    </x:row>
    <x:row r="2148" ht="22" customHeight="1">
      <x:c r="A2148" s="2"/>
      <x:c r="B2148" s="2" t="n">
        <x:v>2115</x:v>
      </x:c>
      <x:c r="C2148" s="2" t="str">
        <x:v>22249</x:v>
      </x:c>
      <x:c r="D2148" s="2" t="str">
        <x:v>DECORATION WHITE CHICK MAGIC GARDEN</x:v>
      </x:c>
      <x:c r="E2148" s="11" t="n">
        <x:v>1449.96</x:v>
      </x:c>
      <x:c r="F2148" s="11" t="n">
        <x:v>3.4</x:v>
      </x:c>
      <x:c r="G2148" s="11" t="n">
        <x:v>1446.56</x:v>
      </x:c>
      <x:c r="H2148" s="23" t="n">
        <x:v>0.0000706135299542728</x:v>
      </x:c>
      <x:c r="I2148" s="23" t="n">
        <x:v>0.938154113211741</x:v>
      </x:c>
      <x:c r="J2148" s="2" t="n">
        <x:v>243</x:v>
      </x:c>
      <x:c r="K2148" s="2"/>
      <x:c r="L2148" s="2"/>
    </x:row>
    <x:row r="2149" ht="22" customHeight="1">
      <x:c r="A2149" s="2"/>
      <x:c r="B2149" s="2" t="n">
        <x:v>2116</x:v>
      </x:c>
      <x:c r="C2149" s="2" t="str">
        <x:v>22287</x:v>
      </x:c>
      <x:c r="D2149" s="2" t="str">
        <x:v>DECORATION WOBBLY CHICKEN</x:v>
      </x:c>
      <x:c r="E2149" s="11" t="n">
        <x:v>1447.3</x:v>
      </x:c>
      <x:c r="F2149" s="11" t="n">
        <x:v>4.68</x:v>
      </x:c>
      <x:c r="G2149" s="11" t="n">
        <x:v>1442.62</x:v>
      </x:c>
      <x:c r="H2149" s="23" t="n">
        <x:v>0.00007048398707744975</x:v>
      </x:c>
      <x:c r="I2149" s="23" t="n">
        <x:v>0.9382245971988185</x:v>
      </x:c>
      <x:c r="J2149" s="2" t="n">
        <x:v>121</x:v>
      </x:c>
      <x:c r="K2149" s="2"/>
      <x:c r="L2149" s="2"/>
    </x:row>
    <x:row r="2150" ht="22" customHeight="1">
      <x:c r="A2150" s="2"/>
      <x:c r="B2150" s="2" t="n">
        <x:v>2117</x:v>
      </x:c>
      <x:c r="C2150" s="2" t="str">
        <x:v>23249</x:v>
      </x:c>
      <x:c r="D2150" s="2" t="str">
        <x:v>VINTAGE RED ENAMEL TRIM PLATE</x:v>
      </x:c>
      <x:c r="E2150" s="11" t="n">
        <x:v>1445.8999999999999</x:v>
      </x:c>
      <x:c r="F2150" s="11" t="n">
        <x:v>87.71</x:v>
      </x:c>
      <x:c r="G2150" s="11" t="n">
        <x:v>1358.1899999999998</x:v>
      </x:c>
      <x:c r="H2150" s="23" t="n">
        <x:v>0.00007041580661596392</x:v>
      </x:c>
      <x:c r="I2150" s="23" t="n">
        <x:v>0.9382950130054344</x:v>
      </x:c>
      <x:c r="J2150" s="2" t="n">
        <x:v>81</x:v>
      </x:c>
      <x:c r="K2150" s="2"/>
      <x:c r="L2150" s="2"/>
    </x:row>
    <x:row r="2151" ht="22" customHeight="1">
      <x:c r="A2151" s="2"/>
      <x:c r="B2151" s="2" t="n">
        <x:v>2118</x:v>
      </x:c>
      <x:c r="C2151" s="2" t="str">
        <x:v>21159</x:v>
      </x:c>
      <x:c r="D2151" s="2" t="str">
        <x:v>MOODY BOY  DOOR HANGER </x:v>
      </x:c>
      <x:c r="E2151" s="11" t="n">
        <x:v>1445.76</x:v>
      </x:c>
      <x:c r="F2151" s="11" t="n">
        <x:v>34.61</x:v>
      </x:c>
      <x:c r="G2151" s="11" t="n">
        <x:v>1411.1499999999999</x:v>
      </x:c>
      <x:c r="H2151" s="23" t="n">
        <x:v>0.00007040898856981534</x:v>
      </x:c>
      <x:c r="I2151" s="23" t="n">
        <x:v>0.9383654219940042</x:v>
      </x:c>
      <x:c r="J2151" s="2" t="n">
        <x:v>250</x:v>
      </x:c>
      <x:c r="K2151" s="2"/>
      <x:c r="L2151" s="2"/>
    </x:row>
    <x:row r="2152" ht="22" customHeight="1">
      <x:c r="A2152" s="2"/>
      <x:c r="B2152" s="2" t="n">
        <x:v>2119</x:v>
      </x:c>
      <x:c r="C2152" s="2" t="str">
        <x:v>35637A</x:v>
      </x:c>
      <x:c r="D2152" s="2" t="str">
        <x:v>IVORY STRING CURTAIN WITH POLE </x:v>
      </x:c>
      <x:c r="E2152" s="11" t="n">
        <x:v>1445.05</x:v>
      </x:c>
      <x:c r="F2152" s="11" t="n">
        <x:v>5.95</x:v>
      </x:c>
      <x:c r="G2152" s="11" t="n">
        <x:v>1439.1</x:v>
      </x:c>
      <x:c r="H2152" s="23" t="n">
        <x:v>0.0000703744113357761</x:v>
      </x:c>
      <x:c r="I2152" s="23" t="n">
        <x:v>0.9384357964053399</x:v>
      </x:c>
      <x:c r="J2152" s="2" t="n">
        <x:v>53</x:v>
      </x:c>
      <x:c r="K2152" s="2"/>
      <x:c r="L2152" s="2"/>
    </x:row>
    <x:row r="2153" ht="22" customHeight="1">
      <x:c r="A2153" s="2"/>
      <x:c r="B2153" s="2" t="n">
        <x:v>2120</x:v>
      </x:c>
      <x:c r="C2153" s="2" t="str">
        <x:v>84313C</x:v>
      </x:c>
      <x:c r="D2153" s="2" t="str">
        <x:v>damaged</x:v>
      </x:c>
      <x:c r="E2153" s="11" t="n">
        <x:v>1442.3899999999999</x:v>
      </x:c>
      <x:c r="F2153" s="11" t="n">
        <x:v>0</x:v>
      </x:c>
      <x:c r="G2153" s="11" t="n">
        <x:v>1442.3899999999999</x:v>
      </x:c>
      <x:c r="H2153" s="23" t="n">
        <x:v>0.00007024486845895304</x:v>
      </x:c>
      <x:c r="I2153" s="23" t="n">
        <x:v>0.9385060412737989</x:v>
      </x:c>
      <x:c r="J2153" s="2" t="n">
        <x:v>73</x:v>
      </x:c>
      <x:c r="K2153" s="2"/>
      <x:c r="L2153" s="2"/>
    </x:row>
    <x:row r="2154" ht="22" customHeight="1">
      <x:c r="A2154" s="2"/>
      <x:c r="B2154" s="2" t="n">
        <x:v>2121</x:v>
      </x:c>
      <x:c r="C2154" s="2" t="str">
        <x:v>84596G</x:v>
      </x:c>
      <x:c r="D2154" s="2" t="str">
        <x:v>SMALL CHOCOLATES PINK BOWL</x:v>
      </x:c>
      <x:c r="E2154" s="11" t="n">
        <x:v>1441.6</x:v>
      </x:c>
      <x:c r="F2154" s="11" t="n">
        <x:v>0</x:v>
      </x:c>
      <x:c r="G2154" s="11" t="n">
        <x:v>1441.6</x:v>
      </x:c>
      <x:c r="H2154" s="23" t="n">
        <x:v>0.00007020639519854319</x:v>
      </x:c>
      <x:c r="I2154" s="23" t="n">
        <x:v>0.9385762476689974</x:v>
      </x:c>
      <x:c r="J2154" s="2" t="n">
        <x:v>348</x:v>
      </x:c>
      <x:c r="K2154" s="2"/>
      <x:c r="L2154" s="2"/>
    </x:row>
    <x:row r="2155" ht="22" customHeight="1">
      <x:c r="A2155" s="2"/>
      <x:c r="B2155" s="2" t="n">
        <x:v>2122</x:v>
      </x:c>
      <x:c r="C2155" s="2" t="str">
        <x:v>22817</x:v>
      </x:c>
      <x:c r="D2155" s="2" t="str">
        <x:v>CARD SUKI BIRTHDAY</x:v>
      </x:c>
      <x:c r="E2155" s="11" t="n">
        <x:v>1439.94</x:v>
      </x:c>
      <x:c r="F2155" s="11" t="n">
        <x:v>0</x:v>
      </x:c>
      <x:c r="G2155" s="11" t="n">
        <x:v>1439.94</x:v>
      </x:c>
      <x:c r="H2155" s="23" t="n">
        <x:v>0.00007012555265135286</x:v>
      </x:c>
      <x:c r="I2155" s="23" t="n">
        <x:v>0.9386463732216488</x:v>
      </x:c>
      <x:c r="J2155" s="2" t="n">
        <x:v>355</x:v>
      </x:c>
      <x:c r="K2155" s="2"/>
      <x:c r="L2155" s="2"/>
    </x:row>
    <x:row r="2156" ht="22" customHeight="1">
      <x:c r="A2156" s="2"/>
      <x:c r="B2156" s="2" t="n">
        <x:v>2123</x:v>
      </x:c>
      <x:c r="C2156" s="2" t="str">
        <x:v>21807</x:v>
      </x:c>
      <x:c r="D2156" s="2" t="str">
        <x:v>WHITE CHRISTMAS STAR DECORATION</x:v>
      </x:c>
      <x:c r="E2156" s="11" t="n">
        <x:v>1438.4099999999999</x:v>
      </x:c>
      <x:c r="F2156" s="11" t="n">
        <x:v>0.84</x:v>
      </x:c>
      <x:c r="G2156" s="11" t="n">
        <x:v>1437.57</x:v>
      </x:c>
      <x:c r="H2156" s="23" t="n">
        <x:v>0.00007005104114701477</x:v>
      </x:c>
      <x:c r="I2156" s="23" t="n">
        <x:v>0.9387164242627958</x:v>
      </x:c>
      <x:c r="J2156" s="2" t="n">
        <x:v>172</x:v>
      </x:c>
      <x:c r="K2156" s="2"/>
      <x:c r="L2156" s="2"/>
    </x:row>
    <x:row r="2157" ht="22" customHeight="1">
      <x:c r="A2157" s="2"/>
      <x:c r="B2157" s="2" t="n">
        <x:v>2124</x:v>
      </x:c>
      <x:c r="C2157" s="2" t="str">
        <x:v>20761</x:v>
      </x:c>
      <x:c r="D2157" s="2" t="str">
        <x:v>BLUE PAISLEY SKETCHBOOK</x:v>
      </x:c>
      <x:c r="E2157" s="11" t="n">
        <x:v>1437.46</x:v>
      </x:c>
      <x:c r="F2157" s="11" t="n">
        <x:v>15</x:v>
      </x:c>
      <x:c r="G2157" s="11" t="n">
        <x:v>1422.46</x:v>
      </x:c>
      <x:c r="H2157" s="23" t="n">
        <x:v>0.00007000477583386368</x:v>
      </x:c>
      <x:c r="I2157" s="23" t="n">
        <x:v>0.9387864290386296</x:v>
      </x:c>
      <x:c r="J2157" s="2" t="n">
        <x:v>146</x:v>
      </x:c>
      <x:c r="K2157" s="2"/>
      <x:c r="L2157" s="2"/>
    </x:row>
    <x:row r="2158" ht="22" customHeight="1">
      <x:c r="A2158" s="2"/>
      <x:c r="B2158" s="2" t="n">
        <x:v>2125</x:v>
      </x:c>
      <x:c r="C2158" s="2" t="str">
        <x:v>22093</x:v>
      </x:c>
      <x:c r="D2158" s="2" t="str">
        <x:v>MOTORING TISSUE BOX</x:v>
      </x:c>
      <x:c r="E2158" s="11" t="n">
        <x:v>1436.82</x:v>
      </x:c>
      <x:c r="F2158" s="11" t="n">
        <x:v>53.160000000000004</x:v>
      </x:c>
      <x:c r="G2158" s="11" t="n">
        <x:v>1383.66</x:v>
      </x:c>
      <x:c r="H2158" s="23" t="n">
        <x:v>0.00006997360762289874</x:v>
      </x:c>
      <x:c r="I2158" s="23" t="n">
        <x:v>0.9388564026462526</x:v>
      </x:c>
      <x:c r="J2158" s="2" t="n">
        <x:v>275</x:v>
      </x:c>
      <x:c r="K2158" s="2"/>
      <x:c r="L2158" s="2"/>
    </x:row>
    <x:row r="2159" ht="22" customHeight="1">
      <x:c r="A2159" s="2"/>
      <x:c r="B2159" s="2" t="n">
        <x:v>2126</x:v>
      </x:c>
      <x:c r="C2159" s="2" t="str">
        <x:v>22316</x:v>
      </x:c>
      <x:c r="D2159" s="2" t="str">
        <x:v>200 BENDY SKULL STRAWS</x:v>
      </x:c>
      <x:c r="E2159" s="11" t="n">
        <x:v>1435.32</x:v>
      </x:c>
      <x:c r="F2159" s="11" t="n">
        <x:v>1.25</x:v>
      </x:c>
      <x:c r="G2159" s="11" t="n">
        <x:v>1434.07</x:v>
      </x:c>
      <x:c r="H2159" s="23" t="n">
        <x:v>0.00006990055712844963</x:v>
      </x:c>
      <x:c r="I2159" s="23" t="n">
        <x:v>0.938926303203381</x:v>
      </x:c>
      <x:c r="J2159" s="2" t="n">
        <x:v>119</x:v>
      </x:c>
      <x:c r="K2159" s="2"/>
      <x:c r="L2159" s="2"/>
    </x:row>
    <x:row r="2160" ht="22" customHeight="1">
      <x:c r="A2160" s="2"/>
      <x:c r="B2160" s="2" t="n">
        <x:v>2127</x:v>
      </x:c>
      <x:c r="C2160" s="2" t="str">
        <x:v>22396</x:v>
      </x:c>
      <x:c r="D2160" s="2" t="str">
        <x:v>MAGNETS PACK OF 4 RETRO PHOTO</x:v>
      </x:c>
      <x:c r="E2160" s="11" t="n">
        <x:v>1432.39</x:v>
      </x:c>
      <x:c r="F2160" s="11" t="n">
        <x:v>15</x:v>
      </x:c>
      <x:c r="G2160" s="11" t="n">
        <x:v>1417.39</x:v>
      </x:c>
      <x:c r="H2160" s="23" t="n">
        <x:v>0.00006975786516262575</x:v>
      </x:c>
      <x:c r="I2160" s="23" t="n">
        <x:v>0.9389960610685436</x:v>
      </x:c>
      <x:c r="J2160" s="2" t="n">
        <x:v>184</x:v>
      </x:c>
      <x:c r="K2160" s="2"/>
      <x:c r="L2160" s="2"/>
    </x:row>
    <x:row r="2161" ht="22" customHeight="1">
      <x:c r="A2161" s="2"/>
      <x:c r="B2161" s="2" t="n">
        <x:v>2128</x:v>
      </x:c>
      <x:c r="C2161" s="2" t="str">
        <x:v>23527</x:v>
      </x:c>
      <x:c r="D2161" s="2" t="str">
        <x:v>WALL ART ANIMALS AND NATURE </x:v>
      </x:c>
      <x:c r="E2161" s="11" t="n">
        <x:v>1432.31</x:v>
      </x:c>
      <x:c r="F2161" s="11" t="n">
        <x:v>26.25</x:v>
      </x:c>
      <x:c r="G2161" s="11" t="n">
        <x:v>1406.06</x:v>
      </x:c>
      <x:c r="H2161" s="23" t="n">
        <x:v>0.00006975396913625513</x:v>
      </x:c>
      <x:c r="I2161" s="23" t="n">
        <x:v>0.9390658150376798</x:v>
      </x:c>
      <x:c r="J2161" s="2" t="n">
        <x:v>48</x:v>
      </x:c>
      <x:c r="K2161" s="2"/>
      <x:c r="L2161" s="2"/>
    </x:row>
    <x:row r="2162" ht="22" customHeight="1">
      <x:c r="A2162" s="2"/>
      <x:c r="B2162" s="2" t="n">
        <x:v>2129</x:v>
      </x:c>
      <x:c r="C2162" s="2" t="str">
        <x:v>35965</x:v>
      </x:c>
      <x:c r="D2162" s="2" t="str">
        <x:v>FOLKART HEART NAPKIN RINGS</x:v>
      </x:c>
      <x:c r="E2162" s="11" t="n">
        <x:v>1429.53</x:v>
      </x:c>
      <x:c r="F2162" s="11" t="n">
        <x:v>18.96</x:v>
      </x:c>
      <x:c r="G2162" s="11" t="n">
        <x:v>1410.5700000000002</x:v>
      </x:c>
      <x:c r="H2162" s="23" t="n">
        <x:v>0.00006961858221987613</x:v>
      </x:c>
      <x:c r="I2162" s="23" t="n">
        <x:v>0.9391354336198997</x:v>
      </x:c>
      <x:c r="J2162" s="2" t="n">
        <x:v>174</x:v>
      </x:c>
      <x:c r="K2162" s="2"/>
      <x:c r="L2162" s="2"/>
    </x:row>
    <x:row r="2163" ht="22" customHeight="1">
      <x:c r="A2163" s="2"/>
      <x:c r="B2163" s="2" t="n">
        <x:v>2130</x:v>
      </x:c>
      <x:c r="C2163" s="2" t="str">
        <x:v>15034</x:v>
      </x:c>
      <x:c r="D2163" s="2" t="str">
        <x:v>PAPER POCKET TRAVELING FAN </x:v>
      </x:c>
      <x:c r="E2163" s="11" t="n">
        <x:v>1428.0200000000002</x:v>
      </x:c>
      <x:c r="F2163" s="11" t="n">
        <x:v>116.06000000000002</x:v>
      </x:c>
      <x:c r="G2163" s="11" t="n">
        <x:v>1311.96</x:v>
      </x:c>
      <x:c r="H2163" s="23" t="n">
        <x:v>0.00006954504472213073</x:v>
      </x:c>
      <x:c r="I2163" s="23" t="n">
        <x:v>0.9392049786646218</x:v>
      </x:c>
      <x:c r="J2163" s="2" t="n">
        <x:v>255</x:v>
      </x:c>
      <x:c r="K2163" s="2"/>
      <x:c r="L2163" s="2"/>
    </x:row>
    <x:row r="2164" ht="22" customHeight="1">
      <x:c r="A2164" s="2"/>
      <x:c r="B2164" s="2" t="n">
        <x:v>2131</x:v>
      </x:c>
      <x:c r="C2164" s="2" t="str">
        <x:v>21292</x:v>
      </x:c>
      <x:c r="D2164" s="2" t="str">
        <x:v>SMALL STRIPES CHOCOLATE GIFT BAG </x:v>
      </x:c>
      <x:c r="E2164" s="11" t="n">
        <x:v>1427.11</x:v>
      </x:c>
      <x:c r="F2164" s="11" t="n">
        <x:v>13.6</x:v>
      </x:c>
      <x:c r="G2164" s="11" t="n">
        <x:v>1413.51</x:v>
      </x:c>
      <x:c r="H2164" s="23" t="n">
        <x:v>0.00006950072742216492</x:v>
      </x:c>
      <x:c r="I2164" s="23" t="n">
        <x:v>0.939274479392044</x:v>
      </x:c>
      <x:c r="J2164" s="2" t="n">
        <x:v>91</x:v>
      </x:c>
      <x:c r="K2164" s="2"/>
      <x:c r="L2164" s="2"/>
    </x:row>
    <x:row r="2165" ht="22" customHeight="1">
      <x:c r="A2165" s="2"/>
      <x:c r="B2165" s="2" t="n">
        <x:v>2132</x:v>
      </x:c>
      <x:c r="C2165" s="2" t="str">
        <x:v>20801</x:v>
      </x:c>
      <x:c r="D2165" s="2" t="str">
        <x:v>LARGE PINK GLASS SUNDAE DISH</x:v>
      </x:c>
      <x:c r="E2165" s="11" t="n">
        <x:v>1427.1</x:v>
      </x:c>
      <x:c r="F2165" s="11" t="n">
        <x:v>24</x:v>
      </x:c>
      <x:c r="G2165" s="11" t="n">
        <x:v>1403.1</x:v>
      </x:c>
      <x:c r="H2165" s="23" t="n">
        <x:v>0.0000695002404188686</x:v>
      </x:c>
      <x:c r="I2165" s="23" t="n">
        <x:v>0.9393439796324629</x:v>
      </x:c>
      <x:c r="J2165" s="2" t="n">
        <x:v>111</x:v>
      </x:c>
      <x:c r="K2165" s="2"/>
      <x:c r="L2165" s="2"/>
    </x:row>
    <x:row r="2166" ht="22" customHeight="1">
      <x:c r="A2166" s="2"/>
      <x:c r="B2166" s="2" t="n">
        <x:v>2133</x:v>
      </x:c>
      <x:c r="C2166" s="2" t="str">
        <x:v>85167B</x:v>
      </x:c>
      <x:c r="D2166" s="2" t="str">
        <x:v>DAMAGED</x:v>
      </x:c>
      <x:c r="E2166" s="11" t="n">
        <x:v>1426.34</x:v>
      </x:c>
      <x:c r="F2166" s="11" t="n">
        <x:v>0</x:v>
      </x:c>
      <x:c r="G2166" s="11" t="n">
        <x:v>1426.34</x:v>
      </x:c>
      <x:c r="H2166" s="23" t="n">
        <x:v>0.00006946322816834772</x:v>
      </x:c>
      <x:c r="I2166" s="23" t="n">
        <x:v>0.9394134428606312</x:v>
      </x:c>
      <x:c r="J2166" s="2" t="n">
        <x:v>59</x:v>
      </x:c>
      <x:c r="K2166" s="2"/>
      <x:c r="L2166" s="2"/>
    </x:row>
    <x:row r="2167" ht="22" customHeight="1">
      <x:c r="A2167" s="2"/>
      <x:c r="B2167" s="2" t="n">
        <x:v>2134</x:v>
      </x:c>
      <x:c r="C2167" s="2" t="str">
        <x:v>21532</x:v>
      </x:c>
      <x:c r="D2167" s="2" t="str">
        <x:v>DAIRY MAID SUGAR JAM BOWL</x:v>
      </x:c>
      <x:c r="E2167" s="11" t="n">
        <x:v>1423.91</x:v>
      </x:c>
      <x:c r="F2167" s="11" t="n">
        <x:v>33.6</x:v>
      </x:c>
      <x:c r="G2167" s="11" t="n">
        <x:v>1390.3100000000002</x:v>
      </x:c>
      <x:c r="H2167" s="23" t="n">
        <x:v>0.00006934488636734021</x:v>
      </x:c>
      <x:c r="I2167" s="23" t="n">
        <x:v>0.9394827877469986</x:v>
      </x:c>
      <x:c r="J2167" s="2" t="n">
        <x:v>90</x:v>
      </x:c>
      <x:c r="K2167" s="2"/>
      <x:c r="L2167" s="2"/>
    </x:row>
    <x:row r="2168" ht="22" customHeight="1">
      <x:c r="A2168" s="2"/>
      <x:c r="B2168" s="2" t="n">
        <x:v>2135</x:v>
      </x:c>
      <x:c r="C2168" s="2" t="str">
        <x:v>22545</x:v>
      </x:c>
      <x:c r="D2168" s="2" t="str">
        <x:v>MINI JIGSAW BUNNIES</x:v>
      </x:c>
      <x:c r="E2168" s="11" t="n">
        <x:v>1422.74</x:v>
      </x:c>
      <x:c r="F2168" s="11" t="n">
        <x:v>20.580000000000002</x:v>
      </x:c>
      <x:c r="G2168" s="11" t="n">
        <x:v>1402.16</x:v>
      </x:c>
      <x:c r="H2168" s="23" t="n">
        <x:v>0.0000692879069816699</x:v>
      </x:c>
      <x:c r="I2168" s="23" t="n">
        <x:v>0.9395520756539802</x:v>
      </x:c>
      <x:c r="J2168" s="2" t="n">
        <x:v>184</x:v>
      </x:c>
      <x:c r="K2168" s="2"/>
      <x:c r="L2168" s="2"/>
    </x:row>
    <x:row r="2169" ht="22" customHeight="1">
      <x:c r="A2169" s="2"/>
      <x:c r="B2169" s="2" t="n">
        <x:v>2136</x:v>
      </x:c>
      <x:c r="C2169" s="2" t="str">
        <x:v>35004G</x:v>
      </x:c>
      <x:c r="D2169" s="2" t="str">
        <x:v>SET OF 3 GOLD FLYING DUCKS</x:v>
      </x:c>
      <x:c r="E2169" s="11" t="n">
        <x:v>1419.51</x:v>
      </x:c>
      <x:c r="F2169" s="11" t="n">
        <x:v>22.59</x:v>
      </x:c>
      <x:c r="G2169" s="11" t="n">
        <x:v>1396.9199999999998</x:v>
      </x:c>
      <x:c r="H2169" s="23" t="n">
        <x:v>0.00006913060491695619</x:v>
      </x:c>
      <x:c r="I2169" s="23" t="n">
        <x:v>0.9396212062588972</x:v>
      </x:c>
      <x:c r="J2169" s="2" t="n">
        <x:v>76</x:v>
      </x:c>
      <x:c r="K2169" s="2"/>
      <x:c r="L2169" s="2"/>
    </x:row>
    <x:row r="2170" ht="22" customHeight="1">
      <x:c r="A2170" s="2"/>
      <x:c r="B2170" s="2" t="n">
        <x:v>2137</x:v>
      </x:c>
      <x:c r="C2170" s="2" t="str">
        <x:v>20840</x:v>
      </x:c>
      <x:c r="D2170" s="2" t="str">
        <x:v>FRENCH FLORAL CUSHION COVER </x:v>
      </x:c>
      <x:c r="E2170" s="11" t="n">
        <x:v>1419.09</x:v>
      </x:c>
      <x:c r="F2170" s="11" t="n">
        <x:v>365.85</x:v>
      </x:c>
      <x:c r="G2170" s="11" t="n">
        <x:v>1053.2399999999998</x:v>
      </x:c>
      <x:c r="H2170" s="23" t="n">
        <x:v>0.00006911015077851044</x:v>
      </x:c>
      <x:c r="I2170" s="23" t="n">
        <x:v>0.9396903164096757</x:v>
      </x:c>
      <x:c r="J2170" s="2" t="n">
        <x:v>93</x:v>
      </x:c>
      <x:c r="K2170" s="2"/>
      <x:c r="L2170" s="2"/>
    </x:row>
    <x:row r="2171" ht="22" customHeight="1">
      <x:c r="A2171" s="2"/>
      <x:c r="B2171" s="2" t="n">
        <x:v>2138</x:v>
      </x:c>
      <x:c r="C2171" s="2" t="str">
        <x:v>85071A</x:v>
      </x:c>
      <x:c r="D2171" s="2" t="str">
        <x:v>BLUE CHARLIE+LOLA PERSONAL DOORSIGN</x:v>
      </x:c>
      <x:c r="E2171" s="11" t="n">
        <x:v>1418.64</x:v>
      </x:c>
      <x:c r="F2171" s="11" t="n">
        <x:v>448.4</x:v>
      </x:c>
      <x:c r="G2171" s="11" t="n">
        <x:v>970.24</x:v>
      </x:c>
      <x:c r="H2171" s="23" t="n">
        <x:v>0.00006908823563017572</x:v>
      </x:c>
      <x:c r="I2171" s="23" t="n">
        <x:v>0.9397594046453058</x:v>
      </x:c>
      <x:c r="J2171" s="2" t="n">
        <x:v>147</x:v>
      </x:c>
      <x:c r="K2171" s="2"/>
      <x:c r="L2171" s="2"/>
    </x:row>
    <x:row r="2172" ht="22" customHeight="1">
      <x:c r="A2172" s="2"/>
      <x:c r="B2172" s="2" t="n">
        <x:v>2139</x:v>
      </x:c>
      <x:c r="C2172" s="2" t="str">
        <x:v>22819</x:v>
      </x:c>
      <x:c r="D2172" s="2" t="str">
        <x:v>BIRTHDAY CARD, RETRO SPOT</x:v>
      </x:c>
      <x:c r="E2172" s="11" t="n">
        <x:v>1418.12</x:v>
      </x:c>
      <x:c r="F2172" s="11" t="n">
        <x:v>0</x:v>
      </x:c>
      <x:c r="G2172" s="11" t="n">
        <x:v>1418.12</x:v>
      </x:c>
      <x:c r="H2172" s="23" t="n">
        <x:v>0.00006906291145876668</x:v>
      </x:c>
      <x:c r="I2172" s="23" t="n">
        <x:v>0.9398284675567646</x:v>
      </x:c>
      <x:c r="J2172" s="2" t="n">
        <x:v>331</x:v>
      </x:c>
      <x:c r="K2172" s="2"/>
      <x:c r="L2172" s="2"/>
    </x:row>
    <x:row r="2173" ht="22" customHeight="1">
      <x:c r="A2173" s="2"/>
      <x:c r="B2173" s="2" t="n">
        <x:v>2140</x:v>
      </x:c>
      <x:c r="C2173" s="2" t="str">
        <x:v>47503A</x:v>
      </x:c>
      <x:c r="D2173" s="2" t="str">
        <x:v>ASS FLORAL PRINT MULTI SCREWDRIVER</x:v>
      </x:c>
      <x:c r="E2173" s="11" t="n">
        <x:v>1416.84</x:v>
      </x:c>
      <x:c r="F2173" s="11" t="n">
        <x:v>25.08</x:v>
      </x:c>
      <x:c r="G2173" s="11" t="n">
        <x:v>1391.76</x:v>
      </x:c>
      <x:c r="H2173" s="23" t="n">
        <x:v>0.00006900057503683679</x:v>
      </x:c>
      <x:c r="I2173" s="23" t="n">
        <x:v>0.9398974681318014</x:v>
      </x:c>
      <x:c r="J2173" s="2" t="n">
        <x:v>195</x:v>
      </x:c>
      <x:c r="K2173" s="2"/>
      <x:c r="L2173" s="2"/>
    </x:row>
    <x:row r="2174" ht="22" customHeight="1">
      <x:c r="A2174" s="2"/>
      <x:c r="B2174" s="2" t="n">
        <x:v>2141</x:v>
      </x:c>
      <x:c r="C2174" s="2" t="str">
        <x:v>21395</x:v>
      </x:c>
      <x:c r="D2174" s="2" t="str">
        <x:v>BLUE POLKADOT BEAKER </x:v>
      </x:c>
      <x:c r="E2174" s="11" t="n">
        <x:v>1415.6399999999999</x:v>
      </x:c>
      <x:c r="F2174" s="11" t="n">
        <x:v>23.4</x:v>
      </x:c>
      <x:c r="G2174" s="11" t="n">
        <x:v>1392.24</x:v>
      </x:c>
      <x:c r="H2174" s="23" t="n">
        <x:v>0.00006894213464127752</x:v>
      </x:c>
      <x:c r="I2174" s="23" t="n">
        <x:v>0.9399664102664427</x:v>
      </x:c>
      <x:c r="J2174" s="2" t="n">
        <x:v>115</x:v>
      </x:c>
      <x:c r="K2174" s="2"/>
      <x:c r="L2174" s="2"/>
    </x:row>
    <x:row r="2175" ht="22" customHeight="1">
      <x:c r="A2175" s="2"/>
      <x:c r="B2175" s="2" t="n">
        <x:v>2142</x:v>
      </x:c>
      <x:c r="C2175" s="2" t="str">
        <x:v>23104</x:v>
      </x:c>
      <x:c r="D2175" s="2" t="str">
        <x:v>IVORY CAFE HANGING LAMP </x:v>
      </x:c>
      <x:c r="E2175" s="11" t="n">
        <x:v>1405.42</x:v>
      </x:c>
      <x:c r="F2175" s="11" t="n">
        <x:v>0</x:v>
      </x:c>
      <x:c r="G2175" s="11" t="n">
        <x:v>1405.42</x:v>
      </x:c>
      <x:c r="H2175" s="23" t="n">
        <x:v>0.00006844441727243103</x:v>
      </x:c>
      <x:c r="I2175" s="23" t="n">
        <x:v>0.9400348546837151</x:v>
      </x:c>
      <x:c r="J2175" s="2" t="n">
        <x:v>46</x:v>
      </x:c>
      <x:c r="K2175" s="2"/>
      <x:c r="L2175" s="2"/>
    </x:row>
    <x:row r="2176" ht="22" customHeight="1">
      <x:c r="A2176" s="2"/>
      <x:c r="B2176" s="2" t="n">
        <x:v>2143</x:v>
      </x:c>
      <x:c r="C2176" s="2" t="str">
        <x:v>21828</x:v>
      </x:c>
      <x:c r="D2176" s="2" t="str">
        <x:v>EIGHT PIECE SNAKE  SET</x:v>
      </x:c>
      <x:c r="E2176" s="11" t="n">
        <x:v>1402.8700000000001</x:v>
      </x:c>
      <x:c r="F2176" s="11" t="n">
        <x:v>0</x:v>
      </x:c>
      <x:c r="G2176" s="11" t="n">
        <x:v>1402.8700000000001</x:v>
      </x:c>
      <x:c r="H2176" s="23" t="n">
        <x:v>0.00006832023143186756</x:v>
      </x:c>
      <x:c r="I2176" s="23" t="n">
        <x:v>0.9401031749151469</x:v>
      </x:c>
      <x:c r="J2176" s="2" t="n">
        <x:v>180</x:v>
      </x:c>
      <x:c r="K2176" s="2"/>
      <x:c r="L2176" s="2"/>
    </x:row>
    <x:row r="2177" ht="22" customHeight="1">
      <x:c r="A2177" s="2"/>
      <x:c r="B2177" s="2" t="n">
        <x:v>2144</x:v>
      </x:c>
      <x:c r="C2177" s="2" t="str">
        <x:v>23119</x:v>
      </x:c>
      <x:c r="D2177" s="2" t="str">
        <x:v>PACK OF 6 LARGE FRUIT STRAWS </x:v>
      </x:c>
      <x:c r="E2177" s="11" t="n">
        <x:v>1402.32</x:v>
      </x:c>
      <x:c r="F2177" s="11" t="n">
        <x:v>22.32</x:v>
      </x:c>
      <x:c r="G2177" s="11" t="n">
        <x:v>1380</x:v>
      </x:c>
      <x:c r="H2177" s="23" t="n">
        <x:v>0.00006829344625056956</x:v>
      </x:c>
      <x:c r="I2177" s="23" t="n">
        <x:v>0.9401714683613975</x:v>
      </x:c>
      <x:c r="J2177" s="2" t="n">
        <x:v>151</x:v>
      </x:c>
      <x:c r="K2177" s="2"/>
      <x:c r="L2177" s="2"/>
    </x:row>
    <x:row r="2178" ht="22" customHeight="1">
      <x:c r="A2178" s="2"/>
      <x:c r="B2178" s="2" t="n">
        <x:v>2145</x:v>
      </x:c>
      <x:c r="C2178" s="2" t="str">
        <x:v>23055</x:v>
      </x:c>
      <x:c r="D2178" s="2" t="str">
        <x:v>rusty thrown away</x:v>
      </x:c>
      <x:c r="E2178" s="11" t="n">
        <x:v>1401.43</x:v>
      </x:c>
      <x:c r="F2178" s="11" t="n">
        <x:v>690.72</x:v>
      </x:c>
      <x:c r="G2178" s="11" t="n">
        <x:v>710.71</x:v>
      </x:c>
      <x:c r="H2178" s="23" t="n">
        <x:v>0.00006825010295719643</x:v>
      </x:c>
      <x:c r="I2178" s="23" t="n">
        <x:v>0.9402397184643547</x:v>
      </x:c>
      <x:c r="J2178" s="2" t="n">
        <x:v>38</x:v>
      </x:c>
      <x:c r="K2178" s="2"/>
      <x:c r="L2178" s="2"/>
    </x:row>
    <x:row r="2179" ht="22" customHeight="1">
      <x:c r="A2179" s="2"/>
      <x:c r="B2179" s="2" t="n">
        <x:v>2146</x:v>
      </x:c>
      <x:c r="C2179" s="2" t="str">
        <x:v>21358</x:v>
      </x:c>
      <x:c r="D2179" s="2" t="str">
        <x:v>TOAST ITS - HAPPY BIRTHDAY</x:v>
      </x:c>
      <x:c r="E2179" s="11" t="n">
        <x:v>1399.96</x:v>
      </x:c>
      <x:c r="F2179" s="11" t="n">
        <x:v>1.25</x:v>
      </x:c>
      <x:c r="G2179" s="11" t="n">
        <x:v>1398.71</x:v>
      </x:c>
      <x:c r="H2179" s="23" t="n">
        <x:v>0.00006817851347263633</x:v>
      </x:c>
      <x:c r="I2179" s="23" t="n">
        <x:v>0.9403078969778274</x:v>
      </x:c>
      <x:c r="J2179" s="2" t="n">
        <x:v>222</x:v>
      </x:c>
      <x:c r="K2179" s="2"/>
      <x:c r="L2179" s="2"/>
    </x:row>
    <x:row r="2180" ht="22" customHeight="1">
      <x:c r="A2180" s="2"/>
      <x:c r="B2180" s="2" t="n">
        <x:v>2147</x:v>
      </x:c>
      <x:c r="C2180" s="2" t="str">
        <x:v>21910</x:v>
      </x:c>
      <x:c r="D2180" s="2" t="str">
        <x:v>WAY OUT METAL SIGN </x:v>
      </x:c>
      <x:c r="E2180" s="11" t="n">
        <x:v>1398.1799999999998</x:v>
      </x:c>
      <x:c r="F2180" s="11" t="n">
        <x:v>0</x:v>
      </x:c>
      <x:c r="G2180" s="11" t="n">
        <x:v>1398.1799999999998</x:v>
      </x:c>
      <x:c r="H2180" s="23" t="n">
        <x:v>0.00006809182688589005</x:v>
      </x:c>
      <x:c r="I2180" s="23" t="n">
        <x:v>0.9403759888047133</x:v>
      </x:c>
      <x:c r="J2180" s="2" t="n">
        <x:v>111</x:v>
      </x:c>
      <x:c r="K2180" s="2"/>
      <x:c r="L2180" s="2"/>
    </x:row>
    <x:row r="2181" ht="22" customHeight="1">
      <x:c r="A2181" s="2"/>
      <x:c r="B2181" s="2" t="n">
        <x:v>2148</x:v>
      </x:c>
      <x:c r="C2181" s="2" t="str">
        <x:v>22756</x:v>
      </x:c>
      <x:c r="D2181" s="2" t="str">
        <x:v>LARGE YELLOW BABUSHKA NOTEBOOK </x:v>
      </x:c>
      <x:c r="E2181" s="11" t="n">
        <x:v>1395.95</x:v>
      </x:c>
      <x:c r="F2181" s="11" t="n">
        <x:v>15</x:v>
      </x:c>
      <x:c r="G2181" s="11" t="n">
        <x:v>1380.95</x:v>
      </x:c>
      <x:c r="H2181" s="23" t="n">
        <x:v>0.00006798322515080908</x:v>
      </x:c>
      <x:c r="I2181" s="23" t="n">
        <x:v>0.9404439720298641</x:v>
      </x:c>
      <x:c r="J2181" s="2" t="n">
        <x:v>215</x:v>
      </x:c>
      <x:c r="K2181" s="2"/>
      <x:c r="L2181" s="2"/>
    </x:row>
    <x:row r="2182" ht="22" customHeight="1">
      <x:c r="A2182" s="2"/>
      <x:c r="B2182" s="2" t="n">
        <x:v>2149</x:v>
      </x:c>
      <x:c r="C2182" s="2" t="str">
        <x:v>22685</x:v>
      </x:c>
      <x:c r="D2182" s="2" t="str">
        <x:v>FRENCH BLUE METAL DOOR SIGN 0</x:v>
      </x:c>
      <x:c r="E2182" s="11" t="n">
        <x:v>1395.84</x:v>
      </x:c>
      <x:c r="F2182" s="11" t="n">
        <x:v>12.5</x:v>
      </x:c>
      <x:c r="G2182" s="11" t="n">
        <x:v>1383.34</x:v>
      </x:c>
      <x:c r="H2182" s="23" t="n">
        <x:v>0.00006797786811454947</x:v>
      </x:c>
      <x:c r="I2182" s="23" t="n">
        <x:v>0.9405119498979786</x:v>
      </x:c>
      <x:c r="J2182" s="2" t="n">
        <x:v>160</x:v>
      </x:c>
      <x:c r="K2182" s="2"/>
      <x:c r="L2182" s="2"/>
    </x:row>
    <x:row r="2183" ht="22" customHeight="1">
      <x:c r="A2183" s="2"/>
      <x:c r="B2183" s="2" t="n">
        <x:v>2150</x:v>
      </x:c>
      <x:c r="C2183" s="2" t="str">
        <x:v>23040</x:v>
      </x:c>
      <x:c r="D2183" s="2" t="str">
        <x:v>PAPER LANTERN 9 POINT SNOW STAR </x:v>
      </x:c>
      <x:c r="E2183" s="11" t="n">
        <x:v>1394.03</x:v>
      </x:c>
      <x:c r="F2183" s="11" t="n">
        <x:v>0</x:v>
      </x:c>
      <x:c r="G2183" s="11" t="n">
        <x:v>1394.03</x:v>
      </x:c>
      <x:c r="H2183" s="23" t="n">
        <x:v>0.00006788972051791423</x:v>
      </x:c>
      <x:c r="I2183" s="23" t="n">
        <x:v>0.9405798396184966</x:v>
      </x:c>
      <x:c r="J2183" s="2" t="n">
        <x:v>41</x:v>
      </x:c>
      <x:c r="K2183" s="2"/>
      <x:c r="L2183" s="2"/>
    </x:row>
    <x:row r="2184" ht="22" customHeight="1">
      <x:c r="A2184" s="2"/>
      <x:c r="B2184" s="2" t="n">
        <x:v>2151</x:v>
      </x:c>
      <x:c r="C2184" s="2" t="str">
        <x:v>47503K</x:v>
      </x:c>
      <x:c r="D2184" s="2" t="str">
        <x:v>ASSORTED FLORAL SECATEURS</x:v>
      </x:c>
      <x:c r="E2184" s="11" t="n">
        <x:v>1393.34</x:v>
      </x:c>
      <x:c r="F2184" s="11" t="n">
        <x:v>4.75</x:v>
      </x:c>
      <x:c r="G2184" s="11" t="n">
        <x:v>1388.59</x:v>
      </x:c>
      <x:c r="H2184" s="23" t="n">
        <x:v>0.00006785611729046764</x:v>
      </x:c>
      <x:c r="I2184" s="23" t="n">
        <x:v>0.940647695735787</x:v>
      </x:c>
      <x:c r="J2184" s="2" t="n">
        <x:v>42</x:v>
      </x:c>
      <x:c r="K2184" s="2"/>
      <x:c r="L2184" s="2"/>
    </x:row>
    <x:row r="2185" ht="22" customHeight="1">
      <x:c r="A2185" s="2"/>
      <x:c r="B2185" s="2" t="n">
        <x:v>2152</x:v>
      </x:c>
      <x:c r="C2185" s="2" t="str">
        <x:v>85087</x:v>
      </x:c>
      <x:c r="D2185" s="2" t="str">
        <x:v>CANDY SPOT CUSHION COVER</x:v>
      </x:c>
      <x:c r="E2185" s="11" t="n">
        <x:v>1392.64</x:v>
      </x:c>
      <x:c r="F2185" s="11" t="n">
        <x:v>5.9</x:v>
      </x:c>
      <x:c r="G2185" s="11" t="n">
        <x:v>1386.74</x:v>
      </x:c>
      <x:c r="H2185" s="23" t="n">
        <x:v>0.00006782202705972474</x:v>
      </x:c>
      <x:c r="I2185" s="23" t="n">
        <x:v>0.9407155177628467</x:v>
      </x:c>
      <x:c r="J2185" s="2" t="n">
        <x:v>146</x:v>
      </x:c>
      <x:c r="K2185" s="2"/>
      <x:c r="L2185" s="2"/>
    </x:row>
    <x:row r="2186" ht="22" customHeight="1">
      <x:c r="A2186" s="2"/>
      <x:c r="B2186" s="2" t="n">
        <x:v>2153</x:v>
      </x:c>
      <x:c r="C2186" s="2" t="str">
        <x:v>22917</x:v>
      </x:c>
      <x:c r="D2186" s="2" t="str">
        <x:v>HERB MARKER ROSEMARY</x:v>
      </x:c>
      <x:c r="E2186" s="11" t="n">
        <x:v>1391.2</x:v>
      </x:c>
      <x:c r="F2186" s="11" t="n">
        <x:v>7.800000000000001</x:v>
      </x:c>
      <x:c r="G2186" s="11" t="n">
        <x:v>1383.4</x:v>
      </x:c>
      <x:c r="H2186" s="23" t="n">
        <x:v>0.00006775189858505361</x:v>
      </x:c>
      <x:c r="I2186" s="23" t="n">
        <x:v>0.9407832696614318</x:v>
      </x:c>
      <x:c r="J2186" s="2" t="n">
        <x:v>252</x:v>
      </x:c>
      <x:c r="K2186" s="2"/>
      <x:c r="L2186" s="2"/>
    </x:row>
    <x:row r="2187" ht="22" customHeight="1">
      <x:c r="A2187" s="2"/>
      <x:c r="B2187" s="2" t="n">
        <x:v>2154</x:v>
      </x:c>
      <x:c r="C2187" s="2" t="str">
        <x:v>85017B</x:v>
      </x:c>
      <x:c r="D2187" s="2" t="str">
        <x:v>ENVELOPE 50 BLOSSOM IMAGES</x:v>
      </x:c>
      <x:c r="E2187" s="11" t="n">
        <x:v>1390.3899999999999</x:v>
      </x:c>
      <x:c r="F2187" s="11" t="n">
        <x:v>10.2</x:v>
      </x:c>
      <x:c r="G2187" s="11" t="n">
        <x:v>1380.1899999999998</x:v>
      </x:c>
      <x:c r="H2187" s="23" t="n">
        <x:v>0.00006771245131805109</x:v>
      </x:c>
      <x:c r="I2187" s="23" t="n">
        <x:v>0.9408509821127499</x:v>
      </x:c>
      <x:c r="J2187" s="2" t="n">
        <x:v>317</x:v>
      </x:c>
      <x:c r="K2187" s="2"/>
      <x:c r="L2187" s="2"/>
    </x:row>
    <x:row r="2188" ht="22" customHeight="1">
      <x:c r="A2188" s="2"/>
      <x:c r="B2188" s="2" t="n">
        <x:v>2155</x:v>
      </x:c>
      <x:c r="C2188" s="2" t="str">
        <x:v>21011</x:v>
      </x:c>
      <x:c r="D2188" s="2" t="str">
        <x:v>GLITTER SNOW PEAR TREE DECORATION</x:v>
      </x:c>
      <x:c r="E2188" s="11" t="n">
        <x:v>1389.75</x:v>
      </x:c>
      <x:c r="F2188" s="11" t="n">
        <x:v>4.35</x:v>
      </x:c>
      <x:c r="G2188" s="11" t="n">
        <x:v>1385.3999999999999</x:v>
      </x:c>
      <x:c r="H2188" s="23" t="n">
        <x:v>0.00006768128310708615</x:v>
      </x:c>
      <x:c r="I2188" s="23" t="n">
        <x:v>0.940918663395857</x:v>
      </x:c>
      <x:c r="J2188" s="2" t="n">
        <x:v>118</x:v>
      </x:c>
      <x:c r="K2188" s="2"/>
      <x:c r="L2188" s="2"/>
    </x:row>
    <x:row r="2189" ht="22" customHeight="1">
      <x:c r="A2189" s="2"/>
      <x:c r="B2189" s="2" t="n">
        <x:v>2156</x:v>
      </x:c>
      <x:c r="C2189" s="2" t="str">
        <x:v>23376</x:v>
      </x:c>
      <x:c r="D2189" s="2" t="str">
        <x:v>PACK OF 12 VINTAGE CHRISTMAS TISSUE</x:v>
      </x:c>
      <x:c r="E2189" s="11" t="n">
        <x:v>1389.59</x:v>
      </x:c>
      <x:c r="F2189" s="11" t="n">
        <x:v>9.36</x:v>
      </x:c>
      <x:c r="G2189" s="11" t="n">
        <x:v>1380.23</x:v>
      </x:c>
      <x:c r="H2189" s="23" t="n">
        <x:v>0.0000676734910543449</x:v>
      </x:c>
      <x:c r="I2189" s="23" t="n">
        <x:v>0.9409863368869112</x:v>
      </x:c>
      <x:c r="J2189" s="2" t="n">
        <x:v>155</x:v>
      </x:c>
      <x:c r="K2189" s="2"/>
      <x:c r="L2189" s="2"/>
    </x:row>
    <x:row r="2190" ht="22" customHeight="1">
      <x:c r="A2190" s="2"/>
      <x:c r="B2190" s="2" t="n">
        <x:v>2157</x:v>
      </x:c>
      <x:c r="C2190" s="2" t="str">
        <x:v>85169A</x:v>
      </x:c>
      <x:c r="D2190" s="2" t="str">
        <x:v>IVORY LOVE BIRD CANDLE</x:v>
      </x:c>
      <x:c r="E2190" s="11" t="n">
        <x:v>1389.57</x:v>
      </x:c>
      <x:c r="F2190" s="11" t="n">
        <x:v>15</x:v>
      </x:c>
      <x:c r="G2190" s="11" t="n">
        <x:v>1374.57</x:v>
      </x:c>
      <x:c r="H2190" s="23" t="n">
        <x:v>0.00006767251704775225</x:v>
      </x:c>
      <x:c r="I2190" s="23" t="n">
        <x:v>0.941054009403959</x:v>
      </x:c>
      <x:c r="J2190" s="2" t="n">
        <x:v>151</x:v>
      </x:c>
      <x:c r="K2190" s="2"/>
      <x:c r="L2190" s="2"/>
    </x:row>
    <x:row r="2191" ht="22" customHeight="1">
      <x:c r="A2191" s="2"/>
      <x:c r="B2191" s="2" t="n">
        <x:v>2158</x:v>
      </x:c>
      <x:c r="C2191" s="2" t="str">
        <x:v>22250</x:v>
      </x:c>
      <x:c r="D2191" s="2" t="str">
        <x:v>DECORATION  BUTTERFLY  MAGIC GARDEN</x:v>
      </x:c>
      <x:c r="E2191" s="11" t="n">
        <x:v>1387.21</x:v>
      </x:c>
      <x:c r="F2191" s="11" t="n">
        <x:v>3.4</x:v>
      </x:c>
      <x:c r="G2191" s="11" t="n">
        <x:v>1383.81</x:v>
      </x:c>
      <x:c r="H2191" s="23" t="n">
        <x:v>0.00006755758426981901</x:v>
      </x:c>
      <x:c r="I2191" s="23" t="n">
        <x:v>0.9411215669882288</x:v>
      </x:c>
      <x:c r="J2191" s="2" t="n">
        <x:v>257</x:v>
      </x:c>
      <x:c r="K2191" s="2"/>
      <x:c r="L2191" s="2"/>
    </x:row>
    <x:row r="2192" ht="22" customHeight="1">
      <x:c r="A2192" s="2"/>
      <x:c r="B2192" s="2" t="n">
        <x:v>2159</x:v>
      </x:c>
      <x:c r="C2192" s="2" t="str">
        <x:v>84562A</x:v>
      </x:c>
      <x:c r="D2192" s="2" t="str">
        <x:v>PINK/WHITE RIBBED MELAMINE JUG</x:v>
      </x:c>
      <x:c r="E2192" s="11" t="n">
        <x:v>1386.21</x:v>
      </x:c>
      <x:c r="F2192" s="11" t="n">
        <x:v>7.95</x:v>
      </x:c>
      <x:c r="G2192" s="11" t="n">
        <x:v>1378.26</x:v>
      </x:c>
      <x:c r="H2192" s="23" t="n">
        <x:v>0.00006750888394018628</x:v>
      </x:c>
      <x:c r="I2192" s="23" t="n">
        <x:v>0.9411890758721689</x:v>
      </x:c>
      <x:c r="J2192" s="2" t="n">
        <x:v>78</x:v>
      </x:c>
      <x:c r="K2192" s="2"/>
      <x:c r="L2192" s="2"/>
    </x:row>
    <x:row r="2193" ht="22" customHeight="1">
      <x:c r="A2193" s="2"/>
      <x:c r="B2193" s="2" t="n">
        <x:v>2160</x:v>
      </x:c>
      <x:c r="C2193" s="2" t="str">
        <x:v>22339</x:v>
      </x:c>
      <x:c r="D2193" s="2" t="str">
        <x:v>CHRISTMAS TREE PAINTED ZINC </x:v>
      </x:c>
      <x:c r="E2193" s="11" t="n">
        <x:v>1386.1100000000001</x:v>
      </x:c>
      <x:c r="F2193" s="11" t="n">
        <x:v>81.93</x:v>
      </x:c>
      <x:c r="G2193" s="11" t="n">
        <x:v>1304.18</x:v>
      </x:c>
      <x:c r="H2193" s="23" t="n">
        <x:v>0.00006750401390722303</x:v>
      </x:c>
      <x:c r="I2193" s="23" t="n">
        <x:v>0.9412565798860761</x:v>
      </x:c>
      <x:c r="J2193" s="2" t="n">
        <x:v>145</x:v>
      </x:c>
      <x:c r="K2193" s="2"/>
      <x:c r="L2193" s="2"/>
    </x:row>
    <x:row r="2194" ht="22" customHeight="1">
      <x:c r="A2194" s="2"/>
      <x:c r="B2194" s="2" t="n">
        <x:v>2161</x:v>
      </x:c>
      <x:c r="C2194" s="2" t="str">
        <x:v>22984</x:v>
      </x:c>
      <x:c r="D2194" s="2" t="str">
        <x:v>CARD GINGHAM ROSE </x:v>
      </x:c>
      <x:c r="E2194" s="11" t="n">
        <x:v>1385.85</x:v>
      </x:c>
      <x:c r="F2194" s="11" t="n">
        <x:v>0</x:v>
      </x:c>
      <x:c r="G2194" s="11" t="n">
        <x:v>1385.85</x:v>
      </x:c>
      <x:c r="H2194" s="23" t="n">
        <x:v>0.0000674913518215185</x:v>
      </x:c>
      <x:c r="I2194" s="23" t="n">
        <x:v>0.9413240712378976</x:v>
      </x:c>
      <x:c r="J2194" s="2" t="n">
        <x:v>214</x:v>
      </x:c>
      <x:c r="K2194" s="2"/>
      <x:c r="L2194" s="2"/>
    </x:row>
    <x:row r="2195" ht="22" customHeight="1">
      <x:c r="A2195" s="2"/>
      <x:c r="B2195" s="2" t="n">
        <x:v>2162</x:v>
      </x:c>
      <x:c r="C2195" s="2" t="str">
        <x:v>90200D</x:v>
      </x:c>
      <x:c r="D2195" s="2" t="str">
        <x:v>PINK SWEETHEART BRACELET</x:v>
      </x:c>
      <x:c r="E2195" s="11" t="n">
        <x:v>1385.01</x:v>
      </x:c>
      <x:c r="F2195" s="11" t="n">
        <x:v>12.75</x:v>
      </x:c>
      <x:c r="G2195" s="11" t="n">
        <x:v>1372.26</x:v>
      </x:c>
      <x:c r="H2195" s="23" t="n">
        <x:v>0.00006745044354462701</x:v>
      </x:c>
      <x:c r="I2195" s="23" t="n">
        <x:v>0.9413915216814422</x:v>
      </x:c>
      <x:c r="J2195" s="2" t="n">
        <x:v>150</x:v>
      </x:c>
      <x:c r="K2195" s="2"/>
      <x:c r="L2195" s="2"/>
    </x:row>
    <x:row r="2196" ht="22" customHeight="1">
      <x:c r="A2196" s="2"/>
      <x:c r="B2196" s="2" t="n">
        <x:v>2163</x:v>
      </x:c>
      <x:c r="C2196" s="2" t="str">
        <x:v>84396</x:v>
      </x:c>
      <x:c r="D2196" s="2" t="str">
        <x:v>6 HOOK JEWELLERY STAND BLACK DRESS</x:v>
      </x:c>
      <x:c r="E2196" s="11" t="n">
        <x:v>1380.52</x:v>
      </x:c>
      <x:c r="F2196" s="11" t="n">
        <x:v>0</x:v>
      </x:c>
      <x:c r="G2196" s="11" t="n">
        <x:v>1380.52</x:v>
      </x:c>
      <x:c r="H2196" s="23" t="n">
        <x:v>0.00006723177906457606</x:v>
      </x:c>
      <x:c r="I2196" s="23" t="n">
        <x:v>0.9414587534605068</x:v>
      </x:c>
      <x:c r="J2196" s="2" t="n">
        <x:v>49</x:v>
      </x:c>
      <x:c r="K2196" s="2"/>
      <x:c r="L2196" s="2"/>
    </x:row>
    <x:row r="2197" ht="22" customHeight="1">
      <x:c r="A2197" s="2"/>
      <x:c r="B2197" s="2" t="n">
        <x:v>2164</x:v>
      </x:c>
      <x:c r="C2197" s="2" t="str">
        <x:v>23414</x:v>
      </x:c>
      <x:c r="D2197" s="2" t="str">
        <x:v>ZINC BOX SIGN HOME</x:v>
      </x:c>
      <x:c r="E2197" s="11" t="n">
        <x:v>1378.75</x:v>
      </x:c>
      <x:c r="F2197" s="11" t="n">
        <x:v>39.8</x:v>
      </x:c>
      <x:c r="G2197" s="11" t="n">
        <x:v>1338.9499999999998</x:v>
      </x:c>
      <x:c r="H2197" s="23" t="n">
        <x:v>0.00006714557948112612</x:v>
      </x:c>
      <x:c r="I2197" s="23" t="n">
        <x:v>0.941525899039988</x:v>
      </x:c>
      <x:c r="J2197" s="2" t="n">
        <x:v>64</x:v>
      </x:c>
      <x:c r="K2197" s="2"/>
      <x:c r="L2197" s="2"/>
    </x:row>
    <x:row r="2198" ht="22" customHeight="1">
      <x:c r="A2198" s="2"/>
      <x:c r="B2198" s="2" t="n">
        <x:v>2165</x:v>
      </x:c>
      <x:c r="C2198" s="2" t="str">
        <x:v>35962</x:v>
      </x:c>
      <x:c r="D2198" s="2" t="str">
        <x:v>SET/12 ZINC CHRISTMAS DECORATIONS</x:v>
      </x:c>
      <x:c r="E2198" s="11" t="n">
        <x:v>1376.98</x:v>
      </x:c>
      <x:c r="F2198" s="11" t="n">
        <x:v>2.1</x:v>
      </x:c>
      <x:c r="G2198" s="11" t="n">
        <x:v>1374.88</x:v>
      </x:c>
      <x:c r="H2198" s="23" t="n">
        <x:v>0.00006705937989767619</x:v>
      </x:c>
      <x:c r="I2198" s="23" t="n">
        <x:v>0.9415929584198857</x:v>
      </x:c>
      <x:c r="J2198" s="2" t="n">
        <x:v>92</x:v>
      </x:c>
      <x:c r="K2198" s="2"/>
      <x:c r="L2198" s="2"/>
    </x:row>
    <x:row r="2199" ht="22" customHeight="1">
      <x:c r="A2199" s="2"/>
      <x:c r="B2199" s="2" t="n">
        <x:v>2166</x:v>
      </x:c>
      <x:c r="C2199" s="2" t="str">
        <x:v>23546</x:v>
      </x:c>
      <x:c r="D2199" s="2" t="str">
        <x:v>WRAP PAISLEY PARK </x:v>
      </x:c>
      <x:c r="E2199" s="11" t="n">
        <x:v>1375.5</x:v>
      </x:c>
      <x:c r="F2199" s="11" t="n">
        <x:v>0</x:v>
      </x:c>
      <x:c r="G2199" s="11" t="n">
        <x:v>1375.5</x:v>
      </x:c>
      <x:c r="H2199" s="23" t="n">
        <x:v>0.00006698730340981976</x:v>
      </x:c>
      <x:c r="I2199" s="23" t="n">
        <x:v>0.9416599457232955</x:v>
      </x:c>
      <x:c r="J2199" s="2" t="n">
        <x:v>120</x:v>
      </x:c>
      <x:c r="K2199" s="2"/>
      <x:c r="L2199" s="2"/>
    </x:row>
    <x:row r="2200" ht="22" customHeight="1">
      <x:c r="A2200" s="2"/>
      <x:c r="B2200" s="2" t="n">
        <x:v>2167</x:v>
      </x:c>
      <x:c r="C2200" s="2" t="str">
        <x:v>21277</x:v>
      </x:c>
      <x:c r="D2200" s="2" t="str">
        <x:v>FRENCH STYLE EMBOSSED HEART CABINET</x:v>
      </x:c>
      <x:c r="E2200" s="11" t="n">
        <x:v>1375.24</x:v>
      </x:c>
      <x:c r="F2200" s="11" t="n">
        <x:v>87.8</x:v>
      </x:c>
      <x:c r="G2200" s="11" t="n">
        <x:v>1287.44</x:v>
      </x:c>
      <x:c r="H2200" s="23" t="n">
        <x:v>0.00006697464132411525</x:v>
      </x:c>
      <x:c r="I2200" s="23" t="n">
        <x:v>0.9417269203646196</x:v>
      </x:c>
      <x:c r="J2200" s="2" t="n">
        <x:v>48</x:v>
      </x:c>
      <x:c r="K2200" s="2"/>
      <x:c r="L2200" s="2"/>
    </x:row>
    <x:row r="2201" ht="22" customHeight="1">
      <x:c r="A2201" s="2"/>
      <x:c r="B2201" s="2" t="n">
        <x:v>2168</x:v>
      </x:c>
      <x:c r="C2201" s="2" t="str">
        <x:v>20866</x:v>
      </x:c>
      <x:c r="D2201" s="2" t="str">
        <x:v>BLUE ROSE FABRIC MIRROR</x:v>
      </x:c>
      <x:c r="E2201" s="11" t="n">
        <x:v>1372.66</x:v>
      </x:c>
      <x:c r="F2201" s="11" t="n">
        <x:v>127.2</x:v>
      </x:c>
      <x:c r="G2201" s="11" t="n">
        <x:v>1245.46</x:v>
      </x:c>
      <x:c r="H2201" s="23" t="n">
        <x:v>0.0000668489944736628</x:v>
      </x:c>
      <x:c r="I2201" s="23" t="n">
        <x:v>0.9417937693590932</x:v>
      </x:c>
      <x:c r="J2201" s="2" t="n">
        <x:v>191</x:v>
      </x:c>
      <x:c r="K2201" s="2"/>
      <x:c r="L2201" s="2"/>
    </x:row>
    <x:row r="2202" ht="22" customHeight="1">
      <x:c r="A2202" s="2"/>
      <x:c r="B2202" s="2" t="n">
        <x:v>2169</x:v>
      </x:c>
      <x:c r="C2202" s="2" t="str">
        <x:v>84819</x:v>
      </x:c>
      <x:c r="D2202" s="2" t="str">
        <x:v>DANISH ROSE ROUND SEWING BOX</x:v>
      </x:c>
      <x:c r="E2202" s="11" t="n">
        <x:v>1372.51</x:v>
      </x:c>
      <x:c r="F2202" s="11" t="n">
        <x:v>17</x:v>
      </x:c>
      <x:c r="G2202" s="11" t="n">
        <x:v>1355.51</x:v>
      </x:c>
      <x:c r="H2202" s="23" t="n">
        <x:v>0.00006684168942421789</x:v>
      </x:c>
      <x:c r="I2202" s="23" t="n">
        <x:v>0.9418606110485174</x:v>
      </x:c>
      <x:c r="J2202" s="2" t="n">
        <x:v>95</x:v>
      </x:c>
      <x:c r="K2202" s="2"/>
      <x:c r="L2202" s="2"/>
    </x:row>
    <x:row r="2203" ht="22" customHeight="1">
      <x:c r="A2203" s="2"/>
      <x:c r="B2203" s="2" t="n">
        <x:v>2170</x:v>
      </x:c>
      <x:c r="C2203" s="2" t="str">
        <x:v>20704</x:v>
      </x:c>
      <x:c r="D2203" s="2" t="str">
        <x:v>MR ROBOT SOFT TOY</x:v>
      </x:c>
      <x:c r="E2203" s="11" t="n">
        <x:v>1371.42</x:v>
      </x:c>
      <x:c r="F2203" s="11" t="n">
        <x:v>27.8</x:v>
      </x:c>
      <x:c r="G2203" s="11" t="n">
        <x:v>1343.6200000000001</x:v>
      </x:c>
      <x:c r="H2203" s="23" t="n">
        <x:v>0.00006678860606491822</x:v>
      </x:c>
      <x:c r="I2203" s="23" t="n">
        <x:v>0.9419273996545823</x:v>
      </x:c>
      <x:c r="J2203" s="2" t="n">
        <x:v>80</x:v>
      </x:c>
      <x:c r="K2203" s="2"/>
      <x:c r="L2203" s="2"/>
    </x:row>
    <x:row r="2204" ht="22" customHeight="1">
      <x:c r="A2204" s="2"/>
      <x:c r="B2204" s="2" t="n">
        <x:v>2171</x:v>
      </x:c>
      <x:c r="C2204" s="2" t="str">
        <x:v>21530</x:v>
      </x:c>
      <x:c r="D2204" s="2" t="str">
        <x:v>DAIRY MAID TOASTRACK</x:v>
      </x:c>
      <x:c r="E2204" s="11" t="n">
        <x:v>1370.41</x:v>
      </x:c>
      <x:c r="F2204" s="11" t="n">
        <x:v>57.040000000000006</x:v>
      </x:c>
      <x:c r="G2204" s="11" t="n">
        <x:v>1313.3700000000001</x:v>
      </x:c>
      <x:c r="H2204" s="23" t="n">
        <x:v>0.00006673941873198916</x:v>
      </x:c>
      <x:c r="I2204" s="23" t="n">
        <x:v>0.9419941390733143</x:v>
      </x:c>
      <x:c r="J2204" s="2" t="n">
        <x:v>162</x:v>
      </x:c>
      <x:c r="K2204" s="2"/>
      <x:c r="L2204" s="2"/>
    </x:row>
    <x:row r="2205" ht="22" customHeight="1">
      <x:c r="A2205" s="2"/>
      <x:c r="B2205" s="2" t="n">
        <x:v>2172</x:v>
      </x:c>
      <x:c r="C2205" s="2" t="str">
        <x:v>84685</x:v>
      </x:c>
      <x:c r="D2205" s="2" t="str">
        <x:v>BEACH HUT KEY CABINET</x:v>
      </x:c>
      <x:c r="E2205" s="11" t="n">
        <x:v>1369.92</x:v>
      </x:c>
      <x:c r="F2205" s="11" t="n">
        <x:v>8.75</x:v>
      </x:c>
      <x:c r="G2205" s="11" t="n">
        <x:v>1361.17</x:v>
      </x:c>
      <x:c r="H2205" s="23" t="n">
        <x:v>0.00006671555557046912</x:v>
      </x:c>
      <x:c r="I2205" s="23" t="n">
        <x:v>0.9420608546288848</x:v>
      </x:c>
      <x:c r="J2205" s="2" t="n">
        <x:v>125</x:v>
      </x:c>
      <x:c r="K2205" s="2"/>
      <x:c r="L2205" s="2"/>
    </x:row>
    <x:row r="2206" ht="22" customHeight="1">
      <x:c r="A2206" s="2"/>
      <x:c r="B2206" s="2" t="n">
        <x:v>2173</x:v>
      </x:c>
      <x:c r="C2206" s="2" t="str">
        <x:v>46776B</x:v>
      </x:c>
      <x:c r="D2206" s="2" t="str">
        <x:v>WOVEN BERRIES CUSHION COVER </x:v>
      </x:c>
      <x:c r="E2206" s="11" t="n">
        <x:v>1369.23</x:v>
      </x:c>
      <x:c r="F2206" s="11" t="n">
        <x:v>0</x:v>
      </x:c>
      <x:c r="G2206" s="11" t="n">
        <x:v>1369.23</x:v>
      </x:c>
      <x:c r="H2206" s="23" t="n">
        <x:v>0.00006668195234302254</x:v>
      </x:c>
      <x:c r="I2206" s="23" t="n">
        <x:v>0.9421275365812278</x:v>
      </x:c>
      <x:c r="J2206" s="2" t="n">
        <x:v>153</x:v>
      </x:c>
      <x:c r="K2206" s="2"/>
      <x:c r="L2206" s="2"/>
    </x:row>
    <x:row r="2207" ht="22" customHeight="1">
      <x:c r="A2207" s="2"/>
      <x:c r="B2207" s="2" t="n">
        <x:v>2174</x:v>
      </x:c>
      <x:c r="C2207" s="2" t="str">
        <x:v>23000</x:v>
      </x:c>
      <x:c r="D2207" s="2" t="str">
        <x:v>TRAVEL CARD WALLET TRANSPORT</x:v>
      </x:c>
      <x:c r="E2207" s="11" t="n">
        <x:v>1369.12</x:v>
      </x:c>
      <x:c r="F2207" s="11" t="n">
        <x:v>16.38</x:v>
      </x:c>
      <x:c r="G2207" s="11" t="n">
        <x:v>1352.74</x:v>
      </x:c>
      <x:c r="H2207" s="23" t="n">
        <x:v>0.00006667659530676293</x:v>
      </x:c>
      <x:c r="I2207" s="23" t="n">
        <x:v>0.9421942131765346</x:v>
      </x:c>
      <x:c r="J2207" s="2" t="n">
        <x:v>278</x:v>
      </x:c>
      <x:c r="K2207" s="2"/>
      <x:c r="L2207" s="2"/>
    </x:row>
    <x:row r="2208" ht="22" customHeight="1">
      <x:c r="A2208" s="2"/>
      <x:c r="B2208" s="2" t="n">
        <x:v>2175</x:v>
      </x:c>
      <x:c r="C2208" s="2" t="str">
        <x:v>21209</x:v>
      </x:c>
      <x:c r="D2208" s="2" t="str">
        <x:v>MULTICOLOUR HONEYCOMB FAN</x:v>
      </x:c>
      <x:c r="E2208" s="11" t="n">
        <x:v>1368.04</x:v>
      </x:c>
      <x:c r="F2208" s="11" t="n">
        <x:v>38.029999999999994</x:v>
      </x:c>
      <x:c r="G2208" s="11" t="n">
        <x:v>1330.01</x:v>
      </x:c>
      <x:c r="H2208" s="23" t="n">
        <x:v>0.00006662399895075958</x:v>
      </x:c>
      <x:c r="I2208" s="23" t="n">
        <x:v>0.9422608371754854</x:v>
      </x:c>
      <x:c r="J2208" s="2" t="n">
        <x:v>137</x:v>
      </x:c>
      <x:c r="K2208" s="2"/>
      <x:c r="L2208" s="2"/>
    </x:row>
    <x:row r="2209" ht="22" customHeight="1">
      <x:c r="A2209" s="2"/>
      <x:c r="B2209" s="2" t="n">
        <x:v>2176</x:v>
      </x:c>
      <x:c r="C2209" s="2" t="str">
        <x:v>21684</x:v>
      </x:c>
      <x:c r="D2209" s="2" t="str">
        <x:v>SMALL MEDINA STAMPED METAL BOWL </x:v>
      </x:c>
      <x:c r="E2209" s="11" t="n">
        <x:v>1367.81</x:v>
      </x:c>
      <x:c r="F2209" s="11" t="n">
        <x:v>11.049999999999999</x:v>
      </x:c>
      <x:c r="G2209" s="11" t="n">
        <x:v>1356.76</x:v>
      </x:c>
      <x:c r="H2209" s="23" t="n">
        <x:v>0.00006661279787494406</x:v>
      </x:c>
      <x:c r="I2209" s="23" t="n">
        <x:v>0.9423274499733603</x:v>
      </x:c>
      <x:c r="J2209" s="2" t="n">
        <x:v>104</x:v>
      </x:c>
      <x:c r="K2209" s="2"/>
      <x:c r="L2209" s="2"/>
    </x:row>
    <x:row r="2210" ht="22" customHeight="1">
      <x:c r="A2210" s="2"/>
      <x:c r="B2210" s="2" t="n">
        <x:v>2177</x:v>
      </x:c>
      <x:c r="C2210" s="2" t="str">
        <x:v>35599D</x:v>
      </x:c>
      <x:c r="D2210" s="2" t="str">
        <x:v>PINK AND WHITE CHRISTMAS TREE 120CM</x:v>
      </x:c>
      <x:c r="E2210" s="11" t="n">
        <x:v>1366.48</x:v>
      </x:c>
      <x:c r="F2210" s="11" t="n">
        <x:v>17.700000000000003</x:v>
      </x:c>
      <x:c r="G2210" s="11" t="n">
        <x:v>1348.78</x:v>
      </x:c>
      <x:c r="H2210" s="23" t="n">
        <x:v>0.00006654802643653253</x:v>
      </x:c>
      <x:c r="I2210" s="23" t="n">
        <x:v>0.9423939979997968</x:v>
      </x:c>
      <x:c r="J2210" s="2" t="n">
        <x:v>103</x:v>
      </x:c>
      <x:c r="K2210" s="2"/>
      <x:c r="L2210" s="2"/>
    </x:row>
    <x:row r="2211" ht="22" customHeight="1">
      <x:c r="A2211" s="2"/>
      <x:c r="B2211" s="2" t="n">
        <x:v>2178</x:v>
      </x:c>
      <x:c r="C2211" s="2" t="str">
        <x:v>22916</x:v>
      </x:c>
      <x:c r="D2211" s="2" t="str">
        <x:v>HERB MARKER THYME</x:v>
      </x:c>
      <x:c r="E2211" s="11" t="n">
        <x:v>1365.3300000000002</x:v>
      </x:c>
      <x:c r="F2211" s="11" t="n">
        <x:v>7.800000000000001</x:v>
      </x:c>
      <x:c r="G2211" s="11" t="n">
        <x:v>1357.53</x:v>
      </x:c>
      <x:c r="H2211" s="23" t="n">
        <x:v>0.00006649202105745489</x:v>
      </x:c>
      <x:c r="I2211" s="23" t="n">
        <x:v>0.9424604900208543</x:v>
      </x:c>
      <x:c r="J2211" s="2" t="n">
        <x:v>249</x:v>
      </x:c>
      <x:c r="K2211" s="2"/>
      <x:c r="L2211" s="2"/>
    </x:row>
    <x:row r="2212" ht="22" customHeight="1">
      <x:c r="A2212" s="2"/>
      <x:c r="B2212" s="2" t="n">
        <x:v>2179</x:v>
      </x:c>
      <x:c r="C2212" s="2" t="str">
        <x:v>84665</x:v>
      </x:c>
      <x:c r="D2212" s="2" t="str">
        <x:v>SQUARE CHERRY BLOSSOM CABINET</x:v>
      </x:c>
      <x:c r="E2212" s="11" t="n">
        <x:v>1364.7</x:v>
      </x:c>
      <x:c r="F2212" s="11" t="n">
        <x:v>154.70000000000002</x:v>
      </x:c>
      <x:c r="G2212" s="11" t="n">
        <x:v>1210</x:v>
      </x:c>
      <x:c r="H2212" s="23" t="n">
        <x:v>0.00006646133984978627</x:v>
      </x:c>
      <x:c r="I2212" s="23" t="n">
        <x:v>0.9425269513607041</x:v>
      </x:c>
      <x:c r="J2212" s="2" t="n">
        <x:v>47</x:v>
      </x:c>
      <x:c r="K2212" s="2"/>
      <x:c r="L2212" s="2"/>
    </x:row>
    <x:row r="2213" ht="22" customHeight="1">
      <x:c r="A2213" s="2"/>
      <x:c r="B2213" s="2" t="n">
        <x:v>2180</x:v>
      </x:c>
      <x:c r="C2213" s="2" t="str">
        <x:v>23221</x:v>
      </x:c>
      <x:c r="D2213" s="2" t="str">
        <x:v>REINDEER HEART DECORATION SILVER</x:v>
      </x:c>
      <x:c r="E2213" s="11" t="n">
        <x:v>1363.87</x:v>
      </x:c>
      <x:c r="F2213" s="11" t="n">
        <x:v>48.13999999999999</x:v>
      </x:c>
      <x:c r="G2213" s="11" t="n">
        <x:v>1315.7299999999998</x:v>
      </x:c>
      <x:c r="H2213" s="23" t="n">
        <x:v>0.0000664209185761911</x:v>
      </x:c>
      <x:c r="I2213" s="23" t="n">
        <x:v>0.9425933722792803</x:v>
      </x:c>
      <x:c r="J2213" s="2" t="n">
        <x:v>145</x:v>
      </x:c>
      <x:c r="K2213" s="2"/>
      <x:c r="L2213" s="2"/>
    </x:row>
    <x:row r="2214" ht="22" customHeight="1">
      <x:c r="A2214" s="2"/>
      <x:c r="B2214" s="2" t="n">
        <x:v>2181</x:v>
      </x:c>
      <x:c r="C2214" s="2" t="str">
        <x:v>35649</x:v>
      </x:c>
      <x:c r="D2214" s="2" t="str">
        <x:v>VINTAGE BEAD COSMETIC BAG </x:v>
      </x:c>
      <x:c r="E2214" s="11" t="n">
        <x:v>1362.8999999999999</x:v>
      </x:c>
      <x:c r="F2214" s="11" t="n">
        <x:v>0</x:v>
      </x:c>
      <x:c r="G2214" s="11" t="n">
        <x:v>1362.8999999999999</x:v>
      </x:c>
      <x:c r="H2214" s="23" t="n">
        <x:v>0.00006637367925644735</x:v>
      </x:c>
      <x:c r="I2214" s="23" t="n">
        <x:v>0.9426597459585367</x:v>
      </x:c>
      <x:c r="J2214" s="2" t="n">
        <x:v>53</x:v>
      </x:c>
      <x:c r="K2214" s="2"/>
      <x:c r="L2214" s="2"/>
    </x:row>
    <x:row r="2215" ht="22" customHeight="1">
      <x:c r="A2215" s="2"/>
      <x:c r="B2215" s="2" t="n">
        <x:v>2182</x:v>
      </x:c>
      <x:c r="C2215" s="2" t="str">
        <x:v>21285</x:v>
      </x:c>
      <x:c r="D2215" s="2" t="str">
        <x:v>RETROSPOT CANDLE  MEDIUM</x:v>
      </x:c>
      <x:c r="E2215" s="11" t="n">
        <x:v>1362.6200000000001</x:v>
      </x:c>
      <x:c r="F2215" s="11" t="n">
        <x:v>66</x:v>
      </x:c>
      <x:c r="G2215" s="11" t="n">
        <x:v>1296.6200000000001</x:v>
      </x:c>
      <x:c r="H2215" s="23" t="n">
        <x:v>0.0000663600431641502</x:v>
      </x:c>
      <x:c r="I2215" s="23" t="n">
        <x:v>0.9427261060017009</x:v>
      </x:c>
      <x:c r="J2215" s="2" t="n">
        <x:v>99</x:v>
      </x:c>
      <x:c r="K2215" s="2"/>
      <x:c r="L2215" s="2"/>
    </x:row>
    <x:row r="2216" ht="22" customHeight="1">
      <x:c r="A2216" s="2"/>
      <x:c r="B2216" s="2" t="n">
        <x:v>2183</x:v>
      </x:c>
      <x:c r="C2216" s="2" t="str">
        <x:v>22269</x:v>
      </x:c>
      <x:c r="D2216" s="2" t="str">
        <x:v>EGG CUP NATURAL CHICKEN</x:v>
      </x:c>
      <x:c r="E2216" s="11" t="n">
        <x:v>1360.2</x:v>
      </x:c>
      <x:c r="F2216" s="11" t="n">
        <x:v>31.25</x:v>
      </x:c>
      <x:c r="G2216" s="11" t="n">
        <x:v>1328.95</x:v>
      </x:c>
      <x:c r="H2216" s="23" t="n">
        <x:v>0.00006624218836643899</x:v>
      </x:c>
      <x:c r="I2216" s="23" t="n">
        <x:v>0.9427923481900674</x:v>
      </x:c>
      <x:c r="J2216" s="2" t="n">
        <x:v>204</x:v>
      </x:c>
      <x:c r="K2216" s="2"/>
      <x:c r="L2216" s="2"/>
    </x:row>
    <x:row r="2217" ht="22" customHeight="1">
      <x:c r="A2217" s="2"/>
      <x:c r="B2217" s="2" t="n">
        <x:v>2184</x:v>
      </x:c>
      <x:c r="C2217" s="2" t="str">
        <x:v>84965B</x:v>
      </x:c>
      <x:c r="D2217" s="2" t="str">
        <x:v>BLUE KASHMIRI COFFEE TABLE </x:v>
      </x:c>
      <x:c r="E2217" s="11" t="n">
        <x:v>1359.95</x:v>
      </x:c>
      <x:c r="F2217" s="11" t="n">
        <x:v>0</x:v>
      </x:c>
      <x:c r="G2217" s="11" t="n">
        <x:v>1359.95</x:v>
      </x:c>
      <x:c r="H2217" s="23" t="n">
        <x:v>0.00006623001328403081</x:v>
      </x:c>
      <x:c r="I2217" s="23" t="n">
        <x:v>0.9428585782033514</x:v>
      </x:c>
      <x:c r="J2217" s="2" t="n">
        <x:v>4</x:v>
      </x:c>
      <x:c r="K2217" s="2"/>
      <x:c r="L2217" s="2"/>
    </x:row>
    <x:row r="2218" ht="22" customHeight="1">
      <x:c r="A2218" s="2"/>
      <x:c r="B2218" s="2" t="n">
        <x:v>2185</x:v>
      </x:c>
      <x:c r="C2218" s="2" t="str">
        <x:v>85141</x:v>
      </x:c>
      <x:c r="D2218" s="2" t="str">
        <x:v>JARDIN ETCHED GLASS FRUITBOWL</x:v>
      </x:c>
      <x:c r="E2218" s="11" t="n">
        <x:v>1355.99</x:v>
      </x:c>
      <x:c r="F2218" s="11" t="n">
        <x:v>62.05</x:v>
      </x:c>
      <x:c r="G2218" s="11" t="n">
        <x:v>1293.94</x:v>
      </x:c>
      <x:c r="H2218" s="23" t="n">
        <x:v>0.0000660371599786852</x:v>
      </x:c>
      <x:c r="I2218" s="23" t="n">
        <x:v>0.94292461536333</x:v>
      </x:c>
      <x:c r="J2218" s="2" t="n">
        <x:v>71</x:v>
      </x:c>
      <x:c r="K2218" s="2"/>
      <x:c r="L2218" s="2"/>
    </x:row>
    <x:row r="2219" ht="22" customHeight="1">
      <x:c r="A2219" s="2"/>
      <x:c r="B2219" s="2" t="n">
        <x:v>2186</x:v>
      </x:c>
      <x:c r="C2219" s="2" t="str">
        <x:v>23469</x:v>
      </x:c>
      <x:c r="D2219" s="2" t="str">
        <x:v>CARD HOLDER LOVE BIRD SMALL</x:v>
      </x:c>
      <x:c r="E2219" s="11" t="n">
        <x:v>1355.24</x:v>
      </x:c>
      <x:c r="F2219" s="11" t="n">
        <x:v>16.6</x:v>
      </x:c>
      <x:c r="G2219" s="11" t="n">
        <x:v>1338.64</x:v>
      </x:c>
      <x:c r="H2219" s="23" t="n">
        <x:v>0.00006600063473146065</x:v>
      </x:c>
      <x:c r="I2219" s="23" t="n">
        <x:v>0.9429906159980616</x:v>
      </x:c>
      <x:c r="J2219" s="2" t="n">
        <x:v>72</x:v>
      </x:c>
      <x:c r="K2219" s="2"/>
      <x:c r="L2219" s="2"/>
    </x:row>
    <x:row r="2220" ht="22" customHeight="1">
      <x:c r="A2220" s="2"/>
      <x:c r="B2220" s="2" t="n">
        <x:v>2187</x:v>
      </x:c>
      <x:c r="C2220" s="2" t="str">
        <x:v>23061</x:v>
      </x:c>
      <x:c r="D2220" s="2" t="str">
        <x:v>VINTAGE EMBOSSED HEART</x:v>
      </x:c>
      <x:c r="E2220" s="11" t="n">
        <x:v>1355.18</x:v>
      </x:c>
      <x:c r="F2220" s="11" t="n">
        <x:v>3.75</x:v>
      </x:c>
      <x:c r="G2220" s="11" t="n">
        <x:v>1351.43</x:v>
      </x:c>
      <x:c r="H2220" s="23" t="n">
        <x:v>0.00006599771271168269</x:v>
      </x:c>
      <x:c r="I2220" s="23" t="n">
        <x:v>0.9430566137107732</x:v>
      </x:c>
      <x:c r="J2220" s="2" t="n">
        <x:v>117</x:v>
      </x:c>
      <x:c r="K2220" s="2"/>
      <x:c r="L2220" s="2"/>
    </x:row>
    <x:row r="2221" ht="22" customHeight="1">
      <x:c r="A2221" s="2"/>
      <x:c r="B2221" s="2" t="n">
        <x:v>2188</x:v>
      </x:c>
      <x:c r="C2221" s="2" t="str">
        <x:v>22050</x:v>
      </x:c>
      <x:c r="D2221" s="2" t="str">
        <x:v>PINK PAISLEY ROSE GIFT WRAP</x:v>
      </x:c>
      <x:c r="E2221" s="11" t="n">
        <x:v>1354</x:v>
      </x:c>
      <x:c r="F2221" s="11" t="n">
        <x:v>21</x:v>
      </x:c>
      <x:c r="G2221" s="11" t="n">
        <x:v>1333</x:v>
      </x:c>
      <x:c r="H2221" s="23" t="n">
        <x:v>0.00006594024632271606</x:v>
      </x:c>
      <x:c r="I2221" s="23" t="n">
        <x:v>0.9431225539570959</x:v>
      </x:c>
      <x:c r="J2221" s="2" t="n">
        <x:v>115</x:v>
      </x:c>
      <x:c r="K2221" s="2"/>
      <x:c r="L2221" s="2"/>
    </x:row>
    <x:row r="2222" ht="22" customHeight="1">
      <x:c r="A2222" s="2"/>
      <x:c r="B2222" s="2" t="n">
        <x:v>2189</x:v>
      </x:c>
      <x:c r="C2222" s="2" t="str">
        <x:v>84466</x:v>
      </x:c>
      <x:c r="D2222" s="2" t="str">
        <x:v>TOP SECRET PEN SET</x:v>
      </x:c>
      <x:c r="E2222" s="11" t="n">
        <x:v>1352.11</x:v>
      </x:c>
      <x:c r="F2222" s="11" t="n">
        <x:v>391.85</x:v>
      </x:c>
      <x:c r="G2222" s="11" t="n">
        <x:v>960.26</x:v>
      </x:c>
      <x:c r="H2222" s="23" t="n">
        <x:v>0.0000658482026997102</x:v>
      </x:c>
      <x:c r="I2222" s="23" t="n">
        <x:v>0.9431884021597956</x:v>
      </x:c>
      <x:c r="J2222" s="2" t="n">
        <x:v>73</x:v>
      </x:c>
      <x:c r="K2222" s="2"/>
      <x:c r="L2222" s="2"/>
    </x:row>
    <x:row r="2223" ht="22" customHeight="1">
      <x:c r="A2223" s="2"/>
      <x:c r="B2223" s="2" t="n">
        <x:v>2190</x:v>
      </x:c>
      <x:c r="C2223" s="2" t="str">
        <x:v>17129D</x:v>
      </x:c>
      <x:c r="D2223" s="2" t="str">
        <x:v>CLEAR COLOUR GLASS GEMS IN BAG</x:v>
      </x:c>
      <x:c r="E2223" s="11" t="n">
        <x:v>1351.1799999999998</x:v>
      </x:c>
      <x:c r="F2223" s="11" t="n">
        <x:v>0</x:v>
      </x:c>
      <x:c r="G2223" s="11" t="n">
        <x:v>1351.1799999999998</x:v>
      </x:c>
      <x:c r="H2223" s="23" t="n">
        <x:v>0.00006580291139315176</x:v>
      </x:c>
      <x:c r="I2223" s="23" t="n">
        <x:v>0.9432542050711887</x:v>
      </x:c>
      <x:c r="J2223" s="2" t="n">
        <x:v>39</x:v>
      </x:c>
      <x:c r="K2223" s="2"/>
      <x:c r="L2223" s="2"/>
    </x:row>
    <x:row r="2224" ht="22" customHeight="1">
      <x:c r="A2224" s="2"/>
      <x:c r="B2224" s="2" t="n">
        <x:v>2191</x:v>
      </x:c>
      <x:c r="C2224" s="2" t="str">
        <x:v>21059</x:v>
      </x:c>
      <x:c r="D2224" s="2" t="str">
        <x:v>PARTY INVITES DINOSAURS</x:v>
      </x:c>
      <x:c r="E2224" s="11" t="n">
        <x:v>1349.4099999999999</x:v>
      </x:c>
      <x:c r="F2224" s="11" t="n">
        <x:v>20.4</x:v>
      </x:c>
      <x:c r="G2224" s="11" t="n">
        <x:v>1329.01</x:v>
      </x:c>
      <x:c r="H2224" s="23" t="n">
        <x:v>0.00006571671180970183</x:v>
      </x:c>
      <x:c r="I2224" s="23" t="n">
        <x:v>0.9433199217829984</x:v>
      </x:c>
      <x:c r="J2224" s="2" t="n">
        <x:v>221</x:v>
      </x:c>
      <x:c r="K2224" s="2"/>
      <x:c r="L2224" s="2"/>
    </x:row>
    <x:row r="2225" ht="22" customHeight="1">
      <x:c r="A2225" s="2"/>
      <x:c r="B2225" s="2" t="n">
        <x:v>2192</x:v>
      </x:c>
      <x:c r="C2225" s="2" t="str">
        <x:v>21738</x:v>
      </x:c>
      <x:c r="D2225" s="2" t="str">
        <x:v>COSY SLIPPER SHOES SMALL  RED </x:v>
      </x:c>
      <x:c r="E2225" s="11" t="n">
        <x:v>1346.23</x:v>
      </x:c>
      <x:c r="F2225" s="11" t="n">
        <x:v>14.75</x:v>
      </x:c>
      <x:c r="G2225" s="11" t="n">
        <x:v>1331.48</x:v>
      </x:c>
      <x:c r="H2225" s="23" t="n">
        <x:v>0.00006556184476146975</x:v>
      </x:c>
      <x:c r="I2225" s="23" t="n">
        <x:v>0.9433854836277599</x:v>
      </x:c>
      <x:c r="J2225" s="2" t="n">
        <x:v>131</x:v>
      </x:c>
      <x:c r="K2225" s="2"/>
      <x:c r="L2225" s="2"/>
    </x:row>
    <x:row r="2226" ht="22" customHeight="1">
      <x:c r="A2226" s="2"/>
      <x:c r="B2226" s="2" t="n">
        <x:v>2193</x:v>
      </x:c>
      <x:c r="C2226" s="2" t="str">
        <x:v>22684</x:v>
      </x:c>
      <x:c r="D2226" s="2" t="str">
        <x:v>FRENCH BLUE METAL DOOR SIGN 9</x:v>
      </x:c>
      <x:c r="E2226" s="11" t="n">
        <x:v>1344.94</x:v>
      </x:c>
      <x:c r="F2226" s="11" t="n">
        <x:v>16.25</x:v>
      </x:c>
      <x:c r="G2226" s="11" t="n">
        <x:v>1328.69</x:v>
      </x:c>
      <x:c r="H2226" s="23" t="n">
        <x:v>0.00006549902133624353</x:v>
      </x:c>
      <x:c r="I2226" s="23" t="n">
        <x:v>0.9434509826490961</x:v>
      </x:c>
      <x:c r="J2226" s="2" t="n">
        <x:v>162</x:v>
      </x:c>
      <x:c r="K2226" s="2"/>
      <x:c r="L2226" s="2"/>
    </x:row>
    <x:row r="2227" ht="22" customHeight="1">
      <x:c r="A2227" s="2"/>
      <x:c r="B2227" s="2" t="n">
        <x:v>2194</x:v>
      </x:c>
      <x:c r="C2227" s="2" t="str">
        <x:v>20780</x:v>
      </x:c>
      <x:c r="D2227" s="2" t="str">
        <x:v>BLACK EAR MUFF HEADPHONES</x:v>
      </x:c>
      <x:c r="E2227" s="11" t="n">
        <x:v>1344.94</x:v>
      </x:c>
      <x:c r="F2227" s="11" t="n">
        <x:v>5.49</x:v>
      </x:c>
      <x:c r="G2227" s="11" t="n">
        <x:v>1339.45</x:v>
      </x:c>
      <x:c r="H2227" s="23" t="n">
        <x:v>0.00006549902133624353</x:v>
      </x:c>
      <x:c r="I2227" s="23" t="n">
        <x:v>0.9435164816704323</x:v>
      </x:c>
      <x:c r="J2227" s="2" t="n">
        <x:v>98</x:v>
      </x:c>
      <x:c r="K2227" s="2"/>
      <x:c r="L2227" s="2"/>
    </x:row>
    <x:row r="2228" ht="22" customHeight="1">
      <x:c r="A2228" s="2"/>
      <x:c r="B2228" s="2" t="n">
        <x:v>2195</x:v>
      </x:c>
      <x:c r="C2228" s="2" t="str">
        <x:v>20762</x:v>
      </x:c>
      <x:c r="D2228" s="2" t="str">
        <x:v>GREEN FERN SKETCHBOOK </x:v>
      </x:c>
      <x:c r="E2228" s="11" t="n">
        <x:v>1343.79</x:v>
      </x:c>
      <x:c r="F2228" s="11" t="n">
        <x:v>15</x:v>
      </x:c>
      <x:c r="G2228" s="11" t="n">
        <x:v>1328.79</x:v>
      </x:c>
      <x:c r="H2228" s="23" t="n">
        <x:v>0.00006544301595716589</x:v>
      </x:c>
      <x:c r="I2228" s="23" t="n">
        <x:v>0.9435819246863895</x:v>
      </x:c>
      <x:c r="J2228" s="2" t="n">
        <x:v>136</x:v>
      </x:c>
      <x:c r="K2228" s="2"/>
      <x:c r="L2228" s="2"/>
    </x:row>
    <x:row r="2229" ht="22" customHeight="1">
      <x:c r="A2229" s="2"/>
      <x:c r="B2229" s="2" t="n">
        <x:v>2196</x:v>
      </x:c>
      <x:c r="C2229" s="2" t="str">
        <x:v>16235</x:v>
      </x:c>
      <x:c r="D2229" s="2" t="str">
        <x:v>RECYCLED PENCIL WITH RABBIT ERASER</x:v>
      </x:c>
      <x:c r="E2229" s="11" t="n">
        <x:v>1341.72</x:v>
      </x:c>
      <x:c r="F2229" s="11" t="n">
        <x:v>27.93</x:v>
      </x:c>
      <x:c r="G2229" s="11" t="n">
        <x:v>1313.79</x:v>
      </x:c>
      <x:c r="H2229" s="23" t="n">
        <x:v>0.00006534220627482614</x:v>
      </x:c>
      <x:c r="I2229" s="23" t="n">
        <x:v>0.9436472668926643</x:v>
      </x:c>
      <x:c r="J2229" s="2" t="n">
        <x:v>310</x:v>
      </x:c>
      <x:c r="K2229" s="2"/>
      <x:c r="L2229" s="2"/>
    </x:row>
    <x:row r="2230" ht="22" customHeight="1">
      <x:c r="A2230" s="2"/>
      <x:c r="B2230" s="2" t="n">
        <x:v>2197</x:v>
      </x:c>
      <x:c r="C2230" s="2" t="str">
        <x:v>22924</x:v>
      </x:c>
      <x:c r="D2230" s="2" t="str">
        <x:v>FRIDGE MAGNETS LA VIE EN ROSE</x:v>
      </x:c>
      <x:c r="E2230" s="11" t="n">
        <x:v>1338.7199999999998</x:v>
      </x:c>
      <x:c r="F2230" s="11" t="n">
        <x:v>240.25</x:v>
      </x:c>
      <x:c r="G2230" s="11" t="n">
        <x:v>1098.47</x:v>
      </x:c>
      <x:c r="H2230" s="23" t="n">
        <x:v>0.00006519610528592794</x:v>
      </x:c>
      <x:c r="I2230" s="23" t="n">
        <x:v>0.9437124629979502</x:v>
      </x:c>
      <x:c r="J2230" s="2" t="n">
        <x:v>95</x:v>
      </x:c>
      <x:c r="K2230" s="2"/>
      <x:c r="L2230" s="2"/>
    </x:row>
    <x:row r="2231" ht="22" customHeight="1">
      <x:c r="A2231" s="2"/>
      <x:c r="B2231" s="2" t="n">
        <x:v>2198</x:v>
      </x:c>
      <x:c r="C2231" s="2" t="str">
        <x:v>21190</x:v>
      </x:c>
      <x:c r="D2231" s="2" t="str">
        <x:v>PINK HEARTS PAPER GARLAND</x:v>
      </x:c>
      <x:c r="E2231" s="11" t="n">
        <x:v>1337.59</x:v>
      </x:c>
      <x:c r="F2231" s="11" t="n">
        <x:v>111.65</x:v>
      </x:c>
      <x:c r="G2231" s="11" t="n">
        <x:v>1225.9399999999998</x:v>
      </x:c>
      <x:c r="H2231" s="23" t="n">
        <x:v>0.00006514107391344296</x:v>
      </x:c>
      <x:c r="I2231" s="23" t="n">
        <x:v>0.9437776040718636</x:v>
      </x:c>
      <x:c r="J2231" s="2" t="n">
        <x:v>111</x:v>
      </x:c>
      <x:c r="K2231" s="2"/>
      <x:c r="L2231" s="2"/>
    </x:row>
    <x:row r="2232" ht="22" customHeight="1">
      <x:c r="A2232" s="2"/>
      <x:c r="B2232" s="2" t="n">
        <x:v>2199</x:v>
      </x:c>
      <x:c r="C2232" s="2" t="str">
        <x:v>23538</x:v>
      </x:c>
      <x:c r="D2232" s="2" t="str">
        <x:v>WALL ART VINTAGE HEART</x:v>
      </x:c>
      <x:c r="E2232" s="11" t="n">
        <x:v>1334.49</x:v>
      </x:c>
      <x:c r="F2232" s="11" t="n">
        <x:v>0</x:v>
      </x:c>
      <x:c r="G2232" s="11" t="n">
        <x:v>1334.49</x:v>
      </x:c>
      <x:c r="H2232" s="23" t="n">
        <x:v>0.0000649901028915815</x:v>
      </x:c>
      <x:c r="I2232" s="23" t="n">
        <x:v>0.9438425941747552</x:v>
      </x:c>
      <x:c r="J2232" s="2" t="n">
        <x:v>32</x:v>
      </x:c>
      <x:c r="K2232" s="2"/>
      <x:c r="L2232" s="2"/>
    </x:row>
    <x:row r="2233" ht="22" customHeight="1">
      <x:c r="A2233" s="2"/>
      <x:c r="B2233" s="2" t="n">
        <x:v>2200</x:v>
      </x:c>
      <x:c r="C2233" s="2" t="str">
        <x:v>20993</x:v>
      </x:c>
      <x:c r="D2233" s="2" t="str">
        <x:v>JAZZ HEARTS MEMO PAD</x:v>
      </x:c>
      <x:c r="E2233" s="11" t="n">
        <x:v>1334.1100000000001</x:v>
      </x:c>
      <x:c r="F2233" s="11" t="n">
        <x:v>0</x:v>
      </x:c>
      <x:c r="G2233" s="11" t="n">
        <x:v>1334.1100000000001</x:v>
      </x:c>
      <x:c r="H2233" s="23" t="n">
        <x:v>0.00006497159676632108</x:v>
      </x:c>
      <x:c r="I2233" s="23" t="n">
        <x:v>0.9439075657715216</x:v>
      </x:c>
      <x:c r="J2233" s="2" t="n">
        <x:v>32</x:v>
      </x:c>
      <x:c r="K2233" s="2"/>
      <x:c r="L2233" s="2"/>
    </x:row>
    <x:row r="2234" ht="22" customHeight="1">
      <x:c r="A2234" s="2"/>
      <x:c r="B2234" s="2" t="n">
        <x:v>2201</x:v>
      </x:c>
      <x:c r="C2234" s="2" t="str">
        <x:v>85032D</x:v>
      </x:c>
      <x:c r="D2234" s="2" t="str">
        <x:v>damaged</x:v>
      </x:c>
      <x:c r="E2234" s="11" t="n">
        <x:v>1333.98</x:v>
      </x:c>
      <x:c r="F2234" s="11" t="n">
        <x:v>7.800000000000001</x:v>
      </x:c>
      <x:c r="G2234" s="11" t="n">
        <x:v>1326.18</x:v>
      </x:c>
      <x:c r="H2234" s="23" t="n">
        <x:v>0.00006496526572346881</x:v>
      </x:c>
      <x:c r="I2234" s="23" t="n">
        <x:v>0.943972531037245</x:v>
      </x:c>
      <x:c r="J2234" s="2" t="n">
        <x:v>133</x:v>
      </x:c>
      <x:c r="K2234" s="2"/>
      <x:c r="L2234" s="2"/>
    </x:row>
    <x:row r="2235" ht="22" customHeight="1">
      <x:c r="A2235" s="2"/>
      <x:c r="B2235" s="2" t="n">
        <x:v>2202</x:v>
      </x:c>
      <x:c r="C2235" s="2" t="str">
        <x:v>21580</x:v>
      </x:c>
      <x:c r="D2235" s="2" t="str">
        <x:v>RABBIT  DESIGN  COTTON TOTE BAG</x:v>
      </x:c>
      <x:c r="E2235" s="11" t="n">
        <x:v>1331.8799999999999</x:v>
      </x:c>
      <x:c r="F2235" s="11" t="n">
        <x:v>13.5</x:v>
      </x:c>
      <x:c r="G2235" s="11" t="n">
        <x:v>1318.3799999999999</x:v>
      </x:c>
      <x:c r="H2235" s="23" t="n">
        <x:v>0.00006486299503124008</x:v>
      </x:c>
      <x:c r="I2235" s="23" t="n">
        <x:v>0.9440373940322763</x:v>
      </x:c>
      <x:c r="J2235" s="2" t="n">
        <x:v>172</x:v>
      </x:c>
      <x:c r="K2235" s="2"/>
      <x:c r="L2235" s="2"/>
    </x:row>
    <x:row r="2236" ht="22" customHeight="1">
      <x:c r="A2236" s="2"/>
      <x:c r="B2236" s="2" t="n">
        <x:v>2203</x:v>
      </x:c>
      <x:c r="C2236" s="2" t="str">
        <x:v>20933</x:v>
      </x:c>
      <x:c r="D2236" s="2" t="str">
        <x:v>YELLOW POT PLANT CANDLE</x:v>
      </x:c>
      <x:c r="E2236" s="11" t="n">
        <x:v>1329.4900000000002</x:v>
      </x:c>
      <x:c r="F2236" s="11" t="n">
        <x:v>0</x:v>
      </x:c>
      <x:c r="G2236" s="11" t="n">
        <x:v>1329.4900000000002</x:v>
      </x:c>
      <x:c r="H2236" s="23" t="n">
        <x:v>0.00006474660124341787</x:v>
      </x:c>
      <x:c r="I2236" s="23" t="n">
        <x:v>0.9441021406335197</x:v>
      </x:c>
      <x:c r="J2236" s="2" t="n">
        <x:v>52</x:v>
      </x:c>
      <x:c r="K2236" s="2"/>
      <x:c r="L2236" s="2"/>
    </x:row>
    <x:row r="2237" ht="22" customHeight="1">
      <x:c r="A2237" s="2"/>
      <x:c r="B2237" s="2" t="n">
        <x:v>2204</x:v>
      </x:c>
      <x:c r="C2237" s="2" t="str">
        <x:v>20893</x:v>
      </x:c>
      <x:c r="D2237" s="2" t="str">
        <x:v>damages</x:v>
      </x:c>
      <x:c r="E2237" s="11" t="n">
        <x:v>1328.99</x:v>
      </x:c>
      <x:c r="F2237" s="11" t="n">
        <x:v>234.45000000000005</x:v>
      </x:c>
      <x:c r="G2237" s="11" t="n">
        <x:v>1094.54</x:v>
      </x:c>
      <x:c r="H2237" s="23" t="n">
        <x:v>0.0000647222510786015</x:v>
      </x:c>
      <x:c r="I2237" s="23" t="n">
        <x:v>0.9441668628845983</x:v>
      </x:c>
      <x:c r="J2237" s="2" t="n">
        <x:v>76</x:v>
      </x:c>
      <x:c r="K2237" s="2"/>
      <x:c r="L2237" s="2"/>
    </x:row>
    <x:row r="2238" ht="22" customHeight="1">
      <x:c r="A2238" s="2"/>
      <x:c r="B2238" s="2" t="n">
        <x:v>2205</x:v>
      </x:c>
      <x:c r="C2238" s="2" t="str">
        <x:v>22051</x:v>
      </x:c>
      <x:c r="D2238" s="2" t="str">
        <x:v>BLUE SCANDINAVIAN PAISLEY WRAP</x:v>
      </x:c>
      <x:c r="E2238" s="11" t="n">
        <x:v>1328</x:v>
      </x:c>
      <x:c r="F2238" s="11" t="n">
        <x:v>0</x:v>
      </x:c>
      <x:c r="G2238" s="11" t="n">
        <x:v>1328</x:v>
      </x:c>
      <x:c r="H2238" s="23" t="n">
        <x:v>0.00006467403775226508</x:v>
      </x:c>
      <x:c r="I2238" s="23" t="n">
        <x:v>0.9442315369223505</x:v>
      </x:c>
      <x:c r="J2238" s="2" t="n">
        <x:v>116</x:v>
      </x:c>
      <x:c r="K2238" s="2"/>
      <x:c r="L2238" s="2"/>
    </x:row>
    <x:row r="2239" ht="22" customHeight="1">
      <x:c r="A2239" s="2"/>
      <x:c r="B2239" s="2" t="n">
        <x:v>2206</x:v>
      </x:c>
      <x:c r="C2239" s="2" t="str">
        <x:v>21926</x:v>
      </x:c>
      <x:c r="D2239" s="2" t="str">
        <x:v>RED/CREAM STRIPE CUSHION COVER </x:v>
      </x:c>
      <x:c r="E2239" s="11" t="n">
        <x:v>1327.77</x:v>
      </x:c>
      <x:c r="F2239" s="11" t="n">
        <x:v>32.5</x:v>
      </x:c>
      <x:c r="G2239" s="11" t="n">
        <x:v>1295.27</x:v>
      </x:c>
      <x:c r="H2239" s="23" t="n">
        <x:v>0.00006466283667644956</x:v>
      </x:c>
      <x:c r="I2239" s="23" t="n">
        <x:v>0.944296199759027</x:v>
      </x:c>
      <x:c r="J2239" s="2" t="n">
        <x:v>147</x:v>
      </x:c>
      <x:c r="K2239" s="2"/>
      <x:c r="L2239" s="2"/>
    </x:row>
    <x:row r="2240" ht="22" customHeight="1">
      <x:c r="A2240" s="2"/>
      <x:c r="B2240" s="2" t="n">
        <x:v>2207</x:v>
      </x:c>
      <x:c r="C2240" s="2" t="str">
        <x:v>21775</x:v>
      </x:c>
      <x:c r="D2240" s="2" t="str">
        <x:v>DECORATIVE FLORE BATHROOM BOTTLE</x:v>
      </x:c>
      <x:c r="E2240" s="11" t="n">
        <x:v>1327.54</x:v>
      </x:c>
      <x:c r="F2240" s="11" t="n">
        <x:v>5</x:v>
      </x:c>
      <x:c r="G2240" s="11" t="n">
        <x:v>1322.54</x:v>
      </x:c>
      <x:c r="H2240" s="23" t="n">
        <x:v>0.00006465163560063403</x:v>
      </x:c>
      <x:c r="I2240" s="23" t="n">
        <x:v>0.9443608513946277</x:v>
      </x:c>
      <x:c r="J2240" s="2" t="n">
        <x:v>277</x:v>
      </x:c>
      <x:c r="K2240" s="2"/>
      <x:c r="L2240" s="2"/>
    </x:row>
    <x:row r="2241" ht="22" customHeight="1">
      <x:c r="A2241" s="2"/>
      <x:c r="B2241" s="2" t="n">
        <x:v>2208</x:v>
      </x:c>
      <x:c r="C2241" s="2" t="str">
        <x:v>22918</x:v>
      </x:c>
      <x:c r="D2241" s="2" t="str">
        <x:v>HERB MARKER PARSLEY</x:v>
      </x:c>
      <x:c r="E2241" s="11" t="n">
        <x:v>1326.76</x:v>
      </x:c>
      <x:c r="F2241" s="11" t="n">
        <x:v>7.800000000000001</x:v>
      </x:c>
      <x:c r="G2241" s="11" t="n">
        <x:v>1318.96</x:v>
      </x:c>
      <x:c r="H2241" s="23" t="n">
        <x:v>0.00006461364934352051</x:v>
      </x:c>
      <x:c r="I2241" s="23" t="n">
        <x:v>0.9444254650439712</x:v>
      </x:c>
      <x:c r="J2241" s="2" t="n">
        <x:v>249</x:v>
      </x:c>
      <x:c r="K2241" s="2"/>
      <x:c r="L2241" s="2"/>
    </x:row>
    <x:row r="2242" ht="22" customHeight="1">
      <x:c r="A2242" s="2"/>
      <x:c r="B2242" s="2" t="n">
        <x:v>2209</x:v>
      </x:c>
      <x:c r="C2242" s="2" t="str">
        <x:v>22923</x:v>
      </x:c>
      <x:c r="D2242" s="2" t="str">
        <x:v>FRIDGE MAGNETS LES ENFANTS ASSORTED</x:v>
      </x:c>
      <x:c r="E2242" s="11" t="n">
        <x:v>1325.09</x:v>
      </x:c>
      <x:c r="F2242" s="11" t="n">
        <x:v>134</x:v>
      </x:c>
      <x:c r="G2242" s="11" t="n">
        <x:v>1191.09</x:v>
      </x:c>
      <x:c r="H2242" s="23" t="n">
        <x:v>0.00006453231979303384</x:v>
      </x:c>
      <x:c r="I2242" s="23" t="n">
        <x:v>0.9444899973637643</x:v>
      </x:c>
      <x:c r="J2242" s="2" t="n">
        <x:v>90</x:v>
      </x:c>
      <x:c r="K2242" s="2"/>
      <x:c r="L2242" s="2"/>
    </x:row>
    <x:row r="2243" ht="22" customHeight="1">
      <x:c r="A2243" s="2"/>
      <x:c r="B2243" s="2" t="n">
        <x:v>2210</x:v>
      </x:c>
      <x:c r="C2243" s="2" t="str">
        <x:v>85032A</x:v>
      </x:c>
      <x:c r="D2243" s="2" t="str">
        <x:v>ROMANTIC IMAGES GIFT WRAP SET</x:v>
      </x:c>
      <x:c r="E2243" s="11" t="n">
        <x:v>1324.16</x:v>
      </x:c>
      <x:c r="F2243" s="11" t="n">
        <x:v>0</x:v>
      </x:c>
      <x:c r="G2243" s="11" t="n">
        <x:v>1324.16</x:v>
      </x:c>
      <x:c r="H2243" s="23" t="n">
        <x:v>0.00006448702848647541</x:v>
      </x:c>
      <x:c r="I2243" s="23" t="n">
        <x:v>0.9445544843922508</x:v>
      </x:c>
      <x:c r="J2243" s="2" t="n">
        <x:v>161</x:v>
      </x:c>
      <x:c r="K2243" s="2"/>
      <x:c r="L2243" s="2"/>
    </x:row>
    <x:row r="2244" ht="22" customHeight="1">
      <x:c r="A2244" s="2"/>
      <x:c r="B2244" s="2" t="n">
        <x:v>2211</x:v>
      </x:c>
      <x:c r="C2244" s="2" t="str">
        <x:v>85071B</x:v>
      </x:c>
      <x:c r="D2244" s="2" t="str">
        <x:v>RED CHARLIE+LOLA PERSONAL DOORSIGN</x:v>
      </x:c>
      <x:c r="E2244" s="11" t="n">
        <x:v>1323.72</x:v>
      </x:c>
      <x:c r="F2244" s="11" t="n">
        <x:v>5.9</x:v>
      </x:c>
      <x:c r="G2244" s="11" t="n">
        <x:v>1317.8200000000002</x:v>
      </x:c>
      <x:c r="H2244" s="23" t="n">
        <x:v>0.000064465600341437</x:v>
      </x:c>
      <x:c r="I2244" s="23" t="n">
        <x:v>0.9446189499925922</x:v>
      </x:c>
      <x:c r="J2244" s="2" t="n">
        <x:v>165</x:v>
      </x:c>
      <x:c r="K2244" s="2"/>
      <x:c r="L2244" s="2"/>
    </x:row>
    <x:row r="2245" ht="22" customHeight="1">
      <x:c r="A2245" s="2"/>
      <x:c r="B2245" s="2" t="n">
        <x:v>2212</x:v>
      </x:c>
      <x:c r="C2245" s="2" t="str">
        <x:v>47593B</x:v>
      </x:c>
      <x:c r="D2245" s="2" t="str">
        <x:v>SCOTTIE DOGS BABY BIB</x:v>
      </x:c>
      <x:c r="E2245" s="11" t="n">
        <x:v>1322.24</x:v>
      </x:c>
      <x:c r="F2245" s="11" t="n">
        <x:v>0</x:v>
      </x:c>
      <x:c r="G2245" s="11" t="n">
        <x:v>1322.24</x:v>
      </x:c>
      <x:c r="H2245" s="23" t="n">
        <x:v>0.00006439352385358057</x:v>
      </x:c>
      <x:c r="I2245" s="23" t="n">
        <x:v>0.9446833435164458</x:v>
      </x:c>
      <x:c r="J2245" s="2" t="n">
        <x:v>356</x:v>
      </x:c>
      <x:c r="K2245" s="2"/>
      <x:c r="L2245" s="2"/>
    </x:row>
    <x:row r="2246" ht="22" customHeight="1">
      <x:c r="A2246" s="2"/>
      <x:c r="B2246" s="2" t="n">
        <x:v>2213</x:v>
      </x:c>
      <x:c r="C2246" s="2" t="str">
        <x:v>85200</x:v>
      </x:c>
      <x:c r="D2246" s="2" t="str">
        <x:v>BUNNY EGG BOX</x:v>
      </x:c>
      <x:c r="E2246" s="11" t="n">
        <x:v>1321.59</x:v>
      </x:c>
      <x:c r="F2246" s="11" t="n">
        <x:v>15</x:v>
      </x:c>
      <x:c r="G2246" s="11" t="n">
        <x:v>1306.59</x:v>
      </x:c>
      <x:c r="H2246" s="23" t="n">
        <x:v>0.00006436186863931929</x:v>
      </x:c>
      <x:c r="I2246" s="23" t="n">
        <x:v>0.9447477053850851</x:v>
      </x:c>
      <x:c r="J2246" s="2" t="n">
        <x:v>105</x:v>
      </x:c>
      <x:c r="K2246" s="2"/>
      <x:c r="L2246" s="2"/>
    </x:row>
    <x:row r="2247" ht="22" customHeight="1">
      <x:c r="A2247" s="2"/>
      <x:c r="B2247" s="2" t="n">
        <x:v>2214</x:v>
      </x:c>
      <x:c r="C2247" s="2" t="str">
        <x:v>23405</x:v>
      </x:c>
      <x:c r="D2247" s="2" t="str">
        <x:v>HOME SWEET HOME 2 DRAWER CABINET</x:v>
      </x:c>
      <x:c r="E2247" s="11" t="n">
        <x:v>1321.38</x:v>
      </x:c>
      <x:c r="F2247" s="11" t="n">
        <x:v>4.95</x:v>
      </x:c>
      <x:c r="G2247" s="11" t="n">
        <x:v>1316.43</x:v>
      </x:c>
      <x:c r="H2247" s="23" t="n">
        <x:v>0.00006435164157009643</x:v>
      </x:c>
      <x:c r="I2247" s="23" t="n">
        <x:v>0.9448120570266553</x:v>
      </x:c>
      <x:c r="J2247" s="2" t="n">
        <x:v>70</x:v>
      </x:c>
      <x:c r="K2247" s="2"/>
      <x:c r="L2247" s="2"/>
    </x:row>
    <x:row r="2248" ht="22" customHeight="1">
      <x:c r="A2248" s="2"/>
      <x:c r="B2248" s="2" t="n">
        <x:v>2215</x:v>
      </x:c>
      <x:c r="C2248" s="2" t="str">
        <x:v>22701</x:v>
      </x:c>
      <x:c r="D2248" s="2" t="str">
        <x:v>PINK DOG BOWL</x:v>
      </x:c>
      <x:c r="E2248" s="11" t="n">
        <x:v>1320.5700000000002</x:v>
      </x:c>
      <x:c r="F2248" s="11" t="n">
        <x:v>43</x:v>
      </x:c>
      <x:c r="G2248" s="11" t="n">
        <x:v>1277.57</x:v>
      </x:c>
      <x:c r="H2248" s="23" t="n">
        <x:v>0.00006431219430309391</x:v>
      </x:c>
      <x:c r="I2248" s="23" t="n">
        <x:v>0.9448763692209584</x:v>
      </x:c>
      <x:c r="J2248" s="2" t="n">
        <x:v>158</x:v>
      </x:c>
      <x:c r="K2248" s="2"/>
      <x:c r="L2248" s="2"/>
    </x:row>
    <x:row r="2249" ht="22" customHeight="1">
      <x:c r="A2249" s="2"/>
      <x:c r="B2249" s="2" t="n">
        <x:v>2216</x:v>
      </x:c>
      <x:c r="C2249" s="2" t="str">
        <x:v>22232</x:v>
      </x:c>
      <x:c r="D2249" s="2" t="str">
        <x:v>JIGSAW TOADSTOOLS 3 PIECE</x:v>
      </x:c>
      <x:c r="E2249" s="11" t="n">
        <x:v>1318.99</x:v>
      </x:c>
      <x:c r="F2249" s="11" t="n">
        <x:v>71.22</x:v>
      </x:c>
      <x:c r="G2249" s="11" t="n">
        <x:v>1247.77</x:v>
      </x:c>
      <x:c r="H2249" s="23" t="n">
        <x:v>0.00006423524778227419</x:v>
      </x:c>
      <x:c r="I2249" s="23" t="n">
        <x:v>0.9449406044687407</x:v>
      </x:c>
      <x:c r="J2249" s="2" t="n">
        <x:v>158</x:v>
      </x:c>
      <x:c r="K2249" s="2"/>
      <x:c r="L2249" s="2"/>
    </x:row>
    <x:row r="2250" ht="22" customHeight="1">
      <x:c r="A2250" s="2"/>
      <x:c r="B2250" s="2" t="n">
        <x:v>2217</x:v>
      </x:c>
      <x:c r="C2250" s="2" t="str">
        <x:v>85135C</x:v>
      </x:c>
      <x:c r="D2250" s="2" t="str">
        <x:v>RED DRAGONFLY HELICOPTER</x:v>
      </x:c>
      <x:c r="E2250" s="11" t="n">
        <x:v>1317.92</x:v>
      </x:c>
      <x:c r="F2250" s="11" t="n">
        <x:v>15.9</x:v>
      </x:c>
      <x:c r="G2250" s="11" t="n">
        <x:v>1302.02</x:v>
      </x:c>
      <x:c r="H2250" s="23" t="n">
        <x:v>0.00006418313842956717</x:v>
      </x:c>
      <x:c r="I2250" s="23" t="n">
        <x:v>0.9450047876071703</x:v>
      </x:c>
      <x:c r="J2250" s="2" t="n">
        <x:v>111</x:v>
      </x:c>
      <x:c r="K2250" s="2"/>
      <x:c r="L2250" s="2"/>
    </x:row>
    <x:row r="2251" ht="22" customHeight="1">
      <x:c r="A2251" s="2"/>
      <x:c r="B2251" s="2" t="n">
        <x:v>2218</x:v>
      </x:c>
      <x:c r="C2251" s="2" t="str">
        <x:v>21945</x:v>
      </x:c>
      <x:c r="D2251" s="2" t="str">
        <x:v>STRAWBERRIES  DESIGN FLANNEL </x:v>
      </x:c>
      <x:c r="E2251" s="11" t="n">
        <x:v>1317.3</x:v>
      </x:c>
      <x:c r="F2251" s="11" t="n">
        <x:v>0.85</x:v>
      </x:c>
      <x:c r="G2251" s="11" t="n">
        <x:v>1316.45</x:v>
      </x:c>
      <x:c r="H2251" s="23" t="n">
        <x:v>0.00006415294422519488</x:v>
      </x:c>
      <x:c r="I2251" s="23" t="n">
        <x:v>0.9450689405513956</x:v>
      </x:c>
      <x:c r="J2251" s="2" t="n">
        <x:v>240</x:v>
      </x:c>
      <x:c r="K2251" s="2"/>
      <x:c r="L2251" s="2"/>
    </x:row>
    <x:row r="2252" ht="22" customHeight="1">
      <x:c r="A2252" s="2"/>
      <x:c r="B2252" s="2" t="n">
        <x:v>2219</x:v>
      </x:c>
      <x:c r="C2252" s="2" t="str">
        <x:v>20798</x:v>
      </x:c>
      <x:c r="D2252" s="2" t="str">
        <x:v>CLEAR MILKSHAKE GLASS</x:v>
      </x:c>
      <x:c r="E2252" s="11" t="n">
        <x:v>1316.55</x:v>
      </x:c>
      <x:c r="F2252" s="11" t="n">
        <x:v>140.25</x:v>
      </x:c>
      <x:c r="G2252" s="11" t="n">
        <x:v>1176.3</x:v>
      </x:c>
      <x:c r="H2252" s="23" t="n">
        <x:v>0.00006411641897797033</x:v>
      </x:c>
      <x:c r="I2252" s="23" t="n">
        <x:v>0.9451330569703735</x:v>
      </x:c>
      <x:c r="J2252" s="2" t="n">
        <x:v>83</x:v>
      </x:c>
      <x:c r="K2252" s="2"/>
      <x:c r="L2252" s="2"/>
    </x:row>
    <x:row r="2253" ht="22" customHeight="1">
      <x:c r="A2253" s="2"/>
      <x:c r="B2253" s="2" t="n">
        <x:v>2220</x:v>
      </x:c>
      <x:c r="C2253" s="2" t="str">
        <x:v>21219</x:v>
      </x:c>
      <x:c r="D2253" s="2" t="str">
        <x:v>SET/4 BADGES BALLOON GIRL</x:v>
      </x:c>
      <x:c r="E2253" s="11" t="n">
        <x:v>1315.77</x:v>
      </x:c>
      <x:c r="F2253" s="11" t="n">
        <x:v>12.5</x:v>
      </x:c>
      <x:c r="G2253" s="11" t="n">
        <x:v>1303.27</x:v>
      </x:c>
      <x:c r="H2253" s="23" t="n">
        <x:v>0.0000640784327208568</x:v>
      </x:c>
      <x:c r="I2253" s="23" t="n">
        <x:v>0.9451971354030944</x:v>
      </x:c>
      <x:c r="J2253" s="2" t="n">
        <x:v>176</x:v>
      </x:c>
      <x:c r="K2253" s="2"/>
      <x:c r="L2253" s="2"/>
    </x:row>
    <x:row r="2254" ht="22" customHeight="1">
      <x:c r="A2254" s="2"/>
      <x:c r="B2254" s="2" t="n">
        <x:v>2221</x:v>
      </x:c>
      <x:c r="C2254" s="2" t="str">
        <x:v>22977</x:v>
      </x:c>
      <x:c r="D2254" s="2" t="str">
        <x:v>DOLLY GIRL CHILDRENS EGG CUP</x:v>
      </x:c>
      <x:c r="E2254" s="11" t="n">
        <x:v>1315.11</x:v>
      </x:c>
      <x:c r="F2254" s="11" t="n">
        <x:v>1.25</x:v>
      </x:c>
      <x:c r="G2254" s="11" t="n">
        <x:v>1313.86</x:v>
      </x:c>
      <x:c r="H2254" s="23" t="n">
        <x:v>0.0000640462905032992</x:v>
      </x:c>
      <x:c r="I2254" s="23" t="n">
        <x:v>0.9452611816935976</x:v>
      </x:c>
      <x:c r="J2254" s="2" t="n">
        <x:v>140</x:v>
      </x:c>
      <x:c r="K2254" s="2"/>
      <x:c r="L2254" s="2"/>
    </x:row>
    <x:row r="2255" ht="22" customHeight="1">
      <x:c r="A2255" s="2"/>
      <x:c r="B2255" s="2" t="n">
        <x:v>2222</x:v>
      </x:c>
      <x:c r="C2255" s="2" t="str">
        <x:v>20760</x:v>
      </x:c>
      <x:c r="D2255" s="2" t="str">
        <x:v>GARDEN PATH POCKET BOOK</x:v>
      </x:c>
      <x:c r="E2255" s="11" t="n">
        <x:v>1314.51</x:v>
      </x:c>
      <x:c r="F2255" s="11" t="n">
        <x:v>0</x:v>
      </x:c>
      <x:c r="G2255" s="11" t="n">
        <x:v>1314.51</x:v>
      </x:c>
      <x:c r="H2255" s="23" t="n">
        <x:v>0.00006401707030551956</x:v>
      </x:c>
      <x:c r="I2255" s="23" t="n">
        <x:v>0.9453251987639032</x:v>
      </x:c>
      <x:c r="J2255" s="2" t="n">
        <x:v>81</x:v>
      </x:c>
      <x:c r="K2255" s="2"/>
      <x:c r="L2255" s="2"/>
    </x:row>
    <x:row r="2256" ht="22" customHeight="1">
      <x:c r="A2256" s="2"/>
      <x:c r="B2256" s="2" t="n">
        <x:v>2223</x:v>
      </x:c>
      <x:c r="C2256" s="2" t="str">
        <x:v>84688</x:v>
      </x:c>
      <x:c r="D2256" s="2" t="str">
        <x:v>BEACH HUT DESIGN BLACKBOARD</x:v>
      </x:c>
      <x:c r="E2256" s="11" t="n">
        <x:v>1313.52</x:v>
      </x:c>
      <x:c r="F2256" s="11" t="n">
        <x:v>155.05</x:v>
      </x:c>
      <x:c r="G2256" s="11" t="n">
        <x:v>1158.47</x:v>
      </x:c>
      <x:c r="H2256" s="23" t="n">
        <x:v>0.00006396885697918315</x:v>
      </x:c>
      <x:c r="I2256" s="23" t="n">
        <x:v>0.9453891676208824</x:v>
      </x:c>
      <x:c r="J2256" s="2" t="n">
        <x:v>81</x:v>
      </x:c>
      <x:c r="K2256" s="2"/>
      <x:c r="L2256" s="2"/>
    </x:row>
    <x:row r="2257" ht="22" customHeight="1">
      <x:c r="A2257" s="2"/>
      <x:c r="B2257" s="2" t="n">
        <x:v>2224</x:v>
      </x:c>
      <x:c r="C2257" s="2" t="str">
        <x:v>23373</x:v>
      </x:c>
      <x:c r="D2257" s="2" t="str">
        <x:v>VINTAGE CHRISTMAS PAPER GIFT BAG</x:v>
      </x:c>
      <x:c r="E2257" s="11" t="n">
        <x:v>1313.3899999999999</x:v>
      </x:c>
      <x:c r="F2257" s="11" t="n">
        <x:v>0</x:v>
      </x:c>
      <x:c r="G2257" s="11" t="n">
        <x:v>1313.3899999999999</x:v>
      </x:c>
      <x:c r="H2257" s="23" t="n">
        <x:v>0.0000639625259363309</x:v>
      </x:c>
      <x:c r="I2257" s="23" t="n">
        <x:v>0.9454531301468188</x:v>
      </x:c>
      <x:c r="J2257" s="2" t="n">
        <x:v>100</x:v>
      </x:c>
      <x:c r="K2257" s="2"/>
      <x:c r="L2257" s="2"/>
    </x:row>
    <x:row r="2258" ht="22" customHeight="1">
      <x:c r="A2258" s="2"/>
      <x:c r="B2258" s="2" t="n">
        <x:v>2225</x:v>
      </x:c>
      <x:c r="C2258" s="2" t="str">
        <x:v>22481</x:v>
      </x:c>
      <x:c r="D2258" s="2" t="str">
        <x:v>BLACK TEA TOWEL CLASSIC DESIGN</x:v>
      </x:c>
      <x:c r="E2258" s="11" t="n">
        <x:v>1313.09</x:v>
      </x:c>
      <x:c r="F2258" s="11" t="n">
        <x:v>0</x:v>
      </x:c>
      <x:c r="G2258" s="11" t="n">
        <x:v>1313.09</x:v>
      </x:c>
      <x:c r="H2258" s="23" t="n">
        <x:v>0.00006394791583744108</x:v>
      </x:c>
      <x:c r="I2258" s="23" t="n">
        <x:v>0.9455170780626562</x:v>
      </x:c>
      <x:c r="J2258" s="2" t="n">
        <x:v>219</x:v>
      </x:c>
      <x:c r="K2258" s="2"/>
      <x:c r="L2258" s="2"/>
    </x:row>
    <x:row r="2259" ht="22" customHeight="1">
      <x:c r="A2259" s="2"/>
      <x:c r="B2259" s="2" t="n">
        <x:v>2226</x:v>
      </x:c>
      <x:c r="C2259" s="2" t="str">
        <x:v>35598D</x:v>
      </x:c>
      <x:c r="D2259" s="2" t="str">
        <x:v>PINK/WHITE CHRISTMAS TREE 60CM</x:v>
      </x:c>
      <x:c r="E2259" s="11" t="n">
        <x:v>1312.2</x:v>
      </x:c>
      <x:c r="F2259" s="11" t="n">
        <x:v>0.65</x:v>
      </x:c>
      <x:c r="G2259" s="11" t="n">
        <x:v>1311.55</x:v>
      </x:c>
      <x:c r="H2259" s="23" t="n">
        <x:v>0.00006390457254406796</x:v>
      </x:c>
      <x:c r="I2259" s="23" t="n">
        <x:v>0.9455809826352002</x:v>
      </x:c>
      <x:c r="J2259" s="2" t="n">
        <x:v>103</x:v>
      </x:c>
      <x:c r="K2259" s="2"/>
      <x:c r="L2259" s="2"/>
    </x:row>
    <x:row r="2260" ht="22" customHeight="1">
      <x:c r="A2260" s="2"/>
      <x:c r="B2260" s="2" t="n">
        <x:v>2227</x:v>
      </x:c>
      <x:c r="C2260" s="2" t="str">
        <x:v>21248</x:v>
      </x:c>
      <x:c r="D2260" s="2" t="str">
        <x:v>DOOR HANGER  MUM + DADS ROOM</x:v>
      </x:c>
      <x:c r="E2260" s="11" t="n">
        <x:v>1309.7</x:v>
      </x:c>
      <x:c r="F2260" s="11" t="n">
        <x:v>33.160000000000004</x:v>
      </x:c>
      <x:c r="G2260" s="11" t="n">
        <x:v>1276.54</x:v>
      </x:c>
      <x:c r="H2260" s="23" t="n">
        <x:v>0.00006378282171998614</x:v>
      </x:c>
      <x:c r="I2260" s="23" t="n">
        <x:v>0.9456447654569202</x:v>
      </x:c>
      <x:c r="J2260" s="2" t="n">
        <x:v>158</x:v>
      </x:c>
      <x:c r="K2260" s="2"/>
      <x:c r="L2260" s="2"/>
    </x:row>
    <x:row r="2261" ht="22" customHeight="1">
      <x:c r="A2261" s="2"/>
      <x:c r="B2261" s="2" t="n">
        <x:v>2228</x:v>
      </x:c>
      <x:c r="C2261" s="2" t="str">
        <x:v>21842</x:v>
      </x:c>
      <x:c r="D2261" s="2" t="str">
        <x:v>PINK HEART CANDY BUTTON CALCULATOR</x:v>
      </x:c>
      <x:c r="E2261" s="11" t="n">
        <x:v>1308.74</x:v>
      </x:c>
      <x:c r="F2261" s="11" t="n">
        <x:v>0</x:v>
      </x:c>
      <x:c r="G2261" s="11" t="n">
        <x:v>1308.74</x:v>
      </x:c>
      <x:c r="H2261" s="23" t="n">
        <x:v>0.00006373606940353872</x:v>
      </x:c>
      <x:c r="I2261" s="23" t="n">
        <x:v>0.9457085015263238</x:v>
      </x:c>
      <x:c r="J2261" s="2" t="n">
        <x:v>47</x:v>
      </x:c>
      <x:c r="K2261" s="2"/>
      <x:c r="L2261" s="2"/>
    </x:row>
    <x:row r="2262" ht="22" customHeight="1">
      <x:c r="A2262" s="2"/>
      <x:c r="B2262" s="2" t="n">
        <x:v>2229</x:v>
      </x:c>
      <x:c r="C2262" s="2" t="str">
        <x:v>84569D</x:v>
      </x:c>
      <x:c r="D2262" s="2" t="str">
        <x:v>PACK 6 HEART/ICE-CREAM PATCHES</x:v>
      </x:c>
      <x:c r="E2262" s="11" t="n">
        <x:v>1306.29</x:v>
      </x:c>
      <x:c r="F2262" s="11" t="n">
        <x:v>1.25</x:v>
      </x:c>
      <x:c r="G2262" s="11" t="n">
        <x:v>1305.04</x:v>
      </x:c>
      <x:c r="H2262" s="23" t="n">
        <x:v>0.00006361675359593852</x:v>
      </x:c>
      <x:c r="I2262" s="23" t="n">
        <x:v>0.9457721182799197</x:v>
      </x:c>
      <x:c r="J2262" s="2" t="n">
        <x:v>179</x:v>
      </x:c>
      <x:c r="K2262" s="2"/>
      <x:c r="L2262" s="2"/>
    </x:row>
    <x:row r="2263" ht="22" customHeight="1">
      <x:c r="A2263" s="2"/>
      <x:c r="B2263" s="2" t="n">
        <x:v>2230</x:v>
      </x:c>
      <x:c r="C2263" s="2" t="str">
        <x:v>22893</x:v>
      </x:c>
      <x:c r="D2263" s="2" t="str">
        <x:v>MINI CAKE STAND T-LIGHT HOLDER</x:v>
      </x:c>
      <x:c r="E2263" s="11" t="n">
        <x:v>1306.09</x:v>
      </x:c>
      <x:c r="F2263" s="11" t="n">
        <x:v>8.82</x:v>
      </x:c>
      <x:c r="G2263" s="11" t="n">
        <x:v>1297.27</x:v>
      </x:c>
      <x:c r="H2263" s="23" t="n">
        <x:v>0.00006360701353001198</x:v>
      </x:c>
      <x:c r="I2263" s="23" t="n">
        <x:v>0.9458357252934497</x:v>
      </x:c>
      <x:c r="J2263" s="2" t="n">
        <x:v>182</x:v>
      </x:c>
      <x:c r="K2263" s="2"/>
      <x:c r="L2263" s="2"/>
    </x:row>
    <x:row r="2264" ht="22" customHeight="1">
      <x:c r="A2264" s="2"/>
      <x:c r="B2264" s="2" t="n">
        <x:v>2231</x:v>
      </x:c>
      <x:c r="C2264" s="2" t="str">
        <x:v>72818</x:v>
      </x:c>
      <x:c r="D2264" s="2" t="str">
        <x:v>check</x:v>
      </x:c>
      <x:c r="E2264" s="11" t="n">
        <x:v>1305.23</x:v>
      </x:c>
      <x:c r="F2264" s="11" t="n">
        <x:v>25.919999999999998</x:v>
      </x:c>
      <x:c r="G2264" s="11" t="n">
        <x:v>1279.31</x:v>
      </x:c>
      <x:c r="H2264" s="23" t="n">
        <x:v>0.00006356513124652784</x:v>
      </x:c>
      <x:c r="I2264" s="23" t="n">
        <x:v>0.9458992904246962</x:v>
      </x:c>
      <x:c r="J2264" s="2" t="n">
        <x:v>127</x:v>
      </x:c>
      <x:c r="K2264" s="2"/>
      <x:c r="L2264" s="2"/>
    </x:row>
    <x:row r="2265" ht="22" customHeight="1">
      <x:c r="A2265" s="2"/>
      <x:c r="B2265" s="2" t="n">
        <x:v>2232</x:v>
      </x:c>
      <x:c r="C2265" s="2" t="str">
        <x:v>20738</x:v>
      </x:c>
      <x:c r="D2265" s="2" t="str">
        <x:v>GREEN MINI TAPE MEASURE </x:v>
      </x:c>
      <x:c r="E2265" s="11" t="n">
        <x:v>1301.72</x:v>
      </x:c>
      <x:c r="F2265" s="11" t="n">
        <x:v>0</x:v>
      </x:c>
      <x:c r="G2265" s="11" t="n">
        <x:v>1301.72</x:v>
      </x:c>
      <x:c r="H2265" s="23" t="n">
        <x:v>0.00006339419308951695</x:v>
      </x:c>
      <x:c r="I2265" s="23" t="n">
        <x:v>0.9459626846177858</x:v>
      </x:c>
      <x:c r="J2265" s="2" t="n">
        <x:v>74</x:v>
      </x:c>
      <x:c r="K2265" s="2"/>
      <x:c r="L2265" s="2"/>
    </x:row>
    <x:row r="2266" ht="22" customHeight="1">
      <x:c r="A2266" s="2"/>
      <x:c r="B2266" s="2" t="n">
        <x:v>2233</x:v>
      </x:c>
      <x:c r="C2266" s="2" t="str">
        <x:v>85170D</x:v>
      </x:c>
      <x:c r="D2266" s="2" t="str">
        <x:v>SET/6 PINK BIRD T-LIGHT CANDLES</x:v>
      </x:c>
      <x:c r="E2266" s="11" t="n">
        <x:v>1296.36</x:v>
      </x:c>
      <x:c r="F2266" s="11" t="n">
        <x:v>12.200000000000001</x:v>
      </x:c>
      <x:c r="G2266" s="11" t="n">
        <x:v>1284.16</x:v>
      </x:c>
      <x:c r="H2266" s="23" t="n">
        <x:v>0.00006313315932268552</x:v>
      </x:c>
      <x:c r="I2266" s="23" t="n">
        <x:v>0.9460258177771085</x:v>
      </x:c>
      <x:c r="J2266" s="2" t="n">
        <x:v>151</x:v>
      </x:c>
      <x:c r="K2266" s="2"/>
      <x:c r="L2266" s="2"/>
    </x:row>
    <x:row r="2267" ht="22" customHeight="1">
      <x:c r="A2267" s="2"/>
      <x:c r="B2267" s="2" t="n">
        <x:v>2234</x:v>
      </x:c>
      <x:c r="C2267" s="2" t="str">
        <x:v>79191C</x:v>
      </x:c>
      <x:c r="D2267" s="2" t="str">
        <x:v>RETRO PLASTIC ELEPHANT TRAY</x:v>
      </x:c>
      <x:c r="E2267" s="11" t="n">
        <x:v>1296.31</x:v>
      </x:c>
      <x:c r="F2267" s="11" t="n">
        <x:v>245.64999999999998</x:v>
      </x:c>
      <x:c r="G2267" s="11" t="n">
        <x:v>1050.6599999999999</x:v>
      </x:c>
      <x:c r="H2267" s="23" t="n">
        <x:v>0.00006313072430620388</x:v>
      </x:c>
      <x:c r="I2267" s="23" t="n">
        <x:v>0.9460889485014147</x:v>
      </x:c>
      <x:c r="J2267" s="2" t="n">
        <x:v>157</x:v>
      </x:c>
      <x:c r="K2267" s="2"/>
      <x:c r="L2267" s="2"/>
    </x:row>
    <x:row r="2268" ht="22" customHeight="1">
      <x:c r="A2268" s="2"/>
      <x:c r="B2268" s="2" t="n">
        <x:v>2235</x:v>
      </x:c>
      <x:c r="C2268" s="2" t="str">
        <x:v>22258</x:v>
      </x:c>
      <x:c r="D2268" s="2" t="str">
        <x:v>FELT FARM ANIMAL RABBIT</x:v>
      </x:c>
      <x:c r="E2268" s="11" t="n">
        <x:v>1294.8</x:v>
      </x:c>
      <x:c r="F2268" s="11" t="n">
        <x:v>68.75</x:v>
      </x:c>
      <x:c r="G2268" s="11" t="n">
        <x:v>1226.05</x:v>
      </x:c>
      <x:c r="H2268" s="23" t="n">
        <x:v>0.00006305718680845846</x:v>
      </x:c>
      <x:c r="I2268" s="23" t="n">
        <x:v>0.9461520056882231</x:v>
      </x:c>
      <x:c r="J2268" s="2" t="n">
        <x:v>131</x:v>
      </x:c>
      <x:c r="K2268" s="2"/>
      <x:c r="L2268" s="2"/>
    </x:row>
    <x:row r="2269" ht="22" customHeight="1">
      <x:c r="A2269" s="2"/>
      <x:c r="B2269" s="2" t="n">
        <x:v>2236</x:v>
      </x:c>
      <x:c r="C2269" s="2" t="str">
        <x:v>22105</x:v>
      </x:c>
      <x:c r="D2269" s="2" t="str">
        <x:v>MIRROR MOSAIC GOBLET CANDLE HOLDER</x:v>
      </x:c>
      <x:c r="E2269" s="11" t="n">
        <x:v>1294.7</x:v>
      </x:c>
      <x:c r="F2269" s="11" t="n">
        <x:v>232.25</x:v>
      </x:c>
      <x:c r="G2269" s="11" t="n">
        <x:v>1062.45</x:v>
      </x:c>
      <x:c r="H2269" s="23" t="n">
        <x:v>0.00006305231677549519</x:v>
      </x:c>
      <x:c r="I2269" s="23" t="n">
        <x:v>0.9462150580049986</x:v>
      </x:c>
      <x:c r="J2269" s="2" t="n">
        <x:v>55</x:v>
      </x:c>
      <x:c r="K2269" s="2"/>
      <x:c r="L2269" s="2"/>
    </x:row>
    <x:row r="2270" ht="22" customHeight="1">
      <x:c r="A2270" s="2"/>
      <x:c r="B2270" s="2" t="n">
        <x:v>2237</x:v>
      </x:c>
      <x:c r="C2270" s="2" t="str">
        <x:v>22097</x:v>
      </x:c>
      <x:c r="D2270" s="2" t="str">
        <x:v>SWALLOW SQUARE TISSUE BOX</x:v>
      </x:c>
      <x:c r="E2270" s="11" t="n">
        <x:v>1293.93</x:v>
      </x:c>
      <x:c r="F2270" s="11" t="n">
        <x:v>15.15</x:v>
      </x:c>
      <x:c r="G2270" s="11" t="n">
        <x:v>1278.78</x:v>
      </x:c>
      <x:c r="H2270" s="23" t="n">
        <x:v>0.00006301481752167799</x:v>
      </x:c>
      <x:c r="I2270" s="23" t="n">
        <x:v>0.9462780728225203</x:v>
      </x:c>
      <x:c r="J2270" s="2" t="n">
        <x:v>242</x:v>
      </x:c>
      <x:c r="K2270" s="2"/>
      <x:c r="L2270" s="2"/>
    </x:row>
    <x:row r="2271" ht="22" customHeight="1">
      <x:c r="A2271" s="2"/>
      <x:c r="B2271" s="2" t="n">
        <x:v>2238</x:v>
      </x:c>
      <x:c r="C2271" s="2" t="str">
        <x:v>22267</x:v>
      </x:c>
      <x:c r="D2271" s="2" t="str">
        <x:v>EASTER DECORATION EGG BUNNY </x:v>
      </x:c>
      <x:c r="E2271" s="11" t="n">
        <x:v>1292.72</x:v>
      </x:c>
      <x:c r="F2271" s="11" t="n">
        <x:v>3.75</x:v>
      </x:c>
      <x:c r="G2271" s="11" t="n">
        <x:v>1288.97</x:v>
      </x:c>
      <x:c r="H2271" s="23" t="n">
        <x:v>0.00006295589012282238</x:v>
      </x:c>
      <x:c r="I2271" s="23" t="n">
        <x:v>0.9463410287126431</x:v>
      </x:c>
      <x:c r="J2271" s="2" t="n">
        <x:v>117</x:v>
      </x:c>
      <x:c r="K2271" s="2"/>
      <x:c r="L2271" s="2"/>
    </x:row>
    <x:row r="2272" ht="22" customHeight="1">
      <x:c r="A2272" s="2"/>
      <x:c r="B2272" s="2" t="n">
        <x:v>2239</x:v>
      </x:c>
      <x:c r="C2272" s="2" t="str">
        <x:v>22181</x:v>
      </x:c>
      <x:c r="D2272" s="2" t="str">
        <x:v>SNOWSTORM PHOTO FRAME FRIDGE MAGNET</x:v>
      </x:c>
      <x:c r="E2272" s="11" t="n">
        <x:v>1291.3799999999999</x:v>
      </x:c>
      <x:c r="F2272" s="11" t="n">
        <x:v>35.699999999999996</x:v>
      </x:c>
      <x:c r="G2272" s="11" t="n">
        <x:v>1255.68</x:v>
      </x:c>
      <x:c r="H2272" s="23" t="n">
        <x:v>0.00006289063168111452</x:v>
      </x:c>
      <x:c r="I2272" s="23" t="n">
        <x:v>0.9464039193443242</x:v>
      </x:c>
      <x:c r="J2272" s="2" t="n">
        <x:v>138</x:v>
      </x:c>
      <x:c r="K2272" s="2"/>
      <x:c r="L2272" s="2"/>
    </x:row>
    <x:row r="2273" ht="22" customHeight="1">
      <x:c r="A2273" s="2"/>
      <x:c r="B2273" s="2" t="n">
        <x:v>2240</x:v>
      </x:c>
      <x:c r="C2273" s="2" t="str">
        <x:v>17091A</x:v>
      </x:c>
      <x:c r="D2273" s="2" t="str">
        <x:v>LAVENDER INCENSE IN TIN</x:v>
      </x:c>
      <x:c r="E2273" s="11" t="n">
        <x:v>1290.02</x:v>
      </x:c>
      <x:c r="F2273" s="11" t="n">
        <x:v>0</x:v>
      </x:c>
      <x:c r="G2273" s="11" t="n">
        <x:v>1290.02</x:v>
      </x:c>
      <x:c r="H2273" s="23" t="n">
        <x:v>0.00006282439923281401</x:v>
      </x:c>
      <x:c r="I2273" s="23" t="n">
        <x:v>0.946466743743557</x:v>
      </x:c>
      <x:c r="J2273" s="2" t="n">
        <x:v>117</x:v>
      </x:c>
      <x:c r="K2273" s="2"/>
      <x:c r="L2273" s="2"/>
    </x:row>
    <x:row r="2274" ht="22" customHeight="1">
      <x:c r="A2274" s="2"/>
      <x:c r="B2274" s="2" t="n">
        <x:v>2241</x:v>
      </x:c>
      <x:c r="C2274" s="2" t="str">
        <x:v>21880</x:v>
      </x:c>
      <x:c r="D2274" s="2" t="str">
        <x:v>RED RETROSPOT TAPE</x:v>
      </x:c>
      <x:c r="E2274" s="11" t="n">
        <x:v>1289.8300000000002</x:v>
      </x:c>
      <x:c r="F2274" s="11" t="n">
        <x:v>15.600000000000001</x:v>
      </x:c>
      <x:c r="G2274" s="11" t="n">
        <x:v>1274.23</x:v>
      </x:c>
      <x:c r="H2274" s="23" t="n">
        <x:v>0.0000628151461701838</x:v>
      </x:c>
      <x:c r="I2274" s="23" t="n">
        <x:v>0.9465295588897272</x:v>
      </x:c>
      <x:c r="J2274" s="2" t="n">
        <x:v>329</x:v>
      </x:c>
      <x:c r="K2274" s="2"/>
      <x:c r="L2274" s="2"/>
    </x:row>
    <x:row r="2275" ht="22" customHeight="1">
      <x:c r="A2275" s="2"/>
      <x:c r="B2275" s="2" t="n">
        <x:v>2242</x:v>
      </x:c>
      <x:c r="C2275" s="2" t="str">
        <x:v>85006</x:v>
      </x:c>
      <x:c r="D2275" s="2" t="str">
        <x:v>SET 4 NURSERY DES ROUND BOXES</x:v>
      </x:c>
      <x:c r="E2275" s="11" t="n">
        <x:v>1289.31</x:v>
      </x:c>
      <x:c r="F2275" s="11" t="n">
        <x:v>564.4</x:v>
      </x:c>
      <x:c r="G2275" s="11" t="n">
        <x:v>724.91</x:v>
      </x:c>
      <x:c r="H2275" s="23" t="n">
        <x:v>0.00006278982199877478</x:v>
      </x:c>
      <x:c r="I2275" s="23" t="n">
        <x:v>0.946592348711726</x:v>
      </x:c>
      <x:c r="J2275" s="2" t="n">
        <x:v>37</x:v>
      </x:c>
      <x:c r="K2275" s="2"/>
      <x:c r="L2275" s="2"/>
    </x:row>
    <x:row r="2276" ht="22" customHeight="1">
      <x:c r="A2276" s="2"/>
      <x:c r="B2276" s="2" t="n">
        <x:v>2243</x:v>
      </x:c>
      <x:c r="C2276" s="2" t="str">
        <x:v>84609</x:v>
      </x:c>
      <x:c r="D2276" s="2" t="str">
        <x:v>TALL ROCOCO CANDLE HOLDER</x:v>
      </x:c>
      <x:c r="E2276" s="11" t="n">
        <x:v>1289.24</x:v>
      </x:c>
      <x:c r="F2276" s="11" t="n">
        <x:v>17</x:v>
      </x:c>
      <x:c r="G2276" s="11" t="n">
        <x:v>1272.24</x:v>
      </x:c>
      <x:c r="H2276" s="23" t="n">
        <x:v>0.00006278641297570049</x:v>
      </x:c>
      <x:c r="I2276" s="23" t="n">
        <x:v>0.9466551351247018</x:v>
      </x:c>
      <x:c r="J2276" s="2" t="n">
        <x:v>38</x:v>
      </x:c>
      <x:c r="K2276" s="2"/>
      <x:c r="L2276" s="2"/>
    </x:row>
    <x:row r="2277" ht="22" customHeight="1">
      <x:c r="A2277" s="2"/>
      <x:c r="B2277" s="2" t="n">
        <x:v>2244</x:v>
      </x:c>
      <x:c r="C2277" s="2" t="str">
        <x:v>85025C</x:v>
      </x:c>
      <x:c r="D2277" s="2" t="str">
        <x:v>PINK HEART SHAPE PHOTO FRAME</x:v>
      </x:c>
      <x:c r="E2277" s="11" t="n">
        <x:v>1287.56</x:v>
      </x:c>
      <x:c r="F2277" s="11" t="n">
        <x:v>3.3</x:v>
      </x:c>
      <x:c r="G2277" s="11" t="n">
        <x:v>1284.2599999999998</x:v>
      </x:c>
      <x:c r="H2277" s="23" t="n">
        <x:v>0.0000627045964219175</x:v>
      </x:c>
      <x:c r="I2277" s="23" t="n">
        <x:v>0.9467178397211237</x:v>
      </x:c>
      <x:c r="J2277" s="2" t="n">
        <x:v>125</x:v>
      </x:c>
      <x:c r="K2277" s="2"/>
      <x:c r="L2277" s="2"/>
    </x:row>
    <x:row r="2278" ht="22" customHeight="1">
      <x:c r="A2278" s="2"/>
      <x:c r="B2278" s="2" t="n">
        <x:v>2245</x:v>
      </x:c>
      <x:c r="C2278" s="2" t="str">
        <x:v>72800B</x:v>
      </x:c>
      <x:c r="D2278" s="2" t="str">
        <x:v> 4 PURPLE FLOCK DINNER CANDLES</x:v>
      </x:c>
      <x:c r="E2278" s="11" t="n">
        <x:v>1284.43</x:v>
      </x:c>
      <x:c r="F2278" s="11" t="n">
        <x:v>5.1</x:v>
      </x:c>
      <x:c r="G2278" s="11" t="n">
        <x:v>1279.33</x:v>
      </x:c>
      <x:c r="H2278" s="23" t="n">
        <x:v>0.00006255216439016705</x:v>
      </x:c>
      <x:c r="I2278" s="23" t="n">
        <x:v>0.9467803918855139</x:v>
      </x:c>
      <x:c r="J2278" s="2" t="n">
        <x:v>91</x:v>
      </x:c>
      <x:c r="K2278" s="2"/>
      <x:c r="L2278" s="2"/>
    </x:row>
    <x:row r="2279" ht="22" customHeight="1">
      <x:c r="A2279" s="2"/>
      <x:c r="B2279" s="2" t="n">
        <x:v>2246</x:v>
      </x:c>
      <x:c r="C2279" s="2" t="str">
        <x:v>82613D</x:v>
      </x:c>
      <x:c r="D2279" s="2" t="str">
        <x:v>METAL SIGN CUPCAKE SINGLE HOOK</x:v>
      </x:c>
      <x:c r="E2279" s="11" t="n">
        <x:v>1284.36</x:v>
      </x:c>
      <x:c r="F2279" s="11" t="n">
        <x:v>8.4</x:v>
      </x:c>
      <x:c r="G2279" s="11" t="n">
        <x:v>1275.96</x:v>
      </x:c>
      <x:c r="H2279" s="23" t="n">
        <x:v>0.00006254875536709275</x:v>
      </x:c>
      <x:c r="I2279" s="23" t="n">
        <x:v>0.9468429406408809</x:v>
      </x:c>
      <x:c r="J2279" s="2" t="n">
        <x:v>271</x:v>
      </x:c>
      <x:c r="K2279" s="2"/>
      <x:c r="L2279" s="2"/>
    </x:row>
    <x:row r="2280" ht="22" customHeight="1">
      <x:c r="A2280" s="2"/>
      <x:c r="B2280" s="2" t="n">
        <x:v>2247</x:v>
      </x:c>
      <x:c r="C2280" s="2" t="str">
        <x:v>46776A</x:v>
      </x:c>
      <x:c r="D2280" s="2" t="str">
        <x:v>WOVEN BUBBLE GUM CUSHION COVER</x:v>
      </x:c>
      <x:c r="E2280" s="11" t="n">
        <x:v>1283.23</x:v>
      </x:c>
      <x:c r="F2280" s="11" t="n">
        <x:v>0</x:v>
      </x:c>
      <x:c r="G2280" s="11" t="n">
        <x:v>1283.23</x:v>
      </x:c>
      <x:c r="H2280" s="23" t="n">
        <x:v>0.00006249372399460778</x:v>
      </x:c>
      <x:c r="I2280" s="23" t="n">
        <x:v>0.9469054343648755</x:v>
      </x:c>
      <x:c r="J2280" s="2" t="n">
        <x:v>121</x:v>
      </x:c>
      <x:c r="K2280" s="2"/>
      <x:c r="L2280" s="2"/>
    </x:row>
    <x:row r="2281" ht="22" customHeight="1">
      <x:c r="A2281" s="2"/>
      <x:c r="B2281" s="2" t="n">
        <x:v>2248</x:v>
      </x:c>
      <x:c r="C2281" s="2" t="str">
        <x:v>46775E</x:v>
      </x:c>
      <x:c r="D2281" s="2" t="str">
        <x:v>CANDY POP CHUNKY KNITTED THROW </x:v>
      </x:c>
      <x:c r="E2281" s="11" t="n">
        <x:v>1282.9</x:v>
      </x:c>
      <x:c r="F2281" s="11" t="n">
        <x:v>0</x:v>
      </x:c>
      <x:c r="G2281" s="11" t="n">
        <x:v>1282.9</x:v>
      </x:c>
      <x:c r="H2281" s="23" t="n">
        <x:v>0.00006247765288582898</x:v>
      </x:c>
      <x:c r="I2281" s="23" t="n">
        <x:v>0.9469679120177613</x:v>
      </x:c>
      <x:c r="J2281" s="2" t="n">
        <x:v>51</x:v>
      </x:c>
      <x:c r="K2281" s="2"/>
      <x:c r="L2281" s="2"/>
    </x:row>
    <x:row r="2282" ht="22" customHeight="1">
      <x:c r="A2282" s="2"/>
      <x:c r="B2282" s="2" t="n">
        <x:v>2249</x:v>
      </x:c>
      <x:c r="C2282" s="2" t="str">
        <x:v>22543</x:v>
      </x:c>
      <x:c r="D2282" s="2" t="str">
        <x:v>MINI JIGSAW BAKE A CAKE </x:v>
      </x:c>
      <x:c r="E2282" s="11" t="n">
        <x:v>1282.33</x:v>
      </x:c>
      <x:c r="F2282" s="11" t="n">
        <x:v>0</x:v>
      </x:c>
      <x:c r="G2282" s="11" t="n">
        <x:v>1282.33</x:v>
      </x:c>
      <x:c r="H2282" s="23" t="n">
        <x:v>0.00006244989369793832</x:v>
      </x:c>
      <x:c r="I2282" s="23" t="n">
        <x:v>0.9470303619114593</x:v>
      </x:c>
      <x:c r="J2282" s="2" t="n">
        <x:v>118</x:v>
      </x:c>
      <x:c r="K2282" s="2"/>
      <x:c r="L2282" s="2"/>
    </x:row>
    <x:row r="2283" ht="22" customHeight="1">
      <x:c r="A2283" s="2"/>
      <x:c r="B2283" s="2" t="n">
        <x:v>2250</x:v>
      </x:c>
      <x:c r="C2283" s="2" t="str">
        <x:v>85231G</x:v>
      </x:c>
      <x:c r="D2283" s="2" t="str">
        <x:v>amazon</x:v>
      </x:c>
      <x:c r="E2283" s="11" t="n">
        <x:v>1281.31</x:v>
      </x:c>
      <x:c r="F2283" s="11" t="n">
        <x:v>18.7</x:v>
      </x:c>
      <x:c r="G2283" s="11" t="n">
        <x:v>1262.61</x:v>
      </x:c>
      <x:c r="H2283" s="23" t="n">
        <x:v>0.00006240021936171293</x:v>
      </x:c>
      <x:c r="I2283" s="23" t="n">
        <x:v>0.9470927621308209</x:v>
      </x:c>
      <x:c r="J2283" s="2" t="n">
        <x:v>253</x:v>
      </x:c>
      <x:c r="K2283" s="2"/>
      <x:c r="L2283" s="2"/>
    </x:row>
    <x:row r="2284" ht="22" customHeight="1">
      <x:c r="A2284" s="2"/>
      <x:c r="B2284" s="2" t="n">
        <x:v>2251</x:v>
      </x:c>
      <x:c r="C2284" s="2" t="str">
        <x:v>22999</x:v>
      </x:c>
      <x:c r="D2284" s="2" t="str">
        <x:v>TRAVEL CARD WALLET VINTAGE LEAF</x:v>
      </x:c>
      <x:c r="E2284" s="11" t="n">
        <x:v>1280.31</x:v>
      </x:c>
      <x:c r="F2284" s="11" t="n">
        <x:v>1.26</x:v>
      </x:c>
      <x:c r="G2284" s="11" t="n">
        <x:v>1279.05</x:v>
      </x:c>
      <x:c r="H2284" s="23" t="n">
        <x:v>0.0000623515190320802</x:v>
      </x:c>
      <x:c r="I2284" s="23" t="n">
        <x:v>0.947155113649853</x:v>
      </x:c>
      <x:c r="J2284" s="2" t="n">
        <x:v>222</x:v>
      </x:c>
      <x:c r="K2284" s="2"/>
      <x:c r="L2284" s="2"/>
    </x:row>
    <x:row r="2285" ht="22" customHeight="1">
      <x:c r="A2285" s="2"/>
      <x:c r="B2285" s="2" t="n">
        <x:v>2252</x:v>
      </x:c>
      <x:c r="C2285" s="2" t="str">
        <x:v>20765</x:v>
      </x:c>
      <x:c r="D2285" s="2" t="str">
        <x:v>CHRYSANTHEMUM SKETCHBOOK </x:v>
      </x:c>
      <x:c r="E2285" s="11" t="n">
        <x:v>1280.06</x:v>
      </x:c>
      <x:c r="F2285" s="11" t="n">
        <x:v>18.75</x:v>
      </x:c>
      <x:c r="G2285" s="11" t="n">
        <x:v>1261.31</x:v>
      </x:c>
      <x:c r="H2285" s="23" t="n">
        <x:v>0.00006233934394967202</x:v>
      </x:c>
      <x:c r="I2285" s="23" t="n">
        <x:v>0.9472174529938028</x:v>
      </x:c>
      <x:c r="J2285" s="2" t="n">
        <x:v>146</x:v>
      </x:c>
      <x:c r="K2285" s="2"/>
      <x:c r="L2285" s="2"/>
    </x:row>
    <x:row r="2286" ht="22" customHeight="1">
      <x:c r="A2286" s="2"/>
      <x:c r="B2286" s="2" t="n">
        <x:v>2253</x:v>
      </x:c>
      <x:c r="C2286" s="2" t="str">
        <x:v>22214</x:v>
      </x:c>
      <x:c r="D2286" s="2" t="str">
        <x:v>CANDLE PLATE LACE WHITE</x:v>
      </x:c>
      <x:c r="E2286" s="11" t="n">
        <x:v>1279.79</x:v>
      </x:c>
      <x:c r="F2286" s="11" t="n">
        <x:v>0</x:v>
      </x:c>
      <x:c r="G2286" s="11" t="n">
        <x:v>1279.79</x:v>
      </x:c>
      <x:c r="H2286" s="23" t="n">
        <x:v>0.00006232619486067119</x:v>
      </x:c>
      <x:c r="I2286" s="23" t="n">
        <x:v>0.9472797791886635</x:v>
      </x:c>
      <x:c r="J2286" s="2" t="n">
        <x:v>92</x:v>
      </x:c>
      <x:c r="K2286" s="2"/>
      <x:c r="L2286" s="2"/>
    </x:row>
    <x:row r="2287" ht="22" customHeight="1">
      <x:c r="A2287" s="2"/>
      <x:c r="B2287" s="2" t="n">
        <x:v>2254</x:v>
      </x:c>
      <x:c r="C2287" s="2" t="str">
        <x:v>84816</x:v>
      </x:c>
      <x:c r="D2287" s="2" t="str">
        <x:v>damages</x:v>
      </x:c>
      <x:c r="E2287" s="11" t="n">
        <x:v>1278.3500000000001</x:v>
      </x:c>
      <x:c r="F2287" s="11" t="n">
        <x:v>340.6</x:v>
      </x:c>
      <x:c r="G2287" s="11" t="n">
        <x:v>937.7500000000001</x:v>
      </x:c>
      <x:c r="H2287" s="23" t="n">
        <x:v>0.00006225606638600006</x:v>
      </x:c>
      <x:c r="I2287" s="23" t="n">
        <x:v>0.9473420352550495</x:v>
      </x:c>
      <x:c r="J2287" s="2" t="n">
        <x:v>20</x:v>
      </x:c>
      <x:c r="K2287" s="2"/>
      <x:c r="L2287" s="2"/>
    </x:row>
    <x:row r="2288" ht="22" customHeight="1">
      <x:c r="A2288" s="2"/>
      <x:c r="B2288" s="2" t="n">
        <x:v>2255</x:v>
      </x:c>
      <x:c r="C2288" s="2" t="str">
        <x:v>22268</x:v>
      </x:c>
      <x:c r="D2288" s="2" t="str">
        <x:v>check</x:v>
      </x:c>
      <x:c r="E2288" s="11" t="n">
        <x:v>1278.09</x:v>
      </x:c>
      <x:c r="F2288" s="11" t="n">
        <x:v>19.310000000000002</x:v>
      </x:c>
      <x:c r="G2288" s="11" t="n">
        <x:v>1258.78</x:v>
      </x:c>
      <x:c r="H2288" s="23" t="n">
        <x:v>0.00006224340430029555</x:v>
      </x:c>
      <x:c r="I2288" s="23" t="n">
        <x:v>0.9474042786593497</x:v>
      </x:c>
      <x:c r="J2288" s="2" t="n">
        <x:v>236</x:v>
      </x:c>
      <x:c r="K2288" s="2"/>
      <x:c r="L2288" s="2"/>
    </x:row>
    <x:row r="2289" ht="22" customHeight="1">
      <x:c r="A2289" s="2"/>
      <x:c r="B2289" s="2" t="n">
        <x:v>2256</x:v>
      </x:c>
      <x:c r="C2289" s="2" t="str">
        <x:v>16225</x:v>
      </x:c>
      <x:c r="D2289" s="2" t="str">
        <x:v>RATTLE SNAKE EGGS</x:v>
      </x:c>
      <x:c r="E2289" s="11" t="n">
        <x:v>1275.41</x:v>
      </x:c>
      <x:c r="F2289" s="11" t="n">
        <x:v>0</x:v>
      </x:c>
      <x:c r="G2289" s="11" t="n">
        <x:v>1275.41</x:v>
      </x:c>
      <x:c r="H2289" s="23" t="n">
        <x:v>0.00006211288741687984</x:v>
      </x:c>
      <x:c r="I2289" s="23" t="n">
        <x:v>0.9474663915467666</x:v>
      </x:c>
      <x:c r="J2289" s="2" t="n">
        <x:v>165</x:v>
      </x:c>
      <x:c r="K2289" s="2"/>
      <x:c r="L2289" s="2"/>
    </x:row>
    <x:row r="2290" ht="22" customHeight="1">
      <x:c r="A2290" s="2"/>
      <x:c r="B2290" s="2" t="n">
        <x:v>2257</x:v>
      </x:c>
      <x:c r="C2290" s="2" t="str">
        <x:v>21425</x:v>
      </x:c>
      <x:c r="D2290" s="2" t="str">
        <x:v>SKULLS STORAGE BOX LARGE</x:v>
      </x:c>
      <x:c r="E2290" s="11" t="n">
        <x:v>1274.93</x:v>
      </x:c>
      <x:c r="F2290" s="11" t="n">
        <x:v>91.45000000000002</x:v>
      </x:c>
      <x:c r="G2290" s="11" t="n">
        <x:v>1183.48</x:v>
      </x:c>
      <x:c r="H2290" s="23" t="n">
        <x:v>0.00006208951125865612</x:v>
      </x:c>
      <x:c r="I2290" s="23" t="n">
        <x:v>0.9475284810580252</x:v>
      </x:c>
      <x:c r="J2290" s="2" t="n">
        <x:v>95</x:v>
      </x:c>
      <x:c r="K2290" s="2"/>
      <x:c r="L2290" s="2"/>
    </x:row>
    <x:row r="2291" ht="22" customHeight="1">
      <x:c r="A2291" s="2"/>
      <x:c r="B2291" s="2" t="n">
        <x:v>2258</x:v>
      </x:c>
      <x:c r="C2291" s="2" t="str">
        <x:v>21759</x:v>
      </x:c>
      <x:c r="D2291" s="2" t="str">
        <x:v>METAL WALL SHELF UNIT WITH HOOKS</x:v>
      </x:c>
      <x:c r="E2291" s="11" t="n">
        <x:v>1274.47</x:v>
      </x:c>
      <x:c r="F2291" s="11" t="n">
        <x:v>0</x:v>
      </x:c>
      <x:c r="G2291" s="11" t="n">
        <x:v>1274.47</x:v>
      </x:c>
      <x:c r="H2291" s="23" t="n">
        <x:v>0.00006206710910702506</x:v>
      </x:c>
      <x:c r="I2291" s="23" t="n">
        <x:v>0.9475905481671323</x:v>
      </x:c>
      <x:c r="J2291" s="2" t="n">
        <x:v>13</x:v>
      </x:c>
      <x:c r="K2291" s="2"/>
      <x:c r="L2291" s="2"/>
    </x:row>
    <x:row r="2292" ht="22" customHeight="1">
      <x:c r="A2292" s="2"/>
      <x:c r="B2292" s="2" t="n">
        <x:v>2259</x:v>
      </x:c>
      <x:c r="C2292" s="2" t="str">
        <x:v>47591d</x:v>
      </x:c>
      <x:c r="D2292" s="2" t="str">
        <x:v>PINK FAIRY CAKE CHILDRENS APRON</x:v>
      </x:c>
      <x:c r="E2292" s="11" t="n">
        <x:v>1274.3799999999999</x:v>
      </x:c>
      <x:c r="F2292" s="11" t="n">
        <x:v>0</x:v>
      </x:c>
      <x:c r="G2292" s="11" t="n">
        <x:v>1274.3799999999999</x:v>
      </x:c>
      <x:c r="H2292" s="23" t="n">
        <x:v>0.00006206272607735811</x:v>
      </x:c>
      <x:c r="I2292" s="23" t="n">
        <x:v>0.9476526108932096</x:v>
      </x:c>
      <x:c r="J2292" s="2" t="n">
        <x:v>72</x:v>
      </x:c>
      <x:c r="K2292" s="2"/>
      <x:c r="L2292" s="2"/>
    </x:row>
    <x:row r="2293" ht="22" customHeight="1">
      <x:c r="A2293" s="2"/>
      <x:c r="B2293" s="2" t="n">
        <x:v>2260</x:v>
      </x:c>
      <x:c r="C2293" s="2" t="str">
        <x:v>23072</x:v>
      </x:c>
      <x:c r="D2293" s="2" t="str">
        <x:v>damages</x:v>
      </x:c>
      <x:c r="E2293" s="11" t="n">
        <x:v>1273.76</x:v>
      </x:c>
      <x:c r="F2293" s="11" t="n">
        <x:v>384</x:v>
      </x:c>
      <x:c r="G2293" s="11" t="n">
        <x:v>889.76</x:v>
      </x:c>
      <x:c r="H2293" s="23" t="n">
        <x:v>0.00006203253187298583</x:v>
      </x:c>
      <x:c r="I2293" s="23" t="n">
        <x:v>0.9477146434250826</x:v>
      </x:c>
      <x:c r="J2293" s="2" t="n">
        <x:v>30</x:v>
      </x:c>
      <x:c r="K2293" s="2"/>
      <x:c r="L2293" s="2"/>
    </x:row>
    <x:row r="2294" ht="22" customHeight="1">
      <x:c r="A2294" s="2"/>
      <x:c r="B2294" s="2" t="n">
        <x:v>2261</x:v>
      </x:c>
      <x:c r="C2294" s="2" t="str">
        <x:v>35648</x:v>
      </x:c>
      <x:c r="D2294" s="2" t="str">
        <x:v>VINTAGE BEAD PINK PURSE </x:v>
      </x:c>
      <x:c r="E2294" s="11" t="n">
        <x:v>1272.59</x:v>
      </x:c>
      <x:c r="F2294" s="11" t="n">
        <x:v>20.749999999999996</x:v>
      </x:c>
      <x:c r="G2294" s="11" t="n">
        <x:v>1251.84</x:v>
      </x:c>
      <x:c r="H2294" s="23" t="n">
        <x:v>0.00006197555248731553</x:v>
      </x:c>
      <x:c r="I2294" s="23" t="n">
        <x:v>0.9477766189775699</x:v>
      </x:c>
      <x:c r="J2294" s="2" t="n">
        <x:v>143</x:v>
      </x:c>
      <x:c r="K2294" s="2"/>
      <x:c r="L2294" s="2"/>
    </x:row>
    <x:row r="2295" ht="22" customHeight="1">
      <x:c r="A2295" s="2"/>
      <x:c r="B2295" s="2" t="n">
        <x:v>2262</x:v>
      </x:c>
      <x:c r="C2295" s="2" t="str">
        <x:v>21689</x:v>
      </x:c>
      <x:c r="D2295" s="2" t="str">
        <x:v>SILVER VANILLA  FLOWER CANDLE POT</x:v>
      </x:c>
      <x:c r="E2295" s="11" t="n">
        <x:v>1271.87</x:v>
      </x:c>
      <x:c r="F2295" s="11" t="n">
        <x:v>0</x:v>
      </x:c>
      <x:c r="G2295" s="11" t="n">
        <x:v>1271.87</x:v>
      </x:c>
      <x:c r="H2295" s="23" t="n">
        <x:v>0.00006194048824997996</x:v>
      </x:c>
      <x:c r="I2295" s="23" t="n">
        <x:v>0.94783855946582</x:v>
      </x:c>
      <x:c r="J2295" s="2" t="n">
        <x:v>60</x:v>
      </x:c>
      <x:c r="K2295" s="2"/>
      <x:c r="L2295" s="2"/>
    </x:row>
    <x:row r="2296" ht="22" customHeight="1">
      <x:c r="A2296" s="2"/>
      <x:c r="B2296" s="2" t="n">
        <x:v>2263</x:v>
      </x:c>
      <x:c r="C2296" s="2" t="str">
        <x:v>21549</x:v>
      </x:c>
      <x:c r="D2296" s="2" t="str">
        <x:v>CERAMIC BIRDHOUSE RED ROOF SMALL</x:v>
      </x:c>
      <x:c r="E2296" s="11" t="n">
        <x:v>1270.39</x:v>
      </x:c>
      <x:c r="F2296" s="11" t="n">
        <x:v>20.650000000000002</x:v>
      </x:c>
      <x:c r="G2296" s="11" t="n">
        <x:v>1249.74</x:v>
      </x:c>
      <x:c r="H2296" s="23" t="n">
        <x:v>0.00006186841176212353</x:v>
      </x:c>
      <x:c r="I2296" s="23" t="n">
        <x:v>0.9479004278775821</x:v>
      </x:c>
      <x:c r="J2296" s="2" t="n">
        <x:v>51</x:v>
      </x:c>
      <x:c r="K2296" s="2"/>
      <x:c r="L2296" s="2"/>
    </x:row>
    <x:row r="2297" ht="22" customHeight="1">
      <x:c r="A2297" s="2"/>
      <x:c r="B2297" s="2" t="n">
        <x:v>2264</x:v>
      </x:c>
      <x:c r="C2297" s="2" t="str">
        <x:v>85163B</x:v>
      </x:c>
      <x:c r="D2297" s="2" t="str">
        <x:v>BLACK BAROQUE WALL CLOCK </x:v>
      </x:c>
      <x:c r="E2297" s="11" t="n">
        <x:v>1268.6599999999999</x:v>
      </x:c>
      <x:c r="F2297" s="11" t="n">
        <x:v>12.75</x:v>
      </x:c>
      <x:c r="G2297" s="11" t="n">
        <x:v>1255.9099999999999</x:v>
      </x:c>
      <x:c r="H2297" s="23" t="n">
        <x:v>0.0000617841601918589</x:v>
      </x:c>
      <x:c r="I2297" s="23" t="n">
        <x:v>0.947962212037774</x:v>
      </x:c>
      <x:c r="J2297" s="2" t="n">
        <x:v>66</x:v>
      </x:c>
      <x:c r="K2297" s="2"/>
      <x:c r="L2297" s="2"/>
    </x:row>
    <x:row r="2298" ht="22" customHeight="1">
      <x:c r="A2298" s="2"/>
      <x:c r="B2298" s="2" t="n">
        <x:v>2265</x:v>
      </x:c>
      <x:c r="C2298" s="2" t="str">
        <x:v>20777</x:v>
      </x:c>
      <x:c r="D2298" s="2" t="str">
        <x:v>CHRYSANTHEMUM NOTEBOOK</x:v>
      </x:c>
      <x:c r="E2298" s="11" t="n">
        <x:v>1262.7</x:v>
      </x:c>
      <x:c r="F2298" s="11" t="n">
        <x:v>4.949999999999999</x:v>
      </x:c>
      <x:c r="G2298" s="11" t="n">
        <x:v>1257.75</x:v>
      </x:c>
      <x:c r="H2298" s="23" t="n">
        <x:v>0.00006149390622724784</x:v>
      </x:c>
      <x:c r="I2298" s="23" t="n">
        <x:v>0.9480237059440012</x:v>
      </x:c>
      <x:c r="J2298" s="2" t="n">
        <x:v>169</x:v>
      </x:c>
      <x:c r="K2298" s="2"/>
      <x:c r="L2298" s="2"/>
    </x:row>
    <x:row r="2299" ht="22" customHeight="1">
      <x:c r="A2299" s="2"/>
      <x:c r="B2299" s="2" t="n">
        <x:v>2266</x:v>
      </x:c>
      <x:c r="C2299" s="2" t="str">
        <x:v>22062</x:v>
      </x:c>
      <x:c r="D2299" s="2" t="str">
        <x:v>CERAMIC BOWL WITH LOVE HEART DESIGN</x:v>
      </x:c>
      <x:c r="E2299" s="11" t="n">
        <x:v>1261.15</x:v>
      </x:c>
      <x:c r="F2299" s="11" t="n">
        <x:v>7.93</x:v>
      </x:c>
      <x:c r="G2299" s="11" t="n">
        <x:v>1253.22</x:v>
      </x:c>
      <x:c r="H2299" s="23" t="n">
        <x:v>0.0000614184207163171</x:v>
      </x:c>
      <x:c r="I2299" s="23" t="n">
        <x:v>0.9480851243647175</x:v>
      </x:c>
      <x:c r="J2299" s="2" t="n">
        <x:v>126</x:v>
      </x:c>
      <x:c r="K2299" s="2"/>
      <x:c r="L2299" s="2"/>
    </x:row>
    <x:row r="2300" ht="22" customHeight="1">
      <x:c r="A2300" s="2"/>
      <x:c r="B2300" s="2" t="n">
        <x:v>2267</x:v>
      </x:c>
      <x:c r="C2300" s="2" t="str">
        <x:v>22290</x:v>
      </x:c>
      <x:c r="D2300" s="2" t="str">
        <x:v>STANDING METAL RABBIT WITH EGG</x:v>
      </x:c>
      <x:c r="E2300" s="11" t="n">
        <x:v>1260.8200000000002</x:v>
      </x:c>
      <x:c r="F2300" s="11" t="n">
        <x:v>2.1</x:v>
      </x:c>
      <x:c r="G2300" s="11" t="n">
        <x:v>1258.72</x:v>
      </x:c>
      <x:c r="H2300" s="23" t="n">
        <x:v>0.00006140234960753832</x:v>
      </x:c>
      <x:c r="I2300" s="23" t="n">
        <x:v>0.948146526714325</x:v>
      </x:c>
      <x:c r="J2300" s="2" t="n">
        <x:v>78</x:v>
      </x:c>
      <x:c r="K2300" s="2"/>
      <x:c r="L2300" s="2"/>
    </x:row>
    <x:row r="2301" ht="22" customHeight="1">
      <x:c r="A2301" s="2"/>
      <x:c r="B2301" s="2" t="n">
        <x:v>2268</x:v>
      </x:c>
      <x:c r="C2301" s="2" t="str">
        <x:v>35957</x:v>
      </x:c>
      <x:c r="D2301" s="2" t="str">
        <x:v>SMALLFOLKART BAUBLE CHRISTMAS DEC</x:v>
      </x:c>
      <x:c r="E2301" s="11" t="n">
        <x:v>1259.94</x:v>
      </x:c>
      <x:c r="F2301" s="11" t="n">
        <x:v>19.92</x:v>
      </x:c>
      <x:c r="G2301" s="11" t="n">
        <x:v>1240.02</x:v>
      </x:c>
      <x:c r="H2301" s="23" t="n">
        <x:v>0.0000613594933174615</x:v>
      </x:c>
      <x:c r="I2301" s="23" t="n">
        <x:v>0.9482078862076424</x:v>
      </x:c>
      <x:c r="J2301" s="2" t="n">
        <x:v>148</x:v>
      </x:c>
      <x:c r="K2301" s="2"/>
      <x:c r="L2301" s="2"/>
    </x:row>
    <x:row r="2302" ht="22" customHeight="1">
      <x:c r="A2302" s="2"/>
      <x:c r="B2302" s="2" t="n">
        <x:v>2269</x:v>
      </x:c>
      <x:c r="C2302" s="2" t="str">
        <x:v>21752</x:v>
      </x:c>
      <x:c r="D2302" s="2" t="str">
        <x:v>GLASS CAKE STAND MIRRORED BASE</x:v>
      </x:c>
      <x:c r="E2302" s="11" t="n">
        <x:v>1259.76</x:v>
      </x:c>
      <x:c r="F2302" s="11" t="n">
        <x:v>104.64999999999999</x:v>
      </x:c>
      <x:c r="G2302" s="11" t="n">
        <x:v>1155.11</x:v>
      </x:c>
      <x:c r="H2302" s="23" t="n">
        <x:v>0.00006135072725812761</x:v>
      </x:c>
      <x:c r="I2302" s="23" t="n">
        <x:v>0.9482692369349005</x:v>
      </x:c>
      <x:c r="J2302" s="2" t="n">
        <x:v>37</x:v>
      </x:c>
      <x:c r="K2302" s="2"/>
      <x:c r="L2302" s="2"/>
    </x:row>
    <x:row r="2303" ht="22" customHeight="1">
      <x:c r="A2303" s="2"/>
      <x:c r="B2303" s="2" t="n">
        <x:v>2270</x:v>
      </x:c>
      <x:c r="C2303" s="2" t="str">
        <x:v>77101A</x:v>
      </x:c>
      <x:c r="D2303" s="2" t="str">
        <x:v>UNION FLAG WINDSOCK</x:v>
      </x:c>
      <x:c r="E2303" s="11" t="n">
        <x:v>1258.47</x:v>
      </x:c>
      <x:c r="F2303" s="11" t="n">
        <x:v>0</x:v>
      </x:c>
      <x:c r="G2303" s="11" t="n">
        <x:v>1258.47</x:v>
      </x:c>
      <x:c r="H2303" s="23" t="n">
        <x:v>0.0000612879038329014</x:v>
      </x:c>
      <x:c r="I2303" s="23" t="n">
        <x:v>0.9483305248387334</x:v>
      </x:c>
      <x:c r="J2303" s="2" t="n">
        <x:v>88</x:v>
      </x:c>
      <x:c r="K2303" s="2"/>
      <x:c r="L2303" s="2"/>
    </x:row>
    <x:row r="2304" ht="22" customHeight="1">
      <x:c r="A2304" s="2"/>
      <x:c r="B2304" s="2" t="n">
        <x:v>2271</x:v>
      </x:c>
      <x:c r="C2304" s="2" t="str">
        <x:v>22919</x:v>
      </x:c>
      <x:c r="D2304" s="2" t="str">
        <x:v>HERB MARKER MINT</x:v>
      </x:c>
      <x:c r="E2304" s="11" t="n">
        <x:v>1258.04</x:v>
      </x:c>
      <x:c r="F2304" s="11" t="n">
        <x:v>7.800000000000001</x:v>
      </x:c>
      <x:c r="G2304" s="11" t="n">
        <x:v>1250.24</x:v>
      </x:c>
      <x:c r="H2304" s="23" t="n">
        <x:v>0.00006126696269115931</x:v>
      </x:c>
      <x:c r="I2304" s="23" t="n">
        <x:v>0.9483917918014245</x:v>
      </x:c>
      <x:c r="J2304" s="2" t="n">
        <x:v>248</x:v>
      </x:c>
      <x:c r="K2304" s="2"/>
      <x:c r="L2304" s="2"/>
    </x:row>
    <x:row r="2305" ht="22" customHeight="1">
      <x:c r="A2305" s="2"/>
      <x:c r="B2305" s="2" t="n">
        <x:v>2272</x:v>
      </x:c>
      <x:c r="C2305" s="2" t="str">
        <x:v>40003</x:v>
      </x:c>
      <x:c r="D2305" s="2" t="str">
        <x:v>WHITE BAMBOO RIBS LAMPSHADE</x:v>
      </x:c>
      <x:c r="E2305" s="11" t="n">
        <x:v>1257.02</x:v>
      </x:c>
      <x:c r="F2305" s="11" t="n">
        <x:v>17.099999999999998</x:v>
      </x:c>
      <x:c r="G2305" s="11" t="n">
        <x:v>1239.9199999999998</x:v>
      </x:c>
      <x:c r="H2305" s="23" t="n">
        <x:v>0.00006121728835493393</x:v>
      </x:c>
      <x:c r="I2305" s="23" t="n">
        <x:v>0.9484530090897795</x:v>
      </x:c>
      <x:c r="J2305" s="2" t="n">
        <x:v>60</x:v>
      </x:c>
      <x:c r="K2305" s="2"/>
      <x:c r="L2305" s="2"/>
    </x:row>
    <x:row r="2306" ht="22" customHeight="1">
      <x:c r="A2306" s="2"/>
      <x:c r="B2306" s="2" t="n">
        <x:v>2273</x:v>
      </x:c>
      <x:c r="C2306" s="2" t="str">
        <x:v>21063</x:v>
      </x:c>
      <x:c r="D2306" s="2" t="str">
        <x:v>PARTY INVITES JAZZ HEARTS</x:v>
      </x:c>
      <x:c r="E2306" s="11" t="n">
        <x:v>1256.27</x:v>
      </x:c>
      <x:c r="F2306" s="11" t="n">
        <x:v>3.4</x:v>
      </x:c>
      <x:c r="G2306" s="11" t="n">
        <x:v>1252.87</x:v>
      </x:c>
      <x:c r="H2306" s="23" t="n">
        <x:v>0.00006118076310770938</x:v>
      </x:c>
      <x:c r="I2306" s="23" t="n">
        <x:v>0.9485141898528872</x:v>
      </x:c>
      <x:c r="J2306" s="2" t="n">
        <x:v>238</x:v>
      </x:c>
      <x:c r="K2306" s="2"/>
      <x:c r="L2306" s="2"/>
    </x:row>
    <x:row r="2307" ht="22" customHeight="1">
      <x:c r="A2307" s="2"/>
      <x:c r="B2307" s="2" t="n">
        <x:v>2274</x:v>
      </x:c>
      <x:c r="C2307" s="2" t="str">
        <x:v>21145</x:v>
      </x:c>
      <x:c r="D2307" s="2" t="str">
        <x:v>ANTIQUE GLASS PLACE SETTING</x:v>
      </x:c>
      <x:c r="E2307" s="11" t="n">
        <x:v>1256.21</x:v>
      </x:c>
      <x:c r="F2307" s="11" t="n">
        <x:v>16.25</x:v>
      </x:c>
      <x:c r="G2307" s="11" t="n">
        <x:v>1239.96</x:v>
      </x:c>
      <x:c r="H2307" s="23" t="n">
        <x:v>0.00006117784108793143</x:v>
      </x:c>
      <x:c r="I2307" s="23" t="n">
        <x:v>0.9485753676939751</x:v>
      </x:c>
      <x:c r="J2307" s="2" t="n">
        <x:v>49</x:v>
      </x:c>
      <x:c r="K2307" s="2"/>
      <x:c r="L2307" s="2"/>
    </x:row>
    <x:row r="2308" ht="22" customHeight="1">
      <x:c r="A2308" s="2"/>
      <x:c r="B2308" s="2" t="n">
        <x:v>2275</x:v>
      </x:c>
      <x:c r="C2308" s="2" t="str">
        <x:v>23511</x:v>
      </x:c>
      <x:c r="D2308" s="2" t="str">
        <x:v>EMBROIDERED RIBBON REEL EMILY </x:v>
      </x:c>
      <x:c r="E2308" s="11" t="n">
        <x:v>1256.17</x:v>
      </x:c>
      <x:c r="F2308" s="11" t="n">
        <x:v>10.4</x:v>
      </x:c>
      <x:c r="G2308" s="11" t="n">
        <x:v>1245.77</x:v>
      </x:c>
      <x:c r="H2308" s="23" t="n">
        <x:v>0.00006117589307474611</x:v>
      </x:c>
      <x:c r="I2308" s="23" t="n">
        <x:v>0.9486365435870499</x:v>
      </x:c>
      <x:c r="J2308" s="2" t="n">
        <x:v>98</x:v>
      </x:c>
      <x:c r="K2308" s="2"/>
      <x:c r="L2308" s="2"/>
    </x:row>
    <x:row r="2309" ht="22" customHeight="1">
      <x:c r="A2309" s="2"/>
      <x:c r="B2309" s="2" t="n">
        <x:v>2276</x:v>
      </x:c>
      <x:c r="C2309" s="2" t="str">
        <x:v>23071</x:v>
      </x:c>
      <x:c r="D2309" s="2" t="str">
        <x:v>damages</x:v>
      </x:c>
      <x:c r="E2309" s="11" t="n">
        <x:v>1255.1</x:v>
      </x:c>
      <x:c r="F2309" s="11" t="n">
        <x:v>434</x:v>
      </x:c>
      <x:c r="G2309" s="11" t="n">
        <x:v>821.1</x:v>
      </x:c>
      <x:c r="H2309" s="23" t="n">
        <x:v>0.00006112378372203908</x:v>
      </x:c>
      <x:c r="I2309" s="23" t="n">
        <x:v>0.9486976673707719</x:v>
      </x:c>
      <x:c r="J2309" s="2" t="n">
        <x:v>19</x:v>
      </x:c>
      <x:c r="K2309" s="2"/>
      <x:c r="L2309" s="2"/>
    </x:row>
    <x:row r="2310" ht="22" customHeight="1">
      <x:c r="A2310" s="2"/>
      <x:c r="B2310" s="2" t="n">
        <x:v>2277</x:v>
      </x:c>
      <x:c r="C2310" s="2" t="str">
        <x:v>20825</x:v>
      </x:c>
      <x:c r="D2310" s="2" t="str">
        <x:v>GOLD WINE GLASS</x:v>
      </x:c>
      <x:c r="E2310" s="11" t="n">
        <x:v>1255.08</x:v>
      </x:c>
      <x:c r="F2310" s="11" t="n">
        <x:v>22.5</x:v>
      </x:c>
      <x:c r="G2310" s="11" t="n">
        <x:v>1232.58</x:v>
      </x:c>
      <x:c r="H2310" s="23" t="n">
        <x:v>0.00006112280971544643</x:v>
      </x:c>
      <x:c r="I2310" s="23" t="n">
        <x:v>0.9487587901804874</x:v>
      </x:c>
      <x:c r="J2310" s="2" t="n">
        <x:v>7</x:v>
      </x:c>
      <x:c r="K2310" s="2"/>
      <x:c r="L2310" s="2"/>
    </x:row>
    <x:row r="2311" ht="22" customHeight="1">
      <x:c r="A2311" s="2"/>
      <x:c r="B2311" s="2" t="n">
        <x:v>2278</x:v>
      </x:c>
      <x:c r="C2311" s="2" t="str">
        <x:v>22280</x:v>
      </x:c>
      <x:c r="D2311" s="2" t="str">
        <x:v>POCKET BAG PINK PAISELY BROWN SPOT</x:v>
      </x:c>
      <x:c r="E2311" s="11" t="n">
        <x:v>1254.59</x:v>
      </x:c>
      <x:c r="F2311" s="11" t="n">
        <x:v>0</x:v>
      </x:c>
      <x:c r="G2311" s="11" t="n">
        <x:v>1254.59</x:v>
      </x:c>
      <x:c r="H2311" s="23" t="n">
        <x:v>0.00006109894655392639</x:v>
      </x:c>
      <x:c r="I2311" s="23" t="n">
        <x:v>0.9488198891270413</x:v>
      </x:c>
      <x:c r="J2311" s="2" t="n">
        <x:v>158</x:v>
      </x:c>
      <x:c r="K2311" s="2"/>
      <x:c r="L2311" s="2"/>
    </x:row>
    <x:row r="2312" ht="22" customHeight="1">
      <x:c r="A2312" s="2"/>
      <x:c r="B2312" s="2" t="n">
        <x:v>2279</x:v>
      </x:c>
      <x:c r="C2312" s="2" t="str">
        <x:v>20731</x:v>
      </x:c>
      <x:c r="D2312" s="2" t="str">
        <x:v>POSY CANDY BAG</x:v>
      </x:c>
      <x:c r="E2312" s="11" t="n">
        <x:v>1252.92</x:v>
      </x:c>
      <x:c r="F2312" s="11" t="n">
        <x:v>58.300000000000004</x:v>
      </x:c>
      <x:c r="G2312" s="11" t="n">
        <x:v>1194.62</x:v>
      </x:c>
      <x:c r="H2312" s="23" t="n">
        <x:v>0.00006101761700343974</x:v>
      </x:c>
      <x:c r="I2312" s="23" t="n">
        <x:v>0.9488809067440447</x:v>
      </x:c>
      <x:c r="J2312" s="2" t="n">
        <x:v>73</x:v>
      </x:c>
      <x:c r="K2312" s="2"/>
      <x:c r="L2312" s="2"/>
    </x:row>
    <x:row r="2313" ht="22" customHeight="1">
      <x:c r="A2313" s="2"/>
      <x:c r="B2313" s="2" t="n">
        <x:v>2280</x:v>
      </x:c>
      <x:c r="C2313" s="2" t="str">
        <x:v>84967B</x:v>
      </x:c>
      <x:c r="D2313" s="2" t="str">
        <x:v>BLUE KASHMIRI OCCASIONAL TABLE</x:v>
      </x:c>
      <x:c r="E2313" s="11" t="n">
        <x:v>1249.45</x:v>
      </x:c>
      <x:c r="F2313" s="11" t="n">
        <x:v>139.95</x:v>
      </x:c>
      <x:c r="G2313" s="11" t="n">
        <x:v>1109.5</x:v>
      </x:c>
      <x:c r="H2313" s="23" t="n">
        <x:v>0.00006084862685961417</x:v>
      </x:c>
      <x:c r="I2313" s="23" t="n">
        <x:v>0.9489417553709043</x:v>
      </x:c>
      <x:c r="J2313" s="2" t="n">
        <x:v>11</x:v>
      </x:c>
      <x:c r="K2313" s="2"/>
      <x:c r="L2313" s="2"/>
    </x:row>
    <x:row r="2314" ht="22" customHeight="1">
      <x:c r="A2314" s="2"/>
      <x:c r="B2314" s="2" t="n">
        <x:v>2281</x:v>
      </x:c>
      <x:c r="C2314" s="2" t="str">
        <x:v>23067</x:v>
      </x:c>
      <x:c r="D2314" s="2" t="str">
        <x:v>HANGING ENGRAVED METAL HEART</x:v>
      </x:c>
      <x:c r="E2314" s="11" t="n">
        <x:v>1249.1100000000001</x:v>
      </x:c>
      <x:c r="F2314" s="11" t="n">
        <x:v>0</x:v>
      </x:c>
      <x:c r="G2314" s="11" t="n">
        <x:v>1249.1100000000001</x:v>
      </x:c>
      <x:c r="H2314" s="23" t="n">
        <x:v>0.000060832068747539043</x:v>
      </x:c>
      <x:c r="I2314" s="23" t="n">
        <x:v>0.9490025874396518</x:v>
      </x:c>
      <x:c r="J2314" s="2" t="n">
        <x:v>78</x:v>
      </x:c>
      <x:c r="K2314" s="2"/>
      <x:c r="L2314" s="2"/>
    </x:row>
    <x:row r="2315" ht="22" customHeight="1">
      <x:c r="A2315" s="2"/>
      <x:c r="B2315" s="2" t="n">
        <x:v>2282</x:v>
      </x:c>
      <x:c r="C2315" s="2" t="str">
        <x:v>85159A</x:v>
      </x:c>
      <x:c r="D2315" s="2" t="str">
        <x:v>BLACK TEA,COFFEE,SUGAR JARS</x:v>
      </x:c>
      <x:c r="E2315" s="11" t="n">
        <x:v>1248.98</x:v>
      </x:c>
      <x:c r="F2315" s="11" t="n">
        <x:v>101.45</x:v>
      </x:c>
      <x:c r="G2315" s="11" t="n">
        <x:v>1147.53</x:v>
      </x:c>
      <x:c r="H2315" s="23" t="n">
        <x:v>0.00006082573770468679</x:v>
      </x:c>
      <x:c r="I2315" s="23" t="n">
        <x:v>0.9490634131773565</x:v>
      </x:c>
      <x:c r="J2315" s="2" t="n">
        <x:v>82</x:v>
      </x:c>
      <x:c r="K2315" s="2"/>
      <x:c r="L2315" s="2"/>
    </x:row>
    <x:row r="2316" ht="22" customHeight="1">
      <x:c r="A2316" s="2"/>
      <x:c r="B2316" s="2" t="n">
        <x:v>2283</x:v>
      </x:c>
      <x:c r="C2316" s="2" t="str">
        <x:v>21438</x:v>
      </x:c>
      <x:c r="D2316" s="2" t="str">
        <x:v>TUB 24 HANGING EASTER EGGS SPOTTY</x:v>
      </x:c>
      <x:c r="E2316" s="11" t="n">
        <x:v>1248.5700000000002</x:v>
      </x:c>
      <x:c r="F2316" s="11" t="n">
        <x:v>15</x:v>
      </x:c>
      <x:c r="G2316" s="11" t="n">
        <x:v>1233.5700000000002</x:v>
      </x:c>
      <x:c r="H2316" s="23" t="n">
        <x:v>0.000060805770569537376</x:v>
      </x:c>
      <x:c r="I2316" s="23" t="n">
        <x:v>0.9491242189479261</x:v>
      </x:c>
      <x:c r="J2316" s="2" t="n">
        <x:v>36</x:v>
      </x:c>
      <x:c r="K2316" s="2"/>
      <x:c r="L2316" s="2"/>
    </x:row>
    <x:row r="2317" ht="22" customHeight="1">
      <x:c r="A2317" s="2"/>
      <x:c r="B2317" s="2" t="n">
        <x:v>2284</x:v>
      </x:c>
      <x:c r="C2317" s="2" t="str">
        <x:v>22389</x:v>
      </x:c>
      <x:c r="D2317" s="2" t="str">
        <x:v>PAPERWEIGHT SAVE THE PLANET</x:v>
      </x:c>
      <x:c r="E2317" s="11" t="n">
        <x:v>1245.52</x:v>
      </x:c>
      <x:c r="F2317" s="11" t="n">
        <x:v>210</x:v>
      </x:c>
      <x:c r="G2317" s="11" t="n">
        <x:v>1035.52</x:v>
      </x:c>
      <x:c r="H2317" s="23" t="n">
        <x:v>0.00006065723456415754</x:v>
      </x:c>
      <x:c r="I2317" s="23" t="n">
        <x:v>0.9491848761824903</x:v>
      </x:c>
      <x:c r="J2317" s="2" t="n">
        <x:v>92</x:v>
      </x:c>
      <x:c r="K2317" s="2"/>
      <x:c r="L2317" s="2"/>
    </x:row>
    <x:row r="2318" ht="22" customHeight="1">
      <x:c r="A2318" s="2"/>
      <x:c r="B2318" s="2" t="n">
        <x:v>2285</x:v>
      </x:c>
      <x:c r="C2318" s="2" t="str">
        <x:v>20707</x:v>
      </x:c>
      <x:c r="D2318" s="2" t="str">
        <x:v>CRAZY DAISY HEART DECORATION</x:v>
      </x:c>
      <x:c r="E2318" s="11" t="n">
        <x:v>1244.93</x:v>
      </x:c>
      <x:c r="F2318" s="11" t="n">
        <x:v>8.75</x:v>
      </x:c>
      <x:c r="G2318" s="11" t="n">
        <x:v>1236.18</x:v>
      </x:c>
      <x:c r="H2318" s="23" t="n">
        <x:v>0.000060628501369674235</x:v>
      </x:c>
      <x:c r="I2318" s="23" t="n">
        <x:v>0.9492455046838599</x:v>
      </x:c>
      <x:c r="J2318" s="2" t="n">
        <x:v>199</x:v>
      </x:c>
      <x:c r="K2318" s="2"/>
      <x:c r="L2318" s="2"/>
    </x:row>
    <x:row r="2319" ht="22" customHeight="1">
      <x:c r="A2319" s="2"/>
      <x:c r="B2319" s="2" t="n">
        <x:v>2286</x:v>
      </x:c>
      <x:c r="C2319" s="2" t="str">
        <x:v>22808</x:v>
      </x:c>
      <x:c r="D2319" s="2" t="str">
        <x:v>SET OF 6 T-LIGHTS EASTER CHICKS</x:v>
      </x:c>
      <x:c r="E2319" s="11" t="n">
        <x:v>1243.88</x:v>
      </x:c>
      <x:c r="F2319" s="11" t="n">
        <x:v>53.1</x:v>
      </x:c>
      <x:c r="G2319" s="11" t="n">
        <x:v>1190.7800000000002</x:v>
      </x:c>
      <x:c r="H2319" s="23" t="n">
        <x:v>0.00006057736602355987</x:v>
      </x:c>
      <x:c r="I2319" s="23" t="n">
        <x:v>0.9493060820498835</x:v>
      </x:c>
      <x:c r="J2319" s="2" t="n">
        <x:v>83</x:v>
      </x:c>
      <x:c r="K2319" s="2"/>
      <x:c r="L2319" s="2"/>
    </x:row>
    <x:row r="2320" ht="22" customHeight="1">
      <x:c r="A2320" s="2"/>
      <x:c r="B2320" s="2" t="n">
        <x:v>2287</x:v>
      </x:c>
      <x:c r="C2320" s="2" t="str">
        <x:v>79163</x:v>
      </x:c>
      <x:c r="D2320" s="2" t="str">
        <x:v>damaged</x:v>
      </x:c>
      <x:c r="E2320" s="11" t="n">
        <x:v>1240.83</x:v>
      </x:c>
      <x:c r="F2320" s="11" t="n">
        <x:v>5.16</x:v>
      </x:c>
      <x:c r="G2320" s="11" t="n">
        <x:v>1235.6699999999998</x:v>
      </x:c>
      <x:c r="H2320" s="23" t="n">
        <x:v>0.00006042883001818003</x:v>
      </x:c>
      <x:c r="I2320" s="23" t="n">
        <x:v>0.9493665108799018</x:v>
      </x:c>
      <x:c r="J2320" s="2" t="n">
        <x:v>64</x:v>
      </x:c>
      <x:c r="K2320" s="2"/>
      <x:c r="L2320" s="2"/>
    </x:row>
    <x:row r="2321" ht="22" customHeight="1">
      <x:c r="A2321" s="2"/>
      <x:c r="B2321" s="2" t="n">
        <x:v>2288</x:v>
      </x:c>
      <x:c r="C2321" s="2" t="str">
        <x:v>23138</x:v>
      </x:c>
      <x:c r="D2321" s="2" t="str">
        <x:v>SINGLE WIRE HOOK IVORY HEART</x:v>
      </x:c>
      <x:c r="E2321" s="11" t="n">
        <x:v>1238.76</x:v>
      </x:c>
      <x:c r="F2321" s="11" t="n">
        <x:v>17.4</x:v>
      </x:c>
      <x:c r="G2321" s="11" t="n">
        <x:v>1221.36</x:v>
      </x:c>
      <x:c r="H2321" s="23" t="n">
        <x:v>0.00006032802033584029</x:v>
      </x:c>
      <x:c r="I2321" s="23" t="n">
        <x:v>0.9494268389002376</x:v>
      </x:c>
      <x:c r="J2321" s="2" t="n">
        <x:v>82</x:v>
      </x:c>
      <x:c r="K2321" s="2"/>
      <x:c r="L2321" s="2"/>
    </x:row>
    <x:row r="2322" ht="22" customHeight="1">
      <x:c r="A2322" s="2"/>
      <x:c r="B2322" s="2" t="n">
        <x:v>2289</x:v>
      </x:c>
      <x:c r="C2322" s="2" t="str">
        <x:v>85162A</x:v>
      </x:c>
      <x:c r="D2322" s="2" t="str">
        <x:v>?</x:v>
      </x:c>
      <x:c r="E2322" s="11" t="n">
        <x:v>1234.27</x:v>
      </x:c>
      <x:c r="F2322" s="11" t="n">
        <x:v>30.31</x:v>
      </x:c>
      <x:c r="G2322" s="11" t="n">
        <x:v>1203.96</x:v>
      </x:c>
      <x:c r="H2322" s="23" t="n">
        <x:v>0.00006010935585578933</x:v>
      </x:c>
      <x:c r="I2322" s="23" t="n">
        <x:v>0.9494869482560934</x:v>
      </x:c>
      <x:c r="J2322" s="2" t="n">
        <x:v>20</x:v>
      </x:c>
      <x:c r="K2322" s="2"/>
      <x:c r="L2322" s="2"/>
    </x:row>
    <x:row r="2323" ht="22" customHeight="1">
      <x:c r="A2323" s="2"/>
      <x:c r="B2323" s="2" t="n">
        <x:v>2290</x:v>
      </x:c>
      <x:c r="C2323" s="2" t="str">
        <x:v>21253</x:v>
      </x:c>
      <x:c r="D2323" s="2" t="str">
        <x:v>SET OF PICTURE FRAME  STICKERS</x:v>
      </x:c>
      <x:c r="E2323" s="11" t="n">
        <x:v>1231.0700000000002</x:v>
      </x:c>
      <x:c r="F2323" s="11" t="n">
        <x:v>0</x:v>
      </x:c>
      <x:c r="G2323" s="11" t="n">
        <x:v>1231.0700000000002</x:v>
      </x:c>
      <x:c r="H2323" s="23" t="n">
        <x:v>0.0000599535148009646</x:v>
      </x:c>
      <x:c r="I2323" s="23" t="n">
        <x:v>0.9495469017708943</x:v>
      </x:c>
      <x:c r="J2323" s="2" t="n">
        <x:v>122</x:v>
      </x:c>
      <x:c r="K2323" s="2"/>
      <x:c r="L2323" s="2"/>
    </x:row>
    <x:row r="2324" ht="22" customHeight="1">
      <x:c r="A2324" s="2"/>
      <x:c r="B2324" s="2" t="n">
        <x:v>2291</x:v>
      </x:c>
      <x:c r="C2324" s="2" t="str">
        <x:v>84910A</x:v>
      </x:c>
      <x:c r="D2324" s="2" t="str">
        <x:v>PINK PAISLEY CUSHION COVER </x:v>
      </x:c>
      <x:c r="E2324" s="11" t="n">
        <x:v>1230.39</x:v>
      </x:c>
      <x:c r="F2324" s="11" t="n">
        <x:v>77.35000000000001</x:v>
      </x:c>
      <x:c r="G2324" s="11" t="n">
        <x:v>1153.04</x:v>
      </x:c>
      <x:c r="H2324" s="23" t="n">
        <x:v>0.000059920398576814344</x:v>
      </x:c>
      <x:c r="I2324" s="23" t="n">
        <x:v>0.9496068221694711</x:v>
      </x:c>
      <x:c r="J2324" s="2" t="n">
        <x:v>53</x:v>
      </x:c>
      <x:c r="K2324" s="2"/>
      <x:c r="L2324" s="2"/>
    </x:row>
    <x:row r="2325" ht="22" customHeight="1">
      <x:c r="A2325" s="2"/>
      <x:c r="B2325" s="2" t="n">
        <x:v>2292</x:v>
      </x:c>
      <x:c r="C2325" s="2" t="str">
        <x:v>22921</x:v>
      </x:c>
      <x:c r="D2325" s="2" t="str">
        <x:v>HERB MARKER CHIVES </x:v>
      </x:c>
      <x:c r="E2325" s="11" t="n">
        <x:v>1229.97</x:v>
      </x:c>
      <x:c r="F2325" s="11" t="n">
        <x:v>7.800000000000001</x:v>
      </x:c>
      <x:c r="G2325" s="11" t="n">
        <x:v>1222.17</x:v>
      </x:c>
      <x:c r="H2325" s="23" t="n">
        <x:v>0.00005989994443836859</x:v>
      </x:c>
      <x:c r="I2325" s="23" t="n">
        <x:v>0.9496667221139095</x:v>
      </x:c>
      <x:c r="J2325" s="2" t="n">
        <x:v>220</x:v>
      </x:c>
      <x:c r="K2325" s="2"/>
      <x:c r="L2325" s="2"/>
    </x:row>
    <x:row r="2326" ht="22" customHeight="1">
      <x:c r="A2326" s="2"/>
      <x:c r="B2326" s="2" t="n">
        <x:v>2293</x:v>
      </x:c>
      <x:c r="C2326" s="2" t="str">
        <x:v>23539</x:v>
      </x:c>
      <x:c r="D2326" s="2" t="str">
        <x:v>WALL ART LOVES' SECRET </x:v>
      </x:c>
      <x:c r="E2326" s="11" t="n">
        <x:v>1227.95</x:v>
      </x:c>
      <x:c r="F2326" s="11" t="n">
        <x:v>0</x:v>
      </x:c>
      <x:c r="G2326" s="11" t="n">
        <x:v>1227.95</x:v>
      </x:c>
      <x:c r="H2326" s="23" t="n">
        <x:v>0.00005980156977251048</x:v>
      </x:c>
      <x:c r="I2326" s="23" t="n">
        <x:v>0.9497265236836819</x:v>
      </x:c>
      <x:c r="J2326" s="2" t="n">
        <x:v>41</x:v>
      </x:c>
      <x:c r="K2326" s="2"/>
      <x:c r="L2326" s="2"/>
    </x:row>
    <x:row r="2327" ht="22" customHeight="1">
      <x:c r="A2327" s="2"/>
      <x:c r="B2327" s="2" t="n">
        <x:v>2294</x:v>
      </x:c>
      <x:c r="C2327" s="2" t="str">
        <x:v>84658</x:v>
      </x:c>
      <x:c r="D2327" s="2" t="str">
        <x:v>WHITE STITCHED CUSHION COVER</x:v>
      </x:c>
      <x:c r="E2327" s="11" t="n">
        <x:v>1227.46</x:v>
      </x:c>
      <x:c r="F2327" s="11" t="n">
        <x:v>0</x:v>
      </x:c>
      <x:c r="G2327" s="11" t="n">
        <x:v>1227.46</x:v>
      </x:c>
      <x:c r="H2327" s="23" t="n">
        <x:v>0.000059777706610990444</x:v>
      </x:c>
      <x:c r="I2327" s="23" t="n">
        <x:v>0.949786301390293</x:v>
      </x:c>
      <x:c r="J2327" s="2" t="n">
        <x:v>64</x:v>
      </x:c>
      <x:c r="K2327" s="2"/>
      <x:c r="L2327" s="2"/>
    </x:row>
    <x:row r="2328" ht="22" customHeight="1">
      <x:c r="A2328" s="2"/>
      <x:c r="B2328" s="2" t="n">
        <x:v>2295</x:v>
      </x:c>
      <x:c r="C2328" s="2" t="str">
        <x:v>16046</x:v>
      </x:c>
      <x:c r="D2328" s="2" t="str">
        <x:v>TEATIME PEN CASE &amp; PENS</x:v>
      </x:c>
      <x:c r="E2328" s="11" t="n">
        <x:v>1226.8999999999999</x:v>
      </x:c>
      <x:c r="F2328" s="11" t="n">
        <x:v>389.03999999999996</x:v>
      </x:c>
      <x:c r="G2328" s="11" t="n">
        <x:v>837.86</x:v>
      </x:c>
      <x:c r="H2328" s="23" t="n">
        <x:v>0.000059750434426396104</x:v>
      </x:c>
      <x:c r="I2328" s="23" t="n">
        <x:v>0.9498460518247194</x:v>
      </x:c>
      <x:c r="J2328" s="2" t="n">
        <x:v>59</x:v>
      </x:c>
      <x:c r="K2328" s="2"/>
      <x:c r="L2328" s="2"/>
    </x:row>
    <x:row r="2329" ht="22" customHeight="1">
      <x:c r="A2329" s="2"/>
      <x:c r="B2329" s="2" t="n">
        <x:v>2296</x:v>
      </x:c>
      <x:c r="C2329" s="2" t="str">
        <x:v>85135B</x:v>
      </x:c>
      <x:c r="D2329" s="2" t="str">
        <x:v>BLUE DRAGONFLY HELICOPTER</x:v>
      </x:c>
      <x:c r="E2329" s="11" t="n">
        <x:v>1226.51</x:v>
      </x:c>
      <x:c r="F2329" s="11" t="n">
        <x:v>15.9</x:v>
      </x:c>
      <x:c r="G2329" s="11" t="n">
        <x:v>1210.6100000000001</x:v>
      </x:c>
      <x:c r="H2329" s="23" t="n">
        <x:v>0.00005973144129783935</x:v>
      </x:c>
      <x:c r="I2329" s="23" t="n">
        <x:v>0.9499057832660173</x:v>
      </x:c>
      <x:c r="J2329" s="2" t="n">
        <x:v>115</x:v>
      </x:c>
      <x:c r="K2329" s="2"/>
      <x:c r="L2329" s="2"/>
    </x:row>
    <x:row r="2330" ht="22" customHeight="1">
      <x:c r="A2330" s="2"/>
      <x:c r="B2330" s="2" t="n">
        <x:v>2297</x:v>
      </x:c>
      <x:c r="C2330" s="2" t="str">
        <x:v>20771</x:v>
      </x:c>
      <x:c r="D2330" s="2" t="str">
        <x:v>CHRYSANTHEMUM  JOURNAL</x:v>
      </x:c>
      <x:c r="E2330" s="11" t="n">
        <x:v>1222.08</x:v>
      </x:c>
      <x:c r="F2330" s="11" t="n">
        <x:v>15.299999999999999</x:v>
      </x:c>
      <x:c r="G2330" s="11" t="n">
        <x:v>1206.78</x:v>
      </x:c>
      <x:c r="H2330" s="23" t="n">
        <x:v>0.00005951569883756635</x:v>
      </x:c>
      <x:c r="I2330" s="23" t="n">
        <x:v>0.9499652989648548</x:v>
      </x:c>
      <x:c r="J2330" s="2" t="n">
        <x:v>140</x:v>
      </x:c>
      <x:c r="K2330" s="2"/>
      <x:c r="L2330" s="2"/>
    </x:row>
    <x:row r="2331" ht="22" customHeight="1">
      <x:c r="A2331" s="2"/>
      <x:c r="B2331" s="2" t="n">
        <x:v>2298</x:v>
      </x:c>
      <x:c r="C2331" s="2" t="str">
        <x:v>23142</x:v>
      </x:c>
      <x:c r="D2331" s="2" t="str">
        <x:v>IVORY WIRE KITCHEN ORGANISER</x:v>
      </x:c>
      <x:c r="E2331" s="11" t="n">
        <x:v>1220.8200000000002</x:v>
      </x:c>
      <x:c r="F2331" s="11" t="n">
        <x:v>19.55</x:v>
      </x:c>
      <x:c r="G2331" s="11" t="n">
        <x:v>1201.2700000000002</x:v>
      </x:c>
      <x:c r="H2331" s="23" t="n">
        <x:v>0.00005945433642222912</x:v>
      </x:c>
      <x:c r="I2331" s="23" t="n">
        <x:v>0.950024753301277</x:v>
      </x:c>
      <x:c r="J2331" s="2" t="n">
        <x:v>40</x:v>
      </x:c>
      <x:c r="K2331" s="2"/>
      <x:c r="L2331" s="2"/>
    </x:row>
    <x:row r="2332" ht="22" customHeight="1">
      <x:c r="A2332" s="2"/>
      <x:c r="B2332" s="2" t="n">
        <x:v>2299</x:v>
      </x:c>
      <x:c r="C2332" s="2" t="str">
        <x:v>23598</x:v>
      </x:c>
      <x:c r="D2332" s="2" t="str">
        <x:v>PAPER BUNTING VINTAGE PARTY</x:v>
      </x:c>
      <x:c r="E2332" s="11" t="n">
        <x:v>1218.48</x:v>
      </x:c>
      <x:c r="F2332" s="11" t="n">
        <x:v>0</x:v>
      </x:c>
      <x:c r="G2332" s="11" t="n">
        <x:v>1218.48</x:v>
      </x:c>
      <x:c r="H2332" s="23" t="n">
        <x:v>0.00005934037765088853</x:v>
      </x:c>
      <x:c r="I2332" s="23" t="n">
        <x:v>0.9500840936789279</x:v>
      </x:c>
      <x:c r="J2332" s="2" t="n">
        <x:v>47</x:v>
      </x:c>
      <x:c r="K2332" s="2"/>
      <x:c r="L2332" s="2"/>
    </x:row>
    <x:row r="2333" ht="22" customHeight="1">
      <x:c r="A2333" s="2"/>
      <x:c r="B2333" s="2" t="n">
        <x:v>2300</x:v>
      </x:c>
      <x:c r="C2333" s="2" t="str">
        <x:v>85130A</x:v>
      </x:c>
      <x:c r="D2333" s="2" t="str">
        <x:v>BEADED PEARL HEART WHITE LARGE</x:v>
      </x:c>
      <x:c r="E2333" s="11" t="n">
        <x:v>1217.54</x:v>
      </x:c>
      <x:c r="F2333" s="11" t="n">
        <x:v>0</x:v>
      </x:c>
      <x:c r="G2333" s="11" t="n">
        <x:v>1217.54</x:v>
      </x:c>
      <x:c r="H2333" s="23" t="n">
        <x:v>0.00005929459934103376</x:v>
      </x:c>
      <x:c r="I2333" s="23" t="n">
        <x:v>0.9501433882782689</x:v>
      </x:c>
      <x:c r="J2333" s="2" t="n">
        <x:v>86</x:v>
      </x:c>
      <x:c r="K2333" s="2"/>
      <x:c r="L2333" s="2"/>
    </x:row>
    <x:row r="2334" ht="22" customHeight="1">
      <x:c r="A2334" s="2"/>
      <x:c r="B2334" s="2" t="n">
        <x:v>2301</x:v>
      </x:c>
      <x:c r="C2334" s="2" t="str">
        <x:v>22216</x:v>
      </x:c>
      <x:c r="D2334" s="2" t="str">
        <x:v>T-LIGHT HOLDER WHITE LACE</x:v>
      </x:c>
      <x:c r="E2334" s="11" t="n">
        <x:v>1215.83</x:v>
      </x:c>
      <x:c r="F2334" s="11" t="n">
        <x:v>2.55</x:v>
      </x:c>
      <x:c r="G2334" s="11" t="n">
        <x:v>1213.28</x:v>
      </x:c>
      <x:c r="H2334" s="23" t="n">
        <x:v>0.00005921132177736179</x:v>
      </x:c>
      <x:c r="I2334" s="23" t="n">
        <x:v>0.9502025996000463</x:v>
      </x:c>
      <x:c r="J2334" s="2" t="n">
        <x:v>116</x:v>
      </x:c>
      <x:c r="K2334" s="2"/>
      <x:c r="L2334" s="2"/>
    </x:row>
    <x:row r="2335" ht="22" customHeight="1">
      <x:c r="A2335" s="2"/>
      <x:c r="B2335" s="2" t="n">
        <x:v>2302</x:v>
      </x:c>
      <x:c r="C2335" s="2" t="str">
        <x:v>21490</x:v>
      </x:c>
      <x:c r="D2335" s="2" t="str">
        <x:v>SET OF THREE 50'S GIFT WRAPS </x:v>
      </x:c>
      <x:c r="E2335" s="11" t="n">
        <x:v>1214.5</x:v>
      </x:c>
      <x:c r="F2335" s="11" t="n">
        <x:v>54.599999999999994</x:v>
      </x:c>
      <x:c r="G2335" s="11" t="n">
        <x:v>1159.8999999999999</x:v>
      </x:c>
      <x:c r="H2335" s="23" t="n">
        <x:v>0.000059146550338950267</x:v>
      </x:c>
      <x:c r="I2335" s="23" t="n">
        <x:v>0.9502617461503852</x:v>
      </x:c>
      <x:c r="J2335" s="2" t="n">
        <x:v>55</x:v>
      </x:c>
      <x:c r="K2335" s="2"/>
      <x:c r="L2335" s="2"/>
    </x:row>
    <x:row r="2336" ht="22" customHeight="1">
      <x:c r="A2336" s="2"/>
      <x:c r="B2336" s="2" t="n">
        <x:v>2303</x:v>
      </x:c>
      <x:c r="C2336" s="2" t="str">
        <x:v>84687</x:v>
      </x:c>
      <x:c r="D2336" s="2" t="str">
        <x:v>BEACH HUT SHELF W 3 DRAWERS</x:v>
      </x:c>
      <x:c r="E2336" s="11" t="n">
        <x:v>1214.01</x:v>
      </x:c>
      <x:c r="F2336" s="11" t="n">
        <x:v>37.65</x:v>
      </x:c>
      <x:c r="G2336" s="11" t="n">
        <x:v>1176.36</x:v>
      </x:c>
      <x:c r="H2336" s="23" t="n">
        <x:v>0.00005912268717743023</x:v>
      </x:c>
      <x:c r="I2336" s="23" t="n">
        <x:v>0.9503208688375626</x:v>
      </x:c>
      <x:c r="J2336" s="2" t="n">
        <x:v>73</x:v>
      </x:c>
      <x:c r="K2336" s="2"/>
      <x:c r="L2336" s="2"/>
    </x:row>
    <x:row r="2337" ht="22" customHeight="1">
      <x:c r="A2337" s="2"/>
      <x:c r="B2337" s="2" t="n">
        <x:v>2304</x:v>
      </x:c>
      <x:c r="C2337" s="2" t="str">
        <x:v>22265</x:v>
      </x:c>
      <x:c r="D2337" s="2" t="str">
        <x:v>EASTER DECORATION NATURAL CHICK</x:v>
      </x:c>
      <x:c r="E2337" s="11" t="n">
        <x:v>1211.7</x:v>
      </x:c>
      <x:c r="F2337" s="11" t="n">
        <x:v>0</x:v>
      </x:c>
      <x:c r="G2337" s="11" t="n">
        <x:v>1211.7</x:v>
      </x:c>
      <x:c r="H2337" s="23" t="n">
        <x:v>0.00005901018941597862</x:v>
      </x:c>
      <x:c r="I2337" s="23" t="n">
        <x:v>0.9503798790269786</x:v>
      </x:c>
      <x:c r="J2337" s="2" t="n">
        <x:v>168</x:v>
      </x:c>
      <x:c r="K2337" s="2"/>
      <x:c r="L2337" s="2"/>
    </x:row>
    <x:row r="2338" ht="22" customHeight="1">
      <x:c r="A2338" s="2"/>
      <x:c r="B2338" s="2" t="n">
        <x:v>2305</x:v>
      </x:c>
      <x:c r="C2338" s="2" t="str">
        <x:v>22233</x:v>
      </x:c>
      <x:c r="D2338" s="2" t="str">
        <x:v>JIGSAW RABBIT AND BIRDHOUSE</x:v>
      </x:c>
      <x:c r="E2338" s="11" t="n">
        <x:v>1210.6999999999998</x:v>
      </x:c>
      <x:c r="F2338" s="11" t="n">
        <x:v>101.24</x:v>
      </x:c>
      <x:c r="G2338" s="11" t="n">
        <x:v>1109.4599999999998</x:v>
      </x:c>
      <x:c r="H2338" s="23" t="n">
        <x:v>0.00005896148908634588</x:v>
      </x:c>
      <x:c r="I2338" s="23" t="n">
        <x:v>0.950438840516065</x:v>
      </x:c>
      <x:c r="J2338" s="2" t="n">
        <x:v>164</x:v>
      </x:c>
      <x:c r="K2338" s="2"/>
      <x:c r="L2338" s="2"/>
    </x:row>
    <x:row r="2339" ht="22" customHeight="1">
      <x:c r="A2339" s="2"/>
      <x:c r="B2339" s="2" t="n">
        <x:v>2306</x:v>
      </x:c>
      <x:c r="C2339" s="2" t="str">
        <x:v>79066K</x:v>
      </x:c>
      <x:c r="D2339" s="2" t="str">
        <x:v>RETRO MOD TRAY</x:v>
      </x:c>
      <x:c r="E2339" s="11" t="n">
        <x:v>1210.45</x:v>
      </x:c>
      <x:c r="F2339" s="11" t="n">
        <x:v>10.2</x:v>
      </x:c>
      <x:c r="G2339" s="11" t="n">
        <x:v>1200.25</x:v>
      </x:c>
      <x:c r="H2339" s="23" t="n">
        <x:v>0.00005894931400393771</x:v>
      </x:c>
      <x:c r="I2339" s="23" t="n">
        <x:v>0.9504977898300689</x:v>
      </x:c>
      <x:c r="J2339" s="2" t="n">
        <x:v>240</x:v>
      </x:c>
      <x:c r="K2339" s="2"/>
      <x:c r="L2339" s="2"/>
    </x:row>
    <x:row r="2340" ht="22" customHeight="1">
      <x:c r="A2340" s="2"/>
      <x:c r="B2340" s="2" t="n">
        <x:v>2307</x:v>
      </x:c>
      <x:c r="C2340" s="2" t="str">
        <x:v>84823</x:v>
      </x:c>
      <x:c r="D2340" s="2" t="str">
        <x:v>DANISH ROSE FOLDING CHAIR</x:v>
      </x:c>
      <x:c r="E2340" s="11" t="n">
        <x:v>1210</x:v>
      </x:c>
      <x:c r="F2340" s="11" t="n">
        <x:v>39.95</x:v>
      </x:c>
      <x:c r="G2340" s="11" t="n">
        <x:v>1170.0500000000002</x:v>
      </x:c>
      <x:c r="H2340" s="23" t="n">
        <x:v>0.00005892739885560298</x:v>
      </x:c>
      <x:c r="I2340" s="23" t="n">
        <x:v>0.9505567172289245</x:v>
      </x:c>
      <x:c r="J2340" s="2" t="n">
        <x:v>29</x:v>
      </x:c>
      <x:c r="K2340" s="2"/>
      <x:c r="L2340" s="2"/>
    </x:row>
    <x:row r="2341" ht="22" customHeight="1">
      <x:c r="A2341" s="2"/>
      <x:c r="B2341" s="2" t="n">
        <x:v>2308</x:v>
      </x:c>
      <x:c r="C2341" s="2" t="str">
        <x:v>22256</x:v>
      </x:c>
      <x:c r="D2341" s="2" t="str">
        <x:v>FELT FARM ANIMAL CHICKEN</x:v>
      </x:c>
      <x:c r="E2341" s="11" t="n">
        <x:v>1207.57</x:v>
      </x:c>
      <x:c r="F2341" s="11" t="n">
        <x:v>15</x:v>
      </x:c>
      <x:c r="G2341" s="11" t="n">
        <x:v>1192.57</x:v>
      </x:c>
      <x:c r="H2341" s="23" t="n">
        <x:v>0.00005880905705459544</x:v>
      </x:c>
      <x:c r="I2341" s="23" t="n">
        <x:v>0.9506155262859791</x:v>
      </x:c>
      <x:c r="J2341" s="2" t="n">
        <x:v>119</x:v>
      </x:c>
      <x:c r="K2341" s="2"/>
      <x:c r="L2341" s="2"/>
    </x:row>
    <x:row r="2342" ht="22" customHeight="1">
      <x:c r="A2342" s="2"/>
      <x:c r="B2342" s="2" t="n">
        <x:v>2309</x:v>
      </x:c>
      <x:c r="C2342" s="2" t="str">
        <x:v>22102</x:v>
      </x:c>
      <x:c r="D2342" s="2" t="str">
        <x:v>MIRROR MOSAIC T-LIGHT HOLDER </x:v>
      </x:c>
      <x:c r="E2342" s="11" t="n">
        <x:v>1206.54</x:v>
      </x:c>
      <x:c r="F2342" s="11" t="n">
        <x:v>282.45</x:v>
      </x:c>
      <x:c r="G2342" s="11" t="n">
        <x:v>924.0899999999999</x:v>
      </x:c>
      <x:c r="H2342" s="23" t="n">
        <x:v>0.000058758895715073736</x:v>
      </x:c>
      <x:c r="I2342" s="23" t="n">
        <x:v>0.9506742851816942</x:v>
      </x:c>
      <x:c r="J2342" s="2" t="n">
        <x:v>59</x:v>
      </x:c>
      <x:c r="K2342" s="2"/>
      <x:c r="L2342" s="2"/>
    </x:row>
    <x:row r="2343" ht="22" customHeight="1">
      <x:c r="A2343" s="2"/>
      <x:c r="B2343" s="2" t="n">
        <x:v>2310</x:v>
      </x:c>
      <x:c r="C2343" s="2" t="str">
        <x:v>21904</x:v>
      </x:c>
      <x:c r="D2343" s="2" t="str">
        <x:v>HOUSE WRECKING METAL SIGN </x:v>
      </x:c>
      <x:c r="E2343" s="11" t="n">
        <x:v>1205.72</x:v>
      </x:c>
      <x:c r="F2343" s="11" t="n">
        <x:v>179.70000000000002</x:v>
      </x:c>
      <x:c r="G2343" s="11" t="n">
        <x:v>1026.02</x:v>
      </x:c>
      <x:c r="H2343" s="23" t="n">
        <x:v>0.0000587189614447749</x:v>
      </x:c>
      <x:c r="I2343" s="23" t="n">
        <x:v>0.950733004143139</x:v>
      </x:c>
      <x:c r="J2343" s="2" t="n">
        <x:v>145</x:v>
      </x:c>
      <x:c r="K2343" s="2"/>
      <x:c r="L2343" s="2"/>
    </x:row>
    <x:row r="2344" ht="22" customHeight="1">
      <x:c r="A2344" s="2"/>
      <x:c r="B2344" s="2" t="n">
        <x:v>2311</x:v>
      </x:c>
      <x:c r="C2344" s="2" t="str">
        <x:v>21396</x:v>
      </x:c>
      <x:c r="D2344" s="2" t="str">
        <x:v>RED SPOTTY EGG CUP </x:v>
      </x:c>
      <x:c r="E2344" s="11" t="n">
        <x:v>1205.25</x:v>
      </x:c>
      <x:c r="F2344" s="11" t="n">
        <x:v>6.25</x:v>
      </x:c>
      <x:c r="G2344" s="11" t="n">
        <x:v>1199</x:v>
      </x:c>
      <x:c r="H2344" s="23" t="n">
        <x:v>0.00005869607228984751</x:v>
      </x:c>
      <x:c r="I2344" s="23" t="n">
        <x:v>0.9507917002154288</x:v>
      </x:c>
      <x:c r="J2344" s="2" t="n">
        <x:v>77</x:v>
      </x:c>
      <x:c r="K2344" s="2"/>
      <x:c r="L2344" s="2"/>
    </x:row>
    <x:row r="2345" ht="22" customHeight="1">
      <x:c r="A2345" s="2"/>
      <x:c r="B2345" s="2" t="n">
        <x:v>2312</x:v>
      </x:c>
      <x:c r="C2345" s="2" t="str">
        <x:v>21130</x:v>
      </x:c>
      <x:c r="D2345" s="2" t="str">
        <x:v>damaged</x:v>
      </x:c>
      <x:c r="E2345" s="11" t="n">
        <x:v>1204.38</x:v>
      </x:c>
      <x:c r="F2345" s="11" t="n">
        <x:v>3.45</x:v>
      </x:c>
      <x:c r="G2345" s="11" t="n">
        <x:v>1200.93</x:v>
      </x:c>
      <x:c r="H2345" s="23" t="n">
        <x:v>0.000058653703003067044</x:v>
      </x:c>
      <x:c r="I2345" s="23" t="n">
        <x:v>0.9508503539184319</x:v>
      </x:c>
      <x:c r="J2345" s="2" t="n">
        <x:v>49</x:v>
      </x:c>
      <x:c r="K2345" s="2"/>
      <x:c r="L2345" s="2"/>
    </x:row>
    <x:row r="2346" ht="22" customHeight="1">
      <x:c r="A2346" s="2"/>
      <x:c r="B2346" s="2" t="n">
        <x:v>2313</x:v>
      </x:c>
      <x:c r="C2346" s="2" t="str">
        <x:v>22403</x:v>
      </x:c>
      <x:c r="D2346" s="2" t="str">
        <x:v>MAGNETS PACK OF 4 VINTAGE LABELS </x:v>
      </x:c>
      <x:c r="E2346" s="11" t="n">
        <x:v>1202.53</x:v>
      </x:c>
      <x:c r="F2346" s="11" t="n">
        <x:v>15</x:v>
      </x:c>
      <x:c r="G2346" s="11" t="n">
        <x:v>1187.53</x:v>
      </x:c>
      <x:c r="H2346" s="23" t="n">
        <x:v>0.000058563607393246486</x:v>
      </x:c>
      <x:c r="I2346" s="23" t="n">
        <x:v>0.9509089175258251</x:v>
      </x:c>
      <x:c r="J2346" s="2" t="n">
        <x:v>212</x:v>
      </x:c>
      <x:c r="K2346" s="2"/>
      <x:c r="L2346" s="2"/>
    </x:row>
    <x:row r="2347" ht="22" customHeight="1">
      <x:c r="A2347" s="2"/>
      <x:c r="B2347" s="2" t="n">
        <x:v>2314</x:v>
      </x:c>
      <x:c r="C2347" s="2" t="str">
        <x:v>23026</x:v>
      </x:c>
      <x:c r="D2347" s="2" t="str">
        <x:v>DRAWER KNOB VINTAGE GLASS STAR</x:v>
      </x:c>
      <x:c r="E2347" s="11" t="n">
        <x:v>1201.04</x:v>
      </x:c>
      <x:c r="F2347" s="11" t="n">
        <x:v>29.12</x:v>
      </x:c>
      <x:c r="G2347" s="11" t="n">
        <x:v>1171.92</x:v>
      </x:c>
      <x:c r="H2347" s="23" t="n">
        <x:v>0.00005849104390209372</x:v>
      </x:c>
      <x:c r="I2347" s="23" t="n">
        <x:v>0.9509674085697272</x:v>
      </x:c>
      <x:c r="J2347" s="2" t="n">
        <x:v>62</x:v>
      </x:c>
      <x:c r="K2347" s="2"/>
      <x:c r="L2347" s="2"/>
    </x:row>
    <x:row r="2348" ht="22" customHeight="1">
      <x:c r="A2348" s="2"/>
      <x:c r="B2348" s="2" t="n">
        <x:v>2315</x:v>
      </x:c>
      <x:c r="C2348" s="2" t="str">
        <x:v>84815</x:v>
      </x:c>
      <x:c r="D2348" s="2" t="str">
        <x:v>SET OF 3 DANISH ROSE PLANTERS</x:v>
      </x:c>
      <x:c r="E2348" s="11" t="n">
        <x:v>1200.8200000000002</x:v>
      </x:c>
      <x:c r="F2348" s="11" t="n">
        <x:v>0</x:v>
      </x:c>
      <x:c r="G2348" s="11" t="n">
        <x:v>1200.8200000000002</x:v>
      </x:c>
      <x:c r="H2348" s="23" t="n">
        <x:v>0.00005848032982957453</x:v>
      </x:c>
      <x:c r="I2348" s="23" t="n">
        <x:v>0.9510258888995567</x:v>
      </x:c>
      <x:c r="J2348" s="2" t="n">
        <x:v>53</x:v>
      </x:c>
      <x:c r="K2348" s="2"/>
      <x:c r="L2348" s="2"/>
    </x:row>
    <x:row r="2349" ht="22" customHeight="1">
      <x:c r="A2349" s="2"/>
      <x:c r="B2349" s="2" t="n">
        <x:v>2316</x:v>
      </x:c>
      <x:c r="C2349" s="2" t="str">
        <x:v>21883</x:v>
      </x:c>
      <x:c r="D2349" s="2" t="str">
        <x:v>STARS GIFT TAPE </x:v>
      </x:c>
      <x:c r="E2349" s="11" t="n">
        <x:v>1200.13</x:v>
      </x:c>
      <x:c r="F2349" s="11" t="n">
        <x:v>0.19</x:v>
      </x:c>
      <x:c r="G2349" s="11" t="n">
        <x:v>1199.94</x:v>
      </x:c>
      <x:c r="H2349" s="23" t="n">
        <x:v>0.00005844672660212794</x:v>
      </x:c>
      <x:c r="I2349" s="23" t="n">
        <x:v>0.9510843356261589</x:v>
      </x:c>
      <x:c r="J2349" s="2" t="n">
        <x:v>226</x:v>
      </x:c>
      <x:c r="K2349" s="2"/>
      <x:c r="L2349" s="2"/>
    </x:row>
    <x:row r="2350" ht="22" customHeight="1">
      <x:c r="A2350" s="2"/>
      <x:c r="B2350" s="2" t="n">
        <x:v>2317</x:v>
      </x:c>
      <x:c r="C2350" s="2" t="str">
        <x:v>23444</x:v>
      </x:c>
      <x:c r="D2350" s="2" t="str">
        <x:v>Next Day Carriage</x:v>
      </x:c>
      <x:c r="E2350" s="11" t="n">
        <x:v>1200</x:v>
      </x:c>
      <x:c r="F2350" s="11" t="n">
        <x:v>15</x:v>
      </x:c>
      <x:c r="G2350" s="11" t="n">
        <x:v>1185</x:v>
      </x:c>
      <x:c r="H2350" s="23" t="n">
        <x:v>0.000058440395559275686</x:v>
      </x:c>
      <x:c r="I2350" s="23" t="n">
        <x:v>0.9511427760217182</x:v>
      </x:c>
      <x:c r="J2350" s="2" t="n">
        <x:v>79</x:v>
      </x:c>
      <x:c r="K2350" s="2"/>
      <x:c r="L2350" s="2"/>
    </x:row>
    <x:row r="2351" ht="22" customHeight="1">
      <x:c r="A2351" s="2"/>
      <x:c r="B2351" s="2" t="n">
        <x:v>2318</x:v>
      </x:c>
      <x:c r="C2351" s="2" t="str">
        <x:v>85129D</x:v>
      </x:c>
      <x:c r="D2351" s="2" t="str">
        <x:v>BEADED CRYSTAL HEART PINK SMALL</x:v>
      </x:c>
      <x:c r="E2351" s="11" t="n">
        <x:v>1197.31</x:v>
      </x:c>
      <x:c r="F2351" s="11" t="n">
        <x:v>1.25</x:v>
      </x:c>
      <x:c r="G2351" s="11" t="n">
        <x:v>1196.06</x:v>
      </x:c>
      <x:c r="H2351" s="23" t="n">
        <x:v>0.00005830939167256364</x:v>
      </x:c>
      <x:c r="I2351" s="23" t="n">
        <x:v>0.9512010854133908</x:v>
      </x:c>
      <x:c r="J2351" s="2" t="n">
        <x:v>168</x:v>
      </x:c>
      <x:c r="K2351" s="2"/>
      <x:c r="L2351" s="2"/>
    </x:row>
    <x:row r="2352" ht="22" customHeight="1">
      <x:c r="A2352" s="2"/>
      <x:c r="B2352" s="2" t="n">
        <x:v>2319</x:v>
      </x:c>
      <x:c r="C2352" s="2" t="str">
        <x:v>21650</x:v>
      </x:c>
      <x:c r="D2352" s="2" t="str">
        <x:v>ASSORTED TUTTI FRUTTI BRACELET</x:v>
      </x:c>
      <x:c r="E2352" s="11" t="n">
        <x:v>1196.3</x:v>
      </x:c>
      <x:c r="F2352" s="11" t="n">
        <x:v>7.16</x:v>
      </x:c>
      <x:c r="G2352" s="11" t="n">
        <x:v>1189.14</x:v>
      </x:c>
      <x:c r="H2352" s="23" t="n">
        <x:v>0.00005826020433963458</x:v>
      </x:c>
      <x:c r="I2352" s="23" t="n">
        <x:v>0.9512593456177304</x:v>
      </x:c>
      <x:c r="J2352" s="2" t="n">
        <x:v>197</x:v>
      </x:c>
      <x:c r="K2352" s="2"/>
      <x:c r="L2352" s="2"/>
    </x:row>
    <x:row r="2353" ht="22" customHeight="1">
      <x:c r="A2353" s="2"/>
      <x:c r="B2353" s="2" t="n">
        <x:v>2320</x:v>
      </x:c>
      <x:c r="C2353" s="2" t="str">
        <x:v>20934</x:v>
      </x:c>
      <x:c r="D2353" s="2" t="str">
        <x:v>SET/3 POT PLANT CANDLES</x:v>
      </x:c>
      <x:c r="E2353" s="11" t="n">
        <x:v>1195.97</x:v>
      </x:c>
      <x:c r="F2353" s="11" t="n">
        <x:v>107.5</x:v>
      </x:c>
      <x:c r="G2353" s="11" t="n">
        <x:v>1088.47</x:v>
      </x:c>
      <x:c r="H2353" s="23" t="n">
        <x:v>0.000058244133230855784</x:v>
      </x:c>
      <x:c r="I2353" s="23" t="n">
        <x:v>0.9513175897509613</x:v>
      </x:c>
      <x:c r="J2353" s="2" t="n">
        <x:v>74</x:v>
      </x:c>
      <x:c r="K2353" s="2"/>
      <x:c r="L2353" s="2"/>
    </x:row>
    <x:row r="2354" ht="22" customHeight="1">
      <x:c r="A2354" s="2"/>
      <x:c r="B2354" s="2" t="n">
        <x:v>2321</x:v>
      </x:c>
      <x:c r="C2354" s="2" t="str">
        <x:v>72232</x:v>
      </x:c>
      <x:c r="D2354" s="2" t="str">
        <x:v>FENG SHUI PILLAR CANDLE</x:v>
      </x:c>
      <x:c r="E2354" s="11" t="n">
        <x:v>1195.48</x:v>
      </x:c>
      <x:c r="F2354" s="11" t="n">
        <x:v>0</x:v>
      </x:c>
      <x:c r="G2354" s="11" t="n">
        <x:v>1195.48</x:v>
      </x:c>
      <x:c r="H2354" s="23" t="n">
        <x:v>0.000058220270069335746</x:v>
      </x:c>
      <x:c r="I2354" s="23" t="n">
        <x:v>0.9513758100210306</x:v>
      </x:c>
      <x:c r="J2354" s="2" t="n">
        <x:v>118</x:v>
      </x:c>
      <x:c r="K2354" s="2"/>
      <x:c r="L2354" s="2"/>
    </x:row>
    <x:row r="2355" ht="22" customHeight="1">
      <x:c r="A2355" s="2"/>
      <x:c r="B2355" s="2" t="n">
        <x:v>2322</x:v>
      </x:c>
      <x:c r="C2355" s="2" t="str">
        <x:v>84830</x:v>
      </x:c>
      <x:c r="D2355" s="2" t="str">
        <x:v>LARGE ENGLISH ARBORETUM</x:v>
      </x:c>
      <x:c r="E2355" s="11" t="n">
        <x:v>1195.15</x:v>
      </x:c>
      <x:c r="F2355" s="11" t="n">
        <x:v>50.849999999999994</x:v>
      </x:c>
      <x:c r="G2355" s="11" t="n">
        <x:v>1144.3</x:v>
      </x:c>
      <x:c r="H2355" s="23" t="n">
        <x:v>0.00005820419896055695</x:v>
      </x:c>
      <x:c r="I2355" s="23" t="n">
        <x:v>0.9514340142199911</x:v>
      </x:c>
      <x:c r="J2355" s="2" t="n">
        <x:v>7</x:v>
      </x:c>
      <x:c r="K2355" s="2"/>
      <x:c r="L2355" s="2"/>
    </x:row>
    <x:row r="2356" ht="22" customHeight="1">
      <x:c r="A2356" s="2"/>
      <x:c r="B2356" s="2" t="n">
        <x:v>2323</x:v>
      </x:c>
      <x:c r="C2356" s="2" t="str">
        <x:v>84625A</x:v>
      </x:c>
      <x:c r="D2356" s="2" t="str">
        <x:v>PINK NEW BAROQUECANDLESTICK CANDLE</x:v>
      </x:c>
      <x:c r="E2356" s="11" t="n">
        <x:v>1193</x:v>
      </x:c>
      <x:c r="F2356" s="11" t="n">
        <x:v>64.80000000000001</x:v>
      </x:c>
      <x:c r="G2356" s="11" t="n">
        <x:v>1128.2</x:v>
      </x:c>
      <x:c r="H2356" s="23" t="n">
        <x:v>0.000058099493251846574</x:v>
      </x:c>
      <x:c r="I2356" s="23" t="n">
        <x:v>0.9514921137132429</x:v>
      </x:c>
      <x:c r="J2356" s="2" t="n">
        <x:v>81</x:v>
      </x:c>
      <x:c r="K2356" s="2"/>
      <x:c r="L2356" s="2"/>
    </x:row>
    <x:row r="2357" ht="22" customHeight="1">
      <x:c r="A2357" s="2"/>
      <x:c r="B2357" s="2" t="n">
        <x:v>2324</x:v>
      </x:c>
      <x:c r="C2357" s="2" t="str">
        <x:v>84559A</x:v>
      </x:c>
      <x:c r="D2357" s="2" t="str">
        <x:v>3D SHEET OF DOG STICKERS</x:v>
      </x:c>
      <x:c r="E2357" s="11" t="n">
        <x:v>1192.72</x:v>
      </x:c>
      <x:c r="F2357" s="11" t="n">
        <x:v>0</x:v>
      </x:c>
      <x:c r="G2357" s="11" t="n">
        <x:v>1192.72</x:v>
      </x:c>
      <x:c r="H2357" s="23" t="n">
        <x:v>0.00005808585715954941</x:v>
      </x:c>
      <x:c r="I2357" s="23" t="n">
        <x:v>0.9515501995704024</x:v>
      </x:c>
      <x:c r="J2357" s="2" t="n">
        <x:v>230</x:v>
      </x:c>
      <x:c r="K2357" s="2"/>
      <x:c r="L2357" s="2"/>
    </x:row>
    <x:row r="2358" ht="22" customHeight="1">
      <x:c r="A2358" s="2"/>
      <x:c r="B2358" s="2" t="n">
        <x:v>2325</x:v>
      </x:c>
      <x:c r="C2358" s="2" t="str">
        <x:v>22252</x:v>
      </x:c>
      <x:c r="D2358" s="2" t="str">
        <x:v>BIRDCAGE DECORATION TEALIGHT HOLDER</x:v>
      </x:c>
      <x:c r="E2358" s="11" t="n">
        <x:v>1191.81</x:v>
      </x:c>
      <x:c r="F2358" s="11" t="n">
        <x:v>16.25</x:v>
      </x:c>
      <x:c r="G2358" s="11" t="n">
        <x:v>1175.56</x:v>
      </x:c>
      <x:c r="H2358" s="23" t="n">
        <x:v>0.00005804153985958362</x:v>
      </x:c>
      <x:c r="I2358" s="23" t="n">
        <x:v>0.951608241110262</x:v>
      </x:c>
      <x:c r="J2358" s="2" t="n">
        <x:v>113</x:v>
      </x:c>
      <x:c r="K2358" s="2"/>
      <x:c r="L2358" s="2"/>
    </x:row>
    <x:row r="2359" ht="22" customHeight="1">
      <x:c r="A2359" s="2"/>
      <x:c r="B2359" s="2" t="n">
        <x:v>2326</x:v>
      </x:c>
      <x:c r="C2359" s="2" t="str">
        <x:v>84750A</x:v>
      </x:c>
      <x:c r="D2359" s="2" t="str">
        <x:v>PINK SMALL GLASS CAKE STAND</x:v>
      </x:c>
      <x:c r="E2359" s="11" t="n">
        <x:v>1189.23</x:v>
      </x:c>
      <x:c r="F2359" s="11" t="n">
        <x:v>75.3</x:v>
      </x:c>
      <x:c r="G2359" s="11" t="n">
        <x:v>1113.93</x:v>
      </x:c>
      <x:c r="H2359" s="23" t="n">
        <x:v>0.000057915893009131184</x:v>
      </x:c>
      <x:c r="I2359" s="23" t="n">
        <x:v>0.9516661570032712</x:v>
      </x:c>
      <x:c r="J2359" s="2" t="n">
        <x:v>105</x:v>
      </x:c>
      <x:c r="K2359" s="2"/>
      <x:c r="L2359" s="2"/>
    </x:row>
    <x:row r="2360" ht="22" customHeight="1">
      <x:c r="A2360" s="2"/>
      <x:c r="B2360" s="2" t="n">
        <x:v>2327</x:v>
      </x:c>
      <x:c r="C2360" s="2" t="str">
        <x:v>47503E</x:v>
      </x:c>
      <x:c r="D2360" s="2" t="str">
        <x:v>ASS FLORAL PRINT SCISSORS</x:v>
      </x:c>
      <x:c r="E2360" s="11" t="n">
        <x:v>1186.9</x:v>
      </x:c>
      <x:c r="F2360" s="11" t="n">
        <x:v>0</x:v>
      </x:c>
      <x:c r="G2360" s="11" t="n">
        <x:v>1186.9</x:v>
      </x:c>
      <x:c r="H2360" s="23" t="n">
        <x:v>0.00005780242124108693</x:v>
      </x:c>
      <x:c r="I2360" s="23" t="n">
        <x:v>0.9517239594245123</x:v>
      </x:c>
      <x:c r="J2360" s="2" t="n">
        <x:v>25</x:v>
      </x:c>
      <x:c r="K2360" s="2"/>
      <x:c r="L2360" s="2"/>
    </x:row>
    <x:row r="2361" ht="22" customHeight="1">
      <x:c r="A2361" s="2"/>
      <x:c r="B2361" s="2" t="n">
        <x:v>2328</x:v>
      </x:c>
      <x:c r="C2361" s="2" t="str">
        <x:v>21312</x:v>
      </x:c>
      <x:c r="D2361" s="2" t="str">
        <x:v>LARGE CHUNKY GLASS ROMAN BOWL</x:v>
      </x:c>
      <x:c r="E2361" s="11" t="n">
        <x:v>1185.92</x:v>
      </x:c>
      <x:c r="F2361" s="11" t="n">
        <x:v>25.35</x:v>
      </x:c>
      <x:c r="G2361" s="11" t="n">
        <x:v>1160.5700000000002</x:v>
      </x:c>
      <x:c r="H2361" s="23" t="n">
        <x:v>0.00005775469491804685</x:v>
      </x:c>
      <x:c r="I2361" s="23" t="n">
        <x:v>0.9517817141194304</x:v>
      </x:c>
      <x:c r="J2361" s="2" t="n">
        <x:v>26</x:v>
      </x:c>
      <x:c r="K2361" s="2"/>
      <x:c r="L2361" s="2"/>
    </x:row>
    <x:row r="2362" ht="22" customHeight="1">
      <x:c r="A2362" s="2"/>
      <x:c r="B2362" s="2" t="n">
        <x:v>2329</x:v>
      </x:c>
      <x:c r="C2362" s="2" t="str">
        <x:v>21806</x:v>
      </x:c>
      <x:c r="D2362" s="2" t="str">
        <x:v>WHITE CHRISTMAS HEART DECORATION</x:v>
      </x:c>
      <x:c r="E2362" s="11" t="n">
        <x:v>1183.6299999999999</x:v>
      </x:c>
      <x:c r="F2362" s="11" t="n">
        <x:v>0</x:v>
      </x:c>
      <x:c r="G2362" s="11" t="n">
        <x:v>1183.6299999999999</x:v>
      </x:c>
      <x:c r="H2362" s="23" t="n">
        <x:v>0.00005764317116318789</x:v>
      </x:c>
      <x:c r="I2362" s="23" t="n">
        <x:v>0.9518393572905935</x:v>
      </x:c>
      <x:c r="J2362" s="2" t="n">
        <x:v>128</x:v>
      </x:c>
      <x:c r="K2362" s="2"/>
      <x:c r="L2362" s="2"/>
    </x:row>
    <x:row r="2363" ht="22" customHeight="1">
      <x:c r="A2363" s="2"/>
      <x:c r="B2363" s="2" t="n">
        <x:v>2330</x:v>
      </x:c>
      <x:c r="C2363" s="2" t="str">
        <x:v>22761</x:v>
      </x:c>
      <x:c r="D2363" s="2" t="str">
        <x:v>CHEST 7 DRAWER MA CAMPAGNE</x:v>
      </x:c>
      <x:c r="E2363" s="11" t="n">
        <x:v>1182.78</x:v>
      </x:c>
      <x:c r="F2363" s="11" t="n">
        <x:v>68.85</x:v>
      </x:c>
      <x:c r="G2363" s="11" t="n">
        <x:v>1113.93</x:v>
      </x:c>
      <x:c r="H2363" s="23" t="n">
        <x:v>0.00005760177588300007</x:v>
      </x:c>
      <x:c r="I2363" s="23" t="n">
        <x:v>0.9518969590664765</x:v>
      </x:c>
      <x:c r="J2363" s="2" t="n">
        <x:v>34</x:v>
      </x:c>
      <x:c r="K2363" s="2"/>
      <x:c r="L2363" s="2"/>
    </x:row>
    <x:row r="2364" ht="22" customHeight="1">
      <x:c r="A2364" s="2"/>
      <x:c r="B2364" s="2" t="n">
        <x:v>2331</x:v>
      </x:c>
      <x:c r="C2364" s="2" t="str">
        <x:v>84674</x:v>
      </x:c>
      <x:c r="D2364" s="2" t="str">
        <x:v>FLYING PIG WATERING CAN</x:v>
      </x:c>
      <x:c r="E2364" s="11" t="n">
        <x:v>1178.88</x:v>
      </x:c>
      <x:c r="F2364" s="11" t="n">
        <x:v>20.650000000000002</x:v>
      </x:c>
      <x:c r="G2364" s="11" t="n">
        <x:v>1158.23</x:v>
      </x:c>
      <x:c r="H2364" s="23" t="n">
        <x:v>0.000057411844597432435</x:v>
      </x:c>
      <x:c r="I2364" s="23" t="n">
        <x:v>0.9519543709110739</x:v>
      </x:c>
      <x:c r="J2364" s="2" t="n">
        <x:v>106</x:v>
      </x:c>
      <x:c r="K2364" s="2"/>
      <x:c r="L2364" s="2"/>
    </x:row>
    <x:row r="2365" ht="22" customHeight="1">
      <x:c r="A2365" s="2"/>
      <x:c r="B2365" s="2" t="n">
        <x:v>2332</x:v>
      </x:c>
      <x:c r="C2365" s="2" t="str">
        <x:v>23041</x:v>
      </x:c>
      <x:c r="D2365" s="2" t="str">
        <x:v>PAPER LANTERN 9 POINT SNOW STAR</x:v>
      </x:c>
      <x:c r="E2365" s="11" t="n">
        <x:v>1178.48</x:v>
      </x:c>
      <x:c r="F2365" s="11" t="n">
        <x:v>99.60000000000001</x:v>
      </x:c>
      <x:c r="G2365" s="11" t="n">
        <x:v>1078.88</x:v>
      </x:c>
      <x:c r="H2365" s="23" t="n">
        <x:v>0.00005739236446557934</x:v>
      </x:c>
      <x:c r="I2365" s="23" t="n">
        <x:v>0.9520117632755395</x:v>
      </x:c>
      <x:c r="J2365" s="2" t="n">
        <x:v>54</x:v>
      </x:c>
      <x:c r="K2365" s="2"/>
      <x:c r="L2365" s="2"/>
    </x:row>
    <x:row r="2366" ht="22" customHeight="1">
      <x:c r="A2366" s="2"/>
      <x:c r="B2366" s="2" t="n">
        <x:v>2333</x:v>
      </x:c>
      <x:c r="C2366" s="2" t="str">
        <x:v>23225</x:v>
      </x:c>
      <x:c r="D2366" s="2" t="str">
        <x:v>CHERUB HEART DECORATION SILVER </x:v>
      </x:c>
      <x:c r="E2366" s="11" t="n">
        <x:v>1177</x:v>
      </x:c>
      <x:c r="F2366" s="11" t="n">
        <x:v>69.72</x:v>
      </x:c>
      <x:c r="G2366" s="11" t="n">
        <x:v>1107.28</x:v>
      </x:c>
      <x:c r="H2366" s="23" t="n">
        <x:v>0.0000573202879777229</x:v>
      </x:c>
      <x:c r="I2366" s="23" t="n">
        <x:v>0.9520690835635172</x:v>
      </x:c>
      <x:c r="J2366" s="2" t="n">
        <x:v>88</x:v>
      </x:c>
      <x:c r="K2366" s="2"/>
      <x:c r="L2366" s="2"/>
    </x:row>
    <x:row r="2367" ht="22" customHeight="1">
      <x:c r="A2367" s="2"/>
      <x:c r="B2367" s="2" t="n">
        <x:v>2334</x:v>
      </x:c>
      <x:c r="C2367" s="2" t="str">
        <x:v>72819</x:v>
      </x:c>
      <x:c r="D2367" s="2" t="str">
        <x:v>CUPID DESIGN SCENTED CANDLES</x:v>
      </x:c>
      <x:c r="E2367" s="11" t="n">
        <x:v>1176.56</x:v>
      </x:c>
      <x:c r="F2367" s="11" t="n">
        <x:v>0</x:v>
      </x:c>
      <x:c r="G2367" s="11" t="n">
        <x:v>1176.56</x:v>
      </x:c>
      <x:c r="H2367" s="23" t="n">
        <x:v>0.000057298859832684496</x:v>
      </x:c>
      <x:c r="I2367" s="23" t="n">
        <x:v>0.9521263824233498</x:v>
      </x:c>
      <x:c r="J2367" s="2" t="n">
        <x:v>92</x:v>
      </x:c>
      <x:c r="K2367" s="2"/>
      <x:c r="L2367" s="2"/>
    </x:row>
    <x:row r="2368" ht="22" customHeight="1">
      <x:c r="A2368" s="2"/>
      <x:c r="B2368" s="2" t="n">
        <x:v>2335</x:v>
      </x:c>
      <x:c r="C2368" s="2" t="str">
        <x:v>23431</x:v>
      </x:c>
      <x:c r="D2368" s="2" t="str">
        <x:v>NATURAL HANGING QUILTED HEARTS </x:v>
      </x:c>
      <x:c r="E2368" s="11" t="n">
        <x:v>1175.3799999999999</x:v>
      </x:c>
      <x:c r="F2368" s="11" t="n">
        <x:v>13.28</x:v>
      </x:c>
      <x:c r="G2368" s="11" t="n">
        <x:v>1162.1</x:v>
      </x:c>
      <x:c r="H2368" s="23" t="n">
        <x:v>0.00005724139344371787</x:v>
      </x:c>
      <x:c r="I2368" s="23" t="n">
        <x:v>0.9521836238167936</x:v>
      </x:c>
      <x:c r="J2368" s="2" t="n">
        <x:v>72</x:v>
      </x:c>
      <x:c r="K2368" s="2"/>
      <x:c r="L2368" s="2"/>
    </x:row>
    <x:row r="2369" ht="22" customHeight="1">
      <x:c r="A2369" s="2"/>
      <x:c r="B2369" s="2" t="n">
        <x:v>2336</x:v>
      </x:c>
      <x:c r="C2369" s="2" t="str">
        <x:v>23523</x:v>
      </x:c>
      <x:c r="D2369" s="2" t="str">
        <x:v>WALL ART TREASURE AHOY </x:v>
      </x:c>
      <x:c r="E2369" s="11" t="n">
        <x:v>1173.8100000000002</x:v>
      </x:c>
      <x:c r="F2369" s="11" t="n">
        <x:v>22.5</x:v>
      </x:c>
      <x:c r="G2369" s="11" t="n">
        <x:v>1151.3100000000002</x:v>
      </x:c>
      <x:c r="H2369" s="23" t="n">
        <x:v>0.0000571649339261945</x:v>
      </x:c>
      <x:c r="I2369" s="23" t="n">
        <x:v>0.9522407887507197</x:v>
      </x:c>
      <x:c r="J2369" s="2" t="n">
        <x:v>41</x:v>
      </x:c>
      <x:c r="K2369" s="2"/>
      <x:c r="L2369" s="2"/>
    </x:row>
    <x:row r="2370" ht="22" customHeight="1">
      <x:c r="A2370" s="2"/>
      <x:c r="B2370" s="2" t="n">
        <x:v>2337</x:v>
      </x:c>
      <x:c r="C2370" s="2" t="str">
        <x:v>21393</x:v>
      </x:c>
      <x:c r="D2370" s="2" t="str">
        <x:v>BLUE POLKADOT PUDDING BOWL</x:v>
      </x:c>
      <x:c r="E2370" s="11" t="n">
        <x:v>1172.8100000000002</x:v>
      </x:c>
      <x:c r="F2370" s="11" t="n">
        <x:v>330.78000000000003</x:v>
      </x:c>
      <x:c r="G2370" s="11" t="n">
        <x:v>842.0300000000001</x:v>
      </x:c>
      <x:c r="H2370" s="23" t="n">
        <x:v>0.00005711623359656177</x:v>
      </x:c>
      <x:c r="I2370" s="23" t="n">
        <x:v>0.9522979049843163</x:v>
      </x:c>
      <x:c r="J2370" s="2" t="n">
        <x:v>43</x:v>
      </x:c>
      <x:c r="K2370" s="2"/>
      <x:c r="L2370" s="2"/>
    </x:row>
    <x:row r="2371" ht="22" customHeight="1">
      <x:c r="A2371" s="2"/>
      <x:c r="B2371" s="2" t="n">
        <x:v>2338</x:v>
      </x:c>
      <x:c r="C2371" s="2" t="str">
        <x:v>37475</x:v>
      </x:c>
      <x:c r="D2371" s="2" t="str">
        <x:v>SET/4 COLOURFUL MIXING BOWLS</x:v>
      </x:c>
      <x:c r="E2371" s="11" t="n">
        <x:v>1170.51</x:v>
      </x:c>
      <x:c r="F2371" s="11" t="n">
        <x:v>0</x:v>
      </x:c>
      <x:c r="G2371" s="11" t="n">
        <x:v>1170.51</x:v>
      </x:c>
      <x:c r="H2371" s="23" t="n">
        <x:v>0.000057004222838406485</x:v>
      </x:c>
      <x:c r="I2371" s="23" t="n">
        <x:v>0.9523549092071547</x:v>
      </x:c>
      <x:c r="J2371" s="2" t="n">
        <x:v>72</x:v>
      </x:c>
      <x:c r="K2371" s="2"/>
      <x:c r="L2371" s="2"/>
    </x:row>
    <x:row r="2372" ht="22" customHeight="1">
      <x:c r="A2372" s="2"/>
      <x:c r="B2372" s="2" t="n">
        <x:v>2339</x:v>
      </x:c>
      <x:c r="C2372" s="2" t="str">
        <x:v>23418</x:v>
      </x:c>
      <x:c r="D2372" s="2" t="str">
        <x:v>LAVENDER TOILETTE BOTTLE</x:v>
      </x:c>
      <x:c r="E2372" s="11" t="n">
        <x:v>1168.08</x:v>
      </x:c>
      <x:c r="F2372" s="11" t="n">
        <x:v>0</x:v>
      </x:c>
      <x:c r="G2372" s="11" t="n">
        <x:v>1168.08</x:v>
      </x:c>
      <x:c r="H2372" s="23" t="n">
        <x:v>0.00005688588103739894</x:v>
      </x:c>
      <x:c r="I2372" s="23" t="n">
        <x:v>0.9524117950881921</x:v>
      </x:c>
      <x:c r="J2372" s="2" t="n">
        <x:v>79</x:v>
      </x:c>
      <x:c r="K2372" s="2"/>
      <x:c r="L2372" s="2"/>
    </x:row>
    <x:row r="2373" ht="22" customHeight="1">
      <x:c r="A2373" s="2"/>
      <x:c r="B2373" s="2" t="n">
        <x:v>2340</x:v>
      </x:c>
      <x:c r="C2373" s="2" t="str">
        <x:v>22048</x:v>
      </x:c>
      <x:c r="D2373" s="2" t="str">
        <x:v>BIRTHDAY BANQUET GIFT WRAP</x:v>
      </x:c>
      <x:c r="E2373" s="11" t="n">
        <x:v>1166.3</x:v>
      </x:c>
      <x:c r="F2373" s="11" t="n">
        <x:v>10.5</x:v>
      </x:c>
      <x:c r="G2373" s="11" t="n">
        <x:v>1155.8</x:v>
      </x:c>
      <x:c r="H2373" s="23" t="n">
        <x:v>0.000056799194450652685</x:v>
      </x:c>
      <x:c r="I2373" s="23" t="n">
        <x:v>0.9524685942826427</x:v>
      </x:c>
      <x:c r="J2373" s="2" t="n">
        <x:v>102</x:v>
      </x:c>
      <x:c r="K2373" s="2"/>
      <x:c r="L2373" s="2"/>
    </x:row>
    <x:row r="2374" ht="22" customHeight="1">
      <x:c r="A2374" s="2"/>
      <x:c r="B2374" s="2" t="n">
        <x:v>2341</x:v>
      </x:c>
      <x:c r="C2374" s="2" t="str">
        <x:v>23508</x:v>
      </x:c>
      <x:c r="D2374" s="2" t="str">
        <x:v>MINI PLAYING CARDS DOLLY GIRL </x:v>
      </x:c>
      <x:c r="E2374" s="11" t="n">
        <x:v>1165.13</x:v>
      </x:c>
      <x:c r="F2374" s="11" t="n">
        <x:v>0.84</x:v>
      </x:c>
      <x:c r="G2374" s="11" t="n">
        <x:v>1164.29</x:v>
      </x:c>
      <x:c r="H2374" s="23" t="n">
        <x:v>0.000056742215064982404</x:v>
      </x:c>
      <x:c r="I2374" s="23" t="n">
        <x:v>0.9525253364977078</x:v>
      </x:c>
      <x:c r="J2374" s="2" t="n">
        <x:v>120</x:v>
      </x:c>
      <x:c r="K2374" s="2"/>
      <x:c r="L2374" s="2"/>
    </x:row>
    <x:row r="2375" ht="22" customHeight="1">
      <x:c r="A2375" s="2"/>
      <x:c r="B2375" s="2" t="n">
        <x:v>2342</x:v>
      </x:c>
      <x:c r="C2375" s="2" t="str">
        <x:v>23515</x:v>
      </x:c>
      <x:c r="D2375" s="2" t="str">
        <x:v>EMBROIDERED RIBBON REEL DAISY </x:v>
      </x:c>
      <x:c r="E2375" s="11" t="n">
        <x:v>1164.98</x:v>
      </x:c>
      <x:c r="F2375" s="11" t="n">
        <x:v>0</x:v>
      </x:c>
      <x:c r="G2375" s="11" t="n">
        <x:v>1164.98</x:v>
      </x:c>
      <x:c r="H2375" s="23" t="n">
        <x:v>0.00005673491001553749</x:v>
      </x:c>
      <x:c r="I2375" s="23" t="n">
        <x:v>0.9525820714077233</x:v>
      </x:c>
      <x:c r="J2375" s="2" t="n">
        <x:v>71</x:v>
      </x:c>
      <x:c r="K2375" s="2"/>
      <x:c r="L2375" s="2"/>
    </x:row>
    <x:row r="2376" ht="22" customHeight="1">
      <x:c r="A2376" s="2"/>
      <x:c r="B2376" s="2" t="n">
        <x:v>2343</x:v>
      </x:c>
      <x:c r="C2376" s="2" t="str">
        <x:v>22253</x:v>
      </x:c>
      <x:c r="D2376" s="2" t="str">
        <x:v>6 CROCHET STRAWBERRIES</x:v>
      </x:c>
      <x:c r="E2376" s="11" t="n">
        <x:v>1164.53</x:v>
      </x:c>
      <x:c r="F2376" s="11" t="n">
        <x:v>0</x:v>
      </x:c>
      <x:c r="G2376" s="11" t="n">
        <x:v>1164.53</x:v>
      </x:c>
      <x:c r="H2376" s="23" t="n">
        <x:v>0.000056712994867202754</x:v>
      </x:c>
      <x:c r="I2376" s="23" t="n">
        <x:v>0.9526387844025905</x:v>
      </x:c>
      <x:c r="J2376" s="2" t="n">
        <x:v>86</x:v>
      </x:c>
      <x:c r="K2376" s="2"/>
      <x:c r="L2376" s="2"/>
    </x:row>
    <x:row r="2377" ht="22" customHeight="1">
      <x:c r="A2377" s="2"/>
      <x:c r="B2377" s="2" t="n">
        <x:v>2344</x:v>
      </x:c>
      <x:c r="C2377" s="2" t="str">
        <x:v>84313B</x:v>
      </x:c>
      <x:c r="D2377" s="2" t="str">
        <x:v>Damaged</x:v>
      </x:c>
      <x:c r="E2377" s="11" t="n">
        <x:v>1164.04</x:v>
      </x:c>
      <x:c r="F2377" s="11" t="n">
        <x:v>0</x:v>
      </x:c>
      <x:c r="G2377" s="11" t="n">
        <x:v>1164.04</x:v>
      </x:c>
      <x:c r="H2377" s="23" t="n">
        <x:v>0.00005668913170568272</x:v>
      </x:c>
      <x:c r="I2377" s="23" t="n">
        <x:v>0.9526954735342962</x:v>
      </x:c>
      <x:c r="J2377" s="2" t="n">
        <x:v>83</x:v>
      </x:c>
      <x:c r="K2377" s="2"/>
      <x:c r="L2377" s="2"/>
    </x:row>
    <x:row r="2378" ht="22" customHeight="1">
      <x:c r="A2378" s="2"/>
      <x:c r="B2378" s="2" t="n">
        <x:v>2345</x:v>
      </x:c>
      <x:c r="C2378" s="2" t="str">
        <x:v>23269</x:v>
      </x:c>
      <x:c r="D2378" s="2" t="str">
        <x:v>SET OF 2 CERAMIC CHRISTMAS TREES</x:v>
      </x:c>
      <x:c r="E2378" s="11" t="n">
        <x:v>1163.1299999999999</x:v>
      </x:c>
      <x:c r="F2378" s="11" t="n">
        <x:v>0</x:v>
      </x:c>
      <x:c r="G2378" s="11" t="n">
        <x:v>1163.1299999999999</x:v>
      </x:c>
      <x:c r="H2378" s="23" t="n">
        <x:v>0.00005664481440571693</x:v>
      </x:c>
      <x:c r="I2378" s="23" t="n">
        <x:v>0.9527521183487019</x:v>
      </x:c>
      <x:c r="J2378" s="2" t="n">
        <x:v>94</x:v>
      </x:c>
      <x:c r="K2378" s="2"/>
      <x:c r="L2378" s="2"/>
    </x:row>
    <x:row r="2379" ht="22" customHeight="1">
      <x:c r="A2379" s="2"/>
      <x:c r="B2379" s="2" t="n">
        <x:v>2346</x:v>
      </x:c>
      <x:c r="C2379" s="2" t="str">
        <x:v>21649</x:v>
      </x:c>
      <x:c r="D2379" s="2" t="str">
        <x:v>ASSORTED TUTTI FRUTTI PHOTO FRAME</x:v>
      </x:c>
      <x:c r="E2379" s="11" t="n">
        <x:v>1162.89</x:v>
      </x:c>
      <x:c r="F2379" s="11" t="n">
        <x:v>11.8</x:v>
      </x:c>
      <x:c r="G2379" s="11" t="n">
        <x:v>1151.0900000000001</x:v>
      </x:c>
      <x:c r="H2379" s="23" t="n">
        <x:v>0.000056633126326605086</x:v>
      </x:c>
      <x:c r="I2379" s="23" t="n">
        <x:v>0.9528087514750285</x:v>
      </x:c>
      <x:c r="J2379" s="2" t="n">
        <x:v>29</x:v>
      </x:c>
      <x:c r="K2379" s="2"/>
      <x:c r="L2379" s="2"/>
    </x:row>
    <x:row r="2380" ht="22" customHeight="1">
      <x:c r="A2380" s="2"/>
      <x:c r="B2380" s="2" t="n">
        <x:v>2347</x:v>
      </x:c>
      <x:c r="C2380" s="2" t="str">
        <x:v>22264</x:v>
      </x:c>
      <x:c r="D2380" s="2" t="str">
        <x:v>FELT FARM ANIMAL WHITE BUNNY </x:v>
      </x:c>
      <x:c r="E2380" s="11" t="n">
        <x:v>1159.87</x:v>
      </x:c>
      <x:c r="F2380" s="11" t="n">
        <x:v>0</x:v>
      </x:c>
      <x:c r="G2380" s="11" t="n">
        <x:v>1159.87</x:v>
      </x:c>
      <x:c r="H2380" s="23" t="n">
        <x:v>0.00005648605133111423</x:v>
      </x:c>
      <x:c r="I2380" s="23" t="n">
        <x:v>0.9528652375263597</x:v>
      </x:c>
      <x:c r="J2380" s="2" t="n">
        <x:v>168</x:v>
      </x:c>
      <x:c r="K2380" s="2"/>
      <x:c r="L2380" s="2"/>
    </x:row>
    <x:row r="2381" ht="22" customHeight="1">
      <x:c r="A2381" s="2"/>
      <x:c r="B2381" s="2" t="n">
        <x:v>2348</x:v>
      </x:c>
      <x:c r="C2381" s="2" t="str">
        <x:v>23566</x:v>
      </x:c>
      <x:c r="D2381" s="2" t="str">
        <x:v>EGG CUP MILKMAID HEIDI</x:v>
      </x:c>
      <x:c r="E2381" s="11" t="n">
        <x:v>1159.43</x:v>
      </x:c>
      <x:c r="F2381" s="11" t="n">
        <x:v>5</x:v>
      </x:c>
      <x:c r="G2381" s="11" t="n">
        <x:v>1154.43</x:v>
      </x:c>
      <x:c r="H2381" s="23" t="n">
        <x:v>0.00005646462318607584</x:v>
      </x:c>
      <x:c r="I2381" s="23" t="n">
        <x:v>0.9529217021495457</x:v>
      </x:c>
      <x:c r="J2381" s="2" t="n">
        <x:v>83</x:v>
      </x:c>
      <x:c r="K2381" s="2"/>
      <x:c r="L2381" s="2"/>
    </x:row>
    <x:row r="2382" ht="22" customHeight="1">
      <x:c r="A2382" s="2"/>
      <x:c r="B2382" s="2" t="n">
        <x:v>2349</x:v>
      </x:c>
      <x:c r="C2382" s="2" t="str">
        <x:v>21763</x:v>
      </x:c>
      <x:c r="D2382" s="2" t="str">
        <x:v>VINTAGE WOODEN BAR STOOL</x:v>
      </x:c>
      <x:c r="E2382" s="11" t="n">
        <x:v>1157.8999999999999</x:v>
      </x:c>
      <x:c r="F2382" s="11" t="n">
        <x:v>81.85</x:v>
      </x:c>
      <x:c r="G2382" s="11" t="n">
        <x:v>1076.05</x:v>
      </x:c>
      <x:c r="H2382" s="23" t="n">
        <x:v>0.00005639011168173775</x:v>
      </x:c>
      <x:c r="I2382" s="23" t="n">
        <x:v>0.9529780922612275</x:v>
      </x:c>
      <x:c r="J2382" s="2" t="n">
        <x:v>17</x:v>
      </x:c>
      <x:c r="K2382" s="2"/>
      <x:c r="L2382" s="2"/>
    </x:row>
    <x:row r="2383" ht="22" customHeight="1">
      <x:c r="A2383" s="2"/>
      <x:c r="B2383" s="2" t="n">
        <x:v>2350</x:v>
      </x:c>
      <x:c r="C2383" s="2" t="str">
        <x:v>84847</x:v>
      </x:c>
      <x:c r="D2383" s="2" t="str">
        <x:v>FLORAL BATHROOM SET</x:v>
      </x:c>
      <x:c r="E2383" s="11" t="n">
        <x:v>1157.23</x:v>
      </x:c>
      <x:c r="F2383" s="11" t="n">
        <x:v>368.28000000000003</x:v>
      </x:c>
      <x:c r="G2383" s="11" t="n">
        <x:v>788.95</x:v>
      </x:c>
      <x:c r="H2383" s="23" t="n">
        <x:v>0.000056357482460883835</x:v>
      </x:c>
      <x:c r="I2383" s="23" t="n">
        <x:v>0.9530344497436884</x:v>
      </x:c>
      <x:c r="J2383" s="2" t="n">
        <x:v>49</x:v>
      </x:c>
      <x:c r="K2383" s="2"/>
      <x:c r="L2383" s="2"/>
    </x:row>
    <x:row r="2384" ht="22" customHeight="1">
      <x:c r="A2384" s="2"/>
      <x:c r="B2384" s="2" t="n">
        <x:v>2351</x:v>
      </x:c>
      <x:c r="C2384" s="2" t="str">
        <x:v>23507</x:v>
      </x:c>
      <x:c r="D2384" s="2" t="str">
        <x:v>MINI PLAYING CARDS BUFFALO BILL </x:v>
      </x:c>
      <x:c r="E2384" s="11" t="n">
        <x:v>1156.51</x:v>
      </x:c>
      <x:c r="F2384" s="11" t="n">
        <x:v>0</x:v>
      </x:c>
      <x:c r="G2384" s="11" t="n">
        <x:v>1156.51</x:v>
      </x:c>
      <x:c r="H2384" s="23" t="n">
        <x:v>0.00005632241822354827</x:v>
      </x:c>
      <x:c r="I2384" s="23" t="n">
        <x:v>0.953090772161912</x:v>
      </x:c>
      <x:c r="J2384" s="2" t="n">
        <x:v>119</x:v>
      </x:c>
      <x:c r="K2384" s="2"/>
      <x:c r="L2384" s="2"/>
    </x:row>
    <x:row r="2385" ht="22" customHeight="1">
      <x:c r="A2385" s="2"/>
      <x:c r="B2385" s="2" t="n">
        <x:v>2352</x:v>
      </x:c>
      <x:c r="C2385" s="2" t="str">
        <x:v>22814</x:v>
      </x:c>
      <x:c r="D2385" s="2" t="str">
        <x:v>CARD PARTY GAMES </x:v>
      </x:c>
      <x:c r="E2385" s="11" t="n">
        <x:v>1152.81</x:v>
      </x:c>
      <x:c r="F2385" s="11" t="n">
        <x:v>0</x:v>
      </x:c>
      <x:c r="G2385" s="11" t="n">
        <x:v>1152.81</x:v>
      </x:c>
      <x:c r="H2385" s="23" t="n">
        <x:v>0.000056142227003907166</x:v>
      </x:c>
      <x:c r="I2385" s="23" t="n">
        <x:v>0.9531469143889159</x:v>
      </x:c>
      <x:c r="J2385" s="2" t="n">
        <x:v>295</x:v>
      </x:c>
      <x:c r="K2385" s="2"/>
      <x:c r="L2385" s="2"/>
    </x:row>
    <x:row r="2386" ht="22" customHeight="1">
      <x:c r="A2386" s="2"/>
      <x:c r="B2386" s="2" t="n">
        <x:v>2353</x:v>
      </x:c>
      <x:c r="C2386" s="2" t="str">
        <x:v>22718</x:v>
      </x:c>
      <x:c r="D2386" s="2" t="str">
        <x:v>CARD CAT AND TREE </x:v>
      </x:c>
      <x:c r="E2386" s="11" t="n">
        <x:v>1151.44</x:v>
      </x:c>
      <x:c r="F2386" s="11" t="n">
        <x:v>15.120000000000001</x:v>
      </x:c>
      <x:c r="G2386" s="11" t="n">
        <x:v>1136.32</x:v>
      </x:c>
      <x:c r="H2386" s="23" t="n">
        <x:v>0.00005607550755231033</x:v>
      </x:c>
      <x:c r="I2386" s="23" t="n">
        <x:v>0.9532029898964681</x:v>
      </x:c>
      <x:c r="J2386" s="2" t="n">
        <x:v>264</x:v>
      </x:c>
      <x:c r="K2386" s="2"/>
      <x:c r="L2386" s="2"/>
    </x:row>
    <x:row r="2387" ht="22" customHeight="1">
      <x:c r="A2387" s="2"/>
      <x:c r="B2387" s="2" t="n">
        <x:v>2354</x:v>
      </x:c>
      <x:c r="C2387" s="2" t="str">
        <x:v>23402</x:v>
      </x:c>
      <x:c r="D2387" s="2" t="str">
        <x:v>HOME SWEET HOME 3 PEG HANGER </x:v>
      </x:c>
      <x:c r="E2387" s="11" t="n">
        <x:v>1151.03</x:v>
      </x:c>
      <x:c r="F2387" s="11" t="n">
        <x:v>0</x:v>
      </x:c>
      <x:c r="G2387" s="11" t="n">
        <x:v>1151.03</x:v>
      </x:c>
      <x:c r="H2387" s="23" t="n">
        <x:v>0.0000560555404171609</x:v>
      </x:c>
      <x:c r="I2387" s="23" t="n">
        <x:v>0.9532590454368853</x:v>
      </x:c>
      <x:c r="J2387" s="2" t="n">
        <x:v>68</x:v>
      </x:c>
      <x:c r="K2387" s="2"/>
      <x:c r="L2387" s="2"/>
    </x:row>
    <x:row r="2388" ht="22" customHeight="1">
      <x:c r="A2388" s="2"/>
      <x:c r="B2388" s="2" t="n">
        <x:v>2355</x:v>
      </x:c>
      <x:c r="C2388" s="2" t="str">
        <x:v>21316</x:v>
      </x:c>
      <x:c r="D2388" s="2" t="str">
        <x:v>SMALL CHUNKY GLASS ROMAN  BOWL</x:v>
      </x:c>
      <x:c r="E2388" s="11" t="n">
        <x:v>1149.06</x:v>
      </x:c>
      <x:c r="F2388" s="11" t="n">
        <x:v>5.9</x:v>
      </x:c>
      <x:c r="G2388" s="11" t="n">
        <x:v>1143.16</x:v>
      </x:c>
      <x:c r="H2388" s="23" t="n">
        <x:v>0.00005595960076778443</x:v>
      </x:c>
      <x:c r="I2388" s="23" t="n">
        <x:v>0.9533150050376531</x:v>
      </x:c>
      <x:c r="J2388" s="2" t="n">
        <x:v>47</x:v>
      </x:c>
      <x:c r="K2388" s="2"/>
      <x:c r="L2388" s="2"/>
    </x:row>
    <x:row r="2389" ht="22" customHeight="1">
      <x:c r="A2389" s="2"/>
      <x:c r="B2389" s="2" t="n">
        <x:v>2356</x:v>
      </x:c>
      <x:c r="C2389" s="2" t="str">
        <x:v>22806</x:v>
      </x:c>
      <x:c r="D2389" s="2" t="str">
        <x:v>SET OF 6 T-LIGHTS WEDDING CAKE </x:v>
      </x:c>
      <x:c r="E2389" s="11" t="n">
        <x:v>1149.02</x:v>
      </x:c>
      <x:c r="F2389" s="11" t="n">
        <x:v>134.2</x:v>
      </x:c>
      <x:c r="G2389" s="11" t="n">
        <x:v>1014.82</x:v>
      </x:c>
      <x:c r="H2389" s="23" t="n">
        <x:v>0.00005595765275459912</x:v>
      </x:c>
      <x:c r="I2389" s="23" t="n">
        <x:v>0.9533709626904077</x:v>
      </x:c>
      <x:c r="J2389" s="2" t="n">
        <x:v>57</x:v>
      </x:c>
      <x:c r="K2389" s="2"/>
      <x:c r="L2389" s="2"/>
    </x:row>
    <x:row r="2390" ht="22" customHeight="1">
      <x:c r="A2390" s="2"/>
      <x:c r="B2390" s="2" t="n">
        <x:v>2357</x:v>
      </x:c>
      <x:c r="C2390" s="2" t="str">
        <x:v>20932</x:v>
      </x:c>
      <x:c r="D2390" s="2" t="str">
        <x:v>PINK POT PLANT CANDLE</x:v>
      </x:c>
      <x:c r="E2390" s="11" t="n">
        <x:v>1147.72</x:v>
      </x:c>
      <x:c r="F2390" s="11" t="n">
        <x:v>55.75</x:v>
      </x:c>
      <x:c r="G2390" s="11" t="n">
        <x:v>1091.97</x:v>
      </x:c>
      <x:c r="H2390" s="23" t="n">
        <x:v>0.000055894342326076574</x:v>
      </x:c>
      <x:c r="I2390" s="23" t="n">
        <x:v>0.9534268570327338</x:v>
      </x:c>
      <x:c r="J2390" s="2" t="n">
        <x:v>81</x:v>
      </x:c>
      <x:c r="K2390" s="2"/>
      <x:c r="L2390" s="2"/>
    </x:row>
    <x:row r="2391" ht="22" customHeight="1">
      <x:c r="A2391" s="2"/>
      <x:c r="B2391" s="2" t="n">
        <x:v>2358</x:v>
      </x:c>
      <x:c r="C2391" s="2" t="str">
        <x:v>22615</x:v>
      </x:c>
      <x:c r="D2391" s="2" t="str">
        <x:v>PACK OF 12 CIRCUS PARADE TISSUES </x:v>
      </x:c>
      <x:c r="E2391" s="11" t="n">
        <x:v>1146.75</x:v>
      </x:c>
      <x:c r="F2391" s="11" t="n">
        <x:v>4.68</x:v>
      </x:c>
      <x:c r="G2391" s="11" t="n">
        <x:v>1142.07</x:v>
      </x:c>
      <x:c r="H2391" s="23" t="n">
        <x:v>0.00005584710300633282</x:v>
      </x:c>
      <x:c r="I2391" s="23" t="n">
        <x:v>0.9534827041357401</x:v>
      </x:c>
      <x:c r="J2391" s="2" t="n">
        <x:v>188</x:v>
      </x:c>
      <x:c r="K2391" s="2"/>
      <x:c r="L2391" s="2"/>
    </x:row>
    <x:row r="2392" ht="22" customHeight="1">
      <x:c r="A2392" s="2"/>
      <x:c r="B2392" s="2" t="n">
        <x:v>2359</x:v>
      </x:c>
      <x:c r="C2392" s="2" t="str">
        <x:v>21261</x:v>
      </x:c>
      <x:c r="D2392" s="2" t="str">
        <x:v>GREEN GOOSE FEATHER CHRISTMAS TREE </x:v>
      </x:c>
      <x:c r="E2392" s="11" t="n">
        <x:v>1146.1200000000001</x:v>
      </x:c>
      <x:c r="F2392" s="11" t="n">
        <x:v>0</x:v>
      </x:c>
      <x:c r="G2392" s="11" t="n">
        <x:v>1146.1200000000001</x:v>
      </x:c>
      <x:c r="H2392" s="23" t="n">
        <x:v>0.00005581642179866421</x:v>
      </x:c>
      <x:c r="I2392" s="23" t="n">
        <x:v>0.9535385205575387</x:v>
      </x:c>
      <x:c r="J2392" s="2" t="n">
        <x:v>77</x:v>
      </x:c>
      <x:c r="K2392" s="2"/>
      <x:c r="L2392" s="2"/>
    </x:row>
    <x:row r="2393" ht="22" customHeight="1">
      <x:c r="A2393" s="2"/>
      <x:c r="B2393" s="2" t="n">
        <x:v>2360</x:v>
      </x:c>
      <x:c r="C2393" s="2" t="str">
        <x:v>72598</x:v>
      </x:c>
      <x:c r="D2393" s="2" t="str">
        <x:v>SET/12 TAPER CANDLES</x:v>
      </x:c>
      <x:c r="E2393" s="11" t="n">
        <x:v>1145.76</x:v>
      </x:c>
      <x:c r="F2393" s="11" t="n">
        <x:v>18.7</x:v>
      </x:c>
      <x:c r="G2393" s="11" t="n">
        <x:v>1127.06</x:v>
      </x:c>
      <x:c r="H2393" s="23" t="n">
        <x:v>0.00005579888967999642</x:v>
      </x:c>
      <x:c r="I2393" s="23" t="n">
        <x:v>0.9535943194472187</x:v>
      </x:c>
      <x:c r="J2393" s="2" t="n">
        <x:v>158</x:v>
      </x:c>
      <x:c r="K2393" s="2"/>
      <x:c r="L2393" s="2"/>
    </x:row>
    <x:row r="2394" ht="22" customHeight="1">
      <x:c r="A2394" s="2"/>
      <x:c r="B2394" s="2" t="n">
        <x:v>2361</x:v>
      </x:c>
      <x:c r="C2394" s="2" t="str">
        <x:v>22040</x:v>
      </x:c>
      <x:c r="D2394" s="2" t="str">
        <x:v>BOTANICAL ROSE GIFT WRAP</x:v>
      </x:c>
      <x:c r="E2394" s="11" t="n">
        <x:v>1144.3</x:v>
      </x:c>
      <x:c r="F2394" s="11" t="n">
        <x:v>0</x:v>
      </x:c>
      <x:c r="G2394" s="11" t="n">
        <x:v>1144.3</x:v>
      </x:c>
      <x:c r="H2394" s="23" t="n">
        <x:v>0.000055727787198732635</x:v>
      </x:c>
      <x:c r="I2394" s="23" t="n">
        <x:v>0.9536500472344175</x:v>
      </x:c>
      <x:c r="J2394" s="2" t="n">
        <x:v>94</x:v>
      </x:c>
      <x:c r="K2394" s="2"/>
      <x:c r="L2394" s="2"/>
    </x:row>
    <x:row r="2395" ht="22" customHeight="1">
      <x:c r="A2395" s="2"/>
      <x:c r="B2395" s="2" t="n">
        <x:v>2362</x:v>
      </x:c>
      <x:c r="C2395" s="2" t="str">
        <x:v>85118</x:v>
      </x:c>
      <x:c r="D2395" s="2" t="str">
        <x:v>HEART T-LIGHT HOLDER</x:v>
      </x:c>
      <x:c r="E2395" s="11" t="n">
        <x:v>1143.68</x:v>
      </x:c>
      <x:c r="F2395" s="11" t="n">
        <x:v>98.67</x:v>
      </x:c>
      <x:c r="G2395" s="11" t="n">
        <x:v>1045.01</x:v>
      </x:c>
      <x:c r="H2395" s="23" t="n">
        <x:v>0.00005569759299436035</x:v>
      </x:c>
      <x:c r="I2395" s="23" t="n">
        <x:v>0.9537057448274119</x:v>
      </x:c>
      <x:c r="J2395" s="2" t="n">
        <x:v>81</x:v>
      </x:c>
      <x:c r="K2395" s="2"/>
      <x:c r="L2395" s="2"/>
    </x:row>
    <x:row r="2396" ht="22" customHeight="1">
      <x:c r="A2396" s="2"/>
      <x:c r="B2396" s="2" t="n">
        <x:v>2363</x:v>
      </x:c>
      <x:c r="C2396" s="2" t="str">
        <x:v>84750B</x:v>
      </x:c>
      <x:c r="D2396" s="2" t="str">
        <x:v>BLACK SMALL GLASS CAKE STAND</x:v>
      </x:c>
      <x:c r="E2396" s="11" t="n">
        <x:v>1142.02</x:v>
      </x:c>
      <x:c r="F2396" s="11" t="n">
        <x:v>8.19</x:v>
      </x:c>
      <x:c r="G2396" s="11" t="n">
        <x:v>1133.83</x:v>
      </x:c>
      <x:c r="H2396" s="23" t="n">
        <x:v>0.000055616750447170013</x:v>
      </x:c>
      <x:c r="I2396" s="23" t="n">
        <x:v>0.9537613615778591</x:v>
      </x:c>
      <x:c r="J2396" s="2" t="n">
        <x:v>78</x:v>
      </x:c>
      <x:c r="K2396" s="2"/>
      <x:c r="L2396" s="2"/>
    </x:row>
    <x:row r="2397" ht="22" customHeight="1">
      <x:c r="A2397" s="2"/>
      <x:c r="B2397" s="2" t="n">
        <x:v>2364</x:v>
      </x:c>
      <x:c r="C2397" s="2" t="str">
        <x:v>84596E</x:v>
      </x:c>
      <x:c r="D2397" s="2" t="str">
        <x:v>SMALL LICORICE DES PINK BOWL</x:v>
      </x:c>
      <x:c r="E2397" s="11" t="n">
        <x:v>1142.01</x:v>
      </x:c>
      <x:c r="F2397" s="11" t="n">
        <x:v>40</x:v>
      </x:c>
      <x:c r="G2397" s="11" t="n">
        <x:v>1102.01</x:v>
      </x:c>
      <x:c r="H2397" s="23" t="n">
        <x:v>0.00005561626344387369</x:v>
      </x:c>
      <x:c r="I2397" s="23" t="n">
        <x:v>0.9538169778413029</x:v>
      </x:c>
      <x:c r="J2397" s="2" t="n">
        <x:v>201</x:v>
      </x:c>
      <x:c r="K2397" s="2"/>
      <x:c r="L2397" s="2"/>
    </x:row>
    <x:row r="2398" ht="22" customHeight="1">
      <x:c r="A2398" s="2"/>
      <x:c r="B2398" s="2" t="n">
        <x:v>2365</x:v>
      </x:c>
      <x:c r="C2398" s="2" t="str">
        <x:v>21366</x:v>
      </x:c>
      <x:c r="D2398" s="2" t="str">
        <x:v>MIRRORED WALL ART PHOTO FRAMES</x:v>
      </x:c>
      <x:c r="E2398" s="11" t="n">
        <x:v>1140</x:v>
      </x:c>
      <x:c r="F2398" s="11" t="n">
        <x:v>0</x:v>
      </x:c>
      <x:c r="G2398" s="11" t="n">
        <x:v>1140</x:v>
      </x:c>
      <x:c r="H2398" s="23" t="n">
        <x:v>0.000055518375781311897</x:v>
      </x:c>
      <x:c r="I2398" s="23" t="n">
        <x:v>0.9538724962170843</x:v>
      </x:c>
      <x:c r="J2398" s="2" t="n">
        <x:v>77</x:v>
      </x:c>
      <x:c r="K2398" s="2"/>
      <x:c r="L2398" s="2"/>
    </x:row>
    <x:row r="2399" ht="22" customHeight="1">
      <x:c r="A2399" s="2"/>
      <x:c r="B2399" s="2" t="n">
        <x:v>2366</x:v>
      </x:c>
      <x:c r="C2399" s="2" t="str">
        <x:v>23506</x:v>
      </x:c>
      <x:c r="D2399" s="2" t="str">
        <x:v>MINI PLAYING CARDS SPACEBOY </x:v>
      </x:c>
      <x:c r="E2399" s="11" t="n">
        <x:v>1139.2</x:v>
      </x:c>
      <x:c r="F2399" s="11" t="n">
        <x:v>0</x:v>
      </x:c>
      <x:c r="G2399" s="11" t="n">
        <x:v>1139.2</x:v>
      </x:c>
      <x:c r="H2399" s="23" t="n">
        <x:v>0.00005547941551760572</x:v>
      </x:c>
      <x:c r="I2399" s="23" t="n">
        <x:v>0.9539279756326019</x:v>
      </x:c>
      <x:c r="J2399" s="2" t="n">
        <x:v>146</x:v>
      </x:c>
      <x:c r="K2399" s="2"/>
      <x:c r="L2399" s="2"/>
    </x:row>
    <x:row r="2400" ht="22" customHeight="1">
      <x:c r="A2400" s="2"/>
      <x:c r="B2400" s="2" t="n">
        <x:v>2367</x:v>
      </x:c>
      <x:c r="C2400" s="2" t="str">
        <x:v>22715</x:v>
      </x:c>
      <x:c r="D2400" s="2" t="str">
        <x:v>CARD WEDDING DAY</x:v>
      </x:c>
      <x:c r="E2400" s="11" t="n">
        <x:v>1138.97</x:v>
      </x:c>
      <x:c r="F2400" s="11" t="n">
        <x:v>0</x:v>
      </x:c>
      <x:c r="G2400" s="11" t="n">
        <x:v>1138.97</x:v>
      </x:c>
      <x:c r="H2400" s="23" t="n">
        <x:v>0.00005546821444179019</x:v>
      </x:c>
      <x:c r="I2400" s="23" t="n">
        <x:v>0.9539834438470437</x:v>
      </x:c>
      <x:c r="J2400" s="2" t="n">
        <x:v>218</x:v>
      </x:c>
      <x:c r="K2400" s="2"/>
      <x:c r="L2400" s="2"/>
    </x:row>
    <x:row r="2401" ht="22" customHeight="1">
      <x:c r="A2401" s="2"/>
      <x:c r="B2401" s="2" t="n">
        <x:v>2368</x:v>
      </x:c>
      <x:c r="C2401" s="2" t="str">
        <x:v>85110</x:v>
      </x:c>
      <x:c r="D2401" s="2" t="str">
        <x:v>BLACK SILVER FLOWER T-LIGHT HOLDER</x:v>
      </x:c>
      <x:c r="E2401" s="11" t="n">
        <x:v>1138.04</x:v>
      </x:c>
      <x:c r="F2401" s="11" t="n">
        <x:v>387.36000000000007</x:v>
      </x:c>
      <x:c r="G2401" s="11" t="n">
        <x:v>750.6800000000001</x:v>
      </x:c>
      <x:c r="H2401" s="23" t="n">
        <x:v>0.00005542292313523175</x:v>
      </x:c>
      <x:c r="I2401" s="23" t="n">
        <x:v>0.9540388667701789</x:v>
      </x:c>
      <x:c r="J2401" s="2" t="n">
        <x:v>23</x:v>
      </x:c>
      <x:c r="K2401" s="2"/>
      <x:c r="L2401" s="2"/>
    </x:row>
    <x:row r="2402" ht="22" customHeight="1">
      <x:c r="A2402" s="2"/>
      <x:c r="B2402" s="2" t="n">
        <x:v>2369</x:v>
      </x:c>
      <x:c r="C2402" s="2" t="str">
        <x:v>37424</x:v>
      </x:c>
      <x:c r="D2402" s="2" t="str">
        <x:v>WHITE WITH BLACK CATS MUG</x:v>
      </x:c>
      <x:c r="E2402" s="11" t="n">
        <x:v>1136.3799999999999</x:v>
      </x:c>
      <x:c r="F2402" s="11" t="n">
        <x:v>274.56</x:v>
      </x:c>
      <x:c r="G2402" s="11" t="n">
        <x:v>861.8199999999999</x:v>
      </x:c>
      <x:c r="H2402" s="23" t="n">
        <x:v>0.000055342080588041414</x:v>
      </x:c>
      <x:c r="I2402" s="23" t="n">
        <x:v>0.9540942088507669</x:v>
      </x:c>
      <x:c r="J2402" s="2" t="n">
        <x:v>108</x:v>
      </x:c>
      <x:c r="K2402" s="2"/>
      <x:c r="L2402" s="2"/>
    </x:row>
    <x:row r="2403" ht="22" customHeight="1">
      <x:c r="A2403" s="2"/>
      <x:c r="B2403" s="2" t="n">
        <x:v>2370</x:v>
      </x:c>
      <x:c r="C2403" s="2" t="str">
        <x:v>21942</x:v>
      </x:c>
      <x:c r="D2403" s="2" t="str">
        <x:v>SKULLS DESIGN FLANNEL</x:v>
      </x:c>
      <x:c r="E2403" s="11" t="n">
        <x:v>1136.28</x:v>
      </x:c>
      <x:c r="F2403" s="11" t="n">
        <x:v>20.4</x:v>
      </x:c>
      <x:c r="G2403" s="11" t="n">
        <x:v>1115.8799999999999</x:v>
      </x:c>
      <x:c r="H2403" s="23" t="n">
        <x:v>0.00005533721055507814</x:v>
      </x:c>
      <x:c r="I2403" s="23" t="n">
        <x:v>0.954149546061322</x:v>
      </x:c>
      <x:c r="J2403" s="2" t="n">
        <x:v>221</x:v>
      </x:c>
      <x:c r="K2403" s="2"/>
      <x:c r="L2403" s="2"/>
    </x:row>
    <x:row r="2404" ht="22" customHeight="1">
      <x:c r="A2404" s="2"/>
      <x:c r="B2404" s="2" t="n">
        <x:v>2371</x:v>
      </x:c>
      <x:c r="C2404" s="2" t="str">
        <x:v>20622</x:v>
      </x:c>
      <x:c r="D2404" s="2" t="str">
        <x:v>VIP PASSPORT COVER </x:v>
      </x:c>
      <x:c r="E2404" s="11" t="n">
        <x:v>1135.99</x:v>
      </x:c>
      <x:c r="F2404" s="11" t="n">
        <x:v>0</x:v>
      </x:c>
      <x:c r="G2404" s="11" t="n">
        <x:v>1135.99</x:v>
      </x:c>
      <x:c r="H2404" s="23" t="n">
        <x:v>0.000055323087459484654</x:v>
      </x:c>
      <x:c r="I2404" s="23" t="n">
        <x:v>0.9542048691487814</x:v>
      </x:c>
      <x:c r="J2404" s="2" t="n">
        <x:v>128</x:v>
      </x:c>
      <x:c r="K2404" s="2"/>
      <x:c r="L2404" s="2"/>
    </x:row>
    <x:row r="2405" ht="22" customHeight="1">
      <x:c r="A2405" s="2"/>
      <x:c r="B2405" s="2" t="n">
        <x:v>2372</x:v>
      </x:c>
      <x:c r="C2405" s="2" t="str">
        <x:v>22230</x:v>
      </x:c>
      <x:c r="D2405" s="2" t="str">
        <x:v>JIGSAW TREE WITH WATERING CAN</x:v>
      </x:c>
      <x:c r="E2405" s="11" t="n">
        <x:v>1135.78</x:v>
      </x:c>
      <x:c r="F2405" s="11" t="n">
        <x:v>38.18</x:v>
      </x:c>
      <x:c r="G2405" s="11" t="n">
        <x:v>1097.6</x:v>
      </x:c>
      <x:c r="H2405" s="23" t="n">
        <x:v>0.00005531286039026178</x:v>
      </x:c>
      <x:c r="I2405" s="23" t="n">
        <x:v>0.9542601820091717</x:v>
      </x:c>
      <x:c r="J2405" s="2" t="n">
        <x:v>193</x:v>
      </x:c>
      <x:c r="K2405" s="2"/>
      <x:c r="L2405" s="2"/>
    </x:row>
    <x:row r="2406" ht="22" customHeight="1">
      <x:c r="A2406" s="2"/>
      <x:c r="B2406" s="2" t="n">
        <x:v>2373</x:v>
      </x:c>
      <x:c r="C2406" s="2" t="str">
        <x:v>21413</x:v>
      </x:c>
      <x:c r="D2406" s="2" t="str">
        <x:v>PERIWINKLE T-LIGHT HOLDER</x:v>
      </x:c>
      <x:c r="E2406" s="11" t="n">
        <x:v>1134.89</x:v>
      </x:c>
      <x:c r="F2406" s="11" t="n">
        <x:v>0</x:v>
      </x:c>
      <x:c r="G2406" s="11" t="n">
        <x:v>1134.89</x:v>
      </x:c>
      <x:c r="H2406" s="23" t="n">
        <x:v>0.00005526951709688865</x:v>
      </x:c>
      <x:c r="I2406" s="23" t="n">
        <x:v>0.9543154515262686</x:v>
      </x:c>
      <x:c r="J2406" s="2" t="n">
        <x:v>52</x:v>
      </x:c>
      <x:c r="K2406" s="2"/>
      <x:c r="L2406" s="2"/>
    </x:row>
    <x:row r="2407" ht="22" customHeight="1">
      <x:c r="A2407" s="2"/>
      <x:c r="B2407" s="2" t="n">
        <x:v>2374</x:v>
      </x:c>
      <x:c r="C2407" s="2" t="str">
        <x:v>22598</x:v>
      </x:c>
      <x:c r="D2407" s="2" t="str">
        <x:v>CHRISTMAS MUSICAL ZINC TREE</x:v>
      </x:c>
      <x:c r="E2407" s="11" t="n">
        <x:v>1133.01</x:v>
      </x:c>
      <x:c r="F2407" s="11" t="n">
        <x:v>5.1</x:v>
      </x:c>
      <x:c r="G2407" s="11" t="n">
        <x:v>1127.9099999999999</x:v>
      </x:c>
      <x:c r="H2407" s="23" t="n">
        <x:v>0.00005517796047717912</x:v>
      </x:c>
      <x:c r="I2407" s="23" t="n">
        <x:v>0.9543706294867458</x:v>
      </x:c>
      <x:c r="J2407" s="2" t="n">
        <x:v>144</x:v>
      </x:c>
      <x:c r="K2407" s="2"/>
      <x:c r="L2407" s="2"/>
    </x:row>
    <x:row r="2408" ht="22" customHeight="1">
      <x:c r="A2408" s="2"/>
      <x:c r="B2408" s="2" t="n">
        <x:v>2375</x:v>
      </x:c>
      <x:c r="C2408" s="2" t="str">
        <x:v>20832</x:v>
      </x:c>
      <x:c r="D2408" s="2" t="str">
        <x:v>RED FLOCK LOVE HEART PHOTO FRAME</x:v>
      </x:c>
      <x:c r="E2408" s="11" t="n">
        <x:v>1132.01</x:v>
      </x:c>
      <x:c r="F2408" s="11" t="n">
        <x:v>6.8</x:v>
      </x:c>
      <x:c r="G2408" s="11" t="n">
        <x:v>1125.21</x:v>
      </x:c>
      <x:c r="H2408" s="23" t="n">
        <x:v>0.00005512926014754639</x:v>
      </x:c>
      <x:c r="I2408" s="23" t="n">
        <x:v>0.9544257587468933</x:v>
      </x:c>
      <x:c r="J2408" s="2" t="n">
        <x:v>158</x:v>
      </x:c>
      <x:c r="K2408" s="2"/>
      <x:c r="L2408" s="2"/>
    </x:row>
    <x:row r="2409" ht="22" customHeight="1">
      <x:c r="A2409" s="2"/>
      <x:c r="B2409" s="2" t="n">
        <x:v>2376</x:v>
      </x:c>
      <x:c r="C2409" s="2" t="str">
        <x:v>21555</x:v>
      </x:c>
      <x:c r="D2409" s="2" t="str">
        <x:v>CERAMIC STRAWBERRY TRINKET TRAY</x:v>
      </x:c>
      <x:c r="E2409" s="11" t="n">
        <x:v>1131.37</x:v>
      </x:c>
      <x:c r="F2409" s="11" t="n">
        <x:v>2.55</x:v>
      </x:c>
      <x:c r="G2409" s="11" t="n">
        <x:v>1128.82</x:v>
      </x:c>
      <x:c r="H2409" s="23" t="n">
        <x:v>0.000055098091936581435</x:v>
      </x:c>
      <x:c r="I2409" s="23" t="n">
        <x:v>0.9544808568388299</x:v>
      </x:c>
      <x:c r="J2409" s="2" t="n">
        <x:v>134</x:v>
      </x:c>
      <x:c r="K2409" s="2"/>
      <x:c r="L2409" s="2"/>
    </x:row>
    <x:row r="2410" ht="22" customHeight="1">
      <x:c r="A2410" s="2"/>
      <x:c r="B2410" s="2" t="n">
        <x:v>2377</x:v>
      </x:c>
      <x:c r="C2410" s="2" t="str">
        <x:v>85224</x:v>
      </x:c>
      <x:c r="D2410" s="2" t="str">
        <x:v>ASSORTED COLOUR SILK GLASSES CASE</x:v>
      </x:c>
      <x:c r="E2410" s="11" t="n">
        <x:v>1129.3600000000001</x:v>
      </x:c>
      <x:c r="F2410" s="11" t="n">
        <x:v>0</x:v>
      </x:c>
      <x:c r="G2410" s="11" t="n">
        <x:v>1129.3600000000001</x:v>
      </x:c>
      <x:c r="H2410" s="23" t="n">
        <x:v>0.00005500020427401966</x:v>
      </x:c>
      <x:c r="I2410" s="23" t="n">
        <x:v>0.954535857043104</x:v>
      </x:c>
      <x:c r="J2410" s="2" t="n">
        <x:v>61</x:v>
      </x:c>
      <x:c r="K2410" s="2"/>
      <x:c r="L2410" s="2"/>
    </x:row>
    <x:row r="2411" ht="22" customHeight="1">
      <x:c r="A2411" s="2"/>
      <x:c r="B2411" s="2" t="n">
        <x:v>2378</x:v>
      </x:c>
      <x:c r="C2411" s="2" t="str">
        <x:v>85136A</x:v>
      </x:c>
      <x:c r="D2411" s="2" t="str">
        <x:v>YELLOW SHARK HELICOPTER</x:v>
      </x:c>
      <x:c r="E2411" s="11" t="n">
        <x:v>1129.23</x:v>
      </x:c>
      <x:c r="F2411" s="11" t="n">
        <x:v>7.95</x:v>
      </x:c>
      <x:c r="G2411" s="11" t="n">
        <x:v>1121.28</x:v>
      </x:c>
      <x:c r="H2411" s="23" t="n">
        <x:v>0.0000549938732311674</x:v>
      </x:c>
      <x:c r="I2411" s="23" t="n">
        <x:v>0.9545908509163351</x:v>
      </x:c>
      <x:c r="J2411" s="2" t="n">
        <x:v>106</x:v>
      </x:c>
      <x:c r="K2411" s="2"/>
      <x:c r="L2411" s="2"/>
    </x:row>
    <x:row r="2412" ht="22" customHeight="1">
      <x:c r="A2412" s="2"/>
      <x:c r="B2412" s="2" t="n">
        <x:v>2379</x:v>
      </x:c>
      <x:c r="C2412" s="2" t="str">
        <x:v>22255</x:v>
      </x:c>
      <x:c r="D2412" s="2" t="str">
        <x:v>FELT TOADSTOOL  SMALL</x:v>
      </x:c>
      <x:c r="E2412" s="11" t="n">
        <x:v>1128.81</x:v>
      </x:c>
      <x:c r="F2412" s="11" t="n">
        <x:v>38.25</x:v>
      </x:c>
      <x:c r="G2412" s="11" t="n">
        <x:v>1090.56</x:v>
      </x:c>
      <x:c r="H2412" s="23" t="n">
        <x:v>0.00005497341909272165</x:v>
      </x:c>
      <x:c r="I2412" s="23" t="n">
        <x:v>0.9546458243354279</x:v>
      </x:c>
      <x:c r="J2412" s="2" t="n">
        <x:v>142</x:v>
      </x:c>
      <x:c r="K2412" s="2"/>
      <x:c r="L2412" s="2"/>
    </x:row>
    <x:row r="2413" ht="22" customHeight="1">
      <x:c r="A2413" s="2"/>
      <x:c r="B2413" s="2" t="n">
        <x:v>2380</x:v>
      </x:c>
      <x:c r="C2413" s="2" t="str">
        <x:v>85212</x:v>
      </x:c>
      <x:c r="D2413" s="2" t="str">
        <x:v>MINI PAINTED GARDEN DECORATION </x:v>
      </x:c>
      <x:c r="E2413" s="11" t="n">
        <x:v>1128.01</x:v>
      </x:c>
      <x:c r="F2413" s="11" t="n">
        <x:v>0</x:v>
      </x:c>
      <x:c r="G2413" s="11" t="n">
        <x:v>1128.01</x:v>
      </x:c>
      <x:c r="H2413" s="23" t="n">
        <x:v>0.00005493445882901547</x:v>
      </x:c>
      <x:c r="I2413" s="23" t="n">
        <x:v>0.9547007587942569</x:v>
      </x:c>
      <x:c r="J2413" s="2" t="n">
        <x:v>121</x:v>
      </x:c>
      <x:c r="K2413" s="2"/>
      <x:c r="L2413" s="2"/>
    </x:row>
    <x:row r="2414" ht="22" customHeight="1">
      <x:c r="A2414" s="2"/>
      <x:c r="B2414" s="2" t="n">
        <x:v>2381</x:v>
      </x:c>
      <x:c r="C2414" s="2" t="str">
        <x:v>37482B</x:v>
      </x:c>
      <x:c r="D2414" s="2" t="str">
        <x:v>CUBIC MUG BLUE POLKA DOT</x:v>
      </x:c>
      <x:c r="E2414" s="11" t="n">
        <x:v>1127.9099999999999</x:v>
      </x:c>
      <x:c r="F2414" s="11" t="n">
        <x:v>0</x:v>
      </x:c>
      <x:c r="G2414" s="11" t="n">
        <x:v>1127.9099999999999</x:v>
      </x:c>
      <x:c r="H2414" s="23" t="n">
        <x:v>0.000054929588796052186</x:v>
      </x:c>
      <x:c r="I2414" s="23" t="n">
        <x:v>0.9547556883830529</x:v>
      </x:c>
      <x:c r="J2414" s="2" t="n">
        <x:v>9</x:v>
      </x:c>
      <x:c r="K2414" s="2"/>
      <x:c r="L2414" s="2"/>
    </x:row>
    <x:row r="2415" ht="22" customHeight="1">
      <x:c r="A2415" s="2"/>
      <x:c r="B2415" s="2" t="n">
        <x:v>2382</x:v>
      </x:c>
      <x:c r="C2415" s="2" t="str">
        <x:v>21040</x:v>
      </x:c>
      <x:c r="D2415" s="2" t="str">
        <x:v>MODERN VINTAGE COTTON SHOPPING BAG</x:v>
      </x:c>
      <x:c r="E2415" s="11" t="n">
        <x:v>1125.85</x:v>
      </x:c>
      <x:c r="F2415" s="11" t="n">
        <x:v>0</x:v>
      </x:c>
      <x:c r="G2415" s="11" t="n">
        <x:v>1125.85</x:v>
      </x:c>
      <x:c r="H2415" s="23" t="n">
        <x:v>0.000054829266117008766</x:v>
      </x:c>
      <x:c r="I2415" s="23" t="n">
        <x:v>0.9548105176491699</x:v>
      </x:c>
      <x:c r="J2415" s="2" t="n">
        <x:v>68</x:v>
      </x:c>
      <x:c r="K2415" s="2"/>
      <x:c r="L2415" s="2"/>
    </x:row>
    <x:row r="2416" ht="22" customHeight="1">
      <x:c r="A2416" s="2"/>
      <x:c r="B2416" s="2" t="n">
        <x:v>2383</x:v>
      </x:c>
      <x:c r="C2416" s="2" t="str">
        <x:v>20700</x:v>
      </x:c>
      <x:c r="D2416" s="2" t="str">
        <x:v>GREEN CAT FLORAL CUSHION COVER </x:v>
      </x:c>
      <x:c r="E2416" s="11" t="n">
        <x:v>1125.05</x:v>
      </x:c>
      <x:c r="F2416" s="11" t="n">
        <x:v>7.5</x:v>
      </x:c>
      <x:c r="G2416" s="11" t="n">
        <x:v>1117.55</x:v>
      </x:c>
      <x:c r="H2416" s="23" t="n">
        <x:v>0.00005479030585330259</x:v>
      </x:c>
      <x:c r="I2416" s="23" t="n">
        <x:v>0.9548653079550232</x:v>
      </x:c>
      <x:c r="J2416" s="2" t="n">
        <x:v>103</x:v>
      </x:c>
      <x:c r="K2416" s="2"/>
      <x:c r="L2416" s="2"/>
    </x:row>
    <x:row r="2417" ht="22" customHeight="1">
      <x:c r="A2417" s="2"/>
      <x:c r="B2417" s="2" t="n">
        <x:v>2384</x:v>
      </x:c>
      <x:c r="C2417" s="2" t="str">
        <x:v>85124C</x:v>
      </x:c>
      <x:c r="D2417" s="2" t="str">
        <x:v>GREEN JUICY FRUIT PHOTO FRAME</x:v>
      </x:c>
      <x:c r="E2417" s="11" t="n">
        <x:v>1123.8899999999999</x:v>
      </x:c>
      <x:c r="F2417" s="11" t="n">
        <x:v>15.3</x:v>
      </x:c>
      <x:c r="G2417" s="11" t="n">
        <x:v>1108.59</x:v>
      </x:c>
      <x:c r="H2417" s="23" t="n">
        <x:v>0.00005473381347092862</x:v>
      </x:c>
      <x:c r="I2417" s="23" t="n">
        <x:v>0.9549200417684941</x:v>
      </x:c>
      <x:c r="J2417" s="2" t="n">
        <x:v>121</x:v>
      </x:c>
      <x:c r="K2417" s="2"/>
      <x:c r="L2417" s="2"/>
    </x:row>
    <x:row r="2418" ht="22" customHeight="1">
      <x:c r="A2418" s="2"/>
      <x:c r="B2418" s="2" t="n">
        <x:v>2385</x:v>
      </x:c>
      <x:c r="C2418" s="2" t="str">
        <x:v>48173c</x:v>
      </x:c>
      <x:c r="D2418" s="2" t="str">
        <x:v>DOORMAT BLACK FLOCK </x:v>
      </x:c>
      <x:c r="E2418" s="11" t="n">
        <x:v>1123.55</x:v>
      </x:c>
      <x:c r="F2418" s="11" t="n">
        <x:v>0</x:v>
      </x:c>
      <x:c r="G2418" s="11" t="n">
        <x:v>1123.55</x:v>
      </x:c>
      <x:c r="H2418" s="23" t="n">
        <x:v>0.00005471725535885349</x:v>
      </x:c>
      <x:c r="I2418" s="23" t="n">
        <x:v>0.954974759023853</x:v>
      </x:c>
      <x:c r="J2418" s="2" t="n">
        <x:v>37</x:v>
      </x:c>
      <x:c r="K2418" s="2"/>
      <x:c r="L2418" s="2"/>
    </x:row>
    <x:row r="2419" ht="22" customHeight="1">
      <x:c r="A2419" s="2"/>
      <x:c r="B2419" s="2" t="n">
        <x:v>2386</x:v>
      </x:c>
      <x:c r="C2419" s="2" t="str">
        <x:v>21010</x:v>
      </x:c>
      <x:c r="D2419" s="2" t="str">
        <x:v>ETCHED GLASS BIRD TREE DECORATION</x:v>
      </x:c>
      <x:c r="E2419" s="11" t="n">
        <x:v>1122.26</x:v>
      </x:c>
      <x:c r="F2419" s="11" t="n">
        <x:v>15</x:v>
      </x:c>
      <x:c r="G2419" s="11" t="n">
        <x:v>1107.26</x:v>
      </x:c>
      <x:c r="H2419" s="23" t="n">
        <x:v>0.000054654431933627275</x:v>
      </x:c>
      <x:c r="I2419" s="23" t="n">
        <x:v>0.9550294134557866</x:v>
      </x:c>
      <x:c r="J2419" s="2" t="n">
        <x:v>83</x:v>
      </x:c>
      <x:c r="K2419" s="2"/>
      <x:c r="L2419" s="2"/>
    </x:row>
    <x:row r="2420" ht="22" customHeight="1">
      <x:c r="A2420" s="2"/>
      <x:c r="B2420" s="2" t="n">
        <x:v>2387</x:v>
      </x:c>
      <x:c r="C2420" s="2" t="str">
        <x:v>20669</x:v>
      </x:c>
      <x:c r="D2420" s="2" t="str">
        <x:v>RED HEART LUGGAGE TAG</x:v>
      </x:c>
      <x:c r="E2420" s="11" t="n">
        <x:v>1119.39</x:v>
      </x:c>
      <x:c r="F2420" s="11" t="n">
        <x:v>0</x:v>
      </x:c>
      <x:c r="G2420" s="11" t="n">
        <x:v>1119.39</x:v>
      </x:c>
      <x:c r="H2420" s="23" t="n">
        <x:v>0.00005451466198758134</x:v>
      </x:c>
      <x:c r="I2420" s="23" t="n">
        <x:v>0.9550839281177742</x:v>
      </x:c>
      <x:c r="J2420" s="2" t="n">
        <x:v>214</x:v>
      </x:c>
      <x:c r="K2420" s="2"/>
      <x:c r="L2420" s="2"/>
    </x:row>
    <x:row r="2421" ht="22" customHeight="1">
      <x:c r="A2421" s="2"/>
      <x:c r="B2421" s="2" t="n">
        <x:v>2388</x:v>
      </x:c>
      <x:c r="C2421" s="2" t="str">
        <x:v>23510</x:v>
      </x:c>
      <x:c r="D2421" s="2" t="str">
        <x:v>MINI PLAYING CARDS GYMKHANA</x:v>
      </x:c>
      <x:c r="E2421" s="11" t="n">
        <x:v>1119.22</x:v>
      </x:c>
      <x:c r="F2421" s="11" t="n">
        <x:v>0</x:v>
      </x:c>
      <x:c r="G2421" s="11" t="n">
        <x:v>1119.22</x:v>
      </x:c>
      <x:c r="H2421" s="23" t="n">
        <x:v>0.00005450638293154378</x:v>
      </x:c>
      <x:c r="I2421" s="23" t="n">
        <x:v>0.9551384345007058</x:v>
      </x:c>
      <x:c r="J2421" s="2" t="n">
        <x:v>120</x:v>
      </x:c>
      <x:c r="K2421" s="2"/>
      <x:c r="L2421" s="2"/>
    </x:row>
    <x:row r="2422" ht="22" customHeight="1">
      <x:c r="A2422" s="2"/>
      <x:c r="B2422" s="2" t="n">
        <x:v>2389</x:v>
      </x:c>
      <x:c r="C2422" s="2" t="str">
        <x:v>23411</x:v>
      </x:c>
      <x:c r="D2422" s="2" t="str">
        <x:v> TRELLIS COAT RACK</x:v>
      </x:c>
      <x:c r="E2422" s="11" t="n">
        <x:v>1118.6100000000001</x:v>
      </x:c>
      <x:c r="F2422" s="11" t="n">
        <x:v>4.95</x:v>
      </x:c>
      <x:c r="G2422" s="11" t="n">
        <x:v>1113.66</x:v>
      </x:c>
      <x:c r="H2422" s="23" t="n">
        <x:v>0.000054476675730467815</x:v>
      </x:c>
      <x:c r="I2422" s="23" t="n">
        <x:v>0.9551929111764362</x:v>
      </x:c>
      <x:c r="J2422" s="2" t="n">
        <x:v>56</x:v>
      </x:c>
      <x:c r="K2422" s="2"/>
      <x:c r="L2422" s="2"/>
    </x:row>
    <x:row r="2423" ht="22" customHeight="1">
      <x:c r="A2423" s="2"/>
      <x:c r="B2423" s="2" t="n">
        <x:v>2390</x:v>
      </x:c>
      <x:c r="C2423" s="2" t="str">
        <x:v>17096</x:v>
      </x:c>
      <x:c r="D2423" s="2" t="str">
        <x:v>ASSORTED LAQUERED INCENSE HOLDERS</x:v>
      </x:c>
      <x:c r="E2423" s="11" t="n">
        <x:v>1117.51</x:v>
      </x:c>
      <x:c r="F2423" s="11" t="n">
        <x:v>0</x:v>
      </x:c>
      <x:c r="G2423" s="11" t="n">
        <x:v>1117.51</x:v>
      </x:c>
      <x:c r="H2423" s="23" t="n">
        <x:v>0.00005442310536787181</x:v>
      </x:c>
      <x:c r="I2423" s="23" t="n">
        <x:v>0.9552473342818041</x:v>
      </x:c>
      <x:c r="J2423" s="2" t="n">
        <x:v>76</x:v>
      </x:c>
      <x:c r="K2423" s="2"/>
      <x:c r="L2423" s="2"/>
    </x:row>
    <x:row r="2424" ht="22" customHeight="1">
      <x:c r="A2424" s="2"/>
      <x:c r="B2424" s="2" t="n">
        <x:v>2391</x:v>
      </x:c>
      <x:c r="C2424" s="2" t="str">
        <x:v>22997</x:v>
      </x:c>
      <x:c r="D2424" s="2" t="str">
        <x:v>TRAVEL CARD WALLET UNION JACK</x:v>
      </x:c>
      <x:c r="E2424" s="11" t="n">
        <x:v>1115.93</x:v>
      </x:c>
      <x:c r="F2424" s="11" t="n">
        <x:v>32.76</x:v>
      </x:c>
      <x:c r="G2424" s="11" t="n">
        <x:v>1083.17</x:v>
      </x:c>
      <x:c r="H2424" s="23" t="n">
        <x:v>0.000054346158847052094</x:v>
      </x:c>
      <x:c r="I2424" s="23" t="n">
        <x:v>0.9553016804406511</x:v>
      </x:c>
      <x:c r="J2424" s="2" t="n">
        <x:v>222</x:v>
      </x:c>
      <x:c r="K2424" s="2"/>
      <x:c r="L2424" s="2"/>
    </x:row>
    <x:row r="2425" ht="22" customHeight="1">
      <x:c r="A2425" s="2"/>
      <x:c r="B2425" s="2" t="n">
        <x:v>2392</x:v>
      </x:c>
      <x:c r="C2425" s="2" t="str">
        <x:v>84678</x:v>
      </x:c>
      <x:c r="D2425" s="2" t="str">
        <x:v>CLASSICAL ROSE SMALL VASE</x:v>
      </x:c>
      <x:c r="E2425" s="11" t="n">
        <x:v>1115.9299999999998</x:v>
      </x:c>
      <x:c r="F2425" s="11" t="n">
        <x:v>22.9</x:v>
      </x:c>
      <x:c r="G2425" s="11" t="n">
        <x:v>1093.03</x:v>
      </x:c>
      <x:c r="H2425" s="23" t="n">
        <x:v>0.00005434615884705209</x:v>
      </x:c>
      <x:c r="I2425" s="23" t="n">
        <x:v>0.9553560265994981</x:v>
      </x:c>
      <x:c r="J2425" s="2" t="n">
        <x:v>81</x:v>
      </x:c>
      <x:c r="K2425" s="2"/>
      <x:c r="L2425" s="2"/>
    </x:row>
    <x:row r="2426" ht="22" customHeight="1">
      <x:c r="A2426" s="2"/>
      <x:c r="B2426" s="2" t="n">
        <x:v>2393</x:v>
      </x:c>
      <x:c r="C2426" s="2" t="str">
        <x:v>23513</x:v>
      </x:c>
      <x:c r="D2426" s="2" t="str">
        <x:v>EMBROIDERED RIBBON REEL SUSIE </x:v>
      </x:c>
      <x:c r="E2426" s="11" t="n">
        <x:v>1114.26</x:v>
      </x:c>
      <x:c r="F2426" s="11" t="n">
        <x:v>12.48</x:v>
      </x:c>
      <x:c r="G2426" s="11" t="n">
        <x:v>1101.78</x:v>
      </x:c>
      <x:c r="H2426" s="23" t="n">
        <x:v>0.000054264829296565434</x:v>
      </x:c>
      <x:c r="I2426" s="23" t="n">
        <x:v>0.9554102914287947</x:v>
      </x:c>
      <x:c r="J2426" s="2" t="n">
        <x:v>70</x:v>
      </x:c>
      <x:c r="K2426" s="2"/>
      <x:c r="L2426" s="2"/>
    </x:row>
    <x:row r="2427" ht="22" customHeight="1">
      <x:c r="A2427" s="2"/>
      <x:c r="B2427" s="2" t="n">
        <x:v>2394</x:v>
      </x:c>
      <x:c r="C2427" s="2" t="str">
        <x:v>84631</x:v>
      </x:c>
      <x:c r="D2427" s="2" t="str">
        <x:v>FRUIT TREE AND BIRDS WALL PLAQUE</x:v>
      </x:c>
      <x:c r="E2427" s="11" t="n">
        <x:v>1114.11</x:v>
      </x:c>
      <x:c r="F2427" s="11" t="n">
        <x:v>23.85</x:v>
      </x:c>
      <x:c r="G2427" s="11" t="n">
        <x:v>1090.26</x:v>
      </x:c>
      <x:c r="H2427" s="23" t="n">
        <x:v>0.00005425752424712052</x:v>
      </x:c>
      <x:c r="I2427" s="23" t="n">
        <x:v>0.9554645489530419</x:v>
      </x:c>
      <x:c r="J2427" s="2" t="n">
        <x:v>50</x:v>
      </x:c>
      <x:c r="K2427" s="2"/>
      <x:c r="L2427" s="2"/>
    </x:row>
    <x:row r="2428" ht="22" customHeight="1">
      <x:c r="A2428" s="2"/>
      <x:c r="B2428" s="2" t="n">
        <x:v>2395</x:v>
      </x:c>
      <x:c r="C2428" s="2" t="str">
        <x:v>47504H</x:v>
      </x:c>
      <x:c r="D2428" s="2" t="str">
        <x:v>ENGLISH ROSE SPIRIT LEVEL </x:v>
      </x:c>
      <x:c r="E2428" s="11" t="n">
        <x:v>1113.07</x:v>
      </x:c>
      <x:c r="F2428" s="11" t="n">
        <x:v>5</x:v>
      </x:c>
      <x:c r="G2428" s="11" t="n">
        <x:v>1108.07</x:v>
      </x:c>
      <x:c r="H2428" s="23" t="n">
        <x:v>0.00005420687590430248</x:v>
      </x:c>
      <x:c r="I2428" s="23" t="n">
        <x:v>0.9555187558289462</x:v>
      </x:c>
      <x:c r="J2428" s="2" t="n">
        <x:v>140</x:v>
      </x:c>
      <x:c r="K2428" s="2"/>
      <x:c r="L2428" s="2"/>
    </x:row>
    <x:row r="2429" ht="22" customHeight="1">
      <x:c r="A2429" s="2"/>
      <x:c r="B2429" s="2" t="n">
        <x:v>2396</x:v>
      </x:c>
      <x:c r="C2429" s="2" t="str">
        <x:v>21666</x:v>
      </x:c>
      <x:c r="D2429" s="2" t="str">
        <x:v>RIDGED GLASS T-LIGHT HOLDER</x:v>
      </x:c>
      <x:c r="E2429" s="11" t="n">
        <x:v>1109.0500000000002</x:v>
      </x:c>
      <x:c r="F2429" s="11" t="n">
        <x:v>1.9500000000000002</x:v>
      </x:c>
      <x:c r="G2429" s="11" t="n">
        <x:v>1107.1000000000001</x:v>
      </x:c>
      <x:c r="H2429" s="23" t="n">
        <x:v>0.00005401110057917892</x:v>
      </x:c>
      <x:c r="I2429" s="23" t="n">
        <x:v>0.9555727669295254</x:v>
      </x:c>
      <x:c r="J2429" s="2" t="n">
        <x:v>85</x:v>
      </x:c>
      <x:c r="K2429" s="2"/>
      <x:c r="L2429" s="2"/>
    </x:row>
    <x:row r="2430" ht="22" customHeight="1">
      <x:c r="A2430" s="2"/>
      <x:c r="B2430" s="2" t="n">
        <x:v>2397</x:v>
      </x:c>
      <x:c r="C2430" s="2" t="str">
        <x:v>23375</x:v>
      </x:c>
      <x:c r="D2430" s="2" t="str">
        <x:v>50'S CHRISTMAS PAPER GIFT BAG</x:v>
      </x:c>
      <x:c r="E2430" s="11" t="n">
        <x:v>1108.8899999999999</x:v>
      </x:c>
      <x:c r="F2430" s="11" t="n">
        <x:v>0.82</x:v>
      </x:c>
      <x:c r="G2430" s="11" t="n">
        <x:v>1108.07</x:v>
      </x:c>
      <x:c r="H2430" s="23" t="n">
        <x:v>0.00005400330852643767</x:v>
      </x:c>
      <x:c r="I2430" s="23" t="n">
        <x:v>0.9556267702380519</x:v>
      </x:c>
      <x:c r="J2430" s="2" t="n">
        <x:v>103</x:v>
      </x:c>
      <x:c r="K2430" s="2"/>
      <x:c r="L2430" s="2"/>
    </x:row>
    <x:row r="2431" ht="22" customHeight="1">
      <x:c r="A2431" s="2"/>
      <x:c r="B2431" s="2" t="n">
        <x:v>2398</x:v>
      </x:c>
      <x:c r="C2431" s="2" t="str">
        <x:v>23433</x:v>
      </x:c>
      <x:c r="D2431" s="2" t="str">
        <x:v>HANGING QUILTED PATCHWORK APPLES</x:v>
      </x:c>
      <x:c r="E2431" s="11" t="n">
        <x:v>1108.58</x:v>
      </x:c>
      <x:c r="F2431" s="11" t="n">
        <x:v>39.01</x:v>
      </x:c>
      <x:c r="G2431" s="11" t="n">
        <x:v>1069.57</x:v>
      </x:c>
      <x:c r="H2431" s="23" t="n">
        <x:v>0.000053988211424251525</x:v>
      </x:c>
      <x:c r="I2431" s="23" t="n">
        <x:v>0.9556807584494761</x:v>
      </x:c>
      <x:c r="J2431" s="2" t="n">
        <x:v>89</x:v>
      </x:c>
      <x:c r="K2431" s="2"/>
      <x:c r="L2431" s="2"/>
    </x:row>
    <x:row r="2432" ht="22" customHeight="1">
      <x:c r="A2432" s="2"/>
      <x:c r="B2432" s="2" t="n">
        <x:v>2399</x:v>
      </x:c>
      <x:c r="C2432" s="2" t="str">
        <x:v>20892</x:v>
      </x:c>
      <x:c r="D2432" s="2" t="str">
        <x:v>SET/3 TALL GLASS CANDLE HOLDER PINK</x:v>
      </x:c>
      <x:c r="E2432" s="11" t="n">
        <x:v>1108.1</x:v>
      </x:c>
      <x:c r="F2432" s="11" t="n">
        <x:v>206.15</x:v>
      </x:c>
      <x:c r="G2432" s="11" t="n">
        <x:v>901.9499999999999</x:v>
      </x:c>
      <x:c r="H2432" s="23" t="n">
        <x:v>0.00005396483526602782</x:v>
      </x:c>
      <x:c r="I2432" s="23" t="n">
        <x:v>0.9557347232847421</x:v>
      </x:c>
      <x:c r="J2432" s="2" t="n">
        <x:v>38</x:v>
      </x:c>
      <x:c r="K2432" s="2"/>
      <x:c r="L2432" s="2"/>
    </x:row>
    <x:row r="2433" ht="22" customHeight="1">
      <x:c r="A2433" s="2"/>
      <x:c r="B2433" s="2" t="n">
        <x:v>2400</x:v>
      </x:c>
      <x:c r="C2433" s="2" t="str">
        <x:v>21944</x:v>
      </x:c>
      <x:c r="D2433" s="2" t="str">
        <x:v>KITTENS DESIGN FLANNEL</x:v>
      </x:c>
      <x:c r="E2433" s="11" t="n">
        <x:v>1106.86</x:v>
      </x:c>
      <x:c r="F2433" s="11" t="n">
        <x:v>1.7</x:v>
      </x:c>
      <x:c r="G2433" s="11" t="n">
        <x:v>1105.16</x:v>
      </x:c>
      <x:c r="H2433" s="23" t="n">
        <x:v>0.00005390444685728323</x:v>
      </x:c>
      <x:c r="I2433" s="23" t="n">
        <x:v>0.9557886277315993</x:v>
      </x:c>
      <x:c r="J2433" s="2" t="n">
        <x:v>204</x:v>
      </x:c>
      <x:c r="K2433" s="2"/>
      <x:c r="L2433" s="2"/>
    </x:row>
    <x:row r="2434" ht="22" customHeight="1">
      <x:c r="A2434" s="2"/>
      <x:c r="B2434" s="2" t="n">
        <x:v>2401</x:v>
      </x:c>
      <x:c r="C2434" s="2" t="str">
        <x:v>21202</x:v>
      </x:c>
      <x:c r="D2434" s="2" t="str">
        <x:v>DOLLY HONEYCOMB GARLAND</x:v>
      </x:c>
      <x:c r="E2434" s="11" t="n">
        <x:v>1105.1299999999999</x:v>
      </x:c>
      <x:c r="F2434" s="11" t="n">
        <x:v>74.55</x:v>
      </x:c>
      <x:c r="G2434" s="11" t="n">
        <x:v>1030.58</x:v>
      </x:c>
      <x:c r="H2434" s="23" t="n">
        <x:v>0.00005382019528701861</x:v>
      </x:c>
      <x:c r="I2434" s="23" t="n">
        <x:v>0.9558424479268863</x:v>
      </x:c>
      <x:c r="J2434" s="2" t="n">
        <x:v>66</x:v>
      </x:c>
      <x:c r="K2434" s="2"/>
      <x:c r="L2434" s="2"/>
    </x:row>
    <x:row r="2435" ht="22" customHeight="1">
      <x:c r="A2435" s="2"/>
      <x:c r="B2435" s="2" t="n">
        <x:v>2402</x:v>
      </x:c>
      <x:c r="C2435" s="2" t="str">
        <x:v>22116</x:v>
      </x:c>
      <x:c r="D2435" s="2" t="str">
        <x:v>METAL SIGN HIS DINNER IS SERVED</x:v>
      </x:c>
      <x:c r="E2435" s="11" t="n">
        <x:v>1103.88</x:v>
      </x:c>
      <x:c r="F2435" s="11" t="n">
        <x:v>27.900000000000002</x:v>
      </x:c>
      <x:c r="G2435" s="11" t="n">
        <x:v>1075.98</x:v>
      </x:c>
      <x:c r="H2435" s="23" t="n">
        <x:v>0.00005375931987497771</x:v>
      </x:c>
      <x:c r="I2435" s="23" t="n">
        <x:v>0.9558962072467613</x:v>
      </x:c>
      <x:c r="J2435" s="2" t="n">
        <x:v>198</x:v>
      </x:c>
      <x:c r="K2435" s="2"/>
      <x:c r="L2435" s="2"/>
    </x:row>
    <x:row r="2436" ht="22" customHeight="1">
      <x:c r="A2436" s="2"/>
      <x:c r="B2436" s="2" t="n">
        <x:v>2403</x:v>
      </x:c>
      <x:c r="C2436" s="2" t="str">
        <x:v>21839</x:v>
      </x:c>
      <x:c r="D2436" s="2" t="str">
        <x:v>MUMMY MOUSE RED GINGHAM RIBBON</x:v>
      </x:c>
      <x:c r="E2436" s="11" t="n">
        <x:v>1101.94</x:v>
      </x:c>
      <x:c r="F2436" s="11" t="n">
        <x:v>10.9</x:v>
      </x:c>
      <x:c r="G2436" s="11" t="n">
        <x:v>1091.04</x:v>
      </x:c>
      <x:c r="H2436" s="23" t="n">
        <x:v>0.00005366484123549021</x:v>
      </x:c>
      <x:c r="I2436" s="23" t="n">
        <x:v>0.9559498720879968</x:v>
      </x:c>
      <x:c r="J2436" s="2" t="n">
        <x:v>83</x:v>
      </x:c>
      <x:c r="K2436" s="2"/>
      <x:c r="L2436" s="2"/>
    </x:row>
    <x:row r="2437" ht="22" customHeight="1">
      <x:c r="A2437" s="2"/>
      <x:c r="B2437" s="2" t="n">
        <x:v>2404</x:v>
      </x:c>
      <x:c r="C2437" s="2" t="str">
        <x:v>84638</x:v>
      </x:c>
      <x:c r="D2437" s="2" t="str">
        <x:v>SMALL KITCHEN FLOWER POTS PLAQUE</x:v>
      </x:c>
      <x:c r="E2437" s="11" t="n">
        <x:v>1101.55</x:v>
      </x:c>
      <x:c r="F2437" s="11" t="n">
        <x:v>0</x:v>
      </x:c>
      <x:c r="G2437" s="11" t="n">
        <x:v>1101.55</x:v>
      </x:c>
      <x:c r="H2437" s="23" t="n">
        <x:v>0.000053645848106933436</x:v>
      </x:c>
      <x:c r="I2437" s="23" t="n">
        <x:v>0.9560035179361037</x:v>
      </x:c>
      <x:c r="J2437" s="2" t="n">
        <x:v>69</x:v>
      </x:c>
      <x:c r="K2437" s="2"/>
      <x:c r="L2437" s="2"/>
    </x:row>
    <x:row r="2438" ht="22" customHeight="1">
      <x:c r="A2438" s="2"/>
      <x:c r="B2438" s="2" t="n">
        <x:v>2405</x:v>
      </x:c>
      <x:c r="C2438" s="2" t="str">
        <x:v>22532</x:v>
      </x:c>
      <x:c r="D2438" s="2" t="str">
        <x:v>MAGIC DRAWING SLATE LEAP FROG </x:v>
      </x:c>
      <x:c r="E2438" s="11" t="n">
        <x:v>1101.1000000000001</x:v>
      </x:c>
      <x:c r="F2438" s="11" t="n">
        <x:v>0</x:v>
      </x:c>
      <x:c r="G2438" s="11" t="n">
        <x:v>1101.1000000000001</x:v>
      </x:c>
      <x:c r="H2438" s="23" t="n">
        <x:v>0.00005362393295859872</x:v>
      </x:c>
      <x:c r="I2438" s="23" t="n">
        <x:v>0.9560571418690623</x:v>
      </x:c>
      <x:c r="J2438" s="2" t="n">
        <x:v>175</x:v>
      </x:c>
      <x:c r="K2438" s="2"/>
      <x:c r="L2438" s="2"/>
    </x:row>
    <x:row r="2439" ht="22" customHeight="1">
      <x:c r="A2439" s="2"/>
      <x:c r="B2439" s="2" t="n">
        <x:v>2406</x:v>
      </x:c>
      <x:c r="C2439" s="2" t="str">
        <x:v>47587A</x:v>
      </x:c>
      <x:c r="D2439" s="2" t="str">
        <x:v>PINK FAIRY CAKE COASTER</x:v>
      </x:c>
      <x:c r="E2439" s="11" t="n">
        <x:v>1099.88</x:v>
      </x:c>
      <x:c r="F2439" s="11" t="n">
        <x:v>864</x:v>
      </x:c>
      <x:c r="G2439" s="11" t="n">
        <x:v>235.88</x:v>
      </x:c>
      <x:c r="H2439" s="23" t="n">
        <x:v>0.00005356451855644679</x:v>
      </x:c>
      <x:c r="I2439" s="23" t="n">
        <x:v>0.9561107063876187</x:v>
      </x:c>
      <x:c r="J2439" s="2" t="n">
        <x:v>26</x:v>
      </x:c>
      <x:c r="K2439" s="2"/>
      <x:c r="L2439" s="2"/>
    </x:row>
    <x:row r="2440" ht="22" customHeight="1">
      <x:c r="A2440" s="2"/>
      <x:c r="B2440" s="2" t="n">
        <x:v>2407</x:v>
      </x:c>
      <x:c r="C2440" s="2" t="str">
        <x:v>22709</x:v>
      </x:c>
      <x:c r="D2440" s="2" t="str">
        <x:v>WRAP WEDDING DAY</x:v>
      </x:c>
      <x:c r="E2440" s="11" t="n">
        <x:v>1099.58</x:v>
      </x:c>
      <x:c r="F2440" s="11" t="n">
        <x:v>10.5</x:v>
      </x:c>
      <x:c r="G2440" s="11" t="n">
        <x:v>1089.08</x:v>
      </x:c>
      <x:c r="H2440" s="23" t="n">
        <x:v>0.00005354990845755696</x:v>
      </x:c>
      <x:c r="I2440" s="23" t="n">
        <x:v>0.9561642562960763</x:v>
      </x:c>
      <x:c r="J2440" s="2" t="n">
        <x:v>77</x:v>
      </x:c>
      <x:c r="K2440" s="2"/>
      <x:c r="L2440" s="2"/>
    </x:row>
    <x:row r="2441" ht="22" customHeight="1">
      <x:c r="A2441" s="2"/>
      <x:c r="B2441" s="2" t="n">
        <x:v>2408</x:v>
      </x:c>
      <x:c r="C2441" s="2" t="str">
        <x:v>21131</x:v>
      </x:c>
      <x:c r="D2441" s="2" t="str">
        <x:v>GOLD STANDING GNOME</x:v>
      </x:c>
      <x:c r="E2441" s="11" t="n">
        <x:v>1098.86</x:v>
      </x:c>
      <x:c r="F2441" s="11" t="n">
        <x:v>0</x:v>
      </x:c>
      <x:c r="G2441" s="11" t="n">
        <x:v>1098.86</x:v>
      </x:c>
      <x:c r="H2441" s="23" t="n">
        <x:v>0.000053514844220221395</x:v>
      </x:c>
      <x:c r="I2441" s="23" t="n">
        <x:v>0.9562177711402965</x:v>
      </x:c>
      <x:c r="J2441" s="2" t="n">
        <x:v>49</x:v>
      </x:c>
      <x:c r="K2441" s="2"/>
      <x:c r="L2441" s="2"/>
    </x:row>
    <x:row r="2442" ht="22" customHeight="1">
      <x:c r="A2442" s="2"/>
      <x:c r="B2442" s="2" t="n">
        <x:v>2409</x:v>
      </x:c>
      <x:c r="C2442" s="2" t="str">
        <x:v>21779</x:v>
      </x:c>
      <x:c r="D2442" s="2" t="str">
        <x:v>MA CAMPAGNE MINI WOODEN CHEST</x:v>
      </x:c>
      <x:c r="E2442" s="11" t="n">
        <x:v>1097.8000000000002</x:v>
      </x:c>
      <x:c r="F2442" s="11" t="n">
        <x:v>35.05</x:v>
      </x:c>
      <x:c r="G2442" s="11" t="n">
        <x:v>1062.75</x:v>
      </x:c>
      <x:c r="H2442" s="23" t="n">
        <x:v>0.00005346322187081071</x:v>
      </x:c>
      <x:c r="I2442" s="23" t="n">
        <x:v>0.9562712343621673</x:v>
      </x:c>
      <x:c r="J2442" s="2" t="n">
        <x:v>22</x:v>
      </x:c>
      <x:c r="K2442" s="2"/>
      <x:c r="L2442" s="2"/>
    </x:row>
    <x:row r="2443" ht="22" customHeight="1">
      <x:c r="A2443" s="2"/>
      <x:c r="B2443" s="2" t="n">
        <x:v>2410</x:v>
      </x:c>
      <x:c r="C2443" s="2" t="str">
        <x:v>84358</x:v>
      </x:c>
      <x:c r="D2443" s="2" t="str">
        <x:v>FLOOR LAMP SHADE WOOD BASE</x:v>
      </x:c>
      <x:c r="E2443" s="11" t="n">
        <x:v>1097.48</x:v>
      </x:c>
      <x:c r="F2443" s="11" t="n">
        <x:v>0</x:v>
      </x:c>
      <x:c r="G2443" s="11" t="n">
        <x:v>1097.48</x:v>
      </x:c>
      <x:c r="H2443" s="23" t="n">
        <x:v>0.00005344763776532823</x:v>
      </x:c>
      <x:c r="I2443" s="23" t="n">
        <x:v>0.9563246819999327</x:v>
      </x:c>
      <x:c r="J2443" s="2" t="n">
        <x:v>29</x:v>
      </x:c>
      <x:c r="K2443" s="2"/>
      <x:c r="L2443" s="2"/>
    </x:row>
    <x:row r="2444" ht="22" customHeight="1">
      <x:c r="A2444" s="2"/>
      <x:c r="B2444" s="2" t="n">
        <x:v>2411</x:v>
      </x:c>
      <x:c r="C2444" s="2" t="str">
        <x:v>37479B</x:v>
      </x:c>
      <x:c r="D2444" s="2" t="str">
        <x:v>CUBIC MUG FLOCK BLUE ON BROWN</x:v>
      </x:c>
      <x:c r="E2444" s="11" t="n">
        <x:v>1095.85</x:v>
      </x:c>
      <x:c r="F2444" s="11" t="n">
        <x:v>0</x:v>
      </x:c>
      <x:c r="G2444" s="11" t="n">
        <x:v>1095.85</x:v>
      </x:c>
      <x:c r="H2444" s="23" t="n">
        <x:v>0.000053368256228026875</x:v>
      </x:c>
      <x:c r="I2444" s="23" t="n">
        <x:v>0.9563780502561607</x:v>
      </x:c>
      <x:c r="J2444" s="2" t="n">
        <x:v>32</x:v>
      </x:c>
      <x:c r="K2444" s="2"/>
      <x:c r="L2444" s="2"/>
    </x:row>
    <x:row r="2445" ht="22" customHeight="1">
      <x:c r="A2445" s="2"/>
      <x:c r="B2445" s="2" t="n">
        <x:v>2412</x:v>
      </x:c>
      <x:c r="C2445" s="2" t="str">
        <x:v>84989A</x:v>
      </x:c>
      <x:c r="D2445" s="2" t="str">
        <x:v>75 GREEN FAIRY CAKE CASES</x:v>
      </x:c>
      <x:c r="E2445" s="11" t="n">
        <x:v>1095.07</x:v>
      </x:c>
      <x:c r="F2445" s="11" t="n">
        <x:v>2.0700000000000003</x:v>
      </x:c>
      <x:c r="G2445" s="11" t="n">
        <x:v>1093</x:v>
      </x:c>
      <x:c r="H2445" s="23" t="n">
        <x:v>0.00005333026997091335</x:v>
      </x:c>
      <x:c r="I2445" s="23" t="n">
        <x:v>0.9564313805261316</x:v>
      </x:c>
      <x:c r="J2445" s="2" t="n">
        <x:v>152</x:v>
      </x:c>
      <x:c r="K2445" s="2"/>
      <x:c r="L2445" s="2"/>
    </x:row>
    <x:row r="2446" ht="22" customHeight="1">
      <x:c r="A2446" s="2"/>
      <x:c r="B2446" s="2" t="n">
        <x:v>2413</x:v>
      </x:c>
      <x:c r="C2446" s="2" t="str">
        <x:v>84791</x:v>
      </x:c>
      <x:c r="D2446" s="2" t="str">
        <x:v>GINGHAM HEART DECORATION</x:v>
      </x:c>
      <x:c r="E2446" s="11" t="n">
        <x:v>1094.98</x:v>
      </x:c>
      <x:c r="F2446" s="11" t="n">
        <x:v>17.700000000000003</x:v>
      </x:c>
      <x:c r="G2446" s="11" t="n">
        <x:v>1077.2800000000002</x:v>
      </x:c>
      <x:c r="H2446" s="23" t="n">
        <x:v>0.00005332588694124641</x:v>
      </x:c>
      <x:c r="I2446" s="23" t="n">
        <x:v>0.9564847064130729</x:v>
      </x:c>
      <x:c r="J2446" s="2" t="n">
        <x:v>106</x:v>
      </x:c>
      <x:c r="K2446" s="2"/>
      <x:c r="L2446" s="2"/>
    </x:row>
    <x:row r="2447" ht="22" customHeight="1">
      <x:c r="A2447" s="2"/>
      <x:c r="B2447" s="2" t="n">
        <x:v>2414</x:v>
      </x:c>
      <x:c r="C2447" s="2" t="str">
        <x:v>20867</x:v>
      </x:c>
      <x:c r="D2447" s="2" t="str">
        <x:v>PINK ROSE FABRIC MIRROR</x:v>
      </x:c>
      <x:c r="E2447" s="11" t="n">
        <x:v>1094.39</x:v>
      </x:c>
      <x:c r="F2447" s="11" t="n">
        <x:v>0</x:v>
      </x:c>
      <x:c r="G2447" s="11" t="n">
        <x:v>1094.39</x:v>
      </x:c>
      <x:c r="H2447" s="23" t="n">
        <x:v>0.0000532971537467631</x:v>
      </x:c>
      <x:c r="I2447" s="23" t="n">
        <x:v>0.9565380035668197</x:v>
      </x:c>
      <x:c r="J2447" s="2" t="n">
        <x:v>153</x:v>
      </x:c>
      <x:c r="K2447" s="2"/>
      <x:c r="L2447" s="2"/>
    </x:row>
    <x:row r="2448" ht="22" customHeight="1">
      <x:c r="A2448" s="2"/>
      <x:c r="B2448" s="2" t="n">
        <x:v>2415</x:v>
      </x:c>
      <x:c r="C2448" s="2" t="str">
        <x:v>85131D</x:v>
      </x:c>
      <x:c r="D2448" s="2" t="str">
        <x:v>BEADED CRYSTAL HEART PINK ON STICK</x:v>
      </x:c>
      <x:c r="E2448" s="11" t="n">
        <x:v>1093.96</x:v>
      </x:c>
      <x:c r="F2448" s="11" t="n">
        <x:v>0</x:v>
      </x:c>
      <x:c r="G2448" s="11" t="n">
        <x:v>1093.96</x:v>
      </x:c>
      <x:c r="H2448" s="23" t="n">
        <x:v>0.00005327621260502102</x:v>
      </x:c>
      <x:c r="I2448" s="23" t="n">
        <x:v>0.9565912797794247</x:v>
      </x:c>
      <x:c r="J2448" s="2" t="n">
        <x:v>267</x:v>
      </x:c>
      <x:c r="K2448" s="2"/>
      <x:c r="L2448" s="2"/>
    </x:row>
    <x:row r="2449" ht="22" customHeight="1">
      <x:c r="A2449" s="2"/>
      <x:c r="B2449" s="2" t="n">
        <x:v>2416</x:v>
      </x:c>
      <x:c r="C2449" s="2" t="str">
        <x:v>85093</x:v>
      </x:c>
      <x:c r="D2449" s="2" t="str">
        <x:v>CANDY SPOT EGG WARMER HARE</x:v>
      </x:c>
      <x:c r="E2449" s="11" t="n">
        <x:v>1092.46</x:v>
      </x:c>
      <x:c r="F2449" s="11" t="n">
        <x:v>3.75</x:v>
      </x:c>
      <x:c r="G2449" s="11" t="n">
        <x:v>1088.71</x:v>
      </x:c>
      <x:c r="H2449" s="23" t="n">
        <x:v>0.00005320316211057193</x:v>
      </x:c>
      <x:c r="I2449" s="23" t="n">
        <x:v>0.9566444829415353</x:v>
      </x:c>
      <x:c r="J2449" s="2" t="n">
        <x:v>152</x:v>
      </x:c>
      <x:c r="K2449" s="2"/>
      <x:c r="L2449" s="2"/>
    </x:row>
    <x:row r="2450" ht="22" customHeight="1">
      <x:c r="A2450" s="2"/>
      <x:c r="B2450" s="2" t="n">
        <x:v>2417</x:v>
      </x:c>
      <x:c r="C2450" s="2" t="str">
        <x:v>23087</x:v>
      </x:c>
      <x:c r="D2450" s="2" t="str">
        <x:v>ZINC  HEART T-LIGHT HOLDER</x:v>
      </x:c>
      <x:c r="E2450" s="11" t="n">
        <x:v>1090.66</x:v>
      </x:c>
      <x:c r="F2450" s="11" t="n">
        <x:v>18.75</x:v>
      </x:c>
      <x:c r="G2450" s="11" t="n">
        <x:v>1071.91</x:v>
      </x:c>
      <x:c r="H2450" s="23" t="n">
        <x:v>0.00005311550151723302</x:v>
      </x:c>
      <x:c r="I2450" s="23" t="n">
        <x:v>0.9566975984430525</x:v>
      </x:c>
      <x:c r="J2450" s="2" t="n">
        <x:v>69</x:v>
      </x:c>
      <x:c r="K2450" s="2"/>
      <x:c r="L2450" s="2"/>
    </x:row>
    <x:row r="2451" ht="22" customHeight="1">
      <x:c r="A2451" s="2"/>
      <x:c r="B2451" s="2" t="n">
        <x:v>2418</x:v>
      </x:c>
      <x:c r="C2451" s="2" t="str">
        <x:v>20755</x:v>
      </x:c>
      <x:c r="D2451" s="2" t="str">
        <x:v>BLUE PAISLEY POCKET BOOK</x:v>
      </x:c>
      <x:c r="E2451" s="11" t="n">
        <x:v>1090.58</x:v>
      </x:c>
      <x:c r="F2451" s="11" t="n">
        <x:v>0</x:v>
      </x:c>
      <x:c r="G2451" s="11" t="n">
        <x:v>1090.58</x:v>
      </x:c>
      <x:c r="H2451" s="23" t="n">
        <x:v>0.00005311160549086239</x:v>
      </x:c>
      <x:c r="I2451" s="23" t="n">
        <x:v>0.9567507100485433</x:v>
      </x:c>
      <x:c r="J2451" s="2" t="n">
        <x:v>122</x:v>
      </x:c>
      <x:c r="K2451" s="2"/>
      <x:c r="L2451" s="2"/>
    </x:row>
    <x:row r="2452" ht="22" customHeight="1">
      <x:c r="A2452" s="2"/>
      <x:c r="B2452" s="2" t="n">
        <x:v>2419</x:v>
      </x:c>
      <x:c r="C2452" s="2" t="str">
        <x:v>23432</x:v>
      </x:c>
      <x:c r="D2452" s="2" t="str">
        <x:v>PRETTY HANGING QUILTED HEARTS</x:v>
      </x:c>
      <x:c r="E2452" s="11" t="n">
        <x:v>1090.02</x:v>
      </x:c>
      <x:c r="F2452" s="11" t="n">
        <x:v>0</x:v>
      </x:c>
      <x:c r="G2452" s="11" t="n">
        <x:v>1090.02</x:v>
      </x:c>
      <x:c r="H2452" s="23" t="n">
        <x:v>0.000053084333306268065</x:v>
      </x:c>
      <x:c r="I2452" s="23" t="n">
        <x:v>0.9568037943818496</x:v>
      </x:c>
      <x:c r="J2452" s="2" t="n">
        <x:v>74</x:v>
      </x:c>
      <x:c r="K2452" s="2"/>
      <x:c r="L2452" s="2"/>
    </x:row>
    <x:row r="2453" ht="22" customHeight="1">
      <x:c r="A2453" s="2"/>
      <x:c r="B2453" s="2" t="n">
        <x:v>2420</x:v>
      </x:c>
      <x:c r="C2453" s="2" t="str">
        <x:v>84509C</x:v>
      </x:c>
      <x:c r="D2453" s="2" t="str">
        <x:v>SET OF 4 POLKADOT PLACEMATS </x:v>
      </x:c>
      <x:c r="E2453" s="11" t="n">
        <x:v>1089.71</x:v>
      </x:c>
      <x:c r="F2453" s="11" t="n">
        <x:v>0</x:v>
      </x:c>
      <x:c r="G2453" s="11" t="n">
        <x:v>1089.71</x:v>
      </x:c>
      <x:c r="H2453" s="23" t="n">
        <x:v>0.000053069236204081925</x:v>
      </x:c>
      <x:c r="I2453" s="23" t="n">
        <x:v>0.9568568636180537</x:v>
      </x:c>
      <x:c r="J2453" s="2" t="n">
        <x:v>96</x:v>
      </x:c>
      <x:c r="K2453" s="2"/>
      <x:c r="L2453" s="2"/>
    </x:row>
    <x:row r="2454" ht="22" customHeight="1">
      <x:c r="A2454" s="2"/>
      <x:c r="B2454" s="2" t="n">
        <x:v>2421</x:v>
      </x:c>
      <x:c r="C2454" s="2" t="str">
        <x:v>21632</x:v>
      </x:c>
      <x:c r="D2454" s="2" t="str">
        <x:v>VINTAGE PINK DECORATIVE PARASOL</x:v>
      </x:c>
      <x:c r="E2454" s="11" t="n">
        <x:v>1088.97</x:v>
      </x:c>
      <x:c r="F2454" s="11" t="n">
        <x:v>12.75</x:v>
      </x:c>
      <x:c r="G2454" s="11" t="n">
        <x:v>1076.22</x:v>
      </x:c>
      <x:c r="H2454" s="23" t="n">
        <x:v>0.0000530331979601537</x:v>
      </x:c>
      <x:c r="I2454" s="23" t="n">
        <x:v>0.9569098968160138</x:v>
      </x:c>
      <x:c r="J2454" s="2" t="n">
        <x:v>53</x:v>
      </x:c>
      <x:c r="K2454" s="2"/>
      <x:c r="L2454" s="2"/>
    </x:row>
    <x:row r="2455" ht="22" customHeight="1">
      <x:c r="A2455" s="2"/>
      <x:c r="B2455" s="2" t="n">
        <x:v>2422</x:v>
      </x:c>
      <x:c r="C2455" s="2" t="str">
        <x:v>23102</x:v>
      </x:c>
      <x:c r="D2455" s="2" t="str">
        <x:v>SILVER HEARTS TABLE DECORATION</x:v>
      </x:c>
      <x:c r="E2455" s="11" t="n">
        <x:v>1086.6499999999999</x:v>
      </x:c>
      <x:c r="F2455" s="11" t="n">
        <x:v>0</x:v>
      </x:c>
      <x:c r="G2455" s="11" t="n">
        <x:v>1086.6499999999999</x:v>
      </x:c>
      <x:c r="H2455" s="23" t="n">
        <x:v>0.00005292021319540576</x:v>
      </x:c>
      <x:c r="I2455" s="23" t="n">
        <x:v>0.9569628170292092</x:v>
      </x:c>
      <x:c r="J2455" s="2" t="n">
        <x:v>157</x:v>
      </x:c>
      <x:c r="K2455" s="2"/>
      <x:c r="L2455" s="2"/>
    </x:row>
    <x:row r="2456" ht="22" customHeight="1">
      <x:c r="A2456" s="2"/>
      <x:c r="B2456" s="2" t="n">
        <x:v>2423</x:v>
      </x:c>
      <x:c r="C2456" s="2" t="str">
        <x:v>21817</x:v>
      </x:c>
      <x:c r="D2456" s="2" t="str">
        <x:v>check</x:v>
      </x:c>
      <x:c r="E2456" s="11" t="n">
        <x:v>1086.01</x:v>
      </x:c>
      <x:c r="F2456" s="11" t="n">
        <x:v>0</x:v>
      </x:c>
      <x:c r="G2456" s="11" t="n">
        <x:v>1086.01</x:v>
      </x:c>
      <x:c r="H2456" s="23" t="n">
        <x:v>0.00005288904498444082</x:v>
      </x:c>
      <x:c r="I2456" s="23" t="n">
        <x:v>0.9570157060741936</x:v>
      </x:c>
      <x:c r="J2456" s="2" t="n">
        <x:v>130</x:v>
      </x:c>
      <x:c r="K2456" s="2"/>
      <x:c r="L2456" s="2"/>
    </x:row>
    <x:row r="2457" ht="22" customHeight="1">
      <x:c r="A2457" s="2"/>
      <x:c r="B2457" s="2" t="n">
        <x:v>2424</x:v>
      </x:c>
      <x:c r="C2457" s="2" t="str">
        <x:v>72815</x:v>
      </x:c>
      <x:c r="D2457" s="2" t="str">
        <x:v>3 WICK CHRISTMAS BRIAR CANDLE </x:v>
      </x:c>
      <x:c r="E2457" s="11" t="n">
        <x:v>1083.36</x:v>
      </x:c>
      <x:c r="F2457" s="11" t="n">
        <x:v>30</x:v>
      </x:c>
      <x:c r="G2457" s="11" t="n">
        <x:v>1053.36</x:v>
      </x:c>
      <x:c r="H2457" s="23" t="n">
        <x:v>0.00005275998911091408</x:v>
      </x:c>
      <x:c r="I2457" s="23" t="n">
        <x:v>0.9570684660633045</x:v>
      </x:c>
      <x:c r="J2457" s="2" t="n">
        <x:v>70</x:v>
      </x:c>
      <x:c r="K2457" s="2"/>
      <x:c r="L2457" s="2"/>
    </x:row>
    <x:row r="2458" ht="22" customHeight="1">
      <x:c r="A2458" s="2"/>
      <x:c r="B2458" s="2" t="n">
        <x:v>2425</x:v>
      </x:c>
      <x:c r="C2458" s="2" t="str">
        <x:v>84247E</x:v>
      </x:c>
      <x:c r="D2458" s="2" t="str">
        <x:v>PACK OF 12 CHRISTMAS FUN CARDS</x:v>
      </x:c>
      <x:c r="E2458" s="11" t="n">
        <x:v>1081.75</x:v>
      </x:c>
      <x:c r="F2458" s="11" t="n">
        <x:v>293.5</x:v>
      </x:c>
      <x:c r="G2458" s="11" t="n">
        <x:v>788.2500000000001</x:v>
      </x:c>
      <x:c r="H2458" s="23" t="n">
        <x:v>0.000052681581580205394</x:v>
      </x:c>
      <x:c r="I2458" s="23" t="n">
        <x:v>0.9571211476448848</x:v>
      </x:c>
      <x:c r="J2458" s="2" t="n">
        <x:v>96</x:v>
      </x:c>
      <x:c r="K2458" s="2"/>
      <x:c r="L2458" s="2"/>
    </x:row>
    <x:row r="2459" ht="22" customHeight="1">
      <x:c r="A2459" s="2"/>
      <x:c r="B2459" s="2" t="n">
        <x:v>2426</x:v>
      </x:c>
      <x:c r="C2459" s="2" t="str">
        <x:v>21815</x:v>
      </x:c>
      <x:c r="D2459" s="2" t="str">
        <x:v>STAR  T-LIGHT HOLDER </x:v>
      </x:c>
      <x:c r="E2459" s="11" t="n">
        <x:v>1080.54</x:v>
      </x:c>
      <x:c r="F2459" s="11" t="n">
        <x:v>2.9</x:v>
      </x:c>
      <x:c r="G2459" s="11" t="n">
        <x:v>1077.6399999999999</x:v>
      </x:c>
      <x:c r="H2459" s="23" t="n">
        <x:v>0.00005262265418134979</x:v>
      </x:c>
      <x:c r="I2459" s="23" t="n">
        <x:v>0.9571737702990661</x:v>
      </x:c>
      <x:c r="J2459" s="2" t="n">
        <x:v>92</x:v>
      </x:c>
      <x:c r="K2459" s="2"/>
      <x:c r="L2459" s="2"/>
    </x:row>
    <x:row r="2460" ht="22" customHeight="1">
      <x:c r="A2460" s="2"/>
      <x:c r="B2460" s="2" t="n">
        <x:v>2427</x:v>
      </x:c>
      <x:c r="C2460" s="2" t="str">
        <x:v>21850</x:v>
      </x:c>
      <x:c r="D2460" s="2" t="str">
        <x:v>BLUE  DIAMANTE PEN IN GIFT BOX</x:v>
      </x:c>
      <x:c r="E2460" s="11" t="n">
        <x:v>1077.93</x:v>
      </x:c>
      <x:c r="F2460" s="11" t="n">
        <x:v>153</x:v>
      </x:c>
      <x:c r="G2460" s="11" t="n">
        <x:v>924.93</x:v>
      </x:c>
      <x:c r="H2460" s="23" t="n">
        <x:v>0.00005249554632100837</x:v>
      </x:c>
      <x:c r="I2460" s="23" t="n">
        <x:v>0.9572262658453872</x:v>
      </x:c>
      <x:c r="J2460" s="2" t="n">
        <x:v>106</x:v>
      </x:c>
      <x:c r="K2460" s="2"/>
      <x:c r="L2460" s="2"/>
    </x:row>
    <x:row r="2461" ht="22" customHeight="1">
      <x:c r="A2461" s="2"/>
      <x:c r="B2461" s="2" t="n">
        <x:v>2428</x:v>
      </x:c>
      <x:c r="C2461" s="2" t="str">
        <x:v>20615</x:v>
      </x:c>
      <x:c r="D2461" s="2" t="str">
        <x:v>BLUE POLKADOT PASSPORT COVER</x:v>
      </x:c>
      <x:c r="E2461" s="11" t="n">
        <x:v>1077.81</x:v>
      </x:c>
      <x:c r="F2461" s="11" t="n">
        <x:v>0</x:v>
      </x:c>
      <x:c r="G2461" s="11" t="n">
        <x:v>1077.81</x:v>
      </x:c>
      <x:c r="H2461" s="23" t="n">
        <x:v>0.00005248970228145243</x:v>
      </x:c>
      <x:c r="I2461" s="23" t="n">
        <x:v>0.9572787555476686</x:v>
      </x:c>
      <x:c r="J2461" s="2" t="n">
        <x:v>195</x:v>
      </x:c>
      <x:c r="K2461" s="2"/>
      <x:c r="L2461" s="2"/>
    </x:row>
    <x:row r="2462" ht="22" customHeight="1">
      <x:c r="A2462" s="2"/>
      <x:c r="B2462" s="2" t="n">
        <x:v>2429</x:v>
      </x:c>
      <x:c r="C2462" s="2" t="str">
        <x:v>23347</x:v>
      </x:c>
      <x:c r="D2462" s="2" t="str">
        <x:v>I LOVE LONDON BEAKER</x:v>
      </x:c>
      <x:c r="E2462" s="11" t="n">
        <x:v>1077.3</x:v>
      </x:c>
      <x:c r="F2462" s="11" t="n">
        <x:v>42.5</x:v>
      </x:c>
      <x:c r="G2462" s="11" t="n">
        <x:v>1034.8</x:v>
      </x:c>
      <x:c r="H2462" s="23" t="n">
        <x:v>0.00005246486511333974</x:v>
      </x:c>
      <x:c r="I2462" s="23" t="n">
        <x:v>0.957331220412782</x:v>
      </x:c>
      <x:c r="J2462" s="2" t="n">
        <x:v>97</x:v>
      </x:c>
      <x:c r="K2462" s="2"/>
      <x:c r="L2462" s="2"/>
    </x:row>
    <x:row r="2463" ht="22" customHeight="1">
      <x:c r="A2463" s="2"/>
      <x:c r="B2463" s="2" t="n">
        <x:v>2430</x:v>
      </x:c>
      <x:c r="C2463" s="2" t="str">
        <x:v>85126</x:v>
      </x:c>
      <x:c r="D2463" s="2" t="str">
        <x:v>LARGE ROUND CUTGLASS CANDLESTICK</x:v>
      </x:c>
      <x:c r="E2463" s="11" t="n">
        <x:v>1075.91</x:v>
      </x:c>
      <x:c r="F2463" s="11" t="n">
        <x:v>67.5</x:v>
      </x:c>
      <x:c r="G2463" s="11" t="n">
        <x:v>1008.41</x:v>
      </x:c>
      <x:c r="H2463" s="23" t="n">
        <x:v>0.00005239717165515025</x:v>
      </x:c>
      <x:c r="I2463" s="23" t="n">
        <x:v>0.9573836175844371</x:v>
      </x:c>
      <x:c r="J2463" s="2" t="n">
        <x:v>34</x:v>
      </x:c>
      <x:c r="K2463" s="2"/>
      <x:c r="L2463" s="2"/>
    </x:row>
    <x:row r="2464" ht="22" customHeight="1">
      <x:c r="A2464" s="2"/>
      <x:c r="B2464" s="2" t="n">
        <x:v>2431</x:v>
      </x:c>
      <x:c r="C2464" s="2" t="str">
        <x:v>22860</x:v>
      </x:c>
      <x:c r="D2464" s="2" t="str">
        <x:v>EASTER TIN CHICKS PINK DAISY</x:v>
      </x:c>
      <x:c r="E2464" s="11" t="n">
        <x:v>1075.6999999999998</x:v>
      </x:c>
      <x:c r="F2464" s="11" t="n">
        <x:v>24.75</x:v>
      </x:c>
      <x:c r="G2464" s="11" t="n">
        <x:v>1050.9499999999998</x:v>
      </x:c>
      <x:c r="H2464" s="23" t="n">
        <x:v>0.00005238694458592737</x:v>
      </x:c>
      <x:c r="I2464" s="23" t="n">
        <x:v>0.9574360045290231</x:v>
      </x:c>
      <x:c r="J2464" s="2" t="n">
        <x:v>111</x:v>
      </x:c>
      <x:c r="K2464" s="2"/>
      <x:c r="L2464" s="2"/>
    </x:row>
    <x:row r="2465" ht="22" customHeight="1">
      <x:c r="A2465" s="2"/>
      <x:c r="B2465" s="2" t="n">
        <x:v>2432</x:v>
      </x:c>
      <x:c r="C2465" s="2" t="str">
        <x:v>21827</x:v>
      </x:c>
      <x:c r="D2465" s="2" t="str">
        <x:v>EIGHT PIECE CREEPY CRAWLIE SET</x:v>
      </x:c>
      <x:c r="E2465" s="11" t="n">
        <x:v>1072.64</x:v>
      </x:c>
      <x:c r="F2465" s="11" t="n">
        <x:v>16.25</x:v>
      </x:c>
      <x:c r="G2465" s="11" t="n">
        <x:v>1056.39</x:v>
      </x:c>
      <x:c r="H2465" s="23" t="n">
        <x:v>0.000052237921577251226</x:v>
      </x:c>
      <x:c r="I2465" s="23" t="n">
        <x:v>0.9574882424506004</x:v>
      </x:c>
      <x:c r="J2465" s="2" t="n">
        <x:v>134</x:v>
      </x:c>
      <x:c r="K2465" s="2"/>
      <x:c r="L2465" s="2"/>
    </x:row>
    <x:row r="2466" ht="22" customHeight="1">
      <x:c r="A2466" s="2"/>
      <x:c r="B2466" s="2" t="n">
        <x:v>2433</x:v>
      </x:c>
      <x:c r="C2466" s="2" t="str">
        <x:v>85163A</x:v>
      </x:c>
      <x:c r="D2466" s="2" t="str">
        <x:v>WHITE BAROQUE WALL CLOCK </x:v>
      </x:c>
      <x:c r="E2466" s="11" t="n">
        <x:v>1070.92</x:v>
      </x:c>
      <x:c r="F2466" s="11" t="n">
        <x:v>0</x:v>
      </x:c>
      <x:c r="G2466" s="11" t="n">
        <x:v>1070.92</x:v>
      </x:c>
      <x:c r="H2466" s="23" t="n">
        <x:v>0.00005215415701028293</x:v>
      </x:c>
      <x:c r="I2466" s="23" t="n">
        <x:v>0.9575403966076107</x:v>
      </x:c>
      <x:c r="J2466" s="2" t="n">
        <x:v>57</x:v>
      </x:c>
      <x:c r="K2466" s="2"/>
      <x:c r="L2466" s="2"/>
    </x:row>
    <x:row r="2467" ht="22" customHeight="1">
      <x:c r="A2467" s="2"/>
      <x:c r="B2467" s="2" t="n">
        <x:v>2434</x:v>
      </x:c>
      <x:c r="C2467" s="2" t="str">
        <x:v>21758</x:v>
      </x:c>
      <x:c r="D2467" s="2" t="str">
        <x:v>VINTAGE SHELLS PRINT</x:v>
      </x:c>
      <x:c r="E2467" s="11" t="n">
        <x:v>1069.76</x:v>
      </x:c>
      <x:c r="F2467" s="11" t="n">
        <x:v>0</x:v>
      </x:c>
      <x:c r="G2467" s="11" t="n">
        <x:v>1069.76</x:v>
      </x:c>
      <x:c r="H2467" s="23" t="n">
        <x:v>0.00005209766462790896</x:v>
      </x:c>
      <x:c r="I2467" s="23" t="n">
        <x:v>0.9575924942722386</x:v>
      </x:c>
      <x:c r="J2467" s="2" t="n">
        <x:v>79</x:v>
      </x:c>
      <x:c r="K2467" s="2"/>
      <x:c r="L2467" s="2"/>
    </x:row>
    <x:row r="2468" ht="22" customHeight="1">
      <x:c r="A2468" s="2"/>
      <x:c r="B2468" s="2" t="n">
        <x:v>2435</x:v>
      </x:c>
      <x:c r="C2468" s="2" t="str">
        <x:v>72800F</x:v>
      </x:c>
      <x:c r="D2468" s="2" t="str">
        <x:v>4 IVORY DINNER CANDLES GOLD FLOCK</x:v>
      </x:c>
      <x:c r="E2468" s="11" t="n">
        <x:v>1067.84</x:v>
      </x:c>
      <x:c r="F2468" s="11" t="n">
        <x:v>0</x:v>
      </x:c>
      <x:c r="G2468" s="11" t="n">
        <x:v>1067.84</x:v>
      </x:c>
      <x:c r="H2468" s="23" t="n">
        <x:v>0.000052004159995014117</x:v>
      </x:c>
      <x:c r="I2468" s="23" t="n">
        <x:v>0.9576444984322336</x:v>
      </x:c>
      <x:c r="J2468" s="2" t="n">
        <x:v>67</x:v>
      </x:c>
      <x:c r="K2468" s="2"/>
      <x:c r="L2468" s="2"/>
    </x:row>
    <x:row r="2469" ht="22" customHeight="1">
      <x:c r="A2469" s="2"/>
      <x:c r="B2469" s="2" t="n">
        <x:v>2436</x:v>
      </x:c>
      <x:c r="C2469" s="2" t="str">
        <x:v>23033</x:v>
      </x:c>
      <x:c r="D2469" s="2" t="str">
        <x:v>DRAWER KNOB CERAMIC RED</x:v>
      </x:c>
      <x:c r="E2469" s="11" t="n">
        <x:v>1067.6</x:v>
      </x:c>
      <x:c r="F2469" s="11" t="n">
        <x:v>0</x:v>
      </x:c>
      <x:c r="G2469" s="11" t="n">
        <x:v>1067.6</x:v>
      </x:c>
      <x:c r="H2469" s="23" t="n">
        <x:v>0.000051992471915902263</x:v>
      </x:c>
      <x:c r="I2469" s="23" t="n">
        <x:v>0.9576964909041495</x:v>
      </x:c>
      <x:c r="J2469" s="2" t="n">
        <x:v>74</x:v>
      </x:c>
      <x:c r="K2469" s="2"/>
      <x:c r="L2469" s="2"/>
    </x:row>
    <x:row r="2470" ht="22" customHeight="1">
      <x:c r="A2470" s="2"/>
      <x:c r="B2470" s="2" t="n">
        <x:v>2437</x:v>
      </x:c>
      <x:c r="C2470" s="2" t="str">
        <x:v>22856</x:v>
      </x:c>
      <x:c r="D2470" s="2" t="str">
        <x:v>ASSORTED EASTER DECORATIONS  BELLS</x:v>
      </x:c>
      <x:c r="E2470" s="11" t="n">
        <x:v>1067.3500000000001</x:v>
      </x:c>
      <x:c r="F2470" s="11" t="n">
        <x:v>26.25</x:v>
      </x:c>
      <x:c r="G2470" s="11" t="n">
        <x:v>1041.1000000000001</x:v>
      </x:c>
      <x:c r="H2470" s="23" t="n">
        <x:v>0.00005198029683349409</x:v>
      </x:c>
      <x:c r="I2470" s="23" t="n">
        <x:v>0.957748471200983</x:v>
      </x:c>
      <x:c r="J2470" s="2" t="n">
        <x:v>32</x:v>
      </x:c>
      <x:c r="K2470" s="2"/>
      <x:c r="L2470" s="2"/>
    </x:row>
    <x:row r="2471" ht="22" customHeight="1">
      <x:c r="A2471" s="2"/>
      <x:c r="B2471" s="2" t="n">
        <x:v>2438</x:v>
      </x:c>
      <x:c r="C2471" s="2" t="str">
        <x:v>84559B</x:v>
      </x:c>
      <x:c r="D2471" s="2" t="str">
        <x:v>3D SHEET OF CAT STICKERS</x:v>
      </x:c>
      <x:c r="E2471" s="11" t="n">
        <x:v>1065.55</x:v>
      </x:c>
      <x:c r="F2471" s="11" t="n">
        <x:v>3.4</x:v>
      </x:c>
      <x:c r="G2471" s="11" t="n">
        <x:v>1062.1499999999999</x:v>
      </x:c>
      <x:c r="H2471" s="23" t="n">
        <x:v>0.00005189263624015517</x:v>
      </x:c>
      <x:c r="I2471" s="23" t="n">
        <x:v>0.9578003638372232</x:v>
      </x:c>
      <x:c r="J2471" s="2" t="n">
        <x:v>195</x:v>
      </x:c>
      <x:c r="K2471" s="2"/>
      <x:c r="L2471" s="2"/>
    </x:row>
    <x:row r="2472" ht="22" customHeight="1">
      <x:c r="A2472" s="2"/>
      <x:c r="B2472" s="2" t="n">
        <x:v>2439</x:v>
      </x:c>
      <x:c r="C2472" s="2" t="str">
        <x:v>85008</x:v>
      </x:c>
      <x:c r="D2472" s="2" t="str">
        <x:v>SET OF 3 CONEY ISLAND OVAL BOXES</x:v>
      </x:c>
      <x:c r="E2472" s="11" t="n">
        <x:v>1063.67</x:v>
      </x:c>
      <x:c r="F2472" s="11" t="n">
        <x:v>9.9</x:v>
      </x:c>
      <x:c r="G2472" s="11" t="n">
        <x:v>1053.77</x:v>
      </x:c>
      <x:c r="H2472" s="23" t="n">
        <x:v>0.00005180107962044564</x:v>
      </x:c>
      <x:c r="I2472" s="23" t="n">
        <x:v>0.9578521649168437</x:v>
      </x:c>
      <x:c r="J2472" s="2" t="n">
        <x:v>99</x:v>
      </x:c>
      <x:c r="K2472" s="2"/>
      <x:c r="L2472" s="2"/>
    </x:row>
    <x:row r="2473" ht="22" customHeight="1">
      <x:c r="A2473" s="2"/>
      <x:c r="B2473" s="2" t="n">
        <x:v>2440</x:v>
      </x:c>
      <x:c r="C2473" s="2" t="str">
        <x:v>23516</x:v>
      </x:c>
      <x:c r="D2473" s="2" t="str">
        <x:v>EMBROIDERED RIBBON REEL SOPHIE  </x:v>
      </x:c>
      <x:c r="E2473" s="11" t="n">
        <x:v>1062.35</x:v>
      </x:c>
      <x:c r="F2473" s="11" t="n">
        <x:v>0</x:v>
      </x:c>
      <x:c r="G2473" s="11" t="n">
        <x:v>1062.35</x:v>
      </x:c>
      <x:c r="H2473" s="23" t="n">
        <x:v>0.00005173679518533043</x:v>
      </x:c>
      <x:c r="I2473" s="23" t="n">
        <x:v>0.957903901712029</x:v>
      </x:c>
      <x:c r="J2473" s="2" t="n">
        <x:v>42</x:v>
      </x:c>
      <x:c r="K2473" s="2"/>
      <x:c r="L2473" s="2"/>
    </x:row>
    <x:row r="2474" ht="22" customHeight="1">
      <x:c r="A2474" s="2"/>
      <x:c r="B2474" s="2" t="n">
        <x:v>2441</x:v>
      </x:c>
      <x:c r="C2474" s="2" t="str">
        <x:v>23331</x:v>
      </x:c>
      <x:c r="D2474" s="2" t="str">
        <x:v>DECORATIVE WICKER HEART SMALL</x:v>
      </x:c>
      <x:c r="E2474" s="11" t="n">
        <x:v>1062.28</x:v>
      </x:c>
      <x:c r="F2474" s="11" t="n">
        <x:v>0</x:v>
      </x:c>
      <x:c r="G2474" s="11" t="n">
        <x:v>1062.28</x:v>
      </x:c>
      <x:c r="H2474" s="23" t="n">
        <x:v>0.000051733386162256144</x:v>
      </x:c>
      <x:c r="I2474" s="23" t="n">
        <x:v>0.9579556350981913</x:v>
      </x:c>
      <x:c r="J2474" s="2" t="n">
        <x:v>109</x:v>
      </x:c>
      <x:c r="K2474" s="2"/>
      <x:c r="L2474" s="2"/>
    </x:row>
    <x:row r="2475" ht="22" customHeight="1">
      <x:c r="A2475" s="2"/>
      <x:c r="B2475" s="2" t="n">
        <x:v>2442</x:v>
      </x:c>
      <x:c r="C2475" s="2" t="str">
        <x:v>22995</x:v>
      </x:c>
      <x:c r="D2475" s="2" t="str">
        <x:v>TRAVEL CARD WALLET SUKI</x:v>
      </x:c>
      <x:c r="E2475" s="11" t="n">
        <x:v>1062</x:v>
      </x:c>
      <x:c r="F2475" s="11" t="n">
        <x:v>20.580000000000002</x:v>
      </x:c>
      <x:c r="G2475" s="11" t="n">
        <x:v>1041.42</x:v>
      </x:c>
      <x:c r="H2475" s="23" t="n">
        <x:v>0.00005171975006995898</x:v>
      </x:c>
      <x:c r="I2475" s="23" t="n">
        <x:v>0.9580073548482613</x:v>
      </x:c>
      <x:c r="J2475" s="2" t="n">
        <x:v>266</x:v>
      </x:c>
      <x:c r="K2475" s="2"/>
      <x:c r="L2475" s="2"/>
    </x:row>
    <x:row r="2476" ht="22" customHeight="1">
      <x:c r="A2476" s="2"/>
      <x:c r="B2476" s="2" t="n">
        <x:v>2443</x:v>
      </x:c>
      <x:c r="C2476" s="2" t="str">
        <x:v>85179B</x:v>
      </x:c>
      <x:c r="D2476" s="2" t="str">
        <x:v>WHITE BITTY LIGHT CHAIN </x:v>
      </x:c>
      <x:c r="E2476" s="11" t="n">
        <x:v>1061.25</x:v>
      </x:c>
      <x:c r="F2476" s="11" t="n">
        <x:v>0</x:v>
      </x:c>
      <x:c r="G2476" s="11" t="n">
        <x:v>1061.25</x:v>
      </x:c>
      <x:c r="H2476" s="23" t="n">
        <x:v>0.00005168322482273443</x:v>
      </x:c>
      <x:c r="I2476" s="23" t="n">
        <x:v>0.958059038073084</x:v>
      </x:c>
      <x:c r="J2476" s="2" t="n">
        <x:v>45</x:v>
      </x:c>
      <x:c r="K2476" s="2"/>
      <x:c r="L2476" s="2"/>
    </x:row>
    <x:row r="2477" ht="22" customHeight="1">
      <x:c r="A2477" s="2"/>
      <x:c r="B2477" s="2" t="n">
        <x:v>2444</x:v>
      </x:c>
      <x:c r="C2477" s="2" t="str">
        <x:v>22857</x:v>
      </x:c>
      <x:c r="D2477" s="2" t="str">
        <x:v>ASSORTED EASTER GIFT TAGS</x:v>
      </x:c>
      <x:c r="E2477" s="11" t="n">
        <x:v>1060.1799999999998</x:v>
      </x:c>
      <x:c r="F2477" s="11" t="n">
        <x:v>0</x:v>
      </x:c>
      <x:c r="G2477" s="11" t="n">
        <x:v>1060.1799999999998</x:v>
      </x:c>
      <x:c r="H2477" s="23" t="n">
        <x:v>0.0000516311154700274</x:v>
      </x:c>
      <x:c r="I2477" s="23" t="n">
        <x:v>0.958110669188554</x:v>
      </x:c>
      <x:c r="J2477" s="2" t="n">
        <x:v>66</x:v>
      </x:c>
      <x:c r="K2477" s="2"/>
      <x:c r="L2477" s="2"/>
    </x:row>
    <x:row r="2478" ht="22" customHeight="1">
      <x:c r="A2478" s="2"/>
      <x:c r="B2478" s="2" t="n">
        <x:v>2445</x:v>
      </x:c>
      <x:c r="C2478" s="2" t="str">
        <x:v>21825</x:v>
      </x:c>
      <x:c r="D2478" s="2" t="str">
        <x:v>PAINTED METAL TREE WITH HOLLY BELLS</x:v>
      </x:c>
      <x:c r="E2478" s="11" t="n">
        <x:v>1058.99</x:v>
      </x:c>
      <x:c r="F2478" s="11" t="n">
        <x:v>4.35</x:v>
      </x:c>
      <x:c r="G2478" s="11" t="n">
        <x:v>1054.6399999999999</x:v>
      </x:c>
      <x:c r="H2478" s="23" t="n">
        <x:v>0.00005157316207776446</x:v>
      </x:c>
      <x:c r="I2478" s="23" t="n">
        <x:v>0.9581622423506317</x:v>
      </x:c>
      <x:c r="J2478" s="2" t="n">
        <x:v>75</x:v>
      </x:c>
      <x:c r="K2478" s="2"/>
      <x:c r="L2478" s="2"/>
    </x:row>
    <x:row r="2479" ht="22" customHeight="1">
      <x:c r="A2479" s="2"/>
      <x:c r="B2479" s="2" t="n">
        <x:v>2446</x:v>
      </x:c>
      <x:c r="C2479" s="2" t="str">
        <x:v>85144</x:v>
      </x:c>
      <x:c r="D2479" s="2" t="str">
        <x:v>JARDIN ETCHED GLASS CHEESE DISH</x:v>
      </x:c>
      <x:c r="E2479" s="11" t="n">
        <x:v>1058</x:v>
      </x:c>
      <x:c r="F2479" s="11" t="n">
        <x:v>14.5</x:v>
      </x:c>
      <x:c r="G2479" s="11" t="n">
        <x:v>1043.5</x:v>
      </x:c>
      <x:c r="H2479" s="23" t="n">
        <x:v>0.00005152494875142806</x:v>
      </x:c>
      <x:c r="I2479" s="23" t="n">
        <x:v>0.9582137672993831</x:v>
      </x:c>
      <x:c r="J2479" s="2" t="n">
        <x:v>70</x:v>
      </x:c>
      <x:c r="K2479" s="2"/>
      <x:c r="L2479" s="2"/>
    </x:row>
    <x:row r="2480" ht="22" customHeight="1">
      <x:c r="A2480" s="2"/>
      <x:c r="B2480" s="2" t="n">
        <x:v>2447</x:v>
      </x:c>
      <x:c r="C2480" s="2" t="str">
        <x:v>35651</x:v>
      </x:c>
      <x:c r="D2480" s="2" t="str">
        <x:v>VINTAGE BEAD PINK SCARF </x:v>
      </x:c>
      <x:c r="E2480" s="11" t="n">
        <x:v>1057.62</x:v>
      </x:c>
      <x:c r="F2480" s="11" t="n">
        <x:v>19.799999999999997</x:v>
      </x:c>
      <x:c r="G2480" s="11" t="n">
        <x:v>1037.82</x:v>
      </x:c>
      <x:c r="H2480" s="23" t="n">
        <x:v>0.000051506442626167616</x:v>
      </x:c>
      <x:c r="I2480" s="23" t="n">
        <x:v>0.9582652737420093</x:v>
      </x:c>
      <x:c r="J2480" s="2" t="n">
        <x:v>63</x:v>
      </x:c>
      <x:c r="K2480" s="2"/>
      <x:c r="L2480" s="2"/>
    </x:row>
    <x:row r="2481" ht="22" customHeight="1">
      <x:c r="A2481" s="2"/>
      <x:c r="B2481" s="2" t="n">
        <x:v>2448</x:v>
      </x:c>
      <x:c r="C2481" s="2" t="str">
        <x:v>20783</x:v>
      </x:c>
      <x:c r="D2481" s="2" t="str">
        <x:v>HEART EAR MUFF HEADPHONES</x:v>
      </x:c>
      <x:c r="E2481" s="11" t="n">
        <x:v>1056.89</x:v>
      </x:c>
      <x:c r="F2481" s="11" t="n">
        <x:v>21.12</x:v>
      </x:c>
      <x:c r="G2481" s="11" t="n">
        <x:v>1035.77</x:v>
      </x:c>
      <x:c r="H2481" s="23" t="n">
        <x:v>0.00005147089138553574</x:v>
      </x:c>
      <x:c r="I2481" s="23" t="n">
        <x:v>0.9583167446333949</x:v>
      </x:c>
      <x:c r="J2481" s="2" t="n">
        <x:v>55</x:v>
      </x:c>
      <x:c r="K2481" s="2"/>
      <x:c r="L2481" s="2"/>
    </x:row>
    <x:row r="2482" ht="22" customHeight="1">
      <x:c r="A2482" s="2"/>
      <x:c r="B2482" s="2" t="n">
        <x:v>2449</x:v>
      </x:c>
      <x:c r="C2482" s="2" t="str">
        <x:v>16047</x:v>
      </x:c>
      <x:c r="D2482" s="2" t="str">
        <x:v>POP ART PEN CASE &amp; PENS</x:v>
      </x:c>
      <x:c r="E2482" s="11" t="n">
        <x:v>1056.4</x:v>
      </x:c>
      <x:c r="F2482" s="11" t="n">
        <x:v>414.72</x:v>
      </x:c>
      <x:c r="G2482" s="11" t="n">
        <x:v>641.6800000000001</x:v>
      </x:c>
      <x:c r="H2482" s="23" t="n">
        <x:v>0.0000514470282240157</x:v>
      </x:c>
      <x:c r="I2482" s="23" t="n">
        <x:v>0.9583681916616189</x:v>
      </x:c>
      <x:c r="J2482" s="2" t="n">
        <x:v>31</x:v>
      </x:c>
      <x:c r="K2482" s="2"/>
      <x:c r="L2482" s="2"/>
    </x:row>
    <x:row r="2483" ht="22" customHeight="1">
      <x:c r="A2483" s="2"/>
      <x:c r="B2483" s="2" t="n">
        <x:v>2450</x:v>
      </x:c>
      <x:c r="C2483" s="2" t="str">
        <x:v>84707A</x:v>
      </x:c>
      <x:c r="D2483" s="2" t="str">
        <x:v>SILVER JEWELLED MIRROR TRINKET TRAY</x:v>
      </x:c>
      <x:c r="E2483" s="11" t="n">
        <x:v>1055.83</x:v>
      </x:c>
      <x:c r="F2483" s="11" t="n">
        <x:v>0</x:v>
      </x:c>
      <x:c r="G2483" s="11" t="n">
        <x:v>1055.83</x:v>
      </x:c>
      <x:c r="H2483" s="23" t="n">
        <x:v>0.00005141926903612503</x:v>
      </x:c>
      <x:c r="I2483" s="23" t="n">
        <x:v>0.9584196109306551</x:v>
      </x:c>
      <x:c r="J2483" s="2" t="n">
        <x:v>64</x:v>
      </x:c>
      <x:c r="K2483" s="2"/>
      <x:c r="L2483" s="2"/>
    </x:row>
    <x:row r="2484" ht="22" customHeight="1">
      <x:c r="A2484" s="2"/>
      <x:c r="B2484" s="2" t="n">
        <x:v>2451</x:v>
      </x:c>
      <x:c r="C2484" s="2" t="str">
        <x:v>22821</x:v>
      </x:c>
      <x:c r="D2484" s="2" t="str">
        <x:v>GIFT BAG PSYCHEDELIC APPLES</x:v>
      </x:c>
      <x:c r="E2484" s="11" t="n">
        <x:v>1055.25</x:v>
      </x:c>
      <x:c r="F2484" s="11" t="n">
        <x:v>10.4</x:v>
      </x:c>
      <x:c r="G2484" s="11" t="n">
        <x:v>1044.8500000000001</x:v>
      </x:c>
      <x:c r="H2484" s="23" t="n">
        <x:v>0.000051391022844938055</x:v>
      </x:c>
      <x:c r="I2484" s="23" t="n">
        <x:v>0.9584710019535</x:v>
      </x:c>
      <x:c r="J2484" s="2" t="n">
        <x:v>186</x:v>
      </x:c>
      <x:c r="K2484" s="2"/>
      <x:c r="L2484" s="2"/>
    </x:row>
    <x:row r="2485" ht="22" customHeight="1">
      <x:c r="A2485" s="2"/>
      <x:c r="B2485" s="2" t="n">
        <x:v>2452</x:v>
      </x:c>
      <x:c r="C2485" s="2" t="str">
        <x:v>22511</x:v>
      </x:c>
      <x:c r="D2485" s="2" t="str">
        <x:v>RETROSPOT BABUSHKA DOORSTOP</x:v>
      </x:c>
      <x:c r="E2485" s="11" t="n">
        <x:v>1054.16</x:v>
      </x:c>
      <x:c r="F2485" s="11" t="n">
        <x:v>3.75</x:v>
      </x:c>
      <x:c r="G2485" s="11" t="n">
        <x:v>1050.41</x:v>
      </x:c>
      <x:c r="H2485" s="23" t="n">
        <x:v>0.00005133793948563838</x:v>
      </x:c>
      <x:c r="I2485" s="23" t="n">
        <x:v>0.9585223398929856</x:v>
      </x:c>
      <x:c r="J2485" s="2" t="n">
        <x:v>111</x:v>
      </x:c>
      <x:c r="K2485" s="2"/>
      <x:c r="L2485" s="2"/>
    </x:row>
    <x:row r="2486" ht="22" customHeight="1">
      <x:c r="A2486" s="2"/>
      <x:c r="B2486" s="2" t="n">
        <x:v>2453</x:v>
      </x:c>
      <x:c r="C2486" s="2" t="str">
        <x:v>21269</x:v>
      </x:c>
      <x:c r="D2486" s="2" t="str">
        <x:v>ANTIQUE CREAM CUTLERY SHELF </x:v>
      </x:c>
      <x:c r="E2486" s="11" t="n">
        <x:v>1053.84</x:v>
      </x:c>
      <x:c r="F2486" s="11" t="n">
        <x:v>0</x:v>
      </x:c>
      <x:c r="G2486" s="11" t="n">
        <x:v>1053.84</x:v>
      </x:c>
      <x:c r="H2486" s="23" t="n">
        <x:v>0.0000513223553801559</x:v>
      </x:c>
      <x:c r="I2486" s="23" t="n">
        <x:v>0.9585736622483658</x:v>
      </x:c>
      <x:c r="J2486" s="2" t="n">
        <x:v>65</x:v>
      </x:c>
      <x:c r="K2486" s="2"/>
      <x:c r="L2486" s="2"/>
    </x:row>
    <x:row r="2487" ht="22" customHeight="1">
      <x:c r="A2487" s="2"/>
      <x:c r="B2487" s="2" t="n">
        <x:v>2454</x:v>
      </x:c>
      <x:c r="C2487" s="2" t="str">
        <x:v>84908B</x:v>
      </x:c>
      <x:c r="D2487" s="2" t="str">
        <x:v>BLUE 5 PATCH FLOWER CUSHION COVER</x:v>
      </x:c>
      <x:c r="E2487" s="11" t="n">
        <x:v>1052.29</x:v>
      </x:c>
      <x:c r="F2487" s="11" t="n">
        <x:v>0</x:v>
      </x:c>
      <x:c r="G2487" s="11" t="n">
        <x:v>1052.29</x:v>
      </x:c>
      <x:c r="H2487" s="23" t="n">
        <x:v>0.00005124686986922517</x:v>
      </x:c>
      <x:c r="I2487" s="23" t="n">
        <x:v>0.9586249091182351</x:v>
      </x:c>
      <x:c r="J2487" s="2" t="n">
        <x:v>35</x:v>
      </x:c>
      <x:c r="K2487" s="2"/>
      <x:c r="L2487" s="2"/>
    </x:row>
    <x:row r="2488" ht="22" customHeight="1">
      <x:c r="A2488" s="2"/>
      <x:c r="B2488" s="2" t="n">
        <x:v>2455</x:v>
      </x:c>
      <x:c r="C2488" s="2" t="str">
        <x:v>84908A</x:v>
      </x:c>
      <x:c r="D2488" s="2" t="str">
        <x:v>PINK 5 PATCH FLOWER CUSHION COVER </x:v>
      </x:c>
      <x:c r="E2488" s="11" t="n">
        <x:v>1052.1100000000001</x:v>
      </x:c>
      <x:c r="F2488" s="11" t="n">
        <x:v>6.95</x:v>
      </x:c>
      <x:c r="G2488" s="11" t="n">
        <x:v>1045.16</x:v>
      </x:c>
      <x:c r="H2488" s="23" t="n">
        <x:v>0.000051238103809891286</x:v>
      </x:c>
      <x:c r="I2488" s="23" t="n">
        <x:v>0.958676147222045</x:v>
      </x:c>
      <x:c r="J2488" s="2" t="n">
        <x:v>36</x:v>
      </x:c>
      <x:c r="K2488" s="2"/>
      <x:c r="L2488" s="2"/>
    </x:row>
    <x:row r="2489" ht="22" customHeight="1">
      <x:c r="A2489" s="2"/>
      <x:c r="B2489" s="2" t="n">
        <x:v>2456</x:v>
      </x:c>
      <x:c r="C2489" s="2" t="str">
        <x:v>37327</x:v>
      </x:c>
      <x:c r="D2489" s="2" t="str">
        <x:v>adjustment</x:v>
      </x:c>
      <x:c r="E2489" s="11" t="n">
        <x:v>1052.08</x:v>
      </x:c>
      <x:c r="F2489" s="11" t="n">
        <x:v>1.56</x:v>
      </x:c>
      <x:c r="G2489" s="11" t="n">
        <x:v>1050.52</x:v>
      </x:c>
      <x:c r="H2489" s="23" t="n">
        <x:v>0.000051236642800002295</x:v>
      </x:c>
      <x:c r="I2489" s="23" t="n">
        <x:v>0.958727383864845</x:v>
      </x:c>
      <x:c r="J2489" s="2" t="n">
        <x:v>88</x:v>
      </x:c>
      <x:c r="K2489" s="2"/>
      <x:c r="L2489" s="2"/>
    </x:row>
    <x:row r="2490" ht="22" customHeight="1">
      <x:c r="A2490" s="2"/>
      <x:c r="B2490" s="2" t="n">
        <x:v>2457</x:v>
      </x:c>
      <x:c r="C2490" s="2" t="str">
        <x:v>85078</x:v>
      </x:c>
      <x:c r="D2490" s="2" t="str">
        <x:v>SCANDINAVIAN 3 HEARTS NAPKIN RING</x:v>
      </x:c>
      <x:c r="E2490" s="11" t="n">
        <x:v>1052.02</x:v>
      </x:c>
      <x:c r="F2490" s="11" t="n">
        <x:v>0.65</x:v>
      </x:c>
      <x:c r="G2490" s="11" t="n">
        <x:v>1051.3700000000001</x:v>
      </x:c>
      <x:c r="H2490" s="23" t="n">
        <x:v>0.00005123372078022433</x:v>
      </x:c>
      <x:c r="I2490" s="23" t="n">
        <x:v>0.9587786175856252</x:v>
      </x:c>
      <x:c r="J2490" s="2" t="n">
        <x:v>162</x:v>
      </x:c>
      <x:c r="K2490" s="2"/>
      <x:c r="L2490" s="2"/>
    </x:row>
    <x:row r="2491" ht="22" customHeight="1">
      <x:c r="A2491" s="2"/>
      <x:c r="B2491" s="2" t="n">
        <x:v>2458</x:v>
      </x:c>
      <x:c r="C2491" s="2" t="str">
        <x:v>23327</x:v>
      </x:c>
      <x:c r="D2491" s="2" t="str">
        <x:v>HANGING CLEAR MINI BOTTLE</x:v>
      </x:c>
      <x:c r="E2491" s="11" t="n">
        <x:v>1051.14</x:v>
      </x:c>
      <x:c r="F2491" s="11" t="n">
        <x:v>4.720000000000001</x:v>
      </x:c>
      <x:c r="G2491" s="11" t="n">
        <x:v>1046.42</x:v>
      </x:c>
      <x:c r="H2491" s="23" t="n">
        <x:v>0.00005119086449014754</x:v>
      </x:c>
      <x:c r="I2491" s="23" t="n">
        <x:v>0.9588298084501153</x:v>
      </x:c>
      <x:c r="J2491" s="2" t="n">
        <x:v>41</x:v>
      </x:c>
      <x:c r="K2491" s="2"/>
      <x:c r="L2491" s="2"/>
    </x:row>
    <x:row r="2492" ht="22" customHeight="1">
      <x:c r="A2492" s="2"/>
      <x:c r="B2492" s="2" t="n">
        <x:v>2459</x:v>
      </x:c>
      <x:c r="C2492" s="2" t="str">
        <x:v>84965A</x:v>
      </x:c>
      <x:c r="D2492" s="2" t="str">
        <x:v>PINK KASHMIRI COFFEE TABLE </x:v>
      </x:c>
      <x:c r="E2492" s="11" t="n">
        <x:v>1050</x:v>
      </x:c>
      <x:c r="F2492" s="11" t="n">
        <x:v>0</x:v>
      </x:c>
      <x:c r="G2492" s="11" t="n">
        <x:v>1050</x:v>
      </x:c>
      <x:c r="H2492" s="23" t="n">
        <x:v>0.00005113534611436622</x:v>
      </x:c>
      <x:c r="I2492" s="23" t="n">
        <x:v>0.9588809437962297</x:v>
      </x:c>
      <x:c r="J2492" s="2" t="n">
        <x:v>3</x:v>
      </x:c>
      <x:c r="K2492" s="2"/>
      <x:c r="L2492" s="2"/>
    </x:row>
    <x:row r="2493" ht="22" customHeight="1">
      <x:c r="A2493" s="2"/>
      <x:c r="B2493" s="2" t="n">
        <x:v>2460</x:v>
      </x:c>
      <x:c r="C2493" s="2" t="str">
        <x:v>21061</x:v>
      </x:c>
      <x:c r="D2493" s="2" t="str">
        <x:v>PARTY INVITES FOOTBALL</x:v>
      </x:c>
      <x:c r="E2493" s="11" t="n">
        <x:v>1047.4099999999999</x:v>
      </x:c>
      <x:c r="F2493" s="11" t="n">
        <x:v>10.2</x:v>
      </x:c>
      <x:c r="G2493" s="11" t="n">
        <x:v>1037.21</x:v>
      </x:c>
      <x:c r="H2493" s="23" t="n">
        <x:v>0.00005100921226061745</x:v>
      </x:c>
      <x:c r="I2493" s="23" t="n">
        <x:v>0.9589319530084903</x:v>
      </x:c>
      <x:c r="J2493" s="2" t="n">
        <x:v>163</x:v>
      </x:c>
      <x:c r="K2493" s="2"/>
      <x:c r="L2493" s="2"/>
    </x:row>
    <x:row r="2494" ht="22" customHeight="1">
      <x:c r="A2494" s="2"/>
      <x:c r="B2494" s="2" t="n">
        <x:v>2461</x:v>
      </x:c>
      <x:c r="C2494" s="2" t="str">
        <x:v>72750B</x:v>
      </x:c>
      <x:c r="D2494" s="2" t="str">
        <x:v>FLOWER FAIRY SET 3 CANDLES LAVENDER</x:v>
      </x:c>
      <x:c r="E2494" s="11" t="n">
        <x:v>1047.2</x:v>
      </x:c>
      <x:c r="F2494" s="11" t="n">
        <x:v>43.1</x:v>
      </x:c>
      <x:c r="G2494" s="11" t="n">
        <x:v>1004.1</x:v>
      </x:c>
      <x:c r="H2494" s="23" t="n">
        <x:v>0.00005099898519139458</x:v>
      </x:c>
      <x:c r="I2494" s="23" t="n">
        <x:v>0.9589829519936817</x:v>
      </x:c>
      <x:c r="J2494" s="2" t="n">
        <x:v>39</x:v>
      </x:c>
      <x:c r="K2494" s="2"/>
      <x:c r="L2494" s="2"/>
    </x:row>
    <x:row r="2495" ht="22" customHeight="1">
      <x:c r="A2495" s="2"/>
      <x:c r="B2495" s="2" t="n">
        <x:v>2462</x:v>
      </x:c>
      <x:c r="C2495" s="2" t="str">
        <x:v>23419</x:v>
      </x:c>
      <x:c r="D2495" s="2" t="str">
        <x:v>HOME SWEET HOME BOTTLE </x:v>
      </x:c>
      <x:c r="E2495" s="11" t="n">
        <x:v>1045.8</x:v>
      </x:c>
      <x:c r="F2495" s="11" t="n">
        <x:v>2.08</x:v>
      </x:c>
      <x:c r="G2495" s="11" t="n">
        <x:v>1043.72</x:v>
      </x:c>
      <x:c r="H2495" s="23" t="n">
        <x:v>0.000050930804729908756</x:v>
      </x:c>
      <x:c r="I2495" s="23" t="n">
        <x:v>0.9590338827984116</x:v>
      </x:c>
      <x:c r="J2495" s="2" t="n">
        <x:v>86</x:v>
      </x:c>
      <x:c r="K2495" s="2"/>
      <x:c r="L2495" s="2"/>
    </x:row>
    <x:row r="2496" ht="22" customHeight="1">
      <x:c r="A2496" s="2"/>
      <x:c r="B2496" s="2" t="n">
        <x:v>2463</x:v>
      </x:c>
      <x:c r="C2496" s="2" t="str">
        <x:v>46775A</x:v>
      </x:c>
      <x:c r="D2496" s="2" t="str">
        <x:v>BUBBLE GUM CHUNKY KNITTED THROW </x:v>
      </x:c>
      <x:c r="E2496" s="11" t="n">
        <x:v>1044.23</x:v>
      </x:c>
      <x:c r="F2496" s="11" t="n">
        <x:v>16.95</x:v>
      </x:c>
      <x:c r="G2496" s="11" t="n">
        <x:v>1027.28</x:v>
      </x:c>
      <x:c r="H2496" s="23" t="n">
        <x:v>0.000050854345212385375</x:v>
      </x:c>
      <x:c r="I2496" s="23" t="n">
        <x:v>0.959084737143624</x:v>
      </x:c>
      <x:c r="J2496" s="2" t="n">
        <x:v>32</x:v>
      </x:c>
      <x:c r="K2496" s="2"/>
      <x:c r="L2496" s="2"/>
    </x:row>
    <x:row r="2497" ht="22" customHeight="1">
      <x:c r="A2497" s="2"/>
      <x:c r="B2497" s="2" t="n">
        <x:v>2464</x:v>
      </x:c>
      <x:c r="C2497" s="2" t="str">
        <x:v>22134</x:v>
      </x:c>
      <x:c r="D2497" s="2" t="str">
        <x:v>MINI LADLE LOVE HEART RED </x:v>
      </x:c>
      <x:c r="E2497" s="11" t="n">
        <x:v>1044</x:v>
      </x:c>
      <x:c r="F2497" s="11" t="n">
        <x:v>5.04</x:v>
      </x:c>
      <x:c r="G2497" s="11" t="n">
        <x:v>1038.96</x:v>
      </x:c>
      <x:c r="H2497" s="23" t="n">
        <x:v>0.00005084314413656984</x:v>
      </x:c>
      <x:c r="I2497" s="23" t="n">
        <x:v>0.9591355802877606</x:v>
      </x:c>
      <x:c r="J2497" s="2" t="n">
        <x:v>298</x:v>
      </x:c>
      <x:c r="K2497" s="2"/>
      <x:c r="L2497" s="2"/>
    </x:row>
    <x:row r="2498" ht="22" customHeight="1">
      <x:c r="A2498" s="2"/>
      <x:c r="B2498" s="2" t="n">
        <x:v>2465</x:v>
      </x:c>
      <x:c r="C2498" s="2" t="str">
        <x:v>35646</x:v>
      </x:c>
      <x:c r="D2498" s="2" t="str">
        <x:v>VINTAGE BEAD PINK EVENING BAG</x:v>
      </x:c>
      <x:c r="E2498" s="11" t="n">
        <x:v>1043.44</x:v>
      </x:c>
      <x:c r="F2498" s="11" t="n">
        <x:v>0</x:v>
      </x:c>
      <x:c r="G2498" s="11" t="n">
        <x:v>1043.44</x:v>
      </x:c>
      <x:c r="H2498" s="23" t="n">
        <x:v>0.000050815871951975515</x:v>
      </x:c>
      <x:c r="I2498" s="23" t="n">
        <x:v>0.9591863961597126</x:v>
      </x:c>
      <x:c r="J2498" s="2" t="n">
        <x:v>104</x:v>
      </x:c>
      <x:c r="K2498" s="2"/>
      <x:c r="L2498" s="2"/>
    </x:row>
    <x:row r="2499" ht="22" customHeight="1">
      <x:c r="A2499" s="2"/>
      <x:c r="B2499" s="2" t="n">
        <x:v>2466</x:v>
      </x:c>
      <x:c r="C2499" s="2" t="str">
        <x:v>18007</x:v>
      </x:c>
      <x:c r="D2499" s="2" t="str">
        <x:v>ESSENTIAL BALM 3.5g TIN IN ENVELOPE</x:v>
      </x:c>
      <x:c r="E2499" s="11" t="n">
        <x:v>1043.4</x:v>
      </x:c>
      <x:c r="F2499" s="11" t="n">
        <x:v>120</x:v>
      </x:c>
      <x:c r="G2499" s="11" t="n">
        <x:v>923.4</x:v>
      </x:c>
      <x:c r="H2499" s="23" t="n">
        <x:v>0.00005081392393879021</x:v>
      </x:c>
      <x:c r="I2499" s="23" t="n">
        <x:v>0.9592372100836514</x:v>
      </x:c>
      <x:c r="J2499" s="2" t="n">
        <x:v>72</x:v>
      </x:c>
      <x:c r="K2499" s="2"/>
      <x:c r="L2499" s="2"/>
    </x:row>
    <x:row r="2500" ht="22" customHeight="1">
      <x:c r="A2500" s="2"/>
      <x:c r="B2500" s="2" t="n">
        <x:v>2467</x:v>
      </x:c>
      <x:c r="C2500" s="2" t="str">
        <x:v>22266</x:v>
      </x:c>
      <x:c r="D2500" s="2" t="str">
        <x:v>EASTER DECORATION HANGING BUNNY</x:v>
      </x:c>
      <x:c r="E2500" s="11" t="n">
        <x:v>1042.71</x:v>
      </x:c>
      <x:c r="F2500" s="11" t="n">
        <x:v>4.550000000000001</x:v>
      </x:c>
      <x:c r="G2500" s="11" t="n">
        <x:v>1038.16</x:v>
      </x:c>
      <x:c r="H2500" s="23" t="n">
        <x:v>0.00005078032071134362</x:v>
      </x:c>
      <x:c r="I2500" s="23" t="n">
        <x:v>0.9592879904043627</x:v>
      </x:c>
      <x:c r="J2500" s="2" t="n">
        <x:v>161</x:v>
      </x:c>
      <x:c r="K2500" s="2"/>
      <x:c r="L2500" s="2"/>
    </x:row>
    <x:row r="2501" ht="22" customHeight="1">
      <x:c r="A2501" s="2"/>
      <x:c r="B2501" s="2" t="n">
        <x:v>2468</x:v>
      </x:c>
      <x:c r="C2501" s="2" t="str">
        <x:v>84405A</x:v>
      </x:c>
      <x:c r="D2501" s="2" t="str">
        <x:v>S/3 PINK COL METAL BASKET W HANDLE</x:v>
      </x:c>
      <x:c r="E2501" s="11" t="n">
        <x:v>1042.16</x:v>
      </x:c>
      <x:c r="F2501" s="11" t="n">
        <x:v>12.75</x:v>
      </x:c>
      <x:c r="G2501" s="11" t="n">
        <x:v>1029.41</x:v>
      </x:c>
      <x:c r="H2501" s="23" t="n">
        <x:v>0.00005075353553004562</x:v>
      </x:c>
      <x:c r="I2501" s="23" t="n">
        <x:v>0.9593387439398928</x:v>
      </x:c>
      <x:c r="J2501" s="2" t="n">
        <x:v>50</x:v>
      </x:c>
      <x:c r="K2501" s="2"/>
      <x:c r="L2501" s="2"/>
    </x:row>
    <x:row r="2502" ht="22" customHeight="1">
      <x:c r="A2502" s="2"/>
      <x:c r="B2502" s="2" t="n">
        <x:v>2469</x:v>
      </x:c>
      <x:c r="C2502" s="2" t="str">
        <x:v>72800D</x:v>
      </x:c>
      <x:c r="D2502" s="2" t="str">
        <x:v>4 BLUE DINNER CANDLES SILVER FLOCK</x:v>
      </x:c>
      <x:c r="E2502" s="11" t="n">
        <x:v>1040.61</x:v>
      </x:c>
      <x:c r="F2502" s="11" t="n">
        <x:v>5.1</x:v>
      </x:c>
      <x:c r="G2502" s="11" t="n">
        <x:v>1035.51</x:v>
      </x:c>
      <x:c r="H2502" s="23" t="n">
        <x:v>0.000050678050019114886</x:v>
      </x:c>
      <x:c r="I2502" s="23" t="n">
        <x:v>0.959389421989912</x:v>
      </x:c>
      <x:c r="J2502" s="2" t="n">
        <x:v>86</x:v>
      </x:c>
      <x:c r="K2502" s="2"/>
      <x:c r="L2502" s="2"/>
    </x:row>
    <x:row r="2503" ht="22" customHeight="1">
      <x:c r="A2503" s="2"/>
      <x:c r="B2503" s="2" t="n">
        <x:v>2470</x:v>
      </x:c>
      <x:c r="C2503" s="2" t="str">
        <x:v>20671</x:v>
      </x:c>
      <x:c r="D2503" s="2" t="str">
        <x:v>BLUE TEATIME PRINT BOWL </x:v>
      </x:c>
      <x:c r="E2503" s="11" t="n">
        <x:v>1039.97</x:v>
      </x:c>
      <x:c r="F2503" s="11" t="n">
        <x:v>0</x:v>
      </x:c>
      <x:c r="G2503" s="11" t="n">
        <x:v>1039.97</x:v>
      </x:c>
      <x:c r="H2503" s="23" t="n">
        <x:v>0.000050646881808149946</x:v>
      </x:c>
      <x:c r="I2503" s="23" t="n">
        <x:v>0.9594400688717201</x:v>
      </x:c>
      <x:c r="J2503" s="2" t="n">
        <x:v>143</x:v>
      </x:c>
      <x:c r="K2503" s="2"/>
      <x:c r="L2503" s="2"/>
    </x:row>
    <x:row r="2504" ht="22" customHeight="1">
      <x:c r="A2504" s="2"/>
      <x:c r="B2504" s="2" t="n">
        <x:v>2471</x:v>
      </x:c>
      <x:c r="C2504" s="2" t="str">
        <x:v>21725</x:v>
      </x:c>
      <x:c r="D2504" s="2" t="str">
        <x:v>SWEETIES  STICKERS</x:v>
      </x:c>
      <x:c r="E2504" s="11" t="n">
        <x:v>1038.1299999999999</x:v>
      </x:c>
      <x:c r="F2504" s="11" t="n">
        <x:v>1.7</x:v>
      </x:c>
      <x:c r="G2504" s="11" t="n">
        <x:v>1036.4299999999998</x:v>
      </x:c>
      <x:c r="H2504" s="23" t="n">
        <x:v>0.000050557273201625714</x:v>
      </x:c>
      <x:c r="I2504" s="23" t="n">
        <x:v>0.9594906261449216</x:v>
      </x:c>
      <x:c r="J2504" s="2" t="n">
        <x:v>173</x:v>
      </x:c>
      <x:c r="K2504" s="2"/>
      <x:c r="L2504" s="2"/>
    </x:row>
    <x:row r="2505" ht="22" customHeight="1">
      <x:c r="A2505" s="2"/>
      <x:c r="B2505" s="2" t="n">
        <x:v>2472</x:v>
      </x:c>
      <x:c r="C2505" s="2" t="str">
        <x:v>85124A</x:v>
      </x:c>
      <x:c r="D2505" s="2" t="str">
        <x:v>PINK JUICY FRUIT PHOTO FRAME</x:v>
      </x:c>
      <x:c r="E2505" s="11" t="n">
        <x:v>1037.1299999999999</x:v>
      </x:c>
      <x:c r="F2505" s="11" t="n">
        <x:v>20.4</x:v>
      </x:c>
      <x:c r="G2505" s="11" t="n">
        <x:v>1016.7299999999999</x:v>
      </x:c>
      <x:c r="H2505" s="23" t="n">
        <x:v>0.000050508572871992985</x:v>
      </x:c>
      <x:c r="I2505" s="23" t="n">
        <x:v>0.9595411347177937</x:v>
      </x:c>
      <x:c r="J2505" s="2" t="n">
        <x:v>95</x:v>
      </x:c>
      <x:c r="K2505" s="2"/>
      <x:c r="L2505" s="2"/>
    </x:row>
    <x:row r="2506" ht="22" customHeight="1">
      <x:c r="A2506" s="2"/>
      <x:c r="B2506" s="2" t="n">
        <x:v>2473</x:v>
      </x:c>
      <x:c r="C2506" s="2" t="str">
        <x:v>21664</x:v>
      </x:c>
      <x:c r="D2506" s="2" t="str">
        <x:v>RIDGED GLASS STORAGE JAR CREAM LID</x:v>
      </x:c>
      <x:c r="E2506" s="11" t="n">
        <x:v>1034.82</x:v>
      </x:c>
      <x:c r="F2506" s="11" t="n">
        <x:v>26.25</x:v>
      </x:c>
      <x:c r="G2506" s="11" t="n">
        <x:v>1008.5699999999999</x:v>
      </x:c>
      <x:c r="H2506" s="23" t="n">
        <x:v>0.00005039607511054138</x:v>
      </x:c>
      <x:c r="I2506" s="23" t="n">
        <x:v>0.9595915307929043</x:v>
      </x:c>
      <x:c r="J2506" s="2" t="n">
        <x:v>67</x:v>
      </x:c>
      <x:c r="K2506" s="2"/>
      <x:c r="L2506" s="2"/>
    </x:row>
    <x:row r="2507" ht="22" customHeight="1">
      <x:c r="A2507" s="2"/>
      <x:c r="B2507" s="2" t="n">
        <x:v>2474</x:v>
      </x:c>
      <x:c r="C2507" s="2" t="str">
        <x:v>20652</x:v>
      </x:c>
      <x:c r="D2507" s="2" t="str">
        <x:v>BLUE POLKADOT LUGGAGE TAG </x:v>
      </x:c>
      <x:c r="E2507" s="11" t="n">
        <x:v>1033.54</x:v>
      </x:c>
      <x:c r="F2507" s="11" t="n">
        <x:v>0</x:v>
      </x:c>
      <x:c r="G2507" s="11" t="n">
        <x:v>1033.54</x:v>
      </x:c>
      <x:c r="H2507" s="23" t="n">
        <x:v>0.00005033373868861149</x:v>
      </x:c>
      <x:c r="I2507" s="23" t="n">
        <x:v>0.9596418645315928</x:v>
      </x:c>
      <x:c r="J2507" s="2" t="n">
        <x:v>172</x:v>
      </x:c>
      <x:c r="K2507" s="2"/>
      <x:c r="L2507" s="2"/>
    </x:row>
    <x:row r="2508" ht="22" customHeight="1">
      <x:c r="A2508" s="2"/>
      <x:c r="B2508" s="2" t="n">
        <x:v>2475</x:v>
      </x:c>
      <x:c r="C2508" s="2" t="str">
        <x:v>23088</x:v>
      </x:c>
      <x:c r="D2508" s="2" t="str">
        <x:v>ZINC HEART FLOWER T-LIGHT HOLDER</x:v>
      </x:c>
      <x:c r="E2508" s="11" t="n">
        <x:v>1033.28</x:v>
      </x:c>
      <x:c r="F2508" s="11" t="n">
        <x:v>0</x:v>
      </x:c>
      <x:c r="G2508" s="11" t="n">
        <x:v>1033.28</x:v>
      </x:c>
      <x:c r="H2508" s="23" t="n">
        <x:v>0.00005032107660290698</x:v>
      </x:c>
      <x:c r="I2508" s="23" t="n">
        <x:v>0.9596921856081957</x:v>
      </x:c>
      <x:c r="J2508" s="2" t="n">
        <x:v>79</x:v>
      </x:c>
      <x:c r="K2508" s="2"/>
      <x:c r="L2508" s="2"/>
    </x:row>
    <x:row r="2509" ht="22" customHeight="1">
      <x:c r="A2509" s="2"/>
      <x:c r="B2509" s="2" t="n">
        <x:v>2476</x:v>
      </x:c>
      <x:c r="C2509" s="2" t="str">
        <x:v>85160B</x:v>
      </x:c>
      <x:c r="D2509" s="2" t="str">
        <x:v>BLACK BIRD GARDEN DESIGN MUG</x:v>
      </x:c>
      <x:c r="E2509" s="11" t="n">
        <x:v>1032.7</x:v>
      </x:c>
      <x:c r="F2509" s="11" t="n">
        <x:v>391.40999999999997</x:v>
      </x:c>
      <x:c r="G2509" s="11" t="n">
        <x:v>641.29</x:v>
      </x:c>
      <x:c r="H2509" s="23" t="n">
        <x:v>0.00005029283041172</x:v>
      </x:c>
      <x:c r="I2509" s="23" t="n">
        <x:v>0.9597424784386074</x:v>
      </x:c>
      <x:c r="J2509" s="2" t="n">
        <x:v>36</x:v>
      </x:c>
      <x:c r="K2509" s="2"/>
      <x:c r="L2509" s="2"/>
    </x:row>
    <x:row r="2510" ht="22" customHeight="1">
      <x:c r="A2510" s="2"/>
      <x:c r="B2510" s="2" t="n">
        <x:v>2477</x:v>
      </x:c>
      <x:c r="C2510" s="2" t="str">
        <x:v>82616C</x:v>
      </x:c>
      <x:c r="D2510" s="2" t="str">
        <x:v>MIDNIGHT GLAMOUR SCARF KNITTING KIT</x:v>
      </x:c>
      <x:c r="E2510" s="11" t="n">
        <x:v>1030</x:v>
      </x:c>
      <x:c r="F2510" s="11" t="n">
        <x:v>3.75</x:v>
      </x:c>
      <x:c r="G2510" s="11" t="n">
        <x:v>1026.25</x:v>
      </x:c>
      <x:c r="H2510" s="23" t="n">
        <x:v>0.000050161339521711625</x:v>
      </x:c>
      <x:c r="I2510" s="23" t="n">
        <x:v>0.9597926397781291</x:v>
      </x:c>
      <x:c r="J2510" s="2" t="n">
        <x:v>142</x:v>
      </x:c>
      <x:c r="K2510" s="2"/>
      <x:c r="L2510" s="2"/>
    </x:row>
    <x:row r="2511" ht="22" customHeight="1">
      <x:c r="A2511" s="2"/>
      <x:c r="B2511" s="2" t="n">
        <x:v>2478</x:v>
      </x:c>
      <x:c r="C2511" s="2" t="str">
        <x:v>22247</x:v>
      </x:c>
      <x:c r="D2511" s="2" t="str">
        <x:v>BUNNY DECORATION MAGIC GARDEN</x:v>
      </x:c>
      <x:c r="E2511" s="11" t="n">
        <x:v>1027.8899999999999</x:v>
      </x:c>
      <x:c r="F2511" s="11" t="n">
        <x:v>0.75</x:v>
      </x:c>
      <x:c r="G2511" s="11" t="n">
        <x:v>1027.1399999999999</x:v>
      </x:c>
      <x:c r="H2511" s="23" t="n">
        <x:v>0.00005005858182618656</x:v>
      </x:c>
      <x:c r="I2511" s="23" t="n">
        <x:v>0.9598426983599553</x:v>
      </x:c>
      <x:c r="J2511" s="2" t="n">
        <x:v>182</x:v>
      </x:c>
      <x:c r="K2511" s="2"/>
      <x:c r="L2511" s="2"/>
    </x:row>
    <x:row r="2512" ht="22" customHeight="1">
      <x:c r="A2512" s="2"/>
      <x:c r="B2512" s="2" t="n">
        <x:v>2479</x:v>
      </x:c>
      <x:c r="C2512" s="2" t="str">
        <x:v>84686</x:v>
      </x:c>
      <x:c r="D2512" s="2" t="str">
        <x:v>BEACH HUT MIRROR</x:v>
      </x:c>
      <x:c r="E2512" s="11" t="n">
        <x:v>1027.79</x:v>
      </x:c>
      <x:c r="F2512" s="11" t="n">
        <x:v>43.4</x:v>
      </x:c>
      <x:c r="G2512" s="11" t="n">
        <x:v>984.39</x:v>
      </x:c>
      <x:c r="H2512" s="23" t="n">
        <x:v>0.00005005371179322329</x:v>
      </x:c>
      <x:c r="I2512" s="23" t="n">
        <x:v>0.9598927520717485</x:v>
      </x:c>
      <x:c r="J2512" s="2" t="n">
        <x:v>76</x:v>
      </x:c>
      <x:c r="K2512" s="2"/>
      <x:c r="L2512" s="2"/>
    </x:row>
    <x:row r="2513" ht="22" customHeight="1">
      <x:c r="A2513" s="2"/>
      <x:c r="B2513" s="2" t="n">
        <x:v>2480</x:v>
      </x:c>
      <x:c r="C2513" s="2" t="str">
        <x:v>84923</x:v>
      </x:c>
      <x:c r="D2513" s="2" t="str">
        <x:v>PINK BUTTERFLY HANDBAG W BOBBLES</x:v>
      </x:c>
      <x:c r="E2513" s="11" t="n">
        <x:v>1026.14</x:v>
      </x:c>
      <x:c r="F2513" s="11" t="n">
        <x:v>0</x:v>
      </x:c>
      <x:c r="G2513" s="11" t="n">
        <x:v>1026.14</x:v>
      </x:c>
      <x:c r="H2513" s="23" t="n">
        <x:v>0.000049973356249329296</x:v>
      </x:c>
      <x:c r="I2513" s="23" t="n">
        <x:v>0.9599427254279979</x:v>
      </x:c>
      <x:c r="J2513" s="2" t="n">
        <x:v>150</x:v>
      </x:c>
      <x:c r="K2513" s="2"/>
      <x:c r="L2513" s="2"/>
    </x:row>
    <x:row r="2514" ht="22" customHeight="1">
      <x:c r="A2514" s="2"/>
      <x:c r="B2514" s="2" t="n">
        <x:v>2481</x:v>
      </x:c>
      <x:c r="C2514" s="2" t="str">
        <x:v>21417</x:v>
      </x:c>
      <x:c r="D2514" s="2" t="str">
        <x:v>COCKLE SHELL DISH</x:v>
      </x:c>
      <x:c r="E2514" s="11" t="n">
        <x:v>1026</x:v>
      </x:c>
      <x:c r="F2514" s="11" t="n">
        <x:v>52.50000000000001</x:v>
      </x:c>
      <x:c r="G2514" s="11" t="n">
        <x:v>973.5</x:v>
      </x:c>
      <x:c r="H2514" s="23" t="n">
        <x:v>0.00004996653820318071</x:v>
      </x:c>
      <x:c r="I2514" s="23" t="n">
        <x:v>0.9599926919662011</x:v>
      </x:c>
      <x:c r="J2514" s="2" t="n">
        <x:v>118</x:v>
      </x:c>
      <x:c r="K2514" s="2"/>
      <x:c r="L2514" s="2"/>
    </x:row>
    <x:row r="2515" ht="22" customHeight="1">
      <x:c r="A2515" s="2"/>
      <x:c r="B2515" s="2" t="n">
        <x:v>2482</x:v>
      </x:c>
      <x:c r="C2515" s="2" t="str">
        <x:v>23545</x:v>
      </x:c>
      <x:c r="D2515" s="2" t="str">
        <x:v>WRAP RED VINTAGE DOILY</x:v>
      </x:c>
      <x:c r="E2515" s="11" t="n">
        <x:v>1025.6</x:v>
      </x:c>
      <x:c r="F2515" s="11" t="n">
        <x:v>0</x:v>
      </x:c>
      <x:c r="G2515" s="11" t="n">
        <x:v>1025.6</x:v>
      </x:c>
      <x:c r="H2515" s="23" t="n">
        <x:v>0.000049947058071327615</x:v>
      </x:c>
      <x:c r="I2515" s="23" t="n">
        <x:v>0.9600426390242724</x:v>
      </x:c>
      <x:c r="J2515" s="2" t="n">
        <x:v>84</x:v>
      </x:c>
      <x:c r="K2515" s="2"/>
      <x:c r="L2515" s="2"/>
    </x:row>
    <x:row r="2516" ht="22" customHeight="1">
      <x:c r="A2516" s="2"/>
      <x:c r="B2516" s="2" t="n">
        <x:v>2483</x:v>
      </x:c>
      <x:c r="C2516" s="2" t="str">
        <x:v>22049</x:v>
      </x:c>
      <x:c r="D2516" s="2" t="str">
        <x:v>damaged</x:v>
      </x:c>
      <x:c r="E2516" s="11" t="n">
        <x:v>1025.25</x:v>
      </x:c>
      <x:c r="F2516" s="11" t="n">
        <x:v>10.5</x:v>
      </x:c>
      <x:c r="G2516" s="11" t="n">
        <x:v>1014.75</x:v>
      </x:c>
      <x:c r="H2516" s="23" t="n">
        <x:v>0.000049930012955956164</x:v>
      </x:c>
      <x:c r="I2516" s="23" t="n">
        <x:v>0.9600925690372284</x:v>
      </x:c>
      <x:c r="J2516" s="2" t="n">
        <x:v>114</x:v>
      </x:c>
      <x:c r="K2516" s="2"/>
      <x:c r="L2516" s="2"/>
    </x:row>
    <x:row r="2517" ht="22" customHeight="1">
      <x:c r="A2517" s="2"/>
      <x:c r="B2517" s="2" t="n">
        <x:v>2484</x:v>
      </x:c>
      <x:c r="C2517" s="2" t="str">
        <x:v>21814</x:v>
      </x:c>
      <x:c r="D2517" s="2" t="str">
        <x:v>HEART T-LIGHT HOLDER </x:v>
      </x:c>
      <x:c r="E2517" s="11" t="n">
        <x:v>1025.23</x:v>
      </x:c>
      <x:c r="F2517" s="11" t="n">
        <x:v>0</x:v>
      </x:c>
      <x:c r="G2517" s="11" t="n">
        <x:v>1025.23</x:v>
      </x:c>
      <x:c r="H2517" s="23" t="n">
        <x:v>0.000049929038949363506</x:v>
      </x:c>
      <x:c r="I2517" s="23" t="n">
        <x:v>0.9601424980761778</x:v>
      </x:c>
      <x:c r="J2517" s="2" t="n">
        <x:v>95</x:v>
      </x:c>
      <x:c r="K2517" s="2"/>
      <x:c r="L2517" s="2"/>
    </x:row>
    <x:row r="2518" ht="22" customHeight="1">
      <x:c r="A2518" s="2"/>
      <x:c r="B2518" s="2" t="n">
        <x:v>2485</x:v>
      </x:c>
      <x:c r="C2518" s="2" t="str">
        <x:v>35923</x:v>
      </x:c>
      <x:c r="D2518" s="2" t="str">
        <x:v>CANDY HEART HANGING DECORATION</x:v>
      </x:c>
      <x:c r="E2518" s="11" t="n">
        <x:v>1025.02</x:v>
      </x:c>
      <x:c r="F2518" s="11" t="n">
        <x:v>4.14</x:v>
      </x:c>
      <x:c r="G2518" s="11" t="n">
        <x:v>1020.88</x:v>
      </x:c>
      <x:c r="H2518" s="23" t="n">
        <x:v>0.00004991881188014063</x:v>
      </x:c>
      <x:c r="I2518" s="23" t="n">
        <x:v>0.9601924168880579</x:v>
      </x:c>
      <x:c r="J2518" s="2" t="n">
        <x:v>112</x:v>
      </x:c>
      <x:c r="K2518" s="2"/>
      <x:c r="L2518" s="2"/>
    </x:row>
    <x:row r="2519" ht="22" customHeight="1">
      <x:c r="A2519" s="2"/>
      <x:c r="B2519" s="2" t="n">
        <x:v>2486</x:v>
      </x:c>
      <x:c r="C2519" s="2" t="str">
        <x:v>21690</x:v>
      </x:c>
      <x:c r="D2519" s="2" t="str">
        <x:v>SILVER  CANDLEPOT JARDIN </x:v>
      </x:c>
      <x:c r="E2519" s="11" t="n">
        <x:v>1024.59</x:v>
      </x:c>
      <x:c r="F2519" s="11" t="n">
        <x:v>0</x:v>
      </x:c>
      <x:c r="G2519" s="11" t="n">
        <x:v>1024.59</x:v>
      </x:c>
      <x:c r="H2519" s="23" t="n">
        <x:v>0.00004989787073839855</x:v>
      </x:c>
      <x:c r="I2519" s="23" t="n">
        <x:v>0.9602423147587963</x:v>
      </x:c>
      <x:c r="J2519" s="2" t="n">
        <x:v>82</x:v>
      </x:c>
      <x:c r="K2519" s="2"/>
      <x:c r="L2519" s="2"/>
    </x:row>
    <x:row r="2520" ht="22" customHeight="1">
      <x:c r="A2520" s="2"/>
      <x:c r="B2520" s="2" t="n">
        <x:v>2487</x:v>
      </x:c>
      <x:c r="C2520" s="2" t="str">
        <x:v>85104</x:v>
      </x:c>
      <x:c r="D2520" s="2" t="str">
        <x:v>????damages????</x:v>
      </x:c>
      <x:c r="E2520" s="11" t="n">
        <x:v>1024.49</x:v>
      </x:c>
      <x:c r="F2520" s="11" t="n">
        <x:v>23.6</x:v>
      </x:c>
      <x:c r="G2520" s="11" t="n">
        <x:v>1000.8900000000001</x:v>
      </x:c>
      <x:c r="H2520" s="23" t="n">
        <x:v>0.00004989300070543529</x:v>
      </x:c>
      <x:c r="I2520" s="23" t="n">
        <x:v>0.9602922077595017</x:v>
      </x:c>
      <x:c r="J2520" s="2" t="n">
        <x:v>56</x:v>
      </x:c>
      <x:c r="K2520" s="2"/>
      <x:c r="L2520" s="2"/>
    </x:row>
    <x:row r="2521" ht="22" customHeight="1">
      <x:c r="A2521" s="2"/>
      <x:c r="B2521" s="2" t="n">
        <x:v>2488</x:v>
      </x:c>
      <x:c r="C2521" s="2" t="str">
        <x:v>84625C</x:v>
      </x:c>
      <x:c r="D2521" s="2" t="str">
        <x:v>BLUE NEW BAROQUE CANDLESTICK CANDLE</x:v>
      </x:c>
      <x:c r="E2521" s="11" t="n">
        <x:v>1024.15</x:v>
      </x:c>
      <x:c r="F2521" s="11" t="n">
        <x:v>103.60000000000001</x:v>
      </x:c>
      <x:c r="G2521" s="11" t="n">
        <x:v>920.55</x:v>
      </x:c>
      <x:c r="H2521" s="23" t="n">
        <x:v>0.00004987644259336016</x:v>
      </x:c>
      <x:c r="I2521" s="23" t="n">
        <x:v>0.9603420842020951</x:v>
      </x:c>
      <x:c r="J2521" s="2" t="n">
        <x:v>71</x:v>
      </x:c>
      <x:c r="K2521" s="2"/>
      <x:c r="L2521" s="2"/>
    </x:row>
    <x:row r="2522" ht="22" customHeight="1">
      <x:c r="A2522" s="2"/>
      <x:c r="B2522" s="2" t="n">
        <x:v>2489</x:v>
      </x:c>
      <x:c r="C2522" s="2" t="str">
        <x:v>22717</x:v>
      </x:c>
      <x:c r="D2522" s="2" t="str">
        <x:v>CARD DOG AND BALL </x:v>
      </x:c>
      <x:c r="E2522" s="11" t="n">
        <x:v>1023.46</x:v>
      </x:c>
      <x:c r="F2522" s="11" t="n">
        <x:v>5.04</x:v>
      </x:c>
      <x:c r="G2522" s="11" t="n">
        <x:v>1018.42</x:v>
      </x:c>
      <x:c r="H2522" s="23" t="n">
        <x:v>0.000049842839365913574</x:v>
      </x:c>
      <x:c r="I2522" s="23" t="n">
        <x:v>0.960391927041461</x:v>
      </x:c>
      <x:c r="J2522" s="2" t="n">
        <x:v>215</x:v>
      </x:c>
      <x:c r="K2522" s="2"/>
      <x:c r="L2522" s="2"/>
    </x:row>
    <x:row r="2523" ht="22" customHeight="1">
      <x:c r="A2523" s="2"/>
      <x:c r="B2523" s="2" t="n">
        <x:v>2490</x:v>
      </x:c>
      <x:c r="C2523" s="2" t="str">
        <x:v>85180B</x:v>
      </x:c>
      <x:c r="D2523" s="2" t="str">
        <x:v>PINK HEARTS LIGHT CHAIN </x:v>
      </x:c>
      <x:c r="E2523" s="11" t="n">
        <x:v>1022.1600000000001</x:v>
      </x:c>
      <x:c r="F2523" s="11" t="n">
        <x:v>0</x:v>
      </x:c>
      <x:c r="G2523" s="11" t="n">
        <x:v>1022.1600000000001</x:v>
      </x:c>
      <x:c r="H2523" s="23" t="n">
        <x:v>0.00004977952893739103</x:v>
      </x:c>
      <x:c r="I2523" s="23" t="n">
        <x:v>0.9604417065703984</x:v>
      </x:c>
      <x:c r="J2523" s="2" t="n">
        <x:v>67</x:v>
      </x:c>
      <x:c r="K2523" s="2"/>
      <x:c r="L2523" s="2"/>
    </x:row>
    <x:row r="2524" ht="22" customHeight="1">
      <x:c r="A2524" s="2"/>
      <x:c r="B2524" s="2" t="n">
        <x:v>2491</x:v>
      </x:c>
      <x:c r="C2524" s="2" t="str">
        <x:v>23452</x:v>
      </x:c>
      <x:c r="D2524" s="2" t="str">
        <x:v>HEART MINI PORTRAIT FRAME</x:v>
      </x:c>
      <x:c r="E2524" s="11" t="n">
        <x:v>1021.76</x:v>
      </x:c>
      <x:c r="F2524" s="11" t="n">
        <x:v>1.95</x:v>
      </x:c>
      <x:c r="G2524" s="11" t="n">
        <x:v>1019.81</x:v>
      </x:c>
      <x:c r="H2524" s="23" t="n">
        <x:v>0.00004976004880553793</x:v>
      </x:c>
      <x:c r="I2524" s="23" t="n">
        <x:v>0.9604914666192039</x:v>
      </x:c>
      <x:c r="J2524" s="2" t="n">
        <x:v>87</x:v>
      </x:c>
      <x:c r="K2524" s="2"/>
      <x:c r="L2524" s="2"/>
    </x:row>
    <x:row r="2525" ht="22" customHeight="1">
      <x:c r="A2525" s="2"/>
      <x:c r="B2525" s="2" t="n">
        <x:v>2492</x:v>
      </x:c>
      <x:c r="C2525" s="2" t="str">
        <x:v>84985A</x:v>
      </x:c>
      <x:c r="D2525" s="2" t="str">
        <x:v>SET OF 72 GREEN PAPER DOILIES</x:v>
      </x:c>
      <x:c r="E2525" s="11" t="n">
        <x:v>1021.03</x:v>
      </x:c>
      <x:c r="F2525" s="11" t="n">
        <x:v>7.25</x:v>
      </x:c>
      <x:c r="G2525" s="11" t="n">
        <x:v>1013.78</x:v>
      </x:c>
      <x:c r="H2525" s="23" t="n">
        <x:v>0.00004972449756490604</x:v>
      </x:c>
      <x:c r="I2525" s="23" t="n">
        <x:v>0.9605411911167688</x:v>
      </x:c>
      <x:c r="J2525" s="2" t="n">
        <x:v>153</x:v>
      </x:c>
      <x:c r="K2525" s="2"/>
      <x:c r="L2525" s="2"/>
    </x:row>
    <x:row r="2526" ht="22" customHeight="1">
      <x:c r="A2526" s="2"/>
      <x:c r="B2526" s="2" t="n">
        <x:v>2493</x:v>
      </x:c>
      <x:c r="C2526" s="2" t="str">
        <x:v>21636</x:v>
      </x:c>
      <x:c r="D2526" s="2" t="str">
        <x:v>MADRAS NOTEBOOK MEDIUM</x:v>
      </x:c>
      <x:c r="E2526" s="11" t="n">
        <x:v>1020.84</x:v>
      </x:c>
      <x:c r="F2526" s="11" t="n">
        <x:v>61.199999999999996</x:v>
      </x:c>
      <x:c r="G2526" s="11" t="n">
        <x:v>959.64</x:v>
      </x:c>
      <x:c r="H2526" s="23" t="n">
        <x:v>0.00004971524450227582</x:v>
      </x:c>
      <x:c r="I2526" s="23" t="n">
        <x:v>0.9605909063612711</x:v>
      </x:c>
      <x:c r="J2526" s="2" t="n">
        <x:v>98</x:v>
      </x:c>
      <x:c r="K2526" s="2"/>
      <x:c r="L2526" s="2"/>
    </x:row>
    <x:row r="2527" ht="22" customHeight="1">
      <x:c r="A2527" s="2"/>
      <x:c r="B2527" s="2" t="n">
        <x:v>2494</x:v>
      </x:c>
      <x:c r="C2527" s="2" t="str">
        <x:v>84929</x:v>
      </x:c>
      <x:c r="D2527" s="2" t="str">
        <x:v>ASSTD FRUIT+FLOWERS FRIDGE MAGNETS</x:v>
      </x:c>
      <x:c r="E2527" s="11" t="n">
        <x:v>1020.72</x:v>
      </x:c>
      <x:c r="F2527" s="11" t="n">
        <x:v>168.49</x:v>
      </x:c>
      <x:c r="G2527" s="11" t="n">
        <x:v>852.23</x:v>
      </x:c>
      <x:c r="H2527" s="23" t="n">
        <x:v>0.0000497094004627199</x:v>
      </x:c>
      <x:c r="I2527" s="23" t="n">
        <x:v>0.9606406157617338</x:v>
      </x:c>
      <x:c r="J2527" s="2" t="n">
        <x:v>93</x:v>
      </x:c>
      <x:c r="K2527" s="2"/>
      <x:c r="L2527" s="2"/>
    </x:row>
    <x:row r="2528" ht="22" customHeight="1">
      <x:c r="A2528" s="2"/>
      <x:c r="B2528" s="2" t="n">
        <x:v>2495</x:v>
      </x:c>
      <x:c r="C2528" s="2" t="str">
        <x:v>23153</x:v>
      </x:c>
      <x:c r="D2528" s="2" t="str">
        <x:v>ZINC SWEETHEART WIRE LETTER RACK</x:v>
      </x:c>
      <x:c r="E2528" s="11" t="n">
        <x:v>1020.69</x:v>
      </x:c>
      <x:c r="F2528" s="11" t="n">
        <x:v>15</x:v>
      </x:c>
      <x:c r="G2528" s="11" t="n">
        <x:v>1005.69</x:v>
      </x:c>
      <x:c r="H2528" s="23" t="n">
        <x:v>0.000049707939452830914</x:v>
      </x:c>
      <x:c r="I2528" s="23" t="n">
        <x:v>0.9606903237011866</x:v>
      </x:c>
      <x:c r="J2528" s="2" t="n">
        <x:v>90</x:v>
      </x:c>
      <x:c r="K2528" s="2"/>
      <x:c r="L2528" s="2"/>
    </x:row>
    <x:row r="2529" ht="22" customHeight="1">
      <x:c r="A2529" s="2"/>
      <x:c r="B2529" s="2" t="n">
        <x:v>2496</x:v>
      </x:c>
      <x:c r="C2529" s="2" t="str">
        <x:v>84709B</x:v>
      </x:c>
      <x:c r="D2529" s="2" t="str">
        <x:v>PINK OVAL JEWELLED MIRROR</x:v>
      </x:c>
      <x:c r="E2529" s="11" t="n">
        <x:v>1020.4300000000001</x:v>
      </x:c>
      <x:c r="F2529" s="11" t="n">
        <x:v>5.95</x:v>
      </x:c>
      <x:c r="G2529" s="11" t="n">
        <x:v>1014.48</x:v>
      </x:c>
      <x:c r="H2529" s="23" t="n">
        <x:v>0.00004969527736712641</x:v>
      </x:c>
      <x:c r="I2529" s="23" t="n">
        <x:v>0.9607400189785537</x:v>
      </x:c>
      <x:c r="J2529" s="2" t="n">
        <x:v>86</x:v>
      </x:c>
      <x:c r="K2529" s="2"/>
      <x:c r="L2529" s="2"/>
    </x:row>
    <x:row r="2530" ht="22" customHeight="1">
      <x:c r="A2530" s="2"/>
      <x:c r="B2530" s="2" t="n">
        <x:v>2497</x:v>
      </x:c>
      <x:c r="C2530" s="2" t="str">
        <x:v>22643</x:v>
      </x:c>
      <x:c r="D2530" s="2" t="str">
        <x:v>SET OF 4 NAPKIN CHARMS LEAVES   </x:v>
      </x:c>
      <x:c r="E2530" s="11" t="n">
        <x:v>1019.78</x:v>
      </x:c>
      <x:c r="F2530" s="11" t="n">
        <x:v>0</x:v>
      </x:c>
      <x:c r="G2530" s="11" t="n">
        <x:v>1019.78</x:v>
      </x:c>
      <x:c r="H2530" s="23" t="n">
        <x:v>0.00004966362215286513</x:v>
      </x:c>
      <x:c r="I2530" s="23" t="n">
        <x:v>0.9607896826007065</x:v>
      </x:c>
      <x:c r="J2530" s="2" t="n">
        <x:v>96</x:v>
      </x:c>
      <x:c r="K2530" s="2"/>
      <x:c r="L2530" s="2"/>
    </x:row>
    <x:row r="2531" ht="22" customHeight="1">
      <x:c r="A2531" s="2"/>
      <x:c r="B2531" s="2" t="n">
        <x:v>2498</x:v>
      </x:c>
      <x:c r="C2531" s="2" t="str">
        <x:v>47589</x:v>
      </x:c>
      <x:c r="D2531" s="2" t="str">
        <x:v>CONGRATULATIONS BUNTING</x:v>
      </x:c>
      <x:c r="E2531" s="11" t="n">
        <x:v>1019.63</x:v>
      </x:c>
      <x:c r="F2531" s="11" t="n">
        <x:v>59.95</x:v>
      </x:c>
      <x:c r="G2531" s="11" t="n">
        <x:v>959.6800000000001</x:v>
      </x:c>
      <x:c r="H2531" s="23" t="n">
        <x:v>0.000049656317103420216</x:v>
      </x:c>
      <x:c r="I2531" s="23" t="n">
        <x:v>0.9608393389178099</x:v>
      </x:c>
      <x:c r="J2531" s="2" t="n">
        <x:v>76</x:v>
      </x:c>
      <x:c r="K2531" s="2"/>
      <x:c r="L2531" s="2"/>
    </x:row>
    <x:row r="2532" ht="22" customHeight="1">
      <x:c r="A2532" s="2"/>
      <x:c r="B2532" s="2" t="n">
        <x:v>2499</x:v>
      </x:c>
      <x:c r="C2532" s="2" t="str">
        <x:v>17021</x:v>
      </x:c>
      <x:c r="D2532" s="2" t="str">
        <x:v>NAMASTE SWAGAT INCENSE</x:v>
      </x:c>
      <x:c r="E2532" s="11" t="n">
        <x:v>1018.4399999999999</x:v>
      </x:c>
      <x:c r="F2532" s="11" t="n">
        <x:v>23.4</x:v>
      </x:c>
      <x:c r="G2532" s="11" t="n">
        <x:v>995.04</x:v>
      </x:c>
      <x:c r="H2532" s="23" t="n">
        <x:v>0.00004959836371115727</x:v>
      </x:c>
      <x:c r="I2532" s="23" t="n">
        <x:v>0.9608889372815211</x:v>
      </x:c>
      <x:c r="J2532" s="2" t="n">
        <x:v>76</x:v>
      </x:c>
      <x:c r="K2532" s="2"/>
      <x:c r="L2532" s="2"/>
    </x:row>
    <x:row r="2533" ht="22" customHeight="1">
      <x:c r="A2533" s="2"/>
      <x:c r="B2533" s="2" t="n">
        <x:v>2500</x:v>
      </x:c>
      <x:c r="C2533" s="2" t="str">
        <x:v>20839</x:v>
      </x:c>
      <x:c r="D2533" s="2" t="str">
        <x:v>FRENCH PAISLEY CUSHION COVER </x:v>
      </x:c>
      <x:c r="E2533" s="11" t="n">
        <x:v>1018.11</x:v>
      </x:c>
      <x:c r="F2533" s="11" t="n">
        <x:v>0</x:v>
      </x:c>
      <x:c r="G2533" s="11" t="n">
        <x:v>1018.11</x:v>
      </x:c>
      <x:c r="H2533" s="23" t="n">
        <x:v>0.00004958229260237847</x:v>
      </x:c>
      <x:c r="I2533" s="23" t="n">
        <x:v>0.9609385195741235</x:v>
      </x:c>
      <x:c r="J2533" s="2" t="n">
        <x:v>118</x:v>
      </x:c>
      <x:c r="K2533" s="2"/>
      <x:c r="L2533" s="2"/>
    </x:row>
    <x:row r="2534" ht="22" customHeight="1">
      <x:c r="A2534" s="2"/>
      <x:c r="B2534" s="2" t="n">
        <x:v>2501</x:v>
      </x:c>
      <x:c r="C2534" s="2" t="str">
        <x:v>85031C</x:v>
      </x:c>
      <x:c r="D2534" s="2" t="str">
        <x:v>CURIOUS IMAGES SCRAP BOOK SET</x:v>
      </x:c>
      <x:c r="E2534" s="11" t="n">
        <x:v>1017.48</x:v>
      </x:c>
      <x:c r="F2534" s="11" t="n">
        <x:v>0</x:v>
      </x:c>
      <x:c r="G2534" s="11" t="n">
        <x:v>1017.48</x:v>
      </x:c>
      <x:c r="H2534" s="23" t="n">
        <x:v>0.00004955161139470985</x:v>
      </x:c>
      <x:c r="I2534" s="23" t="n">
        <x:v>0.9609880711855182</x:v>
      </x:c>
      <x:c r="J2534" s="2" t="n">
        <x:v>106</x:v>
      </x:c>
      <x:c r="K2534" s="2"/>
      <x:c r="L2534" s="2"/>
    </x:row>
    <x:row r="2535" ht="22" customHeight="1">
      <x:c r="A2535" s="2"/>
      <x:c r="B2535" s="2" t="n">
        <x:v>2502</x:v>
      </x:c>
      <x:c r="C2535" s="2" t="str">
        <x:v>84596L</x:v>
      </x:c>
      <x:c r="D2535" s="2" t="str">
        <x:v>BISCUITS SMALL BOWL LIGHT BLUE</x:v>
      </x:c>
      <x:c r="E2535" s="11" t="n">
        <x:v>1016.88</x:v>
      </x:c>
      <x:c r="F2535" s="11" t="n">
        <x:v>0</x:v>
      </x:c>
      <x:c r="G2535" s="11" t="n">
        <x:v>1016.88</x:v>
      </x:c>
      <x:c r="H2535" s="23" t="n">
        <x:v>0.000049522391196930214</x:v>
      </x:c>
      <x:c r="I2535" s="23" t="n">
        <x:v>0.9610375935767151</x:v>
      </x:c>
      <x:c r="J2535" s="2" t="n">
        <x:v>255</x:v>
      </x:c>
      <x:c r="K2535" s="2"/>
      <x:c r="L2535" s="2"/>
    </x:row>
    <x:row r="2536" ht="22" customHeight="1">
      <x:c r="A2536" s="2"/>
      <x:c r="B2536" s="2" t="n">
        <x:v>2503</x:v>
      </x:c>
      <x:c r="C2536" s="2" t="str">
        <x:v>20619</x:v>
      </x:c>
      <x:c r="D2536" s="2" t="str">
        <x:v>TROPICAL PASSPORT COVER </x:v>
      </x:c>
      <x:c r="E2536" s="11" t="n">
        <x:v>1016.52</x:v>
      </x:c>
      <x:c r="F2536" s="11" t="n">
        <x:v>0</x:v>
      </x:c>
      <x:c r="G2536" s="11" t="n">
        <x:v>1016.52</x:v>
      </x:c>
      <x:c r="H2536" s="23" t="n">
        <x:v>0.00004950485907826243</x:v>
      </x:c>
      <x:c r="I2536" s="23" t="n">
        <x:v>0.9610870984357934</x:v>
      </x:c>
      <x:c r="J2536" s="2" t="n">
        <x:v>194</x:v>
      </x:c>
      <x:c r="K2536" s="2"/>
      <x:c r="L2536" s="2"/>
    </x:row>
    <x:row r="2537" ht="22" customHeight="1">
      <x:c r="A2537" s="2"/>
      <x:c r="B2537" s="2" t="n">
        <x:v>2504</x:v>
      </x:c>
      <x:c r="C2537" s="2" t="str">
        <x:v>85099f</x:v>
      </x:c>
      <x:c r="D2537" s="2" t="str">
        <x:v>JUMBO BAG STRAWBERRY</x:v>
      </x:c>
      <x:c r="E2537" s="11" t="n">
        <x:v>1016.3599999999999</x:v>
      </x:c>
      <x:c r="F2537" s="11" t="n">
        <x:v>0</x:v>
      </x:c>
      <x:c r="G2537" s="11" t="n">
        <x:v>1016.3599999999999</x:v>
      </x:c>
      <x:c r="H2537" s="23" t="n">
        <x:v>0.00004949706702552119</x:v>
      </x:c>
      <x:c r="I2537" s="23" t="n">
        <x:v>0.9611365955028189</x:v>
      </x:c>
      <x:c r="J2537" s="2" t="n">
        <x:v>25</x:v>
      </x:c>
      <x:c r="K2537" s="2"/>
      <x:c r="L2537" s="2"/>
    </x:row>
    <x:row r="2538" ht="22" customHeight="1">
      <x:c r="A2538" s="2"/>
      <x:c r="B2538" s="2" t="n">
        <x:v>2505</x:v>
      </x:c>
      <x:c r="C2538" s="2" t="str">
        <x:v>23544</x:v>
      </x:c>
      <x:c r="D2538" s="2" t="str">
        <x:v>WALL ART MID CENTURY MODERN </x:v>
      </x:c>
      <x:c r="E2538" s="11" t="n">
        <x:v>1015.78</x:v>
      </x:c>
      <x:c r="F2538" s="11" t="n">
        <x:v>8.25</x:v>
      </x:c>
      <x:c r="G2538" s="11" t="n">
        <x:v>1007.53</x:v>
      </x:c>
      <x:c r="H2538" s="23" t="n">
        <x:v>0.00004946882083433421</x:v>
      </x:c>
      <x:c r="I2538" s="23" t="n">
        <x:v>0.9611860643236533</x:v>
      </x:c>
      <x:c r="J2538" s="2" t="n">
        <x:v>20</x:v>
      </x:c>
      <x:c r="K2538" s="2"/>
      <x:c r="L2538" s="2"/>
    </x:row>
    <x:row r="2539" ht="22" customHeight="1">
      <x:c r="A2539" s="2"/>
      <x:c r="B2539" s="2" t="n">
        <x:v>2506</x:v>
      </x:c>
      <x:c r="C2539" s="2" t="str">
        <x:v>22420</x:v>
      </x:c>
      <x:c r="D2539" s="2" t="str">
        <x:v>LIPSTICK PEN BABY PINK</x:v>
      </x:c>
      <x:c r="E2539" s="11" t="n">
        <x:v>1015.17</x:v>
      </x:c>
      <x:c r="F2539" s="11" t="n">
        <x:v>0.42</x:v>
      </x:c>
      <x:c r="G2539" s="11" t="n">
        <x:v>1014.75</x:v>
      </x:c>
      <x:c r="H2539" s="23" t="n">
        <x:v>0.000049439113633258245</x:v>
      </x:c>
      <x:c r="I2539" s="23" t="n">
        <x:v>0.9612355034372866</x:v>
      </x:c>
      <x:c r="J2539" s="2" t="n">
        <x:v>234</x:v>
      </x:c>
      <x:c r="K2539" s="2"/>
      <x:c r="L2539" s="2"/>
    </x:row>
    <x:row r="2540" ht="22" customHeight="1">
      <x:c r="A2540" s="2"/>
      <x:c r="B2540" s="2" t="n">
        <x:v>2507</x:v>
      </x:c>
      <x:c r="C2540" s="2" t="str">
        <x:v>20730</x:v>
      </x:c>
      <x:c r="D2540" s="2" t="str">
        <x:v>STRAWBERRY CANDY BAG</x:v>
      </x:c>
      <x:c r="E2540" s="11" t="n">
        <x:v>1011.7</x:v>
      </x:c>
      <x:c r="F2540" s="11" t="n">
        <x:v>13.75</x:v>
      </x:c>
      <x:c r="G2540" s="11" t="n">
        <x:v>997.95</x:v>
      </x:c>
      <x:c r="H2540" s="23" t="n">
        <x:v>0.000049270123489432677</x:v>
      </x:c>
      <x:c r="I2540" s="23" t="n">
        <x:v>0.961284773560776</x:v>
      </x:c>
      <x:c r="J2540" s="2" t="n">
        <x:v>102</x:v>
      </x:c>
      <x:c r="K2540" s="2"/>
      <x:c r="L2540" s="2"/>
    </x:row>
    <x:row r="2541" ht="22" customHeight="1">
      <x:c r="A2541" s="2"/>
      <x:c r="B2541" s="2" t="n">
        <x:v>2508</x:v>
      </x:c>
      <x:c r="C2541" s="2" t="str">
        <x:v>72586</x:v>
      </x:c>
      <x:c r="D2541" s="2" t="str">
        <x:v>SET OF 6 HALLOWEEN GHOST T-LIGHTS</x:v>
      </x:c>
      <x:c r="E2541" s="11" t="n">
        <x:v>1010.9399999999999</x:v>
      </x:c>
      <x:c r="F2541" s="11" t="n">
        <x:v>15.12</x:v>
      </x:c>
      <x:c r="G2541" s="11" t="n">
        <x:v>995.82</x:v>
      </x:c>
      <x:c r="H2541" s="23" t="n">
        <x:v>0.000049233111238911794</x:v>
      </x:c>
      <x:c r="I2541" s="23" t="n">
        <x:v>0.961334006672015</x:v>
      </x:c>
      <x:c r="J2541" s="2" t="n">
        <x:v>183</x:v>
      </x:c>
      <x:c r="K2541" s="2"/>
      <x:c r="L2541" s="2"/>
    </x:row>
    <x:row r="2542" ht="22" customHeight="1">
      <x:c r="A2542" s="2"/>
      <x:c r="B2542" s="2" t="n">
        <x:v>2509</x:v>
      </x:c>
      <x:c r="C2542" s="2" t="str">
        <x:v>23107</x:v>
      </x:c>
      <x:c r="D2542" s="2" t="str">
        <x:v>WHITE HEARTS WIRE PLANT POT HOLDER</x:v>
      </x:c>
      <x:c r="E2542" s="11" t="n">
        <x:v>1009.51</x:v>
      </x:c>
      <x:c r="F2542" s="11" t="n">
        <x:v>0</x:v>
      </x:c>
      <x:c r="G2542" s="11" t="n">
        <x:v>1009.51</x:v>
      </x:c>
      <x:c r="H2542" s="23" t="n">
        <x:v>0.000049163469767536994</x:v>
      </x:c>
      <x:c r="I2542" s="23" t="n">
        <x:v>0.9613831701417825</x:v>
      </x:c>
      <x:c r="J2542" s="2" t="n">
        <x:v>73</x:v>
      </x:c>
      <x:c r="K2542" s="2"/>
      <x:c r="L2542" s="2"/>
    </x:row>
    <x:row r="2543" ht="22" customHeight="1">
      <x:c r="A2543" s="2"/>
      <x:c r="B2543" s="2" t="n">
        <x:v>2510</x:v>
      </x:c>
      <x:c r="C2543" s="2" t="str">
        <x:v>21084</x:v>
      </x:c>
      <x:c r="D2543" s="2" t="str">
        <x:v>SET/6 COLLAGE PAPER CUPS</x:v>
      </x:c>
      <x:c r="E2543" s="11" t="n">
        <x:v>1008.8100000000001</x:v>
      </x:c>
      <x:c r="F2543" s="11" t="n">
        <x:v>4.5600000000000005</x:v>
      </x:c>
      <x:c r="G2543" s="11" t="n">
        <x:v>1004.25</x:v>
      </x:c>
      <x:c r="H2543" s="23" t="n">
        <x:v>0.000049129379536794086</x:v>
      </x:c>
      <x:c r="I2543" s="23" t="n">
        <x:v>0.9614322995213194</x:v>
      </x:c>
      <x:c r="J2543" s="2" t="n">
        <x:v>223</x:v>
      </x:c>
      <x:c r="K2543" s="2"/>
      <x:c r="L2543" s="2"/>
    </x:row>
    <x:row r="2544" ht="22" customHeight="1">
      <x:c r="A2544" s="2"/>
      <x:c r="B2544" s="2" t="n">
        <x:v>2511</x:v>
      </x:c>
      <x:c r="C2544" s="2" t="str">
        <x:v>84905</x:v>
      </x:c>
      <x:c r="D2544" s="2" t="str">
        <x:v>PINK BUTTERFLY CUSHION COVER </x:v>
      </x:c>
      <x:c r="E2544" s="11" t="n">
        <x:v>1007.91</x:v>
      </x:c>
      <x:c r="F2544" s="11" t="n">
        <x:v>0</x:v>
      </x:c>
      <x:c r="G2544" s="11" t="n">
        <x:v>1007.91</x:v>
      </x:c>
      <x:c r="H2544" s="23" t="n">
        <x:v>0.00004908554924012463</x:v>
      </x:c>
      <x:c r="I2544" s="23" t="n">
        <x:v>0.9614813850705595</x:v>
      </x:c>
      <x:c r="J2544" s="2" t="n">
        <x:v>105</x:v>
      </x:c>
      <x:c r="K2544" s="2"/>
      <x:c r="L2544" s="2"/>
    </x:row>
    <x:row r="2545" ht="22" customHeight="1">
      <x:c r="A2545" s="2"/>
      <x:c r="B2545" s="2" t="n">
        <x:v>2512</x:v>
      </x:c>
      <x:c r="C2545" s="2" t="str">
        <x:v>21836</x:v>
      </x:c>
      <x:c r="D2545" s="2" t="str">
        <x:v>GINGHAM OVEN GLOVE RED HEART </x:v>
      </x:c>
      <x:c r="E2545" s="11" t="n">
        <x:v>1007.64</x:v>
      </x:c>
      <x:c r="F2545" s="11" t="n">
        <x:v>15</x:v>
      </x:c>
      <x:c r="G2545" s="11" t="n">
        <x:v>992.64</x:v>
      </x:c>
      <x:c r="H2545" s="23" t="n">
        <x:v>0.00004907240015112379</x:v>
      </x:c>
      <x:c r="I2545" s="23" t="n">
        <x:v>0.9615304574707106</x:v>
      </x:c>
      <x:c r="J2545" s="2" t="n">
        <x:v>100</x:v>
      </x:c>
      <x:c r="K2545" s="2"/>
      <x:c r="L2545" s="2"/>
    </x:row>
    <x:row r="2546" ht="22" customHeight="1">
      <x:c r="A2546" s="2"/>
      <x:c r="B2546" s="2" t="n">
        <x:v>2513</x:v>
      </x:c>
      <x:c r="C2546" s="2" t="str">
        <x:v>23460</x:v>
      </x:c>
      <x:c r="D2546" s="2" t="str">
        <x:v>SWEETHEART WALL TIDY </x:v>
      </x:c>
      <x:c r="E2546" s="11" t="n">
        <x:v>1007.0799999999999</x:v>
      </x:c>
      <x:c r="F2546" s="11" t="n">
        <x:v>49.75</x:v>
      </x:c>
      <x:c r="G2546" s="11" t="n">
        <x:v>957.3299999999999</x:v>
      </x:c>
      <x:c r="H2546" s="23" t="n">
        <x:v>0.00004904512796652946</x:v>
      </x:c>
      <x:c r="I2546" s="23" t="n">
        <x:v>0.9615795025986772</x:v>
      </x:c>
      <x:c r="J2546" s="2" t="n">
        <x:v>43</x:v>
      </x:c>
      <x:c r="K2546" s="2"/>
      <x:c r="L2546" s="2"/>
    </x:row>
    <x:row r="2547" ht="22" customHeight="1">
      <x:c r="A2547" s="2"/>
      <x:c r="B2547" s="2" t="n">
        <x:v>2514</x:v>
      </x:c>
      <x:c r="C2547" s="2" t="str">
        <x:v>20782</x:v>
      </x:c>
      <x:c r="D2547" s="2" t="str">
        <x:v>CAMOUFLAGE EAR MUFF HEADPHONES</x:v>
      </x:c>
      <x:c r="E2547" s="11" t="n">
        <x:v>1006.4599999999999</x:v>
      </x:c>
      <x:c r="F2547" s="11" t="n">
        <x:v>38.43</x:v>
      </x:c>
      <x:c r="G2547" s="11" t="n">
        <x:v>968.03</x:v>
      </x:c>
      <x:c r="H2547" s="23" t="n">
        <x:v>0.000049014933762157164</x:v>
      </x:c>
      <x:c r="I2547" s="23" t="n">
        <x:v>0.9616285175324394</x:v>
      </x:c>
      <x:c r="J2547" s="2" t="n">
        <x:v>87</x:v>
      </x:c>
      <x:c r="K2547" s="2"/>
      <x:c r="L2547" s="2"/>
    </x:row>
    <x:row r="2548" ht="22" customHeight="1">
      <x:c r="A2548" s="2"/>
      <x:c r="B2548" s="2" t="n">
        <x:v>2515</x:v>
      </x:c>
      <x:c r="C2548" s="2" t="str">
        <x:v>47310M</x:v>
      </x:c>
      <x:c r="D2548" s="2" t="str">
        <x:v>SMALL POP BOX FUNKY MONKEY</x:v>
      </x:c>
      <x:c r="E2548" s="11" t="n">
        <x:v>1004.94</x:v>
      </x:c>
      <x:c r="F2548" s="11" t="n">
        <x:v>0</x:v>
      </x:c>
      <x:c r="G2548" s="11" t="n">
        <x:v>1004.94</x:v>
      </x:c>
      <x:c r="H2548" s="23" t="n">
        <x:v>0.000048940909261115425</x:v>
      </x:c>
      <x:c r="I2548" s="23" t="n">
        <x:v>0.9616774584417005</x:v>
      </x:c>
      <x:c r="J2548" s="2" t="n">
        <x:v>172</x:v>
      </x:c>
      <x:c r="K2548" s="2"/>
      <x:c r="L2548" s="2"/>
    </x:row>
    <x:row r="2549" ht="22" customHeight="1">
      <x:c r="A2549" s="2"/>
      <x:c r="B2549" s="2" t="n">
        <x:v>2516</x:v>
      </x:c>
      <x:c r="C2549" s="2" t="str">
        <x:v>21127</x:v>
      </x:c>
      <x:c r="D2549" s="2" t="str">
        <x:v>COLOURFUL FISHING GNOME</x:v>
      </x:c>
      <x:c r="E2549" s="11" t="n">
        <x:v>1003.98</x:v>
      </x:c>
      <x:c r="F2549" s="11" t="n">
        <x:v>5.95</x:v>
      </x:c>
      <x:c r="G2549" s="11" t="n">
        <x:v>998.0300000000001</x:v>
      </x:c>
      <x:c r="H2549" s="23" t="n">
        <x:v>0.000048894156944668</x:v>
      </x:c>
      <x:c r="I2549" s="23" t="n">
        <x:v>0.9617263525986451</x:v>
      </x:c>
      <x:c r="J2549" s="2" t="n">
        <x:v>48</x:v>
      </x:c>
      <x:c r="K2549" s="2"/>
      <x:c r="L2549" s="2"/>
    </x:row>
    <x:row r="2550" ht="22" customHeight="1">
      <x:c r="A2550" s="2"/>
      <x:c r="B2550" s="2" t="n">
        <x:v>2517</x:v>
      </x:c>
      <x:c r="C2550" s="2" t="str">
        <x:v>23121</x:v>
      </x:c>
      <x:c r="D2550" s="2" t="str">
        <x:v>PACK OF 6 COCKTAIL PARASOL STRAWS</x:v>
      </x:c>
      <x:c r="E2550" s="11" t="n">
        <x:v>1002.54</x:v>
      </x:c>
      <x:c r="F2550" s="11" t="n">
        <x:v>0</x:v>
      </x:c>
      <x:c r="G2550" s="11" t="n">
        <x:v>1002.54</x:v>
      </x:c>
      <x:c r="H2550" s="23" t="n">
        <x:v>0.000048824028469996867</x:v>
      </x:c>
      <x:c r="I2550" s="23" t="n">
        <x:v>0.9617751766271151</x:v>
      </x:c>
      <x:c r="J2550" s="2" t="n">
        <x:v>111</x:v>
      </x:c>
      <x:c r="K2550" s="2"/>
      <x:c r="L2550" s="2"/>
    </x:row>
    <x:row r="2551" ht="22" customHeight="1">
      <x:c r="A2551" s="2"/>
      <x:c r="B2551" s="2" t="n">
        <x:v>2518</x:v>
      </x:c>
      <x:c r="C2551" s="2" t="str">
        <x:v>23281</x:v>
      </x:c>
      <x:c r="D2551" s="2" t="str">
        <x:v>FOLDING BUTTERFLY MIRROR RED  </x:v>
      </x:c>
      <x:c r="E2551" s="11" t="n">
        <x:v>1000.82</x:v>
      </x:c>
      <x:c r="F2551" s="11" t="n">
        <x:v>0</x:v>
      </x:c>
      <x:c r="G2551" s="11" t="n">
        <x:v>1000.82</x:v>
      </x:c>
      <x:c r="H2551" s="23" t="n">
        <x:v>0.00004874026390302858</x:v>
      </x:c>
      <x:c r="I2551" s="23" t="n">
        <x:v>0.9618239168910181</x:v>
      </x:c>
      <x:c r="J2551" s="2" t="n">
        <x:v>101</x:v>
      </x:c>
      <x:c r="K2551" s="2"/>
      <x:c r="L2551" s="2"/>
    </x:row>
    <x:row r="2552" ht="22" customHeight="1">
      <x:c r="A2552" s="2"/>
      <x:c r="B2552" s="2" t="n">
        <x:v>2519</x:v>
      </x:c>
      <x:c r="C2552" s="2" t="str">
        <x:v>84907</x:v>
      </x:c>
      <x:c r="D2552" s="2" t="str">
        <x:v>PINK YELLOW PATCH CUSHION COVER</x:v>
      </x:c>
      <x:c r="E2552" s="11" t="n">
        <x:v>999.17</x:v>
      </x:c>
      <x:c r="F2552" s="11" t="n">
        <x:v>45.900000000000006</x:v>
      </x:c>
      <x:c r="G2552" s="11" t="n">
        <x:v>953.27</x:v>
      </x:c>
      <x:c r="H2552" s="23" t="n">
        <x:v>0.00004865990835913457</x:v>
      </x:c>
      <x:c r="I2552" s="23" t="n">
        <x:v>0.9618725767993772</x:v>
      </x:c>
      <x:c r="J2552" s="2" t="n">
        <x:v>36</x:v>
      </x:c>
      <x:c r="K2552" s="2"/>
      <x:c r="L2552" s="2"/>
    </x:row>
    <x:row r="2553" ht="22" customHeight="1">
      <x:c r="A2553" s="2"/>
      <x:c r="B2553" s="2" t="n">
        <x:v>2520</x:v>
      </x:c>
      <x:c r="C2553" s="2" t="str">
        <x:v>21427</x:v>
      </x:c>
      <x:c r="D2553" s="2" t="str">
        <x:v>SKULLS STORAGE BOX SMALL</x:v>
      </x:c>
      <x:c r="E2553" s="11" t="n">
        <x:v>999.0600000000001</x:v>
      </x:c>
      <x:c r="F2553" s="11" t="n">
        <x:v>33.6</x:v>
      </x:c>
      <x:c r="G2553" s="11" t="n">
        <x:v>965.46</x:v>
      </x:c>
      <x:c r="H2553" s="23" t="n">
        <x:v>0.00004865455132287497</x:v>
      </x:c>
      <x:c r="I2553" s="23" t="n">
        <x:v>0.9619212313507001</x:v>
      </x:c>
      <x:c r="J2553" s="2" t="n">
        <x:v>119</x:v>
      </x:c>
      <x:c r="K2553" s="2"/>
      <x:c r="L2553" s="2"/>
    </x:row>
    <x:row r="2554" ht="22" customHeight="1">
      <x:c r="A2554" s="2"/>
      <x:c r="B2554" s="2" t="n">
        <x:v>2521</x:v>
      </x:c>
      <x:c r="C2554" s="2" t="str">
        <x:v>23533</x:v>
      </x:c>
      <x:c r="D2554" s="2" t="str">
        <x:v>WALL ART GARDEN HAVEN </x:v>
      </x:c>
      <x:c r="E2554" s="11" t="n">
        <x:v>998.64</x:v>
      </x:c>
      <x:c r="F2554" s="11" t="n">
        <x:v>0</x:v>
      </x:c>
      <x:c r="G2554" s="11" t="n">
        <x:v>998.64</x:v>
      </x:c>
      <x:c r="H2554" s="23" t="n">
        <x:v>0.00004863409718442922</x:v>
      </x:c>
      <x:c r="I2554" s="23" t="n">
        <x:v>0.9619698654478845</x:v>
      </x:c>
      <x:c r="J2554" s="2" t="n">
        <x:v>36</x:v>
      </x:c>
      <x:c r="K2554" s="2"/>
      <x:c r="L2554" s="2"/>
    </x:row>
    <x:row r="2555" ht="22" customHeight="1">
      <x:c r="A2555" s="2"/>
      <x:c r="B2555" s="2" t="n">
        <x:v>2522</x:v>
      </x:c>
      <x:c r="C2555" s="2" t="str">
        <x:v>21250</x:v>
      </x:c>
      <x:c r="D2555" s="2" t="str">
        <x:v>SET OF SKULL WALL STICKERS</x:v>
      </x:c>
      <x:c r="E2555" s="11" t="n">
        <x:v>997.5500000000001</x:v>
      </x:c>
      <x:c r="F2555" s="11" t="n">
        <x:v>0</x:v>
      </x:c>
      <x:c r="G2555" s="11" t="n">
        <x:v>997.5500000000001</x:v>
      </x:c>
      <x:c r="H2555" s="23" t="n">
        <x:v>0.00004858101382512955</x:v>
      </x:c>
      <x:c r="I2555" s="23" t="n">
        <x:v>0.9620184464617096</x:v>
      </x:c>
      <x:c r="J2555" s="2" t="n">
        <x:v>60</x:v>
      </x:c>
      <x:c r="K2555" s="2"/>
      <x:c r="L2555" s="2"/>
    </x:row>
    <x:row r="2556" ht="22" customHeight="1">
      <x:c r="A2556" s="2"/>
      <x:c r="B2556" s="2" t="n">
        <x:v>2523</x:v>
      </x:c>
      <x:c r="C2556" s="2" t="str">
        <x:v>23517</x:v>
      </x:c>
      <x:c r="D2556" s="2" t="str">
        <x:v>EMBROIDERED RIBBON REEL REBECCA </x:v>
      </x:c>
      <x:c r="E2556" s="11" t="n">
        <x:v>996.38</x:v>
      </x:c>
      <x:c r="F2556" s="11" t="n">
        <x:v>0</x:v>
      </x:c>
      <x:c r="G2556" s="11" t="n">
        <x:v>996.38</x:v>
      </x:c>
      <x:c r="H2556" s="23" t="n">
        <x:v>0.00004852403443945925</x:v>
      </x:c>
      <x:c r="I2556" s="23" t="n">
        <x:v>0.9620669704961491</x:v>
      </x:c>
      <x:c r="J2556" s="2" t="n">
        <x:v>63</x:v>
      </x:c>
      <x:c r="K2556" s="2"/>
      <x:c r="L2556" s="2"/>
    </x:row>
    <x:row r="2557" ht="22" customHeight="1">
      <x:c r="A2557" s="2"/>
      <x:c r="B2557" s="2" t="n">
        <x:v>2524</x:v>
      </x:c>
      <x:c r="C2557" s="2" t="str">
        <x:v>20705</x:v>
      </x:c>
      <x:c r="D2557" s="2" t="str">
        <x:v>MRS ROBOT SOFT TOY</x:v>
      </x:c>
      <x:c r="E2557" s="11" t="n">
        <x:v>996.19</x:v>
      </x:c>
      <x:c r="F2557" s="11" t="n">
        <x:v>1.95</x:v>
      </x:c>
      <x:c r="G2557" s="11" t="n">
        <x:v>994.24</x:v>
      </x:c>
      <x:c r="H2557" s="23" t="n">
        <x:v>0.00004851478137682904</x:v>
      </x:c>
      <x:c r="I2557" s="23" t="n">
        <x:v>0.9621154852775259</x:v>
      </x:c>
      <x:c r="J2557" s="2" t="n">
        <x:v>53</x:v>
      </x:c>
      <x:c r="K2557" s="2"/>
      <x:c r="L2557" s="2"/>
    </x:row>
    <x:row r="2558" ht="22" customHeight="1">
      <x:c r="A2558" s="2"/>
      <x:c r="B2558" s="2" t="n">
        <x:v>2525</x:v>
      </x:c>
      <x:c r="C2558" s="2" t="str">
        <x:v>84918</x:v>
      </x:c>
      <x:c r="D2558" s="2" t="str">
        <x:v>CREAM CUSHION COVER WITH FLOWERS</x:v>
      </x:c>
      <x:c r="E2558" s="11" t="n">
        <x:v>995.12</x:v>
      </x:c>
      <x:c r="F2558" s="11" t="n">
        <x:v>13.9</x:v>
      </x:c>
      <x:c r="G2558" s="11" t="n">
        <x:v>981.22</x:v>
      </x:c>
      <x:c r="H2558" s="23" t="n">
        <x:v>0.00004846267202412202</x:v>
      </x:c>
      <x:c r="I2558" s="23" t="n">
        <x:v>0.96216394794955</x:v>
      </x:c>
      <x:c r="J2558" s="2" t="n">
        <x:v>63</x:v>
      </x:c>
      <x:c r="K2558" s="2"/>
      <x:c r="L2558" s="2"/>
    </x:row>
    <x:row r="2559" ht="22" customHeight="1">
      <x:c r="A2559" s="2"/>
      <x:c r="B2559" s="2" t="n">
        <x:v>2526</x:v>
      </x:c>
      <x:c r="C2559" s="2" t="str">
        <x:v>85170C</x:v>
      </x:c>
      <x:c r="D2559" s="2" t="str">
        <x:v>SET/6 EAU DE NIL BIRD T-LIGHTS</x:v>
      </x:c>
      <x:c r="E2559" s="11" t="n">
        <x:v>993.03</x:v>
      </x:c>
      <x:c r="F2559" s="11" t="n">
        <x:v>2.1</x:v>
      </x:c>
      <x:c r="G2559" s="11" t="n">
        <x:v>990.9300000000001</x:v>
      </x:c>
      <x:c r="H2559" s="23" t="n">
        <x:v>0.000048360888335189606</x:v>
      </x:c>
      <x:c r="I2559" s="23" t="n">
        <x:v>0.9622123088378851</x:v>
      </x:c>
      <x:c r="J2559" s="2" t="n">
        <x:v>107</x:v>
      </x:c>
      <x:c r="K2559" s="2"/>
      <x:c r="L2559" s="2"/>
    </x:row>
    <x:row r="2560" ht="22" customHeight="1">
      <x:c r="A2560" s="2"/>
      <x:c r="B2560" s="2" t="n">
        <x:v>2527</x:v>
      </x:c>
      <x:c r="C2560" s="2" t="str">
        <x:v>20617</x:v>
      </x:c>
      <x:c r="D2560" s="2" t="str">
        <x:v>FIRST CLASS PASSPORT COVER </x:v>
      </x:c>
      <x:c r="E2560" s="11" t="n">
        <x:v>992.99</x:v>
      </x:c>
      <x:c r="F2560" s="11" t="n">
        <x:v>0</x:v>
      </x:c>
      <x:c r="G2560" s="11" t="n">
        <x:v>992.99</x:v>
      </x:c>
      <x:c r="H2560" s="23" t="n">
        <x:v>0.0000483589403220043</x:v>
      </x:c>
      <x:c r="I2560" s="23" t="n">
        <x:v>0.9622606677782071</x:v>
      </x:c>
      <x:c r="J2560" s="2" t="n">
        <x:v>105</x:v>
      </x:c>
      <x:c r="K2560" s="2"/>
      <x:c r="L2560" s="2"/>
    </x:row>
    <x:row r="2561" ht="22" customHeight="1">
      <x:c r="A2561" s="2"/>
      <x:c r="B2561" s="2" t="n">
        <x:v>2528</x:v>
      </x:c>
      <x:c r="C2561" s="2" t="str">
        <x:v>85025B</x:v>
      </x:c>
      <x:c r="D2561" s="2" t="str">
        <x:v>EAU DE NILE HEART SHAPE PHOTO FRAME</x:v>
      </x:c>
      <x:c r="E2561" s="11" t="n">
        <x:v>991.9999999999999</x:v>
      </x:c>
      <x:c r="F2561" s="11" t="n">
        <x:v>6.6</x:v>
      </x:c>
      <x:c r="G2561" s="11" t="n">
        <x:v>985.3999999999999</x:v>
      </x:c>
      <x:c r="H2561" s="23" t="n">
        <x:v>0.00004831072699566789</x:v>
      </x:c>
      <x:c r="I2561" s="23" t="n">
        <x:v>0.9623089785052027</x:v>
      </x:c>
      <x:c r="J2561" s="2" t="n">
        <x:v>95</x:v>
      </x:c>
      <x:c r="K2561" s="2"/>
      <x:c r="L2561" s="2"/>
    </x:row>
    <x:row r="2562" ht="22" customHeight="1">
      <x:c r="A2562" s="2"/>
      <x:c r="B2562" s="2" t="n">
        <x:v>2529</x:v>
      </x:c>
      <x:c r="C2562" s="2" t="str">
        <x:v>72484</x:v>
      </x:c>
      <x:c r="D2562" s="2" t="str">
        <x:v>ROSES IN WHITE HEART CANDLE </x:v>
      </x:c>
      <x:c r="E2562" s="11" t="n">
        <x:v>991.3800000000001</x:v>
      </x:c>
      <x:c r="F2562" s="11" t="n">
        <x:v>0</x:v>
      </x:c>
      <x:c r="G2562" s="11" t="n">
        <x:v>991.3800000000001</x:v>
      </x:c>
      <x:c r="H2562" s="23" t="n">
        <x:v>0.00004828053279129561</x:v>
      </x:c>
      <x:c r="I2562" s="23" t="n">
        <x:v>0.962357259037994</x:v>
      </x:c>
      <x:c r="J2562" s="2" t="n">
        <x:v>64</x:v>
      </x:c>
      <x:c r="K2562" s="2"/>
      <x:c r="L2562" s="2"/>
    </x:row>
    <x:row r="2563" ht="22" customHeight="1">
      <x:c r="A2563" s="2"/>
      <x:c r="B2563" s="2" t="n">
        <x:v>2530</x:v>
      </x:c>
      <x:c r="C2563" s="2" t="str">
        <x:v>21721</x:v>
      </x:c>
      <x:c r="D2563" s="2" t="str">
        <x:v>CANDY SHOP  STICKER SHEET</x:v>
      </x:c>
      <x:c r="E2563" s="11" t="n">
        <x:v>991.3499999999999</x:v>
      </x:c>
      <x:c r="F2563" s="11" t="n">
        <x:v>1.7</x:v>
      </x:c>
      <x:c r="G2563" s="11" t="n">
        <x:v>989.65</x:v>
      </x:c>
      <x:c r="H2563" s="23" t="n">
        <x:v>0.00004827907178140662</x:v>
      </x:c>
      <x:c r="I2563" s="23" t="n">
        <x:v>0.9624055381097754</x:v>
      </x:c>
      <x:c r="J2563" s="2" t="n">
        <x:v>144</x:v>
      </x:c>
      <x:c r="K2563" s="2"/>
      <x:c r="L2563" s="2"/>
    </x:row>
    <x:row r="2564" ht="22" customHeight="1">
      <x:c r="A2564" s="2"/>
      <x:c r="B2564" s="2" t="n">
        <x:v>2531</x:v>
      </x:c>
      <x:c r="C2564" s="2" t="str">
        <x:v>84964B</x:v>
      </x:c>
      <x:c r="D2564" s="2" t="str">
        <x:v>BLUE PAINTED KASHMIRI TABLE </x:v>
      </x:c>
      <x:c r="E2564" s="11" t="n">
        <x:v>990</x:v>
      </x:c>
      <x:c r="F2564" s="11" t="n">
        <x:v>0</x:v>
      </x:c>
      <x:c r="G2564" s="11" t="n">
        <x:v>990</x:v>
      </x:c>
      <x:c r="H2564" s="23" t="n">
        <x:v>0.00004821332633640244</x:v>
      </x:c>
      <x:c r="I2564" s="23" t="n">
        <x:v>0.9624537514361118</x:v>
      </x:c>
      <x:c r="J2564" s="2" t="n">
        <x:v>2</x:v>
      </x:c>
      <x:c r="K2564" s="2"/>
      <x:c r="L2564" s="2"/>
    </x:row>
    <x:row r="2565" ht="22" customHeight="1">
      <x:c r="A2565" s="2"/>
      <x:c r="B2565" s="2" t="n">
        <x:v>2532</x:v>
      </x:c>
      <x:c r="C2565" s="2" t="str">
        <x:v>21335</x:v>
      </x:c>
      <x:c r="D2565" s="2" t="str">
        <x:v>LIBRARY LAMP</x:v>
      </x:c>
      <x:c r="E2565" s="11" t="n">
        <x:v>989.62</x:v>
      </x:c>
      <x:c r="F2565" s="11" t="n">
        <x:v>84.8</x:v>
      </x:c>
      <x:c r="G2565" s="11" t="n">
        <x:v>904.8199999999999</x:v>
      </x:c>
      <x:c r="H2565" s="23" t="n">
        <x:v>0.000048194820211142</x:v>
      </x:c>
      <x:c r="I2565" s="23" t="n">
        <x:v>0.9625019462563229</x:v>
      </x:c>
      <x:c r="J2565" s="2" t="n">
        <x:v>28</x:v>
      </x:c>
      <x:c r="K2565" s="2"/>
      <x:c r="L2565" s="2"/>
    </x:row>
    <x:row r="2566" ht="22" customHeight="1">
      <x:c r="A2566" s="2"/>
      <x:c r="B2566" s="2" t="n">
        <x:v>2533</x:v>
      </x:c>
      <x:c r="C2566" s="2" t="str">
        <x:v>84660C</x:v>
      </x:c>
      <x:c r="D2566" s="2" t="str">
        <x:v>PINK STITCHED WALL CLOCK</x:v>
      </x:c>
      <x:c r="E2566" s="11" t="n">
        <x:v>987.98</x:v>
      </x:c>
      <x:c r="F2566" s="11" t="n">
        <x:v>0</x:v>
      </x:c>
      <x:c r="G2566" s="11" t="n">
        <x:v>987.98</x:v>
      </x:c>
      <x:c r="H2566" s="23" t="n">
        <x:v>0.000048114951670544324</x:v>
      </x:c>
      <x:c r="I2566" s="23" t="n">
        <x:v>0.9625500612079935</x:v>
      </x:c>
      <x:c r="J2566" s="2" t="n">
        <x:v>85</x:v>
      </x:c>
      <x:c r="K2566" s="2"/>
      <x:c r="L2566" s="2"/>
    </x:row>
    <x:row r="2567" ht="22" customHeight="1">
      <x:c r="A2567" s="2"/>
      <x:c r="B2567" s="2" t="n">
        <x:v>2534</x:v>
      </x:c>
      <x:c r="C2567" s="2" t="str">
        <x:v>82613B</x:v>
      </x:c>
      <x:c r="D2567" s="2" t="str">
        <x:v>METAL SIGN,CUPCAKE SINGLE HOOK</x:v>
      </x:c>
      <x:c r="E2567" s="11" t="n">
        <x:v>986.8199999999999</x:v>
      </x:c>
      <x:c r="F2567" s="11" t="n">
        <x:v>9.65</x:v>
      </x:c>
      <x:c r="G2567" s="11" t="n">
        <x:v>977.17</x:v>
      </x:c>
      <x:c r="H2567" s="23" t="n">
        <x:v>0.000048058459288170355</x:v>
      </x:c>
      <x:c r="I2567" s="23" t="n">
        <x:v>0.9625981196672816</x:v>
      </x:c>
      <x:c r="J2567" s="2" t="n">
        <x:v>223</x:v>
      </x:c>
      <x:c r="K2567" s="2"/>
      <x:c r="L2567" s="2"/>
    </x:row>
    <x:row r="2568" ht="22" customHeight="1">
      <x:c r="A2568" s="2"/>
      <x:c r="B2568" s="2" t="n">
        <x:v>2535</x:v>
      </x:c>
      <x:c r="C2568" s="2" t="str">
        <x:v>35958</x:v>
      </x:c>
      <x:c r="D2568" s="2" t="str">
        <x:v>FOLKART ZINC STAR CHRISTMAS DEC</x:v>
      </x:c>
      <x:c r="E2568" s="11" t="n">
        <x:v>986.3299999999999</x:v>
      </x:c>
      <x:c r="F2568" s="11" t="n">
        <x:v>0</x:v>
      </x:c>
      <x:c r="G2568" s="11" t="n">
        <x:v>986.3299999999999</x:v>
      </x:c>
      <x:c r="H2568" s="23" t="n">
        <x:v>0.000048034596126650316</x:v>
      </x:c>
      <x:c r="I2568" s="23" t="n">
        <x:v>0.9626461542634083</x:v>
      </x:c>
      <x:c r="J2568" s="2" t="n">
        <x:v>82</x:v>
      </x:c>
      <x:c r="K2568" s="2"/>
      <x:c r="L2568" s="2"/>
    </x:row>
    <x:row r="2569" ht="22" customHeight="1">
      <x:c r="A2569" s="2"/>
      <x:c r="B2569" s="2" t="n">
        <x:v>2536</x:v>
      </x:c>
      <x:c r="C2569" s="2" t="str">
        <x:v>21303</x:v>
      </x:c>
      <x:c r="D2569" s="2" t="str">
        <x:v>FILIGREE WALL MIRROR  ANTIQUE WHITE</x:v>
      </x:c>
      <x:c r="E2569" s="11" t="n">
        <x:v>985.54</x:v>
      </x:c>
      <x:c r="F2569" s="11" t="n">
        <x:v>76.44999999999999</x:v>
      </x:c>
      <x:c r="G2569" s="11" t="n">
        <x:v>909.09</x:v>
      </x:c>
      <x:c r="H2569" s="23" t="n">
        <x:v>0.00004799612286624046</x:v>
      </x:c>
      <x:c r="I2569" s="23" t="n">
        <x:v>0.9626941503862745</x:v>
      </x:c>
      <x:c r="J2569" s="2" t="n">
        <x:v>30</x:v>
      </x:c>
      <x:c r="K2569" s="2"/>
      <x:c r="L2569" s="2"/>
    </x:row>
    <x:row r="2570" ht="22" customHeight="1">
      <x:c r="A2570" s="2"/>
      <x:c r="B2570" s="2" t="n">
        <x:v>2537</x:v>
      </x:c>
      <x:c r="C2570" s="2" t="str">
        <x:v>22529</x:v>
      </x:c>
      <x:c r="D2570" s="2" t="str">
        <x:v>MAGIC DRAWING SLATE GO TO THE FAIR </x:v>
      </x:c>
      <x:c r="E2570" s="11" t="n">
        <x:v>984.87</x:v>
      </x:c>
      <x:c r="F2570" s="11" t="n">
        <x:v>0</x:v>
      </x:c>
      <x:c r="G2570" s="11" t="n">
        <x:v>984.87</x:v>
      </x:c>
      <x:c r="H2570" s="23" t="n">
        <x:v>0.00004796349364538653</x:v>
      </x:c>
      <x:c r="I2570" s="23" t="n">
        <x:v>0.9627421138799198</x:v>
      </x:c>
      <x:c r="J2570" s="2" t="n">
        <x:v>155</x:v>
      </x:c>
      <x:c r="K2570" s="2"/>
      <x:c r="L2570" s="2"/>
    </x:row>
    <x:row r="2571" ht="22" customHeight="1">
      <x:c r="A2571" s="2"/>
      <x:c r="B2571" s="2" t="n">
        <x:v>2538</x:v>
      </x:c>
      <x:c r="C2571" s="2" t="str">
        <x:v>71279</x:v>
      </x:c>
      <x:c r="D2571" s="2" t="str">
        <x:v>damages</x:v>
      </x:c>
      <x:c r="E2571" s="11" t="n">
        <x:v>983.9100000000001</x:v>
      </x:c>
      <x:c r="F2571" s="11" t="n">
        <x:v>35.400000000000006</x:v>
      </x:c>
      <x:c r="G2571" s="11" t="n">
        <x:v>948.5100000000001</x:v>
      </x:c>
      <x:c r="H2571" s="23" t="n">
        <x:v>0.00004791674132893912</x:v>
      </x:c>
      <x:c r="I2571" s="23" t="n">
        <x:v>0.9627900306212488</x:v>
      </x:c>
      <x:c r="J2571" s="2" t="n">
        <x:v>78</x:v>
      </x:c>
      <x:c r="K2571" s="2"/>
      <x:c r="L2571" s="2"/>
    </x:row>
    <x:row r="2572" ht="22" customHeight="1">
      <x:c r="A2572" s="2"/>
      <x:c r="B2572" s="2" t="n">
        <x:v>2539</x:v>
      </x:c>
      <x:c r="C2572" s="2" t="str">
        <x:v>23380</x:v>
      </x:c>
      <x:c r="D2572" s="2" t="str">
        <x:v>PACK OF 12 VINTAGE DOILY TISSUES</x:v>
      </x:c>
      <x:c r="E2572" s="11" t="n">
        <x:v>983.5</x:v>
      </x:c>
      <x:c r="F2572" s="11" t="n">
        <x:v>14.04</x:v>
      </x:c>
      <x:c r="G2572" s="11" t="n">
        <x:v>969.46</x:v>
      </x:c>
      <x:c r="H2572" s="23" t="n">
        <x:v>0.000047896774193789694</x:v>
      </x:c>
      <x:c r="I2572" s="23" t="n">
        <x:v>0.9628379273954426</x:v>
      </x:c>
      <x:c r="J2572" s="2" t="n">
        <x:v>121</x:v>
      </x:c>
      <x:c r="K2572" s="2"/>
      <x:c r="L2572" s="2"/>
    </x:row>
    <x:row r="2573" ht="22" customHeight="1">
      <x:c r="A2573" s="2"/>
      <x:c r="B2573" s="2" t="n">
        <x:v>2540</x:v>
      </x:c>
      <x:c r="C2573" s="2" t="str">
        <x:v>82616B</x:v>
      </x:c>
      <x:c r="D2573" s="2" t="str">
        <x:v>FRAPPUCINO SCARF KNITTING KIT</x:v>
      </x:c>
      <x:c r="E2573" s="11" t="n">
        <x:v>983.45</x:v>
      </x:c>
      <x:c r="F2573" s="11" t="n">
        <x:v>14.2</x:v>
      </x:c>
      <x:c r="G2573" s="11" t="n">
        <x:v>969.25</x:v>
      </x:c>
      <x:c r="H2573" s="23" t="n">
        <x:v>0.00004789433917730806</x:v>
      </x:c>
      <x:c r="I2573" s="23" t="n">
        <x:v>0.9628858217346199</x:v>
      </x:c>
      <x:c r="J2573" s="2" t="n">
        <x:v>126</x:v>
      </x:c>
      <x:c r="K2573" s="2"/>
      <x:c r="L2573" s="2"/>
    </x:row>
    <x:row r="2574" ht="22" customHeight="1">
      <x:c r="A2574" s="2"/>
      <x:c r="B2574" s="2" t="n">
        <x:v>2541</x:v>
      </x:c>
      <x:c r="C2574" s="2" t="str">
        <x:v>23518</x:v>
      </x:c>
      <x:c r="D2574" s="2" t="str">
        <x:v>EMBROIDERED RIBBON REEL RACHEL </x:v>
      </x:c>
      <x:c r="E2574" s="11" t="n">
        <x:v>983.3000000000001</x:v>
      </x:c>
      <x:c r="F2574" s="11" t="n">
        <x:v>17.34</x:v>
      </x:c>
      <x:c r="G2574" s="11" t="n">
        <x:v>965.96</x:v>
      </x:c>
      <x:c r="H2574" s="23" t="n">
        <x:v>0.00004788703412786315</x:v>
      </x:c>
      <x:c r="I2574" s="23" t="n">
        <x:v>0.9629337087687477</x:v>
      </x:c>
      <x:c r="J2574" s="2" t="n">
        <x:v>44</x:v>
      </x:c>
      <x:c r="K2574" s="2"/>
      <x:c r="L2574" s="2"/>
    </x:row>
    <x:row r="2575" ht="22" customHeight="1">
      <x:c r="A2575" s="2"/>
      <x:c r="B2575" s="2" t="n">
        <x:v>2542</x:v>
      </x:c>
      <x:c r="C2575" s="2" t="str">
        <x:v>20661</x:v>
      </x:c>
      <x:c r="D2575" s="2" t="str">
        <x:v>BLUE POLKADOT PURSE </x:v>
      </x:c>
      <x:c r="E2575" s="11" t="n">
        <x:v>983.0100000000001</x:v>
      </x:c>
      <x:c r="F2575" s="11" t="n">
        <x:v>210.3</x:v>
      </x:c>
      <x:c r="G2575" s="11" t="n">
        <x:v>772.71</x:v>
      </x:c>
      <x:c r="H2575" s="23" t="n">
        <x:v>0.00004787291103226966</x:v>
      </x:c>
      <x:c r="I2575" s="23" t="n">
        <x:v>0.96298158167978</x:v>
      </x:c>
      <x:c r="J2575" s="2" t="n">
        <x:v>123</x:v>
      </x:c>
      <x:c r="K2575" s="2"/>
      <x:c r="L2575" s="2"/>
    </x:row>
    <x:row r="2576" ht="22" customHeight="1">
      <x:c r="A2576" s="2"/>
      <x:c r="B2576" s="2" t="n">
        <x:v>2543</x:v>
      </x:c>
      <x:c r="C2576" s="2" t="str">
        <x:v>35653</x:v>
      </x:c>
      <x:c r="D2576" s="2" t="str">
        <x:v>VINTAGE BEAD NOTEBOOK</x:v>
      </x:c>
      <x:c r="E2576" s="11" t="n">
        <x:v>982.5300000000001</x:v>
      </x:c>
      <x:c r="F2576" s="11" t="n">
        <x:v>0</x:v>
      </x:c>
      <x:c r="G2576" s="11" t="n">
        <x:v>982.5300000000001</x:v>
      </x:c>
      <x:c r="H2576" s="23" t="n">
        <x:v>0.00004784953487404595</x:v>
      </x:c>
      <x:c r="I2576" s="23" t="n">
        <x:v>0.963029431214654</x:v>
      </x:c>
      <x:c r="J2576" s="2" t="n">
        <x:v>113</x:v>
      </x:c>
      <x:c r="K2576" s="2"/>
      <x:c r="L2576" s="2"/>
    </x:row>
    <x:row r="2577" ht="22" customHeight="1">
      <x:c r="A2577" s="2"/>
      <x:c r="B2577" s="2" t="n">
        <x:v>2544</x:v>
      </x:c>
      <x:c r="C2577" s="2" t="str">
        <x:v>85019B</x:v>
      </x:c>
      <x:c r="D2577" s="2" t="str">
        <x:v>BLOSSOM  IMAGES NOTEBOOK SET</x:v>
      </x:c>
      <x:c r="E2577" s="11" t="n">
        <x:v>982.47</x:v>
      </x:c>
      <x:c r="F2577" s="11" t="n">
        <x:v>30</x:v>
      </x:c>
      <x:c r="G2577" s="11" t="n">
        <x:v>952.47</x:v>
      </x:c>
      <x:c r="H2577" s="23" t="n">
        <x:v>0.00004784661285426799</x:v>
      </x:c>
      <x:c r="I2577" s="23" t="n">
        <x:v>0.9630772778275083</x:v>
      </x:c>
      <x:c r="J2577" s="2" t="n">
        <x:v>47</x:v>
      </x:c>
      <x:c r="K2577" s="2"/>
      <x:c r="L2577" s="2"/>
    </x:row>
    <x:row r="2578" ht="22" customHeight="1">
      <x:c r="A2578" s="2"/>
      <x:c r="B2578" s="2" t="n">
        <x:v>2545</x:v>
      </x:c>
      <x:c r="C2578" s="2" t="str">
        <x:v>21691</x:v>
      </x:c>
      <x:c r="D2578" s="2" t="str">
        <x:v>SILVER VANILLA FLOWER CANDLE POT</x:v>
      </x:c>
      <x:c r="E2578" s="11" t="n">
        <x:v>979.74</x:v>
      </x:c>
      <x:c r="F2578" s="11" t="n">
        <x:v>0</x:v>
      </x:c>
      <x:c r="G2578" s="11" t="n">
        <x:v>979.74</x:v>
      </x:c>
      <x:c r="H2578" s="23" t="n">
        <x:v>0.00004771366095437063</x:v>
      </x:c>
      <x:c r="I2578" s="23" t="n">
        <x:v>0.9631249914884626</x:v>
      </x:c>
      <x:c r="J2578" s="2" t="n">
        <x:v>72</x:v>
      </x:c>
      <x:c r="K2578" s="2"/>
      <x:c r="L2578" s="2"/>
    </x:row>
    <x:row r="2579" ht="22" customHeight="1">
      <x:c r="A2579" s="2"/>
      <x:c r="B2579" s="2" t="n">
        <x:v>2546</x:v>
      </x:c>
      <x:c r="C2579" s="2" t="str">
        <x:v>84030e</x:v>
      </x:c>
      <x:c r="D2579" s="2" t="str">
        <x:v>ENGLISH ROSE HOT WATER BOTTLE</x:v>
      </x:c>
      <x:c r="E2579" s="11" t="n">
        <x:v>979.4000000000001</x:v>
      </x:c>
      <x:c r="F2579" s="11" t="n">
        <x:v>0</x:v>
      </x:c>
      <x:c r="G2579" s="11" t="n">
        <x:v>979.4000000000001</x:v>
      </x:c>
      <x:c r="H2579" s="23" t="n">
        <x:v>0.000047697102842295505</x:v>
      </x:c>
      <x:c r="I2579" s="23" t="n">
        <x:v>0.9631726885913049</x:v>
      </x:c>
      <x:c r="J2579" s="2" t="n">
        <x:v>46</x:v>
      </x:c>
      <x:c r="K2579" s="2"/>
      <x:c r="L2579" s="2"/>
    </x:row>
    <x:row r="2580" ht="22" customHeight="1">
      <x:c r="A2580" s="2"/>
      <x:c r="B2580" s="2" t="n">
        <x:v>2547</x:v>
      </x:c>
      <x:c r="C2580" s="2" t="str">
        <x:v>72814</x:v>
      </x:c>
      <x:c r="D2580" s="2" t="str">
        <x:v>SET OF 3 CHRISTMAS BRIAR CANDLES</x:v>
      </x:c>
      <x:c r="E2580" s="11" t="n">
        <x:v>979.1700000000001</x:v>
      </x:c>
      <x:c r="F2580" s="11" t="n">
        <x:v>7.5</x:v>
      </x:c>
      <x:c r="G2580" s="11" t="n">
        <x:v>971.6700000000001</x:v>
      </x:c>
      <x:c r="H2580" s="23" t="n">
        <x:v>0.00004768590176647998</x:v>
      </x:c>
      <x:c r="I2580" s="23" t="n">
        <x:v>0.9632203744930714</x:v>
      </x:c>
      <x:c r="J2580" s="2" t="n">
        <x:v>54</x:v>
      </x:c>
      <x:c r="K2580" s="2"/>
      <x:c r="L2580" s="2"/>
    </x:row>
    <x:row r="2581" ht="22" customHeight="1">
      <x:c r="A2581" s="2"/>
      <x:c r="B2581" s="2" t="n">
        <x:v>2548</x:v>
      </x:c>
      <x:c r="C2581" s="2" t="str">
        <x:v>22108</x:v>
      </x:c>
      <x:c r="D2581" s="2" t="str">
        <x:v>PING! MICROWAVE PLATE</x:v>
      </x:c>
      <x:c r="E2581" s="11" t="n">
        <x:v>978.74</x:v>
      </x:c>
      <x:c r="F2581" s="11" t="n">
        <x:v>15</x:v>
      </x:c>
      <x:c r="G2581" s="11" t="n">
        <x:v>963.74</x:v>
      </x:c>
      <x:c r="H2581" s="23" t="n">
        <x:v>0.0000476649606247379</x:v>
      </x:c>
      <x:c r="I2581" s="23" t="n">
        <x:v>0.9632680394536961</x:v>
      </x:c>
      <x:c r="J2581" s="2" t="n">
        <x:v>128</x:v>
      </x:c>
      <x:c r="K2581" s="2"/>
      <x:c r="L2581" s="2"/>
    </x:row>
    <x:row r="2582" ht="22" customHeight="1">
      <x:c r="A2582" s="2"/>
      <x:c r="B2582" s="2" t="n">
        <x:v>2549</x:v>
      </x:c>
      <x:c r="C2582" s="2" t="str">
        <x:v>85018D</x:v>
      </x:c>
      <x:c r="D2582" s="2" t="str">
        <x:v>YULETIDE IMAGES S/6 PAPER BOXES</x:v>
      </x:c>
      <x:c r="E2582" s="11" t="n">
        <x:v>977.55</x:v>
      </x:c>
      <x:c r="F2582" s="11" t="n">
        <x:v>38.25</x:v>
      </x:c>
      <x:c r="G2582" s="11" t="n">
        <x:v>939.3</x:v>
      </x:c>
      <x:c r="H2582" s="23" t="n">
        <x:v>0.00004760700723247495</x:v>
      </x:c>
      <x:c r="I2582" s="23" t="n">
        <x:v>0.9633156464609286</x:v>
      </x:c>
      <x:c r="J2582" s="2" t="n">
        <x:v>80</x:v>
      </x:c>
      <x:c r="K2582" s="2"/>
      <x:c r="L2582" s="2"/>
    </x:row>
    <x:row r="2583" ht="22" customHeight="1">
      <x:c r="A2583" s="2"/>
      <x:c r="B2583" s="2" t="n">
        <x:v>2550</x:v>
      </x:c>
      <x:c r="C2583" s="2" t="str">
        <x:v>23514</x:v>
      </x:c>
      <x:c r="D2583" s="2" t="str">
        <x:v>EMBROIDERED RIBBON REEL SALLY </x:v>
      </x:c>
      <x:c r="E2583" s="11" t="n">
        <x:v>977.39</x:v>
      </x:c>
      <x:c r="F2583" s="11" t="n">
        <x:v>12.48</x:v>
      </x:c>
      <x:c r="G2583" s="11" t="n">
        <x:v>964.9100000000001</x:v>
      </x:c>
      <x:c r="H2583" s="23" t="n">
        <x:v>0.000047599215179733714</x:v>
      </x:c>
      <x:c r="I2583" s="23" t="n">
        <x:v>0.9633632456761083</x:v>
      </x:c>
      <x:c r="J2583" s="2" t="n">
        <x:v>74</x:v>
      </x:c>
      <x:c r="K2583" s="2"/>
      <x:c r="L2583" s="2"/>
    </x:row>
    <x:row r="2584" ht="22" customHeight="1">
      <x:c r="A2584" s="2"/>
      <x:c r="B2584" s="2" t="n">
        <x:v>2551</x:v>
      </x:c>
      <x:c r="C2584" s="2" t="str">
        <x:v>23512</x:v>
      </x:c>
      <x:c r="D2584" s="2" t="str">
        <x:v>EMBROIDERED RIBBON REEL ROSIE</x:v>
      </x:c>
      <x:c r="E2584" s="11" t="n">
        <x:v>977.3199999999999</x:v>
      </x:c>
      <x:c r="F2584" s="11" t="n">
        <x:v>0</x:v>
      </x:c>
      <x:c r="G2584" s="11" t="n">
        <x:v>977.3199999999999</x:v>
      </x:c>
      <x:c r="H2584" s="23" t="n">
        <x:v>0.00004759580615665942</x:v>
      </x:c>
      <x:c r="I2584" s="23" t="n">
        <x:v>0.963410841482265</x:v>
      </x:c>
      <x:c r="J2584" s="2" t="n">
        <x:v>57</x:v>
      </x:c>
      <x:c r="K2584" s="2"/>
      <x:c r="L2584" s="2"/>
    </x:row>
    <x:row r="2585" ht="22" customHeight="1">
      <x:c r="A2585" s="2"/>
      <x:c r="B2585" s="2" t="n">
        <x:v>2552</x:v>
      </x:c>
      <x:c r="C2585" s="2" t="str">
        <x:v>20830</x:v>
      </x:c>
      <x:c r="D2585" s="2" t="str">
        <x:v>SILVER PHOTO FRAME</x:v>
      </x:c>
      <x:c r="E2585" s="11" t="n">
        <x:v>977.21</x:v>
      </x:c>
      <x:c r="F2585" s="11" t="n">
        <x:v>27.32</x:v>
      </x:c>
      <x:c r="G2585" s="11" t="n">
        <x:v>949.89</x:v>
      </x:c>
      <x:c r="H2585" s="23" t="n">
        <x:v>0.00004759044912039983</x:v>
      </x:c>
      <x:c r="I2585" s="23" t="n">
        <x:v>0.9634584319313854</x:v>
      </x:c>
      <x:c r="J2585" s="2" t="n">
        <x:v>82</x:v>
      </x:c>
      <x:c r="K2585" s="2"/>
      <x:c r="L2585" s="2"/>
    </x:row>
    <x:row r="2586" ht="22" customHeight="1">
      <x:c r="A2586" s="2"/>
      <x:c r="B2586" s="2" t="n">
        <x:v>2553</x:v>
      </x:c>
      <x:c r="C2586" s="2" t="str">
        <x:v>21208</x:v>
      </x:c>
      <x:c r="D2586" s="2" t="str">
        <x:v>PASTEL COLOUR HONEYCOMB FAN</x:v>
      </x:c>
      <x:c r="E2586" s="11" t="n">
        <x:v>976.91</x:v>
      </x:c>
      <x:c r="F2586" s="11" t="n">
        <x:v>17.64</x:v>
      </x:c>
      <x:c r="G2586" s="11" t="n">
        <x:v>959.27</x:v>
      </x:c>
      <x:c r="H2586" s="23" t="n">
        <x:v>0.00004757583902151</x:v>
      </x:c>
      <x:c r="I2586" s="23" t="n">
        <x:v>0.9635060077704068</x:v>
      </x:c>
      <x:c r="J2586" s="2" t="n">
        <x:v>120</x:v>
      </x:c>
      <x:c r="K2586" s="2"/>
      <x:c r="L2586" s="2"/>
    </x:row>
    <x:row r="2587" ht="22" customHeight="1">
      <x:c r="A2587" s="2"/>
      <x:c r="B2587" s="2" t="n">
        <x:v>2554</x:v>
      </x:c>
      <x:c r="C2587" s="2" t="str">
        <x:v>35599B</x:v>
      </x:c>
      <x:c r="D2587" s="2" t="str">
        <x:v>BLACK CHRISTMAS TREE 120CM</x:v>
      </x:c>
      <x:c r="E2587" s="11" t="n">
        <x:v>974.81</x:v>
      </x:c>
      <x:c r="F2587" s="11" t="n">
        <x:v>0</x:v>
      </x:c>
      <x:c r="G2587" s="11" t="n">
        <x:v>974.81</x:v>
      </x:c>
      <x:c r="H2587" s="23" t="n">
        <x:v>0.00004747356832928127</x:v>
      </x:c>
      <x:c r="I2587" s="23" t="n">
        <x:v>0.9635534813387361</x:v>
      </x:c>
      <x:c r="J2587" s="2" t="n">
        <x:v>51</x:v>
      </x:c>
      <x:c r="K2587" s="2"/>
      <x:c r="L2587" s="2"/>
    </x:row>
    <x:row r="2588" ht="22" customHeight="1">
      <x:c r="A2588" s="2"/>
      <x:c r="B2588" s="2" t="n">
        <x:v>2555</x:v>
      </x:c>
      <x:c r="C2588" s="2" t="str">
        <x:v>84873a</x:v>
      </x:c>
      <x:c r="D2588" s="2" t="str">
        <x:v>FUNKY FLOWER PICNIC BAG FOR 4</x:v>
      </x:c>
      <x:c r="E2588" s="11" t="n">
        <x:v>973.36</x:v>
      </x:c>
      <x:c r="F2588" s="11" t="n">
        <x:v>0</x:v>
      </x:c>
      <x:c r="G2588" s="11" t="n">
        <x:v>973.36</x:v>
      </x:c>
      <x:c r="H2588" s="23" t="n">
        <x:v>0.00004740295285131381</x:v>
      </x:c>
      <x:c r="I2588" s="23" t="n">
        <x:v>0.9636008842915874</x:v>
      </x:c>
      <x:c r="J2588" s="2" t="n">
        <x:v>59</x:v>
      </x:c>
      <x:c r="K2588" s="2"/>
      <x:c r="L2588" s="2"/>
    </x:row>
    <x:row r="2589" ht="22" customHeight="1">
      <x:c r="A2589" s="2"/>
      <x:c r="B2589" s="2" t="n">
        <x:v>2556</x:v>
      </x:c>
      <x:c r="C2589" s="2" t="str">
        <x:v>85189</x:v>
      </x:c>
      <x:c r="D2589" s="2" t="str">
        <x:v>HANGING BUTTERFLY  EGG</x:v>
      </x:c>
      <x:c r="E2589" s="11" t="n">
        <x:v>971.3499999999999</x:v>
      </x:c>
      <x:c r="F2589" s="11" t="n">
        <x:v>30.599999999999998</x:v>
      </x:c>
      <x:c r="G2589" s="11" t="n">
        <x:v>940.75</x:v>
      </x:c>
      <x:c r="H2589" s="23" t="n">
        <x:v>0.00004730506518875202</x:v>
      </x:c>
      <x:c r="I2589" s="23" t="n">
        <x:v>0.9636481893567762</x:v>
      </x:c>
      <x:c r="J2589" s="2" t="n">
        <x:v>68</x:v>
      </x:c>
      <x:c r="K2589" s="2"/>
      <x:c r="L2589" s="2"/>
    </x:row>
    <x:row r="2590" ht="22" customHeight="1">
      <x:c r="A2590" s="2"/>
      <x:c r="B2590" s="2" t="n">
        <x:v>2557</x:v>
      </x:c>
      <x:c r="C2590" s="2" t="str">
        <x:v>22512</x:v>
      </x:c>
      <x:c r="D2590" s="2" t="str">
        <x:v>DOORSTOP RACING CAR DESIGN</x:v>
      </x:c>
      <x:c r="E2590" s="11" t="n">
        <x:v>971.17</x:v>
      </x:c>
      <x:c r="F2590" s="11" t="n">
        <x:v>0</x:v>
      </x:c>
      <x:c r="G2590" s="11" t="n">
        <x:v>971.17</x:v>
      </x:c>
      <x:c r="H2590" s="23" t="n">
        <x:v>0.00004729629912941814</x:v>
      </x:c>
      <x:c r="I2590" s="23" t="n">
        <x:v>0.9636954856559057</x:v>
      </x:c>
      <x:c r="J2590" s="2" t="n">
        <x:v>71</x:v>
      </x:c>
      <x:c r="K2590" s="2"/>
      <x:c r="L2590" s="2"/>
    </x:row>
    <x:row r="2591" ht="22" customHeight="1">
      <x:c r="A2591" s="2"/>
      <x:c r="B2591" s="2" t="n">
        <x:v>2558</x:v>
      </x:c>
      <x:c r="C2591" s="2" t="str">
        <x:v>78124</x:v>
      </x:c>
      <x:c r="D2591" s="2" t="str">
        <x:v>MAGAZINE RACK GEBRA ASSORTED </x:v>
      </x:c>
      <x:c r="E2591" s="11" t="n">
        <x:v>970.86</x:v>
      </x:c>
      <x:c r="F2591" s="11" t="n">
        <x:v>0</x:v>
      </x:c>
      <x:c r="G2591" s="11" t="n">
        <x:v>970.86</x:v>
      </x:c>
      <x:c r="H2591" s="23" t="n">
        <x:v>0.00004728120202723199</x:v>
      </x:c>
      <x:c r="I2591" s="23" t="n">
        <x:v>0.9637427668579329</x:v>
      </x:c>
      <x:c r="J2591" s="2" t="n">
        <x:v>31</x:v>
      </x:c>
      <x:c r="K2591" s="2"/>
      <x:c r="L2591" s="2"/>
    </x:row>
    <x:row r="2592" ht="22" customHeight="1">
      <x:c r="A2592" s="2"/>
      <x:c r="B2592" s="2" t="n">
        <x:v>2559</x:v>
      </x:c>
      <x:c r="C2592" s="2" t="str">
        <x:v>84800L</x:v>
      </x:c>
      <x:c r="D2592" s="2" t="str">
        <x:v>LARGE WHITE/PINK ROSE ART FLOWER</x:v>
      </x:c>
      <x:c r="E2592" s="11" t="n">
        <x:v>970.7900000000001</x:v>
      </x:c>
      <x:c r="F2592" s="11" t="n">
        <x:v>40.56</x:v>
      </x:c>
      <x:c r="G2592" s="11" t="n">
        <x:v>930.23</x:v>
      </x:c>
      <x:c r="H2592" s="23" t="n">
        <x:v>0.0000472777930041577</x:v>
      </x:c>
      <x:c r="I2592" s="23" t="n">
        <x:v>0.9637900446509371</x:v>
      </x:c>
      <x:c r="J2592" s="2" t="n">
        <x:v>38</x:v>
      </x:c>
      <x:c r="K2592" s="2"/>
      <x:c r="L2592" s="2"/>
    </x:row>
    <x:row r="2593" ht="22" customHeight="1">
      <x:c r="A2593" s="2"/>
      <x:c r="B2593" s="2" t="n">
        <x:v>2560</x:v>
      </x:c>
      <x:c r="C2593" s="2" t="str">
        <x:v>21129</x:v>
      </x:c>
      <x:c r="D2593" s="2" t="str">
        <x:v>SILVER FISHING GNOME </x:v>
      </x:c>
      <x:c r="E2593" s="11" t="n">
        <x:v>970.2900000000001</x:v>
      </x:c>
      <x:c r="F2593" s="11" t="n">
        <x:v>20.85</x:v>
      </x:c>
      <x:c r="G2593" s="11" t="n">
        <x:v>949.44</x:v>
      </x:c>
      <x:c r="H2593" s="23" t="n">
        <x:v>0.00004725344283934134</x:v>
      </x:c>
      <x:c r="I2593" s="23" t="n">
        <x:v>0.9638372980937764</x:v>
      </x:c>
      <x:c r="J2593" s="2" t="n">
        <x:v>60</x:v>
      </x:c>
      <x:c r="K2593" s="2"/>
      <x:c r="L2593" s="2"/>
    </x:row>
    <x:row r="2594" ht="22" customHeight="1">
      <x:c r="A2594" s="2"/>
      <x:c r="B2594" s="2" t="n">
        <x:v>2561</x:v>
      </x:c>
      <x:c r="C2594" s="2" t="str">
        <x:v>21562</x:v>
      </x:c>
      <x:c r="D2594" s="2" t="str">
        <x:v>HAWAIIAN GRASS SKIRT </x:v>
      </x:c>
      <x:c r="E2594" s="11" t="n">
        <x:v>970.2800000000001</x:v>
      </x:c>
      <x:c r="F2594" s="11" t="n">
        <x:v>0</x:v>
      </x:c>
      <x:c r="G2594" s="11" t="n">
        <x:v>970.2800000000001</x:v>
      </x:c>
      <x:c r="H2594" s="23" t="n">
        <x:v>0.00004725295583604501</x:v>
      </x:c>
      <x:c r="I2594" s="23" t="n">
        <x:v>0.9638845510496125</x:v>
      </x:c>
      <x:c r="J2594" s="2" t="n">
        <x:v>73</x:v>
      </x:c>
      <x:c r="K2594" s="2"/>
      <x:c r="L2594" s="2"/>
    </x:row>
    <x:row r="2595" ht="22" customHeight="1">
      <x:c r="A2595" s="2"/>
      <x:c r="B2595" s="2" t="n">
        <x:v>2562</x:v>
      </x:c>
      <x:c r="C2595" s="2" t="str">
        <x:v>22104</x:v>
      </x:c>
      <x:c r="D2595" s="2" t="str">
        <x:v>MIRROR MOSAIC CANDLE PLATE</x:v>
      </x:c>
      <x:c r="E2595" s="11" t="n">
        <x:v>968.0799999999999</x:v>
      </x:c>
      <x:c r="F2595" s="11" t="n">
        <x:v>0</x:v>
      </x:c>
      <x:c r="G2595" s="11" t="n">
        <x:v>968.0799999999999</x:v>
      </x:c>
      <x:c r="H2595" s="23" t="n">
        <x:v>0.000047145815110853</x:v>
      </x:c>
      <x:c r="I2595" s="23" t="n">
        <x:v>0.9639316968647234</x:v>
      </x:c>
      <x:c r="J2595" s="2" t="n">
        <x:v>99</x:v>
      </x:c>
      <x:c r="K2595" s="2"/>
      <x:c r="L2595" s="2"/>
    </x:row>
    <x:row r="2596" ht="22" customHeight="1">
      <x:c r="A2596" s="2"/>
      <x:c r="B2596" s="2" t="n">
        <x:v>2563</x:v>
      </x:c>
      <x:c r="C2596" s="2" t="str">
        <x:v>85197</x:v>
      </x:c>
      <x:c r="D2596" s="2" t="str">
        <x:v>SET OF 12 MINI BUNNIES IN A BUCKET</x:v>
      </x:c>
      <x:c r="E2596" s="11" t="n">
        <x:v>967.86</x:v>
      </x:c>
      <x:c r="F2596" s="11" t="n">
        <x:v>0</x:v>
      </x:c>
      <x:c r="G2596" s="11" t="n">
        <x:v>967.86</x:v>
      </x:c>
      <x:c r="H2596" s="23" t="n">
        <x:v>0.0000471351010383338</x:v>
      </x:c>
      <x:c r="I2596" s="23" t="n">
        <x:v>0.9639788319657617</x:v>
      </x:c>
      <x:c r="J2596" s="2" t="n">
        <x:v>74</x:v>
      </x:c>
      <x:c r="K2596" s="2"/>
      <x:c r="L2596" s="2"/>
    </x:row>
    <x:row r="2597" ht="22" customHeight="1">
      <x:c r="A2597" s="2"/>
      <x:c r="B2597" s="2" t="n">
        <x:v>2564</x:v>
      </x:c>
      <x:c r="C2597" s="2" t="str">
        <x:v>23183</x:v>
      </x:c>
      <x:c r="D2597" s="2" t="str">
        <x:v>MOTHER'S KITCHEN SPOON REST </x:v>
      </x:c>
      <x:c r="E2597" s="11" t="n">
        <x:v>967.17</x:v>
      </x:c>
      <x:c r="F2597" s="11" t="n">
        <x:v>30</x:v>
      </x:c>
      <x:c r="G2597" s="11" t="n">
        <x:v>937.17</x:v>
      </x:c>
      <x:c r="H2597" s="23" t="n">
        <x:v>0.000047101497810887214</x:v>
      </x:c>
      <x:c r="I2597" s="23" t="n">
        <x:v>0.9640259334635726</x:v>
      </x:c>
      <x:c r="J2597" s="2" t="n">
        <x:v>84</x:v>
      </x:c>
      <x:c r="K2597" s="2"/>
      <x:c r="L2597" s="2"/>
    </x:row>
    <x:row r="2598" ht="22" customHeight="1">
      <x:c r="A2598" s="2"/>
      <x:c r="B2598" s="2" t="n">
        <x:v>2565</x:v>
      </x:c>
      <x:c r="C2598" s="2" t="str">
        <x:v>21299</x:v>
      </x:c>
      <x:c r="D2598" s="2" t="str">
        <x:v>EDWARDIAN TOILET ROLL UNIT </x:v>
      </x:c>
      <x:c r="E2598" s="11" t="n">
        <x:v>966.35</x:v>
      </x:c>
      <x:c r="F2598" s="11" t="n">
        <x:v>33.4</x:v>
      </x:c>
      <x:c r="G2598" s="11" t="n">
        <x:v>932.95</x:v>
      </x:c>
      <x:c r="H2598" s="23" t="n">
        <x:v>0.00004706156354058838</x:v>
      </x:c>
      <x:c r="I2598" s="23" t="n">
        <x:v>0.9640729950271132</x:v>
      </x:c>
      <x:c r="J2598" s="2" t="n">
        <x:v>34</x:v>
      </x:c>
      <x:c r="K2598" s="2"/>
      <x:c r="L2598" s="2"/>
    </x:row>
    <x:row r="2599" ht="22" customHeight="1">
      <x:c r="A2599" s="2"/>
      <x:c r="B2599" s="2" t="n">
        <x:v>2566</x:v>
      </x:c>
      <x:c r="C2599" s="2" t="str">
        <x:v>20773</x:v>
      </x:c>
      <x:c r="D2599" s="2" t="str">
        <x:v>BLUE PAISLEY NOTEBOOK</x:v>
      </x:c>
      <x:c r="E2599" s="11" t="n">
        <x:v>965.63</x:v>
      </x:c>
      <x:c r="F2599" s="11" t="n">
        <x:v>1.65</x:v>
      </x:c>
      <x:c r="G2599" s="11" t="n">
        <x:v>963.9799999999999</x:v>
      </x:c>
      <x:c r="H2599" s="23" t="n">
        <x:v>0.000047026499303252816</x:v>
      </x:c>
      <x:c r="I2599" s="23" t="n">
        <x:v>0.9641200215264164</x:v>
      </x:c>
      <x:c r="J2599" s="2" t="n">
        <x:v>117</x:v>
      </x:c>
      <x:c r="K2599" s="2"/>
      <x:c r="L2599" s="2"/>
    </x:row>
    <x:row r="2600" ht="22" customHeight="1">
      <x:c r="A2600" s="2"/>
      <x:c r="B2600" s="2" t="n">
        <x:v>2567</x:v>
      </x:c>
      <x:c r="C2600" s="2" t="str">
        <x:v>90175A</x:v>
      </x:c>
      <x:c r="D2600" s="2" t="str">
        <x:v>WHITE GLASS CHUNKY CHARM BRACELET</x:v>
      </x:c>
      <x:c r="E2600" s="11" t="n">
        <x:v>964.4499999999999</x:v>
      </x:c>
      <x:c r="F2600" s="11" t="n">
        <x:v>71.6</x:v>
      </x:c>
      <x:c r="G2600" s="11" t="n">
        <x:v>892.8499999999999</x:v>
      </x:c>
      <x:c r="H2600" s="23" t="n">
        <x:v>0.00004696903291428619</x:v>
      </x:c>
      <x:c r="I2600" s="23" t="n">
        <x:v>0.9641669905593306</x:v>
      </x:c>
      <x:c r="J2600" s="2" t="n">
        <x:v>62</x:v>
      </x:c>
      <x:c r="K2600" s="2"/>
      <x:c r="L2600" s="2"/>
    </x:row>
    <x:row r="2601" ht="22" customHeight="1">
      <x:c r="A2601" s="2"/>
      <x:c r="B2601" s="2" t="n">
        <x:v>2568</x:v>
      </x:c>
      <x:c r="C2601" s="2" t="str">
        <x:v>20774</x:v>
      </x:c>
      <x:c r="D2601" s="2" t="str">
        <x:v>GREEN FERN NOTEBOOK</x:v>
      </x:c>
      <x:c r="E2601" s="11" t="n">
        <x:v>964.13</x:v>
      </x:c>
      <x:c r="F2601" s="11" t="n">
        <x:v>1.65</x:v>
      </x:c>
      <x:c r="G2601" s="11" t="n">
        <x:v>962.48</x:v>
      </x:c>
      <x:c r="H2601" s="23" t="n">
        <x:v>0.00004695344880880372</x:v>
      </x:c>
      <x:c r="I2601" s="23" t="n">
        <x:v>0.9642139440081394</x:v>
      </x:c>
      <x:c r="J2601" s="2" t="n">
        <x:v>119</x:v>
      </x:c>
      <x:c r="K2601" s="2"/>
      <x:c r="L2601" s="2"/>
    </x:row>
    <x:row r="2602" ht="22" customHeight="1">
      <x:c r="A2602" s="2"/>
      <x:c r="B2602" s="2" t="n">
        <x:v>2569</x:v>
      </x:c>
      <x:c r="C2602" s="2" t="str">
        <x:v>85130D</x:v>
      </x:c>
      <x:c r="D2602" s="2" t="str">
        <x:v>BEADED CRYSTAL HEART PINK LARGE</x:v>
      </x:c>
      <x:c r="E2602" s="11" t="n">
        <x:v>962.15</x:v>
      </x:c>
      <x:c r="F2602" s="11" t="n">
        <x:v>0</x:v>
      </x:c>
      <x:c r="G2602" s="11" t="n">
        <x:v>962.15</x:v>
      </x:c>
      <x:c r="H2602" s="23" t="n">
        <x:v>0.000046857022156130916</x:v>
      </x:c>
      <x:c r="I2602" s="23" t="n">
        <x:v>0.9642608010302955</x:v>
      </x:c>
      <x:c r="J2602" s="2" t="n">
        <x:v>107</x:v>
      </x:c>
      <x:c r="K2602" s="2"/>
      <x:c r="L2602" s="2"/>
    </x:row>
    <x:row r="2603" ht="22" customHeight="1">
      <x:c r="A2603" s="2"/>
      <x:c r="B2603" s="2" t="n">
        <x:v>2570</x:v>
      </x:c>
      <x:c r="C2603" s="2" t="str">
        <x:v>85032B</x:v>
      </x:c>
      <x:c r="D2603" s="2" t="str">
        <x:v>BLOSSOM IMAGES GIFT WRAP SET</x:v>
      </x:c>
      <x:c r="E2603" s="11" t="n">
        <x:v>961.1400000000001</x:v>
      </x:c>
      <x:c r="F2603" s="11" t="n">
        <x:v>0</x:v>
      </x:c>
      <x:c r="G2603" s="11" t="n">
        <x:v>961.1400000000001</x:v>
      </x:c>
      <x:c r="H2603" s="23" t="n">
        <x:v>0.00004680783482320186</x:v>
      </x:c>
      <x:c r="I2603" s="23" t="n">
        <x:v>0.9643076088651188</x:v>
      </x:c>
      <x:c r="J2603" s="2" t="n">
        <x:v>152</x:v>
      </x:c>
      <x:c r="K2603" s="2"/>
      <x:c r="L2603" s="2"/>
    </x:row>
    <x:row r="2604" ht="22" customHeight="1">
      <x:c r="A2604" s="2"/>
      <x:c r="B2604" s="2" t="n">
        <x:v>2571</x:v>
      </x:c>
      <x:c r="C2604" s="2" t="str">
        <x:v>22994</x:v>
      </x:c>
      <x:c r="D2604" s="2" t="str">
        <x:v>TRAVEL CARD WALLET RETROSPOT</x:v>
      </x:c>
      <x:c r="E2604" s="11" t="n">
        <x:v>958.2</x:v>
      </x:c>
      <x:c r="F2604" s="11" t="n">
        <x:v>12.6</x:v>
      </x:c>
      <x:c r="G2604" s="11" t="n">
        <x:v>945.6</x:v>
      </x:c>
      <x:c r="H2604" s="23" t="n">
        <x:v>0.000046664655854081634</x:v>
      </x:c>
      <x:c r="I2604" s="23" t="n">
        <x:v>0.9643542735209729</x:v>
      </x:c>
      <x:c r="J2604" s="2" t="n">
        <x:v>218</x:v>
      </x:c>
      <x:c r="K2604" s="2"/>
      <x:c r="L2604" s="2"/>
    </x:row>
    <x:row r="2605" ht="22" customHeight="1">
      <x:c r="A2605" s="2"/>
      <x:c r="B2605" s="2" t="n">
        <x:v>2572</x:v>
      </x:c>
      <x:c r="C2605" s="2" t="str">
        <x:v>72753B</x:v>
      </x:c>
      <x:c r="D2605" s="2" t="str">
        <x:v>S/3 FLWR FAIRY LAVENDER CANDLES</x:v>
      </x:c>
      <x:c r="E2605" s="11" t="n">
        <x:v>957.73</x:v>
      </x:c>
      <x:c r="F2605" s="11" t="n">
        <x:v>0</x:v>
      </x:c>
      <x:c r="G2605" s="11" t="n">
        <x:v>957.73</x:v>
      </x:c>
      <x:c r="H2605" s="23" t="n">
        <x:v>0.00004664176669915425</x:v>
      </x:c>
      <x:c r="I2605" s="23" t="n">
        <x:v>0.964400915287672</x:v>
      </x:c>
      <x:c r="J2605" s="2" t="n">
        <x:v>14</x:v>
      </x:c>
      <x:c r="K2605" s="2"/>
      <x:c r="L2605" s="2"/>
    </x:row>
    <x:row r="2606" ht="22" customHeight="1">
      <x:c r="A2606" s="2"/>
      <x:c r="B2606" s="2" t="n">
        <x:v>2573</x:v>
      </x:c>
      <x:c r="C2606" s="2" t="str">
        <x:v>21805</x:v>
      </x:c>
      <x:c r="D2606" s="2" t="str">
        <x:v>WHITE CHRISTMAS TREE DECORATION </x:v>
      </x:c>
      <x:c r="E2606" s="11" t="n">
        <x:v>957.63</x:v>
      </x:c>
      <x:c r="F2606" s="11" t="n">
        <x:v>0</x:v>
      </x:c>
      <x:c r="G2606" s="11" t="n">
        <x:v>957.63</x:v>
      </x:c>
      <x:c r="H2606" s="23" t="n">
        <x:v>0.000046636896666190976</x:v>
      </x:c>
      <x:c r="I2606" s="23" t="n">
        <x:v>0.9644475521843382</x:v>
      </x:c>
      <x:c r="J2606" s="2" t="n">
        <x:v>103</x:v>
      </x:c>
      <x:c r="K2606" s="2"/>
      <x:c r="L2606" s="2"/>
    </x:row>
    <x:row r="2607" ht="22" customHeight="1">
      <x:c r="A2607" s="2"/>
      <x:c r="B2607" s="2" t="n">
        <x:v>2574</x:v>
      </x:c>
      <x:c r="C2607" s="2" t="str">
        <x:v>85111</x:v>
      </x:c>
      <x:c r="D2607" s="2" t="str">
        <x:v>SILVER GLITTER FLOWER VOTIVE HOLDER</x:v>
      </x:c>
      <x:c r="E2607" s="11" t="n">
        <x:v>957.63</x:v>
      </x:c>
      <x:c r="F2607" s="11" t="n">
        <x:v>41.76</x:v>
      </x:c>
      <x:c r="G2607" s="11" t="n">
        <x:v>915.87</x:v>
      </x:c>
      <x:c r="H2607" s="23" t="n">
        <x:v>0.000046636896666190976</x:v>
      </x:c>
      <x:c r="I2607" s="23" t="n">
        <x:v>0.9644941890810044</x:v>
      </x:c>
      <x:c r="J2607" s="2" t="n">
        <x:v>77</x:v>
      </x:c>
      <x:c r="K2607" s="2"/>
      <x:c r="L2607" s="2"/>
    </x:row>
    <x:row r="2608" ht="22" customHeight="1">
      <x:c r="A2608" s="2"/>
      <x:c r="B2608" s="2" t="n">
        <x:v>2575</x:v>
      </x:c>
      <x:c r="C2608" s="2" t="str">
        <x:v>90147</x:v>
      </x:c>
      <x:c r="D2608" s="2" t="str">
        <x:v>CHUNKY SILVER NECKLACE PASTEL FLOWE</x:v>
      </x:c>
      <x:c r="E2608" s="11" t="n">
        <x:v>957.3499999999999</x:v>
      </x:c>
      <x:c r="F2608" s="11" t="n">
        <x:v>39.8</x:v>
      </x:c>
      <x:c r="G2608" s="11" t="n">
        <x:v>917.55</x:v>
      </x:c>
      <x:c r="H2608" s="23" t="n">
        <x:v>0.000046623260573893806</x:v>
      </x:c>
      <x:c r="I2608" s="23" t="n">
        <x:v>0.9645408123415783</x:v>
      </x:c>
      <x:c r="J2608" s="2" t="n">
        <x:v>58</x:v>
      </x:c>
      <x:c r="K2608" s="2"/>
      <x:c r="L2608" s="2"/>
    </x:row>
    <x:row r="2609" ht="22" customHeight="1">
      <x:c r="A2609" s="2"/>
      <x:c r="B2609" s="2" t="n">
        <x:v>2576</x:v>
      </x:c>
      <x:c r="C2609" s="2" t="str">
        <x:v>84360</x:v>
      </x:c>
      <x:c r="D2609" s="2" t="str">
        <x:v>TABLE LAMP WHITE SHADE WOOD BASE</x:v>
      </x:c>
      <x:c r="E2609" s="11" t="n">
        <x:v>956.8900000000001</x:v>
      </x:c>
      <x:c r="F2609" s="11" t="n">
        <x:v>0</x:v>
      </x:c>
      <x:c r="G2609" s="11" t="n">
        <x:v>956.8900000000001</x:v>
      </x:c>
      <x:c r="H2609" s="23" t="n">
        <x:v>0.00004660085842226276</x:v>
      </x:c>
      <x:c r="I2609" s="23" t="n">
        <x:v>0.9645874132000005</x:v>
      </x:c>
      <x:c r="J2609" s="2" t="n">
        <x:v>40</x:v>
      </x:c>
      <x:c r="K2609" s="2"/>
      <x:c r="L2609" s="2"/>
    </x:row>
    <x:row r="2610" ht="22" customHeight="1">
      <x:c r="A2610" s="2"/>
      <x:c r="B2610" s="2" t="n">
        <x:v>2577</x:v>
      </x:c>
      <x:c r="C2610" s="2" t="str">
        <x:v>20758</x:v>
      </x:c>
      <x:c r="D2610" s="2" t="str">
        <x:v>ABSTRACT CIRCLES POCKET BOOK</x:v>
      </x:c>
      <x:c r="E2610" s="11" t="n">
        <x:v>955.9699999999999</x:v>
      </x:c>
      <x:c r="F2610" s="11" t="n">
        <x:v>0.85</x:v>
      </x:c>
      <x:c r="G2610" s="11" t="n">
        <x:v>955.1199999999999</x:v>
      </x:c>
      <x:c r="H2610" s="23" t="n">
        <x:v>0.00004655605411900064</x:v>
      </x:c>
      <x:c r="I2610" s="23" t="n">
        <x:v>0.9646339692541195</x:v>
      </x:c>
      <x:c r="J2610" s="2" t="n">
        <x:v>95</x:v>
      </x:c>
      <x:c r="K2610" s="2"/>
      <x:c r="L2610" s="2"/>
    </x:row>
    <x:row r="2611" ht="22" customHeight="1">
      <x:c r="A2611" s="2"/>
      <x:c r="B2611" s="2" t="n">
        <x:v>2578</x:v>
      </x:c>
      <x:c r="C2611" s="2" t="str">
        <x:v>84664</x:v>
      </x:c>
      <x:c r="D2611" s="2" t="str">
        <x:v>CHERRY BLOSSOM BATHROOM CABINET</x:v>
      </x:c>
      <x:c r="E2611" s="11" t="n">
        <x:v>955.35</x:v>
      </x:c>
      <x:c r="F2611" s="11" t="n">
        <x:v>24.75</x:v>
      </x:c>
      <x:c r="G2611" s="11" t="n">
        <x:v>930.6</x:v>
      </x:c>
      <x:c r="H2611" s="23" t="n">
        <x:v>0.000046525859914628354</x:v>
      </x:c>
      <x:c r="I2611" s="23" t="n">
        <x:v>0.9646804951140341</x:v>
      </x:c>
      <x:c r="J2611" s="2" t="n">
        <x:v>51</x:v>
      </x:c>
      <x:c r="K2611" s="2"/>
      <x:c r="L2611" s="2"/>
    </x:row>
    <x:row r="2612" ht="22" customHeight="1">
      <x:c r="A2612" s="2"/>
      <x:c r="B2612" s="2" t="n">
        <x:v>2579</x:v>
      </x:c>
      <x:c r="C2612" s="2" t="str">
        <x:v>20878</x:v>
      </x:c>
      <x:c r="D2612" s="2" t="str">
        <x:v>SET/9 CHRISTMAS T-LIGHTS SCENTED </x:v>
      </x:c>
      <x:c r="E2612" s="11" t="n">
        <x:v>955.01</x:v>
      </x:c>
      <x:c r="F2612" s="11" t="n">
        <x:v>0</x:v>
      </x:c>
      <x:c r="G2612" s="11" t="n">
        <x:v>955.01</x:v>
      </x:c>
      <x:c r="H2612" s="23" t="n">
        <x:v>0.00004650930180255322</x:v>
      </x:c>
      <x:c r="I2612" s="23" t="n">
        <x:v>0.9647270044158366</x:v>
      </x:c>
      <x:c r="J2612" s="2" t="n">
        <x:v>85</x:v>
      </x:c>
      <x:c r="K2612" s="2"/>
      <x:c r="L2612" s="2"/>
    </x:row>
    <x:row r="2613" ht="22" customHeight="1">
      <x:c r="A2613" s="2"/>
      <x:c r="B2613" s="2" t="n">
        <x:v>2580</x:v>
      </x:c>
      <x:c r="C2613" s="2" t="str">
        <x:v>17012C</x:v>
      </x:c>
      <x:c r="D2613" s="2" t="str">
        <x:v>ORIGAMI LAVENDER INCENSE/CANDL SET </x:v>
      </x:c>
      <x:c r="E2613" s="11" t="n">
        <x:v>952.9499999999999</x:v>
      </x:c>
      <x:c r="F2613" s="11" t="n">
        <x:v>0</x:v>
      </x:c>
      <x:c r="G2613" s="11" t="n">
        <x:v>952.9499999999999</x:v>
      </x:c>
      <x:c r="H2613" s="23" t="n">
        <x:v>0.000046408979123509796</x:v>
      </x:c>
      <x:c r="I2613" s="23" t="n">
        <x:v>0.9647734133949601</x:v>
      </x:c>
      <x:c r="J2613" s="2" t="n">
        <x:v>113</x:v>
      </x:c>
      <x:c r="K2613" s="2"/>
      <x:c r="L2613" s="2"/>
    </x:row>
    <x:row r="2614" ht="22" customHeight="1">
      <x:c r="A2614" s="2"/>
      <x:c r="B2614" s="2" t="n">
        <x:v>2581</x:v>
      </x:c>
      <x:c r="C2614" s="2" t="str">
        <x:v>21060</x:v>
      </x:c>
      <x:c r="D2614" s="2" t="str">
        <x:v>PARTY INVITES BALLOON GIRL</x:v>
      </x:c>
      <x:c r="E2614" s="11" t="n">
        <x:v>952.55</x:v>
      </x:c>
      <x:c r="F2614" s="11" t="n">
        <x:v>0</x:v>
      </x:c>
      <x:c r="G2614" s="11" t="n">
        <x:v>952.55</x:v>
      </x:c>
      <x:c r="H2614" s="23" t="n">
        <x:v>0.00004638949899165671</x:v>
      </x:c>
      <x:c r="I2614" s="23" t="n">
        <x:v>0.9648198028939518</x:v>
      </x:c>
      <x:c r="J2614" s="2" t="n">
        <x:v>151</x:v>
      </x:c>
      <x:c r="K2614" s="2"/>
      <x:c r="L2614" s="2"/>
    </x:row>
    <x:row r="2615" ht="22" customHeight="1">
      <x:c r="A2615" s="2"/>
      <x:c r="B2615" s="2" t="n">
        <x:v>2582</x:v>
      </x:c>
      <x:c r="C2615" s="2" t="str">
        <x:v>22953</x:v>
      </x:c>
      <x:c r="D2615" s="2" t="str">
        <x:v>BIRTHDAY PARTY CORDON BARRIER TAPE</x:v>
      </x:c>
      <x:c r="E2615" s="11" t="n">
        <x:v>949.8</x:v>
      </x:c>
      <x:c r="F2615" s="11" t="n">
        <x:v>0</x:v>
      </x:c>
      <x:c r="G2615" s="11" t="n">
        <x:v>949.8</x:v>
      </x:c>
      <x:c r="H2615" s="23" t="n">
        <x:v>0.0000462555730851667</x:v>
      </x:c>
      <x:c r="I2615" s="23" t="n">
        <x:v>0.9648660584670369</x:v>
      </x:c>
      <x:c r="J2615" s="2" t="n">
        <x:v>119</x:v>
      </x:c>
      <x:c r="K2615" s="2"/>
      <x:c r="L2615" s="2"/>
    </x:row>
    <x:row r="2616" ht="22" customHeight="1">
      <x:c r="A2616" s="2"/>
      <x:c r="B2616" s="2" t="n">
        <x:v>2583</x:v>
      </x:c>
      <x:c r="C2616" s="2" t="str">
        <x:v>85032C</x:v>
      </x:c>
      <x:c r="D2616" s="2" t="str">
        <x:v>CURIOUS IMAGES GIFT WRAP SET</x:v>
      </x:c>
      <x:c r="E2616" s="11" t="n">
        <x:v>947.8900000000001</x:v>
      </x:c>
      <x:c r="F2616" s="11" t="n">
        <x:v>7.800000000000001</x:v>
      </x:c>
      <x:c r="G2616" s="11" t="n">
        <x:v>940.09</x:v>
      </x:c>
      <x:c r="H2616" s="23" t="n">
        <x:v>0.000046162555455568195</x:v>
      </x:c>
      <x:c r="I2616" s="23" t="n">
        <x:v>0.9649122210224924</x:v>
      </x:c>
      <x:c r="J2616" s="2" t="n">
        <x:v>161</x:v>
      </x:c>
      <x:c r="K2616" s="2"/>
      <x:c r="L2616" s="2"/>
    </x:row>
    <x:row r="2617" ht="22" customHeight="1">
      <x:c r="A2617" s="2"/>
      <x:c r="B2617" s="2" t="n">
        <x:v>2584</x:v>
      </x:c>
      <x:c r="C2617" s="2" t="str">
        <x:v>22143</x:v>
      </x:c>
      <x:c r="D2617" s="2" t="str">
        <x:v>CHRISTMAS CRAFT HEART DECORATIONS</x:v>
      </x:c>
      <x:c r="E2617" s="11" t="n">
        <x:v>947.0800000000002</x:v>
      </x:c>
      <x:c r="F2617" s="11" t="n">
        <x:v>25.200000000000003</x:v>
      </x:c>
      <x:c r="G2617" s="11" t="n">
        <x:v>921.8800000000001</x:v>
      </x:c>
      <x:c r="H2617" s="23" t="n">
        <x:v>0.00004612310818856568</x:v>
      </x:c>
      <x:c r="I2617" s="23" t="n">
        <x:v>0.9649583441306809</x:v>
      </x:c>
      <x:c r="J2617" s="2" t="n">
        <x:v>70</x:v>
      </x:c>
      <x:c r="K2617" s="2"/>
      <x:c r="L2617" s="2"/>
    </x:row>
    <x:row r="2618" ht="22" customHeight="1">
      <x:c r="A2618" s="2"/>
      <x:c r="B2618" s="2" t="n">
        <x:v>2585</x:v>
      </x:c>
      <x:c r="C2618" s="2" t="str">
        <x:v>23540</x:v>
      </x:c>
      <x:c r="D2618" s="2" t="str">
        <x:v>WALL ART THE MAGIC FOREST </x:v>
      </x:c>
      <x:c r="E2618" s="11" t="n">
        <x:v>947.0600000000001</x:v>
      </x:c>
      <x:c r="F2618" s="11" t="n">
        <x:v>0</x:v>
      </x:c>
      <x:c r="G2618" s="11" t="n">
        <x:v>947.0600000000001</x:v>
      </x:c>
      <x:c r="H2618" s="23" t="n">
        <x:v>0.000046122134181973024</x:v>
      </x:c>
      <x:c r="I2618" s="23" t="n">
        <x:v>0.9650044662648629</x:v>
      </x:c>
      <x:c r="J2618" s="2" t="n">
        <x:v>14</x:v>
      </x:c>
      <x:c r="K2618" s="2"/>
      <x:c r="L2618" s="2"/>
    </x:row>
    <x:row r="2619" ht="22" customHeight="1">
      <x:c r="A2619" s="2"/>
      <x:c r="B2619" s="2" t="n">
        <x:v>2586</x:v>
      </x:c>
      <x:c r="C2619" s="2" t="str">
        <x:v>37492B</x:v>
      </x:c>
      <x:c r="D2619" s="2" t="str">
        <x:v>BLUE YELLOW FLOWER PIGGY BANK</x:v>
      </x:c>
      <x:c r="E2619" s="11" t="n">
        <x:v>946.7199999999999</x:v>
      </x:c>
      <x:c r="F2619" s="11" t="n">
        <x:v>47.699999999999996</x:v>
      </x:c>
      <x:c r="G2619" s="11" t="n">
        <x:v>899.0199999999999</x:v>
      </x:c>
      <x:c r="H2619" s="23" t="n">
        <x:v>0.00004610557606989789</x:v>
      </x:c>
      <x:c r="I2619" s="23" t="n">
        <x:v>0.9650505718409328</x:v>
      </x:c>
      <x:c r="J2619" s="2" t="n">
        <x:v>44</x:v>
      </x:c>
      <x:c r="K2619" s="2"/>
      <x:c r="L2619" s="2"/>
    </x:row>
    <x:row r="2620" ht="22" customHeight="1">
      <x:c r="A2620" s="2"/>
      <x:c r="B2620" s="2" t="n">
        <x:v>2587</x:v>
      </x:c>
      <x:c r="C2620" s="2" t="str">
        <x:v>21331</x:v>
      </x:c>
      <x:c r="D2620" s="2" t="str">
        <x:v>MOROCCAN BEATEN METAL DISH LARGE</x:v>
      </x:c>
      <x:c r="E2620" s="11" t="n">
        <x:v>946.6800000000001</x:v>
      </x:c>
      <x:c r="F2620" s="11" t="n">
        <x:v>38.25</x:v>
      </x:c>
      <x:c r="G2620" s="11" t="n">
        <x:v>908.4300000000001</x:v>
      </x:c>
      <x:c r="H2620" s="23" t="n">
        <x:v>0.00004610362805671259</x:v>
      </x:c>
      <x:c r="I2620" s="23" t="n">
        <x:v>0.9650966754689895</x:v>
      </x:c>
      <x:c r="J2620" s="2" t="n">
        <x:v>30</x:v>
      </x:c>
      <x:c r="K2620" s="2"/>
      <x:c r="L2620" s="2"/>
    </x:row>
    <x:row r="2621" ht="22" customHeight="1">
      <x:c r="A2621" s="2"/>
      <x:c r="B2621" s="2" t="n">
        <x:v>2588</x:v>
      </x:c>
      <x:c r="C2621" s="2" t="str">
        <x:v>21641</x:v>
      </x:c>
      <x:c r="D2621" s="2" t="str">
        <x:v>ASSORTED TUTTI FRUTTI KEYRING BALL</x:v>
      </x:c>
      <x:c r="E2621" s="11" t="n">
        <x:v>946.31</x:v>
      </x:c>
      <x:c r="F2621" s="11" t="n">
        <x:v>0</x:v>
      </x:c>
      <x:c r="G2621" s="11" t="n">
        <x:v>946.31</x:v>
      </x:c>
      <x:c r="H2621" s="23" t="n">
        <x:v>0.000046085608934748474</x:v>
      </x:c>
      <x:c r="I2621" s="23" t="n">
        <x:v>0.9651427610779242</x:v>
      </x:c>
      <x:c r="J2621" s="2" t="n">
        <x:v>111</x:v>
      </x:c>
      <x:c r="K2621" s="2"/>
      <x:c r="L2621" s="2"/>
    </x:row>
    <x:row r="2622" ht="22" customHeight="1">
      <x:c r="A2622" s="2"/>
      <x:c r="B2622" s="2" t="n">
        <x:v>2589</x:v>
      </x:c>
      <x:c r="C2622" s="2" t="str">
        <x:v>20778</x:v>
      </x:c>
      <x:c r="D2622" s="2" t="str">
        <x:v>GARDEN PATH NOTEBOOK </x:v>
      </x:c>
      <x:c r="E2622" s="11" t="n">
        <x:v>946.01</x:v>
      </x:c>
      <x:c r="F2622" s="11" t="n">
        <x:v>4.949999999999999</x:v>
      </x:c>
      <x:c r="G2622" s="11" t="n">
        <x:v>941.06</x:v>
      </x:c>
      <x:c r="H2622" s="23" t="n">
        <x:v>0.00004607099883585866</x:v>
      </x:c>
      <x:c r="I2622" s="23" t="n">
        <x:v>0.9651888320767601</x:v>
      </x:c>
      <x:c r="J2622" s="2" t="n">
        <x:v>90</x:v>
      </x:c>
      <x:c r="K2622" s="2"/>
      <x:c r="L2622" s="2"/>
    </x:row>
    <x:row r="2623" ht="22" customHeight="1">
      <x:c r="A2623" s="2"/>
      <x:c r="B2623" s="2" t="n">
        <x:v>2590</x:v>
      </x:c>
      <x:c r="C2623" s="2" t="str">
        <x:v>22096</x:v>
      </x:c>
      <x:c r="D2623" s="2" t="str">
        <x:v>PINK PAISLEY SQUARE TISSUE BOX </x:v>
      </x:c>
      <x:c r="E2623" s="11" t="n">
        <x:v>944.09</x:v>
      </x:c>
      <x:c r="F2623" s="11" t="n">
        <x:v>17.34</x:v>
      </x:c>
      <x:c r="G2623" s="11" t="n">
        <x:v>926.75</x:v>
      </x:c>
      <x:c r="H2623" s="23" t="n">
        <x:v>0.000045977494202963814</x:v>
      </x:c>
      <x:c r="I2623" s="23" t="n">
        <x:v>0.9652348095709631</x:v>
      </x:c>
      <x:c r="J2623" s="2" t="n">
        <x:v>180</x:v>
      </x:c>
      <x:c r="K2623" s="2"/>
      <x:c r="L2623" s="2"/>
    </x:row>
    <x:row r="2624" ht="22" customHeight="1">
      <x:c r="A2624" s="2"/>
      <x:c r="B2624" s="2" t="n">
        <x:v>2591</x:v>
      </x:c>
      <x:c r="C2624" s="2" t="str">
        <x:v>23178</x:v>
      </x:c>
      <x:c r="D2624" s="2" t="str">
        <x:v>JAM CLOCK MAGNET</x:v>
      </x:c>
      <x:c r="E2624" s="11" t="n">
        <x:v>943.9200000000001</x:v>
      </x:c>
      <x:c r="F2624" s="11" t="n">
        <x:v>14.450000000000001</x:v>
      </x:c>
      <x:c r="G2624" s="11" t="n">
        <x:v>929.47</x:v>
      </x:c>
      <x:c r="H2624" s="23" t="n">
        <x:v>0.000045969215146926255</x:v>
      </x:c>
      <x:c r="I2624" s="23" t="n">
        <x:v>0.96528077878611</x:v>
      </x:c>
      <x:c r="J2624" s="2" t="n">
        <x:v>68</x:v>
      </x:c>
      <x:c r="K2624" s="2"/>
      <x:c r="L2624" s="2"/>
    </x:row>
    <x:row r="2625" ht="22" customHeight="1">
      <x:c r="A2625" s="2"/>
      <x:c r="B2625" s="2" t="n">
        <x:v>2592</x:v>
      </x:c>
      <x:c r="C2625" s="2" t="str">
        <x:v>85031A</x:v>
      </x:c>
      <x:c r="D2625" s="2" t="str">
        <x:v>ROMANTIC IMAGES SCRAP BOOK SET</x:v>
      </x:c>
      <x:c r="E2625" s="11" t="n">
        <x:v>943.44</x:v>
      </x:c>
      <x:c r="F2625" s="11" t="n">
        <x:v>0</x:v>
      </x:c>
      <x:c r="G2625" s="11" t="n">
        <x:v>943.44</x:v>
      </x:c>
      <x:c r="H2625" s="23" t="n">
        <x:v>0.00004594583898870254</x:v>
      </x:c>
      <x:c r="I2625" s="23" t="n">
        <x:v>0.9653267246250986</x:v>
      </x:c>
      <x:c r="J2625" s="2" t="n">
        <x:v>102</x:v>
      </x:c>
      <x:c r="K2625" s="2"/>
      <x:c r="L2625" s="2"/>
    </x:row>
    <x:row r="2626" ht="22" customHeight="1">
      <x:c r="A2626" s="2"/>
      <x:c r="B2626" s="2" t="n">
        <x:v>2593</x:v>
      </x:c>
      <x:c r="C2626" s="2" t="str">
        <x:v>20998</x:v>
      </x:c>
      <x:c r="D2626" s="2" t="str">
        <x:v>ROSE DU SUD OVEN GLOVE</x:v>
      </x:c>
      <x:c r="E2626" s="11" t="n">
        <x:v>942.2600000000001</x:v>
      </x:c>
      <x:c r="F2626" s="11" t="n">
        <x:v>0</x:v>
      </x:c>
      <x:c r="G2626" s="11" t="n">
        <x:v>942.2600000000001</x:v>
      </x:c>
      <x:c r="H2626" s="23" t="n">
        <x:v>0.00004588837259973593</x:v>
      </x:c>
      <x:c r="I2626" s="23" t="n">
        <x:v>0.9653726129976984</x:v>
      </x:c>
      <x:c r="J2626" s="2" t="n">
        <x:v>127</x:v>
      </x:c>
      <x:c r="K2626" s="2"/>
      <x:c r="L2626" s="2"/>
    </x:row>
    <x:row r="2627" ht="22" customHeight="1">
      <x:c r="A2627" s="2"/>
      <x:c r="B2627" s="2" t="n">
        <x:v>2594</x:v>
      </x:c>
      <x:c r="C2627" s="2" t="str">
        <x:v>20831</x:v>
      </x:c>
      <x:c r="D2627" s="2" t="str">
        <x:v>GOLD PHOTO FRAME</x:v>
      </x:c>
      <x:c r="E2627" s="11" t="n">
        <x:v>940.5600000000001</x:v>
      </x:c>
      <x:c r="F2627" s="11" t="n">
        <x:v>12.600000000000001</x:v>
      </x:c>
      <x:c r="G2627" s="11" t="n">
        <x:v>927.96</x:v>
      </x:c>
      <x:c r="H2627" s="23" t="n">
        <x:v>0.000045805582039360284</x:v>
      </x:c>
      <x:c r="I2627" s="23" t="n">
        <x:v>0.9654184185797378</x:v>
      </x:c>
      <x:c r="J2627" s="2" t="n">
        <x:v>79</x:v>
      </x:c>
      <x:c r="K2627" s="2"/>
      <x:c r="L2627" s="2"/>
    </x:row>
    <x:row r="2628" ht="22" customHeight="1">
      <x:c r="A2628" s="2"/>
      <x:c r="B2628" s="2" t="n">
        <x:v>2595</x:v>
      </x:c>
      <x:c r="C2628" s="2" t="str">
        <x:v>21726</x:v>
      </x:c>
      <x:c r="D2628" s="2" t="str">
        <x:v>MULTI HEARTS  STICKERS</x:v>
      </x:c>
      <x:c r="E2628" s="11" t="n">
        <x:v>938.64</x:v>
      </x:c>
      <x:c r="F2628" s="11" t="n">
        <x:v>1.7</x:v>
      </x:c>
      <x:c r="G2628" s="11" t="n">
        <x:v>936.9399999999999</x:v>
      </x:c>
      <x:c r="H2628" s="23" t="n">
        <x:v>0.00004571207740646544</x:v>
      </x:c>
      <x:c r="I2628" s="23" t="n">
        <x:v>0.9654641306571442</x:v>
      </x:c>
      <x:c r="J2628" s="2" t="n">
        <x:v>155</x:v>
      </x:c>
      <x:c r="K2628" s="2"/>
      <x:c r="L2628" s="2"/>
    </x:row>
    <x:row r="2629" ht="22" customHeight="1">
      <x:c r="A2629" s="2"/>
      <x:c r="B2629" s="2" t="n">
        <x:v>2596</x:v>
      </x:c>
      <x:c r="C2629" s="2" t="str">
        <x:v>85124B</x:v>
      </x:c>
      <x:c r="D2629" s="2" t="str">
        <x:v>BLUE JUICY FRUIT PHOTO FRAME</x:v>
      </x:c>
      <x:c r="E2629" s="11" t="n">
        <x:v>938.4699999999999</x:v>
      </x:c>
      <x:c r="F2629" s="11" t="n">
        <x:v>15.299999999999999</x:v>
      </x:c>
      <x:c r="G2629" s="11" t="n">
        <x:v>923.17</x:v>
      </x:c>
      <x:c r="H2629" s="23" t="n">
        <x:v>0.00004570379835042787</x:v>
      </x:c>
      <x:c r="I2629" s="23" t="n">
        <x:v>0.9655098344554947</x:v>
      </x:c>
      <x:c r="J2629" s="2" t="n">
        <x:v>102</x:v>
      </x:c>
      <x:c r="K2629" s="2"/>
      <x:c r="L2629" s="2"/>
    </x:row>
    <x:row r="2630" ht="22" customHeight="1">
      <x:c r="A2630" s="2"/>
      <x:c r="B2630" s="2" t="n">
        <x:v>2597</x:v>
      </x:c>
      <x:c r="C2630" s="2" t="str">
        <x:v>84817</x:v>
      </x:c>
      <x:c r="D2630" s="2" t="str">
        <x:v>DANISH ROSE DECORATIVE PLATE</x:v>
      </x:c>
      <x:c r="E2630" s="11" t="n">
        <x:v>937.44</x:v>
      </x:c>
      <x:c r="F2630" s="11" t="n">
        <x:v>87.84</x:v>
      </x:c>
      <x:c r="G2630" s="11" t="n">
        <x:v>849.6</x:v>
      </x:c>
      <x:c r="H2630" s="23" t="n">
        <x:v>0.000045653637010906166</x:v>
      </x:c>
      <x:c r="I2630" s="23" t="n">
        <x:v>0.9655554880925056</x:v>
      </x:c>
      <x:c r="J2630" s="2" t="n">
        <x:v>79</x:v>
      </x:c>
      <x:c r="K2630" s="2"/>
      <x:c r="L2630" s="2"/>
    </x:row>
    <x:row r="2631" ht="22" customHeight="1">
      <x:c r="A2631" s="2"/>
      <x:c r="B2631" s="2" t="n">
        <x:v>2598</x:v>
      </x:c>
      <x:c r="C2631" s="2" t="str">
        <x:v>85121B</x:v>
      </x:c>
      <x:c r="D2631" s="2" t="str">
        <x:v>RETRO LAUNDRY TUB PINK</x:v>
      </x:c>
      <x:c r="E2631" s="11" t="n">
        <x:v>936.74</x:v>
      </x:c>
      <x:c r="F2631" s="11" t="n">
        <x:v>93.5</x:v>
      </x:c>
      <x:c r="G2631" s="11" t="n">
        <x:v>843.24</x:v>
      </x:c>
      <x:c r="H2631" s="23" t="n">
        <x:v>0.00004561954678016325</x:v>
      </x:c>
      <x:c r="I2631" s="23" t="n">
        <x:v>0.9656011076392857</x:v>
      </x:c>
      <x:c r="J2631" s="2" t="n">
        <x:v>48</x:v>
      </x:c>
      <x:c r="K2631" s="2"/>
      <x:c r="L2631" s="2"/>
    </x:row>
    <x:row r="2632" ht="22" customHeight="1">
      <x:c r="A2632" s="2"/>
      <x:c r="B2632" s="2" t="n">
        <x:v>2599</x:v>
      </x:c>
      <x:c r="C2632" s="2" t="str">
        <x:v>20775</x:v>
      </x:c>
      <x:c r="D2632" s="2" t="str">
        <x:v>DAISY NOTEBOOK </x:v>
      </x:c>
      <x:c r="E2632" s="11" t="n">
        <x:v>934.79</x:v>
      </x:c>
      <x:c r="F2632" s="11" t="n">
        <x:v>0</x:v>
      </x:c>
      <x:c r="G2632" s="11" t="n">
        <x:v>934.79</x:v>
      </x:c>
      <x:c r="H2632" s="23" t="n">
        <x:v>0.00004552458113737943</x:v>
      </x:c>
      <x:c r="I2632" s="23" t="n">
        <x:v>0.9656466322204231</x:v>
      </x:c>
      <x:c r="J2632" s="2" t="n">
        <x:v>112</x:v>
      </x:c>
      <x:c r="K2632" s="2"/>
      <x:c r="L2632" s="2"/>
    </x:row>
    <x:row r="2633" ht="22" customHeight="1">
      <x:c r="A2633" s="2"/>
      <x:c r="B2633" s="2" t="n">
        <x:v>2600</x:v>
      </x:c>
      <x:c r="C2633" s="2" t="str">
        <x:v>85226A</x:v>
      </x:c>
      <x:c r="D2633" s="2" t="str">
        <x:v>WHITE/BLUE PULL BACK RACING CAR</x:v>
      </x:c>
      <x:c r="E2633" s="11" t="n">
        <x:v>934.72</x:v>
      </x:c>
      <x:c r="F2633" s="11" t="n">
        <x:v>24.750000000000004</x:v>
      </x:c>
      <x:c r="G2633" s="11" t="n">
        <x:v>909.97</x:v>
      </x:c>
      <x:c r="H2633" s="23" t="n">
        <x:v>0.00004552117211430514</x:v>
      </x:c>
      <x:c r="I2633" s="23" t="n">
        <x:v>0.9656921533925374</x:v>
      </x:c>
      <x:c r="J2633" s="2" t="n">
        <x:v>144</x:v>
      </x:c>
      <x:c r="K2633" s="2"/>
      <x:c r="L2633" s="2"/>
    </x:row>
    <x:row r="2634" ht="22" customHeight="1">
      <x:c r="A2634" s="2"/>
      <x:c r="B2634" s="2" t="n">
        <x:v>2601</x:v>
      </x:c>
      <x:c r="C2634" s="2" t="str">
        <x:v>82001s</x:v>
      </x:c>
      <x:c r="D2634" s="2" t="str">
        <x:v>SILVER RECORD COVER FRAME</x:v>
      </x:c>
      <x:c r="E2634" s="11" t="n">
        <x:v>932.98</x:v>
      </x:c>
      <x:c r="F2634" s="11" t="n">
        <x:v>0</x:v>
      </x:c>
      <x:c r="G2634" s="11" t="n">
        <x:v>932.98</x:v>
      </x:c>
      <x:c r="H2634" s="23" t="n">
        <x:v>0.00004543643354074419</x:v>
      </x:c>
      <x:c r="I2634" s="23" t="n">
        <x:v>0.9657375898260782</x:v>
      </x:c>
      <x:c r="J2634" s="2" t="n">
        <x:v>29</x:v>
      </x:c>
      <x:c r="K2634" s="2"/>
      <x:c r="L2634" s="2"/>
    </x:row>
    <x:row r="2635" ht="22" customHeight="1">
      <x:c r="A2635" s="2"/>
      <x:c r="B2635" s="2" t="n">
        <x:v>2602</x:v>
      </x:c>
      <x:c r="C2635" s="2" t="str">
        <x:v>82607A</x:v>
      </x:c>
      <x:c r="D2635" s="2" t="str">
        <x:v>GLASS BONBON JAR PARFUME AUX FLEURE</x:v>
      </x:c>
      <x:c r="E2635" s="11" t="n">
        <x:v>932.47</x:v>
      </x:c>
      <x:c r="F2635" s="11" t="n">
        <x:v>22.5</x:v>
      </x:c>
      <x:c r="G2635" s="11" t="n">
        <x:v>909.97</x:v>
      </x:c>
      <x:c r="H2635" s="23" t="n">
        <x:v>0.0000454115963726315</x:v>
      </x:c>
      <x:c r="I2635" s="23" t="n">
        <x:v>0.9657830014224508</x:v>
      </x:c>
      <x:c r="J2635" s="2" t="n">
        <x:v>159</x:v>
      </x:c>
      <x:c r="K2635" s="2"/>
      <x:c r="L2635" s="2"/>
    </x:row>
    <x:row r="2636" ht="22" customHeight="1">
      <x:c r="A2636" s="2"/>
      <x:c r="B2636" s="2" t="n">
        <x:v>2603</x:v>
      </x:c>
      <x:c r="C2636" s="2" t="str">
        <x:v>47504E</x:v>
      </x:c>
      <x:c r="D2636" s="2" t="str">
        <x:v>ENGLISH ROSE SCISSORS</x:v>
      </x:c>
      <x:c r="E2636" s="11" t="n">
        <x:v>931.86</x:v>
      </x:c>
      <x:c r="F2636" s="11" t="n">
        <x:v>0</x:v>
      </x:c>
      <x:c r="G2636" s="11" t="n">
        <x:v>931.86</x:v>
      </x:c>
      <x:c r="H2636" s="23" t="n">
        <x:v>0.00004538188917155553</x:v>
      </x:c>
      <x:c r="I2636" s="23" t="n">
        <x:v>0.9658283833116224</x:v>
      </x:c>
      <x:c r="J2636" s="2" t="n">
        <x:v>48</x:v>
      </x:c>
      <x:c r="K2636" s="2"/>
      <x:c r="L2636" s="2"/>
    </x:row>
    <x:row r="2637" ht="22" customHeight="1">
      <x:c r="A2637" s="2"/>
      <x:c r="B2637" s="2" t="n">
        <x:v>2604</x:v>
      </x:c>
      <x:c r="C2637" s="2" t="str">
        <x:v>22647</x:v>
      </x:c>
      <x:c r="D2637" s="2" t="str">
        <x:v>CERAMIC LOVE HEART MONEY BANK</x:v>
      </x:c>
      <x:c r="E2637" s="11" t="n">
        <x:v>931.23</x:v>
      </x:c>
      <x:c r="F2637" s="11" t="n">
        <x:v>34.8</x:v>
      </x:c>
      <x:c r="G2637" s="11" t="n">
        <x:v>896.43</x:v>
      </x:c>
      <x:c r="H2637" s="23" t="n">
        <x:v>0.000045351207963886915</x:v>
      </x:c>
      <x:c r="I2637" s="23" t="n">
        <x:v>0.9658737345195862</x:v>
      </x:c>
      <x:c r="J2637" s="2" t="n">
        <x:v>82</x:v>
      </x:c>
      <x:c r="K2637" s="2"/>
      <x:c r="L2637" s="2"/>
    </x:row>
    <x:row r="2638" ht="22" customHeight="1">
      <x:c r="A2638" s="2"/>
      <x:c r="B2638" s="2" t="n">
        <x:v>2605</x:v>
      </x:c>
      <x:c r="C2638" s="2" t="str">
        <x:v>21720</x:v>
      </x:c>
      <x:c r="D2638" s="2" t="str">
        <x:v>CAKE SHOP  STICKER SHEET</x:v>
      </x:c>
      <x:c r="E2638" s="11" t="n">
        <x:v>930.66</x:v>
      </x:c>
      <x:c r="F2638" s="11" t="n">
        <x:v>10.2</x:v>
      </x:c>
      <x:c r="G2638" s="11" t="n">
        <x:v>920.4599999999999</x:v>
      </x:c>
      <x:c r="H2638" s="23" t="n">
        <x:v>0.000045323448775996256</x:v>
      </x:c>
      <x:c r="I2638" s="23" t="n">
        <x:v>0.9659190579683622</x:v>
      </x:c>
      <x:c r="J2638" s="2" t="n">
        <x:v>112</x:v>
      </x:c>
      <x:c r="K2638" s="2"/>
      <x:c r="L2638" s="2"/>
    </x:row>
    <x:row r="2639" ht="22" customHeight="1">
      <x:c r="A2639" s="2"/>
      <x:c r="B2639" s="2" t="n">
        <x:v>2606</x:v>
      </x:c>
      <x:c r="C2639" s="2" t="str">
        <x:v>23179</x:v>
      </x:c>
      <x:c r="D2639" s="2" t="str">
        <x:v>CLOCK MAGNET MUM'S KITCHEN</x:v>
      </x:c>
      <x:c r="E2639" s="11" t="n">
        <x:v>930.48</x:v>
      </x:c>
      <x:c r="F2639" s="11" t="n">
        <x:v>0</x:v>
      </x:c>
      <x:c r="G2639" s="11" t="n">
        <x:v>930.48</x:v>
      </x:c>
      <x:c r="H2639" s="23" t="n">
        <x:v>0.000045314682716662365</x:v>
      </x:c>
      <x:c r="I2639" s="23" t="n">
        <x:v>0.9659643726510788</x:v>
      </x:c>
      <x:c r="J2639" s="2" t="n">
        <x:v>53</x:v>
      </x:c>
      <x:c r="K2639" s="2"/>
      <x:c r="L2639" s="2"/>
    </x:row>
    <x:row r="2640" ht="22" customHeight="1">
      <x:c r="A2640" s="2"/>
      <x:c r="B2640" s="2" t="n">
        <x:v>2607</x:v>
      </x:c>
      <x:c r="C2640" s="2" t="str">
        <x:v>72800C</x:v>
      </x:c>
      <x:c r="D2640" s="2" t="str">
        <x:v>4 PINK DINNER CANDLE SILVER FLOCK</x:v>
      </x:c>
      <x:c r="E2640" s="11" t="n">
        <x:v>929.9399999999999</x:v>
      </x:c>
      <x:c r="F2640" s="11" t="n">
        <x:v>0</x:v>
      </x:c>
      <x:c r="G2640" s="11" t="n">
        <x:v>929.9399999999999</x:v>
      </x:c>
      <x:c r="H2640" s="23" t="n">
        <x:v>0.00004528838453866069</x:v>
      </x:c>
      <x:c r="I2640" s="23" t="n">
        <x:v>0.9660096610356175</x:v>
      </x:c>
      <x:c r="J2640" s="2" t="n">
        <x:v>78</x:v>
      </x:c>
      <x:c r="K2640" s="2"/>
      <x:c r="L2640" s="2"/>
    </x:row>
    <x:row r="2641" ht="22" customHeight="1">
      <x:c r="A2641" s="2"/>
      <x:c r="B2641" s="2" t="n">
        <x:v>2608</x:v>
      </x:c>
      <x:c r="C2641" s="2" t="str">
        <x:v>21014</x:v>
      </x:c>
      <x:c r="D2641" s="2" t="str">
        <x:v>SWISS CHALET TREE DECORATION </x:v>
      </x:c>
      <x:c r="E2641" s="11" t="n">
        <x:v>929.79</x:v>
      </x:c>
      <x:c r="F2641" s="11" t="n">
        <x:v>0.72</x:v>
      </x:c>
      <x:c r="G2641" s="11" t="n">
        <x:v>929.0699999999999</x:v>
      </x:c>
      <x:c r="H2641" s="23" t="n">
        <x:v>0.000045281079489215776</x:v>
      </x:c>
      <x:c r="I2641" s="23" t="n">
        <x:v>0.9660549421151067</x:v>
      </x:c>
      <x:c r="J2641" s="2" t="n">
        <x:v>189</x:v>
      </x:c>
      <x:c r="K2641" s="2"/>
      <x:c r="L2641" s="2"/>
    </x:row>
    <x:row r="2642" ht="22" customHeight="1">
      <x:c r="A2642" s="2"/>
      <x:c r="B2642" s="2" t="n">
        <x:v>2609</x:v>
      </x:c>
      <x:c r="C2642" s="2" t="str">
        <x:v>23413</x:v>
      </x:c>
      <x:c r="D2642" s="2" t="str">
        <x:v>DECORATIVE VINTAGE COFFEE  BOX</x:v>
      </x:c>
      <x:c r="E2642" s="11" t="n">
        <x:v>929.11</x:v>
      </x:c>
      <x:c r="F2642" s="11" t="n">
        <x:v>49.800000000000004</x:v>
      </x:c>
      <x:c r="G2642" s="11" t="n">
        <x:v>879.3100000000001</x:v>
      </x:c>
      <x:c r="H2642" s="23" t="n">
        <x:v>0.00004524796326506553</x:v>
      </x:c>
      <x:c r="I2642" s="23" t="n">
        <x:v>0.9661001900783718</x:v>
      </x:c>
      <x:c r="J2642" s="2" t="n">
        <x:v>58</x:v>
      </x:c>
      <x:c r="K2642" s="2"/>
      <x:c r="L2642" s="2"/>
    </x:row>
    <x:row r="2643" ht="22" customHeight="1">
      <x:c r="A2643" s="2"/>
      <x:c r="B2643" s="2" t="n">
        <x:v>2610</x:v>
      </x:c>
      <x:c r="C2643" s="2" t="str">
        <x:v>37330</x:v>
      </x:c>
      <x:c r="D2643" s="2" t="str">
        <x:v>BIG POLKADOT MUG</x:v>
      </x:c>
      <x:c r="E2643" s="11" t="n">
        <x:v>927.4599999999999</x:v>
      </x:c>
      <x:c r="F2643" s="11" t="n">
        <x:v>23.099999999999998</x:v>
      </x:c>
      <x:c r="G2643" s="11" t="n">
        <x:v>904.3599999999999</x:v>
      </x:c>
      <x:c r="H2643" s="23" t="n">
        <x:v>0.00004516760772117152</x:v>
      </x:c>
      <x:c r="I2643" s="23" t="n">
        <x:v>0.966145357686093</x:v>
      </x:c>
      <x:c r="J2643" s="2" t="n">
        <x:v>28</x:v>
      </x:c>
      <x:c r="K2643" s="2"/>
      <x:c r="L2643" s="2"/>
    </x:row>
    <x:row r="2644" ht="22" customHeight="1">
      <x:c r="A2644" s="2"/>
      <x:c r="B2644" s="2" t="n">
        <x:v>2611</x:v>
      </x:c>
      <x:c r="C2644" s="2" t="str">
        <x:v>84341B</x:v>
      </x:c>
      <x:c r="D2644" s="2" t="str">
        <x:v>SMALL PINK MAGIC CHRISTMAS TREE</x:v>
      </x:c>
      <x:c r="E2644" s="11" t="n">
        <x:v>926.43</x:v>
      </x:c>
      <x:c r="F2644" s="11" t="n">
        <x:v>0</x:v>
      </x:c>
      <x:c r="G2644" s="11" t="n">
        <x:v>926.43</x:v>
      </x:c>
      <x:c r="H2644" s="23" t="n">
        <x:v>0.000045117446381649805</x:v>
      </x:c>
      <x:c r="I2644" s="23" t="n">
        <x:v>0.9661904751324747</x:v>
      </x:c>
      <x:c r="J2644" s="2" t="n">
        <x:v>121</x:v>
      </x:c>
      <x:c r="K2644" s="2"/>
      <x:c r="L2644" s="2"/>
    </x:row>
    <x:row r="2645" ht="22" customHeight="1">
      <x:c r="A2645" s="2"/>
      <x:c r="B2645" s="2" t="n">
        <x:v>2612</x:v>
      </x:c>
      <x:c r="C2645" s="2" t="str">
        <x:v>23099</x:v>
      </x:c>
      <x:c r="D2645" s="2" t="str">
        <x:v>FRENCH CARRIAGE LANTERN</x:v>
      </x:c>
      <x:c r="E2645" s="11" t="n">
        <x:v>925.35</x:v>
      </x:c>
      <x:c r="F2645" s="11" t="n">
        <x:v>53.2</x:v>
      </x:c>
      <x:c r="G2645" s="11" t="n">
        <x:v>872.1500000000001</x:v>
      </x:c>
      <x:c r="H2645" s="23" t="n">
        <x:v>0.00004506485002564646</x:v>
      </x:c>
      <x:c r="I2645" s="23" t="n">
        <x:v>0.9662355399825003</x:v>
      </x:c>
      <x:c r="J2645" s="2" t="n">
        <x:v>58</x:v>
      </x:c>
      <x:c r="K2645" s="2"/>
      <x:c r="L2645" s="2"/>
    </x:row>
    <x:row r="2646" ht="22" customHeight="1">
      <x:c r="A2646" s="2"/>
      <x:c r="B2646" s="2" t="n">
        <x:v>2613</x:v>
      </x:c>
      <x:c r="C2646" s="2" t="str">
        <x:v>23002</x:v>
      </x:c>
      <x:c r="D2646" s="2" t="str">
        <x:v>TRAVEL CARD WALLET SKULLS</x:v>
      </x:c>
      <x:c r="E2646" s="11" t="n">
        <x:v>925.29</x:v>
      </x:c>
      <x:c r="F2646" s="11" t="n">
        <x:v>53.76</x:v>
      </x:c>
      <x:c r="G2646" s="11" t="n">
        <x:v>871.53</x:v>
      </x:c>
      <x:c r="H2646" s="23" t="n">
        <x:v>0.000045061928005868495</x:v>
      </x:c>
      <x:c r="I2646" s="23" t="n">
        <x:v>0.9662806019105062</x:v>
      </x:c>
      <x:c r="J2646" s="2" t="n">
        <x:v>192</x:v>
      </x:c>
      <x:c r="K2646" s="2"/>
      <x:c r="L2646" s="2"/>
    </x:row>
    <x:row r="2647" ht="22" customHeight="1">
      <x:c r="A2647" s="2"/>
      <x:c r="B2647" s="2" t="n">
        <x:v>2614</x:v>
      </x:c>
      <x:c r="C2647" s="2" t="str">
        <x:v>22703</x:v>
      </x:c>
      <x:c r="D2647" s="2" t="str">
        <x:v>PINK CAT BOWL</x:v>
      </x:c>
      <x:c r="E2647" s="11" t="n">
        <x:v>923.91</x:v>
      </x:c>
      <x:c r="F2647" s="11" t="n">
        <x:v>0</x:v>
      </x:c>
      <x:c r="G2647" s="11" t="n">
        <x:v>923.91</x:v>
      </x:c>
      <x:c r="H2647" s="23" t="n">
        <x:v>0.00004499472155097533</x:v>
      </x:c>
      <x:c r="I2647" s="23" t="n">
        <x:v>0.9663255966320572</x:v>
      </x:c>
      <x:c r="J2647" s="2" t="n">
        <x:v>165</x:v>
      </x:c>
      <x:c r="K2647" s="2"/>
      <x:c r="L2647" s="2"/>
    </x:row>
    <x:row r="2648" ht="22" customHeight="1">
      <x:c r="A2648" s="2"/>
      <x:c r="B2648" s="2" t="n">
        <x:v>2615</x:v>
      </x:c>
      <x:c r="C2648" s="2" t="str">
        <x:v>21264</x:v>
      </x:c>
      <x:c r="D2648" s="2" t="str">
        <x:v>WHITE GOOSE FEATHER TREE 60CM </x:v>
      </x:c>
      <x:c r="E2648" s="11" t="n">
        <x:v>921.75</x:v>
      </x:c>
      <x:c r="F2648" s="11" t="n">
        <x:v>15.6</x:v>
      </x:c>
      <x:c r="G2648" s="11" t="n">
        <x:v>906.15</x:v>
      </x:c>
      <x:c r="H2648" s="23" t="n">
        <x:v>0.00004488952883896863</x:v>
      </x:c>
      <x:c r="I2648" s="23" t="n">
        <x:v>0.9663704861608962</x:v>
      </x:c>
      <x:c r="J2648" s="2" t="n">
        <x:v>68</x:v>
      </x:c>
      <x:c r="K2648" s="2"/>
      <x:c r="L2648" s="2"/>
    </x:row>
    <x:row r="2649" ht="22" customHeight="1">
      <x:c r="A2649" s="2"/>
      <x:c r="B2649" s="2" t="n">
        <x:v>2616</x:v>
      </x:c>
      <x:c r="C2649" s="2" t="str">
        <x:v>20903</x:v>
      </x:c>
      <x:c r="D2649" s="2" t="str">
        <x:v>VINTAGE KEEPSAKE BOX TRAVELOGUE</x:v>
      </x:c>
      <x:c r="E2649" s="11" t="n">
        <x:v>919.8</x:v>
      </x:c>
      <x:c r="F2649" s="11" t="n">
        <x:v>6.35</x:v>
      </x:c>
      <x:c r="G2649" s="11" t="n">
        <x:v>913.45</x:v>
      </x:c>
      <x:c r="H2649" s="23" t="n">
        <x:v>0.00004479456319618481</x:v>
      </x:c>
      <x:c r="I2649" s="23" t="n">
        <x:v>0.9664152807240923</x:v>
      </x:c>
      <x:c r="J2649" s="2" t="n">
        <x:v>86</x:v>
      </x:c>
      <x:c r="K2649" s="2"/>
      <x:c r="L2649" s="2"/>
    </x:row>
    <x:row r="2650" ht="22" customHeight="1">
      <x:c r="A2650" s="2"/>
      <x:c r="B2650" s="2" t="n">
        <x:v>2617</x:v>
      </x:c>
      <x:c r="C2650" s="2" t="str">
        <x:v>85121C</x:v>
      </x:c>
      <x:c r="D2650" s="2" t="str">
        <x:v>RETRO LAUNDRY TUB PISTACHIO</x:v>
      </x:c>
      <x:c r="E2650" s="11" t="n">
        <x:v>918.91</x:v>
      </x:c>
      <x:c r="F2650" s="11" t="n">
        <x:v>17</x:v>
      </x:c>
      <x:c r="G2650" s="11" t="n">
        <x:v>901.91</x:v>
      </x:c>
      <x:c r="H2650" s="23" t="n">
        <x:v>0.00004475121990281168</x:v>
      </x:c>
      <x:c r="I2650" s="23" t="n">
        <x:v>0.9664600319439951</x:v>
      </x:c>
      <x:c r="J2650" s="2" t="n">
        <x:v>53</x:v>
      </x:c>
      <x:c r="K2650" s="2"/>
      <x:c r="L2650" s="2"/>
    </x:row>
    <x:row r="2651" ht="22" customHeight="1">
      <x:c r="A2651" s="2"/>
      <x:c r="B2651" s="2" t="n">
        <x:v>2618</x:v>
      </x:c>
      <x:c r="C2651" s="2" t="str">
        <x:v>72529W</x:v>
      </x:c>
      <x:c r="D2651" s="2" t="str">
        <x:v>WHITE ADVENT CANDLE</x:v>
      </x:c>
      <x:c r="E2651" s="11" t="n">
        <x:v>918.75</x:v>
      </x:c>
      <x:c r="F2651" s="11" t="n">
        <x:v>125.05999999999999</x:v>
      </x:c>
      <x:c r="G2651" s="11" t="n">
        <x:v>793.6899999999999</x:v>
      </x:c>
      <x:c r="H2651" s="23" t="n">
        <x:v>0.000044743427850070444</x:v>
      </x:c>
      <x:c r="I2651" s="23" t="n">
        <x:v>0.9665047753718452</x:v>
      </x:c>
      <x:c r="J2651" s="2" t="n">
        <x:v>47</x:v>
      </x:c>
      <x:c r="K2651" s="2"/>
      <x:c r="L2651" s="2"/>
    </x:row>
    <x:row r="2652" ht="22" customHeight="1">
      <x:c r="A2652" s="2"/>
      <x:c r="B2652" s="2" t="n">
        <x:v>2619</x:v>
      </x:c>
      <x:c r="C2652" s="2" t="str">
        <x:v>21702</x:v>
      </x:c>
      <x:c r="D2652" s="2" t="str">
        <x:v>No Stock</x:v>
      </x:c>
      <x:c r="E2652" s="11" t="n">
        <x:v>918.6800000000001</x:v>
      </x:c>
      <x:c r="F2652" s="11" t="n">
        <x:v>0</x:v>
      </x:c>
      <x:c r="G2652" s="11" t="n">
        <x:v>918.6800000000001</x:v>
      </x:c>
      <x:c r="H2652" s="23" t="n">
        <x:v>0.00004474001882699616</x:v>
      </x:c>
      <x:c r="I2652" s="23" t="n">
        <x:v>0.9665495153906722</x:v>
      </x:c>
      <x:c r="J2652" s="2" t="n">
        <x:v>8</x:v>
      </x:c>
      <x:c r="K2652" s="2"/>
      <x:c r="L2652" s="2"/>
    </x:row>
    <x:row r="2653" ht="22" customHeight="1">
      <x:c r="A2653" s="2"/>
      <x:c r="B2653" s="2" t="n">
        <x:v>2620</x:v>
      </x:c>
      <x:c r="C2653" s="2" t="str">
        <x:v>72045D</x:v>
      </x:c>
      <x:c r="D2653" s="2" t="str">
        <x:v>ROSES ON BLUE TEACUP CANDLE </x:v>
      </x:c>
      <x:c r="E2653" s="11" t="n">
        <x:v>918.65</x:v>
      </x:c>
      <x:c r="F2653" s="11" t="n">
        <x:v>851.76</x:v>
      </x:c>
      <x:c r="G2653" s="11" t="n">
        <x:v>66.89</x:v>
      </x:c>
      <x:c r="H2653" s="23" t="n">
        <x:v>0.00004473855781710717</x:v>
      </x:c>
      <x:c r="I2653" s="23" t="n">
        <x:v>0.9665942539484893</x:v>
      </x:c>
      <x:c r="J2653" s="2" t="n">
        <x:v>6</x:v>
      </x:c>
      <x:c r="K2653" s="2"/>
      <x:c r="L2653" s="2"/>
    </x:row>
    <x:row r="2654" ht="22" customHeight="1">
      <x:c r="A2654" s="2"/>
      <x:c r="B2654" s="2" t="n">
        <x:v>2621</x:v>
      </x:c>
      <x:c r="C2654" s="2" t="str">
        <x:v>85130B</x:v>
      </x:c>
      <x:c r="D2654" s="2" t="str">
        <x:v>BEADED CRYSTAL HEART GREEN LARGE</x:v>
      </x:c>
      <x:c r="E2654" s="11" t="n">
        <x:v>918.33</x:v>
      </x:c>
      <x:c r="F2654" s="11" t="n">
        <x:v>0</x:v>
      </x:c>
      <x:c r="G2654" s="11" t="n">
        <x:v>918.33</x:v>
      </x:c>
      <x:c r="H2654" s="23" t="n">
        <x:v>0.0000447229737116247</x:v>
      </x:c>
      <x:c r="I2654" s="23" t="n">
        <x:v>0.9666389769222009</x:v>
      </x:c>
      <x:c r="J2654" s="2" t="n">
        <x:v>83</x:v>
      </x:c>
      <x:c r="K2654" s="2"/>
      <x:c r="L2654" s="2"/>
    </x:row>
    <x:row r="2655" ht="22" customHeight="1">
      <x:c r="A2655" s="2"/>
      <x:c r="B2655" s="2" t="n">
        <x:v>2622</x:v>
      </x:c>
      <x:c r="C2655" s="2" t="str">
        <x:v>84600</x:v>
      </x:c>
      <x:c r="D2655" s="2" t="str">
        <x:v>NEW BAROQUE JEWELLERY BOX </x:v>
      </x:c>
      <x:c r="E2655" s="11" t="n">
        <x:v>918.27</x:v>
      </x:c>
      <x:c r="F2655" s="11" t="n">
        <x:v>22.85</x:v>
      </x:c>
      <x:c r="G2655" s="11" t="n">
        <x:v>895.4200000000001</x:v>
      </x:c>
      <x:c r="H2655" s="23" t="n">
        <x:v>0.00004472005169184673</x:v>
      </x:c>
      <x:c r="I2655" s="23" t="n">
        <x:v>0.9666836969738928</x:v>
      </x:c>
      <x:c r="J2655" s="2" t="n">
        <x:v>52</x:v>
      </x:c>
      <x:c r="K2655" s="2"/>
      <x:c r="L2655" s="2"/>
    </x:row>
    <x:row r="2656" ht="22" customHeight="1">
      <x:c r="A2656" s="2"/>
      <x:c r="B2656" s="2" t="n">
        <x:v>2623</x:v>
      </x:c>
      <x:c r="C2656" s="2" t="str">
        <x:v>23338</x:v>
      </x:c>
      <x:c r="D2656" s="2" t="str">
        <x:v>EGG FRYING PAN RED </x:v>
      </x:c>
      <x:c r="E2656" s="11" t="n">
        <x:v>915.4000000000001</x:v>
      </x:c>
      <x:c r="F2656" s="11" t="n">
        <x:v>12.48</x:v>
      </x:c>
      <x:c r="G2656" s="11" t="n">
        <x:v>902.9200000000001</x:v>
      </x:c>
      <x:c r="H2656" s="23" t="n">
        <x:v>0.000044580281745800806</x:v>
      </x:c>
      <x:c r="I2656" s="23" t="n">
        <x:v>0.9667282772556386</x:v>
      </x:c>
      <x:c r="J2656" s="2" t="n">
        <x:v>109</x:v>
      </x:c>
      <x:c r="K2656" s="2"/>
      <x:c r="L2656" s="2"/>
    </x:row>
    <x:row r="2657" ht="22" customHeight="1">
      <x:c r="A2657" s="2"/>
      <x:c r="B2657" s="2" t="n">
        <x:v>2624</x:v>
      </x:c>
      <x:c r="C2657" s="2" t="str">
        <x:v>85019A</x:v>
      </x:c>
      <x:c r="D2657" s="2" t="str">
        <x:v>ROMANTIC IMAGES NOTEBOOK SET</x:v>
      </x:c>
      <x:c r="E2657" s="11" t="n">
        <x:v>915.04</x:v>
      </x:c>
      <x:c r="F2657" s="11" t="n">
        <x:v>30</x:v>
      </x:c>
      <x:c r="G2657" s="11" t="n">
        <x:v>885.04</x:v>
      </x:c>
      <x:c r="H2657" s="23" t="n">
        <x:v>0.000044562749627133016</x:v>
      </x:c>
      <x:c r="I2657" s="23" t="n">
        <x:v>0.9667728400052658</x:v>
      </x:c>
      <x:c r="J2657" s="2" t="n">
        <x:v>49</x:v>
      </x:c>
      <x:c r="K2657" s="2"/>
      <x:c r="L2657" s="2"/>
    </x:row>
    <x:row r="2658" ht="22" customHeight="1">
      <x:c r="A2658" s="2"/>
      <x:c r="B2658" s="2" t="n">
        <x:v>2625</x:v>
      </x:c>
      <x:c r="C2658" s="2" t="str">
        <x:v>21220</x:v>
      </x:c>
      <x:c r="D2658" s="2" t="str">
        <x:v>SET/4 BADGES DOGS</x:v>
      </x:c>
      <x:c r="E2658" s="11" t="n">
        <x:v>914.93</x:v>
      </x:c>
      <x:c r="F2658" s="11" t="n">
        <x:v>0</x:v>
      </x:c>
      <x:c r="G2658" s="11" t="n">
        <x:v>914.93</x:v>
      </x:c>
      <x:c r="H2658" s="23" t="n">
        <x:v>0.00004455739259087341</x:v>
      </x:c>
      <x:c r="I2658" s="23" t="n">
        <x:v>0.9668173973978567</x:v>
      </x:c>
      <x:c r="J2658" s="2" t="n">
        <x:v>159</x:v>
      </x:c>
      <x:c r="K2658" s="2"/>
      <x:c r="L2658" s="2"/>
    </x:row>
    <x:row r="2659" ht="22" customHeight="1">
      <x:c r="A2659" s="2"/>
      <x:c r="B2659" s="2" t="n">
        <x:v>2626</x:v>
      </x:c>
      <x:c r="C2659" s="2" t="str">
        <x:v>21007</x:v>
      </x:c>
      <x:c r="D2659" s="2" t="str">
        <x:v>ETCHED GLASS DROPLET DECORATION</x:v>
      </x:c>
      <x:c r="E2659" s="11" t="n">
        <x:v>914.6700000000001</x:v>
      </x:c>
      <x:c r="F2659" s="11" t="n">
        <x:v>0</x:v>
      </x:c>
      <x:c r="G2659" s="11" t="n">
        <x:v>914.6700000000001</x:v>
      </x:c>
      <x:c r="H2659" s="23" t="n">
        <x:v>0.00004454473050516891</x:v>
      </x:c>
      <x:c r="I2659" s="23" t="n">
        <x:v>0.9668619421283619</x:v>
      </x:c>
      <x:c r="J2659" s="2" t="n">
        <x:v>48</x:v>
      </x:c>
      <x:c r="K2659" s="2"/>
      <x:c r="L2659" s="2"/>
    </x:row>
    <x:row r="2660" ht="22" customHeight="1">
      <x:c r="A2660" s="2"/>
      <x:c r="B2660" s="2" t="n">
        <x:v>2627</x:v>
      </x:c>
      <x:c r="C2660" s="2" t="str">
        <x:v>21320</x:v>
      </x:c>
      <x:c r="D2660" s="2" t="str">
        <x:v>GLASS CHALICE GREEN  LARGE </x:v>
      </x:c>
      <x:c r="E2660" s="11" t="n">
        <x:v>913.34</x:v>
      </x:c>
      <x:c r="F2660" s="11" t="n">
        <x:v>52.5</x:v>
      </x:c>
      <x:c r="G2660" s="11" t="n">
        <x:v>860.84</x:v>
      </x:c>
      <x:c r="H2660" s="23" t="n">
        <x:v>0.00004447995906675738</x:v>
      </x:c>
      <x:c r="I2660" s="23" t="n">
        <x:v>0.9669064220874286</x:v>
      </x:c>
      <x:c r="J2660" s="2" t="n">
        <x:v>56</x:v>
      </x:c>
      <x:c r="K2660" s="2"/>
      <x:c r="L2660" s="2"/>
    </x:row>
    <x:row r="2661" ht="22" customHeight="1">
      <x:c r="A2661" s="2"/>
      <x:c r="B2661" s="2" t="n">
        <x:v>2628</x:v>
      </x:c>
      <x:c r="C2661" s="2" t="str">
        <x:v>37482P</x:v>
      </x:c>
      <x:c r="D2661" s="2" t="str">
        <x:v>Damaged</x:v>
      </x:c>
      <x:c r="E2661" s="11" t="n">
        <x:v>910.99</x:v>
      </x:c>
      <x:c r="F2661" s="11" t="n">
        <x:v>0</x:v>
      </x:c>
      <x:c r="G2661" s="11" t="n">
        <x:v>910.99</x:v>
      </x:c>
      <x:c r="H2661" s="23" t="n">
        <x:v>0.000044365513292120464</x:v>
      </x:c>
      <x:c r="I2661" s="23" t="n">
        <x:v>0.9669507876007207</x:v>
      </x:c>
      <x:c r="J2661" s="2" t="n">
        <x:v>83</x:v>
      </x:c>
      <x:c r="K2661" s="2"/>
      <x:c r="L2661" s="2"/>
    </x:row>
    <x:row r="2662" ht="22" customHeight="1">
      <x:c r="A2662" s="2"/>
      <x:c r="B2662" s="2" t="n">
        <x:v>2629</x:v>
      </x:c>
      <x:c r="C2662" s="2" t="str">
        <x:v>84974</x:v>
      </x:c>
      <x:c r="D2662" s="2" t="str">
        <x:v>S/2 ZINC HEART DESIGN PLANTERS</x:v>
      </x:c>
      <x:c r="E2662" s="11" t="n">
        <x:v>909.4</x:v>
      </x:c>
      <x:c r="F2662" s="11" t="n">
        <x:v>9.95</x:v>
      </x:c>
      <x:c r="G2662" s="11" t="n">
        <x:v>899.4499999999999</x:v>
      </x:c>
      <x:c r="H2662" s="23" t="n">
        <x:v>0.00004428807976800442</x:v>
      </x:c>
      <x:c r="I2662" s="23" t="n">
        <x:v>0.9669950756804887</x:v>
      </x:c>
      <x:c r="J2662" s="2" t="n">
        <x:v>57</x:v>
      </x:c>
      <x:c r="K2662" s="2"/>
      <x:c r="L2662" s="2"/>
    </x:row>
    <x:row r="2663" ht="22" customHeight="1">
      <x:c r="A2663" s="2"/>
      <x:c r="B2663" s="2" t="n">
        <x:v>2630</x:v>
      </x:c>
      <x:c r="C2663" s="2" t="str">
        <x:v>23472</x:v>
      </x:c>
      <x:c r="D2663" s="2" t="str">
        <x:v> NINE DRAWER OFFICE TIDY</x:v>
      </x:c>
      <x:c r="E2663" s="11" t="n">
        <x:v>909.37</x:v>
      </x:c>
      <x:c r="F2663" s="11" t="n">
        <x:v>0</x:v>
      </x:c>
      <x:c r="G2663" s="11" t="n">
        <x:v>909.37</x:v>
      </x:c>
      <x:c r="H2663" s="23" t="n">
        <x:v>0.00004428661875811544</x:v>
      </x:c>
      <x:c r="I2663" s="23" t="n">
        <x:v>0.9670393622992468</x:v>
      </x:c>
      <x:c r="J2663" s="2" t="n">
        <x:v>33</x:v>
      </x:c>
      <x:c r="K2663" s="2"/>
      <x:c r="L2663" s="2"/>
    </x:row>
    <x:row r="2664" ht="22" customHeight="1">
      <x:c r="A2664" s="2"/>
      <x:c r="B2664" s="2" t="n">
        <x:v>2631</x:v>
      </x:c>
      <x:c r="C2664" s="2" t="str">
        <x:v>23004</x:v>
      </x:c>
      <x:c r="D2664" s="2" t="str">
        <x:v>TRAVEL CARD WALLET PANTRY</x:v>
      </x:c>
      <x:c r="E2664" s="11" t="n">
        <x:v>906.9399999999999</x:v>
      </x:c>
      <x:c r="F2664" s="11" t="n">
        <x:v>77.28</x:v>
      </x:c>
      <x:c r="G2664" s="11" t="n">
        <x:v>829.66</x:v>
      </x:c>
      <x:c r="H2664" s="23" t="n">
        <x:v>0.000044168276957107904</x:v>
      </x:c>
      <x:c r="I2664" s="23" t="n">
        <x:v>0.9670835305762039</x:v>
      </x:c>
      <x:c r="J2664" s="2" t="n">
        <x:v>221</x:v>
      </x:c>
      <x:c r="K2664" s="2"/>
      <x:c r="L2664" s="2"/>
    </x:row>
    <x:row r="2665" ht="22" customHeight="1">
      <x:c r="A2665" s="2"/>
      <x:c r="B2665" s="2" t="n">
        <x:v>2632</x:v>
      </x:c>
      <x:c r="C2665" s="2" t="str">
        <x:v>22707</x:v>
      </x:c>
      <x:c r="D2665" s="2" t="str">
        <x:v>WRAP MONSTER FUN </x:v>
      </x:c>
      <x:c r="E2665" s="11" t="n">
        <x:v>905.94</x:v>
      </x:c>
      <x:c r="F2665" s="11" t="n">
        <x:v>0</x:v>
      </x:c>
      <x:c r="G2665" s="11" t="n">
        <x:v>905.94</x:v>
      </x:c>
      <x:c r="H2665" s="23" t="n">
        <x:v>0.00004411957662747518</x:v>
      </x:c>
      <x:c r="I2665" s="23" t="n">
        <x:v>0.9671276501528313</x:v>
      </x:c>
      <x:c r="J2665" s="2" t="n">
        <x:v>83</x:v>
      </x:c>
      <x:c r="K2665" s="2"/>
      <x:c r="L2665" s="2"/>
    </x:row>
    <x:row r="2666" ht="22" customHeight="1">
      <x:c r="A2666" s="2"/>
      <x:c r="B2666" s="2" t="n">
        <x:v>2633</x:v>
      </x:c>
      <x:c r="C2666" s="2" t="str">
        <x:v>46000P</x:v>
      </x:c>
      <x:c r="D2666" s="2" t="str">
        <x:v>POLYESTER FILLER PAD 65CMx65CM</x:v>
      </x:c>
      <x:c r="E2666" s="11" t="n">
        <x:v>905.25</x:v>
      </x:c>
      <x:c r="F2666" s="11" t="n">
        <x:v>12.75</x:v>
      </x:c>
      <x:c r="G2666" s="11" t="n">
        <x:v>892.5</x:v>
      </x:c>
      <x:c r="H2666" s="23" t="n">
        <x:v>0.00004408597340002859</x:v>
      </x:c>
      <x:c r="I2666" s="23" t="n">
        <x:v>0.9671717361262313</x:v>
      </x:c>
      <x:c r="J2666" s="2" t="n">
        <x:v>49</x:v>
      </x:c>
      <x:c r="K2666" s="2"/>
      <x:c r="L2666" s="2"/>
    </x:row>
    <x:row r="2667" ht="22" customHeight="1">
      <x:c r="A2667" s="2"/>
      <x:c r="B2667" s="2" t="n">
        <x:v>2634</x:v>
      </x:c>
      <x:c r="C2667" s="2" t="str">
        <x:v>46776C</x:v>
      </x:c>
      <x:c r="D2667" s="2" t="str">
        <x:v>WOVEN FROST CUSHION COVER</x:v>
      </x:c>
      <x:c r="E2667" s="11" t="n">
        <x:v>905.1</x:v>
      </x:c>
      <x:c r="F2667" s="11" t="n">
        <x:v>0</x:v>
      </x:c>
      <x:c r="G2667" s="11" t="n">
        <x:v>905.1</x:v>
      </x:c>
      <x:c r="H2667" s="23" t="n">
        <x:v>0.000044078668350583685</x:v>
      </x:c>
      <x:c r="I2667" s="23" t="n">
        <x:v>0.9672158147945819</x:v>
      </x:c>
      <x:c r="J2667" s="2" t="n">
        <x:v>96</x:v>
      </x:c>
      <x:c r="K2667" s="2"/>
      <x:c r="L2667" s="2"/>
    </x:row>
    <x:row r="2668" ht="22" customHeight="1">
      <x:c r="A2668" s="2"/>
      <x:c r="B2668" s="2" t="n">
        <x:v>2635</x:v>
      </x:c>
      <x:c r="C2668" s="2" t="str">
        <x:v>21318</x:v>
      </x:c>
      <x:c r="D2668" s="2" t="str">
        <x:v>GLASS CHALICE BLUE SMALL </x:v>
      </x:c>
      <x:c r="E2668" s="11" t="n">
        <x:v>903.7199999999999</x:v>
      </x:c>
      <x:c r="F2668" s="11" t="n">
        <x:v>40.059999999999995</x:v>
      </x:c>
      <x:c r="G2668" s="11" t="n">
        <x:v>863.66</x:v>
      </x:c>
      <x:c r="H2668" s="23" t="n">
        <x:v>0.000044011461895690515</x:v>
      </x:c>
      <x:c r="I2668" s="23" t="n">
        <x:v>0.9672598262564776</x:v>
      </x:c>
      <x:c r="J2668" s="2" t="n">
        <x:v>93</x:v>
      </x:c>
      <x:c r="K2668" s="2"/>
      <x:c r="L2668" s="2"/>
    </x:row>
    <x:row r="2669" ht="22" customHeight="1">
      <x:c r="A2669" s="2"/>
      <x:c r="B2669" s="2" t="n">
        <x:v>2636</x:v>
      </x:c>
      <x:c r="C2669" s="2" t="str">
        <x:v>22248</x:v>
      </x:c>
      <x:c r="D2669" s="2" t="str">
        <x:v>DECORATION  PINK CHICK MAGIC GARDEN</x:v>
      </x:c>
      <x:c r="E2669" s="11" t="n">
        <x:v>903.1999999999999</x:v>
      </x:c>
      <x:c r="F2669" s="11" t="n">
        <x:v>17.85</x:v>
      </x:c>
      <x:c r="G2669" s="11" t="n">
        <x:v>885.35</x:v>
      </x:c>
      <x:c r="H2669" s="23" t="n">
        <x:v>0.00004398613772428149</x:v>
      </x:c>
      <x:c r="I2669" s="23" t="n">
        <x:v>0.9673038123942018</x:v>
      </x:c>
      <x:c r="J2669" s="2" t="n">
        <x:v>173</x:v>
      </x:c>
      <x:c r="K2669" s="2"/>
      <x:c r="L2669" s="2"/>
    </x:row>
    <x:row r="2670" ht="22" customHeight="1">
      <x:c r="A2670" s="2"/>
      <x:c r="B2670" s="2" t="n">
        <x:v>2637</x:v>
      </x:c>
      <x:c r="C2670" s="2" t="str">
        <x:v>21480</x:v>
      </x:c>
      <x:c r="D2670" s="2" t="str">
        <x:v>PINK STRIPE HOT WATER BOTTLE</x:v>
      </x:c>
      <x:c r="E2670" s="11" t="n">
        <x:v>902.47</x:v>
      </x:c>
      <x:c r="F2670" s="11" t="n">
        <x:v>17.700000000000003</x:v>
      </x:c>
      <x:c r="G2670" s="11" t="n">
        <x:v>884.7700000000001</x:v>
      </x:c>
      <x:c r="H2670" s="23" t="n">
        <x:v>0.000043950586483649607</x:v>
      </x:c>
      <x:c r="I2670" s="23" t="n">
        <x:v>0.9673477629806855</x:v>
      </x:c>
      <x:c r="J2670" s="2" t="n">
        <x:v>57</x:v>
      </x:c>
      <x:c r="K2670" s="2"/>
      <x:c r="L2670" s="2"/>
    </x:row>
    <x:row r="2671" ht="22" customHeight="1">
      <x:c r="A2671" s="2"/>
      <x:c r="B2671" s="2" t="n">
        <x:v>2638</x:v>
      </x:c>
      <x:c r="C2671" s="2" t="str">
        <x:v>21444</x:v>
      </x:c>
      <x:c r="D2671" s="2" t="str">
        <x:v>BLUE CHALET BIRDFEEDER</x:v>
      </x:c>
      <x:c r="E2671" s="11" t="n">
        <x:v>902.0300000000001</x:v>
      </x:c>
      <x:c r="F2671" s="11" t="n">
        <x:v>3.75</x:v>
      </x:c>
      <x:c r="G2671" s="11" t="n">
        <x:v>898.2800000000001</x:v>
      </x:c>
      <x:c r="H2671" s="23" t="n">
        <x:v>0.00004392915833861121</x:v>
      </x:c>
      <x:c r="I2671" s="23" t="n">
        <x:v>0.9673916921390241</x:v>
      </x:c>
      <x:c r="J2671" s="2" t="n">
        <x:v>36</x:v>
      </x:c>
      <x:c r="K2671" s="2"/>
      <x:c r="L2671" s="2"/>
    </x:row>
    <x:row r="2672" ht="22" customHeight="1">
      <x:c r="A2672" s="2"/>
      <x:c r="B2672" s="2" t="n">
        <x:v>2639</x:v>
      </x:c>
      <x:c r="C2672" s="2" t="str">
        <x:v>23532</x:v>
      </x:c>
      <x:c r="D2672" s="2" t="str">
        <x:v>WALL ART WORK REST AND PLAY  </x:v>
      </x:c>
      <x:c r="E2672" s="11" t="n">
        <x:v>901.58</x:v>
      </x:c>
      <x:c r="F2672" s="11" t="n">
        <x:v>0</x:v>
      </x:c>
      <x:c r="G2672" s="11" t="n">
        <x:v>901.58</x:v>
      </x:c>
      <x:c r="H2672" s="23" t="n">
        <x:v>0.000043907243190276475</x:v>
      </x:c>
      <x:c r="I2672" s="23" t="n">
        <x:v>0.9674355993822144</x:v>
      </x:c>
      <x:c r="J2672" s="2" t="n">
        <x:v>31</x:v>
      </x:c>
      <x:c r="K2672" s="2"/>
      <x:c r="L2672" s="2"/>
    </x:row>
    <x:row r="2673" ht="22" customHeight="1">
      <x:c r="A2673" s="2"/>
      <x:c r="B2673" s="2" t="n">
        <x:v>2640</x:v>
      </x:c>
      <x:c r="C2673" s="2" t="str">
        <x:v>84660B</x:v>
      </x:c>
      <x:c r="D2673" s="2" t="str">
        <x:v>BLACK STITCHED WALL CLOCK</x:v>
      </x:c>
      <x:c r="E2673" s="11" t="n">
        <x:v>901.0600000000001</x:v>
      </x:c>
      <x:c r="F2673" s="11" t="n">
        <x:v>0</x:v>
      </x:c>
      <x:c r="G2673" s="11" t="n">
        <x:v>901.0600000000001</x:v>
      </x:c>
      <x:c r="H2673" s="23" t="n">
        <x:v>0.00004388191901886746</x:v>
      </x:c>
      <x:c r="I2673" s="23" t="n">
        <x:v>0.9674794813012332</x:v>
      </x:c>
      <x:c r="J2673" s="2" t="n">
        <x:v>61</x:v>
      </x:c>
      <x:c r="K2673" s="2"/>
      <x:c r="L2673" s="2"/>
    </x:row>
    <x:row r="2674" ht="22" customHeight="1">
      <x:c r="A2674" s="2"/>
      <x:c r="B2674" s="2" t="n">
        <x:v>2641</x:v>
      </x:c>
      <x:c r="C2674" s="2" t="str">
        <x:v>85031B</x:v>
      </x:c>
      <x:c r="D2674" s="2" t="str">
        <x:v>BLOSSOM IMAGES SCRAP BOOK SET</x:v>
      </x:c>
      <x:c r="E2674" s="11" t="n">
        <x:v>901.04</x:v>
      </x:c>
      <x:c r="F2674" s="11" t="n">
        <x:v>0</x:v>
      </x:c>
      <x:c r="G2674" s="11" t="n">
        <x:v>901.04</x:v>
      </x:c>
      <x:c r="H2674" s="23" t="n">
        <x:v>0.0000438809450122748</x:v>
      </x:c>
      <x:c r="I2674" s="23" t="n">
        <x:v>0.9675233622462455</x:v>
      </x:c>
      <x:c r="J2674" s="2" t="n">
        <x:v>85</x:v>
      </x:c>
      <x:c r="K2674" s="2"/>
      <x:c r="L2674" s="2"/>
    </x:row>
    <x:row r="2675" ht="22" customHeight="1">
      <x:c r="A2675" s="2"/>
      <x:c r="B2675" s="2" t="n">
        <x:v>2642</x:v>
      </x:c>
      <x:c r="C2675" s="2" t="str">
        <x:v>84820</x:v>
      </x:c>
      <x:c r="D2675" s="2" t="str">
        <x:v>DANISH ROSE TRINKET TRAYS</x:v>
      </x:c>
      <x:c r="E2675" s="11" t="n">
        <x:v>900.95</x:v>
      </x:c>
      <x:c r="F2675" s="11" t="n">
        <x:v>35.7</x:v>
      </x:c>
      <x:c r="G2675" s="11" t="n">
        <x:v>865.25</x:v>
      </x:c>
      <x:c r="H2675" s="23" t="n">
        <x:v>0.000043876561982607854</x:v>
      </x:c>
      <x:c r="I2675" s="23" t="n">
        <x:v>0.967567238808228</x:v>
      </x:c>
      <x:c r="J2675" s="2" t="n">
        <x:v>54</x:v>
      </x:c>
      <x:c r="K2675" s="2"/>
      <x:c r="L2675" s="2"/>
    </x:row>
    <x:row r="2676" ht="22" customHeight="1">
      <x:c r="A2676" s="2"/>
      <x:c r="B2676" s="2" t="n">
        <x:v>2643</x:v>
      </x:c>
      <x:c r="C2676" s="2" t="str">
        <x:v>21270</x:v>
      </x:c>
      <x:c r="D2676" s="2" t="str">
        <x:v>ANTIQUE CREAM CUTLERY CUPBOARD</x:v>
      </x:c>
      <x:c r="E2676" s="11" t="n">
        <x:v>899.93</x:v>
      </x:c>
      <x:c r="F2676" s="11" t="n">
        <x:v>0</x:v>
      </x:c>
      <x:c r="G2676" s="11" t="n">
        <x:v>899.93</x:v>
      </x:c>
      <x:c r="H2676" s="23" t="n">
        <x:v>0.00004382688764638247</x:v>
      </x:c>
      <x:c r="I2676" s="23" t="n">
        <x:v>0.9676110656958744</x:v>
      </x:c>
      <x:c r="J2676" s="2" t="n">
        <x:v>51</x:v>
      </x:c>
      <x:c r="K2676" s="2"/>
      <x:c r="L2676" s="2"/>
    </x:row>
    <x:row r="2677" ht="22" customHeight="1">
      <x:c r="A2677" s="2"/>
      <x:c r="B2677" s="2" t="n">
        <x:v>2644</x:v>
      </x:c>
      <x:c r="C2677" s="2" t="str">
        <x:v>20913</x:v>
      </x:c>
      <x:c r="D2677" s="2" t="str">
        <x:v>SET/5 BLUE SPOTTY LID GLASS BOWLS</x:v>
      </x:c>
      <x:c r="E2677" s="11" t="n">
        <x:v>898.7199999999999</x:v>
      </x:c>
      <x:c r="F2677" s="11" t="n">
        <x:v>0</x:v>
      </x:c>
      <x:c r="G2677" s="11" t="n">
        <x:v>898.7199999999999</x:v>
      </x:c>
      <x:c r="H2677" s="23" t="n">
        <x:v>0.00004376796024752686</x:v>
      </x:c>
      <x:c r="I2677" s="23" t="n">
        <x:v>0.9676548336561219</x:v>
      </x:c>
      <x:c r="J2677" s="2" t="n">
        <x:v>43</x:v>
      </x:c>
      <x:c r="K2677" s="2"/>
      <x:c r="L2677" s="2"/>
    </x:row>
    <x:row r="2678" ht="22" customHeight="1">
      <x:c r="A2678" s="2"/>
      <x:c r="B2678" s="2" t="n">
        <x:v>2645</x:v>
      </x:c>
      <x:c r="C2678" s="2" t="str">
        <x:v>20757</x:v>
      </x:c>
      <x:c r="D2678" s="2" t="str">
        <x:v>RED DAISY POCKET BOOK </x:v>
      </x:c>
      <x:c r="E2678" s="11" t="n">
        <x:v>898.35</x:v>
      </x:c>
      <x:c r="F2678" s="11" t="n">
        <x:v>0</x:v>
      </x:c>
      <x:c r="G2678" s="11" t="n">
        <x:v>898.35</x:v>
      </x:c>
      <x:c r="H2678" s="23" t="n">
        <x:v>0.00004374994112556276</x:v>
      </x:c>
      <x:c r="I2678" s="23" t="n">
        <x:v>0.9676985835972475</x:v>
      </x:c>
      <x:c r="J2678" s="2" t="n">
        <x:v>78</x:v>
      </x:c>
      <x:c r="K2678" s="2"/>
      <x:c r="L2678" s="2"/>
    </x:row>
    <x:row r="2679" ht="22" customHeight="1">
      <x:c r="A2679" s="2"/>
      <x:c r="B2679" s="2" t="n">
        <x:v>2646</x:v>
      </x:c>
      <x:c r="C2679" s="2" t="str">
        <x:v>84086C</x:v>
      </x:c>
      <x:c r="D2679" s="2" t="str">
        <x:v>PINK/PURPLE RETRO RADIO</x:v>
      </x:c>
      <x:c r="E2679" s="11" t="n">
        <x:v>896.5500000000001</x:v>
      </x:c>
      <x:c r="F2679" s="11" t="n">
        <x:v>0</x:v>
      </x:c>
      <x:c r="G2679" s="11" t="n">
        <x:v>896.5500000000001</x:v>
      </x:c>
      <x:c r="H2679" s="23" t="n">
        <x:v>0.000043662280532223844</x:v>
      </x:c>
      <x:c r="I2679" s="23" t="n">
        <x:v>0.9677422458777797</x:v>
      </x:c>
      <x:c r="J2679" s="2" t="n">
        <x:v>88</x:v>
      </x:c>
      <x:c r="K2679" s="2"/>
      <x:c r="L2679" s="2"/>
    </x:row>
    <x:row r="2680" ht="22" customHeight="1">
      <x:c r="A2680" s="2"/>
      <x:c r="B2680" s="2" t="n">
        <x:v>2647</x:v>
      </x:c>
      <x:c r="C2680" s="2" t="str">
        <x:v>23502</x:v>
      </x:c>
      <x:c r="D2680" s="2" t="str">
        <x:v>PLAYING CARDS VINTAGE DOILY </x:v>
      </x:c>
      <x:c r="E2680" s="11" t="n">
        <x:v>896.41</x:v>
      </x:c>
      <x:c r="F2680" s="11" t="n">
        <x:v>0</x:v>
      </x:c>
      <x:c r="G2680" s="11" t="n">
        <x:v>896.41</x:v>
      </x:c>
      <x:c r="H2680" s="23" t="n">
        <x:v>0.00004365546248607526</x:v>
      </x:c>
      <x:c r="I2680" s="23" t="n">
        <x:v>0.9677859013402658</x:v>
      </x:c>
      <x:c r="J2680" s="2" t="n">
        <x:v>94</x:v>
      </x:c>
      <x:c r="K2680" s="2"/>
      <x:c r="L2680" s="2"/>
    </x:row>
    <x:row r="2681" ht="22" customHeight="1">
      <x:c r="A2681" s="2"/>
      <x:c r="B2681" s="2" t="n">
        <x:v>2648</x:v>
      </x:c>
      <x:c r="C2681" s="2" t="str">
        <x:v>17109B</x:v>
      </x:c>
      <x:c r="D2681" s="2" t="str">
        <x:v>FLOWER FAIRY INCENSE LAVENDER</x:v>
      </x:c>
      <x:c r="E2681" s="11" t="n">
        <x:v>896.3399999999999</x:v>
      </x:c>
      <x:c r="F2681" s="11" t="n">
        <x:v>0</x:v>
      </x:c>
      <x:c r="G2681" s="11" t="n">
        <x:v>896.3399999999999</x:v>
      </x:c>
      <x:c r="H2681" s="23" t="n">
        <x:v>0.00004365205346300097</x:v>
      </x:c>
      <x:c r="I2681" s="23" t="n">
        <x:v>0.9678295533937288</x:v>
      </x:c>
      <x:c r="J2681" s="2" t="n">
        <x:v>17</x:v>
      </x:c>
      <x:c r="K2681" s="2"/>
      <x:c r="L2681" s="2"/>
    </x:row>
    <x:row r="2682" ht="22" customHeight="1">
      <x:c r="A2682" s="2"/>
      <x:c r="B2682" s="2" t="n">
        <x:v>2649</x:v>
      </x:c>
      <x:c r="C2682" s="2" t="str">
        <x:v>20941</x:v>
      </x:c>
      <x:c r="D2682" s="2" t="str">
        <x:v>FROG CANDLE</x:v>
      </x:c>
      <x:c r="E2682" s="11" t="n">
        <x:v>896.28</x:v>
      </x:c>
      <x:c r="F2682" s="11" t="n">
        <x:v>41.35</x:v>
      </x:c>
      <x:c r="G2682" s="11" t="n">
        <x:v>854.93</x:v>
      </x:c>
      <x:c r="H2682" s="23" t="n">
        <x:v>0.00004364913144322301</x:v>
      </x:c>
      <x:c r="I2682" s="23" t="n">
        <x:v>0.967873202525172</x:v>
      </x:c>
      <x:c r="J2682" s="2" t="n">
        <x:v>124</x:v>
      </x:c>
      <x:c r="K2682" s="2"/>
      <x:c r="L2682" s="2"/>
    </x:row>
    <x:row r="2683" ht="22" customHeight="1">
      <x:c r="A2683" s="2"/>
      <x:c r="B2683" s="2" t="n">
        <x:v>2650</x:v>
      </x:c>
      <x:c r="C2683" s="2" t="str">
        <x:v>84760L</x:v>
      </x:c>
      <x:c r="D2683" s="2" t="str">
        <x:v>LARGE HANGING GLASS+ZINC LANTERN</x:v>
      </x:c>
      <x:c r="E2683" s="11" t="n">
        <x:v>896</x:v>
      </x:c>
      <x:c r="F2683" s="11" t="n">
        <x:v>0</x:v>
      </x:c>
      <x:c r="G2683" s="11" t="n">
        <x:v>896</x:v>
      </x:c>
      <x:c r="H2683" s="23" t="n">
        <x:v>0.000043635495350925844</x:v>
      </x:c>
      <x:c r="I2683" s="23" t="n">
        <x:v>0.9679168380205229</x:v>
      </x:c>
      <x:c r="J2683" s="2" t="n">
        <x:v>1</x:v>
      </x:c>
      <x:c r="K2683" s="2"/>
      <x:c r="L2683" s="2"/>
    </x:row>
    <x:row r="2684" ht="22" customHeight="1">
      <x:c r="A2684" s="2"/>
      <x:c r="B2684" s="2" t="n">
        <x:v>2651</x:v>
      </x:c>
      <x:c r="C2684" s="2" t="str">
        <x:v>22936</x:v>
      </x:c>
      <x:c r="D2684" s="2" t="str">
        <x:v>BAKING MOULD ROSE WHITE CHOCOLATE</x:v>
      </x:c>
      <x:c r="E2684" s="11" t="n">
        <x:v>895.97</x:v>
      </x:c>
      <x:c r="F2684" s="11" t="n">
        <x:v>198</x:v>
      </x:c>
      <x:c r="G2684" s="11" t="n">
        <x:v>697.97</x:v>
      </x:c>
      <x:c r="H2684" s="23" t="n">
        <x:v>0.00004363403434103686</x:v>
      </x:c>
      <x:c r="I2684" s="23" t="n">
        <x:v>0.9679604720548639</x:v>
      </x:c>
      <x:c r="J2684" s="2" t="n">
        <x:v>50</x:v>
      </x:c>
      <x:c r="K2684" s="2"/>
      <x:c r="L2684" s="2"/>
    </x:row>
    <x:row r="2685" ht="22" customHeight="1">
      <x:c r="A2685" s="2"/>
      <x:c r="B2685" s="2" t="n">
        <x:v>2652</x:v>
      </x:c>
      <x:c r="C2685" s="2" t="str">
        <x:v>21676</x:v>
      </x:c>
      <x:c r="D2685" s="2" t="str">
        <x:v>FLOWERS  STICKERS</x:v>
      </x:c>
      <x:c r="E2685" s="11" t="n">
        <x:v>893.7199999999999</x:v>
      </x:c>
      <x:c r="F2685" s="11" t="n">
        <x:v>0</x:v>
      </x:c>
      <x:c r="G2685" s="11" t="n">
        <x:v>893.7199999999999</x:v>
      </x:c>
      <x:c r="H2685" s="23" t="n">
        <x:v>0.000043524458599363215</x:v>
      </x:c>
      <x:c r="I2685" s="23" t="n">
        <x:v>0.9680039965134632</x:v>
      </x:c>
      <x:c r="J2685" s="2" t="n">
        <x:v>159</x:v>
      </x:c>
      <x:c r="K2685" s="2"/>
      <x:c r="L2685" s="2"/>
    </x:row>
    <x:row r="2686" ht="22" customHeight="1">
      <x:c r="A2686" s="2"/>
      <x:c r="B2686" s="2" t="n">
        <x:v>2653</x:v>
      </x:c>
      <x:c r="C2686" s="2" t="str">
        <x:v>85049e</x:v>
      </x:c>
      <x:c r="D2686" s="2" t="str">
        <x:v>SCANDINAVIAN REDS RIBBONS</x:v>
      </x:c>
      <x:c r="E2686" s="11" t="n">
        <x:v>893.25</x:v>
      </x:c>
      <x:c r="F2686" s="11" t="n">
        <x:v>0</x:v>
      </x:c>
      <x:c r="G2686" s="11" t="n">
        <x:v>893.25</x:v>
      </x:c>
      <x:c r="H2686" s="23" t="n">
        <x:v>0.000043501569444435835</x:v>
      </x:c>
      <x:c r="I2686" s="23" t="n">
        <x:v>0.9680474980829077</x:v>
      </x:c>
      <x:c r="J2686" s="2" t="n">
        <x:v>61</x:v>
      </x:c>
      <x:c r="K2686" s="2"/>
      <x:c r="L2686" s="2"/>
    </x:row>
    <x:row r="2687" ht="22" customHeight="1">
      <x:c r="A2687" s="2"/>
      <x:c r="B2687" s="2" t="n">
        <x:v>2654</x:v>
      </x:c>
      <x:c r="C2687" s="2" t="str">
        <x:v>84666</x:v>
      </x:c>
      <x:c r="D2687" s="2" t="str">
        <x:v>SQUARE CHERRY BLOSSOM CABINET</x:v>
      </x:c>
      <x:c r="E2687" s="11" t="n">
        <x:v>892.7</x:v>
      </x:c>
      <x:c r="F2687" s="11" t="n">
        <x:v>0</x:v>
      </x:c>
      <x:c r="G2687" s="11" t="n">
        <x:v>892.7</x:v>
      </x:c>
      <x:c r="H2687" s="23" t="n">
        <x:v>0.000043474784263137835</x:v>
      </x:c>
      <x:c r="I2687" s="23" t="n">
        <x:v>0.9680909728671708</x:v>
      </x:c>
      <x:c r="J2687" s="2" t="n">
        <x:v>33</x:v>
      </x:c>
      <x:c r="K2687" s="2"/>
      <x:c r="L2687" s="2"/>
    </x:row>
    <x:row r="2688" ht="22" customHeight="1">
      <x:c r="A2688" s="2"/>
      <x:c r="B2688" s="2" t="n">
        <x:v>2655</x:v>
      </x:c>
      <x:c r="C2688" s="2" t="str">
        <x:v>20759</x:v>
      </x:c>
      <x:c r="D2688" s="2" t="str">
        <x:v>CHRYSANTHEMUM POCKET BOOK </x:v>
      </x:c>
      <x:c r="E2688" s="11" t="n">
        <x:v>891.13</x:v>
      </x:c>
      <x:c r="F2688" s="11" t="n">
        <x:v>0</x:v>
      </x:c>
      <x:c r="G2688" s="11" t="n">
        <x:v>891.13</x:v>
      </x:c>
      <x:c r="H2688" s="23" t="n">
        <x:v>0.000043398324745614446</x:v>
      </x:c>
      <x:c r="I2688" s="23" t="n">
        <x:v>0.9681343711919165</x:v>
      </x:c>
      <x:c r="J2688" s="2" t="n">
        <x:v>63</x:v>
      </x:c>
      <x:c r="K2688" s="2"/>
      <x:c r="L2688" s="2"/>
    </x:row>
    <x:row r="2689" ht="22" customHeight="1">
      <x:c r="A2689" s="2"/>
      <x:c r="B2689" s="2" t="n">
        <x:v>2656</x:v>
      </x:c>
      <x:c r="C2689" s="2" t="str">
        <x:v>85214</x:v>
      </x:c>
      <x:c r="D2689" s="2" t="str">
        <x:v>TUB 24 PINK FLOWER PEGS</x:v>
      </x:c>
      <x:c r="E2689" s="11" t="n">
        <x:v>889.5299999999999</x:v>
      </x:c>
      <x:c r="F2689" s="11" t="n">
        <x:v>0</x:v>
      </x:c>
      <x:c r="G2689" s="11" t="n">
        <x:v>889.5299999999999</x:v>
      </x:c>
      <x:c r="H2689" s="23" t="n">
        <x:v>0.000043320404218202074</x:v>
      </x:c>
      <x:c r="I2689" s="23" t="n">
        <x:v>0.9681776915961346</x:v>
      </x:c>
      <x:c r="J2689" s="2" t="n">
        <x:v>169</x:v>
      </x:c>
      <x:c r="K2689" s="2"/>
      <x:c r="L2689" s="2"/>
    </x:row>
    <x:row r="2690" ht="22" customHeight="1">
      <x:c r="A2690" s="2"/>
      <x:c r="B2690" s="2" t="n">
        <x:v>2657</x:v>
      </x:c>
      <x:c r="C2690" s="2" t="str">
        <x:v>85194S</x:v>
      </x:c>
      <x:c r="D2690" s="2" t="str">
        <x:v>HANGING SPRING FLOWER EGG SMALL</x:v>
      </x:c>
      <x:c r="E2690" s="11" t="n">
        <x:v>889.46</x:v>
      </x:c>
      <x:c r="F2690" s="11" t="n">
        <x:v>18.39</x:v>
      </x:c>
      <x:c r="G2690" s="11" t="n">
        <x:v>871.07</x:v>
      </x:c>
      <x:c r="H2690" s="23" t="n">
        <x:v>0.000043316995195127794</x:v>
      </x:c>
      <x:c r="I2690" s="23" t="n">
        <x:v>0.9682210085913298</x:v>
      </x:c>
      <x:c r="J2690" s="2" t="n">
        <x:v>131</x:v>
      </x:c>
      <x:c r="K2690" s="2"/>
      <x:c r="L2690" s="2"/>
    </x:row>
    <x:row r="2691" ht="22" customHeight="1">
      <x:c r="A2691" s="2"/>
      <x:c r="B2691" s="2" t="n">
        <x:v>2658</x:v>
      </x:c>
      <x:c r="C2691" s="2" t="str">
        <x:v>21724</x:v>
      </x:c>
      <x:c r="D2691" s="2" t="str">
        <x:v>PANDA AND BUNNIES STICKER SHEET</x:v>
      </x:c>
      <x:c r="E2691" s="11" t="n">
        <x:v>888.3399999999999</x:v>
      </x:c>
      <x:c r="F2691" s="11" t="n">
        <x:v>1.7</x:v>
      </x:c>
      <x:c r="G2691" s="11" t="n">
        <x:v>886.64</x:v>
      </x:c>
      <x:c r="H2691" s="23" t="n">
        <x:v>0.00004326245082593913</x:v>
      </x:c>
      <x:c r="I2691" s="23" t="n">
        <x:v>0.9682642710421557</x:v>
      </x:c>
      <x:c r="J2691" s="2" t="n">
        <x:v>178</x:v>
      </x:c>
      <x:c r="K2691" s="2"/>
      <x:c r="L2691" s="2"/>
    </x:row>
    <x:row r="2692" ht="22" customHeight="1">
      <x:c r="A2692" s="2"/>
      <x:c r="B2692" s="2" t="n">
        <x:v>2659</x:v>
      </x:c>
      <x:c r="C2692" s="2" t="str">
        <x:v>20803</x:v>
      </x:c>
      <x:c r="D2692" s="2" t="str">
        <x:v>damages</x:v>
      </x:c>
      <x:c r="E2692" s="11" t="n">
        <x:v>886.6999999999999</x:v>
      </x:c>
      <x:c r="F2692" s="11" t="n">
        <x:v>38.459999999999994</x:v>
      </x:c>
      <x:c r="G2692" s="11" t="n">
        <x:v>848.24</x:v>
      </x:c>
      <x:c r="H2692" s="23" t="n">
        <x:v>0.00004318258228534145</x:v>
      </x:c>
      <x:c r="I2692" s="23" t="n">
        <x:v>0.968307453624441</x:v>
      </x:c>
      <x:c r="J2692" s="2" t="n">
        <x:v>84</x:v>
      </x:c>
      <x:c r="K2692" s="2"/>
      <x:c r="L2692" s="2"/>
    </x:row>
    <x:row r="2693" ht="22" customHeight="1">
      <x:c r="A2693" s="2"/>
      <x:c r="B2693" s="2" t="n">
        <x:v>2660</x:v>
      </x:c>
      <x:c r="C2693" s="2" t="str">
        <x:v>20991</x:v>
      </x:c>
      <x:c r="D2693" s="2" t="str">
        <x:v>JAZZ HEARTS MAGNETIC MEMO PAD</x:v>
      </x:c>
      <x:c r="E2693" s="11" t="n">
        <x:v>884.5600000000002</x:v>
      </x:c>
      <x:c r="F2693" s="11" t="n">
        <x:v>0</x:v>
      </x:c>
      <x:c r="G2693" s="11" t="n">
        <x:v>884.5600000000002</x:v>
      </x:c>
      <x:c r="H2693" s="23" t="n">
        <x:v>0.000043078363579927426</x:v>
      </x:c>
      <x:c r="I2693" s="23" t="n">
        <x:v>0.968350531988021</x:v>
      </x:c>
      <x:c r="J2693" s="2" t="n">
        <x:v>32</x:v>
      </x:c>
      <x:c r="K2693" s="2"/>
      <x:c r="L2693" s="2"/>
    </x:row>
    <x:row r="2694" ht="22" customHeight="1">
      <x:c r="A2694" s="2"/>
      <x:c r="B2694" s="2" t="n">
        <x:v>2661</x:v>
      </x:c>
      <x:c r="C2694" s="2" t="str">
        <x:v>35598B</x:v>
      </x:c>
      <x:c r="D2694" s="2" t="str">
        <x:v>BLACK CHRISTMAS TREE 60CM</x:v>
      </x:c>
      <x:c r="E2694" s="11" t="n">
        <x:v>883.5</x:v>
      </x:c>
      <x:c r="F2694" s="11" t="n">
        <x:v>0</x:v>
      </x:c>
      <x:c r="G2694" s="11" t="n">
        <x:v>883.5</x:v>
      </x:c>
      <x:c r="H2694" s="23" t="n">
        <x:v>0.00004302674123051672</x:v>
      </x:c>
      <x:c r="I2694" s="23" t="n">
        <x:v>0.9683935587292515</x:v>
      </x:c>
      <x:c r="J2694" s="2" t="n">
        <x:v>57</x:v>
      </x:c>
      <x:c r="K2694" s="2"/>
      <x:c r="L2694" s="2"/>
    </x:row>
    <x:row r="2695" ht="22" customHeight="1">
      <x:c r="A2695" s="2"/>
      <x:c r="B2695" s="2" t="n">
        <x:v>2662</x:v>
      </x:c>
      <x:c r="C2695" s="2" t="str">
        <x:v>22164</x:v>
      </x:c>
      <x:c r="D2695" s="2" t="str">
        <x:v>STRING OF STARS CARD HOLDER</x:v>
      </x:c>
      <x:c r="E2695" s="11" t="n">
        <x:v>883.2200000000001</x:v>
      </x:c>
      <x:c r="F2695" s="11" t="n">
        <x:v>2.95</x:v>
      </x:c>
      <x:c r="G2695" s="11" t="n">
        <x:v>880.2700000000001</x:v>
      </x:c>
      <x:c r="H2695" s="23" t="n">
        <x:v>0.000043013105138219565</x:v>
      </x:c>
      <x:c r="I2695" s="23" t="n">
        <x:v>0.9684365718343897</x:v>
      </x:c>
      <x:c r="J2695" s="2" t="n">
        <x:v>49</x:v>
      </x:c>
      <x:c r="K2695" s="2"/>
      <x:c r="L2695" s="2"/>
    </x:row>
    <x:row r="2696" ht="22" customHeight="1">
      <x:c r="A2696" s="2"/>
      <x:c r="B2696" s="2" t="n">
        <x:v>2663</x:v>
      </x:c>
      <x:c r="C2696" s="2" t="str">
        <x:v>21147</x:v>
      </x:c>
      <x:c r="D2696" s="2" t="str">
        <x:v>JINGLE BELLS TREE DECORATION</x:v>
      </x:c>
      <x:c r="E2696" s="11" t="n">
        <x:v>883.08</x:v>
      </x:c>
      <x:c r="F2696" s="11" t="n">
        <x:v>4.2</x:v>
      </x:c>
      <x:c r="G2696" s="11" t="n">
        <x:v>878.88</x:v>
      </x:c>
      <x:c r="H2696" s="23" t="n">
        <x:v>0.00004300628709207098</x:v>
      </x:c>
      <x:c r="I2696" s="23" t="n">
        <x:v>0.9684795781214818</x:v>
      </x:c>
      <x:c r="J2696" s="2" t="n">
        <x:v>118</x:v>
      </x:c>
      <x:c r="K2696" s="2"/>
      <x:c r="L2696" s="2"/>
    </x:row>
    <x:row r="2697" ht="22" customHeight="1">
      <x:c r="A2697" s="2"/>
      <x:c r="B2697" s="2" t="n">
        <x:v>2664</x:v>
      </x:c>
      <x:c r="C2697" s="2" t="str">
        <x:v>23479</x:v>
      </x:c>
      <x:c r="D2697" s="2" t="str">
        <x:v>WIRE EGG BASKET </x:v>
      </x:c>
      <x:c r="E2697" s="11" t="n">
        <x:v>880.23</x:v>
      </x:c>
      <x:c r="F2697" s="11" t="n">
        <x:v>0</x:v>
      </x:c>
      <x:c r="G2697" s="11" t="n">
        <x:v>880.23</x:v>
      </x:c>
      <x:c r="H2697" s="23" t="n">
        <x:v>0.000042867491152617696</x:v>
      </x:c>
      <x:c r="I2697" s="23" t="n">
        <x:v>0.9685224456126343</x:v>
      </x:c>
      <x:c r="J2697" s="2" t="n">
        <x:v>44</x:v>
      </x:c>
      <x:c r="K2697" s="2"/>
      <x:c r="L2697" s="2"/>
    </x:row>
    <x:row r="2698" ht="22" customHeight="1">
      <x:c r="A2698" s="2"/>
      <x:c r="B2698" s="2" t="n">
        <x:v>2665</x:v>
      </x:c>
      <x:c r="C2698" s="2" t="str">
        <x:v>84826</x:v>
      </x:c>
      <x:c r="D2698" s="2" t="str">
        <x:v>ASSTD DESIGN 3D PAPER STICKERS</x:v>
      </x:c>
      <x:c r="E2698" s="11" t="n">
        <x:v>878.43</x:v>
      </x:c>
      <x:c r="F2698" s="11" t="n">
        <x:v>102</x:v>
      </x:c>
      <x:c r="G2698" s="11" t="n">
        <x:v>776.43</x:v>
      </x:c>
      <x:c r="H2698" s="23" t="n">
        <x:v>0.00004277983055927878</x:v>
      </x:c>
      <x:c r="I2698" s="23" t="n">
        <x:v>0.9685652254431936</x:v>
      </x:c>
      <x:c r="J2698" s="2" t="n">
        <x:v>51</x:v>
      </x:c>
      <x:c r="K2698" s="2"/>
      <x:c r="L2698" s="2"/>
    </x:row>
    <x:row r="2699" ht="22" customHeight="1">
      <x:c r="A2699" s="2"/>
      <x:c r="B2699" s="2" t="n">
        <x:v>2666</x:v>
      </x:c>
      <x:c r="C2699" s="2" t="str">
        <x:v>90200E</x:v>
      </x:c>
      <x:c r="D2699" s="2" t="str">
        <x:v>GREEN SWEETHEART BRACELET</x:v>
      </x:c>
      <x:c r="E2699" s="11" t="n">
        <x:v>878.22</x:v>
      </x:c>
      <x:c r="F2699" s="11" t="n">
        <x:v>68</x:v>
      </x:c>
      <x:c r="G2699" s="11" t="n">
        <x:v>810.22</x:v>
      </x:c>
      <x:c r="H2699" s="23" t="n">
        <x:v>0.00004276960349005591</x:v>
      </x:c>
      <x:c r="I2699" s="23" t="n">
        <x:v>0.9686079950466836</x:v>
      </x:c>
      <x:c r="J2699" s="2" t="n">
        <x:v>91</x:v>
      </x:c>
      <x:c r="K2699" s="2"/>
      <x:c r="L2699" s="2"/>
    </x:row>
    <x:row r="2700" ht="22" customHeight="1">
      <x:c r="A2700" s="2"/>
      <x:c r="B2700" s="2" t="n">
        <x:v>2667</x:v>
      </x:c>
      <x:c r="C2700" s="2" t="str">
        <x:v>72799A</x:v>
      </x:c>
      <x:c r="D2700" s="2" t="str">
        <x:v>BLACK PILLAR CANDLE SILVER FLOCK</x:v>
      </x:c>
      <x:c r="E2700" s="11" t="n">
        <x:v>877.8000000000001</x:v>
      </x:c>
      <x:c r="F2700" s="11" t="n">
        <x:v>0</x:v>
      </x:c>
      <x:c r="G2700" s="11" t="n">
        <x:v>877.8000000000001</x:v>
      </x:c>
      <x:c r="H2700" s="23" t="n">
        <x:v>0.00004274914935161017</x:v>
      </x:c>
      <x:c r="I2700" s="23" t="n">
        <x:v>0.9686507441960353</x:v>
      </x:c>
      <x:c r="J2700" s="2" t="n">
        <x:v>18</x:v>
      </x:c>
      <x:c r="K2700" s="2"/>
      <x:c r="L2700" s="2"/>
    </x:row>
    <x:row r="2701" ht="22" customHeight="1">
      <x:c r="A2701" s="2"/>
      <x:c r="B2701" s="2" t="n">
        <x:v>2668</x:v>
      </x:c>
      <x:c r="C2701" s="2" t="str">
        <x:v>23423</x:v>
      </x:c>
      <x:c r="D2701" s="2" t="str">
        <x:v>PANTRY 3 HOOK ROLLING PIN HANGER</x:v>
      </x:c>
      <x:c r="E2701" s="11" t="n">
        <x:v>876.9</x:v>
      </x:c>
      <x:c r="F2701" s="11" t="n">
        <x:v>18.75</x:v>
      </x:c>
      <x:c r="G2701" s="11" t="n">
        <x:v>858.15</x:v>
      </x:c>
      <x:c r="H2701" s="23" t="n">
        <x:v>0.0000427053190549407</x:v>
      </x:c>
      <x:c r="I2701" s="23" t="n">
        <x:v>0.9686934495150902</x:v>
      </x:c>
      <x:c r="J2701" s="2" t="n">
        <x:v>66</x:v>
      </x:c>
      <x:c r="K2701" s="2"/>
      <x:c r="L2701" s="2"/>
    </x:row>
    <x:row r="2702" ht="22" customHeight="1">
      <x:c r="A2702" s="2"/>
      <x:c r="B2702" s="2" t="n">
        <x:v>2669</x:v>
      </x:c>
      <x:c r="C2702" s="2" t="str">
        <x:v>21062</x:v>
      </x:c>
      <x:c r="D2702" s="2" t="str">
        <x:v>PARTY INVITES SPACEMAN</x:v>
      </x:c>
      <x:c r="E2702" s="11" t="n">
        <x:v>876.7199999999999</x:v>
      </x:c>
      <x:c r="F2702" s="11" t="n">
        <x:v>0</x:v>
      </x:c>
      <x:c r="G2702" s="11" t="n">
        <x:v>876.7199999999999</x:v>
      </x:c>
      <x:c r="H2702" s="23" t="n">
        <x:v>0.00004269655299560681</x:v>
      </x:c>
      <x:c r="I2702" s="23" t="n">
        <x:v>0.9687361460680858</x:v>
      </x:c>
      <x:c r="J2702" s="2" t="n">
        <x:v>136</x:v>
      </x:c>
      <x:c r="K2702" s="2"/>
      <x:c r="L2702" s="2"/>
    </x:row>
    <x:row r="2703" ht="22" customHeight="1">
      <x:c r="A2703" s="2"/>
      <x:c r="B2703" s="2" t="n">
        <x:v>2670</x:v>
      </x:c>
      <x:c r="C2703" s="2" t="str">
        <x:v>21185</x:v>
      </x:c>
      <x:c r="D2703" s="2" t="str">
        <x:v>HOME SWEET HOME  BLACKBOARD</x:v>
      </x:c>
      <x:c r="E2703" s="11" t="n">
        <x:v>876.29</x:v>
      </x:c>
      <x:c r="F2703" s="11" t="n">
        <x:v>44.449999999999996</x:v>
      </x:c>
      <x:c r="G2703" s="11" t="n">
        <x:v>831.8399999999999</x:v>
      </x:c>
      <x:c r="H2703" s="23" t="n">
        <x:v>0.00004267561185386474</x:v>
      </x:c>
      <x:c r="I2703" s="23" t="n">
        <x:v>0.9687788216799397</x:v>
      </x:c>
      <x:c r="J2703" s="2" t="n">
        <x:v>44</x:v>
      </x:c>
      <x:c r="K2703" s="2"/>
      <x:c r="L2703" s="2"/>
    </x:row>
    <x:row r="2704" ht="22" customHeight="1">
      <x:c r="A2704" s="2"/>
      <x:c r="B2704" s="2" t="n">
        <x:v>2671</x:v>
      </x:c>
      <x:c r="C2704" s="2" t="str">
        <x:v>84925F</x:v>
      </x:c>
      <x:c r="D2704" s="2" t="str">
        <x:v>PSYCHEDELIC WALL THERMOMETER</x:v>
      </x:c>
      <x:c r="E2704" s="11" t="n">
        <x:v>875.66</x:v>
      </x:c>
      <x:c r="F2704" s="11" t="n">
        <x:v>0</x:v>
      </x:c>
      <x:c r="G2704" s="11" t="n">
        <x:v>875.66</x:v>
      </x:c>
      <x:c r="H2704" s="23" t="n">
        <x:v>0.00004264493064619612</x:v>
      </x:c>
      <x:c r="I2704" s="23" t="n">
        <x:v>0.9688214666105859</x:v>
      </x:c>
      <x:c r="J2704" s="2" t="n">
        <x:v>34</x:v>
      </x:c>
      <x:c r="K2704" s="2"/>
      <x:c r="L2704" s="2"/>
    </x:row>
    <x:row r="2705" ht="22" customHeight="1">
      <x:c r="A2705" s="2"/>
      <x:c r="B2705" s="2" t="n">
        <x:v>2672</x:v>
      </x:c>
      <x:c r="C2705" s="2" t="str">
        <x:v>90200C</x:v>
      </x:c>
      <x:c r="D2705" s="2" t="str">
        <x:v>BLUE SWEETHEART BRACELET</x:v>
      </x:c>
      <x:c r="E2705" s="11" t="n">
        <x:v>874.63</x:v>
      </x:c>
      <x:c r="F2705" s="11" t="n">
        <x:v>17</x:v>
      </x:c>
      <x:c r="G2705" s="11" t="n">
        <x:v>857.63</x:v>
      </x:c>
      <x:c r="H2705" s="23" t="n">
        <x:v>0.00004259476930667441</x:v>
      </x:c>
      <x:c r="I2705" s="23" t="n">
        <x:v>0.9688640613798926</x:v>
      </x:c>
      <x:c r="J2705" s="2" t="n">
        <x:v>98</x:v>
      </x:c>
      <x:c r="K2705" s="2"/>
      <x:c r="L2705" s="2"/>
    </x:row>
    <x:row r="2706" ht="22" customHeight="1">
      <x:c r="A2706" s="2"/>
      <x:c r="B2706" s="2" t="n">
        <x:v>2673</x:v>
      </x:c>
      <x:c r="C2706" s="2" t="str">
        <x:v>21338</x:v>
      </x:c>
      <x:c r="D2706" s="2" t="str">
        <x:v>MARAKESH LANTERN SMALL </x:v>
      </x:c>
      <x:c r="E2706" s="11" t="n">
        <x:v>873.25</x:v>
      </x:c>
      <x:c r="F2706" s="11" t="n">
        <x:v>0</x:v>
      </x:c>
      <x:c r="G2706" s="11" t="n">
        <x:v>873.25</x:v>
      </x:c>
      <x:c r="H2706" s="23" t="n">
        <x:v>0.00004252756285178124</x:v>
      </x:c>
      <x:c r="I2706" s="23" t="n">
        <x:v>0.9689065889427444</x:v>
      </x:c>
      <x:c r="J2706" s="2" t="n">
        <x:v>13</x:v>
      </x:c>
      <x:c r="K2706" s="2"/>
      <x:c r="L2706" s="2"/>
    </x:row>
    <x:row r="2707" ht="22" customHeight="1">
      <x:c r="A2707" s="2"/>
      <x:c r="B2707" s="2" t="n">
        <x:v>2674</x:v>
      </x:c>
      <x:c r="C2707" s="2" t="str">
        <x:v>85165</x:v>
      </x:c>
      <x:c r="D2707" s="2" t="str">
        <x:v>damages</x:v>
      </x:c>
      <x:c r="E2707" s="11" t="n">
        <x:v>872.76</x:v>
      </x:c>
      <x:c r="F2707" s="11" t="n">
        <x:v>0</x:v>
      </x:c>
      <x:c r="G2707" s="11" t="n">
        <x:v>872.76</x:v>
      </x:c>
      <x:c r="H2707" s="23" t="n">
        <x:v>0.000042503699690261204</x:v>
      </x:c>
      <x:c r="I2707" s="23" t="n">
        <x:v>0.9689490926424347</x:v>
      </x:c>
      <x:c r="J2707" s="2" t="n">
        <x:v>58</x:v>
      </x:c>
      <x:c r="K2707" s="2"/>
      <x:c r="L2707" s="2"/>
    </x:row>
    <x:row r="2708" ht="22" customHeight="1">
      <x:c r="A2708" s="2"/>
      <x:c r="B2708" s="2" t="n">
        <x:v>2675</x:v>
      </x:c>
      <x:c r="C2708" s="2" t="str">
        <x:v>21293</x:v>
      </x:c>
      <x:c r="D2708" s="2" t="str">
        <x:v>MIRRORED DOVE WALL DECORATION</x:v>
      </x:c>
      <x:c r="E2708" s="11" t="n">
        <x:v>872.34</x:v>
      </x:c>
      <x:c r="F2708" s="11" t="n">
        <x:v>4.2</x:v>
      </x:c>
      <x:c r="G2708" s="11" t="n">
        <x:v>868.1400000000001</x:v>
      </x:c>
      <x:c r="H2708" s="23" t="n">
        <x:v>0.00004248324555181546</x:v>
      </x:c>
      <x:c r="I2708" s="23" t="n">
        <x:v>0.9689915758879865</x:v>
      </x:c>
      <x:c r="J2708" s="2" t="n">
        <x:v>85</x:v>
      </x:c>
      <x:c r="K2708" s="2"/>
      <x:c r="L2708" s="2"/>
    </x:row>
    <x:row r="2709" ht="22" customHeight="1">
      <x:c r="A2709" s="2"/>
      <x:c r="B2709" s="2" t="n">
        <x:v>2676</x:v>
      </x:c>
      <x:c r="C2709" s="2" t="str">
        <x:v>21414</x:v>
      </x:c>
      <x:c r="D2709" s="2" t="str">
        <x:v>SCALLOP SHELL SOAP DISH</x:v>
      </x:c>
      <x:c r="E2709" s="11" t="n">
        <x:v>870.89</x:v>
      </x:c>
      <x:c r="F2709" s="11" t="n">
        <x:v>2.1</x:v>
      </x:c>
      <x:c r="G2709" s="11" t="n">
        <x:v>868.79</x:v>
      </x:c>
      <x:c r="H2709" s="23" t="n">
        <x:v>0.000042412630073848</x:v>
      </x:c>
      <x:c r="I2709" s="23" t="n">
        <x:v>0.9690339885180603</x:v>
      </x:c>
      <x:c r="J2709" s="2" t="n">
        <x:v>36</x:v>
      </x:c>
      <x:c r="K2709" s="2"/>
      <x:c r="L2709" s="2"/>
    </x:row>
    <x:row r="2710" ht="22" customHeight="1">
      <x:c r="A2710" s="2"/>
      <x:c r="B2710" s="2" t="n">
        <x:v>2677</x:v>
      </x:c>
      <x:c r="C2710" s="2" t="str">
        <x:v>23220</x:v>
      </x:c>
      <x:c r="D2710" s="2" t="str">
        <x:v>REINDEER HEART DECORATION GOLD</x:v>
      </x:c>
      <x:c r="E2710" s="11" t="n">
        <x:v>869.9799999999999</x:v>
      </x:c>
      <x:c r="F2710" s="11" t="n">
        <x:v>9.959999999999999</x:v>
      </x:c>
      <x:c r="G2710" s="11" t="n">
        <x:v>860.02</x:v>
      </x:c>
      <x:c r="H2710" s="23" t="n">
        <x:v>0.00004236831277388221</x:v>
      </x:c>
      <x:c r="I2710" s="23" t="n">
        <x:v>0.9690763568308343</x:v>
      </x:c>
      <x:c r="J2710" s="2" t="n">
        <x:v>103</x:v>
      </x:c>
      <x:c r="K2710" s="2"/>
      <x:c r="L2710" s="2"/>
    </x:row>
    <x:row r="2711" ht="22" customHeight="1">
      <x:c r="A2711" s="2"/>
      <x:c r="B2711" s="2" t="n">
        <x:v>2678</x:v>
      </x:c>
      <x:c r="C2711" s="2" t="str">
        <x:v>17033</x:v>
      </x:c>
      <x:c r="D2711" s="2" t="str">
        <x:v>BROCADE PURSE,SMALL ARCH BUTTON</x:v>
      </x:c>
      <x:c r="E2711" s="11" t="n">
        <x:v>867.8399999999999</x:v>
      </x:c>
      <x:c r="F2711" s="11" t="n">
        <x:v>10.44</x:v>
      </x:c>
      <x:c r="G2711" s="11" t="n">
        <x:v>857.4</x:v>
      </x:c>
      <x:c r="H2711" s="23" t="n">
        <x:v>0.00004226409406846817</x:v>
      </x:c>
      <x:c r="I2711" s="23" t="n">
        <x:v>0.9691186209249028</x:v>
      </x:c>
      <x:c r="J2711" s="2" t="n">
        <x:v>69</x:v>
      </x:c>
      <x:c r="K2711" s="2"/>
      <x:c r="L2711" s="2"/>
    </x:row>
    <x:row r="2712" ht="22" customHeight="1">
      <x:c r="A2712" s="2"/>
      <x:c r="B2712" s="2" t="n">
        <x:v>2679</x:v>
      </x:c>
      <x:c r="C2712" s="2" t="str">
        <x:v>17012B</x:v>
      </x:c>
      <x:c r="D2712" s="2" t="str">
        <x:v>ORIGAMI JASMINE INCENSE/CANDLE SET</x:v>
      </x:c>
      <x:c r="E2712" s="11" t="n">
        <x:v>867.4499999999999</x:v>
      </x:c>
      <x:c r="F2712" s="11" t="n">
        <x:v>0</x:v>
      </x:c>
      <x:c r="G2712" s="11" t="n">
        <x:v>867.4499999999999</x:v>
      </x:c>
      <x:c r="H2712" s="23" t="n">
        <x:v>0.000042245100939911404</x:v>
      </x:c>
      <x:c r="I2712" s="23" t="n">
        <x:v>0.9691608660258426</x:v>
      </x:c>
      <x:c r="J2712" s="2" t="n">
        <x:v>126</x:v>
      </x:c>
      <x:c r="K2712" s="2"/>
      <x:c r="L2712" s="2"/>
    </x:row>
    <x:row r="2713" ht="22" customHeight="1">
      <x:c r="A2713" s="2"/>
      <x:c r="B2713" s="2" t="n">
        <x:v>2680</x:v>
      </x:c>
      <x:c r="C2713" s="2" t="str">
        <x:v>35954</x:v>
      </x:c>
      <x:c r="D2713" s="2" t="str">
        <x:v>check</x:v>
      </x:c>
      <x:c r="E2713" s="11" t="n">
        <x:v>865.49</x:v>
      </x:c>
      <x:c r="F2713" s="11" t="n">
        <x:v>0</x:v>
      </x:c>
      <x:c r="G2713" s="11" t="n">
        <x:v>865.49</x:v>
      </x:c>
      <x:c r="H2713" s="23" t="n">
        <x:v>0.00004214964829383126</x:v>
      </x:c>
      <x:c r="I2713" s="23" t="n">
        <x:v>0.9692030156741365</x:v>
      </x:c>
      <x:c r="J2713" s="2" t="n">
        <x:v>111</x:v>
      </x:c>
      <x:c r="K2713" s="2"/>
      <x:c r="L2713" s="2"/>
    </x:row>
    <x:row r="2714" ht="22" customHeight="1">
      <x:c r="A2714" s="2"/>
      <x:c r="B2714" s="2" t="n">
        <x:v>2681</x:v>
      </x:c>
      <x:c r="C2714" s="2" t="str">
        <x:v>21478</x:v>
      </x:c>
      <x:c r="D2714" s="2" t="str">
        <x:v>SILVER SKULL HOT WATER BOTTLE </x:v>
      </x:c>
      <x:c r="E2714" s="11" t="n">
        <x:v>865.48</x:v>
      </x:c>
      <x:c r="F2714" s="11" t="n">
        <x:v>3.75</x:v>
      </x:c>
      <x:c r="G2714" s="11" t="n">
        <x:v>861.73</x:v>
      </x:c>
      <x:c r="H2714" s="23" t="n">
        <x:v>0.00004214916129053493</x:v>
      </x:c>
      <x:c r="I2714" s="23" t="n">
        <x:v>0.969245164835427</x:v>
      </x:c>
      <x:c r="J2714" s="2" t="n">
        <x:v>92</x:v>
      </x:c>
      <x:c r="K2714" s="2"/>
      <x:c r="L2714" s="2"/>
    </x:row>
    <x:row r="2715" ht="22" customHeight="1">
      <x:c r="A2715" s="2"/>
      <x:c r="B2715" s="2" t="n">
        <x:v>2682</x:v>
      </x:c>
      <x:c r="C2715" s="2" t="str">
        <x:v>85166B</x:v>
      </x:c>
      <x:c r="D2715" s="2" t="str">
        <x:v>BLACK METAL BAROQUE PHOTO FRAME</x:v>
      </x:c>
      <x:c r="E2715" s="11" t="n">
        <x:v>864.1</x:v>
      </x:c>
      <x:c r="F2715" s="11" t="n">
        <x:v>0</x:v>
      </x:c>
      <x:c r="G2715" s="11" t="n">
        <x:v>864.1</x:v>
      </x:c>
      <x:c r="H2715" s="23" t="n">
        <x:v>0.000042081954835641766</x:v>
      </x:c>
      <x:c r="I2715" s="23" t="n">
        <x:v>0.9692872467902627</x:v>
      </x:c>
      <x:c r="J2715" s="2" t="n">
        <x:v>38</x:v>
      </x:c>
      <x:c r="K2715" s="2"/>
      <x:c r="L2715" s="2"/>
    </x:row>
    <x:row r="2716" ht="22" customHeight="1">
      <x:c r="A2716" s="2"/>
      <x:c r="B2716" s="2" t="n">
        <x:v>2683</x:v>
      </x:c>
      <x:c r="C2716" s="2" t="str">
        <x:v>85161</x:v>
      </x:c>
      <x:c r="D2716" s="2" t="str">
        <x:v>ACRYLIC GEOMETRIC LAMP</x:v>
      </x:c>
      <x:c r="E2716" s="11" t="n">
        <x:v>863.85</x:v>
      </x:c>
      <x:c r="F2716" s="11" t="n">
        <x:v>37.9</x:v>
      </x:c>
      <x:c r="G2716" s="11" t="n">
        <x:v>825.95</x:v>
      </x:c>
      <x:c r="H2716" s="23" t="n">
        <x:v>0.00004206977975323358</x:v>
      </x:c>
      <x:c r="I2716" s="23" t="n">
        <x:v>0.9693293165700159</x:v>
      </x:c>
      <x:c r="J2716" s="2" t="n">
        <x:v>32</x:v>
      </x:c>
      <x:c r="K2716" s="2"/>
      <x:c r="L2716" s="2"/>
    </x:row>
    <x:row r="2717" ht="22" customHeight="1">
      <x:c r="A2717" s="2"/>
      <x:c r="B2717" s="2" t="n">
        <x:v>2684</x:v>
      </x:c>
      <x:c r="C2717" s="2" t="str">
        <x:v>21255</x:v>
      </x:c>
      <x:c r="D2717" s="2" t="str">
        <x:v>FRENCH BOTTLE , LAVENDER</x:v>
      </x:c>
      <x:c r="E2717" s="11" t="n">
        <x:v>860.0799999999999</x:v>
      </x:c>
      <x:c r="F2717" s="11" t="n">
        <x:v>21.449999999999996</x:v>
      </x:c>
      <x:c r="G2717" s="11" t="n">
        <x:v>838.6299999999999</x:v>
      </x:c>
      <x:c r="H2717" s="23" t="n">
        <x:v>0.00004188617951051819</x:v>
      </x:c>
      <x:c r="I2717" s="23" t="n">
        <x:v>0.9693712027495264</x:v>
      </x:c>
      <x:c r="J2717" s="2" t="n">
        <x:v>96</x:v>
      </x:c>
      <x:c r="K2717" s="2"/>
      <x:c r="L2717" s="2"/>
    </x:row>
    <x:row r="2718" ht="22" customHeight="1">
      <x:c r="A2718" s="2"/>
      <x:c r="B2718" s="2" t="n">
        <x:v>2685</x:v>
      </x:c>
      <x:c r="C2718" s="2" t="str">
        <x:v>20894</x:v>
      </x:c>
      <x:c r="D2718" s="2" t="str">
        <x:v>HANGING BAUBLE T-LIGHT HOLDER LARGE</x:v>
      </x:c>
      <x:c r="E2718" s="11" t="n">
        <x:v>859.7500000000001</x:v>
      </x:c>
      <x:c r="F2718" s="11" t="n">
        <x:v>16.9</x:v>
      </x:c>
      <x:c r="G2718" s="11" t="n">
        <x:v>842.85</x:v>
      </x:c>
      <x:c r="H2718" s="23" t="n">
        <x:v>0.0000418701084017394</x:v>
      </x:c>
      <x:c r="I2718" s="23" t="n">
        <x:v>0.9694130728579281</x:v>
      </x:c>
      <x:c r="J2718" s="2" t="n">
        <x:v>79</x:v>
      </x:c>
      <x:c r="K2718" s="2"/>
      <x:c r="L2718" s="2"/>
    </x:row>
    <x:row r="2719" ht="22" customHeight="1">
      <x:c r="A2719" s="2"/>
      <x:c r="B2719" s="2" t="n">
        <x:v>2686</x:v>
      </x:c>
      <x:c r="C2719" s="2" t="str">
        <x:v>84632</x:v>
      </x:c>
      <x:c r="D2719" s="2" t="str">
        <x:v>DECORATIVE HANGING SHELVING UNIT</x:v>
      </x:c>
      <x:c r="E2719" s="11" t="n">
        <x:v>859.25</x:v>
      </x:c>
      <x:c r="F2719" s="11" t="n">
        <x:v>59.95</x:v>
      </x:c>
      <x:c r="G2719" s="11" t="n">
        <x:v>799.3000000000001</x:v>
      </x:c>
      <x:c r="H2719" s="23" t="n">
        <x:v>0.00004184575823692303</x:v>
      </x:c>
      <x:c r="I2719" s="23" t="n">
        <x:v>0.9694549186161651</x:v>
      </x:c>
      <x:c r="J2719" s="2" t="n">
        <x:v>11</x:v>
      </x:c>
      <x:c r="K2719" s="2"/>
      <x:c r="L2719" s="2"/>
    </x:row>
    <x:row r="2720" ht="22" customHeight="1">
      <x:c r="A2720" s="2"/>
      <x:c r="B2720" s="2" t="n">
        <x:v>2687</x:v>
      </x:c>
      <x:c r="C2720" s="2" t="str">
        <x:v>84578</x:v>
      </x:c>
      <x:c r="D2720" s="2" t="str">
        <x:v>damages</x:v>
      </x:c>
      <x:c r="E2720" s="11" t="n">
        <x:v>858.66</x:v>
      </x:c>
      <x:c r="F2720" s="11" t="n">
        <x:v>0</x:v>
      </x:c>
      <x:c r="G2720" s="11" t="n">
        <x:v>858.66</x:v>
      </x:c>
      <x:c r="H2720" s="23" t="n">
        <x:v>0.00004181702504243971</x:v>
      </x:c>
      <x:c r="I2720" s="23" t="n">
        <x:v>0.9694967356412075</x:v>
      </x:c>
      <x:c r="J2720" s="2" t="n">
        <x:v>112</x:v>
      </x:c>
      <x:c r="K2720" s="2"/>
      <x:c r="L2720" s="2"/>
    </x:row>
    <x:row r="2721" ht="22" customHeight="1">
      <x:c r="A2721" s="2"/>
      <x:c r="B2721" s="2" t="n">
        <x:v>2688</x:v>
      </x:c>
      <x:c r="C2721" s="2" t="str">
        <x:v>20756</x:v>
      </x:c>
      <x:c r="D2721" s="2" t="str">
        <x:v>GREEN FERN POCKET BOOK</x:v>
      </x:c>
      <x:c r="E2721" s="11" t="n">
        <x:v>856.66</x:v>
      </x:c>
      <x:c r="F2721" s="11" t="n">
        <x:v>0</x:v>
      </x:c>
      <x:c r="G2721" s="11" t="n">
        <x:v>856.66</x:v>
      </x:c>
      <x:c r="H2721" s="23" t="n">
        <x:v>0.00004171962438317425</x:v>
      </x:c>
      <x:c r="I2721" s="23" t="n">
        <x:v>0.9695384552655907</x:v>
      </x:c>
      <x:c r="J2721" s="2" t="n">
        <x:v>64</x:v>
      </x:c>
      <x:c r="K2721" s="2"/>
      <x:c r="L2721" s="2"/>
    </x:row>
    <x:row r="2722" ht="22" customHeight="1">
      <x:c r="A2722" s="2"/>
      <x:c r="B2722" s="2" t="n">
        <x:v>2689</x:v>
      </x:c>
      <x:c r="C2722" s="2" t="str">
        <x:v>22486</x:v>
      </x:c>
      <x:c r="D2722" s="2" t="str">
        <x:v>PLASMATRONIC LAMP</x:v>
      </x:c>
      <x:c r="E2722" s="11" t="n">
        <x:v>856.4</x:v>
      </x:c>
      <x:c r="F2722" s="11" t="n">
        <x:v>178.5</x:v>
      </x:c>
      <x:c r="G2722" s="11" t="n">
        <x:v>677.9</x:v>
      </x:c>
      <x:c r="H2722" s="23" t="n">
        <x:v>0.000041706962297469746</x:v>
      </x:c>
      <x:c r="I2722" s="23" t="n">
        <x:v>0.9695801622278881</x:v>
      </x:c>
      <x:c r="J2722" s="2" t="n">
        <x:v>40</x:v>
      </x:c>
      <x:c r="K2722" s="2"/>
      <x:c r="L2722" s="2"/>
    </x:row>
    <x:row r="2723" ht="22" customHeight="1">
      <x:c r="A2723" s="2"/>
      <x:c r="B2723" s="2" t="n">
        <x:v>2690</x:v>
      </x:c>
      <x:c r="C2723" s="2" t="str">
        <x:v>84660A</x:v>
      </x:c>
      <x:c r="D2723" s="2" t="str">
        <x:v>WHITE STITCHED WALL CLOCK</x:v>
      </x:c>
      <x:c r="E2723" s="11" t="n">
        <x:v>855.26</x:v>
      </x:c>
      <x:c r="F2723" s="11" t="n">
        <x:v>4.54</x:v>
      </x:c>
      <x:c r="G2723" s="11" t="n">
        <x:v>850.72</x:v>
      </x:c>
      <x:c r="H2723" s="23" t="n">
        <x:v>0.000041651443921688436</x:v>
      </x:c>
      <x:c r="I2723" s="23" t="n">
        <x:v>0.9696218136718098</x:v>
      </x:c>
      <x:c r="J2723" s="2" t="n">
        <x:v>51</x:v>
      </x:c>
      <x:c r="K2723" s="2"/>
      <x:c r="L2723" s="2"/>
    </x:row>
    <x:row r="2724" ht="22" customHeight="1">
      <x:c r="A2724" s="2"/>
      <x:c r="B2724" s="2" t="n">
        <x:v>2691</x:v>
      </x:c>
      <x:c r="C2724" s="2" t="str">
        <x:v>21635</x:v>
      </x:c>
      <x:c r="D2724" s="2" t="str">
        <x:v>MADRAS NOTEBOOK LARGE </x:v>
      </x:c>
      <x:c r="E2724" s="11" t="n">
        <x:v>855.24</x:v>
      </x:c>
      <x:c r="F2724" s="11" t="n">
        <x:v>45</x:v>
      </x:c>
      <x:c r="G2724" s="11" t="n">
        <x:v>810.24</x:v>
      </x:c>
      <x:c r="H2724" s="23" t="n">
        <x:v>0.00004165046991509578</x:v>
      </x:c>
      <x:c r="I2724" s="23" t="n">
        <x:v>0.9696634641417249</x:v>
      </x:c>
      <x:c r="J2724" s="2" t="n">
        <x:v>42</x:v>
      </x:c>
      <x:c r="K2724" s="2"/>
      <x:c r="L2724" s="2"/>
    </x:row>
    <x:row r="2725" ht="22" customHeight="1">
      <x:c r="A2725" s="2"/>
      <x:c r="B2725" s="2" t="n">
        <x:v>2692</x:v>
      </x:c>
      <x:c r="C2725" s="2" t="str">
        <x:v>21376</x:v>
      </x:c>
      <x:c r="D2725" s="2" t="str">
        <x:v>LARGE  TALL CAMPHOR WOOD TOADSTOOL </x:v>
      </x:c>
      <x:c r="E2725" s="11" t="n">
        <x:v>854.91</x:v>
      </x:c>
      <x:c r="F2725" s="11" t="n">
        <x:v>0</x:v>
      </x:c>
      <x:c r="G2725" s="11" t="n">
        <x:v>854.91</x:v>
      </x:c>
      <x:c r="H2725" s="23" t="n">
        <x:v>0.00004163439880631698</x:v>
      </x:c>
      <x:c r="I2725" s="23" t="n">
        <x:v>0.9697050985405312</x:v>
      </x:c>
      <x:c r="J2725" s="2" t="n">
        <x:v>46</x:v>
      </x:c>
      <x:c r="K2725" s="2"/>
      <x:c r="L2725" s="2"/>
    </x:row>
    <x:row r="2726" ht="22" customHeight="1">
      <x:c r="A2726" s="2"/>
      <x:c r="B2726" s="2" t="n">
        <x:v>2693</x:v>
      </x:c>
      <x:c r="C2726" s="2" t="str">
        <x:v>84951A</x:v>
      </x:c>
      <x:c r="D2726" s="2" t="str">
        <x:v>SET OF 4 PISTACHIO LOVEBIRD COASTER</x:v>
      </x:c>
      <x:c r="E2726" s="11" t="n">
        <x:v>852.1</x:v>
      </x:c>
      <x:c r="F2726" s="11" t="n">
        <x:v>18.96</x:v>
      </x:c>
      <x:c r="G2726" s="11" t="n">
        <x:v>833.14</x:v>
      </x:c>
      <x:c r="H2726" s="23" t="n">
        <x:v>0.00004149755088004901</x:v>
      </x:c>
      <x:c r="I2726" s="23" t="n">
        <x:v>0.9697465960914112</x:v>
      </x:c>
      <x:c r="J2726" s="2" t="n">
        <x:v>135</x:v>
      </x:c>
      <x:c r="K2726" s="2"/>
      <x:c r="L2726" s="2"/>
    </x:row>
    <x:row r="2727" ht="22" customHeight="1">
      <x:c r="A2727" s="2"/>
      <x:c r="B2727" s="2" t="n">
        <x:v>2694</x:v>
      </x:c>
      <x:c r="C2727" s="2" t="str">
        <x:v>22547</x:v>
      </x:c>
      <x:c r="D2727" s="2" t="str">
        <x:v>MINI JIGSAW DINOSAUR </x:v>
      </x:c>
      <x:c r="E2727" s="11" t="n">
        <x:v>850.6</x:v>
      </x:c>
      <x:c r="F2727" s="11" t="n">
        <x:v>0.84</x:v>
      </x:c>
      <x:c r="G2727" s="11" t="n">
        <x:v>849.76</x:v>
      </x:c>
      <x:c r="H2727" s="23" t="n">
        <x:v>0.000041424500385599914</x:v>
      </x:c>
      <x:c r="I2727" s="23" t="n">
        <x:v>0.9697880205917968</x:v>
      </x:c>
      <x:c r="J2727" s="2" t="n">
        <x:v>189</x:v>
      </x:c>
      <x:c r="K2727" s="2"/>
      <x:c r="L2727" s="2"/>
    </x:row>
    <x:row r="2728" ht="22" customHeight="1">
      <x:c r="A2728" s="2"/>
      <x:c r="B2728" s="2" t="n">
        <x:v>2695</x:v>
      </x:c>
      <x:c r="C2728" s="2" t="str">
        <x:v>20936</x:v>
      </x:c>
      <x:c r="D2728" s="2" t="str">
        <x:v>FORKED CACTUS CANDLE</x:v>
      </x:c>
      <x:c r="E2728" s="11" t="n">
        <x:v>849.2900000000001</x:v>
      </x:c>
      <x:c r="F2728" s="11" t="n">
        <x:v>25.750000000000004</x:v>
      </x:c>
      <x:c r="G2728" s="11" t="n">
        <x:v>823.5400000000001</x:v>
      </x:c>
      <x:c r="H2728" s="23" t="n">
        <x:v>0.00004136070295378104</x:v>
      </x:c>
      <x:c r="I2728" s="23" t="n">
        <x:v>0.9698293812947506</x:v>
      </x:c>
      <x:c r="J2728" s="2" t="n">
        <x:v>76</x:v>
      </x:c>
      <x:c r="K2728" s="2"/>
      <x:c r="L2728" s="2"/>
    </x:row>
    <x:row r="2729" ht="22" customHeight="1">
      <x:c r="A2729" s="2"/>
      <x:c r="B2729" s="2" t="n">
        <x:v>2696</x:v>
      </x:c>
      <x:c r="C2729" s="2" t="str">
        <x:v>21458</x:v>
      </x:c>
      <x:c r="D2729" s="2" t="str">
        <x:v>2 PICTURE BOOK EGGS EASTER BUNNY</x:v>
      </x:c>
      <x:c r="E2729" s="11" t="n">
        <x:v>849.24</x:v>
      </x:c>
      <x:c r="F2729" s="11" t="n">
        <x:v>0</x:v>
      </x:c>
      <x:c r="G2729" s="11" t="n">
        <x:v>849.24</x:v>
      </x:c>
      <x:c r="H2729" s="23" t="n">
        <x:v>0.0000413582679372994</x:v>
      </x:c>
      <x:c r="I2729" s="23" t="n">
        <x:v>0.9698707395626879</x:v>
      </x:c>
      <x:c r="J2729" s="2" t="n">
        <x:v>88</x:v>
      </x:c>
      <x:c r="K2729" s="2"/>
      <x:c r="L2729" s="2"/>
    </x:row>
    <x:row r="2730" ht="22" customHeight="1">
      <x:c r="A2730" s="2"/>
      <x:c r="B2730" s="2" t="n">
        <x:v>2697</x:v>
      </x:c>
      <x:c r="C2730" s="2" t="str">
        <x:v>20897</x:v>
      </x:c>
      <x:c r="D2730" s="2" t="str">
        <x:v>VINTAGE NOTEBOOK PARIS DAYS</x:v>
      </x:c>
      <x:c r="E2730" s="11" t="n">
        <x:v>848.7</x:v>
      </x:c>
      <x:c r="F2730" s="11" t="n">
        <x:v>35.400000000000006</x:v>
      </x:c>
      <x:c r="G2730" s="11" t="n">
        <x:v>813.3000000000001</x:v>
      </x:c>
      <x:c r="H2730" s="23" t="n">
        <x:v>0.00004133196975929773</x:v>
      </x:c>
      <x:c r="I2730" s="23" t="n">
        <x:v>0.9699120715324472</x:v>
      </x:c>
      <x:c r="J2730" s="2" t="n">
        <x:v>75</x:v>
      </x:c>
      <x:c r="K2730" s="2"/>
      <x:c r="L2730" s="2"/>
    </x:row>
    <x:row r="2731" ht="22" customHeight="1">
      <x:c r="A2731" s="2"/>
      <x:c r="B2731" s="2" t="n">
        <x:v>2698</x:v>
      </x:c>
      <x:c r="C2731" s="2" t="str">
        <x:v>72349b</x:v>
      </x:c>
      <x:c r="D2731" s="2" t="str">
        <x:v>SET/6 PURPLE BUTTERFLY T-LIGHTS</x:v>
      </x:c>
      <x:c r="E2731" s="11" t="n">
        <x:v>848.41</x:v>
      </x:c>
      <x:c r="F2731" s="11" t="n">
        <x:v>0</x:v>
      </x:c>
      <x:c r="G2731" s="11" t="n">
        <x:v>848.41</x:v>
      </x:c>
      <x:c r="H2731" s="23" t="n">
        <x:v>0.00004131784666370423</x:v>
      </x:c>
      <x:c r="I2731" s="23" t="n">
        <x:v>0.9699533893791109</x:v>
      </x:c>
      <x:c r="J2731" s="2" t="n">
        <x:v>112</x:v>
      </x:c>
      <x:c r="K2731" s="2"/>
      <x:c r="L2731" s="2"/>
    </x:row>
    <x:row r="2732" ht="22" customHeight="1">
      <x:c r="A2732" s="2"/>
      <x:c r="B2732" s="2" t="n">
        <x:v>2699</x:v>
      </x:c>
      <x:c r="C2732" s="2" t="str">
        <x:v>85208</x:v>
      </x:c>
      <x:c r="D2732" s="2" t="str">
        <x:v>SET/12 FUNKY FELT FLOWER PEG IN BAG</x:v>
      </x:c>
      <x:c r="E2732" s="11" t="n">
        <x:v>845.34</x:v>
      </x:c>
      <x:c r="F2732" s="11" t="n">
        <x:v>0</x:v>
      </x:c>
      <x:c r="G2732" s="11" t="n">
        <x:v>845.34</x:v>
      </x:c>
      <x:c r="H2732" s="23" t="n">
        <x:v>0.000041168336651731756</x:v>
      </x:c>
      <x:c r="I2732" s="23" t="n">
        <x:v>0.9699945577157626</x:v>
      </x:c>
      <x:c r="J2732" s="2" t="n">
        <x:v>87</x:v>
      </x:c>
      <x:c r="K2732" s="2"/>
      <x:c r="L2732" s="2"/>
    </x:row>
    <x:row r="2733" ht="22" customHeight="1">
      <x:c r="A2733" s="2"/>
      <x:c r="B2733" s="2" t="n">
        <x:v>2700</x:v>
      </x:c>
      <x:c r="C2733" s="2" t="str">
        <x:v>22229</x:v>
      </x:c>
      <x:c r="D2733" s="2" t="str">
        <x:v>BUNNY WOODEN PAINTED WITH FLOWER </x:v>
      </x:c>
      <x:c r="E2733" s="11" t="n">
        <x:v>845.3</x:v>
      </x:c>
      <x:c r="F2733" s="11" t="n">
        <x:v>44.199999999999996</x:v>
      </x:c>
      <x:c r="G2733" s="11" t="n">
        <x:v>801.0999999999999</x:v>
      </x:c>
      <x:c r="H2733" s="23" t="n">
        <x:v>0.000041166388638546446</x:v>
      </x:c>
      <x:c r="I2733" s="23" t="n">
        <x:v>0.9700357241044011</x:v>
      </x:c>
      <x:c r="J2733" s="2" t="n">
        <x:v>185</x:v>
      </x:c>
      <x:c r="K2733" s="2"/>
      <x:c r="L2733" s="2"/>
    </x:row>
    <x:row r="2734" ht="22" customHeight="1">
      <x:c r="A2734" s="2"/>
      <x:c r="B2734" s="2" t="n">
        <x:v>2701</x:v>
      </x:c>
      <x:c r="C2734" s="2" t="str">
        <x:v>22820</x:v>
      </x:c>
      <x:c r="D2734" s="2" t="str">
        <x:v>GIFT BAG BIRTHDAY</x:v>
      </x:c>
      <x:c r="E2734" s="11" t="n">
        <x:v>845.1300000000001</x:v>
      </x:c>
      <x:c r="F2734" s="11" t="n">
        <x:v>1.3</x:v>
      </x:c>
      <x:c r="G2734" s="11" t="n">
        <x:v>843.83</x:v>
      </x:c>
      <x:c r="H2734" s="23" t="n">
        <x:v>0.00004115810958250889</x:v>
      </x:c>
      <x:c r="I2734" s="23" t="n">
        <x:v>0.9700768822139836</x:v>
      </x:c>
      <x:c r="J2734" s="2" t="n">
        <x:v>110</x:v>
      </x:c>
      <x:c r="K2734" s="2"/>
      <x:c r="L2734" s="2"/>
    </x:row>
    <x:row r="2735" ht="22" customHeight="1">
      <x:c r="A2735" s="2"/>
      <x:c r="B2735" s="2" t="n">
        <x:v>2702</x:v>
      </x:c>
      <x:c r="C2735" s="2" t="str">
        <x:v>84509a</x:v>
      </x:c>
      <x:c r="D2735" s="2" t="str">
        <x:v>SET OF 4 ENGLISH ROSE PLACEMATS</x:v>
      </x:c>
      <x:c r="E2735" s="11" t="n">
        <x:v>844.74</x:v>
      </x:c>
      <x:c r="F2735" s="11" t="n">
        <x:v>0</x:v>
      </x:c>
      <x:c r="G2735" s="11" t="n">
        <x:v>844.74</x:v>
      </x:c>
      <x:c r="H2735" s="23" t="n">
        <x:v>0.00004113911645395212</x:v>
      </x:c>
      <x:c r="I2735" s="23" t="n">
        <x:v>0.9701180213304376</x:v>
      </x:c>
      <x:c r="J2735" s="2" t="n">
        <x:v>75</x:v>
      </x:c>
      <x:c r="K2735" s="2"/>
      <x:c r="L2735" s="2"/>
    </x:row>
    <x:row r="2736" ht="22" customHeight="1">
      <x:c r="A2736" s="2"/>
      <x:c r="B2736" s="2" t="n">
        <x:v>2703</x:v>
      </x:c>
      <x:c r="C2736" s="2" t="str">
        <x:v>90161C</x:v>
      </x:c>
      <x:c r="D2736" s="2" t="str">
        <x:v>ANT COPPER LIME BOUDICCA BRACELET</x:v>
      </x:c>
      <x:c r="E2736" s="11" t="n">
        <x:v>843.9100000000001</x:v>
      </x:c>
      <x:c r="F2736" s="11" t="n">
        <x:v>0</x:v>
      </x:c>
      <x:c r="G2736" s="11" t="n">
        <x:v>843.9100000000001</x:v>
      </x:c>
      <x:c r="H2736" s="23" t="n">
        <x:v>0.000041098695180356957</x:v>
      </x:c>
      <x:c r="I2736" s="23" t="n">
        <x:v>0.9701591200256179</x:v>
      </x:c>
      <x:c r="J2736" s="2" t="n">
        <x:v>100</x:v>
      </x:c>
      <x:c r="K2736" s="2"/>
      <x:c r="L2736" s="2"/>
    </x:row>
    <x:row r="2737" ht="22" customHeight="1">
      <x:c r="A2737" s="2"/>
      <x:c r="B2737" s="2" t="n">
        <x:v>2704</x:v>
      </x:c>
      <x:c r="C2737" s="2" t="str">
        <x:v>37423</x:v>
      </x:c>
      <x:c r="D2737" s="2" t="str">
        <x:v>WHITE WITH BLACK CATS PLATE</x:v>
      </x:c>
      <x:c r="E2737" s="11" t="n">
        <x:v>843.88</x:v>
      </x:c>
      <x:c r="F2737" s="11" t="n">
        <x:v>295.2</x:v>
      </x:c>
      <x:c r="G2737" s="11" t="n">
        <x:v>548.68</x:v>
      </x:c>
      <x:c r="H2737" s="23" t="n">
        <x:v>0.000041097234170467966</x:v>
      </x:c>
      <x:c r="I2737" s="23" t="n">
        <x:v>0.9702002172597883</x:v>
      </x:c>
      <x:c r="J2737" s="2" t="n">
        <x:v>70</x:v>
      </x:c>
      <x:c r="K2737" s="2"/>
      <x:c r="L2737" s="2"/>
    </x:row>
    <x:row r="2738" ht="22" customHeight="1">
      <x:c r="A2738" s="2"/>
      <x:c r="B2738" s="2" t="n">
        <x:v>2705</x:v>
      </x:c>
      <x:c r="C2738" s="2" t="str">
        <x:v>21552</x:v>
      </x:c>
      <x:c r="D2738" s="2" t="str">
        <x:v>CERAMIC BIRDHOUSE BLACK ROSE  LARGE</x:v>
      </x:c>
      <x:c r="E2738" s="11" t="n">
        <x:v>843.5500000000001</x:v>
      </x:c>
      <x:c r="F2738" s="11" t="n">
        <x:v>17.85</x:v>
      </x:c>
      <x:c r="G2738" s="11" t="n">
        <x:v>825.7</x:v>
      </x:c>
      <x:c r="H2738" s="23" t="n">
        <x:v>0.000041081163061689173</x:v>
      </x:c>
      <x:c r="I2738" s="23" t="n">
        <x:v>0.97024129842285</x:v>
      </x:c>
      <x:c r="J2738" s="2" t="n">
        <x:v>35</x:v>
      </x:c>
      <x:c r="K2738" s="2"/>
      <x:c r="L2738" s="2"/>
    </x:row>
    <x:row r="2739" ht="22" customHeight="1">
      <x:c r="A2739" s="2"/>
      <x:c r="B2739" s="2" t="n">
        <x:v>2706</x:v>
      </x:c>
      <x:c r="C2739" s="2" t="str">
        <x:v>85231L</x:v>
      </x:c>
      <x:c r="D2739" s="2" t="str">
        <x:v>LAVENDER SCENTED SET/9 T-LIGHTS</x:v>
      </x:c>
      <x:c r="E2739" s="11" t="n">
        <x:v>841.75</x:v>
      </x:c>
      <x:c r="F2739" s="11" t="n">
        <x:v>0</x:v>
      </x:c>
      <x:c r="G2739" s="11" t="n">
        <x:v>841.75</x:v>
      </x:c>
      <x:c r="H2739" s="23" t="n">
        <x:v>0.00004099350246835025</x:v>
      </x:c>
      <x:c r="I2739" s="23" t="n">
        <x:v>0.9702822919253183</x:v>
      </x:c>
      <x:c r="J2739" s="2" t="n">
        <x:v>116</x:v>
      </x:c>
      <x:c r="K2739" s="2"/>
      <x:c r="L2739" s="2"/>
    </x:row>
    <x:row r="2740" ht="22" customHeight="1">
      <x:c r="A2740" s="2"/>
      <x:c r="B2740" s="2" t="n">
        <x:v>2707</x:v>
      </x:c>
      <x:c r="C2740" s="2" t="str">
        <x:v>21300</x:v>
      </x:c>
      <x:c r="D2740" s="2" t="str">
        <x:v>ANTIQUE EDWARDIAN DRESSER</x:v>
      </x:c>
      <x:c r="E2740" s="11" t="n">
        <x:v>841.7</x:v>
      </x:c>
      <x:c r="F2740" s="11" t="n">
        <x:v>127.5</x:v>
      </x:c>
      <x:c r="G2740" s="11" t="n">
        <x:v>714.2</x:v>
      </x:c>
      <x:c r="H2740" s="23" t="n">
        <x:v>0.00004099106745186862</x:v>
      </x:c>
      <x:c r="I2740" s="23" t="n">
        <x:v>0.9703232829927703</x:v>
      </x:c>
      <x:c r="J2740" s="2" t="n">
        <x:v>12</x:v>
      </x:c>
      <x:c r="K2740" s="2"/>
      <x:c r="L2740" s="2"/>
    </x:row>
    <x:row r="2741" ht="22" customHeight="1">
      <x:c r="A2741" s="2"/>
      <x:c r="B2741" s="2" t="n">
        <x:v>2708</x:v>
      </x:c>
      <x:c r="C2741" s="2" t="str">
        <x:v>21128</x:v>
      </x:c>
      <x:c r="D2741" s="2" t="str">
        <x:v>GOLD FISHING GNOME</x:v>
      </x:c>
      <x:c r="E2741" s="11" t="n">
        <x:v>841.63</x:v>
      </x:c>
      <x:c r="F2741" s="11" t="n">
        <x:v>0</x:v>
      </x:c>
      <x:c r="G2741" s="11" t="n">
        <x:v>841.63</x:v>
      </x:c>
      <x:c r="H2741" s="23" t="n">
        <x:v>0.00004098765842879433</x:v>
      </x:c>
      <x:c r="I2741" s="23" t="n">
        <x:v>0.970364270651199</x:v>
      </x:c>
      <x:c r="J2741" s="2" t="n">
        <x:v>57</x:v>
      </x:c>
      <x:c r="K2741" s="2"/>
      <x:c r="L2741" s="2"/>
    </x:row>
    <x:row r="2742" ht="22" customHeight="1">
      <x:c r="A2742" s="2"/>
      <x:c r="B2742" s="2" t="n">
        <x:v>2709</x:v>
      </x:c>
      <x:c r="C2742" s="2" t="str">
        <x:v>23564</x:v>
      </x:c>
      <x:c r="D2742" s="2" t="str">
        <x:v>EGG CUP MILKMAID INGRID</x:v>
      </x:c>
      <x:c r="E2742" s="11" t="n">
        <x:v>841.31</x:v>
      </x:c>
      <x:c r="F2742" s="11" t="n">
        <x:v>0</x:v>
      </x:c>
      <x:c r="G2742" s="11" t="n">
        <x:v>841.31</x:v>
      </x:c>
      <x:c r="H2742" s="23" t="n">
        <x:v>0.00004097207432331185</x:v>
      </x:c>
      <x:c r="I2742" s="23" t="n">
        <x:v>0.9704052427255223</x:v>
      </x:c>
      <x:c r="J2742" s="2" t="n">
        <x:v>76</x:v>
      </x:c>
      <x:c r="K2742" s="2"/>
      <x:c r="L2742" s="2"/>
    </x:row>
    <x:row r="2743" ht="22" customHeight="1">
      <x:c r="A2743" s="2"/>
      <x:c r="B2743" s="2" t="n">
        <x:v>2710</x:v>
      </x:c>
      <x:c r="C2743" s="2" t="str">
        <x:v>23551</x:v>
      </x:c>
      <x:c r="D2743" s="2" t="str">
        <x:v>PACK OF 12 PAISLEY PARK TISSUES </x:v>
      </x:c>
      <x:c r="E2743" s="11" t="n">
        <x:v>841.01</x:v>
      </x:c>
      <x:c r="F2743" s="11" t="n">
        <x:v>0</x:v>
      </x:c>
      <x:c r="G2743" s="11" t="n">
        <x:v>841.01</x:v>
      </x:c>
      <x:c r="H2743" s="23" t="n">
        <x:v>0.000040957464224422034</x:v>
      </x:c>
      <x:c r="I2743" s="23" t="n">
        <x:v>0.9704462001897467</x:v>
      </x:c>
      <x:c r="J2743" s="2" t="n">
        <x:v>136</x:v>
      </x:c>
      <x:c r="K2743" s="2"/>
      <x:c r="L2743" s="2"/>
    </x:row>
    <x:row r="2744" ht="22" customHeight="1">
      <x:c r="A2744" s="2"/>
      <x:c r="B2744" s="2" t="n">
        <x:v>2711</x:v>
      </x:c>
      <x:c r="C2744" s="2" t="str">
        <x:v>40018E</x:v>
      </x:c>
      <x:c r="D2744" s="2" t="str">
        <x:v>TEA TIME PAPER LANTERNS</x:v>
      </x:c>
      <x:c r="E2744" s="11" t="n">
        <x:v>840.92</x:v>
      </x:c>
      <x:c r="F2744" s="11" t="n">
        <x:v>0</x:v>
      </x:c>
      <x:c r="G2744" s="11" t="n">
        <x:v>840.92</x:v>
      </x:c>
      <x:c r="H2744" s="23" t="n">
        <x:v>0.00004095308119475509</x:v>
      </x:c>
      <x:c r="I2744" s="23" t="n">
        <x:v>0.9704871532709415</x:v>
      </x:c>
      <x:c r="J2744" s="2" t="n">
        <x:v>81</x:v>
      </x:c>
      <x:c r="K2744" s="2"/>
      <x:c r="L2744" s="2"/>
    </x:row>
    <x:row r="2745" ht="22" customHeight="1">
      <x:c r="A2745" s="2"/>
      <x:c r="B2745" s="2" t="n">
        <x:v>2712</x:v>
      </x:c>
      <x:c r="C2745" s="2" t="str">
        <x:v>84782A</x:v>
      </x:c>
      <x:c r="D2745" s="2" t="str">
        <x:v>PINK 3 TIER GLASS PLATE STAND</x:v>
      </x:c>
      <x:c r="E2745" s="11" t="n">
        <x:v>840.45</x:v>
      </x:c>
      <x:c r="F2745" s="11" t="n">
        <x:v>76.5</x:v>
      </x:c>
      <x:c r="G2745" s="11" t="n">
        <x:v>763.95</x:v>
      </x:c>
      <x:c r="H2745" s="23" t="n">
        <x:v>0.00004093019203982771</x:v>
      </x:c>
      <x:c r="I2745" s="23" t="n">
        <x:v>0.9705280834629814</x:v>
      </x:c>
      <x:c r="J2745" s="2" t="n">
        <x:v>26</x:v>
      </x:c>
      <x:c r="K2745" s="2"/>
      <x:c r="L2745" s="2"/>
    </x:row>
    <x:row r="2746" ht="22" customHeight="1">
      <x:c r="A2746" s="2"/>
      <x:c r="B2746" s="2" t="n">
        <x:v>2713</x:v>
      </x:c>
      <x:c r="C2746" s="2" t="str">
        <x:v>17039</x:v>
      </x:c>
      <x:c r="D2746" s="2" t="str">
        <x:v>INLAID WOOD INCENSE HOLDER</x:v>
      </x:c>
      <x:c r="E2746" s="11" t="n">
        <x:v>837.88</x:v>
      </x:c>
      <x:c r="F2746" s="11" t="n">
        <x:v>0</x:v>
      </x:c>
      <x:c r="G2746" s="11" t="n">
        <x:v>837.88</x:v>
      </x:c>
      <x:c r="H2746" s="23" t="n">
        <x:v>0.00004080503219267159</x:v>
      </x:c>
      <x:c r="I2746" s="23" t="n">
        <x:v>0.9705688884951741</x:v>
      </x:c>
      <x:c r="J2746" s="2" t="n">
        <x:v>43</x:v>
      </x:c>
      <x:c r="K2746" s="2"/>
      <x:c r="L2746" s="2"/>
    </x:row>
    <x:row r="2747" ht="22" customHeight="1">
      <x:c r="A2747" s="2"/>
      <x:c r="B2747" s="2" t="n">
        <x:v>2714</x:v>
      </x:c>
      <x:c r="C2747" s="2" t="str">
        <x:v>47563A</x:v>
      </x:c>
      <x:c r="D2747" s="2" t="str">
        <x:v>RETRO LONGBOARD IRONING BOARD COVER</x:v>
      </x:c>
      <x:c r="E2747" s="11" t="n">
        <x:v>837.87</x:v>
      </x:c>
      <x:c r="F2747" s="11" t="n">
        <x:v>5</x:v>
      </x:c>
      <x:c r="G2747" s="11" t="n">
        <x:v>832.87</x:v>
      </x:c>
      <x:c r="H2747" s="23" t="n">
        <x:v>0.000040804545189375264</x:v>
      </x:c>
      <x:c r="I2747" s="23" t="n">
        <x:v>0.9706096930403635</x:v>
      </x:c>
      <x:c r="J2747" s="2" t="n">
        <x:v>151</x:v>
      </x:c>
      <x:c r="K2747" s="2"/>
      <x:c r="L2747" s="2"/>
    </x:row>
    <x:row r="2748" ht="22" customHeight="1">
      <x:c r="A2748" s="2"/>
      <x:c r="B2748" s="2" t="n">
        <x:v>2715</x:v>
      </x:c>
      <x:c r="C2748" s="2" t="str">
        <x:v>84762B</x:v>
      </x:c>
      <x:c r="D2748" s="2" t="str">
        <x:v>PINK PICNIC BARBECUE BUCKET</x:v>
      </x:c>
      <x:c r="E2748" s="11" t="n">
        <x:v>837.77</x:v>
      </x:c>
      <x:c r="F2748" s="11" t="n">
        <x:v>0</x:v>
      </x:c>
      <x:c r="G2748" s="11" t="n">
        <x:v>837.77</x:v>
      </x:c>
      <x:c r="H2748" s="23" t="n">
        <x:v>0.00004079967515641199</x:v>
      </x:c>
      <x:c r="I2748" s="23" t="n">
        <x:v>0.97065049271552</x:v>
      </x:c>
      <x:c r="J2748" s="2" t="n">
        <x:v>48</x:v>
      </x:c>
      <x:c r="K2748" s="2"/>
      <x:c r="L2748" s="2"/>
    </x:row>
    <x:row r="2749" ht="22" customHeight="1">
      <x:c r="A2749" s="2"/>
      <x:c r="B2749" s="2" t="n">
        <x:v>2716</x:v>
      </x:c>
      <x:c r="C2749" s="2" t="str">
        <x:v>85071C</x:v>
      </x:c>
      <x:c r="D2749" s="2" t="str">
        <x:v>CHARLIE+LOLA"EXTREMELY BUSY" SIGN</x:v>
      </x:c>
      <x:c r="E2749" s="11" t="n">
        <x:v>837.23</x:v>
      </x:c>
      <x:c r="F2749" s="11" t="n">
        <x:v>0</x:v>
      </x:c>
      <x:c r="G2749" s="11" t="n">
        <x:v>837.23</x:v>
      </x:c>
      <x:c r="H2749" s="23" t="n">
        <x:v>0.00004077337697841032</x:v>
      </x:c>
      <x:c r="I2749" s="23" t="n">
        <x:v>0.9706912660924983</x:v>
      </x:c>
      <x:c r="J2749" s="2" t="n">
        <x:v>141</x:v>
      </x:c>
      <x:c r="K2749" s="2"/>
      <x:c r="L2749" s="2"/>
    </x:row>
    <x:row r="2750" ht="22" customHeight="1">
      <x:c r="A2750" s="2"/>
      <x:c r="B2750" s="2" t="n">
        <x:v>2717</x:v>
      </x:c>
      <x:c r="C2750" s="2" t="str">
        <x:v>84849A</x:v>
      </x:c>
      <x:c r="D2750" s="2" t="str">
        <x:v>HELLO SAILOR BLUE SOAP HOLDER</x:v>
      </x:c>
      <x:c r="E2750" s="11" t="n">
        <x:v>835.26</x:v>
      </x:c>
      <x:c r="F2750" s="11" t="n">
        <x:v>38.87</x:v>
      </x:c>
      <x:c r="G2750" s="11" t="n">
        <x:v>796.39</x:v>
      </x:c>
      <x:c r="H2750" s="23" t="n">
        <x:v>0.00004067743732903384</x:v>
      </x:c>
      <x:c r="I2750" s="23" t="n">
        <x:v>0.9707319435298274</x:v>
      </x:c>
      <x:c r="J2750" s="2" t="n">
        <x:v>103</x:v>
      </x:c>
      <x:c r="K2750" s="2"/>
      <x:c r="L2750" s="2"/>
    </x:row>
    <x:row r="2751" ht="22" customHeight="1">
      <x:c r="A2751" s="2"/>
      <x:c r="B2751" s="2" t="n">
        <x:v>2718</x:v>
      </x:c>
      <x:c r="C2751" s="2" t="str">
        <x:v>47367B</x:v>
      </x:c>
      <x:c r="D2751" s="2" t="str">
        <x:v>PAIR PADDED HANGERS PINK CHECK</x:v>
      </x:c>
      <x:c r="E2751" s="11" t="n">
        <x:v>834.95</x:v>
      </x:c>
      <x:c r="F2751" s="11" t="n">
        <x:v>3.75</x:v>
      </x:c>
      <x:c r="G2751" s="11" t="n">
        <x:v>831.2</x:v>
      </x:c>
      <x:c r="H2751" s="23" t="n">
        <x:v>0.000040662340226847696</x:v>
      </x:c>
      <x:c r="I2751" s="23" t="n">
        <x:v>0.9707726058700542</x:v>
      </x:c>
      <x:c r="J2751" s="2" t="n">
        <x:v>95</x:v>
      </x:c>
      <x:c r="K2751" s="2"/>
      <x:c r="L2751" s="2"/>
    </x:row>
    <x:row r="2752" ht="22" customHeight="1">
      <x:c r="A2752" s="2"/>
      <x:c r="B2752" s="2" t="n">
        <x:v>2719</x:v>
      </x:c>
      <x:c r="C2752" s="2" t="str">
        <x:v>20776</x:v>
      </x:c>
      <x:c r="D2752" s="2" t="str">
        <x:v>ABSTRACT CIRCLES NOTEBOOK</x:v>
      </x:c>
      <x:c r="E2752" s="11" t="n">
        <x:v>834.31</x:v>
      </x:c>
      <x:c r="F2752" s="11" t="n">
        <x:v>0</x:v>
      </x:c>
      <x:c r="G2752" s="11" t="n">
        <x:v>834.31</x:v>
      </x:c>
      <x:c r="H2752" s="23" t="n">
        <x:v>0.000040631172015882744</x:v>
      </x:c>
      <x:c r="I2752" s="23" t="n">
        <x:v>0.9708132370420701</x:v>
      </x:c>
      <x:c r="J2752" s="2" t="n">
        <x:v>84</x:v>
      </x:c>
      <x:c r="K2752" s="2"/>
      <x:c r="L2752" s="2"/>
    </x:row>
    <x:row r="2753" ht="22" customHeight="1">
      <x:c r="A2753" s="2"/>
      <x:c r="B2753" s="2" t="n">
        <x:v>2720</x:v>
      </x:c>
      <x:c r="C2753" s="2" t="str">
        <x:v>85213</x:v>
      </x:c>
      <x:c r="D2753" s="2" t="str">
        <x:v>MINI  ZINC GARDEN DECORATIONS </x:v>
      </x:c>
      <x:c r="E2753" s="11" t="n">
        <x:v>832.4799999999999</x:v>
      </x:c>
      <x:c r="F2753" s="11" t="n">
        <x:v>0.85</x:v>
      </x:c>
      <x:c r="G2753" s="11" t="n">
        <x:v>831.6299999999999</x:v>
      </x:c>
      <x:c r="H2753" s="23" t="n">
        <x:v>0.000040542050412654844</x:v>
      </x:c>
      <x:c r="I2753" s="23" t="n">
        <x:v>0.9708537790924828</x:v>
      </x:c>
      <x:c r="J2753" s="2" t="n">
        <x:v>80</x:v>
      </x:c>
      <x:c r="K2753" s="2"/>
      <x:c r="L2753" s="2"/>
    </x:row>
    <x:row r="2754" ht="22" customHeight="1">
      <x:c r="A2754" s="2"/>
      <x:c r="B2754" s="2" t="n">
        <x:v>2721</x:v>
      </x:c>
      <x:c r="C2754" s="2" t="str">
        <x:v>85196</x:v>
      </x:c>
      <x:c r="D2754" s="2" t="str">
        <x:v>EASTER BUNNIES ON A STICK</x:v>
      </x:c>
      <x:c r="E2754" s="11" t="n">
        <x:v>831.0400000000001</x:v>
      </x:c>
      <x:c r="F2754" s="11" t="n">
        <x:v>6.6000000000000005</x:v>
      </x:c>
      <x:c r="G2754" s="11" t="n">
        <x:v>824.44</x:v>
      </x:c>
      <x:c r="H2754" s="23" t="n">
        <x:v>0.000040471921937983725</x:v>
      </x:c>
      <x:c r="I2754" s="23" t="n">
        <x:v>0.9708942510144208</x:v>
      </x:c>
      <x:c r="J2754" s="2" t="n">
        <x:v>71</x:v>
      </x:c>
      <x:c r="K2754" s="2"/>
      <x:c r="L2754" s="2"/>
    </x:row>
    <x:row r="2755" ht="22" customHeight="1">
      <x:c r="A2755" s="2"/>
      <x:c r="B2755" s="2" t="n">
        <x:v>2722</x:v>
      </x:c>
      <x:c r="C2755" s="2" t="str">
        <x:v>23017</x:v>
      </x:c>
      <x:c r="D2755" s="2" t="str">
        <x:v>APOTHECARY MEASURING JAR</x:v>
      </x:c>
      <x:c r="E2755" s="11" t="n">
        <x:v>826.28</x:v>
      </x:c>
      <x:c r="F2755" s="11" t="n">
        <x:v>12.5</x:v>
      </x:c>
      <x:c r="G2755" s="11" t="n">
        <x:v>813.78</x:v>
      </x:c>
      <x:c r="H2755" s="23" t="n">
        <x:v>0.000040240108368931925</x:v>
      </x:c>
      <x:c r="I2755" s="23" t="n">
        <x:v>0.9709344911227897</x:v>
      </x:c>
      <x:c r="J2755" s="2" t="n">
        <x:v>22</x:v>
      </x:c>
      <x:c r="K2755" s="2"/>
      <x:c r="L2755" s="2"/>
    </x:row>
    <x:row r="2756" ht="22" customHeight="1">
      <x:c r="A2756" s="2"/>
      <x:c r="B2756" s="2" t="n">
        <x:v>2723</x:v>
      </x:c>
      <x:c r="C2756" s="2" t="str">
        <x:v>85188A</x:v>
      </x:c>
      <x:c r="D2756" s="2" t="str">
        <x:v>GREEN METAL SWINGING BUNNY</x:v>
      </x:c>
      <x:c r="E2756" s="11" t="n">
        <x:v>825.8199999999999</x:v>
      </x:c>
      <x:c r="F2756" s="11" t="n">
        <x:v>22.95</x:v>
      </x:c>
      <x:c r="G2756" s="11" t="n">
        <x:v>802.87</x:v>
      </x:c>
      <x:c r="H2756" s="23" t="n">
        <x:v>0.000040217706217300864</x:v>
      </x:c>
      <x:c r="I2756" s="23" t="n">
        <x:v>0.970974708829007</x:v>
      </x:c>
      <x:c r="J2756" s="2" t="n">
        <x:v>105</x:v>
      </x:c>
      <x:c r="K2756" s="2"/>
      <x:c r="L2756" s="2"/>
    </x:row>
    <x:row r="2757" ht="22" customHeight="1">
      <x:c r="A2757" s="2"/>
      <x:c r="B2757" s="2" t="n">
        <x:v>2724</x:v>
      </x:c>
      <x:c r="C2757" s="2" t="str">
        <x:v>22510</x:v>
      </x:c>
      <x:c r="D2757" s="2" t="str">
        <x:v>GINGHAM BABUSHKA DOORSTOP</x:v>
      </x:c>
      <x:c r="E2757" s="11" t="n">
        <x:v>825.32</x:v>
      </x:c>
      <x:c r="F2757" s="11" t="n">
        <x:v>0</x:v>
      </x:c>
      <x:c r="G2757" s="11" t="n">
        <x:v>825.32</x:v>
      </x:c>
      <x:c r="H2757" s="23" t="n">
        <x:v>0.000040193356052484506</x:v>
      </x:c>
      <x:c r="I2757" s="23" t="n">
        <x:v>0.9710149021850595</x:v>
      </x:c>
      <x:c r="J2757" s="2" t="n">
        <x:v>90</x:v>
      </x:c>
      <x:c r="K2757" s="2"/>
      <x:c r="L2757" s="2"/>
    </x:row>
    <x:row r="2758" ht="22" customHeight="1">
      <x:c r="A2758" s="2"/>
      <x:c r="B2758" s="2" t="n">
        <x:v>2725</x:v>
      </x:c>
      <x:c r="C2758" s="2" t="str">
        <x:v>79342B</x:v>
      </x:c>
      <x:c r="D2758" s="2" t="str">
        <x:v>Unsaleable, destroyed.</x:v>
      </x:c>
      <x:c r="E2758" s="11" t="n">
        <x:v>824.95</x:v>
      </x:c>
      <x:c r="F2758" s="11" t="n">
        <x:v>96.05</x:v>
      </x:c>
      <x:c r="G2758" s="11" t="n">
        <x:v>728.9</x:v>
      </x:c>
      <x:c r="H2758" s="23" t="n">
        <x:v>0.0000401753369305204</x:v>
      </x:c>
      <x:c r="I2758" s="23" t="n">
        <x:v>0.97105507752199</x:v>
      </x:c>
      <x:c r="J2758" s="2" t="n">
        <x:v>34</x:v>
      </x:c>
      <x:c r="K2758" s="2"/>
      <x:c r="L2758" s="2"/>
    </x:row>
    <x:row r="2759" ht="22" customHeight="1">
      <x:c r="A2759" s="2"/>
      <x:c r="B2759" s="2" t="n">
        <x:v>2726</x:v>
      </x:c>
      <x:c r="C2759" s="2" t="str">
        <x:v>21551</x:v>
      </x:c>
      <x:c r="D2759" s="2" t="str">
        <x:v>CERAMIC BIRDHOUSE BUTTERFLY LARGE</x:v>
      </x:c>
      <x:c r="E2759" s="11" t="n">
        <x:v>824.95</x:v>
      </x:c>
      <x:c r="F2759" s="11" t="n">
        <x:v>0</x:v>
      </x:c>
      <x:c r="G2759" s="11" t="n">
        <x:v>824.95</x:v>
      </x:c>
      <x:c r="H2759" s="23" t="n">
        <x:v>0.0000401753369305204</x:v>
      </x:c>
      <x:c r="I2759" s="23" t="n">
        <x:v>0.9710952528589206</x:v>
      </x:c>
      <x:c r="J2759" s="2" t="n">
        <x:v>22</x:v>
      </x:c>
      <x:c r="K2759" s="2"/>
      <x:c r="L2759" s="2"/>
    </x:row>
    <x:row r="2760" ht="22" customHeight="1">
      <x:c r="A2760" s="2"/>
      <x:c r="B2760" s="2" t="n">
        <x:v>2727</x:v>
      </x:c>
      <x:c r="C2760" s="2" t="str">
        <x:v>21654</x:v>
      </x:c>
      <x:c r="D2760" s="2" t="str">
        <x:v>Damaged</x:v>
      </x:c>
      <x:c r="E2760" s="11" t="n">
        <x:v>824.89</x:v>
      </x:c>
      <x:c r="F2760" s="11" t="n">
        <x:v>0</x:v>
      </x:c>
      <x:c r="G2760" s="11" t="n">
        <x:v>824.89</x:v>
      </x:c>
      <x:c r="H2760" s="23" t="n">
        <x:v>0.00004017241491074243</x:v>
      </x:c>
      <x:c r="I2760" s="23" t="n">
        <x:v>0.9711354252738313</x:v>
      </x:c>
      <x:c r="J2760" s="2" t="n">
        <x:v>82</x:v>
      </x:c>
      <x:c r="K2760" s="2"/>
      <x:c r="L2760" s="2"/>
    </x:row>
    <x:row r="2761" ht="22" customHeight="1">
      <x:c r="A2761" s="2"/>
      <x:c r="B2761" s="2" t="n">
        <x:v>2728</x:v>
      </x:c>
      <x:c r="C2761" s="2" t="str">
        <x:v>22289</x:v>
      </x:c>
      <x:c r="D2761" s="2" t="str">
        <x:v>HANGING METAL CHICKEN DECORATION</x:v>
      </x:c>
      <x:c r="E2761" s="11" t="n">
        <x:v>822.48</x:v>
      </x:c>
      <x:c r="F2761" s="11" t="n">
        <x:v>0</x:v>
      </x:c>
      <x:c r="G2761" s="11" t="n">
        <x:v>822.48</x:v>
      </x:c>
      <x:c r="H2761" s="23" t="n">
        <x:v>0.00004005504711632755</x:v>
      </x:c>
      <x:c r="I2761" s="23" t="n">
        <x:v>0.9711754803209477</x:v>
      </x:c>
      <x:c r="J2761" s="2" t="n">
        <x:v>76</x:v>
      </x:c>
      <x:c r="K2761" s="2"/>
      <x:c r="L2761" s="2"/>
    </x:row>
    <x:row r="2762" ht="22" customHeight="1">
      <x:c r="A2762" s="2"/>
      <x:c r="B2762" s="2" t="n">
        <x:v>2729</x:v>
      </x:c>
      <x:c r="C2762" s="2" t="str">
        <x:v>82613C</x:v>
      </x:c>
      <x:c r="D2762" s="2" t="str">
        <x:v>METAL SIGN,CUPCAKE SINGLE HOOK</x:v>
      </x:c>
      <x:c r="E2762" s="11" t="n">
        <x:v>821.26</x:v>
      </x:c>
      <x:c r="F2762" s="11" t="n">
        <x:v>10.9</x:v>
      </x:c>
      <x:c r="G2762" s="11" t="n">
        <x:v>810.36</x:v>
      </x:c>
      <x:c r="H2762" s="23" t="n">
        <x:v>0.00003999563271417562</x:v>
      </x:c>
      <x:c r="I2762" s="23" t="n">
        <x:v>0.9712154759536619</x:v>
      </x:c>
      <x:c r="J2762" s="2" t="n">
        <x:v>187</x:v>
      </x:c>
      <x:c r="K2762" s="2"/>
      <x:c r="L2762" s="2"/>
    </x:row>
    <x:row r="2763" ht="22" customHeight="1">
      <x:c r="A2763" s="2"/>
      <x:c r="B2763" s="2" t="n">
        <x:v>2730</x:v>
      </x:c>
      <x:c r="C2763" s="2" t="str">
        <x:v>21375</x:v>
      </x:c>
      <x:c r="D2763" s="2" t="str">
        <x:v>LARGE CAMPHOR WOOD FIELD MUSHROOM </x:v>
      </x:c>
      <x:c r="E2763" s="11" t="n">
        <x:v>820.1</x:v>
      </x:c>
      <x:c r="F2763" s="11" t="n">
        <x:v>0</x:v>
      </x:c>
      <x:c r="G2763" s="11" t="n">
        <x:v>820.1</x:v>
      </x:c>
      <x:c r="H2763" s="23" t="n">
        <x:v>0.00003993914033180166</x:v>
      </x:c>
      <x:c r="I2763" s="23" t="n">
        <x:v>0.9712554150939937</x:v>
      </x:c>
      <x:c r="J2763" s="2" t="n">
        <x:v>61</x:v>
      </x:c>
      <x:c r="K2763" s="2"/>
      <x:c r="L2763" s="2"/>
    </x:row>
    <x:row r="2764" ht="22" customHeight="1">
      <x:c r="A2764" s="2"/>
      <x:c r="B2764" s="2" t="n">
        <x:v>2731</x:v>
      </x:c>
      <x:c r="C2764" s="2" t="str">
        <x:v>23186</x:v>
      </x:c>
      <x:c r="D2764" s="2" t="str">
        <x:v>FRENCH STYLE STORAGE JAR CAFE </x:v>
      </x:c>
      <x:c r="E2764" s="11" t="n">
        <x:v>819.4599999999999</x:v>
      </x:c>
      <x:c r="F2764" s="11" t="n">
        <x:v>9.24</x:v>
      </x:c>
      <x:c r="G2764" s="11" t="n">
        <x:v>810.2199999999999</x:v>
      </x:c>
      <x:c r="H2764" s="23" t="n">
        <x:v>0.000039907972120836705</x:v>
      </x:c>
      <x:c r="I2764" s="23" t="n">
        <x:v>0.9712953230661145</x:v>
      </x:c>
      <x:c r="J2764" s="2" t="n">
        <x:v>70</x:v>
      </x:c>
      <x:c r="K2764" s="2"/>
      <x:c r="L2764" s="2"/>
    </x:row>
    <x:row r="2765" ht="22" customHeight="1">
      <x:c r="A2765" s="2"/>
      <x:c r="B2765" s="2" t="n">
        <x:v>2732</x:v>
      </x:c>
      <x:c r="C2765" s="2" t="str">
        <x:v>17107D</x:v>
      </x:c>
      <x:c r="D2765" s="2" t="str">
        <x:v>FLOWER FAIRY 5 DRAWER LINERS</x:v>
      </x:c>
      <x:c r="E2765" s="11" t="n">
        <x:v>818.55</x:v>
      </x:c>
      <x:c r="F2765" s="11" t="n">
        <x:v>5.1</x:v>
      </x:c>
      <x:c r="G2765" s="11" t="n">
        <x:v>813.4499999999999</x:v>
      </x:c>
      <x:c r="H2765" s="23" t="n">
        <x:v>0.00003986365482087092</x:v>
      </x:c>
      <x:c r="I2765" s="23" t="n">
        <x:v>0.9713351867209354</x:v>
      </x:c>
      <x:c r="J2765" s="2" t="n">
        <x:v>86</x:v>
      </x:c>
      <x:c r="K2765" s="2"/>
      <x:c r="L2765" s="2"/>
    </x:row>
    <x:row r="2766" ht="22" customHeight="1">
      <x:c r="A2766" s="2"/>
      <x:c r="B2766" s="2" t="n">
        <x:v>2733</x:v>
      </x:c>
      <x:c r="C2766" s="2" t="str">
        <x:v>85187</x:v>
      </x:c>
      <x:c r="D2766" s="2" t="str">
        <x:v>S/12 MINI RABBIT EASTER</x:v>
      </x:c>
      <x:c r="E2766" s="11" t="n">
        <x:v>818.1299999999999</x:v>
      </x:c>
      <x:c r="F2766" s="11" t="n">
        <x:v>0</x:v>
      </x:c>
      <x:c r="G2766" s="11" t="n">
        <x:v>818.1299999999999</x:v>
      </x:c>
      <x:c r="H2766" s="23" t="n">
        <x:v>0.00003984320068242517</x:v>
      </x:c>
      <x:c r="I2766" s="23" t="n">
        <x:v>0.9713750299216178</x:v>
      </x:c>
      <x:c r="J2766" s="2" t="n">
        <x:v>109</x:v>
      </x:c>
      <x:c r="K2766" s="2"/>
      <x:c r="L2766" s="2"/>
    </x:row>
    <x:row r="2767" ht="22" customHeight="1">
      <x:c r="A2767" s="2"/>
      <x:c r="B2767" s="2" t="n">
        <x:v>2734</x:v>
      </x:c>
      <x:c r="C2767" s="2" t="str">
        <x:v>21719</x:v>
      </x:c>
      <x:c r="D2767" s="2" t="str">
        <x:v>LOVELY BONBON STICKER SHEET</x:v>
      </x:c>
      <x:c r="E2767" s="11" t="n">
        <x:v>816.54</x:v>
      </x:c>
      <x:c r="F2767" s="11" t="n">
        <x:v>0</x:v>
      </x:c>
      <x:c r="G2767" s="11" t="n">
        <x:v>816.54</x:v>
      </x:c>
      <x:c r="H2767" s="23" t="n">
        <x:v>0.00003976576715830914</x:v>
      </x:c>
      <x:c r="I2767" s="23" t="n">
        <x:v>0.9714147956887762</x:v>
      </x:c>
      <x:c r="J2767" s="2" t="n">
        <x:v>141</x:v>
      </x:c>
      <x:c r="K2767" s="2"/>
      <x:c r="L2767" s="2"/>
    </x:row>
    <x:row r="2768" ht="22" customHeight="1">
      <x:c r="A2768" s="2"/>
      <x:c r="B2768" s="2" t="n">
        <x:v>2735</x:v>
      </x:c>
      <x:c r="C2768" s="2" t="str">
        <x:v>23324</x:v>
      </x:c>
      <x:c r="D2768" s="2" t="str">
        <x:v>RUSTIC STRAWBERRY JAM POT LARGE </x:v>
      </x:c>
      <x:c r="E2768" s="11" t="n">
        <x:v>816.0400000000001</x:v>
      </x:c>
      <x:c r="F2768" s="11" t="n">
        <x:v>67.51</x:v>
      </x:c>
      <x:c r="G2768" s="11" t="n">
        <x:v>748.5300000000001</x:v>
      </x:c>
      <x:c r="H2768" s="23" t="n">
        <x:v>0.00003974141699349278</x:v>
      </x:c>
      <x:c r="I2768" s="23" t="n">
        <x:v>0.9714545371057697</x:v>
      </x:c>
      <x:c r="J2768" s="2" t="n">
        <x:v>44</x:v>
      </x:c>
      <x:c r="K2768" s="2"/>
      <x:c r="L2768" s="2"/>
    </x:row>
    <x:row r="2769" ht="22" customHeight="1">
      <x:c r="A2769" s="2"/>
      <x:c r="B2769" s="2" t="n">
        <x:v>2736</x:v>
      </x:c>
      <x:c r="C2769" s="2" t="str">
        <x:v>23106</x:v>
      </x:c>
      <x:c r="D2769" s="2" t="str">
        <x:v>ZINC HEARTS PLANT POT HOLDER</x:v>
      </x:c>
      <x:c r="E2769" s="11" t="n">
        <x:v>815.59</x:v>
      </x:c>
      <x:c r="F2769" s="11" t="n">
        <x:v>34.68</x:v>
      </x:c>
      <x:c r="G2769" s="11" t="n">
        <x:v>780.9100000000001</x:v>
      </x:c>
      <x:c r="H2769" s="23" t="n">
        <x:v>0.000039719501845158044</x:v>
      </x:c>
      <x:c r="I2769" s="23" t="n">
        <x:v>0.9714942566076148</x:v>
      </x:c>
      <x:c r="J2769" s="2" t="n">
        <x:v>53</x:v>
      </x:c>
      <x:c r="K2769" s="2"/>
      <x:c r="L2769" s="2"/>
    </x:row>
    <x:row r="2770" ht="22" customHeight="1">
      <x:c r="A2770" s="2"/>
      <x:c r="B2770" s="2" t="n">
        <x:v>2737</x:v>
      </x:c>
      <x:c r="C2770" s="2" t="str">
        <x:v>85145</x:v>
      </x:c>
      <x:c r="D2770" s="2" t="str">
        <x:v>JARDIN ETCHED GLASS LARGE BELL JAR</x:v>
      </x:c>
      <x:c r="E2770" s="11" t="n">
        <x:v>813</x:v>
      </x:c>
      <x:c r="F2770" s="11" t="n">
        <x:v>38.25</x:v>
      </x:c>
      <x:c r="G2770" s="11" t="n">
        <x:v>774.75</x:v>
      </x:c>
      <x:c r="H2770" s="23" t="n">
        <x:v>0.000039593367991409275</x:v>
      </x:c>
      <x:c r="I2770" s="23" t="n">
        <x:v>0.9715338499756062</x:v>
      </x:c>
      <x:c r="J2770" s="2" t="n">
        <x:v>30</x:v>
      </x:c>
      <x:c r="K2770" s="2"/>
      <x:c r="L2770" s="2"/>
    </x:row>
    <x:row r="2771" ht="22" customHeight="1">
      <x:c r="A2771" s="2"/>
      <x:c r="B2771" s="2" t="n">
        <x:v>2738</x:v>
      </x:c>
      <x:c r="C2771" s="2" t="str">
        <x:v>20901</x:v>
      </x:c>
      <x:c r="D2771" s="2" t="str">
        <x:v>VINTAGE KEEPSAKE BOX PINK FLOWER</x:v>
      </x:c>
      <x:c r="E2771" s="11" t="n">
        <x:v>812.93</x:v>
      </x:c>
      <x:c r="F2771" s="11" t="n">
        <x:v>12.7</x:v>
      </x:c>
      <x:c r="G2771" s="11" t="n">
        <x:v>800.23</x:v>
      </x:c>
      <x:c r="H2771" s="23" t="n">
        <x:v>0.00003958995896833498</x:v>
      </x:c>
      <x:c r="I2771" s="23" t="n">
        <x:v>0.9715734399345746</x:v>
      </x:c>
      <x:c r="J2771" s="2" t="n">
        <x:v>67</x:v>
      </x:c>
      <x:c r="K2771" s="2"/>
      <x:c r="L2771" s="2"/>
    </x:row>
    <x:row r="2772" ht="22" customHeight="1">
      <x:c r="A2772" s="2"/>
      <x:c r="B2772" s="2" t="n">
        <x:v>2739</x:v>
      </x:c>
      <x:c r="C2772" s="2" t="str">
        <x:v>84920</x:v>
      </x:c>
      <x:c r="D2772" s="2" t="str">
        <x:v>PINK FLOWER FABRIC PONY</x:v>
      </x:c>
      <x:c r="E2772" s="11" t="n">
        <x:v>812.88</x:v>
      </x:c>
      <x:c r="F2772" s="11" t="n">
        <x:v>0</x:v>
      </x:c>
      <x:c r="G2772" s="11" t="n">
        <x:v>812.88</x:v>
      </x:c>
      <x:c r="H2772" s="23" t="n">
        <x:v>0.000039587523951853345</x:v>
      </x:c>
      <x:c r="I2772" s="23" t="n">
        <x:v>0.9716130274585264</x:v>
      </x:c>
      <x:c r="J2772" s="2" t="n">
        <x:v>88</x:v>
      </x:c>
      <x:c r="K2772" s="2"/>
      <x:c r="L2772" s="2"/>
    </x:row>
    <x:row r="2773" ht="22" customHeight="1">
      <x:c r="A2773" s="2"/>
      <x:c r="B2773" s="2" t="n">
        <x:v>2740</x:v>
      </x:c>
      <x:c r="C2773" s="2" t="str">
        <x:v>47594B</x:v>
      </x:c>
      <x:c r="D2773" s="2" t="str">
        <x:v>SCOTTIES DESIGN WASHBAG</x:v>
      </x:c>
      <x:c r="E2773" s="11" t="n">
        <x:v>812.29</x:v>
      </x:c>
      <x:c r="F2773" s="11" t="n">
        <x:v>44.85</x:v>
      </x:c>
      <x:c r="G2773" s="11" t="n">
        <x:v>767.4399999999999</x:v>
      </x:c>
      <x:c r="H2773" s="23" t="n">
        <x:v>0.000039558790757370035</x:v>
      </x:c>
      <x:c r="I2773" s="23" t="n">
        <x:v>0.9716525862492837</x:v>
      </x:c>
      <x:c r="J2773" s="2" t="n">
        <x:v>122</x:v>
      </x:c>
      <x:c r="K2773" s="2"/>
      <x:c r="L2773" s="2"/>
    </x:row>
    <x:row r="2774" ht="22" customHeight="1">
      <x:c r="A2774" s="2"/>
      <x:c r="B2774" s="2" t="n">
        <x:v>2741</x:v>
      </x:c>
      <x:c r="C2774" s="2" t="str">
        <x:v>21222</x:v>
      </x:c>
      <x:c r="D2774" s="2" t="str">
        <x:v>SET/4 BADGES BEETLES</x:v>
      </x:c>
      <x:c r="E2774" s="11" t="n">
        <x:v>812.15</x:v>
      </x:c>
      <x:c r="F2774" s="11" t="n">
        <x:v>0</x:v>
      </x:c>
      <x:c r="G2774" s="11" t="n">
        <x:v>812.15</x:v>
      </x:c>
      <x:c r="H2774" s="23" t="n">
        <x:v>0.00003955197271122145</x:v>
      </x:c>
      <x:c r="I2774" s="23" t="n">
        <x:v>0.971692138221995</x:v>
      </x:c>
      <x:c r="J2774" s="2" t="n">
        <x:v>133</x:v>
      </x:c>
      <x:c r="K2774" s="2"/>
      <x:c r="L2774" s="2"/>
    </x:row>
    <x:row r="2775" ht="22" customHeight="1">
      <x:c r="A2775" s="2"/>
      <x:c r="B2775" s="2" t="n">
        <x:v>2742</x:v>
      </x:c>
      <x:c r="C2775" s="2" t="str">
        <x:v>20833</x:v>
      </x:c>
      <x:c r="D2775" s="2" t="str">
        <x:v>SHAKER THROW  QUILTED</x:v>
      </x:c>
      <x:c r="E2775" s="11" t="n">
        <x:v>811.8</x:v>
      </x:c>
      <x:c r="F2775" s="11" t="n">
        <x:v>49.95</x:v>
      </x:c>
      <x:c r="G2775" s="11" t="n">
        <x:v>761.85</x:v>
      </x:c>
      <x:c r="H2775" s="23" t="n">
        <x:v>0.000039534927595849996</x:v>
      </x:c>
      <x:c r="I2775" s="23" t="n">
        <x:v>0.9717316731495909</x:v>
      </x:c>
      <x:c r="J2775" s="2" t="n">
        <x:v>5</x:v>
      </x:c>
      <x:c r="K2775" s="2"/>
      <x:c r="L2775" s="2"/>
    </x:row>
    <x:row r="2776" ht="22" customHeight="1">
      <x:c r="A2776" s="2"/>
      <x:c r="B2776" s="2" t="n">
        <x:v>2743</x:v>
      </x:c>
      <x:c r="C2776" s="2" t="str">
        <x:v>72801G</x:v>
      </x:c>
      <x:c r="D2776" s="2" t="str">
        <x:v>4 BURGUNDY WINE DINNER CANDLES</x:v>
      </x:c>
      <x:c r="E2776" s="11" t="n">
        <x:v>811.12</x:v>
      </x:c>
      <x:c r="F2776" s="11" t="n">
        <x:v>0</x:v>
      </x:c>
      <x:c r="G2776" s="11" t="n">
        <x:v>811.12</x:v>
      </x:c>
      <x:c r="H2776" s="23" t="n">
        <x:v>0.00003950181137169974</x:v>
      </x:c>
      <x:c r="I2776" s="23" t="n">
        <x:v>0.9717711749609625</x:v>
      </x:c>
      <x:c r="J2776" s="2" t="n">
        <x:v>64</x:v>
      </x:c>
      <x:c r="K2776" s="2"/>
      <x:c r="L2776" s="2"/>
    </x:row>
    <x:row r="2777" ht="22" customHeight="1">
      <x:c r="A2777" s="2"/>
      <x:c r="B2777" s="2" t="n">
        <x:v>2744</x:v>
      </x:c>
      <x:c r="C2777" s="2" t="str">
        <x:v>37333</x:v>
      </x:c>
      <x:c r="D2777" s="2" t="str">
        <x:v>RETRO "TEA FOR ONE" </x:v>
      </x:c>
      <x:c r="E2777" s="11" t="n">
        <x:v>810.05</x:v>
      </x:c>
      <x:c r="F2777" s="11" t="n">
        <x:v>0</x:v>
      </x:c>
      <x:c r="G2777" s="11" t="n">
        <x:v>810.05</x:v>
      </x:c>
      <x:c r="H2777" s="23" t="n">
        <x:v>0.00003944970201899272</x:v>
      </x:c>
      <x:c r="I2777" s="23" t="n">
        <x:v>0.9718106246629815</x:v>
      </x:c>
      <x:c r="J2777" s="2" t="n">
        <x:v>58</x:v>
      </x:c>
      <x:c r="K2777" s="2"/>
      <x:c r="L2777" s="2"/>
    </x:row>
    <x:row r="2778" ht="22" customHeight="1">
      <x:c r="A2778" s="2"/>
      <x:c r="B2778" s="2" t="n">
        <x:v>2745</x:v>
      </x:c>
      <x:c r="C2778" s="2" t="str">
        <x:v>21374</x:v>
      </x:c>
      <x:c r="D2778" s="2" t="str">
        <x:v>MIRRORED WALL ART SKULLS</x:v>
      </x:c>
      <x:c r="E2778" s="11" t="n">
        <x:v>809.67</x:v>
      </x:c>
      <x:c r="F2778" s="11" t="n">
        <x:v>0</x:v>
      </x:c>
      <x:c r="G2778" s="11" t="n">
        <x:v>809.67</x:v>
      </x:c>
      <x:c r="H2778" s="23" t="n">
        <x:v>0.00003943119589373228</x:v>
      </x:c>
      <x:c r="I2778" s="23" t="n">
        <x:v>0.9718500558588753</x:v>
      </x:c>
      <x:c r="J2778" s="2" t="n">
        <x:v>71</x:v>
      </x:c>
      <x:c r="K2778" s="2"/>
      <x:c r="L2778" s="2"/>
    </x:row>
    <x:row r="2779" ht="22" customHeight="1">
      <x:c r="A2779" s="2"/>
      <x:c r="B2779" s="2" t="n">
        <x:v>2746</x:v>
      </x:c>
      <x:c r="C2779" s="2" t="str">
        <x:v>16011</x:v>
      </x:c>
      <x:c r="D2779" s="2" t="str">
        <x:v>ANIMAL STICKERS</x:v>
      </x:c>
      <x:c r="E2779" s="11" t="n">
        <x:v>809.4</x:v>
      </x:c>
      <x:c r="F2779" s="11" t="n">
        <x:v>5.04</x:v>
      </x:c>
      <x:c r="G2779" s="11" t="n">
        <x:v>804.36</x:v>
      </x:c>
      <x:c r="H2779" s="23" t="n">
        <x:v>0.000039418046804731444</x:v>
      </x:c>
      <x:c r="I2779" s="23" t="n">
        <x:v>0.97188947390568</x:v>
      </x:c>
      <x:c r="J2779" s="2" t="n">
        <x:v>112</x:v>
      </x:c>
      <x:c r="K2779" s="2"/>
      <x:c r="L2779" s="2"/>
    </x:row>
    <x:row r="2780" ht="22" customHeight="1">
      <x:c r="A2780" s="2"/>
      <x:c r="B2780" s="2" t="n">
        <x:v>2747</x:v>
      </x:c>
      <x:c r="C2780" s="2" t="str">
        <x:v>21454</x:v>
      </x:c>
      <x:c r="D2780" s="2" t="str">
        <x:v>PAINTED PINK RABBIT </x:v>
      </x:c>
      <x:c r="E2780" s="11" t="n">
        <x:v>809.3</x:v>
      </x:c>
      <x:c r="F2780" s="11" t="n">
        <x:v>10.2</x:v>
      </x:c>
      <x:c r="G2780" s="11" t="n">
        <x:v>799.0999999999999</x:v>
      </x:c>
      <x:c r="H2780" s="23" t="n">
        <x:v>0.00003941317677176817</x:v>
      </x:c>
      <x:c r="I2780" s="23" t="n">
        <x:v>0.9719288870824518</x:v>
      </x:c>
      <x:c r="J2780" s="2" t="n">
        <x:v>194</x:v>
      </x:c>
      <x:c r="K2780" s="2"/>
      <x:c r="L2780" s="2"/>
    </x:row>
    <x:row r="2781" ht="22" customHeight="1">
      <x:c r="A2781" s="2"/>
      <x:c r="B2781" s="2" t="n">
        <x:v>2748</x:v>
      </x:c>
      <x:c r="C2781" s="2" t="str">
        <x:v>20769</x:v>
      </x:c>
      <x:c r="D2781" s="2" t="str">
        <x:v>DAISY JOURNAL </x:v>
      </x:c>
      <x:c r="E2781" s="11" t="n">
        <x:v>808.81</x:v>
      </x:c>
      <x:c r="F2781" s="11" t="n">
        <x:v>0</x:v>
      </x:c>
      <x:c r="G2781" s="11" t="n">
        <x:v>808.81</x:v>
      </x:c>
      <x:c r="H2781" s="23" t="n">
        <x:v>0.000039389313610248134</x:v>
      </x:c>
      <x:c r="I2781" s="23" t="n">
        <x:v>0.9719682763960621</x:v>
      </x:c>
      <x:c r="J2781" s="2" t="n">
        <x:v>79</x:v>
      </x:c>
      <x:c r="K2781" s="2"/>
      <x:c r="L2781" s="2"/>
    </x:row>
    <x:row r="2782" ht="22" customHeight="1">
      <x:c r="A2782" s="2"/>
      <x:c r="B2782" s="2" t="n">
        <x:v>2749</x:v>
      </x:c>
      <x:c r="C2782" s="2" t="str">
        <x:v>84922</x:v>
      </x:c>
      <x:c r="D2782" s="2" t="str">
        <x:v>PINK BUTTERFLY WASHBAG</x:v>
      </x:c>
      <x:c r="E2782" s="11" t="n">
        <x:v>808.22</x:v>
      </x:c>
      <x:c r="F2782" s="11" t="n">
        <x:v>0</x:v>
      </x:c>
      <x:c r="G2782" s="11" t="n">
        <x:v>808.22</x:v>
      </x:c>
      <x:c r="H2782" s="23" t="n">
        <x:v>0.00003936058041576483</x:v>
      </x:c>
      <x:c r="I2782" s="23" t="n">
        <x:v>0.9720076369764779</x:v>
      </x:c>
      <x:c r="J2782" s="2" t="n">
        <x:v>17</x:v>
      </x:c>
      <x:c r="K2782" s="2"/>
      <x:c r="L2782" s="2"/>
    </x:row>
    <x:row r="2783" ht="22" customHeight="1">
      <x:c r="A2783" s="2"/>
      <x:c r="B2783" s="2" t="n">
        <x:v>2750</x:v>
      </x:c>
      <x:c r="C2783" s="2" t="str">
        <x:v>23022</x:v>
      </x:c>
      <x:c r="D2783" s="2" t="str">
        <x:v>SMALL BONNE JAM JAR  T-LIGHT HOLDER</x:v>
      </x:c>
      <x:c r="E2783" s="11" t="n">
        <x:v>808.16</x:v>
      </x:c>
      <x:c r="F2783" s="11" t="n">
        <x:v>62.400000000000006</x:v>
      </x:c>
      <x:c r="G2783" s="11" t="n">
        <x:v>745.76</x:v>
      </x:c>
      <x:c r="H2783" s="23" t="n">
        <x:v>0.00003935765839598686</x:v>
      </x:c>
      <x:c r="I2783" s="23" t="n">
        <x:v>0.9720469946348739</x:v>
      </x:c>
      <x:c r="J2783" s="2" t="n">
        <x:v>22</x:v>
      </x:c>
      <x:c r="K2783" s="2"/>
      <x:c r="L2783" s="2"/>
    </x:row>
    <x:row r="2784" ht="22" customHeight="1">
      <x:c r="A2784" s="2"/>
      <x:c r="B2784" s="2" t="n">
        <x:v>2751</x:v>
      </x:c>
      <x:c r="C2784" s="2" t="str">
        <x:v>22344</x:v>
      </x:c>
      <x:c r="D2784" s="2" t="str">
        <x:v>PARTY PIZZA DISH PINK POLKADOT</x:v>
      </x:c>
      <x:c r="E2784" s="11" t="n">
        <x:v>807.89</x:v>
      </x:c>
      <x:c r="F2784" s="11" t="n">
        <x:v>0</x:v>
      </x:c>
      <x:c r="G2784" s="11" t="n">
        <x:v>807.89</x:v>
      </x:c>
      <x:c r="H2784" s="23" t="n">
        <x:v>0.000039344509306986025</x:v>
      </x:c>
      <x:c r="I2784" s="23" t="n">
        <x:v>0.9720863391441809</x:v>
      </x:c>
      <x:c r="J2784" s="2" t="n">
        <x:v>133</x:v>
      </x:c>
      <x:c r="K2784" s="2"/>
      <x:c r="L2784" s="2"/>
    </x:row>
    <x:row r="2785" ht="22" customHeight="1">
      <x:c r="A2785" s="2"/>
      <x:c r="B2785" s="2" t="n">
        <x:v>2752</x:v>
      </x:c>
      <x:c r="C2785" s="2" t="str">
        <x:v>22058</x:v>
      </x:c>
      <x:c r="D2785" s="2" t="str">
        <x:v>CERAMIC LOVE HEARTS DESIGN MUG</x:v>
      </x:c>
      <x:c r="E2785" s="11" t="n">
        <x:v>807.64</x:v>
      </x:c>
      <x:c r="F2785" s="11" t="n">
        <x:v>11.92</x:v>
      </x:c>
      <x:c r="G2785" s="11" t="n">
        <x:v>795.72</x:v>
      </x:c>
      <x:c r="H2785" s="23" t="n">
        <x:v>0.000039332334224577846</x:v>
      </x:c>
      <x:c r="I2785" s="23" t="n">
        <x:v>0.9721256714784055</x:v>
      </x:c>
      <x:c r="J2785" s="2" t="n">
        <x:v>103</x:v>
      </x:c>
      <x:c r="K2785" s="2"/>
      <x:c r="L2785" s="2"/>
    </x:row>
    <x:row r="2786" ht="22" customHeight="1">
      <x:c r="A2786" s="2"/>
      <x:c r="B2786" s="2" t="n">
        <x:v>2753</x:v>
      </x:c>
      <x:c r="C2786" s="2" t="str">
        <x:v>22135</x:v>
      </x:c>
      <x:c r="D2786" s="2" t="str">
        <x:v>MINI LADLE LOVE HEART PINK</x:v>
      </x:c>
      <x:c r="E2786" s="11" t="n">
        <x:v>806.5699999999999</x:v>
      </x:c>
      <x:c r="F2786" s="11" t="n">
        <x:v>10.08</x:v>
      </x:c>
      <x:c r="G2786" s="11" t="n">
        <x:v>796.49</x:v>
      </x:c>
      <x:c r="H2786" s="23" t="n">
        <x:v>0.00003928022487187082</x:v>
      </x:c>
      <x:c r="I2786" s="23" t="n">
        <x:v>0.9721649517032773</x:v>
      </x:c>
      <x:c r="J2786" s="2" t="n">
        <x:v>317</x:v>
      </x:c>
      <x:c r="K2786" s="2"/>
      <x:c r="L2786" s="2"/>
    </x:row>
    <x:row r="2787" ht="22" customHeight="1">
      <x:c r="A2787" s="2"/>
      <x:c r="B2787" s="2" t="n">
        <x:v>2754</x:v>
      </x:c>
      <x:c r="C2787" s="2" t="str">
        <x:v>85044</x:v>
      </x:c>
      <x:c r="D2787" s="2" t="str">
        <x:v>RED REINDEER STRING OF 20 LIGHTS</x:v>
      </x:c>
      <x:c r="E2787" s="11" t="n">
        <x:v>806.35</x:v>
      </x:c>
      <x:c r="F2787" s="11" t="n">
        <x:v>23.35</x:v>
      </x:c>
      <x:c r="G2787" s="11" t="n">
        <x:v>783</x:v>
      </x:c>
      <x:c r="H2787" s="23" t="n">
        <x:v>0.00003926951079935162</x:v>
      </x:c>
      <x:c r="I2787" s="23" t="n">
        <x:v>0.9722042212140767</x:v>
      </x:c>
      <x:c r="J2787" s="2" t="n">
        <x:v>40</x:v>
      </x:c>
      <x:c r="K2787" s="2"/>
      <x:c r="L2787" s="2"/>
    </x:row>
    <x:row r="2788" ht="22" customHeight="1">
      <x:c r="A2788" s="2"/>
      <x:c r="B2788" s="2" t="n">
        <x:v>2755</x:v>
      </x:c>
      <x:c r="C2788" s="2" t="str">
        <x:v>84767</x:v>
      </x:c>
      <x:c r="D2788" s="2" t="str">
        <x:v>ZINC POLICE BOX LANTERN</x:v>
      </x:c>
      <x:c r="E2788" s="11" t="n">
        <x:v>806.22</x:v>
      </x:c>
      <x:c r="F2788" s="11" t="n">
        <x:v>0</x:v>
      </x:c>
      <x:c r="G2788" s="11" t="n">
        <x:v>806.22</x:v>
      </x:c>
      <x:c r="H2788" s="23" t="n">
        <x:v>0.000039263179756499365</x:v>
      </x:c>
      <x:c r="I2788" s="23" t="n">
        <x:v>0.9722434843938332</x:v>
      </x:c>
      <x:c r="J2788" s="2" t="n">
        <x:v>6</x:v>
      </x:c>
      <x:c r="K2788" s="2"/>
      <x:c r="L2788" s="2"/>
    </x:row>
    <x:row r="2789" ht="22" customHeight="1">
      <x:c r="A2789" s="2"/>
      <x:c r="B2789" s="2" t="n">
        <x:v>2756</x:v>
      </x:c>
      <x:c r="C2789" s="2" t="str">
        <x:v>17012A</x:v>
      </x:c>
      <x:c r="D2789" s="2" t="str">
        <x:v>ORIGAMI VANILLA INCENSE/CANDLE SET </x:v>
      </x:c>
      <x:c r="E2789" s="11" t="n">
        <x:v>806.16</x:v>
      </x:c>
      <x:c r="F2789" s="11" t="n">
        <x:v>0</x:v>
      </x:c>
      <x:c r="G2789" s="11" t="n">
        <x:v>806.16</x:v>
      </x:c>
      <x:c r="H2789" s="23" t="n">
        <x:v>0.000039260257736721404</x:v>
      </x:c>
      <x:c r="I2789" s="23" t="n">
        <x:v>0.9722827446515699</x:v>
      </x:c>
      <x:c r="J2789" s="2" t="n">
        <x:v>95</x:v>
      </x:c>
      <x:c r="K2789" s="2"/>
      <x:c r="L2789" s="2"/>
    </x:row>
    <x:row r="2790" ht="22" customHeight="1">
      <x:c r="A2790" s="2"/>
      <x:c r="B2790" s="2" t="n">
        <x:v>2757</x:v>
      </x:c>
      <x:c r="C2790" s="2" t="str">
        <x:v>84951B</x:v>
      </x:c>
      <x:c r="D2790" s="2" t="str">
        <x:v>SET OF 4 BLACK LOVEBIRD COASTERS</x:v>
      </x:c>
      <x:c r="E2790" s="11" t="n">
        <x:v>802.73</x:v>
      </x:c>
      <x:c r="F2790" s="11" t="n">
        <x:v>0</x:v>
      </x:c>
      <x:c r="G2790" s="11" t="n">
        <x:v>802.73</x:v>
      </x:c>
      <x:c r="H2790" s="23" t="n">
        <x:v>0.00003909321560608114</x:v>
      </x:c>
      <x:c r="I2790" s="23" t="n">
        <x:v>0.9723218378671761</x:v>
      </x:c>
      <x:c r="J2790" s="2" t="n">
        <x:v>120</x:v>
      </x:c>
      <x:c r="K2790" s="2"/>
      <x:c r="L2790" s="2"/>
    </x:row>
    <x:row r="2791" ht="22" customHeight="1">
      <x:c r="A2791" s="2"/>
      <x:c r="B2791" s="2" t="n">
        <x:v>2758</x:v>
      </x:c>
      <x:c r="C2791" s="2" t="str">
        <x:v>23409</x:v>
      </x:c>
      <x:c r="D2791" s="2" t="str">
        <x:v>PHOTO FRAME LINEN AND LACE LARGE</x:v>
      </x:c>
      <x:c r="E2791" s="11" t="n">
        <x:v>801.6800000000001</x:v>
      </x:c>
      <x:c r="F2791" s="11" t="n">
        <x:v>26.25</x:v>
      </x:c>
      <x:c r="G2791" s="11" t="n">
        <x:v>775.4300000000001</x:v>
      </x:c>
      <x:c r="H2791" s="23" t="n">
        <x:v>0.00003904208025996678</x:v>
      </x:c>
      <x:c r="I2791" s="23" t="n">
        <x:v>0.972360879947436</x:v>
      </x:c>
      <x:c r="J2791" s="2" t="n">
        <x:v>43</x:v>
      </x:c>
      <x:c r="K2791" s="2"/>
      <x:c r="L2791" s="2"/>
    </x:row>
    <x:row r="2792" ht="22" customHeight="1">
      <x:c r="A2792" s="2"/>
      <x:c r="B2792" s="2" t="n">
        <x:v>2759</x:v>
      </x:c>
      <x:c r="C2792" s="2" t="str">
        <x:v>22408</x:v>
      </x:c>
      <x:c r="D2792" s="2" t="str">
        <x:v>MONEY BOX CONFECTIONERY DESIGN</x:v>
      </x:c>
      <x:c r="E2792" s="11" t="n">
        <x:v>801.17</x:v>
      </x:c>
      <x:c r="F2792" s="11" t="n">
        <x:v>39.410000000000004</x:v>
      </x:c>
      <x:c r="G2792" s="11" t="n">
        <x:v>761.76</x:v>
      </x:c>
      <x:c r="H2792" s="23" t="n">
        <x:v>0.00003901724309185408</x:v>
      </x:c>
      <x:c r="I2792" s="23" t="n">
        <x:v>0.9723998971905279</x:v>
      </x:c>
      <x:c r="J2792" s="2" t="n">
        <x:v>95</x:v>
      </x:c>
      <x:c r="K2792" s="2"/>
      <x:c r="L2792" s="2"/>
    </x:row>
    <x:row r="2793" ht="22" customHeight="1">
      <x:c r="A2793" s="2"/>
      <x:c r="B2793" s="2" t="n">
        <x:v>2760</x:v>
      </x:c>
      <x:c r="C2793" s="2" t="str">
        <x:v>20699</x:v>
      </x:c>
      <x:c r="D2793" s="2" t="str">
        <x:v>MOUSEY LONG LEGS SOFT TOY</x:v>
      </x:c>
      <x:c r="E2793" s="11" t="n">
        <x:v>800.51</x:v>
      </x:c>
      <x:c r="F2793" s="11" t="n">
        <x:v>0</x:v>
      </x:c>
      <x:c r="G2793" s="11" t="n">
        <x:v>800.51</x:v>
      </x:c>
      <x:c r="H2793" s="23" t="n">
        <x:v>0.00003898510087429648</x:v>
      </x:c>
      <x:c r="I2793" s="23" t="n">
        <x:v>0.9724388822914022</x:v>
      </x:c>
      <x:c r="J2793" s="2" t="n">
        <x:v>88</x:v>
      </x:c>
      <x:c r="K2793" s="2"/>
      <x:c r="L2793" s="2"/>
    </x:row>
    <x:row r="2794" ht="22" customHeight="1">
      <x:c r="A2794" s="2"/>
      <x:c r="B2794" s="2" t="n">
        <x:v>2761</x:v>
      </x:c>
      <x:c r="C2794" s="2" t="str">
        <x:v>22825</x:v>
      </x:c>
      <x:c r="D2794" s="2" t="str">
        <x:v>DECORATIVE PLANT POT WITH FRIEZE</x:v>
      </x:c>
      <x:c r="E2794" s="11" t="n">
        <x:v>799.02</x:v>
      </x:c>
      <x:c r="F2794" s="11" t="n">
        <x:v>53.25</x:v>
      </x:c>
      <x:c r="G2794" s="11" t="n">
        <x:v>745.77</x:v>
      </x:c>
      <x:c r="H2794" s="23" t="n">
        <x:v>0.00003891253738314371</x:v>
      </x:c>
      <x:c r="I2794" s="23" t="n">
        <x:v>0.9724777948287854</x:v>
      </x:c>
      <x:c r="J2794" s="2" t="n">
        <x:v>38</x:v>
      </x:c>
      <x:c r="K2794" s="2"/>
      <x:c r="L2794" s="2"/>
    </x:row>
    <x:row r="2795" ht="22" customHeight="1">
      <x:c r="A2795" s="2"/>
      <x:c r="B2795" s="2" t="n">
        <x:v>2762</x:v>
      </x:c>
      <x:c r="C2795" s="2" t="str">
        <x:v>47574A</x:v>
      </x:c>
      <x:c r="D2795" s="2" t="str">
        <x:v>check</x:v>
      </x:c>
      <x:c r="E2795" s="11" t="n">
        <x:v>797.73</x:v>
      </x:c>
      <x:c r="F2795" s="11" t="n">
        <x:v>1.5</x:v>
      </x:c>
      <x:c r="G2795" s="11" t="n">
        <x:v>796.23</x:v>
      </x:c>
      <x:c r="H2795" s="23" t="n">
        <x:v>0.00003884971395791749</x:v>
      </x:c>
      <x:c r="I2795" s="23" t="n">
        <x:v>0.9725166445427433</x:v>
      </x:c>
      <x:c r="J2795" s="2" t="n">
        <x:v>129</x:v>
      </x:c>
      <x:c r="K2795" s="2"/>
      <x:c r="L2795" s="2"/>
    </x:row>
    <x:row r="2796" ht="22" customHeight="1">
      <x:c r="A2796" s="2"/>
      <x:c r="B2796" s="2" t="n">
        <x:v>2763</x:v>
      </x:c>
      <x:c r="C2796" s="2" t="str">
        <x:v>21455</x:v>
      </x:c>
      <x:c r="D2796" s="2" t="str">
        <x:v>PAINTED YELLOW WOODEN DAISY</x:v>
      </x:c>
      <x:c r="E2796" s="11" t="n">
        <x:v>797.27</x:v>
      </x:c>
      <x:c r="F2796" s="11" t="n">
        <x:v>14.45</x:v>
      </x:c>
      <x:c r="G2796" s="11" t="n">
        <x:v>782.8199999999999</x:v>
      </x:c>
      <x:c r="H2796" s="23" t="n">
        <x:v>0.00003882731180628644</x:v>
      </x:c>
      <x:c r="I2796" s="23" t="n">
        <x:v>0.9725554718545496</x:v>
      </x:c>
      <x:c r="J2796" s="2" t="n">
        <x:v>167</x:v>
      </x:c>
      <x:c r="K2796" s="2"/>
      <x:c r="L2796" s="2"/>
    </x:row>
    <x:row r="2797" ht="22" customHeight="1">
      <x:c r="A2797" s="2"/>
      <x:c r="B2797" s="2" t="n">
        <x:v>2764</x:v>
      </x:c>
      <x:c r="C2797" s="2" t="str">
        <x:v>20997</x:v>
      </x:c>
      <x:c r="D2797" s="2" t="str">
        <x:v>ROSE DU SUD CUSHION COVER </x:v>
      </x:c>
      <x:c r="E2797" s="11" t="n">
        <x:v>796.74</x:v>
      </x:c>
      <x:c r="F2797" s="11" t="n">
        <x:v>0</x:v>
      </x:c>
      <x:c r="G2797" s="11" t="n">
        <x:v>796.74</x:v>
      </x:c>
      <x:c r="H2797" s="23" t="n">
        <x:v>0.00003880150063158109</x:v>
      </x:c>
      <x:c r="I2797" s="23" t="n">
        <x:v>0.9725942733551812</x:v>
      </x:c>
      <x:c r="J2797" s="2" t="n">
        <x:v>83</x:v>
      </x:c>
      <x:c r="K2797" s="2"/>
      <x:c r="L2797" s="2"/>
    </x:row>
    <x:row r="2798" ht="22" customHeight="1">
      <x:c r="A2798" s="2"/>
      <x:c r="B2798" s="2" t="n">
        <x:v>2765</x:v>
      </x:c>
      <x:c r="C2798" s="2" t="str">
        <x:v>37494A</x:v>
      </x:c>
      <x:c r="D2798" s="2" t="str">
        <x:v>FAIRY CAKE CERAMIC BUTTER DISH</x:v>
      </x:c>
      <x:c r="E2798" s="11" t="n">
        <x:v>796.39</x:v>
      </x:c>
      <x:c r="F2798" s="11" t="n">
        <x:v>14.75</x:v>
      </x:c>
      <x:c r="G2798" s="11" t="n">
        <x:v>781.64</x:v>
      </x:c>
      <x:c r="H2798" s="23" t="n">
        <x:v>0.00003878445551620963</x:v>
      </x:c>
      <x:c r="I2798" s="23" t="n">
        <x:v>0.9726330578106974</x:v>
      </x:c>
      <x:c r="J2798" s="2" t="n">
        <x:v>51</x:v>
      </x:c>
      <x:c r="K2798" s="2"/>
      <x:c r="L2798" s="2"/>
    </x:row>
    <x:row r="2799" ht="22" customHeight="1">
      <x:c r="A2799" s="2"/>
      <x:c r="B2799" s="2" t="n">
        <x:v>2766</x:v>
      </x:c>
      <x:c r="C2799" s="2" t="str">
        <x:v>22447</x:v>
      </x:c>
      <x:c r="D2799" s="2" t="str">
        <x:v>PIN CUSHION BABUSHKA BLUE</x:v>
      </x:c>
      <x:c r="E2799" s="11" t="n">
        <x:v>796.34</x:v>
      </x:c>
      <x:c r="F2799" s="11" t="n">
        <x:v>20.1</x:v>
      </x:c>
      <x:c r="G2799" s="11" t="n">
        <x:v>776.24</x:v>
      </x:c>
      <x:c r="H2799" s="23" t="n">
        <x:v>0.000038782020499727996</x:v>
      </x:c>
      <x:c r="I2799" s="23" t="n">
        <x:v>0.9726718398311971</x:v>
      </x:c>
      <x:c r="J2799" s="2" t="n">
        <x:v>82</x:v>
      </x:c>
      <x:c r="K2799" s="2"/>
      <x:c r="L2799" s="2"/>
    </x:row>
    <x:row r="2800" ht="22" customHeight="1">
      <x:c r="A2800" s="2"/>
      <x:c r="B2800" s="2" t="n">
        <x:v>2767</x:v>
      </x:c>
      <x:c r="C2800" s="2" t="str">
        <x:v>84625D</x:v>
      </x:c>
      <x:c r="D2800" s="2" t="str">
        <x:v>WHITE NEWBAROQUE CANDLESTICK CANDLE</x:v>
      </x:c>
      <x:c r="E2800" s="11" t="n">
        <x:v>796.29</x:v>
      </x:c>
      <x:c r="F2800" s="11" t="n">
        <x:v>57.85000000000001</x:v>
      </x:c>
      <x:c r="G2800" s="11" t="n">
        <x:v>738.4399999999999</x:v>
      </x:c>
      <x:c r="H2800" s="23" t="n">
        <x:v>0.00003877958548324636</x:v>
      </x:c>
      <x:c r="I2800" s="23" t="n">
        <x:v>0.9727106194166804</x:v>
      </x:c>
      <x:c r="J2800" s="2" t="n">
        <x:v>51</x:v>
      </x:c>
      <x:c r="K2800" s="2"/>
      <x:c r="L2800" s="2"/>
    </x:row>
    <x:row r="2801" ht="22" customHeight="1">
      <x:c r="A2801" s="2"/>
      <x:c r="B2801" s="2" t="n">
        <x:v>2768</x:v>
      </x:c>
      <x:c r="C2801" s="2" t="str">
        <x:v>23487</x:v>
      </x:c>
      <x:c r="D2801" s="2" t="str">
        <x:v>SWEET HEART CAKE CARRIER</x:v>
      </x:c>
      <x:c r="E2801" s="11" t="n">
        <x:v>795.5799999999999</x:v>
      </x:c>
      <x:c r="F2801" s="11" t="n">
        <x:v>89.55</x:v>
      </x:c>
      <x:c r="G2801" s="11" t="n">
        <x:v>706.03</x:v>
      </x:c>
      <x:c r="H2801" s="23" t="n">
        <x:v>0.00003874500824920712</x:v>
      </x:c>
      <x:c r="I2801" s="23" t="n">
        <x:v>0.9727493644249295</x:v>
      </x:c>
      <x:c r="J2801" s="2" t="n">
        <x:v>44</x:v>
      </x:c>
      <x:c r="K2801" s="2"/>
      <x:c r="L2801" s="2"/>
    </x:row>
    <x:row r="2802" ht="22" customHeight="1">
      <x:c r="A2802" s="2"/>
      <x:c r="B2802" s="2" t="n">
        <x:v>2769</x:v>
      </x:c>
      <x:c r="C2802" s="2" t="str">
        <x:v>23521</x:v>
      </x:c>
      <x:c r="D2802" s="2" t="str">
        <x:v>WALL ART CAT AND BIRD </x:v>
      </x:c>
      <x:c r="E2802" s="11" t="n">
        <x:v>793.37</x:v>
      </x:c>
      <x:c r="F2802" s="11" t="n">
        <x:v>0</x:v>
      </x:c>
      <x:c r="G2802" s="11" t="n">
        <x:v>793.37</x:v>
      </x:c>
      <x:c r="H2802" s="23" t="n">
        <x:v>0.00003863738052071879</x:v>
      </x:c>
      <x:c r="I2802" s="23" t="n">
        <x:v>0.9727880018054502</x:v>
      </x:c>
      <x:c r="J2802" s="2" t="n">
        <x:v>44</x:v>
      </x:c>
      <x:c r="K2802" s="2"/>
      <x:c r="L2802" s="2"/>
    </x:row>
    <x:row r="2803" ht="22" customHeight="1">
      <x:c r="A2803" s="2"/>
      <x:c r="B2803" s="2" t="n">
        <x:v>2770</x:v>
      </x:c>
      <x:c r="C2803" s="2" t="str">
        <x:v>35915C</x:v>
      </x:c>
      <x:c r="D2803" s="2" t="str">
        <x:v>PEACH KNITTED HEN </x:v>
      </x:c>
      <x:c r="E2803" s="11" t="n">
        <x:v>793.3199999999999</x:v>
      </x:c>
      <x:c r="F2803" s="11" t="n">
        <x:v>0</x:v>
      </x:c>
      <x:c r="G2803" s="11" t="n">
        <x:v>793.3199999999999</x:v>
      </x:c>
      <x:c r="H2803" s="23" t="n">
        <x:v>0.00003863494550423715</x:v>
      </x:c>
      <x:c r="I2803" s="23" t="n">
        <x:v>0.9728266367509545</x:v>
      </x:c>
      <x:c r="J2803" s="2" t="n">
        <x:v>82</x:v>
      </x:c>
      <x:c r="K2803" s="2"/>
      <x:c r="L2803" s="2"/>
    </x:row>
    <x:row r="2804" ht="22" customHeight="1">
      <x:c r="A2804" s="2"/>
      <x:c r="B2804" s="2" t="n">
        <x:v>2771</x:v>
      </x:c>
      <x:c r="C2804" s="2" t="str">
        <x:v>85017A</x:v>
      </x:c>
      <x:c r="D2804" s="2" t="str">
        <x:v>ENVELOPE 50 ROMANTIC IMAGES</x:v>
      </x:c>
      <x:c r="E2804" s="11" t="n">
        <x:v>793</x:v>
      </x:c>
      <x:c r="F2804" s="11" t="n">
        <x:v>0</x:v>
      </x:c>
      <x:c r="G2804" s="11" t="n">
        <x:v>793</x:v>
      </x:c>
      <x:c r="H2804" s="23" t="n">
        <x:v>0.00003861936139875468</x:v>
      </x:c>
      <x:c r="I2804" s="23" t="n">
        <x:v>0.9728652561123532</x:v>
      </x:c>
      <x:c r="J2804" s="2" t="n">
        <x:v>174</x:v>
      </x:c>
      <x:c r="K2804" s="2"/>
      <x:c r="L2804" s="2"/>
    </x:row>
    <x:row r="2805" ht="22" customHeight="1">
      <x:c r="A2805" s="2"/>
      <x:c r="B2805" s="2" t="n">
        <x:v>2772</x:v>
      </x:c>
      <x:c r="C2805" s="2" t="str">
        <x:v>23335</x:v>
      </x:c>
      <x:c r="D2805" s="2" t="str">
        <x:v>EGG FRYING PAN IVORY </x:v>
      </x:c>
      <x:c r="E2805" s="11" t="n">
        <x:v>792.86</x:v>
      </x:c>
      <x:c r="F2805" s="11" t="n">
        <x:v>24.96</x:v>
      </x:c>
      <x:c r="G2805" s="11" t="n">
        <x:v>767.9000000000001</x:v>
      </x:c>
      <x:c r="H2805" s="23" t="n">
        <x:v>0.0000386125433526061</x:v>
      </x:c>
      <x:c r="I2805" s="23" t="n">
        <x:v>0.9729038686557058</x:v>
      </x:c>
      <x:c r="J2805" s="2" t="n">
        <x:v>96</x:v>
      </x:c>
      <x:c r="K2805" s="2"/>
      <x:c r="L2805" s="2"/>
    </x:row>
    <x:row r="2806" ht="22" customHeight="1">
      <x:c r="A2806" s="2"/>
      <x:c r="B2806" s="2" t="n">
        <x:v>2773</x:v>
      </x:c>
      <x:c r="C2806" s="2" t="str">
        <x:v>23519</x:v>
      </x:c>
      <x:c r="D2806" s="2" t="str">
        <x:v>EMBROIDERED RIBBON REEL CLAIRE</x:v>
      </x:c>
      <x:c r="E2806" s="11" t="n">
        <x:v>792.31</x:v>
      </x:c>
      <x:c r="F2806" s="11" t="n">
        <x:v>0</x:v>
      </x:c>
      <x:c r="G2806" s="11" t="n">
        <x:v>792.31</x:v>
      </x:c>
      <x:c r="H2806" s="23" t="n">
        <x:v>0.000038585758171308095</x:v>
      </x:c>
      <x:c r="I2806" s="23" t="n">
        <x:v>0.9729424544138771</x:v>
      </x:c>
      <x:c r="J2806" s="2" t="n">
        <x:v>24</x:v>
      </x:c>
      <x:c r="K2806" s="2"/>
      <x:c r="L2806" s="2"/>
    </x:row>
    <x:row r="2807" ht="22" customHeight="1">
      <x:c r="A2807" s="2"/>
      <x:c r="B2807" s="2" t="n">
        <x:v>2774</x:v>
      </x:c>
      <x:c r="C2807" s="2" t="str">
        <x:v>45008C</x:v>
      </x:c>
      <x:c r="D2807" s="2" t="str">
        <x:v>dirty, torn, thrown away.</x:v>
      </x:c>
      <x:c r="E2807" s="11" t="n">
        <x:v>792.0699999999999</x:v>
      </x:c>
      <x:c r="F2807" s="11" t="n">
        <x:v>0</x:v>
      </x:c>
      <x:c r="G2807" s="11" t="n">
        <x:v>792.0699999999999</x:v>
      </x:c>
      <x:c r="H2807" s="23" t="n">
        <x:v>0.00003857407009219624</x:v>
      </x:c>
      <x:c r="I2807" s="23" t="n">
        <x:v>0.9729810284839693</x:v>
      </x:c>
      <x:c r="J2807" s="2" t="n">
        <x:v>34</x:v>
      </x:c>
      <x:c r="K2807" s="2"/>
      <x:c r="L2807" s="2"/>
    </x:row>
    <x:row r="2808" ht="22" customHeight="1">
      <x:c r="A2808" s="2"/>
      <x:c r="B2808" s="2" t="n">
        <x:v>2775</x:v>
      </x:c>
      <x:c r="C2808" s="2" t="str">
        <x:v>23568</x:v>
      </x:c>
      <x:c r="D2808" s="2" t="str">
        <x:v>EGG CUP HENRIETTA HEN CREAM </x:v>
      </x:c>
      <x:c r="E2808" s="11" t="n">
        <x:v>787.52</x:v>
      </x:c>
      <x:c r="F2808" s="11" t="n">
        <x:v>1.25</x:v>
      </x:c>
      <x:c r="G2808" s="11" t="n">
        <x:v>786.27</x:v>
      </x:c>
      <x:c r="H2808" s="23" t="n">
        <x:v>0.00003835248359236732</x:v>
      </x:c>
      <x:c r="I2808" s="23" t="n">
        <x:v>0.9730193809675617</x:v>
      </x:c>
      <x:c r="J2808" s="2" t="n">
        <x:v>48</x:v>
      </x:c>
      <x:c r="K2808" s="2"/>
      <x:c r="L2808" s="2"/>
    </x:row>
    <x:row r="2809" ht="22" customHeight="1">
      <x:c r="A2809" s="2"/>
      <x:c r="B2809" s="2" t="n">
        <x:v>2776</x:v>
      </x:c>
      <x:c r="C2809" s="2" t="str">
        <x:v>23115</x:v>
      </x:c>
      <x:c r="D2809" s="2" t="str">
        <x:v>RED APPLES CHOPPING BOARD   </x:v>
      </x:c>
      <x:c r="E2809" s="11" t="n">
        <x:v>785.1700000000001</x:v>
      </x:c>
      <x:c r="F2809" s="11" t="n">
        <x:v>0</x:v>
      </x:c>
      <x:c r="G2809" s="11" t="n">
        <x:v>785.1700000000001</x:v>
      </x:c>
      <x:c r="H2809" s="23" t="n">
        <x:v>0.00003823803781773041</x:v>
      </x:c>
      <x:c r="I2809" s="23" t="n">
        <x:v>0.9730576190053795</x:v>
      </x:c>
      <x:c r="J2809" s="2" t="n">
        <x:v>45</x:v>
      </x:c>
      <x:c r="K2809" s="2"/>
      <x:c r="L2809" s="2"/>
    </x:row>
    <x:row r="2810" ht="22" customHeight="1">
      <x:c r="A2810" s="2"/>
      <x:c r="B2810" s="2" t="n">
        <x:v>2777</x:v>
      </x:c>
      <x:c r="C2810" s="2" t="str">
        <x:v>84970s</x:v>
      </x:c>
      <x:c r="D2810" s="2" t="str">
        <x:v>HANGING HEART ZINC T-LIGHT HOLDER</x:v>
      </x:c>
      <x:c r="E2810" s="11" t="n">
        <x:v>784.04</x:v>
      </x:c>
      <x:c r="F2810" s="11" t="n">
        <x:v>0</x:v>
      </x:c>
      <x:c r="G2810" s="11" t="n">
        <x:v>784.04</x:v>
      </x:c>
      <x:c r="H2810" s="23" t="n">
        <x:v>0.000038183006445245417</x:v>
      </x:c>
      <x:c r="I2810" s="23" t="n">
        <x:v>0.9730958020118247</x:v>
      </x:c>
      <x:c r="J2810" s="2" t="n">
        <x:v>98</x:v>
      </x:c>
      <x:c r="K2810" s="2"/>
      <x:c r="L2810" s="2"/>
    </x:row>
    <x:row r="2811" ht="22" customHeight="1">
      <x:c r="A2811" s="2"/>
      <x:c r="B2811" s="2" t="n">
        <x:v>2778</x:v>
      </x:c>
      <x:c r="C2811" s="2" t="str">
        <x:v>72799C</x:v>
      </x:c>
      <x:c r="D2811" s="2" t="str">
        <x:v>PINK PILLAR CANDLE SILVER FLOCK</x:v>
      </x:c>
      <x:c r="E2811" s="11" t="n">
        <x:v>783.1</x:v>
      </x:c>
      <x:c r="F2811" s="11" t="n">
        <x:v>0</x:v>
      </x:c>
      <x:c r="G2811" s="11" t="n">
        <x:v>783.1</x:v>
      </x:c>
      <x:c r="H2811" s="23" t="n">
        <x:v>0.000038137228135390656</x:v>
      </x:c>
      <x:c r="I2811" s="23" t="n">
        <x:v>0.97313393923996</x:v>
      </x:c>
      <x:c r="J2811" s="2" t="n">
        <x:v>48</x:v>
      </x:c>
      <x:c r="K2811" s="2"/>
      <x:c r="L2811" s="2"/>
    </x:row>
    <x:row r="2812" ht="22" customHeight="1">
      <x:c r="A2812" s="2"/>
      <x:c r="B2812" s="2" t="n">
        <x:v>2779</x:v>
      </x:c>
      <x:c r="C2812" s="2" t="str">
        <x:v>20989</x:v>
      </x:c>
      <x:c r="D2812" s="2" t="str">
        <x:v>URBAN CHIC CHOPSTICKS SET/5</x:v>
      </x:c>
      <x:c r="E2812" s="11" t="n">
        <x:v>782.18</x:v>
      </x:c>
      <x:c r="F2812" s="11" t="n">
        <x:v>3.9</x:v>
      </x:c>
      <x:c r="G2812" s="11" t="n">
        <x:v>778.28</x:v>
      </x:c>
      <x:c r="H2812" s="23" t="n">
        <x:v>0.00003809242383212854</x:v>
      </x:c>
      <x:c r="I2812" s="23" t="n">
        <x:v>0.9731720316637922</x:v>
      </x:c>
      <x:c r="J2812" s="2" t="n">
        <x:v>57</x:v>
      </x:c>
      <x:c r="K2812" s="2"/>
      <x:c r="L2812" s="2"/>
    </x:row>
    <x:row r="2813" ht="22" customHeight="1">
      <x:c r="A2813" s="2"/>
      <x:c r="B2813" s="2" t="n">
        <x:v>2780</x:v>
      </x:c>
      <x:c r="C2813" s="2" t="str">
        <x:v>20910</x:v>
      </x:c>
      <x:c r="D2813" s="2" t="str">
        <x:v>VINTAGE PHOTO ALBUM PARIS DAYS</x:v>
      </x:c>
      <x:c r="E2813" s="11" t="n">
        <x:v>781.8199999999999</x:v>
      </x:c>
      <x:c r="F2813" s="11" t="n">
        <x:v>0</x:v>
      </x:c>
      <x:c r="G2813" s="11" t="n">
        <x:v>781.8199999999999</x:v>
      </x:c>
      <x:c r="H2813" s="23" t="n">
        <x:v>0.000038074891713460756</x:v>
      </x:c>
      <x:c r="I2813" s="23" t="n">
        <x:v>0.9732101065555057</x:v>
      </x:c>
      <x:c r="J2813" s="2" t="n">
        <x:v>47</x:v>
      </x:c>
      <x:c r="K2813" s="2"/>
      <x:c r="L2813" s="2"/>
    </x:row>
    <x:row r="2814" ht="22" customHeight="1">
      <x:c r="A2814" s="2"/>
      <x:c r="B2814" s="2" t="n">
        <x:v>2781</x:v>
      </x:c>
      <x:c r="C2814" s="2" t="str">
        <x:v>90200B</x:v>
      </x:c>
      <x:c r="D2814" s="2" t="str">
        <x:v>BLACK SWEETHEART BRACELET</x:v>
      </x:c>
      <x:c r="E2814" s="11" t="n">
        <x:v>779.7</x:v>
      </x:c>
      <x:c r="F2814" s="11" t="n">
        <x:v>17</x:v>
      </x:c>
      <x:c r="G2814" s="11" t="n">
        <x:v>762.7</x:v>
      </x:c>
      <x:c r="H2814" s="23" t="n">
        <x:v>0.000037971647014639375</x:v>
      </x:c>
      <x:c r="I2814" s="23" t="n">
        <x:v>0.9732480782025204</x:v>
      </x:c>
      <x:c r="J2814" s="2" t="n">
        <x:v>84</x:v>
      </x:c>
      <x:c r="K2814" s="2"/>
      <x:c r="L2814" s="2"/>
    </x:row>
    <x:row r="2815" ht="22" customHeight="1">
      <x:c r="A2815" s="2"/>
      <x:c r="B2815" s="2" t="n">
        <x:v>2782</x:v>
      </x:c>
      <x:c r="C2815" s="2" t="str">
        <x:v>85130C</x:v>
      </x:c>
      <x:c r="D2815" s="2" t="str">
        <x:v>BEADED CRYSTAL HEART BLUE  LARGE</x:v>
      </x:c>
      <x:c r="E2815" s="11" t="n">
        <x:v>779.14</x:v>
      </x:c>
      <x:c r="F2815" s="11" t="n">
        <x:v>0</x:v>
      </x:c>
      <x:c r="G2815" s="11" t="n">
        <x:v>779.14</x:v>
      </x:c>
      <x:c r="H2815" s="23" t="n">
        <x:v>0.00003794437483004505</x:v>
      </x:c>
      <x:c r="I2815" s="23" t="n">
        <x:v>0.9732860225773504</x:v>
      </x:c>
      <x:c r="J2815" s="2" t="n">
        <x:v>68</x:v>
      </x:c>
      <x:c r="K2815" s="2"/>
      <x:c r="L2815" s="2"/>
    </x:row>
    <x:row r="2816" ht="22" customHeight="1">
      <x:c r="A2816" s="2"/>
      <x:c r="B2816" s="2" t="n">
        <x:v>2783</x:v>
      </x:c>
      <x:c r="C2816" s="2" t="str">
        <x:v>37461</x:v>
      </x:c>
      <x:c r="D2816" s="2" t="str">
        <x:v>FUNKY MONKEY MUG</x:v>
      </x:c>
      <x:c r="E2816" s="11" t="n">
        <x:v>778.64</x:v>
      </x:c>
      <x:c r="F2816" s="11" t="n">
        <x:v>1.25</x:v>
      </x:c>
      <x:c r="G2816" s="11" t="n">
        <x:v>777.39</x:v>
      </x:c>
      <x:c r="H2816" s="23" t="n">
        <x:v>0.00003792002466522868</x:v>
      </x:c>
      <x:c r="I2816" s="23" t="n">
        <x:v>0.9733239426020156</x:v>
      </x:c>
      <x:c r="J2816" s="2" t="n">
        <x:v>95</x:v>
      </x:c>
      <x:c r="K2816" s="2"/>
      <x:c r="L2816" s="2"/>
    </x:row>
    <x:row r="2817" ht="22" customHeight="1">
      <x:c r="A2817" s="2"/>
      <x:c r="B2817" s="2" t="n">
        <x:v>2784</x:v>
      </x:c>
      <x:c r="C2817" s="2" t="str">
        <x:v>84761</x:v>
      </x:c>
      <x:c r="D2817" s="2" t="str">
        <x:v>IVORY HANGING BIRD PLANTER </x:v>
      </x:c>
      <x:c r="E2817" s="11" t="n">
        <x:v>776.5</x:v>
      </x:c>
      <x:c r="F2817" s="11" t="n">
        <x:v>20.4</x:v>
      </x:c>
      <x:c r="G2817" s="11" t="n">
        <x:v>756.0999999999999</x:v>
      </x:c>
      <x:c r="H2817" s="23" t="n">
        <x:v>0.00003781580595981464</x:v>
      </x:c>
      <x:c r="I2817" s="23" t="n">
        <x:v>0.9733617584079755</x:v>
      </x:c>
      <x:c r="J2817" s="2" t="n">
        <x:v>61</x:v>
      </x:c>
      <x:c r="K2817" s="2"/>
      <x:c r="L2817" s="2"/>
    </x:row>
    <x:row r="2818" ht="22" customHeight="1">
      <x:c r="A2818" s="2"/>
      <x:c r="B2818" s="2" t="n">
        <x:v>2785</x:v>
      </x:c>
      <x:c r="C2818" s="2" t="str">
        <x:v>21456</x:v>
      </x:c>
      <x:c r="D2818" s="2" t="str">
        <x:v>2 PICTURE BOOK EGGS EASTER CHICKS</x:v>
      </x:c>
      <x:c r="E2818" s="11" t="n">
        <x:v>776.05</x:v>
      </x:c>
      <x:c r="F2818" s="11" t="n">
        <x:v>1.25</x:v>
      </x:c>
      <x:c r="G2818" s="11" t="n">
        <x:v>774.8</x:v>
      </x:c>
      <x:c r="H2818" s="23" t="n">
        <x:v>0.00003779389081147991</x:v>
      </x:c>
      <x:c r="I2818" s="23" t="n">
        <x:v>0.9733995522987869</x:v>
      </x:c>
      <x:c r="J2818" s="2" t="n">
        <x:v>65</x:v>
      </x:c>
      <x:c r="K2818" s="2"/>
      <x:c r="L2818" s="2"/>
    </x:row>
    <x:row r="2819" ht="22" customHeight="1">
      <x:c r="A2819" s="2"/>
      <x:c r="B2819" s="2" t="n">
        <x:v>2786</x:v>
      </x:c>
      <x:c r="C2819" s="2" t="str">
        <x:v>84534B</x:v>
      </x:c>
      <x:c r="D2819" s="2" t="str">
        <x:v>FAIRY CAKE NOTEBOOK A5 SIZE</x:v>
      </x:c>
      <x:c r="E2819" s="11" t="n">
        <x:v>775.56</x:v>
      </x:c>
      <x:c r="F2819" s="11" t="n">
        <x:v>23.799999999999997</x:v>
      </x:c>
      <x:c r="G2819" s="11" t="n">
        <x:v>751.76</x:v>
      </x:c>
      <x:c r="H2819" s="23" t="n">
        <x:v>0.00003777002764995987</x:v>
      </x:c>
      <x:c r="I2819" s="23" t="n">
        <x:v>0.9734373223264369</x:v>
      </x:c>
      <x:c r="J2819" s="2" t="n">
        <x:v>187</x:v>
      </x:c>
      <x:c r="K2819" s="2"/>
      <x:c r="L2819" s="2"/>
    </x:row>
    <x:row r="2820" ht="22" customHeight="1">
      <x:c r="A2820" s="2"/>
      <x:c r="B2820" s="2" t="n">
        <x:v>2787</x:v>
      </x:c>
      <x:c r="C2820" s="2" t="str">
        <x:v>21554</x:v>
      </x:c>
      <x:c r="D2820" s="2" t="str">
        <x:v>CERAMIC BIRDHOUSE RED ROOF LARGE</x:v>
      </x:c>
      <x:c r="E2820" s="11" t="n">
        <x:v>773.7</x:v>
      </x:c>
      <x:c r="F2820" s="11" t="n">
        <x:v>17.85</x:v>
      </x:c>
      <x:c r="G2820" s="11" t="n">
        <x:v>755.85</x:v>
      </x:c>
      <x:c r="H2820" s="23" t="n">
        <x:v>0.000037679445036843</x:v>
      </x:c>
      <x:c r="I2820" s="23" t="n">
        <x:v>0.9734750017714737</x:v>
      </x:c>
      <x:c r="J2820" s="2" t="n">
        <x:v>22</x:v>
      </x:c>
      <x:c r="K2820" s="2"/>
      <x:c r="L2820" s="2"/>
    </x:row>
    <x:row r="2821" ht="22" customHeight="1">
      <x:c r="A2821" s="2"/>
      <x:c r="B2821" s="2" t="n">
        <x:v>2788</x:v>
      </x:c>
      <x:c r="C2821" s="2" t="str">
        <x:v>21723</x:v>
      </x:c>
      <x:c r="D2821" s="2" t="str">
        <x:v>ALPHABET HEARTS STICKER SHEET</x:v>
      </x:c>
      <x:c r="E2821" s="11" t="n">
        <x:v>772.53</x:v>
      </x:c>
      <x:c r="F2821" s="11" t="n">
        <x:v>0</x:v>
      </x:c>
      <x:c r="G2821" s="11" t="n">
        <x:v>772.53</x:v>
      </x:c>
      <x:c r="H2821" s="23" t="n">
        <x:v>0.000037622465651172704</x:v>
      </x:c>
      <x:c r="I2821" s="23" t="n">
        <x:v>0.9735126242371249</x:v>
      </x:c>
      <x:c r="J2821" s="2" t="n">
        <x:v>135</x:v>
      </x:c>
      <x:c r="K2821" s="2"/>
      <x:c r="L2821" s="2"/>
    </x:row>
    <x:row r="2822" ht="22" customHeight="1">
      <x:c r="A2822" s="2"/>
      <x:c r="B2822" s="2" t="n">
        <x:v>2789</x:v>
      </x:c>
      <x:c r="C2822" s="2" t="str">
        <x:v>21015</x:v>
      </x:c>
      <x:c r="D2822" s="2" t="str">
        <x:v>DARK BIRD HOUSE TREE DECORATION</x:v>
      </x:c>
      <x:c r="E2822" s="11" t="n">
        <x:v>772.31</x:v>
      </x:c>
      <x:c r="F2822" s="11" t="n">
        <x:v>1.16</x:v>
      </x:c>
      <x:c r="G2822" s="11" t="n">
        <x:v>771.15</x:v>
      </x:c>
      <x:c r="H2822" s="23" t="n">
        <x:v>0.000037611751578653496</x:v>
      </x:c>
      <x:c r="I2822" s="23" t="n">
        <x:v>0.9735502359887036</x:v>
      </x:c>
      <x:c r="J2822" s="2" t="n">
        <x:v>186</x:v>
      </x:c>
      <x:c r="K2822" s="2"/>
      <x:c r="L2822" s="2"/>
    </x:row>
    <x:row r="2823" ht="22" customHeight="1">
      <x:c r="A2823" s="2"/>
      <x:c r="B2823" s="2" t="n">
        <x:v>2790</x:v>
      </x:c>
      <x:c r="C2823" s="2" t="str">
        <x:v>85135A</x:v>
      </x:c>
      <x:c r="D2823" s="2" t="str">
        <x:v>YELLOW DRAGONFLY HELICOPTER</x:v>
      </x:c>
      <x:c r="E2823" s="11" t="n">
        <x:v>770.49</x:v>
      </x:c>
      <x:c r="F2823" s="11" t="n">
        <x:v>31.8</x:v>
      </x:c>
      <x:c r="G2823" s="11" t="n">
        <x:v>738.69</x:v>
      </x:c>
      <x:c r="H2823" s="23" t="n">
        <x:v>0.000037523116978721936</x:v>
      </x:c>
      <x:c r="I2823" s="23" t="n">
        <x:v>0.9735877591056823</x:v>
      </x:c>
      <x:c r="J2823" s="2" t="n">
        <x:v>63</x:v>
      </x:c>
      <x:c r="K2823" s="2"/>
      <x:c r="L2823" s="2"/>
    </x:row>
    <x:row r="2824" ht="22" customHeight="1">
      <x:c r="A2824" s="2"/>
      <x:c r="B2824" s="2" t="n">
        <x:v>2791</x:v>
      </x:c>
      <x:c r="C2824" s="2" t="str">
        <x:v>35095B</x:v>
      </x:c>
      <x:c r="D2824" s="2" t="str">
        <x:v>RED VICTORIAN FABRIC OVAL BOX</x:v>
      </x:c>
      <x:c r="E2824" s="11" t="n">
        <x:v>769.5799999999999</x:v>
      </x:c>
      <x:c r="F2824" s="11" t="n">
        <x:v>0</x:v>
      </x:c>
      <x:c r="G2824" s="11" t="n">
        <x:v>769.5799999999999</x:v>
      </x:c>
      <x:c r="H2824" s="23" t="n">
        <x:v>0.000037478799678756146</x:v>
      </x:c>
      <x:c r="I2824" s="23" t="n">
        <x:v>0.973625237905361</x:v>
      </x:c>
      <x:c r="J2824" s="2" t="n">
        <x:v>177</x:v>
      </x:c>
      <x:c r="K2824" s="2"/>
      <x:c r="L2824" s="2"/>
    </x:row>
    <x:row r="2825" ht="22" customHeight="1">
      <x:c r="A2825" s="2"/>
      <x:c r="B2825" s="2" t="n">
        <x:v>2792</x:v>
      </x:c>
      <x:c r="C2825" s="2" t="str">
        <x:v>22640</x:v>
      </x:c>
      <x:c r="D2825" s="2" t="str">
        <x:v>SET OF 4 NAPKIN CHARMS 3 KEYS </x:v>
      </x:c>
      <x:c r="E2825" s="11" t="n">
        <x:v>767.9399999999999</x:v>
      </x:c>
      <x:c r="F2825" s="11" t="n">
        <x:v>0</x:v>
      </x:c>
      <x:c r="G2825" s="11" t="n">
        <x:v>767.9399999999999</x:v>
      </x:c>
      <x:c r="H2825" s="23" t="n">
        <x:v>0.00003739893113815847</x:v>
      </x:c>
      <x:c r="I2825" s="23" t="n">
        <x:v>0.9736626368364992</x:v>
      </x:c>
      <x:c r="J2825" s="2" t="n">
        <x:v>87</x:v>
      </x:c>
      <x:c r="K2825" s="2"/>
      <x:c r="L2825" s="2"/>
    </x:row>
    <x:row r="2826" ht="22" customHeight="1">
      <x:c r="A2826" s="2"/>
      <x:c r="B2826" s="2" t="n">
        <x:v>2793</x:v>
      </x:c>
      <x:c r="C2826" s="2" t="str">
        <x:v>84712B</x:v>
      </x:c>
      <x:c r="D2826" s="2" t="str">
        <x:v>PINK JEWELLED PHOTO FRAME</x:v>
      </x:c>
      <x:c r="E2826" s="11" t="n">
        <x:v>767.1600000000001</x:v>
      </x:c>
      <x:c r="F2826" s="11" t="n">
        <x:v>0</x:v>
      </x:c>
      <x:c r="G2826" s="11" t="n">
        <x:v>767.1600000000001</x:v>
      </x:c>
      <x:c r="H2826" s="23" t="n">
        <x:v>0.00003736094488104495</x:v>
      </x:c>
      <x:c r="I2826" s="23" t="n">
        <x:v>0.9736999977813803</x:v>
      </x:c>
      <x:c r="J2826" s="2" t="n">
        <x:v>60</x:v>
      </x:c>
      <x:c r="K2826" s="2"/>
      <x:c r="L2826" s="2"/>
    </x:row>
    <x:row r="2827" ht="22" customHeight="1">
      <x:c r="A2827" s="2"/>
      <x:c r="B2827" s="2" t="n">
        <x:v>2794</x:v>
      </x:c>
      <x:c r="C2827" s="2" t="str">
        <x:v>72755C</x:v>
      </x:c>
      <x:c r="D2827" s="2" t="str">
        <x:v>FLOWER FAIRY OIL BURNER SET ROSE</x:v>
      </x:c>
      <x:c r="E2827" s="11" t="n">
        <x:v>767</x:v>
      </x:c>
      <x:c r="F2827" s="11" t="n">
        <x:v>13.75</x:v>
      </x:c>
      <x:c r="G2827" s="11" t="n">
        <x:v>753.25</x:v>
      </x:c>
      <x:c r="H2827" s="23" t="n">
        <x:v>0.00003735315282830371</x:v>
      </x:c>
      <x:c r="I2827" s="23" t="n">
        <x:v>0.9737373509342085</x:v>
      </x:c>
      <x:c r="J2827" s="2" t="n">
        <x:v>14</x:v>
      </x:c>
      <x:c r="K2827" s="2"/>
      <x:c r="L2827" s="2"/>
    </x:row>
    <x:row r="2828" ht="22" customHeight="1">
      <x:c r="A2828" s="2"/>
      <x:c r="B2828" s="2" t="n">
        <x:v>2795</x:v>
      </x:c>
      <x:c r="C2828" s="2" t="str">
        <x:v>72750A</x:v>
      </x:c>
      <x:c r="D2828" s="2" t="str">
        <x:v>FLOWER FAIRY SET OF 3 LILY CANDLES</x:v>
      </x:c>
      <x:c r="E2828" s="11" t="n">
        <x:v>766.85</x:v>
      </x:c>
      <x:c r="F2828" s="11" t="n">
        <x:v>3.9</x:v>
      </x:c>
      <x:c r="G2828" s="11" t="n">
        <x:v>762.95</x:v>
      </x:c>
      <x:c r="H2828" s="23" t="n">
        <x:v>0.0000373458477788588</x:v>
      </x:c>
      <x:c r="I2828" s="23" t="n">
        <x:v>0.9737746967819874</x:v>
      </x:c>
      <x:c r="J2828" s="2" t="n">
        <x:v>16</x:v>
      </x:c>
      <x:c r="K2828" s="2"/>
      <x:c r="L2828" s="2"/>
    </x:row>
    <x:row r="2829" ht="22" customHeight="1">
      <x:c r="A2829" s="2"/>
      <x:c r="B2829" s="2" t="n">
        <x:v>2796</x:v>
      </x:c>
      <x:c r="C2829" s="2" t="str">
        <x:v>47581B</x:v>
      </x:c>
      <x:c r="D2829" s="2" t="str">
        <x:v>FAIRY CAKE WICKER PICNIC BASKET </x:v>
      </x:c>
      <x:c r="E2829" s="11" t="n">
        <x:v>766.52</x:v>
      </x:c>
      <x:c r="F2829" s="11" t="n">
        <x:v>12.75</x:v>
      </x:c>
      <x:c r="G2829" s="11" t="n">
        <x:v>753.77</x:v>
      </x:c>
      <x:c r="H2829" s="23" t="n">
        <x:v>0.000037329776670079996</x:v>
      </x:c>
      <x:c r="I2829" s="23" t="n">
        <x:v>0.9738120265586574</x:v>
      </x:c>
      <x:c r="J2829" s="2" t="n">
        <x:v>36</x:v>
      </x:c>
      <x:c r="K2829" s="2"/>
      <x:c r="L2829" s="2"/>
    </x:row>
    <x:row r="2830" ht="22" customHeight="1">
      <x:c r="A2830" s="2"/>
      <x:c r="B2830" s="2" t="n">
        <x:v>2797</x:v>
      </x:c>
      <x:c r="C2830" s="2" t="str">
        <x:v>84029C</x:v>
      </x:c>
      <x:c r="D2830" s="2" t="str">
        <x:v>BROWN FURRY HOT WATER BOTTLE</x:v>
      </x:c>
      <x:c r="E2830" s="11" t="n">
        <x:v>766.19</x:v>
      </x:c>
      <x:c r="F2830" s="11" t="n">
        <x:v>0</x:v>
      </x:c>
      <x:c r="G2830" s="11" t="n">
        <x:v>766.19</x:v>
      </x:c>
      <x:c r="H2830" s="23" t="n">
        <x:v>0.0000373137055613012</x:v>
      </x:c>
      <x:c r="I2830" s="23" t="n">
        <x:v>0.9738493402642187</x:v>
      </x:c>
      <x:c r="J2830" s="2" t="n">
        <x:v>48</x:v>
      </x:c>
      <x:c r="K2830" s="2"/>
      <x:c r="L2830" s="2"/>
    </x:row>
    <x:row r="2831" ht="22" customHeight="1">
      <x:c r="A2831" s="2"/>
      <x:c r="B2831" s="2" t="n">
        <x:v>2798</x:v>
      </x:c>
      <x:c r="C2831" s="2" t="str">
        <x:v>23140</x:v>
      </x:c>
      <x:c r="D2831" s="2" t="str">
        <x:v>TRIPLE WIRE HOOK IVORY HEART</x:v>
      </x:c>
      <x:c r="E2831" s="11" t="n">
        <x:v>766.1</x:v>
      </x:c>
      <x:c r="F2831" s="11" t="n">
        <x:v>49.800000000000004</x:v>
      </x:c>
      <x:c r="G2831" s="11" t="n">
        <x:v>716.3000000000001</x:v>
      </x:c>
      <x:c r="H2831" s="23" t="n">
        <x:v>0.00003730932253163425</x:v>
      </x:c>
      <x:c r="I2831" s="23" t="n">
        <x:v>0.9738866495867503</x:v>
      </x:c>
      <x:c r="J2831" s="2" t="n">
        <x:v>52</x:v>
      </x:c>
      <x:c r="K2831" s="2"/>
      <x:c r="L2831" s="2"/>
    </x:row>
    <x:row r="2832" ht="22" customHeight="1">
      <x:c r="A2832" s="2"/>
      <x:c r="B2832" s="2" t="n">
        <x:v>2799</x:v>
      </x:c>
      <x:c r="C2832" s="2" t="str">
        <x:v>16259</x:v>
      </x:c>
      <x:c r="D2832" s="2" t="str">
        <x:v>PIECE OF CAMO STATIONERY SET</x:v>
      </x:c>
      <x:c r="E2832" s="11" t="n">
        <x:v>766.09</x:v>
      </x:c>
      <x:c r="F2832" s="11" t="n">
        <x:v>14.100000000000001</x:v>
      </x:c>
      <x:c r="G2832" s="11" t="n">
        <x:v>751.99</x:v>
      </x:c>
      <x:c r="H2832" s="23" t="n">
        <x:v>0.000037308835528337926</x:v>
      </x:c>
      <x:c r="I2832" s="23" t="n">
        <x:v>0.9739239584222786</x:v>
      </x:c>
      <x:c r="J2832" s="2" t="n">
        <x:v>55</x:v>
      </x:c>
      <x:c r="K2832" s="2"/>
      <x:c r="L2832" s="2"/>
    </x:row>
    <x:row r="2833" ht="22" customHeight="1">
      <x:c r="A2833" s="2"/>
      <x:c r="B2833" s="2" t="n">
        <x:v>2800</x:v>
      </x:c>
      <x:c r="C2833" s="2" t="str">
        <x:v>23006</x:v>
      </x:c>
      <x:c r="D2833" s="2" t="str">
        <x:v>TRAVEL CARD WALLET FLOWER MEADOW</x:v>
      </x:c>
      <x:c r="E2833" s="11" t="n">
        <x:v>765.27</x:v>
      </x:c>
      <x:c r="F2833" s="11" t="n">
        <x:v>32.76</x:v>
      </x:c>
      <x:c r="G2833" s="11" t="n">
        <x:v>732.51</x:v>
      </x:c>
      <x:c r="H2833" s="23" t="n">
        <x:v>0.00003726890125803908</x:v>
      </x:c>
      <x:c r="I2833" s="23" t="n">
        <x:v>0.9739612273235366</x:v>
      </x:c>
      <x:c r="J2833" s="2" t="n">
        <x:v>173</x:v>
      </x:c>
      <x:c r="K2833" s="2"/>
      <x:c r="L2833" s="2"/>
    </x:row>
    <x:row r="2834" ht="22" customHeight="1">
      <x:c r="A2834" s="2"/>
      <x:c r="B2834" s="2" t="n">
        <x:v>2801</x:v>
      </x:c>
      <x:c r="C2834" s="2" t="str">
        <x:v>16244B</x:v>
      </x:c>
      <x:c r="D2834" s="2" t="str">
        <x:v>MAXWELL 2 TONE BLUE 60 PAGE PHOTO A</x:v>
      </x:c>
      <x:c r="E2834" s="11" t="n">
        <x:v>765.02</x:v>
      </x:c>
      <x:c r="F2834" s="11" t="n">
        <x:v>0</x:v>
      </x:c>
      <x:c r="G2834" s="11" t="n">
        <x:v>765.02</x:v>
      </x:c>
      <x:c r="H2834" s="23" t="n">
        <x:v>0.0000372567261756309</x:v>
      </x:c>
      <x:c r="I2834" s="23" t="n">
        <x:v>0.9739984840497122</x:v>
      </x:c>
      <x:c r="J2834" s="2" t="n">
        <x:v>28</x:v>
      </x:c>
      <x:c r="K2834" s="2"/>
      <x:c r="L2834" s="2"/>
    </x:row>
    <x:row r="2835" ht="22" customHeight="1">
      <x:c r="A2835" s="2"/>
      <x:c r="B2835" s="2" t="n">
        <x:v>2802</x:v>
      </x:c>
      <x:c r="C2835" s="2" t="str">
        <x:v>84963A</x:v>
      </x:c>
      <x:c r="D2835" s="2" t="str">
        <x:v>PINK PAINTED KASHMIRI CHAIR</x:v>
      </x:c>
      <x:c r="E2835" s="11" t="n">
        <x:v>763.35</x:v>
      </x:c>
      <x:c r="F2835" s="11" t="n">
        <x:v>0</x:v>
      </x:c>
      <x:c r="G2835" s="11" t="n">
        <x:v>763.35</x:v>
      </x:c>
      <x:c r="H2835" s="23" t="n">
        <x:v>0.00003717539662514424</x:v>
      </x:c>
      <x:c r="I2835" s="23" t="n">
        <x:v>0.9740356594463374</x:v>
      </x:c>
      <x:c r="J2835" s="2" t="n">
        <x:v>9</x:v>
      </x:c>
      <x:c r="K2835" s="2"/>
      <x:c r="L2835" s="2"/>
    </x:row>
    <x:row r="2836" ht="22" customHeight="1">
      <x:c r="A2836" s="2"/>
      <x:c r="B2836" s="2" t="n">
        <x:v>2803</x:v>
      </x:c>
      <x:c r="C2836" s="2" t="str">
        <x:v>23550</x:v>
      </x:c>
      <x:c r="D2836" s="2" t="str">
        <x:v>WRAP ALPHABET POSTER  </x:v>
      </x:c>
      <x:c r="E2836" s="11" t="n">
        <x:v>763.1</x:v>
      </x:c>
      <x:c r="F2836" s="11" t="n">
        <x:v>0</x:v>
      </x:c>
      <x:c r="G2836" s="11" t="n">
        <x:v>763.1</x:v>
      </x:c>
      <x:c r="H2836" s="23" t="n">
        <x:v>0.000037163221542736064</x:v>
      </x:c>
      <x:c r="I2836" s="23" t="n">
        <x:v>0.9740728226678802</x:v>
      </x:c>
      <x:c r="J2836" s="2" t="n">
        <x:v>64</x:v>
      </x:c>
      <x:c r="K2836" s="2"/>
      <x:c r="L2836" s="2"/>
    </x:row>
    <x:row r="2837" ht="22" customHeight="1">
      <x:c r="A2837" s="2"/>
      <x:c r="B2837" s="2" t="n">
        <x:v>2804</x:v>
      </x:c>
      <x:c r="C2837" s="2" t="str">
        <x:v>35811A</x:v>
      </x:c>
      <x:c r="D2837" s="2" t="str">
        <x:v>ENAMEL PINK SUGAR CONTAINER</x:v>
      </x:c>
      <x:c r="E2837" s="11" t="n">
        <x:v>762.97</x:v>
      </x:c>
      <x:c r="F2837" s="11" t="n">
        <x:v>4.2</x:v>
      </x:c>
      <x:c r="G2837" s="11" t="n">
        <x:v>758.77</x:v>
      </x:c>
      <x:c r="H2837" s="23" t="n">
        <x:v>0.00003715689049988381</x:v>
      </x:c>
      <x:c r="I2837" s="23" t="n">
        <x:v>0.9741099795583801</x:v>
      </x:c>
      <x:c r="J2837" s="2" t="n">
        <x:v>84</x:v>
      </x:c>
      <x:c r="K2837" s="2"/>
      <x:c r="L2837" s="2"/>
    </x:row>
    <x:row r="2838" ht="22" customHeight="1">
      <x:c r="A2838" s="2"/>
      <x:c r="B2838" s="2" t="n">
        <x:v>2805</x:v>
      </x:c>
      <x:c r="C2838" s="2" t="str">
        <x:v>23458</x:v>
      </x:c>
      <x:c r="D2838" s="2" t="str">
        <x:v>DOLLY CABINET 3 DRAWERS </x:v>
      </x:c>
      <x:c r="E2838" s="11" t="n">
        <x:v>762.4499999999999</x:v>
      </x:c>
      <x:c r="F2838" s="11" t="n">
        <x:v>74.75</x:v>
      </x:c>
      <x:c r="G2838" s="11" t="n">
        <x:v>687.6999999999999</x:v>
      </x:c>
      <x:c r="H2838" s="23" t="n">
        <x:v>0.000037131566328474785</x:v>
      </x:c>
      <x:c r="I2838" s="23" t="n">
        <x:v>0.9741471111247085</x:v>
      </x:c>
      <x:c r="J2838" s="2" t="n">
        <x:v>30</x:v>
      </x:c>
      <x:c r="K2838" s="2"/>
      <x:c r="L2838" s="2"/>
    </x:row>
    <x:row r="2839" ht="22" customHeight="1">
      <x:c r="A2839" s="2"/>
      <x:c r="B2839" s="2" t="n">
        <x:v>2806</x:v>
      </x:c>
      <x:c r="C2839" s="2" t="str">
        <x:v>90200A</x:v>
      </x:c>
      <x:c r="D2839" s="2" t="str">
        <x:v>PURPLE SWEETHEART BRACELET</x:v>
      </x:c>
      <x:c r="E2839" s="11" t="n">
        <x:v>762.44</x:v>
      </x:c>
      <x:c r="F2839" s="11" t="n">
        <x:v>17</x:v>
      </x:c>
      <x:c r="G2839" s="11" t="n">
        <x:v>745.44</x:v>
      </x:c>
      <x:c r="H2839" s="23" t="n">
        <x:v>0.00003713107932517846</x:v>
      </x:c>
      <x:c r="I2839" s="23" t="n">
        <x:v>0.9741842422040337</x:v>
      </x:c>
      <x:c r="J2839" s="2" t="n">
        <x:v>99</x:v>
      </x:c>
      <x:c r="K2839" s="2"/>
      <x:c r="L2839" s="2"/>
    </x:row>
    <x:row r="2840" ht="22" customHeight="1">
      <x:c r="A2840" s="2"/>
      <x:c r="B2840" s="2" t="n">
        <x:v>2807</x:v>
      </x:c>
      <x:c r="C2840" s="2" t="str">
        <x:v>84762C</x:v>
      </x:c>
      <x:c r="D2840" s="2" t="str">
        <x:v>GREEN PICNIC BARBECUE BUCKET</x:v>
      </x:c>
      <x:c r="E2840" s="11" t="n">
        <x:v>761.25</x:v>
      </x:c>
      <x:c r="F2840" s="11" t="n">
        <x:v>0</x:v>
      </x:c>
      <x:c r="G2840" s="11" t="n">
        <x:v>761.25</x:v>
      </x:c>
      <x:c r="H2840" s="23" t="n">
        <x:v>0.00003707312593291551</x:v>
      </x:c>
      <x:c r="I2840" s="23" t="n">
        <x:v>0.9742213153299666</x:v>
      </x:c>
      <x:c r="J2840" s="2" t="n">
        <x:v>43</x:v>
      </x:c>
      <x:c r="K2840" s="2"/>
      <x:c r="L2840" s="2"/>
    </x:row>
    <x:row r="2841" ht="22" customHeight="1">
      <x:c r="A2841" s="2"/>
      <x:c r="B2841" s="2" t="n">
        <x:v>2808</x:v>
      </x:c>
      <x:c r="C2841" s="2" t="str">
        <x:v>23025</x:v>
      </x:c>
      <x:c r="D2841" s="2" t="str">
        <x:v>DRAWER KNOB VINTAGE GLASS BALL</x:v>
      </x:c>
      <x:c r="E2841" s="11" t="n">
        <x:v>760.8000000000001</x:v>
      </x:c>
      <x:c r="F2841" s="11" t="n">
        <x:v>12.48</x:v>
      </x:c>
      <x:c r="G2841" s="11" t="n">
        <x:v>748.32</x:v>
      </x:c>
      <x:c r="H2841" s="23" t="n">
        <x:v>0.000037051210784580784</x:v>
      </x:c>
      <x:c r="I2841" s="23" t="n">
        <x:v>0.9742583665407512</x:v>
      </x:c>
      <x:c r="J2841" s="2" t="n">
        <x:v>54</x:v>
      </x:c>
      <x:c r="K2841" s="2"/>
      <x:c r="L2841" s="2"/>
    </x:row>
    <x:row r="2842" ht="22" customHeight="1">
      <x:c r="A2842" s="2"/>
      <x:c r="B2842" s="2" t="n">
        <x:v>2809</x:v>
      </x:c>
      <x:c r="C2842" s="2" t="str">
        <x:v>23123</x:v>
      </x:c>
      <x:c r="D2842" s="2" t="str">
        <x:v>COCKTAIL SWORDS 50 PIECES</x:v>
      </x:c>
      <x:c r="E2842" s="11" t="n">
        <x:v>760.4</x:v>
      </x:c>
      <x:c r="F2842" s="11" t="n">
        <x:v>4.9799999999999995</x:v>
      </x:c>
      <x:c r="G2842" s="11" t="n">
        <x:v>755.42</x:v>
      </x:c>
      <x:c r="H2842" s="23" t="n">
        <x:v>0.00003703173065272769</x:v>
      </x:c>
      <x:c r="I2842" s="23" t="n">
        <x:v>0.9742953982714039</x:v>
      </x:c>
      <x:c r="J2842" s="2" t="n">
        <x:v>95</x:v>
      </x:c>
      <x:c r="K2842" s="2"/>
      <x:c r="L2842" s="2"/>
    </x:row>
    <x:row r="2843" ht="22" customHeight="1">
      <x:c r="A2843" s="2"/>
      <x:c r="B2843" s="2" t="n">
        <x:v>2810</x:v>
      </x:c>
      <x:c r="C2843" s="2" t="str">
        <x:v>84620</x:v>
      </x:c>
      <x:c r="D2843" s="2" t="str">
        <x:v>BLUE GINGHAM ROSE CUSHION COVER</x:v>
      </x:c>
      <x:c r="E2843" s="11" t="n">
        <x:v>758.51</x:v>
      </x:c>
      <x:c r="F2843" s="11" t="n">
        <x:v>0</x:v>
      </x:c>
      <x:c r="G2843" s="11" t="n">
        <x:v>758.51</x:v>
      </x:c>
      <x:c r="H2843" s="23" t="n">
        <x:v>0.00003693968702972183</x:v>
      </x:c>
      <x:c r="I2843" s="23" t="n">
        <x:v>0.9743323379584335</x:v>
      </x:c>
      <x:c r="J2843" s="2" t="n">
        <x:v>50</x:v>
      </x:c>
      <x:c r="K2843" s="2"/>
      <x:c r="L2843" s="2"/>
    </x:row>
    <x:row r="2844" ht="22" customHeight="1">
      <x:c r="A2844" s="2"/>
      <x:c r="B2844" s="2" t="n">
        <x:v>2811</x:v>
      </x:c>
      <x:c r="C2844" s="2" t="str">
        <x:v>84663A</x:v>
      </x:c>
      <x:c r="D2844" s="2" t="str">
        <x:v>GRASS HOPPER WOODEN WALL CLOCK </x:v>
      </x:c>
      <x:c r="E2844" s="11" t="n">
        <x:v>758.29</x:v>
      </x:c>
      <x:c r="F2844" s="11" t="n">
        <x:v>15.06</x:v>
      </x:c>
      <x:c r="G2844" s="11" t="n">
        <x:v>743.23</x:v>
      </x:c>
      <x:c r="H2844" s="23" t="n">
        <x:v>0.00003692897295720263</x:v>
      </x:c>
      <x:c r="I2844" s="23" t="n">
        <x:v>0.9743692669313907</x:v>
      </x:c>
      <x:c r="J2844" s="2" t="n">
        <x:v>64</x:v>
      </x:c>
      <x:c r="K2844" s="2"/>
      <x:c r="L2844" s="2"/>
    </x:row>
    <x:row r="2845" ht="22" customHeight="1">
      <x:c r="A2845" s="2"/>
      <x:c r="B2845" s="2" t="n">
        <x:v>2812</x:v>
      </x:c>
      <x:c r="C2845" s="2" t="str">
        <x:v>23282</x:v>
      </x:c>
      <x:c r="D2845" s="2" t="str">
        <x:v>FOLDING BUTTERFLY MIRROR IVORY </x:v>
      </x:c>
      <x:c r="E2845" s="11" t="n">
        <x:v>757.86</x:v>
      </x:c>
      <x:c r="F2845" s="11" t="n">
        <x:v>0</x:v>
      </x:c>
      <x:c r="G2845" s="11" t="n">
        <x:v>757.86</x:v>
      </x:c>
      <x:c r="H2845" s="23" t="n">
        <x:v>0.00003690803181546056</x:v>
      </x:c>
      <x:c r="I2845" s="23" t="n">
        <x:v>0.9744061749632061</x:v>
      </x:c>
      <x:c r="J2845" s="2" t="n">
        <x:v>135</x:v>
      </x:c>
      <x:c r="K2845" s="2"/>
      <x:c r="L2845" s="2"/>
    </x:row>
    <x:row r="2846" ht="22" customHeight="1">
      <x:c r="A2846" s="2"/>
      <x:c r="B2846" s="2" t="n">
        <x:v>2813</x:v>
      </x:c>
      <x:c r="C2846" s="2" t="str">
        <x:v>21194</x:v>
      </x:c>
      <x:c r="D2846" s="2" t="str">
        <x:v>PINK  HONEYCOMB PAPER FAN</x:v>
      </x:c>
      <x:c r="E2846" s="11" t="n">
        <x:v>757.8000000000001</x:v>
      </x:c>
      <x:c r="F2846" s="11" t="n">
        <x:v>6.5</x:v>
      </x:c>
      <x:c r="G2846" s="11" t="n">
        <x:v>751.3000000000001</x:v>
      </x:c>
      <x:c r="H2846" s="23" t="n">
        <x:v>0.000036905109795682596</x:v>
      </x:c>
      <x:c r="I2846" s="23" t="n">
        <x:v>0.9744430800730018</x:v>
      </x:c>
      <x:c r="J2846" s="2" t="n">
        <x:v>95</x:v>
      </x:c>
      <x:c r="K2846" s="2"/>
      <x:c r="L2846" s="2"/>
    </x:row>
    <x:row r="2847" ht="22" customHeight="1">
      <x:c r="A2847" s="2"/>
      <x:c r="B2847" s="2" t="n">
        <x:v>2814</x:v>
      </x:c>
      <x:c r="C2847" s="2" t="str">
        <x:v>21298</x:v>
      </x:c>
      <x:c r="D2847" s="2" t="str">
        <x:v>EDWARDIAN 2 DRAWER WALL CABINET </x:v>
      </x:c>
      <x:c r="E2847" s="11" t="n">
        <x:v>755.8</x:v>
      </x:c>
      <x:c r="F2847" s="11" t="n">
        <x:v>99.7</x:v>
      </x:c>
      <x:c r="G2847" s="11" t="n">
        <x:v>656.1</x:v>
      </x:c>
      <x:c r="H2847" s="23" t="n">
        <x:v>0.00003680770913641713</x:v>
      </x:c>
      <x:c r="I2847" s="23" t="n">
        <x:v>0.9744798877821382</x:v>
      </x:c>
      <x:c r="J2847" s="2" t="n">
        <x:v>14</x:v>
      </x:c>
      <x:c r="K2847" s="2"/>
      <x:c r="L2847" s="2"/>
    </x:row>
    <x:row r="2848" ht="22" customHeight="1">
      <x:c r="A2848" s="2"/>
      <x:c r="B2848" s="2" t="n">
        <x:v>2815</x:v>
      </x:c>
      <x:c r="C2848" s="2" t="str">
        <x:v>22124</x:v>
      </x:c>
      <x:c r="D2848" s="2" t="str">
        <x:v>SET OF 2 TEA TOWELS PING MICROWAVE</x:v>
      </x:c>
      <x:c r="E2848" s="11" t="n">
        <x:v>754.88</x:v>
      </x:c>
      <x:c r="F2848" s="11" t="n">
        <x:v>0</x:v>
      </x:c>
      <x:c r="G2848" s="11" t="n">
        <x:v>754.88</x:v>
      </x:c>
      <x:c r="H2848" s="23" t="n">
        <x:v>0.00003676290483315502</x:v>
      </x:c>
      <x:c r="I2848" s="23" t="n">
        <x:v>0.9745166506869714</x:v>
      </x:c>
      <x:c r="J2848" s="2" t="n">
        <x:v>132</x:v>
      </x:c>
      <x:c r="K2848" s="2"/>
      <x:c r="L2848" s="2"/>
    </x:row>
    <x:row r="2849" ht="22" customHeight="1">
      <x:c r="A2849" s="2"/>
      <x:c r="B2849" s="2" t="n">
        <x:v>2816</x:v>
      </x:c>
      <x:c r="C2849" s="2" t="str">
        <x:v>17165B</x:v>
      </x:c>
      <x:c r="D2849" s="2" t="str">
        <x:v>ASS COL LARGE SAND GECKO P'WEIGHT</x:v>
      </x:c>
      <x:c r="E2849" s="11" t="n">
        <x:v>754.83</x:v>
      </x:c>
      <x:c r="F2849" s="11" t="n">
        <x:v>4.2</x:v>
      </x:c>
      <x:c r="G2849" s="11" t="n">
        <x:v>750.63</x:v>
      </x:c>
      <x:c r="H2849" s="23" t="n">
        <x:v>0.000036760469816673386</x:v>
      </x:c>
      <x:c r="I2849" s="23" t="n">
        <x:v>0.9745534111567881</x:v>
      </x:c>
      <x:c r="J2849" s="2" t="n">
        <x:v>57</x:v>
      </x:c>
      <x:c r="K2849" s="2"/>
      <x:c r="L2849" s="2"/>
    </x:row>
    <x:row r="2850" ht="22" customHeight="1">
      <x:c r="A2850" s="2"/>
      <x:c r="B2850" s="2" t="n">
        <x:v>2817</x:v>
      </x:c>
      <x:c r="C2850" s="2" t="str">
        <x:v>90209C</x:v>
      </x:c>
      <x:c r="D2850" s="2" t="str">
        <x:v>PINK ENAMEL+GLASS HAIR COMB</x:v>
      </x:c>
      <x:c r="E2850" s="11" t="n">
        <x:v>754.46</x:v>
      </x:c>
      <x:c r="F2850" s="11" t="n">
        <x:v>12.600000000000001</x:v>
      </x:c>
      <x:c r="G2850" s="11" t="n">
        <x:v>741.86</x:v>
      </x:c>
      <x:c r="H2850" s="23" t="n">
        <x:v>0.00003674245069470928</x:v>
      </x:c>
      <x:c r="I2850" s="23" t="n">
        <x:v>0.9745901536074828</x:v>
      </x:c>
      <x:c r="J2850" s="2" t="n">
        <x:v>66</x:v>
      </x:c>
      <x:c r="K2850" s="2"/>
      <x:c r="L2850" s="2"/>
    </x:row>
    <x:row r="2851" ht="22" customHeight="1">
      <x:c r="A2851" s="2"/>
      <x:c r="B2851" s="2" t="n">
        <x:v>2818</x:v>
      </x:c>
      <x:c r="C2851" s="2" t="str">
        <x:v>23454</x:v>
      </x:c>
      <x:c r="D2851" s="2" t="str">
        <x:v>THREE MINI HANGING FRAMES</x:v>
      </x:c>
      <x:c r="E2851" s="11" t="n">
        <x:v>753.95</x:v>
      </x:c>
      <x:c r="F2851" s="11" t="n">
        <x:v>8.3</x:v>
      </x:c>
      <x:c r="G2851" s="11" t="n">
        <x:v>745.6500000000001</x:v>
      </x:c>
      <x:c r="H2851" s="23" t="n">
        <x:v>0.000036717613526596586</x:v>
      </x:c>
      <x:c r="I2851" s="23" t="n">
        <x:v>0.9746268712210094</x:v>
      </x:c>
      <x:c r="J2851" s="2" t="n">
        <x:v>52</x:v>
      </x:c>
      <x:c r="K2851" s="2"/>
      <x:c r="L2851" s="2"/>
    </x:row>
    <x:row r="2852" ht="22" customHeight="1">
      <x:c r="A2852" s="2"/>
      <x:c r="B2852" s="2" t="n">
        <x:v>2819</x:v>
      </x:c>
      <x:c r="C2852" s="2" t="str">
        <x:v>84821</x:v>
      </x:c>
      <x:c r="D2852" s="2" t="str">
        <x:v>DANISH ROSE DELUXE COASTER</x:v>
      </x:c>
      <x:c r="E2852" s="11" t="n">
        <x:v>752.6999999999999</x:v>
      </x:c>
      <x:c r="F2852" s="11" t="n">
        <x:v>10.2</x:v>
      </x:c>
      <x:c r="G2852" s="11" t="n">
        <x:v>742.5</x:v>
      </x:c>
      <x:c r="H2852" s="23" t="n">
        <x:v>0.00003665673811455567</x:v>
      </x:c>
      <x:c r="I2852" s="23" t="n">
        <x:v>0.974663527959124</x:v>
      </x:c>
      <x:c r="J2852" s="2" t="n">
        <x:v>74</x:v>
      </x:c>
      <x:c r="K2852" s="2"/>
      <x:c r="L2852" s="2"/>
    </x:row>
    <x:row r="2853" ht="22" customHeight="1">
      <x:c r="A2853" s="2"/>
      <x:c r="B2853" s="2" t="n">
        <x:v>2820</x:v>
      </x:c>
      <x:c r="C2853" s="2" t="str">
        <x:v>23223</x:v>
      </x:c>
      <x:c r="D2853" s="2" t="str">
        <x:v>CHRISTMAS TREE HANGING SILVER </x:v>
      </x:c>
      <x:c r="E2853" s="11" t="n">
        <x:v>751.8499999999999</x:v>
      </x:c>
      <x:c r="F2853" s="11" t="n">
        <x:v>9.959999999999999</x:v>
      </x:c>
      <x:c r="G2853" s="11" t="n">
        <x:v>741.89</x:v>
      </x:c>
      <x:c r="H2853" s="23" t="n">
        <x:v>0.00003661534283436785</x:v>
      </x:c>
      <x:c r="I2853" s="23" t="n">
        <x:v>0.9747001433019584</x:v>
      </x:c>
      <x:c r="J2853" s="2" t="n">
        <x:v>88</x:v>
      </x:c>
      <x:c r="K2853" s="2"/>
      <x:c r="L2853" s="2"/>
    </x:row>
    <x:row r="2854" ht="22" customHeight="1">
      <x:c r="A2854" s="2"/>
      <x:c r="B2854" s="2" t="n">
        <x:v>2821</x:v>
      </x:c>
      <x:c r="C2854" s="2" t="str">
        <x:v>23124</x:v>
      </x:c>
      <x:c r="D2854" s="2" t="str">
        <x:v>18PC WOODEN CUTLERY SET DISPOSABLE</x:v>
      </x:c>
      <x:c r="E2854" s="11" t="n">
        <x:v>751.38</x:v>
      </x:c>
      <x:c r="F2854" s="11" t="n">
        <x:v>0</x:v>
      </x:c>
      <x:c r="G2854" s="11" t="n">
        <x:v>751.38</x:v>
      </x:c>
      <x:c r="H2854" s="23" t="n">
        <x:v>0.00003659245367944047</x:v>
      </x:c>
      <x:c r="I2854" s="23" t="n">
        <x:v>0.9747367357556379</x:v>
      </x:c>
      <x:c r="J2854" s="2" t="n">
        <x:v>43</x:v>
      </x:c>
      <x:c r="K2854" s="2"/>
      <x:c r="L2854" s="2"/>
    </x:row>
    <x:row r="2855" ht="22" customHeight="1">
      <x:c r="A2855" s="2"/>
      <x:c r="B2855" s="2" t="n">
        <x:v>2822</x:v>
      </x:c>
      <x:c r="C2855" s="2" t="str">
        <x:v>72800A</x:v>
      </x:c>
      <x:c r="D2855" s="2" t="str">
        <x:v>S/4 BLACK DINNER CANDLE SILVER FLOC</x:v>
      </x:c>
      <x:c r="E2855" s="11" t="n">
        <x:v>750.91</x:v>
      </x:c>
      <x:c r="F2855" s="11" t="n">
        <x:v>0</x:v>
      </x:c>
      <x:c r="G2855" s="11" t="n">
        <x:v>750.91</x:v>
      </x:c>
      <x:c r="H2855" s="23" t="n">
        <x:v>0.00003656956452451308</x:v>
      </x:c>
      <x:c r="I2855" s="23" t="n">
        <x:v>0.9747733053201624</x:v>
      </x:c>
      <x:c r="J2855" s="2" t="n">
        <x:v>46</x:v>
      </x:c>
      <x:c r="K2855" s="2"/>
      <x:c r="L2855" s="2"/>
    </x:row>
    <x:row r="2856" ht="22" customHeight="1">
      <x:c r="A2856" s="2"/>
      <x:c r="B2856" s="2" t="n">
        <x:v>2823</x:v>
      </x:c>
      <x:c r="C2856" s="2" t="str">
        <x:v>84653</x:v>
      </x:c>
      <x:c r="D2856" s="2" t="str">
        <x:v>GREEN ROSE QUILT </x:v>
      </x:c>
      <x:c r="E2856" s="11" t="n">
        <x:v>750.48</x:v>
      </x:c>
      <x:c r="F2856" s="11" t="n">
        <x:v>0</x:v>
      </x:c>
      <x:c r="G2856" s="11" t="n">
        <x:v>750.48</x:v>
      </x:c>
      <x:c r="H2856" s="23" t="n">
        <x:v>0.00003654862338277101</x:v>
      </x:c>
      <x:c r="I2856" s="23" t="n">
        <x:v>0.9748098539435451</x:v>
      </x:c>
      <x:c r="J2856" s="2" t="n">
        <x:v>12</x:v>
      </x:c>
      <x:c r="K2856" s="2"/>
      <x:c r="L2856" s="2"/>
    </x:row>
    <x:row r="2857" ht="22" customHeight="1">
      <x:c r="A2857" s="2"/>
      <x:c r="B2857" s="2" t="n">
        <x:v>2824</x:v>
      </x:c>
      <x:c r="C2857" s="2" t="str">
        <x:v>21344</x:v>
      </x:c>
      <x:c r="D2857" s="2" t="str">
        <x:v>MOROCCAN BEATEN METAL DISH</x:v>
      </x:c>
      <x:c r="E2857" s="11" t="n">
        <x:v>749.82</x:v>
      </x:c>
      <x:c r="F2857" s="11" t="n">
        <x:v>37.75</x:v>
      </x:c>
      <x:c r="G2857" s="11" t="n">
        <x:v>712.07</x:v>
      </x:c>
      <x:c r="H2857" s="23" t="n">
        <x:v>0.000036516481165213414</x:v>
      </x:c>
      <x:c r="I2857" s="23" t="n">
        <x:v>0.9748463704247103</x:v>
      </x:c>
      <x:c r="J2857" s="2" t="n">
        <x:v>26</x:v>
      </x:c>
      <x:c r="K2857" s="2"/>
      <x:c r="L2857" s="2"/>
    </x:row>
    <x:row r="2858" ht="22" customHeight="1">
      <x:c r="A2858" s="2"/>
      <x:c r="B2858" s="2" t="n">
        <x:v>2825</x:v>
      </x:c>
      <x:c r="C2858" s="2" t="str">
        <x:v>84615</x:v>
      </x:c>
      <x:c r="D2858" s="2" t="str">
        <x:v>PINK ROUND BUTTERFLY MIRROR </x:v>
      </x:c>
      <x:c r="E2858" s="11" t="n">
        <x:v>748.48</x:v>
      </x:c>
      <x:c r="F2858" s="11" t="n">
        <x:v>241.68</x:v>
      </x:c>
      <x:c r="G2858" s="11" t="n">
        <x:v>506.79999999999995</x:v>
      </x:c>
      <x:c r="H2858" s="23" t="n">
        <x:v>0.00003645122272350555</x:v>
      </x:c>
      <x:c r="I2858" s="23" t="n">
        <x:v>0.9748828216474339</x:v>
      </x:c>
      <x:c r="J2858" s="2" t="n">
        <x:v>21</x:v>
      </x:c>
      <x:c r="K2858" s="2"/>
      <x:c r="L2858" s="2"/>
    </x:row>
    <x:row r="2859" ht="22" customHeight="1">
      <x:c r="A2859" s="2"/>
      <x:c r="B2859" s="2" t="n">
        <x:v>2826</x:v>
      </x:c>
      <x:c r="C2859" s="2" t="str">
        <x:v>35647</x:v>
      </x:c>
      <x:c r="D2859" s="2" t="str">
        <x:v>VINTAGE BEAD PINK SHADE </x:v>
      </x:c>
      <x:c r="E2859" s="11" t="n">
        <x:v>748.24</x:v>
      </x:c>
      <x:c r="F2859" s="11" t="n">
        <x:v>0</x:v>
      </x:c>
      <x:c r="G2859" s="11" t="n">
        <x:v>748.24</x:v>
      </x:c>
      <x:c r="H2859" s="23" t="n">
        <x:v>0.0000364395346443937</x:v>
      </x:c>
      <x:c r="I2859" s="23" t="n">
        <x:v>0.9749192611820783</x:v>
      </x:c>
      <x:c r="J2859" s="2" t="n">
        <x:v>74</x:v>
      </x:c>
      <x:c r="K2859" s="2"/>
      <x:c r="L2859" s="2"/>
    </x:row>
    <x:row r="2860" ht="22" customHeight="1">
      <x:c r="A2860" s="2"/>
      <x:c r="B2860" s="2" t="n">
        <x:v>2827</x:v>
      </x:c>
      <x:c r="C2860" s="2" t="str">
        <x:v>84842</x:v>
      </x:c>
      <x:c r="D2860" s="2" t="str">
        <x:v>HELLO SAILOR BATHROOM SET</x:v>
      </x:c>
      <x:c r="E2860" s="11" t="n">
        <x:v>747.9000000000001</x:v>
      </x:c>
      <x:c r="F2860" s="11" t="n">
        <x:v>237.60000000000002</x:v>
      </x:c>
      <x:c r="G2860" s="11" t="n">
        <x:v>510.3</x:v>
      </x:c>
      <x:c r="H2860" s="23" t="n">
        <x:v>0.000036422976532318575</x:v>
      </x:c>
      <x:c r="I2860" s="23" t="n">
        <x:v>0.9749556841586106</x:v>
      </x:c>
      <x:c r="J2860" s="2" t="n">
        <x:v>35</x:v>
      </x:c>
      <x:c r="K2860" s="2"/>
      <x:c r="L2860" s="2"/>
    </x:row>
    <x:row r="2861" ht="22" customHeight="1">
      <x:c r="A2861" s="2"/>
      <x:c r="B2861" s="2" t="n">
        <x:v>2828</x:v>
      </x:c>
      <x:c r="C2861" s="2" t="str">
        <x:v>90161B</x:v>
      </x:c>
      <x:c r="D2861" s="2" t="str">
        <x:v>ANT COPPER TURQ BOUDICCA BRACELET</x:v>
      </x:c>
      <x:c r="E2861" s="11" t="n">
        <x:v>744.0600000000001</x:v>
      </x:c>
      <x:c r="F2861" s="11" t="n">
        <x:v>0</x:v>
      </x:c>
      <x:c r="G2861" s="11" t="n">
        <x:v>744.0600000000001</x:v>
      </x:c>
      <x:c r="H2861" s="23" t="n">
        <x:v>0.00003623596726652889</x:v>
      </x:c>
      <x:c r="I2861" s="23" t="n">
        <x:v>0.9749919201258771</x:v>
      </x:c>
      <x:c r="J2861" s="2" t="n">
        <x:v>76</x:v>
      </x:c>
      <x:c r="K2861" s="2"/>
      <x:c r="L2861" s="2"/>
    </x:row>
    <x:row r="2862" ht="22" customHeight="1">
      <x:c r="A2862" s="2"/>
      <x:c r="B2862" s="2" t="n">
        <x:v>2829</x:v>
      </x:c>
      <x:c r="C2862" s="2" t="str">
        <x:v>21319</x:v>
      </x:c>
      <x:c r="D2862" s="2" t="str">
        <x:v>adjustment</x:v>
      </x:c>
      <x:c r="E2862" s="11" t="n">
        <x:v>743.6099999999999</x:v>
      </x:c>
      <x:c r="F2862" s="11" t="n">
        <x:v>56.949999999999996</x:v>
      </x:c>
      <x:c r="G2862" s="11" t="n">
        <x:v>686.66</x:v>
      </x:c>
      <x:c r="H2862" s="23" t="n">
        <x:v>0.000036214052118194156</x:v>
      </x:c>
      <x:c r="I2862" s="23" t="n">
        <x:v>0.9750281341779953</x:v>
      </x:c>
      <x:c r="J2862" s="2" t="n">
        <x:v>65</x:v>
      </x:c>
      <x:c r="K2862" s="2"/>
      <x:c r="L2862" s="2"/>
    </x:row>
    <x:row r="2863" ht="22" customHeight="1">
      <x:c r="A2863" s="2"/>
      <x:c r="B2863" s="2" t="n">
        <x:v>2830</x:v>
      </x:c>
      <x:c r="C2863" s="2" t="str">
        <x:v>84689</x:v>
      </x:c>
      <x:c r="D2863" s="2" t="str">
        <x:v>S/2 BEACH HUT TREASURE CHESTS</x:v>
      </x:c>
      <x:c r="E2863" s="11" t="n">
        <x:v>742.9</x:v>
      </x:c>
      <x:c r="F2863" s="11" t="n">
        <x:v>49.55</x:v>
      </x:c>
      <x:c r="G2863" s="11" t="n">
        <x:v>693.35</x:v>
      </x:c>
      <x:c r="H2863" s="23" t="n">
        <x:v>0.00003617947488415492</x:v>
      </x:c>
      <x:c r="I2863" s="23" t="n">
        <x:v>0.9750643136528794</x:v>
      </x:c>
      <x:c r="J2863" s="2" t="n">
        <x:v>40</x:v>
      </x:c>
      <x:c r="K2863" s="2"/>
      <x:c r="L2863" s="2"/>
    </x:row>
    <x:row r="2864" ht="22" customHeight="1">
      <x:c r="A2864" s="2"/>
      <x:c r="B2864" s="2" t="n">
        <x:v>2831</x:v>
      </x:c>
      <x:c r="C2864" s="2" t="str">
        <x:v>21377</x:v>
      </x:c>
      <x:c r="D2864" s="2" t="str">
        <x:v>SMALL CAMPHOR WOOD FIELD  MUSHROOM</x:v>
      </x:c>
      <x:c r="E2864" s="11" t="n">
        <x:v>742.56</x:v>
      </x:c>
      <x:c r="F2864" s="11" t="n">
        <x:v>19.200000000000003</x:v>
      </x:c>
      <x:c r="G2864" s="11" t="n">
        <x:v>723.36</x:v>
      </x:c>
      <x:c r="H2864" s="23" t="n">
        <x:v>0.00003616291677207979</x:v>
      </x:c>
      <x:c r="I2864" s="23" t="n">
        <x:v>0.9751004765696515</x:v>
      </x:c>
      <x:c r="J2864" s="2" t="n">
        <x:v>98</x:v>
      </x:c>
      <x:c r="K2864" s="2"/>
      <x:c r="L2864" s="2"/>
    </x:row>
    <x:row r="2865" ht="22" customHeight="1">
      <x:c r="A2865" s="2"/>
      <x:c r="B2865" s="2" t="n">
        <x:v>2832</x:v>
      </x:c>
      <x:c r="C2865" s="2" t="str">
        <x:v>23325</x:v>
      </x:c>
      <x:c r="D2865" s="2" t="str">
        <x:v>RUSTIC STRAWBERRY JAM POT SMALL</x:v>
      </x:c>
      <x:c r="E2865" s="11" t="n">
        <x:v>740.9399999999999</x:v>
      </x:c>
      <x:c r="F2865" s="11" t="n">
        <x:v>29.699999999999996</x:v>
      </x:c>
      <x:c r="G2865" s="11" t="n">
        <x:v>711.2399999999999</x:v>
      </x:c>
      <x:c r="H2865" s="23" t="n">
        <x:v>0.00003608402223807477</x:v>
      </x:c>
      <x:c r="I2865" s="23" t="n">
        <x:v>0.9751365605918896</x:v>
      </x:c>
      <x:c r="J2865" s="2" t="n">
        <x:v>35</x:v>
      </x:c>
      <x:c r="K2865" s="2"/>
      <x:c r="L2865" s="2"/>
    </x:row>
    <x:row r="2866" ht="22" customHeight="1">
      <x:c r="A2866" s="2"/>
      <x:c r="B2866" s="2" t="n">
        <x:v>2833</x:v>
      </x:c>
      <x:c r="C2866" s="2" t="str">
        <x:v>21503</x:v>
      </x:c>
      <x:c r="D2866" s="2" t="str">
        <x:v>TOYBOX  WRAP </x:v>
      </x:c>
      <x:c r="E2866" s="11" t="n">
        <x:v>740.42</x:v>
      </x:c>
      <x:c r="F2866" s="11" t="n">
        <x:v>0.42</x:v>
      </x:c>
      <x:c r="G2866" s="11" t="n">
        <x:v>740</x:v>
      </x:c>
      <x:c r="H2866" s="23" t="n">
        <x:v>0.00003605869806666575</x:v>
      </x:c>
      <x:c r="I2866" s="23" t="n">
        <x:v>0.9751726192899562</x:v>
      </x:c>
      <x:c r="J2866" s="2" t="n">
        <x:v>64</x:v>
      </x:c>
      <x:c r="K2866" s="2"/>
      <x:c r="L2866" s="2"/>
    </x:row>
    <x:row r="2867" ht="22" customHeight="1">
      <x:c r="A2867" s="2"/>
      <x:c r="B2867" s="2" t="n">
        <x:v>2834</x:v>
      </x:c>
      <x:c r="C2867" s="2" t="str">
        <x:v>21415</x:v>
      </x:c>
      <x:c r="D2867" s="2" t="str">
        <x:v>CLAM SHELL SMALL </x:v>
      </x:c>
      <x:c r="E2867" s="11" t="n">
        <x:v>738.7600000000001</x:v>
      </x:c>
      <x:c r="F2867" s="11" t="n">
        <x:v>0</x:v>
      </x:c>
      <x:c r="G2867" s="11" t="n">
        <x:v>738.7600000000001</x:v>
      </x:c>
      <x:c r="H2867" s="23" t="n">
        <x:v>0.000035977855519475423</x:v>
      </x:c>
      <x:c r="I2867" s="23" t="n">
        <x:v>0.9752085971454757</x:v>
      </x:c>
      <x:c r="J2867" s="2" t="n">
        <x:v>82</x:v>
      </x:c>
      <x:c r="K2867" s="2"/>
      <x:c r="L2867" s="2"/>
    </x:row>
    <x:row r="2868" ht="22" customHeight="1">
      <x:c r="A2868" s="2"/>
      <x:c r="B2868" s="2" t="n">
        <x:v>2835</x:v>
      </x:c>
      <x:c r="C2868" s="2" t="str">
        <x:v>23114</x:v>
      </x:c>
      <x:c r="D2868" s="2" t="str">
        <x:v>VINTAGE LEAF CHOPPING BOARD  </x:v>
      </x:c>
      <x:c r="E2868" s="11" t="n">
        <x:v>737.95</x:v>
      </x:c>
      <x:c r="F2868" s="11" t="n">
        <x:v>14.850000000000001</x:v>
      </x:c>
      <x:c r="G2868" s="11" t="n">
        <x:v>723.1</x:v>
      </x:c>
      <x:c r="H2868" s="23" t="n">
        <x:v>0.00003593840825247291</x:v>
      </x:c>
      <x:c r="I2868" s="23" t="n">
        <x:v>0.9752445355537281</x:v>
      </x:c>
      <x:c r="J2868" s="2" t="n">
        <x:v>45</x:v>
      </x:c>
      <x:c r="K2868" s="2"/>
      <x:c r="L2868" s="2"/>
    </x:row>
    <x:row r="2869" ht="22" customHeight="1">
      <x:c r="A2869" s="2"/>
      <x:c r="B2869" s="2" t="n">
        <x:v>2836</x:v>
      </x:c>
      <x:c r="C2869" s="2" t="str">
        <x:v>22638</x:v>
      </x:c>
      <x:c r="D2869" s="2" t="str">
        <x:v>SET OF 4 NAPKIN CHARMS CROWNS </x:v>
      </x:c>
      <x:c r="E2869" s="11" t="n">
        <x:v>737.78</x:v>
      </x:c>
      <x:c r="F2869" s="11" t="n">
        <x:v>2.55</x:v>
      </x:c>
      <x:c r="G2869" s="11" t="n">
        <x:v>735.23</x:v>
      </x:c>
      <x:c r="H2869" s="23" t="n">
        <x:v>0.000035930129196435346</x:v>
      </x:c>
      <x:c r="I2869" s="23" t="n">
        <x:v>0.9752804656829246</x:v>
      </x:c>
      <x:c r="J2869" s="2" t="n">
        <x:v>74</x:v>
      </x:c>
      <x:c r="K2869" s="2"/>
      <x:c r="L2869" s="2"/>
    </x:row>
    <x:row r="2870" ht="22" customHeight="1">
      <x:c r="A2870" s="2"/>
      <x:c r="B2870" s="2" t="n">
        <x:v>2837</x:v>
      </x:c>
      <x:c r="C2870" s="2" t="str">
        <x:v>84033</x:v>
      </x:c>
      <x:c r="D2870" s="2" t="str">
        <x:v>FLAG OF ST GEORGE </x:v>
      </x:c>
      <x:c r="E2870" s="11" t="n">
        <x:v>737.03</x:v>
      </x:c>
      <x:c r="F2870" s="11" t="n">
        <x:v>21.45</x:v>
      </x:c>
      <x:c r="G2870" s="11" t="n">
        <x:v>715.58</x:v>
      </x:c>
      <x:c r="H2870" s="23" t="n">
        <x:v>0.000035893603949210796</x:v>
      </x:c>
      <x:c r="I2870" s="23" t="n">
        <x:v>0.9753163592868738</x:v>
      </x:c>
      <x:c r="J2870" s="2" t="n">
        <x:v>49</x:v>
      </x:c>
      <x:c r="K2870" s="2"/>
      <x:c r="L2870" s="2"/>
    </x:row>
    <x:row r="2871" ht="22" customHeight="1">
      <x:c r="A2871" s="2"/>
      <x:c r="B2871" s="2" t="n">
        <x:v>2838</x:v>
      </x:c>
      <x:c r="C2871" s="2" t="str">
        <x:v>21133</x:v>
      </x:c>
      <x:c r="D2871" s="2" t="str">
        <x:v>PAINTED BIRD ASSORTED CHRISTMAS</x:v>
      </x:c>
      <x:c r="E2871" s="11" t="n">
        <x:v>736.57</x:v>
      </x:c>
      <x:c r="F2871" s="11" t="n">
        <x:v>0</x:v>
      </x:c>
      <x:c r="G2871" s="11" t="n">
        <x:v>736.57</x:v>
      </x:c>
      <x:c r="H2871" s="23" t="n">
        <x:v>0.00003587120179757974</x:v>
      </x:c>
      <x:c r="I2871" s="23" t="n">
        <x:v>0.9753522304886714</x:v>
      </x:c>
      <x:c r="J2871" s="2" t="n">
        <x:v>42</x:v>
      </x:c>
      <x:c r="K2871" s="2"/>
      <x:c r="L2871" s="2"/>
    </x:row>
    <x:row r="2872" ht="22" customHeight="1">
      <x:c r="A2872" s="2"/>
      <x:c r="B2872" s="2" t="n">
        <x:v>2839</x:v>
      </x:c>
      <x:c r="C2872" s="2" t="str">
        <x:v>47503F</x:v>
      </x:c>
      <x:c r="D2872" s="2" t="str">
        <x:v>ASS FLORAL PRINT TORCH</x:v>
      </x:c>
      <x:c r="E2872" s="11" t="n">
        <x:v>736.55</x:v>
      </x:c>
      <x:c r="F2872" s="11" t="n">
        <x:v>1.65</x:v>
      </x:c>
      <x:c r="G2872" s="11" t="n">
        <x:v>734.9</x:v>
      </x:c>
      <x:c r="H2872" s="23" t="n">
        <x:v>0.00003587022779098708</x:v>
      </x:c>
      <x:c r="I2872" s="23" t="n">
        <x:v>0.9753881007164623</x:v>
      </x:c>
      <x:c r="J2872" s="2" t="n">
        <x:v>11</x:v>
      </x:c>
      <x:c r="K2872" s="2"/>
      <x:c r="L2872" s="2"/>
    </x:row>
    <x:row r="2873" ht="22" customHeight="1">
      <x:c r="A2873" s="2"/>
      <x:c r="B2873" s="2" t="n">
        <x:v>2840</x:v>
      </x:c>
      <x:c r="C2873" s="2" t="str">
        <x:v>84715</x:v>
      </x:c>
      <x:c r="D2873" s="2" t="str">
        <x:v>SET OF 6 ICE CREAM SKITTLES</x:v>
      </x:c>
      <x:c r="E2873" s="11" t="n">
        <x:v>734.8900000000001</x:v>
      </x:c>
      <x:c r="F2873" s="11" t="n">
        <x:v>0</x:v>
      </x:c>
      <x:c r="G2873" s="11" t="n">
        <x:v>734.8900000000001</x:v>
      </x:c>
      <x:c r="H2873" s="23" t="n">
        <x:v>0.00003578938524379676</x:v>
      </x:c>
      <x:c r="I2873" s="23" t="n">
        <x:v>0.9754238901017062</x:v>
      </x:c>
      <x:c r="J2873" s="2" t="n">
        <x:v>47</x:v>
      </x:c>
      <x:c r="K2873" s="2"/>
      <x:c r="L2873" s="2"/>
    </x:row>
    <x:row r="2874" ht="22" customHeight="1">
      <x:c r="A2874" s="2"/>
      <x:c r="B2874" s="2" t="n">
        <x:v>2841</x:v>
      </x:c>
      <x:c r="C2874" s="2" t="str">
        <x:v>23435</x:v>
      </x:c>
      <x:c r="D2874" s="2" t="str">
        <x:v>3 RAFFIA RIBBONS VINTAGE CHRISTMAS</x:v>
      </x:c>
      <x:c r="E2874" s="11" t="n">
        <x:v>734.7900000000001</x:v>
      </x:c>
      <x:c r="F2874" s="11" t="n">
        <x:v>0</x:v>
      </x:c>
      <x:c r="G2874" s="11" t="n">
        <x:v>734.7900000000001</x:v>
      </x:c>
      <x:c r="H2874" s="23" t="n">
        <x:v>0.000035784515210833484</x:v>
      </x:c>
      <x:c r="I2874" s="23" t="n">
        <x:v>0.975459674616917</x:v>
      </x:c>
      <x:c r="J2874" s="2" t="n">
        <x:v>99</x:v>
      </x:c>
      <x:c r="K2874" s="2"/>
      <x:c r="L2874" s="2"/>
    </x:row>
    <x:row r="2875" ht="22" customHeight="1">
      <x:c r="A2875" s="2"/>
      <x:c r="B2875" s="2" t="n">
        <x:v>2842</x:v>
      </x:c>
      <x:c r="C2875" s="2" t="str">
        <x:v>84708B</x:v>
      </x:c>
      <x:c r="D2875" s="2" t="str">
        <x:v>PINK JEWELLED PHOTO FRAME </x:v>
      </x:c>
      <x:c r="E2875" s="11" t="n">
        <x:v>732.7900000000001</x:v>
      </x:c>
      <x:c r="F2875" s="11" t="n">
        <x:v>0</x:v>
      </x:c>
      <x:c r="G2875" s="11" t="n">
        <x:v>732.7900000000001</x:v>
      </x:c>
      <x:c r="H2875" s="23" t="n">
        <x:v>0.000035687114551568025</x:v>
      </x:c>
      <x:c r="I2875" s="23" t="n">
        <x:v>0.9754953617314686</x:v>
      </x:c>
      <x:c r="J2875" s="2" t="n">
        <x:v>53</x:v>
      </x:c>
      <x:c r="K2875" s="2"/>
      <x:c r="L2875" s="2"/>
    </x:row>
    <x:row r="2876" ht="22" customHeight="1">
      <x:c r="A2876" s="2"/>
      <x:c r="B2876" s="2" t="n">
        <x:v>2843</x:v>
      </x:c>
      <x:c r="C2876" s="2" t="str">
        <x:v>90209B</x:v>
      </x:c>
      <x:c r="D2876" s="2" t="str">
        <x:v>GREEN ENAMEL+GLASS HAIR COMB</x:v>
      </x:c>
      <x:c r="E2876" s="11" t="n">
        <x:v>732.76</x:v>
      </x:c>
      <x:c r="F2876" s="11" t="n">
        <x:v>0</x:v>
      </x:c>
      <x:c r="G2876" s="11" t="n">
        <x:v>732.76</x:v>
      </x:c>
      <x:c r="H2876" s="23" t="n">
        <x:v>0.00003568565354167904</x:v>
      </x:c>
      <x:c r="I2876" s="23" t="n">
        <x:v>0.9755310473850103</x:v>
      </x:c>
      <x:c r="J2876" s="2" t="n">
        <x:v>97</x:v>
      </x:c>
      <x:c r="K2876" s="2"/>
      <x:c r="L2876" s="2"/>
    </x:row>
    <x:row r="2877" ht="22" customHeight="1">
      <x:c r="A2877" s="2"/>
      <x:c r="B2877" s="2" t="n">
        <x:v>2844</x:v>
      </x:c>
      <x:c r="C2877" s="2" t="str">
        <x:v>85131B</x:v>
      </x:c>
      <x:c r="D2877" s="2" t="str">
        <x:v>BEADED CRYSTAL HEART GREEN ON STICK</x:v>
      </x:c>
      <x:c r="E2877" s="11" t="n">
        <x:v>731.99</x:v>
      </x:c>
      <x:c r="F2877" s="11" t="n">
        <x:v>0</x:v>
      </x:c>
      <x:c r="G2877" s="11" t="n">
        <x:v>731.99</x:v>
      </x:c>
      <x:c r="H2877" s="23" t="n">
        <x:v>0.00003564815428786184</x:v>
      </x:c>
      <x:c r="I2877" s="23" t="n">
        <x:v>0.9755666955392982</x:v>
      </x:c>
      <x:c r="J2877" s="2" t="n">
        <x:v>216</x:v>
      </x:c>
      <x:c r="K2877" s="2"/>
      <x:c r="L2877" s="2"/>
    </x:row>
    <x:row r="2878" ht="22" customHeight="1">
      <x:c r="A2878" s="2"/>
      <x:c r="B2878" s="2" t="n">
        <x:v>2845</x:v>
      </x:c>
      <x:c r="C2878" s="2" t="str">
        <x:v>21443</x:v>
      </x:c>
      <x:c r="D2878" s="2" t="str">
        <x:v>OLIVE CHALET BIRDFEEDER</x:v>
      </x:c>
      <x:c r="E2878" s="11" t="n">
        <x:v>731.6800000000001</x:v>
      </x:c>
      <x:c r="F2878" s="11" t="n">
        <x:v>22.5</x:v>
      </x:c>
      <x:c r="G2878" s="11" t="n">
        <x:v>709.1800000000001</x:v>
      </x:c>
      <x:c r="H2878" s="23" t="n">
        <x:v>0.0000356330571856757</x:v>
      </x:c>
      <x:c r="I2878" s="23" t="n">
        <x:v>0.9756023285964839</x:v>
      </x:c>
      <x:c r="J2878" s="2" t="n">
        <x:v>26</x:v>
      </x:c>
      <x:c r="K2878" s="2"/>
      <x:c r="L2878" s="2"/>
    </x:row>
    <x:row r="2879" ht="22" customHeight="1">
      <x:c r="A2879" s="2"/>
      <x:c r="B2879" s="2" t="n">
        <x:v>2846</x:v>
      </x:c>
      <x:c r="C2879" s="2" t="str">
        <x:v>ADJUST2</x:v>
      </x:c>
      <x:c r="D2879" s="2" t="str">
        <x:v>Adjustment by Peter on Jun 25 2010 </x:v>
      </x:c>
      <x:c r="E2879" s="11" t="n">
        <x:v>731.0500000000001</x:v>
      </x:c>
      <x:c r="F2879" s="11" t="n">
        <x:v>0</x:v>
      </x:c>
      <x:c r="G2879" s="11" t="n">
        <x:v>731.0500000000001</x:v>
      </x:c>
      <x:c r="H2879" s="23" t="n">
        <x:v>0.00003560237597800708</x:v>
      </x:c>
      <x:c r="I2879" s="23" t="n">
        <x:v>0.9756379309724619</x:v>
      </x:c>
      <x:c r="J2879" s="2" t="n">
        <x:v>3</x:v>
      </x:c>
      <x:c r="K2879" s="2"/>
      <x:c r="L2879" s="2"/>
    </x:row>
    <x:row r="2880" ht="22" customHeight="1">
      <x:c r="A2880" s="2"/>
      <x:c r="B2880" s="2" t="n">
        <x:v>2847</x:v>
      </x:c>
      <x:c r="C2880" s="2" t="str">
        <x:v>21378</x:v>
      </x:c>
      <x:c r="D2880" s="2" t="str">
        <x:v>SMALL TALL CAMPHOR WOOD TOADSTOOL</x:v>
      </x:c>
      <x:c r="E2880" s="11" t="n">
        <x:v>730.62</x:v>
      </x:c>
      <x:c r="F2880" s="11" t="n">
        <x:v>0</x:v>
      </x:c>
      <x:c r="G2880" s="11" t="n">
        <x:v>730.62</x:v>
      </x:c>
      <x:c r="H2880" s="23" t="n">
        <x:v>0.000035581434836265</x:v>
      </x:c>
      <x:c r="I2880" s="23" t="n">
        <x:v>0.9756735124072982</x:v>
      </x:c>
      <x:c r="J2880" s="2" t="n">
        <x:v>88</x:v>
      </x:c>
      <x:c r="K2880" s="2"/>
      <x:c r="L2880" s="2"/>
    </x:row>
    <x:row r="2881" ht="22" customHeight="1">
      <x:c r="A2881" s="2"/>
      <x:c r="B2881" s="2" t="n">
        <x:v>2848</x:v>
      </x:c>
      <x:c r="C2881" s="2" t="str">
        <x:v>23562</x:v>
      </x:c>
      <x:c r="D2881" s="2" t="str">
        <x:v>SET OF 6 RIBBONS PERFECTLY PRETTY  </x:v>
      </x:c>
      <x:c r="E2881" s="11" t="n">
        <x:v>730.37</x:v>
      </x:c>
      <x:c r="F2881" s="11" t="n">
        <x:v>0</x:v>
      </x:c>
      <x:c r="G2881" s="11" t="n">
        <x:v>730.37</x:v>
      </x:c>
      <x:c r="H2881" s="23" t="n">
        <x:v>0.000035569259753856815</x:v>
      </x:c>
      <x:c r="I2881" s="23" t="n">
        <x:v>0.9757090816670521</x:v>
      </x:c>
      <x:c r="J2881" s="2" t="n">
        <x:v>43</x:v>
      </x:c>
      <x:c r="K2881" s="2"/>
      <x:c r="L2881" s="2"/>
    </x:row>
    <x:row r="2882" ht="22" customHeight="1">
      <x:c r="A2882" s="2"/>
      <x:c r="B2882" s="2" t="n">
        <x:v>2849</x:v>
      </x:c>
      <x:c r="C2882" s="2" t="str">
        <x:v>20657</x:v>
      </x:c>
      <x:c r="D2882" s="2" t="str">
        <x:v>TROPICAL LUGGAGE TAG</x:v>
      </x:c>
      <x:c r="E2882" s="11" t="n">
        <x:v>727.72</x:v>
      </x:c>
      <x:c r="F2882" s="11" t="n">
        <x:v>0</x:v>
      </x:c>
      <x:c r="G2882" s="11" t="n">
        <x:v>727.72</x:v>
      </x:c>
      <x:c r="H2882" s="23" t="n">
        <x:v>0.000035440203880330085</x:v>
      </x:c>
      <x:c r="I2882" s="23" t="n">
        <x:v>0.9757445218709324</x:v>
      </x:c>
      <x:c r="J2882" s="2" t="n">
        <x:v>118</x:v>
      </x:c>
      <x:c r="K2882" s="2"/>
      <x:c r="L2882" s="2"/>
    </x:row>
    <x:row r="2883" ht="22" customHeight="1">
      <x:c r="A2883" s="2"/>
      <x:c r="B2883" s="2" t="n">
        <x:v>2850</x:v>
      </x:c>
      <x:c r="C2883" s="2" t="str">
        <x:v>23522</x:v>
      </x:c>
      <x:c r="D2883" s="2" t="str">
        <x:v>WALL ART DOG AND BALL </x:v>
      </x:c>
      <x:c r="E2883" s="11" t="n">
        <x:v>727.4399999999999</x:v>
      </x:c>
      <x:c r="F2883" s="11" t="n">
        <x:v>0</x:v>
      </x:c>
      <x:c r="G2883" s="11" t="n">
        <x:v>727.4399999999999</x:v>
      </x:c>
      <x:c r="H2883" s="23" t="n">
        <x:v>0.000035426567788032915</x:v>
      </x:c>
      <x:c r="I2883" s="23" t="n">
        <x:v>0.9757799484387204</x:v>
      </x:c>
      <x:c r="J2883" s="2" t="n">
        <x:v>32</x:v>
      </x:c>
      <x:c r="K2883" s="2"/>
      <x:c r="L2883" s="2"/>
    </x:row>
    <x:row r="2884" ht="22" customHeight="1">
      <x:c r="A2884" s="2"/>
      <x:c r="B2884" s="2" t="n">
        <x:v>2851</x:v>
      </x:c>
      <x:c r="C2884" s="2" t="str">
        <x:v>84971L</x:v>
      </x:c>
      <x:c r="D2884" s="2" t="str">
        <x:v>LARGE HEART FLOWERS HOOK   </x:v>
      </x:c>
      <x:c r="E2884" s="11" t="n">
        <x:v>727.26</x:v>
      </x:c>
      <x:c r="F2884" s="11" t="n">
        <x:v>31.25</x:v>
      </x:c>
      <x:c r="G2884" s="11" t="n">
        <x:v>696.01</x:v>
      </x:c>
      <x:c r="H2884" s="23" t="n">
        <x:v>0.000035417801728699024</x:v>
      </x:c>
      <x:c r="I2884" s="23" t="n">
        <x:v>0.9758153662404491</x:v>
      </x:c>
      <x:c r="J2884" s="2" t="n">
        <x:v>58</x:v>
      </x:c>
      <x:c r="K2884" s="2"/>
      <x:c r="L2884" s="2"/>
    </x:row>
    <x:row r="2885" ht="22" customHeight="1">
      <x:c r="A2885" s="2"/>
      <x:c r="B2885" s="2" t="n">
        <x:v>2852</x:v>
      </x:c>
      <x:c r="C2885" s="2" t="str">
        <x:v>85230F</x:v>
      </x:c>
      <x:c r="D2885" s="2" t="str">
        <x:v>JASMINE VOTIVE CANDLE</x:v>
      </x:c>
      <x:c r="E2885" s="11" t="n">
        <x:v>725.6999999999999</x:v>
      </x:c>
      <x:c r="F2885" s="11" t="n">
        <x:v>0</x:v>
      </x:c>
      <x:c r="G2885" s="11" t="n">
        <x:v>725.6999999999999</x:v>
      </x:c>
      <x:c r="H2885" s="23" t="n">
        <x:v>0.00003534182921447197</x:v>
      </x:c>
      <x:c r="I2885" s="23" t="n">
        <x:v>0.9758507080696636</x:v>
      </x:c>
      <x:c r="J2885" s="2" t="n">
        <x:v>62</x:v>
      </x:c>
      <x:c r="K2885" s="2"/>
      <x:c r="L2885" s="2"/>
    </x:row>
    <x:row r="2886" ht="22" customHeight="1">
      <x:c r="A2886" s="2"/>
      <x:c r="B2886" s="2" t="n">
        <x:v>2853</x:v>
      </x:c>
      <x:c r="C2886" s="2" t="str">
        <x:v>35095A</x:v>
      </x:c>
      <x:c r="D2886" s="2" t="str">
        <x:v>BLUE VICTORIAN FABRIC OVAL BOX</x:v>
      </x:c>
      <x:c r="E2886" s="11" t="n">
        <x:v>725.56</x:v>
      </x:c>
      <x:c r="F2886" s="11" t="n">
        <x:v>0</x:v>
      </x:c>
      <x:c r="G2886" s="11" t="n">
        <x:v>725.56</x:v>
      </x:c>
      <x:c r="H2886" s="23" t="n">
        <x:v>0.000035335011168323387</x:v>
      </x:c>
      <x:c r="I2886" s="23" t="n">
        <x:v>0.9758860430808319</x:v>
      </x:c>
      <x:c r="J2886" s="2" t="n">
        <x:v>166</x:v>
      </x:c>
      <x:c r="K2886" s="2"/>
      <x:c r="L2886" s="2"/>
    </x:row>
    <x:row r="2887" ht="22" customHeight="1">
      <x:c r="A2887" s="2"/>
      <x:c r="B2887" s="2" t="n">
        <x:v>2854</x:v>
      </x:c>
      <x:c r="C2887" s="2" t="str">
        <x:v>85017C</x:v>
      </x:c>
      <x:c r="D2887" s="2" t="str">
        <x:v>adjustment</x:v>
      </x:c>
      <x:c r="E2887" s="11" t="n">
        <x:v>723.92</x:v>
      </x:c>
      <x:c r="F2887" s="11" t="n">
        <x:v>120.96</x:v>
      </x:c>
      <x:c r="G2887" s="11" t="n">
        <x:v>602.9599999999999</x:v>
      </x:c>
      <x:c r="H2887" s="23" t="n">
        <x:v>0.00003525514262772571</x:v>
      </x:c>
      <x:c r="I2887" s="23" t="n">
        <x:v>0.9759212982234596</x:v>
      </x:c>
      <x:c r="J2887" s="2" t="n">
        <x:v>119</x:v>
      </x:c>
      <x:c r="K2887" s="2"/>
      <x:c r="L2887" s="2"/>
    </x:row>
    <x:row r="2888" ht="22" customHeight="1">
      <x:c r="A2888" s="2"/>
      <x:c r="B2888" s="2" t="n">
        <x:v>2855</x:v>
      </x:c>
      <x:c r="C2888" s="2" t="str">
        <x:v>85088</x:v>
      </x:c>
      <x:c r="D2888" s="2" t="str">
        <x:v>CANDY SPOT HAND BAG</x:v>
      </x:c>
      <x:c r="E2888" s="11" t="n">
        <x:v>723.85</x:v>
      </x:c>
      <x:c r="F2888" s="11" t="n">
        <x:v>8.4</x:v>
      </x:c>
      <x:c r="G2888" s="11" t="n">
        <x:v>715.45</x:v>
      </x:c>
      <x:c r="H2888" s="23" t="n">
        <x:v>0.00003525173360465142</x:v>
      </x:c>
      <x:c r="I2888" s="23" t="n">
        <x:v>0.9759565499570643</x:v>
      </x:c>
      <x:c r="J2888" s="2" t="n">
        <x:v>78</x:v>
      </x:c>
      <x:c r="K2888" s="2"/>
      <x:c r="L2888" s="2"/>
    </x:row>
    <x:row r="2889" ht="22" customHeight="1">
      <x:c r="A2889" s="2"/>
      <x:c r="B2889" s="2" t="n">
        <x:v>2856</x:v>
      </x:c>
      <x:c r="C2889" s="2" t="str">
        <x:v>21001</x:v>
      </x:c>
      <x:c r="D2889" s="2" t="str">
        <x:v>ROSE DU SUD WASHBAG </x:v>
      </x:c>
      <x:c r="E2889" s="11" t="n">
        <x:v>723.75</x:v>
      </x:c>
      <x:c r="F2889" s="11" t="n">
        <x:v>0</x:v>
      </x:c>
      <x:c r="G2889" s="11" t="n">
        <x:v>723.75</x:v>
      </x:c>
      <x:c r="H2889" s="23" t="n">
        <x:v>0.000035246863571688145</x:v>
      </x:c>
      <x:c r="I2889" s="23" t="n">
        <x:v>0.975991796820636</x:v>
      </x:c>
      <x:c r="J2889" s="2" t="n">
        <x:v>90</x:v>
      </x:c>
      <x:c r="K2889" s="2"/>
      <x:c r="L2889" s="2"/>
    </x:row>
    <x:row r="2890" ht="22" customHeight="1">
      <x:c r="A2890" s="2"/>
      <x:c r="B2890" s="2" t="n">
        <x:v>2857</x:v>
      </x:c>
      <x:c r="C2890" s="2" t="str">
        <x:v>10134</x:v>
      </x:c>
      <x:c r="D2890" s="2" t="str">
        <x:v>COLOURING PENCILS BROWN TUBE</x:v>
      </x:c>
      <x:c r="E2890" s="11" t="n">
        <x:v>723.63</x:v>
      </x:c>
      <x:c r="F2890" s="11" t="n">
        <x:v>12.5</x:v>
      </x:c>
      <x:c r="G2890" s="11" t="n">
        <x:v>711.13</x:v>
      </x:c>
      <x:c r="H2890" s="23" t="n">
        <x:v>0.000035241019532132215</x:v>
      </x:c>
      <x:c r="I2890" s="23" t="n">
        <x:v>0.9760270378401681</x:v>
      </x:c>
      <x:c r="J2890" s="2" t="n">
        <x:v>52</x:v>
      </x:c>
      <x:c r="K2890" s="2"/>
      <x:c r="L2890" s="2"/>
    </x:row>
    <x:row r="2891" ht="22" customHeight="1">
      <x:c r="A2891" s="2"/>
      <x:c r="B2891" s="2" t="n">
        <x:v>2858</x:v>
      </x:c>
      <x:c r="C2891" s="2" t="str">
        <x:v>84595E</x:v>
      </x:c>
      <x:c r="D2891" s="2" t="str">
        <x:v>LARGE TORTILLA DESIGN RED BOWL</x:v>
      </x:c>
      <x:c r="E2891" s="11" t="n">
        <x:v>723.5699999999999</x:v>
      </x:c>
      <x:c r="F2891" s="11" t="n">
        <x:v>3.29</x:v>
      </x:c>
      <x:c r="G2891" s="11" t="n">
        <x:v>720.28</x:v>
      </x:c>
      <x:c r="H2891" s="23" t="n">
        <x:v>0.000035238097512354254</x:v>
      </x:c>
      <x:c r="I2891" s="23" t="n">
        <x:v>0.9760622759376805</x:v>
      </x:c>
      <x:c r="J2891" s="2" t="n">
        <x:v>43</x:v>
      </x:c>
      <x:c r="K2891" s="2"/>
      <x:c r="L2891" s="2"/>
    </x:row>
    <x:row r="2892" ht="22" customHeight="1">
      <x:c r="A2892" s="2"/>
      <x:c r="B2892" s="2" t="n">
        <x:v>2859</x:v>
      </x:c>
      <x:c r="C2892" s="2" t="str">
        <x:v>84976</x:v>
      </x:c>
      <x:c r="D2892" s="2" t="str">
        <x:v>RECTANGULAR SHAPED MIRROR</x:v>
      </x:c>
      <x:c r="E2892" s="11" t="n">
        <x:v>722.76</x:v>
      </x:c>
      <x:c r="F2892" s="11" t="n">
        <x:v>11.06</x:v>
      </x:c>
      <x:c r="G2892" s="11" t="n">
        <x:v>711.7</x:v>
      </x:c>
      <x:c r="H2892" s="23" t="n">
        <x:v>0.00003519865024535174</x:v>
      </x:c>
      <x:c r="I2892" s="23" t="n">
        <x:v>0.9760974745879258</x:v>
      </x:c>
      <x:c r="J2892" s="2" t="n">
        <x:v>56</x:v>
      </x:c>
      <x:c r="K2892" s="2"/>
      <x:c r="L2892" s="2"/>
    </x:row>
    <x:row r="2893" ht="22" customHeight="1">
      <x:c r="A2893" s="2"/>
      <x:c r="B2893" s="2" t="n">
        <x:v>2860</x:v>
      </x:c>
      <x:c r="C2893" s="2" t="str">
        <x:v>21221</x:v>
      </x:c>
      <x:c r="D2893" s="2" t="str">
        <x:v>SET/4 BADGES CUTE CREATURES</x:v>
      </x:c>
      <x:c r="E2893" s="11" t="n">
        <x:v>722.16</x:v>
      </x:c>
      <x:c r="F2893" s="11" t="n">
        <x:v>0</x:v>
      </x:c>
      <x:c r="G2893" s="11" t="n">
        <x:v>722.16</x:v>
      </x:c>
      <x:c r="H2893" s="23" t="n">
        <x:v>0.000035169430047572106</x:v>
      </x:c>
      <x:c r="I2893" s="23" t="n">
        <x:v>0.9761326440179734</x:v>
      </x:c>
      <x:c r="J2893" s="2" t="n">
        <x:v>107</x:v>
      </x:c>
      <x:c r="K2893" s="2"/>
      <x:c r="L2893" s="2"/>
    </x:row>
    <x:row r="2894" ht="22" customHeight="1">
      <x:c r="A2894" s="2"/>
      <x:c r="B2894" s="2" t="n">
        <x:v>2861</x:v>
      </x:c>
      <x:c r="C2894" s="2" t="str">
        <x:v>21026</x:v>
      </x:c>
      <x:c r="D2894" s="2" t="str">
        <x:v>SPACE OWL</x:v>
      </x:c>
      <x:c r="E2894" s="11" t="n">
        <x:v>721.73</x:v>
      </x:c>
      <x:c r="F2894" s="11" t="n">
        <x:v>0</x:v>
      </x:c>
      <x:c r="G2894" s="11" t="n">
        <x:v>721.73</x:v>
      </x:c>
      <x:c r="H2894" s="23" t="n">
        <x:v>0.000035148488905830035</x:v>
      </x:c>
      <x:c r="I2894" s="23" t="n">
        <x:v>0.9761677925068792</x:v>
      </x:c>
      <x:c r="J2894" s="2" t="n">
        <x:v>124</x:v>
      </x:c>
      <x:c r="K2894" s="2"/>
      <x:c r="L2894" s="2"/>
    </x:row>
    <x:row r="2895" ht="22" customHeight="1">
      <x:c r="A2895" s="2"/>
      <x:c r="B2895" s="2" t="n">
        <x:v>2862</x:v>
      </x:c>
      <x:c r="C2895" s="2" t="str">
        <x:v>20701</x:v>
      </x:c>
      <x:c r="D2895" s="2" t="str">
        <x:v>PINK CAT FLORAL CUSHION COVER </x:v>
      </x:c>
      <x:c r="E2895" s="11" t="n">
        <x:v>721.49</x:v>
      </x:c>
      <x:c r="F2895" s="11" t="n">
        <x:v>0</x:v>
      </x:c>
      <x:c r="G2895" s="11" t="n">
        <x:v>721.49</x:v>
      </x:c>
      <x:c r="H2895" s="23" t="n">
        <x:v>0.000035136800826718175</x:v>
      </x:c>
      <x:c r="I2895" s="23" t="n">
        <x:v>0.9762029293077059</x:v>
      </x:c>
      <x:c r="J2895" s="2" t="n">
        <x:v>50</x:v>
      </x:c>
      <x:c r="K2895" s="2"/>
      <x:c r="L2895" s="2"/>
    </x:row>
    <x:row r="2896" ht="22" customHeight="1">
      <x:c r="A2896" s="2"/>
      <x:c r="B2896" s="2" t="n">
        <x:v>2863</x:v>
      </x:c>
      <x:c r="C2896" s="2" t="str">
        <x:v>84684</x:v>
      </x:c>
      <x:c r="D2896" s="2" t="str">
        <x:v>BEACH HUT PHOTO FRAME</x:v>
      </x:c>
      <x:c r="E2896" s="11" t="n">
        <x:v>720.6999999999999</x:v>
      </x:c>
      <x:c r="F2896" s="11" t="n">
        <x:v>51</x:v>
      </x:c>
      <x:c r="G2896" s="11" t="n">
        <x:v>669.6999999999999</x:v>
      </x:c>
      <x:c r="H2896" s="23" t="n">
        <x:v>0.000035098327566308315</x:v>
      </x:c>
      <x:c r="I2896" s="23" t="n">
        <x:v>0.9762380276352722</x:v>
      </x:c>
      <x:c r="J2896" s="2" t="n">
        <x:v>40</x:v>
      </x:c>
      <x:c r="K2896" s="2"/>
      <x:c r="L2896" s="2"/>
    </x:row>
    <x:row r="2897" ht="22" customHeight="1">
      <x:c r="A2897" s="2"/>
      <x:c r="B2897" s="2" t="n">
        <x:v>2864</x:v>
      </x:c>
      <x:c r="C2897" s="2" t="str">
        <x:v>82613A</x:v>
      </x:c>
      <x:c r="D2897" s="2" t="str">
        <x:v>Amazon</x:v>
      </x:c>
      <x:c r="E2897" s="11" t="n">
        <x:v>718.72</x:v>
      </x:c>
      <x:c r="F2897" s="11" t="n">
        <x:v>2.5</x:v>
      </x:c>
      <x:c r="G2897" s="11" t="n">
        <x:v>716.22</x:v>
      </x:c>
      <x:c r="H2897" s="23" t="n">
        <x:v>0.000035001900913635515</x:v>
      </x:c>
      <x:c r="I2897" s="23" t="n">
        <x:v>0.9762730295361859</x:v>
      </x:c>
      <x:c r="J2897" s="2" t="n">
        <x:v>116</x:v>
      </x:c>
      <x:c r="K2897" s="2"/>
      <x:c r="L2897" s="2"/>
    </x:row>
    <x:row r="2898" ht="22" customHeight="1">
      <x:c r="A2898" s="2"/>
      <x:c r="B2898" s="2" t="n">
        <x:v>2865</x:v>
      </x:c>
      <x:c r="C2898" s="2" t="str">
        <x:v>23222</x:v>
      </x:c>
      <x:c r="D2898" s="2" t="str">
        <x:v>CHRISTMAS TREE HANGING GOLD</x:v>
      </x:c>
      <x:c r="E2898" s="11" t="n">
        <x:v>718.53</x:v>
      </x:c>
      <x:c r="F2898" s="11" t="n">
        <x:v>19.919999999999998</x:v>
      </x:c>
      <x:c r="G2898" s="11" t="n">
        <x:v>698.61</x:v>
      </x:c>
      <x:c r="H2898" s="23" t="n">
        <x:v>0.0000349926478510053</x:v>
      </x:c>
      <x:c r="I2898" s="23" t="n">
        <x:v>0.9763080221840369</x:v>
      </x:c>
      <x:c r="J2898" s="2" t="n">
        <x:v>75</x:v>
      </x:c>
      <x:c r="K2898" s="2"/>
      <x:c r="L2898" s="2"/>
    </x:row>
    <x:row r="2899" ht="22" customHeight="1">
      <x:c r="A2899" s="2"/>
      <x:c r="B2899" s="2" t="n">
        <x:v>2866</x:v>
      </x:c>
      <x:c r="C2899" s="2" t="str">
        <x:v>35951</x:v>
      </x:c>
      <x:c r="D2899" s="2" t="str">
        <x:v>FOLKART BAUBLE CHRISTMAS DECORATION</x:v>
      </x:c>
      <x:c r="E2899" s="11" t="n">
        <x:v>717.99</x:v>
      </x:c>
      <x:c r="F2899" s="11" t="n">
        <x:v>0</x:v>
      </x:c>
      <x:c r="G2899" s="11" t="n">
        <x:v>717.99</x:v>
      </x:c>
      <x:c r="H2899" s="23" t="n">
        <x:v>0.00003496634967300362</x:v>
      </x:c>
      <x:c r="I2899" s="23" t="n">
        <x:v>0.9763429885337099</x:v>
      </x:c>
      <x:c r="J2899" s="2" t="n">
        <x:v>46</x:v>
      </x:c>
      <x:c r="K2899" s="2"/>
      <x:c r="L2899" s="2"/>
    </x:row>
    <x:row r="2900" ht="22" customHeight="1">
      <x:c r="A2900" s="2"/>
      <x:c r="B2900" s="2" t="n">
        <x:v>2867</x:v>
      </x:c>
      <x:c r="C2900" s="2" t="str">
        <x:v>21457</x:v>
      </x:c>
      <x:c r="D2900" s="2" t="str">
        <x:v>2 PICTURE BOOK EGGS EASTER DUCKS</x:v>
      </x:c>
      <x:c r="E2900" s="11" t="n">
        <x:v>717.25</x:v>
      </x:c>
      <x:c r="F2900" s="11" t="n">
        <x:v>0</x:v>
      </x:c>
      <x:c r="G2900" s="11" t="n">
        <x:v>717.25</x:v>
      </x:c>
      <x:c r="H2900" s="23" t="n">
        <x:v>0.000034930311429075405</x:v>
      </x:c>
      <x:c r="I2900" s="23" t="n">
        <x:v>0.976377918845139</x:v>
      </x:c>
      <x:c r="J2900" s="2" t="n">
        <x:v>65</x:v>
      </x:c>
      <x:c r="K2900" s="2"/>
      <x:c r="L2900" s="2"/>
    </x:row>
    <x:row r="2901" ht="22" customHeight="1">
      <x:c r="A2901" s="2"/>
      <x:c r="B2901" s="2" t="n">
        <x:v>2868</x:v>
      </x:c>
      <x:c r="C2901" s="2" t="str">
        <x:v>35915B</x:v>
      </x:c>
      <x:c r="D2901" s="2" t="str">
        <x:v>BLUE KNITTED HEN </x:v>
      </x:c>
      <x:c r="E2901" s="11" t="n">
        <x:v>717.03</x:v>
      </x:c>
      <x:c r="F2901" s="11" t="n">
        <x:v>0</x:v>
      </x:c>
      <x:c r="G2901" s="11" t="n">
        <x:v>717.03</x:v>
      </x:c>
      <x:c r="H2901" s="23" t="n">
        <x:v>0.000034919597356556204</x:v>
      </x:c>
      <x:c r="I2901" s="23" t="n">
        <x:v>0.9764128384424956</x:v>
      </x:c>
      <x:c r="J2901" s="2" t="n">
        <x:v>67</x:v>
      </x:c>
      <x:c r="K2901" s="2"/>
      <x:c r="L2901" s="2"/>
    </x:row>
    <x:row r="2902" ht="22" customHeight="1">
      <x:c r="A2902" s="2"/>
      <x:c r="B2902" s="2" t="n">
        <x:v>2869</x:v>
      </x:c>
      <x:c r="C2902" s="2" t="str">
        <x:v>20854</x:v>
      </x:c>
      <x:c r="D2902" s="2" t="str">
        <x:v>BLUE PATCH PURSE PINK HEART</x:v>
      </x:c>
      <x:c r="E2902" s="11" t="n">
        <x:v>716.3199999999999</x:v>
      </x:c>
      <x:c r="F2902" s="11" t="n">
        <x:v>24.749999999999996</x:v>
      </x:c>
      <x:c r="G2902" s="11" t="n">
        <x:v>691.5699999999999</x:v>
      </x:c>
      <x:c r="H2902" s="23" t="n">
        <x:v>0.00003488502012251696</x:v>
      </x:c>
      <x:c r="I2902" s="23" t="n">
        <x:v>0.9764477234626181</x:v>
      </x:c>
      <x:c r="J2902" s="2" t="n">
        <x:v>107</x:v>
      </x:c>
      <x:c r="K2902" s="2"/>
      <x:c r="L2902" s="2"/>
    </x:row>
    <x:row r="2903" ht="22" customHeight="1">
      <x:c r="A2903" s="2"/>
      <x:c r="B2903" s="2" t="n">
        <x:v>2870</x:v>
      </x:c>
      <x:c r="C2903" s="2" t="str">
        <x:v>85186A</x:v>
      </x:c>
      <x:c r="D2903" s="2" t="str">
        <x:v>EASTER BUNNY GARLAND OF FLOWERS</x:v>
      </x:c>
      <x:c r="E2903" s="11" t="n">
        <x:v>716.11</x:v>
      </x:c>
      <x:c r="F2903" s="11" t="n">
        <x:v>5.04</x:v>
      </x:c>
      <x:c r="G2903" s="11" t="n">
        <x:v>711.07</x:v>
      </x:c>
      <x:c r="H2903" s="23" t="n">
        <x:v>0.000034874793053294094</x:v>
      </x:c>
      <x:c r="I2903" s="23" t="n">
        <x:v>0.9764825982556714</x:v>
      </x:c>
      <x:c r="J2903" s="2" t="n">
        <x:v>159</x:v>
      </x:c>
      <x:c r="K2903" s="2"/>
      <x:c r="L2903" s="2"/>
    </x:row>
    <x:row r="2904" ht="22" customHeight="1">
      <x:c r="A2904" s="2"/>
      <x:c r="B2904" s="2" t="n">
        <x:v>2871</x:v>
      </x:c>
      <x:c r="C2904" s="2" t="str">
        <x:v>21076</x:v>
      </x:c>
      <x:c r="D2904" s="2" t="str">
        <x:v>SET/20 COLLAGE PAPER NAPKIN </x:v>
      </x:c>
      <x:c r="E2904" s="11" t="n">
        <x:v>715.4</x:v>
      </x:c>
      <x:c r="F2904" s="11" t="n">
        <x:v>0.85</x:v>
      </x:c>
      <x:c r="G2904" s="11" t="n">
        <x:v>714.55</x:v>
      </x:c>
      <x:c r="H2904" s="23" t="n">
        <x:v>0.000034840215819254854</x:v>
      </x:c>
      <x:c r="I2904" s="23" t="n">
        <x:v>0.9765174384714906</x:v>
      </x:c>
      <x:c r="J2904" s="2" t="n">
        <x:v>92</x:v>
      </x:c>
      <x:c r="K2904" s="2"/>
      <x:c r="L2904" s="2"/>
    </x:row>
    <x:row r="2905" ht="22" customHeight="1">
      <x:c r="A2905" s="2"/>
      <x:c r="B2905" s="2" t="n">
        <x:v>2872</x:v>
      </x:c>
      <x:c r="C2905" s="2" t="str">
        <x:v>79030D</x:v>
      </x:c>
      <x:c r="D2905" s="2" t="str">
        <x:v>TUMBLER BAROQUE</x:v>
      </x:c>
      <x:c r="E2905" s="11" t="n">
        <x:v>713.98</x:v>
      </x:c>
      <x:c r="F2905" s="11" t="n">
        <x:v>0.39</x:v>
      </x:c>
      <x:c r="G2905" s="11" t="n">
        <x:v>713.59</x:v>
      </x:c>
      <x:c r="H2905" s="23" t="n">
        <x:v>0.00003477106135117638</x:v>
      </x:c>
      <x:c r="I2905" s="23" t="n">
        <x:v>0.9765522095328418</x:v>
      </x:c>
      <x:c r="J2905" s="2" t="n">
        <x:v>61</x:v>
      </x:c>
      <x:c r="K2905" s="2"/>
      <x:c r="L2905" s="2"/>
    </x:row>
    <x:row r="2906" ht="22" customHeight="1">
      <x:c r="A2906" s="2"/>
      <x:c r="B2906" s="2" t="n">
        <x:v>2873</x:v>
      </x:c>
      <x:c r="C2906" s="2" t="str">
        <x:v>20850</x:v>
      </x:c>
      <x:c r="D2906" s="2" t="str">
        <x:v>ZINC HEART LATTICE PLANTER BOWL</x:v>
      </x:c>
      <x:c r="E2906" s="11" t="n">
        <x:v>713.8000000000001</x:v>
      </x:c>
      <x:c r="F2906" s="11" t="n">
        <x:v>0</x:v>
      </x:c>
      <x:c r="G2906" s="11" t="n">
        <x:v>713.8000000000001</x:v>
      </x:c>
      <x:c r="H2906" s="23" t="n">
        <x:v>0.00003476229529184249</x:v>
      </x:c>
      <x:c r="I2906" s="23" t="n">
        <x:v>0.9765869718281337</x:v>
      </x:c>
      <x:c r="J2906" s="2" t="n">
        <x:v>23</x:v>
      </x:c>
      <x:c r="K2906" s="2"/>
      <x:c r="L2906" s="2"/>
    </x:row>
    <x:row r="2907" ht="22" customHeight="1">
      <x:c r="A2907" s="2"/>
      <x:c r="B2907" s="2" t="n">
        <x:v>2874</x:v>
      </x:c>
      <x:c r="C2907" s="2" t="str">
        <x:v>22100</x:v>
      </x:c>
      <x:c r="D2907" s="2" t="str">
        <x:v>SKULLS SQUARE TISSUE BOX</x:v>
      </x:c>
      <x:c r="E2907" s="11" t="n">
        <x:v>713.64</x:v>
      </x:c>
      <x:c r="F2907" s="11" t="n">
        <x:v>0</x:v>
      </x:c>
      <x:c r="G2907" s="11" t="n">
        <x:v>713.64</x:v>
      </x:c>
      <x:c r="H2907" s="23" t="n">
        <x:v>0.00003475450323910125</x:v>
      </x:c>
      <x:c r="I2907" s="23" t="n">
        <x:v>0.9766217263313728</x:v>
      </x:c>
      <x:c r="J2907" s="2" t="n">
        <x:v>127</x:v>
      </x:c>
      <x:c r="K2907" s="2"/>
      <x:c r="L2907" s="2"/>
    </x:row>
    <x:row r="2908" ht="22" customHeight="1">
      <x:c r="A2908" s="2"/>
      <x:c r="B2908" s="2" t="n">
        <x:v>2875</x:v>
      </x:c>
      <x:c r="C2908" s="2" t="str">
        <x:v>21379</x:v>
      </x:c>
      <x:c r="D2908" s="2" t="str">
        <x:v>CAMPHOR WOOD PORTOBELLO MUSHROOM</x:v>
      </x:c>
      <x:c r="E2908" s="11" t="n">
        <x:v>712.96</x:v>
      </x:c>
      <x:c r="F2908" s="11" t="n">
        <x:v>0</x:v>
      </x:c>
      <x:c r="G2908" s="11" t="n">
        <x:v>712.96</x:v>
      </x:c>
      <x:c r="H2908" s="23" t="n">
        <x:v>0.00003472138701495099</x:v>
      </x:c>
      <x:c r="I2908" s="23" t="n">
        <x:v>0.9766564477183878</x:v>
      </x:c>
      <x:c r="J2908" s="2" t="n">
        <x:v>125</x:v>
      </x:c>
      <x:c r="K2908" s="2"/>
      <x:c r="L2908" s="2"/>
    </x:row>
    <x:row r="2909" ht="22" customHeight="1">
      <x:c r="A2909" s="2"/>
      <x:c r="B2909" s="2" t="n">
        <x:v>2876</x:v>
      </x:c>
      <x:c r="C2909" s="2" t="str">
        <x:v>23042</x:v>
      </x:c>
      <x:c r="D2909" s="2" t="str">
        <x:v>PAPER LANTERN 7 POINT SNOW STAR</x:v>
      </x:c>
      <x:c r="E2909" s="11" t="n">
        <x:v>711.51</x:v>
      </x:c>
      <x:c r="F2909" s="11" t="n">
        <x:v>66.5</x:v>
      </x:c>
      <x:c r="G2909" s="11" t="n">
        <x:v>645.01</x:v>
      </x:c>
      <x:c r="H2909" s="23" t="n">
        <x:v>0.000034650771536983534</x:v>
      </x:c>
      <x:c r="I2909" s="23" t="n">
        <x:v>0.9766910984899247</x:v>
      </x:c>
      <x:c r="J2909" s="2" t="n">
        <x:v>28</x:v>
      </x:c>
      <x:c r="K2909" s="2"/>
      <x:c r="L2909" s="2"/>
    </x:row>
    <x:row r="2910" ht="22" customHeight="1">
      <x:c r="A2910" s="2"/>
      <x:c r="B2910" s="2" t="n">
        <x:v>2877</x:v>
      </x:c>
      <x:c r="C2910" s="2" t="str">
        <x:v>16015</x:v>
      </x:c>
      <x:c r="D2910" s="2" t="str">
        <x:v>MEDIUM CHINESE STYLE SCISSOR</x:v>
      </x:c>
      <x:c r="E2910" s="11" t="n">
        <x:v>711.38</x:v>
      </x:c>
      <x:c r="F2910" s="11" t="n">
        <x:v>0</x:v>
      </x:c>
      <x:c r="G2910" s="11" t="n">
        <x:v>711.38</x:v>
      </x:c>
      <x:c r="H2910" s="23" t="n">
        <x:v>0.00003464444049413128</x:v>
      </x:c>
      <x:c r="I2910" s="23" t="n">
        <x:v>0.9767257429304189</x:v>
      </x:c>
      <x:c r="J2910" s="2" t="n">
        <x:v>65</x:v>
      </x:c>
      <x:c r="K2910" s="2"/>
      <x:c r="L2910" s="2"/>
    </x:row>
    <x:row r="2911" ht="22" customHeight="1">
      <x:c r="A2911" s="2"/>
      <x:c r="B2911" s="2" t="n">
        <x:v>2878</x:v>
      </x:c>
      <x:c r="C2911" s="2" t="str">
        <x:v>22345</x:v>
      </x:c>
      <x:c r="D2911" s="2" t="str">
        <x:v>PARTY PIZZA DISH BLUE POLKADOT</x:v>
      </x:c>
      <x:c r="E2911" s="11" t="n">
        <x:v>711.17</x:v>
      </x:c>
      <x:c r="F2911" s="11" t="n">
        <x:v>15.299999999999999</x:v>
      </x:c>
      <x:c r="G2911" s="11" t="n">
        <x:v>695.87</x:v>
      </x:c>
      <x:c r="H2911" s="23" t="n">
        <x:v>0.0000346342134249084</x:v>
      </x:c>
      <x:c r="I2911" s="23" t="n">
        <x:v>0.9767603771438438</x:v>
      </x:c>
      <x:c r="J2911" s="2" t="n">
        <x:v>128</x:v>
      </x:c>
      <x:c r="K2911" s="2"/>
      <x:c r="L2911" s="2"/>
    </x:row>
    <x:row r="2912" ht="22" customHeight="1">
      <x:c r="A2912" s="2"/>
      <x:c r="B2912" s="2" t="n">
        <x:v>2879</x:v>
      </x:c>
      <x:c r="C2912" s="2" t="str">
        <x:v>23070</x:v>
      </x:c>
      <x:c r="D2912" s="2" t="str">
        <x:v>EDWARDIAN HEART PHOTO FRAME</x:v>
      </x:c>
      <x:c r="E2912" s="11" t="n">
        <x:v>709.5400000000001</x:v>
      </x:c>
      <x:c r="F2912" s="11" t="n">
        <x:v>0</x:v>
      </x:c>
      <x:c r="G2912" s="11" t="n">
        <x:v>709.5400000000001</x:v>
      </x:c>
      <x:c r="H2912" s="23" t="n">
        <x:v>0.00003455483188760706</x:v>
      </x:c>
      <x:c r="I2912" s="23" t="n">
        <x:v>0.9767949319757314</x:v>
      </x:c>
      <x:c r="J2912" s="2" t="n">
        <x:v>44</x:v>
      </x:c>
      <x:c r="K2912" s="2"/>
      <x:c r="L2912" s="2"/>
    </x:row>
    <x:row r="2913" ht="22" customHeight="1">
      <x:c r="A2913" s="2"/>
      <x:c r="B2913" s="2" t="n">
        <x:v>2880</x:v>
      </x:c>
      <x:c r="C2913" s="2" t="str">
        <x:v>21442</x:v>
      </x:c>
      <x:c r="D2913" s="2" t="str">
        <x:v>GREEN BIRDHOUSE DECORATION</x:v>
      </x:c>
      <x:c r="E2913" s="11" t="n">
        <x:v>708.37</x:v>
      </x:c>
      <x:c r="F2913" s="11" t="n">
        <x:v>0</x:v>
      </x:c>
      <x:c r="G2913" s="11" t="n">
        <x:v>708.37</x:v>
      </x:c>
      <x:c r="H2913" s="23" t="n">
        <x:v>0.000034497852501936765</x:v>
      </x:c>
      <x:c r="I2913" s="23" t="n">
        <x:v>0.9768294298282334</x:v>
      </x:c>
      <x:c r="J2913" s="2" t="n">
        <x:v>136</x:v>
      </x:c>
      <x:c r="K2913" s="2"/>
      <x:c r="L2913" s="2"/>
    </x:row>
    <x:row r="2914" ht="22" customHeight="1">
      <x:c r="A2914" s="2"/>
      <x:c r="B2914" s="2" t="n">
        <x:v>2881</x:v>
      </x:c>
      <x:c r="C2914" s="2" t="str">
        <x:v>21365</x:v>
      </x:c>
      <x:c r="D2914" s="2" t="str">
        <x:v>MIRRORED WALL ART STARS</x:v>
      </x:c>
      <x:c r="E2914" s="11" t="n">
        <x:v>707.9200000000001</x:v>
      </x:c>
      <x:c r="F2914" s="11" t="n">
        <x:v>0</x:v>
      </x:c>
      <x:c r="G2914" s="11" t="n">
        <x:v>707.9200000000001</x:v>
      </x:c>
      <x:c r="H2914" s="23" t="n">
        <x:v>0.000034475937353602036</x:v>
      </x:c>
      <x:c r="I2914" s="23" t="n">
        <x:v>0.976863905765587</x:v>
      </x:c>
      <x:c r="J2914" s="2" t="n">
        <x:v>77</x:v>
      </x:c>
      <x:c r="K2914" s="2"/>
      <x:c r="L2914" s="2"/>
    </x:row>
    <x:row r="2915" ht="22" customHeight="1">
      <x:c r="A2915" s="2"/>
      <x:c r="B2915" s="2" t="n">
        <x:v>2882</x:v>
      </x:c>
      <x:c r="C2915" s="2" t="str">
        <x:v>21740</x:v>
      </x:c>
      <x:c r="D2915" s="2" t="str">
        <x:v>COSY SLIPPER SHOES LARGE RED</x:v>
      </x:c>
      <x:c r="E2915" s="11" t="n">
        <x:v>706.86</x:v>
      </x:c>
      <x:c r="F2915" s="11" t="n">
        <x:v>0</x:v>
      </x:c>
      <x:c r="G2915" s="11" t="n">
        <x:v>706.86</x:v>
      </x:c>
      <x:c r="H2915" s="23" t="n">
        <x:v>0.00003442431500419134</x:v>
      </x:c>
      <x:c r="I2915" s="23" t="n">
        <x:v>0.9768983300805912</x:v>
      </x:c>
      <x:c r="J2915" s="2" t="n">
        <x:v>66</x:v>
      </x:c>
      <x:c r="K2915" s="2"/>
      <x:c r="L2915" s="2"/>
    </x:row>
    <x:row r="2916" ht="22" customHeight="1">
      <x:c r="A2916" s="2"/>
      <x:c r="B2916" s="2" t="n">
        <x:v>2883</x:v>
      </x:c>
      <x:c r="C2916" s="2" t="str">
        <x:v>21308</x:v>
      </x:c>
      <x:c r="D2916" s="2" t="str">
        <x:v>LOUVRE VANITY MIRROR</x:v>
      </x:c>
      <x:c r="E2916" s="11" t="n">
        <x:v>705.9</x:v>
      </x:c>
      <x:c r="F2916" s="11" t="n">
        <x:v>15.9</x:v>
      </x:c>
      <x:c r="G2916" s="11" t="n">
        <x:v>690</x:v>
      </x:c>
      <x:c r="H2916" s="23" t="n">
        <x:v>0.00003437756268774392</x:v>
      </x:c>
      <x:c r="I2916" s="23" t="n">
        <x:v>0.976932707643279</x:v>
      </x:c>
      <x:c r="J2916" s="2" t="n">
        <x:v>6</x:v>
      </x:c>
      <x:c r="K2916" s="2"/>
      <x:c r="L2916" s="2"/>
    </x:row>
    <x:row r="2917" ht="22" customHeight="1">
      <x:c r="A2917" s="2"/>
      <x:c r="B2917" s="2" t="n">
        <x:v>2884</x:v>
      </x:c>
      <x:c r="C2917" s="2" t="str">
        <x:v>21386</x:v>
      </x:c>
      <x:c r="D2917" s="2" t="str">
        <x:v>IVORY HANGING DECORATION  EGG</x:v>
      </x:c>
      <x:c r="E2917" s="11" t="n">
        <x:v>705.74</x:v>
      </x:c>
      <x:c r="F2917" s="11" t="n">
        <x:v>0</x:v>
      </x:c>
      <x:c r="G2917" s="11" t="n">
        <x:v>705.74</x:v>
      </x:c>
      <x:c r="H2917" s="23" t="n">
        <x:v>0.000034369770635002686</x:v>
      </x:c>
      <x:c r="I2917" s="23" t="n">
        <x:v>0.976967077413914</x:v>
      </x:c>
      <x:c r="J2917" s="2" t="n">
        <x:v>105</x:v>
      </x:c>
      <x:c r="K2917" s="2"/>
      <x:c r="L2917" s="2"/>
    </x:row>
    <x:row r="2918" ht="22" customHeight="1">
      <x:c r="A2918" s="2"/>
      <x:c r="B2918" s="2" t="n">
        <x:v>2885</x:v>
      </x:c>
      <x:c r="C2918" s="2" t="str">
        <x:v>21265</x:v>
      </x:c>
      <x:c r="D2918" s="2" t="str">
        <x:v>PINK GOOSE FEATHER TREE 60CM</x:v>
      </x:c>
      <x:c r="E2918" s="11" t="n">
        <x:v>705.59</x:v>
      </x:c>
      <x:c r="F2918" s="11" t="n">
        <x:v>55</x:v>
      </x:c>
      <x:c r="G2918" s="11" t="n">
        <x:v>650.59</x:v>
      </x:c>
      <x:c r="H2918" s="23" t="n">
        <x:v>0.00003436246558555777</x:v>
      </x:c>
      <x:c r="I2918" s="23" t="n">
        <x:v>0.9770014398794995</x:v>
      </x:c>
      <x:c r="J2918" s="2" t="n">
        <x:v>34</x:v>
      </x:c>
      <x:c r="K2918" s="2"/>
      <x:c r="L2918" s="2"/>
    </x:row>
    <x:row r="2919" ht="22" customHeight="1">
      <x:c r="A2919" s="2"/>
      <x:c r="B2919" s="2" t="n">
        <x:v>2886</x:v>
      </x:c>
      <x:c r="C2919" s="2" t="str">
        <x:v>22981</x:v>
      </x:c>
      <x:c r="D2919" s="2" t="str">
        <x:v>PANTRY APPLE CORER</x:v>
      </x:c>
      <x:c r="E2919" s="11" t="n">
        <x:v>705.5799999999999</x:v>
      </x:c>
      <x:c r="F2919" s="11" t="n">
        <x:v>8.7</x:v>
      </x:c>
      <x:c r="G2919" s="11" t="n">
        <x:v>696.88</x:v>
      </x:c>
      <x:c r="H2919" s="23" t="n">
        <x:v>0.000034361978582261446</x:v>
      </x:c>
      <x:c r="I2919" s="23" t="n">
        <x:v>0.9770358018580818</x:v>
      </x:c>
      <x:c r="J2919" s="2" t="n">
        <x:v>105</x:v>
      </x:c>
      <x:c r="K2919" s="2"/>
      <x:c r="L2919" s="2"/>
    </x:row>
    <x:row r="2920" ht="22" customHeight="1">
      <x:c r="A2920" s="2"/>
      <x:c r="B2920" s="2" t="n">
        <x:v>2887</x:v>
      </x:c>
      <x:c r="C2920" s="2" t="str">
        <x:v>22036</x:v>
      </x:c>
      <x:c r="D2920" s="2" t="str">
        <x:v>DINOSAUR BIRTHDAY CARD</x:v>
      </x:c>
      <x:c r="E2920" s="11" t="n">
        <x:v>705.19</x:v>
      </x:c>
      <x:c r="F2920" s="11" t="n">
        <x:v>27.3</x:v>
      </x:c>
      <x:c r="G2920" s="11" t="n">
        <x:v>677.89</x:v>
      </x:c>
      <x:c r="H2920" s="23" t="n">
        <x:v>0.000034342985453704686</x:v>
      </x:c>
      <x:c r="I2920" s="23" t="n">
        <x:v>0.9770701448435355</x:v>
      </x:c>
      <x:c r="J2920" s="2" t="n">
        <x:v>135</x:v>
      </x:c>
      <x:c r="K2920" s="2"/>
      <x:c r="L2920" s="2"/>
    </x:row>
    <x:row r="2921" ht="22" customHeight="1">
      <x:c r="A2921" s="2"/>
      <x:c r="B2921" s="2" t="n">
        <x:v>2888</x:v>
      </x:c>
      <x:c r="C2921" s="2" t="str">
        <x:v>84952C</x:v>
      </x:c>
      <x:c r="D2921" s="2" t="str">
        <x:v>MIRROR LOVE BIRD T-LIGHT HOLDER</x:v>
      </x:c>
      <x:c r="E2921" s="11" t="n">
        <x:v>705.01</x:v>
      </x:c>
      <x:c r="F2921" s="11" t="n">
        <x:v>0</x:v>
      </x:c>
      <x:c r="G2921" s="11" t="n">
        <x:v>705.01</x:v>
      </x:c>
      <x:c r="H2921" s="23" t="n">
        <x:v>0.00003433421939437079</x:v>
      </x:c>
      <x:c r="I2921" s="23" t="n">
        <x:v>0.9771044790629299</x:v>
      </x:c>
      <x:c r="J2921" s="2" t="n">
        <x:v>42</x:v>
      </x:c>
      <x:c r="K2921" s="2"/>
      <x:c r="L2921" s="2"/>
    </x:row>
    <x:row r="2922" ht="22" customHeight="1">
      <x:c r="A2922" s="2"/>
      <x:c r="B2922" s="2" t="n">
        <x:v>2889</x:v>
      </x:c>
      <x:c r="C2922" s="2" t="str">
        <x:v>22641</x:v>
      </x:c>
      <x:c r="D2922" s="2" t="str">
        <x:v>SET OF 4 NAPKIN CHARMS INSTRUMENT</x:v>
      </x:c>
      <x:c r="E2922" s="11" t="n">
        <x:v>704.9</x:v>
      </x:c>
      <x:c r="F2922" s="11" t="n">
        <x:v>0</x:v>
      </x:c>
      <x:c r="G2922" s="11" t="n">
        <x:v>704.9</x:v>
      </x:c>
      <x:c r="H2922" s="23" t="n">
        <x:v>0.00003432886235811119</x:v>
      </x:c>
      <x:c r="I2922" s="23" t="n">
        <x:v>0.977138807925288</x:v>
      </x:c>
      <x:c r="J2922" s="2" t="n">
        <x:v>69</x:v>
      </x:c>
      <x:c r="K2922" s="2"/>
      <x:c r="L2922" s="2"/>
    </x:row>
    <x:row r="2923" ht="22" customHeight="1">
      <x:c r="A2923" s="2"/>
      <x:c r="B2923" s="2" t="n">
        <x:v>2890</x:v>
      </x:c>
      <x:c r="C2923" s="2" t="str">
        <x:v>84869</x:v>
      </x:c>
      <x:c r="D2923" s="2" t="str">
        <x:v>damages</x:v>
      </x:c>
      <x:c r="E2923" s="11" t="n">
        <x:v>703.54</x:v>
      </x:c>
      <x:c r="F2923" s="11" t="n">
        <x:v>0</x:v>
      </x:c>
      <x:c r="G2923" s="11" t="n">
        <x:v>703.54</x:v>
      </x:c>
      <x:c r="H2923" s="23" t="n">
        <x:v>0.00003426262990981068</x:v>
      </x:c>
      <x:c r="I2923" s="23" t="n">
        <x:v>0.9771730705551978</x:v>
      </x:c>
      <x:c r="J2923" s="2" t="n">
        <x:v>26</x:v>
      </x:c>
      <x:c r="K2923" s="2"/>
      <x:c r="L2923" s="2"/>
    </x:row>
    <x:row r="2924" ht="22" customHeight="1">
      <x:c r="A2924" s="2"/>
      <x:c r="B2924" s="2" t="n">
        <x:v>2891</x:v>
      </x:c>
      <x:c r="C2924" s="2" t="str">
        <x:v>20763</x:v>
      </x:c>
      <x:c r="D2924" s="2" t="str">
        <x:v>DAISY SKETCHBOOK </x:v>
      </x:c>
      <x:c r="E2924" s="11" t="n">
        <x:v>702.86</x:v>
      </x:c>
      <x:c r="F2924" s="11" t="n">
        <x:v>15</x:v>
      </x:c>
      <x:c r="G2924" s="11" t="n">
        <x:v>687.86</x:v>
      </x:c>
      <x:c r="H2924" s="23" t="n">
        <x:v>0.00003422951368566042</x:v>
      </x:c>
      <x:c r="I2924" s="23" t="n">
        <x:v>0.9772073000688835</x:v>
      </x:c>
      <x:c r="J2924" s="2" t="n">
        <x:v>74</x:v>
      </x:c>
      <x:c r="K2924" s="2"/>
      <x:c r="L2924" s="2"/>
    </x:row>
    <x:row r="2925" ht="22" customHeight="1">
      <x:c r="A2925" s="2"/>
      <x:c r="B2925" s="2" t="n">
        <x:v>2892</x:v>
      </x:c>
      <x:c r="C2925" s="2" t="str">
        <x:v>84569A</x:v>
      </x:c>
      <x:c r="D2925" s="2" t="str">
        <x:v>PACK 3 IRON ON DOG PATCHES</x:v>
      </x:c>
      <x:c r="E2925" s="11" t="n">
        <x:v>702.42</x:v>
      </x:c>
      <x:c r="F2925" s="11" t="n">
        <x:v>1.25</x:v>
      </x:c>
      <x:c r="G2925" s="11" t="n">
        <x:v>701.17</x:v>
      </x:c>
      <x:c r="H2925" s="23" t="n">
        <x:v>0.00003420808554062202</x:v>
      </x:c>
      <x:c r="I2925" s="23" t="n">
        <x:v>0.9772415081544241</x:v>
      </x:c>
      <x:c r="J2925" s="2" t="n">
        <x:v>112</x:v>
      </x:c>
      <x:c r="K2925" s="2"/>
      <x:c r="L2925" s="2"/>
    </x:row>
    <x:row r="2926" ht="22" customHeight="1">
      <x:c r="A2926" s="2"/>
      <x:c r="B2926" s="2" t="n">
        <x:v>2893</x:v>
      </x:c>
      <x:c r="C2926" s="2" t="str">
        <x:v>84931B</x:v>
      </x:c>
      <x:c r="D2926" s="2" t="str">
        <x:v>BLUE SCOTTIE DOG W FLOWER PATTERN</x:v>
      </x:c>
      <x:c r="E2926" s="11" t="n">
        <x:v>701.48</x:v>
      </x:c>
      <x:c r="F2926" s="11" t="n">
        <x:v>7.6499999999999995</x:v>
      </x:c>
      <x:c r="G2926" s="11" t="n">
        <x:v>693.8299999999999</x:v>
      </x:c>
      <x:c r="H2926" s="23" t="n">
        <x:v>0.00003416230723076726</x:v>
      </x:c>
      <x:c r="I2926" s="23" t="n">
        <x:v>0.9772756704616549</x:v>
      </x:c>
      <x:c r="J2926" s="2" t="n">
        <x:v>83</x:v>
      </x:c>
      <x:c r="K2926" s="2"/>
      <x:c r="L2926" s="2"/>
    </x:row>
    <x:row r="2927" ht="22" customHeight="1">
      <x:c r="A2927" s="2"/>
      <x:c r="B2927" s="2" t="n">
        <x:v>2894</x:v>
      </x:c>
      <x:c r="C2927" s="2" t="str">
        <x:v>21674</x:v>
      </x:c>
      <x:c r="D2927" s="2" t="str">
        <x:v>RIDGED GLASS PENDANT LAMPSHADE</x:v>
      </x:c>
      <x:c r="E2927" s="11" t="n">
        <x:v>697.8</x:v>
      </x:c>
      <x:c r="F2927" s="11" t="n">
        <x:v>0</x:v>
      </x:c>
      <x:c r="G2927" s="11" t="n">
        <x:v>697.8</x:v>
      </x:c>
      <x:c r="H2927" s="23" t="n">
        <x:v>0.00003398309001771881</x:v>
      </x:c>
      <x:c r="I2927" s="23" t="n">
        <x:v>0.9773096535516725</x:v>
      </x:c>
      <x:c r="J2927" s="2" t="n">
        <x:v>9</x:v>
      </x:c>
      <x:c r="K2927" s="2"/>
      <x:c r="L2927" s="2"/>
    </x:row>
    <x:row r="2928" ht="22" customHeight="1">
      <x:c r="A2928" s="2"/>
      <x:c r="B2928" s="2" t="n">
        <x:v>2895</x:v>
      </x:c>
      <x:c r="C2928" s="2" t="str">
        <x:v>84584</x:v>
      </x:c>
      <x:c r="D2928" s="2" t="str">
        <x:v>PINK GINGHAM CAT WITH SCARF</x:v>
      </x:c>
      <x:c r="E2928" s="11" t="n">
        <x:v>696.75</x:v>
      </x:c>
      <x:c r="F2928" s="11" t="n">
        <x:v>0</x:v>
      </x:c>
      <x:c r="G2928" s="11" t="n">
        <x:v>696.75</x:v>
      </x:c>
      <x:c r="H2928" s="23" t="n">
        <x:v>0.00003393195467160444</x:v>
      </x:c>
      <x:c r="I2928" s="23" t="n">
        <x:v>0.9773435855063441</x:v>
      </x:c>
      <x:c r="J2928" s="2" t="n">
        <x:v>75</x:v>
      </x:c>
      <x:c r="K2928" s="2"/>
      <x:c r="L2928" s="2"/>
    </x:row>
    <x:row r="2929" ht="22" customHeight="1">
      <x:c r="A2929" s="2"/>
      <x:c r="B2929" s="2" t="n">
        <x:v>2896</x:v>
      </x:c>
      <x:c r="C2929" s="2" t="str">
        <x:v>72131</x:v>
      </x:c>
      <x:c r="D2929" s="2" t="str">
        <x:v>COLUMBIAN CANDLE RECTANGLE</x:v>
      </x:c>
      <x:c r="E2929" s="11" t="n">
        <x:v>696.18</x:v>
      </x:c>
      <x:c r="F2929" s="11" t="n">
        <x:v>31.2</x:v>
      </x:c>
      <x:c r="G2929" s="11" t="n">
        <x:v>664.98</x:v>
      </x:c>
      <x:c r="H2929" s="23" t="n">
        <x:v>0.00003390419548371378</x:v>
      </x:c>
      <x:c r="I2929" s="23" t="n">
        <x:v>0.9773774897018278</x:v>
      </x:c>
      <x:c r="J2929" s="2" t="n">
        <x:v>56</x:v>
      </x:c>
      <x:c r="K2929" s="2"/>
      <x:c r="L2929" s="2"/>
    </x:row>
    <x:row r="2930" ht="22" customHeight="1">
      <x:c r="A2930" s="2"/>
      <x:c r="B2930" s="2" t="n">
        <x:v>2897</x:v>
      </x:c>
      <x:c r="C2930" s="2" t="str">
        <x:v>85231E</x:v>
      </x:c>
      <x:c r="D2930" s="2" t="str">
        <x:v>STRAWBERRY SCENTED SET/9 T-LIGHTS</x:v>
      </x:c>
      <x:c r="E2930" s="11" t="n">
        <x:v>696.0799999999999</x:v>
      </x:c>
      <x:c r="F2930" s="11" t="n">
        <x:v>10.2</x:v>
      </x:c>
      <x:c r="G2930" s="11" t="n">
        <x:v>685.88</x:v>
      </x:c>
      <x:c r="H2930" s="23" t="n">
        <x:v>0.00003389932545075051</x:v>
      </x:c>
      <x:c r="I2930" s="23" t="n">
        <x:v>0.9774113890272785</x:v>
      </x:c>
      <x:c r="J2930" s="2" t="n">
        <x:v>106</x:v>
      </x:c>
      <x:c r="K2930" s="2"/>
      <x:c r="L2930" s="2"/>
    </x:row>
    <x:row r="2931" ht="22" customHeight="1">
      <x:c r="A2931" s="2"/>
      <x:c r="B2931" s="2" t="n">
        <x:v>2898</x:v>
      </x:c>
      <x:c r="C2931" s="2" t="str">
        <x:v>23120</x:v>
      </x:c>
      <x:c r="D2931" s="2" t="str">
        <x:v>PACK OF 6 SMALL FRUIT STRAWS</x:v>
      </x:c>
      <x:c r="E2931" s="11" t="n">
        <x:v>695.41</x:v>
      </x:c>
      <x:c r="F2931" s="11" t="n">
        <x:v>30.24</x:v>
      </x:c>
      <x:c r="G2931" s="11" t="n">
        <x:v>665.17</x:v>
      </x:c>
      <x:c r="H2931" s="23" t="n">
        <x:v>0.00003386669622989658</x:v>
      </x:c>
      <x:c r="I2931" s="23" t="n">
        <x:v>0.9774452557235084</x:v>
      </x:c>
      <x:c r="J2931" s="2" t="n">
        <x:v>100</x:v>
      </x:c>
      <x:c r="K2931" s="2"/>
      <x:c r="L2931" s="2"/>
    </x:row>
    <x:row r="2932" ht="22" customHeight="1">
      <x:c r="A2932" s="2"/>
      <x:c r="B2932" s="2" t="n">
        <x:v>2899</x:v>
      </x:c>
      <x:c r="C2932" s="2" t="str">
        <x:v>23187</x:v>
      </x:c>
      <x:c r="D2932" s="2" t="str">
        <x:v>check</x:v>
      </x:c>
      <x:c r="E2932" s="11" t="n">
        <x:v>695.06</x:v>
      </x:c>
      <x:c r="F2932" s="11" t="n">
        <x:v>16.49</x:v>
      </x:c>
      <x:c r="G2932" s="11" t="n">
        <x:v>678.5699999999999</x:v>
      </x:c>
      <x:c r="H2932" s="23" t="n">
        <x:v>0.000033849651114525124</x:v>
      </x:c>
      <x:c r="I2932" s="23" t="n">
        <x:v>0.9774791053746229</x:v>
      </x:c>
      <x:c r="J2932" s="2" t="n">
        <x:v>74</x:v>
      </x:c>
      <x:c r="K2932" s="2"/>
      <x:c r="L2932" s="2"/>
    </x:row>
    <x:row r="2933" ht="22" customHeight="1">
      <x:c r="A2933" s="2"/>
      <x:c r="B2933" s="2" t="n">
        <x:v>2900</x:v>
      </x:c>
      <x:c r="C2933" s="2" t="str">
        <x:v>20898</x:v>
      </x:c>
      <x:c r="D2933" s="2" t="str">
        <x:v>check</x:v>
      </x:c>
      <x:c r="E2933" s="11" t="n">
        <x:v>693.9200000000001</x:v>
      </x:c>
      <x:c r="F2933" s="11" t="n">
        <x:v>17.700000000000003</x:v>
      </x:c>
      <x:c r="G2933" s="11" t="n">
        <x:v>676.22</x:v>
      </x:c>
      <x:c r="H2933" s="23" t="n">
        <x:v>0.00003379413273874382</x:v>
      </x:c>
      <x:c r="I2933" s="23" t="n">
        <x:v>0.9775128995073616</x:v>
      </x:c>
      <x:c r="J2933" s="2" t="n">
        <x:v>53</x:v>
      </x:c>
      <x:c r="K2933" s="2"/>
      <x:c r="L2933" s="2"/>
    </x:row>
    <x:row r="2934" ht="22" customHeight="1">
      <x:c r="A2934" s="2"/>
      <x:c r="B2934" s="2" t="n">
        <x:v>2901</x:v>
      </x:c>
      <x:c r="C2934" s="2" t="str">
        <x:v>72755D</x:v>
      </x:c>
      <x:c r="D2934" s="2" t="str">
        <x:v>FLOWER FAIRY OIL BURNER SET SUMMER</x:v>
      </x:c>
      <x:c r="E2934" s="11" t="n">
        <x:v>693.25</x:v>
      </x:c>
      <x:c r="F2934" s="11" t="n">
        <x:v>0</x:v>
      </x:c>
      <x:c r="G2934" s="11" t="n">
        <x:v>693.25</x:v>
      </x:c>
      <x:c r="H2934" s="23" t="n">
        <x:v>0.00003376150351788989</x:v>
      </x:c>
      <x:c r="I2934" s="23" t="n">
        <x:v>0.9775466610108795</x:v>
      </x:c>
      <x:c r="J2934" s="2" t="n">
        <x:v>13</x:v>
      </x:c>
      <x:c r="K2934" s="2"/>
      <x:c r="L2934" s="2"/>
    </x:row>
    <x:row r="2935" ht="22" customHeight="1">
      <x:c r="A2935" s="2"/>
      <x:c r="B2935" s="2" t="n">
        <x:v>2902</x:v>
      </x:c>
      <x:c r="C2935" s="2" t="str">
        <x:v>20862</x:v>
      </x:c>
      <x:c r="D2935" s="2" t="str">
        <x:v>PINK PATCH PENCIL CASE BLUE HEART</x:v>
      </x:c>
      <x:c r="E2935" s="11" t="n">
        <x:v>691.1400000000001</x:v>
      </x:c>
      <x:c r="F2935" s="11" t="n">
        <x:v>2.1</x:v>
      </x:c>
      <x:c r="G2935" s="11" t="n">
        <x:v>689.0400000000001</x:v>
      </x:c>
      <x:c r="H2935" s="23" t="n">
        <x:v>0.000033658745822364834</x:v>
      </x:c>
      <x:c r="I2935" s="23" t="n">
        <x:v>0.9775803197567019</x:v>
      </x:c>
      <x:c r="J2935" s="2" t="n">
        <x:v>37</x:v>
      </x:c>
      <x:c r="K2935" s="2"/>
      <x:c r="L2935" s="2"/>
    </x:row>
    <x:row r="2936" ht="22" customHeight="1">
      <x:c r="A2936" s="2"/>
      <x:c r="B2936" s="2" t="n">
        <x:v>2903</x:v>
      </x:c>
      <x:c r="C2936" s="2" t="str">
        <x:v>35964</x:v>
      </x:c>
      <x:c r="D2936" s="2" t="str">
        <x:v>FOLKART CLIP ON STARS</x:v>
      </x:c>
      <x:c r="E2936" s="11" t="n">
        <x:v>690.93</x:v>
      </x:c>
      <x:c r="F2936" s="11" t="n">
        <x:v>0</x:v>
      </x:c>
      <x:c r="G2936" s="11" t="n">
        <x:v>690.93</x:v>
      </x:c>
      <x:c r="H2936" s="23" t="n">
        <x:v>0.00003364851875314195</x:v>
      </x:c>
      <x:c r="I2936" s="23" t="n">
        <x:v>0.977613968275455</x:v>
      </x:c>
      <x:c r="J2936" s="2" t="n">
        <x:v>132</x:v>
      </x:c>
      <x:c r="K2936" s="2"/>
      <x:c r="L2936" s="2"/>
    </x:row>
    <x:row r="2937" ht="22" customHeight="1">
      <x:c r="A2937" s="2"/>
      <x:c r="B2937" s="2" t="n">
        <x:v>2904</x:v>
      </x:c>
      <x:c r="C2937" s="2" t="str">
        <x:v>72753A</x:v>
      </x:c>
      <x:c r="D2937" s="2" t="str">
        <x:v>S/3 FLWR FAIRY LILLY CANDLES</x:v>
      </x:c>
      <x:c r="E2937" s="11" t="n">
        <x:v>690.24</x:v>
      </x:c>
      <x:c r="F2937" s="11" t="n">
        <x:v>0</x:v>
      </x:c>
      <x:c r="G2937" s="11" t="n">
        <x:v>690.24</x:v>
      </x:c>
      <x:c r="H2937" s="23" t="n">
        <x:v>0.000033614915525695376</x:v>
      </x:c>
      <x:c r="I2937" s="23" t="n">
        <x:v>0.9776475831909807</x:v>
      </x:c>
      <x:c r="J2937" s="2" t="n">
        <x:v>14</x:v>
      </x:c>
      <x:c r="K2937" s="2"/>
      <x:c r="L2937" s="2"/>
    </x:row>
    <x:row r="2938" ht="22" customHeight="1">
      <x:c r="A2938" s="2"/>
      <x:c r="B2938" s="2" t="n">
        <x:v>2905</x:v>
      </x:c>
      <x:c r="C2938" s="2" t="str">
        <x:v>17165D</x:v>
      </x:c>
      <x:c r="D2938" s="2" t="str">
        <x:v>ASS COL LARGE SAND FROG P'WEIGHT</x:v>
      </x:c>
      <x:c r="E2938" s="11" t="n">
        <x:v>689.6700000000001</x:v>
      </x:c>
      <x:c r="F2938" s="11" t="n">
        <x:v>6.300000000000001</x:v>
      </x:c>
      <x:c r="G2938" s="11" t="n">
        <x:v>683.37</x:v>
      </x:c>
      <x:c r="H2938" s="23" t="n">
        <x:v>0.00003358715633780472</x:v>
      </x:c>
      <x:c r="I2938" s="23" t="n">
        <x:v>0.9776811703473185</x:v>
      </x:c>
      <x:c r="J2938" s="2" t="n">
        <x:v>89</x:v>
      </x:c>
      <x:c r="K2938" s="2"/>
      <x:c r="L2938" s="2"/>
    </x:row>
    <x:row r="2939" ht="22" customHeight="1">
      <x:c r="A2939" s="2"/>
      <x:c r="B2939" s="2" t="n">
        <x:v>2906</x:v>
      </x:c>
      <x:c r="C2939" s="2" t="str">
        <x:v>22034</x:v>
      </x:c>
      <x:c r="D2939" s="2" t="str">
        <x:v>ROBIN CHRISTMAS CARD</x:v>
      </x:c>
      <x:c r="E2939" s="11" t="n">
        <x:v>688.61</x:v>
      </x:c>
      <x:c r="F2939" s="11" t="n">
        <x:v>10.08</x:v>
      </x:c>
      <x:c r="G2939" s="11" t="n">
        <x:v>678.53</x:v>
      </x:c>
      <x:c r="H2939" s="23" t="n">
        <x:v>0.000033535533988394026</x:v>
      </x:c>
      <x:c r="I2939" s="23" t="n">
        <x:v>0.9777147058813069</x:v>
      </x:c>
      <x:c r="J2939" s="2" t="n">
        <x:v>94</x:v>
      </x:c>
      <x:c r="K2939" s="2"/>
      <x:c r="L2939" s="2"/>
    </x:row>
    <x:row r="2940" ht="22" customHeight="1">
      <x:c r="A2940" s="2"/>
      <x:c r="B2940" s="2" t="n">
        <x:v>2907</x:v>
      </x:c>
      <x:c r="C2940" s="2" t="str">
        <x:v>90161D</x:v>
      </x:c>
      <x:c r="D2940" s="2" t="str">
        <x:v>ANT COPPER PINK BOUDICCA BRACELET</x:v>
      </x:c>
      <x:c r="E2940" s="11" t="n">
        <x:v>687.52</x:v>
      </x:c>
      <x:c r="F2940" s="11" t="n">
        <x:v>0</x:v>
      </x:c>
      <x:c r="G2940" s="11" t="n">
        <x:v>687.52</x:v>
      </x:c>
      <x:c r="H2940" s="23" t="n">
        <x:v>0.000033482450629094345</x:v>
      </x:c>
      <x:c r="I2940" s="23" t="n">
        <x:v>0.977748188331936</x:v>
      </x:c>
      <x:c r="J2940" s="2" t="n">
        <x:v>75</x:v>
      </x:c>
      <x:c r="K2940" s="2"/>
      <x:c r="L2940" s="2"/>
    </x:row>
    <x:row r="2941" ht="22" customHeight="1">
      <x:c r="A2941" s="2"/>
      <x:c r="B2941" s="2" t="n">
        <x:v>2908</x:v>
      </x:c>
      <x:c r="C2941" s="2" t="str">
        <x:v>22033</x:v>
      </x:c>
      <x:c r="D2941" s="2" t="str">
        <x:v>BOTANICAL ROSE GREETING CARD</x:v>
      </x:c>
      <x:c r="E2941" s="11" t="n">
        <x:v>686.97</x:v>
      </x:c>
      <x:c r="F2941" s="11" t="n">
        <x:v>0</x:v>
      </x:c>
      <x:c r="G2941" s="11" t="n">
        <x:v>686.97</x:v>
      </x:c>
      <x:c r="H2941" s="23" t="n">
        <x:v>0.000033455665447796344</x:v>
      </x:c>
      <x:c r="I2941" s="23" t="n">
        <x:v>0.9777816439973838</x:v>
      </x:c>
      <x:c r="J2941" s="2" t="n">
        <x:v>128</x:v>
      </x:c>
      <x:c r="K2941" s="2"/>
      <x:c r="L2941" s="2"/>
    </x:row>
    <x:row r="2942" ht="22" customHeight="1">
      <x:c r="A2942" s="2"/>
      <x:c r="B2942" s="2" t="n">
        <x:v>2909</x:v>
      </x:c>
      <x:c r="C2942" s="2" t="str">
        <x:v>84917</x:v>
      </x:c>
      <x:c r="D2942" s="2" t="str">
        <x:v>WHITE HAND TOWEL WITH BUTTERFLY</x:v>
      </x:c>
      <x:c r="E2942" s="11" t="n">
        <x:v>686.03</x:v>
      </x:c>
      <x:c r="F2942" s="11" t="n">
        <x:v>0</x:v>
      </x:c>
      <x:c r="G2942" s="11" t="n">
        <x:v>686.03</x:v>
      </x:c>
      <x:c r="H2942" s="23" t="n">
        <x:v>0.000033409887137941577</x:v>
      </x:c>
      <x:c r="I2942" s="23" t="n">
        <x:v>0.9778150538845217</x:v>
      </x:c>
      <x:c r="J2942" s="2" t="n">
        <x:v>53</x:v>
      </x:c>
      <x:c r="K2942" s="2"/>
      <x:c r="L2942" s="2"/>
    </x:row>
    <x:row r="2943" ht="22" customHeight="1">
      <x:c r="A2943" s="2"/>
      <x:c r="B2943" s="2" t="n">
        <x:v>2910</x:v>
      </x:c>
      <x:c r="C2943" s="2" t="str">
        <x:v>84986B</x:v>
      </x:c>
      <x:c r="D2943" s="2" t="str">
        <x:v>SET OF 36 SILVER PAPER DOILIES</x:v>
      </x:c>
      <x:c r="E2943" s="11" t="n">
        <x:v>685.4599999999999</x:v>
      </x:c>
      <x:c r="F2943" s="11" t="n">
        <x:v>0</x:v>
      </x:c>
      <x:c r="G2943" s="11" t="n">
        <x:v>685.4599999999999</x:v>
      </x:c>
      <x:c r="H2943" s="23" t="n">
        <x:v>0.00003338212795005092</x:v>
      </x:c>
      <x:c r="I2943" s="23" t="n">
        <x:v>0.9778484360124717</x:v>
      </x:c>
      <x:c r="J2943" s="2" t="n">
        <x:v>75</x:v>
      </x:c>
      <x:c r="K2943" s="2"/>
      <x:c r="L2943" s="2"/>
    </x:row>
    <x:row r="2944" ht="22" customHeight="1">
      <x:c r="A2944" s="2"/>
      <x:c r="B2944" s="2" t="n">
        <x:v>2911</x:v>
      </x:c>
      <x:c r="C2944" s="2" t="str">
        <x:v>84563A</x:v>
      </x:c>
      <x:c r="D2944" s="2" t="str">
        <x:v>damaged</x:v>
      </x:c>
      <x:c r="E2944" s="11" t="n">
        <x:v>685.15</x:v>
      </x:c>
      <x:c r="F2944" s="11" t="n">
        <x:v>0</x:v>
      </x:c>
      <x:c r="G2944" s="11" t="n">
        <x:v>685.15</x:v>
      </x:c>
      <x:c r="H2944" s="23" t="n">
        <x:v>0.00003336703084786478</x:v>
      </x:c>
      <x:c r="I2944" s="23" t="n">
        <x:v>0.9778818030433196</x:v>
      </x:c>
      <x:c r="J2944" s="2" t="n">
        <x:v>62</x:v>
      </x:c>
      <x:c r="K2944" s="2"/>
      <x:c r="L2944" s="2"/>
    </x:row>
    <x:row r="2945" ht="22" customHeight="1">
      <x:c r="A2945" s="2"/>
      <x:c r="B2945" s="2" t="n">
        <x:v>2912</x:v>
      </x:c>
      <x:c r="C2945" s="2" t="str">
        <x:v>23597</x:v>
      </x:c>
      <x:c r="D2945" s="2" t="str">
        <x:v>PAPER BUNTING PAISLEY PARK</x:v>
      </x:c>
      <x:c r="E2945" s="11" t="n">
        <x:v>684.97</x:v>
      </x:c>
      <x:c r="F2945" s="11" t="n">
        <x:v>17.700000000000003</x:v>
      </x:c>
      <x:c r="G2945" s="11" t="n">
        <x:v>667.27</x:v>
      </x:c>
      <x:c r="H2945" s="23" t="n">
        <x:v>0.000033358264788530886</x:v>
      </x:c>
      <x:c r="I2945" s="23" t="n">
        <x:v>0.9779151613081082</x:v>
      </x:c>
      <x:c r="J2945" s="2" t="n">
        <x:v>31</x:v>
      </x:c>
      <x:c r="K2945" s="2"/>
      <x:c r="L2945" s="2"/>
    </x:row>
    <x:row r="2946" ht="22" customHeight="1">
      <x:c r="A2946" s="2"/>
      <x:c r="B2946" s="2" t="n">
        <x:v>2913</x:v>
      </x:c>
      <x:c r="C2946" s="2" t="str">
        <x:v>85084</x:v>
      </x:c>
      <x:c r="D2946" s="2" t="str">
        <x:v>HOLLY TOP CHRISTMAS STOCKING</x:v>
      </x:c>
      <x:c r="E2946" s="11" t="n">
        <x:v>683.0999999999999</x:v>
      </x:c>
      <x:c r="F2946" s="11" t="n">
        <x:v>0</x:v>
      </x:c>
      <x:c r="G2946" s="11" t="n">
        <x:v>683.0999999999999</x:v>
      </x:c>
      <x:c r="H2946" s="23" t="n">
        <x:v>0.000033267195172117676</x:v>
      </x:c>
      <x:c r="I2946" s="23" t="n">
        <x:v>0.9779484285032803</x:v>
      </x:c>
      <x:c r="J2946" s="2" t="n">
        <x:v>84</x:v>
      </x:c>
      <x:c r="K2946" s="2"/>
      <x:c r="L2946" s="2"/>
    </x:row>
    <x:row r="2947" ht="22" customHeight="1">
      <x:c r="A2947" s="2"/>
      <x:c r="B2947" s="2" t="n">
        <x:v>2914</x:v>
      </x:c>
      <x:c r="C2947" s="2" t="str">
        <x:v>37492D</x:v>
      </x:c>
      <x:c r="D2947" s="2" t="str">
        <x:v>PURPLE GREEN FLOWER PIGGY BANK</x:v>
      </x:c>
      <x:c r="E2947" s="11" t="n">
        <x:v>682.9899999999999</x:v>
      </x:c>
      <x:c r="F2947" s="11" t="n">
        <x:v>13.2</x:v>
      </x:c>
      <x:c r="G2947" s="11" t="n">
        <x:v>669.79</x:v>
      </x:c>
      <x:c r="H2947" s="23" t="n">
        <x:v>0.00003326183813585808</x:v>
      </x:c>
      <x:c r="I2947" s="23" t="n">
        <x:v>0.9779816903414162</x:v>
      </x:c>
      <x:c r="J2947" s="2" t="n">
        <x:v>26</x:v>
      </x:c>
      <x:c r="K2947" s="2"/>
      <x:c r="L2947" s="2"/>
    </x:row>
    <x:row r="2948" ht="22" customHeight="1">
      <x:c r="A2948" s="2"/>
      <x:c r="B2948" s="2" t="n">
        <x:v>2915</x:v>
      </x:c>
      <x:c r="C2948" s="2" t="str">
        <x:v>85023B</x:v>
      </x:c>
      <x:c r="D2948" s="2" t="str">
        <x:v>EAU DE NILE JEWELLED PHOTOFRAME</x:v>
      </x:c>
      <x:c r="E2948" s="11" t="n">
        <x:v>682.35</x:v>
      </x:c>
      <x:c r="F2948" s="11" t="n">
        <x:v>156.3</x:v>
      </x:c>
      <x:c r="G2948" s="11" t="n">
        <x:v>526.05</x:v>
      </x:c>
      <x:c r="H2948" s="23" t="n">
        <x:v>0.00003323066992489313</x:v>
      </x:c>
      <x:c r="I2948" s="23" t="n">
        <x:v>0.9780149210113411</x:v>
      </x:c>
      <x:c r="J2948" s="2" t="n">
        <x:v>38</x:v>
      </x:c>
      <x:c r="K2948" s="2"/>
      <x:c r="L2948" s="2"/>
    </x:row>
    <x:row r="2949" ht="22" customHeight="1">
      <x:c r="A2949" s="2"/>
      <x:c r="B2949" s="2" t="n">
        <x:v>2916</x:v>
      </x:c>
      <x:c r="C2949" s="2" t="str">
        <x:v>85096</x:v>
      </x:c>
      <x:c r="D2949" s="2" t="str">
        <x:v>HILDA CANDY SPOT RABBIT</x:v>
      </x:c>
      <x:c r="E2949" s="11" t="n">
        <x:v>680.67</x:v>
      </x:c>
      <x:c r="F2949" s="11" t="n">
        <x:v>3.75</x:v>
      </x:c>
      <x:c r="G2949" s="11" t="n">
        <x:v>676.92</x:v>
      </x:c>
      <x:c r="H2949" s="23" t="n">
        <x:v>0.00003314885337111015</x:v>
      </x:c>
      <x:c r="I2949" s="23" t="n">
        <x:v>0.9780480698647123</x:v>
      </x:c>
      <x:c r="J2949" s="2" t="n">
        <x:v>66</x:v>
      </x:c>
      <x:c r="K2949" s="2"/>
      <x:c r="L2949" s="2"/>
    </x:row>
    <x:row r="2950" ht="22" customHeight="1">
      <x:c r="A2950" s="2"/>
      <x:c r="B2950" s="2" t="n">
        <x:v>2917</x:v>
      </x:c>
      <x:c r="C2950" s="2" t="str">
        <x:v>17012F</x:v>
      </x:c>
      <x:c r="D2950" s="2" t="str">
        <x:v>ORIGAMI SANDLEWOOD INCENSE/CAND SET</x:v>
      </x:c>
      <x:c r="E2950" s="11" t="n">
        <x:v>680.65</x:v>
      </x:c>
      <x:c r="F2950" s="11" t="n">
        <x:v>0</x:v>
      </x:c>
      <x:c r="G2950" s="11" t="n">
        <x:v>680.65</x:v>
      </x:c>
      <x:c r="H2950" s="23" t="n">
        <x:v>0.000033147879364517496</x:v>
      </x:c>
      <x:c r="I2950" s="23" t="n">
        <x:v>0.9780812177440767</x:v>
      </x:c>
      <x:c r="J2950" s="2" t="n">
        <x:v>107</x:v>
      </x:c>
      <x:c r="K2950" s="2"/>
      <x:c r="L2950" s="2"/>
    </x:row>
    <x:row r="2951" ht="22" customHeight="1">
      <x:c r="A2951" s="2"/>
      <x:c r="B2951" s="2" t="n">
        <x:v>2918</x:v>
      </x:c>
      <x:c r="C2951" s="2" t="str">
        <x:v>47594A</x:v>
      </x:c>
      <x:c r="D2951" s="2" t="str">
        <x:v>CAROUSEL DESIGN WASHBAG</x:v>
      </x:c>
      <x:c r="E2951" s="11" t="n">
        <x:v>678.3</x:v>
      </x:c>
      <x:c r="F2951" s="11" t="n">
        <x:v>44.85</x:v>
      </x:c>
      <x:c r="G2951" s="11" t="n">
        <x:v>633.4499999999999</x:v>
      </x:c>
      <x:c r="H2951" s="23" t="n">
        <x:v>0.00003303343358988058</x:v>
      </x:c>
      <x:c r="I2951" s="23" t="n">
        <x:v>0.9781142511776666</x:v>
      </x:c>
      <x:c r="J2951" s="2" t="n">
        <x:v>105</x:v>
      </x:c>
      <x:c r="K2951" s="2"/>
      <x:c r="L2951" s="2"/>
    </x:row>
    <x:row r="2952" ht="22" customHeight="1">
      <x:c r="A2952" s="2"/>
      <x:c r="B2952" s="2" t="n">
        <x:v>2919</x:v>
      </x:c>
      <x:c r="C2952" s="2" t="str">
        <x:v>62094B</x:v>
      </x:c>
      <x:c r="D2952" s="2" t="str">
        <x:v>TURQ ICE CREAM BUM BAG </x:v>
      </x:c>
      <x:c r="E2952" s="11" t="n">
        <x:v>677.99</x:v>
      </x:c>
      <x:c r="F2952" s="11" t="n">
        <x:v>0</x:v>
      </x:c>
      <x:c r="G2952" s="11" t="n">
        <x:v>677.99</x:v>
      </x:c>
      <x:c r="H2952" s="23" t="n">
        <x:v>0.00003301833648769443</x:v>
      </x:c>
      <x:c r="I2952" s="23" t="n">
        <x:v>0.9781472695141543</x:v>
      </x:c>
      <x:c r="J2952" s="2" t="n">
        <x:v>67</x:v>
      </x:c>
      <x:c r="K2952" s="2"/>
      <x:c r="L2952" s="2"/>
    </x:row>
    <x:row r="2953" ht="22" customHeight="1">
      <x:c r="A2953" s="2"/>
      <x:c r="B2953" s="2" t="n">
        <x:v>2920</x:v>
      </x:c>
      <x:c r="C2953" s="2" t="str">
        <x:v>84925D</x:v>
      </x:c>
      <x:c r="D2953" s="2" t="str">
        <x:v>LA PALMIERA WALL THERMOMETER</x:v>
      </x:c>
      <x:c r="E2953" s="11" t="n">
        <x:v>677.45</x:v>
      </x:c>
      <x:c r="F2953" s="11" t="n">
        <x:v>93</x:v>
      </x:c>
      <x:c r="G2953" s="11" t="n">
        <x:v>584.4499999999999</x:v>
      </x:c>
      <x:c r="H2953" s="23" t="n">
        <x:v>0.000032992038309692765</x:v>
      </x:c>
      <x:c r="I2953" s="23" t="n">
        <x:v>0.978180261552464</x:v>
      </x:c>
      <x:c r="J2953" s="2" t="n">
        <x:v>26</x:v>
      </x:c>
      <x:c r="K2953" s="2"/>
      <x:c r="L2953" s="2"/>
    </x:row>
    <x:row r="2954" ht="22" customHeight="1">
      <x:c r="A2954" s="2"/>
      <x:c r="B2954" s="2" t="n">
        <x:v>2921</x:v>
      </x:c>
      <x:c r="C2954" s="2" t="str">
        <x:v>90082D</x:v>
      </x:c>
      <x:c r="D2954" s="2" t="str">
        <x:v>DIAMANTE BOW BROOCH BLACK COLOUR</x:v>
      </x:c>
      <x:c r="E2954" s="11" t="n">
        <x:v>677.05</x:v>
      </x:c>
      <x:c r="F2954" s="11" t="n">
        <x:v>12.7</x:v>
      </x:c>
      <x:c r="G2954" s="11" t="n">
        <x:v>664.3499999999999</x:v>
      </x:c>
      <x:c r="H2954" s="23" t="n">
        <x:v>0.000032972558177839665</x:v>
      </x:c>
      <x:c r="I2954" s="23" t="n">
        <x:v>0.9782132341106418</x:v>
      </x:c>
      <x:c r="J2954" s="2" t="n">
        <x:v>51</x:v>
      </x:c>
      <x:c r="K2954" s="2"/>
      <x:c r="L2954" s="2"/>
    </x:row>
    <x:row r="2955" ht="22" customHeight="1">
      <x:c r="A2955" s="2"/>
      <x:c r="B2955" s="2" t="n">
        <x:v>2922</x:v>
      </x:c>
      <x:c r="C2955" s="2" t="str">
        <x:v>90160C</x:v>
      </x:c>
      <x:c r="D2955" s="2" t="str">
        <x:v>TURQ+RED BOUDICCA LARGE BRACELET</x:v>
      </x:c>
      <x:c r="E2955" s="11" t="n">
        <x:v>677</x:v>
      </x:c>
      <x:c r="F2955" s="11" t="n">
        <x:v>0</x:v>
      </x:c>
      <x:c r="G2955" s="11" t="n">
        <x:v>677</x:v>
      </x:c>
      <x:c r="H2955" s="23" t="n">
        <x:v>0.00003297012316135803</x:v>
      </x:c>
      <x:c r="I2955" s="23" t="n">
        <x:v>0.9782462042338032</x:v>
      </x:c>
      <x:c r="J2955" s="2" t="n">
        <x:v>45</x:v>
      </x:c>
      <x:c r="K2955" s="2"/>
      <x:c r="L2955" s="2"/>
    </x:row>
    <x:row r="2956" ht="22" customHeight="1">
      <x:c r="A2956" s="2"/>
      <x:c r="B2956" s="2" t="n">
        <x:v>2923</x:v>
      </x:c>
      <x:c r="C2956" s="2" t="str">
        <x:v>84824</x:v>
      </x:c>
      <x:c r="D2956" s="2" t="str">
        <x:v>DANISH ROSE UMBRELLA STAND</x:v>
      </x:c>
      <x:c r="E2956" s="11" t="n">
        <x:v>676.4499999999999</x:v>
      </x:c>
      <x:c r="F2956" s="11" t="n">
        <x:v>15.95</x:v>
      </x:c>
      <x:c r="G2956" s="11" t="n">
        <x:v>660.5</x:v>
      </x:c>
      <x:c r="H2956" s="23" t="n">
        <x:v>0.00003294333798006003</x:v>
      </x:c>
      <x:c r="I2956" s="23" t="n">
        <x:v>0.9782791475717832</x:v>
      </x:c>
      <x:c r="J2956" s="2" t="n">
        <x:v>32</x:v>
      </x:c>
      <x:c r="K2956" s="2"/>
      <x:c r="L2956" s="2"/>
    </x:row>
    <x:row r="2957" ht="22" customHeight="1">
      <x:c r="A2957" s="2"/>
      <x:c r="B2957" s="2" t="n">
        <x:v>2924</x:v>
      </x:c>
      <x:c r="C2957" s="2" t="str">
        <x:v>23428</x:v>
      </x:c>
      <x:c r="D2957" s="2" t="str">
        <x:v>IVORY RETRO KITCHEN WALL CLOCK</x:v>
      </x:c>
      <x:c r="E2957" s="11" t="n">
        <x:v>675.91</x:v>
      </x:c>
      <x:c r="F2957" s="11" t="n">
        <x:v>16.3</x:v>
      </x:c>
      <x:c r="G2957" s="11" t="n">
        <x:v>659.61</x:v>
      </x:c>
      <x:c r="H2957" s="23" t="n">
        <x:v>0.000032917039802058354</x:v>
      </x:c>
      <x:c r="I2957" s="23" t="n">
        <x:v>0.9783120646115853</x:v>
      </x:c>
      <x:c r="J2957" s="2" t="n">
        <x:v>33</x:v>
      </x:c>
      <x:c r="K2957" s="2"/>
      <x:c r="L2957" s="2"/>
    </x:row>
    <x:row r="2958" ht="22" customHeight="1">
      <x:c r="A2958" s="2"/>
      <x:c r="B2958" s="2" t="n">
        <x:v>2925</x:v>
      </x:c>
      <x:c r="C2958" s="2" t="str">
        <x:v>21847</x:v>
      </x:c>
      <x:c r="D2958" s="2" t="str">
        <x:v>GREEN  DIAMANTE PEN IN GIFT BOX</x:v>
      </x:c>
      <x:c r="E2958" s="11" t="n">
        <x:v>675.37</x:v>
      </x:c>
      <x:c r="F2958" s="11" t="n">
        <x:v>0</x:v>
      </x:c>
      <x:c r="G2958" s="11" t="n">
        <x:v>675.37</x:v>
      </x:c>
      <x:c r="H2958" s="23" t="n">
        <x:v>0.00003289074162405668</x:v>
      </x:c>
      <x:c r="I2958" s="23" t="n">
        <x:v>0.9783449553532093</x:v>
      </x:c>
      <x:c r="J2958" s="2" t="n">
        <x:v>71</x:v>
      </x:c>
      <x:c r="K2958" s="2"/>
      <x:c r="L2958" s="2"/>
    </x:row>
    <x:row r="2959" ht="22" customHeight="1">
      <x:c r="A2959" s="2"/>
      <x:c r="B2959" s="2" t="n">
        <x:v>2926</x:v>
      </x:c>
      <x:c r="C2959" s="2" t="str">
        <x:v>37444C</x:v>
      </x:c>
      <x:c r="D2959" s="2" t="str">
        <x:v>PINK BREAKFAST CUP AND SAUCER </x:v>
      </x:c>
      <x:c r="E2959" s="11" t="n">
        <x:v>674.5</x:v>
      </x:c>
      <x:c r="F2959" s="11" t="n">
        <x:v>99.84</x:v>
      </x:c>
      <x:c r="G2959" s="11" t="n">
        <x:v>574.66</x:v>
      </x:c>
      <x:c r="H2959" s="23" t="n">
        <x:v>0.000032848372337276206</x:v>
      </x:c>
      <x:c r="I2959" s="23" t="n">
        <x:v>0.9783778037255466</x:v>
      </x:c>
      <x:c r="J2959" s="2" t="n">
        <x:v>54</x:v>
      </x:c>
      <x:c r="K2959" s="2"/>
      <x:c r="L2959" s="2"/>
    </x:row>
    <x:row r="2960" ht="22" customHeight="1">
      <x:c r="A2960" s="2"/>
      <x:c r="B2960" s="2" t="n">
        <x:v>2927</x:v>
      </x:c>
      <x:c r="C2960" s="2" t="str">
        <x:v>20856</x:v>
      </x:c>
      <x:c r="D2960" s="2" t="str">
        <x:v>??</x:v>
      </x:c>
      <x:c r="E2960" s="11" t="n">
        <x:v>674.0899999999999</x:v>
      </x:c>
      <x:c r="F2960" s="11" t="n">
        <x:v>18.15</x:v>
      </x:c>
      <x:c r="G2960" s="11" t="n">
        <x:v>655.9399999999999</x:v>
      </x:c>
      <x:c r="H2960" s="23" t="n">
        <x:v>0.00003282840520212678</x:v>
      </x:c>
      <x:c r="I2960" s="23" t="n">
        <x:v>0.9784106321307487</x:v>
      </x:c>
      <x:c r="J2960" s="2" t="n">
        <x:v>122</x:v>
      </x:c>
      <x:c r="K2960" s="2"/>
      <x:c r="L2960" s="2"/>
    </x:row>
    <x:row r="2961" ht="22" customHeight="1">
      <x:c r="A2961" s="2"/>
      <x:c r="B2961" s="2" t="n">
        <x:v>2928</x:v>
      </x:c>
      <x:c r="C2961" s="2" t="str">
        <x:v>90184C</x:v>
      </x:c>
      <x:c r="D2961" s="2" t="str">
        <x:v>BLACK CHUNKY BEAD BRACELET W STRAP</x:v>
      </x:c>
      <x:c r="E2961" s="11" t="n">
        <x:v>669.79</x:v>
      </x:c>
      <x:c r="F2961" s="11" t="n">
        <x:v>0</x:v>
      </x:c>
      <x:c r="G2961" s="11" t="n">
        <x:v>669.79</x:v>
      </x:c>
      <x:c r="H2961" s="23" t="n">
        <x:v>0.00003261899378470605</x:v>
      </x:c>
      <x:c r="I2961" s="23" t="n">
        <x:v>0.9784432511245335</x:v>
      </x:c>
      <x:c r="J2961" s="2" t="n">
        <x:v>49</x:v>
      </x:c>
      <x:c r="K2961" s="2"/>
      <x:c r="L2961" s="2"/>
    </x:row>
    <x:row r="2962" ht="22" customHeight="1">
      <x:c r="A2962" s="2"/>
      <x:c r="B2962" s="2" t="n">
        <x:v>2929</x:v>
      </x:c>
      <x:c r="C2962" s="2" t="str">
        <x:v>72023F</x:v>
      </x:c>
      <x:c r="D2962" s="2" t="str">
        <x:v>RED ORGANIC CANDLE IN GLASS</x:v>
      </x:c>
      <x:c r="E2962" s="11" t="n">
        <x:v>669.62</x:v>
      </x:c>
      <x:c r="F2962" s="11" t="n">
        <x:v>0</x:v>
      </x:c>
      <x:c r="G2962" s="11" t="n">
        <x:v>669.62</x:v>
      </x:c>
      <x:c r="H2962" s="23" t="n">
        <x:v>0.00003261071472866848</x:v>
      </x:c>
      <x:c r="I2962" s="23" t="n">
        <x:v>0.9784758618392622</x:v>
      </x:c>
      <x:c r="J2962" s="2" t="n">
        <x:v>49</x:v>
      </x:c>
      <x:c r="K2962" s="2"/>
      <x:c r="L2962" s="2"/>
    </x:row>
    <x:row r="2963" ht="22" customHeight="1">
      <x:c r="A2963" s="2"/>
      <x:c r="B2963" s="2" t="n">
        <x:v>2930</x:v>
      </x:c>
      <x:c r="C2963" s="2" t="str">
        <x:v>75013B</x:v>
      </x:c>
      <x:c r="D2963" s="2" t="str">
        <x:v>STRING OF 8 BUTTERFLIES,PINK</x:v>
      </x:c>
      <x:c r="E2963" s="11" t="n">
        <x:v>669.6199999999999</x:v>
      </x:c>
      <x:c r="F2963" s="11" t="n">
        <x:v>2.7</x:v>
      </x:c>
      <x:c r="G2963" s="11" t="n">
        <x:v>666.92</x:v>
      </x:c>
      <x:c r="H2963" s="23" t="n">
        <x:v>0.00003261071472866848</x:v>
      </x:c>
      <x:c r="I2963" s="23" t="n">
        <x:v>0.9785084725539909</x:v>
      </x:c>
      <x:c r="J2963" s="2" t="n">
        <x:v>76</x:v>
      </x:c>
      <x:c r="K2963" s="2"/>
      <x:c r="L2963" s="2"/>
    </x:row>
    <x:row r="2964" ht="22" customHeight="1">
      <x:c r="A2964" s="2"/>
      <x:c r="B2964" s="2" t="n">
        <x:v>2931</x:v>
      </x:c>
      <x:c r="C2964" s="2" t="str">
        <x:v>85205B</x:v>
      </x:c>
      <x:c r="D2964" s="2" t="str">
        <x:v>PINK FELT EASTER RABBIT GARLAND</x:v>
      </x:c>
      <x:c r="E2964" s="11" t="n">
        <x:v>669.38</x:v>
      </x:c>
      <x:c r="F2964" s="11" t="n">
        <x:v>0</x:v>
      </x:c>
      <x:c r="G2964" s="11" t="n">
        <x:v>669.38</x:v>
      </x:c>
      <x:c r="H2964" s="23" t="n">
        <x:v>0.00003259902664955663</x:v>
      </x:c>
      <x:c r="I2964" s="23" t="n">
        <x:v>0.9785410715806404</x:v>
      </x:c>
      <x:c r="J2964" s="2" t="n">
        <x:v>61</x:v>
      </x:c>
      <x:c r="K2964" s="2"/>
      <x:c r="L2964" s="2"/>
    </x:row>
    <x:row r="2965" ht="22" customHeight="1">
      <x:c r="A2965" s="2"/>
      <x:c r="B2965" s="2" t="n">
        <x:v>2932</x:v>
      </x:c>
      <x:c r="C2965" s="2" t="str">
        <x:v>23024</x:v>
      </x:c>
      <x:c r="D2965" s="2" t="str">
        <x:v>LARGE BONNE JAM JAR  T-LIGHT HOLDER</x:v>
      </x:c>
      <x:c r="E2965" s="11" t="n">
        <x:v>667.8500000000001</x:v>
      </x:c>
      <x:c r="F2965" s="11" t="n">
        <x:v>4.98</x:v>
      </x:c>
      <x:c r="G2965" s="11" t="n">
        <x:v>662.8700000000001</x:v>
      </x:c>
      <x:c r="H2965" s="23" t="n">
        <x:v>0.00003252451514521856</x:v>
      </x:c>
      <x:c r="I2965" s="23" t="n">
        <x:v>0.9785735960957856</x:v>
      </x:c>
      <x:c r="J2965" s="2" t="n">
        <x:v>11</x:v>
      </x:c>
      <x:c r="K2965" s="2"/>
      <x:c r="L2965" s="2"/>
    </x:row>
    <x:row r="2966" ht="22" customHeight="1">
      <x:c r="A2966" s="2"/>
      <x:c r="B2966" s="2" t="n">
        <x:v>2933</x:v>
      </x:c>
      <x:c r="C2966" s="2" t="str">
        <x:v>21879</x:v>
      </x:c>
      <x:c r="D2966" s="2" t="str">
        <x:v>HEARTS GIFT TAPE</x:v>
      </x:c>
      <x:c r="E2966" s="11" t="n">
        <x:v>666.7900000000001</x:v>
      </x:c>
      <x:c r="F2966" s="11" t="n">
        <x:v>0</x:v>
      </x:c>
      <x:c r="G2966" s="11" t="n">
        <x:v>666.7900000000001</x:v>
      </x:c>
      <x:c r="H2966" s="23" t="n">
        <x:v>0.00003247289279580786</x:v>
      </x:c>
      <x:c r="I2966" s="23" t="n">
        <x:v>0.9786060689885815</x:v>
      </x:c>
      <x:c r="J2966" s="2" t="n">
        <x:v>152</x:v>
      </x:c>
      <x:c r="K2966" s="2"/>
      <x:c r="L2966" s="2"/>
    </x:row>
    <x:row r="2967" ht="22" customHeight="1">
      <x:c r="A2967" s="2"/>
      <x:c r="B2967" s="2" t="n">
        <x:v>2934</x:v>
      </x:c>
      <x:c r="C2967" s="2" t="str">
        <x:v>85203</x:v>
      </x:c>
      <x:c r="D2967" s="2" t="str">
        <x:v>HANGING WOOD AND FELT BUTTERFLY </x:v>
      </x:c>
      <x:c r="E2967" s="11" t="n">
        <x:v>666.75</x:v>
      </x:c>
      <x:c r="F2967" s="11" t="n">
        <x:v>0</x:v>
      </x:c>
      <x:c r="G2967" s="11" t="n">
        <x:v>666.75</x:v>
      </x:c>
      <x:c r="H2967" s="23" t="n">
        <x:v>0.00003247094478262255</x:v>
      </x:c>
      <x:c r="I2967" s="23" t="n">
        <x:v>0.9786385399333641</x:v>
      </x:c>
      <x:c r="J2967" s="2" t="n">
        <x:v>224</x:v>
      </x:c>
      <x:c r="K2967" s="2"/>
      <x:c r="L2967" s="2"/>
    </x:row>
    <x:row r="2968" ht="22" customHeight="1">
      <x:c r="A2968" s="2"/>
      <x:c r="B2968" s="2" t="n">
        <x:v>2935</x:v>
      </x:c>
      <x:c r="C2968" s="2" t="str">
        <x:v>21247</x:v>
      </x:c>
      <x:c r="D2968" s="2" t="str">
        <x:v>SET OF RED SALAD SERVERS </x:v>
      </x:c>
      <x:c r="E2968" s="11" t="n">
        <x:v>666.2199999999999</x:v>
      </x:c>
      <x:c r="F2968" s="11" t="n">
        <x:v>0</x:v>
      </x:c>
      <x:c r="G2968" s="11" t="n">
        <x:v>666.2199999999999</x:v>
      </x:c>
      <x:c r="H2968" s="23" t="n">
        <x:v>0.0000324451336079172</x:v>
      </x:c>
      <x:c r="I2968" s="23" t="n">
        <x:v>0.978670985066972</x:v>
      </x:c>
      <x:c r="J2968" s="2" t="n">
        <x:v>81</x:v>
      </x:c>
      <x:c r="K2968" s="2"/>
      <x:c r="L2968" s="2"/>
    </x:row>
    <x:row r="2969" ht="22" customHeight="1">
      <x:c r="A2969" s="2"/>
      <x:c r="B2969" s="2" t="n">
        <x:v>2936</x:v>
      </x:c>
      <x:c r="C2969" s="2" t="str">
        <x:v>21263</x:v>
      </x:c>
      <x:c r="D2969" s="2" t="str">
        <x:v>GREEN GOOSE FEATHER TREE 60CM</x:v>
      </x:c>
      <x:c r="E2969" s="11" t="n">
        <x:v>666.09</x:v>
      </x:c>
      <x:c r="F2969" s="11" t="n">
        <x:v>3.9</x:v>
      </x:c>
      <x:c r="G2969" s="11" t="n">
        <x:v>662.19</x:v>
      </x:c>
      <x:c r="H2969" s="23" t="n">
        <x:v>0.00003243880256506495</x:v>
      </x:c>
      <x:c r="I2969" s="23" t="n">
        <x:v>0.9787034238695371</x:v>
      </x:c>
      <x:c r="J2969" s="2" t="n">
        <x:v>56</x:v>
      </x:c>
      <x:c r="K2969" s="2"/>
      <x:c r="L2969" s="2"/>
    </x:row>
    <x:row r="2970" ht="22" customHeight="1">
      <x:c r="A2970" s="2"/>
      <x:c r="B2970" s="2" t="n">
        <x:v>2937</x:v>
      </x:c>
      <x:c r="C2970" s="2" t="str">
        <x:v>21750</x:v>
      </x:c>
      <x:c r="D2970" s="2" t="str">
        <x:v>LARGE SKULL WINDMILL</x:v>
      </x:c>
      <x:c r="E2970" s="11" t="n">
        <x:v>665.95</x:v>
      </x:c>
      <x:c r="F2970" s="11" t="n">
        <x:v>2.1</x:v>
      </x:c>
      <x:c r="G2970" s="11" t="n">
        <x:v>663.85</x:v>
      </x:c>
      <x:c r="H2970" s="23" t="n">
        <x:v>0.00003243198451891637</x:v>
      </x:c>
      <x:c r="I2970" s="23" t="n">
        <x:v>0.9787358558540561</x:v>
      </x:c>
      <x:c r="J2970" s="2" t="n">
        <x:v>62</x:v>
      </x:c>
      <x:c r="K2970" s="2"/>
      <x:c r="L2970" s="2"/>
    </x:row>
    <x:row r="2971" ht="22" customHeight="1">
      <x:c r="A2971" s="2"/>
      <x:c r="B2971" s="2" t="n">
        <x:v>2938</x:v>
      </x:c>
      <x:c r="C2971" s="2" t="str">
        <x:v>21884</x:v>
      </x:c>
      <x:c r="D2971" s="2" t="str">
        <x:v>CAKES AND BOWS GIFT  TAPE</x:v>
      </x:c>
      <x:c r="E2971" s="11" t="n">
        <x:v>664.26</x:v>
      </x:c>
      <x:c r="F2971" s="11" t="n">
        <x:v>0</x:v>
      </x:c>
      <x:c r="G2971" s="11" t="n">
        <x:v>664.26</x:v>
      </x:c>
      <x:c r="H2971" s="23" t="n">
        <x:v>0.000032349680961837054</x:v>
      </x:c>
      <x:c r="I2971" s="23" t="n">
        <x:v>0.978768205535018</x:v>
      </x:c>
      <x:c r="J2971" s="2" t="n">
        <x:v>161</x:v>
      </x:c>
      <x:c r="K2971" s="2"/>
      <x:c r="L2971" s="2"/>
    </x:row>
    <x:row r="2972" ht="22" customHeight="1">
      <x:c r="A2972" s="2"/>
      <x:c r="B2972" s="2" t="n">
        <x:v>2939</x:v>
      </x:c>
      <x:c r="C2972" s="2" t="str">
        <x:v>22056</x:v>
      </x:c>
      <x:c r="D2972" s="2" t="str">
        <x:v>CERAMIC PLATE LOVE HEART DESIGN</x:v>
      </x:c>
      <x:c r="E2972" s="11" t="n">
        <x:v>662.8299999999999</x:v>
      </x:c>
      <x:c r="F2972" s="11" t="n">
        <x:v>1.49</x:v>
      </x:c>
      <x:c r="G2972" s="11" t="n">
        <x:v>661.34</x:v>
      </x:c>
      <x:c r="H2972" s="23" t="n">
        <x:v>0.00003228003949046225</x:v>
      </x:c>
      <x:c r="I2972" s="23" t="n">
        <x:v>0.9788004855745085</x:v>
      </x:c>
      <x:c r="J2972" s="2" t="n">
        <x:v>34</x:v>
      </x:c>
      <x:c r="K2972" s="2"/>
      <x:c r="L2972" s="2"/>
    </x:row>
    <x:row r="2973" ht="22" customHeight="1">
      <x:c r="A2973" s="2"/>
      <x:c r="B2973" s="2" t="n">
        <x:v>2940</x:v>
      </x:c>
      <x:c r="C2973" s="2" t="str">
        <x:v>85168B</x:v>
      </x:c>
      <x:c r="D2973" s="2" t="str">
        <x:v>BLACK BAROQUE CARRIAGE CLOCK</x:v>
      </x:c>
      <x:c r="E2973" s="11" t="n">
        <x:v>662.12</x:v>
      </x:c>
      <x:c r="F2973" s="11" t="n">
        <x:v>0</x:v>
      </x:c>
      <x:c r="G2973" s="11" t="n">
        <x:v>662.12</x:v>
      </x:c>
      <x:c r="H2973" s="23" t="n">
        <x:v>0.000032245462256423013</x:v>
      </x:c>
      <x:c r="I2973" s="23" t="n">
        <x:v>0.9788327310367649</x:v>
      </x:c>
      <x:c r="J2973" s="2" t="n">
        <x:v>52</x:v>
      </x:c>
      <x:c r="K2973" s="2"/>
      <x:c r="L2973" s="2"/>
    </x:row>
    <x:row r="2974" ht="22" customHeight="1">
      <x:c r="A2974" s="2"/>
      <x:c r="B2974" s="2" t="n">
        <x:v>2941</x:v>
      </x:c>
      <x:c r="C2974" s="2" t="str">
        <x:v>17012D</x:v>
      </x:c>
      <x:c r="D2974" s="2" t="str">
        <x:v>ORIGAMI ROSE INCENSE/CANDLE SET </x:v>
      </x:c>
      <x:c r="E2974" s="11" t="n">
        <x:v>662.12</x:v>
      </x:c>
      <x:c r="F2974" s="11" t="n">
        <x:v>0</x:v>
      </x:c>
      <x:c r="G2974" s="11" t="n">
        <x:v>662.12</x:v>
      </x:c>
      <x:c r="H2974" s="23" t="n">
        <x:v>0.000032245462256423013</x:v>
      </x:c>
      <x:c r="I2974" s="23" t="n">
        <x:v>0.9788649764990214</x:v>
      </x:c>
      <x:c r="J2974" s="2" t="n">
        <x:v>116</x:v>
      </x:c>
      <x:c r="K2974" s="2"/>
      <x:c r="L2974" s="2"/>
    </x:row>
    <x:row r="2975" ht="22" customHeight="1">
      <x:c r="A2975" s="2"/>
      <x:c r="B2975" s="2" t="n">
        <x:v>2942</x:v>
      </x:c>
      <x:c r="C2975" s="2" t="str">
        <x:v>46776E</x:v>
      </x:c>
      <x:c r="D2975" s="2" t="str">
        <x:v>WOVEN CANDY CUSHION COVER </x:v>
      </x:c>
      <x:c r="E2975" s="11" t="n">
        <x:v>662.1</x:v>
      </x:c>
      <x:c r="F2975" s="11" t="n">
        <x:v>0</x:v>
      </x:c>
      <x:c r="G2975" s="11" t="n">
        <x:v>662.1</x:v>
      </x:c>
      <x:c r="H2975" s="23" t="n">
        <x:v>0.00003224448824983036</x:v>
      </x:c>
      <x:c r="I2975" s="23" t="n">
        <x:v>0.9788972209872712</x:v>
      </x:c>
      <x:c r="J2975" s="2" t="n">
        <x:v>77</x:v>
      </x:c>
      <x:c r="K2975" s="2"/>
      <x:c r="L2975" s="2"/>
    </x:row>
    <x:row r="2976" ht="22" customHeight="1">
      <x:c r="A2976" s="2"/>
      <x:c r="B2976" s="2" t="n">
        <x:v>2943</x:v>
      </x:c>
      <x:c r="C2976" s="2" t="str">
        <x:v>21197</x:v>
      </x:c>
      <x:c r="D2976" s="2" t="str">
        <x:v>MULTICOLOUR  CONFETTI IN TUBE</x:v>
      </x:c>
      <x:c r="E2976" s="11" t="n">
        <x:v>661.81</x:v>
      </x:c>
      <x:c r="F2976" s="11" t="n">
        <x:v>34.65</x:v>
      </x:c>
      <x:c r="G2976" s="11" t="n">
        <x:v>627.16</x:v>
      </x:c>
      <x:c r="H2976" s="23" t="n">
        <x:v>0.000032230365154236866</x:v>
      </x:c>
      <x:c r="I2976" s="23" t="n">
        <x:v>0.9789294513524254</x:v>
      </x:c>
      <x:c r="J2976" s="2" t="n">
        <x:v>45</x:v>
      </x:c>
      <x:c r="K2976" s="2"/>
      <x:c r="L2976" s="2"/>
    </x:row>
    <x:row r="2977" ht="22" customHeight="1">
      <x:c r="A2977" s="2"/>
      <x:c r="B2977" s="2" t="n">
        <x:v>2944</x:v>
      </x:c>
      <x:c r="C2977" s="2" t="str">
        <x:v>85188B</x:v>
      </x:c>
      <x:c r="D2977" s="2" t="str">
        <x:v>PINK METAL SWINGING BUNNY</x:v>
      </x:c>
      <x:c r="E2977" s="11" t="n">
        <x:v>661.7299999999999</x:v>
      </x:c>
      <x:c r="F2977" s="11" t="n">
        <x:v>20.4</x:v>
      </x:c>
      <x:c r="G2977" s="11" t="n">
        <x:v>641.3299999999999</x:v>
      </x:c>
      <x:c r="H2977" s="23" t="n">
        <x:v>0.000032226469127866246</x:v>
      </x:c>
      <x:c r="I2977" s="23" t="n">
        <x:v>0.9789616778215532</x:v>
      </x:c>
      <x:c r="J2977" s="2" t="n">
        <x:v>74</x:v>
      </x:c>
      <x:c r="K2977" s="2"/>
      <x:c r="L2977" s="2"/>
    </x:row>
    <x:row r="2978" ht="22" customHeight="1">
      <x:c r="A2978" s="2"/>
      <x:c r="B2978" s="2" t="n">
        <x:v>2945</x:v>
      </x:c>
      <x:c r="C2978" s="2" t="str">
        <x:v>23547</x:v>
      </x:c>
      <x:c r="D2978" s="2" t="str">
        <x:v>WRAP FLOWER SHOP  </x:v>
      </x:c>
      <x:c r="E2978" s="11" t="n">
        <x:v>661.5</x:v>
      </x:c>
      <x:c r="F2978" s="11" t="n">
        <x:v>0</x:v>
      </x:c>
      <x:c r="G2978" s="11" t="n">
        <x:v>661.5</x:v>
      </x:c>
      <x:c r="H2978" s="23" t="n">
        <x:v>0.00003221526805205072</x:v>
      </x:c>
      <x:c r="I2978" s="23" t="n">
        <x:v>0.9789938930896053</x:v>
      </x:c>
      <x:c r="J2978" s="2" t="n">
        <x:v>62</x:v>
      </x:c>
      <x:c r="K2978" s="2"/>
      <x:c r="L2978" s="2"/>
    </x:row>
    <x:row r="2979" ht="22" customHeight="1">
      <x:c r="A2979" s="2"/>
      <x:c r="B2979" s="2" t="n">
        <x:v>2946</x:v>
      </x:c>
      <x:c r="C2979" s="2" t="str">
        <x:v>17109C</x:v>
      </x:c>
      <x:c r="D2979" s="2" t="str">
        <x:v>FLOWER FAIRY INCENSE ROSE</x:v>
      </x:c>
      <x:c r="E2979" s="11" t="n">
        <x:v>661.23</x:v>
      </x:c>
      <x:c r="F2979" s="11" t="n">
        <x:v>1.69</x:v>
      </x:c>
      <x:c r="G2979" s="11" t="n">
        <x:v>659.54</x:v>
      </x:c>
      <x:c r="H2979" s="23" t="n">
        <x:v>0.00003220211896304988</x:v>
      </x:c>
      <x:c r="I2979" s="23" t="n">
        <x:v>0.9790260952085683</x:v>
      </x:c>
      <x:c r="J2979" s="2" t="n">
        <x:v>15</x:v>
      </x:c>
      <x:c r="K2979" s="2"/>
      <x:c r="L2979" s="2"/>
    </x:row>
    <x:row r="2980" ht="22" customHeight="1">
      <x:c r="A2980" s="2"/>
      <x:c r="B2980" s="2" t="n">
        <x:v>2947</x:v>
      </x:c>
      <x:c r="C2980" s="2" t="str">
        <x:v>23482</x:v>
      </x:c>
      <x:c r="D2980" s="2" t="str">
        <x:v>PEARLISED IVORY HEART LARGE </x:v>
      </x:c>
      <x:c r="E2980" s="11" t="n">
        <x:v>661.02</x:v>
      </x:c>
      <x:c r="F2980" s="11" t="n">
        <x:v>0</x:v>
      </x:c>
      <x:c r="G2980" s="11" t="n">
        <x:v>661.02</x:v>
      </x:c>
      <x:c r="H2980" s="23" t="n">
        <x:v>0.000032191891893827006</x:v>
      </x:c>
      <x:c r="I2980" s="23" t="n">
        <x:v>0.9790582871004622</x:v>
      </x:c>
      <x:c r="J2980" s="2" t="n">
        <x:v>39</x:v>
      </x:c>
      <x:c r="K2980" s="2"/>
      <x:c r="L2980" s="2"/>
    </x:row>
    <x:row r="2981" ht="22" customHeight="1">
      <x:c r="A2981" s="2"/>
      <x:c r="B2981" s="2" t="n">
        <x:v>2948</x:v>
      </x:c>
      <x:c r="C2981" s="2" t="str">
        <x:v>37474</x:v>
      </x:c>
      <x:c r="D2981" s="2" t="str">
        <x:v>SET/4 2 TONE EGG SHAPE MIXING BOWLS</x:v>
      </x:c>
      <x:c r="E2981" s="11" t="n">
        <x:v>661</x:v>
      </x:c>
      <x:c r="F2981" s="11" t="n">
        <x:v>0</x:v>
      </x:c>
      <x:c r="G2981" s="11" t="n">
        <x:v>661</x:v>
      </x:c>
      <x:c r="H2981" s="23" t="n">
        <x:v>0.000032190917887234354</x:v>
      </x:c>
      <x:c r="I2981" s="23" t="n">
        <x:v>0.9790904780183494</x:v>
      </x:c>
      <x:c r="J2981" s="2" t="n">
        <x:v>44</x:v>
      </x:c>
      <x:c r="K2981" s="2"/>
      <x:c r="L2981" s="2"/>
    </x:row>
    <x:row r="2982" ht="22" customHeight="1">
      <x:c r="A2982" s="2"/>
      <x:c r="B2982" s="2" t="n">
        <x:v>2949</x:v>
      </x:c>
      <x:c r="C2982" s="2" t="str">
        <x:v>21764</x:v>
      </x:c>
      <x:c r="D2982" s="2" t="str">
        <x:v>display stands</x:v>
      </x:c>
      <x:c r="E2982" s="11" t="n">
        <x:v>659.1500000000001</x:v>
      </x:c>
      <x:c r="F2982" s="11" t="n">
        <x:v>39.95</x:v>
      </x:c>
      <x:c r="G2982" s="11" t="n">
        <x:v>619.2</x:v>
      </x:c>
      <x:c r="H2982" s="23" t="n">
        <x:v>0.00003210082227741381</x:v>
      </x:c>
      <x:c r="I2982" s="23" t="n">
        <x:v>0.9791225788406268</x:v>
      </x:c>
      <x:c r="J2982" s="2" t="n">
        <x:v>11</x:v>
      </x:c>
      <x:c r="K2982" s="2"/>
      <x:c r="L2982" s="2"/>
    </x:row>
    <x:row r="2983" ht="22" customHeight="1">
      <x:c r="A2983" s="2"/>
      <x:c r="B2983" s="2" t="n">
        <x:v>2950</x:v>
      </x:c>
      <x:c r="C2983" s="2" t="str">
        <x:v>71403</x:v>
      </x:c>
      <x:c r="D2983" s="2" t="str">
        <x:v>PINK/WHITE "KEEP CLEAN" BULLET BIN</x:v>
      </x:c>
      <x:c r="E2983" s="11" t="n">
        <x:v>659.0000000000001</x:v>
      </x:c>
      <x:c r="F2983" s="11" t="n">
        <x:v>5.9</x:v>
      </x:c>
      <x:c r="G2983" s="11" t="n">
        <x:v>653.1</x:v>
      </x:c>
      <x:c r="H2983" s="23" t="n">
        <x:v>0.0000320935172279689</x:v>
      </x:c>
      <x:c r="I2983" s="23" t="n">
        <x:v>0.9791546723578548</x:v>
      </x:c>
      <x:c r="J2983" s="2" t="n">
        <x:v>69</x:v>
      </x:c>
      <x:c r="K2983" s="2"/>
      <x:c r="L2983" s="2"/>
    </x:row>
    <x:row r="2984" ht="22" customHeight="1">
      <x:c r="A2984" s="2"/>
      <x:c r="B2984" s="2" t="n">
        <x:v>2951</x:v>
      </x:c>
      <x:c r="C2984" s="2" t="str">
        <x:v>16169K</x:v>
      </x:c>
      <x:c r="D2984" s="2" t="str">
        <x:v>WRAP FOLK ART</x:v>
      </x:c>
      <x:c r="E2984" s="11" t="n">
        <x:v>658.75</x:v>
      </x:c>
      <x:c r="F2984" s="11" t="n">
        <x:v>0</x:v>
      </x:c>
      <x:c r="G2984" s="11" t="n">
        <x:v>658.75</x:v>
      </x:c>
      <x:c r="H2984" s="23" t="n">
        <x:v>0.00003208134214556071</x:v>
      </x:c>
      <x:c r="I2984" s="23" t="n">
        <x:v>0.9791867537000004</x:v>
      </x:c>
      <x:c r="J2984" s="2" t="n">
        <x:v>60</x:v>
      </x:c>
      <x:c r="K2984" s="2"/>
      <x:c r="L2984" s="2"/>
    </x:row>
    <x:row r="2985" ht="22" customHeight="1">
      <x:c r="A2985" s="2"/>
      <x:c r="B2985" s="2" t="n">
        <x:v>2952</x:v>
      </x:c>
      <x:c r="C2985" s="2" t="str">
        <x:v>22054</x:v>
      </x:c>
      <x:c r="D2985" s="2" t="str">
        <x:v>MINI CAKE STAND HANGING HEARTS</x:v>
      </x:c>
      <x:c r="E2985" s="11" t="n">
        <x:v>658.31</x:v>
      </x:c>
      <x:c r="F2985" s="11" t="n">
        <x:v>23.099999999999998</x:v>
      </x:c>
      <x:c r="G2985" s="11" t="n">
        <x:v>635.2099999999999</x:v>
      </x:c>
      <x:c r="H2985" s="23" t="n">
        <x:v>0.00003205991400052231</x:v>
      </x:c>
      <x:c r="I2985" s="23" t="n">
        <x:v>0.979218813614001</x:v>
      </x:c>
      <x:c r="J2985" s="2" t="n">
        <x:v>74</x:v>
      </x:c>
      <x:c r="K2985" s="2"/>
      <x:c r="L2985" s="2"/>
    </x:row>
    <x:row r="2986" ht="22" customHeight="1">
      <x:c r="A2986" s="2"/>
      <x:c r="B2986" s="2" t="n">
        <x:v>2953</x:v>
      </x:c>
      <x:c r="C2986" s="2" t="str">
        <x:v>85186C</x:v>
      </x:c>
      <x:c r="D2986" s="2" t="str">
        <x:v>BUNNY EGG GARLAND</x:v>
      </x:c>
      <x:c r="E2986" s="11" t="n">
        <x:v>658.19</x:v>
      </x:c>
      <x:c r="F2986" s="11" t="n">
        <x:v>18.48</x:v>
      </x:c>
      <x:c r="G2986" s="11" t="n">
        <x:v>639.71</x:v>
      </x:c>
      <x:c r="H2986" s="23" t="n">
        <x:v>0.000032054069960966384</x:v>
      </x:c>
      <x:c r="I2986" s="23" t="n">
        <x:v>0.979250867683962</x:v>
      </x:c>
      <x:c r="J2986" s="2" t="n">
        <x:v>152</x:v>
      </x:c>
      <x:c r="K2986" s="2"/>
      <x:c r="L2986" s="2"/>
    </x:row>
    <x:row r="2987" ht="22" customHeight="1">
      <x:c r="A2987" s="2"/>
      <x:c r="B2987" s="2" t="n">
        <x:v>2954</x:v>
      </x:c>
      <x:c r="C2987" s="2" t="str">
        <x:v>46776D</x:v>
      </x:c>
      <x:c r="D2987" s="2" t="str">
        <x:v>WOVEN SUNSET CUSHION COVER </x:v>
      </x:c>
      <x:c r="E2987" s="11" t="n">
        <x:v>658.07</x:v>
      </x:c>
      <x:c r="F2987" s="11" t="n">
        <x:v>11.93</x:v>
      </x:c>
      <x:c r="G2987" s="11" t="n">
        <x:v>646.14</x:v>
      </x:c>
      <x:c r="H2987" s="23" t="n">
        <x:v>0.00003204822592141046</x:v>
      </x:c>
      <x:c r="I2987" s="23" t="n">
        <x:v>0.9792829159098834</x:v>
      </x:c>
      <x:c r="J2987" s="2" t="n">
        <x:v>76</x:v>
      </x:c>
      <x:c r="K2987" s="2"/>
      <x:c r="L2987" s="2"/>
    </x:row>
    <x:row r="2988" ht="22" customHeight="1">
      <x:c r="A2988" s="2"/>
      <x:c r="B2988" s="2" t="n">
        <x:v>2955</x:v>
      </x:c>
      <x:c r="C2988" s="2" t="str">
        <x:v>85028S</x:v>
      </x:c>
      <x:c r="D2988" s="2" t="str">
        <x:v>FRENCH CHATEAU SMALL FRUITBOWL</x:v>
      </x:c>
      <x:c r="E2988" s="11" t="n">
        <x:v>656.82</x:v>
      </x:c>
      <x:c r="F2988" s="11" t="n">
        <x:v>54.9</x:v>
      </x:c>
      <x:c r="G2988" s="11" t="n">
        <x:v>601.92</x:v>
      </x:c>
      <x:c r="H2988" s="23" t="n">
        <x:v>0.000031987350509369546</x:v>
      </x:c>
      <x:c r="I2988" s="23" t="n">
        <x:v>0.9793149032603927</x:v>
      </x:c>
      <x:c r="J2988" s="2" t="n">
        <x:v>33</x:v>
      </x:c>
      <x:c r="K2988" s="2"/>
      <x:c r="L2988" s="2"/>
    </x:row>
    <x:row r="2989" ht="22" customHeight="1">
      <x:c r="A2989" s="2"/>
      <x:c r="B2989" s="2" t="n">
        <x:v>2956</x:v>
      </x:c>
      <x:c r="C2989" s="2" t="str">
        <x:v>21441</x:v>
      </x:c>
      <x:c r="D2989" s="2" t="str">
        <x:v>BLUE BIRDHOUSE DECORATION</x:v>
      </x:c>
      <x:c r="E2989" s="11" t="n">
        <x:v>655.4599999999999</x:v>
      </x:c>
      <x:c r="F2989" s="11" t="n">
        <x:v>0</x:v>
      </x:c>
      <x:c r="G2989" s="11" t="n">
        <x:v>655.4599999999999</x:v>
      </x:c>
      <x:c r="H2989" s="23" t="n">
        <x:v>0.00003192111806106903</x:v>
      </x:c>
      <x:c r="I2989" s="23" t="n">
        <x:v>0.9793468243784538</x:v>
      </x:c>
      <x:c r="J2989" s="2" t="n">
        <x:v>133</x:v>
      </x:c>
      <x:c r="K2989" s="2"/>
      <x:c r="L2989" s="2"/>
    </x:row>
    <x:row r="2990" ht="22" customHeight="1">
      <x:c r="A2990" s="2"/>
      <x:c r="B2990" s="2" t="n">
        <x:v>2957</x:v>
      </x:c>
      <x:c r="C2990" s="2" t="str">
        <x:v>21307</x:v>
      </x:c>
      <x:c r="D2990" s="2" t="str">
        <x:v>SET/4 BUTTERFLY MIRROR MAGNETS</x:v>
      </x:c>
      <x:c r="E2990" s="11" t="n">
        <x:v>654.2700000000001</x:v>
      </x:c>
      <x:c r="F2990" s="11" t="n">
        <x:v>2.1</x:v>
      </x:c>
      <x:c r="G2990" s="11" t="n">
        <x:v>652.1700000000001</x:v>
      </x:c>
      <x:c r="H2990" s="23" t="n">
        <x:v>0.00003186316466880609</x:v>
      </x:c>
      <x:c r="I2990" s="23" t="n">
        <x:v>0.9793786875431226</x:v>
      </x:c>
      <x:c r="J2990" s="2" t="n">
        <x:v>72</x:v>
      </x:c>
      <x:c r="K2990" s="2"/>
      <x:c r="L2990" s="2"/>
    </x:row>
    <x:row r="2991" ht="22" customHeight="1">
      <x:c r="A2991" s="2"/>
      <x:c r="B2991" s="2" t="n">
        <x:v>2958</x:v>
      </x:c>
      <x:c r="C2991" s="2" t="str">
        <x:v>85028L</x:v>
      </x:c>
      <x:c r="D2991" s="2" t="str">
        <x:v>FRENCH CHATEAU LARGE FRUIT BOWL </x:v>
      </x:c>
      <x:c r="E2991" s="11" t="n">
        <x:v>654.01</x:v>
      </x:c>
      <x:c r="F2991" s="11" t="n">
        <x:v>45.9</x:v>
      </x:c>
      <x:c r="G2991" s="11" t="n">
        <x:v>608.11</x:v>
      </x:c>
      <x:c r="H2991" s="23" t="n">
        <x:v>0.000031850502583101575</x:v>
      </x:c>
      <x:c r="I2991" s="23" t="n">
        <x:v>0.9794105380457058</x:v>
      </x:c>
      <x:c r="J2991" s="2" t="n">
        <x:v>27</x:v>
      </x:c>
      <x:c r="K2991" s="2"/>
      <x:c r="L2991" s="2"/>
    </x:row>
    <x:row r="2992" ht="22" customHeight="1">
      <x:c r="A2992" s="2"/>
      <x:c r="B2992" s="2" t="n">
        <x:v>2959</x:v>
      </x:c>
      <x:c r="C2992" s="2" t="str">
        <x:v>21350</x:v>
      </x:c>
      <x:c r="D2992" s="2" t="str">
        <x:v>GINGHAM HEART WREATH</x:v>
      </x:c>
      <x:c r="E2992" s="11" t="n">
        <x:v>653.6500000000001</x:v>
      </x:c>
      <x:c r="F2992" s="11" t="n">
        <x:v>5.9</x:v>
      </x:c>
      <x:c r="G2992" s="11" t="n">
        <x:v>647.7500000000001</x:v>
      </x:c>
      <x:c r="H2992" s="23" t="n">
        <x:v>0.0000318329704644338</x:v>
      </x:c>
      <x:c r="I2992" s="23" t="n">
        <x:v>0.9794423710161702</x:v>
      </x:c>
      <x:c r="J2992" s="2" t="n">
        <x:v>42</x:v>
      </x:c>
      <x:c r="K2992" s="2"/>
      <x:c r="L2992" s="2"/>
    </x:row>
    <x:row r="2993" ht="22" customHeight="1">
      <x:c r="A2993" s="2"/>
      <x:c r="B2993" s="2" t="n">
        <x:v>2960</x:v>
      </x:c>
      <x:c r="C2993" s="2" t="str">
        <x:v>85215</x:v>
      </x:c>
      <x:c r="D2993" s="2" t="str">
        <x:v>Damaged</x:v>
      </x:c>
      <x:c r="E2993" s="11" t="n">
        <x:v>651.69</x:v>
      </x:c>
      <x:c r="F2993" s="11" t="n">
        <x:v>0</x:v>
      </x:c>
      <x:c r="G2993" s="11" t="n">
        <x:v>651.69</x:v>
      </x:c>
      <x:c r="H2993" s="23" t="n">
        <x:v>0.000031737517818353644</x:v>
      </x:c>
      <x:c r="I2993" s="23" t="n">
        <x:v>0.9794741085339885</x:v>
      </x:c>
      <x:c r="J2993" s="2" t="n">
        <x:v>66</x:v>
      </x:c>
      <x:c r="K2993" s="2"/>
      <x:c r="L2993" s="2"/>
    </x:row>
    <x:row r="2994" ht="22" customHeight="1">
      <x:c r="A2994" s="2"/>
      <x:c r="B2994" s="2" t="n">
        <x:v>2961</x:v>
      </x:c>
      <x:c r="C2994" s="2" t="str">
        <x:v>85019C</x:v>
      </x:c>
      <x:c r="D2994" s="2" t="str">
        <x:v>Damaged</x:v>
      </x:c>
      <x:c r="E2994" s="11" t="n">
        <x:v>651.19</x:v>
      </x:c>
      <x:c r="F2994" s="11" t="n">
        <x:v>81</x:v>
      </x:c>
      <x:c r="G2994" s="11" t="n">
        <x:v>570.19</x:v>
      </x:c>
      <x:c r="H2994" s="23" t="n">
        <x:v>0.00003171316765353728</x:v>
      </x:c>
      <x:c r="I2994" s="23" t="n">
        <x:v>0.979505821701642</x:v>
      </x:c>
      <x:c r="J2994" s="2" t="n">
        <x:v>25</x:v>
      </x:c>
      <x:c r="K2994" s="2"/>
      <x:c r="L2994" s="2"/>
    </x:row>
    <x:row r="2995" ht="22" customHeight="1">
      <x:c r="A2995" s="2"/>
      <x:c r="B2995" s="2" t="n">
        <x:v>2962</x:v>
      </x:c>
      <x:c r="C2995" s="2" t="str">
        <x:v>17164B</x:v>
      </x:c>
      <x:c r="D2995" s="2" t="str">
        <x:v>ASS COL SMALL SAND GECKO P'WEIGHT</x:v>
      </x:c>
      <x:c r="E2995" s="11" t="n">
        <x:v>650.76</x:v>
      </x:c>
      <x:c r="F2995" s="11" t="n">
        <x:v>0.84</x:v>
      </x:c>
      <x:c r="G2995" s="11" t="n">
        <x:v>649.92</x:v>
      </x:c>
      <x:c r="H2995" s="23" t="n">
        <x:v>0.0000316922265117952</x:v>
      </x:c>
      <x:c r="I2995" s="23" t="n">
        <x:v>0.9795375139281538</x:v>
      </x:c>
      <x:c r="J2995" s="2" t="n">
        <x:v>81</x:v>
      </x:c>
      <x:c r="K2995" s="2"/>
      <x:c r="L2995" s="2"/>
    </x:row>
    <x:row r="2996" ht="22" customHeight="1">
      <x:c r="A2996" s="2"/>
      <x:c r="B2996" s="2" t="n">
        <x:v>2963</x:v>
      </x:c>
      <x:c r="C2996" s="2" t="str">
        <x:v>20618</x:v>
      </x:c>
      <x:c r="D2996" s="2" t="str">
        <x:v>QUEEN OF THE SKIES PASSPORT COVER </x:v>
      </x:c>
      <x:c r="E2996" s="11" t="n">
        <x:v>650.64</x:v>
      </x:c>
      <x:c r="F2996" s="11" t="n">
        <x:v>0</x:v>
      </x:c>
      <x:c r="G2996" s="11" t="n">
        <x:v>650.64</x:v>
      </x:c>
      <x:c r="H2996" s="23" t="n">
        <x:v>0.00003168638247223927</x:v>
      </x:c>
      <x:c r="I2996" s="23" t="n">
        <x:v>0.979569200310626</x:v>
      </x:c>
      <x:c r="J2996" s="2" t="n">
        <x:v>137</x:v>
      </x:c>
      <x:c r="K2996" s="2"/>
      <x:c r="L2996" s="2"/>
    </x:row>
    <x:row r="2997" ht="22" customHeight="1">
      <x:c r="A2997" s="2"/>
      <x:c r="B2997" s="2" t="n">
        <x:v>2964</x:v>
      </x:c>
      <x:c r="C2997" s="2" t="str">
        <x:v>20714</x:v>
      </x:c>
      <x:c r="D2997" s="2" t="str">
        <x:v>POSY SHOPPER BAG</x:v>
      </x:c>
      <x:c r="E2997" s="11" t="n">
        <x:v>649.8199999999999</x:v>
      </x:c>
      <x:c r="F2997" s="11" t="n">
        <x:v>0</x:v>
      </x:c>
      <x:c r="G2997" s="11" t="n">
        <x:v>649.8199999999999</x:v>
      </x:c>
      <x:c r="H2997" s="23" t="n">
        <x:v>0.000031646448201940434</x:v>
      </x:c>
      <x:c r="I2997" s="23" t="n">
        <x:v>0.979600846758828</x:v>
      </x:c>
      <x:c r="J2997" s="2" t="n">
        <x:v>28</x:v>
      </x:c>
      <x:c r="K2997" s="2"/>
      <x:c r="L2997" s="2"/>
    </x:row>
    <x:row r="2998" ht="22" customHeight="1">
      <x:c r="A2998" s="2"/>
      <x:c r="B2998" s="2" t="n">
        <x:v>2965</x:v>
      </x:c>
      <x:c r="C2998" s="2" t="str">
        <x:v>21134</x:v>
      </x:c>
      <x:c r="D2998" s="2" t="str">
        <x:v>VICTORIAN METAL POSTCARD CHRISTMAS</x:v>
      </x:c>
      <x:c r="E2998" s="11" t="n">
        <x:v>649.74</x:v>
      </x:c>
      <x:c r="F2998" s="11" t="n">
        <x:v>0</x:v>
      </x:c>
      <x:c r="G2998" s="11" t="n">
        <x:v>649.74</x:v>
      </x:c>
      <x:c r="H2998" s="23" t="n">
        <x:v>0.00003164255217556982</x:v>
      </x:c>
      <x:c r="I2998" s="23" t="n">
        <x:v>0.9796324893110036</x:v>
      </x:c>
      <x:c r="J2998" s="2" t="n">
        <x:v>46</x:v>
      </x:c>
      <x:c r="K2998" s="2"/>
      <x:c r="L2998" s="2"/>
    </x:row>
    <x:row r="2999" ht="22" customHeight="1">
      <x:c r="A2999" s="2"/>
      <x:c r="B2999" s="2" t="n">
        <x:v>2966</x:v>
      </x:c>
      <x:c r="C2999" s="2" t="str">
        <x:v>23224</x:v>
      </x:c>
      <x:c r="D2999" s="2" t="str">
        <x:v>CHERUB HEART DECORATION GOLD</x:v>
      </x:c>
      <x:c r="E2999" s="11" t="n">
        <x:v>649.02</x:v>
      </x:c>
      <x:c r="F2999" s="11" t="n">
        <x:v>11.62</x:v>
      </x:c>
      <x:c r="G2999" s="11" t="n">
        <x:v>637.4</x:v>
      </x:c>
      <x:c r="H2999" s="23" t="n">
        <x:v>0.000031607487938234255</x:v>
      </x:c>
      <x:c r="I2999" s="23" t="n">
        <x:v>0.9796640967989417</x:v>
      </x:c>
      <x:c r="J2999" s="2" t="n">
        <x:v>71</x:v>
      </x:c>
      <x:c r="K2999" s="2"/>
      <x:c r="L2999" s="2"/>
    </x:row>
    <x:row r="3000" ht="22" customHeight="1">
      <x:c r="A3000" s="2"/>
      <x:c r="B3000" s="2" t="n">
        <x:v>2967</x:v>
      </x:c>
      <x:c r="C3000" s="2" t="str">
        <x:v>84993A</x:v>
      </x:c>
      <x:c r="D3000" s="2" t="str">
        <x:v>75 GREEN PETIT FOUR CASES</x:v>
      </x:c>
      <x:c r="E3000" s="11" t="n">
        <x:v>648.61</x:v>
      </x:c>
      <x:c r="F3000" s="11" t="n">
        <x:v>0</x:v>
      </x:c>
      <x:c r="G3000" s="11" t="n">
        <x:v>648.61</x:v>
      </x:c>
      <x:c r="H3000" s="23" t="n">
        <x:v>0.000031587520803084836</x:v>
      </x:c>
      <x:c r="I3000" s="23" t="n">
        <x:v>0.9796956843197449</x:v>
      </x:c>
      <x:c r="J3000" s="2" t="n">
        <x:v>177</x:v>
      </x:c>
      <x:c r="K3000" s="2"/>
      <x:c r="L3000" s="2"/>
    </x:row>
    <x:row r="3001" ht="22" customHeight="1">
      <x:c r="A3001" s="2"/>
      <x:c r="B3001" s="2" t="n">
        <x:v>2968</x:v>
      </x:c>
      <x:c r="C3001" s="2" t="str">
        <x:v>21003</x:v>
      </x:c>
      <x:c r="D3001" s="2" t="str">
        <x:v>ROSE DU SUD CUSHION COVER</x:v>
      </x:c>
      <x:c r="E3001" s="11" t="n">
        <x:v>647.75</x:v>
      </x:c>
      <x:c r="F3001" s="11" t="n">
        <x:v>0</x:v>
      </x:c>
      <x:c r="G3001" s="11" t="n">
        <x:v>647.75</x:v>
      </x:c>
      <x:c r="H3001" s="23" t="n">
        <x:v>0.00003154563851960069</x:v>
      </x:c>
      <x:c r="I3001" s="23" t="n">
        <x:v>0.9797272299582644</x:v>
      </x:c>
      <x:c r="J3001" s="2" t="n">
        <x:v>64</x:v>
      </x:c>
      <x:c r="K3001" s="2"/>
      <x:c r="L3001" s="2"/>
    </x:row>
    <x:row r="3002" ht="22" customHeight="1">
      <x:c r="A3002" s="2"/>
      <x:c r="B3002" s="2" t="n">
        <x:v>2969</x:v>
      </x:c>
      <x:c r="C3002" s="2" t="str">
        <x:v>84916</x:v>
      </x:c>
      <x:c r="D3002" s="2" t="str">
        <x:v>HAND TOWEL PALE BLUE W FLOWERS</x:v>
      </x:c>
      <x:c r="E3002" s="11" t="n">
        <x:v>646.4300000000001</x:v>
      </x:c>
      <x:c r="F3002" s="11" t="n">
        <x:v>0</x:v>
      </x:c>
      <x:c r="G3002" s="11" t="n">
        <x:v>646.4300000000001</x:v>
      </x:c>
      <x:c r="H3002" s="23" t="n">
        <x:v>0.000031481354084485486</x:v>
      </x:c>
      <x:c r="I3002" s="23" t="n">
        <x:v>0.9797587113123489</x:v>
      </x:c>
      <x:c r="J3002" s="2" t="n">
        <x:v>58</x:v>
      </x:c>
      <x:c r="K3002" s="2"/>
      <x:c r="L3002" s="2"/>
    </x:row>
    <x:row r="3003" ht="22" customHeight="1">
      <x:c r="A3003" s="2"/>
      <x:c r="B3003" s="2" t="n">
        <x:v>2970</x:v>
      </x:c>
      <x:c r="C3003" s="2" t="str">
        <x:v>22391</x:v>
      </x:c>
      <x:c r="D3003" s="2" t="str">
        <x:v>PAPERWEIGHT HOME SWEET HOME</x:v>
      </x:c>
      <x:c r="E3003" s="11" t="n">
        <x:v>645.39</x:v>
      </x:c>
      <x:c r="F3003" s="11" t="n">
        <x:v>0</x:v>
      </x:c>
      <x:c r="G3003" s="11" t="n">
        <x:v>645.39</x:v>
      </x:c>
      <x:c r="H3003" s="23" t="n">
        <x:v>0.00003143070574166744</x:v>
      </x:c>
      <x:c r="I3003" s="23" t="n">
        <x:v>0.9797901420180906</x:v>
      </x:c>
      <x:c r="J3003" s="2" t="n">
        <x:v>66</x:v>
      </x:c>
      <x:c r="K3003" s="2"/>
      <x:c r="L3003" s="2"/>
    </x:row>
    <x:row r="3004" ht="22" customHeight="1">
      <x:c r="A3004" s="2"/>
      <x:c r="B3004" s="2" t="n">
        <x:v>2971</x:v>
      </x:c>
      <x:c r="C3004" s="2" t="str">
        <x:v>84865</x:v>
      </x:c>
      <x:c r="D3004" s="2" t="str">
        <x:v>damaged</x:v>
      </x:c>
      <x:c r="E3004" s="11" t="n">
        <x:v>645.32</x:v>
      </x:c>
      <x:c r="F3004" s="11" t="n">
        <x:v>0</x:v>
      </x:c>
      <x:c r="G3004" s="11" t="n">
        <x:v>645.32</x:v>
      </x:c>
      <x:c r="H3004" s="23" t="n">
        <x:v>0.00003142729671859315</x:v>
      </x:c>
      <x:c r="I3004" s="23" t="n">
        <x:v>0.9798215693148091</x:v>
      </x:c>
      <x:c r="J3004" s="2" t="n">
        <x:v>48</x:v>
      </x:c>
      <x:c r="K3004" s="2"/>
      <x:c r="L3004" s="2"/>
    </x:row>
    <x:row r="3005" ht="22" customHeight="1">
      <x:c r="A3005" s="2"/>
      <x:c r="B3005" s="2" t="n">
        <x:v>2972</x:v>
      </x:c>
      <x:c r="C3005" s="2" t="str">
        <x:v>17181</x:v>
      </x:c>
      <x:c r="D3005" s="2" t="str">
        <x:v>CIRCLE OF FRIENDS CANDLE HOLDER</x:v>
      </x:c>
      <x:c r="E3005" s="11" t="n">
        <x:v>645.2099999999999</x:v>
      </x:c>
      <x:c r="F3005" s="11" t="n">
        <x:v>0</x:v>
      </x:c>
      <x:c r="G3005" s="11" t="n">
        <x:v>645.2099999999999</x:v>
      </x:c>
      <x:c r="H3005" s="23" t="n">
        <x:v>0.00003142193968233355</x:v>
      </x:c>
      <x:c r="I3005" s="23" t="n">
        <x:v>0.9798529912544914</x:v>
      </x:c>
      <x:c r="J3005" s="2" t="n">
        <x:v>65</x:v>
      </x:c>
      <x:c r="K3005" s="2"/>
      <x:c r="L3005" s="2"/>
    </x:row>
    <x:row r="3006" ht="22" customHeight="1">
      <x:c r="A3006" s="2"/>
      <x:c r="B3006" s="2" t="n">
        <x:v>2973</x:v>
      </x:c>
      <x:c r="C3006" s="2" t="str">
        <x:v>47597</x:v>
      </x:c>
      <x:c r="D3006" s="2" t="str">
        <x:v>NEW ENGLAND TEATOWELS</x:v>
      </x:c>
      <x:c r="E3006" s="11" t="n">
        <x:v>644.88</x:v>
      </x:c>
      <x:c r="F3006" s="11" t="n">
        <x:v>0</x:v>
      </x:c>
      <x:c r="G3006" s="11" t="n">
        <x:v>644.88</x:v>
      </x:c>
      <x:c r="H3006" s="23" t="n">
        <x:v>0.00003140586857355475</x:v>
      </x:c>
      <x:c r="I3006" s="23" t="n">
        <x:v>0.979884397123065</x:v>
      </x:c>
      <x:c r="J3006" s="2" t="n">
        <x:v>124</x:v>
      </x:c>
      <x:c r="K3006" s="2"/>
      <x:c r="L3006" s="2"/>
    </x:row>
    <x:row r="3007" ht="22" customHeight="1">
      <x:c r="A3007" s="2"/>
      <x:c r="B3007" s="2" t="n">
        <x:v>2974</x:v>
      </x:c>
      <x:c r="C3007" s="2" t="str">
        <x:v>23408</x:v>
      </x:c>
      <x:c r="D3007" s="2" t="str">
        <x:v>PHOTO FRAME LINEN AND LACE SMALL</x:v>
      </x:c>
      <x:c r="E3007" s="11" t="n">
        <x:v>644.8000000000001</x:v>
      </x:c>
      <x:c r="F3007" s="11" t="n">
        <x:v>29.12</x:v>
      </x:c>
      <x:c r="G3007" s="11" t="n">
        <x:v>615.6800000000001</x:v>
      </x:c>
      <x:c r="H3007" s="23" t="n">
        <x:v>0.000031401972547184136</x:v>
      </x:c>
      <x:c r="I3007" s="23" t="n">
        <x:v>0.9799157990956121</x:v>
      </x:c>
      <x:c r="J3007" s="2" t="n">
        <x:v>59</x:v>
      </x:c>
      <x:c r="K3007" s="2"/>
      <x:c r="L3007" s="2"/>
    </x:row>
    <x:row r="3008" ht="22" customHeight="1">
      <x:c r="A3008" s="2"/>
      <x:c r="B3008" s="2" t="n">
        <x:v>2975</x:v>
      </x:c>
      <x:c r="C3008" s="2" t="str">
        <x:v>84766</x:v>
      </x:c>
      <x:c r="D3008" s="2" t="str">
        <x:v>SILVER ROCOCO CANDLE STICK</x:v>
      </x:c>
      <x:c r="E3008" s="11" t="n">
        <x:v>643.95</x:v>
      </x:c>
      <x:c r="F3008" s="11" t="n">
        <x:v>43.199999999999996</x:v>
      </x:c>
      <x:c r="G3008" s="11" t="n">
        <x:v>600.75</x:v>
      </x:c>
      <x:c r="H3008" s="23" t="n">
        <x:v>0.000031360577266996314</x:v>
      </x:c>
      <x:c r="I3008" s="23" t="n">
        <x:v>0.9799471596728792</x:v>
      </x:c>
      <x:c r="J3008" s="2" t="n">
        <x:v>27</x:v>
      </x:c>
      <x:c r="K3008" s="2"/>
      <x:c r="L3008" s="2"/>
    </x:row>
    <x:row r="3009" ht="22" customHeight="1">
      <x:c r="A3009" s="2"/>
      <x:c r="B3009" s="2" t="n">
        <x:v>2976</x:v>
      </x:c>
      <x:c r="C3009" s="2" t="str">
        <x:v>22042</x:v>
      </x:c>
      <x:c r="D3009" s="2" t="str">
        <x:v>CHRISTMAS CARD SINGING ANGEL</x:v>
      </x:c>
      <x:c r="E3009" s="11" t="n">
        <x:v>642.3100000000001</x:v>
      </x:c>
      <x:c r="F3009" s="11" t="n">
        <x:v>10.08</x:v>
      </x:c>
      <x:c r="G3009" s="11" t="n">
        <x:v>632.23</x:v>
      </x:c>
      <x:c r="H3009" s="23" t="n">
        <x:v>0.00003128070872639864</x:v>
      </x:c>
      <x:c r="I3009" s="23" t="n">
        <x:v>0.9799784403816055</x:v>
      </x:c>
      <x:c r="J3009" s="2" t="n">
        <x:v>128</x:v>
      </x:c>
      <x:c r="K3009" s="2"/>
      <x:c r="L3009" s="2"/>
    </x:row>
    <x:row r="3010" ht="22" customHeight="1">
      <x:c r="A3010" s="2"/>
      <x:c r="B3010" s="2" t="n">
        <x:v>2977</x:v>
      </x:c>
      <x:c r="C3010" s="2" t="str">
        <x:v>85185D</x:v>
      </x:c>
      <x:c r="D3010" s="2" t="str">
        <x:v>FROG SOCK PUPPET</x:v>
      </x:c>
      <x:c r="E3010" s="11" t="n">
        <x:v>642.01</x:v>
      </x:c>
      <x:c r="F3010" s="11" t="n">
        <x:v>0</x:v>
      </x:c>
      <x:c r="G3010" s="11" t="n">
        <x:v>642.01</x:v>
      </x:c>
      <x:c r="H3010" s="23" t="n">
        <x:v>0.00003126609862750882</x:v>
      </x:c>
      <x:c r="I3010" s="23" t="n">
        <x:v>0.980009706480233</x:v>
      </x:c>
      <x:c r="J3010" s="2" t="n">
        <x:v>66</x:v>
      </x:c>
      <x:c r="K3010" s="2"/>
      <x:c r="L3010" s="2"/>
    </x:row>
    <x:row r="3011" ht="22" customHeight="1">
      <x:c r="A3011" s="2"/>
      <x:c r="B3011" s="2" t="n">
        <x:v>2978</x:v>
      </x:c>
      <x:c r="C3011" s="2" t="str">
        <x:v>84520D</x:v>
      </x:c>
      <x:c r="D3011" s="2" t="str">
        <x:v>PACK OF 20 FAIRY CAKE PAPER NAPKINS</x:v>
      </x:c>
      <x:c r="E3011" s="11" t="n">
        <x:v>641.17</x:v>
      </x:c>
      <x:c r="F3011" s="11" t="n">
        <x:v>10.2</x:v>
      </x:c>
      <x:c r="G3011" s="11" t="n">
        <x:v>630.9699999999999</x:v>
      </x:c>
      <x:c r="H3011" s="23" t="n">
        <x:v>0.00003122519035061732</x:v>
      </x:c>
      <x:c r="I3011" s="23" t="n">
        <x:v>0.9800409316705836</x:v>
      </x:c>
      <x:c r="J3011" s="2" t="n">
        <x:v>94</x:v>
      </x:c>
      <x:c r="K3011" s="2"/>
      <x:c r="L3011" s="2"/>
    </x:row>
    <x:row r="3012" ht="22" customHeight="1">
      <x:c r="A3012" s="2"/>
      <x:c r="B3012" s="2" t="n">
        <x:v>2979</x:v>
      </x:c>
      <x:c r="C3012" s="2" t="str">
        <x:v>16169M</x:v>
      </x:c>
      <x:c r="D3012" s="2" t="str">
        <x:v>WRAP DAISY CARPET </x:v>
      </x:c>
      <x:c r="E3012" s="11" t="n">
        <x:v>640.95</x:v>
      </x:c>
      <x:c r="F3012" s="11" t="n">
        <x:v>0</x:v>
      </x:c>
      <x:c r="G3012" s="11" t="n">
        <x:v>640.95</x:v>
      </x:c>
      <x:c r="H3012" s="23" t="n">
        <x:v>0.00003121447627809813</x:v>
      </x:c>
      <x:c r="I3012" s="23" t="n">
        <x:v>0.9800721461468617</x:v>
      </x:c>
      <x:c r="J3012" s="2" t="n">
        <x:v>59</x:v>
      </x:c>
      <x:c r="K3012" s="2"/>
      <x:c r="L3012" s="2"/>
    </x:row>
    <x:row r="3013" ht="22" customHeight="1">
      <x:c r="A3013" s="2"/>
      <x:c r="B3013" s="2" t="n">
        <x:v>2980</x:v>
      </x:c>
      <x:c r="C3013" s="2" t="str">
        <x:v>17084N</x:v>
      </x:c>
      <x:c r="D3013" s="2" t="str">
        <x:v>FAIRY DREAMS INCENSE </x:v>
      </x:c>
      <x:c r="E3013" s="11" t="n">
        <x:v>640.26</x:v>
      </x:c>
      <x:c r="F3013" s="11" t="n">
        <x:v>0</x:v>
      </x:c>
      <x:c r="G3013" s="11" t="n">
        <x:v>640.26</x:v>
      </x:c>
      <x:c r="H3013" s="23" t="n">
        <x:v>0.00003118087305065154</x:v>
      </x:c>
      <x:c r="I3013" s="23" t="n">
        <x:v>0.9801033270199123</x:v>
      </x:c>
      <x:c r="J3013" s="2" t="n">
        <x:v>187</x:v>
      </x:c>
      <x:c r="K3013" s="2"/>
      <x:c r="L3013" s="2"/>
    </x:row>
    <x:row r="3014" ht="22" customHeight="1">
      <x:c r="A3014" s="2"/>
      <x:c r="B3014" s="2" t="n">
        <x:v>2981</x:v>
      </x:c>
      <x:c r="C3014" s="2" t="str">
        <x:v>21816</x:v>
      </x:c>
      <x:c r="D3014" s="2" t="str">
        <x:v>CHRISTMAS TREE T-LIGHT HOLDER</x:v>
      </x:c>
      <x:c r="E3014" s="11" t="n">
        <x:v>640.24</x:v>
      </x:c>
      <x:c r="F3014" s="11" t="n">
        <x:v>1.45</x:v>
      </x:c>
      <x:c r="G3014" s="11" t="n">
        <x:v>638.79</x:v>
      </x:c>
      <x:c r="H3014" s="23" t="n">
        <x:v>0.000031179899044058886</x:v>
      </x:c>
      <x:c r="I3014" s="23" t="n">
        <x:v>0.9801345069189564</x:v>
      </x:c>
      <x:c r="J3014" s="2" t="n">
        <x:v>50</x:v>
      </x:c>
      <x:c r="K3014" s="2"/>
      <x:c r="L3014" s="2"/>
    </x:row>
    <x:row r="3015" ht="22" customHeight="1">
      <x:c r="A3015" s="2"/>
      <x:c r="B3015" s="2" t="n">
        <x:v>2982</x:v>
      </x:c>
      <x:c r="C3015" s="2" t="str">
        <x:v>35004P</x:v>
      </x:c>
      <x:c r="D3015" s="2" t="str">
        <x:v>SET OF 3 PINK FLYING DUCKS</x:v>
      </x:c>
      <x:c r="E3015" s="11" t="n">
        <x:v>638.97</x:v>
      </x:c>
      <x:c r="F3015" s="11" t="n">
        <x:v>0</x:v>
      </x:c>
      <x:c r="G3015" s="11" t="n">
        <x:v>638.97</x:v>
      </x:c>
      <x:c r="H3015" s="23" t="n">
        <x:v>0.00003111804962542532</x:v>
      </x:c>
      <x:c r="I3015" s="23" t="n">
        <x:v>0.9801656249685818</x:v>
      </x:c>
      <x:c r="J3015" s="2" t="n">
        <x:v>43</x:v>
      </x:c>
      <x:c r="K3015" s="2"/>
      <x:c r="L3015" s="2"/>
    </x:row>
    <x:row r="3016" ht="22" customHeight="1">
      <x:c r="A3016" s="2"/>
      <x:c r="B3016" s="2" t="n">
        <x:v>2983</x:v>
      </x:c>
      <x:c r="C3016" s="2" t="str">
        <x:v>21665</x:v>
      </x:c>
      <x:c r="D3016" s="2" t="str">
        <x:v>TRIANGULAR RIDGED GLASS POSY HOLDER</x:v>
      </x:c>
      <x:c r="E3016" s="11" t="n">
        <x:v>638.8000000000001</x:v>
      </x:c>
      <x:c r="F3016" s="11" t="n">
        <x:v>0</x:v>
      </x:c>
      <x:c r="G3016" s="11" t="n">
        <x:v>638.8000000000001</x:v>
      </x:c>
      <x:c r="H3016" s="23" t="n">
        <x:v>0.00003110977056938776</x:v>
      </x:c>
      <x:c r="I3016" s="23" t="n">
        <x:v>0.9801967347391513</x:v>
      </x:c>
      <x:c r="J3016" s="2" t="n">
        <x:v>75</x:v>
      </x:c>
      <x:c r="K3016" s="2"/>
      <x:c r="L3016" s="2"/>
    </x:row>
    <x:row r="3017" ht="22" customHeight="1">
      <x:c r="A3017" s="2"/>
      <x:c r="B3017" s="2" t="n">
        <x:v>2984</x:v>
      </x:c>
      <x:c r="C3017" s="2" t="str">
        <x:v>84601A</x:v>
      </x:c>
      <x:c r="D3017" s="2" t="str">
        <x:v>NEW BAROQUE IVORY CUSHION COVER </x:v>
      </x:c>
      <x:c r="E3017" s="11" t="n">
        <x:v>638.34</x:v>
      </x:c>
      <x:c r="F3017" s="11" t="n">
        <x:v>187.5</x:v>
      </x:c>
      <x:c r="G3017" s="11" t="n">
        <x:v>450.84000000000003</x:v>
      </x:c>
      <x:c r="H3017" s="23" t="n">
        <x:v>0.0000310873684177567</x:v>
      </x:c>
      <x:c r="I3017" s="23" t="n">
        <x:v>0.980227822107569</x:v>
      </x:c>
      <x:c r="J3017" s="2" t="n">
        <x:v>15</x:v>
      </x:c>
      <x:c r="K3017" s="2"/>
      <x:c r="L3017" s="2"/>
    </x:row>
    <x:row r="3018" ht="22" customHeight="1">
      <x:c r="A3018" s="2"/>
      <x:c r="B3018" s="2" t="n">
        <x:v>2985</x:v>
      </x:c>
      <x:c r="C3018" s="2" t="str">
        <x:v>47592A</x:v>
      </x:c>
      <x:c r="D3018" s="2" t="str">
        <x:v>CAROUSEL CHILDRENS OVERALL</x:v>
      </x:c>
      <x:c r="E3018" s="11" t="n">
        <x:v>637.37</x:v>
      </x:c>
      <x:c r="F3018" s="11" t="n">
        <x:v>0</x:v>
      </x:c>
      <x:c r="G3018" s="11" t="n">
        <x:v>637.37</x:v>
      </x:c>
      <x:c r="H3018" s="23" t="n">
        <x:v>0.000031040129098012954</x:v>
      </x:c>
      <x:c r="I3018" s="23" t="n">
        <x:v>0.980258862236667</x:v>
      </x:c>
      <x:c r="J3018" s="2" t="n">
        <x:v>101</x:v>
      </x:c>
      <x:c r="K3018" s="2"/>
      <x:c r="L3018" s="2"/>
    </x:row>
    <x:row r="3019" ht="22" customHeight="1">
      <x:c r="A3019" s="2"/>
      <x:c r="B3019" s="2" t="n">
        <x:v>2986</x:v>
      </x:c>
      <x:c r="C3019" s="2" t="str">
        <x:v>84872a</x:v>
      </x:c>
      <x:c r="D3019" s="2" t="str">
        <x:v>TEATIME FUNKY FLOWER BACKPACK FOR 2</x:v>
      </x:c>
      <x:c r="E3019" s="11" t="n">
        <x:v>636.47</x:v>
      </x:c>
      <x:c r="F3019" s="11" t="n">
        <x:v>0</x:v>
      </x:c>
      <x:c r="G3019" s="11" t="n">
        <x:v>636.47</x:v>
      </x:c>
      <x:c r="H3019" s="23" t="n">
        <x:v>0.0000309962988013435</x:v>
      </x:c>
      <x:c r="I3019" s="23" t="n">
        <x:v>0.9802898585354684</x:v>
      </x:c>
      <x:c r="J3019" s="2" t="n">
        <x:v>45</x:v>
      </x:c>
      <x:c r="K3019" s="2"/>
      <x:c r="L3019" s="2"/>
    </x:row>
    <x:row r="3020" ht="22" customHeight="1">
      <x:c r="A3020" s="2"/>
      <x:c r="B3020" s="2" t="n">
        <x:v>2987</x:v>
      </x:c>
      <x:c r="C3020" s="2" t="str">
        <x:v>23492</x:v>
      </x:c>
      <x:c r="D3020" s="2" t="str">
        <x:v>VINTAGE JINGLE BELLS WREATH</x:v>
      </x:c>
      <x:c r="E3020" s="11" t="n">
        <x:v>635.38</x:v>
      </x:c>
      <x:c r="F3020" s="11" t="n">
        <x:v>0</x:v>
      </x:c>
      <x:c r="G3020" s="11" t="n">
        <x:v>635.38</x:v>
      </x:c>
      <x:c r="H3020" s="23" t="n">
        <x:v>0.00003094321544204382</x:v>
      </x:c>
      <x:c r="I3020" s="23" t="n">
        <x:v>0.9803208017509104</x:v>
      </x:c>
      <x:c r="J3020" s="2" t="n">
        <x:v>28</x:v>
      </x:c>
      <x:c r="K3020" s="2"/>
      <x:c r="L3020" s="2"/>
    </x:row>
    <x:row r="3021" ht="22" customHeight="1">
      <x:c r="A3021" s="2"/>
      <x:c r="B3021" s="2" t="n">
        <x:v>2988</x:v>
      </x:c>
      <x:c r="C3021" s="2" t="str">
        <x:v>84507C</x:v>
      </x:c>
      <x:c r="D3021" s="2" t="str">
        <x:v>adjustment</x:v>
      </x:c>
      <x:c r="E3021" s="11" t="n">
        <x:v>634.64</x:v>
      </x:c>
      <x:c r="F3021" s="11" t="n">
        <x:v>20.4</x:v>
      </x:c>
      <x:c r="G3021" s="11" t="n">
        <x:v>614.24</x:v>
      </x:c>
      <x:c r="H3021" s="23" t="n">
        <x:v>0.0000309071771981156</x:v>
      </x:c>
      <x:c r="I3021" s="23" t="n">
        <x:v>0.9803517089281085</x:v>
      </x:c>
      <x:c r="J3021" s="2" t="n">
        <x:v>70</x:v>
      </x:c>
      <x:c r="K3021" s="2"/>
      <x:c r="L3021" s="2"/>
    </x:row>
    <x:row r="3022" ht="22" customHeight="1">
      <x:c r="A3022" s="2"/>
      <x:c r="B3022" s="2" t="n">
        <x:v>2989</x:v>
      </x:c>
      <x:c r="C3022" s="2" t="str">
        <x:v>23456</x:v>
      </x:c>
      <x:c r="D3022" s="2" t="str">
        <x:v>MEDIUM PARLOUR PICTURE FRAME </x:v>
      </x:c>
      <x:c r="E3022" s="11" t="n">
        <x:v>634.1</x:v>
      </x:c>
      <x:c r="F3022" s="11" t="n">
        <x:v>8.3</x:v>
      </x:c>
      <x:c r="G3022" s="11" t="n">
        <x:v>625.8000000000001</x:v>
      </x:c>
      <x:c r="H3022" s="23" t="n">
        <x:v>0.00003088087902011393</x:v>
      </x:c>
      <x:c r="I3022" s="23" t="n">
        <x:v>0.9803825898071287</x:v>
      </x:c>
      <x:c r="J3022" s="2" t="n">
        <x:v>36</x:v>
      </x:c>
      <x:c r="K3022" s="2"/>
      <x:c r="L3022" s="2"/>
    </x:row>
    <x:row r="3023" ht="22" customHeight="1">
      <x:c r="A3023" s="2"/>
      <x:c r="B3023" s="2" t="n">
        <x:v>2990</x:v>
      </x:c>
      <x:c r="C3023" s="2" t="str">
        <x:v>22263</x:v>
      </x:c>
      <x:c r="D3023" s="2" t="str">
        <x:v>FELT EGG COSY LADYBIRD </x:v>
      </x:c>
      <x:c r="E3023" s="11" t="n">
        <x:v>632.48</x:v>
      </x:c>
      <x:c r="F3023" s="11" t="n">
        <x:v>32.34</x:v>
      </x:c>
      <x:c r="G3023" s="11" t="n">
        <x:v>600.14</x:v>
      </x:c>
      <x:c r="H3023" s="23" t="n">
        <x:v>0.000030801984486108905</x:v>
      </x:c>
      <x:c r="I3023" s="23" t="n">
        <x:v>0.9804133917916148</x:v>
      </x:c>
      <x:c r="J3023" s="2" t="n">
        <x:v>105</x:v>
      </x:c>
      <x:c r="K3023" s="2"/>
      <x:c r="L3023" s="2"/>
    </x:row>
    <x:row r="3024" ht="22" customHeight="1">
      <x:c r="A3024" s="2"/>
      <x:c r="B3024" s="2" t="n">
        <x:v>2991</x:v>
      </x:c>
      <x:c r="C3024" s="2" t="str">
        <x:v>23453</x:v>
      </x:c>
      <x:c r="D3024" s="2" t="str">
        <x:v>OVAL  MINI PORTRAIT FRAME</x:v>
      </x:c>
      <x:c r="E3024" s="11" t="n">
        <x:v>631.5799999999999</x:v>
      </x:c>
      <x:c r="F3024" s="11" t="n">
        <x:v>0</x:v>
      </x:c>
      <x:c r="G3024" s="11" t="n">
        <x:v>631.5799999999999</x:v>
      </x:c>
      <x:c r="H3024" s="23" t="n">
        <x:v>0.00003075815418943944</x:v>
      </x:c>
      <x:c r="I3024" s="23" t="n">
        <x:v>0.9804441499458042</x:v>
      </x:c>
      <x:c r="J3024" s="2" t="n">
        <x:v>47</x:v>
      </x:c>
      <x:c r="K3024" s="2"/>
      <x:c r="L3024" s="2"/>
    </x:row>
    <x:row r="3025" ht="22" customHeight="1">
      <x:c r="A3025" s="2"/>
      <x:c r="B3025" s="2" t="n">
        <x:v>2992</x:v>
      </x:c>
      <x:c r="C3025" s="2" t="str">
        <x:v>20819</x:v>
      </x:c>
      <x:c r="D3025" s="2" t="str">
        <x:v>SILVER TEDDY BEAR</x:v>
      </x:c>
      <x:c r="E3025" s="11" t="n">
        <x:v>631.49</x:v>
      </x:c>
      <x:c r="F3025" s="11" t="n">
        <x:v>0</x:v>
      </x:c>
      <x:c r="G3025" s="11" t="n">
        <x:v>631.49</x:v>
      </x:c>
      <x:c r="H3025" s="23" t="n">
        <x:v>0.0000307537711597725</x:v>
      </x:c>
      <x:c r="I3025" s="23" t="n">
        <x:v>0.980474903716964</x:v>
      </x:c>
      <x:c r="J3025" s="2" t="n">
        <x:v>65</x:v>
      </x:c>
      <x:c r="K3025" s="2"/>
      <x:c r="L3025" s="2"/>
    </x:row>
    <x:row r="3026" ht="22" customHeight="1">
      <x:c r="A3026" s="2"/>
      <x:c r="B3026" s="2" t="n">
        <x:v>2993</x:v>
      </x:c>
      <x:c r="C3026" s="2" t="str">
        <x:v>23216</x:v>
      </x:c>
      <x:c r="D3026" s="2" t="str">
        <x:v>LAUREL HEART ANTIQUE GOLD</x:v>
      </x:c>
      <x:c r="E3026" s="11" t="n">
        <x:v>630.73</x:v>
      </x:c>
      <x:c r="F3026" s="11" t="n">
        <x:v>0</x:v>
      </x:c>
      <x:c r="G3026" s="11" t="n">
        <x:v>630.73</x:v>
      </x:c>
      <x:c r="H3026" s="23" t="n">
        <x:v>0.000030716758909251626</x:v>
      </x:c>
      <x:c r="I3026" s="23" t="n">
        <x:v>0.9805056204758732</x:v>
      </x:c>
      <x:c r="J3026" s="2" t="n">
        <x:v>44</x:v>
      </x:c>
      <x:c r="K3026" s="2"/>
      <x:c r="L3026" s="2"/>
    </x:row>
    <x:row r="3027" ht="22" customHeight="1">
      <x:c r="A3027" s="2"/>
      <x:c r="B3027" s="2" t="n">
        <x:v>2994</x:v>
      </x:c>
      <x:c r="C3027" s="2" t="str">
        <x:v>84964A</x:v>
      </x:c>
      <x:c r="D3027" s="2" t="str">
        <x:v>PINK PAINTED KASHMIRI TABLE</x:v>
      </x:c>
      <x:c r="E3027" s="11" t="n">
        <x:v>630</x:v>
      </x:c>
      <x:c r="F3027" s="11" t="n">
        <x:v>0</x:v>
      </x:c>
      <x:c r="G3027" s="11" t="n">
        <x:v>630</x:v>
      </x:c>
      <x:c r="H3027" s="23" t="n">
        <x:v>0.000030681207668619734</x:v>
      </x:c>
      <x:c r="I3027" s="23" t="n">
        <x:v>0.9805363016835418</x:v>
      </x:c>
      <x:c r="J3027" s="2" t="n">
        <x:v>2</x:v>
      </x:c>
      <x:c r="K3027" s="2"/>
      <x:c r="L3027" s="2"/>
    </x:row>
    <x:row r="3028" ht="22" customHeight="1">
      <x:c r="A3028" s="2"/>
      <x:c r="B3028" s="2" t="n">
        <x:v>2995</x:v>
      </x:c>
      <x:c r="C3028" s="2" t="str">
        <x:v>23019</x:v>
      </x:c>
      <x:c r="D3028" s="2" t="str">
        <x:v>SMALL APOTHECARY MEASURING JAR </x:v>
      </x:c>
      <x:c r="E3028" s="11" t="n">
        <x:v>629.0500000000001</x:v>
      </x:c>
      <x:c r="F3028" s="11" t="n">
        <x:v>0</x:v>
      </x:c>
      <x:c r="G3028" s="11" t="n">
        <x:v>629.0500000000001</x:v>
      </x:c>
      <x:c r="H3028" s="23" t="n">
        <x:v>0.00003063494235546864</x:v>
      </x:c>
      <x:c r="I3028" s="23" t="n">
        <x:v>0.9805669366258972</x:v>
      </x:c>
      <x:c r="J3028" s="2" t="n">
        <x:v>28</x:v>
      </x:c>
      <x:c r="K3028" s="2"/>
      <x:c r="L3028" s="2"/>
    </x:row>
    <x:row r="3029" ht="22" customHeight="1">
      <x:c r="A3029" s="2"/>
      <x:c r="B3029" s="2" t="n">
        <x:v>2996</x:v>
      </x:c>
      <x:c r="C3029" s="2" t="str">
        <x:v>85230E</x:v>
      </x:c>
      <x:c r="D3029" s="2" t="str">
        <x:v>Damaged</x:v>
      </x:c>
      <x:c r="E3029" s="11" t="n">
        <x:v>628.41</x:v>
      </x:c>
      <x:c r="F3029" s="11" t="n">
        <x:v>0</x:v>
      </x:c>
      <x:c r="G3029" s="11" t="n">
        <x:v>628.41</x:v>
      </x:c>
      <x:c r="H3029" s="23" t="n">
        <x:v>0.000030603774144503694</x:v>
      </x:c>
      <x:c r="I3029" s="23" t="n">
        <x:v>0.9805975404000418</x:v>
      </x:c>
      <x:c r="J3029" s="2" t="n">
        <x:v>66</x:v>
      </x:c>
      <x:c r="K3029" s="2"/>
      <x:c r="L3029" s="2"/>
    </x:row>
    <x:row r="3030" ht="22" customHeight="1">
      <x:c r="A3030" s="2"/>
      <x:c r="B3030" s="2" t="n">
        <x:v>2997</x:v>
      </x:c>
      <x:c r="C3030" s="2" t="str">
        <x:v>23027</x:v>
      </x:c>
      <x:c r="D3030" s="2" t="str">
        <x:v>DRAWER KNOB VINTAGE GLASS HEXAGON</x:v>
      </x:c>
      <x:c r="E3030" s="11" t="n">
        <x:v>627.95</x:v>
      </x:c>
      <x:c r="F3030" s="11" t="n">
        <x:v>0</x:v>
      </x:c>
      <x:c r="G3030" s="11" t="n">
        <x:v>627.95</x:v>
      </x:c>
      <x:c r="H3030" s="23" t="n">
        <x:v>0.00003058137199287264</x:v>
      </x:c>
      <x:c r="I3030" s="23" t="n">
        <x:v>0.9806281217720346</x:v>
      </x:c>
      <x:c r="J3030" s="2" t="n">
        <x:v>30</x:v>
      </x:c>
      <x:c r="K3030" s="2"/>
      <x:c r="L3030" s="2"/>
    </x:row>
    <x:row r="3031" ht="22" customHeight="1">
      <x:c r="A3031" s="2"/>
      <x:c r="B3031" s="2" t="n">
        <x:v>2998</x:v>
      </x:c>
      <x:c r="C3031" s="2" t="str">
        <x:v>71101E</x:v>
      </x:c>
      <x:c r="D3031" s="2" t="str">
        <x:v>STANDING FAIRY POLE SUPPORT </x:v>
      </x:c>
      <x:c r="E3031" s="11" t="n">
        <x:v>627.83</x:v>
      </x:c>
      <x:c r="F3031" s="11" t="n">
        <x:v>2.55</x:v>
      </x:c>
      <x:c r="G3031" s="11" t="n">
        <x:v>625.28</x:v>
      </x:c>
      <x:c r="H3031" s="23" t="n">
        <x:v>0.00003057552795331671</x:v>
      </x:c>
      <x:c r="I3031" s="23" t="n">
        <x:v>0.9806586972999879</x:v>
      </x:c>
      <x:c r="J3031" s="2" t="n">
        <x:v>47</x:v>
      </x:c>
      <x:c r="K3031" s="2"/>
      <x:c r="L3031" s="2"/>
    </x:row>
    <x:row r="3032" ht="22" customHeight="1">
      <x:c r="A3032" s="2"/>
      <x:c r="B3032" s="2" t="n">
        <x:v>2999</x:v>
      </x:c>
      <x:c r="C3032" s="2" t="str">
        <x:v>23471</x:v>
      </x:c>
      <x:c r="D3032" s="2" t="str">
        <x:v>SIX DRAWER OFFICE TIDY</x:v>
      </x:c>
      <x:c r="E3032" s="11" t="n">
        <x:v>626.74</x:v>
      </x:c>
      <x:c r="F3032" s="11" t="n">
        <x:v>0</x:v>
      </x:c>
      <x:c r="G3032" s="11" t="n">
        <x:v>626.74</x:v>
      </x:c>
      <x:c r="H3032" s="23" t="n">
        <x:v>0.000030522444594017035</x:v>
      </x:c>
      <x:c r="I3032" s="23" t="n">
        <x:v>0.9806892197445819</x:v>
      </x:c>
      <x:c r="J3032" s="2" t="n">
        <x:v>27</x:v>
      </x:c>
      <x:c r="K3032" s="2"/>
      <x:c r="L3032" s="2"/>
    </x:row>
    <x:row r="3033" ht="22" customHeight="1">
      <x:c r="A3033" s="2"/>
      <x:c r="B3033" s="2" t="n">
        <x:v>3000</x:v>
      </x:c>
      <x:c r="C3033" s="2" t="str">
        <x:v>16169N</x:v>
      </x:c>
      <x:c r="D3033" s="2" t="str">
        <x:v>WRAP BLUE RUSSIAN FOLKART</x:v>
      </x:c>
      <x:c r="E3033" s="11" t="n">
        <x:v>626.25</x:v>
      </x:c>
      <x:c r="F3033" s="11" t="n">
        <x:v>0</x:v>
      </x:c>
      <x:c r="G3033" s="11" t="n">
        <x:v>626.25</x:v>
      </x:c>
      <x:c r="H3033" s="23" t="n">
        <x:v>0.000030498581432496996</x:v>
      </x:c>
      <x:c r="I3033" s="23" t="n">
        <x:v>0.9807197183260143</x:v>
      </x:c>
      <x:c r="J3033" s="2" t="n">
        <x:v>56</x:v>
      </x:c>
      <x:c r="K3033" s="2"/>
      <x:c r="L3033" s="2"/>
    </x:row>
    <x:row r="3034" ht="22" customHeight="1">
      <x:c r="A3034" s="2"/>
      <x:c r="B3034" s="2" t="n">
        <x:v>3001</x:v>
      </x:c>
      <x:c r="C3034" s="2" t="str">
        <x:v>20694</x:v>
      </x:c>
      <x:c r="D3034" s="2" t="str">
        <x:v>FLORAL PINK MONSTER</x:v>
      </x:c>
      <x:c r="E3034" s="11" t="n">
        <x:v>626.08</x:v>
      </x:c>
      <x:c r="F3034" s="11" t="n">
        <x:v>15</x:v>
      </x:c>
      <x:c r="G3034" s="11" t="n">
        <x:v>611.08</x:v>
      </x:c>
      <x:c r="H3034" s="23" t="n">
        <x:v>0.000030490302376459433</x:v>
      </x:c>
      <x:c r="I3034" s="23" t="n">
        <x:v>0.9807502086283908</x:v>
      </x:c>
      <x:c r="J3034" s="2" t="n">
        <x:v>54</x:v>
      </x:c>
      <x:c r="K3034" s="2"/>
      <x:c r="L3034" s="2"/>
    </x:row>
    <x:row r="3035" ht="22" customHeight="1">
      <x:c r="A3035" s="2"/>
      <x:c r="B3035" s="2" t="n">
        <x:v>3002</x:v>
      </x:c>
      <x:c r="C3035" s="2" t="str">
        <x:v>90184B</x:v>
      </x:c>
      <x:c r="D3035" s="2" t="str">
        <x:v>AMETHYST CHUNKY BEAD BRACELET W STR</x:v>
      </x:c>
      <x:c r="E3035" s="11" t="n">
        <x:v>625.48</x:v>
      </x:c>
      <x:c r="F3035" s="11" t="n">
        <x:v>26.849999999999998</x:v>
      </x:c>
      <x:c r="G3035" s="11" t="n">
        <x:v>598.63</x:v>
      </x:c>
      <x:c r="H3035" s="23" t="n">
        <x:v>0.000030461082178679797</x:v>
      </x:c>
      <x:c r="I3035" s="23" t="n">
        <x:v>0.9807806697105694</x:v>
      </x:c>
      <x:c r="J3035" s="2" t="n">
        <x:v>47</x:v>
      </x:c>
      <x:c r="K3035" s="2"/>
      <x:c r="L3035" s="2"/>
    </x:row>
    <x:row r="3036" ht="22" customHeight="1">
      <x:c r="A3036" s="2"/>
      <x:c r="B3036" s="2" t="n">
        <x:v>3003</x:v>
      </x:c>
      <x:c r="C3036" s="2" t="str">
        <x:v>85218</x:v>
      </x:c>
      <x:c r="D3036" s="2" t="str">
        <x:v>No Stock</x:v>
      </x:c>
      <x:c r="E3036" s="11" t="n">
        <x:v>625.1999999999999</x:v>
      </x:c>
      <x:c r="F3036" s="11" t="n">
        <x:v>4.35</x:v>
      </x:c>
      <x:c r="G3036" s="11" t="n">
        <x:v>620.85</x:v>
      </x:c>
      <x:c r="H3036" s="23" t="n">
        <x:v>0.000030447446086382627</x:v>
      </x:c>
      <x:c r="I3036" s="23" t="n">
        <x:v>0.9808111171566558</x:v>
      </x:c>
      <x:c r="J3036" s="2" t="n">
        <x:v>2</x:v>
      </x:c>
      <x:c r="K3036" s="2"/>
      <x:c r="L3036" s="2"/>
    </x:row>
    <x:row r="3037" ht="22" customHeight="1">
      <x:c r="A3037" s="2"/>
      <x:c r="B3037" s="2" t="n">
        <x:v>3004</x:v>
      </x:c>
      <x:c r="C3037" s="2" t="str">
        <x:v>21004</x:v>
      </x:c>
      <x:c r="D3037" s="2" t="str">
        <x:v>ROSE DU SUD CHILDRENS APRON</x:v>
      </x:c>
      <x:c r="E3037" s="11" t="n">
        <x:v>625.07</x:v>
      </x:c>
      <x:c r="F3037" s="11" t="n">
        <x:v>0</x:v>
      </x:c>
      <x:c r="G3037" s="11" t="n">
        <x:v>625.07</x:v>
      </x:c>
      <x:c r="H3037" s="23" t="n">
        <x:v>0.00003044111504353038</x:v>
      </x:c>
      <x:c r="I3037" s="23" t="n">
        <x:v>0.9808415582716994</x:v>
      </x:c>
      <x:c r="J3037" s="2" t="n">
        <x:v>70</x:v>
      </x:c>
      <x:c r="K3037" s="2"/>
      <x:c r="L3037" s="2"/>
    </x:row>
    <x:row r="3038" ht="22" customHeight="1">
      <x:c r="A3038" s="2"/>
      <x:c r="B3038" s="2" t="n">
        <x:v>3005</x:v>
      </x:c>
      <x:c r="C3038" s="2" t="str">
        <x:v>22043</x:v>
      </x:c>
      <x:c r="D3038" s="2" t="str">
        <x:v>dotcom</x:v>
      </x:c>
      <x:c r="E3038" s="11" t="n">
        <x:v>624.29</x:v>
      </x:c>
      <x:c r="F3038" s="11" t="n">
        <x:v>5.04</x:v>
      </x:c>
      <x:c r="G3038" s="11" t="n">
        <x:v>619.25</x:v>
      </x:c>
      <x:c r="H3038" s="23" t="n">
        <x:v>0.000030403128786416844</x:v>
      </x:c>
      <x:c r="I3038" s="23" t="n">
        <x:v>0.9808719614004858</x:v>
      </x:c>
      <x:c r="J3038" s="2" t="n">
        <x:v>125</x:v>
      </x:c>
      <x:c r="K3038" s="2"/>
      <x:c r="L3038" s="2"/>
    </x:row>
    <x:row r="3039" ht="22" customHeight="1">
      <x:c r="A3039" s="2"/>
      <x:c r="B3039" s="2" t="n">
        <x:v>3006</x:v>
      </x:c>
      <x:c r="C3039" s="2" t="str">
        <x:v>82616A</x:v>
      </x:c>
      <x:c r="D3039" s="2" t="str">
        <x:v>BUBBLE GUM SCARF KNITTING KIT</x:v>
      </x:c>
      <x:c r="E3039" s="11" t="n">
        <x:v>624.21</x:v>
      </x:c>
      <x:c r="F3039" s="11" t="n">
        <x:v>0</x:v>
      </x:c>
      <x:c r="G3039" s="11" t="n">
        <x:v>624.21</x:v>
      </x:c>
      <x:c r="H3039" s="23" t="n">
        <x:v>0.00003039923276004623</x:v>
      </x:c>
      <x:c r="I3039" s="23" t="n">
        <x:v>0.9809023606332459</x:v>
      </x:c>
      <x:c r="J3039" s="2" t="n">
        <x:v>52</x:v>
      </x:c>
      <x:c r="K3039" s="2"/>
      <x:c r="L3039" s="2"/>
    </x:row>
    <x:row r="3040" ht="22" customHeight="1">
      <x:c r="A3040" s="2"/>
      <x:c r="B3040" s="2" t="n">
        <x:v>3007</x:v>
      </x:c>
      <x:c r="C3040" s="2" t="str">
        <x:v>84596J</x:v>
      </x:c>
      <x:c r="D3040" s="2" t="str">
        <x:v>MIXED NUTS LIGHT GREEN BOWL</x:v>
      </x:c>
      <x:c r="E3040" s="11" t="n">
        <x:v>622.99</x:v>
      </x:c>
      <x:c r="F3040" s="11" t="n">
        <x:v>7.5</x:v>
      </x:c>
      <x:c r="G3040" s="11" t="n">
        <x:v>615.49</x:v>
      </x:c>
      <x:c r="H3040" s="23" t="n">
        <x:v>0.000030339818357894297</x:v>
      </x:c>
      <x:c r="I3040" s="23" t="n">
        <x:v>0.9809327004516037</x:v>
      </x:c>
      <x:c r="J3040" s="2" t="n">
        <x:v>138</x:v>
      </x:c>
      <x:c r="K3040" s="2"/>
      <x:c r="L3040" s="2"/>
    </x:row>
    <x:row r="3041" ht="22" customHeight="1">
      <x:c r="A3041" s="2"/>
      <x:c r="B3041" s="2" t="n">
        <x:v>3008</x:v>
      </x:c>
      <x:c r="C3041" s="2" t="str">
        <x:v>85092</x:v>
      </x:c>
      <x:c r="D3041" s="2" t="str">
        <x:v>CANDY SPOT TEA COSY</x:v>
      </x:c>
      <x:c r="E3041" s="11" t="n">
        <x:v>622.57</x:v>
      </x:c>
      <x:c r="F3041" s="11" t="n">
        <x:v>30</x:v>
      </x:c>
      <x:c r="G3041" s="11" t="n">
        <x:v>592.57</x:v>
      </x:c>
      <x:c r="H3041" s="23" t="n">
        <x:v>0.000030319364219448555</x:v>
      </x:c>
      <x:c r="I3041" s="23" t="n">
        <x:v>0.9809630198158232</x:v>
      </x:c>
      <x:c r="J3041" s="2" t="n">
        <x:v>24</x:v>
      </x:c>
      <x:c r="K3041" s="2"/>
      <x:c r="L3041" s="2"/>
    </x:row>
    <x:row r="3042" ht="22" customHeight="1">
      <x:c r="A3042" s="2"/>
      <x:c r="B3042" s="2" t="n">
        <x:v>3009</x:v>
      </x:c>
      <x:c r="C3042" s="2" t="str">
        <x:v>23425</x:v>
      </x:c>
      <x:c r="D3042" s="2" t="str">
        <x:v>STORAGE TIN HOME SWEET HOME</x:v>
      </x:c>
      <x:c r="E3042" s="11" t="n">
        <x:v>621.44</x:v>
      </x:c>
      <x:c r="F3042" s="11" t="n">
        <x:v>17.43</x:v>
      </x:c>
      <x:c r="G3042" s="11" t="n">
        <x:v>604.01</x:v>
      </x:c>
      <x:c r="H3042" s="23" t="n">
        <x:v>0.00003026433284696357</x:v>
      </x:c>
      <x:c r="I3042" s="23" t="n">
        <x:v>0.9809932841486702</x:v>
      </x:c>
      <x:c r="J3042" s="2" t="n">
        <x:v>56</x:v>
      </x:c>
      <x:c r="K3042" s="2"/>
      <x:c r="L3042" s="2"/>
    </x:row>
    <x:row r="3043" ht="22" customHeight="1">
      <x:c r="A3043" s="2"/>
      <x:c r="B3043" s="2" t="n">
        <x:v>3010</x:v>
      </x:c>
      <x:c r="C3043" s="2" t="str">
        <x:v>23180</x:v>
      </x:c>
      <x:c r="D3043" s="2" t="str">
        <x:v>MUM'S KITCHEN CLOCK</x:v>
      </x:c>
      <x:c r="E3043" s="11" t="n">
        <x:v>621.09</x:v>
      </x:c>
      <x:c r="F3043" s="11" t="n">
        <x:v>4.95</x:v>
      </x:c>
      <x:c r="G3043" s="11" t="n">
        <x:v>616.14</x:v>
      </x:c>
      <x:c r="H3043" s="23" t="n">
        <x:v>0.000030247287731592113</x:v>
      </x:c>
      <x:c r="I3043" s="23" t="n">
        <x:v>0.9810235314364018</x:v>
      </x:c>
      <x:c r="J3043" s="2" t="n">
        <x:v>49</x:v>
      </x:c>
      <x:c r="K3043" s="2"/>
      <x:c r="L3043" s="2"/>
    </x:row>
    <x:row r="3044" ht="22" customHeight="1">
      <x:c r="A3044" s="2"/>
      <x:c r="B3044" s="2" t="n">
        <x:v>3011</x:v>
      </x:c>
      <x:c r="C3044" s="2" t="str">
        <x:v>20689</x:v>
      </x:c>
      <x:c r="D3044" s="2" t="str">
        <x:v>RETRO SISTERS EXPRESSO CUPS</x:v>
      </x:c>
      <x:c r="E3044" s="11" t="n">
        <x:v>620.0500000000001</x:v>
      </x:c>
      <x:c r="F3044" s="11" t="n">
        <x:v>23.4</x:v>
      </x:c>
      <x:c r="G3044" s="11" t="n">
        <x:v>596.65</x:v>
      </x:c>
      <x:c r="H3044" s="23" t="n">
        <x:v>0.000030196639388774077</x:v>
      </x:c>
      <x:c r="I3044" s="23" t="n">
        <x:v>0.9810537280757905</x:v>
      </x:c>
      <x:c r="J3044" s="2" t="n">
        <x:v>41</x:v>
      </x:c>
      <x:c r="K3044" s="2"/>
      <x:c r="L3044" s="2"/>
    </x:row>
    <x:row r="3045" ht="22" customHeight="1">
      <x:c r="A3045" s="2"/>
      <x:c r="B3045" s="2" t="n">
        <x:v>3012</x:v>
      </x:c>
      <x:c r="C3045" s="2" t="str">
        <x:v>16156N</x:v>
      </x:c>
      <x:c r="D3045" s="2" t="str">
        <x:v>WRAP, FRIENDSHIP ON GREEN</x:v>
      </x:c>
      <x:c r="E3045" s="11" t="n">
        <x:v>619.5</x:v>
      </x:c>
      <x:c r="F3045" s="11" t="n">
        <x:v>0</x:v>
      </x:c>
      <x:c r="G3045" s="11" t="n">
        <x:v>619.5</x:v>
      </x:c>
      <x:c r="H3045" s="23" t="n">
        <x:v>0.00003016985420747607</x:v>
      </x:c>
      <x:c r="I3045" s="23" t="n">
        <x:v>0.981083897929998</x:v>
      </x:c>
      <x:c r="J3045" s="2" t="n">
        <x:v>56</x:v>
      </x:c>
      <x:c r="K3045" s="2"/>
      <x:c r="L3045" s="2"/>
    </x:row>
    <x:row r="3046" ht="22" customHeight="1">
      <x:c r="A3046" s="2"/>
      <x:c r="B3046" s="2" t="n">
        <x:v>3013</x:v>
      </x:c>
      <x:c r="C3046" s="2" t="str">
        <x:v>84707B</x:v>
      </x:c>
      <x:c r="D3046" s="2" t="str">
        <x:v>PINK JEWELLED MIRROR TRINKET TRAY</x:v>
      </x:c>
      <x:c r="E3046" s="11" t="n">
        <x:v>618.52</x:v>
      </x:c>
      <x:c r="F3046" s="11" t="n">
        <x:v>39.8</x:v>
      </x:c>
      <x:c r="G3046" s="11" t="n">
        <x:v>578.72</x:v>
      </x:c>
      <x:c r="H3046" s="23" t="n">
        <x:v>0.000030122127884435996</x:v>
      </x:c>
      <x:c r="I3046" s="23" t="n">
        <x:v>0.9811140200578824</x:v>
      </x:c>
      <x:c r="J3046" s="2" t="n">
        <x:v>51</x:v>
      </x:c>
      <x:c r="K3046" s="2"/>
      <x:c r="L3046" s="2"/>
    </x:row>
    <x:row r="3047" ht="22" customHeight="1">
      <x:c r="A3047" s="2"/>
      <x:c r="B3047" s="2" t="n">
        <x:v>3014</x:v>
      </x:c>
      <x:c r="C3047" s="2" t="str">
        <x:v>16012</x:v>
      </x:c>
      <x:c r="D3047" s="2" t="str">
        <x:v>FOOD/DRINK SPONGE STICKERS</x:v>
      </x:c>
      <x:c r="E3047" s="11" t="n">
        <x:v>618.09</x:v>
      </x:c>
      <x:c r="F3047" s="11" t="n">
        <x:v>0</x:v>
      </x:c>
      <x:c r="G3047" s="11" t="n">
        <x:v>618.09</x:v>
      </x:c>
      <x:c r="H3047" s="23" t="n">
        <x:v>0.000030101186742693925</x:v>
      </x:c>
      <x:c r="I3047" s="23" t="n">
        <x:v>0.9811441212446251</x:v>
      </x:c>
      <x:c r="J3047" s="2" t="n">
        <x:v>83</x:v>
      </x:c>
      <x:c r="K3047" s="2"/>
      <x:c r="L3047" s="2"/>
    </x:row>
    <x:row r="3048" ht="22" customHeight="1">
      <x:c r="A3048" s="2"/>
      <x:c r="B3048" s="2" t="n">
        <x:v>3015</x:v>
      </x:c>
      <x:c r="C3048" s="2" t="str">
        <x:v>20696</x:v>
      </x:c>
      <x:c r="D3048" s="2" t="str">
        <x:v>FLORAL SOFT CAR TOY</x:v>
      </x:c>
      <x:c r="E3048" s="11" t="n">
        <x:v>617.9399999999999</x:v>
      </x:c>
      <x:c r="F3048" s="11" t="n">
        <x:v>0</x:v>
      </x:c>
      <x:c r="G3048" s="11" t="n">
        <x:v>617.9399999999999</x:v>
      </x:c>
      <x:c r="H3048" s="23" t="n">
        <x:v>0.00003009388169324901</x:v>
      </x:c>
      <x:c r="I3048" s="23" t="n">
        <x:v>0.9811742151263184</x:v>
      </x:c>
      <x:c r="J3048" s="2" t="n">
        <x:v>60</x:v>
      </x:c>
      <x:c r="K3048" s="2"/>
      <x:c r="L3048" s="2"/>
    </x:row>
    <x:row r="3049" ht="22" customHeight="1">
      <x:c r="A3049" s="2"/>
      <x:c r="B3049" s="2" t="n">
        <x:v>3016</x:v>
      </x:c>
      <x:c r="C3049" s="2" t="str">
        <x:v>84051</x:v>
      </x:c>
      <x:c r="D3049" s="2" t="str">
        <x:v>ASS COLOUR GLOWING TIARAS</x:v>
      </x:c>
      <x:c r="E3049" s="11" t="n">
        <x:v>617.3299999999999</x:v>
      </x:c>
      <x:c r="F3049" s="11" t="n">
        <x:v>0</x:v>
      </x:c>
      <x:c r="G3049" s="11" t="n">
        <x:v>617.3299999999999</x:v>
      </x:c>
      <x:c r="H3049" s="23" t="n">
        <x:v>0.000030064174492173042</x:v>
      </x:c>
      <x:c r="I3049" s="23" t="n">
        <x:v>0.9812042793008106</x:v>
      </x:c>
      <x:c r="J3049" s="2" t="n">
        <x:v>60</x:v>
      </x:c>
      <x:c r="K3049" s="2"/>
      <x:c r="L3049" s="2"/>
    </x:row>
    <x:row r="3050" ht="22" customHeight="1">
      <x:c r="A3050" s="2"/>
      <x:c r="B3050" s="2" t="n">
        <x:v>3017</x:v>
      </x:c>
      <x:c r="C3050" s="2" t="str">
        <x:v>82095</x:v>
      </x:c>
      <x:c r="D3050" s="2" t="str">
        <x:v>HEART BUTTONS JEWELLERY BOX</x:v>
      </x:c>
      <x:c r="E3050" s="11" t="n">
        <x:v>616.21</x:v>
      </x:c>
      <x:c r="F3050" s="11" t="n">
        <x:v>0</x:v>
      </x:c>
      <x:c r="G3050" s="11" t="n">
        <x:v>616.21</x:v>
      </x:c>
      <x:c r="H3050" s="23" t="n">
        <x:v>0.000030009630122984393</x:v>
      </x:c>
      <x:c r="I3050" s="23" t="n">
        <x:v>0.9812342889309336</x:v>
      </x:c>
      <x:c r="J3050" s="2" t="n">
        <x:v>48</x:v>
      </x:c>
      <x:c r="K3050" s="2"/>
      <x:c r="L3050" s="2"/>
    </x:row>
    <x:row r="3051" ht="22" customHeight="1">
      <x:c r="A3051" s="2"/>
      <x:c r="B3051" s="2" t="n">
        <x:v>3018</x:v>
      </x:c>
      <x:c r="C3051" s="2" t="str">
        <x:v>72772</x:v>
      </x:c>
      <x:c r="D3051" s="2" t="str">
        <x:v>SET/4 SCENTED CANDLES IN RAMEKINS</x:v>
      </x:c>
      <x:c r="E3051" s="11" t="n">
        <x:v>615.84</x:v>
      </x:c>
      <x:c r="F3051" s="11" t="n">
        <x:v>0</x:v>
      </x:c>
      <x:c r="G3051" s="11" t="n">
        <x:v>615.84</x:v>
      </x:c>
      <x:c r="H3051" s="23" t="n">
        <x:v>0.00002999161100102028</x:v>
      </x:c>
      <x:c r="I3051" s="23" t="n">
        <x:v>0.9812642805419346</x:v>
      </x:c>
      <x:c r="J3051" s="2" t="n">
        <x:v>9</x:v>
      </x:c>
      <x:c r="K3051" s="2"/>
      <x:c r="L3051" s="2"/>
    </x:row>
    <x:row r="3052" ht="22" customHeight="1">
      <x:c r="A3052" s="2"/>
      <x:c r="B3052" s="2" t="n">
        <x:v>3019</x:v>
      </x:c>
      <x:c r="C3052" s="2" t="str">
        <x:v>84952B</x:v>
      </x:c>
      <x:c r="D3052" s="2" t="str">
        <x:v>BLACK LOVE BIRD T-LIGHT HOLDER</x:v>
      </x:c>
      <x:c r="E3052" s="11" t="n">
        <x:v>615.49</x:v>
      </x:c>
      <x:c r="F3052" s="11" t="n">
        <x:v>11.25</x:v>
      </x:c>
      <x:c r="G3052" s="11" t="n">
        <x:v>604.24</x:v>
      </x:c>
      <x:c r="H3052" s="23" t="n">
        <x:v>0.000029974565885648824</x:v>
      </x:c>
      <x:c r="I3052" s="23" t="n">
        <x:v>0.9812942551078202</x:v>
      </x:c>
      <x:c r="J3052" s="2" t="n">
        <x:v>44</x:v>
      </x:c>
      <x:c r="K3052" s="2"/>
      <x:c r="L3052" s="2"/>
    </x:row>
    <x:row r="3053" ht="22" customHeight="1">
      <x:c r="A3053" s="2"/>
      <x:c r="B3053" s="2" t="n">
        <x:v>3020</x:v>
      </x:c>
      <x:c r="C3053" s="2" t="str">
        <x:v>84932C</x:v>
      </x:c>
      <x:c r="D3053" s="2" t="str">
        <x:v>SMALL ORIENTAL BLUE FOLDING STOOL</x:v>
      </x:c>
      <x:c r="E3053" s="11" t="n">
        <x:v>615.4</x:v>
      </x:c>
      <x:c r="F3053" s="11" t="n">
        <x:v>8.5</x:v>
      </x:c>
      <x:c r="G3053" s="11" t="n">
        <x:v>606.9</x:v>
      </x:c>
      <x:c r="H3053" s="23" t="n">
        <x:v>0.000029970182855981878</x:v>
      </x:c>
      <x:c r="I3053" s="23" t="n">
        <x:v>0.9813242252906762</x:v>
      </x:c>
      <x:c r="J3053" s="2" t="n">
        <x:v>34</x:v>
      </x:c>
      <x:c r="K3053" s="2"/>
      <x:c r="L3053" s="2"/>
    </x:row>
    <x:row r="3054" ht="22" customHeight="1">
      <x:c r="A3054" s="2"/>
      <x:c r="B3054" s="2" t="n">
        <x:v>3021</x:v>
      </x:c>
      <x:c r="C3054" s="2" t="str">
        <x:v>90143</x:v>
      </x:c>
      <x:c r="D3054" s="2" t="str">
        <x:v>SILVER BRACELET W PASTEL FLOWER</x:v>
      </x:c>
      <x:c r="E3054" s="11" t="n">
        <x:v>614.13</x:v>
      </x:c>
      <x:c r="F3054" s="11" t="n">
        <x:v>60</x:v>
      </x:c>
      <x:c r="G3054" s="11" t="n">
        <x:v>554.13</x:v>
      </x:c>
      <x:c r="H3054" s="23" t="n">
        <x:v>0.00002990833343734831</x:v>
      </x:c>
      <x:c r="I3054" s="23" t="n">
        <x:v>0.9813541336241135</x:v>
      </x:c>
      <x:c r="J3054" s="2" t="n">
        <x:v>41</x:v>
      </x:c>
      <x:c r="K3054" s="2"/>
      <x:c r="L3054" s="2"/>
    </x:row>
    <x:row r="3055" ht="22" customHeight="1">
      <x:c r="A3055" s="2"/>
      <x:c r="B3055" s="2" t="n">
        <x:v>3022</x:v>
      </x:c>
      <x:c r="C3055" s="2" t="str">
        <x:v>22346</x:v>
      </x:c>
      <x:c r="D3055" s="2" t="str">
        <x:v>PARTY PIZZA DISH GREEN POLKADOT</x:v>
      </x:c>
      <x:c r="E3055" s="11" t="n">
        <x:v>614.03</x:v>
      </x:c>
      <x:c r="F3055" s="11" t="n">
        <x:v>0</x:v>
      </x:c>
      <x:c r="G3055" s="11" t="n">
        <x:v>614.03</x:v>
      </x:c>
      <x:c r="H3055" s="23" t="n">
        <x:v>0.000029903463404385036</x:v>
      </x:c>
      <x:c r="I3055" s="23" t="n">
        <x:v>0.9813840370875179</x:v>
      </x:c>
      <x:c r="J3055" s="2" t="n">
        <x:v>103</x:v>
      </x:c>
      <x:c r="K3055" s="2"/>
      <x:c r="L3055" s="2"/>
    </x:row>
    <x:row r="3056" ht="22" customHeight="1">
      <x:c r="A3056" s="2"/>
      <x:c r="B3056" s="2" t="n">
        <x:v>3023</x:v>
      </x:c>
      <x:c r="C3056" s="2" t="str">
        <x:v>90198A</x:v>
      </x:c>
      <x:c r="D3056" s="2" t="str">
        <x:v>VINTAGE ROSE BEAD BRACELET RASPBERR</x:v>
      </x:c>
      <x:c r="E3056" s="11" t="n">
        <x:v>613.6800000000001</x:v>
      </x:c>
      <x:c r="F3056" s="11" t="n">
        <x:v>0</x:v>
      </x:c>
      <x:c r="G3056" s="11" t="n">
        <x:v>613.6800000000001</x:v>
      </x:c>
      <x:c r="H3056" s="23" t="n">
        <x:v>0.000029886418289013586</x:v>
      </x:c>
      <x:c r="I3056" s="23" t="n">
        <x:v>0.9814139235058069</x:v>
      </x:c>
      <x:c r="J3056" s="2" t="n">
        <x:v>84</x:v>
      </x:c>
      <x:c r="K3056" s="2"/>
      <x:c r="L3056" s="2"/>
    </x:row>
    <x:row r="3057" ht="22" customHeight="1">
      <x:c r="A3057" s="2"/>
      <x:c r="B3057" s="2" t="n">
        <x:v>3024</x:v>
      </x:c>
      <x:c r="C3057" s="2" t="str">
        <x:v>84859A</x:v>
      </x:c>
      <x:c r="D3057" s="2" t="str">
        <x:v>SILVER DISCO HANDBAG</x:v>
      </x:c>
      <x:c r="E3057" s="11" t="n">
        <x:v>613.53</x:v>
      </x:c>
      <x:c r="F3057" s="11" t="n">
        <x:v>0</x:v>
      </x:c>
      <x:c r="G3057" s="11" t="n">
        <x:v>613.53</x:v>
      </x:c>
      <x:c r="H3057" s="23" t="n">
        <x:v>0.000029879113239568672</x:v>
      </x:c>
      <x:c r="I3057" s="23" t="n">
        <x:v>0.9814438026190465</x:v>
      </x:c>
      <x:c r="J3057" s="2" t="n">
        <x:v>58</x:v>
      </x:c>
      <x:c r="K3057" s="2"/>
      <x:c r="L3057" s="2"/>
    </x:row>
    <x:row r="3058" ht="22" customHeight="1">
      <x:c r="A3058" s="2"/>
      <x:c r="B3058" s="2" t="n">
        <x:v>3025</x:v>
      </x:c>
      <x:c r="C3058" s="2" t="str">
        <x:v>47583A</x:v>
      </x:c>
      <x:c r="D3058" s="2" t="str">
        <x:v>SET OF 3 WICKER BASKET ROSE</x:v>
      </x:c>
      <x:c r="E3058" s="11" t="n">
        <x:v>612.8199999999999</x:v>
      </x:c>
      <x:c r="F3058" s="11" t="n">
        <x:v>49.9</x:v>
      </x:c>
      <x:c r="G3058" s="11" t="n">
        <x:v>562.9200000000001</x:v>
      </x:c>
      <x:c r="H3058" s="23" t="n">
        <x:v>0.000029844536005529435</x:v>
      </x:c>
      <x:c r="I3058" s="23" t="n">
        <x:v>0.981473647155052</x:v>
      </x:c>
      <x:c r="J3058" s="2" t="n">
        <x:v>6</x:v>
      </x:c>
      <x:c r="K3058" s="2"/>
      <x:c r="L3058" s="2"/>
    </x:row>
    <x:row r="3059" ht="22" customHeight="1">
      <x:c r="A3059" s="2"/>
      <x:c r="B3059" s="2" t="n">
        <x:v>3026</x:v>
      </x:c>
      <x:c r="C3059" s="2" t="str">
        <x:v>84247G</x:v>
      </x:c>
      <x:c r="D3059" s="2" t="str">
        <x:v>DECOUPAGE,GREETING CARD,</x:v>
      </x:c>
      <x:c r="E3059" s="11" t="n">
        <x:v>612.75</x:v>
      </x:c>
      <x:c r="F3059" s="11" t="n">
        <x:v>0</x:v>
      </x:c>
      <x:c r="G3059" s="11" t="n">
        <x:v>612.75</x:v>
      </x:c>
      <x:c r="H3059" s="23" t="n">
        <x:v>0.000029841126982455144</x:v>
      </x:c>
      <x:c r="I3059" s="23" t="n">
        <x:v>0.9815034882820345</x:v>
      </x:c>
      <x:c r="J3059" s="2" t="n">
        <x:v>107</x:v>
      </x:c>
      <x:c r="K3059" s="2"/>
      <x:c r="L3059" s="2"/>
    </x:row>
    <x:row r="3060" ht="22" customHeight="1">
      <x:c r="A3060" s="2"/>
      <x:c r="B3060" s="2" t="n">
        <x:v>3027</x:v>
      </x:c>
      <x:c r="C3060" s="2" t="str">
        <x:v>85114c</x:v>
      </x:c>
      <x:c r="D3060" s="2" t="str">
        <x:v>RED ENCHANTED FOREST PLACEMAT</x:v>
      </x:c>
      <x:c r="E3060" s="11" t="n">
        <x:v>612.64</x:v>
      </x:c>
      <x:c r="F3060" s="11" t="n">
        <x:v>0</x:v>
      </x:c>
      <x:c r="G3060" s="11" t="n">
        <x:v>612.64</x:v>
      </x:c>
      <x:c r="H3060" s="23" t="n">
        <x:v>0.000029835769946195543</x:v>
      </x:c>
      <x:c r="I3060" s="23" t="n">
        <x:v>0.9815333240519807</x:v>
      </x:c>
      <x:c r="J3060" s="2" t="n">
        <x:v>42</x:v>
      </x:c>
      <x:c r="K3060" s="2"/>
      <x:c r="L3060" s="2"/>
    </x:row>
    <x:row r="3061" ht="22" customHeight="1">
      <x:c r="A3061" s="2"/>
      <x:c r="B3061" s="2" t="n">
        <x:v>3028</x:v>
      </x:c>
      <x:c r="C3061" s="2" t="str">
        <x:v>37351</x:v>
      </x:c>
      <x:c r="D3061" s="2" t="str">
        <x:v>ORANGE FLOWER MUG </x:v>
      </x:c>
      <x:c r="E3061" s="11" t="n">
        <x:v>612.5099999999999</x:v>
      </x:c>
      <x:c r="F3061" s="11" t="n">
        <x:v>0</x:v>
      </x:c>
      <x:c r="G3061" s="11" t="n">
        <x:v>612.5099999999999</x:v>
      </x:c>
      <x:c r="H3061" s="23" t="n">
        <x:v>0.000029829438903343284</x:v>
      </x:c>
      <x:c r="I3061" s="23" t="n">
        <x:v>0.9815631534908841</x:v>
      </x:c>
      <x:c r="J3061" s="2" t="n">
        <x:v>11</x:v>
      </x:c>
      <x:c r="K3061" s="2"/>
      <x:c r="L3061" s="2"/>
    </x:row>
    <x:row r="3062" ht="22" customHeight="1">
      <x:c r="A3062" s="2"/>
      <x:c r="B3062" s="2" t="n">
        <x:v>3029</x:v>
      </x:c>
      <x:c r="C3062" s="2" t="str">
        <x:v>23018</x:v>
      </x:c>
      <x:c r="D3062" s="2" t="str">
        <x:v>LARGE APOTHECARY MEASURING JAR </x:v>
      </x:c>
      <x:c r="E3062" s="11" t="n">
        <x:v>612.1600000000001</x:v>
      </x:c>
      <x:c r="F3062" s="11" t="n">
        <x:v>0</x:v>
      </x:c>
      <x:c r="G3062" s="11" t="n">
        <x:v>612.1600000000001</x:v>
      </x:c>
      <x:c r="H3062" s="23" t="n">
        <x:v>0.000029812393787971837</x:v>
      </x:c>
      <x:c r="I3062" s="23" t="n">
        <x:v>0.981592965884672</x:v>
      </x:c>
      <x:c r="J3062" s="2" t="n">
        <x:v>21</x:v>
      </x:c>
      <x:c r="K3062" s="2"/>
      <x:c r="L3062" s="2"/>
    </x:row>
    <x:row r="3063" ht="22" customHeight="1">
      <x:c r="A3063" s="2"/>
      <x:c r="B3063" s="2" t="n">
        <x:v>3030</x:v>
      </x:c>
      <x:c r="C3063" s="2" t="str">
        <x:v>79315W</x:v>
      </x:c>
      <x:c r="D3063" s="2" t="str">
        <x:v>FLYING SAUCER TABLE LIGHT IN WHITE</x:v>
      </x:c>
      <x:c r="E3063" s="11" t="n">
        <x:v>611.5100000000001</x:v>
      </x:c>
      <x:c r="F3063" s="11" t="n">
        <x:v>0</x:v>
      </x:c>
      <x:c r="G3063" s="11" t="n">
        <x:v>611.5100000000001</x:v>
      </x:c>
      <x:c r="H3063" s="23" t="n">
        <x:v>0.000029780738573710565</x:v>
      </x:c>
      <x:c r="I3063" s="23" t="n">
        <x:v>0.9816227466232458</x:v>
      </x:c>
      <x:c r="J3063" s="2" t="n">
        <x:v>13</x:v>
      </x:c>
      <x:c r="K3063" s="2"/>
      <x:c r="L3063" s="2"/>
    </x:row>
    <x:row r="3064" ht="22" customHeight="1">
      <x:c r="A3064" s="2"/>
      <x:c r="B3064" s="2" t="n">
        <x:v>3031</x:v>
      </x:c>
      <x:c r="C3064" s="2" t="str">
        <x:v>35972</x:v>
      </x:c>
      <x:c r="D3064" s="2" t="str">
        <x:v>check</x:v>
      </x:c>
      <x:c r="E3064" s="11" t="n">
        <x:v>611.38</x:v>
      </x:c>
      <x:c r="F3064" s="11" t="n">
        <x:v>0</x:v>
      </x:c>
      <x:c r="G3064" s="11" t="n">
        <x:v>611.38</x:v>
      </x:c>
      <x:c r="H3064" s="23" t="n">
        <x:v>0.000029774407530858306</x:v>
      </x:c>
      <x:c r="I3064" s="23" t="n">
        <x:v>0.9816525210307766</x:v>
      </x:c>
      <x:c r="J3064" s="2" t="n">
        <x:v>87</x:v>
      </x:c>
      <x:c r="K3064" s="2"/>
      <x:c r="L3064" s="2"/>
    </x:row>
    <x:row r="3065" ht="22" customHeight="1">
      <x:c r="A3065" s="2"/>
      <x:c r="B3065" s="2" t="n">
        <x:v>3032</x:v>
      </x:c>
      <x:c r="C3065" s="2" t="str">
        <x:v>21173</x:v>
      </x:c>
      <x:c r="D3065" s="2" t="str">
        <x:v>LOO ROLL  METAL SIGN </x:v>
      </x:c>
      <x:c r="E3065" s="11" t="n">
        <x:v>611.26</x:v>
      </x:c>
      <x:c r="F3065" s="11" t="n">
        <x:v>19.799999999999997</x:v>
      </x:c>
      <x:c r="G3065" s="11" t="n">
        <x:v>591.4599999999999</x:v>
      </x:c>
      <x:c r="H3065" s="23" t="n">
        <x:v>0.000029768563491302376</x:v>
      </x:c>
      <x:c r="I3065" s="23" t="n">
        <x:v>0.981682289594268</x:v>
      </x:c>
      <x:c r="J3065" s="2" t="n">
        <x:v>77</x:v>
      </x:c>
      <x:c r="K3065" s="2"/>
      <x:c r="L3065" s="2"/>
    </x:row>
    <x:row r="3066" ht="22" customHeight="1">
      <x:c r="A3066" s="2"/>
      <x:c r="B3066" s="2" t="n">
        <x:v>3033</x:v>
      </x:c>
      <x:c r="C3066" s="2" t="str">
        <x:v>84858C</x:v>
      </x:c>
      <x:c r="D3066" s="2" t="str">
        <x:v>PINK RIVIERA HANDBAG</x:v>
      </x:c>
      <x:c r="E3066" s="11" t="n">
        <x:v>611.0699999999999</x:v>
      </x:c>
      <x:c r="F3066" s="11" t="n">
        <x:v>0</x:v>
      </x:c>
      <x:c r="G3066" s="11" t="n">
        <x:v>611.0699999999999</x:v>
      </x:c>
      <x:c r="H3066" s="23" t="n">
        <x:v>0.000029759310428672155</x:v>
      </x:c>
      <x:c r="I3066" s="23" t="n">
        <x:v>0.9817120489046967</x:v>
      </x:c>
      <x:c r="J3066" s="2" t="n">
        <x:v>30</x:v>
      </x:c>
      <x:c r="K3066" s="2"/>
      <x:c r="L3066" s="2"/>
    </x:row>
    <x:row r="3067" ht="22" customHeight="1">
      <x:c r="A3067" s="2"/>
      <x:c r="B3067" s="2" t="n">
        <x:v>3034</x:v>
      </x:c>
      <x:c r="C3067" s="2" t="str">
        <x:v>22538</x:v>
      </x:c>
      <x:c r="D3067" s="2" t="str">
        <x:v>MINI JIGSAW GO TO THE FAIR</x:v>
      </x:c>
      <x:c r="E3067" s="11" t="n">
        <x:v>610.85</x:v>
      </x:c>
      <x:c r="F3067" s="11" t="n">
        <x:v>0</x:v>
      </x:c>
      <x:c r="G3067" s="11" t="n">
        <x:v>610.85</x:v>
      </x:c>
      <x:c r="H3067" s="23" t="n">
        <x:v>0.00002974859635615296</x:v>
      </x:c>
      <x:c r="I3067" s="23" t="n">
        <x:v>0.9817417975010528</x:v>
      </x:c>
      <x:c r="J3067" s="2" t="n">
        <x:v>86</x:v>
      </x:c>
      <x:c r="K3067" s="2"/>
      <x:c r="L3067" s="2"/>
    </x:row>
    <x:row r="3068" ht="22" customHeight="1">
      <x:c r="A3068" s="2"/>
      <x:c r="B3068" s="2" t="n">
        <x:v>3035</x:v>
      </x:c>
      <x:c r="C3068" s="2" t="str">
        <x:v>gift_0001_30</x:v>
      </x:c>
      <x:c r="D3068" s="2" t="str">
        <x:v>Dotcomgiftshop Gift Voucher £30.00</x:v>
      </x:c>
      <x:c r="E3068" s="11" t="n">
        <x:v>610.09</x:v>
      </x:c>
      <x:c r="F3068" s="11" t="n">
        <x:v>0</x:v>
      </x:c>
      <x:c r="G3068" s="11" t="n">
        <x:v>610.09</x:v>
      </x:c>
      <x:c r="H3068" s="23" t="n">
        <x:v>0.000029711584105632084</x:v>
      </x:c>
      <x:c r="I3068" s="23" t="n">
        <x:v>0.9817715090851584</x:v>
      </x:c>
      <x:c r="J3068" s="2" t="n">
        <x:v>24</x:v>
      </x:c>
      <x:c r="K3068" s="2"/>
      <x:c r="L3068" s="2"/>
    </x:row>
    <x:row r="3069" ht="22" customHeight="1">
      <x:c r="A3069" s="2"/>
      <x:c r="B3069" s="2" t="n">
        <x:v>3036</x:v>
      </x:c>
      <x:c r="C3069" s="2" t="str">
        <x:v>20655</x:v>
      </x:c>
      <x:c r="D3069" s="2" t="str">
        <x:v>QUEEN OF SKIES LUGGAGE TAG</x:v>
      </x:c>
      <x:c r="E3069" s="11" t="n">
        <x:v>609.73</x:v>
      </x:c>
      <x:c r="F3069" s="11" t="n">
        <x:v>0</x:v>
      </x:c>
      <x:c r="G3069" s="11" t="n">
        <x:v>609.73</x:v>
      </x:c>
      <x:c r="H3069" s="23" t="n">
        <x:v>0.0000296940519869643</x:v>
      </x:c>
      <x:c r="I3069" s="23" t="n">
        <x:v>0.9818012031371454</x:v>
      </x:c>
      <x:c r="J3069" s="2" t="n">
        <x:v>189</x:v>
      </x:c>
      <x:c r="K3069" s="2"/>
      <x:c r="L3069" s="2"/>
    </x:row>
    <x:row r="3070" ht="22" customHeight="1">
      <x:c r="A3070" s="2"/>
      <x:c r="B3070" s="2" t="n">
        <x:v>3037</x:v>
      </x:c>
      <x:c r="C3070" s="2" t="str">
        <x:v>21440</x:v>
      </x:c>
      <x:c r="D3070" s="2" t="str">
        <x:v>12 MINI TOADSTOOL PEGS</x:v>
      </x:c>
      <x:c r="E3070" s="11" t="n">
        <x:v>608.81</x:v>
      </x:c>
      <x:c r="F3070" s="11" t="n">
        <x:v>2.5</x:v>
      </x:c>
      <x:c r="G3070" s="11" t="n">
        <x:v>606.31</x:v>
      </x:c>
      <x:c r="H3070" s="23" t="n">
        <x:v>0.00002964924768370219</x:v>
      </x:c>
      <x:c r="I3070" s="23" t="n">
        <x:v>0.981830852384829</x:v>
      </x:c>
      <x:c r="J3070" s="2" t="n">
        <x:v>95</x:v>
      </x:c>
      <x:c r="K3070" s="2"/>
      <x:c r="L3070" s="2"/>
    </x:row>
    <x:row r="3071" ht="22" customHeight="1">
      <x:c r="A3071" s="2"/>
      <x:c r="B3071" s="2" t="n">
        <x:v>3038</x:v>
      </x:c>
      <x:c r="C3071" s="2" t="str">
        <x:v>21416</x:v>
      </x:c>
      <x:c r="D3071" s="2" t="str">
        <x:v>CLAM SHELL LARGE</x:v>
      </x:c>
      <x:c r="E3071" s="11" t="n">
        <x:v>606.8100000000001</x:v>
      </x:c>
      <x:c r="F3071" s="11" t="n">
        <x:v>0</x:v>
      </x:c>
      <x:c r="G3071" s="11" t="n">
        <x:v>606.8100000000001</x:v>
      </x:c>
      <x:c r="H3071" s="23" t="n">
        <x:v>0.000029551847024436734</x:v>
      </x:c>
      <x:c r="I3071" s="23" t="n">
        <x:v>0.9818604042318535</x:v>
      </x:c>
      <x:c r="J3071" s="2" t="n">
        <x:v>22</x:v>
      </x:c>
      <x:c r="K3071" s="2"/>
      <x:c r="L3071" s="2"/>
    </x:row>
    <x:row r="3072" ht="22" customHeight="1">
      <x:c r="A3072" s="2"/>
      <x:c r="B3072" s="2" t="n">
        <x:v>3039</x:v>
      </x:c>
      <x:c r="C3072" s="2" t="str">
        <x:v>20863</x:v>
      </x:c>
      <x:c r="D3072" s="2" t="str">
        <x:v>BLUE PATCH PENCIL CASE PINK HEART</x:v>
      </x:c>
      <x:c r="E3072" s="11" t="n">
        <x:v>605.73</x:v>
      </x:c>
      <x:c r="F3072" s="11" t="n">
        <x:v>2.1</x:v>
      </x:c>
      <x:c r="G3072" s="11" t="n">
        <x:v>603.63</x:v>
      </x:c>
      <x:c r="H3072" s="23" t="n">
        <x:v>0.000029499250668433384</x:v>
      </x:c>
      <x:c r="I3072" s="23" t="n">
        <x:v>0.9818899034825219</x:v>
      </x:c>
      <x:c r="J3072" s="2" t="n">
        <x:v>50</x:v>
      </x:c>
      <x:c r="K3072" s="2"/>
      <x:c r="L3072" s="2"/>
    </x:row>
    <x:row r="3073" ht="22" customHeight="1">
      <x:c r="A3073" s="2"/>
      <x:c r="B3073" s="2" t="n">
        <x:v>3040</x:v>
      </x:c>
      <x:c r="C3073" s="2" t="str">
        <x:v>20695</x:v>
      </x:c>
      <x:c r="D3073" s="2" t="str">
        <x:v>FLORAL BLUE MONSTER</x:v>
      </x:c>
      <x:c r="E3073" s="11" t="n">
        <x:v>604.58</x:v>
      </x:c>
      <x:c r="F3073" s="11" t="n">
        <x:v>17</x:v>
      </x:c>
      <x:c r="G3073" s="11" t="n">
        <x:v>587.58</x:v>
      </x:c>
      <x:c r="H3073" s="23" t="n">
        <x:v>0.000029443245289355744</x:v>
      </x:c>
      <x:c r="I3073" s="23" t="n">
        <x:v>0.9819193467278112</x:v>
      </x:c>
      <x:c r="J3073" s="2" t="n">
        <x:v>61</x:v>
      </x:c>
      <x:c r="K3073" s="2"/>
      <x:c r="L3073" s="2"/>
    </x:row>
    <x:row r="3074" ht="22" customHeight="1">
      <x:c r="A3074" s="2"/>
      <x:c r="B3074" s="2" t="n">
        <x:v>3041</x:v>
      </x:c>
      <x:c r="C3074" s="2" t="str">
        <x:v>23520</x:v>
      </x:c>
      <x:c r="D3074" s="2" t="str">
        <x:v>EMBROIDERED RIBBON REEL RUBY </x:v>
      </x:c>
      <x:c r="E3074" s="11" t="n">
        <x:v>604.3</x:v>
      </x:c>
      <x:c r="F3074" s="11" t="n">
        <x:v>0</x:v>
      </x:c>
      <x:c r="G3074" s="11" t="n">
        <x:v>604.3</x:v>
      </x:c>
      <x:c r="H3074" s="23" t="n">
        <x:v>0.000029429609197058578</x:v>
      </x:c>
      <x:c r="I3074" s="23" t="n">
        <x:v>0.9819487763370083</x:v>
      </x:c>
      <x:c r="J3074" s="2" t="n">
        <x:v>32</x:v>
      </x:c>
      <x:c r="K3074" s="2"/>
      <x:c r="L3074" s="2"/>
    </x:row>
    <x:row r="3075" ht="22" customHeight="1">
      <x:c r="A3075" s="2"/>
      <x:c r="B3075" s="2" t="n">
        <x:v>3042</x:v>
      </x:c>
      <x:c r="C3075" s="2" t="str">
        <x:v>84876D</x:v>
      </x:c>
      <x:c r="D3075" s="2" t="str">
        <x:v>damaged</x:v>
      </x:c>
      <x:c r="E3075" s="11" t="n">
        <x:v>604.27</x:v>
      </x:c>
      <x:c r="F3075" s="11" t="n">
        <x:v>47.5</x:v>
      </x:c>
      <x:c r="G3075" s="11" t="n">
        <x:v>556.77</x:v>
      </x:c>
      <x:c r="H3075" s="23" t="n">
        <x:v>0.000029428148187169597</x:v>
      </x:c>
      <x:c r="I3075" s="23" t="n">
        <x:v>0.9819782044851955</x:v>
      </x:c>
      <x:c r="J3075" s="2" t="n">
        <x:v>35</x:v>
      </x:c>
      <x:c r="K3075" s="2"/>
      <x:c r="L3075" s="2"/>
    </x:row>
    <x:row r="3076" ht="22" customHeight="1">
      <x:c r="A3076" s="2"/>
      <x:c r="B3076" s="2" t="n">
        <x:v>3043</x:v>
      </x:c>
      <x:c r="C3076" s="2" t="str">
        <x:v>85169D</x:v>
      </x:c>
      <x:c r="D3076" s="2" t="str">
        <x:v>PINK LOVE BIRD CANDLE</x:v>
      </x:c>
      <x:c r="E3076" s="11" t="n">
        <x:v>603.98</x:v>
      </x:c>
      <x:c r="F3076" s="11" t="n">
        <x:v>1.25</x:v>
      </x:c>
      <x:c r="G3076" s="11" t="n">
        <x:v>602.73</x:v>
      </x:c>
      <x:c r="H3076" s="23" t="n">
        <x:v>0.000029414025091576105</x:v>
      </x:c>
      <x:c r="I3076" s="23" t="n">
        <x:v>0.9820076185102871</x:v>
      </x:c>
      <x:c r="J3076" s="2" t="n">
        <x:v>88</x:v>
      </x:c>
      <x:c r="K3076" s="2"/>
      <x:c r="L3076" s="2"/>
    </x:row>
    <x:row r="3077" ht="22" customHeight="1">
      <x:c r="A3077" s="2"/>
      <x:c r="B3077" s="2" t="n">
        <x:v>3044</x:v>
      </x:c>
      <x:c r="C3077" s="2" t="str">
        <x:v>79190B</x:v>
      </x:c>
      <x:c r="D3077" s="2" t="str">
        <x:v>RETRO PLASTIC POLKA TRAY</x:v>
      </x:c>
      <x:c r="E3077" s="11" t="n">
        <x:v>603.08</x:v>
      </x:c>
      <x:c r="F3077" s="11" t="n">
        <x:v>6.72</x:v>
      </x:c>
      <x:c r="G3077" s="11" t="n">
        <x:v>596.36</x:v>
      </x:c>
      <x:c r="H3077" s="23" t="n">
        <x:v>0.00002937019479490665</x:v>
      </x:c>
      <x:c r="I3077" s="23" t="n">
        <x:v>0.9820369887050819</x:v>
      </x:c>
      <x:c r="J3077" s="2" t="n">
        <x:v>136</x:v>
      </x:c>
      <x:c r="K3077" s="2"/>
      <x:c r="L3077" s="2"/>
    </x:row>
    <x:row r="3078" ht="22" customHeight="1">
      <x:c r="A3078" s="2"/>
      <x:c r="B3078" s="2" t="n">
        <x:v>3045</x:v>
      </x:c>
      <x:c r="C3078" s="2" t="str">
        <x:v>84932A</x:v>
      </x:c>
      <x:c r="D3078" s="2" t="str">
        <x:v>SMALL GREEN PEONY FOLDING STOOL</x:v>
      </x:c>
      <x:c r="E3078" s="11" t="n">
        <x:v>602.6</x:v>
      </x:c>
      <x:c r="F3078" s="11" t="n">
        <x:v>0</x:v>
      </x:c>
      <x:c r="G3078" s="11" t="n">
        <x:v>602.6</x:v>
      </x:c>
      <x:c r="H3078" s="23" t="n">
        <x:v>0.00002934681863668294</x:v>
      </x:c>
      <x:c r="I3078" s="23" t="n">
        <x:v>0.9820663355237186</x:v>
      </x:c>
      <x:c r="J3078" s="2" t="n">
        <x:v>24</x:v>
      </x:c>
      <x:c r="K3078" s="2"/>
      <x:c r="L3078" s="2"/>
    </x:row>
    <x:row r="3079" ht="22" customHeight="1">
      <x:c r="A3079" s="2"/>
      <x:c r="B3079" s="2" t="n">
        <x:v>3046</x:v>
      </x:c>
      <x:c r="C3079" s="2" t="str">
        <x:v>84563B</x:v>
      </x:c>
      <x:c r="D3079" s="2" t="str">
        <x:v>damaged</x:v>
      </x:c>
      <x:c r="E3079" s="11" t="n">
        <x:v>601.84</x:v>
      </x:c>
      <x:c r="F3079" s="11" t="n">
        <x:v>0</x:v>
      </x:c>
      <x:c r="G3079" s="11" t="n">
        <x:v>601.84</x:v>
      </x:c>
      <x:c r="H3079" s="23" t="n">
        <x:v>0.000029309806386162065</x:v>
      </x:c>
      <x:c r="I3079" s="23" t="n">
        <x:v>0.9820956453301047</x:v>
      </x:c>
      <x:c r="J3079" s="2" t="n">
        <x:v>59</x:v>
      </x:c>
      <x:c r="K3079" s="2"/>
      <x:c r="L3079" s="2"/>
    </x:row>
    <x:row r="3080" ht="22" customHeight="1">
      <x:c r="A3080" s="2"/>
      <x:c r="B3080" s="2" t="n">
        <x:v>3047</x:v>
      </x:c>
      <x:c r="C3080" s="2" t="str">
        <x:v>85117</x:v>
      </x:c>
      <x:c r="D3080" s="2" t="str">
        <x:v>NIGHTINGALE COATHOOK WHITE</x:v>
      </x:c>
      <x:c r="E3080" s="11" t="n">
        <x:v>600.92</x:v>
      </x:c>
      <x:c r="F3080" s="11" t="n">
        <x:v>0</x:v>
      </x:c>
      <x:c r="G3080" s="11" t="n">
        <x:v>600.92</x:v>
      </x:c>
      <x:c r="H3080" s="23" t="n">
        <x:v>0.000029265002082899952</x:v>
      </x:c>
      <x:c r="I3080" s="23" t="n">
        <x:v>0.9821249103321876</x:v>
      </x:c>
      <x:c r="J3080" s="2" t="n">
        <x:v>61</x:v>
      </x:c>
      <x:c r="K3080" s="2"/>
      <x:c r="L3080" s="2"/>
    </x:row>
    <x:row r="3081" ht="22" customHeight="1">
      <x:c r="A3081" s="2"/>
      <x:c r="B3081" s="2" t="n">
        <x:v>3048</x:v>
      </x:c>
      <x:c r="C3081" s="2" t="str">
        <x:v>18094C</x:v>
      </x:c>
      <x:c r="D3081" s="2" t="str">
        <x:v>WHITE AND BLUE CERAMIC OIL BURNER</x:v>
      </x:c>
      <x:c r="E3081" s="11" t="n">
        <x:v>600.66</x:v>
      </x:c>
      <x:c r="F3081" s="11" t="n">
        <x:v>1.25</x:v>
      </x:c>
      <x:c r="G3081" s="11" t="n">
        <x:v>599.41</x:v>
      </x:c>
      <x:c r="H3081" s="23" t="n">
        <x:v>0.00002925233999719544</x:v>
      </x:c>
      <x:c r="I3081" s="23" t="n">
        <x:v>0.9821541626721848</x:v>
      </x:c>
      <x:c r="J3081" s="2" t="n">
        <x:v>98</x:v>
      </x:c>
      <x:c r="K3081" s="2"/>
      <x:c r="L3081" s="2"/>
    </x:row>
    <x:row r="3082" ht="22" customHeight="1">
      <x:c r="A3082" s="2"/>
      <x:c r="B3082" s="2" t="n">
        <x:v>3049</x:v>
      </x:c>
      <x:c r="C3082" s="2" t="str">
        <x:v>17109D</x:v>
      </x:c>
      <x:c r="D3082" s="2" t="str">
        <x:v>Adjustment</x:v>
      </x:c>
      <x:c r="E3082" s="11" t="n">
        <x:v>600</x:v>
      </x:c>
      <x:c r="F3082" s="11" t="n">
        <x:v>1.69</x:v>
      </x:c>
      <x:c r="G3082" s="11" t="n">
        <x:v>598.3100000000001</x:v>
      </x:c>
      <x:c r="H3082" s="23" t="n">
        <x:v>0.000029220197779637843</x:v>
      </x:c>
      <x:c r="I3082" s="23" t="n">
        <x:v>0.9821833828699644</x:v>
      </x:c>
      <x:c r="J3082" s="2" t="n">
        <x:v>38</x:v>
      </x:c>
      <x:c r="K3082" s="2"/>
      <x:c r="L3082" s="2"/>
    </x:row>
    <x:row r="3083" ht="22" customHeight="1">
      <x:c r="A3083" s="2"/>
      <x:c r="B3083" s="2" t="n">
        <x:v>3050</x:v>
      </x:c>
      <x:c r="C3083" s="2" t="str">
        <x:v>85146</x:v>
      </x:c>
      <x:c r="D3083" s="2" t="str">
        <x:v>JARDIN ETCHED GLASS SMALL BELL JAR</x:v>
      </x:c>
      <x:c r="E3083" s="11" t="n">
        <x:v>599.38</x:v>
      </x:c>
      <x:c r="F3083" s="11" t="n">
        <x:v>0</x:v>
      </x:c>
      <x:c r="G3083" s="11" t="n">
        <x:v>599.38</x:v>
      </x:c>
      <x:c r="H3083" s="23" t="n">
        <x:v>0.000029190003575265548</x:v>
      </x:c>
      <x:c r="I3083" s="23" t="n">
        <x:v>0.9822125728735397</x:v>
      </x:c>
      <x:c r="J3083" s="2" t="n">
        <x:v>29</x:v>
      </x:c>
      <x:c r="K3083" s="2"/>
      <x:c r="L3083" s="2"/>
    </x:row>
    <x:row r="3084" ht="22" customHeight="1">
      <x:c r="A3084" s="2"/>
      <x:c r="B3084" s="2" t="n">
        <x:v>3051</x:v>
      </x:c>
      <x:c r="C3084" s="2" t="str">
        <x:v>82605</x:v>
      </x:c>
      <x:c r="D3084" s="2" t="str">
        <x:v>OLD DOC RUSSEL METAL SIGN</x:v>
      </x:c>
      <x:c r="E3084" s="11" t="n">
        <x:v>599.27</x:v>
      </x:c>
      <x:c r="F3084" s="11" t="n">
        <x:v>0</x:v>
      </x:c>
      <x:c r="G3084" s="11" t="n">
        <x:v>599.27</x:v>
      </x:c>
      <x:c r="H3084" s="23" t="n">
        <x:v>0.000029184646539005947</x:v>
      </x:c>
      <x:c r="I3084" s="23" t="n">
        <x:v>0.9822417575200787</x:v>
      </x:c>
      <x:c r="J3084" s="2" t="n">
        <x:v>125</x:v>
      </x:c>
      <x:c r="K3084" s="2"/>
      <x:c r="L3084" s="2"/>
    </x:row>
    <x:row r="3085" ht="22" customHeight="1">
      <x:c r="A3085" s="2"/>
      <x:c r="B3085" s="2" t="n">
        <x:v>3052</x:v>
      </x:c>
      <x:c r="C3085" s="2" t="str">
        <x:v>47469</x:v>
      </x:c>
      <x:c r="D3085" s="2" t="str">
        <x:v>ASSORTED SHAPES PHOTO CLIP SILVER </x:v>
      </x:c>
      <x:c r="E3085" s="11" t="n">
        <x:v>597.53</x:v>
      </x:c>
      <x:c r="F3085" s="11" t="n">
        <x:v>15.600000000000001</x:v>
      </x:c>
      <x:c r="G3085" s="11" t="n">
        <x:v>581.93</x:v>
      </x:c>
      <x:c r="H3085" s="23" t="n">
        <x:v>0.000029099907965444997</x:v>
      </x:c>
      <x:c r="I3085" s="23" t="n">
        <x:v>0.9822708574280441</x:v>
      </x:c>
      <x:c r="J3085" s="2" t="n">
        <x:v>29</x:v>
      </x:c>
      <x:c r="K3085" s="2"/>
      <x:c r="L3085" s="2"/>
    </x:row>
    <x:row r="3086" ht="22" customHeight="1">
      <x:c r="A3086" s="2"/>
      <x:c r="B3086" s="2" t="n">
        <x:v>3053</x:v>
      </x:c>
      <x:c r="C3086" s="2" t="str">
        <x:v>22092</x:v>
      </x:c>
      <x:c r="D3086" s="2" t="str">
        <x:v>BLUE PAISLEY TISSUE BOX</x:v>
      </x:c>
      <x:c r="E3086" s="11" t="n">
        <x:v>597.44</x:v>
      </x:c>
      <x:c r="F3086" s="11" t="n">
        <x:v>0</x:v>
      </x:c>
      <x:c r="G3086" s="11" t="n">
        <x:v>597.44</x:v>
      </x:c>
      <x:c r="H3086" s="23" t="n">
        <x:v>0.000029095524935778055</x:v>
      </x:c>
      <x:c r="I3086" s="23" t="n">
        <x:v>0.9822999529529799</x:v>
      </x:c>
      <x:c r="J3086" s="2" t="n">
        <x:v>140</x:v>
      </x:c>
      <x:c r="K3086" s="2"/>
      <x:c r="L3086" s="2"/>
    </x:row>
    <x:row r="3087" ht="22" customHeight="1">
      <x:c r="A3087" s="2"/>
      <x:c r="B3087" s="2" t="n">
        <x:v>3054</x:v>
      </x:c>
      <x:c r="C3087" s="2" t="str">
        <x:v>84682</x:v>
      </x:c>
      <x:c r="D3087" s="2" t="str">
        <x:v>CLASSICAL ROSE DISH</x:v>
      </x:c>
      <x:c r="E3087" s="11" t="n">
        <x:v>596.94</x:v>
      </x:c>
      <x:c r="F3087" s="11" t="n">
        <x:v>17.700000000000003</x:v>
      </x:c>
      <x:c r="G3087" s="11" t="n">
        <x:v>579.24</x:v>
      </x:c>
      <x:c r="H3087" s="23" t="n">
        <x:v>0.00002907117477096169</x:v>
      </x:c>
      <x:c r="I3087" s="23" t="n">
        <x:v>0.9823290241277508</x:v>
      </x:c>
      <x:c r="J3087" s="2" t="n">
        <x:v>49</x:v>
      </x:c>
      <x:c r="K3087" s="2"/>
      <x:c r="L3087" s="2"/>
    </x:row>
    <x:row r="3088" ht="22" customHeight="1">
      <x:c r="A3088" s="2"/>
      <x:c r="B3088" s="2" t="n">
        <x:v>3055</x:v>
      </x:c>
      <x:c r="C3088" s="2" t="str">
        <x:v>82011C</x:v>
      </x:c>
      <x:c r="D3088" s="2" t="str">
        <x:v>BATHROOM SCALES FOOTPRINTS IN SAND</x:v>
      </x:c>
      <x:c r="E3088" s="11" t="n">
        <x:v>595.1800000000001</x:v>
      </x:c>
      <x:c r="F3088" s="11" t="n">
        <x:v>0</x:v>
      </x:c>
      <x:c r="G3088" s="11" t="n">
        <x:v>595.1800000000001</x:v>
      </x:c>
      <x:c r="H3088" s="23" t="n">
        <x:v>0.000028985462190808088</x:v>
      </x:c>
      <x:c r="I3088" s="23" t="n">
        <x:v>0.9823580095899416</x:v>
      </x:c>
      <x:c r="J3088" s="2" t="n">
        <x:v>71</x:v>
      </x:c>
      <x:c r="K3088" s="2"/>
      <x:c r="L3088" s="2"/>
    </x:row>
    <x:row r="3089" ht="22" customHeight="1">
      <x:c r="A3089" s="2"/>
      <x:c r="B3089" s="2" t="n">
        <x:v>3056</x:v>
      </x:c>
      <x:c r="C3089" s="2" t="str">
        <x:v>20781</x:v>
      </x:c>
      <x:c r="D3089" s="2" t="str">
        <x:v>GOLD EAR MUFF HEADPHONES</x:v>
      </x:c>
      <x:c r="E3089" s="11" t="n">
        <x:v>594.8100000000001</x:v>
      </x:c>
      <x:c r="F3089" s="11" t="n">
        <x:v>32.94</x:v>
      </x:c>
      <x:c r="G3089" s="11" t="n">
        <x:v>561.87</x:v>
      </x:c>
      <x:c r="H3089" s="23" t="n">
        <x:v>0.000028967443068843976</x:v>
      </x:c>
      <x:c r="I3089" s="23" t="n">
        <x:v>0.9823869770330104</x:v>
      </x:c>
      <x:c r="J3089" s="2" t="n">
        <x:v>61</x:v>
      </x:c>
      <x:c r="K3089" s="2"/>
      <x:c r="L3089" s="2"/>
    </x:row>
    <x:row r="3090" ht="22" customHeight="1">
      <x:c r="A3090" s="2"/>
      <x:c r="B3090" s="2" t="n">
        <x:v>3057</x:v>
      </x:c>
      <x:c r="C3090" s="2" t="str">
        <x:v>72122</x:v>
      </x:c>
      <x:c r="D3090" s="2" t="str">
        <x:v>COFFEE SCENT PILLAR CANDLE</x:v>
      </x:c>
      <x:c r="E3090" s="11" t="n">
        <x:v>594.28</x:v>
      </x:c>
      <x:c r="F3090" s="11" t="n">
        <x:v>0</x:v>
      </x:c>
      <x:c r="G3090" s="11" t="n">
        <x:v>594.28</x:v>
      </x:c>
      <x:c r="H3090" s="23" t="n">
        <x:v>0.000028941631894138627</x:v>
      </x:c>
      <x:c r="I3090" s="23" t="n">
        <x:v>0.9824159186649045</x:v>
      </x:c>
      <x:c r="J3090" s="2" t="n">
        <x:v>120</x:v>
      </x:c>
      <x:c r="K3090" s="2"/>
      <x:c r="L3090" s="2"/>
    </x:row>
    <x:row r="3091" ht="22" customHeight="1">
      <x:c r="A3091" s="2"/>
      <x:c r="B3091" s="2" t="n">
        <x:v>3058</x:v>
      </x:c>
      <x:c r="C3091" s="2" t="str">
        <x:v>23377</x:v>
      </x:c>
      <x:c r="D3091" s="2" t="str">
        <x:v>PACK OF 12 DOLLY GIRL TISSUES</x:v>
      </x:c>
      <x:c r="E3091" s="11" t="n">
        <x:v>593.62</x:v>
      </x:c>
      <x:c r="F3091" s="11" t="n">
        <x:v>3.12</x:v>
      </x:c>
      <x:c r="G3091" s="11" t="n">
        <x:v>590.5</x:v>
      </x:c>
      <x:c r="H3091" s="23" t="n">
        <x:v>0.000028909489676581026</x:v>
      </x:c>
      <x:c r="I3091" s="23" t="n">
        <x:v>0.9824448281545811</x:v>
      </x:c>
      <x:c r="J3091" s="2" t="n">
        <x:v>133</x:v>
      </x:c>
      <x:c r="K3091" s="2"/>
      <x:c r="L3091" s="2"/>
    </x:row>
    <x:row r="3092" ht="22" customHeight="1">
      <x:c r="A3092" s="2"/>
      <x:c r="B3092" s="2" t="n">
        <x:v>3059</x:v>
      </x:c>
      <x:c r="C3092" s="2" t="str">
        <x:v>16236</x:v>
      </x:c>
      <x:c r="D3092" s="2" t="str">
        <x:v>KITTY PENCIL ERASERS</x:v>
      </x:c>
      <x:c r="E3092" s="11" t="n">
        <x:v>593.29</x:v>
      </x:c>
      <x:c r="F3092" s="11" t="n">
        <x:v>5.88</x:v>
      </x:c>
      <x:c r="G3092" s="11" t="n">
        <x:v>587.41</x:v>
      </x:c>
      <x:c r="H3092" s="23" t="n">
        <x:v>0.000028893418567802224</x:v>
      </x:c>
      <x:c r="I3092" s="23" t="n">
        <x:v>0.9824737215731489</x:v>
      </x:c>
      <x:c r="J3092" s="2" t="n">
        <x:v>260</x:v>
      </x:c>
      <x:c r="K3092" s="2"/>
      <x:c r="L3092" s="2"/>
    </x:row>
    <x:row r="3093" ht="22" customHeight="1">
      <x:c r="A3093" s="2"/>
      <x:c r="B3093" s="2" t="n">
        <x:v>3060</x:v>
      </x:c>
      <x:c r="C3093" s="2" t="str">
        <x:v>21553</x:v>
      </x:c>
      <x:c r="D3093" s="2" t="str">
        <x:v>CERAMIC BIRDHOUSE FINCH BLUE  LARGE</x:v>
      </x:c>
      <x:c r="E3093" s="11" t="n">
        <x:v>593.17</x:v>
      </x:c>
      <x:c r="F3093" s="11" t="n">
        <x:v>5.95</x:v>
      </x:c>
      <x:c r="G3093" s="11" t="n">
        <x:v>587.22</x:v>
      </x:c>
      <x:c r="H3093" s="23" t="n">
        <x:v>0.000028887574528246294</x:v>
      </x:c>
      <x:c r="I3093" s="23" t="n">
        <x:v>0.9825026091476772</x:v>
      </x:c>
      <x:c r="J3093" s="2" t="n">
        <x:v>39</x:v>
      </x:c>
      <x:c r="K3093" s="2"/>
      <x:c r="L3093" s="2"/>
    </x:row>
    <x:row r="3094" ht="22" customHeight="1">
      <x:c r="A3094" s="2"/>
      <x:c r="B3094" s="2" t="n">
        <x:v>3061</x:v>
      </x:c>
      <x:c r="C3094" s="2" t="str">
        <x:v>20849</x:v>
      </x:c>
      <x:c r="D3094" s="2" t="str">
        <x:v>ZINC HEART LATTICE DOUBLE PLANTER</x:v>
      </x:c>
      <x:c r="E3094" s="11" t="n">
        <x:v>593.03</x:v>
      </x:c>
      <x:c r="F3094" s="11" t="n">
        <x:v>0</x:v>
      </x:c>
      <x:c r="G3094" s="11" t="n">
        <x:v>593.03</x:v>
      </x:c>
      <x:c r="H3094" s="23" t="n">
        <x:v>0.000028880756482097712</x:v>
      </x:c>
      <x:c r="I3094" s="23" t="n">
        <x:v>0.9825314899041593</x:v>
      </x:c>
      <x:c r="J3094" s="2" t="n">
        <x:v>24</x:v>
      </x:c>
      <x:c r="K3094" s="2"/>
      <x:c r="L3094" s="2"/>
    </x:row>
    <x:row r="3095" ht="22" customHeight="1">
      <x:c r="A3095" s="2"/>
      <x:c r="B3095" s="2" t="n">
        <x:v>3062</x:v>
      </x:c>
      <x:c r="C3095" s="2" t="str">
        <x:v>62096A</x:v>
      </x:c>
      <x:c r="D3095" s="2" t="str">
        <x:v>PINK/YELLOW FLOWERS HANDBAG</x:v>
      </x:c>
      <x:c r="E3095" s="11" t="n">
        <x:v>592.79</x:v>
      </x:c>
      <x:c r="F3095" s="11" t="n">
        <x:v>0</x:v>
      </x:c>
      <x:c r="G3095" s="11" t="n">
        <x:v>592.79</x:v>
      </x:c>
      <x:c r="H3095" s="23" t="n">
        <x:v>0.00002886906840298586</x:v>
      </x:c>
      <x:c r="I3095" s="23" t="n">
        <x:v>0.9825603589725622</x:v>
      </x:c>
      <x:c r="J3095" s="2" t="n">
        <x:v>89</x:v>
      </x:c>
      <x:c r="K3095" s="2"/>
      <x:c r="L3095" s="2"/>
    </x:row>
    <x:row r="3096" ht="22" customHeight="1">
      <x:c r="A3096" s="2"/>
      <x:c r="B3096" s="2" t="n">
        <x:v>3063</x:v>
      </x:c>
      <x:c r="C3096" s="2" t="str">
        <x:v>20804</x:v>
      </x:c>
      <x:c r="D3096" s="2" t="str">
        <x:v>GLASS CHICKEN BUTTER DISH</x:v>
      </x:c>
      <x:c r="E3096" s="11" t="n">
        <x:v>592.51</x:v>
      </x:c>
      <x:c r="F3096" s="11" t="n">
        <x:v>69.6</x:v>
      </x:c>
      <x:c r="G3096" s="11" t="n">
        <x:v>522.91</x:v>
      </x:c>
      <x:c r="H3096" s="23" t="n">
        <x:v>0.000028855432310688696</x:v>
      </x:c>
      <x:c r="I3096" s="23" t="n">
        <x:v>0.9825892144048729</x:v>
      </x:c>
      <x:c r="J3096" s="2" t="n">
        <x:v>61</x:v>
      </x:c>
      <x:c r="K3096" s="2"/>
      <x:c r="L3096" s="2"/>
    </x:row>
    <x:row r="3097" ht="22" customHeight="1">
      <x:c r="A3097" s="2"/>
      <x:c r="B3097" s="2" t="n">
        <x:v>3064</x:v>
      </x:c>
      <x:c r="C3097" s="2" t="str">
        <x:v>21223</x:v>
      </x:c>
      <x:c r="D3097" s="2" t="str">
        <x:v>SET/4 BADGES WOODLAND ANIMAL</x:v>
      </x:c>
      <x:c r="E3097" s="11" t="n">
        <x:v>592.08</x:v>
      </x:c>
      <x:c r="F3097" s="11" t="n">
        <x:v>0</x:v>
      </x:c>
      <x:c r="G3097" s="11" t="n">
        <x:v>592.08</x:v>
      </x:c>
      <x:c r="H3097" s="23" t="n">
        <x:v>0.000028834491168946625</x:v>
      </x:c>
      <x:c r="I3097" s="23" t="n">
        <x:v>0.9826180488960419</x:v>
      </x:c>
      <x:c r="J3097" s="2" t="n">
        <x:v>43</x:v>
      </x:c>
      <x:c r="K3097" s="2"/>
      <x:c r="L3097" s="2"/>
    </x:row>
    <x:row r="3098" ht="22" customHeight="1">
      <x:c r="A3098" s="2"/>
      <x:c r="B3098" s="2" t="n">
        <x:v>3065</x:v>
      </x:c>
      <x:c r="C3098" s="2" t="str">
        <x:v>85113</x:v>
      </x:c>
      <x:c r="D3098" s="2" t="str">
        <x:v>POLKA DOT PISTACHIO PAIL</x:v>
      </x:c>
      <x:c r="E3098" s="11" t="n">
        <x:v>591.6600000000001</x:v>
      </x:c>
      <x:c r="F3098" s="11" t="n">
        <x:v>0</x:v>
      </x:c>
      <x:c r="G3098" s="11" t="n">
        <x:v>591.6600000000001</x:v>
      </x:c>
      <x:c r="H3098" s="23" t="n">
        <x:v>0.00002881403703050088</x:v>
      </x:c>
      <x:c r="I3098" s="23" t="n">
        <x:v>0.9826468629330724</x:v>
      </x:c>
      <x:c r="J3098" s="2" t="n">
        <x:v>48</x:v>
      </x:c>
      <x:c r="K3098" s="2"/>
      <x:c r="L3098" s="2"/>
    </x:row>
    <x:row r="3099" ht="22" customHeight="1">
      <x:c r="A3099" s="2"/>
      <x:c r="B3099" s="2" t="n">
        <x:v>3066</x:v>
      </x:c>
      <x:c r="C3099" s="2" t="str">
        <x:v>90199C</x:v>
      </x:c>
      <x:c r="D3099" s="2" t="str">
        <x:v>5 STRAND GLASS NECKLACE CRYSTAL</x:v>
      </x:c>
      <x:c r="E3099" s="11" t="n">
        <x:v>591.64</x:v>
      </x:c>
      <x:c r="F3099" s="11" t="n">
        <x:v>12.7</x:v>
      </x:c>
      <x:c r="G3099" s="11" t="n">
        <x:v>578.9399999999999</x:v>
      </x:c>
      <x:c r="H3099" s="23" t="n">
        <x:v>0.00002881306302390822</x:v>
      </x:c>
      <x:c r="I3099" s="23" t="n">
        <x:v>0.9826756759960963</x:v>
      </x:c>
      <x:c r="J3099" s="2" t="n">
        <x:v>31</x:v>
      </x:c>
      <x:c r="K3099" s="2"/>
      <x:c r="L3099" s="2"/>
    </x:row>
    <x:row r="3100" ht="22" customHeight="1">
      <x:c r="A3100" s="2"/>
      <x:c r="B3100" s="2" t="n">
        <x:v>3067</x:v>
      </x:c>
      <x:c r="C3100" s="2" t="str">
        <x:v>21304</x:v>
      </x:c>
      <x:c r="D3100" s="2" t="str">
        <x:v>ARCHED GREY MIRROR</x:v>
      </x:c>
      <x:c r="E3100" s="11" t="n">
        <x:v>591.58</x:v>
      </x:c>
      <x:c r="F3100" s="11" t="n">
        <x:v>0</x:v>
      </x:c>
      <x:c r="G3100" s="11" t="n">
        <x:v>591.58</x:v>
      </x:c>
      <x:c r="H3100" s="23" t="n">
        <x:v>0.000028810141004130257</x:v>
      </x:c>
      <x:c r="I3100" s="23" t="n">
        <x:v>0.9827044861371004</x:v>
      </x:c>
      <x:c r="J3100" s="2" t="n">
        <x:v>18</x:v>
      </x:c>
      <x:c r="K3100" s="2"/>
      <x:c r="L3100" s="2"/>
    </x:row>
    <x:row r="3101" ht="22" customHeight="1">
      <x:c r="A3101" s="2"/>
      <x:c r="B3101" s="2" t="n">
        <x:v>3068</x:v>
      </x:c>
      <x:c r="C3101" s="2" t="str">
        <x:v>84963B</x:v>
      </x:c>
      <x:c r="D3101" s="2" t="str">
        <x:v>BLUE PAINTED KASHMIRI CHAIR</x:v>
      </x:c>
      <x:c r="E3101" s="11" t="n">
        <x:v>591.5</x:v>
      </x:c>
      <x:c r="F3101" s="11" t="n">
        <x:v>0</x:v>
      </x:c>
      <x:c r="G3101" s="11" t="n">
        <x:v>591.5</x:v>
      </x:c>
      <x:c r="H3101" s="23" t="n">
        <x:v>0.000028806244977759637</x:v>
      </x:c>
      <x:c r="I3101" s="23" t="n">
        <x:v>0.9827332923820782</x:v>
      </x:c>
      <x:c r="J3101" s="2" t="n">
        <x:v>6</x:v>
      </x:c>
      <x:c r="K3101" s="2"/>
      <x:c r="L3101" s="2"/>
    </x:row>
    <x:row r="3102" ht="22" customHeight="1">
      <x:c r="A3102" s="2"/>
      <x:c r="B3102" s="2" t="n">
        <x:v>3069</x:v>
      </x:c>
      <x:c r="C3102" s="2" t="str">
        <x:v>20794</x:v>
      </x:c>
      <x:c r="D3102" s="2" t="str">
        <x:v>BLUE  TILE HOOK</x:v>
      </x:c>
      <x:c r="E3102" s="11" t="n">
        <x:v>591.02</x:v>
      </x:c>
      <x:c r="F3102" s="11" t="n">
        <x:v>45.9</x:v>
      </x:c>
      <x:c r="G3102" s="11" t="n">
        <x:v>545.12</x:v>
      </x:c>
      <x:c r="H3102" s="23" t="n">
        <x:v>0.000028782868819535928</x:v>
      </x:c>
      <x:c r="I3102" s="23" t="n">
        <x:v>0.9827620752508978</x:v>
      </x:c>
      <x:c r="J3102" s="2" t="n">
        <x:v>48</x:v>
      </x:c>
      <x:c r="K3102" s="2"/>
      <x:c r="L3102" s="2"/>
    </x:row>
    <x:row r="3103" ht="22" customHeight="1">
      <x:c r="A3103" s="2"/>
      <x:c r="B3103" s="2" t="n">
        <x:v>3070</x:v>
      </x:c>
      <x:c r="C3103" s="2" t="str">
        <x:v>21322</x:v>
      </x:c>
      <x:c r="D3103" s="2" t="str">
        <x:v>GLASS SPHERE CANDLE STAND LARGE </x:v>
      </x:c>
      <x:c r="E3103" s="11" t="n">
        <x:v>590.45</x:v>
      </x:c>
      <x:c r="F3103" s="11" t="n">
        <x:v>0</x:v>
      </x:c>
      <x:c r="G3103" s="11" t="n">
        <x:v>590.45</x:v>
      </x:c>
      <x:c r="H3103" s="23" t="n">
        <x:v>0.000028755109631645276</x:v>
      </x:c>
      <x:c r="I3103" s="23" t="n">
        <x:v>0.9827908303605294</x:v>
      </x:c>
      <x:c r="J3103" s="2" t="n">
        <x:v>14</x:v>
      </x:c>
      <x:c r="K3103" s="2"/>
      <x:c r="L3103" s="2"/>
    </x:row>
    <x:row r="3104" ht="22" customHeight="1">
      <x:c r="A3104" s="2"/>
      <x:c r="B3104" s="2" t="n">
        <x:v>3071</x:v>
      </x:c>
      <x:c r="C3104" s="2" t="str">
        <x:v>21256</x:v>
      </x:c>
      <x:c r="D3104" s="2" t="str">
        <x:v>FRENCH BOTTLE, BRASSERIE DES ARTIST</x:v>
      </x:c>
      <x:c r="E3104" s="11" t="n">
        <x:v>588.64</x:v>
      </x:c>
      <x:c r="F3104" s="11" t="n">
        <x:v>0</x:v>
      </x:c>
      <x:c r="G3104" s="11" t="n">
        <x:v>588.64</x:v>
      </x:c>
      <x:c r="H3104" s="23" t="n">
        <x:v>0.00002866696203501003</x:v>
      </x:c>
      <x:c r="I3104" s="23" t="n">
        <x:v>0.9828194973225644</x:v>
      </x:c>
      <x:c r="J3104" s="2" t="n">
        <x:v>65</x:v>
      </x:c>
      <x:c r="K3104" s="2"/>
      <x:c r="L3104" s="2"/>
    </x:row>
    <x:row r="3105" ht="22" customHeight="1">
      <x:c r="A3105" s="2"/>
      <x:c r="B3105" s="2" t="n">
        <x:v>3072</x:v>
      </x:c>
      <x:c r="C3105" s="2" t="str">
        <x:v>21893</x:v>
      </x:c>
      <x:c r="D3105" s="2" t="str">
        <x:v>POTTING SHED SEED TIN</x:v>
      </x:c>
      <x:c r="E3105" s="11" t="n">
        <x:v>587.8</x:v>
      </x:c>
      <x:c r="F3105" s="11" t="n">
        <x:v>0</x:v>
      </x:c>
      <x:c r="G3105" s="11" t="n">
        <x:v>587.8</x:v>
      </x:c>
      <x:c r="H3105" s="23" t="n">
        <x:v>0.000028626053758118535</x:v>
      </x:c>
      <x:c r="I3105" s="23" t="n">
        <x:v>0.9828481233763224</x:v>
      </x:c>
      <x:c r="J3105" s="2" t="n">
        <x:v>20</x:v>
      </x:c>
      <x:c r="K3105" s="2"/>
      <x:c r="L3105" s="2"/>
    </x:row>
    <x:row r="3106" ht="22" customHeight="1">
      <x:c r="A3106" s="2"/>
      <x:c r="B3106" s="2" t="n">
        <x:v>3073</x:v>
      </x:c>
      <x:c r="C3106" s="2" t="str">
        <x:v>21167</x:v>
      </x:c>
      <x:c r="D3106" s="2" t="str">
        <x:v>WHITE SAGE INCENSE</x:v>
      </x:c>
      <x:c r="E3106" s="11" t="n">
        <x:v>587.52</x:v>
      </x:c>
      <x:c r="F3106" s="11" t="n">
        <x:v>10.5</x:v>
      </x:c>
      <x:c r="G3106" s="11" t="n">
        <x:v>577.02</x:v>
      </x:c>
      <x:c r="H3106" s="23" t="n">
        <x:v>0.000028612417665821372</x:v>
      </x:c>
      <x:c r="I3106" s="23" t="n">
        <x:v>0.9828767357939883</x:v>
      </x:c>
      <x:c r="J3106" s="2" t="n">
        <x:v>114</x:v>
      </x:c>
      <x:c r="K3106" s="2"/>
      <x:c r="L3106" s="2"/>
    </x:row>
    <x:row r="3107" ht="22" customHeight="1">
      <x:c r="A3107" s="2"/>
      <x:c r="B3107" s="2" t="n">
        <x:v>3074</x:v>
      </x:c>
      <x:c r="C3107" s="2" t="str">
        <x:v>23499</x:v>
      </x:c>
      <x:c r="D3107" s="2" t="str">
        <x:v>SET 12 VINTAGE DOILY CHALK </x:v>
      </x:c>
      <x:c r="E3107" s="11" t="n">
        <x:v>587.49</x:v>
      </x:c>
      <x:c r="F3107" s="11" t="n">
        <x:v>0</x:v>
      </x:c>
      <x:c r="G3107" s="11" t="n">
        <x:v>587.49</x:v>
      </x:c>
      <x:c r="H3107" s="23" t="n">
        <x:v>0.00002861095665593239</x:v>
      </x:c>
      <x:c r="I3107" s="23" t="n">
        <x:v>0.9829053467506442</x:v>
      </x:c>
      <x:c r="J3107" s="2" t="n">
        <x:v>110</x:v>
      </x:c>
      <x:c r="K3107" s="2"/>
      <x:c r="L3107" s="2"/>
    </x:row>
    <x:row r="3108" ht="22" customHeight="1">
      <x:c r="A3108" s="2"/>
      <x:c r="B3108" s="2" t="n">
        <x:v>3075</x:v>
      </x:c>
      <x:c r="C3108" s="2" t="str">
        <x:v>84934</x:v>
      </x:c>
      <x:c r="D3108" s="2" t="str">
        <x:v>ASSTD DESIGN POP ART SLIM PEN</x:v>
      </x:c>
      <x:c r="E3108" s="11" t="n">
        <x:v>586.5</x:v>
      </x:c>
      <x:c r="F3108" s="11" t="n">
        <x:v>0.85</x:v>
      </x:c>
      <x:c r="G3108" s="11" t="n">
        <x:v>585.65</x:v>
      </x:c>
      <x:c r="H3108" s="23" t="n">
        <x:v>0.00002856274332959599</x:v>
      </x:c>
      <x:c r="I3108" s="23" t="n">
        <x:v>0.9829339094939739</x:v>
      </x:c>
      <x:c r="J3108" s="2" t="n">
        <x:v>13</x:v>
      </x:c>
      <x:c r="K3108" s="2"/>
      <x:c r="L3108" s="2"/>
    </x:row>
    <x:row r="3109" ht="22" customHeight="1">
      <x:c r="A3109" s="2"/>
      <x:c r="B3109" s="2" t="n">
        <x:v>3076</x:v>
      </x:c>
      <x:c r="C3109" s="2" t="str">
        <x:v>23565</x:v>
      </x:c>
      <x:c r="D3109" s="2" t="str">
        <x:v>EGG CUP MILKMAID HELGA </x:v>
      </x:c>
      <x:c r="E3109" s="11" t="n">
        <x:v>586.31</x:v>
      </x:c>
      <x:c r="F3109" s="11" t="n">
        <x:v>6.25</x:v>
      </x:c>
      <x:c r="G3109" s="11" t="n">
        <x:v>580.06</x:v>
      </x:c>
      <x:c r="H3109" s="23" t="n">
        <x:v>0.000028553490266965767</x:v>
      </x:c>
      <x:c r="I3109" s="23" t="n">
        <x:v>0.9829624629842408</x:v>
      </x:c>
      <x:c r="J3109" s="2" t="n">
        <x:v>63</x:v>
      </x:c>
      <x:c r="K3109" s="2"/>
      <x:c r="L3109" s="2"/>
    </x:row>
    <x:row r="3110" ht="22" customHeight="1">
      <x:c r="A3110" s="2"/>
      <x:c r="B3110" s="2" t="n">
        <x:v>3077</x:v>
      </x:c>
      <x:c r="C3110" s="2" t="str">
        <x:v>90195A</x:v>
      </x:c>
      <x:c r="D3110" s="2" t="str">
        <x:v>PURPLE GEMSTONE BRACELET</x:v>
      </x:c>
      <x:c r="E3110" s="11" t="n">
        <x:v>585.1999999999999</x:v>
      </x:c>
      <x:c r="F3110" s="11" t="n">
        <x:v>44.75</x:v>
      </x:c>
      <x:c r="G3110" s="11" t="n">
        <x:v>540.4499999999999</x:v>
      </x:c>
      <x:c r="H3110" s="23" t="n">
        <x:v>0.000028499432901073437</x:v>
      </x:c>
      <x:c r="I3110" s="23" t="n">
        <x:v>0.9829909624171419</x:v>
      </x:c>
      <x:c r="J3110" s="2" t="n">
        <x:v>44</x:v>
      </x:c>
      <x:c r="K3110" s="2"/>
      <x:c r="L3110" s="2"/>
    </x:row>
    <x:row r="3111" ht="22" customHeight="1">
      <x:c r="A3111" s="2"/>
      <x:c r="B3111" s="2" t="n">
        <x:v>3078</x:v>
      </x:c>
      <x:c r="C3111" s="2" t="str">
        <x:v>84569C</x:v>
      </x:c>
      <x:c r="D3111" s="2" t="str">
        <x:v>PACK 4 FLOWER/BUTTERFLY PATCHES</x:v>
      </x:c>
      <x:c r="E3111" s="11" t="n">
        <x:v>584.93</x:v>
      </x:c>
      <x:c r="F3111" s="11" t="n">
        <x:v>16.25</x:v>
      </x:c>
      <x:c r="G3111" s="11" t="n">
        <x:v>568.68</x:v>
      </x:c>
      <x:c r="H3111" s="23" t="n">
        <x:v>0.000028486283812072603</x:v>
      </x:c>
      <x:c r="I3111" s="23" t="n">
        <x:v>0.9830194487009539</x:v>
      </x:c>
      <x:c r="J3111" s="2" t="n">
        <x:v>89</x:v>
      </x:c>
      <x:c r="K3111" s="2"/>
      <x:c r="L3111" s="2"/>
    </x:row>
    <x:row r="3112" ht="22" customHeight="1">
      <x:c r="A3112" s="2"/>
      <x:c r="B3112" s="2" t="n">
        <x:v>3079</x:v>
      </x:c>
      <x:c r="C3112" s="2" t="str">
        <x:v>21016</x:v>
      </x:c>
      <x:c r="D3112" s="2" t="str">
        <x:v>LIGHT BIRD HOUSE TREE DECORATION</x:v>
      </x:c>
      <x:c r="E3112" s="11" t="n">
        <x:v>584.55</x:v>
      </x:c>
      <x:c r="F3112" s="11" t="n">
        <x:v>1.68</x:v>
      </x:c>
      <x:c r="G3112" s="11" t="n">
        <x:v>582.87</x:v>
      </x:c>
      <x:c r="H3112" s="23" t="n">
        <x:v>0.000028467777686812165</x:v>
      </x:c>
      <x:c r="I3112" s="23" t="n">
        <x:v>0.9830479164786408</x:v>
      </x:c>
      <x:c r="J3112" s="2" t="n">
        <x:v>82</x:v>
      </x:c>
      <x:c r="K3112" s="2"/>
      <x:c r="L3112" s="2"/>
    </x:row>
    <x:row r="3113" ht="22" customHeight="1">
      <x:c r="A3113" s="2"/>
      <x:c r="B3113" s="2" t="n">
        <x:v>3080</x:v>
      </x:c>
      <x:c r="C3113" s="2" t="str">
        <x:v>23537</x:v>
      </x:c>
      <x:c r="D3113" s="2" t="str">
        <x:v>WALL ART I LOVE LONDON </x:v>
      </x:c>
      <x:c r="E3113" s="11" t="n">
        <x:v>581.13</x:v>
      </x:c>
      <x:c r="F3113" s="11" t="n">
        <x:v>0</x:v>
      </x:c>
      <x:c r="G3113" s="11" t="n">
        <x:v>581.13</x:v>
      </x:c>
      <x:c r="H3113" s="23" t="n">
        <x:v>0.00002830122255946823</x:v>
      </x:c>
      <x:c r="I3113" s="23" t="n">
        <x:v>0.9830762177012002</x:v>
      </x:c>
      <x:c r="J3113" s="2" t="n">
        <x:v>34</x:v>
      </x:c>
      <x:c r="K3113" s="2"/>
      <x:c r="L3113" s="2"/>
    </x:row>
    <x:row r="3114" ht="22" customHeight="1">
      <x:c r="A3114" s="2"/>
      <x:c r="B3114" s="2" t="n">
        <x:v>3081</x:v>
      </x:c>
      <x:c r="C3114" s="2" t="str">
        <x:v>20935</x:v>
      </x:c>
      <x:c r="D3114" s="2" t="str">
        <x:v>ROUND CACTUS CANDLE</x:v>
      </x:c>
      <x:c r="E3114" s="11" t="n">
        <x:v>580.38</x:v>
      </x:c>
      <x:c r="F3114" s="11" t="n">
        <x:v>17.700000000000003</x:v>
      </x:c>
      <x:c r="G3114" s="11" t="n">
        <x:v>562.6800000000001</x:v>
      </x:c>
      <x:c r="H3114" s="23" t="n">
        <x:v>0.000028264697312243682</x:v>
      </x:c>
      <x:c r="I3114" s="23" t="n">
        <x:v>0.9831044823985124</x:v>
      </x:c>
      <x:c r="J3114" s="2" t="n">
        <x:v>46</x:v>
      </x:c>
      <x:c r="K3114" s="2"/>
      <x:c r="L3114" s="2"/>
    </x:row>
    <x:row r="3115" ht="22" customHeight="1">
      <x:c r="A3115" s="2"/>
      <x:c r="B3115" s="2" t="n">
        <x:v>3082</x:v>
      </x:c>
      <x:c r="C3115" s="2" t="str">
        <x:v>90010B</x:v>
      </x:c>
      <x:c r="D3115" s="2" t="str">
        <x:v>BLACK/WHITE GLASS/SILVER BRACELET</x:v>
      </x:c>
      <x:c r="E3115" s="11" t="n">
        <x:v>578.02</x:v>
      </x:c>
      <x:c r="F3115" s="11" t="n">
        <x:v>8.95</x:v>
      </x:c>
      <x:c r="G3115" s="11" t="n">
        <x:v>569.0699999999999</x:v>
      </x:c>
      <x:c r="H3115" s="23" t="n">
        <x:v>0.00002814976453431044</x:v>
      </x:c>
      <x:c r="I3115" s="23" t="n">
        <x:v>0.9831326321630468</x:v>
      </x:c>
      <x:c r="J3115" s="2" t="n">
        <x:v>34</x:v>
      </x:c>
      <x:c r="K3115" s="2"/>
      <x:c r="L3115" s="2"/>
    </x:row>
    <x:row r="3116" ht="22" customHeight="1">
      <x:c r="A3116" s="2"/>
      <x:c r="B3116" s="2" t="n">
        <x:v>3083</x:v>
      </x:c>
      <x:c r="C3116" s="2" t="str">
        <x:v>15056p</x:v>
      </x:c>
      <x:c r="D3116" s="2" t="str">
        <x:v>EDWARDIAN PARASOL PINK</x:v>
      </x:c>
      <x:c r="E3116" s="11" t="n">
        <x:v>577.84</x:v>
      </x:c>
      <x:c r="F3116" s="11" t="n">
        <x:v>0</x:v>
      </x:c>
      <x:c r="G3116" s="11" t="n">
        <x:v>577.84</x:v>
      </x:c>
      <x:c r="H3116" s="23" t="n">
        <x:v>0.000028140998474976553</x:v>
      </x:c>
      <x:c r="I3116" s="23" t="n">
        <x:v>0.9831607731615217</x:v>
      </x:c>
      <x:c r="J3116" s="2" t="n">
        <x:v>38</x:v>
      </x:c>
      <x:c r="K3116" s="2"/>
      <x:c r="L3116" s="2"/>
    </x:row>
    <x:row r="3117" ht="22" customHeight="1">
      <x:c r="A3117" s="2"/>
      <x:c r="B3117" s="2" t="n">
        <x:v>3084</x:v>
      </x:c>
      <x:c r="C3117" s="2" t="str">
        <x:v>21419</x:v>
      </x:c>
      <x:c r="D3117" s="2" t="str">
        <x:v>CONCH SHELL</x:v>
      </x:c>
      <x:c r="E3117" s="11" t="n">
        <x:v>577.6899999999999</x:v>
      </x:c>
      <x:c r="F3117" s="11" t="n">
        <x:v>0</x:v>
      </x:c>
      <x:c r="G3117" s="11" t="n">
        <x:v>577.6899999999999</x:v>
      </x:c>
      <x:c r="H3117" s="23" t="n">
        <x:v>0.00002813369342553164</x:v>
      </x:c>
      <x:c r="I3117" s="23" t="n">
        <x:v>0.9831889068549473</x:v>
      </x:c>
      <x:c r="J3117" s="2" t="n">
        <x:v>19</x:v>
      </x:c>
      <x:c r="K3117" s="2"/>
      <x:c r="L3117" s="2"/>
    </x:row>
    <x:row r="3118" ht="22" customHeight="1">
      <x:c r="A3118" s="2"/>
      <x:c r="B3118" s="2" t="n">
        <x:v>3085</x:v>
      </x:c>
      <x:c r="C3118" s="2" t="str">
        <x:v>47421</x:v>
      </x:c>
      <x:c r="D3118" s="2" t="str">
        <x:v>ASSORTED COLOUR LIZARD SUCTION HOOK</x:v>
      </x:c>
      <x:c r="E3118" s="11" t="n">
        <x:v>576.9</x:v>
      </x:c>
      <x:c r="F3118" s="11" t="n">
        <x:v>6.72</x:v>
      </x:c>
      <x:c r="G3118" s="11" t="n">
        <x:v>570.18</x:v>
      </x:c>
      <x:c r="H3118" s="23" t="n">
        <x:v>0.000028095220165121785</x:v>
      </x:c>
      <x:c r="I3118" s="23" t="n">
        <x:v>0.9832170020751124</x:v>
      </x:c>
      <x:c r="J3118" s="2" t="n">
        <x:v>74</x:v>
      </x:c>
      <x:c r="K3118" s="2"/>
      <x:c r="L3118" s="2"/>
    </x:row>
    <x:row r="3119" ht="22" customHeight="1">
      <x:c r="A3119" s="2"/>
      <x:c r="B3119" s="2" t="n">
        <x:v>3086</x:v>
      </x:c>
      <x:c r="C3119" s="2" t="str">
        <x:v>35922</x:v>
      </x:c>
      <x:c r="D3119" s="2" t="str">
        <x:v>EASTER BUNNY WREATH</x:v>
      </x:c>
      <x:c r="E3119" s="11" t="n">
        <x:v>575.99</x:v>
      </x:c>
      <x:c r="F3119" s="11" t="n">
        <x:v>19.8</x:v>
      </x:c>
      <x:c r="G3119" s="11" t="n">
        <x:v>556.19</x:v>
      </x:c>
      <x:c r="H3119" s="23" t="n">
        <x:v>0.000028050902865156</x:v>
      </x:c>
      <x:c r="I3119" s="23" t="n">
        <x:v>0.9832450529779776</x:v>
      </x:c>
      <x:c r="J3119" s="2" t="n">
        <x:v>36</x:v>
      </x:c>
      <x:c r="K3119" s="2"/>
      <x:c r="L3119" s="2"/>
    </x:row>
    <x:row r="3120" ht="22" customHeight="1">
      <x:c r="A3120" s="2"/>
      <x:c r="B3120" s="2" t="n">
        <x:v>3087</x:v>
      </x:c>
      <x:c r="C3120" s="2" t="str">
        <x:v>23016</x:v>
      </x:c>
      <x:c r="D3120" s="2" t="str">
        <x:v>GLASS TWIST BON BON JAR</x:v>
      </x:c>
      <x:c r="E3120" s="11" t="n">
        <x:v>575.25</x:v>
      </x:c>
      <x:c r="F3120" s="11" t="n">
        <x:v>19.950000000000003</x:v>
      </x:c>
      <x:c r="G3120" s="11" t="n">
        <x:v>555.3</x:v>
      </x:c>
      <x:c r="H3120" s="23" t="n">
        <x:v>0.00002801486462122778</x:v>
      </x:c>
      <x:c r="I3120" s="23" t="n">
        <x:v>0.9832730678425988</x:v>
      </x:c>
      <x:c r="J3120" s="2" t="n">
        <x:v>24</x:v>
      </x:c>
      <x:c r="K3120" s="2"/>
      <x:c r="L3120" s="2"/>
    </x:row>
    <x:row r="3121" ht="22" customHeight="1">
      <x:c r="A3121" s="2"/>
      <x:c r="B3121" s="2" t="n">
        <x:v>3088</x:v>
      </x:c>
      <x:c r="C3121" s="2" t="str">
        <x:v>23125</x:v>
      </x:c>
      <x:c r="D3121" s="2" t="str">
        <x:v>6PC WOOD PLATE SET DISPOSABLE</x:v>
      </x:c>
      <x:c r="E3121" s="11" t="n">
        <x:v>574.88</x:v>
      </x:c>
      <x:c r="F3121" s="11" t="n">
        <x:v>0</x:v>
      </x:c>
      <x:c r="G3121" s="11" t="n">
        <x:v>574.88</x:v>
      </x:c>
      <x:c r="H3121" s="23" t="n">
        <x:v>0.00002799684549926367</x:v>
      </x:c>
      <x:c r="I3121" s="23" t="n">
        <x:v>0.9833010646880981</x:v>
      </x:c>
      <x:c r="J3121" s="2" t="n">
        <x:v>38</x:v>
      </x:c>
      <x:c r="K3121" s="2"/>
      <x:c r="L3121" s="2"/>
    </x:row>
    <x:row r="3122" ht="22" customHeight="1">
      <x:c r="A3122" s="2"/>
      <x:c r="B3122" s="2" t="n">
        <x:v>3089</x:v>
      </x:c>
      <x:c r="C3122" s="2" t="str">
        <x:v>84932D</x:v>
      </x:c>
      <x:c r="D3122" s="2" t="str">
        <x:v>damages</x:v>
      </x:c>
      <x:c r="E3122" s="11" t="n">
        <x:v>574.71</x:v>
      </x:c>
      <x:c r="F3122" s="11" t="n">
        <x:v>0</x:v>
      </x:c>
      <x:c r="G3122" s="11" t="n">
        <x:v>574.71</x:v>
      </x:c>
      <x:c r="H3122" s="23" t="n">
        <x:v>0.00002798856644322611</x:v>
      </x:c>
      <x:c r="I3122" s="23" t="n">
        <x:v>0.9833290532545413</x:v>
      </x:c>
      <x:c r="J3122" s="2" t="n">
        <x:v>21</x:v>
      </x:c>
      <x:c r="K3122" s="2"/>
      <x:c r="L3122" s="2"/>
    </x:row>
    <x:row r="3123" ht="22" customHeight="1">
      <x:c r="A3123" s="2"/>
      <x:c r="B3123" s="2" t="n">
        <x:v>3090</x:v>
      </x:c>
      <x:c r="C3123" s="2" t="str">
        <x:v>85202</x:v>
      </x:c>
      <x:c r="D3123" s="2" t="str">
        <x:v>HANGING WOOD AND FELT HEART</x:v>
      </x:c>
      <x:c r="E3123" s="11" t="n">
        <x:v>573.45</x:v>
      </x:c>
      <x:c r="F3123" s="11" t="n">
        <x:v>10.08</x:v>
      </x:c>
      <x:c r="G3123" s="11" t="n">
        <x:v>563.37</x:v>
      </x:c>
      <x:c r="H3123" s="23" t="n">
        <x:v>0.000027927204027888868</x:v>
      </x:c>
      <x:c r="I3123" s="23" t="n">
        <x:v>0.9833569804585692</x:v>
      </x:c>
      <x:c r="J3123" s="2" t="n">
        <x:v>208</x:v>
      </x:c>
      <x:c r="K3123" s="2"/>
      <x:c r="L3123" s="2"/>
    </x:row>
    <x:row r="3124" ht="22" customHeight="1">
      <x:c r="A3124" s="2"/>
      <x:c r="B3124" s="2" t="n">
        <x:v>3091</x:v>
      </x:c>
      <x:c r="C3124" s="2" t="str">
        <x:v>17013D</x:v>
      </x:c>
      <x:c r="D3124" s="2" t="str">
        <x:v>ORIGAMI ROSE INCENSE IN TUBE</x:v>
      </x:c>
      <x:c r="E3124" s="11" t="n">
        <x:v>572.4</x:v>
      </x:c>
      <x:c r="F3124" s="11" t="n">
        <x:v>1.57</x:v>
      </x:c>
      <x:c r="G3124" s="11" t="n">
        <x:v>570.8299999999999</x:v>
      </x:c>
      <x:c r="H3124" s="23" t="n">
        <x:v>0.0000278760686817745</x:v>
      </x:c>
      <x:c r="I3124" s="23" t="n">
        <x:v>0.983384856527251</x:v>
      </x:c>
      <x:c r="J3124" s="2" t="n">
        <x:v>31</x:v>
      </x:c>
      <x:c r="K3124" s="2"/>
      <x:c r="L3124" s="2"/>
    </x:row>
    <x:row r="3125" ht="22" customHeight="1">
      <x:c r="A3125" s="2"/>
      <x:c r="B3125" s="2" t="n">
        <x:v>3092</x:v>
      </x:c>
      <x:c r="C3125" s="2" t="str">
        <x:v>84846A</x:v>
      </x:c>
      <x:c r="D3125" s="2" t="str">
        <x:v>SCENTED CANDLE IN DIGITALIS TIN</x:v>
      </x:c>
      <x:c r="E3125" s="11" t="n">
        <x:v>571.75</x:v>
      </x:c>
      <x:c r="F3125" s="11" t="n">
        <x:v>0</x:v>
      </x:c>
      <x:c r="G3125" s="11" t="n">
        <x:v>571.75</x:v>
      </x:c>
      <x:c r="H3125" s="23" t="n">
        <x:v>0.000027844413467513224</x:v>
      </x:c>
      <x:c r="I3125" s="23" t="n">
        <x:v>0.9834127009407185</x:v>
      </x:c>
      <x:c r="J3125" s="2" t="n">
        <x:v>54</x:v>
      </x:c>
      <x:c r="K3125" s="2"/>
      <x:c r="L3125" s="2"/>
    </x:row>
    <x:row r="3126" ht="22" customHeight="1">
      <x:c r="A3126" s="2"/>
      <x:c r="B3126" s="2" t="n">
        <x:v>3093</x:v>
      </x:c>
      <x:c r="C3126" s="2" t="str">
        <x:v>84675</x:v>
      </x:c>
      <x:c r="D3126" s="2" t="str">
        <x:v>FROG KING WATERING CAN</x:v>
      </x:c>
      <x:c r="E3126" s="11" t="n">
        <x:v>571.71</x:v>
      </x:c>
      <x:c r="F3126" s="11" t="n">
        <x:v>23.6</x:v>
      </x:c>
      <x:c r="G3126" s="11" t="n">
        <x:v>548.11</x:v>
      </x:c>
      <x:c r="H3126" s="23" t="n">
        <x:v>0.000027842465454327918</x:v>
      </x:c>
      <x:c r="I3126" s="23" t="n">
        <x:v>0.9834405434061728</x:v>
      </x:c>
      <x:c r="J3126" s="2" t="n">
        <x:v>62</x:v>
      </x:c>
      <x:c r="K3126" s="2"/>
      <x:c r="L3126" s="2"/>
    </x:row>
    <x:row r="3127" ht="22" customHeight="1">
      <x:c r="A3127" s="2"/>
      <x:c r="B3127" s="2" t="n">
        <x:v>3094</x:v>
      </x:c>
      <x:c r="C3127" s="2" t="str">
        <x:v>84924A</x:v>
      </x:c>
      <x:c r="D3127" s="2" t="str">
        <x:v>WAKE UP COCKEREL CALENDAR SIGN </x:v>
      </x:c>
      <x:c r="E3127" s="11" t="n">
        <x:v>571</x:v>
      </x:c>
      <x:c r="F3127" s="11" t="n">
        <x:v>0</x:v>
      </x:c>
      <x:c r="G3127" s="11" t="n">
        <x:v>571</x:v>
      </x:c>
      <x:c r="H3127" s="23" t="n">
        <x:v>0.000027807888220288678</x:v>
      </x:c>
      <x:c r="I3127" s="23" t="n">
        <x:v>0.9834683512943931</x:v>
      </x:c>
      <x:c r="J3127" s="2" t="n">
        <x:v>62</x:v>
      </x:c>
      <x:c r="K3127" s="2"/>
      <x:c r="L3127" s="2"/>
    </x:row>
    <x:row r="3128" ht="22" customHeight="1">
      <x:c r="A3128" s="2"/>
      <x:c r="B3128" s="2" t="n">
        <x:v>3095</x:v>
      </x:c>
      <x:c r="C3128" s="2" t="str">
        <x:v>16162L</x:v>
      </x:c>
      <x:c r="D3128" s="2" t="str">
        <x:v>THE KING GIFT BAG</x:v>
      </x:c>
      <x:c r="E3128" s="11" t="n">
        <x:v>570.4300000000001</x:v>
      </x:c>
      <x:c r="F3128" s="11" t="n">
        <x:v>187.20000000000002</x:v>
      </x:c>
      <x:c r="G3128" s="11" t="n">
        <x:v>383.23</x:v>
      </x:c>
      <x:c r="H3128" s="23" t="n">
        <x:v>0.000027780129032398026</x:v>
      </x:c>
      <x:c r="I3128" s="23" t="n">
        <x:v>0.9834961314234255</x:v>
      </x:c>
      <x:c r="J3128" s="2" t="n">
        <x:v>30</x:v>
      </x:c>
      <x:c r="K3128" s="2"/>
      <x:c r="L3128" s="2"/>
    </x:row>
    <x:row r="3129" ht="22" customHeight="1">
      <x:c r="A3129" s="2"/>
      <x:c r="B3129" s="2" t="n">
        <x:v>3096</x:v>
      </x:c>
      <x:c r="C3129" s="2" t="str">
        <x:v>85129A</x:v>
      </x:c>
      <x:c r="D3129" s="2" t="str">
        <x:v>WHITE PEARL BEADED HEART, SMALL</x:v>
      </x:c>
      <x:c r="E3129" s="11" t="n">
        <x:v>570.41</x:v>
      </x:c>
      <x:c r="F3129" s="11" t="n">
        <x:v>15</x:v>
      </x:c>
      <x:c r="G3129" s="11" t="n">
        <x:v>555.41</x:v>
      </x:c>
      <x:c r="H3129" s="23" t="n">
        <x:v>0.000027779155025805367</x:v>
      </x:c>
      <x:c r="I3129" s="23" t="n">
        <x:v>0.9835239105784513</x:v>
      </x:c>
      <x:c r="J3129" s="2" t="n">
        <x:v>75</x:v>
      </x:c>
      <x:c r="K3129" s="2"/>
      <x:c r="L3129" s="2"/>
    </x:row>
    <x:row r="3130" ht="22" customHeight="1">
      <x:c r="A3130" s="2"/>
      <x:c r="B3130" s="2" t="n">
        <x:v>3097</x:v>
      </x:c>
      <x:c r="C3130" s="2" t="str">
        <x:v>23455</x:v>
      </x:c>
      <x:c r="D3130" s="2" t="str">
        <x:v>SMALL PARLOUR PICTURE FRAME</x:v>
      </x:c>
      <x:c r="E3130" s="11" t="n">
        <x:v>569.4300000000001</x:v>
      </x:c>
      <x:c r="F3130" s="11" t="n">
        <x:v>0</x:v>
      </x:c>
      <x:c r="G3130" s="11" t="n">
        <x:v>569.4300000000001</x:v>
      </x:c>
      <x:c r="H3130" s="23" t="n">
        <x:v>0.000027731428702765296</x:v>
      </x:c>
      <x:c r="I3130" s="23" t="n">
        <x:v>0.9835516420071541</x:v>
      </x:c>
      <x:c r="J3130" s="2" t="n">
        <x:v>35</x:v>
      </x:c>
      <x:c r="K3130" s="2"/>
      <x:c r="L3130" s="2"/>
    </x:row>
    <x:row r="3131" ht="22" customHeight="1">
      <x:c r="A3131" s="2"/>
      <x:c r="B3131" s="2" t="n">
        <x:v>3098</x:v>
      </x:c>
      <x:c r="C3131" s="2" t="str">
        <x:v>85086A</x:v>
      </x:c>
      <x:c r="D3131" s="2" t="str">
        <x:v>CANDY SPOT HEART DECORATION</x:v>
      </x:c>
      <x:c r="E3131" s="11" t="n">
        <x:v>568.73</x:v>
      </x:c>
      <x:c r="F3131" s="11" t="n">
        <x:v>0</x:v>
      </x:c>
      <x:c r="G3131" s="11" t="n">
        <x:v>568.73</x:v>
      </x:c>
      <x:c r="H3131" s="23" t="n">
        <x:v>0.000027697338472022382</x:v>
      </x:c>
      <x:c r="I3131" s="23" t="n">
        <x:v>0.9835793393456261</x:v>
      </x:c>
      <x:c r="J3131" s="2" t="n">
        <x:v>152</x:v>
      </x:c>
      <x:c r="K3131" s="2"/>
      <x:c r="L3131" s="2"/>
    </x:row>
    <x:row r="3132" ht="22" customHeight="1">
      <x:c r="A3132" s="2"/>
      <x:c r="B3132" s="2" t="n">
        <x:v>3099</x:v>
      </x:c>
      <x:c r="C3132" s="2" t="str">
        <x:v>23069</x:v>
      </x:c>
      <x:c r="D3132" s="2" t="str">
        <x:v>EDWARDIAN PHOTO FRAME</x:v>
      </x:c>
      <x:c r="E3132" s="11" t="n">
        <x:v>568.71</x:v>
      </x:c>
      <x:c r="F3132" s="11" t="n">
        <x:v>0</x:v>
      </x:c>
      <x:c r="G3132" s="11" t="n">
        <x:v>568.71</x:v>
      </x:c>
      <x:c r="H3132" s="23" t="n">
        <x:v>0.00002769636446542973</x:v>
      </x:c>
      <x:c r="I3132" s="23" t="n">
        <x:v>0.9836070357100916</x:v>
      </x:c>
      <x:c r="J3132" s="2" t="n">
        <x:v>32</x:v>
      </x:c>
      <x:c r="K3132" s="2"/>
      <x:c r="L3132" s="2"/>
    </x:row>
    <x:row r="3133" ht="22" customHeight="1">
      <x:c r="A3133" s="2"/>
      <x:c r="B3133" s="2" t="n">
        <x:v>3100</x:v>
      </x:c>
      <x:c r="C3133" s="2" t="str">
        <x:v>23219</x:v>
      </x:c>
      <x:c r="D3133" s="2" t="str">
        <x:v>LAUREL STAR ANTIQUE SILVER </x:v>
      </x:c>
      <x:c r="E3133" s="11" t="n">
        <x:v>568.6</x:v>
      </x:c>
      <x:c r="F3133" s="11" t="n">
        <x:v>0</x:v>
      </x:c>
      <x:c r="G3133" s="11" t="n">
        <x:v>568.6</x:v>
      </x:c>
      <x:c r="H3133" s="23" t="n">
        <x:v>0.00002769100742917013</x:v>
      </x:c>
      <x:c r="I3133" s="23" t="n">
        <x:v>0.9836347267175207</x:v>
      </x:c>
      <x:c r="J3133" s="2" t="n">
        <x:v>61</x:v>
      </x:c>
      <x:c r="K3133" s="2"/>
      <x:c r="L3133" s="2"/>
    </x:row>
    <x:row r="3134" ht="22" customHeight="1">
      <x:c r="A3134" s="2"/>
      <x:c r="B3134" s="2" t="n">
        <x:v>3101</x:v>
      </x:c>
      <x:c r="C3134" s="2" t="str">
        <x:v>84806B</x:v>
      </x:c>
      <x:c r="D3134" s="2" t="str">
        <x:v>WHITE CANDYSTUFT ARTIFICIAL FLOWER</x:v>
      </x:c>
      <x:c r="E3134" s="11" t="n">
        <x:v>568.02</x:v>
      </x:c>
      <x:c r="F3134" s="11" t="n">
        <x:v>0</x:v>
      </x:c>
      <x:c r="G3134" s="11" t="n">
        <x:v>568.02</x:v>
      </x:c>
      <x:c r="H3134" s="23" t="n">
        <x:v>0.000027662761237983145</x:v>
      </x:c>
      <x:c r="I3134" s="23" t="n">
        <x:v>0.9836623894787587</x:v>
      </x:c>
      <x:c r="J3134" s="2" t="n">
        <x:v>32</x:v>
      </x:c>
      <x:c r="K3134" s="2"/>
      <x:c r="L3134" s="2"/>
    </x:row>
    <x:row r="3135" ht="22" customHeight="1">
      <x:c r="A3135" s="2"/>
      <x:c r="B3135" s="2" t="n">
        <x:v>3102</x:v>
      </x:c>
      <x:c r="C3135" s="2" t="str">
        <x:v>85230B</x:v>
      </x:c>
      <x:c r="D3135" s="2" t="str">
        <x:v>CINNAMON SCENTED VOTIVE CANDLE</x:v>
      </x:c>
      <x:c r="E3135" s="11" t="n">
        <x:v>568</x:v>
      </x:c>
      <x:c r="F3135" s="11" t="n">
        <x:v>0</x:v>
      </x:c>
      <x:c r="G3135" s="11" t="n">
        <x:v>568</x:v>
      </x:c>
      <x:c r="H3135" s="23" t="n">
        <x:v>0.00002766178723139049</x:v>
      </x:c>
      <x:c r="I3135" s="23" t="n">
        <x:v>0.9836900512659901</x:v>
      </x:c>
      <x:c r="J3135" s="2" t="n">
        <x:v>68</x:v>
      </x:c>
      <x:c r="K3135" s="2"/>
      <x:c r="L3135" s="2"/>
    </x:row>
    <x:row r="3136" ht="22" customHeight="1">
      <x:c r="A3136" s="2"/>
      <x:c r="B3136" s="2" t="n">
        <x:v>3103</x:v>
      </x:c>
      <x:c r="C3136" s="2" t="str">
        <x:v>23381</x:v>
      </x:c>
      <x:c r="D3136" s="2" t="str">
        <x:v>PACK OF 12 VINTAGE LEAF TISSUES </x:v>
      </x:c>
      <x:c r="E3136" s="11" t="n">
        <x:v>567.9499999999999</x:v>
      </x:c>
      <x:c r="F3136" s="11" t="n">
        <x:v>0</x:v>
      </x:c>
      <x:c r="G3136" s="11" t="n">
        <x:v>567.9499999999999</x:v>
      </x:c>
      <x:c r="H3136" s="23" t="n">
        <x:v>0.00002765935221490885</x:v>
      </x:c>
      <x:c r="I3136" s="23" t="n">
        <x:v>0.983717710618205</x:v>
      </x:c>
      <x:c r="J3136" s="2" t="n">
        <x:v>80</x:v>
      </x:c>
      <x:c r="K3136" s="2"/>
      <x:c r="L3136" s="2"/>
    </x:row>
    <x:row r="3137" ht="22" customHeight="1">
      <x:c r="A3137" s="2"/>
      <x:c r="B3137" s="2" t="n">
        <x:v>3104</x:v>
      </x:c>
      <x:c r="C3137" s="2" t="str">
        <x:v>85119</x:v>
      </x:c>
      <x:c r="D3137" s="2" t="str">
        <x:v>WATERING CAN SINGLE HOOK PISTACHIO</x:v>
      </x:c>
      <x:c r="E3137" s="11" t="n">
        <x:v>567.48</x:v>
      </x:c>
      <x:c r="F3137" s="11" t="n">
        <x:v>27.04</x:v>
      </x:c>
      <x:c r="G3137" s="11" t="n">
        <x:v>540.44</x:v>
      </x:c>
      <x:c r="H3137" s="23" t="n">
        <x:v>0.00002763646305998147</x:v>
      </x:c>
      <x:c r="I3137" s="23" t="n">
        <x:v>0.983745347081265</x:v>
      </x:c>
      <x:c r="J3137" s="2" t="n">
        <x:v>39</x:v>
      </x:c>
      <x:c r="K3137" s="2"/>
      <x:c r="L3137" s="2"/>
    </x:row>
    <x:row r="3138" ht="22" customHeight="1">
      <x:c r="A3138" s="2"/>
      <x:c r="B3138" s="2" t="n">
        <x:v>3105</x:v>
      </x:c>
      <x:c r="C3138" s="2" t="str">
        <x:v>16169C</x:v>
      </x:c>
      <x:c r="D3138" s="2" t="str">
        <x:v>damages</x:v>
      </x:c>
      <x:c r="E3138" s="11" t="n">
        <x:v>567</x:v>
      </x:c>
      <x:c r="F3138" s="11" t="n">
        <x:v>0</x:v>
      </x:c>
      <x:c r="G3138" s="11" t="n">
        <x:v>567</x:v>
      </x:c>
      <x:c r="H3138" s="23" t="n">
        <x:v>0.00002761308690175776</x:v>
      </x:c>
      <x:c r="I3138" s="23" t="n">
        <x:v>0.9837729601681668</x:v>
      </x:c>
      <x:c r="J3138" s="2" t="n">
        <x:v>43</x:v>
      </x:c>
      <x:c r="K3138" s="2"/>
      <x:c r="L3138" s="2"/>
    </x:row>
    <x:row r="3139" ht="22" customHeight="1">
      <x:c r="A3139" s="2"/>
      <x:c r="B3139" s="2" t="n">
        <x:v>3106</x:v>
      </x:c>
      <x:c r="C3139" s="2" t="str">
        <x:v>85169C</x:v>
      </x:c>
      <x:c r="D3139" s="2" t="str">
        <x:v>EAU DE NIL LOVE BIRD CANDLE</x:v>
      </x:c>
      <x:c r="E3139" s="11" t="n">
        <x:v>566.82</x:v>
      </x:c>
      <x:c r="F3139" s="11" t="n">
        <x:v>15</x:v>
      </x:c>
      <x:c r="G3139" s="11" t="n">
        <x:v>551.82</x:v>
      </x:c>
      <x:c r="H3139" s="23" t="n">
        <x:v>0.000027604320842423872</x:v>
      </x:c>
      <x:c r="I3139" s="23" t="n">
        <x:v>0.9838005644890093</x:v>
      </x:c>
      <x:c r="J3139" s="2" t="n">
        <x:v>71</x:v>
      </x:c>
      <x:c r="K3139" s="2"/>
      <x:c r="L3139" s="2"/>
    </x:row>
    <x:row r="3140" ht="22" customHeight="1">
      <x:c r="A3140" s="2"/>
      <x:c r="B3140" s="2" t="n">
        <x:v>3107</x:v>
      </x:c>
      <x:c r="C3140" s="2" t="str">
        <x:v>20838</x:v>
      </x:c>
      <x:c r="D3140" s="2" t="str">
        <x:v>FRENCH LATTICE CUSHION COVER </x:v>
      </x:c>
      <x:c r="E3140" s="11" t="n">
        <x:v>565.8</x:v>
      </x:c>
      <x:c r="F3140" s="11" t="n">
        <x:v>10.2</x:v>
      </x:c>
      <x:c r="G3140" s="11" t="n">
        <x:v>555.6</x:v>
      </x:c>
      <x:c r="H3140" s="23" t="n">
        <x:v>0.00002755464650619848</x:v>
      </x:c>
      <x:c r="I3140" s="23" t="n">
        <x:v>0.9838281191355155</x:v>
      </x:c>
      <x:c r="J3140" s="2" t="n">
        <x:v>63</x:v>
      </x:c>
      <x:c r="K3140" s="2"/>
      <x:c r="L3140" s="2"/>
    </x:row>
    <x:row r="3141" ht="22" customHeight="1">
      <x:c r="A3141" s="2"/>
      <x:c r="B3141" s="2" t="n">
        <x:v>3108</x:v>
      </x:c>
      <x:c r="C3141" s="2" t="str">
        <x:v>37444A</x:v>
      </x:c>
      <x:c r="D3141" s="2" t="str">
        <x:v>YELLOW BREAKFAST CUP AND SAUCER</x:v>
      </x:c>
      <x:c r="E3141" s="11" t="n">
        <x:v>564.21</x:v>
      </x:c>
      <x:c r="F3141" s="11" t="n">
        <x:v>172.98999999999998</x:v>
      </x:c>
      <x:c r="G3141" s="11" t="n">
        <x:v>391.22</x:v>
      </x:c>
      <x:c r="H3141" s="23" t="n">
        <x:v>0.000027477212982082445</x:v>
      </x:c>
      <x:c r="I3141" s="23" t="n">
        <x:v>0.9838555963484976</x:v>
      </x:c>
      <x:c r="J3141" s="2" t="n">
        <x:v>43</x:v>
      </x:c>
      <x:c r="K3141" s="2"/>
      <x:c r="L3141" s="2"/>
    </x:row>
    <x:row r="3142" ht="22" customHeight="1">
      <x:c r="A3142" s="2"/>
      <x:c r="B3142" s="2" t="n">
        <x:v>3109</x:v>
      </x:c>
      <x:c r="C3142" s="2" t="str">
        <x:v>23272</x:v>
      </x:c>
      <x:c r="D3142" s="2" t="str">
        <x:v>TREE T-LIGHT HOLDER WILLIE WINKIE</x:v>
      </x:c>
      <x:c r="E3142" s="11" t="n">
        <x:v>562.2199999999999</x:v>
      </x:c>
      <x:c r="F3142" s="11" t="n">
        <x:v>0</x:v>
      </x:c>
      <x:c r="G3142" s="11" t="n">
        <x:v>562.2199999999999</x:v>
      </x:c>
      <x:c r="H3142" s="23" t="n">
        <x:v>0.00002738029932611331</x:v>
      </x:c>
      <x:c r="I3142" s="23" t="n">
        <x:v>0.9838829766478238</x:v>
      </x:c>
      <x:c r="J3142" s="2" t="n">
        <x:v>44</x:v>
      </x:c>
      <x:c r="K3142" s="2"/>
      <x:c r="L3142" s="2"/>
    </x:row>
    <x:row r="3143" ht="22" customHeight="1">
      <x:c r="A3143" s="2"/>
      <x:c r="B3143" s="2" t="n">
        <x:v>3110</x:v>
      </x:c>
      <x:c r="C3143" s="2" t="str">
        <x:v>84569B</x:v>
      </x:c>
      <x:c r="D3143" s="2" t="str">
        <x:v>PACK 3 FIRE ENGINE/CAR PATCHES</x:v>
      </x:c>
      <x:c r="E3143" s="11" t="n">
        <x:v>562.18</x:v>
      </x:c>
      <x:c r="F3143" s="11" t="n">
        <x:v>1.25</x:v>
      </x:c>
      <x:c r="G3143" s="11" t="n">
        <x:v>560.93</x:v>
      </x:c>
      <x:c r="H3143" s="23" t="n">
        <x:v>0.000027378351312928</x:v>
      </x:c>
      <x:c r="I3143" s="23" t="n">
        <x:v>0.9839103549991367</x:v>
      </x:c>
      <x:c r="J3143" s="2" t="n">
        <x:v>76</x:v>
      </x:c>
      <x:c r="K3143" s="2"/>
      <x:c r="L3143" s="2"/>
    </x:row>
    <x:row r="3144" ht="22" customHeight="1">
      <x:c r="A3144" s="2"/>
      <x:c r="B3144" s="2" t="n">
        <x:v>3111</x:v>
      </x:c>
      <x:c r="C3144" s="2" t="str">
        <x:v>37345</x:v>
      </x:c>
      <x:c r="D3144" s="2" t="str">
        <x:v>ASSTD HEARTS DESIGN MUGS</x:v>
      </x:c>
      <x:c r="E3144" s="11" t="n">
        <x:v>561.05</x:v>
      </x:c>
      <x:c r="F3144" s="11" t="n">
        <x:v>0</x:v>
      </x:c>
      <x:c r="G3144" s="11" t="n">
        <x:v>561.05</x:v>
      </x:c>
      <x:c r="H3144" s="23" t="n">
        <x:v>0.000027323319940443017</x:v>
      </x:c>
      <x:c r="I3144" s="23" t="n">
        <x:v>0.9839376783190772</x:v>
      </x:c>
      <x:c r="J3144" s="2" t="n">
        <x:v>9</x:v>
      </x:c>
      <x:c r="K3144" s="2"/>
      <x:c r="L3144" s="2"/>
    </x:row>
    <x:row r="3145" ht="22" customHeight="1">
      <x:c r="A3145" s="2"/>
      <x:c r="B3145" s="2" t="n">
        <x:v>3112</x:v>
      </x:c>
      <x:c r="C3145" s="2" t="str">
        <x:v>84773</x:v>
      </x:c>
      <x:c r="D3145" s="2" t="str">
        <x:v>RED ROSE AND LACE C/COVER</x:v>
      </x:c>
      <x:c r="E3145" s="11" t="n">
        <x:v>560.5</x:v>
      </x:c>
      <x:c r="F3145" s="11" t="n">
        <x:v>5.9</x:v>
      </x:c>
      <x:c r="G3145" s="11" t="n">
        <x:v>554.6</x:v>
      </x:c>
      <x:c r="H3145" s="23" t="n">
        <x:v>0.000027296534759145017</x:v>
      </x:c>
      <x:c r="I3145" s="23" t="n">
        <x:v>0.9839649748538364</x:v>
      </x:c>
      <x:c r="J3145" s="2" t="n">
        <x:v>48</x:v>
      </x:c>
      <x:c r="K3145" s="2"/>
      <x:c r="L3145" s="2"/>
    </x:row>
    <x:row r="3146" ht="22" customHeight="1">
      <x:c r="A3146" s="2"/>
      <x:c r="B3146" s="2" t="n">
        <x:v>3113</x:v>
      </x:c>
      <x:c r="C3146" s="2" t="str">
        <x:v>16049</x:v>
      </x:c>
      <x:c r="D3146" s="2" t="str">
        <x:v>TEATIME GEL PENS ASST</x:v>
      </x:c>
      <x:c r="E3146" s="11" t="n">
        <x:v>560.48</x:v>
      </x:c>
      <x:c r="F3146" s="11" t="n">
        <x:v>0</x:v>
      </x:c>
      <x:c r="G3146" s="11" t="n">
        <x:v>560.48</x:v>
      </x:c>
      <x:c r="H3146" s="23" t="n">
        <x:v>0.000027295560752552362</x:v>
      </x:c>
      <x:c r="I3146" s="23" t="n">
        <x:v>0.9839922704145889</x:v>
      </x:c>
      <x:c r="J3146" s="2" t="n">
        <x:v>32</x:v>
      </x:c>
      <x:c r="K3146" s="2"/>
      <x:c r="L3146" s="2"/>
    </x:row>
    <x:row r="3147" ht="22" customHeight="1">
      <x:c r="A3147" s="2"/>
      <x:c r="B3147" s="2" t="n">
        <x:v>3114</x:v>
      </x:c>
      <x:c r="C3147" s="2" t="str">
        <x:v>16238</x:v>
      </x:c>
      <x:c r="D3147" s="2" t="str">
        <x:v>PARTY TIME PENCIL ERASERS</x:v>
      </x:c>
      <x:c r="E3147" s="11" t="n">
        <x:v>559.96</x:v>
      </x:c>
      <x:c r="F3147" s="11" t="n">
        <x:v>0</x:v>
      </x:c>
      <x:c r="G3147" s="11" t="n">
        <x:v>559.96</x:v>
      </x:c>
      <x:c r="H3147" s="23" t="n">
        <x:v>0.000027270236581143346</x:v>
      </x:c>
      <x:c r="I3147" s="23" t="n">
        <x:v>0.98401954065117</x:v>
      </x:c>
      <x:c r="J3147" s="2" t="n">
        <x:v>236</x:v>
      </x:c>
      <x:c r="K3147" s="2"/>
      <x:c r="L3147" s="2"/>
    </x:row>
    <x:row r="3148" ht="22" customHeight="1">
      <x:c r="A3148" s="2"/>
      <x:c r="B3148" s="2" t="n">
        <x:v>3115</x:v>
      </x:c>
      <x:c r="C3148" s="2" t="str">
        <x:v>85090</x:v>
      </x:c>
      <x:c r="D3148" s="2" t="str">
        <x:v>CANDY SPOT APRON</x:v>
      </x:c>
      <x:c r="E3148" s="11" t="n">
        <x:v>559.2800000000001</x:v>
      </x:c>
      <x:c r="F3148" s="11" t="n">
        <x:v>37.2</x:v>
      </x:c>
      <x:c r="G3148" s="11" t="n">
        <x:v>522.08</x:v>
      </x:c>
      <x:c r="H3148" s="23" t="n">
        <x:v>0.00002723712035699309</x:v>
      </x:c>
      <x:c r="I3148" s="23" t="n">
        <x:v>0.984046777771527</x:v>
      </x:c>
      <x:c r="J3148" s="2" t="n">
        <x:v>53</x:v>
      </x:c>
      <x:c r="K3148" s="2"/>
      <x:c r="L3148" s="2"/>
    </x:row>
    <x:row r="3149" ht="22" customHeight="1">
      <x:c r="A3149" s="2"/>
      <x:c r="B3149" s="2" t="n">
        <x:v>3116</x:v>
      </x:c>
      <x:c r="C3149" s="2" t="str">
        <x:v>21160</x:v>
      </x:c>
      <x:c r="D3149" s="2" t="str">
        <x:v>KEEP OUT GIRLS DOOR HANGER </x:v>
      </x:c>
      <x:c r="E3149" s="11" t="n">
        <x:v>558.9399999999999</x:v>
      </x:c>
      <x:c r="F3149" s="11" t="n">
        <x:v>30.259999999999998</x:v>
      </x:c>
      <x:c r="G3149" s="11" t="n">
        <x:v>528.68</x:v>
      </x:c>
      <x:c r="H3149" s="23" t="n">
        <x:v>0.000027220562244917955</x:v>
      </x:c>
      <x:c r="I3149" s="23" t="n">
        <x:v>0.984073998333772</x:v>
      </x:c>
      <x:c r="J3149" s="2" t="n">
        <x:v>58</x:v>
      </x:c>
      <x:c r="K3149" s="2"/>
      <x:c r="L3149" s="2"/>
    </x:row>
    <x:row r="3150" ht="22" customHeight="1">
      <x:c r="A3150" s="2"/>
      <x:c r="B3150" s="2" t="n">
        <x:v>3117</x:v>
      </x:c>
      <x:c r="C3150" s="2" t="str">
        <x:v>23451</x:v>
      </x:c>
      <x:c r="D3150" s="2" t="str">
        <x:v>SQUARE MINI PORTRAIT FRAME</x:v>
      </x:c>
      <x:c r="E3150" s="11" t="n">
        <x:v>558.12</x:v>
      </x:c>
      <x:c r="F3150" s="11" t="n">
        <x:v>0</x:v>
      </x:c>
      <x:c r="G3150" s="11" t="n">
        <x:v>558.12</x:v>
      </x:c>
      <x:c r="H3150" s="23" t="n">
        <x:v>0.00002718062797461912</x:v>
      </x:c>
      <x:c r="I3150" s="23" t="n">
        <x:v>0.9841011789617465</x:v>
      </x:c>
      <x:c r="J3150" s="2" t="n">
        <x:v>52</x:v>
      </x:c>
      <x:c r="K3150" s="2"/>
      <x:c r="L3150" s="2"/>
    </x:row>
    <x:row r="3151" ht="22" customHeight="1">
      <x:c r="A3151" s="2"/>
      <x:c r="B3151" s="2" t="n">
        <x:v>3118</x:v>
      </x:c>
      <x:c r="C3151" s="2" t="str">
        <x:v>84306</x:v>
      </x:c>
      <x:c r="D3151" s="2" t="str">
        <x:v>S/3 PINK SQUARE PLANTERS ROSES</x:v>
      </x:c>
      <x:c r="E3151" s="11" t="n">
        <x:v>557.4799999999999</x:v>
      </x:c>
      <x:c r="F3151" s="11" t="n">
        <x:v>0</x:v>
      </x:c>
      <x:c r="G3151" s="11" t="n">
        <x:v>557.4799999999999</x:v>
      </x:c>
      <x:c r="H3151" s="23" t="n">
        <x:v>0.000027149459763654167</x:v>
      </x:c>
      <x:c r="I3151" s="23" t="n">
        <x:v>0.9841283284215102</x:v>
      </x:c>
      <x:c r="J3151" s="2" t="n">
        <x:v>31</x:v>
      </x:c>
      <x:c r="K3151" s="2"/>
      <x:c r="L3151" s="2"/>
    </x:row>
    <x:row r="3152" ht="22" customHeight="1">
      <x:c r="A3152" s="2"/>
      <x:c r="B3152" s="2" t="n">
        <x:v>3119</x:v>
      </x:c>
      <x:c r="C3152" s="2" t="str">
        <x:v>21371</x:v>
      </x:c>
      <x:c r="D3152" s="2" t="str">
        <x:v>MIRRORED WALL ART POPPIES</x:v>
      </x:c>
      <x:c r="E3152" s="11" t="n">
        <x:v>556.01</x:v>
      </x:c>
      <x:c r="F3152" s="11" t="n">
        <x:v>0</x:v>
      </x:c>
      <x:c r="G3152" s="11" t="n">
        <x:v>556.01</x:v>
      </x:c>
      <x:c r="H3152" s="23" t="n">
        <x:v>0.00002707787027909406</x:v>
      </x:c>
      <x:c r="I3152" s="23" t="n">
        <x:v>0.9841554062917893</x:v>
      </x:c>
      <x:c r="J3152" s="2" t="n">
        <x:v>64</x:v>
      </x:c>
      <x:c r="K3152" s="2"/>
      <x:c r="L3152" s="2"/>
    </x:row>
    <x:row r="3153" ht="22" customHeight="1">
      <x:c r="A3153" s="2"/>
      <x:c r="B3153" s="2" t="n">
        <x:v>3120</x:v>
      </x:c>
      <x:c r="C3153" s="2" t="str">
        <x:v>23074</x:v>
      </x:c>
      <x:c r="D3153" s="2" t="str">
        <x:v>EMBOSSED HEART TRINKET BOX</x:v>
      </x:c>
      <x:c r="E3153" s="11" t="n">
        <x:v>555.59</x:v>
      </x:c>
      <x:c r="F3153" s="11" t="n">
        <x:v>12.48</x:v>
      </x:c>
      <x:c r="G3153" s="11" t="n">
        <x:v>543.11</x:v>
      </x:c>
      <x:c r="H3153" s="23" t="n">
        <x:v>0.000027057416140648316</x:v>
      </x:c>
      <x:c r="I3153" s="23" t="n">
        <x:v>0.9841824637079299</x:v>
      </x:c>
      <x:c r="J3153" s="2" t="n">
        <x:v>48</x:v>
      </x:c>
      <x:c r="K3153" s="2"/>
      <x:c r="L3153" s="2"/>
    </x:row>
    <x:row r="3154" ht="22" customHeight="1">
      <x:c r="A3154" s="2"/>
      <x:c r="B3154" s="2" t="n">
        <x:v>3121</x:v>
      </x:c>
      <x:c r="C3154" s="2" t="str">
        <x:v>20823</x:v>
      </x:c>
      <x:c r="D3154" s="2" t="str">
        <x:v>GOLD WINE GOBLET</x:v>
      </x:c>
      <x:c r="E3154" s="11" t="n">
        <x:v>555.47</x:v>
      </x:c>
      <x:c r="F3154" s="11" t="n">
        <x:v>18.6</x:v>
      </x:c>
      <x:c r="G3154" s="11" t="n">
        <x:v>536.87</x:v>
      </x:c>
      <x:c r="H3154" s="23" t="n">
        <x:v>0.000027051572101092387</x:v>
      </x:c>
      <x:c r="I3154" s="23" t="n">
        <x:v>0.9842095152800311</x:v>
      </x:c>
      <x:c r="J3154" s="2" t="n">
        <x:v>19</x:v>
      </x:c>
      <x:c r="K3154" s="2"/>
      <x:c r="L3154" s="2"/>
    </x:row>
    <x:row r="3155" ht="22" customHeight="1">
      <x:c r="A3155" s="2"/>
      <x:c r="B3155" s="2" t="n">
        <x:v>3122</x:v>
      </x:c>
      <x:c r="C3155" s="2" t="str">
        <x:v>21881</x:v>
      </x:c>
      <x:c r="D3155" s="2" t="str">
        <x:v>CUTE CATS TAPE</x:v>
      </x:c>
      <x:c r="E3155" s="11" t="n">
        <x:v>554.95</x:v>
      </x:c>
      <x:c r="F3155" s="11" t="n">
        <x:v>0</x:v>
      </x:c>
      <x:c r="G3155" s="11" t="n">
        <x:v>554.95</x:v>
      </x:c>
      <x:c r="H3155" s="23" t="n">
        <x:v>0.00002702624792968337</x:v>
      </x:c>
      <x:c r="I3155" s="23" t="n">
        <x:v>0.9842365415279608</x:v>
      </x:c>
      <x:c r="J3155" s="2" t="n">
        <x:v>118</x:v>
      </x:c>
      <x:c r="K3155" s="2"/>
      <x:c r="L3155" s="2"/>
    </x:row>
    <x:row r="3156" ht="22" customHeight="1">
      <x:c r="A3156" s="2"/>
      <x:c r="B3156" s="2" t="n">
        <x:v>3123</x:v>
      </x:c>
      <x:c r="C3156" s="2" t="str">
        <x:v>23457</x:v>
      </x:c>
      <x:c r="D3156" s="2" t="str">
        <x:v>LARGE PARLOUR PICTURE FRAME</x:v>
      </x:c>
      <x:c r="E3156" s="11" t="n">
        <x:v>554.83</x:v>
      </x:c>
      <x:c r="F3156" s="11" t="n">
        <x:v>0</x:v>
      </x:c>
      <x:c r="G3156" s="11" t="n">
        <x:v>554.83</x:v>
      </x:c>
      <x:c r="H3156" s="23" t="n">
        <x:v>0.00002702040389012744</x:v>
      </x:c>
      <x:c r="I3156" s="23" t="n">
        <x:v>0.9842635619318509</x:v>
      </x:c>
      <x:c r="J3156" s="2" t="n">
        <x:v>31</x:v>
      </x:c>
      <x:c r="K3156" s="2"/>
      <x:c r="L3156" s="2"/>
    </x:row>
    <x:row r="3157" ht="22" customHeight="1">
      <x:c r="A3157" s="2"/>
      <x:c r="B3157" s="2" t="n">
        <x:v>3124</x:v>
      </x:c>
      <x:c r="C3157" s="2" t="str">
        <x:v>90120D</x:v>
      </x:c>
      <x:c r="D3157" s="2" t="str">
        <x:v>WHITE MURANO TWIST BRACELET</x:v>
      </x:c>
      <x:c r="E3157" s="11" t="n">
        <x:v>554.13</x:v>
      </x:c>
      <x:c r="F3157" s="11" t="n">
        <x:v>0</x:v>
      </x:c>
      <x:c r="G3157" s="11" t="n">
        <x:v>554.13</x:v>
      </x:c>
      <x:c r="H3157" s="23" t="n">
        <x:v>0.00002698631365938453</x:v>
      </x:c>
      <x:c r="I3157" s="23" t="n">
        <x:v>0.9842905482455103</x:v>
      </x:c>
      <x:c r="J3157" s="2" t="n">
        <x:v>40</x:v>
      </x:c>
      <x:c r="K3157" s="2"/>
      <x:c r="L3157" s="2"/>
    </x:row>
    <x:row r="3158" ht="22" customHeight="1">
      <x:c r="A3158" s="2"/>
      <x:c r="B3158" s="2" t="n">
        <x:v>3125</x:v>
      </x:c>
      <x:c r="C3158" s="2" t="str">
        <x:v>23473</x:v>
      </x:c>
      <x:c r="D3158" s="2" t="str">
        <x:v>WOODLAND SMALL RED FELT HEART</x:v>
      </x:c>
      <x:c r="E3158" s="11" t="n">
        <x:v>552.85</x:v>
      </x:c>
      <x:c r="F3158" s="11" t="n">
        <x:v>0</x:v>
      </x:c>
      <x:c r="G3158" s="11" t="n">
        <x:v>552.85</x:v>
      </x:c>
      <x:c r="H3158" s="23" t="n">
        <x:v>0.000026923977237454637</x:v>
      </x:c>
      <x:c r="I3158" s="23" t="n">
        <x:v>0.9843174722227478</x:v>
      </x:c>
      <x:c r="J3158" s="2" t="n">
        <x:v>51</x:v>
      </x:c>
      <x:c r="K3158" s="2"/>
      <x:c r="L3158" s="2"/>
    </x:row>
    <x:row r="3159" ht="22" customHeight="1">
      <x:c r="A3159" s="2"/>
      <x:c r="B3159" s="2" t="n">
        <x:v>3126</x:v>
      </x:c>
      <x:c r="C3159" s="2" t="str">
        <x:v>84859C</x:v>
      </x:c>
      <x:c r="D3159" s="2" t="str">
        <x:v>PINK DISCO HANDBAG</x:v>
      </x:c>
      <x:c r="E3159" s="11" t="n">
        <x:v>552.72</x:v>
      </x:c>
      <x:c r="F3159" s="11" t="n">
        <x:v>0</x:v>
      </x:c>
      <x:c r="G3159" s="11" t="n">
        <x:v>552.72</x:v>
      </x:c>
      <x:c r="H3159" s="23" t="n">
        <x:v>0.00002691764619460238</x:v>
      </x:c>
      <x:c r="I3159" s="23" t="n">
        <x:v>0.9843443898689423</x:v>
      </x:c>
      <x:c r="J3159" s="2" t="n">
        <x:v>39</x:v>
      </x:c>
      <x:c r="K3159" s="2"/>
      <x:c r="L3159" s="2"/>
    </x:row>
    <x:row r="3160" ht="22" customHeight="1">
      <x:c r="A3160" s="2"/>
      <x:c r="B3160" s="2" t="n">
        <x:v>3127</x:v>
      </x:c>
      <x:c r="C3160" s="2" t="str">
        <x:v>84805B</x:v>
      </x:c>
      <x:c r="D3160" s="2" t="str">
        <x:v>BLUE CLIMBING HYDRANGA ART FLOWER</x:v>
      </x:c>
      <x:c r="E3160" s="11" t="n">
        <x:v>551.4000000000001</x:v>
      </x:c>
      <x:c r="F3160" s="11" t="n">
        <x:v>0</x:v>
      </x:c>
      <x:c r="G3160" s="11" t="n">
        <x:v>551.4000000000001</x:v>
      </x:c>
      <x:c r="H3160" s="23" t="n">
        <x:v>0.000026853361759487182</x:v>
      </x:c>
      <x:c r="I3160" s="23" t="n">
        <x:v>0.9843712432307018</x:v>
      </x:c>
      <x:c r="J3160" s="2" t="n">
        <x:v>9</x:v>
      </x:c>
      <x:c r="K3160" s="2"/>
      <x:c r="L3160" s="2"/>
    </x:row>
    <x:row r="3161" ht="22" customHeight="1">
      <x:c r="A3161" s="2"/>
      <x:c r="B3161" s="2" t="n">
        <x:v>3128</x:v>
      </x:c>
      <x:c r="C3161" s="2" t="str">
        <x:v>22044</x:v>
      </x:c>
      <x:c r="D3161" s="2" t="str">
        <x:v>CHRISTMAS CARD STACK OF PRESENTS</x:v>
      </x:c>
      <x:c r="E3161" s="11" t="n">
        <x:v>550.28</x:v>
      </x:c>
      <x:c r="F3161" s="11" t="n">
        <x:v>5.46</x:v>
      </x:c>
      <x:c r="G3161" s="11" t="n">
        <x:v>544.82</x:v>
      </x:c>
      <x:c r="H3161" s="23" t="n">
        <x:v>0.000026798817390298516</x:v>
      </x:c>
      <x:c r="I3161" s="23" t="n">
        <x:v>0.9843980420480921</x:v>
      </x:c>
      <x:c r="J3161" s="2" t="n">
        <x:v>89</x:v>
      </x:c>
      <x:c r="K3161" s="2"/>
      <x:c r="L3161" s="2"/>
    </x:row>
    <x:row r="3162" ht="22" customHeight="1">
      <x:c r="A3162" s="2"/>
      <x:c r="B3162" s="2" t="n">
        <x:v>3129</x:v>
      </x:c>
      <x:c r="C3162" s="2" t="str">
        <x:v>22394</x:v>
      </x:c>
      <x:c r="D3162" s="2" t="str">
        <x:v>PAPERWEIGHT KINGS CHOICE </x:v>
      </x:c>
      <x:c r="E3162" s="11" t="n">
        <x:v>549.39</x:v>
      </x:c>
      <x:c r="F3162" s="11" t="n">
        <x:v>15.299999999999999</x:v>
      </x:c>
      <x:c r="G3162" s="11" t="n">
        <x:v>534.0899999999999</x:v>
      </x:c>
      <x:c r="H3162" s="23" t="n">
        <x:v>0.000026755474096925388</x:v>
      </x:c>
      <x:c r="I3162" s="23" t="n">
        <x:v>0.984424797522189</x:v>
      </x:c>
      <x:c r="J3162" s="2" t="n">
        <x:v>55</x:v>
      </x:c>
      <x:c r="K3162" s="2"/>
      <x:c r="L3162" s="2"/>
    </x:row>
    <x:row r="3163" ht="22" customHeight="1">
      <x:c r="A3163" s="2"/>
      <x:c r="B3163" s="2" t="n">
        <x:v>3130</x:v>
      </x:c>
      <x:c r="C3163" s="2" t="str">
        <x:v>90203</x:v>
      </x:c>
      <x:c r="D3163" s="2" t="str">
        <x:v>SILVER CHARM NECKLACE 70CM</x:v>
      </x:c>
      <x:c r="E3163" s="11" t="n">
        <x:v>549.27</x:v>
      </x:c>
      <x:c r="F3163" s="11" t="n">
        <x:v>7.5</x:v>
      </x:c>
      <x:c r="G3163" s="11" t="n">
        <x:v>541.77</x:v>
      </x:c>
      <x:c r="H3163" s="23" t="n">
        <x:v>0.00002674963005736946</x:v>
      </x:c>
      <x:c r="I3163" s="23" t="n">
        <x:v>0.9844515471522464</x:v>
      </x:c>
      <x:c r="J3163" s="2" t="n">
        <x:v>34</x:v>
      </x:c>
      <x:c r="K3163" s="2"/>
      <x:c r="L3163" s="2"/>
    </x:row>
    <x:row r="3164" ht="22" customHeight="1">
      <x:c r="A3164" s="2"/>
      <x:c r="B3164" s="2" t="n">
        <x:v>3131</x:v>
      </x:c>
      <x:c r="C3164" s="2" t="str">
        <x:v>21373</x:v>
      </x:c>
      <x:c r="D3164" s="2" t="str">
        <x:v>MIRRORED WALL ART SNOWFLAKES</x:v>
      </x:c>
      <x:c r="E3164" s="11" t="n">
        <x:v>548.89</x:v>
      </x:c>
      <x:c r="F3164" s="11" t="n">
        <x:v>9</x:v>
      </x:c>
      <x:c r="G3164" s="11" t="n">
        <x:v>539.89</x:v>
      </x:c>
      <x:c r="H3164" s="23" t="n">
        <x:v>0.000026731123932109023</x:v>
      </x:c>
      <x:c r="I3164" s="23" t="n">
        <x:v>0.9844782782761785</x:v>
      </x:c>
      <x:c r="J3164" s="2" t="n">
        <x:v>61</x:v>
      </x:c>
      <x:c r="K3164" s="2"/>
      <x:c r="L3164" s="2"/>
    </x:row>
    <x:row r="3165" ht="22" customHeight="1">
      <x:c r="A3165" s="2"/>
      <x:c r="B3165" s="2" t="n">
        <x:v>3132</x:v>
      </x:c>
      <x:c r="C3165" s="2" t="str">
        <x:v>85071D</x:v>
      </x:c>
      <x:c r="D3165" s="2" t="str">
        <x:v>CHARLIE+LOLA MY ROOM DOOR SIGN</x:v>
      </x:c>
      <x:c r="E3165" s="11" t="n">
        <x:v>548.86</x:v>
      </x:c>
      <x:c r="F3165" s="11" t="n">
        <x:v>0</x:v>
      </x:c>
      <x:c r="G3165" s="11" t="n">
        <x:v>548.86</x:v>
      </x:c>
      <x:c r="H3165" s="23" t="n">
        <x:v>0.000026729662922220042</x:v>
      </x:c>
      <x:c r="I3165" s="23" t="n">
        <x:v>0.9845050079391007</x:v>
      </x:c>
      <x:c r="J3165" s="2" t="n">
        <x:v>112</x:v>
      </x:c>
      <x:c r="K3165" s="2"/>
      <x:c r="L3165" s="2"/>
    </x:row>
    <x:row r="3166" ht="22" customHeight="1">
      <x:c r="A3166" s="2"/>
      <x:c r="B3166" s="2" t="n">
        <x:v>3133</x:v>
      </x:c>
      <x:c r="C3166" s="2" t="str">
        <x:v>85091</x:v>
      </x:c>
      <x:c r="D3166" s="2" t="str">
        <x:v>CANDY SPOT BREAD BASKETS</x:v>
      </x:c>
      <x:c r="E3166" s="11" t="n">
        <x:v>548.81</x:v>
      </x:c>
      <x:c r="F3166" s="11" t="n">
        <x:v>69.69999999999999</x:v>
      </x:c>
      <x:c r="G3166" s="11" t="n">
        <x:v>479.11</x:v>
      </x:c>
      <x:c r="H3166" s="23" t="n">
        <x:v>0.000026727227905738403</x:v>
      </x:c>
      <x:c r="I3166" s="23" t="n">
        <x:v>0.9845317351670064</x:v>
      </x:c>
      <x:c r="J3166" s="2" t="n">
        <x:v>20</x:v>
      </x:c>
      <x:c r="K3166" s="2"/>
      <x:c r="L3166" s="2"/>
    </x:row>
    <x:row r="3167" ht="22" customHeight="1">
      <x:c r="A3167" s="2"/>
      <x:c r="B3167" s="2" t="n">
        <x:v>3134</x:v>
      </x:c>
      <x:c r="C3167" s="2" t="str">
        <x:v>23549</x:v>
      </x:c>
      <x:c r="D3167" s="2" t="str">
        <x:v>WRAP BIRD GARDEN </x:v>
      </x:c>
      <x:c r="E3167" s="11" t="n">
        <x:v>548.1</x:v>
      </x:c>
      <x:c r="F3167" s="11" t="n">
        <x:v>0</x:v>
      </x:c>
      <x:c r="G3167" s="11" t="n">
        <x:v>548.1</x:v>
      </x:c>
      <x:c r="H3167" s="23" t="n">
        <x:v>0.00002669265067169917</x:v>
      </x:c>
      <x:c r="I3167" s="23" t="n">
        <x:v>0.9845584278176781</x:v>
      </x:c>
      <x:c r="J3167" s="2" t="n">
        <x:v>52</x:v>
      </x:c>
      <x:c r="K3167" s="2"/>
      <x:c r="L3167" s="2"/>
    </x:row>
    <x:row r="3168" ht="22" customHeight="1">
      <x:c r="A3168" s="2"/>
      <x:c r="B3168" s="2" t="n">
        <x:v>3135</x:v>
      </x:c>
      <x:c r="C3168" s="2" t="str">
        <x:v>20888</x:v>
      </x:c>
      <x:c r="D3168" s="2" t="str">
        <x:v>SET 3 JARDIN DE FEMME SCENT CANDLES</x:v>
      </x:c>
      <x:c r="E3168" s="11" t="n">
        <x:v>547.74</x:v>
      </x:c>
      <x:c r="F3168" s="11" t="n">
        <x:v>0</x:v>
      </x:c>
      <x:c r="G3168" s="11" t="n">
        <x:v>547.74</x:v>
      </x:c>
      <x:c r="H3168" s="23" t="n">
        <x:v>0.000026675118553031386</x:v>
      </x:c>
      <x:c r="I3168" s="23" t="n">
        <x:v>0.9845851029362311</x:v>
      </x:c>
      <x:c r="J3168" s="2" t="n">
        <x:v>19</x:v>
      </x:c>
      <x:c r="K3168" s="2"/>
      <x:c r="L3168" s="2"/>
    </x:row>
    <x:row r="3169" ht="22" customHeight="1">
      <x:c r="A3169" s="2"/>
      <x:c r="B3169" s="2" t="n">
        <x:v>3136</x:v>
      </x:c>
      <x:c r="C3169" s="2" t="str">
        <x:v>23484</x:v>
      </x:c>
      <x:c r="D3169" s="2" t="str">
        <x:v>HEART TRELLIS TRIPLE T-LIGHT HOLDER</x:v>
      </x:c>
      <x:c r="E3169" s="11" t="n">
        <x:v>547.35</x:v>
      </x:c>
      <x:c r="F3169" s="11" t="n">
        <x:v>0</x:v>
      </x:c>
      <x:c r="G3169" s="11" t="n">
        <x:v>547.35</x:v>
      </x:c>
      <x:c r="H3169" s="23" t="n">
        <x:v>0.000026656125424474623</x:v>
      </x:c>
      <x:c r="I3169" s="23" t="n">
        <x:v>0.9846117590616557</x:v>
      </x:c>
      <x:c r="J3169" s="2" t="n">
        <x:v>35</x:v>
      </x:c>
      <x:c r="K3169" s="2"/>
      <x:c r="L3169" s="2"/>
    </x:row>
    <x:row r="3170" ht="22" customHeight="1">
      <x:c r="A3170" s="2"/>
      <x:c r="B3170" s="2" t="n">
        <x:v>3137</x:v>
      </x:c>
      <x:c r="C3170" s="2" t="str">
        <x:v>85030</x:v>
      </x:c>
      <x:c r="D3170" s="2" t="str">
        <x:v>FRENCH CHATEAU OVAL PLATTER</x:v>
      </x:c>
      <x:c r="E3170" s="11" t="n">
        <x:v>547.35</x:v>
      </x:c>
      <x:c r="F3170" s="11" t="n">
        <x:v>70.64999999999999</x:v>
      </x:c>
      <x:c r="G3170" s="11" t="n">
        <x:v>476.7</x:v>
      </x:c>
      <x:c r="H3170" s="23" t="n">
        <x:v>0.000026656125424474623</x:v>
      </x:c>
      <x:c r="I3170" s="23" t="n">
        <x:v>0.9846384151870802</x:v>
      </x:c>
      <x:c r="J3170" s="2" t="n">
        <x:v>29</x:v>
      </x:c>
      <x:c r="K3170" s="2"/>
      <x:c r="L3170" s="2"/>
    </x:row>
    <x:row r="3171" ht="22" customHeight="1">
      <x:c r="A3171" s="2"/>
      <x:c r="B3171" s="2" t="n">
        <x:v>3138</x:v>
      </x:c>
      <x:c r="C3171" s="2" t="str">
        <x:v>90058B</x:v>
      </x:c>
      <x:c r="D3171" s="2" t="str">
        <x:v>CRYSTAL STUD EARRINGS ASSORTED COL </x:v>
      </x:c>
      <x:c r="E3171" s="11" t="n">
        <x:v>547.24</x:v>
      </x:c>
      <x:c r="F3171" s="11" t="n">
        <x:v>13.68</x:v>
      </x:c>
      <x:c r="G3171" s="11" t="n">
        <x:v>533.5600000000001</x:v>
      </x:c>
      <x:c r="H3171" s="23" t="n">
        <x:v>0.000026650768388215022</x:v>
      </x:c>
      <x:c r="I3171" s="23" t="n">
        <x:v>0.9846650659554684</x:v>
      </x:c>
      <x:c r="J3171" s="2" t="n">
        <x:v>29</x:v>
      </x:c>
      <x:c r="K3171" s="2"/>
      <x:c r="L3171" s="2"/>
    </x:row>
    <x:row r="3172" ht="22" customHeight="1">
      <x:c r="A3172" s="2"/>
      <x:c r="B3172" s="2" t="n">
        <x:v>3139</x:v>
      </x:c>
      <x:c r="C3172" s="2" t="str">
        <x:v>21311</x:v>
      </x:c>
      <x:c r="D3172" s="2" t="str">
        <x:v>SET/4 BIRD MIRROR MAGNETS </x:v>
      </x:c>
      <x:c r="E3172" s="11" t="n">
        <x:v>547.21</x:v>
      </x:c>
      <x:c r="F3172" s="11" t="n">
        <x:v>7.83</x:v>
      </x:c>
      <x:c r="G3172" s="11" t="n">
        <x:v>539.38</x:v>
      </x:c>
      <x:c r="H3172" s="23" t="n">
        <x:v>0.00002664930737832604</x:v>
      </x:c>
      <x:c r="I3172" s="23" t="n">
        <x:v>0.9846917152628467</x:v>
      </x:c>
      <x:c r="J3172" s="2" t="n">
        <x:v>94</x:v>
      </x:c>
      <x:c r="K3172" s="2"/>
      <x:c r="L3172" s="2"/>
    </x:row>
    <x:row r="3173" ht="22" customHeight="1">
      <x:c r="A3173" s="2"/>
      <x:c r="B3173" s="2" t="n">
        <x:v>3140</x:v>
      </x:c>
      <x:c r="C3173" s="2" t="str">
        <x:v>72267</x:v>
      </x:c>
      <x:c r="D3173" s="2" t="str">
        <x:v>PREMIUM CHURCH CANDLE</x:v>
      </x:c>
      <x:c r="E3173" s="11" t="n">
        <x:v>546.96</x:v>
      </x:c>
      <x:c r="F3173" s="11" t="n">
        <x:v>0</x:v>
      </x:c>
      <x:c r="G3173" s="11" t="n">
        <x:v>546.96</x:v>
      </x:c>
      <x:c r="H3173" s="23" t="n">
        <x:v>0.00002663713229591786</x:v>
      </x:c>
      <x:c r="I3173" s="23" t="n">
        <x:v>0.9847183523951426</x:v>
      </x:c>
      <x:c r="J3173" s="2" t="n">
        <x:v>45</x:v>
      </x:c>
      <x:c r="K3173" s="2"/>
      <x:c r="L3173" s="2"/>
    </x:row>
    <x:row r="3174" ht="22" customHeight="1">
      <x:c r="A3174" s="2"/>
      <x:c r="B3174" s="2" t="n">
        <x:v>3141</x:v>
      </x:c>
      <x:c r="C3174" s="2" t="str">
        <x:v>35969</x:v>
      </x:c>
      <x:c r="D3174" s="2" t="str">
        <x:v>FOLKART CROWN TABLE DECORATIONS</x:v>
      </x:c>
      <x:c r="E3174" s="11" t="n">
        <x:v>545.77</x:v>
      </x:c>
      <x:c r="F3174" s="11" t="n">
        <x:v>0</x:v>
      </x:c>
      <x:c r="G3174" s="11" t="n">
        <x:v>545.77</x:v>
      </x:c>
      <x:c r="H3174" s="23" t="n">
        <x:v>0.000026579178903654905</x:v>
      </x:c>
      <x:c r="I3174" s="23" t="n">
        <x:v>0.9847449315740463</x:v>
      </x:c>
      <x:c r="J3174" s="2" t="n">
        <x:v>76</x:v>
      </x:c>
      <x:c r="K3174" s="2"/>
      <x:c r="L3174" s="2"/>
    </x:row>
    <x:row r="3175" ht="22" customHeight="1">
      <x:c r="A3175" s="2"/>
      <x:c r="B3175" s="2" t="n">
        <x:v>3142</x:v>
      </x:c>
      <x:c r="C3175" s="2" t="str">
        <x:v>21339</x:v>
      </x:c>
      <x:c r="D3175" s="2" t="str">
        <x:v>MARAKESH LANTERN LARGE</x:v>
      </x:c>
      <x:c r="E3175" s="11" t="n">
        <x:v>544.5</x:v>
      </x:c>
      <x:c r="F3175" s="11" t="n">
        <x:v>0</x:v>
      </x:c>
      <x:c r="G3175" s="11" t="n">
        <x:v>544.5</x:v>
      </x:c>
      <x:c r="H3175" s="23" t="n">
        <x:v>0.000026517329485021342</x:v>
      </x:c>
      <x:c r="I3175" s="23" t="n">
        <x:v>0.9847714489035313</x:v>
      </x:c>
      <x:c r="J3175" s="2" t="n">
        <x:v>12</x:v>
      </x:c>
      <x:c r="K3175" s="2"/>
      <x:c r="L3175" s="2"/>
    </x:row>
    <x:row r="3176" ht="22" customHeight="1">
      <x:c r="A3176" s="2"/>
      <x:c r="B3176" s="2" t="n">
        <x:v>3143</x:v>
      </x:c>
      <x:c r="C3176" s="2" t="str">
        <x:v>20943</x:v>
      </x:c>
      <x:c r="D3176" s="2" t="str">
        <x:v>SET/6 GINGERBREAD STAR T-LIGHTS</x:v>
      </x:c>
      <x:c r="E3176" s="11" t="n">
        <x:v>543.96</x:v>
      </x:c>
      <x:c r="F3176" s="11" t="n">
        <x:v>1.25</x:v>
      </x:c>
      <x:c r="G3176" s="11" t="n">
        <x:v>542.71</x:v>
      </x:c>
      <x:c r="H3176" s="23" t="n">
        <x:v>0.000026491031307019668</x:v>
      </x:c>
      <x:c r="I3176" s="23" t="n">
        <x:v>0.9847979399348383</x:v>
      </x:c>
      <x:c r="J3176" s="2" t="n">
        <x:v>71</x:v>
      </x:c>
      <x:c r="K3176" s="2"/>
      <x:c r="L3176" s="2"/>
    </x:row>
    <x:row r="3177" ht="22" customHeight="1">
      <x:c r="A3177" s="2"/>
      <x:c r="B3177" s="2" t="n">
        <x:v>3144</x:v>
      </x:c>
      <x:c r="C3177" s="2" t="str">
        <x:v>23043</x:v>
      </x:c>
      <x:c r="D3177" s="2" t="str">
        <x:v>PAPER LANTERN 9 POINT HOLLY STAR L</x:v>
      </x:c>
      <x:c r="E3177" s="11" t="n">
        <x:v>543.51</x:v>
      </x:c>
      <x:c r="F3177" s="11" t="n">
        <x:v>0</x:v>
      </x:c>
      <x:c r="G3177" s="11" t="n">
        <x:v>543.51</x:v>
      </x:c>
      <x:c r="H3177" s="23" t="n">
        <x:v>0.00002646911615868494</x:v>
      </x:c>
      <x:c r="I3177" s="23" t="n">
        <x:v>0.984824409050997</x:v>
      </x:c>
      <x:c r="J3177" s="2" t="n">
        <x:v>23</x:v>
      </x:c>
      <x:c r="K3177" s="2"/>
      <x:c r="L3177" s="2"/>
    </x:row>
    <x:row r="3178" ht="22" customHeight="1">
      <x:c r="A3178" s="2"/>
      <x:c r="B3178" s="2" t="n">
        <x:v>3145</x:v>
      </x:c>
      <x:c r="C3178" s="2" t="str">
        <x:v>84596K</x:v>
      </x:c>
      <x:c r="D3178" s="2" t="str">
        <x:v>JELLY BABIES YELLOW SMALL BOWL</x:v>
      </x:c>
      <x:c r="E3178" s="11" t="n">
        <x:v>543.41</x:v>
      </x:c>
      <x:c r="F3178" s="11" t="n">
        <x:v>1.25</x:v>
      </x:c>
      <x:c r="G3178" s="11" t="n">
        <x:v>542.16</x:v>
      </x:c>
      <x:c r="H3178" s="23" t="n">
        <x:v>0.000026464246125721664</x:v>
      </x:c>
      <x:c r="I3178" s="23" t="n">
        <x:v>0.9848508732971227</x:v>
      </x:c>
      <x:c r="J3178" s="2" t="n">
        <x:v>93</x:v>
      </x:c>
      <x:c r="K3178" s="2"/>
      <x:c r="L3178" s="2"/>
    </x:row>
    <x:row r="3179" ht="22" customHeight="1">
      <x:c r="A3179" s="2"/>
      <x:c r="B3179" s="2" t="n">
        <x:v>3146</x:v>
      </x:c>
      <x:c r="C3179" s="2" t="str">
        <x:v>84592</x:v>
      </x:c>
      <x:c r="D3179" s="2" t="str">
        <x:v>CROCHET ROSE PURSE WITH SUEDE BACK</x:v>
      </x:c>
      <x:c r="E3179" s="11" t="n">
        <x:v>542.3000000000001</x:v>
      </x:c>
      <x:c r="F3179" s="11" t="n">
        <x:v>0</x:v>
      </x:c>
      <x:c r="G3179" s="11" t="n">
        <x:v>542.3000000000001</x:v>
      </x:c>
      <x:c r="H3179" s="23" t="n">
        <x:v>0.000026410188759829337</x:v>
      </x:c>
      <x:c r="I3179" s="23" t="n">
        <x:v>0.9848772834858825</x:v>
      </x:c>
      <x:c r="J3179" s="2" t="n">
        <x:v>47</x:v>
      </x:c>
      <x:c r="K3179" s="2"/>
      <x:c r="L3179" s="2"/>
    </x:row>
    <x:row r="3180" ht="22" customHeight="1">
      <x:c r="A3180" s="2"/>
      <x:c r="B3180" s="2" t="n">
        <x:v>3147</x:v>
      </x:c>
      <x:c r="C3180" s="2" t="str">
        <x:v>47021G</x:v>
      </x:c>
      <x:c r="D3180" s="2" t="str">
        <x:v>SET/6 BEAD COASTERS GAUZE BAG GOLD</x:v>
      </x:c>
      <x:c r="E3180" s="11" t="n">
        <x:v>541.96</x:v>
      </x:c>
      <x:c r="F3180" s="11" t="n">
        <x:v>0</x:v>
      </x:c>
      <x:c r="G3180" s="11" t="n">
        <x:v>541.96</x:v>
      </x:c>
      <x:c r="H3180" s="23" t="n">
        <x:v>0.00002639363064775421</x:v>
      </x:c>
      <x:c r="I3180" s="23" t="n">
        <x:v>0.9849036771165303</x:v>
      </x:c>
      <x:c r="J3180" s="2" t="n">
        <x:v>70</x:v>
      </x:c>
      <x:c r="K3180" s="2"/>
      <x:c r="L3180" s="2"/>
    </x:row>
    <x:row r="3181" ht="22" customHeight="1">
      <x:c r="A3181" s="2"/>
      <x:c r="B3181" s="2" t="n">
        <x:v>3148</x:v>
      </x:c>
      <x:c r="C3181" s="2" t="str">
        <x:v>84984B</x:v>
      </x:c>
      <x:c r="D3181" s="2" t="str">
        <x:v>RED PEONY CUSHION COVER </x:v>
      </x:c>
      <x:c r="E3181" s="11" t="n">
        <x:v>541.3</x:v>
      </x:c>
      <x:c r="F3181" s="11" t="n">
        <x:v>9.3</x:v>
      </x:c>
      <x:c r="G3181" s="11" t="n">
        <x:v>532</x:v>
      </x:c>
      <x:c r="H3181" s="23" t="n">
        <x:v>0.000026361488430196604</x:v>
      </x:c>
      <x:c r="I3181" s="23" t="n">
        <x:v>0.9849300386049604</x:v>
      </x:c>
      <x:c r="J3181" s="2" t="n">
        <x:v>16</x:v>
      </x:c>
      <x:c r="K3181" s="2"/>
      <x:c r="L3181" s="2"/>
    </x:row>
    <x:row r="3182" ht="22" customHeight="1">
      <x:c r="A3182" s="2"/>
      <x:c r="B3182" s="2" t="n">
        <x:v>3149</x:v>
      </x:c>
      <x:c r="C3182" s="2" t="str">
        <x:v>23398</x:v>
      </x:c>
      <x:c r="D3182" s="2" t="str">
        <x:v>HANGING HEART BONHEUR</x:v>
      </x:c>
      <x:c r="E3182" s="11" t="n">
        <x:v>538.75</x:v>
      </x:c>
      <x:c r="F3182" s="11" t="n">
        <x:v>0.85</x:v>
      </x:c>
      <x:c r="G3182" s="11" t="n">
        <x:v>537.9</x:v>
      </x:c>
      <x:c r="H3182" s="23" t="n">
        <x:v>0.000026237302589633146</x:v>
      </x:c>
      <x:c r="I3182" s="23" t="n">
        <x:v>0.9849562759075501</x:v>
      </x:c>
      <x:c r="J3182" s="2" t="n">
        <x:v>69</x:v>
      </x:c>
      <x:c r="K3182" s="2"/>
      <x:c r="L3182" s="2"/>
    </x:row>
    <x:row r="3183" ht="22" customHeight="1">
      <x:c r="A3183" s="2"/>
      <x:c r="B3183" s="2" t="n">
        <x:v>3150</x:v>
      </x:c>
      <x:c r="C3183" s="2" t="str">
        <x:v>20659</x:v>
      </x:c>
      <x:c r="D3183" s="2" t="str">
        <x:v>ECONOMY LUGGAGE TAG</x:v>
      </x:c>
      <x:c r="E3183" s="11" t="n">
        <x:v>538.51</x:v>
      </x:c>
      <x:c r="F3183" s="11" t="n">
        <x:v>0</x:v>
      </x:c>
      <x:c r="G3183" s="11" t="n">
        <x:v>538.51</x:v>
      </x:c>
      <x:c r="H3183" s="23" t="n">
        <x:v>0.00002622561451052129</x:v>
      </x:c>
      <x:c r="I3183" s="23" t="n">
        <x:v>0.9849825015220606</x:v>
      </x:c>
      <x:c r="J3183" s="2" t="n">
        <x:v>138</x:v>
      </x:c>
      <x:c r="K3183" s="2"/>
      <x:c r="L3183" s="2"/>
    </x:row>
    <x:row r="3184" ht="22" customHeight="1">
      <x:c r="A3184" s="2"/>
      <x:c r="B3184" s="2" t="n">
        <x:v>3151</x:v>
      </x:c>
      <x:c r="C3184" s="2" t="str">
        <x:v>85027L</x:v>
      </x:c>
      <x:c r="D3184" s="2" t="str">
        <x:v>FRENCH CHATEAU LARGE PLATTER </x:v>
      </x:c>
      <x:c r="E3184" s="11" t="n">
        <x:v>538.5</x:v>
      </x:c>
      <x:c r="F3184" s="11" t="n">
        <x:v>66.3</x:v>
      </x:c>
      <x:c r="G3184" s="11" t="n">
        <x:v>472.2</x:v>
      </x:c>
      <x:c r="H3184" s="23" t="n">
        <x:v>0.000026225127507224963</x:v>
      </x:c>
      <x:c r="I3184" s="23" t="n">
        <x:v>0.9850087266495678</x:v>
      </x:c>
      <x:c r="J3184" s="2" t="n">
        <x:v>40</x:v>
      </x:c>
      <x:c r="K3184" s="2"/>
      <x:c r="L3184" s="2"/>
    </x:row>
    <x:row r="3185" ht="22" customHeight="1">
      <x:c r="A3185" s="2"/>
      <x:c r="B3185" s="2" t="n">
        <x:v>3152</x:v>
      </x:c>
      <x:c r="C3185" s="2" t="str">
        <x:v>21017</x:v>
      </x:c>
      <x:c r="D3185" s="2" t="str">
        <x:v>RED BIRD HOUSE TREE DECORATION</x:v>
      </x:c>
      <x:c r="E3185" s="11" t="n">
        <x:v>538.4399999999999</x:v>
      </x:c>
      <x:c r="F3185" s="11" t="n">
        <x:v>0</x:v>
      </x:c>
      <x:c r="G3185" s="11" t="n">
        <x:v>538.4399999999999</x:v>
      </x:c>
      <x:c r="H3185" s="23" t="n">
        <x:v>0.000026222205487446995</x:v>
      </x:c>
      <x:c r="I3185" s="23" t="n">
        <x:v>0.9850349488550553</x:v>
      </x:c>
      <x:c r="J3185" s="2" t="n">
        <x:v>87</x:v>
      </x:c>
      <x:c r="K3185" s="2"/>
      <x:c r="L3185" s="2"/>
    </x:row>
    <x:row r="3186" ht="22" customHeight="1">
      <x:c r="A3186" s="2"/>
      <x:c r="B3186" s="2" t="n">
        <x:v>3153</x:v>
      </x:c>
      <x:c r="C3186" s="2" t="str">
        <x:v>84804B</x:v>
      </x:c>
      <x:c r="D3186" s="2" t="str">
        <x:v>BLUE DELPHINIUM ARTIFICIAL FLOWER</x:v>
      </x:c>
      <x:c r="E3186" s="11" t="n">
        <x:v>537.3700000000001</x:v>
      </x:c>
      <x:c r="F3186" s="11" t="n">
        <x:v>2.95</x:v>
      </x:c>
      <x:c r="G3186" s="11" t="n">
        <x:v>534.4200000000001</x:v>
      </x:c>
      <x:c r="H3186" s="23" t="n">
        <x:v>0.000026170096134739985</x:v>
      </x:c>
      <x:c r="I3186" s="23" t="n">
        <x:v>0.98506111895119</x:v>
      </x:c>
      <x:c r="J3186" s="2" t="n">
        <x:v>19</x:v>
      </x:c>
      <x:c r="K3186" s="2"/>
      <x:c r="L3186" s="2"/>
    </x:row>
    <x:row r="3187" ht="22" customHeight="1">
      <x:c r="A3187" s="2"/>
      <x:c r="B3187" s="2" t="n">
        <x:v>3154</x:v>
      </x:c>
      <x:c r="C3187" s="2" t="str">
        <x:v>16048</x:v>
      </x:c>
      <x:c r="D3187" s="2" t="str">
        <x:v>TEATIME ROUND PENCIL SHARPENER </x:v>
      </x:c>
      <x:c r="E3187" s="11" t="n">
        <x:v>537.18</x:v>
      </x:c>
      <x:c r="F3187" s="11" t="n">
        <x:v>0</x:v>
      </x:c>
      <x:c r="G3187" s="11" t="n">
        <x:v>537.18</x:v>
      </x:c>
      <x:c r="H3187" s="23" t="n">
        <x:v>0.000026160843072109758</x:v>
      </x:c>
      <x:c r="I3187" s="23" t="n">
        <x:v>0.9850872797942621</x:v>
      </x:c>
      <x:c r="J3187" s="2" t="n">
        <x:v>105</x:v>
      </x:c>
      <x:c r="K3187" s="2"/>
      <x:c r="L3187" s="2"/>
    </x:row>
    <x:row r="3188" ht="22" customHeight="1">
      <x:c r="A3188" s="2"/>
      <x:c r="B3188" s="2" t="n">
        <x:v>3155</x:v>
      </x:c>
      <x:c r="C3188" s="2" t="str">
        <x:v>21418</x:v>
      </x:c>
      <x:c r="D3188" s="2" t="str">
        <x:v>STARFISH SOAP DISH</x:v>
      </x:c>
      <x:c r="E3188" s="11" t="n">
        <x:v>536.39</x:v>
      </x:c>
      <x:c r="F3188" s="11" t="n">
        <x:v>7.6499999999999995</x:v>
      </x:c>
      <x:c r="G3188" s="11" t="n">
        <x:v>528.74</x:v>
      </x:c>
      <x:c r="H3188" s="23" t="n">
        <x:v>0.0000261223698116999</x:v>
      </x:c>
      <x:c r="I3188" s="23" t="n">
        <x:v>0.9851134021640738</x:v>
      </x:c>
      <x:c r="J3188" s="2" t="n">
        <x:v>66</x:v>
      </x:c>
      <x:c r="K3188" s="2"/>
      <x:c r="L3188" s="2"/>
    </x:row>
    <x:row r="3189" ht="22" customHeight="1">
      <x:c r="A3189" s="2"/>
      <x:c r="B3189" s="2" t="n">
        <x:v>3156</x:v>
      </x:c>
      <x:c r="C3189" s="2" t="str">
        <x:v>84414B</x:v>
      </x:c>
      <x:c r="D3189" s="2" t="str">
        <x:v>damaged</x:v>
      </x:c>
      <x:c r="E3189" s="11" t="n">
        <x:v>536.24</x:v>
      </x:c>
      <x:c r="F3189" s="11" t="n">
        <x:v>0</x:v>
      </x:c>
      <x:c r="G3189" s="11" t="n">
        <x:v>536.24</x:v>
      </x:c>
      <x:c r="H3189" s="23" t="n">
        <x:v>0.000026115064762254993</x:v>
      </x:c>
      <x:c r="I3189" s="23" t="n">
        <x:v>0.9851395172288361</x:v>
      </x:c>
      <x:c r="J3189" s="2" t="n">
        <x:v>9</x:v>
      </x:c>
      <x:c r="K3189" s="2"/>
      <x:c r="L3189" s="2"/>
    </x:row>
    <x:row r="3190" ht="22" customHeight="1">
      <x:c r="A3190" s="2"/>
      <x:c r="B3190" s="2" t="n">
        <x:v>3157</x:v>
      </x:c>
      <x:c r="C3190" s="2" t="str">
        <x:v>23660</x:v>
      </x:c>
      <x:c r="D3190" s="2" t="str">
        <x:v>HENRIETTA HEN MUG </x:v>
      </x:c>
      <x:c r="E3190" s="11" t="n">
        <x:v>534.66</x:v>
      </x:c>
      <x:c r="F3190" s="11" t="n">
        <x:v>26.4</x:v>
      </x:c>
      <x:c r="G3190" s="11" t="n">
        <x:v>508.25999999999993</x:v>
      </x:c>
      <x:c r="H3190" s="23" t="n">
        <x:v>0.00002603811824143528</x:v>
      </x:c>
      <x:c r="I3190" s="23" t="n">
        <x:v>0.9851655553470775</x:v>
      </x:c>
      <x:c r="J3190" s="2" t="n">
        <x:v>42</x:v>
      </x:c>
      <x:c r="K3190" s="2"/>
      <x:c r="L3190" s="2"/>
    </x:row>
    <x:row r="3191" ht="22" customHeight="1">
      <x:c r="A3191" s="2"/>
      <x:c r="B3191" s="2" t="n">
        <x:v>3158</x:v>
      </x:c>
      <x:c r="C3191" s="2" t="str">
        <x:v>85142</x:v>
      </x:c>
      <x:c r="D3191" s="2" t="str">
        <x:v>JARDIN ETCHED GLASS GINGER JAR</x:v>
      </x:c>
      <x:c r="E3191" s="11" t="n">
        <x:v>534.38</x:v>
      </x:c>
      <x:c r="F3191" s="11" t="n">
        <x:v>7.95</x:v>
      </x:c>
      <x:c r="G3191" s="11" t="n">
        <x:v>526.4300000000001</x:v>
      </x:c>
      <x:c r="H3191" s="23" t="n">
        <x:v>0.000026024482149138116</x:v>
      </x:c>
      <x:c r="I3191" s="23" t="n">
        <x:v>0.9851915798292267</x:v>
      </x:c>
      <x:c r="J3191" s="2" t="n">
        <x:v>34</x:v>
      </x:c>
      <x:c r="K3191" s="2"/>
      <x:c r="L3191" s="2"/>
    </x:row>
    <x:row r="3192" ht="22" customHeight="1">
      <x:c r="A3192" s="2"/>
      <x:c r="B3192" s="2" t="n">
        <x:v>3159</x:v>
      </x:c>
      <x:c r="C3192" s="2" t="str">
        <x:v>16169P</x:v>
      </x:c>
      <x:c r="D3192" s="2" t="str">
        <x:v>WRAP GREEN RUSSIAN FOLKART </x:v>
      </x:c>
      <x:c r="E3192" s="11" t="n">
        <x:v>533.75</x:v>
      </x:c>
      <x:c r="F3192" s="11" t="n">
        <x:v>10.5</x:v>
      </x:c>
      <x:c r="G3192" s="11" t="n">
        <x:v>523.25</x:v>
      </x:c>
      <x:c r="H3192" s="23" t="n">
        <x:v>0.000025993800941469496</x:v>
      </x:c>
      <x:c r="I3192" s="23" t="n">
        <x:v>0.9852175736301682</x:v>
      </x:c>
      <x:c r="J3192" s="2" t="n">
        <x:v>48</x:v>
      </x:c>
      <x:c r="K3192" s="2"/>
      <x:c r="L3192" s="2"/>
    </x:row>
    <x:row r="3193" ht="22" customHeight="1">
      <x:c r="A3193" s="2"/>
      <x:c r="B3193" s="2" t="n">
        <x:v>3160</x:v>
      </x:c>
      <x:c r="C3193" s="2" t="str">
        <x:v>85020</x:v>
      </x:c>
      <x:c r="D3193" s="2" t="str">
        <x:v>ROUND PINK HEART MIRROR</x:v>
      </x:c>
      <x:c r="E3193" s="11" t="n">
        <x:v>533.48</x:v>
      </x:c>
      <x:c r="F3193" s="11" t="n">
        <x:v>0</x:v>
      </x:c>
      <x:c r="G3193" s="11" t="n">
        <x:v>533.48</x:v>
      </x:c>
      <x:c r="H3193" s="23" t="n">
        <x:v>0.00002598065185246866</x:v>
      </x:c>
      <x:c r="I3193" s="23" t="n">
        <x:v>0.9852435542820206</x:v>
      </x:c>
      <x:c r="J3193" s="2" t="n">
        <x:v>58</x:v>
      </x:c>
      <x:c r="K3193" s="2"/>
      <x:c r="L3193" s="2"/>
    </x:row>
    <x:row r="3194" ht="22" customHeight="1">
      <x:c r="A3194" s="2"/>
      <x:c r="B3194" s="2" t="n">
        <x:v>3161</x:v>
      </x:c>
      <x:c r="C3194" s="2" t="str">
        <x:v>21734</x:v>
      </x:c>
      <x:c r="D3194" s="2" t="str">
        <x:v>SMALL MARAKESH LANTERN ON STICK</x:v>
      </x:c>
      <x:c r="E3194" s="11" t="n">
        <x:v>533.24</x:v>
      </x:c>
      <x:c r="F3194" s="11" t="n">
        <x:v>22.5</x:v>
      </x:c>
      <x:c r="G3194" s="11" t="n">
        <x:v>510.74</x:v>
      </x:c>
      <x:c r="H3194" s="23" t="n">
        <x:v>0.000025968963773356806</x:v>
      </x:c>
      <x:c r="I3194" s="23" t="n">
        <x:v>0.985269523245794</x:v>
      </x:c>
      <x:c r="J3194" s="2" t="n">
        <x:v>29</x:v>
      </x:c>
      <x:c r="K3194" s="2"/>
      <x:c r="L3194" s="2"/>
    </x:row>
    <x:row r="3195" ht="22" customHeight="1">
      <x:c r="A3195" s="2"/>
      <x:c r="B3195" s="2" t="n">
        <x:v>3162</x:v>
      </x:c>
      <x:c r="C3195" s="2" t="str">
        <x:v>90195B</x:v>
      </x:c>
      <x:c r="D3195" s="2" t="str">
        <x:v>BLACK GEMSTONE BRACELET</x:v>
      </x:c>
      <x:c r="E3195" s="11" t="n">
        <x:v>532.29</x:v>
      </x:c>
      <x:c r="F3195" s="11" t="n">
        <x:v>35.8</x:v>
      </x:c>
      <x:c r="G3195" s="11" t="n">
        <x:v>496.48999999999995</x:v>
      </x:c>
      <x:c r="H3195" s="23" t="n">
        <x:v>0.00002592269846020571</x:v>
      </x:c>
      <x:c r="I3195" s="23" t="n">
        <x:v>0.9852954459442542</x:v>
      </x:c>
      <x:c r="J3195" s="2" t="n">
        <x:v>26</x:v>
      </x:c>
      <x:c r="K3195" s="2"/>
      <x:c r="L3195" s="2"/>
    </x:row>
    <x:row r="3196" ht="22" customHeight="1">
      <x:c r="A3196" s="2"/>
      <x:c r="B3196" s="2" t="n">
        <x:v>3163</x:v>
      </x:c>
      <x:c r="C3196" s="2" t="str">
        <x:v>72801C</x:v>
      </x:c>
      <x:c r="D3196" s="2" t="str">
        <x:v>4 ROSE PINK DINNER CANDLES</x:v>
      </x:c>
      <x:c r="E3196" s="11" t="n">
        <x:v>531.36</x:v>
      </x:c>
      <x:c r="F3196" s="11" t="n">
        <x:v>15</x:v>
      </x:c>
      <x:c r="G3196" s="11" t="n">
        <x:v>516.36</x:v>
      </x:c>
      <x:c r="H3196" s="23" t="n">
        <x:v>0.000025877407153647274</x:v>
      </x:c>
      <x:c r="I3196" s="23" t="n">
        <x:v>0.9853213233514079</x:v>
      </x:c>
      <x:c r="J3196" s="2" t="n">
        <x:v>56</x:v>
      </x:c>
      <x:c r="K3196" s="2"/>
      <x:c r="L3196" s="2"/>
    </x:row>
    <x:row r="3197" ht="22" customHeight="1">
      <x:c r="A3197" s="2"/>
      <x:c r="B3197" s="2" t="n">
        <x:v>3164</x:v>
      </x:c>
      <x:c r="C3197" s="2" t="str">
        <x:v>84661B</x:v>
      </x:c>
      <x:c r="D3197" s="2" t="str">
        <x:v>BLACK SQUARE TABLE CLOCK</x:v>
      </x:c>
      <x:c r="E3197" s="11" t="n">
        <x:v>530.22</x:v>
      </x:c>
      <x:c r="F3197" s="11" t="n">
        <x:v>0</x:v>
      </x:c>
      <x:c r="G3197" s="11" t="n">
        <x:v>530.22</x:v>
      </x:c>
      <x:c r="H3197" s="23" t="n">
        <x:v>0.000025821888777865963</x:v>
      </x:c>
      <x:c r="I3197" s="23" t="n">
        <x:v>0.9853471452401857</x:v>
      </x:c>
      <x:c r="J3197" s="2" t="n">
        <x:v>51</x:v>
      </x:c>
      <x:c r="K3197" s="2"/>
      <x:c r="L3197" s="2"/>
    </x:row>
    <x:row r="3198" ht="22" customHeight="1">
      <x:c r="A3198" s="2"/>
      <x:c r="B3198" s="2" t="n">
        <x:v>3165</x:v>
      </x:c>
      <x:c r="C3198" s="2" t="str">
        <x:v>23139</x:v>
      </x:c>
      <x:c r="D3198" s="2" t="str">
        <x:v>SINGLE WIRE HOOK PINK HEART</x:v>
      </x:c>
      <x:c r="E3198" s="11" t="n">
        <x:v>530.15</x:v>
      </x:c>
      <x:c r="F3198" s="11" t="n">
        <x:v>17.4</x:v>
      </x:c>
      <x:c r="G3198" s="11" t="n">
        <x:v>512.75</x:v>
      </x:c>
      <x:c r="H3198" s="23" t="n">
        <x:v>0.00002581847975479167</x:v>
      </x:c>
      <x:c r="I3198" s="23" t="n">
        <x:v>0.9853729637199405</x:v>
      </x:c>
      <x:c r="J3198" s="2" t="n">
        <x:v>27</x:v>
      </x:c>
      <x:c r="K3198" s="2"/>
      <x:c r="L3198" s="2"/>
    </x:row>
    <x:row r="3199" ht="22" customHeight="1">
      <x:c r="A3199" s="2"/>
      <x:c r="B3199" s="2" t="n">
        <x:v>3166</x:v>
      </x:c>
      <x:c r="C3199" s="2" t="str">
        <x:v>84799</x:v>
      </x:c>
      <x:c r="D3199" s="2" t="str">
        <x:v>SPRIG LAVENDER ARTIFICIAL FLOWER</x:v>
      </x:c>
      <x:c r="E3199" s="11" t="n">
        <x:v>530.03</x:v>
      </x:c>
      <x:c r="F3199" s="11" t="n">
        <x:v>35.16</x:v>
      </x:c>
      <x:c r="G3199" s="11" t="n">
        <x:v>494.87</x:v>
      </x:c>
      <x:c r="H3199" s="23" t="n">
        <x:v>0.00002581263571523574</x:v>
      </x:c>
      <x:c r="I3199" s="23" t="n">
        <x:v>0.9853987763556558</x:v>
      </x:c>
      <x:c r="J3199" s="2" t="n">
        <x:v>31</x:v>
      </x:c>
      <x:c r="K3199" s="2"/>
      <x:c r="L3199" s="2"/>
    </x:row>
    <x:row r="3200" ht="22" customHeight="1">
      <x:c r="A3200" s="2"/>
      <x:c r="B3200" s="2" t="n">
        <x:v>3167</x:v>
      </x:c>
      <x:c r="C3200" s="2" t="str">
        <x:v>90160D</x:v>
      </x:c>
      <x:c r="D3200" s="2" t="str">
        <x:v>PINK BOUDICCA LARGE BRACELET</x:v>
      </x:c>
      <x:c r="E3200" s="11" t="n">
        <x:v>529.22</x:v>
      </x:c>
      <x:c r="F3200" s="11" t="n">
        <x:v>6.95</x:v>
      </x:c>
      <x:c r="G3200" s="11" t="n">
        <x:v>522.27</x:v>
      </x:c>
      <x:c r="H3200" s="23" t="n">
        <x:v>0.000025773188448233234</x:v>
      </x:c>
      <x:c r="I3200" s="23" t="n">
        <x:v>0.985424549544104</x:v>
      </x:c>
      <x:c r="J3200" s="2" t="n">
        <x:v>25</x:v>
      </x:c>
      <x:c r="K3200" s="2"/>
      <x:c r="L3200" s="2"/>
    </x:row>
    <x:row r="3201" ht="22" customHeight="1">
      <x:c r="A3201" s="2"/>
      <x:c r="B3201" s="2" t="n">
        <x:v>3168</x:v>
      </x:c>
      <x:c r="C3201" s="2" t="str">
        <x:v>21943</x:v>
      </x:c>
      <x:c r="D3201" s="2" t="str">
        <x:v>CAKES AND RABBITS DESIGN FLANNEL </x:v>
      </x:c>
      <x:c r="E3201" s="11" t="n">
        <x:v>529.16</x:v>
      </x:c>
      <x:c r="F3201" s="11" t="n">
        <x:v>0</x:v>
      </x:c>
      <x:c r="G3201" s="11" t="n">
        <x:v>529.16</x:v>
      </x:c>
      <x:c r="H3201" s="23" t="n">
        <x:v>0.000025770266428455265</x:v>
      </x:c>
      <x:c r="I3201" s="23" t="n">
        <x:v>0.9854503198105324</x:v>
      </x:c>
      <x:c r="J3201" s="2" t="n">
        <x:v>149</x:v>
      </x:c>
      <x:c r="K3201" s="2"/>
      <x:c r="L3201" s="2"/>
    </x:row>
    <x:row r="3202" ht="22" customHeight="1">
      <x:c r="A3202" s="2"/>
      <x:c r="B3202" s="2" t="n">
        <x:v>3169</x:v>
      </x:c>
      <x:c r="C3202" s="2" t="str">
        <x:v>71270</x:v>
      </x:c>
      <x:c r="D3202" s="2" t="str">
        <x:v>PHOTO CLIP LINE</x:v>
      </x:c>
      <x:c r="E3202" s="11" t="n">
        <x:v>529.15</x:v>
      </x:c>
      <x:c r="F3202" s="11" t="n">
        <x:v>0</x:v>
      </x:c>
      <x:c r="G3202" s="11" t="n">
        <x:v>529.15</x:v>
      </x:c>
      <x:c r="H3202" s="23" t="n">
        <x:v>0.00002576977942515894</x:v>
      </x:c>
      <x:c r="I3202" s="23" t="n">
        <x:v>0.9854760895899576</x:v>
      </x:c>
      <x:c r="J3202" s="2" t="n">
        <x:v>81</x:v>
      </x:c>
      <x:c r="K3202" s="2"/>
      <x:c r="L3202" s="2"/>
    </x:row>
    <x:row r="3203" ht="22" customHeight="1">
      <x:c r="A3203" s="2"/>
      <x:c r="B3203" s="2" t="n">
        <x:v>3170</x:v>
      </x:c>
      <x:c r="C3203" s="2" t="str">
        <x:v>20653</x:v>
      </x:c>
      <x:c r="D3203" s="2" t="str">
        <x:v>CHERRY BLOSSOM LUGGAGE TAG</x:v>
      </x:c>
      <x:c r="E3203" s="11" t="n">
        <x:v>528.77</x:v>
      </x:c>
      <x:c r="F3203" s="11" t="n">
        <x:v>0</x:v>
      </x:c>
      <x:c r="G3203" s="11" t="n">
        <x:v>528.77</x:v>
      </x:c>
      <x:c r="H3203" s="23" t="n">
        <x:v>0.0000257512732998985</x:v>
      </x:c>
      <x:c r="I3203" s="23" t="n">
        <x:v>0.9855018408632574</x:v>
      </x:c>
      <x:c r="J3203" s="2" t="n">
        <x:v>81</x:v>
      </x:c>
      <x:c r="K3203" s="2"/>
      <x:c r="L3203" s="2"/>
    </x:row>
    <x:row r="3204" ht="22" customHeight="1">
      <x:c r="A3204" s="2"/>
      <x:c r="B3204" s="2" t="n">
        <x:v>3171</x:v>
      </x:c>
      <x:c r="C3204" s="2" t="str">
        <x:v>16202B</x:v>
      </x:c>
      <x:c r="D3204" s="2" t="str">
        <x:v>PASTEL BLUE PHOTO ALBUM </x:v>
      </x:c>
      <x:c r="E3204" s="11" t="n">
        <x:v>528.56</x:v>
      </x:c>
      <x:c r="F3204" s="11" t="n">
        <x:v>144.48000000000002</x:v>
      </x:c>
      <x:c r="G3204" s="11" t="n">
        <x:v>384.08</x:v>
      </x:c>
      <x:c r="H3204" s="23" t="n">
        <x:v>0.000025741046230675626</x:v>
      </x:c>
      <x:c r="I3204" s="23" t="n">
        <x:v>0.9855275819094881</x:v>
      </x:c>
      <x:c r="J3204" s="2" t="n">
        <x:v>22</x:v>
      </x:c>
      <x:c r="K3204" s="2"/>
      <x:c r="L3204" s="2"/>
    </x:row>
    <x:row r="3205" ht="22" customHeight="1">
      <x:c r="A3205" s="2"/>
      <x:c r="B3205" s="2" t="n">
        <x:v>3172</x:v>
      </x:c>
      <x:c r="C3205" s="2" t="str">
        <x:v>23060</x:v>
      </x:c>
      <x:c r="D3205" s="2" t="str">
        <x:v>HEART BEADED TRELLIS DECORATION</x:v>
      </x:c>
      <x:c r="E3205" s="11" t="n">
        <x:v>528.1700000000001</x:v>
      </x:c>
      <x:c r="F3205" s="11" t="n">
        <x:v>0</x:v>
      </x:c>
      <x:c r="G3205" s="11" t="n">
        <x:v>528.1700000000001</x:v>
      </x:c>
      <x:c r="H3205" s="23" t="n">
        <x:v>0.00002572205310211887</x:v>
      </x:c>
      <x:c r="I3205" s="23" t="n">
        <x:v>0.9855533039625902</x:v>
      </x:c>
      <x:c r="J3205" s="2" t="n">
        <x:v>42</x:v>
      </x:c>
      <x:c r="K3205" s="2"/>
      <x:c r="L3205" s="2"/>
    </x:row>
    <x:row r="3206" ht="22" customHeight="1">
      <x:c r="A3206" s="2"/>
      <x:c r="B3206" s="2" t="n">
        <x:v>3173</x:v>
      </x:c>
      <x:c r="C3206" s="2" t="str">
        <x:v>90175D</x:v>
      </x:c>
      <x:c r="D3206" s="2" t="str">
        <x:v>TIGRIS EYE CHUNKY CHARM BRACELET</x:v>
      </x:c>
      <x:c r="E3206" s="11" t="n">
        <x:v>527.8199999999999</x:v>
      </x:c>
      <x:c r="F3206" s="11" t="n">
        <x:v>0</x:v>
      </x:c>
      <x:c r="G3206" s="11" t="n">
        <x:v>527.8199999999999</x:v>
      </x:c>
      <x:c r="H3206" s="23" t="n">
        <x:v>0.000025705007986747404</x:v>
      </x:c>
      <x:c r="I3206" s="23" t="n">
        <x:v>0.9855790089705769</x:v>
      </x:c>
      <x:c r="J3206" s="2" t="n">
        <x:v>41</x:v>
      </x:c>
      <x:c r="K3206" s="2"/>
      <x:c r="L3206" s="2"/>
    </x:row>
    <x:row r="3207" ht="22" customHeight="1">
      <x:c r="A3207" s="2"/>
      <x:c r="B3207" s="2" t="n">
        <x:v>3174</x:v>
      </x:c>
      <x:c r="C3207" s="2" t="str">
        <x:v>21336</x:v>
      </x:c>
      <x:c r="D3207" s="2" t="str">
        <x:v>GOLD WASHBAG</x:v>
      </x:c>
      <x:c r="E3207" s="11" t="n">
        <x:v>527.5600000000001</x:v>
      </x:c>
      <x:c r="F3207" s="11" t="n">
        <x:v>115.27000000000001</x:v>
      </x:c>
      <x:c r="G3207" s="11" t="n">
        <x:v>412.29</x:v>
      </x:c>
      <x:c r="H3207" s="23" t="n">
        <x:v>0.000025692345901042903</x:v>
      </x:c>
      <x:c r="I3207" s="23" t="n">
        <x:v>0.9856047013164779</x:v>
      </x:c>
      <x:c r="J3207" s="2" t="n">
        <x:v>43</x:v>
      </x:c>
      <x:c r="K3207" s="2"/>
      <x:c r="L3207" s="2"/>
    </x:row>
    <x:row r="3208" ht="22" customHeight="1">
      <x:c r="A3208" s="2"/>
      <x:c r="B3208" s="2" t="n">
        <x:v>3175</x:v>
      </x:c>
      <x:c r="C3208" s="2" t="str">
        <x:v>84931A</x:v>
      </x:c>
      <x:c r="D3208" s="2" t="str">
        <x:v>PINK SCOTTIE DOG W FLOWER PATTERN</x:v>
      </x:c>
      <x:c r="E3208" s="11" t="n">
        <x:v>526.4399999999999</x:v>
      </x:c>
      <x:c r="F3208" s="11" t="n">
        <x:v>0</x:v>
      </x:c>
      <x:c r="G3208" s="11" t="n">
        <x:v>526.4399999999999</x:v>
      </x:c>
      <x:c r="H3208" s="23" t="n">
        <x:v>0.00002563780153185424</x:v>
      </x:c>
      <x:c r="I3208" s="23" t="n">
        <x:v>0.9856303391180098</x:v>
      </x:c>
      <x:c r="J3208" s="2" t="n">
        <x:v>82</x:v>
      </x:c>
      <x:c r="K3208" s="2"/>
      <x:c r="L3208" s="2"/>
    </x:row>
    <x:row r="3209" ht="22" customHeight="1">
      <x:c r="A3209" s="2"/>
      <x:c r="B3209" s="2" t="n">
        <x:v>3176</x:v>
      </x:c>
      <x:c r="C3209" s="2" t="str">
        <x:v>84657</x:v>
      </x:c>
      <x:c r="D3209" s="2" t="str">
        <x:v>GREEN ROSE CUSHION COVER</x:v>
      </x:c>
      <x:c r="E3209" s="11" t="n">
        <x:v>523.43</x:v>
      </x:c>
      <x:c r="F3209" s="11" t="n">
        <x:v>0</x:v>
      </x:c>
      <x:c r="G3209" s="11" t="n">
        <x:v>523.43</x:v>
      </x:c>
      <x:c r="H3209" s="23" t="n">
        <x:v>0.000025491213539659724</x:v>
      </x:c>
      <x:c r="I3209" s="23" t="n">
        <x:v>0.9856558303315495</x:v>
      </x:c>
      <x:c r="J3209" s="2" t="n">
        <x:v>20</x:v>
      </x:c>
      <x:c r="K3209" s="2"/>
      <x:c r="L3209" s="2"/>
    </x:row>
    <x:row r="3210" ht="22" customHeight="1">
      <x:c r="A3210" s="2"/>
      <x:c r="B3210" s="2" t="n">
        <x:v>3177</x:v>
      </x:c>
      <x:c r="C3210" s="2" t="str">
        <x:v>85226C</x:v>
      </x:c>
      <x:c r="D3210" s="2" t="str">
        <x:v>BLUE PULL BACK RACING CAR</x:v>
      </x:c>
      <x:c r="E3210" s="11" t="n">
        <x:v>523.41</x:v>
      </x:c>
      <x:c r="F3210" s="11" t="n">
        <x:v>0</x:v>
      </x:c>
      <x:c r="G3210" s="11" t="n">
        <x:v>523.41</x:v>
      </x:c>
      <x:c r="H3210" s="23" t="n">
        <x:v>0.00002549023953306707</x:v>
      </x:c>
      <x:c r="I3210" s="23" t="n">
        <x:v>0.9856813205710825</x:v>
      </x:c>
      <x:c r="J3210" s="2" t="n">
        <x:v>83</x:v>
      </x:c>
      <x:c r="K3210" s="2"/>
      <x:c r="L3210" s="2"/>
    </x:row>
    <x:row r="3211" ht="22" customHeight="1">
      <x:c r="A3211" s="2"/>
      <x:c r="B3211" s="2" t="n">
        <x:v>3178</x:v>
      </x:c>
      <x:c r="C3211" s="2" t="str">
        <x:v>72728</x:v>
      </x:c>
      <x:c r="D3211" s="2" t="str">
        <x:v>ROSE SCENT CANDLES IN GLASS</x:v>
      </x:c>
      <x:c r="E3211" s="11" t="n">
        <x:v>523.15</x:v>
      </x:c>
      <x:c r="F3211" s="11" t="n">
        <x:v>0</x:v>
      </x:c>
      <x:c r="G3211" s="11" t="n">
        <x:v>523.15</x:v>
      </x:c>
      <x:c r="H3211" s="23" t="n">
        <x:v>0.00002547757744736256</x:v>
      </x:c>
      <x:c r="I3211" s="23" t="n">
        <x:v>0.9857067981485298</x:v>
      </x:c>
      <x:c r="J3211" s="2" t="n">
        <x:v>54</x:v>
      </x:c>
      <x:c r="K3211" s="2"/>
      <x:c r="L3211" s="2"/>
    </x:row>
    <x:row r="3212" ht="22" customHeight="1">
      <x:c r="A3212" s="2"/>
      <x:c r="B3212" s="2" t="n">
        <x:v>3179</x:v>
      </x:c>
      <x:c r="C3212" s="2" t="str">
        <x:v>21403</x:v>
      </x:c>
      <x:c r="D3212" s="2" t="str">
        <x:v>BLUE EGG  SPOON</x:v>
      </x:c>
      <x:c r="E3212" s="11" t="n">
        <x:v>523.0699999999999</x:v>
      </x:c>
      <x:c r="F3212" s="11" t="n">
        <x:v>0</x:v>
      </x:c>
      <x:c r="G3212" s="11" t="n">
        <x:v>523.0699999999999</x:v>
      </x:c>
      <x:c r="H3212" s="23" t="n">
        <x:v>0.00002547368142099194</x:v>
      </x:c>
      <x:c r="I3212" s="23" t="n">
        <x:v>0.9857322718299508</x:v>
      </x:c>
      <x:c r="J3212" s="2" t="n">
        <x:v>157</x:v>
      </x:c>
      <x:c r="K3212" s="2"/>
      <x:c r="L3212" s="2"/>
    </x:row>
    <x:row r="3213" ht="22" customHeight="1">
      <x:c r="A3213" s="2"/>
      <x:c r="B3213" s="2" t="n">
        <x:v>3180</x:v>
      </x:c>
      <x:c r="C3213" s="2" t="str">
        <x:v>22861</x:v>
      </x:c>
      <x:c r="D3213" s="2" t="str">
        <x:v>EASTER TIN CHICKS IN GARDEN</x:v>
      </x:c>
      <x:c r="E3213" s="11" t="n">
        <x:v>522.93</x:v>
      </x:c>
      <x:c r="F3213" s="11" t="n">
        <x:v>0</x:v>
      </x:c>
      <x:c r="G3213" s="11" t="n">
        <x:v>522.93</x:v>
      </x:c>
      <x:c r="H3213" s="23" t="n">
        <x:v>0.00002546686337484336</x:v>
      </x:c>
      <x:c r="I3213" s="23" t="n">
        <x:v>0.9857577386933256</x:v>
      </x:c>
      <x:c r="J3213" s="2" t="n">
        <x:v>50</x:v>
      </x:c>
      <x:c r="K3213" s="2"/>
      <x:c r="L3213" s="2"/>
    </x:row>
    <x:row r="3214" ht="22" customHeight="1">
      <x:c r="A3214" s="2"/>
      <x:c r="B3214" s="2" t="n">
        <x:v>3181</x:v>
      </x:c>
      <x:c r="C3214" s="2" t="str">
        <x:v>22407</x:v>
      </x:c>
      <x:c r="D3214" s="2" t="str">
        <x:v>MONEY BOX FIRST AID DESIGN</x:v>
      </x:c>
      <x:c r="E3214" s="11" t="n">
        <x:v>522.37</x:v>
      </x:c>
      <x:c r="F3214" s="11" t="n">
        <x:v>38.160000000000004</x:v>
      </x:c>
      <x:c r="G3214" s="11" t="n">
        <x:v>484.21</x:v>
      </x:c>
      <x:c r="H3214" s="23" t="n">
        <x:v>0.000025439591190249033</x:v>
      </x:c>
      <x:c r="I3214" s="23" t="n">
        <x:v>0.9857831782845159</x:v>
      </x:c>
      <x:c r="J3214" s="2" t="n">
        <x:v>75</x:v>
      </x:c>
      <x:c r="K3214" s="2"/>
      <x:c r="L3214" s="2"/>
    </x:row>
    <x:row r="3215" ht="22" customHeight="1">
      <x:c r="A3215" s="2"/>
      <x:c r="B3215" s="2" t="n">
        <x:v>3182</x:v>
      </x:c>
      <x:c r="C3215" s="2" t="str">
        <x:v>23336</x:v>
      </x:c>
      <x:c r="D3215" s="2" t="str">
        <x:v>EGG FRYING PAN PINK </x:v>
      </x:c>
      <x:c r="E3215" s="11" t="n">
        <x:v>521.33</x:v>
      </x:c>
      <x:c r="F3215" s="11" t="n">
        <x:v>0</x:v>
      </x:c>
      <x:c r="G3215" s="11" t="n">
        <x:v>521.33</x:v>
      </x:c>
      <x:c r="H3215" s="23" t="n">
        <x:v>0.000025388942847430993</x:v>
      </x:c>
      <x:c r="I3215" s="23" t="n">
        <x:v>0.9858085672273633</x:v>
      </x:c>
      <x:c r="J3215" s="2" t="n">
        <x:v>85</x:v>
      </x:c>
      <x:c r="K3215" s="2"/>
      <x:c r="L3215" s="2"/>
    </x:row>
    <x:row r="3216" ht="22" customHeight="1">
      <x:c r="A3216" s="2"/>
      <x:c r="B3216" s="2" t="n">
        <x:v>3183</x:v>
      </x:c>
      <x:c r="C3216" s="2" t="str">
        <x:v>21459</x:v>
      </x:c>
      <x:c r="D3216" s="2" t="str">
        <x:v>YELLOW EASTER EGG HUNT START POST</x:v>
      </x:c>
      <x:c r="E3216" s="11" t="n">
        <x:v>520.55</x:v>
      </x:c>
      <x:c r="F3216" s="11" t="n">
        <x:v>35.1</x:v>
      </x:c>
      <x:c r="G3216" s="11" t="n">
        <x:v>485.45</x:v>
      </x:c>
      <x:c r="H3216" s="23" t="n">
        <x:v>0.000025350956590317462</x:v>
      </x:c>
      <x:c r="I3216" s="23" t="n">
        <x:v>0.9858339181839536</x:v>
      </x:c>
      <x:c r="J3216" s="2" t="n">
        <x:v>44</x:v>
      </x:c>
      <x:c r="K3216" s="2"/>
      <x:c r="L3216" s="2"/>
    </x:row>
    <x:row r="3217" ht="22" customHeight="1">
      <x:c r="A3217" s="2"/>
      <x:c r="B3217" s="2" t="n">
        <x:v>3184</x:v>
      </x:c>
      <x:c r="C3217" s="2" t="str">
        <x:v>84683</x:v>
      </x:c>
      <x:c r="D3217" s="2" t="str">
        <x:v>CLASSICAL ROSE CANDLESTAND</x:v>
      </x:c>
      <x:c r="E3217" s="11" t="n">
        <x:v>519.35</x:v>
      </x:c>
      <x:c r="F3217" s="11" t="n">
        <x:v>1.25</x:v>
      </x:c>
      <x:c r="G3217" s="11" t="n">
        <x:v>518.1</x:v>
      </x:c>
      <x:c r="H3217" s="23" t="n">
        <x:v>0.00002529251619475819</x:v>
      </x:c>
      <x:c r="I3217" s="23" t="n">
        <x:v>0.9858592107001484</x:v>
      </x:c>
      <x:c r="J3217" s="2" t="n">
        <x:v>46</x:v>
      </x:c>
      <x:c r="K3217" s="2"/>
      <x:c r="L3217" s="2"/>
    </x:row>
    <x:row r="3218" ht="22" customHeight="1">
      <x:c r="A3218" s="2"/>
      <x:c r="B3218" s="2" t="n">
        <x:v>3185</x:v>
      </x:c>
      <x:c r="C3218" s="2" t="str">
        <x:v>BANK CHARGES</x:v>
      </x:c>
      <x:c r="D3218" s="2" t="str">
        <x:v>Bank Charges</x:v>
      </x:c>
      <x:c r="E3218" s="11" t="n">
        <x:v>519.241</x:v>
      </x:c>
      <x:c r="F3218" s="11" t="n">
        <x:v>36001.49</x:v>
      </x:c>
      <x:c r="G3218" s="11" t="n">
        <x:v>-35482.248999999996</x:v>
      </x:c>
      <x:c r="H3218" s="23" t="n">
        <x:v>0.00002528720785882822</x:v>
      </x:c>
      <x:c r="I3218" s="23" t="n">
        <x:v>0.9858844979080073</x:v>
      </x:c>
      <x:c r="J3218" s="2" t="n">
        <x:v>33</x:v>
      </x:c>
      <x:c r="K3218" s="2"/>
      <x:c r="L3218" s="2"/>
    </x:row>
    <x:row r="3219" ht="22" customHeight="1">
      <x:c r="A3219" s="2"/>
      <x:c r="B3219" s="2" t="n">
        <x:v>3186</x:v>
      </x:c>
      <x:c r="C3219" s="2" t="str">
        <x:v>20793</x:v>
      </x:c>
      <x:c r="D3219" s="2" t="str">
        <x:v>BLUE TILED TRAY</x:v>
      </x:c>
      <x:c r="E3219" s="11" t="n">
        <x:v>518.5</x:v>
      </x:c>
      <x:c r="F3219" s="11" t="n">
        <x:v>33.75</x:v>
      </x:c>
      <x:c r="G3219" s="11" t="n">
        <x:v>484.75</x:v>
      </x:c>
      <x:c r="H3219" s="23" t="n">
        <x:v>0.000025251120914570368</x:v>
      </x:c>
      <x:c r="I3219" s="23" t="n">
        <x:v>0.9859097490289218</x:v>
      </x:c>
      <x:c r="J3219" s="2" t="n">
        <x:v>22</x:v>
      </x:c>
      <x:c r="K3219" s="2"/>
      <x:c r="L3219" s="2"/>
    </x:row>
    <x:row r="3220" ht="22" customHeight="1">
      <x:c r="A3220" s="2"/>
      <x:c r="B3220" s="2" t="n">
        <x:v>3187</x:v>
      </x:c>
      <x:c r="C3220" s="2" t="str">
        <x:v>20868</x:v>
      </x:c>
      <x:c r="D3220" s="2" t="str">
        <x:v>SILVER FABRIC MIRROR</x:v>
      </x:c>
      <x:c r="E3220" s="11" t="n">
        <x:v>518.07</x:v>
      </x:c>
      <x:c r="F3220" s="11" t="n">
        <x:v>0</x:v>
      </x:c>
      <x:c r="G3220" s="11" t="n">
        <x:v>518.07</x:v>
      </x:c>
      <x:c r="H3220" s="23" t="n">
        <x:v>0.000025230179772828298</x:v>
      </x:c>
      <x:c r="I3220" s="23" t="n">
        <x:v>0.9859349792086947</x:v>
      </x:c>
      <x:c r="J3220" s="2" t="n">
        <x:v>71</x:v>
      </x:c>
      <x:c r="K3220" s="2"/>
      <x:c r="L3220" s="2"/>
    </x:row>
    <x:row r="3221" ht="22" customHeight="1">
      <x:c r="A3221" s="2"/>
      <x:c r="B3221" s="2" t="n">
        <x:v>3188</x:v>
      </x:c>
      <x:c r="C3221" s="2" t="str">
        <x:v>85039C</x:v>
      </x:c>
      <x:c r="D3221" s="2" t="str">
        <x:v>S/4 BLACK MINI ROSE CANDLE IN BOWL</x:v>
      </x:c>
      <x:c r="E3221" s="11" t="n">
        <x:v>517.9599999999999</x:v>
      </x:c>
      <x:c r="F3221" s="11" t="n">
        <x:v>3.3</x:v>
      </x:c>
      <x:c r="G3221" s="11" t="n">
        <x:v>514.66</x:v>
      </x:c>
      <x:c r="H3221" s="23" t="n">
        <x:v>0.00002522482273656869</x:v>
      </x:c>
      <x:c r="I3221" s="23" t="n">
        <x:v>0.9859602040314313</x:v>
      </x:c>
      <x:c r="J3221" s="2" t="n">
        <x:v>114</x:v>
      </x:c>
      <x:c r="K3221" s="2"/>
      <x:c r="L3221" s="2"/>
    </x:row>
    <x:row r="3222" ht="22" customHeight="1">
      <x:c r="A3222" s="2"/>
      <x:c r="B3222" s="2" t="n">
        <x:v>3189</x:v>
      </x:c>
      <x:c r="C3222" s="2" t="str">
        <x:v>35810B</x:v>
      </x:c>
      <x:c r="D3222" s="2" t="str">
        <x:v>ENAMEL BLUE RIM COFFEE CONTAINER</x:v>
      </x:c>
      <x:c r="E3222" s="11" t="n">
        <x:v>517.71</x:v>
      </x:c>
      <x:c r="F3222" s="11" t="n">
        <x:v>10.79</x:v>
      </x:c>
      <x:c r="G3222" s="11" t="n">
        <x:v>506.92</x:v>
      </x:c>
      <x:c r="H3222" s="23" t="n">
        <x:v>0.000025212647654160515</x:v>
      </x:c>
      <x:c r="I3222" s="23" t="n">
        <x:v>0.9859854166790855</x:v>
      </x:c>
      <x:c r="J3222" s="2" t="n">
        <x:v>68</x:v>
      </x:c>
      <x:c r="K3222" s="2"/>
      <x:c r="L3222" s="2"/>
    </x:row>
    <x:row r="3223" ht="22" customHeight="1">
      <x:c r="A3223" s="2"/>
      <x:c r="B3223" s="2" t="n">
        <x:v>3190</x:v>
      </x:c>
      <x:c r="C3223" s="2" t="str">
        <x:v>84762A</x:v>
      </x:c>
      <x:c r="D3223" s="2" t="str">
        <x:v>WHITE PICNIC BARBECUE BUCKET</x:v>
      </x:c>
      <x:c r="E3223" s="11" t="n">
        <x:v>517.4300000000001</x:v>
      </x:c>
      <x:c r="F3223" s="11" t="n">
        <x:v>94.45</x:v>
      </x:c>
      <x:c r="G3223" s="11" t="n">
        <x:v>422.98</x:v>
      </x:c>
      <x:c r="H3223" s="23" t="n">
        <x:v>0.00002519901156186335</x:v>
      </x:c>
      <x:c r="I3223" s="23" t="n">
        <x:v>0.9860106156906473</x:v>
      </x:c>
      <x:c r="J3223" s="2" t="n">
        <x:v>29</x:v>
      </x:c>
      <x:c r="K3223" s="2"/>
      <x:c r="L3223" s="2"/>
    </x:row>
    <x:row r="3224" ht="22" customHeight="1">
      <x:c r="A3224" s="2"/>
      <x:c r="B3224" s="2" t="n">
        <x:v>3191</x:v>
      </x:c>
      <x:c r="C3224" s="2" t="str">
        <x:v>85179A</x:v>
      </x:c>
      <x:c r="D3224" s="2" t="str">
        <x:v>GREEN BITTY LIGHT CHAIN</x:v>
      </x:c>
      <x:c r="E3224" s="11" t="n">
        <x:v>515.72</x:v>
      </x:c>
      <x:c r="F3224" s="11" t="n">
        <x:v>13.950000000000001</x:v>
      </x:c>
      <x:c r="G3224" s="11" t="n">
        <x:v>501.77</x:v>
      </x:c>
      <x:c r="H3224" s="23" t="n">
        <x:v>0.000025115733998191382</x:v>
      </x:c>
      <x:c r="I3224" s="23" t="n">
        <x:v>0.9860357314246455</x:v>
      </x:c>
      <x:c r="J3224" s="2" t="n">
        <x:v>70</x:v>
      </x:c>
      <x:c r="K3224" s="2"/>
      <x:c r="L3224" s="2"/>
    </x:row>
    <x:row r="3225" ht="22" customHeight="1">
      <x:c r="A3225" s="2"/>
      <x:c r="B3225" s="2" t="n">
        <x:v>3192</x:v>
      </x:c>
      <x:c r="C3225" s="2" t="str">
        <x:v>71143</x:v>
      </x:c>
      <x:c r="D3225" s="2" t="str">
        <x:v>ANTIQUE SILVER BOOK MARK WITH BEADS</x:v>
      </x:c>
      <x:c r="E3225" s="11" t="n">
        <x:v>514.4499999999999</x:v>
      </x:c>
      <x:c r="F3225" s="11" t="n">
        <x:v>0.85</x:v>
      </x:c>
      <x:c r="G3225" s="11" t="n">
        <x:v>513.5999999999999</x:v>
      </x:c>
      <x:c r="H3225" s="23" t="n">
        <x:v>0.00002505388457955781</x:v>
      </x:c>
      <x:c r="I3225" s="23" t="n">
        <x:v>0.986060785309225</x:v>
      </x:c>
      <x:c r="J3225" s="2" t="n">
        <x:v>99</x:v>
      </x:c>
      <x:c r="K3225" s="2"/>
      <x:c r="L3225" s="2"/>
    </x:row>
    <x:row r="3226" ht="22" customHeight="1">
      <x:c r="A3226" s="2"/>
      <x:c r="B3226" s="2" t="n">
        <x:v>3193</x:v>
      </x:c>
      <x:c r="C3226" s="2" t="str">
        <x:v>90114</x:v>
      </x:c>
      <x:c r="D3226" s="2" t="str">
        <x:v>SUMMER DAISIES BAG CHARM</x:v>
      </x:c>
      <x:c r="E3226" s="11" t="n">
        <x:v>514.18</x:v>
      </x:c>
      <x:c r="F3226" s="11" t="n">
        <x:v>0</x:v>
      </x:c>
      <x:c r="G3226" s="11" t="n">
        <x:v>514.18</x:v>
      </x:c>
      <x:c r="H3226" s="23" t="n">
        <x:v>0.00002504073549055697</x:v>
      </x:c>
      <x:c r="I3226" s="23" t="n">
        <x:v>0.9860858260447156</x:v>
      </x:c>
      <x:c r="J3226" s="2" t="n">
        <x:v>111</x:v>
      </x:c>
      <x:c r="K3226" s="2"/>
      <x:c r="L3226" s="2"/>
    </x:row>
    <x:row r="3227" ht="22" customHeight="1">
      <x:c r="A3227" s="2"/>
      <x:c r="B3227" s="2" t="n">
        <x:v>3194</x:v>
      </x:c>
      <x:c r="C3227" s="2" t="str">
        <x:v>85129C</x:v>
      </x:c>
      <x:c r="D3227" s="2" t="str">
        <x:v>BEADED CRYSTAL HEART BLUE SMALL</x:v>
      </x:c>
      <x:c r="E3227" s="11" t="n">
        <x:v>513.98</x:v>
      </x:c>
      <x:c r="F3227" s="11" t="n">
        <x:v>0</x:v>
      </x:c>
      <x:c r="G3227" s="11" t="n">
        <x:v>513.98</x:v>
      </x:c>
      <x:c r="H3227" s="23" t="n">
        <x:v>0.00002503099542463043</x:v>
      </x:c>
      <x:c r="I3227" s="23" t="n">
        <x:v>0.9861108570401402</x:v>
      </x:c>
      <x:c r="J3227" s="2" t="n">
        <x:v>65</x:v>
      </x:c>
      <x:c r="K3227" s="2"/>
      <x:c r="L3227" s="2"/>
    </x:row>
    <x:row r="3228" ht="22" customHeight="1">
      <x:c r="A3228" s="2"/>
      <x:c r="B3228" s="2" t="n">
        <x:v>3195</x:v>
      </x:c>
      <x:c r="C3228" s="2" t="str">
        <x:v>46118</x:v>
      </x:c>
      <x:c r="D3228" s="2" t="str">
        <x:v>FUNKY MONKEY CUSHION COVER</x:v>
      </x:c>
      <x:c r="E3228" s="11" t="n">
        <x:v>513.58</x:v>
      </x:c>
      <x:c r="F3228" s="11" t="n">
        <x:v>0</x:v>
      </x:c>
      <x:c r="G3228" s="11" t="n">
        <x:v>513.58</x:v>
      </x:c>
      <x:c r="H3228" s="23" t="n">
        <x:v>0.00002501151529277734</x:v>
      </x:c>
      <x:c r="I3228" s="23" t="n">
        <x:v>0.986135868555433</x:v>
      </x:c>
      <x:c r="J3228" s="2" t="n">
        <x:v>72</x:v>
      </x:c>
      <x:c r="K3228" s="2"/>
      <x:c r="L3228" s="2"/>
    </x:row>
    <x:row r="3229" ht="22" customHeight="1">
      <x:c r="A3229" s="2"/>
      <x:c r="B3229" s="2" t="n">
        <x:v>3196</x:v>
      </x:c>
      <x:c r="C3229" s="2" t="str">
        <x:v>16168M</x:v>
      </x:c>
      <x:c r="D3229" s="2" t="str">
        <x:v>FUNKY MONKEY GIFT BAG MEDIUM</x:v>
      </x:c>
      <x:c r="E3229" s="11" t="n">
        <x:v>512.38</x:v>
      </x:c>
      <x:c r="F3229" s="11" t="n">
        <x:v>0</x:v>
      </x:c>
      <x:c r="G3229" s="11" t="n">
        <x:v>512.38</x:v>
      </x:c>
      <x:c r="H3229" s="23" t="n">
        <x:v>0.000024953074897218063</x:v>
      </x:c>
      <x:c r="I3229" s="23" t="n">
        <x:v>0.9861608216303303</x:v>
      </x:c>
      <x:c r="J3229" s="2" t="n">
        <x:v>101</x:v>
      </x:c>
      <x:c r="K3229" s="2"/>
      <x:c r="L3229" s="2"/>
    </x:row>
    <x:row r="3230" ht="22" customHeight="1">
      <x:c r="A3230" s="2"/>
      <x:c r="B3230" s="2" t="n">
        <x:v>3197</x:v>
      </x:c>
      <x:c r="C3230" s="2" t="str">
        <x:v>72807c</x:v>
      </x:c>
      <x:c r="D3230" s="2" t="str">
        <x:v>SET/3 VANILLA SCENTED CANDLE IN BOX</x:v>
      </x:c>
      <x:c r="E3230" s="11" t="n">
        <x:v>511.98</x:v>
      </x:c>
      <x:c r="F3230" s="11" t="n">
        <x:v>0</x:v>
      </x:c>
      <x:c r="G3230" s="11" t="n">
        <x:v>511.98</x:v>
      </x:c>
      <x:c r="H3230" s="23" t="n">
        <x:v>0.00002493359476536497</x:v>
      </x:c>
      <x:c r="I3230" s="23" t="n">
        <x:v>0.9861857552250957</x:v>
      </x:c>
      <x:c r="J3230" s="2" t="n">
        <x:v>44</x:v>
      </x:c>
      <x:c r="K3230" s="2"/>
      <x:c r="L3230" s="2"/>
    </x:row>
    <x:row r="3231" ht="22" customHeight="1">
      <x:c r="A3231" s="2"/>
      <x:c r="B3231" s="2" t="n">
        <x:v>3198</x:v>
      </x:c>
      <x:c r="C3231" s="2" t="str">
        <x:v>23136</x:v>
      </x:c>
      <x:c r="D3231" s="2" t="str">
        <x:v>IVORY WIRE SWEETHEART LETTER TRAY</x:v>
      </x:c>
      <x:c r="E3231" s="11" t="n">
        <x:v>511.89</x:v>
      </x:c>
      <x:c r="F3231" s="11" t="n">
        <x:v>0</x:v>
      </x:c>
      <x:c r="G3231" s="11" t="n">
        <x:v>511.89</x:v>
      </x:c>
      <x:c r="H3231" s="23" t="n">
        <x:v>0.000024929211735698024</x:v>
      </x:c>
      <x:c r="I3231" s="23" t="n">
        <x:v>0.9862106844368314</x:v>
      </x:c>
      <x:c r="J3231" s="2" t="n">
        <x:v>49</x:v>
      </x:c>
      <x:c r="K3231" s="2"/>
      <x:c r="L3231" s="2"/>
    </x:row>
    <x:row r="3232" ht="22" customHeight="1">
      <x:c r="A3232" s="2"/>
      <x:c r="B3232" s="2" t="n">
        <x:v>3199</x:v>
      </x:c>
      <x:c r="C3232" s="2" t="str">
        <x:v>47559b</x:v>
      </x:c>
      <x:c r="D3232" s="2" t="str">
        <x:v>TEA TIME OVEN GLOVE</x:v>
      </x:c>
      <x:c r="E3232" s="11" t="n">
        <x:v>511.46</x:v>
      </x:c>
      <x:c r="F3232" s="11" t="n">
        <x:v>0</x:v>
      </x:c>
      <x:c r="G3232" s="11" t="n">
        <x:v>511.46</x:v>
      </x:c>
      <x:c r="H3232" s="23" t="n">
        <x:v>0.00002490827059395595</x:v>
      </x:c>
      <x:c r="I3232" s="23" t="n">
        <x:v>0.9862355927074253</x:v>
      </x:c>
      <x:c r="J3232" s="2" t="n">
        <x:v>44</x:v>
      </x:c>
      <x:c r="K3232" s="2"/>
      <x:c r="L3232" s="2"/>
    </x:row>
    <x:row r="3233" ht="22" customHeight="1">
      <x:c r="A3233" s="2"/>
      <x:c r="B3233" s="2" t="n">
        <x:v>3200</x:v>
      </x:c>
      <x:c r="C3233" s="2" t="str">
        <x:v>84875B</x:v>
      </x:c>
      <x:c r="D3233" s="2" t="str">
        <x:v>GREEN SQUARE COMPACT MIRROR</x:v>
      </x:c>
      <x:c r="E3233" s="11" t="n">
        <x:v>511.01</x:v>
      </x:c>
      <x:c r="F3233" s="11" t="n">
        <x:v>0</x:v>
      </x:c>
      <x:c r="G3233" s="11" t="n">
        <x:v>511.01</x:v>
      </x:c>
      <x:c r="H3233" s="23" t="n">
        <x:v>0.00002488635544562122</x:v>
      </x:c>
      <x:c r="I3233" s="23" t="n">
        <x:v>0.986260479062871</x:v>
      </x:c>
      <x:c r="J3233" s="2" t="n">
        <x:v>40</x:v>
      </x:c>
      <x:c r="K3233" s="2"/>
      <x:c r="L3233" s="2"/>
    </x:row>
    <x:row r="3234" ht="22" customHeight="1">
      <x:c r="A3234" s="2"/>
      <x:c r="B3234" s="2" t="n">
        <x:v>3201</x:v>
      </x:c>
      <x:c r="C3234" s="2" t="str">
        <x:v>84989B</x:v>
      </x:c>
      <x:c r="D3234" s="2" t="str">
        <x:v>75 BLACK FAIRY CAKE CASES</x:v>
      </x:c>
      <x:c r="E3234" s="11" t="n">
        <x:v>510.7</x:v>
      </x:c>
      <x:c r="F3234" s="11" t="n">
        <x:v>0</x:v>
      </x:c>
      <x:c r="G3234" s="11" t="n">
        <x:v>510.7</x:v>
      </x:c>
      <x:c r="H3234" s="23" t="n">
        <x:v>0.000024871258343435074</x:v>
      </x:c>
      <x:c r="I3234" s="23" t="n">
        <x:v>0.9862853503212143</x:v>
      </x:c>
      <x:c r="J3234" s="2" t="n">
        <x:v>57</x:v>
      </x:c>
      <x:c r="K3234" s="2"/>
      <x:c r="L3234" s="2"/>
    </x:row>
    <x:row r="3235" ht="22" customHeight="1">
      <x:c r="A3235" s="2"/>
      <x:c r="B3235" s="2" t="n">
        <x:v>3202</x:v>
      </x:c>
      <x:c r="C3235" s="2" t="str">
        <x:v>84782C</x:v>
      </x:c>
      <x:c r="D3235" s="2" t="str">
        <x:v>GREEN 3 TIER GLASS PLATE STAND</x:v>
      </x:c>
      <x:c r="E3235" s="11" t="n">
        <x:v>509.9</x:v>
      </x:c>
      <x:c r="F3235" s="11" t="n">
        <x:v>50.1</x:v>
      </x:c>
      <x:c r="G3235" s="11" t="n">
        <x:v>459.8</x:v>
      </x:c>
      <x:c r="H3235" s="23" t="n">
        <x:v>0.00002483229807972889</x:v>
      </x:c>
      <x:c r="I3235" s="23" t="n">
        <x:v>0.986310182619294</x:v>
      </x:c>
      <x:c r="J3235" s="2" t="n">
        <x:v>18</x:v>
      </x:c>
      <x:c r="K3235" s="2"/>
      <x:c r="L3235" s="2"/>
    </x:row>
    <x:row r="3236" ht="22" customHeight="1">
      <x:c r="A3236" s="2"/>
      <x:c r="B3236" s="2" t="n">
        <x:v>3203</x:v>
      </x:c>
      <x:c r="C3236" s="2" t="str">
        <x:v>21117</x:v>
      </x:c>
      <x:c r="D3236" s="2" t="str">
        <x:v>BLOND DOLL DOORSTOP</x:v>
      </x:c>
      <x:c r="E3236" s="11" t="n">
        <x:v>509.58</x:v>
      </x:c>
      <x:c r="F3236" s="11" t="n">
        <x:v>0</x:v>
      </x:c>
      <x:c r="G3236" s="11" t="n">
        <x:v>509.58</x:v>
      </x:c>
      <x:c r="H3236" s="23" t="n">
        <x:v>0.000024816713974246418</x:v>
      </x:c>
      <x:c r="I3236" s="23" t="n">
        <x:v>0.9863349993332683</x:v>
      </x:c>
      <x:c r="J3236" s="2" t="n">
        <x:v>26</x:v>
      </x:c>
      <x:c r="K3236" s="2"/>
      <x:c r="L3236" s="2"/>
    </x:row>
    <x:row r="3237" ht="22" customHeight="1">
      <x:c r="A3237" s="2"/>
      <x:c r="B3237" s="2" t="n">
        <x:v>3204</x:v>
      </x:c>
      <x:c r="C3237" s="2" t="str">
        <x:v>20753</x:v>
      </x:c>
      <x:c r="D3237" s="2" t="str">
        <x:v>RETRO PINK SPOT WASHING UP GLOVES</x:v>
      </x:c>
      <x:c r="E3237" s="11" t="n">
        <x:v>509.00000000000006</x:v>
      </x:c>
      <x:c r="F3237" s="11" t="n">
        <x:v>4.2</x:v>
      </x:c>
      <x:c r="G3237" s="11" t="n">
        <x:v>504.8</x:v>
      </x:c>
      <x:c r="H3237" s="23" t="n">
        <x:v>0.000024788467783059437</x:v>
      </x:c>
      <x:c r="I3237" s="23" t="n">
        <x:v>0.9863597878010514</x:v>
      </x:c>
      <x:c r="J3237" s="2" t="n">
        <x:v>56</x:v>
      </x:c>
      <x:c r="K3237" s="2"/>
      <x:c r="L3237" s="2"/>
    </x:row>
    <x:row r="3238" ht="22" customHeight="1">
      <x:c r="A3238" s="2"/>
      <x:c r="B3238" s="2" t="n">
        <x:v>3205</x:v>
      </x:c>
      <x:c r="C3238" s="2" t="str">
        <x:v>84247L</x:v>
      </x:c>
      <x:c r="D3238" s="2" t="str">
        <x:v>FAWN AND MUSHROOM GREETING CARD</x:v>
      </x:c>
      <x:c r="E3238" s="11" t="n">
        <x:v>508.29</x:v>
      </x:c>
      <x:c r="F3238" s="11" t="n">
        <x:v>5.04</x:v>
      </x:c>
      <x:c r="G3238" s="11" t="n">
        <x:v>503.25</x:v>
      </x:c>
      <x:c r="H3238" s="23" t="n">
        <x:v>0.0000247538905490202</x:v>
      </x:c>
      <x:c r="I3238" s="23" t="n">
        <x:v>0.9863845416916004</x:v>
      </x:c>
      <x:c r="J3238" s="2" t="n">
        <x:v>110</x:v>
      </x:c>
      <x:c r="K3238" s="2"/>
      <x:c r="L3238" s="2"/>
    </x:row>
    <x:row r="3239" ht="22" customHeight="1">
      <x:c r="A3239" s="2"/>
      <x:c r="B3239" s="2" t="n">
        <x:v>3206</x:v>
      </x:c>
      <x:c r="C3239" s="2" t="str">
        <x:v>20654</x:v>
      </x:c>
      <x:c r="D3239" s="2" t="str">
        <x:v>FIRST CLASS LUGGAGE TAG </x:v>
      </x:c>
      <x:c r="E3239" s="11" t="n">
        <x:v>507.91</x:v>
      </x:c>
      <x:c r="F3239" s="11" t="n">
        <x:v>0</x:v>
      </x:c>
      <x:c r="G3239" s="11" t="n">
        <x:v>507.91</x:v>
      </x:c>
      <x:c r="H3239" s="23" t="n">
        <x:v>0.000024735384423759762</x:v>
      </x:c>
      <x:c r="I3239" s="23" t="n">
        <x:v>0.9864092770760241</x:v>
      </x:c>
      <x:c r="J3239" s="2" t="n">
        <x:v>120</x:v>
      </x:c>
      <x:c r="K3239" s="2"/>
      <x:c r="L3239" s="2"/>
    </x:row>
    <x:row r="3240" ht="22" customHeight="1">
      <x:c r="A3240" s="2"/>
      <x:c r="B3240" s="2" t="n">
        <x:v>3207</x:v>
      </x:c>
      <x:c r="C3240" s="2" t="str">
        <x:v>84218</x:v>
      </x:c>
      <x:c r="D3240" s="2" t="str">
        <x:v>BOX/12 CHICK &amp; EGG IN BASKET</x:v>
      </x:c>
      <x:c r="E3240" s="11" t="n">
        <x:v>507.40999999999997</x:v>
      </x:c>
      <x:c r="F3240" s="11" t="n">
        <x:v>1.95</x:v>
      </x:c>
      <x:c r="G3240" s="11" t="n">
        <x:v>505.46</x:v>
      </x:c>
      <x:c r="H3240" s="23" t="n">
        <x:v>0.000024711034258943394</x:v>
      </x:c>
      <x:c r="I3240" s="23" t="n">
        <x:v>0.986433988110283</x:v>
      </x:c>
      <x:c r="J3240" s="2" t="n">
        <x:v>96</x:v>
      </x:c>
      <x:c r="K3240" s="2"/>
      <x:c r="L3240" s="2"/>
    </x:row>
    <x:row r="3241" ht="22" customHeight="1">
      <x:c r="A3241" s="2"/>
      <x:c r="B3241" s="2" t="n">
        <x:v>3208</x:v>
      </x:c>
      <x:c r="C3241" s="2" t="str">
        <x:v>85169B</x:v>
      </x:c>
      <x:c r="D3241" s="2" t="str">
        <x:v>BLACK LOVE BIRD CANDLE</x:v>
      </x:c>
      <x:c r="E3241" s="11" t="n">
        <x:v>505.40999999999997</x:v>
      </x:c>
      <x:c r="F3241" s="11" t="n">
        <x:v>0</x:v>
      </x:c>
      <x:c r="G3241" s="11" t="n">
        <x:v>505.40999999999997</x:v>
      </x:c>
      <x:c r="H3241" s="23" t="n">
        <x:v>0.000024613633599677935</x:v>
      </x:c>
      <x:c r="I3241" s="23" t="n">
        <x:v>0.9864586017438827</x:v>
      </x:c>
      <x:c r="J3241" s="2" t="n">
        <x:v>93</x:v>
      </x:c>
      <x:c r="K3241" s="2"/>
      <x:c r="L3241" s="2"/>
    </x:row>
    <x:row r="3242" ht="22" customHeight="1">
      <x:c r="A3242" s="2"/>
      <x:c r="B3242" s="2" t="n">
        <x:v>3209</x:v>
      </x:c>
      <x:c r="C3242" s="2" t="str">
        <x:v>35004S</x:v>
      </x:c>
      <x:c r="D3242" s="2" t="str">
        <x:v>SET OF 3 SILVER FLYING DUCKS</x:v>
      </x:c>
      <x:c r="E3242" s="11" t="n">
        <x:v>505.4</x:v>
      </x:c>
      <x:c r="F3242" s="11" t="n">
        <x:v>56.519999999999996</x:v>
      </x:c>
      <x:c r="G3242" s="11" t="n">
        <x:v>448.88</x:v>
      </x:c>
      <x:c r="H3242" s="23" t="n">
        <x:v>0.000024613146596381606</x:v>
      </x:c>
      <x:c r="I3242" s="23" t="n">
        <x:v>0.9864832148904791</x:v>
      </x:c>
      <x:c r="J3242" s="2" t="n">
        <x:v>24</x:v>
      </x:c>
      <x:c r="K3242" s="2"/>
      <x:c r="L3242" s="2"/>
    </x:row>
    <x:row r="3243" ht="22" customHeight="1">
      <x:c r="A3243" s="2"/>
      <x:c r="B3243" s="2" t="n">
        <x:v>3210</x:v>
      </x:c>
      <x:c r="C3243" s="2" t="str">
        <x:v>84509c</x:v>
      </x:c>
      <x:c r="D3243" s="2" t="str">
        <x:v>SET OF 4 POLKADOT PLACEMATS </x:v>
      </x:c>
      <x:c r="E3243" s="11" t="n">
        <x:v>505.26</x:v>
      </x:c>
      <x:c r="F3243" s="11" t="n">
        <x:v>0</x:v>
      </x:c>
      <x:c r="G3243" s="11" t="n">
        <x:v>505.26</x:v>
      </x:c>
      <x:c r="H3243" s="23" t="n">
        <x:v>0.000024606328550233024</x:v>
      </x:c>
      <x:c r="I3243" s="23" t="n">
        <x:v>0.9865078212190294</x:v>
      </x:c>
      <x:c r="J3243" s="2" t="n">
        <x:v>44</x:v>
      </x:c>
      <x:c r="K3243" s="2"/>
      <x:c r="L3243" s="2"/>
    </x:row>
    <x:row r="3244" ht="22" customHeight="1">
      <x:c r="A3244" s="2"/>
      <x:c r="B3244" s="2" t="n">
        <x:v>3211</x:v>
      </x:c>
      <x:c r="C3244" s="2" t="str">
        <x:v>23021</x:v>
      </x:c>
      <x:c r="D3244" s="2" t="str">
        <x:v>GLASS BONNE JAM JAR</x:v>
      </x:c>
      <x:c r="E3244" s="11" t="n">
        <x:v>504.97</x:v>
      </x:c>
      <x:c r="F3244" s="11" t="n">
        <x:v>0</x:v>
      </x:c>
      <x:c r="G3244" s="11" t="n">
        <x:v>504.97</x:v>
      </x:c>
      <x:c r="H3244" s="23" t="n">
        <x:v>0.000024592205454639536</x:v>
      </x:c>
      <x:c r="I3244" s="23" t="n">
        <x:v>0.986532413424484</x:v>
      </x:c>
      <x:c r="J3244" s="2" t="n">
        <x:v>27</x:v>
      </x:c>
      <x:c r="K3244" s="2"/>
      <x:c r="L3244" s="2"/>
    </x:row>
    <x:row r="3245" ht="22" customHeight="1">
      <x:c r="A3245" s="2"/>
      <x:c r="B3245" s="2" t="n">
        <x:v>3212</x:v>
      </x:c>
      <x:c r="C3245" s="2" t="str">
        <x:v>37352</x:v>
      </x:c>
      <x:c r="D3245" s="2" t="str">
        <x:v>BIRD IN TREE MUG </x:v>
      </x:c>
      <x:c r="E3245" s="11" t="n">
        <x:v>504.55</x:v>
      </x:c>
      <x:c r="F3245" s="11" t="n">
        <x:v>0</x:v>
      </x:c>
      <x:c r="G3245" s="11" t="n">
        <x:v>504.55</x:v>
      </x:c>
      <x:c r="H3245" s="23" t="n">
        <x:v>0.000024571751316193788</x:v>
      </x:c>
      <x:c r="I3245" s="23" t="n">
        <x:v>0.9865569851758001</x:v>
      </x:c>
      <x:c r="J3245" s="2" t="n">
        <x:v>8</x:v>
      </x:c>
      <x:c r="K3245" s="2"/>
      <x:c r="L3245" s="2"/>
    </x:row>
    <x:row r="3246" ht="22" customHeight="1">
      <x:c r="A3246" s="2"/>
      <x:c r="B3246" s="2" t="n">
        <x:v>3213</x:v>
      </x:c>
      <x:c r="C3246" s="2" t="str">
        <x:v>84877B</x:v>
      </x:c>
      <x:c r="D3246" s="2" t="str">
        <x:v>GREEN ROUND COMPACT MIRROR</x:v>
      </x:c>
      <x:c r="E3246" s="11" t="n">
        <x:v>504.43</x:v>
      </x:c>
      <x:c r="F3246" s="11" t="n">
        <x:v>2.5</x:v>
      </x:c>
      <x:c r="G3246" s="11" t="n">
        <x:v>501.93</x:v>
      </x:c>
      <x:c r="H3246" s="23" t="n">
        <x:v>0.00002456590727663786</x:v>
      </x:c>
      <x:c r="I3246" s="23" t="n">
        <x:v>0.9865815510830768</x:v>
      </x:c>
      <x:c r="J3246" s="2" t="n">
        <x:v>43</x:v>
      </x:c>
      <x:c r="K3246" s="2"/>
      <x:c r="L3246" s="2"/>
    </x:row>
    <x:row r="3247" ht="22" customHeight="1">
      <x:c r="A3247" s="2"/>
      <x:c r="B3247" s="2" t="n">
        <x:v>3214</x:v>
      </x:c>
      <x:c r="C3247" s="2" t="str">
        <x:v>22541</x:v>
      </x:c>
      <x:c r="D3247" s="2" t="str">
        <x:v>MINI JIGSAW LEAP FROG</x:v>
      </x:c>
      <x:c r="E3247" s="11" t="n">
        <x:v>504.34</x:v>
      </x:c>
      <x:c r="F3247" s="11" t="n">
        <x:v>0</x:v>
      </x:c>
      <x:c r="G3247" s="11" t="n">
        <x:v>504.34</x:v>
      </x:c>
      <x:c r="H3247" s="23" t="n">
        <x:v>0.000024561524246970912</x:v>
      </x:c>
      <x:c r="I3247" s="23" t="n">
        <x:v>0.9866061126073238</x:v>
      </x:c>
      <x:c r="J3247" s="2" t="n">
        <x:v>66</x:v>
      </x:c>
      <x:c r="K3247" s="2"/>
      <x:c r="L3247" s="2"/>
    </x:row>
    <x:row r="3248" ht="22" customHeight="1">
      <x:c r="A3248" s="2"/>
      <x:c r="B3248" s="2" t="n">
        <x:v>3215</x:v>
      </x:c>
      <x:c r="C3248" s="2" t="str">
        <x:v>20845</x:v>
      </x:c>
      <x:c r="D3248" s="2" t="str">
        <x:v>ZINC HEART LATTICE 2 WALL PLANTER</x:v>
      </x:c>
      <x:c r="E3248" s="11" t="n">
        <x:v>502.27</x:v>
      </x:c>
      <x:c r="F3248" s="11" t="n">
        <x:v>0</x:v>
      </x:c>
      <x:c r="G3248" s="11" t="n">
        <x:v>502.27</x:v>
      </x:c>
      <x:c r="H3248" s="23" t="n">
        <x:v>0.000024460714564631163</x:v>
      </x:c>
      <x:c r="I3248" s="23" t="n">
        <x:v>0.9866305733218884</x:v>
      </x:c>
      <x:c r="J3248" s="2" t="n">
        <x:v>24</x:v>
      </x:c>
      <x:c r="K3248" s="2"/>
      <x:c r="L3248" s="2"/>
    </x:row>
    <x:row r="3249" ht="22" customHeight="1">
      <x:c r="A3249" s="2"/>
      <x:c r="B3249" s="2" t="n">
        <x:v>3216</x:v>
      </x:c>
      <x:c r="C3249" s="2" t="str">
        <x:v>23560</x:v>
      </x:c>
      <x:c r="D3249" s="2" t="str">
        <x:v>SET OF 6 RIBBONS COUNTRY STYLE</x:v>
      </x:c>
      <x:c r="E3249" s="11" t="n">
        <x:v>502.07000000000005</x:v>
      </x:c>
      <x:c r="F3249" s="11" t="n">
        <x:v>0</x:v>
      </x:c>
      <x:c r="G3249" s="11" t="n">
        <x:v>502.07000000000005</x:v>
      </x:c>
      <x:c r="H3249" s="23" t="n">
        <x:v>0.00002445097449870462</x:v>
      </x:c>
      <x:c r="I3249" s="23" t="n">
        <x:v>0.9866550242963871</x:v>
      </x:c>
      <x:c r="J3249" s="2" t="n">
        <x:v>26</x:v>
      </x:c>
      <x:c r="K3249" s="2"/>
      <x:c r="L3249" s="2"/>
    </x:row>
    <x:row r="3250" ht="22" customHeight="1">
      <x:c r="A3250" s="2"/>
      <x:c r="B3250" s="2" t="n">
        <x:v>3217</x:v>
      </x:c>
      <x:c r="C3250" s="2" t="str">
        <x:v>79337</x:v>
      </x:c>
      <x:c r="D3250" s="2" t="str">
        <x:v>BLUE FLOCK GLASS CANDLEHOLDER</x:v>
      </x:c>
      <x:c r="E3250" s="11" t="n">
        <x:v>502.03000000000003</x:v>
      </x:c>
      <x:c r="F3250" s="11" t="n">
        <x:v>2.2800000000000002</x:v>
      </x:c>
      <x:c r="G3250" s="11" t="n">
        <x:v>499.75</x:v>
      </x:c>
      <x:c r="H3250" s="23" t="n">
        <x:v>0.00002444902648551931</x:v>
      </x:c>
      <x:c r="I3250" s="23" t="n">
        <x:v>0.9866794733228726</x:v>
      </x:c>
      <x:c r="J3250" s="2" t="n">
        <x:v>21</x:v>
      </x:c>
      <x:c r="K3250" s="2"/>
      <x:c r="L3250" s="2"/>
    </x:row>
    <x:row r="3251" ht="22" customHeight="1">
      <x:c r="A3251" s="2"/>
      <x:c r="B3251" s="2" t="n">
        <x:v>3218</x:v>
      </x:c>
      <x:c r="C3251" s="2" t="str">
        <x:v>90014A</x:v>
      </x:c>
      <x:c r="D3251" s="2" t="str">
        <x:v>SILVER M.O.P. ORBIT NECKLACE</x:v>
      </x:c>
      <x:c r="E3251" s="11" t="n">
        <x:v>502.01</x:v>
      </x:c>
      <x:c r="F3251" s="11" t="n">
        <x:v>0</x:v>
      </x:c>
      <x:c r="G3251" s="11" t="n">
        <x:v>502.01</x:v>
      </x:c>
      <x:c r="H3251" s="23" t="n">
        <x:v>0.000024448052478926654</x:v>
      </x:c>
      <x:c r="I3251" s="23" t="n">
        <x:v>0.9867039213753516</x:v>
      </x:c>
      <x:c r="J3251" s="2" t="n">
        <x:v>40</x:v>
      </x:c>
      <x:c r="K3251" s="2"/>
      <x:c r="L3251" s="2"/>
    </x:row>
    <x:row r="3252" ht="22" customHeight="1">
      <x:c r="A3252" s="2"/>
      <x:c r="B3252" s="2" t="n">
        <x:v>3219</x:v>
      </x:c>
      <x:c r="C3252" s="2" t="str">
        <x:v>90010E</x:v>
      </x:c>
      <x:c r="D3252" s="2" t="str">
        <x:v>AMBER GLASS/SILVER BRACELET</x:v>
      </x:c>
      <x:c r="E3252" s="11" t="n">
        <x:v>501.65</x:v>
      </x:c>
      <x:c r="F3252" s="11" t="n">
        <x:v>35.8</x:v>
      </x:c>
      <x:c r="G3252" s="11" t="n">
        <x:v>465.84999999999997</x:v>
      </x:c>
      <x:c r="H3252" s="23" t="n">
        <x:v>0.00002443052036025887</x:v>
      </x:c>
      <x:c r="I3252" s="23" t="n">
        <x:v>0.9867283518957118</x:v>
      </x:c>
      <x:c r="J3252" s="2" t="n">
        <x:v>35</x:v>
      </x:c>
      <x:c r="K3252" s="2"/>
      <x:c r="L3252" s="2"/>
    </x:row>
    <x:row r="3253" ht="22" customHeight="1">
      <x:c r="A3253" s="2"/>
      <x:c r="B3253" s="2" t="n">
        <x:v>3220</x:v>
      </x:c>
      <x:c r="C3253" s="2" t="str">
        <x:v>23117</x:v>
      </x:c>
      <x:c r="D3253" s="2" t="str">
        <x:v>POPPY FIELDS CHOPPING BOARD</x:v>
      </x:c>
      <x:c r="E3253" s="11" t="n">
        <x:v>501.23</x:v>
      </x:c>
      <x:c r="F3253" s="11" t="n">
        <x:v>4.95</x:v>
      </x:c>
      <x:c r="G3253" s="11" t="n">
        <x:v>496.28000000000003</x:v>
      </x:c>
      <x:c r="H3253" s="23" t="n">
        <x:v>0.000024410066221813127</x:v>
      </x:c>
      <x:c r="I3253" s="23" t="n">
        <x:v>0.9867527619619336</x:v>
      </x:c>
      <x:c r="J3253" s="2" t="n">
        <x:v>45</x:v>
      </x:c>
      <x:c r="K3253" s="2"/>
      <x:c r="L3253" s="2"/>
    </x:row>
    <x:row r="3254" ht="22" customHeight="1">
      <x:c r="A3254" s="2"/>
      <x:c r="B3254" s="2" t="n">
        <x:v>3221</x:v>
      </x:c>
      <x:c r="C3254" s="2" t="str">
        <x:v>21882</x:v>
      </x:c>
      <x:c r="D3254" s="2" t="str">
        <x:v>SKULLS TAPE</x:v>
      </x:c>
      <x:c r="E3254" s="11" t="n">
        <x:v>500.74</x:v>
      </x:c>
      <x:c r="F3254" s="11" t="n">
        <x:v>0</x:v>
      </x:c>
      <x:c r="G3254" s="11" t="n">
        <x:v>500.74</x:v>
      </x:c>
      <x:c r="H3254" s="23" t="n">
        <x:v>0.000024386203060293088</x:v>
      </x:c>
      <x:c r="I3254" s="23" t="n">
        <x:v>0.986777148164994</x:v>
      </x:c>
      <x:c r="J3254" s="2" t="n">
        <x:v>119</x:v>
      </x:c>
      <x:c r="K3254" s="2"/>
      <x:c r="L3254" s="2"/>
    </x:row>
    <x:row r="3255" ht="22" customHeight="1">
      <x:c r="A3255" s="2"/>
      <x:c r="B3255" s="2" t="n">
        <x:v>3222</x:v>
      </x:c>
      <x:c r="C3255" s="2" t="str">
        <x:v>20865</x:v>
      </x:c>
      <x:c r="D3255" s="2" t="str">
        <x:v>PATCHWORK PENCIL CASE BUTTERFLY </x:v>
      </x:c>
      <x:c r="E3255" s="11" t="n">
        <x:v>500.49</x:v>
      </x:c>
      <x:c r="F3255" s="11" t="n">
        <x:v>145.47</x:v>
      </x:c>
      <x:c r="G3255" s="11" t="n">
        <x:v>355.02</x:v>
      </x:c>
      <x:c r="H3255" s="23" t="n">
        <x:v>0.000024374027977884906</x:v>
      </x:c>
      <x:c r="I3255" s="23" t="n">
        <x:v>0.9868015221929718</x:v>
      </x:c>
      <x:c r="J3255" s="2" t="n">
        <x:v>33</x:v>
      </x:c>
      <x:c r="K3255" s="2"/>
      <x:c r="L3255" s="2"/>
    </x:row>
    <x:row r="3256" ht="22" customHeight="1">
      <x:c r="A3256" s="2"/>
      <x:c r="B3256" s="2" t="n">
        <x:v>3223</x:v>
      </x:c>
      <x:c r="C3256" s="2" t="str">
        <x:v>84706D</x:v>
      </x:c>
      <x:c r="D3256" s="2" t="str">
        <x:v>CHERRY BLOSSOM TABLE CLOCK </x:v>
      </x:c>
      <x:c r="E3256" s="11" t="n">
        <x:v>500.19</x:v>
      </x:c>
      <x:c r="F3256" s="11" t="n">
        <x:v>1.95</x:v>
      </x:c>
      <x:c r="G3256" s="11" t="n">
        <x:v>498.23999999999995</x:v>
      </x:c>
      <x:c r="H3256" s="23" t="n">
        <x:v>0.000024359417878995087</x:v>
      </x:c>
      <x:c r="I3256" s="23" t="n">
        <x:v>0.9868258816108508</x:v>
      </x:c>
      <x:c r="J3256" s="2" t="n">
        <x:v>16</x:v>
      </x:c>
      <x:c r="K3256" s="2"/>
      <x:c r="L3256" s="2"/>
    </x:row>
    <x:row r="3257" ht="22" customHeight="1">
      <x:c r="A3257" s="2"/>
      <x:c r="B3257" s="2" t="n">
        <x:v>3224</x:v>
      </x:c>
      <x:c r="C3257" s="2" t="str">
        <x:v>16219</x:v>
      </x:c>
      <x:c r="D3257" s="2" t="str">
        <x:v>HOUSE SHAPE PENCIL SHARPENER</x:v>
      </x:c>
      <x:c r="E3257" s="11" t="n">
        <x:v>499.55</x:v>
      </x:c>
      <x:c r="F3257" s="11" t="n">
        <x:v>2.88</x:v>
      </x:c>
      <x:c r="G3257" s="11" t="n">
        <x:v>496.67</x:v>
      </x:c>
      <x:c r="H3257" s="23" t="n">
        <x:v>0.00002432824966803014</x:v>
      </x:c>
      <x:c r="I3257" s="23" t="n">
        <x:v>0.9868502098605189</x:v>
      </x:c>
      <x:c r="J3257" s="2" t="n">
        <x:v>128</x:v>
      </x:c>
      <x:c r="K3257" s="2"/>
      <x:c r="L3257" s="2"/>
    </x:row>
    <x:row r="3258" ht="22" customHeight="1">
      <x:c r="A3258" s="2"/>
      <x:c r="B3258" s="2" t="n">
        <x:v>3225</x:v>
      </x:c>
      <x:c r="C3258" s="2" t="str">
        <x:v>35471A</x:v>
      </x:c>
      <x:c r="D3258" s="2" t="str">
        <x:v>SET OF 3 BIRD L.BLUE FEATHER</x:v>
      </x:c>
      <x:c r="E3258" s="11" t="n">
        <x:v>499.31</x:v>
      </x:c>
      <x:c r="F3258" s="11" t="n">
        <x:v>31.25</x:v>
      </x:c>
      <x:c r="G3258" s="11" t="n">
        <x:v>468.06</x:v>
      </x:c>
      <x:c r="H3258" s="23" t="n">
        <x:v>0.000024316561588918285</x:v>
      </x:c>
      <x:c r="I3258" s="23" t="n">
        <x:v>0.9868745264221078</x:v>
      </x:c>
      <x:c r="J3258" s="2" t="n">
        <x:v>83</x:v>
      </x:c>
      <x:c r="K3258" s="2"/>
      <x:c r="L3258" s="2"/>
    </x:row>
    <x:row r="3259" ht="22" customHeight="1">
      <x:c r="A3259" s="2"/>
      <x:c r="B3259" s="2" t="n">
        <x:v>3226</x:v>
      </x:c>
      <x:c r="C3259" s="2" t="str">
        <x:v>20864</x:v>
      </x:c>
      <x:c r="D3259" s="2" t="str">
        <x:v>DENIM PATCH PENCIL CASE BUTTERFLY</x:v>
      </x:c>
      <x:c r="E3259" s="11" t="n">
        <x:v>498.14000000000004</x:v>
      </x:c>
      <x:c r="F3259" s="11" t="n">
        <x:v>2.1</x:v>
      </x:c>
      <x:c r="G3259" s="11" t="n">
        <x:v>496.04</x:v>
      </x:c>
      <x:c r="H3259" s="23" t="n">
        <x:v>0.000024259582203247993</x:v>
      </x:c>
      <x:c r="I3259" s="23" t="n">
        <x:v>0.986898786004311</x:v>
      </x:c>
      <x:c r="J3259" s="2" t="n">
        <x:v>29</x:v>
      </x:c>
      <x:c r="K3259" s="2"/>
      <x:c r="L3259" s="2"/>
    </x:row>
    <x:row r="3260" ht="22" customHeight="1">
      <x:c r="A3260" s="2"/>
      <x:c r="B3260" s="2" t="n">
        <x:v>3227</x:v>
      </x:c>
      <x:c r="C3260" s="2" t="str">
        <x:v>23466</x:v>
      </x:c>
      <x:c r="D3260" s="2" t="str">
        <x:v>TUSCAN VILLA DOVECOTE BIRD FEEDER</x:v>
      </x:c>
      <x:c r="E3260" s="11" t="n">
        <x:v>498.03</x:v>
      </x:c>
      <x:c r="F3260" s="11" t="n">
        <x:v>8.25</x:v>
      </x:c>
      <x:c r="G3260" s="11" t="n">
        <x:v>489.78</x:v>
      </x:c>
      <x:c r="H3260" s="23" t="n">
        <x:v>0.00002425422516698839</x:v>
      </x:c>
      <x:c r="I3260" s="23" t="n">
        <x:v>0.986923040229478</x:v>
      </x:c>
      <x:c r="J3260" s="2" t="n">
        <x:v>27</x:v>
      </x:c>
      <x:c r="K3260" s="2"/>
      <x:c r="L3260" s="2"/>
    </x:row>
    <x:row r="3261" ht="22" customHeight="1">
      <x:c r="A3261" s="2"/>
      <x:c r="B3261" s="2" t="n">
        <x:v>3228</x:v>
      </x:c>
      <x:c r="C3261" s="2" t="str">
        <x:v>23045</x:v>
      </x:c>
      <x:c r="D3261" s="2" t="str">
        <x:v>PAPER LANTERN 5 POINT STAR MOON </x:v>
      </x:c>
      <x:c r="E3261" s="11" t="n">
        <x:v>497.9800000000001</x:v>
      </x:c>
      <x:c r="F3261" s="11" t="n">
        <x:v>83</x:v>
      </x:c>
      <x:c r="G3261" s="11" t="n">
        <x:v>414.9800000000001</x:v>
      </x:c>
      <x:c r="H3261" s="23" t="n">
        <x:v>0.000024251790150506757</x:v>
      </x:c>
      <x:c r="I3261" s="23" t="n">
        <x:v>0.9869472920196285</x:v>
      </x:c>
      <x:c r="J3261" s="2" t="n">
        <x:v>25</x:v>
      </x:c>
      <x:c r="K3261" s="2"/>
      <x:c r="L3261" s="2"/>
    </x:row>
    <x:row r="3262" ht="22" customHeight="1">
      <x:c r="A3262" s="2"/>
      <x:c r="B3262" s="2" t="n">
        <x:v>3229</x:v>
      </x:c>
      <x:c r="C3262" s="2" t="str">
        <x:v>35600D</x:v>
      </x:c>
      <x:c r="D3262" s="2" t="str">
        <x:v>PINK AND WHITE CHRISTMAS TREE 180CM</x:v>
      </x:c>
      <x:c r="E3262" s="11" t="n">
        <x:v>497.70000000000005</x:v>
      </x:c>
      <x:c r="F3262" s="11" t="n">
        <x:v>0</x:v>
      </x:c>
      <x:c r="G3262" s="11" t="n">
        <x:v>497.70000000000005</x:v>
      </x:c>
      <x:c r="H3262" s="23" t="n">
        <x:v>0.00002423815405820959</x:v>
      </x:c>
      <x:c r="I3262" s="23" t="n">
        <x:v>0.9869715301736867</x:v>
      </x:c>
      <x:c r="J3262" s="2" t="n">
        <x:v>13</x:v>
      </x:c>
      <x:c r="K3262" s="2"/>
      <x:c r="L3262" s="2"/>
    </x:row>
    <x:row r="3263" ht="22" customHeight="1">
      <x:c r="A3263" s="2"/>
      <x:c r="B3263" s="2" t="n">
        <x:v>3230</x:v>
      </x:c>
      <x:c r="C3263" s="2" t="str">
        <x:v>85230A</x:v>
      </x:c>
      <x:c r="D3263" s="2" t="str">
        <x:v>OPIUM SCENTED VOTIVE CANDLE</x:v>
      </x:c>
      <x:c r="E3263" s="11" t="n">
        <x:v>497.03999999999996</x:v>
      </x:c>
      <x:c r="F3263" s="11" t="n">
        <x:v>0</x:v>
      </x:c>
      <x:c r="G3263" s="11" t="n">
        <x:v>497.03999999999996</x:v>
      </x:c>
      <x:c r="H3263" s="23" t="n">
        <x:v>0.000024206011840651986</x:v>
      </x:c>
      <x:c r="I3263" s="23" t="n">
        <x:v>0.9869957361855273</x:v>
      </x:c>
      <x:c r="J3263" s="2" t="n">
        <x:v>48</x:v>
      </x:c>
      <x:c r="K3263" s="2"/>
      <x:c r="L3263" s="2"/>
    </x:row>
    <x:row r="3264" ht="22" customHeight="1">
      <x:c r="A3264" s="2"/>
      <x:c r="B3264" s="2" t="n">
        <x:v>3231</x:v>
      </x:c>
      <x:c r="C3264" s="2" t="str">
        <x:v>22031</x:v>
      </x:c>
      <x:c r="D3264" s="2" t="str">
        <x:v>BOTANICAL LAVENDER BIRTHDAY CARD</x:v>
      </x:c>
      <x:c r="E3264" s="11" t="n">
        <x:v>493.99</x:v>
      </x:c>
      <x:c r="F3264" s="11" t="n">
        <x:v>5.04</x:v>
      </x:c>
      <x:c r="G3264" s="11" t="n">
        <x:v>488.95</x:v>
      </x:c>
      <x:c r="H3264" s="23" t="n">
        <x:v>0.000024057475835272162</x:v>
      </x:c>
      <x:c r="I3264" s="23" t="n">
        <x:v>0.9870197936613625</x:v>
      </x:c>
      <x:c r="J3264" s="2" t="n">
        <x:v>142</x:v>
      </x:c>
      <x:c r="K3264" s="2"/>
      <x:c r="L3264" s="2"/>
    </x:row>
    <x:row r="3265" ht="22" customHeight="1">
      <x:c r="A3265" s="2"/>
      <x:c r="B3265" s="2" t="n">
        <x:v>3232</x:v>
      </x:c>
      <x:c r="C3265" s="2" t="str">
        <x:v>84798B</x:v>
      </x:c>
      <x:c r="D3265" s="2" t="str">
        <x:v>PURPLE FOXGLOVE ARTIIFCIAL FLOWER</x:v>
      </x:c>
      <x:c r="E3265" s="11" t="n">
        <x:v>492.90000000000003</x:v>
      </x:c>
      <x:c r="F3265" s="11" t="n">
        <x:v>10.2</x:v>
      </x:c>
      <x:c r="G3265" s="11" t="n">
        <x:v>482.70000000000005</x:v>
      </x:c>
      <x:c r="H3265" s="23" t="n">
        <x:v>0.000024004392475972487</x:v>
      </x:c>
      <x:c r="I3265" s="23" t="n">
        <x:v>0.9870437980538385</x:v>
      </x:c>
      <x:c r="J3265" s="2" t="n">
        <x:v>10</x:v>
      </x:c>
      <x:c r="K3265" s="2"/>
      <x:c r="L3265" s="2"/>
    </x:row>
    <x:row r="3266" ht="22" customHeight="1">
      <x:c r="A3266" s="2"/>
      <x:c r="B3266" s="2" t="n">
        <x:v>3233</x:v>
      </x:c>
      <x:c r="C3266" s="2" t="str">
        <x:v>16239</x:v>
      </x:c>
      <x:c r="D3266" s="2" t="str">
        <x:v>BALLERINA HEART DECORATION.</x:v>
      </x:c>
      <x:c r="E3266" s="11" t="n">
        <x:v>492.17</x:v>
      </x:c>
      <x:c r="F3266" s="11" t="n">
        <x:v>0</x:v>
      </x:c>
      <x:c r="G3266" s="11" t="n">
        <x:v>492.17</x:v>
      </x:c>
      <x:c r="H3266" s="23" t="n">
        <x:v>0.000023968841235340595</x:v>
      </x:c>
      <x:c r="I3266" s="23" t="n">
        <x:v>0.9870677668950738</x:v>
      </x:c>
      <x:c r="J3266" s="2" t="n">
        <x:v>21</x:v>
      </x:c>
      <x:c r="K3266" s="2"/>
      <x:c r="L3266" s="2"/>
    </x:row>
    <x:row r="3267" ht="22" customHeight="1">
      <x:c r="A3267" s="2"/>
      <x:c r="B3267" s="2" t="n">
        <x:v>3234</x:v>
      </x:c>
      <x:c r="C3267" s="2" t="str">
        <x:v>85014b</x:v>
      </x:c>
      <x:c r="D3267" s="2" t="str">
        <x:v>RED RETROSPOT UMBRELLA</x:v>
      </x:c>
      <x:c r="E3267" s="11" t="n">
        <x:v>491.42</x:v>
      </x:c>
      <x:c r="F3267" s="11" t="n">
        <x:v>0</x:v>
      </x:c>
      <x:c r="G3267" s="11" t="n">
        <x:v>491.42</x:v>
      </x:c>
      <x:c r="H3267" s="23" t="n">
        <x:v>0.000023932315988116048</x:v>
      </x:c>
      <x:c r="I3267" s="23" t="n">
        <x:v>0.9870916992110619</x:v>
      </x:c>
      <x:c r="J3267" s="2" t="n">
        <x:v>35</x:v>
      </x:c>
      <x:c r="K3267" s="2"/>
      <x:c r="L3267" s="2"/>
    </x:row>
    <x:row r="3268" ht="22" customHeight="1">
      <x:c r="A3268" s="2"/>
      <x:c r="B3268" s="2" t="n">
        <x:v>3235</x:v>
      </x:c>
      <x:c r="C3268" s="2" t="str">
        <x:v>84827</x:v>
      </x:c>
      <x:c r="D3268" s="2" t="str">
        <x:v>ASS DES PHONE SPONGE CRAFT STICKER</x:v>
      </x:c>
      <x:c r="E3268" s="11" t="n">
        <x:v>491.09</x:v>
      </x:c>
      <x:c r="F3268" s="11" t="n">
        <x:v>0</x:v>
      </x:c>
      <x:c r="G3268" s="11" t="n">
        <x:v>491.09</x:v>
      </x:c>
      <x:c r="H3268" s="23" t="n">
        <x:v>0.000023916244879337246</x:v>
      </x:c>
      <x:c r="I3268" s="23" t="n">
        <x:v>0.9871156154559412</x:v>
      </x:c>
      <x:c r="J3268" s="2" t="n">
        <x:v>29</x:v>
      </x:c>
      <x:c r="K3268" s="2"/>
      <x:c r="L3268" s="2"/>
    </x:row>
    <x:row r="3269" ht="22" customHeight="1">
      <x:c r="A3269" s="2"/>
      <x:c r="B3269" s="2" t="n">
        <x:v>3236</x:v>
      </x:c>
      <x:c r="C3269" s="2" t="str">
        <x:v>90160B</x:v>
      </x:c>
      <x:c r="D3269" s="2" t="str">
        <x:v>RED BOUDICCA LARGE BRACELET</x:v>
      </x:c>
      <x:c r="E3269" s="11" t="n">
        <x:v>490.92</x:v>
      </x:c>
      <x:c r="F3269" s="11" t="n">
        <x:v>0</x:v>
      </x:c>
      <x:c r="G3269" s="11" t="n">
        <x:v>490.92</x:v>
      </x:c>
      <x:c r="H3269" s="23" t="n">
        <x:v>0.000023907965823299683</x:v>
      </x:c>
      <x:c r="I3269" s="23" t="n">
        <x:v>0.9871395234217645</x:v>
      </x:c>
      <x:c r="J3269" s="2" t="n">
        <x:v>29</x:v>
      </x:c>
      <x:c r="K3269" s="2"/>
      <x:c r="L3269" s="2"/>
    </x:row>
    <x:row r="3270" ht="22" customHeight="1">
      <x:c r="A3270" s="2"/>
      <x:c r="B3270" s="2" t="n">
        <x:v>3237</x:v>
      </x:c>
      <x:c r="C3270" s="2" t="str">
        <x:v>84876B</x:v>
      </x:c>
      <x:c r="D3270" s="2" t="str">
        <x:v>found</x:v>
      </x:c>
      <x:c r="E3270" s="11" t="n">
        <x:v>490.81</x:v>
      </x:c>
      <x:c r="F3270" s="11" t="n">
        <x:v>0</x:v>
      </x:c>
      <x:c r="G3270" s="11" t="n">
        <x:v>490.81</x:v>
      </x:c>
      <x:c r="H3270" s="23" t="n">
        <x:v>0.000023902608787040083</x:v>
      </x:c>
      <x:c r="I3270" s="23" t="n">
        <x:v>0.9871634260305515</x:v>
      </x:c>
      <x:c r="J3270" s="2" t="n">
        <x:v>40</x:v>
      </x:c>
      <x:c r="K3270" s="2"/>
      <x:c r="L3270" s="2"/>
    </x:row>
    <x:row r="3271" ht="22" customHeight="1">
      <x:c r="A3271" s="2"/>
      <x:c r="B3271" s="2" t="n">
        <x:v>3238</x:v>
      </x:c>
      <x:c r="C3271" s="2" t="str">
        <x:v>35967</x:v>
      </x:c>
      <x:c r="D3271" s="2" t="str">
        <x:v>FOLK ART METAL STAR T-LIGHT HOLDER</x:v>
      </x:c>
      <x:c r="E3271" s="11" t="n">
        <x:v>488.51</x:v>
      </x:c>
      <x:c r="F3271" s="11" t="n">
        <x:v>0.38</x:v>
      </x:c>
      <x:c r="G3271" s="11" t="n">
        <x:v>488.13</x:v>
      </x:c>
      <x:c r="H3271" s="23" t="n">
        <x:v>0.000023790598028884803</x:v>
      </x:c>
      <x:c r="I3271" s="23" t="n">
        <x:v>0.9871872166285804</x:v>
      </x:c>
      <x:c r="J3271" s="2" t="n">
        <x:v>112</x:v>
      </x:c>
      <x:c r="K3271" s="2"/>
      <x:c r="L3271" s="2"/>
    </x:row>
    <x:row r="3272" ht="22" customHeight="1">
      <x:c r="A3272" s="2"/>
      <x:c r="B3272" s="2" t="n">
        <x:v>3239</x:v>
      </x:c>
      <x:c r="C3272" s="2" t="str">
        <x:v>21663</x:v>
      </x:c>
      <x:c r="D3272" s="2" t="str">
        <x:v>VINTAGE GLASS SUGAR CADDY</x:v>
      </x:c>
      <x:c r="E3272" s="11" t="n">
        <x:v>488.16</x:v>
      </x:c>
      <x:c r="F3272" s="11" t="n">
        <x:v>41.65</x:v>
      </x:c>
      <x:c r="G3272" s="11" t="n">
        <x:v>446.51000000000005</x:v>
      </x:c>
      <x:c r="H3272" s="23" t="n">
        <x:v>0.00002377355291351335</x:v>
      </x:c>
      <x:c r="I3272" s="23" t="n">
        <x:v>0.9872109901814939</x:v>
      </x:c>
      <x:c r="J3272" s="2" t="n">
        <x:v>32</x:v>
      </x:c>
      <x:c r="K3272" s="2"/>
      <x:c r="L3272" s="2"/>
    </x:row>
    <x:row r="3273" ht="22" customHeight="1">
      <x:c r="A3273" s="2"/>
      <x:c r="B3273" s="2" t="n">
        <x:v>3240</x:v>
      </x:c>
      <x:c r="C3273" s="2" t="str">
        <x:v>51020B</x:v>
      </x:c>
      <x:c r="D3273" s="2" t="str">
        <x:v>adjust</x:v>
      </x:c>
      <x:c r="E3273" s="11" t="n">
        <x:v>488.11999999999995</x:v>
      </x:c>
      <x:c r="F3273" s="11" t="n">
        <x:v>0.58</x:v>
      </x:c>
      <x:c r="G3273" s="11" t="n">
        <x:v>487.53999999999996</x:v>
      </x:c>
      <x:c r="H3273" s="23" t="n">
        <x:v>0.000023771604900328035</x:v>
      </x:c>
      <x:c r="I3273" s="23" t="n">
        <x:v>0.9872347617863942</x:v>
      </x:c>
      <x:c r="J3273" s="2" t="n">
        <x:v>60</x:v>
      </x:c>
      <x:c r="K3273" s="2"/>
      <x:c r="L3273" s="2"/>
    </x:row>
    <x:row r="3274" ht="22" customHeight="1">
      <x:c r="A3274" s="2"/>
      <x:c r="B3274" s="2" t="n">
        <x:v>3241</x:v>
      </x:c>
      <x:c r="C3274" s="2" t="str">
        <x:v>84970l</x:v>
      </x:c>
      <x:c r="D3274" s="2" t="str">
        <x:v>SINGLE HEART ZINC T-LIGHT HOLDER</x:v>
      </x:c>
      <x:c r="E3274" s="11" t="n">
        <x:v>487.14</x:v>
      </x:c>
      <x:c r="F3274" s="11" t="n">
        <x:v>0</x:v>
      </x:c>
      <x:c r="G3274" s="11" t="n">
        <x:v>487.14</x:v>
      </x:c>
      <x:c r="H3274" s="23" t="n">
        <x:v>0.00002372387857728796</x:v>
      </x:c>
      <x:c r="I3274" s="23" t="n">
        <x:v>0.9872584856649715</x:v>
      </x:c>
      <x:c r="J3274" s="2" t="n">
        <x:v>65</x:v>
      </x:c>
      <x:c r="K3274" s="2"/>
      <x:c r="L3274" s="2"/>
    </x:row>
    <x:row r="3275" ht="22" customHeight="1">
      <x:c r="A3275" s="2"/>
      <x:c r="B3275" s="2" t="n">
        <x:v>3242</x:v>
      </x:c>
      <x:c r="C3275" s="2" t="str">
        <x:v>22259</x:v>
      </x:c>
      <x:c r="D3275" s="2" t="str">
        <x:v>FELT FARM ANIMAL HEN</x:v>
      </x:c>
      <x:c r="E3275" s="11" t="n">
        <x:v>485.45</x:v>
      </x:c>
      <x:c r="F3275" s="11" t="n">
        <x:v>3.75</x:v>
      </x:c>
      <x:c r="G3275" s="11" t="n">
        <x:v>481.7</x:v>
      </x:c>
      <x:c r="H3275" s="23" t="n">
        <x:v>0.00002364157502020865</x:v>
      </x:c>
      <x:c r="I3275" s="23" t="n">
        <x:v>0.9872821272399918</x:v>
      </x:c>
      <x:c r="J3275" s="2" t="n">
        <x:v>72</x:v>
      </x:c>
      <x:c r="K3275" s="2"/>
      <x:c r="L3275" s="2"/>
    </x:row>
    <x:row r="3276" ht="22" customHeight="1">
      <x:c r="A3276" s="2"/>
      <x:c r="B3276" s="2" t="n">
        <x:v>3243</x:v>
      </x:c>
      <x:c r="C3276" s="2" t="str">
        <x:v>84875D</x:v>
      </x:c>
      <x:c r="D3276" s="2" t="str">
        <x:v>BLUE SQUARE COMPACT MIRROR</x:v>
      </x:c>
      <x:c r="E3276" s="11" t="n">
        <x:v>483.75</x:v>
      </x:c>
      <x:c r="F3276" s="11" t="n">
        <x:v>0</x:v>
      </x:c>
      <x:c r="G3276" s="11" t="n">
        <x:v>483.75</x:v>
      </x:c>
      <x:c r="H3276" s="23" t="n">
        <x:v>0.00002355878445983301</x:v>
      </x:c>
      <x:c r="I3276" s="23" t="n">
        <x:v>0.9873056860244516</x:v>
      </x:c>
      <x:c r="J3276" s="2" t="n">
        <x:v>37</x:v>
      </x:c>
      <x:c r="K3276" s="2"/>
      <x:c r="L3276" s="2"/>
    </x:row>
    <x:row r="3277" ht="22" customHeight="1">
      <x:c r="A3277" s="2"/>
      <x:c r="B3277" s="2" t="n">
        <x:v>3244</x:v>
      </x:c>
      <x:c r="C3277" s="2" t="str">
        <x:v>23218</x:v>
      </x:c>
      <x:c r="D3277" s="2" t="str">
        <x:v>LAUREL STAR ANTIQUE GOLD</x:v>
      </x:c>
      <x:c r="E3277" s="11" t="n">
        <x:v>483.03</x:v>
      </x:c>
      <x:c r="F3277" s="11" t="n">
        <x:v>0</x:v>
      </x:c>
      <x:c r="G3277" s="11" t="n">
        <x:v>483.03</x:v>
      </x:c>
      <x:c r="H3277" s="23" t="n">
        <x:v>0.000023523720222497443</x:v>
      </x:c>
      <x:c r="I3277" s="23" t="n">
        <x:v>0.9873292097446741</x:v>
      </x:c>
      <x:c r="J3277" s="2" t="n">
        <x:v>40</x:v>
      </x:c>
      <x:c r="K3277" s="2"/>
      <x:c r="L3277" s="2"/>
    </x:row>
    <x:row r="3278" ht="22" customHeight="1">
      <x:c r="A3278" s="2"/>
      <x:c r="B3278" s="2" t="n">
        <x:v>3245</x:v>
      </x:c>
      <x:c r="C3278" s="2" t="str">
        <x:v>84901</x:v>
      </x:c>
      <x:c r="D3278" s="2" t="str">
        <x:v>BLACK FACE LAMB WITH PANTS</x:v>
      </x:c>
      <x:c r="E3278" s="11" t="n">
        <x:v>482.38</x:v>
      </x:c>
      <x:c r="F3278" s="11" t="n">
        <x:v>0</x:v>
      </x:c>
      <x:c r="G3278" s="11" t="n">
        <x:v>482.38</x:v>
      </x:c>
      <x:c r="H3278" s="23" t="n">
        <x:v>0.000023492065008236168</x:v>
      </x:c>
      <x:c r="I3278" s="23" t="n">
        <x:v>0.9873527018096824</x:v>
      </x:c>
      <x:c r="J3278" s="2" t="n">
        <x:v>74</x:v>
      </x:c>
      <x:c r="K3278" s="2"/>
      <x:c r="L3278" s="2"/>
    </x:row>
    <x:row r="3279" ht="22" customHeight="1">
      <x:c r="A3279" s="2"/>
      <x:c r="B3279" s="2" t="n">
        <x:v>3246</x:v>
      </x:c>
      <x:c r="C3279" s="2" t="str">
        <x:v>84926E</x:v>
      </x:c>
      <x:c r="D3279" s="2" t="str">
        <x:v>FLOWERS TILE COASTER</x:v>
      </x:c>
      <x:c r="E3279" s="11" t="n">
        <x:v>482.28</x:v>
      </x:c>
      <x:c r="F3279" s="11" t="n">
        <x:v>0</x:v>
      </x:c>
      <x:c r="G3279" s="11" t="n">
        <x:v>482.28</x:v>
      </x:c>
      <x:c r="H3279" s="23" t="n">
        <x:v>0.000023487194975272897</x:v>
      </x:c>
      <x:c r="I3279" s="23" t="n">
        <x:v>0.9873761890046576</x:v>
      </x:c>
      <x:c r="J3279" s="2" t="n">
        <x:v>52</x:v>
      </x:c>
      <x:c r="K3279" s="2"/>
      <x:c r="L3279" s="2"/>
    </x:row>
    <x:row r="3280" ht="22" customHeight="1">
      <x:c r="A3280" s="2"/>
      <x:c r="B3280" s="2" t="n">
        <x:v>3247</x:v>
      </x:c>
      <x:c r="C3280" s="2" t="str">
        <x:v>23691</x:v>
      </x:c>
      <x:c r="D3280" s="2" t="str">
        <x:v>WRAP KEEP CALM BIRTHDAY</x:v>
      </x:c>
      <x:c r="E3280" s="11" t="n">
        <x:v>481.5</x:v>
      </x:c>
      <x:c r="F3280" s="11" t="n">
        <x:v>0</x:v>
      </x:c>
      <x:c r="G3280" s="11" t="n">
        <x:v>481.5</x:v>
      </x:c>
      <x:c r="H3280" s="23" t="n">
        <x:v>0.00002344920871815937</x:v>
      </x:c>
      <x:c r="I3280" s="23" t="n">
        <x:v>0.9873996382133757</x:v>
      </x:c>
      <x:c r="J3280" s="2" t="n">
        <x:v>38</x:v>
      </x:c>
      <x:c r="K3280" s="2"/>
      <x:c r="L3280" s="2"/>
    </x:row>
    <x:row r="3281" ht="22" customHeight="1">
      <x:c r="A3281" s="2"/>
      <x:c r="B3281" s="2" t="n">
        <x:v>3248</x:v>
      </x:c>
      <x:c r="C3281" s="2" t="str">
        <x:v>22038</x:v>
      </x:c>
      <x:c r="D3281" s="2" t="str">
        <x:v>BOTANICAL LAVENDER GIFT WRAP </x:v>
      </x:c>
      <x:c r="E3281" s="11" t="n">
        <x:v>481</x:v>
      </x:c>
      <x:c r="F3281" s="11" t="n">
        <x:v>0</x:v>
      </x:c>
      <x:c r="G3281" s="11" t="n">
        <x:v>481</x:v>
      </x:c>
      <x:c r="H3281" s="23" t="n">
        <x:v>0.000023424858553343004</x:v>
      </x:c>
      <x:c r="I3281" s="23" t="n">
        <x:v>0.9874230630719291</x:v>
      </x:c>
      <x:c r="J3281" s="2" t="n">
        <x:v>45</x:v>
      </x:c>
      <x:c r="K3281" s="2"/>
      <x:c r="L3281" s="2"/>
    </x:row>
    <x:row r="3282" ht="22" customHeight="1">
      <x:c r="A3282" s="2"/>
      <x:c r="B3282" s="2" t="n">
        <x:v>3249</x:v>
      </x:c>
      <x:c r="C3282" s="2" t="str">
        <x:v>21132</x:v>
      </x:c>
      <x:c r="D3282" s="2" t="str">
        <x:v>SILVER STANDING GNOME   </x:v>
      </x:c>
      <x:c r="E3282" s="11" t="n">
        <x:v>480.86</x:v>
      </x:c>
      <x:c r="F3282" s="11" t="n">
        <x:v>0</x:v>
      </x:c>
      <x:c r="G3282" s="11" t="n">
        <x:v>480.86</x:v>
      </x:c>
      <x:c r="H3282" s="23" t="n">
        <x:v>0.000023418040507194423</x:v>
      </x:c>
      <x:c r="I3282" s="23" t="n">
        <x:v>0.9874464811124363</x:v>
      </x:c>
      <x:c r="J3282" s="2" t="n">
        <x:v>47</x:v>
      </x:c>
      <x:c r="K3282" s="2"/>
      <x:c r="L3282" s="2"/>
    </x:row>
    <x:row r="3283" ht="22" customHeight="1">
      <x:c r="A3283" s="2"/>
      <x:c r="B3283" s="2" t="n">
        <x:v>3250</x:v>
      </x:c>
      <x:c r="C3283" s="2" t="str">
        <x:v>16244A</x:v>
      </x:c>
      <x:c r="D3283" s="2" t="str">
        <x:v>MAXWELL 2 TONE PINK 60 PAGE PHOTO A</x:v>
      </x:c>
      <x:c r="E3283" s="11" t="n">
        <x:v>479.40999999999997</x:v>
      </x:c>
      <x:c r="F3283" s="11" t="n">
        <x:v>0</x:v>
      </x:c>
      <x:c r="G3283" s="11" t="n">
        <x:v>479.40999999999997</x:v>
      </x:c>
      <x:c r="H3283" s="23" t="n">
        <x:v>0.00002334742502922696</x:v>
      </x:c>
      <x:c r="I3283" s="23" t="n">
        <x:v>0.9874698285374655</x:v>
      </x:c>
      <x:c r="J3283" s="2" t="n">
        <x:v>28</x:v>
      </x:c>
      <x:c r="K3283" s="2"/>
      <x:c r="L3283" s="2"/>
    </x:row>
    <x:row r="3284" ht="22" customHeight="1">
      <x:c r="A3284" s="2"/>
      <x:c r="B3284" s="2" t="n">
        <x:v>3251</x:v>
      </x:c>
      <x:c r="C3284" s="2" t="str">
        <x:v>21536</x:v>
      </x:c>
      <x:c r="D3284" s="2" t="str">
        <x:v>DAIRY MAID  SMALL  MILK JUG</x:v>
      </x:c>
      <x:c r="E3284" s="11" t="n">
        <x:v>478.94000000000005</x:v>
      </x:c>
      <x:c r="F3284" s="11" t="n">
        <x:v>14.700000000000001</x:v>
      </x:c>
      <x:c r="G3284" s="11" t="n">
        <x:v>464.24</x:v>
      </x:c>
      <x:c r="H3284" s="23" t="n">
        <x:v>0.00002332453587429958</x:v>
      </x:c>
      <x:c r="I3284" s="23" t="n">
        <x:v>0.9874931530733397</x:v>
      </x:c>
      <x:c r="J3284" s="2" t="n">
        <x:v>61</x:v>
      </x:c>
      <x:c r="K3284" s="2"/>
      <x:c r="L3284" s="2"/>
    </x:row>
    <x:row r="3285" ht="22" customHeight="1">
      <x:c r="A3285" s="2"/>
      <x:c r="B3285" s="2" t="n">
        <x:v>3252</x:v>
      </x:c>
      <x:c r="C3285" s="2" t="str">
        <x:v>23422</x:v>
      </x:c>
      <x:c r="D3285" s="2" t="str">
        <x:v>PANTRY HOOK BALLOON WHISK </x:v>
      </x:c>
      <x:c r="E3285" s="11" t="n">
        <x:v>477.89</x:v>
      </x:c>
      <x:c r="F3285" s="11" t="n">
        <x:v>0</x:v>
      </x:c>
      <x:c r="G3285" s="11" t="n">
        <x:v>477.89</x:v>
      </x:c>
      <x:c r="H3285" s="23" t="n">
        <x:v>0.000023273400528185212</x:v>
      </x:c>
      <x:c r="I3285" s="23" t="n">
        <x:v>0.987516426473868</x:v>
      </x:c>
      <x:c r="J3285" s="2" t="n">
        <x:v>47</x:v>
      </x:c>
      <x:c r="K3285" s="2"/>
      <x:c r="L3285" s="2"/>
    </x:row>
    <x:row r="3286" ht="22" customHeight="1">
      <x:c r="A3286" s="2"/>
      <x:c r="B3286" s="2" t="n">
        <x:v>3253</x:v>
      </x:c>
      <x:c r="C3286" s="2" t="str">
        <x:v>37492C</x:v>
      </x:c>
      <x:c r="D3286" s="2" t="str">
        <x:v>GREEN BLUE FLOWER PIGGY BANK</x:v>
      </x:c>
      <x:c r="E3286" s="11" t="n">
        <x:v>477.29999999999995</x:v>
      </x:c>
      <x:c r="F3286" s="11" t="n">
        <x:v>4.65</x:v>
      </x:c>
      <x:c r="G3286" s="11" t="n">
        <x:v>472.65</x:v>
      </x:c>
      <x:c r="H3286" s="23" t="n">
        <x:v>0.000023244667333701902</x:v>
      </x:c>
      <x:c r="I3286" s="23" t="n">
        <x:v>0.9875396711412017</x:v>
      </x:c>
      <x:c r="J3286" s="2" t="n">
        <x:v>24</x:v>
      </x:c>
      <x:c r="K3286" s="2"/>
      <x:c r="L3286" s="2"/>
    </x:row>
    <x:row r="3287" ht="22" customHeight="1">
      <x:c r="A3287" s="2"/>
      <x:c r="B3287" s="2" t="n">
        <x:v>3254</x:v>
      </x:c>
      <x:c r="C3287" s="2" t="str">
        <x:v>72750C</x:v>
      </x:c>
      <x:c r="D3287" s="2" t="str">
        <x:v>F.FAIRY S/3 CANDLE/GLASS, ROSE</x:v>
      </x:c>
      <x:c r="E3287" s="11" t="n">
        <x:v>476.4</x:v>
      </x:c>
      <x:c r="F3287" s="11" t="n">
        <x:v>0</x:v>
      </x:c>
      <x:c r="G3287" s="11" t="n">
        <x:v>476.4</x:v>
      </x:c>
      <x:c r="H3287" s="23" t="n">
        <x:v>0.000023200837037032444</x:v>
      </x:c>
      <x:c r="I3287" s="23" t="n">
        <x:v>0.9875628719782387</x:v>
      </x:c>
      <x:c r="J3287" s="2" t="n">
        <x:v>15</x:v>
      </x:c>
      <x:c r="K3287" s="2"/>
      <x:c r="L3287" s="2"/>
    </x:row>
    <x:row r="3288" ht="22" customHeight="1">
      <x:c r="A3288" s="2"/>
      <x:c r="B3288" s="2" t="n">
        <x:v>3255</x:v>
      </x:c>
      <x:c r="C3288" s="2" t="str">
        <x:v>23561</x:v>
      </x:c>
      <x:c r="D3288" s="2" t="str">
        <x:v>SET OF 6 RIBBONS PARTY</x:v>
      </x:c>
      <x:c r="E3288" s="11" t="n">
        <x:v>476</x:v>
      </x:c>
      <x:c r="F3288" s="11" t="n">
        <x:v>0</x:v>
      </x:c>
      <x:c r="G3288" s="11" t="n">
        <x:v>476</x:v>
      </x:c>
      <x:c r="H3288" s="23" t="n">
        <x:v>0.000023181356905179355</x:v>
      </x:c>
      <x:c r="I3288" s="23" t="n">
        <x:v>0.9875860533351438</x:v>
      </x:c>
      <x:c r="J3288" s="2" t="n">
        <x:v>16</x:v>
      </x:c>
      <x:c r="K3288" s="2"/>
      <x:c r="L3288" s="2"/>
    </x:row>
    <x:row r="3289" ht="22" customHeight="1">
      <x:c r="A3289" s="2"/>
      <x:c r="B3289" s="2" t="n">
        <x:v>3256</x:v>
      </x:c>
      <x:c r="C3289" s="2" t="str">
        <x:v>85170B</x:v>
      </x:c>
      <x:c r="D3289" s="2" t="str">
        <x:v>SET/6 BLACK BIRD T-LIGHT CANDLES</x:v>
      </x:c>
      <x:c r="E3289" s="11" t="n">
        <x:v>475.91</x:v>
      </x:c>
      <x:c r="F3289" s="11" t="n">
        <x:v>16.8</x:v>
      </x:c>
      <x:c r="G3289" s="11" t="n">
        <x:v>459.11</x:v>
      </x:c>
      <x:c r="H3289" s="23" t="n">
        <x:v>0.00002317697387551241</x:v>
      </x:c>
      <x:c r="I3289" s="23" t="n">
        <x:v>0.9876092303090194</x:v>
      </x:c>
      <x:c r="J3289" s="2" t="n">
        <x:v>58</x:v>
      </x:c>
      <x:c r="K3289" s="2"/>
      <x:c r="L3289" s="2"/>
    </x:row>
    <x:row r="3290" ht="22" customHeight="1">
      <x:c r="A3290" s="2"/>
      <x:c r="B3290" s="2" t="n">
        <x:v>3257</x:v>
      </x:c>
      <x:c r="C3290" s="2" t="str">
        <x:v>85109</x:v>
      </x:c>
      <x:c r="D3290" s="2" t="str">
        <x:v>PINK BOUDOIR T-LIGHT HOLDER</x:v>
      </x:c>
      <x:c r="E3290" s="11" t="n">
        <x:v>475.43</x:v>
      </x:c>
      <x:c r="F3290" s="11" t="n">
        <x:v>131.04000000000002</x:v>
      </x:c>
      <x:c r="G3290" s="11" t="n">
        <x:v>344.39</x:v>
      </x:c>
      <x:c r="H3290" s="23" t="n">
        <x:v>0.0000231535977172887</x:v>
      </x:c>
      <x:c r="I3290" s="23" t="n">
        <x:v>0.9876323839067367</x:v>
      </x:c>
      <x:c r="J3290" s="2" t="n">
        <x:v>20</x:v>
      </x:c>
      <x:c r="K3290" s="2"/>
      <x:c r="L3290" s="2"/>
    </x:row>
    <x:row r="3291" ht="22" customHeight="1">
      <x:c r="A3291" s="2"/>
      <x:c r="B3291" s="2" t="n">
        <x:v>3258</x:v>
      </x:c>
      <x:c r="C3291" s="2" t="str">
        <x:v>47422</x:v>
      </x:c>
      <x:c r="D3291" s="2" t="str">
        <x:v>ASSORTED MONKEY SUCTION CUP HOOK</x:v>
      </x:c>
      <x:c r="E3291" s="11" t="n">
        <x:v>475.14</x:v>
      </x:c>
      <x:c r="F3291" s="11" t="n">
        <x:v>20.580000000000002</x:v>
      </x:c>
      <x:c r="G3291" s="11" t="n">
        <x:v>454.56</x:v>
      </x:c>
      <x:c r="H3291" s="23" t="n">
        <x:v>0.000023139474621695207</x:v>
      </x:c>
      <x:c r="I3291" s="23" t="n">
        <x:v>0.9876555233813584</x:v>
      </x:c>
      <x:c r="J3291" s="2" t="n">
        <x:v>66</x:v>
      </x:c>
      <x:c r="K3291" s="2"/>
      <x:c r="L3291" s="2"/>
    </x:row>
    <x:row r="3292" ht="22" customHeight="1">
      <x:c r="A3292" s="2"/>
      <x:c r="B3292" s="2" t="n">
        <x:v>3259</x:v>
      </x:c>
      <x:c r="C3292" s="2" t="str">
        <x:v>84809A</x:v>
      </x:c>
      <x:c r="D3292" s="2" t="str">
        <x:v>WHITE CHRYSANTHEMUMS ART FLOWER</x:v>
      </x:c>
      <x:c r="E3292" s="11" t="n">
        <x:v>474.84000000000003</x:v>
      </x:c>
      <x:c r="F3292" s="11" t="n">
        <x:v>4.2</x:v>
      </x:c>
      <x:c r="G3292" s="11" t="n">
        <x:v>470.64000000000004</x:v>
      </x:c>
      <x:c r="H3292" s="23" t="n">
        <x:v>0.00002312486452280539</x:v>
      </x:c>
      <x:c r="I3292" s="23" t="n">
        <x:v>0.9876786482458813</x:v>
      </x:c>
      <x:c r="J3292" s="2" t="n">
        <x:v>21</x:v>
      </x:c>
      <x:c r="K3292" s="2"/>
      <x:c r="L3292" s="2"/>
    </x:row>
    <x:row r="3293" ht="22" customHeight="1">
      <x:c r="A3293" s="2"/>
      <x:c r="B3293" s="2" t="n">
        <x:v>3260</x:v>
      </x:c>
      <x:c r="C3293" s="2" t="str">
        <x:v>21518</x:v>
      </x:c>
      <x:c r="D3293" s="2" t="str">
        <x:v>BANK ACCOUNT  GREETING  CARD </x:v>
      </x:c>
      <x:c r="E3293" s="11" t="n">
        <x:v>474.32</x:v>
      </x:c>
      <x:c r="F3293" s="11" t="n">
        <x:v>0</x:v>
      </x:c>
      <x:c r="G3293" s="11" t="n">
        <x:v>474.32</x:v>
      </x:c>
      <x:c r="H3293" s="23" t="n">
        <x:v>0.00002309954035139637</x:v>
      </x:c>
      <x:c r="I3293" s="23" t="n">
        <x:v>0.9877017477862327</x:v>
      </x:c>
      <x:c r="J3293" s="2" t="n">
        <x:v>109</x:v>
      </x:c>
      <x:c r="K3293" s="2"/>
      <x:c r="L3293" s="2"/>
    </x:row>
    <x:row r="3294" ht="22" customHeight="1">
      <x:c r="A3294" s="2"/>
      <x:c r="B3294" s="2" t="n">
        <x:v>3261</x:v>
      </x:c>
      <x:c r="C3294" s="2" t="str">
        <x:v>85136B</x:v>
      </x:c>
      <x:c r="D3294" s="2" t="str">
        <x:v>BLUE SHARK HELICOPTER</x:v>
      </x:c>
      <x:c r="E3294" s="11" t="n">
        <x:v>473.77000000000004</x:v>
      </x:c>
      <x:c r="F3294" s="11" t="n">
        <x:v>7.95</x:v>
      </x:c>
      <x:c r="G3294" s="11" t="n">
        <x:v>465.82</x:v>
      </x:c>
      <x:c r="H3294" s="23" t="n">
        <x:v>0.00002307275517009837</x:v>
      </x:c>
      <x:c r="I3294" s="23" t="n">
        <x:v>0.9877248205414028</x:v>
      </x:c>
      <x:c r="J3294" s="2" t="n">
        <x:v>47</x:v>
      </x:c>
      <x:c r="K3294" s="2"/>
      <x:c r="L3294" s="2"/>
    </x:row>
    <x:row r="3295" ht="22" customHeight="1">
      <x:c r="A3295" s="2"/>
      <x:c r="B3295" s="2" t="n">
        <x:v>3262</x:v>
      </x:c>
      <x:c r="C3295" s="2" t="str">
        <x:v>40046A</x:v>
      </x:c>
      <x:c r="D3295" s="2" t="str">
        <x:v>RED DAISY PAPER LAMPSHADE</x:v>
      </x:c>
      <x:c r="E3295" s="11" t="n">
        <x:v>472.07</x:v>
      </x:c>
      <x:c r="F3295" s="11" t="n">
        <x:v>0</x:v>
      </x:c>
      <x:c r="G3295" s="11" t="n">
        <x:v>472.07</x:v>
      </x:c>
      <x:c r="H3295" s="23" t="n">
        <x:v>0.000022989964609722725</x:v>
      </x:c>
      <x:c r="I3295" s="23" t="n">
        <x:v>0.9877478105060125</x:v>
      </x:c>
      <x:c r="J3295" s="2" t="n">
        <x:v>62</x:v>
      </x:c>
      <x:c r="K3295" s="2"/>
      <x:c r="L3295" s="2"/>
    </x:row>
    <x:row r="3296" ht="22" customHeight="1">
      <x:c r="A3296" s="2"/>
      <x:c r="B3296" s="2" t="n">
        <x:v>3263</x:v>
      </x:c>
      <x:c r="C3296" s="2" t="str">
        <x:v>20662</x:v>
      </x:c>
      <x:c r="D3296" s="2" t="str">
        <x:v>FIRST CLASS HOLIDAY PURSE </x:v>
      </x:c>
      <x:c r="E3296" s="11" t="n">
        <x:v>471.33000000000004</x:v>
      </x:c>
      <x:c r="F3296" s="11" t="n">
        <x:v>51.00000000000001</x:v>
      </x:c>
      <x:c r="G3296" s="11" t="n">
        <x:v>420.33000000000004</x:v>
      </x:c>
      <x:c r="H3296" s="23" t="n">
        <x:v>0.000022953926365794507</x:v>
      </x:c>
      <x:c r="I3296" s="23" t="n">
        <x:v>0.9877707644323782</x:v>
      </x:c>
      <x:c r="J3296" s="2" t="n">
        <x:v>49</x:v>
      </x:c>
      <x:c r="K3296" s="2"/>
      <x:c r="L3296" s="2"/>
    </x:row>
    <x:row r="3297" ht="22" customHeight="1">
      <x:c r="A3297" s="2"/>
      <x:c r="B3297" s="2" t="n">
        <x:v>3264</x:v>
      </x:c>
      <x:c r="C3297" s="2" t="str">
        <x:v>gift_0001_20</x:v>
      </x:c>
      <x:c r="D3297" s="2" t="str">
        <x:v>Dotcomgiftshop Gift Voucher £20.00</x:v>
      </x:c>
      <x:c r="E3297" s="11" t="n">
        <x:v>471.06</x:v>
      </x:c>
      <x:c r="F3297" s="11" t="n">
        <x:v>0</x:v>
      </x:c>
      <x:c r="G3297" s="11" t="n">
        <x:v>471.06</x:v>
      </x:c>
      <x:c r="H3297" s="23" t="n">
        <x:v>0.00002294077727679367</x:v>
      </x:c>
      <x:c r="I3297" s="23" t="n">
        <x:v>0.987793705209655</x:v>
      </x:c>
      <x:c r="J3297" s="2" t="n">
        <x:v>26</x:v>
      </x:c>
      <x:c r="K3297" s="2"/>
      <x:c r="L3297" s="2"/>
    </x:row>
    <x:row r="3298" ht="22" customHeight="1">
      <x:c r="A3298" s="2"/>
      <x:c r="B3298" s="2" t="n">
        <x:v>3265</x:v>
      </x:c>
      <x:c r="C3298" s="2" t="str">
        <x:v>90192</x:v>
      </x:c>
      <x:c r="D3298" s="2" t="str">
        <x:v>JADE DROP EARRINGS W FILIGREE</x:v>
      </x:c>
      <x:c r="E3298" s="11" t="n">
        <x:v>469.18</x:v>
      </x:c>
      <x:c r="F3298" s="11" t="n">
        <x:v>9.9</x:v>
      </x:c>
      <x:c r="G3298" s="11" t="n">
        <x:v>459.28000000000003</x:v>
      </x:c>
      <x:c r="H3298" s="23" t="n">
        <x:v>0.000022849220657084138</x:v>
      </x:c>
      <x:c r="I3298" s="23" t="n">
        <x:v>0.9878165544303121</x:v>
      </x:c>
      <x:c r="J3298" s="2" t="n">
        <x:v>53</x:v>
      </x:c>
      <x:c r="K3298" s="2"/>
      <x:c r="L3298" s="2"/>
    </x:row>
    <x:row r="3299" ht="22" customHeight="1">
      <x:c r="A3299" s="2"/>
      <x:c r="B3299" s="2" t="n">
        <x:v>3266</x:v>
      </x:c>
      <x:c r="C3299" s="2" t="str">
        <x:v>84948</x:v>
      </x:c>
      <x:c r="D3299" s="2" t="str">
        <x:v>SILVER HANGING T-LIGHT HOLDER DOME</x:v>
      </x:c>
      <x:c r="E3299" s="11" t="n">
        <x:v>469.10999999999996</x:v>
      </x:c>
      <x:c r="F3299" s="11" t="n">
        <x:v>6.6</x:v>
      </x:c>
      <x:c r="G3299" s="11" t="n">
        <x:v>462.50999999999993</x:v>
      </x:c>
      <x:c r="H3299" s="23" t="n">
        <x:v>0.000022845811634009844</x:v>
      </x:c>
      <x:c r="I3299" s="23" t="n">
        <x:v>0.9878394002419462</x:v>
      </x:c>
      <x:c r="J3299" s="2" t="n">
        <x:v>36</x:v>
      </x:c>
      <x:c r="K3299" s="2"/>
      <x:c r="L3299" s="2"/>
    </x:row>
    <x:row r="3300" ht="22" customHeight="1">
      <x:c r="A3300" s="2"/>
      <x:c r="B3300" s="2" t="n">
        <x:v>3267</x:v>
      </x:c>
      <x:c r="C3300" s="2" t="str">
        <x:v>79071B</x:v>
      </x:c>
      <x:c r="D3300" s="2" t="str">
        <x:v>ENGLISH ROSE METAL WASTE BIN</x:v>
      </x:c>
      <x:c r="E3300" s="11" t="n">
        <x:v>469.1</x:v>
      </x:c>
      <x:c r="F3300" s="11" t="n">
        <x:v>0</x:v>
      </x:c>
      <x:c r="G3300" s="11" t="n">
        <x:v>469.1</x:v>
      </x:c>
      <x:c r="H3300" s="23" t="n">
        <x:v>0.00002284532463071352</x:v>
      </x:c>
      <x:c r="I3300" s="23" t="n">
        <x:v>0.9878622455665769</x:v>
      </x:c>
      <x:c r="J3300" s="2" t="n">
        <x:v>66</x:v>
      </x:c>
      <x:c r="K3300" s="2"/>
      <x:c r="L3300" s="2"/>
    </x:row>
    <x:row r="3301" ht="22" customHeight="1">
      <x:c r="A3301" s="2"/>
      <x:c r="B3301" s="2" t="n">
        <x:v>3268</x:v>
      </x:c>
      <x:c r="C3301" s="2" t="str">
        <x:v>85211</x:v>
      </x:c>
      <x:c r="D3301" s="2" t="str">
        <x:v>S/4 GROOVY CAT MAGNETS</x:v>
      </x:c>
      <x:c r="E3301" s="11" t="n">
        <x:v>469.04999999999995</x:v>
      </x:c>
      <x:c r="F3301" s="11" t="n">
        <x:v>6.529999999999999</x:v>
      </x:c>
      <x:c r="G3301" s="11" t="n">
        <x:v>462.52</x:v>
      </x:c>
      <x:c r="H3301" s="23" t="n">
        <x:v>0.00002284288961423188</x:v>
      </x:c>
      <x:c r="I3301" s="23" t="n">
        <x:v>0.987885088456191</x:v>
      </x:c>
      <x:c r="J3301" s="2" t="n">
        <x:v>75</x:v>
      </x:c>
      <x:c r="K3301" s="2"/>
      <x:c r="L3301" s="2"/>
    </x:row>
    <x:row r="3302" ht="22" customHeight="1">
      <x:c r="A3302" s="2"/>
      <x:c r="B3302" s="2" t="n">
        <x:v>3269</x:v>
      </x:c>
      <x:c r="C3302" s="2" t="str">
        <x:v>35911A</x:v>
      </x:c>
      <x:c r="D3302" s="2" t="str">
        <x:v>MULTICOLOUR RABBIT EGG WARMER</x:v>
      </x:c>
      <x:c r="E3302" s="11" t="n">
        <x:v>468.79</x:v>
      </x:c>
      <x:c r="F3302" s="11" t="n">
        <x:v>0</x:v>
      </x:c>
      <x:c r="G3302" s="11" t="n">
        <x:v>468.79</x:v>
      </x:c>
      <x:c r="H3302" s="23" t="n">
        <x:v>0.000022830227528527374</x:v>
      </x:c>
      <x:c r="I3302" s="23" t="n">
        <x:v>0.9879079186837196</x:v>
      </x:c>
      <x:c r="J3302" s="2" t="n">
        <x:v>96</x:v>
      </x:c>
      <x:c r="K3302" s="2"/>
      <x:c r="L3302" s="2"/>
    </x:row>
    <x:row r="3303" ht="22" customHeight="1">
      <x:c r="A3303" s="2"/>
      <x:c r="B3303" s="2" t="n">
        <x:v>3270</x:v>
      </x:c>
      <x:c r="C3303" s="2" t="str">
        <x:v>72799B</x:v>
      </x:c>
      <x:c r="D3303" s="2" t="str">
        <x:v>PURPLE PILLAR CANDLE BLACK FLOCK</x:v>
      </x:c>
      <x:c r="E3303" s="11" t="n">
        <x:v>467.71000000000004</x:v>
      </x:c>
      <x:c r="F3303" s="11" t="n">
        <x:v>0</x:v>
      </x:c>
      <x:c r="G3303" s="11" t="n">
        <x:v>467.71000000000004</x:v>
      </x:c>
      <x:c r="H3303" s="23" t="n">
        <x:v>0.000022777631172524025</x:v>
      </x:c>
      <x:c r="I3303" s="23" t="n">
        <x:v>0.9879306963148922</x:v>
      </x:c>
      <x:c r="J3303" s="2" t="n">
        <x:v>16</x:v>
      </x:c>
      <x:c r="K3303" s="2"/>
      <x:c r="L3303" s="2"/>
    </x:row>
    <x:row r="3304" ht="22" customHeight="1">
      <x:c r="A3304" s="2"/>
      <x:c r="B3304" s="2" t="n">
        <x:v>3271</x:v>
      </x:c>
      <x:c r="C3304" s="2" t="str">
        <x:v>72225C</x:v>
      </x:c>
      <x:c r="D3304" s="2" t="str">
        <x:v>LAVENDER SCENT CAKE CANDLE</x:v>
      </x:c>
      <x:c r="E3304" s="11" t="n">
        <x:v>466.38</x:v>
      </x:c>
      <x:c r="F3304" s="11" t="n">
        <x:v>13.919999999999998</x:v>
      </x:c>
      <x:c r="G3304" s="11" t="n">
        <x:v>452.46</x:v>
      </x:c>
      <x:c r="H3304" s="23" t="n">
        <x:v>0.000022712859734112493</x:v>
      </x:c>
      <x:c r="I3304" s="23" t="n">
        <x:v>0.9879534091746263</x:v>
      </x:c>
      <x:c r="J3304" s="2" t="n">
        <x:v>38</x:v>
      </x:c>
      <x:c r="K3304" s="2"/>
      <x:c r="L3304" s="2"/>
    </x:row>
    <x:row r="3305" ht="22" customHeight="1">
      <x:c r="A3305" s="2"/>
      <x:c r="B3305" s="2" t="n">
        <x:v>3272</x:v>
      </x:c>
      <x:c r="C3305" s="2" t="str">
        <x:v>23379</x:v>
      </x:c>
      <x:c r="D3305" s="2" t="str">
        <x:v>PACK OF 12 RED APPLE TISSUES</x:v>
      </x:c>
      <x:c r="E3305" s="11" t="n">
        <x:v>465.36</x:v>
      </x:c>
      <x:c r="F3305" s="11" t="n">
        <x:v>0</x:v>
      </x:c>
      <x:c r="G3305" s="11" t="n">
        <x:v>465.36</x:v>
      </x:c>
      <x:c r="H3305" s="23" t="n">
        <x:v>0.00002266318539788711</x:v>
      </x:c>
      <x:c r="I3305" s="23" t="n">
        <x:v>0.9879760723600242</x:v>
      </x:c>
      <x:c r="J3305" s="2" t="n">
        <x:v>76</x:v>
      </x:c>
      <x:c r="K3305" s="2"/>
      <x:c r="L3305" s="2"/>
    </x:row>
    <x:row r="3306" ht="22" customHeight="1">
      <x:c r="A3306" s="2"/>
      <x:c r="B3306" s="2" t="n">
        <x:v>3273</x:v>
      </x:c>
      <x:c r="C3306" s="2" t="str">
        <x:v>51020A</x:v>
      </x:c>
      <x:c r="D3306" s="2" t="str">
        <x:v>adjustment</x:v>
      </x:c>
      <x:c r="E3306" s="11" t="n">
        <x:v>464.55999999999995</x:v>
      </x:c>
      <x:c r="F3306" s="11" t="n">
        <x:v>0.58</x:v>
      </x:c>
      <x:c r="G3306" s="11" t="n">
        <x:v>463.97999999999996</x:v>
      </x:c>
      <x:c r="H3306" s="23" t="n">
        <x:v>0.000022624225134180923</x:v>
      </x:c>
      <x:c r="I3306" s="23" t="n">
        <x:v>0.9879986965851584</x:v>
      </x:c>
      <x:c r="J3306" s="2" t="n">
        <x:v>50</x:v>
      </x:c>
      <x:c r="K3306" s="2"/>
      <x:c r="L3306" s="2"/>
    </x:row>
    <x:row r="3307" ht="22" customHeight="1">
      <x:c r="A3307" s="2"/>
      <x:c r="B3307" s="2" t="n">
        <x:v>3274</x:v>
      </x:c>
      <x:c r="C3307" s="2" t="str">
        <x:v>72132</x:v>
      </x:c>
      <x:c r="D3307" s="2" t="str">
        <x:v>COLUMBIAN CUBE CANDLE</x:v>
      </x:c>
      <x:c r="E3307" s="11" t="n">
        <x:v>464.09999999999997</x:v>
      </x:c>
      <x:c r="F3307" s="11" t="n">
        <x:v>0</x:v>
      </x:c>
      <x:c r="G3307" s="11" t="n">
        <x:v>464.09999999999997</x:v>
      </x:c>
      <x:c r="H3307" s="23" t="n">
        <x:v>0.000022601822982549868</x:v>
      </x:c>
      <x:c r="I3307" s="23" t="n">
        <x:v>0.9880212984081409</x:v>
      </x:c>
      <x:c r="J3307" s="2" t="n">
        <x:v>28</x:v>
      </x:c>
      <x:c r="K3307" s="2"/>
      <x:c r="L3307" s="2"/>
    </x:row>
    <x:row r="3308" ht="22" customHeight="1">
      <x:c r="A3308" s="2"/>
      <x:c r="B3308" s="2" t="n">
        <x:v>3275</x:v>
      </x:c>
      <x:c r="C3308" s="2" t="str">
        <x:v>90120C</x:v>
      </x:c>
      <x:c r="D3308" s="2" t="str">
        <x:v>GREEN MURANO TWIST BRACELET</x:v>
      </x:c>
      <x:c r="E3308" s="11" t="n">
        <x:v>462.32</x:v>
      </x:c>
      <x:c r="F3308" s="11" t="n">
        <x:v>0</x:v>
      </x:c>
      <x:c r="G3308" s="11" t="n">
        <x:v>462.32</x:v>
      </x:c>
      <x:c r="H3308" s="23" t="n">
        <x:v>0.00002251513639580361</x:v>
      </x:c>
      <x:c r="I3308" s="23" t="n">
        <x:v>0.9880438135445367</x:v>
      </x:c>
      <x:c r="J3308" s="2" t="n">
        <x:v>58</x:v>
      </x:c>
      <x:c r="K3308" s="2"/>
      <x:c r="L3308" s="2"/>
    </x:row>
    <x:row r="3309" ht="22" customHeight="1">
      <x:c r="A3309" s="2"/>
      <x:c r="B3309" s="2" t="n">
        <x:v>3276</x:v>
      </x:c>
      <x:c r="C3309" s="2" t="str">
        <x:v>84972L</x:v>
      </x:c>
      <x:c r="D3309" s="2" t="str">
        <x:v>GIANT PINK HEART MEMO HOLDER</x:v>
      </x:c>
      <x:c r="E3309" s="11" t="n">
        <x:v>462.15000000000003</x:v>
      </x:c>
      <x:c r="F3309" s="11" t="n">
        <x:v>0</x:v>
      </x:c>
      <x:c r="G3309" s="11" t="n">
        <x:v>462.15000000000003</x:v>
      </x:c>
      <x:c r="H3309" s="23" t="n">
        <x:v>0.00002250685733976605</x:v>
      </x:c>
      <x:c r="I3309" s="23" t="n">
        <x:v>0.9880663204018765</x:v>
      </x:c>
      <x:c r="J3309" s="2" t="n">
        <x:v>46</x:v>
      </x:c>
      <x:c r="K3309" s="2"/>
      <x:c r="L3309" s="2"/>
    </x:row>
    <x:row r="3310" ht="22" customHeight="1">
      <x:c r="A3310" s="2"/>
      <x:c r="B3310" s="2" t="n">
        <x:v>3277</x:v>
      </x:c>
      <x:c r="C3310" s="2" t="str">
        <x:v>84984A</x:v>
      </x:c>
      <x:c r="D3310" s="2" t="str">
        <x:v>GREEN PEONY CUSHION COVER</x:v>
      </x:c>
      <x:c r="E3310" s="11" t="n">
        <x:v>462.12</x:v>
      </x:c>
      <x:c r="F3310" s="11" t="n">
        <x:v>9.3</x:v>
      </x:c>
      <x:c r="G3310" s="11" t="n">
        <x:v>452.82</x:v>
      </x:c>
      <x:c r="H3310" s="23" t="n">
        <x:v>0.000022505396329877065</x:v>
      </x:c>
      <x:c r="I3310" s="23" t="n">
        <x:v>0.9880888257982063</x:v>
      </x:c>
      <x:c r="J3310" s="2" t="n">
        <x:v>17</x:v>
      </x:c>
      <x:c r="K3310" s="2"/>
      <x:c r="L3310" s="2"/>
    </x:row>
    <x:row r="3311" ht="22" customHeight="1">
      <x:c r="A3311" s="2"/>
      <x:c r="B3311" s="2" t="n">
        <x:v>3278</x:v>
      </x:c>
      <x:c r="C3311" s="2" t="str">
        <x:v>85204</x:v>
      </x:c>
      <x:c r="D3311" s="2" t="str">
        <x:v>HANGING WOOD AND FELT FLOWER</x:v>
      </x:c>
      <x:c r="E3311" s="11" t="n">
        <x:v>461.92</x:v>
      </x:c>
      <x:c r="F3311" s="11" t="n">
        <x:v>0.12</x:v>
      </x:c>
      <x:c r="G3311" s="11" t="n">
        <x:v>461.8</x:v>
      </x:c>
      <x:c r="H3311" s="23" t="n">
        <x:v>0.00002249565626395052</x:v>
      </x:c>
      <x:c r="I3311" s="23" t="n">
        <x:v>0.9881113214544703</x:v>
      </x:c>
      <x:c r="J3311" s="2" t="n">
        <x:v>154</x:v>
      </x:c>
      <x:c r="K3311" s="2"/>
      <x:c r="L3311" s="2"/>
    </x:row>
    <x:row r="3312" ht="22" customHeight="1">
      <x:c r="A3312" s="2"/>
      <x:c r="B3312" s="2" t="n">
        <x:v>3279</x:v>
      </x:c>
      <x:c r="C3312" s="2" t="str">
        <x:v>72789</x:v>
      </x:c>
      <x:c r="D3312" s="2" t="str">
        <x:v>BASKET/8 SCENTED LOVE TOKEN CANDLES</x:v>
      </x:c>
      <x:c r="E3312" s="11" t="n">
        <x:v>461.53</x:v>
      </x:c>
      <x:c r="F3312" s="11" t="n">
        <x:v>37.5</x:v>
      </x:c>
      <x:c r="G3312" s="11" t="n">
        <x:v>424.03</x:v>
      </x:c>
      <x:c r="H3312" s="23" t="n">
        <x:v>0.000022476663135393754</x:v>
      </x:c>
      <x:c r="I3312" s="23" t="n">
        <x:v>0.9881337981176057</x:v>
      </x:c>
      <x:c r="J3312" s="2" t="n">
        <x:v>45</x:v>
      </x:c>
      <x:c r="K3312" s="2"/>
      <x:c r="L3312" s="2"/>
    </x:row>
    <x:row r="3313" ht="22" customHeight="1">
      <x:c r="A3313" s="2"/>
      <x:c r="B3313" s="2" t="n">
        <x:v>3280</x:v>
      </x:c>
      <x:c r="C3313" s="2" t="str">
        <x:v>84915</x:v>
      </x:c>
      <x:c r="D3313" s="2" t="str">
        <x:v>HAND TOWEL PINK FLOWER AND DAISY</x:v>
      </x:c>
      <x:c r="E3313" s="11" t="n">
        <x:v>459.56</x:v>
      </x:c>
      <x:c r="F3313" s="11" t="n">
        <x:v>0</x:v>
      </x:c>
      <x:c r="G3313" s="11" t="n">
        <x:v>459.56</x:v>
      </x:c>
      <x:c r="H3313" s="23" t="n">
        <x:v>0.000022380723486017277</x:v>
      </x:c>
      <x:c r="I3313" s="23" t="n">
        <x:v>0.9881561788410917</x:v>
      </x:c>
      <x:c r="J3313" s="2" t="n">
        <x:v>37</x:v>
      </x:c>
      <x:c r="K3313" s="2"/>
      <x:c r="L3313" s="2"/>
    </x:row>
    <x:row r="3314" ht="22" customHeight="1">
      <x:c r="A3314" s="2"/>
      <x:c r="B3314" s="2" t="n">
        <x:v>3281</x:v>
      </x:c>
      <x:c r="C3314" s="2" t="str">
        <x:v>16207B</x:v>
      </x:c>
      <x:c r="D3314" s="2" t="str">
        <x:v>PINK HEART RED HANDBAG</x:v>
      </x:c>
      <x:c r="E3314" s="11" t="n">
        <x:v>457.65000000000003</x:v>
      </x:c>
      <x:c r="F3314" s="11" t="n">
        <x:v>0</x:v>
      </x:c>
      <x:c r="G3314" s="11" t="n">
        <x:v>457.65000000000003</x:v>
      </x:c>
      <x:c r="H3314" s="23" t="n">
        <x:v>0.000022287705856418764</x:v>
      </x:c>
      <x:c r="I3314" s="23" t="n">
        <x:v>0.9881784665469482</x:v>
      </x:c>
      <x:c r="J3314" s="2" t="n">
        <x:v>46</x:v>
      </x:c>
      <x:c r="K3314" s="2"/>
      <x:c r="L3314" s="2"/>
    </x:row>
    <x:row r="3315" ht="22" customHeight="1">
      <x:c r="A3315" s="2"/>
      <x:c r="B3315" s="2" t="n">
        <x:v>3282</x:v>
      </x:c>
      <x:c r="C3315" s="2" t="str">
        <x:v>23023</x:v>
      </x:c>
      <x:c r="D3315" s="2" t="str">
        <x:v>RIDGED BONNE JAM JAR T-LIGHT HOLDER</x:v>
      </x:c>
      <x:c r="E3315" s="11" t="n">
        <x:v>457.61999999999995</x:v>
      </x:c>
      <x:c r="F3315" s="11" t="n">
        <x:v>3.3</x:v>
      </x:c>
      <x:c r="G3315" s="11" t="n">
        <x:v>454.31999999999994</x:v>
      </x:c>
      <x:c r="H3315" s="23" t="n">
        <x:v>0.00002228624484652978</x:v>
      </x:c>
      <x:c r="I3315" s="23" t="n">
        <x:v>0.9882007527917948</x:v>
      </x:c>
      <x:c r="J3315" s="2" t="n">
        <x:v>25</x:v>
      </x:c>
      <x:c r="K3315" s="2"/>
      <x:c r="L3315" s="2"/>
    </x:row>
    <x:row r="3316" ht="22" customHeight="1">
      <x:c r="A3316" s="2"/>
      <x:c r="B3316" s="2" t="n">
        <x:v>3283</x:v>
      </x:c>
      <x:c r="C3316" s="2" t="str">
        <x:v>84508B</x:v>
      </x:c>
      <x:c r="D3316" s="2" t="str">
        <x:v>STRIPES DESIGN TEDDY</x:v>
      </x:c>
      <x:c r="E3316" s="11" t="n">
        <x:v>456.30999999999995</x:v>
      </x:c>
      <x:c r="F3316" s="11" t="n">
        <x:v>15.299999999999999</x:v>
      </x:c>
      <x:c r="G3316" s="11" t="n">
        <x:v>441.01</x:v>
      </x:c>
      <x:c r="H3316" s="23" t="n">
        <x:v>0.000022222447414710903</x:v>
      </x:c>
      <x:c r="I3316" s="23" t="n">
        <x:v>0.9882229752392094</x:v>
      </x:c>
      <x:c r="J3316" s="2" t="n">
        <x:v>74</x:v>
      </x:c>
      <x:c r="K3316" s="2"/>
      <x:c r="L3316" s="2"/>
    </x:row>
    <x:row r="3317" ht="22" customHeight="1">
      <x:c r="A3317" s="2"/>
      <x:c r="B3317" s="2" t="n">
        <x:v>3284</x:v>
      </x:c>
      <x:c r="C3317" s="2" t="str">
        <x:v>90145</x:v>
      </x:c>
      <x:c r="D3317" s="2" t="str">
        <x:v>SILVER HOOP EARRINGS WITH FLOWER</x:v>
      </x:c>
      <x:c r="E3317" s="11" t="n">
        <x:v>455.86</x:v>
      </x:c>
      <x:c r="F3317" s="11" t="n">
        <x:v>0</x:v>
      </x:c>
      <x:c r="G3317" s="11" t="n">
        <x:v>455.86</x:v>
      </x:c>
      <x:c r="H3317" s="23" t="n">
        <x:v>0.000022200532266376178</x:v>
      </x:c>
      <x:c r="I3317" s="23" t="n">
        <x:v>0.9882451757714759</x:v>
      </x:c>
      <x:c r="J3317" s="2" t="n">
        <x:v>45</x:v>
      </x:c>
      <x:c r="K3317" s="2"/>
      <x:c r="L3317" s="2"/>
    </x:row>
    <x:row r="3318" ht="22" customHeight="1">
      <x:c r="A3318" s="2"/>
      <x:c r="B3318" s="2" t="n">
        <x:v>3285</x:v>
      </x:c>
      <x:c r="C3318" s="2" t="str">
        <x:v>90201B</x:v>
      </x:c>
      <x:c r="D3318" s="2" t="str">
        <x:v>BLACK ENAMEL FLOWER RING</x:v>
      </x:c>
      <x:c r="E3318" s="11" t="n">
        <x:v>454.31000000000006</x:v>
      </x:c>
      <x:c r="F3318" s="11" t="n">
        <x:v>38.35000000000001</x:v>
      </x:c>
      <x:c r="G3318" s="11" t="n">
        <x:v>415.96000000000004</x:v>
      </x:c>
      <x:c r="H3318" s="23" t="n">
        <x:v>0.000022125046755445448</x:v>
      </x:c>
      <x:c r="I3318" s="23" t="n">
        <x:v>0.9882673008182313</x:v>
      </x:c>
      <x:c r="J3318" s="2" t="n">
        <x:v>54</x:v>
      </x:c>
      <x:c r="K3318" s="2"/>
      <x:c r="L3318" s="2"/>
    </x:row>
    <x:row r="3319" ht="22" customHeight="1">
      <x:c r="A3319" s="2"/>
      <x:c r="B3319" s="2" t="n">
        <x:v>3286</x:v>
      </x:c>
      <x:c r="C3319" s="2" t="str">
        <x:v>21757</x:v>
      </x:c>
      <x:c r="D3319" s="2" t="str">
        <x:v>LIGHTHOUSE PRINTED METAL SIGN</x:v>
      </x:c>
      <x:c r="E3319" s="11" t="n">
        <x:v>454.3</x:v>
      </x:c>
      <x:c r="F3319" s="11" t="n">
        <x:v>0</x:v>
      </x:c>
      <x:c r="G3319" s="11" t="n">
        <x:v>454.3</x:v>
      </x:c>
      <x:c r="H3319" s="23" t="n">
        <x:v>0.00002212455975214912</x:v>
      </x:c>
      <x:c r="I3319" s="23" t="n">
        <x:v>0.9882894253779835</x:v>
      </x:c>
      <x:c r="J3319" s="2" t="n">
        <x:v>42</x:v>
      </x:c>
      <x:c r="K3319" s="2"/>
      <x:c r="L3319" s="2"/>
    </x:row>
    <x:row r="3320" ht="22" customHeight="1">
      <x:c r="A3320" s="2"/>
      <x:c r="B3320" s="2" t="n">
        <x:v>3287</x:v>
      </x:c>
      <x:c r="C3320" s="2" t="str">
        <x:v>20621</x:v>
      </x:c>
      <x:c r="D3320" s="2" t="str">
        <x:v>ECONOMY PASSPORT COVER </x:v>
      </x:c>
      <x:c r="E3320" s="11" t="n">
        <x:v>453.77000000000004</x:v>
      </x:c>
      <x:c r="F3320" s="11" t="n">
        <x:v>0</x:v>
      </x:c>
      <x:c r="G3320" s="11" t="n">
        <x:v>453.77000000000004</x:v>
      </x:c>
      <x:c r="H3320" s="23" t="n">
        <x:v>0.000022098748577443773</x:v>
      </x:c>
      <x:c r="I3320" s="23" t="n">
        <x:v>0.9883115241265609</x:v>
      </x:c>
      <x:c r="J3320" s="2" t="n">
        <x:v>33</x:v>
      </x:c>
      <x:c r="K3320" s="2"/>
      <x:c r="L3320" s="2"/>
    </x:row>
    <x:row r="3321" ht="22" customHeight="1">
      <x:c r="A3321" s="2"/>
      <x:c r="B3321" s="2" t="n">
        <x:v>3288</x:v>
      </x:c>
      <x:c r="C3321" s="2" t="str">
        <x:v>23509</x:v>
      </x:c>
      <x:c r="D3321" s="2" t="str">
        <x:v>MINI PLAYING CARDS FUN FAIR </x:v>
      </x:c>
      <x:c r="E3321" s="11" t="n">
        <x:v>452.72</x:v>
      </x:c>
      <x:c r="F3321" s="11" t="n">
        <x:v>0</x:v>
      </x:c>
      <x:c r="G3321" s="11" t="n">
        <x:v>452.72</x:v>
      </x:c>
      <x:c r="H3321" s="23" t="n">
        <x:v>0.00002204761323132941</x:v>
      </x:c>
      <x:c r="I3321" s="23" t="n">
        <x:v>0.9883335717397922</x:v>
      </x:c>
      <x:c r="J3321" s="2" t="n">
        <x:v>65</x:v>
      </x:c>
      <x:c r="K3321" s="2"/>
      <x:c r="L3321" s="2"/>
    </x:row>
    <x:row r="3322" ht="22" customHeight="1">
      <x:c r="A3322" s="2"/>
      <x:c r="B3322" s="2" t="n">
        <x:v>3289</x:v>
      </x:c>
      <x:c r="C3322" s="2" t="str">
        <x:v>23548</x:v>
      </x:c>
      <x:c r="D3322" s="2" t="str">
        <x:v>WRAP MAGIC FOREST </x:v>
      </x:c>
      <x:c r="E3322" s="11" t="n">
        <x:v>451.5</x:v>
      </x:c>
      <x:c r="F3322" s="11" t="n">
        <x:v>0</x:v>
      </x:c>
      <x:c r="G3322" s="11" t="n">
        <x:v>451.5</x:v>
      </x:c>
      <x:c r="H3322" s="23" t="n">
        <x:v>0.000021988198829177474</x:v>
      </x:c>
      <x:c r="I3322" s="23" t="n">
        <x:v>0.9883555599386213</x:v>
      </x:c>
      <x:c r="J3322" s="2" t="n">
        <x:v>43</x:v>
      </x:c>
      <x:c r="K3322" s="2"/>
      <x:c r="L3322" s="2"/>
    </x:row>
    <x:row r="3323" ht="22" customHeight="1">
      <x:c r="A3323" s="2"/>
      <x:c r="B3323" s="2" t="n">
        <x:v>3290</x:v>
      </x:c>
      <x:c r="C3323" s="2" t="str">
        <x:v>90120B</x:v>
      </x:c>
      <x:c r="D3323" s="2" t="str">
        <x:v>BLUE MURANO TWIST BRACELET</x:v>
      </x:c>
      <x:c r="E3323" s="11" t="n">
        <x:v>451.44</x:v>
      </x:c>
      <x:c r="F3323" s="11" t="n">
        <x:v>0</x:v>
      </x:c>
      <x:c r="G3323" s="11" t="n">
        <x:v>451.44</x:v>
      </x:c>
      <x:c r="H3323" s="23" t="n">
        <x:v>0.000021985276809399513</x:v>
      </x:c>
      <x:c r="I3323" s="23" t="n">
        <x:v>0.9883775452154308</x:v>
      </x:c>
      <x:c r="J3323" s="2" t="n">
        <x:v>42</x:v>
      </x:c>
      <x:c r="K3323" s="2"/>
      <x:c r="L3323" s="2"/>
    </x:row>
    <x:row r="3324" ht="22" customHeight="1">
      <x:c r="A3324" s="2"/>
      <x:c r="B3324" s="2" t="n">
        <x:v>3291</x:v>
      </x:c>
      <x:c r="C3324" s="2" t="str">
        <x:v>82081</x:v>
      </x:c>
      <x:c r="D3324" s="2" t="str">
        <x:v>PINK HEARTS PHOTO ALBUM</x:v>
      </x:c>
      <x:c r="E3324" s="11" t="n">
        <x:v>451.35</x:v>
      </x:c>
      <x:c r="F3324" s="11" t="n">
        <x:v>0</x:v>
      </x:c>
      <x:c r="G3324" s="11" t="n">
        <x:v>451.35</x:v>
      </x:c>
      <x:c r="H3324" s="23" t="n">
        <x:v>0.000021980893779732567</x:v>
      </x:c>
      <x:c r="I3324" s="23" t="n">
        <x:v>0.9883995261092104</x:v>
      </x:c>
      <x:c r="J3324" s="2" t="n">
        <x:v>23</x:v>
      </x:c>
      <x:c r="K3324" s="2"/>
      <x:c r="L3324" s="2"/>
    </x:row>
    <x:row r="3325" ht="22" customHeight="1">
      <x:c r="A3325" s="2"/>
      <x:c r="B3325" s="2" t="n">
        <x:v>3292</x:v>
      </x:c>
      <x:c r="C3325" s="2" t="str">
        <x:v>84597C</x:v>
      </x:c>
      <x:c r="D3325" s="2" t="str">
        <x:v>RETRO PINK BALL ASHTRAY </x:v>
      </x:c>
      <x:c r="E3325" s="11" t="n">
        <x:v>450.98</x:v>
      </x:c>
      <x:c r="F3325" s="11" t="n">
        <x:v>5</x:v>
      </x:c>
      <x:c r="G3325" s="11" t="n">
        <x:v>445.98</x:v>
      </x:c>
      <x:c r="H3325" s="23" t="n">
        <x:v>0.000021962874657768458</x:v>
      </x:c>
      <x:c r="I3325" s="23" t="n">
        <x:v>0.9884214889838682</x:v>
      </x:c>
      <x:c r="J3325" s="2" t="n">
        <x:v>44</x:v>
      </x:c>
      <x:c r="K3325" s="2"/>
      <x:c r="L3325" s="2"/>
    </x:row>
    <x:row r="3326" ht="22" customHeight="1">
      <x:c r="A3326" s="2"/>
      <x:c r="B3326" s="2" t="n">
        <x:v>3293</x:v>
      </x:c>
      <x:c r="C3326" s="2" t="str">
        <x:v>17164D</x:v>
      </x:c>
      <x:c r="D3326" s="2" t="str">
        <x:v>ASS COL SMALL SAND FROG P'WEIGHT</x:v>
      </x:c>
      <x:c r="E3326" s="11" t="n">
        <x:v>450.78000000000003</x:v>
      </x:c>
      <x:c r="F3326" s="11" t="n">
        <x:v>0</x:v>
      </x:c>
      <x:c r="G3326" s="11" t="n">
        <x:v>450.78000000000003</x:v>
      </x:c>
      <x:c r="H3326" s="23" t="n">
        <x:v>0.00002195313459184191</x:v>
      </x:c>
      <x:c r="I3326" s="23" t="n">
        <x:v>0.98844344211846</x:v>
      </x:c>
      <x:c r="J3326" s="2" t="n">
        <x:v>28</x:v>
      </x:c>
      <x:c r="K3326" s="2"/>
      <x:c r="L3326" s="2"/>
    </x:row>
    <x:row r="3327" ht="22" customHeight="1">
      <x:c r="A3327" s="2"/>
      <x:c r="B3327" s="2" t="n">
        <x:v>3294</x:v>
      </x:c>
      <x:c r="C3327" s="2" t="str">
        <x:v>72127</x:v>
      </x:c>
      <x:c r="D3327" s="2" t="str">
        <x:v>COLUMBIAN CANDLE ROUND </x:v>
      </x:c>
      <x:c r="E3327" s="11" t="n">
        <x:v>449.69</x:v>
      </x:c>
      <x:c r="F3327" s="11" t="n">
        <x:v>1.25</x:v>
      </x:c>
      <x:c r="G3327" s="11" t="n">
        <x:v>448.44</x:v>
      </x:c>
      <x:c r="H3327" s="23" t="n">
        <x:v>0.000021900051232542233</x:v>
      </x:c>
      <x:c r="I3327" s="23" t="n">
        <x:v>0.9884653421696926</x:v>
      </x:c>
      <x:c r="J3327" s="2" t="n">
        <x:v>65</x:v>
      </x:c>
      <x:c r="K3327" s="2"/>
      <x:c r="L3327" s="2"/>
    </x:row>
    <x:row r="3328" ht="22" customHeight="1">
      <x:c r="A3328" s="2"/>
      <x:c r="B3328" s="2" t="n">
        <x:v>3295</x:v>
      </x:c>
      <x:c r="C3328" s="2" t="str">
        <x:v>20616</x:v>
      </x:c>
      <x:c r="D3328" s="2" t="str">
        <x:v>CHERRY BLOSSOM PASSPORT COVER</x:v>
      </x:c>
      <x:c r="E3328" s="11" t="n">
        <x:v>449.26</x:v>
      </x:c>
      <x:c r="F3328" s="11" t="n">
        <x:v>0</x:v>
      </x:c>
      <x:c r="G3328" s="11" t="n">
        <x:v>449.26</x:v>
      </x:c>
      <x:c r="H3328" s="23" t="n">
        <x:v>0.00002187911009080016</x:v>
      </x:c>
      <x:c r="I3328" s="23" t="n">
        <x:v>0.9884872212797834</x:v>
      </x:c>
      <x:c r="J3328" s="2" t="n">
        <x:v>121</x:v>
      </x:c>
      <x:c r="K3328" s="2"/>
      <x:c r="L3328" s="2"/>
    </x:row>
    <x:row r="3329" ht="22" customHeight="1">
      <x:c r="A3329" s="2"/>
      <x:c r="B3329" s="2" t="n">
        <x:v>3296</x:v>
      </x:c>
      <x:c r="C3329" s="2" t="str">
        <x:v>16218</x:v>
      </x:c>
      <x:c r="D3329" s="2" t="str">
        <x:v>CARTOON  PENCIL SHARPENERS</x:v>
      </x:c>
      <x:c r="E3329" s="11" t="n">
        <x:v>448.13</x:v>
      </x:c>
      <x:c r="F3329" s="11" t="n">
        <x:v>0</x:v>
      </x:c>
      <x:c r="G3329" s="11" t="n">
        <x:v>448.13</x:v>
      </x:c>
      <x:c r="H3329" s="23" t="n">
        <x:v>0.000021824078718315178</x:v>
      </x:c>
      <x:c r="I3329" s="23" t="n">
        <x:v>0.9885090453585017</x:v>
      </x:c>
      <x:c r="J3329" s="2" t="n">
        <x:v>98</x:v>
      </x:c>
      <x:c r="K3329" s="2"/>
      <x:c r="L3329" s="2"/>
    </x:row>
    <x:row r="3330" ht="22" customHeight="1">
      <x:c r="A3330" s="2"/>
      <x:c r="B3330" s="2" t="n">
        <x:v>3297</x:v>
      </x:c>
      <x:c r="C3330" s="2" t="str">
        <x:v>72801D</x:v>
      </x:c>
      <x:c r="D3330" s="2" t="str">
        <x:v>4 SKY BLUE DINNER CANDLES</x:v>
      </x:c>
      <x:c r="E3330" s="11" t="n">
        <x:v>447.42</x:v>
      </x:c>
      <x:c r="F3330" s="11" t="n">
        <x:v>0</x:v>
      </x:c>
      <x:c r="G3330" s="11" t="n">
        <x:v>447.42</x:v>
      </x:c>
      <x:c r="H3330" s="23" t="n">
        <x:v>0.000021789501484275937</x:v>
      </x:c>
      <x:c r="I3330" s="23" t="n">
        <x:v>0.9885308348599859</x:v>
      </x:c>
      <x:c r="J3330" s="2" t="n">
        <x:v>61</x:v>
      </x:c>
      <x:c r="K3330" s="2"/>
      <x:c r="L3330" s="2"/>
    </x:row>
    <x:row r="3331" ht="22" customHeight="1">
      <x:c r="A3331" s="2"/>
      <x:c r="B3331" s="2" t="n">
        <x:v>3298</x:v>
      </x:c>
      <x:c r="C3331" s="2" t="str">
        <x:v>72128</x:v>
      </x:c>
      <x:c r="D3331" s="2" t="str">
        <x:v>COLUMBIAN CANDLE ROUND</x:v>
      </x:c>
      <x:c r="E3331" s="11" t="n">
        <x:v>447.34</x:v>
      </x:c>
      <x:c r="F3331" s="11" t="n">
        <x:v>0</x:v>
      </x:c>
      <x:c r="G3331" s="11" t="n">
        <x:v>447.34</x:v>
      </x:c>
      <x:c r="H3331" s="23" t="n">
        <x:v>0.000021785605457905317</x:v>
      </x:c>
      <x:c r="I3331" s="23" t="n">
        <x:v>0.9885526204654439</x:v>
      </x:c>
      <x:c r="J3331" s="2" t="n">
        <x:v>88</x:v>
      </x:c>
      <x:c r="K3331" s="2"/>
      <x:c r="L3331" s="2"/>
    </x:row>
    <x:row r="3332" ht="22" customHeight="1">
      <x:c r="A3332" s="2"/>
      <x:c r="B3332" s="2" t="n">
        <x:v>3299</x:v>
      </x:c>
      <x:c r="C3332" s="2" t="str">
        <x:v>90198B</x:v>
      </x:c>
      <x:c r="D3332" s="2" t="str">
        <x:v>VINTAGE ROSE BEAD BRACELET BLACK</x:v>
      </x:c>
      <x:c r="E3332" s="11" t="n">
        <x:v>446.15</x:v>
      </x:c>
      <x:c r="F3332" s="11" t="n">
        <x:v>0</x:v>
      </x:c>
      <x:c r="G3332" s="11" t="n">
        <x:v>446.15</x:v>
      </x:c>
      <x:c r="H3332" s="23" t="n">
        <x:v>0.00002172765206564237</x:v>
      </x:c>
      <x:c r="I3332" s="23" t="n">
        <x:v>0.9885743481175095</x:v>
      </x:c>
      <x:c r="J3332" s="2" t="n">
        <x:v>49</x:v>
      </x:c>
      <x:c r="K3332" s="2"/>
      <x:c r="L3332" s="2"/>
    </x:row>
    <x:row r="3333" ht="22" customHeight="1">
      <x:c r="A3333" s="2"/>
      <x:c r="B3333" s="2" t="n">
        <x:v>3300</x:v>
      </x:c>
      <x:c r="C3333" s="2" t="str">
        <x:v>84857C</x:v>
      </x:c>
      <x:c r="D3333" s="2" t="str">
        <x:v>PINK MONTE CARLO HANDBAG</x:v>
      </x:c>
      <x:c r="E3333" s="11" t="n">
        <x:v>445.03</x:v>
      </x:c>
      <x:c r="F3333" s="11" t="n">
        <x:v>1.95</x:v>
      </x:c>
      <x:c r="G3333" s="11" t="n">
        <x:v>443.08</x:v>
      </x:c>
      <x:c r="H3333" s="23" t="n">
        <x:v>0.00002167310769645371</x:v>
      </x:c>
      <x:c r="I3333" s="23" t="n">
        <x:v>0.988596021225206</x:v>
      </x:c>
      <x:c r="J3333" s="2" t="n">
        <x:v>17</x:v>
      </x:c>
      <x:c r="K3333" s="2"/>
      <x:c r="L3333" s="2"/>
    </x:row>
    <x:row r="3334" ht="22" customHeight="1">
      <x:c r="A3334" s="2"/>
      <x:c r="B3334" s="2" t="n">
        <x:v>3301</x:v>
      </x:c>
      <x:c r="C3334" s="2" t="str">
        <x:v>90010A</x:v>
      </x:c>
      <x:c r="D3334" s="2" t="str">
        <x:v>MIDNIGHT BLUE GLASS/SILVER BRACELET</x:v>
      </x:c>
      <x:c r="E3334" s="11" t="n">
        <x:v>443.84999999999997</x:v>
      </x:c>
      <x:c r="F3334" s="11" t="n">
        <x:v>53.699999999999996</x:v>
      </x:c>
      <x:c r="G3334" s="11" t="n">
        <x:v>390.15</x:v>
      </x:c>
      <x:c r="H3334" s="23" t="n">
        <x:v>0.00002161564130748709</x:v>
      </x:c>
      <x:c r="I3334" s="23" t="n">
        <x:v>0.9886176368665135</x:v>
      </x:c>
      <x:c r="J3334" s="2" t="n">
        <x:v>30</x:v>
      </x:c>
      <x:c r="K3334" s="2"/>
      <x:c r="L3334" s="2"/>
    </x:row>
    <x:row r="3335" ht="22" customHeight="1">
      <x:c r="A3335" s="2"/>
      <x:c r="B3335" s="2" t="n">
        <x:v>3302</x:v>
      </x:c>
      <x:c r="C3335" s="2" t="str">
        <x:v>62096B</x:v>
      </x:c>
      <x:c r="D3335" s="2" t="str">
        <x:v>PURPLE/TURQ FLOWERS HANDBAG</x:v>
      </x:c>
      <x:c r="E3335" s="11" t="n">
        <x:v>441.99</x:v>
      </x:c>
      <x:c r="F3335" s="11" t="n">
        <x:v>0</x:v>
      </x:c>
      <x:c r="G3335" s="11" t="n">
        <x:v>441.99</x:v>
      </x:c>
      <x:c r="H3335" s="23" t="n">
        <x:v>0.000021525058694370217</x:v>
      </x:c>
      <x:c r="I3335" s="23" t="n">
        <x:v>0.9886391619252078</x:v>
      </x:c>
      <x:c r="J3335" s="2" t="n">
        <x:v>82</x:v>
      </x:c>
      <x:c r="K3335" s="2"/>
      <x:c r="L3335" s="2"/>
    </x:row>
    <x:row r="3336" ht="22" customHeight="1">
      <x:c r="A3336" s="2"/>
      <x:c r="B3336" s="2" t="n">
        <x:v>3303</x:v>
      </x:c>
      <x:c r="C3336" s="2" t="str">
        <x:v>16243B</x:v>
      </x:c>
      <x:c r="D3336" s="2" t="str">
        <x:v>BROWN COZY SQUARE PHOTO ALBUM</x:v>
      </x:c>
      <x:c r="E3336" s="11" t="n">
        <x:v>441.77</x:v>
      </x:c>
      <x:c r="F3336" s="11" t="n">
        <x:v>0</x:v>
      </x:c>
      <x:c r="G3336" s="11" t="n">
        <x:v>441.77</x:v>
      </x:c>
      <x:c r="H3336" s="23" t="n">
        <x:v>0.000021514344621851016</x:v>
      </x:c>
      <x:c r="I3336" s="23" t="n">
        <x:v>0.9886606762698297</x:v>
      </x:c>
      <x:c r="J3336" s="2" t="n">
        <x:v>8</x:v>
      </x:c>
      <x:c r="K3336" s="2"/>
      <x:c r="L3336" s="2"/>
    </x:row>
    <x:row r="3337" ht="22" customHeight="1">
      <x:c r="A3337" s="2"/>
      <x:c r="B3337" s="2" t="n">
        <x:v>3304</x:v>
      </x:c>
      <x:c r="C3337" s="2" t="str">
        <x:v>21027</x:v>
      </x:c>
      <x:c r="D3337" s="2" t="str">
        <x:v>NINJA RABBIT PINK</x:v>
      </x:c>
      <x:c r="E3337" s="11" t="n">
        <x:v>441.11</x:v>
      </x:c>
      <x:c r="F3337" s="11" t="n">
        <x:v>0</x:v>
      </x:c>
      <x:c r="G3337" s="11" t="n">
        <x:v>441.11</x:v>
      </x:c>
      <x:c r="H3337" s="23" t="n">
        <x:v>0.000021482202404293414</x:v>
      </x:c>
      <x:c r="I3337" s="23" t="n">
        <x:v>0.988682158472234</x:v>
      </x:c>
      <x:c r="J3337" s="2" t="n">
        <x:v>77</x:v>
      </x:c>
      <x:c r="K3337" s="2"/>
      <x:c r="L3337" s="2"/>
    </x:row>
    <x:row r="3338" ht="22" customHeight="1">
      <x:c r="A3338" s="2"/>
      <x:c r="B3338" s="2" t="n">
        <x:v>3305</x:v>
      </x:c>
      <x:c r="C3338" s="2" t="str">
        <x:v>90154</x:v>
      </x:c>
      <x:c r="D3338" s="2" t="str">
        <x:v>LAZER CUT NECKLACE W PASTEL BEADS</x:v>
      </x:c>
      <x:c r="E3338" s="11" t="n">
        <x:v>439.65</x:v>
      </x:c>
      <x:c r="F3338" s="11" t="n">
        <x:v>0</x:v>
      </x:c>
      <x:c r="G3338" s="11" t="n">
        <x:v>439.65</x:v>
      </x:c>
      <x:c r="H3338" s="23" t="n">
        <x:v>0.000021411099923029627</x:v>
      </x:c>
      <x:c r="I3338" s="23" t="n">
        <x:v>0.988703569572157</x:v>
      </x:c>
      <x:c r="J3338" s="2" t="n">
        <x:v>7</x:v>
      </x:c>
      <x:c r="K3338" s="2"/>
      <x:c r="L3338" s="2"/>
    </x:row>
    <x:row r="3339" ht="22" customHeight="1">
      <x:c r="A3339" s="2"/>
      <x:c r="B3339" s="2" t="n">
        <x:v>3306</x:v>
      </x:c>
      <x:c r="C3339" s="2" t="str">
        <x:v>16161M</x:v>
      </x:c>
      <x:c r="D3339" s="2" t="str">
        <x:v>WRAP  PINK FLOCK</x:v>
      </x:c>
      <x:c r="E3339" s="11" t="n">
        <x:v>439</x:v>
      </x:c>
      <x:c r="F3339" s="11" t="n">
        <x:v>10.5</x:v>
      </x:c>
      <x:c r="G3339" s="11" t="n">
        <x:v>428.5</x:v>
      </x:c>
      <x:c r="H3339" s="23" t="n">
        <x:v>0.000021379444708768355</x:v>
      </x:c>
      <x:c r="I3339" s="23" t="n">
        <x:v>0.9887249490168658</x:v>
      </x:c>
      <x:c r="J3339" s="2" t="n">
        <x:v>39</x:v>
      </x:c>
      <x:c r="K3339" s="2"/>
      <x:c r="L3339" s="2"/>
    </x:row>
    <x:row r="3340" ht="22" customHeight="1">
      <x:c r="A3340" s="2"/>
      <x:c r="B3340" s="2" t="n">
        <x:v>3307</x:v>
      </x:c>
      <x:c r="C3340" s="2" t="str">
        <x:v>79030A</x:v>
      </x:c>
      <x:c r="D3340" s="2" t="str">
        <x:v>TUMBLER, ENGLISH ROSE</x:v>
      </x:c>
      <x:c r="E3340" s="11" t="n">
        <x:v>438.25</x:v>
      </x:c>
      <x:c r="F3340" s="11" t="n">
        <x:v>0</x:v>
      </x:c>
      <x:c r="G3340" s="11" t="n">
        <x:v>438.25</x:v>
      </x:c>
      <x:c r="H3340" s="23" t="n">
        <x:v>0.000021342919461543805</x:v>
      </x:c>
      <x:c r="I3340" s="23" t="n">
        <x:v>0.9887462919363273</x:v>
      </x:c>
      <x:c r="J3340" s="2" t="n">
        <x:v>33</x:v>
      </x:c>
      <x:c r="K3340" s="2"/>
      <x:c r="L3340" s="2"/>
    </x:row>
    <x:row r="3341" ht="22" customHeight="1">
      <x:c r="A3341" s="2"/>
      <x:c r="B3341" s="2" t="n">
        <x:v>3308</x:v>
      </x:c>
      <x:c r="C3341" s="2" t="str">
        <x:v>23044</x:v>
      </x:c>
      <x:c r="D3341" s="2" t="str">
        <x:v>PAPER LANTERN 9 POINT HOLLY STAR S</x:v>
      </x:c>
      <x:c r="E3341" s="11" t="n">
        <x:v>435.74000000000007</x:v>
      </x:c>
      <x:c r="F3341" s="11" t="n">
        <x:v>0</x:v>
      </x:c>
      <x:c r="G3341" s="11" t="n">
        <x:v>435.74000000000007</x:v>
      </x:c>
      <x:c r="H3341" s="23" t="n">
        <x:v>0.00002122068163416566</x:v>
      </x:c>
      <x:c r="I3341" s="23" t="n">
        <x:v>0.9887675126179615</x:v>
      </x:c>
      <x:c r="J3341" s="2" t="n">
        <x:v>25</x:v>
      </x:c>
      <x:c r="K3341" s="2"/>
      <x:c r="L3341" s="2"/>
    </x:row>
    <x:row r="3342" ht="22" customHeight="1">
      <x:c r="A3342" s="2"/>
      <x:c r="B3342" s="2" t="n">
        <x:v>3309</x:v>
      </x:c>
      <x:c r="C3342" s="2" t="str">
        <x:v>84859B</x:v>
      </x:c>
      <x:c r="D3342" s="2" t="str">
        <x:v>BLUE DISCO HANDBAG</x:v>
      </x:c>
      <x:c r="E3342" s="11" t="n">
        <x:v>435.40999999999997</x:v>
      </x:c>
      <x:c r="F3342" s="11" t="n">
        <x:v>0</x:v>
      </x:c>
      <x:c r="G3342" s="11" t="n">
        <x:v>435.40999999999997</x:v>
      </x:c>
      <x:c r="H3342" s="23" t="n">
        <x:v>0.000021204610525386854</x:v>
      </x:c>
      <x:c r="I3342" s="23" t="n">
        <x:v>0.9887887172284868</x:v>
      </x:c>
      <x:c r="J3342" s="2" t="n">
        <x:v>18</x:v>
      </x:c>
      <x:c r="K3342" s="2"/>
      <x:c r="L3342" s="2"/>
    </x:row>
    <x:row r="3343" ht="22" customHeight="1">
      <x:c r="A3343" s="2"/>
      <x:c r="B3343" s="2" t="n">
        <x:v>3310</x:v>
      </x:c>
      <x:c r="C3343" s="2" t="str">
        <x:v>84510F</x:v>
      </x:c>
      <x:c r="D3343" s="2" t="str">
        <x:v>SET OF 4 NEW ENGLAND COASTERS </x:v>
      </x:c>
      <x:c r="E3343" s="11" t="n">
        <x:v>435.25</x:v>
      </x:c>
      <x:c r="F3343" s="11" t="n">
        <x:v>2.5</x:v>
      </x:c>
      <x:c r="G3343" s="11" t="n">
        <x:v>432.75</x:v>
      </x:c>
      <x:c r="H3343" s="23" t="n">
        <x:v>0.000021196818472645617</x:v>
      </x:c>
      <x:c r="I3343" s="23" t="n">
        <x:v>0.9888099140469595</x:v>
      </x:c>
      <x:c r="J3343" s="2" t="n">
        <x:v>38</x:v>
      </x:c>
      <x:c r="K3343" s="2"/>
      <x:c r="L3343" s="2"/>
    </x:row>
    <x:row r="3344" ht="22" customHeight="1">
      <x:c r="A3344" s="2"/>
      <x:c r="B3344" s="2" t="n">
        <x:v>3311</x:v>
      </x:c>
      <x:c r="C3344" s="2" t="str">
        <x:v>90013A</x:v>
      </x:c>
      <x:c r="D3344" s="2" t="str">
        <x:v>MIDNIGHT BLUE VINTAGE EARRINGS</x:v>
      </x:c>
      <x:c r="E3344" s="11" t="n">
        <x:v>434.27</x:v>
      </x:c>
      <x:c r="F3344" s="11" t="n">
        <x:v>30</x:v>
      </x:c>
      <x:c r="G3344" s="11" t="n">
        <x:v>404.27</x:v>
      </x:c>
      <x:c r="H3344" s="23" t="n">
        <x:v>0.000021149092149605543</x:v>
      </x:c>
      <x:c r="I3344" s="23" t="n">
        <x:v>0.9888310631391091</x:v>
      </x:c>
      <x:c r="J3344" s="2" t="n">
        <x:v>77</x:v>
      </x:c>
      <x:c r="K3344" s="2"/>
      <x:c r="L3344" s="2"/>
    </x:row>
    <x:row r="3345" ht="22" customHeight="1">
      <x:c r="A3345" s="2"/>
      <x:c r="B3345" s="2" t="n">
        <x:v>3312</x:v>
      </x:c>
      <x:c r="C3345" s="2" t="str">
        <x:v>84798A</x:v>
      </x:c>
      <x:c r="D3345" s="2" t="str">
        <x:v>PINK FOXGLOVE ARTIIFCIAL FLOWER</x:v>
      </x:c>
      <x:c r="E3345" s="11" t="n">
        <x:v>432.45000000000005</x:v>
      </x:c>
      <x:c r="F3345" s="11" t="n">
        <x:v>30.599999999999998</x:v>
      </x:c>
      <x:c r="G3345" s="11" t="n">
        <x:v>401.85</x:v>
      </x:c>
      <x:c r="H3345" s="23" t="n">
        <x:v>0.000021060457549673976</x:v>
      </x:c>
      <x:c r="I3345" s="23" t="n">
        <x:v>0.9888521235966587</x:v>
      </x:c>
      <x:c r="J3345" s="2" t="n">
        <x:v>10</x:v>
      </x:c>
      <x:c r="K3345" s="2"/>
      <x:c r="L3345" s="2"/>
    </x:row>
    <x:row r="3346" ht="22" customHeight="1">
      <x:c r="A3346" s="2"/>
      <x:c r="B3346" s="2" t="n">
        <x:v>3313</x:v>
      </x:c>
      <x:c r="C3346" s="2" t="str">
        <x:v>37464</x:v>
      </x:c>
      <x:c r="D3346" s="2" t="str">
        <x:v>ROBOT MUG IN DISPLAY BOX</x:v>
      </x:c>
      <x:c r="E3346" s="11" t="n">
        <x:v>431.18</x:v>
      </x:c>
      <x:c r="F3346" s="11" t="n">
        <x:v>0</x:v>
      </x:c>
      <x:c r="G3346" s="11" t="n">
        <x:v>431.18</x:v>
      </x:c>
      <x:c r="H3346" s="23" t="n">
        <x:v>0.000020998608131040406</x:v>
      </x:c>
      <x:c r="I3346" s="23" t="n">
        <x:v>0.9888731222047898</x:v>
      </x:c>
      <x:c r="J3346" s="2" t="n">
        <x:v>82</x:v>
      </x:c>
      <x:c r="K3346" s="2"/>
      <x:c r="L3346" s="2"/>
    </x:row>
    <x:row r="3347" ht="22" customHeight="1">
      <x:c r="A3347" s="2"/>
      <x:c r="B3347" s="2" t="n">
        <x:v>3314</x:v>
      </x:c>
      <x:c r="C3347" s="2" t="str">
        <x:v>84858B</x:v>
      </x:c>
      <x:c r="D3347" s="2" t="str">
        <x:v>BLUE RIVIERA HANDBAG</x:v>
      </x:c>
      <x:c r="E3347" s="11" t="n">
        <x:v>431</x:v>
      </x:c>
      <x:c r="F3347" s="11" t="n">
        <x:v>0</x:v>
      </x:c>
      <x:c r="G3347" s="11" t="n">
        <x:v>431</x:v>
      </x:c>
      <x:c r="H3347" s="23" t="n">
        <x:v>0.000020989842071706514</x:v>
      </x:c>
      <x:c r="I3347" s="23" t="n">
        <x:v>0.9888941120468615</x:v>
      </x:c>
      <x:c r="J3347" s="2" t="n">
        <x:v>9</x:v>
      </x:c>
      <x:c r="K3347" s="2"/>
      <x:c r="L3347" s="2"/>
    </x:row>
    <x:row r="3348" ht="22" customHeight="1">
      <x:c r="A3348" s="2"/>
      <x:c r="B3348" s="2" t="n">
        <x:v>3315</x:v>
      </x:c>
      <x:c r="C3348" s="2" t="str">
        <x:v>23058</x:v>
      </x:c>
      <x:c r="D3348" s="2" t="str">
        <x:v>CHRISTMAS HANGING SNOWFLAKE</x:v>
      </x:c>
      <x:c r="E3348" s="11" t="n">
        <x:v>430.86</x:v>
      </x:c>
      <x:c r="F3348" s="11" t="n">
        <x:v>0</x:v>
      </x:c>
      <x:c r="G3348" s="11" t="n">
        <x:v>430.86</x:v>
      </x:c>
      <x:c r="H3348" s="23" t="n">
        <x:v>0.000020983024025557933</x:v>
      </x:c>
      <x:c r="I3348" s="23" t="n">
        <x:v>0.988915095070887</x:v>
      </x:c>
      <x:c r="J3348" s="2" t="n">
        <x:v>48</x:v>
      </x:c>
      <x:c r="K3348" s="2"/>
      <x:c r="L3348" s="2"/>
    </x:row>
    <x:row r="3349" ht="22" customHeight="1">
      <x:c r="A3349" s="2"/>
      <x:c r="B3349" s="2" t="n">
        <x:v>3316</x:v>
      </x:c>
      <x:c r="C3349" s="2" t="str">
        <x:v>84802B</x:v>
      </x:c>
      <x:c r="D3349" s="2" t="str">
        <x:v>PURPLE ANEMONE ARTIFICIAL FLOWER</x:v>
      </x:c>
      <x:c r="E3349" s="11" t="n">
        <x:v>430.35</x:v>
      </x:c>
      <x:c r="F3349" s="11" t="n">
        <x:v>0</x:v>
      </x:c>
      <x:c r="G3349" s="11" t="n">
        <x:v>430.35</x:v>
      </x:c>
      <x:c r="H3349" s="23" t="n">
        <x:v>0.000020958186857445242</x:v>
      </x:c>
      <x:c r="I3349" s="23" t="n">
        <x:v>0.9889360532577445</x:v>
      </x:c>
      <x:c r="J3349" s="2" t="n">
        <x:v>17</x:v>
      </x:c>
      <x:c r="K3349" s="2"/>
      <x:c r="L3349" s="2"/>
    </x:row>
    <x:row r="3350" ht="22" customHeight="1">
      <x:c r="A3350" s="2"/>
      <x:c r="B3350" s="2" t="n">
        <x:v>3317</x:v>
      </x:c>
      <x:c r="C3350" s="2" t="str">
        <x:v>20851</x:v>
      </x:c>
      <x:c r="D3350" s="2" t="str">
        <x:v>ZINC HEART LATTICE TRAY OVAL </x:v>
      </x:c>
      <x:c r="E3350" s="11" t="n">
        <x:v>429.57</x:v>
      </x:c>
      <x:c r="F3350" s="11" t="n">
        <x:v>11.9</x:v>
      </x:c>
      <x:c r="G3350" s="11" t="n">
        <x:v>417.67</x:v>
      </x:c>
      <x:c r="H3350" s="23" t="n">
        <x:v>0.00002092020060033171</x:v>
      </x:c>
      <x:c r="I3350" s="23" t="n">
        <x:v>0.9889569734583448</x:v>
      </x:c>
      <x:c r="J3350" s="2" t="n">
        <x:v>28</x:v>
      </x:c>
      <x:c r="K3350" s="2"/>
      <x:c r="L3350" s="2"/>
    </x:row>
    <x:row r="3351" ht="22" customHeight="1">
      <x:c r="A3351" s="2"/>
      <x:c r="B3351" s="2" t="n">
        <x:v>3318</x:v>
      </x:c>
      <x:c r="C3351" s="2" t="str">
        <x:v>16045</x:v>
      </x:c>
      <x:c r="D3351" s="2" t="str">
        <x:v>POPART WOODEN PENCILS ASST</x:v>
      </x:c>
      <x:c r="E3351" s="11" t="n">
        <x:v>429.44</x:v>
      </x:c>
      <x:c r="F3351" s="11" t="n">
        <x:v>0</x:v>
      </x:c>
      <x:c r="G3351" s="11" t="n">
        <x:v>429.44</x:v>
      </x:c>
      <x:c r="H3351" s="23" t="n">
        <x:v>0.00002091386955747946</x:v>
      </x:c>
      <x:c r="I3351" s="23" t="n">
        <x:v>0.9889778873279023</x:v>
      </x:c>
      <x:c r="J3351" s="2" t="n">
        <x:v>74</x:v>
      </x:c>
      <x:c r="K3351" s="2"/>
      <x:c r="L3351" s="2"/>
    </x:row>
    <x:row r="3352" ht="22" customHeight="1">
      <x:c r="A3352" s="2"/>
      <x:c r="B3352" s="2" t="n">
        <x:v>3319</x:v>
      </x:c>
      <x:c r="C3352" s="2" t="str">
        <x:v>90013B</x:v>
      </x:c>
      <x:c r="D3352" s="2" t="str">
        <x:v>BLACK VINTAGE EARRINGS</x:v>
      </x:c>
      <x:c r="E3352" s="11" t="n">
        <x:v>428.92</x:v>
      </x:c>
      <x:c r="F3352" s="11" t="n">
        <x:v>0</x:v>
      </x:c>
      <x:c r="G3352" s="11" t="n">
        <x:v>428.92</x:v>
      </x:c>
      <x:c r="H3352" s="23" t="n">
        <x:v>0.00002088854538607044</x:v>
      </x:c>
      <x:c r="I3352" s="23" t="n">
        <x:v>0.9889987758732883</x:v>
      </x:c>
      <x:c r="J3352" s="2" t="n">
        <x:v>79</x:v>
      </x:c>
      <x:c r="K3352" s="2"/>
      <x:c r="L3352" s="2"/>
    </x:row>
    <x:row r="3353" ht="22" customHeight="1">
      <x:c r="A3353" s="2"/>
      <x:c r="B3353" s="2" t="n">
        <x:v>3320</x:v>
      </x:c>
      <x:c r="C3353" s="2" t="str">
        <x:v>84966B</x:v>
      </x:c>
      <x:c r="D3353" s="2" t="str">
        <x:v>BLUE KASHMIRI BOXED MIRROR</x:v>
      </x:c>
      <x:c r="E3353" s="11" t="n">
        <x:v>428</x:v>
      </x:c>
      <x:c r="F3353" s="11" t="n">
        <x:v>0</x:v>
      </x:c>
      <x:c r="G3353" s="11" t="n">
        <x:v>428</x:v>
      </x:c>
      <x:c r="H3353" s="23" t="n">
        <x:v>0.000020843741082808327</x:v>
      </x:c>
      <x:c r="I3353" s="23" t="n">
        <x:v>0.9890196196143711</x:v>
      </x:c>
      <x:c r="J3353" s="2" t="n">
        <x:v>4</x:v>
      </x:c>
      <x:c r="K3353" s="2"/>
      <x:c r="L3353" s="2"/>
    </x:row>
    <x:row r="3354" ht="22" customHeight="1">
      <x:c r="A3354" s="2"/>
      <x:c r="B3354" s="2" t="n">
        <x:v>3321</x:v>
      </x:c>
      <x:c r="C3354" s="2" t="str">
        <x:v>84422</x:v>
      </x:c>
      <x:c r="D3354" s="2" t="str">
        <x:v>Dagamed</x:v>
      </x:c>
      <x:c r="E3354" s="11" t="n">
        <x:v>427.95</x:v>
      </x:c>
      <x:c r="F3354" s="11" t="n">
        <x:v>19.57</x:v>
      </x:c>
      <x:c r="G3354" s="11" t="n">
        <x:v>408.38</x:v>
      </x:c>
      <x:c r="H3354" s="23" t="n">
        <x:v>0.00002084130606632669</x:v>
      </x:c>
      <x:c r="I3354" s="23" t="n">
        <x:v>0.9890404609204374</x:v>
      </x:c>
      <x:c r="J3354" s="2" t="n">
        <x:v>38</x:v>
      </x:c>
      <x:c r="K3354" s="2"/>
      <x:c r="L3354" s="2"/>
    </x:row>
    <x:row r="3355" ht="22" customHeight="1">
      <x:c r="A3355" s="2"/>
      <x:c r="B3355" s="2" t="n">
        <x:v>3322</x:v>
      </x:c>
      <x:c r="C3355" s="2" t="str">
        <x:v>84801A</x:v>
      </x:c>
      <x:c r="D3355" s="2" t="str">
        <x:v>check</x:v>
      </x:c>
      <x:c r="E3355" s="11" t="n">
        <x:v>427.44000000000005</x:v>
      </x:c>
      <x:c r="F3355" s="11" t="n">
        <x:v>0</x:v>
      </x:c>
      <x:c r="G3355" s="11" t="n">
        <x:v>427.44000000000005</x:v>
      </x:c>
      <x:c r="H3355" s="23" t="n">
        <x:v>0.000020816468898214</x:v>
      </x:c>
      <x:c r="I3355" s="23" t="n">
        <x:v>0.9890612773893356</x:v>
      </x:c>
      <x:c r="J3355" s="2" t="n">
        <x:v>15</x:v>
      </x:c>
      <x:c r="K3355" s="2"/>
      <x:c r="L3355" s="2"/>
    </x:row>
    <x:row r="3356" ht="22" customHeight="1">
      <x:c r="A3356" s="2"/>
      <x:c r="B3356" s="2" t="n">
        <x:v>3323</x:v>
      </x:c>
      <x:c r="C3356" s="2" t="str">
        <x:v>85230G</x:v>
      </x:c>
      <x:c r="D3356" s="2" t="str">
        <x:v>ORANGE VOTIVE CANDLE</x:v>
      </x:c>
      <x:c r="E3356" s="11" t="n">
        <x:v>425.75999999999993</x:v>
      </x:c>
      <x:c r="F3356" s="11" t="n">
        <x:v>13.919999999999998</x:v>
      </x:c>
      <x:c r="G3356" s="11" t="n">
        <x:v>411.84</x:v>
      </x:c>
      <x:c r="H3356" s="23" t="n">
        <x:v>0.000020734652344431008</x:v>
      </x:c>
      <x:c r="I3356" s="23" t="n">
        <x:v>0.98908201204168</x:v>
      </x:c>
      <x:c r="J3356" s="2" t="n">
        <x:v>46</x:v>
      </x:c>
      <x:c r="K3356" s="2"/>
      <x:c r="L3356" s="2"/>
    </x:row>
    <x:row r="3357" ht="22" customHeight="1">
      <x:c r="A3357" s="2"/>
      <x:c r="B3357" s="2" t="n">
        <x:v>3324</x:v>
      </x:c>
      <x:c r="C3357" s="2" t="str">
        <x:v>21678</x:v>
      </x:c>
      <x:c r="D3357" s="2" t="str">
        <x:v>PAISLEY PATTERN  STICKERS</x:v>
      </x:c>
      <x:c r="E3357" s="11" t="n">
        <x:v>424.7</x:v>
      </x:c>
      <x:c r="F3357" s="11" t="n">
        <x:v>0</x:v>
      </x:c>
      <x:c r="G3357" s="11" t="n">
        <x:v>424.7</x:v>
      </x:c>
      <x:c r="H3357" s="23" t="n">
        <x:v>0.000020683029995020317</x:v>
      </x:c>
      <x:c r="I3357" s="23" t="n">
        <x:v>0.989102695071675</x:v>
      </x:c>
      <x:c r="J3357" s="2" t="n">
        <x:v>80</x:v>
      </x:c>
      <x:c r="K3357" s="2"/>
      <x:c r="L3357" s="2"/>
    </x:row>
    <x:row r="3358" ht="22" customHeight="1">
      <x:c r="A3358" s="2"/>
      <x:c r="B3358" s="2" t="n">
        <x:v>3325</x:v>
      </x:c>
      <x:c r="C3358" s="2" t="str">
        <x:v>20715</x:v>
      </x:c>
      <x:c r="D3358" s="2" t="str">
        <x:v>LITTLE FLOWER SHOPPER BAG</x:v>
      </x:c>
      <x:c r="E3358" s="11" t="n">
        <x:v>424</x:v>
      </x:c>
      <x:c r="F3358" s="11" t="n">
        <x:v>424</x:v>
      </x:c>
      <x:c r="G3358" s="11" t="n">
        <x:v>0</x:v>
      </x:c>
      <x:c r="H3358" s="23" t="n">
        <x:v>0.000020648939764277406</x:v>
      </x:c>
      <x:c r="I3358" s="23" t="n">
        <x:v>0.9891233440114393</x:v>
      </x:c>
      <x:c r="J3358" s="2" t="n">
        <x:v>1</x:v>
      </x:c>
      <x:c r="K3358" s="2"/>
      <x:c r="L3358" s="2"/>
    </x:row>
    <x:row r="3359" ht="22" customHeight="1">
      <x:c r="A3359" s="2"/>
      <x:c r="B3359" s="2" t="n">
        <x:v>3326</x:v>
      </x:c>
      <x:c r="C3359" s="2" t="str">
        <x:v>21028</x:v>
      </x:c>
      <x:c r="D3359" s="2" t="str">
        <x:v>NINJA RABBIT BLACK</x:v>
      </x:c>
      <x:c r="E3359" s="11" t="n">
        <x:v>423.9</x:v>
      </x:c>
      <x:c r="F3359" s="11" t="n">
        <x:v>0</x:v>
      </x:c>
      <x:c r="G3359" s="11" t="n">
        <x:v>423.9</x:v>
      </x:c>
      <x:c r="H3359" s="23" t="n">
        <x:v>0.000020644069731314135</x:v>
      </x:c>
      <x:c r="I3359" s="23" t="n">
        <x:v>0.9891439880811707</x:v>
      </x:c>
      <x:c r="J3359" s="2" t="n">
        <x:v>92</x:v>
      </x:c>
      <x:c r="K3359" s="2"/>
      <x:c r="L3359" s="2"/>
    </x:row>
    <x:row r="3360" ht="22" customHeight="1">
      <x:c r="A3360" s="2"/>
      <x:c r="B3360" s="2" t="n">
        <x:v>3327</x:v>
      </x:c>
      <x:c r="C3360" s="2" t="str">
        <x:v>45016</x:v>
      </x:c>
      <x:c r="D3360" s="2" t="str">
        <x:v>DECORATIVE NET CANOPY LEOPARD</x:v>
      </x:c>
      <x:c r="E3360" s="11" t="n">
        <x:v>423.73</x:v>
      </x:c>
      <x:c r="F3360" s="11" t="n">
        <x:v>22.5</x:v>
      </x:c>
      <x:c r="G3360" s="11" t="n">
        <x:v>401.23</x:v>
      </x:c>
      <x:c r="H3360" s="23" t="n">
        <x:v>0.000020635790675276572</x:v>
      </x:c>
      <x:c r="I3360" s="23" t="n">
        <x:v>0.9891646238718459</x:v>
      </x:c>
      <x:c r="J3360" s="2" t="n">
        <x:v>25</x:v>
      </x:c>
      <x:c r="K3360" s="2"/>
      <x:c r="L3360" s="2"/>
    </x:row>
    <x:row r="3361" ht="22" customHeight="1">
      <x:c r="A3361" s="2"/>
      <x:c r="B3361" s="2" t="n">
        <x:v>3328</x:v>
      </x:c>
      <x:c r="C3361" s="2" t="str">
        <x:v>16207A</x:v>
      </x:c>
      <x:c r="D3361" s="2" t="str">
        <x:v>PINK STRAWBERRY HANDBAG </x:v>
      </x:c>
      <x:c r="E3361" s="11" t="n">
        <x:v>423.53000000000003</x:v>
      </x:c>
      <x:c r="F3361" s="11" t="n">
        <x:v>0</x:v>
      </x:c>
      <x:c r="G3361" s="11" t="n">
        <x:v>423.53000000000003</x:v>
      </x:c>
      <x:c r="H3361" s="23" t="n">
        <x:v>0.000020626050609350026</x:v>
      </x:c>
      <x:c r="I3361" s="23" t="n">
        <x:v>0.9891852499224553</x:v>
      </x:c>
      <x:c r="J3361" s="2" t="n">
        <x:v>76</x:v>
      </x:c>
      <x:c r="K3361" s="2"/>
      <x:c r="L3361" s="2"/>
    </x:row>
    <x:row r="3362" ht="22" customHeight="1">
      <x:c r="A3362" s="2"/>
      <x:c r="B3362" s="2" t="n">
        <x:v>3329</x:v>
      </x:c>
      <x:c r="C3362" s="2" t="str">
        <x:v>16008</x:v>
      </x:c>
      <x:c r="D3362" s="2" t="str">
        <x:v>SMALL FOLDING SCISSOR(POINTED EDGE)</x:v>
      </x:c>
      <x:c r="E3362" s="11" t="n">
        <x:v>422.96</x:v>
      </x:c>
      <x:c r="F3362" s="11" t="n">
        <x:v>0</x:v>
      </x:c>
      <x:c r="G3362" s="11" t="n">
        <x:v>422.96</x:v>
      </x:c>
      <x:c r="H3362" s="23" t="n">
        <x:v>0.000020598291421459367</x:v>
      </x:c>
      <x:c r="I3362" s="23" t="n">
        <x:v>0.9892058482138767</x:v>
      </x:c>
      <x:c r="J3362" s="2" t="n">
        <x:v>85</x:v>
      </x:c>
      <x:c r="K3362" s="2"/>
      <x:c r="L3362" s="2"/>
    </x:row>
    <x:row r="3363" ht="22" customHeight="1">
      <x:c r="A3363" s="2"/>
      <x:c r="B3363" s="2" t="n">
        <x:v>3330</x:v>
      </x:c>
      <x:c r="C3363" s="2" t="str">
        <x:v>21729</x:v>
      </x:c>
      <x:c r="D3363" s="2" t="str">
        <x:v>SMALL MARAKESH METAL  LANTERN </x:v>
      </x:c>
      <x:c r="E3363" s="11" t="n">
        <x:v>422.9</x:v>
      </x:c>
      <x:c r="F3363" s="11" t="n">
        <x:v>0</x:v>
      </x:c>
      <x:c r="G3363" s="11" t="n">
        <x:v>422.9</x:v>
      </x:c>
      <x:c r="H3363" s="23" t="n">
        <x:v>0.000020595369401681405</x:v>
      </x:c>
      <x:c r="I3363" s="23" t="n">
        <x:v>0.9892264435832784</x:v>
      </x:c>
      <x:c r="J3363" s="2" t="n">
        <x:v>30</x:v>
      </x:c>
      <x:c r="K3363" s="2"/>
      <x:c r="L3363" s="2"/>
    </x:row>
    <x:row r="3364" ht="22" customHeight="1">
      <x:c r="A3364" s="2"/>
      <x:c r="B3364" s="2" t="n">
        <x:v>3331</x:v>
      </x:c>
      <x:c r="C3364" s="2" t="str">
        <x:v>85097B</x:v>
      </x:c>
      <x:c r="D3364" s="2" t="str">
        <x:v>BLUE ROCKING SINGING CANARY</x:v>
      </x:c>
      <x:c r="E3364" s="11" t="n">
        <x:v>420.92</x:v>
      </x:c>
      <x:c r="F3364" s="11" t="n">
        <x:v>38.6</x:v>
      </x:c>
      <x:c r="G3364" s="11" t="n">
        <x:v>382.32</x:v>
      </x:c>
      <x:c r="H3364" s="23" t="n">
        <x:v>0.000020498942749008602</x:v>
      </x:c>
      <x:c r="I3364" s="23" t="n">
        <x:v>0.9892469425260274</x:v>
      </x:c>
      <x:c r="J3364" s="2" t="n">
        <x:v>40</x:v>
      </x:c>
      <x:c r="K3364" s="2"/>
      <x:c r="L3364" s="2"/>
    </x:row>
    <x:row r="3365" ht="22" customHeight="1">
      <x:c r="A3365" s="2"/>
      <x:c r="B3365" s="2" t="n">
        <x:v>3332</x:v>
      </x:c>
      <x:c r="C3365" s="2" t="str">
        <x:v>47579</x:v>
      </x:c>
      <x:c r="D3365" s="2" t="str">
        <x:v>TEA TIME BREAKFAST BASKET</x:v>
      </x:c>
      <x:c r="E3365" s="11" t="n">
        <x:v>420.87</x:v>
      </x:c>
      <x:c r="F3365" s="11" t="n">
        <x:v>2.1</x:v>
      </x:c>
      <x:c r="G3365" s="11" t="n">
        <x:v>418.77000000000004</x:v>
      </x:c>
      <x:c r="H3365" s="23" t="n">
        <x:v>0.000020496507732526963</x:v>
      </x:c>
      <x:c r="I3365" s="23" t="n">
        <x:v>0.9892674390337599</x:v>
      </x:c>
      <x:c r="J3365" s="2" t="n">
        <x:v>55</x:v>
      </x:c>
      <x:c r="K3365" s="2"/>
      <x:c r="L3365" s="2"/>
    </x:row>
    <x:row r="3366" ht="22" customHeight="1">
      <x:c r="A3366" s="2"/>
      <x:c r="B3366" s="2" t="n">
        <x:v>3333</x:v>
      </x:c>
      <x:c r="C3366" s="2" t="str">
        <x:v>46126A</x:v>
      </x:c>
      <x:c r="D3366" s="2" t="str">
        <x:v>ELVIS WALLHANGING / CURTAIN</x:v>
      </x:c>
      <x:c r="E3366" s="11" t="n">
        <x:v>419.99</x:v>
      </x:c>
      <x:c r="F3366" s="11" t="n">
        <x:v>0</x:v>
      </x:c>
      <x:c r="G3366" s="11" t="n">
        <x:v>419.99</x:v>
      </x:c>
      <x:c r="H3366" s="23" t="n">
        <x:v>0.000020453651442450163</x:v>
      </x:c>
      <x:c r="I3366" s="23" t="n">
        <x:v>0.9892878926852023</x:v>
      </x:c>
      <x:c r="J3366" s="2" t="n">
        <x:v>48</x:v>
      </x:c>
      <x:c r="K3366" s="2"/>
      <x:c r="L3366" s="2"/>
    </x:row>
    <x:row r="3367" ht="22" customHeight="1">
      <x:c r="A3367" s="2"/>
      <x:c r="B3367" s="2" t="n">
        <x:v>3334</x:v>
      </x:c>
      <x:c r="C3367" s="2" t="str">
        <x:v>84967C</x:v>
      </x:c>
      <x:c r="D3367" s="2" t="str">
        <x:v>GREEN KASHMIRI OCCASIONAL TABLE</x:v>
      </x:c>
      <x:c r="E3367" s="11" t="n">
        <x:v>419.85</x:v>
      </x:c>
      <x:c r="F3367" s="11" t="n">
        <x:v>0</x:v>
      </x:c>
      <x:c r="G3367" s="11" t="n">
        <x:v>419.85</x:v>
      </x:c>
      <x:c r="H3367" s="23" t="n">
        <x:v>0.000020446833396301582</x:v>
      </x:c>
      <x:c r="I3367" s="23" t="n">
        <x:v>0.9893083395185986</x:v>
      </x:c>
      <x:c r="J3367" s="2" t="n">
        <x:v>4</x:v>
      </x:c>
      <x:c r="K3367" s="2"/>
      <x:c r="L3367" s="2"/>
    </x:row>
    <x:row r="3368" ht="22" customHeight="1">
      <x:c r="A3368" s="2"/>
      <x:c r="B3368" s="2" t="n">
        <x:v>3335</x:v>
      </x:c>
      <x:c r="C3368" s="2" t="str">
        <x:v>84770</x:v>
      </x:c>
      <x:c r="D3368" s="2" t="str">
        <x:v>ROUND GEORGIAN SILVER MIRROR</x:v>
      </x:c>
      <x:c r="E3368" s="11" t="n">
        <x:v>419.25000000000006</x:v>
      </x:c>
      <x:c r="F3368" s="11" t="n">
        <x:v>135.70000000000002</x:v>
      </x:c>
      <x:c r="G3368" s="11" t="n">
        <x:v>283.55000000000007</x:v>
      </x:c>
      <x:c r="H3368" s="23" t="n">
        <x:v>0.000020417613198521946</x:v>
      </x:c>
      <x:c r="I3368" s="23" t="n">
        <x:v>0.9893287571317971</x:v>
      </x:c>
      <x:c r="J3368" s="2" t="n">
        <x:v>16</x:v>
      </x:c>
      <x:c r="K3368" s="2"/>
      <x:c r="L3368" s="2"/>
    </x:row>
    <x:row r="3369" ht="22" customHeight="1">
      <x:c r="A3369" s="2"/>
      <x:c r="B3369" s="2" t="n">
        <x:v>3336</x:v>
      </x:c>
      <x:c r="C3369" s="2" t="str">
        <x:v>21736</x:v>
      </x:c>
      <x:c r="D3369" s="2" t="str">
        <x:v>GOLD SCROLL GLASS T-LIGHT HOLDER</x:v>
      </x:c>
      <x:c r="E3369" s="11" t="n">
        <x:v>418.89000000000004</x:v>
      </x:c>
      <x:c r="F3369" s="11" t="n">
        <x:v>1.17</x:v>
      </x:c>
      <x:c r="G3369" s="11" t="n">
        <x:v>417.72</x:v>
      </x:c>
      <x:c r="H3369" s="23" t="n">
        <x:v>0.00002040008107985416</x:v>
      </x:c>
      <x:c r="I3369" s="23" t="n">
        <x:v>0.989349157212877</x:v>
      </x:c>
      <x:c r="J3369" s="2" t="n">
        <x:v>27</x:v>
      </x:c>
      <x:c r="K3369" s="2"/>
      <x:c r="L3369" s="2"/>
    </x:row>
    <x:row r="3370" ht="22" customHeight="1">
      <x:c r="A3370" s="2"/>
      <x:c r="B3370" s="2" t="n">
        <x:v>3337</x:v>
      </x:c>
      <x:c r="C3370" s="2" t="str">
        <x:v>84007</x:v>
      </x:c>
      <x:c r="D3370" s="2" t="str">
        <x:v>MAGIC GARDEN MOUNT FUJI</x:v>
      </x:c>
      <x:c r="E3370" s="11" t="n">
        <x:v>418.21999999999997</x:v>
      </x:c>
      <x:c r="F3370" s="11" t="n">
        <x:v>0</x:v>
      </x:c>
      <x:c r="G3370" s="11" t="n">
        <x:v>418.21999999999997</x:v>
      </x:c>
      <x:c r="H3370" s="23" t="n">
        <x:v>0.00002036745185900023</x:v>
      </x:c>
      <x:c r="I3370" s="23" t="n">
        <x:v>0.9893695246647359</x:v>
      </x:c>
      <x:c r="J3370" s="2" t="n">
        <x:v>39</x:v>
      </x:c>
      <x:c r="K3370" s="2"/>
      <x:c r="L3370" s="2"/>
    </x:row>
    <x:row r="3371" ht="22" customHeight="1">
      <x:c r="A3371" s="2"/>
      <x:c r="B3371" s="2" t="n">
        <x:v>3338</x:v>
      </x:c>
      <x:c r="C3371" s="2" t="str">
        <x:v>72780</x:v>
      </x:c>
      <x:c r="D3371" s="2" t="str">
        <x:v>BLACK SILOUETTE CANDLE PLATE</x:v>
      </x:c>
      <x:c r="E3371" s="11" t="n">
        <x:v>418.18</x:v>
      </x:c>
      <x:c r="F3371" s="11" t="n">
        <x:v>10.2</x:v>
      </x:c>
      <x:c r="G3371" s="11" t="n">
        <x:v>407.98</x:v>
      </x:c>
      <x:c r="H3371" s="23" t="n">
        <x:v>0.000020365503845814922</x:v>
      </x:c>
      <x:c r="I3371" s="23" t="n">
        <x:v>0.9893898901685817</x:v>
      </x:c>
      <x:c r="J3371" s="2" t="n">
        <x:v>44</x:v>
      </x:c>
      <x:c r="K3371" s="2"/>
      <x:c r="L3371" s="2"/>
    </x:row>
    <x:row r="3372" ht="22" customHeight="1">
      <x:c r="A3372" s="2"/>
      <x:c r="B3372" s="2" t="n">
        <x:v>3339</x:v>
      </x:c>
      <x:c r="C3372" s="2" t="str">
        <x:v>22032</x:v>
      </x:c>
      <x:c r="D3372" s="2" t="str">
        <x:v>BOTANICAL LILY GREETING CARD</x:v>
      </x:c>
      <x:c r="E3372" s="11" t="n">
        <x:v>418.12</x:v>
      </x:c>
      <x:c r="F3372" s="11" t="n">
        <x:v>0</x:v>
      </x:c>
      <x:c r="G3372" s="11" t="n">
        <x:v>418.12</x:v>
      </x:c>
      <x:c r="H3372" s="23" t="n">
        <x:v>0.000020362581826036957</x:v>
      </x:c>
      <x:c r="I3372" s="23" t="n">
        <x:v>0.9894102527504077</x:v>
      </x:c>
      <x:c r="J3372" s="2" t="n">
        <x:v>111</x:v>
      </x:c>
      <x:c r="K3372" s="2"/>
      <x:c r="L3372" s="2"/>
    </x:row>
    <x:row r="3373" ht="22" customHeight="1">
      <x:c r="A3373" s="2"/>
      <x:c r="B3373" s="2" t="n">
        <x:v>3340</x:v>
      </x:c>
      <x:c r="C3373" s="2" t="str">
        <x:v>84532B</x:v>
      </x:c>
      <x:c r="D3373" s="2" t="str">
        <x:v>FAIRY CAKES RECTANGLUAR BOXES</x:v>
      </x:c>
      <x:c r="E3373" s="11" t="n">
        <x:v>417.58</x:v>
      </x:c>
      <x:c r="F3373" s="11" t="n">
        <x:v>0</x:v>
      </x:c>
      <x:c r="G3373" s="11" t="n">
        <x:v>417.58</x:v>
      </x:c>
      <x:c r="H3373" s="23" t="n">
        <x:v>0.000020336283648035283</x:v>
      </x:c>
      <x:c r="I3373" s="23" t="n">
        <x:v>0.9894305890340558</x:v>
      </x:c>
      <x:c r="J3373" s="2" t="n">
        <x:v>31</x:v>
      </x:c>
      <x:c r="K3373" s="2"/>
      <x:c r="L3373" s="2"/>
    </x:row>
    <x:row r="3374" ht="22" customHeight="1">
      <x:c r="A3374" s="2"/>
      <x:c r="B3374" s="2" t="n">
        <x:v>3341</x:v>
      </x:c>
      <x:c r="C3374" s="2" t="str">
        <x:v>72803B</x:v>
      </x:c>
      <x:c r="D3374" s="2" t="str">
        <x:v>OCEAN SCENT CANDLE JEWELLED DRAWER</x:v>
      </x:c>
      <x:c r="E3374" s="11" t="n">
        <x:v>416.38</x:v>
      </x:c>
      <x:c r="F3374" s="11" t="n">
        <x:v>8.5</x:v>
      </x:c>
      <x:c r="G3374" s="11" t="n">
        <x:v>407.88</x:v>
      </x:c>
      <x:c r="H3374" s="23" t="n">
        <x:v>0.000020277843252476007</x:v>
      </x:c>
      <x:c r="I3374" s="23" t="n">
        <x:v>0.9894508668773082</x:v>
      </x:c>
      <x:c r="J3374" s="2" t="n">
        <x:v>36</x:v>
      </x:c>
      <x:c r="K3374" s="2"/>
      <x:c r="L3374" s="2"/>
    </x:row>
    <x:row r="3375" ht="22" customHeight="1">
      <x:c r="A3375" s="2"/>
      <x:c r="B3375" s="2" t="n">
        <x:v>3342</x:v>
      </x:c>
      <x:c r="C3375" s="2" t="str">
        <x:v>85014a</x:v>
      </x:c>
      <x:c r="D3375" s="2" t="str">
        <x:v>BLACK/BLUE POLKADOT UMBRELLA</x:v>
      </x:c>
      <x:c r="E3375" s="11" t="n">
        <x:v>416.12</x:v>
      </x:c>
      <x:c r="F3375" s="11" t="n">
        <x:v>0</x:v>
      </x:c>
      <x:c r="G3375" s="11" t="n">
        <x:v>416.12</x:v>
      </x:c>
      <x:c r="H3375" s="23" t="n">
        <x:v>0.0000202651811667715</x:v>
      </x:c>
      <x:c r="I3375" s="23" t="n">
        <x:v>0.989471132058475</x:v>
      </x:c>
      <x:c r="J3375" s="2" t="n">
        <x:v>28</x:v>
      </x:c>
      <x:c r="K3375" s="2"/>
      <x:c r="L3375" s="2"/>
    </x:row>
    <x:row r="3376" ht="22" customHeight="1">
      <x:c r="A3376" s="2"/>
      <x:c r="B3376" s="2" t="n">
        <x:v>3343</x:v>
      </x:c>
      <x:c r="C3376" s="2" t="str">
        <x:v>35240</x:v>
      </x:c>
      <x:c r="D3376" s="2" t="str">
        <x:v>ENAMEL BLUE RIM OVAL TRAY SET/2</x:v>
      </x:c>
      <x:c r="E3376" s="11" t="n">
        <x:v>416.01</x:v>
      </x:c>
      <x:c r="F3376" s="11" t="n">
        <x:v>0</x:v>
      </x:c>
      <x:c r="G3376" s="11" t="n">
        <x:v>416.01</x:v>
      </x:c>
      <x:c r="H3376" s="23" t="n">
        <x:v>0.000020259824130511898</x:v>
      </x:c>
      <x:c r="I3376" s="23" t="n">
        <x:v>0.9894913918826056</x:v>
      </x:c>
      <x:c r="J3376" s="2" t="n">
        <x:v>39</x:v>
      </x:c>
      <x:c r="K3376" s="2"/>
      <x:c r="L3376" s="2"/>
    </x:row>
    <x:row r="3377" ht="22" customHeight="1">
      <x:c r="A3377" s="2"/>
      <x:c r="B3377" s="2" t="n">
        <x:v>3344</x:v>
      </x:c>
      <x:c r="C3377" s="2" t="str">
        <x:v>20857</x:v>
      </x:c>
      <x:c r="D3377" s="2" t="str">
        <x:v>BLUE ROSE PATCH PURSE PINK BUTTERFL</x:v>
      </x:c>
      <x:c r="E3377" s="11" t="n">
        <x:v>415.79999999999995</x:v>
      </x:c>
      <x:c r="F3377" s="11" t="n">
        <x:v>26.4</x:v>
      </x:c>
      <x:c r="G3377" s="11" t="n">
        <x:v>389.4</x:v>
      </x:c>
      <x:c r="H3377" s="23" t="n">
        <x:v>0.000020249597061289022</x:v>
      </x:c>
      <x:c r="I3377" s="23" t="n">
        <x:v>0.9895116414796669</x:v>
      </x:c>
      <x:c r="J3377" s="2" t="n">
        <x:v>73</x:v>
      </x:c>
      <x:c r="K3377" s="2"/>
      <x:c r="L3377" s="2"/>
    </x:row>
    <x:row r="3378" ht="22" customHeight="1">
      <x:c r="A3378" s="2"/>
      <x:c r="B3378" s="2" t="n">
        <x:v>3345</x:v>
      </x:c>
      <x:c r="C3378" s="2" t="str">
        <x:v>84529C</x:v>
      </x:c>
      <x:c r="D3378" s="2" t="str">
        <x:v>YELLOW KNITTED KIDS RUCKSACK</x:v>
      </x:c>
      <x:c r="E3378" s="11" t="n">
        <x:v>414.74</x:v>
      </x:c>
      <x:c r="F3378" s="11" t="n">
        <x:v>0</x:v>
      </x:c>
      <x:c r="G3378" s="11" t="n">
        <x:v>414.74</x:v>
      </x:c>
      <x:c r="H3378" s="23" t="n">
        <x:v>0.00002019797471187833</x:v>
      </x:c>
      <x:c r="I3378" s="23" t="n">
        <x:v>0.9895318394543787</x:v>
      </x:c>
      <x:c r="J3378" s="2" t="n">
        <x:v>37</x:v>
      </x:c>
      <x:c r="K3378" s="2"/>
      <x:c r="L3378" s="2"/>
    </x:row>
    <x:row r="3379" ht="22" customHeight="1">
      <x:c r="A3379" s="2"/>
      <x:c r="B3379" s="2" t="n">
        <x:v>3346</x:v>
      </x:c>
      <x:c r="C3379" s="2" t="str">
        <x:v>84804A</x:v>
      </x:c>
      <x:c r="D3379" s="2" t="str">
        <x:v>CREAM DELPHINIUM ARTIFICIAL FLOWER</x:v>
      </x:c>
      <x:c r="E3379" s="11" t="n">
        <x:v>414.08000000000004</x:v>
      </x:c>
      <x:c r="F3379" s="11" t="n">
        <x:v>0</x:v>
      </x:c>
      <x:c r="G3379" s="11" t="n">
        <x:v>414.08000000000004</x:v>
      </x:c>
      <x:c r="H3379" s="23" t="n">
        <x:v>0.00002016583249432073</x:v>
      </x:c>
      <x:c r="I3379" s="23" t="n">
        <x:v>0.989552005286873</x:v>
      </x:c>
      <x:c r="J3379" s="2" t="n">
        <x:v>18</x:v>
      </x:c>
      <x:c r="K3379" s="2"/>
      <x:c r="L3379" s="2"/>
    </x:row>
    <x:row r="3380" ht="22" customHeight="1">
      <x:c r="A3380" s="2"/>
      <x:c r="B3380" s="2" t="n">
        <x:v>3347</x:v>
      </x:c>
      <x:c r="C3380" s="2" t="str">
        <x:v>85112</x:v>
      </x:c>
      <x:c r="D3380" s="2" t="str">
        <x:v>S/3 TEAR DROP CUT GLASS DECORATION</x:v>
      </x:c>
      <x:c r="E3380" s="11" t="n">
        <x:v>414.02</x:v>
      </x:c>
      <x:c r="F3380" s="11" t="n">
        <x:v>0</x:v>
      </x:c>
      <x:c r="G3380" s="11" t="n">
        <x:v>414.02</x:v>
      </x:c>
      <x:c r="H3380" s="23" t="n">
        <x:v>0.000020162910474542765</x:v>
      </x:c>
      <x:c r="I3380" s="23" t="n">
        <x:v>0.9895721681973476</x:v>
      </x:c>
      <x:c r="J3380" s="2" t="n">
        <x:v>34</x:v>
      </x:c>
      <x:c r="K3380" s="2"/>
      <x:c r="L3380" s="2"/>
    </x:row>
    <x:row r="3381" ht="22" customHeight="1">
      <x:c r="A3381" s="2"/>
      <x:c r="B3381" s="2" t="n">
        <x:v>3348</x:v>
      </x:c>
      <x:c r="C3381" s="2" t="str">
        <x:v>22395</x:v>
      </x:c>
      <x:c r="D3381" s="2" t="str">
        <x:v>PAPERWEIGHT VINTAGE PAISLEY</x:v>
      </x:c>
      <x:c r="E3381" s="11" t="n">
        <x:v>413.76</x:v>
      </x:c>
      <x:c r="F3381" s="11" t="n">
        <x:v>0</x:v>
      </x:c>
      <x:c r="G3381" s="11" t="n">
        <x:v>413.76</x:v>
      </x:c>
      <x:c r="H3381" s="23" t="n">
        <x:v>0.000020150248388838254</x:v>
      </x:c>
      <x:c r="I3381" s="23" t="n">
        <x:v>0.9895923184457365</x:v>
      </x:c>
      <x:c r="J3381" s="2" t="n">
        <x:v>53</x:v>
      </x:c>
      <x:c r="K3381" s="2"/>
      <x:c r="L3381" s="2"/>
    </x:row>
    <x:row r="3382" ht="22" customHeight="1">
      <x:c r="A3382" s="2"/>
      <x:c r="B3382" s="2" t="n">
        <x:v>3349</x:v>
      </x:c>
      <x:c r="C3382" s="2" t="str">
        <x:v>23459</x:v>
      </x:c>
      <x:c r="D3382" s="2" t="str">
        <x:v>DOLLY CABINET 2 DRAWERS </x:v>
      </x:c>
      <x:c r="E3382" s="11" t="n">
        <x:v>412.5</x:v>
      </x:c>
      <x:c r="F3382" s="11" t="n">
        <x:v>37.5</x:v>
      </x:c>
      <x:c r="G3382" s="11" t="n">
        <x:v>375</x:v>
      </x:c>
      <x:c r="H3382" s="23" t="n">
        <x:v>0.000020088885973501016</x:v>
      </x:c>
      <x:c r="I3382" s="23" t="n">
        <x:v>0.98961240733171</x:v>
      </x:c>
      <x:c r="J3382" s="2" t="n">
        <x:v>19</x:v>
      </x:c>
      <x:c r="K3382" s="2"/>
      <x:c r="L3382" s="2"/>
    </x:row>
    <x:row r="3383" ht="22" customHeight="1">
      <x:c r="A3383" s="2"/>
      <x:c r="B3383" s="2" t="n">
        <x:v>3350</x:v>
      </x:c>
      <x:c r="C3383" s="2" t="str">
        <x:v>20666</x:v>
      </x:c>
      <x:c r="D3383" s="2" t="str">
        <x:v>ECONOMY HOLIDAY PURSE</x:v>
      </x:c>
      <x:c r="E3383" s="11" t="n">
        <x:v>412.45000000000005</x:v>
      </x:c>
      <x:c r="F3383" s="11" t="n">
        <x:v>68</x:v>
      </x:c>
      <x:c r="G3383" s="11" t="n">
        <x:v>344.45000000000005</x:v>
      </x:c>
      <x:c r="H3383" s="23" t="n">
        <x:v>0.00002008645095701938</x:v>
      </x:c>
      <x:c r="I3383" s="23" t="n">
        <x:v>0.9896324937826669</x:v>
      </x:c>
      <x:c r="J3383" s="2" t="n">
        <x:v>46</x:v>
      </x:c>
      <x:c r="K3383" s="2"/>
      <x:c r="L3383" s="2"/>
    </x:row>
    <x:row r="3384" ht="22" customHeight="1">
      <x:c r="A3384" s="2"/>
      <x:c r="B3384" s="2" t="n">
        <x:v>3351</x:v>
      </x:c>
      <x:c r="C3384" s="2" t="str">
        <x:v>23415</x:v>
      </x:c>
      <x:c r="D3384" s="2" t="str">
        <x:v>HOME SWEET HOME HOOK</x:v>
      </x:c>
      <x:c r="E3384" s="11" t="n">
        <x:v>412.17999999999995</x:v>
      </x:c>
      <x:c r="F3384" s="11" t="n">
        <x:v>8.25</x:v>
      </x:c>
      <x:c r="G3384" s="11" t="n">
        <x:v>403.92999999999995</x:v>
      </x:c>
      <x:c r="H3384" s="23" t="n">
        <x:v>0.00002007330186801854</x:v>
      </x:c>
      <x:c r="I3384" s="23" t="n">
        <x:v>0.989652567084535</x:v>
      </x:c>
      <x:c r="J3384" s="2" t="n">
        <x:v>47</x:v>
      </x:c>
      <x:c r="K3384" s="2"/>
      <x:c r="L3384" s="2"/>
    </x:row>
    <x:row r="3385" ht="22" customHeight="1">
      <x:c r="A3385" s="2"/>
      <x:c r="B3385" s="2" t="n">
        <x:v>3352</x:v>
      </x:c>
      <x:c r="C3385" s="2" t="str">
        <x:v>21520</x:v>
      </x:c>
      <x:c r="D3385" s="2" t="str">
        <x:v>BOOZE &amp; WOMEN GREETING CARD </x:v>
      </x:c>
      <x:c r="E3385" s="11" t="n">
        <x:v>411.63</x:v>
      </x:c>
      <x:c r="F3385" s="11" t="n">
        <x:v>0.84</x:v>
      </x:c>
      <x:c r="G3385" s="11" t="n">
        <x:v>410.79</x:v>
      </x:c>
      <x:c r="H3385" s="23" t="n">
        <x:v>0.00002004651668672054</x:v>
      </x:c>
      <x:c r="I3385" s="23" t="n">
        <x:v>0.9896726136012217</x:v>
      </x:c>
      <x:c r="J3385" s="2" t="n">
        <x:v>108</x:v>
      </x:c>
      <x:c r="K3385" s="2"/>
      <x:c r="L3385" s="2"/>
    </x:row>
    <x:row r="3386" ht="22" customHeight="1">
      <x:c r="A3386" s="2"/>
      <x:c r="B3386" s="2" t="n">
        <x:v>3353</x:v>
      </x:c>
      <x:c r="C3386" s="2" t="str">
        <x:v>84873A</x:v>
      </x:c>
      <x:c r="D3386" s="2" t="str">
        <x:v>FUNKY FLOWER PICNIC BAG FOR 4</x:v>
      </x:c>
      <x:c r="E3386" s="11" t="n">
        <x:v>411.09999999999997</x:v>
      </x:c>
      <x:c r="F3386" s="11" t="n">
        <x:v>0</x:v>
      </x:c>
      <x:c r="G3386" s="11" t="n">
        <x:v>411.09999999999997</x:v>
      </x:c>
      <x:c r="H3386" s="23" t="n">
        <x:v>0.000020020705512015194</x:v>
      </x:c>
      <x:c r="I3386" s="23" t="n">
        <x:v>0.9896926343067337</x:v>
      </x:c>
      <x:c r="J3386" s="2" t="n">
        <x:v>16</x:v>
      </x:c>
      <x:c r="K3386" s="2"/>
      <x:c r="L3386" s="2"/>
    </x:row>
    <x:row r="3387" ht="22" customHeight="1">
      <x:c r="A3387" s="2"/>
      <x:c r="B3387" s="2" t="n">
        <x:v>3354</x:v>
      </x:c>
      <x:c r="C3387" s="2" t="str">
        <x:v>84884a</x:v>
      </x:c>
      <x:c r="D3387" s="2" t="str">
        <x:v>ANT WHITE WIRE HEART SPIRAL</x:v>
      </x:c>
      <x:c r="E3387" s="11" t="n">
        <x:v>410.89</x:v>
      </x:c>
      <x:c r="F3387" s="11" t="n">
        <x:v>0</x:v>
      </x:c>
      <x:c r="G3387" s="11" t="n">
        <x:v>410.89</x:v>
      </x:c>
      <x:c r="H3387" s="23" t="n">
        <x:v>0.000020010478442792322</x:v>
      </x:c>
      <x:c r="I3387" s="23" t="n">
        <x:v>0.9897126447851765</x:v>
      </x:c>
      <x:c r="J3387" s="2" t="n">
        <x:v>35</x:v>
      </x:c>
      <x:c r="K3387" s="2"/>
      <x:c r="L3387" s="2"/>
    </x:row>
    <x:row r="3388" ht="22" customHeight="1">
      <x:c r="A3388" s="2"/>
      <x:c r="B3388" s="2" t="n">
        <x:v>3355</x:v>
      </x:c>
      <x:c r="C3388" s="2" t="str">
        <x:v>21341</x:v>
      </x:c>
      <x:c r="D3388" s="2" t="str">
        <x:v>KASBAH LANTERN WITH GLASS </x:v>
      </x:c>
      <x:c r="E3388" s="11" t="n">
        <x:v>410.64000000000004</x:v>
      </x:c>
      <x:c r="F3388" s="11" t="n">
        <x:v>0</x:v>
      </x:c>
      <x:c r="G3388" s="11" t="n">
        <x:v>410.64000000000004</x:v>
      </x:c>
      <x:c r="H3388" s="23" t="n">
        <x:v>0.00001999830336038414</x:v>
      </x:c>
      <x:c r="I3388" s="23" t="n">
        <x:v>0.9897326430885369</x:v>
      </x:c>
      <x:c r="J3388" s="2" t="n">
        <x:v>29</x:v>
      </x:c>
      <x:c r="K3388" s="2"/>
      <x:c r="L3388" s="2"/>
    </x:row>
    <x:row r="3389" ht="22" customHeight="1">
      <x:c r="A3389" s="2"/>
      <x:c r="B3389" s="2" t="n">
        <x:v>3356</x:v>
      </x:c>
      <x:c r="C3389" s="2" t="str">
        <x:v>90149</x:v>
      </x:c>
      <x:c r="D3389" s="2" t="str">
        <x:v>SILVER FLOWR PINK SHELL NECKLACE</x:v>
      </x:c>
      <x:c r="E3389" s="11" t="n">
        <x:v>410.26000000000005</x:v>
      </x:c>
      <x:c r="F3389" s="11" t="n">
        <x:v>0</x:v>
      </x:c>
      <x:c r="G3389" s="11" t="n">
        <x:v>410.26000000000005</x:v>
      </x:c>
      <x:c r="H3389" s="23" t="n">
        <x:v>0.000019979797235123705</x:v>
      </x:c>
      <x:c r="I3389" s="23" t="n">
        <x:v>0.989752622885772</x:v>
      </x:c>
      <x:c r="J3389" s="2" t="n">
        <x:v>9</x:v>
      </x:c>
      <x:c r="K3389" s="2"/>
      <x:c r="L3389" s="2"/>
    </x:row>
    <x:row r="3390" ht="22" customHeight="1">
      <x:c r="A3390" s="2"/>
      <x:c r="B3390" s="2" t="n">
        <x:v>3357</x:v>
      </x:c>
      <x:c r="C3390" s="2" t="str">
        <x:v>37444B</x:v>
      </x:c>
      <x:c r="D3390" s="2" t="str">
        <x:v>BLUE BREAKFAST CUP AND SAUCER </x:v>
      </x:c>
      <x:c r="E3390" s="11" t="n">
        <x:v>409.6</x:v>
      </x:c>
      <x:c r="F3390" s="11" t="n">
        <x:v>127.92</x:v>
      </x:c>
      <x:c r="G3390" s="11" t="n">
        <x:v>281.68</x:v>
      </x:c>
      <x:c r="H3390" s="23" t="n">
        <x:v>0.0000199476550175661</x:v>
      </x:c>
      <x:c r="I3390" s="23" t="n">
        <x:v>0.9897725705407896</x:v>
      </x:c>
      <x:c r="J3390" s="2" t="n">
        <x:v>28</x:v>
      </x:c>
      <x:c r="K3390" s="2"/>
      <x:c r="L3390" s="2"/>
    </x:row>
    <x:row r="3391" ht="22" customHeight="1">
      <x:c r="A3391" s="2"/>
      <x:c r="B3391" s="2" t="n">
        <x:v>3358</x:v>
      </x:c>
      <x:c r="C3391" s="2" t="str">
        <x:v>16169F</x:v>
      </x:c>
      <x:c r="D3391" s="2" t="str">
        <x:v>WRAP BLIZZARD</x:v>
      </x:c>
      <x:c r="E3391" s="11" t="n">
        <x:v>409.5</x:v>
      </x:c>
      <x:c r="F3391" s="11" t="n">
        <x:v>0</x:v>
      </x:c>
      <x:c r="G3391" s="11" t="n">
        <x:v>409.5</x:v>
      </x:c>
      <x:c r="H3391" s="23" t="n">
        <x:v>0.000019942784984602825</x:v>
      </x:c>
      <x:c r="I3391" s="23" t="n">
        <x:v>0.9897925133257742</x:v>
      </x:c>
      <x:c r="J3391" s="2" t="n">
        <x:v>34</x:v>
      </x:c>
      <x:c r="K3391" s="2"/>
      <x:c r="L3391" s="2"/>
    </x:row>
    <x:row r="3392" ht="22" customHeight="1">
      <x:c r="A3392" s="2"/>
      <x:c r="B3392" s="2" t="n">
        <x:v>3359</x:v>
      </x:c>
      <x:c r="C3392" s="2" t="str">
        <x:v>84595B</x:v>
      </x:c>
      <x:c r="D3392" s="2" t="str">
        <x:v>LARGE TRIFLE DESIGN L BLUE BOWL</x:v>
      </x:c>
      <x:c r="E3392" s="11" t="n">
        <x:v>408.9</x:v>
      </x:c>
      <x:c r="F3392" s="11" t="n">
        <x:v>0</x:v>
      </x:c>
      <x:c r="G3392" s="11" t="n">
        <x:v>408.9</x:v>
      </x:c>
      <x:c r="H3392" s="23" t="n">
        <x:v>0.00001991356478682319</x:v>
      </x:c>
      <x:c r="I3392" s="23" t="n">
        <x:v>0.989812426890561</x:v>
      </x:c>
      <x:c r="J3392" s="2" t="n">
        <x:v>16</x:v>
      </x:c>
      <x:c r="K3392" s="2"/>
      <x:c r="L3392" s="2"/>
    </x:row>
    <x:row r="3393" ht="22" customHeight="1">
      <x:c r="A3393" s="2"/>
      <x:c r="B3393" s="2" t="n">
        <x:v>3360</x:v>
      </x:c>
      <x:c r="C3393" s="2" t="str">
        <x:v>21252</x:v>
      </x:c>
      <x:c r="D3393" s="2" t="str">
        <x:v>SET OF MEADOW  FLOWER STICKERS</x:v>
      </x:c>
      <x:c r="E3393" s="11" t="n">
        <x:v>408.66</x:v>
      </x:c>
      <x:c r="F3393" s="11" t="n">
        <x:v>0</x:v>
      </x:c>
      <x:c r="G3393" s="11" t="n">
        <x:v>408.66</x:v>
      </x:c>
      <x:c r="H3393" s="23" t="n">
        <x:v>0.000019901876707711336</x:v>
      </x:c>
      <x:c r="I3393" s="23" t="n">
        <x:v>0.9898323287672688</x:v>
      </x:c>
      <x:c r="J3393" s="2" t="n">
        <x:v>22</x:v>
      </x:c>
      <x:c r="K3393" s="2"/>
      <x:c r="L3393" s="2"/>
    </x:row>
    <x:row r="3394" ht="22" customHeight="1">
      <x:c r="A3394" s="2"/>
      <x:c r="B3394" s="2" t="n">
        <x:v>3361</x:v>
      </x:c>
      <x:c r="C3394" s="2" t="str">
        <x:v>90206C</x:v>
      </x:c>
      <x:c r="D3394" s="2" t="str">
        <x:v>CRYSTAL DIAMANTE STAR BROOCH</x:v>
      </x:c>
      <x:c r="E3394" s="11" t="n">
        <x:v>407.56</x:v>
      </x:c>
      <x:c r="F3394" s="11" t="n">
        <x:v>0</x:v>
      </x:c>
      <x:c r="G3394" s="11" t="n">
        <x:v>407.56</x:v>
      </x:c>
      <x:c r="H3394" s="23" t="n">
        <x:v>0.000019848306345115332</x:v>
      </x:c>
      <x:c r="I3394" s="23" t="n">
        <x:v>0.989852177073614</x:v>
      </x:c>
      <x:c r="J3394" s="2" t="n">
        <x:v>57</x:v>
      </x:c>
      <x:c r="K3394" s="2"/>
      <x:c r="L3394" s="2"/>
    </x:row>
    <x:row r="3395" ht="22" customHeight="1">
      <x:c r="A3395" s="2"/>
      <x:c r="B3395" s="2" t="n">
        <x:v>3362</x:v>
      </x:c>
      <x:c r="C3395" s="2" t="str">
        <x:v>23339</x:v>
      </x:c>
      <x:c r="D3395" s="2" t="str">
        <x:v>EGG FRYING PAN BLUE </x:v>
      </x:c>
      <x:c r="E3395" s="11" t="n">
        <x:v>405</x:v>
      </x:c>
      <x:c r="F3395" s="11" t="n">
        <x:v>0</x:v>
      </x:c>
      <x:c r="G3395" s="11" t="n">
        <x:v>405</x:v>
      </x:c>
      <x:c r="H3395" s="23" t="n">
        <x:v>0.000019723633501255544</x:v>
      </x:c>
      <x:c r="I3395" s="23" t="n">
        <x:v>0.9898719007071152</x:v>
      </x:c>
      <x:c r="J3395" s="2" t="n">
        <x:v>76</x:v>
      </x:c>
      <x:c r="K3395" s="2"/>
      <x:c r="L3395" s="2"/>
    </x:row>
    <x:row r="3396" ht="22" customHeight="1">
      <x:c r="A3396" s="2"/>
      <x:c r="B3396" s="2" t="n">
        <x:v>3363</x:v>
      </x:c>
      <x:c r="C3396" s="2" t="str">
        <x:v>84984D</x:v>
      </x:c>
      <x:c r="D3396" s="2" t="str">
        <x:v>ORIENTAL RED CUSHION COVER </x:v>
      </x:c>
      <x:c r="E3396" s="11" t="n">
        <x:v>404.91</x:v>
      </x:c>
      <x:c r="F3396" s="11" t="n">
        <x:v>0</x:v>
      </x:c>
      <x:c r="G3396" s="11" t="n">
        <x:v>404.91</x:v>
      </x:c>
      <x:c r="H3396" s="23" t="n">
        <x:v>0.000019719250471588598</x:v>
      </x:c>
      <x:c r="I3396" s="23" t="n">
        <x:v>0.9898916199575868</x:v>
      </x:c>
      <x:c r="J3396" s="2" t="n">
        <x:v>21</x:v>
      </x:c>
      <x:c r="K3396" s="2"/>
      <x:c r="L3396" s="2"/>
    </x:row>
    <x:row r="3397" ht="22" customHeight="1">
      <x:c r="A3397" s="2"/>
      <x:c r="B3397" s="2" t="n">
        <x:v>3364</x:v>
      </x:c>
      <x:c r="C3397" s="2" t="str">
        <x:v>72801E</x:v>
      </x:c>
      <x:c r="D3397" s="2" t="str">
        <x:v>4 FESTIVE GREEN DINNER CANDLES</x:v>
      </x:c>
      <x:c r="E3397" s="11" t="n">
        <x:v>404.75</x:v>
      </x:c>
      <x:c r="F3397" s="11" t="n">
        <x:v>0</x:v>
      </x:c>
      <x:c r="G3397" s="11" t="n">
        <x:v>404.75</x:v>
      </x:c>
      <x:c r="H3397" s="23" t="n">
        <x:v>0.00001971145841884736</x:v>
      </x:c>
      <x:c r="I3397" s="23" t="n">
        <x:v>0.9899113314160056</x:v>
      </x:c>
      <x:c r="J3397" s="2" t="n">
        <x:v>24</x:v>
      </x:c>
      <x:c r="K3397" s="2"/>
      <x:c r="L3397" s="2"/>
    </x:row>
    <x:row r="3398" ht="22" customHeight="1">
      <x:c r="A3398" s="2"/>
      <x:c r="B3398" s="2" t="n">
        <x:v>3365</x:v>
      </x:c>
      <x:c r="C3398" s="2" t="str">
        <x:v>84968e</x:v>
      </x:c>
      <x:c r="D3398" s="2" t="str">
        <x:v>SET OF 16 VINTAGE BLACK CUTLERY</x:v>
      </x:c>
      <x:c r="E3398" s="11" t="n">
        <x:v>404.13</x:v>
      </x:c>
      <x:c r="F3398" s="11" t="n">
        <x:v>0</x:v>
      </x:c>
      <x:c r="G3398" s="11" t="n">
        <x:v>404.13</x:v>
      </x:c>
      <x:c r="H3398" s="23" t="n">
        <x:v>0.000019681264214475067</x:v>
      </x:c>
      <x:c r="I3398" s="23" t="n">
        <x:v>0.9899310126802201</x:v>
      </x:c>
      <x:c r="J3398" s="2" t="n">
        <x:v>13</x:v>
      </x:c>
      <x:c r="K3398" s="2"/>
      <x:c r="L3398" s="2"/>
    </x:row>
    <x:row r="3399" ht="22" customHeight="1">
      <x:c r="A3399" s="2"/>
      <x:c r="B3399" s="2" t="n">
        <x:v>3366</x:v>
      </x:c>
      <x:c r="C3399" s="2" t="str">
        <x:v>84510C</x:v>
      </x:c>
      <x:c r="D3399" s="2" t="str">
        <x:v>SET OF 4 POLKADOT COASTERS</x:v>
      </x:c>
      <x:c r="E3399" s="11" t="n">
        <x:v>404.09</x:v>
      </x:c>
      <x:c r="F3399" s="11" t="n">
        <x:v>0</x:v>
      </x:c>
      <x:c r="G3399" s="11" t="n">
        <x:v>404.09</x:v>
      </x:c>
      <x:c r="H3399" s="23" t="n">
        <x:v>0.000019679316201289757</x:v>
      </x:c>
      <x:c r="I3399" s="23" t="n">
        <x:v>0.9899506919964214</x:v>
      </x:c>
      <x:c r="J3399" s="2" t="n">
        <x:v>101</x:v>
      </x:c>
      <x:c r="K3399" s="2"/>
      <x:c r="L3399" s="2"/>
    </x:row>
    <x:row r="3400" ht="22" customHeight="1">
      <x:c r="A3400" s="2"/>
      <x:c r="B3400" s="2" t="n">
        <x:v>3367</x:v>
      </x:c>
      <x:c r="C3400" s="2" t="str">
        <x:v>82076</x:v>
      </x:c>
      <x:c r="D3400" s="2" t="str">
        <x:v>BEECH WOOD PHOTO FRAME </x:v>
      </x:c>
      <x:c r="E3400" s="11" t="n">
        <x:v>403.64</x:v>
      </x:c>
      <x:c r="F3400" s="11" t="n">
        <x:v>0</x:v>
      </x:c>
      <x:c r="G3400" s="11" t="n">
        <x:v>403.64</x:v>
      </x:c>
      <x:c r="H3400" s="23" t="n">
        <x:v>0.000019657401052955028</x:v>
      </x:c>
      <x:c r="I3400" s="23" t="n">
        <x:v>0.9899703493974743</x:v>
      </x:c>
      <x:c r="J3400" s="2" t="n">
        <x:v>19</x:v>
      </x:c>
      <x:c r="K3400" s="2"/>
      <x:c r="L3400" s="2"/>
    </x:row>
    <x:row r="3401" ht="22" customHeight="1">
      <x:c r="A3401" s="2"/>
      <x:c r="B3401" s="2" t="n">
        <x:v>3368</x:v>
      </x:c>
      <x:c r="C3401" s="2" t="str">
        <x:v>21698</x:v>
      </x:c>
      <x:c r="D3401" s="2" t="str">
        <x:v>MOCK LOBSTER FRIDGE MAGNET</x:v>
      </x:c>
      <x:c r="E3401" s="11" t="n">
        <x:v>401.56</x:v>
      </x:c>
      <x:c r="F3401" s="11" t="n">
        <x:v>0</x:v>
      </x:c>
      <x:c r="G3401" s="11" t="n">
        <x:v>401.56</x:v>
      </x:c>
      <x:c r="H3401" s="23" t="n">
        <x:v>0.000019556104367318953</x:v>
      </x:c>
      <x:c r="I3401" s="23" t="n">
        <x:v>0.9899899055018416</x:v>
      </x:c>
      <x:c r="J3401" s="2" t="n">
        <x:v>112</x:v>
      </x:c>
      <x:c r="K3401" s="2"/>
      <x:c r="L3401" s="2"/>
    </x:row>
    <x:row r="3402" ht="22" customHeight="1">
      <x:c r="A3402" s="2"/>
      <x:c r="B3402" s="2" t="n">
        <x:v>3369</x:v>
      </x:c>
      <x:c r="C3402" s="2" t="str">
        <x:v>84932B</x:v>
      </x:c>
      <x:c r="D3402" s="2" t="str">
        <x:v>SMALL PINK PEONY FOLDING STOOL</x:v>
      </x:c>
      <x:c r="E3402" s="11" t="n">
        <x:v>401.3</x:v>
      </x:c>
      <x:c r="F3402" s="11" t="n">
        <x:v>0</x:v>
      </x:c>
      <x:c r="G3402" s="11" t="n">
        <x:v>401.3</x:v>
      </x:c>
      <x:c r="H3402" s="23" t="n">
        <x:v>0.000019543442281614445</x:v>
      </x:c>
      <x:c r="I3402" s="23" t="n">
        <x:v>0.9900094489441232</x:v>
      </x:c>
      <x:c r="J3402" s="2" t="n">
        <x:v>17</x:v>
      </x:c>
      <x:c r="K3402" s="2"/>
      <x:c r="L3402" s="2"/>
    </x:row>
    <x:row r="3403" ht="22" customHeight="1">
      <x:c r="A3403" s="2"/>
      <x:c r="B3403" s="2" t="n">
        <x:v>3370</x:v>
      </x:c>
      <x:c r="C3403" s="2" t="str">
        <x:v>84984C</x:v>
      </x:c>
      <x:c r="D3403" s="2" t="str">
        <x:v>ORIENTAL BLUE CUSHION COVER </x:v>
      </x:c>
      <x:c r="E3403" s="11" t="n">
        <x:v>401.16</x:v>
      </x:c>
      <x:c r="F3403" s="11" t="n">
        <x:v>0</x:v>
      </x:c>
      <x:c r="G3403" s="11" t="n">
        <x:v>401.16</x:v>
      </x:c>
      <x:c r="H3403" s="23" t="n">
        <x:v>0.000019536624235465863</x:v>
      </x:c>
      <x:c r="I3403" s="23" t="n">
        <x:v>0.9900289855683587</x:v>
      </x:c>
      <x:c r="J3403" s="2" t="n">
        <x:v>16</x:v>
      </x:c>
      <x:c r="K3403" s="2"/>
      <x:c r="L3403" s="2"/>
    </x:row>
    <x:row r="3404" ht="22" customHeight="1">
      <x:c r="A3404" s="2"/>
      <x:c r="B3404" s="2" t="n">
        <x:v>3371</x:v>
      </x:c>
      <x:c r="C3404" s="2" t="str">
        <x:v>23576</x:v>
      </x:c>
      <x:c r="D3404" s="2" t="str">
        <x:v>SNACK TRAY RED VINTAGE DOILY</x:v>
      </x:c>
      <x:c r="E3404" s="11" t="n">
        <x:v>400.03999999999996</x:v>
      </x:c>
      <x:c r="F3404" s="11" t="n">
        <x:v>0</x:v>
      </x:c>
      <x:c r="G3404" s="11" t="n">
        <x:v>400.03999999999996</x:v>
      </x:c>
      <x:c r="H3404" s="23" t="n">
        <x:v>0.0000194820798662772</x:v>
      </x:c>
      <x:c r="I3404" s="23" t="n">
        <x:v>0.990048467648225</x:v>
      </x:c>
      <x:c r="J3404" s="2" t="n">
        <x:v>37</x:v>
      </x:c>
      <x:c r="K3404" s="2"/>
      <x:c r="L3404" s="2"/>
    </x:row>
    <x:row r="3405" ht="22" customHeight="1">
      <x:c r="A3405" s="2"/>
      <x:c r="B3405" s="2" t="n">
        <x:v>3372</x:v>
      </x:c>
      <x:c r="C3405" s="2" t="str">
        <x:v>23429</x:v>
      </x:c>
      <x:c r="D3405" s="2" t="str">
        <x:v>RED RETRO KITCHEN WALL CLOCK</x:v>
      </x:c>
      <x:c r="E3405" s="11" t="n">
        <x:v>400.01</x:v>
      </x:c>
      <x:c r="F3405" s="11" t="n">
        <x:v>0</x:v>
      </x:c>
      <x:c r="G3405" s="11" t="n">
        <x:v>400.01</x:v>
      </x:c>
      <x:c r="H3405" s="23" t="n">
        <x:v>0.00001948061885638822</x:v>
      </x:c>
      <x:c r="I3405" s="23" t="n">
        <x:v>0.9900679482670813</x:v>
      </x:c>
      <x:c r="J3405" s="2" t="n">
        <x:v>23</x:v>
      </x:c>
      <x:c r="K3405" s="2"/>
      <x:c r="L3405" s="2"/>
    </x:row>
    <x:row r="3406" ht="22" customHeight="1">
      <x:c r="A3406" s="2"/>
      <x:c r="B3406" s="2" t="n">
        <x:v>3373</x:v>
      </x:c>
      <x:c r="C3406" s="2" t="str">
        <x:v>23039</x:v>
      </x:c>
      <x:c r="D3406" s="2" t="str">
        <x:v>T-LIGHT HOLDER SILVER HEART HANDLE</x:v>
      </x:c>
      <x:c r="E3406" s="11" t="n">
        <x:v>399.71</x:v>
      </x:c>
      <x:c r="F3406" s="11" t="n">
        <x:v>11.7</x:v>
      </x:c>
      <x:c r="G3406" s="11" t="n">
        <x:v>388.01</x:v>
      </x:c>
      <x:c r="H3406" s="23" t="n">
        <x:v>0.000019466008757498402</x:v>
      </x:c>
      <x:c r="I3406" s="23" t="n">
        <x:v>0.9900874142758388</x:v>
      </x:c>
      <x:c r="J3406" s="2" t="n">
        <x:v>28</x:v>
      </x:c>
      <x:c r="K3406" s="2"/>
      <x:c r="L3406" s="2"/>
    </x:row>
    <x:row r="3407" ht="22" customHeight="1">
      <x:c r="A3407" s="2"/>
      <x:c r="B3407" s="2" t="n">
        <x:v>3374</x:v>
      </x:c>
      <x:c r="C3407" s="2" t="str">
        <x:v>85007</x:v>
      </x:c>
      <x:c r="D3407" s="2" t="str">
        <x:v>SET OF 3 VINTAGE TEA TIME BOXES</x:v>
      </x:c>
      <x:c r="E3407" s="11" t="n">
        <x:v>399.62</x:v>
      </x:c>
      <x:c r="F3407" s="11" t="n">
        <x:v>13.950000000000001</x:v>
      </x:c>
      <x:c r="G3407" s="11" t="n">
        <x:v>385.67</x:v>
      </x:c>
      <x:c r="H3407" s="23" t="n">
        <x:v>0.000019461625727831456</x:v>
      </x:c>
      <x:c r="I3407" s="23" t="n">
        <x:v>0.9901068759015667</x:v>
      </x:c>
      <x:c r="J3407" s="2" t="n">
        <x:v>21</x:v>
      </x:c>
      <x:c r="K3407" s="2"/>
      <x:c r="L3407" s="2"/>
    </x:row>
    <x:row r="3408" ht="22" customHeight="1">
      <x:c r="A3408" s="2"/>
      <x:c r="B3408" s="2" t="n">
        <x:v>3375</x:v>
      </x:c>
      <x:c r="C3408" s="2" t="str">
        <x:v>16156L</x:v>
      </x:c>
      <x:c r="D3408" s="2" t="str">
        <x:v>WRAP CAROUSEL</x:v>
      </x:c>
      <x:c r="E3408" s="11" t="n">
        <x:v>399</x:v>
      </x:c>
      <x:c r="F3408" s="11" t="n">
        <x:v>0</x:v>
      </x:c>
      <x:c r="G3408" s="11" t="n">
        <x:v>399</x:v>
      </x:c>
      <x:c r="H3408" s="23" t="n">
        <x:v>0.000019431431523459165</x:v>
      </x:c>
      <x:c r="I3408" s="23" t="n">
        <x:v>0.9901263073330901</x:v>
      </x:c>
      <x:c r="J3408" s="2" t="n">
        <x:v>36</x:v>
      </x:c>
      <x:c r="K3408" s="2"/>
      <x:c r="L3408" s="2"/>
    </x:row>
    <x:row r="3409" ht="22" customHeight="1">
      <x:c r="A3409" s="2"/>
      <x:c r="B3409" s="2" t="n">
        <x:v>3376</x:v>
      </x:c>
      <x:c r="C3409" s="2" t="str">
        <x:v>20889</x:v>
      </x:c>
      <x:c r="D3409" s="2" t="str">
        <x:v>JARDIN DE FEMME SCENTED CANDLE</x:v>
      </x:c>
      <x:c r="E3409" s="11" t="n">
        <x:v>398.03999999999996</x:v>
      </x:c>
      <x:c r="F3409" s="11" t="n">
        <x:v>0</x:v>
      </x:c>
      <x:c r="G3409" s="11" t="n">
        <x:v>398.03999999999996</x:v>
      </x:c>
      <x:c r="H3409" s="23" t="n">
        <x:v>0.000019384679207011742</x:v>
      </x:c>
      <x:c r="I3409" s="23" t="n">
        <x:v>0.9901456920122972</x:v>
      </x:c>
      <x:c r="J3409" s="2" t="n">
        <x:v>13</x:v>
      </x:c>
      <x:c r="K3409" s="2"/>
      <x:c r="L3409" s="2"/>
    </x:row>
    <x:row r="3410" ht="22" customHeight="1">
      <x:c r="A3410" s="2"/>
      <x:c r="B3410" s="2" t="n">
        <x:v>3377</x:v>
      </x:c>
      <x:c r="C3410" s="2" t="str">
        <x:v>D</x:v>
      </x:c>
      <x:c r="D3410" s="2" t="str">
        <x:v>Discount</x:v>
      </x:c>
      <x:c r="E3410" s="11" t="n">
        <x:v>397.89</x:v>
      </x:c>
      <x:c r="F3410" s="11" t="n">
        <x:v>13277.52</x:v>
      </x:c>
      <x:c r="G3410" s="11" t="n">
        <x:v>-12879.63</x:v>
      </x:c>
      <x:c r="H3410" s="23" t="n">
        <x:v>0.000019377374157566835</x:v>
      </x:c>
      <x:c r="I3410" s="23" t="n">
        <x:v>0.9901650693864548</x:v>
      </x:c>
      <x:c r="J3410" s="2" t="n">
        <x:v>5</x:v>
      </x:c>
      <x:c r="K3410" s="2"/>
      <x:c r="L3410" s="2"/>
    </x:row>
    <x:row r="3411" ht="22" customHeight="1">
      <x:c r="A3411" s="2"/>
      <x:c r="B3411" s="2" t="n">
        <x:v>3378</x:v>
      </x:c>
      <x:c r="C3411" s="2" t="str">
        <x:v>21025</x:v>
      </x:c>
      <x:c r="D3411" s="2" t="str">
        <x:v>SPACE FROG</x:v>
      </x:c>
      <x:c r="E3411" s="11" t="n">
        <x:v>397.37</x:v>
      </x:c>
      <x:c r="F3411" s="11" t="n">
        <x:v>0</x:v>
      </x:c>
      <x:c r="G3411" s="11" t="n">
        <x:v>397.37</x:v>
      </x:c>
      <x:c r="H3411" s="23" t="n">
        <x:v>0.000019352049986157815</x:v>
      </x:c>
      <x:c r="I3411" s="23" t="n">
        <x:v>0.9901844214364409</x:v>
      </x:c>
      <x:c r="J3411" s="2" t="n">
        <x:v>81</x:v>
      </x:c>
      <x:c r="K3411" s="2"/>
      <x:c r="L3411" s="2"/>
    </x:row>
    <x:row r="3412" ht="22" customHeight="1">
      <x:c r="A3412" s="2"/>
      <x:c r="B3412" s="2" t="n">
        <x:v>3379</x:v>
      </x:c>
      <x:c r="C3412" s="2" t="str">
        <x:v>79191B</x:v>
      </x:c>
      <x:c r="D3412" s="2" t="str">
        <x:v>RETRO PLASTIC POLKA TRAY</x:v>
      </x:c>
      <x:c r="E3412" s="11" t="n">
        <x:v>397.37</x:v>
      </x:c>
      <x:c r="F3412" s="11" t="n">
        <x:v>27.199999999999996</x:v>
      </x:c>
      <x:c r="G3412" s="11" t="n">
        <x:v>370.16999999999996</x:v>
      </x:c>
      <x:c r="H3412" s="23" t="n">
        <x:v>0.000019352049986157815</x:v>
      </x:c>
      <x:c r="I3412" s="23" t="n">
        <x:v>0.9902037734864271</x:v>
      </x:c>
      <x:c r="J3412" s="2" t="n">
        <x:v>70</x:v>
      </x:c>
      <x:c r="K3412" s="2"/>
      <x:c r="L3412" s="2"/>
    </x:row>
    <x:row r="3413" ht="22" customHeight="1">
      <x:c r="A3413" s="2"/>
      <x:c r="B3413" s="2" t="n">
        <x:v>3380</x:v>
      </x:c>
      <x:c r="C3413" s="2" t="str">
        <x:v>85167A</x:v>
      </x:c>
      <x:c r="D3413" s="2" t="str">
        <x:v>WHITE GRAND BAROQUE PHOTO FRAME</x:v>
      </x:c>
      <x:c r="E3413" s="11" t="n">
        <x:v>396.8</x:v>
      </x:c>
      <x:c r="F3413" s="11" t="n">
        <x:v>81</x:v>
      </x:c>
      <x:c r="G3413" s="11" t="n">
        <x:v>315.8</x:v>
      </x:c>
      <x:c r="H3413" s="23" t="n">
        <x:v>0.00001932429079826716</x:v>
      </x:c>
      <x:c r="I3413" s="23" t="n">
        <x:v>0.9902230977772254</x:v>
      </x:c>
      <x:c r="J3413" s="2" t="n">
        <x:v>14</x:v>
      </x:c>
      <x:c r="K3413" s="2"/>
      <x:c r="L3413" s="2"/>
    </x:row>
    <x:row r="3414" ht="22" customHeight="1">
      <x:c r="A3414" s="2"/>
      <x:c r="B3414" s="2" t="n">
        <x:v>3381</x:v>
      </x:c>
      <x:c r="C3414" s="2" t="str">
        <x:v>90180A</x:v>
      </x:c>
      <x:c r="D3414" s="2" t="str">
        <x:v>BLACK+WHITE NECKLACE W TASSEL</x:v>
      </x:c>
      <x:c r="E3414" s="11" t="n">
        <x:v>396.64</x:v>
      </x:c>
      <x:c r="F3414" s="11" t="n">
        <x:v>9.95</x:v>
      </x:c>
      <x:c r="G3414" s="11" t="n">
        <x:v>386.69</x:v>
      </x:c>
      <x:c r="H3414" s="23" t="n">
        <x:v>0.000019316498745525923</x:v>
      </x:c>
      <x:c r="I3414" s="23" t="n">
        <x:v>0.9902424142759709</x:v>
      </x:c>
      <x:c r="J3414" s="2" t="n">
        <x:v>28</x:v>
      </x:c>
      <x:c r="K3414" s="2"/>
      <x:c r="L3414" s="2"/>
    </x:row>
    <x:row r="3415" ht="22" customHeight="1">
      <x:c r="A3415" s="2"/>
      <x:c r="B3415" s="2" t="n">
        <x:v>3382</x:v>
      </x:c>
      <x:c r="C3415" s="2" t="str">
        <x:v>90120A</x:v>
      </x:c>
      <x:c r="D3415" s="2" t="str">
        <x:v>PINK MURANO TWIST BRACELET</x:v>
      </x:c>
      <x:c r="E3415" s="11" t="n">
        <x:v>395.68</x:v>
      </x:c>
      <x:c r="F3415" s="11" t="n">
        <x:v>0</x:v>
      </x:c>
      <x:c r="G3415" s="11" t="n">
        <x:v>395.68</x:v>
      </x:c>
      <x:c r="H3415" s="23" t="n">
        <x:v>0.0000192697464290785</x:v>
      </x:c>
      <x:c r="I3415" s="23" t="n">
        <x:v>0.9902616840224</x:v>
      </x:c>
      <x:c r="J3415" s="2" t="n">
        <x:v>41</x:v>
      </x:c>
      <x:c r="K3415" s="2"/>
      <x:c r="L3415" s="2"/>
    </x:row>
    <x:row r="3416" ht="22" customHeight="1">
      <x:c r="A3416" s="2"/>
      <x:c r="B3416" s="2" t="n">
        <x:v>3383</x:v>
      </x:c>
      <x:c r="C3416" s="2" t="str">
        <x:v>84726</x:v>
      </x:c>
      <x:c r="D3416" s="2" t="str">
        <x:v>LILLIES CANVAS PICTURE</x:v>
      </x:c>
      <x:c r="E3416" s="11" t="n">
        <x:v>394.84999999999997</x:v>
      </x:c>
      <x:c r="F3416" s="11" t="n">
        <x:v>0</x:v>
      </x:c>
      <x:c r="G3416" s="11" t="n">
        <x:v>394.84999999999997</x:v>
      </x:c>
      <x:c r="H3416" s="23" t="n">
        <x:v>0.000019229325155483334</x:v>
      </x:c>
      <x:c r="I3416" s="23" t="n">
        <x:v>0.9902809133475555</x:v>
      </x:c>
      <x:c r="J3416" s="2" t="n">
        <x:v>5</x:v>
      </x:c>
      <x:c r="K3416" s="2"/>
      <x:c r="L3416" s="2"/>
    </x:row>
    <x:row r="3417" ht="22" customHeight="1">
      <x:c r="A3417" s="2"/>
      <x:c r="B3417" s="2" t="n">
        <x:v>3384</x:v>
      </x:c>
      <x:c r="C3417" s="2" t="str">
        <x:v>22869</x:v>
      </x:c>
      <x:c r="D3417" s="2" t="str">
        <x:v>NUMBER TILE COTTAGE GARDEN 1</x:v>
      </x:c>
      <x:c r="E3417" s="11" t="n">
        <x:v>393.63</x:v>
      </x:c>
      <x:c r="F3417" s="11" t="n">
        <x:v>1.95</x:v>
      </x:c>
      <x:c r="G3417" s="11" t="n">
        <x:v>391.68</x:v>
      </x:c>
      <x:c r="H3417" s="23" t="n">
        <x:v>0.000019169910753331406</x:v>
      </x:c>
      <x:c r="I3417" s="23" t="n">
        <x:v>0.9903000832583089</x:v>
      </x:c>
      <x:c r="J3417" s="2" t="n">
        <x:v>57</x:v>
      </x:c>
      <x:c r="K3417" s="2"/>
      <x:c r="L3417" s="2"/>
    </x:row>
    <x:row r="3418" ht="22" customHeight="1">
      <x:c r="A3418" s="2"/>
      <x:c r="B3418" s="2" t="n">
        <x:v>3385</x:v>
      </x:c>
      <x:c r="C3418" s="2" t="str">
        <x:v>23661</x:v>
      </x:c>
      <x:c r="D3418" s="2" t="str">
        <x:v>MILK MAIDS MUG </x:v>
      </x:c>
      <x:c r="E3418" s="11" t="n">
        <x:v>393.59</x:v>
      </x:c>
      <x:c r="F3418" s="11" t="n">
        <x:v>33</x:v>
      </x:c>
      <x:c r="G3418" s="11" t="n">
        <x:v>360.59</x:v>
      </x:c>
      <x:c r="H3418" s="23" t="n">
        <x:v>0.000019167962740146096</x:v>
      </x:c>
      <x:c r="I3418" s="23" t="n">
        <x:v>0.990319251221049</x:v>
      </x:c>
      <x:c r="J3418" s="2" t="n">
        <x:v>33</x:v>
      </x:c>
      <x:c r="K3418" s="2"/>
      <x:c r="L3418" s="2"/>
    </x:row>
    <x:row r="3419" ht="22" customHeight="1">
      <x:c r="A3419" s="2"/>
      <x:c r="B3419" s="2" t="n">
        <x:v>3386</x:v>
      </x:c>
      <x:c r="C3419" s="2" t="str">
        <x:v>84673B</x:v>
      </x:c>
      <x:c r="D3419" s="2" t="str">
        <x:v>BLUE FLY SWAT</x:v>
      </x:c>
      <x:c r="E3419" s="11" t="n">
        <x:v>393.26000000000005</x:v>
      </x:c>
      <x:c r="F3419" s="11" t="n">
        <x:v>0.65</x:v>
      </x:c>
      <x:c r="G3419" s="11" t="n">
        <x:v>392.61</x:v>
      </x:c>
      <x:c r="H3419" s="23" t="n">
        <x:v>0.000019151891631367297</x:v>
      </x:c>
      <x:c r="I3419" s="23" t="n">
        <x:v>0.9903384031126804</x:v>
      </x:c>
      <x:c r="J3419" s="2" t="n">
        <x:v>133</x:v>
      </x:c>
      <x:c r="K3419" s="2"/>
      <x:c r="L3419" s="2"/>
    </x:row>
    <x:row r="3420" ht="22" customHeight="1">
      <x:c r="A3420" s="2"/>
      <x:c r="B3420" s="2" t="n">
        <x:v>3387</x:v>
      </x:c>
      <x:c r="C3420" s="2" t="str">
        <x:v>84952A</x:v>
      </x:c>
      <x:c r="D3420" s="2" t="str">
        <x:v>CLEAR LOVE BIRD T-LIGHT HOLDER</x:v>
      </x:c>
      <x:c r="E3420" s="11" t="n">
        <x:v>392.53</x:v>
      </x:c>
      <x:c r="F3420" s="11" t="n">
        <x:v>0</x:v>
      </x:c>
      <x:c r="G3420" s="11" t="n">
        <x:v>392.53</x:v>
      </x:c>
      <x:c r="H3420" s="23" t="n">
        <x:v>0.000019116340390735402</x:v>
      </x:c>
      <x:c r="I3420" s="23" t="n">
        <x:v>0.9903575194530712</x:v>
      </x:c>
      <x:c r="J3420" s="2" t="n">
        <x:v>39</x:v>
      </x:c>
      <x:c r="K3420" s="2"/>
      <x:c r="L3420" s="2"/>
    </x:row>
    <x:row r="3421" ht="22" customHeight="1">
      <x:c r="A3421" s="2"/>
      <x:c r="B3421" s="2" t="n">
        <x:v>3388</x:v>
      </x:c>
      <x:c r="C3421" s="2" t="str">
        <x:v>23116</x:v>
      </x:c>
      <x:c r="D3421" s="2" t="str">
        <x:v>VEGETABLE GARDEN CHOPPING BOARD</x:v>
      </x:c>
      <x:c r="E3421" s="11" t="n">
        <x:v>392.34000000000003</x:v>
      </x:c>
      <x:c r="F3421" s="11" t="n">
        <x:v>0</x:v>
      </x:c>
      <x:c r="G3421" s="11" t="n">
        <x:v>392.34000000000003</x:v>
      </x:c>
      <x:c r="H3421" s="23" t="n">
        <x:v>0.000019107087328105185</x:v>
      </x:c>
      <x:c r="I3421" s="23" t="n">
        <x:v>0.9903766265403993</x:v>
      </x:c>
      <x:c r="J3421" s="2" t="n">
        <x:v>22</x:v>
      </x:c>
      <x:c r="K3421" s="2"/>
      <x:c r="L3421" s="2"/>
    </x:row>
    <x:row r="3422" ht="22" customHeight="1">
      <x:c r="A3422" s="2"/>
      <x:c r="B3422" s="2" t="n">
        <x:v>3389</x:v>
      </x:c>
      <x:c r="C3422" s="2" t="str">
        <x:v>90201D</x:v>
      </x:c>
      <x:c r="D3422" s="2" t="str">
        <x:v>GREEN ENAMEL FLOWER RING</x:v>
      </x:c>
      <x:c r="E3422" s="11" t="n">
        <x:v>391.37</x:v>
      </x:c>
      <x:c r="F3422" s="11" t="n">
        <x:v>0</x:v>
      </x:c>
      <x:c r="G3422" s="11" t="n">
        <x:v>391.37</x:v>
      </x:c>
      <x:c r="H3422" s="23" t="n">
        <x:v>0.000019059848008361436</x:v>
      </x:c>
      <x:c r="I3422" s="23" t="n">
        <x:v>0.9903956863884076</x:v>
      </x:c>
      <x:c r="J3422" s="2" t="n">
        <x:v>57</x:v>
      </x:c>
      <x:c r="K3422" s="2"/>
      <x:c r="L3422" s="2"/>
    </x:row>
    <x:row r="3423" ht="22" customHeight="1">
      <x:c r="A3423" s="2"/>
      <x:c r="B3423" s="2" t="n">
        <x:v>3390</x:v>
      </x:c>
      <x:c r="C3423" s="2" t="str">
        <x:v>90124B</x:v>
      </x:c>
      <x:c r="D3423" s="2" t="str">
        <x:v>BLUE MURANO TWIST NECKLACE</x:v>
      </x:c>
      <x:c r="E3423" s="11" t="n">
        <x:v>391.18</x:v>
      </x:c>
      <x:c r="F3423" s="11" t="n">
        <x:v>0</x:v>
      </x:c>
      <x:c r="G3423" s="11" t="n">
        <x:v>391.18</x:v>
      </x:c>
      <x:c r="H3423" s="23" t="n">
        <x:v>0.00001905059494573122</x:v>
      </x:c>
      <x:c r="I3423" s="23" t="n">
        <x:v>0.9904147369833534</x:v>
      </x:c>
      <x:c r="J3423" s="2" t="n">
        <x:v>30</x:v>
      </x:c>
      <x:c r="K3423" s="2"/>
      <x:c r="L3423" s="2"/>
    </x:row>
    <x:row r="3424" ht="22" customHeight="1">
      <x:c r="A3424" s="2"/>
      <x:c r="B3424" s="2" t="n">
        <x:v>3391</x:v>
      </x:c>
      <x:c r="C3424" s="2" t="str">
        <x:v>84711A</x:v>
      </x:c>
      <x:c r="D3424" s="2" t="str">
        <x:v>SILVER OVAL SHAPE TRINKET BOX</x:v>
      </x:c>
      <x:c r="E3424" s="11" t="n">
        <x:v>390.95</x:v>
      </x:c>
      <x:c r="F3424" s="11" t="n">
        <x:v>0</x:v>
      </x:c>
      <x:c r="G3424" s="11" t="n">
        <x:v>390.95</x:v>
      </x:c>
      <x:c r="H3424" s="23" t="n">
        <x:v>0.000019039393869915688</x:v>
      </x:c>
      <x:c r="I3424" s="23" t="n">
        <x:v>0.9904337763772233</x:v>
      </x:c>
      <x:c r="J3424" s="2" t="n">
        <x:v>24</x:v>
      </x:c>
      <x:c r="K3424" s="2"/>
      <x:c r="L3424" s="2"/>
    </x:row>
    <x:row r="3425" ht="22" customHeight="1">
      <x:c r="A3425" s="2"/>
      <x:c r="B3425" s="2" t="n">
        <x:v>3392</x:v>
      </x:c>
      <x:c r="C3425" s="2" t="str">
        <x:v>23150</x:v>
      </x:c>
      <x:c r="D3425" s="2" t="str">
        <x:v>IVORY SWEETHEART SOAP DISH</x:v>
      </x:c>
      <x:c r="E3425" s="11" t="n">
        <x:v>390.75000000000006</x:v>
      </x:c>
      <x:c r="F3425" s="11" t="n">
        <x:v>2.49</x:v>
      </x:c>
      <x:c r="G3425" s="11" t="n">
        <x:v>388.26000000000005</x:v>
      </x:c>
      <x:c r="H3425" s="23" t="n">
        <x:v>0.00001902965380398915</x:v>
      </x:c>
      <x:c r="I3425" s="23" t="n">
        <x:v>0.9904528060310273</x:v>
      </x:c>
      <x:c r="J3425" s="2" t="n">
        <x:v>49</x:v>
      </x:c>
      <x:c r="K3425" s="2"/>
      <x:c r="L3425" s="2"/>
    </x:row>
    <x:row r="3426" ht="22" customHeight="1">
      <x:c r="A3426" s="2"/>
      <x:c r="B3426" s="2" t="n">
        <x:v>3393</x:v>
      </x:c>
      <x:c r="C3426" s="2" t="str">
        <x:v>47562</x:v>
      </x:c>
      <x:c r="D3426" s="2" t="str">
        <x:v>ENGLISH ROSE IRONING BOARD COVER</x:v>
      </x:c>
      <x:c r="E3426" s="11" t="n">
        <x:v>390</x:v>
      </x:c>
      <x:c r="F3426" s="11" t="n">
        <x:v>14.2</x:v>
      </x:c>
      <x:c r="G3426" s="11" t="n">
        <x:v>375.8</x:v>
      </x:c>
      <x:c r="H3426" s="23" t="n">
        <x:v>0.000018993128556764598</x:v>
      </x:c>
      <x:c r="I3426" s="23" t="n">
        <x:v>0.990471799159584</x:v>
      </x:c>
      <x:c r="J3426" s="2" t="n">
        <x:v>41</x:v>
      </x:c>
      <x:c r="K3426" s="2"/>
      <x:c r="L3426" s="2"/>
    </x:row>
    <x:row r="3427" ht="22" customHeight="1">
      <x:c r="A3427" s="2"/>
      <x:c r="B3427" s="2" t="n">
        <x:v>3394</x:v>
      </x:c>
      <x:c r="C3427" s="2" t="str">
        <x:v>84081</x:v>
      </x:c>
      <x:c r="D3427" s="2" t="str">
        <x:v>WHITE CERAMIC PARTY SET (5PCS)</x:v>
      </x:c>
      <x:c r="E3427" s="11" t="n">
        <x:v>389.3</x:v>
      </x:c>
      <x:c r="F3427" s="11" t="n">
        <x:v>4.25</x:v>
      </x:c>
      <x:c r="G3427" s="11" t="n">
        <x:v>385.05</x:v>
      </x:c>
      <x:c r="H3427" s="23" t="n">
        <x:v>0.000018959038326021687</x:v>
      </x:c>
      <x:c r="I3427" s="23" t="n">
        <x:v>0.9904907581979101</x:v>
      </x:c>
      <x:c r="J3427" s="2" t="n">
        <x:v>20</x:v>
      </x:c>
      <x:c r="K3427" s="2"/>
      <x:c r="L3427" s="2"/>
    </x:row>
    <x:row r="3428" ht="22" customHeight="1">
      <x:c r="A3428" s="2"/>
      <x:c r="B3428" s="2" t="n">
        <x:v>3395</x:v>
      </x:c>
      <x:c r="C3428" s="2" t="str">
        <x:v>16044</x:v>
      </x:c>
      <x:c r="D3428" s="2" t="str">
        <x:v>POP-ART FLUORESCENT PENS</x:v>
      </x:c>
      <x:c r="E3428" s="11" t="n">
        <x:v>389.22</x:v>
      </x:c>
      <x:c r="F3428" s="11" t="n">
        <x:v>0</x:v>
      </x:c>
      <x:c r="G3428" s="11" t="n">
        <x:v>389.22</x:v>
      </x:c>
      <x:c r="H3428" s="23" t="n">
        <x:v>0.00001895514229965107</x:v>
      </x:c>
      <x:c r="I3428" s="23" t="n">
        <x:v>0.9905097133402098</x:v>
      </x:c>
      <x:c r="J3428" s="2" t="n">
        <x:v>3</x:v>
      </x:c>
      <x:c r="K3428" s="2"/>
      <x:c r="L3428" s="2"/>
    </x:row>
    <x:row r="3429" ht="22" customHeight="1">
      <x:c r="A3429" s="2"/>
      <x:c r="B3429" s="2" t="n">
        <x:v>3396</x:v>
      </x:c>
      <x:c r="C3429" s="2" t="str">
        <x:v>23337</x:v>
      </x:c>
      <x:c r="D3429" s="2" t="str">
        <x:v>EGG FRYING PAN MINT </x:v>
      </x:c>
      <x:c r="E3429" s="11" t="n">
        <x:v>388.75</x:v>
      </x:c>
      <x:c r="F3429" s="11" t="n">
        <x:v>0</x:v>
      </x:c>
      <x:c r="G3429" s="11" t="n">
        <x:v>388.75</x:v>
      </x:c>
      <x:c r="H3429" s="23" t="n">
        <x:v>0.000018932253144723683</x:v>
      </x:c>
      <x:c r="I3429" s="23" t="n">
        <x:v>0.9905286455933545</x:v>
      </x:c>
      <x:c r="J3429" s="2" t="n">
        <x:v>69</x:v>
      </x:c>
      <x:c r="K3429" s="2"/>
      <x:c r="L3429" s="2"/>
    </x:row>
    <x:row r="3430" ht="22" customHeight="1">
      <x:c r="A3430" s="2"/>
      <x:c r="B3430" s="2" t="n">
        <x:v>3397</x:v>
      </x:c>
      <x:c r="C3430" s="2" t="str">
        <x:v>84497</x:v>
      </x:c>
      <x:c r="D3430" s="2" t="str">
        <x:v>BUTTONS AND STRIPES NOTEBOOK </x:v>
      </x:c>
      <x:c r="E3430" s="11" t="n">
        <x:v>387.13</x:v>
      </x:c>
      <x:c r="F3430" s="11" t="n">
        <x:v>0</x:v>
      </x:c>
      <x:c r="G3430" s="11" t="n">
        <x:v>387.13</x:v>
      </x:c>
      <x:c r="H3430" s="23" t="n">
        <x:v>0.000018853358610718663</x:v>
      </x:c>
      <x:c r="I3430" s="23" t="n">
        <x:v>0.9905474989519653</x:v>
      </x:c>
      <x:c r="J3430" s="2" t="n">
        <x:v>37</x:v>
      </x:c>
      <x:c r="K3430" s="2"/>
      <x:c r="L3430" s="2"/>
    </x:row>
    <x:row r="3431" ht="22" customHeight="1">
      <x:c r="A3431" s="2"/>
      <x:c r="B3431" s="2" t="n">
        <x:v>3398</x:v>
      </x:c>
      <x:c r="C3431" s="2" t="str">
        <x:v>90208</x:v>
      </x:c>
      <x:c r="D3431" s="2" t="str">
        <x:v>PAIR OF PINK FLOWER CLUSTER SLIDE</x:v>
      </x:c>
      <x:c r="E3431" s="11" t="n">
        <x:v>386.83</x:v>
      </x:c>
      <x:c r="F3431" s="11" t="n">
        <x:v>15.299999999999999</x:v>
      </x:c>
      <x:c r="G3431" s="11" t="n">
        <x:v>371.53</x:v>
      </x:c>
      <x:c r="H3431" s="23" t="n">
        <x:v>0.00001883874851182884</x:v>
      </x:c>
      <x:c r="I3431" s="23" t="n">
        <x:v>0.9905663377004771</x:v>
      </x:c>
      <x:c r="J3431" s="2" t="n">
        <x:v>68</x:v>
      </x:c>
      <x:c r="K3431" s="2"/>
      <x:c r="L3431" s="2"/>
    </x:row>
    <x:row r="3432" ht="22" customHeight="1">
      <x:c r="A3432" s="2"/>
      <x:c r="B3432" s="2" t="n">
        <x:v>3399</x:v>
      </x:c>
      <x:c r="C3432" s="2" t="str">
        <x:v>90158</x:v>
      </x:c>
      <x:c r="D3432" s="2" t="str">
        <x:v>ST TROPEZ NECKLACE</x:v>
      </x:c>
      <x:c r="E3432" s="11" t="n">
        <x:v>386.32</x:v>
      </x:c>
      <x:c r="F3432" s="11" t="n">
        <x:v>0</x:v>
      </x:c>
      <x:c r="G3432" s="11" t="n">
        <x:v>386.32</x:v>
      </x:c>
      <x:c r="H3432" s="23" t="n">
        <x:v>0.00001881391134371615</x:v>
      </x:c>
      <x:c r="I3432" s="23" t="n">
        <x:v>0.9905851516118208</x:v>
      </x:c>
      <x:c r="J3432" s="2" t="n">
        <x:v>63</x:v>
      </x:c>
      <x:c r="K3432" s="2"/>
      <x:c r="L3432" s="2"/>
    </x:row>
    <x:row r="3433" ht="22" customHeight="1">
      <x:c r="A3433" s="2"/>
      <x:c r="B3433" s="2" t="n">
        <x:v>3400</x:v>
      </x:c>
      <x:c r="C3433" s="2" t="str">
        <x:v>84292</x:v>
      </x:c>
      <x:c r="D3433" s="2" t="str">
        <x:v>ROSE PINK METAL FOLDING CHAIR</x:v>
      </x:c>
      <x:c r="E3433" s="11" t="n">
        <x:v>385.98</x:v>
      </x:c>
      <x:c r="F3433" s="11" t="n">
        <x:v>7.95</x:v>
      </x:c>
      <x:c r="G3433" s="11" t="n">
        <x:v>378.03000000000003</x:v>
      </x:c>
      <x:c r="H3433" s="23" t="n">
        <x:v>0.000018797353231641023</x:v>
      </x:c>
      <x:c r="I3433" s="23" t="n">
        <x:v>0.9906039489650524</x:v>
      </x:c>
      <x:c r="J3433" s="2" t="n">
        <x:v>14</x:v>
      </x:c>
      <x:c r="K3433" s="2"/>
      <x:c r="L3433" s="2"/>
    </x:row>
    <x:row r="3434" ht="22" customHeight="1">
      <x:c r="A3434" s="2"/>
      <x:c r="B3434" s="2" t="n">
        <x:v>3401</x:v>
      </x:c>
      <x:c r="C3434" s="2" t="str">
        <x:v>90070</x:v>
      </x:c>
      <x:c r="D3434" s="2" t="str">
        <x:v>RUBY GLASS CLUSTER BRACELET</x:v>
      </x:c>
      <x:c r="E3434" s="11" t="n">
        <x:v>385.15000000000003</x:v>
      </x:c>
      <x:c r="F3434" s="11" t="n">
        <x:v>53.550000000000004</x:v>
      </x:c>
      <x:c r="G3434" s="11" t="n">
        <x:v>331.6</x:v>
      </x:c>
      <x:c r="H3434" s="23" t="n">
        <x:v>0.00001875693195804586</x:v>
      </x:c>
      <x:c r="I3434" s="23" t="n">
        <x:v>0.9906227058970105</x:v>
      </x:c>
      <x:c r="J3434" s="2" t="n">
        <x:v>35</x:v>
      </x:c>
      <x:c r="K3434" s="2"/>
      <x:c r="L3434" s="2"/>
    </x:row>
    <x:row r="3435" ht="22" customHeight="1">
      <x:c r="A3435" s="2"/>
      <x:c r="B3435" s="2" t="n">
        <x:v>3402</x:v>
      </x:c>
      <x:c r="C3435" s="2" t="str">
        <x:v>79051A</x:v>
      </x:c>
      <x:c r="D3435" s="2" t="str">
        <x:v>SMOKEY GREY COLOUR GLASS</x:v>
      </x:c>
      <x:c r="E3435" s="11" t="n">
        <x:v>384.09999999999997</x:v>
      </x:c>
      <x:c r="F3435" s="11" t="n">
        <x:v>0</x:v>
      </x:c>
      <x:c r="G3435" s="11" t="n">
        <x:v>384.09999999999997</x:v>
      </x:c>
      <x:c r="H3435" s="23" t="n">
        <x:v>0.00001870579661193149</x:v>
      </x:c>
      <x:c r="I3435" s="23" t="n">
        <x:v>0.9906414116936224</x:v>
      </x:c>
      <x:c r="J3435" s="2" t="n">
        <x:v>54</x:v>
      </x:c>
      <x:c r="K3435" s="2"/>
      <x:c r="L3435" s="2"/>
    </x:row>
    <x:row r="3436" ht="22" customHeight="1">
      <x:c r="A3436" s="2"/>
      <x:c r="B3436" s="2" t="n">
        <x:v>3403</x:v>
      </x:c>
      <x:c r="C3436" s="2" t="str">
        <x:v>90201A</x:v>
      </x:c>
      <x:c r="D3436" s="2" t="str">
        <x:v>PURPLE ENAMEL FLOWER RING</x:v>
      </x:c>
      <x:c r="E3436" s="11" t="n">
        <x:v>382.84000000000003</x:v>
      </x:c>
      <x:c r="F3436" s="11" t="n">
        <x:v>11.8</x:v>
      </x:c>
      <x:c r="G3436" s="11" t="n">
        <x:v>371.04</x:v>
      </x:c>
      <x:c r="H3436" s="23" t="n">
        <x:v>0.000018644434196594253</x:v>
      </x:c>
      <x:c r="I3436" s="23" t="n">
        <x:v>0.990660056127819</x:v>
      </x:c>
      <x:c r="J3436" s="2" t="n">
        <x:v>54</x:v>
      </x:c>
      <x:c r="K3436" s="2"/>
      <x:c r="L3436" s="2"/>
    </x:row>
    <x:row r="3437" ht="22" customHeight="1">
      <x:c r="A3437" s="2"/>
      <x:c r="B3437" s="2" t="n">
        <x:v>3404</x:v>
      </x:c>
      <x:c r="C3437" s="2" t="str">
        <x:v>90082B</x:v>
      </x:c>
      <x:c r="D3437" s="2" t="str">
        <x:v>DIAMANTE BOW BROOCH RED COLOUR</x:v>
      </x:c>
      <x:c r="E3437" s="11" t="n">
        <x:v>380.99999999999994</x:v>
      </x:c>
      <x:c r="F3437" s="11" t="n">
        <x:v>0</x:v>
      </x:c>
      <x:c r="G3437" s="11" t="n">
        <x:v>380.99999999999994</x:v>
      </x:c>
      <x:c r="H3437" s="23" t="n">
        <x:v>0.000018554825590070025</x:v>
      </x:c>
      <x:c r="I3437" s="23" t="n">
        <x:v>0.9906786109534091</x:v>
      </x:c>
      <x:c r="J3437" s="2" t="n">
        <x:v>25</x:v>
      </x:c>
      <x:c r="K3437" s="2"/>
      <x:c r="L3437" s="2"/>
    </x:row>
    <x:row r="3438" ht="22" customHeight="1">
      <x:c r="A3438" s="2"/>
      <x:c r="B3438" s="2" t="n">
        <x:v>3405</x:v>
      </x:c>
      <x:c r="C3438" s="2" t="str">
        <x:v>16258A</x:v>
      </x:c>
      <x:c r="D3438" s="2" t="str">
        <x:v>SWIRLY CIRCULAR RUBBERS IN BAG</x:v>
      </x:c>
      <x:c r="E3438" s="11" t="n">
        <x:v>380.96999999999997</x:v>
      </x:c>
      <x:c r="F3438" s="11" t="n">
        <x:v>0.42</x:v>
      </x:c>
      <x:c r="G3438" s="11" t="n">
        <x:v>380.55</x:v>
      </x:c>
      <x:c r="H3438" s="23" t="n">
        <x:v>0.000018553364580181047</x:v>
      </x:c>
      <x:c r="I3438" s="23" t="n">
        <x:v>0.9906971643179894</x:v>
      </x:c>
      <x:c r="J3438" s="2" t="n">
        <x:v>101</x:v>
      </x:c>
      <x:c r="K3438" s="2"/>
      <x:c r="L3438" s="2"/>
    </x:row>
    <x:row r="3439" ht="22" customHeight="1">
      <x:c r="A3439" s="2"/>
      <x:c r="B3439" s="2" t="n">
        <x:v>3406</x:v>
      </x:c>
      <x:c r="C3439" s="2" t="str">
        <x:v>90035B</x:v>
      </x:c>
      <x:c r="D3439" s="2" t="str">
        <x:v>PEARL &amp; SHELL 42"NECKL. PINK</x:v>
      </x:c>
      <x:c r="E3439" s="11" t="n">
        <x:v>380.89</x:v>
      </x:c>
      <x:c r="F3439" s="11" t="n">
        <x:v>0</x:v>
      </x:c>
      <x:c r="G3439" s="11" t="n">
        <x:v>380.89</x:v>
      </x:c>
      <x:c r="H3439" s="23" t="n">
        <x:v>0.000018549468553810427</x:v>
      </x:c>
      <x:c r="I3439" s="23" t="n">
        <x:v>0.9907157137865432</x:v>
      </x:c>
      <x:c r="J3439" s="2" t="n">
        <x:v>4</x:v>
      </x:c>
      <x:c r="K3439" s="2"/>
      <x:c r="L3439" s="2"/>
    </x:row>
    <x:row r="3440" ht="22" customHeight="1">
      <x:c r="A3440" s="2"/>
      <x:c r="B3440" s="2" t="n">
        <x:v>3407</x:v>
      </x:c>
      <x:c r="C3440" s="2" t="str">
        <x:v>90184A</x:v>
      </x:c>
      <x:c r="D3440" s="2" t="str">
        <x:v>AMBER CHUNKY BEAD BRACELET W STRAP</x:v>
      </x:c>
      <x:c r="E3440" s="11" t="n">
        <x:v>380.82</x:v>
      </x:c>
      <x:c r="F3440" s="11" t="n">
        <x:v>0</x:v>
      </x:c>
      <x:c r="G3440" s="11" t="n">
        <x:v>380.82</x:v>
      </x:c>
      <x:c r="H3440" s="23" t="n">
        <x:v>0.000018546059530736137</x:v>
      </x:c>
      <x:c r="I3440" s="23" t="n">
        <x:v>0.990734259846074</x:v>
      </x:c>
      <x:c r="J3440" s="2" t="n">
        <x:v>25</x:v>
      </x:c>
      <x:c r="K3440" s="2"/>
      <x:c r="L3440" s="2"/>
    </x:row>
    <x:row r="3441" ht="22" customHeight="1">
      <x:c r="A3441" s="2"/>
      <x:c r="B3441" s="2" t="n">
        <x:v>3408</x:v>
      </x:c>
      <x:c r="C3441" s="2" t="str">
        <x:v>20670</x:v>
      </x:c>
      <x:c r="D3441" s="2" t="str">
        <x:v>VIP HOLIDAY PURSE</x:v>
      </x:c>
      <x:c r="E3441" s="11" t="n">
        <x:v>378.85</x:v>
      </x:c>
      <x:c r="F3441" s="11" t="n">
        <x:v>86.4</x:v>
      </x:c>
      <x:c r="G3441" s="11" t="n">
        <x:v>292.45000000000005</x:v>
      </x:c>
      <x:c r="H3441" s="23" t="n">
        <x:v>0.000018450119881359662</x:v>
      </x:c>
      <x:c r="I3441" s="23" t="n">
        <x:v>0.9907527099659553</x:v>
      </x:c>
      <x:c r="J3441" s="2" t="n">
        <x:v>48</x:v>
      </x:c>
      <x:c r="K3441" s="2"/>
      <x:c r="L3441" s="2"/>
    </x:row>
    <x:row r="3442" ht="22" customHeight="1">
      <x:c r="A3442" s="2"/>
      <x:c r="B3442" s="2" t="n">
        <x:v>3409</x:v>
      </x:c>
      <x:c r="C3442" s="2" t="str">
        <x:v>84533B</x:v>
      </x:c>
      <x:c r="D3442" s="2" t="str">
        <x:v>FAIRY CAKES ROUND NESTING BOXES</x:v>
      </x:c>
      <x:c r="E3442" s="11" t="n">
        <x:v>377.93</x:v>
      </x:c>
      <x:c r="F3442" s="11" t="n">
        <x:v>0</x:v>
      </x:c>
      <x:c r="G3442" s="11" t="n">
        <x:v>377.93</x:v>
      </x:c>
      <x:c r="H3442" s="23" t="n">
        <x:v>0.00001840531557809755</x:v>
      </x:c>
      <x:c r="I3442" s="23" t="n">
        <x:v>0.9907711152815334</x:v>
      </x:c>
      <x:c r="J3442" s="2" t="n">
        <x:v>24</x:v>
      </x:c>
      <x:c r="K3442" s="2"/>
      <x:c r="L3442" s="2"/>
    </x:row>
    <x:row r="3443" ht="22" customHeight="1">
      <x:c r="A3443" s="2"/>
      <x:c r="B3443" s="2" t="n">
        <x:v>3410</x:v>
      </x:c>
      <x:c r="C3443" s="2" t="str">
        <x:v>20976</x:v>
      </x:c>
      <x:c r="D3443" s="2" t="str">
        <x:v>12 PENCILS SMALL TUBE POSY</x:v>
      </x:c>
      <x:c r="E3443" s="11" t="n">
        <x:v>376.99</x:v>
      </x:c>
      <x:c r="F3443" s="11" t="n">
        <x:v>0</x:v>
      </x:c>
      <x:c r="G3443" s="11" t="n">
        <x:v>376.99</x:v>
      </x:c>
      <x:c r="H3443" s="23" t="n">
        <x:v>0.000018359537268242782</x:v>
      </x:c>
      <x:c r="I3443" s="23" t="n">
        <x:v>0.9907894748188016</x:v>
      </x:c>
      <x:c r="J3443" s="2" t="n">
        <x:v>76</x:v>
      </x:c>
      <x:c r="K3443" s="2"/>
      <x:c r="L3443" s="2"/>
    </x:row>
    <x:row r="3444" ht="22" customHeight="1">
      <x:c r="A3444" s="2"/>
      <x:c r="B3444" s="2" t="n">
        <x:v>3411</x:v>
      </x:c>
      <x:c r="C3444" s="2" t="str">
        <x:v>85033G</x:v>
      </x:c>
      <x:c r="D3444" s="2" t="str">
        <x:v>SET/6 GOLD REINDEER T-LIGHT CANDLES</x:v>
      </x:c>
      <x:c r="E3444" s="11" t="n">
        <x:v>376.05</x:v>
      </x:c>
      <x:c r="F3444" s="11" t="n">
        <x:v>1.95</x:v>
      </x:c>
      <x:c r="G3444" s="11" t="n">
        <x:v>374.1</x:v>
      </x:c>
      <x:c r="H3444" s="23" t="n">
        <x:v>0.000018313758958388018</x:v>
      </x:c>
      <x:c r="I3444" s="23" t="n">
        <x:v>0.99080778857776</x:v>
      </x:c>
      <x:c r="J3444" s="2" t="n">
        <x:v>32</x:v>
      </x:c>
      <x:c r="K3444" s="2"/>
      <x:c r="L3444" s="2"/>
    </x:row>
    <x:row r="3445" ht="22" customHeight="1">
      <x:c r="A3445" s="2"/>
      <x:c r="B3445" s="2" t="n">
        <x:v>3412</x:v>
      </x:c>
      <x:c r="C3445" s="2" t="str">
        <x:v>84429A</x:v>
      </x:c>
      <x:c r="D3445" s="2" t="str">
        <x:v>MEDIUM PINK BUDDHA HEAD </x:v>
      </x:c>
      <x:c r="E3445" s="11" t="n">
        <x:v>374.73</x:v>
      </x:c>
      <x:c r="F3445" s="11" t="n">
        <x:v>0</x:v>
      </x:c>
      <x:c r="G3445" s="11" t="n">
        <x:v>374.73</x:v>
      </x:c>
      <x:c r="H3445" s="23" t="n">
        <x:v>0.000018249474523272815</x:v>
      </x:c>
      <x:c r="I3445" s="23" t="n">
        <x:v>0.9908260380522832</x:v>
      </x:c>
      <x:c r="J3445" s="2" t="n">
        <x:v>42</x:v>
      </x:c>
      <x:c r="K3445" s="2"/>
      <x:c r="L3445" s="2"/>
    </x:row>
    <x:row r="3446" ht="22" customHeight="1">
      <x:c r="A3446" s="2"/>
      <x:c r="B3446" s="2" t="n">
        <x:v>3413</x:v>
      </x:c>
      <x:c r="C3446" s="2" t="str">
        <x:v>84741C</x:v>
      </x:c>
      <x:c r="D3446" s="2" t="str">
        <x:v>CITRUS GARLAND FELT FLOWERS </x:v>
      </x:c>
      <x:c r="E3446" s="11" t="n">
        <x:v>374.09</x:v>
      </x:c>
      <x:c r="F3446" s="11" t="n">
        <x:v>0</x:v>
      </x:c>
      <x:c r="G3446" s="11" t="n">
        <x:v>374.09</x:v>
      </x:c>
      <x:c r="H3446" s="23" t="n">
        <x:v>0.000018218306312307866</x:v>
      </x:c>
      <x:c r="I3446" s="23" t="n">
        <x:v>0.9908442563585955</x:v>
      </x:c>
      <x:c r="J3446" s="2" t="n">
        <x:v>51</x:v>
      </x:c>
      <x:c r="K3446" s="2"/>
      <x:c r="L3446" s="2"/>
    </x:row>
    <x:row r="3447" ht="22" customHeight="1">
      <x:c r="A3447" s="2"/>
      <x:c r="B3447" s="2" t="n">
        <x:v>3414</x:v>
      </x:c>
      <x:c r="C3447" s="2" t="str">
        <x:v>84877D</x:v>
      </x:c>
      <x:c r="D3447" s="2" t="str">
        <x:v>BLUE ROUND COMPACT MIRROR</x:v>
      </x:c>
      <x:c r="E3447" s="11" t="n">
        <x:v>373.09999999999997</x:v>
      </x:c>
      <x:c r="F3447" s="11" t="n">
        <x:v>0</x:v>
      </x:c>
      <x:c r="G3447" s="11" t="n">
        <x:v>373.09999999999997</x:v>
      </x:c>
      <x:c r="H3447" s="23" t="n">
        <x:v>0.000018170092985971462</x:v>
      </x:c>
      <x:c r="I3447" s="23" t="n">
        <x:v>0.9908624264515815</x:v>
      </x:c>
      <x:c r="J3447" s="2" t="n">
        <x:v>43</x:v>
      </x:c>
      <x:c r="K3447" s="2"/>
      <x:c r="L3447" s="2"/>
    </x:row>
    <x:row r="3448" ht="22" customHeight="1">
      <x:c r="A3448" s="2"/>
      <x:c r="B3448" s="2" t="n">
        <x:v>3415</x:v>
      </x:c>
      <x:c r="C3448" s="2" t="str">
        <x:v>84680</x:v>
      </x:c>
      <x:c r="D3448" s="2" t="str">
        <x:v>CLASSICAL ROSE URN</x:v>
      </x:c>
      <x:c r="E3448" s="11" t="n">
        <x:v>372.3</x:v>
      </x:c>
      <x:c r="F3448" s="11" t="n">
        <x:v>15.9</x:v>
      </x:c>
      <x:c r="G3448" s="11" t="n">
        <x:v>356.40000000000003</x:v>
      </x:c>
      <x:c r="H3448" s="23" t="n">
        <x:v>0.00001813113272226528</x:v>
      </x:c>
      <x:c r="I3448" s="23" t="n">
        <x:v>0.9908805575843038</x:v>
      </x:c>
      <x:c r="J3448" s="2" t="n">
        <x:v>17</x:v>
      </x:c>
      <x:c r="K3448" s="2"/>
      <x:c r="L3448" s="2"/>
    </x:row>
    <x:row r="3449" ht="22" customHeight="1">
      <x:c r="A3449" s="2"/>
      <x:c r="B3449" s="2" t="n">
        <x:v>3416</x:v>
      </x:c>
      <x:c r="C3449" s="2" t="str">
        <x:v>16216</x:v>
      </x:c>
      <x:c r="D3449" s="2" t="str">
        <x:v>LETTER SHAPE PENCIL SHARPENER</x:v>
      </x:c>
      <x:c r="E3449" s="11" t="n">
        <x:v>371.64</x:v>
      </x:c>
      <x:c r="F3449" s="11" t="n">
        <x:v>17.6</x:v>
      </x:c>
      <x:c r="G3449" s="11" t="n">
        <x:v>354.04</x:v>
      </x:c>
      <x:c r="H3449" s="23" t="n">
        <x:v>0.00001809899050470768</x:v>
      </x:c>
      <x:c r="I3449" s="23" t="n">
        <x:v>0.9908986565748086</x:v>
      </x:c>
      <x:c r="J3449" s="2" t="n">
        <x:v>88</x:v>
      </x:c>
      <x:c r="K3449" s="2"/>
      <x:c r="L3449" s="2"/>
    </x:row>
    <x:row r="3450" ht="22" customHeight="1">
      <x:c r="A3450" s="2"/>
      <x:c r="B3450" s="2" t="n">
        <x:v>3417</x:v>
      </x:c>
      <x:c r="C3450" s="2" t="str">
        <x:v>20906</x:v>
      </x:c>
      <x:c r="D3450" s="2" t="str">
        <x:v>VINTAGE NOTEBOOK BEAUTY GIRL</x:v>
      </x:c>
      <x:c r="E3450" s="11" t="n">
        <x:v>371.19</x:v>
      </x:c>
      <x:c r="F3450" s="11" t="n">
        <x:v>0</x:v>
      </x:c>
      <x:c r="G3450" s="11" t="n">
        <x:v>371.19</x:v>
      </x:c>
      <x:c r="H3450" s="23" t="n">
        <x:v>0.00001807707535637295</x:v>
      </x:c>
      <x:c r="I3450" s="23" t="n">
        <x:v>0.990916733650165</x:v>
      </x:c>
      <x:c r="J3450" s="2" t="n">
        <x:v>47</x:v>
      </x:c>
      <x:c r="K3450" s="2"/>
      <x:c r="L3450" s="2"/>
    </x:row>
    <x:row r="3451" ht="22" customHeight="1">
      <x:c r="A3451" s="2"/>
      <x:c r="B3451" s="2" t="n">
        <x:v>3418</x:v>
      </x:c>
      <x:c r="C3451" s="2" t="str">
        <x:v>90134</x:v>
      </x:c>
      <x:c r="D3451" s="2" t="str">
        <x:v>OLD ROSE COMBO BEAD NECKLACE</x:v>
      </x:c>
      <x:c r="E3451" s="11" t="n">
        <x:v>370.92</x:v>
      </x:c>
      <x:c r="F3451" s="11" t="n">
        <x:v>0</x:v>
      </x:c>
      <x:c r="G3451" s="11" t="n">
        <x:v>370.92</x:v>
      </x:c>
      <x:c r="H3451" s="23" t="n">
        <x:v>0.000018063926267372116</x:v>
      </x:c>
      <x:c r="I3451" s="23" t="n">
        <x:v>0.9909347975764323</x:v>
      </x:c>
      <x:c r="J3451" s="2" t="n">
        <x:v>96</x:v>
      </x:c>
      <x:c r="K3451" s="2"/>
      <x:c r="L3451" s="2"/>
    </x:row>
    <x:row r="3452" ht="22" customHeight="1">
      <x:c r="A3452" s="2"/>
      <x:c r="B3452" s="2" t="n">
        <x:v>3419</x:v>
      </x:c>
      <x:c r="C3452" s="2" t="str">
        <x:v>78033</x:v>
      </x:c>
      <x:c r="D3452" s="2" t="str">
        <x:v>FLAG OF ST GEORGE CHAIR</x:v>
      </x:c>
      <x:c r="E3452" s="11" t="n">
        <x:v>370.6</x:v>
      </x:c>
      <x:c r="F3452" s="11" t="n">
        <x:v>17.85</x:v>
      </x:c>
      <x:c r="G3452" s="11" t="n">
        <x:v>352.75</x:v>
      </x:c>
      <x:c r="H3452" s="23" t="n">
        <x:v>0.000018048342161889643</x:v>
      </x:c>
      <x:c r="I3452" s="23" t="n">
        <x:v>0.9909528459185942</x:v>
      </x:c>
      <x:c r="J3452" s="2" t="n">
        <x:v>16</x:v>
      </x:c>
      <x:c r="K3452" s="2"/>
      <x:c r="L3452" s="2"/>
    </x:row>
    <x:row r="3453" ht="22" customHeight="1">
      <x:c r="A3453" s="2"/>
      <x:c r="B3453" s="2" t="n">
        <x:v>3420</x:v>
      </x:c>
      <x:c r="C3453" s="2" t="str">
        <x:v>85026B</x:v>
      </x:c>
      <x:c r="D3453" s="2" t="str">
        <x:v>EAU DE NILE JEWELLED T-LIGHT HOLDER</x:v>
      </x:c>
      <x:c r="E3453" s="11" t="n">
        <x:v>370.09999999999997</x:v>
      </x:c>
      <x:c r="F3453" s="11" t="n">
        <x:v>8.5</x:v>
      </x:c>
      <x:c r="G3453" s="11" t="n">
        <x:v>361.59999999999997</x:v>
      </x:c>
      <x:c r="H3453" s="23" t="n">
        <x:v>0.000018023991997073275</x:v>
      </x:c>
      <x:c r="I3453" s="23" t="n">
        <x:v>0.9909708699105912</x:v>
      </x:c>
      <x:c r="J3453" s="2" t="n">
        <x:v>29</x:v>
      </x:c>
      <x:c r="K3453" s="2"/>
      <x:c r="L3453" s="2"/>
    </x:row>
    <x:row r="3454" ht="22" customHeight="1">
      <x:c r="A3454" s="2"/>
      <x:c r="B3454" s="2" t="n">
        <x:v>3421</x:v>
      </x:c>
      <x:c r="C3454" s="2" t="str">
        <x:v>22870</x:v>
      </x:c>
      <x:c r="D3454" s="2" t="str">
        <x:v>NUMBER TILE COTTAGE GARDEN 2</x:v>
      </x:c>
      <x:c r="E3454" s="11" t="n">
        <x:v>369.91999999999996</x:v>
      </x:c>
      <x:c r="F3454" s="11" t="n">
        <x:v>0</x:v>
      </x:c>
      <x:c r="G3454" s="11" t="n">
        <x:v>369.91999999999996</x:v>
      </x:c>
      <x:c r="H3454" s="23" t="n">
        <x:v>0.000018015225937739383</x:v>
      </x:c>
      <x:c r="I3454" s="23" t="n">
        <x:v>0.9909888851365289</x:v>
      </x:c>
      <x:c r="J3454" s="2" t="n">
        <x:v>46</x:v>
      </x:c>
      <x:c r="K3454" s="2"/>
      <x:c r="L3454" s="2"/>
    </x:row>
    <x:row r="3455" ht="22" customHeight="1">
      <x:c r="A3455" s="2"/>
      <x:c r="B3455" s="2" t="n">
        <x:v>3422</x:v>
      </x:c>
      <x:c r="C3455" s="2" t="str">
        <x:v>79336</x:v>
      </x:c>
      <x:c r="D3455" s="2" t="str">
        <x:v>LIGHT PINK FLOCK GLASS CANDLEHOLDER</x:v>
      </x:c>
      <x:c r="E3455" s="11" t="n">
        <x:v>369.78000000000003</x:v>
      </x:c>
      <x:c r="F3455" s="11" t="n">
        <x:v>0</x:v>
      </x:c>
      <x:c r="G3455" s="11" t="n">
        <x:v>369.78000000000003</x:v>
      </x:c>
      <x:c r="H3455" s="23" t="n">
        <x:v>0.0000180084078915908</x:v>
      </x:c>
      <x:c r="I3455" s="23" t="n">
        <x:v>0.9910068935444205</x:v>
      </x:c>
      <x:c r="J3455" s="2" t="n">
        <x:v>21</x:v>
      </x:c>
      <x:c r="K3455" s="2"/>
      <x:c r="L3455" s="2"/>
    </x:row>
    <x:row r="3456" ht="22" customHeight="1">
      <x:c r="A3456" s="2"/>
      <x:c r="B3456" s="2" t="n">
        <x:v>3423</x:v>
      </x:c>
      <x:c r="C3456" s="2" t="str">
        <x:v>20663</x:v>
      </x:c>
      <x:c r="D3456" s="2" t="str">
        <x:v>QUEEN OF THE SKIES HOLIDAY PURSE </x:v>
      </x:c>
      <x:c r="E3456" s="11" t="n">
        <x:v>369.41</x:v>
      </x:c>
      <x:c r="F3456" s="11" t="n">
        <x:v>93.85</x:v>
      </x:c>
      <x:c r="G3456" s="11" t="n">
        <x:v>275.56</x:v>
      </x:c>
      <x:c r="H3456" s="23" t="n">
        <x:v>0.000017990388769626693</x:v>
      </x:c>
      <x:c r="I3456" s="23" t="n">
        <x:v>0.9910248839331901</x:v>
      </x:c>
      <x:c r="J3456" s="2" t="n">
        <x:v>44</x:v>
      </x:c>
      <x:c r="K3456" s="2"/>
      <x:c r="L3456" s="2"/>
    </x:row>
    <x:row r="3457" ht="22" customHeight="1">
      <x:c r="A3457" s="2"/>
      <x:c r="B3457" s="2" t="n">
        <x:v>3424</x:v>
      </x:c>
      <x:c r="C3457" s="2" t="str">
        <x:v>84760S</x:v>
      </x:c>
      <x:c r="D3457" s="2" t="str">
        <x:v>SMALL HANGING GLASS+ZINC LANTERN</x:v>
      </x:c>
      <x:c r="E3457" s="11" t="n">
        <x:v>368.90999999999997</x:v>
      </x:c>
      <x:c r="F3457" s="11" t="n">
        <x:v>0</x:v>
      </x:c>
      <x:c r="G3457" s="11" t="n">
        <x:v>368.90999999999997</x:v>
      </x:c>
      <x:c r="H3457" s="23" t="n">
        <x:v>0.000017966038604810325</x:v>
      </x:c>
      <x:c r="I3457" s="23" t="n">
        <x:v>0.9910428499717949</x:v>
      </x:c>
      <x:c r="J3457" s="2" t="n">
        <x:v>36</x:v>
      </x:c>
      <x:c r="K3457" s="2"/>
      <x:c r="L3457" s="2"/>
    </x:row>
    <x:row r="3458" ht="22" customHeight="1">
      <x:c r="A3458" s="2"/>
      <x:c r="B3458" s="2" t="n">
        <x:v>3425</x:v>
      </x:c>
      <x:c r="C3458" s="2" t="str">
        <x:v>47504G</x:v>
      </x:c>
      <x:c r="D3458" s="2" t="str">
        <x:v>ENGLISH ROSE TAPE MEASURE</x:v>
      </x:c>
      <x:c r="E3458" s="11" t="n">
        <x:v>368.06</x:v>
      </x:c>
      <x:c r="F3458" s="11" t="n">
        <x:v>1.25</x:v>
      </x:c>
      <x:c r="G3458" s="11" t="n">
        <x:v>366.81</x:v>
      </x:c>
      <x:c r="H3458" s="23" t="n">
        <x:v>0.000017924643324622506</x:v>
      </x:c>
      <x:c r="I3458" s="23" t="n">
        <x:v>0.9910607746151195</x:v>
      </x:c>
      <x:c r="J3458" s="2" t="n">
        <x:v>57</x:v>
      </x:c>
      <x:c r="K3458" s="2"/>
      <x:c r="L3458" s="2"/>
    </x:row>
    <x:row r="3459" ht="22" customHeight="1">
      <x:c r="A3459" s="2"/>
      <x:c r="B3459" s="2" t="n">
        <x:v>3426</x:v>
      </x:c>
      <x:c r="C3459" s="2" t="str">
        <x:v>47503G</x:v>
      </x:c>
      <x:c r="D3459" s="2" t="str">
        <x:v>ASS FLORAL PRINT TAPE MEASURE</x:v>
      </x:c>
      <x:c r="E3459" s="11" t="n">
        <x:v>367.36</x:v>
      </x:c>
      <x:c r="F3459" s="11" t="n">
        <x:v>0</x:v>
      </x:c>
      <x:c r="G3459" s="11" t="n">
        <x:v>367.36</x:v>
      </x:c>
      <x:c r="H3459" s="23" t="n">
        <x:v>0.000017890553093879595</x:v>
      </x:c>
      <x:c r="I3459" s="23" t="n">
        <x:v>0.9910786651682134</x:v>
      </x:c>
      <x:c r="J3459" s="2" t="n">
        <x:v>35</x:v>
      </x:c>
      <x:c r="K3459" s="2"/>
      <x:c r="L3459" s="2"/>
    </x:row>
    <x:row r="3460" ht="22" customHeight="1">
      <x:c r="A3460" s="2"/>
      <x:c r="B3460" s="2" t="n">
        <x:v>3427</x:v>
      </x:c>
      <x:c r="C3460" s="2" t="str">
        <x:v>23575</x:v>
      </x:c>
      <x:c r="D3460" s="2" t="str">
        <x:v>SNACK TRAY PAISLEY PARK</x:v>
      </x:c>
      <x:c r="E3460" s="11" t="n">
        <x:v>367.34999999999997</x:v>
      </x:c>
      <x:c r="F3460" s="11" t="n">
        <x:v>0</x:v>
      </x:c>
      <x:c r="G3460" s="11" t="n">
        <x:v>367.34999999999997</x:v>
      </x:c>
      <x:c r="H3460" s="23" t="n">
        <x:v>0.000017890066090583266</x:v>
      </x:c>
      <x:c r="I3460" s="23" t="n">
        <x:v>0.991096555234304</x:v>
      </x:c>
      <x:c r="J3460" s="2" t="n">
        <x:v>32</x:v>
      </x:c>
      <x:c r="K3460" s="2"/>
      <x:c r="L3460" s="2"/>
    </x:row>
    <x:row r="3461" ht="22" customHeight="1">
      <x:c r="A3461" s="2"/>
      <x:c r="B3461" s="2" t="n">
        <x:v>3428</x:v>
      </x:c>
      <x:c r="C3461" s="2" t="str">
        <x:v>35915A</x:v>
      </x:c>
      <x:c r="D3461" s="2" t="str">
        <x:v>CREAM KNITTED HEN</x:v>
      </x:c>
      <x:c r="E3461" s="11" t="n">
        <x:v>365.76</x:v>
      </x:c>
      <x:c r="F3461" s="11" t="n">
        <x:v>0</x:v>
      </x:c>
      <x:c r="G3461" s="11" t="n">
        <x:v>365.76</x:v>
      </x:c>
      <x:c r="H3461" s="23" t="n">
        <x:v>0.000017812632566467226</x:v>
      </x:c>
      <x:c r="I3461" s="23" t="n">
        <x:v>0.9911143678668705</x:v>
      </x:c>
      <x:c r="J3461" s="2" t="n">
        <x:v>1</x:v>
      </x:c>
      <x:c r="K3461" s="2"/>
      <x:c r="L3461" s="2"/>
    </x:row>
    <x:row r="3462" ht="22" customHeight="1">
      <x:c r="A3462" s="2"/>
      <x:c r="B3462" s="2" t="n">
        <x:v>3429</x:v>
      </x:c>
      <x:c r="C3462" s="2" t="str">
        <x:v>90002D</x:v>
      </x:c>
      <x:c r="D3462" s="2" t="str">
        <x:v>FLOWER BURST SILVER RING CRYSTAL</x:v>
      </x:c>
      <x:c r="E3462" s="11" t="n">
        <x:v>365.74</x:v>
      </x:c>
      <x:c r="F3462" s="11" t="n">
        <x:v>7.5</x:v>
      </x:c>
      <x:c r="G3462" s="11" t="n">
        <x:v>358.24</x:v>
      </x:c>
      <x:c r="H3462" s="23" t="n">
        <x:v>0.000017811658559874574</x:v>
      </x:c>
      <x:c r="I3462" s="23" t="n">
        <x:v>0.9911321795254303</x:v>
      </x:c>
      <x:c r="J3462" s="2" t="n">
        <x:v>34</x:v>
      </x:c>
      <x:c r="K3462" s="2"/>
      <x:c r="L3462" s="2"/>
    </x:row>
    <x:row r="3463" ht="22" customHeight="1">
      <x:c r="A3463" s="2"/>
      <x:c r="B3463" s="2" t="n">
        <x:v>3430</x:v>
      </x:c>
      <x:c r="C3463" s="2" t="str">
        <x:v>84926D</x:v>
      </x:c>
      <x:c r="D3463" s="2" t="str">
        <x:v>LA PALMIERA TILE COASTER</x:v>
      </x:c>
      <x:c r="E3463" s="11" t="n">
        <x:v>365.34999999999997</x:v>
      </x:c>
      <x:c r="F3463" s="11" t="n">
        <x:v>0</x:v>
      </x:c>
      <x:c r="G3463" s="11" t="n">
        <x:v>365.34999999999997</x:v>
      </x:c>
      <x:c r="H3463" s="23" t="n">
        <x:v>0.000017792665431317807</x:v>
      </x:c>
      <x:c r="I3463" s="23" t="n">
        <x:v>0.9911499721908617</x:v>
      </x:c>
      <x:c r="J3463" s="2" t="n">
        <x:v>47</x:v>
      </x:c>
      <x:c r="K3463" s="2"/>
      <x:c r="L3463" s="2"/>
    </x:row>
    <x:row r="3464" ht="22" customHeight="1">
      <x:c r="A3464" s="2"/>
      <x:c r="B3464" s="2" t="n">
        <x:v>3431</x:v>
      </x:c>
      <x:c r="C3464" s="2" t="str">
        <x:v>79190A</x:v>
      </x:c>
      <x:c r="D3464" s="2" t="str">
        <x:v>RETRO PLASTIC 70'S TRAY</x:v>
      </x:c>
      <x:c r="E3464" s="11" t="n">
        <x:v>364.25</x:v>
      </x:c>
      <x:c r="F3464" s="11" t="n">
        <x:v>14.67</x:v>
      </x:c>
      <x:c r="G3464" s="11" t="n">
        <x:v>349.58</x:v>
      </x:c>
      <x:c r="H3464" s="23" t="n">
        <x:v>0.000017739095068721806</x:v>
      </x:c>
      <x:c r="I3464" s="23" t="n">
        <x:v>0.9911677112859304</x:v>
      </x:c>
      <x:c r="J3464" s="2" t="n">
        <x:v>119</x:v>
      </x:c>
      <x:c r="K3464" s="2"/>
      <x:c r="L3464" s="2"/>
    </x:row>
    <x:row r="3465" ht="22" customHeight="1">
      <x:c r="A3465" s="2"/>
      <x:c r="B3465" s="2" t="n">
        <x:v>3432</x:v>
      </x:c>
      <x:c r="C3465" s="2" t="str">
        <x:v>35968</x:v>
      </x:c>
      <x:c r="D3465" s="2" t="str">
        <x:v>check</x:v>
      </x:c>
      <x:c r="E3465" s="11" t="n">
        <x:v>363.34000000000003</x:v>
      </x:c>
      <x:c r="F3465" s="11" t="n">
        <x:v>9.5</x:v>
      </x:c>
      <x:c r="G3465" s="11" t="n">
        <x:v>353.84000000000003</x:v>
      </x:c>
      <x:c r="H3465" s="23" t="n">
        <x:v>0.000017694777768756023</x:v>
      </x:c>
      <x:c r="I3465" s="23" t="n">
        <x:v>0.9911854060636992</x:v>
      </x:c>
      <x:c r="J3465" s="2" t="n">
        <x:v>75</x:v>
      </x:c>
      <x:c r="K3465" s="2"/>
      <x:c r="L3465" s="2"/>
    </x:row>
    <x:row r="3466" ht="22" customHeight="1">
      <x:c r="A3466" s="2"/>
      <x:c r="B3466" s="2" t="n">
        <x:v>3433</x:v>
      </x:c>
      <x:c r="C3466" s="2" t="str">
        <x:v>90164B</x:v>
      </x:c>
      <x:c r="D3466" s="2" t="str">
        <x:v>WHITE  ROSEBUD PEARL BRACELET</x:v>
      </x:c>
      <x:c r="E3466" s="11" t="n">
        <x:v>362.94</x:v>
      </x:c>
      <x:c r="F3466" s="11" t="n">
        <x:v>0</x:v>
      </x:c>
      <x:c r="G3466" s="11" t="n">
        <x:v>362.94</x:v>
      </x:c>
      <x:c r="H3466" s="23" t="n">
        <x:v>0.00001767529763690293</x:v>
      </x:c>
      <x:c r="I3466" s="23" t="n">
        <x:v>0.9912030813613361</x:v>
      </x:c>
      <x:c r="J3466" s="2" t="n">
        <x:v>35</x:v>
      </x:c>
      <x:c r="K3466" s="2"/>
      <x:c r="L3466" s="2"/>
    </x:row>
    <x:row r="3467" ht="22" customHeight="1">
      <x:c r="A3467" s="2"/>
      <x:c r="B3467" s="2" t="n">
        <x:v>3434</x:v>
      </x:c>
      <x:c r="C3467" s="2" t="str">
        <x:v>23579</x:v>
      </x:c>
      <x:c r="D3467" s="2" t="str">
        <x:v>SNACK TRAY I LOVE LONDON</x:v>
      </x:c>
      <x:c r="E3467" s="11" t="n">
        <x:v>362.65</x:v>
      </x:c>
      <x:c r="F3467" s="11" t="n">
        <x:v>0</x:v>
      </x:c>
      <x:c r="G3467" s="11" t="n">
        <x:v>362.65</x:v>
      </x:c>
      <x:c r="H3467" s="23" t="n">
        <x:v>0.000017661174541309438</x:v>
      </x:c>
      <x:c r="I3467" s="23" t="n">
        <x:v>0.9912207425358773</x:v>
      </x:c>
      <x:c r="J3467" s="2" t="n">
        <x:v>35</x:v>
      </x:c>
      <x:c r="K3467" s="2"/>
      <x:c r="L3467" s="2"/>
    </x:row>
    <x:row r="3468" ht="22" customHeight="1">
      <x:c r="A3468" s="2"/>
      <x:c r="B3468" s="2" t="n">
        <x:v>3435</x:v>
      </x:c>
      <x:c r="C3468" s="2" t="str">
        <x:v>90160A</x:v>
      </x:c>
      <x:c r="D3468" s="2" t="str">
        <x:v>PURPLE BOUDICCA LARGE BRACELET</x:v>
      </x:c>
      <x:c r="E3468" s="11" t="n">
        <x:v>362.51</x:v>
      </x:c>
      <x:c r="F3468" s="11" t="n">
        <x:v>48.65</x:v>
      </x:c>
      <x:c r="G3468" s="11" t="n">
        <x:v>313.86</x:v>
      </x:c>
      <x:c r="H3468" s="23" t="n">
        <x:v>0.000017654356495160856</x:v>
      </x:c>
      <x:c r="I3468" s="23" t="n">
        <x:v>0.9912383968923725</x:v>
      </x:c>
      <x:c r="J3468" s="2" t="n">
        <x:v>25</x:v>
      </x:c>
      <x:c r="K3468" s="2"/>
      <x:c r="L3468" s="2"/>
    </x:row>
    <x:row r="3469" ht="22" customHeight="1">
      <x:c r="A3469" s="2"/>
      <x:c r="B3469" s="2" t="n">
        <x:v>3436</x:v>
      </x:c>
      <x:c r="C3469" s="2" t="str">
        <x:v>85094</x:v>
      </x:c>
      <x:c r="D3469" s="2" t="str">
        <x:v>CANDY SPOT EGG WARMER RABBIT</x:v>
      </x:c>
      <x:c r="E3469" s="11" t="n">
        <x:v>362.43</x:v>
      </x:c>
      <x:c r="F3469" s="11" t="n">
        <x:v>1.25</x:v>
      </x:c>
      <x:c r="G3469" s="11" t="n">
        <x:v>361.18</x:v>
      </x:c>
      <x:c r="H3469" s="23" t="n">
        <x:v>0.00001765046046879024</x:v>
      </x:c>
      <x:c r="I3469" s="23" t="n">
        <x:v>0.9912560473528412</x:v>
      </x:c>
      <x:c r="J3469" s="2" t="n">
        <x:v>108</x:v>
      </x:c>
      <x:c r="K3469" s="2"/>
      <x:c r="L3469" s="2"/>
    </x:row>
    <x:row r="3470" ht="22" customHeight="1">
      <x:c r="A3470" s="2"/>
      <x:c r="B3470" s="2" t="n">
        <x:v>3437</x:v>
      </x:c>
      <x:c r="C3470" s="2" t="str">
        <x:v>21946</x:v>
      </x:c>
      <x:c r="D3470" s="2" t="str">
        <x:v>PARTY TIME DESIGN FLANNEL</x:v>
      </x:c>
      <x:c r="E3470" s="11" t="n">
        <x:v>358.96999999999997</x:v>
      </x:c>
      <x:c r="F3470" s="11" t="n">
        <x:v>0</x:v>
      </x:c>
      <x:c r="G3470" s="11" t="n">
        <x:v>358.96999999999997</x:v>
      </x:c>
      <x:c r="H3470" s="23" t="n">
        <x:v>0.00001748195732826099</x:v>
      </x:c>
      <x:c r="I3470" s="23" t="n">
        <x:v>0.9912735293101695</x:v>
      </x:c>
      <x:c r="J3470" s="2" t="n">
        <x:v>67</x:v>
      </x:c>
      <x:c r="K3470" s="2"/>
      <x:c r="L3470" s="2"/>
    </x:row>
    <x:row r="3471" ht="22" customHeight="1">
      <x:c r="A3471" s="2"/>
      <x:c r="B3471" s="2" t="n">
        <x:v>3438</x:v>
      </x:c>
      <x:c r="C3471" s="2" t="str">
        <x:v>84402D</x:v>
      </x:c>
      <x:c r="D3471" s="2" t="str">
        <x:v>PINK DRESS JEWELLERY STAND </x:v>
      </x:c>
      <x:c r="E3471" s="11" t="n">
        <x:v>358.92999999999995</x:v>
      </x:c>
      <x:c r="F3471" s="11" t="n">
        <x:v>0</x:v>
      </x:c>
      <x:c r="G3471" s="11" t="n">
        <x:v>358.92999999999995</x:v>
      </x:c>
      <x:c r="H3471" s="23" t="n">
        <x:v>0.00001748000931507568</x:v>
      </x:c>
      <x:c r="I3471" s="23" t="n">
        <x:v>0.9912910093194847</x:v>
      </x:c>
      <x:c r="J3471" s="2" t="n">
        <x:v>13</x:v>
      </x:c>
      <x:c r="K3471" s="2"/>
      <x:c r="L3471" s="2"/>
    </x:row>
    <x:row r="3472" ht="22" customHeight="1">
      <x:c r="A3472" s="2"/>
      <x:c r="B3472" s="2" t="n">
        <x:v>3439</x:v>
      </x:c>
      <x:c r="C3472" s="2" t="str">
        <x:v>90036E</x:v>
      </x:c>
      <x:c r="D3472" s="2" t="str">
        <x:v>FLOWER GLASS GARLD NECKL36"AMETHYST</x:v>
      </x:c>
      <x:c r="E3472" s="11" t="n">
        <x:v>358.87</x:v>
      </x:c>
      <x:c r="F3472" s="11" t="n">
        <x:v>0</x:v>
      </x:c>
      <x:c r="G3472" s="11" t="n">
        <x:v>358.87</x:v>
      </x:c>
      <x:c r="H3472" s="23" t="n">
        <x:v>0.00001747708729529772</x:v>
      </x:c>
      <x:c r="I3472" s="23" t="n">
        <x:v>0.9913084864067799</x:v>
      </x:c>
      <x:c r="J3472" s="2" t="n">
        <x:v>28</x:v>
      </x:c>
      <x:c r="K3472" s="2"/>
      <x:c r="L3472" s="2"/>
    </x:row>
    <x:row r="3473" ht="22" customHeight="1">
      <x:c r="A3473" s="2"/>
      <x:c r="B3473" s="2" t="n">
        <x:v>3440</x:v>
      </x:c>
      <x:c r="C3473" s="2" t="str">
        <x:v>35912B</x:v>
      </x:c>
      <x:c r="D3473" s="2" t="str">
        <x:v>WHITE/PINK CHICK DECORATION</x:v>
      </x:c>
      <x:c r="E3473" s="11" t="n">
        <x:v>358.08000000000004</x:v>
      </x:c>
      <x:c r="F3473" s="11" t="n">
        <x:v>0</x:v>
      </x:c>
      <x:c r="G3473" s="11" t="n">
        <x:v>358.08000000000004</x:v>
      </x:c>
      <x:c r="H3473" s="23" t="n">
        <x:v>0.000017438614034887865</x:v>
      </x:c>
      <x:c r="I3473" s="23" t="n">
        <x:v>0.9913259250208148</x:v>
      </x:c>
      <x:c r="J3473" s="2" t="n">
        <x:v>30</x:v>
      </x:c>
      <x:c r="K3473" s="2"/>
      <x:c r="L3473" s="2"/>
    </x:row>
    <x:row r="3474" ht="22" customHeight="1">
      <x:c r="A3474" s="2"/>
      <x:c r="B3474" s="2" t="n">
        <x:v>3441</x:v>
      </x:c>
      <x:c r="C3474" s="2" t="str">
        <x:v>84711B</x:v>
      </x:c>
      <x:c r="D3474" s="2" t="str">
        <x:v>PINK OVAL SHAPE TRINKET BOX</x:v>
      </x:c>
      <x:c r="E3474" s="11" t="n">
        <x:v>357.71</x:v>
      </x:c>
      <x:c r="F3474" s="11" t="n">
        <x:v>0</x:v>
      </x:c>
      <x:c r="G3474" s="11" t="n">
        <x:v>357.71</x:v>
      </x:c>
      <x:c r="H3474" s="23" t="n">
        <x:v>0.000017420594912923753</x:v>
      </x:c>
      <x:c r="I3474" s="23" t="n">
        <x:v>0.9913433456157278</x:v>
      </x:c>
      <x:c r="J3474" s="2" t="n">
        <x:v>30</x:v>
      </x:c>
      <x:c r="K3474" s="2"/>
      <x:c r="L3474" s="2"/>
    </x:row>
    <x:row r="3475" ht="22" customHeight="1">
      <x:c r="A3475" s="2"/>
      <x:c r="B3475" s="2" t="n">
        <x:v>3442</x:v>
      </x:c>
      <x:c r="C3475" s="2" t="str">
        <x:v>84800M</x:v>
      </x:c>
      <x:c r="D3475" s="2" t="str">
        <x:v>MEDIUM WHITE/PINK ROSE ART FLOWER</x:v>
      </x:c>
      <x:c r="E3475" s="11" t="n">
        <x:v>357.22</x:v>
      </x:c>
      <x:c r="F3475" s="11" t="n">
        <x:v>5.07</x:v>
      </x:c>
      <x:c r="G3475" s="11" t="n">
        <x:v>352.15000000000003</x:v>
      </x:c>
      <x:c r="H3475" s="23" t="n">
        <x:v>0.000017396731751403717</x:v>
      </x:c>
      <x:c r="I3475" s="23" t="n">
        <x:v>0.9913607423474792</x:v>
      </x:c>
      <x:c r="J3475" s="2" t="n">
        <x:v>27</x:v>
      </x:c>
      <x:c r="K3475" s="2"/>
      <x:c r="L3475" s="2"/>
    </x:row>
    <x:row r="3476" ht="22" customHeight="1">
      <x:c r="A3476" s="2"/>
      <x:c r="B3476" s="2" t="n">
        <x:v>3443</x:v>
      </x:c>
      <x:c r="C3476" s="2" t="str">
        <x:v>90148</x:v>
      </x:c>
      <x:c r="D3476" s="2" t="str">
        <x:v>LONG SILVER NECKLACE PASTEL FLOWER</x:v>
      </x:c>
      <x:c r="E3476" s="11" t="n">
        <x:v>356.73</x:v>
      </x:c>
      <x:c r="F3476" s="11" t="n">
        <x:v>25.5</x:v>
      </x:c>
      <x:c r="G3476" s="11" t="n">
        <x:v>331.23</x:v>
      </x:c>
      <x:c r="H3476" s="23" t="n">
        <x:v>0.00001737286858988368</x:v>
      </x:c>
      <x:c r="I3476" s="23" t="n">
        <x:v>0.9913781152160691</x:v>
      </x:c>
      <x:c r="J3476" s="2" t="n">
        <x:v>18</x:v>
      </x:c>
      <x:c r="K3476" s="2"/>
      <x:c r="L3476" s="2"/>
    </x:row>
    <x:row r="3477" ht="22" customHeight="1">
      <x:c r="A3477" s="2"/>
      <x:c r="B3477" s="2" t="n">
        <x:v>3444</x:v>
      </x:c>
      <x:c r="C3477" s="2" t="str">
        <x:v>21038</x:v>
      </x:c>
      <x:c r="D3477" s="2" t="str">
        <x:v>SET/4 MODERN VINTAGE COTTON NAPKINS</x:v>
      </x:c>
      <x:c r="E3477" s="11" t="n">
        <x:v>355.48</x:v>
      </x:c>
      <x:c r="F3477" s="11" t="n">
        <x:v>5.9</x:v>
      </x:c>
      <x:c r="G3477" s="11" t="n">
        <x:v>349.58000000000004</x:v>
      </x:c>
      <x:c r="H3477" s="23" t="n">
        <x:v>0.000017311993177842767</x:v>
      </x:c>
      <x:c r="I3477" s="23" t="n">
        <x:v>0.991395427209247</x:v>
      </x:c>
      <x:c r="J3477" s="2" t="n">
        <x:v>52</x:v>
      </x:c>
      <x:c r="K3477" s="2"/>
      <x:c r="L3477" s="2"/>
    </x:row>
    <x:row r="3478" ht="22" customHeight="1">
      <x:c r="A3478" s="2"/>
      <x:c r="B3478" s="2" t="n">
        <x:v>3445</x:v>
      </x:c>
      <x:c r="C3478" s="2" t="str">
        <x:v>20799</x:v>
      </x:c>
      <x:c r="D3478" s="2" t="str">
        <x:v>damaged</x:v>
      </x:c>
      <x:c r="E3478" s="11" t="n">
        <x:v>355.33</x:v>
      </x:c>
      <x:c r="F3478" s="11" t="n">
        <x:v>29.459999999999997</x:v>
      </x:c>
      <x:c r="G3478" s="11" t="n">
        <x:v>325.87</x:v>
      </x:c>
      <x:c r="H3478" s="23" t="n">
        <x:v>0.000017304688128397856</x:v>
      </x:c>
      <x:c r="I3478" s="23" t="n">
        <x:v>0.9914127318973754</x:v>
      </x:c>
      <x:c r="J3478" s="2" t="n">
        <x:v>26</x:v>
      </x:c>
      <x:c r="K3478" s="2"/>
      <x:c r="L3478" s="2"/>
    </x:row>
    <x:row r="3479" ht="22" customHeight="1">
      <x:c r="A3479" s="2"/>
      <x:c r="B3479" s="2" t="n">
        <x:v>3446</x:v>
      </x:c>
      <x:c r="C3479" s="2" t="str">
        <x:v>72487</x:v>
      </x:c>
      <x:c r="D3479" s="2" t="str">
        <x:v>ROSES WHITE ROUND CANDLE</x:v>
      </x:c>
      <x:c r="E3479" s="11" t="n">
        <x:v>355.05</x:v>
      </x:c>
      <x:c r="F3479" s="11" t="n">
        <x:v>0</x:v>
      </x:c>
      <x:c r="G3479" s="11" t="n">
        <x:v>355.05</x:v>
      </x:c>
      <x:c r="H3479" s="23" t="n">
        <x:v>0.000017291052036100693</x:v>
      </x:c>
      <x:c r="I3479" s="23" t="n">
        <x:v>0.9914300229494115</x:v>
      </x:c>
      <x:c r="J3479" s="2" t="n">
        <x:v>14</x:v>
      </x:c>
      <x:c r="K3479" s="2"/>
      <x:c r="L3479" s="2"/>
    </x:row>
    <x:row r="3480" ht="22" customHeight="1">
      <x:c r="A3480" s="2"/>
      <x:c r="B3480" s="2" t="n">
        <x:v>3447</x:v>
      </x:c>
      <x:c r="C3480" s="2" t="str">
        <x:v>90019A</x:v>
      </x:c>
      <x:c r="D3480" s="2" t="str">
        <x:v>SILVER M.O.P ORBIT BRACELET</x:v>
      </x:c>
      <x:c r="E3480" s="11" t="n">
        <x:v>354.59000000000003</x:v>
      </x:c>
      <x:c r="F3480" s="11" t="n">
        <x:v>0</x:v>
      </x:c>
      <x:c r="G3480" s="11" t="n">
        <x:v>354.59000000000003</x:v>
      </x:c>
      <x:c r="H3480" s="23" t="n">
        <x:v>0.00001726864988446964</x:v>
      </x:c>
      <x:c r="I3480" s="23" t="n">
        <x:v>0.991447291599296</x:v>
      </x:c>
      <x:c r="J3480" s="2" t="n">
        <x:v>51</x:v>
      </x:c>
      <x:c r="K3480" s="2"/>
      <x:c r="L3480" s="2"/>
    </x:row>
    <x:row r="3481" ht="22" customHeight="1">
      <x:c r="A3481" s="2"/>
      <x:c r="B3481" s="2" t="n">
        <x:v>3448</x:v>
      </x:c>
      <x:c r="C3481" s="2" t="str">
        <x:v>90082A</x:v>
      </x:c>
      <x:c r="D3481" s="2" t="str">
        <x:v>DIAMANTE BOW BROOCH GREEN COLOUR</x:v>
      </x:c>
      <x:c r="E3481" s="11" t="n">
        <x:v>353.71</x:v>
      </x:c>
      <x:c r="F3481" s="11" t="n">
        <x:v>0</x:v>
      </x:c>
      <x:c r="G3481" s="11" t="n">
        <x:v>353.71</x:v>
      </x:c>
      <x:c r="H3481" s="23" t="n">
        <x:v>0.000017225793594392832</x:v>
      </x:c>
      <x:c r="I3481" s="23" t="n">
        <x:v>0.9914645173928904</x:v>
      </x:c>
      <x:c r="J3481" s="2" t="n">
        <x:v>32</x:v>
      </x:c>
      <x:c r="K3481" s="2"/>
      <x:c r="L3481" s="2"/>
    </x:row>
    <x:row r="3482" ht="22" customHeight="1">
      <x:c r="A3482" s="2"/>
      <x:c r="B3482" s="2" t="n">
        <x:v>3449</x:v>
      </x:c>
      <x:c r="C3482" s="2" t="str">
        <x:v>90013C</x:v>
      </x:c>
      <x:c r="D3482" s="2" t="str">
        <x:v>GREEN VINTAGE EARRINGS </x:v>
      </x:c>
      <x:c r="E3482" s="11" t="n">
        <x:v>353.55</x:v>
      </x:c>
      <x:c r="F3482" s="11" t="n">
        <x:v>3.75</x:v>
      </x:c>
      <x:c r="G3482" s="11" t="n">
        <x:v>349.8</x:v>
      </x:c>
      <x:c r="H3482" s="23" t="n">
        <x:v>0.0000172180015416516</x:v>
      </x:c>
      <x:c r="I3482" s="23" t="n">
        <x:v>0.9914817353944321</x:v>
      </x:c>
      <x:c r="J3482" s="2" t="n">
        <x:v>56</x:v>
      </x:c>
      <x:c r="K3482" s="2"/>
      <x:c r="L3482" s="2"/>
    </x:row>
    <x:row r="3483" ht="22" customHeight="1">
      <x:c r="A3483" s="2"/>
      <x:c r="B3483" s="2" t="n">
        <x:v>3450</x:v>
      </x:c>
      <x:c r="C3483" s="2" t="str">
        <x:v>23420</x:v>
      </x:c>
      <x:c r="D3483" s="2" t="str">
        <x:v>PANTRY HOOK TEA STRAINER </x:v>
      </x:c>
      <x:c r="E3483" s="11" t="n">
        <x:v>353.45</x:v>
      </x:c>
      <x:c r="F3483" s="11" t="n">
        <x:v>0</x:v>
      </x:c>
      <x:c r="G3483" s="11" t="n">
        <x:v>353.45</x:v>
      </x:c>
      <x:c r="H3483" s="23" t="n">
        <x:v>0.000017213131508688324</x:v>
      </x:c>
      <x:c r="I3483" s="23" t="n">
        <x:v>0.9914989485259408</x:v>
      </x:c>
      <x:c r="J3483" s="2" t="n">
        <x:v>32</x:v>
      </x:c>
      <x:c r="K3483" s="2"/>
      <x:c r="L3483" s="2"/>
    </x:row>
    <x:row r="3484" ht="22" customHeight="1">
      <x:c r="A3484" s="2"/>
      <x:c r="B3484" s="2" t="n">
        <x:v>3451</x:v>
      </x:c>
      <x:c r="C3484" s="2" t="str">
        <x:v>20950</x:v>
      </x:c>
      <x:c r="D3484" s="2" t="str">
        <x:v>SET/6  ANGEL T-LIGHTS WHITE/GOLD</x:v>
      </x:c>
      <x:c r="E3484" s="11" t="n">
        <x:v>353.39</x:v>
      </x:c>
      <x:c r="F3484" s="11" t="n">
        <x:v>0</x:v>
      </x:c>
      <x:c r="G3484" s="11" t="n">
        <x:v>353.39</x:v>
      </x:c>
      <x:c r="H3484" s="23" t="n">
        <x:v>0.00001721020948891036</x:v>
      </x:c>
      <x:c r="I3484" s="23" t="n">
        <x:v>0.9915161587354296</x:v>
      </x:c>
      <x:c r="J3484" s="2" t="n">
        <x:v>83</x:v>
      </x:c>
      <x:c r="K3484" s="2"/>
      <x:c r="L3484" s="2"/>
    </x:row>
    <x:row r="3485" ht="22" customHeight="1">
      <x:c r="A3485" s="2"/>
      <x:c r="B3485" s="2" t="n">
        <x:v>3452</x:v>
      </x:c>
      <x:c r="C3485" s="2" t="str">
        <x:v>23421</x:v>
      </x:c>
      <x:c r="D3485" s="2" t="str">
        <x:v>PANTRY HOOK SPATULA</x:v>
      </x:c>
      <x:c r="E3485" s="11" t="n">
        <x:v>353.36</x:v>
      </x:c>
      <x:c r="F3485" s="11" t="n">
        <x:v>0</x:v>
      </x:c>
      <x:c r="G3485" s="11" t="n">
        <x:v>353.36</x:v>
      </x:c>
      <x:c r="H3485" s="23" t="n">
        <x:v>0.00001720874847902138</x:v>
      </x:c>
      <x:c r="I3485" s="23" t="n">
        <x:v>0.9915333674839086</x:v>
      </x:c>
      <x:c r="J3485" s="2" t="n">
        <x:v>33</x:v>
      </x:c>
      <x:c r="K3485" s="2"/>
      <x:c r="L3485" s="2"/>
    </x:row>
    <x:row r="3486" ht="22" customHeight="1">
      <x:c r="A3486" s="2"/>
      <x:c r="B3486" s="2" t="n">
        <x:v>3453</x:v>
      </x:c>
      <x:c r="C3486" s="2" t="str">
        <x:v>84802A</x:v>
      </x:c>
      <x:c r="D3486" s="2" t="str">
        <x:v>WHITE ANEMONE ARTIFICIAL FLOWER</x:v>
      </x:c>
      <x:c r="E3486" s="11" t="n">
        <x:v>353.21000000000004</x:v>
      </x:c>
      <x:c r="F3486" s="11" t="n">
        <x:v>0</x:v>
      </x:c>
      <x:c r="G3486" s="11" t="n">
        <x:v>353.21000000000004</x:v>
      </x:c>
      <x:c r="H3486" s="23" t="n">
        <x:v>0.00001720144342957647</x:v>
      </x:c>
      <x:c r="I3486" s="23" t="n">
        <x:v>0.9915505689273382</x:v>
      </x:c>
      <x:c r="J3486" s="2" t="n">
        <x:v>24</x:v>
      </x:c>
      <x:c r="K3486" s="2"/>
      <x:c r="L3486" s="2"/>
    </x:row>
    <x:row r="3487" ht="22" customHeight="1">
      <x:c r="A3487" s="2"/>
      <x:c r="B3487" s="2" t="n">
        <x:v>3454</x:v>
      </x:c>
      <x:c r="C3487" s="2" t="str">
        <x:v>22039</x:v>
      </x:c>
      <x:c r="D3487" s="2" t="str">
        <x:v>BOTANICAL LILY GIFT WRAP</x:v>
      </x:c>
      <x:c r="E3487" s="11" t="n">
        <x:v>353</x:v>
      </x:c>
      <x:c r="F3487" s="11" t="n">
        <x:v>10.5</x:v>
      </x:c>
      <x:c r="G3487" s="11" t="n">
        <x:v>342.5</x:v>
      </x:c>
      <x:c r="H3487" s="23" t="n">
        <x:v>0.000017191216360353595</x:v>
      </x:c>
      <x:c r="I3487" s="23" t="n">
        <x:v>0.9915677601436985</x:v>
      </x:c>
      <x:c r="J3487" s="2" t="n">
        <x:v>30</x:v>
      </x:c>
      <x:c r="K3487" s="2"/>
      <x:c r="L3487" s="2"/>
    </x:row>
    <x:row r="3488" ht="22" customHeight="1">
      <x:c r="A3488" s="2"/>
      <x:c r="B3488" s="2" t="n">
        <x:v>3455</x:v>
      </x:c>
      <x:c r="C3488" s="2" t="str">
        <x:v>84898F</x:v>
      </x:c>
      <x:c r="D3488" s="2" t="str">
        <x:v>YELLOW FLOWERS FELT HANDBAG KIT</x:v>
      </x:c>
      <x:c r="E3488" s="11" t="n">
        <x:v>352.75</x:v>
      </x:c>
      <x:c r="F3488" s="11" t="n">
        <x:v>0</x:v>
      </x:c>
      <x:c r="G3488" s="11" t="n">
        <x:v>352.75</x:v>
      </x:c>
      <x:c r="H3488" s="23" t="n">
        <x:v>0.000017179041277945413</x:v>
      </x:c>
      <x:c r="I3488" s="23" t="n">
        <x:v>0.9915849391849765</x:v>
      </x:c>
      <x:c r="J3488" s="2" t="n">
        <x:v>52</x:v>
      </x:c>
      <x:c r="K3488" s="2"/>
      <x:c r="L3488" s="2"/>
    </x:row>
    <x:row r="3489" ht="22" customHeight="1">
      <x:c r="A3489" s="2"/>
      <x:c r="B3489" s="2" t="n">
        <x:v>3456</x:v>
      </x:c>
      <x:c r="C3489" s="2" t="str">
        <x:v>46000R</x:v>
      </x:c>
      <x:c r="D3489" s="2" t="str">
        <x:v>POLYESTER FILLER PAD 45x30cm</x:v>
      </x:c>
      <x:c r="E3489" s="11" t="n">
        <x:v>352.34999999999997</x:v>
      </x:c>
      <x:c r="F3489" s="11" t="n">
        <x:v>0</x:v>
      </x:c>
      <x:c r="G3489" s="11" t="n">
        <x:v>352.34999999999997</x:v>
      </x:c>
      <x:c r="H3489" s="23" t="n">
        <x:v>0.00001715956114609232</x:v>
      </x:c>
      <x:c r="I3489" s="23" t="n">
        <x:v>0.9916020987461226</x:v>
      </x:c>
      <x:c r="J3489" s="2" t="n">
        <x:v>61</x:v>
      </x:c>
      <x:c r="K3489" s="2"/>
      <x:c r="L3489" s="2"/>
    </x:row>
    <x:row r="3490" ht="22" customHeight="1">
      <x:c r="A3490" s="2"/>
      <x:c r="B3490" s="2" t="n">
        <x:v>3457</x:v>
      </x:c>
      <x:c r="C3490" s="2" t="str">
        <x:v>84249D</x:v>
      </x:c>
      <x:c r="D3490" s="2" t="str">
        <x:v>FAIRY CAKE GREETINGS CARD</x:v>
      </x:c>
      <x:c r="E3490" s="11" t="n">
        <x:v>352.34</x:v>
      </x:c>
      <x:c r="F3490" s="11" t="n">
        <x:v>10.08</x:v>
      </x:c>
      <x:c r="G3490" s="11" t="n">
        <x:v>342.26</x:v>
      </x:c>
      <x:c r="H3490" s="23" t="n">
        <x:v>0.000017159074142795994</x:v>
      </x:c>
      <x:c r="I3490" s="23" t="n">
        <x:v>0.9916192578202654</x:v>
      </x:c>
      <x:c r="J3490" s="2" t="n">
        <x:v>64</x:v>
      </x:c>
      <x:c r="K3490" s="2"/>
      <x:c r="L3490" s="2"/>
    </x:row>
    <x:row r="3491" ht="22" customHeight="1">
      <x:c r="A3491" s="2"/>
      <x:c r="B3491" s="2" t="n">
        <x:v>3458</x:v>
      </x:c>
      <x:c r="C3491" s="2" t="str">
        <x:v>84809B</x:v>
      </x:c>
      <x:c r="D3491" s="2" t="str">
        <x:v>damaged</x:v>
      </x:c>
      <x:c r="E3491" s="11" t="n">
        <x:v>351.6</x:v>
      </x:c>
      <x:c r="F3491" s="11" t="n">
        <x:v>0</x:v>
      </x:c>
      <x:c r="G3491" s="11" t="n">
        <x:v>351.6</x:v>
      </x:c>
      <x:c r="H3491" s="23" t="n">
        <x:v>0.000017123035898867777</x:v>
      </x:c>
      <x:c r="I3491" s="23" t="n">
        <x:v>0.9916363808561642</x:v>
      </x:c>
      <x:c r="J3491" s="2" t="n">
        <x:v>8</x:v>
      </x:c>
      <x:c r="K3491" s="2"/>
      <x:c r="L3491" s="2"/>
    </x:row>
    <x:row r="3492" ht="22" customHeight="1">
      <x:c r="A3492" s="2"/>
      <x:c r="B3492" s="2" t="n">
        <x:v>3459</x:v>
      </x:c>
      <x:c r="C3492" s="2" t="str">
        <x:v>90201C</x:v>
      </x:c>
      <x:c r="D3492" s="2" t="str">
        <x:v>RED ENAMEL FLOWER RING</x:v>
      </x:c>
      <x:c r="E3492" s="11" t="n">
        <x:v>350.94000000000005</x:v>
      </x:c>
      <x:c r="F3492" s="11" t="n">
        <x:v>17.700000000000003</x:v>
      </x:c>
      <x:c r="G3492" s="11" t="n">
        <x:v>333.24</x:v>
      </x:c>
      <x:c r="H3492" s="23" t="n">
        <x:v>0.000017090893681310175</x:v>
      </x:c>
      <x:c r="I3492" s="23" t="n">
        <x:v>0.9916534717498455</x:v>
      </x:c>
      <x:c r="J3492" s="2" t="n">
        <x:v>46</x:v>
      </x:c>
      <x:c r="K3492" s="2"/>
      <x:c r="L3492" s="2"/>
    </x:row>
    <x:row r="3493" ht="22" customHeight="1">
      <x:c r="A3493" s="2"/>
      <x:c r="B3493" s="2" t="n">
        <x:v>3460</x:v>
      </x:c>
      <x:c r="C3493" s="2" t="str">
        <x:v>90161A</x:v>
      </x:c>
      <x:c r="D3493" s="2" t="str">
        <x:v>ANT COPPER RED BOUDICCA BRACELET</x:v>
      </x:c>
      <x:c r="E3493" s="11" t="n">
        <x:v>349.96000000000004</x:v>
      </x:c>
      <x:c r="F3493" s="11" t="n">
        <x:v>0</x:v>
      </x:c>
      <x:c r="G3493" s="11" t="n">
        <x:v>349.96000000000004</x:v>
      </x:c>
      <x:c r="H3493" s="23" t="n">
        <x:v>0.0000170431673582701</x:v>
      </x:c>
      <x:c r="I3493" s="23" t="n">
        <x:v>0.9916705149172038</x:v>
      </x:c>
      <x:c r="J3493" s="2" t="n">
        <x:v>43</x:v>
      </x:c>
      <x:c r="K3493" s="2"/>
      <x:c r="L3493" s="2"/>
    </x:row>
    <x:row r="3494" ht="22" customHeight="1">
      <x:c r="A3494" s="2"/>
      <x:c r="B3494" s="2" t="n">
        <x:v>3461</x:v>
      </x:c>
      <x:c r="C3494" s="2" t="str">
        <x:v>82011B</x:v>
      </x:c>
      <x:c r="D3494" s="2" t="str">
        <x:v>BATHROOM SCALES RUBBER DUCKS</x:v>
      </x:c>
      <x:c r="E3494" s="11" t="n">
        <x:v>348.8</x:v>
      </x:c>
      <x:c r="F3494" s="11" t="n">
        <x:v>0</x:v>
      </x:c>
      <x:c r="G3494" s="11" t="n">
        <x:v>348.8</x:v>
      </x:c>
      <x:c r="H3494" s="23" t="n">
        <x:v>0.000016986674975896132</x:v>
      </x:c>
      <x:c r="I3494" s="23" t="n">
        <x:v>0.9916875015921797</x:v>
      </x:c>
      <x:c r="J3494" s="2" t="n">
        <x:v>48</x:v>
      </x:c>
      <x:c r="K3494" s="2"/>
      <x:c r="L3494" s="2"/>
    </x:row>
    <x:row r="3495" ht="22" customHeight="1">
      <x:c r="A3495" s="2"/>
      <x:c r="B3495" s="2" t="n">
        <x:v>3462</x:v>
      </x:c>
      <x:c r="C3495" s="2" t="str">
        <x:v>84535A</x:v>
      </x:c>
      <x:c r="D3495" s="2" t="str">
        <x:v>ENGLISH ROSE NOTEBOOK A6 SIZE</x:v>
      </x:c>
      <x:c r="E3495" s="11" t="n">
        <x:v>346.93</x:v>
      </x:c>
      <x:c r="F3495" s="11" t="n">
        <x:v>0</x:v>
      </x:c>
      <x:c r="G3495" s="11" t="n">
        <x:v>346.93</x:v>
      </x:c>
      <x:c r="H3495" s="23" t="n">
        <x:v>0.000016895605359482926</x:v>
      </x:c>
      <x:c r="I3495" s="23" t="n">
        <x:v>0.9917043971975391</x:v>
      </x:c>
      <x:c r="J3495" s="2" t="n">
        <x:v>64</x:v>
      </x:c>
      <x:c r="K3495" s="2"/>
      <x:c r="L3495" s="2"/>
    </x:row>
    <x:row r="3496" ht="22" customHeight="1">
      <x:c r="A3496" s="2"/>
      <x:c r="B3496" s="2" t="n">
        <x:v>3463</x:v>
      </x:c>
      <x:c r="C3496" s="2" t="str">
        <x:v>22257</x:v>
      </x:c>
      <x:c r="D3496" s="2" t="str">
        <x:v>FELT FARM ANIMAL SHEEP</x:v>
      </x:c>
      <x:c r="E3496" s="11" t="n">
        <x:v>346.72999999999996</x:v>
      </x:c>
      <x:c r="F3496" s="11" t="n">
        <x:v>15</x:v>
      </x:c>
      <x:c r="G3496" s="11" t="n">
        <x:v>331.72999999999996</x:v>
      </x:c>
      <x:c r="H3496" s="23" t="n">
        <x:v>0.00001688586529355638</x:v>
      </x:c>
      <x:c r="I3496" s="23" t="n">
        <x:v>0.9917212830628327</x:v>
      </x:c>
      <x:c r="J3496" s="2" t="n">
        <x:v>57</x:v>
      </x:c>
      <x:c r="K3496" s="2"/>
      <x:c r="L3496" s="2"/>
    </x:row>
    <x:row r="3497" ht="22" customHeight="1">
      <x:c r="A3497" s="2"/>
      <x:c r="B3497" s="2" t="n">
        <x:v>3464</x:v>
      </x:c>
      <x:c r="C3497" s="2" t="str">
        <x:v>23015</x:v>
      </x:c>
      <x:c r="D3497" s="2" t="str">
        <x:v>CORDIAL GLASS JUG</x:v>
      </x:c>
      <x:c r="E3497" s="11" t="n">
        <x:v>346.63</x:v>
      </x:c>
      <x:c r="F3497" s="11" t="n">
        <x:v>57.75</x:v>
      </x:c>
      <x:c r="G3497" s="11" t="n">
        <x:v>288.88</x:v>
      </x:c>
      <x:c r="H3497" s="23" t="n">
        <x:v>0.000016880995260593108</x:v>
      </x:c>
      <x:c r="I3497" s="23" t="n">
        <x:v>0.9917381640580933</x:v>
      </x:c>
      <x:c r="J3497" s="2" t="n">
        <x:v>18</x:v>
      </x:c>
      <x:c r="K3497" s="2"/>
      <x:c r="L3497" s="2"/>
    </x:row>
    <x:row r="3498" ht="22" customHeight="1">
      <x:c r="A3498" s="2"/>
      <x:c r="B3498" s="2" t="n">
        <x:v>3465</x:v>
      </x:c>
      <x:c r="C3498" s="2" t="str">
        <x:v>84801B</x:v>
      </x:c>
      <x:c r="D3498" s="2" t="str">
        <x:v>WHITE HYDRANGEA ART FLOWER</x:v>
      </x:c>
      <x:c r="E3498" s="11" t="n">
        <x:v>345.00000000000006</x:v>
      </x:c>
      <x:c r="F3498" s="11" t="n">
        <x:v>0</x:v>
      </x:c>
      <x:c r="G3498" s="11" t="n">
        <x:v>345.00000000000006</x:v>
      </x:c>
      <x:c r="H3498" s="23" t="n">
        <x:v>0.00001680161372329176</x:v>
      </x:c>
      <x:c r="I3498" s="23" t="n">
        <x:v>0.9917549656718166</x:v>
      </x:c>
      <x:c r="J3498" s="2" t="n">
        <x:v>18</x:v>
      </x:c>
      <x:c r="K3498" s="2"/>
      <x:c r="L3498" s="2"/>
    </x:row>
    <x:row r="3499" ht="22" customHeight="1">
      <x:c r="A3499" s="2"/>
      <x:c r="B3499" s="2" t="n">
        <x:v>3466</x:v>
      </x:c>
      <x:c r="C3499" s="2" t="str">
        <x:v>35004c</x:v>
      </x:c>
      <x:c r="D3499" s="2" t="str">
        <x:v>SET OF 3 COLOURED  FLYING DUCKS</x:v>
      </x:c>
      <x:c r="E3499" s="11" t="n">
        <x:v>343.72</x:v>
      </x:c>
      <x:c r="F3499" s="11" t="n">
        <x:v>0</x:v>
      </x:c>
      <x:c r="G3499" s="11" t="n">
        <x:v>343.72</x:v>
      </x:c>
      <x:c r="H3499" s="23" t="n">
        <x:v>0.000016739277301361866</x:v>
      </x:c>
      <x:c r="I3499" s="23" t="n">
        <x:v>0.991771704949118</x:v>
      </x:c>
      <x:c r="J3499" s="2" t="n">
        <x:v>25</x:v>
      </x:c>
      <x:c r="K3499" s="2"/>
      <x:c r="L3499" s="2"/>
    </x:row>
    <x:row r="3500" ht="22" customHeight="1">
      <x:c r="A3500" s="2"/>
      <x:c r="B3500" s="2" t="n">
        <x:v>3467</x:v>
      </x:c>
      <x:c r="C3500" s="2" t="str">
        <x:v>90014B</x:v>
      </x:c>
      <x:c r="D3500" s="2" t="str">
        <x:v>GOLD M.O.P. ORBIT NECKLACE</x:v>
      </x:c>
      <x:c r="E3500" s="11" t="n">
        <x:v>343.65999999999997</x:v>
      </x:c>
      <x:c r="F3500" s="11" t="n">
        <x:v>0</x:v>
      </x:c>
      <x:c r="G3500" s="11" t="n">
        <x:v>343.65999999999997</x:v>
      </x:c>
      <x:c r="H3500" s="23" t="n">
        <x:v>0.0000167363552815839</x:v>
      </x:c>
      <x:c r="I3500" s="23" t="n">
        <x:v>0.9917884413043996</x:v>
      </x:c>
      <x:c r="J3500" s="2" t="n">
        <x:v>28</x:v>
      </x:c>
      <x:c r="K3500" s="2"/>
      <x:c r="L3500" s="2"/>
    </x:row>
    <x:row r="3501" ht="22" customHeight="1">
      <x:c r="A3501" s="2"/>
      <x:c r="B3501" s="2" t="n">
        <x:v>3468</x:v>
      </x:c>
      <x:c r="C3501" s="2" t="str">
        <x:v>35833P</x:v>
      </x:c>
      <x:c r="D3501" s="2" t="str">
        <x:v>check</x:v>
      </x:c>
      <x:c r="E3501" s="11" t="n">
        <x:v>343.42</x:v>
      </x:c>
      <x:c r="F3501" s="11" t="n">
        <x:v>0</x:v>
      </x:c>
      <x:c r="G3501" s="11" t="n">
        <x:v>343.42</x:v>
      </x:c>
      <x:c r="H3501" s="23" t="n">
        <x:v>0.000016724667202472048</x:v>
      </x:c>
      <x:c r="I3501" s="23" t="n">
        <x:v>0.9918051659716021</x:v>
      </x:c>
      <x:c r="J3501" s="2" t="n">
        <x:v>64</x:v>
      </x:c>
      <x:c r="K3501" s="2"/>
      <x:c r="L3501" s="2"/>
    </x:row>
    <x:row r="3502" ht="22" customHeight="1">
      <x:c r="A3502" s="2"/>
      <x:c r="B3502" s="2" t="n">
        <x:v>3469</x:v>
      </x:c>
      <x:c r="C3502" s="2" t="str">
        <x:v>21306</x:v>
      </x:c>
      <x:c r="D3502" s="2" t="str">
        <x:v>SET/4 DAISY MIRROR MAGNETS</x:v>
      </x:c>
      <x:c r="E3502" s="11" t="n">
        <x:v>343.09</x:v>
      </x:c>
      <x:c r="F3502" s="11" t="n">
        <x:v>7.319999999999999</x:v>
      </x:c>
      <x:c r="G3502" s="11" t="n">
        <x:v>335.77</x:v>
      </x:c>
      <x:c r="H3502" s="23" t="n">
        <x:v>0.000016708596093693245</x:v>
      </x:c>
      <x:c r="I3502" s="23" t="n">
        <x:v>0.9918218745676958</x:v>
      </x:c>
      <x:c r="J3502" s="2" t="n">
        <x:v>68</x:v>
      </x:c>
      <x:c r="K3502" s="2"/>
      <x:c r="L3502" s="2"/>
    </x:row>
    <x:row r="3503" ht="22" customHeight="1">
      <x:c r="A3503" s="2"/>
      <x:c r="B3503" s="2" t="n">
        <x:v>3470</x:v>
      </x:c>
      <x:c r="C3503" s="2" t="str">
        <x:v>84881</x:v>
      </x:c>
      <x:c r="D3503" s="2" t="str">
        <x:v>BLUE WIRE SPIRAL CANDLE HOLDER</x:v>
      </x:c>
      <x:c r="E3503" s="11" t="n">
        <x:v>342.94</x:v>
      </x:c>
      <x:c r="F3503" s="11" t="n">
        <x:v>6.35</x:v>
      </x:c>
      <x:c r="G3503" s="11" t="n">
        <x:v>336.59</x:v>
      </x:c>
      <x:c r="H3503" s="23" t="n">
        <x:v>0.000016701291044248335</x:v>
      </x:c>
      <x:c r="I3503" s="23" t="n">
        <x:v>0.99183857585874</x:v>
      </x:c>
      <x:c r="J3503" s="2" t="n">
        <x:v>24</x:v>
      </x:c>
      <x:c r="K3503" s="2"/>
      <x:c r="L3503" s="2"/>
    </x:row>
    <x:row r="3504" ht="22" customHeight="1">
      <x:c r="A3504" s="2"/>
      <x:c r="B3504" s="2" t="n">
        <x:v>3471</x:v>
      </x:c>
      <x:c r="C3504" s="2" t="str">
        <x:v>20940</x:v>
      </x:c>
      <x:c r="D3504" s="2" t="str">
        <x:v>SET/6 GARDEN GNOME T-LIGHT CANDLES</x:v>
      </x:c>
      <x:c r="E3504" s="11" t="n">
        <x:v>342.75</x:v>
      </x:c>
      <x:c r="F3504" s="11" t="n">
        <x:v>106.2</x:v>
      </x:c>
      <x:c r="G3504" s="11" t="n">
        <x:v>236.55</x:v>
      </x:c>
      <x:c r="H3504" s="23" t="n">
        <x:v>0.000016692037981618117</x:v>
      </x:c>
      <x:c r="I3504" s="23" t="n">
        <x:v>0.9918552678967216</x:v>
      </x:c>
      <x:c r="J3504" s="2" t="n">
        <x:v>22</x:v>
      </x:c>
      <x:c r="K3504" s="2"/>
      <x:c r="L3504" s="2"/>
    </x:row>
    <x:row r="3505" ht="22" customHeight="1">
      <x:c r="A3505" s="2"/>
      <x:c r="B3505" s="2" t="n">
        <x:v>3472</x:v>
      </x:c>
      <x:c r="C3505" s="2" t="str">
        <x:v>90191</x:v>
      </x:c>
      <x:c r="D3505" s="2" t="str">
        <x:v>SILVER LARIAT 40CM</x:v>
      </x:c>
      <x:c r="E3505" s="11" t="n">
        <x:v>342.6</x:v>
      </x:c>
      <x:c r="F3505" s="11" t="n">
        <x:v>0</x:v>
      </x:c>
      <x:c r="G3505" s="11" t="n">
        <x:v>342.6</x:v>
      </x:c>
      <x:c r="H3505" s="23" t="n">
        <x:v>0.00001668473293217321</x:v>
      </x:c>
      <x:c r="I3505" s="23" t="n">
        <x:v>0.9918719526296538</x:v>
      </x:c>
      <x:c r="J3505" s="2" t="n">
        <x:v>21</x:v>
      </x:c>
      <x:c r="K3505" s="2"/>
      <x:c r="L3505" s="2"/>
    </x:row>
    <x:row r="3506" ht="22" customHeight="1">
      <x:c r="A3506" s="2"/>
      <x:c r="B3506" s="2" t="n">
        <x:v>3473</x:v>
      </x:c>
      <x:c r="C3506" s="2" t="str">
        <x:v>72811</x:v>
      </x:c>
      <x:c r="D3506" s="2" t="str">
        <x:v>SMALL ZINC/GLASS CANDLEHOLDER</x:v>
      </x:c>
      <x:c r="E3506" s="11" t="n">
        <x:v>340.45</x:v>
      </x:c>
      <x:c r="F3506" s="11" t="n">
        <x:v>0</x:v>
      </x:c>
      <x:c r="G3506" s="11" t="n">
        <x:v>340.45</x:v>
      </x:c>
      <x:c r="H3506" s="23" t="n">
        <x:v>0.000016580027223462837</x:v>
      </x:c>
      <x:c r="I3506" s="23" t="n">
        <x:v>0.9918885326568773</x:v>
      </x:c>
      <x:c r="J3506" s="2" t="n">
        <x:v>22</x:v>
      </x:c>
      <x:c r="K3506" s="2"/>
      <x:c r="L3506" s="2"/>
    </x:row>
    <x:row r="3507" ht="22" customHeight="1">
      <x:c r="A3507" s="2"/>
      <x:c r="B3507" s="2" t="n">
        <x:v>3474</x:v>
      </x:c>
      <x:c r="C3507" s="2" t="str">
        <x:v>75149N</x:v>
      </x:c>
      <x:c r="D3507" s="2" t="str">
        <x:v>STRING CRYSTALS NATURAL</x:v>
      </x:c>
      <x:c r="E3507" s="11" t="n">
        <x:v>340</x:v>
      </x:c>
      <x:c r="F3507" s="11" t="n">
        <x:v>0</x:v>
      </x:c>
      <x:c r="G3507" s="11" t="n">
        <x:v>340</x:v>
      </x:c>
      <x:c r="H3507" s="23" t="n">
        <x:v>0.00001655811207512811</x:v>
      </x:c>
      <x:c r="I3507" s="23" t="n">
        <x:v>0.9919050907689524</x:v>
      </x:c>
      <x:c r="J3507" s="2" t="n">
        <x:v>25</x:v>
      </x:c>
      <x:c r="K3507" s="2"/>
      <x:c r="L3507" s="2"/>
    </x:row>
    <x:row r="3508" ht="22" customHeight="1">
      <x:c r="A3508" s="2"/>
      <x:c r="B3508" s="2" t="n">
        <x:v>3475</x:v>
      </x:c>
      <x:c r="C3508" s="2" t="str">
        <x:v>79303B</x:v>
      </x:c>
      <x:c r="D3508" s="2" t="str">
        <x:v>BLUE STAR BLOCK TABLE LAMP</x:v>
      </x:c>
      <x:c r="E3508" s="11" t="n">
        <x:v>339.57</x:v>
      </x:c>
      <x:c r="F3508" s="11" t="n">
        <x:v>0</x:v>
      </x:c>
      <x:c r="G3508" s="11" t="n">
        <x:v>339.57</x:v>
      </x:c>
      <x:c r="H3508" s="23" t="n">
        <x:v>0.000016537170933386035</x:v>
      </x:c>
      <x:c r="I3508" s="23" t="n">
        <x:v>0.9919216279398858</x:v>
      </x:c>
      <x:c r="J3508" s="2" t="n">
        <x:v>10</x:v>
      </x:c>
      <x:c r="K3508" s="2"/>
      <x:c r="L3508" s="2"/>
    </x:row>
    <x:row r="3509" ht="22" customHeight="1">
      <x:c r="A3509" s="2"/>
      <x:c r="B3509" s="2" t="n">
        <x:v>3476</x:v>
      </x:c>
      <x:c r="C3509" s="2" t="str">
        <x:v>84925A</x:v>
      </x:c>
      <x:c r="D3509" s="2" t="str">
        <x:v>WAKE UP COCKEREL WALL THERMOMETER</x:v>
      </x:c>
      <x:c r="E3509" s="11" t="n">
        <x:v>339.28999999999996</x:v>
      </x:c>
      <x:c r="F3509" s="11" t="n">
        <x:v>0</x:v>
      </x:c>
      <x:c r="G3509" s="11" t="n">
        <x:v>339.28999999999996</x:v>
      </x:c>
      <x:c r="H3509" s="23" t="n">
        <x:v>0.00001652353484108887</x:v>
      </x:c>
      <x:c r="I3509" s="23" t="n">
        <x:v>0.9919381514747269</x:v>
      </x:c>
      <x:c r="J3509" s="2" t="n">
        <x:v>17</x:v>
      </x:c>
      <x:c r="K3509" s="2"/>
      <x:c r="L3509" s="2"/>
    </x:row>
    <x:row r="3510" ht="22" customHeight="1">
      <x:c r="A3510" s="2"/>
      <x:c r="B3510" s="2" t="n">
        <x:v>3477</x:v>
      </x:c>
      <x:c r="C3510" s="2" t="str">
        <x:v>21420</x:v>
      </x:c>
      <x:c r="D3510" s="2" t="str">
        <x:v>OYSTER TRINKET BOX</x:v>
      </x:c>
      <x:c r="E3510" s="11" t="n">
        <x:v>338.66</x:v>
      </x:c>
      <x:c r="F3510" s="11" t="n">
        <x:v>0</x:v>
      </x:c>
      <x:c r="G3510" s="11" t="n">
        <x:v>338.66</x:v>
      </x:c>
      <x:c r="H3510" s="23" t="n">
        <x:v>0.000016492853633420254</x:v>
      </x:c>
      <x:c r="I3510" s="23" t="n">
        <x:v>0.9919546443283602</x:v>
      </x:c>
      <x:c r="J3510" s="2" t="n">
        <x:v>31</x:v>
      </x:c>
      <x:c r="K3510" s="2"/>
      <x:c r="L3510" s="2"/>
    </x:row>
    <x:row r="3511" ht="22" customHeight="1">
      <x:c r="A3511" s="2"/>
      <x:c r="B3511" s="2" t="n">
        <x:v>3478</x:v>
      </x:c>
      <x:c r="C3511" s="2" t="str">
        <x:v>35914</x:v>
      </x:c>
      <x:c r="D3511" s="2" t="str">
        <x:v>PINK CHICK EGG WARMER + EGG CUP</x:v>
      </x:c>
      <x:c r="E3511" s="11" t="n">
        <x:v>337.43</x:v>
      </x:c>
      <x:c r="F3511" s="11" t="n">
        <x:v>0</x:v>
      </x:c>
      <x:c r="G3511" s="11" t="n">
        <x:v>337.43</x:v>
      </x:c>
      <x:c r="H3511" s="23" t="n">
        <x:v>0.000016432952227971995</x:v>
      </x:c>
      <x:c r="I3511" s="23" t="n">
        <x:v>0.9919710772805882</x:v>
      </x:c>
      <x:c r="J3511" s="2" t="n">
        <x:v>56</x:v>
      </x:c>
      <x:c r="K3511" s="2"/>
      <x:c r="L3511" s="2"/>
    </x:row>
    <x:row r="3512" ht="22" customHeight="1">
      <x:c r="A3512" s="2"/>
      <x:c r="B3512" s="2" t="n">
        <x:v>3479</x:v>
      </x:c>
      <x:c r="C3512" s="2" t="str">
        <x:v>84576</x:v>
      </x:c>
      <x:c r="D3512" s="2" t="str">
        <x:v>damaged</x:v>
      </x:c>
      <x:c r="E3512" s="11" t="n">
        <x:v>337.04</x:v>
      </x:c>
      <x:c r="F3512" s="11" t="n">
        <x:v>0</x:v>
      </x:c>
      <x:c r="G3512" s="11" t="n">
        <x:v>337.04</x:v>
      </x:c>
      <x:c r="H3512" s="23" t="n">
        <x:v>0.00001641395909941523</x:v>
      </x:c>
      <x:c r="I3512" s="23" t="n">
        <x:v>0.9919874912396877</x:v>
      </x:c>
      <x:c r="J3512" s="2" t="n">
        <x:v>32</x:v>
      </x:c>
      <x:c r="K3512" s="2"/>
      <x:c r="L3512" s="2"/>
    </x:row>
    <x:row r="3513" ht="22" customHeight="1">
      <x:c r="A3513" s="2"/>
      <x:c r="B3513" s="2" t="n">
        <x:v>3480</x:v>
      </x:c>
      <x:c r="C3513" s="2" t="str">
        <x:v>17011F</x:v>
      </x:c>
      <x:c r="D3513" s="2" t="str">
        <x:v>ORIGAMI SANDLEWOOD INCENSE+FLOWER</x:v>
      </x:c>
      <x:c r="E3513" s="11" t="n">
        <x:v>336.20000000000005</x:v>
      </x:c>
      <x:c r="F3513" s="11" t="n">
        <x:v>0</x:v>
      </x:c>
      <x:c r="G3513" s="11" t="n">
        <x:v>336.20000000000005</x:v>
      </x:c>
      <x:c r="H3513" s="23" t="n">
        <x:v>0.000016373050822523738</x:v>
      </x:c>
      <x:c r="I3513" s="23" t="n">
        <x:v>0.9920038642905101</x:v>
      </x:c>
      <x:c r="J3513" s="2" t="n">
        <x:v>20</x:v>
      </x:c>
      <x:c r="K3513" s="2"/>
      <x:c r="L3513" s="2"/>
    </x:row>
    <x:row r="3514" ht="22" customHeight="1">
      <x:c r="A3514" s="2"/>
      <x:c r="B3514" s="2" t="n">
        <x:v>3481</x:v>
      </x:c>
      <x:c r="C3514" s="2" t="str">
        <x:v>22889</x:v>
      </x:c>
      <x:c r="D3514" s="2" t="str">
        <x:v>NUMBER TILE VINTAGE FONT No </x:v>
      </x:c>
      <x:c r="E3514" s="11" t="n">
        <x:v>335.52</x:v>
      </x:c>
      <x:c r="F3514" s="11" t="n">
        <x:v>27.3</x:v>
      </x:c>
      <x:c r="G3514" s="11" t="n">
        <x:v>308.21999999999997</x:v>
      </x:c>
      <x:c r="H3514" s="23" t="n">
        <x:v>0.00001633993459837348</x:v>
      </x:c>
      <x:c r="I3514" s="23" t="n">
        <x:v>0.9920202042251085</x:v>
      </x:c>
      <x:c r="J3514" s="2" t="n">
        <x:v>39</x:v>
      </x:c>
      <x:c r="K3514" s="2"/>
      <x:c r="L3514" s="2"/>
    </x:row>
    <x:row r="3515" ht="22" customHeight="1">
      <x:c r="A3515" s="2"/>
      <x:c r="B3515" s="2" t="n">
        <x:v>3482</x:v>
      </x:c>
      <x:c r="C3515" s="2" t="str">
        <x:v>90178A</x:v>
      </x:c>
      <x:c r="D3515" s="2" t="str">
        <x:v>AMBER CHUNKY GLASS+BEAD NECKLACE</x:v>
      </x:c>
      <x:c r="E3515" s="11" t="n">
        <x:v>334.36</x:v>
      </x:c>
      <x:c r="F3515" s="11" t="n">
        <x:v>0</x:v>
      </x:c>
      <x:c r="G3515" s="11" t="n">
        <x:v>334.36</x:v>
      </x:c>
      <x:c r="H3515" s="23" t="n">
        <x:v>0.000016283442215999516</x:v>
      </x:c>
      <x:c r="I3515" s="23" t="n">
        <x:v>0.9920364876673246</x:v>
      </x:c>
      <x:c r="J3515" s="2" t="n">
        <x:v>21</x:v>
      </x:c>
      <x:c r="K3515" s="2"/>
      <x:c r="L3515" s="2"/>
    </x:row>
    <x:row r="3516" ht="22" customHeight="1">
      <x:c r="A3516" s="2"/>
      <x:c r="B3516" s="2" t="n">
        <x:v>3483</x:v>
      </x:c>
      <x:c r="C3516" s="2" t="str">
        <x:v>20847</x:v>
      </x:c>
      <x:c r="D3516" s="2" t="str">
        <x:v>ZINC HEART LATTICE CHARGER LARGE</x:v>
      </x:c>
      <x:c r="E3516" s="11" t="n">
        <x:v>334.35</x:v>
      </x:c>
      <x:c r="F3516" s="11" t="n">
        <x:v>7.62</x:v>
      </x:c>
      <x:c r="G3516" s="11" t="n">
        <x:v>326.73</x:v>
      </x:c>
      <x:c r="H3516" s="23" t="n">
        <x:v>0.000016282955212703187</x:v>
      </x:c>
      <x:c r="I3516" s="23" t="n">
        <x:v>0.9920527706225373</x:v>
      </x:c>
      <x:c r="J3516" s="2" t="n">
        <x:v>27</x:v>
      </x:c>
      <x:c r="K3516" s="2"/>
      <x:c r="L3516" s="2"/>
    </x:row>
    <x:row r="3517" ht="22" customHeight="1">
      <x:c r="A3517" s="2"/>
      <x:c r="B3517" s="2" t="n">
        <x:v>3484</x:v>
      </x:c>
      <x:c r="C3517" s="2" t="str">
        <x:v>17109A</x:v>
      </x:c>
      <x:c r="D3517" s="2" t="str">
        <x:v>FLOWER FAIRY INCENSE LILY</x:v>
      </x:c>
      <x:c r="E3517" s="11" t="n">
        <x:v>333.61</x:v>
      </x:c>
      <x:c r="F3517" s="11" t="n">
        <x:v>0</x:v>
      </x:c>
      <x:c r="G3517" s="11" t="n">
        <x:v>333.61</x:v>
      </x:c>
      <x:c r="H3517" s="23" t="n">
        <x:v>0.00001624691696877497</x:v>
      </x:c>
      <x:c r="I3517" s="23" t="n">
        <x:v>0.992069017539506</x:v>
      </x:c>
      <x:c r="J3517" s="2" t="n">
        <x:v>13</x:v>
      </x:c>
      <x:c r="K3517" s="2"/>
      <x:c r="L3517" s="2"/>
    </x:row>
    <x:row r="3518" ht="22" customHeight="1">
      <x:c r="A3518" s="2"/>
      <x:c r="B3518" s="2" t="n">
        <x:v>3485</x:v>
      </x:c>
      <x:c r="C3518" s="2" t="str">
        <x:v>23047</x:v>
      </x:c>
      <x:c r="D3518" s="2" t="str">
        <x:v>PAPER LANTERN 5 POINT SEQUIN STAR</x:v>
      </x:c>
      <x:c r="E3518" s="11" t="n">
        <x:v>333.5</x:v>
      </x:c>
      <x:c r="F3518" s="11" t="n">
        <x:v>0</x:v>
      </x:c>
      <x:c r="G3518" s="11" t="n">
        <x:v>333.5</x:v>
      </x:c>
      <x:c r="H3518" s="23" t="n">
        <x:v>0.000016241559932515368</x:v>
      </x:c>
      <x:c r="I3518" s="23" t="n">
        <x:v>0.9920852590994386</x:v>
      </x:c>
      <x:c r="J3518" s="2" t="n">
        <x:v>25</x:v>
      </x:c>
      <x:c r="K3518" s="2"/>
      <x:c r="L3518" s="2"/>
    </x:row>
    <x:row r="3519" ht="22" customHeight="1">
      <x:c r="A3519" s="2"/>
      <x:c r="B3519" s="2" t="n">
        <x:v>3486</x:v>
      </x:c>
      <x:c r="C3519" s="2" t="str">
        <x:v>21402</x:v>
      </x:c>
      <x:c r="D3519" s="2" t="str">
        <x:v>RED  EGG  SPOON</x:v>
      </x:c>
      <x:c r="E3519" s="11" t="n">
        <x:v>333.42</x:v>
      </x:c>
      <x:c r="F3519" s="11" t="n">
        <x:v>0.42</x:v>
      </x:c>
      <x:c r="G3519" s="11" t="n">
        <x:v>333</x:v>
      </x:c>
      <x:c r="H3519" s="23" t="n">
        <x:v>0.00001623766390614475</x:v>
      </x:c>
      <x:c r="I3519" s="23" t="n">
        <x:v>0.9921014967633447</x:v>
      </x:c>
      <x:c r="J3519" s="2" t="n">
        <x:v>151</x:v>
      </x:c>
      <x:c r="K3519" s="2"/>
      <x:c r="L3519" s="2"/>
    </x:row>
    <x:row r="3520" ht="22" customHeight="1">
      <x:c r="A3520" s="2"/>
      <x:c r="B3520" s="2" t="n">
        <x:v>3487</x:v>
      </x:c>
      <x:c r="C3520" s="2" t="str">
        <x:v>90175C</x:v>
      </x:c>
      <x:c r="D3520" s="2" t="str">
        <x:v>BLUE GLASS CHUNKY CHARM BRACELET</x:v>
      </x:c>
      <x:c r="E3520" s="11" t="n">
        <x:v>332.95</x:v>
      </x:c>
      <x:c r="F3520" s="11" t="n">
        <x:v>0</x:v>
      </x:c>
      <x:c r="G3520" s="11" t="n">
        <x:v>332.95</x:v>
      </x:c>
      <x:c r="H3520" s="23" t="n">
        <x:v>0.000016214774751217364</x:v>
      </x:c>
      <x:c r="I3520" s="23" t="n">
        <x:v>0.9921177115380959</x:v>
      </x:c>
      <x:c r="J3520" s="2" t="n">
        <x:v>20</x:v>
      </x:c>
      <x:c r="K3520" s="2"/>
      <x:c r="L3520" s="2"/>
    </x:row>
    <x:row r="3521" ht="22" customHeight="1">
      <x:c r="A3521" s="2"/>
      <x:c r="B3521" s="2" t="n">
        <x:v>3488</x:v>
      </x:c>
      <x:c r="C3521" s="2" t="str">
        <x:v>20688</x:v>
      </x:c>
      <x:c r="D3521" s="2" t="str">
        <x:v>BEAUTY SPEED EXPRESSO CUPS</x:v>
      </x:c>
      <x:c r="E3521" s="11" t="n">
        <x:v>332.9</x:v>
      </x:c>
      <x:c r="F3521" s="11" t="n">
        <x:v>0</x:v>
      </x:c>
      <x:c r="G3521" s="11" t="n">
        <x:v>332.9</x:v>
      </x:c>
      <x:c r="H3521" s="23" t="n">
        <x:v>0.00001621233973473573</x:v>
      </x:c>
      <x:c r="I3521" s="23" t="n">
        <x:v>0.9921339238778306</x:v>
      </x:c>
      <x:c r="J3521" s="2" t="n">
        <x:v>11</x:v>
      </x:c>
      <x:c r="K3521" s="2"/>
      <x:c r="L3521" s="2"/>
    </x:row>
    <x:row r="3522" ht="22" customHeight="1">
      <x:c r="A3522" s="2"/>
      <x:c r="B3522" s="2" t="n">
        <x:v>3489</x:v>
      </x:c>
      <x:c r="C3522" s="2" t="str">
        <x:v>47583B</x:v>
      </x:c>
      <x:c r="D3522" s="2" t="str">
        <x:v>SET OF 3 WICKER BASKET TEA AND CAKE</x:v>
      </x:c>
      <x:c r="E3522" s="11" t="n">
        <x:v>332.6</x:v>
      </x:c>
      <x:c r="F3522" s="11" t="n">
        <x:v>0</x:v>
      </x:c>
      <x:c r="G3522" s="11" t="n">
        <x:v>332.6</x:v>
      </x:c>
      <x:c r="H3522" s="23" t="n">
        <x:v>0.00001619772963584591</x:v>
      </x:c>
      <x:c r="I3522" s="23" t="n">
        <x:v>0.9921501216074664</x:v>
      </x:c>
      <x:c r="J3522" s="2" t="n">
        <x:v>6</x:v>
      </x:c>
      <x:c r="K3522" s="2"/>
      <x:c r="L3522" s="2"/>
    </x:row>
    <x:row r="3523" ht="22" customHeight="1">
      <x:c r="A3523" s="2"/>
      <x:c r="B3523" s="2" t="n">
        <x:v>3490</x:v>
      </x:c>
      <x:c r="C3523" s="2" t="str">
        <x:v>85089</x:v>
      </x:c>
      <x:c r="D3523" s="2" t="str">
        <x:v>CANDY SPOT BUNNY</x:v>
      </x:c>
      <x:c r="E3523" s="11" t="n">
        <x:v>332.29</x:v>
      </x:c>
      <x:c r="F3523" s="11" t="n">
        <x:v>0</x:v>
      </x:c>
      <x:c r="G3523" s="11" t="n">
        <x:v>332.29</x:v>
      </x:c>
      <x:c r="H3523" s="23" t="n">
        <x:v>0.000016182632533659763</x:v>
      </x:c>
      <x:c r="I3523" s="23" t="n">
        <x:v>0.9921663042400001</x:v>
      </x:c>
      <x:c r="J3523" s="2" t="n">
        <x:v>29</x:v>
      </x:c>
      <x:c r="K3523" s="2"/>
      <x:c r="L3523" s="2"/>
    </x:row>
    <x:row r="3524" ht="22" customHeight="1">
      <x:c r="A3524" s="2"/>
      <x:c r="B3524" s="2" t="n">
        <x:v>3491</x:v>
      </x:c>
      <x:c r="C3524" s="2" t="str">
        <x:v>35637C</x:v>
      </x:c>
      <x:c r="D3524" s="2" t="str">
        <x:v>PINK STRING CURTAIN WITH POLE</x:v>
      </x:c>
      <x:c r="E3524" s="11" t="n">
        <x:v>331.14</x:v>
      </x:c>
      <x:c r="F3524" s="11" t="n">
        <x:v>0</x:v>
      </x:c>
      <x:c r="G3524" s="11" t="n">
        <x:v>331.14</x:v>
      </x:c>
      <x:c r="H3524" s="23" t="n">
        <x:v>0.000016126627154582123</x:v>
      </x:c>
      <x:c r="I3524" s="23" t="n">
        <x:v>0.9921824308671546</x:v>
      </x:c>
      <x:c r="J3524" s="2" t="n">
        <x:v>19</x:v>
      </x:c>
      <x:c r="K3524" s="2"/>
      <x:c r="L3524" s="2"/>
    </x:row>
    <x:row r="3525" ht="22" customHeight="1">
      <x:c r="A3525" s="2"/>
      <x:c r="B3525" s="2" t="n">
        <x:v>3492</x:v>
      </x:c>
      <x:c r="C3525" s="2" t="str">
        <x:v>85024B</x:v>
      </x:c>
      <x:c r="D3525" s="2" t="str">
        <x:v>EAU DE NILE JEWELLED PHOTOFRAME</x:v>
      </x:c>
      <x:c r="E3525" s="11" t="n">
        <x:v>330.9</x:v>
      </x:c>
      <x:c r="F3525" s="11" t="n">
        <x:v>0</x:v>
      </x:c>
      <x:c r="G3525" s="11" t="n">
        <x:v>330.9</x:v>
      </x:c>
      <x:c r="H3525" s="23" t="n">
        <x:v>0.000016114939075470267</x:v>
      </x:c>
      <x:c r="I3525" s="23" t="n">
        <x:v>0.9921985458062301</x:v>
      </x:c>
      <x:c r="J3525" s="2" t="n">
        <x:v>20</x:v>
      </x:c>
      <x:c r="K3525" s="2"/>
      <x:c r="L3525" s="2"/>
    </x:row>
    <x:row r="3526" ht="22" customHeight="1">
      <x:c r="A3526" s="2"/>
      <x:c r="B3526" s="2" t="n">
        <x:v>3493</x:v>
      </x:c>
      <x:c r="C3526" s="2" t="str">
        <x:v>84870C</x:v>
      </x:c>
      <x:c r="D3526" s="2" t="str">
        <x:v>GREEN GEISHA GIRL </x:v>
      </x:c>
      <x:c r="E3526" s="11" t="n">
        <x:v>330.36</x:v>
      </x:c>
      <x:c r="F3526" s="11" t="n">
        <x:v>0</x:v>
      </x:c>
      <x:c r="G3526" s="11" t="n">
        <x:v>330.36</x:v>
      </x:c>
      <x:c r="H3526" s="23" t="n">
        <x:v>0.000016088640897468596</x:v>
      </x:c>
      <x:c r="I3526" s="23" t="n">
        <x:v>0.9922146344471275</x:v>
      </x:c>
      <x:c r="J3526" s="2" t="n">
        <x:v>41</x:v>
      </x:c>
      <x:c r="K3526" s="2"/>
      <x:c r="L3526" s="2"/>
    </x:row>
    <x:row r="3527" ht="22" customHeight="1">
      <x:c r="A3527" s="2"/>
      <x:c r="B3527" s="2" t="n">
        <x:v>3494</x:v>
      </x:c>
      <x:c r="C3527" s="2" t="str">
        <x:v>35921</x:v>
      </x:c>
      <x:c r="D3527" s="2" t="str">
        <x:v>EASTER BUNNY HANGING GARLAND</x:v>
      </x:c>
      <x:c r="E3527" s="11" t="n">
        <x:v>330.32</x:v>
      </x:c>
      <x:c r="F3527" s="11" t="n">
        <x:v>1.25</x:v>
      </x:c>
      <x:c r="G3527" s="11" t="n">
        <x:v>329.07</x:v>
      </x:c>
      <x:c r="H3527" s="23" t="n">
        <x:v>0.000016086692884283286</x:v>
      </x:c>
      <x:c r="I3527" s="23" t="n">
        <x:v>0.9922307211400119</x:v>
      </x:c>
      <x:c r="J3527" s="2" t="n">
        <x:v>49</x:v>
      </x:c>
      <x:c r="K3527" s="2"/>
      <x:c r="L3527" s="2"/>
    </x:row>
    <x:row r="3528" ht="22" customHeight="1">
      <x:c r="A3528" s="2"/>
      <x:c r="B3528" s="2" t="n">
        <x:v>3495</x:v>
      </x:c>
      <x:c r="C3528" s="2" t="str">
        <x:v>22878</x:v>
      </x:c>
      <x:c r="D3528" s="2" t="str">
        <x:v>NUMBER TILE COTTAGE GARDEN No</x:v>
      </x:c>
      <x:c r="E3528" s="11" t="n">
        <x:v>330.26000000000005</x:v>
      </x:c>
      <x:c r="F3528" s="11" t="n">
        <x:v>2.1</x:v>
      </x:c>
      <x:c r="G3528" s="11" t="n">
        <x:v>328.16</x:v>
      </x:c>
      <x:c r="H3528" s="23" t="n">
        <x:v>0.000016083770864505324</x:v>
      </x:c>
      <x:c r="I3528" s="23" t="n">
        <x:v>0.9922468049108764</x:v>
      </x:c>
      <x:c r="J3528" s="2" t="n">
        <x:v>45</x:v>
      </x:c>
      <x:c r="K3528" s="2"/>
      <x:c r="L3528" s="2"/>
    </x:row>
    <x:row r="3529" ht="22" customHeight="1">
      <x:c r="A3529" s="2"/>
      <x:c r="B3529" s="2" t="n">
        <x:v>3496</x:v>
      </x:c>
      <x:c r="C3529" s="2" t="str">
        <x:v>90129B</x:v>
      </x:c>
      <x:c r="D3529" s="2" t="str">
        <x:v>TURQUOISE GLASS TASSLE BAG CHARM </x:v>
      </x:c>
      <x:c r="E3529" s="11" t="n">
        <x:v>329.95</x:v>
      </x:c>
      <x:c r="F3529" s="11" t="n">
        <x:v>0</x:v>
      </x:c>
      <x:c r="G3529" s="11" t="n">
        <x:v>329.95</x:v>
      </x:c>
      <x:c r="H3529" s="23" t="n">
        <x:v>0.000016068673762319177</x:v>
      </x:c>
      <x:c r="I3529" s="23" t="n">
        <x:v>0.9922628735846387</x:v>
      </x:c>
      <x:c r="J3529" s="2" t="n">
        <x:v>62</x:v>
      </x:c>
      <x:c r="K3529" s="2"/>
      <x:c r="L3529" s="2"/>
    </x:row>
    <x:row r="3530" ht="22" customHeight="1">
      <x:c r="A3530" s="2"/>
      <x:c r="B3530" s="2" t="n">
        <x:v>3497</x:v>
      </x:c>
      <x:c r="C3530" s="2" t="str">
        <x:v>37467</x:v>
      </x:c>
      <x:c r="D3530" s="2" t="str">
        <x:v>PIG MUG IN TWO COLOUR DESIGNS</x:v>
      </x:c>
      <x:c r="E3530" s="11" t="n">
        <x:v>328.51</x:v>
      </x:c>
      <x:c r="F3530" s="11" t="n">
        <x:v>0</x:v>
      </x:c>
      <x:c r="G3530" s="11" t="n">
        <x:v>328.51</x:v>
      </x:c>
      <x:c r="H3530" s="23" t="n">
        <x:v>0.000015998545287648044</x:v>
      </x:c>
      <x:c r="I3530" s="23" t="n">
        <x:v>0.9922788721299264</x:v>
      </x:c>
      <x:c r="J3530" s="2" t="n">
        <x:v>64</x:v>
      </x:c>
      <x:c r="K3530" s="2"/>
      <x:c r="L3530" s="2"/>
    </x:row>
    <x:row r="3531" ht="22" customHeight="1">
      <x:c r="A3531" s="2"/>
      <x:c r="B3531" s="2" t="n">
        <x:v>3498</x:v>
      </x:c>
      <x:c r="C3531" s="2" t="str">
        <x:v>72739B</x:v>
      </x:c>
      <x:c r="D3531" s="2" t="str">
        <x:v>WHITE CHOCOLATE SCENT CANDLE</x:v>
      </x:c>
      <x:c r="E3531" s="11" t="n">
        <x:v>328.39000000000004</x:v>
      </x:c>
      <x:c r="F3531" s="11" t="n">
        <x:v>0</x:v>
      </x:c>
      <x:c r="G3531" s="11" t="n">
        <x:v>328.39000000000004</x:v>
      </x:c>
      <x:c r="H3531" s="23" t="n">
        <x:v>0.00001599270124809212</x:v>
      </x:c>
      <x:c r="I3531" s="23" t="n">
        <x:v>0.9922948648311745</x:v>
      </x:c>
      <x:c r="J3531" s="2" t="n">
        <x:v>28</x:v>
      </x:c>
      <x:c r="K3531" s="2"/>
      <x:c r="L3531" s="2"/>
    </x:row>
    <x:row r="3532" ht="22" customHeight="1">
      <x:c r="A3532" s="2"/>
      <x:c r="B3532" s="2" t="n">
        <x:v>3499</x:v>
      </x:c>
      <x:c r="C3532" s="2" t="str">
        <x:v>21722</x:v>
      </x:c>
      <x:c r="D3532" s="2" t="str">
        <x:v>SWEET PUDDING STICKER SHEET</x:v>
      </x:c>
      <x:c r="E3532" s="11" t="n">
        <x:v>327.75</x:v>
      </x:c>
      <x:c r="F3532" s="11" t="n">
        <x:v>2.55</x:v>
      </x:c>
      <x:c r="G3532" s="11" t="n">
        <x:v>325.2</x:v>
      </x:c>
      <x:c r="H3532" s="23" t="n">
        <x:v>0.000015961533037127172</x:v>
      </x:c>
      <x:c r="I3532" s="23" t="n">
        <x:v>0.9923108263642116</x:v>
      </x:c>
      <x:c r="J3532" s="2" t="n">
        <x:v>79</x:v>
      </x:c>
      <x:c r="K3532" s="2"/>
      <x:c r="L3532" s="2"/>
    </x:row>
    <x:row r="3533" ht="22" customHeight="1">
      <x:c r="A3533" s="2"/>
      <x:c r="B3533" s="2" t="n">
        <x:v>3500</x:v>
      </x:c>
      <x:c r="C3533" s="2" t="str">
        <x:v>84902</x:v>
      </x:c>
      <x:c r="D3533" s="2" t="str">
        <x:v>PINK KNITTED COW STUFFED TOY</x:v>
      </x:c>
      <x:c r="E3533" s="11" t="n">
        <x:v>326.33</x:v>
      </x:c>
      <x:c r="F3533" s="11" t="n">
        <x:v>0</x:v>
      </x:c>
      <x:c r="G3533" s="11" t="n">
        <x:v>326.33</x:v>
      </x:c>
      <x:c r="H3533" s="23" t="n">
        <x:v>0.000015892378569048694</x:v>
      </x:c>
      <x:c r="I3533" s="23" t="n">
        <x:v>0.9923267187427807</x:v>
      </x:c>
      <x:c r="J3533" s="2" t="n">
        <x:v>53</x:v>
      </x:c>
      <x:c r="K3533" s="2"/>
      <x:c r="L3533" s="2"/>
    </x:row>
    <x:row r="3534" ht="22" customHeight="1">
      <x:c r="A3534" s="2"/>
      <x:c r="B3534" s="2" t="n">
        <x:v>3501</x:v>
      </x:c>
      <x:c r="C3534" s="2" t="str">
        <x:v>84706A</x:v>
      </x:c>
      <x:c r="D3534" s="2" t="str">
        <x:v>ENGLISH ROSE TABLE CLOCK</x:v>
      </x:c>
      <x:c r="E3534" s="11" t="n">
        <x:v>325.88</x:v>
      </x:c>
      <x:c r="F3534" s="11" t="n">
        <x:v>0</x:v>
      </x:c>
      <x:c r="G3534" s="11" t="n">
        <x:v>325.88</x:v>
      </x:c>
      <x:c r="H3534" s="23" t="n">
        <x:v>0.000015870463420713966</x:v>
      </x:c>
      <x:c r="I3534" s="23" t="n">
        <x:v>0.9923425892062013</x:v>
      </x:c>
      <x:c r="J3534" s="2" t="n">
        <x:v>7</x:v>
      </x:c>
      <x:c r="K3534" s="2"/>
      <x:c r="L3534" s="2"/>
    </x:row>
    <x:row r="3535" ht="22" customHeight="1">
      <x:c r="A3535" s="2"/>
      <x:c r="B3535" s="2" t="n">
        <x:v>3502</x:v>
      </x:c>
      <x:c r="C3535" s="2" t="str">
        <x:v>21309</x:v>
      </x:c>
      <x:c r="D3535" s="2" t="str">
        <x:v>LOUVRE CHALKBOARD</x:v>
      </x:c>
      <x:c r="E3535" s="11" t="n">
        <x:v>325.6</x:v>
      </x:c>
      <x:c r="F3535" s="11" t="n">
        <x:v>9.95</x:v>
      </x:c>
      <x:c r="G3535" s="11" t="n">
        <x:v>315.65</x:v>
      </x:c>
      <x:c r="H3535" s="23" t="n">
        <x:v>0.000015856827328416802</x:v>
      </x:c>
      <x:c r="I3535" s="23" t="n">
        <x:v>0.9923584460335297</x:v>
      </x:c>
      <x:c r="J3535" s="2" t="n">
        <x:v>5</x:v>
      </x:c>
      <x:c r="K3535" s="2"/>
      <x:c r="L3535" s="2"/>
    </x:row>
    <x:row r="3536" ht="22" customHeight="1">
      <x:c r="A3536" s="2"/>
      <x:c r="B3536" s="2" t="n">
        <x:v>3503</x:v>
      </x:c>
      <x:c r="C3536" s="2" t="str">
        <x:v>90209A</x:v>
      </x:c>
      <x:c r="D3536" s="2" t="str">
        <x:v>PURPLE ENAMEL+GLASS HAIR COMB</x:v>
      </x:c>
      <x:c r="E3536" s="11" t="n">
        <x:v>325.5</x:v>
      </x:c>
      <x:c r="F3536" s="11" t="n">
        <x:v>18.900000000000002</x:v>
      </x:c>
      <x:c r="G3536" s="11" t="n">
        <x:v>306.6</x:v>
      </x:c>
      <x:c r="H3536" s="23" t="n">
        <x:v>0.000015851957295453527</x:v>
      </x:c>
      <x:c r="I3536" s="23" t="n">
        <x:v>0.9923742979908252</x:v>
      </x:c>
      <x:c r="J3536" s="2" t="n">
        <x:v>10</x:v>
      </x:c>
      <x:c r="K3536" s="2"/>
      <x:c r="L3536" s="2"/>
    </x:row>
    <x:row r="3537" ht="22" customHeight="1">
      <x:c r="A3537" s="2"/>
      <x:c r="B3537" s="2" t="n">
        <x:v>3504</x:v>
      </x:c>
      <x:c r="C3537" s="2" t="str">
        <x:v>90018A</x:v>
      </x:c>
      <x:c r="D3537" s="2" t="str">
        <x:v>SILVER M.O.P ORBIT DROP EARRINGS</x:v>
      </x:c>
      <x:c r="E3537" s="11" t="n">
        <x:v>325.49</x:v>
      </x:c>
      <x:c r="F3537" s="11" t="n">
        <x:v>4.25</x:v>
      </x:c>
      <x:c r="G3537" s="11" t="n">
        <x:v>321.24</x:v>
      </x:c>
      <x:c r="H3537" s="23" t="n">
        <x:v>0.0000158514702921572</x:v>
      </x:c>
      <x:c r="I3537" s="23" t="n">
        <x:v>0.9923901494611174</x:v>
      </x:c>
      <x:c r="J3537" s="2" t="n">
        <x:v>56</x:v>
      </x:c>
      <x:c r="K3537" s="2"/>
      <x:c r="L3537" s="2"/>
    </x:row>
    <x:row r="3538" ht="22" customHeight="1">
      <x:c r="A3538" s="2"/>
      <x:c r="B3538" s="2" t="n">
        <x:v>3505</x:v>
      </x:c>
      <x:c r="C3538" s="2" t="str">
        <x:v>23037</x:v>
      </x:c>
      <x:c r="D3538" s="2" t="str">
        <x:v>CANDLE HOLDER SILVER MADELINE</x:v>
      </x:c>
      <x:c r="E3538" s="11" t="n">
        <x:v>325.15999999999997</x:v>
      </x:c>
      <x:c r="F3538" s="11" t="n">
        <x:v>0</x:v>
      </x:c>
      <x:c r="G3538" s="11" t="n">
        <x:v>325.15999999999997</x:v>
      </x:c>
      <x:c r="H3538" s="23" t="n">
        <x:v>0.0000158353991833784</x:v>
      </x:c>
      <x:c r="I3538" s="23" t="n">
        <x:v>0.9924059848603007</x:v>
      </x:c>
      <x:c r="J3538" s="2" t="n">
        <x:v>20</x:v>
      </x:c>
      <x:c r="K3538" s="2"/>
      <x:c r="L3538" s="2"/>
    </x:row>
    <x:row r="3539" ht="22" customHeight="1">
      <x:c r="A3539" s="2"/>
      <x:c r="B3539" s="2" t="n">
        <x:v>3506</x:v>
      </x:c>
      <x:c r="C3539" s="2" t="str">
        <x:v>17091B</x:v>
      </x:c>
      <x:c r="D3539" s="2" t="str">
        <x:v>JASMINE TEA INCENSE IN TIN</x:v>
      </x:c>
      <x:c r="E3539" s="11" t="n">
        <x:v>324.48</x:v>
      </x:c>
      <x:c r="F3539" s="11" t="n">
        <x:v>0</x:v>
      </x:c>
      <x:c r="G3539" s="11" t="n">
        <x:v>324.48</x:v>
      </x:c>
      <x:c r="H3539" s="23" t="n">
        <x:v>0.000015802282959228147</x:v>
      </x:c>
      <x:c r="I3539" s="23" t="n">
        <x:v>0.99242178714326</x:v>
      </x:c>
      <x:c r="J3539" s="2" t="n">
        <x:v>51</x:v>
      </x:c>
      <x:c r="K3539" s="2"/>
      <x:c r="L3539" s="2"/>
    </x:row>
    <x:row r="3540" ht="22" customHeight="1">
      <x:c r="A3540" s="2"/>
      <x:c r="B3540" s="2" t="n">
        <x:v>3507</x:v>
      </x:c>
      <x:c r="C3540" s="2" t="str">
        <x:v>23478</x:v>
      </x:c>
      <x:c r="D3540" s="2" t="str">
        <x:v>WOODLAND LARGE PINK FELT HEART</x:v>
      </x:c>
      <x:c r="E3540" s="11" t="n">
        <x:v>324.40000000000003</x:v>
      </x:c>
      <x:c r="F3540" s="11" t="n">
        <x:v>0</x:v>
      </x:c>
      <x:c r="G3540" s="11" t="n">
        <x:v>324.40000000000003</x:v>
      </x:c>
      <x:c r="H3540" s="23" t="n">
        <x:v>0.000015798386932857527</x:v>
      </x:c>
      <x:c r="I3540" s="23" t="n">
        <x:v>0.9924375855301929</x:v>
      </x:c>
      <x:c r="J3540" s="2" t="n">
        <x:v>13</x:v>
      </x:c>
      <x:c r="K3540" s="2"/>
      <x:c r="L3540" s="2"/>
    </x:row>
    <x:row r="3541" ht="22" customHeight="1">
      <x:c r="A3541" s="2"/>
      <x:c r="B3541" s="2" t="n">
        <x:v>3508</x:v>
      </x:c>
      <x:c r="C3541" s="2" t="str">
        <x:v>84509E</x:v>
      </x:c>
      <x:c r="D3541" s="2" t="str">
        <x:v>SET OF 4 CAROUSEL PLACEMATS </x:v>
      </x:c>
      <x:c r="E3541" s="11" t="n">
        <x:v>323.36</x:v>
      </x:c>
      <x:c r="F3541" s="11" t="n">
        <x:v>0</x:v>
      </x:c>
      <x:c r="G3541" s="11" t="n">
        <x:v>323.36</x:v>
      </x:c>
      <x:c r="H3541" s="23" t="n">
        <x:v>0.000015747738590039487</x:v>
      </x:c>
      <x:c r="I3541" s="23" t="n">
        <x:v>0.9924533332687829</x:v>
      </x:c>
      <x:c r="J3541" s="2" t="n">
        <x:v>32</x:v>
      </x:c>
      <x:c r="K3541" s="2"/>
      <x:c r="L3541" s="2"/>
    </x:row>
    <x:row r="3542" ht="22" customHeight="1">
      <x:c r="A3542" s="2"/>
      <x:c r="B3542" s="2" t="n">
        <x:v>3509</x:v>
      </x:c>
      <x:c r="C3542" s="2" t="str">
        <x:v>23695</x:v>
      </x:c>
      <x:c r="D3542" s="2" t="str">
        <x:v>DOILY THANK YOU CARD</x:v>
      </x:c>
      <x:c r="E3542" s="11" t="n">
        <x:v>323.32</x:v>
      </x:c>
      <x:c r="F3542" s="11" t="n">
        <x:v>0</x:v>
      </x:c>
      <x:c r="G3542" s="11" t="n">
        <x:v>323.32</x:v>
      </x:c>
      <x:c r="H3542" s="23" t="n">
        <x:v>0.000015745790576854177</x:v>
      </x:c>
      <x:c r="I3542" s="23" t="n">
        <x:v>0.9924690790593598</x:v>
      </x:c>
      <x:c r="J3542" s="2" t="n">
        <x:v>57</x:v>
      </x:c>
      <x:c r="K3542" s="2"/>
      <x:c r="L3542" s="2"/>
    </x:row>
    <x:row r="3543" ht="22" customHeight="1">
      <x:c r="A3543" s="2"/>
      <x:c r="B3543" s="2" t="n">
        <x:v>3510</x:v>
      </x:c>
      <x:c r="C3543" s="2" t="str">
        <x:v>90175B</x:v>
      </x:c>
      <x:c r="D3543" s="2" t="str">
        <x:v>PINK GLASS CHUNKY CHARM BRACELET</x:v>
      </x:c>
      <x:c r="E3543" s="11" t="n">
        <x:v>322.84999999999997</x:v>
      </x:c>
      <x:c r="F3543" s="11" t="n">
        <x:v>17.9</x:v>
      </x:c>
      <x:c r="G3543" s="11" t="n">
        <x:v>304.95</x:v>
      </x:c>
      <x:c r="H3543" s="23" t="n">
        <x:v>0.000015722901421926794</x:v>
      </x:c>
      <x:c r="I3543" s="23" t="n">
        <x:v>0.9924848019607817</x:v>
      </x:c>
      <x:c r="J3543" s="2" t="n">
        <x:v>27</x:v>
      </x:c>
      <x:c r="K3543" s="2"/>
      <x:c r="L3543" s="2"/>
    </x:row>
    <x:row r="3544" ht="22" customHeight="1">
      <x:c r="A3544" s="2"/>
      <x:c r="B3544" s="2" t="n">
        <x:v>3511</x:v>
      </x:c>
      <x:c r="C3544" s="2" t="str">
        <x:v>84870B</x:v>
      </x:c>
      <x:c r="D3544" s="2" t="str">
        <x:v>BLUE GEISHA GIRL </x:v>
      </x:c>
      <x:c r="E3544" s="11" t="n">
        <x:v>322.61</x:v>
      </x:c>
      <x:c r="F3544" s="11" t="n">
        <x:v>3.75</x:v>
      </x:c>
      <x:c r="G3544" s="11" t="n">
        <x:v>318.86</x:v>
      </x:c>
      <x:c r="H3544" s="23" t="n">
        <x:v>0.00001571121334281494</x:v>
      </x:c>
      <x:c r="I3544" s="23" t="n">
        <x:v>0.9925005131741245</x:v>
      </x:c>
      <x:c r="J3544" s="2" t="n">
        <x:v>40</x:v>
      </x:c>
      <x:c r="K3544" s="2"/>
      <x:c r="L3544" s="2"/>
    </x:row>
    <x:row r="3545" ht="22" customHeight="1">
      <x:c r="A3545" s="2"/>
      <x:c r="B3545" s="2" t="n">
        <x:v>3512</x:v>
      </x:c>
      <x:c r="C3545" s="2" t="str">
        <x:v>90197B</x:v>
      </x:c>
      <x:c r="D3545" s="2" t="str">
        <x:v>BLACK GLASS BRACELET W HEART CHARMS</x:v>
      </x:c>
      <x:c r="E3545" s="11" t="n">
        <x:v>322.52000000000004</x:v>
      </x:c>
      <x:c r="F3545" s="11" t="n">
        <x:v>0</x:v>
      </x:c>
      <x:c r="G3545" s="11" t="n">
        <x:v>322.52000000000004</x:v>
      </x:c>
      <x:c r="H3545" s="23" t="n">
        <x:v>0.000015706830313147995</x:v>
      </x:c>
      <x:c r="I3545" s="23" t="n">
        <x:v>0.9925162200044376</x:v>
      </x:c>
      <x:c r="J3545" s="2" t="n">
        <x:v>51</x:v>
      </x:c>
      <x:c r="K3545" s="2"/>
      <x:c r="L3545" s="2"/>
    </x:row>
    <x:row r="3546" ht="22" customHeight="1">
      <x:c r="A3546" s="2"/>
      <x:c r="B3546" s="2" t="n">
        <x:v>3513</x:v>
      </x:c>
      <x:c r="C3546" s="2" t="str">
        <x:v>85131C</x:v>
      </x:c>
      <x:c r="D3546" s="2" t="str">
        <x:v>BEADED CRYSTAL HEART BLUE ON STICK</x:v>
      </x:c>
      <x:c r="E3546" s="11" t="n">
        <x:v>321.4</x:v>
      </x:c>
      <x:c r="F3546" s="11" t="n">
        <x:v>0</x:v>
      </x:c>
      <x:c r="G3546" s="11" t="n">
        <x:v>321.4</x:v>
      </x:c>
      <x:c r="H3546" s="23" t="n">
        <x:v>0.000015652285943959336</x:v>
      </x:c>
      <x:c r="I3546" s="23" t="n">
        <x:v>0.9925318722903815</x:v>
      </x:c>
      <x:c r="J3546" s="2" t="n">
        <x:v>72</x:v>
      </x:c>
      <x:c r="K3546" s="2"/>
      <x:c r="L3546" s="2"/>
    </x:row>
    <x:row r="3547" ht="22" customHeight="1">
      <x:c r="A3547" s="2"/>
      <x:c r="B3547" s="2" t="n">
        <x:v>3514</x:v>
      </x:c>
      <x:c r="C3547" s="2" t="str">
        <x:v>85070</x:v>
      </x:c>
      <x:c r="D3547" s="2" t="str">
        <x:v>for show</x:v>
      </x:c>
      <x:c r="E3547" s="11" t="n">
        <x:v>320</x:v>
      </x:c>
      <x:c r="F3547" s="11" t="n">
        <x:v>125</x:v>
      </x:c>
      <x:c r="G3547" s="11" t="n">
        <x:v>195</x:v>
      </x:c>
      <x:c r="H3547" s="23" t="n">
        <x:v>0.000015584105482473517</x:v>
      </x:c>
      <x:c r="I3547" s="23" t="n">
        <x:v>0.9925474563958641</x:v>
      </x:c>
      <x:c r="J3547" s="2" t="n">
        <x:v>3</x:v>
      </x:c>
      <x:c r="K3547" s="2"/>
      <x:c r="L3547" s="2"/>
    </x:row>
    <x:row r="3548" ht="22" customHeight="1">
      <x:c r="A3548" s="2"/>
      <x:c r="B3548" s="2" t="n">
        <x:v>3515</x:v>
      </x:c>
      <x:c r="C3548" s="2" t="str">
        <x:v>85033S</x:v>
      </x:c>
      <x:c r="D3548" s="2" t="str">
        <x:v>SET/6 SILVER REINDEER T-LIGHTS</x:v>
      </x:c>
      <x:c r="E3548" s="11" t="n">
        <x:v>319.95</x:v>
      </x:c>
      <x:c r="F3548" s="11" t="n">
        <x:v>0.65</x:v>
      </x:c>
      <x:c r="G3548" s="11" t="n">
        <x:v>319.3</x:v>
      </x:c>
      <x:c r="H3548" s="23" t="n">
        <x:v>0.000015581670465991877</x:v>
      </x:c>
      <x:c r="I3548" s="23" t="n">
        <x:v>0.9925630380663301</x:v>
      </x:c>
      <x:c r="J3548" s="2" t="n">
        <x:v>49</x:v>
      </x:c>
      <x:c r="K3548" s="2"/>
      <x:c r="L3548" s="2"/>
    </x:row>
    <x:row r="3549" ht="22" customHeight="1">
      <x:c r="A3549" s="2"/>
      <x:c r="B3549" s="2" t="n">
        <x:v>3516</x:v>
      </x:c>
      <x:c r="C3549" s="2" t="str">
        <x:v>84795b</x:v>
      </x:c>
      <x:c r="D3549" s="2" t="str">
        <x:v>SUNSET CHECK HAMMOCK</x:v>
      </x:c>
      <x:c r="E3549" s="11" t="n">
        <x:v>317.71999999999997</x:v>
      </x:c>
      <x:c r="F3549" s="11" t="n">
        <x:v>0</x:v>
      </x:c>
      <x:c r="G3549" s="11" t="n">
        <x:v>317.71999999999997</x:v>
      </x:c>
      <x:c r="H3549" s="23" t="n">
        <x:v>0.00001547306873091089</x:v>
      </x:c>
      <x:c r="I3549" s="23" t="n">
        <x:v>0.992578511135061</x:v>
      </x:c>
      <x:c r="J3549" s="2" t="n">
        <x:v>17</x:v>
      </x:c>
      <x:c r="K3549" s="2"/>
      <x:c r="L3549" s="2"/>
    </x:row>
    <x:row r="3550" ht="22" customHeight="1">
      <x:c r="A3550" s="2"/>
      <x:c r="B3550" s="2" t="n">
        <x:v>3517</x:v>
      </x:c>
      <x:c r="C3550" s="2" t="str">
        <x:v>84933C</x:v>
      </x:c>
      <x:c r="D3550" s="2" t="str">
        <x:v>LARGE BLUE ORIENTAL FOLDING STOOL</x:v>
      </x:c>
      <x:c r="E3550" s="11" t="n">
        <x:v>317</x:v>
      </x:c>
      <x:c r="F3550" s="11" t="n">
        <x:v>0</x:v>
      </x:c>
      <x:c r="G3550" s="11" t="n">
        <x:v>317</x:v>
      </x:c>
      <x:c r="H3550" s="23" t="n">
        <x:v>0.000015438004493575325</x:v>
      </x:c>
      <x:c r="I3550" s="23" t="n">
        <x:v>0.9925939491395546</x:v>
      </x:c>
      <x:c r="J3550" s="2" t="n">
        <x:v>6</x:v>
      </x:c>
      <x:c r="K3550" s="2"/>
      <x:c r="L3550" s="2"/>
    </x:row>
    <x:row r="3551" ht="22" customHeight="1">
      <x:c r="A3551" s="2"/>
      <x:c r="B3551" s="2" t="n">
        <x:v>3518</x:v>
      </x:c>
      <x:c r="C3551" s="2" t="str">
        <x:v>84673A</x:v>
      </x:c>
      <x:c r="D3551" s="2" t="str">
        <x:v>PINK FLY SWAT</x:v>
      </x:c>
      <x:c r="E3551" s="11" t="n">
        <x:v>316.14000000000004</x:v>
      </x:c>
      <x:c r="F3551" s="11" t="n">
        <x:v>0.65</x:v>
      </x:c>
      <x:c r="G3551" s="11" t="n">
        <x:v>315.49</x:v>
      </x:c>
      <x:c r="H3551" s="23" t="n">
        <x:v>0.00001539612221009118</x:v>
      </x:c>
      <x:c r="I3551" s="23" t="n">
        <x:v>0.9926093452617647</x:v>
      </x:c>
      <x:c r="J3551" s="2" t="n">
        <x:v>99</x:v>
      </x:c>
      <x:c r="K3551" s="2"/>
      <x:c r="L3551" s="2"/>
    </x:row>
    <x:row r="3552" ht="22" customHeight="1">
      <x:c r="A3552" s="2"/>
      <x:c r="B3552" s="2" t="n">
        <x:v>3519</x:v>
      </x:c>
      <x:c r="C3552" s="2" t="str">
        <x:v>21401</x:v>
      </x:c>
      <x:c r="D3552" s="2" t="str">
        <x:v>BLUE PUDDING SPOON</x:v>
      </x:c>
      <x:c r="E3552" s="11" t="n">
        <x:v>315.7</x:v>
      </x:c>
      <x:c r="F3552" s="11" t="n">
        <x:v>0</x:v>
      </x:c>
      <x:c r="G3552" s="11" t="n">
        <x:v>315.7</x:v>
      </x:c>
      <x:c r="H3552" s="23" t="n">
        <x:v>0.000015374694065052778</x:v>
      </x:c>
      <x:c r="I3552" s="23" t="n">
        <x:v>0.9926247199558298</x:v>
      </x:c>
      <x:c r="J3552" s="2" t="n">
        <x:v>121</x:v>
      </x:c>
      <x:c r="K3552" s="2"/>
      <x:c r="L3552" s="2"/>
    </x:row>
    <x:row r="3553" ht="22" customHeight="1">
      <x:c r="A3553" s="2"/>
      <x:c r="B3553" s="2" t="n">
        <x:v>3520</x:v>
      </x:c>
      <x:c r="C3553" s="2" t="str">
        <x:v>85129B</x:v>
      </x:c>
      <x:c r="D3553" s="2" t="str">
        <x:v>BEADED CRYSTAL HEART GREEN SMALL</x:v>
      </x:c>
      <x:c r="E3553" s="11" t="n">
        <x:v>315.11</x:v>
      </x:c>
      <x:c r="F3553" s="11" t="n">
        <x:v>0</x:v>
      </x:c>
      <x:c r="G3553" s="11" t="n">
        <x:v>315.11</x:v>
      </x:c>
      <x:c r="H3553" s="23" t="n">
        <x:v>0.000015345960870569468</x:v>
      </x:c>
      <x:c r="I3553" s="23" t="n">
        <x:v>0.9926400659167004</x:v>
      </x:c>
      <x:c r="J3553" s="2" t="n">
        <x:v>56</x:v>
      </x:c>
      <x:c r="K3553" s="2"/>
      <x:c r="L3553" s="2"/>
    </x:row>
    <x:row r="3554" ht="22" customHeight="1">
      <x:c r="A3554" s="2"/>
      <x:c r="B3554" s="2" t="n">
        <x:v>3521</x:v>
      </x:c>
      <x:c r="C3554" s="2" t="str">
        <x:v>84933A</x:v>
      </x:c>
      <x:c r="D3554" s="2" t="str">
        <x:v>LARGE GREEN PEONY FOLDING STOOL</x:v>
      </x:c>
      <x:c r="E3554" s="11" t="n">
        <x:v>314.35</x:v>
      </x:c>
      <x:c r="F3554" s="11" t="n">
        <x:v>0</x:v>
      </x:c>
      <x:c r="G3554" s="11" t="n">
        <x:v>314.35</x:v>
      </x:c>
      <x:c r="H3554" s="23" t="n">
        <x:v>0.000015308948620048595</x:v>
      </x:c>
      <x:c r="I3554" s="23" t="n">
        <x:v>0.9926553748653204</x:v>
      </x:c>
      <x:c r="J3554" s="2" t="n">
        <x:v>6</x:v>
      </x:c>
      <x:c r="K3554" s="2"/>
      <x:c r="L3554" s="2"/>
    </x:row>
    <x:row r="3555" ht="22" customHeight="1">
      <x:c r="A3555" s="2"/>
      <x:c r="B3555" s="2" t="n">
        <x:v>3522</x:v>
      </x:c>
      <x:c r="C3555" s="2" t="str">
        <x:v>18096C</x:v>
      </x:c>
      <x:c r="D3555" s="2" t="str">
        <x:v>WHITE ROUND PORCELAIN TLIGHT HOLDER</x:v>
      </x:c>
      <x:c r="E3555" s="11" t="n">
        <x:v>314</x:v>
      </x:c>
      <x:c r="F3555" s="11" t="n">
        <x:v>30.599999999999998</x:v>
      </x:c>
      <x:c r="G3555" s="11" t="n">
        <x:v>283.4</x:v>
      </x:c>
      <x:c r="H3555" s="23" t="n">
        <x:v>0.000015291903504677138</x:v>
      </x:c>
      <x:c r="I3555" s="23" t="n">
        <x:v>0.9926706667688251</x:v>
      </x:c>
      <x:c r="J3555" s="2" t="n">
        <x:v>20</x:v>
      </x:c>
      <x:c r="K3555" s="2"/>
      <x:c r="L3555" s="2"/>
    </x:row>
    <x:row r="3556" ht="22" customHeight="1">
      <x:c r="A3556" s="2"/>
      <x:c r="B3556" s="2" t="n">
        <x:v>3523</x:v>
      </x:c>
      <x:c r="C3556" s="2" t="str">
        <x:v>46000U</x:v>
      </x:c>
      <x:c r="D3556" s="2" t="str">
        <x:v>POLYESTER FILLER PAD 30CMx30CM</x:v>
      </x:c>
      <x:c r="E3556" s="11" t="n">
        <x:v>313.75</x:v>
      </x:c>
      <x:c r="F3556" s="11" t="n">
        <x:v>0</x:v>
      </x:c>
      <x:c r="G3556" s="11" t="n">
        <x:v>313.75</x:v>
      </x:c>
      <x:c r="H3556" s="23" t="n">
        <x:v>0.000015279728422268955</x:v>
      </x:c>
      <x:c r="I3556" s="23" t="n">
        <x:v>0.9926859464972474</x:v>
      </x:c>
      <x:c r="J3556" s="2" t="n">
        <x:v>51</x:v>
      </x:c>
      <x:c r="K3556" s="2"/>
      <x:c r="L3556" s="2"/>
    </x:row>
    <x:row r="3557" ht="22" customHeight="1">
      <x:c r="A3557" s="2"/>
      <x:c r="B3557" s="2" t="n">
        <x:v>3524</x:v>
      </x:c>
      <x:c r="C3557" s="2" t="str">
        <x:v>90000D</x:v>
      </x:c>
      <x:c r="D3557" s="2" t="str">
        <x:v>COPPER/OLIVE GREEN FLOWER NECKLACE</x:v>
      </x:c>
      <x:c r="E3557" s="11" t="n">
        <x:v>313.75</x:v>
      </x:c>
      <x:c r="F3557" s="11" t="n">
        <x:v>0</x:v>
      </x:c>
      <x:c r="G3557" s="11" t="n">
        <x:v>313.75</x:v>
      </x:c>
      <x:c r="H3557" s="23" t="n">
        <x:v>0.000015279728422268955</x:v>
      </x:c>
      <x:c r="I3557" s="23" t="n">
        <x:v>0.9927012262256697</x:v>
      </x:c>
      <x:c r="J3557" s="2" t="n">
        <x:v>34</x:v>
      </x:c>
      <x:c r="K3557" s="2"/>
      <x:c r="L3557" s="2"/>
    </x:row>
    <x:row r="3558" ht="22" customHeight="1">
      <x:c r="A3558" s="2"/>
      <x:c r="B3558" s="2" t="n">
        <x:v>3525</x:v>
      </x:c>
      <x:c r="C3558" s="2" t="str">
        <x:v>35638B</x:v>
      </x:c>
      <x:c r="D3558" s="2" t="str">
        <x:v>PINK/BLUE STRING CURTAIN </x:v>
      </x:c>
      <x:c r="E3558" s="11" t="n">
        <x:v>313.28999999999996</x:v>
      </x:c>
      <x:c r="F3558" s="11" t="n">
        <x:v>0</x:v>
      </x:c>
      <x:c r="G3558" s="11" t="n">
        <x:v>313.28999999999996</x:v>
      </x:c>
      <x:c r="H3558" s="23" t="n">
        <x:v>0.000015257326270637897</x:v>
      </x:c>
      <x:c r="I3558" s="23" t="n">
        <x:v>0.9927164835519403</x:v>
      </x:c>
      <x:c r="J3558" s="2" t="n">
        <x:v>11</x:v>
      </x:c>
      <x:c r="K3558" s="2"/>
      <x:c r="L3558" s="2"/>
    </x:row>
    <x:row r="3559" ht="22" customHeight="1">
      <x:c r="A3559" s="2"/>
      <x:c r="B3559" s="2" t="n">
        <x:v>3526</x:v>
      </x:c>
      <x:c r="C3559" s="2" t="str">
        <x:v>84838</x:v>
      </x:c>
      <x:c r="D3559" s="2" t="str">
        <x:v>ANT WHITE HIGH RISE BIRD BOX</x:v>
      </x:c>
      <x:c r="E3559" s="11" t="n">
        <x:v>312.5</x:v>
      </x:c>
      <x:c r="F3559" s="11" t="n">
        <x:v>0</x:v>
      </x:c>
      <x:c r="G3559" s="11" t="n">
        <x:v>312.5</x:v>
      </x:c>
      <x:c r="H3559" s="23" t="n">
        <x:v>0.000015218853010228042</x:v>
      </x:c>
      <x:c r="I3559" s="23" t="n">
        <x:v>0.9927317024049506</x:v>
      </x:c>
      <x:c r="J3559" s="2" t="n">
        <x:v>4</x:v>
      </x:c>
      <x:c r="K3559" s="2"/>
      <x:c r="L3559" s="2"/>
    </x:row>
    <x:row r="3560" ht="22" customHeight="1">
      <x:c r="A3560" s="2"/>
      <x:c r="B3560" s="2" t="n">
        <x:v>3527</x:v>
      </x:c>
      <x:c r="C3560" s="2" t="str">
        <x:v>90016B</x:v>
      </x:c>
      <x:c r="D3560" s="2" t="str">
        <x:v>GOLD/M.O.P PENDANT ORBIT NECKLACE</x:v>
      </x:c>
      <x:c r="E3560" s="11" t="n">
        <x:v>312.14</x:v>
      </x:c>
      <x:c r="F3560" s="11" t="n">
        <x:v>0</x:v>
      </x:c>
      <x:c r="G3560" s="11" t="n">
        <x:v>312.14</x:v>
      </x:c>
      <x:c r="H3560" s="23" t="n">
        <x:v>0.000015201320891560259</x:v>
      </x:c>
      <x:c r="I3560" s="23" t="n">
        <x:v>0.9927469037258422</x:v>
      </x:c>
      <x:c r="J3560" s="2" t="n">
        <x:v>30</x:v>
      </x:c>
      <x:c r="K3560" s="2"/>
      <x:c r="L3560" s="2"/>
    </x:row>
    <x:row r="3561" ht="22" customHeight="1">
      <x:c r="A3561" s="2"/>
      <x:c r="B3561" s="2" t="n">
        <x:v>3528</x:v>
      </x:c>
      <x:c r="C3561" s="2" t="str">
        <x:v>84671B</x:v>
      </x:c>
      <x:c r="D3561" s="2" t="str">
        <x:v>CROCHET BEAR WITH BLUE STRIPES</x:v>
      </x:c>
      <x:c r="E3561" s="11" t="n">
        <x:v>311.87</x:v>
      </x:c>
      <x:c r="F3561" s="11" t="n">
        <x:v>0</x:v>
      </x:c>
      <x:c r="G3561" s="11" t="n">
        <x:v>311.87</x:v>
      </x:c>
      <x:c r="H3561" s="23" t="n">
        <x:v>0.000015188171802559423</x:v>
      </x:c>
      <x:c r="I3561" s="23" t="n">
        <x:v>0.9927620918976447</x:v>
      </x:c>
      <x:c r="J3561" s="2" t="n">
        <x:v>32</x:v>
      </x:c>
      <x:c r="K3561" s="2"/>
      <x:c r="L3561" s="2"/>
    </x:row>
    <x:row r="3562" ht="22" customHeight="1">
      <x:c r="A3562" s="2"/>
      <x:c r="B3562" s="2" t="n">
        <x:v>3529</x:v>
      </x:c>
      <x:c r="C3562" s="2" t="str">
        <x:v>84522</x:v>
      </x:c>
      <x:c r="D3562" s="2" t="str">
        <x:v>PINK PARTY SUNGLASSES</x:v>
      </x:c>
      <x:c r="E3562" s="11" t="n">
        <x:v>311.86</x:v>
      </x:c>
      <x:c r="F3562" s="11" t="n">
        <x:v>0</x:v>
      </x:c>
      <x:c r="G3562" s="11" t="n">
        <x:v>311.86</x:v>
      </x:c>
      <x:c r="H3562" s="23" t="n">
        <x:v>0.000015187684799263096</x:v>
      </x:c>
      <x:c r="I3562" s="23" t="n">
        <x:v>0.992777279582444</x:v>
      </x:c>
      <x:c r="J3562" s="2" t="n">
        <x:v>26</x:v>
      </x:c>
      <x:c r="K3562" s="2"/>
      <x:c r="L3562" s="2"/>
    </x:row>
    <x:row r="3563" ht="22" customHeight="1">
      <x:c r="A3563" s="2"/>
      <x:c r="B3563" s="2" t="n">
        <x:v>3530</x:v>
      </x:c>
      <x:c r="C3563" s="2" t="str">
        <x:v>84219</x:v>
      </x:c>
      <x:c r="D3563" s="2" t="str">
        <x:v>BOX/12 MOTHER &amp; CHICK IN BASKET/BOW</x:v>
      </x:c>
      <x:c r="E3563" s="11" t="n">
        <x:v>311.51</x:v>
      </x:c>
      <x:c r="F3563" s="11" t="n">
        <x:v>0</x:v>
      </x:c>
      <x:c r="G3563" s="11" t="n">
        <x:v>311.51</x:v>
      </x:c>
      <x:c r="H3563" s="23" t="n">
        <x:v>0.000015170639683891639</x:v>
      </x:c>
      <x:c r="I3563" s="23" t="n">
        <x:v>0.9927924502221279</x:v>
      </x:c>
      <x:c r="J3563" s="2" t="n">
        <x:v>28</x:v>
      </x:c>
      <x:c r="K3563" s="2"/>
      <x:c r="L3563" s="2"/>
    </x:row>
    <x:row r="3564" ht="22" customHeight="1">
      <x:c r="A3564" s="2"/>
      <x:c r="B3564" s="2" t="n">
        <x:v>3531</x:v>
      </x:c>
      <x:c r="C3564" s="2" t="str">
        <x:v>90098</x:v>
      </x:c>
      <x:c r="D3564" s="2" t="str">
        <x:v>NECKLACE+BRACELET PINK BUTTERFLY</x:v>
      </x:c>
      <x:c r="E3564" s="11" t="n">
        <x:v>311.47999999999996</x:v>
      </x:c>
      <x:c r="F3564" s="11" t="n">
        <x:v>15.299999999999999</x:v>
      </x:c>
      <x:c r="G3564" s="11" t="n">
        <x:v>296.18</x:v>
      </x:c>
      <x:c r="H3564" s="23" t="n">
        <x:v>0.000015169178674002656</x:v>
      </x:c>
      <x:c r="I3564" s="23" t="n">
        <x:v>0.992807619400802</x:v>
      </x:c>
      <x:c r="J3564" s="2" t="n">
        <x:v>55</x:v>
      </x:c>
      <x:c r="K3564" s="2"/>
      <x:c r="L3564" s="2"/>
    </x:row>
    <x:row r="3565" ht="22" customHeight="1">
      <x:c r="A3565" s="2"/>
      <x:c r="B3565" s="2" t="n">
        <x:v>3532</x:v>
      </x:c>
      <x:c r="C3565" s="2" t="str">
        <x:v>22872</x:v>
      </x:c>
      <x:c r="D3565" s="2" t="str">
        <x:v>NUMBER TILE COTTAGE GARDEN 4</x:v>
      </x:c>
      <x:c r="E3565" s="11" t="n">
        <x:v>311.3</x:v>
      </x:c>
      <x:c r="F3565" s="11" t="n">
        <x:v>0</x:v>
      </x:c>
      <x:c r="G3565" s="11" t="n">
        <x:v>311.3</x:v>
      </x:c>
      <x:c r="H3565" s="23" t="n">
        <x:v>0.000015160412614668766</x:v>
      </x:c>
      <x:c r="I3565" s="23" t="n">
        <x:v>0.9928227798134166</x:v>
      </x:c>
      <x:c r="J3565" s="2" t="n">
        <x:v>39</x:v>
      </x:c>
      <x:c r="K3565" s="2"/>
      <x:c r="L3565" s="2"/>
    </x:row>
    <x:row r="3566" ht="22" customHeight="1">
      <x:c r="A3566" s="2"/>
      <x:c r="B3566" s="2" t="n">
        <x:v>3533</x:v>
      </x:c>
      <x:c r="C3566" s="2" t="str">
        <x:v>35979</x:v>
      </x:c>
      <x:c r="D3566" s="2" t="str">
        <x:v>SIX STRING SCANDINAVIAN HEART DECS</x:v>
      </x:c>
      <x:c r="E3566" s="11" t="n">
        <x:v>311.03000000000003</x:v>
      </x:c>
      <x:c r="F3566" s="11" t="n">
        <x:v>35.400000000000006</x:v>
      </x:c>
      <x:c r="G3566" s="11" t="n">
        <x:v>275.63000000000005</x:v>
      </x:c>
      <x:c r="H3566" s="23" t="n">
        <x:v>0.00001514726352566793</x:v>
      </x:c>
      <x:c r="I3566" s="23" t="n">
        <x:v>0.9928379270769423</x:v>
      </x:c>
      <x:c r="J3566" s="2" t="n">
        <x:v>27</x:v>
      </x:c>
      <x:c r="K3566" s="2"/>
      <x:c r="L3566" s="2"/>
    </x:row>
    <x:row r="3567" ht="22" customHeight="1">
      <x:c r="A3567" s="2"/>
      <x:c r="B3567" s="2" t="n">
        <x:v>3534</x:v>
      </x:c>
      <x:c r="C3567" s="2" t="str">
        <x:v>62095B</x:v>
      </x:c>
      <x:c r="D3567" s="2" t="str">
        <x:v>TURQOISE ICE CREAM SUNHAT</x:v>
      </x:c>
      <x:c r="E3567" s="11" t="n">
        <x:v>310.83</x:v>
      </x:c>
      <x:c r="F3567" s="11" t="n">
        <x:v>0</x:v>
      </x:c>
      <x:c r="G3567" s="11" t="n">
        <x:v>310.83</x:v>
      </x:c>
      <x:c r="H3567" s="23" t="n">
        <x:v>0.000015137523459741383</x:v>
      </x:c>
      <x:c r="I3567" s="23" t="n">
        <x:v>0.992853064600402</x:v>
      </x:c>
      <x:c r="J3567" s="2" t="n">
        <x:v>21</x:v>
      </x:c>
      <x:c r="K3567" s="2"/>
      <x:c r="L3567" s="2"/>
    </x:row>
    <x:row r="3568" ht="22" customHeight="1">
      <x:c r="A3568" s="2"/>
      <x:c r="B3568" s="2" t="n">
        <x:v>3535</x:v>
      </x:c>
      <x:c r="C3568" s="2" t="str">
        <x:v>84623</x:v>
      </x:c>
      <x:c r="D3568" s="2" t="str">
        <x:v>PINK GINGHAM ROSE FLOOR CUSHION</x:v>
      </x:c>
      <x:c r="E3568" s="11" t="n">
        <x:v>310.44</x:v>
      </x:c>
      <x:c r="F3568" s="11" t="n">
        <x:v>0</x:v>
      </x:c>
      <x:c r="G3568" s="11" t="n">
        <x:v>310.44</x:v>
      </x:c>
      <x:c r="H3568" s="23" t="n">
        <x:v>0.000015118530331184619</x:v>
      </x:c>
      <x:c r="I3568" s="23" t="n">
        <x:v>0.9928681831307332</x:v>
      </x:c>
      <x:c r="J3568" s="2" t="n">
        <x:v>14</x:v>
      </x:c>
      <x:c r="K3568" s="2"/>
      <x:c r="L3568" s="2"/>
    </x:row>
    <x:row r="3569" ht="22" customHeight="1">
      <x:c r="A3569" s="2"/>
      <x:c r="B3569" s="2" t="n">
        <x:v>3536</x:v>
      </x:c>
      <x:c r="C3569" s="2" t="str">
        <x:v>84933B</x:v>
      </x:c>
      <x:c r="D3569" s="2" t="str">
        <x:v>LARGE PINK PEONY FOLDING STOOL</x:v>
      </x:c>
      <x:c r="E3569" s="11" t="n">
        <x:v>309.15000000000003</x:v>
      </x:c>
      <x:c r="F3569" s="11" t="n">
        <x:v>0</x:v>
      </x:c>
      <x:c r="G3569" s="11" t="n">
        <x:v>309.15000000000003</x:v>
      </x:c>
      <x:c r="H3569" s="23" t="n">
        <x:v>0.000015055706905958399</x:v>
      </x:c>
      <x:c r="I3569" s="23" t="n">
        <x:v>0.9928832388376392</x:v>
      </x:c>
      <x:c r="J3569" s="2" t="n">
        <x:v>6</x:v>
      </x:c>
      <x:c r="K3569" s="2"/>
      <x:c r="L3569" s="2"/>
    </x:row>
    <x:row r="3570" ht="22" customHeight="1">
      <x:c r="A3570" s="2"/>
      <x:c r="B3570" s="2" t="n">
        <x:v>3537</x:v>
      </x:c>
      <x:c r="C3570" s="2" t="str">
        <x:v>84661A</x:v>
      </x:c>
      <x:c r="D3570" s="2" t="str">
        <x:v>WHITE SQUARE TABLE CLOCK</x:v>
      </x:c>
      <x:c r="E3570" s="11" t="n">
        <x:v>308.99</x:v>
      </x:c>
      <x:c r="F3570" s="11" t="n">
        <x:v>0</x:v>
      </x:c>
      <x:c r="G3570" s="11" t="n">
        <x:v>308.99</x:v>
      </x:c>
      <x:c r="H3570" s="23" t="n">
        <x:v>0.00001504791485321716</x:v>
      </x:c>
      <x:c r="I3570" s="23" t="n">
        <x:v>0.9928982867524924</x:v>
      </x:c>
      <x:c r="J3570" s="2" t="n">
        <x:v>43</x:v>
      </x:c>
      <x:c r="K3570" s="2"/>
      <x:c r="L3570" s="2"/>
    </x:row>
    <x:row r="3571" ht="22" customHeight="1">
      <x:c r="A3571" s="2"/>
      <x:c r="B3571" s="2" t="n">
        <x:v>3538</x:v>
      </x:c>
      <x:c r="C3571" s="2" t="str">
        <x:v>17012E</x:v>
      </x:c>
      <x:c r="D3571" s="2" t="str">
        <x:v>ORIGAMI OPIUM INCENSE/CANDLE SET </x:v>
      </x:c>
      <x:c r="E3571" s="11" t="n">
        <x:v>308.78999999999996</x:v>
      </x:c>
      <x:c r="F3571" s="11" t="n">
        <x:v>0</x:v>
      </x:c>
      <x:c r="G3571" s="11" t="n">
        <x:v>308.78999999999996</x:v>
      </x:c>
      <x:c r="H3571" s="23" t="n">
        <x:v>0.000015038174787290614</x:v>
      </x:c>
      <x:c r="I3571" s="23" t="n">
        <x:v>0.9929133249272797</x:v>
      </x:c>
      <x:c r="J3571" s="2" t="n">
        <x:v>29</x:v>
      </x:c>
      <x:c r="K3571" s="2"/>
      <x:c r="L3571" s="2"/>
    </x:row>
    <x:row r="3572" ht="22" customHeight="1">
      <x:c r="A3572" s="2"/>
      <x:c r="B3572" s="2" t="n">
        <x:v>3539</x:v>
      </x:c>
      <x:c r="C3572" s="2" t="str">
        <x:v>20795</x:v>
      </x:c>
      <x:c r="D3572" s="2" t="str">
        <x:v>LARGE BLUE PROVENCAL CERAMIC BALL</x:v>
      </x:c>
      <x:c r="E3572" s="11" t="n">
        <x:v>308.7</x:v>
      </x:c>
      <x:c r="F3572" s="11" t="n">
        <x:v>14.7</x:v>
      </x:c>
      <x:c r="G3572" s="11" t="n">
        <x:v>294</x:v>
      </x:c>
      <x:c r="H3572" s="23" t="n">
        <x:v>0.000015033791757623668</x:v>
      </x:c>
      <x:c r="I3572" s="23" t="n">
        <x:v>0.9929283587190373</x:v>
      </x:c>
      <x:c r="J3572" s="2" t="n">
        <x:v>29</x:v>
      </x:c>
      <x:c r="K3572" s="2"/>
      <x:c r="L3572" s="2"/>
    </x:row>
    <x:row r="3573" ht="22" customHeight="1">
      <x:c r="A3573" s="2"/>
      <x:c r="B3573" s="2" t="n">
        <x:v>3540</x:v>
      </x:c>
      <x:c r="C3573" s="2" t="str">
        <x:v>21196</x:v>
      </x:c>
      <x:c r="D3573" s="2" t="str">
        <x:v>ROUND WHITE CONFETTI IN TUBE</x:v>
      </x:c>
      <x:c r="E3573" s="11" t="n">
        <x:v>308.53999999999996</x:v>
      </x:c>
      <x:c r="F3573" s="11" t="n">
        <x:v>0</x:v>
      </x:c>
      <x:c r="G3573" s="11" t="n">
        <x:v>308.53999999999996</x:v>
      </x:c>
      <x:c r="H3573" s="23" t="n">
        <x:v>0.00001502599970488243</x:v>
      </x:c>
      <x:c r="I3573" s="23" t="n">
        <x:v>0.9929433847187422</x:v>
      </x:c>
      <x:c r="J3573" s="2" t="n">
        <x:v>22</x:v>
      </x:c>
      <x:c r="K3573" s="2"/>
      <x:c r="L3573" s="2"/>
    </x:row>
    <x:row r="3574" ht="22" customHeight="1">
      <x:c r="A3574" s="2"/>
      <x:c r="B3574" s="2" t="n">
        <x:v>3541</x:v>
      </x:c>
      <x:c r="C3574" s="2" t="str">
        <x:v>77081</x:v>
      </x:c>
      <x:c r="D3574" s="2" t="str">
        <x:v>FLOWER WINDMILL</x:v>
      </x:c>
      <x:c r="E3574" s="11" t="n">
        <x:v>308.38</x:v>
      </x:c>
      <x:c r="F3574" s="11" t="n">
        <x:v>1.25</x:v>
      </x:c>
      <x:c r="G3574" s="11" t="n">
        <x:v>307.13</x:v>
      </x:c>
      <x:c r="H3574" s="23" t="n">
        <x:v>0.000015018207652141195</x:v>
      </x:c>
      <x:c r="I3574" s="23" t="n">
        <x:v>0.9929584029263944</x:v>
      </x:c>
      <x:c r="J3574" s="2" t="n">
        <x:v>33</x:v>
      </x:c>
      <x:c r="K3574" s="2"/>
      <x:c r="L3574" s="2"/>
    </x:row>
    <x:row r="3575" ht="22" customHeight="1">
      <x:c r="A3575" s="2"/>
      <x:c r="B3575" s="2" t="n">
        <x:v>3542</x:v>
      </x:c>
      <x:c r="C3575" s="2" t="str">
        <x:v>84906</x:v>
      </x:c>
      <x:c r="D3575" s="2" t="str">
        <x:v>PINK BUTTERFLY CUSHION COVER</x:v>
      </x:c>
      <x:c r="E3575" s="11" t="n">
        <x:v>307.47</x:v>
      </x:c>
      <x:c r="F3575" s="11" t="n">
        <x:v>1.95</x:v>
      </x:c>
      <x:c r="G3575" s="11" t="n">
        <x:v>305.52000000000004</x:v>
      </x:c>
      <x:c r="H3575" s="23" t="n">
        <x:v>0.000014973890352175413</x:v>
      </x:c>
      <x:c r="I3575" s="23" t="n">
        <x:v>0.9929733768167466</x:v>
      </x:c>
      <x:c r="J3575" s="2" t="n">
        <x:v>21</x:v>
      </x:c>
      <x:c r="K3575" s="2"/>
      <x:c r="L3575" s="2"/>
    </x:row>
    <x:row r="3576" ht="22" customHeight="1">
      <x:c r="A3576" s="2"/>
      <x:c r="B3576" s="2" t="n">
        <x:v>3543</x:v>
      </x:c>
      <x:c r="C3576" s="2" t="str">
        <x:v>47593A</x:v>
      </x:c>
      <x:c r="D3576" s="2" t="str">
        <x:v>CAROUSEL PONIES BABY BIB</x:v>
      </x:c>
      <x:c r="E3576" s="11" t="n">
        <x:v>306.67</x:v>
      </x:c>
      <x:c r="F3576" s="11" t="n">
        <x:v>0</x:v>
      </x:c>
      <x:c r="G3576" s="11" t="n">
        <x:v>306.67</x:v>
      </x:c>
      <x:c r="H3576" s="23" t="n">
        <x:v>0.000014934930088469229</x:v>
      </x:c>
      <x:c r="I3576" s="23" t="n">
        <x:v>0.992988311746835</x:v>
      </x:c>
      <x:c r="J3576" s="2" t="n">
        <x:v>97</x:v>
      </x:c>
      <x:c r="K3576" s="2"/>
      <x:c r="L3576" s="2"/>
    </x:row>
    <x:row r="3577" ht="22" customHeight="1">
      <x:c r="A3577" s="2"/>
      <x:c r="B3577" s="2" t="n">
        <x:v>3544</x:v>
      </x:c>
      <x:c r="C3577" s="2" t="str">
        <x:v>23495</x:v>
      </x:c>
      <x:c r="D3577" s="2" t="str">
        <x:v>SET OF 3 PANTRY WOODEN SPOONS</x:v>
      </x:c>
      <x:c r="E3577" s="11" t="n">
        <x:v>306.66</x:v>
      </x:c>
      <x:c r="F3577" s="11" t="n">
        <x:v>0</x:v>
      </x:c>
      <x:c r="G3577" s="11" t="n">
        <x:v>306.66</x:v>
      </x:c>
      <x:c r="H3577" s="23" t="n">
        <x:v>0.000014934443085172901</x:v>
      </x:c>
      <x:c r="I3577" s="23" t="n">
        <x:v>0.9930032461899202</x:v>
      </x:c>
      <x:c r="J3577" s="2" t="n">
        <x:v>41</x:v>
      </x:c>
      <x:c r="K3577" s="2"/>
      <x:c r="L3577" s="2"/>
    </x:row>
    <x:row r="3578" ht="22" customHeight="1">
      <x:c r="A3578" s="2"/>
      <x:c r="B3578" s="2" t="n">
        <x:v>3545</x:v>
      </x:c>
      <x:c r="C3578" s="2" t="str">
        <x:v>90173</x:v>
      </x:c>
      <x:c r="D3578" s="2" t="str">
        <x:v>PAIR BUTTERFLY HAIR CLIPS</x:v>
      </x:c>
      <x:c r="E3578" s="11" t="n">
        <x:v>306.64</x:v>
      </x:c>
      <x:c r="F3578" s="11" t="n">
        <x:v>3.75</x:v>
      </x:c>
      <x:c r="G3578" s="11" t="n">
        <x:v>302.89</x:v>
      </x:c>
      <x:c r="H3578" s="23" t="n">
        <x:v>0.000014933469078580245</x:v>
      </x:c>
      <x:c r="I3578" s="23" t="n">
        <x:v>0.9930181796589987</x:v>
      </x:c>
      <x:c r="J3578" s="2" t="n">
        <x:v>51</x:v>
      </x:c>
      <x:c r="K3578" s="2"/>
      <x:c r="L3578" s="2"/>
    </x:row>
    <x:row r="3579" ht="22" customHeight="1">
      <x:c r="A3579" s="2"/>
      <x:c r="B3579" s="2" t="n">
        <x:v>3546</x:v>
      </x:c>
      <x:c r="C3579" s="2" t="str">
        <x:v>72130</x:v>
      </x:c>
      <x:c r="D3579" s="2" t="str">
        <x:v>COLUMBIAN CANDLE ROUND</x:v>
      </x:c>
      <x:c r="E3579" s="11" t="n">
        <x:v>306.35</x:v>
      </x:c>
      <x:c r="F3579" s="11" t="n">
        <x:v>0</x:v>
      </x:c>
      <x:c r="G3579" s="11" t="n">
        <x:v>306.35</x:v>
      </x:c>
      <x:c r="H3579" s="23" t="n">
        <x:v>0.000014919345982986756</x:v>
      </x:c>
      <x:c r="I3579" s="23" t="n">
        <x:v>0.9930330990049817</x:v>
      </x:c>
      <x:c r="J3579" s="2" t="n">
        <x:v>57</x:v>
      </x:c>
      <x:c r="K3579" s="2"/>
      <x:c r="L3579" s="2"/>
    </x:row>
    <x:row r="3580" ht="22" customHeight="1">
      <x:c r="A3580" s="2"/>
      <x:c r="B3580" s="2" t="n">
        <x:v>3547</x:v>
      </x:c>
      <x:c r="C3580" s="2" t="str">
        <x:v>16254</x:v>
      </x:c>
      <x:c r="D3580" s="2" t="str">
        <x:v>TRANSPARENT ACRYLIC TAPE DISPENSER</x:v>
      </x:c>
      <x:c r="E3580" s="11" t="n">
        <x:v>305.66</x:v>
      </x:c>
      <x:c r="F3580" s="11" t="n">
        <x:v>0</x:v>
      </x:c>
      <x:c r="G3580" s="11" t="n">
        <x:v>305.66</x:v>
      </x:c>
      <x:c r="H3580" s="23" t="n">
        <x:v>0.000014885742755540172</x:v>
      </x:c>
      <x:c r="I3580" s="23" t="n">
        <x:v>0.9930479847477373</x:v>
      </x:c>
      <x:c r="J3580" s="2" t="n">
        <x:v>40</x:v>
      </x:c>
      <x:c r="K3580" s="2"/>
      <x:c r="L3580" s="2"/>
    </x:row>
    <x:row r="3581" ht="22" customHeight="1">
      <x:c r="A3581" s="2"/>
      <x:c r="B3581" s="2" t="n">
        <x:v>3548</x:v>
      </x:c>
      <x:c r="C3581" s="2" t="str">
        <x:v>44235</x:v>
      </x:c>
      <x:c r="D3581" s="2" t="str">
        <x:v>ASSORTED COLOURED CIRCLE MOBILE </x:v>
      </x:c>
      <x:c r="E3581" s="11" t="n">
        <x:v>305.1</x:v>
      </x:c>
      <x:c r="F3581" s="11" t="n">
        <x:v>0</x:v>
      </x:c>
      <x:c r="G3581" s="11" t="n">
        <x:v>305.1</x:v>
      </x:c>
      <x:c r="H3581" s="23" t="n">
        <x:v>0.000014858470570945843</x:v>
      </x:c>
      <x:c r="I3581" s="23" t="n">
        <x:v>0.9930628432183082</x:v>
      </x:c>
      <x:c r="J3581" s="2" t="n">
        <x:v>22</x:v>
      </x:c>
      <x:c r="K3581" s="2"/>
      <x:c r="L3581" s="2"/>
    </x:row>
    <x:row r="3582" ht="22" customHeight="1">
      <x:c r="A3582" s="2"/>
      <x:c r="B3582" s="2" t="n">
        <x:v>3549</x:v>
      </x:c>
      <x:c r="C3582" s="2" t="str">
        <x:v>20800</x:v>
      </x:c>
      <x:c r="D3582" s="2" t="str">
        <x:v>LARGE GLASS SUNDAE DISH CLEAR</x:v>
      </x:c>
      <x:c r="E3582" s="11" t="n">
        <x:v>303.96</x:v>
      </x:c>
      <x:c r="F3582" s="11" t="n">
        <x:v>0</x:v>
      </x:c>
      <x:c r="G3582" s="11" t="n">
        <x:v>303.96</x:v>
      </x:c>
      <x:c r="H3582" s="23" t="n">
        <x:v>0.00001480295219516453</x:v>
      </x:c>
      <x:c r="I3582" s="23" t="n">
        <x:v>0.9930776461705033</x:v>
      </x:c>
      <x:c r="J3582" s="2" t="n">
        <x:v>5</x:v>
      </x:c>
      <x:c r="K3582" s="2"/>
      <x:c r="L3582" s="2"/>
    </x:row>
    <x:row r="3583" ht="22" customHeight="1">
      <x:c r="A3583" s="2"/>
      <x:c r="B3583" s="2" t="n">
        <x:v>3550</x:v>
      </x:c>
      <x:c r="C3583" s="2" t="str">
        <x:v>84627</x:v>
      </x:c>
      <x:c r="D3583" s="2" t="str">
        <x:v>CANDY STRIPE ROSE C/COVER </x:v>
      </x:c>
      <x:c r="E3583" s="11" t="n">
        <x:v>303.45</x:v>
      </x:c>
      <x:c r="F3583" s="11" t="n">
        <x:v>47.6</x:v>
      </x:c>
      <x:c r="G3583" s="11" t="n">
        <x:v>255.85</x:v>
      </x:c>
      <x:c r="H3583" s="23" t="n">
        <x:v>0.000014778115027051838</x:v>
      </x:c>
      <x:c r="I3583" s="23" t="n">
        <x:v>0.9930924242855304</x:v>
      </x:c>
      <x:c r="J3583" s="2" t="n">
        <x:v>19</x:v>
      </x:c>
      <x:c r="K3583" s="2"/>
      <x:c r="L3583" s="2"/>
    </x:row>
    <x:row r="3584" ht="22" customHeight="1">
      <x:c r="A3584" s="2"/>
      <x:c r="B3584" s="2" t="n">
        <x:v>3551</x:v>
      </x:c>
      <x:c r="C3584" s="2" t="str">
        <x:v>21030</x:v>
      </x:c>
      <x:c r="D3584" s="2" t="str">
        <x:v>SPACE CADET RED</x:v>
      </x:c>
      <x:c r="E3584" s="11" t="n">
        <x:v>303.4</x:v>
      </x:c>
      <x:c r="F3584" s="11" t="n">
        <x:v>0</x:v>
      </x:c>
      <x:c r="G3584" s="11" t="n">
        <x:v>303.4</x:v>
      </x:c>
      <x:c r="H3584" s="23" t="n">
        <x:v>0.0000147756800105702</x:v>
      </x:c>
      <x:c r="I3584" s="23" t="n">
        <x:v>0.9931071999655409</x:v>
      </x:c>
      <x:c r="J3584" s="2" t="n">
        <x:v>51</x:v>
      </x:c>
      <x:c r="K3584" s="2"/>
      <x:c r="L3584" s="2"/>
    </x:row>
    <x:row r="3585" ht="22" customHeight="1">
      <x:c r="A3585" s="2"/>
      <x:c r="B3585" s="2" t="n">
        <x:v>3552</x:v>
      </x:c>
      <x:c r="C3585" s="2" t="str">
        <x:v>72753D</x:v>
      </x:c>
      <x:c r="D3585" s="2" t="str">
        <x:v>S/3 FLWR FAIRY SUMMER CANDLES</x:v>
      </x:c>
      <x:c r="E3585" s="11" t="n">
        <x:v>302.40000000000003</x:v>
      </x:c>
      <x:c r="F3585" s="11" t="n">
        <x:v>33.6</x:v>
      </x:c>
      <x:c r="G3585" s="11" t="n">
        <x:v>268.8</x:v>
      </x:c>
      <x:c r="H3585" s="23" t="n">
        <x:v>0.000014726979680937473</x:v>
      </x:c>
      <x:c r="I3585" s="23" t="n">
        <x:v>0.9931219269452218</x:v>
      </x:c>
      <x:c r="J3585" s="2" t="n">
        <x:v>9</x:v>
      </x:c>
      <x:c r="K3585" s="2"/>
      <x:c r="L3585" s="2"/>
    </x:row>
    <x:row r="3586" ht="22" customHeight="1">
      <x:c r="A3586" s="2"/>
      <x:c r="B3586" s="2" t="n">
        <x:v>3553</x:v>
      </x:c>
      <x:c r="C3586" s="2" t="str">
        <x:v>90036D</x:v>
      </x:c>
      <x:c r="D3586" s="2" t="str">
        <x:v>FLOWER GLASS GARLAND NECKL.36"BLACK</x:v>
      </x:c>
      <x:c r="E3586" s="11" t="n">
        <x:v>302.29</x:v>
      </x:c>
      <x:c r="F3586" s="11" t="n">
        <x:v>0</x:v>
      </x:c>
      <x:c r="G3586" s="11" t="n">
        <x:v>302.29</x:v>
      </x:c>
      <x:c r="H3586" s="23" t="n">
        <x:v>0.000014721622644677872</x:v>
      </x:c>
      <x:c r="I3586" s="23" t="n">
        <x:v>0.9931366485678665</x:v>
      </x:c>
      <x:c r="J3586" s="2" t="n">
        <x:v>16</x:v>
      </x:c>
      <x:c r="K3586" s="2"/>
      <x:c r="L3586" s="2"/>
    </x:row>
    <x:row r="3587" ht="22" customHeight="1">
      <x:c r="A3587" s="2"/>
      <x:c r="B3587" s="2" t="n">
        <x:v>3554</x:v>
      </x:c>
      <x:c r="C3587" s="2" t="str">
        <x:v>85147</x:v>
      </x:c>
      <x:c r="D3587" s="2" t="str">
        <x:v>JARDIN ETCHED GLASS CANDLEHLDR LONG</x:v>
      </x:c>
      <x:c r="E3587" s="11" t="n">
        <x:v>301.95</x:v>
      </x:c>
      <x:c r="F3587" s="11" t="n">
        <x:v>9.9</x:v>
      </x:c>
      <x:c r="G3587" s="11" t="n">
        <x:v>292.05</x:v>
      </x:c>
      <x:c r="H3587" s="23" t="n">
        <x:v>0.000014705064532602742</x:v>
      </x:c>
      <x:c r="I3587" s="23" t="n">
        <x:v>0.9931513536323991</x:v>
      </x:c>
      <x:c r="J3587" s="2" t="n">
        <x:v>16</x:v>
      </x:c>
      <x:c r="K3587" s="2"/>
      <x:c r="L3587" s="2"/>
    </x:row>
    <x:row r="3588" ht="22" customHeight="1">
      <x:c r="A3588" s="2"/>
      <x:c r="B3588" s="2" t="n">
        <x:v>3555</x:v>
      </x:c>
      <x:c r="C3588" s="2" t="str">
        <x:v>23430</x:v>
      </x:c>
      <x:c r="D3588" s="2" t="str">
        <x:v>BLUE RETRO KITCHEN WALL CLOCK</x:v>
      </x:c>
      <x:c r="E3588" s="11" t="n">
        <x:v>301.88</x:v>
      </x:c>
      <x:c r="F3588" s="11" t="n">
        <x:v>0</x:v>
      </x:c>
      <x:c r="G3588" s="11" t="n">
        <x:v>301.88</x:v>
      </x:c>
      <x:c r="H3588" s="23" t="n">
        <x:v>0.000014701655509528452</x:v>
      </x:c>
      <x:c r="I3588" s="23" t="n">
        <x:v>0.9931660552879087</x:v>
      </x:c>
      <x:c r="J3588" s="2" t="n">
        <x:v>18</x:v>
      </x:c>
      <x:c r="K3588" s="2"/>
      <x:c r="L3588" s="2"/>
    </x:row>
    <x:row r="3589" ht="22" customHeight="1">
      <x:c r="A3589" s="2"/>
      <x:c r="B3589" s="2" t="n">
        <x:v>3556</x:v>
      </x:c>
      <x:c r="C3589" s="2" t="str">
        <x:v>35645</x:v>
      </x:c>
      <x:c r="D3589" s="2" t="str">
        <x:v>VINTAGE BEAD PINK JEWEL BOX</x:v>
      </x:c>
      <x:c r="E3589" s="11" t="n">
        <x:v>301.81</x:v>
      </x:c>
      <x:c r="F3589" s="11" t="n">
        <x:v>0</x:v>
      </x:c>
      <x:c r="G3589" s="11" t="n">
        <x:v>301.81</x:v>
      </x:c>
      <x:c r="H3589" s="23" t="n">
        <x:v>0.000014698246486454161</x:v>
      </x:c>
      <x:c r="I3589" s="23" t="n">
        <x:v>0.9931807535343952</x:v>
      </x:c>
      <x:c r="J3589" s="2" t="n">
        <x:v>34</x:v>
      </x:c>
      <x:c r="K3589" s="2"/>
      <x:c r="L3589" s="2"/>
    </x:row>
    <x:row r="3590" ht="22" customHeight="1">
      <x:c r="A3590" s="2"/>
      <x:c r="B3590" s="2" t="n">
        <x:v>3557</x:v>
      </x:c>
      <x:c r="C3590" s="2" t="str">
        <x:v>21321</x:v>
      </x:c>
      <x:c r="D3590" s="2" t="str">
        <x:v>GLASS CHALICE BLUE  LARGE </x:v>
      </x:c>
      <x:c r="E3590" s="11" t="n">
        <x:v>301.8</x:v>
      </x:c>
      <x:c r="F3590" s="11" t="n">
        <x:v>34.2</x:v>
      </x:c>
      <x:c r="G3590" s="11" t="n">
        <x:v>267.59999999999997</x:v>
      </x:c>
      <x:c r="H3590" s="23" t="n">
        <x:v>0.000014697759483157835</x:v>
      </x:c>
      <x:c r="I3590" s="23" t="n">
        <x:v>0.9931954512938783</x:v>
      </x:c>
      <x:c r="J3590" s="2" t="n">
        <x:v>18</x:v>
      </x:c>
      <x:c r="K3590" s="2"/>
      <x:c r="L3590" s="2"/>
    </x:row>
    <x:row r="3591" ht="22" customHeight="1">
      <x:c r="A3591" s="2"/>
      <x:c r="B3591" s="2" t="n">
        <x:v>3558</x:v>
      </x:c>
      <x:c r="C3591" s="2" t="str">
        <x:v>90035C</x:v>
      </x:c>
      <x:c r="D3591" s="2" t="str">
        <x:v>PEARL &amp; SHELL 42"NECKL. IVORY</x:v>
      </x:c>
      <x:c r="E3591" s="11" t="n">
        <x:v>301</x:v>
      </x:c>
      <x:c r="F3591" s="11" t="n">
        <x:v>0</x:v>
      </x:c>
      <x:c r="G3591" s="11" t="n">
        <x:v>301</x:v>
      </x:c>
      <x:c r="H3591" s="23" t="n">
        <x:v>0.00001465879921945165</x:v>
      </x:c>
      <x:c r="I3591" s="23" t="n">
        <x:v>0.9932101100930978</x:v>
      </x:c>
      <x:c r="J3591" s="2" t="n">
        <x:v>5</x:v>
      </x:c>
      <x:c r="K3591" s="2"/>
      <x:c r="L3591" s="2"/>
    </x:row>
    <x:row r="3592" ht="22" customHeight="1">
      <x:c r="A3592" s="2"/>
      <x:c r="B3592" s="2" t="n">
        <x:v>3559</x:v>
      </x:c>
      <x:c r="C3592" s="2" t="str">
        <x:v>22954</x:v>
      </x:c>
      <x:c r="D3592" s="2" t="str">
        <x:v>HEN PARTY CORDON BARRIER TAPE</x:v>
      </x:c>
      <x:c r="E3592" s="11" t="n">
        <x:v>300.14</x:v>
      </x:c>
      <x:c r="F3592" s="11" t="n">
        <x:v>1.25</x:v>
      </x:c>
      <x:c r="G3592" s="11" t="n">
        <x:v>298.89</x:v>
      </x:c>
      <x:c r="H3592" s="23" t="n">
        <x:v>0.000014616916935967501</x:v>
      </x:c>
      <x:c r="I3592" s="23" t="n">
        <x:v>0.9932247270100337</x:v>
      </x:c>
      <x:c r="J3592" s="2" t="n">
        <x:v>50</x:v>
      </x:c>
      <x:c r="K3592" s="2"/>
      <x:c r="L3592" s="2"/>
    </x:row>
    <x:row r="3593" ht="22" customHeight="1">
      <x:c r="A3593" s="2"/>
      <x:c r="B3593" s="2" t="n">
        <x:v>3560</x:v>
      </x:c>
      <x:c r="C3593" s="2" t="str">
        <x:v>84800S</x:v>
      </x:c>
      <x:c r="D3593" s="2" t="str">
        <x:v>SMALL WHITE/PINK ROSE ART FLOWER</x:v>
      </x:c>
      <x:c r="E3593" s="11" t="n">
        <x:v>299.54</x:v>
      </x:c>
      <x:c r="F3593" s="11" t="n">
        <x:v>2.5</x:v>
      </x:c>
      <x:c r="G3593" s="11" t="n">
        <x:v>297.04</x:v>
      </x:c>
      <x:c r="H3593" s="23" t="n">
        <x:v>0.000014587696738187867</x:v>
      </x:c>
      <x:c r="I3593" s="23" t="n">
        <x:v>0.993239314706772</x:v>
      </x:c>
      <x:c r="J3593" s="2" t="n">
        <x:v>19</x:v>
      </x:c>
      <x:c r="K3593" s="2"/>
      <x:c r="L3593" s="2"/>
    </x:row>
    <x:row r="3594" ht="22" customHeight="1">
      <x:c r="A3594" s="2"/>
      <x:c r="B3594" s="2" t="n">
        <x:v>3561</x:v>
      </x:c>
      <x:c r="C3594" s="2" t="str">
        <x:v>23440</x:v>
      </x:c>
      <x:c r="D3594" s="2" t="str">
        <x:v>PAINT YOUR OWN EGGS IN CRATE</x:v>
      </x:c>
      <x:c r="E3594" s="11" t="n">
        <x:v>299.36</x:v>
      </x:c>
      <x:c r="F3594" s="11" t="n">
        <x:v>0</x:v>
      </x:c>
      <x:c r="G3594" s="11" t="n">
        <x:v>299.36</x:v>
      </x:c>
      <x:c r="H3594" s="23" t="n">
        <x:v>0.000014578930678853974</x:v>
      </x:c>
      <x:c r="I3594" s="23" t="n">
        <x:v>0.9932538936374508</x:v>
      </x:c>
      <x:c r="J3594" s="2" t="n">
        <x:v>5</x:v>
      </x:c>
      <x:c r="K3594" s="2"/>
      <x:c r="L3594" s="2"/>
    </x:row>
    <x:row r="3595" ht="22" customHeight="1">
      <x:c r="A3595" s="2"/>
      <x:c r="B3595" s="2" t="n">
        <x:v>3562</x:v>
      </x:c>
      <x:c r="C3595" s="2" t="str">
        <x:v>17001</x:v>
      </x:c>
      <x:c r="D3595" s="2" t="str">
        <x:v>HEAVENS SCENT FRAGRANCE OILS ASSTD</x:v>
      </x:c>
      <x:c r="E3595" s="11" t="n">
        <x:v>299.34999999999997</x:v>
      </x:c>
      <x:c r="F3595" s="11" t="n">
        <x:v>1.7399999999999998</x:v>
      </x:c>
      <x:c r="G3595" s="11" t="n">
        <x:v>297.61</x:v>
      </x:c>
      <x:c r="H3595" s="23" t="n">
        <x:v>0.000014578443675557644</x:v>
      </x:c>
      <x:c r="I3595" s="23" t="n">
        <x:v>0.9932684720811263</x:v>
      </x:c>
      <x:c r="J3595" s="2" t="n">
        <x:v>23</x:v>
      </x:c>
      <x:c r="K3595" s="2"/>
      <x:c r="L3595" s="2"/>
    </x:row>
    <x:row r="3596" ht="22" customHeight="1">
      <x:c r="A3596" s="2"/>
      <x:c r="B3596" s="2" t="n">
        <x:v>3563</x:v>
      </x:c>
      <x:c r="C3596" s="2" t="str">
        <x:v>90124A</x:v>
      </x:c>
      <x:c r="D3596" s="2" t="str">
        <x:v>PINK MURANO TWIST NECKLACE</x:v>
      </x:c>
      <x:c r="E3596" s="11" t="n">
        <x:v>299.28</x:v>
      </x:c>
      <x:c r="F3596" s="11" t="n">
        <x:v>0</x:v>
      </x:c>
      <x:c r="G3596" s="11" t="n">
        <x:v>299.28</x:v>
      </x:c>
      <x:c r="H3596" s="23" t="n">
        <x:v>0.000014575034652483354</x:v>
      </x:c>
      <x:c r="I3596" s="23" t="n">
        <x:v>0.9932830471157789</x:v>
      </x:c>
      <x:c r="J3596" s="2" t="n">
        <x:v>20</x:v>
      </x:c>
      <x:c r="K3596" s="2"/>
      <x:c r="L3596" s="2"/>
    </x:row>
    <x:row r="3597" ht="22" customHeight="1">
      <x:c r="A3597" s="2"/>
      <x:c r="B3597" s="2" t="n">
        <x:v>3564</x:v>
      </x:c>
      <x:c r="C3597" s="2" t="str">
        <x:v>35981C</x:v>
      </x:c>
      <x:c r="D3597" s="2" t="str">
        <x:v>WHITE SNOW SCANDINAVIAN STOCKING </x:v>
      </x:c>
      <x:c r="E3597" s="11" t="n">
        <x:v>298</x:v>
      </x:c>
      <x:c r="F3597" s="11" t="n">
        <x:v>0</x:v>
      </x:c>
      <x:c r="G3597" s="11" t="n">
        <x:v>298</x:v>
      </x:c>
      <x:c r="H3597" s="23" t="n">
        <x:v>0.000014512698230553461</x:v>
      </x:c>
      <x:c r="I3597" s="23" t="n">
        <x:v>0.9932975598140095</x:v>
      </x:c>
      <x:c r="J3597" s="2" t="n">
        <x:v>67</x:v>
      </x:c>
      <x:c r="K3597" s="2"/>
      <x:c r="L3597" s="2"/>
    </x:row>
    <x:row r="3598" ht="22" customHeight="1">
      <x:c r="A3598" s="2"/>
      <x:c r="B3598" s="2" t="n">
        <x:v>3565</x:v>
      </x:c>
      <x:c r="C3598" s="2" t="str">
        <x:v>47471</x:v>
      </x:c>
      <x:c r="D3598" s="2" t="str">
        <x:v>RAINBOW PEGS PHOTO CLIP STRING</x:v>
      </x:c>
      <x:c r="E3598" s="11" t="n">
        <x:v>297.67</x:v>
      </x:c>
      <x:c r="F3598" s="11" t="n">
        <x:v>0</x:v>
      </x:c>
      <x:c r="G3598" s="11" t="n">
        <x:v>297.67</x:v>
      </x:c>
      <x:c r="H3598" s="23" t="n">
        <x:v>0.00001449662712177466</x:v>
      </x:c>
      <x:c r="I3598" s="23" t="n">
        <x:v>0.9933120564411313</x:v>
      </x:c>
      <x:c r="J3598" s="2" t="n">
        <x:v>63</x:v>
      </x:c>
      <x:c r="K3598" s="2"/>
      <x:c r="L3598" s="2"/>
    </x:row>
    <x:row r="3599" ht="22" customHeight="1">
      <x:c r="A3599" s="2"/>
      <x:c r="B3599" s="2" t="n">
        <x:v>3566</x:v>
      </x:c>
      <x:c r="C3599" s="2" t="str">
        <x:v>84247N</x:v>
      </x:c>
      <x:c r="D3599" s="2" t="str">
        <x:v>PACK/12 BLUE FOLKART CARDS</x:v>
      </x:c>
      <x:c r="E3599" s="11" t="n">
        <x:v>297.48</x:v>
      </x:c>
      <x:c r="F3599" s="11" t="n">
        <x:v>97.35000000000001</x:v>
      </x:c>
      <x:c r="G3599" s="11" t="n">
        <x:v>200.13000000000002</x:v>
      </x:c>
      <x:c r="H3599" s="23" t="n">
        <x:v>0.000014487374059144443</x:v>
      </x:c>
      <x:c r="I3599" s="23" t="n">
        <x:v>0.9933265438151905</x:v>
      </x:c>
      <x:c r="J3599" s="2" t="n">
        <x:v>53</x:v>
      </x:c>
      <x:c r="K3599" s="2"/>
      <x:c r="L3599" s="2"/>
    </x:row>
    <x:row r="3600" ht="22" customHeight="1">
      <x:c r="A3600" s="2"/>
      <x:c r="B3600" s="2" t="n">
        <x:v>3567</x:v>
      </x:c>
      <x:c r="C3600" s="2" t="str">
        <x:v>84882</x:v>
      </x:c>
      <x:c r="D3600" s="2" t="str">
        <x:v>GREEN WIRE STANDING CANDLE HOLDER</x:v>
      </x:c>
      <x:c r="E3600" s="11" t="n">
        <x:v>296.93</x:v>
      </x:c>
      <x:c r="F3600" s="11" t="n">
        <x:v>0</x:v>
      </x:c>
      <x:c r="G3600" s="11" t="n">
        <x:v>296.93</x:v>
      </x:c>
      <x:c r="H3600" s="23" t="n">
        <x:v>0.000014460588877846441</x:v>
      </x:c>
      <x:c r="I3600" s="23" t="n">
        <x:v>0.9933410044040684</x:v>
      </x:c>
      <x:c r="J3600" s="2" t="n">
        <x:v>36</x:v>
      </x:c>
      <x:c r="K3600" s="2"/>
      <x:c r="L3600" s="2"/>
    </x:row>
    <x:row r="3601" ht="22" customHeight="1">
      <x:c r="A3601" s="2"/>
      <x:c r="B3601" s="2" t="n">
        <x:v>3568</x:v>
      </x:c>
      <x:c r="C3601" s="2" t="str">
        <x:v>84482</x:v>
      </x:c>
      <x:c r="D3601" s="2" t="str">
        <x:v>BUTTONS DESIGN JEWELLERY BOX</x:v>
      </x:c>
      <x:c r="E3601" s="11" t="n">
        <x:v>296.77</x:v>
      </x:c>
      <x:c r="F3601" s="11" t="n">
        <x:v>37.5</x:v>
      </x:c>
      <x:c r="G3601" s="11" t="n">
        <x:v>259.27</x:v>
      </x:c>
      <x:c r="H3601" s="23" t="n">
        <x:v>0.000014452796825105203</x:v>
      </x:c>
      <x:c r="I3601" s="23" t="n">
        <x:v>0.9933554572008935</x:v>
      </x:c>
      <x:c r="J3601" s="2" t="n">
        <x:v>32</x:v>
      </x:c>
      <x:c r="K3601" s="2"/>
      <x:c r="L3601" s="2"/>
    </x:row>
    <x:row r="3602" ht="22" customHeight="1">
      <x:c r="A3602" s="2"/>
      <x:c r="B3602" s="2" t="n">
        <x:v>3569</x:v>
      </x:c>
      <x:c r="C3602" s="2" t="str">
        <x:v>79190D</x:v>
      </x:c>
      <x:c r="D3602" s="2" t="str">
        <x:v>RETRO PLASTIC DAISY TRAY</x:v>
      </x:c>
      <x:c r="E3602" s="11" t="n">
        <x:v>296.58</x:v>
      </x:c>
      <x:c r="F3602" s="11" t="n">
        <x:v>2.1</x:v>
      </x:c>
      <x:c r="G3602" s="11" t="n">
        <x:v>294.48</x:v>
      </x:c>
      <x:c r="H3602" s="23" t="n">
        <x:v>0.000014443543762474984</x:v>
      </x:c>
      <x:c r="I3602" s="23" t="n">
        <x:v>0.9933699007446559</x:v>
      </x:c>
      <x:c r="J3602" s="2" t="n">
        <x:v>112</x:v>
      </x:c>
      <x:c r="K3602" s="2"/>
      <x:c r="L3602" s="2"/>
    </x:row>
    <x:row r="3603" ht="22" customHeight="1">
      <x:c r="A3603" s="2"/>
      <x:c r="B3603" s="2" t="n">
        <x:v>3570</x:v>
      </x:c>
      <x:c r="C3603" s="2" t="str">
        <x:v>20869</x:v>
      </x:c>
      <x:c r="D3603" s="2" t="str">
        <x:v>GOLD FABRIC MIRROR</x:v>
      </x:c>
      <x:c r="E3603" s="11" t="n">
        <x:v>296.37</x:v>
      </x:c>
      <x:c r="F3603" s="11" t="n">
        <x:v>0</x:v>
      </x:c>
      <x:c r="G3603" s="11" t="n">
        <x:v>296.37</x:v>
      </x:c>
      <x:c r="H3603" s="23" t="n">
        <x:v>0.000014433316693252112</x:v>
      </x:c>
      <x:c r="I3603" s="23" t="n">
        <x:v>0.9933843340613492</x:v>
      </x:c>
      <x:c r="J3603" s="2" t="n">
        <x:v>53</x:v>
      </x:c>
      <x:c r="K3603" s="2"/>
      <x:c r="L3603" s="2"/>
    </x:row>
    <x:row r="3604" ht="22" customHeight="1">
      <x:c r="A3604" s="2"/>
      <x:c r="B3604" s="2" t="n">
        <x:v>3571</x:v>
      </x:c>
      <x:c r="C3604" s="2" t="str">
        <x:v>35920</x:v>
      </x:c>
      <x:c r="D3604" s="2" t="str">
        <x:v>FOUR RABBIT EASTER DECORATIONS</x:v>
      </x:c>
      <x:c r="E3604" s="11" t="n">
        <x:v>296.34</x:v>
      </x:c>
      <x:c r="F3604" s="11" t="n">
        <x:v>0</x:v>
      </x:c>
      <x:c r="G3604" s="11" t="n">
        <x:v>296.34</x:v>
      </x:c>
      <x:c r="H3604" s="23" t="n">
        <x:v>0.000014431855683363129</x:v>
      </x:c>
      <x:c r="I3604" s="23" t="n">
        <x:v>0.9933987659170326</x:v>
      </x:c>
      <x:c r="J3604" s="2" t="n">
        <x:v>24</x:v>
      </x:c>
      <x:c r="K3604" s="2"/>
      <x:c r="L3604" s="2"/>
    </x:row>
    <x:row r="3605" ht="22" customHeight="1">
      <x:c r="A3605" s="2"/>
      <x:c r="B3605" s="2" t="n">
        <x:v>3572</x:v>
      </x:c>
      <x:c r="C3605" s="2" t="str">
        <x:v>16202A</x:v>
      </x:c>
      <x:c r="D3605" s="2" t="str">
        <x:v>PASTEL PINK PHOTO ALBUM </x:v>
      </x:c>
      <x:c r="E3605" s="11" t="n">
        <x:v>296</x:v>
      </x:c>
      <x:c r="F3605" s="11" t="n">
        <x:v>97.80000000000001</x:v>
      </x:c>
      <x:c r="G3605" s="11" t="n">
        <x:v>198.20000000000002</x:v>
      </x:c>
      <x:c r="H3605" s="23" t="n">
        <x:v>0.000014415297571288001</x:v>
      </x:c>
      <x:c r="I3605" s="23" t="n">
        <x:v>0.9934131812146039</x:v>
      </x:c>
      <x:c r="J3605" s="2" t="n">
        <x:v>21</x:v>
      </x:c>
      <x:c r="K3605" s="2"/>
      <x:c r="L3605" s="2"/>
    </x:row>
    <x:row r="3606" ht="22" customHeight="1">
      <x:c r="A3606" s="2"/>
      <x:c r="B3606" s="2" t="n">
        <x:v>3573</x:v>
      </x:c>
      <x:c r="C3606" s="2" t="str">
        <x:v>DCGSSGIRL</x:v>
      </x:c>
      <x:c r="D3606" s="2" t="str">
        <x:v>GIRLS PARTY BAG</x:v>
      </x:c>
      <x:c r="E3606" s="11" t="n">
        <x:v>295.63</x:v>
      </x:c>
      <x:c r="F3606" s="11" t="n">
        <x:v>0</x:v>
      </x:c>
      <x:c r="G3606" s="11" t="n">
        <x:v>295.63</x:v>
      </x:c>
      <x:c r="H3606" s="23" t="n">
        <x:v>0.000014397278449323892</x:v>
      </x:c>
      <x:c r="I3606" s="23" t="n">
        <x:v>0.9934275784930532</x:v>
      </x:c>
      <x:c r="J3606" s="2" t="n">
        <x:v>23</x:v>
      </x:c>
      <x:c r="K3606" s="2"/>
      <x:c r="L3606" s="2"/>
    </x:row>
    <x:row r="3607" ht="22" customHeight="1">
      <x:c r="A3607" s="2"/>
      <x:c r="B3607" s="2" t="n">
        <x:v>3574</x:v>
      </x:c>
      <x:c r="C3607" s="2" t="str">
        <x:v>90129A</x:v>
      </x:c>
      <x:c r="D3607" s="2" t="str">
        <x:v>PINK GLASS TASSLE BAG CHARM </x:v>
      </x:c>
      <x:c r="E3607" s="11" t="n">
        <x:v>295.38</x:v>
      </x:c>
      <x:c r="F3607" s="11" t="n">
        <x:v>0</x:v>
      </x:c>
      <x:c r="G3607" s="11" t="n">
        <x:v>295.38</x:v>
      </x:c>
      <x:c r="H3607" s="23" t="n">
        <x:v>0.00001438510336691571</x:v>
      </x:c>
      <x:c r="I3607" s="23" t="n">
        <x:v>0.9934419635964201</x:v>
      </x:c>
      <x:c r="J3607" s="2" t="n">
        <x:v>73</x:v>
      </x:c>
      <x:c r="K3607" s="2"/>
      <x:c r="L3607" s="2"/>
    </x:row>
    <x:row r="3608" ht="22" customHeight="1">
      <x:c r="A3608" s="2"/>
      <x:c r="B3608" s="2" t="n">
        <x:v>3575</x:v>
      </x:c>
      <x:c r="C3608" s="2" t="str">
        <x:v>21697</x:v>
      </x:c>
      <x:c r="D3608" s="2" t="str">
        <x:v>SET 5 MINI DOUGHNUT FRIDGE MAGNET </x:v>
      </x:c>
      <x:c r="E3608" s="11" t="n">
        <x:v>295.08000000000004</x:v>
      </x:c>
      <x:c r="F3608" s="11" t="n">
        <x:v>0</x:v>
      </x:c>
      <x:c r="G3608" s="11" t="n">
        <x:v>295.08000000000004</x:v>
      </x:c>
      <x:c r="H3608" s="23" t="n">
        <x:v>0.000014370493268025892</x:v>
      </x:c>
      <x:c r="I3608" s="23" t="n">
        <x:v>0.9934563340896881</x:v>
      </x:c>
      <x:c r="J3608" s="2" t="n">
        <x:v>7</x:v>
      </x:c>
      <x:c r="K3608" s="2"/>
      <x:c r="L3608" s="2"/>
    </x:row>
    <x:row r="3609" ht="22" customHeight="1">
      <x:c r="A3609" s="2"/>
      <x:c r="B3609" s="2" t="n">
        <x:v>3576</x:v>
      </x:c>
      <x:c r="C3609" s="2" t="str">
        <x:v>21388</x:v>
      </x:c>
      <x:c r="D3609" s="2" t="str">
        <x:v>IVORY HANGING DECORATION  CHICKEN</x:v>
      </x:c>
      <x:c r="E3609" s="11" t="n">
        <x:v>293.57</x:v>
      </x:c>
      <x:c r="F3609" s="11" t="n">
        <x:v>0</x:v>
      </x:c>
      <x:c r="G3609" s="11" t="n">
        <x:v>293.57</x:v>
      </x:c>
      <x:c r="H3609" s="23" t="n">
        <x:v>0.000014296955770280469</x:v>
      </x:c>
      <x:c r="I3609" s="23" t="n">
        <x:v>0.9934706310454584</x:v>
      </x:c>
      <x:c r="J3609" s="2" t="n">
        <x:v>29</x:v>
      </x:c>
      <x:c r="K3609" s="2"/>
      <x:c r="L3609" s="2"/>
    </x:row>
    <x:row r="3610" ht="22" customHeight="1">
      <x:c r="A3610" s="2"/>
      <x:c r="B3610" s="2" t="n">
        <x:v>3577</x:v>
      </x:c>
      <x:c r="C3610" s="2" t="str">
        <x:v>90185D</x:v>
      </x:c>
      <x:c r="D3610" s="2" t="str">
        <x:v>CRYSTAL DIAMANTE EXPANDABLE RING</x:v>
      </x:c>
      <x:c r="E3610" s="11" t="n">
        <x:v>293.33</x:v>
      </x:c>
      <x:c r="F3610" s="11" t="n">
        <x:v>12.75</x:v>
      </x:c>
      <x:c r="G3610" s="11" t="n">
        <x:v>280.58</x:v>
      </x:c>
      <x:c r="H3610" s="23" t="n">
        <x:v>0.000014285267691168612</x:v>
      </x:c>
      <x:c r="I3610" s="23" t="n">
        <x:v>0.9934849163131496</x:v>
      </x:c>
      <x:c r="J3610" s="2" t="n">
        <x:v>35</x:v>
      </x:c>
      <x:c r="K3610" s="2"/>
      <x:c r="L3610" s="2"/>
    </x:row>
    <x:row r="3611" ht="22" customHeight="1">
      <x:c r="A3611" s="2"/>
      <x:c r="B3611" s="2" t="n">
        <x:v>3578</x:v>
      </x:c>
      <x:c r="C3611" s="2" t="str">
        <x:v>84926A</x:v>
      </x:c>
      <x:c r="D3611" s="2" t="str">
        <x:v>WAKE UP COCKEREL TILE COASTER</x:v>
      </x:c>
      <x:c r="E3611" s="11" t="n">
        <x:v>293.08</x:v>
      </x:c>
      <x:c r="F3611" s="11" t="n">
        <x:v>0</x:v>
      </x:c>
      <x:c r="G3611" s="11" t="n">
        <x:v>293.08</x:v>
      </x:c>
      <x:c r="H3611" s="23" t="n">
        <x:v>0.00001427309260876043</x:v>
      </x:c>
      <x:c r="I3611" s="23" t="n">
        <x:v>0.9934991894057583</x:v>
      </x:c>
      <x:c r="J3611" s="2" t="n">
        <x:v>51</x:v>
      </x:c>
      <x:c r="K3611" s="2"/>
      <x:c r="L3611" s="2"/>
    </x:row>
    <x:row r="3612" ht="22" customHeight="1">
      <x:c r="A3612" s="2"/>
      <x:c r="B3612" s="2" t="n">
        <x:v>3579</x:v>
      </x:c>
      <x:c r="C3612" s="2" t="str">
        <x:v>16212</x:v>
      </x:c>
      <x:c r="D3612" s="2" t="str">
        <x:v>FUNKY GIRLZ ASST MAGNETIC MEMO PAD</x:v>
      </x:c>
      <x:c r="E3612" s="11" t="n">
        <x:v>292.86</x:v>
      </x:c>
      <x:c r="F3612" s="11" t="n">
        <x:v>0</x:v>
      </x:c>
      <x:c r="G3612" s="11" t="n">
        <x:v>292.86</x:v>
      </x:c>
      <x:c r="H3612" s="23" t="n">
        <x:v>0.000014262378536241232</x:v>
      </x:c>
      <x:c r="I3612" s="23" t="n">
        <x:v>0.9935134517842945</x:v>
      </x:c>
      <x:c r="J3612" s="2" t="n">
        <x:v>37</x:v>
      </x:c>
      <x:c r="K3612" s="2"/>
      <x:c r="L3612" s="2"/>
    </x:row>
    <x:row r="3613" ht="22" customHeight="1">
      <x:c r="A3613" s="2"/>
      <x:c r="B3613" s="2" t="n">
        <x:v>3580</x:v>
      </x:c>
      <x:c r="C3613" s="2" t="str">
        <x:v>72801F</x:v>
      </x:c>
      <x:c r="D3613" s="2" t="str">
        <x:v>S/4 FESTIVE RED DINNER CANDLES</x:v>
      </x:c>
      <x:c r="E3613" s="11" t="n">
        <x:v>292.5</x:v>
      </x:c>
      <x:c r="F3613" s="11" t="n">
        <x:v>0</x:v>
      </x:c>
      <x:c r="G3613" s="11" t="n">
        <x:v>292.5</x:v>
      </x:c>
      <x:c r="H3613" s="23" t="n">
        <x:v>0.000014244846417573447</x:v>
      </x:c>
      <x:c r="I3613" s="23" t="n">
        <x:v>0.993527696630712</x:v>
      </x:c>
      <x:c r="J3613" s="2" t="n">
        <x:v>25</x:v>
      </x:c>
      <x:c r="K3613" s="2"/>
      <x:c r="L3613" s="2"/>
    </x:row>
    <x:row r="3614" ht="22" customHeight="1">
      <x:c r="A3614" s="2"/>
      <x:c r="B3614" s="2" t="n">
        <x:v>3581</x:v>
      </x:c>
      <x:c r="C3614" s="2" t="str">
        <x:v>90030B</x:v>
      </x:c>
      <x:c r="D3614" s="2" t="str">
        <x:v>RED KUKUI COCONUT SEED NECKLACE</x:v>
      </x:c>
      <x:c r="E3614" s="11" t="n">
        <x:v>292.08000000000004</x:v>
      </x:c>
      <x:c r="F3614" s="11" t="n">
        <x:v>0</x:v>
      </x:c>
      <x:c r="G3614" s="11" t="n">
        <x:v>292.08000000000004</x:v>
      </x:c>
      <x:c r="H3614" s="23" t="n">
        <x:v>0.000014224392279127702</x:v>
      </x:c>
      <x:c r="I3614" s="23" t="n">
        <x:v>0.9935419210229912</x:v>
      </x:c>
      <x:c r="J3614" s="2" t="n">
        <x:v>36</x:v>
      </x:c>
      <x:c r="K3614" s="2"/>
      <x:c r="L3614" s="2"/>
    </x:row>
    <x:row r="3615" ht="22" customHeight="1">
      <x:c r="A3615" s="2"/>
      <x:c r="B3615" s="2" t="n">
        <x:v>3582</x:v>
      </x:c>
      <x:c r="C3615" s="2" t="str">
        <x:v>37422</x:v>
      </x:c>
      <x:c r="D3615" s="2" t="str">
        <x:v>WHITE WITH BLACK CATS BOWL</x:v>
      </x:c>
      <x:c r="E3615" s="11" t="n">
        <x:v>292.08</x:v>
      </x:c>
      <x:c r="F3615" s="11" t="n">
        <x:v>0</x:v>
      </x:c>
      <x:c r="G3615" s="11" t="n">
        <x:v>292.08</x:v>
      </x:c>
      <x:c r="H3615" s="23" t="n">
        <x:v>0.0000142243922791277</x:v>
      </x:c>
      <x:c r="I3615" s="23" t="n">
        <x:v>0.9935561454152704</x:v>
      </x:c>
      <x:c r="J3615" s="2" t="n">
        <x:v>73</x:v>
      </x:c>
      <x:c r="K3615" s="2"/>
      <x:c r="L3615" s="2"/>
    </x:row>
    <x:row r="3616" ht="22" customHeight="1">
      <x:c r="A3616" s="2"/>
      <x:c r="B3616" s="2" t="n">
        <x:v>3583</x:v>
      </x:c>
      <x:c r="C3616" s="2" t="str">
        <x:v>23567</x:v>
      </x:c>
      <x:c r="D3616" s="2" t="str">
        <x:v>EGG CUP HENRIETTA HEN PINK</x:v>
      </x:c>
      <x:c r="E3616" s="11" t="n">
        <x:v>291.58</x:v>
      </x:c>
      <x:c r="F3616" s="11" t="n">
        <x:v>1.25</x:v>
      </x:c>
      <x:c r="G3616" s="11" t="n">
        <x:v>290.33</x:v>
      </x:c>
      <x:c r="H3616" s="23" t="n">
        <x:v>0.000014200042114311336</x:v>
      </x:c>
      <x:c r="I3616" s="23" t="n">
        <x:v>0.9935703454573847</x:v>
      </x:c>
      <x:c r="J3616" s="2" t="n">
        <x:v>37</x:v>
      </x:c>
      <x:c r="K3616" s="2"/>
      <x:c r="L3616" s="2"/>
    </x:row>
    <x:row r="3617" ht="22" customHeight="1">
      <x:c r="A3617" s="2"/>
      <x:c r="B3617" s="2" t="n">
        <x:v>3584</x:v>
      </x:c>
      <x:c r="C3617" s="2" t="str">
        <x:v>84529A</x:v>
      </x:c>
      <x:c r="D3617" s="2" t="str">
        <x:v>PINK KNITTED KIDS RUCKSACK</x:v>
      </x:c>
      <x:c r="E3617" s="11" t="n">
        <x:v>290.78</x:v>
      </x:c>
      <x:c r="F3617" s="11" t="n">
        <x:v>0</x:v>
      </x:c>
      <x:c r="G3617" s="11" t="n">
        <x:v>290.78</x:v>
      </x:c>
      <x:c r="H3617" s="23" t="n">
        <x:v>0.000014161081850605152</x:v>
      </x:c>
      <x:c r="I3617" s="23" t="n">
        <x:v>0.9935845065392352</x:v>
      </x:c>
      <x:c r="J3617" s="2" t="n">
        <x:v>19</x:v>
      </x:c>
      <x:c r="K3617" s="2"/>
      <x:c r="L3617" s="2"/>
    </x:row>
    <x:row r="3618" ht="22" customHeight="1">
      <x:c r="A3618" s="2"/>
      <x:c r="B3618" s="2" t="n">
        <x:v>3585</x:v>
      </x:c>
      <x:c r="C3618" s="2" t="str">
        <x:v>20826</x:v>
      </x:c>
      <x:c r="D3618" s="2" t="str">
        <x:v>SILVER APERITIF GLASS</x:v>
      </x:c>
      <x:c r="E3618" s="11" t="n">
        <x:v>290.72</x:v>
      </x:c>
      <x:c r="F3618" s="11" t="n">
        <x:v>0</x:v>
      </x:c>
      <x:c r="G3618" s="11" t="n">
        <x:v>290.72</x:v>
      </x:c>
      <x:c r="H3618" s="23" t="n">
        <x:v>0.00001415815983082719</x:v>
      </x:c>
      <x:c r="I3618" s="23" t="n">
        <x:v>0.9935986646990661</x:v>
      </x:c>
      <x:c r="J3618" s="2" t="n">
        <x:v>14</x:v>
      </x:c>
      <x:c r="K3618" s="2"/>
      <x:c r="L3618" s="2"/>
    </x:row>
    <x:row r="3619" ht="22" customHeight="1">
      <x:c r="A3619" s="2"/>
      <x:c r="B3619" s="2" t="n">
        <x:v>3586</x:v>
      </x:c>
      <x:c r="C3619" s="2" t="str">
        <x:v>23410</x:v>
      </x:c>
      <x:c r="D3619" s="2" t="str">
        <x:v>CURIO CABINET LINEN AND LACE </x:v>
      </x:c>
      <x:c r="E3619" s="11" t="n">
        <x:v>290.1</x:v>
      </x:c>
      <x:c r="F3619" s="11" t="n">
        <x:v>8.15</x:v>
      </x:c>
      <x:c r="G3619" s="11" t="n">
        <x:v>281.95</x:v>
      </x:c>
      <x:c r="H3619" s="23" t="n">
        <x:v>0.000014127965626454897</x:v>
      </x:c>
      <x:c r="I3619" s="23" t="n">
        <x:v>0.9936127926646926</x:v>
      </x:c>
      <x:c r="J3619" s="2" t="n">
        <x:v>18</x:v>
      </x:c>
      <x:c r="K3619" s="2"/>
      <x:c r="L3619" s="2"/>
    </x:row>
    <x:row r="3620" ht="22" customHeight="1">
      <x:c r="A3620" s="2"/>
      <x:c r="B3620" s="2" t="n">
        <x:v>3587</x:v>
      </x:c>
      <x:c r="C3620" s="2" t="str">
        <x:v>22871</x:v>
      </x:c>
      <x:c r="D3620" s="2" t="str">
        <x:v>NUMBER TILE COTTAGE GARDEN 3 </x:v>
      </x:c>
      <x:c r="E3620" s="11" t="n">
        <x:v>289.39</x:v>
      </x:c>
      <x:c r="F3620" s="11" t="n">
        <x:v>0</x:v>
      </x:c>
      <x:c r="G3620" s="11" t="n">
        <x:v>289.39</x:v>
      </x:c>
      <x:c r="H3620" s="23" t="n">
        <x:v>0.000014093388392415657</x:v>
      </x:c>
      <x:c r="I3620" s="23" t="n">
        <x:v>0.993626886053085</x:v>
      </x:c>
      <x:c r="J3620" s="2" t="n">
        <x:v>30</x:v>
      </x:c>
      <x:c r="K3620" s="2"/>
      <x:c r="L3620" s="2"/>
    </x:row>
    <x:row r="3621" ht="22" customHeight="1">
      <x:c r="A3621" s="2"/>
      <x:c r="B3621" s="2" t="n">
        <x:v>3588</x:v>
      </x:c>
      <x:c r="C3621" s="2" t="str">
        <x:v>72812</x:v>
      </x:c>
      <x:c r="D3621" s="2" t="str">
        <x:v>LARGE ZINC GLASS CANDLEHOLDER</x:v>
      </x:c>
      <x:c r="E3621" s="11" t="n">
        <x:v>288.46000000000004</x:v>
      </x:c>
      <x:c r="F3621" s="11" t="n">
        <x:v>0</x:v>
      </x:c>
      <x:c r="G3621" s="11" t="n">
        <x:v>288.46000000000004</x:v>
      </x:c>
      <x:c r="H3621" s="23" t="n">
        <x:v>0.000014048097085857222</x:v>
      </x:c>
      <x:c r="I3621" s="23" t="n">
        <x:v>0.9936409341501709</x:v>
      </x:c>
      <x:c r="J3621" s="2" t="n">
        <x:v>31</x:v>
      </x:c>
      <x:c r="K3621" s="2"/>
      <x:c r="L3621" s="2"/>
    </x:row>
    <x:row r="3622" ht="22" customHeight="1">
      <x:c r="A3622" s="2"/>
      <x:c r="B3622" s="2" t="n">
        <x:v>3589</x:v>
      </x:c>
      <x:c r="C3622" s="2" t="str">
        <x:v>20987</x:v>
      </x:c>
      <x:c r="D3622" s="2" t="str">
        <x:v>GEISHA GIRL CHOPSTICKS SET/5</x:v>
      </x:c>
      <x:c r="E3622" s="11" t="n">
        <x:v>288.35</x:v>
      </x:c>
      <x:c r="F3622" s="11" t="n">
        <x:v>0</x:v>
      </x:c>
      <x:c r="G3622" s="11" t="n">
        <x:v>288.35</x:v>
      </x:c>
      <x:c r="H3622" s="23" t="n">
        <x:v>0.000014042740049597621</x:v>
      </x:c>
      <x:c r="I3622" s="23" t="n">
        <x:v>0.9936549768902204</x:v>
      </x:c>
      <x:c r="J3622" s="2" t="n">
        <x:v>22</x:v>
      </x:c>
      <x:c r="K3622" s="2"/>
      <x:c r="L3622" s="2"/>
    </x:row>
    <x:row r="3623" ht="22" customHeight="1">
      <x:c r="A3623" s="2"/>
      <x:c r="B3623" s="2" t="n">
        <x:v>3590</x:v>
      </x:c>
      <x:c r="C3623" s="2" t="str">
        <x:v>47578A</x:v>
      </x:c>
      <x:c r="D3623" s="2" t="str">
        <x:v>ENGLISH ROSE SMALL SCENTED FLOWER</x:v>
      </x:c>
      <x:c r="E3623" s="11" t="n">
        <x:v>287.53</x:v>
      </x:c>
      <x:c r="F3623" s="11" t="n">
        <x:v>0</x:v>
      </x:c>
      <x:c r="G3623" s="11" t="n">
        <x:v>287.53</x:v>
      </x:c>
      <x:c r="H3623" s="23" t="n">
        <x:v>0.00001400280577929878</x:v>
      </x:c>
      <x:c r="I3623" s="23" t="n">
        <x:v>0.9936689796959998</x:v>
      </x:c>
      <x:c r="J3623" s="2" t="n">
        <x:v>69</x:v>
      </x:c>
      <x:c r="K3623" s="2"/>
      <x:c r="L3623" s="2"/>
    </x:row>
    <x:row r="3624" ht="22" customHeight="1">
      <x:c r="A3624" s="2"/>
      <x:c r="B3624" s="2" t="n">
        <x:v>3591</x:v>
      </x:c>
      <x:c r="C3624" s="2" t="str">
        <x:v>21144</x:v>
      </x:c>
      <x:c r="D3624" s="2" t="str">
        <x:v>PINK POODLE HANGING DECORATION </x:v>
      </x:c>
      <x:c r="E3624" s="11" t="n">
        <x:v>287.47</x:v>
      </x:c>
      <x:c r="F3624" s="11" t="n">
        <x:v>4.5600000000000005</x:v>
      </x:c>
      <x:c r="G3624" s="11" t="n">
        <x:v>282.91</x:v>
      </x:c>
      <x:c r="H3624" s="23" t="n">
        <x:v>0.000013999883759520818</x:v>
      </x:c>
      <x:c r="I3624" s="23" t="n">
        <x:v>0.9936829795797593</x:v>
      </x:c>
      <x:c r="J3624" s="2" t="n">
        <x:v>60</x:v>
      </x:c>
      <x:c r="K3624" s="2"/>
      <x:c r="L3624" s="2"/>
    </x:row>
    <x:row r="3625" ht="22" customHeight="1">
      <x:c r="A3625" s="2"/>
      <x:c r="B3625" s="2" t="n">
        <x:v>3592</x:v>
      </x:c>
      <x:c r="C3625" s="2" t="str">
        <x:v>20821</x:v>
      </x:c>
      <x:c r="D3625" s="2" t="str">
        <x:v>GOLDIE LOOKING MIRROR</x:v>
      </x:c>
      <x:c r="E3625" s="11" t="n">
        <x:v>286.42</x:v>
      </x:c>
      <x:c r="F3625" s="11" t="n">
        <x:v>69.30000000000001</x:v>
      </x:c>
      <x:c r="G3625" s="11" t="n">
        <x:v>217.12</x:v>
      </x:c>
      <x:c r="H3625" s="23" t="n">
        <x:v>0.000013948748413406451</x:v>
      </x:c>
      <x:c r="I3625" s="23" t="n">
        <x:v>0.9936969283281727</x:v>
      </x:c>
      <x:c r="J3625" s="2" t="n">
        <x:v>25</x:v>
      </x:c>
      <x:c r="K3625" s="2"/>
      <x:c r="L3625" s="2"/>
    </x:row>
    <x:row r="3626" ht="22" customHeight="1">
      <x:c r="A3626" s="2"/>
      <x:c r="B3626" s="2" t="n">
        <x:v>3593</x:v>
      </x:c>
      <x:c r="C3626" s="2" t="str">
        <x:v>90014C</x:v>
      </x:c>
      <x:c r="D3626" s="2" t="str">
        <x:v>SILVER AND BLACK ORBIT NECKLACE</x:v>
      </x:c>
      <x:c r="E3626" s="11" t="n">
        <x:v>284.67999999999995</x:v>
      </x:c>
      <x:c r="F3626" s="11" t="n">
        <x:v>0</x:v>
      </x:c>
      <x:c r="G3626" s="11" t="n">
        <x:v>284.67999999999995</x:v>
      </x:c>
      <x:c r="H3626" s="23" t="n">
        <x:v>0.0000138640098398455</x:v>
      </x:c>
      <x:c r="I3626" s="23" t="n">
        <x:v>0.9937107923380125</x:v>
      </x:c>
      <x:c r="J3626" s="2" t="n">
        <x:v>20</x:v>
      </x:c>
      <x:c r="K3626" s="2"/>
      <x:c r="L3626" s="2"/>
    </x:row>
    <x:row r="3627" ht="22" customHeight="1">
      <x:c r="A3627" s="2"/>
      <x:c r="B3627" s="2" t="n">
        <x:v>3594</x:v>
      </x:c>
      <x:c r="C3627" s="2" t="str">
        <x:v>37413</x:v>
      </x:c>
      <x:c r="D3627" s="2" t="str">
        <x:v>ICON MUG REVOLUTIONARY</x:v>
      </x:c>
      <x:c r="E3627" s="11" t="n">
        <x:v>284.49</x:v>
      </x:c>
      <x:c r="F3627" s="11" t="n">
        <x:v>0</x:v>
      </x:c>
      <x:c r="G3627" s="11" t="n">
        <x:v>284.49</x:v>
      </x:c>
      <x:c r="H3627" s="23" t="n">
        <x:v>0.000013854756777215282</x:v>
      </x:c>
      <x:c r="I3627" s="23" t="n">
        <x:v>0.9937246470947897</x:v>
      </x:c>
      <x:c r="J3627" s="2" t="n">
        <x:v>81</x:v>
      </x:c>
      <x:c r="K3627" s="2"/>
      <x:c r="L3627" s="2"/>
    </x:row>
    <x:row r="3628" ht="22" customHeight="1">
      <x:c r="A3628" s="2"/>
      <x:c r="B3628" s="2" t="n">
        <x:v>3595</x:v>
      </x:c>
      <x:c r="C3628" s="2" t="str">
        <x:v>90185B</x:v>
      </x:c>
      <x:c r="D3628" s="2" t="str">
        <x:v>AMETHYST DIAMANTE EXPANDABLE RING</x:v>
      </x:c>
      <x:c r="E3628" s="11" t="n">
        <x:v>284.43</x:v>
      </x:c>
      <x:c r="F3628" s="11" t="n">
        <x:v>80.75</x:v>
      </x:c>
      <x:c r="G3628" s="11" t="n">
        <x:v>203.68</x:v>
      </x:c>
      <x:c r="H3628" s="23" t="n">
        <x:v>0.000013851834757437319</x:v>
      </x:c>
      <x:c r="I3628" s="23" t="n">
        <x:v>0.9937384989295471</x:v>
      </x:c>
      <x:c r="J3628" s="2" t="n">
        <x:v>34</x:v>
      </x:c>
      <x:c r="K3628" s="2"/>
      <x:c r="L3628" s="2"/>
    </x:row>
    <x:row r="3629" ht="22" customHeight="1">
      <x:c r="A3629" s="2"/>
      <x:c r="B3629" s="2" t="n">
        <x:v>3596</x:v>
      </x:c>
      <x:c r="C3629" s="2" t="str">
        <x:v>82093</x:v>
      </x:c>
      <x:c r="D3629" s="2" t="str">
        <x:v>HEART SHAPE BUTTON FRAME </x:v>
      </x:c>
      <x:c r="E3629" s="11" t="n">
        <x:v>283.49</x:v>
      </x:c>
      <x:c r="F3629" s="11" t="n">
        <x:v>0</x:v>
      </x:c>
      <x:c r="G3629" s="11" t="n">
        <x:v>283.49</x:v>
      </x:c>
      <x:c r="H3629" s="23" t="n">
        <x:v>0.000013806056447582553</x:v>
      </x:c>
      <x:c r="I3629" s="23" t="n">
        <x:v>0.9937523049859948</x:v>
      </x:c>
      <x:c r="J3629" s="2" t="n">
        <x:v>28</x:v>
      </x:c>
      <x:c r="K3629" s="2"/>
      <x:c r="L3629" s="2"/>
    </x:row>
    <x:row r="3630" ht="22" customHeight="1">
      <x:c r="A3630" s="2"/>
      <x:c r="B3630" s="2" t="n">
        <x:v>3597</x:v>
      </x:c>
      <x:c r="C3630" s="2" t="str">
        <x:v>84977</x:v>
      </x:c>
      <x:c r="D3630" s="2" t="str">
        <x:v>WIRE FLOWER T-LIGHT HOLDER</x:v>
      </x:c>
      <x:c r="E3630" s="11" t="n">
        <x:v>282.58</x:v>
      </x:c>
      <x:c r="F3630" s="11" t="n">
        <x:v>0</x:v>
      </x:c>
      <x:c r="G3630" s="11" t="n">
        <x:v>282.58</x:v>
      </x:c>
      <x:c r="H3630" s="23" t="n">
        <x:v>0.000013761739147616768</x:v>
      </x:c>
      <x:c r="I3630" s="23" t="n">
        <x:v>0.9937660667251423</x:v>
      </x:c>
      <x:c r="J3630" s="2" t="n">
        <x:v>44</x:v>
      </x:c>
      <x:c r="K3630" s="2"/>
      <x:c r="L3630" s="2"/>
    </x:row>
    <x:row r="3631" ht="22" customHeight="1">
      <x:c r="A3631" s="2"/>
      <x:c r="B3631" s="2" t="n">
        <x:v>3598</x:v>
      </x:c>
      <x:c r="C3631" s="2" t="str">
        <x:v>84508C</x:v>
      </x:c>
      <x:c r="D3631" s="2" t="str">
        <x:v>check</x:v>
      </x:c>
      <x:c r="E3631" s="11" t="n">
        <x:v>282.37</x:v>
      </x:c>
      <x:c r="F3631" s="11" t="n">
        <x:v>2.55</x:v>
      </x:c>
      <x:c r="G3631" s="11" t="n">
        <x:v>279.82</x:v>
      </x:c>
      <x:c r="H3631" s="23" t="n">
        <x:v>0.000013751512078393895</x:v>
      </x:c>
      <x:c r="I3631" s="23" t="n">
        <x:v>0.9937798182372207</x:v>
      </x:c>
      <x:c r="J3631" s="2" t="n">
        <x:v>43</x:v>
      </x:c>
      <x:c r="K3631" s="2"/>
      <x:c r="L3631" s="2"/>
    </x:row>
    <x:row r="3632" ht="22" customHeight="1">
      <x:c r="A3632" s="2"/>
      <x:c r="B3632" s="2" t="n">
        <x:v>3599</x:v>
      </x:c>
      <x:c r="C3632" s="2" t="str">
        <x:v>20980</x:v>
      </x:c>
      <x:c r="D3632" s="2" t="str">
        <x:v>36 PENCILS TUBE POSY</x:v>
      </x:c>
      <x:c r="E3632" s="11" t="n">
        <x:v>282.31</x:v>
      </x:c>
      <x:c r="F3632" s="11" t="n">
        <x:v>11.25</x:v>
      </x:c>
      <x:c r="G3632" s="11" t="n">
        <x:v>271.06</x:v>
      </x:c>
      <x:c r="H3632" s="23" t="n">
        <x:v>0.000013748590058615932</x:v>
      </x:c>
      <x:c r="I3632" s="23" t="n">
        <x:v>0.9937935668272794</x:v>
      </x:c>
      <x:c r="J3632" s="2" t="n">
        <x:v>58</x:v>
      </x:c>
      <x:c r="K3632" s="2"/>
      <x:c r="L3632" s="2"/>
    </x:row>
    <x:row r="3633" ht="22" customHeight="1">
      <x:c r="A3633" s="2"/>
      <x:c r="B3633" s="2" t="n">
        <x:v>3600</x:v>
      </x:c>
      <x:c r="C3633" s="2" t="str">
        <x:v>85049g</x:v>
      </x:c>
      <x:c r="D3633" s="2" t="str">
        <x:v>CHOCOLATE BOX RIBBONS </x:v>
      </x:c>
      <x:c r="E3633" s="11" t="n">
        <x:v>281.44</x:v>
      </x:c>
      <x:c r="F3633" s="11" t="n">
        <x:v>0</x:v>
      </x:c>
      <x:c r="G3633" s="11" t="n">
        <x:v>281.44</x:v>
      </x:c>
      <x:c r="H3633" s="23" t="n">
        <x:v>0.000013706220771835457</x:v>
      </x:c>
      <x:c r="I3633" s="23" t="n">
        <x:v>0.9938072730480512</x:v>
      </x:c>
      <x:c r="J3633" s="2" t="n">
        <x:v>52</x:v>
      </x:c>
      <x:c r="K3633" s="2"/>
      <x:c r="L3633" s="2"/>
    </x:row>
    <x:row r="3634" ht="22" customHeight="1">
      <x:c r="A3634" s="2"/>
      <x:c r="B3634" s="2" t="n">
        <x:v>3601</x:v>
      </x:c>
      <x:c r="C3634" s="2" t="str">
        <x:v>16052</x:v>
      </x:c>
      <x:c r="D3634" s="2" t="str">
        <x:v>TEATIME PUSH DOWN RUBBER</x:v>
      </x:c>
      <x:c r="E3634" s="11" t="n">
        <x:v>281.32</x:v>
      </x:c>
      <x:c r="F3634" s="11" t="n">
        <x:v>10.08</x:v>
      </x:c>
      <x:c r="G3634" s="11" t="n">
        <x:v>271.24</x:v>
      </x:c>
      <x:c r="H3634" s="23" t="n">
        <x:v>0.000013700376732279529</x:v>
      </x:c>
      <x:c r="I3634" s="23" t="n">
        <x:v>0.9938209734247835</x:v>
      </x:c>
      <x:c r="J3634" s="2" t="n">
        <x:v>35</x:v>
      </x:c>
      <x:c r="K3634" s="2"/>
      <x:c r="L3634" s="2"/>
    </x:row>
    <x:row r="3635" ht="22" customHeight="1">
      <x:c r="A3635" s="2"/>
      <x:c r="B3635" s="2" t="n">
        <x:v>3602</x:v>
      </x:c>
      <x:c r="C3635" s="2" t="str">
        <x:v>23481</x:v>
      </x:c>
      <x:c r="D3635" s="2" t="str">
        <x:v>PEARLISED IVORY HEART SMALL </x:v>
      </x:c>
      <x:c r="E3635" s="11" t="n">
        <x:v>281.17</x:v>
      </x:c>
      <x:c r="F3635" s="11" t="n">
        <x:v>0</x:v>
      </x:c>
      <x:c r="G3635" s="11" t="n">
        <x:v>281.17</x:v>
      </x:c>
      <x:c r="H3635" s="23" t="n">
        <x:v>0.000013693071682834621</x:v>
      </x:c>
      <x:c r="I3635" s="23" t="n">
        <x:v>0.9938346664964663</x:v>
      </x:c>
      <x:c r="J3635" s="2" t="n">
        <x:v>29</x:v>
      </x:c>
      <x:c r="K3635" s="2"/>
      <x:c r="L3635" s="2"/>
    </x:row>
    <x:row r="3636" ht="22" customHeight="1">
      <x:c r="A3636" s="2"/>
      <x:c r="B3636" s="2" t="n">
        <x:v>3603</x:v>
      </x:c>
      <x:c r="C3636" s="2" t="str">
        <x:v>90163A</x:v>
      </x:c>
      <x:c r="D3636" s="2" t="str">
        <x:v>PINK ROSEBUD &amp; PEARL NECKLACE</x:v>
      </x:c>
      <x:c r="E3636" s="11" t="n">
        <x:v>280.71</x:v>
      </x:c>
      <x:c r="F3636" s="11" t="n">
        <x:v>0</x:v>
      </x:c>
      <x:c r="G3636" s="11" t="n">
        <x:v>280.71</x:v>
      </x:c>
      <x:c r="H3636" s="23" t="n">
        <x:v>0.000013670669531203563</x:v>
      </x:c>
      <x:c r="I3636" s="23" t="n">
        <x:v>0.9938483371659975</x:v>
      </x:c>
      <x:c r="J3636" s="2" t="n">
        <x:v>24</x:v>
      </x:c>
      <x:c r="K3636" s="2"/>
      <x:c r="L3636" s="2"/>
    </x:row>
    <x:row r="3637" ht="22" customHeight="1">
      <x:c r="A3637" s="2"/>
      <x:c r="B3637" s="2" t="n">
        <x:v>3604</x:v>
      </x:c>
      <x:c r="C3637" s="2" t="str">
        <x:v>84457</x:v>
      </x:c>
      <x:c r="D3637" s="2" t="str">
        <x:v>SET/3 RABBITS FLOWER SKIPPPING ROPE</x:v>
      </x:c>
      <x:c r="E3637" s="11" t="n">
        <x:v>280.43</x:v>
      </x:c>
      <x:c r="F3637" s="11" t="n">
        <x:v>0</x:v>
      </x:c>
      <x:c r="G3637" s="11" t="n">
        <x:v>280.43</x:v>
      </x:c>
      <x:c r="H3637" s="23" t="n">
        <x:v>0.0000136570334389064</x:v>
      </x:c>
      <x:c r="I3637" s="23" t="n">
        <x:v>0.9938619941994364</x:v>
      </x:c>
      <x:c r="J3637" s="2" t="n">
        <x:v>64</x:v>
      </x:c>
      <x:c r="K3637" s="2"/>
      <x:c r="L3637" s="2"/>
    </x:row>
    <x:row r="3638" ht="22" customHeight="1">
      <x:c r="A3638" s="2"/>
      <x:c r="B3638" s="2" t="n">
        <x:v>3605</x:v>
      </x:c>
      <x:c r="C3638" s="2" t="str">
        <x:v>84192</x:v>
      </x:c>
      <x:c r="D3638" s="2" t="str">
        <x:v>ASSORTED COLOUR METAL CAT </x:v>
      </x:c>
      <x:c r="E3638" s="11" t="n">
        <x:v>279.85</x:v>
      </x:c>
      <x:c r="F3638" s="11" t="n">
        <x:v>0</x:v>
      </x:c>
      <x:c r="G3638" s="11" t="n">
        <x:v>279.85</x:v>
      </x:c>
      <x:c r="H3638" s="23" t="n">
        <x:v>0.000013628787247719417</x:v>
      </x:c>
      <x:c r="I3638" s="23" t="n">
        <x:v>0.9938756229866842</x:v>
      </x:c>
      <x:c r="J3638" s="2" t="n">
        <x:v>38</x:v>
      </x:c>
      <x:c r="K3638" s="2"/>
      <x:c r="L3638" s="2"/>
    </x:row>
    <x:row r="3639" ht="22" customHeight="1">
      <x:c r="A3639" s="2"/>
      <x:c r="B3639" s="2" t="n">
        <x:v>3606</x:v>
      </x:c>
      <x:c r="C3639" s="2" t="str">
        <x:v>21412</x:v>
      </x:c>
      <x:c r="D3639" s="2" t="str">
        <x:v>VINTAGE GOLD TINSEL REEL</x:v>
      </x:c>
      <x:c r="E3639" s="11" t="n">
        <x:v>279.84</x:v>
      </x:c>
      <x:c r="F3639" s="11" t="n">
        <x:v>3.78</x:v>
      </x:c>
      <x:c r="G3639" s="11" t="n">
        <x:v>276.06</x:v>
      </x:c>
      <x:c r="H3639" s="23" t="n">
        <x:v>0.000013628300244423088</x:v>
      </x:c>
      <x:c r="I3639" s="23" t="n">
        <x:v>0.9938892512869286</x:v>
      </x:c>
      <x:c r="J3639" s="2" t="n">
        <x:v>67</x:v>
      </x:c>
      <x:c r="K3639" s="2"/>
      <x:c r="L3639" s="2"/>
    </x:row>
    <x:row r="3640" ht="22" customHeight="1">
      <x:c r="A3640" s="2"/>
      <x:c r="B3640" s="2" t="n">
        <x:v>3607</x:v>
      </x:c>
      <x:c r="C3640" s="2" t="str">
        <x:v>84926F</x:v>
      </x:c>
      <x:c r="D3640" s="2" t="str">
        <x:v>PSYCHEDELIC TILE COASTER</x:v>
      </x:c>
      <x:c r="E3640" s="11" t="n">
        <x:v>279.15</x:v>
      </x:c>
      <x:c r="F3640" s="11" t="n">
        <x:v>6.959999999999999</x:v>
      </x:c>
      <x:c r="G3640" s="11" t="n">
        <x:v>272.19</x:v>
      </x:c>
      <x:c r="H3640" s="23" t="n">
        <x:v>0.000013594697016976504</x:v>
      </x:c>
      <x:c r="I3640" s="23" t="n">
        <x:v>0.9939028459839456</x:v>
      </x:c>
      <x:c r="J3640" s="2" t="n">
        <x:v>42</x:v>
      </x:c>
      <x:c r="K3640" s="2"/>
      <x:c r="L3640" s="2"/>
    </x:row>
    <x:row r="3641" ht="22" customHeight="1">
      <x:c r="A3641" s="2"/>
      <x:c r="B3641" s="2" t="n">
        <x:v>3608</x:v>
      </x:c>
      <x:c r="C3641" s="2" t="str">
        <x:v>72739C</x:v>
      </x:c>
      <x:c r="D3641" s="2" t="str">
        <x:v>DARK CHOCOLATE SCENTCANDLE</x:v>
      </x:c>
      <x:c r="E3641" s="11" t="n">
        <x:v>279.08</x:v>
      </x:c>
      <x:c r="F3641" s="11" t="n">
        <x:v>31.25</x:v>
      </x:c>
      <x:c r="G3641" s="11" t="n">
        <x:v>247.82999999999998</x:v>
      </x:c>
      <x:c r="H3641" s="23" t="n">
        <x:v>0.000013591287993902214</x:v>
      </x:c>
      <x:c r="I3641" s="23" t="n">
        <x:v>0.9939164372719396</x:v>
      </x:c>
      <x:c r="J3641" s="2" t="n">
        <x:v>23</x:v>
      </x:c>
      <x:c r="K3641" s="2"/>
      <x:c r="L3641" s="2"/>
    </x:row>
    <x:row r="3642" ht="22" customHeight="1">
      <x:c r="A3642" s="2"/>
      <x:c r="B3642" s="2" t="n">
        <x:v>3609</x:v>
      </x:c>
      <x:c r="C3642" s="2" t="str">
        <x:v>84625B</x:v>
      </x:c>
      <x:c r="D3642" s="2" t="str">
        <x:v>Damaged</x:v>
      </x:c>
      <x:c r="E3642" s="11" t="n">
        <x:v>279</x:v>
      </x:c>
      <x:c r="F3642" s="11" t="n">
        <x:v>10.2</x:v>
      </x:c>
      <x:c r="G3642" s="11" t="n">
        <x:v>268.8</x:v>
      </x:c>
      <x:c r="H3642" s="23" t="n">
        <x:v>0.000013587391967531597</x:v>
      </x:c>
      <x:c r="I3642" s="23" t="n">
        <x:v>0.9939300246639071</x:v>
      </x:c>
      <x:c r="J3642" s="2" t="n">
        <x:v>17</x:v>
      </x:c>
      <x:c r="K3642" s="2"/>
      <x:c r="L3642" s="2"/>
    </x:row>
    <x:row r="3643" ht="22" customHeight="1">
      <x:c r="A3643" s="2"/>
      <x:c r="B3643" s="2" t="n">
        <x:v>3610</x:v>
      </x:c>
      <x:c r="C3643" s="2" t="str">
        <x:v>90115</x:v>
      </x:c>
      <x:c r="D3643" s="2" t="str">
        <x:v>SUMMER BUTTERFLIES BAG CHARM</x:v>
      </x:c>
      <x:c r="E3643" s="11" t="n">
        <x:v>278.96</x:v>
      </x:c>
      <x:c r="F3643" s="11" t="n">
        <x:v>0</x:v>
      </x:c>
      <x:c r="G3643" s="11" t="n">
        <x:v>278.96</x:v>
      </x:c>
      <x:c r="H3643" s="23" t="n">
        <x:v>0.000013585443954346285</x:v>
      </x:c>
      <x:c r="I3643" s="23" t="n">
        <x:v>0.9939436101078615</x:v>
      </x:c>
      <x:c r="J3643" s="2" t="n">
        <x:v>60</x:v>
      </x:c>
      <x:c r="K3643" s="2"/>
      <x:c r="L3643" s="2"/>
    </x:row>
    <x:row r="3644" ht="22" customHeight="1">
      <x:c r="A3644" s="2"/>
      <x:c r="B3644" s="2" t="n">
        <x:v>3611</x:v>
      </x:c>
      <x:c r="C3644" s="2" t="str">
        <x:v>90122A</x:v>
      </x:c>
      <x:c r="D3644" s="2" t="str">
        <x:v>PINK CRYSTAL+GLASS BRACELET</x:v>
      </x:c>
      <x:c r="E3644" s="11" t="n">
        <x:v>278.84000000000003</x:v>
      </x:c>
      <x:c r="F3644" s="11" t="n">
        <x:v>0</x:v>
      </x:c>
      <x:c r="G3644" s="11" t="n">
        <x:v>278.84000000000003</x:v>
      </x:c>
      <x:c r="H3644" s="23" t="n">
        <x:v>0.00001357959991479036</x:v>
      </x:c>
      <x:c r="I3644" s="23" t="n">
        <x:v>0.9939571897077762</x:v>
      </x:c>
      <x:c r="J3644" s="2" t="n">
        <x:v>31</x:v>
      </x:c>
      <x:c r="K3644" s="2"/>
      <x:c r="L3644" s="2"/>
    </x:row>
    <x:row r="3645" ht="22" customHeight="1">
      <x:c r="A3645" s="2"/>
      <x:c r="B3645" s="2" t="n">
        <x:v>3612</x:v>
      </x:c>
      <x:c r="C3645" s="2" t="str">
        <x:v>21367</x:v>
      </x:c>
      <x:c r="D3645" s="2" t="str">
        <x:v>MIRRORED WALL ART GENTS</x:v>
      </x:c>
      <x:c r="E3645" s="11" t="n">
        <x:v>278.47999999999996</x:v>
      </x:c>
      <x:c r="F3645" s="11" t="n">
        <x:v>0</x:v>
      </x:c>
      <x:c r="G3645" s="11" t="n">
        <x:v>278.47999999999996</x:v>
      </x:c>
      <x:c r="H3645" s="23" t="n">
        <x:v>0.000013562067796122576</x:v>
      </x:c>
      <x:c r="I3645" s="23" t="n">
        <x:v>0.9939707517755724</x:v>
      </x:c>
      <x:c r="J3645" s="2" t="n">
        <x:v>60</x:v>
      </x:c>
      <x:c r="K3645" s="2"/>
      <x:c r="L3645" s="2"/>
    </x:row>
    <x:row r="3646" ht="22" customHeight="1">
      <x:c r="A3646" s="2"/>
      <x:c r="B3646" s="2" t="n">
        <x:v>3613</x:v>
      </x:c>
      <x:c r="C3646" s="2" t="str">
        <x:v>35096A</x:v>
      </x:c>
      <x:c r="D3646" s="2" t="str">
        <x:v>BLUE VICTORIAN FABRIC HEART BOX</x:v>
      </x:c>
      <x:c r="E3646" s="11" t="n">
        <x:v>277.49</x:v>
      </x:c>
      <x:c r="F3646" s="11" t="n">
        <x:v>0</x:v>
      </x:c>
      <x:c r="G3646" s="11" t="n">
        <x:v>277.49</x:v>
      </x:c>
      <x:c r="H3646" s="23" t="n">
        <x:v>0.000013513854469786174</x:v>
      </x:c>
      <x:c r="I3646" s="23" t="n">
        <x:v>0.9939842656300422</x:v>
      </x:c>
      <x:c r="J3646" s="2" t="n">
        <x:v>50</x:v>
      </x:c>
      <x:c r="K3646" s="2"/>
      <x:c r="L3646" s="2"/>
    </x:row>
    <x:row r="3647" ht="22" customHeight="1">
      <x:c r="A3647" s="2"/>
      <x:c r="B3647" s="2" t="n">
        <x:v>3614</x:v>
      </x:c>
      <x:c r="C3647" s="2" t="str">
        <x:v>90146</x:v>
      </x:c>
      <x:c r="D3647" s="2" t="str">
        <x:v>FINE SILVER NECKLACE W PASTEL FLOWE</x:v>
      </x:c>
      <x:c r="E3647" s="11" t="n">
        <x:v>276.49</x:v>
      </x:c>
      <x:c r="F3647" s="11" t="n">
        <x:v>15</x:v>
      </x:c>
      <x:c r="G3647" s="11" t="n">
        <x:v>261.49</x:v>
      </x:c>
      <x:c r="H3647" s="23" t="n">
        <x:v>0.000013465154140153445</x:v>
      </x:c>
      <x:c r="I3647" s="23" t="n">
        <x:v>0.9939977307841823</x:v>
      </x:c>
      <x:c r="J3647" s="2" t="n">
        <x:v>19</x:v>
      </x:c>
      <x:c r="K3647" s="2"/>
      <x:c r="L3647" s="2"/>
    </x:row>
    <x:row r="3648" ht="22" customHeight="1">
      <x:c r="A3648" s="2"/>
      <x:c r="B3648" s="2" t="n">
        <x:v>3615</x:v>
      </x:c>
      <x:c r="C3648" s="2" t="str">
        <x:v>75178</x:v>
      </x:c>
      <x:c r="D3648" s="2" t="str">
        <x:v>ASSTD COL BUTTERFLY/CRYSTAL W/CHIME</x:v>
      </x:c>
      <x:c r="E3648" s="11" t="n">
        <x:v>276.43</x:v>
      </x:c>
      <x:c r="F3648" s="11" t="n">
        <x:v>0</x:v>
      </x:c>
      <x:c r="G3648" s="11" t="n">
        <x:v>276.43</x:v>
      </x:c>
      <x:c r="H3648" s="23" t="n">
        <x:v>0.000013462232120375481</x:v>
      </x:c>
      <x:c r="I3648" s="23" t="n">
        <x:v>0.9940111930163027</x:v>
      </x:c>
      <x:c r="J3648" s="2" t="n">
        <x:v>25</x:v>
      </x:c>
      <x:c r="K3648" s="2"/>
      <x:c r="L3648" s="2"/>
    </x:row>
    <x:row r="3649" ht="22" customHeight="1">
      <x:c r="A3649" s="2"/>
      <x:c r="B3649" s="2" t="n">
        <x:v>3616</x:v>
      </x:c>
      <x:c r="C3649" s="2" t="str">
        <x:v>84966C</x:v>
      </x:c>
      <x:c r="D3649" s="2" t="str">
        <x:v>GREEN KASHMIRI BOXED MIRROR</x:v>
      </x:c>
      <x:c r="E3649" s="11" t="n">
        <x:v>276</x:v>
      </x:c>
      <x:c r="F3649" s="11" t="n">
        <x:v>0</x:v>
      </x:c>
      <x:c r="G3649" s="11" t="n">
        <x:v>276</x:v>
      </x:c>
      <x:c r="H3649" s="23" t="n">
        <x:v>0.000013441290978633407</x:v>
      </x:c>
      <x:c r="I3649" s="23" t="n">
        <x:v>0.9940246343072814</x:v>
      </x:c>
      <x:c r="J3649" s="2" t="n">
        <x:v>2</x:v>
      </x:c>
      <x:c r="K3649" s="2"/>
      <x:c r="L3649" s="2"/>
    </x:row>
    <x:row r="3650" ht="22" customHeight="1">
      <x:c r="A3650" s="2"/>
      <x:c r="B3650" s="2" t="n">
        <x:v>3617</x:v>
      </x:c>
      <x:c r="C3650" s="2" t="str">
        <x:v>DCGS0076</x:v>
      </x:c>
      <x:c r="D3650" s="2" t="str">
        <x:v>SUNJAR LED NIGHT NIGHT LIGHT</x:v>
      </x:c>
      <x:c r="E3650" s="11" t="n">
        <x:v>275.96</x:v>
      </x:c>
      <x:c r="F3650" s="11" t="n">
        <x:v>0</x:v>
      </x:c>
      <x:c r="G3650" s="11" t="n">
        <x:v>275.96</x:v>
      </x:c>
      <x:c r="H3650" s="23" t="n">
        <x:v>0.000013439342965448097</x:v>
      </x:c>
      <x:c r="I3650" s="23" t="n">
        <x:v>0.9940380736502469</x:v>
      </x:c>
      <x:c r="J3650" s="2" t="n">
        <x:v>14</x:v>
      </x:c>
      <x:c r="K3650" s="2"/>
      <x:c r="L3650" s="2"/>
    </x:row>
    <x:row r="3651" ht="22" customHeight="1">
      <x:c r="A3651" s="2"/>
      <x:c r="B3651" s="2" t="n">
        <x:v>3618</x:v>
      </x:c>
      <x:c r="C3651" s="2" t="str">
        <x:v>23137</x:v>
      </x:c>
      <x:c r="D3651" s="2" t="str">
        <x:v>ZINC WIRE SWEETHEART LETTER TRAY</x:v>
      </x:c>
      <x:c r="E3651" s="11" t="n">
        <x:v>275.62</x:v>
      </x:c>
      <x:c r="F3651" s="11" t="n">
        <x:v>0</x:v>
      </x:c>
      <x:c r="G3651" s="11" t="n">
        <x:v>275.62</x:v>
      </x:c>
      <x:c r="H3651" s="23" t="n">
        <x:v>0.00001342278485337297</x:v>
      </x:c>
      <x:c r="I3651" s="23" t="n">
        <x:v>0.9940514964351003</x:v>
      </x:c>
      <x:c r="J3651" s="2" t="n">
        <x:v>23</x:v>
      </x:c>
      <x:c r="K3651" s="2"/>
      <x:c r="L3651" s="2"/>
    </x:row>
    <x:row r="3652" ht="22" customHeight="1">
      <x:c r="A3652" s="2"/>
      <x:c r="B3652" s="2" t="n">
        <x:v>3619</x:v>
      </x:c>
      <x:c r="C3652" s="2" t="str">
        <x:v>47586A</x:v>
      </x:c>
      <x:c r="D3652" s="2" t="str">
        <x:v>PINK FAIRY CAKE CUSHION COVER</x:v>
      </x:c>
      <x:c r="E3652" s="11" t="n">
        <x:v>275.53</x:v>
      </x:c>
      <x:c r="F3652" s="11" t="n">
        <x:v>0</x:v>
      </x:c>
      <x:c r="G3652" s="11" t="n">
        <x:v>275.53</x:v>
      </x:c>
      <x:c r="H3652" s="23" t="n">
        <x:v>0.000013418401823706022</x:v>
      </x:c>
      <x:c r="I3652" s="23" t="n">
        <x:v>0.9940649148369239</x:v>
      </x:c>
      <x:c r="J3652" s="2" t="n">
        <x:v>29</x:v>
      </x:c>
      <x:c r="K3652" s="2"/>
      <x:c r="L3652" s="2"/>
    </x:row>
    <x:row r="3653" ht="22" customHeight="1">
      <x:c r="A3653" s="2"/>
      <x:c r="B3653" s="2" t="n">
        <x:v>3620</x:v>
      </x:c>
      <x:c r="C3653" s="2" t="str">
        <x:v>90085</x:v>
      </x:c>
      <x:c r="D3653" s="2" t="str">
        <x:v>CRYSTAL STILETTO PHONE CHARM</x:v>
      </x:c>
      <x:c r="E3653" s="11" t="n">
        <x:v>275.53</x:v>
      </x:c>
      <x:c r="F3653" s="11" t="n">
        <x:v>76.5</x:v>
      </x:c>
      <x:c r="G3653" s="11" t="n">
        <x:v>199.03</x:v>
      </x:c>
      <x:c r="H3653" s="23" t="n">
        <x:v>0.000013418401823706022</x:v>
      </x:c>
      <x:c r="I3653" s="23" t="n">
        <x:v>0.9940783332387476</x:v>
      </x:c>
      <x:c r="J3653" s="2" t="n">
        <x:v>29</x:v>
      </x:c>
      <x:c r="K3653" s="2"/>
      <x:c r="L3653" s="2"/>
    </x:row>
    <x:row r="3654" ht="22" customHeight="1">
      <x:c r="A3654" s="2"/>
      <x:c r="B3654" s="2" t="n">
        <x:v>3621</x:v>
      </x:c>
      <x:c r="C3654" s="2" t="str">
        <x:v>21095</x:v>
      </x:c>
      <x:c r="D3654" s="2" t="str">
        <x:v>SET/6 POSIES PAPER PLATES</x:v>
      </x:c>
      <x:c r="E3654" s="11" t="n">
        <x:v>274.57</x:v>
      </x:c>
      <x:c r="F3654" s="11" t="n">
        <x:v>0</x:v>
      </x:c>
      <x:c r="G3654" s="11" t="n">
        <x:v>274.57</x:v>
      </x:c>
      <x:c r="H3654" s="23" t="n">
        <x:v>0.000013371649507258603</x:v>
      </x:c>
      <x:c r="I3654" s="23" t="n">
        <x:v>0.9940917048882548</x:v>
      </x:c>
      <x:c r="J3654" s="2" t="n">
        <x:v>40</x:v>
      </x:c>
      <x:c r="K3654" s="2"/>
      <x:c r="L3654" s="2"/>
    </x:row>
    <x:row r="3655" ht="22" customHeight="1">
      <x:c r="A3655" s="2"/>
      <x:c r="B3655" s="2" t="n">
        <x:v>3622</x:v>
      </x:c>
      <x:c r="C3655" s="2" t="str">
        <x:v>84924F</x:v>
      </x:c>
      <x:c r="D3655" s="2" t="str">
        <x:v>PSYCHEDELIC METAL SIGN CALENDAR</x:v>
      </x:c>
      <x:c r="E3655" s="11" t="n">
        <x:v>274.55</x:v>
      </x:c>
      <x:c r="F3655" s="11" t="n">
        <x:v>120</x:v>
      </x:c>
      <x:c r="G3655" s="11" t="n">
        <x:v>154.55</x:v>
      </x:c>
      <x:c r="H3655" s="23" t="n">
        <x:v>0.00001337067550066595</x:v>
      </x:c>
      <x:c r="I3655" s="23" t="n">
        <x:v>0.9941050755637555</x:v>
      </x:c>
      <x:c r="J3655" s="2" t="n">
        <x:v>10</x:v>
      </x:c>
      <x:c r="K3655" s="2"/>
      <x:c r="L3655" s="2"/>
    </x:row>
    <x:row r="3656" ht="22" customHeight="1">
      <x:c r="A3656" s="2"/>
      <x:c r="B3656" s="2" t="n">
        <x:v>3623</x:v>
      </x:c>
      <x:c r="C3656" s="2" t="str">
        <x:v>21193</x:v>
      </x:c>
      <x:c r="D3656" s="2" t="str">
        <x:v>WHITE HONEYCOMB PAPER FAN </x:v>
      </x:c>
      <x:c r="E3656" s="11" t="n">
        <x:v>274.37</x:v>
      </x:c>
      <x:c r="F3656" s="11" t="n">
        <x:v>0</x:v>
      </x:c>
      <x:c r="G3656" s="11" t="n">
        <x:v>274.37</x:v>
      </x:c>
      <x:c r="H3656" s="23" t="n">
        <x:v>0.000013361909441332058</x:v>
      </x:c>
      <x:c r="I3656" s="23" t="n">
        <x:v>0.9941184374731968</x:v>
      </x:c>
      <x:c r="J3656" s="2" t="n">
        <x:v>22</x:v>
      </x:c>
      <x:c r="K3656" s="2"/>
      <x:c r="L3656" s="2"/>
    </x:row>
    <x:row r="3657" ht="22" customHeight="1">
      <x:c r="A3657" s="2"/>
      <x:c r="B3657" s="2" t="n">
        <x:v>3624</x:v>
      </x:c>
      <x:c r="C3657" s="2" t="str">
        <x:v>84927F</x:v>
      </x:c>
      <x:c r="D3657" s="2" t="str">
        <x:v>PSYCHEDELIC TILE HOOK</x:v>
      </x:c>
      <x:c r="E3657" s="11" t="n">
        <x:v>273.32</x:v>
      </x:c>
      <x:c r="F3657" s="11" t="n">
        <x:v>4.050000000000001</x:v>
      </x:c>
      <x:c r="G3657" s="11" t="n">
        <x:v>269.27</x:v>
      </x:c>
      <x:c r="H3657" s="23" t="n">
        <x:v>0.000013310774095217691</x:v>
      </x:c>
      <x:c r="I3657" s="23" t="n">
        <x:v>0.994131748247292</x:v>
      </x:c>
      <x:c r="J3657" s="2" t="n">
        <x:v>62</x:v>
      </x:c>
      <x:c r="K3657" s="2"/>
      <x:c r="L3657" s="2"/>
    </x:row>
    <x:row r="3658" ht="22" customHeight="1">
      <x:c r="A3658" s="2"/>
      <x:c r="B3658" s="2" t="n">
        <x:v>3625</x:v>
      </x:c>
      <x:c r="C3658" s="2" t="str">
        <x:v>23141</x:v>
      </x:c>
      <x:c r="D3658" s="2" t="str">
        <x:v>TRIPLE WIRE HOOK PINK HEART</x:v>
      </x:c>
      <x:c r="E3658" s="11" t="n">
        <x:v>272.91</x:v>
      </x:c>
      <x:c r="F3658" s="11" t="n">
        <x:v>0</x:v>
      </x:c>
      <x:c r="G3658" s="11" t="n">
        <x:v>272.91</x:v>
      </x:c>
      <x:c r="H3658" s="23" t="n">
        <x:v>0.000013290806960068274</x:v>
      </x:c>
      <x:c r="I3658" s="23" t="n">
        <x:v>0.9941450390542521</x:v>
      </x:c>
      <x:c r="J3658" s="2" t="n">
        <x:v>25</x:v>
      </x:c>
      <x:c r="K3658" s="2"/>
      <x:c r="L3658" s="2"/>
    </x:row>
    <x:row r="3659" ht="22" customHeight="1">
      <x:c r="A3659" s="2"/>
      <x:c r="B3659" s="2" t="n">
        <x:v>3626</x:v>
      </x:c>
      <x:c r="C3659" s="2" t="str">
        <x:v>84924D</x:v>
      </x:c>
      <x:c r="D3659" s="2" t="str">
        <x:v>LA PALMIERA METAL SIGN CALENDAR</x:v>
      </x:c>
      <x:c r="E3659" s="11" t="n">
        <x:v>272.61</x:v>
      </x:c>
      <x:c r="F3659" s="11" t="n">
        <x:v>0</x:v>
      </x:c>
      <x:c r="G3659" s="11" t="n">
        <x:v>272.61</x:v>
      </x:c>
      <x:c r="H3659" s="23" t="n">
        <x:v>0.000013276196861178454</x:v>
      </x:c>
      <x:c r="I3659" s="23" t="n">
        <x:v>0.9941583152511133</x:v>
      </x:c>
      <x:c r="J3659" s="2" t="n">
        <x:v>15</x:v>
      </x:c>
      <x:c r="K3659" s="2"/>
      <x:c r="L3659" s="2"/>
    </x:row>
    <x:row r="3660" ht="22" customHeight="1">
      <x:c r="A3660" s="2"/>
      <x:c r="B3660" s="2" t="n">
        <x:v>3627</x:v>
      </x:c>
      <x:c r="C3660" s="2" t="str">
        <x:v>79303D</x:v>
      </x:c>
      <x:c r="D3660" s="2" t="str">
        <x:v>LILAC FLOWER BLOCK TABLE LAMP</x:v>
      </x:c>
      <x:c r="E3660" s="11" t="n">
        <x:v>272.45</x:v>
      </x:c>
      <x:c r="F3660" s="11" t="n">
        <x:v>5.9</x:v>
      </x:c>
      <x:c r="G3660" s="11" t="n">
        <x:v>266.55</x:v>
      </x:c>
      <x:c r="H3660" s="23" t="n">
        <x:v>0.000013268404808437216</x:v>
      </x:c>
      <x:c r="I3660" s="23" t="n">
        <x:v>0.9941715836559217</x:v>
      </x:c>
      <x:c r="J3660" s="2" t="n">
        <x:v>19</x:v>
      </x:c>
      <x:c r="K3660" s="2"/>
      <x:c r="L3660" s="2"/>
    </x:row>
    <x:row r="3661" ht="22" customHeight="1">
      <x:c r="A3661" s="2"/>
      <x:c r="B3661" s="2" t="n">
        <x:v>3628</x:v>
      </x:c>
      <x:c r="C3661" s="2" t="str">
        <x:v>22868</x:v>
      </x:c>
      <x:c r="D3661" s="2" t="str">
        <x:v>NUMBER TILE COTTAGE GARDEN 0 </x:v>
      </x:c>
      <x:c r="E3661" s="11" t="n">
        <x:v>272.33</x:v>
      </x:c>
      <x:c r="F3661" s="11" t="n">
        <x:v>0</x:v>
      </x:c>
      <x:c r="G3661" s="11" t="n">
        <x:v>272.33</x:v>
      </x:c>
      <x:c r="H3661" s="23" t="n">
        <x:v>0.000013262560768881288</x:v>
      </x:c>
      <x:c r="I3661" s="23" t="n">
        <x:v>0.9941848462166906</x:v>
      </x:c>
      <x:c r="J3661" s="2" t="n">
        <x:v>27</x:v>
      </x:c>
      <x:c r="K3661" s="2"/>
      <x:c r="L3661" s="2"/>
    </x:row>
    <x:row r="3662" ht="22" customHeight="1">
      <x:c r="A3662" s="2"/>
      <x:c r="B3662" s="2" t="n">
        <x:v>3629</x:v>
      </x:c>
      <x:c r="C3662" s="2" t="str">
        <x:v>84499</x:v>
      </x:c>
      <x:c r="D3662" s="2" t="str">
        <x:v>BLACK FLOWER CANDLE PLATE</x:v>
      </x:c>
      <x:c r="E3662" s="11" t="n">
        <x:v>272.16999999999996</x:v>
      </x:c>
      <x:c r="F3662" s="11" t="n">
        <x:v>0</x:v>
      </x:c>
      <x:c r="G3662" s="11" t="n">
        <x:v>272.16999999999996</x:v>
      </x:c>
      <x:c r="H3662" s="23" t="n">
        <x:v>0.00001325476871614005</x:v>
      </x:c>
      <x:c r="I3662" s="23" t="n">
        <x:v>0.9941981009854067</x:v>
      </x:c>
      <x:c r="J3662" s="2" t="n">
        <x:v>41</x:v>
      </x:c>
      <x:c r="K3662" s="2"/>
      <x:c r="L3662" s="2"/>
    </x:row>
    <x:row r="3663" ht="22" customHeight="1">
      <x:c r="A3663" s="2"/>
      <x:c r="B3663" s="2" t="n">
        <x:v>3630</x:v>
      </x:c>
      <x:c r="C3663" s="2" t="str">
        <x:v>22874</x:v>
      </x:c>
      <x:c r="D3663" s="2" t="str">
        <x:v>NUMBER TILE COTTAGE GARDEN 6</x:v>
      </x:c>
      <x:c r="E3663" s="11" t="n">
        <x:v>272.02</x:v>
      </x:c>
      <x:c r="F3663" s="11" t="n">
        <x:v>0</x:v>
      </x:c>
      <x:c r="G3663" s="11" t="n">
        <x:v>272.02</x:v>
      </x:c>
      <x:c r="H3663" s="23" t="n">
        <x:v>0.000013247463666695142</x:v>
      </x:c>
      <x:c r="I3663" s="23" t="n">
        <x:v>0.9942113484490734</x:v>
      </x:c>
      <x:c r="J3663" s="2" t="n">
        <x:v>28</x:v>
      </x:c>
      <x:c r="K3663" s="2"/>
      <x:c r="L3663" s="2"/>
    </x:row>
    <x:row r="3664" ht="22" customHeight="1">
      <x:c r="A3664" s="2"/>
      <x:c r="B3664" s="2" t="n">
        <x:v>3631</x:v>
      </x:c>
      <x:c r="C3664" s="2" t="str">
        <x:v>90185C</x:v>
      </x:c>
      <x:c r="D3664" s="2" t="str">
        <x:v>BLACK DIAMANTE EXPANDABLE RING</x:v>
      </x:c>
      <x:c r="E3664" s="11" t="n">
        <x:v>271.96</x:v>
      </x:c>
      <x:c r="F3664" s="11" t="n">
        <x:v>123.25</x:v>
      </x:c>
      <x:c r="G3664" s="11" t="n">
        <x:v>148.71</x:v>
      </x:c>
      <x:c r="H3664" s="23" t="n">
        <x:v>0.000013244541646917177</x:v>
      </x:c>
      <x:c r="I3664" s="23" t="n">
        <x:v>0.9942245929907203</x:v>
      </x:c>
      <x:c r="J3664" s="2" t="n">
        <x:v>32</x:v>
      </x:c>
      <x:c r="K3664" s="2"/>
      <x:c r="L3664" s="2"/>
    </x:row>
    <x:row r="3665" ht="22" customHeight="1">
      <x:c r="A3665" s="2"/>
      <x:c r="B3665" s="2" t="n">
        <x:v>3632</x:v>
      </x:c>
      <x:c r="C3665" s="2" t="str">
        <x:v>90032</x:v>
      </x:c>
      <x:c r="D3665" s="2" t="str">
        <x:v>IVORY SHELL HEART NECKLACE</x:v>
      </x:c>
      <x:c r="E3665" s="11" t="n">
        <x:v>271.88</x:v>
      </x:c>
      <x:c r="F3665" s="11" t="n">
        <x:v>0</x:v>
      </x:c>
      <x:c r="G3665" s="11" t="n">
        <x:v>271.88</x:v>
      </x:c>
      <x:c r="H3665" s="23" t="n">
        <x:v>0.00001324064562054656</x:v>
      </x:c>
      <x:c r="I3665" s="23" t="n">
        <x:v>0.9942378336363409</x:v>
      </x:c>
      <x:c r="J3665" s="2" t="n">
        <x:v>24</x:v>
      </x:c>
      <x:c r="K3665" s="2"/>
      <x:c r="L3665" s="2"/>
    </x:row>
    <x:row r="3666" ht="22" customHeight="1">
      <x:c r="A3666" s="2"/>
      <x:c r="B3666" s="2" t="n">
        <x:v>3633</x:v>
      </x:c>
      <x:c r="C3666" s="2" t="str">
        <x:v>22877</x:v>
      </x:c>
      <x:c r="D3666" s="2" t="str">
        <x:v>NUMBER TILE COTTAGE GARDEN 9</x:v>
      </x:c>
      <x:c r="E3666" s="11" t="n">
        <x:v>271.64</x:v>
      </x:c>
      <x:c r="F3666" s="11" t="n">
        <x:v>3.9</x:v>
      </x:c>
      <x:c r="G3666" s="11" t="n">
        <x:v>267.74</x:v>
      </x:c>
      <x:c r="H3666" s="23" t="n">
        <x:v>0.000013228957541434704</x:v>
      </x:c>
      <x:c r="I3666" s="23" t="n">
        <x:v>0.9942510625938823</x:v>
      </x:c>
      <x:c r="J3666" s="2" t="n">
        <x:v>28</x:v>
      </x:c>
      <x:c r="K3666" s="2"/>
      <x:c r="L3666" s="2"/>
    </x:row>
    <x:row r="3667" ht="22" customHeight="1">
      <x:c r="A3667" s="2"/>
      <x:c r="B3667" s="2" t="n">
        <x:v>3634</x:v>
      </x:c>
      <x:c r="C3667" s="2" t="str">
        <x:v>23474</x:v>
      </x:c>
      <x:c r="D3667" s="2" t="str">
        <x:v>WOODLAND SMALL BLUE FELT HEART</x:v>
      </x:c>
      <x:c r="E3667" s="11" t="n">
        <x:v>270.96</x:v>
      </x:c>
      <x:c r="F3667" s="11" t="n">
        <x:v>0</x:v>
      </x:c>
      <x:c r="G3667" s="11" t="n">
        <x:v>270.96</x:v>
      </x:c>
      <x:c r="H3667" s="23" t="n">
        <x:v>0.000013195841317284448</x:v>
      </x:c>
      <x:c r="I3667" s="23" t="n">
        <x:v>0.9942642584351996</x:v>
      </x:c>
      <x:c r="J3667" s="2" t="n">
        <x:v>37</x:v>
      </x:c>
      <x:c r="K3667" s="2"/>
      <x:c r="L3667" s="2"/>
    </x:row>
    <x:row r="3668" ht="22" customHeight="1">
      <x:c r="A3668" s="2"/>
      <x:c r="B3668" s="2" t="n">
        <x:v>3635</x:v>
      </x:c>
      <x:c r="C3668" s="2" t="str">
        <x:v>47351B</x:v>
      </x:c>
      <x:c r="D3668" s="2" t="str">
        <x:v>BLUE  VOILE LAMPSHADE</x:v>
      </x:c>
      <x:c r="E3668" s="11" t="n">
        <x:v>269.90000000000003</x:v>
      </x:c>
      <x:c r="F3668" s="11" t="n">
        <x:v>122.39999999999999</x:v>
      </x:c>
      <x:c r="G3668" s="11" t="n">
        <x:v>147.50000000000003</x:v>
      </x:c>
      <x:c r="H3668" s="23" t="n">
        <x:v>0.000013144218967873757</x:v>
      </x:c>
      <x:c r="I3668" s="23" t="n">
        <x:v>0.9942774026541675</x:v>
      </x:c>
      <x:c r="J3668" s="2" t="n">
        <x:v>14</x:v>
      </x:c>
      <x:c r="K3668" s="2"/>
      <x:c r="L3668" s="2"/>
    </x:row>
    <x:row r="3669" ht="22" customHeight="1">
      <x:c r="A3669" s="2"/>
      <x:c r="B3669" s="2" t="n">
        <x:v>3636</x:v>
      </x:c>
      <x:c r="C3669" s="2" t="str">
        <x:v>47591A</x:v>
      </x:c>
      <x:c r="D3669" s="2" t="str">
        <x:v>CAROUSEL CHILDRENS APRON</x:v>
      </x:c>
      <x:c r="E3669" s="11" t="n">
        <x:v>269.53999999999996</x:v>
      </x:c>
      <x:c r="F3669" s="11" t="n">
        <x:v>11.549999999999999</x:v>
      </x:c>
      <x:c r="G3669" s="11" t="n">
        <x:v>257.99</x:v>
      </x:c>
      <x:c r="H3669" s="23" t="n">
        <x:v>0.00001312668684920597</x:v>
      </x:c>
      <x:c r="I3669" s="23" t="n">
        <x:v>0.9942905293410167</x:v>
      </x:c>
      <x:c r="J3669" s="2" t="n">
        <x:v>70</x:v>
      </x:c>
      <x:c r="K3669" s="2"/>
      <x:c r="L3669" s="2"/>
    </x:row>
    <x:row r="3670" ht="22" customHeight="1">
      <x:c r="A3670" s="2"/>
      <x:c r="B3670" s="2" t="n">
        <x:v>3637</x:v>
      </x:c>
      <x:c r="C3670" s="2" t="str">
        <x:v>85195</x:v>
      </x:c>
      <x:c r="D3670" s="2" t="str">
        <x:v>HANGING HEART BASKET</x:v>
      </x:c>
      <x:c r="E3670" s="11" t="n">
        <x:v>269.44000000000005</x:v>
      </x:c>
      <x:c r="F3670" s="11" t="n">
        <x:v>2.1</x:v>
      </x:c>
      <x:c r="G3670" s="11" t="n">
        <x:v>267.34000000000003</x:v>
      </x:c>
      <x:c r="H3670" s="23" t="n">
        <x:v>0.000013121816816242702</x:v>
      </x:c>
      <x:c r="I3670" s="23" t="n">
        <x:v>0.9943036511578329</x:v>
      </x:c>
      <x:c r="J3670" s="2" t="n">
        <x:v>17</x:v>
      </x:c>
      <x:c r="K3670" s="2"/>
      <x:c r="L3670" s="2"/>
    </x:row>
    <x:row r="3671" ht="22" customHeight="1">
      <x:c r="A3671" s="2"/>
      <x:c r="B3671" s="2" t="n">
        <x:v>3638</x:v>
      </x:c>
      <x:c r="C3671" s="2" t="str">
        <x:v>90122C</x:v>
      </x:c>
      <x:c r="D3671" s="2" t="str">
        <x:v>TURQUOISE CRYSTAL+GLASS BRACELET</x:v>
      </x:c>
      <x:c r="E3671" s="11" t="n">
        <x:v>269.1</x:v>
      </x:c>
      <x:c r="F3671" s="11" t="n">
        <x:v>0</x:v>
      </x:c>
      <x:c r="G3671" s="11" t="n">
        <x:v>269.1</x:v>
      </x:c>
      <x:c r="H3671" s="23" t="n">
        <x:v>0.000013105258704167573</x:v>
      </x:c>
      <x:c r="I3671" s="23" t="n">
        <x:v>0.994316756416537</x:v>
      </x:c>
      <x:c r="J3671" s="2" t="n">
        <x:v>30</x:v>
      </x:c>
      <x:c r="K3671" s="2"/>
      <x:c r="L3671" s="2"/>
    </x:row>
    <x:row r="3672" ht="22" customHeight="1">
      <x:c r="A3672" s="2"/>
      <x:c r="B3672" s="2" t="n">
        <x:v>3639</x:v>
      </x:c>
      <x:c r="C3672" s="2" t="str">
        <x:v>72793</x:v>
      </x:c>
      <x:c r="D3672" s="2" t="str">
        <x:v>BLACK BOX MIRROR LANTERN</x:v>
      </x:c>
      <x:c r="E3672" s="11" t="n">
        <x:v>268.75</x:v>
      </x:c>
      <x:c r="F3672" s="11" t="n">
        <x:v>5.95</x:v>
      </x:c>
      <x:c r="G3672" s="11" t="n">
        <x:v>262.8</x:v>
      </x:c>
      <x:c r="H3672" s="23" t="n">
        <x:v>0.000013088213588796117</x:v>
      </x:c>
      <x:c r="I3672" s="23" t="n">
        <x:v>0.9943298446301259</x:v>
      </x:c>
      <x:c r="J3672" s="2" t="n">
        <x:v>10</x:v>
      </x:c>
      <x:c r="K3672" s="2"/>
      <x:c r="L3672" s="2"/>
    </x:row>
    <x:row r="3673" ht="22" customHeight="1">
      <x:c r="A3673" s="2"/>
      <x:c r="B3673" s="2" t="n">
        <x:v>3640</x:v>
      </x:c>
      <x:c r="C3673" s="2" t="str">
        <x:v>20818</x:v>
      </x:c>
      <x:c r="D3673" s="2" t="str">
        <x:v>GOLD TEDDY BEAR</x:v>
      </x:c>
      <x:c r="E3673" s="11" t="n">
        <x:v>268.5</x:v>
      </x:c>
      <x:c r="F3673" s="11" t="n">
        <x:v>0</x:v>
      </x:c>
      <x:c r="G3673" s="11" t="n">
        <x:v>268.5</x:v>
      </x:c>
      <x:c r="H3673" s="23" t="n">
        <x:v>0.000013076038506387935</x:v>
      </x:c>
      <x:c r="I3673" s="23" t="n">
        <x:v>0.9943429206686323</x:v>
      </x:c>
      <x:c r="J3673" s="2" t="n">
        <x:v>30</x:v>
      </x:c>
      <x:c r="K3673" s="2"/>
      <x:c r="L3673" s="2"/>
    </x:row>
    <x:row r="3674" ht="22" customHeight="1">
      <x:c r="A3674" s="2"/>
      <x:c r="B3674" s="2" t="n">
        <x:v>3641</x:v>
      </x:c>
      <x:c r="C3674" s="2" t="str">
        <x:v>22875</x:v>
      </x:c>
      <x:c r="D3674" s="2" t="str">
        <x:v>NUMBER TILE COTTAGE GARDEN 7</x:v>
      </x:c>
      <x:c r="E3674" s="11" t="n">
        <x:v>268.34999999999997</x:v>
      </x:c>
      <x:c r="F3674" s="11" t="n">
        <x:v>0</x:v>
      </x:c>
      <x:c r="G3674" s="11" t="n">
        <x:v>268.34999999999997</x:v>
      </x:c>
      <x:c r="H3674" s="23" t="n">
        <x:v>0.000013068733456943022</x:v>
      </x:c>
      <x:c r="I3674" s="23" t="n">
        <x:v>0.9943559894020892</x:v>
      </x:c>
      <x:c r="J3674" s="2" t="n">
        <x:v>30</x:v>
      </x:c>
      <x:c r="K3674" s="2"/>
      <x:c r="L3674" s="2"/>
    </x:row>
    <x:row r="3675" ht="22" customHeight="1">
      <x:c r="A3675" s="2"/>
      <x:c r="B3675" s="2" t="n">
        <x:v>3642</x:v>
      </x:c>
      <x:c r="C3675" s="2" t="str">
        <x:v>90157</x:v>
      </x:c>
      <x:c r="D3675" s="2" t="str">
        <x:v>RIVIERA NECKLACE</x:v>
      </x:c>
      <x:c r="E3675" s="11" t="n">
        <x:v>268.23</x:v>
      </x:c>
      <x:c r="F3675" s="11" t="n">
        <x:v>0</x:v>
      </x:c>
      <x:c r="G3675" s="11" t="n">
        <x:v>268.23</x:v>
      </x:c>
      <x:c r="H3675" s="23" t="n">
        <x:v>0.000013062889417387097</x:v>
      </x:c>
      <x:c r="I3675" s="23" t="n">
        <x:v>0.9943690522915066</x:v>
      </x:c>
      <x:c r="J3675" s="2" t="n">
        <x:v>24</x:v>
      </x:c>
      <x:c r="K3675" s="2"/>
      <x:c r="L3675" s="2"/>
    </x:row>
    <x:row r="3676" ht="22" customHeight="1">
      <x:c r="A3676" s="2"/>
      <x:c r="B3676" s="2" t="n">
        <x:v>3643</x:v>
      </x:c>
      <x:c r="C3676" s="2" t="str">
        <x:v>21372</x:v>
      </x:c>
      <x:c r="D3676" s="2" t="str">
        <x:v>MIRRORED WALL ART TABLE LAMP</x:v>
      </x:c>
      <x:c r="E3676" s="11" t="n">
        <x:v>267.01</x:v>
      </x:c>
      <x:c r="F3676" s="11" t="n">
        <x:v>0</x:v>
      </x:c>
      <x:c r="G3676" s="11" t="n">
        <x:v>267.01</x:v>
      </x:c>
      <x:c r="H3676" s="23" t="n">
        <x:v>0.000013003475015235167</x:v>
      </x:c>
      <x:c r="I3676" s="23" t="n">
        <x:v>0.9943820557665218</x:v>
      </x:c>
      <x:c r="J3676" s="2" t="n">
        <x:v>50</x:v>
      </x:c>
      <x:c r="K3676" s="2"/>
      <x:c r="L3676" s="2"/>
    </x:row>
    <x:row r="3677" ht="22" customHeight="1">
      <x:c r="A3677" s="2"/>
      <x:c r="B3677" s="2" t="n">
        <x:v>3644</x:v>
      </x:c>
      <x:c r="C3677" s="2" t="str">
        <x:v>47481</x:v>
      </x:c>
      <x:c r="D3677" s="2" t="str">
        <x:v>50CM METAL STRING WITH  7 CLIPS</x:v>
      </x:c>
      <x:c r="E3677" s="11" t="n">
        <x:v>266.25</x:v>
      </x:c>
      <x:c r="F3677" s="11" t="n">
        <x:v>0</x:v>
      </x:c>
      <x:c r="G3677" s="11" t="n">
        <x:v>266.25</x:v>
      </x:c>
      <x:c r="H3677" s="23" t="n">
        <x:v>0.000012966462764714292</x:v>
      </x:c>
      <x:c r="I3677" s="23" t="n">
        <x:v>0.9943950222292866</x:v>
      </x:c>
      <x:c r="J3677" s="2" t="n">
        <x:v>44</x:v>
      </x:c>
      <x:c r="K3677" s="2"/>
      <x:c r="L3677" s="2"/>
    </x:row>
    <x:row r="3678" ht="22" customHeight="1">
      <x:c r="A3678" s="2"/>
      <x:c r="B3678" s="2" t="n">
        <x:v>3645</x:v>
      </x:c>
      <x:c r="C3678" s="2" t="str">
        <x:v>21032</x:v>
      </x:c>
      <x:c r="D3678" s="2" t="str">
        <x:v>SPACE CADET WHITE</x:v>
      </x:c>
      <x:c r="E3678" s="11" t="n">
        <x:v>265.91</x:v>
      </x:c>
      <x:c r="F3678" s="11" t="n">
        <x:v>3.75</x:v>
      </x:c>
      <x:c r="G3678" s="11" t="n">
        <x:v>262.16</x:v>
      </x:c>
      <x:c r="H3678" s="23" t="n">
        <x:v>0.000012949904652639166</x:v>
      </x:c>
      <x:c r="I3678" s="23" t="n">
        <x:v>0.9944079721339392</x:v>
      </x:c>
      <x:c r="J3678" s="2" t="n">
        <x:v>50</x:v>
      </x:c>
      <x:c r="K3678" s="2"/>
      <x:c r="L3678" s="2"/>
    </x:row>
    <x:row r="3679" ht="22" customHeight="1">
      <x:c r="A3679" s="2"/>
      <x:c r="B3679" s="2" t="n">
        <x:v>3646</x:v>
      </x:c>
      <x:c r="C3679" s="2" t="str">
        <x:v>44234</x:v>
      </x:c>
      <x:c r="D3679" s="2" t="str">
        <x:v>ASSORTED CIRCULAR MOBILE</x:v>
      </x:c>
      <x:c r="E3679" s="11" t="n">
        <x:v>265.84999999999997</x:v>
      </x:c>
      <x:c r="F3679" s="11" t="n">
        <x:v>0.42</x:v>
      </x:c>
      <x:c r="G3679" s="11" t="n">
        <x:v>265.43</x:v>
      </x:c>
      <x:c r="H3679" s="23" t="n">
        <x:v>0.000012946982632861199</x:v>
      </x:c>
      <x:c r="I3679" s="23" t="n">
        <x:v>0.994420919116572</x:v>
      </x:c>
      <x:c r="J3679" s="2" t="n">
        <x:v>56</x:v>
      </x:c>
      <x:c r="K3679" s="2"/>
      <x:c r="L3679" s="2"/>
    </x:row>
    <x:row r="3680" ht="22" customHeight="1">
      <x:c r="A3680" s="2"/>
      <x:c r="B3680" s="2" t="n">
        <x:v>3647</x:v>
      </x:c>
      <x:c r="C3680" s="2" t="str">
        <x:v>23476</x:v>
      </x:c>
      <x:c r="D3680" s="2" t="str">
        <x:v>WOODLAND LARGE RED FELT HEART</x:v>
      </x:c>
      <x:c r="E3680" s="11" t="n">
        <x:v>264.72</x:v>
      </x:c>
      <x:c r="F3680" s="11" t="n">
        <x:v>0</x:v>
      </x:c>
      <x:c r="G3680" s="11" t="n">
        <x:v>264.72</x:v>
      </x:c>
      <x:c r="H3680" s="23" t="n">
        <x:v>0.000012891951260376218</x:v>
      </x:c>
      <x:c r="I3680" s="23" t="n">
        <x:v>0.9944338110678325</x:v>
      </x:c>
      <x:c r="J3680" s="2" t="n">
        <x:v>22</x:v>
      </x:c>
      <x:c r="K3680" s="2"/>
      <x:c r="L3680" s="2"/>
    </x:row>
    <x:row r="3681" ht="22" customHeight="1">
      <x:c r="A3681" s="2"/>
      <x:c r="B3681" s="2" t="n">
        <x:v>3648</x:v>
      </x:c>
      <x:c r="C3681" s="2" t="str">
        <x:v>21950</x:v>
      </x:c>
      <x:c r="D3681" s="2" t="str">
        <x:v>SET OF 6 DOTS CHOPSTICKS</x:v>
      </x:c>
      <x:c r="E3681" s="11" t="n">
        <x:v>263.63</x:v>
      </x:c>
      <x:c r="F3681" s="11" t="n">
        <x:v>192.05</x:v>
      </x:c>
      <x:c r="G3681" s="11" t="n">
        <x:v>71.57999999999998</x:v>
      </x:c>
      <x:c r="H3681" s="23" t="n">
        <x:v>0.000012838867901076539</x:v>
      </x:c>
      <x:c r="I3681" s="23" t="n">
        <x:v>0.9944466499357335</x:v>
      </x:c>
      <x:c r="J3681" s="2" t="n">
        <x:v>18</x:v>
      </x:c>
      <x:c r="K3681" s="2"/>
      <x:c r="L3681" s="2"/>
    </x:row>
    <x:row r="3682" ht="22" customHeight="1">
      <x:c r="A3682" s="2"/>
      <x:c r="B3682" s="2" t="n">
        <x:v>3649</x:v>
      </x:c>
      <x:c r="C3682" s="2" t="str">
        <x:v>90129E</x:v>
      </x:c>
      <x:c r="D3682" s="2" t="str">
        <x:v>PURPLE GLASS TASSLE BAG CHARM</x:v>
      </x:c>
      <x:c r="E3682" s="11" t="n">
        <x:v>263.14</x:v>
      </x:c>
      <x:c r="F3682" s="11" t="n">
        <x:v>0</x:v>
      </x:c>
      <x:c r="G3682" s="11" t="n">
        <x:v>263.14</x:v>
      </x:c>
      <x:c r="H3682" s="23" t="n">
        <x:v>0.000012815004739556502</x:v>
      </x:c>
      <x:c r="I3682" s="23" t="n">
        <x:v>0.9944594649404731</x:v>
      </x:c>
      <x:c r="J3682" s="2" t="n">
        <x:v>59</x:v>
      </x:c>
      <x:c r="K3682" s="2"/>
      <x:c r="L3682" s="2"/>
    </x:row>
    <x:row r="3683" ht="22" customHeight="1">
      <x:c r="A3683" s="2"/>
      <x:c r="B3683" s="2" t="n">
        <x:v>3650</x:v>
      </x:c>
      <x:c r="C3683" s="2" t="str">
        <x:v>22873</x:v>
      </x:c>
      <x:c r="D3683" s="2" t="str">
        <x:v>NUMBER TILE COTTAGE GARDEN 5</x:v>
      </x:c>
      <x:c r="E3683" s="11" t="n">
        <x:v>262.5</x:v>
      </x:c>
      <x:c r="F3683" s="11" t="n">
        <x:v>0</x:v>
      </x:c>
      <x:c r="G3683" s="11" t="n">
        <x:v>262.5</x:v>
      </x:c>
      <x:c r="H3683" s="23" t="n">
        <x:v>0.000012783836528591556</x:v>
      </x:c>
      <x:c r="I3683" s="23" t="n">
        <x:v>0.9944722487770017</x:v>
      </x:c>
      <x:c r="J3683" s="2" t="n">
        <x:v>31</x:v>
      </x:c>
      <x:c r="K3683" s="2"/>
      <x:c r="L3683" s="2"/>
    </x:row>
    <x:row r="3684" ht="22" customHeight="1">
      <x:c r="A3684" s="2"/>
      <x:c r="B3684" s="2" t="n">
        <x:v>3651</x:v>
      </x:c>
      <x:c r="C3684" s="2" t="str">
        <x:v>84806A</x:v>
      </x:c>
      <x:c r="D3684" s="2" t="str">
        <x:v>PINK CANDYSTUFT ARTIFICIAL FLOWER</x:v>
      </x:c>
      <x:c r="E3684" s="11" t="n">
        <x:v>261.90999999999997</x:v>
      </x:c>
      <x:c r="F3684" s="11" t="n">
        <x:v>0</x:v>
      </x:c>
      <x:c r="G3684" s="11" t="n">
        <x:v>261.90999999999997</x:v>
      </x:c>
      <x:c r="H3684" s="23" t="n">
        <x:v>0.000012755103334108244</x:v>
      </x:c>
      <x:c r="I3684" s="23" t="n">
        <x:v>0.9944850038803358</x:v>
      </x:c>
      <x:c r="J3684" s="2" t="n">
        <x:v>20</x:v>
      </x:c>
      <x:c r="K3684" s="2"/>
      <x:c r="L3684" s="2"/>
    </x:row>
    <x:row r="3685" ht="22" customHeight="1">
      <x:c r="A3685" s="2"/>
      <x:c r="B3685" s="2" t="n">
        <x:v>3652</x:v>
      </x:c>
      <x:c r="C3685" s="2" t="str">
        <x:v>21268</x:v>
      </x:c>
      <x:c r="D3685" s="2" t="str">
        <x:v>VINTAGE BLUE TINSEL REEL</x:v>
      </x:c>
      <x:c r="E3685" s="11" t="n">
        <x:v>261.66</x:v>
      </x:c>
      <x:c r="F3685" s="11" t="n">
        <x:v>0</x:v>
      </x:c>
      <x:c r="G3685" s="11" t="n">
        <x:v>261.66</x:v>
      </x:c>
      <x:c r="H3685" s="23" t="n">
        <x:v>0.000012742928251700063</x:v>
      </x:c>
      <x:c r="I3685" s="23" t="n">
        <x:v>0.9944977468085875</x:v>
      </x:c>
      <x:c r="J3685" s="2" t="n">
        <x:v>49</x:v>
      </x:c>
      <x:c r="K3685" s="2"/>
      <x:c r="L3685" s="2"/>
    </x:row>
    <x:row r="3686" ht="22" customHeight="1">
      <x:c r="A3686" s="2"/>
      <x:c r="B3686" s="2" t="n">
        <x:v>3653</x:v>
      </x:c>
      <x:c r="C3686" s="2" t="str">
        <x:v>79328</x:v>
      </x:c>
      <x:c r="D3686" s="2" t="str">
        <x:v>BLUE FLOCK GLASS CANDLEHOLDER</x:v>
      </x:c>
      <x:c r="E3686" s="11" t="n">
        <x:v>260.76</x:v>
      </x:c>
      <x:c r="F3686" s="11" t="n">
        <x:v>1.52</x:v>
      </x:c>
      <x:c r="G3686" s="11" t="n">
        <x:v>259.24</x:v>
      </x:c>
      <x:c r="H3686" s="23" t="n">
        <x:v>0.000012699097955030605</x:v>
      </x:c>
      <x:c r="I3686" s="23" t="n">
        <x:v>0.9945104459065425</x:v>
      </x:c>
      <x:c r="J3686" s="2" t="n">
        <x:v>17</x:v>
      </x:c>
      <x:c r="K3686" s="2"/>
      <x:c r="L3686" s="2"/>
    </x:row>
    <x:row r="3687" ht="22" customHeight="1">
      <x:c r="A3687" s="2"/>
      <x:c r="B3687" s="2" t="n">
        <x:v>3654</x:v>
      </x:c>
      <x:c r="C3687" s="2" t="str">
        <x:v>72799D</x:v>
      </x:c>
      <x:c r="D3687" s="2" t="str">
        <x:v>BLUE PILLAR CANDLE SILVER FLOCK</x:v>
      </x:c>
      <x:c r="E3687" s="11" t="n">
        <x:v>260.67</x:v>
      </x:c>
      <x:c r="F3687" s="11" t="n">
        <x:v>0</x:v>
      </x:c>
      <x:c r="G3687" s="11" t="n">
        <x:v>260.67</x:v>
      </x:c>
      <x:c r="H3687" s="23" t="n">
        <x:v>0.000012694714925363661</x:v>
      </x:c>
      <x:c r="I3687" s="23" t="n">
        <x:v>0.9945231406214678</x:v>
      </x:c>
      <x:c r="J3687" s="2" t="n">
        <x:v>18</x:v>
      </x:c>
      <x:c r="K3687" s="2"/>
      <x:c r="L3687" s="2"/>
    </x:row>
    <x:row r="3688" ht="22" customHeight="1">
      <x:c r="A3688" s="2"/>
      <x:c r="B3688" s="2" t="n">
        <x:v>3655</x:v>
      </x:c>
      <x:c r="C3688" s="2" t="str">
        <x:v>84597B</x:v>
      </x:c>
      <x:c r="D3688" s="2" t="str">
        <x:v>damages</x:v>
      </x:c>
      <x:c r="E3688" s="11" t="n">
        <x:v>259.37</x:v>
      </x:c>
      <x:c r="F3688" s="11" t="n">
        <x:v>3.75</x:v>
      </x:c>
      <x:c r="G3688" s="11" t="n">
        <x:v>255.62</x:v>
      </x:c>
      <x:c r="H3688" s="23" t="n">
        <x:v>0.000012631404496841112</x:v>
      </x:c>
      <x:c r="I3688" s="23" t="n">
        <x:v>0.9945357720259647</x:v>
      </x:c>
      <x:c r="J3688" s="2" t="n">
        <x:v>27</x:v>
      </x:c>
      <x:c r="K3688" s="2"/>
      <x:c r="L3688" s="2"/>
    </x:row>
    <x:row r="3689" ht="22" customHeight="1">
      <x:c r="A3689" s="2"/>
      <x:c r="B3689" s="2" t="n">
        <x:v>3656</x:v>
      </x:c>
      <x:c r="C3689" s="2" t="str">
        <x:v>85095</x:v>
      </x:c>
      <x:c r="D3689" s="2" t="str">
        <x:v>THREE CANVAS LUGGAGE TAGS</x:v>
      </x:c>
      <x:c r="E3689" s="11" t="n">
        <x:v>259.09</x:v>
      </x:c>
      <x:c r="F3689" s="11" t="n">
        <x:v>0</x:v>
      </x:c>
      <x:c r="G3689" s="11" t="n">
        <x:v>259.09</x:v>
      </x:c>
      <x:c r="H3689" s="23" t="n">
        <x:v>0.000012617768404543946</x:v>
      </x:c>
      <x:c r="I3689" s="23" t="n">
        <x:v>0.9945483897943692</x:v>
      </x:c>
      <x:c r="J3689" s="2" t="n">
        <x:v>49</x:v>
      </x:c>
      <x:c r="K3689" s="2"/>
      <x:c r="L3689" s="2"/>
    </x:row>
    <x:row r="3690" ht="22" customHeight="1">
      <x:c r="A3690" s="2"/>
      <x:c r="B3690" s="2" t="n">
        <x:v>3657</x:v>
      </x:c>
      <x:c r="C3690" s="2" t="str">
        <x:v>84613C</x:v>
      </x:c>
      <x:c r="D3690" s="2" t="str">
        <x:v>BLUE NEW BAROQUE FLOCK CANDLESTICK</x:v>
      </x:c>
      <x:c r="E3690" s="11" t="n">
        <x:v>258.06</x:v>
      </x:c>
      <x:c r="F3690" s="11" t="n">
        <x:v>0</x:v>
      </x:c>
      <x:c r="G3690" s="11" t="n">
        <x:v>258.06</x:v>
      </x:c>
      <x:c r="H3690" s="23" t="n">
        <x:v>0.000012567607065022236</x:v>
      </x:c>
      <x:c r="I3690" s="23" t="n">
        <x:v>0.9945609574014342</x:v>
      </x:c>
      <x:c r="J3690" s="2" t="n">
        <x:v>12</x:v>
      </x:c>
      <x:c r="K3690" s="2"/>
      <x:c r="L3690" s="2"/>
    </x:row>
    <x:row r="3691" ht="22" customHeight="1">
      <x:c r="A3691" s="2"/>
      <x:c r="B3691" s="2" t="n">
        <x:v>3658</x:v>
      </x:c>
      <x:c r="C3691" s="2" t="str">
        <x:v>90035A</x:v>
      </x:c>
      <x:c r="D3691" s="2" t="str">
        <x:v>PEARL &amp; SHELL 42"NECKL. GREEN</x:v>
      </x:c>
      <x:c r="E3691" s="11" t="n">
        <x:v>257.55</x:v>
      </x:c>
      <x:c r="F3691" s="11" t="n">
        <x:v>0</x:v>
      </x:c>
      <x:c r="G3691" s="11" t="n">
        <x:v>257.55</x:v>
      </x:c>
      <x:c r="H3691" s="23" t="n">
        <x:v>0.000012542769896909544</x:v>
      </x:c>
      <x:c r="I3691" s="23" t="n">
        <x:v>0.9945735001713312</x:v>
      </x:c>
      <x:c r="J3691" s="2" t="n">
        <x:v>16</x:v>
      </x:c>
      <x:c r="K3691" s="2"/>
      <x:c r="L3691" s="2"/>
    </x:row>
    <x:row r="3692" ht="22" customHeight="1">
      <x:c r="A3692" s="2"/>
      <x:c r="B3692" s="2" t="n">
        <x:v>3659</x:v>
      </x:c>
      <x:c r="C3692" s="2" t="str">
        <x:v>84520b</x:v>
      </x:c>
      <x:c r="D3692" s="2" t="str">
        <x:v>PACK 20 ENGLISH ROSE PAPER NAPKINS</x:v>
      </x:c>
      <x:c r="E3692" s="11" t="n">
        <x:v>257.4</x:v>
      </x:c>
      <x:c r="F3692" s="11" t="n">
        <x:v>0</x:v>
      </x:c>
      <x:c r="G3692" s="11" t="n">
        <x:v>257.4</x:v>
      </x:c>
      <x:c r="H3692" s="23" t="n">
        <x:v>0.000012535464847464633</x:v>
      </x:c>
      <x:c r="I3692" s="23" t="n">
        <x:v>0.9945860356361786</x:v>
      </x:c>
      <x:c r="J3692" s="2" t="n">
        <x:v>10</x:v>
      </x:c>
      <x:c r="K3692" s="2"/>
      <x:c r="L3692" s="2"/>
    </x:row>
    <x:row r="3693" ht="22" customHeight="1">
      <x:c r="A3693" s="2"/>
      <x:c r="B3693" s="2" t="n">
        <x:v>3660</x:v>
      </x:c>
      <x:c r="C3693" s="2" t="str">
        <x:v>85179C</x:v>
      </x:c>
      <x:c r="D3693" s="2" t="str">
        <x:v>PINK BITTY LIGHT CHAIN</x:v>
      </x:c>
      <x:c r="E3693" s="11" t="n">
        <x:v>257.15</x:v>
      </x:c>
      <x:c r="F3693" s="11" t="n">
        <x:v>0</x:v>
      </x:c>
      <x:c r="G3693" s="11" t="n">
        <x:v>257.15</x:v>
      </x:c>
      <x:c r="H3693" s="23" t="n">
        <x:v>0.00001252328976505645</x:v>
      </x:c>
      <x:c r="I3693" s="23" t="n">
        <x:v>0.9945985589259437</x:v>
      </x:c>
      <x:c r="J3693" s="2" t="n">
        <x:v>40</x:v>
      </x:c>
      <x:c r="K3693" s="2"/>
      <x:c r="L3693" s="2"/>
    </x:row>
    <x:row r="3694" ht="22" customHeight="1">
      <x:c r="A3694" s="2"/>
      <x:c r="B3694" s="2" t="n">
        <x:v>3661</x:v>
      </x:c>
      <x:c r="C3694" s="2" t="str">
        <x:v>84371</x:v>
      </x:c>
      <x:c r="D3694" s="2" t="str">
        <x:v>BIG PINK POODLE</x:v>
      </x:c>
      <x:c r="E3694" s="11" t="n">
        <x:v>257.1</x:v>
      </x:c>
      <x:c r="F3694" s="11" t="n">
        <x:v>0</x:v>
      </x:c>
      <x:c r="G3694" s="11" t="n">
        <x:v>257.1</x:v>
      </x:c>
      <x:c r="H3694" s="23" t="n">
        <x:v>0.000012520854748574816</x:v>
      </x:c>
      <x:c r="I3694" s="23" t="n">
        <x:v>0.9946110797806923</x:v>
      </x:c>
      <x:c r="J3694" s="2" t="n">
        <x:v>6</x:v>
      </x:c>
      <x:c r="K3694" s="2"/>
      <x:c r="L3694" s="2"/>
    </x:row>
    <x:row r="3695" ht="22" customHeight="1">
      <x:c r="A3695" s="2"/>
      <x:c r="B3695" s="2" t="n">
        <x:v>3662</x:v>
      </x:c>
      <x:c r="C3695" s="2" t="str">
        <x:v>10123C</x:v>
      </x:c>
      <x:c r="D3695" s="2" t="str">
        <x:v>HEARTS WRAPPING TAPE </x:v>
      </x:c>
      <x:c r="E3695" s="11" t="n">
        <x:v>256.36</x:v>
      </x:c>
      <x:c r="F3695" s="11" t="n">
        <x:v>12.540000000000001</x:v>
      </x:c>
      <x:c r="G3695" s="11" t="n">
        <x:v>243.82000000000002</x:v>
      </x:c>
      <x:c r="H3695" s="23" t="n">
        <x:v>0.000012484816504646595</x:v>
      </x:c>
      <x:c r="I3695" s="23" t="n">
        <x:v>0.9946235645971969</x:v>
      </x:c>
      <x:c r="J3695" s="2" t="n">
        <x:v>63</x:v>
      </x:c>
      <x:c r="K3695" s="2"/>
      <x:c r="L3695" s="2"/>
    </x:row>
    <x:row r="3696" ht="22" customHeight="1">
      <x:c r="A3696" s="2"/>
      <x:c r="B3696" s="2" t="n">
        <x:v>3663</x:v>
      </x:c>
      <x:c r="C3696" s="2" t="str">
        <x:v>90040B</x:v>
      </x:c>
      <x:c r="D3696" s="2" t="str">
        <x:v>MURANO STYLE GLASS BRACELET BLACK</x:v>
      </x:c>
      <x:c r="E3696" s="11" t="n">
        <x:v>255.97</x:v>
      </x:c>
      <x:c r="F3696" s="11" t="n">
        <x:v>0</x:v>
      </x:c>
      <x:c r="G3696" s="11" t="n">
        <x:v>255.97</x:v>
      </x:c>
      <x:c r="H3696" s="23" t="n">
        <x:v>0.00001246582337608983</x:v>
      </x:c>
      <x:c r="I3696" s="23" t="n">
        <x:v>0.994636030420573</x:v>
      </x:c>
      <x:c r="J3696" s="2" t="n">
        <x:v>36</x:v>
      </x:c>
      <x:c r="K3696" s="2"/>
      <x:c r="L3696" s="2"/>
    </x:row>
    <x:row r="3697" ht="22" customHeight="1">
      <x:c r="A3697" s="2"/>
      <x:c r="B3697" s="2" t="n">
        <x:v>3664</x:v>
      </x:c>
      <x:c r="C3697" s="2" t="str">
        <x:v>22882</x:v>
      </x:c>
      <x:c r="D3697" s="2" t="str">
        <x:v>NUMBER TILE VINTAGE FONT 3</x:v>
      </x:c>
      <x:c r="E3697" s="11" t="n">
        <x:v>255.07999999999998</x:v>
      </x:c>
      <x:c r="F3697" s="11" t="n">
        <x:v>1.95</x:v>
      </x:c>
      <x:c r="G3697" s="11" t="n">
        <x:v>253.13</x:v>
      </x:c>
      <x:c r="H3697" s="23" t="n">
        <x:v>0.0000124224800827167</x:v>
      </x:c>
      <x:c r="I3697" s="23" t="n">
        <x:v>0.9946484529006557</x:v>
      </x:c>
      <x:c r="J3697" s="2" t="n">
        <x:v>50</x:v>
      </x:c>
      <x:c r="K3697" s="2"/>
      <x:c r="L3697" s="2"/>
    </x:row>
    <x:row r="3698" ht="22" customHeight="1">
      <x:c r="A3698" s="2"/>
      <x:c r="B3698" s="2" t="n">
        <x:v>3665</x:v>
      </x:c>
      <x:c r="C3698" s="2" t="str">
        <x:v>72801d</x:v>
      </x:c>
      <x:c r="D3698" s="2" t="str">
        <x:v>4 SKY BLUE DINNER CANDLES</x:v>
      </x:c>
      <x:c r="E3698" s="11" t="n">
        <x:v>254.98</x:v>
      </x:c>
      <x:c r="F3698" s="11" t="n">
        <x:v>0</x:v>
      </x:c>
      <x:c r="G3698" s="11" t="n">
        <x:v>254.98</x:v>
      </x:c>
      <x:c r="H3698" s="23" t="n">
        <x:v>0.000012417610049753428</x:v>
      </x:c>
      <x:c r="I3698" s="23" t="n">
        <x:v>0.9946608705107055</x:v>
      </x:c>
      <x:c r="J3698" s="2" t="n">
        <x:v>61</x:v>
      </x:c>
      <x:c r="K3698" s="2"/>
      <x:c r="L3698" s="2"/>
    </x:row>
    <x:row r="3699" ht="22" customHeight="1">
      <x:c r="A3699" s="2"/>
      <x:c r="B3699" s="2" t="n">
        <x:v>3666</x:v>
      </x:c>
      <x:c r="C3699" s="2" t="str">
        <x:v>17038</x:v>
      </x:c>
      <x:c r="D3699" s="2" t="str">
        <x:v>PORCELAIN BUDAH INCENSE HOLDER</x:v>
      </x:c>
      <x:c r="E3699" s="11" t="n">
        <x:v>254.51000000000002</x:v>
      </x:c>
      <x:c r="F3699" s="11" t="n">
        <x:v>0</x:v>
      </x:c>
      <x:c r="G3699" s="11" t="n">
        <x:v>254.51000000000002</x:v>
      </x:c>
      <x:c r="H3699" s="23" t="n">
        <x:v>0.000012394720894826046</x:v>
      </x:c>
      <x:c r="I3699" s="23" t="n">
        <x:v>0.9946732652316004</x:v>
      </x:c>
      <x:c r="J3699" s="2" t="n">
        <x:v>55</x:v>
      </x:c>
      <x:c r="K3699" s="2"/>
      <x:c r="L3699" s="2"/>
    </x:row>
    <x:row r="3700" ht="22" customHeight="1">
      <x:c r="A3700" s="2"/>
      <x:c r="B3700" s="2" t="n">
        <x:v>3667</x:v>
      </x:c>
      <x:c r="C3700" s="2" t="str">
        <x:v>85232b</x:v>
      </x:c>
      <x:c r="D3700" s="2" t="str">
        <x:v>SET OF 3 BABUSHKA STACKING TINS</x:v>
      </x:c>
      <x:c r="E3700" s="11" t="n">
        <x:v>254.47</x:v>
      </x:c>
      <x:c r="F3700" s="11" t="n">
        <x:v>0</x:v>
      </x:c>
      <x:c r="G3700" s="11" t="n">
        <x:v>254.47</x:v>
      </x:c>
      <x:c r="H3700" s="23" t="n">
        <x:v>0.000012392772881640736</x:v>
      </x:c>
      <x:c r="I3700" s="23" t="n">
        <x:v>0.994685658004482</x:v>
      </x:c>
      <x:c r="J3700" s="2" t="n">
        <x:v>22</x:v>
      </x:c>
      <x:c r="K3700" s="2"/>
      <x:c r="L3700" s="2"/>
    </x:row>
    <x:row r="3701" ht="22" customHeight="1">
      <x:c r="A3701" s="2"/>
      <x:c r="B3701" s="2" t="n">
        <x:v>3668</x:v>
      </x:c>
      <x:c r="C3701" s="2" t="str">
        <x:v>84461</x:v>
      </x:c>
      <x:c r="D3701" s="2" t="str">
        <x:v>12 PINK HEN+CHICKS IN BASKET</x:v>
      </x:c>
      <x:c r="E3701" s="11" t="n">
        <x:v>253.79</x:v>
      </x:c>
      <x:c r="F3701" s="11" t="n">
        <x:v>28.049999999999997</x:v>
      </x:c>
      <x:c r="G3701" s="11" t="n">
        <x:v>225.73999999999998</x:v>
      </x:c>
      <x:c r="H3701" s="23" t="n">
        <x:v>0.00001235965665749048</x:v>
      </x:c>
      <x:c r="I3701" s="23" t="n">
        <x:v>0.9946980176611395</x:v>
      </x:c>
      <x:c r="J3701" s="2" t="n">
        <x:v>40</x:v>
      </x:c>
      <x:c r="K3701" s="2"/>
      <x:c r="L3701" s="2"/>
    </x:row>
    <x:row r="3702" ht="22" customHeight="1">
      <x:c r="A3702" s="2"/>
      <x:c r="B3702" s="2" t="n">
        <x:v>3669</x:v>
      </x:c>
      <x:c r="C3702" s="2" t="str">
        <x:v>gift_0001_50</x:v>
      </x:c>
      <x:c r="D3702" s="2" t="str">
        <x:v>Dotcomgiftshop Gift Voucher £50.00</x:v>
      </x:c>
      <x:c r="E3702" s="11" t="n">
        <x:v>253.59</x:v>
      </x:c>
      <x:c r="F3702" s="11" t="n">
        <x:v>0</x:v>
      </x:c>
      <x:c r="G3702" s="11" t="n">
        <x:v>253.59</x:v>
      </x:c>
      <x:c r="H3702" s="23" t="n">
        <x:v>0.000012349916591563933</x:v>
      </x:c>
      <x:c r="I3702" s="23" t="n">
        <x:v>0.9947103675777311</x:v>
      </x:c>
      <x:c r="J3702" s="2" t="n">
        <x:v>6</x:v>
      </x:c>
      <x:c r="K3702" s="2"/>
      <x:c r="L3702" s="2"/>
    </x:row>
    <x:row r="3703" ht="22" customHeight="1">
      <x:c r="A3703" s="2"/>
      <x:c r="B3703" s="2" t="n">
        <x:v>3670</x:v>
      </x:c>
      <x:c r="C3703" s="2" t="str">
        <x:v>90028</x:v>
      </x:c>
      <x:c r="D3703" s="2" t="str">
        <x:v>NEW BAROQUE LARGE NECKLACE BLK/WHIT</x:v>
      </x:c>
      <x:c r="E3703" s="11" t="n">
        <x:v>253.29</x:v>
      </x:c>
      <x:c r="F3703" s="11" t="n">
        <x:v>0</x:v>
      </x:c>
      <x:c r="G3703" s="11" t="n">
        <x:v>253.29</x:v>
      </x:c>
      <x:c r="H3703" s="23" t="n">
        <x:v>0.000012335306492674115</x:v>
      </x:c>
      <x:c r="I3703" s="23" t="n">
        <x:v>0.9947227028842238</x:v>
      </x:c>
      <x:c r="J3703" s="2" t="n">
        <x:v>24</x:v>
      </x:c>
      <x:c r="K3703" s="2"/>
      <x:c r="L3703" s="2"/>
    </x:row>
    <x:row r="3704" ht="22" customHeight="1">
      <x:c r="A3704" s="2"/>
      <x:c r="B3704" s="2" t="n">
        <x:v>3671</x:v>
      </x:c>
      <x:c r="C3704" s="2" t="str">
        <x:v>21493</x:v>
      </x:c>
      <x:c r="D3704" s="2" t="str">
        <x:v>VINTAGE DESIGN GIFT TAGS</x:v>
      </x:c>
      <x:c r="E3704" s="11" t="n">
        <x:v>252.45</x:v>
      </x:c>
      <x:c r="F3704" s="11" t="n">
        <x:v>0</x:v>
      </x:c>
      <x:c r="G3704" s="11" t="n">
        <x:v>252.45</x:v>
      </x:c>
      <x:c r="H3704" s="23" t="n">
        <x:v>0.00001229439821578262</x:v>
      </x:c>
      <x:c r="I3704" s="23" t="n">
        <x:v>0.9947349972824396</x:v>
      </x:c>
      <x:c r="J3704" s="2" t="n">
        <x:v>29</x:v>
      </x:c>
      <x:c r="K3704" s="2"/>
      <x:c r="L3704" s="2"/>
    </x:row>
    <x:row r="3705" ht="22" customHeight="1">
      <x:c r="A3705" s="2"/>
      <x:c r="B3705" s="2" t="n">
        <x:v>3672</x:v>
      </x:c>
      <x:c r="C3705" s="2" t="str">
        <x:v>79338</x:v>
      </x:c>
      <x:c r="D3705" s="2" t="str">
        <x:v>DARK PINK FLOCK GLASS CANDLEHOLDER</x:v>
      </x:c>
      <x:c r="E3705" s="11" t="n">
        <x:v>252.29000000000002</x:v>
      </x:c>
      <x:c r="F3705" s="11" t="n">
        <x:v>0</x:v>
      </x:c>
      <x:c r="G3705" s="11" t="n">
        <x:v>252.29000000000002</x:v>
      </x:c>
      <x:c r="H3705" s="23" t="n">
        <x:v>0.000012286606163041386</x:v>
      </x:c>
      <x:c r="I3705" s="23" t="n">
        <x:v>0.9947472838886027</x:v>
      </x:c>
      <x:c r="J3705" s="2" t="n">
        <x:v>13</x:v>
      </x:c>
      <x:c r="K3705" s="2"/>
      <x:c r="L3705" s="2"/>
    </x:row>
    <x:row r="3706" ht="22" customHeight="1">
      <x:c r="A3706" s="2"/>
      <x:c r="B3706" s="2" t="n">
        <x:v>3673</x:v>
      </x:c>
      <x:c r="C3706" s="2" t="str">
        <x:v>22876</x:v>
      </x:c>
      <x:c r="D3706" s="2" t="str">
        <x:v>NUMBER TILE COTTAGE GARDEN 8</x:v>
      </x:c>
      <x:c r="E3706" s="11" t="n">
        <x:v>252.22</x:v>
      </x:c>
      <x:c r="F3706" s="11" t="n">
        <x:v>0</x:v>
      </x:c>
      <x:c r="G3706" s="11" t="n">
        <x:v>252.22</x:v>
      </x:c>
      <x:c r="H3706" s="23" t="n">
        <x:v>0.000012283197139967093</x:v>
      </x:c>
      <x:c r="I3706" s="23" t="n">
        <x:v>0.9947595670857426</x:v>
      </x:c>
      <x:c r="J3706" s="2" t="n">
        <x:v>23</x:v>
      </x:c>
      <x:c r="K3706" s="2"/>
      <x:c r="L3706" s="2"/>
    </x:row>
    <x:row r="3707" ht="22" customHeight="1">
      <x:c r="A3707" s="2"/>
      <x:c r="B3707" s="2" t="n">
        <x:v>3674</x:v>
      </x:c>
      <x:c r="C3707" s="2" t="str">
        <x:v>21370</x:v>
      </x:c>
      <x:c r="D3707" s="2" t="str">
        <x:v>MIRRORED WALL ART FOXY</x:v>
      </x:c>
      <x:c r="E3707" s="11" t="n">
        <x:v>251.97</x:v>
      </x:c>
      <x:c r="F3707" s="11" t="n">
        <x:v>0</x:v>
      </x:c>
      <x:c r="G3707" s="11" t="n">
        <x:v>251.97</x:v>
      </x:c>
      <x:c r="H3707" s="23" t="n">
        <x:v>0.000012271022057558911</x:v>
      </x:c>
      <x:c r="I3707" s="23" t="n">
        <x:v>0.9947718381078002</x:v>
      </x:c>
      <x:c r="J3707" s="2" t="n">
        <x:v>22</x:v>
      </x:c>
      <x:c r="K3707" s="2"/>
      <x:c r="L3707" s="2"/>
    </x:row>
    <x:row r="3708" ht="22" customHeight="1">
      <x:c r="A3708" s="2"/>
      <x:c r="B3708" s="2" t="n">
        <x:v>3675</x:v>
      </x:c>
      <x:c r="C3708" s="2" t="str">
        <x:v>23149</x:v>
      </x:c>
      <x:c r="D3708" s="2" t="str">
        <x:v>ANTIQUE IVORY WIRE BOWL SMALL</x:v>
      </x:c>
      <x:c r="E3708" s="11" t="n">
        <x:v>251.45000000000002</x:v>
      </x:c>
      <x:c r="F3708" s="11" t="n">
        <x:v>27.39</x:v>
      </x:c>
      <x:c r="G3708" s="11" t="n">
        <x:v>224.06000000000003</x:v>
      </x:c>
      <x:c r="H3708" s="23" t="n">
        <x:v>0.000012245697886149893</x:v>
      </x:c>
      <x:c r="I3708" s="23" t="n">
        <x:v>0.9947840838056864</x:v>
      </x:c>
      <x:c r="J3708" s="2" t="n">
        <x:v>21</x:v>
      </x:c>
      <x:c r="K3708" s="2"/>
      <x:c r="L3708" s="2"/>
    </x:row>
    <x:row r="3709" ht="22" customHeight="1">
      <x:c r="A3709" s="2"/>
      <x:c r="B3709" s="2" t="n">
        <x:v>3676</x:v>
      </x:c>
      <x:c r="C3709" s="2" t="str">
        <x:v>DCGSSBOY</x:v>
      </x:c>
      <x:c r="D3709" s="2" t="str">
        <x:v>BOYS PARTY BAG</x:v>
      </x:c>
      <x:c r="E3709" s="11" t="n">
        <x:v>251.35</x:v>
      </x:c>
      <x:c r="F3709" s="11" t="n">
        <x:v>0</x:v>
      </x:c>
      <x:c r="G3709" s="11" t="n">
        <x:v>251.35</x:v>
      </x:c>
      <x:c r="H3709" s="23" t="n">
        <x:v>0.000012240827853186618</x:v>
      </x:c>
      <x:c r="I3709" s="23" t="n">
        <x:v>0.9947963246335396</x:v>
      </x:c>
      <x:c r="J3709" s="2" t="n">
        <x:v>21</x:v>
      </x:c>
      <x:c r="K3709" s="2"/>
      <x:c r="L3709" s="2"/>
    </x:row>
    <x:row r="3710" ht="22" customHeight="1">
      <x:c r="A3710" s="2"/>
      <x:c r="B3710" s="2" t="n">
        <x:v>3677</x:v>
      </x:c>
      <x:c r="C3710" s="2" t="str">
        <x:v>90081C</x:v>
      </x:c>
      <x:c r="D3710" s="2" t="str">
        <x:v>LILY BROOCH OLIVE COLOUR</x:v>
      </x:c>
      <x:c r="E3710" s="11" t="n">
        <x:v>250.47000000000003</x:v>
      </x:c>
      <x:c r="F3710" s="11" t="n">
        <x:v>0</x:v>
      </x:c>
      <x:c r="G3710" s="11" t="n">
        <x:v>250.47000000000003</x:v>
      </x:c>
      <x:c r="H3710" s="23" t="n">
        <x:v>0.000012197971563109819</x:v>
      </x:c>
      <x:c r="I3710" s="23" t="n">
        <x:v>0.9948085226051028</x:v>
      </x:c>
      <x:c r="J3710" s="2" t="n">
        <x:v>36</x:v>
      </x:c>
      <x:c r="K3710" s="2"/>
      <x:c r="L3710" s="2"/>
    </x:row>
    <x:row r="3711" ht="22" customHeight="1">
      <x:c r="A3711" s="2"/>
      <x:c r="B3711" s="2" t="n">
        <x:v>3678</x:v>
      </x:c>
      <x:c r="C3711" s="2" t="str">
        <x:v>90073</x:v>
      </x:c>
      <x:c r="D3711" s="2" t="str">
        <x:v>VINTAGE ENAMEL &amp; CRYSTAL EARRINGS</x:v>
      </x:c>
      <x:c r="E3711" s="11" t="n">
        <x:v>250.34</x:v>
      </x:c>
      <x:c r="F3711" s="11" t="n">
        <x:v>0</x:v>
      </x:c>
      <x:c r="G3711" s="11" t="n">
        <x:v>250.34</x:v>
      </x:c>
      <x:c r="H3711" s="23" t="n">
        <x:v>0.000012191640520257561</x:v>
      </x:c>
      <x:c r="I3711" s="23" t="n">
        <x:v>0.994820714245623</x:v>
      </x:c>
      <x:c r="J3711" s="2" t="n">
        <x:v>34</x:v>
      </x:c>
      <x:c r="K3711" s="2"/>
      <x:c r="L3711" s="2"/>
    </x:row>
    <x:row r="3712" ht="22" customHeight="1">
      <x:c r="A3712" s="2"/>
      <x:c r="B3712" s="2" t="n">
        <x:v>3679</x:v>
      </x:c>
      <x:c r="C3712" s="2" t="str">
        <x:v>47503H</x:v>
      </x:c>
      <x:c r="D3712" s="2" t="str">
        <x:v>ASS FLORAL PRINT SPIRIT LEVEL </x:v>
      </x:c>
      <x:c r="E3712" s="11" t="n">
        <x:v>250.02</x:v>
      </x:c>
      <x:c r="F3712" s="11" t="n">
        <x:v>1.95</x:v>
      </x:c>
      <x:c r="G3712" s="11" t="n">
        <x:v>248.07</x:v>
      </x:c>
      <x:c r="H3712" s="23" t="n">
        <x:v>0.000012176056414775088</x:v>
      </x:c>
      <x:c r="I3712" s="23" t="n">
        <x:v>0.9948328903020378</x:v>
      </x:c>
      <x:c r="J3712" s="2" t="n">
        <x:v>60</x:v>
      </x:c>
      <x:c r="K3712" s="2"/>
      <x:c r="L3712" s="2"/>
    </x:row>
    <x:row r="3713" ht="22" customHeight="1">
      <x:c r="A3713" s="2"/>
      <x:c r="B3713" s="2" t="n">
        <x:v>3680</x:v>
      </x:c>
      <x:c r="C3713" s="2" t="str">
        <x:v>20836</x:v>
      </x:c>
      <x:c r="D3713" s="2" t="str">
        <x:v>FRENCH PAISLEY CUSHION COVER</x:v>
      </x:c>
      <x:c r="E3713" s="11" t="n">
        <x:v>250</x:v>
      </x:c>
      <x:c r="F3713" s="11" t="n">
        <x:v>45.36000000000001</x:v>
      </x:c>
      <x:c r="G3713" s="11" t="n">
        <x:v>204.64</x:v>
      </x:c>
      <x:c r="H3713" s="23" t="n">
        <x:v>0.000012175082408182433</x:v>
      </x:c>
      <x:c r="I3713" s="23" t="n">
        <x:v>0.994845065384446</x:v>
      </x:c>
      <x:c r="J3713" s="2" t="n">
        <x:v>22</x:v>
      </x:c>
      <x:c r="K3713" s="2"/>
      <x:c r="L3713" s="2"/>
    </x:row>
    <x:row r="3714" ht="22" customHeight="1">
      <x:c r="A3714" s="2"/>
      <x:c r="B3714" s="2" t="n">
        <x:v>3681</x:v>
      </x:c>
      <x:c r="C3714" s="2" t="str">
        <x:v>21460</x:v>
      </x:c>
      <x:c r="D3714" s="2" t="str">
        <x:v>GREEN EASTER EGG HUNT START POST</x:v>
      </x:c>
      <x:c r="E3714" s="11" t="n">
        <x:v>249.64999999999998</x:v>
      </x:c>
      <x:c r="F3714" s="11" t="n">
        <x:v>15.6</x:v>
      </x:c>
      <x:c r="G3714" s="11" t="n">
        <x:v>234.04999999999998</x:v>
      </x:c>
      <x:c r="H3714" s="23" t="n">
        <x:v>0.000012158037292810978</x:v>
      </x:c>
      <x:c r="I3714" s="23" t="n">
        <x:v>0.9948572234217388</x:v>
      </x:c>
      <x:c r="J3714" s="2" t="n">
        <x:v>27</x:v>
      </x:c>
      <x:c r="K3714" s="2"/>
      <x:c r="L3714" s="2"/>
    </x:row>
    <x:row r="3715" ht="22" customHeight="1">
      <x:c r="A3715" s="2"/>
      <x:c r="B3715" s="2" t="n">
        <x:v>3682</x:v>
      </x:c>
      <x:c r="C3715" s="2" t="str">
        <x:v>90170</x:v>
      </x:c>
      <x:c r="D3715" s="2" t="str">
        <x:v>DAISY HAIR BAND</x:v>
      </x:c>
      <x:c r="E3715" s="11" t="n">
        <x:v>249.57999999999998</x:v>
      </x:c>
      <x:c r="F3715" s="11" t="n">
        <x:v>19.799999999999997</x:v>
      </x:c>
      <x:c r="G3715" s="11" t="n">
        <x:v>229.78</x:v>
      </x:c>
      <x:c r="H3715" s="23" t="n">
        <x:v>0.000012154628269736687</x:v>
      </x:c>
      <x:c r="I3715" s="23" t="n">
        <x:v>0.9948693780500085</x:v>
      </x:c>
      <x:c r="J3715" s="2" t="n">
        <x:v>73</x:v>
      </x:c>
      <x:c r="K3715" s="2"/>
      <x:c r="L3715" s="2"/>
    </x:row>
    <x:row r="3716" ht="22" customHeight="1">
      <x:c r="A3716" s="2"/>
      <x:c r="B3716" s="2" t="n">
        <x:v>3683</x:v>
      </x:c>
      <x:c r="C3716" s="2" t="str">
        <x:v>90087</x:v>
      </x:c>
      <x:c r="D3716" s="2" t="str">
        <x:v>CRYSTAL SEA HORSE PHONE CHARM</x:v>
      </x:c>
      <x:c r="E3716" s="11" t="n">
        <x:v>249.55999999999997</x:v>
      </x:c>
      <x:c r="F3716" s="11" t="n">
        <x:v>42.5</x:v>
      </x:c>
      <x:c r="G3716" s="11" t="n">
        <x:v>207.06</x:v>
      </x:c>
      <x:c r="H3716" s="23" t="n">
        <x:v>0.000012153654263144032</x:v>
      </x:c>
      <x:c r="I3716" s="23" t="n">
        <x:v>0.9948815317042716</x:v>
      </x:c>
      <x:c r="J3716" s="2" t="n">
        <x:v>53</x:v>
      </x:c>
      <x:c r="K3716" s="2"/>
      <x:c r="L3716" s="2"/>
    </x:row>
    <x:row r="3717" ht="22" customHeight="1">
      <x:c r="A3717" s="2"/>
      <x:c r="B3717" s="2" t="n">
        <x:v>3684</x:v>
      </x:c>
      <x:c r="C3717" s="2" t="str">
        <x:v>46307</x:v>
      </x:c>
      <x:c r="D3717" s="2" t="str">
        <x:v>ROSES BLUE BASE CUSHION COVER </x:v>
      </x:c>
      <x:c r="E3717" s="11" t="n">
        <x:v>249.33</x:v>
      </x:c>
      <x:c r="F3717" s="11" t="n">
        <x:v>0</x:v>
      </x:c>
      <x:c r="G3717" s="11" t="n">
        <x:v>249.33</x:v>
      </x:c>
      <x:c r="H3717" s="23" t="n">
        <x:v>0.000012142453187328505</x:v>
      </x:c>
      <x:c r="I3717" s="23" t="n">
        <x:v>0.994893674157459</x:v>
      </x:c>
      <x:c r="J3717" s="2" t="n">
        <x:v>33</x:v>
      </x:c>
      <x:c r="K3717" s="2"/>
      <x:c r="L3717" s="2"/>
    </x:row>
    <x:row r="3718" ht="22" customHeight="1">
      <x:c r="A3718" s="2"/>
      <x:c r="B3718" s="2" t="n">
        <x:v>3685</x:v>
      </x:c>
      <x:c r="C3718" s="2" t="str">
        <x:v>84030c</x:v>
      </x:c>
      <x:c r="D3718" s="2" t="str">
        <x:v>KNITTED RAINBOW HOT WATER BOTTLE</x:v>
      </x:c>
      <x:c r="E3718" s="11" t="n">
        <x:v>248</x:v>
      </x:c>
      <x:c r="F3718" s="11" t="n">
        <x:v>0</x:v>
      </x:c>
      <x:c r="G3718" s="11" t="n">
        <x:v>248</x:v>
      </x:c>
      <x:c r="H3718" s="23" t="n">
        <x:v>0.000012077681748916975</x:v>
      </x:c>
      <x:c r="I3718" s="23" t="n">
        <x:v>0.9949057518392079</x:v>
      </x:c>
      <x:c r="J3718" s="2" t="n">
        <x:v>13</x:v>
      </x:c>
      <x:c r="K3718" s="2"/>
      <x:c r="L3718" s="2"/>
    </x:row>
    <x:row r="3719" ht="22" customHeight="1">
      <x:c r="A3719" s="2"/>
      <x:c r="B3719" s="2" t="n">
        <x:v>3686</x:v>
      </x:c>
      <x:c r="C3719" s="2" t="str">
        <x:v>90081A</x:v>
      </x:c>
      <x:c r="D3719" s="2" t="str">
        <x:v>LILY BROOCH AMETHYST COLOUR</x:v>
      </x:c>
      <x:c r="E3719" s="11" t="n">
        <x:v>247.75000000000003</x:v>
      </x:c>
      <x:c r="F3719" s="11" t="n">
        <x:v>0</x:v>
      </x:c>
      <x:c r="G3719" s="11" t="n">
        <x:v>247.75000000000003</x:v>
      </x:c>
      <x:c r="H3719" s="23" t="n">
        <x:v>0.000012065506666508793</x:v>
      </x:c>
      <x:c r="I3719" s="23" t="n">
        <x:v>0.9949178173458745</x:v>
      </x:c>
      <x:c r="J3719" s="2" t="n">
        <x:v>24</x:v>
      </x:c>
      <x:c r="K3719" s="2"/>
      <x:c r="L3719" s="2"/>
    </x:row>
    <x:row r="3720" ht="22" customHeight="1">
      <x:c r="A3720" s="2"/>
      <x:c r="B3720" s="2" t="n">
        <x:v>3687</x:v>
      </x:c>
      <x:c r="C3720" s="2" t="str">
        <x:v>23465</x:v>
      </x:c>
      <x:c r="D3720" s="2" t="str">
        <x:v>TUSCAN VILLA BIRD FEEDER</x:v>
      </x:c>
      <x:c r="E3720" s="11" t="n">
        <x:v>247.63</x:v>
      </x:c>
      <x:c r="F3720" s="11" t="n">
        <x:v>0</x:v>
      </x:c>
      <x:c r="G3720" s="11" t="n">
        <x:v>247.63</x:v>
      </x:c>
      <x:c r="H3720" s="23" t="n">
        <x:v>0.000012059662626952864</x:v>
      </x:c>
      <x:c r="I3720" s="23" t="n">
        <x:v>0.9949298770085014</x:v>
      </x:c>
      <x:c r="J3720" s="2" t="n">
        <x:v>16</x:v>
      </x:c>
      <x:c r="K3720" s="2"/>
      <x:c r="L3720" s="2"/>
    </x:row>
    <x:row r="3721" ht="22" customHeight="1">
      <x:c r="A3721" s="2"/>
      <x:c r="B3721" s="2" t="n">
        <x:v>3688</x:v>
      </x:c>
      <x:c r="C3721" s="2" t="str">
        <x:v>84621</x:v>
      </x:c>
      <x:c r="D3721" s="2" t="str">
        <x:v>BLUE GINGHAM ROSE FLOOR CUSHION </x:v>
      </x:c>
      <x:c r="E3721" s="11" t="n">
        <x:v>247.26</x:v>
      </x:c>
      <x:c r="F3721" s="11" t="n">
        <x:v>0</x:v>
      </x:c>
      <x:c r="G3721" s="11" t="n">
        <x:v>247.26</x:v>
      </x:c>
      <x:c r="H3721" s="23" t="n">
        <x:v>0.000012041643504988754</x:v>
      </x:c>
      <x:c r="I3721" s="23" t="n">
        <x:v>0.9949419186520064</x:v>
      </x:c>
      <x:c r="J3721" s="2" t="n">
        <x:v>15</x:v>
      </x:c>
      <x:c r="K3721" s="2"/>
      <x:c r="L3721" s="2"/>
    </x:row>
    <x:row r="3722" ht="22" customHeight="1">
      <x:c r="A3722" s="2"/>
      <x:c r="B3722" s="2" t="n">
        <x:v>3689</x:v>
      </x:c>
      <x:c r="C3722" s="2" t="str">
        <x:v>90036C</x:v>
      </x:c>
      <x:c r="D3722" s="2" t="str">
        <x:v>FLOWER GLASS GARLAND NECKL.36"BLUE</x:v>
      </x:c>
      <x:c r="E3722" s="11" t="n">
        <x:v>246.83</x:v>
      </x:c>
      <x:c r="F3722" s="11" t="n">
        <x:v>0</x:v>
      </x:c>
      <x:c r="G3722" s="11" t="n">
        <x:v>246.83</x:v>
      </x:c>
      <x:c r="H3722" s="23" t="n">
        <x:v>0.000012020702363246682</x:v>
      </x:c>
      <x:c r="I3722" s="23" t="n">
        <x:v>0.9949539393543697</x:v>
      </x:c>
      <x:c r="J3722" s="2" t="n">
        <x:v>15</x:v>
      </x:c>
      <x:c r="K3722" s="2"/>
      <x:c r="L3722" s="2"/>
    </x:row>
    <x:row r="3723" ht="22" customHeight="1">
      <x:c r="A3723" s="2"/>
      <x:c r="B3723" s="2" t="n">
        <x:v>3690</x:v>
      </x:c>
      <x:c r="C3723" s="2" t="str">
        <x:v>82011A</x:v>
      </x:c>
      <x:c r="D3723" s="2" t="str">
        <x:v>BATHROOM SCALES, TROPICAL BEACH</x:v>
      </x:c>
      <x:c r="E3723" s="11" t="n">
        <x:v>246.58</x:v>
      </x:c>
      <x:c r="F3723" s="11" t="n">
        <x:v>3.75</x:v>
      </x:c>
      <x:c r="G3723" s="11" t="n">
        <x:v>242.83</x:v>
      </x:c>
      <x:c r="H3723" s="23" t="n">
        <x:v>0.0000120085272808385</x:v>
      </x:c>
      <x:c r="I3723" s="23" t="n">
        <x:v>0.9949659478816506</x:v>
      </x:c>
      <x:c r="J3723" s="2" t="n">
        <x:v>34</x:v>
      </x:c>
      <x:c r="K3723" s="2"/>
      <x:c r="L3723" s="2"/>
    </x:row>
    <x:row r="3724" ht="22" customHeight="1">
      <x:c r="A3724" s="2"/>
      <x:c r="B3724" s="2" t="n">
        <x:v>3691</x:v>
      </x:c>
      <x:c r="C3724" s="2" t="str">
        <x:v>90119</x:v>
      </x:c>
      <x:c r="D3724" s="2" t="str">
        <x:v>METALIC LEAVES BAG CHARMS</x:v>
      </x:c>
      <x:c r="E3724" s="11" t="n">
        <x:v>245.61999999999998</x:v>
      </x:c>
      <x:c r="F3724" s="11" t="n">
        <x:v>0</x:v>
      </x:c>
      <x:c r="G3724" s="11" t="n">
        <x:v>245.61999999999998</x:v>
      </x:c>
      <x:c r="H3724" s="23" t="n">
        <x:v>0.000011961774964391077</x:v>
      </x:c>
      <x:c r="I3724" s="23" t="n">
        <x:v>0.994977909656615</x:v>
      </x:c>
      <x:c r="J3724" s="2" t="n">
        <x:v>42</x:v>
      </x:c>
      <x:c r="K3724" s="2"/>
      <x:c r="L3724" s="2"/>
    </x:row>
    <x:row r="3725" ht="22" customHeight="1">
      <x:c r="A3725" s="2"/>
      <x:c r="B3725" s="2" t="n">
        <x:v>3692</x:v>
      </x:c>
      <x:c r="C3725" s="2" t="str">
        <x:v>84993B</x:v>
      </x:c>
      <x:c r="D3725" s="2" t="str">
        <x:v>75 BLACK PETIT FOUR CASES</x:v>
      </x:c>
      <x:c r="E3725" s="11" t="n">
        <x:v>244.08</x:v>
      </x:c>
      <x:c r="F3725" s="11" t="n">
        <x:v>0</x:v>
      </x:c>
      <x:c r="G3725" s="11" t="n">
        <x:v>244.08</x:v>
      </x:c>
      <x:c r="H3725" s="23" t="n">
        <x:v>0.000011886776456756674</x:v>
      </x:c>
      <x:c r="I3725" s="23" t="n">
        <x:v>0.9949897964330718</x:v>
      </x:c>
      <x:c r="J3725" s="2" t="n">
        <x:v>86</x:v>
      </x:c>
      <x:c r="K3725" s="2"/>
      <x:c r="L3725" s="2"/>
    </x:row>
    <x:row r="3726" ht="22" customHeight="1">
      <x:c r="A3726" s="2"/>
      <x:c r="B3726" s="2" t="n">
        <x:v>3693</x:v>
      </x:c>
      <x:c r="C3726" s="2" t="str">
        <x:v>90096</x:v>
      </x:c>
      <x:c r="D3726" s="2" t="str">
        <x:v>NECKLACE+BRACELET SET BLUE BLOSSOM</x:v>
      </x:c>
      <x:c r="E3726" s="11" t="n">
        <x:v>243.60999999999999</x:v>
      </x:c>
      <x:c r="F3726" s="11" t="n">
        <x:v>0</x:v>
      </x:c>
      <x:c r="G3726" s="11" t="n">
        <x:v>243.60999999999999</x:v>
      </x:c>
      <x:c r="H3726" s="23" t="n">
        <x:v>0.00001186388730182929</x:v>
      </x:c>
      <x:c r="I3726" s="23" t="n">
        <x:v>0.9950016603203736</x:v>
      </x:c>
      <x:c r="J3726" s="2" t="n">
        <x:v>49</x:v>
      </x:c>
      <x:c r="K3726" s="2"/>
      <x:c r="L3726" s="2"/>
    </x:row>
    <x:row r="3727" ht="22" customHeight="1">
      <x:c r="A3727" s="2"/>
      <x:c r="B3727" s="2" t="n">
        <x:v>3694</x:v>
      </x:c>
      <x:c r="C3727" s="2" t="str">
        <x:v>90129C</x:v>
      </x:c>
      <x:c r="D3727" s="2" t="str">
        <x:v>GREEN GLASS TASSLE BAG CHARM</x:v>
      </x:c>
      <x:c r="E3727" s="11" t="n">
        <x:v>243.38</x:v>
      </x:c>
      <x:c r="F3727" s="11" t="n">
        <x:v>0</x:v>
      </x:c>
      <x:c r="G3727" s="11" t="n">
        <x:v>243.38</x:v>
      </x:c>
      <x:c r="H3727" s="23" t="n">
        <x:v>0.000011852686226013763</x:v>
      </x:c>
      <x:c r="I3727" s="23" t="n">
        <x:v>0.9950135130065997</x:v>
      </x:c>
      <x:c r="J3727" s="2" t="n">
        <x:v>51</x:v>
      </x:c>
      <x:c r="K3727" s="2"/>
      <x:c r="L3727" s="2"/>
    </x:row>
    <x:row r="3728" ht="22" customHeight="1">
      <x:c r="A3728" s="2"/>
      <x:c r="B3728" s="2" t="n">
        <x:v>3695</x:v>
      </x:c>
      <x:c r="C3728" s="2" t="str">
        <x:v>35818P</x:v>
      </x:c>
      <x:c r="D3728" s="2" t="str">
        <x:v>ACRYLIC JEWEL ICICLE, PINK</x:v>
      </x:c>
      <x:c r="E3728" s="11" t="n">
        <x:v>243.29</x:v>
      </x:c>
      <x:c r="F3728" s="11" t="n">
        <x:v>0</x:v>
      </x:c>
      <x:c r="G3728" s="11" t="n">
        <x:v>243.29</x:v>
      </x:c>
      <x:c r="H3728" s="23" t="n">
        <x:v>0.000011848303196346818</x:v>
      </x:c>
      <x:c r="I3728" s="23" t="n">
        <x:v>0.995025361309796</x:v>
      </x:c>
      <x:c r="J3728" s="2" t="n">
        <x:v>25</x:v>
      </x:c>
      <x:c r="K3728" s="2"/>
      <x:c r="L3728" s="2"/>
    </x:row>
    <x:row r="3729" ht="22" customHeight="1">
      <x:c r="A3729" s="2"/>
      <x:c r="B3729" s="2" t="n">
        <x:v>3696</x:v>
      </x:c>
      <x:c r="C3729" s="2" t="str">
        <x:v>90196A</x:v>
      </x:c>
      <x:c r="D3729" s="2" t="str">
        <x:v>PURPLE GEMSTONE NECKLACE 45CM</x:v>
      </x:c>
      <x:c r="E3729" s="11" t="n">
        <x:v>242.25</x:v>
      </x:c>
      <x:c r="F3729" s="11" t="n">
        <x:v>12.75</x:v>
      </x:c>
      <x:c r="G3729" s="11" t="n">
        <x:v>229.5</x:v>
      </x:c>
      <x:c r="H3729" s="23" t="n">
        <x:v>0.000011797654853528778</x:v>
      </x:c>
      <x:c r="I3729" s="23" t="n">
        <x:v>0.9950371589646495</x:v>
      </x:c>
      <x:c r="J3729" s="2" t="n">
        <x:v>11</x:v>
      </x:c>
      <x:c r="K3729" s="2"/>
      <x:c r="L3729" s="2"/>
    </x:row>
    <x:row r="3730" ht="22" customHeight="1">
      <x:c r="A3730" s="2"/>
      <x:c r="B3730" s="2" t="n">
        <x:v>3697</x:v>
      </x:c>
      <x:c r="C3730" s="2" t="str">
        <x:v>23475</x:v>
      </x:c>
      <x:c r="D3730" s="2" t="str">
        <x:v>WOODLAND SMALL PINK FELT HEART</x:v>
      </x:c>
      <x:c r="E3730" s="11" t="n">
        <x:v>242.17999999999998</x:v>
      </x:c>
      <x:c r="F3730" s="11" t="n">
        <x:v>0</x:v>
      </x:c>
      <x:c r="G3730" s="11" t="n">
        <x:v>242.17999999999998</x:v>
      </x:c>
      <x:c r="H3730" s="23" t="n">
        <x:v>0.000011794245830454486</x:v>
      </x:c>
      <x:c r="I3730" s="23" t="n">
        <x:v>0.9950489532104799</x:v>
      </x:c>
      <x:c r="J3730" s="2" t="n">
        <x:v>31</x:v>
      </x:c>
      <x:c r="K3730" s="2"/>
      <x:c r="L3730" s="2"/>
    </x:row>
    <x:row r="3731" ht="22" customHeight="1">
      <x:c r="A3731" s="2"/>
      <x:c r="B3731" s="2" t="n">
        <x:v>3698</x:v>
      </x:c>
      <x:c r="C3731" s="2" t="str">
        <x:v>90196B</x:v>
      </x:c>
      <x:c r="D3731" s="2" t="str">
        <x:v>BLACK GEMSTONE NECKLACE 45CM</x:v>
      </x:c>
      <x:c r="E3731" s="11" t="n">
        <x:v>241.98</x:v>
      </x:c>
      <x:c r="F3731" s="11" t="n">
        <x:v>0</x:v>
      </x:c>
      <x:c r="G3731" s="11" t="n">
        <x:v>241.98</x:v>
      </x:c>
      <x:c r="H3731" s="23" t="n">
        <x:v>0.000011784505764527941</x:v>
      </x:c>
      <x:c r="I3731" s="23" t="n">
        <x:v>0.9950607377162445</x:v>
      </x:c>
      <x:c r="J3731" s="2" t="n">
        <x:v>14</x:v>
      </x:c>
      <x:c r="K3731" s="2"/>
      <x:c r="L3731" s="2"/>
    </x:row>
    <x:row r="3732" ht="22" customHeight="1">
      <x:c r="A3732" s="2"/>
      <x:c r="B3732" s="2" t="n">
        <x:v>3699</x:v>
      </x:c>
      <x:c r="C3732" s="2" t="str">
        <x:v>23143</x:v>
      </x:c>
      <x:c r="D3732" s="2" t="str">
        <x:v>ZINC WIRE KITCHEN ORGANISER</x:v>
      </x:c>
      <x:c r="E3732" s="11" t="n">
        <x:v>239.97</x:v>
      </x:c>
      <x:c r="F3732" s="11" t="n">
        <x:v>0</x:v>
      </x:c>
      <x:c r="G3732" s="11" t="n">
        <x:v>239.97</x:v>
      </x:c>
      <x:c r="H3732" s="23" t="n">
        <x:v>0.000011686618101966155</x:v>
      </x:c>
      <x:c r="I3732" s="23" t="n">
        <x:v>0.9950724243343464</x:v>
      </x:c>
      <x:c r="J3732" s="2" t="n">
        <x:v>16</x:v>
      </x:c>
      <x:c r="K3732" s="2"/>
      <x:c r="L3732" s="2"/>
    </x:row>
    <x:row r="3733" ht="22" customHeight="1">
      <x:c r="A3733" s="2"/>
      <x:c r="B3733" s="2" t="n">
        <x:v>3700</x:v>
      </x:c>
      <x:c r="C3733" s="2" t="str">
        <x:v>20855</x:v>
      </x:c>
      <x:c r="D3733" s="2" t="str">
        <x:v>PINK PATCH PURSE BLUE HEART</x:v>
      </x:c>
      <x:c r="E3733" s="11" t="n">
        <x:v>239.24999999999997</x:v>
      </x:c>
      <x:c r="F3733" s="11" t="n">
        <x:v>1.65</x:v>
      </x:c>
      <x:c r="G3733" s="11" t="n">
        <x:v>237.59999999999997</x:v>
      </x:c>
      <x:c r="H3733" s="23" t="n">
        <x:v>0.000011651553864630587</x:v>
      </x:c>
      <x:c r="I3733" s="23" t="n">
        <x:v>0.995084075888211</x:v>
      </x:c>
      <x:c r="J3733" s="2" t="n">
        <x:v>47</x:v>
      </x:c>
      <x:c r="K3733" s="2"/>
      <x:c r="L3733" s="2"/>
    </x:row>
    <x:row r="3734" ht="22" customHeight="1">
      <x:c r="A3734" s="2"/>
      <x:c r="B3734" s="2" t="n">
        <x:v>3701</x:v>
      </x:c>
      <x:c r="C3734" s="2" t="str">
        <x:v>90210D</x:v>
      </x:c>
      <x:c r="D3734" s="2" t="str">
        <x:v>PURPLE ACRYLIC FACETED BANGLE</x:v>
      </x:c>
      <x:c r="E3734" s="11" t="n">
        <x:v>238.68</x:v>
      </x:c>
      <x:c r="F3734" s="11" t="n">
        <x:v>0</x:v>
      </x:c>
      <x:c r="G3734" s="11" t="n">
        <x:v>238.68</x:v>
      </x:c>
      <x:c r="H3734" s="23" t="n">
        <x:v>0.000011623794676739933</x:v>
      </x:c>
      <x:c r="I3734" s="23" t="n">
        <x:v>0.9950956996828878</x:v>
      </x:c>
      <x:c r="J3734" s="2" t="n">
        <x:v>23</x:v>
      </x:c>
      <x:c r="K3734" s="2"/>
      <x:c r="L3734" s="2"/>
    </x:row>
    <x:row r="3735" ht="22" customHeight="1">
      <x:c r="A3735" s="2"/>
      <x:c r="B3735" s="2" t="n">
        <x:v>3702</x:v>
      </x:c>
      <x:c r="C3735" s="2" t="str">
        <x:v>84629</x:v>
      </x:c>
      <x:c r="D3735" s="2" t="str">
        <x:v>WHITE 3 FRAME BIRDS AND TREE </x:v>
      </x:c>
      <x:c r="E3735" s="11" t="n">
        <x:v>237.8</x:v>
      </x:c>
      <x:c r="F3735" s="11" t="n">
        <x:v>4.95</x:v>
      </x:c>
      <x:c r="G3735" s="11" t="n">
        <x:v>232.85</x:v>
      </x:c>
      <x:c r="H3735" s="23" t="n">
        <x:v>0.000011580938386663132</x:v>
      </x:c>
      <x:c r="I3735" s="23" t="n">
        <x:v>0.9951072806212745</x:v>
      </x:c>
      <x:c r="J3735" s="2" t="n">
        <x:v>13</x:v>
      </x:c>
      <x:c r="K3735" s="2"/>
      <x:c r="L3735" s="2"/>
    </x:row>
    <x:row r="3736" ht="22" customHeight="1">
      <x:c r="A3736" s="2"/>
      <x:c r="B3736" s="2" t="n">
        <x:v>3703</x:v>
      </x:c>
      <x:c r="C3736" s="2" t="str">
        <x:v>82553</x:v>
      </x:c>
      <x:c r="D3736" s="2" t="str">
        <x:v>POP'S GREASY SPOON METAL SIGN</x:v>
      </x:c>
      <x:c r="E3736" s="11" t="n">
        <x:v>237.73</x:v>
      </x:c>
      <x:c r="F3736" s="11" t="n">
        <x:v>0</x:v>
      </x:c>
      <x:c r="G3736" s="11" t="n">
        <x:v>237.73</x:v>
      </x:c>
      <x:c r="H3736" s="23" t="n">
        <x:v>0.00001157752936358884</x:v>
      </x:c>
      <x:c r="I3736" s="23" t="n">
        <x:v>0.995118858150638</x:v>
      </x:c>
      <x:c r="J3736" s="2" t="n">
        <x:v>42</x:v>
      </x:c>
      <x:c r="K3736" s="2"/>
      <x:c r="L3736" s="2"/>
    </x:row>
    <x:row r="3737" ht="22" customHeight="1">
      <x:c r="A3737" s="2"/>
      <x:c r="B3737" s="2" t="n">
        <x:v>3704</x:v>
      </x:c>
      <x:c r="C3737" s="2" t="str">
        <x:v>37508</x:v>
      </x:c>
      <x:c r="D3737" s="2" t="str">
        <x:v>NEW ENGLAND CERAMIC CAKE SERVER</x:v>
      </x:c>
      <x:c r="E3737" s="11" t="n">
        <x:v>237.21999999999997</x:v>
      </x:c>
      <x:c r="F3737" s="11" t="n">
        <x:v>0</x:v>
      </x:c>
      <x:c r="G3737" s="11" t="n">
        <x:v>237.21999999999997</x:v>
      </x:c>
      <x:c r="H3737" s="23" t="n">
        <x:v>0.000011552692195476146</x:v>
      </x:c>
      <x:c r="I3737" s="23" t="n">
        <x:v>0.9951304108428335</x:v>
      </x:c>
      <x:c r="J3737" s="2" t="n">
        <x:v>46</x:v>
      </x:c>
      <x:c r="K3737" s="2"/>
      <x:c r="L3737" s="2"/>
    </x:row>
    <x:row r="3738" ht="22" customHeight="1">
      <x:c r="A3738" s="2"/>
      <x:c r="B3738" s="2" t="n">
        <x:v>3705</x:v>
      </x:c>
      <x:c r="C3738" s="2" t="str">
        <x:v>82585</x:v>
      </x:c>
      <x:c r="D3738" s="2" t="str">
        <x:v>SWEET VALENCIA CANDLE+CUP</x:v>
      </x:c>
      <x:c r="E3738" s="11" t="n">
        <x:v>237.15</x:v>
      </x:c>
      <x:c r="F3738" s="11" t="n">
        <x:v>15</x:v>
      </x:c>
      <x:c r="G3738" s="11" t="n">
        <x:v>222.15</x:v>
      </x:c>
      <x:c r="H3738" s="23" t="n">
        <x:v>0.000011549283172401857</x:v>
      </x:c>
      <x:c r="I3738" s="23" t="n">
        <x:v>0.9951419601260059</x:v>
      </x:c>
      <x:c r="J3738" s="2" t="n">
        <x:v>47</x:v>
      </x:c>
      <x:c r="K3738" s="2"/>
      <x:c r="L3738" s="2"/>
    </x:row>
    <x:row r="3739" ht="22" customHeight="1">
      <x:c r="A3739" s="2"/>
      <x:c r="B3739" s="2" t="n">
        <x:v>3706</x:v>
      </x:c>
      <x:c r="C3739" s="2" t="str">
        <x:v>23580</x:v>
      </x:c>
      <x:c r="D3739" s="2" t="str">
        <x:v>SNACK TRAY HAPPY FOREST  </x:v>
      </x:c>
      <x:c r="E3739" s="11" t="n">
        <x:v>236.87</x:v>
      </x:c>
      <x:c r="F3739" s="11" t="n">
        <x:v>0</x:v>
      </x:c>
      <x:c r="G3739" s="11" t="n">
        <x:v>236.87</x:v>
      </x:c>
      <x:c r="H3739" s="23" t="n">
        <x:v>0.000011535647080104692</x:v>
      </x:c>
      <x:c r="I3739" s="23" t="n">
        <x:v>0.995153495773086</x:v>
      </x:c>
      <x:c r="J3739" s="2" t="n">
        <x:v>25</x:v>
      </x:c>
      <x:c r="K3739" s="2"/>
      <x:c r="L3739" s="2"/>
    </x:row>
    <x:row r="3740" ht="22" customHeight="1">
      <x:c r="A3740" s="2"/>
      <x:c r="B3740" s="2" t="n">
        <x:v>3707</x:v>
      </x:c>
      <x:c r="C3740" s="2" t="str">
        <x:v>90133</x:v>
      </x:c>
      <x:c r="D3740" s="2" t="str">
        <x:v>TEAL/FUSCHIA COL BEAD NECKLACE</x:v>
      </x:c>
      <x:c r="E3740" s="11" t="n">
        <x:v>236.46</x:v>
      </x:c>
      <x:c r="F3740" s="11" t="n">
        <x:v>0</x:v>
      </x:c>
      <x:c r="G3740" s="11" t="n">
        <x:v>236.46</x:v>
      </x:c>
      <x:c r="H3740" s="23" t="n">
        <x:v>0.000011515679944955273</x:v>
      </x:c>
      <x:c r="I3740" s="23" t="n">
        <x:v>0.9951650114530309</x:v>
      </x:c>
      <x:c r="J3740" s="2" t="n">
        <x:v>36</x:v>
      </x:c>
      <x:c r="K3740" s="2"/>
      <x:c r="L3740" s="2"/>
    </x:row>
    <x:row r="3741" ht="22" customHeight="1">
      <x:c r="A3741" s="2"/>
      <x:c r="B3741" s="2" t="n">
        <x:v>3708</x:v>
      </x:c>
      <x:c r="C3741" s="2" t="str">
        <x:v>84247K</x:v>
      </x:c>
      <x:c r="D3741" s="2" t="str">
        <x:v>FOLK ART GREETING CARD,pack/12</x:v>
      </x:c>
      <x:c r="E3741" s="11" t="n">
        <x:v>236.43000000000004</x:v>
      </x:c>
      <x:c r="F3741" s="11" t="n">
        <x:v>32.45</x:v>
      </x:c>
      <x:c r="G3741" s="11" t="n">
        <x:v>203.98000000000002</x:v>
      </x:c>
      <x:c r="H3741" s="23" t="n">
        <x:v>0.000011514218935066293</x:v>
      </x:c>
      <x:c r="I3741" s="23" t="n">
        <x:v>0.995176525671966</x:v>
      </x:c>
      <x:c r="J3741" s="2" t="n">
        <x:v>28</x:v>
      </x:c>
      <x:c r="K3741" s="2"/>
      <x:c r="L3741" s="2"/>
    </x:row>
    <x:row r="3742" ht="22" customHeight="1">
      <x:c r="A3742" s="2"/>
      <x:c r="B3742" s="2" t="n">
        <x:v>3709</x:v>
      </x:c>
      <x:c r="C3742" s="2" t="str">
        <x:v>44217M</x:v>
      </x:c>
      <x:c r="D3742" s="2" t="str">
        <x:v>MULTICOLOUR FEATHERS CURTAIN</x:v>
      </x:c>
      <x:c r="E3742" s="11" t="n">
        <x:v>236.40000000000003</x:v>
      </x:c>
      <x:c r="F3742" s="11" t="n">
        <x:v>236.40000000000003</x:v>
      </x:c>
      <x:c r="G3742" s="11" t="n">
        <x:v>0</x:v>
      </x:c>
      <x:c r="H3742" s="23" t="n">
        <x:v>0.000011512757925177312</x:v>
      </x:c>
      <x:c r="I3742" s="23" t="n">
        <x:v>0.9951880384298912</x:v>
      </x:c>
      <x:c r="J3742" s="2" t="n">
        <x:v>3</x:v>
      </x:c>
      <x:c r="K3742" s="2"/>
      <x:c r="L3742" s="2"/>
    </x:row>
    <x:row r="3743" ht="22" customHeight="1">
      <x:c r="A3743" s="2"/>
      <x:c r="B3743" s="2" t="n">
        <x:v>3710</x:v>
      </x:c>
      <x:c r="C3743" s="2" t="str">
        <x:v>20891</x:v>
      </x:c>
      <x:c r="D3743" s="2" t="str">
        <x:v>LARGE GLASS ROSE SCENTED CANDLE </x:v>
      </x:c>
      <x:c r="E3743" s="11" t="n">
        <x:v>236.32999999999998</x:v>
      </x:c>
      <x:c r="F3743" s="11" t="n">
        <x:v>0</x:v>
      </x:c>
      <x:c r="G3743" s="11" t="n">
        <x:v>236.32999999999998</x:v>
      </x:c>
      <x:c r="H3743" s="23" t="n">
        <x:v>0.000011509348902103018</x:v>
      </x:c>
      <x:c r="I3743" s="23" t="n">
        <x:v>0.9951995477787934</x:v>
      </x:c>
      <x:c r="J3743" s="2" t="n">
        <x:v>3</x:v>
      </x:c>
      <x:c r="K3743" s="2"/>
      <x:c r="L3743" s="2"/>
    </x:row>
    <x:row r="3744" ht="22" customHeight="1">
      <x:c r="A3744" s="2"/>
      <x:c r="B3744" s="2" t="n">
        <x:v>3711</x:v>
      </x:c>
      <x:c r="C3744" s="2" t="str">
        <x:v>37483</x:v>
      </x:c>
      <x:c r="D3744" s="2" t="str">
        <x:v>ENGLISH ROSE MUG IN GIFT BOX</x:v>
      </x:c>
      <x:c r="E3744" s="11" t="n">
        <x:v>235.44</x:v>
      </x:c>
      <x:c r="F3744" s="11" t="n">
        <x:v>2.55</x:v>
      </x:c>
      <x:c r="G3744" s="11" t="n">
        <x:v>232.89</x:v>
      </x:c>
      <x:c r="H3744" s="23" t="n">
        <x:v>0.000011466005608729889</x:v>
      </x:c>
      <x:c r="I3744" s="23" t="n">
        <x:v>0.9952110137844021</x:v>
      </x:c>
      <x:c r="J3744" s="2" t="n">
        <x:v>10</x:v>
      </x:c>
      <x:c r="K3744" s="2"/>
      <x:c r="L3744" s="2"/>
    </x:row>
    <x:row r="3745" ht="22" customHeight="1">
      <x:c r="A3745" s="2"/>
      <x:c r="B3745" s="2" t="n">
        <x:v>3712</x:v>
      </x:c>
      <x:c r="C3745" s="2" t="str">
        <x:v>90210B</x:v>
      </x:c>
      <x:c r="D3745" s="2" t="str">
        <x:v>CLEAR ACRYLIC FACETED BANGLE</x:v>
      </x:c>
      <x:c r="E3745" s="11" t="n">
        <x:v>234.99</x:v>
      </x:c>
      <x:c r="F3745" s="11" t="n">
        <x:v>0</x:v>
      </x:c>
      <x:c r="G3745" s="11" t="n">
        <x:v>234.99</x:v>
      </x:c>
      <x:c r="H3745" s="23" t="n">
        <x:v>0.00001144409046039516</x:v>
      </x:c>
      <x:c r="I3745" s="23" t="n">
        <x:v>0.9952224578748625</x:v>
      </x:c>
      <x:c r="J3745" s="2" t="n">
        <x:v>24</x:v>
      </x:c>
      <x:c r="K3745" s="2"/>
      <x:c r="L3745" s="2"/>
    </x:row>
    <x:row r="3746" ht="22" customHeight="1">
      <x:c r="A3746" s="2"/>
      <x:c r="B3746" s="2" t="n">
        <x:v>3713</x:v>
      </x:c>
      <x:c r="C3746" s="2" t="str">
        <x:v>20736</x:v>
      </x:c>
      <x:c r="D3746" s="2" t="str">
        <x:v>PINK MINI TAPE MEASURE </x:v>
      </x:c>
      <x:c r="E3746" s="11" t="n">
        <x:v>234.35</x:v>
      </x:c>
      <x:c r="F3746" s="11" t="n">
        <x:v>0</x:v>
      </x:c>
      <x:c r="G3746" s="11" t="n">
        <x:v>234.35</x:v>
      </x:c>
      <x:c r="H3746" s="23" t="n">
        <x:v>0.000011412922249430212</x:v>
      </x:c>
      <x:c r="I3746" s="23" t="n">
        <x:v>0.9952338707971119</x:v>
      </x:c>
      <x:c r="J3746" s="2" t="n">
        <x:v>19</x:v>
      </x:c>
      <x:c r="K3746" s="2"/>
      <x:c r="L3746" s="2"/>
    </x:row>
    <x:row r="3747" ht="22" customHeight="1">
      <x:c r="A3747" s="2"/>
      <x:c r="B3747" s="2" t="n">
        <x:v>3714</x:v>
      </x:c>
      <x:c r="C3747" s="2" t="str">
        <x:v>84796a</x:v>
      </x:c>
      <x:c r="D3747" s="2" t="str">
        <x:v>PINK HAWAIIAN PICNIC HAMPER FOR 2</x:v>
      </x:c>
      <x:c r="E3747" s="11" t="n">
        <x:v>234.28</x:v>
      </x:c>
      <x:c r="F3747" s="11" t="n">
        <x:v>0</x:v>
      </x:c>
      <x:c r="G3747" s="11" t="n">
        <x:v>234.28</x:v>
      </x:c>
      <x:c r="H3747" s="23" t="n">
        <x:v>0.000011409513226355922</x:v>
      </x:c>
      <x:c r="I3747" s="23" t="n">
        <x:v>0.9952452803103382</x:v>
      </x:c>
      <x:c r="J3747" s="2" t="n">
        <x:v>20</x:v>
      </x:c>
      <x:c r="K3747" s="2"/>
      <x:c r="L3747" s="2"/>
    </x:row>
    <x:row r="3748" ht="22" customHeight="1">
      <x:c r="A3748" s="2"/>
      <x:c r="B3748" s="2" t="n">
        <x:v>3715</x:v>
      </x:c>
      <x:c r="C3748" s="2" t="str">
        <x:v>22880</x:v>
      </x:c>
      <x:c r="D3748" s="2" t="str">
        <x:v>NUMBER TILE VINTAGE FONT 1</x:v>
      </x:c>
      <x:c r="E3748" s="11" t="n">
        <x:v>234.17</x:v>
      </x:c>
      <x:c r="F3748" s="11" t="n">
        <x:v>0</x:v>
      </x:c>
      <x:c r="G3748" s="11" t="n">
        <x:v>234.17</x:v>
      </x:c>
      <x:c r="H3748" s="23" t="n">
        <x:v>0.000011404156190096321</x:v>
      </x:c>
      <x:c r="I3748" s="23" t="n">
        <x:v>0.9952566844665283</x:v>
      </x:c>
      <x:c r="J3748" s="2" t="n">
        <x:v>37</x:v>
      </x:c>
      <x:c r="K3748" s="2"/>
      <x:c r="L3748" s="2"/>
    </x:row>
    <x:row r="3749" ht="22" customHeight="1">
      <x:c r="A3749" s="2"/>
      <x:c r="B3749" s="2" t="n">
        <x:v>3716</x:v>
      </x:c>
      <x:c r="C3749" s="2" t="str">
        <x:v>84660c</x:v>
      </x:c>
      <x:c r="D3749" s="2" t="str">
        <x:v>PINK STITCHED WALL CLOCK</x:v>
      </x:c>
      <x:c r="E3749" s="11" t="n">
        <x:v>233.98</x:v>
      </x:c>
      <x:c r="F3749" s="11" t="n">
        <x:v>0</x:v>
      </x:c>
      <x:c r="G3749" s="11" t="n">
        <x:v>233.98</x:v>
      </x:c>
      <x:c r="H3749" s="23" t="n">
        <x:v>0.000011394903127466104</x:v>
      </x:c>
      <x:c r="I3749" s="23" t="n">
        <x:v>0.9952680793696558</x:v>
      </x:c>
      <x:c r="J3749" s="2" t="n">
        <x:v>28</x:v>
      </x:c>
      <x:c r="K3749" s="2"/>
      <x:c r="L3749" s="2"/>
    </x:row>
    <x:row r="3750" ht="22" customHeight="1">
      <x:c r="A3750" s="2"/>
      <x:c r="B3750" s="2" t="n">
        <x:v>3717</x:v>
      </x:c>
      <x:c r="C3750" s="2" t="str">
        <x:v>23036</x:v>
      </x:c>
      <x:c r="D3750" s="2" t="str">
        <x:v>T-LIGHT HOLDER SILVER PETIT FOUR </x:v>
      </x:c>
      <x:c r="E3750" s="11" t="n">
        <x:v>233.67000000000002</x:v>
      </x:c>
      <x:c r="F3750" s="11" t="n">
        <x:v>0</x:v>
      </x:c>
      <x:c r="G3750" s="11" t="n">
        <x:v>233.67000000000002</x:v>
      </x:c>
      <x:c r="H3750" s="23" t="n">
        <x:v>0.000011379806025279958</x:v>
      </x:c>
      <x:c r="I3750" s="23" t="n">
        <x:v>0.9952794591756811</x:v>
      </x:c>
      <x:c r="J3750" s="2" t="n">
        <x:v>16</x:v>
      </x:c>
      <x:c r="K3750" s="2"/>
      <x:c r="L3750" s="2"/>
    </x:row>
    <x:row r="3751" ht="22" customHeight="1">
      <x:c r="A3751" s="2"/>
      <x:c r="B3751" s="2" t="n">
        <x:v>3718</x:v>
      </x:c>
      <x:c r="C3751" s="2" t="str">
        <x:v>90185A</x:v>
      </x:c>
      <x:c r="D3751" s="2" t="str">
        <x:v>AMBER DIAMANTE EXPANDABLE RING</x:v>
      </x:c>
      <x:c r="E3751" s="11" t="n">
        <x:v>233.29</x:v>
      </x:c>
      <x:c r="F3751" s="11" t="n">
        <x:v>55.25</x:v>
      </x:c>
      <x:c r="G3751" s="11" t="n">
        <x:v>178.04</x:v>
      </x:c>
      <x:c r="H3751" s="23" t="n">
        <x:v>0.00001136129990001952</x:v>
      </x:c>
      <x:c r="I3751" s="23" t="n">
        <x:v>0.995290820475581</x:v>
      </x:c>
      <x:c r="J3751" s="2" t="n">
        <x:v>26</x:v>
      </x:c>
      <x:c r="K3751" s="2"/>
      <x:c r="L3751" s="2"/>
    </x:row>
    <x:row r="3752" ht="22" customHeight="1">
      <x:c r="A3752" s="2"/>
      <x:c r="B3752" s="2" t="n">
        <x:v>3719</x:v>
      </x:c>
      <x:c r="C3752" s="2" t="str">
        <x:v>84797b</x:v>
      </x:c>
      <x:c r="D3752" s="2" t="str">
        <x:v>BLUE SAVANNAH PICNIC HAMPER FOR 4</x:v>
      </x:c>
      <x:c r="E3752" s="11" t="n">
        <x:v>232.62</x:v>
      </x:c>
      <x:c r="F3752" s="11" t="n">
        <x:v>0</x:v>
      </x:c>
      <x:c r="G3752" s="11" t="n">
        <x:v>232.62</x:v>
      </x:c>
      <x:c r="H3752" s="23" t="n">
        <x:v>0.000011328670679165591</x:v>
      </x:c>
      <x:c r="I3752" s="23" t="n">
        <x:v>0.9953021491462603</x:v>
      </x:c>
      <x:c r="J3752" s="2" t="n">
        <x:v>19</x:v>
      </x:c>
      <x:c r="K3752" s="2"/>
      <x:c r="L3752" s="2"/>
    </x:row>
    <x:row r="3753" ht="22" customHeight="1">
      <x:c r="A3753" s="2"/>
      <x:c r="B3753" s="2" t="n">
        <x:v>3720</x:v>
      </x:c>
      <x:c r="C3753" s="2" t="str">
        <x:v>35991</x:v>
      </x:c>
      <x:c r="D3753" s="2" t="str">
        <x:v>SET/6 BLACK SNOWFLAKE T-LIGHTS </x:v>
      </x:c>
      <x:c r="E3753" s="11" t="n">
        <x:v>232.5</x:v>
      </x:c>
      <x:c r="F3753" s="11" t="n">
        <x:v>0</x:v>
      </x:c>
      <x:c r="G3753" s="11" t="n">
        <x:v>232.5</x:v>
      </x:c>
      <x:c r="H3753" s="23" t="n">
        <x:v>0.000011322826639609663</x:v>
      </x:c>
      <x:c r="I3753" s="23" t="n">
        <x:v>0.9953134719728999</x:v>
      </x:c>
      <x:c r="J3753" s="2" t="n">
        <x:v>54</x:v>
      </x:c>
      <x:c r="K3753" s="2"/>
      <x:c r="L3753" s="2"/>
    </x:row>
    <x:row r="3754" ht="22" customHeight="1">
      <x:c r="A3754" s="2"/>
      <x:c r="B3754" s="2" t="n">
        <x:v>3721</x:v>
      </x:c>
      <x:c r="C3754" s="2" t="str">
        <x:v>16256B</x:v>
      </x:c>
      <x:c r="D3754" s="2" t="str">
        <x:v>FLOWER PENCIL/RUBBER+5 MINI PENCILS</x:v>
      </x:c>
      <x:c r="E3754" s="11" t="n">
        <x:v>232.35</x:v>
      </x:c>
      <x:c r="F3754" s="11" t="n">
        <x:v>0</x:v>
      </x:c>
      <x:c r="G3754" s="11" t="n">
        <x:v>232.35</x:v>
      </x:c>
      <x:c r="H3754" s="23" t="n">
        <x:v>0.000011315521590164754</x:v>
      </x:c>
      <x:c r="I3754" s="23" t="n">
        <x:v>0.99532478749449</x:v>
      </x:c>
      <x:c r="J3754" s="2" t="n">
        <x:v>35</x:v>
      </x:c>
      <x:c r="K3754" s="2"/>
      <x:c r="L3754" s="2"/>
    </x:row>
    <x:row r="3755" ht="22" customHeight="1">
      <x:c r="A3755" s="2"/>
      <x:c r="B3755" s="2" t="n">
        <x:v>3722</x:v>
      </x:c>
      <x:c r="C3755" s="2" t="str">
        <x:v>23447</x:v>
      </x:c>
      <x:c r="D3755" s="2" t="str">
        <x:v>PINK BUNNY EASTER EGG BASKET</x:v>
      </x:c>
      <x:c r="E3755" s="11" t="n">
        <x:v>231.89999999999998</x:v>
      </x:c>
      <x:c r="F3755" s="11" t="n">
        <x:v>0</x:v>
      </x:c>
      <x:c r="G3755" s="11" t="n">
        <x:v>231.89999999999998</x:v>
      </x:c>
      <x:c r="H3755" s="23" t="n">
        <x:v>0.000011293606441830025</x:v>
      </x:c>
      <x:c r="I3755" s="23" t="n">
        <x:v>0.9953360811009319</x:v>
      </x:c>
      <x:c r="J3755" s="2" t="n">
        <x:v>4</x:v>
      </x:c>
      <x:c r="K3755" s="2"/>
      <x:c r="L3755" s="2"/>
    </x:row>
    <x:row r="3756" ht="22" customHeight="1">
      <x:c r="A3756" s="2"/>
      <x:c r="B3756" s="2" t="n">
        <x:v>3723</x:v>
      </x:c>
      <x:c r="C3756" s="2" t="str">
        <x:v>21226</x:v>
      </x:c>
      <x:c r="D3756" s="2" t="str">
        <x:v>POCKET MIRROR WOODLAND</x:v>
      </x:c>
      <x:c r="E3756" s="11" t="n">
        <x:v>231.79999999999998</x:v>
      </x:c>
      <x:c r="F3756" s="11" t="n">
        <x:v>0</x:v>
      </x:c>
      <x:c r="G3756" s="11" t="n">
        <x:v>231.79999999999998</x:v>
      </x:c>
      <x:c r="H3756" s="23" t="n">
        <x:v>0.000011288736408866752</x:v>
      </x:c>
      <x:c r="I3756" s="23" t="n">
        <x:v>0.9953473698373407</x:v>
      </x:c>
      <x:c r="J3756" s="2" t="n">
        <x:v>37</x:v>
      </x:c>
      <x:c r="K3756" s="2"/>
      <x:c r="L3756" s="2"/>
    </x:row>
    <x:row r="3757" ht="22" customHeight="1">
      <x:c r="A3757" s="2"/>
      <x:c r="B3757" s="2" t="n">
        <x:v>3724</x:v>
      </x:c>
      <x:c r="C3757" s="2" t="str">
        <x:v>90181B</x:v>
      </x:c>
      <x:c r="D3757" s="2" t="str">
        <x:v>AMETHYST GLASS/SHELL/PEARL NECKLACE</x:v>
      </x:c>
      <x:c r="E3757" s="11" t="n">
        <x:v>231.27</x:v>
      </x:c>
      <x:c r="F3757" s="11" t="n">
        <x:v>0</x:v>
      </x:c>
      <x:c r="G3757" s="11" t="n">
        <x:v>231.27</x:v>
      </x:c>
      <x:c r="H3757" s="23" t="n">
        <x:v>0.000011262925234161406</x:v>
      </x:c>
      <x:c r="I3757" s="23" t="n">
        <x:v>0.9953586327625749</x:v>
      </x:c>
      <x:c r="J3757" s="2" t="n">
        <x:v>24</x:v>
      </x:c>
      <x:c r="K3757" s="2"/>
      <x:c r="L3757" s="2"/>
    </x:row>
    <x:row r="3758" ht="22" customHeight="1">
      <x:c r="A3758" s="2"/>
      <x:c r="B3758" s="2" t="n">
        <x:v>3725</x:v>
      </x:c>
      <x:c r="C3758" s="2" t="str">
        <x:v>16202C</x:v>
      </x:c>
      <x:c r="D3758" s="2" t="str">
        <x:v>BEIGE PHOTO ALBUM</x:v>
      </x:c>
      <x:c r="E3758" s="11" t="n">
        <x:v>230.59</x:v>
      </x:c>
      <x:c r="F3758" s="11" t="n">
        <x:v>0</x:v>
      </x:c>
      <x:c r="G3758" s="11" t="n">
        <x:v>230.59</x:v>
      </x:c>
      <x:c r="H3758" s="23" t="n">
        <x:v>0.00001122980901001115</x:v>
      </x:c>
      <x:c r="I3758" s="23" t="n">
        <x:v>0.9953698625715849</x:v>
      </x:c>
      <x:c r="J3758" s="2" t="n">
        <x:v>12</x:v>
      </x:c>
      <x:c r="K3758" s="2"/>
      <x:c r="L3758" s="2"/>
    </x:row>
    <x:row r="3759" ht="22" customHeight="1">
      <x:c r="A3759" s="2"/>
      <x:c r="B3759" s="2" t="n">
        <x:v>3726</x:v>
      </x:c>
      <x:c r="C3759" s="2" t="str">
        <x:v>90164A</x:v>
      </x:c>
      <x:c r="D3759" s="2" t="str">
        <x:v>PINK ROSEBUD PEARL BRACELET</x:v>
      </x:c>
      <x:c r="E3759" s="11" t="n">
        <x:v>230.39</x:v>
      </x:c>
      <x:c r="F3759" s="11" t="n">
        <x:v>0</x:v>
      </x:c>
      <x:c r="G3759" s="11" t="n">
        <x:v>230.39</x:v>
      </x:c>
      <x:c r="H3759" s="23" t="n">
        <x:v>0.000011220068944084604</x:v>
      </x:c>
      <x:c r="I3759" s="23" t="n">
        <x:v>0.9953810826405289</x:v>
      </x:c>
      <x:c r="J3759" s="2" t="n">
        <x:v>25</x:v>
      </x:c>
      <x:c r="K3759" s="2"/>
      <x:c r="L3759" s="2"/>
    </x:row>
    <x:row r="3760" ht="22" customHeight="1">
      <x:c r="A3760" s="2"/>
      <x:c r="B3760" s="2" t="n">
        <x:v>3727</x:v>
      </x:c>
      <x:c r="C3760" s="2" t="str">
        <x:v>23446</x:v>
      </x:c>
      <x:c r="D3760" s="2" t="str">
        <x:v>BLUE BUNNY EASTER EGG BASKET</x:v>
      </x:c>
      <x:c r="E3760" s="11" t="n">
        <x:v>230.24999999999997</x:v>
      </x:c>
      <x:c r="F3760" s="11" t="n">
        <x:v>0</x:v>
      </x:c>
      <x:c r="G3760" s="11" t="n">
        <x:v>230.24999999999997</x:v>
      </x:c>
      <x:c r="H3760" s="23" t="n">
        <x:v>0.00001121325089793602</x:v>
      </x:c>
      <x:c r="I3760" s="23" t="n">
        <x:v>0.9953922958914269</x:v>
      </x:c>
      <x:c r="J3760" s="2" t="n">
        <x:v>3</x:v>
      </x:c>
      <x:c r="K3760" s="2"/>
      <x:c r="L3760" s="2"/>
    </x:row>
    <x:row r="3761" ht="22" customHeight="1">
      <x:c r="A3761" s="2"/>
      <x:c r="B3761" s="2" t="n">
        <x:v>3728</x:v>
      </x:c>
      <x:c r="C3761" s="2" t="str">
        <x:v>72781</x:v>
      </x:c>
      <x:c r="D3761" s="2" t="str">
        <x:v>BLACK SILOUETTE CANDLE PLATE </x:v>
      </x:c>
      <x:c r="E3761" s="11" t="n">
        <x:v>229.5</x:v>
      </x:c>
      <x:c r="F3761" s="11" t="n">
        <x:v>12.600000000000001</x:v>
      </x:c>
      <x:c r="G3761" s="11" t="n">
        <x:v>216.9</x:v>
      </x:c>
      <x:c r="H3761" s="23" t="n">
        <x:v>0.000011176725650711474</x:v>
      </x:c>
      <x:c r="I3761" s="23" t="n">
        <x:v>0.9954034726170776</x:v>
      </x:c>
      <x:c r="J3761" s="2" t="n">
        <x:v>15</x:v>
      </x:c>
      <x:c r="K3761" s="2"/>
      <x:c r="L3761" s="2"/>
    </x:row>
    <x:row r="3762" ht="22" customHeight="1">
      <x:c r="A3762" s="2"/>
      <x:c r="B3762" s="2" t="n">
        <x:v>3729</x:v>
      </x:c>
      <x:c r="C3762" s="2" t="str">
        <x:v>90122B</x:v>
      </x:c>
      <x:c r="D3762" s="2" t="str">
        <x:v>JADE CRYSTAL+GLASS BRACELET</x:v>
      </x:c>
      <x:c r="E3762" s="11" t="n">
        <x:v>228.99</x:v>
      </x:c>
      <x:c r="F3762" s="11" t="n">
        <x:v>0</x:v>
      </x:c>
      <x:c r="G3762" s="11" t="n">
        <x:v>228.99</x:v>
      </x:c>
      <x:c r="H3762" s="23" t="n">
        <x:v>0.000011151888482598783</x:v>
      </x:c>
      <x:c r="I3762" s="23" t="n">
        <x:v>0.9954146245055602</x:v>
      </x:c>
      <x:c r="J3762" s="2" t="n">
        <x:v>26</x:v>
      </x:c>
      <x:c r="K3762" s="2"/>
      <x:c r="L3762" s="2"/>
    </x:row>
    <x:row r="3763" ht="22" customHeight="1">
      <x:c r="A3763" s="2"/>
      <x:c r="B3763" s="2" t="n">
        <x:v>3730</x:v>
      </x:c>
      <x:c r="C3763" s="2" t="str">
        <x:v>21639</x:v>
      </x:c>
      <x:c r="D3763" s="2" t="str">
        <x:v>ASSORTED TUTTI FRUTTI KEYRING</x:v>
      </x:c>
      <x:c r="E3763" s="11" t="n">
        <x:v>228.64999999999998</x:v>
      </x:c>
      <x:c r="F3763" s="11" t="n">
        <x:v>6.8</x:v>
      </x:c>
      <x:c r="G3763" s="11" t="n">
        <x:v>221.85</x:v>
      </x:c>
      <x:c r="H3763" s="23" t="n">
        <x:v>0.000011135330370523653</x:v>
      </x:c>
      <x:c r="I3763" s="23" t="n">
        <x:v>0.9954257598359307</x:v>
      </x:c>
      <x:c r="J3763" s="2" t="n">
        <x:v>15</x:v>
      </x:c>
      <x:c r="K3763" s="2"/>
      <x:c r="L3763" s="2"/>
    </x:row>
    <x:row r="3764" ht="22" customHeight="1">
      <x:c r="A3764" s="2"/>
      <x:c r="B3764" s="2" t="n">
        <x:v>3731</x:v>
      </x:c>
      <x:c r="C3764" s="2" t="str">
        <x:v>90199B</x:v>
      </x:c>
      <x:c r="D3764" s="2" t="str">
        <x:v>5 STRAND GLASS NECKLACE AMETHYST</x:v>
      </x:c>
      <x:c r="E3764" s="11" t="n">
        <x:v>228.60999999999999</x:v>
      </x:c>
      <x:c r="F3764" s="11" t="n">
        <x:v>0</x:v>
      </x:c>
      <x:c r="G3764" s="11" t="n">
        <x:v>228.60999999999999</x:v>
      </x:c>
      <x:c r="H3764" s="23" t="n">
        <x:v>0.000011133382357338343</x:v>
      </x:c>
      <x:c r="I3764" s="23" t="n">
        <x:v>0.9954368932182881</x:v>
      </x:c>
      <x:c r="J3764" s="2" t="n">
        <x:v>31</x:v>
      </x:c>
      <x:c r="K3764" s="2"/>
      <x:c r="L3764" s="2"/>
    </x:row>
    <x:row r="3765" ht="22" customHeight="1">
      <x:c r="A3765" s="2"/>
      <x:c r="B3765" s="2" t="n">
        <x:v>3732</x:v>
      </x:c>
      <x:c r="C3765" s="2" t="str">
        <x:v>17084P</x:v>
      </x:c>
      <x:c r="D3765" s="2" t="str">
        <x:v>DRAGONS BLOOD INCENSE</x:v>
      </x:c>
      <x:c r="E3765" s="11" t="n">
        <x:v>228</x:v>
      </x:c>
      <x:c r="F3765" s="11" t="n">
        <x:v>0</x:v>
      </x:c>
      <x:c r="G3765" s="11" t="n">
        <x:v>228</x:v>
      </x:c>
      <x:c r="H3765" s="23" t="n">
        <x:v>0.00001110367515626238</x:v>
      </x:c>
      <x:c r="I3765" s="23" t="n">
        <x:v>0.9954479968934443</x:v>
      </x:c>
      <x:c r="J3765" s="2" t="n">
        <x:v>70</x:v>
      </x:c>
      <x:c r="K3765" s="2"/>
      <x:c r="L3765" s="2"/>
    </x:row>
    <x:row r="3766" ht="22" customHeight="1">
      <x:c r="A3766" s="2"/>
      <x:c r="B3766" s="2" t="n">
        <x:v>3733</x:v>
      </x:c>
      <x:c r="C3766" s="2" t="str">
        <x:v>90090</x:v>
      </x:c>
      <x:c r="D3766" s="2" t="str">
        <x:v>PINK CRYSTAL HEART PHONE CHARM</x:v>
      </x:c>
      <x:c r="E3766" s="11" t="n">
        <x:v>227.72</x:v>
      </x:c>
      <x:c r="F3766" s="11" t="n">
        <x:v>31.45</x:v>
      </x:c>
      <x:c r="G3766" s="11" t="n">
        <x:v>196.26999999999998</x:v>
      </x:c>
      <x:c r="H3766" s="23" t="n">
        <x:v>0.000011090039063965215</x:v>
      </x:c>
      <x:c r="I3766" s="23" t="n">
        <x:v>0.9954590869325083</x:v>
      </x:c>
      <x:c r="J3766" s="2" t="n">
        <x:v>22</x:v>
      </x:c>
      <x:c r="K3766" s="2"/>
      <x:c r="L3766" s="2"/>
    </x:row>
    <x:row r="3767" ht="22" customHeight="1">
      <x:c r="A3767" s="2"/>
      <x:c r="B3767" s="2" t="n">
        <x:v>3734</x:v>
      </x:c>
      <x:c r="C3767" s="2" t="str">
        <x:v>35809B</x:v>
      </x:c>
      <x:c r="D3767" s="2" t="str">
        <x:v>ENAMEL BLUE RIM TEA CONTAINER</x:v>
      </x:c>
      <x:c r="E3767" s="11" t="n">
        <x:v>227.54000000000002</x:v>
      </x:c>
      <x:c r="F3767" s="11" t="n">
        <x:v>0</x:v>
      </x:c>
      <x:c r="G3767" s="11" t="n">
        <x:v>227.54000000000002</x:v>
      </x:c>
      <x:c r="H3767" s="23" t="n">
        <x:v>0.000011081273004631325</x:v>
      </x:c>
      <x:c r="I3767" s="23" t="n">
        <x:v>0.9954701682055129</x:v>
      </x:c>
      <x:c r="J3767" s="2" t="n">
        <x:v>33</x:v>
      </x:c>
      <x:c r="K3767" s="2"/>
      <x:c r="L3767" s="2"/>
    </x:row>
    <x:row r="3768" ht="22" customHeight="1">
      <x:c r="A3768" s="2"/>
      <x:c r="B3768" s="2" t="n">
        <x:v>3735</x:v>
      </x:c>
      <x:c r="C3768" s="2" t="str">
        <x:v>71028B</x:v>
      </x:c>
      <x:c r="D3768" s="2" t="str">
        <x:v>SILVER BLUE EGG T-LIGHT HOLDER</x:v>
      </x:c>
      <x:c r="E3768" s="11" t="n">
        <x:v>227.48000000000002</x:v>
      </x:c>
      <x:c r="F3768" s="11" t="n">
        <x:v>0</x:v>
      </x:c>
      <x:c r="G3768" s="11" t="n">
        <x:v>227.48000000000002</x:v>
      </x:c>
      <x:c r="H3768" s="23" t="n">
        <x:v>0.000011078350984853362</x:v>
      </x:c>
      <x:c r="I3768" s="23" t="n">
        <x:v>0.9954812465564978</x:v>
      </x:c>
      <x:c r="J3768" s="2" t="n">
        <x:v>13</x:v>
      </x:c>
      <x:c r="K3768" s="2"/>
      <x:c r="L3768" s="2"/>
    </x:row>
    <x:row r="3769" ht="22" customHeight="1">
      <x:c r="A3769" s="2"/>
      <x:c r="B3769" s="2" t="n">
        <x:v>3736</x:v>
      </x:c>
      <x:c r="C3769" s="2" t="str">
        <x:v>84705C</x:v>
      </x:c>
      <x:c r="D3769" s="2" t="str">
        <x:v>PINK FLOCK PHOTO FRAME </x:v>
      </x:c>
      <x:c r="E3769" s="11" t="n">
        <x:v>227.33</x:v>
      </x:c>
      <x:c r="F3769" s="11" t="n">
        <x:v>0</x:v>
      </x:c>
      <x:c r="G3769" s="11" t="n">
        <x:v>227.33</x:v>
      </x:c>
      <x:c r="H3769" s="23" t="n">
        <x:v>0.000011071045935408451</x:v>
      </x:c>
      <x:c r="I3769" s="23" t="n">
        <x:v>0.9954923176024333</x:v>
      </x:c>
      <x:c r="J3769" s="2" t="n">
        <x:v>8</x:v>
      </x:c>
      <x:c r="K3769" s="2"/>
      <x:c r="L3769" s="2"/>
    </x:row>
    <x:row r="3770" ht="22" customHeight="1">
      <x:c r="A3770" s="2"/>
      <x:c r="B3770" s="2" t="n">
        <x:v>3737</x:v>
      </x:c>
      <x:c r="C3770" s="2" t="str">
        <x:v>72750D</x:v>
      </x:c>
      <x:c r="D3770" s="2" t="str">
        <x:v>F.FAIRY S/3 CANDLE/GLASS</x:v>
      </x:c>
      <x:c r="E3770" s="11" t="n">
        <x:v>226.5</x:v>
      </x:c>
      <x:c r="F3770" s="11" t="n">
        <x:v>0</x:v>
      </x:c>
      <x:c r="G3770" s="11" t="n">
        <x:v>226.5</x:v>
      </x:c>
      <x:c r="H3770" s="23" t="n">
        <x:v>0.000011030624661813286</x:v>
      </x:c>
      <x:c r="I3770" s="23" t="n">
        <x:v>0.9955033482270951</x:v>
      </x:c>
      <x:c r="J3770" s="2" t="n">
        <x:v>11</x:v>
      </x:c>
      <x:c r="K3770" s="2"/>
      <x:c r="L3770" s="2"/>
    </x:row>
    <x:row r="3771" ht="22" customHeight="1">
      <x:c r="A3771" s="2"/>
      <x:c r="B3771" s="2" t="n">
        <x:v>3738</x:v>
      </x:c>
      <x:c r="C3771" s="2" t="str">
        <x:v>23003</x:v>
      </x:c>
      <x:c r="D3771" s="2" t="str">
        <x:v>Printing smudges/thrown away</x:v>
      </x:c>
      <x:c r="E3771" s="11" t="n">
        <x:v>226.2</x:v>
      </x:c>
      <x:c r="F3771" s="11" t="n">
        <x:v>0</x:v>
      </x:c>
      <x:c r="G3771" s="11" t="n">
        <x:v>226.2</x:v>
      </x:c>
      <x:c r="H3771" s="23" t="n">
        <x:v>0.000011016014562923466</x:v>
      </x:c>
      <x:c r="I3771" s="23" t="n">
        <x:v>0.995514364241658</x:v>
      </x:c>
      <x:c r="J3771" s="2" t="n">
        <x:v>53</x:v>
      </x:c>
      <x:c r="K3771" s="2"/>
      <x:c r="L3771" s="2"/>
    </x:row>
    <x:row r="3772" ht="22" customHeight="1">
      <x:c r="A3772" s="2"/>
      <x:c r="B3772" s="2" t="n">
        <x:v>3739</x:v>
      </x:c>
      <x:c r="C3772" s="2" t="str">
        <x:v>90003D</x:v>
      </x:c>
      <x:c r="D3772" s="2" t="str">
        <x:v>CRYSTAL PAIR HEART HAIR SLIDES</x:v>
      </x:c>
      <x:c r="E3772" s="11" t="n">
        <x:v>226.17</x:v>
      </x:c>
      <x:c r="F3772" s="11" t="n">
        <x:v>26.25</x:v>
      </x:c>
      <x:c r="G3772" s="11" t="n">
        <x:v>199.92</x:v>
      </x:c>
      <x:c r="H3772" s="23" t="n">
        <x:v>0.000011014553553034483</x:v>
      </x:c>
      <x:c r="I3772" s="23" t="n">
        <x:v>0.995525378795211</x:v>
      </x:c>
      <x:c r="J3772" s="2" t="n">
        <x:v>32</x:v>
      </x:c>
      <x:c r="K3772" s="2"/>
      <x:c r="L3772" s="2"/>
    </x:row>
    <x:row r="3773" ht="22" customHeight="1">
      <x:c r="A3773" s="2"/>
      <x:c r="B3773" s="2" t="n">
        <x:v>3740</x:v>
      </x:c>
      <x:c r="C3773" s="2" t="str">
        <x:v>90155</x:v>
      </x:c>
      <x:c r="D3773" s="2" t="str">
        <x:v>RESIN NECKLACE W PASTEL BEADS</x:v>
      </x:c>
      <x:c r="E3773" s="11" t="n">
        <x:v>226.16</x:v>
      </x:c>
      <x:c r="F3773" s="11" t="n">
        <x:v>0</x:v>
      </x:c>
      <x:c r="G3773" s="11" t="n">
        <x:v>226.16</x:v>
      </x:c>
      <x:c r="H3773" s="23" t="n">
        <x:v>0.000011014066549738156</x:v>
      </x:c>
      <x:c r="I3773" s="23" t="n">
        <x:v>0.9955363928617607</x:v>
      </x:c>
      <x:c r="J3773" s="2" t="n">
        <x:v>21</x:v>
      </x:c>
      <x:c r="K3773" s="2"/>
      <x:c r="L3773" s="2"/>
    </x:row>
    <x:row r="3774" ht="22" customHeight="1">
      <x:c r="A3774" s="2"/>
      <x:c r="B3774" s="2" t="n">
        <x:v>3741</x:v>
      </x:c>
      <x:c r="C3774" s="2" t="str">
        <x:v>84966A</x:v>
      </x:c>
      <x:c r="D3774" s="2" t="str">
        <x:v>PINK KASHMIRI BOXED MIRROR</x:v>
      </x:c>
      <x:c r="E3774" s="11" t="n">
        <x:v>225.95</x:v>
      </x:c>
      <x:c r="F3774" s="11" t="n">
        <x:v>0</x:v>
      </x:c>
      <x:c r="G3774" s="11" t="n">
        <x:v>225.95</x:v>
      </x:c>
      <x:c r="H3774" s="23" t="n">
        <x:v>0.000011003839480515284</x:v>
      </x:c>
      <x:c r="I3774" s="23" t="n">
        <x:v>0.9955473967012411</x:v>
      </x:c>
      <x:c r="J3774" s="2" t="n">
        <x:v>4</x:v>
      </x:c>
      <x:c r="K3774" s="2"/>
      <x:c r="L3774" s="2"/>
    </x:row>
    <x:row r="3775" ht="22" customHeight="1">
      <x:c r="A3775" s="2"/>
      <x:c r="B3775" s="2" t="n">
        <x:v>3742</x:v>
      </x:c>
      <x:c r="C3775" s="2" t="str">
        <x:v>90116</x:v>
      </x:c>
      <x:c r="D3775" s="2" t="str">
        <x:v>FRUIT SALAD BAG CHARM</x:v>
      </x:c>
      <x:c r="E3775" s="11" t="n">
        <x:v>225.51999999999998</x:v>
      </x:c>
      <x:c r="F3775" s="11" t="n">
        <x:v>0</x:v>
      </x:c>
      <x:c r="G3775" s="11" t="n">
        <x:v>225.51999999999998</x:v>
      </x:c>
      <x:c r="H3775" s="23" t="n">
        <x:v>0.00001098289833877321</x:v>
      </x:c>
      <x:c r="I3775" s="23" t="n">
        <x:v>0.9955583795995799</x:v>
      </x:c>
      <x:c r="J3775" s="2" t="n">
        <x:v>63</x:v>
      </x:c>
      <x:c r="K3775" s="2"/>
      <x:c r="L3775" s="2"/>
    </x:row>
    <x:row r="3776" ht="22" customHeight="1">
      <x:c r="A3776" s="2"/>
      <x:c r="B3776" s="2" t="n">
        <x:v>3743</x:v>
      </x:c>
      <x:c r="C3776" s="2" t="str">
        <x:v>21369</x:v>
      </x:c>
      <x:c r="D3776" s="2" t="str">
        <x:v>MIRRORED WALL ART SPLODGES</x:v>
      </x:c>
      <x:c r="E3776" s="11" t="n">
        <x:v>225.36</x:v>
      </x:c>
      <x:c r="F3776" s="11" t="n">
        <x:v>0</x:v>
      </x:c>
      <x:c r="G3776" s="11" t="n">
        <x:v>225.36</x:v>
      </x:c>
      <x:c r="H3776" s="23" t="n">
        <x:v>0.000010975106286031973</x:v>
      </x:c>
      <x:c r="I3776" s="23" t="n">
        <x:v>0.9955693547058659</x:v>
      </x:c>
      <x:c r="J3776" s="2" t="n">
        <x:v>22</x:v>
      </x:c>
      <x:c r="K3776" s="2"/>
      <x:c r="L3776" s="2"/>
    </x:row>
    <x:row r="3777" ht="22" customHeight="1">
      <x:c r="A3777" s="2"/>
      <x:c r="B3777" s="2" t="n">
        <x:v>3744</x:v>
      </x:c>
      <x:c r="C3777" s="2" t="str">
        <x:v>TEST001</x:v>
      </x:c>
      <x:c r="D3777" s="2" t="str">
        <x:v>This is a test product.</x:v>
      </x:c>
      <x:c r="E3777" s="11" t="n">
        <x:v>225</x:v>
      </x:c>
      <x:c r="F3777" s="11" t="n">
        <x:v>22.5</x:v>
      </x:c>
      <x:c r="G3777" s="11" t="n">
        <x:v>202.5</x:v>
      </x:c>
      <x:c r="H3777" s="23" t="n">
        <x:v>0.00001095757416736419</x:v>
      </x:c>
      <x:c r="I3777" s="23" t="n">
        <x:v>0.9955803122800333</x:v>
      </x:c>
      <x:c r="J3777" s="2" t="n">
        <x:v>9</x:v>
      </x:c>
      <x:c r="K3777" s="2"/>
      <x:c r="L3777" s="2"/>
    </x:row>
    <x:row r="3778" ht="22" customHeight="1">
      <x:c r="A3778" s="2"/>
      <x:c r="B3778" s="2" t="n">
        <x:v>3745</x:v>
      </x:c>
      <x:c r="C3778" s="2" t="str">
        <x:v>90186A</x:v>
      </x:c>
      <x:c r="D3778" s="2" t="str">
        <x:v>AMETHYST HOOP EARRING FLORAL LEAF</x:v>
      </x:c>
      <x:c r="E3778" s="11" t="n">
        <x:v>224.38000000000002</x:v>
      </x:c>
      <x:c r="F3778" s="11" t="n">
        <x:v>0</x:v>
      </x:c>
      <x:c r="G3778" s="11" t="n">
        <x:v>224.38000000000002</x:v>
      </x:c>
      <x:c r="H3778" s="23" t="n">
        <x:v>0.000010927379962991899</x:v>
      </x:c>
      <x:c r="I3778" s="23" t="n">
        <x:v>0.9955912396599963</x:v>
      </x:c>
      <x:c r="J3778" s="2" t="n">
        <x:v>33</x:v>
      </x:c>
      <x:c r="K3778" s="2"/>
      <x:c r="L3778" s="2"/>
    </x:row>
    <x:row r="3779" ht="22" customHeight="1">
      <x:c r="A3779" s="2"/>
      <x:c r="B3779" s="2" t="n">
        <x:v>3746</x:v>
      </x:c>
      <x:c r="C3779" s="2" t="str">
        <x:v>84927E</x:v>
      </x:c>
      <x:c r="D3779" s="2" t="str">
        <x:v>FLOWERS TILE HOOK</x:v>
      </x:c>
      <x:c r="E3779" s="11" t="n">
        <x:v>224.31</x:v>
      </x:c>
      <x:c r="F3779" s="11" t="n">
        <x:v>19.56</x:v>
      </x:c>
      <x:c r="G3779" s="11" t="n">
        <x:v>204.75</x:v>
      </x:c>
      <x:c r="H3779" s="23" t="n">
        <x:v>0.000010923970939917607</x:v>
      </x:c>
      <x:c r="I3779" s="23" t="n">
        <x:v>0.9956021636309362</x:v>
      </x:c>
      <x:c r="J3779" s="2" t="n">
        <x:v>29</x:v>
      </x:c>
      <x:c r="K3779" s="2"/>
      <x:c r="L3779" s="2"/>
    </x:row>
    <x:row r="3780" ht="22" customHeight="1">
      <x:c r="A3780" s="2"/>
      <x:c r="B3780" s="2" t="n">
        <x:v>3747</x:v>
      </x:c>
      <x:c r="C3780" s="2" t="str">
        <x:v>35597B</x:v>
      </x:c>
      <x:c r="D3780" s="2" t="str">
        <x:v>BLACKCHRISTMAS TREE 30CM</x:v>
      </x:c>
      <x:c r="E3780" s="11" t="n">
        <x:v>224.1</x:v>
      </x:c>
      <x:c r="F3780" s="11" t="n">
        <x:v>0</x:v>
      </x:c>
      <x:c r="G3780" s="11" t="n">
        <x:v>224.1</x:v>
      </x:c>
      <x:c r="H3780" s="23" t="n">
        <x:v>0.000010913743870694734</x:v>
      </x:c>
      <x:c r="I3780" s="23" t="n">
        <x:v>0.995613077374807</x:v>
      </x:c>
      <x:c r="J3780" s="2" t="n">
        <x:v>7</x:v>
      </x:c>
      <x:c r="K3780" s="2"/>
      <x:c r="L3780" s="2"/>
    </x:row>
    <x:row r="3781" ht="22" customHeight="1">
      <x:c r="A3781" s="2"/>
      <x:c r="B3781" s="2" t="n">
        <x:v>3748</x:v>
      </x:c>
      <x:c r="C3781" s="2" t="str">
        <x:v>90125D</x:v>
      </x:c>
      <x:c r="D3781" s="2" t="str">
        <x:v>PURPLE BERTIE GLASS BEAD BAG CHARM</x:v>
      </x:c>
      <x:c r="E3781" s="11" t="n">
        <x:v>223.74</x:v>
      </x:c>
      <x:c r="F3781" s="11" t="n">
        <x:v>0</x:v>
      </x:c>
      <x:c r="G3781" s="11" t="n">
        <x:v>223.74</x:v>
      </x:c>
      <x:c r="H3781" s="23" t="n">
        <x:v>0.000010896211752026951</x:v>
      </x:c>
      <x:c r="I3781" s="23" t="n">
        <x:v>0.995623973586559</x:v>
      </x:c>
      <x:c r="J3781" s="2" t="n">
        <x:v>36</x:v>
      </x:c>
      <x:c r="K3781" s="2"/>
      <x:c r="L3781" s="2"/>
    </x:row>
    <x:row r="3782" ht="22" customHeight="1">
      <x:c r="A3782" s="2"/>
      <x:c r="B3782" s="2" t="n">
        <x:v>3749</x:v>
      </x:c>
      <x:c r="C3782" s="2" t="str">
        <x:v>84690</x:v>
      </x:c>
      <x:c r="D3782" s="2" t="str">
        <x:v>S/2 BEACH HUT STOOLS</x:v>
      </x:c>
      <x:c r="E3782" s="11" t="n">
        <x:v>222.6</x:v>
      </x:c>
      <x:c r="F3782" s="11" t="n">
        <x:v>15.9</x:v>
      </x:c>
      <x:c r="G3782" s="11" t="n">
        <x:v>206.70000000000002</x:v>
      </x:c>
      <x:c r="H3782" s="23" t="n">
        <x:v>0.000010840693376245639</x:v>
      </x:c>
      <x:c r="I3782" s="23" t="n">
        <x:v>0.9956348142799352</x:v>
      </x:c>
      <x:c r="J3782" s="2" t="n">
        <x:v>14</x:v>
      </x:c>
      <x:c r="K3782" s="2"/>
      <x:c r="L3782" s="2"/>
    </x:row>
    <x:row r="3783" ht="22" customHeight="1">
      <x:c r="A3783" s="2"/>
      <x:c r="B3783" s="2" t="n">
        <x:v>3750</x:v>
      </x:c>
      <x:c r="C3783" s="2" t="str">
        <x:v>16258B</x:v>
      </x:c>
      <x:c r="D3783" s="2" t="str">
        <x:v>DAISY ERASERS IN BAG</x:v>
      </x:c>
      <x:c r="E3783" s="11" t="n">
        <x:v>221.48000000000002</x:v>
      </x:c>
      <x:c r="F3783" s="11" t="n">
        <x:v>0</x:v>
      </x:c>
      <x:c r="G3783" s="11" t="n">
        <x:v>221.48000000000002</x:v>
      </x:c>
      <x:c r="H3783" s="23" t="n">
        <x:v>0.000010786149007056983</x:v>
      </x:c>
      <x:c r="I3783" s="23" t="n">
        <x:v>0.9956456004289422</x:v>
      </x:c>
      <x:c r="J3783" s="2" t="n">
        <x:v>15</x:v>
      </x:c>
      <x:c r="K3783" s="2"/>
      <x:c r="L3783" s="2"/>
    </x:row>
    <x:row r="3784" ht="22" customHeight="1">
      <x:c r="A3784" s="2"/>
      <x:c r="B3784" s="2" t="n">
        <x:v>3751</x:v>
      </x:c>
      <x:c r="C3784" s="2" t="str">
        <x:v>17011C</x:v>
      </x:c>
      <x:c r="D3784" s="2" t="str">
        <x:v>ORIGAMI LAVENDER INCENSE+FLOWER</x:v>
      </x:c>
      <x:c r="E3784" s="11" t="n">
        <x:v>221.4</x:v>
      </x:c>
      <x:c r="F3784" s="11" t="n">
        <x:v>0</x:v>
      </x:c>
      <x:c r="G3784" s="11" t="n">
        <x:v>221.4</x:v>
      </x:c>
      <x:c r="H3784" s="23" t="n">
        <x:v>0.000010782252980686363</x:v>
      </x:c>
      <x:c r="I3784" s="23" t="n">
        <x:v>0.9956563826819229</x:v>
      </x:c>
      <x:c r="J3784" s="2" t="n">
        <x:v>2</x:v>
      </x:c>
      <x:c r="K3784" s="2"/>
      <x:c r="L3784" s="2"/>
    </x:row>
    <x:row r="3785" ht="22" customHeight="1">
      <x:c r="A3785" s="2"/>
      <x:c r="B3785" s="2" t="n">
        <x:v>3752</x:v>
      </x:c>
      <x:c r="C3785" s="2" t="str">
        <x:v>21102</x:v>
      </x:c>
      <x:c r="D3785" s="2" t="str">
        <x:v>CANDLE IN JAR COLLAGE , VANILLA</x:v>
      </x:c>
      <x:c r="E3785" s="11" t="n">
        <x:v>221.07999999999998</x:v>
      </x:c>
      <x:c r="F3785" s="11" t="n">
        <x:v>79.05</x:v>
      </x:c>
      <x:c r="G3785" s="11" t="n">
        <x:v>142.03</x:v>
      </x:c>
      <x:c r="H3785" s="23" t="n">
        <x:v>0.00001076666887520389</x:v>
      </x:c>
      <x:c r="I3785" s="23" t="n">
        <x:v>0.9956671493507981</x:v>
      </x:c>
      <x:c r="J3785" s="2" t="n">
        <x:v>20</x:v>
      </x:c>
      <x:c r="K3785" s="2"/>
      <x:c r="L3785" s="2"/>
    </x:row>
    <x:row r="3786" ht="22" customHeight="1">
      <x:c r="A3786" s="2"/>
      <x:c r="B3786" s="2" t="n">
        <x:v>3753</x:v>
      </x:c>
      <x:c r="C3786" s="2" t="str">
        <x:v>17013B</x:v>
      </x:c>
      <x:c r="D3786" s="2" t="str">
        <x:v>ORIGAMI JASMINE INCENSE IN TUBE</x:v>
      </x:c>
      <x:c r="E3786" s="11" t="n">
        <x:v>221.03</x:v>
      </x:c>
      <x:c r="F3786" s="11" t="n">
        <x:v>0</x:v>
      </x:c>
      <x:c r="G3786" s="11" t="n">
        <x:v>221.03</x:v>
      </x:c>
      <x:c r="H3786" s="23" t="n">
        <x:v>0.000010764233858722254</x:v>
      </x:c>
      <x:c r="I3786" s="23" t="n">
        <x:v>0.9956779135846568</x:v>
      </x:c>
      <x:c r="J3786" s="2" t="n">
        <x:v>3</x:v>
      </x:c>
      <x:c r="K3786" s="2"/>
      <x:c r="L3786" s="2"/>
    </x:row>
    <x:row r="3787" ht="22" customHeight="1">
      <x:c r="A3787" s="2"/>
      <x:c r="B3787" s="2" t="n">
        <x:v>3754</x:v>
      </x:c>
      <x:c r="C3787" s="2" t="str">
        <x:v>72807b</x:v>
      </x:c>
      <x:c r="D3787" s="2" t="str">
        <x:v>SET/3 OCEAN SCENT CANDLE JEWEL BOX</x:v>
      </x:c>
      <x:c r="E3787" s="11" t="n">
        <x:v>220.94000000000003</x:v>
      </x:c>
      <x:c r="F3787" s="11" t="n">
        <x:v>0</x:v>
      </x:c>
      <x:c r="G3787" s="11" t="n">
        <x:v>220.94000000000003</x:v>
      </x:c>
      <x:c r="H3787" s="23" t="n">
        <x:v>0.000010759850829055308</x:v>
      </x:c>
      <x:c r="I3787" s="23" t="n">
        <x:v>0.995688673435486</x:v>
      </x:c>
      <x:c r="J3787" s="2" t="n">
        <x:v>19</x:v>
      </x:c>
      <x:c r="K3787" s="2"/>
      <x:c r="L3787" s="2"/>
    </x:row>
    <x:row r="3788" ht="22" customHeight="1">
      <x:c r="A3788" s="2"/>
      <x:c r="B3788" s="2" t="n">
        <x:v>3755</x:v>
      </x:c>
      <x:c r="C3788" s="2" t="str">
        <x:v>90024B</x:v>
      </x:c>
      <x:c r="D3788" s="2" t="str">
        <x:v>NEW BAROQUE B'FLY NECKLACE RED</x:v>
      </x:c>
      <x:c r="E3788" s="11" t="n">
        <x:v>220.74</x:v>
      </x:c>
      <x:c r="F3788" s="11" t="n">
        <x:v>17</x:v>
      </x:c>
      <x:c r="G3788" s="11" t="n">
        <x:v>203.74</x:v>
      </x:c>
      <x:c r="H3788" s="23" t="n">
        <x:v>0.000010750110763128762</x:v>
      </x:c>
      <x:c r="I3788" s="23" t="n">
        <x:v>0.9956994235462491</x:v>
      </x:c>
      <x:c r="J3788" s="2" t="n">
        <x:v>22</x:v>
      </x:c>
      <x:c r="K3788" s="2"/>
      <x:c r="L3788" s="2"/>
    </x:row>
    <x:row r="3789" ht="22" customHeight="1">
      <x:c r="A3789" s="2"/>
      <x:c r="B3789" s="2" t="n">
        <x:v>3756</x:v>
      </x:c>
      <x:c r="C3789" s="2" t="str">
        <x:v>35833G</x:v>
      </x:c>
      <x:c r="D3789" s="2" t="str">
        <x:v>damages</x:v>
      </x:c>
      <x:c r="E3789" s="11" t="n">
        <x:v>220.66</x:v>
      </x:c>
      <x:c r="F3789" s="11" t="n">
        <x:v>0</x:v>
      </x:c>
      <x:c r="G3789" s="11" t="n">
        <x:v>220.66</x:v>
      </x:c>
      <x:c r="H3789" s="23" t="n">
        <x:v>0.000010746214736758143</x:v>
      </x:c>
      <x:c r="I3789" s="23" t="n">
        <x:v>0.9957101697609858</x:v>
      </x:c>
      <x:c r="J3789" s="2" t="n">
        <x:v>34</x:v>
      </x:c>
      <x:c r="K3789" s="2"/>
      <x:c r="L3789" s="2"/>
    </x:row>
    <x:row r="3790" ht="22" customHeight="1">
      <x:c r="A3790" s="2"/>
      <x:c r="B3790" s="2" t="n">
        <x:v>3757</x:v>
      </x:c>
      <x:c r="C3790" s="2" t="str">
        <x:v>62086A</x:v>
      </x:c>
      <x:c r="D3790" s="2" t="str">
        <x:v>PINK RETRO BIG FLOWER BAG</x:v>
      </x:c>
      <x:c r="E3790" s="11" t="n">
        <x:v>220.35</x:v>
      </x:c>
      <x:c r="F3790" s="11" t="n">
        <x:v>0</x:v>
      </x:c>
      <x:c r="G3790" s="11" t="n">
        <x:v>220.35</x:v>
      </x:c>
      <x:c r="H3790" s="23" t="n">
        <x:v>0.000010731117634571996</x:v>
      </x:c>
      <x:c r="I3790" s="23" t="n">
        <x:v>0.9957209008786204</x:v>
      </x:c>
      <x:c r="J3790" s="2" t="n">
        <x:v>24</x:v>
      </x:c>
      <x:c r="K3790" s="2"/>
      <x:c r="L3790" s="2"/>
    </x:row>
    <x:row r="3791" ht="22" customHeight="1">
      <x:c r="A3791" s="2"/>
      <x:c r="B3791" s="2" t="n">
        <x:v>3758</x:v>
      </x:c>
      <x:c r="C3791" s="2" t="str">
        <x:v>90124C</x:v>
      </x:c>
      <x:c r="D3791" s="2" t="str">
        <x:v>GREEN MURANO TWIST NECKLACE</x:v>
      </x:c>
      <x:c r="E3791" s="11" t="n">
        <x:v>220.20999999999998</x:v>
      </x:c>
      <x:c r="F3791" s="11" t="n">
        <x:v>0</x:v>
      </x:c>
      <x:c r="G3791" s="11" t="n">
        <x:v>220.20999999999998</x:v>
      </x:c>
      <x:c r="H3791" s="23" t="n">
        <x:v>0.000010724299588423415</x:v>
      </x:c>
      <x:c r="I3791" s="23" t="n">
        <x:v>0.9957316251782088</x:v>
      </x:c>
      <x:c r="J3791" s="2" t="n">
        <x:v>16</x:v>
      </x:c>
      <x:c r="K3791" s="2"/>
      <x:c r="L3791" s="2"/>
    </x:row>
    <x:row r="3792" ht="22" customHeight="1">
      <x:c r="A3792" s="2"/>
      <x:c r="B3792" s="2" t="n">
        <x:v>3759</x:v>
      </x:c>
      <x:c r="C3792" s="2" t="str">
        <x:v>90123A</x:v>
      </x:c>
      <x:c r="D3792" s="2" t="str">
        <x:v>PINK HEART OF GLASS BRACELET</x:v>
      </x:c>
      <x:c r="E3792" s="11" t="n">
        <x:v>220.02</x:v>
      </x:c>
      <x:c r="F3792" s="11" t="n">
        <x:v>0</x:v>
      </x:c>
      <x:c r="G3792" s="11" t="n">
        <x:v>220.02</x:v>
      </x:c>
      <x:c r="H3792" s="23" t="n">
        <x:v>0.000010715046525793197</x:v>
      </x:c>
      <x:c r="I3792" s="23" t="n">
        <x:v>0.9957423402247346</x:v>
      </x:c>
      <x:c r="J3792" s="2" t="n">
        <x:v>19</x:v>
      </x:c>
      <x:c r="K3792" s="2"/>
      <x:c r="L3792" s="2"/>
    </x:row>
    <x:row r="3793" ht="22" customHeight="1">
      <x:c r="A3793" s="2"/>
      <x:c r="B3793" s="2" t="n">
        <x:v>3760</x:v>
      </x:c>
      <x:c r="C3793" s="2" t="str">
        <x:v>72225D</x:v>
      </x:c>
      <x:c r="D3793" s="2" t="str">
        <x:v>VANILLA SCENT CAKE CANDLE </x:v>
      </x:c>
      <x:c r="E3793" s="11" t="n">
        <x:v>219.45999999999998</x:v>
      </x:c>
      <x:c r="F3793" s="11" t="n">
        <x:v>0</x:v>
      </x:c>
      <x:c r="G3793" s="11" t="n">
        <x:v>219.45999999999998</x:v>
      </x:c>
      <x:c r="H3793" s="23" t="n">
        <x:v>0.000010687774341198866</x:v>
      </x:c>
      <x:c r="I3793" s="23" t="n">
        <x:v>0.9957530279990758</x:v>
      </x:c>
      <x:c r="J3793" s="2" t="n">
        <x:v>11</x:v>
      </x:c>
      <x:c r="K3793" s="2"/>
      <x:c r="L3793" s="2"/>
    </x:row>
    <x:row r="3794" ht="22" customHeight="1">
      <x:c r="A3794" s="2"/>
      <x:c r="B3794" s="2" t="n">
        <x:v>3761</x:v>
      </x:c>
      <x:c r="C3794" s="2" t="str">
        <x:v>85168A</x:v>
      </x:c>
      <x:c r="D3794" s="2" t="str">
        <x:v>WHITE BAROQUE CARRIAGE CLOCK</x:v>
      </x:c>
      <x:c r="E3794" s="11" t="n">
        <x:v>218.89999999999998</x:v>
      </x:c>
      <x:c r="F3794" s="11" t="n">
        <x:v>0</x:v>
      </x:c>
      <x:c r="G3794" s="11" t="n">
        <x:v>218.89999999999998</x:v>
      </x:c>
      <x:c r="H3794" s="23" t="n">
        <x:v>0.000010660502156604538</x:v>
      </x:c>
      <x:c r="I3794" s="23" t="n">
        <x:v>0.9957636885012324</x:v>
      </x:c>
      <x:c r="J3794" s="2" t="n">
        <x:v>15</x:v>
      </x:c>
      <x:c r="K3794" s="2"/>
      <x:c r="L3794" s="2"/>
    </x:row>
    <x:row r="3795" ht="22" customHeight="1">
      <x:c r="A3795" s="2"/>
      <x:c r="B3795" s="2" t="n">
        <x:v>3762</x:v>
      </x:c>
      <x:c r="C3795" s="2" t="str">
        <x:v>90058A</x:v>
      </x:c>
      <x:c r="D3795" s="2" t="str">
        <x:v>CRYSTAL STUD EARRINGS CLEAR DISPLAY</x:v>
      </x:c>
      <x:c r="E3795" s="11" t="n">
        <x:v>218.88</x:v>
      </x:c>
      <x:c r="F3795" s="11" t="n">
        <x:v>13.68</x:v>
      </x:c>
      <x:c r="G3795" s="11" t="n">
        <x:v>205.2</x:v>
      </x:c>
      <x:c r="H3795" s="23" t="n">
        <x:v>0.000010659528150011885</x:v>
      </x:c>
      <x:c r="I3795" s="23" t="n">
        <x:v>0.9957743480293825</x:v>
      </x:c>
      <x:c r="J3795" s="2" t="n">
        <x:v>13</x:v>
      </x:c>
      <x:c r="K3795" s="2"/>
      <x:c r="L3795" s="2"/>
    </x:row>
    <x:row r="3796" ht="22" customHeight="1">
      <x:c r="A3796" s="2"/>
      <x:c r="B3796" s="2" t="n">
        <x:v>3763</x:v>
      </x:c>
      <x:c r="C3796" s="2" t="str">
        <x:v>22881</x:v>
      </x:c>
      <x:c r="D3796" s="2" t="str">
        <x:v>NUMBER TILE VINTAGE FONT 2</x:v>
      </x:c>
      <x:c r="E3796" s="11" t="n">
        <x:v>218.82</x:v>
      </x:c>
      <x:c r="F3796" s="11" t="n">
        <x:v>0</x:v>
      </x:c>
      <x:c r="G3796" s="11" t="n">
        <x:v>218.82</x:v>
      </x:c>
      <x:c r="H3796" s="23" t="n">
        <x:v>0.00001065660613023392</x:v>
      </x:c>
      <x:c r="I3796" s="23" t="n">
        <x:v>0.9957850046355127</x:v>
      </x:c>
      <x:c r="J3796" s="2" t="n">
        <x:v>36</x:v>
      </x:c>
      <x:c r="K3796" s="2"/>
      <x:c r="L3796" s="2"/>
    </x:row>
    <x:row r="3797" ht="22" customHeight="1">
      <x:c r="A3797" s="2"/>
      <x:c r="B3797" s="2" t="n">
        <x:v>3764</x:v>
      </x:c>
      <x:c r="C3797" s="2" t="str">
        <x:v>22884</x:v>
      </x:c>
      <x:c r="D3797" s="2" t="str">
        <x:v>NUMBER TILE VINTAGE FONT 5</x:v>
      </x:c>
      <x:c r="E3797" s="11" t="n">
        <x:v>217.26</x:v>
      </x:c>
      <x:c r="F3797" s="11" t="n">
        <x:v>0</x:v>
      </x:c>
      <x:c r="G3797" s="11" t="n">
        <x:v>217.26</x:v>
      </x:c>
      <x:c r="H3797" s="23" t="n">
        <x:v>0.000010580633616006863</x:v>
      </x:c>
      <x:c r="I3797" s="23" t="n">
        <x:v>0.9957955852691287</x:v>
      </x:c>
      <x:c r="J3797" s="2" t="n">
        <x:v>39</x:v>
      </x:c>
      <x:c r="K3797" s="2"/>
      <x:c r="L3797" s="2"/>
    </x:row>
    <x:row r="3798" ht="22" customHeight="1">
      <x:c r="A3798" s="2"/>
      <x:c r="B3798" s="2" t="n">
        <x:v>3765</x:v>
      </x:c>
      <x:c r="C3798" s="2" t="str">
        <x:v>90005A</x:v>
      </x:c>
      <x:c r="D3798" s="2" t="str">
        <x:v>JADE GREEN ENAMEL HAIR COMB</x:v>
      </x:c>
      <x:c r="E3798" s="11" t="n">
        <x:v>216.87</x:v>
      </x:c>
      <x:c r="F3798" s="11" t="n">
        <x:v>0</x:v>
      </x:c>
      <x:c r="G3798" s="11" t="n">
        <x:v>216.87</x:v>
      </x:c>
      <x:c r="H3798" s="23" t="n">
        <x:v>0.000010561640487450099</x:v>
      </x:c>
      <x:c r="I3798" s="23" t="n">
        <x:v>0.9958061469096161</x:v>
      </x:c>
      <x:c r="J3798" s="2" t="n">
        <x:v>57</x:v>
      </x:c>
      <x:c r="K3798" s="2"/>
      <x:c r="L3798" s="2"/>
    </x:row>
    <x:row r="3799" ht="22" customHeight="1">
      <x:c r="A3799" s="2"/>
      <x:c r="B3799" s="2" t="n">
        <x:v>3766</x:v>
      </x:c>
      <x:c r="C3799" s="2" t="str">
        <x:v>35817P</x:v>
      </x:c>
      <x:c r="D3799" s="2" t="str">
        <x:v>thrown away</x:v>
      </x:c>
      <x:c r="E3799" s="11" t="n">
        <x:v>216.7</x:v>
      </x:c>
      <x:c r="F3799" s="11" t="n">
        <x:v>0</x:v>
      </x:c>
      <x:c r="G3799" s="11" t="n">
        <x:v>216.7</x:v>
      </x:c>
      <x:c r="H3799" s="23" t="n">
        <x:v>0.000010553361431412533</x:v>
      </x:c>
      <x:c r="I3799" s="23" t="n">
        <x:v>0.9958167002710475</x:v>
      </x:c>
      <x:c r="J3799" s="2" t="n">
        <x:v>11</x:v>
      </x:c>
      <x:c r="K3799" s="2"/>
      <x:c r="L3799" s="2"/>
    </x:row>
    <x:row r="3800" ht="22" customHeight="1">
      <x:c r="A3800" s="2"/>
      <x:c r="B3800" s="2" t="n">
        <x:v>3767</x:v>
      </x:c>
      <x:c r="C3800" s="2" t="str">
        <x:v>84725</x:v>
      </x:c>
      <x:c r="D3800" s="2" t="str">
        <x:v>FREESTYLE CANVAS ART PICTURE</x:v>
      </x:c>
      <x:c r="E3800" s="11" t="n">
        <x:v>216.49999999999997</x:v>
      </x:c>
      <x:c r="F3800" s="11" t="n">
        <x:v>0</x:v>
      </x:c>
      <x:c r="G3800" s="11" t="n">
        <x:v>216.49999999999997</x:v>
      </x:c>
      <x:c r="H3800" s="23" t="n">
        <x:v>0.000010543621365485986</x:v>
      </x:c>
      <x:c r="I3800" s="23" t="n">
        <x:v>0.995827243892413</x:v>
      </x:c>
      <x:c r="J3800" s="2" t="n">
        <x:v>29</x:v>
      </x:c>
      <x:c r="K3800" s="2"/>
      <x:c r="L3800" s="2"/>
    </x:row>
    <x:row r="3801" ht="22" customHeight="1">
      <x:c r="A3801" s="2"/>
      <x:c r="B3801" s="2" t="n">
        <x:v>3768</x:v>
      </x:c>
      <x:c r="C3801" s="2" t="str">
        <x:v>35793</x:v>
      </x:c>
      <x:c r="D3801" s="2" t="str">
        <x:v>S/3 PUPPIES CHRISTMAS DECORATIONS</x:v>
      </x:c>
      <x:c r="E3801" s="11" t="n">
        <x:v>216.33</x:v>
      </x:c>
      <x:c r="F3801" s="11" t="n">
        <x:v>0</x:v>
      </x:c>
      <x:c r="G3801" s="11" t="n">
        <x:v>216.33</x:v>
      </x:c>
      <x:c r="H3801" s="23" t="n">
        <x:v>0.000010535342309448424</x:v>
      </x:c>
      <x:c r="I3801" s="23" t="n">
        <x:v>0.9958377792347224</x:v>
      </x:c>
      <x:c r="J3801" s="2" t="n">
        <x:v>15</x:v>
      </x:c>
      <x:c r="K3801" s="2"/>
      <x:c r="L3801" s="2"/>
    </x:row>
    <x:row r="3802" ht="22" customHeight="1">
      <x:c r="A3802" s="2"/>
      <x:c r="B3802" s="2" t="n">
        <x:v>3769</x:v>
      </x:c>
      <x:c r="C3802" s="2" t="str">
        <x:v>37492A</x:v>
      </x:c>
      <x:c r="D3802" s="2" t="str">
        <x:v>YELLOW RED FLOWER PIGGY BANK</x:v>
      </x:c>
      <x:c r="E3802" s="11" t="n">
        <x:v>216.07</x:v>
      </x:c>
      <x:c r="F3802" s="11" t="n">
        <x:v>4.65</x:v>
      </x:c>
      <x:c r="G3802" s="11" t="n">
        <x:v>211.42</x:v>
      </x:c>
      <x:c r="H3802" s="23" t="n">
        <x:v>0.000010522680223743914</x:v>
      </x:c>
      <x:c r="I3802" s="23" t="n">
        <x:v>0.9958483019149461</x:v>
      </x:c>
      <x:c r="J3802" s="2" t="n">
        <x:v>11</x:v>
      </x:c>
      <x:c r="K3802" s="2"/>
      <x:c r="L3802" s="2"/>
    </x:row>
    <x:row r="3803" ht="22" customHeight="1">
      <x:c r="A3803" s="2"/>
      <x:c r="B3803" s="2" t="n">
        <x:v>3770</x:v>
      </x:c>
      <x:c r="C3803" s="2" t="str">
        <x:v>84807</x:v>
      </x:c>
      <x:c r="D3803" s="2" t="str">
        <x:v>damages</x:v>
      </x:c>
      <x:c r="E3803" s="11" t="n">
        <x:v>215.93</x:v>
      </x:c>
      <x:c r="F3803" s="11" t="n">
        <x:v>0</x:v>
      </x:c>
      <x:c r="G3803" s="11" t="n">
        <x:v>215.93</x:v>
      </x:c>
      <x:c r="H3803" s="23" t="n">
        <x:v>0.000010515862177595333</x:v>
      </x:c>
      <x:c r="I3803" s="23" t="n">
        <x:v>0.9958588177771237</x:v>
      </x:c>
      <x:c r="J3803" s="2" t="n">
        <x:v>7</x:v>
      </x:c>
      <x:c r="K3803" s="2"/>
      <x:c r="L3803" s="2"/>
    </x:row>
    <x:row r="3804" ht="22" customHeight="1">
      <x:c r="A3804" s="2"/>
      <x:c r="B3804" s="2" t="n">
        <x:v>3771</x:v>
      </x:c>
      <x:c r="C3804" s="2" t="str">
        <x:v>90036A</x:v>
      </x:c>
      <x:c r="D3804" s="2" t="str">
        <x:v>FLOWER GARLAND NECKLACE RED</x:v>
      </x:c>
      <x:c r="E3804" s="11" t="n">
        <x:v>215.76000000000002</x:v>
      </x:c>
      <x:c r="F3804" s="11" t="n">
        <x:v>0</x:v>
      </x:c>
      <x:c r="G3804" s="11" t="n">
        <x:v>215.76000000000002</x:v>
      </x:c>
      <x:c r="H3804" s="23" t="n">
        <x:v>0.000010507583121557769</x:v>
      </x:c>
      <x:c r="I3804" s="23" t="n">
        <x:v>0.9958693253602453</x:v>
      </x:c>
      <x:c r="J3804" s="2" t="n">
        <x:v>20</x:v>
      </x:c>
      <x:c r="K3804" s="2"/>
      <x:c r="L3804" s="2"/>
    </x:row>
    <x:row r="3805" ht="22" customHeight="1">
      <x:c r="A3805" s="2"/>
      <x:c r="B3805" s="2" t="n">
        <x:v>3772</x:v>
      </x:c>
      <x:c r="C3805" s="2" t="str">
        <x:v>84247C</x:v>
      </x:c>
      <x:c r="D3805" s="2" t="str">
        <x:v>PACK/12 BLUE REINDEER CARD</x:v>
      </x:c>
      <x:c r="E3805" s="11" t="n">
        <x:v>215.35000000000002</x:v>
      </x:c>
      <x:c r="F3805" s="11" t="n">
        <x:v>0</x:v>
      </x:c>
      <x:c r="G3805" s="11" t="n">
        <x:v>215.35000000000002</x:v>
      </x:c>
      <x:c r="H3805" s="23" t="n">
        <x:v>0.00001048761598640835</x:v>
      </x:c>
      <x:c r="I3805" s="23" t="n">
        <x:v>0.9958798129762317</x:v>
      </x:c>
      <x:c r="J3805" s="2" t="n">
        <x:v>22</x:v>
      </x:c>
      <x:c r="K3805" s="2"/>
      <x:c r="L3805" s="2"/>
    </x:row>
    <x:row r="3806" ht="22" customHeight="1">
      <x:c r="A3806" s="2"/>
      <x:c r="B3806" s="2" t="n">
        <x:v>3773</x:v>
      </x:c>
      <x:c r="C3806" s="2" t="str">
        <x:v>21368</x:v>
      </x:c>
      <x:c r="D3806" s="2" t="str">
        <x:v>MIRRORED WALL ART LADIES</x:v>
      </x:c>
      <x:c r="E3806" s="11" t="n">
        <x:v>215.33999999999997</x:v>
      </x:c>
      <x:c r="F3806" s="11" t="n">
        <x:v>0</x:v>
      </x:c>
      <x:c r="G3806" s="11" t="n">
        <x:v>215.33999999999997</x:v>
      </x:c>
      <x:c r="H3806" s="23" t="n">
        <x:v>0.00001048712898311202</x:v>
      </x:c>
      <x:c r="I3806" s="23" t="n">
        <x:v>0.9958903001052148</x:v>
      </x:c>
      <x:c r="J3806" s="2" t="n">
        <x:v>47</x:v>
      </x:c>
      <x:c r="K3806" s="2"/>
      <x:c r="L3806" s="2"/>
    </x:row>
    <x:row r="3807" ht="22" customHeight="1">
      <x:c r="A3807" s="2"/>
      <x:c r="B3807" s="2" t="n">
        <x:v>3774</x:v>
      </x:c>
      <x:c r="C3807" s="2" t="str">
        <x:v>21543</x:v>
      </x:c>
      <x:c r="D3807" s="2" t="str">
        <x:v>BUTTERFLY WATER TRANSFER TATTOOS </x:v>
      </x:c>
      <x:c r="E3807" s="11" t="n">
        <x:v>215</x:v>
      </x:c>
      <x:c r="F3807" s="11" t="n">
        <x:v>0</x:v>
      </x:c>
      <x:c r="G3807" s="11" t="n">
        <x:v>215</x:v>
      </x:c>
      <x:c r="H3807" s="23" t="n">
        <x:v>0.000010470570871036893</x:v>
      </x:c>
      <x:c r="I3807" s="23" t="n">
        <x:v>0.9959007706760858</x:v>
      </x:c>
      <x:c r="J3807" s="2" t="n">
        <x:v>24</x:v>
      </x:c>
      <x:c r="K3807" s="2"/>
      <x:c r="L3807" s="2"/>
    </x:row>
    <x:row r="3808" ht="22" customHeight="1">
      <x:c r="A3808" s="2"/>
      <x:c r="B3808" s="2" t="n">
        <x:v>3775</x:v>
      </x:c>
      <x:c r="C3808" s="2" t="str">
        <x:v>48179</x:v>
      </x:c>
      <x:c r="D3808" s="2" t="str">
        <x:v>DOOR MAT SWEET HOME</x:v>
      </x:c>
      <x:c r="E3808" s="11" t="n">
        <x:v>214.47</x:v>
      </x:c>
      <x:c r="F3808" s="11" t="n">
        <x:v>0</x:v>
      </x:c>
      <x:c r="G3808" s="11" t="n">
        <x:v>214.47</x:v>
      </x:c>
      <x:c r="H3808" s="23" t="n">
        <x:v>0.000010444759696331545</x:v>
      </x:c>
      <x:c r="I3808" s="23" t="n">
        <x:v>0.9959112154357822</x:v>
      </x:c>
      <x:c r="J3808" s="2" t="n">
        <x:v>11</x:v>
      </x:c>
      <x:c r="K3808" s="2"/>
      <x:c r="L3808" s="2"/>
    </x:row>
    <x:row r="3809" ht="22" customHeight="1">
      <x:c r="A3809" s="2"/>
      <x:c r="B3809" s="2" t="n">
        <x:v>3776</x:v>
      </x:c>
      <x:c r="C3809" s="2" t="str">
        <x:v>51012C</x:v>
      </x:c>
      <x:c r="D3809" s="2" t="str">
        <x:v>FEATHER DUSTER, COAL BLACK</x:v>
      </x:c>
      <x:c r="E3809" s="11" t="n">
        <x:v>213.75</x:v>
      </x:c>
      <x:c r="F3809" s="11" t="n">
        <x:v>3.75</x:v>
      </x:c>
      <x:c r="G3809" s="11" t="n">
        <x:v>210</x:v>
      </x:c>
      <x:c r="H3809" s="23" t="n">
        <x:v>0.000010409695458995981</x:v>
      </x:c>
      <x:c r="I3809" s="23" t="n">
        <x:v>0.9959216251312412</x:v>
      </x:c>
      <x:c r="J3809" s="2" t="n">
        <x:v>27</x:v>
      </x:c>
      <x:c r="K3809" s="2"/>
      <x:c r="L3809" s="2"/>
    </x:row>
    <x:row r="3810" ht="22" customHeight="1">
      <x:c r="A3810" s="2"/>
      <x:c r="B3810" s="2" t="n">
        <x:v>3777</x:v>
      </x:c>
      <x:c r="C3810" s="2" t="str">
        <x:v>90214A</x:v>
      </x:c>
      <x:c r="D3810" s="2" t="str">
        <x:v>LETTER "A" BLING KEY RING</x:v>
      </x:c>
      <x:c r="E3810" s="11" t="n">
        <x:v>213.65</x:v>
      </x:c>
      <x:c r="F3810" s="11" t="n">
        <x:v>7.5</x:v>
      </x:c>
      <x:c r="G3810" s="11" t="n">
        <x:v>206.15</x:v>
      </x:c>
      <x:c r="H3810" s="23" t="n">
        <x:v>0.000010404825426032708</x:v>
      </x:c>
      <x:c r="I3810" s="23" t="n">
        <x:v>0.9959320299566672</x:v>
      </x:c>
      <x:c r="J3810" s="2" t="n">
        <x:v>104</x:v>
      </x:c>
      <x:c r="K3810" s="2"/>
      <x:c r="L3810" s="2"/>
    </x:row>
    <x:row r="3811" ht="22" customHeight="1">
      <x:c r="A3811" s="2"/>
      <x:c r="B3811" s="2" t="n">
        <x:v>3778</x:v>
      </x:c>
      <x:c r="C3811" s="2" t="str">
        <x:v>90019C</x:v>
      </x:c>
      <x:c r="D3811" s="2" t="str">
        <x:v>SILVER BLACK ORBIT BRACELET</x:v>
      </x:c>
      <x:c r="E3811" s="11" t="n">
        <x:v>213.38</x:v>
      </x:c>
      <x:c r="F3811" s="11" t="n">
        <x:v>0</x:v>
      </x:c>
      <x:c r="G3811" s="11" t="n">
        <x:v>213.38</x:v>
      </x:c>
      <x:c r="H3811" s="23" t="n">
        <x:v>0.00001039167633703187</x:v>
      </x:c>
      <x:c r="I3811" s="23" t="n">
        <x:v>0.9959424216330042</x:v>
      </x:c>
      <x:c r="J3811" s="2" t="n">
        <x:v>34</x:v>
      </x:c>
      <x:c r="K3811" s="2"/>
      <x:c r="L3811" s="2"/>
    </x:row>
    <x:row r="3812" ht="22" customHeight="1">
      <x:c r="A3812" s="2"/>
      <x:c r="B3812" s="2" t="n">
        <x:v>3779</x:v>
      </x:c>
      <x:c r="C3812" s="2" t="str">
        <x:v>16201A</x:v>
      </x:c>
      <x:c r="D3812" s="2" t="str">
        <x:v>PASTEL PINK PHOTO ALBUM</x:v>
      </x:c>
      <x:c r="E3812" s="11" t="n">
        <x:v>213.37</x:v>
      </x:c>
      <x:c r="F3812" s="11" t="n">
        <x:v>3.9</x:v>
      </x:c>
      <x:c r="G3812" s="11" t="n">
        <x:v>209.47</x:v>
      </x:c>
      <x:c r="H3812" s="23" t="n">
        <x:v>0.000010391189333735545</x:v>
      </x:c>
      <x:c r="I3812" s="23" t="n">
        <x:v>0.9959528128223379</x:v>
      </x:c>
      <x:c r="J3812" s="2" t="n">
        <x:v>9</x:v>
      </x:c>
      <x:c r="K3812" s="2"/>
      <x:c r="L3812" s="2"/>
    </x:row>
    <x:row r="3813" ht="22" customHeight="1">
      <x:c r="A3813" s="2"/>
      <x:c r="B3813" s="2" t="n">
        <x:v>3780</x:v>
      </x:c>
      <x:c r="C3813" s="2" t="str">
        <x:v>21400</x:v>
      </x:c>
      <x:c r="D3813" s="2" t="str">
        <x:v>RED PUDDING SPOON</x:v>
      </x:c>
      <x:c r="E3813" s="11" t="n">
        <x:v>213.07</x:v>
      </x:c>
      <x:c r="F3813" s="11" t="n">
        <x:v>5.04</x:v>
      </x:c>
      <x:c r="G3813" s="11" t="n">
        <x:v>208.03</x:v>
      </x:c>
      <x:c r="H3813" s="23" t="n">
        <x:v>0.000010376579234845725</x:v>
      </x:c>
      <x:c r="I3813" s="23" t="n">
        <x:v>0.9959631894015728</x:v>
      </x:c>
      <x:c r="J3813" s="2" t="n">
        <x:v>91</x:v>
      </x:c>
      <x:c r="K3813" s="2"/>
      <x:c r="L3813" s="2"/>
    </x:row>
    <x:row r="3814" ht="22" customHeight="1">
      <x:c r="A3814" s="2"/>
      <x:c r="B3814" s="2" t="n">
        <x:v>3781</x:v>
      </x:c>
      <x:c r="C3814" s="2" t="str">
        <x:v>22883</x:v>
      </x:c>
      <x:c r="D3814" s="2" t="str">
        <x:v>NUMBER TILE VINTAGE FONT 4</x:v>
      </x:c>
      <x:c r="E3814" s="11" t="n">
        <x:v>213.04999999999998</x:v>
      </x:c>
      <x:c r="F3814" s="11" t="n">
        <x:v>1.95</x:v>
      </x:c>
      <x:c r="G3814" s="11" t="n">
        <x:v>211.1</x:v>
      </x:c>
      <x:c r="H3814" s="23" t="n">
        <x:v>0.00001037560522825307</x:v>
      </x:c>
      <x:c r="I3814" s="23" t="n">
        <x:v>0.995973565006801</x:v>
      </x:c>
      <x:c r="J3814" s="2" t="n">
        <x:v>34</x:v>
      </x:c>
      <x:c r="K3814" s="2"/>
      <x:c r="L3814" s="2"/>
    </x:row>
    <x:row r="3815" ht="22" customHeight="1">
      <x:c r="A3815" s="2"/>
      <x:c r="B3815" s="2" t="n">
        <x:v>3782</x:v>
      </x:c>
      <x:c r="C3815" s="2" t="str">
        <x:v>84805A</x:v>
      </x:c>
      <x:c r="D3815" s="2" t="str">
        <x:v>CREAM CLIMBING HYDRANGA ART FLOWER</x:v>
      </x:c>
      <x:c r="E3815" s="11" t="n">
        <x:v>212.85</x:v>
      </x:c>
      <x:c r="F3815" s="11" t="n">
        <x:v>0</x:v>
      </x:c>
      <x:c r="G3815" s="11" t="n">
        <x:v>212.85</x:v>
      </x:c>
      <x:c r="H3815" s="23" t="n">
        <x:v>0.000010365865162326523</x:v>
      </x:c>
      <x:c r="I3815" s="23" t="n">
        <x:v>0.9959839308719634</x:v>
      </x:c>
      <x:c r="J3815" s="2" t="n">
        <x:v>8</x:v>
      </x:c>
      <x:c r="K3815" s="2"/>
      <x:c r="L3815" s="2"/>
    </x:row>
    <x:row r="3816" ht="22" customHeight="1">
      <x:c r="A3816" s="2"/>
      <x:c r="B3816" s="2" t="n">
        <x:v>3783</x:v>
      </x:c>
      <x:c r="C3816" s="2" t="str">
        <x:v>47574B</x:v>
      </x:c>
      <x:c r="D3816" s="2" t="str">
        <x:v>ENGLISH ROSE SCENTED HANGING HEART</x:v>
      </x:c>
      <x:c r="E3816" s="11" t="n">
        <x:v>212.5</x:v>
      </x:c>
      <x:c r="F3816" s="11" t="n">
        <x:v>0</x:v>
      </x:c>
      <x:c r="G3816" s="11" t="n">
        <x:v>212.5</x:v>
      </x:c>
      <x:c r="H3816" s="23" t="n">
        <x:v>0.00001034882004695507</x:v>
      </x:c>
      <x:c r="I3816" s="23" t="n">
        <x:v>0.9959942796920103</x:v>
      </x:c>
      <x:c r="J3816" s="2" t="n">
        <x:v>27</x:v>
      </x:c>
      <x:c r="K3816" s="2"/>
      <x:c r="L3816" s="2"/>
    </x:row>
    <x:row r="3817" ht="22" customHeight="1">
      <x:c r="A3817" s="2"/>
      <x:c r="B3817" s="2" t="n">
        <x:v>3784</x:v>
      </x:c>
      <x:c r="C3817" s="2" t="str">
        <x:v>85039a</x:v>
      </x:c>
      <x:c r="D3817" s="2" t="str">
        <x:v>SET/4 RED MINI ROSE CANDLE IN BOWL</x:v>
      </x:c>
      <x:c r="E3817" s="11" t="n">
        <x:v>212.45</x:v>
      </x:c>
      <x:c r="F3817" s="11" t="n">
        <x:v>0</x:v>
      </x:c>
      <x:c r="G3817" s="11" t="n">
        <x:v>212.45</x:v>
      </x:c>
      <x:c r="H3817" s="23" t="n">
        <x:v>0.000010346385030473432</x:v>
      </x:c>
      <x:c r="I3817" s="23" t="n">
        <x:v>0.9960046260770408</x:v>
      </x:c>
      <x:c r="J3817" s="2" t="n">
        <x:v>44</x:v>
      </x:c>
      <x:c r="K3817" s="2"/>
      <x:c r="L3817" s="2"/>
    </x:row>
    <x:row r="3818" ht="22" customHeight="1">
      <x:c r="A3818" s="2"/>
      <x:c r="B3818" s="2" t="n">
        <x:v>3785</x:v>
      </x:c>
      <x:c r="C3818" s="2" t="str">
        <x:v>84313A</x:v>
      </x:c>
      <x:c r="D3818" s="2" t="str">
        <x:v>PINK TV TRAY TABLE </x:v>
      </x:c>
      <x:c r="E3818" s="11" t="n">
        <x:v>212.42</x:v>
      </x:c>
      <x:c r="F3818" s="11" t="n">
        <x:v>0</x:v>
      </x:c>
      <x:c r="G3818" s="11" t="n">
        <x:v>212.42</x:v>
      </x:c>
      <x:c r="H3818" s="23" t="n">
        <x:v>0.00001034492402058445</x:v>
      </x:c>
      <x:c r="I3818" s="23" t="n">
        <x:v>0.9960149710010614</x:v>
      </x:c>
      <x:c r="J3818" s="2" t="n">
        <x:v>19</x:v>
      </x:c>
      <x:c r="K3818" s="2"/>
      <x:c r="L3818" s="2"/>
    </x:row>
    <x:row r="3819" ht="22" customHeight="1">
      <x:c r="A3819" s="2"/>
      <x:c r="B3819" s="2" t="n">
        <x:v>3786</x:v>
      </x:c>
      <x:c r="C3819" s="2" t="str">
        <x:v>84927D</x:v>
      </x:c>
      <x:c r="D3819" s="2" t="str">
        <x:v>LA PALMIERA TILE HOOK</x:v>
      </x:c>
      <x:c r="E3819" s="11" t="n">
        <x:v>211.68</x:v>
      </x:c>
      <x:c r="F3819" s="11" t="n">
        <x:v>40.86000000000001</x:v>
      </x:c>
      <x:c r="G3819" s="11" t="n">
        <x:v>170.82000000000002</x:v>
      </x:c>
      <x:c r="H3819" s="23" t="n">
        <x:v>0.00001030888577665623</x:v>
      </x:c>
      <x:c r="I3819" s="23" t="n">
        <x:v>0.9960252798868381</x:v>
      </x:c>
      <x:c r="J3819" s="2" t="n">
        <x:v>28</x:v>
      </x:c>
      <x:c r="K3819" s="2"/>
      <x:c r="L3819" s="2"/>
    </x:row>
    <x:row r="3820" ht="22" customHeight="1">
      <x:c r="A3820" s="2"/>
      <x:c r="B3820" s="2" t="n">
        <x:v>3787</x:v>
      </x:c>
      <x:c r="C3820" s="2" t="str">
        <x:v>47343A</x:v>
      </x:c>
      <x:c r="D3820" s="2" t="str">
        <x:v>FUSCHIA FLOWER PURSE WITH BEADS</x:v>
      </x:c>
      <x:c r="E3820" s="11" t="n">
        <x:v>210.73</x:v>
      </x:c>
      <x:c r="F3820" s="11" t="n">
        <x:v>0</x:v>
      </x:c>
      <x:c r="G3820" s="11" t="n">
        <x:v>210.73</x:v>
      </x:c>
      <x:c r="H3820" s="23" t="n">
        <x:v>0.000010262620463505137</x:v>
      </x:c>
      <x:c r="I3820" s="23" t="n">
        <x:v>0.9960355425073016</x:v>
      </x:c>
      <x:c r="J3820" s="2" t="n">
        <x:v>23</x:v>
      </x:c>
      <x:c r="K3820" s="2"/>
      <x:c r="L3820" s="2"/>
    </x:row>
    <x:row r="3821" ht="22" customHeight="1">
      <x:c r="A3821" s="2"/>
      <x:c r="B3821" s="2" t="n">
        <x:v>3788</x:v>
      </x:c>
      <x:c r="C3821" s="2" t="str">
        <x:v>90210A</x:v>
      </x:c>
      <x:c r="D3821" s="2" t="str">
        <x:v>GREY ACRYLIC FACETED BANGLE</x:v>
      </x:c>
      <x:c r="E3821" s="11" t="n">
        <x:v>210.29</x:v>
      </x:c>
      <x:c r="F3821" s="11" t="n">
        <x:v>0</x:v>
      </x:c>
      <x:c r="G3821" s="11" t="n">
        <x:v>210.29</x:v>
      </x:c>
      <x:c r="H3821" s="23" t="n">
        <x:v>0.000010241192318466735</x:v>
      </x:c>
      <x:c r="I3821" s="23" t="n">
        <x:v>0.9960457836996202</x:v>
      </x:c>
      <x:c r="J3821" s="2" t="n">
        <x:v>21</x:v>
      </x:c>
      <x:c r="K3821" s="2"/>
      <x:c r="L3821" s="2"/>
    </x:row>
    <x:row r="3822" ht="22" customHeight="1">
      <x:c r="A3822" s="2"/>
      <x:c r="B3822" s="2" t="n">
        <x:v>3789</x:v>
      </x:c>
      <x:c r="C3822" s="2" t="str">
        <x:v>22885</x:v>
      </x:c>
      <x:c r="D3822" s="2" t="str">
        <x:v>NUMBER TILE VINTAGE FONT 6 </x:v>
      </x:c>
      <x:c r="E3822" s="11" t="n">
        <x:v>210.26</x:v>
      </x:c>
      <x:c r="F3822" s="11" t="n">
        <x:v>1.95</x:v>
      </x:c>
      <x:c r="G3822" s="11" t="n">
        <x:v>208.31</x:v>
      </x:c>
      <x:c r="H3822" s="23" t="n">
        <x:v>0.000010239731308577754</x:v>
      </x:c>
      <x:c r="I3822" s="23" t="n">
        <x:v>0.9960560234309287</x:v>
      </x:c>
      <x:c r="J3822" s="2" t="n">
        <x:v>35</x:v>
      </x:c>
      <x:c r="K3822" s="2"/>
      <x:c r="L3822" s="2"/>
    </x:row>
    <x:row r="3823" ht="22" customHeight="1">
      <x:c r="A3823" s="2"/>
      <x:c r="B3823" s="2" t="n">
        <x:v>3790</x:v>
      </x:c>
      <x:c r="C3823" s="2" t="str">
        <x:v>20827</x:v>
      </x:c>
      <x:c r="D3823" s="2" t="str">
        <x:v>damages</x:v>
      </x:c>
      <x:c r="E3823" s="11" t="n">
        <x:v>209.36</x:v>
      </x:c>
      <x:c r="F3823" s="11" t="n">
        <x:v>0</x:v>
      </x:c>
      <x:c r="G3823" s="11" t="n">
        <x:v>209.36</x:v>
      </x:c>
      <x:c r="H3823" s="23" t="n">
        <x:v>0.000010195901011908298</x:v>
      </x:c>
      <x:c r="I3823" s="23" t="n">
        <x:v>0.9960662193319406</x:v>
      </x:c>
      <x:c r="J3823" s="2" t="n">
        <x:v>8</x:v>
      </x:c>
      <x:c r="K3823" s="2"/>
      <x:c r="L3823" s="2"/>
    </x:row>
    <x:row r="3824" ht="22" customHeight="1">
      <x:c r="A3824" s="2"/>
      <x:c r="B3824" s="2" t="n">
        <x:v>3791</x:v>
      </x:c>
      <x:c r="C3824" s="2" t="str">
        <x:v>20814</x:v>
      </x:c>
      <x:c r="D3824" s="2" t="str">
        <x:v>SILVER FINCH DECORATION</x:v>
      </x:c>
      <x:c r="E3824" s="11" t="n">
        <x:v>208.89000000000001</x:v>
      </x:c>
      <x:c r="F3824" s="11" t="n">
        <x:v>16.25</x:v>
      </x:c>
      <x:c r="G3824" s="11" t="n">
        <x:v>192.64000000000001</x:v>
      </x:c>
      <x:c r="H3824" s="23" t="n">
        <x:v>0.000010173011856980915</x:v>
      </x:c>
      <x:c r="I3824" s="23" t="n">
        <x:v>0.9960763923437976</x:v>
      </x:c>
      <x:c r="J3824" s="2" t="n">
        <x:v>13</x:v>
      </x:c>
      <x:c r="K3824" s="2"/>
      <x:c r="L3824" s="2"/>
    </x:row>
    <x:row r="3825" ht="22" customHeight="1">
      <x:c r="A3825" s="2"/>
      <x:c r="B3825" s="2" t="n">
        <x:v>3792</x:v>
      </x:c>
      <x:c r="C3825" s="2" t="str">
        <x:v>84706F</x:v>
      </x:c>
      <x:c r="D3825" s="2" t="str">
        <x:v>RED PEONY TABLE CLOCK</x:v>
      </x:c>
      <x:c r="E3825" s="11" t="n">
        <x:v>208.3</x:v>
      </x:c>
      <x:c r="F3825" s="11" t="n">
        <x:v>8.95</x:v>
      </x:c>
      <x:c r="G3825" s="11" t="n">
        <x:v>199.35</x:v>
      </x:c>
      <x:c r="H3825" s="23" t="n">
        <x:v>0.000010144278662497604</x:v>
      </x:c>
      <x:c r="I3825" s="23" t="n">
        <x:v>0.9960865366224602</x:v>
      </x:c>
      <x:c r="J3825" s="2" t="n">
        <x:v>17</x:v>
      </x:c>
      <x:c r="K3825" s="2"/>
      <x:c r="L3825" s="2"/>
    </x:row>
    <x:row r="3826" ht="22" customHeight="1">
      <x:c r="A3826" s="2"/>
      <x:c r="B3826" s="2" t="n">
        <x:v>3793</x:v>
      </x:c>
      <x:c r="C3826" s="2" t="str">
        <x:v>90211B</x:v>
      </x:c>
      <x:c r="D3826" s="2" t="str">
        <x:v>JET BLACK LAS VEGAS NECKLACE 45CM</x:v>
      </x:c>
      <x:c r="E3826" s="11" t="n">
        <x:v>208.21</x:v>
      </x:c>
      <x:c r="F3826" s="11" t="n">
        <x:v>11.9</x:v>
      </x:c>
      <x:c r="G3826" s="11" t="n">
        <x:v>196.31</x:v>
      </x:c>
      <x:c r="H3826" s="23" t="n">
        <x:v>0.000010139895632830658</x:v>
      </x:c>
      <x:c r="I3826" s="23" t="n">
        <x:v>0.996096676518093</x:v>
      </x:c>
      <x:c r="J3826" s="2" t="n">
        <x:v>26</x:v>
      </x:c>
      <x:c r="K3826" s="2"/>
      <x:c r="L3826" s="2"/>
    </x:row>
    <x:row r="3827" ht="22" customHeight="1">
      <x:c r="A3827" s="2"/>
      <x:c r="B3827" s="2" t="n">
        <x:v>3794</x:v>
      </x:c>
      <x:c r="C3827" s="2" t="str">
        <x:v>90056</x:v>
      </x:c>
      <x:c r="D3827" s="2" t="str">
        <x:v>CHUNKY CRACKED GLAZE NECKLACE IVORY</x:v>
      </x:c>
      <x:c r="E3827" s="11" t="n">
        <x:v>207.94</x:v>
      </x:c>
      <x:c r="F3827" s="11" t="n">
        <x:v>0</x:v>
      </x:c>
      <x:c r="G3827" s="11" t="n">
        <x:v>207.94</x:v>
      </x:c>
      <x:c r="H3827" s="23" t="n">
        <x:v>0.000010126746543829821</x:v>
      </x:c>
      <x:c r="I3827" s="23" t="n">
        <x:v>0.9961068032646369</x:v>
      </x:c>
      <x:c r="J3827" s="2" t="n">
        <x:v>14</x:v>
      </x:c>
      <x:c r="K3827" s="2"/>
      <x:c r="L3827" s="2"/>
    </x:row>
    <x:row r="3828" ht="22" customHeight="1">
      <x:c r="A3828" s="2"/>
      <x:c r="B3828" s="2" t="n">
        <x:v>3795</x:v>
      </x:c>
      <x:c r="C3828" s="2" t="str">
        <x:v>90016A</x:v>
      </x:c>
      <x:c r="D3828" s="2" t="str">
        <x:v>SILVER/M.O.P PENDANT ORBIT NECKLACE</x:v>
      </x:c>
      <x:c r="E3828" s="11" t="n">
        <x:v>207.86</x:v>
      </x:c>
      <x:c r="F3828" s="11" t="n">
        <x:v>0</x:v>
      </x:c>
      <x:c r="G3828" s="11" t="n">
        <x:v>207.86</x:v>
      </x:c>
      <x:c r="H3828" s="23" t="n">
        <x:v>0.000010122850517459203</x:v>
      </x:c>
      <x:c r="I3828" s="23" t="n">
        <x:v>0.9961169261151543</x:v>
      </x:c>
      <x:c r="J3828" s="2" t="n">
        <x:v>16</x:v>
      </x:c>
      <x:c r="K3828" s="2"/>
      <x:c r="L3828" s="2"/>
    </x:row>
    <x:row r="3829" ht="22" customHeight="1">
      <x:c r="A3829" s="2"/>
      <x:c r="B3829" s="2" t="n">
        <x:v>3796</x:v>
      </x:c>
      <x:c r="C3829" s="2" t="str">
        <x:v>37485</x:v>
      </x:c>
      <x:c r="D3829" s="2" t="str">
        <x:v>ENGLISH ROSE TEA SET IN GIFT BOX</x:v>
      </x:c>
      <x:c r="E3829" s="11" t="n">
        <x:v>207.69</x:v>
      </x:c>
      <x:c r="F3829" s="11" t="n">
        <x:v>0</x:v>
      </x:c>
      <x:c r="G3829" s="11" t="n">
        <x:v>207.69</x:v>
      </x:c>
      <x:c r="H3829" s="23" t="n">
        <x:v>0.000010114571461421639</x:v>
      </x:c>
      <x:c r="I3829" s="23" t="n">
        <x:v>0.9961270406866157</x:v>
      </x:c>
      <x:c r="J3829" s="2" t="n">
        <x:v>15</x:v>
      </x:c>
      <x:c r="K3829" s="2"/>
      <x:c r="L3829" s="2"/>
    </x:row>
    <x:row r="3830" ht="22" customHeight="1">
      <x:c r="A3830" s="2"/>
      <x:c r="B3830" s="2" t="n">
        <x:v>3797</x:v>
      </x:c>
      <x:c r="C3830" s="2" t="str">
        <x:v>90040A</x:v>
      </x:c>
      <x:c r="D3830" s="2" t="str">
        <x:v>MURANO STYLE GLASS BRACELET RED</x:v>
      </x:c>
      <x:c r="E3830" s="11" t="n">
        <x:v>207.05</x:v>
      </x:c>
      <x:c r="F3830" s="11" t="n">
        <x:v>10.5</x:v>
      </x:c>
      <x:c r="G3830" s="11" t="n">
        <x:v>196.55</x:v>
      </x:c>
      <x:c r="H3830" s="23" t="n">
        <x:v>0.000010083403250456693</x:v>
      </x:c>
      <x:c r="I3830" s="23" t="n">
        <x:v>0.9961371240898662</x:v>
      </x:c>
      <x:c r="J3830" s="2" t="n">
        <x:v>34</x:v>
      </x:c>
      <x:c r="K3830" s="2"/>
      <x:c r="L3830" s="2"/>
    </x:row>
    <x:row r="3831" ht="22" customHeight="1">
      <x:c r="A3831" s="2"/>
      <x:c r="B3831" s="2" t="n">
        <x:v>3798</x:v>
      </x:c>
      <x:c r="C3831" s="2" t="str">
        <x:v>17014D</x:v>
      </x:c>
      <x:c r="D3831" s="2" t="str">
        <x:v>ORIGAMI ROSE INCENSE CONES</x:v>
      </x:c>
      <x:c r="E3831" s="11" t="n">
        <x:v>204.36</x:v>
      </x:c>
      <x:c r="F3831" s="11" t="n">
        <x:v>0</x:v>
      </x:c>
      <x:c r="G3831" s="11" t="n">
        <x:v>204.36</x:v>
      </x:c>
      <x:c r="H3831" s="23" t="n">
        <x:v>0.000009952399363744649</x:v>
      </x:c>
      <x:c r="I3831" s="23" t="n">
        <x:v>0.99614707648923</x:v>
      </x:c>
      <x:c r="J3831" s="2" t="n">
        <x:v>8</x:v>
      </x:c>
      <x:c r="K3831" s="2"/>
      <x:c r="L3831" s="2"/>
    </x:row>
    <x:row r="3832" ht="22" customHeight="1">
      <x:c r="A3832" s="2"/>
      <x:c r="B3832" s="2" t="n">
        <x:v>3799</x:v>
      </x:c>
      <x:c r="C3832" s="2" t="str">
        <x:v>35824B</x:v>
      </x:c>
      <x:c r="D3832" s="2" t="str">
        <x:v>HANGING FLOWERS+MIRROR,BLUE</x:v>
      </x:c>
      <x:c r="E3832" s="11" t="n">
        <x:v>203.24</x:v>
      </x:c>
      <x:c r="F3832" s="11" t="n">
        <x:v>0</x:v>
      </x:c>
      <x:c r="G3832" s="11" t="n">
        <x:v>203.24</x:v>
      </x:c>
      <x:c r="H3832" s="23" t="n">
        <x:v>0.000009897854994555991</x:v>
      </x:c>
      <x:c r="I3832" s="23" t="n">
        <x:v>0.9961569743442245</x:v>
      </x:c>
      <x:c r="J3832" s="2" t="n">
        <x:v>6</x:v>
      </x:c>
      <x:c r="K3832" s="2"/>
      <x:c r="L3832" s="2"/>
    </x:row>
    <x:row r="3833" ht="22" customHeight="1">
      <x:c r="A3833" s="2"/>
      <x:c r="B3833" s="2" t="n">
        <x:v>3800</x:v>
      </x:c>
      <x:c r="C3833" s="2" t="str">
        <x:v>20890</x:v>
      </x:c>
      <x:c r="D3833" s="2" t="str">
        <x:v>SMALL GLASS ROSE SCENTED CANDLE</x:v>
      </x:c>
      <x:c r="E3833" s="11" t="n">
        <x:v>202.62</x:v>
      </x:c>
      <x:c r="F3833" s="11" t="n">
        <x:v>0</x:v>
      </x:c>
      <x:c r="G3833" s="11" t="n">
        <x:v>202.62</x:v>
      </x:c>
      <x:c r="H3833" s="23" t="n">
        <x:v>0.000009867660790183698</x:v>
      </x:c>
      <x:c r="I3833" s="23" t="n">
        <x:v>0.9961668420050146</x:v>
      </x:c>
      <x:c r="J3833" s="2" t="n">
        <x:v>4</x:v>
      </x:c>
      <x:c r="K3833" s="2"/>
      <x:c r="L3833" s="2"/>
    </x:row>
    <x:row r="3834" ht="22" customHeight="1">
      <x:c r="A3834" s="2"/>
      <x:c r="B3834" s="2" t="n">
        <x:v>3801</x:v>
      </x:c>
      <x:c r="C3834" s="2" t="str">
        <x:v>37506</x:v>
      </x:c>
      <x:c r="D3834" s="2" t="str">
        <x:v>NEW ENGLAND MILK JUG W GIFT BOX</x:v>
      </x:c>
      <x:c r="E3834" s="11" t="n">
        <x:v>202.3</x:v>
      </x:c>
      <x:c r="F3834" s="11" t="n">
        <x:v>0</x:v>
      </x:c>
      <x:c r="G3834" s="11" t="n">
        <x:v>202.3</x:v>
      </x:c>
      <x:c r="H3834" s="23" t="n">
        <x:v>0.000009852076684701225</x:v>
      </x:c>
      <x:c r="I3834" s="23" t="n">
        <x:v>0.9961766940816993</x:v>
      </x:c>
      <x:c r="J3834" s="2" t="n">
        <x:v>26</x:v>
      </x:c>
      <x:c r="K3834" s="2"/>
      <x:c r="L3834" s="2"/>
    </x:row>
    <x:row r="3835" ht="22" customHeight="1">
      <x:c r="A3835" s="2"/>
      <x:c r="B3835" s="2" t="n">
        <x:v>3802</x:v>
      </x:c>
      <x:c r="C3835" s="2" t="str">
        <x:v>48103</x:v>
      </x:c>
      <x:c r="D3835" s="2" t="str">
        <x:v>DOORMAT KISS MY.......</x:v>
      </x:c>
      <x:c r="E3835" s="11" t="n">
        <x:v>201.73</x:v>
      </x:c>
      <x:c r="F3835" s="11" t="n">
        <x:v>0</x:v>
      </x:c>
      <x:c r="G3835" s="11" t="n">
        <x:v>201.73</x:v>
      </x:c>
      <x:c r="H3835" s="23" t="n">
        <x:v>0.000009824317496810568</x:v>
      </x:c>
      <x:c r="I3835" s="23" t="n">
        <x:v>0.9961865183991961</x:v>
      </x:c>
      <x:c r="J3835" s="2" t="n">
        <x:v>10</x:v>
      </x:c>
      <x:c r="K3835" s="2"/>
      <x:c r="L3835" s="2"/>
    </x:row>
    <x:row r="3836" ht="22" customHeight="1">
      <x:c r="A3836" s="2"/>
      <x:c r="B3836" s="2" t="n">
        <x:v>3803</x:v>
      </x:c>
      <x:c r="C3836" s="2" t="str">
        <x:v>84723</x:v>
      </x:c>
      <x:c r="D3836" s="2" t="str">
        <x:v>CHERRY BLOSSOM CANVAS ART PICTURE</x:v>
      </x:c>
      <x:c r="E3836" s="11" t="n">
        <x:v>201.3</x:v>
      </x:c>
      <x:c r="F3836" s="11" t="n">
        <x:v>47.7</x:v>
      </x:c>
      <x:c r="G3836" s="11" t="n">
        <x:v>153.6</x:v>
      </x:c>
      <x:c r="H3836" s="23" t="n">
        <x:v>0.000009803376355068496</x:v>
      </x:c>
      <x:c r="I3836" s="23" t="n">
        <x:v>0.9961963217755512</x:v>
      </x:c>
      <x:c r="J3836" s="2" t="n">
        <x:v>12</x:v>
      </x:c>
      <x:c r="K3836" s="2"/>
      <x:c r="L3836" s="2"/>
    </x:row>
    <x:row r="3837" ht="22" customHeight="1">
      <x:c r="A3837" s="2"/>
      <x:c r="B3837" s="2" t="n">
        <x:v>3804</x:v>
      </x:c>
      <x:c r="C3837" s="2" t="str">
        <x:v>72754A</x:v>
      </x:c>
      <x:c r="D3837" s="2" t="str">
        <x:v>damaged</x:v>
      </x:c>
      <x:c r="E3837" s="11" t="n">
        <x:v>201.24</x:v>
      </x:c>
      <x:c r="F3837" s="11" t="n">
        <x:v>0</x:v>
      </x:c>
      <x:c r="G3837" s="11" t="n">
        <x:v>201.24</x:v>
      </x:c>
      <x:c r="H3837" s="23" t="n">
        <x:v>0.000009800454335290533</x:v>
      </x:c>
      <x:c r="I3837" s="23" t="n">
        <x:v>0.9962061222298865</x:v>
      </x:c>
      <x:c r="J3837" s="2" t="n">
        <x:v>5</x:v>
      </x:c>
      <x:c r="K3837" s="2"/>
      <x:c r="L3837" s="2"/>
    </x:row>
    <x:row r="3838" ht="22" customHeight="1">
      <x:c r="A3838" s="2"/>
      <x:c r="B3838" s="2" t="n">
        <x:v>3805</x:v>
      </x:c>
      <x:c r="C3838" s="2" t="str">
        <x:v>20672</x:v>
      </x:c>
      <x:c r="D3838" s="2" t="str">
        <x:v>PINK TEATIME PRINT BOWL</x:v>
      </x:c>
      <x:c r="E3838" s="11" t="n">
        <x:v>201</x:v>
      </x:c>
      <x:c r="F3838" s="11" t="n">
        <x:v>0</x:v>
      </x:c>
      <x:c r="G3838" s="11" t="n">
        <x:v>201</x:v>
      </x:c>
      <x:c r="H3838" s="23" t="n">
        <x:v>0.000009788766256178676</x:v>
      </x:c>
      <x:c r="I3838" s="23" t="n">
        <x:v>0.9962159109961426</x:v>
      </x:c>
      <x:c r="J3838" s="2" t="n">
        <x:v>36</x:v>
      </x:c>
      <x:c r="K3838" s="2"/>
      <x:c r="L3838" s="2"/>
    </x:row>
    <x:row r="3839" ht="22" customHeight="1">
      <x:c r="A3839" s="2"/>
      <x:c r="B3839" s="2" t="n">
        <x:v>3806</x:v>
      </x:c>
      <x:c r="C3839" s="2" t="str">
        <x:v>90144</x:v>
      </x:c>
      <x:c r="D3839" s="2" t="str">
        <x:v>SILVER DROP EARRINGS WITH FLOWER</x:v>
      </x:c>
      <x:c r="E3839" s="11" t="n">
        <x:v>199.45</x:v>
      </x:c>
      <x:c r="F3839" s="11" t="n">
        <x:v>0</x:v>
      </x:c>
      <x:c r="G3839" s="11" t="n">
        <x:v>199.45</x:v>
      </x:c>
      <x:c r="H3839" s="23" t="n">
        <x:v>0.000009713280745247945</x:v>
      </x:c>
      <x:c r="I3839" s="23" t="n">
        <x:v>0.9962256242768879</x:v>
      </x:c>
      <x:c r="J3839" s="2" t="n">
        <x:v>33</x:v>
      </x:c>
      <x:c r="K3839" s="2"/>
      <x:c r="L3839" s="2"/>
    </x:row>
    <x:row r="3840" ht="22" customHeight="1">
      <x:c r="A3840" s="2"/>
      <x:c r="B3840" s="2" t="n">
        <x:v>3807</x:v>
      </x:c>
      <x:c r="C3840" s="2" t="str">
        <x:v>79403</x:v>
      </x:c>
      <x:c r="D3840" s="2" t="str">
        <x:v>FROSTED WHITE BASE </x:v>
      </x:c>
      <x:c r="E3840" s="11" t="n">
        <x:v>199.01999999999998</x:v>
      </x:c>
      <x:c r="F3840" s="11" t="n">
        <x:v>11.899999999999999</x:v>
      </x:c>
      <x:c r="G3840" s="11" t="n">
        <x:v>187.11999999999998</x:v>
      </x:c>
      <x:c r="H3840" s="23" t="n">
        <x:v>0.000009692339603505871</x:v>
      </x:c>
      <x:c r="I3840" s="23" t="n">
        <x:v>0.9962353166164913</x:v>
      </x:c>
      <x:c r="J3840" s="2" t="n">
        <x:v>36</x:v>
      </x:c>
      <x:c r="K3840" s="2"/>
      <x:c r="L3840" s="2"/>
    </x:row>
    <x:row r="3841" ht="22" customHeight="1">
      <x:c r="A3841" s="2"/>
      <x:c r="B3841" s="2" t="n">
        <x:v>3808</x:v>
      </x:c>
      <x:c r="C3841" s="2" t="str">
        <x:v>90000A</x:v>
      </x:c>
      <x:c r="D3841" s="2" t="str">
        <x:v>RASPBERRY ANT COPPER FLOWER NECKLAC</x:v>
      </x:c>
      <x:c r="E3841" s="11" t="n">
        <x:v>198.98000000000002</x:v>
      </x:c>
      <x:c r="F3841" s="11" t="n">
        <x:v>0</x:v>
      </x:c>
      <x:c r="G3841" s="11" t="n">
        <x:v>198.98000000000002</x:v>
      </x:c>
      <x:c r="H3841" s="23" t="n">
        <x:v>0.000009690391590320563</x:v>
      </x:c>
      <x:c r="I3841" s="23" t="n">
        <x:v>0.9962450070080816</x:v>
      </x:c>
      <x:c r="J3841" s="2" t="n">
        <x:v>21</x:v>
      </x:c>
      <x:c r="K3841" s="2"/>
      <x:c r="L3841" s="2"/>
    </x:row>
    <x:row r="3842" ht="22" customHeight="1">
      <x:c r="A3842" s="2"/>
      <x:c r="B3842" s="2" t="n">
        <x:v>3809</x:v>
      </x:c>
      <x:c r="C3842" s="2" t="str">
        <x:v>84797a</x:v>
      </x:c>
      <x:c r="D3842" s="2" t="str">
        <x:v>PINK HAWAIIAN PICNIC HAMPER FOR 4</x:v>
      </x:c>
      <x:c r="E3842" s="11" t="n">
        <x:v>198.84</x:v>
      </x:c>
      <x:c r="F3842" s="11" t="n">
        <x:v>0</x:v>
      </x:c>
      <x:c r="G3842" s="11" t="n">
        <x:v>198.84</x:v>
      </x:c>
      <x:c r="H3842" s="23" t="n">
        <x:v>0.000009683573544171981</x:v>
      </x:c>
      <x:c r="I3842" s="23" t="n">
        <x:v>0.9962546905816257</x:v>
      </x:c>
      <x:c r="J3842" s="2" t="n">
        <x:v>17</x:v>
      </x:c>
      <x:c r="K3842" s="2"/>
      <x:c r="L3842" s="2"/>
    </x:row>
    <x:row r="3843" ht="22" customHeight="1">
      <x:c r="A3843" s="2"/>
      <x:c r="B3843" s="2" t="n">
        <x:v>3810</x:v>
      </x:c>
      <x:c r="C3843" s="2" t="str">
        <x:v>47504F</x:v>
      </x:c>
      <x:c r="D3843" s="2" t="str">
        <x:v>ENGLISH ROSE TORCH</x:v>
      </x:c>
      <x:c r="E3843" s="11" t="n">
        <x:v>198.11</x:v>
      </x:c>
      <x:c r="F3843" s="11" t="n">
        <x:v>0</x:v>
      </x:c>
      <x:c r="G3843" s="11" t="n">
        <x:v>198.11</x:v>
      </x:c>
      <x:c r="H3843" s="23" t="n">
        <x:v>0.00000964802230354009</x:v>
      </x:c>
      <x:c r="I3843" s="23" t="n">
        <x:v>0.9962643386039293</x:v>
      </x:c>
      <x:c r="J3843" s="2" t="n">
        <x:v>14</x:v>
      </x:c>
      <x:c r="K3843" s="2"/>
      <x:c r="L3843" s="2"/>
    </x:row>
    <x:row r="3844" ht="22" customHeight="1">
      <x:c r="A3844" s="2"/>
      <x:c r="B3844" s="2" t="n">
        <x:v>3811</x:v>
      </x:c>
      <x:c r="C3844" s="2" t="str">
        <x:v>22330</x:v>
      </x:c>
      <x:c r="D3844" s="2" t="str">
        <x:v>72 ROUND PINK DOILIES</x:v>
      </x:c>
      <x:c r="E3844" s="11" t="n">
        <x:v>197.89999999999998</x:v>
      </x:c>
      <x:c r="F3844" s="11" t="n">
        <x:v>17.4</x:v>
      </x:c>
      <x:c r="G3844" s="11" t="n">
        <x:v>180.5</x:v>
      </x:c>
      <x:c r="H3844" s="23" t="n">
        <x:v>0.000009637795234317214</x:v>
      </x:c>
      <x:c r="I3844" s="23" t="n">
        <x:v>0.9962739763991636</x:v>
      </x:c>
      <x:c r="J3844" s="2" t="n">
        <x:v>22</x:v>
      </x:c>
      <x:c r="K3844" s="2"/>
      <x:c r="L3844" s="2"/>
    </x:row>
    <x:row r="3845" ht="22" customHeight="1">
      <x:c r="A3845" s="2"/>
      <x:c r="B3845" s="2" t="n">
        <x:v>3812</x:v>
      </x:c>
      <x:c r="C3845" s="2" t="str">
        <x:v>37471</x:v>
      </x:c>
      <x:c r="D3845" s="2" t="str">
        <x:v>MULTICOLOUR POLKADOT PLATE</x:v>
      </x:c>
      <x:c r="E3845" s="11" t="n">
        <x:v>197.85</x:v>
      </x:c>
      <x:c r="F3845" s="11" t="n">
        <x:v>68.4</x:v>
      </x:c>
      <x:c r="G3845" s="11" t="n">
        <x:v>129.45</x:v>
      </x:c>
      <x:c r="H3845" s="23" t="n">
        <x:v>0.000009635360217835578</x:v>
      </x:c>
      <x:c r="I3845" s="23" t="n">
        <x:v>0.9962836117593814</x:v>
      </x:c>
      <x:c r="J3845" s="2" t="n">
        <x:v>10</x:v>
      </x:c>
      <x:c r="K3845" s="2"/>
      <x:c r="L3845" s="2"/>
    </x:row>
    <x:row r="3846" ht="22" customHeight="1">
      <x:c r="A3846" s="2"/>
      <x:c r="B3846" s="2" t="n">
        <x:v>3813</x:v>
      </x:c>
      <x:c r="C3846" s="2" t="str">
        <x:v>84855</x:v>
      </x:c>
      <x:c r="D3846" s="2" t="str">
        <x:v>BLOKEY SILVER TOOL SET</x:v>
      </x:c>
      <x:c r="E3846" s="11" t="n">
        <x:v>196.70000000000002</x:v>
      </x:c>
      <x:c r="F3846" s="11" t="n">
        <x:v>0</x:v>
      </x:c>
      <x:c r="G3846" s="11" t="n">
        <x:v>196.70000000000002</x:v>
      </x:c>
      <x:c r="H3846" s="23" t="n">
        <x:v>0.00000957935483875794</x:v>
      </x:c>
      <x:c r="I3846" s="23" t="n">
        <x:v>0.9962931911142202</x:v>
      </x:c>
      <x:c r="J3846" s="2" t="n">
        <x:v>15</x:v>
      </x:c>
      <x:c r="K3846" s="2"/>
      <x:c r="L3846" s="2"/>
    </x:row>
    <x:row r="3847" ht="22" customHeight="1">
      <x:c r="A3847" s="2"/>
      <x:c r="B3847" s="2" t="n">
        <x:v>3814</x:v>
      </x:c>
      <x:c r="C3847" s="2" t="str">
        <x:v>90029</x:v>
      </x:c>
      <x:c r="D3847" s="2" t="str">
        <x:v>NEW BAROQUE SMALL NECKLACE BLACK</x:v>
      </x:c>
      <x:c r="E3847" s="11" t="n">
        <x:v>195.14</x:v>
      </x:c>
      <x:c r="F3847" s="11" t="n">
        <x:v>8.5</x:v>
      </x:c>
      <x:c r="G3847" s="11" t="n">
        <x:v>186.64</x:v>
      </x:c>
      <x:c r="H3847" s="23" t="n">
        <x:v>0.00000950338232453088</x:v>
      </x:c>
      <x:c r="I3847" s="23" t="n">
        <x:v>0.9963026944965447</x:v>
      </x:c>
      <x:c r="J3847" s="2" t="n">
        <x:v>12</x:v>
      </x:c>
      <x:c r="K3847" s="2"/>
      <x:c r="L3847" s="2"/>
    </x:row>
    <x:row r="3848" ht="22" customHeight="1">
      <x:c r="A3848" s="2"/>
      <x:c r="B3848" s="2" t="n">
        <x:v>3815</x:v>
      </x:c>
      <x:c r="C3848" s="2" t="str">
        <x:v>84985B</x:v>
      </x:c>
      <x:c r="D3848" s="2" t="str">
        <x:v>SET OF 72 BLACK PAPER DOILIES </x:v>
      </x:c>
      <x:c r="E3848" s="11" t="n">
        <x:v>194.95999999999998</x:v>
      </x:c>
      <x:c r="F3848" s="11" t="n">
        <x:v>0</x:v>
      </x:c>
      <x:c r="G3848" s="11" t="n">
        <x:v>194.95999999999998</x:v>
      </x:c>
      <x:c r="H3848" s="23" t="n">
        <x:v>0.000009494616265196987</x:v>
      </x:c>
      <x:c r="I3848" s="23" t="n">
        <x:v>0.9963121891128099</x:v>
      </x:c>
      <x:c r="J3848" s="2" t="n">
        <x:v>24</x:v>
      </x:c>
      <x:c r="K3848" s="2"/>
      <x:c r="L3848" s="2"/>
    </x:row>
    <x:row r="3849" ht="22" customHeight="1">
      <x:c r="A3849" s="2"/>
      <x:c r="B3849" s="2" t="n">
        <x:v>3816</x:v>
      </x:c>
      <x:c r="C3849" s="2" t="str">
        <x:v>23697</x:v>
      </x:c>
      <x:c r="D3849" s="2" t="str">
        <x:v>A PRETTY THANK YOU CARD</x:v>
      </x:c>
      <x:c r="E3849" s="11" t="n">
        <x:v>194.58</x:v>
      </x:c>
      <x:c r="F3849" s="11" t="n">
        <x:v>0</x:v>
      </x:c>
      <x:c r="G3849" s="11" t="n">
        <x:v>194.58</x:v>
      </x:c>
      <x:c r="H3849" s="23" t="n">
        <x:v>0.000009476110139936553</x:v>
      </x:c>
      <x:c r="I3849" s="23" t="n">
        <x:v>0.9963216652229498</x:v>
      </x:c>
      <x:c r="J3849" s="2" t="n">
        <x:v>35</x:v>
      </x:c>
      <x:c r="K3849" s="2"/>
      <x:c r="L3849" s="2"/>
    </x:row>
    <x:row r="3850" ht="22" customHeight="1">
      <x:c r="A3850" s="2"/>
      <x:c r="B3850" s="2" t="n">
        <x:v>3817</x:v>
      </x:c>
      <x:c r="C3850" s="2" t="str">
        <x:v>90065A</x:v>
      </x:c>
      <x:c r="D3850" s="2" t="str">
        <x:v>WHITE VINTAGE CRYSTAL BRACELET</x:v>
      </x:c>
      <x:c r="E3850" s="11" t="n">
        <x:v>193.96</x:v>
      </x:c>
      <x:c r="F3850" s="11" t="n">
        <x:v>7.22</x:v>
      </x:c>
      <x:c r="G3850" s="11" t="n">
        <x:v>186.74</x:v>
      </x:c>
      <x:c r="H3850" s="23" t="n">
        <x:v>0.00000944591593556426</x:v>
      </x:c>
      <x:c r="I3850" s="23" t="n">
        <x:v>0.9963311111388854</x:v>
      </x:c>
      <x:c r="J3850" s="2" t="n">
        <x:v>16</x:v>
      </x:c>
      <x:c r="K3850" s="2"/>
      <x:c r="L3850" s="2"/>
    </x:row>
    <x:row r="3851" ht="22" customHeight="1">
      <x:c r="A3851" s="2"/>
      <x:c r="B3851" s="2" t="n">
        <x:v>3818</x:v>
      </x:c>
      <x:c r="C3851" s="2" t="str">
        <x:v>35819B</x:v>
      </x:c>
      <x:c r="D3851" s="2" t="str">
        <x:v>check</x:v>
      </x:c>
      <x:c r="E3851" s="11" t="n">
        <x:v>193.06</x:v>
      </x:c>
      <x:c r="F3851" s="11" t="n">
        <x:v>0</x:v>
      </x:c>
      <x:c r="G3851" s="11" t="n">
        <x:v>193.06</x:v>
      </x:c>
      <x:c r="H3851" s="23" t="n">
        <x:v>0.000009402085638894802</x:v>
      </x:c>
      <x:c r="I3851" s="23" t="n">
        <x:v>0.9963405132245243</x:v>
      </x:c>
      <x:c r="J3851" s="2" t="n">
        <x:v>32</x:v>
      </x:c>
      <x:c r="K3851" s="2"/>
      <x:c r="L3851" s="2"/>
    </x:row>
    <x:row r="3852" ht="22" customHeight="1">
      <x:c r="A3852" s="2"/>
      <x:c r="B3852" s="2" t="n">
        <x:v>3819</x:v>
      </x:c>
      <x:c r="C3852" s="2" t="str">
        <x:v>21582</x:v>
      </x:c>
      <x:c r="D3852" s="2" t="str">
        <x:v>KINGS CHOICE SMALL TUBE MATCHES</x:v>
      </x:c>
      <x:c r="E3852" s="11" t="n">
        <x:v>193.04999999999998</x:v>
      </x:c>
      <x:c r="F3852" s="11" t="n">
        <x:v>0</x:v>
      </x:c>
      <x:c r="G3852" s="11" t="n">
        <x:v>193.04999999999998</x:v>
      </x:c>
      <x:c r="H3852" s="23" t="n">
        <x:v>0.000009401598635598475</x:v>
      </x:c>
      <x:c r="I3852" s="23" t="n">
        <x:v>0.9963499148231599</x:v>
      </x:c>
      <x:c r="J3852" s="2" t="n">
        <x:v>16</x:v>
      </x:c>
      <x:c r="K3852" s="2"/>
      <x:c r="L3852" s="2"/>
    </x:row>
    <x:row r="3853" ht="22" customHeight="1">
      <x:c r="A3853" s="2"/>
      <x:c r="B3853" s="2" t="n">
        <x:v>3820</x:v>
      </x:c>
      <x:c r="C3853" s="2" t="str">
        <x:v>84893</x:v>
      </x:c>
      <x:c r="D3853" s="2" t="str">
        <x:v>ANT WHITE IRON BASKET</x:v>
      </x:c>
      <x:c r="E3853" s="11" t="n">
        <x:v>192.3</x:v>
      </x:c>
      <x:c r="F3853" s="11" t="n">
        <x:v>0</x:v>
      </x:c>
      <x:c r="G3853" s="11" t="n">
        <x:v>192.3</x:v>
      </x:c>
      <x:c r="H3853" s="23" t="n">
        <x:v>0.00000936507338837393</x:v>
      </x:c>
      <x:c r="I3853" s="23" t="n">
        <x:v>0.9963592798965483</x:v>
      </x:c>
      <x:c r="J3853" s="2" t="n">
        <x:v>15</x:v>
      </x:c>
      <x:c r="K3853" s="2"/>
      <x:c r="L3853" s="2"/>
    </x:row>
    <x:row r="3854" ht="22" customHeight="1">
      <x:c r="A3854" s="2"/>
      <x:c r="B3854" s="2" t="n">
        <x:v>3821</x:v>
      </x:c>
      <x:c r="C3854" s="2" t="str">
        <x:v>84255B</x:v>
      </x:c>
      <x:c r="D3854" s="2" t="str">
        <x:v>ORANGE COCKTAIL GLASS LAMP</x:v>
      </x:c>
      <x:c r="E3854" s="11" t="n">
        <x:v>192.26000000000002</x:v>
      </x:c>
      <x:c r="F3854" s="11" t="n">
        <x:v>0</x:v>
      </x:c>
      <x:c r="G3854" s="11" t="n">
        <x:v>192.26000000000002</x:v>
      </x:c>
      <x:c r="H3854" s="23" t="n">
        <x:v>0.00000936312537518862</x:v>
      </x:c>
      <x:c r="I3854" s="23" t="n">
        <x:v>0.9963686430219234</x:v>
      </x:c>
      <x:c r="J3854" s="2" t="n">
        <x:v>18</x:v>
      </x:c>
      <x:c r="K3854" s="2"/>
      <x:c r="L3854" s="2"/>
    </x:row>
    <x:row r="3855" ht="22" customHeight="1">
      <x:c r="A3855" s="2"/>
      <x:c r="B3855" s="2" t="n">
        <x:v>3822</x:v>
      </x:c>
      <x:c r="C3855" s="2" t="str">
        <x:v>90036F</x:v>
      </x:c>
      <x:c r="D3855" s="2" t="str">
        <x:v>FLOWER GLASS GARLD NECKL36"TURQUOIS</x:v>
      </x:c>
      <x:c r="E3855" s="11" t="n">
        <x:v>192.17000000000002</x:v>
      </x:c>
      <x:c r="F3855" s="11" t="n">
        <x:v>0</x:v>
      </x:c>
      <x:c r="G3855" s="11" t="n">
        <x:v>192.17000000000002</x:v>
      </x:c>
      <x:c r="H3855" s="23" t="n">
        <x:v>0.000009358742345521674</x:v>
      </x:c>
      <x:c r="I3855" s="23" t="n">
        <x:v>0.9963780017642689</x:v>
      </x:c>
      <x:c r="J3855" s="2" t="n">
        <x:v>15</x:v>
      </x:c>
      <x:c r="K3855" s="2"/>
      <x:c r="L3855" s="2"/>
    </x:row>
    <x:row r="3856" ht="22" customHeight="1">
      <x:c r="A3856" s="2"/>
      <x:c r="B3856" s="2" t="n">
        <x:v>3823</x:v>
      </x:c>
      <x:c r="C3856" s="2" t="str">
        <x:v>84899F</x:v>
      </x:c>
      <x:c r="D3856" s="2" t="str">
        <x:v>YELLOW PURPLE DAISY FELT PURSE KIT</x:v>
      </x:c>
      <x:c r="E3856" s="11" t="n">
        <x:v>192.17</x:v>
      </x:c>
      <x:c r="F3856" s="11" t="n">
        <x:v>0</x:v>
      </x:c>
      <x:c r="G3856" s="11" t="n">
        <x:v>192.17</x:v>
      </x:c>
      <x:c r="H3856" s="23" t="n">
        <x:v>0.000009358742345521672</x:v>
      </x:c>
      <x:c r="I3856" s="23" t="n">
        <x:v>0.9963873605066145</x:v>
      </x:c>
      <x:c r="J3856" s="2" t="n">
        <x:v>53</x:v>
      </x:c>
      <x:c r="K3856" s="2"/>
      <x:c r="L3856" s="2"/>
    </x:row>
    <x:row r="3857" ht="22" customHeight="1">
      <x:c r="A3857" s="2"/>
      <x:c r="B3857" s="2" t="n">
        <x:v>3824</x:v>
      </x:c>
      <x:c r="C3857" s="2" t="str">
        <x:v>84926C</x:v>
      </x:c>
      <x:c r="D3857" s="2" t="str">
        <x:v>FAIRY CAKES TILE COASTER</x:v>
      </x:c>
      <x:c r="E3857" s="11" t="n">
        <x:v>192.1</x:v>
      </x:c>
      <x:c r="F3857" s="11" t="n">
        <x:v>7.5</x:v>
      </x:c>
      <x:c r="G3857" s="11" t="n">
        <x:v>184.6</x:v>
      </x:c>
      <x:c r="H3857" s="23" t="n">
        <x:v>0.000009355333322447381</x:v>
      </x:c>
      <x:c r="I3857" s="23" t="n">
        <x:v>0.9963967158399369</x:v>
      </x:c>
      <x:c r="J3857" s="2" t="n">
        <x:v>31</x:v>
      </x:c>
      <x:c r="K3857" s="2"/>
      <x:c r="L3857" s="2"/>
    </x:row>
    <x:row r="3858" ht="22" customHeight="1">
      <x:c r="A3858" s="2"/>
      <x:c r="B3858" s="2" t="n">
        <x:v>3825</x:v>
      </x:c>
      <x:c r="C3858" s="2" t="str">
        <x:v>72051S</x:v>
      </x:c>
      <x:c r="D3858" s="2" t="str">
        <x:v>BAG OF SILVER STONES</x:v>
      </x:c>
      <x:c r="E3858" s="11" t="n">
        <x:v>191.73</x:v>
      </x:c>
      <x:c r="F3858" s="11" t="n">
        <x:v>0</x:v>
      </x:c>
      <x:c r="G3858" s="11" t="n">
        <x:v>191.73</x:v>
      </x:c>
      <x:c r="H3858" s="23" t="n">
        <x:v>0.000009337314200483272</x:v>
      </x:c>
      <x:c r="I3858" s="23" t="n">
        <x:v>0.9964060531541374</x:v>
      </x:c>
      <x:c r="J3858" s="2" t="n">
        <x:v>54</x:v>
      </x:c>
      <x:c r="K3858" s="2"/>
      <x:c r="L3858" s="2"/>
    </x:row>
    <x:row r="3859" ht="22" customHeight="1">
      <x:c r="A3859" s="2"/>
      <x:c r="B3859" s="2" t="n">
        <x:v>3826</x:v>
      </x:c>
      <x:c r="C3859" s="2" t="str">
        <x:v>90003C</x:v>
      </x:c>
      <x:c r="D3859" s="2" t="str">
        <x:v>MIDNIGHT BLUE PAIR HEART HAIR SLIDE</x:v>
      </x:c>
      <x:c r="E3859" s="11" t="n">
        <x:v>191.54</x:v>
      </x:c>
      <x:c r="F3859" s="11" t="n">
        <x:v>26.25</x:v>
      </x:c>
      <x:c r="G3859" s="11" t="n">
        <x:v>165.29</x:v>
      </x:c>
      <x:c r="H3859" s="23" t="n">
        <x:v>0.000009328061137853053</x:v>
      </x:c>
      <x:c r="I3859" s="23" t="n">
        <x:v>0.9964153812152753</x:v>
      </x:c>
      <x:c r="J3859" s="2" t="n">
        <x:v>35</x:v>
      </x:c>
      <x:c r="K3859" s="2"/>
      <x:c r="L3859" s="2"/>
    </x:row>
    <x:row r="3860" ht="22" customHeight="1">
      <x:c r="A3860" s="2"/>
      <x:c r="B3860" s="2" t="n">
        <x:v>3827</x:v>
      </x:c>
      <x:c r="C3860" s="2" t="str">
        <x:v>90178B</x:v>
      </x:c>
      <x:c r="D3860" s="2" t="str">
        <x:v>PURPLE CHUNKY GLASS+BEAD NECKLACE</x:v>
      </x:c>
      <x:c r="E3860" s="11" t="n">
        <x:v>191.40999999999997</x:v>
      </x:c>
      <x:c r="F3860" s="11" t="n">
        <x:v>0</x:v>
      </x:c>
      <x:c r="G3860" s="11" t="n">
        <x:v>191.40999999999997</x:v>
      </x:c>
      <x:c r="H3860" s="23" t="n">
        <x:v>0.000009321730095000798</x:v>
      </x:c>
      <x:c r="I3860" s="23" t="n">
        <x:v>0.9964247029453703</x:v>
      </x:c>
      <x:c r="J3860" s="2" t="n">
        <x:v>11</x:v>
      </x:c>
      <x:c r="K3860" s="2"/>
      <x:c r="L3860" s="2"/>
    </x:row>
    <x:row r="3861" ht="22" customHeight="1">
      <x:c r="A3861" s="2"/>
      <x:c r="B3861" s="2" t="n">
        <x:v>3828</x:v>
      </x:c>
      <x:c r="C3861" s="2" t="str">
        <x:v>90094</x:v>
      </x:c>
      <x:c r="D3861" s="2" t="str">
        <x:v>NECKLACE+BRACELET SET FRUIT SALAD </x:v>
      </x:c>
      <x:c r="E3861" s="11" t="n">
        <x:v>190.17</x:v>
      </x:c>
      <x:c r="F3861" s="11" t="n">
        <x:v>0</x:v>
      </x:c>
      <x:c r="G3861" s="11" t="n">
        <x:v>190.17</x:v>
      </x:c>
      <x:c r="H3861" s="23" t="n">
        <x:v>0.000009261341686256213</x:v>
      </x:c>
      <x:c r="I3861" s="23" t="n">
        <x:v>0.9964339642870566</x:v>
      </x:c>
      <x:c r="J3861" s="2" t="n">
        <x:v>38</x:v>
      </x:c>
      <x:c r="K3861" s="2"/>
      <x:c r="L3861" s="2"/>
    </x:row>
    <x:row r="3862" ht="22" customHeight="1">
      <x:c r="A3862" s="2"/>
      <x:c r="B3862" s="2" t="n">
        <x:v>3829</x:v>
      </x:c>
      <x:c r="C3862" s="2" t="str">
        <x:v>84744</x:v>
      </x:c>
      <x:c r="D3862" s="2" t="str">
        <x:v>S/6 SEW ON CROCHET FLOWERS</x:v>
      </x:c>
      <x:c r="E3862" s="11" t="n">
        <x:v>190.02</x:v>
      </x:c>
      <x:c r="F3862" s="11" t="n">
        <x:v>0</x:v>
      </x:c>
      <x:c r="G3862" s="11" t="n">
        <x:v>190.02</x:v>
      </x:c>
      <x:c r="H3862" s="23" t="n">
        <x:v>0.000009254036636811304</x:v>
      </x:c>
      <x:c r="I3862" s="23" t="n">
        <x:v>0.9964432183236933</x:v>
      </x:c>
      <x:c r="J3862" s="2" t="n">
        <x:v>31</x:v>
      </x:c>
      <x:c r="K3862" s="2"/>
      <x:c r="L3862" s="2"/>
    </x:row>
    <x:row r="3863" ht="22" customHeight="1">
      <x:c r="A3863" s="2"/>
      <x:c r="B3863" s="2" t="n">
        <x:v>3830</x:v>
      </x:c>
      <x:c r="C3863" s="2" t="str">
        <x:v>84803A</x:v>
      </x:c>
      <x:c r="D3863" s="2" t="str">
        <x:v>PINK ALLIUM  ARTIFICIAL FLOWER</x:v>
      </x:c>
      <x:c r="E3863" s="11" t="n">
        <x:v>189.28</x:v>
      </x:c>
      <x:c r="F3863" s="11" t="n">
        <x:v>5.07</x:v>
      </x:c>
      <x:c r="G3863" s="11" t="n">
        <x:v>184.21</x:v>
      </x:c>
      <x:c r="H3863" s="23" t="n">
        <x:v>0.000009217998392883085</x:v>
      </x:c>
      <x:c r="I3863" s="23" t="n">
        <x:v>0.9964524363220862</x:v>
      </x:c>
      <x:c r="J3863" s="2" t="n">
        <x:v>17</x:v>
      </x:c>
      <x:c r="K3863" s="2"/>
      <x:c r="L3863" s="2"/>
    </x:row>
    <x:row r="3864" ht="22" customHeight="1">
      <x:c r="A3864" s="2"/>
      <x:c r="B3864" s="2" t="n">
        <x:v>3831</x:v>
      </x:c>
      <x:c r="C3864" s="2" t="str">
        <x:v>85128</x:v>
      </x:c>
      <x:c r="D3864" s="2" t="str">
        <x:v>PLANTPOT SINGLE HOOK PISTACHIO</x:v>
      </x:c>
      <x:c r="E3864" s="11" t="n">
        <x:v>188.95000000000002</x:v>
      </x:c>
      <x:c r="F3864" s="11" t="n">
        <x:v>0</x:v>
      </x:c>
      <x:c r="G3864" s="11" t="n">
        <x:v>188.95000000000002</x:v>
      </x:c>
      <x:c r="H3864" s="23" t="n">
        <x:v>0.000009201927284104284</x:v>
      </x:c>
      <x:c r="I3864" s="23" t="n">
        <x:v>0.9964616382493704</x:v>
      </x:c>
      <x:c r="J3864" s="2" t="n">
        <x:v>4</x:v>
      </x:c>
      <x:c r="K3864" s="2"/>
      <x:c r="L3864" s="2"/>
    </x:row>
    <x:row r="3865" ht="22" customHeight="1">
      <x:c r="A3865" s="2"/>
      <x:c r="B3865" s="2" t="n">
        <x:v>3832</x:v>
      </x:c>
      <x:c r="C3865" s="2" t="str">
        <x:v>84706B</x:v>
      </x:c>
      <x:c r="D3865" s="2" t="str">
        <x:v>FAIRY CAKES TABLE CLOCK</x:v>
      </x:c>
      <x:c r="E3865" s="11" t="n">
        <x:v>188.73</x:v>
      </x:c>
      <x:c r="F3865" s="11" t="n">
        <x:v>17.9</x:v>
      </x:c>
      <x:c r="G3865" s="11" t="n">
        <x:v>170.82999999999998</x:v>
      </x:c>
      <x:c r="H3865" s="23" t="n">
        <x:v>0.000009191213211585083</x:v>
      </x:c>
      <x:c r="I3865" s="23" t="n">
        <x:v>0.996470829462582</x:v>
      </x:c>
      <x:c r="J3865" s="2" t="n">
        <x:v>9</x:v>
      </x:c>
      <x:c r="K3865" s="2"/>
      <x:c r="L3865" s="2"/>
    </x:row>
    <x:row r="3866" ht="22" customHeight="1">
      <x:c r="A3866" s="2"/>
      <x:c r="B3866" s="2" t="n">
        <x:v>3833</x:v>
      </x:c>
      <x:c r="C3866" s="2" t="str">
        <x:v>90159</x:v>
      </x:c>
      <x:c r="D3866" s="2" t="str">
        <x:v>COTE D'AZURE NECKLACE</x:v>
      </x:c>
      <x:c r="E3866" s="11" t="n">
        <x:v>188.58</x:v>
      </x:c>
      <x:c r="F3866" s="11" t="n">
        <x:v>0</x:v>
      </x:c>
      <x:c r="G3866" s="11" t="n">
        <x:v>188.58</x:v>
      </x:c>
      <x:c r="H3866" s="23" t="n">
        <x:v>0.000009183908162140174</x:v>
      </x:c>
      <x:c r="I3866" s="23" t="n">
        <x:v>0.9964800133707442</x:v>
      </x:c>
      <x:c r="J3866" s="2" t="n">
        <x:v>20</x:v>
      </x:c>
      <x:c r="K3866" s="2"/>
      <x:c r="L3866" s="2"/>
    </x:row>
    <x:row r="3867" ht="22" customHeight="1">
      <x:c r="A3867" s="2"/>
      <x:c r="B3867" s="2" t="n">
        <x:v>3834</x:v>
      </x:c>
      <x:c r="C3867" s="2" t="str">
        <x:v>90130B</x:v>
      </x:c>
      <x:c r="D3867" s="2" t="str">
        <x:v>TURQ STONE/CRYSTAL EARRINGS</x:v>
      </x:c>
      <x:c r="E3867" s="11" t="n">
        <x:v>188.09</x:v>
      </x:c>
      <x:c r="F3867" s="11" t="n">
        <x:v>0</x:v>
      </x:c>
      <x:c r="G3867" s="11" t="n">
        <x:v>188.09</x:v>
      </x:c>
      <x:c r="H3867" s="23" t="n">
        <x:v>0.000009160045000620137</x:v>
      </x:c>
      <x:c r="I3867" s="23" t="n">
        <x:v>0.9964891734157448</x:v>
      </x:c>
      <x:c r="J3867" s="2" t="n">
        <x:v>49</x:v>
      </x:c>
      <x:c r="K3867" s="2"/>
      <x:c r="L3867" s="2"/>
    </x:row>
    <x:row r="3868" ht="22" customHeight="1">
      <x:c r="A3868" s="2"/>
      <x:c r="B3868" s="2" t="n">
        <x:v>3835</x:v>
      </x:c>
      <x:c r="C3868" s="2" t="str">
        <x:v>20837</x:v>
      </x:c>
      <x:c r="D3868" s="2" t="str">
        <x:v>FRENCH FLORAL CUSHION COVER </x:v>
      </x:c>
      <x:c r="E3868" s="11" t="n">
        <x:v>188.07</x:v>
      </x:c>
      <x:c r="F3868" s="11" t="n">
        <x:v>0</x:v>
      </x:c>
      <x:c r="G3868" s="11" t="n">
        <x:v>188.07</x:v>
      </x:c>
      <x:c r="H3868" s="23" t="n">
        <x:v>0.000009159070994027482</x:v>
      </x:c>
      <x:c r="I3868" s="23" t="n">
        <x:v>0.9964983324867389</x:v>
      </x:c>
      <x:c r="J3868" s="2" t="n">
        <x:v>18</x:v>
      </x:c>
      <x:c r="K3868" s="2"/>
      <x:c r="L3868" s="2"/>
    </x:row>
    <x:row r="3869" ht="22" customHeight="1">
      <x:c r="A3869" s="2"/>
      <x:c r="B3869" s="2" t="n">
        <x:v>3836</x:v>
      </x:c>
      <x:c r="C3869" s="2" t="str">
        <x:v>85114b</x:v>
      </x:c>
      <x:c r="D3869" s="2" t="str">
        <x:v>IVORY ENCHANTED FOREST PLACEMAT</x:v>
      </x:c>
      <x:c r="E3869" s="11" t="n">
        <x:v>186.76000000000002</x:v>
      </x:c>
      <x:c r="F3869" s="11" t="n">
        <x:v>0</x:v>
      </x:c>
      <x:c r="G3869" s="11" t="n">
        <x:v>186.76000000000002</x:v>
      </x:c>
      <x:c r="H3869" s="23" t="n">
        <x:v>0.000009095273562208607</x:v>
      </x:c>
      <x:c r="I3869" s="23" t="n">
        <x:v>0.9965074277603011</x:v>
      </x:c>
      <x:c r="J3869" s="2" t="n">
        <x:v>19</x:v>
      </x:c>
      <x:c r="K3869" s="2"/>
      <x:c r="L3869" s="2"/>
    </x:row>
    <x:row r="3870" ht="22" customHeight="1">
      <x:c r="A3870" s="2"/>
      <x:c r="B3870" s="2" t="n">
        <x:v>3837</x:v>
      </x:c>
      <x:c r="C3870" s="2" t="str">
        <x:v>90210C</x:v>
      </x:c>
      <x:c r="D3870" s="2" t="str">
        <x:v>RED   ACRYLIC FACETED BANGLE</x:v>
      </x:c>
      <x:c r="E3870" s="11" t="n">
        <x:v>186.56</x:v>
      </x:c>
      <x:c r="F3870" s="11" t="n">
        <x:v>0</x:v>
      </x:c>
      <x:c r="G3870" s="11" t="n">
        <x:v>186.56</x:v>
      </x:c>
      <x:c r="H3870" s="23" t="n">
        <x:v>0.00000908553349628206</x:v>
      </x:c>
      <x:c r="I3870" s="23" t="n">
        <x:v>0.9965165132937974</x:v>
      </x:c>
      <x:c r="J3870" s="2" t="n">
        <x:v>14</x:v>
      </x:c>
      <x:c r="K3870" s="2"/>
      <x:c r="L3870" s="2"/>
    </x:row>
    <x:row r="3871" ht="22" customHeight="1">
      <x:c r="A3871" s="2"/>
      <x:c r="B3871" s="2" t="n">
        <x:v>3838</x:v>
      </x:c>
      <x:c r="C3871" s="2" t="str">
        <x:v>84452</x:v>
      </x:c>
      <x:c r="D3871" s="2" t="str">
        <x:v>METAL RABBIT LADDER EASTER </x:v>
      </x:c>
      <x:c r="E3871" s="11" t="n">
        <x:v>186.16</x:v>
      </x:c>
      <x:c r="F3871" s="11" t="n">
        <x:v>13.6</x:v>
      </x:c>
      <x:c r="G3871" s="11" t="n">
        <x:v>172.56</x:v>
      </x:c>
      <x:c r="H3871" s="23" t="n">
        <x:v>0.000009066053364428967</x:v>
      </x:c>
      <x:c r="I3871" s="23" t="n">
        <x:v>0.9965255793471619</x:v>
      </x:c>
      <x:c r="J3871" s="2" t="n">
        <x:v>44</x:v>
      </x:c>
      <x:c r="K3871" s="2"/>
      <x:c r="L3871" s="2"/>
    </x:row>
    <x:row r="3872" ht="22" customHeight="1">
      <x:c r="A3872" s="2"/>
      <x:c r="B3872" s="2" t="n">
        <x:v>3839</x:v>
      </x:c>
      <x:c r="C3872" s="2" t="str">
        <x:v>16053</x:v>
      </x:c>
      <x:c r="D3872" s="2" t="str">
        <x:v>POPART COL BALLPOINT PEN ASST</x:v>
      </x:c>
      <x:c r="E3872" s="11" t="n">
        <x:v>185.73</x:v>
      </x:c>
      <x:c r="F3872" s="11" t="n">
        <x:v>60</x:v>
      </x:c>
      <x:c r="G3872" s="11" t="n">
        <x:v>125.73</x:v>
      </x:c>
      <x:c r="H3872" s="23" t="n">
        <x:v>0.000009045112222686893</x:v>
      </x:c>
      <x:c r="I3872" s="23" t="n">
        <x:v>0.9965346244593846</x:v>
      </x:c>
      <x:c r="J3872" s="2" t="n">
        <x:v>10</x:v>
      </x:c>
      <x:c r="K3872" s="2"/>
      <x:c r="L3872" s="2"/>
    </x:row>
    <x:row r="3873" ht="22" customHeight="1">
      <x:c r="A3873" s="2"/>
      <x:c r="B3873" s="2" t="n">
        <x:v>3840</x:v>
      </x:c>
      <x:c r="C3873" s="2" t="str">
        <x:v>84510a</x:v>
      </x:c>
      <x:c r="D3873" s="2" t="str">
        <x:v>SET OF 4 ENGLISH ROSE COASTERS</x:v>
      </x:c>
      <x:c r="E3873" s="11" t="n">
        <x:v>185.7</x:v>
      </x:c>
      <x:c r="F3873" s="11" t="n">
        <x:v>0</x:v>
      </x:c>
      <x:c r="G3873" s="11" t="n">
        <x:v>185.7</x:v>
      </x:c>
      <x:c r="H3873" s="23" t="n">
        <x:v>0.000009043651212797911</x:v>
      </x:c>
      <x:c r="I3873" s="23" t="n">
        <x:v>0.9965436681105974</x:v>
      </x:c>
      <x:c r="J3873" s="2" t="n">
        <x:v>58</x:v>
      </x:c>
      <x:c r="K3873" s="2"/>
      <x:c r="L3873" s="2"/>
    </x:row>
    <x:row r="3874" ht="22" customHeight="1">
      <x:c r="A3874" s="2"/>
      <x:c r="B3874" s="2" t="n">
        <x:v>3841</x:v>
      </x:c>
      <x:c r="C3874" s="2" t="str">
        <x:v>84877A</x:v>
      </x:c>
      <x:c r="D3874" s="2" t="str">
        <x:v>PINK ROUND COMPACT MIRROR</x:v>
      </x:c>
      <x:c r="E3874" s="11" t="n">
        <x:v>185.66</x:v>
      </x:c>
      <x:c r="F3874" s="11" t="n">
        <x:v>0</x:v>
      </x:c>
      <x:c r="G3874" s="11" t="n">
        <x:v>185.66</x:v>
      </x:c>
      <x:c r="H3874" s="23" t="n">
        <x:v>0.000009041703199612603</x:v>
      </x:c>
      <x:c r="I3874" s="23" t="n">
        <x:v>0.996552709813797</x:v>
      </x:c>
      <x:c r="J3874" s="2" t="n">
        <x:v>17</x:v>
      </x:c>
      <x:c r="K3874" s="2"/>
      <x:c r="L3874" s="2"/>
    </x:row>
    <x:row r="3875" ht="22" customHeight="1">
      <x:c r="A3875" s="2"/>
      <x:c r="B3875" s="2" t="n">
        <x:v>3842</x:v>
      </x:c>
      <x:c r="C3875" s="2" t="str">
        <x:v>85114a</x:v>
      </x:c>
      <x:c r="D3875" s="2" t="str">
        <x:v>BLACK ENCHANTED FOREST PLACEMAT</x:v>
      </x:c>
      <x:c r="E3875" s="11" t="n">
        <x:v>185.64000000000001</x:v>
      </x:c>
      <x:c r="F3875" s="11" t="n">
        <x:v>0</x:v>
      </x:c>
      <x:c r="G3875" s="11" t="n">
        <x:v>185.64000000000001</x:v>
      </x:c>
      <x:c r="H3875" s="23" t="n">
        <x:v>0.00000904072919301995</x:v>
      </x:c>
      <x:c r="I3875" s="23" t="n">
        <x:v>0.99656175054299</x:v>
      </x:c>
      <x:c r="J3875" s="2" t="n">
        <x:v>17</x:v>
      </x:c>
      <x:c r="K3875" s="2"/>
      <x:c r="L3875" s="2"/>
    </x:row>
    <x:row r="3876" ht="22" customHeight="1">
      <x:c r="A3876" s="2"/>
      <x:c r="B3876" s="2" t="n">
        <x:v>3843</x:v>
      </x:c>
      <x:c r="C3876" s="2" t="str">
        <x:v>35838A</x:v>
      </x:c>
      <x:c r="D3876" s="2" t="str">
        <x:v>S/6 MULTICOLOUR ORNAMENETAL CANDLE</x:v>
      </x:c>
      <x:c r="E3876" s="11" t="n">
        <x:v>185.25</x:v>
      </x:c>
      <x:c r="F3876" s="11" t="n">
        <x:v>0</x:v>
      </x:c>
      <x:c r="G3876" s="11" t="n">
        <x:v>185.25</x:v>
      </x:c>
      <x:c r="H3876" s="23" t="n">
        <x:v>0.000009021736064463184</x:v>
      </x:c>
      <x:c r="I3876" s="23" t="n">
        <x:v>0.9965707722790544</x:v>
      </x:c>
      <x:c r="J3876" s="2" t="n">
        <x:v>20</x:v>
      </x:c>
      <x:c r="K3876" s="2"/>
      <x:c r="L3876" s="2"/>
    </x:row>
    <x:row r="3877" ht="22" customHeight="1">
      <x:c r="A3877" s="2"/>
      <x:c r="B3877" s="2" t="n">
        <x:v>3844</x:v>
      </x:c>
      <x:c r="C3877" s="2" t="str">
        <x:v>20968</x:v>
      </x:c>
      <x:c r="D3877" s="2" t="str">
        <x:v>GREEN FLORAL FELTCRAFT SHOULDER BAG</x:v>
      </x:c>
      <x:c r="E3877" s="11" t="n">
        <x:v>185.11</x:v>
      </x:c>
      <x:c r="F3877" s="11" t="n">
        <x:v>0</x:v>
      </x:c>
      <x:c r="G3877" s="11" t="n">
        <x:v>185.11</x:v>
      </x:c>
      <x:c r="H3877" s="23" t="n">
        <x:v>0.000009014918018314602</x:v>
      </x:c>
      <x:c r="I3877" s="23" t="n">
        <x:v>0.9965797871970727</x:v>
      </x:c>
      <x:c r="J3877" s="2" t="n">
        <x:v>19</x:v>
      </x:c>
      <x:c r="K3877" s="2"/>
      <x:c r="L3877" s="2"/>
    </x:row>
    <x:row r="3878" ht="22" customHeight="1">
      <x:c r="A3878" s="2"/>
      <x:c r="B3878" s="2" t="n">
        <x:v>3845</x:v>
      </x:c>
      <x:c r="C3878" s="2" t="str">
        <x:v>35911B</x:v>
      </x:c>
      <x:c r="D3878" s="2" t="str">
        <x:v>PINK/FLOWER RABBIT EGG WARMER </x:v>
      </x:c>
      <x:c r="E3878" s="11" t="n">
        <x:v>184.76000000000002</x:v>
      </x:c>
      <x:c r="F3878" s="11" t="n">
        <x:v>0</x:v>
      </x:c>
      <x:c r="G3878" s="11" t="n">
        <x:v>184.76000000000002</x:v>
      </x:c>
      <x:c r="H3878" s="23" t="n">
        <x:v>0.000008997872902943147</x:v>
      </x:c>
      <x:c r="I3878" s="23" t="n">
        <x:v>0.9965887850699757</x:v>
      </x:c>
      <x:c r="J3878" s="2" t="n">
        <x:v>24</x:v>
      </x:c>
      <x:c r="K3878" s="2"/>
      <x:c r="L3878" s="2"/>
    </x:row>
    <x:row r="3879" ht="22" customHeight="1">
      <x:c r="A3879" s="2"/>
      <x:c r="B3879" s="2" t="n">
        <x:v>3846</x:v>
      </x:c>
      <x:c r="C3879" s="2" t="str">
        <x:v>23416</x:v>
      </x:c>
      <x:c r="D3879" s="2" t="str">
        <x:v>CHAMBRE HOOK</x:v>
      </x:c>
      <x:c r="E3879" s="11" t="n">
        <x:v>184.67999999999998</x:v>
      </x:c>
      <x:c r="F3879" s="11" t="n">
        <x:v>0</x:v>
      </x:c>
      <x:c r="G3879" s="11" t="n">
        <x:v>184.67999999999998</x:v>
      </x:c>
      <x:c r="H3879" s="23" t="n">
        <x:v>0.000008993976876572527</x:v>
      </x:c>
      <x:c r="I3879" s="23" t="n">
        <x:v>0.9965977790468523</x:v>
      </x:c>
      <x:c r="J3879" s="2" t="n">
        <x:v>25</x:v>
      </x:c>
      <x:c r="K3879" s="2"/>
      <x:c r="L3879" s="2"/>
    </x:row>
    <x:row r="3880" ht="22" customHeight="1">
      <x:c r="A3880" s="2"/>
      <x:c r="B3880" s="2" t="n">
        <x:v>3847</x:v>
      </x:c>
      <x:c r="C3880" s="2" t="str">
        <x:v>20957</x:v>
      </x:c>
      <x:c r="D3880" s="2" t="str">
        <x:v>PORCELAIN HANGING BELL SMALL</x:v>
      </x:c>
      <x:c r="E3880" s="11" t="n">
        <x:v>184.60999999999999</x:v>
      </x:c>
      <x:c r="F3880" s="11" t="n">
        <x:v>1.45</x:v>
      </x:c>
      <x:c r="G3880" s="11" t="n">
        <x:v>183.16</x:v>
      </x:c>
      <x:c r="H3880" s="23" t="n">
        <x:v>0.000008990567853498236</x:v>
      </x:c>
      <x:c r="I3880" s="23" t="n">
        <x:v>0.9966067696147058</x:v>
      </x:c>
      <x:c r="J3880" s="2" t="n">
        <x:v>15</x:v>
      </x:c>
      <x:c r="K3880" s="2"/>
      <x:c r="L3880" s="2"/>
    </x:row>
    <x:row r="3881" ht="22" customHeight="1">
      <x:c r="A3881" s="2"/>
      <x:c r="B3881" s="2" t="n">
        <x:v>3848</x:v>
      </x:c>
      <x:c r="C3881" s="2" t="str">
        <x:v>84029D</x:v>
      </x:c>
      <x:c r="D3881" s="2" t="str">
        <x:v>LEOPARD PRINT HOT WATER BOTTLE</x:v>
      </x:c>
      <x:c r="E3881" s="11" t="n">
        <x:v>183.98000000000002</x:v>
      </x:c>
      <x:c r="F3881" s="11" t="n">
        <x:v>0</x:v>
      </x:c>
      <x:c r="G3881" s="11" t="n">
        <x:v>183.98000000000002</x:v>
      </x:c>
      <x:c r="H3881" s="23" t="n">
        <x:v>0.000008959886645829617</x:v>
      </x:c>
      <x:c r="I3881" s="23" t="n">
        <x:v>0.9966157295013517</x:v>
      </x:c>
      <x:c r="J3881" s="2" t="n">
        <x:v>15</x:v>
      </x:c>
      <x:c r="K3881" s="2"/>
      <x:c r="L3881" s="2"/>
    </x:row>
    <x:row r="3882" ht="22" customHeight="1">
      <x:c r="A3882" s="2"/>
      <x:c r="B3882" s="2" t="n">
        <x:v>3849</x:v>
      </x:c>
      <x:c r="C3882" s="2" t="str">
        <x:v>90125A</x:v>
      </x:c>
      <x:c r="D3882" s="2" t="str">
        <x:v>PINK BERTIE GLASS BEAD BAG CHARM</x:v>
      </x:c>
      <x:c r="E3882" s="11" t="n">
        <x:v>183.97</x:v>
      </x:c>
      <x:c r="F3882" s="11" t="n">
        <x:v>25.200000000000003</x:v>
      </x:c>
      <x:c r="G3882" s="11" t="n">
        <x:v>158.77</x:v>
      </x:c>
      <x:c r="H3882" s="23" t="n">
        <x:v>0.00000895939964253329</x:v>
      </x:c>
      <x:c r="I3882" s="23" t="n">
        <x:v>0.9966246889009942</x:v>
      </x:c>
      <x:c r="J3882" s="2" t="n">
        <x:v>18</x:v>
      </x:c>
      <x:c r="K3882" s="2"/>
      <x:c r="L3882" s="2"/>
    </x:row>
    <x:row r="3883" ht="22" customHeight="1">
      <x:c r="A3883" s="2"/>
      <x:c r="B3883" s="2" t="n">
        <x:v>3850</x:v>
      </x:c>
      <x:c r="C3883" s="2" t="str">
        <x:v>21018</x:v>
      </x:c>
      <x:c r="D3883" s="2" t="str">
        <x:v>damaged</x:v>
      </x:c>
      <x:c r="E3883" s="11" t="n">
        <x:v>183.56</x:v>
      </x:c>
      <x:c r="F3883" s="11" t="n">
        <x:v>0</x:v>
      </x:c>
      <x:c r="G3883" s="11" t="n">
        <x:v>183.56</x:v>
      </x:c>
      <x:c r="H3883" s="23" t="n">
        <x:v>0.000008939432507383871</x:v>
      </x:c>
      <x:c r="I3883" s="23" t="n">
        <x:v>0.9966336283335016</x:v>
      </x:c>
      <x:c r="J3883" s="2" t="n">
        <x:v>42</x:v>
      </x:c>
      <x:c r="K3883" s="2"/>
      <x:c r="L3883" s="2"/>
    </x:row>
    <x:row r="3884" ht="22" customHeight="1">
      <x:c r="A3884" s="2"/>
      <x:c r="B3884" s="2" t="n">
        <x:v>3851</x:v>
      </x:c>
      <x:c r="C3884" s="2" t="str">
        <x:v>90129F</x:v>
      </x:c>
      <x:c r="D3884" s="2" t="str">
        <x:v>RED GLASS TASSLE BAG CHARM</x:v>
      </x:c>
      <x:c r="E3884" s="11" t="n">
        <x:v>183.26000000000002</x:v>
      </x:c>
      <x:c r="F3884" s="11" t="n">
        <x:v>0</x:v>
      </x:c>
      <x:c r="G3884" s="11" t="n">
        <x:v>183.26000000000002</x:v>
      </x:c>
      <x:c r="H3884" s="23" t="n">
        <x:v>0.000008924822408494053</x:v>
      </x:c>
      <x:c r="I3884" s="23" t="n">
        <x:v>0.99664255315591</x:v>
      </x:c>
      <x:c r="J3884" s="2" t="n">
        <x:v>41</x:v>
      </x:c>
      <x:c r="K3884" s="2"/>
      <x:c r="L3884" s="2"/>
    </x:row>
    <x:row r="3885" ht="22" customHeight="1">
      <x:c r="A3885" s="2"/>
      <x:c r="B3885" s="2" t="n">
        <x:v>3852</x:v>
      </x:c>
      <x:c r="C3885" s="2" t="str">
        <x:v>90086</x:v>
      </x:c>
      <x:c r="D3885" s="2" t="str">
        <x:v>CRYSTAL FROG PHONE CHARM</x:v>
      </x:c>
      <x:c r="E3885" s="11" t="n">
        <x:v>182.79</x:v>
      </x:c>
      <x:c r="F3885" s="11" t="n">
        <x:v>0</x:v>
      </x:c>
      <x:c r="G3885" s="11" t="n">
        <x:v>182.79</x:v>
      </x:c>
      <x:c r="H3885" s="23" t="n">
        <x:v>0.000008901933253566667</x:v>
      </x:c>
      <x:c r="I3885" s="23" t="n">
        <x:v>0.9966514550891635</x:v>
      </x:c>
      <x:c r="J3885" s="2" t="n">
        <x:v>46</x:v>
      </x:c>
      <x:c r="K3885" s="2"/>
      <x:c r="L3885" s="2"/>
    </x:row>
    <x:row r="3886" ht="22" customHeight="1">
      <x:c r="A3886" s="2"/>
      <x:c r="B3886" s="2" t="n">
        <x:v>3853</x:v>
      </x:c>
      <x:c r="C3886" s="2" t="str">
        <x:v>17090A</x:v>
      </x:c>
      <x:c r="D3886" s="2" t="str">
        <x:v>LAVENDER INCENSE 40 CONES IN TIN</x:v>
      </x:c>
      <x:c r="E3886" s="11" t="n">
        <x:v>182.65</x:v>
      </x:c>
      <x:c r="F3886" s="11" t="n">
        <x:v>0</x:v>
      </x:c>
      <x:c r="G3886" s="11" t="n">
        <x:v>182.65</x:v>
      </x:c>
      <x:c r="H3886" s="23" t="n">
        <x:v>0.000008895115207418086</x:v>
      </x:c>
      <x:c r="I3886" s="23" t="n">
        <x:v>0.9966603502043709</x:v>
      </x:c>
      <x:c r="J3886" s="2" t="n">
        <x:v>26</x:v>
      </x:c>
      <x:c r="K3886" s="2"/>
      <x:c r="L3886" s="2"/>
    </x:row>
    <x:row r="3887" ht="22" customHeight="1">
      <x:c r="A3887" s="2"/>
      <x:c r="B3887" s="2" t="n">
        <x:v>3854</x:v>
      </x:c>
      <x:c r="C3887" s="2" t="str">
        <x:v>90214S</x:v>
      </x:c>
      <x:c r="D3887" s="2" t="str">
        <x:v>LETTER "S" BLING KEY RING</x:v>
      </x:c>
      <x:c r="E3887" s="11" t="n">
        <x:v>182.59</x:v>
      </x:c>
      <x:c r="F3887" s="11" t="n">
        <x:v>7.5</x:v>
      </x:c>
      <x:c r="G3887" s="11" t="n">
        <x:v>175.09</x:v>
      </x:c>
      <x:c r="H3887" s="23" t="n">
        <x:v>0.000008892193187640122</x:v>
      </x:c>
      <x:c r="I3887" s="23" t="n">
        <x:v>0.9966692423975586</x:v>
      </x:c>
      <x:c r="J3887" s="2" t="n">
        <x:v>86</x:v>
      </x:c>
      <x:c r="K3887" s="2"/>
      <x:c r="L3887" s="2"/>
    </x:row>
    <x:row r="3888" ht="22" customHeight="1">
      <x:c r="A3888" s="2"/>
      <x:c r="B3888" s="2" t="n">
        <x:v>3855</x:v>
      </x:c>
      <x:c r="C3888" s="2" t="str">
        <x:v>20796</x:v>
      </x:c>
      <x:c r="D3888" s="2" t="str">
        <x:v>SMALL BLUE PROVENCAL CERAMIC BALL</x:v>
      </x:c>
      <x:c r="E3888" s="11" t="n">
        <x:v>182.15999999999997</x:v>
      </x:c>
      <x:c r="F3888" s="11" t="n">
        <x:v>0</x:v>
      </x:c>
      <x:c r="G3888" s="11" t="n">
        <x:v>182.15999999999997</x:v>
      </x:c>
      <x:c r="H3888" s="23" t="n">
        <x:v>0.000008871252045898047</x:v>
      </x:c>
      <x:c r="I3888" s="23" t="n">
        <x:v>0.9966781136496045</x:v>
      </x:c>
      <x:c r="J3888" s="2" t="n">
        <x:v>22</x:v>
      </x:c>
      <x:c r="K3888" s="2"/>
      <x:c r="L3888" s="2"/>
    </x:row>
    <x:row r="3889" ht="22" customHeight="1">
      <x:c r="A3889" s="2"/>
      <x:c r="B3889" s="2" t="n">
        <x:v>3856</x:v>
      </x:c>
      <x:c r="C3889" s="2" t="str">
        <x:v>79144B</x:v>
      </x:c>
      <x:c r="D3889" s="2" t="str">
        <x:v>PAINTED LIGHTBULB STAR+ MOON</x:v>
      </x:c>
      <x:c r="E3889" s="11" t="n">
        <x:v>181.87</x:v>
      </x:c>
      <x:c r="F3889" s="11" t="n">
        <x:v>0</x:v>
      </x:c>
      <x:c r="G3889" s="11" t="n">
        <x:v>181.87</x:v>
      </x:c>
      <x:c r="H3889" s="23" t="n">
        <x:v>0.000008857128950304558</x:v>
      </x:c>
      <x:c r="I3889" s="23" t="n">
        <x:v>0.9966869707785547</x:v>
      </x:c>
      <x:c r="J3889" s="2" t="n">
        <x:v>91</x:v>
      </x:c>
      <x:c r="K3889" s="2"/>
      <x:c r="L3889" s="2"/>
    </x:row>
    <x:row r="3890" ht="22" customHeight="1">
      <x:c r="A3890" s="2"/>
      <x:c r="B3890" s="2" t="n">
        <x:v>3857</x:v>
      </x:c>
      <x:c r="C3890" s="2" t="str">
        <x:v>84464</x:v>
      </x:c>
      <x:c r="D3890" s="2" t="str">
        <x:v>S/60 PINK FLUFFY CHICKS IN BOX</x:v>
      </x:c>
      <x:c r="E3890" s="11" t="n">
        <x:v>181.64999999999998</x:v>
      </x:c>
      <x:c r="F3890" s="11" t="n">
        <x:v>0</x:v>
      </x:c>
      <x:c r="G3890" s="11" t="n">
        <x:v>181.64999999999998</x:v>
      </x:c>
      <x:c r="H3890" s="23" t="n">
        <x:v>0.000008846414877785355</x:v>
      </x:c>
      <x:c r="I3890" s="23" t="n">
        <x:v>0.9966958171934325</x:v>
      </x:c>
      <x:c r="J3890" s="2" t="n">
        <x:v>11</x:v>
      </x:c>
      <x:c r="K3890" s="2"/>
      <x:c r="L3890" s="2"/>
    </x:row>
    <x:row r="3891" ht="22" customHeight="1">
      <x:c r="A3891" s="2"/>
      <x:c r="B3891" s="2" t="n">
        <x:v>3858</x:v>
      </x:c>
      <x:c r="C3891" s="2" t="str">
        <x:v>37379B</x:v>
      </x:c>
      <x:c r="D3891" s="2" t="str">
        <x:v>BLUE CHERRY BLOSSOM CUP &amp; SAUCER</x:v>
      </x:c>
      <x:c r="E3891" s="11" t="n">
        <x:v>181.5</x:v>
      </x:c>
      <x:c r="F3891" s="11" t="n">
        <x:v>0</x:v>
      </x:c>
      <x:c r="G3891" s="11" t="n">
        <x:v>181.5</x:v>
      </x:c>
      <x:c r="H3891" s="23" t="n">
        <x:v>0.000008839109828340447</x:v>
      </x:c>
      <x:c r="I3891" s="23" t="n">
        <x:v>0.9967046563032608</x:v>
      </x:c>
      <x:c r="J3891" s="2" t="n">
        <x:v>3</x:v>
      </x:c>
      <x:c r="K3891" s="2"/>
      <x:c r="L3891" s="2"/>
    </x:row>
    <x:row r="3892" ht="22" customHeight="1">
      <x:c r="A3892" s="2"/>
      <x:c r="B3892" s="2" t="n">
        <x:v>3859</x:v>
      </x:c>
      <x:c r="C3892" s="2" t="str">
        <x:v>79144C</x:v>
      </x:c>
      <x:c r="D3892" s="2" t="str">
        <x:v>PAINTED LIGHTBULB RAINBOW DESIGN</x:v>
      </x:c>
      <x:c r="E3892" s="11" t="n">
        <x:v>180.98</x:v>
      </x:c>
      <x:c r="F3892" s="11" t="n">
        <x:v>0</x:v>
      </x:c>
      <x:c r="G3892" s="11" t="n">
        <x:v>180.98</x:v>
      </x:c>
      <x:c r="H3892" s="23" t="n">
        <x:v>0.000008813785656931428</x:v>
      </x:c>
      <x:c r="I3892" s="23" t="n">
        <x:v>0.9967134700889178</x:v>
      </x:c>
      <x:c r="J3892" s="2" t="n">
        <x:v>97</x:v>
      </x:c>
      <x:c r="K3892" s="2"/>
      <x:c r="L3892" s="2"/>
    </x:row>
    <x:row r="3893" ht="22" customHeight="1">
      <x:c r="A3893" s="2"/>
      <x:c r="B3893" s="2" t="n">
        <x:v>3860</x:v>
      </x:c>
      <x:c r="C3893" s="2" t="str">
        <x:v>16043</x:v>
      </x:c>
      <x:c r="D3893" s="2" t="str">
        <x:v>POP ART PUSH DOWN RUBBER </x:v>
      </x:c>
      <x:c r="E3893" s="11" t="n">
        <x:v>180.29999999999998</x:v>
      </x:c>
      <x:c r="F3893" s="11" t="n">
        <x:v>67.67999999999999</x:v>
      </x:c>
      <x:c r="G3893" s="11" t="n">
        <x:v>112.62</x:v>
      </x:c>
      <x:c r="H3893" s="23" t="n">
        <x:v>0.00000878066943278117</x:v>
      </x:c>
      <x:c r="I3893" s="23" t="n">
        <x:v>0.9967222507583505</x:v>
      </x:c>
      <x:c r="J3893" s="2" t="n">
        <x:v>13</x:v>
      </x:c>
      <x:c r="K3893" s="2"/>
      <x:c r="L3893" s="2"/>
    </x:row>
    <x:row r="3894" ht="22" customHeight="1">
      <x:c r="A3894" s="2"/>
      <x:c r="B3894" s="2" t="n">
        <x:v>3861</x:v>
      </x:c>
      <x:c r="C3894" s="2" t="str">
        <x:v>35818B</x:v>
      </x:c>
      <x:c r="D3894" s="2" t="str">
        <x:v>adjustment</x:v>
      </x:c>
      <x:c r="E3894" s="11" t="n">
        <x:v>180.05</x:v>
      </x:c>
      <x:c r="F3894" s="11" t="n">
        <x:v>0</x:v>
      </x:c>
      <x:c r="G3894" s="11" t="n">
        <x:v>180.05</x:v>
      </x:c>
      <x:c r="H3894" s="23" t="n">
        <x:v>0.00000876849435037299</x:v>
      </x:c>
      <x:c r="I3894" s="23" t="n">
        <x:v>0.9967310192527009</x:v>
      </x:c>
      <x:c r="J3894" s="2" t="n">
        <x:v>11</x:v>
      </x:c>
      <x:c r="K3894" s="2"/>
      <x:c r="L3894" s="2"/>
    </x:row>
    <x:row r="3895" ht="22" customHeight="1">
      <x:c r="A3895" s="2"/>
      <x:c r="B3895" s="2" t="n">
        <x:v>3862</x:v>
      </x:c>
      <x:c r="C3895" s="2" t="str">
        <x:v>47347B</x:v>
      </x:c>
      <x:c r="D3895" s="2" t="str">
        <x:v>BLUE FLOWER T-LIGHT HOLDER</x:v>
      </x:c>
      <x:c r="E3895" s="11" t="n">
        <x:v>179.88</x:v>
      </x:c>
      <x:c r="F3895" s="11" t="n">
        <x:v>0</x:v>
      </x:c>
      <x:c r="G3895" s="11" t="n">
        <x:v>179.88</x:v>
      </x:c>
      <x:c r="H3895" s="23" t="n">
        <x:v>0.000008760215294335425</x:v>
      </x:c>
      <x:c r="I3895" s="23" t="n">
        <x:v>0.9967397794679953</x:v>
      </x:c>
      <x:c r="J3895" s="2" t="n">
        <x:v>11</x:v>
      </x:c>
      <x:c r="K3895" s="2"/>
      <x:c r="L3895" s="2"/>
    </x:row>
    <x:row r="3896" ht="22" customHeight="1">
      <x:c r="A3896" s="2"/>
      <x:c r="B3896" s="2" t="n">
        <x:v>3863</x:v>
      </x:c>
      <x:c r="C3896" s="2" t="str">
        <x:v>90180B</x:v>
      </x:c>
      <x:c r="D3896" s="2" t="str">
        <x:v>PURPLE AMETHYST NECKLACE W TASSEL</x:v>
      </x:c>
      <x:c r="E3896" s="11" t="n">
        <x:v>179.88</x:v>
      </x:c>
      <x:c r="F3896" s="11" t="n">
        <x:v>0</x:v>
      </x:c>
      <x:c r="G3896" s="11" t="n">
        <x:v>179.88</x:v>
      </x:c>
      <x:c r="H3896" s="23" t="n">
        <x:v>0.000008760215294335425</x:v>
      </x:c>
      <x:c r="I3896" s="23" t="n">
        <x:v>0.9967485396832897</x:v>
      </x:c>
      <x:c r="J3896" s="2" t="n">
        <x:v>14</x:v>
      </x:c>
      <x:c r="K3896" s="2"/>
      <x:c r="L3896" s="2"/>
    </x:row>
    <x:row r="3897" ht="22" customHeight="1">
      <x:c r="A3897" s="2"/>
      <x:c r="B3897" s="2" t="n">
        <x:v>3864</x:v>
      </x:c>
      <x:c r="C3897" s="2" t="str">
        <x:v>84962</x:v>
      </x:c>
      <x:c r="D3897" s="2" t="str">
        <x:v>SET/3 COLOUR PAINTED KASHMIRI STOOL</x:v>
      </x:c>
      <x:c r="E3897" s="11" t="n">
        <x:v>179.85000000000002</x:v>
      </x:c>
      <x:c r="F3897" s="11" t="n">
        <x:v>0</x:v>
      </x:c>
      <x:c r="G3897" s="11" t="n">
        <x:v>179.85000000000002</x:v>
      </x:c>
      <x:c r="H3897" s="23" t="n">
        <x:v>0.000008758754284446444</x:v>
      </x:c>
      <x:c r="I3897" s="23" t="n">
        <x:v>0.9967572984375741</x:v>
      </x:c>
      <x:c r="J3897" s="2" t="n">
        <x:v>2</x:v>
      </x:c>
      <x:c r="K3897" s="2"/>
      <x:c r="L3897" s="2"/>
    </x:row>
    <x:row r="3898" ht="22" customHeight="1">
      <x:c r="A3898" s="2"/>
      <x:c r="B3898" s="2" t="n">
        <x:v>3865</x:v>
      </x:c>
      <x:c r="C3898" s="2" t="str">
        <x:v>84661C</x:v>
      </x:c>
      <x:c r="D3898" s="2" t="str">
        <x:v>PINK SQUARE TABLE CLOCK</x:v>
      </x:c>
      <x:c r="E3898" s="11" t="n">
        <x:v>179.75</x:v>
      </x:c>
      <x:c r="F3898" s="11" t="n">
        <x:v>0</x:v>
      </x:c>
      <x:c r="G3898" s="11" t="n">
        <x:v>179.75</x:v>
      </x:c>
      <x:c r="H3898" s="23" t="n">
        <x:v>0.00000875388425148317</x:v>
      </x:c>
      <x:c r="I3898" s="23" t="n">
        <x:v>0.9967660523218256</x:v>
      </x:c>
      <x:c r="J3898" s="2" t="n">
        <x:v>25</x:v>
      </x:c>
      <x:c r="K3898" s="2"/>
      <x:c r="L3898" s="2"/>
    </x:row>
    <x:row r="3899" ht="22" customHeight="1">
      <x:c r="A3899" s="2"/>
      <x:c r="B3899" s="2" t="n">
        <x:v>3866</x:v>
      </x:c>
      <x:c r="C3899" s="2" t="str">
        <x:v>21310</x:v>
      </x:c>
      <x:c r="D3899" s="2" t="str">
        <x:v>CAPIZ CHANDELIER</x:v>
      </x:c>
      <x:c r="E3899" s="11" t="n">
        <x:v>179.7</x:v>
      </x:c>
      <x:c r="F3899" s="11" t="n">
        <x:v>29.95</x:v>
      </x:c>
      <x:c r="G3899" s="11" t="n">
        <x:v>149.75</x:v>
      </x:c>
      <x:c r="H3899" s="23" t="n">
        <x:v>0.000008751449235001534</x:v>
      </x:c>
      <x:c r="I3899" s="23" t="n">
        <x:v>0.9967748037710605</x:v>
      </x:c>
      <x:c r="J3899" s="2" t="n">
        <x:v>4</x:v>
      </x:c>
      <x:c r="K3899" s="2"/>
      <x:c r="L3899" s="2"/>
    </x:row>
    <x:row r="3900" ht="22" customHeight="1">
      <x:c r="A3900" s="2"/>
      <x:c r="B3900" s="2" t="n">
        <x:v>3867</x:v>
      </x:c>
      <x:c r="C3900" s="2" t="str">
        <x:v>17011A</x:v>
      </x:c>
      <x:c r="D3900" s="2" t="str">
        <x:v>ORIGAMI VANILLA INCENSE+FLOWER </x:v>
      </x:c>
      <x:c r="E3900" s="11" t="n">
        <x:v>179.56</x:v>
      </x:c>
      <x:c r="F3900" s="11" t="n">
        <x:v>0</x:v>
      </x:c>
      <x:c r="G3900" s="11" t="n">
        <x:v>179.56</x:v>
      </x:c>
      <x:c r="H3900" s="23" t="n">
        <x:v>0.000008744631188852952</x:v>
      </x:c>
      <x:c r="I3900" s="23" t="n">
        <x:v>0.9967835484022494</x:v>
      </x:c>
      <x:c r="J3900" s="2" t="n">
        <x:v>12</x:v>
      </x:c>
      <x:c r="K3900" s="2"/>
      <x:c r="L3900" s="2"/>
    </x:row>
    <x:row r="3901" ht="22" customHeight="1">
      <x:c r="A3901" s="2"/>
      <x:c r="B3901" s="2" t="n">
        <x:v>3868</x:v>
      </x:c>
      <x:c r="C3901" s="2" t="str">
        <x:v>90063A</x:v>
      </x:c>
      <x:c r="D3901" s="2" t="str">
        <x:v>WHITE VINT ART DECO CRYSTAL NECKLAC</x:v>
      </x:c>
      <x:c r="E3901" s="11" t="n">
        <x:v>178.48</x:v>
      </x:c>
      <x:c r="F3901" s="11" t="n">
        <x:v>0</x:v>
      </x:c>
      <x:c r="G3901" s="11" t="n">
        <x:v>178.48</x:v>
      </x:c>
      <x:c r="H3901" s="23" t="n">
        <x:v>0.000008692034832849603</x:v>
      </x:c>
      <x:c r="I3901" s="23" t="n">
        <x:v>0.9967922404370823</x:v>
      </x:c>
      <x:c r="J3901" s="2" t="n">
        <x:v>13</x:v>
      </x:c>
      <x:c r="K3901" s="2"/>
      <x:c r="L3901" s="2"/>
    </x:row>
    <x:row r="3902" ht="22" customHeight="1">
      <x:c r="A3902" s="2"/>
      <x:c r="B3902" s="2" t="n">
        <x:v>3869</x:v>
      </x:c>
      <x:c r="C3902" s="2" t="str">
        <x:v>90013D</x:v>
      </x:c>
      <x:c r="D3902" s="2" t="str">
        <x:v>PURPLE VINTAGE EARRINGS</x:v>
      </x:c>
      <x:c r="E3902" s="11" t="n">
        <x:v>178.11</x:v>
      </x:c>
      <x:c r="F3902" s="11" t="n">
        <x:v>0</x:v>
      </x:c>
      <x:c r="G3902" s="11" t="n">
        <x:v>178.11</x:v>
      </x:c>
      <x:c r="H3902" s="23" t="n">
        <x:v>0.000008674015710885494</x:v>
      </x:c>
      <x:c r="I3902" s="23" t="n">
        <x:v>0.9968009144527932</x:v>
      </x:c>
      <x:c r="J3902" s="2" t="n">
        <x:v>17</x:v>
      </x:c>
      <x:c r="K3902" s="2"/>
      <x:c r="L3902" s="2"/>
    </x:row>
    <x:row r="3903" ht="22" customHeight="1">
      <x:c r="A3903" s="2"/>
      <x:c r="B3903" s="2" t="n">
        <x:v>3870</x:v>
      </x:c>
      <x:c r="C3903" s="2" t="str">
        <x:v>21031</x:v>
      </x:c>
      <x:c r="D3903" s="2" t="str">
        <x:v>SPACE CADET BLACK</x:v>
      </x:c>
      <x:c r="E3903" s="11" t="n">
        <x:v>177.95</x:v>
      </x:c>
      <x:c r="F3903" s="11" t="n">
        <x:v>1.25</x:v>
      </x:c>
      <x:c r="G3903" s="11" t="n">
        <x:v>176.7</x:v>
      </x:c>
      <x:c r="H3903" s="23" t="n">
        <x:v>0.000008666223658144256</x:v>
      </x:c>
      <x:c r="I3903" s="23" t="n">
        <x:v>0.9968095806764513</x:v>
      </x:c>
      <x:c r="J3903" s="2" t="n">
        <x:v>39</x:v>
      </x:c>
      <x:c r="K3903" s="2"/>
      <x:c r="L3903" s="2"/>
    </x:row>
    <x:row r="3904" ht="22" customHeight="1">
      <x:c r="A3904" s="2"/>
      <x:c r="B3904" s="2" t="n">
        <x:v>3871</x:v>
      </x:c>
      <x:c r="C3904" s="2" t="str">
        <x:v>90000B</x:v>
      </x:c>
      <x:c r="D3904" s="2" t="str">
        <x:v>MIDNIGHT BLUE COPPER FLOWER NECKLAC</x:v>
      </x:c>
      <x:c r="E3904" s="11" t="n">
        <x:v>177.29000000000002</x:v>
      </x:c>
      <x:c r="F3904" s="11" t="n">
        <x:v>5.95</x:v>
      </x:c>
      <x:c r="G3904" s="11" t="n">
        <x:v>171.34</x:v>
      </x:c>
      <x:c r="H3904" s="23" t="n">
        <x:v>0.000008634081440586656</x:v>
      </x:c>
      <x:c r="I3904" s="23" t="n">
        <x:v>0.9968182147578919</x:v>
      </x:c>
      <x:c r="J3904" s="2" t="n">
        <x:v>21</x:v>
      </x:c>
      <x:c r="K3904" s="2"/>
      <x:c r="L3904" s="2"/>
    </x:row>
    <x:row r="3905" ht="22" customHeight="1">
      <x:c r="A3905" s="2"/>
      <x:c r="B3905" s="2" t="n">
        <x:v>3872</x:v>
      </x:c>
      <x:c r="C3905" s="2" t="str">
        <x:v>90072</x:v>
      </x:c>
      <x:c r="D3905" s="2" t="str">
        <x:v>RUBY DROP CHANDELIER EARRINGS</x:v>
      </x:c>
      <x:c r="E3905" s="11" t="n">
        <x:v>176.31</x:v>
      </x:c>
      <x:c r="F3905" s="11" t="n">
        <x:v>0</x:v>
      </x:c>
      <x:c r="G3905" s="11" t="n">
        <x:v>176.31</x:v>
      </x:c>
      <x:c r="H3905" s="23" t="n">
        <x:v>0.00000858635511754658</x:v>
      </x:c>
      <x:c r="I3905" s="23" t="n">
        <x:v>0.9968268011130095</x:v>
      </x:c>
      <x:c r="J3905" s="2" t="n">
        <x:v>30</x:v>
      </x:c>
      <x:c r="K3905" s="2"/>
      <x:c r="L3905" s="2"/>
    </x:row>
    <x:row r="3906" ht="22" customHeight="1">
      <x:c r="A3906" s="2"/>
      <x:c r="B3906" s="2" t="n">
        <x:v>3873</x:v>
      </x:c>
      <x:c r="C3906" s="2" t="str">
        <x:v>82607C</x:v>
      </x:c>
      <x:c r="D3906" s="2" t="str">
        <x:v>damages</x:v>
      </x:c>
      <x:c r="E3906" s="11" t="n">
        <x:v>175.60999999999999</x:v>
      </x:c>
      <x:c r="F3906" s="11" t="n">
        <x:v>0</x:v>
      </x:c>
      <x:c r="G3906" s="11" t="n">
        <x:v>175.60999999999999</x:v>
      </x:c>
      <x:c r="H3906" s="23" t="n">
        <x:v>0.000008552264886803668</x:v>
      </x:c>
      <x:c r="I3906" s="23" t="n">
        <x:v>0.9968353533778963</x:v>
      </x:c>
      <x:c r="J3906" s="2" t="n">
        <x:v>43</x:v>
      </x:c>
      <x:c r="K3906" s="2"/>
      <x:c r="L3906" s="2"/>
    </x:row>
    <x:row r="3907" ht="22" customHeight="1">
      <x:c r="A3907" s="2"/>
      <x:c r="B3907" s="2" t="n">
        <x:v>3874</x:v>
      </x:c>
      <x:c r="C3907" s="2" t="str">
        <x:v>84564</x:v>
      </x:c>
      <x:c r="D3907" s="2" t="str">
        <x:v>6 SEGMENT COLOURED SNACK BOWL </x:v>
      </x:c>
      <x:c r="E3907" s="11" t="n">
        <x:v>175.48000000000002</x:v>
      </x:c>
      <x:c r="F3907" s="11" t="n">
        <x:v>0</x:v>
      </x:c>
      <x:c r="G3907" s="11" t="n">
        <x:v>175.48000000000002</x:v>
      </x:c>
      <x:c r="H3907" s="23" t="n">
        <x:v>0.000008545933843951415</x:v>
      </x:c>
      <x:c r="I3907" s="23" t="n">
        <x:v>0.9968438993117402</x:v>
      </x:c>
      <x:c r="J3907" s="2" t="n">
        <x:v>11</x:v>
      </x:c>
      <x:c r="K3907" s="2"/>
      <x:c r="L3907" s="2"/>
    </x:row>
    <x:row r="3908" ht="22" customHeight="1">
      <x:c r="A3908" s="2"/>
      <x:c r="B3908" s="2" t="n">
        <x:v>3875</x:v>
      </x:c>
      <x:c r="C3908" s="2" t="str">
        <x:v>84967A</x:v>
      </x:c>
      <x:c r="D3908" s="2" t="str">
        <x:v>PINK KASHMIRI OCCASIONAL TABLE</x:v>
      </x:c>
      <x:c r="E3908" s="11" t="n">
        <x:v>174.9</x:v>
      </x:c>
      <x:c r="F3908" s="11" t="n">
        <x:v>79.95</x:v>
      </x:c>
      <x:c r="G3908" s="11" t="n">
        <x:v>94.95</x:v>
      </x:c>
      <x:c r="H3908" s="23" t="n">
        <x:v>0.00000851768765276443</x:v>
      </x:c>
      <x:c r="I3908" s="23" t="n">
        <x:v>0.996852416999393</x:v>
      </x:c>
      <x:c r="J3908" s="2" t="n">
        <x:v>3</x:v>
      </x:c>
      <x:c r="K3908" s="2"/>
      <x:c r="L3908" s="2"/>
    </x:row>
    <x:row r="3909" ht="22" customHeight="1">
      <x:c r="A3909" s="2"/>
      <x:c r="B3909" s="2" t="n">
        <x:v>3876</x:v>
      </x:c>
      <x:c r="C3909" s="2" t="str">
        <x:v>22886</x:v>
      </x:c>
      <x:c r="D3909" s="2" t="str">
        <x:v>NUMBER TILE VINTAGE FONT 7</x:v>
      </x:c>
      <x:c r="E3909" s="11" t="n">
        <x:v>174.16</x:v>
      </x:c>
      <x:c r="F3909" s="11" t="n">
        <x:v>0</x:v>
      </x:c>
      <x:c r="G3909" s="11" t="n">
        <x:v>174.16</x:v>
      </x:c>
      <x:c r="H3909" s="23" t="n">
        <x:v>0.000008481649408836211</x:v>
      </x:c>
      <x:c r="I3909" s="23" t="n">
        <x:v>0.9968608986488018</x:v>
      </x:c>
      <x:c r="J3909" s="2" t="n">
        <x:v>29</x:v>
      </x:c>
      <x:c r="K3909" s="2"/>
      <x:c r="L3909" s="2"/>
    </x:row>
    <x:row r="3910" ht="22" customHeight="1">
      <x:c r="A3910" s="2"/>
      <x:c r="B3910" s="2" t="n">
        <x:v>3877</x:v>
      </x:c>
      <x:c r="C3910" s="2" t="str">
        <x:v>82587</x:v>
      </x:c>
      <x:c r="D3910" s="2" t="str">
        <x:v>TEXRIO TOMATOES CANDLE+CUP</x:v>
      </x:c>
      <x:c r="E3910" s="11" t="n">
        <x:v>173.03</x:v>
      </x:c>
      <x:c r="F3910" s="11" t="n">
        <x:v>15</x:v>
      </x:c>
      <x:c r="G3910" s="11" t="n">
        <x:v>158.03</x:v>
      </x:c>
      <x:c r="H3910" s="23" t="n">
        <x:v>0.000008426618036351226</x:v>
      </x:c>
      <x:c r="I3910" s="23" t="n">
        <x:v>0.9968693252668381</x:v>
      </x:c>
      <x:c r="J3910" s="2" t="n">
        <x:v>40</x:v>
      </x:c>
      <x:c r="K3910" s="2"/>
      <x:c r="L3910" s="2"/>
    </x:row>
    <x:row r="3911" ht="22" customHeight="1">
      <x:c r="A3911" s="2"/>
      <x:c r="B3911" s="2" t="n">
        <x:v>3878</x:v>
      </x:c>
      <x:c r="C3911" s="2" t="str">
        <x:v>21461</x:v>
      </x:c>
      <x:c r="D3911" s="2" t="str">
        <x:v>BLUE EASTER EGG HUNT START POST</x:v>
      </x:c>
      <x:c r="E3911" s="11" t="n">
        <x:v>172.98999999999998</x:v>
      </x:c>
      <x:c r="F3911" s="11" t="n">
        <x:v>9.75</x:v>
      </x:c>
      <x:c r="G3911" s="11" t="n">
        <x:v>163.23999999999998</x:v>
      </x:c>
      <x:c r="H3911" s="23" t="n">
        <x:v>0.000008424670023165916</x:v>
      </x:c>
      <x:c r="I3911" s="23" t="n">
        <x:v>0.9968777499368613</x:v>
      </x:c>
      <x:c r="J3911" s="2" t="n">
        <x:v>23</x:v>
      </x:c>
      <x:c r="K3911" s="2"/>
      <x:c r="L3911" s="2"/>
    </x:row>
    <x:row r="3912" ht="22" customHeight="1">
      <x:c r="A3912" s="2"/>
      <x:c r="B3912" s="2" t="n">
        <x:v>3879</x:v>
      </x:c>
      <x:c r="C3912" s="2" t="str">
        <x:v>75011</x:v>
      </x:c>
      <x:c r="D3912" s="2" t="str">
        <x:v>BLUE DAISY MOBILE</x:v>
      </x:c>
      <x:c r="E3912" s="11" t="n">
        <x:v>172.51</x:v>
      </x:c>
      <x:c r="F3912" s="11" t="n">
        <x:v>0</x:v>
      </x:c>
      <x:c r="G3912" s="11" t="n">
        <x:v>172.51</x:v>
      </x:c>
      <x:c r="H3912" s="23" t="n">
        <x:v>0.000008401293864942207</x:v>
      </x:c>
      <x:c r="I3912" s="23" t="n">
        <x:v>0.9968861512307262</x:v>
      </x:c>
      <x:c r="J3912" s="2" t="n">
        <x:v>15</x:v>
      </x:c>
      <x:c r="K3912" s="2"/>
      <x:c r="L3912" s="2"/>
    </x:row>
    <x:row r="3913" ht="22" customHeight="1">
      <x:c r="A3913" s="2"/>
      <x:c r="B3913" s="2" t="n">
        <x:v>3880</x:v>
      </x:c>
      <x:c r="C3913" s="2" t="str">
        <x:v>90123D</x:v>
      </x:c>
      <x:c r="D3913" s="2" t="str">
        <x:v>WHITE HEART OF GLASS BRACELET</x:v>
      </x:c>
      <x:c r="E3913" s="11" t="n">
        <x:v>172.39</x:v>
      </x:c>
      <x:c r="F3913" s="11" t="n">
        <x:v>0</x:v>
      </x:c>
      <x:c r="G3913" s="11" t="n">
        <x:v>172.39</x:v>
      </x:c>
      <x:c r="H3913" s="23" t="n">
        <x:v>0.000008395449825386278</x:v>
      </x:c>
      <x:c r="I3913" s="23" t="n">
        <x:v>0.9968945466805516</x:v>
      </x:c>
      <x:c r="J3913" s="2" t="n">
        <x:v>14</x:v>
      </x:c>
      <x:c r="K3913" s="2"/>
      <x:c r="L3913" s="2"/>
    </x:row>
    <x:row r="3914" ht="22" customHeight="1">
      <x:c r="A3914" s="2"/>
      <x:c r="B3914" s="2" t="n">
        <x:v>3881</x:v>
      </x:c>
      <x:c r="C3914" s="2" t="str">
        <x:v>90060F</x:v>
      </x:c>
      <x:c r="D3914" s="2" t="str">
        <x:v>FIRE POLISHED GLASS NECKL GREEN</x:v>
      </x:c>
      <x:c r="E3914" s="11" t="n">
        <x:v>172.09</x:v>
      </x:c>
      <x:c r="F3914" s="11" t="n">
        <x:v>0</x:v>
      </x:c>
      <x:c r="G3914" s="11" t="n">
        <x:v>172.09</x:v>
      </x:c>
      <x:c r="H3914" s="23" t="n">
        <x:v>0.00000838083972649646</x:v>
      </x:c>
      <x:c r="I3914" s="23" t="n">
        <x:v>0.9969029275202781</x:v>
      </x:c>
      <x:c r="J3914" s="2" t="n">
        <x:v>18</x:v>
      </x:c>
      <x:c r="K3914" s="2"/>
      <x:c r="L3914" s="2"/>
    </x:row>
    <x:row r="3915" ht="22" customHeight="1">
      <x:c r="A3915" s="2"/>
      <x:c r="B3915" s="2" t="n">
        <x:v>3882</x:v>
      </x:c>
      <x:c r="C3915" s="2" t="str">
        <x:v>85185C</x:v>
      </x:c>
      <x:c r="D3915" s="2" t="str">
        <x:v>COW  SOCK PUPPET</x:v>
      </x:c>
      <x:c r="E3915" s="11" t="n">
        <x:v>171.10000000000002</x:v>
      </x:c>
      <x:c r="F3915" s="11" t="n">
        <x:v>0</x:v>
      </x:c>
      <x:c r="G3915" s="11" t="n">
        <x:v>171.10000000000002</x:v>
      </x:c>
      <x:c r="H3915" s="23" t="n">
        <x:v>0.000008332626400160058</x:v>
      </x:c>
      <x:c r="I3915" s="23" t="n">
        <x:v>0.9969112601466783</x:v>
      </x:c>
      <x:c r="J3915" s="2" t="n">
        <x:v>27</x:v>
      </x:c>
      <x:c r="K3915" s="2"/>
      <x:c r="L3915" s="2"/>
    </x:row>
    <x:row r="3916" ht="22" customHeight="1">
      <x:c r="A3916" s="2"/>
      <x:c r="B3916" s="2" t="n">
        <x:v>3883</x:v>
      </x:c>
      <x:c r="C3916" s="2" t="str">
        <x:v>84706C</x:v>
      </x:c>
      <x:c r="D3916" s="2" t="str">
        <x:v>PINK FLOCK TABLE CLOCK </x:v>
      </x:c>
      <x:c r="E3916" s="11" t="n">
        <x:v>170.8</x:v>
      </x:c>
      <x:c r="F3916" s="11" t="n">
        <x:v>0</x:v>
      </x:c>
      <x:c r="G3916" s="11" t="n">
        <x:v>170.8</x:v>
      </x:c>
      <x:c r="H3916" s="23" t="n">
        <x:v>0.000008318016301270239</x:v>
      </x:c>
      <x:c r="I3916" s="23" t="n">
        <x:v>0.9969195781629796</x:v>
      </x:c>
      <x:c r="J3916" s="2" t="n">
        <x:v>4</x:v>
      </x:c>
      <x:c r="K3916" s="2"/>
      <x:c r="L3916" s="2"/>
    </x:row>
    <x:row r="3917" ht="22" customHeight="1">
      <x:c r="A3917" s="2"/>
      <x:c r="B3917" s="2" t="n">
        <x:v>3884</x:v>
      </x:c>
      <x:c r="C3917" s="2" t="str">
        <x:v>90063B</x:v>
      </x:c>
      <x:c r="D3917" s="2" t="str">
        <x:v>BLACK VINT ART DEC CRYSTAL NECKLACE</x:v>
      </x:c>
      <x:c r="E3917" s="11" t="n">
        <x:v>170.17000000000002</x:v>
      </x:c>
      <x:c r="F3917" s="11" t="n">
        <x:v>0</x:v>
      </x:c>
      <x:c r="G3917" s="11" t="n">
        <x:v>170.17000000000002</x:v>
      </x:c>
      <x:c r="H3917" s="23" t="n">
        <x:v>0.00000828733509360162</x:v>
      </x:c>
      <x:c r="I3917" s="23" t="n">
        <x:v>0.9969278654980732</x:v>
      </x:c>
      <x:c r="J3917" s="2" t="n">
        <x:v>14</x:v>
      </x:c>
      <x:c r="K3917" s="2"/>
      <x:c r="L3917" s="2"/>
    </x:row>
    <x:row r="3918" ht="22" customHeight="1">
      <x:c r="A3918" s="2"/>
      <x:c r="B3918" s="2" t="n">
        <x:v>3885</x:v>
      </x:c>
      <x:c r="C3918" s="2" t="str">
        <x:v>17014A</x:v>
      </x:c>
      <x:c r="D3918" s="2" t="str">
        <x:v>ORIGAMI VANILLA INCENSE CONES</x:v>
      </x:c>
      <x:c r="E3918" s="11" t="n">
        <x:v>170.13</x:v>
      </x:c>
      <x:c r="F3918" s="11" t="n">
        <x:v>0</x:v>
      </x:c>
      <x:c r="G3918" s="11" t="n">
        <x:v>170.13</x:v>
      </x:c>
      <x:c r="H3918" s="23" t="n">
        <x:v>0.00000828538708041631</x:v>
      </x:c>
      <x:c r="I3918" s="23" t="n">
        <x:v>0.9969361508851536</x:v>
      </x:c>
      <x:c r="J3918" s="2" t="n">
        <x:v>16</x:v>
      </x:c>
      <x:c r="K3918" s="2"/>
      <x:c r="L3918" s="2"/>
    </x:row>
    <x:row r="3919" ht="22" customHeight="1">
      <x:c r="A3919" s="2"/>
      <x:c r="B3919" s="2" t="n">
        <x:v>3886</x:v>
      </x:c>
      <x:c r="C3919" s="2" t="str">
        <x:v>85040a</x:v>
      </x:c>
      <x:c r="D3919" s="2" t="str">
        <x:v>S/4 PINK FLOWER CANDLES IN BOWL</x:v>
      </x:c>
      <x:c r="E3919" s="11" t="n">
        <x:v>169.75</x:v>
      </x:c>
      <x:c r="F3919" s="11" t="n">
        <x:v>0</x:v>
      </x:c>
      <x:c r="G3919" s="11" t="n">
        <x:v>169.75</x:v>
      </x:c>
      <x:c r="H3919" s="23" t="n">
        <x:v>0.000008266880955155872</x:v>
      </x:c>
      <x:c r="I3919" s="23" t="n">
        <x:v>0.9969444177661088</x:v>
      </x:c>
      <x:c r="J3919" s="2" t="n">
        <x:v>34</x:v>
      </x:c>
      <x:c r="K3919" s="2"/>
      <x:c r="L3919" s="2"/>
    </x:row>
    <x:row r="3920" ht="22" customHeight="1">
      <x:c r="A3920" s="2"/>
      <x:c r="B3920" s="2" t="n">
        <x:v>3887</x:v>
      </x:c>
      <x:c r="C3920" s="2" t="str">
        <x:v>47570b</x:v>
      </x:c>
      <x:c r="D3920" s="2" t="str">
        <x:v>TEA TIME TABLE CLOTH</x:v>
      </x:c>
      <x:c r="E3920" s="11" t="n">
        <x:v>169.4</x:v>
      </x:c>
      <x:c r="F3920" s="11" t="n">
        <x:v>0</x:v>
      </x:c>
      <x:c r="G3920" s="11" t="n">
        <x:v>169.4</x:v>
      </x:c>
      <x:c r="H3920" s="23" t="n">
        <x:v>0.000008249835839784418</x:v>
      </x:c>
      <x:c r="I3920" s="23" t="n">
        <x:v>0.9969526676019486</x:v>
      </x:c>
      <x:c r="J3920" s="2" t="n">
        <x:v>8</x:v>
      </x:c>
      <x:c r="K3920" s="2"/>
      <x:c r="L3920" s="2"/>
    </x:row>
    <x:row r="3921" ht="22" customHeight="1">
      <x:c r="A3921" s="2"/>
      <x:c r="B3921" s="2" t="n">
        <x:v>3888</x:v>
      </x:c>
      <x:c r="C3921" s="2" t="str">
        <x:v>84531A</x:v>
      </x:c>
      <x:c r="D3921" s="2" t="str">
        <x:v>returned</x:v>
      </x:c>
      <x:c r="E3921" s="11" t="n">
        <x:v>169.35999999999999</x:v>
      </x:c>
      <x:c r="F3921" s="11" t="n">
        <x:v>0</x:v>
      </x:c>
      <x:c r="G3921" s="11" t="n">
        <x:v>169.35999999999999</x:v>
      </x:c>
      <x:c r="H3921" s="23" t="n">
        <x:v>0.000008247887826599108</x:v>
      </x:c>
      <x:c r="I3921" s="23" t="n">
        <x:v>0.9969609154897752</x:v>
      </x:c>
      <x:c r="J3921" s="2" t="n">
        <x:v>45</x:v>
      </x:c>
      <x:c r="K3921" s="2"/>
      <x:c r="L3921" s="2"/>
    </x:row>
    <x:row r="3922" ht="22" customHeight="1">
      <x:c r="A3922" s="2"/>
      <x:c r="B3922" s="2" t="n">
        <x:v>3889</x:v>
      </x:c>
      <x:c r="C3922" s="2" t="str">
        <x:v>37491C</x:v>
      </x:c>
      <x:c r="D3922" s="2" t="str">
        <x:v>GREEN/BLUE CERAMIC CANDLE HOLDER</x:v>
      </x:c>
      <x:c r="E3922" s="11" t="n">
        <x:v>169.17</x:v>
      </x:c>
      <x:c r="F3922" s="11" t="n">
        <x:v>0</x:v>
      </x:c>
      <x:c r="G3922" s="11" t="n">
        <x:v>169.17</x:v>
      </x:c>
      <x:c r="H3922" s="23" t="n">
        <x:v>0.000008238634763968889</x:v>
      </x:c>
      <x:c r="I3922" s="23" t="n">
        <x:v>0.9969691541245391</x:v>
      </x:c>
      <x:c r="J3922" s="2" t="n">
        <x:v>10</x:v>
      </x:c>
      <x:c r="K3922" s="2"/>
      <x:c r="L3922" s="2"/>
    </x:row>
    <x:row r="3923" ht="22" customHeight="1">
      <x:c r="A3923" s="2"/>
      <x:c r="B3923" s="2" t="n">
        <x:v>3890</x:v>
      </x:c>
      <x:c r="C3923" s="2" t="str">
        <x:v>90166</x:v>
      </x:c>
      <x:c r="D3923" s="2" t="str">
        <x:v>PINK &amp; WHITE ROSEBUD RING</x:v>
      </x:c>
      <x:c r="E3923" s="11" t="n">
        <x:v>168.94</x:v>
      </x:c>
      <x:c r="F3923" s="11" t="n">
        <x:v>4.25</x:v>
      </x:c>
      <x:c r="G3923" s="11" t="n">
        <x:v>164.69</x:v>
      </x:c>
      <x:c r="H3923" s="23" t="n">
        <x:v>0.000008227433688153362</x:v>
      </x:c>
      <x:c r="I3923" s="23" t="n">
        <x:v>0.9969773815582272</x:v>
      </x:c>
      <x:c r="J3923" s="2" t="n">
        <x:v>31</x:v>
      </x:c>
      <x:c r="K3923" s="2"/>
      <x:c r="L3923" s="2"/>
    </x:row>
    <x:row r="3924" ht="22" customHeight="1">
      <x:c r="A3924" s="2"/>
      <x:c r="B3924" s="2" t="n">
        <x:v>3891</x:v>
      </x:c>
      <x:c r="C3924" s="2" t="str">
        <x:v>90019B</x:v>
      </x:c>
      <x:c r="D3924" s="2" t="str">
        <x:v>GOLD M.O.P ORBIT BRACELET</x:v>
      </x:c>
      <x:c r="E3924" s="11" t="n">
        <x:v>168.62</x:v>
      </x:c>
      <x:c r="F3924" s="11" t="n">
        <x:v>0</x:v>
      </x:c>
      <x:c r="G3924" s="11" t="n">
        <x:v>168.62</x:v>
      </x:c>
      <x:c r="H3924" s="23" t="n">
        <x:v>0.000008211849582670889</x:v>
      </x:c>
      <x:c r="I3924" s="23" t="n">
        <x:v>0.9969855934078099</x:v>
      </x:c>
      <x:c r="J3924" s="2" t="n">
        <x:v>28</x:v>
      </x:c>
      <x:c r="K3924" s="2"/>
      <x:c r="L3924" s="2"/>
    </x:row>
    <x:row r="3925" ht="22" customHeight="1">
      <x:c r="A3925" s="2"/>
      <x:c r="B3925" s="2" t="n">
        <x:v>3892</x:v>
      </x:c>
      <x:c r="C3925" s="2" t="str">
        <x:v>90204</x:v>
      </x:c>
      <x:c r="D3925" s="2" t="str">
        <x:v>PAIR OF ENAMEL BUTTERFLY HAIRCLIP</x:v>
      </x:c>
      <x:c r="E3925" s="11" t="n">
        <x:v>168.46</x:v>
      </x:c>
      <x:c r="F3925" s="11" t="n">
        <x:v>13.4</x:v>
      </x:c>
      <x:c r="G3925" s="11" t="n">
        <x:v>155.06</x:v>
      </x:c>
      <x:c r="H3925" s="23" t="n">
        <x:v>0.000008204057529929652</x:v>
      </x:c>
      <x:c r="I3925" s="23" t="n">
        <x:v>0.9969937974653398</x:v>
      </x:c>
      <x:c r="J3925" s="2" t="n">
        <x:v>37</x:v>
      </x:c>
      <x:c r="K3925" s="2"/>
      <x:c r="L3925" s="2"/>
    </x:row>
    <x:row r="3926" ht="22" customHeight="1">
      <x:c r="A3926" s="2"/>
      <x:c r="B3926" s="2" t="n">
        <x:v>3893</x:v>
      </x:c>
      <x:c r="C3926" s="2" t="str">
        <x:v>90065B</x:v>
      </x:c>
      <x:c r="D3926" s="2" t="str">
        <x:v>BLACK VINT ART DEC CRYSTAL BRACELET</x:v>
      </x:c>
      <x:c r="E3926" s="11" t="n">
        <x:v>168.37</x:v>
      </x:c>
      <x:c r="F3926" s="11" t="n">
        <x:v>0</x:v>
      </x:c>
      <x:c r="G3926" s="11" t="n">
        <x:v>168.37</x:v>
      </x:c>
      <x:c r="H3926" s="23" t="n">
        <x:v>0.000008199674500262706</x:v>
      </x:c>
      <x:c r="I3926" s="23" t="n">
        <x:v>0.9970019971398401</x:v>
      </x:c>
      <x:c r="J3926" s="2" t="n">
        <x:v>16</x:v>
      </x:c>
      <x:c r="K3926" s="2"/>
      <x:c r="L3926" s="2"/>
    </x:row>
    <x:row r="3927" ht="22" customHeight="1">
      <x:c r="A3927" s="2"/>
      <x:c r="B3927" s="2" t="n">
        <x:v>3894</x:v>
      </x:c>
      <x:c r="C3927" s="2" t="str">
        <x:v>85205A</x:v>
      </x:c>
      <x:c r="D3927" s="2" t="str">
        <x:v>IVORY FELT EASTER RABBIT GARLAND</x:v>
      </x:c>
      <x:c r="E3927" s="11" t="n">
        <x:v>168.29999999999998</x:v>
      </x:c>
      <x:c r="F3927" s="11" t="n">
        <x:v>0</x:v>
      </x:c>
      <x:c r="G3927" s="11" t="n">
        <x:v>168.29999999999998</x:v>
      </x:c>
      <x:c r="H3927" s="23" t="n">
        <x:v>0.000008196265477188414</x:v>
      </x:c>
      <x:c r="I3927" s="23" t="n">
        <x:v>0.9970101934053173</x:v>
      </x:c>
      <x:c r="J3927" s="2" t="n">
        <x:v>21</x:v>
      </x:c>
      <x:c r="K3927" s="2"/>
      <x:c r="L3927" s="2"/>
    </x:row>
    <x:row r="3928" ht="22" customHeight="1">
      <x:c r="A3928" s="2"/>
      <x:c r="B3928" s="2" t="n">
        <x:v>3895</x:v>
      </x:c>
      <x:c r="C3928" s="2" t="str">
        <x:v>90186B</x:v>
      </x:c>
      <x:c r="D3928" s="2" t="str">
        <x:v>CRYSTAL HOOP EARRING FLORAL LEAF</x:v>
      </x:c>
      <x:c r="E3928" s="11" t="n">
        <x:v>168.26000000000002</x:v>
      </x:c>
      <x:c r="F3928" s="11" t="n">
        <x:v>0</x:v>
      </x:c>
      <x:c r="G3928" s="11" t="n">
        <x:v>168.26000000000002</x:v>
      </x:c>
      <x:c r="H3928" s="23" t="n">
        <x:v>0.000008194317464003106</x:v>
      </x:c>
      <x:c r="I3928" s="23" t="n">
        <x:v>0.9970183877227813</x:v>
      </x:c>
      <x:c r="J3928" s="2" t="n">
        <x:v>31</x:v>
      </x:c>
      <x:c r="K3928" s="2"/>
      <x:c r="L3928" s="2"/>
    </x:row>
    <x:row r="3929" ht="22" customHeight="1">
      <x:c r="A3929" s="2"/>
      <x:c r="B3929" s="2" t="n">
        <x:v>3896</x:v>
      </x:c>
      <x:c r="C3929" s="2" t="str">
        <x:v>21087</x:v>
      </x:c>
      <x:c r="D3929" s="2" t="str">
        <x:v>SET/6 POSIES PAPER CUPS</x:v>
      </x:c>
      <x:c r="E3929" s="11" t="n">
        <x:v>168.08</x:v>
      </x:c>
      <x:c r="F3929" s="11" t="n">
        <x:v>0</x:v>
      </x:c>
      <x:c r="G3929" s="11" t="n">
        <x:v>168.08</x:v>
      </x:c>
      <x:c r="H3929" s="23" t="n">
        <x:v>0.000008185551404669214</x:v>
      </x:c>
      <x:c r="I3929" s="23" t="n">
        <x:v>0.997026573274186</x:v>
      </x:c>
      <x:c r="J3929" s="2" t="n">
        <x:v>32</x:v>
      </x:c>
      <x:c r="K3929" s="2"/>
      <x:c r="L3929" s="2"/>
    </x:row>
    <x:row r="3930" ht="22" customHeight="1">
      <x:c r="A3930" s="2"/>
      <x:c r="B3930" s="2" t="n">
        <x:v>3897</x:v>
      </x:c>
      <x:c r="C3930" s="2" t="str">
        <x:v>84531B</x:v>
      </x:c>
      <x:c r="D3930" s="2" t="str">
        <x:v>returned</x:v>
      </x:c>
      <x:c r="E3930" s="11" t="n">
        <x:v>167.91</x:v>
      </x:c>
      <x:c r="F3930" s="11" t="n">
        <x:v>0</x:v>
      </x:c>
      <x:c r="G3930" s="11" t="n">
        <x:v>167.91</x:v>
      </x:c>
      <x:c r="H3930" s="23" t="n">
        <x:v>0.00000817727234863165</x:v>
      </x:c>
      <x:c r="I3930" s="23" t="n">
        <x:v>0.9970347505465346</x:v>
      </x:c>
      <x:c r="J3930" s="2" t="n">
        <x:v>42</x:v>
      </x:c>
      <x:c r="K3930" s="2"/>
      <x:c r="L3930" s="2"/>
    </x:row>
    <x:row r="3931" ht="22" customHeight="1">
      <x:c r="A3931" s="2"/>
      <x:c r="B3931" s="2" t="n">
        <x:v>3898</x:v>
      </x:c>
      <x:c r="C3931" s="2" t="str">
        <x:v>35916C</x:v>
      </x:c>
      <x:c r="D3931" s="2" t="str">
        <x:v>PINK FELT HANGING HEART W FLOWER</x:v>
      </x:c>
      <x:c r="E3931" s="11" t="n">
        <x:v>167.54999999999998</x:v>
      </x:c>
      <x:c r="F3931" s="11" t="n">
        <x:v>0</x:v>
      </x:c>
      <x:c r="G3931" s="11" t="n">
        <x:v>167.54999999999998</x:v>
      </x:c>
      <x:c r="H3931" s="23" t="n">
        <x:v>0.000008159740229963867</x:v>
      </x:c>
      <x:c r="I3931" s="23" t="n">
        <x:v>0.9970429102867645</x:v>
      </x:c>
      <x:c r="J3931" s="2" t="n">
        <x:v>42</x:v>
      </x:c>
      <x:c r="K3931" s="2"/>
      <x:c r="L3931" s="2"/>
    </x:row>
    <x:row r="3932" ht="22" customHeight="1">
      <x:c r="A3932" s="2"/>
      <x:c r="B3932" s="2" t="n">
        <x:v>3899</x:v>
      </x:c>
      <x:c r="C3932" s="2" t="str">
        <x:v>90123B</x:v>
      </x:c>
      <x:c r="D3932" s="2" t="str">
        <x:v>TURQUOISE HEART OF GLASS BRACELET</x:v>
      </x:c>
      <x:c r="E3932" s="11" t="n">
        <x:v>166.59</x:v>
      </x:c>
      <x:c r="F3932" s="11" t="n">
        <x:v>0</x:v>
      </x:c>
      <x:c r="G3932" s="11" t="n">
        <x:v>166.59</x:v>
      </x:c>
      <x:c r="H3932" s="23" t="n">
        <x:v>0.000008112987913516448</x:v>
      </x:c>
      <x:c r="I3932" s="23" t="n">
        <x:v>0.997051023274678</x:v>
      </x:c>
      <x:c r="J3932" s="2" t="n">
        <x:v>13</x:v>
      </x:c>
      <x:c r="K3932" s="2"/>
      <x:c r="L3932" s="2"/>
    </x:row>
    <x:row r="3933" ht="22" customHeight="1">
      <x:c r="A3933" s="2"/>
      <x:c r="B3933" s="2" t="n">
        <x:v>3900</x:v>
      </x:c>
      <x:c r="C3933" s="2" t="str">
        <x:v>90211A</x:v>
      </x:c>
      <x:c r="D3933" s="2" t="str">
        <x:v>DIAMOND LAS VEGAS NECKLACE 45CM</x:v>
      </x:c>
      <x:c r="E3933" s="11" t="n">
        <x:v>166.57000000000002</x:v>
      </x:c>
      <x:c r="F3933" s="11" t="n">
        <x:v>0</x:v>
      </x:c>
      <x:c r="G3933" s="11" t="n">
        <x:v>166.57000000000002</x:v>
      </x:c>
      <x:c r="H3933" s="23" t="n">
        <x:v>0.000008112013906923793</x:v>
      </x:c>
      <x:c r="I3933" s="23" t="n">
        <x:v>0.9970591352885849</x:v>
      </x:c>
      <x:c r="J3933" s="2" t="n">
        <x:v>21</x:v>
      </x:c>
      <x:c r="K3933" s="2"/>
      <x:c r="L3933" s="2"/>
    </x:row>
    <x:row r="3934" ht="22" customHeight="1">
      <x:c r="A3934" s="2"/>
      <x:c r="B3934" s="2" t="n">
        <x:v>3901</x:v>
      </x:c>
      <x:c r="C3934" s="2" t="str">
        <x:v>84231</x:v>
      </x:c>
      <x:c r="D3934" s="2" t="str">
        <x:v>EASTER BUNNY WITH BASKET ON BACK</x:v>
      </x:c>
      <x:c r="E3934" s="11" t="n">
        <x:v>166.21</x:v>
      </x:c>
      <x:c r="F3934" s="11" t="n">
        <x:v>0</x:v>
      </x:c>
      <x:c r="G3934" s="11" t="n">
        <x:v>166.21</x:v>
      </x:c>
      <x:c r="H3934" s="23" t="n">
        <x:v>0.00000809448178825601</x:v>
      </x:c>
      <x:c r="I3934" s="23" t="n">
        <x:v>0.9970672297703732</x:v>
      </x:c>
      <x:c r="J3934" s="2" t="n">
        <x:v>50</x:v>
      </x:c>
      <x:c r="K3934" s="2"/>
      <x:c r="L3934" s="2"/>
    </x:row>
    <x:row r="3935" ht="22" customHeight="1">
      <x:c r="A3935" s="2"/>
      <x:c r="B3935" s="2" t="n">
        <x:v>3902</x:v>
      </x:c>
      <x:c r="C3935" s="2" t="str">
        <x:v>gift_0001_40</x:v>
      </x:c>
      <x:c r="D3935" s="2" t="str">
        <x:v>Dotcomgiftshop Gift Voucher £40.00</x:v>
      </x:c>
      <x:c r="E3935" s="11" t="n">
        <x:v>166.09</x:v>
      </x:c>
      <x:c r="F3935" s="11" t="n">
        <x:v>0</x:v>
      </x:c>
      <x:c r="G3935" s="11" t="n">
        <x:v>166.09</x:v>
      </x:c>
      <x:c r="H3935" s="23" t="n">
        <x:v>0.000008088637748700081</x:v>
      </x:c>
      <x:c r="I3935" s="23" t="n">
        <x:v>0.9970753184081219</x:v>
      </x:c>
      <x:c r="J3935" s="2" t="n">
        <x:v>5</x:v>
      </x:c>
      <x:c r="K3935" s="2"/>
      <x:c r="L3935" s="2"/>
    </x:row>
    <x:row r="3936" ht="22" customHeight="1">
      <x:c r="A3936" s="2"/>
      <x:c r="B3936" s="2" t="n">
        <x:v>3903</x:v>
      </x:c>
      <x:c r="C3936" s="2" t="str">
        <x:v>90214L</x:v>
      </x:c>
      <x:c r="D3936" s="2" t="str">
        <x:v>LETTER "L" BLING KEY RING</x:v>
      </x:c>
      <x:c r="E3936" s="11" t="n">
        <x:v>166.06</x:v>
      </x:c>
      <x:c r="F3936" s="11" t="n">
        <x:v>10</x:v>
      </x:c>
      <x:c r="G3936" s="11" t="n">
        <x:v>156.06</x:v>
      </x:c>
      <x:c r="H3936" s="23" t="n">
        <x:v>0.0000080871767388111</x:v>
      </x:c>
      <x:c r="I3936" s="23" t="n">
        <x:v>0.9970834055848607</x:v>
      </x:c>
      <x:c r="J3936" s="2" t="n">
        <x:v>68</x:v>
      </x:c>
      <x:c r="K3936" s="2"/>
      <x:c r="L3936" s="2"/>
    </x:row>
    <x:row r="3937" ht="22" customHeight="1">
      <x:c r="A3937" s="2"/>
      <x:c r="B3937" s="2" t="n">
        <x:v>3904</x:v>
      </x:c>
      <x:c r="C3937" s="2" t="str">
        <x:v>90003B</x:v>
      </x:c>
      <x:c r="D3937" s="2" t="str">
        <x:v>ROSE COLOUR PAIR HEART HAIR SLIDES</x:v>
      </x:c>
      <x:c r="E3937" s="11" t="n">
        <x:v>165.81</x:v>
      </x:c>
      <x:c r="F3937" s="11" t="n">
        <x:v>26.25</x:v>
      </x:c>
      <x:c r="G3937" s="11" t="n">
        <x:v>139.56</x:v>
      </x:c>
      <x:c r="H3937" s="23" t="n">
        <x:v>0.000008075001656402918</x:v>
      </x:c>
      <x:c r="I3937" s="23" t="n">
        <x:v>0.9970914805865172</x:v>
      </x:c>
      <x:c r="J3937" s="2" t="n">
        <x:v>25</x:v>
      </x:c>
      <x:c r="K3937" s="2"/>
      <x:c r="L3937" s="2"/>
    </x:row>
    <x:row r="3938" ht="22" customHeight="1">
      <x:c r="A3938" s="2"/>
      <x:c r="B3938" s="2" t="n">
        <x:v>3905</x:v>
      </x:c>
      <x:c r="C3938" s="2" t="str">
        <x:v>10123G</x:v>
      </x:c>
      <x:c r="D3938" s="2" t="str">
        <x:v>ARMY CAMO WRAPPING TAPE</x:v>
      </x:c>
      <x:c r="E3938" s="11" t="n">
        <x:v>165.55999999999997</x:v>
      </x:c>
      <x:c r="F3938" s="11" t="n">
        <x:v>66.24</x:v>
      </x:c>
      <x:c r="G3938" s="11" t="n">
        <x:v>99.32</x:v>
      </x:c>
      <x:c r="H3938" s="23" t="n">
        <x:v>0.000008062826573994734</x:v>
      </x:c>
      <x:c r="I3938" s="23" t="n">
        <x:v>0.9970995434130911</x:v>
      </x:c>
      <x:c r="J3938" s="2" t="n">
        <x:v>16</x:v>
      </x:c>
      <x:c r="K3938" s="2"/>
      <x:c r="L3938" s="2"/>
    </x:row>
    <x:row r="3939" ht="22" customHeight="1">
      <x:c r="A3939" s="2"/>
      <x:c r="B3939" s="2" t="n">
        <x:v>3906</x:v>
      </x:c>
      <x:c r="C3939" s="2" t="str">
        <x:v>90093</x:v>
      </x:c>
      <x:c r="D3939" s="2" t="str">
        <x:v>CLEAR CRYSTAL STAR PHONE CHARM</x:v>
      </x:c>
      <x:c r="E3939" s="11" t="n">
        <x:v>165.34</x:v>
      </x:c>
      <x:c r="F3939" s="11" t="n">
        <x:v>22.95</x:v>
      </x:c>
      <x:c r="G3939" s="11" t="n">
        <x:v>142.39</x:v>
      </x:c>
      <x:c r="H3939" s="23" t="n">
        <x:v>0.000008052112501475534</x:v>
      </x:c>
      <x:c r="I3939" s="23" t="n">
        <x:v>0.9971075955255926</x:v>
      </x:c>
      <x:c r="J3939" s="2" t="n">
        <x:v>25</x:v>
      </x:c>
      <x:c r="K3939" s="2"/>
      <x:c r="L3939" s="2"/>
    </x:row>
    <x:row r="3940" ht="22" customHeight="1">
      <x:c r="A3940" s="2"/>
      <x:c r="B3940" s="2" t="n">
        <x:v>3907</x:v>
      </x:c>
      <x:c r="C3940" s="2" t="str">
        <x:v>23694</x:v>
      </x:c>
      <x:c r="D3940" s="2" t="str">
        <x:v>PAISLEY PARK CARD</x:v>
      </x:c>
      <x:c r="E3940" s="11" t="n">
        <x:v>165.07999999999998</x:v>
      </x:c>
      <x:c r="F3940" s="11" t="n">
        <x:v>0</x:v>
      </x:c>
      <x:c r="G3940" s="11" t="n">
        <x:v>165.07999999999998</x:v>
      </x:c>
      <x:c r="H3940" s="23" t="n">
        <x:v>0.000008039450415771025</x:v>
      </x:c>
      <x:c r="I3940" s="23" t="n">
        <x:v>0.9971156349760083</x:v>
      </x:c>
      <x:c r="J3940" s="2" t="n">
        <x:v>41</x:v>
      </x:c>
      <x:c r="K3940" s="2"/>
      <x:c r="L3940" s="2"/>
    </x:row>
    <x:row r="3941" ht="22" customHeight="1">
      <x:c r="A3941" s="2"/>
      <x:c r="B3941" s="2" t="n">
        <x:v>3908</x:v>
      </x:c>
      <x:c r="C3941" s="2" t="str">
        <x:v>37479P</x:v>
      </x:c>
      <x:c r="D3941" s="2" t="str">
        <x:v>CUBIC MUG FLOCK PINK ON BROWN</x:v>
      </x:c>
      <x:c r="E3941" s="11" t="n">
        <x:v>164.76</x:v>
      </x:c>
      <x:c r="F3941" s="11" t="n">
        <x:v>0</x:v>
      </x:c>
      <x:c r="G3941" s="11" t="n">
        <x:v>164.76</x:v>
      </x:c>
      <x:c r="H3941" s="23" t="n">
        <x:v>0.000008023866310288551</x:v>
      </x:c>
      <x:c r="I3941" s="23" t="n">
        <x:v>0.9971236588423186</x:v>
      </x:c>
      <x:c r="J3941" s="2" t="n">
        <x:v>34</x:v>
      </x:c>
      <x:c r="K3941" s="2"/>
      <x:c r="L3941" s="2"/>
    </x:row>
    <x:row r="3942" ht="22" customHeight="1">
      <x:c r="A3942" s="2"/>
      <x:c r="B3942" s="2" t="n">
        <x:v>3909</x:v>
      </x:c>
      <x:c r="C3942" s="2" t="str">
        <x:v>90018B</x:v>
      </x:c>
      <x:c r="D3942" s="2" t="str">
        <x:v>GOLD M.O.P ORBIT DROP EARRINGS</x:v>
      </x:c>
      <x:c r="E3942" s="11" t="n">
        <x:v>164.62</x:v>
      </x:c>
      <x:c r="F3942" s="11" t="n">
        <x:v>0</x:v>
      </x:c>
      <x:c r="G3942" s="11" t="n">
        <x:v>164.62</x:v>
      </x:c>
      <x:c r="H3942" s="23" t="n">
        <x:v>0.00000801704826413997</x:v>
      </x:c>
      <x:c r="I3942" s="23" t="n">
        <x:v>0.9971316758905827</x:v>
      </x:c>
      <x:c r="J3942" s="2" t="n">
        <x:v>31</x:v>
      </x:c>
      <x:c r="K3942" s="2"/>
      <x:c r="L3942" s="2"/>
    </x:row>
    <x:row r="3943" ht="22" customHeight="1">
      <x:c r="A3943" s="2"/>
      <x:c r="B3943" s="2" t="n">
        <x:v>3910</x:v>
      </x:c>
      <x:c r="C3943" s="2" t="str">
        <x:v>90129D</x:v>
      </x:c>
      <x:c r="D3943" s="2" t="str">
        <x:v>AMBER GLASS TASSLE BAG CHARM</x:v>
      </x:c>
      <x:c r="E3943" s="11" t="n">
        <x:v>164.52</x:v>
      </x:c>
      <x:c r="F3943" s="11" t="n">
        <x:v>0</x:v>
      </x:c>
      <x:c r="G3943" s="11" t="n">
        <x:v>164.52</x:v>
      </x:c>
      <x:c r="H3943" s="23" t="n">
        <x:v>0.000008012178231176697</x:v>
      </x:c>
      <x:c r="I3943" s="23" t="n">
        <x:v>0.9971396880688139</x:v>
      </x:c>
      <x:c r="J3943" s="2" t="n">
        <x:v>34</x:v>
      </x:c>
      <x:c r="K3943" s="2"/>
      <x:c r="L3943" s="2"/>
    </x:row>
    <x:row r="3944" ht="22" customHeight="1">
      <x:c r="A3944" s="2"/>
      <x:c r="B3944" s="2" t="n">
        <x:v>3911</x:v>
      </x:c>
      <x:c r="C3944" s="2" t="str">
        <x:v>85024C</x:v>
      </x:c>
      <x:c r="D3944" s="2" t="str">
        <x:v>PINK SMALL JEWELLED PHOTOFRAME</x:v>
      </x:c>
      <x:c r="E3944" s="11" t="n">
        <x:v>163.35</x:v>
      </x:c>
      <x:c r="F3944" s="11" t="n">
        <x:v>1.65</x:v>
      </x:c>
      <x:c r="G3944" s="11" t="n">
        <x:v>161.7</x:v>
      </x:c>
      <x:c r="H3944" s="23" t="n">
        <x:v>0.000007955198845506402</x:v>
      </x:c>
      <x:c r="I3944" s="23" t="n">
        <x:v>0.9971476432676595</x:v>
      </x:c>
      <x:c r="J3944" s="2" t="n">
        <x:v>42</x:v>
      </x:c>
      <x:c r="K3944" s="2"/>
      <x:c r="L3944" s="2"/>
    </x:row>
    <x:row r="3945" ht="22" customHeight="1">
      <x:c r="A3945" s="2"/>
      <x:c r="B3945" s="2" t="n">
        <x:v>3912</x:v>
      </x:c>
      <x:c r="C3945" s="2" t="str">
        <x:v>16202E</x:v>
      </x:c>
      <x:c r="D3945" s="2" t="str">
        <x:v>BLACK PHOTO ALBUM </x:v>
      </x:c>
      <x:c r="E3945" s="11" t="n">
        <x:v>162.73</x:v>
      </x:c>
      <x:c r="F3945" s="11" t="n">
        <x:v>5.55</x:v>
      </x:c>
      <x:c r="G3945" s="11" t="n">
        <x:v>157.18</x:v>
      </x:c>
      <x:c r="H3945" s="23" t="n">
        <x:v>0.000007925004641134109</x:v>
      </x:c>
      <x:c r="I3945" s="23" t="n">
        <x:v>0.9971555682723006</x:v>
      </x:c>
      <x:c r="J3945" s="2" t="n">
        <x:v>14</x:v>
      </x:c>
      <x:c r="K3945" s="2"/>
      <x:c r="L3945" s="2"/>
    </x:row>
    <x:row r="3946" ht="22" customHeight="1">
      <x:c r="A3946" s="2"/>
      <x:c r="B3946" s="2" t="n">
        <x:v>3913</x:v>
      </x:c>
      <x:c r="C3946" s="2" t="str">
        <x:v>90039D</x:v>
      </x:c>
      <x:c r="D3946" s="2" t="str">
        <x:v>FIRE POLISHED GLASS BRACELET GREEN</x:v>
      </x:c>
      <x:c r="E3946" s="11" t="n">
        <x:v>162.66</x:v>
      </x:c>
      <x:c r="F3946" s="11" t="n">
        <x:v>0</x:v>
      </x:c>
      <x:c r="G3946" s="11" t="n">
        <x:v>162.66</x:v>
      </x:c>
      <x:c r="H3946" s="23" t="n">
        <x:v>0.000007921595618059818</x:v>
      </x:c>
      <x:c r="I3946" s="23" t="n">
        <x:v>0.9971634898679186</x:v>
      </x:c>
      <x:c r="J3946" s="2" t="n">
        <x:v>24</x:v>
      </x:c>
      <x:c r="K3946" s="2"/>
      <x:c r="L3946" s="2"/>
    </x:row>
    <x:row r="3947" ht="22" customHeight="1">
      <x:c r="A3947" s="2"/>
      <x:c r="B3947" s="2" t="n">
        <x:v>3914</x:v>
      </x:c>
      <x:c r="C3947" s="2" t="str">
        <x:v>90214C</x:v>
      </x:c>
      <x:c r="D3947" s="2" t="str">
        <x:v>LETTER "C" BLING KEY RING</x:v>
      </x:c>
      <x:c r="E3947" s="11" t="n">
        <x:v>162.53</x:v>
      </x:c>
      <x:c r="F3947" s="11" t="n">
        <x:v>7.5</x:v>
      </x:c>
      <x:c r="G3947" s="11" t="n">
        <x:v>155.03</x:v>
      </x:c>
      <x:c r="H3947" s="23" t="n">
        <x:v>0.000007915264575207564</x:v>
      </x:c>
      <x:c r="I3947" s="23" t="n">
        <x:v>0.9971714051324938</x:v>
      </x:c>
      <x:c r="J3947" s="2" t="n">
        <x:v>69</x:v>
      </x:c>
      <x:c r="K3947" s="2"/>
      <x:c r="L3947" s="2"/>
    </x:row>
    <x:row r="3948" ht="22" customHeight="1">
      <x:c r="A3948" s="2"/>
      <x:c r="B3948" s="2" t="n">
        <x:v>3915</x:v>
      </x:c>
      <x:c r="C3948" s="2" t="str">
        <x:v>90162B</x:v>
      </x:c>
      <x:c r="D3948" s="2" t="str">
        <x:v>ANT SILVER LIME GREEN BOUDICCA RING</x:v>
      </x:c>
      <x:c r="E3948" s="11" t="n">
        <x:v>162.25000000000003</x:v>
      </x:c>
      <x:c r="F3948" s="11" t="n">
        <x:v>2.95</x:v>
      </x:c>
      <x:c r="G3948" s="11" t="n">
        <x:v>159.3</x:v>
      </x:c>
      <x:c r="H3948" s="23" t="n">
        <x:v>0.0000079016284829104</x:v>
      </x:c>
      <x:c r="I3948" s="23" t="n">
        <x:v>0.9971793067609768</x:v>
      </x:c>
      <x:c r="J3948" s="2" t="n">
        <x:v>20</x:v>
      </x:c>
      <x:c r="K3948" s="2"/>
      <x:c r="L3948" s="2"/>
    </x:row>
    <x:row r="3949" ht="22" customHeight="1">
      <x:c r="A3949" s="2"/>
      <x:c r="B3949" s="2" t="n">
        <x:v>3916</x:v>
      </x:c>
      <x:c r="C3949" s="2" t="str">
        <x:v>47369B</x:v>
      </x:c>
      <x:c r="D3949" s="2" t="str">
        <x:v>BLUE GREEN EMBROIDERY COSMETIC BAG</x:v>
      </x:c>
      <x:c r="E3949" s="11" t="n">
        <x:v>162.03</x:v>
      </x:c>
      <x:c r="F3949" s="11" t="n">
        <x:v>0</x:v>
      </x:c>
      <x:c r="G3949" s="11" t="n">
        <x:v>162.03</x:v>
      </x:c>
      <x:c r="H3949" s="23" t="n">
        <x:v>0.0000078909144103912</x:v>
      </x:c>
      <x:c r="I3949" s="23" t="n">
        <x:v>0.9971871976753872</x:v>
      </x:c>
      <x:c r="J3949" s="2" t="n">
        <x:v>29</x:v>
      </x:c>
      <x:c r="K3949" s="2"/>
      <x:c r="L3949" s="2"/>
    </x:row>
    <x:row r="3950" ht="22" customHeight="1">
      <x:c r="A3950" s="2"/>
      <x:c r="B3950" s="2" t="n">
        <x:v>3917</x:v>
      </x:c>
      <x:c r="C3950" s="2" t="str">
        <x:v>20693</x:v>
      </x:c>
      <x:c r="D3950" s="2" t="str">
        <x:v>FLORAL DINOSAUR GREEN</x:v>
      </x:c>
      <x:c r="E3950" s="11" t="n">
        <x:v>161.89000000000001</x:v>
      </x:c>
      <x:c r="F3950" s="11" t="n">
        <x:v>4.25</x:v>
      </x:c>
      <x:c r="G3950" s="11" t="n">
        <x:v>157.64000000000001</x:v>
      </x:c>
      <x:c r="H3950" s="23" t="n">
        <x:v>0.000007884096364242618</x:v>
      </x:c>
      <x:c r="I3950" s="23" t="n">
        <x:v>0.9971950817717514</x:v>
      </x:c>
      <x:c r="J3950" s="2" t="n">
        <x:v>18</x:v>
      </x:c>
      <x:c r="K3950" s="2"/>
      <x:c r="L3950" s="2"/>
    </x:row>
    <x:row r="3951" ht="22" customHeight="1">
      <x:c r="A3951" s="2"/>
      <x:c r="B3951" s="2" t="n">
        <x:v>3918</x:v>
      </x:c>
      <x:c r="C3951" s="2" t="str">
        <x:v>90190C</x:v>
      </x:c>
      <x:c r="D3951" s="2" t="str">
        <x:v>SILVER/AMETHYST DROP EARRINGS LEAF</x:v>
      </x:c>
      <x:c r="E3951" s="11" t="n">
        <x:v>161.82</x:v>
      </x:c>
      <x:c r="F3951" s="11" t="n">
        <x:v>0</x:v>
      </x:c>
      <x:c r="G3951" s="11" t="n">
        <x:v>161.82</x:v>
      </x:c>
      <x:c r="H3951" s="23" t="n">
        <x:v>0.000007880687341168325</x:v>
      </x:c>
      <x:c r="I3951" s="23" t="n">
        <x:v>0.9972029624590926</x:v>
      </x:c>
      <x:c r="J3951" s="2" t="n">
        <x:v>36</x:v>
      </x:c>
      <x:c r="K3951" s="2"/>
      <x:c r="L3951" s="2"/>
    </x:row>
    <x:row r="3952" ht="22" customHeight="1">
      <x:c r="A3952" s="2"/>
      <x:c r="B3952" s="2" t="n">
        <x:v>3919</x:v>
      </x:c>
      <x:c r="C3952" s="2" t="str">
        <x:v>90214J</x:v>
      </x:c>
      <x:c r="D3952" s="2" t="str">
        <x:v>LETTER "J" BLING KEY RING</x:v>
      </x:c>
      <x:c r="E3952" s="11" t="n">
        <x:v>161.47</x:v>
      </x:c>
      <x:c r="F3952" s="11" t="n">
        <x:v>7.5</x:v>
      </x:c>
      <x:c r="G3952" s="11" t="n">
        <x:v>153.97</x:v>
      </x:c>
      <x:c r="H3952" s="23" t="n">
        <x:v>0.00000786364222579687</x:v>
      </x:c>
      <x:c r="I3952" s="23" t="n">
        <x:v>0.9972108261013184</x:v>
      </x:c>
      <x:c r="J3952" s="2" t="n">
        <x:v>88</x:v>
      </x:c>
      <x:c r="K3952" s="2"/>
      <x:c r="L3952" s="2"/>
    </x:row>
    <x:row r="3953" ht="22" customHeight="1">
      <x:c r="A3953" s="2"/>
      <x:c r="B3953" s="2" t="n">
        <x:v>3920</x:v>
      </x:c>
      <x:c r="C3953" s="2" t="str">
        <x:v>90042A</x:v>
      </x:c>
      <x:c r="D3953" s="2" t="str">
        <x:v>FRESHWATER PEARL BRACELET GOLD</x:v>
      </x:c>
      <x:c r="E3953" s="11" t="n">
        <x:v>160.79</x:v>
      </x:c>
      <x:c r="F3953" s="11" t="n">
        <x:v>0</x:v>
      </x:c>
      <x:c r="G3953" s="11" t="n">
        <x:v>160.79</x:v>
      </x:c>
      <x:c r="H3953" s="23" t="n">
        <x:v>0.000007830526001646614</x:v>
      </x:c>
      <x:c r="I3953" s="23" t="n">
        <x:v>0.99721865662732</x:v>
      </x:c>
      <x:c r="J3953" s="2" t="n">
        <x:v>33</x:v>
      </x:c>
      <x:c r="K3953" s="2"/>
      <x:c r="L3953" s="2"/>
    </x:row>
    <x:row r="3954" ht="22" customHeight="1">
      <x:c r="A3954" s="2"/>
      <x:c r="B3954" s="2" t="n">
        <x:v>3921</x:v>
      </x:c>
      <x:c r="C3954" s="2" t="str">
        <x:v>90123C</x:v>
      </x:c>
      <x:c r="D3954" s="2" t="str">
        <x:v>GREEN HEART OF GLASS BRACELET</x:v>
      </x:c>
      <x:c r="E3954" s="11" t="n">
        <x:v>160.75</x:v>
      </x:c>
      <x:c r="F3954" s="11" t="n">
        <x:v>0</x:v>
      </x:c>
      <x:c r="G3954" s="11" t="n">
        <x:v>160.75</x:v>
      </x:c>
      <x:c r="H3954" s="23" t="n">
        <x:v>0.000007828577988461305</x:v>
      </x:c>
      <x:c r="I3954" s="23" t="n">
        <x:v>0.9972264852053084</x:v>
      </x:c>
      <x:c r="J3954" s="2" t="n">
        <x:v>12</x:v>
      </x:c>
      <x:c r="K3954" s="2"/>
      <x:c r="L3954" s="2"/>
    </x:row>
    <x:row r="3955" ht="22" customHeight="1">
      <x:c r="A3955" s="2"/>
      <x:c r="B3955" s="2" t="n">
        <x:v>3922</x:v>
      </x:c>
      <x:c r="C3955" s="2" t="str">
        <x:v>21353</x:v>
      </x:c>
      <x:c r="D3955" s="2" t="str">
        <x:v>SILVER SLEIGHBELL  WREATH</x:v>
      </x:c>
      <x:c r="E3955" s="11" t="n">
        <x:v>160.45</x:v>
      </x:c>
      <x:c r="F3955" s="11" t="n">
        <x:v>0</x:v>
      </x:c>
      <x:c r="G3955" s="11" t="n">
        <x:v>160.45</x:v>
      </x:c>
      <x:c r="H3955" s="23" t="n">
        <x:v>0.000007813967889571485</x:v>
      </x:c>
      <x:c r="I3955" s="23" t="n">
        <x:v>0.9972342991731981</x:v>
      </x:c>
      <x:c r="J3955" s="2" t="n">
        <x:v>9</x:v>
      </x:c>
      <x:c r="K3955" s="2"/>
      <x:c r="L3955" s="2"/>
    </x:row>
    <x:row r="3956" ht="22" customHeight="1">
      <x:c r="A3956" s="2"/>
      <x:c r="B3956" s="2" t="n">
        <x:v>3923</x:v>
      </x:c>
      <x:c r="C3956" s="2" t="str">
        <x:v>22887</x:v>
      </x:c>
      <x:c r="D3956" s="2" t="str">
        <x:v>NUMBER TILE VINTAGE FONT 8</x:v>
      </x:c>
      <x:c r="E3956" s="11" t="n">
        <x:v>160.35999999999999</x:v>
      </x:c>
      <x:c r="F3956" s="11" t="n">
        <x:v>0</x:v>
      </x:c>
      <x:c r="G3956" s="11" t="n">
        <x:v>160.35999999999999</x:v>
      </x:c>
      <x:c r="H3956" s="23" t="n">
        <x:v>0.00000780958485990454</x:v>
      </x:c>
      <x:c r="I3956" s="23" t="n">
        <x:v>0.997242108758058</x:v>
      </x:c>
      <x:c r="J3956" s="2" t="n">
        <x:v>28</x:v>
      </x:c>
      <x:c r="K3956" s="2"/>
      <x:c r="L3956" s="2"/>
    </x:row>
    <x:row r="3957" ht="22" customHeight="1">
      <x:c r="A3957" s="2"/>
      <x:c r="B3957" s="2" t="n">
        <x:v>3924</x:v>
      </x:c>
      <x:c r="C3957" s="2" t="str">
        <x:v>81952V</x:v>
      </x:c>
      <x:c r="D3957" s="2" t="str">
        <x:v>ROUND PURPLE CLOCK WITH SUCKER</x:v>
      </x:c>
      <x:c r="E3957" s="11" t="n">
        <x:v>160.25</x:v>
      </x:c>
      <x:c r="F3957" s="11" t="n">
        <x:v>0</x:v>
      </x:c>
      <x:c r="G3957" s="11" t="n">
        <x:v>160.25</x:v>
      </x:c>
      <x:c r="H3957" s="23" t="n">
        <x:v>0.00000780422782364494</x:v>
      </x:c>
      <x:c r="I3957" s="23" t="n">
        <x:v>0.9972499129858816</x:v>
      </x:c>
      <x:c r="J3957" s="2" t="n">
        <x:v>46</x:v>
      </x:c>
      <x:c r="K3957" s="2"/>
      <x:c r="L3957" s="2"/>
    </x:row>
    <x:row r="3958" ht="22" customHeight="1">
      <x:c r="A3958" s="2"/>
      <x:c r="B3958" s="2" t="n">
        <x:v>3925</x:v>
      </x:c>
      <x:c r="C3958" s="2" t="str">
        <x:v>84599</x:v>
      </x:c>
      <x:c r="D3958" s="2" t="str">
        <x:v>CANDY STRIPE ROSE FLOOR CUSHION</x:v>
      </x:c>
      <x:c r="E3958" s="11" t="n">
        <x:v>160.15</x:v>
      </x:c>
      <x:c r="F3958" s="11" t="n">
        <x:v>0</x:v>
      </x:c>
      <x:c r="G3958" s="11" t="n">
        <x:v>160.15</x:v>
      </x:c>
      <x:c r="H3958" s="23" t="n">
        <x:v>0.000007799357790681667</x:v>
      </x:c>
      <x:c r="I3958" s="23" t="n">
        <x:v>0.9972577123436723</x:v>
      </x:c>
      <x:c r="J3958" s="2" t="n">
        <x:v>6</x:v>
      </x:c>
      <x:c r="K3958" s="2"/>
      <x:c r="L3958" s="2"/>
    </x:row>
    <x:row r="3959" ht="22" customHeight="1">
      <x:c r="A3959" s="2"/>
      <x:c r="B3959" s="2" t="n">
        <x:v>3926</x:v>
      </x:c>
      <x:c r="C3959" s="2" t="str">
        <x:v>23305</x:v>
      </x:c>
      <x:c r="D3959" s="2" t="str">
        <x:v>SET 4 PICNIC CUTLERY BLUEBERRY</x:v>
      </x:c>
      <x:c r="E3959" s="11" t="n">
        <x:v>159.9</x:v>
      </x:c>
      <x:c r="F3959" s="11" t="n">
        <x:v>0</x:v>
      </x:c>
      <x:c r="G3959" s="11" t="n">
        <x:v>159.9</x:v>
      </x:c>
      <x:c r="H3959" s="23" t="n">
        <x:v>0.000007787182708273485</x:v>
      </x:c>
      <x:c r="I3959" s="23" t="n">
        <x:v>0.9972654995263805</x:v>
      </x:c>
      <x:c r="J3959" s="2" t="n">
        <x:v>9</x:v>
      </x:c>
      <x:c r="K3959" s="2"/>
      <x:c r="L3959" s="2"/>
    </x:row>
    <x:row r="3960" ht="22" customHeight="1">
      <x:c r="A3960" s="2"/>
      <x:c r="B3960" s="2" t="n">
        <x:v>3927</x:v>
      </x:c>
      <x:c r="C3960" s="2" t="str">
        <x:v>90214K</x:v>
      </x:c>
      <x:c r="D3960" s="2" t="str">
        <x:v>LETTER "K" BLING KEY RING</x:v>
      </x:c>
      <x:c r="E3960" s="11" t="n">
        <x:v>159.65</x:v>
      </x:c>
      <x:c r="F3960" s="11" t="n">
        <x:v>1.25</x:v>
      </x:c>
      <x:c r="G3960" s="11" t="n">
        <x:v>158.4</x:v>
      </x:c>
      <x:c r="H3960" s="23" t="n">
        <x:v>0.000007775007625865303</x:v>
      </x:c>
      <x:c r="I3960" s="23" t="n">
        <x:v>0.9972732745340064</x:v>
      </x:c>
      <x:c r="J3960" s="2" t="n">
        <x:v>83</x:v>
      </x:c>
      <x:c r="K3960" s="2"/>
      <x:c r="L3960" s="2"/>
    </x:row>
    <x:row r="3961" ht="22" customHeight="1">
      <x:c r="A3961" s="2"/>
      <x:c r="B3961" s="2" t="n">
        <x:v>3928</x:v>
      </x:c>
      <x:c r="C3961" s="2" t="str">
        <x:v>37379A</x:v>
      </x:c>
      <x:c r="D3961" s="2" t="str">
        <x:v>PINK CHERRY BLOSSOM CUP &amp; SAUCER</x:v>
      </x:c>
      <x:c r="E3961" s="11" t="n">
        <x:v>159.2</x:v>
      </x:c>
      <x:c r="F3961" s="11" t="n">
        <x:v>1.25</x:v>
      </x:c>
      <x:c r="G3961" s="11" t="n">
        <x:v>157.95</x:v>
      </x:c>
      <x:c r="H3961" s="23" t="n">
        <x:v>0.000007753092477530574</x:v>
      </x:c>
      <x:c r="I3961" s="23" t="n">
        <x:v>0.997281027626484</x:v>
      </x:c>
      <x:c r="J3961" s="2" t="n">
        <x:v>16</x:v>
      </x:c>
      <x:c r="K3961" s="2"/>
      <x:c r="L3961" s="2"/>
    </x:row>
    <x:row r="3962" ht="22" customHeight="1">
      <x:c r="A3962" s="2"/>
      <x:c r="B3962" s="2" t="n">
        <x:v>3929</x:v>
      </x:c>
      <x:c r="C3962" s="2" t="str">
        <x:v>16054</x:v>
      </x:c>
      <x:c r="D3962" s="2" t="str">
        <x:v>POPART RECT PENCIL SHARPENER ASST</x:v>
      </x:c>
      <x:c r="E3962" s="11" t="n">
        <x:v>159</x:v>
      </x:c>
      <x:c r="F3962" s="11" t="n">
        <x:v>12.959999999999999</x:v>
      </x:c>
      <x:c r="G3962" s="11" t="n">
        <x:v>146.04000000000002</x:v>
      </x:c>
      <x:c r="H3962" s="23" t="n">
        <x:v>0.000007743352411604027</x:v>
      </x:c>
      <x:c r="I3962" s="23" t="n">
        <x:v>0.9972887709788956</x:v>
      </x:c>
      <x:c r="J3962" s="2" t="n">
        <x:v>39</x:v>
      </x:c>
      <x:c r="K3962" s="2"/>
      <x:c r="L3962" s="2"/>
    </x:row>
    <x:row r="3963" ht="22" customHeight="1">
      <x:c r="A3963" s="2"/>
      <x:c r="B3963" s="2" t="n">
        <x:v>3930</x:v>
      </x:c>
      <x:c r="C3963" s="2" t="str">
        <x:v>85166A</x:v>
      </x:c>
      <x:c r="D3963" s="2" t="str">
        <x:v>WHITE METAL BAROQUE PHOTO FRAME</x:v>
      </x:c>
      <x:c r="E3963" s="11" t="n">
        <x:v>158.9</x:v>
      </x:c>
      <x:c r="F3963" s="11" t="n">
        <x:v>3.75</x:v>
      </x:c>
      <x:c r="G3963" s="11" t="n">
        <x:v>155.15</x:v>
      </x:c>
      <x:c r="H3963" s="23" t="n">
        <x:v>0.000007738482378640756</x:v>
      </x:c>
      <x:c r="I3963" s="23" t="n">
        <x:v>0.9972965094612742</x:v>
      </x:c>
      <x:c r="J3963" s="2" t="n">
        <x:v>12</x:v>
      </x:c>
      <x:c r="K3963" s="2"/>
      <x:c r="L3963" s="2"/>
    </x:row>
    <x:row r="3964" ht="22" customHeight="1">
      <x:c r="A3964" s="2"/>
      <x:c r="B3964" s="2" t="n">
        <x:v>3931</x:v>
      </x:c>
      <x:c r="C3964" s="2" t="str">
        <x:v>90048</x:v>
      </x:c>
      <x:c r="D3964" s="2" t="str">
        <x:v>GREEN WITH METAL BAG CHARM</x:v>
      </x:c>
      <x:c r="E3964" s="11" t="n">
        <x:v>158.89000000000001</x:v>
      </x:c>
      <x:c r="F3964" s="11" t="n">
        <x:v>49.5</x:v>
      </x:c>
      <x:c r="G3964" s="11" t="n">
        <x:v>109.39</x:v>
      </x:c>
      <x:c r="H3964" s="23" t="n">
        <x:v>0.000007737995375344428</x:v>
      </x:c>
      <x:c r="I3964" s="23" t="n">
        <x:v>0.9973042474566496</x:v>
      </x:c>
      <x:c r="J3964" s="2" t="n">
        <x:v>8</x:v>
      </x:c>
      <x:c r="K3964" s="2"/>
      <x:c r="L3964" s="2"/>
    </x:row>
    <x:row r="3965" ht="22" customHeight="1">
      <x:c r="A3965" s="2"/>
      <x:c r="B3965" s="2" t="n">
        <x:v>3932</x:v>
      </x:c>
      <x:c r="C3965" s="2" t="str">
        <x:v>22864</x:v>
      </x:c>
      <x:c r="D3965" s="2" t="str">
        <x:v>MUG AND COASTER SET RED CIRCLES</x:v>
      </x:c>
      <x:c r="E3965" s="11" t="n">
        <x:v>158.76</x:v>
      </x:c>
      <x:c r="F3965" s="11" t="n">
        <x:v>0</x:v>
      </x:c>
      <x:c r="G3965" s="11" t="n">
        <x:v>158.76</x:v>
      </x:c>
      <x:c r="H3965" s="23" t="n">
        <x:v>0.000007731664332492173</x:v>
      </x:c>
      <x:c r="I3965" s="23" t="n">
        <x:v>0.9973119791209821</x:v>
      </x:c>
      <x:c r="J3965" s="2" t="n">
        <x:v>2</x:v>
      </x:c>
      <x:c r="K3965" s="2"/>
      <x:c r="L3965" s="2"/>
    </x:row>
    <x:row r="3966" ht="22" customHeight="1">
      <x:c r="A3966" s="2"/>
      <x:c r="B3966" s="2" t="n">
        <x:v>3933</x:v>
      </x:c>
      <x:c r="C3966" s="2" t="str">
        <x:v>48175</x:v>
      </x:c>
      <x:c r="D3966" s="2" t="str">
        <x:v>DOOR MAT CAMOUFLAGE</x:v>
      </x:c>
      <x:c r="E3966" s="11" t="n">
        <x:v>158.04</x:v>
      </x:c>
      <x:c r="F3966" s="11" t="n">
        <x:v>0</x:v>
      </x:c>
      <x:c r="G3966" s="11" t="n">
        <x:v>158.04</x:v>
      </x:c>
      <x:c r="H3966" s="23" t="n">
        <x:v>0.000007696600095156606</x:v>
      </x:c>
      <x:c r="I3966" s="23" t="n">
        <x:v>0.9973196757210773</x:v>
      </x:c>
      <x:c r="J3966" s="2" t="n">
        <x:v>2</x:v>
      </x:c>
      <x:c r="K3966" s="2"/>
      <x:c r="L3966" s="2"/>
    </x:row>
    <x:row r="3967" ht="22" customHeight="1">
      <x:c r="A3967" s="2"/>
      <x:c r="B3967" s="2" t="n">
        <x:v>3934</x:v>
      </x:c>
      <x:c r="C3967" s="2" t="str">
        <x:v>84927A</x:v>
      </x:c>
      <x:c r="D3967" s="2" t="str">
        <x:v>WAKE UP COCKEREL TILE HOOK</x:v>
      </x:c>
      <x:c r="E3967" s="11" t="n">
        <x:v>157.61</x:v>
      </x:c>
      <x:c r="F3967" s="11" t="n">
        <x:v>10.35</x:v>
      </x:c>
      <x:c r="G3967" s="11" t="n">
        <x:v>147.26000000000002</x:v>
      </x:c>
      <x:c r="H3967" s="23" t="n">
        <x:v>0.000007675658953414534</x:v>
      </x:c>
      <x:c r="I3967" s="23" t="n">
        <x:v>0.9973273513800307</x:v>
      </x:c>
      <x:c r="J3967" s="2" t="n">
        <x:v>33</x:v>
      </x:c>
      <x:c r="K3967" s="2"/>
      <x:c r="L3967" s="2"/>
    </x:row>
    <x:row r="3968" ht="22" customHeight="1">
      <x:c r="A3968" s="2"/>
      <x:c r="B3968" s="2" t="n">
        <x:v>3935</x:v>
      </x:c>
      <x:c r="C3968" s="2" t="str">
        <x:v>21489</x:v>
      </x:c>
      <x:c r="D3968" s="2" t="str">
        <x:v>BLUE WHITE SCARF HOT WATER BOTTLE</x:v>
      </x:c>
      <x:c r="E3968" s="11" t="n">
        <x:v>157.60000000000002</x:v>
      </x:c>
      <x:c r="F3968" s="11" t="n">
        <x:v>0</x:v>
      </x:c>
      <x:c r="G3968" s="11" t="n">
        <x:v>157.60000000000002</x:v>
      </x:c>
      <x:c r="H3968" s="23" t="n">
        <x:v>0.000007675171950118207</x:v>
      </x:c>
      <x:c r="I3968" s="23" t="n">
        <x:v>0.9973350265519808</x:v>
      </x:c>
      <x:c r="J3968" s="2" t="n">
        <x:v>14</x:v>
      </x:c>
      <x:c r="K3968" s="2"/>
      <x:c r="L3968" s="2"/>
    </x:row>
    <x:row r="3969" ht="22" customHeight="1">
      <x:c r="A3969" s="2"/>
      <x:c r="B3969" s="2" t="n">
        <x:v>3936</x:v>
      </x:c>
      <x:c r="C3969" s="2" t="str">
        <x:v>72140E</x:v>
      </x:c>
      <x:c r="D3969" s="2" t="str">
        <x:v>BEST DAD CANDLE LETTERS</x:v>
      </x:c>
      <x:c r="E3969" s="11" t="n">
        <x:v>157.57</x:v>
      </x:c>
      <x:c r="F3969" s="11" t="n">
        <x:v>0.85</x:v>
      </x:c>
      <x:c r="G3969" s="11" t="n">
        <x:v>156.72</x:v>
      </x:c>
      <x:c r="H3969" s="23" t="n">
        <x:v>0.000007673710940229224</x:v>
      </x:c>
      <x:c r="I3969" s="23" t="n">
        <x:v>0.997342700262921</x:v>
      </x:c>
      <x:c r="J3969" s="2" t="n">
        <x:v>29</x:v>
      </x:c>
      <x:c r="K3969" s="2"/>
      <x:c r="L3969" s="2"/>
    </x:row>
    <x:row r="3970" ht="22" customHeight="1">
      <x:c r="A3970" s="2"/>
      <x:c r="B3970" s="2" t="n">
        <x:v>3937</x:v>
      </x:c>
      <x:c r="C3970" s="2" t="str">
        <x:v>23417</x:v>
      </x:c>
      <x:c r="D3970" s="2" t="str">
        <x:v>BATHROOM HOOK</x:v>
      </x:c>
      <x:c r="E3970" s="11" t="n">
        <x:v>157.5</x:v>
      </x:c>
      <x:c r="F3970" s="11" t="n">
        <x:v>0</x:v>
      </x:c>
      <x:c r="G3970" s="11" t="n">
        <x:v>157.5</x:v>
      </x:c>
      <x:c r="H3970" s="23" t="n">
        <x:v>0.000007670301917154933</x:v>
      </x:c>
      <x:c r="I3970" s="23" t="n">
        <x:v>0.9973503705648382</x:v>
      </x:c>
      <x:c r="J3970" s="2" t="n">
        <x:v>27</x:v>
      </x:c>
      <x:c r="K3970" s="2"/>
      <x:c r="L3970" s="2"/>
    </x:row>
    <x:row r="3971" ht="22" customHeight="1">
      <x:c r="A3971" s="2"/>
      <x:c r="B3971" s="2" t="n">
        <x:v>3938</x:v>
      </x:c>
      <x:c r="C3971" s="2" t="str">
        <x:v>90059A</x:v>
      </x:c>
      <x:c r="D3971" s="2" t="str">
        <x:v>DIAMANTE HAIR GRIP PACK/2 CRYSTAL</x:v>
      </x:c>
      <x:c r="E3971" s="11" t="n">
        <x:v>156.98</x:v>
      </x:c>
      <x:c r="F3971" s="11" t="n">
        <x:v>9.899999999999999</x:v>
      </x:c>
      <x:c r="G3971" s="11" t="n">
        <x:v>147.07999999999998</x:v>
      </x:c>
      <x:c r="H3971" s="23" t="n">
        <x:v>0.000007644977745745914</x:v>
      </x:c>
      <x:c r="I3971" s="23" t="n">
        <x:v>0.997358015542584</x:v>
      </x:c>
      <x:c r="J3971" s="2" t="n">
        <x:v>48</x:v>
      </x:c>
      <x:c r="K3971" s="2"/>
      <x:c r="L3971" s="2"/>
    </x:row>
    <x:row r="3972" ht="22" customHeight="1">
      <x:c r="A3972" s="2"/>
      <x:c r="B3972" s="2" t="n">
        <x:v>3939</x:v>
      </x:c>
      <x:c r="C3972" s="2" t="str">
        <x:v>23468</x:v>
      </x:c>
      <x:c r="D3972" s="2" t="str">
        <x:v>TUSCAN VILLA BIRD TABLE </x:v>
      </x:c>
      <x:c r="E3972" s="11" t="n">
        <x:v>156.75</x:v>
      </x:c>
      <x:c r="F3972" s="11" t="n">
        <x:v>0</x:v>
      </x:c>
      <x:c r="G3972" s="11" t="n">
        <x:v>156.75</x:v>
      </x:c>
      <x:c r="H3972" s="23" t="n">
        <x:v>0.000007633776669930387</x:v>
      </x:c>
      <x:c r="I3972" s="23" t="n">
        <x:v>0.9973656493192539</x:v>
      </x:c>
      <x:c r="J3972" s="2" t="n">
        <x:v>11</x:v>
      </x:c>
      <x:c r="K3972" s="2"/>
      <x:c r="L3972" s="2"/>
    </x:row>
    <x:row r="3973" ht="22" customHeight="1">
      <x:c r="A3973" s="2"/>
      <x:c r="B3973" s="2" t="n">
        <x:v>3940</x:v>
      </x:c>
      <x:c r="C3973" s="2" t="str">
        <x:v>17178</x:v>
      </x:c>
      <x:c r="D3973" s="2" t="str">
        <x:v>FLAT PALM T-LIGHT HOLDER</x:v>
      </x:c>
      <x:c r="E3973" s="11" t="n">
        <x:v>156.65</x:v>
      </x:c>
      <x:c r="F3973" s="11" t="n">
        <x:v>0</x:v>
      </x:c>
      <x:c r="G3973" s="11" t="n">
        <x:v>156.65</x:v>
      </x:c>
      <x:c r="H3973" s="23" t="n">
        <x:v>0.000007628906636967113</x:v>
      </x:c>
      <x:c r="I3973" s="23" t="n">
        <x:v>0.9973732782258908</x:v>
      </x:c>
      <x:c r="J3973" s="2" t="n">
        <x:v>24</x:v>
      </x:c>
      <x:c r="K3973" s="2"/>
      <x:c r="L3973" s="2"/>
    </x:row>
    <x:row r="3974" ht="22" customHeight="1">
      <x:c r="A3974" s="2"/>
      <x:c r="B3974" s="2" t="n">
        <x:v>3941</x:v>
      </x:c>
      <x:c r="C3974" s="2" t="str">
        <x:v>46138B</x:v>
      </x:c>
      <x:c r="D3974" s="2" t="str">
        <x:v>BLUE CHENILLE SHAGGY CUSHION COVER </x:v>
      </x:c>
      <x:c r="E3974" s="11" t="n">
        <x:v>156.29</x:v>
      </x:c>
      <x:c r="F3974" s="11" t="n">
        <x:v>11.05</x:v>
      </x:c>
      <x:c r="G3974" s="11" t="n">
        <x:v>145.24</x:v>
      </x:c>
      <x:c r="H3974" s="23" t="n">
        <x:v>0.00000761137451829933</x:v>
      </x:c>
      <x:c r="I3974" s="23" t="n">
        <x:v>0.9973808896004092</x:v>
      </x:c>
      <x:c r="J3974" s="2" t="n">
        <x:v>25</x:v>
      </x:c>
      <x:c r="K3974" s="2"/>
      <x:c r="L3974" s="2"/>
    </x:row>
    <x:row r="3975" ht="22" customHeight="1">
      <x:c r="A3975" s="2"/>
      <x:c r="B3975" s="2" t="n">
        <x:v>3942</x:v>
      </x:c>
      <x:c r="C3975" s="2" t="str">
        <x:v>84228</x:v>
      </x:c>
      <x:c r="D3975" s="2" t="str">
        <x:v>HEN HOUSE WITH CHICK STANDING</x:v>
      </x:c>
      <x:c r="E3975" s="11" t="n">
        <x:v>156.07</x:v>
      </x:c>
      <x:c r="F3975" s="11" t="n">
        <x:v>0.42</x:v>
      </x:c>
      <x:c r="G3975" s="11" t="n">
        <x:v>155.65</x:v>
      </x:c>
      <x:c r="H3975" s="23" t="n">
        <x:v>0.0000076006604457801295</x:v>
      </x:c>
      <x:c r="I3975" s="23" t="n">
        <x:v>0.997388490260855</x:v>
      </x:c>
      <x:c r="J3975" s="2" t="n">
        <x:v>46</x:v>
      </x:c>
      <x:c r="K3975" s="2"/>
      <x:c r="L3975" s="2"/>
    </x:row>
    <x:row r="3976" ht="22" customHeight="1">
      <x:c r="A3976" s="2"/>
      <x:c r="B3976" s="2" t="n">
        <x:v>3943</x:v>
      </x:c>
      <x:c r="C3976" s="2" t="str">
        <x:v>84914A</x:v>
      </x:c>
      <x:c r="D3976" s="2" t="str">
        <x:v>PINK ROSE PICNIC RUG</x:v>
      </x:c>
      <x:c r="E3976" s="11" t="n">
        <x:v>155.7</x:v>
      </x:c>
      <x:c r="F3976" s="11" t="n">
        <x:v>0</x:v>
      </x:c>
      <x:c r="G3976" s="11" t="n">
        <x:v>155.7</x:v>
      </x:c>
      <x:c r="H3976" s="23" t="n">
        <x:v>0.000007582641323816019</x:v>
      </x:c>
      <x:c r="I3976" s="23" t="n">
        <x:v>0.9973960729021788</x:v>
      </x:c>
      <x:c r="J3976" s="2" t="n">
        <x:v>5</x:v>
      </x:c>
      <x:c r="K3976" s="2"/>
      <x:c r="L3976" s="2"/>
    </x:row>
    <x:row r="3977" ht="22" customHeight="1">
      <x:c r="A3977" s="2"/>
      <x:c r="B3977" s="2" t="n">
        <x:v>3944</x:v>
      </x:c>
      <x:c r="C3977" s="2" t="str">
        <x:v>90183A</x:v>
      </x:c>
      <x:c r="D3977" s="2" t="str">
        <x:v>AMBER DROP EARRINGS W LONG BEADS</x:v>
      </x:c>
      <x:c r="E3977" s="11" t="n">
        <x:v>155.65</x:v>
      </x:c>
      <x:c r="F3977" s="11" t="n">
        <x:v>17.700000000000003</x:v>
      </x:c>
      <x:c r="G3977" s="11" t="n">
        <x:v>137.95000000000002</x:v>
      </x:c>
      <x:c r="H3977" s="23" t="n">
        <x:v>0.000007580206307334383</x:v>
      </x:c>
      <x:c r="I3977" s="23" t="n">
        <x:v>0.9974036531084861</x:v>
      </x:c>
      <x:c r="J3977" s="2" t="n">
        <x:v>31</x:v>
      </x:c>
      <x:c r="K3977" s="2"/>
      <x:c r="L3977" s="2"/>
    </x:row>
    <x:row r="3978" ht="22" customHeight="1">
      <x:c r="A3978" s="2"/>
      <x:c r="B3978" s="2" t="n">
        <x:v>3945</x:v>
      </x:c>
      <x:c r="C3978" s="2" t="str">
        <x:v>20664</x:v>
      </x:c>
      <x:c r="D3978" s="2" t="str">
        <x:v>TROPICAL HOLIDAY PURSE </x:v>
      </x:c>
      <x:c r="E3978" s="11" t="n">
        <x:v>155.41</x:v>
      </x:c>
      <x:c r="F3978" s="11" t="n">
        <x:v>0</x:v>
      </x:c>
      <x:c r="G3978" s="11" t="n">
        <x:v>155.41</x:v>
      </x:c>
      <x:c r="H3978" s="23" t="n">
        <x:v>0.000007568518228222528</x:v>
      </x:c>
      <x:c r="I3978" s="23" t="n">
        <x:v>0.9974112216267144</x:v>
      </x:c>
      <x:c r="J3978" s="2" t="n">
        <x:v>31</x:v>
      </x:c>
      <x:c r="K3978" s="2"/>
      <x:c r="L3978" s="2"/>
    </x:row>
    <x:row r="3979" ht="22" customHeight="1">
      <x:c r="A3979" s="2"/>
      <x:c r="B3979" s="2" t="n">
        <x:v>3946</x:v>
      </x:c>
      <x:c r="C3979" s="2" t="str">
        <x:v>72351a</x:v>
      </x:c>
      <x:c r="D3979" s="2" t="str">
        <x:v>SET/6 TURQUOISE BUTTERFLY T-LIGHTS</x:v>
      </x:c>
      <x:c r="E3979" s="11" t="n">
        <x:v>154.89</x:v>
      </x:c>
      <x:c r="F3979" s="11" t="n">
        <x:v>0</x:v>
      </x:c>
      <x:c r="G3979" s="11" t="n">
        <x:v>154.89</x:v>
      </x:c>
      <x:c r="H3979" s="23" t="n">
        <x:v>0.000007543194056813508</x:v>
      </x:c>
      <x:c r="I3979" s="23" t="n">
        <x:v>0.9974187648207712</x:v>
      </x:c>
      <x:c r="J3979" s="2" t="n">
        <x:v>28</x:v>
      </x:c>
      <x:c r="K3979" s="2"/>
      <x:c r="L3979" s="2"/>
    </x:row>
    <x:row r="3980" ht="22" customHeight="1">
      <x:c r="A3980" s="2"/>
      <x:c r="B3980" s="2" t="n">
        <x:v>3947</x:v>
      </x:c>
      <x:c r="C3980" s="2" t="str">
        <x:v>23496</x:v>
      </x:c>
      <x:c r="D3980" s="2" t="str">
        <x:v>PANTRY KITCHEN THERMOMETER </x:v>
      </x:c>
      <x:c r="E3980" s="11" t="n">
        <x:v>154.52</x:v>
      </x:c>
      <x:c r="F3980" s="11" t="n">
        <x:v>0</x:v>
      </x:c>
      <x:c r="G3980" s="11" t="n">
        <x:v>154.52</x:v>
      </x:c>
      <x:c r="H3980" s="23" t="n">
        <x:v>0.000007525174934849399</x:v>
      </x:c>
      <x:c r="I3980" s="23" t="n">
        <x:v>0.997426289995706</x:v>
      </x:c>
      <x:c r="J3980" s="2" t="n">
        <x:v>31</x:v>
      </x:c>
      <x:c r="K3980" s="2"/>
      <x:c r="L3980" s="2"/>
    </x:row>
    <x:row r="3981" ht="22" customHeight="1">
      <x:c r="A3981" s="2"/>
      <x:c r="B3981" s="2" t="n">
        <x:v>3948</x:v>
      </x:c>
      <x:c r="C3981" s="2" t="str">
        <x:v>72801c</x:v>
      </x:c>
      <x:c r="D3981" s="2" t="str">
        <x:v>4 ROSE PINK DINNER CANDLES</x:v>
      </x:c>
      <x:c r="E3981" s="11" t="n">
        <x:v>153.67</x:v>
      </x:c>
      <x:c r="F3981" s="11" t="n">
        <x:v>0</x:v>
      </x:c>
      <x:c r="G3981" s="11" t="n">
        <x:v>153.67</x:v>
      </x:c>
      <x:c r="H3981" s="23" t="n">
        <x:v>0.000007483779654661578</x:v>
      </x:c>
      <x:c r="I3981" s="23" t="n">
        <x:v>0.9974337737753607</x:v>
      </x:c>
      <x:c r="J3981" s="2" t="n">
        <x:v>36</x:v>
      </x:c>
      <x:c r="K3981" s="2"/>
      <x:c r="L3981" s="2"/>
    </x:row>
    <x:row r="3982" ht="22" customHeight="1">
      <x:c r="A3982" s="2"/>
      <x:c r="B3982" s="2" t="n">
        <x:v>3949</x:v>
      </x:c>
      <x:c r="C3982" s="2" t="str">
        <x:v>47518F</x:v>
      </x:c>
      <x:c r="D3982" s="2" t="str">
        <x:v>ICON PLACEMAT POP ART ELVIS</x:v>
      </x:c>
      <x:c r="E3982" s="11" t="n">
        <x:v>153.14</x:v>
      </x:c>
      <x:c r="F3982" s="11" t="n">
        <x:v>0</x:v>
      </x:c>
      <x:c r="G3982" s="11" t="n">
        <x:v>153.14</x:v>
      </x:c>
      <x:c r="H3982" s="23" t="n">
        <x:v>0.000007457968479956231</x:v>
      </x:c>
      <x:c r="I3982" s="23" t="n">
        <x:v>0.9974412317438407</x:v>
      </x:c>
      <x:c r="J3982" s="2" t="n">
        <x:v>34</x:v>
      </x:c>
      <x:c r="K3982" s="2"/>
      <x:c r="L3982" s="2"/>
    </x:row>
    <x:row r="3983" ht="22" customHeight="1">
      <x:c r="A3983" s="2"/>
      <x:c r="B3983" s="2" t="n">
        <x:v>3950</x:v>
      </x:c>
      <x:c r="C3983" s="2" t="str">
        <x:v>79192A</x:v>
      </x:c>
      <x:c r="D3983" s="2" t="str">
        <x:v>RETRO PLASTIC 70'S TRAY</x:v>
      </x:c>
      <x:c r="E3983" s="11" t="n">
        <x:v>152.64</x:v>
      </x:c>
      <x:c r="F3983" s="11" t="n">
        <x:v>10</x:v>
      </x:c>
      <x:c r="G3983" s="11" t="n">
        <x:v>142.64</x:v>
      </x:c>
      <x:c r="H3983" s="23" t="n">
        <x:v>0.000007433618315139866</x:v>
      </x:c>
      <x:c r="I3983" s="23" t="n">
        <x:v>0.9974486653621558</x:v>
      </x:c>
      <x:c r="J3983" s="2" t="n">
        <x:v>35</x:v>
      </x:c>
      <x:c r="K3983" s="2"/>
      <x:c r="L3983" s="2"/>
    </x:row>
    <x:row r="3984" ht="22" customHeight="1">
      <x:c r="A3984" s="2"/>
      <x:c r="B3984" s="2" t="n">
        <x:v>3951</x:v>
      </x:c>
      <x:c r="C3984" s="2" t="str">
        <x:v>84622</x:v>
      </x:c>
      <x:c r="D3984" s="2" t="str">
        <x:v>PINK GINGHAM ROSE CUSHION COVER</x:v>
      </x:c>
      <x:c r="E3984" s="11" t="n">
        <x:v>152.6</x:v>
      </x:c>
      <x:c r="F3984" s="11" t="n">
        <x:v>5.95</x:v>
      </x:c>
      <x:c r="G3984" s="11" t="n">
        <x:v>146.65</x:v>
      </x:c>
      <x:c r="H3984" s="23" t="n">
        <x:v>0.000007431670301954557</x:v>
      </x:c>
      <x:c r="I3984" s="23" t="n">
        <x:v>0.9974560970324577</x:v>
      </x:c>
      <x:c r="J3984" s="2" t="n">
        <x:v>9</x:v>
      </x:c>
      <x:c r="K3984" s="2"/>
      <x:c r="L3984" s="2"/>
    </x:row>
    <x:row r="3985" ht="22" customHeight="1">
      <x:c r="A3985" s="2"/>
      <x:c r="B3985" s="2" t="n">
        <x:v>3952</x:v>
      </x:c>
      <x:c r="C3985" s="2" t="str">
        <x:v>90030C</x:v>
      </x:c>
      <x:c r="D3985" s="2" t="str">
        <x:v>BROWN KUKUI COCONUT SEED NECKLACE</x:v>
      </x:c>
      <x:c r="E3985" s="11" t="n">
        <x:v>151.3</x:v>
      </x:c>
      <x:c r="F3985" s="11" t="n">
        <x:v>0</x:v>
      </x:c>
      <x:c r="G3985" s="11" t="n">
        <x:v>151.3</x:v>
      </x:c>
      <x:c r="H3985" s="23" t="n">
        <x:v>0.00000736835987343201</x:v>
      </x:c>
      <x:c r="I3985" s="23" t="n">
        <x:v>0.9974634653923312</x:v>
      </x:c>
      <x:c r="J3985" s="2" t="n">
        <x:v>16</x:v>
      </x:c>
      <x:c r="K3985" s="2"/>
      <x:c r="L3985" s="2"/>
    </x:row>
    <x:row r="3986" ht="22" customHeight="1">
      <x:c r="A3986" s="2"/>
      <x:c r="B3986" s="2" t="n">
        <x:v>3953</x:v>
      </x:c>
      <x:c r="C3986" s="2" t="str">
        <x:v>20952</x:v>
      </x:c>
      <x:c r="D3986" s="2" t="str">
        <x:v>PORCELAIN CHERUB BELL SMALL</x:v>
      </x:c>
      <x:c r="E3986" s="11" t="n">
        <x:v>151.14</x:v>
      </x:c>
      <x:c r="F3986" s="11" t="n">
        <x:v>119.16</x:v>
      </x:c>
      <x:c r="G3986" s="11" t="n">
        <x:v>31.97999999999999</x:v>
      </x:c>
      <x:c r="H3986" s="23" t="n">
        <x:v>0.0000073605678206907715</x:v>
      </x:c>
      <x:c r="I3986" s="23" t="n">
        <x:v>0.9974708259601519</x:v>
      </x:c>
      <x:c r="J3986" s="2" t="n">
        <x:v>24</x:v>
      </x:c>
      <x:c r="K3986" s="2"/>
      <x:c r="L3986" s="2"/>
    </x:row>
    <x:row r="3987" ht="22" customHeight="1">
      <x:c r="A3987" s="2"/>
      <x:c r="B3987" s="2" t="n">
        <x:v>3954</x:v>
      </x:c>
      <x:c r="C3987" s="2" t="str">
        <x:v>84968a</x:v>
      </x:c>
      <x:c r="D3987" s="2" t="str">
        <x:v>SET OF 16 VINTAGE ROSE CUTLERY</x:v>
      </x:c>
      <x:c r="E3987" s="11" t="n">
        <x:v>150.82</x:v>
      </x:c>
      <x:c r="F3987" s="11" t="n">
        <x:v>0</x:v>
      </x:c>
      <x:c r="G3987" s="11" t="n">
        <x:v>150.82</x:v>
      </x:c>
      <x:c r="H3987" s="23" t="n">
        <x:v>0.000007344983715208298</x:v>
      </x:c>
      <x:c r="I3987" s="23" t="n">
        <x:v>0.9974781709438671</x:v>
      </x:c>
      <x:c r="J3987" s="2" t="n">
        <x:v>4</x:v>
      </x:c>
      <x:c r="K3987" s="2"/>
      <x:c r="L3987" s="2"/>
    </x:row>
    <x:row r="3988" ht="22" customHeight="1">
      <x:c r="A3988" s="2"/>
      <x:c r="B3988" s="2" t="n">
        <x:v>3955</x:v>
      </x:c>
      <x:c r="C3988" s="2" t="str">
        <x:v>84989a</x:v>
      </x:c>
      <x:c r="D3988" s="2" t="str">
        <x:v>75 GREEN FAIRY CAKE CASES</x:v>
      </x:c>
      <x:c r="E3988" s="11" t="n">
        <x:v>150.57</x:v>
      </x:c>
      <x:c r="F3988" s="11" t="n">
        <x:v>0</x:v>
      </x:c>
      <x:c r="G3988" s="11" t="n">
        <x:v>150.57</x:v>
      </x:c>
      <x:c r="H3988" s="23" t="n">
        <x:v>0.000007332808632800116</x:v>
      </x:c>
      <x:c r="I3988" s="23" t="n">
        <x:v>0.9974855037525</x:v>
      </x:c>
      <x:c r="J3988" s="2" t="n">
        <x:v>41</x:v>
      </x:c>
      <x:c r="K3988" s="2"/>
      <x:c r="L3988" s="2"/>
    </x:row>
    <x:row r="3989" ht="22" customHeight="1">
      <x:c r="A3989" s="2"/>
      <x:c r="B3989" s="2" t="n">
        <x:v>3956</x:v>
      </x:c>
      <x:c r="C3989" s="2" t="str">
        <x:v>79161A</x:v>
      </x:c>
      <x:c r="D3989" s="2" t="str">
        <x:v>ST GEORGE SET OF 10 PARTY LIGHTS</x:v>
      </x:c>
      <x:c r="E3989" s="11" t="n">
        <x:v>150.45000000000002</x:v>
      </x:c>
      <x:c r="F3989" s="11" t="n">
        <x:v>0</x:v>
      </x:c>
      <x:c r="G3989" s="11" t="n">
        <x:v>150.45000000000002</x:v>
      </x:c>
      <x:c r="H3989" s="23" t="n">
        <x:v>0.0000073269645932441895</x:v>
      </x:c>
      <x:c r="I3989" s="23" t="n">
        <x:v>0.9974928307170933</x:v>
      </x:c>
      <x:c r="J3989" s="2" t="n">
        <x:v>16</x:v>
      </x:c>
      <x:c r="K3989" s="2"/>
      <x:c r="L3989" s="2"/>
    </x:row>
    <x:row r="3990" ht="22" customHeight="1">
      <x:c r="A3990" s="2"/>
      <x:c r="B3990" s="2" t="n">
        <x:v>3957</x:v>
      </x:c>
      <x:c r="C3990" s="2" t="str">
        <x:v>35980C</x:v>
      </x:c>
      <x:c r="D3990" s="2" t="str">
        <x:v>REDWHITE STRIPE SCANDINAVIAN HEART </x:v>
      </x:c>
      <x:c r="E3990" s="11" t="n">
        <x:v>150.3</x:v>
      </x:c>
      <x:c r="F3990" s="11" t="n">
        <x:v>16.72</x:v>
      </x:c>
      <x:c r="G3990" s="11" t="n">
        <x:v>133.58</x:v>
      </x:c>
      <x:c r="H3990" s="23" t="n">
        <x:v>0.00000731965954379928</x:v>
      </x:c>
      <x:c r="I3990" s="23" t="n">
        <x:v>0.9975001503766371</x:v>
      </x:c>
      <x:c r="J3990" s="2" t="n">
        <x:v>29</x:v>
      </x:c>
      <x:c r="K3990" s="2"/>
      <x:c r="L3990" s="2"/>
    </x:row>
    <x:row r="3991" ht="22" customHeight="1">
      <x:c r="A3991" s="2"/>
      <x:c r="B3991" s="2" t="n">
        <x:v>3958</x:v>
      </x:c>
      <x:c r="C3991" s="2" t="str">
        <x:v>90042C</x:v>
      </x:c>
      <x:c r="D3991" s="2" t="str">
        <x:v>FRESHWATER PEARL BRACELET IVORY</x:v>
      </x:c>
      <x:c r="E3991" s="11" t="n">
        <x:v>150.20999999999998</x:v>
      </x:c>
      <x:c r="F3991" s="11" t="n">
        <x:v>0</x:v>
      </x:c>
      <x:c r="G3991" s="11" t="n">
        <x:v>150.20999999999998</x:v>
      </x:c>
      <x:c r="H3991" s="23" t="n">
        <x:v>0.000007315276514132332</x:v>
      </x:c>
      <x:c r="I3991" s="23" t="n">
        <x:v>0.9975074656531512</x:v>
      </x:c>
      <x:c r="J3991" s="2" t="n">
        <x:v>26</x:v>
      </x:c>
      <x:c r="K3991" s="2"/>
      <x:c r="L3991" s="2"/>
    </x:row>
    <x:row r="3992" ht="22" customHeight="1">
      <x:c r="A3992" s="2"/>
      <x:c r="B3992" s="2" t="n">
        <x:v>3959</x:v>
      </x:c>
      <x:c r="C3992" s="2" t="str">
        <x:v>84527</x:v>
      </x:c>
      <x:c r="D3992" s="2" t="str">
        <x:v>FLAMES SUNGLASSES PINK LENSES</x:v>
      </x:c>
      <x:c r="E3992" s="11" t="n">
        <x:v>150.01</x:v>
      </x:c>
      <x:c r="F3992" s="11" t="n">
        <x:v>0</x:v>
      </x:c>
      <x:c r="G3992" s="11" t="n">
        <x:v>150.01</x:v>
      </x:c>
      <x:c r="H3992" s="23" t="n">
        <x:v>0.000007305536448205787</x:v>
      </x:c>
      <x:c r="I3992" s="23" t="n">
        <x:v>0.9975147711895994</x:v>
      </x:c>
      <x:c r="J3992" s="2" t="n">
        <x:v>22</x:v>
      </x:c>
      <x:c r="K3992" s="2"/>
      <x:c r="L3992" s="2"/>
    </x:row>
    <x:row r="3993" ht="22" customHeight="1">
      <x:c r="A3993" s="2"/>
      <x:c r="B3993" s="2" t="n">
        <x:v>3960</x:v>
      </x:c>
      <x:c r="C3993" s="2" t="str">
        <x:v>17108D</x:v>
      </x:c>
      <x:c r="D3993" s="2" t="str">
        <x:v>missing?</x:v>
      </x:c>
      <x:c r="E3993" s="11" t="n">
        <x:v>149.1</x:v>
      </x:c>
      <x:c r="F3993" s="11" t="n">
        <x:v>0</x:v>
      </x:c>
      <x:c r="G3993" s="11" t="n">
        <x:v>149.1</x:v>
      </x:c>
      <x:c r="H3993" s="23" t="n">
        <x:v>0.000007261219148240003</x:v>
      </x:c>
      <x:c r="I3993" s="23" t="n">
        <x:v>0.9975220324087477</x:v>
      </x:c>
      <x:c r="J3993" s="2" t="n">
        <x:v>23</x:v>
      </x:c>
      <x:c r="K3993" s="2"/>
      <x:c r="L3993" s="2"/>
    </x:row>
    <x:row r="3994" ht="22" customHeight="1">
      <x:c r="A3994" s="2"/>
      <x:c r="B3994" s="2" t="n">
        <x:v>3961</x:v>
      </x:c>
      <x:c r="C3994" s="2" t="str">
        <x:v>90040D</x:v>
      </x:c>
      <x:c r="D3994" s="2" t="str">
        <x:v>MURANO STYLE GLASS BRACELET PINK</x:v>
      </x:c>
      <x:c r="E3994" s="11" t="n">
        <x:v>148.87</x:v>
      </x:c>
      <x:c r="F3994" s="11" t="n">
        <x:v>0</x:v>
      </x:c>
      <x:c r="G3994" s="11" t="n">
        <x:v>148.87</x:v>
      </x:c>
      <x:c r="H3994" s="23" t="n">
        <x:v>0.000007250018072424476</x:v>
      </x:c>
      <x:c r="I3994" s="23" t="n">
        <x:v>0.9975292824268202</x:v>
      </x:c>
      <x:c r="J3994" s="2" t="n">
        <x:v>25</x:v>
      </x:c>
      <x:c r="K3994" s="2"/>
      <x:c r="L3994" s="2"/>
    </x:row>
    <x:row r="3995" ht="22" customHeight="1">
      <x:c r="A3995" s="2"/>
      <x:c r="B3995" s="2" t="n">
        <x:v>3962</x:v>
      </x:c>
      <x:c r="C3995" s="2" t="str">
        <x:v>84709A</x:v>
      </x:c>
      <x:c r="D3995" s="2" t="str">
        <x:v>Damaged</x:v>
      </x:c>
      <x:c r="E3995" s="11" t="n">
        <x:v>148.75</x:v>
      </x:c>
      <x:c r="F3995" s="11" t="n">
        <x:v>0</x:v>
      </x:c>
      <x:c r="G3995" s="11" t="n">
        <x:v>148.75</x:v>
      </x:c>
      <x:c r="H3995" s="23" t="n">
        <x:v>0.000007244174032868548</x:v>
      </x:c>
      <x:c r="I3995" s="23" t="n">
        <x:v>0.997536526600853</x:v>
      </x:c>
      <x:c r="J3995" s="2" t="n">
        <x:v>13</x:v>
      </x:c>
      <x:c r="K3995" s="2"/>
      <x:c r="L3995" s="2"/>
    </x:row>
    <x:row r="3996" ht="22" customHeight="1">
      <x:c r="A3996" s="2"/>
      <x:c r="B3996" s="2" t="n">
        <x:v>3963</x:v>
      </x:c>
      <x:c r="C3996" s="2" t="str">
        <x:v>71496A</x:v>
      </x:c>
      <x:c r="D3996" s="2" t="str">
        <x:v>A4 WALL TIDY BLUE OFFICE</x:v>
      </x:c>
      <x:c r="E3996" s="11" t="n">
        <x:v>148.01000000000002</x:v>
      </x:c>
      <x:c r="F3996" s="11" t="n">
        <x:v>0</x:v>
      </x:c>
      <x:c r="G3996" s="11" t="n">
        <x:v>148.01000000000002</x:v>
      </x:c>
      <x:c r="H3996" s="23" t="n">
        <x:v>0.000007208135788940329</x:v>
      </x:c>
      <x:c r="I3996" s="23" t="n">
        <x:v>0.9975437347366419</x:v>
      </x:c>
      <x:c r="J3996" s="2" t="n">
        <x:v>17</x:v>
      </x:c>
      <x:c r="K3996" s="2"/>
      <x:c r="L3996" s="2"/>
    </x:row>
    <x:row r="3997" ht="22" customHeight="1">
      <x:c r="A3997" s="2"/>
      <x:c r="B3997" s="2" t="n">
        <x:v>3964</x:v>
      </x:c>
      <x:c r="C3997" s="2" t="str">
        <x:v>90022</x:v>
      </x:c>
      <x:c r="D3997" s="2" t="str">
        <x:v>EDWARDIAN DROP EARRINGS JET BLACK</x:v>
      </x:c>
      <x:c r="E3997" s="11" t="n">
        <x:v>147.17</x:v>
      </x:c>
      <x:c r="F3997" s="11" t="n">
        <x:v>22.5</x:v>
      </x:c>
      <x:c r="G3997" s="11" t="n">
        <x:v>124.67</x:v>
      </x:c>
      <x:c r="H3997" s="23" t="n">
        <x:v>0.0000071672275120488344</x:v>
      </x:c>
      <x:c r="I3997" s="23" t="n">
        <x:v>0.997550901964154</x:v>
      </x:c>
      <x:c r="J3997" s="2" t="n">
        <x:v>32</x:v>
      </x:c>
      <x:c r="K3997" s="2"/>
      <x:c r="L3997" s="2"/>
    </x:row>
    <x:row r="3998" ht="22" customHeight="1">
      <x:c r="A3998" s="2"/>
      <x:c r="B3998" s="2" t="n">
        <x:v>3965</x:v>
      </x:c>
      <x:c r="C3998" s="2" t="str">
        <x:v>84720</x:v>
      </x:c>
      <x:c r="D3998" s="2" t="str">
        <x:v>DOT MATRIX CANVAS ART PICTURE</x:v>
      </x:c>
      <x:c r="E3998" s="11" t="n">
        <x:v>147.05</x:v>
      </x:c>
      <x:c r="F3998" s="11" t="n">
        <x:v>0</x:v>
      </x:c>
      <x:c r="G3998" s="11" t="n">
        <x:v>147.05</x:v>
      </x:c>
      <x:c r="H3998" s="23" t="n">
        <x:v>0.000007161383472492908</x:v>
      </x:c>
      <x:c r="I3998" s="23" t="n">
        <x:v>0.9975580633476264</x:v>
      </x:c>
      <x:c r="J3998" s="2" t="n">
        <x:v>3</x:v>
      </x:c>
      <x:c r="K3998" s="2"/>
      <x:c r="L3998" s="2"/>
    </x:row>
    <x:row r="3999" ht="22" customHeight="1">
      <x:c r="A3999" s="2"/>
      <x:c r="B3999" s="2" t="n">
        <x:v>3966</x:v>
      </x:c>
      <x:c r="C3999" s="2" t="str">
        <x:v>90040C</x:v>
      </x:c>
      <x:c r="D3999" s="2" t="str">
        <x:v>MURANO STYLE GLASS BRACELET GOLD</x:v>
      </x:c>
      <x:c r="E3999" s="11" t="n">
        <x:v>146.75</x:v>
      </x:c>
      <x:c r="F3999" s="11" t="n">
        <x:v>10.5</x:v>
      </x:c>
      <x:c r="G3999" s="11" t="n">
        <x:v>136.25</x:v>
      </x:c>
      <x:c r="H3999" s="23" t="n">
        <x:v>0.000007146773373603089</x:v>
      </x:c>
      <x:c r="I3999" s="23" t="n">
        <x:v>0.9975652101210001</x:v>
      </x:c>
      <x:c r="J3999" s="2" t="n">
        <x:v>21</x:v>
      </x:c>
      <x:c r="K3999" s="2"/>
      <x:c r="L3999" s="2"/>
    </x:row>
    <x:row r="4000" ht="22" customHeight="1">
      <x:c r="A4000" s="2"/>
      <x:c r="B4000" s="2" t="n">
        <x:v>3967</x:v>
      </x:c>
      <x:c r="C4000" s="2" t="str">
        <x:v>90002A</x:v>
      </x:c>
      <x:c r="D4000" s="2" t="str">
        <x:v>FLOWER BURST SILVER RING OPAL</x:v>
      </x:c>
      <x:c r="E4000" s="11" t="n">
        <x:v>146.25</x:v>
      </x:c>
      <x:c r="F4000" s="11" t="n">
        <x:v>0</x:v>
      </x:c>
      <x:c r="G4000" s="11" t="n">
        <x:v>146.25</x:v>
      </x:c>
      <x:c r="H4000" s="23" t="n">
        <x:v>0.0000071224232087867235</x:v>
      </x:c>
      <x:c r="I4000" s="23" t="n">
        <x:v>0.9975723325442089</x:v>
      </x:c>
      <x:c r="J4000" s="2" t="n">
        <x:v>14</x:v>
      </x:c>
      <x:c r="K4000" s="2"/>
      <x:c r="L4000" s="2"/>
    </x:row>
    <x:row r="4001" ht="22" customHeight="1">
      <x:c r="A4001" s="2"/>
      <x:c r="B4001" s="2" t="n">
        <x:v>3968</x:v>
      </x:c>
      <x:c r="C4001" s="2" t="str">
        <x:v>35610B</x:v>
      </x:c>
      <x:c r="D4001" s="2" t="str">
        <x:v>thrown away</x:v>
      </x:c>
      <x:c r="E4001" s="11" t="n">
        <x:v>144.07</x:v>
      </x:c>
      <x:c r="F4001" s="11" t="n">
        <x:v>0</x:v>
      </x:c>
      <x:c r="G4001" s="11" t="n">
        <x:v>144.07</x:v>
      </x:c>
      <x:c r="H4001" s="23" t="n">
        <x:v>0.0000070162564901873726</x:v>
      </x:c>
      <x:c r="I4001" s="23" t="n">
        <x:v>0.997579348800699</x:v>
      </x:c>
      <x:c r="J4001" s="2" t="n">
        <x:v>13</x:v>
      </x:c>
      <x:c r="K4001" s="2"/>
      <x:c r="L4001" s="2"/>
    </x:row>
    <x:row r="4002" ht="22" customHeight="1">
      <x:c r="A4002" s="2"/>
      <x:c r="B4002" s="2" t="n">
        <x:v>3969</x:v>
      </x:c>
      <x:c r="C4002" s="2" t="str">
        <x:v>90016C</x:v>
      </x:c>
      <x:c r="D4002" s="2" t="str">
        <x:v>SILVER/BLACK PENDANT ORBIT NECKLACE</x:v>
      </x:c>
      <x:c r="E4002" s="11" t="n">
        <x:v>144.07</x:v>
      </x:c>
      <x:c r="F4002" s="11" t="n">
        <x:v>0</x:v>
      </x:c>
      <x:c r="G4002" s="11" t="n">
        <x:v>144.07</x:v>
      </x:c>
      <x:c r="H4002" s="23" t="n">
        <x:v>0.0000070162564901873726</x:v>
      </x:c>
      <x:c r="I4002" s="23" t="n">
        <x:v>0.9975863650571891</x:v>
      </x:c>
      <x:c r="J4002" s="2" t="n">
        <x:v>14</x:v>
      </x:c>
      <x:c r="K4002" s="2"/>
      <x:c r="L4002" s="2"/>
    </x:row>
    <x:row r="4003" ht="22" customHeight="1">
      <x:c r="A4003" s="2"/>
      <x:c r="B4003" s="2" t="n">
        <x:v>3970</x:v>
      </x:c>
      <x:c r="C4003" s="2" t="str">
        <x:v>79191D</x:v>
      </x:c>
      <x:c r="D4003" s="2" t="str">
        <x:v>RETRO PLASTIC DAISY TRAY</x:v>
      </x:c>
      <x:c r="E4003" s="11" t="n">
        <x:v>143.87</x:v>
      </x:c>
      <x:c r="F4003" s="11" t="n">
        <x:v>11.86</x:v>
      </x:c>
      <x:c r="G4003" s="11" t="n">
        <x:v>132.01</x:v>
      </x:c>
      <x:c r="H4003" s="23" t="n">
        <x:v>0.000007006516424260827</x:v>
      </x:c>
      <x:c r="I4003" s="23" t="n">
        <x:v>0.9975933715736134</x:v>
      </x:c>
      <x:c r="J4003" s="2" t="n">
        <x:v>56</x:v>
      </x:c>
      <x:c r="K4003" s="2"/>
      <x:c r="L4003" s="2"/>
    </x:row>
    <x:row r="4004" ht="22" customHeight="1">
      <x:c r="A4004" s="2"/>
      <x:c r="B4004" s="2" t="n">
        <x:v>3971</x:v>
      </x:c>
      <x:c r="C4004" s="2" t="str">
        <x:v>90036B</x:v>
      </x:c>
      <x:c r="D4004" s="2" t="str">
        <x:v>FLOWER GLASS GARLAND NECKL.36"GREEN</x:v>
      </x:c>
      <x:c r="E4004" s="11" t="n">
        <x:v>143.1</x:v>
      </x:c>
      <x:c r="F4004" s="11" t="n">
        <x:v>0</x:v>
      </x:c>
      <x:c r="G4004" s="11" t="n">
        <x:v>143.1</x:v>
      </x:c>
      <x:c r="H4004" s="23" t="n">
        <x:v>0.000006969017170443625</x:v>
      </x:c>
      <x:c r="I4004" s="23" t="n">
        <x:v>0.9976003405907838</x:v>
      </x:c>
      <x:c r="J4004" s="2" t="n">
        <x:v>10</x:v>
      </x:c>
      <x:c r="K4004" s="2"/>
      <x:c r="L4004" s="2"/>
    </x:row>
    <x:row r="4005" ht="22" customHeight="1">
      <x:c r="A4005" s="2"/>
      <x:c r="B4005" s="2" t="n">
        <x:v>3972</x:v>
      </x:c>
      <x:c r="C4005" s="2" t="str">
        <x:v>10120</x:v>
      </x:c>
      <x:c r="D4005" s="2" t="str">
        <x:v>DOGGY RUBBER</x:v>
      </x:c>
      <x:c r="E4005" s="11" t="n">
        <x:v>142.95</x:v>
      </x:c>
      <x:c r="F4005" s="11" t="n">
        <x:v>6.3</x:v>
      </x:c>
      <x:c r="G4005" s="11" t="n">
        <x:v>136.65</x:v>
      </x:c>
      <x:c r="H4005" s="23" t="n">
        <x:v>0.000006961712120998715</x:v>
      </x:c>
      <x:c r="I4005" s="23" t="n">
        <x:v>0.9976073023029048</x:v>
      </x:c>
      <x:c r="J4005" s="2" t="n">
        <x:v>73</x:v>
      </x:c>
      <x:c r="K4005" s="2"/>
      <x:c r="L4005" s="2"/>
    </x:row>
    <x:row r="4006" ht="22" customHeight="1">
      <x:c r="A4006" s="2"/>
      <x:c r="B4006" s="2" t="n">
        <x:v>3973</x:v>
      </x:c>
      <x:c r="C4006" s="2" t="str">
        <x:v>84874B</x:v>
      </x:c>
      <x:c r="D4006" s="2" t="str">
        <x:v>BLUE TRAVEL FIRST AID KIT</x:v>
      </x:c>
      <x:c r="E4006" s="11" t="n">
        <x:v>141.76</x:v>
      </x:c>
      <x:c r="F4006" s="11" t="n">
        <x:v>0</x:v>
      </x:c>
      <x:c r="G4006" s="11" t="n">
        <x:v>141.76</x:v>
      </x:c>
      <x:c r="H4006" s="23" t="n">
        <x:v>0.000006903758728735767</x:v>
      </x:c>
      <x:c r="I4006" s="23" t="n">
        <x:v>0.9976142060616335</x:v>
      </x:c>
      <x:c r="J4006" s="2" t="n">
        <x:v>36</x:v>
      </x:c>
      <x:c r="K4006" s="2"/>
      <x:c r="L4006" s="2"/>
    </x:row>
    <x:row r="4007" ht="22" customHeight="1">
      <x:c r="A4007" s="2"/>
      <x:c r="B4007" s="2" t="n">
        <x:v>3974</x:v>
      </x:c>
      <x:c r="C4007" s="2" t="str">
        <x:v>90202D</x:v>
      </x:c>
      <x:c r="D4007" s="2" t="str">
        <x:v>PINK ENAMEL FLOWER HAIR TIE</x:v>
      </x:c>
      <x:c r="E4007" s="11" t="n">
        <x:v>141.49</x:v>
      </x:c>
      <x:c r="F4007" s="11" t="n">
        <x:v>17.700000000000003</x:v>
      </x:c>
      <x:c r="G4007" s="11" t="n">
        <x:v>123.79</x:v>
      </x:c>
      <x:c r="H4007" s="23" t="n">
        <x:v>0.00000689060963973493</x:v>
      </x:c>
      <x:c r="I4007" s="23" t="n">
        <x:v>0.9976210966712733</x:v>
      </x:c>
      <x:c r="J4007" s="2" t="n">
        <x:v>24</x:v>
      </x:c>
      <x:c r="K4007" s="2"/>
      <x:c r="L4007" s="2"/>
    </x:row>
    <x:row r="4008" ht="22" customHeight="1">
      <x:c r="A4008" s="2"/>
      <x:c r="B4008" s="2" t="n">
        <x:v>3975</x:v>
      </x:c>
      <x:c r="C4008" s="2" t="str">
        <x:v>72740A</x:v>
      </x:c>
      <x:c r="D4008" s="2" t="str">
        <x:v>LARGE STRAWBERRY CHOCOLATE CANDLE</x:v>
      </x:c>
      <x:c r="E4008" s="11" t="n">
        <x:v>141.23</x:v>
      </x:c>
      <x:c r="F4008" s="11" t="n">
        <x:v>0</x:v>
      </x:c>
      <x:c r="G4008" s="11" t="n">
        <x:v>141.23</x:v>
      </x:c>
      <x:c r="H4008" s="23" t="n">
        <x:v>0.00000687794755403042</x:v>
      </x:c>
      <x:c r="I4008" s="23" t="n">
        <x:v>0.9976279746188274</x:v>
      </x:c>
      <x:c r="J4008" s="2" t="n">
        <x:v>12</x:v>
      </x:c>
      <x:c r="K4008" s="2"/>
      <x:c r="L4008" s="2"/>
    </x:row>
    <x:row r="4009" ht="22" customHeight="1">
      <x:c r="A4009" s="2"/>
      <x:c r="B4009" s="2" t="n">
        <x:v>3976</x:v>
      </x:c>
      <x:c r="C4009" s="2" t="str">
        <x:v>90214M</x:v>
      </x:c>
      <x:c r="D4009" s="2" t="str">
        <x:v>LETTER "M" BLING KEY RING</x:v>
      </x:c>
      <x:c r="E4009" s="11" t="n">
        <x:v>141.07</x:v>
      </x:c>
      <x:c r="F4009" s="11" t="n">
        <x:v>0</x:v>
      </x:c>
      <x:c r="G4009" s="11" t="n">
        <x:v>141.07</x:v>
      </x:c>
      <x:c r="H4009" s="23" t="n">
        <x:v>0.000006870155501289183</x:v>
      </x:c>
      <x:c r="I4009" s="23" t="n">
        <x:v>0.9976348447743286</x:v>
      </x:c>
      <x:c r="J4009" s="2" t="n">
        <x:v>64</x:v>
      </x:c>
      <x:c r="K4009" s="2"/>
      <x:c r="L4009" s="2"/>
    </x:row>
    <x:row r="4010" ht="22" customHeight="1">
      <x:c r="A4010" s="2"/>
      <x:c r="B4010" s="2" t="n">
        <x:v>3977</x:v>
      </x:c>
      <x:c r="C4010" s="2" t="str">
        <x:v>47590b</x:v>
      </x:c>
      <x:c r="D4010" s="2" t="str">
        <x:v>PINK HAPPY BIRTHDAY BUNTING</x:v>
      </x:c>
      <x:c r="E4010" s="11" t="n">
        <x:v>140.5</x:v>
      </x:c>
      <x:c r="F4010" s="11" t="n">
        <x:v>0</x:v>
      </x:c>
      <x:c r="G4010" s="11" t="n">
        <x:v>140.5</x:v>
      </x:c>
      <x:c r="H4010" s="23" t="n">
        <x:v>0.000006842396313398528</x:v>
      </x:c>
      <x:c r="I4010" s="23" t="n">
        <x:v>0.997641687170642</x:v>
      </x:c>
      <x:c r="J4010" s="2" t="n">
        <x:v>10</x:v>
      </x:c>
      <x:c r="K4010" s="2"/>
      <x:c r="L4010" s="2"/>
    </x:row>
    <x:row r="4011" ht="22" customHeight="1">
      <x:c r="A4011" s="2"/>
      <x:c r="B4011" s="2" t="n">
        <x:v>3978</x:v>
      </x:c>
      <x:c r="C4011" s="2" t="str">
        <x:v>47369A</x:v>
      </x:c>
      <x:c r="D4011" s="2" t="str">
        <x:v>PINK GREEN EMBROIDERY COSMETIC BAG</x:v>
      </x:c>
      <x:c r="E4011" s="11" t="n">
        <x:v>140.4</x:v>
      </x:c>
      <x:c r="F4011" s="11" t="n">
        <x:v>0</x:v>
      </x:c>
      <x:c r="G4011" s="11" t="n">
        <x:v>140.4</x:v>
      </x:c>
      <x:c r="H4011" s="23" t="n">
        <x:v>0.000006837526280435255</x:v>
      </x:c>
      <x:c r="I4011" s="23" t="n">
        <x:v>0.9976485246969224</x:v>
      </x:c>
      <x:c r="J4011" s="2" t="n">
        <x:v>25</x:v>
      </x:c>
      <x:c r="K4011" s="2"/>
      <x:c r="L4011" s="2"/>
    </x:row>
    <x:row r="4012" ht="22" customHeight="1">
      <x:c r="A4012" s="2"/>
      <x:c r="B4012" s="2" t="n">
        <x:v>3979</x:v>
      </x:c>
      <x:c r="C4012" s="2" t="str">
        <x:v>84617</x:v>
      </x:c>
      <x:c r="D4012" s="2" t="str">
        <x:v>NEW BAROQUE BLACK BOXES</x:v>
      </x:c>
      <x:c r="E4012" s="11" t="n">
        <x:v>140.25</x:v>
      </x:c>
      <x:c r="F4012" s="11" t="n">
        <x:v>0</x:v>
      </x:c>
      <x:c r="G4012" s="11" t="n">
        <x:v>140.25</x:v>
      </x:c>
      <x:c r="H4012" s="23" t="n">
        <x:v>0.000006830221230990345</x:v>
      </x:c>
      <x:c r="I4012" s="23" t="n">
        <x:v>0.9976553549181534</x:v>
      </x:c>
      <x:c r="J4012" s="2" t="n">
        <x:v>7</x:v>
      </x:c>
      <x:c r="K4012" s="2"/>
      <x:c r="L4012" s="2"/>
    </x:row>
    <x:row r="4013" ht="22" customHeight="1">
      <x:c r="A4013" s="2"/>
      <x:c r="B4013" s="2" t="n">
        <x:v>3980</x:v>
      </x:c>
      <x:c r="C4013" s="2" t="str">
        <x:v>84765</x:v>
      </x:c>
      <x:c r="D4013" s="2" t="str">
        <x:v>SILVER ROCOCO CANDELABRA</x:v>
      </x:c>
      <x:c r="E4013" s="11" t="n">
        <x:v>140.23</x:v>
      </x:c>
      <x:c r="F4013" s="11" t="n">
        <x:v>25.5</x:v>
      </x:c>
      <x:c r="G4013" s="11" t="n">
        <x:v>114.72999999999999</x:v>
      </x:c>
      <x:c r="H4013" s="23" t="n">
        <x:v>0.00000682924722439769</x:v>
      </x:c>
      <x:c r="I4013" s="23" t="n">
        <x:v>0.9976621841653778</x:v>
      </x:c>
      <x:c r="J4013" s="2" t="n">
        <x:v>6</x:v>
      </x:c>
      <x:c r="K4013" s="2"/>
      <x:c r="L4013" s="2"/>
    </x:row>
    <x:row r="4014" ht="22" customHeight="1">
      <x:c r="A4014" s="2"/>
      <x:c r="B4014" s="2" t="n">
        <x:v>3981</x:v>
      </x:c>
      <x:c r="C4014" s="2" t="str">
        <x:v>90212B</x:v>
      </x:c>
      <x:c r="D4014" s="2" t="str">
        <x:v>JET BLACK LAS VEGAS BRACELET ROUND</x:v>
      </x:c>
      <x:c r="E4014" s="11" t="n">
        <x:v>140.07</x:v>
      </x:c>
      <x:c r="F4014" s="11" t="n">
        <x:v>0</x:v>
      </x:c>
      <x:c r="G4014" s="11" t="n">
        <x:v>140.07</x:v>
      </x:c>
      <x:c r="H4014" s="23" t="n">
        <x:v>0.000006821455171656454</x:v>
      </x:c>
      <x:c r="I4014" s="23" t="n">
        <x:v>0.9976690056205494</x:v>
      </x:c>
      <x:c r="J4014" s="2" t="n">
        <x:v>28</x:v>
      </x:c>
      <x:c r="K4014" s="2"/>
      <x:c r="L4014" s="2"/>
    </x:row>
    <x:row r="4015" ht="22" customHeight="1">
      <x:c r="A4015" s="2"/>
      <x:c r="B4015" s="2" t="n">
        <x:v>3982</x:v>
      </x:c>
      <x:c r="C4015" s="2" t="str">
        <x:v>78026</x:v>
      </x:c>
      <x:c r="D4015" s="2" t="str">
        <x:v>SEAGRASS S/3 SQU LAUNDRY BOX</x:v>
      </x:c>
      <x:c r="E4015" s="11" t="n">
        <x:v>139.95</x:v>
      </x:c>
      <x:c r="F4015" s="11" t="n">
        <x:v>0</x:v>
      </x:c>
      <x:c r="G4015" s="11" t="n">
        <x:v>139.95</x:v>
      </x:c>
      <x:c r="H4015" s="23" t="n">
        <x:v>0.000006815611132100526</x:v>
      </x:c>
      <x:c r="I4015" s="23" t="n">
        <x:v>0.9976758212316815</x:v>
      </x:c>
      <x:c r="J4015" s="2" t="n">
        <x:v>2</x:v>
      </x:c>
      <x:c r="K4015" s="2"/>
      <x:c r="L4015" s="2"/>
    </x:row>
    <x:row r="4016" ht="22" customHeight="1">
      <x:c r="A4016" s="2"/>
      <x:c r="B4016" s="2" t="n">
        <x:v>3983</x:v>
      </x:c>
      <x:c r="C4016" s="2" t="str">
        <x:v>90199A</x:v>
      </x:c>
      <x:c r="D4016" s="2" t="str">
        <x:v>5 STRAND GLASS NECKLACE BLACK</x:v>
      </x:c>
      <x:c r="E4016" s="11" t="n">
        <x:v>139.5</x:v>
      </x:c>
      <x:c r="F4016" s="11" t="n">
        <x:v>6.35</x:v>
      </x:c>
      <x:c r="G4016" s="11" t="n">
        <x:v>133.15</x:v>
      </x:c>
      <x:c r="H4016" s="23" t="n">
        <x:v>0.0000067936959837657985</x:v>
      </x:c>
      <x:c r="I4016" s="23" t="n">
        <x:v>0.9976826149276653</x:v>
      </x:c>
      <x:c r="J4016" s="2" t="n">
        <x:v>16</x:v>
      </x:c>
      <x:c r="K4016" s="2"/>
      <x:c r="L4016" s="2"/>
    </x:row>
    <x:row r="4017" ht="22" customHeight="1">
      <x:c r="A4017" s="2"/>
      <x:c r="B4017" s="2" t="n">
        <x:v>3984</x:v>
      </x:c>
      <x:c r="C4017" s="2" t="str">
        <x:v>23463</x:v>
      </x:c>
      <x:c r="D4017" s="2" t="str">
        <x:v>VINTAGE ZINC WATERING CAN</x:v>
      </x:c>
      <x:c r="E4017" s="11" t="n">
        <x:v>139.39999999999998</x:v>
      </x:c>
      <x:c r="F4017" s="11" t="n">
        <x:v>0</x:v>
      </x:c>
      <x:c r="G4017" s="11" t="n">
        <x:v>139.39999999999998</x:v>
      </x:c>
      <x:c r="H4017" s="23" t="n">
        <x:v>0.000006788825950802524</x:v>
      </x:c>
      <x:c r="I4017" s="23" t="n">
        <x:v>0.9976894037536161</x:v>
      </x:c>
      <x:c r="J4017" s="2" t="n">
        <x:v>8</x:v>
      </x:c>
      <x:c r="K4017" s="2"/>
      <x:c r="L4017" s="2"/>
    </x:row>
    <x:row r="4018" ht="22" customHeight="1">
      <x:c r="A4018" s="2"/>
      <x:c r="B4018" s="2" t="n">
        <x:v>3985</x:v>
      </x:c>
      <x:c r="C4018" s="2" t="str">
        <x:v>90199D</x:v>
      </x:c>
      <x:c r="D4018" s="2" t="str">
        <x:v>5 STRAND GLASS NECKLACE AMBER</x:v>
      </x:c>
      <x:c r="E4018" s="11" t="n">
        <x:v>139.28</x:v>
      </x:c>
      <x:c r="F4018" s="11" t="n">
        <x:v>0</x:v>
      </x:c>
      <x:c r="G4018" s="11" t="n">
        <x:v>139.28</x:v>
      </x:c>
      <x:c r="H4018" s="23" t="n">
        <x:v>0.000006782981911246598</x:v>
      </x:c>
      <x:c r="I4018" s="23" t="n">
        <x:v>0.9976961867355274</x:v>
      </x:c>
      <x:c r="J4018" s="2" t="n">
        <x:v>16</x:v>
      </x:c>
      <x:c r="K4018" s="2"/>
      <x:c r="L4018" s="2"/>
    </x:row>
    <x:row r="4019" ht="22" customHeight="1">
      <x:c r="A4019" s="2"/>
      <x:c r="B4019" s="2" t="n">
        <x:v>3986</x:v>
      </x:c>
      <x:c r="C4019" s="2" t="str">
        <x:v>90214E</x:v>
      </x:c>
      <x:c r="D4019" s="2" t="str">
        <x:v>LETTER "E" BLING KEY RING</x:v>
      </x:c>
      <x:c r="E4019" s="11" t="n">
        <x:v>139.28</x:v>
      </x:c>
      <x:c r="F4019" s="11" t="n">
        <x:v>7.5</x:v>
      </x:c>
      <x:c r="G4019" s="11" t="n">
        <x:v>131.78</x:v>
      </x:c>
      <x:c r="H4019" s="23" t="n">
        <x:v>0.000006782981911246598</x:v>
      </x:c>
      <x:c r="I4019" s="23" t="n">
        <x:v>0.9977029697174387</x:v>
      </x:c>
      <x:c r="J4019" s="2" t="n">
        <x:v>67</x:v>
      </x:c>
      <x:c r="K4019" s="2"/>
      <x:c r="L4019" s="2"/>
    </x:row>
    <x:row r="4020" ht="22" customHeight="1">
      <x:c r="A4020" s="2"/>
      <x:c r="B4020" s="2" t="n">
        <x:v>3987</x:v>
      </x:c>
      <x:c r="C4020" s="2" t="str">
        <x:v>84510c</x:v>
      </x:c>
      <x:c r="D4020" s="2" t="str">
        <x:v>SET OF 4 POLKADOT COASTERS</x:v>
      </x:c>
      <x:c r="E4020" s="11" t="n">
        <x:v>138.85999999999999</x:v>
      </x:c>
      <x:c r="F4020" s="11" t="n">
        <x:v>0</x:v>
      </x:c>
      <x:c r="G4020" s="11" t="n">
        <x:v>138.85999999999999</x:v>
      </x:c>
      <x:c r="H4020" s="23" t="n">
        <x:v>0.000006762527772800851</x:v>
      </x:c>
      <x:c r="I4020" s="23" t="n">
        <x:v>0.9977097322452114</x:v>
      </x:c>
      <x:c r="J4020" s="2" t="n">
        <x:v>34</x:v>
      </x:c>
      <x:c r="K4020" s="2"/>
      <x:c r="L4020" s="2"/>
    </x:row>
    <x:row r="4021" ht="22" customHeight="1">
      <x:c r="A4021" s="2"/>
      <x:c r="B4021" s="2" t="n">
        <x:v>3988</x:v>
      </x:c>
      <x:c r="C4021" s="2" t="str">
        <x:v>23304</x:v>
      </x:c>
      <x:c r="D4021" s="2" t="str">
        <x:v>SET 4 PICNIC CUTLERY CHERRY </x:v>
      </x:c>
      <x:c r="E4021" s="11" t="n">
        <x:v>138.45</x:v>
      </x:c>
      <x:c r="F4021" s="11" t="n">
        <x:v>0</x:v>
      </x:c>
      <x:c r="G4021" s="11" t="n">
        <x:v>138.45</x:v>
      </x:c>
      <x:c r="H4021" s="23" t="n">
        <x:v>0.000006742560637651431</x:v>
      </x:c>
      <x:c r="I4021" s="23" t="n">
        <x:v>0.997716474805849</x:v>
      </x:c>
      <x:c r="J4021" s="2" t="n">
        <x:v>9</x:v>
      </x:c>
      <x:c r="K4021" s="2"/>
      <x:c r="L4021" s="2"/>
    </x:row>
    <x:row r="4022" ht="22" customHeight="1">
      <x:c r="A4022" s="2"/>
      <x:c r="B4022" s="2" t="n">
        <x:v>3989</x:v>
      </x:c>
      <x:c r="C4022" s="2" t="str">
        <x:v>72754B</x:v>
      </x:c>
      <x:c r="D4022" s="2" t="str">
        <x:v>F FAIRY POTPOURRI CUSHIONS LAVENDER</x:v>
      </x:c>
      <x:c r="E4022" s="11" t="n">
        <x:v>137.54000000000002</x:v>
      </x:c>
      <x:c r="F4022" s="11" t="n">
        <x:v>0</x:v>
      </x:c>
      <x:c r="G4022" s="11" t="n">
        <x:v>137.54000000000002</x:v>
      </x:c>
      <x:c r="H4022" s="23" t="n">
        <x:v>0.000006698243337685649</x:v>
      </x:c>
      <x:c r="I4022" s="23" t="n">
        <x:v>0.9977231730491867</x:v>
      </x:c>
      <x:c r="J4022" s="2" t="n">
        <x:v>8</x:v>
      </x:c>
      <x:c r="K4022" s="2"/>
      <x:c r="L4022" s="2"/>
    </x:row>
    <x:row r="4023" ht="22" customHeight="1">
      <x:c r="A4023" s="2"/>
      <x:c r="B4023" s="2" t="n">
        <x:v>3990</x:v>
      </x:c>
      <x:c r="C4023" s="2" t="str">
        <x:v>35816P</x:v>
      </x:c>
      <x:c r="D4023" s="2" t="str">
        <x:v>ACRYLIC JEWEL ANGEL,PINK</x:v>
      </x:c>
      <x:c r="E4023" s="11" t="n">
        <x:v>137.43</x:v>
      </x:c>
      <x:c r="F4023" s="11" t="n">
        <x:v>0</x:v>
      </x:c>
      <x:c r="G4023" s="11" t="n">
        <x:v>137.43</x:v>
      </x:c>
      <x:c r="H4023" s="23" t="n">
        <x:v>0.0000066928863014260475</x:v>
      </x:c>
      <x:c r="I4023" s="23" t="n">
        <x:v>0.9977298659354881</x:v>
      </x:c>
      <x:c r="J4023" s="2" t="n">
        <x:v>9</x:v>
      </x:c>
      <x:c r="K4023" s="2"/>
      <x:c r="L4023" s="2"/>
    </x:row>
    <x:row r="4024" ht="22" customHeight="1">
      <x:c r="A4024" s="2"/>
      <x:c r="B4024" s="2" t="n">
        <x:v>3991</x:v>
      </x:c>
      <x:c r="C4024" s="2" t="str">
        <x:v>90156</x:v>
      </x:c>
      <x:c r="D4024" s="2" t="str">
        <x:v>RESIN BRACELET W PASTEL BEADS</x:v>
      </x:c>
      <x:c r="E4024" s="11" t="n">
        <x:v>137.37</x:v>
      </x:c>
      <x:c r="F4024" s="11" t="n">
        <x:v>0</x:v>
      </x:c>
      <x:c r="G4024" s="11" t="n">
        <x:v>137.37</x:v>
      </x:c>
      <x:c r="H4024" s="23" t="n">
        <x:v>0.000006689964281648084</x:v>
      </x:c>
      <x:c r="I4024" s="23" t="n">
        <x:v>0.9977365558997697</x:v>
      </x:c>
      <x:c r="J4024" s="2" t="n">
        <x:v>14</x:v>
      </x:c>
      <x:c r="K4024" s="2"/>
      <x:c r="L4024" s="2"/>
    </x:row>
    <x:row r="4025" ht="22" customHeight="1">
      <x:c r="A4025" s="2"/>
      <x:c r="B4025" s="2" t="n">
        <x:v>3992</x:v>
      </x:c>
      <x:c r="C4025" s="2" t="str">
        <x:v>84549</x:v>
      </x:c>
      <x:c r="D4025" s="2" t="str">
        <x:v>CROCHET WHITE RABBIT KEYRING </x:v>
      </x:c>
      <x:c r="E4025" s="11" t="n">
        <x:v>137.26999999999998</x:v>
      </x:c>
      <x:c r="F4025" s="11" t="n">
        <x:v>0</x:v>
      </x:c>
      <x:c r="G4025" s="11" t="n">
        <x:v>137.26999999999998</x:v>
      </x:c>
      <x:c r="H4025" s="23" t="n">
        <x:v>0.00000668509424868481</x:v>
      </x:c>
      <x:c r="I4025" s="23" t="n">
        <x:v>0.9977432409940185</x:v>
      </x:c>
      <x:c r="J4025" s="2" t="n">
        <x:v>16</x:v>
      </x:c>
      <x:c r="K4025" s="2"/>
      <x:c r="L4025" s="2"/>
    </x:row>
    <x:row r="4026" ht="22" customHeight="1">
      <x:c r="A4026" s="2"/>
      <x:c r="B4026" s="2" t="n">
        <x:v>3993</x:v>
      </x:c>
      <x:c r="C4026" s="2" t="str">
        <x:v>S</x:v>
      </x:c>
      <x:c r="D4026" s="2" t="str">
        <x:v>SAMPLES</x:v>
      </x:c>
      <x:c r="E4026" s="11" t="n">
        <x:v>136.85</x:v>
      </x:c>
      <x:c r="F4026" s="11" t="n">
        <x:v>6137.7</x:v>
      </x:c>
      <x:c r="G4026" s="11" t="n">
        <x:v>-6000.85</x:v>
      </x:c>
      <x:c r="H4026" s="23" t="n">
        <x:v>0.000006664640110239064</x:v>
      </x:c>
      <x:c r="I4026" s="23" t="n">
        <x:v>0.9977499056341287</x:v>
      </x:c>
      <x:c r="J4026" s="2" t="n">
        <x:v>3</x:v>
      </x:c>
      <x:c r="K4026" s="2"/>
      <x:c r="L4026" s="2"/>
    </x:row>
    <x:row r="4027" ht="22" customHeight="1">
      <x:c r="A4027" s="2"/>
      <x:c r="B4027" s="2" t="n">
        <x:v>3994</x:v>
      </x:c>
      <x:c r="C4027" s="2" t="str">
        <x:v>35824P</x:v>
      </x:c>
      <x:c r="D4027" s="2" t="str">
        <x:v>damages</x:v>
      </x:c>
      <x:c r="E4027" s="11" t="n">
        <x:v>136.44</x:v>
      </x:c>
      <x:c r="F4027" s="11" t="n">
        <x:v>0</x:v>
      </x:c>
      <x:c r="G4027" s="11" t="n">
        <x:v>136.44</x:v>
      </x:c>
      <x:c r="H4027" s="23" t="n">
        <x:v>0.000006644672975089645</x:v>
      </x:c>
      <x:c r="I4027" s="23" t="n">
        <x:v>0.9977565503071038</x:v>
      </x:c>
      <x:c r="J4027" s="2" t="n">
        <x:v>3</x:v>
      </x:c>
      <x:c r="K4027" s="2"/>
      <x:c r="L4027" s="2"/>
    </x:row>
    <x:row r="4028" ht="22" customHeight="1">
      <x:c r="A4028" s="2"/>
      <x:c r="B4028" s="2" t="n">
        <x:v>3995</x:v>
      </x:c>
      <x:c r="C4028" s="2" t="str">
        <x:v>90151</x:v>
      </x:c>
      <x:c r="D4028" s="2" t="str">
        <x:v>SILVER/NATURAL SHELL NECKLACE</x:v>
      </x:c>
      <x:c r="E4028" s="11" t="n">
        <x:v>136.17000000000002</x:v>
      </x:c>
      <x:c r="F4028" s="11" t="n">
        <x:v>0</x:v>
      </x:c>
      <x:c r="G4028" s="11" t="n">
        <x:v>136.17000000000002</x:v>
      </x:c>
      <x:c r="H4028" s="23" t="n">
        <x:v>0.0000066315238860888084</x:v>
      </x:c>
      <x:c r="I4028" s="23" t="n">
        <x:v>0.9977631818309899</x:v>
      </x:c>
      <x:c r="J4028" s="2" t="n">
        <x:v>9</x:v>
      </x:c>
      <x:c r="K4028" s="2"/>
      <x:c r="L4028" s="2"/>
    </x:row>
    <x:row r="4029" ht="22" customHeight="1">
      <x:c r="A4029" s="2"/>
      <x:c r="B4029" s="2" t="n">
        <x:v>3996</x:v>
      </x:c>
      <x:c r="C4029" s="2" t="str">
        <x:v>90024E</x:v>
      </x:c>
      <x:c r="D4029" s="2" t="str">
        <x:v>NEW BAROQUE B'FLY NECKLACE MONTANA</x:v>
      </x:c>
      <x:c r="E4029" s="11" t="n">
        <x:v>135.98</x:v>
      </x:c>
      <x:c r="F4029" s="11" t="n">
        <x:v>0</x:v>
      </x:c>
      <x:c r="G4029" s="11" t="n">
        <x:v>135.98</x:v>
      </x:c>
      <x:c r="H4029" s="23" t="n">
        <x:v>0.0000066222708234585885</x:v>
      </x:c>
      <x:c r="I4029" s="23" t="n">
        <x:v>0.9977698041018134</x:v>
      </x:c>
      <x:c r="J4029" s="2" t="n">
        <x:v>11</x:v>
      </x:c>
      <x:c r="K4029" s="2"/>
      <x:c r="L4029" s="2"/>
    </x:row>
    <x:row r="4030" ht="22" customHeight="1">
      <x:c r="A4030" s="2"/>
      <x:c r="B4030" s="2" t="n">
        <x:v>3997</x:v>
      </x:c>
      <x:c r="C4030" s="2" t="str">
        <x:v>90194</x:v>
      </x:c>
      <x:c r="D4030" s="2" t="str">
        <x:v>SILVER LARIAT BLACK STONE EARRINGS</x:v>
      </x:c>
      <x:c r="E4030" s="11" t="n">
        <x:v>135.84</x:v>
      </x:c>
      <x:c r="F4030" s="11" t="n">
        <x:v>0</x:v>
      </x:c>
      <x:c r="G4030" s="11" t="n">
        <x:v>135.84</x:v>
      </x:c>
      <x:c r="H4030" s="23" t="n">
        <x:v>0.000006615452777310007</x:v>
      </x:c>
      <x:c r="I4030" s="23" t="n">
        <x:v>0.9977764195545907</x:v>
      </x:c>
      <x:c r="J4030" s="2" t="n">
        <x:v>21</x:v>
      </x:c>
      <x:c r="K4030" s="2"/>
      <x:c r="L4030" s="2"/>
    </x:row>
    <x:row r="4031" ht="22" customHeight="1">
      <x:c r="A4031" s="2"/>
      <x:c r="B4031" s="2" t="n">
        <x:v>3998</x:v>
      </x:c>
      <x:c r="C4031" s="2" t="str">
        <x:v>90038A</x:v>
      </x:c>
      <x:c r="D4031" s="2" t="str">
        <x:v>GLASS AND PAINTED BEADS BRACELET TO</x:v>
      </x:c>
      <x:c r="E4031" s="11" t="n">
        <x:v>135.8</x:v>
      </x:c>
      <x:c r="F4031" s="11" t="n">
        <x:v>0</x:v>
      </x:c>
      <x:c r="G4031" s="11" t="n">
        <x:v>135.8</x:v>
      </x:c>
      <x:c r="H4031" s="23" t="n">
        <x:v>0.000006613504764124699</x:v>
      </x:c>
      <x:c r="I4031" s="23" t="n">
        <x:v>0.9977830330593549</x:v>
      </x:c>
      <x:c r="J4031" s="2" t="n">
        <x:v>22</x:v>
      </x:c>
      <x:c r="K4031" s="2"/>
      <x:c r="L4031" s="2"/>
    </x:row>
    <x:row r="4032" ht="22" customHeight="1">
      <x:c r="A4032" s="2"/>
      <x:c r="B4032" s="2" t="n">
        <x:v>3999</x:v>
      </x:c>
      <x:c r="C4032" s="2" t="str">
        <x:v>90177D</x:v>
      </x:c>
      <x:c r="D4032" s="2" t="str">
        <x:v>DROP DIAMANTE EARRINGS PURPLE</x:v>
      </x:c>
      <x:c r="E4032" s="11" t="n">
        <x:v>135.76000000000002</x:v>
      </x:c>
      <x:c r="F4032" s="11" t="n">
        <x:v>17.700000000000003</x:v>
      </x:c>
      <x:c r="G4032" s="11" t="n">
        <x:v>118.06</x:v>
      </x:c>
      <x:c r="H4032" s="23" t="n">
        <x:v>0.0000066115567509393896</x:v>
      </x:c>
      <x:c r="I4032" s="23" t="n">
        <x:v>0.9977896446161059</x:v>
      </x:c>
      <x:c r="J4032" s="2" t="n">
        <x:v>25</x:v>
      </x:c>
      <x:c r="K4032" s="2"/>
      <x:c r="L4032" s="2"/>
    </x:row>
    <x:row r="4033" ht="22" customHeight="1">
      <x:c r="A4033" s="2"/>
      <x:c r="B4033" s="2" t="n">
        <x:v>4000</x:v>
      </x:c>
      <x:c r="C4033" s="2" t="str">
        <x:v>17011D</x:v>
      </x:c>
      <x:c r="D4033" s="2" t="str">
        <x:v>ORIGAMI ROSE INCENSE+FLOWER</x:v>
      </x:c>
      <x:c r="E4033" s="11" t="n">
        <x:v>135.70000000000002</x:v>
      </x:c>
      <x:c r="F4033" s="11" t="n">
        <x:v>0</x:v>
      </x:c>
      <x:c r="G4033" s="11" t="n">
        <x:v>135.70000000000002</x:v>
      </x:c>
      <x:c r="H4033" s="23" t="n">
        <x:v>0.000006608634731161426</x:v>
      </x:c>
      <x:c r="I4033" s="23" t="n">
        <x:v>0.997796253250837</x:v>
      </x:c>
      <x:c r="J4033" s="2" t="n">
        <x:v>4</x:v>
      </x:c>
      <x:c r="K4033" s="2"/>
      <x:c r="L4033" s="2"/>
    </x:row>
    <x:row r="4034" ht="22" customHeight="1">
      <x:c r="A4034" s="2"/>
      <x:c r="B4034" s="2" t="n">
        <x:v>4001</x:v>
      </x:c>
      <x:c r="C4034" s="2" t="str">
        <x:v>77079</x:v>
      </x:c>
      <x:c r="D4034" s="2" t="str">
        <x:v>DOLPHIN WINDMILL</x:v>
      </x:c>
      <x:c r="E4034" s="11" t="n">
        <x:v>135.68</x:v>
      </x:c>
      <x:c r="F4034" s="11" t="n">
        <x:v>0</x:v>
      </x:c>
      <x:c r="G4034" s="11" t="n">
        <x:v>135.68</x:v>
      </x:c>
      <x:c r="H4034" s="23" t="n">
        <x:v>0.0000066076607245687705</x:v>
      </x:c>
      <x:c r="I4034" s="23" t="n">
        <x:v>0.9978028609115616</x:v>
      </x:c>
      <x:c r="J4034" s="2" t="n">
        <x:v>12</x:v>
      </x:c>
      <x:c r="K4034" s="2"/>
      <x:c r="L4034" s="2"/>
    </x:row>
    <x:row r="4035" ht="22" customHeight="1">
      <x:c r="A4035" s="2"/>
      <x:c r="B4035" s="2" t="n">
        <x:v>4002</x:v>
      </x:c>
      <x:c r="C4035" s="2" t="str">
        <x:v>85132a</x:v>
      </x:c>
      <x:c r="D4035" s="2" t="str">
        <x:v>CHARLIE + LOLA BISCUITS TINS</x:v>
      </x:c>
      <x:c r="E4035" s="11" t="n">
        <x:v>135.13</x:v>
      </x:c>
      <x:c r="F4035" s="11" t="n">
        <x:v>0</x:v>
      </x:c>
      <x:c r="G4035" s="11" t="n">
        <x:v>135.13</x:v>
      </x:c>
      <x:c r="H4035" s="23" t="n">
        <x:v>0.000006580875543270769</x:v>
      </x:c>
      <x:c r="I4035" s="23" t="n">
        <x:v>0.9978094417871048</x:v>
      </x:c>
      <x:c r="J4035" s="2" t="n">
        <x:v>10</x:v>
      </x:c>
      <x:c r="K4035" s="2"/>
      <x:c r="L4035" s="2"/>
    </x:row>
    <x:row r="4036" ht="22" customHeight="1">
      <x:c r="A4036" s="2"/>
      <x:c r="B4036" s="2" t="n">
        <x:v>4003</x:v>
      </x:c>
      <x:c r="C4036" s="2" t="str">
        <x:v>72134</x:v>
      </x:c>
      <x:c r="D4036" s="2" t="str">
        <x:v>COLUMBIAN  CUBE CANDLE </x:v>
      </x:c>
      <x:c r="E4036" s="11" t="n">
        <x:v>134.85</x:v>
      </x:c>
      <x:c r="F4036" s="11" t="n">
        <x:v>0</x:v>
      </x:c>
      <x:c r="G4036" s="11" t="n">
        <x:v>134.85</x:v>
      </x:c>
      <x:c r="H4036" s="23" t="n">
        <x:v>0.000006567239450973604</x:v>
      </x:c>
      <x:c r="I4036" s="23" t="n">
        <x:v>0.9978160090265559</x:v>
      </x:c>
      <x:c r="J4036" s="2" t="n">
        <x:v>29</x:v>
      </x:c>
      <x:c r="K4036" s="2"/>
      <x:c r="L4036" s="2"/>
    </x:row>
    <x:row r="4037" ht="22" customHeight="1">
      <x:c r="A4037" s="2"/>
      <x:c r="B4037" s="2" t="n">
        <x:v>4004</x:v>
      </x:c>
      <x:c r="C4037" s="2" t="str">
        <x:v>16020C</x:v>
      </x:c>
      <x:c r="D4037" s="2" t="str">
        <x:v>CLEAR STATIONERY BOX SET </x:v>
      </x:c>
      <x:c r="E4037" s="11" t="n">
        <x:v>134.5</x:v>
      </x:c>
      <x:c r="F4037" s="11" t="n">
        <x:v>0</x:v>
      </x:c>
      <x:c r="G4037" s="11" t="n">
        <x:v>134.5</x:v>
      </x:c>
      <x:c r="H4037" s="23" t="n">
        <x:v>0.00000655019433560215</x:v>
      </x:c>
      <x:c r="I4037" s="23" t="n">
        <x:v>0.9978225592208915</x:v>
      </x:c>
      <x:c r="J4037" s="2" t="n">
        <x:v>39</x:v>
      </x:c>
      <x:c r="K4037" s="2"/>
      <x:c r="L4037" s="2"/>
    </x:row>
    <x:row r="4038" ht="22" customHeight="1">
      <x:c r="A4038" s="2"/>
      <x:c r="B4038" s="2" t="n">
        <x:v>4005</x:v>
      </x:c>
      <x:c r="C4038" s="2" t="str">
        <x:v>22879</x:v>
      </x:c>
      <x:c r="D4038" s="2" t="str">
        <x:v>NUMBER TILE VINTAGE FONT 0</x:v>
      </x:c>
      <x:c r="E4038" s="11" t="n">
        <x:v>134.4</x:v>
      </x:c>
      <x:c r="F4038" s="11" t="n">
        <x:v>0</x:v>
      </x:c>
      <x:c r="G4038" s="11" t="n">
        <x:v>134.4</x:v>
      </x:c>
      <x:c r="H4038" s="23" t="n">
        <x:v>0.000006545324302638876</x:v>
      </x:c>
      <x:c r="I4038" s="23" t="n">
        <x:v>0.9978291045451941</x:v>
      </x:c>
      <x:c r="J4038" s="2" t="n">
        <x:v>21</x:v>
      </x:c>
      <x:c r="K4038" s="2"/>
      <x:c r="L4038" s="2"/>
    </x:row>
    <x:row r="4039" ht="22" customHeight="1">
      <x:c r="A4039" s="2"/>
      <x:c r="B4039" s="2" t="n">
        <x:v>4006</x:v>
      </x:c>
      <x:c r="C4039" s="2" t="str">
        <x:v>35015</x:v>
      </x:c>
      <x:c r="D4039" s="2" t="str">
        <x:v>JACOBS LADDER SMALL</x:v>
      </x:c>
      <x:c r="E4039" s="11" t="n">
        <x:v>134.08</x:v>
      </x:c>
      <x:c r="F4039" s="11" t="n">
        <x:v>0</x:v>
      </x:c>
      <x:c r="G4039" s="11" t="n">
        <x:v>134.08</x:v>
      </x:c>
      <x:c r="H4039" s="23" t="n">
        <x:v>0.000006529740197156403</x:v>
      </x:c>
      <x:c r="I4039" s="23" t="n">
        <x:v>0.9978356342853912</x:v>
      </x:c>
      <x:c r="J4039" s="2" t="n">
        <x:v>39</x:v>
      </x:c>
      <x:c r="K4039" s="2"/>
      <x:c r="L4039" s="2"/>
    </x:row>
    <x:row r="4040" ht="22" customHeight="1">
      <x:c r="A4040" s="2"/>
      <x:c r="B4040" s="2" t="n">
        <x:v>4007</x:v>
      </x:c>
      <x:c r="C4040" s="2" t="str">
        <x:v>84555A</x:v>
      </x:c>
      <x:c r="D4040" s="2" t="str">
        <x:v>YELLOW VW BEETLE CERAMIC MONEY BOX</x:v>
      </x:c>
      <x:c r="E4040" s="11" t="n">
        <x:v>133.85000000000002</x:v>
      </x:c>
      <x:c r="F4040" s="11" t="n">
        <x:v>0</x:v>
      </x:c>
      <x:c r="G4040" s="11" t="n">
        <x:v>133.85000000000002</x:v>
      </x:c>
      <x:c r="H4040" s="23" t="n">
        <x:v>0.000006518539121340876</x:v>
      </x:c>
      <x:c r="I4040" s="23" t="n">
        <x:v>0.9978421528245126</x:v>
      </x:c>
      <x:c r="J4040" s="2" t="n">
        <x:v>16</x:v>
      </x:c>
      <x:c r="K4040" s="2"/>
      <x:c r="L4040" s="2"/>
    </x:row>
    <x:row r="4041" ht="22" customHeight="1">
      <x:c r="A4041" s="2"/>
      <x:c r="B4041" s="2" t="n">
        <x:v>4008</x:v>
      </x:c>
      <x:c r="C4041" s="2" t="str">
        <x:v>35609A</x:v>
      </x:c>
      <x:c r="D4041" s="2" t="str">
        <x:v>PINK FEATHER CHRISTMAS DECORATION</x:v>
      </x:c>
      <x:c r="E4041" s="11" t="n">
        <x:v>133.23</x:v>
      </x:c>
      <x:c r="F4041" s="11" t="n">
        <x:v>0</x:v>
      </x:c>
      <x:c r="G4041" s="11" t="n">
        <x:v>133.23</x:v>
      </x:c>
      <x:c r="H4041" s="23" t="n">
        <x:v>0.000006488344916968582</x:v>
      </x:c>
      <x:c r="I4041" s="23" t="n">
        <x:v>0.9978486411694296</x:v>
      </x:c>
      <x:c r="J4041" s="2" t="n">
        <x:v>24</x:v>
      </x:c>
      <x:c r="K4041" s="2"/>
      <x:c r="L4041" s="2"/>
    </x:row>
    <x:row r="4042" ht="22" customHeight="1">
      <x:c r="A4042" s="2"/>
      <x:c r="B4042" s="2" t="n">
        <x:v>4009</x:v>
      </x:c>
      <x:c r="C4042" s="2" t="str">
        <x:v>46137D</x:v>
      </x:c>
      <x:c r="D4042" s="2" t="str">
        <x:v>GREEN CHENILLE SHAGGY RUG</x:v>
      </x:c>
      <x:c r="E4042" s="11" t="n">
        <x:v>132.75</x:v>
      </x:c>
      <x:c r="F4042" s="11" t="n">
        <x:v>0</x:v>
      </x:c>
      <x:c r="G4042" s="11" t="n">
        <x:v>132.75</x:v>
      </x:c>
      <x:c r="H4042" s="23" t="n">
        <x:v>0.000006464968758744873</x:v>
      </x:c>
      <x:c r="I4042" s="23" t="n">
        <x:v>0.9978551061381884</x:v>
      </x:c>
      <x:c r="J4042" s="2" t="n">
        <x:v>4</x:v>
      </x:c>
      <x:c r="K4042" s="2"/>
      <x:c r="L4042" s="2"/>
    </x:row>
    <x:row r="4043" ht="22" customHeight="1">
      <x:c r="A4043" s="2"/>
      <x:c r="B4043" s="2" t="n">
        <x:v>4010</x:v>
      </x:c>
      <x:c r="C4043" s="2" t="str">
        <x:v>90190B</x:v>
      </x:c>
      <x:c r="D4043" s="2" t="str">
        <x:v>GOLD/AMBER DROP EARRINGS W LEAF</x:v>
      </x:c>
      <x:c r="E4043" s="11" t="n">
        <x:v>132.58</x:v>
      </x:c>
      <x:c r="F4043" s="11" t="n">
        <x:v>0</x:v>
      </x:c>
      <x:c r="G4043" s="11" t="n">
        <x:v>132.58</x:v>
      </x:c>
      <x:c r="H4043" s="23" t="n">
        <x:v>0.000006456689702707309</x:v>
      </x:c>
      <x:c r="I4043" s="23" t="n">
        <x:v>0.9978615628278911</x:v>
      </x:c>
      <x:c r="J4043" s="2" t="n">
        <x:v>15</x:v>
      </x:c>
      <x:c r="K4043" s="2"/>
      <x:c r="L4043" s="2"/>
    </x:row>
    <x:row r="4044" ht="22" customHeight="1">
      <x:c r="A4044" s="2"/>
      <x:c r="B4044" s="2" t="n">
        <x:v>4011</x:v>
      </x:c>
      <x:c r="C4044" s="2" t="str">
        <x:v>90137</x:v>
      </x:c>
      <x:c r="D4044" s="2" t="str">
        <x:v>PINK COMBO MINI CRYSTALS NECKLACE</x:v>
      </x:c>
      <x:c r="E4044" s="11" t="n">
        <x:v>132.52</x:v>
      </x:c>
      <x:c r="F4044" s="11" t="n">
        <x:v>0</x:v>
      </x:c>
      <x:c r="G4044" s="11" t="n">
        <x:v>132.52</x:v>
      </x:c>
      <x:c r="H4044" s="23" t="n">
        <x:v>0.000006453767682929345</x:v>
      </x:c>
      <x:c r="I4044" s="23" t="n">
        <x:v>0.997868016595574</x:v>
      </x:c>
      <x:c r="J4044" s="2" t="n">
        <x:v>15</x:v>
      </x:c>
      <x:c r="K4044" s="2"/>
      <x:c r="L4044" s="2"/>
    </x:row>
    <x:row r="4045" ht="22" customHeight="1">
      <x:c r="A4045" s="2"/>
      <x:c r="B4045" s="2" t="n">
        <x:v>4012</x:v>
      </x:c>
      <x:c r="C4045" s="2" t="str">
        <x:v>45013</x:v>
      </x:c>
      <x:c r="D4045" s="2" t="str">
        <x:v>FOLDING SHOE TIDY</x:v>
      </x:c>
      <x:c r="E4045" s="11" t="n">
        <x:v>132</x:v>
      </x:c>
      <x:c r="F4045" s="11" t="n">
        <x:v>0</x:v>
      </x:c>
      <x:c r="G4045" s="11" t="n">
        <x:v>132</x:v>
      </x:c>
      <x:c r="H4045" s="23" t="n">
        <x:v>0.000006428443511520325</x:v>
      </x:c>
      <x:c r="I4045" s="23" t="n">
        <x:v>0.9978744450390855</x:v>
      </x:c>
      <x:c r="J4045" s="2" t="n">
        <x:v>8</x:v>
      </x:c>
      <x:c r="K4045" s="2"/>
      <x:c r="L4045" s="2"/>
    </x:row>
    <x:row r="4046" ht="22" customHeight="1">
      <x:c r="A4046" s="2"/>
      <x:c r="B4046" s="2" t="n">
        <x:v>4013</x:v>
      </x:c>
      <x:c r="C4046" s="2" t="str">
        <x:v>47592B</x:v>
      </x:c>
      <x:c r="D4046" s="2" t="str">
        <x:v>SCOTTIE DOGS CHILDRENS OVERALL</x:v>
      </x:c>
      <x:c r="E4046" s="11" t="n">
        <x:v>131.9</x:v>
      </x:c>
      <x:c r="F4046" s="11" t="n">
        <x:v>0</x:v>
      </x:c>
      <x:c r="G4046" s="11" t="n">
        <x:v>131.9</x:v>
      </x:c>
      <x:c r="H4046" s="23" t="n">
        <x:v>0.000006423573478557052</x:v>
      </x:c>
      <x:c r="I4046" s="23" t="n">
        <x:v>0.9978808686125641</x:v>
      </x:c>
      <x:c r="J4046" s="2" t="n">
        <x:v>29</x:v>
      </x:c>
      <x:c r="K4046" s="2"/>
      <x:c r="L4046" s="2"/>
    </x:row>
    <x:row r="4047" ht="22" customHeight="1">
      <x:c r="A4047" s="2"/>
      <x:c r="B4047" s="2" t="n">
        <x:v>4014</x:v>
      </x:c>
      <x:c r="C4047" s="2" t="str">
        <x:v>90023</x:v>
      </x:c>
      <x:c r="D4047" s="2" t="str">
        <x:v>FILIGREE DIAMANTE EARRINGS</x:v>
      </x:c>
      <x:c r="E4047" s="11" t="n">
        <x:v>131.74</x:v>
      </x:c>
      <x:c r="F4047" s="11" t="n">
        <x:v>0</x:v>
      </x:c>
      <x:c r="G4047" s="11" t="n">
        <x:v>131.74</x:v>
      </x:c>
      <x:c r="H4047" s="23" t="n">
        <x:v>0.000006415781425815816</x:v>
      </x:c>
      <x:c r="I4047" s="23" t="n">
        <x:v>0.9978872843939899</x:v>
      </x:c>
      <x:c r="J4047" s="2" t="n">
        <x:v>21</x:v>
      </x:c>
      <x:c r="K4047" s="2"/>
      <x:c r="L4047" s="2"/>
    </x:row>
    <x:row r="4048" ht="22" customHeight="1">
      <x:c r="A4048" s="2"/>
      <x:c r="B4048" s="2" t="n">
        <x:v>4015</x:v>
      </x:c>
      <x:c r="C4048" s="2" t="str">
        <x:v>90165B</x:v>
      </x:c>
      <x:c r="D4048" s="2" t="str">
        <x:v>WHITE ROSEBUD  PEARL EARRINGS</x:v>
      </x:c>
      <x:c r="E4048" s="11" t="n">
        <x:v>131.65</x:v>
      </x:c>
      <x:c r="F4048" s="11" t="n">
        <x:v>0</x:v>
      </x:c>
      <x:c r="G4048" s="11" t="n">
        <x:v>131.65</x:v>
      </x:c>
      <x:c r="H4048" s="23" t="n">
        <x:v>0.00000641139839614887</x:v>
      </x:c>
      <x:c r="I4048" s="23" t="n">
        <x:v>0.9978936957923861</x:v>
      </x:c>
      <x:c r="J4048" s="2" t="n">
        <x:v>35</x:v>
      </x:c>
      <x:c r="K4048" s="2"/>
      <x:c r="L4048" s="2"/>
    </x:row>
    <x:row r="4049" ht="22" customHeight="1">
      <x:c r="A4049" s="2"/>
      <x:c r="B4049" s="2" t="n">
        <x:v>4016</x:v>
      </x:c>
      <x:c r="C4049" s="2" t="str">
        <x:v>35933</x:v>
      </x:c>
      <x:c r="D4049" s="2" t="str">
        <x:v>PINK STOCKING CHRISTMAS DECORATION</x:v>
      </x:c>
      <x:c r="E4049" s="11" t="n">
        <x:v>131.38</x:v>
      </x:c>
      <x:c r="F4049" s="11" t="n">
        <x:v>0</x:v>
      </x:c>
      <x:c r="G4049" s="11" t="n">
        <x:v>131.38</x:v>
      </x:c>
      <x:c r="H4049" s="23" t="n">
        <x:v>0.000006398249307148033</x:v>
      </x:c>
      <x:c r="I4049" s="23" t="n">
        <x:v>0.9979000940416932</x:v>
      </x:c>
      <x:c r="J4049" s="2" t="n">
        <x:v>28</x:v>
      </x:c>
      <x:c r="K4049" s="2"/>
      <x:c r="L4049" s="2"/>
    </x:row>
    <x:row r="4050" ht="22" customHeight="1">
      <x:c r="A4050" s="2"/>
      <x:c r="B4050" s="2" t="n">
        <x:v>4017</x:v>
      </x:c>
      <x:c r="C4050" s="2" t="str">
        <x:v>90101</x:v>
      </x:c>
      <x:c r="D4050" s="2" t="str">
        <x:v>WHITE FRANGIPANI NECKLACE</x:v>
      </x:c>
      <x:c r="E4050" s="11" t="n">
        <x:v>131.16</x:v>
      </x:c>
      <x:c r="F4050" s="11" t="n">
        <x:v>15.299999999999999</x:v>
      </x:c>
      <x:c r="G4050" s="11" t="n">
        <x:v>115.86</x:v>
      </x:c>
      <x:c r="H4050" s="23" t="n">
        <x:v>0.000006387535234628832</x:v>
      </x:c>
      <x:c r="I4050" s="23" t="n">
        <x:v>0.9979064815769279</x:v>
      </x:c>
      <x:c r="J4050" s="2" t="n">
        <x:v>29</x:v>
      </x:c>
      <x:c r="K4050" s="2"/>
      <x:c r="L4050" s="2"/>
    </x:row>
    <x:row r="4051" ht="22" customHeight="1">
      <x:c r="A4051" s="2"/>
      <x:c r="B4051" s="2" t="n">
        <x:v>4018</x:v>
      </x:c>
      <x:c r="C4051" s="2" t="str">
        <x:v>84656</x:v>
      </x:c>
      <x:c r="D4051" s="2" t="str">
        <x:v>WHITE ROSE C/COVER</x:v>
      </x:c>
      <x:c r="E4051" s="11" t="n">
        <x:v>130.9</x:v>
      </x:c>
      <x:c r="F4051" s="11" t="n">
        <x:v>0</x:v>
      </x:c>
      <x:c r="G4051" s="11" t="n">
        <x:v>130.9</x:v>
      </x:c>
      <x:c r="H4051" s="23" t="n">
        <x:v>0.000006374873148924322</x:v>
      </x:c>
      <x:c r="I4051" s="23" t="n">
        <x:v>0.9979128564500768</x:v>
      </x:c>
      <x:c r="J4051" s="2" t="n">
        <x:v>13</x:v>
      </x:c>
      <x:c r="K4051" s="2"/>
      <x:c r="L4051" s="2"/>
    </x:row>
    <x:row r="4052" ht="22" customHeight="1">
      <x:c r="A4052" s="2"/>
      <x:c r="B4052" s="2" t="n">
        <x:v>4019</x:v>
      </x:c>
      <x:c r="C4052" s="2" t="str">
        <x:v>22888</x:v>
      </x:c>
      <x:c r="D4052" s="2" t="str">
        <x:v>NUMBER TILE VINTAGE FONT 9 </x:v>
      </x:c>
      <x:c r="E4052" s="11" t="n">
        <x:v>130.82999999999998</x:v>
      </x:c>
      <x:c r="F4052" s="11" t="n">
        <x:v>0</x:v>
      </x:c>
      <x:c r="G4052" s="11" t="n">
        <x:v>130.82999999999998</x:v>
      </x:c>
      <x:c r="H4052" s="23" t="n">
        <x:v>0.000006371464125850031</x:v>
      </x:c>
      <x:c r="I4052" s="23" t="n">
        <x:v>0.9979192279142026</x:v>
      </x:c>
      <x:c r="J4052" s="2" t="n">
        <x:v>23</x:v>
      </x:c>
      <x:c r="K4052" s="2"/>
      <x:c r="L4052" s="2"/>
    </x:row>
    <x:row r="4053" ht="22" customHeight="1">
      <x:c r="A4053" s="2"/>
      <x:c r="B4053" s="2" t="n">
        <x:v>4020</x:v>
      </x:c>
      <x:c r="C4053" s="2" t="str">
        <x:v>16119</x:v>
      </x:c>
      <x:c r="D4053" s="2" t="str">
        <x:v>FUNKY GIRL ADDRESS BOOK</x:v>
      </x:c>
      <x:c r="E4053" s="11" t="n">
        <x:v>130.71</x:v>
      </x:c>
      <x:c r="F4053" s="11" t="n">
        <x:v>0</x:v>
      </x:c>
      <x:c r="G4053" s="11" t="n">
        <x:v>130.71</x:v>
      </x:c>
      <x:c r="H4053" s="23" t="n">
        <x:v>0.000006365620086294104</x:v>
      </x:c>
      <x:c r="I4053" s="23" t="n">
        <x:v>0.9979255935342889</x:v>
      </x:c>
      <x:c r="J4053" s="2" t="n">
        <x:v>8</x:v>
      </x:c>
      <x:c r="K4053" s="2"/>
      <x:c r="L4053" s="2"/>
    </x:row>
    <x:row r="4054" ht="22" customHeight="1">
      <x:c r="A4054" s="2"/>
      <x:c r="B4054" s="2" t="n">
        <x:v>4021</x:v>
      </x:c>
      <x:c r="C4054" s="2" t="str">
        <x:v>84925E</x:v>
      </x:c>
      <x:c r="D4054" s="2" t="str">
        <x:v>FLOWERS WALL THERMOMETER</x:v>
      </x:c>
      <x:c r="E4054" s="11" t="n">
        <x:v>130.05</x:v>
      </x:c>
      <x:c r="F4054" s="11" t="n">
        <x:v>0</x:v>
      </x:c>
      <x:c r="G4054" s="11" t="n">
        <x:v>130.05</x:v>
      </x:c>
      <x:c r="H4054" s="23" t="n">
        <x:v>0.000006333477868736503</x:v>
      </x:c>
      <x:c r="I4054" s="23" t="n">
        <x:v>0.9979319270121576</x:v>
      </x:c>
      <x:c r="J4054" s="2" t="n">
        <x:v>3</x:v>
      </x:c>
      <x:c r="K4054" s="2"/>
      <x:c r="L4054" s="2"/>
    </x:row>
    <x:row r="4055" ht="22" customHeight="1">
      <x:c r="A4055" s="2"/>
      <x:c r="B4055" s="2" t="n">
        <x:v>4022</x:v>
      </x:c>
      <x:c r="C4055" s="2" t="str">
        <x:v>20899</x:v>
      </x:c>
      <x:c r="D4055" s="2" t="str">
        <x:v>VINTAGE NOTEBOOK RED ROSE</x:v>
      </x:c>
      <x:c r="E4055" s="11" t="n">
        <x:v>129.8</x:v>
      </x:c>
      <x:c r="F4055" s="11" t="n">
        <x:v>0</x:v>
      </x:c>
      <x:c r="G4055" s="11" t="n">
        <x:v>129.8</x:v>
      </x:c>
      <x:c r="H4055" s="23" t="n">
        <x:v>0.00000632130278632832</x:v>
      </x:c>
      <x:c r="I4055" s="23" t="n">
        <x:v>0.9979382483149439</x:v>
      </x:c>
      <x:c r="J4055" s="2" t="n">
        <x:v>12</x:v>
      </x:c>
      <x:c r="K4055" s="2"/>
      <x:c r="L4055" s="2"/>
    </x:row>
    <x:row r="4056" ht="22" customHeight="1">
      <x:c r="A4056" s="2"/>
      <x:c r="B4056" s="2" t="n">
        <x:v>4023</x:v>
      </x:c>
      <x:c r="C4056" s="2" t="str">
        <x:v>90099</x:v>
      </x:c>
      <x:c r="D4056" s="2" t="str">
        <x:v>NECKLACE+BRACELET SET BLUE HIBISCUS</x:v>
      </x:c>
      <x:c r="E4056" s="11" t="n">
        <x:v>129.69</x:v>
      </x:c>
      <x:c r="F4056" s="11" t="n">
        <x:v>0</x:v>
      </x:c>
      <x:c r="G4056" s="11" t="n">
        <x:v>129.69</x:v>
      </x:c>
      <x:c r="H4056" s="23" t="n">
        <x:v>0.000006315945750068719</x:v>
      </x:c>
      <x:c r="I4056" s="23" t="n">
        <x:v>0.997944564260694</x:v>
      </x:c>
      <x:c r="J4056" s="2" t="n">
        <x:v>25</x:v>
      </x:c>
      <x:c r="K4056" s="2"/>
      <x:c r="L4056" s="2"/>
    </x:row>
    <x:row r="4057" ht="22" customHeight="1">
      <x:c r="A4057" s="2"/>
      <x:c r="B4057" s="2" t="n">
        <x:v>4024</x:v>
      </x:c>
      <x:c r="C4057" s="2" t="str">
        <x:v>90190A</x:v>
      </x:c>
      <x:c r="D4057" s="2" t="str">
        <x:v>SILVER/CRYSTAL DROP EARRINGS W LEAF</x:v>
      </x:c>
      <x:c r="E4057" s="11" t="n">
        <x:v>129.59</x:v>
      </x:c>
      <x:c r="F4057" s="11" t="n">
        <x:v>0</x:v>
      </x:c>
      <x:c r="G4057" s="11" t="n">
        <x:v>129.59</x:v>
      </x:c>
      <x:c r="H4057" s="23" t="n">
        <x:v>0.000006311075717105447</x:v>
      </x:c>
      <x:c r="I4057" s="23" t="n">
        <x:v>0.9979508753364111</x:v>
      </x:c>
      <x:c r="J4057" s="2" t="n">
        <x:v>31</x:v>
      </x:c>
      <x:c r="K4057" s="2"/>
      <x:c r="L4057" s="2"/>
    </x:row>
    <x:row r="4058" ht="22" customHeight="1">
      <x:c r="A4058" s="2"/>
      <x:c r="B4058" s="2" t="n">
        <x:v>4025</x:v>
      </x:c>
      <x:c r="C4058" s="2" t="str">
        <x:v>84886</x:v>
      </x:c>
      <x:c r="D4058" s="2" t="str">
        <x:v>BLUE METAL WALL SHELF</x:v>
      </x:c>
      <x:c r="E4058" s="11" t="n">
        <x:v>129.35</x:v>
      </x:c>
      <x:c r="F4058" s="11" t="n">
        <x:v>0</x:v>
      </x:c>
      <x:c r="G4058" s="11" t="n">
        <x:v>129.35</x:v>
      </x:c>
      <x:c r="H4058" s="23" t="n">
        <x:v>0.000006299387637993591</x:v>
      </x:c>
      <x:c r="I4058" s="23" t="n">
        <x:v>0.9979571747240491</x:v>
      </x:c>
      <x:c r="J4058" s="2" t="n">
        <x:v>9</x:v>
      </x:c>
      <x:c r="K4058" s="2"/>
      <x:c r="L4058" s="2"/>
    </x:row>
    <x:row r="4059" ht="22" customHeight="1">
      <x:c r="A4059" s="2"/>
      <x:c r="B4059" s="2" t="n">
        <x:v>4026</x:v>
      </x:c>
      <x:c r="C4059" s="2" t="str">
        <x:v>10080</x:v>
      </x:c>
      <x:c r="D4059" s="2" t="str">
        <x:v>GROOVY CACTUS INFLATABLE</x:v>
      </x:c>
      <x:c r="E4059" s="11" t="n">
        <x:v>129.29</x:v>
      </x:c>
      <x:c r="F4059" s="11" t="n">
        <x:v>0</x:v>
      </x:c>
      <x:c r="G4059" s="11" t="n">
        <x:v>129.29</x:v>
      </x:c>
      <x:c r="H4059" s="23" t="n">
        <x:v>0.000006296465618215627</x:v>
      </x:c>
      <x:c r="I4059" s="23" t="n">
        <x:v>0.9979634711896673</x:v>
      </x:c>
      <x:c r="J4059" s="2" t="n">
        <x:v>27</x:v>
      </x:c>
      <x:c r="K4059" s="2"/>
      <x:c r="L4059" s="2"/>
    </x:row>
    <x:row r="4060" ht="22" customHeight="1">
      <x:c r="A4060" s="2"/>
      <x:c r="B4060" s="2" t="n">
        <x:v>4027</x:v>
      </x:c>
      <x:c r="C4060" s="2" t="str">
        <x:v>85160a</x:v>
      </x:c>
      <x:c r="D4060" s="2" t="str">
        <x:v>WHITE BIRD GARDEN DESIGN MUG</x:v>
      </x:c>
      <x:c r="E4060" s="11" t="n">
        <x:v>129.04</x:v>
      </x:c>
      <x:c r="F4060" s="11" t="n">
        <x:v>0</x:v>
      </x:c>
      <x:c r="G4060" s="11" t="n">
        <x:v>129.04</x:v>
      </x:c>
      <x:c r="H4060" s="23" t="n">
        <x:v>0.0000062842905358074445</x:v>
      </x:c>
      <x:c r="I4060" s="23" t="n">
        <x:v>0.9979697554802032</x:v>
      </x:c>
      <x:c r="J4060" s="2" t="n">
        <x:v>3</x:v>
      </x:c>
      <x:c r="K4060" s="2"/>
      <x:c r="L4060" s="2"/>
    </x:row>
    <x:row r="4061" ht="22" customHeight="1">
      <x:c r="A4061" s="2"/>
      <x:c r="B4061" s="2" t="n">
        <x:v>4028</x:v>
      </x:c>
      <x:c r="C4061" s="2" t="str">
        <x:v>84858A</x:v>
      </x:c>
      <x:c r="D4061" s="2" t="str">
        <x:v>NATURAL RIVIERA HANDBAG</x:v>
      </x:c>
      <x:c r="E4061" s="11" t="n">
        <x:v>128.83</x:v>
      </x:c>
      <x:c r="F4061" s="11" t="n">
        <x:v>0</x:v>
      </x:c>
      <x:c r="G4061" s="11" t="n">
        <x:v>128.83</x:v>
      </x:c>
      <x:c r="H4061" s="23" t="n">
        <x:v>0.000006274063466584572</x:v>
      </x:c>
      <x:c r="I4061" s="23" t="n">
        <x:v>0.9979760295436697</x:v>
      </x:c>
      <x:c r="J4061" s="2" t="n">
        <x:v>8</x:v>
      </x:c>
      <x:c r="K4061" s="2"/>
      <x:c r="L4061" s="2"/>
    </x:row>
    <x:row r="4062" ht="22" customHeight="1">
      <x:c r="A4062" s="2"/>
      <x:c r="B4062" s="2" t="n">
        <x:v>4029</x:v>
      </x:c>
      <x:c r="C4062" s="2" t="str">
        <x:v>90181A</x:v>
      </x:c>
      <x:c r="D4062" s="2" t="str">
        <x:v>AMBER GLASS/SHELL/PEARL NECKLACE</x:v>
      </x:c>
      <x:c r="E4062" s="11" t="n">
        <x:v>128.64</x:v>
      </x:c>
      <x:c r="F4062" s="11" t="n">
        <x:v>0</x:v>
      </x:c>
      <x:c r="G4062" s="11" t="n">
        <x:v>128.64</x:v>
      </x:c>
      <x:c r="H4062" s="23" t="n">
        <x:v>0.000006264810403954352</x:v>
      </x:c>
      <x:c r="I4062" s="23" t="n">
        <x:v>0.9979822943540737</x:v>
      </x:c>
      <x:c r="J4062" s="2" t="n">
        <x:v>14</x:v>
      </x:c>
      <x:c r="K4062" s="2"/>
      <x:c r="L4062" s="2"/>
    </x:row>
    <x:row r="4063" ht="22" customHeight="1">
      <x:c r="A4063" s="2"/>
      <x:c r="B4063" s="2" t="n">
        <x:v>4030</x:v>
      </x:c>
      <x:c r="C4063" s="2" t="str">
        <x:v>84559D</x:v>
      </x:c>
      <x:c r="D4063" s="2" t="str">
        <x:v>3D SHEET OF SEA WORLD STICKERS</x:v>
      </x:c>
      <x:c r="E4063" s="11" t="n">
        <x:v>128.41</x:v>
      </x:c>
      <x:c r="F4063" s="11" t="n">
        <x:v>0</x:v>
      </x:c>
      <x:c r="G4063" s="11" t="n">
        <x:v>128.41</x:v>
      </x:c>
      <x:c r="H4063" s="23" t="n">
        <x:v>0.000006253609328138825</x:v>
      </x:c>
      <x:c r="I4063" s="23" t="n">
        <x:v>0.9979885479634019</x:v>
      </x:c>
      <x:c r="J4063" s="2" t="n">
        <x:v>31</x:v>
      </x:c>
      <x:c r="K4063" s="2"/>
      <x:c r="L4063" s="2"/>
    </x:row>
    <x:row r="4064" ht="22" customHeight="1">
      <x:c r="A4064" s="2"/>
      <x:c r="B4064" s="2" t="n">
        <x:v>4031</x:v>
      </x:c>
      <x:c r="C4064" s="2" t="str">
        <x:v>90003E</x:v>
      </x:c>
      <x:c r="D4064" s="2" t="str">
        <x:v>GREEN PAIR HEART HAIR SLIDES</x:v>
      </x:c>
      <x:c r="E4064" s="11" t="n">
        <x:v>127.81</x:v>
      </x:c>
      <x:c r="F4064" s="11" t="n">
        <x:v>15</x:v>
      </x:c>
      <x:c r="G4064" s="11" t="n">
        <x:v>112.81</x:v>
      </x:c>
      <x:c r="H4064" s="23" t="n">
        <x:v>0.000006224389130359188</x:v>
      </x:c>
      <x:c r="I4064" s="23" t="n">
        <x:v>0.9979947723525322</x:v>
      </x:c>
      <x:c r="J4064" s="2" t="n">
        <x:v>22</x:v>
      </x:c>
      <x:c r="K4064" s="2"/>
      <x:c r="L4064" s="2"/>
    </x:row>
    <x:row r="4065" ht="22" customHeight="1">
      <x:c r="A4065" s="2"/>
      <x:c r="B4065" s="2" t="n">
        <x:v>4032</x:v>
      </x:c>
      <x:c r="C4065" s="2" t="str">
        <x:v>84251G</x:v>
      </x:c>
      <x:c r="D4065" s="2" t="str">
        <x:v>GREETING CARD, OVERCROWDED POOL.</x:v>
      </x:c>
      <x:c r="E4065" s="11" t="n">
        <x:v>127.75</x:v>
      </x:c>
      <x:c r="F4065" s="11" t="n">
        <x:v>0</x:v>
      </x:c>
      <x:c r="G4065" s="11" t="n">
        <x:v>127.75</x:v>
      </x:c>
      <x:c r="H4065" s="23" t="n">
        <x:v>0.000006221467110581224</x:v>
      </x:c>
      <x:c r="I4065" s="23" t="n">
        <x:v>0.9980009938196428</x:v>
      </x:c>
      <x:c r="J4065" s="2" t="n">
        <x:v>91</x:v>
      </x:c>
      <x:c r="K4065" s="2"/>
      <x:c r="L4065" s="2"/>
    </x:row>
    <x:row r="4066" ht="22" customHeight="1">
      <x:c r="A4066" s="2"/>
      <x:c r="B4066" s="2" t="n">
        <x:v>4033</x:v>
      </x:c>
      <x:c r="C4066" s="2" t="str">
        <x:v>90024D</x:v>
      </x:c>
      <x:c r="D4066" s="2" t="str">
        <x:v>NEW BAROQUE B'FLY NECKLACE PINK</x:v>
      </x:c>
      <x:c r="E4066" s="11" t="n">
        <x:v>127.5</x:v>
      </x:c>
      <x:c r="F4066" s="11" t="n">
        <x:v>0</x:v>
      </x:c>
      <x:c r="G4066" s="11" t="n">
        <x:v>127.5</x:v>
      </x:c>
      <x:c r="H4066" s="23" t="n">
        <x:v>0.0000062092920281730415</x:v>
      </x:c>
      <x:c r="I4066" s="23" t="n">
        <x:v>0.998007203111671</x:v>
      </x:c>
      <x:c r="J4066" s="2" t="n">
        <x:v>13</x:v>
      </x:c>
      <x:c r="K4066" s="2"/>
      <x:c r="L4066" s="2"/>
    </x:row>
    <x:row r="4067" ht="22" customHeight="1">
      <x:c r="A4067" s="2"/>
      <x:c r="B4067" s="2" t="n">
        <x:v>4034</x:v>
      </x:c>
      <x:c r="C4067" s="2" t="str">
        <x:v>84782B</x:v>
      </x:c>
      <x:c r="D4067" s="2" t="str">
        <x:v>BLACK 3 TIER GLASS PLATE STAND</x:v>
      </x:c>
      <x:c r="E4067" s="11" t="n">
        <x:v>127.5</x:v>
      </x:c>
      <x:c r="F4067" s="11" t="n">
        <x:v>0</x:v>
      </x:c>
      <x:c r="G4067" s="11" t="n">
        <x:v>127.5</x:v>
      </x:c>
      <x:c r="H4067" s="23" t="n">
        <x:v>0.0000062092920281730415</x:v>
      </x:c>
      <x:c r="I4067" s="23" t="n">
        <x:v>0.9980134124036992</x:v>
      </x:c>
      <x:c r="J4067" s="2" t="n">
        <x:v>6</x:v>
      </x:c>
      <x:c r="K4067" s="2"/>
      <x:c r="L4067" s="2"/>
    </x:row>
    <x:row r="4068" ht="22" customHeight="1">
      <x:c r="A4068" s="2"/>
      <x:c r="B4068" s="2" t="n">
        <x:v>4035</x:v>
      </x:c>
      <x:c r="C4068" s="2" t="str">
        <x:v>85018C</x:v>
      </x:c>
      <x:c r="D4068" s="2" t="str">
        <x:v>S/6 PAPER BOXES CURIOUS IMAGES </x:v>
      </x:c>
      <x:c r="E4068" s="11" t="n">
        <x:v>127.2</x:v>
      </x:c>
      <x:c r="F4068" s="11" t="n">
        <x:v>0</x:v>
      </x:c>
      <x:c r="G4068" s="11" t="n">
        <x:v>127.2</x:v>
      </x:c>
      <x:c r="H4068" s="23" t="n">
        <x:v>0.0000061946819292832226</x:v>
      </x:c>
      <x:c r="I4068" s="23" t="n">
        <x:v>0.9980196070856285</x:v>
      </x:c>
      <x:c r="J4068" s="2" t="n">
        <x:v>4</x:v>
      </x:c>
      <x:c r="K4068" s="2"/>
      <x:c r="L4068" s="2"/>
    </x:row>
    <x:row r="4069" ht="22" customHeight="1">
      <x:c r="A4069" s="2"/>
      <x:c r="B4069" s="2" t="n">
        <x:v>4036</x:v>
      </x:c>
      <x:c r="C4069" s="2" t="str">
        <x:v>81950B</x:v>
      </x:c>
      <x:c r="D4069" s="2" t="str">
        <x:v>FLOWER BLUE CLOCK WITH SUCKER</x:v>
      </x:c>
      <x:c r="E4069" s="11" t="n">
        <x:v>127.03</x:v>
      </x:c>
      <x:c r="F4069" s="11" t="n">
        <x:v>0.85</x:v>
      </x:c>
      <x:c r="G4069" s="11" t="n">
        <x:v>126.17999999999999</x:v>
      </x:c>
      <x:c r="H4069" s="23" t="n">
        <x:v>0.0000061864028732456585</x:v>
      </x:c>
      <x:c r="I4069" s="23" t="n">
        <x:v>0.9980257934885017</x:v>
      </x:c>
      <x:c r="J4069" s="2" t="n">
        <x:v>34</x:v>
      </x:c>
      <x:c r="K4069" s="2"/>
      <x:c r="L4069" s="2"/>
    </x:row>
    <x:row r="4070" ht="22" customHeight="1">
      <x:c r="A4070" s="2"/>
      <x:c r="B4070" s="2" t="n">
        <x:v>4037</x:v>
      </x:c>
      <x:c r="C4070" s="2" t="str">
        <x:v>16168S</x:v>
      </x:c>
      <x:c r="D4070" s="2" t="str">
        <x:v>FUNKY MONKEY GIFT BAG SMALL</x:v>
      </x:c>
      <x:c r="E4070" s="11" t="n">
        <x:v>126.82999999999998</x:v>
      </x:c>
      <x:c r="F4070" s="11" t="n">
        <x:v>0</x:v>
      </x:c>
      <x:c r="G4070" s="11" t="n">
        <x:v>126.82999999999998</x:v>
      </x:c>
      <x:c r="H4070" s="23" t="n">
        <x:v>0.000006176662807319111</x:v>
      </x:c>
      <x:c r="I4070" s="23" t="n">
        <x:v>0.9980319701513091</x:v>
      </x:c>
      <x:c r="J4070" s="2" t="n">
        <x:v>11</x:v>
      </x:c>
      <x:c r="K4070" s="2"/>
      <x:c r="L4070" s="2"/>
    </x:row>
    <x:row r="4071" ht="22" customHeight="1">
      <x:c r="A4071" s="2"/>
      <x:c r="B4071" s="2" t="n">
        <x:v>4038</x:v>
      </x:c>
      <x:c r="C4071" s="2" t="str">
        <x:v>23303</x:v>
      </x:c>
      <x:c r="D4071" s="2" t="str">
        <x:v>SET 4 PICNIC CUTLERY FONDANT</x:v>
      </x:c>
      <x:c r="E4071" s="11" t="n">
        <x:v>126.75</x:v>
      </x:c>
      <x:c r="F4071" s="11" t="n">
        <x:v>0</x:v>
      </x:c>
      <x:c r="G4071" s="11" t="n">
        <x:v>126.75</x:v>
      </x:c>
      <x:c r="H4071" s="23" t="n">
        <x:v>0.000006172766780948494</x:v>
      </x:c>
      <x:c r="I4071" s="23" t="n">
        <x:v>0.99803814291809</x:v>
      </x:c>
      <x:c r="J4071" s="2" t="n">
        <x:v>6</x:v>
      </x:c>
      <x:c r="K4071" s="2"/>
      <x:c r="L4071" s="2"/>
    </x:row>
    <x:row r="4072" ht="22" customHeight="1">
      <x:c r="A4072" s="2"/>
      <x:c r="B4072" s="2" t="n">
        <x:v>4039</x:v>
      </x:c>
      <x:c r="C4072" s="2" t="str">
        <x:v>84367</x:v>
      </x:c>
      <x:c r="D4072" s="2" t="str">
        <x:v>crushed</x:v>
      </x:c>
      <x:c r="E4072" s="11" t="n">
        <x:v>126.29999999999998</x:v>
      </x:c>
      <x:c r="F4072" s="11" t="n">
        <x:v>0</x:v>
      </x:c>
      <x:c r="G4072" s="11" t="n">
        <x:v>126.29999999999998</x:v>
      </x:c>
      <x:c r="H4072" s="23" t="n">
        <x:v>0.000006150851632613765</x:v>
      </x:c>
      <x:c r="I4072" s="23" t="n">
        <x:v>0.9980442937697226</x:v>
      </x:c>
      <x:c r="J4072" s="2" t="n">
        <x:v>8</x:v>
      </x:c>
      <x:c r="K4072" s="2"/>
      <x:c r="L4072" s="2"/>
    </x:row>
    <x:row r="4073" ht="22" customHeight="1">
      <x:c r="A4073" s="2"/>
      <x:c r="B4073" s="2" t="n">
        <x:v>4040</x:v>
      </x:c>
      <x:c r="C4073" s="2" t="str">
        <x:v>82607E</x:v>
      </x:c>
      <x:c r="D4073" s="2" t="str">
        <x:v>GLASS BONBON JAR. D'AMANDES</x:v>
      </x:c>
      <x:c r="E4073" s="11" t="n">
        <x:v>126.25</x:v>
      </x:c>
      <x:c r="F4073" s="11" t="n">
        <x:v>1.25</x:v>
      </x:c>
      <x:c r="G4073" s="11" t="n">
        <x:v>125</x:v>
      </x:c>
      <x:c r="H4073" s="23" t="n">
        <x:v>0.000006148416616132129</x:v>
      </x:c>
      <x:c r="I4073" s="23" t="n">
        <x:v>0.9980504421863388</x:v>
      </x:c>
      <x:c r="J4073" s="2" t="n">
        <x:v>25</x:v>
      </x:c>
      <x:c r="K4073" s="2"/>
      <x:c r="L4073" s="2"/>
    </x:row>
    <x:row r="4074" ht="22" customHeight="1">
      <x:c r="A4074" s="2"/>
      <x:c r="B4074" s="2" t="n">
        <x:v>4041</x:v>
      </x:c>
      <x:c r="C4074" s="2" t="str">
        <x:v>gift_0001_10</x:v>
      </x:c>
      <x:c r="D4074" s="2" t="str">
        <x:v>Dotcomgiftshop Gift Voucher £10.00</x:v>
      </x:c>
      <x:c r="E4074" s="11" t="n">
        <x:v>126.21</x:v>
      </x:c>
      <x:c r="F4074" s="11" t="n">
        <x:v>0</x:v>
      </x:c>
      <x:c r="G4074" s="11" t="n">
        <x:v>126.21</x:v>
      </x:c>
      <x:c r="H4074" s="23" t="n">
        <x:v>0.00000614646860294682</x:v>
      </x:c>
      <x:c r="I4074" s="23" t="n">
        <x:v>0.9980565886549417</x:v>
      </x:c>
      <x:c r="J4074" s="2" t="n">
        <x:v>14</x:v>
      </x:c>
      <x:c r="K4074" s="2"/>
      <x:c r="L4074" s="2"/>
    </x:row>
    <x:row r="4075" ht="22" customHeight="1">
      <x:c r="A4075" s="2"/>
      <x:c r="B4075" s="2" t="n">
        <x:v>4042</x:v>
      </x:c>
      <x:c r="C4075" s="2" t="str">
        <x:v>90174</x:v>
      </x:c>
      <x:c r="D4075" s="2" t="str">
        <x:v>BUTTERFLY HAIR BAND</x:v>
      </x:c>
      <x:c r="E4075" s="11" t="n">
        <x:v>126.11999999999999</x:v>
      </x:c>
      <x:c r="F4075" s="11" t="n">
        <x:v>30.599999999999998</x:v>
      </x:c>
      <x:c r="G4075" s="11" t="n">
        <x:v>95.52</x:v>
      </x:c>
      <x:c r="H4075" s="23" t="n">
        <x:v>0.000006142085573279873</x:v>
      </x:c>
      <x:c r="I4075" s="23" t="n">
        <x:v>0.998062730740515</x:v>
      </x:c>
      <x:c r="J4075" s="2" t="n">
        <x:v>32</x:v>
      </x:c>
      <x:c r="K4075" s="2"/>
      <x:c r="L4075" s="2"/>
    </x:row>
    <x:row r="4076" ht="22" customHeight="1">
      <x:c r="A4076" s="2"/>
      <x:c r="B4076" s="2" t="n">
        <x:v>4043</x:v>
      </x:c>
      <x:c r="C4076" s="2" t="str">
        <x:v>90108</x:v>
      </x:c>
      <x:c r="D4076" s="2" t="str">
        <x:v>BLUE BLOSSOM HAIR CLIP</x:v>
      </x:c>
      <x:c r="E4076" s="11" t="n">
        <x:v>125.83000000000001</x:v>
      </x:c>
      <x:c r="F4076" s="11" t="n">
        <x:v>10.5</x:v>
      </x:c>
      <x:c r="G4076" s="11" t="n">
        <x:v>115.33000000000001</x:v>
      </x:c>
      <x:c r="H4076" s="23" t="n">
        <x:v>0.000006127962477686384</x:v>
      </x:c>
      <x:c r="I4076" s="23" t="n">
        <x:v>0.9980688587029927</x:v>
      </x:c>
      <x:c r="J4076" s="2" t="n">
        <x:v>21</x:v>
      </x:c>
      <x:c r="K4076" s="2"/>
      <x:c r="L4076" s="2"/>
    </x:row>
    <x:row r="4077" ht="22" customHeight="1">
      <x:c r="A4077" s="2"/>
      <x:c r="B4077" s="2" t="n">
        <x:v>4044</x:v>
      </x:c>
      <x:c r="C4077" s="2" t="str">
        <x:v>23578</x:v>
      </x:c>
      <x:c r="D4077" s="2" t="str">
        <x:v>SNACK TRAY RED GINGHAM</x:v>
      </x:c>
      <x:c r="E4077" s="11" t="n">
        <x:v>125.72</x:v>
      </x:c>
      <x:c r="F4077" s="11" t="n">
        <x:v>0</x:v>
      </x:c>
      <x:c r="G4077" s="11" t="n">
        <x:v>125.72</x:v>
      </x:c>
      <x:c r="H4077" s="23" t="n">
        <x:v>0.000006122605441426782</x:v>
      </x:c>
      <x:c r="I4077" s="23" t="n">
        <x:v>0.9980749813084341</x:v>
      </x:c>
      <x:c r="J4077" s="2" t="n">
        <x:v>14</x:v>
      </x:c>
      <x:c r="K4077" s="2"/>
      <x:c r="L4077" s="2"/>
    </x:row>
    <x:row r="4078" ht="22" customHeight="1">
      <x:c r="A4078" s="2"/>
      <x:c r="B4078" s="2" t="n">
        <x:v>4045</x:v>
      </x:c>
      <x:c r="C4078" s="2" t="str">
        <x:v>90138</x:v>
      </x:c>
      <x:c r="D4078" s="2" t="str">
        <x:v>WHITE/PINK MINI CRYSTALS NECKLACE</x:v>
      </x:c>
      <x:c r="E4078" s="11" t="n">
        <x:v>125.64</x:v>
      </x:c>
      <x:c r="F4078" s="11" t="n">
        <x:v>0</x:v>
      </x:c>
      <x:c r="G4078" s="11" t="n">
        <x:v>125.64</x:v>
      </x:c>
      <x:c r="H4078" s="23" t="n">
        <x:v>0.000006118709415056164</x:v>
      </x:c>
      <x:c r="I4078" s="23" t="n">
        <x:v>0.9980811000178491</x:v>
      </x:c>
      <x:c r="J4078" s="2" t="n">
        <x:v>17</x:v>
      </x:c>
      <x:c r="K4078" s="2"/>
      <x:c r="L4078" s="2"/>
    </x:row>
    <x:row r="4079" ht="22" customHeight="1">
      <x:c r="A4079" s="2"/>
      <x:c r="B4079" s="2" t="n">
        <x:v>4046</x:v>
      </x:c>
      <x:c r="C4079" s="2" t="str">
        <x:v>84558a</x:v>
      </x:c>
      <x:c r="D4079" s="2" t="str">
        <x:v>3D DOG PICTURE PLAYING CARDS</x:v>
      </x:c>
      <x:c r="E4079" s="11" t="n">
        <x:v>125.17</x:v>
      </x:c>
      <x:c r="F4079" s="11" t="n">
        <x:v>0</x:v>
      </x:c>
      <x:c r="G4079" s="11" t="n">
        <x:v>125.17</x:v>
      </x:c>
      <x:c r="H4079" s="23" t="n">
        <x:v>0.000006095820260128781</x:v>
      </x:c>
      <x:c r="I4079" s="23" t="n">
        <x:v>0.9980871958381092</x:v>
      </x:c>
      <x:c r="J4079" s="2" t="n">
        <x:v>19</x:v>
      </x:c>
      <x:c r="K4079" s="2"/>
      <x:c r="L4079" s="2"/>
    </x:row>
    <x:row r="4080" ht="22" customHeight="1">
      <x:c r="A4080" s="2"/>
      <x:c r="B4080" s="2" t="n">
        <x:v>4047</x:v>
      </x:c>
      <x:c r="C4080" s="2" t="str">
        <x:v>84614A</x:v>
      </x:c>
      <x:c r="D4080" s="2" t="str">
        <x:v>thrown away</x:v>
      </x:c>
      <x:c r="E4080" s="11" t="n">
        <x:v>124.83</x:v>
      </x:c>
      <x:c r="F4080" s="11" t="n">
        <x:v>11.9</x:v>
      </x:c>
      <x:c r="G4080" s="11" t="n">
        <x:v>112.93</x:v>
      </x:c>
      <x:c r="H4080" s="23" t="n">
        <x:v>0.000006079262148053653</x:v>
      </x:c>
      <x:c r="I4080" s="23" t="n">
        <x:v>0.9980932751002572</x:v>
      </x:c>
      <x:c r="J4080" s="2" t="n">
        <x:v>10</x:v>
      </x:c>
      <x:c r="K4080" s="2"/>
      <x:c r="L4080" s="2"/>
    </x:row>
    <x:row r="4081" ht="22" customHeight="1">
      <x:c r="A4081" s="2"/>
      <x:c r="B4081" s="2" t="n">
        <x:v>4048</x:v>
      </x:c>
      <x:c r="C4081" s="2" t="str">
        <x:v>90002C</x:v>
      </x:c>
      <x:c r="D4081" s="2" t="str">
        <x:v>FLOWER BURST SILVER RING MIDN'T BLU</x:v>
      </x:c>
      <x:c r="E4081" s="11" t="n">
        <x:v>124.38</x:v>
      </x:c>
      <x:c r="F4081" s="11" t="n">
        <x:v>7.5</x:v>
      </x:c>
      <x:c r="G4081" s="11" t="n">
        <x:v>116.88</x:v>
      </x:c>
      <x:c r="H4081" s="23" t="n">
        <x:v>0.000006057346999718925</x:v>
      </x:c>
      <x:c r="I4081" s="23" t="n">
        <x:v>0.998099332447257</x:v>
      </x:c>
      <x:c r="J4081" s="2" t="n">
        <x:v>19</x:v>
      </x:c>
      <x:c r="K4081" s="2"/>
      <x:c r="L4081" s="2"/>
    </x:row>
    <x:row r="4082" ht="22" customHeight="1">
      <x:c r="A4082" s="2"/>
      <x:c r="B4082" s="2" t="n">
        <x:v>4049</x:v>
      </x:c>
      <x:c r="C4082" s="2" t="str">
        <x:v>85190</x:v>
      </x:c>
      <x:c r="D4082" s="2" t="str">
        <x:v>PINK FLOWER HANGING HEART </x:v>
      </x:c>
      <x:c r="E4082" s="11" t="n">
        <x:v>124.16</x:v>
      </x:c>
      <x:c r="F4082" s="11" t="n">
        <x:v>5.1</x:v>
      </x:c>
      <x:c r="G4082" s="11" t="n">
        <x:v>119.06</x:v>
      </x:c>
      <x:c r="H4082" s="23" t="n">
        <x:v>0.000006046632927199724</x:v>
      </x:c>
      <x:c r="I4082" s="23" t="n">
        <x:v>0.9981053790801843</x:v>
      </x:c>
      <x:c r="J4082" s="2" t="n">
        <x:v>17</x:v>
      </x:c>
      <x:c r="K4082" s="2"/>
      <x:c r="L4082" s="2"/>
    </x:row>
    <x:row r="4083" ht="22" customHeight="1">
      <x:c r="A4083" s="2"/>
      <x:c r="B4083" s="2" t="n">
        <x:v>4050</x:v>
      </x:c>
      <x:c r="C4083" s="2" t="str">
        <x:v>90162C</x:v>
      </x:c>
      <x:c r="D4083" s="2" t="str">
        <x:v>ANT SILVER FUSCHIA BOUDICCA RING</x:v>
      </x:c>
      <x:c r="E4083" s="11" t="n">
        <x:v>123.90000000000002</x:v>
      </x:c>
      <x:c r="F4083" s="11" t="n">
        <x:v>0</x:v>
      </x:c>
      <x:c r="G4083" s="11" t="n">
        <x:v>123.90000000000002</x:v>
      </x:c>
      <x:c r="H4083" s="23" t="n">
        <x:v>0.000006033970841495215</x:v>
      </x:c>
      <x:c r="I4083" s="23" t="n">
        <x:v>0.9981114130510258</x:v>
      </x:c>
      <x:c r="J4083" s="2" t="n">
        <x:v>16</x:v>
      </x:c>
      <x:c r="K4083" s="2"/>
      <x:c r="L4083" s="2"/>
    </x:row>
    <x:row r="4084" ht="22" customHeight="1">
      <x:c r="A4084" s="2"/>
      <x:c r="B4084" s="2" t="n">
        <x:v>4051</x:v>
      </x:c>
      <x:c r="C4084" s="2" t="str">
        <x:v>72133</x:v>
      </x:c>
      <x:c r="D4084" s="2" t="str">
        <x:v>COLUMBIAN CANDLE RECTANGLE</x:v>
      </x:c>
      <x:c r="E4084" s="11" t="n">
        <x:v>123.88</x:v>
      </x:c>
      <x:c r="F4084" s="11" t="n">
        <x:v>0</x:v>
      </x:c>
      <x:c r="G4084" s="11" t="n">
        <x:v>123.88</x:v>
      </x:c>
      <x:c r="H4084" s="23" t="n">
        <x:v>0.000006032996834902559</x:v>
      </x:c>
      <x:c r="I4084" s="23" t="n">
        <x:v>0.9981174460478607</x:v>
      </x:c>
      <x:c r="J4084" s="2" t="n">
        <x:v>31</x:v>
      </x:c>
      <x:c r="K4084" s="2"/>
      <x:c r="L4084" s="2"/>
    </x:row>
    <x:row r="4085" ht="22" customHeight="1">
      <x:c r="A4085" s="2"/>
      <x:c r="B4085" s="2" t="n">
        <x:v>4052</x:v>
      </x:c>
      <x:c r="C4085" s="2" t="str">
        <x:v>90168</x:v>
      </x:c>
      <x:c r="D4085" s="2" t="str">
        <x:v>2 DAISIES HAIR COMB</x:v>
      </x:c>
      <x:c r="E4085" s="11" t="n">
        <x:v>123.76</x:v>
      </x:c>
      <x:c r="F4085" s="11" t="n">
        <x:v>17.700000000000003</x:v>
      </x:c>
      <x:c r="G4085" s="11" t="n">
        <x:v>106.06</x:v>
      </x:c>
      <x:c r="H4085" s="23" t="n">
        <x:v>0.000006027152795346633</x:v>
      </x:c>
      <x:c r="I4085" s="23" t="n">
        <x:v>0.998123473200656</x:v>
      </x:c>
      <x:c r="J4085" s="2" t="n">
        <x:v>24</x:v>
      </x:c>
      <x:c r="K4085" s="2"/>
      <x:c r="L4085" s="2"/>
    </x:row>
    <x:row r="4086" ht="22" customHeight="1">
      <x:c r="A4086" s="2"/>
      <x:c r="B4086" s="2" t="n">
        <x:v>4053</x:v>
      </x:c>
      <x:c r="C4086" s="2" t="str">
        <x:v>17191A</x:v>
      </x:c>
      <x:c r="D4086" s="2" t="str">
        <x:v>ROSE FLOWER CANDLE+INCENSE 16X16CM</x:v>
      </x:c>
      <x:c r="E4086" s="11" t="n">
        <x:v>123.75</x:v>
      </x:c>
      <x:c r="F4086" s="11" t="n">
        <x:v>0</x:v>
      </x:c>
      <x:c r="G4086" s="11" t="n">
        <x:v>123.75</x:v>
      </x:c>
      <x:c r="H4086" s="23" t="n">
        <x:v>0.000006026665792050305</x:v>
      </x:c>
      <x:c r="I4086" s="23" t="n">
        <x:v>0.9981294998664481</x:v>
      </x:c>
      <x:c r="J4086" s="2" t="n">
        <x:v>12</x:v>
      </x:c>
      <x:c r="K4086" s="2"/>
      <x:c r="L4086" s="2"/>
    </x:row>
    <x:row r="4087" ht="22" customHeight="1">
      <x:c r="A4087" s="2"/>
      <x:c r="B4087" s="2" t="n">
        <x:v>4054</x:v>
      </x:c>
      <x:c r="C4087" s="2" t="str">
        <x:v>20816</x:v>
      </x:c>
      <x:c r="D4087" s="2" t="str">
        <x:v>GOLD FLOWER CUSHION COVER </x:v>
      </x:c>
      <x:c r="E4087" s="11" t="n">
        <x:v>123.6</x:v>
      </x:c>
      <x:c r="F4087" s="11" t="n">
        <x:v>33.75</x:v>
      </x:c>
      <x:c r="G4087" s="11" t="n">
        <x:v>89.85</x:v>
      </x:c>
      <x:c r="H4087" s="23" t="n">
        <x:v>0.000006019360742605395</x:v>
      </x:c>
      <x:c r="I4087" s="23" t="n">
        <x:v>0.9981355192271907</x:v>
      </x:c>
      <x:c r="J4087" s="2" t="n">
        <x:v>7</x:v>
      </x:c>
      <x:c r="K4087" s="2"/>
      <x:c r="L4087" s="2"/>
    </x:row>
    <x:row r="4088" ht="22" customHeight="1">
      <x:c r="A4088" s="2"/>
      <x:c r="B4088" s="2" t="n">
        <x:v>4055</x:v>
      </x:c>
      <x:c r="C4088" s="2" t="str">
        <x:v>22850</x:v>
      </x:c>
      <x:c r="D4088" s="2" t="str">
        <x:v>BREAD BIN DINER STYLE BLACK</x:v>
      </x:c>
      <x:c r="E4088" s="11" t="n">
        <x:v>123.6</x:v>
      </x:c>
      <x:c r="F4088" s="11" t="n">
        <x:v>123.6</x:v>
      </x:c>
      <x:c r="G4088" s="11" t="n">
        <x:v>7.105427357601002e-15</x:v>
      </x:c>
      <x:c r="H4088" s="23" t="n">
        <x:v>0.000006019360742605395</x:v>
      </x:c>
      <x:c r="I4088" s="23" t="n">
        <x:v>0.9981415385879333</x:v>
      </x:c>
      <x:c r="J4088" s="2" t="n">
        <x:v>1</x:v>
      </x:c>
      <x:c r="K4088" s="2"/>
      <x:c r="L4088" s="2"/>
    </x:row>
    <x:row r="4089" ht="22" customHeight="1">
      <x:c r="A4089" s="2"/>
      <x:c r="B4089" s="2" t="n">
        <x:v>4056</x:v>
      </x:c>
      <x:c r="C4089" s="2" t="str">
        <x:v>23477</x:v>
      </x:c>
      <x:c r="D4089" s="2" t="str">
        <x:v>WOODLAND LARGE BLUE FELT HEART</x:v>
      </x:c>
      <x:c r="E4089" s="11" t="n">
        <x:v>123.47</x:v>
      </x:c>
      <x:c r="F4089" s="11" t="n">
        <x:v>0</x:v>
      </x:c>
      <x:c r="G4089" s="11" t="n">
        <x:v>123.47</x:v>
      </x:c>
      <x:c r="H4089" s="23" t="n">
        <x:v>0.00000601302969975314</x:v>
      </x:c>
      <x:c r="I4089" s="23" t="n">
        <x:v>0.998147551617633</x:v>
      </x:c>
      <x:c r="J4089" s="2" t="n">
        <x:v>13</x:v>
      </x:c>
      <x:c r="K4089" s="2"/>
      <x:c r="L4089" s="2"/>
    </x:row>
    <x:row r="4090" ht="22" customHeight="1">
      <x:c r="A4090" s="2"/>
      <x:c r="B4090" s="2" t="n">
        <x:v>4057</x:v>
      </x:c>
      <x:c r="C4090" s="2" t="str">
        <x:v>21228</x:v>
      </x:c>
      <x:c r="D4090" s="2" t="str">
        <x:v>POCKET MIRROR "GLAMOROUS"</x:v>
      </x:c>
      <x:c r="E4090" s="11" t="n">
        <x:v>122.57</x:v>
      </x:c>
      <x:c r="F4090" s="11" t="n">
        <x:v>0</x:v>
      </x:c>
      <x:c r="G4090" s="11" t="n">
        <x:v>122.57</x:v>
      </x:c>
      <x:c r="H4090" s="23" t="n">
        <x:v>0.0000059691994030836835</x:v>
      </x:c>
      <x:c r="I4090" s="23" t="n">
        <x:v>0.9981535208170361</x:v>
      </x:c>
      <x:c r="J4090" s="2" t="n">
        <x:v>31</x:v>
      </x:c>
      <x:c r="K4090" s="2"/>
      <x:c r="L4090" s="2"/>
    </x:row>
    <x:row r="4091" ht="22" customHeight="1">
      <x:c r="A4091" s="2"/>
      <x:c r="B4091" s="2" t="n">
        <x:v>4058</x:v>
      </x:c>
      <x:c r="C4091" s="2" t="str">
        <x:v>79308B</x:v>
      </x:c>
      <x:c r="D4091" s="2" t="str">
        <x:v>MOSAIC CANDLE DISH BLUE PURPLE</x:v>
      </x:c>
      <x:c r="E4091" s="11" t="n">
        <x:v>122.39999999999999</x:v>
      </x:c>
      <x:c r="F4091" s="11" t="n">
        <x:v>0</x:v>
      </x:c>
      <x:c r="G4091" s="11" t="n">
        <x:v>122.39999999999999</x:v>
      </x:c>
      <x:c r="H4091" s="23" t="n">
        <x:v>0.0000059609203470461194</x:v>
      </x:c>
      <x:c r="I4091" s="23" t="n">
        <x:v>0.9981594817373831</x:v>
      </x:c>
      <x:c r="J4091" s="2" t="n">
        <x:v>2</x:v>
      </x:c>
      <x:c r="K4091" s="2"/>
      <x:c r="L4091" s="2"/>
    </x:row>
    <x:row r="4092" ht="22" customHeight="1">
      <x:c r="A4092" s="2"/>
      <x:c r="B4092" s="2" t="n">
        <x:v>4059</x:v>
      </x:c>
      <x:c r="C4092" s="2" t="str">
        <x:v>90205C</x:v>
      </x:c>
      <x:c r="D4092" s="2" t="str">
        <x:v>LARGE CRYSTAL DIAMANTE HAIRSLIDE</x:v>
      </x:c>
      <x:c r="E4092" s="11" t="n">
        <x:v>122.31</x:v>
      </x:c>
      <x:c r="F4092" s="11" t="n">
        <x:v>0</x:v>
      </x:c>
      <x:c r="G4092" s="11" t="n">
        <x:v>122.31</x:v>
      </x:c>
      <x:c r="H4092" s="23" t="n">
        <x:v>0.000005956537317379174</x:v>
      </x:c>
      <x:c r="I4092" s="23" t="n">
        <x:v>0.9981654382747005</x:v>
      </x:c>
      <x:c r="J4092" s="2" t="n">
        <x:v>24</x:v>
      </x:c>
      <x:c r="K4092" s="2"/>
      <x:c r="L4092" s="2"/>
    </x:row>
    <x:row r="4093" ht="22" customHeight="1">
      <x:c r="A4093" s="2"/>
      <x:c r="B4093" s="2" t="n">
        <x:v>4060</x:v>
      </x:c>
      <x:c r="C4093" s="2" t="str">
        <x:v>84199</x:v>
      </x:c>
      <x:c r="D4093" s="2" t="str">
        <x:v>GLOW IN DARK DOLPHINS</x:v>
      </x:c>
      <x:c r="E4093" s="11" t="n">
        <x:v>121.92</x:v>
      </x:c>
      <x:c r="F4093" s="11" t="n">
        <x:v>2.52</x:v>
      </x:c>
      <x:c r="G4093" s="11" t="n">
        <x:v>119.4</x:v>
      </x:c>
      <x:c r="H4093" s="23" t="n">
        <x:v>0.00000593754418882241</x:v>
      </x:c>
      <x:c r="I4093" s="23" t="n">
        <x:v>0.9981713758188894</x:v>
      </x:c>
      <x:c r="J4093" s="2" t="n">
        <x:v>69</x:v>
      </x:c>
      <x:c r="K4093" s="2"/>
      <x:c r="L4093" s="2"/>
    </x:row>
    <x:row r="4094" ht="22" customHeight="1">
      <x:c r="A4094" s="2"/>
      <x:c r="B4094" s="2" t="n">
        <x:v>4061</x:v>
      </x:c>
      <x:c r="C4094" s="2" t="str">
        <x:v>44242B</x:v>
      </x:c>
      <x:c r="D4094" s="2" t="str">
        <x:v>PINK FEATHERS CURTAIN</x:v>
      </x:c>
      <x:c r="E4094" s="11" t="n">
        <x:v>121.53</x:v>
      </x:c>
      <x:c r="F4094" s="11" t="n">
        <x:v>0</x:v>
      </x:c>
      <x:c r="G4094" s="11" t="n">
        <x:v>121.53</x:v>
      </x:c>
      <x:c r="H4094" s="23" t="n">
        <x:v>0.000005918551060265645</x:v>
      </x:c>
      <x:c r="I4094" s="23" t="n">
        <x:v>0.9981772943699496</x:v>
      </x:c>
      <x:c r="J4094" s="2" t="n">
        <x:v>9</x:v>
      </x:c>
      <x:c r="K4094" s="2"/>
      <x:c r="L4094" s="2"/>
    </x:row>
    <x:row r="4095" ht="22" customHeight="1">
      <x:c r="A4095" s="2"/>
      <x:c r="B4095" s="2" t="n">
        <x:v>4062</x:v>
      </x:c>
      <x:c r="C4095" s="2" t="str">
        <x:v>79532</x:v>
      </x:c>
      <x:c r="D4095" s="2" t="str">
        <x:v>MOSAIC GLASS BALL CANDLEHOLDER</x:v>
      </x:c>
      <x:c r="E4095" s="11" t="n">
        <x:v>121.25</x:v>
      </x:c>
      <x:c r="F4095" s="11" t="n">
        <x:v>1.25</x:v>
      </x:c>
      <x:c r="G4095" s="11" t="n">
        <x:v>120</x:v>
      </x:c>
      <x:c r="H4095" s="23" t="n">
        <x:v>0.00000590491496796848</x:v>
      </x:c>
      <x:c r="I4095" s="23" t="n">
        <x:v>0.9981831992849176</x:v>
      </x:c>
      <x:c r="J4095" s="2" t="n">
        <x:v>18</x:v>
      </x:c>
      <x:c r="K4095" s="2"/>
      <x:c r="L4095" s="2"/>
    </x:row>
    <x:row r="4096" ht="22" customHeight="1">
      <x:c r="A4096" s="2"/>
      <x:c r="B4096" s="2" t="n">
        <x:v>4063</x:v>
      </x:c>
      <x:c r="C4096" s="2" t="str">
        <x:v>84288B</x:v>
      </x:c>
      <x:c r="D4096" s="2" t="str">
        <x:v>SET/2 BLUE  NOODLE BASKETS</x:v>
      </x:c>
      <x:c r="E4096" s="11" t="n">
        <x:v>120.89999999999999</x:v>
      </x:c>
      <x:c r="F4096" s="11" t="n">
        <x:v>3.9</x:v>
      </x:c>
      <x:c r="G4096" s="11" t="n">
        <x:v>117</x:v>
      </x:c>
      <x:c r="H4096" s="23" t="n">
        <x:v>0.000005887869852597025</x:v>
      </x:c>
      <x:c r="I4096" s="23" t="n">
        <x:v>0.9981890871547702</x:v>
      </x:c>
      <x:c r="J4096" s="2" t="n">
        <x:v>24</x:v>
      </x:c>
      <x:c r="K4096" s="2"/>
      <x:c r="L4096" s="2"/>
    </x:row>
    <x:row r="4097" ht="22" customHeight="1">
      <x:c r="A4097" s="2"/>
      <x:c r="B4097" s="2" t="n">
        <x:v>4064</x:v>
      </x:c>
      <x:c r="C4097" s="2" t="str">
        <x:v>23467</x:v>
      </x:c>
      <x:c r="D4097" s="2" t="str">
        <x:v>VINTAGE ZINC PLANTER  </x:v>
      </x:c>
      <x:c r="E4097" s="11" t="n">
        <x:v>120.08000000000001</x:v>
      </x:c>
      <x:c r="F4097" s="11" t="n">
        <x:v>0</x:v>
      </x:c>
      <x:c r="G4097" s="11" t="n">
        <x:v>120.08000000000001</x:v>
      </x:c>
      <x:c r="H4097" s="23" t="n">
        <x:v>0.000005847935582298187</x:v>
      </x:c>
      <x:c r="I4097" s="23" t="n">
        <x:v>0.9981949350903525</x:v>
      </x:c>
      <x:c r="J4097" s="2" t="n">
        <x:v>11</x:v>
      </x:c>
      <x:c r="K4097" s="2"/>
      <x:c r="L4097" s="2"/>
    </x:row>
    <x:row r="4098" ht="22" customHeight="1">
      <x:c r="A4098" s="2"/>
      <x:c r="B4098" s="2" t="n">
        <x:v>4065</x:v>
      </x:c>
      <x:c r="C4098" s="2" t="str">
        <x:v>35916B</x:v>
      </x:c>
      <x:c r="D4098" s="2" t="str">
        <x:v>BLUE FELT HANGING HEART WITH FLOWER</x:v>
      </x:c>
      <x:c r="E4098" s="11" t="n">
        <x:v>119.67</x:v>
      </x:c>
      <x:c r="F4098" s="11" t="n">
        <x:v>0</x:v>
      </x:c>
      <x:c r="G4098" s="11" t="n">
        <x:v>119.67</x:v>
      </x:c>
      <x:c r="H4098" s="23" t="n">
        <x:v>0.000005827968447148767</x:v>
      </x:c>
      <x:c r="I4098" s="23" t="n">
        <x:v>0.9982007630587997</x:v>
      </x:c>
      <x:c r="J4098" s="2" t="n">
        <x:v>46</x:v>
      </x:c>
      <x:c r="K4098" s="2"/>
      <x:c r="L4098" s="2"/>
    </x:row>
    <x:row r="4099" ht="22" customHeight="1">
      <x:c r="A4099" s="2"/>
      <x:c r="B4099" s="2" t="n">
        <x:v>4066</x:v>
      </x:c>
      <x:c r="C4099" s="2" t="str">
        <x:v>35607A</x:v>
      </x:c>
      <x:c r="D4099" s="2" t="str">
        <x:v>PINK FLUFFY CHRISTMAS DECORATION</x:v>
      </x:c>
      <x:c r="E4099" s="11" t="n">
        <x:v>118.81</x:v>
      </x:c>
      <x:c r="F4099" s="11" t="n">
        <x:v>0</x:v>
      </x:c>
      <x:c r="G4099" s="11" t="n">
        <x:v>118.81</x:v>
      </x:c>
      <x:c r="H4099" s="23" t="n">
        <x:v>0.00000578608616366462</x:v>
      </x:c>
      <x:c r="I4099" s="23" t="n">
        <x:v>0.9982065491449633</x:v>
      </x:c>
      <x:c r="J4099" s="2" t="n">
        <x:v>31</x:v>
      </x:c>
      <x:c r="K4099" s="2"/>
      <x:c r="L4099" s="2"/>
    </x:row>
    <x:row r="4100" ht="22" customHeight="1">
      <x:c r="A4100" s="2"/>
      <x:c r="B4100" s="2" t="n">
        <x:v>4067</x:v>
      </x:c>
      <x:c r="C4100" s="2" t="str">
        <x:v>90018C</x:v>
      </x:c>
      <x:c r="D4100" s="2" t="str">
        <x:v>SILVER BLACK ORBIT DROP EARRINGS</x:v>
      </x:c>
      <x:c r="E4100" s="11" t="n">
        <x:v>118.51</x:v>
      </x:c>
      <x:c r="F4100" s="11" t="n">
        <x:v>4.25</x:v>
      </x:c>
      <x:c r="G4100" s="11" t="n">
        <x:v>114.26</x:v>
      </x:c>
      <x:c r="H4100" s="23" t="n">
        <x:v>0.0000057714760647748015</x:v>
      </x:c>
      <x:c r="I4100" s="23" t="n">
        <x:v>0.998212320621028</x:v>
      </x:c>
      <x:c r="J4100" s="2" t="n">
        <x:v>20</x:v>
      </x:c>
      <x:c r="K4100" s="2"/>
      <x:c r="L4100" s="2"/>
    </x:row>
    <x:row r="4101" ht="22" customHeight="1">
      <x:c r="A4101" s="2"/>
      <x:c r="B4101" s="2" t="n">
        <x:v>4068</x:v>
      </x:c>
      <x:c r="C4101" s="2" t="str">
        <x:v>20887</x:v>
      </x:c>
      <x:c r="D4101" s="2" t="str">
        <x:v>BOX OF 6 PEBBLE CANDLES</x:v>
      </x:c>
      <x:c r="E4101" s="11" t="n">
        <x:v>118.39</x:v>
      </x:c>
      <x:c r="F4101" s="11" t="n">
        <x:v>0</x:v>
      </x:c>
      <x:c r="G4101" s="11" t="n">
        <x:v>118.39</x:v>
      </x:c>
      <x:c r="H4101" s="23" t="n">
        <x:v>0.000005765632025218873</x:v>
      </x:c>
      <x:c r="I4101" s="23" t="n">
        <x:v>0.9982180862530533</x:v>
      </x:c>
      <x:c r="J4101" s="2" t="n">
        <x:v>8</x:v>
      </x:c>
      <x:c r="K4101" s="2"/>
      <x:c r="L4101" s="2"/>
    </x:row>
    <x:row r="4102" ht="22" customHeight="1">
      <x:c r="A4102" s="2"/>
      <x:c r="B4102" s="2" t="n">
        <x:v>4069</x:v>
      </x:c>
      <x:c r="C4102" s="2" t="str">
        <x:v>90139</x:v>
      </x:c>
      <x:c r="D4102" s="2" t="str">
        <x:v>FLOWER BROOCH 4 ASSORTED COLOURS</x:v>
      </x:c>
      <x:c r="E4102" s="11" t="n">
        <x:v>118.24000000000001</x:v>
      </x:c>
      <x:c r="F4102" s="11" t="n">
        <x:v>0</x:v>
      </x:c>
      <x:c r="G4102" s="11" t="n">
        <x:v>118.24000000000001</x:v>
      </x:c>
      <x:c r="H4102" s="23" t="n">
        <x:v>0.000005758326975773964</x:v>
      </x:c>
      <x:c r="I4102" s="23" t="n">
        <x:v>0.9982238445800291</x:v>
      </x:c>
      <x:c r="J4102" s="2" t="n">
        <x:v>18</x:v>
      </x:c>
      <x:c r="K4102" s="2"/>
      <x:c r="L4102" s="2"/>
    </x:row>
    <x:row r="4103" ht="22" customHeight="1">
      <x:c r="A4103" s="2"/>
      <x:c r="B4103" s="2" t="n">
        <x:v>4070</x:v>
      </x:c>
      <x:c r="C4103" s="2" t="str">
        <x:v>20896</x:v>
      </x:c>
      <x:c r="D4103" s="2" t="str">
        <x:v>VINTAGE NOTEBOOK PINK FLOWER</x:v>
      </x:c>
      <x:c r="E4103" s="11" t="n">
        <x:v>118.00000000000001</x:v>
      </x:c>
      <x:c r="F4103" s="11" t="n">
        <x:v>0</x:v>
      </x:c>
      <x:c r="G4103" s="11" t="n">
        <x:v>118.00000000000001</x:v>
      </x:c>
      <x:c r="H4103" s="23" t="n">
        <x:v>0.000005746638896662109</x:v>
      </x:c>
      <x:c r="I4103" s="23" t="n">
        <x:v>0.9982295912189257</x:v>
      </x:c>
      <x:c r="J4103" s="2" t="n">
        <x:v>14</x:v>
      </x:c>
      <x:c r="K4103" s="2"/>
      <x:c r="L4103" s="2"/>
    </x:row>
    <x:row r="4104" ht="22" customHeight="1">
      <x:c r="A4104" s="2"/>
      <x:c r="B4104" s="2" t="n">
        <x:v>4071</x:v>
      </x:c>
      <x:c r="C4104" s="2" t="str">
        <x:v>84510E</x:v>
      </x:c>
      <x:c r="D4104" s="2" t="str">
        <x:v>SET OF 4 GREEN CAROUSEL COASTERS</x:v>
      </x:c>
      <x:c r="E4104" s="11" t="n">
        <x:v>117.77</x:v>
      </x:c>
      <x:c r="F4104" s="11" t="n">
        <x:v>0</x:v>
      </x:c>
      <x:c r="G4104" s="11" t="n">
        <x:v>117.77</x:v>
      </x:c>
      <x:c r="H4104" s="23" t="n">
        <x:v>0.00000573543782084658</x:v>
      </x:c>
      <x:c r="I4104" s="23" t="n">
        <x:v>0.9982353266567466</x:v>
      </x:c>
      <x:c r="J4104" s="2" t="n">
        <x:v>28</x:v>
      </x:c>
      <x:c r="K4104" s="2"/>
      <x:c r="L4104" s="2"/>
    </x:row>
    <x:row r="4105" ht="22" customHeight="1">
      <x:c r="A4105" s="2"/>
      <x:c r="B4105" s="2" t="n">
        <x:v>4072</x:v>
      </x:c>
      <x:c r="C4105" s="2" t="str">
        <x:v>84751B</x:v>
      </x:c>
      <x:c r="D4105" s="2" t="str">
        <x:v>BLACK MEDIUM GLASS CAKE STAND</x:v>
      </x:c>
      <x:c r="E4105" s="11" t="n">
        <x:v>117.44</x:v>
      </x:c>
      <x:c r="F4105" s="11" t="n">
        <x:v>8.29</x:v>
      </x:c>
      <x:c r="G4105" s="11" t="n">
        <x:v>109.15</x:v>
      </x:c>
      <x:c r="H4105" s="23" t="n">
        <x:v>0.00000571936671206778</x:v>
      </x:c>
      <x:c r="I4105" s="23" t="n">
        <x:v>0.9982410460234588</x:v>
      </x:c>
      <x:c r="J4105" s="2" t="n">
        <x:v>19</x:v>
      </x:c>
      <x:c r="K4105" s="2"/>
      <x:c r="L4105" s="2"/>
    </x:row>
    <x:row r="4106" ht="22" customHeight="1">
      <x:c r="A4106" s="2"/>
      <x:c r="B4106" s="2" t="n">
        <x:v>4073</x:v>
      </x:c>
      <x:c r="C4106" s="2" t="str">
        <x:v>35824C</x:v>
      </x:c>
      <x:c r="D4106" s="2" t="str">
        <x:v>damaged</x:v>
      </x:c>
      <x:c r="E4106" s="11" t="n">
        <x:v>117.05</x:v>
      </x:c>
      <x:c r="F4106" s="11" t="n">
        <x:v>0</x:v>
      </x:c>
      <x:c r="G4106" s="11" t="n">
        <x:v>117.05</x:v>
      </x:c>
      <x:c r="H4106" s="23" t="n">
        <x:v>0.000005700373583511015</x:v>
      </x:c>
      <x:c r="I4106" s="23" t="n">
        <x:v>0.9982467463970423</x:v>
      </x:c>
      <x:c r="J4106" s="2" t="n">
        <x:v>8</x:v>
      </x:c>
      <x:c r="K4106" s="2"/>
      <x:c r="L4106" s="2"/>
    </x:row>
    <x:row r="4107" ht="22" customHeight="1">
      <x:c r="A4107" s="2"/>
      <x:c r="B4107" s="2" t="n">
        <x:v>4074</x:v>
      </x:c>
      <x:c r="C4107" s="2" t="str">
        <x:v>23151</x:v>
      </x:c>
      <x:c r="D4107" s="2" t="str">
        <x:v>ZINC SWEETHEART SOAP DISH</x:v>
      </x:c>
      <x:c r="E4107" s="11" t="n">
        <x:v>116.82000000000001</x:v>
      </x:c>
      <x:c r="F4107" s="11" t="n">
        <x:v>0</x:v>
      </x:c>
      <x:c r="G4107" s="11" t="n">
        <x:v>116.82000000000001</x:v>
      </x:c>
      <x:c r="H4107" s="23" t="n">
        <x:v>0.000005689172507695488</x:v>
      </x:c>
      <x:c r="I4107" s="23" t="n">
        <x:v>0.9982524355695499</x:v>
      </x:c>
      <x:c r="J4107" s="2" t="n">
        <x:v>21</x:v>
      </x:c>
      <x:c r="K4107" s="2"/>
      <x:c r="L4107" s="2"/>
    </x:row>
    <x:row r="4108" ht="22" customHeight="1">
      <x:c r="A4108" s="2"/>
      <x:c r="B4108" s="2" t="n">
        <x:v>4075</x:v>
      </x:c>
      <x:c r="C4108" s="2" t="str">
        <x:v>23185</x:v>
      </x:c>
      <x:c r="D4108" s="2" t="str">
        <x:v>FRENCH STYLE STORAGE JAR JAM</x:v>
      </x:c>
      <x:c r="E4108" s="11" t="n">
        <x:v>116.58999999999999</x:v>
      </x:c>
      <x:c r="F4108" s="11" t="n">
        <x:v>0.29</x:v>
      </x:c>
      <x:c r="G4108" s="11" t="n">
        <x:v>116.29999999999998</x:v>
      </x:c>
      <x:c r="H4108" s="23" t="n">
        <x:v>0.0000056779714318799596</x:v>
      </x:c>
      <x:c r="I4108" s="23" t="n">
        <x:v>0.9982581135409818</x:v>
      </x:c>
      <x:c r="J4108" s="2" t="n">
        <x:v>30</x:v>
      </x:c>
      <x:c r="K4108" s="2"/>
      <x:c r="L4108" s="2"/>
    </x:row>
    <x:row r="4109" ht="22" customHeight="1">
      <x:c r="A4109" s="2"/>
      <x:c r="B4109" s="2" t="n">
        <x:v>4076</x:v>
      </x:c>
      <x:c r="C4109" s="2" t="str">
        <x:v>72038P</x:v>
      </x:c>
      <x:c r="D4109" s="2" t="str">
        <x:v>damages</x:v>
      </x:c>
      <x:c r="E4109" s="11" t="n">
        <x:v>116.5</x:v>
      </x:c>
      <x:c r="F4109" s="11" t="n">
        <x:v>10.5</x:v>
      </x:c>
      <x:c r="G4109" s="11" t="n">
        <x:v>106</x:v>
      </x:c>
      <x:c r="H4109" s="23" t="n">
        <x:v>0.000005673588402213014</x:v>
      </x:c>
      <x:c r="I4109" s="23" t="n">
        <x:v>0.998263787129384</x:v>
      </x:c>
      <x:c r="J4109" s="2" t="n">
        <x:v>9</x:v>
      </x:c>
      <x:c r="K4109" s="2"/>
      <x:c r="L4109" s="2"/>
    </x:row>
    <x:row r="4110" ht="22" customHeight="1">
      <x:c r="A4110" s="2"/>
      <x:c r="B4110" s="2" t="n">
        <x:v>4077</x:v>
      </x:c>
      <x:c r="C4110" s="2" t="str">
        <x:v>16206B</x:v>
      </x:c>
      <x:c r="D4110" s="2" t="str">
        <x:v>RED PURSE WITH PINK HEART</x:v>
      </x:c>
      <x:c r="E4110" s="11" t="n">
        <x:v>116.4</x:v>
      </x:c>
      <x:c r="F4110" s="11" t="n">
        <x:v>0</x:v>
      </x:c>
      <x:c r="G4110" s="11" t="n">
        <x:v>116.4</x:v>
      </x:c>
      <x:c r="H4110" s="23" t="n">
        <x:v>0.000005668718369249741</x:v>
      </x:c>
      <x:c r="I4110" s="23" t="n">
        <x:v>0.9982694558477533</x:v>
      </x:c>
      <x:c r="J4110" s="2" t="n">
        <x:v>16</x:v>
      </x:c>
      <x:c r="K4110" s="2"/>
      <x:c r="L4110" s="2"/>
    </x:row>
    <x:row r="4111" ht="22" customHeight="1">
      <x:c r="A4111" s="2"/>
      <x:c r="B4111" s="2" t="n">
        <x:v>4078</x:v>
      </x:c>
      <x:c r="C4111" s="2" t="str">
        <x:v>20848</x:v>
      </x:c>
      <x:c r="D4111" s="2" t="str">
        <x:v>ZINC HEART LATTICE CHARGER SMALL</x:v>
      </x:c>
      <x:c r="E4111" s="11" t="n">
        <x:v>115.05000000000001</x:v>
      </x:c>
      <x:c r="F4111" s="11" t="n">
        <x:v>0</x:v>
      </x:c>
      <x:c r="G4111" s="11" t="n">
        <x:v>115.05000000000001</x:v>
      </x:c>
      <x:c r="H4111" s="23" t="n">
        <x:v>0.0000056029729242455566</x:v>
      </x:c>
      <x:c r="I4111" s="23" t="n">
        <x:v>0.9982750588206776</x:v>
      </x:c>
      <x:c r="J4111" s="2" t="n">
        <x:v>12</x:v>
      </x:c>
      <x:c r="K4111" s="2"/>
      <x:c r="L4111" s="2"/>
    </x:row>
    <x:row r="4112" ht="22" customHeight="1">
      <x:c r="A4112" s="2"/>
      <x:c r="B4112" s="2" t="n">
        <x:v>4079</x:v>
      </x:c>
      <x:c r="C4112" s="2" t="str">
        <x:v>84462</x:v>
      </x:c>
      <x:c r="D4112" s="2" t="str">
        <x:v>3 PINK HEN+CHICKS IN BASKET</x:v>
      </x:c>
      <x:c r="E4112" s="11" t="n">
        <x:v>114.86</x:v>
      </x:c>
      <x:c r="F4112" s="11" t="n">
        <x:v>0</x:v>
      </x:c>
      <x:c r="G4112" s="11" t="n">
        <x:v>114.86</x:v>
      </x:c>
      <x:c r="H4112" s="23" t="n">
        <x:v>0.0000055937198616153375</x:v>
      </x:c>
      <x:c r="I4112" s="23" t="n">
        <x:v>0.9982806525405392</x:v>
      </x:c>
      <x:c r="J4112" s="2" t="n">
        <x:v>14</x:v>
      </x:c>
      <x:c r="K4112" s="2"/>
      <x:c r="L4112" s="2"/>
    </x:row>
    <x:row r="4113" ht="22" customHeight="1">
      <x:c r="A4113" s="2"/>
      <x:c r="B4113" s="2" t="n">
        <x:v>4080</x:v>
      </x:c>
      <x:c r="C4113" s="2" t="str">
        <x:v>20698</x:v>
      </x:c>
      <x:c r="D4113" s="2" t="str">
        <x:v>LITTLE PINK MONSTER SOFT TOY</x:v>
      </x:c>
      <x:c r="E4113" s="11" t="n">
        <x:v>114.44999999999999</x:v>
      </x:c>
      <x:c r="F4113" s="11" t="n">
        <x:v>0</x:v>
      </x:c>
      <x:c r="G4113" s="11" t="n">
        <x:v>114.44999999999999</x:v>
      </x:c>
      <x:c r="H4113" s="23" t="n">
        <x:v>0.000005573752726465918</x:v>
      </x:c>
      <x:c r="I4113" s="23" t="n">
        <x:v>0.9982862262932657</x:v>
      </x:c>
      <x:c r="J4113" s="2" t="n">
        <x:v>21</x:v>
      </x:c>
      <x:c r="K4113" s="2"/>
      <x:c r="L4113" s="2"/>
    </x:row>
    <x:row r="4114" ht="22" customHeight="1">
      <x:c r="A4114" s="2"/>
      <x:c r="B4114" s="2" t="n">
        <x:v>4081</x:v>
      </x:c>
      <x:c r="C4114" s="2" t="str">
        <x:v>90049</x:v>
      </x:c>
      <x:c r="D4114" s="2" t="str">
        <x:v>IVORY GOLD METAL BAG CHARM</x:v>
      </x:c>
      <x:c r="E4114" s="11" t="n">
        <x:v>114.24</x:v>
      </x:c>
      <x:c r="F4114" s="11" t="n">
        <x:v>34.65</x:v>
      </x:c>
      <x:c r="G4114" s="11" t="n">
        <x:v>79.59</x:v>
      </x:c>
      <x:c r="H4114" s="23" t="n">
        <x:v>0.000005563525657243045</x:v>
      </x:c>
      <x:c r="I4114" s="23" t="n">
        <x:v>0.998291789818923</x:v>
      </x:c>
      <x:c r="J4114" s="2" t="n">
        <x:v>6</x:v>
      </x:c>
      <x:c r="K4114" s="2"/>
      <x:c r="L4114" s="2"/>
    </x:row>
    <x:row r="4115" ht="22" customHeight="1">
      <x:c r="A4115" s="2"/>
      <x:c r="B4115" s="2" t="n">
        <x:v>4082</x:v>
      </x:c>
      <x:c r="C4115" s="2" t="str">
        <x:v>90030A</x:v>
      </x:c>
      <x:c r="D4115" s="2" t="str">
        <x:v>SPOTTED WHITE NATURAL SEED NECKLACE</x:v>
      </x:c>
      <x:c r="E4115" s="11" t="n">
        <x:v>113.76</x:v>
      </x:c>
      <x:c r="F4115" s="11" t="n">
        <x:v>0</x:v>
      </x:c>
      <x:c r="G4115" s="11" t="n">
        <x:v>113.76</x:v>
      </x:c>
      <x:c r="H4115" s="23" t="n">
        <x:v>0.000005540149499019335</x:v>
      </x:c>
      <x:c r="I4115" s="23" t="n">
        <x:v>0.998297329968422</x:v>
      </x:c>
      <x:c r="J4115" s="2" t="n">
        <x:v>10</x:v>
      </x:c>
      <x:c r="K4115" s="2"/>
      <x:c r="L4115" s="2"/>
    </x:row>
    <x:row r="4116" ht="22" customHeight="1">
      <x:c r="A4116" s="2"/>
      <x:c r="B4116" s="2" t="n">
        <x:v>4083</x:v>
      </x:c>
      <x:c r="C4116" s="2" t="str">
        <x:v>84705B</x:v>
      </x:c>
      <x:c r="D4116" s="2" t="str">
        <x:v>FAIRY CAKES PHOTO FRAME</x:v>
      </x:c>
      <x:c r="E4116" s="11" t="n">
        <x:v>113.27</x:v>
      </x:c>
      <x:c r="F4116" s="11" t="n">
        <x:v>0</x:v>
      </x:c>
      <x:c r="G4116" s="11" t="n">
        <x:v>113.27</x:v>
      </x:c>
      <x:c r="H4116" s="23" t="n">
        <x:v>0.000005516286337499297</x:v>
      </x:c>
      <x:c r="I4116" s="23" t="n">
        <x:v>0.9983028462547595</x:v>
      </x:c>
      <x:c r="J4116" s="2" t="n">
        <x:v>3</x:v>
      </x:c>
      <x:c r="K4116" s="2"/>
      <x:c r="L4116" s="2"/>
    </x:row>
    <x:row r="4117" ht="22" customHeight="1">
      <x:c r="A4117" s="2"/>
      <x:c r="B4117" s="2" t="n">
        <x:v>4084</x:v>
      </x:c>
      <x:c r="C4117" s="2" t="str">
        <x:v>84249A</x:v>
      </x:c>
      <x:c r="D4117" s="2" t="str">
        <x:v>GREETING CARD,SQUARE, DOUGHNUTS</x:v>
      </x:c>
      <x:c r="E4117" s="11" t="n">
        <x:v>113.22</x:v>
      </x:c>
      <x:c r="F4117" s="11" t="n">
        <x:v>0</x:v>
      </x:c>
      <x:c r="G4117" s="11" t="n">
        <x:v>113.22</x:v>
      </x:c>
      <x:c r="H4117" s="23" t="n">
        <x:v>0.00000551385132101766</x:v>
      </x:c>
      <x:c r="I4117" s="23" t="n">
        <x:v>0.9983083601060805</x:v>
      </x:c>
      <x:c r="J4117" s="2" t="n">
        <x:v>34</x:v>
      </x:c>
      <x:c r="K4117" s="2"/>
      <x:c r="L4117" s="2"/>
    </x:row>
    <x:row r="4118" ht="22" customHeight="1">
      <x:c r="A4118" s="2"/>
      <x:c r="B4118" s="2" t="n">
        <x:v>4085</x:v>
      </x:c>
      <x:c r="C4118" s="2" t="str">
        <x:v>90179C</x:v>
      </x:c>
      <x:c r="D4118" s="2" t="str">
        <x:v>BLACK FINE BEAD NECKLACE W TASSEL</x:v>
      </x:c>
      <x:c r="E4118" s="11" t="n">
        <x:v>112.78</x:v>
      </x:c>
      <x:c r="F4118" s="11" t="n">
        <x:v>5.95</x:v>
      </x:c>
      <x:c r="G4118" s="11" t="n">
        <x:v>106.83000000000001</x:v>
      </x:c>
      <x:c r="H4118" s="23" t="n">
        <x:v>0.00000549242317597926</x:v>
      </x:c>
      <x:c r="I4118" s="23" t="n">
        <x:v>0.9983138525292564</x:v>
      </x:c>
      <x:c r="J4118" s="2" t="n">
        <x:v>16</x:v>
      </x:c>
      <x:c r="K4118" s="2"/>
      <x:c r="L4118" s="2"/>
    </x:row>
    <x:row r="4119" ht="22" customHeight="1">
      <x:c r="A4119" s="2"/>
      <x:c r="B4119" s="2" t="n">
        <x:v>4086</x:v>
      </x:c>
      <x:c r="C4119" s="2" t="str">
        <x:v>21089</x:v>
      </x:c>
      <x:c r="D4119" s="2" t="str">
        <x:v>damaged</x:v>
      </x:c>
      <x:c r="E4119" s="11" t="n">
        <x:v>112.54</x:v>
      </x:c>
      <x:c r="F4119" s="11" t="n">
        <x:v>0</x:v>
      </x:c>
      <x:c r="G4119" s="11" t="n">
        <x:v>112.54</x:v>
      </x:c>
      <x:c r="H4119" s="23" t="n">
        <x:v>0.000005480735096867405</x:v>
      </x:c>
      <x:c r="I4119" s="23" t="n">
        <x:v>0.9983193332643533</x:v>
      </x:c>
      <x:c r="J4119" s="2" t="n">
        <x:v>40</x:v>
      </x:c>
      <x:c r="K4119" s="2"/>
      <x:c r="L4119" s="2"/>
    </x:row>
    <x:row r="4120" ht="22" customHeight="1">
      <x:c r="A4120" s="2"/>
      <x:c r="B4120" s="2" t="n">
        <x:v>4087</x:v>
      </x:c>
      <x:c r="C4120" s="2" t="str">
        <x:v>84921</x:v>
      </x:c>
      <x:c r="D4120" s="2" t="str">
        <x:v>CREAM AND PINK FLOWERS PONY </x:v>
      </x:c>
      <x:c r="E4120" s="11" t="n">
        <x:v>112.5</x:v>
      </x:c>
      <x:c r="F4120" s="11" t="n">
        <x:v>0</x:v>
      </x:c>
      <x:c r="G4120" s="11" t="n">
        <x:v>112.5</x:v>
      </x:c>
      <x:c r="H4120" s="23" t="n">
        <x:v>0.000005478787083682095</x:v>
      </x:c>
      <x:c r="I4120" s="23" t="n">
        <x:v>0.998324812051437</x:v>
      </x:c>
      <x:c r="J4120" s="2" t="n">
        <x:v>14</x:v>
      </x:c>
      <x:c r="K4120" s="2"/>
      <x:c r="L4120" s="2"/>
    </x:row>
    <x:row r="4121" ht="22" customHeight="1">
      <x:c r="A4121" s="2"/>
      <x:c r="B4121" s="2" t="n">
        <x:v>4088</x:v>
      </x:c>
      <x:c r="C4121" s="2" t="str">
        <x:v>44236</x:v>
      </x:c>
      <x:c r="D4121" s="2" t="str">
        <x:v>PINK/PURPLE CIRCLE CURTAIN</x:v>
      </x:c>
      <x:c r="E4121" s="11" t="n">
        <x:v>112.32000000000001</x:v>
      </x:c>
      <x:c r="F4121" s="11" t="n">
        <x:v>0</x:v>
      </x:c>
      <x:c r="G4121" s="11" t="n">
        <x:v>112.32000000000001</x:v>
      </x:c>
      <x:c r="H4121" s="23" t="n">
        <x:v>0.000005470021024348204</x:v>
      </x:c>
      <x:c r="I4121" s="23" t="n">
        <x:v>0.9983302820724613</x:v>
      </x:c>
      <x:c r="J4121" s="2" t="n">
        <x:v>12</x:v>
      </x:c>
      <x:c r="K4121" s="2"/>
      <x:c r="L4121" s="2"/>
    </x:row>
    <x:row r="4122" ht="22" customHeight="1">
      <x:c r="A4122" s="2"/>
      <x:c r="B4122" s="2" t="n">
        <x:v>4089</x:v>
      </x:c>
      <x:c r="C4122" s="2" t="str">
        <x:v>71510</x:v>
      </x:c>
      <x:c r="D4122" s="2" t="str">
        <x:v>SQUARE METAL CANDLEHOLDER BASE</x:v>
      </x:c>
      <x:c r="E4122" s="11" t="n">
        <x:v>112.05</x:v>
      </x:c>
      <x:c r="F4122" s="11" t="n">
        <x:v>0</x:v>
      </x:c>
      <x:c r="G4122" s="11" t="n">
        <x:v>112.05</x:v>
      </x:c>
      <x:c r="H4122" s="23" t="n">
        <x:v>0.000005456871935347367</x:v>
      </x:c>
      <x:c r="I4122" s="23" t="n">
        <x:v>0.9983357389443966</x:v>
      </x:c>
      <x:c r="J4122" s="2" t="n">
        <x:v>17</x:v>
      </x:c>
      <x:c r="K4122" s="2"/>
      <x:c r="L4122" s="2"/>
    </x:row>
    <x:row r="4123" ht="22" customHeight="1">
      <x:c r="A4123" s="2"/>
      <x:c r="B4123" s="2" t="n">
        <x:v>4090</x:v>
      </x:c>
      <x:c r="C4123" s="2" t="str">
        <x:v>35916A</x:v>
      </x:c>
      <x:c r="D4123" s="2" t="str">
        <x:v>YELLOW FELT HANGING HEART W FLOWER</x:v>
      </x:c>
      <x:c r="E4123" s="11" t="n">
        <x:v>112.03999999999999</x:v>
      </x:c>
      <x:c r="F4123" s="11" t="n">
        <x:v>0</x:v>
      </x:c>
      <x:c r="G4123" s="11" t="n">
        <x:v>112.03999999999999</x:v>
      </x:c>
      <x:c r="H4123" s="23" t="n">
        <x:v>0.000005456384932051039</x:v>
      </x:c>
      <x:c r="I4123" s="23" t="n">
        <x:v>0.9983411953293287</x:v>
      </x:c>
      <x:c r="J4123" s="2" t="n">
        <x:v>44</x:v>
      </x:c>
      <x:c r="K4123" s="2"/>
      <x:c r="L4123" s="2"/>
    </x:row>
    <x:row r="4124" ht="22" customHeight="1">
      <x:c r="A4124" s="2"/>
      <x:c r="B4124" s="2" t="n">
        <x:v>4091</x:v>
      </x:c>
      <x:c r="C4124" s="2" t="str">
        <x:v>71495B</x:v>
      </x:c>
      <x:c r="D4124" s="2" t="str">
        <x:v>CD WALL TIDY RED FLOWERS</x:v>
      </x:c>
      <x:c r="E4124" s="11" t="n">
        <x:v>111.57000000000001</x:v>
      </x:c>
      <x:c r="F4124" s="11" t="n">
        <x:v>0</x:v>
      </x:c>
      <x:c r="G4124" s="11" t="n">
        <x:v>111.57000000000001</x:v>
      </x:c>
      <x:c r="H4124" s="23" t="n">
        <x:v>0.000005433495777123657</x:v>
      </x:c>
      <x:c r="I4124" s="23" t="n">
        <x:v>0.9983466288251058</x:v>
      </x:c>
      <x:c r="J4124" s="2" t="n">
        <x:v>18</x:v>
      </x:c>
      <x:c r="K4124" s="2"/>
      <x:c r="L4124" s="2"/>
    </x:row>
    <x:row r="4125" ht="22" customHeight="1">
      <x:c r="A4125" s="2"/>
      <x:c r="B4125" s="2" t="n">
        <x:v>4092</x:v>
      </x:c>
      <x:c r="C4125" s="2" t="str">
        <x:v>35966</x:v>
      </x:c>
      <x:c r="D4125" s="2" t="str">
        <x:v>FOLKART CHRISTMAS TREE T-LIGHT HOLD</x:v>
      </x:c>
      <x:c r="E4125" s="11" t="n">
        <x:v>111.34</x:v>
      </x:c>
      <x:c r="F4125" s="11" t="n">
        <x:v>0</x:v>
      </x:c>
      <x:c r="G4125" s="11" t="n">
        <x:v>111.34</x:v>
      </x:c>
      <x:c r="H4125" s="23" t="n">
        <x:v>0.000005422294701308129</x:v>
      </x:c>
      <x:c r="I4125" s="23" t="n">
        <x:v>0.9983520511198072</x:v>
      </x:c>
      <x:c r="J4125" s="2" t="n">
        <x:v>26</x:v>
      </x:c>
      <x:c r="K4125" s="2"/>
      <x:c r="L4125" s="2"/>
    </x:row>
    <x:row r="4126" ht="22" customHeight="1">
      <x:c r="A4126" s="2"/>
      <x:c r="B4126" s="2" t="n">
        <x:v>4093</x:v>
      </x:c>
      <x:c r="C4126" s="2" t="str">
        <x:v>10138</x:v>
      </x:c>
      <x:c r="D4126" s="2" t="str">
        <x:v>ASSORTED COLOUR JUMBO PEN</x:v>
      </x:c>
      <x:c r="E4126" s="11" t="n">
        <x:v>111.22</x:v>
      </x:c>
      <x:c r="F4126" s="11" t="n">
        <x:v>81.9</x:v>
      </x:c>
      <x:c r="G4126" s="11" t="n">
        <x:v>29.32</x:v>
      </x:c>
      <x:c r="H4126" s="23" t="n">
        <x:v>0.000005416450661752201</x:v>
      </x:c>
      <x:c r="I4126" s="23" t="n">
        <x:v>0.998357467570469</x:v>
      </x:c>
      <x:c r="J4126" s="2" t="n">
        <x:v>21</x:v>
      </x:c>
      <x:c r="K4126" s="2"/>
      <x:c r="L4126" s="2"/>
    </x:row>
    <x:row r="4127" ht="22" customHeight="1">
      <x:c r="A4127" s="2"/>
      <x:c r="B4127" s="2" t="n">
        <x:v>4094</x:v>
      </x:c>
      <x:c r="C4127" s="2" t="str">
        <x:v>84493</x:v>
      </x:c>
      <x:c r="D4127" s="2" t="str">
        <x:v>BLUE/PINK NEST STRIPE BOX</x:v>
      </x:c>
      <x:c r="E4127" s="11" t="n">
        <x:v>111.11999999999999</x:v>
      </x:c>
      <x:c r="F4127" s="11" t="n">
        <x:v>45.36</x:v>
      </x:c>
      <x:c r="G4127" s="11" t="n">
        <x:v>65.75999999999999</x:v>
      </x:c>
      <x:c r="H4127" s="23" t="n">
        <x:v>0.000005411580628788928</x:v>
      </x:c>
      <x:c r="I4127" s="23" t="n">
        <x:v>0.9983628791510978</x:v>
      </x:c>
      <x:c r="J4127" s="2" t="n">
        <x:v>5</x:v>
      </x:c>
      <x:c r="K4127" s="2"/>
      <x:c r="L4127" s="2"/>
    </x:row>
    <x:row r="4128" ht="22" customHeight="1">
      <x:c r="A4128" s="2"/>
      <x:c r="B4128" s="2" t="n">
        <x:v>4095</x:v>
      </x:c>
      <x:c r="C4128" s="2" t="str">
        <x:v>90103</x:v>
      </x:c>
      <x:c r="D4128" s="2" t="str">
        <x:v>PURPLE FRANGIPANI NECKLACE</x:v>
      </x:c>
      <x:c r="E4128" s="11" t="n">
        <x:v>110.85</x:v>
      </x:c>
      <x:c r="F4128" s="11" t="n">
        <x:v>0</x:v>
      </x:c>
      <x:c r="G4128" s="11" t="n">
        <x:v>110.85</x:v>
      </x:c>
      <x:c r="H4128" s="23" t="n">
        <x:v>0.0000053984315397880905</x:v>
      </x:c>
      <x:c r="I4128" s="23" t="n">
        <x:v>0.9983682775826376</x:v>
      </x:c>
      <x:c r="J4128" s="2" t="n">
        <x:v>30</x:v>
      </x:c>
      <x:c r="K4128" s="2"/>
      <x:c r="L4128" s="2"/>
    </x:row>
    <x:row r="4129" ht="22" customHeight="1">
      <x:c r="A4129" s="2"/>
      <x:c r="B4129" s="2" t="n">
        <x:v>4096</x:v>
      </x:c>
      <x:c r="C4129" s="2" t="str">
        <x:v>82069</x:v>
      </x:c>
      <x:c r="D4129" s="2" t="str">
        <x:v>BEECH WOOD P/FRAME</x:v>
      </x:c>
      <x:c r="E4129" s="11" t="n">
        <x:v>109.85</x:v>
      </x:c>
      <x:c r="F4129" s="11" t="n">
        <x:v>0</x:v>
      </x:c>
      <x:c r="G4129" s="11" t="n">
        <x:v>109.85</x:v>
      </x:c>
      <x:c r="H4129" s="23" t="n">
        <x:v>0.000005349731210155361</x:v>
      </x:c>
      <x:c r="I4129" s="23" t="n">
        <x:v>0.9983736273138477</x:v>
      </x:c>
      <x:c r="J4129" s="2" t="n">
        <x:v>11</x:v>
      </x:c>
      <x:c r="K4129" s="2"/>
      <x:c r="L4129" s="2"/>
    </x:row>
    <x:row r="4130" ht="22" customHeight="1">
      <x:c r="A4130" s="2"/>
      <x:c r="B4130" s="2" t="n">
        <x:v>4097</x:v>
      </x:c>
      <x:c r="C4130" s="2" t="str">
        <x:v>85185F</x:v>
      </x:c>
      <x:c r="D4130" s="2" t="str">
        <x:v>LION SOCK PUPPET</x:v>
      </x:c>
      <x:c r="E4130" s="11" t="n">
        <x:v>109.15</x:v>
      </x:c>
      <x:c r="F4130" s="11" t="n">
        <x:v>0</x:v>
      </x:c>
      <x:c r="G4130" s="11" t="n">
        <x:v>109.15</x:v>
      </x:c>
      <x:c r="H4130" s="23" t="n">
        <x:v>0.000005315640979412451</x:v>
      </x:c>
      <x:c r="I4130" s="23" t="n">
        <x:v>0.9983789429548271</x:v>
      </x:c>
      <x:c r="J4130" s="2" t="n">
        <x:v>19</x:v>
      </x:c>
      <x:c r="K4130" s="2"/>
      <x:c r="L4130" s="2"/>
    </x:row>
    <x:row r="4131" ht="22" customHeight="1">
      <x:c r="A4131" s="2"/>
      <x:c r="B4131" s="2" t="n">
        <x:v>4098</x:v>
      </x:c>
      <x:c r="C4131" s="2" t="str">
        <x:v>84247H</x:v>
      </x:c>
      <x:c r="D4131" s="2" t="str">
        <x:v>PACK/12 DECOUPAGE CARD</x:v>
      </x:c>
      <x:c r="E4131" s="11" t="n">
        <x:v>109.13000000000001</x:v>
      </x:c>
      <x:c r="F4131" s="11" t="n">
        <x:v>32.45</x:v>
      </x:c>
      <x:c r="G4131" s="11" t="n">
        <x:v>76.68</x:v>
      </x:c>
      <x:c r="H4131" s="23" t="n">
        <x:v>0.000005314666972819797</x:v>
      </x:c>
      <x:c r="I4131" s="23" t="n">
        <x:v>0.9983842576217999</x:v>
      </x:c>
      <x:c r="J4131" s="2" t="n">
        <x:v>20</x:v>
      </x:c>
      <x:c r="K4131" s="2"/>
      <x:c r="L4131" s="2"/>
    </x:row>
    <x:row r="4132" ht="22" customHeight="1">
      <x:c r="A4132" s="2"/>
      <x:c r="B4132" s="2" t="n">
        <x:v>4099</x:v>
      </x:c>
      <x:c r="C4132" s="2" t="str">
        <x:v>90177C</x:v>
      </x:c>
      <x:c r="D4132" s="2" t="str">
        <x:v>DROP DIAMANTE EARRINGS CRYSTAL</x:v>
      </x:c>
      <x:c r="E4132" s="11" t="n">
        <x:v>109.03</x:v>
      </x:c>
      <x:c r="F4132" s="11" t="n">
        <x:v>17.700000000000003</x:v>
      </x:c>
      <x:c r="G4132" s="11" t="n">
        <x:v>91.33</x:v>
      </x:c>
      <x:c r="H4132" s="23" t="n">
        <x:v>0.0000053097969398565235</x:v>
      </x:c>
      <x:c r="I4132" s="23" t="n">
        <x:v>0.9983895674187399</x:v>
      </x:c>
      <x:c r="J4132" s="2" t="n">
        <x:v>24</x:v>
      </x:c>
      <x:c r="K4132" s="2"/>
      <x:c r="L4132" s="2"/>
    </x:row>
    <x:row r="4133" ht="22" customHeight="1">
      <x:c r="A4133" s="2"/>
      <x:c r="B4133" s="2" t="n">
        <x:v>4100</x:v>
      </x:c>
      <x:c r="C4133" s="2" t="str">
        <x:v>90071</x:v>
      </x:c>
      <x:c r="D4133" s="2" t="str">
        <x:v>RUBY GLASS CLUSTER EARRINGS</x:v>
      </x:c>
      <x:c r="E4133" s="11" t="n">
        <x:v>108.99</x:v>
      </x:c>
      <x:c r="F4133" s="11" t="n">
        <x:v>0</x:v>
      </x:c>
      <x:c r="G4133" s="11" t="n">
        <x:v>108.99</x:v>
      </x:c>
      <x:c r="H4133" s="23" t="n">
        <x:v>0.0000053078489266712135</x:v>
      </x:c>
      <x:c r="I4133" s="23" t="n">
        <x:v>0.9983948752676666</x:v>
      </x:c>
      <x:c r="J4133" s="2" t="n">
        <x:v>73</x:v>
      </x:c>
      <x:c r="K4133" s="2"/>
      <x:c r="L4133" s="2"/>
    </x:row>
    <x:row r="4134" ht="22" customHeight="1">
      <x:c r="A4134" s="2"/>
      <x:c r="B4134" s="2" t="n">
        <x:v>4101</x:v>
      </x:c>
      <x:c r="C4134" s="2" t="str">
        <x:v>90104</x:v>
      </x:c>
      <x:c r="D4134" s="2" t="str">
        <x:v>PURPLE FRANGIPANI HAIRCLIP</x:v>
      </x:c>
      <x:c r="E4134" s="11" t="n">
        <x:v>108.96</x:v>
      </x:c>
      <x:c r="F4134" s="11" t="n">
        <x:v>0</x:v>
      </x:c>
      <x:c r="G4134" s="11" t="n">
        <x:v>108.96</x:v>
      </x:c>
      <x:c r="H4134" s="23" t="n">
        <x:v>0.000005306387916782232</x:v>
      </x:c>
      <x:c r="I4134" s="23" t="n">
        <x:v>0.9984001816555833</x:v>
      </x:c>
      <x:c r="J4134" s="2" t="n">
        <x:v>49</x:v>
      </x:c>
      <x:c r="K4134" s="2"/>
      <x:c r="L4134" s="2"/>
    </x:row>
    <x:row r="4135" ht="22" customHeight="1">
      <x:c r="A4135" s="2"/>
      <x:c r="B4135" s="2" t="n">
        <x:v>4102</x:v>
      </x:c>
      <x:c r="C4135" s="2" t="str">
        <x:v>20667</x:v>
      </x:c>
      <x:c r="D4135" s="2" t="str">
        <x:v>CHERRY BLOSSOM PURSE</x:v>
      </x:c>
      <x:c r="E4135" s="11" t="n">
        <x:v>108.69</x:v>
      </x:c>
      <x:c r="F4135" s="11" t="n">
        <x:v>0</x:v>
      </x:c>
      <x:c r="G4135" s="11" t="n">
        <x:v>108.69</x:v>
      </x:c>
      <x:c r="H4135" s="23" t="n">
        <x:v>0.000005293238827781395</x:v>
      </x:c>
      <x:c r="I4135" s="23" t="n">
        <x:v>0.9984054748944111</x:v>
      </x:c>
      <x:c r="J4135" s="2" t="n">
        <x:v>24</x:v>
      </x:c>
      <x:c r="K4135" s="2"/>
      <x:c r="L4135" s="2"/>
    </x:row>
    <x:row r="4136" ht="22" customHeight="1">
      <x:c r="A4136" s="2"/>
      <x:c r="B4136" s="2" t="n">
        <x:v>4103</x:v>
      </x:c>
      <x:c r="C4136" s="2" t="str">
        <x:v>72753C</x:v>
      </x:c>
      <x:c r="D4136" s="2" t="str">
        <x:v>S/3 FLWR FAIRY ROSE CANDLES</x:v>
      </x:c>
      <x:c r="E4136" s="11" t="n">
        <x:v>107.68</x:v>
      </x:c>
      <x:c r="F4136" s="11" t="n">
        <x:v>0</x:v>
      </x:c>
      <x:c r="G4136" s="11" t="n">
        <x:v>107.68</x:v>
      </x:c>
      <x:c r="H4136" s="23" t="n">
        <x:v>0.000005244051494852338</x:v>
      </x:c>
      <x:c r="I4136" s="23" t="n">
        <x:v>0.9984107189459059</x:v>
      </x:c>
      <x:c r="J4136" s="2" t="n">
        <x:v>6</x:v>
      </x:c>
      <x:c r="K4136" s="2"/>
      <x:c r="L4136" s="2"/>
    </x:row>
    <x:row r="4137" ht="22" customHeight="1">
      <x:c r="A4137" s="2"/>
      <x:c r="B4137" s="2" t="n">
        <x:v>4104</x:v>
      </x:c>
      <x:c r="C4137" s="2" t="str">
        <x:v>90118</x:v>
      </x:c>
      <x:c r="D4137" s="2" t="str">
        <x:v>PINK DAISY BAG CHARM</x:v>
      </x:c>
      <x:c r="E4137" s="11" t="n">
        <x:v>107.39</x:v>
      </x:c>
      <x:c r="F4137" s="11" t="n">
        <x:v>15.299999999999999</x:v>
      </x:c>
      <x:c r="G4137" s="11" t="n">
        <x:v>92.08999999999999</x:v>
      </x:c>
      <x:c r="H4137" s="23" t="n">
        <x:v>0.000005229928399258846</x:v>
      </x:c>
      <x:c r="I4137" s="23" t="n">
        <x:v>0.9984159488743052</x:v>
      </x:c>
      <x:c r="J4137" s="2" t="n">
        <x:v>29</x:v>
      </x:c>
      <x:c r="K4137" s="2"/>
      <x:c r="L4137" s="2"/>
    </x:row>
    <x:row r="4138" ht="22" customHeight="1">
      <x:c r="A4138" s="2"/>
      <x:c r="B4138" s="2" t="n">
        <x:v>4105</x:v>
      </x:c>
      <x:c r="C4138" s="2" t="str">
        <x:v>35096B</x:v>
      </x:c>
      <x:c r="D4138" s="2" t="str">
        <x:v>RED VICTORIAN FABRIC HEART BOX</x:v>
      </x:c>
      <x:c r="E4138" s="11" t="n">
        <x:v>107.33</x:v>
      </x:c>
      <x:c r="F4138" s="11" t="n">
        <x:v>0</x:v>
      </x:c>
      <x:c r="G4138" s="11" t="n">
        <x:v>107.33</x:v>
      </x:c>
      <x:c r="H4138" s="23" t="n">
        <x:v>0.000005227006379480882</x:v>
      </x:c>
      <x:c r="I4138" s="23" t="n">
        <x:v>0.9984211758806847</x:v>
      </x:c>
      <x:c r="J4138" s="2" t="n">
        <x:v>25</x:v>
      </x:c>
      <x:c r="K4138" s="2"/>
      <x:c r="L4138" s="2"/>
    </x:row>
    <x:row r="4139" ht="22" customHeight="1">
      <x:c r="A4139" s="2"/>
      <x:c r="B4139" s="2" t="n">
        <x:v>4106</x:v>
      </x:c>
      <x:c r="C4139" s="2" t="str">
        <x:v>35840</x:v>
      </x:c>
      <x:c r="D4139" s="2" t="str">
        <x:v>FLAT GLASS  BAUBLE WHITE FLOCK </x:v>
      </x:c>
      <x:c r="E4139" s="11" t="n">
        <x:v>107.13</x:v>
      </x:c>
      <x:c r="F4139" s="11" t="n">
        <x:v>0.85</x:v>
      </x:c>
      <x:c r="G4139" s="11" t="n">
        <x:v>106.28</x:v>
      </x:c>
      <x:c r="H4139" s="23" t="n">
        <x:v>0.0000052172663135543366</x:v>
      </x:c>
      <x:c r="I4139" s="23" t="n">
        <x:v>0.9984263931469982</x:v>
      </x:c>
      <x:c r="J4139" s="2" t="n">
        <x:v>11</x:v>
      </x:c>
      <x:c r="K4139" s="2"/>
      <x:c r="L4139" s="2"/>
    </x:row>
    <x:row r="4140" ht="22" customHeight="1">
      <x:c r="A4140" s="2"/>
      <x:c r="B4140" s="2" t="n">
        <x:v>4107</x:v>
      </x:c>
      <x:c r="C4140" s="2" t="str">
        <x:v>23626</x:v>
      </x:c>
      <x:c r="D4140" s="2" t="str">
        <x:v>SET 10 CARDS DINKY TREE 17076</x:v>
      </x:c>
      <x:c r="E4140" s="11" t="n">
        <x:v>107.07000000000001</x:v>
      </x:c>
      <x:c r="F4140" s="11" t="n">
        <x:v>0</x:v>
      </x:c>
      <x:c r="G4140" s="11" t="n">
        <x:v>107.07000000000001</x:v>
      </x:c>
      <x:c r="H4140" s="23" t="n">
        <x:v>0.000005214344293776373</x:v>
      </x:c>
      <x:c r="I4140" s="23" t="n">
        <x:v>0.998431607491292</x:v>
      </x:c>
      <x:c r="J4140" s="2" t="n">
        <x:v>16</x:v>
      </x:c>
      <x:c r="K4140" s="2"/>
      <x:c r="L4140" s="2"/>
    </x:row>
    <x:row r="4141" ht="22" customHeight="1">
      <x:c r="A4141" s="2"/>
      <x:c r="B4141" s="2" t="n">
        <x:v>4108</x:v>
      </x:c>
      <x:c r="C4141" s="2" t="str">
        <x:v>90059D</x:v>
      </x:c>
      <x:c r="D4141" s="2" t="str">
        <x:v>DIAMANTE HAIR GRIP PACK/2 PERIDOT</x:v>
      </x:c>
      <x:c r="E4141" s="11" t="n">
        <x:v>106.74</x:v>
      </x:c>
      <x:c r="F4141" s="11" t="n">
        <x:v>9.899999999999999</x:v>
      </x:c>
      <x:c r="G4141" s="11" t="n">
        <x:v>96.83999999999999</x:v>
      </x:c>
      <x:c r="H4141" s="23" t="n">
        <x:v>0.000005198273184997572</x:v>
      </x:c>
      <x:c r="I4141" s="23" t="n">
        <x:v>0.998436805764477</x:v>
      </x:c>
      <x:c r="J4141" s="2" t="n">
        <x:v>40</x:v>
      </x:c>
      <x:c r="K4141" s="2"/>
      <x:c r="L4141" s="2"/>
    </x:row>
    <x:row r="4142" ht="22" customHeight="1">
      <x:c r="A4142" s="2"/>
      <x:c r="B4142" s="2" t="n">
        <x:v>4109</x:v>
      </x:c>
      <x:c r="C4142" s="2" t="str">
        <x:v>84562B</x:v>
      </x:c>
      <x:c r="D4142" s="2" t="str">
        <x:v>BLUE/WHITE RIBBED MELAMINE JUG</x:v>
      </x:c>
      <x:c r="E4142" s="11" t="n">
        <x:v>106.59</x:v>
      </x:c>
      <x:c r="F4142" s="11" t="n">
        <x:v>0</x:v>
      </x:c>
      <x:c r="G4142" s="11" t="n">
        <x:v>106.59</x:v>
      </x:c>
      <x:c r="H4142" s="23" t="n">
        <x:v>0.000005190968135552663</x:v>
      </x:c>
      <x:c r="I4142" s="23" t="n">
        <x:v>0.9984419967326126</x:v>
      </x:c>
      <x:c r="J4142" s="2" t="n">
        <x:v>7</x:v>
      </x:c>
      <x:c r="K4142" s="2"/>
      <x:c r="L4142" s="2"/>
    </x:row>
    <x:row r="4143" ht="22" customHeight="1">
      <x:c r="A4143" s="2"/>
      <x:c r="B4143" s="2" t="n">
        <x:v>4110</x:v>
      </x:c>
      <x:c r="C4143" s="2" t="str">
        <x:v>90165A</x:v>
      </x:c>
      <x:c r="D4143" s="2" t="str">
        <x:v>PINK ROSEBUD PEARL EARRINGS</x:v>
      </x:c>
      <x:c r="E4143" s="11" t="n">
        <x:v>106.49</x:v>
      </x:c>
      <x:c r="F4143" s="11" t="n">
        <x:v>0</x:v>
      </x:c>
      <x:c r="G4143" s="11" t="n">
        <x:v>106.49</x:v>
      </x:c>
      <x:c r="H4143" s="23" t="n">
        <x:v>0.0000051860981025893895</x:v>
      </x:c>
      <x:c r="I4143" s="23" t="n">
        <x:v>0.9984471828307152</x:v>
      </x:c>
      <x:c r="J4143" s="2" t="n">
        <x:v>27</x:v>
      </x:c>
      <x:c r="K4143" s="2"/>
      <x:c r="L4143" s="2"/>
    </x:row>
    <x:row r="4144" ht="22" customHeight="1">
      <x:c r="A4144" s="2"/>
      <x:c r="B4144" s="2" t="n">
        <x:v>4111</x:v>
      </x:c>
      <x:c r="C4144" s="2" t="str">
        <x:v>22987</x:v>
      </x:c>
      <x:c r="D4144" s="2" t="str">
        <x:v>WRAP SUMMER ROSE DESIGN</x:v>
      </x:c>
      <x:c r="E4144" s="11" t="n">
        <x:v>105.84</x:v>
      </x:c>
      <x:c r="F4144" s="11" t="n">
        <x:v>0</x:v>
      </x:c>
      <x:c r="G4144" s="11" t="n">
        <x:v>105.84</x:v>
      </x:c>
      <x:c r="H4144" s="23" t="n">
        <x:v>0.000005154442888328115</x:v>
      </x:c>
      <x:c r="I4144" s="23" t="n">
        <x:v>0.9984523372736035</x:v>
      </x:c>
      <x:c r="J4144" s="2" t="n">
        <x:v>11</x:v>
      </x:c>
      <x:c r="K4144" s="2"/>
      <x:c r="L4144" s="2"/>
    </x:row>
    <x:row r="4145" ht="22" customHeight="1">
      <x:c r="A4145" s="2"/>
      <x:c r="B4145" s="2" t="n">
        <x:v>4112</x:v>
      </x:c>
      <x:c r="C4145" s="2" t="str">
        <x:v>84867A</x:v>
      </x:c>
      <x:c r="D4145" s="2" t="str">
        <x:v>PINK BABY GIRLS PHOTO ALBUM</x:v>
      </x:c>
      <x:c r="E4145" s="11" t="n">
        <x:v>105.82000000000001</x:v>
      </x:c>
      <x:c r="F4145" s="11" t="n">
        <x:v>0</x:v>
      </x:c>
      <x:c r="G4145" s="11" t="n">
        <x:v>105.82000000000001</x:v>
      </x:c>
      <x:c r="H4145" s="23" t="n">
        <x:v>0.000005153468881735461</x:v>
      </x:c>
      <x:c r="I4145" s="23" t="n">
        <x:v>0.9984574907424852</x:v>
      </x:c>
      <x:c r="J4145" s="2" t="n">
        <x:v>4</x:v>
      </x:c>
      <x:c r="K4145" s="2"/>
      <x:c r="L4145" s="2"/>
    </x:row>
    <x:row r="4146" ht="22" customHeight="1">
      <x:c r="A4146" s="2"/>
      <x:c r="B4146" s="2" t="n">
        <x:v>4113</x:v>
      </x:c>
      <x:c r="C4146" s="2" t="str">
        <x:v>90051</x:v>
      </x:c>
      <x:c r="D4146" s="2" t="str">
        <x:v>CRACKED GLAZE NECKLACE RED</x:v>
      </x:c>
      <x:c r="E4146" s="11" t="n">
        <x:v>105.72</x:v>
      </x:c>
      <x:c r="F4146" s="11" t="n">
        <x:v>0</x:v>
      </x:c>
      <x:c r="G4146" s="11" t="n">
        <x:v>105.72</x:v>
      </x:c>
      <x:c r="H4146" s="23" t="n">
        <x:v>0.000005148598848772188</x:v>
      </x:c>
      <x:c r="I4146" s="23" t="n">
        <x:v>0.9984626393413341</x:v>
      </x:c>
      <x:c r="J4146" s="2" t="n">
        <x:v>11</x:v>
      </x:c>
      <x:c r="K4146" s="2"/>
      <x:c r="L4146" s="2"/>
    </x:row>
    <x:row r="4147" ht="22" customHeight="1">
      <x:c r="A4147" s="2"/>
      <x:c r="B4147" s="2" t="n">
        <x:v>4114</x:v>
      </x:c>
      <x:c r="C4147" s="2" t="str">
        <x:v>35594</x:v>
      </x:c>
      <x:c r="D4147" s="2" t="str">
        <x:v>WOODEN CHRISTMAS TREE 3 HANGING</x:v>
      </x:c>
      <x:c r="E4147" s="11" t="n">
        <x:v>105.58</x:v>
      </x:c>
      <x:c r="F4147" s="11" t="n">
        <x:v>10.08</x:v>
      </x:c>
      <x:c r="G4147" s="11" t="n">
        <x:v>95.5</x:v>
      </x:c>
      <x:c r="H4147" s="23" t="n">
        <x:v>0.000005141780802623605</x:v>
      </x:c>
      <x:c r="I4147" s="23" t="n">
        <x:v>0.9984677811221366</x:v>
      </x:c>
      <x:c r="J4147" s="2" t="n">
        <x:v>39</x:v>
      </x:c>
      <x:c r="K4147" s="2"/>
      <x:c r="L4147" s="2"/>
    </x:row>
    <x:row r="4148" ht="22" customHeight="1">
      <x:c r="A4148" s="2"/>
      <x:c r="B4148" s="2" t="n">
        <x:v>4115</x:v>
      </x:c>
      <x:c r="C4148" s="2" t="str">
        <x:v>35610A</x:v>
      </x:c>
      <x:c r="D4148" s="2" t="str">
        <x:v>thrown away</x:v>
      </x:c>
      <x:c r="E4148" s="11" t="n">
        <x:v>105.43</x:v>
      </x:c>
      <x:c r="F4148" s="11" t="n">
        <x:v>0</x:v>
      </x:c>
      <x:c r="G4148" s="11" t="n">
        <x:v>105.43</x:v>
      </x:c>
      <x:c r="H4148" s="23" t="n">
        <x:v>0.000005134475753178696</x:v>
      </x:c>
      <x:c r="I4148" s="23" t="n">
        <x:v>0.9984729155978899</x:v>
      </x:c>
      <x:c r="J4148" s="2" t="n">
        <x:v>12</x:v>
      </x:c>
      <x:c r="K4148" s="2"/>
      <x:c r="L4148" s="2"/>
    </x:row>
    <x:row r="4149" ht="22" customHeight="1">
      <x:c r="A4149" s="2"/>
      <x:c r="B4149" s="2" t="n">
        <x:v>4116</x:v>
      </x:c>
      <x:c r="C4149" s="2" t="str">
        <x:v>84458</x:v>
      </x:c>
      <x:c r="D4149" s="2" t="str">
        <x:v>S/3 RABBIT FLOWER/EGG/CARROT ROPE</x:v>
      </x:c>
      <x:c r="E4149" s="11" t="n">
        <x:v>105.39999999999999</x:v>
      </x:c>
      <x:c r="F4149" s="11" t="n">
        <x:v>0</x:v>
      </x:c>
      <x:c r="G4149" s="11" t="n">
        <x:v>105.39999999999999</x:v>
      </x:c>
      <x:c r="H4149" s="23" t="n">
        <x:v>0.000005133014743289714</x:v>
      </x:c>
      <x:c r="I4149" s="23" t="n">
        <x:v>0.9984780486126331</x:v>
      </x:c>
      <x:c r="J4149" s="2" t="n">
        <x:v>20</x:v>
      </x:c>
      <x:c r="K4149" s="2"/>
      <x:c r="L4149" s="2"/>
    </x:row>
    <x:row r="4150" ht="22" customHeight="1">
      <x:c r="A4150" s="2"/>
      <x:c r="B4150" s="2" t="n">
        <x:v>4117</x:v>
      </x:c>
      <x:c r="C4150" s="2" t="str">
        <x:v>17090D</x:v>
      </x:c>
      <x:c r="D4150" s="2" t="str">
        <x:v>VANILLA INCENSE 40 CONES IN TIN</x:v>
      </x:c>
      <x:c r="E4150" s="11" t="n">
        <x:v>105.2</x:v>
      </x:c>
      <x:c r="F4150" s="11" t="n">
        <x:v>0</x:v>
      </x:c>
      <x:c r="G4150" s="11" t="n">
        <x:v>105.2</x:v>
      </x:c>
      <x:c r="H4150" s="23" t="n">
        <x:v>0.000005123274677363168</x:v>
      </x:c>
      <x:c r="I4150" s="23" t="n">
        <x:v>0.9984831718873105</x:v>
      </x:c>
      <x:c r="J4150" s="2" t="n">
        <x:v>28</x:v>
      </x:c>
      <x:c r="K4150" s="2"/>
      <x:c r="L4150" s="2"/>
    </x:row>
    <x:row r="4151" ht="22" customHeight="1">
      <x:c r="A4151" s="2"/>
      <x:c r="B4151" s="2" t="n">
        <x:v>4118</x:v>
      </x:c>
      <x:c r="C4151" s="2" t="str">
        <x:v>16169D</x:v>
      </x:c>
      <x:c r="D4151" s="2" t="str">
        <x:v>WRAP WINTER FOREST</x:v>
      </x:c>
      <x:c r="E4151" s="11" t="n">
        <x:v>105</x:v>
      </x:c>
      <x:c r="F4151" s="11" t="n">
        <x:v>0</x:v>
      </x:c>
      <x:c r="G4151" s="11" t="n">
        <x:v>105</x:v>
      </x:c>
      <x:c r="H4151" s="23" t="n">
        <x:v>0.000005113534611436622</x:v>
      </x:c>
      <x:c r="I4151" s="23" t="n">
        <x:v>0.9984882854219219</x:v>
      </x:c>
      <x:c r="J4151" s="2" t="n">
        <x:v>9</x:v>
      </x:c>
      <x:c r="K4151" s="2"/>
      <x:c r="L4151" s="2"/>
    </x:row>
    <x:row r="4152" ht="22" customHeight="1">
      <x:c r="A4152" s="2"/>
      <x:c r="B4152" s="2" t="n">
        <x:v>4119</x:v>
      </x:c>
      <x:c r="C4152" s="2" t="str">
        <x:v>23574</x:v>
      </x:c>
      <x:c r="D4152" s="2" t="str">
        <x:v>PACKING CHARGE</x:v>
      </x:c>
      <x:c r="E4152" s="11" t="n">
        <x:v>105</x:v>
      </x:c>
      <x:c r="F4152" s="11" t="n">
        <x:v>15</x:v>
      </x:c>
      <x:c r="G4152" s="11" t="n">
        <x:v>90</x:v>
      </x:c>
      <x:c r="H4152" s="23" t="n">
        <x:v>0.000005113534611436622</x:v>
      </x:c>
      <x:c r="I4152" s="23" t="n">
        <x:v>0.9984933989565333</x:v>
      </x:c>
      <x:c r="J4152" s="2" t="n">
        <x:v>14</x:v>
      </x:c>
      <x:c r="K4152" s="2"/>
      <x:c r="L4152" s="2"/>
    </x:row>
    <x:row r="4153" ht="22" customHeight="1">
      <x:c r="A4153" s="2"/>
      <x:c r="B4153" s="2" t="n">
        <x:v>4120</x:v>
      </x:c>
      <x:c r="C4153" s="2" t="str">
        <x:v>90141A</x:v>
      </x:c>
      <x:c r="D4153" s="2" t="str">
        <x:v>GREEN PENDANT TRIPLE SHELL NECKLACE</x:v>
      </x:c>
      <x:c r="E4153" s="11" t="n">
        <x:v>104.95</x:v>
      </x:c>
      <x:c r="F4153" s="11" t="n">
        <x:v>0</x:v>
      </x:c>
      <x:c r="G4153" s="11" t="n">
        <x:v>104.95</x:v>
      </x:c>
      <x:c r="H4153" s="23" t="n">
        <x:v>0.000005111099594954986</x:v>
      </x:c>
      <x:c r="I4153" s="23" t="n">
        <x:v>0.9984985100561283</x:v>
      </x:c>
      <x:c r="J4153" s="2" t="n">
        <x:v>17</x:v>
      </x:c>
      <x:c r="K4153" s="2"/>
      <x:c r="L4153" s="2"/>
    </x:row>
    <x:row r="4154" ht="22" customHeight="1">
      <x:c r="A4154" s="2"/>
      <x:c r="B4154" s="2" t="n">
        <x:v>4121</x:v>
      </x:c>
      <x:c r="C4154" s="2" t="str">
        <x:v>90079</x:v>
      </x:c>
      <x:c r="D4154" s="2" t="str">
        <x:v>VINTAGE ENAMEL &amp; CRYSTAL NECKLACE</x:v>
      </x:c>
      <x:c r="E4154" s="11" t="n">
        <x:v>104.77000000000001</x:v>
      </x:c>
      <x:c r="F4154" s="11" t="n">
        <x:v>0</x:v>
      </x:c>
      <x:c r="G4154" s="11" t="n">
        <x:v>104.77000000000001</x:v>
      </x:c>
      <x:c r="H4154" s="23" t="n">
        <x:v>0.000005102333535621095</x:v>
      </x:c>
      <x:c r="I4154" s="23" t="n">
        <x:v>0.9985036123896639</x:v>
      </x:c>
      <x:c r="J4154" s="2" t="n">
        <x:v>13</x:v>
      </x:c>
      <x:c r="K4154" s="2"/>
      <x:c r="L4154" s="2"/>
    </x:row>
    <x:row r="4155" ht="22" customHeight="1">
      <x:c r="A4155" s="2"/>
      <x:c r="B4155" s="2" t="n">
        <x:v>4122</x:v>
      </x:c>
      <x:c r="C4155" s="2" t="str">
        <x:v>21118</x:v>
      </x:c>
      <x:c r="D4155" s="2" t="str">
        <x:v>SHOPPING BAG DOORSTOP</x:v>
      </x:c>
      <x:c r="E4155" s="11" t="n">
        <x:v>104.25</x:v>
      </x:c>
      <x:c r="F4155" s="11" t="n">
        <x:v>0</x:v>
      </x:c>
      <x:c r="G4155" s="11" t="n">
        <x:v>104.25</x:v>
      </x:c>
      <x:c r="H4155" s="23" t="n">
        <x:v>0.0000050770093642120745</x:v>
      </x:c>
      <x:c r="I4155" s="23" t="n">
        <x:v>0.9985086893990281</x:v>
      </x:c>
      <x:c r="J4155" s="2" t="n">
        <x:v>7</x:v>
      </x:c>
      <x:c r="K4155" s="2"/>
      <x:c r="L4155" s="2"/>
    </x:row>
    <x:row r="4156" ht="22" customHeight="1">
      <x:c r="A4156" s="2"/>
      <x:c r="B4156" s="2" t="n">
        <x:v>4123</x:v>
      </x:c>
      <x:c r="C4156" s="2" t="str">
        <x:v>21337</x:v>
      </x:c>
      <x:c r="D4156" s="2" t="str">
        <x:v>SILVER WASHBAG</x:v>
      </x:c>
      <x:c r="E4156" s="11" t="n">
        <x:v>103.53000000000002</x:v>
      </x:c>
      <x:c r="F4156" s="11" t="n">
        <x:v>0</x:v>
      </x:c>
      <x:c r="G4156" s="11" t="n">
        <x:v>103.53000000000002</x:v>
      </x:c>
      <x:c r="H4156" s="23" t="n">
        <x:v>0.00000504194512687651</x:v>
      </x:c>
      <x:c r="I4156" s="23" t="n">
        <x:v>0.998513731344155</x:v>
      </x:c>
      <x:c r="J4156" s="2" t="n">
        <x:v>12</x:v>
      </x:c>
      <x:c r="K4156" s="2"/>
      <x:c r="L4156" s="2"/>
    </x:row>
    <x:row r="4157" ht="22" customHeight="1">
      <x:c r="A4157" s="2"/>
      <x:c r="B4157" s="2" t="n">
        <x:v>4124</x:v>
      </x:c>
      <x:c r="C4157" s="2" t="str">
        <x:v>35910A</x:v>
      </x:c>
      <x:c r="D4157" s="2" t="str">
        <x:v>MULTICOLOUR EASTER RABBIT </x:v>
      </x:c>
      <x:c r="E4157" s="11" t="n">
        <x:v>103.35</x:v>
      </x:c>
      <x:c r="F4157" s="11" t="n">
        <x:v>0</x:v>
      </x:c>
      <x:c r="G4157" s="11" t="n">
        <x:v>103.35</x:v>
      </x:c>
      <x:c r="H4157" s="23" t="n">
        <x:v>0.000005033179067542618</x:v>
      </x:c>
      <x:c r="I4157" s="23" t="n">
        <x:v>0.9985187645232225</x:v>
      </x:c>
      <x:c r="J4157" s="2" t="n">
        <x:v>13</x:v>
      </x:c>
      <x:c r="K4157" s="2"/>
      <x:c r="L4157" s="2"/>
    </x:row>
    <x:row r="4158" ht="22" customHeight="1">
      <x:c r="A4158" s="2"/>
      <x:c r="B4158" s="2" t="n">
        <x:v>4125</x:v>
      </x:c>
      <x:c r="C4158" s="2" t="str">
        <x:v>84679</x:v>
      </x:c>
      <x:c r="D4158" s="2" t="str">
        <x:v>CLASSICAL ROSE TABLE LAMP</x:v>
      </x:c>
      <x:c r="E4158" s="11" t="n">
        <x:v>103.3</x:v>
      </x:c>
      <x:c r="F4158" s="11" t="n">
        <x:v>5.95</x:v>
      </x:c>
      <x:c r="G4158" s="11" t="n">
        <x:v>97.35</x:v>
      </x:c>
      <x:c r="H4158" s="23" t="n">
        <x:v>0.000005030744051060982</x:v>
      </x:c>
      <x:c r="I4158" s="23" t="n">
        <x:v>0.9985237952672736</x:v>
      </x:c>
      <x:c r="J4158" s="2" t="n">
        <x:v>4</x:v>
      </x:c>
      <x:c r="K4158" s="2"/>
      <x:c r="L4158" s="2"/>
    </x:row>
    <x:row r="4159" ht="22" customHeight="1">
      <x:c r="A4159" s="2"/>
      <x:c r="B4159" s="2" t="n">
        <x:v>4126</x:v>
      </x:c>
      <x:c r="C4159" s="2" t="str">
        <x:v>16248B</x:v>
      </x:c>
      <x:c r="D4159" s="2" t="str">
        <x:v>BLUE HOLE PUNCH</x:v>
      </x:c>
      <x:c r="E4159" s="11" t="n">
        <x:v>102.5</x:v>
      </x:c>
      <x:c r="F4159" s="11" t="n">
        <x:v>0</x:v>
      </x:c>
      <x:c r="G4159" s="11" t="n">
        <x:v>102.5</x:v>
      </x:c>
      <x:c r="H4159" s="23" t="n">
        <x:v>0.0000049917837873547975</x:v>
      </x:c>
      <x:c r="I4159" s="23" t="n">
        <x:v>0.998528787051061</x:v>
      </x:c>
      <x:c r="J4159" s="2" t="n">
        <x:v>12</x:v>
      </x:c>
      <x:c r="K4159" s="2"/>
      <x:c r="L4159" s="2"/>
    </x:row>
    <x:row r="4160" ht="22" customHeight="1">
      <x:c r="A4160" s="2"/>
      <x:c r="B4160" s="2" t="n">
        <x:v>4127</x:v>
      </x:c>
      <x:c r="C4160" s="2" t="str">
        <x:v>84613A</x:v>
      </x:c>
      <x:c r="D4160" s="2" t="str">
        <x:v>thrown away</x:v>
      </x:c>
      <x:c r="E4160" s="11" t="n">
        <x:v>102.30000000000001</x:v>
      </x:c>
      <x:c r="F4160" s="11" t="n">
        <x:v>4.65</x:v>
      </x:c>
      <x:c r="G4160" s="11" t="n">
        <x:v>97.65</x:v>
      </x:c>
      <x:c r="H4160" s="23" t="n">
        <x:v>0.000004982043721428253</x:v>
      </x:c>
      <x:c r="I4160" s="23" t="n">
        <x:v>0.9985337690947824</x:v>
      </x:c>
      <x:c r="J4160" s="2" t="n">
        <x:v>10</x:v>
      </x:c>
      <x:c r="K4160" s="2"/>
      <x:c r="L4160" s="2"/>
    </x:row>
    <x:row r="4161" ht="22" customHeight="1">
      <x:c r="A4161" s="2"/>
      <x:c r="B4161" s="2" t="n">
        <x:v>4128</x:v>
      </x:c>
      <x:c r="C4161" s="2" t="str">
        <x:v>20697</x:v>
      </x:c>
      <x:c r="D4161" s="2" t="str">
        <x:v>LITTLE GREEN MONSTER SOFT TOY</x:v>
      </x:c>
      <x:c r="E4161" s="11" t="n">
        <x:v>101.7</x:v>
      </x:c>
      <x:c r="F4161" s="11" t="n">
        <x:v>0</x:v>
      </x:c>
      <x:c r="G4161" s="11" t="n">
        <x:v>101.7</x:v>
      </x:c>
      <x:c r="H4161" s="23" t="n">
        <x:v>0.000004952823523648614</x:v>
      </x:c>
      <x:c r="I4161" s="23" t="n">
        <x:v>0.9985387219183061</x:v>
      </x:c>
      <x:c r="J4161" s="2" t="n">
        <x:v>21</x:v>
      </x:c>
      <x:c r="K4161" s="2"/>
      <x:c r="L4161" s="2"/>
    </x:row>
    <x:row r="4162" ht="22" customHeight="1">
      <x:c r="A4162" s="2"/>
      <x:c r="B4162" s="2" t="n">
        <x:v>4129</x:v>
      </x:c>
      <x:c r="C4162" s="2" t="str">
        <x:v>90125C</x:v>
      </x:c>
      <x:c r="D4162" s="2" t="str">
        <x:v>TURQUOISE BERTIE GLASS BEAD CHARM</x:v>
      </x:c>
      <x:c r="E4162" s="11" t="n">
        <x:v>101.35</x:v>
      </x:c>
      <x:c r="F4162" s="11" t="n">
        <x:v>0</x:v>
      </x:c>
      <x:c r="G4162" s="11" t="n">
        <x:v>101.35</x:v>
      </x:c>
      <x:c r="H4162" s="23" t="n">
        <x:v>0.000004935778408277158</x:v>
      </x:c>
      <x:c r="I4162" s="23" t="n">
        <x:v>0.9985436576967144</x:v>
      </x:c>
      <x:c r="J4162" s="2" t="n">
        <x:v>10</x:v>
      </x:c>
      <x:c r="K4162" s="2"/>
      <x:c r="L4162" s="2"/>
    </x:row>
    <x:row r="4163" ht="22" customHeight="1">
      <x:c r="A4163" s="2"/>
      <x:c r="B4163" s="2" t="n">
        <x:v>4130</x:v>
      </x:c>
      <x:c r="C4163" s="2" t="str">
        <x:v>72369A</x:v>
      </x:c>
      <x:c r="D4163" s="2" t="str">
        <x:v>PINK CLEAR GLASS CANDLE PLATE</x:v>
      </x:c>
      <x:c r="E4163" s="11" t="n">
        <x:v>101.28999999999999</x:v>
      </x:c>
      <x:c r="F4163" s="11" t="n">
        <x:v>0</x:v>
      </x:c>
      <x:c r="G4163" s="11" t="n">
        <x:v>101.28999999999999</x:v>
      </x:c>
      <x:c r="H4163" s="23" t="n">
        <x:v>0.000004932856388499194</x:v>
      </x:c>
      <x:c r="I4163" s="23" t="n">
        <x:v>0.9985485905531029</x:v>
      </x:c>
      <x:c r="J4163" s="2" t="n">
        <x:v>14</x:v>
      </x:c>
      <x:c r="K4163" s="2"/>
      <x:c r="L4163" s="2"/>
    </x:row>
    <x:row r="4164" ht="22" customHeight="1">
      <x:c r="A4164" s="2"/>
      <x:c r="B4164" s="2" t="n">
        <x:v>4131</x:v>
      </x:c>
      <x:c r="C4164" s="2" t="str">
        <x:v>85050</x:v>
      </x:c>
      <x:c r="D4164" s="2" t="str">
        <x:v>FRENCH ENAMEL SOAP DISH WITH LID</x:v>
      </x:c>
      <x:c r="E4164" s="11" t="n">
        <x:v>100.80000000000001</x:v>
      </x:c>
      <x:c r="F4164" s="11" t="n">
        <x:v>0</x:v>
      </x:c>
      <x:c r="G4164" s="11" t="n">
        <x:v>100.80000000000001</x:v>
      </x:c>
      <x:c r="H4164" s="23" t="n">
        <x:v>0.000004908993226979158</x:v>
      </x:c>
      <x:c r="I4164" s="23" t="n">
        <x:v>0.9985534995463299</x:v>
      </x:c>
      <x:c r="J4164" s="2" t="n">
        <x:v>1</x:v>
      </x:c>
      <x:c r="K4164" s="2"/>
      <x:c r="L4164" s="2"/>
    </x:row>
    <x:row r="4165" ht="22" customHeight="1">
      <x:c r="A4165" s="2"/>
      <x:c r="B4165" s="2" t="n">
        <x:v>4132</x:v>
      </x:c>
      <x:c r="C4165" s="2" t="str">
        <x:v>72821</x:v>
      </x:c>
      <x:c r="D4165" s="2" t="str">
        <x:v>CUPID SCENTED CANDLE IN GLASS</x:v>
      </x:c>
      <x:c r="E4165" s="11" t="n">
        <x:v>100.64999999999999</x:v>
      </x:c>
      <x:c r="F4165" s="11" t="n">
        <x:v>4.949999999999999</x:v>
      </x:c>
      <x:c r="G4165" s="11" t="n">
        <x:v>95.69999999999999</x:v>
      </x:c>
      <x:c r="H4165" s="23" t="n">
        <x:v>0.000004901688177534247</x:v>
      </x:c>
      <x:c r="I4165" s="23" t="n">
        <x:v>0.9985584012345075</x:v>
      </x:c>
      <x:c r="J4165" s="2" t="n">
        <x:v>14</x:v>
      </x:c>
      <x:c r="K4165" s="2"/>
      <x:c r="L4165" s="2"/>
    </x:row>
    <x:row r="4166" ht="22" customHeight="1">
      <x:c r="A4166" s="2"/>
      <x:c r="B4166" s="2" t="n">
        <x:v>4133</x:v>
      </x:c>
      <x:c r="C4166" s="2" t="str">
        <x:v>84968d</x:v>
      </x:c>
      <x:c r="D4166" s="2" t="str">
        <x:v>SET OF 16 VINTAGE RED CUTLERY</x:v>
      </x:c>
      <x:c r="E4166" s="11" t="n">
        <x:v>100.37</x:v>
      </x:c>
      <x:c r="F4166" s="11" t="n">
        <x:v>0</x:v>
      </x:c>
      <x:c r="G4166" s="11" t="n">
        <x:v>100.37</x:v>
      </x:c>
      <x:c r="H4166" s="23" t="n">
        <x:v>0.000004888052085237084</x:v>
      </x:c>
      <x:c r="I4166" s="23" t="n">
        <x:v>0.9985632892865927</x:v>
      </x:c>
      <x:c r="J4166" s="2" t="n">
        <x:v>4</x:v>
      </x:c>
      <x:c r="K4166" s="2"/>
      <x:c r="L4166" s="2"/>
    </x:row>
    <x:row r="4167" ht="22" customHeight="1">
      <x:c r="A4167" s="2"/>
      <x:c r="B4167" s="2" t="n">
        <x:v>4134</x:v>
      </x:c>
      <x:c r="C4167" s="2" t="str">
        <x:v>75172</x:v>
      </x:c>
      <x:c r="D4167" s="2" t="str">
        <x:v>PAINTED SEA SHELL METAL WINDCHIME</x:v>
      </x:c>
      <x:c r="E4167" s="11" t="n">
        <x:v>100.31</x:v>
      </x:c>
      <x:c r="F4167" s="11" t="n">
        <x:v>0</x:v>
      </x:c>
      <x:c r="G4167" s="11" t="n">
        <x:v>100.31</x:v>
      </x:c>
      <x:c r="H4167" s="23" t="n">
        <x:v>0.00000488513006545912</x:v>
      </x:c>
      <x:c r="I4167" s="23" t="n">
        <x:v>0.9985681744166581</x:v>
      </x:c>
      <x:c r="J4167" s="2" t="n">
        <x:v>11</x:v>
      </x:c>
      <x:c r="K4167" s="2"/>
      <x:c r="L4167" s="2"/>
    </x:row>
    <x:row r="4168" ht="22" customHeight="1">
      <x:c r="A4168" s="2"/>
      <x:c r="B4168" s="2" t="n">
        <x:v>4135</x:v>
      </x:c>
      <x:c r="C4168" s="2" t="str">
        <x:v>78027</x:v>
      </x:c>
      <x:c r="D4168" s="2" t="str">
        <x:v>SEAGRASS S/2 CORNER LAUNDRY </x:v>
      </x:c>
      <x:c r="E4168" s="11" t="n">
        <x:v>100.15</x:v>
      </x:c>
      <x:c r="F4168" s="11" t="n">
        <x:v>0</x:v>
      </x:c>
      <x:c r="G4168" s="11" t="n">
        <x:v>100.15</x:v>
      </x:c>
      <x:c r="H4168" s="23" t="n">
        <x:v>0.000004877338012717883</x:v>
      </x:c>
      <x:c r="I4168" s="23" t="n">
        <x:v>0.9985730517546708</x:v>
      </x:c>
      <x:c r="J4168" s="2" t="n">
        <x:v>5</x:v>
      </x:c>
      <x:c r="K4168" s="2"/>
      <x:c r="L4168" s="2"/>
    </x:row>
    <x:row r="4169" ht="22" customHeight="1">
      <x:c r="A4169" s="2"/>
      <x:c r="B4169" s="2" t="n">
        <x:v>4136</x:v>
      </x:c>
      <x:c r="C4169" s="2" t="str">
        <x:v>23611</x:v>
      </x:c>
      <x:c r="D4169" s="2" t="str">
        <x:v>SET 10 CARDS RED RIDING HOOD 17214</x:v>
      </x:c>
      <x:c r="E4169" s="11" t="n">
        <x:v>99.60000000000001</x:v>
      </x:c>
      <x:c r="F4169" s="11" t="n">
        <x:v>0</x:v>
      </x:c>
      <x:c r="G4169" s="11" t="n">
        <x:v>99.60000000000001</x:v>
      </x:c>
      <x:c r="H4169" s="23" t="n">
        <x:v>0.000004850552831419882</x:v>
      </x:c>
      <x:c r="I4169" s="23" t="n">
        <x:v>0.9985779023075022</x:v>
      </x:c>
      <x:c r="J4169" s="2" t="n">
        <x:v>16</x:v>
      </x:c>
      <x:c r="K4169" s="2"/>
      <x:c r="L4169" s="2"/>
    </x:row>
    <x:row r="4170" ht="22" customHeight="1">
      <x:c r="A4170" s="2"/>
      <x:c r="B4170" s="2" t="n">
        <x:v>4137</x:v>
      </x:c>
      <x:c r="C4170" s="2" t="str">
        <x:v>84465</x:v>
      </x:c>
      <x:c r="D4170" s="2" t="str">
        <x:v>15 PINK FLUFFY CHICKS IN BOX</x:v>
      </x:c>
      <x:c r="E4170" s="11" t="n">
        <x:v>99.46000000000001</x:v>
      </x:c>
      <x:c r="F4170" s="11" t="n">
        <x:v>0</x:v>
      </x:c>
      <x:c r="G4170" s="11" t="n">
        <x:v>99.46000000000001</x:v>
      </x:c>
      <x:c r="H4170" s="23" t="n">
        <x:v>0.0000048437347852713</x:v>
      </x:c>
      <x:c r="I4170" s="23" t="n">
        <x:v>0.9985827460422875</x:v>
      </x:c>
      <x:c r="J4170" s="2" t="n">
        <x:v>23</x:v>
      </x:c>
      <x:c r="K4170" s="2"/>
      <x:c r="L4170" s="2"/>
    </x:row>
    <x:row r="4171" ht="22" customHeight="1">
      <x:c r="A4171" s="2"/>
      <x:c r="B4171" s="2" t="n">
        <x:v>4138</x:v>
      </x:c>
      <x:c r="C4171" s="2" t="str">
        <x:v>23464</x:v>
      </x:c>
      <x:c r="D4171" s="2" t="str">
        <x:v>VINTAGE ZINC WATERING CAN SMALL</x:v>
      </x:c>
      <x:c r="E4171" s="11" t="n">
        <x:v>99.2</x:v>
      </x:c>
      <x:c r="F4171" s="11" t="n">
        <x:v>0</x:v>
      </x:c>
      <x:c r="G4171" s="11" t="n">
        <x:v>99.2</x:v>
      </x:c>
      <x:c r="H4171" s="23" t="n">
        <x:v>0.00000483107269956679</x:v>
      </x:c>
      <x:c r="I4171" s="23" t="n">
        <x:v>0.998587577114987</x:v>
      </x:c>
      <x:c r="J4171" s="2" t="n">
        <x:v>8</x:v>
      </x:c>
      <x:c r="K4171" s="2"/>
      <x:c r="L4171" s="2"/>
    </x:row>
    <x:row r="4172" ht="22" customHeight="1">
      <x:c r="A4172" s="2"/>
      <x:c r="B4172" s="2" t="n">
        <x:v>4139</x:v>
      </x:c>
      <x:c r="C4172" s="2" t="str">
        <x:v>21266</x:v>
      </x:c>
      <x:c r="D4172" s="2" t="str">
        <x:v>VINTAGE SILVER TINSEL REEL</x:v>
      </x:c>
      <x:c r="E4172" s="11" t="n">
        <x:v>98.9</x:v>
      </x:c>
      <x:c r="F4172" s="11" t="n">
        <x:v>0</x:v>
      </x:c>
      <x:c r="G4172" s="11" t="n">
        <x:v>98.9</x:v>
      </x:c>
      <x:c r="H4172" s="23" t="n">
        <x:v>0.000004816462600676971</x:v>
      </x:c>
      <x:c r="I4172" s="23" t="n">
        <x:v>0.9985923935775877</x:v>
      </x:c>
      <x:c r="J4172" s="2" t="n">
        <x:v>9</x:v>
      </x:c>
      <x:c r="K4172" s="2"/>
      <x:c r="L4172" s="2"/>
    </x:row>
    <x:row r="4173" ht="22" customHeight="1">
      <x:c r="A4173" s="2"/>
      <x:c r="B4173" s="2" t="n">
        <x:v>4140</x:v>
      </x:c>
      <x:c r="C4173" s="2" t="str">
        <x:v>90169</x:v>
      </x:c>
      <x:c r="D4173" s="2" t="str">
        <x:v>DAISY HAIR COMB</x:v>
      </x:c>
      <x:c r="E4173" s="11" t="n">
        <x:v>98.87</x:v>
      </x:c>
      <x:c r="F4173" s="11" t="n">
        <x:v>15.299999999999999</x:v>
      </x:c>
      <x:c r="G4173" s="11" t="n">
        <x:v>83.57</x:v>
      </x:c>
      <x:c r="H4173" s="23" t="n">
        <x:v>0.000004815001590787989</x:v>
      </x:c>
      <x:c r="I4173" s="23" t="n">
        <x:v>0.9985972085791784</x:v>
      </x:c>
      <x:c r="J4173" s="2" t="n">
        <x:v>23</x:v>
      </x:c>
      <x:c r="K4173" s="2"/>
      <x:c r="L4173" s="2"/>
    </x:row>
    <x:row r="4174" ht="22" customHeight="1">
      <x:c r="A4174" s="2"/>
      <x:c r="B4174" s="2" t="n">
        <x:v>4141</x:v>
      </x:c>
      <x:c r="C4174" s="2" t="str">
        <x:v>84575A</x:v>
      </x:c>
      <x:c r="D4174" s="2" t="str">
        <x:v>PINK DOG CANNISTER</x:v>
      </x:c>
      <x:c r="E4174" s="11" t="n">
        <x:v>98.8</x:v>
      </x:c>
      <x:c r="F4174" s="11" t="n">
        <x:v>5.95</x:v>
      </x:c>
      <x:c r="G4174" s="11" t="n">
        <x:v>92.85</x:v>
      </x:c>
      <x:c r="H4174" s="23" t="n">
        <x:v>0.000004811592567713698</x:v>
      </x:c>
      <x:c r="I4174" s="23" t="n">
        <x:v>0.9986020201717462</x:v>
      </x:c>
      <x:c r="J4174" s="2" t="n">
        <x:v>13</x:v>
      </x:c>
      <x:c r="K4174" s="2"/>
      <x:c r="L4174" s="2"/>
    </x:row>
    <x:row r="4175" ht="22" customHeight="1">
      <x:c r="A4175" s="2"/>
      <x:c r="B4175" s="2" t="n">
        <x:v>4142</x:v>
      </x:c>
      <x:c r="C4175" s="2" t="str">
        <x:v>20861</x:v>
      </x:c>
      <x:c r="D4175" s="2" t="str">
        <x:v>GOLD COSMETIC BAG PINK STAR</x:v>
      </x:c>
      <x:c r="E4175" s="11" t="n">
        <x:v>98.7</x:v>
      </x:c>
      <x:c r="F4175" s="11" t="n">
        <x:v>0</x:v>
      </x:c>
      <x:c r="G4175" s="11" t="n">
        <x:v>98.7</x:v>
      </x:c>
      <x:c r="H4175" s="23" t="n">
        <x:v>0.000004806722534750425</x:v>
      </x:c>
      <x:c r="I4175" s="23" t="n">
        <x:v>0.9986068268942809</x:v>
      </x:c>
      <x:c r="J4175" s="2" t="n">
        <x:v>16</x:v>
      </x:c>
      <x:c r="K4175" s="2"/>
      <x:c r="L4175" s="2"/>
    </x:row>
    <x:row r="4176" ht="22" customHeight="1">
      <x:c r="A4176" s="2"/>
      <x:c r="B4176" s="2" t="n">
        <x:v>4143</x:v>
      </x:c>
      <x:c r="C4176" s="2" t="str">
        <x:v>90163B</x:v>
      </x:c>
      <x:c r="D4176" s="2" t="str">
        <x:v>WHITE ROSEBUD &amp; PEARL NECKLACE</x:v>
      </x:c>
      <x:c r="E4176" s="11" t="n">
        <x:v>98.45</x:v>
      </x:c>
      <x:c r="F4176" s="11" t="n">
        <x:v>0</x:v>
      </x:c>
      <x:c r="G4176" s="11" t="n">
        <x:v>98.45</x:v>
      </x:c>
      <x:c r="H4176" s="23" t="n">
        <x:v>0.000004794547452342242</x:v>
      </x:c>
      <x:c r="I4176" s="23" t="n">
        <x:v>0.9986116214417333</x:v>
      </x:c>
      <x:c r="J4176" s="2" t="n">
        <x:v>9</x:v>
      </x:c>
      <x:c r="K4176" s="2"/>
      <x:c r="L4176" s="2"/>
    </x:row>
    <x:row r="4177" ht="22" customHeight="1">
      <x:c r="A4177" s="2"/>
      <x:c r="B4177" s="2" t="n">
        <x:v>4144</x:v>
      </x:c>
      <x:c r="C4177" s="2" t="str">
        <x:v>84705D</x:v>
      </x:c>
      <x:c r="D4177" s="2" t="str">
        <x:v>CHERRY BLOSSOM PHOTO FRAME </x:v>
      </x:c>
      <x:c r="E4177" s="11" t="n">
        <x:v>97.9</x:v>
      </x:c>
      <x:c r="F4177" s="11" t="n">
        <x:v>0</x:v>
      </x:c>
      <x:c r="G4177" s="11" t="n">
        <x:v>97.9</x:v>
      </x:c>
      <x:c r="H4177" s="23" t="n">
        <x:v>0.000004767762271044242</x:v>
      </x:c>
      <x:c r="I4177" s="23" t="n">
        <x:v>0.9986163892040044</x:v>
      </x:c>
      <x:c r="J4177" s="2" t="n">
        <x:v>14</x:v>
      </x:c>
      <x:c r="K4177" s="2"/>
      <x:c r="L4177" s="2"/>
    </x:row>
    <x:row r="4178" ht="22" customHeight="1">
      <x:c r="A4178" s="2"/>
      <x:c r="B4178" s="2" t="n">
        <x:v>4145</x:v>
      </x:c>
      <x:c r="C4178" s="2" t="str">
        <x:v>90150</x:v>
      </x:c>
      <x:c r="D4178" s="2" t="str">
        <x:v>BLUE SHELL+SILVER NECKLACE</x:v>
      </x:c>
      <x:c r="E4178" s="11" t="n">
        <x:v>97.5</x:v>
      </x:c>
      <x:c r="F4178" s="11" t="n">
        <x:v>0</x:v>
      </x:c>
      <x:c r="G4178" s="11" t="n">
        <x:v>97.5</x:v>
      </x:c>
      <x:c r="H4178" s="23" t="n">
        <x:v>0.0000047482821391911495</x:v>
      </x:c>
      <x:c r="I4178" s="23" t="n">
        <x:v>0.9986211374861436</x:v>
      </x:c>
      <x:c r="J4178" s="2" t="n">
        <x:v>8</x:v>
      </x:c>
      <x:c r="K4178" s="2"/>
      <x:c r="L4178" s="2"/>
    </x:row>
    <x:row r="4179" ht="22" customHeight="1">
      <x:c r="A4179" s="2"/>
      <x:c r="B4179" s="2" t="n">
        <x:v>4146</x:v>
      </x:c>
      <x:c r="C4179" s="2" t="str">
        <x:v>16161G</x:v>
      </x:c>
      <x:c r="D4179" s="2" t="str">
        <x:v>WRAP BAD HAIR DAY</x:v>
      </x:c>
      <x:c r="E4179" s="11" t="n">
        <x:v>97.5</x:v>
      </x:c>
      <x:c r="F4179" s="11" t="n">
        <x:v>0</x:v>
      </x:c>
      <x:c r="G4179" s="11" t="n">
        <x:v>97.5</x:v>
      </x:c>
      <x:c r="H4179" s="23" t="n">
        <x:v>0.0000047482821391911495</x:v>
      </x:c>
      <x:c r="I4179" s="23" t="n">
        <x:v>0.9986258857682827</x:v>
      </x:c>
      <x:c r="J4179" s="2" t="n">
        <x:v>33</x:v>
      </x:c>
      <x:c r="K4179" s="2"/>
      <x:c r="L4179" s="2"/>
    </x:row>
    <x:row r="4180" ht="22" customHeight="1">
      <x:c r="A4180" s="2"/>
      <x:c r="B4180" s="2" t="n">
        <x:v>4147</x:v>
      </x:c>
      <x:c r="C4180" s="2" t="str">
        <x:v>90067A</x:v>
      </x:c>
      <x:c r="D4180" s="2" t="str">
        <x:v>PINK VINTAGE VICTORIAN EARRINGS</x:v>
      </x:c>
      <x:c r="E4180" s="11" t="n">
        <x:v>97.24000000000001</x:v>
      </x:c>
      <x:c r="F4180" s="11" t="n">
        <x:v>0</x:v>
      </x:c>
      <x:c r="G4180" s="11" t="n">
        <x:v>97.24000000000001</x:v>
      </x:c>
      <x:c r="H4180" s="23" t="n">
        <x:v>0.00000473562005348664</x:v>
      </x:c>
      <x:c r="I4180" s="23" t="n">
        <x:v>0.9986306213883362</x:v>
      </x:c>
      <x:c r="J4180" s="2" t="n">
        <x:v>16</x:v>
      </x:c>
      <x:c r="K4180" s="2"/>
      <x:c r="L4180" s="2"/>
    </x:row>
    <x:row r="4181" ht="22" customHeight="1">
      <x:c r="A4181" s="2"/>
      <x:c r="B4181" s="2" t="n">
        <x:v>4148</x:v>
      </x:c>
      <x:c r="C4181" s="2" t="str">
        <x:v>85132b</x:v>
      </x:c>
      <x:c r="D4181" s="2" t="str">
        <x:v>CHARLIE AND LOLA TABLE TINS</x:v>
      </x:c>
      <x:c r="E4181" s="11" t="n">
        <x:v>95.83999999999999</x:v>
      </x:c>
      <x:c r="F4181" s="11" t="n">
        <x:v>0</x:v>
      </x:c>
      <x:c r="G4181" s="11" t="n">
        <x:v>95.83999999999999</x:v>
      </x:c>
      <x:c r="H4181" s="23" t="n">
        <x:v>0.000004667439592000817</x:v>
      </x:c>
      <x:c r="I4181" s="23" t="n">
        <x:v>0.9986352888279283</x:v>
      </x:c>
      <x:c r="J4181" s="2" t="n">
        <x:v>10</x:v>
      </x:c>
      <x:c r="K4181" s="2"/>
      <x:c r="L4181" s="2"/>
    </x:row>
    <x:row r="4182" ht="22" customHeight="1">
      <x:c r="A4182" s="2"/>
      <x:c r="B4182" s="2" t="n">
        <x:v>4149</x:v>
      </x:c>
      <x:c r="C4182" s="2" t="str">
        <x:v>35913B</x:v>
      </x:c>
      <x:c r="D4182" s="2" t="str">
        <x:v>WHITE/PINK CHICK EASTER DECORATION</x:v>
      </x:c>
      <x:c r="E4182" s="11" t="n">
        <x:v>95.78999999999999</x:v>
      </x:c>
      <x:c r="F4182" s="11" t="n">
        <x:v>0</x:v>
      </x:c>
      <x:c r="G4182" s="11" t="n">
        <x:v>95.78999999999999</x:v>
      </x:c>
      <x:c r="H4182" s="23" t="n">
        <x:v>0.000004665004575519181</x:v>
      </x:c>
      <x:c r="I4182" s="23" t="n">
        <x:v>0.9986399538325038</x:v>
      </x:c>
      <x:c r="J4182" s="2" t="n">
        <x:v>21</x:v>
      </x:c>
      <x:c r="K4182" s="2"/>
      <x:c r="L4182" s="2"/>
    </x:row>
    <x:row r="4183" ht="22" customHeight="1">
      <x:c r="A4183" s="2"/>
      <x:c r="B4183" s="2" t="n">
        <x:v>4150</x:v>
      </x:c>
      <x:c r="C4183" s="2" t="str">
        <x:v>17084J</x:v>
      </x:c>
      <x:c r="D4183" s="2" t="str">
        <x:v>LOVE POTION MASALA INCENSE</x:v>
      </x:c>
      <x:c r="E4183" s="11" t="n">
        <x:v>95.76</x:v>
      </x:c>
      <x:c r="F4183" s="11" t="n">
        <x:v>0</x:v>
      </x:c>
      <x:c r="G4183" s="11" t="n">
        <x:v>95.76</x:v>
      </x:c>
      <x:c r="H4183" s="23" t="n">
        <x:v>0.0000046635435656302</x:v>
      </x:c>
      <x:c r="I4183" s="23" t="n">
        <x:v>0.9986446173760695</x:v>
      </x:c>
      <x:c r="J4183" s="2" t="n">
        <x:v>20</x:v>
      </x:c>
      <x:c r="K4183" s="2"/>
      <x:c r="L4183" s="2"/>
    </x:row>
    <x:row r="4184" ht="22" customHeight="1">
      <x:c r="A4184" s="2"/>
      <x:c r="B4184" s="2" t="n">
        <x:v>4151</x:v>
      </x:c>
      <x:c r="C4184" s="2" t="str">
        <x:v>84559a</x:v>
      </x:c>
      <x:c r="D4184" s="2" t="str">
        <x:v>3D SHEET OF DOG STICKERS</x:v>
      </x:c>
      <x:c r="E4184" s="11" t="n">
        <x:v>95.69999999999999</x:v>
      </x:c>
      <x:c r="F4184" s="11" t="n">
        <x:v>0</x:v>
      </x:c>
      <x:c r="G4184" s="11" t="n">
        <x:v>95.69999999999999</x:v>
      </x:c>
      <x:c r="H4184" s="23" t="n">
        <x:v>0.000004660621545852235</x:v>
      </x:c>
      <x:c r="I4184" s="23" t="n">
        <x:v>0.9986492779976153</x:v>
      </x:c>
      <x:c r="J4184" s="2" t="n">
        <x:v>40</x:v>
      </x:c>
      <x:c r="K4184" s="2"/>
      <x:c r="L4184" s="2"/>
    </x:row>
    <x:row r="4185" ht="22" customHeight="1">
      <x:c r="A4185" s="2"/>
      <x:c r="B4185" s="2" t="n">
        <x:v>4152</x:v>
      </x:c>
      <x:c r="C4185" s="2" t="str">
        <x:v>84539</x:v>
      </x:c>
      <x:c r="D4185" s="2" t="str">
        <x:v>KNITTED RABBIT DOLL </x:v>
      </x:c>
      <x:c r="E4185" s="11" t="n">
        <x:v>95.69999999999999</x:v>
      </x:c>
      <x:c r="F4185" s="11" t="n">
        <x:v>0</x:v>
      </x:c>
      <x:c r="G4185" s="11" t="n">
        <x:v>95.69999999999999</x:v>
      </x:c>
      <x:c r="H4185" s="23" t="n">
        <x:v>0.000004660621545852235</x:v>
      </x:c>
      <x:c r="I4185" s="23" t="n">
        <x:v>0.9986539386191611</x:v>
      </x:c>
      <x:c r="J4185" s="2" t="n">
        <x:v>11</x:v>
      </x:c>
      <x:c r="K4185" s="2"/>
      <x:c r="L4185" s="2"/>
    </x:row>
    <x:row r="4186" ht="22" customHeight="1">
      <x:c r="A4186" s="2"/>
      <x:c r="B4186" s="2" t="n">
        <x:v>4153</x:v>
      </x:c>
      <x:c r="C4186" s="2" t="str">
        <x:v>84891B</x:v>
      </x:c>
      <x:c r="D4186" s="2" t="str">
        <x:v>GREEN WIRE GOBLET CANDLEHOLDER</x:v>
      </x:c>
      <x:c r="E4186" s="11" t="n">
        <x:v>95.4</x:v>
      </x:c>
      <x:c r="F4186" s="11" t="n">
        <x:v>0</x:v>
      </x:c>
      <x:c r="G4186" s="11" t="n">
        <x:v>95.4</x:v>
      </x:c>
      <x:c r="H4186" s="23" t="n">
        <x:v>0.000004646011446962417</x:v>
      </x:c>
      <x:c r="I4186" s="23" t="n">
        <x:v>0.9986585846306081</x:v>
      </x:c>
      <x:c r="J4186" s="2" t="n">
        <x:v>6</x:v>
      </x:c>
      <x:c r="K4186" s="2"/>
      <x:c r="L4186" s="2"/>
    </x:row>
    <x:row r="4187" ht="22" customHeight="1">
      <x:c r="A4187" s="2"/>
      <x:c r="B4187" s="2" t="n">
        <x:v>4154</x:v>
      </x:c>
      <x:c r="C4187" s="2" t="str">
        <x:v>90214R</x:v>
      </x:c>
      <x:c r="D4187" s="2" t="str">
        <x:v>LETTER "R" BLING KEY RING</x:v>
      </x:c>
      <x:c r="E4187" s="11" t="n">
        <x:v>94.97999999999999</x:v>
      </x:c>
      <x:c r="F4187" s="11" t="n">
        <x:v>0</x:v>
      </x:c>
      <x:c r="G4187" s="11" t="n">
        <x:v>94.97999999999999</x:v>
      </x:c>
      <x:c r="H4187" s="23" t="n">
        <x:v>0.00000462555730851667</x:v>
      </x:c>
      <x:c r="I4187" s="23" t="n">
        <x:v>0.9986632101879166</x:v>
      </x:c>
      <x:c r="J4187" s="2" t="n">
        <x:v>50</x:v>
      </x:c>
      <x:c r="K4187" s="2"/>
      <x:c r="L4187" s="2"/>
    </x:row>
    <x:row r="4188" ht="22" customHeight="1">
      <x:c r="A4188" s="2"/>
      <x:c r="B4188" s="2" t="n">
        <x:v>4155</x:v>
      </x:c>
      <x:c r="C4188" s="2" t="str">
        <x:v>72606A</x:v>
      </x:c>
      <x:c r="D4188" s="2" t="str">
        <x:v>BROWN ANTIQUE CUBE CANDLE</x:v>
      </x:c>
      <x:c r="E4188" s="11" t="n">
        <x:v>94.92</x:v>
      </x:c>
      <x:c r="F4188" s="11" t="n">
        <x:v>0</x:v>
      </x:c>
      <x:c r="G4188" s="11" t="n">
        <x:v>94.92</x:v>
      </x:c>
      <x:c r="H4188" s="23" t="n">
        <x:v>0.0000046226352887387064</x:v>
      </x:c>
      <x:c r="I4188" s="23" t="n">
        <x:v>0.9986678328232054</x:v>
      </x:c>
      <x:c r="J4188" s="2" t="n">
        <x:v>18</x:v>
      </x:c>
      <x:c r="K4188" s="2"/>
      <x:c r="L4188" s="2"/>
    </x:row>
    <x:row r="4189" ht="22" customHeight="1">
      <x:c r="A4189" s="2"/>
      <x:c r="B4189" s="2" t="n">
        <x:v>4156</x:v>
      </x:c>
      <x:c r="C4189" s="2" t="str">
        <x:v>90089</x:v>
      </x:c>
      <x:c r="D4189" s="2" t="str">
        <x:v>PINK CRYSTAL SKULL PHONE CHARM</x:v>
      </x:c>
      <x:c r="E4189" s="11" t="n">
        <x:v>94.17999999999999</x:v>
      </x:c>
      <x:c r="F4189" s="11" t="n">
        <x:v>0</x:v>
      </x:c>
      <x:c r="G4189" s="11" t="n">
        <x:v>94.17999999999999</x:v>
      </x:c>
      <x:c r="H4189" s="23" t="n">
        <x:v>0.000004586597044810486</x:v>
      </x:c>
      <x:c r="I4189" s="23" t="n">
        <x:v>0.9986724194202502</x:v>
      </x:c>
      <x:c r="J4189" s="2" t="n">
        <x:v>26</x:v>
      </x:c>
      <x:c r="K4189" s="2"/>
      <x:c r="L4189" s="2"/>
    </x:row>
    <x:row r="4190" ht="22" customHeight="1">
      <x:c r="A4190" s="2"/>
      <x:c r="B4190" s="2" t="n">
        <x:v>4157</x:v>
      </x:c>
      <x:c r="C4190" s="2" t="str">
        <x:v>90024C</x:v>
      </x:c>
      <x:c r="D4190" s="2" t="str">
        <x:v>NEW BAROQUE B'FLY NECKLACE GREEN</x:v>
      </x:c>
      <x:c r="E4190" s="11" t="n">
        <x:v>93.48</x:v>
      </x:c>
      <x:c r="F4190" s="11" t="n">
        <x:v>0</x:v>
      </x:c>
      <x:c r="G4190" s="11" t="n">
        <x:v>93.48</x:v>
      </x:c>
      <x:c r="H4190" s="23" t="n">
        <x:v>0.000004552506814067576</x:v>
      </x:c>
      <x:c r="I4190" s="23" t="n">
        <x:v>0.9986769719270643</x:v>
      </x:c>
      <x:c r="J4190" s="2" t="n">
        <x:v>10</x:v>
      </x:c>
      <x:c r="K4190" s="2"/>
      <x:c r="L4190" s="2"/>
    </x:row>
    <x:row r="4191" ht="22" customHeight="1">
      <x:c r="A4191" s="2"/>
      <x:c r="B4191" s="2" t="n">
        <x:v>4158</x:v>
      </x:c>
      <x:c r="C4191" s="2" t="str">
        <x:v>90026A</x:v>
      </x:c>
      <x:c r="D4191" s="2" t="str">
        <x:v>GLASS BEAD HOOP NECKLACE BLACK</x:v>
      </x:c>
      <x:c r="E4191" s="11" t="n">
        <x:v>93.47</x:v>
      </x:c>
      <x:c r="F4191" s="11" t="n">
        <x:v>0</x:v>
      </x:c>
      <x:c r="G4191" s="11" t="n">
        <x:v>93.47</x:v>
      </x:c>
      <x:c r="H4191" s="23" t="n">
        <x:v>0.000004552019810771248</x:v>
      </x:c>
      <x:c r="I4191" s="23" t="n">
        <x:v>0.998681523946875</x:v>
      </x:c>
      <x:c r="J4191" s="2" t="n">
        <x:v>9</x:v>
      </x:c>
      <x:c r="K4191" s="2"/>
      <x:c r="L4191" s="2"/>
    </x:row>
    <x:row r="4192" ht="22" customHeight="1">
      <x:c r="A4192" s="2"/>
      <x:c r="B4192" s="2" t="n">
        <x:v>4159</x:v>
      </x:c>
      <x:c r="C4192" s="2" t="str">
        <x:v>90214G</x:v>
      </x:c>
      <x:c r="D4192" s="2" t="str">
        <x:v>LETTER "G" BLING KEY RING</x:v>
      </x:c>
      <x:c r="E4192" s="11" t="n">
        <x:v>93.17999999999999</x:v>
      </x:c>
      <x:c r="F4192" s="11" t="n">
        <x:v>8.75</x:v>
      </x:c>
      <x:c r="G4192" s="11" t="n">
        <x:v>84.42999999999999</x:v>
      </x:c>
      <x:c r="H4192" s="23" t="n">
        <x:v>0.000004537896715177756</x:v>
      </x:c>
      <x:c r="I4192" s="23" t="n">
        <x:v>0.9986860618435902</x:v>
      </x:c>
      <x:c r="J4192" s="2" t="n">
        <x:v>48</x:v>
      </x:c>
      <x:c r="K4192" s="2"/>
      <x:c r="L4192" s="2"/>
    </x:row>
    <x:row r="4193" ht="22" customHeight="1">
      <x:c r="A4193" s="2"/>
      <x:c r="B4193" s="2" t="n">
        <x:v>4160</x:v>
      </x:c>
      <x:c r="C4193" s="2" t="str">
        <x:v>17084A</x:v>
      </x:c>
      <x:c r="D4193" s="2" t="str">
        <x:v>TRANQUILITY MASALA INCENSE</x:v>
      </x:c>
      <x:c r="E4193" s="11" t="n">
        <x:v>92.82</x:v>
      </x:c>
      <x:c r="F4193" s="11" t="n">
        <x:v>0</x:v>
      </x:c>
      <x:c r="G4193" s="11" t="n">
        <x:v>92.82</x:v>
      </x:c>
      <x:c r="H4193" s="23" t="n">
        <x:v>0.000004520364596509974</x:v>
      </x:c>
      <x:c r="I4193" s="23" t="n">
        <x:v>0.9986905822081867</x:v>
      </x:c>
      <x:c r="J4193" s="2" t="n">
        <x:v>18</x:v>
      </x:c>
      <x:c r="K4193" s="2"/>
      <x:c r="L4193" s="2"/>
    </x:row>
    <x:row r="4194" ht="22" customHeight="1">
      <x:c r="A4194" s="2"/>
      <x:c r="B4194" s="2" t="n">
        <x:v>4161</x:v>
      </x:c>
      <x:c r="C4194" s="2" t="str">
        <x:v>84388</x:v>
      </x:c>
      <x:c r="D4194" s="2" t="str">
        <x:v>WISE MAN STAR SHAPE EGG PAN</x:v>
      </x:c>
      <x:c r="E4194" s="11" t="n">
        <x:v>92.33999999999999</x:v>
      </x:c>
      <x:c r="F4194" s="11" t="n">
        <x:v>3.3</x:v>
      </x:c>
      <x:c r="G4194" s="11" t="n">
        <x:v>89.03999999999999</x:v>
      </x:c>
      <x:c r="H4194" s="23" t="n">
        <x:v>0.000004496988438286263</x:v>
      </x:c>
      <x:c r="I4194" s="23" t="n">
        <x:v>0.998695079196625</x:v>
      </x:c>
      <x:c r="J4194" s="2" t="n">
        <x:v>22</x:v>
      </x:c>
      <x:c r="K4194" s="2"/>
      <x:c r="L4194" s="2"/>
    </x:row>
    <x:row r="4195" ht="22" customHeight="1">
      <x:c r="A4195" s="2"/>
      <x:c r="B4195" s="2" t="n">
        <x:v>4162</x:v>
      </x:c>
      <x:c r="C4195" s="2" t="str">
        <x:v>90075</x:v>
      </x:c>
      <x:c r="D4195" s="2" t="str">
        <x:v>MONTANA DIAMOND CLUSTER NECKLACE</x:v>
      </x:c>
      <x:c r="E4195" s="11" t="n">
        <x:v>92.17999999999999</x:v>
      </x:c>
      <x:c r="F4195" s="11" t="n">
        <x:v>0</x:v>
      </x:c>
      <x:c r="G4195" s="11" t="n">
        <x:v>92.17999999999999</x:v>
      </x:c>
      <x:c r="H4195" s="23" t="n">
        <x:v>0.000004489196385545027</x:v>
      </x:c>
      <x:c r="I4195" s="23" t="n">
        <x:v>0.9986995683930106</x:v>
      </x:c>
      <x:c r="J4195" s="2" t="n">
        <x:v>8</x:v>
      </x:c>
      <x:c r="K4195" s="2"/>
      <x:c r="L4195" s="2"/>
    </x:row>
    <x:row r="4196" ht="22" customHeight="1">
      <x:c r="A4196" s="2"/>
      <x:c r="B4196" s="2" t="n">
        <x:v>4163</x:v>
      </x:c>
      <x:c r="C4196" s="2" t="str">
        <x:v>84753A</x:v>
      </x:c>
      <x:c r="D4196" s="2" t="str">
        <x:v>PINK EAU DE COLOGNE BOTTLE</x:v>
      </x:c>
      <x:c r="E4196" s="11" t="n">
        <x:v>92.16999999999999</x:v>
      </x:c>
      <x:c r="F4196" s="11" t="n">
        <x:v>0</x:v>
      </x:c>
      <x:c r="G4196" s="11" t="n">
        <x:v>92.16999999999999</x:v>
      </x:c>
      <x:c r="H4196" s="23" t="n">
        <x:v>0.000004488709382248699</x:v>
      </x:c>
      <x:c r="I4196" s="23" t="n">
        <x:v>0.9987040571023929</x:v>
      </x:c>
      <x:c r="J4196" s="2" t="n">
        <x:v>24</x:v>
      </x:c>
      <x:c r="K4196" s="2"/>
      <x:c r="L4196" s="2"/>
    </x:row>
    <x:row r="4197" ht="22" customHeight="1">
      <x:c r="A4197" s="2"/>
      <x:c r="B4197" s="2" t="n">
        <x:v>4164</x:v>
      </x:c>
      <x:c r="C4197" s="2" t="str">
        <x:v>21343</x:v>
      </x:c>
      <x:c r="D4197" s="2" t="str">
        <x:v>GOLD JEWELERY BOX</x:v>
      </x:c>
      <x:c r="E4197" s="11" t="n">
        <x:v>92.00000000000001</x:v>
      </x:c>
      <x:c r="F4197" s="11" t="n">
        <x:v>33.9</x:v>
      </x:c>
      <x:c r="G4197" s="11" t="n">
        <x:v>58.10000000000001</x:v>
      </x:c>
      <x:c r="H4197" s="23" t="n">
        <x:v>0.000004480430326211136</x:v>
      </x:c>
      <x:c r="I4197" s="23" t="n">
        <x:v>0.998708537532719</x:v>
      </x:c>
      <x:c r="J4197" s="2" t="n">
        <x:v>3</x:v>
      </x:c>
      <x:c r="K4197" s="2"/>
      <x:c r="L4197" s="2"/>
    </x:row>
    <x:row r="4198" ht="22" customHeight="1">
      <x:c r="A4198" s="2"/>
      <x:c r="B4198" s="2" t="n">
        <x:v>4165</x:v>
      </x:c>
      <x:c r="C4198" s="2" t="str">
        <x:v>90202C</x:v>
      </x:c>
      <x:c r="D4198" s="2" t="str">
        <x:v>GREEN ENAMEL FLOWER HAIR TIE</x:v>
      </x:c>
      <x:c r="E4198" s="11" t="n">
        <x:v>91.46000000000001</x:v>
      </x:c>
      <x:c r="F4198" s="11" t="n">
        <x:v>17.700000000000003</x:v>
      </x:c>
      <x:c r="G4198" s="11" t="n">
        <x:v>73.76</x:v>
      </x:c>
      <x:c r="H4198" s="23" t="n">
        <x:v>0.000004454132148209462</x:v>
      </x:c>
      <x:c r="I4198" s="23" t="n">
        <x:v>0.9987129916648673</x:v>
      </x:c>
      <x:c r="J4198" s="2" t="n">
        <x:v>25</x:v>
      </x:c>
      <x:c r="K4198" s="2"/>
      <x:c r="L4198" s="2"/>
    </x:row>
    <x:row r="4199" ht="22" customHeight="1">
      <x:c r="A4199" s="2"/>
      <x:c r="B4199" s="2" t="n">
        <x:v>4166</x:v>
      </x:c>
      <x:c r="C4199" s="2" t="str">
        <x:v>90177B</x:v>
      </x:c>
      <x:c r="D4199" s="2" t="str">
        <x:v>DROP DIAMANTE EARRINGS BLACK DIAMON</x:v>
      </x:c>
      <x:c r="E4199" s="11" t="n">
        <x:v>91.38000000000001</x:v>
      </x:c>
      <x:c r="F4199" s="11" t="n">
        <x:v>0</x:v>
      </x:c>
      <x:c r="G4199" s="11" t="n">
        <x:v>91.38000000000001</x:v>
      </x:c>
      <x:c r="H4199" s="23" t="n">
        <x:v>0.000004450236121838844</x:v>
      </x:c>
      <x:c r="I4199" s="23" t="n">
        <x:v>0.9987174419009891</x:v>
      </x:c>
      <x:c r="J4199" s="2" t="n">
        <x:v>19</x:v>
      </x:c>
      <x:c r="K4199" s="2"/>
      <x:c r="L4199" s="2"/>
    </x:row>
    <x:row r="4200" ht="22" customHeight="1">
      <x:c r="A4200" s="2"/>
      <x:c r="B4200" s="2" t="n">
        <x:v>4167</x:v>
      </x:c>
      <x:c r="C4200" s="2" t="str">
        <x:v>20660</x:v>
      </x:c>
      <x:c r="D4200" s="2" t="str">
        <x:v>VIP LUGGAGE TAG </x:v>
      </x:c>
      <x:c r="E4200" s="11" t="n">
        <x:v>91.25</x:v>
      </x:c>
      <x:c r="F4200" s="11" t="n">
        <x:v>0</x:v>
      </x:c>
      <x:c r="G4200" s="11" t="n">
        <x:v>91.25</x:v>
      </x:c>
      <x:c r="H4200" s="23" t="n">
        <x:v>0.000004443905078986588</x:v>
      </x:c>
      <x:c r="I4200" s="23" t="n">
        <x:v>0.9987218858060681</x:v>
      </x:c>
      <x:c r="J4200" s="2" t="n">
        <x:v>26</x:v>
      </x:c>
      <x:c r="K4200" s="2"/>
      <x:c r="L4200" s="2"/>
    </x:row>
    <x:row r="4201" ht="22" customHeight="1">
      <x:c r="A4201" s="2"/>
      <x:c r="B4201" s="2" t="n">
        <x:v>4168</x:v>
      </x:c>
      <x:c r="C4201" s="2" t="str">
        <x:v>90112</x:v>
      </x:c>
      <x:c r="D4201" s="2" t="str">
        <x:v>PINK DOLLY HAIR CLIPS</x:v>
      </x:c>
      <x:c r="E4201" s="11" t="n">
        <x:v>91.25</x:v>
      </x:c>
      <x:c r="F4201" s="11" t="n">
        <x:v>0</x:v>
      </x:c>
      <x:c r="G4201" s="11" t="n">
        <x:v>91.25</x:v>
      </x:c>
      <x:c r="H4201" s="23" t="n">
        <x:v>0.000004443905078986588</x:v>
      </x:c>
      <x:c r="I4201" s="23" t="n">
        <x:v>0.9987263297111472</x:v>
      </x:c>
      <x:c r="J4201" s="2" t="n">
        <x:v>20</x:v>
      </x:c>
      <x:c r="K4201" s="2"/>
      <x:c r="L4201" s="2"/>
    </x:row>
    <x:row r="4202" ht="22" customHeight="1">
      <x:c r="A4202" s="2"/>
      <x:c r="B4202" s="2" t="n">
        <x:v>4169</x:v>
      </x:c>
      <x:c r="C4202" s="2" t="str">
        <x:v>84437A</x:v>
      </x:c>
      <x:c r="D4202" s="2" t="str">
        <x:v>S/6 PINK EASTER DECS IN BOX</x:v>
      </x:c>
      <x:c r="E4202" s="11" t="n">
        <x:v>90.94999999999999</x:v>
      </x:c>
      <x:c r="F4202" s="11" t="n">
        <x:v>0</x:v>
      </x:c>
      <x:c r="G4202" s="11" t="n">
        <x:v>90.94999999999999</x:v>
      </x:c>
      <x:c r="H4202" s="23" t="n">
        <x:v>0.0000044292949800967685</x:v>
      </x:c>
      <x:c r="I4202" s="23" t="n">
        <x:v>0.9987307590061273</x:v>
      </x:c>
      <x:c r="J4202" s="2" t="n">
        <x:v>18</x:v>
      </x:c>
      <x:c r="K4202" s="2"/>
      <x:c r="L4202" s="2"/>
    </x:row>
    <x:row r="4203" ht="22" customHeight="1">
      <x:c r="A4203" s="2"/>
      <x:c r="B4203" s="2" t="n">
        <x:v>4170</x:v>
      </x:c>
      <x:c r="C4203" s="2" t="str">
        <x:v>90202A</x:v>
      </x:c>
      <x:c r="D4203" s="2" t="str">
        <x:v>PURPLE ENAMEL FLOWER HAIR TIE</x:v>
      </x:c>
      <x:c r="E4203" s="11" t="n">
        <x:v>90.9</x:v>
      </x:c>
      <x:c r="F4203" s="11" t="n">
        <x:v>17.700000000000003</x:v>
      </x:c>
      <x:c r="G4203" s="11" t="n">
        <x:v>73.2</x:v>
      </x:c>
      <x:c r="H4203" s="23" t="n">
        <x:v>0.000004426859963615134</x:v>
      </x:c>
      <x:c r="I4203" s="23" t="n">
        <x:v>0.9987351858660909</x:v>
      </x:c>
      <x:c r="J4203" s="2" t="n">
        <x:v>23</x:v>
      </x:c>
      <x:c r="K4203" s="2"/>
      <x:c r="L4203" s="2"/>
    </x:row>
    <x:row r="4204" ht="22" customHeight="1">
      <x:c r="A4204" s="2"/>
      <x:c r="B4204" s="2" t="n">
        <x:v>4171</x:v>
      </x:c>
      <x:c r="C4204" s="2" t="str">
        <x:v>90214D</x:v>
      </x:c>
      <x:c r="D4204" s="2" t="str">
        <x:v>LETTER "D" BLING KEY RING</x:v>
      </x:c>
      <x:c r="E4204" s="11" t="n">
        <x:v>90.82</x:v>
      </x:c>
      <x:c r="F4204" s="11" t="n">
        <x:v>0</x:v>
      </x:c>
      <x:c r="G4204" s="11" t="n">
        <x:v>90.82</x:v>
      </x:c>
      <x:c r="H4204" s="23" t="n">
        <x:v>0.0000044229639372445145</x:v>
      </x:c>
      <x:c r="I4204" s="23" t="n">
        <x:v>0.9987396088300281</x:v>
      </x:c>
      <x:c r="J4204" s="2" t="n">
        <x:v>50</x:v>
      </x:c>
      <x:c r="K4204" s="2"/>
      <x:c r="L4204" s="2"/>
    </x:row>
    <x:row r="4205" ht="22" customHeight="1">
      <x:c r="A4205" s="2"/>
      <x:c r="B4205" s="2" t="n">
        <x:v>4172</x:v>
      </x:c>
      <x:c r="C4205" s="2" t="str">
        <x:v>79026B</x:v>
      </x:c>
      <x:c r="D4205" s="2" t="str">
        <x:v>S/4 ICON COASTER,ELVIS LIVES</x:v>
      </x:c>
      <x:c r="E4205" s="11" t="n">
        <x:v>90.5</x:v>
      </x:c>
      <x:c r="F4205" s="11" t="n">
        <x:v>0</x:v>
      </x:c>
      <x:c r="G4205" s="11" t="n">
        <x:v>90.5</x:v>
      </x:c>
      <x:c r="H4205" s="23" t="n">
        <x:v>0.000004407379831762041</x:v>
      </x:c>
      <x:c r="I4205" s="23" t="n">
        <x:v>0.9987440162098599</x:v>
      </x:c>
      <x:c r="J4205" s="2" t="n">
        <x:v>37</x:v>
      </x:c>
      <x:c r="K4205" s="2"/>
      <x:c r="L4205" s="2"/>
    </x:row>
    <x:row r="4206" ht="22" customHeight="1">
      <x:c r="A4206" s="2"/>
      <x:c r="B4206" s="2" t="n">
        <x:v>4173</x:v>
      </x:c>
      <x:c r="C4206" s="2" t="str">
        <x:v>72783</x:v>
      </x:c>
      <x:c r="D4206" s="2" t="str">
        <x:v>BLACK SIL'T SQU CANDLE PLATE </x:v>
      </x:c>
      <x:c r="E4206" s="11" t="n">
        <x:v>90.30000000000001</x:v>
      </x:c>
      <x:c r="F4206" s="11" t="n">
        <x:v>0</x:v>
      </x:c>
      <x:c r="G4206" s="11" t="n">
        <x:v>90.30000000000001</x:v>
      </x:c>
      <x:c r="H4206" s="23" t="n">
        <x:v>0.000004397639765835496</x:v>
      </x:c>
      <x:c r="I4206" s="23" t="n">
        <x:v>0.9987484138496256</x:v>
      </x:c>
      <x:c r="J4206" s="2" t="n">
        <x:v>9</x:v>
      </x:c>
      <x:c r="K4206" s="2"/>
      <x:c r="L4206" s="2"/>
    </x:row>
    <x:row r="4207" ht="22" customHeight="1">
      <x:c r="A4207" s="2"/>
      <x:c r="B4207" s="2" t="n">
        <x:v>4174</x:v>
      </x:c>
      <x:c r="C4207" s="2" t="str">
        <x:v>71406C</x:v>
      </x:c>
      <x:c r="D4207" s="2" t="str">
        <x:v>BLACK ORANGE SQUEEZER</x:v>
      </x:c>
      <x:c r="E4207" s="11" t="n">
        <x:v>89.92</x:v>
      </x:c>
      <x:c r="F4207" s="11" t="n">
        <x:v>0</x:v>
      </x:c>
      <x:c r="G4207" s="11" t="n">
        <x:v>89.92</x:v>
      </x:c>
      <x:c r="H4207" s="23" t="n">
        <x:v>0.000004379133640575058</x:v>
      </x:c>
      <x:c r="I4207" s="23" t="n">
        <x:v>0.9987527929832662</x:v>
      </x:c>
      <x:c r="J4207" s="2" t="n">
        <x:v>35</x:v>
      </x:c>
      <x:c r="K4207" s="2"/>
      <x:c r="L4207" s="2"/>
    </x:row>
    <x:row r="4208" ht="22" customHeight="1">
      <x:c r="A4208" s="2"/>
      <x:c r="B4208" s="2" t="n">
        <x:v>4175</x:v>
      </x:c>
      <x:c r="C4208" s="2" t="str">
        <x:v>17013C</x:v>
      </x:c>
      <x:c r="D4208" s="2" t="str">
        <x:v>missing</x:v>
      </x:c>
      <x:c r="E4208" s="11" t="n">
        <x:v>89.46000000000001</x:v>
      </x:c>
      <x:c r="F4208" s="11" t="n">
        <x:v>40.32</x:v>
      </x:c>
      <x:c r="G4208" s="11" t="n">
        <x:v>49.14</x:v>
      </x:c>
      <x:c r="H4208" s="23" t="n">
        <x:v>0.000004356731488944002</x:v>
      </x:c>
      <x:c r="I4208" s="23" t="n">
        <x:v>0.9987571497147552</x:v>
      </x:c>
      <x:c r="J4208" s="2" t="n">
        <x:v>2</x:v>
      </x:c>
      <x:c r="K4208" s="2"/>
      <x:c r="L4208" s="2"/>
    </x:row>
    <x:row r="4209" ht="22" customHeight="1">
      <x:c r="A4209" s="2"/>
      <x:c r="B4209" s="2" t="n">
        <x:v>4176</x:v>
      </x:c>
      <x:c r="C4209" s="2" t="str">
        <x:v>47598</x:v>
      </x:c>
      <x:c r="D4209" s="2" t="str">
        <x:v>NEW ENGLAND EGG WARMER</x:v>
      </x:c>
      <x:c r="E4209" s="11" t="n">
        <x:v>89.12</x:v>
      </x:c>
      <x:c r="F4209" s="11" t="n">
        <x:v>0</x:v>
      </x:c>
      <x:c r="G4209" s="11" t="n">
        <x:v>89.12</x:v>
      </x:c>
      <x:c r="H4209" s="23" t="n">
        <x:v>0.000004340173376868874</x:v>
      </x:c>
      <x:c r="I4209" s="23" t="n">
        <x:v>0.9987614898881321</x:v>
      </x:c>
      <x:c r="J4209" s="2" t="n">
        <x:v>32</x:v>
      </x:c>
      <x:c r="K4209" s="2"/>
      <x:c r="L4209" s="2"/>
    </x:row>
    <x:row r="4210" ht="22" customHeight="1">
      <x:c r="A4210" s="2"/>
      <x:c r="B4210" s="2" t="n">
        <x:v>4177</x:v>
      </x:c>
      <x:c r="C4210" s="2" t="str">
        <x:v>90162A</x:v>
      </x:c>
      <x:c r="D4210" s="2" t="str">
        <x:v>ANT SILVER TURQUOISE BOUDICCA RING</x:v>
      </x:c>
      <x:c r="E4210" s="11" t="n">
        <x:v>88.5</x:v>
      </x:c>
      <x:c r="F4210" s="11" t="n">
        <x:v>0</x:v>
      </x:c>
      <x:c r="G4210" s="11" t="n">
        <x:v>88.5</x:v>
      </x:c>
      <x:c r="H4210" s="23" t="n">
        <x:v>0.000004309979172496581</x:v>
      </x:c>
      <x:c r="I4210" s="23" t="n">
        <x:v>0.9987657998673045</x:v>
      </x:c>
      <x:c r="J4210" s="2" t="n">
        <x:v>11</x:v>
      </x:c>
      <x:c r="K4210" s="2"/>
      <x:c r="L4210" s="2"/>
    </x:row>
    <x:row r="4211" ht="22" customHeight="1">
      <x:c r="A4211" s="2"/>
      <x:c r="B4211" s="2" t="n">
        <x:v>4178</x:v>
      </x:c>
      <x:c r="C4211" s="2" t="str">
        <x:v>90059E</x:v>
      </x:c>
      <x:c r="D4211" s="2" t="str">
        <x:v>DIAMANTE HAIR GRIP PACK/2 RUBY</x:v>
      </x:c>
      <x:c r="E4211" s="11" t="n">
        <x:v>88.30999999999999</x:v>
      </x:c>
      <x:c r="F4211" s="11" t="n">
        <x:v>9.899999999999999</x:v>
      </x:c>
      <x:c r="G4211" s="11" t="n">
        <x:v>78.41</x:v>
      </x:c>
      <x:c r="H4211" s="23" t="n">
        <x:v>0.000004300726109866362</x:v>
      </x:c>
      <x:c r="I4211" s="23" t="n">
        <x:v>0.9987701005934144</x:v>
      </x:c>
      <x:c r="J4211" s="2" t="n">
        <x:v>33</x:v>
      </x:c>
      <x:c r="K4211" s="2"/>
      <x:c r="L4211" s="2"/>
    </x:row>
    <x:row r="4212" ht="22" customHeight="1">
      <x:c r="A4212" s="2"/>
      <x:c r="B4212" s="2" t="n">
        <x:v>4179</x:v>
      </x:c>
      <x:c r="C4212" s="2" t="str">
        <x:v>35638A</x:v>
      </x:c>
      <x:c r="D4212" s="2" t="str">
        <x:v>PINK AND BLACK STRING CURTAIN</x:v>
      </x:c>
      <x:c r="E4212" s="11" t="n">
        <x:v>88.04999999999998</x:v>
      </x:c>
      <x:c r="F4212" s="11" t="n">
        <x:v>0</x:v>
      </x:c>
      <x:c r="G4212" s="11" t="n">
        <x:v>88.04999999999998</x:v>
      </x:c>
      <x:c r="H4212" s="23" t="n">
        <x:v>0.000004288064024161852</x:v>
      </x:c>
      <x:c r="I4212" s="23" t="n">
        <x:v>0.9987743886574386</x:v>
      </x:c>
      <x:c r="J4212" s="2" t="n">
        <x:v>6</x:v>
      </x:c>
      <x:c r="K4212" s="2"/>
      <x:c r="L4212" s="2"/>
    </x:row>
    <x:row r="4213" ht="22" customHeight="1">
      <x:c r="A4213" s="2"/>
      <x:c r="B4213" s="2" t="n">
        <x:v>4180</x:v>
      </x:c>
      <x:c r="C4213" s="2" t="str">
        <x:v>71495A</x:v>
      </x:c>
      <x:c r="D4213" s="2" t="str">
        <x:v>CD WALL TIDY BLUE OFFICE</x:v>
      </x:c>
      <x:c r="E4213" s="11" t="n">
        <x:v>87.96000000000001</x:v>
      </x:c>
      <x:c r="F4213" s="11" t="n">
        <x:v>0.42</x:v>
      </x:c>
      <x:c r="G4213" s="11" t="n">
        <x:v>87.53999999999999</x:v>
      </x:c>
      <x:c r="H4213" s="23" t="n">
        <x:v>0.000004283680994494908</x:v>
      </x:c>
      <x:c r="I4213" s="23" t="n">
        <x:v>0.9987786723384331</x:v>
      </x:c>
      <x:c r="J4213" s="2" t="n">
        <x:v>20</x:v>
      </x:c>
      <x:c r="K4213" s="2"/>
      <x:c r="L4213" s="2"/>
    </x:row>
    <x:row r="4214" ht="22" customHeight="1">
      <x:c r="A4214" s="2"/>
      <x:c r="B4214" s="2" t="n">
        <x:v>4181</x:v>
      </x:c>
      <x:c r="C4214" s="2" t="str">
        <x:v>84721</x:v>
      </x:c>
      <x:c r="D4214" s="2" t="str">
        <x:v>MANHATTAN CANVAS ART PICTURE</x:v>
      </x:c>
      <x:c r="E4214" s="11" t="n">
        <x:v>87.8</x:v>
      </x:c>
      <x:c r="F4214" s="11" t="n">
        <x:v>0</x:v>
      </x:c>
      <x:c r="G4214" s="11" t="n">
        <x:v>87.8</x:v>
      </x:c>
      <x:c r="H4214" s="23" t="n">
        <x:v>0.000004275888941753671</x:v>
      </x:c>
      <x:c r="I4214" s="23" t="n">
        <x:v>0.9987829482273749</x:v>
      </x:c>
      <x:c r="J4214" s="2" t="n">
        <x:v>2</x:v>
      </x:c>
      <x:c r="K4214" s="2"/>
      <x:c r="L4214" s="2"/>
    </x:row>
    <x:row r="4215" ht="22" customHeight="1">
      <x:c r="A4215" s="2"/>
      <x:c r="B4215" s="2" t="n">
        <x:v>4182</x:v>
      </x:c>
      <x:c r="C4215" s="2" t="str">
        <x:v>90092</x:v>
      </x:c>
      <x:c r="D4215" s="2" t="str">
        <x:v>BLUE CRYSTAL BOOT PHONE CHARM</x:v>
      </x:c>
      <x:c r="E4215" s="11" t="n">
        <x:v>87.50999999999999</x:v>
      </x:c>
      <x:c r="F4215" s="11" t="n">
        <x:v>22.95</x:v>
      </x:c>
      <x:c r="G4215" s="11" t="n">
        <x:v>64.56</x:v>
      </x:c>
      <x:c r="H4215" s="23" t="n">
        <x:v>0.000004261765846160179</x:v>
      </x:c>
      <x:c r="I4215" s="23" t="n">
        <x:v>0.998787209993221</x:v>
      </x:c>
      <x:c r="J4215" s="2" t="n">
        <x:v>10</x:v>
      </x:c>
      <x:c r="K4215" s="2"/>
      <x:c r="L4215" s="2"/>
    </x:row>
    <x:row r="4216" ht="22" customHeight="1">
      <x:c r="A4216" s="2"/>
      <x:c r="B4216" s="2" t="n">
        <x:v>4183</x:v>
      </x:c>
      <x:c r="C4216" s="2" t="str">
        <x:v>23442</x:v>
      </x:c>
      <x:c r="D4216" s="2" t="str">
        <x:v>12 HANGING EGGS HAND PAINTED</x:v>
      </x:c>
      <x:c r="E4216" s="11" t="n">
        <x:v>87.36</x:v>
      </x:c>
      <x:c r="F4216" s="11" t="n">
        <x:v>0</x:v>
      </x:c>
      <x:c r="G4216" s="11" t="n">
        <x:v>87.36</x:v>
      </x:c>
      <x:c r="H4216" s="23" t="n">
        <x:v>0.0000042544607967152695</x:v>
      </x:c>
      <x:c r="I4216" s="23" t="n">
        <x:v>0.9987914644540177</x:v>
      </x:c>
      <x:c r="J4216" s="2" t="n">
        <x:v>7</x:v>
      </x:c>
      <x:c r="K4216" s="2"/>
      <x:c r="L4216" s="2"/>
    </x:row>
    <x:row r="4217" ht="22" customHeight="1">
      <x:c r="A4217" s="2"/>
      <x:c r="B4217" s="2" t="n">
        <x:v>4184</x:v>
      </x:c>
      <x:c r="C4217" s="2" t="str">
        <x:v>37462B</x:v>
      </x:c>
      <x:c r="D4217" s="2" t="str">
        <x:v>PET MUG, BUDGIE</x:v>
      </x:c>
      <x:c r="E4217" s="11" t="n">
        <x:v>87.28</x:v>
      </x:c>
      <x:c r="F4217" s="11" t="n">
        <x:v>0.42</x:v>
      </x:c>
      <x:c r="G4217" s="11" t="n">
        <x:v>86.86</x:v>
      </x:c>
      <x:c r="H4217" s="23" t="n">
        <x:v>0.000004250564770344651</x:v>
      </x:c>
      <x:c r="I4217" s="23" t="n">
        <x:v>0.998795715018788</x:v>
      </x:c>
      <x:c r="J4217" s="2" t="n">
        <x:v>32</x:v>
      </x:c>
      <x:c r="K4217" s="2"/>
      <x:c r="L4217" s="2"/>
    </x:row>
    <x:row r="4218" ht="22" customHeight="1">
      <x:c r="A4218" s="2"/>
      <x:c r="B4218" s="2" t="n">
        <x:v>4185</x:v>
      </x:c>
      <x:c r="C4218" s="2" t="str">
        <x:v>20835</x:v>
      </x:c>
      <x:c r="D4218" s="2" t="str">
        <x:v>FRENCH LATTICE CUSHION COVER </x:v>
      </x:c>
      <x:c r="E4218" s="11" t="n">
        <x:v>87.02</x:v>
      </x:c>
      <x:c r="F4218" s="11" t="n">
        <x:v>0</x:v>
      </x:c>
      <x:c r="G4218" s="11" t="n">
        <x:v>87.02</x:v>
      </x:c>
      <x:c r="H4218" s="23" t="n">
        <x:v>0.0000042379026846401414</x:v>
      </x:c>
      <x:c r="I4218" s="23" t="n">
        <x:v>0.9987999529214727</x:v>
      </x:c>
      <x:c r="J4218" s="2" t="n">
        <x:v>10</x:v>
      </x:c>
      <x:c r="K4218" s="2"/>
      <x:c r="L4218" s="2"/>
    </x:row>
    <x:row r="4219" ht="22" customHeight="1">
      <x:c r="A4219" s="2"/>
      <x:c r="B4219" s="2" t="n">
        <x:v>4186</x:v>
      </x:c>
      <x:c r="C4219" s="2" t="str">
        <x:v>35822B</x:v>
      </x:c>
      <x:c r="D4219" s="2" t="str">
        <x:v>ACRYLIC BEAD CHAIN, BLUE</x:v>
      </x:c>
      <x:c r="E4219" s="11" t="n">
        <x:v>87.02</x:v>
      </x:c>
      <x:c r="F4219" s="11" t="n">
        <x:v>0</x:v>
      </x:c>
      <x:c r="G4219" s="11" t="n">
        <x:v>87.02</x:v>
      </x:c>
      <x:c r="H4219" s="23" t="n">
        <x:v>0.0000042379026846401414</x:v>
      </x:c>
      <x:c r="I4219" s="23" t="n">
        <x:v>0.9988041908241574</x:v>
      </x:c>
      <x:c r="J4219" s="2" t="n">
        <x:v>1</x:v>
      </x:c>
      <x:c r="K4219" s="2"/>
      <x:c r="L4219" s="2"/>
    </x:row>
    <x:row r="4220" ht="22" customHeight="1">
      <x:c r="A4220" s="2"/>
      <x:c r="B4220" s="2" t="n">
        <x:v>4187</x:v>
      </x:c>
      <x:c r="C4220" s="2" t="str">
        <x:v>35265</x:v>
      </x:c>
      <x:c r="D4220" s="2" t="str">
        <x:v>COLOURFUL FLOWER FRUIT BOWL</x:v>
      </x:c>
      <x:c r="E4220" s="11" t="n">
        <x:v>86.95</x:v>
      </x:c>
      <x:c r="F4220" s="11" t="n">
        <x:v>0</x:v>
      </x:c>
      <x:c r="G4220" s="11" t="n">
        <x:v>86.95</x:v>
      </x:c>
      <x:c r="H4220" s="23" t="n">
        <x:v>0.000004234493661565851</x:v>
      </x:c>
      <x:c r="I4220" s="23" t="n">
        <x:v>0.998808425317819</x:v>
      </x:c>
      <x:c r="J4220" s="2" t="n">
        <x:v>16</x:v>
      </x:c>
      <x:c r="K4220" s="2"/>
      <x:c r="L4220" s="2"/>
    </x:row>
    <x:row r="4221" ht="22" customHeight="1">
      <x:c r="A4221" s="2"/>
      <x:c r="B4221" s="2" t="n">
        <x:v>4188</x:v>
      </x:c>
      <x:c r="C4221" s="2" t="str">
        <x:v>90088</x:v>
      </x:c>
      <x:c r="D4221" s="2" t="str">
        <x:v>CRYSTAL KEY+LOCK PHONE CHARM</x:v>
      </x:c>
      <x:c r="E4221" s="11" t="n">
        <x:v>86.69999999999999</x:v>
      </x:c>
      <x:c r="F4221" s="11" t="n">
        <x:v>21.25</x:v>
      </x:c>
      <x:c r="G4221" s="11" t="n">
        <x:v>65.45</x:v>
      </x:c>
      <x:c r="H4221" s="23" t="n">
        <x:v>0.0000042223185791576675</x:v>
      </x:c>
      <x:c r="I4221" s="23" t="n">
        <x:v>0.9988126476363981</x:v>
      </x:c>
      <x:c r="J4221" s="2" t="n">
        <x:v>14</x:v>
      </x:c>
      <x:c r="K4221" s="2"/>
      <x:c r="L4221" s="2"/>
    </x:row>
    <x:row r="4222" ht="22" customHeight="1">
      <x:c r="A4222" s="2"/>
      <x:c r="B4222" s="2" t="n">
        <x:v>4189</x:v>
      </x:c>
      <x:c r="C4222" s="2" t="str">
        <x:v>90039C</x:v>
      </x:c>
      <x:c r="D4222" s="2" t="str">
        <x:v>FIRE POLISHED GLASS BRACELET BLACK</x:v>
      </x:c>
      <x:c r="E4222" s="11" t="n">
        <x:v>86.65</x:v>
      </x:c>
      <x:c r="F4222" s="11" t="n">
        <x:v>0</x:v>
      </x:c>
      <x:c r="G4222" s="11" t="n">
        <x:v>86.65</x:v>
      </x:c>
      <x:c r="H4222" s="23" t="n">
        <x:v>0.000004219883562676032</x:v>
      </x:c>
      <x:c r="I4222" s="23" t="n">
        <x:v>0.9988168675199608</x:v>
      </x:c>
      <x:c r="J4222" s="2" t="n">
        <x:v>12</x:v>
      </x:c>
      <x:c r="K4222" s="2"/>
      <x:c r="L4222" s="2"/>
    </x:row>
    <x:row r="4223" ht="22" customHeight="1">
      <x:c r="A4223" s="2"/>
      <x:c r="B4223" s="2" t="n">
        <x:v>4190</x:v>
      </x:c>
      <x:c r="C4223" s="2" t="str">
        <x:v>23614</x:v>
      </x:c>
      <x:c r="D4223" s="2" t="str">
        <x:v>SET 10 CARDS 12 DAYS WRAP  17058</x:v>
      </x:c>
      <x:c r="E4223" s="11" t="n">
        <x:v>86.58000000000001</x:v>
      </x:c>
      <x:c r="F4223" s="11" t="n">
        <x:v>0</x:v>
      </x:c>
      <x:c r="G4223" s="11" t="n">
        <x:v>86.58000000000001</x:v>
      </x:c>
      <x:c r="H4223" s="23" t="n">
        <x:v>0.000004216474539601741</x:v>
      </x:c>
      <x:c r="I4223" s="23" t="n">
        <x:v>0.9988210839945004</x:v>
      </x:c>
      <x:c r="J4223" s="2" t="n">
        <x:v>11</x:v>
      </x:c>
      <x:c r="K4223" s="2"/>
      <x:c r="L4223" s="2"/>
    </x:row>
    <x:row r="4224" ht="22" customHeight="1">
      <x:c r="A4224" s="2"/>
      <x:c r="B4224" s="2" t="n">
        <x:v>4191</x:v>
      </x:c>
      <x:c r="C4224" s="2" t="str">
        <x:v>84424A</x:v>
      </x:c>
      <x:c r="D4224" s="2" t="str">
        <x:v>FOUR PICTURE WHITE GLASS FRAME</x:v>
      </x:c>
      <x:c r="E4224" s="11" t="n">
        <x:v>86.25</x:v>
      </x:c>
      <x:c r="F4224" s="11" t="n">
        <x:v>0</x:v>
      </x:c>
      <x:c r="G4224" s="11" t="n">
        <x:v>86.25</x:v>
      </x:c>
      <x:c r="H4224" s="23" t="n">
        <x:v>0.0000042004034308229395</x:v>
      </x:c>
      <x:c r="I4224" s="23" t="n">
        <x:v>0.9988252843979313</x:v>
      </x:c>
      <x:c r="J4224" s="2" t="n">
        <x:v>10</x:v>
      </x:c>
      <x:c r="K4224" s="2"/>
      <x:c r="L4224" s="2"/>
    </x:row>
    <x:row r="4225" ht="22" customHeight="1">
      <x:c r="A4225" s="2"/>
      <x:c r="B4225" s="2" t="n">
        <x:v>4192</x:v>
      </x:c>
      <x:c r="C4225" s="2" t="str">
        <x:v>35271S</x:v>
      </x:c>
      <x:c r="D4225" s="2" t="str">
        <x:v>GOLD PRINT PAPER BAG</x:v>
      </x:c>
      <x:c r="E4225" s="11" t="n">
        <x:v>85.97</x:v>
      </x:c>
      <x:c r="F4225" s="11" t="n">
        <x:v>0</x:v>
      </x:c>
      <x:c r="G4225" s="11" t="n">
        <x:v>85.97</x:v>
      </x:c>
      <x:c r="H4225" s="23" t="n">
        <x:v>0.0000041867673385257756</x:v>
      </x:c>
      <x:c r="I4225" s="23" t="n">
        <x:v>0.9988294711652698</x:v>
      </x:c>
      <x:c r="J4225" s="2" t="n">
        <x:v>20</x:v>
      </x:c>
      <x:c r="K4225" s="2"/>
      <x:c r="L4225" s="2"/>
    </x:row>
    <x:row r="4226" ht="22" customHeight="1">
      <x:c r="A4226" s="2"/>
      <x:c r="B4226" s="2" t="n">
        <x:v>4193</x:v>
      </x:c>
      <x:c r="C4226" s="2" t="str">
        <x:v>90012B</x:v>
      </x:c>
      <x:c r="D4226" s="2" t="str">
        <x:v>BLACK DROP CRYSTAL NECKLACE</x:v>
      </x:c>
      <x:c r="E4226" s="11" t="n">
        <x:v>85.9</x:v>
      </x:c>
      <x:c r="F4226" s="11" t="n">
        <x:v>0</x:v>
      </x:c>
      <x:c r="G4226" s="11" t="n">
        <x:v>85.9</x:v>
      </x:c>
      <x:c r="H4226" s="23" t="n">
        <x:v>0.000004183358315451485</x:v>
      </x:c>
      <x:c r="I4226" s="23" t="n">
        <x:v>0.9988336545235852</x:v>
      </x:c>
      <x:c r="J4226" s="2" t="n">
        <x:v>6</x:v>
      </x:c>
      <x:c r="K4226" s="2"/>
      <x:c r="L4226" s="2"/>
    </x:row>
    <x:row r="4227" ht="22" customHeight="1">
      <x:c r="A4227" s="2"/>
      <x:c r="B4227" s="2" t="n">
        <x:v>4194</x:v>
      </x:c>
      <x:c r="C4227" s="2" t="str">
        <x:v>90162D</x:v>
      </x:c>
      <x:c r="D4227" s="2" t="str">
        <x:v>ANT SILVER PURPLE BOUDICCA RING</x:v>
      </x:c>
      <x:c r="E4227" s="11" t="n">
        <x:v>85.55000000000001</x:v>
      </x:c>
      <x:c r="F4227" s="11" t="n">
        <x:v>0</x:v>
      </x:c>
      <x:c r="G4227" s="11" t="n">
        <x:v>85.55000000000001</x:v>
      </x:c>
      <x:c r="H4227" s="23" t="n">
        <x:v>0.000004166313200080029</x:v>
      </x:c>
      <x:c r="I4227" s="23" t="n">
        <x:v>0.9988378208367853</x:v>
      </x:c>
      <x:c r="J4227" s="2" t="n">
        <x:v>14</x:v>
      </x:c>
      <x:c r="K4227" s="2"/>
      <x:c r="L4227" s="2"/>
    </x:row>
    <x:row r="4228" ht="22" customHeight="1">
      <x:c r="A4228" s="2"/>
      <x:c r="B4228" s="2" t="n">
        <x:v>4195</x:v>
      </x:c>
      <x:c r="C4228" s="2" t="str">
        <x:v>84454</x:v>
      </x:c>
      <x:c r="D4228" s="2" t="str">
        <x:v>missing</x:v>
      </x:c>
      <x:c r="E4228" s="11" t="n">
        <x:v>85.53</x:v>
      </x:c>
      <x:c r="F4228" s="11" t="n">
        <x:v>0</x:v>
      </x:c>
      <x:c r="G4228" s="11" t="n">
        <x:v>85.53</x:v>
      </x:c>
      <x:c r="H4228" s="23" t="n">
        <x:v>0.000004165339193487374</x:v>
      </x:c>
      <x:c r="I4228" s="23" t="n">
        <x:v>0.9988419861759787</x:v>
      </x:c>
      <x:c r="J4228" s="2" t="n">
        <x:v>18</x:v>
      </x:c>
      <x:c r="K4228" s="2"/>
      <x:c r="L4228" s="2"/>
    </x:row>
    <x:row r="4229" ht="22" customHeight="1">
      <x:c r="A4229" s="2"/>
      <x:c r="B4229" s="2" t="n">
        <x:v>4196</x:v>
      </x:c>
      <x:c r="C4229" s="2" t="str">
        <x:v>85099c</x:v>
      </x:c>
      <x:c r="D4229" s="2" t="str">
        <x:v>JUMBO  BAG BAROQUE BLACK WHITE</x:v>
      </x:c>
      <x:c r="E4229" s="11" t="n">
        <x:v>85.17</x:v>
      </x:c>
      <x:c r="F4229" s="11" t="n">
        <x:v>0</x:v>
      </x:c>
      <x:c r="G4229" s="11" t="n">
        <x:v>85.17</x:v>
      </x:c>
      <x:c r="H4229" s="23" t="n">
        <x:v>0.000004147807074819592</x:v>
      </x:c>
      <x:c r="I4229" s="23" t="n">
        <x:v>0.9988461339830536</x:v>
      </x:c>
      <x:c r="J4229" s="2" t="n">
        <x:v>10</x:v>
      </x:c>
      <x:c r="K4229" s="2"/>
      <x:c r="L4229" s="2"/>
    </x:row>
    <x:row r="4230" ht="22" customHeight="1">
      <x:c r="A4230" s="2"/>
      <x:c r="B4230" s="2" t="n">
        <x:v>4197</x:v>
      </x:c>
      <x:c r="C4230" s="2" t="str">
        <x:v>35838B</x:v>
      </x:c>
      <x:c r="D4230" s="2" t="str">
        <x:v>S/6 SILVER ORNAMENETAL CANDLE</x:v>
      </x:c>
      <x:c r="E4230" s="11" t="n">
        <x:v>85</x:v>
      </x:c>
      <x:c r="F4230" s="11" t="n">
        <x:v>0</x:v>
      </x:c>
      <x:c r="G4230" s="11" t="n">
        <x:v>85</x:v>
      </x:c>
      <x:c r="H4230" s="23" t="n">
        <x:v>0.000004139528018782027</x:v>
      </x:c>
      <x:c r="I4230" s="23" t="n">
        <x:v>0.9988502735110724</x:v>
      </x:c>
      <x:c r="J4230" s="2" t="n">
        <x:v>23</x:v>
      </x:c>
      <x:c r="K4230" s="2"/>
      <x:c r="L4230" s="2"/>
    </x:row>
    <x:row r="4231" ht="22" customHeight="1">
      <x:c r="A4231" s="2"/>
      <x:c r="B4231" s="2" t="n">
        <x:v>4198</x:v>
      </x:c>
      <x:c r="C4231" s="2" t="str">
        <x:v>90026D</x:v>
      </x:c>
      <x:c r="D4231" s="2" t="str">
        <x:v>GLASS BEAD HOOP NECKLACE AMETHYST</x:v>
      </x:c>
      <x:c r="E4231" s="11" t="n">
        <x:v>85</x:v>
      </x:c>
      <x:c r="F4231" s="11" t="n">
        <x:v>0</x:v>
      </x:c>
      <x:c r="G4231" s="11" t="n">
        <x:v>85</x:v>
      </x:c>
      <x:c r="H4231" s="23" t="n">
        <x:v>0.000004139528018782027</x:v>
      </x:c>
      <x:c r="I4231" s="23" t="n">
        <x:v>0.9988544130390912</x:v>
      </x:c>
      <x:c r="J4231" s="2" t="n">
        <x:v>8</x:v>
      </x:c>
      <x:c r="K4231" s="2"/>
      <x:c r="L4231" s="2"/>
    </x:row>
    <x:row r="4232" ht="22" customHeight="1">
      <x:c r="A4232" s="2"/>
      <x:c r="B4232" s="2" t="n">
        <x:v>4199</x:v>
      </x:c>
      <x:c r="C4232" s="2" t="str">
        <x:v>90001D</x:v>
      </x:c>
      <x:c r="D4232" s="2" t="str">
        <x:v>ANTIQUE OLIVE GREEN FLOWER EARRINGS</x:v>
      </x:c>
      <x:c r="E4232" s="11" t="n">
        <x:v>84.96000000000001</x:v>
      </x:c>
      <x:c r="F4232" s="11" t="n">
        <x:v>0</x:v>
      </x:c>
      <x:c r="G4232" s="11" t="n">
        <x:v>84.96000000000001</x:v>
      </x:c>
      <x:c r="H4232" s="23" t="n">
        <x:v>0.000004137580005596719</x:v>
      </x:c>
      <x:c r="I4232" s="23" t="n">
        <x:v>0.9988585506190968</x:v>
      </x:c>
      <x:c r="J4232" s="2" t="n">
        <x:v>11</x:v>
      </x:c>
      <x:c r="K4232" s="2"/>
      <x:c r="L4232" s="2"/>
    </x:row>
    <x:row r="4233" ht="22" customHeight="1">
      <x:c r="A4233" s="2"/>
      <x:c r="B4233" s="2" t="n">
        <x:v>4200</x:v>
      </x:c>
      <x:c r="C4233" s="2" t="str">
        <x:v>17027A</x:v>
      </x:c>
      <x:c r="D4233" s="2" t="str">
        <x:v>INCENSE BAZAAR CANNABIS</x:v>
      </x:c>
      <x:c r="E4233" s="11" t="n">
        <x:v>84.84</x:v>
      </x:c>
      <x:c r="F4233" s="11" t="n">
        <x:v>0</x:v>
      </x:c>
      <x:c r="G4233" s="11" t="n">
        <x:v>84.84</x:v>
      </x:c>
      <x:c r="H4233" s="23" t="n">
        <x:v>0.0000041317359660407906</x:v>
      </x:c>
      <x:c r="I4233" s="23" t="n">
        <x:v>0.9988626823550628</x:v>
      </x:c>
      <x:c r="J4233" s="2" t="n">
        <x:v>2</x:v>
      </x:c>
      <x:c r="K4233" s="2"/>
      <x:c r="L4233" s="2"/>
    </x:row>
    <x:row r="4234" ht="22" customHeight="1">
      <x:c r="A4234" s="2"/>
      <x:c r="B4234" s="2" t="n">
        <x:v>4201</x:v>
      </x:c>
      <x:c r="C4234" s="2" t="str">
        <x:v>84251B</x:v>
      </x:c>
      <x:c r="D4234" s="2" t="str">
        <x:v>GREETING CARD, STICKY GORDON</x:v>
      </x:c>
      <x:c r="E4234" s="11" t="n">
        <x:v>84.84</x:v>
      </x:c>
      <x:c r="F4234" s="11" t="n">
        <x:v>2.2800000000000002</x:v>
      </x:c>
      <x:c r="G4234" s="11" t="n">
        <x:v>82.56</x:v>
      </x:c>
      <x:c r="H4234" s="23" t="n">
        <x:v>0.0000041317359660407906</x:v>
      </x:c>
      <x:c r="I4234" s="23" t="n">
        <x:v>0.9988668140910288</x:v>
      </x:c>
      <x:c r="J4234" s="2" t="n">
        <x:v>61</x:v>
      </x:c>
      <x:c r="K4234" s="2"/>
      <x:c r="L4234" s="2"/>
    </x:row>
    <x:row r="4235" ht="22" customHeight="1">
      <x:c r="A4235" s="2"/>
      <x:c r="B4235" s="2" t="n">
        <x:v>4202</x:v>
      </x:c>
      <x:c r="C4235" s="2" t="str">
        <x:v>46775B</x:v>
      </x:c>
      <x:c r="D4235" s="2" t="str">
        <x:v>BERRIES CHUNKY KNITTED THROW </x:v>
      </x:c>
      <x:c r="E4235" s="11" t="n">
        <x:v>84.75</x:v>
      </x:c>
      <x:c r="F4235" s="11" t="n">
        <x:v>0</x:v>
      </x:c>
      <x:c r="G4235" s="11" t="n">
        <x:v>84.75</x:v>
      </x:c>
      <x:c r="H4235" s="23" t="n">
        <x:v>0.000004127352936373845</x:v>
      </x:c>
      <x:c r="I4235" s="23" t="n">
        <x:v>0.9988709414439653</x:v>
      </x:c>
      <x:c r="J4235" s="2" t="n">
        <x:v>4</x:v>
      </x:c>
      <x:c r="K4235" s="2"/>
      <x:c r="L4235" s="2"/>
    </x:row>
    <x:row r="4236" ht="22" customHeight="1">
      <x:c r="A4236" s="2"/>
      <x:c r="B4236" s="2" t="n">
        <x:v>4203</x:v>
      </x:c>
      <x:c r="C4236" s="2" t="str">
        <x:v>16051</x:v>
      </x:c>
      <x:c r="D4236" s="2" t="str">
        <x:v>TEATIME PENCIL W STAMP ASST</x:v>
      </x:c>
      <x:c r="E4236" s="11" t="n">
        <x:v>84.69</x:v>
      </x:c>
      <x:c r="F4236" s="11" t="n">
        <x:v>0</x:v>
      </x:c>
      <x:c r="G4236" s="11" t="n">
        <x:v>84.69</x:v>
      </x:c>
      <x:c r="H4236" s="23" t="n">
        <x:v>0.0000041244309165958815</x:v>
      </x:c>
      <x:c r="I4236" s="23" t="n">
        <x:v>0.9988750658748818</x:v>
      </x:c>
      <x:c r="J4236" s="2" t="n">
        <x:v>4</x:v>
      </x:c>
      <x:c r="K4236" s="2"/>
      <x:c r="L4236" s="2"/>
    </x:row>
    <x:row r="4237" ht="22" customHeight="1">
      <x:c r="A4237" s="2"/>
      <x:c r="B4237" s="2" t="n">
        <x:v>4204</x:v>
      </x:c>
      <x:c r="C4237" s="2" t="str">
        <x:v>81952B</x:v>
      </x:c>
      <x:c r="D4237" s="2" t="str">
        <x:v>ROUND BLUE CLOCK WITH SUCKER</x:v>
      </x:c>
      <x:c r="E4237" s="11" t="n">
        <x:v>84.56</x:v>
      </x:c>
      <x:c r="F4237" s="11" t="n">
        <x:v>0</x:v>
      </x:c>
      <x:c r="G4237" s="11" t="n">
        <x:v>84.56</x:v>
      </x:c>
      <x:c r="H4237" s="23" t="n">
        <x:v>0.000004118099873743627</x:v>
      </x:c>
      <x:c r="I4237" s="23" t="n">
        <x:v>0.9988791839747556</x:v>
      </x:c>
      <x:c r="J4237" s="2" t="n">
        <x:v>20</x:v>
      </x:c>
      <x:c r="K4237" s="2"/>
      <x:c r="L4237" s="2"/>
    </x:row>
    <x:row r="4238" ht="22" customHeight="1">
      <x:c r="A4238" s="2"/>
      <x:c r="B4238" s="2" t="n">
        <x:v>4205</x:v>
      </x:c>
      <x:c r="C4238" s="2" t="str">
        <x:v>84450B</x:v>
      </x:c>
      <x:c r="D4238" s="2" t="str">
        <x:v>PINK/YELLOW RABBIT SAT EASTER</x:v>
      </x:c>
      <x:c r="E4238" s="11" t="n">
        <x:v>84.55</x:v>
      </x:c>
      <x:c r="F4238" s="11" t="n">
        <x:v>0</x:v>
      </x:c>
      <x:c r="G4238" s="11" t="n">
        <x:v>84.55</x:v>
      </x:c>
      <x:c r="H4238" s="23" t="n">
        <x:v>0.000004117612870447299</x:v>
      </x:c>
      <x:c r="I4238" s="23" t="n">
        <x:v>0.9988833015876261</x:v>
      </x:c>
      <x:c r="J4238" s="2" t="n">
        <x:v>35</x:v>
      </x:c>
      <x:c r="K4238" s="2"/>
      <x:c r="L4238" s="2"/>
    </x:row>
    <x:row r="4239" ht="22" customHeight="1">
      <x:c r="A4239" s="2"/>
      <x:c r="B4239" s="2" t="n">
        <x:v>4206</x:v>
      </x:c>
      <x:c r="C4239" s="2" t="str">
        <x:v>84251F</x:v>
      </x:c>
      <x:c r="D4239" s="2" t="str">
        <x:v>GREETING CARD, RITA</x:v>
      </x:c>
      <x:c r="E4239" s="11" t="n">
        <x:v>83.97</x:v>
      </x:c>
      <x:c r="F4239" s="11" t="n">
        <x:v>0</x:v>
      </x:c>
      <x:c r="G4239" s="11" t="n">
        <x:v>83.97</x:v>
      </x:c>
      <x:c r="H4239" s="23" t="n">
        <x:v>0.000004089366679260316</x:v>
      </x:c>
      <x:c r="I4239" s="23" t="n">
        <x:v>0.9988873909543053</x:v>
      </x:c>
      <x:c r="J4239" s="2" t="n">
        <x:v>50</x:v>
      </x:c>
      <x:c r="K4239" s="2"/>
      <x:c r="L4239" s="2"/>
    </x:row>
    <x:row r="4240" ht="22" customHeight="1">
      <x:c r="A4240" s="2"/>
      <x:c r="B4240" s="2" t="n">
        <x:v>4207</x:v>
      </x:c>
      <x:c r="C4240" s="2" t="str">
        <x:v>90141C</x:v>
      </x:c>
      <x:c r="D4240" s="2" t="str">
        <x:v>TURQ PENDANT TRIPLE SHELL NECKLACE</x:v>
      </x:c>
      <x:c r="E4240" s="11" t="n">
        <x:v>83.69</x:v>
      </x:c>
      <x:c r="F4240" s="11" t="n">
        <x:v>0</x:v>
      </x:c>
      <x:c r="G4240" s="11" t="n">
        <x:v>83.69</x:v>
      </x:c>
      <x:c r="H4240" s="23" t="n">
        <x:v>0.000004075730586963151</x:v>
      </x:c>
      <x:c r="I4240" s="23" t="n">
        <x:v>0.9988914666848923</x:v>
      </x:c>
      <x:c r="J4240" s="2" t="n">
        <x:v>13</x:v>
      </x:c>
      <x:c r="K4240" s="2"/>
      <x:c r="L4240" s="2"/>
    </x:row>
    <x:row r="4241" ht="22" customHeight="1">
      <x:c r="A4241" s="2"/>
      <x:c r="B4241" s="2" t="n">
        <x:v>4208</x:v>
      </x:c>
      <x:c r="C4241" s="2" t="str">
        <x:v>22016</x:v>
      </x:c>
      <x:c r="D4241" s="2" t="str">
        <x:v>Dotcomgiftshop Gift Voucher £100.00</x:v>
      </x:c>
      <x:c r="E4241" s="11" t="n">
        <x:v>83.33</x:v>
      </x:c>
      <x:c r="F4241" s="11" t="n">
        <x:v>0</x:v>
      </x:c>
      <x:c r="G4241" s="11" t="n">
        <x:v>83.33</x:v>
      </x:c>
      <x:c r="H4241" s="23" t="n">
        <x:v>0.000004058198468295368</x:v>
      </x:c>
      <x:c r="I4241" s="23" t="n">
        <x:v>0.9988955248833605</x:v>
      </x:c>
      <x:c r="J4241" s="2" t="n">
        <x:v>1</x:v>
      </x:c>
      <x:c r="K4241" s="2"/>
      <x:c r="L4241" s="2"/>
    </x:row>
    <x:row r="4242" ht="22" customHeight="1">
      <x:c r="A4242" s="2"/>
      <x:c r="B4242" s="2" t="n">
        <x:v>4209</x:v>
      </x:c>
      <x:c r="C4242" s="2" t="str">
        <x:v>72779</x:v>
      </x:c>
      <x:c r="D4242" s="2" t="str">
        <x:v>SET/6 BLACK ROSE T-LIGHT CANDLES</x:v>
      </x:c>
      <x:c r="E4242" s="11" t="n">
        <x:v>82.81</x:v>
      </x:c>
      <x:c r="F4242" s="11" t="n">
        <x:v>0</x:v>
      </x:c>
      <x:c r="G4242" s="11" t="n">
        <x:v>82.81</x:v>
      </x:c>
      <x:c r="H4242" s="23" t="n">
        <x:v>0.0000040328742968863496</x:v>
      </x:c>
      <x:c r="I4242" s="23" t="n">
        <x:v>0.9988995577576574</x:v>
      </x:c>
      <x:c r="J4242" s="2" t="n">
        <x:v>15</x:v>
      </x:c>
      <x:c r="K4242" s="2"/>
      <x:c r="L4242" s="2"/>
    </x:row>
    <x:row r="4243" ht="22" customHeight="1">
      <x:c r="A4243" s="2"/>
      <x:c r="B4243" s="2" t="n">
        <x:v>4210</x:v>
      </x:c>
      <x:c r="C4243" s="2" t="str">
        <x:v>90176D</x:v>
      </x:c>
      <x:c r="D4243" s="2" t="str">
        <x:v>DIAMANTE NECKLACE PURPLE</x:v>
      </x:c>
      <x:c r="E4243" s="11" t="n">
        <x:v>82.81</x:v>
      </x:c>
      <x:c r="F4243" s="11" t="n">
        <x:v>7.5</x:v>
      </x:c>
      <x:c r="G4243" s="11" t="n">
        <x:v>75.31</x:v>
      </x:c>
      <x:c r="H4243" s="23" t="n">
        <x:v>0.0000040328742968863496</x:v>
      </x:c>
      <x:c r="I4243" s="23" t="n">
        <x:v>0.9989035906319542</x:v>
      </x:c>
      <x:c r="J4243" s="2" t="n">
        <x:v>7</x:v>
      </x:c>
      <x:c r="K4243" s="2"/>
      <x:c r="L4243" s="2"/>
    </x:row>
    <x:row r="4244" ht="22" customHeight="1">
      <x:c r="A4244" s="2"/>
      <x:c r="B4244" s="2" t="n">
        <x:v>4211</x:v>
      </x:c>
      <x:c r="C4244" s="2" t="str">
        <x:v>84030C</x:v>
      </x:c>
      <x:c r="D4244" s="2" t="str">
        <x:v>KNITTED RAINBOW HOT WATER BOTTLE</x:v>
      </x:c>
      <x:c r="E4244" s="11" t="n">
        <x:v>82.78</x:v>
      </x:c>
      <x:c r="F4244" s="11" t="n">
        <x:v>30</x:v>
      </x:c>
      <x:c r="G4244" s="11" t="n">
        <x:v>52.78</x:v>
      </x:c>
      <x:c r="H4244" s="23" t="n">
        <x:v>0.000004031413286997368</x:v>
      </x:c>
      <x:c r="I4244" s="23" t="n">
        <x:v>0.9989076220452412</x:v>
      </x:c>
      <x:c r="J4244" s="2" t="n">
        <x:v>6</x:v>
      </x:c>
      <x:c r="K4244" s="2"/>
      <x:c r="L4244" s="2"/>
    </x:row>
    <x:row r="4245" ht="22" customHeight="1">
      <x:c r="A4245" s="2"/>
      <x:c r="B4245" s="2" t="n">
        <x:v>4212</x:v>
      </x:c>
      <x:c r="C4245" s="2" t="str">
        <x:v>90002B</x:v>
      </x:c>
      <x:c r="D4245" s="2" t="str">
        <x:v>FLOWER BURST SILVER RING ROSE</x:v>
      </x:c>
      <x:c r="E4245" s="11" t="n">
        <x:v>82.74</x:v>
      </x:c>
      <x:c r="F4245" s="11" t="n">
        <x:v>0</x:v>
      </x:c>
      <x:c r="G4245" s="11" t="n">
        <x:v>82.74</x:v>
      </x:c>
      <x:c r="H4245" s="23" t="n">
        <x:v>0.000004029465273812058</x:v>
      </x:c>
      <x:c r="I4245" s="23" t="n">
        <x:v>0.998911651510515</x:v>
      </x:c>
      <x:c r="J4245" s="2" t="n">
        <x:v>11</x:v>
      </x:c>
      <x:c r="K4245" s="2"/>
      <x:c r="L4245" s="2"/>
    </x:row>
    <x:row r="4246" ht="22" customHeight="1">
      <x:c r="A4246" s="2"/>
      <x:c r="B4246" s="2" t="n">
        <x:v>4213</x:v>
      </x:c>
      <x:c r="C4246" s="2" t="str">
        <x:v>90177E</x:v>
      </x:c>
      <x:c r="D4246" s="2" t="str">
        <x:v>DROP DIAMANTE EARRINGS GREEN</x:v>
      </x:c>
      <x:c r="E4246" s="11" t="n">
        <x:v>82.71000000000001</x:v>
      </x:c>
      <x:c r="F4246" s="11" t="n">
        <x:v>17.700000000000003</x:v>
      </x:c>
      <x:c r="G4246" s="11" t="n">
        <x:v>65.01</x:v>
      </x:c>
      <x:c r="H4246" s="23" t="n">
        <x:v>0.000004028004263923077</x:v>
      </x:c>
      <x:c r="I4246" s="23" t="n">
        <x:v>0.9989156795147789</x:v>
      </x:c>
      <x:c r="J4246" s="2" t="n">
        <x:v>22</x:v>
      </x:c>
      <x:c r="K4246" s="2"/>
      <x:c r="L4246" s="2"/>
    </x:row>
    <x:row r="4247" ht="22" customHeight="1">
      <x:c r="A4247" s="2"/>
      <x:c r="B4247" s="2" t="n">
        <x:v>4214</x:v>
      </x:c>
      <x:c r="C4247" s="2" t="str">
        <x:v>90189A</x:v>
      </x:c>
      <x:c r="D4247" s="2" t="str">
        <x:v>SILVER 2 STRAND NECKLACE-LEAF CHARM</x:v>
      </x:c>
      <x:c r="E4247" s="11" t="n">
        <x:v>82.64</x:v>
      </x:c>
      <x:c r="F4247" s="11" t="n">
        <x:v>0</x:v>
      </x:c>
      <x:c r="G4247" s="11" t="n">
        <x:v>82.64</x:v>
      </x:c>
      <x:c r="H4247" s="23" t="n">
        <x:v>0.0000040245952408487855</x:v>
      </x:c>
      <x:c r="I4247" s="23" t="n">
        <x:v>0.9989197041100197</x:v>
      </x:c>
      <x:c r="J4247" s="2" t="n">
        <x:v>8</x:v>
      </x:c>
      <x:c r="K4247" s="2"/>
      <x:c r="L4247" s="2"/>
    </x:row>
    <x:row r="4248" ht="22" customHeight="1">
      <x:c r="A4248" s="2"/>
      <x:c r="B4248" s="2" t="n">
        <x:v>4215</x:v>
      </x:c>
      <x:c r="C4248" s="2" t="str">
        <x:v>90130A</x:v>
      </x:c>
      <x:c r="D4248" s="2" t="str">
        <x:v>WHITE STONE/CRYSTAL EARRINGS</x:v>
      </x:c>
      <x:c r="E4248" s="11" t="n">
        <x:v>82.51</x:v>
      </x:c>
      <x:c r="F4248" s="11" t="n">
        <x:v>0</x:v>
      </x:c>
      <x:c r="G4248" s="11" t="n">
        <x:v>82.51</x:v>
      </x:c>
      <x:c r="H4248" s="23" t="n">
        <x:v>0.000004018264197996531</x:v>
      </x:c>
      <x:c r="I4248" s="23" t="n">
        <x:v>0.9989237223742178</x:v>
      </x:c>
      <x:c r="J4248" s="2" t="n">
        <x:v>16</x:v>
      </x:c>
      <x:c r="K4248" s="2"/>
      <x:c r="L4248" s="2"/>
    </x:row>
    <x:row r="4249" ht="22" customHeight="1">
      <x:c r="A4249" s="2"/>
      <x:c r="B4249" s="2" t="n">
        <x:v>4216</x:v>
      </x:c>
      <x:c r="C4249" s="2" t="str">
        <x:v>90069</x:v>
      </x:c>
      <x:c r="D4249" s="2" t="str">
        <x:v>RUBY GLASS CLUSTER NECKLACE</x:v>
      </x:c>
      <x:c r="E4249" s="11" t="n">
        <x:v>82.5</x:v>
      </x:c>
      <x:c r="F4249" s="11" t="n">
        <x:v>0</x:v>
      </x:c>
      <x:c r="G4249" s="11" t="n">
        <x:v>82.5</x:v>
      </x:c>
      <x:c r="H4249" s="23" t="n">
        <x:v>0.000004017777194700203</x:v>
      </x:c>
      <x:c r="I4249" s="23" t="n">
        <x:v>0.9989277401514125</x:v>
      </x:c>
      <x:c r="J4249" s="2" t="n">
        <x:v>5</x:v>
      </x:c>
      <x:c r="K4249" s="2"/>
      <x:c r="L4249" s="2"/>
    </x:row>
    <x:row r="4250" ht="22" customHeight="1">
      <x:c r="A4250" s="2"/>
      <x:c r="B4250" s="2" t="n">
        <x:v>4217</x:v>
      </x:c>
      <x:c r="C4250" s="2" t="str">
        <x:v>21699</x:v>
      </x:c>
      <x:c r="D4250" s="2" t="str">
        <x:v>SET 5 MINI CHOCOLATE FRIDGE MAGNETS</x:v>
      </x:c>
      <x:c r="E4250" s="11" t="n">
        <x:v>82.44</x:v>
      </x:c>
      <x:c r="F4250" s="11" t="n">
        <x:v>0</x:v>
      </x:c>
      <x:c r="G4250" s="11" t="n">
        <x:v>82.44</x:v>
      </x:c>
      <x:c r="H4250" s="23" t="n">
        <x:v>0.000004014855174922239</x:v>
      </x:c>
      <x:c r="I4250" s="23" t="n">
        <x:v>0.9989317550065874</x:v>
      </x:c>
      <x:c r="J4250" s="2" t="n">
        <x:v>3</x:v>
      </x:c>
      <x:c r="K4250" s="2"/>
      <x:c r="L4250" s="2"/>
    </x:row>
    <x:row r="4251" ht="22" customHeight="1">
      <x:c r="A4251" s="2"/>
      <x:c r="B4251" s="2" t="n">
        <x:v>4218</x:v>
      </x:c>
      <x:c r="C4251" s="2" t="str">
        <x:v>90183B</x:v>
      </x:c>
      <x:c r="D4251" s="2" t="str">
        <x:v>AMETHYST DROP EARRINGS W LONG BEADS</x:v>
      </x:c>
      <x:c r="E4251" s="11" t="n">
        <x:v>81.92999999999999</x:v>
      </x:c>
      <x:c r="F4251" s="11" t="n">
        <x:v>0</x:v>
      </x:c>
      <x:c r="G4251" s="11" t="n">
        <x:v>81.92999999999999</x:v>
      </x:c>
      <x:c r="H4251" s="23" t="n">
        <x:v>0.000003990018006809547</x:v>
      </x:c>
      <x:c r="I4251" s="23" t="n">
        <x:v>0.9989357450245941</x:v>
      </x:c>
      <x:c r="J4251" s="2" t="n">
        <x:v>24</x:v>
      </x:c>
      <x:c r="K4251" s="2"/>
      <x:c r="L4251" s="2"/>
    </x:row>
    <x:row r="4252" ht="22" customHeight="1">
      <x:c r="A4252" s="2"/>
      <x:c r="B4252" s="2" t="n">
        <x:v>4219</x:v>
      </x:c>
      <x:c r="C4252" s="2" t="str">
        <x:v>35610C</x:v>
      </x:c>
      <x:c r="D4252" s="2" t="str">
        <x:v>Thrown away.</x:v>
      </x:c>
      <x:c r="E4252" s="11" t="n">
        <x:v>81.56</x:v>
      </x:c>
      <x:c r="F4252" s="11" t="n">
        <x:v>0</x:v>
      </x:c>
      <x:c r="G4252" s="11" t="n">
        <x:v>81.56</x:v>
      </x:c>
      <x:c r="H4252" s="23" t="n">
        <x:v>0.000003971998884845437</x:v>
      </x:c>
      <x:c r="I4252" s="23" t="n">
        <x:v>0.998939717023479</x:v>
      </x:c>
      <x:c r="J4252" s="2" t="n">
        <x:v>8</x:v>
      </x:c>
      <x:c r="K4252" s="2"/>
      <x:c r="L4252" s="2"/>
    </x:row>
    <x:row r="4253" ht="22" customHeight="1">
      <x:c r="A4253" s="2"/>
      <x:c r="B4253" s="2" t="n">
        <x:v>4220</x:v>
      </x:c>
      <x:c r="C4253" s="2" t="str">
        <x:v>16201B</x:v>
      </x:c>
      <x:c r="D4253" s="2" t="str">
        <x:v>PASTEL BLUE PHOTO ALBUM</x:v>
      </x:c>
      <x:c r="E4253" s="11" t="n">
        <x:v>81.1</x:v>
      </x:c>
      <x:c r="F4253" s="11" t="n">
        <x:v>0</x:v>
      </x:c>
      <x:c r="G4253" s="11" t="n">
        <x:v>81.1</x:v>
      </x:c>
      <x:c r="H4253" s="23" t="n">
        <x:v>0.000003949596733214382</x:v>
      </x:c>
      <x:c r="I4253" s="23" t="n">
        <x:v>0.9989436666202122</x:v>
      </x:c>
      <x:c r="J4253" s="2" t="n">
        <x:v>5</x:v>
      </x:c>
      <x:c r="K4253" s="2"/>
      <x:c r="L4253" s="2"/>
    </x:row>
    <x:row r="4254" ht="22" customHeight="1">
      <x:c r="A4254" s="2"/>
      <x:c r="B4254" s="2" t="n">
        <x:v>4221</x:v>
      </x:c>
      <x:c r="C4254" s="2" t="str">
        <x:v>90121B</x:v>
      </x:c>
      <x:c r="D4254" s="2" t="str">
        <x:v>VINTAGE ROSE BEAD BRACELET BLUE</x:v>
      </x:c>
      <x:c r="E4254" s="11" t="n">
        <x:v>80.75</x:v>
      </x:c>
      <x:c r="F4254" s="11" t="n">
        <x:v>12.75</x:v>
      </x:c>
      <x:c r="G4254" s="11" t="n">
        <x:v>68</x:v>
      </x:c>
      <x:c r="H4254" s="23" t="n">
        <x:v>0.000003932551617842926</x:v>
      </x:c>
      <x:c r="I4254" s="23" t="n">
        <x:v>0.99894759917183</x:v>
      </x:c>
      <x:c r="J4254" s="2" t="n">
        <x:v>9</x:v>
      </x:c>
      <x:c r="K4254" s="2"/>
      <x:c r="L4254" s="2"/>
    </x:row>
    <x:row r="4255" ht="22" customHeight="1">
      <x:c r="A4255" s="2"/>
      <x:c r="B4255" s="2" t="n">
        <x:v>4222</x:v>
      </x:c>
      <x:c r="C4255" s="2" t="str">
        <x:v>84596I</x:v>
      </x:c>
      <x:c r="D4255" s="2" t="str">
        <x:v>WRAP SWEETS LIGHT PINK SMALL BOWL</x:v>
      </x:c>
      <x:c r="E4255" s="11" t="n">
        <x:v>80.62</x:v>
      </x:c>
      <x:c r="F4255" s="11" t="n">
        <x:v>0</x:v>
      </x:c>
      <x:c r="G4255" s="11" t="n">
        <x:v>80.62</x:v>
      </x:c>
      <x:c r="H4255" s="23" t="n">
        <x:v>0.000003926220574990671</x:v>
      </x:c>
      <x:c r="I4255" s="23" t="n">
        <x:v>0.998951525392405</x:v>
      </x:c>
      <x:c r="J4255" s="2" t="n">
        <x:v>10</x:v>
      </x:c>
      <x:c r="K4255" s="2"/>
      <x:c r="L4255" s="2"/>
    </x:row>
    <x:row r="4256" ht="22" customHeight="1">
      <x:c r="A4256" s="2"/>
      <x:c r="B4256" s="2" t="n">
        <x:v>4223</x:v>
      </x:c>
      <x:c r="C4256" s="2" t="str">
        <x:v>17011E</x:v>
      </x:c>
      <x:c r="D4256" s="2" t="str">
        <x:v>ORIGAMI OPIUM SCENT INCENSE+FLOWER</x:v>
      </x:c>
      <x:c r="E4256" s="11" t="n">
        <x:v>80.60000000000001</x:v>
      </x:c>
      <x:c r="F4256" s="11" t="n">
        <x:v>0</x:v>
      </x:c>
      <x:c r="G4256" s="11" t="n">
        <x:v>80.60000000000001</x:v>
      </x:c>
      <x:c r="H4256" s="23" t="n">
        <x:v>0.000003925246568398017</x:v>
      </x:c>
      <x:c r="I4256" s="23" t="n">
        <x:v>0.9989554506389734</x:v>
      </x:c>
      <x:c r="J4256" s="2" t="n">
        <x:v>1</x:v>
      </x:c>
      <x:c r="K4256" s="2"/>
      <x:c r="L4256" s="2"/>
    </x:row>
    <x:row r="4257" ht="22" customHeight="1">
      <x:c r="A4257" s="2"/>
      <x:c r="B4257" s="2" t="n">
        <x:v>4224</x:v>
      </x:c>
      <x:c r="C4257" s="2" t="str">
        <x:v>DCGS0069</x:v>
      </x:c>
      <x:c r="D4257" s="2" t="str">
        <x:v>ebay</x:v>
      </x:c>
      <x:c r="E4257" s="11" t="n">
        <x:v>80.31</x:v>
      </x:c>
      <x:c r="F4257" s="11" t="n">
        <x:v>0</x:v>
      </x:c>
      <x:c r="G4257" s="11" t="n">
        <x:v>80.31</x:v>
      </x:c>
      <x:c r="H4257" s="23" t="n">
        <x:v>0.000003911123472804525</x:v>
      </x:c>
      <x:c r="I4257" s="23" t="n">
        <x:v>0.9989593617624462</x:v>
      </x:c>
      <x:c r="J4257" s="2" t="n">
        <x:v>5</x:v>
      </x:c>
      <x:c r="K4257" s="2"/>
      <x:c r="L4257" s="2"/>
    </x:row>
    <x:row r="4258" ht="22" customHeight="1">
      <x:c r="A4258" s="2"/>
      <x:c r="B4258" s="2" t="n">
        <x:v>4225</x:v>
      </x:c>
      <x:c r="C4258" s="2" t="str">
        <x:v>84415B</x:v>
      </x:c>
      <x:c r="D4258" s="2" t="str">
        <x:v>BLUE FLOCK CUSHION COVER </x:v>
      </x:c>
      <x:c r="E4258" s="11" t="n">
        <x:v>80</x:v>
      </x:c>
      <x:c r="F4258" s="11" t="n">
        <x:v>0</x:v>
      </x:c>
      <x:c r="G4258" s="11" t="n">
        <x:v>80</x:v>
      </x:c>
      <x:c r="H4258" s="23" t="n">
        <x:v>0.000003896026370618379</x:v>
      </x:c>
      <x:c r="I4258" s="23" t="n">
        <x:v>0.9989632577888168</x:v>
      </x:c>
      <x:c r="J4258" s="2" t="n">
        <x:v>7</x:v>
      </x:c>
      <x:c r="K4258" s="2"/>
      <x:c r="L4258" s="2"/>
    </x:row>
    <x:row r="4259" ht="22" customHeight="1">
      <x:c r="A4259" s="2"/>
      <x:c r="B4259" s="2" t="n">
        <x:v>4226</x:v>
      </x:c>
      <x:c r="C4259" s="2" t="str">
        <x:v>90059F</x:v>
      </x:c>
      <x:c r="D4259" s="2" t="str">
        <x:v>DIAMANTE HAIR GRIP PACK/2 LT ROSE</x:v>
      </x:c>
      <x:c r="E4259" s="11" t="n">
        <x:v>79.86999999999999</x:v>
      </x:c>
      <x:c r="F4259" s="11" t="n">
        <x:v>9.899999999999999</x:v>
      </x:c>
      <x:c r="G4259" s="11" t="n">
        <x:v>69.97</x:v>
      </x:c>
      <x:c r="H4259" s="23" t="n">
        <x:v>0.000003889695327766123</x:v>
      </x:c>
      <x:c r="I4259" s="23" t="n">
        <x:v>0.9989671474841445</x:v>
      </x:c>
      <x:c r="J4259" s="2" t="n">
        <x:v>27</x:v>
      </x:c>
      <x:c r="K4259" s="2"/>
      <x:c r="L4259" s="2"/>
    </x:row>
    <x:row r="4260" ht="22" customHeight="1">
      <x:c r="A4260" s="2"/>
      <x:c r="B4260" s="2" t="n">
        <x:v>4227</x:v>
      </x:c>
      <x:c r="C4260" s="2" t="str">
        <x:v>90206A</x:v>
      </x:c>
      <x:c r="D4260" s="2" t="str">
        <x:v>GOLD DIAMANTE STAR BROOCH</x:v>
      </x:c>
      <x:c r="E4260" s="11" t="n">
        <x:v>79.60000000000001</x:v>
      </x:c>
      <x:c r="F4260" s="11" t="n">
        <x:v>0</x:v>
      </x:c>
      <x:c r="G4260" s="11" t="n">
        <x:v>79.60000000000001</x:v>
      </x:c>
      <x:c r="H4260" s="23" t="n">
        <x:v>0.000003876546238765287</x:v>
      </x:c>
      <x:c r="I4260" s="23" t="n">
        <x:v>0.9989710240303833</x:v>
      </x:c>
      <x:c r="J4260" s="2" t="n">
        <x:v>12</x:v>
      </x:c>
      <x:c r="K4260" s="2"/>
      <x:c r="L4260" s="2"/>
    </x:row>
    <x:row r="4261" ht="22" customHeight="1">
      <x:c r="A4261" s="2"/>
      <x:c r="B4261" s="2" t="n">
        <x:v>4228</x:v>
      </x:c>
      <x:c r="C4261" s="2" t="str">
        <x:v>90125B</x:v>
      </x:c>
      <x:c r="D4261" s="2" t="str">
        <x:v>AQUA BERTIE GLASS BEAD BAG CHARM</x:v>
      </x:c>
      <x:c r="E4261" s="11" t="n">
        <x:v>79.57</x:v>
      </x:c>
      <x:c r="F4261" s="11" t="n">
        <x:v>0</x:v>
      </x:c>
      <x:c r="G4261" s="11" t="n">
        <x:v>79.57</x:v>
      </x:c>
      <x:c r="H4261" s="23" t="n">
        <x:v>0.0000038750852288763045</x:v>
      </x:c>
      <x:c r="I4261" s="23" t="n">
        <x:v>0.9989748991156122</x:v>
      </x:c>
      <x:c r="J4261" s="2" t="n">
        <x:v>17</x:v>
      </x:c>
      <x:c r="K4261" s="2"/>
      <x:c r="L4261" s="2"/>
    </x:row>
    <x:row r="4262" ht="22" customHeight="1">
      <x:c r="A4262" s="2"/>
      <x:c r="B4262" s="2" t="n">
        <x:v>4229</x:v>
      </x:c>
      <x:c r="C4262" s="2" t="str">
        <x:v>84795E</x:v>
      </x:c>
      <x:c r="D4262" s="2" t="str">
        <x:v>RIO PINK STRIPE HAMMOCK</x:v>
      </x:c>
      <x:c r="E4262" s="11" t="n">
        <x:v>79.5</x:v>
      </x:c>
      <x:c r="F4262" s="11" t="n">
        <x:v>0</x:v>
      </x:c>
      <x:c r="G4262" s="11" t="n">
        <x:v>79.5</x:v>
      </x:c>
      <x:c r="H4262" s="23" t="n">
        <x:v>0.000003871676205802014</x:v>
      </x:c>
      <x:c r="I4262" s="23" t="n">
        <x:v>0.998978770791818</x:v>
      </x:c>
      <x:c r="J4262" s="2" t="n">
        <x:v>5</x:v>
      </x:c>
      <x:c r="K4262" s="2"/>
      <x:c r="L4262" s="2"/>
    </x:row>
    <x:row r="4263" ht="22" customHeight="1">
      <x:c r="A4263" s="2"/>
      <x:c r="B4263" s="2" t="n">
        <x:v>4230</x:v>
      </x:c>
      <x:c r="C4263" s="2" t="str">
        <x:v>84548</x:v>
      </x:c>
      <x:c r="D4263" s="2" t="str">
        <x:v>CROCHET BEAR RED/BLUE  KEYRING</x:v>
      </x:c>
      <x:c r="E4263" s="11" t="n">
        <x:v>79.19999999999999</x:v>
      </x:c>
      <x:c r="F4263" s="11" t="n">
        <x:v>0</x:v>
      </x:c>
      <x:c r="G4263" s="11" t="n">
        <x:v>79.19999999999999</x:v>
      </x:c>
      <x:c r="H4263" s="23" t="n">
        <x:v>0.000003857066106912195</x:v>
      </x:c>
      <x:c r="I4263" s="23" t="n">
        <x:v>0.9989826278579249</x:v>
      </x:c>
      <x:c r="J4263" s="2" t="n">
        <x:v>13</x:v>
      </x:c>
      <x:c r="K4263" s="2"/>
      <x:c r="L4263" s="2"/>
    </x:row>
    <x:row r="4264" ht="22" customHeight="1">
      <x:c r="A4264" s="2"/>
      <x:c r="B4264" s="2" t="n">
        <x:v>4231</x:v>
      </x:c>
      <x:c r="C4264" s="2" t="str">
        <x:v>90038B</x:v>
      </x:c>
      <x:c r="D4264" s="2" t="str">
        <x:v>GLASS AND PAINTED BEADS BRACELET OL</x:v>
      </x:c>
      <x:c r="E4264" s="11" t="n">
        <x:v>79.19</x:v>
      </x:c>
      <x:c r="F4264" s="11" t="n">
        <x:v>0</x:v>
      </x:c>
      <x:c r="G4264" s="11" t="n">
        <x:v>79.19</x:v>
      </x:c>
      <x:c r="H4264" s="23" t="n">
        <x:v>0.000003856579103615867</x:v>
      </x:c>
      <x:c r="I4264" s="23" t="n">
        <x:v>0.9989864844370285</x:v>
      </x:c>
      <x:c r="J4264" s="2" t="n">
        <x:v>13</x:v>
      </x:c>
      <x:c r="K4264" s="2"/>
      <x:c r="L4264" s="2"/>
    </x:row>
    <x:row r="4265" ht="22" customHeight="1">
      <x:c r="A4265" s="2"/>
      <x:c r="B4265" s="2" t="n">
        <x:v>4232</x:v>
      </x:c>
      <x:c r="C4265" s="2" t="str">
        <x:v>90064A</x:v>
      </x:c>
      <x:c r="D4265" s="2" t="str">
        <x:v>WHITE VINTAGE CRYSTAL EARRINGS</x:v>
      </x:c>
      <x:c r="E4265" s="11" t="n">
        <x:v>79.14</x:v>
      </x:c>
      <x:c r="F4265" s="11" t="n">
        <x:v>0</x:v>
      </x:c>
      <x:c r="G4265" s="11" t="n">
        <x:v>79.14</x:v>
      </x:c>
      <x:c r="H4265" s="23" t="n">
        <x:v>0.0000038541440871342315</x:v>
      </x:c>
      <x:c r="I4265" s="23" t="n">
        <x:v>0.9989903385811156</x:v>
      </x:c>
      <x:c r="J4265" s="2" t="n">
        <x:v>12</x:v>
      </x:c>
      <x:c r="K4265" s="2"/>
      <x:c r="L4265" s="2"/>
    </x:row>
    <x:row r="4266" ht="22" customHeight="1">
      <x:c r="A4266" s="2"/>
      <x:c r="B4266" s="2" t="n">
        <x:v>4233</x:v>
      </x:c>
      <x:c r="C4266" s="2" t="str">
        <x:v>90039B</x:v>
      </x:c>
      <x:c r="D4266" s="2" t="str">
        <x:v>FIRE POLISHED GLASS BRACELET MONTAN</x:v>
      </x:c>
      <x:c r="E4266" s="11" t="n">
        <x:v>78.99</x:v>
      </x:c>
      <x:c r="F4266" s="11" t="n">
        <x:v>0</x:v>
      </x:c>
      <x:c r="G4266" s="11" t="n">
        <x:v>78.99</x:v>
      </x:c>
      <x:c r="H4266" s="23" t="n">
        <x:v>0.0000038468390376893216</x:v>
      </x:c>
      <x:c r="I4266" s="23" t="n">
        <x:v>0.9989941854201533</x:v>
      </x:c>
      <x:c r="J4266" s="2" t="n">
        <x:v>11</x:v>
      </x:c>
      <x:c r="K4266" s="2"/>
      <x:c r="L4266" s="2"/>
    </x:row>
    <x:row r="4267" ht="22" customHeight="1">
      <x:c r="A4267" s="2"/>
      <x:c r="B4267" s="2" t="n">
        <x:v>4234</x:v>
      </x:c>
      <x:c r="C4267" s="2" t="str">
        <x:v>84251C</x:v>
      </x:c>
      <x:c r="D4267" s="2" t="str">
        <x:v>GREETING CARD, TWO SISTERS.</x:v>
      </x:c>
      <x:c r="E4267" s="11" t="n">
        <x:v>78.96000000000001</x:v>
      </x:c>
      <x:c r="F4267" s="11" t="n">
        <x:v>0</x:v>
      </x:c>
      <x:c r="G4267" s="11" t="n">
        <x:v>78.96000000000001</x:v>
      </x:c>
      <x:c r="H4267" s="23" t="n">
        <x:v>0.00000384537802780034</x:v>
      </x:c>
      <x:c r="I4267" s="23" t="n">
        <x:v>0.9989980307981811</x:v>
      </x:c>
      <x:c r="J4267" s="2" t="n">
        <x:v>53</x:v>
      </x:c>
      <x:c r="K4267" s="2"/>
      <x:c r="L4267" s="2"/>
    </x:row>
    <x:row r="4268" ht="22" customHeight="1">
      <x:c r="A4268" s="2"/>
      <x:c r="B4268" s="2" t="n">
        <x:v>4235</x:v>
      </x:c>
      <x:c r="C4268" s="2" t="str">
        <x:v>84455</x:v>
      </x:c>
      <x:c r="D4268" s="2" t="str">
        <x:v>SET OF 3 RABBIT CARROTS EASTER</x:v>
      </x:c>
      <x:c r="E4268" s="11" t="n">
        <x:v>78.81</x:v>
      </x:c>
      <x:c r="F4268" s="11" t="n">
        <x:v>0</x:v>
      </x:c>
      <x:c r="G4268" s="11" t="n">
        <x:v>78.81</x:v>
      </x:c>
      <x:c r="H4268" s="23" t="n">
        <x:v>0.000003838072978355431</x:v>
      </x:c>
      <x:c r="I4268" s="23" t="n">
        <x:v>0.9990018688711594</x:v>
      </x:c>
      <x:c r="J4268" s="2" t="n">
        <x:v>20</x:v>
      </x:c>
      <x:c r="K4268" s="2"/>
      <x:c r="L4268" s="2"/>
    </x:row>
    <x:row r="4269" ht="22" customHeight="1">
      <x:c r="A4269" s="2"/>
      <x:c r="B4269" s="2" t="n">
        <x:v>4236</x:v>
      </x:c>
      <x:c r="C4269" s="2" t="str">
        <x:v>90064B</x:v>
      </x:c>
      <x:c r="D4269" s="2" t="str">
        <x:v>BLACK VINTAGE  CRYSTAL EARRINGS</x:v>
      </x:c>
      <x:c r="E4269" s="11" t="n">
        <x:v>78.75</x:v>
      </x:c>
      <x:c r="F4269" s="11" t="n">
        <x:v>3.75</x:v>
      </x:c>
      <x:c r="G4269" s="11" t="n">
        <x:v>75</x:v>
      </x:c>
      <x:c r="H4269" s="23" t="n">
        <x:v>0.000003835150958577467</x:v>
      </x:c>
      <x:c r="I4269" s="23" t="n">
        <x:v>0.999005704022118</x:v>
      </x:c>
      <x:c r="J4269" s="2" t="n">
        <x:v>12</x:v>
      </x:c>
      <x:c r="K4269" s="2"/>
      <x:c r="L4269" s="2"/>
    </x:row>
    <x:row r="4270" ht="22" customHeight="1">
      <x:c r="A4270" s="2"/>
      <x:c r="B4270" s="2" t="n">
        <x:v>4237</x:v>
      </x:c>
      <x:c r="C4270" s="2" t="str">
        <x:v>35931</x:v>
      </x:c>
      <x:c r="D4270" s="2" t="str">
        <x:v>PINK STAR CHRISTMAS DECORATION</x:v>
      </x:c>
      <x:c r="E4270" s="11" t="n">
        <x:v>78.12</x:v>
      </x:c>
      <x:c r="F4270" s="11" t="n">
        <x:v>0</x:v>
      </x:c>
      <x:c r="G4270" s="11" t="n">
        <x:v>78.12</x:v>
      </x:c>
      <x:c r="H4270" s="23" t="n">
        <x:v>0.000003804469750908847</x:v>
      </x:c>
      <x:c r="I4270" s="23" t="n">
        <x:v>0.9990095084918689</x:v>
      </x:c>
      <x:c r="J4270" s="2" t="n">
        <x:v>15</x:v>
      </x:c>
      <x:c r="K4270" s="2"/>
      <x:c r="L4270" s="2"/>
    </x:row>
    <x:row r="4271" ht="22" customHeight="1">
      <x:c r="A4271" s="2"/>
      <x:c r="B4271" s="2" t="n">
        <x:v>4238</x:v>
      </x:c>
      <x:c r="C4271" s="2" t="str">
        <x:v>90214H</x:v>
      </x:c>
      <x:c r="D4271" s="2" t="str">
        <x:v>LETTER "H" BLING KEY RING</x:v>
      </x:c>
      <x:c r="E4271" s="11" t="n">
        <x:v>77.71</x:v>
      </x:c>
      <x:c r="F4271" s="11" t="n">
        <x:v>0</x:v>
      </x:c>
      <x:c r="G4271" s="11" t="n">
        <x:v>77.71</x:v>
      </x:c>
      <x:c r="H4271" s="23" t="n">
        <x:v>0.0000037845026157594275</x:v>
      </x:c>
      <x:c r="I4271" s="23" t="n">
        <x:v>0.9990132929944846</x:v>
      </x:c>
      <x:c r="J4271" s="2" t="n">
        <x:v>53</x:v>
      </x:c>
      <x:c r="K4271" s="2"/>
      <x:c r="L4271" s="2"/>
    </x:row>
    <x:row r="4272" ht="22" customHeight="1">
      <x:c r="A4272" s="2"/>
      <x:c r="B4272" s="2" t="n">
        <x:v>4239</x:v>
      </x:c>
      <x:c r="C4272" s="2" t="str">
        <x:v>90214N</x:v>
      </x:c>
      <x:c r="D4272" s="2" t="str">
        <x:v>LETTER "N" BLING KEY RING</x:v>
      </x:c>
      <x:c r="E4272" s="11" t="n">
        <x:v>77.64999999999999</x:v>
      </x:c>
      <x:c r="F4272" s="11" t="n">
        <x:v>0</x:v>
      </x:c>
      <x:c r="G4272" s="11" t="n">
        <x:v>77.64999999999999</x:v>
      </x:c>
      <x:c r="H4272" s="23" t="n">
        <x:v>0.0000037815805959814634</x:v>
      </x:c>
      <x:c r="I4272" s="23" t="n">
        <x:v>0.9990170745750806</x:v>
      </x:c>
      <x:c r="J4272" s="2" t="n">
        <x:v>43</x:v>
      </x:c>
      <x:c r="K4272" s="2"/>
      <x:c r="L4272" s="2"/>
    </x:row>
    <x:row r="4273" ht="22" customHeight="1">
      <x:c r="A4273" s="2"/>
      <x:c r="B4273" s="2" t="n">
        <x:v>4240</x:v>
      </x:c>
      <x:c r="C4273" s="2" t="str">
        <x:v>21450</x:v>
      </x:c>
      <x:c r="D4273" s="2" t="str">
        <x:v>DISTRESSED CANDLE STICK WHITE</x:v>
      </x:c>
      <x:c r="E4273" s="11" t="n">
        <x:v>77.35</x:v>
      </x:c>
      <x:c r="F4273" s="11" t="n">
        <x:v>59.5</x:v>
      </x:c>
      <x:c r="G4273" s="11" t="n">
        <x:v>17.849999999999998</x:v>
      </x:c>
      <x:c r="H4273" s="23" t="n">
        <x:v>0.000003766970497091645</x:v>
      </x:c>
      <x:c r="I4273" s="23" t="n">
        <x:v>0.9990208415455777</x:v>
      </x:c>
      <x:c r="J4273" s="2" t="n">
        <x:v>3</x:v>
      </x:c>
      <x:c r="K4273" s="2"/>
      <x:c r="L4273" s="2"/>
    </x:row>
    <x:row r="4274" ht="22" customHeight="1">
      <x:c r="A4274" s="2"/>
      <x:c r="B4274" s="2" t="n">
        <x:v>4241</x:v>
      </x:c>
      <x:c r="C4274" s="2" t="str">
        <x:v>90176C</x:v>
      </x:c>
      <x:c r="D4274" s="2" t="str">
        <x:v>DIAMANTE NECKLACE</x:v>
      </x:c>
      <x:c r="E4274" s="11" t="n">
        <x:v>77</x:v>
      </x:c>
      <x:c r="F4274" s="11" t="n">
        <x:v>15</x:v>
      </x:c>
      <x:c r="G4274" s="11" t="n">
        <x:v>62</x:v>
      </x:c>
      <x:c r="H4274" s="23" t="n">
        <x:v>0.0000037499253817201897</x:v>
      </x:c>
      <x:c r="I4274" s="23" t="n">
        <x:v>0.9990245914709595</x:v>
      </x:c>
      <x:c r="J4274" s="2" t="n">
        <x:v>6</x:v>
      </x:c>
      <x:c r="K4274" s="2"/>
      <x:c r="L4274" s="2"/>
    </x:row>
    <x:row r="4275" ht="22" customHeight="1">
      <x:c r="A4275" s="2"/>
      <x:c r="B4275" s="2" t="n">
        <x:v>4242</x:v>
      </x:c>
      <x:c r="C4275" s="2" t="str">
        <x:v>21595</x:v>
      </x:c>
      <x:c r="D4275" s="2" t="str">
        <x:v>Dad's Cab Electronic Meter</x:v>
      </x:c>
      <x:c r="E4275" s="11" t="n">
        <x:v>76.95</x:v>
      </x:c>
      <x:c r="F4275" s="11" t="n">
        <x:v>0</x:v>
      </x:c>
      <x:c r="G4275" s="11" t="n">
        <x:v>76.95</x:v>
      </x:c>
      <x:c r="H4275" s="23" t="n">
        <x:v>0.000003747490365238553</x:v>
      </x:c>
      <x:c r="I4275" s="23" t="n">
        <x:v>0.9990283389613247</x:v>
      </x:c>
      <x:c r="J4275" s="2" t="n">
        <x:v>9</x:v>
      </x:c>
      <x:c r="K4275" s="2"/>
      <x:c r="L4275" s="2"/>
    </x:row>
    <x:row r="4276" ht="22" customHeight="1">
      <x:c r="A4276" s="2"/>
      <x:c r="B4276" s="2" t="n">
        <x:v>4243</x:v>
      </x:c>
      <x:c r="C4276" s="2" t="str">
        <x:v>84593</x:v>
      </x:c>
      <x:c r="D4276" s="2" t="str">
        <x:v>CROCHET ROSE DES CLOTHES HANGER</x:v>
      </x:c>
      <x:c r="E4276" s="11" t="n">
        <x:v>76.7</x:v>
      </x:c>
      <x:c r="F4276" s="11" t="n">
        <x:v>0</x:v>
      </x:c>
      <x:c r="G4276" s="11" t="n">
        <x:v>76.7</x:v>
      </x:c>
      <x:c r="H4276" s="23" t="n">
        <x:v>0.0000037353152828303708</x:v>
      </x:c>
      <x:c r="I4276" s="23" t="n">
        <x:v>0.9990320742766076</x:v>
      </x:c>
      <x:c r="J4276" s="2" t="n">
        <x:v>7</x:v>
      </x:c>
      <x:c r="K4276" s="2"/>
      <x:c r="L4276" s="2"/>
    </x:row>
    <x:row r="4277" ht="22" customHeight="1">
      <x:c r="A4277" s="2"/>
      <x:c r="B4277" s="2" t="n">
        <x:v>4244</x:v>
      </x:c>
      <x:c r="C4277" s="2" t="str">
        <x:v>84425A</x:v>
      </x:c>
      <x:c r="D4277" s="2" t="str">
        <x:v>WHITE GLASS TV TRIPLE FRAME</x:v>
      </x:c>
      <x:c r="E4277" s="11" t="n">
        <x:v>76.6</x:v>
      </x:c>
      <x:c r="F4277" s="11" t="n">
        <x:v>0</x:v>
      </x:c>
      <x:c r="G4277" s="11" t="n">
        <x:v>76.6</x:v>
      </x:c>
      <x:c r="H4277" s="23" t="n">
        <x:v>0.0000037304452498670975</x:v>
      </x:c>
      <x:c r="I4277" s="23" t="n">
        <x:v>0.9990358047218574</x:v>
      </x:c>
      <x:c r="J4277" s="2" t="n">
        <x:v>9</x:v>
      </x:c>
      <x:c r="K4277" s="2"/>
      <x:c r="L4277" s="2"/>
    </x:row>
    <x:row r="4278" ht="22" customHeight="1">
      <x:c r="A4278" s="2"/>
      <x:c r="B4278" s="2" t="n">
        <x:v>4245</x:v>
      </x:c>
      <x:c r="C4278" s="2" t="str">
        <x:v>90100</x:v>
      </x:c>
      <x:c r="D4278" s="2" t="str">
        <x:v>NECKLACE+BRACELET SET PINK DAISY</x:v>
      </x:c>
      <x:c r="E4278" s="11" t="n">
        <x:v>76.5</x:v>
      </x:c>
      <x:c r="F4278" s="11" t="n">
        <x:v>0</x:v>
      </x:c>
      <x:c r="G4278" s="11" t="n">
        <x:v>76.5</x:v>
      </x:c>
      <x:c r="H4278" s="23" t="n">
        <x:v>0.0000037255752169038246</x:v>
      </x:c>
      <x:c r="I4278" s="23" t="n">
        <x:v>0.9990395302970743</x:v>
      </x:c>
      <x:c r="J4278" s="2" t="n">
        <x:v>12</x:v>
      </x:c>
      <x:c r="K4278" s="2"/>
      <x:c r="L4278" s="2"/>
    </x:row>
    <x:row r="4279" ht="22" customHeight="1">
      <x:c r="A4279" s="2"/>
      <x:c r="B4279" s="2" t="n">
        <x:v>4246</x:v>
      </x:c>
      <x:c r="C4279" s="2" t="str">
        <x:v>90020</x:v>
      </x:c>
      <x:c r="D4279" s="2" t="str">
        <x:v>FILIGREE DIAMANTE CHAIN</x:v>
      </x:c>
      <x:c r="E4279" s="11" t="n">
        <x:v>76.23</x:v>
      </x:c>
      <x:c r="F4279" s="11" t="n">
        <x:v>0</x:v>
      </x:c>
      <x:c r="G4279" s="11" t="n">
        <x:v>76.23</x:v>
      </x:c>
      <x:c r="H4279" s="23" t="n">
        <x:v>0.0000037124261279029878</x:v>
      </x:c>
      <x:c r="I4279" s="23" t="n">
        <x:v>0.9990432427232022</x:v>
      </x:c>
      <x:c r="J4279" s="2" t="n">
        <x:v>4</x:v>
      </x:c>
      <x:c r="K4279" s="2"/>
      <x:c r="L4279" s="2"/>
    </x:row>
    <x:row r="4280" ht="22" customHeight="1">
      <x:c r="A4280" s="2"/>
      <x:c r="B4280" s="2" t="n">
        <x:v>4247</x:v>
      </x:c>
      <x:c r="C4280" s="2" t="str">
        <x:v>35815P</x:v>
      </x:c>
      <x:c r="D4280" s="2" t="str">
        <x:v>ACRYLIC JEWEL SNOWFLAKE, PINK</x:v>
      </x:c>
      <x:c r="E4280" s="11" t="n">
        <x:v>75.88000000000001</x:v>
      </x:c>
      <x:c r="F4280" s="11" t="n">
        <x:v>0</x:v>
      </x:c>
      <x:c r="G4280" s="11" t="n">
        <x:v>75.88000000000001</x:v>
      </x:c>
      <x:c r="H4280" s="23" t="n">
        <x:v>0.0000036953810125315326</x:v>
      </x:c>
      <x:c r="I4280" s="23" t="n">
        <x:v>0.9990469381042147</x:v>
      </x:c>
      <x:c r="J4280" s="2" t="n">
        <x:v>7</x:v>
      </x:c>
      <x:c r="K4280" s="2"/>
      <x:c r="L4280" s="2"/>
    </x:row>
    <x:row r="4281" ht="22" customHeight="1">
      <x:c r="A4281" s="2"/>
      <x:c r="B4281" s="2" t="n">
        <x:v>4248</x:v>
      </x:c>
      <x:c r="C4281" s="2" t="str">
        <x:v>90176A</x:v>
      </x:c>
      <x:c r="D4281" s="2" t="str">
        <x:v>CLASSIC DIAMANTE NECKLACE JET</x:v>
      </x:c>
      <x:c r="E4281" s="11" t="n">
        <x:v>75.88</x:v>
      </x:c>
      <x:c r="F4281" s="11" t="n">
        <x:v>7.5</x:v>
      </x:c>
      <x:c r="G4281" s="11" t="n">
        <x:v>68.38</x:v>
      </x:c>
      <x:c r="H4281" s="23" t="n">
        <x:v>0.000003695381012531532</x:v>
      </x:c>
      <x:c r="I4281" s="23" t="n">
        <x:v>0.9990506334852273</x:v>
      </x:c>
      <x:c r="J4281" s="2" t="n">
        <x:v>7</x:v>
      </x:c>
      <x:c r="K4281" s="2"/>
      <x:c r="L4281" s="2"/>
    </x:row>
    <x:row r="4282" ht="22" customHeight="1">
      <x:c r="A4282" s="2"/>
      <x:c r="B4282" s="2" t="n">
        <x:v>4249</x:v>
      </x:c>
      <x:c r="C4282" s="2" t="str">
        <x:v>84746</x:v>
      </x:c>
      <x:c r="D4282" s="2" t="str">
        <x:v>PINK EASTER HENS+FLOWER</x:v>
      </x:c>
      <x:c r="E4282" s="11" t="n">
        <x:v>75.81</x:v>
      </x:c>
      <x:c r="F4282" s="11" t="n">
        <x:v>0</x:v>
      </x:c>
      <x:c r="G4282" s="11" t="n">
        <x:v>75.81</x:v>
      </x:c>
      <x:c r="H4282" s="23" t="n">
        <x:v>0.0000036919719894572414</x:v>
      </x:c>
      <x:c r="I4282" s="23" t="n">
        <x:v>0.9990543254572167</x:v>
      </x:c>
      <x:c r="J4282" s="2" t="n">
        <x:v>16</x:v>
      </x:c>
      <x:c r="K4282" s="2"/>
      <x:c r="L4282" s="2"/>
    </x:row>
    <x:row r="4283" ht="22" customHeight="1">
      <x:c r="A4283" s="2"/>
      <x:c r="B4283" s="2" t="n">
        <x:v>4250</x:v>
      </x:c>
      <x:c r="C4283" s="2" t="str">
        <x:v>20879</x:v>
      </x:c>
      <x:c r="D4283" s="2" t="str">
        <x:v>TREE OF NOAH FESTIVE SCENTED CANDLE</x:v>
      </x:c>
      <x:c r="E4283" s="11" t="n">
        <x:v>75.60000000000001</x:v>
      </x:c>
      <x:c r="F4283" s="11" t="n">
        <x:v>201.60000000000002</x:v>
      </x:c>
      <x:c r="G4283" s="11" t="n">
        <x:v>-126.00000000000001</x:v>
      </x:c>
      <x:c r="H4283" s="23" t="n">
        <x:v>0.0000036817449202343682</x:v>
      </x:c>
      <x:c r="I4283" s="23" t="n">
        <x:v>0.999058007202137</x:v>
      </x:c>
      <x:c r="J4283" s="2" t="n">
        <x:v>11</x:v>
      </x:c>
      <x:c r="K4283" s="2"/>
      <x:c r="L4283" s="2"/>
    </x:row>
    <x:row r="4284" ht="22" customHeight="1">
      <x:c r="A4284" s="2"/>
      <x:c r="B4284" s="2" t="n">
        <x:v>4251</x:v>
      </x:c>
      <x:c r="C4284" s="2" t="str">
        <x:v>62043B</x:v>
      </x:c>
      <x:c r="D4284" s="2" t="str">
        <x:v>BLUE CHECK BAG W HANDLE 34X20CM</x:v>
      </x:c>
      <x:c r="E4284" s="11" t="n">
        <x:v>75.15999999999998</x:v>
      </x:c>
      <x:c r="F4284" s="11" t="n">
        <x:v>0.83</x:v>
      </x:c>
      <x:c r="G4284" s="11" t="n">
        <x:v>74.32999999999998</x:v>
      </x:c>
      <x:c r="H4284" s="23" t="n">
        <x:v>0.000003660316775195966</x:v>
      </x:c>
      <x:c r="I4284" s="23" t="n">
        <x:v>0.9990616675189122</x:v>
      </x:c>
      <x:c r="J4284" s="2" t="n">
        <x:v>10</x:v>
      </x:c>
      <x:c r="K4284" s="2"/>
      <x:c r="L4284" s="2"/>
    </x:row>
    <x:row r="4285" ht="22" customHeight="1">
      <x:c r="A4285" s="2"/>
      <x:c r="B4285" s="2" t="n">
        <x:v>4252</x:v>
      </x:c>
      <x:c r="C4285" s="2" t="str">
        <x:v>16161E</x:v>
      </x:c>
      <x:c r="D4285" s="2" t="str">
        <x:v>WRAP BOUDOIR </x:v>
      </x:c>
      <x:c r="E4285" s="11" t="n">
        <x:v>75</x:v>
      </x:c>
      <x:c r="F4285" s="11" t="n">
        <x:v>0</x:v>
      </x:c>
      <x:c r="G4285" s="11" t="n">
        <x:v>75</x:v>
      </x:c>
      <x:c r="H4285" s="23" t="n">
        <x:v>0.0000036525247224547303</x:v>
      </x:c>
      <x:c r="I4285" s="23" t="n">
        <x:v>0.9990653200436347</x:v>
      </x:c>
      <x:c r="J4285" s="2" t="n">
        <x:v>9</x:v>
      </x:c>
      <x:c r="K4285" s="2"/>
      <x:c r="L4285" s="2"/>
    </x:row>
    <x:row r="4286" ht="22" customHeight="1">
      <x:c r="A4286" s="2"/>
      <x:c r="B4286" s="2" t="n">
        <x:v>4253</x:v>
      </x:c>
      <x:c r="C4286" s="2" t="str">
        <x:v>37399</x:v>
      </x:c>
      <x:c r="D4286" s="2" t="str">
        <x:v>ASS RETROSPOOF MUGS,SPORTS</x:v>
      </x:c>
      <x:c r="E4286" s="11" t="n">
        <x:v>75</x:v>
      </x:c>
      <x:c r="F4286" s="11" t="n">
        <x:v>0</x:v>
      </x:c>
      <x:c r="G4286" s="11" t="n">
        <x:v>75</x:v>
      </x:c>
      <x:c r="H4286" s="23" t="n">
        <x:v>0.0000036525247224547303</x:v>
      </x:c>
      <x:c r="I4286" s="23" t="n">
        <x:v>0.9990689725683571</x:v>
      </x:c>
      <x:c r="J4286" s="2" t="n">
        <x:v>6</x:v>
      </x:c>
      <x:c r="K4286" s="2"/>
      <x:c r="L4286" s="2"/>
    </x:row>
    <x:row r="4287" ht="22" customHeight="1">
      <x:c r="A4287" s="2"/>
      <x:c r="B4287" s="2" t="n">
        <x:v>4254</x:v>
      </x:c>
      <x:c r="C4287" s="2" t="str">
        <x:v>72802a</x:v>
      </x:c>
      <x:c r="D4287" s="2" t="str">
        <x:v>ROSE SCENT CANDLE IN JEWELLED BOX</x:v>
      </x:c>
      <x:c r="E4287" s="11" t="n">
        <x:v>74.97</x:v>
      </x:c>
      <x:c r="F4287" s="11" t="n">
        <x:v>0</x:v>
      </x:c>
      <x:c r="G4287" s="11" t="n">
        <x:v>74.97</x:v>
      </x:c>
      <x:c r="H4287" s="23" t="n">
        <x:v>0.0000036510637125657483</x:v>
      </x:c>
      <x:c r="I4287" s="23" t="n">
        <x:v>0.9990726236320697</x:v>
      </x:c>
      <x:c r="J4287" s="2" t="n">
        <x:v>4</x:v>
      </x:c>
      <x:c r="K4287" s="2"/>
      <x:c r="L4287" s="2"/>
    </x:row>
    <x:row r="4288" ht="22" customHeight="1">
      <x:c r="A4288" s="2"/>
      <x:c r="B4288" s="2" t="n">
        <x:v>4255</x:v>
      </x:c>
      <x:c r="C4288" s="2" t="str">
        <x:v>72807a</x:v>
      </x:c>
      <x:c r="D4288" s="2" t="str">
        <x:v>SET/3 ROSE CANDLE IN JEWELLED BOX</x:v>
      </x:c>
      <x:c r="E4288" s="11" t="n">
        <x:v>74.78999999999999</x:v>
      </x:c>
      <x:c r="F4288" s="11" t="n">
        <x:v>0</x:v>
      </x:c>
      <x:c r="G4288" s="11" t="n">
        <x:v>74.78999999999999</x:v>
      </x:c>
      <x:c r="H4288" s="23" t="n">
        <x:v>0.0000036422976532318563</x:v>
      </x:c>
      <x:c r="I4288" s="23" t="n">
        <x:v>0.999076265929723</x:v>
      </x:c>
      <x:c r="J4288" s="2" t="n">
        <x:v>6</x:v>
      </x:c>
      <x:c r="K4288" s="2"/>
      <x:c r="L4288" s="2"/>
    </x:row>
    <x:row r="4289" ht="22" customHeight="1">
      <x:c r="A4289" s="2"/>
      <x:c r="B4289" s="2" t="n">
        <x:v>4256</x:v>
      </x:c>
      <x:c r="C4289" s="2" t="str">
        <x:v>84757</x:v>
      </x:c>
      <x:c r="D4289" s="2" t="str">
        <x:v>ENCHANTED GARDEN WROUGHT IRON TABLE</x:v>
      </x:c>
      <x:c r="E4289" s="11" t="n">
        <x:v>74.75</x:v>
      </x:c>
      <x:c r="F4289" s="11" t="n">
        <x:v>0</x:v>
      </x:c>
      <x:c r="G4289" s="11" t="n">
        <x:v>74.75</x:v>
      </x:c>
      <x:c r="H4289" s="23" t="n">
        <x:v>0.0000036403496400465476</x:v>
      </x:c>
      <x:c r="I4289" s="23" t="n">
        <x:v>0.999079906279363</x:v>
      </x:c>
      <x:c r="J4289" s="2" t="n">
        <x:v>4</x:v>
      </x:c>
      <x:c r="K4289" s="2"/>
      <x:c r="L4289" s="2"/>
    </x:row>
    <x:row r="4290" ht="22" customHeight="1">
      <x:c r="A4290" s="2"/>
      <x:c r="B4290" s="2" t="n">
        <x:v>4257</x:v>
      </x:c>
      <x:c r="C4290" s="2" t="str">
        <x:v>21267</x:v>
      </x:c>
      <x:c r="D4290" s="2" t="str">
        <x:v>VINTAGE PINK TINSEL REEL </x:v>
      </x:c>
      <x:c r="E4290" s="11" t="n">
        <x:v>74.6</x:v>
      </x:c>
      <x:c r="F4290" s="11" t="n">
        <x:v>0</x:v>
      </x:c>
      <x:c r="G4290" s="11" t="n">
        <x:v>74.6</x:v>
      </x:c>
      <x:c r="H4290" s="23" t="n">
        <x:v>0.000003633044590601638</x:v>
      </x:c>
      <x:c r="I4290" s="23" t="n">
        <x:v>0.9990835393239537</x:v>
      </x:c>
      <x:c r="J4290" s="2" t="n">
        <x:v>10</x:v>
      </x:c>
      <x:c r="K4290" s="2"/>
      <x:c r="L4290" s="2"/>
    </x:row>
    <x:row r="4291" ht="22" customHeight="1">
      <x:c r="A4291" s="2"/>
      <x:c r="B4291" s="2" t="n">
        <x:v>4258</x:v>
      </x:c>
      <x:c r="C4291" s="2" t="str">
        <x:v>90012A</x:v>
      </x:c>
      <x:c r="D4291" s="2" t="str">
        <x:v>MIDNIGHT BLUE DROP CRYSTAL NECKLACE</x:v>
      </x:c>
      <x:c r="E4291" s="11" t="n">
        <x:v>74.38</x:v>
      </x:c>
      <x:c r="F4291" s="11" t="n">
        <x:v>0</x:v>
      </x:c>
      <x:c r="G4291" s="11" t="n">
        <x:v>74.38</x:v>
      </x:c>
      <x:c r="H4291" s="23" t="n">
        <x:v>0.0000036223305180824375</x:v>
      </x:c>
      <x:c r="I4291" s="23" t="n">
        <x:v>0.9990871616544718</x:v>
      </x:c>
      <x:c r="J4291" s="2" t="n">
        <x:v>7</x:v>
      </x:c>
      <x:c r="K4291" s="2"/>
      <x:c r="L4291" s="2"/>
    </x:row>
    <x:row r="4292" ht="22" customHeight="1">
      <x:c r="A4292" s="2"/>
      <x:c r="B4292" s="2" t="n">
        <x:v>4259</x:v>
      </x:c>
      <x:c r="C4292" s="2" t="str">
        <x:v>37509</x:v>
      </x:c>
      <x:c r="D4292" s="2" t="str">
        <x:v>NEW ENGLAND MUG W GIFT BOX</x:v>
      </x:c>
      <x:c r="E4292" s="11" t="n">
        <x:v>73.94999999999999</x:v>
      </x:c>
      <x:c r="F4292" s="11" t="n">
        <x:v>2.55</x:v>
      </x:c>
      <x:c r="G4292" s="11" t="n">
        <x:v>71.39999999999999</x:v>
      </x:c>
      <x:c r="H4292" s="23" t="n">
        <x:v>0.000003601389376340363</x:v>
      </x:c>
      <x:c r="I4292" s="23" t="n">
        <x:v>0.9990907630438481</x:v>
      </x:c>
      <x:c r="J4292" s="2" t="n">
        <x:v>14</x:v>
      </x:c>
      <x:c r="K4292" s="2"/>
      <x:c r="L4292" s="2"/>
    </x:row>
    <x:row r="4293" ht="22" customHeight="1">
      <x:c r="A4293" s="2"/>
      <x:c r="B4293" s="2" t="n">
        <x:v>4260</x:v>
      </x:c>
      <x:c r="C4293" s="2" t="str">
        <x:v>84899E</x:v>
      </x:c>
      <x:c r="D4293" s="2" t="str">
        <x:v>YELLOW BROWN BEAR FELT PURSE KIT</x:v>
      </x:c>
      <x:c r="E4293" s="11" t="n">
        <x:v>73.93</x:v>
      </x:c>
      <x:c r="F4293" s="11" t="n">
        <x:v>1.25</x:v>
      </x:c>
      <x:c r="G4293" s="11" t="n">
        <x:v>72.68</x:v>
      </x:c>
      <x:c r="H4293" s="23" t="n">
        <x:v>0.0000036004153697477095</x:v>
      </x:c>
      <x:c r="I4293" s="23" t="n">
        <x:v>0.9990943634592179</x:v>
      </x:c>
      <x:c r="J4293" s="2" t="n">
        <x:v>21</x:v>
      </x:c>
      <x:c r="K4293" s="2"/>
      <x:c r="L4293" s="2"/>
    </x:row>
    <x:row r="4294" ht="22" customHeight="1">
      <x:c r="A4294" s="2"/>
      <x:c r="B4294" s="2" t="n">
        <x:v>4261</x:v>
      </x:c>
      <x:c r="C4294" s="2" t="str">
        <x:v>15030</x:v>
      </x:c>
      <x:c r="D4294" s="2" t="str">
        <x:v>FAN BLACK FRAME </x:v>
      </x:c>
      <x:c r="E4294" s="11" t="n">
        <x:v>73.66</x:v>
      </x:c>
      <x:c r="F4294" s="11" t="n">
        <x:v>0</x:v>
      </x:c>
      <x:c r="G4294" s="11" t="n">
        <x:v>73.66</x:v>
      </x:c>
      <x:c r="H4294" s="23" t="n">
        <x:v>0.000003587266280746872</x:v>
      </x:c>
      <x:c r="I4294" s="23" t="n">
        <x:v>0.9990979507254987</x:v>
      </x:c>
      <x:c r="J4294" s="2" t="n">
        <x:v>26</x:v>
      </x:c>
      <x:c r="K4294" s="2"/>
      <x:c r="L4294" s="2"/>
    </x:row>
    <x:row r="4295" ht="22" customHeight="1">
      <x:c r="A4295" s="2"/>
      <x:c r="B4295" s="2" t="n">
        <x:v>4262</x:v>
      </x:c>
      <x:c r="C4295" s="2" t="str">
        <x:v>90130C</x:v>
      </x:c>
      <x:c r="D4295" s="2" t="str">
        <x:v>GREEN STONE/CRYSTAL EARRINGS</x:v>
      </x:c>
      <x:c r="E4295" s="11" t="n">
        <x:v>73.62</x:v>
      </x:c>
      <x:c r="F4295" s="11" t="n">
        <x:v>0</x:v>
      </x:c>
      <x:c r="G4295" s="11" t="n">
        <x:v>73.62</x:v>
      </x:c>
      <x:c r="H4295" s="23" t="n">
        <x:v>0.0000035853182675615635</x:v>
      </x:c>
      <x:c r="I4295" s="23" t="n">
        <x:v>0.9991015360437663</x:v>
      </x:c>
      <x:c r="J4295" s="2" t="n">
        <x:v>24</x:v>
      </x:c>
      <x:c r="K4295" s="2"/>
      <x:c r="L4295" s="2"/>
    </x:row>
    <x:row r="4296" ht="22" customHeight="1">
      <x:c r="A4296" s="2"/>
      <x:c r="B4296" s="2" t="n">
        <x:v>4263</x:v>
      </x:c>
      <x:c r="C4296" s="2" t="str">
        <x:v>79331</x:v>
      </x:c>
      <x:c r="D4296" s="2" t="str">
        <x:v>PINK FLOCK GLASS CANDLEHOLDER</x:v>
      </x:c>
      <x:c r="E4296" s="11" t="n">
        <x:v>73.6</x:v>
      </x:c>
      <x:c r="F4296" s="11" t="n">
        <x:v>0</x:v>
      </x:c>
      <x:c r="G4296" s="11" t="n">
        <x:v>73.6</x:v>
      </x:c>
      <x:c r="H4296" s="23" t="n">
        <x:v>0.000003584344260968908</x:v>
      </x:c>
      <x:c r="I4296" s="23" t="n">
        <x:v>0.9991051203880272</x:v>
      </x:c>
      <x:c r="J4296" s="2" t="n">
        <x:v>9</x:v>
      </x:c>
      <x:c r="K4296" s="2"/>
      <x:c r="L4296" s="2"/>
    </x:row>
    <x:row r="4297" ht="22" customHeight="1">
      <x:c r="A4297" s="2"/>
      <x:c r="B4297" s="2" t="n">
        <x:v>4264</x:v>
      </x:c>
      <x:c r="C4297" s="2" t="str">
        <x:v>84447</x:v>
      </x:c>
      <x:c r="D4297" s="2" t="str">
        <x:v>6 RABBIT CHAIN EASTER</x:v>
      </x:c>
      <x:c r="E4297" s="11" t="n">
        <x:v>73.27</x:v>
      </x:c>
      <x:c r="F4297" s="11" t="n">
        <x:v>0</x:v>
      </x:c>
      <x:c r="G4297" s="11" t="n">
        <x:v>73.27</x:v>
      </x:c>
      <x:c r="H4297" s="23" t="n">
        <x:v>0.0000035682731521901075</x:v>
      </x:c>
      <x:c r="I4297" s="23" t="n">
        <x:v>0.9991086886611794</x:v>
      </x:c>
      <x:c r="J4297" s="2" t="n">
        <x:v>19</x:v>
      </x:c>
      <x:c r="K4297" s="2"/>
      <x:c r="L4297" s="2"/>
    </x:row>
    <x:row r="4298" ht="22" customHeight="1">
      <x:c r="A4298" s="2"/>
      <x:c r="B4298" s="2" t="n">
        <x:v>4265</x:v>
      </x:c>
      <x:c r="C4298" s="2" t="str">
        <x:v>16151A</x:v>
      </x:c>
      <x:c r="D4298" s="2" t="str">
        <x:v>FLOWERS HANDBAG blue and orange</x:v>
      </x:c>
      <x:c r="E4298" s="11" t="n">
        <x:v>72.5</x:v>
      </x:c>
      <x:c r="F4298" s="11" t="n">
        <x:v>0</x:v>
      </x:c>
      <x:c r="G4298" s="11" t="n">
        <x:v>72.5</x:v>
      </x:c>
      <x:c r="H4298" s="23" t="n">
        <x:v>0.000003530773898372906</x:v>
      </x:c>
      <x:c r="I4298" s="23" t="n">
        <x:v>0.9991122194350778</x:v>
      </x:c>
      <x:c r="J4298" s="2" t="n">
        <x:v>5</x:v>
      </x:c>
      <x:c r="K4298" s="2"/>
      <x:c r="L4298" s="2"/>
    </x:row>
    <x:row r="4299" ht="22" customHeight="1">
      <x:c r="A4299" s="2"/>
      <x:c r="B4299" s="2" t="n">
        <x:v>4266</x:v>
      </x:c>
      <x:c r="C4299" s="2" t="str">
        <x:v>90214B</x:v>
      </x:c>
      <x:c r="D4299" s="2" t="str">
        <x:v>LETTER "B" BLING KEY RING</x:v>
      </x:c>
      <x:c r="E4299" s="11" t="n">
        <x:v>72.33</x:v>
      </x:c>
      <x:c r="F4299" s="11" t="n">
        <x:v>0</x:v>
      </x:c>
      <x:c r="G4299" s="11" t="n">
        <x:v>72.33</x:v>
      </x:c>
      <x:c r="H4299" s="23" t="n">
        <x:v>0.0000035224948423353415</x:v>
      </x:c>
      <x:c r="I4299" s="23" t="n">
        <x:v>0.9991157419299201</x:v>
      </x:c>
      <x:c r="J4299" s="2" t="n">
        <x:v>40</x:v>
      </x:c>
      <x:c r="K4299" s="2"/>
      <x:c r="L4299" s="2"/>
    </x:row>
    <x:row r="4300" ht="22" customHeight="1">
      <x:c r="A4300" s="2"/>
      <x:c r="B4300" s="2" t="n">
        <x:v>4267</x:v>
      </x:c>
      <x:c r="C4300" s="2" t="str">
        <x:v>84427B</x:v>
      </x:c>
      <x:c r="D4300" s="2" t="str">
        <x:v>BLACK GLASS TV DOUBLE P/FRAME 15X10</x:v>
      </x:c>
      <x:c r="E4300" s="11" t="n">
        <x:v>72.25</x:v>
      </x:c>
      <x:c r="F4300" s="11" t="n">
        <x:v>0</x:v>
      </x:c>
      <x:c r="G4300" s="11" t="n">
        <x:v>72.25</x:v>
      </x:c>
      <x:c r="H4300" s="23" t="n">
        <x:v>0.000003518598815964723</x:v>
      </x:c>
      <x:c r="I4300" s="23" t="n">
        <x:v>0.9991192605287361</x:v>
      </x:c>
      <x:c r="J4300" s="2" t="n">
        <x:v>5</x:v>
      </x:c>
      <x:c r="K4300" s="2"/>
      <x:c r="L4300" s="2"/>
    </x:row>
    <x:row r="4301" ht="22" customHeight="1">
      <x:c r="A4301" s="2"/>
      <x:c r="B4301" s="2" t="n">
        <x:v>4268</x:v>
      </x:c>
      <x:c r="C4301" s="2" t="str">
        <x:v>90027D</x:v>
      </x:c>
      <x:c r="D4301" s="2" t="str">
        <x:v>GLASS BEAD HOOP EARRINGS AMETHYST</x:v>
      </x:c>
      <x:c r="E4301" s="11" t="n">
        <x:v>72.18</x:v>
      </x:c>
      <x:c r="F4301" s="11" t="n">
        <x:v>0</x:v>
      </x:c>
      <x:c r="G4301" s="11" t="n">
        <x:v>72.18</x:v>
      </x:c>
      <x:c r="H4301" s="23" t="n">
        <x:v>0.0000035151897928904324</x:v>
      </x:c>
      <x:c r="I4301" s="23" t="n">
        <x:v>0.999122775718529</x:v>
      </x:c>
      <x:c r="J4301" s="2" t="n">
        <x:v>16</x:v>
      </x:c>
      <x:c r="K4301" s="2"/>
      <x:c r="L4301" s="2"/>
    </x:row>
    <x:row r="4302" ht="22" customHeight="1">
      <x:c r="A4302" s="2"/>
      <x:c r="B4302" s="2" t="n">
        <x:v>4269</x:v>
      </x:c>
      <x:c r="C4302" s="2" t="str">
        <x:v>90031</x:v>
      </x:c>
      <x:c r="D4302" s="2" t="str">
        <x:v>BILI NUT AND WOOD NECKLACE</x:v>
      </x:c>
      <x:c r="E4302" s="11" t="n">
        <x:v>71.9</x:v>
      </x:c>
      <x:c r="F4302" s="11" t="n">
        <x:v>0</x:v>
      </x:c>
      <x:c r="G4302" s="11" t="n">
        <x:v>71.9</x:v>
      </x:c>
      <x:c r="H4302" s="23" t="n">
        <x:v>0.000003501553700593268</x:v>
      </x:c>
      <x:c r="I4302" s="23" t="n">
        <x:v>0.9991262772722296</x:v>
      </x:c>
      <x:c r="J4302" s="2" t="n">
        <x:v>9</x:v>
      </x:c>
      <x:c r="K4302" s="2"/>
      <x:c r="L4302" s="2"/>
    </x:row>
    <x:row r="4303" ht="22" customHeight="1">
      <x:c r="A4303" s="2"/>
      <x:c r="B4303" s="2" t="n">
        <x:v>4270</x:v>
      </x:c>
      <x:c r="C4303" s="2" t="str">
        <x:v>90038C</x:v>
      </x:c>
      <x:c r="D4303" s="2" t="str">
        <x:v>GLASS AND BEADS BRACELET IVORY</x:v>
      </x:c>
      <x:c r="E4303" s="11" t="n">
        <x:v>71.46000000000001</x:v>
      </x:c>
      <x:c r="F4303" s="11" t="n">
        <x:v>0</x:v>
      </x:c>
      <x:c r="G4303" s="11" t="n">
        <x:v>71.46000000000001</x:v>
      </x:c>
      <x:c r="H4303" s="23" t="n">
        <x:v>0.000003480125555554867</x:v>
      </x:c>
      <x:c r="I4303" s="23" t="n">
        <x:v>0.9991297573977851</x:v>
      </x:c>
      <x:c r="J4303" s="2" t="n">
        <x:v>9</x:v>
      </x:c>
      <x:c r="K4303" s="2"/>
      <x:c r="L4303" s="2"/>
    </x:row>
    <x:row r="4304" ht="22" customHeight="1">
      <x:c r="A4304" s="2"/>
      <x:c r="B4304" s="2" t="n">
        <x:v>4271</x:v>
      </x:c>
      <x:c r="C4304" s="2" t="str">
        <x:v>35937</x:v>
      </x:c>
      <x:c r="D4304" s="2" t="str">
        <x:v>CERISE+GOLD CHRISTMAS STOCKING DEC</x:v>
      </x:c>
      <x:c r="E4304" s="11" t="n">
        <x:v>71.44</x:v>
      </x:c>
      <x:c r="F4304" s="11" t="n">
        <x:v>0</x:v>
      </x:c>
      <x:c r="G4304" s="11" t="n">
        <x:v>71.44</x:v>
      </x:c>
      <x:c r="H4304" s="23" t="n">
        <x:v>0.000003479151548962212</x:v>
      </x:c>
      <x:c r="I4304" s="23" t="n">
        <x:v>0.9991332365493341</x:v>
      </x:c>
      <x:c r="J4304" s="2" t="n">
        <x:v>17</x:v>
      </x:c>
      <x:c r="K4304" s="2"/>
      <x:c r="L4304" s="2"/>
    </x:row>
    <x:row r="4305" ht="22" customHeight="1">
      <x:c r="A4305" s="2"/>
      <x:c r="B4305" s="2" t="n">
        <x:v>4272</x:v>
      </x:c>
      <x:c r="C4305" s="2" t="str">
        <x:v>90060D</x:v>
      </x:c>
      <x:c r="D4305" s="2" t="str">
        <x:v>FIRE POLISHED GLASS NECKL BRONZE</x:v>
      </x:c>
      <x:c r="E4305" s="11" t="n">
        <x:v>71.4</x:v>
      </x:c>
      <x:c r="F4305" s="11" t="n">
        <x:v>0</x:v>
      </x:c>
      <x:c r="G4305" s="11" t="n">
        <x:v>71.4</x:v>
      </x:c>
      <x:c r="H4305" s="23" t="n">
        <x:v>0.0000034772035357769034</x:v>
      </x:c>
      <x:c r="I4305" s="23" t="n">
        <x:v>0.9991367137528698</x:v>
      </x:c>
      <x:c r="J4305" s="2" t="n">
        <x:v>8</x:v>
      </x:c>
      <x:c r="K4305" s="2"/>
      <x:c r="L4305" s="2"/>
    </x:row>
    <x:row r="4306" ht="22" customHeight="1">
      <x:c r="A4306" s="2"/>
      <x:c r="B4306" s="2" t="n">
        <x:v>4273</x:v>
      </x:c>
      <x:c r="C4306" s="2" t="str">
        <x:v>17007B</x:v>
      </x:c>
      <x:c r="D4306" s="2" t="str">
        <x:v>S/3 POT POURI CUSHIONS BLUE COLOURS</x:v>
      </x:c>
      <x:c r="E4306" s="11" t="n">
        <x:v>71.4</x:v>
      </x:c>
      <x:c r="F4306" s="11" t="n">
        <x:v>0</x:v>
      </x:c>
      <x:c r="G4306" s="11" t="n">
        <x:v>71.4</x:v>
      </x:c>
      <x:c r="H4306" s="23" t="n">
        <x:v>0.0000034772035357769034</x:v>
      </x:c>
      <x:c r="I4306" s="23" t="n">
        <x:v>0.9991401909564056</x:v>
      </x:c>
      <x:c r="J4306" s="2" t="n">
        <x:v>6</x:v>
      </x:c>
      <x:c r="K4306" s="2"/>
      <x:c r="L4306" s="2"/>
    </x:row>
    <x:row r="4307" ht="22" customHeight="1">
      <x:c r="A4307" s="2"/>
      <x:c r="B4307" s="2" t="n">
        <x:v>4274</x:v>
      </x:c>
      <x:c r="C4307" s="2" t="str">
        <x:v>84925C</x:v>
      </x:c>
      <x:c r="D4307" s="2" t="str">
        <x:v>FAIRY CAKES  WALL THERMOMETER</x:v>
      </x:c>
      <x:c r="E4307" s="11" t="n">
        <x:v>71.39999999999999</x:v>
      </x:c>
      <x:c r="F4307" s="11" t="n">
        <x:v>0</x:v>
      </x:c>
      <x:c r="G4307" s="11" t="n">
        <x:v>71.39999999999999</x:v>
      </x:c>
      <x:c r="H4307" s="23" t="n">
        <x:v>0.0000034772035357769026</x:v>
      </x:c>
      <x:c r="I4307" s="23" t="n">
        <x:v>0.9991436681599414</x:v>
      </x:c>
      <x:c r="J4307" s="2" t="n">
        <x:v>10</x:v>
      </x:c>
      <x:c r="K4307" s="2"/>
      <x:c r="L4307" s="2"/>
    </x:row>
    <x:row r="4308" ht="22" customHeight="1">
      <x:c r="A4308" s="2"/>
      <x:c r="B4308" s="2" t="n">
        <x:v>4275</x:v>
      </x:c>
      <x:c r="C4308" s="2" t="str">
        <x:v>84415A</x:v>
      </x:c>
      <x:c r="D4308" s="2" t="str">
        <x:v>PINK FLOCK SUEDE CUSHION COVER </x:v>
      </x:c>
      <x:c r="E4308" s="11" t="n">
        <x:v>71.25</x:v>
      </x:c>
      <x:c r="F4308" s="11" t="n">
        <x:v>0</x:v>
      </x:c>
      <x:c r="G4308" s="11" t="n">
        <x:v>71.25</x:v>
      </x:c>
      <x:c r="H4308" s="23" t="n">
        <x:v>0.0000034698984863319935</x:v>
      </x:c>
      <x:c r="I4308" s="23" t="n">
        <x:v>0.9991471380584277</x:v>
      </x:c>
      <x:c r="J4308" s="2" t="n">
        <x:v>6</x:v>
      </x:c>
      <x:c r="K4308" s="2"/>
      <x:c r="L4308" s="2"/>
    </x:row>
    <x:row r="4309" ht="22" customHeight="1">
      <x:c r="A4309" s="2"/>
      <x:c r="B4309" s="2" t="n">
        <x:v>4276</x:v>
      </x:c>
      <x:c r="C4309" s="2" t="str">
        <x:v>90037B</x:v>
      </x:c>
      <x:c r="D4309" s="2" t="str">
        <x:v>TINY CRYSTAL BRACELET GREEN</x:v>
      </x:c>
      <x:c r="E4309" s="11" t="n">
        <x:v>71.17</x:v>
      </x:c>
      <x:c r="F4309" s="11" t="n">
        <x:v>0</x:v>
      </x:c>
      <x:c r="G4309" s="11" t="n">
        <x:v>71.17</x:v>
      </x:c>
      <x:c r="H4309" s="23" t="n">
        <x:v>0.0000034660024599613753</x:v>
      </x:c>
      <x:c r="I4309" s="23" t="n">
        <x:v>0.9991506040608876</x:v>
      </x:c>
      <x:c r="J4309" s="2" t="n">
        <x:v>10</x:v>
      </x:c>
      <x:c r="K4309" s="2"/>
      <x:c r="L4309" s="2"/>
    </x:row>
    <x:row r="4310" ht="22" customHeight="1">
      <x:c r="A4310" s="2"/>
      <x:c r="B4310" s="2" t="n">
        <x:v>4277</x:v>
      </x:c>
      <x:c r="C4310" s="2" t="str">
        <x:v>90179A</x:v>
      </x:c>
      <x:c r="D4310" s="2" t="str">
        <x:v>AMBER FINE BEAD NECKLACE W TASSEL</x:v>
      </x:c>
      <x:c r="E4310" s="11" t="n">
        <x:v>71</x:v>
      </x:c>
      <x:c r="F4310" s="11" t="n">
        <x:v>0</x:v>
      </x:c>
      <x:c r="G4310" s="11" t="n">
        <x:v>71</x:v>
      </x:c>
      <x:c r="H4310" s="23" t="n">
        <x:v>0.0000034577234039238112</x:v>
      </x:c>
      <x:c r="I4310" s="23" t="n">
        <x:v>0.9991540617842916</x:v>
      </x:c>
      <x:c r="J4310" s="2" t="n">
        <x:v>9</x:v>
      </x:c>
      <x:c r="K4310" s="2"/>
      <x:c r="L4310" s="2"/>
    </x:row>
    <x:row r="4311" ht="22" customHeight="1">
      <x:c r="A4311" s="2"/>
      <x:c r="B4311" s="2" t="n">
        <x:v>4278</x:v>
      </x:c>
      <x:c r="C4311" s="2" t="str">
        <x:v>84803B</x:v>
      </x:c>
      <x:c r="D4311" s="2" t="str">
        <x:v>WHITE ALLIUM  ARTIFICIAL FLOWER</x:v>
      </x:c>
      <x:c r="E4311" s="11" t="n">
        <x:v>70.98</x:v>
      </x:c>
      <x:c r="F4311" s="11" t="n">
        <x:v>15.21</x:v>
      </x:c>
      <x:c r="G4311" s="11" t="n">
        <x:v>55.769999999999996</x:v>
      </x:c>
      <x:c r="H4311" s="23" t="n">
        <x:v>0.0000034567493973311567</x:v>
      </x:c>
      <x:c r="I4311" s="23" t="n">
        <x:v>0.9991575185336888</x:v>
      </x:c>
      <x:c r="J4311" s="2" t="n">
        <x:v>11</x:v>
      </x:c>
      <x:c r="K4311" s="2"/>
      <x:c r="L4311" s="2"/>
    </x:row>
    <x:row r="4312" ht="22" customHeight="1">
      <x:c r="A4312" s="2"/>
      <x:c r="B4312" s="2" t="n">
        <x:v>4279</x:v>
      </x:c>
      <x:c r="C4312" s="2" t="str">
        <x:v>16256C</x:v>
      </x:c>
      <x:c r="D4312" s="2" t="str">
        <x:v>HEARTS PENCIL/RUBBER+5 MINI PENCILS</x:v>
      </x:c>
      <x:c r="E4312" s="11" t="n">
        <x:v>70.98</x:v>
      </x:c>
      <x:c r="F4312" s="11" t="n">
        <x:v>5.88</x:v>
      </x:c>
      <x:c r="G4312" s="11" t="n">
        <x:v>65.10000000000001</x:v>
      </x:c>
      <x:c r="H4312" s="23" t="n">
        <x:v>0.0000034567493973311567</x:v>
      </x:c>
      <x:c r="I4312" s="23" t="n">
        <x:v>0.9991609752830861</x:v>
      </x:c>
      <x:c r="J4312" s="2" t="n">
        <x:v>10</x:v>
      </x:c>
      <x:c r="K4312" s="2"/>
      <x:c r="L4312" s="2"/>
    </x:row>
    <x:row r="4313" ht="22" customHeight="1">
      <x:c r="A4313" s="2"/>
      <x:c r="B4313" s="2" t="n">
        <x:v>4280</x:v>
      </x:c>
      <x:c r="C4313" s="2" t="str">
        <x:v>84086B</x:v>
      </x:c>
      <x:c r="D4313" s="2" t="str">
        <x:v>YELLOW/BLUE RETRO RADIO</x:v>
      </x:c>
      <x:c r="E4313" s="11" t="n">
        <x:v>70.80000000000001</x:v>
      </x:c>
      <x:c r="F4313" s="11" t="n">
        <x:v>2.95</x:v>
      </x:c>
      <x:c r="G4313" s="11" t="n">
        <x:v>67.85000000000001</x:v>
      </x:c>
      <x:c r="H4313" s="23" t="n">
        <x:v>0.000003447983337997266</x:v>
      </x:c>
      <x:c r="I4313" s="23" t="n">
        <x:v>0.9991644232664241</x:v>
      </x:c>
      <x:c r="J4313" s="2" t="n">
        <x:v>12</x:v>
      </x:c>
      <x:c r="K4313" s="2"/>
      <x:c r="L4313" s="2"/>
    </x:row>
    <x:row r="4314" ht="22" customHeight="1">
      <x:c r="A4314" s="2"/>
      <x:c r="B4314" s="2" t="n">
        <x:v>4281</x:v>
      </x:c>
      <x:c r="C4314" s="2" t="str">
        <x:v>90187B</x:v>
      </x:c>
      <x:c r="D4314" s="2" t="str">
        <x:v>GREEN DROP EARRINGS W BEAD CLUSTER</x:v>
      </x:c>
      <x:c r="E4314" s="11" t="n">
        <x:v>70.6</x:v>
      </x:c>
      <x:c r="F4314" s="11" t="n">
        <x:v>0</x:v>
      </x:c>
      <x:c r="G4314" s="11" t="n">
        <x:v>70.6</x:v>
      </x:c>
      <x:c r="H4314" s="23" t="n">
        <x:v>0.000003438243272070719</x:v>
      </x:c>
      <x:c r="I4314" s="23" t="n">
        <x:v>0.9991678615096962</x:v>
      </x:c>
      <x:c r="J4314" s="2" t="n">
        <x:v>15</x:v>
      </x:c>
      <x:c r="K4314" s="2"/>
      <x:c r="L4314" s="2"/>
    </x:row>
    <x:row r="4315" ht="22" customHeight="1">
      <x:c r="A4315" s="2"/>
      <x:c r="B4315" s="2" t="n">
        <x:v>4282</x:v>
      </x:c>
      <x:c r="C4315" s="2" t="str">
        <x:v>20958</x:v>
      </x:c>
      <x:c r="D4315" s="2" t="str">
        <x:v>PORCELAIN HANGING BELL LARGE</x:v>
      </x:c>
      <x:c r="E4315" s="11" t="n">
        <x:v>70.5</x:v>
      </x:c>
      <x:c r="F4315" s="11" t="n">
        <x:v>0</x:v>
      </x:c>
      <x:c r="G4315" s="11" t="n">
        <x:v>70.5</x:v>
      </x:c>
      <x:c r="H4315" s="23" t="n">
        <x:v>0.000003433373239107446</x:v>
      </x:c>
      <x:c r="I4315" s="23" t="n">
        <x:v>0.9991712948829353</x:v>
      </x:c>
      <x:c r="J4315" s="2" t="n">
        <x:v>10</x:v>
      </x:c>
      <x:c r="K4315" s="2"/>
      <x:c r="L4315" s="2"/>
    </x:row>
    <x:row r="4316" ht="22" customHeight="1">
      <x:c r="A4316" s="2"/>
      <x:c r="B4316" s="2" t="n">
        <x:v>4283</x:v>
      </x:c>
      <x:c r="C4316" s="2" t="str">
        <x:v>90202B</x:v>
      </x:c>
      <x:c r="D4316" s="2" t="str">
        <x:v>WHITE ENAMEL FLOWER HAIR TIE</x:v>
      </x:c>
      <x:c r="E4316" s="11" t="n">
        <x:v>70.49</x:v>
      </x:c>
      <x:c r="F4316" s="11" t="n">
        <x:v>17.700000000000003</x:v>
      </x:c>
      <x:c r="G4316" s="11" t="n">
        <x:v>52.79</x:v>
      </x:c>
      <x:c r="H4316" s="23" t="n">
        <x:v>0.0000034328862358111187</x:v>
      </x:c>
      <x:c r="I4316" s="23" t="n">
        <x:v>0.9991747277691712</x:v>
      </x:c>
      <x:c r="J4316" s="2" t="n">
        <x:v>16</x:v>
      </x:c>
      <x:c r="K4316" s="2"/>
      <x:c r="L4316" s="2"/>
    </x:row>
    <x:row r="4317" ht="22" customHeight="1">
      <x:c r="A4317" s="2"/>
      <x:c r="B4317" s="2" t="n">
        <x:v>4284</x:v>
      </x:c>
      <x:c r="C4317" s="2" t="str">
        <x:v>90050</x:v>
      </x:c>
      <x:c r="D4317" s="2" t="str">
        <x:v>CRACKED GLAZE NECKLACE IVORY</x:v>
      </x:c>
      <x:c r="E4317" s="11" t="n">
        <x:v>70.16</x:v>
      </x:c>
      <x:c r="F4317" s="11" t="n">
        <x:v>13.9</x:v>
      </x:c>
      <x:c r="G4317" s="11" t="n">
        <x:v>56.260000000000005</x:v>
      </x:c>
      <x:c r="H4317" s="23" t="n">
        <x:v>0.000003416815127032318</x:v>
      </x:c>
      <x:c r="I4317" s="23" t="n">
        <x:v>0.9991781445842982</x:v>
      </x:c>
      <x:c r="J4317" s="2" t="n">
        <x:v>6</x:v>
      </x:c>
      <x:c r="K4317" s="2"/>
      <x:c r="L4317" s="2"/>
    </x:row>
    <x:row r="4318" ht="22" customHeight="1">
      <x:c r="A4318" s="2"/>
      <x:c r="B4318" s="2" t="n">
        <x:v>4285</x:v>
      </x:c>
      <x:c r="C4318" s="2" t="str">
        <x:v>47420</x:v>
      </x:c>
      <x:c r="D4318" s="2" t="str">
        <x:v>ASSORTED COLOUR SUCTION CUP HOOK</x:v>
      </x:c>
      <x:c r="E4318" s="11" t="n">
        <x:v>70.11</x:v>
      </x:c>
      <x:c r="F4318" s="11" t="n">
        <x:v>0</x:v>
      </x:c>
      <x:c r="G4318" s="11" t="n">
        <x:v>70.11</x:v>
      </x:c>
      <x:c r="H4318" s="23" t="n">
        <x:v>0.000003414380110550682</x:v>
      </x:c>
      <x:c r="I4318" s="23" t="n">
        <x:v>0.9991815589644087</x:v>
      </x:c>
      <x:c r="J4318" s="2" t="n">
        <x:v>31</x:v>
      </x:c>
      <x:c r="K4318" s="2"/>
      <x:c r="L4318" s="2"/>
    </x:row>
    <x:row r="4319" ht="22" customHeight="1">
      <x:c r="A4319" s="2"/>
      <x:c r="B4319" s="2" t="n">
        <x:v>4286</x:v>
      </x:c>
      <x:c r="C4319" s="2" t="str">
        <x:v>84705A</x:v>
      </x:c>
      <x:c r="D4319" s="2" t="str">
        <x:v>ENGLISH ROSE PHOTO FRAME </x:v>
      </x:c>
      <x:c r="E4319" s="11" t="n">
        <x:v>69.75</x:v>
      </x:c>
      <x:c r="F4319" s="11" t="n">
        <x:v>0</x:v>
      </x:c>
      <x:c r="G4319" s="11" t="n">
        <x:v>69.75</x:v>
      </x:c>
      <x:c r="H4319" s="23" t="n">
        <x:v>0.0000033968479918828992</x:v>
      </x:c>
      <x:c r="I4319" s="23" t="n">
        <x:v>0.9991849558124006</x:v>
      </x:c>
      <x:c r="J4319" s="2" t="n">
        <x:v>7</x:v>
      </x:c>
      <x:c r="K4319" s="2"/>
      <x:c r="L4319" s="2"/>
    </x:row>
    <x:row r="4320" ht="22" customHeight="1">
      <x:c r="A4320" s="2"/>
      <x:c r="B4320" s="2" t="n">
        <x:v>4287</x:v>
      </x:c>
      <x:c r="C4320" s="2" t="str">
        <x:v>90131</x:v>
      </x:c>
      <x:c r="D4320" s="2" t="str">
        <x:v>PINK/AMETHYST/GOLD NECKLACE</x:v>
      </x:c>
      <x:c r="E4320" s="11" t="n">
        <x:v>69.62</x:v>
      </x:c>
      <x:c r="F4320" s="11" t="n">
        <x:v>0</x:v>
      </x:c>
      <x:c r="G4320" s="11" t="n">
        <x:v>69.62</x:v>
      </x:c>
      <x:c r="H4320" s="23" t="n">
        <x:v>0.0000033905169490306443</x:v>
      </x:c>
      <x:c r="I4320" s="23" t="n">
        <x:v>0.9991883463293496</x:v>
      </x:c>
      <x:c r="J4320" s="2" t="n">
        <x:v>5</x:v>
      </x:c>
      <x:c r="K4320" s="2"/>
      <x:c r="L4320" s="2"/>
    </x:row>
    <x:row r="4321" ht="22" customHeight="1">
      <x:c r="A4321" s="2"/>
      <x:c r="B4321" s="2" t="n">
        <x:v>4288</x:v>
      </x:c>
      <x:c r="C4321" s="2" t="str">
        <x:v>gift_0001_80</x:v>
      </x:c>
      <x:c r="D4321" s="2" t="str">
        <x:v>Dotcomgiftshop Gift Voucher £80.00</x:v>
      </x:c>
      <x:c r="E4321" s="11" t="n">
        <x:v>69.56</x:v>
      </x:c>
      <x:c r="F4321" s="11" t="n">
        <x:v>69.56</x:v>
      </x:c>
      <x:c r="G4321" s="11" t="n">
        <x:v>0</x:v>
      </x:c>
      <x:c r="H4321" s="23" t="n">
        <x:v>0.0000033875949292526806</x:v>
      </x:c>
      <x:c r="I4321" s="23" t="n">
        <x:v>0.9991917339242788</x:v>
      </x:c>
      <x:c r="J4321" s="2" t="n">
        <x:v>1</x:v>
      </x:c>
      <x:c r="K4321" s="2"/>
      <x:c r="L4321" s="2"/>
    </x:row>
    <x:row r="4322" ht="22" customHeight="1">
      <x:c r="A4322" s="2"/>
      <x:c r="B4322" s="2" t="n">
        <x:v>4289</x:v>
      </x:c>
      <x:c r="C4322" s="2" t="str">
        <x:v>72140F</x:v>
      </x:c>
      <x:c r="D4322" s="2" t="str">
        <x:v>throw away</x:v>
      </x:c>
      <x:c r="E4322" s="11" t="n">
        <x:v>69.17999999999999</x:v>
      </x:c>
      <x:c r="F4322" s="11" t="n">
        <x:v>0</x:v>
      </x:c>
      <x:c r="G4322" s="11" t="n">
        <x:v>69.17999999999999</x:v>
      </x:c>
      <x:c r="H4322" s="23" t="n">
        <x:v>0.0000033690888039922426</x:v>
      </x:c>
      <x:c r="I4322" s="23" t="n">
        <x:v>0.9991951030130828</x:v>
      </x:c>
      <x:c r="J4322" s="2" t="n">
        <x:v>14</x:v>
      </x:c>
      <x:c r="K4322" s="2"/>
      <x:c r="L4322" s="2"/>
    </x:row>
    <x:row r="4323" ht="22" customHeight="1">
      <x:c r="A4323" s="2"/>
      <x:c r="B4323" s="2" t="n">
        <x:v>4290</x:v>
      </x:c>
      <x:c r="C4323" s="2" t="str">
        <x:v>90037C</x:v>
      </x:c>
      <x:c r="D4323" s="2" t="str">
        <x:v>TINY CRYSTAL BRACELET BLUE</x:v>
      </x:c>
      <x:c r="E4323" s="11" t="n">
        <x:v>68.63</x:v>
      </x:c>
      <x:c r="F4323" s="11" t="n">
        <x:v>0</x:v>
      </x:c>
      <x:c r="G4323" s="11" t="n">
        <x:v>68.63</x:v>
      </x:c>
      <x:c r="H4323" s="23" t="n">
        <x:v>0.0000033423036226942413</x:v>
      </x:c>
      <x:c r="I4323" s="23" t="n">
        <x:v>0.9991984453167054</x:v>
      </x:c>
      <x:c r="J4323" s="2" t="n">
        <x:v>13</x:v>
      </x:c>
      <x:c r="K4323" s="2"/>
      <x:c r="L4323" s="2"/>
    </x:row>
    <x:row r="4324" ht="22" customHeight="1">
      <x:c r="A4324" s="2"/>
      <x:c r="B4324" s="2" t="n">
        <x:v>4291</x:v>
      </x:c>
      <x:c r="C4324" s="2" t="str">
        <x:v>90059C</x:v>
      </x:c>
      <x:c r="D4324" s="2" t="str">
        <x:v>DIAMANTE HAIR GRIP PACK/2 MONTANA</x:v>
      </x:c>
      <x:c r="E4324" s="11" t="n">
        <x:v>68.17999999999999</x:v>
      </x:c>
      <x:c r="F4324" s="11" t="n">
        <x:v>9.899999999999999</x:v>
      </x:c>
      <x:c r="G4324" s="11" t="n">
        <x:v>58.279999999999994</x:v>
      </x:c>
      <x:c r="H4324" s="23" t="n">
        <x:v>0.000003320388474359513</x:v>
      </x:c>
      <x:c r="I4324" s="23" t="n">
        <x:v>0.9992017657051798</x:v>
      </x:c>
      <x:c r="J4324" s="2" t="n">
        <x:v>23</x:v>
      </x:c>
      <x:c r="K4324" s="2"/>
      <x:c r="L4324" s="2"/>
    </x:row>
    <x:row r="4325" ht="22" customHeight="1">
      <x:c r="A4325" s="2"/>
      <x:c r="B4325" s="2" t="n">
        <x:v>4292</x:v>
      </x:c>
      <x:c r="C4325" s="2" t="str">
        <x:v>71215</x:v>
      </x:c>
      <x:c r="D4325" s="2" t="str">
        <x:v>METAL BASE FOR CANDLES</x:v>
      </x:c>
      <x:c r="E4325" s="11" t="n">
        <x:v>68.1</x:v>
      </x:c>
      <x:c r="F4325" s="11" t="n">
        <x:v>0</x:v>
      </x:c>
      <x:c r="G4325" s="11" t="n">
        <x:v>68.1</x:v>
      </x:c>
      <x:c r="H4325" s="23" t="n">
        <x:v>0.0000033164924479888946</x:v>
      </x:c>
      <x:c r="I4325" s="23" t="n">
        <x:v>0.9992050821976278</x:v>
      </x:c>
      <x:c r="J4325" s="2" t="n">
        <x:v>12</x:v>
      </x:c>
      <x:c r="K4325" s="2"/>
      <x:c r="L4325" s="2"/>
    </x:row>
    <x:row r="4326" ht="22" customHeight="1">
      <x:c r="A4326" s="2"/>
      <x:c r="B4326" s="2" t="n">
        <x:v>4293</x:v>
      </x:c>
      <x:c r="C4326" s="2" t="str">
        <x:v>84857A</x:v>
      </x:c>
      <x:c r="D4326" s="2" t="str">
        <x:v>SILVER MONTE CARLO HANDBAG</x:v>
      </x:c>
      <x:c r="E4326" s="11" t="n">
        <x:v>68</x:v>
      </x:c>
      <x:c r="F4326" s="11" t="n">
        <x:v>0</x:v>
      </x:c>
      <x:c r="G4326" s="11" t="n">
        <x:v>68</x:v>
      </x:c>
      <x:c r="H4326" s="23" t="n">
        <x:v>0.000003311622415025622</x:v>
      </x:c>
      <x:c r="I4326" s="23" t="n">
        <x:v>0.9992083938200429</x:v>
      </x:c>
      <x:c r="J4326" s="2" t="n">
        <x:v>3</x:v>
      </x:c>
      <x:c r="K4326" s="2"/>
      <x:c r="L4326" s="2"/>
    </x:row>
    <x:row r="4327" ht="22" customHeight="1">
      <x:c r="A4327" s="2"/>
      <x:c r="B4327" s="2" t="n">
        <x:v>4294</x:v>
      </x:c>
      <x:c r="C4327" s="2" t="str">
        <x:v>DCGS0004</x:v>
      </x:c>
      <x:c r="D4327" s="2" t="str">
        <x:v>HAYNES CAMPER SHOULDER BAG</x:v>
      </x:c>
      <x:c r="E4327" s="11" t="n">
        <x:v>67.94</x:v>
      </x:c>
      <x:c r="F4327" s="11" t="n">
        <x:v>0</x:v>
      </x:c>
      <x:c r="G4327" s="11" t="n">
        <x:v>67.94</x:v>
      </x:c>
      <x:c r="H4327" s="23" t="n">
        <x:v>0.000003308700395247658</x:v>
      </x:c>
      <x:c r="I4327" s="23" t="n">
        <x:v>0.9992117025204381</x:v>
      </x:c>
      <x:c r="J4327" s="2" t="n">
        <x:v>4</x:v>
      </x:c>
      <x:c r="K4327" s="2"/>
      <x:c r="L4327" s="2"/>
    </x:row>
    <x:row r="4328" ht="22" customHeight="1">
      <x:c r="A4328" s="2"/>
      <x:c r="B4328" s="2" t="n">
        <x:v>4295</x:v>
      </x:c>
      <x:c r="C4328" s="2" t="str">
        <x:v>90140</x:v>
      </x:c>
      <x:c r="D4328" s="2" t="str">
        <x:v>PINK SWEETIE NECKLACE</x:v>
      </x:c>
      <x:c r="E4328" s="11" t="n">
        <x:v>67.9</x:v>
      </x:c>
      <x:c r="F4328" s="11" t="n">
        <x:v>0</x:v>
      </x:c>
      <x:c r="G4328" s="11" t="n">
        <x:v>67.9</x:v>
      </x:c>
      <x:c r="H4328" s="23" t="n">
        <x:v>0.0000033067523820623494</x:v>
      </x:c>
      <x:c r="I4328" s="23" t="n">
        <x:v>0.9992150092728201</x:v>
      </x:c>
      <x:c r="J4328" s="2" t="n">
        <x:v>7</x:v>
      </x:c>
      <x:c r="K4328" s="2"/>
      <x:c r="L4328" s="2"/>
    </x:row>
    <x:row r="4329" ht="22" customHeight="1">
      <x:c r="A4329" s="2"/>
      <x:c r="B4329" s="2" t="n">
        <x:v>4296</x:v>
      </x:c>
      <x:c r="C4329" s="2" t="str">
        <x:v>90026B</x:v>
      </x:c>
      <x:c r="D4329" s="2" t="str">
        <x:v>GLASS BEAD HOOP NECKLACE MONTANA</x:v>
      </x:c>
      <x:c r="E4329" s="11" t="n">
        <x:v>67.82</x:v>
      </x:c>
      <x:c r="F4329" s="11" t="n">
        <x:v>0</x:v>
      </x:c>
      <x:c r="G4329" s="11" t="n">
        <x:v>67.82</x:v>
      </x:c>
      <x:c r="H4329" s="23" t="n">
        <x:v>0.0000033028563556917302</x:v>
      </x:c>
      <x:c r="I4329" s="23" t="n">
        <x:v>0.9992183121291759</x:v>
      </x:c>
      <x:c r="J4329" s="2" t="n">
        <x:v>7</x:v>
      </x:c>
      <x:c r="K4329" s="2"/>
      <x:c r="L4329" s="2"/>
    </x:row>
    <x:row r="4330" ht="22" customHeight="1">
      <x:c r="A4330" s="2"/>
      <x:c r="B4330" s="2" t="n">
        <x:v>4297</x:v>
      </x:c>
      <x:c r="C4330" s="2" t="str">
        <x:v>90026C</x:v>
      </x:c>
      <x:c r="D4330" s="2" t="str">
        <x:v>GLASS BEAD HOOP NECKLACE GREEN</x:v>
      </x:c>
      <x:c r="E4330" s="11" t="n">
        <x:v>67.82</x:v>
      </x:c>
      <x:c r="F4330" s="11" t="n">
        <x:v>0</x:v>
      </x:c>
      <x:c r="G4330" s="11" t="n">
        <x:v>67.82</x:v>
      </x:c>
      <x:c r="H4330" s="23" t="n">
        <x:v>0.0000033028563556917302</x:v>
      </x:c>
      <x:c r="I4330" s="23" t="n">
        <x:v>0.9992216149855316</x:v>
      </x:c>
      <x:c r="J4330" s="2" t="n">
        <x:v>6</x:v>
      </x:c>
      <x:c r="K4330" s="2"/>
      <x:c r="L4330" s="2"/>
    </x:row>
    <x:row r="4331" ht="22" customHeight="1">
      <x:c r="A4331" s="2"/>
      <x:c r="B4331" s="2" t="n">
        <x:v>4298</x:v>
      </x:c>
      <x:c r="C4331" s="2" t="str">
        <x:v>90002E</x:v>
      </x:c>
      <x:c r="D4331" s="2" t="str">
        <x:v>FLOWER BURST SILVER RING GREEN</x:v>
      </x:c>
      <x:c r="E4331" s="11" t="n">
        <x:v>67.77</x:v>
      </x:c>
      <x:c r="F4331" s="11" t="n">
        <x:v>11.25</x:v>
      </x:c>
      <x:c r="G4331" s="11" t="n">
        <x:v>56.519999999999996</x:v>
      </x:c>
      <x:c r="H4331" s="23" t="n">
        <x:v>0.000003300421339210094</x:v>
      </x:c>
      <x:c r="I4331" s="23" t="n">
        <x:v>0.9992249154068709</x:v>
      </x:c>
      <x:c r="J4331" s="2" t="n">
        <x:v>11</x:v>
      </x:c>
      <x:c r="K4331" s="2"/>
      <x:c r="L4331" s="2"/>
    </x:row>
    <x:row r="4332" ht="22" customHeight="1">
      <x:c r="A4332" s="2"/>
      <x:c r="B4332" s="2" t="n">
        <x:v>4299</x:v>
      </x:c>
      <x:c r="C4332" s="2" t="str">
        <x:v>84596e</x:v>
      </x:c>
      <x:c r="D4332" s="2" t="str">
        <x:v>SMALL LICORICE DES PINK BOWL</x:v>
      </x:c>
      <x:c r="E4332" s="11" t="n">
        <x:v>67.77</x:v>
      </x:c>
      <x:c r="F4332" s="11" t="n">
        <x:v>0</x:v>
      </x:c>
      <x:c r="G4332" s="11" t="n">
        <x:v>67.77</x:v>
      </x:c>
      <x:c r="H4332" s="23" t="n">
        <x:v>0.000003300421339210094</x:v>
      </x:c>
      <x:c r="I4332" s="23" t="n">
        <x:v>0.9992282158282101</x:v>
      </x:c>
      <x:c r="J4332" s="2" t="n">
        <x:v>17</x:v>
      </x:c>
      <x:c r="K4332" s="2"/>
      <x:c r="L4332" s="2"/>
    </x:row>
    <x:row r="4333" ht="22" customHeight="1">
      <x:c r="A4333" s="2"/>
      <x:c r="B4333" s="2" t="n">
        <x:v>4300</x:v>
      </x:c>
      <x:c r="C4333" s="2" t="str">
        <x:v>84864A</x:v>
      </x:c>
      <x:c r="D4333" s="2" t="str">
        <x:v>PINK PAISLEY PHOTO ALBUM</x:v>
      </x:c>
      <x:c r="E4333" s="11" t="n">
        <x:v>67.71000000000001</x:v>
      </x:c>
      <x:c r="F4333" s="11" t="n">
        <x:v>0</x:v>
      </x:c>
      <x:c r="G4333" s="11" t="n">
        <x:v>67.71000000000001</x:v>
      </x:c>
      <x:c r="H4333" s="23" t="n">
        <x:v>0.0000032974993194321307</x:v>
      </x:c>
      <x:c r="I4333" s="23" t="n">
        <x:v>0.9992315133275295</x:v>
      </x:c>
      <x:c r="J4333" s="2" t="n">
        <x:v>4</x:v>
      </x:c>
      <x:c r="K4333" s="2"/>
      <x:c r="L4333" s="2"/>
    </x:row>
    <x:row r="4334" ht="22" customHeight="1">
      <x:c r="A4334" s="2"/>
      <x:c r="B4334" s="2" t="n">
        <x:v>4301</x:v>
      </x:c>
      <x:c r="C4334" s="2" t="str">
        <x:v>90078</x:v>
      </x:c>
      <x:c r="D4334" s="2" t="str">
        <x:v>PINK/WHITE GLASS DEMI CHOKER</x:v>
      </x:c>
      <x:c r="E4334" s="11" t="n">
        <x:v>67.64</x:v>
      </x:c>
      <x:c r="F4334" s="11" t="n">
        <x:v>0</x:v>
      </x:c>
      <x:c r="G4334" s="11" t="n">
        <x:v>67.64</x:v>
      </x:c>
      <x:c r="H4334" s="23" t="n">
        <x:v>0.000003294090296357839</x:v>
      </x:c>
      <x:c r="I4334" s="23" t="n">
        <x:v>0.9992348074178258</x:v>
      </x:c>
      <x:c r="J4334" s="2" t="n">
        <x:v>5</x:v>
      </x:c>
      <x:c r="K4334" s="2"/>
      <x:c r="L4334" s="2"/>
    </x:row>
    <x:row r="4335" ht="22" customHeight="1">
      <x:c r="A4335" s="2"/>
      <x:c r="B4335" s="2" t="n">
        <x:v>4302</x:v>
      </x:c>
      <x:c r="C4335" s="2" t="str">
        <x:v>90024F</x:v>
      </x:c>
      <x:c r="D4335" s="2" t="str">
        <x:v>NEW BAROQUE B'FLY NECKLACE CRYSTAL</x:v>
      </x:c>
      <x:c r="E4335" s="11" t="n">
        <x:v>67.61</x:v>
      </x:c>
      <x:c r="F4335" s="11" t="n">
        <x:v>0</x:v>
      </x:c>
      <x:c r="G4335" s="11" t="n">
        <x:v>67.61</x:v>
      </x:c>
      <x:c r="H4335" s="23" t="n">
        <x:v>0.0000032926292864688575</x:v>
      </x:c>
      <x:c r="I4335" s="23" t="n">
        <x:v>0.9992381000471122</x:v>
      </x:c>
      <x:c r="J4335" s="2" t="n">
        <x:v>6</x:v>
      </x:c>
      <x:c r="K4335" s="2"/>
      <x:c r="L4335" s="2"/>
    </x:row>
    <x:row r="4336" ht="22" customHeight="1">
      <x:c r="A4336" s="2"/>
      <x:c r="B4336" s="2" t="n">
        <x:v>4303</x:v>
      </x:c>
      <x:c r="C4336" s="2" t="str">
        <x:v>47341B</x:v>
      </x:c>
      <x:c r="D4336" s="2" t="str">
        <x:v>BLUE TABLE RUN FLOWER</x:v>
      </x:c>
      <x:c r="E4336" s="11" t="n">
        <x:v>67.5</x:v>
      </x:c>
      <x:c r="F4336" s="11" t="n">
        <x:v>0</x:v>
      </x:c>
      <x:c r="G4336" s="11" t="n">
        <x:v>67.5</x:v>
      </x:c>
      <x:c r="H4336" s="23" t="n">
        <x:v>0.000003287272250209257</x:v>
      </x:c>
      <x:c r="I4336" s="23" t="n">
        <x:v>0.9992413873193624</x:v>
      </x:c>
      <x:c r="J4336" s="2" t="n">
        <x:v>14</x:v>
      </x:c>
      <x:c r="K4336" s="2"/>
      <x:c r="L4336" s="2"/>
    </x:row>
    <x:row r="4337" ht="22" customHeight="1">
      <x:c r="A4337" s="2"/>
      <x:c r="B4337" s="2" t="n">
        <x:v>4304</x:v>
      </x:c>
      <x:c r="C4337" s="2" t="str">
        <x:v>84926B</x:v>
      </x:c>
      <x:c r="D4337" s="2" t="str">
        <x:v>SCOTTS ROSES TILE COASTER</x:v>
      </x:c>
      <x:c r="E4337" s="11" t="n">
        <x:v>67.5</x:v>
      </x:c>
      <x:c r="F4337" s="11" t="n">
        <x:v>0</x:v>
      </x:c>
      <x:c r="G4337" s="11" t="n">
        <x:v>67.5</x:v>
      </x:c>
      <x:c r="H4337" s="23" t="n">
        <x:v>0.000003287272250209257</x:v>
      </x:c>
      <x:c r="I4337" s="23" t="n">
        <x:v>0.9992446745916126</x:v>
      </x:c>
      <x:c r="J4337" s="2" t="n">
        <x:v>10</x:v>
      </x:c>
      <x:c r="K4337" s="2"/>
      <x:c r="L4337" s="2"/>
    </x:row>
    <x:row r="4338" ht="22" customHeight="1">
      <x:c r="A4338" s="2"/>
      <x:c r="B4338" s="2" t="n">
        <x:v>4305</x:v>
      </x:c>
      <x:c r="C4338" s="2" t="str">
        <x:v>47504J</x:v>
      </x:c>
      <x:c r="D4338" s="2" t="str">
        <x:v>ENGLISH ROSE SET/3 GARDEN TOOLS</x:v>
      </x:c>
      <x:c r="E4338" s="11" t="n">
        <x:v>67.25</x:v>
      </x:c>
      <x:c r="F4338" s="11" t="n">
        <x:v>31.8</x:v>
      </x:c>
      <x:c r="G4338" s="11" t="n">
        <x:v>35.449999999999996</x:v>
      </x:c>
      <x:c r="H4338" s="23" t="n">
        <x:v>0.000003275097167801075</x:v>
      </x:c>
      <x:c r="I4338" s="23" t="n">
        <x:v>0.9992479496887804</x:v>
      </x:c>
      <x:c r="J4338" s="2" t="n">
        <x:v>4</x:v>
      </x:c>
      <x:c r="K4338" s="2"/>
      <x:c r="L4338" s="2"/>
    </x:row>
    <x:row r="4339" ht="22" customHeight="1">
      <x:c r="A4339" s="2"/>
      <x:c r="B4339" s="2" t="n">
        <x:v>4306</x:v>
      </x:c>
      <x:c r="C4339" s="2" t="str">
        <x:v>90214P</x:v>
      </x:c>
      <x:c r="D4339" s="2" t="str">
        <x:v>LETTER "P" BLING KEY RING</x:v>
      </x:c>
      <x:c r="E4339" s="11" t="n">
        <x:v>66.59</x:v>
      </x:c>
      <x:c r="F4339" s="11" t="n">
        <x:v>7.5</x:v>
      </x:c>
      <x:c r="G4339" s="11" t="n">
        <x:v>59.089999999999996</x:v>
      </x:c>
      <x:c r="H4339" s="23" t="n">
        <x:v>0.0000032429549502434732</x:v>
      </x:c>
      <x:c r="I4339" s="23" t="n">
        <x:v>0.9992511926437306</x:v>
      </x:c>
      <x:c r="J4339" s="2" t="n">
        <x:v>33</x:v>
      </x:c>
      <x:c r="K4339" s="2"/>
      <x:c r="L4339" s="2"/>
    </x:row>
    <x:row r="4340" ht="22" customHeight="1">
      <x:c r="A4340" s="2"/>
      <x:c r="B4340" s="2" t="n">
        <x:v>4307</x:v>
      </x:c>
      <x:c r="C4340" s="2" t="str">
        <x:v>35819P</x:v>
      </x:c>
      <x:c r="D4340" s="2" t="str">
        <x:v>ACRYLIC HANGING JEWEL,PINK</x:v>
      </x:c>
      <x:c r="E4340" s="11" t="n">
        <x:v>66.55</x:v>
      </x:c>
      <x:c r="F4340" s="11" t="n">
        <x:v>0</x:v>
      </x:c>
      <x:c r="G4340" s="11" t="n">
        <x:v>66.55</x:v>
      </x:c>
      <x:c r="H4340" s="23" t="n">
        <x:v>0.0000032410069370581637</x:v>
      </x:c>
      <x:c r="I4340" s="23" t="n">
        <x:v>0.9992544336506677</x:v>
      </x:c>
      <x:c r="J4340" s="2" t="n">
        <x:v>7</x:v>
      </x:c>
      <x:c r="K4340" s="2"/>
      <x:c r="L4340" s="2"/>
    </x:row>
    <x:row r="4341" ht="22" customHeight="1">
      <x:c r="A4341" s="2"/>
      <x:c r="B4341" s="2" t="n">
        <x:v>4308</x:v>
      </x:c>
      <x:c r="C4341" s="2" t="str">
        <x:v>90037A</x:v>
      </x:c>
      <x:c r="D4341" s="2" t="str">
        <x:v>TINY CRYSTAL BRACELET RED</x:v>
      </x:c>
      <x:c r="E4341" s="11" t="n">
        <x:v>66.31</x:v>
      </x:c>
      <x:c r="F4341" s="11" t="n">
        <x:v>0</x:v>
      </x:c>
      <x:c r="G4341" s="11" t="n">
        <x:v>66.31</x:v>
      </x:c>
      <x:c r="H4341" s="23" t="n">
        <x:v>0.000003229318857946309</x:v>
      </x:c>
      <x:c r="I4341" s="23" t="n">
        <x:v>0.9992576629695257</x:v>
      </x:c>
      <x:c r="J4341" s="2" t="n">
        <x:v>12</x:v>
      </x:c>
      <x:c r="K4341" s="2"/>
      <x:c r="L4341" s="2"/>
    </x:row>
    <x:row r="4342" ht="22" customHeight="1">
      <x:c r="A4342" s="2"/>
      <x:c r="B4342" s="2" t="n">
        <x:v>4309</x:v>
      </x:c>
      <x:c r="C4342" s="2" t="str">
        <x:v>40002</x:v>
      </x:c>
      <x:c r="D4342" s="2" t="str">
        <x:v>WHITE BAMBOO RIBS LAMPSHADE</x:v>
      </x:c>
      <x:c r="E4342" s="11" t="n">
        <x:v>66.3</x:v>
      </x:c>
      <x:c r="F4342" s="11" t="n">
        <x:v>5.1</x:v>
      </x:c>
      <x:c r="G4342" s="11" t="n">
        <x:v>61.199999999999996</x:v>
      </x:c>
      <x:c r="H4342" s="23" t="n">
        <x:v>0.0000032288318546499814</x:v>
      </x:c>
      <x:c r="I4342" s="23" t="n">
        <x:v>0.9992608918013803</x:v>
      </x:c>
      <x:c r="J4342" s="2" t="n">
        <x:v>1</x:v>
      </x:c>
      <x:c r="K4342" s="2"/>
      <x:c r="L4342" s="2"/>
    </x:row>
    <x:row r="4343" ht="22" customHeight="1">
      <x:c r="A4343" s="2"/>
      <x:c r="B4343" s="2" t="n">
        <x:v>4310</x:v>
      </x:c>
      <x:c r="C4343" s="2" t="str">
        <x:v>85072</x:v>
      </x:c>
      <x:c r="D4343" s="2" t="str">
        <x:v>OCCASIONS GIFT CARD ASSORTMENT</x:v>
      </x:c>
      <x:c r="E4343" s="11" t="n">
        <x:v>66</x:v>
      </x:c>
      <x:c r="F4343" s="11" t="n">
        <x:v>0</x:v>
      </x:c>
      <x:c r="G4343" s="11" t="n">
        <x:v>66</x:v>
      </x:c>
      <x:c r="H4343" s="23" t="n">
        <x:v>0.0000032142217557601624</x:v>
      </x:c>
      <x:c r="I4343" s="23" t="n">
        <x:v>0.9992641060231361</x:v>
      </x:c>
      <x:c r="J4343" s="2" t="n">
        <x:v>1</x:v>
      </x:c>
      <x:c r="K4343" s="2"/>
      <x:c r="L4343" s="2"/>
    </x:row>
    <x:row r="4344" ht="22" customHeight="1">
      <x:c r="A4344" s="2"/>
      <x:c r="B4344" s="2" t="n">
        <x:v>4311</x:v>
      </x:c>
      <x:c r="C4344" s="2" t="str">
        <x:v>17136A</x:v>
      </x:c>
      <x:c r="D4344" s="2" t="str">
        <x:v>check</x:v>
      </x:c>
      <x:c r="E4344" s="11" t="n">
        <x:v>65.94</x:v>
      </x:c>
      <x:c r="F4344" s="11" t="n">
        <x:v>0</x:v>
      </x:c>
      <x:c r="G4344" s="11" t="n">
        <x:v>65.94</x:v>
      </x:c>
      <x:c r="H4344" s="23" t="n">
        <x:v>0.0000032112997359821987</x:v>
      </x:c>
      <x:c r="I4344" s="23" t="n">
        <x:v>0.9992673173228721</x:v>
      </x:c>
      <x:c r="J4344" s="2" t="n">
        <x:v>34</x:v>
      </x:c>
      <x:c r="K4344" s="2"/>
      <x:c r="L4344" s="2"/>
    </x:row>
    <x:row r="4345" ht="22" customHeight="1">
      <x:c r="A4345" s="2"/>
      <x:c r="B4345" s="2" t="n">
        <x:v>4312</x:v>
      </x:c>
      <x:c r="C4345" s="2" t="str">
        <x:v>79329</x:v>
      </x:c>
      <x:c r="D4345" s="2" t="str">
        <x:v>PINK FLOCK GLASS CANDLEHOLDER</x:v>
      </x:c>
      <x:c r="E4345" s="11" t="n">
        <x:v>65.94</x:v>
      </x:c>
      <x:c r="F4345" s="11" t="n">
        <x:v>0</x:v>
      </x:c>
      <x:c r="G4345" s="11" t="n">
        <x:v>65.94</x:v>
      </x:c>
      <x:c r="H4345" s="23" t="n">
        <x:v>0.0000032112997359821987</x:v>
      </x:c>
      <x:c r="I4345" s="23" t="n">
        <x:v>0.9992705286226081</x:v>
      </x:c>
      <x:c r="J4345" s="2" t="n">
        <x:v>7</x:v>
      </x:c>
      <x:c r="K4345" s="2"/>
      <x:c r="L4345" s="2"/>
    </x:row>
    <x:row r="4346" ht="22" customHeight="1">
      <x:c r="A4346" s="2"/>
      <x:c r="B4346" s="2" t="n">
        <x:v>4313</x:v>
      </x:c>
      <x:c r="C4346" s="2" t="str">
        <x:v>84340</x:v>
      </x:c>
      <x:c r="D4346" s="2" t="str">
        <x:v>LARGE FIBRE OPTIC CHRISTMAS TREE</x:v>
      </x:c>
      <x:c r="E4346" s="11" t="n">
        <x:v>65.76</x:v>
      </x:c>
      <x:c r="F4346" s="11" t="n">
        <x:v>0</x:v>
      </x:c>
      <x:c r="G4346" s="11" t="n">
        <x:v>65.76</x:v>
      </x:c>
      <x:c r="H4346" s="23" t="n">
        <x:v>0.0000032025336766483076</x:v>
      </x:c>
      <x:c r="I4346" s="23" t="n">
        <x:v>0.9992737311562848</x:v>
      </x:c>
      <x:c r="J4346" s="2" t="n">
        <x:v>11</x:v>
      </x:c>
      <x:c r="K4346" s="2"/>
      <x:c r="L4346" s="2"/>
    </x:row>
    <x:row r="4347" ht="22" customHeight="1">
      <x:c r="A4347" s="2"/>
      <x:c r="B4347" s="2" t="n">
        <x:v>4314</x:v>
      </x:c>
      <x:c r="C4347" s="2" t="str">
        <x:v>79406</x:v>
      </x:c>
      <x:c r="D4347" s="2" t="str">
        <x:v>FROSTED WHITE BASE </x:v>
      </x:c>
      <x:c r="E4347" s="11" t="n">
        <x:v>65.62</x:v>
      </x:c>
      <x:c r="F4347" s="11" t="n">
        <x:v>0</x:v>
      </x:c>
      <x:c r="G4347" s="11" t="n">
        <x:v>65.62</x:v>
      </x:c>
      <x:c r="H4347" s="23" t="n">
        <x:v>0.0000031957156304997256</x:v>
      </x:c>
      <x:c r="I4347" s="23" t="n">
        <x:v>0.9992769268719153</x:v>
      </x:c>
      <x:c r="J4347" s="2" t="n">
        <x:v>21</x:v>
      </x:c>
      <x:c r="K4347" s="2"/>
      <x:c r="L4347" s="2"/>
    </x:row>
    <x:row r="4348" ht="22" customHeight="1">
      <x:c r="A4348" s="2"/>
      <x:c r="B4348" s="2" t="n">
        <x:v>4315</x:v>
      </x:c>
      <x:c r="C4348" s="2" t="str">
        <x:v>90179B</x:v>
      </x:c>
      <x:c r="D4348" s="2" t="str">
        <x:v>PURPLE FINE BEAD NECKLACE W TASSEL</x:v>
      </x:c>
      <x:c r="E4348" s="11" t="n">
        <x:v>65.31</x:v>
      </x:c>
      <x:c r="F4348" s="11" t="n">
        <x:v>0</x:v>
      </x:c>
      <x:c r="G4348" s="11" t="n">
        <x:v>65.31</x:v>
      </x:c>
      <x:c r="H4348" s="23" t="n">
        <x:v>0.000003180618528313579</x:v>
      </x:c>
      <x:c r="I4348" s="23" t="n">
        <x:v>0.9992801074904436</x:v>
      </x:c>
      <x:c r="J4348" s="2" t="n">
        <x:v>9</x:v>
      </x:c>
      <x:c r="K4348" s="2"/>
      <x:c r="L4348" s="2"/>
    </x:row>
    <x:row r="4349" ht="22" customHeight="1">
      <x:c r="A4349" s="2"/>
      <x:c r="B4349" s="2" t="n">
        <x:v>4316</x:v>
      </x:c>
      <x:c r="C4349" s="2" t="str">
        <x:v>47016</x:v>
      </x:c>
      <x:c r="D4349" s="2" t="str">
        <x:v>LIGHT DECORATION BATTERY OPERATED</x:v>
      </x:c>
      <x:c r="E4349" s="11" t="n">
        <x:v>65.10000000000001</x:v>
      </x:c>
      <x:c r="F4349" s="11" t="n">
        <x:v>0</x:v>
      </x:c>
      <x:c r="G4349" s="11" t="n">
        <x:v>65.10000000000001</x:v>
      </x:c>
      <x:c r="H4349" s="23" t="n">
        <x:v>0.000003170391459090706</x:v>
      </x:c>
      <x:c r="I4349" s="23" t="n">
        <x:v>0.9992832778819027</x:v>
      </x:c>
      <x:c r="J4349" s="2" t="n">
        <x:v>5</x:v>
      </x:c>
      <x:c r="K4349" s="2"/>
      <x:c r="L4349" s="2"/>
    </x:row>
    <x:row r="4350" ht="22" customHeight="1">
      <x:c r="A4350" s="2"/>
      <x:c r="B4350" s="2" t="n">
        <x:v>4317</x:v>
      </x:c>
      <x:c r="C4350" s="2" t="str">
        <x:v>90141B</x:v>
      </x:c>
      <x:c r="D4350" s="2" t="str">
        <x:v>IVORY PENDANT TRIPLE SHELL NECKLACE</x:v>
      </x:c>
      <x:c r="E4350" s="11" t="n">
        <x:v>64.94</x:v>
      </x:c>
      <x:c r="F4350" s="11" t="n">
        <x:v>0</x:v>
      </x:c>
      <x:c r="G4350" s="11" t="n">
        <x:v>64.94</x:v>
      </x:c>
      <x:c r="H4350" s="23" t="n">
        <x:v>0.000003162599406349469</x:v>
      </x:c>
      <x:c r="I4350" s="23" t="n">
        <x:v>0.9992864404813091</x:v>
      </x:c>
      <x:c r="J4350" s="2" t="n">
        <x:v>9</x:v>
      </x:c>
      <x:c r="K4350" s="2"/>
      <x:c r="L4350" s="2"/>
    </x:row>
    <x:row r="4351" ht="22" customHeight="1">
      <x:c r="A4351" s="2"/>
      <x:c r="B4351" s="2" t="n">
        <x:v>4318</x:v>
      </x:c>
      <x:c r="C4351" s="2" t="str">
        <x:v>90046</x:v>
      </x:c>
      <x:c r="D4351" s="2" t="str">
        <x:v>WHITE WITH METAL BAG CHARM</x:v>
      </x:c>
      <x:c r="E4351" s="11" t="n">
        <x:v>64.35000000000001</x:v>
      </x:c>
      <x:c r="F4351" s="11" t="n">
        <x:v>9.9</x:v>
      </x:c>
      <x:c r="G4351" s="11" t="n">
        <x:v>54.45</x:v>
      </x:c>
      <x:c r="H4351" s="23" t="n">
        <x:v>0.000003133866211866159</x:v>
      </x:c>
      <x:c r="I4351" s="23" t="n">
        <x:v>0.999289574347521</x:v>
      </x:c>
      <x:c r="J4351" s="2" t="n">
        <x:v>7</x:v>
      </x:c>
      <x:c r="K4351" s="2"/>
      <x:c r="L4351" s="2"/>
    </x:row>
    <x:row r="4352" ht="22" customHeight="1">
      <x:c r="A4352" s="2"/>
      <x:c r="B4352" s="2" t="n">
        <x:v>4319</x:v>
      </x:c>
      <x:c r="C4352" s="2" t="str">
        <x:v>84551</x:v>
      </x:c>
      <x:c r="D4352" s="2" t="str">
        <x:v>CROCHET DOG KEYRING</x:v>
      </x:c>
      <x:c r="E4352" s="11" t="n">
        <x:v>64.35</x:v>
      </x:c>
      <x:c r="F4352" s="11" t="n">
        <x:v>0</x:v>
      </x:c>
      <x:c r="G4352" s="11" t="n">
        <x:v>64.35</x:v>
      </x:c>
      <x:c r="H4352" s="23" t="n">
        <x:v>0.0000031338662118661582</x:v>
      </x:c>
      <x:c r="I4352" s="23" t="n">
        <x:v>0.9992927082137328</x:v>
      </x:c>
      <x:c r="J4352" s="2" t="n">
        <x:v>8</x:v>
      </x:c>
      <x:c r="K4352" s="2"/>
      <x:c r="L4352" s="2"/>
    </x:row>
    <x:row r="4353" ht="22" customHeight="1">
      <x:c r="A4353" s="2"/>
      <x:c r="B4353" s="2" t="n">
        <x:v>4320</x:v>
      </x:c>
      <x:c r="C4353" s="2" t="str">
        <x:v>90074</x:v>
      </x:c>
      <x:c r="D4353" s="2" t="str">
        <x:v>BLACK DIAMOND CLUSTER NECKLACE</x:v>
      </x:c>
      <x:c r="E4353" s="11" t="n">
        <x:v>64.09</x:v>
      </x:c>
      <x:c r="F4353" s="11" t="n">
        <x:v>0</x:v>
      </x:c>
      <x:c r="G4353" s="11" t="n">
        <x:v>64.09</x:v>
      </x:c>
      <x:c r="H4353" s="23" t="n">
        <x:v>0.000003121204126161649</x:v>
      </x:c>
      <x:c r="I4353" s="23" t="n">
        <x:v>0.999295829417859</x:v>
      </x:c>
      <x:c r="J4353" s="2" t="n">
        <x:v>6</x:v>
      </x:c>
      <x:c r="K4353" s="2"/>
      <x:c r="L4353" s="2"/>
    </x:row>
    <x:row r="4354" ht="22" customHeight="1">
      <x:c r="A4354" s="2"/>
      <x:c r="B4354" s="2" t="n">
        <x:v>4321</x:v>
      </x:c>
      <x:c r="C4354" s="2" t="str">
        <x:v>79534</x:v>
      </x:c>
      <x:c r="D4354" s="2" t="str">
        <x:v>MULTICOLOUR GLASS PLATE</x:v>
      </x:c>
      <x:c r="E4354" s="11" t="n">
        <x:v>63.800000000000004</x:v>
      </x:c>
      <x:c r="F4354" s="11" t="n">
        <x:v>0</x:v>
      </x:c>
      <x:c r="G4354" s="11" t="n">
        <x:v>63.800000000000004</x:v>
      </x:c>
      <x:c r="H4354" s="23" t="n">
        <x:v>0.0000031070810305681574</x:v>
      </x:c>
      <x:c r="I4354" s="23" t="n">
        <x:v>0.9992989364988896</x:v>
      </x:c>
      <x:c r="J4354" s="2" t="n">
        <x:v>16</x:v>
      </x:c>
      <x:c r="K4354" s="2"/>
      <x:c r="L4354" s="2"/>
    </x:row>
    <x:row r="4355" ht="22" customHeight="1">
      <x:c r="A4355" s="2"/>
      <x:c r="B4355" s="2" t="n">
        <x:v>4322</x:v>
      </x:c>
      <x:c r="C4355" s="2" t="str">
        <x:v>85018A</x:v>
      </x:c>
      <x:c r="D4355" s="2" t="str">
        <x:v>S/6 PAPER BOXES ROMANTIC IMAGES</x:v>
      </x:c>
      <x:c r="E4355" s="11" t="n">
        <x:v>63.75</x:v>
      </x:c>
      <x:c r="F4355" s="11" t="n">
        <x:v>0</x:v>
      </x:c>
      <x:c r="G4355" s="11" t="n">
        <x:v>63.75</x:v>
      </x:c>
      <x:c r="H4355" s="23" t="n">
        <x:v>0.0000031046460140865208</x:v>
      </x:c>
      <x:c r="I4355" s="23" t="n">
        <x:v>0.9993020411449036</x:v>
      </x:c>
      <x:c r="J4355" s="2" t="n">
        <x:v>10</x:v>
      </x:c>
      <x:c r="K4355" s="2"/>
      <x:c r="L4355" s="2"/>
    </x:row>
    <x:row r="4356" ht="22" customHeight="1">
      <x:c r="A4356" s="2"/>
      <x:c r="B4356" s="2" t="n">
        <x:v>4323</x:v>
      </x:c>
      <x:c r="C4356" s="2" t="str">
        <x:v>35973</x:v>
      </x:c>
      <x:c r="D4356" s="2" t="str">
        <x:v>GERANIUM FOLKART HEART DECORATION</x:v>
      </x:c>
      <x:c r="E4356" s="11" t="n">
        <x:v>63.75</x:v>
      </x:c>
      <x:c r="F4356" s="11" t="n">
        <x:v>0</x:v>
      </x:c>
      <x:c r="G4356" s="11" t="n">
        <x:v>63.75</x:v>
      </x:c>
      <x:c r="H4356" s="23" t="n">
        <x:v>0.0000031046460140865208</x:v>
      </x:c>
      <x:c r="I4356" s="23" t="n">
        <x:v>0.9993051457909177</x:v>
      </x:c>
      <x:c r="J4356" s="2" t="n">
        <x:v>13</x:v>
      </x:c>
      <x:c r="K4356" s="2"/>
      <x:c r="L4356" s="2"/>
    </x:row>
    <x:row r="4357" ht="22" customHeight="1">
      <x:c r="A4357" s="2"/>
      <x:c r="B4357" s="2" t="n">
        <x:v>4324</x:v>
      </x:c>
      <x:c r="C4357" s="2" t="str">
        <x:v>84582</x:v>
      </x:c>
      <x:c r="D4357" s="2" t="str">
        <x:v>PINK CROCHET CAT WITH SCARF</x:v>
      </x:c>
      <x:c r="E4357" s="11" t="n">
        <x:v>63.75</x:v>
      </x:c>
      <x:c r="F4357" s="11" t="n">
        <x:v>0</x:v>
      </x:c>
      <x:c r="G4357" s="11" t="n">
        <x:v>63.75</x:v>
      </x:c>
      <x:c r="H4357" s="23" t="n">
        <x:v>0.0000031046460140865208</x:v>
      </x:c>
      <x:c r="I4357" s="23" t="n">
        <x:v>0.9993082504369317</x:v>
      </x:c>
      <x:c r="J4357" s="2" t="n">
        <x:v>11</x:v>
      </x:c>
      <x:c r="K4357" s="2"/>
      <x:c r="L4357" s="2"/>
    </x:row>
    <x:row r="4358" ht="22" customHeight="1">
      <x:c r="A4358" s="2"/>
      <x:c r="B4358" s="2" t="n">
        <x:v>4325</x:v>
      </x:c>
      <x:c r="C4358" s="2" t="str">
        <x:v>20791</x:v>
      </x:c>
      <x:c r="D4358" s="2" t="str">
        <x:v>BLUE TILED SET OF 3 DRAWERS</x:v>
      </x:c>
      <x:c r="E4358" s="11" t="n">
        <x:v>63.75</x:v>
      </x:c>
      <x:c r="F4358" s="11" t="n">
        <x:v>63.75</x:v>
      </x:c>
      <x:c r="G4358" s="11" t="n">
        <x:v>0</x:v>
      </x:c>
      <x:c r="H4358" s="23" t="n">
        <x:v>0.0000031046460140865208</x:v>
      </x:c>
      <x:c r="I4358" s="23" t="n">
        <x:v>0.9993113550829458</x:v>
      </x:c>
      <x:c r="J4358" s="2" t="n">
        <x:v>1</x:v>
      </x:c>
      <x:c r="K4358" s="2"/>
      <x:c r="L4358" s="2"/>
    </x:row>
    <x:row r="4359" ht="22" customHeight="1">
      <x:c r="A4359" s="2"/>
      <x:c r="B4359" s="2" t="n">
        <x:v>4326</x:v>
      </x:c>
      <x:c r="C4359" s="2" t="str">
        <x:v>85018B</x:v>
      </x:c>
      <x:c r="D4359" s="2" t="str">
        <x:v>S/6 PAPER BOXES BLOSSOM IMAGES </x:v>
      </x:c>
      <x:c r="E4359" s="11" t="n">
        <x:v>63.75</x:v>
      </x:c>
      <x:c r="F4359" s="11" t="n">
        <x:v>0</x:v>
      </x:c>
      <x:c r="G4359" s="11" t="n">
        <x:v>63.75</x:v>
      </x:c>
      <x:c r="H4359" s="23" t="n">
        <x:v>0.0000031046460140865208</x:v>
      </x:c>
      <x:c r="I4359" s="23" t="n">
        <x:v>0.9993144597289598</x:v>
      </x:c>
      <x:c r="J4359" s="2" t="n">
        <x:v>10</x:v>
      </x:c>
      <x:c r="K4359" s="2"/>
      <x:c r="L4359" s="2"/>
    </x:row>
    <x:row r="4360" ht="22" customHeight="1">
      <x:c r="A4360" s="2"/>
      <x:c r="B4360" s="2" t="n">
        <x:v>4327</x:v>
      </x:c>
      <x:c r="C4360" s="2" t="str">
        <x:v>20905</x:v>
      </x:c>
      <x:c r="D4360" s="2" t="str">
        <x:v>VINTAGE KEEPSAKE BOX BEAUTY GIRL</x:v>
      </x:c>
      <x:c r="E4360" s="11" t="n">
        <x:v>63.5</x:v>
      </x:c>
      <x:c r="F4360" s="11" t="n">
        <x:v>0</x:v>
      </x:c>
      <x:c r="G4360" s="11" t="n">
        <x:v>63.5</x:v>
      </x:c>
      <x:c r="H4360" s="23" t="n">
        <x:v>0.000003092470931678338</x:v>
      </x:c>
      <x:c r="I4360" s="23" t="n">
        <x:v>0.9993175521998915</x:v>
      </x:c>
      <x:c r="J4360" s="2" t="n">
        <x:v>4</x:v>
      </x:c>
      <x:c r="K4360" s="2"/>
      <x:c r="L4360" s="2"/>
    </x:row>
    <x:row r="4361" ht="22" customHeight="1">
      <x:c r="A4361" s="2"/>
      <x:c r="B4361" s="2" t="n">
        <x:v>4328</x:v>
      </x:c>
      <x:c r="C4361" s="2" t="str">
        <x:v>90205A</x:v>
      </x:c>
      <x:c r="D4361" s="2" t="str">
        <x:v>LARGE MINT DIAMANTE HAIRSLIDE</x:v>
      </x:c>
      <x:c r="E4361" s="11" t="n">
        <x:v>63.46</x:v>
      </x:c>
      <x:c r="F4361" s="11" t="n">
        <x:v>0</x:v>
      </x:c>
      <x:c r="G4361" s="11" t="n">
        <x:v>63.46</x:v>
      </x:c>
      <x:c r="H4361" s="23" t="n">
        <x:v>0.000003090522918493029</x:v>
      </x:c>
      <x:c r="I4361" s="23" t="n">
        <x:v>0.99932064272281</x:v>
      </x:c>
      <x:c r="J4361" s="2" t="n">
        <x:v>22</x:v>
      </x:c>
      <x:c r="K4361" s="2"/>
      <x:c r="L4361" s="2"/>
    </x:row>
    <x:row r="4362" ht="22" customHeight="1">
      <x:c r="A4362" s="2"/>
      <x:c r="B4362" s="2" t="n">
        <x:v>4329</x:v>
      </x:c>
      <x:c r="C4362" s="2" t="str">
        <x:v>37491D</x:v>
      </x:c>
      <x:c r="D4362" s="2" t="str">
        <x:v>PURPLE/BLUE CERAMIC CANDLE HOLDER</x:v>
      </x:c>
      <x:c r="E4362" s="11" t="n">
        <x:v>63.28</x:v>
      </x:c>
      <x:c r="F4362" s="11" t="n">
        <x:v>0</x:v>
      </x:c>
      <x:c r="G4362" s="11" t="n">
        <x:v>63.28</x:v>
      </x:c>
      <x:c r="H4362" s="23" t="n">
        <x:v>0.0000030817568591591378</x:v>
      </x:c>
      <x:c r="I4362" s="23" t="n">
        <x:v>0.9993237244796691</x:v>
      </x:c>
      <x:c r="J4362" s="2" t="n">
        <x:v>13</x:v>
      </x:c>
      <x:c r="K4362" s="2"/>
      <x:c r="L4362" s="2"/>
    </x:row>
    <x:row r="4363" ht="22" customHeight="1">
      <x:c r="A4363" s="2"/>
      <x:c r="B4363" s="2" t="n">
        <x:v>4330</x:v>
      </x:c>
      <x:c r="C4363" s="2" t="str">
        <x:v>72709</x:v>
      </x:c>
      <x:c r="D4363" s="2" t="str">
        <x:v>IVORY SCULPTED RND CANDLE </x:v>
      </x:c>
      <x:c r="E4363" s="11" t="n">
        <x:v>62.9</x:v>
      </x:c>
      <x:c r="F4363" s="11" t="n">
        <x:v>0</x:v>
      </x:c>
      <x:c r="G4363" s="11" t="n">
        <x:v>62.9</x:v>
      </x:c>
      <x:c r="H4363" s="23" t="n">
        <x:v>0.0000030632507338987</x:v>
      </x:c>
      <x:c r="I4363" s="23" t="n">
        <x:v>0.999326787730403</x:v>
      </x:c>
      <x:c r="J4363" s="2" t="n">
        <x:v>13</x:v>
      </x:c>
      <x:c r="K4363" s="2"/>
      <x:c r="L4363" s="2"/>
    </x:row>
    <x:row r="4364" ht="22" customHeight="1">
      <x:c r="A4364" s="2"/>
      <x:c r="B4364" s="2" t="n">
        <x:v>4331</x:v>
      </x:c>
      <x:c r="C4364" s="2" t="str">
        <x:v>84529B</x:v>
      </x:c>
      <x:c r="D4364" s="2" t="str">
        <x:v>BLUE KNITTED KID'S RUCKSACK</x:v>
      </x:c>
      <x:c r="E4364" s="11" t="n">
        <x:v>62.35</x:v>
      </x:c>
      <x:c r="F4364" s="11" t="n">
        <x:v>0</x:v>
      </x:c>
      <x:c r="G4364" s="11" t="n">
        <x:v>62.35</x:v>
      </x:c>
      <x:c r="H4364" s="23" t="n">
        <x:v>0.000003036465552600699</x:v>
      </x:c>
      <x:c r="I4364" s="23" t="n">
        <x:v>0.9993298241959555</x:v>
      </x:c>
      <x:c r="J4364" s="2" t="n">
        <x:v>5</x:v>
      </x:c>
      <x:c r="K4364" s="2"/>
      <x:c r="L4364" s="2"/>
    </x:row>
    <x:row r="4365" ht="22" customHeight="1">
      <x:c r="A4365" s="2"/>
      <x:c r="B4365" s="2" t="n">
        <x:v>4332</x:v>
      </x:c>
      <x:c r="C4365" s="2" t="str">
        <x:v>35607B</x:v>
      </x:c>
      <x:c r="D4365" s="2" t="str">
        <x:v>thrown away</x:v>
      </x:c>
      <x:c r="E4365" s="11" t="n">
        <x:v>62.3</x:v>
      </x:c>
      <x:c r="F4365" s="11" t="n">
        <x:v>0</x:v>
      </x:c>
      <x:c r="G4365" s="11" t="n">
        <x:v>62.3</x:v>
      </x:c>
      <x:c r="H4365" s="23" t="n">
        <x:v>0.0000030340305361190622</x:v>
      </x:c>
      <x:c r="I4365" s="23" t="n">
        <x:v>0.9993328582264916</x:v>
      </x:c>
      <x:c r="J4365" s="2" t="n">
        <x:v>17</x:v>
      </x:c>
      <x:c r="K4365" s="2"/>
      <x:c r="L4365" s="2"/>
    </x:row>
    <x:row r="4366" ht="22" customHeight="1">
      <x:c r="A4366" s="2"/>
      <x:c r="B4366" s="2" t="n">
        <x:v>4333</x:v>
      </x:c>
      <x:c r="C4366" s="2" t="str">
        <x:v>47348A</x:v>
      </x:c>
      <x:c r="D4366" s="2" t="str">
        <x:v>FUSCHIA VOILE POINTY SHOE DEC</x:v>
      </x:c>
      <x:c r="E4366" s="11" t="n">
        <x:v>62.01</x:v>
      </x:c>
      <x:c r="F4366" s="11" t="n">
        <x:v>0</x:v>
      </x:c>
      <x:c r="G4366" s="11" t="n">
        <x:v>62.01</x:v>
      </x:c>
      <x:c r="H4366" s="23" t="n">
        <x:v>0.0000030199074405255708</x:v>
      </x:c>
      <x:c r="I4366" s="23" t="n">
        <x:v>0.9993358781339322</x:v>
      </x:c>
      <x:c r="J4366" s="2" t="n">
        <x:v>16</x:v>
      </x:c>
      <x:c r="K4366" s="2"/>
      <x:c r="L4366" s="2"/>
    </x:row>
    <x:row r="4367" ht="22" customHeight="1">
      <x:c r="A4367" s="2"/>
      <x:c r="B4367" s="2" t="n">
        <x:v>4334</x:v>
      </x:c>
      <x:c r="C4367" s="2" t="str">
        <x:v>72771B</x:v>
      </x:c>
      <x:c r="D4367" s="2" t="str">
        <x:v>BURG FLOCK GOLD CUP/CANDLE </x:v>
      </x:c>
      <x:c r="E4367" s="11" t="n">
        <x:v>61.94</x:v>
      </x:c>
      <x:c r="F4367" s="11" t="n">
        <x:v>0</x:v>
      </x:c>
      <x:c r="G4367" s="11" t="n">
        <x:v>61.94</x:v>
      </x:c>
      <x:c r="H4367" s="23" t="n">
        <x:v>0.0000030164984174512796</x:v>
      </x:c>
      <x:c r="I4367" s="23" t="n">
        <x:v>0.9993388946323497</x:v>
      </x:c>
      <x:c r="J4367" s="2" t="n">
        <x:v>8</x:v>
      </x:c>
      <x:c r="K4367" s="2"/>
      <x:c r="L4367" s="2"/>
    </x:row>
    <x:row r="4368" ht="22" customHeight="1">
      <x:c r="A4368" s="2"/>
      <x:c r="B4368" s="2" t="n">
        <x:v>4335</x:v>
      </x:c>
      <x:c r="C4368" s="2" t="str">
        <x:v>20620</x:v>
      </x:c>
      <x:c r="D4368" s="2" t="str">
        <x:v>RED SPOTTY PASSPORT COVER</x:v>
      </x:c>
      <x:c r="E4368" s="11" t="n">
        <x:v>61.76</x:v>
      </x:c>
      <x:c r="F4368" s="11" t="n">
        <x:v>0</x:v>
      </x:c>
      <x:c r="G4368" s="11" t="n">
        <x:v>61.76</x:v>
      </x:c>
      <x:c r="H4368" s="23" t="n">
        <x:v>0.0000030077323581173885</x:v>
      </x:c>
      <x:c r="I4368" s="23" t="n">
        <x:v>0.9993419023647078</x:v>
      </x:c>
      <x:c r="J4368" s="2" t="n">
        <x:v>14</x:v>
      </x:c>
      <x:c r="K4368" s="2"/>
      <x:c r="L4368" s="2"/>
    </x:row>
    <x:row r="4369" ht="22" customHeight="1">
      <x:c r="A4369" s="2"/>
      <x:c r="B4369" s="2" t="n">
        <x:v>4336</x:v>
      </x:c>
      <x:c r="C4369" s="2" t="str">
        <x:v>35817B</x:v>
      </x:c>
      <x:c r="D4369" s="2" t="str">
        <x:v>ACRYLIC JEWEL SNOWFLAKE,BLUE</x:v>
      </x:c>
      <x:c r="E4369" s="11" t="n">
        <x:v>61.3</x:v>
      </x:c>
      <x:c r="F4369" s="11" t="n">
        <x:v>0</x:v>
      </x:c>
      <x:c r="G4369" s="11" t="n">
        <x:v>61.3</x:v>
      </x:c>
      <x:c r="H4369" s="23" t="n">
        <x:v>0.0000029853302064863326</x:v>
      </x:c>
      <x:c r="I4369" s="23" t="n">
        <x:v>0.9993448876949143</x:v>
      </x:c>
      <x:c r="J4369" s="2" t="n">
        <x:v>3</x:v>
      </x:c>
      <x:c r="K4369" s="2"/>
      <x:c r="L4369" s="2"/>
    </x:row>
    <x:row r="4370" ht="22" customHeight="1">
      <x:c r="A4370" s="2"/>
      <x:c r="B4370" s="2" t="n">
        <x:v>4337</x:v>
      </x:c>
      <x:c r="C4370" s="2" t="str">
        <x:v>35910B</x:v>
      </x:c>
      <x:c r="D4370" s="2" t="str">
        <x:v>PINK FLOWERS RABBIT EASTER</x:v>
      </x:c>
      <x:c r="E4370" s="11" t="n">
        <x:v>61.07</x:v>
      </x:c>
      <x:c r="F4370" s="11" t="n">
        <x:v>0</x:v>
      </x:c>
      <x:c r="G4370" s="11" t="n">
        <x:v>61.07</x:v>
      </x:c>
      <x:c r="H4370" s="23" t="n">
        <x:v>0.000002974129130670805</x:v>
      </x:c>
      <x:c r="I4370" s="23" t="n">
        <x:v>0.9993478618240449</x:v>
      </x:c>
      <x:c r="J4370" s="2" t="n">
        <x:v>8</x:v>
      </x:c>
      <x:c r="K4370" s="2"/>
      <x:c r="L4370" s="2"/>
    </x:row>
    <x:row r="4371" ht="22" customHeight="1">
      <x:c r="A4371" s="2"/>
      <x:c r="B4371" s="2" t="n">
        <x:v>4338</x:v>
      </x:c>
      <x:c r="C4371" s="2" t="str">
        <x:v>90188</x:v>
      </x:c>
      <x:c r="D4371" s="2" t="str">
        <x:v>DROP EARRINGS W FLOWER &amp; LEAF</x:v>
      </x:c>
      <x:c r="E4371" s="11" t="n">
        <x:v>61.05</x:v>
      </x:c>
      <x:c r="F4371" s="11" t="n">
        <x:v>0</x:v>
      </x:c>
      <x:c r="G4371" s="11" t="n">
        <x:v>61.05</x:v>
      </x:c>
      <x:c r="H4371" s="23" t="n">
        <x:v>0.0000029731551240781502</x:v>
      </x:c>
      <x:c r="I4371" s="23" t="n">
        <x:v>0.999350834979169</x:v>
      </x:c>
      <x:c r="J4371" s="2" t="n">
        <x:v>20</x:v>
      </x:c>
      <x:c r="K4371" s="2"/>
      <x:c r="L4371" s="2"/>
    </x:row>
    <x:row r="4372" ht="22" customHeight="1">
      <x:c r="A4372" s="2"/>
      <x:c r="B4372" s="2" t="n">
        <x:v>4339</x:v>
      </x:c>
      <x:c r="C4372" s="2" t="str">
        <x:v>90214I</x:v>
      </x:c>
      <x:c r="D4372" s="2" t="str">
        <x:v>LETTER "I" BLING KEY RING</x:v>
      </x:c>
      <x:c r="E4372" s="11" t="n">
        <x:v>61</x:v>
      </x:c>
      <x:c r="F4372" s="11" t="n">
        <x:v>7.5</x:v>
      </x:c>
      <x:c r="G4372" s="11" t="n">
        <x:v>53.5</x:v>
      </x:c>
      <x:c r="H4372" s="23" t="n">
        <x:v>0.000002970720107596514</x:v>
      </x:c>
      <x:c r="I4372" s="23" t="n">
        <x:v>0.9993538056992766</x:v>
      </x:c>
      <x:c r="J4372" s="2" t="n">
        <x:v>27</x:v>
      </x:c>
      <x:c r="K4372" s="2"/>
      <x:c r="L4372" s="2"/>
    </x:row>
    <x:row r="4373" ht="22" customHeight="1">
      <x:c r="A4373" s="2"/>
      <x:c r="B4373" s="2" t="n">
        <x:v>4340</x:v>
      </x:c>
      <x:c r="C4373" s="2" t="str">
        <x:v>37477B</x:v>
      </x:c>
      <x:c r="D4373" s="2" t="str">
        <x:v>FLOWER FAIRY MUG+COASTER,LAVENDER</x:v>
      </x:c>
      <x:c r="E4373" s="11" t="n">
        <x:v>60</x:v>
      </x:c>
      <x:c r="F4373" s="11" t="n">
        <x:v>3.75</x:v>
      </x:c>
      <x:c r="G4373" s="11" t="n">
        <x:v>56.25</x:v>
      </x:c>
      <x:c r="H4373" s="23" t="n">
        <x:v>0.000002922019777963784</x:v>
      </x:c>
      <x:c r="I4373" s="23" t="n">
        <x:v>0.9993567277190545</x:v>
      </x:c>
      <x:c r="J4373" s="2" t="n">
        <x:v>8</x:v>
      </x:c>
      <x:c r="K4373" s="2"/>
      <x:c r="L4373" s="2"/>
    </x:row>
    <x:row r="4374" ht="22" customHeight="1">
      <x:c r="A4374" s="2"/>
      <x:c r="B4374" s="2" t="n">
        <x:v>4341</x:v>
      </x:c>
      <x:c r="C4374" s="2" t="str">
        <x:v>84875A</x:v>
      </x:c>
      <x:c r="D4374" s="2" t="str">
        <x:v>PINK SQUARE COMPACT MIRROR</x:v>
      </x:c>
      <x:c r="E4374" s="11" t="n">
        <x:v>60</x:v>
      </x:c>
      <x:c r="F4374" s="11" t="n">
        <x:v>0</x:v>
      </x:c>
      <x:c r="G4374" s="11" t="n">
        <x:v>60</x:v>
      </x:c>
      <x:c r="H4374" s="23" t="n">
        <x:v>0.000002922019777963784</x:v>
      </x:c>
      <x:c r="I4374" s="23" t="n">
        <x:v>0.9993596497388324</x:v>
      </x:c>
      <x:c r="J4374" s="2" t="n">
        <x:v>12</x:v>
      </x:c>
      <x:c r="K4374" s="2"/>
      <x:c r="L4374" s="2"/>
    </x:row>
    <x:row r="4375" ht="22" customHeight="1">
      <x:c r="A4375" s="2"/>
      <x:c r="B4375" s="2" t="n">
        <x:v>4342</x:v>
      </x:c>
      <x:c r="C4375" s="2" t="str">
        <x:v>23629</x:v>
      </x:c>
      <x:c r="D4375" s="2" t="str">
        <x:v>SET 10 CARDS DRESSING UP 17077</x:v>
      </x:c>
      <x:c r="E4375" s="11" t="n">
        <x:v>59.760000000000005</x:v>
      </x:c>
      <x:c r="F4375" s="11" t="n">
        <x:v>0</x:v>
      </x:c>
      <x:c r="G4375" s="11" t="n">
        <x:v>59.760000000000005</x:v>
      </x:c>
      <x:c r="H4375" s="23" t="n">
        <x:v>0.000002910331698851929</x:v>
      </x:c>
      <x:c r="I4375" s="23" t="n">
        <x:v>0.9993625600705313</x:v>
      </x:c>
      <x:c r="J4375" s="2" t="n">
        <x:v>10</x:v>
      </x:c>
      <x:c r="K4375" s="2"/>
      <x:c r="L4375" s="2"/>
    </x:row>
    <x:row r="4376" ht="22" customHeight="1">
      <x:c r="A4376" s="2"/>
      <x:c r="B4376" s="2" t="n">
        <x:v>4343</x:v>
      </x:c>
      <x:c r="C4376" s="2" t="str">
        <x:v>90021</x:v>
      </x:c>
      <x:c r="D4376" s="2" t="str">
        <x:v>LASER CUT MULTI STRAND NECKLACE</x:v>
      </x:c>
      <x:c r="E4376" s="11" t="n">
        <x:v>59.75</x:v>
      </x:c>
      <x:c r="F4376" s="11" t="n">
        <x:v>0</x:v>
      </x:c>
      <x:c r="G4376" s="11" t="n">
        <x:v>59.75</x:v>
      </x:c>
      <x:c r="H4376" s="23" t="n">
        <x:v>0.0000029098446955556016</x:v>
      </x:c>
      <x:c r="I4376" s="23" t="n">
        <x:v>0.9993654699152268</x:v>
      </x:c>
      <x:c r="J4376" s="2" t="n">
        <x:v>4</x:v>
      </x:c>
      <x:c r="K4376" s="2"/>
      <x:c r="L4376" s="2"/>
    </x:row>
    <x:row r="4377" ht="22" customHeight="1">
      <x:c r="A4377" s="2"/>
      <x:c r="B4377" s="2" t="n">
        <x:v>4344</x:v>
      </x:c>
      <x:c r="C4377" s="2" t="str">
        <x:v>84292B</x:v>
      </x:c>
      <x:c r="D4377" s="2" t="str">
        <x:v>BLUE COL METAL FOLDING CHAIR</x:v>
      </x:c>
      <x:c r="E4377" s="11" t="n">
        <x:v>59.75</x:v>
      </x:c>
      <x:c r="F4377" s="11" t="n">
        <x:v>0</x:v>
      </x:c>
      <x:c r="G4377" s="11" t="n">
        <x:v>59.75</x:v>
      </x:c>
      <x:c r="H4377" s="23" t="n">
        <x:v>0.0000029098446955556016</x:v>
      </x:c>
      <x:c r="I4377" s="23" t="n">
        <x:v>0.9993683797599223</x:v>
      </x:c>
      <x:c r="J4377" s="2" t="n">
        <x:v>5</x:v>
      </x:c>
      <x:c r="K4377" s="2"/>
      <x:c r="L4377" s="2"/>
    </x:row>
    <x:row r="4378" ht="22" customHeight="1">
      <x:c r="A4378" s="2"/>
      <x:c r="B4378" s="2" t="n">
        <x:v>4345</x:v>
      </x:c>
      <x:c r="C4378" s="2" t="str">
        <x:v>90171</x:v>
      </x:c>
      <x:c r="D4378" s="2" t="str">
        <x:v>DAISY RING</x:v>
      </x:c>
      <x:c r="E4378" s="11" t="n">
        <x:v>59.650000000000006</x:v>
      </x:c>
      <x:c r="F4378" s="11" t="n">
        <x:v>0</x:v>
      </x:c>
      <x:c r="G4378" s="11" t="n">
        <x:v>59.650000000000006</x:v>
      </x:c>
      <x:c r="H4378" s="23" t="n">
        <x:v>0.0000029049746625923288</x:v>
      </x:c>
      <x:c r="I4378" s="23" t="n">
        <x:v>0.9993712847345849</x:v>
      </x:c>
      <x:c r="J4378" s="2" t="n">
        <x:v>27</x:v>
      </x:c>
      <x:c r="K4378" s="2"/>
      <x:c r="L4378" s="2"/>
    </x:row>
    <x:row r="4379" ht="22" customHeight="1">
      <x:c r="A4379" s="2"/>
      <x:c r="B4379" s="2" t="n">
        <x:v>4346</x:v>
      </x:c>
      <x:c r="C4379" s="2" t="str">
        <x:v>gift_0001_70</x:v>
      </x:c>
      <x:c r="D4379" s="2" t="str">
        <x:v>Dotcomgiftshop Gift Voucher £70.00</x:v>
      </x:c>
      <x:c r="E4379" s="11" t="n">
        <x:v>59.57</x:v>
      </x:c>
      <x:c r="F4379" s="11" t="n">
        <x:v>0</x:v>
      </x:c>
      <x:c r="G4379" s="11" t="n">
        <x:v>59.57</x:v>
      </x:c>
      <x:c r="H4379" s="23" t="n">
        <x:v>0.0000029010786362217105</x:v>
      </x:c>
      <x:c r="I4379" s="23" t="n">
        <x:v>0.9993741858132211</x:v>
      </x:c>
      <x:c r="J4379" s="2" t="n">
        <x:v>1</x:v>
      </x:c>
      <x:c r="K4379" s="2"/>
      <x:c r="L4379" s="2"/>
    </x:row>
    <x:row r="4380" ht="22" customHeight="1">
      <x:c r="A4380" s="2"/>
      <x:c r="B4380" s="2" t="n">
        <x:v>4347</x:v>
      </x:c>
      <x:c r="C4380" s="2" t="str">
        <x:v>44241C</x:v>
      </x:c>
      <x:c r="D4380" s="2" t="str">
        <x:v>BLUE BUTTERFLY ON SPRING</x:v>
      </x:c>
      <x:c r="E4380" s="11" t="n">
        <x:v>59.5</x:v>
      </x:c>
      <x:c r="F4380" s="11" t="n">
        <x:v>0</x:v>
      </x:c>
      <x:c r="G4380" s="11" t="n">
        <x:v>59.5</x:v>
      </x:c>
      <x:c r="H4380" s="23" t="n">
        <x:v>0.0000028976696131474193</x:v>
      </x:c>
      <x:c r="I4380" s="23" t="n">
        <x:v>0.9993770834828343</x:v>
      </x:c>
      <x:c r="J4380" s="2" t="n">
        <x:v>8</x:v>
      </x:c>
      <x:c r="K4380" s="2"/>
      <x:c r="L4380" s="2"/>
    </x:row>
    <x:row r="4381" ht="22" customHeight="1">
      <x:c r="A4381" s="2"/>
      <x:c r="B4381" s="2" t="n">
        <x:v>4348</x:v>
      </x:c>
      <x:c r="C4381" s="2" t="str">
        <x:v>35654</x:v>
      </x:c>
      <x:c r="D4381" s="2" t="str">
        <x:v>VINTAGE BEAD FILLED PINK CUSHION</x:v>
      </x:c>
      <x:c r="E4381" s="11" t="n">
        <x:v>59.400000000000006</x:v>
      </x:c>
      <x:c r="F4381" s="11" t="n">
        <x:v>0</x:v>
      </x:c>
      <x:c r="G4381" s="11" t="n">
        <x:v>59.400000000000006</x:v>
      </x:c>
      <x:c r="H4381" s="23" t="n">
        <x:v>0.0000028927995801841465</x:v>
      </x:c>
      <x:c r="I4381" s="23" t="n">
        <x:v>0.9993799762824145</x:v>
      </x:c>
      <x:c r="J4381" s="2" t="n">
        <x:v>5</x:v>
      </x:c>
      <x:c r="K4381" s="2"/>
      <x:c r="L4381" s="2"/>
    </x:row>
    <x:row r="4382" ht="22" customHeight="1">
      <x:c r="A4382" s="2"/>
      <x:c r="B4382" s="2" t="n">
        <x:v>4349</x:v>
      </x:c>
      <x:c r="C4382" s="2" t="str">
        <x:v>35001B</x:v>
      </x:c>
      <x:c r="D4382" s="2" t="str">
        <x:v>HAND OPEN SHAPE BLACK</x:v>
      </x:c>
      <x:c r="E4382" s="11" t="n">
        <x:v>59.330000000000005</x:v>
      </x:c>
      <x:c r="F4382" s="11" t="n">
        <x:v>5.9</x:v>
      </x:c>
      <x:c r="G4382" s="11" t="n">
        <x:v>53.43000000000001</x:v>
      </x:c>
      <x:c r="H4382" s="23" t="n">
        <x:v>0.0000028893905571098553</x:v>
      </x:c>
      <x:c r="I4382" s="23" t="n">
        <x:v>0.9993828656729716</x:v>
      </x:c>
      <x:c r="J4382" s="2" t="n">
        <x:v>6</x:v>
      </x:c>
      <x:c r="K4382" s="2"/>
      <x:c r="L4382" s="2"/>
    </x:row>
    <x:row r="4383" ht="22" customHeight="1">
      <x:c r="A4383" s="2"/>
      <x:c r="B4383" s="2" t="n">
        <x:v>4350</x:v>
      </x:c>
      <x:c r="C4383" s="2" t="str">
        <x:v>90011B</x:v>
      </x:c>
      <x:c r="D4383" s="2" t="str">
        <x:v>BLACK CRYSTAL DROP EARRINGS</x:v>
      </x:c>
      <x:c r="E4383" s="11" t="n">
        <x:v>59.06</x:v>
      </x:c>
      <x:c r="F4383" s="11" t="n">
        <x:v>0</x:v>
      </x:c>
      <x:c r="G4383" s="11" t="n">
        <x:v>59.06</x:v>
      </x:c>
      <x:c r="H4383" s="23" t="n">
        <x:v>0.0000028762414681090184</x:v>
      </x:c>
      <x:c r="I4383" s="23" t="n">
        <x:v>0.9993857419144397</x:v>
      </x:c>
      <x:c r="J4383" s="2" t="n">
        <x:v>15</x:v>
      </x:c>
      <x:c r="K4383" s="2"/>
      <x:c r="L4383" s="2"/>
    </x:row>
    <x:row r="4384" ht="22" customHeight="1">
      <x:c r="A4384" s="2"/>
      <x:c r="B4384" s="2" t="n">
        <x:v>4351</x:v>
      </x:c>
      <x:c r="C4384" s="2" t="str">
        <x:v>35909A</x:v>
      </x:c>
      <x:c r="D4384" s="2" t="str">
        <x:v>RABBIT EASTER DECORATION</x:v>
      </x:c>
      <x:c r="E4384" s="11" t="n">
        <x:v>59.00000000000001</x:v>
      </x:c>
      <x:c r="F4384" s="11" t="n">
        <x:v>0</x:v>
      </x:c>
      <x:c r="G4384" s="11" t="n">
        <x:v>59.00000000000001</x:v>
      </x:c>
      <x:c r="H4384" s="23" t="n">
        <x:v>0.0000028733194483310547</x:v>
      </x:c>
      <x:c r="I4384" s="23" t="n">
        <x:v>0.9993886152338881</x:v>
      </x:c>
      <x:c r="J4384" s="2" t="n">
        <x:v>5</x:v>
      </x:c>
      <x:c r="K4384" s="2"/>
      <x:c r="L4384" s="2"/>
    </x:row>
    <x:row r="4385" ht="22" customHeight="1">
      <x:c r="A4385" s="2"/>
      <x:c r="B4385" s="2" t="n">
        <x:v>4352</x:v>
      </x:c>
      <x:c r="C4385" s="2" t="str">
        <x:v>17129C</x:v>
      </x:c>
      <x:c r="D4385" s="2" t="str">
        <x:v>wrong invc</x:v>
      </x:c>
      <x:c r="E4385" s="11" t="n">
        <x:v>58.83</x:v>
      </x:c>
      <x:c r="F4385" s="11" t="n">
        <x:v>0</x:v>
      </x:c>
      <x:c r="G4385" s="11" t="n">
        <x:v>58.83</x:v>
      </x:c>
      <x:c r="H4385" s="23" t="n">
        <x:v>0.0000028650403922934902</x:v>
      </x:c>
      <x:c r="I4385" s="23" t="n">
        <x:v>0.9993914802742804</x:v>
      </x:c>
      <x:c r="J4385" s="2" t="n">
        <x:v>11</x:v>
      </x:c>
      <x:c r="K4385" s="2"/>
      <x:c r="L4385" s="2"/>
    </x:row>
    <x:row r="4386" ht="22" customHeight="1">
      <x:c r="A4386" s="2"/>
      <x:c r="B4386" s="2" t="n">
        <x:v>4353</x:v>
      </x:c>
      <x:c r="C4386" s="2" t="str">
        <x:v>85023C</x:v>
      </x:c>
      <x:c r="D4386" s="2" t="str">
        <x:v>PINK LARGE JEWELED PHOTOFRAME</x:v>
      </x:c>
      <x:c r="E4386" s="11" t="n">
        <x:v>58.65</x:v>
      </x:c>
      <x:c r="F4386" s="11" t="n">
        <x:v>2.55</x:v>
      </x:c>
      <x:c r="G4386" s="11" t="n">
        <x:v>56.099999999999994</x:v>
      </x:c>
      <x:c r="H4386" s="23" t="n">
        <x:v>0.000002856274332959599</x:v>
      </x:c>
      <x:c r="I4386" s="23" t="n">
        <x:v>0.9993943365486133</x:v>
      </x:c>
      <x:c r="J4386" s="2" t="n">
        <x:v>11</x:v>
      </x:c>
      <x:c r="K4386" s="2"/>
      <x:c r="L4386" s="2"/>
    </x:row>
    <x:row r="4387" ht="22" customHeight="1">
      <x:c r="A4387" s="2"/>
      <x:c r="B4387" s="2" t="n">
        <x:v>4354</x:v>
      </x:c>
      <x:c r="C4387" s="2" t="str">
        <x:v>81985A</x:v>
      </x:c>
      <x:c r="D4387" s="2" t="str">
        <x:v>ICON ALARM CLOCK,FUSCHIA  PIN UP</x:v>
      </x:c>
      <x:c r="E4387" s="11" t="n">
        <x:v>58.64999999999999</x:v>
      </x:c>
      <x:c r="F4387" s="11" t="n">
        <x:v>0</x:v>
      </x:c>
      <x:c r="G4387" s="11" t="n">
        <x:v>58.64999999999999</x:v>
      </x:c>
      <x:c r="H4387" s="23" t="n">
        <x:v>0.0000028562743329595987</x:v>
      </x:c>
      <x:c r="I4387" s="23" t="n">
        <x:v>0.9993971928229463</x:v>
      </x:c>
      <x:c r="J4387" s="2" t="n">
        <x:v>7</x:v>
      </x:c>
      <x:c r="K4387" s="2"/>
      <x:c r="L4387" s="2"/>
    </x:row>
    <x:row r="4388" ht="22" customHeight="1">
      <x:c r="A4388" s="2"/>
      <x:c r="B4388" s="2" t="n">
        <x:v>4355</x:v>
      </x:c>
      <x:c r="C4388" s="2" t="str">
        <x:v>84226</x:v>
      </x:c>
      <x:c r="D4388" s="2" t="str">
        <x:v>HEN HOUSE W FAMILY IN BARN &amp; NEST</x:v>
      </x:c>
      <x:c r="E4388" s="11" t="n">
        <x:v>58.31</x:v>
      </x:c>
      <x:c r="F4388" s="11" t="n">
        <x:v>0</x:v>
      </x:c>
      <x:c r="G4388" s="11" t="n">
        <x:v>58.31</x:v>
      </x:c>
      <x:c r="H4388" s="23" t="n">
        <x:v>0.000002839716220884471</x:v>
      </x:c>
      <x:c r="I4388" s="23" t="n">
        <x:v>0.9994000325391671</x:v>
      </x:c>
      <x:c r="J4388" s="2" t="n">
        <x:v>18</x:v>
      </x:c>
      <x:c r="K4388" s="2"/>
      <x:c r="L4388" s="2"/>
    </x:row>
    <x:row r="4389" ht="22" customHeight="1">
      <x:c r="A4389" s="2"/>
      <x:c r="B4389" s="2" t="n">
        <x:v>4356</x:v>
      </x:c>
      <x:c r="C4389" s="2" t="str">
        <x:v>35816B</x:v>
      </x:c>
      <x:c r="D4389" s="2" t="str">
        <x:v>damaged</x:v>
      </x:c>
      <x:c r="E4389" s="11" t="n">
        <x:v>58.07</x:v>
      </x:c>
      <x:c r="F4389" s="11" t="n">
        <x:v>0</x:v>
      </x:c>
      <x:c r="G4389" s="11" t="n">
        <x:v>58.07</x:v>
      </x:c>
      <x:c r="H4389" s="23" t="n">
        <x:v>0.0000028280281417726158</x:v>
      </x:c>
      <x:c r="I4389" s="23" t="n">
        <x:v>0.9994028605673089</x:v>
      </x:c>
      <x:c r="J4389" s="2" t="n">
        <x:v>3</x:v>
      </x:c>
      <x:c r="K4389" s="2"/>
      <x:c r="L4389" s="2"/>
    </x:row>
    <x:row r="4390" ht="22" customHeight="1">
      <x:c r="A4390" s="2"/>
      <x:c r="B4390" s="2" t="n">
        <x:v>4357</x:v>
      </x:c>
      <x:c r="C4390" s="2" t="str">
        <x:v>35821B</x:v>
      </x:c>
      <x:c r="D4390" s="2" t="str">
        <x:v>gone</x:v>
      </x:c>
      <x:c r="E4390" s="11" t="n">
        <x:v>57</x:v>
      </x:c>
      <x:c r="F4390" s="11" t="n">
        <x:v>0</x:v>
      </x:c>
      <x:c r="G4390" s="11" t="n">
        <x:v>57</x:v>
      </x:c>
      <x:c r="H4390" s="23" t="n">
        <x:v>0.000002775918789065595</x:v>
      </x:c>
      <x:c r="I4390" s="23" t="n">
        <x:v>0.9994056364860979</x:v>
      </x:c>
      <x:c r="J4390" s="2" t="n">
        <x:v>3</x:v>
      </x:c>
      <x:c r="K4390" s="2"/>
      <x:c r="L4390" s="2"/>
    </x:row>
    <x:row r="4391" ht="22" customHeight="1">
      <x:c r="A4391" s="2"/>
      <x:c r="B4391" s="2" t="n">
        <x:v>4358</x:v>
      </x:c>
      <x:c r="C4391" s="2" t="str">
        <x:v>90212C</x:v>
      </x:c>
      <x:c r="D4391" s="2" t="str">
        <x:v>PURPLE LAS VEGAS BRACELET ROUND</x:v>
      </x:c>
      <x:c r="E4391" s="11" t="n">
        <x:v>56.25</x:v>
      </x:c>
      <x:c r="F4391" s="11" t="n">
        <x:v>0</x:v>
      </x:c>
      <x:c r="G4391" s="11" t="n">
        <x:v>56.25</x:v>
      </x:c>
      <x:c r="H4391" s="23" t="n">
        <x:v>0.0000027393935418410475</x:v>
      </x:c>
      <x:c r="I4391" s="23" t="n">
        <x:v>0.9994083758796398</x:v>
      </x:c>
      <x:c r="J4391" s="2" t="n">
        <x:v>7</x:v>
      </x:c>
      <x:c r="K4391" s="2"/>
      <x:c r="L4391" s="2"/>
    </x:row>
    <x:row r="4392" ht="22" customHeight="1">
      <x:c r="A4392" s="2"/>
      <x:c r="B4392" s="2" t="n">
        <x:v>4359</x:v>
      </x:c>
      <x:c r="C4392" s="2" t="str">
        <x:v>85080</x:v>
      </x:c>
      <x:c r="D4392" s="2" t="str">
        <x:v>PADDED RED HEART DECORATION</x:v>
      </x:c>
      <x:c r="E4392" s="11" t="n">
        <x:v>56.18</x:v>
      </x:c>
      <x:c r="F4392" s="11" t="n">
        <x:v>0</x:v>
      </x:c>
      <x:c r="G4392" s="11" t="n">
        <x:v>56.18</x:v>
      </x:c>
      <x:c r="H4392" s="23" t="n">
        <x:v>0.0000027359845187667563</x:v>
      </x:c>
      <x:c r="I4392" s="23" t="n">
        <x:v>0.9994111118641585</x:v>
      </x:c>
      <x:c r="J4392" s="2" t="n">
        <x:v>22</x:v>
      </x:c>
      <x:c r="K4392" s="2"/>
      <x:c r="L4392" s="2"/>
    </x:row>
    <x:row r="4393" ht="22" customHeight="1">
      <x:c r="A4393" s="2"/>
      <x:c r="B4393" s="2" t="n">
        <x:v>4360</x:v>
      </x:c>
      <x:c r="C4393" s="2" t="str">
        <x:v>47344B</x:v>
      </x:c>
      <x:c r="D4393" s="2" t="str">
        <x:v>BLUE FLOWER DES PURSE</x:v>
      </x:c>
      <x:c r="E4393" s="11" t="n">
        <x:v>56.16</x:v>
      </x:c>
      <x:c r="F4393" s="11" t="n">
        <x:v>0</x:v>
      </x:c>
      <x:c r="G4393" s="11" t="n">
        <x:v>56.16</x:v>
      </x:c>
      <x:c r="H4393" s="23" t="n">
        <x:v>0.0000027350105121741018</x:v>
      </x:c>
      <x:c r="I4393" s="23" t="n">
        <x:v>0.9994138468746707</x:v>
      </x:c>
      <x:c r="J4393" s="2" t="n">
        <x:v>10</x:v>
      </x:c>
      <x:c r="K4393" s="2"/>
      <x:c r="L4393" s="2"/>
    </x:row>
    <x:row r="4394" ht="22" customHeight="1">
      <x:c r="A4394" s="2"/>
      <x:c r="B4394" s="2" t="n">
        <x:v>4361</x:v>
      </x:c>
      <x:c r="C4394" s="2" t="str">
        <x:v>85023A</x:v>
      </x:c>
      <x:c r="D4394" s="2" t="str">
        <x:v>CRYSTAL LARGE JEWELLED PHOTO FRAME</x:v>
      </x:c>
      <x:c r="E4394" s="11" t="n">
        <x:v>56.099999999999994</x:v>
      </x:c>
      <x:c r="F4394" s="11" t="n">
        <x:v>2.55</x:v>
      </x:c>
      <x:c r="G4394" s="11" t="n">
        <x:v>53.55</x:v>
      </x:c>
      <x:c r="H4394" s="23" t="n">
        <x:v>0.000002732088492396138</x:v>
      </x:c>
      <x:c r="I4394" s="23" t="n">
        <x:v>0.9994165789631632</x:v>
      </x:c>
      <x:c r="J4394" s="2" t="n">
        <x:v>10</x:v>
      </x:c>
      <x:c r="K4394" s="2"/>
      <x:c r="L4394" s="2"/>
    </x:row>
    <x:row r="4395" ht="22" customHeight="1">
      <x:c r="A4395" s="2"/>
      <x:c r="B4395" s="2" t="n">
        <x:v>4362</x:v>
      </x:c>
      <x:c r="C4395" s="2" t="str">
        <x:v>90033</x:v>
      </x:c>
      <x:c r="D4395" s="2" t="str">
        <x:v>IVORY SHELL HEART EARRINGS</x:v>
      </x:c>
      <x:c r="E4395" s="11" t="n">
        <x:v>55.879999999999995</x:v>
      </x:c>
      <x:c r="F4395" s="11" t="n">
        <x:v>0</x:v>
      </x:c>
      <x:c r="G4395" s="11" t="n">
        <x:v>55.879999999999995</x:v>
      </x:c>
      <x:c r="H4395" s="23" t="n">
        <x:v>0.0000027213744198769374</x:v>
      </x:c>
      <x:c r="I4395" s="23" t="n">
        <x:v>0.9994193003375831</x:v>
      </x:c>
      <x:c r="J4395" s="2" t="n">
        <x:v>18</x:v>
      </x:c>
      <x:c r="K4395" s="2"/>
      <x:c r="L4395" s="2"/>
    </x:row>
    <x:row r="4396" ht="22" customHeight="1">
      <x:c r="A4396" s="2"/>
      <x:c r="B4396" s="2" t="n">
        <x:v>4363</x:v>
      </x:c>
      <x:c r="C4396" s="2" t="str">
        <x:v>90182C</x:v>
      </x:c>
      <x:c r="D4396" s="2" t="str">
        <x:v>BLACK 3 BEAD DROP EARRINGS</x:v>
      </x:c>
      <x:c r="E4396" s="11" t="n">
        <x:v>55.74</x:v>
      </x:c>
      <x:c r="F4396" s="11" t="n">
        <x:v>17.700000000000003</x:v>
      </x:c>
      <x:c r="G4396" s="11" t="n">
        <x:v>38.04</x:v>
      </x:c>
      <x:c r="H4396" s="23" t="n">
        <x:v>0.0000027145563737283554</x:v>
      </x:c>
      <x:c r="I4396" s="23" t="n">
        <x:v>0.9994220148939568</x:v>
      </x:c>
      <x:c r="J4396" s="2" t="n">
        <x:v>13</x:v>
      </x:c>
      <x:c r="K4396" s="2"/>
      <x:c r="L4396" s="2"/>
    </x:row>
    <x:row r="4397" ht="22" customHeight="1">
      <x:c r="A4397" s="2"/>
      <x:c r="B4397" s="2" t="n">
        <x:v>4364</x:v>
      </x:c>
      <x:c r="C4397" s="2" t="str">
        <x:v>90177A</x:v>
      </x:c>
      <x:c r="D4397" s="2" t="str">
        <x:v>CLASSIC DIAMANTE EARRINGS JET</x:v>
      </x:c>
      <x:c r="E4397" s="11" t="n">
        <x:v>55.690000000000005</x:v>
      </x:c>
      <x:c r="F4397" s="11" t="n">
        <x:v>17.700000000000003</x:v>
      </x:c>
      <x:c r="G4397" s="11" t="n">
        <x:v>37.99</x:v>
      </x:c>
      <x:c r="H4397" s="23" t="n">
        <x:v>0.0000027121213572467192</x:v>
      </x:c>
      <x:c r="I4397" s="23" t="n">
        <x:v>0.999424727015314</x:v>
      </x:c>
      <x:c r="J4397" s="2" t="n">
        <x:v>14</x:v>
      </x:c>
      <x:c r="K4397" s="2"/>
      <x:c r="L4397" s="2"/>
    </x:row>
    <x:row r="4398" ht="22" customHeight="1">
      <x:c r="A4398" s="2"/>
      <x:c r="B4398" s="2" t="n">
        <x:v>4365</x:v>
      </x:c>
      <x:c r="C4398" s="2" t="str">
        <x:v>90214T</x:v>
      </x:c>
      <x:c r="D4398" s="2" t="str">
        <x:v>LETTER "T" BLING KEY RING</x:v>
      </x:c>
      <x:c r="E4398" s="11" t="n">
        <x:v>55.57</x:v>
      </x:c>
      <x:c r="F4398" s="11" t="n">
        <x:v>0</x:v>
      </x:c>
      <x:c r="G4398" s="11" t="n">
        <x:v>55.57</x:v>
      </x:c>
      <x:c r="H4398" s="23" t="n">
        <x:v>0.0000027062773176907914</x:v>
      </x:c>
      <x:c r="I4398" s="23" t="n">
        <x:v>0.9994274332926317</x:v>
      </x:c>
      <x:c r="J4398" s="2" t="n">
        <x:v>24</x:v>
      </x:c>
      <x:c r="K4398" s="2"/>
      <x:c r="L4398" s="2"/>
    </x:row>
    <x:row r="4399" ht="22" customHeight="1">
      <x:c r="A4399" s="2"/>
      <x:c r="B4399" s="2" t="n">
        <x:v>4366</x:v>
      </x:c>
      <x:c r="C4399" s="2" t="str">
        <x:v>22657</x:v>
      </x:c>
      <x:c r="D4399" s="2" t="str">
        <x:v>HEN &amp; 2 CHICKS IN BASKET</x:v>
      </x:c>
      <x:c r="E4399" s="11" t="n">
        <x:v>55.24999999999999</x:v>
      </x:c>
      <x:c r="F4399" s="11" t="n">
        <x:v>0</x:v>
      </x:c>
      <x:c r="G4399" s="11" t="n">
        <x:v>55.24999999999999</x:v>
      </x:c>
      <x:c r="H4399" s="23" t="n">
        <x:v>0.0000026906932122083174</x:v>
      </x:c>
      <x:c r="I4399" s="23" t="n">
        <x:v>0.999430123985844</x:v>
      </x:c>
      <x:c r="J4399" s="2" t="n">
        <x:v>7</x:v>
      </x:c>
      <x:c r="K4399" s="2"/>
      <x:c r="L4399" s="2"/>
    </x:row>
    <x:row r="4400" ht="22" customHeight="1">
      <x:c r="A4400" s="2"/>
      <x:c r="B4400" s="2" t="n">
        <x:v>4367</x:v>
      </x:c>
      <x:c r="C4400" s="2" t="str">
        <x:v>90001B</x:v>
      </x:c>
      <x:c r="D4400" s="2" t="str">
        <x:v>ANTIQUE MID BLUE FLOWER EARRINGS</x:v>
      </x:c>
      <x:c r="E4400" s="11" t="n">
        <x:v>55.120000000000005</x:v>
      </x:c>
      <x:c r="F4400" s="11" t="n">
        <x:v>4.25</x:v>
      </x:c>
      <x:c r="G4400" s="11" t="n">
        <x:v>50.870000000000005</x:v>
      </x:c>
      <x:c r="H4400" s="23" t="n">
        <x:v>0.0000026843621693560634</x:v>
      </x:c>
      <x:c r="I4400" s="23" t="n">
        <x:v>0.9994328083480133</x:v>
      </x:c>
      <x:c r="J4400" s="2" t="n">
        <x:v>10</x:v>
      </x:c>
      <x:c r="K4400" s="2"/>
      <x:c r="L4400" s="2"/>
    </x:row>
    <x:row r="4401" ht="22" customHeight="1">
      <x:c r="A4401" s="2"/>
      <x:c r="B4401" s="2" t="n">
        <x:v>4368</x:v>
      </x:c>
      <x:c r="C4401" s="2" t="str">
        <x:v>85151</x:v>
      </x:c>
      <x:c r="D4401" s="2" t="str">
        <x:v>WELCOME METAL SIGN</x:v>
      </x:c>
      <x:c r="E4401" s="11" t="n">
        <x:v>55</x:v>
      </x:c>
      <x:c r="F4401" s="11" t="n">
        <x:v>0</x:v>
      </x:c>
      <x:c r="G4401" s="11" t="n">
        <x:v>55</x:v>
      </x:c>
      <x:c r="H4401" s="23" t="n">
        <x:v>0.0000026785181298001356</x:v>
      </x:c>
      <x:c r="I4401" s="23" t="n">
        <x:v>0.9994354868661431</x:v>
      </x:c>
      <x:c r="J4401" s="2" t="n">
        <x:v>8</x:v>
      </x:c>
      <x:c r="K4401" s="2"/>
      <x:c r="L4401" s="2"/>
    </x:row>
    <x:row r="4402" ht="22" customHeight="1">
      <x:c r="A4402" s="2"/>
      <x:c r="B4402" s="2" t="n">
        <x:v>4369</x:v>
      </x:c>
      <x:c r="C4402" s="2" t="str">
        <x:v>90135A</x:v>
      </x:c>
      <x:c r="D4402" s="2" t="str">
        <x:v>ORANGE/FUSCHIA STONES NECKLACE</x:v>
      </x:c>
      <x:c r="E4402" s="11" t="n">
        <x:v>54.620000000000005</x:v>
      </x:c>
      <x:c r="F4402" s="11" t="n">
        <x:v>0</x:v>
      </x:c>
      <x:c r="G4402" s="11" t="n">
        <x:v>54.620000000000005</x:v>
      </x:c>
      <x:c r="H4402" s="23" t="n">
        <x:v>0.0000026600120045396983</x:v>
      </x:c>
      <x:c r="I4402" s="23" t="n">
        <x:v>0.9994381468781477</x:v>
      </x:c>
      <x:c r="J4402" s="2" t="n">
        <x:v>4</x:v>
      </x:c>
      <x:c r="K4402" s="2"/>
      <x:c r="L4402" s="2"/>
    </x:row>
    <x:row r="4403" ht="22" customHeight="1">
      <x:c r="A4403" s="2"/>
      <x:c r="B4403" s="2" t="n">
        <x:v>4370</x:v>
      </x:c>
      <x:c r="C4403" s="2" t="str">
        <x:v>90142D</x:v>
      </x:c>
      <x:c r="D4403" s="2" t="str">
        <x:v>MOP PENDANT SHELL NECKLACE</x:v>
      </x:c>
      <x:c r="E4403" s="11" t="n">
        <x:v>54.59</x:v>
      </x:c>
      <x:c r="F4403" s="11" t="n">
        <x:v>0</x:v>
      </x:c>
      <x:c r="G4403" s="11" t="n">
        <x:v>54.59</x:v>
      </x:c>
      <x:c r="H4403" s="23" t="n">
        <x:v>0.0000026585509946507163</x:v>
      </x:c>
      <x:c r="I4403" s="23" t="n">
        <x:v>0.9994408054291424</x:v>
      </x:c>
      <x:c r="J4403" s="2" t="n">
        <x:v>5</x:v>
      </x:c>
      <x:c r="K4403" s="2"/>
      <x:c r="L4403" s="2"/>
    </x:row>
    <x:row r="4404" ht="22" customHeight="1">
      <x:c r="A4404" s="2"/>
      <x:c r="B4404" s="2" t="n">
        <x:v>4371</x:v>
      </x:c>
      <x:c r="C4404" s="2" t="str">
        <x:v>90043</x:v>
      </x:c>
      <x:c r="D4404" s="2" t="str">
        <x:v>COPPER AND BRASS BAG CHARM</x:v>
      </x:c>
      <x:c r="E4404" s="11" t="n">
        <x:v>54.510000000000005</x:v>
      </x:c>
      <x:c r="F4404" s="11" t="n">
        <x:v>0</x:v>
      </x:c>
      <x:c r="G4404" s="11" t="n">
        <x:v>54.510000000000005</x:v>
      </x:c>
      <x:c r="H4404" s="23" t="n">
        <x:v>0.000002654654968280098</x:v>
      </x:c>
      <x:c r="I4404" s="23" t="n">
        <x:v>0.9994434600841107</x:v>
      </x:c>
      <x:c r="J4404" s="2" t="n">
        <x:v>6</x:v>
      </x:c>
      <x:c r="K4404" s="2"/>
      <x:c r="L4404" s="2"/>
    </x:row>
    <x:row r="4405" ht="22" customHeight="1">
      <x:c r="A4405" s="2"/>
      <x:c r="B4405" s="2" t="n">
        <x:v>4372</x:v>
      </x:c>
      <x:c r="C4405" s="2" t="str">
        <x:v>20820</x:v>
      </x:c>
      <x:c r="D4405" s="2" t="str">
        <x:v>SILVER LOOKING MIRROR</x:v>
      </x:c>
      <x:c r="E4405" s="11" t="n">
        <x:v>54.45</x:v>
      </x:c>
      <x:c r="F4405" s="11" t="n">
        <x:v>0</x:v>
      </x:c>
      <x:c r="G4405" s="11" t="n">
        <x:v>54.45</x:v>
      </x:c>
      <x:c r="H4405" s="23" t="n">
        <x:v>0.0000026517329485021343</x:v>
      </x:c>
      <x:c r="I4405" s="23" t="n">
        <x:v>0.9994461118170592</x:v>
      </x:c>
      <x:c r="J4405" s="2" t="n">
        <x:v>8</x:v>
      </x:c>
      <x:c r="K4405" s="2"/>
      <x:c r="L4405" s="2"/>
    </x:row>
    <x:row r="4406" ht="22" customHeight="1">
      <x:c r="A4406" s="2"/>
      <x:c r="B4406" s="2" t="n">
        <x:v>4373</x:v>
      </x:c>
      <x:c r="C4406" s="2" t="str">
        <x:v>20953</x:v>
      </x:c>
      <x:c r="D4406" s="2" t="str">
        <x:v>PORCELAIN CHERUB BELL LARGE</x:v>
      </x:c>
      <x:c r="E4406" s="11" t="n">
        <x:v>54.449999999999996</x:v>
      </x:c>
      <x:c r="F4406" s="11" t="n">
        <x:v>0</x:v>
      </x:c>
      <x:c r="G4406" s="11" t="n">
        <x:v>54.449999999999996</x:v>
      </x:c>
      <x:c r="H4406" s="23" t="n">
        <x:v>0.000002651732948502134</x:v>
      </x:c>
      <x:c r="I4406" s="23" t="n">
        <x:v>0.9994487635500078</x:v>
      </x:c>
      <x:c r="J4406" s="2" t="n">
        <x:v>9</x:v>
      </x:c>
      <x:c r="K4406" s="2"/>
      <x:c r="L4406" s="2"/>
    </x:row>
    <x:row r="4407" ht="22" customHeight="1">
      <x:c r="A4407" s="2"/>
      <x:c r="B4407" s="2" t="n">
        <x:v>4374</x:v>
      </x:c>
      <x:c r="C4407" s="2" t="str">
        <x:v>90084</x:v>
      </x:c>
      <x:c r="D4407" s="2" t="str">
        <x:v>PINK CRYSTAL GUITAR PHONE CHARM</x:v>
      </x:c>
      <x:c r="E4407" s="11" t="n">
        <x:v>54.4</x:v>
      </x:c>
      <x:c r="F4407" s="11" t="n">
        <x:v>10.2</x:v>
      </x:c>
      <x:c r="G4407" s="11" t="n">
        <x:v>44.199999999999996</x:v>
      </x:c>
      <x:c r="H4407" s="23" t="n">
        <x:v>0.0000026492979320204977</x:v>
      </x:c>
      <x:c r="I4407" s="23" t="n">
        <x:v>0.9994514128479398</x:v>
      </x:c>
      <x:c r="J4407" s="2" t="n">
        <x:v>9</x:v>
      </x:c>
      <x:c r="K4407" s="2"/>
      <x:c r="L4407" s="2"/>
    </x:row>
    <x:row r="4408" ht="22" customHeight="1">
      <x:c r="A4408" s="2"/>
      <x:c r="B4408" s="2" t="n">
        <x:v>4375</x:v>
      </x:c>
      <x:c r="C4408" s="2" t="str">
        <x:v>46115B</x:v>
      </x:c>
      <x:c r="D4408" s="2" t="str">
        <x:v>GREEN POP ART MAO CUSHION COVER </x:v>
      </x:c>
      <x:c r="E4408" s="11" t="n">
        <x:v>54.34</x:v>
      </x:c>
      <x:c r="F4408" s="11" t="n">
        <x:v>0</x:v>
      </x:c>
      <x:c r="G4408" s="11" t="n">
        <x:v>54.34</x:v>
      </x:c>
      <x:c r="H4408" s="23" t="n">
        <x:v>0.000002646375912242534</x:v>
      </x:c>
      <x:c r="I4408" s="23" t="n">
        <x:v>0.9994540592238521</x:v>
      </x:c>
      <x:c r="J4408" s="2" t="n">
        <x:v>22</x:v>
      </x:c>
      <x:c r="K4408" s="2"/>
      <x:c r="L4408" s="2"/>
    </x:row>
    <x:row r="4409" ht="22" customHeight="1">
      <x:c r="A4409" s="2"/>
      <x:c r="B4409" s="2" t="n">
        <x:v>4376</x:v>
      </x:c>
      <x:c r="C4409" s="2" t="str">
        <x:v>20870</x:v>
      </x:c>
      <x:c r="D4409" s="2" t="str">
        <x:v>OPULENT VELVET CANDLE IN BOX</x:v>
      </x:c>
      <x:c r="E4409" s="11" t="n">
        <x:v>54.3</x:v>
      </x:c>
      <x:c r="F4409" s="11" t="n">
        <x:v>2.1</x:v>
      </x:c>
      <x:c r="G4409" s="11" t="n">
        <x:v>52.2</x:v>
      </x:c>
      <x:c r="H4409" s="23" t="n">
        <x:v>0.0000026444278990572244</x:v>
      </x:c>
      <x:c r="I4409" s="23" t="n">
        <x:v>0.9994567036517512</x:v>
      </x:c>
      <x:c r="J4409" s="2" t="n">
        <x:v>7</x:v>
      </x:c>
      <x:c r="K4409" s="2"/>
      <x:c r="L4409" s="2"/>
    </x:row>
    <x:row r="4410" ht="22" customHeight="1">
      <x:c r="A4410" s="2"/>
      <x:c r="B4410" s="2" t="n">
        <x:v>4377</x:v>
      </x:c>
      <x:c r="C4410" s="2" t="str">
        <x:v>84402B</x:v>
      </x:c>
      <x:c r="D4410" s="2" t="str">
        <x:v>PURPLE DRESS JEWELLERY STAND</x:v>
      </x:c>
      <x:c r="E4410" s="11" t="n">
        <x:v>54.09</x:v>
      </x:c>
      <x:c r="F4410" s="11" t="n">
        <x:v>0</x:v>
      </x:c>
      <x:c r="G4410" s="11" t="n">
        <x:v>54.09</x:v>
      </x:c>
      <x:c r="H4410" s="23" t="n">
        <x:v>0.0000026342008298343517</x:v>
      </x:c>
      <x:c r="I4410" s="23" t="n">
        <x:v>0.999459337852581</x:v>
      </x:c>
      <x:c r="J4410" s="2" t="n">
        <x:v>4</x:v>
      </x:c>
      <x:c r="K4410" s="2"/>
      <x:c r="L4410" s="2"/>
    </x:row>
    <x:row r="4411" ht="22" customHeight="1">
      <x:c r="A4411" s="2"/>
      <x:c r="B4411" s="2" t="n">
        <x:v>4378</x:v>
      </x:c>
      <x:c r="C4411" s="2" t="str">
        <x:v>84559b</x:v>
      </x:c>
      <x:c r="D4411" s="2" t="str">
        <x:v>3D SHEET OF CAT STICKERS</x:v>
      </x:c>
      <x:c r="E4411" s="11" t="n">
        <x:v>53.54</x:v>
      </x:c>
      <x:c r="F4411" s="11" t="n">
        <x:v>0</x:v>
      </x:c>
      <x:c r="G4411" s="11" t="n">
        <x:v>53.54</x:v>
      </x:c>
      <x:c r="H4411" s="23" t="n">
        <x:v>0.00000260741564853635</x:v>
      </x:c>
      <x:c r="I4411" s="23" t="n">
        <x:v>0.9994619452682295</x:v>
      </x:c>
      <x:c r="J4411" s="2" t="n">
        <x:v>25</x:v>
      </x:c>
      <x:c r="K4411" s="2"/>
      <x:c r="L4411" s="2"/>
    </x:row>
    <x:row r="4412" ht="22" customHeight="1">
      <x:c r="A4412" s="2"/>
      <x:c r="B4412" s="2" t="n">
        <x:v>4379</x:v>
      </x:c>
      <x:c r="C4412" s="2" t="str">
        <x:v>84660b</x:v>
      </x:c>
      <x:c r="D4412" s="2" t="str">
        <x:v>BLACK STITCHED WALL CLOCK</x:v>
      </x:c>
      <x:c r="E4412" s="11" t="n">
        <x:v>53.18</x:v>
      </x:c>
      <x:c r="F4412" s="11" t="n">
        <x:v>0</x:v>
      </x:c>
      <x:c r="G4412" s="11" t="n">
        <x:v>53.18</x:v>
      </x:c>
      <x:c r="H4412" s="23" t="n">
        <x:v>0.0000025898835298685673</x:v>
      </x:c>
      <x:c r="I4412" s="23" t="n">
        <x:v>0.9994645351517594</x:v>
      </x:c>
      <x:c r="J4412" s="2" t="n">
        <x:v>6</x:v>
      </x:c>
      <x:c r="K4412" s="2"/>
      <x:c r="L4412" s="2"/>
    </x:row>
    <x:row r="4413" ht="22" customHeight="1">
      <x:c r="A4413" s="2"/>
      <x:c r="B4413" s="2" t="n">
        <x:v>4380</x:v>
      </x:c>
      <x:c r="C4413" s="2" t="str">
        <x:v>72798C</x:v>
      </x:c>
      <x:c r="D4413" s="2" t="str">
        <x:v>SET/4 GARDEN ROSE DINNER CANDLE</x:v>
      </x:c>
      <x:c r="E4413" s="11" t="n">
        <x:v>53.11</x:v>
      </x:c>
      <x:c r="F4413" s="11" t="n">
        <x:v>0</x:v>
      </x:c>
      <x:c r="G4413" s="11" t="n">
        <x:v>53.11</x:v>
      </x:c>
      <x:c r="H4413" s="23" t="n">
        <x:v>0.000002586474506794276</x:v>
      </x:c>
      <x:c r="I4413" s="23" t="n">
        <x:v>0.9994671216262662</x:v>
      </x:c>
      <x:c r="J4413" s="2" t="n">
        <x:v>15</x:v>
      </x:c>
      <x:c r="K4413" s="2"/>
      <x:c r="L4413" s="2"/>
    </x:row>
    <x:row r="4414" ht="22" customHeight="1">
      <x:c r="A4414" s="2"/>
      <x:c r="B4414" s="2" t="n">
        <x:v>4381</x:v>
      </x:c>
      <x:c r="C4414" s="2" t="str">
        <x:v>84660a</x:v>
      </x:c>
      <x:c r="D4414" s="2" t="str">
        <x:v>WHITE STITCHED WALL CLOCK</x:v>
      </x:c>
      <x:c r="E4414" s="11" t="n">
        <x:v>52.699999999999996</x:v>
      </x:c>
      <x:c r="F4414" s="11" t="n">
        <x:v>0</x:v>
      </x:c>
      <x:c r="G4414" s="11" t="n">
        <x:v>52.699999999999996</x:v>
      </x:c>
      <x:c r="H4414" s="23" t="n">
        <x:v>0.000002566507371644857</x:v>
      </x:c>
      <x:c r="I4414" s="23" t="n">
        <x:v>0.9994696881336378</x:v>
      </x:c>
      <x:c r="J4414" s="2" t="n">
        <x:v>5</x:v>
      </x:c>
      <x:c r="K4414" s="2"/>
      <x:c r="L4414" s="2"/>
    </x:row>
    <x:row r="4415" ht="22" customHeight="1">
      <x:c r="A4415" s="2"/>
      <x:c r="B4415" s="2" t="n">
        <x:v>4382</x:v>
      </x:c>
      <x:c r="C4415" s="2" t="str">
        <x:v>84845C</x:v>
      </x:c>
      <x:c r="D4415" s="2" t="str">
        <x:v>CARNATION SQUARE HANDY TIN</x:v>
      </x:c>
      <x:c r="E4415" s="11" t="n">
        <x:v>52.5</x:v>
      </x:c>
      <x:c r="F4415" s="11" t="n">
        <x:v>3.75</x:v>
      </x:c>
      <x:c r="G4415" s="11" t="n">
        <x:v>48.75</x:v>
      </x:c>
      <x:c r="H4415" s="23" t="n">
        <x:v>0.000002556767305718311</x:v>
      </x:c>
      <x:c r="I4415" s="23" t="n">
        <x:v>0.9994722449009436</x:v>
      </x:c>
      <x:c r="J4415" s="2" t="n">
        <x:v>14</x:v>
      </x:c>
      <x:c r="K4415" s="2"/>
      <x:c r="L4415" s="2"/>
    </x:row>
    <x:row r="4416" ht="22" customHeight="1">
      <x:c r="A4416" s="2"/>
      <x:c r="B4416" s="2" t="n">
        <x:v>4383</x:v>
      </x:c>
      <x:c r="C4416" s="2" t="str">
        <x:v>84951b</x:v>
      </x:c>
      <x:c r="D4416" s="2" t="str">
        <x:v>SET OF 4 BLACK LOVEBIRD COASTERS</x:v>
      </x:c>
      <x:c r="E4416" s="11" t="n">
        <x:v>51.26</x:v>
      </x:c>
      <x:c r="F4416" s="11" t="n">
        <x:v>0</x:v>
      </x:c>
      <x:c r="G4416" s="11" t="n">
        <x:v>51.26</x:v>
      </x:c>
      <x:c r="H4416" s="23" t="n">
        <x:v>0.0000024963788969737262</x:v>
      </x:c>
      <x:c r="I4416" s="23" t="n">
        <x:v>0.9994747412798405</x:v>
      </x:c>
      <x:c r="J4416" s="2" t="n">
        <x:v>5</x:v>
      </x:c>
      <x:c r="K4416" s="2"/>
      <x:c r="L4416" s="2"/>
    </x:row>
    <x:row r="4417" ht="22" customHeight="1">
      <x:c r="A4417" s="2"/>
      <x:c r="B4417" s="2" t="n">
        <x:v>4384</x:v>
      </x:c>
      <x:c r="C4417" s="2" t="str">
        <x:v>84845D</x:v>
      </x:c>
      <x:c r="D4417" s="2" t="str">
        <x:v>GERANIUM SQUARE HANDY TIN</x:v>
      </x:c>
      <x:c r="E4417" s="11" t="n">
        <x:v>51.25</x:v>
      </x:c>
      <x:c r="F4417" s="11" t="n">
        <x:v>0</x:v>
      </x:c>
      <x:c r="G4417" s="11" t="n">
        <x:v>51.25</x:v>
      </x:c>
      <x:c r="H4417" s="23" t="n">
        <x:v>0.0000024958918936773987</x:v>
      </x:c>
      <x:c r="I4417" s="23" t="n">
        <x:v>0.9994772371717342</x:v>
      </x:c>
      <x:c r="J4417" s="2" t="n">
        <x:v>11</x:v>
      </x:c>
      <x:c r="K4417" s="2"/>
      <x:c r="L4417" s="2"/>
    </x:row>
    <x:row r="4418" ht="22" customHeight="1">
      <x:c r="A4418" s="2"/>
      <x:c r="B4418" s="2" t="n">
        <x:v>4385</x:v>
      </x:c>
      <x:c r="C4418" s="2" t="str">
        <x:v>35071</x:v>
      </x:c>
      <x:c r="D4418" s="2" t="str">
        <x:v>ASSORTED SANTA CHRISTMAS DECORATION</x:v>
      </x:c>
      <x:c r="E4418" s="11" t="n">
        <x:v>51.13999999999999</x:v>
      </x:c>
      <x:c r="F4418" s="11" t="n">
        <x:v>0</x:v>
      </x:c>
      <x:c r="G4418" s="11" t="n">
        <x:v>51.13999999999999</x:v>
      </x:c>
      <x:c r="H4418" s="23" t="n">
        <x:v>0.0000024905348574177984</x:v>
      </x:c>
      <x:c r="I4418" s="23" t="n">
        <x:v>0.9994797277065917</x:v>
      </x:c>
      <x:c r="J4418" s="2" t="n">
        <x:v>7</x:v>
      </x:c>
      <x:c r="K4418" s="2"/>
      <x:c r="L4418" s="2"/>
    </x:row>
    <x:row r="4419" ht="22" customHeight="1">
      <x:c r="A4419" s="2"/>
      <x:c r="B4419" s="2" t="n">
        <x:v>4386</x:v>
      </x:c>
      <x:c r="C4419" s="2" t="str">
        <x:v>84612B</x:v>
      </x:c>
      <x:c r="D4419" s="2" t="str">
        <x:v>thrown away</x:v>
      </x:c>
      <x:c r="E4419" s="11" t="n">
        <x:v>51</x:v>
      </x:c>
      <x:c r="F4419" s="11" t="n">
        <x:v>0</x:v>
      </x:c>
      <x:c r="G4419" s="11" t="n">
        <x:v>51</x:v>
      </x:c>
      <x:c r="H4419" s="23" t="n">
        <x:v>0.0000024837168112692164</x:v>
      </x:c>
      <x:c r="I4419" s="23" t="n">
        <x:v>0.9994822114234029</x:v>
      </x:c>
      <x:c r="J4419" s="2" t="n">
        <x:v>4</x:v>
      </x:c>
      <x:c r="K4419" s="2"/>
      <x:c r="L4419" s="2"/>
    </x:row>
    <x:row r="4420" ht="22" customHeight="1">
      <x:c r="A4420" s="2"/>
      <x:c r="B4420" s="2" t="n">
        <x:v>4387</x:v>
      </x:c>
      <x:c r="C4420" s="2" t="str">
        <x:v>20964</x:v>
      </x:c>
      <x:c r="D4420" s="2" t="str">
        <x:v>POLYESTER FILLER PAD 60x40cm</x:v>
      </x:c>
      <x:c r="E4420" s="11" t="n">
        <x:v>50.99999999999999</x:v>
      </x:c>
      <x:c r="F4420" s="11" t="n">
        <x:v>0</x:v>
      </x:c>
      <x:c r="G4420" s="11" t="n">
        <x:v>50.99999999999999</x:v>
      </x:c>
      <x:c r="H4420" s="23" t="n">
        <x:v>0.000002483716811269216</x:v>
      </x:c>
      <x:c r="I4420" s="23" t="n">
        <x:v>0.9994846951402141</x:v>
      </x:c>
      <x:c r="J4420" s="2" t="n">
        <x:v>6</x:v>
      </x:c>
      <x:c r="K4420" s="2"/>
      <x:c r="L4420" s="2"/>
    </x:row>
    <x:row r="4421" ht="22" customHeight="1">
      <x:c r="A4421" s="2"/>
      <x:c r="B4421" s="2" t="n">
        <x:v>4388</x:v>
      </x:c>
      <x:c r="C4421" s="2" t="str">
        <x:v>84968f</x:v>
      </x:c>
      <x:c r="D4421" s="2" t="str">
        <x:v>SET OF 16 VINTAGE SKY BLUE CUTLERY</x:v>
      </x:c>
      <x:c r="E4421" s="11" t="n">
        <x:v>50.98</x:v>
      </x:c>
      <x:c r="F4421" s="11" t="n">
        <x:v>0</x:v>
      </x:c>
      <x:c r="G4421" s="11" t="n">
        <x:v>50.98</x:v>
      </x:c>
      <x:c r="H4421" s="23" t="n">
        <x:v>0.000002482742804676562</x:v>
      </x:c>
      <x:c r="I4421" s="23" t="n">
        <x:v>0.9994871778830188</x:v>
      </x:c>
      <x:c r="J4421" s="2" t="n">
        <x:v>2</x:v>
      </x:c>
      <x:c r="K4421" s="2"/>
      <x:c r="L4421" s="2"/>
    </x:row>
    <x:row r="4422" ht="22" customHeight="1">
      <x:c r="A4422" s="2"/>
      <x:c r="B4422" s="2" t="n">
        <x:v>4389</x:v>
      </x:c>
      <x:c r="C4422" s="2" t="str">
        <x:v>84968b</x:v>
      </x:c>
      <x:c r="D4422" s="2" t="str">
        <x:v>SET OF 16 VINTAGE IVORY CUTLERY</x:v>
      </x:c>
      <x:c r="E4422" s="11" t="n">
        <x:v>50.98</x:v>
      </x:c>
      <x:c r="F4422" s="11" t="n">
        <x:v>0</x:v>
      </x:c>
      <x:c r="G4422" s="11" t="n">
        <x:v>50.98</x:v>
      </x:c>
      <x:c r="H4422" s="23" t="n">
        <x:v>0.000002482742804676562</x:v>
      </x:c>
      <x:c r="I4422" s="23" t="n">
        <x:v>0.9994896606258235</x:v>
      </x:c>
      <x:c r="J4422" s="2" t="n">
        <x:v>2</x:v>
      </x:c>
      <x:c r="K4422" s="2"/>
      <x:c r="L4422" s="2"/>
    </x:row>
    <x:row r="4423" ht="22" customHeight="1">
      <x:c r="A4423" s="2"/>
      <x:c r="B4423" s="2" t="n">
        <x:v>4390</x:v>
      </x:c>
      <x:c r="C4423" s="2" t="str">
        <x:v>85069</x:v>
      </x:c>
      <x:c r="D4423" s="2" t="str">
        <x:v>CREAM SWEETHEART DOUBLE SHELF</x:v>
      </x:c>
      <x:c r="E4423" s="11" t="n">
        <x:v>50.849999999999994</x:v>
      </x:c>
      <x:c r="F4423" s="11" t="n">
        <x:v>101.69999999999999</x:v>
      </x:c>
      <x:c r="G4423" s="11" t="n">
        <x:v>-50.849999999999994</x:v>
      </x:c>
      <x:c r="H4423" s="23" t="n">
        <x:v>0.000002476411761824307</x:v>
      </x:c>
      <x:c r="I4423" s="23" t="n">
        <x:v>0.9994921370375853</x:v>
      </x:c>
      <x:c r="J4423" s="2" t="n">
        <x:v>1</x:v>
      </x:c>
      <x:c r="K4423" s="2"/>
      <x:c r="L4423" s="2"/>
    </x:row>
    <x:row r="4424" ht="22" customHeight="1">
      <x:c r="A4424" s="2"/>
      <x:c r="B4424" s="2" t="n">
        <x:v>4391</x:v>
      </x:c>
      <x:c r="C4424" s="2" t="str">
        <x:v>85035b</x:v>
      </x:c>
      <x:c r="D4424" s="2" t="str">
        <x:v>CHOCOLATE 3 WICK MORRIS BOX CANDLE</x:v>
      </x:c>
      <x:c r="E4424" s="11" t="n">
        <x:v>50.82000000000001</x:v>
      </x:c>
      <x:c r="F4424" s="11" t="n">
        <x:v>0</x:v>
      </x:c>
      <x:c r="G4424" s="11" t="n">
        <x:v>50.82000000000001</x:v>
      </x:c>
      <x:c r="H4424" s="23" t="n">
        <x:v>0.0000024749507519353253</x:v>
      </x:c>
      <x:c r="I4424" s="23" t="n">
        <x:v>0.9994946119883372</x:v>
      </x:c>
      <x:c r="J4424" s="2" t="n">
        <x:v>6</x:v>
      </x:c>
      <x:c r="K4424" s="2"/>
      <x:c r="L4424" s="2"/>
    </x:row>
    <x:row r="4425" ht="22" customHeight="1">
      <x:c r="A4425" s="2"/>
      <x:c r="B4425" s="2" t="n">
        <x:v>4392</x:v>
      </x:c>
      <x:c r="C4425" s="2" t="str">
        <x:v>85124a</x:v>
      </x:c>
      <x:c r="D4425" s="2" t="str">
        <x:v>PINK JUICY FRUIT PHOTO FRAME</x:v>
      </x:c>
      <x:c r="E4425" s="11" t="n">
        <x:v>50.599999999999994</x:v>
      </x:c>
      <x:c r="F4425" s="11" t="n">
        <x:v>0</x:v>
      </x:c>
      <x:c r="G4425" s="11" t="n">
        <x:v>50.599999999999994</x:v>
      </x:c>
      <x:c r="H4425" s="23" t="n">
        <x:v>0.0000024642366794161242</x:v>
      </x:c>
      <x:c r="I4425" s="23" t="n">
        <x:v>0.9994970762250166</x:v>
      </x:c>
      <x:c r="J4425" s="2" t="n">
        <x:v>9</x:v>
      </x:c>
      <x:c r="K4425" s="2"/>
      <x:c r="L4425" s="2"/>
    </x:row>
    <x:row r="4426" ht="22" customHeight="1">
      <x:c r="A4426" s="2"/>
      <x:c r="B4426" s="2" t="n">
        <x:v>4393</x:v>
      </x:c>
      <x:c r="C4426" s="2" t="str">
        <x:v>90034</x:v>
      </x:c>
      <x:c r="D4426" s="2" t="str">
        <x:v>WHITE SILVER NECKLACE SHELL GLASS</x:v>
      </x:c>
      <x:c r="E4426" s="11" t="n">
        <x:v>50.48</x:v>
      </x:c>
      <x:c r="F4426" s="11" t="n">
        <x:v>0</x:v>
      </x:c>
      <x:c r="G4426" s="11" t="n">
        <x:v>50.48</x:v>
      </x:c>
      <x:c r="H4426" s="23" t="n">
        <x:v>0.000002458392639860197</x:v>
      </x:c>
      <x:c r="I4426" s="23" t="n">
        <x:v>0.9994995346176565</x:v>
      </x:c>
      <x:c r="J4426" s="2" t="n">
        <x:v>5</x:v>
      </x:c>
      <x:c r="K4426" s="2"/>
      <x:c r="L4426" s="2"/>
    </x:row>
    <x:row r="4427" ht="22" customHeight="1">
      <x:c r="A4427" s="2"/>
      <x:c r="B4427" s="2" t="n">
        <x:v>4394</x:v>
      </x:c>
      <x:c r="C4427" s="2" t="str">
        <x:v>72083A</x:v>
      </x:c>
      <x:c r="D4427" s="2" t="str">
        <x:v>STRAWBERY SWIRL FLARE CANDLE</x:v>
      </x:c>
      <x:c r="E4427" s="11" t="n">
        <x:v>50.400000000000006</x:v>
      </x:c>
      <x:c r="F4427" s="11" t="n">
        <x:v>0</x:v>
      </x:c>
      <x:c r="G4427" s="11" t="n">
        <x:v>50.400000000000006</x:v>
      </x:c>
      <x:c r="H4427" s="23" t="n">
        <x:v>0.000002454496613489579</x:v>
      </x:c>
      <x:c r="I4427" s="23" t="n">
        <x:v>0.99950198911427</x:v>
      </x:c>
      <x:c r="J4427" s="2" t="n">
        <x:v>7</x:v>
      </x:c>
      <x:c r="K4427" s="2"/>
      <x:c r="L4427" s="2"/>
    </x:row>
    <x:row r="4428" ht="22" customHeight="1">
      <x:c r="A4428" s="2"/>
      <x:c r="B4428" s="2" t="n">
        <x:v>4395</x:v>
      </x:c>
      <x:c r="C4428" s="2" t="str">
        <x:v>90141E</x:v>
      </x:c>
      <x:c r="D4428" s="2" t="str">
        <x:v>ORANGE PENDANT TRIPLE SHELL NECKLAC</x:v>
      </x:c>
      <x:c r="E4428" s="11" t="n">
        <x:v>50.06</x:v>
      </x:c>
      <x:c r="F4428" s="11" t="n">
        <x:v>0</x:v>
      </x:c>
      <x:c r="G4428" s="11" t="n">
        <x:v>50.06</x:v>
      </x:c>
      <x:c r="H4428" s="23" t="n">
        <x:v>0.0000024379385014144505</x:v>
      </x:c>
      <x:c r="I4428" s="23" t="n">
        <x:v>0.9995044270527714</x:v>
      </x:c>
      <x:c r="J4428" s="2" t="n">
        <x:v>5</x:v>
      </x:c>
      <x:c r="K4428" s="2"/>
      <x:c r="L4428" s="2"/>
    </x:row>
    <x:row r="4429" ht="22" customHeight="1">
      <x:c r="A4429" s="2"/>
      <x:c r="B4429" s="2" t="n">
        <x:v>4396</x:v>
      </x:c>
      <x:c r="C4429" s="2" t="str">
        <x:v>23603</x:v>
      </x:c>
      <x:c r="D4429" s="2" t="str">
        <x:v>SET 10 CARD KRAFT REINDEER 17084</x:v>
      </x:c>
      <x:c r="E4429" s="11" t="n">
        <x:v>49.800000000000004</x:v>
      </x:c>
      <x:c r="F4429" s="11" t="n">
        <x:v>0</x:v>
      </x:c>
      <x:c r="G4429" s="11" t="n">
        <x:v>49.800000000000004</x:v>
      </x:c>
      <x:c r="H4429" s="23" t="n">
        <x:v>0.000002425276415709941</x:v>
      </x:c>
      <x:c r="I4429" s="23" t="n">
        <x:v>0.9995068523291871</x:v>
      </x:c>
      <x:c r="J4429" s="2" t="n">
        <x:v>14</x:v>
      </x:c>
      <x:c r="K4429" s="2"/>
      <x:c r="L4429" s="2"/>
    </x:row>
    <x:row r="4430" ht="22" customHeight="1">
      <x:c r="A4430" s="2"/>
      <x:c r="B4430" s="2" t="n">
        <x:v>4397</x:v>
      </x:c>
      <x:c r="C4430" s="2" t="str">
        <x:v>72129</x:v>
      </x:c>
      <x:c r="D4430" s="2" t="str">
        <x:v>COLUMBIAN CANDLE ROUND </x:v>
      </x:c>
      <x:c r="E4430" s="11" t="n">
        <x:v>49.760000000000005</x:v>
      </x:c>
      <x:c r="F4430" s="11" t="n">
        <x:v>0</x:v>
      </x:c>
      <x:c r="G4430" s="11" t="n">
        <x:v>49.760000000000005</x:v>
      </x:c>
      <x:c r="H4430" s="23" t="n">
        <x:v>0.000002423328402524632</x:v>
      </x:c>
      <x:c r="I4430" s="23" t="n">
        <x:v>0.9995092756575896</x:v>
      </x:c>
      <x:c r="J4430" s="2" t="n">
        <x:v>18</x:v>
      </x:c>
      <x:c r="K4430" s="2"/>
      <x:c r="L4430" s="2"/>
    </x:row>
    <x:row r="4431" ht="22" customHeight="1">
      <x:c r="A4431" s="2"/>
      <x:c r="B4431" s="2" t="n">
        <x:v>4398</x:v>
      </x:c>
      <x:c r="C4431" s="2" t="str">
        <x:v>90052</x:v>
      </x:c>
      <x:c r="D4431" s="2" t="str">
        <x:v>CRACKED GLAZE NECKLACE BROWN</x:v>
      </x:c>
      <x:c r="E4431" s="11" t="n">
        <x:v>49.58</x:v>
      </x:c>
      <x:c r="F4431" s="11" t="n">
        <x:v>0</x:v>
      </x:c>
      <x:c r="G4431" s="11" t="n">
        <x:v>49.58</x:v>
      </x:c>
      <x:c r="H4431" s="23" t="n">
        <x:v>0.0000024145623431907404</x:v>
      </x:c>
      <x:c r="I4431" s="23" t="n">
        <x:v>0.9995116902199328</x:v>
      </x:c>
      <x:c r="J4431" s="2" t="n">
        <x:v>5</x:v>
      </x:c>
      <x:c r="K4431" s="2"/>
      <x:c r="L4431" s="2"/>
    </x:row>
    <x:row r="4432" ht="22" customHeight="1">
      <x:c r="A4432" s="2"/>
      <x:c r="B4432" s="2" t="n">
        <x:v>4399</x:v>
      </x:c>
      <x:c r="C4432" s="2" t="str">
        <x:v>84537B</x:v>
      </x:c>
      <x:c r="D4432" s="2" t="str">
        <x:v>FAIRY CAKES GIFT BAG</x:v>
      </x:c>
      <x:c r="E4432" s="11" t="n">
        <x:v>49.14</x:v>
      </x:c>
      <x:c r="F4432" s="11" t="n">
        <x:v>0</x:v>
      </x:c>
      <x:c r="G4432" s="11" t="n">
        <x:v>49.14</x:v>
      </x:c>
      <x:c r="H4432" s="23" t="n">
        <x:v>0.000002393134198152339</x:v>
      </x:c>
      <x:c r="I4432" s="23" t="n">
        <x:v>0.9995140833541309</x:v>
      </x:c>
      <x:c r="J4432" s="2" t="n">
        <x:v>11</x:v>
      </x:c>
      <x:c r="K4432" s="2"/>
      <x:c r="L4432" s="2"/>
    </x:row>
    <x:row r="4433" ht="22" customHeight="1">
      <x:c r="A4433" s="2"/>
      <x:c r="B4433" s="2" t="n">
        <x:v>4400</x:v>
      </x:c>
      <x:c r="C4433" s="2" t="str">
        <x:v>35644</x:v>
      </x:c>
      <x:c r="D4433" s="2" t="str">
        <x:v>PAIR PINK/BLACK COATHANGERS</x:v>
      </x:c>
      <x:c r="E4433" s="11" t="n">
        <x:v>48.75</x:v>
      </x:c>
      <x:c r="F4433" s="11" t="n">
        <x:v>0</x:v>
      </x:c>
      <x:c r="G4433" s="11" t="n">
        <x:v>48.75</x:v>
      </x:c>
      <x:c r="H4433" s="23" t="n">
        <x:v>0.0000023741410695955748</x:v>
      </x:c>
      <x:c r="I4433" s="23" t="n">
        <x:v>0.9995164574952006</x:v>
      </x:c>
      <x:c r="J4433" s="2" t="n">
        <x:v>7</x:v>
      </x:c>
      <x:c r="K4433" s="2"/>
      <x:c r="L4433" s="2"/>
    </x:row>
    <x:row r="4434" ht="22" customHeight="1">
      <x:c r="A4434" s="2"/>
      <x:c r="B4434" s="2" t="n">
        <x:v>4401</x:v>
      </x:c>
      <x:c r="C4434" s="2" t="str">
        <x:v>90128A</x:v>
      </x:c>
      <x:c r="D4434" s="2" t="str">
        <x:v>PINK LEAVES AND BEADS PHONE CHARM</x:v>
      </x:c>
      <x:c r="E4434" s="11" t="n">
        <x:v>48.71</x:v>
      </x:c>
      <x:c r="F4434" s="11" t="n">
        <x:v>0</x:v>
      </x:c>
      <x:c r="G4434" s="11" t="n">
        <x:v>48.71</x:v>
      </x:c>
      <x:c r="H4434" s="23" t="n">
        <x:v>0.0000023721930564102656</x:v>
      </x:c>
      <x:c r="I4434" s="23" t="n">
        <x:v>0.999518829688257</x:v>
      </x:c>
      <x:c r="J4434" s="2" t="n">
        <x:v>10</x:v>
      </x:c>
      <x:c r="K4434" s="2"/>
      <x:c r="L4434" s="2"/>
    </x:row>
    <x:row r="4435" ht="22" customHeight="1">
      <x:c r="A4435" s="2"/>
      <x:c r="B4435" s="2" t="n">
        <x:v>4402</x:v>
      </x:c>
      <x:c r="C4435" s="2" t="str">
        <x:v>37489A</x:v>
      </x:c>
      <x:c r="D4435" s="2" t="str">
        <x:v>YELLOW/PINK FLOWER DESIGN BIG MUG</x:v>
      </x:c>
      <x:c r="E4435" s="11" t="n">
        <x:v>48.51</x:v>
      </x:c>
      <x:c r="F4435" s="11" t="n">
        <x:v>0</x:v>
      </x:c>
      <x:c r="G4435" s="11" t="n">
        <x:v>48.51</x:v>
      </x:c>
      <x:c r="H4435" s="23" t="n">
        <x:v>0.0000023624529904837195</x:v>
      </x:c>
      <x:c r="I4435" s="23" t="n">
        <x:v>0.9995211921412475</x:v>
      </x:c>
      <x:c r="J4435" s="2" t="n">
        <x:v>23</x:v>
      </x:c>
      <x:c r="K4435" s="2"/>
      <x:c r="L4435" s="2"/>
    </x:row>
    <x:row r="4436" ht="22" customHeight="1">
      <x:c r="A4436" s="2"/>
      <x:c r="B4436" s="2" t="n">
        <x:v>4403</x:v>
      </x:c>
      <x:c r="C4436" s="2" t="str">
        <x:v>35603C</x:v>
      </x:c>
      <x:c r="D4436" s="2" t="str">
        <x:v>SET/16 WHITE SHINY &amp; MATT BAUBLES</x:v>
      </x:c>
      <x:c r="E4436" s="11" t="n">
        <x:v>48.3</x:v>
      </x:c>
      <x:c r="F4436" s="11" t="n">
        <x:v>0</x:v>
      </x:c>
      <x:c r="G4436" s="11" t="n">
        <x:v>48.3</x:v>
      </x:c>
      <x:c r="H4436" s="23" t="n">
        <x:v>0.000002352225921260846</x:v>
      </x:c>
      <x:c r="I4436" s="23" t="n">
        <x:v>0.9995235443671687</x:v>
      </x:c>
      <x:c r="J4436" s="2" t="n">
        <x:v>24</x:v>
      </x:c>
      <x:c r="K4436" s="2"/>
      <x:c r="L4436" s="2"/>
    </x:row>
    <x:row r="4437" ht="22" customHeight="1">
      <x:c r="A4437" s="2"/>
      <x:c r="B4437" s="2" t="n">
        <x:v>4404</x:v>
      </x:c>
      <x:c r="C4437" s="2" t="str">
        <x:v>37491A</x:v>
      </x:c>
      <x:c r="D4437" s="2" t="str">
        <x:v>YELLOW/PINK CERAMIC CANDLE HOLDER</x:v>
      </x:c>
      <x:c r="E4437" s="11" t="n">
        <x:v>48.3</x:v>
      </x:c>
      <x:c r="F4437" s="11" t="n">
        <x:v>0</x:v>
      </x:c>
      <x:c r="G4437" s="11" t="n">
        <x:v>48.3</x:v>
      </x:c>
      <x:c r="H4437" s="23" t="n">
        <x:v>0.000002352225921260846</x:v>
      </x:c>
      <x:c r="I4437" s="23" t="n">
        <x:v>0.99952589659309</x:v>
      </x:c>
      <x:c r="J4437" s="2" t="n">
        <x:v>13</x:v>
      </x:c>
      <x:c r="K4437" s="2"/>
      <x:c r="L4437" s="2"/>
    </x:row>
    <x:row r="4438" ht="22" customHeight="1">
      <x:c r="A4438" s="2"/>
      <x:c r="B4438" s="2" t="n">
        <x:v>4405</x:v>
      </x:c>
      <x:c r="C4438" s="2" t="str">
        <x:v>90083</x:v>
      </x:c>
      <x:c r="D4438" s="2" t="str">
        <x:v>CRYSTAL CZECH CROSS PHONE CHARM</x:v>
      </x:c>
      <x:c r="E4438" s="11" t="n">
        <x:v>48.08</x:v>
      </x:c>
      <x:c r="F4438" s="11" t="n">
        <x:v>0</x:v>
      </x:c>
      <x:c r="G4438" s="11" t="n">
        <x:v>48.08</x:v>
      </x:c>
      <x:c r="H4438" s="23" t="n">
        <x:v>0.0000023415118487416457</x:v>
      </x:c>
      <x:c r="I4438" s="23" t="n">
        <x:v>0.9995282381049387</x:v>
      </x:c>
      <x:c r="J4438" s="2" t="n">
        <x:v>15</x:v>
      </x:c>
      <x:c r="K4438" s="2"/>
      <x:c r="L4438" s="2"/>
    </x:row>
    <x:row r="4439" ht="22" customHeight="1">
      <x:c r="A4439" s="2"/>
      <x:c r="B4439" s="2" t="n">
        <x:v>4406</x:v>
      </x:c>
      <x:c r="C4439" s="2" t="str">
        <x:v>84608</x:v>
      </x:c>
      <x:c r="D4439" s="2" t="str">
        <x:v>ORNATE EDWARDIAN CANDLE HOLDER</x:v>
      </x:c>
      <x:c r="E4439" s="11" t="n">
        <x:v>47.7</x:v>
      </x:c>
      <x:c r="F4439" s="11" t="n">
        <x:v>15.9</x:v>
      </x:c>
      <x:c r="G4439" s="11" t="n">
        <x:v>31.799999999999997</x:v>
      </x:c>
      <x:c r="H4439" s="23" t="n">
        <x:v>0.0000023230057234812085</x:v>
      </x:c>
      <x:c r="I4439" s="23" t="n">
        <x:v>0.9995305611106622</x:v>
      </x:c>
      <x:c r="J4439" s="2" t="n">
        <x:v>4</x:v>
      </x:c>
      <x:c r="K4439" s="2"/>
      <x:c r="L4439" s="2"/>
    </x:row>
    <x:row r="4440" ht="22" customHeight="1">
      <x:c r="A4440" s="2"/>
      <x:c r="B4440" s="2" t="n">
        <x:v>4407</x:v>
      </x:c>
      <x:c r="C4440" s="2" t="str">
        <x:v>21347</x:v>
      </x:c>
      <x:c r="D4440" s="2" t="str">
        <x:v>GOTHIC CARRIAGE LANTERN</x:v>
      </x:c>
      <x:c r="E4440" s="11" t="n">
        <x:v>47.6</x:v>
      </x:c>
      <x:c r="F4440" s="11" t="n">
        <x:v>0</x:v>
      </x:c>
      <x:c r="G4440" s="11" t="n">
        <x:v>47.6</x:v>
      </x:c>
      <x:c r="H4440" s="23" t="n">
        <x:v>0.0000023181356905179356</x:v>
      </x:c>
      <x:c r="I4440" s="23" t="n">
        <x:v>0.9995328792463527</x:v>
      </x:c>
      <x:c r="J4440" s="2" t="n">
        <x:v>4</x:v>
      </x:c>
      <x:c r="K4440" s="2"/>
      <x:c r="L4440" s="2"/>
    </x:row>
    <x:row r="4441" ht="22" customHeight="1">
      <x:c r="A4441" s="2"/>
      <x:c r="B4441" s="2" t="n">
        <x:v>4408</x:v>
      </x:c>
      <x:c r="C4441" s="2" t="str">
        <x:v>85081</x:v>
      </x:c>
      <x:c r="D4441" s="2" t="str">
        <x:v>PADDED HOLLY CHRISTMAS DECORATION </x:v>
      </x:c>
      <x:c r="E4441" s="11" t="n">
        <x:v>47.43</x:v>
      </x:c>
      <x:c r="F4441" s="11" t="n">
        <x:v>0</x:v>
      </x:c>
      <x:c r="G4441" s="11" t="n">
        <x:v>47.43</x:v>
      </x:c>
      <x:c r="H4441" s="23" t="n">
        <x:v>0.000002309856634480371</x:v>
      </x:c>
      <x:c r="I4441" s="23" t="n">
        <x:v>0.9995351891029872</x:v>
      </x:c>
      <x:c r="J4441" s="2" t="n">
        <x:v>21</x:v>
      </x:c>
      <x:c r="K4441" s="2"/>
      <x:c r="L4441" s="2"/>
    </x:row>
    <x:row r="4442" ht="22" customHeight="1">
      <x:c r="A4442" s="2"/>
      <x:c r="B4442" s="2" t="n">
        <x:v>4409</x:v>
      </x:c>
      <x:c r="C4442" s="2" t="str">
        <x:v>20895</x:v>
      </x:c>
      <x:c r="D4442" s="2" t="str">
        <x:v>VINTAGE NOTEBOOK FRENCH LETTER </x:v>
      </x:c>
      <x:c r="E4442" s="11" t="n">
        <x:v>47.20000000000001</x:v>
      </x:c>
      <x:c r="F4442" s="11" t="n">
        <x:v>0</x:v>
      </x:c>
      <x:c r="G4442" s="11" t="n">
        <x:v>47.20000000000001</x:v>
      </x:c>
      <x:c r="H4442" s="23" t="n">
        <x:v>0.000002298655558664844</x:v>
      </x:c>
      <x:c r="I4442" s="23" t="n">
        <x:v>0.9995374877585459</x:v>
      </x:c>
      <x:c r="J4442" s="2" t="n">
        <x:v>4</x:v>
      </x:c>
      <x:c r="K4442" s="2"/>
      <x:c r="L4442" s="2"/>
    </x:row>
    <x:row r="4443" ht="22" customHeight="1">
      <x:c r="A4443" s="2"/>
      <x:c r="B4443" s="2" t="n">
        <x:v>4410</x:v>
      </x:c>
      <x:c r="C4443" s="2" t="str">
        <x:v>35909B</x:v>
      </x:c>
      <x:c r="D4443" s="2" t="str">
        <x:v>PINK FLOWERS RABBIT EASTER</x:v>
      </x:c>
      <x:c r="E4443" s="11" t="n">
        <x:v>47.2</x:v>
      </x:c>
      <x:c r="F4443" s="11" t="n">
        <x:v>0</x:v>
      </x:c>
      <x:c r="G4443" s="11" t="n">
        <x:v>47.2</x:v>
      </x:c>
      <x:c r="H4443" s="23" t="n">
        <x:v>0.000002298655558664844</x:v>
      </x:c>
      <x:c r="I4443" s="23" t="n">
        <x:v>0.9995397864141046</x:v>
      </x:c>
      <x:c r="J4443" s="2" t="n">
        <x:v>6</x:v>
      </x:c>
      <x:c r="K4443" s="2"/>
      <x:c r="L4443" s="2"/>
    </x:row>
    <x:row r="4444" ht="22" customHeight="1">
      <x:c r="A4444" s="2"/>
      <x:c r="B4444" s="2" t="n">
        <x:v>4411</x:v>
      </x:c>
      <x:c r="C4444" s="2" t="str">
        <x:v>90067B</x:v>
      </x:c>
      <x:c r="D4444" s="2" t="str">
        <x:v>BROWN VINTAGE VICTORIAN EARRINGS</x:v>
      </x:c>
      <x:c r="E4444" s="11" t="n">
        <x:v>47.120000000000005</x:v>
      </x:c>
      <x:c r="F4444" s="11" t="n">
        <x:v>0</x:v>
      </x:c>
      <x:c r="G4444" s="11" t="n">
        <x:v>47.120000000000005</x:v>
      </x:c>
      <x:c r="H4444" s="23" t="n">
        <x:v>0.000002294759532294225</x:v>
      </x:c>
      <x:c r="I4444" s="23" t="n">
        <x:v>0.9995420811736369</x:v>
      </x:c>
      <x:c r="J4444" s="2" t="n">
        <x:v>6</x:v>
      </x:c>
      <x:c r="K4444" s="2"/>
      <x:c r="L4444" s="2"/>
    </x:row>
    <x:row r="4445" ht="22" customHeight="1">
      <x:c r="A4445" s="2"/>
      <x:c r="B4445" s="2" t="n">
        <x:v>4412</x:v>
      </x:c>
      <x:c r="C4445" s="2" t="str">
        <x:v>37462E</x:v>
      </x:c>
      <x:c r="D4445" s="2" t="str">
        <x:v>PET MUG, GOLDFISH</x:v>
      </x:c>
      <x:c r="E4445" s="11" t="n">
        <x:v>47.12</x:v>
      </x:c>
      <x:c r="F4445" s="11" t="n">
        <x:v>2.52</x:v>
      </x:c>
      <x:c r="G4445" s="11" t="n">
        <x:v>44.6</x:v>
      </x:c>
      <x:c r="H4445" s="23" t="n">
        <x:v>0.000002294759532294225</x:v>
      </x:c>
      <x:c r="I4445" s="23" t="n">
        <x:v>0.9995443759331691</x:v>
      </x:c>
      <x:c r="J4445" s="2" t="n">
        <x:v>28</x:v>
      </x:c>
      <x:c r="K4445" s="2"/>
      <x:c r="L4445" s="2"/>
    </x:row>
    <x:row r="4446" ht="22" customHeight="1">
      <x:c r="A4446" s="2"/>
      <x:c r="B4446" s="2" t="n">
        <x:v>4413</x:v>
      </x:c>
      <x:c r="C4446" s="2" t="str">
        <x:v>84227</x:v>
      </x:c>
      <x:c r="D4446" s="2" t="str">
        <x:v>HEN HOUSE W CHICK IN NEST</x:v>
      </x:c>
      <x:c r="E4446" s="11" t="n">
        <x:v>47.04</x:v>
      </x:c>
      <x:c r="F4446" s="11" t="n">
        <x:v>0</x:v>
      </x:c>
      <x:c r="G4446" s="11" t="n">
        <x:v>47.04</x:v>
      </x:c>
      <x:c r="H4446" s="23" t="n">
        <x:v>0.000002290863505923607</x:v>
      </x:c>
      <x:c r="I4446" s="23" t="n">
        <x:v>0.999546666796675</x:v>
      </x:c>
      <x:c r="J4446" s="2" t="n">
        <x:v>13</x:v>
      </x:c>
      <x:c r="K4446" s="2"/>
      <x:c r="L4446" s="2"/>
    </x:row>
    <x:row r="4447" ht="22" customHeight="1">
      <x:c r="A4447" s="2"/>
      <x:c r="B4447" s="2" t="n">
        <x:v>4414</x:v>
      </x:c>
      <x:c r="C4447" s="2" t="str">
        <x:v>90181C</x:v>
      </x:c>
      <x:c r="D4447" s="2" t="str">
        <x:v>BLACK GLASS/SHELL/PEARL NECKLACE</x:v>
      </x:c>
      <x:c r="E4447" s="11" t="n">
        <x:v>46.93</x:v>
      </x:c>
      <x:c r="F4447" s="11" t="n">
        <x:v>0</x:v>
      </x:c>
      <x:c r="G4447" s="11" t="n">
        <x:v>46.93</x:v>
      </x:c>
      <x:c r="H4447" s="23" t="n">
        <x:v>0.0000022855064696640065</x:v>
      </x:c>
      <x:c r="I4447" s="23" t="n">
        <x:v>0.9995489523031447</x:v>
      </x:c>
      <x:c r="J4447" s="2" t="n">
        <x:v>5</x:v>
      </x:c>
      <x:c r="K4447" s="2"/>
      <x:c r="L4447" s="2"/>
    </x:row>
    <x:row r="4448" ht="22" customHeight="1">
      <x:c r="A4448" s="2"/>
      <x:c r="B4448" s="2" t="n">
        <x:v>4415</x:v>
      </x:c>
      <x:c r="C4448" s="2" t="str">
        <x:v>84596f</x:v>
      </x:c>
      <x:c r="D4448" s="2" t="str">
        <x:v>SMALL MARSHMALLOWS PINK BOWL</x:v>
      </x:c>
      <x:c r="E4448" s="11" t="n">
        <x:v>46.89</x:v>
      </x:c>
      <x:c r="F4448" s="11" t="n">
        <x:v>0</x:v>
      </x:c>
      <x:c r="G4448" s="11" t="n">
        <x:v>46.89</x:v>
      </x:c>
      <x:c r="H4448" s="23" t="n">
        <x:v>0.0000022835584564786974</x:v>
      </x:c>
      <x:c r="I4448" s="23" t="n">
        <x:v>0.9995512358616011</x:v>
      </x:c>
      <x:c r="J4448" s="2" t="n">
        <x:v>14</x:v>
      </x:c>
      <x:c r="K4448" s="2"/>
      <x:c r="L4448" s="2"/>
    </x:row>
    <x:row r="4449" ht="22" customHeight="1">
      <x:c r="A4449" s="2"/>
      <x:c r="B4449" s="2" t="n">
        <x:v>4416</x:v>
      </x:c>
      <x:c r="C4449" s="2" t="str">
        <x:v>84857B</x:v>
      </x:c>
      <x:c r="D4449" s="2" t="str">
        <x:v>BLUE MONTE CARLO HANDBAG</x:v>
      </x:c>
      <x:c r="E4449" s="11" t="n">
        <x:v>46.8</x:v>
      </x:c>
      <x:c r="F4449" s="11" t="n">
        <x:v>3.9</x:v>
      </x:c>
      <x:c r="G4449" s="11" t="n">
        <x:v>42.9</x:v>
      </x:c>
      <x:c r="H4449" s="23" t="n">
        <x:v>0.0000022791754268117516</x:v>
      </x:c>
      <x:c r="I4449" s="23" t="n">
        <x:v>0.9995535150370279</x:v>
      </x:c>
      <x:c r="J4449" s="2" t="n">
        <x:v>1</x:v>
      </x:c>
      <x:c r="K4449" s="2"/>
      <x:c r="L4449" s="2"/>
    </x:row>
    <x:row r="4450" ht="22" customHeight="1">
      <x:c r="A4450" s="2"/>
      <x:c r="B4450" s="2" t="n">
        <x:v>4417</x:v>
      </x:c>
      <x:c r="C4450" s="2" t="str">
        <x:v>20988</x:v>
      </x:c>
      <x:c r="D4450" s="2" t="str">
        <x:v>TRELLIS FLOWER CHOPSTICKS SET/5</x:v>
      </x:c>
      <x:c r="E4450" s="11" t="n">
        <x:v>46.8</x:v>
      </x:c>
      <x:c r="F4450" s="11" t="n">
        <x:v>0</x:v>
      </x:c>
      <x:c r="G4450" s="11" t="n">
        <x:v>46.8</x:v>
      </x:c>
      <x:c r="H4450" s="23" t="n">
        <x:v>0.0000022791754268117516</x:v>
      </x:c>
      <x:c r="I4450" s="23" t="n">
        <x:v>0.9995557942124548</x:v>
      </x:c>
      <x:c r="J4450" s="2" t="n">
        <x:v>9</x:v>
      </x:c>
      <x:c r="K4450" s="2"/>
      <x:c r="L4450" s="2"/>
    </x:row>
    <x:row r="4451" ht="22" customHeight="1">
      <x:c r="A4451" s="2"/>
      <x:c r="B4451" s="2" t="n">
        <x:v>4418</x:v>
      </x:c>
      <x:c r="C4451" s="2" t="str">
        <x:v>90001C</x:v>
      </x:c>
      <x:c r="D4451" s="2" t="str">
        <x:v>ANTIQUE OPAL WHITE FLOWER EARRINGS</x:v>
      </x:c>
      <x:c r="E4451" s="11" t="n">
        <x:v>46.7</x:v>
      </x:c>
      <x:c r="F4451" s="11" t="n">
        <x:v>0</x:v>
      </x:c>
      <x:c r="G4451" s="11" t="n">
        <x:v>46.7</x:v>
      </x:c>
      <x:c r="H4451" s="23" t="n">
        <x:v>0.0000022743053938484788</x:v>
      </x:c>
      <x:c r="I4451" s="23" t="n">
        <x:v>0.9995580685178487</x:v>
      </x:c>
      <x:c r="J4451" s="2" t="n">
        <x:v>10</x:v>
      </x:c>
      <x:c r="K4451" s="2"/>
      <x:c r="L4451" s="2"/>
    </x:row>
    <x:row r="4452" ht="22" customHeight="1">
      <x:c r="A4452" s="2"/>
      <x:c r="B4452" s="2" t="n">
        <x:v>4419</x:v>
      </x:c>
      <x:c r="C4452" s="2" t="str">
        <x:v>90001A</x:v>
      </x:c>
      <x:c r="D4452" s="2" t="str">
        <x:v>ANTIQUE RASPBERRY FLOWER EARRINGS</x:v>
      </x:c>
      <x:c r="E4452" s="11" t="n">
        <x:v>46.6</x:v>
      </x:c>
      <x:c r="F4452" s="11" t="n">
        <x:v>0</x:v>
      </x:c>
      <x:c r="G4452" s="11" t="n">
        <x:v>46.6</x:v>
      </x:c>
      <x:c r="H4452" s="23" t="n">
        <x:v>0.000002269435360885206</x:v>
      </x:c>
      <x:c r="I4452" s="23" t="n">
        <x:v>0.9995603379532095</x:v>
      </x:c>
      <x:c r="J4452" s="2" t="n">
        <x:v>10</x:v>
      </x:c>
      <x:c r="K4452" s="2"/>
      <x:c r="L4452" s="2"/>
    </x:row>
    <x:row r="4453" ht="22" customHeight="1">
      <x:c r="A4453" s="2"/>
      <x:c r="B4453" s="2" t="n">
        <x:v>4420</x:v>
      </x:c>
      <x:c r="C4453" s="2" t="str">
        <x:v>84705F</x:v>
      </x:c>
      <x:c r="D4453" s="2" t="str">
        <x:v>RED PEONY PHOTO FRAME </x:v>
      </x:c>
      <x:c r="E4453" s="11" t="n">
        <x:v>46.5</x:v>
      </x:c>
      <x:c r="F4453" s="11" t="n">
        <x:v>0</x:v>
      </x:c>
      <x:c r="G4453" s="11" t="n">
        <x:v>46.5</x:v>
      </x:c>
      <x:c r="H4453" s="23" t="n">
        <x:v>0.0000022645653279219327</x:v>
      </x:c>
      <x:c r="I4453" s="23" t="n">
        <x:v>0.9995626025185375</x:v>
      </x:c>
      <x:c r="J4453" s="2" t="n">
        <x:v>5</x:v>
      </x:c>
      <x:c r="K4453" s="2"/>
      <x:c r="L4453" s="2"/>
    </x:row>
    <x:row r="4454" ht="22" customHeight="1">
      <x:c r="A4454" s="2"/>
      <x:c r="B4454" s="2" t="n">
        <x:v>4421</x:v>
      </x:c>
      <x:c r="C4454" s="2" t="str">
        <x:v>16050</x:v>
      </x:c>
      <x:c r="D4454" s="2" t="str">
        <x:v>TEATIME PENCIL WITH RUBBER</x:v>
      </x:c>
      <x:c r="E4454" s="11" t="n">
        <x:v>46.45</x:v>
      </x:c>
      <x:c r="F4454" s="11" t="n">
        <x:v>0</x:v>
      </x:c>
      <x:c r="G4454" s="11" t="n">
        <x:v>46.45</x:v>
      </x:c>
      <x:c r="H4454" s="23" t="n">
        <x:v>0.0000022621303114402965</x:v>
      </x:c>
      <x:c r="I4454" s="23" t="n">
        <x:v>0.9995648646488489</x:v>
      </x:c>
      <x:c r="J4454" s="2" t="n">
        <x:v>8</x:v>
      </x:c>
      <x:c r="K4454" s="2"/>
      <x:c r="L4454" s="2"/>
    </x:row>
    <x:row r="4455" ht="22" customHeight="1">
      <x:c r="A4455" s="2"/>
      <x:c r="B4455" s="2" t="n">
        <x:v>4422</x:v>
      </x:c>
      <x:c r="C4455" s="2" t="str">
        <x:v>47341A</x:v>
      </x:c>
      <x:c r="D4455" s="2" t="str">
        <x:v>FUSCHIA TABLE RUN FLOWER </x:v>
      </x:c>
      <x:c r="E4455" s="11" t="n">
        <x:v>46.25</x:v>
      </x:c>
      <x:c r="F4455" s="11" t="n">
        <x:v>0</x:v>
      </x:c>
      <x:c r="G4455" s="11" t="n">
        <x:v>46.25</x:v>
      </x:c>
      <x:c r="H4455" s="23" t="n">
        <x:v>0.0000022523902455137504</x:v>
      </x:c>
      <x:c r="I4455" s="23" t="n">
        <x:v>0.9995671170390944</x:v>
      </x:c>
      <x:c r="J4455" s="2" t="n">
        <x:v>7</x:v>
      </x:c>
      <x:c r="K4455" s="2"/>
      <x:c r="L4455" s="2"/>
    </x:row>
    <x:row r="4456" ht="22" customHeight="1">
      <x:c r="A4456" s="2"/>
      <x:c r="B4456" s="2" t="n">
        <x:v>4423</x:v>
      </x:c>
      <x:c r="C4456" s="2" t="str">
        <x:v>72024U</x:v>
      </x:c>
      <x:c r="D4456" s="2" t="str">
        <x:v>LILAC VOTIVE CANDLE</x:v>
      </x:c>
      <x:c r="E4456" s="11" t="n">
        <x:v>46.2</x:v>
      </x:c>
      <x:c r="F4456" s="11" t="n">
        <x:v>0</x:v>
      </x:c>
      <x:c r="G4456" s="11" t="n">
        <x:v>46.2</x:v>
      </x:c>
      <x:c r="H4456" s="23" t="n">
        <x:v>0.0000022499552290321137</x:v>
      </x:c>
      <x:c r="I4456" s="23" t="n">
        <x:v>0.9995693669943234</x:v>
      </x:c>
      <x:c r="J4456" s="2" t="n">
        <x:v>11</x:v>
      </x:c>
      <x:c r="K4456" s="2"/>
      <x:c r="L4456" s="2"/>
    </x:row>
    <x:row r="4457" ht="22" customHeight="1">
      <x:c r="A4457" s="2"/>
      <x:c r="B4457" s="2" t="n">
        <x:v>4424</x:v>
      </x:c>
      <x:c r="C4457" s="2" t="str">
        <x:v>85132c</x:v>
      </x:c>
      <x:c r="D4457" s="2" t="str">
        <x:v>CHARLIE AND LOLA FIGURES TINS</x:v>
      </x:c>
      <x:c r="E4457" s="11" t="n">
        <x:v>46.099999999999994</x:v>
      </x:c>
      <x:c r="F4457" s="11" t="n">
        <x:v>0</x:v>
      </x:c>
      <x:c r="G4457" s="11" t="n">
        <x:v>46.099999999999994</x:v>
      </x:c>
      <x:c r="H4457" s="23" t="n">
        <x:v>0.0000022450851960688405</x:v>
      </x:c>
      <x:c r="I4457" s="23" t="n">
        <x:v>0.9995716120795195</x:v>
      </x:c>
      <x:c r="J4457" s="2" t="n">
        <x:v>4</x:v>
      </x:c>
      <x:c r="K4457" s="2"/>
      <x:c r="L4457" s="2"/>
    </x:row>
    <x:row r="4458" ht="22" customHeight="1">
      <x:c r="A4458" s="2"/>
      <x:c r="B4458" s="2" t="n">
        <x:v>4425</x:v>
      </x:c>
      <x:c r="C4458" s="2" t="str">
        <x:v>84626</x:v>
      </x:c>
      <x:c r="D4458" s="2" t="str">
        <x:v>CANDY STRIPE ROSE QUILT</x:v>
      </x:c>
      <x:c r="E4458" s="11" t="n">
        <x:v>45.95</x:v>
      </x:c>
      <x:c r="F4458" s="11" t="n">
        <x:v>0</x:v>
      </x:c>
      <x:c r="G4458" s="11" t="n">
        <x:v>45.95</x:v>
      </x:c>
      <x:c r="H4458" s="23" t="n">
        <x:v>0.0000022377801466239314</x:v>
      </x:c>
      <x:c r="I4458" s="23" t="n">
        <x:v>0.9995738498596661</x:v>
      </x:c>
      <x:c r="J4458" s="2" t="n">
        <x:v>1</x:v>
      </x:c>
      <x:c r="K4458" s="2"/>
      <x:c r="L4458" s="2"/>
    </x:row>
    <x:row r="4459" ht="22" customHeight="1">
      <x:c r="A4459" s="2"/>
      <x:c r="B4459" s="2" t="n">
        <x:v>4426</x:v>
      </x:c>
      <x:c r="C4459" s="2" t="str">
        <x:v>18097A</x:v>
      </x:c>
      <x:c r="D4459" s="2" t="str">
        <x:v>PINK TALL PORCELAIN T-LIGHT HOLDER </x:v>
      </x:c>
      <x:c r="E4459" s="11" t="n">
        <x:v>45.9</x:v>
      </x:c>
      <x:c r="F4459" s="11" t="n">
        <x:v>0</x:v>
      </x:c>
      <x:c r="G4459" s="11" t="n">
        <x:v>45.9</x:v>
      </x:c>
      <x:c r="H4459" s="23" t="n">
        <x:v>0.000002235345130142295</x:v>
      </x:c>
      <x:c r="I4459" s="23" t="n">
        <x:v>0.9995760852047962</x:v>
      </x:c>
      <x:c r="J4459" s="2" t="n">
        <x:v>12</x:v>
      </x:c>
      <x:c r="K4459" s="2"/>
      <x:c r="L4459" s="2"/>
    </x:row>
    <x:row r="4460" ht="22" customHeight="1">
      <x:c r="A4460" s="2"/>
      <x:c r="B4460" s="2" t="n">
        <x:v>4427</x:v>
      </x:c>
      <x:c r="C4460" s="2" t="str">
        <x:v>35611B</x:v>
      </x:c>
      <x:c r="D4460" s="2" t="str">
        <x:v>thrown away</x:v>
      </x:c>
      <x:c r="E4460" s="11" t="n">
        <x:v>45.760000000000005</x:v>
      </x:c>
      <x:c r="F4460" s="11" t="n">
        <x:v>0</x:v>
      </x:c>
      <x:c r="G4460" s="11" t="n">
        <x:v>45.760000000000005</x:v>
      </x:c>
      <x:c r="H4460" s="23" t="n">
        <x:v>0.000002228527083993713</x:v>
      </x:c>
      <x:c r="I4460" s="23" t="n">
        <x:v>0.9995783137318802</x:v>
      </x:c>
      <x:c r="J4460" s="2" t="n">
        <x:v>3</x:v>
      </x:c>
      <x:c r="K4460" s="2"/>
      <x:c r="L4460" s="2"/>
    </x:row>
    <x:row r="4461" ht="22" customHeight="1">
      <x:c r="A4461" s="2"/>
      <x:c r="B4461" s="2" t="n">
        <x:v>4428</x:v>
      </x:c>
      <x:c r="C4461" s="2" t="str">
        <x:v>35233</x:v>
      </x:c>
      <x:c r="D4461" s="2" t="str">
        <x:v>PASTA ENAMEL/BRASS CONTAINER</x:v>
      </x:c>
      <x:c r="E4461" s="11" t="n">
        <x:v>45</x:v>
      </x:c>
      <x:c r="F4461" s="11" t="n">
        <x:v>0</x:v>
      </x:c>
      <x:c r="G4461" s="11" t="n">
        <x:v>45</x:v>
      </x:c>
      <x:c r="H4461" s="23" t="n">
        <x:v>0.000002191514833472838</x:v>
      </x:c>
      <x:c r="I4461" s="23" t="n">
        <x:v>0.9995805052467137</x:v>
      </x:c>
      <x:c r="J4461" s="2" t="n">
        <x:v>8</x:v>
      </x:c>
      <x:c r="K4461" s="2"/>
      <x:c r="L4461" s="2"/>
    </x:row>
    <x:row r="4462" ht="22" customHeight="1">
      <x:c r="A4462" s="2"/>
      <x:c r="B4462" s="2" t="n">
        <x:v>4429</x:v>
      </x:c>
      <x:c r="C4462" s="2" t="str">
        <x:v>16161C</x:v>
      </x:c>
      <x:c r="D4462" s="2" t="str">
        <x:v>WRAP SPEED DEMONS </x:v>
      </x:c>
      <x:c r="E4462" s="11" t="n">
        <x:v>45</x:v>
      </x:c>
      <x:c r="F4462" s="11" t="n">
        <x:v>0</x:v>
      </x:c>
      <x:c r="G4462" s="11" t="n">
        <x:v>45</x:v>
      </x:c>
      <x:c r="H4462" s="23" t="n">
        <x:v>0.000002191514833472838</x:v>
      </x:c>
      <x:c r="I4462" s="23" t="n">
        <x:v>0.9995826967615472</x:v>
      </x:c>
      <x:c r="J4462" s="2" t="n">
        <x:v>2</x:v>
      </x:c>
      <x:c r="K4462" s="2"/>
      <x:c r="L4462" s="2"/>
    </x:row>
    <x:row r="4463" ht="22" customHeight="1">
      <x:c r="A4463" s="2"/>
      <x:c r="B4463" s="2" t="n">
        <x:v>4430</x:v>
      </x:c>
      <x:c r="C4463" s="2" t="str">
        <x:v>72724</x:v>
      </x:c>
      <x:c r="D4463" s="2" t="str">
        <x:v>SET/6 CHRISTMAS ICICLE T-LIGHTS</x:v>
      </x:c>
      <x:c r="E4463" s="11" t="n">
        <x:v>45</x:v>
      </x:c>
      <x:c r="F4463" s="11" t="n">
        <x:v>0</x:v>
      </x:c>
      <x:c r="G4463" s="11" t="n">
        <x:v>45</x:v>
      </x:c>
      <x:c r="H4463" s="23" t="n">
        <x:v>0.000002191514833472838</x:v>
      </x:c>
      <x:c r="I4463" s="23" t="n">
        <x:v>0.9995848882763807</x:v>
      </x:c>
      <x:c r="J4463" s="2" t="n">
        <x:v>10</x:v>
      </x:c>
      <x:c r="K4463" s="2"/>
      <x:c r="L4463" s="2"/>
    </x:row>
    <x:row r="4464" ht="22" customHeight="1">
      <x:c r="A4464" s="2"/>
      <x:c r="B4464" s="2" t="n">
        <x:v>4431</x:v>
      </x:c>
      <x:c r="C4464" s="2" t="str">
        <x:v>23625</x:v>
      </x:c>
      <x:c r="D4464" s="2" t="str">
        <x:v>SET 6 CARDS SPARKLY REINDEER 17262</x:v>
      </x:c>
      <x:c r="E4464" s="11" t="n">
        <x:v>44.910000000000004</x:v>
      </x:c>
      <x:c r="F4464" s="11" t="n">
        <x:v>0</x:v>
      </x:c>
      <x:c r="G4464" s="11" t="n">
        <x:v>44.910000000000004</x:v>
      </x:c>
      <x:c r="H4464" s="23" t="n">
        <x:v>0.0000021871318038058926</x:v>
      </x:c>
      <x:c r="I4464" s="23" t="n">
        <x:v>0.9995870754081845</x:v>
      </x:c>
      <x:c r="J4464" s="2" t="n">
        <x:v>4</x:v>
      </x:c>
      <x:c r="K4464" s="2"/>
      <x:c r="L4464" s="2"/>
    </x:row>
    <x:row r="4465" ht="22" customHeight="1">
      <x:c r="A4465" s="2"/>
      <x:c r="B4465" s="2" t="n">
        <x:v>4432</x:v>
      </x:c>
      <x:c r="C4465" s="2" t="str">
        <x:v>90059B</x:v>
      </x:c>
      <x:c r="D4465" s="2" t="str">
        <x:v>DIAMANTE HAIR GRIP PACK/2 BLACK DIA</x:v>
      </x:c>
      <x:c r="E4465" s="11" t="n">
        <x:v>44.87</x:v>
      </x:c>
      <x:c r="F4465" s="11" t="n">
        <x:v>9.899999999999999</x:v>
      </x:c>
      <x:c r="G4465" s="11" t="n">
        <x:v>34.97</x:v>
      </x:c>
      <x:c r="H4465" s="23" t="n">
        <x:v>0.000002185183790620583</x:v>
      </x:c>
      <x:c r="I4465" s="23" t="n">
        <x:v>0.9995892605919751</x:v>
      </x:c>
      <x:c r="J4465" s="2" t="n">
        <x:v>16</x:v>
      </x:c>
      <x:c r="K4465" s="2"/>
      <x:c r="L4465" s="2"/>
    </x:row>
    <x:row r="4466" ht="22" customHeight="1">
      <x:c r="A4466" s="2"/>
      <x:c r="B4466" s="2" t="n">
        <x:v>4433</x:v>
      </x:c>
      <x:c r="C4466" s="2" t="str">
        <x:v>21685</x:v>
      </x:c>
      <x:c r="D4466" s="2" t="str">
        <x:v>MEDINA STAMPED METAL TRAY </x:v>
      </x:c>
      <x:c r="E4466" s="11" t="n">
        <x:v>44.849999999999994</x:v>
      </x:c>
      <x:c r="F4466" s="11" t="n">
        <x:v>14.95</x:v>
      </x:c>
      <x:c r="G4466" s="11" t="n">
        <x:v>29.9</x:v>
      </x:c>
      <x:c r="H4466" s="23" t="n">
        <x:v>0.0000021842097840279285</x:v>
      </x:c>
      <x:c r="I4466" s="23" t="n">
        <x:v>0.9995914448017591</x:v>
      </x:c>
      <x:c r="J4466" s="2" t="n">
        <x:v>2</x:v>
      </x:c>
      <x:c r="K4466" s="2"/>
      <x:c r="L4466" s="2"/>
    </x:row>
    <x:row r="4467" ht="22" customHeight="1">
      <x:c r="A4467" s="2"/>
      <x:c r="B4467" s="2" t="n">
        <x:v>4434</x:v>
      </x:c>
      <x:c r="C4467" s="2" t="str">
        <x:v>90135</x:v>
      </x:c>
      <x:c r="D4467" s="2" t="str">
        <x:v>ORANGE/WHT/FUSCHIA STONES NECKLACE</x:v>
      </x:c>
      <x:c r="E4467" s="11" t="n">
        <x:v>44.75</x:v>
      </x:c>
      <x:c r="F4467" s="11" t="n">
        <x:v>0</x:v>
      </x:c>
      <x:c r="G4467" s="11" t="n">
        <x:v>44.75</x:v>
      </x:c>
      <x:c r="H4467" s="23" t="n">
        <x:v>0.0000021793397510646556</x:v>
      </x:c>
      <x:c r="I4467" s="23" t="n">
        <x:v>0.9995936241415102</x:v>
      </x:c>
      <x:c r="J4467" s="2" t="n">
        <x:v>3</x:v>
      </x:c>
      <x:c r="K4467" s="2"/>
      <x:c r="L4467" s="2"/>
    </x:row>
    <x:row r="4468" ht="22" customHeight="1">
      <x:c r="A4468" s="2"/>
      <x:c r="B4468" s="2" t="n">
        <x:v>4435</x:v>
      </x:c>
      <x:c r="C4468" s="2" t="str">
        <x:v>90197D</x:v>
      </x:c>
      <x:c r="D4468" s="2" t="str">
        <x:v>AMBER GLASS BRACELET HEART CHARMS</x:v>
      </x:c>
      <x:c r="E4468" s="11" t="n">
        <x:v>44.550000000000004</x:v>
      </x:c>
      <x:c r="F4468" s="11" t="n">
        <x:v>0</x:v>
      </x:c>
      <x:c r="G4468" s="11" t="n">
        <x:v>44.550000000000004</x:v>
      </x:c>
      <x:c r="H4468" s="23" t="n">
        <x:v>0.00000216959968513811</x:v>
      </x:c>
      <x:c r="I4468" s="23" t="n">
        <x:v>0.9995957937411953</x:v>
      </x:c>
      <x:c r="J4468" s="2" t="n">
        <x:v>4</x:v>
      </x:c>
      <x:c r="K4468" s="2"/>
      <x:c r="L4468" s="2"/>
    </x:row>
    <x:row r="4469" ht="22" customHeight="1">
      <x:c r="A4469" s="2"/>
      <x:c r="B4469" s="2" t="n">
        <x:v>4436</x:v>
      </x:c>
      <x:c r="C4469" s="2" t="str">
        <x:v>72796B</x:v>
      </x:c>
      <x:c r="D4469" s="2" t="str">
        <x:v>S/3 FRENCH VANILLA SQU CANDLE</x:v>
      </x:c>
      <x:c r="E4469" s="11" t="n">
        <x:v>44.55</x:v>
      </x:c>
      <x:c r="F4469" s="11" t="n">
        <x:v>0</x:v>
      </x:c>
      <x:c r="G4469" s="11" t="n">
        <x:v>44.55</x:v>
      </x:c>
      <x:c r="H4469" s="23" t="n">
        <x:v>0.0000021695996851381095</x:v>
      </x:c>
      <x:c r="I4469" s="23" t="n">
        <x:v>0.9995979633408805</x:v>
      </x:c>
      <x:c r="J4469" s="2" t="n">
        <x:v>12</x:v>
      </x:c>
      <x:c r="K4469" s="2"/>
      <x:c r="L4469" s="2"/>
    </x:row>
    <x:row r="4470" ht="22" customHeight="1">
      <x:c r="A4470" s="2"/>
      <x:c r="B4470" s="2" t="n">
        <x:v>4437</x:v>
      </x:c>
      <x:c r="C4470" s="2" t="str">
        <x:v>90011A</x:v>
      </x:c>
      <x:c r="D4470" s="2" t="str">
        <x:v>MIDNIGHT BLUE CRYSTAL DROP EARRINGS</x:v>
      </x:c>
      <x:c r="E4470" s="11" t="n">
        <x:v>44.28</x:v>
      </x:c>
      <x:c r="F4470" s="11" t="n">
        <x:v>0</x:v>
      </x:c>
      <x:c r="G4470" s="11" t="n">
        <x:v>44.28</x:v>
      </x:c>
      <x:c r="H4470" s="23" t="n">
        <x:v>0.0000021564505961372727</x:v>
      </x:c>
      <x:c r="I4470" s="23" t="n">
        <x:v>0.9996001197914766</x:v>
      </x:c>
      <x:c r="J4470" s="2" t="n">
        <x:v>15</x:v>
      </x:c>
      <x:c r="K4470" s="2"/>
      <x:c r="L4470" s="2"/>
    </x:row>
    <x:row r="4471" ht="22" customHeight="1">
      <x:c r="A4471" s="2"/>
      <x:c r="B4471" s="2" t="n">
        <x:v>4438</x:v>
      </x:c>
      <x:c r="C4471" s="2" t="str">
        <x:v>84586L</x:v>
      </x:c>
      <x:c r="D4471" s="2" t="str">
        <x:v>PINK ROSES/GINGHAM PATCH RABBIT 8"</x:v>
      </x:c>
      <x:c r="E4471" s="11" t="n">
        <x:v>44.25000000000001</x:v>
      </x:c>
      <x:c r="F4471" s="11" t="n">
        <x:v>0</x:v>
      </x:c>
      <x:c r="G4471" s="11" t="n">
        <x:v>44.25000000000001</x:v>
      </x:c>
      <x:c r="H4471" s="23" t="n">
        <x:v>0.000002154989586248291</x:v>
      </x:c>
      <x:c r="I4471" s="23" t="n">
        <x:v>0.9996022747810628</x:v>
      </x:c>
      <x:c r="J4471" s="2" t="n">
        <x:v>9</x:v>
      </x:c>
      <x:c r="K4471" s="2"/>
      <x:c r="L4471" s="2"/>
    </x:row>
    <x:row r="4472" ht="22" customHeight="1">
      <x:c r="A4472" s="2"/>
      <x:c r="B4472" s="2" t="n">
        <x:v>4439</x:v>
      </x:c>
      <x:c r="C4472" s="2" t="str">
        <x:v>35085E</x:v>
      </x:c>
      <x:c r="D4472" s="2" t="str">
        <x:v>IVORY ROSE LAMPSHADE </x:v>
      </x:c>
      <x:c r="E4472" s="11" t="n">
        <x:v>44.25</x:v>
      </x:c>
      <x:c r="F4472" s="11" t="n">
        <x:v>0</x:v>
      </x:c>
      <x:c r="G4472" s="11" t="n">
        <x:v>44.25</x:v>
      </x:c>
      <x:c r="H4472" s="23" t="n">
        <x:v>0.0000021549895862482906</x:v>
      </x:c>
      <x:c r="I4472" s="23" t="n">
        <x:v>0.999604429770649</x:v>
      </x:c>
      <x:c r="J4472" s="2" t="n">
        <x:v>9</x:v>
      </x:c>
      <x:c r="K4472" s="2"/>
      <x:c r="L4472" s="2"/>
    </x:row>
    <x:row r="4473" ht="22" customHeight="1">
      <x:c r="A4473" s="2"/>
      <x:c r="B4473" s="2" t="n">
        <x:v>4440</x:v>
      </x:c>
      <x:c r="C4473" s="2" t="str">
        <x:v>90125E</x:v>
      </x:c>
      <x:c r="D4473" s="2" t="str">
        <x:v>AMBER BERTIE GLASS BEAD BAG CHARM</x:v>
      </x:c>
      <x:c r="E4473" s="11" t="n">
        <x:v>44.19</x:v>
      </x:c>
      <x:c r="F4473" s="11" t="n">
        <x:v>0</x:v>
      </x:c>
      <x:c r="G4473" s="11" t="n">
        <x:v>44.19</x:v>
      </x:c>
      <x:c r="H4473" s="23" t="n">
        <x:v>0.000002152067566470327</x:v>
      </x:c>
      <x:c r="I4473" s="23" t="n">
        <x:v>0.9996065818382155</x:v>
      </x:c>
      <x:c r="J4473" s="2" t="n">
        <x:v>17</x:v>
      </x:c>
      <x:c r="K4473" s="2"/>
      <x:c r="L4473" s="2"/>
    </x:row>
    <x:row r="4474" ht="22" customHeight="1">
      <x:c r="A4474" s="2"/>
      <x:c r="B4474" s="2" t="n">
        <x:v>4441</x:v>
      </x:c>
      <x:c r="C4474" s="2" t="str">
        <x:v>35815B</x:v>
      </x:c>
      <x:c r="D4474" s="2" t="str">
        <x:v>ACRYLIC JEWEL SNOWFLAKE,BLUE</x:v>
      </x:c>
      <x:c r="E4474" s="11" t="n">
        <x:v>43.940000000000005</x:v>
      </x:c>
      <x:c r="F4474" s="11" t="n">
        <x:v>0</x:v>
      </x:c>
      <x:c r="G4474" s="11" t="n">
        <x:v>43.940000000000005</x:v>
      </x:c>
      <x:c r="H4474" s="23" t="n">
        <x:v>0.000002139892484062145</x:v>
      </x:c>
      <x:c r="I4474" s="23" t="n">
        <x:v>0.9996087217306996</x:v>
      </x:c>
      <x:c r="J4474" s="2" t="n">
        <x:v>3</x:v>
      </x:c>
      <x:c r="K4474" s="2"/>
      <x:c r="L4474" s="2"/>
    </x:row>
    <x:row r="4475" ht="22" customHeight="1">
      <x:c r="A4475" s="2"/>
      <x:c r="B4475" s="2" t="n">
        <x:v>4442</x:v>
      </x:c>
      <x:c r="C4475" s="2" t="str">
        <x:v>17014C</x:v>
      </x:c>
      <x:c r="D4475" s="2" t="str">
        <x:v>ORIGAMI LAVENDER INCENSE CONES</x:v>
      </x:c>
      <x:c r="E4475" s="11" t="n">
        <x:v>43.75</x:v>
      </x:c>
      <x:c r="F4475" s="11" t="n">
        <x:v>0</x:v>
      </x:c>
      <x:c r="G4475" s="11" t="n">
        <x:v>43.75</x:v>
      </x:c>
      <x:c r="H4475" s="23" t="n">
        <x:v>0.000002130639421431926</x:v>
      </x:c>
      <x:c r="I4475" s="23" t="n">
        <x:v>0.999610852370121</x:v>
      </x:c>
      <x:c r="J4475" s="2" t="n">
        <x:v>2</x:v>
      </x:c>
      <x:c r="K4475" s="2"/>
      <x:c r="L4475" s="2"/>
    </x:row>
    <x:row r="4476" ht="22" customHeight="1">
      <x:c r="A4476" s="2"/>
      <x:c r="B4476" s="2" t="n">
        <x:v>4443</x:v>
      </x:c>
      <x:c r="C4476" s="2" t="str">
        <x:v>79063C</x:v>
      </x:c>
      <x:c r="D4476" s="2" t="str">
        <x:v>RETRO PILL BOX KEY CHAIN,THE KING</x:v>
      </x:c>
      <x:c r="E4476" s="11" t="n">
        <x:v>43.65</x:v>
      </x:c>
      <x:c r="F4476" s="11" t="n">
        <x:v>0</x:v>
      </x:c>
      <x:c r="G4476" s="11" t="n">
        <x:v>43.65</x:v>
      </x:c>
      <x:c r="H4476" s="23" t="n">
        <x:v>0.0000021257693884686527</x:v>
      </x:c>
      <x:c r="I4476" s="23" t="n">
        <x:v>0.9996129781395096</x:v>
      </x:c>
      <x:c r="J4476" s="2" t="n">
        <x:v>14</x:v>
      </x:c>
      <x:c r="K4476" s="2"/>
      <x:c r="L4476" s="2"/>
    </x:row>
    <x:row r="4477" ht="22" customHeight="1">
      <x:c r="A4477" s="2"/>
      <x:c r="B4477" s="2" t="n">
        <x:v>4444</x:v>
      </x:c>
      <x:c r="C4477" s="2" t="str">
        <x:v>90042B</x:v>
      </x:c>
      <x:c r="D4477" s="2" t="str">
        <x:v>FRESHWATER PEARL BRACELET PINK</x:v>
      </x:c>
      <x:c r="E4477" s="11" t="n">
        <x:v>43.349999999999994</x:v>
      </x:c>
      <x:c r="F4477" s="11" t="n">
        <x:v>0</x:v>
      </x:c>
      <x:c r="G4477" s="11" t="n">
        <x:v>43.349999999999994</x:v>
      </x:c>
      <x:c r="H4477" s="23" t="n">
        <x:v>0.0000021111592895788338</x:v>
      </x:c>
      <x:c r="I4477" s="23" t="n">
        <x:v>0.9996150892987992</x:v>
      </x:c>
      <x:c r="J4477" s="2" t="n">
        <x:v>6</x:v>
      </x:c>
      <x:c r="K4477" s="2"/>
      <x:c r="L4477" s="2"/>
    </x:row>
    <x:row r="4478" ht="22" customHeight="1">
      <x:c r="A4478" s="2"/>
      <x:c r="B4478" s="2" t="n">
        <x:v>4445</x:v>
      </x:c>
      <x:c r="C4478" s="2" t="str">
        <x:v>35822P</x:v>
      </x:c>
      <x:c r="D4478" s="2" t="str">
        <x:v>ACRYLIC BEAD CHAIN, PINK</x:v>
      </x:c>
      <x:c r="E4478" s="11" t="n">
        <x:v>43.32</x:v>
      </x:c>
      <x:c r="F4478" s="11" t="n">
        <x:v>0</x:v>
      </x:c>
      <x:c r="G4478" s="11" t="n">
        <x:v>43.32</x:v>
      </x:c>
      <x:c r="H4478" s="23" t="n">
        <x:v>0.000002109698279689852</x:v>
      </x:c>
      <x:c r="I4478" s="23" t="n">
        <x:v>0.9996171989970789</x:v>
      </x:c>
      <x:c r="J4478" s="2" t="n">
        <x:v>1</x:v>
      </x:c>
      <x:c r="K4478" s="2"/>
      <x:c r="L4478" s="2"/>
    </x:row>
    <x:row r="4479" ht="22" customHeight="1">
      <x:c r="A4479" s="2"/>
      <x:c r="B4479" s="2" t="n">
        <x:v>4446</x:v>
      </x:c>
      <x:c r="C4479" s="2" t="str">
        <x:v>90054</x:v>
      </x:c>
      <x:c r="D4479" s="2" t="str">
        <x:v>CRACKED GLAZE EARRINGS RED</x:v>
      </x:c>
      <x:c r="E4479" s="11" t="n">
        <x:v>43.019999999999996</x:v>
      </x:c>
      <x:c r="F4479" s="11" t="n">
        <x:v>0</x:v>
      </x:c>
      <x:c r="G4479" s="11" t="n">
        <x:v>43.019999999999996</x:v>
      </x:c>
      <x:c r="H4479" s="23" t="n">
        <x:v>0.000002095088180800033</x:v>
      </x:c>
      <x:c r="I4479" s="23" t="n">
        <x:v>0.9996192940852597</x:v>
      </x:c>
      <x:c r="J4479" s="2" t="n">
        <x:v>17</x:v>
      </x:c>
      <x:c r="K4479" s="2"/>
      <x:c r="L4479" s="2"/>
    </x:row>
    <x:row r="4480" ht="22" customHeight="1">
      <x:c r="A4480" s="2"/>
      <x:c r="B4480" s="2" t="n">
        <x:v>4447</x:v>
      </x:c>
      <x:c r="C4480" s="2" t="str">
        <x:v>23038</x:v>
      </x:c>
      <x:c r="D4480" s="2" t="str">
        <x:v>T-LIGHT HOLDER SILVER SAUCER</x:v>
      </x:c>
      <x:c r="E4480" s="11" t="n">
        <x:v>42.919999999999995</x:v>
      </x:c>
      <x:c r="F4480" s="11" t="n">
        <x:v>0</x:v>
      </x:c>
      <x:c r="G4480" s="11" t="n">
        <x:v>42.919999999999995</x:v>
      </x:c>
      <x:c r="H4480" s="23" t="n">
        <x:v>0.00000209021814783676</x:v>
      </x:c>
      <x:c r="I4480" s="23" t="n">
        <x:v>0.9996213843034075</x:v>
      </x:c>
      <x:c r="J4480" s="2" t="n">
        <x:v>8</x:v>
      </x:c>
      <x:c r="K4480" s="2"/>
      <x:c r="L4480" s="2"/>
    </x:row>
    <x:row r="4481" ht="22" customHeight="1">
      <x:c r="A4481" s="2"/>
      <x:c r="B4481" s="2" t="n">
        <x:v>4448</x:v>
      </x:c>
      <x:c r="C4481" s="2" t="str">
        <x:v>79066k</x:v>
      </x:c>
      <x:c r="D4481" s="2" t="str">
        <x:v>RETRO MOD TRAY</x:v>
      </x:c>
      <x:c r="E4481" s="11" t="n">
        <x:v>42.71</x:v>
      </x:c>
      <x:c r="F4481" s="11" t="n">
        <x:v>0</x:v>
      </x:c>
      <x:c r="G4481" s="11" t="n">
        <x:v>42.71</x:v>
      </x:c>
      <x:c r="H4481" s="23" t="n">
        <x:v>0.000002079991078613887</x:v>
      </x:c>
      <x:c r="I4481" s="23" t="n">
        <x:v>0.9996234642944861</x:v>
      </x:c>
      <x:c r="J4481" s="2" t="n">
        <x:v>16</x:v>
      </x:c>
      <x:c r="K4481" s="2"/>
      <x:c r="L4481" s="2"/>
    </x:row>
    <x:row r="4482" ht="22" customHeight="1">
      <x:c r="A4482" s="2"/>
      <x:c r="B4482" s="2" t="n">
        <x:v>4449</x:v>
      </x:c>
      <x:c r="C4482" s="2" t="str">
        <x:v>84993a</x:v>
      </x:c>
      <x:c r="D4482" s="2" t="str">
        <x:v>75 GREEN PETIT FOUR CASES</x:v>
      </x:c>
      <x:c r="E4482" s="11" t="n">
        <x:v>42.71</x:v>
      </x:c>
      <x:c r="F4482" s="11" t="n">
        <x:v>0</x:v>
      </x:c>
      <x:c r="G4482" s="11" t="n">
        <x:v>42.71</x:v>
      </x:c>
      <x:c r="H4482" s="23" t="n">
        <x:v>0.000002079991078613887</x:v>
      </x:c>
      <x:c r="I4482" s="23" t="n">
        <x:v>0.9996255442855647</x:v>
      </x:c>
      <x:c r="J4482" s="2" t="n">
        <x:v>30</x:v>
      </x:c>
      <x:c r="K4482" s="2"/>
      <x:c r="L4482" s="2"/>
    </x:row>
    <x:row r="4483" ht="22" customHeight="1">
      <x:c r="A4483" s="2"/>
      <x:c r="B4483" s="2" t="n">
        <x:v>4450</x:v>
      </x:c>
      <x:c r="C4483" s="2" t="str">
        <x:v>21596</x:v>
      </x:c>
      <x:c r="D4483" s="2" t="str">
        <x:v>Hypochondriac Pill Stress Ball</x:v>
      </x:c>
      <x:c r="E4483" s="11" t="n">
        <x:v>42.64</x:v>
      </x:c>
      <x:c r="F4483" s="11" t="n">
        <x:v>0</x:v>
      </x:c>
      <x:c r="G4483" s="11" t="n">
        <x:v>42.64</x:v>
      </x:c>
      <x:c r="H4483" s="23" t="n">
        <x:v>0.000002076582055539596</x:v>
      </x:c>
      <x:c r="I4483" s="23" t="n">
        <x:v>0.9996276208676202</x:v>
      </x:c>
      <x:c r="J4483" s="2" t="n">
        <x:v>9</x:v>
      </x:c>
      <x:c r="K4483" s="2"/>
      <x:c r="L4483" s="2"/>
    </x:row>
    <x:row r="4484" ht="22" customHeight="1">
      <x:c r="A4484" s="2"/>
      <x:c r="B4484" s="2" t="n">
        <x:v>4451</x:v>
      </x:c>
      <x:c r="C4484" s="2" t="str">
        <x:v>90024A</x:v>
      </x:c>
      <x:c r="D4484" s="2" t="str">
        <x:v>NEW BAROQUE B'FLY NECKLACE BLACK</x:v>
      </x:c>
      <x:c r="E4484" s="11" t="n">
        <x:v>42.5</x:v>
      </x:c>
      <x:c r="F4484" s="11" t="n">
        <x:v>0</x:v>
      </x:c>
      <x:c r="G4484" s="11" t="n">
        <x:v>42.5</x:v>
      </x:c>
      <x:c r="H4484" s="23" t="n">
        <x:v>0.0000020697640093910136</x:v>
      </x:c>
      <x:c r="I4484" s="23" t="n">
        <x:v>0.9996296906316297</x:v>
      </x:c>
      <x:c r="J4484" s="2" t="n">
        <x:v>4</x:v>
      </x:c>
      <x:c r="K4484" s="2"/>
      <x:c r="L4484" s="2"/>
    </x:row>
    <x:row r="4485" ht="22" customHeight="1">
      <x:c r="A4485" s="2"/>
      <x:c r="B4485" s="2" t="n">
        <x:v>4452</x:v>
      </x:c>
      <x:c r="C4485" s="2" t="str">
        <x:v>90126C</x:v>
      </x:c>
      <x:c r="D4485" s="2" t="str">
        <x:v>AMBER BERTIE MOBILE PHONE CHARM</x:v>
      </x:c>
      <x:c r="E4485" s="11" t="n">
        <x:v>42.1</x:v>
      </x:c>
      <x:c r="F4485" s="11" t="n">
        <x:v>0</x:v>
      </x:c>
      <x:c r="G4485" s="11" t="n">
        <x:v>42.1</x:v>
      </x:c>
      <x:c r="H4485" s="23" t="n">
        <x:v>0.0000020502838775379218</x:v>
      </x:c>
      <x:c r="I4485" s="23" t="n">
        <x:v>0.9996317409155072</x:v>
      </x:c>
      <x:c r="J4485" s="2" t="n">
        <x:v>5</x:v>
      </x:c>
      <x:c r="K4485" s="2"/>
      <x:c r="L4485" s="2"/>
    </x:row>
    <x:row r="4486" ht="22" customHeight="1">
      <x:c r="A4486" s="2"/>
      <x:c r="B4486" s="2" t="n">
        <x:v>4453</x:v>
      </x:c>
      <x:c r="C4486" s="2" t="str">
        <x:v>72771C</x:v>
      </x:c>
      <x:c r="D4486" s="2" t="str">
        <x:v>BLACK FLOCK GOLD CANDLE</x:v>
      </x:c>
      <x:c r="E4486" s="11" t="n">
        <x:v>42.08</x:v>
      </x:c>
      <x:c r="F4486" s="11" t="n">
        <x:v>0</x:v>
      </x:c>
      <x:c r="G4486" s="11" t="n">
        <x:v>42.08</x:v>
      </x:c>
      <x:c r="H4486" s="23" t="n">
        <x:v>0.000002049309870945267</x:v>
      </x:c>
      <x:c r="I4486" s="23" t="n">
        <x:v>0.9996337902253781</x:v>
      </x:c>
      <x:c r="J4486" s="2" t="n">
        <x:v>6</x:v>
      </x:c>
      <x:c r="K4486" s="2"/>
      <x:c r="L4486" s="2"/>
    </x:row>
    <x:row r="4487" ht="22" customHeight="1">
      <x:c r="A4487" s="2"/>
      <x:c r="B4487" s="2" t="n">
        <x:v>4454</x:v>
      </x:c>
      <x:c r="C4487" s="2" t="str">
        <x:v>20860</x:v>
      </x:c>
      <x:c r="D4487" s="2" t="str">
        <x:v>GOLD COSMETICS BAG WITH BUTTERFLY</x:v>
      </x:c>
      <x:c r="E4487" s="11" t="n">
        <x:v>42</x:v>
      </x:c>
      <x:c r="F4487" s="11" t="n">
        <x:v>0</x:v>
      </x:c>
      <x:c r="G4487" s="11" t="n">
        <x:v>42</x:v>
      </x:c>
      <x:c r="H4487" s="23" t="n">
        <x:v>0.000002045413844574649</x:v>
      </x:c>
      <x:c r="I4487" s="23" t="n">
        <x:v>0.9996358356392226</x:v>
      </x:c>
      <x:c r="J4487" s="2" t="n">
        <x:v>11</x:v>
      </x:c>
      <x:c r="K4487" s="2"/>
      <x:c r="L4487" s="2"/>
    </x:row>
    <x:row r="4488" ht="22" customHeight="1">
      <x:c r="A4488" s="2"/>
      <x:c r="B4488" s="2" t="n">
        <x:v>4455</x:v>
      </x:c>
      <x:c r="C4488" s="2" t="str">
        <x:v>15060b</x:v>
      </x:c>
      <x:c r="D4488" s="2" t="str">
        <x:v>FAIRY CAKE DESIGN UMBRELLA</x:v>
      </x:c>
      <x:c r="E4488" s="11" t="n">
        <x:v>41.81</x:v>
      </x:c>
      <x:c r="F4488" s="11" t="n">
        <x:v>0</x:v>
      </x:c>
      <x:c r="G4488" s="11" t="n">
        <x:v>41.81</x:v>
      </x:c>
      <x:c r="H4488" s="23" t="n">
        <x:v>0.0000020361607819444303</x:v>
      </x:c>
      <x:c r="I4488" s="23" t="n">
        <x:v>0.9996378718000046</x:v>
      </x:c>
      <x:c r="J4488" s="2" t="n">
        <x:v>5</x:v>
      </x:c>
      <x:c r="K4488" s="2"/>
      <x:c r="L4488" s="2"/>
    </x:row>
    <x:row r="4489" ht="22" customHeight="1">
      <x:c r="A4489" s="2"/>
      <x:c r="B4489" s="2" t="n">
        <x:v>4456</x:v>
      </x:c>
      <x:c r="C4489" s="2" t="str">
        <x:v>90152C</x:v>
      </x:c>
      <x:c r="D4489" s="2" t="str">
        <x:v>BLUE/NAT SHELL NECKLACE W PENDANT</x:v>
      </x:c>
      <x:c r="E4489" s="11" t="n">
        <x:v>41.650000000000006</x:v>
      </x:c>
      <x:c r="F4489" s="11" t="n">
        <x:v>0</x:v>
      </x:c>
      <x:c r="G4489" s="11" t="n">
        <x:v>41.650000000000006</x:v>
      </x:c>
      <x:c r="H4489" s="23" t="n">
        <x:v>0.0000020283687292031938</x:v>
      </x:c>
      <x:c r="I4489" s="23" t="n">
        <x:v>0.9996399001687338</x:v>
      </x:c>
      <x:c r="J4489" s="2" t="n">
        <x:v>4</x:v>
      </x:c>
      <x:c r="K4489" s="2"/>
      <x:c r="L4489" s="2"/>
    </x:row>
    <x:row r="4490" ht="22" customHeight="1">
      <x:c r="A4490" s="2"/>
      <x:c r="B4490" s="2" t="n">
        <x:v>4457</x:v>
      </x:c>
      <x:c r="C4490" s="2" t="str">
        <x:v>84611B</x:v>
      </x:c>
      <x:c r="D4490" s="2" t="str">
        <x:v>thrown away</x:v>
      </x:c>
      <x:c r="E4490" s="11" t="n">
        <x:v>41.65</x:v>
      </x:c>
      <x:c r="F4490" s="11" t="n">
        <x:v>17.85</x:v>
      </x:c>
      <x:c r="G4490" s="11" t="n">
        <x:v>23.8</x:v>
      </x:c>
      <x:c r="H4490" s="23" t="n">
        <x:v>0.0000020283687292031933</x:v>
      </x:c>
      <x:c r="I4490" s="23" t="n">
        <x:v>0.999641928537463</x:v>
      </x:c>
      <x:c r="J4490" s="2" t="n">
        <x:v>4</x:v>
      </x:c>
      <x:c r="K4490" s="2"/>
      <x:c r="L4490" s="2"/>
    </x:row>
    <x:row r="4491" ht="22" customHeight="1">
      <x:c r="A4491" s="2"/>
      <x:c r="B4491" s="2" t="n">
        <x:v>4458</x:v>
      </x:c>
      <x:c r="C4491" s="2" t="str">
        <x:v>90060B</x:v>
      </x:c>
      <x:c r="D4491" s="2" t="str">
        <x:v>FIRE POLISHED GLASS NECKL GOLD</x:v>
      </x:c>
      <x:c r="E4491" s="11" t="n">
        <x:v>41.65</x:v>
      </x:c>
      <x:c r="F4491" s="11" t="n">
        <x:v>0</x:v>
      </x:c>
      <x:c r="G4491" s="11" t="n">
        <x:v>41.65</x:v>
      </x:c>
      <x:c r="H4491" s="23" t="n">
        <x:v>0.0000020283687292031933</x:v>
      </x:c>
      <x:c r="I4491" s="23" t="n">
        <x:v>0.9996439569061922</x:v>
      </x:c>
      <x:c r="J4491" s="2" t="n">
        <x:v>4</x:v>
      </x:c>
      <x:c r="K4491" s="2"/>
      <x:c r="L4491" s="2"/>
    </x:row>
    <x:row r="4492" ht="22" customHeight="1">
      <x:c r="A4492" s="2"/>
      <x:c r="B4492" s="2" t="n">
        <x:v>4459</x:v>
      </x:c>
      <x:c r="C4492" s="2" t="str">
        <x:v>90060C</x:v>
      </x:c>
      <x:c r="D4492" s="2" t="str">
        <x:v>FIRE POLISHED GLASS NECKL SILVER</x:v>
      </x:c>
      <x:c r="E4492" s="11" t="n">
        <x:v>41.65</x:v>
      </x:c>
      <x:c r="F4492" s="11" t="n">
        <x:v>0</x:v>
      </x:c>
      <x:c r="G4492" s="11" t="n">
        <x:v>41.65</x:v>
      </x:c>
      <x:c r="H4492" s="23" t="n">
        <x:v>0.0000020283687292031933</x:v>
      </x:c>
      <x:c r="I4492" s="23" t="n">
        <x:v>0.9996459852749214</x:v>
      </x:c>
      <x:c r="J4492" s="2" t="n">
        <x:v>3</x:v>
      </x:c>
      <x:c r="K4492" s="2"/>
      <x:c r="L4492" s="2"/>
    </x:row>
    <x:row r="4493" ht="22" customHeight="1">
      <x:c r="A4493" s="2"/>
      <x:c r="B4493" s="2" t="n">
        <x:v>4460</x:v>
      </x:c>
      <x:c r="C4493" s="2" t="str">
        <x:v>35809a</x:v>
      </x:c>
      <x:c r="D4493" s="2" t="str">
        <x:v>ENAMEL PINK TEA CONTAINER</x:v>
      </x:c>
      <x:c r="E4493" s="11" t="n">
        <x:v>41.54</x:v>
      </x:c>
      <x:c r="F4493" s="11" t="n">
        <x:v>0</x:v>
      </x:c>
      <x:c r="G4493" s="11" t="n">
        <x:v>41.54</x:v>
      </x:c>
      <x:c r="H4493" s="23" t="n">
        <x:v>0.000002023011692943593</x:v>
      </x:c>
      <x:c r="I4493" s="23" t="n">
        <x:v>0.9996480082866144</x:v>
      </x:c>
      <x:c r="J4493" s="2" t="n">
        <x:v>10</x:v>
      </x:c>
      <x:c r="K4493" s="2"/>
      <x:c r="L4493" s="2"/>
    </x:row>
    <x:row r="4494" ht="22" customHeight="1">
      <x:c r="A4494" s="2"/>
      <x:c r="B4494" s="2" t="n">
        <x:v>4461</x:v>
      </x:c>
      <x:c r="C4494" s="2" t="str">
        <x:v>85184B</x:v>
      </x:c>
      <x:c r="D4494" s="2" t="str">
        <x:v>SET 4 EASTER DECOUPAGE OVAL BOXES</x:v>
      </x:c>
      <x:c r="E4494" s="11" t="n">
        <x:v>41.300000000000004</x:v>
      </x:c>
      <x:c r="F4494" s="11" t="n">
        <x:v>2.95</x:v>
      </x:c>
      <x:c r="G4494" s="11" t="n">
        <x:v>38.35</x:v>
      </x:c>
      <x:c r="H4494" s="23" t="n">
        <x:v>0.000002011323613831738</x:v>
      </x:c>
      <x:c r="I4494" s="23" t="n">
        <x:v>0.9996500196102283</x:v>
      </x:c>
      <x:c r="J4494" s="2" t="n">
        <x:v>7</x:v>
      </x:c>
      <x:c r="K4494" s="2"/>
      <x:c r="L4494" s="2"/>
    </x:row>
    <x:row r="4495" ht="22" customHeight="1">
      <x:c r="A4495" s="2"/>
      <x:c r="B4495" s="2" t="n">
        <x:v>4462</x:v>
      </x:c>
      <x:c r="C4495" s="2" t="str">
        <x:v>23448</x:v>
      </x:c>
      <x:c r="D4495" s="2" t="str">
        <x:v>CREAM BUNNY EASTER EGG BASKET</x:v>
      </x:c>
      <x:c r="E4495" s="11" t="n">
        <x:v>41.24999999999999</x:v>
      </x:c>
      <x:c r="F4495" s="11" t="n">
        <x:v>0</x:v>
      </x:c>
      <x:c r="G4495" s="11" t="n">
        <x:v>41.24999999999999</x:v>
      </x:c>
      <x:c r="H4495" s="23" t="n">
        <x:v>0.000002008888597350101</x:v>
      </x:c>
      <x:c r="I4495" s="23" t="n">
        <x:v>0.9996520284988256</x:v>
      </x:c>
      <x:c r="J4495" s="2" t="n">
        <x:v>3</x:v>
      </x:c>
      <x:c r="K4495" s="2"/>
      <x:c r="L4495" s="2"/>
    </x:row>
    <x:row r="4496" ht="22" customHeight="1">
      <x:c r="A4496" s="2"/>
      <x:c r="B4496" s="2" t="n">
        <x:v>4463</x:v>
      </x:c>
      <x:c r="C4496" s="2" t="str">
        <x:v>90027C</x:v>
      </x:c>
      <x:c r="D4496" s="2" t="str">
        <x:v>GLASS BEAD HOOP EARRINGS GREEN</x:v>
      </x:c>
      <x:c r="E4496" s="11" t="n">
        <x:v>41.17</x:v>
      </x:c>
      <x:c r="F4496" s="11" t="n">
        <x:v>0</x:v>
      </x:c>
      <x:c r="G4496" s="11" t="n">
        <x:v>41.17</x:v>
      </x:c>
      <x:c r="H4496" s="23" t="n">
        <x:v>0.0000020049925709794833</x:v>
      </x:c>
      <x:c r="I4496" s="23" t="n">
        <x:v>0.9996540334913966</x:v>
      </x:c>
      <x:c r="J4496" s="2" t="n">
        <x:v>12</x:v>
      </x:c>
      <x:c r="K4496" s="2"/>
      <x:c r="L4496" s="2"/>
    </x:row>
    <x:row r="4497" ht="22" customHeight="1">
      <x:c r="A4497" s="2"/>
      <x:c r="B4497" s="2" t="n">
        <x:v>4464</x:v>
      </x:c>
      <x:c r="C4497" s="2" t="str">
        <x:v>18096c</x:v>
      </x:c>
      <x:c r="D4497" s="2" t="str">
        <x:v>WHITE ROUND PORCELAIN TLIGHT HOLDER</x:v>
      </x:c>
      <x:c r="E4497" s="11" t="n">
        <x:v>41.14</x:v>
      </x:c>
      <x:c r="F4497" s="11" t="n">
        <x:v>0</x:v>
      </x:c>
      <x:c r="G4497" s="11" t="n">
        <x:v>41.14</x:v>
      </x:c>
      <x:c r="H4497" s="23" t="n">
        <x:v>0.0000020035315610905012</x:v>
      </x:c>
      <x:c r="I4497" s="23" t="n">
        <x:v>0.9996560370229577</x:v>
      </x:c>
      <x:c r="J4497" s="2" t="n">
        <x:v>6</x:v>
      </x:c>
      <x:c r="K4497" s="2"/>
      <x:c r="L4497" s="2"/>
    </x:row>
    <x:row r="4498" ht="22" customHeight="1">
      <x:c r="A4498" s="2"/>
      <x:c r="B4498" s="2" t="n">
        <x:v>4465</x:v>
      </x:c>
      <x:c r="C4498" s="2" t="str">
        <x:v>21119</x:v>
      </x:c>
      <x:c r="D4498" s="2" t="str">
        <x:v>Glow In The Dark Shot Glasses </x:v>
      </x:c>
      <x:c r="E4498" s="11" t="n">
        <x:v>41.01</x:v>
      </x:c>
      <x:c r="F4498" s="11" t="n">
        <x:v>0</x:v>
      </x:c>
      <x:c r="G4498" s="11" t="n">
        <x:v>41.01</x:v>
      </x:c>
      <x:c r="H4498" s="23" t="n">
        <x:v>0.0000019972005182382463</x:v>
      </x:c>
      <x:c r="I4498" s="23" t="n">
        <x:v>0.9996580342234759</x:v>
      </x:c>
      <x:c r="J4498" s="2" t="n">
        <x:v>3</x:v>
      </x:c>
      <x:c r="K4498" s="2"/>
      <x:c r="L4498" s="2"/>
    </x:row>
    <x:row r="4499" ht="22" customHeight="1">
      <x:c r="A4499" s="2"/>
      <x:c r="B4499" s="2" t="n">
        <x:v>4466</x:v>
      </x:c>
      <x:c r="C4499" s="2" t="str">
        <x:v>84798C</x:v>
      </x:c>
      <x:c r="D4499" s="2" t="str">
        <x:v>WHITE FOXGLOVE ARTIIFCIAL FLOWER</x:v>
      </x:c>
      <x:c r="E4499" s="11" t="n">
        <x:v>40.8</x:v>
      </x:c>
      <x:c r="F4499" s="11" t="n">
        <x:v>0</x:v>
      </x:c>
      <x:c r="G4499" s="11" t="n">
        <x:v>40.8</x:v>
      </x:c>
      <x:c r="H4499" s="23" t="n">
        <x:v>0.000001986973449015373</x:v>
      </x:c>
      <x:c r="I4499" s="23" t="n">
        <x:v>0.9996600211969249</x:v>
      </x:c>
      <x:c r="J4499" s="2" t="n">
        <x:v>3</x:v>
      </x:c>
      <x:c r="K4499" s="2"/>
      <x:c r="L4499" s="2"/>
    </x:row>
    <x:row r="4500" ht="22" customHeight="1">
      <x:c r="A4500" s="2"/>
      <x:c r="B4500" s="2" t="n">
        <x:v>4467</x:v>
      </x:c>
      <x:c r="C4500" s="2" t="str">
        <x:v>44228</x:v>
      </x:c>
      <x:c r="D4500" s="2" t="str">
        <x:v>CANNABIS LEAF BEAD CURTAIN</x:v>
      </x:c>
      <x:c r="E4500" s="11" t="n">
        <x:v>40.8</x:v>
      </x:c>
      <x:c r="F4500" s="11" t="n">
        <x:v>0</x:v>
      </x:c>
      <x:c r="G4500" s="11" t="n">
        <x:v>40.8</x:v>
      </x:c>
      <x:c r="H4500" s="23" t="n">
        <x:v>0.000001986973449015373</x:v>
      </x:c>
      <x:c r="I4500" s="23" t="n">
        <x:v>0.9996620081703739</x:v>
      </x:c>
      <x:c r="J4500" s="2" t="n">
        <x:v>3</x:v>
      </x:c>
      <x:c r="K4500" s="2"/>
      <x:c r="L4500" s="2"/>
    </x:row>
    <x:row r="4501" ht="22" customHeight="1">
      <x:c r="A4501" s="2"/>
      <x:c r="B4501" s="2" t="n">
        <x:v>4468</x:v>
      </x:c>
      <x:c r="C4501" s="2" t="str">
        <x:v>47013C</x:v>
      </x:c>
      <x:c r="D4501" s="2" t="str">
        <x:v>WINE BOTTLE DRESSING DARK BLUE</x:v>
      </x:c>
      <x:c r="E4501" s="11" t="n">
        <x:v>40.519999999999996</x:v>
      </x:c>
      <x:c r="F4501" s="11" t="n">
        <x:v>1.44</x:v>
      </x:c>
      <x:c r="G4501" s="11" t="n">
        <x:v>39.08</x:v>
      </x:c>
      <x:c r="H4501" s="23" t="n">
        <x:v>0.0000019733373567182088</x:v>
      </x:c>
      <x:c r="I4501" s="23" t="n">
        <x:v>0.9996639815077306</x:v>
      </x:c>
      <x:c r="J4501" s="2" t="n">
        <x:v>27</x:v>
      </x:c>
      <x:c r="K4501" s="2"/>
      <x:c r="L4501" s="2"/>
    </x:row>
    <x:row r="4502" ht="22" customHeight="1">
      <x:c r="A4502" s="2"/>
      <x:c r="B4502" s="2" t="n">
        <x:v>4469</x:v>
      </x:c>
      <x:c r="C4502" s="2" t="str">
        <x:v>90136</x:v>
      </x:c>
      <x:c r="D4502" s="2" t="str">
        <x:v>PALE PINK/AMETHYST STONE NECKLACE</x:v>
      </x:c>
      <x:c r="E4502" s="11" t="n">
        <x:v>40.47</x:v>
      </x:c>
      <x:c r="F4502" s="11" t="n">
        <x:v>0</x:v>
      </x:c>
      <x:c r="G4502" s="11" t="n">
        <x:v>40.47</x:v>
      </x:c>
      <x:c r="H4502" s="23" t="n">
        <x:v>0.000001970902340236572</x:v>
      </x:c>
      <x:c r="I4502" s="23" t="n">
        <x:v>0.9996659524100708</x:v>
      </x:c>
      <x:c r="J4502" s="2" t="n">
        <x:v>3</x:v>
      </x:c>
      <x:c r="K4502" s="2"/>
      <x:c r="L4502" s="2"/>
    </x:row>
    <x:row r="4503" ht="22" customHeight="1">
      <x:c r="A4503" s="2"/>
      <x:c r="B4503" s="2" t="n">
        <x:v>4470</x:v>
      </x:c>
      <x:c r="C4503" s="2" t="str">
        <x:v>90152A</x:v>
      </x:c>
      <x:c r="D4503" s="2" t="str">
        <x:v>SILVER/NAT SHELL NECKLACE W PENDANT</x:v>
      </x:c>
      <x:c r="E4503" s="11" t="n">
        <x:v>40.34</x:v>
      </x:c>
      <x:c r="F4503" s="11" t="n">
        <x:v>0</x:v>
      </x:c>
      <x:c r="G4503" s="11" t="n">
        <x:v>40.34</x:v>
      </x:c>
      <x:c r="H4503" s="23" t="n">
        <x:v>0.0000019645712973843177</x:v>
      </x:c>
      <x:c r="I4503" s="23" t="n">
        <x:v>0.9996679169813683</x:v>
      </x:c>
      <x:c r="J4503" s="2" t="n">
        <x:v>7</x:v>
      </x:c>
      <x:c r="K4503" s="2"/>
      <x:c r="L4503" s="2"/>
    </x:row>
    <x:row r="4504" ht="22" customHeight="1">
      <x:c r="A4504" s="2"/>
      <x:c r="B4504" s="2" t="n">
        <x:v>4471</x:v>
      </x:c>
      <x:c r="C4504" s="2" t="str">
        <x:v>37468</x:v>
      </x:c>
      <x:c r="D4504" s="2" t="str">
        <x:v>HARDMAN MUG 3 ASSORTED</x:v>
      </x:c>
      <x:c r="E4504" s="11" t="n">
        <x:v>40.2</x:v>
      </x:c>
      <x:c r="F4504" s="11" t="n">
        <x:v>0</x:v>
      </x:c>
      <x:c r="G4504" s="11" t="n">
        <x:v>40.2</x:v>
      </x:c>
      <x:c r="H4504" s="23" t="n">
        <x:v>0.0000019577532512357357</x:v>
      </x:c>
      <x:c r="I4504" s="23" t="n">
        <x:v>0.9996698747346194</x:v>
      </x:c>
      <x:c r="J4504" s="2" t="n">
        <x:v>14</x:v>
      </x:c>
      <x:c r="K4504" s="2"/>
      <x:c r="L4504" s="2"/>
    </x:row>
    <x:row r="4505" ht="22" customHeight="1">
      <x:c r="A4505" s="2"/>
      <x:c r="B4505" s="2" t="n">
        <x:v>4472</x:v>
      </x:c>
      <x:c r="C4505" s="2" t="str">
        <x:v>20994</x:v>
      </x:c>
      <x:c r="D4505" s="2" t="str">
        <x:v>JAZZ HEARTS SPIRAL NOTEPAD</x:v>
      </x:c>
      <x:c r="E4505" s="11" t="n">
        <x:v>39.949999999999996</x:v>
      </x:c>
      <x:c r="F4505" s="11" t="n">
        <x:v>0</x:v>
      </x:c>
      <x:c r="G4505" s="11" t="n">
        <x:v>39.949999999999996</x:v>
      </x:c>
      <x:c r="H4505" s="23" t="n">
        <x:v>0.0000019455781688275525</x:v>
      </x:c>
      <x:c r="I4505" s="23" t="n">
        <x:v>0.9996718203127882</x:v>
      </x:c>
      <x:c r="J4505" s="2" t="n">
        <x:v>12</x:v>
      </x:c>
      <x:c r="K4505" s="2"/>
      <x:c r="L4505" s="2"/>
    </x:row>
    <x:row r="4506" ht="22" customHeight="1">
      <x:c r="A4506" s="2"/>
      <x:c r="B4506" s="2" t="n">
        <x:v>4473</x:v>
      </x:c>
      <x:c r="C4506" s="2" t="str">
        <x:v>47013A</x:v>
      </x:c>
      <x:c r="D4506" s="2" t="str">
        <x:v>damaged</x:v>
      </x:c>
      <x:c r="E4506" s="11" t="n">
        <x:v>39.87</x:v>
      </x:c>
      <x:c r="F4506" s="11" t="n">
        <x:v>0</x:v>
      </x:c>
      <x:c r="G4506" s="11" t="n">
        <x:v>39.87</x:v>
      </x:c>
      <x:c r="H4506" s="23" t="n">
        <x:v>0.0000019416821424569342</x:v>
      </x:c>
      <x:c r="I4506" s="23" t="n">
        <x:v>0.9996737619949306</x:v>
      </x:c>
      <x:c r="J4506" s="2" t="n">
        <x:v>25</x:v>
      </x:c>
      <x:c r="K4506" s="2"/>
      <x:c r="L4506" s="2"/>
    </x:row>
    <x:row r="4507" ht="22" customHeight="1">
      <x:c r="A4507" s="2"/>
      <x:c r="B4507" s="2" t="n">
        <x:v>4474</x:v>
      </x:c>
      <x:c r="C4507" s="2" t="str">
        <x:v>79065A</x:v>
      </x:c>
      <x:c r="D4507" s="2" t="str">
        <x:v>TEATIME ROUND CAKE TINS </x:v>
      </x:c>
      <x:c r="E4507" s="11" t="n">
        <x:v>39.8</x:v>
      </x:c>
      <x:c r="F4507" s="11" t="n">
        <x:v>9.95</x:v>
      </x:c>
      <x:c r="G4507" s="11" t="n">
        <x:v>29.849999999999998</x:v>
      </x:c>
      <x:c r="H4507" s="23" t="n">
        <x:v>0.0000019382731193826435</x:v>
      </x:c>
      <x:c r="I4507" s="23" t="n">
        <x:v>0.99967570026805</x:v>
      </x:c>
      <x:c r="J4507" s="2" t="n">
        <x:v>1</x:v>
      </x:c>
      <x:c r="K4507" s="2"/>
      <x:c r="L4507" s="2"/>
    </x:row>
    <x:row r="4508" ht="22" customHeight="1">
      <x:c r="A4508" s="2"/>
      <x:c r="B4508" s="2" t="n">
        <x:v>4475</x:v>
      </x:c>
      <x:c r="C4508" s="2" t="str">
        <x:v>35963</x:v>
      </x:c>
      <x:c r="D4508" s="2" t="str">
        <x:v>FOLKART ZINC CLIP ON ANGEL WINGS</x:v>
      </x:c>
      <x:c r="E4508" s="11" t="n">
        <x:v>39.52</x:v>
      </x:c>
      <x:c r="F4508" s="11" t="n">
        <x:v>0</x:v>
      </x:c>
      <x:c r="G4508" s="11" t="n">
        <x:v>39.52</x:v>
      </x:c>
      <x:c r="H4508" s="23" t="n">
        <x:v>0.000001924637027085479</x:v>
      </x:c>
      <x:c r="I4508" s="23" t="n">
        <x:v>0.9996776249050771</x:v>
      </x:c>
      <x:c r="J4508" s="2" t="n">
        <x:v>11</x:v>
      </x:c>
      <x:c r="K4508" s="2"/>
      <x:c r="L4508" s="2"/>
    </x:row>
    <x:row r="4509" ht="22" customHeight="1">
      <x:c r="A4509" s="2"/>
      <x:c r="B4509" s="2" t="n">
        <x:v>4476</x:v>
      </x:c>
      <x:c r="C4509" s="2" t="str">
        <x:v>82545A</x:v>
      </x:c>
      <x:c r="D4509" s="2" t="str">
        <x:v>COGNAC AUX OEUFS METAL 1 HOOK</x:v>
      </x:c>
      <x:c r="E4509" s="11" t="n">
        <x:v>38.75</x:v>
      </x:c>
      <x:c r="F4509" s="11" t="n">
        <x:v>0</x:v>
      </x:c>
      <x:c r="G4509" s="11" t="n">
        <x:v>38.75</x:v>
      </x:c>
      <x:c r="H4509" s="23" t="n">
        <x:v>0.0000018871377732682772</x:v>
      </x:c>
      <x:c r="I4509" s="23" t="n">
        <x:v>0.9996795120428503</x:v>
      </x:c>
      <x:c r="J4509" s="2" t="n">
        <x:v>11</x:v>
      </x:c>
      <x:c r="K4509" s="2"/>
      <x:c r="L4509" s="2"/>
    </x:row>
    <x:row r="4510" ht="22" customHeight="1">
      <x:c r="A4510" s="2"/>
      <x:c r="B4510" s="2" t="n">
        <x:v>4477</x:v>
      </x:c>
      <x:c r="C4510" s="2" t="str">
        <x:v>47567b</x:v>
      </x:c>
      <x:c r="D4510" s="2" t="str">
        <x:v>TEA TIME KITCHEN APRON</x:v>
      </x:c>
      <x:c r="E4510" s="11" t="n">
        <x:v>38.72</x:v>
      </x:c>
      <x:c r="F4510" s="11" t="n">
        <x:v>0</x:v>
      </x:c>
      <x:c r="G4510" s="11" t="n">
        <x:v>38.72</x:v>
      </x:c>
      <x:c r="H4510" s="23" t="n">
        <x:v>0.0000018856767633792953</x:v>
      </x:c>
      <x:c r="I4510" s="23" t="n">
        <x:v>0.9996813977196137</x:v>
      </x:c>
      <x:c r="J4510" s="2" t="n">
        <x:v>3</x:v>
      </x:c>
      <x:c r="K4510" s="2"/>
      <x:c r="L4510" s="2"/>
    </x:row>
    <x:row r="4511" ht="22" customHeight="1">
      <x:c r="A4511" s="2"/>
      <x:c r="B4511" s="2" t="n">
        <x:v>4478</x:v>
      </x:c>
      <x:c r="C4511" s="2" t="str">
        <x:v>90130D</x:v>
      </x:c>
      <x:c r="D4511" s="2" t="str">
        <x:v>RED STONE/CRYSTAL EARRINGS</x:v>
      </x:c>
      <x:c r="E4511" s="11" t="n">
        <x:v>38.31</x:v>
      </x:c>
      <x:c r="F4511" s="11" t="n">
        <x:v>0</x:v>
      </x:c>
      <x:c r="G4511" s="11" t="n">
        <x:v>38.31</x:v>
      </x:c>
      <x:c r="H4511" s="23" t="n">
        <x:v>0.0000018657096282298762</x:v>
      </x:c>
      <x:c r="I4511" s="23" t="n">
        <x:v>0.999683263429242</x:v>
      </x:c>
      <x:c r="J4511" s="2" t="n">
        <x:v>8</x:v>
      </x:c>
      <x:c r="K4511" s="2"/>
      <x:c r="L4511" s="2"/>
    </x:row>
    <x:row r="4512" ht="22" customHeight="1">
      <x:c r="A4512" s="2"/>
      <x:c r="B4512" s="2" t="n">
        <x:v>4479</x:v>
      </x:c>
      <x:c r="C4512" s="2" t="str">
        <x:v>90027B</x:v>
      </x:c>
      <x:c r="D4512" s="2" t="str">
        <x:v>GLASS BEAD HOOP EARRINGS MONTANA</x:v>
      </x:c>
      <x:c r="E4512" s="11" t="n">
        <x:v>38.28</x:v>
      </x:c>
      <x:c r="F4512" s="11" t="n">
        <x:v>0</x:v>
      </x:c>
      <x:c r="G4512" s="11" t="n">
        <x:v>38.28</x:v>
      </x:c>
      <x:c r="H4512" s="23" t="n">
        <x:v>0.0000018642486183408944</x:v>
      </x:c>
      <x:c r="I4512" s="23" t="n">
        <x:v>0.9996851276778603</x:v>
      </x:c>
      <x:c r="J4512" s="2" t="n">
        <x:v>10</x:v>
      </x:c>
      <x:c r="K4512" s="2"/>
      <x:c r="L4512" s="2"/>
    </x:row>
    <x:row r="4513" ht="22" customHeight="1">
      <x:c r="A4513" s="2"/>
      <x:c r="B4513" s="2" t="n">
        <x:v>4480</x:v>
      </x:c>
      <x:c r="C4513" s="2" t="str">
        <x:v>90183C</x:v>
      </x:c>
      <x:c r="D4513" s="2" t="str">
        <x:v>BLACK DROP EARRINGS W LONG BEADS</x:v>
      </x:c>
      <x:c r="E4513" s="11" t="n">
        <x:v>38.12</x:v>
      </x:c>
      <x:c r="F4513" s="11" t="n">
        <x:v>0</x:v>
      </x:c>
      <x:c r="G4513" s="11" t="n">
        <x:v>38.12</x:v>
      </x:c>
      <x:c r="H4513" s="23" t="n">
        <x:v>0.0000018564565655996574</x:v>
      </x:c>
      <x:c r="I4513" s="23" t="n">
        <x:v>0.9996869841344259</x:v>
      </x:c>
      <x:c r="J4513" s="2" t="n">
        <x:v>13</x:v>
      </x:c>
      <x:c r="K4513" s="2"/>
      <x:c r="L4513" s="2"/>
    </x:row>
    <x:row r="4514" ht="22" customHeight="1">
      <x:c r="A4514" s="2"/>
      <x:c r="B4514" s="2" t="n">
        <x:v>4481</x:v>
      </x:c>
      <x:c r="C4514" s="2" t="str">
        <x:v>47518f</x:v>
      </x:c>
      <x:c r="D4514" s="2" t="str">
        <x:v>ICON PLACEMAT POP ART ELVIS</x:v>
      </x:c>
      <x:c r="E4514" s="11" t="n">
        <x:v>37.75</x:v>
      </x:c>
      <x:c r="F4514" s="11" t="n">
        <x:v>0</x:v>
      </x:c>
      <x:c r="G4514" s="11" t="n">
        <x:v>37.75</x:v>
      </x:c>
      <x:c r="H4514" s="23" t="n">
        <x:v>0.0000018384374436355475</x:v>
      </x:c>
      <x:c r="I4514" s="23" t="n">
        <x:v>0.9996888225718695</x:v>
      </x:c>
      <x:c r="J4514" s="2" t="n">
        <x:v>9</x:v>
      </x:c>
      <x:c r="K4514" s="2"/>
      <x:c r="L4514" s="2"/>
    </x:row>
    <x:row r="4515" ht="22" customHeight="1">
      <x:c r="A4515" s="2"/>
      <x:c r="B4515" s="2" t="n">
        <x:v>4482</x:v>
      </x:c>
      <x:c r="C4515" s="2" t="str">
        <x:v>90176B</x:v>
      </x:c>
      <x:c r="D4515" s="2" t="str">
        <x:v>DIAMANTE NECKLACE BLACK </x:v>
      </x:c>
      <x:c r="E4515" s="11" t="n">
        <x:v>37.620000000000005</x:v>
      </x:c>
      <x:c r="F4515" s="11" t="n">
        <x:v>0</x:v>
      </x:c>
      <x:c r="G4515" s="11" t="n">
        <x:v>37.620000000000005</x:v>
      </x:c>
      <x:c r="H4515" s="23" t="n">
        <x:v>0.0000018321064007832928</x:v>
      </x:c>
      <x:c r="I4515" s="23" t="n">
        <x:v>0.9996906546782703</x:v>
      </x:c>
      <x:c r="J4515" s="2" t="n">
        <x:v>4</x:v>
      </x:c>
      <x:c r="K4515" s="2"/>
      <x:c r="L4515" s="2"/>
    </x:row>
    <x:row r="4516" ht="22" customHeight="1">
      <x:c r="A4516" s="2"/>
      <x:c r="B4516" s="2" t="n">
        <x:v>4483</x:v>
      </x:c>
      <x:c r="C4516" s="2" t="str">
        <x:v>85115B</x:v>
      </x:c>
      <x:c r="D4516" s="2" t="str">
        <x:v>S/4 BLACK DISCO PARTITION PANEL</x:v>
      </x:c>
      <x:c r="E4516" s="11" t="n">
        <x:v>37.62</x:v>
      </x:c>
      <x:c r="F4516" s="11" t="n">
        <x:v>0</x:v>
      </x:c>
      <x:c r="G4516" s="11" t="n">
        <x:v>37.62</x:v>
      </x:c>
      <x:c r="H4516" s="23" t="n">
        <x:v>0.0000018321064007832926</x:v>
      </x:c>
      <x:c r="I4516" s="23" t="n">
        <x:v>0.9996924867846712</x:v>
      </x:c>
      <x:c r="J4516" s="2" t="n">
        <x:v>2</x:v>
      </x:c>
      <x:c r="K4516" s="2"/>
      <x:c r="L4516" s="2"/>
    </x:row>
    <x:row r="4517" ht="22" customHeight="1">
      <x:c r="A4517" s="2"/>
      <x:c r="B4517" s="2" t="n">
        <x:v>4484</x:v>
      </x:c>
      <x:c r="C4517" s="2" t="str">
        <x:v>90039A</x:v>
      </x:c>
      <x:c r="D4517" s="2" t="str">
        <x:v>FIRE POLISHED GLASS BRACELET RED</x:v>
      </x:c>
      <x:c r="E4517" s="11" t="n">
        <x:v>37.61</x:v>
      </x:c>
      <x:c r="F4517" s="11" t="n">
        <x:v>0</x:v>
      </x:c>
      <x:c r="G4517" s="11" t="n">
        <x:v>37.61</x:v>
      </x:c>
      <x:c r="H4517" s="23" t="n">
        <x:v>0.0000018316193974869653</x:v>
      </x:c>
      <x:c r="I4517" s="23" t="n">
        <x:v>0.9996943184040686</x:v>
      </x:c>
      <x:c r="J4517" s="2" t="n">
        <x:v>5</x:v>
      </x:c>
      <x:c r="K4517" s="2"/>
      <x:c r="L4517" s="2"/>
    </x:row>
    <x:row r="4518" ht="22" customHeight="1">
      <x:c r="A4518" s="2"/>
      <x:c r="B4518" s="2" t="n">
        <x:v>4485</x:v>
      </x:c>
      <x:c r="C4518" s="2" t="str">
        <x:v>90214F</x:v>
      </x:c>
      <x:c r="D4518" s="2" t="str">
        <x:v>LETTER "F" BLING KEY RING</x:v>
      </x:c>
      <x:c r="E4518" s="11" t="n">
        <x:v>37.53</x:v>
      </x:c>
      <x:c r="F4518" s="11" t="n">
        <x:v>0</x:v>
      </x:c>
      <x:c r="G4518" s="11" t="n">
        <x:v>37.53</x:v>
      </x:c>
      <x:c r="H4518" s="23" t="n">
        <x:v>0.000001827723371116347</x:v>
      </x:c>
      <x:c r="I4518" s="23" t="n">
        <x:v>0.9996961461274397</x:v>
      </x:c>
      <x:c r="J4518" s="2" t="n">
        <x:v>27</x:v>
      </x:c>
      <x:c r="K4518" s="2"/>
      <x:c r="L4518" s="2"/>
    </x:row>
    <x:row r="4519" ht="22" customHeight="1">
      <x:c r="A4519" s="2"/>
      <x:c r="B4519" s="2" t="n">
        <x:v>4486</x:v>
      </x:c>
      <x:c r="C4519" s="2" t="str">
        <x:v>37112</x:v>
      </x:c>
      <x:c r="D4519" s="2" t="str">
        <x:v>YELLOW BIRDS FELT DES FOODCOVER</x:v>
      </x:c>
      <x:c r="E4519" s="11" t="n">
        <x:v>37.5</x:v>
      </x:c>
      <x:c r="F4519" s="11" t="n">
        <x:v>0</x:v>
      </x:c>
      <x:c r="G4519" s="11" t="n">
        <x:v>37.5</x:v>
      </x:c>
      <x:c r="H4519" s="23" t="n">
        <x:v>0.0000018262623612273652</x:v>
      </x:c>
      <x:c r="I4519" s="23" t="n">
        <x:v>0.999697972389801</x:v>
      </x:c>
      <x:c r="J4519" s="2" t="n">
        <x:v>5</x:v>
      </x:c>
      <x:c r="K4519" s="2"/>
      <x:c r="L4519" s="2"/>
    </x:row>
    <x:row r="4520" ht="22" customHeight="1">
      <x:c r="A4520" s="2"/>
      <x:c r="B4520" s="2" t="n">
        <x:v>4487</x:v>
      </x:c>
      <x:c r="C4520" s="2" t="str">
        <x:v>79413</x:v>
      </x:c>
      <x:c r="D4520" s="2" t="str">
        <x:v>GLASS WINE GLASS DECORATIONS</x:v>
      </x:c>
      <x:c r="E4520" s="11" t="n">
        <x:v>37.5</x:v>
      </x:c>
      <x:c r="F4520" s="11" t="n">
        <x:v>0</x:v>
      </x:c>
      <x:c r="G4520" s="11" t="n">
        <x:v>37.5</x:v>
      </x:c>
      <x:c r="H4520" s="23" t="n">
        <x:v>0.0000018262623612273652</x:v>
      </x:c>
      <x:c r="I4520" s="23" t="n">
        <x:v>0.9996997986521622</x:v>
      </x:c>
      <x:c r="J4520" s="2" t="n">
        <x:v>9</x:v>
      </x:c>
      <x:c r="K4520" s="2"/>
      <x:c r="L4520" s="2"/>
    </x:row>
    <x:row r="4521" ht="22" customHeight="1">
      <x:c r="A4521" s="2"/>
      <x:c r="B4521" s="2" t="n">
        <x:v>4488</x:v>
      </x:c>
      <x:c r="C4521" s="2" t="str">
        <x:v>84509b</x:v>
      </x:c>
      <x:c r="D4521" s="2" t="str">
        <x:v>SET OF 4 FAIRY CAKE PLACEMATS</x:v>
      </x:c>
      <x:c r="E4521" s="11" t="n">
        <x:v>37.3</x:v>
      </x:c>
      <x:c r="F4521" s="11" t="n">
        <x:v>0</x:v>
      </x:c>
      <x:c r="G4521" s="11" t="n">
        <x:v>37.3</x:v>
      </x:c>
      <x:c r="H4521" s="23" t="n">
        <x:v>0.000001816522295300819</x:v>
      </x:c>
      <x:c r="I4521" s="23" t="n">
        <x:v>0.9997016151744574</x:v>
      </x:c>
      <x:c r="J4521" s="2" t="n">
        <x:v>4</x:v>
      </x:c>
      <x:c r="K4521" s="2"/>
      <x:c r="L4521" s="2"/>
    </x:row>
    <x:row r="4522" ht="22" customHeight="1">
      <x:c r="A4522" s="2"/>
      <x:c r="B4522" s="2" t="n">
        <x:v>4489</x:v>
      </x:c>
      <x:c r="C4522" s="2" t="str">
        <x:v>90126A</x:v>
      </x:c>
      <x:c r="D4522" s="2" t="str">
        <x:v>PINK BERTIE MOBILE PHONE CHARM</x:v>
      </x:c>
      <x:c r="E4522" s="11" t="n">
        <x:v>37.14</x:v>
      </x:c>
      <x:c r="F4522" s="11" t="n">
        <x:v>0</x:v>
      </x:c>
      <x:c r="G4522" s="11" t="n">
        <x:v>37.14</x:v>
      </x:c>
      <x:c r="H4522" s="23" t="n">
        <x:v>0.0000018087302425595823</x:v>
      </x:c>
      <x:c r="I4522" s="23" t="n">
        <x:v>0.9997034239047</x:v>
      </x:c>
      <x:c r="J4522" s="2" t="n">
        <x:v>5</x:v>
      </x:c>
      <x:c r="K4522" s="2"/>
      <x:c r="L4522" s="2"/>
    </x:row>
    <x:row r="4523" ht="22" customHeight="1">
      <x:c r="A4523" s="2"/>
      <x:c r="B4523" s="2" t="n">
        <x:v>4490</x:v>
      </x:c>
      <x:c r="C4523" s="2" t="str">
        <x:v>84251J</x:v>
      </x:c>
      <x:c r="D4523" s="2" t="str">
        <x:v>GREETING CARD, THE BLACK CAT</x:v>
      </x:c>
      <x:c r="E4523" s="11" t="n">
        <x:v>37.04</x:v>
      </x:c>
      <x:c r="F4523" s="11" t="n">
        <x:v>0</x:v>
      </x:c>
      <x:c r="G4523" s="11" t="n">
        <x:v>37.04</x:v>
      </x:c>
      <x:c r="H4523" s="23" t="n">
        <x:v>0.0000018038602095963093</x:v>
      </x:c>
      <x:c r="I4523" s="23" t="n">
        <x:v>0.9997052277649097</x:v>
      </x:c>
      <x:c r="J4523" s="2" t="n">
        <x:v>17</x:v>
      </x:c>
      <x:c r="K4523" s="2"/>
      <x:c r="L4523" s="2"/>
    </x:row>
    <x:row r="4524" ht="22" customHeight="1">
      <x:c r="A4524" s="2"/>
      <x:c r="B4524" s="2" t="n">
        <x:v>4491</x:v>
      </x:c>
      <x:c r="C4524" s="2" t="str">
        <x:v>16162M</x:v>
      </x:c>
      <x:c r="D4524" s="2" t="str">
        <x:v>THE KING GIFT BAG 25x24x12cm</x:v>
      </x:c>
      <x:c r="E4524" s="11" t="n">
        <x:v>36.96</x:v>
      </x:c>
      <x:c r="F4524" s="11" t="n">
        <x:v>0</x:v>
      </x:c>
      <x:c r="G4524" s="11" t="n">
        <x:v>36.96</x:v>
      </x:c>
      <x:c r="H4524" s="23" t="n">
        <x:v>0.000001799964183225691</x:v>
      </x:c>
      <x:c r="I4524" s="23" t="n">
        <x:v>0.9997070277290929</x:v>
      </x:c>
      <x:c r="J4524" s="2" t="n">
        <x:v>13</x:v>
      </x:c>
      <x:c r="K4524" s="2"/>
      <x:c r="L4524" s="2"/>
    </x:row>
    <x:row r="4525" ht="22" customHeight="1">
      <x:c r="A4525" s="2"/>
      <x:c r="B4525" s="2" t="n">
        <x:v>4492</x:v>
      </x:c>
      <x:c r="C4525" s="2" t="str">
        <x:v>72715</x:v>
      </x:c>
      <x:c r="D4525" s="2" t="str">
        <x:v>SPHERICAL IVORY CANDLE </x:v>
      </x:c>
      <x:c r="E4525" s="11" t="n">
        <x:v>36.96</x:v>
      </x:c>
      <x:c r="F4525" s="11" t="n">
        <x:v>0</x:v>
      </x:c>
      <x:c r="G4525" s="11" t="n">
        <x:v>36.96</x:v>
      </x:c>
      <x:c r="H4525" s="23" t="n">
        <x:v>0.000001799964183225691</x:v>
      </x:c>
      <x:c r="I4525" s="23" t="n">
        <x:v>0.9997088276932762</x:v>
      </x:c>
      <x:c r="J4525" s="2" t="n">
        <x:v>13</x:v>
      </x:c>
      <x:c r="K4525" s="2"/>
      <x:c r="L4525" s="2"/>
    </x:row>
    <x:row r="4526" ht="22" customHeight="1">
      <x:c r="A4526" s="2"/>
      <x:c r="B4526" s="2" t="n">
        <x:v>4493</x:v>
      </x:c>
      <x:c r="C4526" s="2" t="str">
        <x:v>17014E</x:v>
      </x:c>
      <x:c r="D4526" s="2" t="str">
        <x:v>ORIGAMI OPIUM INCENSE CONES</x:v>
      </x:c>
      <x:c r="E4526" s="11" t="n">
        <x:v>36.599999999999994</x:v>
      </x:c>
      <x:c r="F4526" s="11" t="n">
        <x:v>0</x:v>
      </x:c>
      <x:c r="G4526" s="11" t="n">
        <x:v>36.599999999999994</x:v>
      </x:c>
      <x:c r="H4526" s="23" t="n">
        <x:v>0.0000017824320645579081</x:v>
      </x:c>
      <x:c r="I4526" s="23" t="n">
        <x:v>0.9997106101253408</x:v>
      </x:c>
      <x:c r="J4526" s="2" t="n">
        <x:v>6</x:v>
      </x:c>
      <x:c r="K4526" s="2"/>
      <x:c r="L4526" s="2"/>
    </x:row>
    <x:row r="4527" ht="22" customHeight="1">
      <x:c r="A4527" s="2"/>
      <x:c r="B4527" s="2" t="n">
        <x:v>4494</x:v>
      </x:c>
      <x:c r="C4527" s="2" t="str">
        <x:v>90141D</x:v>
      </x:c>
      <x:c r="D4527" s="2" t="str">
        <x:v>ROSE PENDANT TRIPLE SHELL NECKLACE</x:v>
      </x:c>
      <x:c r="E4527" s="11" t="n">
        <x:v>36.33</x:v>
      </x:c>
      <x:c r="F4527" s="11" t="n">
        <x:v>0</x:v>
      </x:c>
      <x:c r="G4527" s="11" t="n">
        <x:v>36.33</x:v>
      </x:c>
      <x:c r="H4527" s="23" t="n">
        <x:v>0.0000017692829755570712</x:v>
      </x:c>
      <x:c r="I4527" s="23" t="n">
        <x:v>0.9997123794083164</x:v>
      </x:c>
      <x:c r="J4527" s="2" t="n">
        <x:v>5</x:v>
      </x:c>
      <x:c r="K4527" s="2"/>
      <x:c r="L4527" s="2"/>
    </x:row>
    <x:row r="4528" ht="22" customHeight="1">
      <x:c r="A4528" s="2"/>
      <x:c r="B4528" s="2" t="n">
        <x:v>4495</x:v>
      </x:c>
      <x:c r="C4528" s="2" t="str">
        <x:v>90037D</x:v>
      </x:c>
      <x:c r="D4528" s="2" t="str">
        <x:v>TINY CRYSTALS BRACELET BLACK</x:v>
      </x:c>
      <x:c r="E4528" s="11" t="n">
        <x:v>35.87</x:v>
      </x:c>
      <x:c r="F4528" s="11" t="n">
        <x:v>0</x:v>
      </x:c>
      <x:c r="G4528" s="11" t="n">
        <x:v>35.87</x:v>
      </x:c>
      <x:c r="H4528" s="23" t="n">
        <x:v>0.0000017468808239260155</x:v>
      </x:c>
      <x:c r="I4528" s="23" t="n">
        <x:v>0.9997141262891402</x:v>
      </x:c>
      <x:c r="J4528" s="2" t="n">
        <x:v>8</x:v>
      </x:c>
      <x:c r="K4528" s="2"/>
      <x:c r="L4528" s="2"/>
    </x:row>
    <x:row r="4529" ht="22" customHeight="1">
      <x:c r="A4529" s="2"/>
      <x:c r="B4529" s="2" t="n">
        <x:v>4496</x:v>
      </x:c>
      <x:c r="C4529" s="2" t="str">
        <x:v>84745B</x:v>
      </x:c>
      <x:c r="D4529" s="2" t="str">
        <x:v>BLUE HANGING GINGHAM EASTER HEN</x:v>
      </x:c>
      <x:c r="E4529" s="11" t="n">
        <x:v>35.7</x:v>
      </x:c>
      <x:c r="F4529" s="11" t="n">
        <x:v>0</x:v>
      </x:c>
      <x:c r="G4529" s="11" t="n">
        <x:v>35.7</x:v>
      </x:c>
      <x:c r="H4529" s="23" t="n">
        <x:v>0.0000017386017678884517</x:v>
      </x:c>
      <x:c r="I4529" s="23" t="n">
        <x:v>0.9997158648909081</x:v>
      </x:c>
      <x:c r="J4529" s="2" t="n">
        <x:v>17</x:v>
      </x:c>
      <x:c r="K4529" s="2"/>
      <x:c r="L4529" s="2"/>
    </x:row>
    <x:row r="4530" ht="22" customHeight="1">
      <x:c r="A4530" s="2"/>
      <x:c r="B4530" s="2" t="n">
        <x:v>4497</x:v>
      </x:c>
      <x:c r="C4530" s="2" t="str">
        <x:v>37348</x:v>
      </x:c>
      <x:c r="D4530" s="2" t="str">
        <x:v>SET OF 4 PASTEL STACKING MUGS</x:v>
      </x:c>
      <x:c r="E4530" s="11" t="n">
        <x:v>35.7</x:v>
      </x:c>
      <x:c r="F4530" s="11" t="n">
        <x:v>5.1</x:v>
      </x:c>
      <x:c r="G4530" s="11" t="n">
        <x:v>30.6</x:v>
      </x:c>
      <x:c r="H4530" s="23" t="n">
        <x:v>0.0000017386017678884517</x:v>
      </x:c>
      <x:c r="I4530" s="23" t="n">
        <x:v>0.999717603492676</x:v>
      </x:c>
      <x:c r="J4530" s="2" t="n">
        <x:v>7</x:v>
      </x:c>
      <x:c r="K4530" s="2"/>
      <x:c r="L4530" s="2"/>
    </x:row>
    <x:row r="4531" ht="22" customHeight="1">
      <x:c r="A4531" s="2"/>
      <x:c r="B4531" s="2" t="n">
        <x:v>4498</x:v>
      </x:c>
      <x:c r="C4531" s="2" t="str">
        <x:v>90132</x:v>
      </x:c>
      <x:c r="D4531" s="2" t="str">
        <x:v>LIGHT TOPAZ TEAL/AQUA COL NECKLACE</x:v>
      </x:c>
      <x:c r="E4531" s="11" t="n">
        <x:v>35.63</x:v>
      </x:c>
      <x:c r="F4531" s="11" t="n">
        <x:v>0</x:v>
      </x:c>
      <x:c r="G4531" s="11" t="n">
        <x:v>35.63</x:v>
      </x:c>
      <x:c r="H4531" s="23" t="n">
        <x:v>0.0000017351927448141605</x:v>
      </x:c>
      <x:c r="I4531" s="23" t="n">
        <x:v>0.9997193386854208</x:v>
      </x:c>
      <x:c r="J4531" s="2" t="n">
        <x:v>7</x:v>
      </x:c>
      <x:c r="K4531" s="2"/>
      <x:c r="L4531" s="2"/>
    </x:row>
    <x:row r="4532" ht="22" customHeight="1">
      <x:c r="A4532" s="2"/>
      <x:c r="B4532" s="2" t="n">
        <x:v>4499</x:v>
      </x:c>
      <x:c r="C4532" s="2" t="str">
        <x:v>85184c</x:v>
      </x:c>
      <x:c r="D4532" s="2" t="str">
        <x:v>SET 4 VALENTINE DECOUPAGE HEART BOX</x:v>
      </x:c>
      <x:c r="E4532" s="11" t="n">
        <x:v>35.35</x:v>
      </x:c>
      <x:c r="F4532" s="11" t="n">
        <x:v>0</x:v>
      </x:c>
      <x:c r="G4532" s="11" t="n">
        <x:v>35.35</x:v>
      </x:c>
      <x:c r="H4532" s="23" t="n">
        <x:v>0.0000017215566525169961</x:v>
      </x:c>
      <x:c r="I4532" s="23" t="n">
        <x:v>0.9997210602420734</x:v>
      </x:c>
      <x:c r="J4532" s="2" t="n">
        <x:v>6</x:v>
      </x:c>
      <x:c r="K4532" s="2"/>
      <x:c r="L4532" s="2"/>
    </x:row>
    <x:row r="4533" ht="22" customHeight="1">
      <x:c r="A4533" s="2"/>
      <x:c r="B4533" s="2" t="n">
        <x:v>4500</x:v>
      </x:c>
      <x:c r="C4533" s="2" t="str">
        <x:v>90011C</x:v>
      </x:c>
      <x:c r="D4533" s="2" t="str">
        <x:v>GREEN CRYSTAL DROP EARRINGS</x:v>
      </x:c>
      <x:c r="E4533" s="11" t="n">
        <x:v>35.33</x:v>
      </x:c>
      <x:c r="F4533" s="11" t="n">
        <x:v>0</x:v>
      </x:c>
      <x:c r="G4533" s="11" t="n">
        <x:v>35.33</x:v>
      </x:c>
      <x:c r="H4533" s="23" t="n">
        <x:v>0.0000017205826459243416</x:v>
      </x:c>
      <x:c r="I4533" s="23" t="n">
        <x:v>0.9997227808247193</x:v>
      </x:c>
      <x:c r="J4533" s="2" t="n">
        <x:v>7</x:v>
      </x:c>
      <x:c r="K4533" s="2"/>
      <x:c r="L4533" s="2"/>
    </x:row>
    <x:row r="4534" ht="22" customHeight="1">
      <x:c r="A4534" s="2"/>
      <x:c r="B4534" s="2" t="n">
        <x:v>4501</x:v>
      </x:c>
      <x:c r="C4534" s="2" t="str">
        <x:v>79063D</x:v>
      </x:c>
      <x:c r="D4534" s="2" t="str">
        <x:v>RETRO PILL BOX , REVOLUTIONARY</x:v>
      </x:c>
      <x:c r="E4534" s="11" t="n">
        <x:v>35.33</x:v>
      </x:c>
      <x:c r="F4534" s="11" t="n">
        <x:v>0</x:v>
      </x:c>
      <x:c r="G4534" s="11" t="n">
        <x:v>35.33</x:v>
      </x:c>
      <x:c r="H4534" s="23" t="n">
        <x:v>0.0000017205826459243416</x:v>
      </x:c>
      <x:c r="I4534" s="23" t="n">
        <x:v>0.9997245014073652</x:v>
      </x:c>
      <x:c r="J4534" s="2" t="n">
        <x:v>11</x:v>
      </x:c>
      <x:c r="K4534" s="2"/>
      <x:c r="L4534" s="2"/>
    </x:row>
    <x:row r="4535" ht="22" customHeight="1">
      <x:c r="A4535" s="2"/>
      <x:c r="B4535" s="2" t="n">
        <x:v>4502</x:v>
      </x:c>
      <x:c r="C4535" s="2" t="str">
        <x:v>90152B</x:v>
      </x:c>
      <x:c r="D4535" s="2" t="str">
        <x:v>BLUE/GREEN SHELL NECKLACE W PENDANT</x:v>
      </x:c>
      <x:c r="E4535" s="11" t="n">
        <x:v>35.26</x:v>
      </x:c>
      <x:c r="F4535" s="11" t="n">
        <x:v>0</x:v>
      </x:c>
      <x:c r="G4535" s="11" t="n">
        <x:v>35.26</x:v>
      </x:c>
      <x:c r="H4535" s="23" t="n">
        <x:v>0.0000017171736228500504</x:v>
      </x:c>
      <x:c r="I4535" s="23" t="n">
        <x:v>0.9997262185809881</x:v>
      </x:c>
      <x:c r="J4535" s="2" t="n">
        <x:v>5</x:v>
      </x:c>
      <x:c r="K4535" s="2"/>
      <x:c r="L4535" s="2"/>
    </x:row>
    <x:row r="4536" ht="22" customHeight="1">
      <x:c r="A4536" s="2"/>
      <x:c r="B4536" s="2" t="n">
        <x:v>4503</x:v>
      </x:c>
      <x:c r="C4536" s="2" t="str">
        <x:v>84510e</x:v>
      </x:c>
      <x:c r="D4536" s="2" t="str">
        <x:v>SET OF 4 GREEN CAROUSEL COASTERS</x:v>
      </x:c>
      <x:c r="E4536" s="11" t="n">
        <x:v>35.089999999999996</x:v>
      </x:c>
      <x:c r="F4536" s="11" t="n">
        <x:v>0</x:v>
      </x:c>
      <x:c r="G4536" s="11" t="n">
        <x:v>35.089999999999996</x:v>
      </x:c>
      <x:c r="H4536" s="23" t="n">
        <x:v>0.0000017088945668124863</x:v>
      </x:c>
      <x:c r="I4536" s="23" t="n">
        <x:v>0.999727927475555</x:v>
      </x:c>
      <x:c r="J4536" s="2" t="n">
        <x:v>6</x:v>
      </x:c>
      <x:c r="K4536" s="2"/>
      <x:c r="L4536" s="2"/>
    </x:row>
    <x:row r="4537" ht="22" customHeight="1">
      <x:c r="A4537" s="2"/>
      <x:c r="B4537" s="2" t="n">
        <x:v>4504</x:v>
      </x:c>
      <x:c r="C4537" s="2" t="str">
        <x:v>82613b</x:v>
      </x:c>
      <x:c r="D4537" s="2" t="str">
        <x:v>METAL SIGN,CUPCAKE SINGLE HOOK</x:v>
      </x:c>
      <x:c r="E4537" s="11" t="n">
        <x:v>35.04</x:v>
      </x:c>
      <x:c r="F4537" s="11" t="n">
        <x:v>0</x:v>
      </x:c>
      <x:c r="G4537" s="11" t="n">
        <x:v>35.04</x:v>
      </x:c>
      <x:c r="H4537" s="23" t="n">
        <x:v>0.00000170645955033085</x:v>
      </x:c>
      <x:c r="I4537" s="23" t="n">
        <x:v>0.9997296339351053</x:v>
      </x:c>
      <x:c r="J4537" s="2" t="n">
        <x:v>11</x:v>
      </x:c>
      <x:c r="K4537" s="2"/>
      <x:c r="L4537" s="2"/>
    </x:row>
    <x:row r="4538" ht="22" customHeight="1">
      <x:c r="A4538" s="2"/>
      <x:c r="B4538" s="2" t="n">
        <x:v>4505</x:v>
      </x:c>
      <x:c r="C4538" s="2" t="str">
        <x:v>DCGS0058</x:v>
      </x:c>
      <x:c r="D4538" s="2" t="str">
        <x:v>MISO PRETTY  GUM</x:v>
      </x:c>
      <x:c r="E4538" s="11" t="n">
        <x:v>34.82</x:v>
      </x:c>
      <x:c r="F4538" s="11" t="n">
        <x:v>0</x:v>
      </x:c>
      <x:c r="G4538" s="11" t="n">
        <x:v>34.82</x:v>
      </x:c>
      <x:c r="H4538" s="23" t="n">
        <x:v>0.0000016957454778116494</x:v>
      </x:c>
      <x:c r="I4538" s="23" t="n">
        <x:v>0.9997313296805831</x:v>
      </x:c>
      <x:c r="J4538" s="2" t="n">
        <x:v>30</x:v>
      </x:c>
      <x:c r="K4538" s="2"/>
      <x:c r="L4538" s="2"/>
    </x:row>
    <x:row r="4539" ht="22" customHeight="1">
      <x:c r="A4539" s="2"/>
      <x:c r="B4539" s="2" t="n">
        <x:v>4506</x:v>
      </x:c>
      <x:c r="C4539" s="2" t="str">
        <x:v>84868B</x:v>
      </x:c>
      <x:c r="D4539" s="2" t="str">
        <x:v>BLUE BABY BOY'S MEMORY BOX</x:v>
      </x:c>
      <x:c r="E4539" s="11" t="n">
        <x:v>34.75</x:v>
      </x:c>
      <x:c r="F4539" s="11" t="n">
        <x:v>13.9</x:v>
      </x:c>
      <x:c r="G4539" s="11" t="n">
        <x:v>20.85</x:v>
      </x:c>
      <x:c r="H4539" s="23" t="n">
        <x:v>0.0000016923364547373582</x:v>
      </x:c>
      <x:c r="I4539" s="23" t="n">
        <x:v>0.9997330220170378</x:v>
      </x:c>
      <x:c r="J4539" s="2" t="n">
        <x:v>4</x:v>
      </x:c>
      <x:c r="K4539" s="2"/>
      <x:c r="L4539" s="2"/>
    </x:row>
    <x:row r="4540" ht="22" customHeight="1">
      <x:c r="A4540" s="2"/>
      <x:c r="B4540" s="2" t="n">
        <x:v>4507</x:v>
      </x:c>
      <x:c r="C4540" s="2" t="str">
        <x:v>37482p</x:v>
      </x:c>
      <x:c r="D4540" s="2" t="str">
        <x:v>CUBIC MUG PINK POLKA DOT</x:v>
      </x:c>
      <x:c r="E4540" s="11" t="n">
        <x:v>34.7</x:v>
      </x:c>
      <x:c r="F4540" s="11" t="n">
        <x:v>0</x:v>
      </x:c>
      <x:c r="G4540" s="11" t="n">
        <x:v>34.7</x:v>
      </x:c>
      <x:c r="H4540" s="23" t="n">
        <x:v>0.000001689901438255722</x:v>
      </x:c>
      <x:c r="I4540" s="23" t="n">
        <x:v>0.9997347119184761</x:v>
      </x:c>
      <x:c r="J4540" s="2" t="n">
        <x:v>2</x:v>
      </x:c>
      <x:c r="K4540" s="2"/>
      <x:c r="L4540" s="2"/>
    </x:row>
    <x:row r="4541" ht="22" customHeight="1">
      <x:c r="A4541" s="2"/>
      <x:c r="B4541" s="2" t="n">
        <x:v>4508</x:v>
      </x:c>
      <x:c r="C4541" s="2" t="str">
        <x:v>90081B</x:v>
      </x:c>
      <x:c r="D4541" s="2" t="str">
        <x:v>LILY BROOCH WHITE/SILVER COLOUR</x:v>
      </x:c>
      <x:c r="E4541" s="11" t="n">
        <x:v>34.650000000000006</x:v>
      </x:c>
      <x:c r="F4541" s="11" t="n">
        <x:v>0</x:v>
      </x:c>
      <x:c r="G4541" s="11" t="n">
        <x:v>34.650000000000006</x:v>
      </x:c>
      <x:c r="H4541" s="23" t="n">
        <x:v>0.0000016874664217740856</x:v>
      </x:c>
      <x:c r="I4541" s="23" t="n">
        <x:v>0.9997363993848979</x:v>
      </x:c>
      <x:c r="J4541" s="2" t="n">
        <x:v>3</x:v>
      </x:c>
      <x:c r="K4541" s="2"/>
      <x:c r="L4541" s="2"/>
    </x:row>
    <x:row r="4542" ht="22" customHeight="1">
      <x:c r="A4542" s="2"/>
      <x:c r="B4542" s="2" t="n">
        <x:v>4509</x:v>
      </x:c>
      <x:c r="C4542" s="2" t="str">
        <x:v>84546</x:v>
      </x:c>
      <x:c r="D4542" s="2" t="str">
        <x:v>CROCHET POODLE KEYRING</x:v>
      </x:c>
      <x:c r="E4542" s="11" t="n">
        <x:v>34.64999999999999</x:v>
      </x:c>
      <x:c r="F4542" s="11" t="n">
        <x:v>0</x:v>
      </x:c>
      <x:c r="G4542" s="11" t="n">
        <x:v>34.64999999999999</x:v>
      </x:c>
      <x:c r="H4542" s="23" t="n">
        <x:v>0.000001687466421774085</x:v>
      </x:c>
      <x:c r="I4542" s="23" t="n">
        <x:v>0.9997380868513197</x:v>
      </x:c>
      <x:c r="J4542" s="2" t="n">
        <x:v>3</x:v>
      </x:c>
      <x:c r="K4542" s="2"/>
      <x:c r="L4542" s="2"/>
    </x:row>
    <x:row r="4543" ht="22" customHeight="1">
      <x:c r="A4543" s="2"/>
      <x:c r="B4543" s="2" t="n">
        <x:v>4510</x:v>
      </x:c>
      <x:c r="C4543" s="2" t="str">
        <x:v>35955</x:v>
      </x:c>
      <x:c r="D4543" s="2" t="str">
        <x:v>cant find</x:v>
      </x:c>
      <x:c r="E4543" s="11" t="n">
        <x:v>34.620000000000005</x:v>
      </x:c>
      <x:c r="F4543" s="11" t="n">
        <x:v>0</x:v>
      </x:c>
      <x:c r="G4543" s="11" t="n">
        <x:v>34.620000000000005</x:v>
      </x:c>
      <x:c r="H4543" s="23" t="n">
        <x:v>0.0000016860054118851036</x:v>
      </x:c>
      <x:c r="I4543" s="23" t="n">
        <x:v>0.9997397728567315</x:v>
      </x:c>
      <x:c r="J4543" s="2" t="n">
        <x:v>4</x:v>
      </x:c>
      <x:c r="K4543" s="2"/>
      <x:c r="L4543" s="2"/>
    </x:row>
    <x:row r="4544" ht="22" customHeight="1">
      <x:c r="A4544" s="2"/>
      <x:c r="B4544" s="2" t="n">
        <x:v>4511</x:v>
      </x:c>
      <x:c r="C4544" s="2" t="str">
        <x:v>44265</x:v>
      </x:c>
      <x:c r="D4544" s="2" t="str">
        <x:v>M/COLOUR POM-POM CURTAIN</x:v>
      </x:c>
      <x:c r="E4544" s="11" t="n">
        <x:v>34</x:v>
      </x:c>
      <x:c r="F4544" s="11" t="n">
        <x:v>0</x:v>
      </x:c>
      <x:c r="G4544" s="11" t="n">
        <x:v>34</x:v>
      </x:c>
      <x:c r="H4544" s="23" t="n">
        <x:v>0.000001655811207512811</x:v>
      </x:c>
      <x:c r="I4544" s="23" t="n">
        <x:v>0.999741428667939</x:v>
      </x:c>
      <x:c r="J4544" s="2" t="n">
        <x:v>4</x:v>
      </x:c>
      <x:c r="K4544" s="2"/>
      <x:c r="L4544" s="2"/>
    </x:row>
    <x:row r="4545" ht="22" customHeight="1">
      <x:c r="A4545" s="2"/>
      <x:c r="B4545" s="2" t="n">
        <x:v>4512</x:v>
      </x:c>
      <x:c r="C4545" s="2" t="str">
        <x:v>90066A</x:v>
      </x:c>
      <x:c r="D4545" s="2" t="str">
        <x:v>PINK VINTAGE VICTORIAN CHOKER</x:v>
      </x:c>
      <x:c r="E4545" s="11" t="n">
        <x:v>33.75</x:v>
      </x:c>
      <x:c r="F4545" s="11" t="n">
        <x:v>0</x:v>
      </x:c>
      <x:c r="G4545" s="11" t="n">
        <x:v>33.75</x:v>
      </x:c>
      <x:c r="H4545" s="23" t="n">
        <x:v>0.0000016436361251046286</x:v>
      </x:c>
      <x:c r="I4545" s="23" t="n">
        <x:v>0.9997430723040641</x:v>
      </x:c>
      <x:c r="J4545" s="2" t="n">
        <x:v>2</x:v>
      </x:c>
      <x:c r="K4545" s="2"/>
      <x:c r="L4545" s="2"/>
    </x:row>
    <x:row r="4546" ht="22" customHeight="1">
      <x:c r="A4546" s="2"/>
      <x:c r="B4546" s="2" t="n">
        <x:v>4513</x:v>
      </x:c>
      <x:c r="C4546" s="2" t="str">
        <x:v>47591b</x:v>
      </x:c>
      <x:c r="D4546" s="2" t="str">
        <x:v>SCOTTIES CHILDRENS APRON</x:v>
      </x:c>
      <x:c r="E4546" s="11" t="n">
        <x:v>33.6</x:v>
      </x:c>
      <x:c r="F4546" s="11" t="n">
        <x:v>0</x:v>
      </x:c>
      <x:c r="G4546" s="11" t="n">
        <x:v>33.6</x:v>
      </x:c>
      <x:c r="H4546" s="23" t="n">
        <x:v>0.000001636331075659719</x:v>
      </x:c>
      <x:c r="I4546" s="23" t="n">
        <x:v>0.9997447086351398</x:v>
      </x:c>
      <x:c r="J4546" s="2" t="n">
        <x:v>4</x:v>
      </x:c>
      <x:c r="K4546" s="2"/>
      <x:c r="L4546" s="2"/>
    </x:row>
    <x:row r="4547" ht="22" customHeight="1">
      <x:c r="A4547" s="2"/>
      <x:c r="B4547" s="2" t="n">
        <x:v>4514</x:v>
      </x:c>
      <x:c r="C4547" s="2" t="str">
        <x:v>84456</x:v>
      </x:c>
      <x:c r="D4547" s="2" t="str">
        <x:v>SET OF 3 RABBIT EGG EASTER</x:v>
      </x:c>
      <x:c r="E4547" s="11" t="n">
        <x:v>33.15</x:v>
      </x:c>
      <x:c r="F4547" s="11" t="n">
        <x:v>10.2</x:v>
      </x:c>
      <x:c r="G4547" s="11" t="n">
        <x:v>22.95</x:v>
      </x:c>
      <x:c r="H4547" s="23" t="n">
        <x:v>0.0000016144159273249907</x:v>
      </x:c>
      <x:c r="I4547" s="23" t="n">
        <x:v>0.999746323051067</x:v>
      </x:c>
      <x:c r="J4547" s="2" t="n">
        <x:v>16</x:v>
      </x:c>
      <x:c r="K4547" s="2"/>
      <x:c r="L4547" s="2"/>
    </x:row>
    <x:row r="4548" ht="22" customHeight="1">
      <x:c r="A4548" s="2"/>
      <x:c r="B4548" s="2" t="n">
        <x:v>4515</x:v>
      </x:c>
      <x:c r="C4548" s="2" t="str">
        <x:v>85079</x:v>
      </x:c>
      <x:c r="D4548" s="2" t="str">
        <x:v>EMBROIDERED REINDEER DECORATION</x:v>
      </x:c>
      <x:c r="E4548" s="11" t="n">
        <x:v>33.1</x:v>
      </x:c>
      <x:c r="F4548" s="11" t="n">
        <x:v>0</x:v>
      </x:c>
      <x:c r="G4548" s="11" t="n">
        <x:v>33.1</x:v>
      </x:c>
      <x:c r="H4548" s="23" t="n">
        <x:v>0.0000016119809108433543</x:v>
      </x:c>
      <x:c r="I4548" s="23" t="n">
        <x:v>0.9997479350319779</x:v>
      </x:c>
      <x:c r="J4548" s="2" t="n">
        <x:v>8</x:v>
      </x:c>
      <x:c r="K4548" s="2"/>
      <x:c r="L4548" s="2"/>
    </x:row>
    <x:row r="4549" ht="22" customHeight="1">
      <x:c r="A4549" s="2"/>
      <x:c r="B4549" s="2" t="n">
        <x:v>4516</x:v>
      </x:c>
      <x:c r="C4549" s="2" t="str">
        <x:v>90076</x:v>
      </x:c>
      <x:c r="D4549" s="2" t="str">
        <x:v>MONTANA DIAMOND CLUSTER EARRINGS</x:v>
      </x:c>
      <x:c r="E4549" s="11" t="n">
        <x:v>33</x:v>
      </x:c>
      <x:c r="F4549" s="11" t="n">
        <x:v>2.55</x:v>
      </x:c>
      <x:c r="G4549" s="11" t="n">
        <x:v>30.45</x:v>
      </x:c>
      <x:c r="H4549" s="23" t="n">
        <x:v>0.0000016071108778800812</x:v>
      </x:c>
      <x:c r="I4549" s="23" t="n">
        <x:v>0.9997495421428558</x:v>
      </x:c>
      <x:c r="J4549" s="2" t="n">
        <x:v>7</x:v>
      </x:c>
      <x:c r="K4549" s="2"/>
      <x:c r="L4549" s="2"/>
    </x:row>
    <x:row r="4550" ht="22" customHeight="1">
      <x:c r="A4550" s="2"/>
      <x:c r="B4550" s="2" t="n">
        <x:v>4517</x:v>
      </x:c>
      <x:c r="C4550" s="2" t="str">
        <x:v>DCGS0003</x:v>
      </x:c>
      <x:c r="D4550" s="2" t="str">
        <x:v>ebay</x:v>
      </x:c>
      <x:c r="E4550" s="11" t="n">
        <x:v>32.589999999999996</x:v>
      </x:c>
      <x:c r="F4550" s="11" t="n">
        <x:v>0</x:v>
      </x:c>
      <x:c r="G4550" s="11" t="n">
        <x:v>32.589999999999996</x:v>
      </x:c>
      <x:c r="H4550" s="23" t="n">
        <x:v>0.000001587143742730662</x:v>
      </x:c>
      <x:c r="I4550" s="23" t="n">
        <x:v>0.9997511292865986</x:v>
      </x:c>
      <x:c r="J4550" s="2" t="n">
        <x:v>13</x:v>
      </x:c>
      <x:c r="K4550" s="2"/>
      <x:c r="L4550" s="2"/>
    </x:row>
    <x:row r="4551" ht="22" customHeight="1">
      <x:c r="A4551" s="2"/>
      <x:c r="B4551" s="2" t="n">
        <x:v>4518</x:v>
      </x:c>
      <x:c r="C4551" s="2" t="str">
        <x:v>82613c</x:v>
      </x:c>
      <x:c r="D4551" s="2" t="str">
        <x:v>METAL SIGN,CUPCAKE SINGLE HOOK</x:v>
      </x:c>
      <x:c r="E4551" s="11" t="n">
        <x:v>32.48</x:v>
      </x:c>
      <x:c r="F4551" s="11" t="n">
        <x:v>0</x:v>
      </x:c>
      <x:c r="G4551" s="11" t="n">
        <x:v>32.48</x:v>
      </x:c>
      <x:c r="H4551" s="23" t="n">
        <x:v>0.0000015817867064710616</x:v>
      </x:c>
      <x:c r="I4551" s="23" t="n">
        <x:v>0.9997527110733051</x:v>
      </x:c>
      <x:c r="J4551" s="2" t="n">
        <x:v>12</x:v>
      </x:c>
      <x:c r="K4551" s="2"/>
      <x:c r="L4551" s="2"/>
    </x:row>
    <x:row r="4552" ht="22" customHeight="1">
      <x:c r="A4552" s="2"/>
      <x:c r="B4552" s="2" t="n">
        <x:v>4519</x:v>
      </x:c>
      <x:c r="C4552" s="2" t="str">
        <x:v>90214O</x:v>
      </x:c>
      <x:c r="D4552" s="2" t="str">
        <x:v>LETTER "O" BLING KEY RING</x:v>
      </x:c>
      <x:c r="E4552" s="11" t="n">
        <x:v>31.419999999999998</x:v>
      </x:c>
      <x:c r="F4552" s="11" t="n">
        <x:v>0</x:v>
      </x:c>
      <x:c r="G4552" s="11" t="n">
        <x:v>31.419999999999998</x:v>
      </x:c>
      <x:c r="H4552" s="23" t="n">
        <x:v>0.0000015301643570603682</x:v>
      </x:c>
      <x:c r="I4552" s="23" t="n">
        <x:v>0.9997542412376622</x:v>
      </x:c>
      <x:c r="J4552" s="2" t="n">
        <x:v>18</x:v>
      </x:c>
      <x:c r="K4552" s="2"/>
      <x:c r="L4552" s="2"/>
    </x:row>
    <x:row r="4553" ht="22" customHeight="1">
      <x:c r="A4553" s="2"/>
      <x:c r="B4553" s="2" t="n">
        <x:v>4520</x:v>
      </x:c>
      <x:c r="C4553" s="2" t="str">
        <x:v>23632</x:v>
      </x:c>
      <x:c r="D4553" s="2" t="str">
        <x:v>SET 10 CARDS CHEERFUL ROBIN 17065</x:v>
      </x:c>
      <x:c r="E4553" s="11" t="n">
        <x:v>31.200000000000003</x:v>
      </x:c>
      <x:c r="F4553" s="11" t="n">
        <x:v>0</x:v>
      </x:c>
      <x:c r="G4553" s="11" t="n">
        <x:v>31.200000000000003</x:v>
      </x:c>
      <x:c r="H4553" s="23" t="n">
        <x:v>0.000001519450284541168</x:v>
      </x:c>
      <x:c r="I4553" s="23" t="n">
        <x:v>0.9997557606879468</x:v>
      </x:c>
      <x:c r="J4553" s="2" t="n">
        <x:v>10</x:v>
      </x:c>
      <x:c r="K4553" s="2"/>
      <x:c r="L4553" s="2"/>
    </x:row>
    <x:row r="4554" ht="22" customHeight="1">
      <x:c r="A4554" s="2"/>
      <x:c r="B4554" s="2" t="n">
        <x:v>4521</x:v>
      </x:c>
      <x:c r="C4554" s="2" t="str">
        <x:v>84745A</x:v>
      </x:c>
      <x:c r="D4554" s="2" t="str">
        <x:v>PINK HANGING GINGHAM EASTER HEN</x:v>
      </x:c>
      <x:c r="E4554" s="11" t="n">
        <x:v>31.08</x:v>
      </x:c>
      <x:c r="F4554" s="11" t="n">
        <x:v>0</x:v>
      </x:c>
      <x:c r="G4554" s="11" t="n">
        <x:v>31.08</x:v>
      </x:c>
      <x:c r="H4554" s="23" t="n">
        <x:v>0.0000015136062449852401</x:v>
      </x:c>
      <x:c r="I4554" s="23" t="n">
        <x:v>0.9997572742941918</x:v>
      </x:c>
      <x:c r="J4554" s="2" t="n">
        <x:v>15</x:v>
      </x:c>
      <x:c r="K4554" s="2"/>
      <x:c r="L4554" s="2"/>
    </x:row>
    <x:row r="4555" ht="22" customHeight="1">
      <x:c r="A4555" s="2"/>
      <x:c r="B4555" s="2" t="n">
        <x:v>4522</x:v>
      </x:c>
      <x:c r="C4555" s="2" t="str">
        <x:v>44091C</x:v>
      </x:c>
      <x:c r="D4555" s="2" t="str">
        <x:v>MULTICOLOUR CRUSOE CHECK LAMPSHADE</x:v>
      </x:c>
      <x:c r="E4555" s="11" t="n">
        <x:v>30.66</x:v>
      </x:c>
      <x:c r="F4555" s="11" t="n">
        <x:v>0</x:v>
      </x:c>
      <x:c r="G4555" s="11" t="n">
        <x:v>30.66</x:v>
      </x:c>
      <x:c r="H4555" s="23" t="n">
        <x:v>0.0000014931521065394938</x:v>
      </x:c>
      <x:c r="I4555" s="23" t="n">
        <x:v>0.9997587674462983</x:v>
      </x:c>
      <x:c r="J4555" s="2" t="n">
        <x:v>17</x:v>
      </x:c>
      <x:c r="K4555" s="2"/>
      <x:c r="L4555" s="2"/>
    </x:row>
    <x:row r="4556" ht="22" customHeight="1">
      <x:c r="A4556" s="2"/>
      <x:c r="B4556" s="2" t="n">
        <x:v>4523</x:v>
      </x:c>
      <x:c r="C4556" s="2" t="str">
        <x:v>21919</x:v>
      </x:c>
      <x:c r="D4556" s="2" t="str">
        <x:v>Electronic Talking Breath-A-Loser</x:v>
      </x:c>
      <x:c r="E4556" s="11" t="n">
        <x:v>30.47</x:v>
      </x:c>
      <x:c r="F4556" s="11" t="n">
        <x:v>0</x:v>
      </x:c>
      <x:c r="G4556" s="11" t="n">
        <x:v>30.47</x:v>
      </x:c>
      <x:c r="H4556" s="23" t="n">
        <x:v>0.000001483899043909275</x:v>
      </x:c>
      <x:c r="I4556" s="23" t="n">
        <x:v>0.9997602513453422</x:v>
      </x:c>
      <x:c r="J4556" s="2" t="n">
        <x:v>5</x:v>
      </x:c>
      <x:c r="K4556" s="2"/>
      <x:c r="L4556" s="2"/>
    </x:row>
    <x:row r="4557" ht="22" customHeight="1">
      <x:c r="A4557" s="2"/>
      <x:c r="B4557" s="2" t="n">
        <x:v>4524</x:v>
      </x:c>
      <x:c r="C4557" s="2" t="str">
        <x:v>37489B</x:v>
      </x:c>
      <x:c r="D4557" s="2" t="str">
        <x:v>BLUE/YELLOW FLOWER DESIGN BIG MUG</x:v>
      </x:c>
      <x:c r="E4557" s="11" t="n">
        <x:v>30.419999999999998</x:v>
      </x:c>
      <x:c r="F4557" s="11" t="n">
        <x:v>0</x:v>
      </x:c>
      <x:c r="G4557" s="11" t="n">
        <x:v>30.419999999999998</x:v>
      </x:c>
      <x:c r="H4557" s="23" t="n">
        <x:v>0.0000014814640274276385</x:v>
      </x:c>
      <x:c r="I4557" s="23" t="n">
        <x:v>0.9997617328093696</x:v>
      </x:c>
      <x:c r="J4557" s="2" t="n">
        <x:v>17</x:v>
      </x:c>
      <x:c r="K4557" s="2"/>
      <x:c r="L4557" s="2"/>
    </x:row>
    <x:row r="4558" ht="22" customHeight="1">
      <x:c r="A4558" s="2"/>
      <x:c r="B4558" s="2" t="n">
        <x:v>4525</x:v>
      </x:c>
      <x:c r="C4558" s="2" t="str">
        <x:v>90025F</x:v>
      </x:c>
      <x:c r="D4558" s="2" t="str">
        <x:v>BAROQUE BUTTERFLY EARRINGS CRYSTAL</x:v>
      </x:c>
      <x:c r="E4558" s="11" t="n">
        <x:v>30.23</x:v>
      </x:c>
      <x:c r="F4558" s="11" t="n">
        <x:v>0</x:v>
      </x:c>
      <x:c r="G4558" s="11" t="n">
        <x:v>30.23</x:v>
      </x:c>
      <x:c r="H4558" s="23" t="n">
        <x:v>0.00000147221096479742</x:v>
      </x:c>
      <x:c r="I4558" s="23" t="n">
        <x:v>0.9997632050203344</x:v>
      </x:c>
      <x:c r="J4558" s="2" t="n">
        <x:v>8</x:v>
      </x:c>
      <x:c r="K4558" s="2"/>
      <x:c r="L4558" s="2"/>
    </x:row>
    <x:row r="4559" ht="22" customHeight="1">
      <x:c r="A4559" s="2"/>
      <x:c r="B4559" s="2" t="n">
        <x:v>4526</x:v>
      </x:c>
      <x:c r="C4559" s="2" t="str">
        <x:v>90214V</x:v>
      </x:c>
      <x:c r="D4559" s="2" t="str">
        <x:v>LETTER "V" BLING KEY RING</x:v>
      </x:c>
      <x:c r="E4559" s="11" t="n">
        <x:v>30.23</x:v>
      </x:c>
      <x:c r="F4559" s="11" t="n">
        <x:v>0</x:v>
      </x:c>
      <x:c r="G4559" s="11" t="n">
        <x:v>30.23</x:v>
      </x:c>
      <x:c r="H4559" s="23" t="n">
        <x:v>0.00000147221096479742</x:v>
      </x:c>
      <x:c r="I4559" s="23" t="n">
        <x:v>0.9997646772312992</x:v>
      </x:c>
      <x:c r="J4559" s="2" t="n">
        <x:v>24</x:v>
      </x:c>
      <x:c r="K4559" s="2"/>
      <x:c r="L4559" s="2"/>
    </x:row>
    <x:row r="4560" ht="22" customHeight="1">
      <x:c r="A4560" s="2"/>
      <x:c r="B4560" s="2" t="n">
        <x:v>4527</x:v>
      </x:c>
      <x:c r="C4560" s="2" t="str">
        <x:v>18010</x:v>
      </x:c>
      <x:c r="D4560" s="2" t="str">
        <x:v>ASSORTED FRAGRANCE BATH CONFETTI</x:v>
      </x:c>
      <x:c r="E4560" s="11" t="n">
        <x:v>30.16</x:v>
      </x:c>
      <x:c r="F4560" s="11" t="n">
        <x:v>0</x:v>
      </x:c>
      <x:c r="G4560" s="11" t="n">
        <x:v>30.16</x:v>
      </x:c>
      <x:c r="H4560" s="23" t="n">
        <x:v>0.0000014688019417231287</x:v>
      </x:c>
      <x:c r="I4560" s="23" t="n">
        <x:v>0.999766146033241</x:v>
      </x:c>
      <x:c r="J4560" s="2" t="n">
        <x:v>9</x:v>
      </x:c>
      <x:c r="K4560" s="2"/>
      <x:c r="L4560" s="2"/>
    </x:row>
    <x:row r="4561" ht="22" customHeight="1">
      <x:c r="A4561" s="2"/>
      <x:c r="B4561" s="2" t="n">
        <x:v>4528</x:v>
      </x:c>
      <x:c r="C4561" s="2" t="str">
        <x:v>37491B</x:v>
      </x:c>
      <x:c r="D4561" s="2" t="str">
        <x:v>BLUE/YELLOW CERAMIC CANDLE HOLDER</x:v>
      </x:c>
      <x:c r="E4561" s="11" t="n">
        <x:v>30.08</x:v>
      </x:c>
      <x:c r="F4561" s="11" t="n">
        <x:v>0</x:v>
      </x:c>
      <x:c r="G4561" s="11" t="n">
        <x:v>30.08</x:v>
      </x:c>
      <x:c r="H4561" s="23" t="n">
        <x:v>0.0000014649059153525105</x:v>
      </x:c>
      <x:c r="I4561" s="23" t="n">
        <x:v>0.9997676109391563</x:v>
      </x:c>
      <x:c r="J4561" s="2" t="n">
        <x:v>8</x:v>
      </x:c>
      <x:c r="K4561" s="2"/>
      <x:c r="L4561" s="2"/>
    </x:row>
    <x:row r="4562" ht="22" customHeight="1">
      <x:c r="A4562" s="2"/>
      <x:c r="B4562" s="2" t="n">
        <x:v>4529</x:v>
      </x:c>
      <x:c r="C4562" s="2" t="str">
        <x:v>47563B</x:v>
      </x:c>
      <x:c r="D4562" s="2" t="str">
        <x:v>WAVELINE SURF IRONING BOARD COVER</x:v>
      </x:c>
      <x:c r="E4562" s="11" t="n">
        <x:v>30</x:v>
      </x:c>
      <x:c r="F4562" s="11" t="n">
        <x:v>0</x:v>
      </x:c>
      <x:c r="G4562" s="11" t="n">
        <x:v>30</x:v>
      </x:c>
      <x:c r="H4562" s="23" t="n">
        <x:v>0.000001461009888981892</x:v>
      </x:c>
      <x:c r="I4562" s="23" t="n">
        <x:v>0.9997690719490453</x:v>
      </x:c>
      <x:c r="J4562" s="2" t="n">
        <x:v>6</x:v>
      </x:c>
      <x:c r="K4562" s="2"/>
      <x:c r="L4562" s="2"/>
    </x:row>
    <x:row r="4563" ht="22" customHeight="1">
      <x:c r="A4563" s="2"/>
      <x:c r="B4563" s="2" t="n">
        <x:v>4530</x:v>
      </x:c>
      <x:c r="C4563" s="2" t="str">
        <x:v>84876C</x:v>
      </x:c>
      <x:c r="D4563" s="2" t="str">
        <x:v>SILVER HEART COMPACT MIRROR</x:v>
      </x:c>
      <x:c r="E4563" s="11" t="n">
        <x:v>30</x:v>
      </x:c>
      <x:c r="F4563" s="11" t="n">
        <x:v>3.75</x:v>
      </x:c>
      <x:c r="G4563" s="11" t="n">
        <x:v>26.25</x:v>
      </x:c>
      <x:c r="H4563" s="23" t="n">
        <x:v>0.000001461009888981892</x:v>
      </x:c>
      <x:c r="I4563" s="23" t="n">
        <x:v>0.9997705329589343</x:v>
      </x:c>
      <x:c r="J4563" s="2" t="n">
        <x:v>4</x:v>
      </x:c>
      <x:c r="K4563" s="2"/>
      <x:c r="L4563" s="2"/>
    </x:row>
    <x:row r="4564" ht="22" customHeight="1">
      <x:c r="A4564" s="2"/>
      <x:c r="B4564" s="2" t="n">
        <x:v>4531</x:v>
      </x:c>
      <x:c r="C4564" s="2" t="str">
        <x:v>90176E</x:v>
      </x:c>
      <x:c r="D4564" s="2" t="str">
        <x:v>DIAMANTE NECKLACE GREEN</x:v>
      </x:c>
      <x:c r="E4564" s="11" t="n">
        <x:v>29.98</x:v>
      </x:c>
      <x:c r="F4564" s="11" t="n">
        <x:v>0</x:v>
      </x:c>
      <x:c r="G4564" s="11" t="n">
        <x:v>29.98</x:v>
      </x:c>
      <x:c r="H4564" s="23" t="n">
        <x:v>0.0000014600358823892374</x:v>
      </x:c>
      <x:c r="I4564" s="23" t="n">
        <x:v>0.9997719929948167</x:v>
      </x:c>
      <x:c r="J4564" s="2" t="n">
        <x:v>3</x:v>
      </x:c>
      <x:c r="K4564" s="2"/>
      <x:c r="L4564" s="2"/>
    </x:row>
    <x:row r="4565" ht="22" customHeight="1">
      <x:c r="A4565" s="2"/>
      <x:c r="B4565" s="2" t="n">
        <x:v>4532</x:v>
      </x:c>
      <x:c r="C4565" s="2" t="str">
        <x:v>21767</x:v>
      </x:c>
      <x:c r="D4565" s="2" t="str">
        <x:v>FRENCH STYLE WIRE DOOR CABINET </x:v>
      </x:c>
      <x:c r="E4565" s="11" t="n">
        <x:v>29.95</x:v>
      </x:c>
      <x:c r="F4565" s="11" t="n">
        <x:v>0</x:v>
      </x:c>
      <x:c r="G4565" s="11" t="n">
        <x:v>29.95</x:v>
      </x:c>
      <x:c r="H4565" s="23" t="n">
        <x:v>0.0000014585748725002555</x:v>
      </x:c>
      <x:c r="I4565" s="23" t="n">
        <x:v>0.9997734515696892</x:v>
      </x:c>
      <x:c r="J4565" s="2" t="n">
        <x:v>1</x:v>
      </x:c>
      <x:c r="K4565" s="2"/>
      <x:c r="L4565" s="2"/>
    </x:row>
    <x:row r="4566" ht="22" customHeight="1">
      <x:c r="A4566" s="2"/>
      <x:c r="B4566" s="2" t="n">
        <x:v>4533</x:v>
      </x:c>
      <x:c r="C4566" s="2" t="str">
        <x:v>78056</x:v>
      </x:c>
      <x:c r="D4566" s="2" t="str">
        <x:v>CAMOUFLAGE BACKPACK ON WHEELS</x:v>
      </x:c>
      <x:c r="E4566" s="11" t="n">
        <x:v>29.849999999999998</x:v>
      </x:c>
      <x:c r="F4566" s="11" t="n">
        <x:v>17</x:v>
      </x:c>
      <x:c r="G4566" s="11" t="n">
        <x:v>12.849999999999998</x:v>
      </x:c>
      <x:c r="H4566" s="23" t="n">
        <x:v>0.0000014537048395369825</x:v>
      </x:c>
      <x:c r="I4566" s="23" t="n">
        <x:v>0.9997749052745287</x:v>
      </x:c>
      <x:c r="J4566" s="2" t="n">
        <x:v>2</x:v>
      </x:c>
      <x:c r="K4566" s="2"/>
      <x:c r="L4566" s="2"/>
    </x:row>
    <x:row r="4567" ht="22" customHeight="1">
      <x:c r="A4567" s="2"/>
      <x:c r="B4567" s="2" t="n">
        <x:v>4534</x:v>
      </x:c>
      <x:c r="C4567" s="2" t="str">
        <x:v>22351</x:v>
      </x:c>
      <x:c r="D4567" s="2" t="str">
        <x:v>DOTCOMGIFTSHOP TEA TOWEL</x:v>
      </x:c>
      <x:c r="E4567" s="11" t="n">
        <x:v>29.809999999999995</x:v>
      </x:c>
      <x:c r="F4567" s="11" t="n">
        <x:v>0</x:v>
      </x:c>
      <x:c r="G4567" s="11" t="n">
        <x:v>29.809999999999995</x:v>
      </x:c>
      <x:c r="H4567" s="23" t="n">
        <x:v>0.0000014517568263516731</x:v>
      </x:c>
      <x:c r="I4567" s="23" t="n">
        <x:v>0.999776357031355</x:v>
      </x:c>
      <x:c r="J4567" s="2" t="n">
        <x:v>3</x:v>
      </x:c>
      <x:c r="K4567" s="2"/>
      <x:c r="L4567" s="2"/>
    </x:row>
    <x:row r="4568" ht="22" customHeight="1">
      <x:c r="A4568" s="2"/>
      <x:c r="B4568" s="2" t="n">
        <x:v>4535</x:v>
      </x:c>
      <x:c r="C4568" s="2" t="str">
        <x:v>84985a</x:v>
      </x:c>
      <x:c r="D4568" s="2" t="str">
        <x:v>SET OF 72 GREEN PAPER DOILIES</x:v>
      </x:c>
      <x:c r="E4568" s="11" t="n">
        <x:v>29.8</x:v>
      </x:c>
      <x:c r="F4568" s="11" t="n">
        <x:v>0</x:v>
      </x:c>
      <x:c r="G4568" s="11" t="n">
        <x:v>29.8</x:v>
      </x:c>
      <x:c r="H4568" s="23" t="n">
        <x:v>0.000001451269823055346</x:v>
      </x:c>
      <x:c r="I4568" s="23" t="n">
        <x:v>0.9997778083011781</x:v>
      </x:c>
      <x:c r="J4568" s="2" t="n">
        <x:v>8</x:v>
      </x:c>
      <x:c r="K4568" s="2"/>
      <x:c r="L4568" s="2"/>
    </x:row>
    <x:row r="4569" ht="22" customHeight="1">
      <x:c r="A4569" s="2"/>
      <x:c r="B4569" s="2" t="n">
        <x:v>4536</x:v>
      </x:c>
      <x:c r="C4569" s="2" t="str">
        <x:v>35598A</x:v>
      </x:c>
      <x:c r="D4569" s="2" t="str">
        <x:v>DUSTY PINK CHRISTMAS TREE 60CM</x:v>
      </x:c>
      <x:c r="E4569" s="11" t="n">
        <x:v>29.500000000000004</x:v>
      </x:c>
      <x:c r="F4569" s="11" t="n">
        <x:v>0</x:v>
      </x:c>
      <x:c r="G4569" s="11" t="n">
        <x:v>29.500000000000004</x:v>
      </x:c>
      <x:c r="H4569" s="23" t="n">
        <x:v>0.0000014366597241655273</x:v>
      </x:c>
      <x:c r="I4569" s="23" t="n">
        <x:v>0.9997792449609023</x:v>
      </x:c>
      <x:c r="J4569" s="2" t="n">
        <x:v>3</x:v>
      </x:c>
      <x:c r="K4569" s="2"/>
      <x:c r="L4569" s="2"/>
    </x:row>
    <x:row r="4570" ht="22" customHeight="1">
      <x:c r="A4570" s="2"/>
      <x:c r="B4570" s="2" t="n">
        <x:v>4537</x:v>
      </x:c>
      <x:c r="C4570" s="2" t="str">
        <x:v>78034B</x:v>
      </x:c>
      <x:c r="D4570" s="2" t="str">
        <x:v>BLUE NETTING STORAGE HANGER</x:v>
      </x:c>
      <x:c r="E4570" s="11" t="n">
        <x:v>29.25</x:v>
      </x:c>
      <x:c r="F4570" s="11" t="n">
        <x:v>0</x:v>
      </x:c>
      <x:c r="G4570" s="11" t="n">
        <x:v>29.25</x:v>
      </x:c>
      <x:c r="H4570" s="23" t="n">
        <x:v>0.0000014244846417573448</x:v>
      </x:c>
      <x:c r="I4570" s="23" t="n">
        <x:v>0.9997806694455441</x:v>
      </x:c>
      <x:c r="J4570" s="2" t="n">
        <x:v>9</x:v>
      </x:c>
      <x:c r="K4570" s="2"/>
      <x:c r="L4570" s="2"/>
    </x:row>
    <x:row r="4571" ht="22" customHeight="1">
      <x:c r="A4571" s="2"/>
      <x:c r="B4571" s="2" t="n">
        <x:v>4538</x:v>
      </x:c>
      <x:c r="C4571" s="2" t="str">
        <x:v>46776f</x:v>
      </x:c>
      <x:c r="D4571" s="2" t="str">
        <x:v>WOVEN ROSE GARDEN CUSHION COVER </x:v>
      </x:c>
      <x:c r="E4571" s="11" t="n">
        <x:v>28.91</x:v>
      </x:c>
      <x:c r="F4571" s="11" t="n">
        <x:v>0</x:v>
      </x:c>
      <x:c r="G4571" s="11" t="n">
        <x:v>28.91</x:v>
      </x:c>
      <x:c r="H4571" s="23" t="n">
        <x:v>0.0000014079265296822167</x:v>
      </x:c>
      <x:c r="I4571" s="23" t="n">
        <x:v>0.9997820773720738</x:v>
      </x:c>
      <x:c r="J4571" s="2" t="n">
        <x:v>1</x:v>
      </x:c>
      <x:c r="K4571" s="2"/>
      <x:c r="L4571" s="2"/>
    </x:row>
    <x:row r="4572" ht="22" customHeight="1">
      <x:c r="A4572" s="2"/>
      <x:c r="B4572" s="2" t="n">
        <x:v>4539</x:v>
      </x:c>
      <x:c r="C4572" s="2" t="str">
        <x:v>40005B</x:v>
      </x:c>
      <x:c r="D4572" s="2" t="str">
        <x:v>BLUE ORGANDY ROUND LAMPSHADE W BEA</x:v>
      </x:c>
      <x:c r="E4572" s="11" t="n">
        <x:v>28.9</x:v>
      </x:c>
      <x:c r="F4572" s="11" t="n">
        <x:v>0</x:v>
      </x:c>
      <x:c r="G4572" s="11" t="n">
        <x:v>28.9</x:v>
      </x:c>
      <x:c r="H4572" s="23" t="n">
        <x:v>0.0000014074395263858892</x:v>
      </x:c>
      <x:c r="I4572" s="23" t="n">
        <x:v>0.9997834848116002</x:v>
      </x:c>
      <x:c r="J4572" s="2" t="n">
        <x:v>13</x:v>
      </x:c>
      <x:c r="K4572" s="2"/>
      <x:c r="L4572" s="2"/>
    </x:row>
    <x:row r="4573" ht="22" customHeight="1">
      <x:c r="A4573" s="2"/>
      <x:c r="B4573" s="2" t="n">
        <x:v>4540</x:v>
      </x:c>
      <x:c r="C4573" s="2" t="str">
        <x:v>37489D</x:v>
      </x:c>
      <x:c r="D4573" s="2" t="str">
        <x:v>PINK/GREEN FLOWER DESIGN BIG MUG</x:v>
      </x:c>
      <x:c r="E4573" s="11" t="n">
        <x:v>28.86</x:v>
      </x:c>
      <x:c r="F4573" s="11" t="n">
        <x:v>0</x:v>
      </x:c>
      <x:c r="G4573" s="11" t="n">
        <x:v>28.86</x:v>
      </x:c>
      <x:c r="H4573" s="23" t="n">
        <x:v>0.00000140549151320058</x:v>
      </x:c>
      <x:c r="I4573" s="23" t="n">
        <x:v>0.9997848903031133</x:v>
      </x:c>
      <x:c r="J4573" s="2" t="n">
        <x:v>20</x:v>
      </x:c>
      <x:c r="K4573" s="2"/>
      <x:c r="L4573" s="2"/>
    </x:row>
    <x:row r="4574" ht="22" customHeight="1">
      <x:c r="A4574" s="2"/>
      <x:c r="B4574" s="2" t="n">
        <x:v>4541</x:v>
      </x:c>
      <x:c r="C4574" s="2" t="str">
        <x:v>44089C</x:v>
      </x:c>
      <x:c r="D4574" s="2" t="str">
        <x:v>LILAC GAUZE BUTTERFLY LAMPSHADE</x:v>
      </x:c>
      <x:c r="E4574" s="11" t="n">
        <x:v>28.56</x:v>
      </x:c>
      <x:c r="F4574" s="11" t="n">
        <x:v>0</x:v>
      </x:c>
      <x:c r="G4574" s="11" t="n">
        <x:v>28.56</x:v>
      </x:c>
      <x:c r="H4574" s="23" t="n">
        <x:v>0.0000013908814143107612</x:v>
      </x:c>
      <x:c r="I4574" s="23" t="n">
        <x:v>0.9997862811845276</x:v>
      </x:c>
      <x:c r="J4574" s="2" t="n">
        <x:v>18</x:v>
      </x:c>
      <x:c r="K4574" s="2"/>
      <x:c r="L4574" s="2"/>
    </x:row>
    <x:row r="4575" ht="22" customHeight="1">
      <x:c r="A4575" s="2"/>
      <x:c r="B4575" s="2" t="n">
        <x:v>4542</x:v>
      </x:c>
      <x:c r="C4575" s="2" t="str">
        <x:v>21097</x:v>
      </x:c>
      <x:c r="D4575" s="2" t="str">
        <x:v>SET/6 GREEN SPRING  PAPER PLATE</x:v>
      </x:c>
      <x:c r="E4575" s="11" t="n">
        <x:v>28.049999999999997</x:v>
      </x:c>
      <x:c r="F4575" s="11" t="n">
        <x:v>0</x:v>
      </x:c>
      <x:c r="G4575" s="11" t="n">
        <x:v>28.049999999999997</x:v>
      </x:c>
      <x:c r="H4575" s="23" t="n">
        <x:v>0.000001366044246198069</x:v>
      </x:c>
      <x:c r="I4575" s="23" t="n">
        <x:v>0.9997876472287738</x:v>
      </x:c>
      <x:c r="J4575" s="2" t="n">
        <x:v>7</x:v>
      </x:c>
      <x:c r="K4575" s="2"/>
      <x:c r="L4575" s="2"/>
    </x:row>
    <x:row r="4576" ht="22" customHeight="1">
      <x:c r="A4576" s="2"/>
      <x:c r="B4576" s="2" t="n">
        <x:v>4543</x:v>
      </x:c>
      <x:c r="C4576" s="2" t="str">
        <x:v>37489C</x:v>
      </x:c>
      <x:c r="D4576" s="2" t="str">
        <x:v>GREEN/BLUE FLOWER DESIGN BIG MUG</x:v>
      </x:c>
      <x:c r="E4576" s="11" t="n">
        <x:v>28.009999999999998</x:v>
      </x:c>
      <x:c r="F4576" s="11" t="n">
        <x:v>0</x:v>
      </x:c>
      <x:c r="G4576" s="11" t="n">
        <x:v>28.009999999999998</x:v>
      </x:c>
      <x:c r="H4576" s="23" t="n">
        <x:v>0.0000013640962330127597</x:v>
      </x:c>
      <x:c r="I4576" s="23" t="n">
        <x:v>0.9997890113250067</x:v>
      </x:c>
      <x:c r="J4576" s="2" t="n">
        <x:v>12</x:v>
      </x:c>
      <x:c r="K4576" s="2"/>
      <x:c r="L4576" s="2"/>
    </x:row>
    <x:row r="4577" ht="22" customHeight="1">
      <x:c r="A4577" s="2"/>
      <x:c r="B4577" s="2" t="n">
        <x:v>4544</x:v>
      </x:c>
      <x:c r="C4577" s="2" t="str">
        <x:v>17091F</x:v>
      </x:c>
      <x:c r="D4577" s="2" t="str">
        <x:v>SANDALWOOD INCENSE IN TIN</x:v>
      </x:c>
      <x:c r="E4577" s="11" t="n">
        <x:v>27.71</x:v>
      </x:c>
      <x:c r="F4577" s="11" t="n">
        <x:v>0</x:v>
      </x:c>
      <x:c r="G4577" s="11" t="n">
        <x:v>27.71</x:v>
      </x:c>
      <x:c r="H4577" s="23" t="n">
        <x:v>0.000001349486134122941</x:v>
      </x:c>
      <x:c r="I4577" s="23" t="n">
        <x:v>0.9997903608111409</x:v>
      </x:c>
      <x:c r="J4577" s="2" t="n">
        <x:v>8</x:v>
      </x:c>
      <x:c r="K4577" s="2"/>
      <x:c r="L4577" s="2"/>
    </x:row>
    <x:row r="4578" ht="22" customHeight="1">
      <x:c r="A4578" s="2"/>
      <x:c r="B4578" s="2" t="n">
        <x:v>4545</x:v>
      </x:c>
      <x:c r="C4578" s="2" t="str">
        <x:v>23613</x:v>
      </x:c>
      <x:c r="D4578" s="2" t="str">
        <x:v>SET 10 XMAS CARDS &amp; BADGES 17070</x:v>
      </x:c>
      <x:c r="E4578" s="11" t="n">
        <x:v>27.39</x:v>
      </x:c>
      <x:c r="F4578" s="11" t="n">
        <x:v>0</x:v>
      </x:c>
      <x:c r="G4578" s="11" t="n">
        <x:v>27.39</x:v>
      </x:c>
      <x:c r="H4578" s="23" t="n">
        <x:v>0.0000013339020286404674</x:v>
      </x:c>
      <x:c r="I4578" s="23" t="n">
        <x:v>0.9997916947131695</x:v>
      </x:c>
      <x:c r="J4578" s="2" t="n">
        <x:v>6</x:v>
      </x:c>
      <x:c r="K4578" s="2"/>
      <x:c r="L4578" s="2"/>
    </x:row>
    <x:row r="4579" ht="22" customHeight="1">
      <x:c r="A4579" s="2"/>
      <x:c r="B4579" s="2" t="n">
        <x:v>4546</x:v>
      </x:c>
      <x:c r="C4579" s="2" t="str">
        <x:v>23637</x:v>
      </x:c>
      <x:c r="D4579" s="2" t="str">
        <x:v>SET 10 CARDS OUT OF ORDER 17216</x:v>
      </x:c>
      <x:c r="E4579" s="11" t="n">
        <x:v>27.39</x:v>
      </x:c>
      <x:c r="F4579" s="11" t="n">
        <x:v>0</x:v>
      </x:c>
      <x:c r="G4579" s="11" t="n">
        <x:v>27.39</x:v>
      </x:c>
      <x:c r="H4579" s="23" t="n">
        <x:v>0.0000013339020286404674</x:v>
      </x:c>
      <x:c r="I4579" s="23" t="n">
        <x:v>0.9997930286151981</x:v>
      </x:c>
      <x:c r="J4579" s="2" t="n">
        <x:v>9</x:v>
      </x:c>
      <x:c r="K4579" s="2"/>
      <x:c r="L4579" s="2"/>
    </x:row>
    <x:row r="4580" ht="22" customHeight="1">
      <x:c r="A4580" s="2"/>
      <x:c r="B4580" s="2" t="n">
        <x:v>4547</x:v>
      </x:c>
      <x:c r="C4580" s="2" t="str">
        <x:v>84867b</x:v>
      </x:c>
      <x:c r="D4580" s="2" t="str">
        <x:v>BLUE BABY BOY'S PHOTO ALBUM</x:v>
      </x:c>
      <x:c r="E4580" s="11" t="n">
        <x:v>27.14</x:v>
      </x:c>
      <x:c r="F4580" s="11" t="n">
        <x:v>0</x:v>
      </x:c>
      <x:c r="G4580" s="11" t="n">
        <x:v>27.14</x:v>
      </x:c>
      <x:c r="H4580" s="23" t="n">
        <x:v>0.0000013217269462322851</x:v>
      </x:c>
      <x:c r="I4580" s="23" t="n">
        <x:v>0.9997943503421444</x:v>
      </x:c>
      <x:c r="J4580" s="2" t="n">
        <x:v>1</x:v>
      </x:c>
      <x:c r="K4580" s="2"/>
      <x:c r="L4580" s="2"/>
    </x:row>
    <x:row r="4581" ht="22" customHeight="1">
      <x:c r="A4581" s="2"/>
      <x:c r="B4581" s="2" t="n">
        <x:v>4548</x:v>
      </x:c>
      <x:c r="C4581" s="2" t="str">
        <x:v>90187A</x:v>
      </x:c>
      <x:c r="D4581" s="2" t="str">
        <x:v>BLUE DROP EARRINGS W BEAD CLUSTER</x:v>
      </x:c>
      <x:c r="E4581" s="11" t="n">
        <x:v>27.04</x:v>
      </x:c>
      <x:c r="F4581" s="11" t="n">
        <x:v>0</x:v>
      </x:c>
      <x:c r="G4581" s="11" t="n">
        <x:v>27.04</x:v>
      </x:c>
      <x:c r="H4581" s="23" t="n">
        <x:v>0.000001316856913269012</x:v>
      </x:c>
      <x:c r="I4581" s="23" t="n">
        <x:v>0.9997956671990577</x:v>
      </x:c>
      <x:c r="J4581" s="2" t="n">
        <x:v>7</x:v>
      </x:c>
      <x:c r="K4581" s="2"/>
      <x:c r="L4581" s="2"/>
    </x:row>
    <x:row r="4582" ht="22" customHeight="1">
      <x:c r="A4582" s="2"/>
      <x:c r="B4582" s="2" t="n">
        <x:v>4549</x:v>
      </x:c>
      <x:c r="C4582" s="2" t="str">
        <x:v>23702</x:v>
      </x:c>
      <x:c r="D4582" s="2" t="str">
        <x:v>High Resolution Image</x:v>
      </x:c>
      <x:c r="E4582" s="11" t="n">
        <x:v>27</x:v>
      </x:c>
      <x:c r="F4582" s="11" t="n">
        <x:v>0</x:v>
      </x:c>
      <x:c r="G4582" s="11" t="n">
        <x:v>27</x:v>
      </x:c>
      <x:c r="H4582" s="23" t="n">
        <x:v>0.000001314908900083703</x:v>
      </x:c>
      <x:c r="I4582" s="23" t="n">
        <x:v>0.9997969821079578</x:v>
      </x:c>
      <x:c r="J4582" s="2" t="n">
        <x:v>3</x:v>
      </x:c>
      <x:c r="K4582" s="2"/>
      <x:c r="L4582" s="2"/>
    </x:row>
    <x:row r="4583" ht="22" customHeight="1">
      <x:c r="A4583" s="2"/>
      <x:c r="B4583" s="2" t="n">
        <x:v>4550</x:v>
      </x:c>
      <x:c r="C4583" s="2" t="str">
        <x:v>17013F</x:v>
      </x:c>
      <x:c r="D4583" s="2" t="str">
        <x:v>ORIGAMI SANDLEWOOD INCENSE IN TUBE</x:v>
      </x:c>
      <x:c r="E4583" s="11" t="n">
        <x:v>26.7</x:v>
      </x:c>
      <x:c r="F4583" s="11" t="n">
        <x:v>0</x:v>
      </x:c>
      <x:c r="G4583" s="11" t="n">
        <x:v>26.7</x:v>
      </x:c>
      <x:c r="H4583" s="23" t="n">
        <x:v>0.000001300298801193884</x:v>
      </x:c>
      <x:c r="I4583" s="23" t="n">
        <x:v>0.9997982824067589</x:v>
      </x:c>
      <x:c r="J4583" s="2" t="n">
        <x:v>5</x:v>
      </x:c>
      <x:c r="K4583" s="2"/>
      <x:c r="L4583" s="2"/>
    </x:row>
    <x:row r="4584" ht="22" customHeight="1">
      <x:c r="A4584" s="2"/>
      <x:c r="B4584" s="2" t="n">
        <x:v>4551</x:v>
      </x:c>
      <x:c r="C4584" s="2" t="str">
        <x:v>90027A</x:v>
      </x:c>
      <x:c r="D4584" s="2" t="str">
        <x:v>GLASS BEAD HOOP EARRINGS BLACK</x:v>
      </x:c>
      <x:c r="E4584" s="11" t="n">
        <x:v>26.52</x:v>
      </x:c>
      <x:c r="F4584" s="11" t="n">
        <x:v>0</x:v>
      </x:c>
      <x:c r="G4584" s="11" t="n">
        <x:v>26.52</x:v>
      </x:c>
      <x:c r="H4584" s="23" t="n">
        <x:v>0.0000012915327418599925</x:v>
      </x:c>
      <x:c r="I4584" s="23" t="n">
        <x:v>0.9997995739395008</x:v>
      </x:c>
      <x:c r="J4584" s="2" t="n">
        <x:v>6</x:v>
      </x:c>
      <x:c r="K4584" s="2"/>
      <x:c r="L4584" s="2"/>
    </x:row>
    <x:row r="4585" ht="22" customHeight="1">
      <x:c r="A4585" s="2"/>
      <x:c r="B4585" s="2" t="n">
        <x:v>4552</x:v>
      </x:c>
      <x:c r="C4585" s="2" t="str">
        <x:v>90025E</x:v>
      </x:c>
      <x:c r="D4585" s="2" t="str">
        <x:v>BAROQUE BUTTERFLY EARRINGS MONTANA</x:v>
      </x:c>
      <x:c r="E4585" s="11" t="n">
        <x:v>26.5</x:v>
      </x:c>
      <x:c r="F4585" s="11" t="n">
        <x:v>0</x:v>
      </x:c>
      <x:c r="G4585" s="11" t="n">
        <x:v>26.5</x:v>
      </x:c>
      <x:c r="H4585" s="23" t="n">
        <x:v>0.0000012905587352673379</x:v>
      </x:c>
      <x:c r="I4585" s="23" t="n">
        <x:v>0.999800864498236</x:v>
      </x:c>
      <x:c r="J4585" s="2" t="n">
        <x:v>7</x:v>
      </x:c>
      <x:c r="K4585" s="2"/>
      <x:c r="L4585" s="2"/>
    </x:row>
    <x:row r="4586" ht="22" customHeight="1">
      <x:c r="A4586" s="2"/>
      <x:c r="B4586" s="2" t="n">
        <x:v>4553</x:v>
      </x:c>
      <x:c r="C4586" s="2" t="str">
        <x:v>23636</x:v>
      </x:c>
      <x:c r="D4586" s="2" t="str">
        <x:v>SET 10 CARDS WISHING TREE 17116</x:v>
      </x:c>
      <x:c r="E4586" s="11" t="n">
        <x:v>26.19</x:v>
      </x:c>
      <x:c r="F4586" s="11" t="n">
        <x:v>0</x:v>
      </x:c>
      <x:c r="G4586" s="11" t="n">
        <x:v>26.19</x:v>
      </x:c>
      <x:c r="H4586" s="23" t="n">
        <x:v>0.0000012754616330811919</x:v>
      </x:c>
      <x:c r="I4586" s="23" t="n">
        <x:v>0.9998021399598691</x:v>
      </x:c>
      <x:c r="J4586" s="2" t="n">
        <x:v>7</x:v>
      </x:c>
      <x:c r="K4586" s="2"/>
      <x:c r="L4586" s="2"/>
    </x:row>
    <x:row r="4587" ht="22" customHeight="1">
      <x:c r="A4587" s="2"/>
      <x:c r="B4587" s="2" t="n">
        <x:v>4554</x:v>
      </x:c>
      <x:c r="C4587" s="2" t="str">
        <x:v>90182A</x:v>
      </x:c>
      <x:c r="D4587" s="2" t="str">
        <x:v>AMBER 3 BEAD DROP EARRINGS</x:v>
      </x:c>
      <x:c r="E4587" s="11" t="n">
        <x:v>26.16</x:v>
      </x:c>
      <x:c r="F4587" s="11" t="n">
        <x:v>0</x:v>
      </x:c>
      <x:c r="G4587" s="11" t="n">
        <x:v>26.16</x:v>
      </x:c>
      <x:c r="H4587" s="23" t="n">
        <x:v>0.0000012740006231922098</x:v>
      </x:c>
      <x:c r="I4587" s="23" t="n">
        <x:v>0.9998034139604923</x:v>
      </x:c>
      <x:c r="J4587" s="2" t="n">
        <x:v>9</x:v>
      </x:c>
      <x:c r="K4587" s="2"/>
      <x:c r="L4587" s="2"/>
    </x:row>
    <x:row r="4588" ht="22" customHeight="1">
      <x:c r="A4588" s="2"/>
      <x:c r="B4588" s="2" t="n">
        <x:v>4555</x:v>
      </x:c>
      <x:c r="C4588" s="2" t="str">
        <x:v>85164b</x:v>
      </x:c>
      <x:c r="D4588" s="2" t="str">
        <x:v>BLACK BAROQUE CUCKOO CLOCK</x:v>
      </x:c>
      <x:c r="E4588" s="11" t="n">
        <x:v>26.04</x:v>
      </x:c>
      <x:c r="F4588" s="11" t="n">
        <x:v>0</x:v>
      </x:c>
      <x:c r="G4588" s="11" t="n">
        <x:v>26.04</x:v>
      </x:c>
      <x:c r="H4588" s="23" t="n">
        <x:v>0.0000012681565836362822</x:v>
      </x:c>
      <x:c r="I4588" s="23" t="n">
        <x:v>0.999804682117076</x:v>
      </x:c>
      <x:c r="J4588" s="2" t="n">
        <x:v>1</x:v>
      </x:c>
      <x:c r="K4588" s="2"/>
      <x:c r="L4588" s="2"/>
    </x:row>
    <x:row r="4589" ht="22" customHeight="1">
      <x:c r="A4589" s="2"/>
      <x:c r="B4589" s="2" t="n">
        <x:v>4556</x:v>
      </x:c>
      <x:c r="C4589" s="2" t="str">
        <x:v>90041</x:v>
      </x:c>
      <x:c r="D4589" s="2" t="str">
        <x:v>PEARL AND CHERRY QUARTZ BRACLET</x:v>
      </x:c>
      <x:c r="E4589" s="11" t="n">
        <x:v>25.67</x:v>
      </x:c>
      <x:c r="F4589" s="11" t="n">
        <x:v>0</x:v>
      </x:c>
      <x:c r="G4589" s="11" t="n">
        <x:v>25.67</x:v>
      </x:c>
      <x:c r="H4589" s="23" t="n">
        <x:v>0.0000012501374616721725</x:v>
      </x:c>
      <x:c r="I4589" s="23" t="n">
        <x:v>0.9998059322545376</x:v>
      </x:c>
      <x:c r="J4589" s="2" t="n">
        <x:v>6</x:v>
      </x:c>
      <x:c r="K4589" s="2"/>
      <x:c r="L4589" s="2"/>
    </x:row>
    <x:row r="4590" ht="22" customHeight="1">
      <x:c r="A4590" s="2"/>
      <x:c r="B4590" s="2" t="n">
        <x:v>4557</x:v>
      </x:c>
      <x:c r="C4590" s="2" t="str">
        <x:v>20954</x:v>
      </x:c>
      <x:c r="D4590" s="2" t="str">
        <x:v>*USB Office Mirror Ball</x:v>
      </x:c>
      <x:c r="E4590" s="11" t="n">
        <x:v>25.590000000000003</x:v>
      </x:c>
      <x:c r="F4590" s="11" t="n">
        <x:v>0</x:v>
      </x:c>
      <x:c r="G4590" s="11" t="n">
        <x:v>25.590000000000003</x:v>
      </x:c>
      <x:c r="H4590" s="23" t="n">
        <x:v>0.0000012462414353015542</x:v>
      </x:c>
      <x:c r="I4590" s="23" t="n">
        <x:v>0.9998071784959729</x:v>
      </x:c>
      <x:c r="J4590" s="2" t="n">
        <x:v>3</x:v>
      </x:c>
      <x:c r="K4590" s="2"/>
      <x:c r="L4590" s="2"/>
    </x:row>
    <x:row r="4591" ht="22" customHeight="1">
      <x:c r="A4591" s="2"/>
      <x:c r="B4591" s="2" t="n">
        <x:v>4558</x:v>
      </x:c>
      <x:c r="C4591" s="2" t="str">
        <x:v>90142A</x:v>
      </x:c>
      <x:c r="D4591" s="2" t="str">
        <x:v>GREEN PENDANT SHELL NECKLACE</x:v>
      </x:c>
      <x:c r="E4591" s="11" t="n">
        <x:v>25.45</x:v>
      </x:c>
      <x:c r="F4591" s="11" t="n">
        <x:v>0</x:v>
      </x:c>
      <x:c r="G4591" s="11" t="n">
        <x:v>25.45</x:v>
      </x:c>
      <x:c r="H4591" s="23" t="n">
        <x:v>0.0000012394233891529718</x:v>
      </x:c>
      <x:c r="I4591" s="23" t="n">
        <x:v>0.999808417919362</x:v>
      </x:c>
      <x:c r="J4591" s="2" t="n">
        <x:v>4</x:v>
      </x:c>
      <x:c r="K4591" s="2"/>
      <x:c r="L4591" s="2"/>
    </x:row>
    <x:row r="4592" ht="22" customHeight="1">
      <x:c r="A4592" s="2"/>
      <x:c r="B4592" s="2" t="n">
        <x:v>4559</x:v>
      </x:c>
      <x:c r="C4592" s="2" t="str">
        <x:v>DCGS0070</x:v>
      </x:c>
      <x:c r="D4592" s="2" t="str">
        <x:v>CAMOUFLAGE DOG COLLAR</x:v>
      </x:c>
      <x:c r="E4592" s="11" t="n">
        <x:v>25.44</x:v>
      </x:c>
      <x:c r="F4592" s="11" t="n">
        <x:v>0</x:v>
      </x:c>
      <x:c r="G4592" s="11" t="n">
        <x:v>25.44</x:v>
      </x:c>
      <x:c r="H4592" s="23" t="n">
        <x:v>0.0000012389363858566445</x:v>
      </x:c>
      <x:c r="I4592" s="23" t="n">
        <x:v>0.9998096568557479</x:v>
      </x:c>
      <x:c r="J4592" s="2" t="n">
        <x:v>2</x:v>
      </x:c>
      <x:c r="K4592" s="2"/>
      <x:c r="L4592" s="2"/>
    </x:row>
    <x:row r="4593" ht="22" customHeight="1">
      <x:c r="A4593" s="2"/>
      <x:c r="B4593" s="2" t="n">
        <x:v>4560</x:v>
      </x:c>
      <x:c r="C4593" s="2" t="str">
        <x:v>85035a</x:v>
      </x:c>
      <x:c r="D4593" s="2" t="str">
        <x:v>GARDENIA 3 WICK MORRIS BOXED CANDLE</x:v>
      </x:c>
      <x:c r="E4593" s="11" t="n">
        <x:v>25.410000000000004</x:v>
      </x:c>
      <x:c r="F4593" s="11" t="n">
        <x:v>0</x:v>
      </x:c>
      <x:c r="G4593" s="11" t="n">
        <x:v>25.410000000000004</x:v>
      </x:c>
      <x:c r="H4593" s="23" t="n">
        <x:v>0.0000012374753759676627</x:v>
      </x:c>
      <x:c r="I4593" s="23" t="n">
        <x:v>0.9998108943311238</x:v>
      </x:c>
      <x:c r="J4593" s="2" t="n">
        <x:v>3</x:v>
      </x:c>
      <x:c r="K4593" s="2"/>
      <x:c r="L4593" s="2"/>
    </x:row>
    <x:row r="4594" ht="22" customHeight="1">
      <x:c r="A4594" s="2"/>
      <x:c r="B4594" s="2" t="n">
        <x:v>4561</x:v>
      </x:c>
      <x:c r="C4594" s="2" t="str">
        <x:v>47552A</x:v>
      </x:c>
      <x:c r="D4594" s="2" t="str">
        <x:v>DOTS IRONING BOARD COVER</x:v>
      </x:c>
      <x:c r="E4594" s="11" t="n">
        <x:v>25.35</x:v>
      </x:c>
      <x:c r="F4594" s="11" t="n">
        <x:v>3.3</x:v>
      </x:c>
      <x:c r="G4594" s="11" t="n">
        <x:v>22.05</x:v>
      </x:c>
      <x:c r="H4594" s="23" t="n">
        <x:v>0.000001234553356189699</x:v>
      </x:c>
      <x:c r="I4594" s="23" t="n">
        <x:v>0.99981212888448</x:v>
      </x:c>
      <x:c r="J4594" s="2" t="n">
        <x:v>11</x:v>
      </x:c>
      <x:c r="K4594" s="2"/>
      <x:c r="L4594" s="2"/>
    </x:row>
    <x:row r="4595" ht="22" customHeight="1">
      <x:c r="A4595" s="2"/>
      <x:c r="B4595" s="2" t="n">
        <x:v>4562</x:v>
      </x:c>
      <x:c r="C4595" s="2" t="str">
        <x:v>90214Y</x:v>
      </x:c>
      <x:c r="D4595" s="2" t="str">
        <x:v>LETTER "Y" BLING KEY RING</x:v>
      </x:c>
      <x:c r="E4595" s="11" t="n">
        <x:v>25.339999999999996</x:v>
      </x:c>
      <x:c r="F4595" s="11" t="n">
        <x:v>0</x:v>
      </x:c>
      <x:c r="G4595" s="11" t="n">
        <x:v>25.339999999999996</x:v>
      </x:c>
      <x:c r="H4595" s="23" t="n">
        <x:v>0.0000012340663528933712</x:v>
      </x:c>
      <x:c r="I4595" s="23" t="n">
        <x:v>0.9998133629508329</x:v>
      </x:c>
      <x:c r="J4595" s="2" t="n">
        <x:v>10</x:v>
      </x:c>
      <x:c r="K4595" s="2"/>
      <x:c r="L4595" s="2"/>
    </x:row>
    <x:row r="4596" ht="22" customHeight="1">
      <x:c r="A4596" s="2"/>
      <x:c r="B4596" s="2" t="n">
        <x:v>4563</x:v>
      </x:c>
      <x:c r="C4596" s="2" t="str">
        <x:v>90055</x:v>
      </x:c>
      <x:c r="D4596" s="2" t="str">
        <x:v>CRACKED GLAZE EARRINGS BROWN</x:v>
      </x:c>
      <x:c r="E4596" s="11" t="n">
        <x:v>25.28</x:v>
      </x:c>
      <x:c r="F4596" s="11" t="n">
        <x:v>0</x:v>
      </x:c>
      <x:c r="G4596" s="11" t="n">
        <x:v>25.28</x:v>
      </x:c>
      <x:c r="H4596" s="23" t="n">
        <x:v>0.0000012311443331154078</x:v>
      </x:c>
      <x:c r="I4596" s="23" t="n">
        <x:v>0.999814594095166</x:v>
      </x:c>
      <x:c r="J4596" s="2" t="n">
        <x:v>10</x:v>
      </x:c>
      <x:c r="K4596" s="2"/>
      <x:c r="L4596" s="2"/>
    </x:row>
    <x:row r="4597" ht="22" customHeight="1">
      <x:c r="A4597" s="2"/>
      <x:c r="B4597" s="2" t="n">
        <x:v>4564</x:v>
      </x:c>
      <x:c r="C4597" s="2" t="str">
        <x:v>35597D</x:v>
      </x:c>
      <x:c r="D4597" s="2" t="str">
        <x:v>PINK/WHITE CHRISTMAS TREE 30CM</x:v>
      </x:c>
      <x:c r="E4597" s="11" t="n">
        <x:v>25.28</x:v>
      </x:c>
      <x:c r="F4597" s="11" t="n">
        <x:v>0</x:v>
      </x:c>
      <x:c r="G4597" s="11" t="n">
        <x:v>25.28</x:v>
      </x:c>
      <x:c r="H4597" s="23" t="n">
        <x:v>0.0000012311443331154078</x:v>
      </x:c>
      <x:c r="I4597" s="23" t="n">
        <x:v>0.9998158252394992</x:v>
      </x:c>
      <x:c r="J4597" s="2" t="n">
        <x:v>7</x:v>
      </x:c>
      <x:c r="K4597" s="2"/>
      <x:c r="L4597" s="2"/>
    </x:row>
    <x:row r="4598" ht="22" customHeight="1">
      <x:c r="A4598" s="2"/>
      <x:c r="B4598" s="2" t="n">
        <x:v>4565</x:v>
      </x:c>
      <x:c r="C4598" s="2" t="str">
        <x:v>90053</x:v>
      </x:c>
      <x:c r="D4598" s="2" t="str">
        <x:v>CRACKED GLAZE EARRINGS IVORY</x:v>
      </x:c>
      <x:c r="E4598" s="11" t="n">
        <x:v>25.23</x:v>
      </x:c>
      <x:c r="F4598" s="11" t="n">
        <x:v>0</x:v>
      </x:c>
      <x:c r="G4598" s="11" t="n">
        <x:v>25.23</x:v>
      </x:c>
      <x:c r="H4598" s="23" t="n">
        <x:v>0.0000012287093166337713</x:v>
      </x:c>
      <x:c r="I4598" s="23" t="n">
        <x:v>0.9998170539488158</x:v>
      </x:c>
      <x:c r="J4598" s="2" t="n">
        <x:v>10</x:v>
      </x:c>
      <x:c r="K4598" s="2"/>
      <x:c r="L4598" s="2"/>
    </x:row>
    <x:row r="4599" ht="22" customHeight="1">
      <x:c r="A4599" s="2"/>
      <x:c r="B4599" s="2" t="n">
        <x:v>4566</x:v>
      </x:c>
      <x:c r="C4599" s="2" t="str">
        <x:v>84596b</x:v>
      </x:c>
      <x:c r="D4599" s="2" t="str">
        <x:v>SMALL DOLLY MIX DESIGN ORANGE BOWL</x:v>
      </x:c>
      <x:c r="E4599" s="11" t="n">
        <x:v>25.099999999999998</x:v>
      </x:c>
      <x:c r="F4599" s="11" t="n">
        <x:v>0</x:v>
      </x:c>
      <x:c r="G4599" s="11" t="n">
        <x:v>25.099999999999998</x:v>
      </x:c>
      <x:c r="H4599" s="23" t="n">
        <x:v>0.0000012223782737815162</x:v>
      </x:c>
      <x:c r="I4599" s="23" t="n">
        <x:v>0.9998182763270896</x:v>
      </x:c>
      <x:c r="J4599" s="2" t="n">
        <x:v>8</x:v>
      </x:c>
      <x:c r="K4599" s="2"/>
      <x:c r="L4599" s="2"/>
    </x:row>
    <x:row r="4600" ht="22" customHeight="1">
      <x:c r="A4600" s="2"/>
      <x:c r="B4600" s="2" t="n">
        <x:v>4567</x:v>
      </x:c>
      <x:c r="C4600" s="2" t="str">
        <x:v>72801g</x:v>
      </x:c>
      <x:c r="D4600" s="2" t="str">
        <x:v>4 BURGUNDY WINE DINNER CANDLES</x:v>
      </x:c>
      <x:c r="E4600" s="11" t="n">
        <x:v>25.099999999999998</x:v>
      </x:c>
      <x:c r="F4600" s="11" t="n">
        <x:v>0</x:v>
      </x:c>
      <x:c r="G4600" s="11" t="n">
        <x:v>25.099999999999998</x:v>
      </x:c>
      <x:c r="H4600" s="23" t="n">
        <x:v>0.0000012223782737815162</x:v>
      </x:c>
      <x:c r="I4600" s="23" t="n">
        <x:v>0.9998194987053635</x:v>
      </x:c>
      <x:c r="J4600" s="2" t="n">
        <x:v>3</x:v>
      </x:c>
      <x:c r="K4600" s="2"/>
      <x:c r="L4600" s="2"/>
    </x:row>
    <x:row r="4601" ht="22" customHeight="1">
      <x:c r="A4601" s="2"/>
      <x:c r="B4601" s="2" t="n">
        <x:v>4568</x:v>
      </x:c>
      <x:c r="C4601" s="2" t="str">
        <x:v>90128C</x:v>
      </x:c>
      <x:c r="D4601" s="2" t="str">
        <x:v>GREEN LEAVES AND BEADS PHONE CHARM</x:v>
      </x:c>
      <x:c r="E4601" s="11" t="n">
        <x:v>25.04</x:v>
      </x:c>
      <x:c r="F4601" s="11" t="n">
        <x:v>0</x:v>
      </x:c>
      <x:c r="G4601" s="11" t="n">
        <x:v>25.04</x:v>
      </x:c>
      <x:c r="H4601" s="23" t="n">
        <x:v>0.0000012194562540035525</x:v>
      </x:c>
      <x:c r="I4601" s="23" t="n">
        <x:v>0.9998207181616174</x:v>
      </x:c>
      <x:c r="J4601" s="2" t="n">
        <x:v>6</x:v>
      </x:c>
      <x:c r="K4601" s="2"/>
      <x:c r="L4601" s="2"/>
    </x:row>
    <x:row r="4602" ht="22" customHeight="1">
      <x:c r="A4602" s="2"/>
      <x:c r="B4602" s="2" t="n">
        <x:v>4569</x:v>
      </x:c>
      <x:c r="C4602" s="2" t="str">
        <x:v>23620</x:v>
      </x:c>
      <x:c r="D4602" s="2" t="str">
        <x:v>SET 10 CARDS PERFECT POST 17090</x:v>
      </x:c>
      <x:c r="E4602" s="11" t="n">
        <x:v>24.900000000000002</x:v>
      </x:c>
      <x:c r="F4602" s="11" t="n">
        <x:v>0</x:v>
      </x:c>
      <x:c r="G4602" s="11" t="n">
        <x:v>24.900000000000002</x:v>
      </x:c>
      <x:c r="H4602" s="23" t="n">
        <x:v>0.0000012126382078549705</x:v>
      </x:c>
      <x:c r="I4602" s="23" t="n">
        <x:v>0.9998219307998253</x:v>
      </x:c>
      <x:c r="J4602" s="2" t="n">
        <x:v>7</x:v>
      </x:c>
      <x:c r="K4602" s="2"/>
      <x:c r="L4602" s="2"/>
    </x:row>
    <x:row r="4603" ht="22" customHeight="1">
      <x:c r="A4603" s="2"/>
      <x:c r="B4603" s="2" t="n">
        <x:v>4570</x:v>
      </x:c>
      <x:c r="C4603" s="2" t="str">
        <x:v>85034a</x:v>
      </x:c>
      <x:c r="D4603" s="2" t="str">
        <x:v>3 GARDENIA MORRIS BOXED CANDLES</x:v>
      </x:c>
      <x:c r="E4603" s="11" t="n">
        <x:v>24.869999999999997</x:v>
      </x:c>
      <x:c r="F4603" s="11" t="n">
        <x:v>0</x:v>
      </x:c>
      <x:c r="G4603" s="11" t="n">
        <x:v>24.869999999999997</x:v>
      </x:c>
      <x:c r="H4603" s="23" t="n">
        <x:v>0.0000012111771979659885</x:v>
      </x:c>
      <x:c r="I4603" s="23" t="n">
        <x:v>0.9998231419770233</x:v>
      </x:c>
      <x:c r="J4603" s="2" t="n">
        <x:v>3</x:v>
      </x:c>
      <x:c r="K4603" s="2"/>
      <x:c r="L4603" s="2"/>
    </x:row>
    <x:row r="4604" ht="22" customHeight="1">
      <x:c r="A4604" s="2"/>
      <x:c r="B4604" s="2" t="n">
        <x:v>4571</x:v>
      </x:c>
      <x:c r="C4604" s="2" t="str">
        <x:v>84550</x:v>
      </x:c>
      <x:c r="D4604" s="2" t="str">
        <x:v>CROCHET LILAC/RED BEAR KEYRING</x:v>
      </x:c>
      <x:c r="E4604" s="11" t="n">
        <x:v>24.749999999999996</x:v>
      </x:c>
      <x:c r="F4604" s="11" t="n">
        <x:v>0</x:v>
      </x:c>
      <x:c r="G4604" s="11" t="n">
        <x:v>24.749999999999996</x:v>
      </x:c>
      <x:c r="H4604" s="23" t="n">
        <x:v>0.0000012053331584100609</x:v>
      </x:c>
      <x:c r="I4604" s="23" t="n">
        <x:v>0.9998243473101817</x:v>
      </x:c>
      <x:c r="J4604" s="2" t="n">
        <x:v>5</x:v>
      </x:c>
      <x:c r="K4604" s="2"/>
      <x:c r="L4604" s="2"/>
    </x:row>
    <x:row r="4605" ht="22" customHeight="1">
      <x:c r="A4605" s="2"/>
      <x:c r="B4605" s="2" t="n">
        <x:v>4572</x:v>
      </x:c>
      <x:c r="C4605" s="2" t="str">
        <x:v>35633B</x:v>
      </x:c>
      <x:c r="D4605" s="2" t="str">
        <x:v>BLUE TINSEL GARLAND </x:v>
      </x:c>
      <x:c r="E4605" s="11" t="n">
        <x:v>24.7</x:v>
      </x:c>
      <x:c r="F4605" s="11" t="n">
        <x:v>0</x:v>
      </x:c>
      <x:c r="G4605" s="11" t="n">
        <x:v>24.7</x:v>
      </x:c>
      <x:c r="H4605" s="23" t="n">
        <x:v>0.0000012028981419284244</x:v>
      </x:c>
      <x:c r="I4605" s="23" t="n">
        <x:v>0.9998255502083236</x:v>
      </x:c>
      <x:c r="J4605" s="2" t="n">
        <x:v>12</x:v>
      </x:c>
      <x:c r="K4605" s="2"/>
      <x:c r="L4605" s="2"/>
    </x:row>
    <x:row r="4606" ht="22" customHeight="1">
      <x:c r="A4606" s="2"/>
      <x:c r="B4606" s="2" t="n">
        <x:v>4573</x:v>
      </x:c>
      <x:c r="C4606" s="2" t="str">
        <x:v>35596</x:v>
      </x:c>
      <x:c r="D4606" s="2" t="str">
        <x:v>WOOD XMAS TREE 9 FIG SHELVES</x:v>
      </x:c>
      <x:c r="E4606" s="11" t="n">
        <x:v>24.65</x:v>
      </x:c>
      <x:c r="F4606" s="11" t="n">
        <x:v>0</x:v>
      </x:c>
      <x:c r="G4606" s="11" t="n">
        <x:v>24.65</x:v>
      </x:c>
      <x:c r="H4606" s="23" t="n">
        <x:v>0.0000012004631254467878</x:v>
      </x:c>
      <x:c r="I4606" s="23" t="n">
        <x:v>0.9998267506714491</x:v>
      </x:c>
      <x:c r="J4606" s="2" t="n">
        <x:v>4</x:v>
      </x:c>
      <x:c r="K4606" s="2"/>
      <x:c r="L4606" s="2"/>
    </x:row>
    <x:row r="4607" ht="22" customHeight="1">
      <x:c r="A4607" s="2"/>
      <x:c r="B4607" s="2" t="n">
        <x:v>4574</x:v>
      </x:c>
      <x:c r="C4607" s="2" t="str">
        <x:v>10124A</x:v>
      </x:c>
      <x:c r="D4607" s="2" t="str">
        <x:v>SPOTS ON RED BOOKCOVER TAPE</x:v>
      </x:c>
      <x:c r="E4607" s="11" t="n">
        <x:v>24.36</x:v>
      </x:c>
      <x:c r="F4607" s="11" t="n">
        <x:v>0</x:v>
      </x:c>
      <x:c r="G4607" s="11" t="n">
        <x:v>24.36</x:v>
      </x:c>
      <x:c r="H4607" s="23" t="n">
        <x:v>0.0000011863400298532964</x:v>
      </x:c>
      <x:c r="I4607" s="23" t="n">
        <x:v>0.999827937011479</x:v>
      </x:c>
      <x:c r="J4607" s="2" t="n">
        <x:v>18</x:v>
      </x:c>
      <x:c r="K4607" s="2"/>
      <x:c r="L4607" s="2"/>
    </x:row>
    <x:row r="4608" ht="22" customHeight="1">
      <x:c r="A4608" s="2"/>
      <x:c r="B4608" s="2" t="n">
        <x:v>4575</x:v>
      </x:c>
      <x:c r="C4608" s="2" t="str">
        <x:v>84450A</x:v>
      </x:c>
      <x:c r="D4608" s="2" t="str">
        <x:v>PINK RABBIT SITTING EASTER</x:v>
      </x:c>
      <x:c r="E4608" s="11" t="n">
        <x:v>24.18</x:v>
      </x:c>
      <x:c r="F4608" s="11" t="n">
        <x:v>1.68</x:v>
      </x:c>
      <x:c r="G4608" s="11" t="n">
        <x:v>22.5</x:v>
      </x:c>
      <x:c r="H4608" s="23" t="n">
        <x:v>0.000001177573970519405</x:v>
      </x:c>
      <x:c r="I4608" s="23" t="n">
        <x:v>0.9998291145854495</x:v>
      </x:c>
      <x:c r="J4608" s="2" t="n">
        <x:v>5</x:v>
      </x:c>
      <x:c r="K4608" s="2"/>
      <x:c r="L4608" s="2"/>
    </x:row>
    <x:row r="4609" ht="22" customHeight="1">
      <x:c r="A4609" s="2"/>
      <x:c r="B4609" s="2" t="n">
        <x:v>4576</x:v>
      </x:c>
      <x:c r="C4609" s="2" t="str">
        <x:v>37494a</x:v>
      </x:c>
      <x:c r="D4609" s="2" t="str">
        <x:v>FAIRY CAKE CERAMIC BUTTER DISH</x:v>
      </x:c>
      <x:c r="E4609" s="11" t="n">
        <x:v>24.16</x:v>
      </x:c>
      <x:c r="F4609" s="11" t="n">
        <x:v>0</x:v>
      </x:c>
      <x:c r="G4609" s="11" t="n">
        <x:v>24.16</x:v>
      </x:c>
      <x:c r="H4609" s="23" t="n">
        <x:v>0.0000011765999639267505</x:v>
      </x:c>
      <x:c r="I4609" s="23" t="n">
        <x:v>0.9998302911854134</x:v>
      </x:c>
      <x:c r="J4609" s="2" t="n">
        <x:v>3</x:v>
      </x:c>
      <x:c r="K4609" s="2"/>
      <x:c r="L4609" s="2"/>
    </x:row>
    <x:row r="4610" ht="22" customHeight="1">
      <x:c r="A4610" s="2"/>
      <x:c r="B4610" s="2" t="n">
        <x:v>4577</x:v>
      </x:c>
      <x:c r="C4610" s="2" t="str">
        <x:v>84575B</x:v>
      </x:c>
      <x:c r="D4610" s="2" t="str">
        <x:v>BROWN DOG CANNISTER W BONE</x:v>
      </x:c>
      <x:c r="E4610" s="11" t="n">
        <x:v>23.8</x:v>
      </x:c>
      <x:c r="F4610" s="11" t="n">
        <x:v>0</x:v>
      </x:c>
      <x:c r="G4610" s="11" t="n">
        <x:v>23.8</x:v>
      </x:c>
      <x:c r="H4610" s="23" t="n">
        <x:v>0.0000011590678452589678</x:v>
      </x:c>
      <x:c r="I4610" s="23" t="n">
        <x:v>0.9998314502532587</x:v>
      </x:c>
      <x:c r="J4610" s="2" t="n">
        <x:v>3</x:v>
      </x:c>
      <x:c r="K4610" s="2"/>
      <x:c r="L4610" s="2"/>
    </x:row>
    <x:row r="4611" ht="22" customHeight="1">
      <x:c r="A4611" s="2"/>
      <x:c r="B4611" s="2" t="n">
        <x:v>4578</x:v>
      </x:c>
      <x:c r="C4611" s="2" t="str">
        <x:v>79302m</x:v>
      </x:c>
      <x:c r="D4611" s="2" t="str">
        <x:v>ART LIGHTS,FUNK MONKEY</x:v>
      </x:c>
      <x:c r="E4611" s="11" t="n">
        <x:v>23.77</x:v>
      </x:c>
      <x:c r="F4611" s="11" t="n">
        <x:v>0</x:v>
      </x:c>
      <x:c r="G4611" s="11" t="n">
        <x:v>23.77</x:v>
      </x:c>
      <x:c r="H4611" s="23" t="n">
        <x:v>0.0000011576068353699857</x:v>
      </x:c>
      <x:c r="I4611" s="23" t="n">
        <x:v>0.9998326078600941</x:v>
      </x:c>
      <x:c r="J4611" s="2" t="n">
        <x:v>4</x:v>
      </x:c>
      <x:c r="K4611" s="2"/>
      <x:c r="L4611" s="2"/>
    </x:row>
    <x:row r="4612" ht="22" customHeight="1">
      <x:c r="A4612" s="2"/>
      <x:c r="B4612" s="2" t="n">
        <x:v>4579</x:v>
      </x:c>
      <x:c r="C4612" s="2" t="str">
        <x:v>90128B</x:v>
      </x:c>
      <x:c r="D4612" s="2" t="str">
        <x:v>BLUE LEAVES AND BEADS PHONE CHARM</x:v>
      </x:c>
      <x:c r="E4612" s="11" t="n">
        <x:v>23.759999999999998</x:v>
      </x:c>
      <x:c r="F4612" s="11" t="n">
        <x:v>0</x:v>
      </x:c>
      <x:c r="G4612" s="11" t="n">
        <x:v>23.759999999999998</x:v>
      </x:c>
      <x:c r="H4612" s="23" t="n">
        <x:v>0.0000011571198320736585</x:v>
      </x:c>
      <x:c r="I4612" s="23" t="n">
        <x:v>0.9998337649799262</x:v>
      </x:c>
      <x:c r="J4612" s="2" t="n">
        <x:v>6</x:v>
      </x:c>
      <x:c r="K4612" s="2"/>
      <x:c r="L4612" s="2"/>
    </x:row>
    <x:row r="4613" ht="22" customHeight="1">
      <x:c r="A4613" s="2"/>
      <x:c r="B4613" s="2" t="n">
        <x:v>4580</x:v>
      </x:c>
      <x:c r="C4613" s="2" t="str">
        <x:v>17014F</x:v>
      </x:c>
      <x:c r="D4613" s="2" t="str">
        <x:v>ORIGAMI SANDLEWOOD INCENSE CONES</x:v>
      </x:c>
      <x:c r="E4613" s="11" t="n">
        <x:v>23.7</x:v>
      </x:c>
      <x:c r="F4613" s="11" t="n">
        <x:v>0</x:v>
      </x:c>
      <x:c r="G4613" s="11" t="n">
        <x:v>23.7</x:v>
      </x:c>
      <x:c r="H4613" s="23" t="n">
        <x:v>0.0000011541978122956948</x:v>
      </x:c>
      <x:c r="I4613" s="23" t="n">
        <x:v>0.9998349191777385</x:v>
      </x:c>
      <x:c r="J4613" s="2" t="n">
        <x:v>4</x:v>
      </x:c>
      <x:c r="K4613" s="2"/>
      <x:c r="L4613" s="2"/>
    </x:row>
    <x:row r="4614" ht="22" customHeight="1">
      <x:c r="A4614" s="2"/>
      <x:c r="B4614" s="2" t="n">
        <x:v>4581</x:v>
      </x:c>
      <x:c r="C4614" s="2" t="str">
        <x:v>47556b</x:v>
      </x:c>
      <x:c r="D4614" s="2" t="str">
        <x:v>TEA TIME TEA TOWELS </x:v>
      </x:c>
      <x:c r="E4614" s="11" t="n">
        <x:v>23.64</x:v>
      </x:c>
      <x:c r="F4614" s="11" t="n">
        <x:v>0</x:v>
      </x:c>
      <x:c r="G4614" s="11" t="n">
        <x:v>23.64</x:v>
      </x:c>
      <x:c r="H4614" s="23" t="n">
        <x:v>0.000001151275792517731</x:v>
      </x:c>
      <x:c r="I4614" s="23" t="n">
        <x:v>0.999836070453531</x:v>
      </x:c>
      <x:c r="J4614" s="2" t="n">
        <x:v>4</x:v>
      </x:c>
      <x:c r="K4614" s="2"/>
      <x:c r="L4614" s="2"/>
    </x:row>
    <x:row r="4615" ht="22" customHeight="1">
      <x:c r="A4615" s="2"/>
      <x:c r="B4615" s="2" t="n">
        <x:v>4582</x:v>
      </x:c>
      <x:c r="C4615" s="2" t="str">
        <x:v>90011E</x:v>
      </x:c>
      <x:c r="D4615" s="2" t="str">
        <x:v>AMBER CRYSTAL DROP EARRINGS</x:v>
      </x:c>
      <x:c r="E4615" s="11" t="n">
        <x:v>23.61</x:v>
      </x:c>
      <x:c r="F4615" s="11" t="n">
        <x:v>0</x:v>
      </x:c>
      <x:c r="G4615" s="11" t="n">
        <x:v>23.61</x:v>
      </x:c>
      <x:c r="H4615" s="23" t="n">
        <x:v>0.000001149814782628749</x:v>
      </x:c>
      <x:c r="I4615" s="23" t="n">
        <x:v>0.9998372202683136</x:v>
      </x:c>
      <x:c r="J4615" s="2" t="n">
        <x:v>8</x:v>
      </x:c>
      <x:c r="K4615" s="2"/>
      <x:c r="L4615" s="2"/>
    </x:row>
    <x:row r="4616" ht="22" customHeight="1">
      <x:c r="A4616" s="2"/>
      <x:c r="B4616" s="2" t="n">
        <x:v>4583</x:v>
      </x:c>
      <x:c r="C4616" s="2" t="str">
        <x:v>85040b</x:v>
      </x:c>
      <x:c r="D4616" s="2" t="str">
        <x:v>SET/4 BLUE FLOWER CANDLES IN BOWL</x:v>
      </x:c>
      <x:c r="E4616" s="11" t="n">
        <x:v>23.519999999999996</x:v>
      </x:c>
      <x:c r="F4616" s="11" t="n">
        <x:v>0</x:v>
      </x:c>
      <x:c r="G4616" s="11" t="n">
        <x:v>23.519999999999996</x:v>
      </x:c>
      <x:c r="H4616" s="23" t="n">
        <x:v>0.0000011454317529618032</x:v>
      </x:c>
      <x:c r="I4616" s="23" t="n">
        <x:v>0.9998383657000666</x:v>
      </x:c>
      <x:c r="J4616" s="2" t="n">
        <x:v>3</x:v>
      </x:c>
      <x:c r="K4616" s="2"/>
      <x:c r="L4616" s="2"/>
    </x:row>
    <x:row r="4617" ht="22" customHeight="1">
      <x:c r="A4617" s="2"/>
      <x:c r="B4617" s="2" t="n">
        <x:v>4584</x:v>
      </x:c>
      <x:c r="C4617" s="2" t="str">
        <x:v>23623</x:v>
      </x:c>
      <x:c r="D4617" s="2" t="str">
        <x:v>SET 10 CARD CHRISTMAS WELCOME 17112</x:v>
      </x:c>
      <x:c r="E4617" s="11" t="n">
        <x:v>23.28</x:v>
      </x:c>
      <x:c r="F4617" s="11" t="n">
        <x:v>0</x:v>
      </x:c>
      <x:c r="G4617" s="11" t="n">
        <x:v>23.28</x:v>
      </x:c>
      <x:c r="H4617" s="23" t="n">
        <x:v>0.0000011337436738499482</x:v>
      </x:c>
      <x:c r="I4617" s="23" t="n">
        <x:v>0.9998394994437404</x:v>
      </x:c>
      <x:c r="J4617" s="2" t="n">
        <x:v>6</x:v>
      </x:c>
      <x:c r="K4617" s="2"/>
      <x:c r="L4617" s="2"/>
    </x:row>
    <x:row r="4618" ht="22" customHeight="1">
      <x:c r="A4618" s="2"/>
      <x:c r="B4618" s="2" t="n">
        <x:v>4585</x:v>
      </x:c>
      <x:c r="C4618" s="2" t="str">
        <x:v>90095</x:v>
      </x:c>
      <x:c r="D4618" s="2" t="str">
        <x:v>NECKLACE+BRACELET SET PINK BLOSSOM</x:v>
      </x:c>
      <x:c r="E4618" s="11" t="n">
        <x:v>22.909999999999997</x:v>
      </x:c>
      <x:c r="F4618" s="11" t="n">
        <x:v>0</x:v>
      </x:c>
      <x:c r="G4618" s="11" t="n">
        <x:v>22.909999999999997</x:v>
      </x:c>
      <x:c r="H4618" s="23" t="n">
        <x:v>0.000001115724551885838</x:v>
      </x:c>
      <x:c r="I4618" s="23" t="n">
        <x:v>0.9998406151682923</x:v>
      </x:c>
      <x:c r="J4618" s="2" t="n">
        <x:v>3</x:v>
      </x:c>
      <x:c r="K4618" s="2"/>
      <x:c r="L4618" s="2"/>
    </x:row>
    <x:row r="4619" ht="22" customHeight="1">
      <x:c r="A4619" s="2"/>
      <x:c r="B4619" s="2" t="n">
        <x:v>4586</x:v>
      </x:c>
      <x:c r="C4619" s="2" t="str">
        <x:v>90025C</x:v>
      </x:c>
      <x:c r="D4619" s="2" t="str">
        <x:v>BAROQUE BUTTERFLY EARRINGS GREEN</x:v>
      </x:c>
      <x:c r="E4619" s="11" t="n">
        <x:v>22.56</x:v>
      </x:c>
      <x:c r="F4619" s="11" t="n">
        <x:v>0</x:v>
      </x:c>
      <x:c r="G4619" s="11" t="n">
        <x:v>22.56</x:v>
      </x:c>
      <x:c r="H4619" s="23" t="n">
        <x:v>0.0000010986794365143827</x:v>
      </x:c>
      <x:c r="I4619" s="23" t="n">
        <x:v>0.9998417138477288</x:v>
      </x:c>
      <x:c r="J4619" s="2" t="n">
        <x:v>6</x:v>
      </x:c>
      <x:c r="K4619" s="2"/>
      <x:c r="L4619" s="2"/>
    </x:row>
    <x:row r="4620" ht="22" customHeight="1">
      <x:c r="A4620" s="2"/>
      <x:c r="B4620" s="2" t="n">
        <x:v>4587</x:v>
      </x:c>
      <x:c r="C4620" s="2" t="str">
        <x:v>90189B</x:v>
      </x:c>
      <x:c r="D4620" s="2" t="str">
        <x:v>GOLD 2 STRAND NECKLACE-LEAF CHARMS</x:v>
      </x:c>
      <x:c r="E4620" s="11" t="n">
        <x:v>22.5</x:v>
      </x:c>
      <x:c r="F4620" s="11" t="n">
        <x:v>0</x:v>
      </x:c>
      <x:c r="G4620" s="11" t="n">
        <x:v>22.5</x:v>
      </x:c>
      <x:c r="H4620" s="23" t="n">
        <x:v>0.000001095757416736419</x:v>
      </x:c>
      <x:c r="I4620" s="23" t="n">
        <x:v>0.9998428096051455</x:v>
      </x:c>
      <x:c r="J4620" s="2" t="n">
        <x:v>2</x:v>
      </x:c>
      <x:c r="K4620" s="2"/>
      <x:c r="L4620" s="2"/>
    </x:row>
    <x:row r="4621" ht="22" customHeight="1">
      <x:c r="A4621" s="2"/>
      <x:c r="B4621" s="2" t="n">
        <x:v>4588</x:v>
      </x:c>
      <x:c r="C4621" s="2" t="str">
        <x:v>37477C</x:v>
      </x:c>
      <x:c r="D4621" s="2" t="str">
        <x:v>FLOWER FAIRY MUG+COASTER,ROSE</x:v>
      </x:c>
      <x:c r="E4621" s="11" t="n">
        <x:v>22.5</x:v>
      </x:c>
      <x:c r="F4621" s="11" t="n">
        <x:v>0</x:v>
      </x:c>
      <x:c r="G4621" s="11" t="n">
        <x:v>22.5</x:v>
      </x:c>
      <x:c r="H4621" s="23" t="n">
        <x:v>0.000001095757416736419</x:v>
      </x:c>
      <x:c r="I4621" s="23" t="n">
        <x:v>0.9998439053625622</x:v>
      </x:c>
      <x:c r="J4621" s="2" t="n">
        <x:v>1</x:v>
      </x:c>
      <x:c r="K4621" s="2"/>
      <x:c r="L4621" s="2"/>
    </x:row>
    <x:row r="4622" ht="22" customHeight="1">
      <x:c r="A4622" s="2"/>
      <x:c r="B4622" s="2" t="n">
        <x:v>4589</x:v>
      </x:c>
      <x:c r="C4622" s="2" t="str">
        <x:v>85225</x:v>
      </x:c>
      <x:c r="D4622" s="2" t="str">
        <x:v>BLING KEY RING STAND</x:v>
      </x:c>
      <x:c r="E4622" s="11" t="n">
        <x:v>22.5</x:v>
      </x:c>
      <x:c r="F4622" s="11" t="n">
        <x:v>0</x:v>
      </x:c>
      <x:c r="G4622" s="11" t="n">
        <x:v>22.5</x:v>
      </x:c>
      <x:c r="H4622" s="23" t="n">
        <x:v>0.000001095757416736419</x:v>
      </x:c>
      <x:c r="I4622" s="23" t="n">
        <x:v>0.9998450011199789</x:v>
      </x:c>
      <x:c r="J4622" s="2" t="n">
        <x:v>11</x:v>
      </x:c>
      <x:c r="K4622" s="2"/>
      <x:c r="L4622" s="2"/>
    </x:row>
    <x:row r="4623" ht="22" customHeight="1">
      <x:c r="A4623" s="2"/>
      <x:c r="B4623" s="2" t="n">
        <x:v>4590</x:v>
      </x:c>
      <x:c r="C4623" s="2" t="str">
        <x:v>35591T</x:v>
      </x:c>
      <x:c r="D4623" s="2" t="str">
        <x:v>TURQUOISE CHRISTMAS TREE </x:v>
      </x:c>
      <x:c r="E4623" s="11" t="n">
        <x:v>22.5</x:v>
      </x:c>
      <x:c r="F4623" s="11" t="n">
        <x:v>0</x:v>
      </x:c>
      <x:c r="G4623" s="11" t="n">
        <x:v>22.5</x:v>
      </x:c>
      <x:c r="H4623" s="23" t="n">
        <x:v>0.000001095757416736419</x:v>
      </x:c>
      <x:c r="I4623" s="23" t="n">
        <x:v>0.9998460968773956</x:v>
      </x:c>
      <x:c r="J4623" s="2" t="n">
        <x:v>9</x:v>
      </x:c>
      <x:c r="K4623" s="2"/>
      <x:c r="L4623" s="2"/>
    </x:row>
    <x:row r="4624" ht="22" customHeight="1">
      <x:c r="A4624" s="2"/>
      <x:c r="B4624" s="2" t="n">
        <x:v>4591</x:v>
      </x:c>
      <x:c r="C4624" s="2" t="str">
        <x:v>23645</x:v>
      </x:c>
      <x:c r="D4624" s="2" t="str">
        <x:v>SET 10 CHRISTMAS CARDS HOHOHO 16956</x:v>
      </x:c>
      <x:c r="E4624" s="11" t="n">
        <x:v>22.410000000000004</x:v>
      </x:c>
      <x:c r="F4624" s="11" t="n">
        <x:v>0</x:v>
      </x:c>
      <x:c r="G4624" s="11" t="n">
        <x:v>22.410000000000004</x:v>
      </x:c>
      <x:c r="H4624" s="23" t="n">
        <x:v>0.0000010913743870694736</x:v>
      </x:c>
      <x:c r="I4624" s="23" t="n">
        <x:v>0.9998471882517826</x:v>
      </x:c>
      <x:c r="J4624" s="2" t="n">
        <x:v>4</x:v>
      </x:c>
      <x:c r="K4624" s="2"/>
      <x:c r="L4624" s="2"/>
    </x:row>
    <x:row r="4625" ht="22" customHeight="1">
      <x:c r="A4625" s="2"/>
      <x:c r="B4625" s="2" t="n">
        <x:v>4592</x:v>
      </x:c>
      <x:c r="C4625" s="2" t="str">
        <x:v>23640</x:v>
      </x:c>
      <x:c r="D4625" s="2" t="str">
        <x:v>SET 10 CARDS SCOTTIE DOG 17211</x:v>
      </x:c>
      <x:c r="E4625" s="11" t="n">
        <x:v>22.410000000000004</x:v>
      </x:c>
      <x:c r="F4625" s="11" t="n">
        <x:v>0</x:v>
      </x:c>
      <x:c r="G4625" s="11" t="n">
        <x:v>22.410000000000004</x:v>
      </x:c>
      <x:c r="H4625" s="23" t="n">
        <x:v>0.0000010913743870694736</x:v>
      </x:c>
      <x:c r="I4625" s="23" t="n">
        <x:v>0.9998482796261697</x:v>
      </x:c>
      <x:c r="J4625" s="2" t="n">
        <x:v>8</x:v>
      </x:c>
      <x:c r="K4625" s="2"/>
      <x:c r="L4625" s="2"/>
    </x:row>
    <x:row r="4626" ht="22" customHeight="1">
      <x:c r="A4626" s="2"/>
      <x:c r="B4626" s="2" t="n">
        <x:v>4593</x:v>
      </x:c>
      <x:c r="C4626" s="2" t="str">
        <x:v>35652</x:v>
      </x:c>
      <x:c r="D4626" s="2" t="str">
        <x:v>VINTAGE BEAD CHAISE LONG JEWEL BOX</x:v>
      </x:c>
      <x:c r="E4626" s="11" t="n">
        <x:v>21.5</x:v>
      </x:c>
      <x:c r="F4626" s="11" t="n">
        <x:v>0</x:v>
      </x:c>
      <x:c r="G4626" s="11" t="n">
        <x:v>21.5</x:v>
      </x:c>
      <x:c r="H4626" s="23" t="n">
        <x:v>0.0000010470570871036893</x:v>
      </x:c>
      <x:c r="I4626" s="23" t="n">
        <x:v>0.9998493266832569</x:v>
      </x:c>
      <x:c r="J4626" s="2" t="n">
        <x:v>2</x:v>
      </x:c>
      <x:c r="K4626" s="2"/>
      <x:c r="L4626" s="2"/>
    </x:row>
    <x:row r="4627" ht="22" customHeight="1">
      <x:c r="A4627" s="2"/>
      <x:c r="B4627" s="2" t="n">
        <x:v>4594</x:v>
      </x:c>
      <x:c r="C4627" s="2" t="str">
        <x:v>90214Z</x:v>
      </x:c>
      <x:c r="D4627" s="2" t="str">
        <x:v>LETTER "Z" BLING KEY RING</x:v>
      </x:c>
      <x:c r="E4627" s="11" t="n">
        <x:v>21.49</x:v>
      </x:c>
      <x:c r="F4627" s="11" t="n">
        <x:v>0</x:v>
      </x:c>
      <x:c r="G4627" s="11" t="n">
        <x:v>21.49</x:v>
      </x:c>
      <x:c r="H4627" s="23" t="n">
        <x:v>0.000001046570083807362</x:v>
      </x:c>
      <x:c r="I4627" s="23" t="n">
        <x:v>0.9998503732533407</x:v>
      </x:c>
      <x:c r="J4627" s="2" t="n">
        <x:v>18</x:v>
      </x:c>
      <x:c r="K4627" s="2"/>
      <x:c r="L4627" s="2"/>
    </x:row>
    <x:row r="4628" ht="22" customHeight="1">
      <x:c r="A4628" s="2"/>
      <x:c r="B4628" s="2" t="n">
        <x:v>4595</x:v>
      </x:c>
      <x:c r="C4628" s="2" t="str">
        <x:v>84387A</x:v>
      </x:c>
      <x:c r="D4628" s="2" t="str">
        <x:v>BIRD ON BRANCH CANVAS SCREEN</x:v>
      </x:c>
      <x:c r="E4628" s="11" t="n">
        <x:v>21.45</x:v>
      </x:c>
      <x:c r="F4628" s="11" t="n">
        <x:v>0</x:v>
      </x:c>
      <x:c r="G4628" s="11" t="n">
        <x:v>21.45</x:v>
      </x:c>
      <x:c r="H4628" s="23" t="n">
        <x:v>0.0000010446220706220529</x:v>
      </x:c>
      <x:c r="I4628" s="23" t="n">
        <x:v>0.9998514178754113</x:v>
      </x:c>
      <x:c r="J4628" s="2" t="n">
        <x:v>1</x:v>
      </x:c>
      <x:c r="K4628" s="2"/>
      <x:c r="L4628" s="2"/>
    </x:row>
    <x:row r="4629" ht="22" customHeight="1">
      <x:c r="A4629" s="2"/>
      <x:c r="B4629" s="2" t="n">
        <x:v>4596</x:v>
      </x:c>
      <x:c r="C4629" s="2" t="str">
        <x:v>21387</x:v>
      </x:c>
      <x:c r="D4629" s="2" t="str">
        <x:v>IVORY HANGING DECORATION  RABBIT</x:v>
      </x:c>
      <x:c r="E4629" s="11" t="n">
        <x:v>21.25</x:v>
      </x:c>
      <x:c r="F4629" s="11" t="n">
        <x:v>0</x:v>
      </x:c>
      <x:c r="G4629" s="11" t="n">
        <x:v>21.25</x:v>
      </x:c>
      <x:c r="H4629" s="23" t="n">
        <x:v>0.0000010348820046955068</x:v>
      </x:c>
      <x:c r="I4629" s="23" t="n">
        <x:v>0.999852452757416</x:v>
      </x:c>
      <x:c r="J4629" s="2" t="n">
        <x:v>4</x:v>
      </x:c>
      <x:c r="K4629" s="2"/>
      <x:c r="L4629" s="2"/>
    </x:row>
    <x:row r="4630" ht="22" customHeight="1">
      <x:c r="A4630" s="2"/>
      <x:c r="B4630" s="2" t="n">
        <x:v>4597</x:v>
      </x:c>
      <x:c r="C4630" s="2" t="str">
        <x:v>44092C</x:v>
      </x:c>
      <x:c r="D4630" s="2" t="str">
        <x:v>PURPLE/COPPER HANGING LAMPSHADE</x:v>
      </x:c>
      <x:c r="E4630" s="11" t="n">
        <x:v>21.25</x:v>
      </x:c>
      <x:c r="F4630" s="11" t="n">
        <x:v>0</x:v>
      </x:c>
      <x:c r="G4630" s="11" t="n">
        <x:v>21.25</x:v>
      </x:c>
      <x:c r="H4630" s="23" t="n">
        <x:v>0.0000010348820046955068</x:v>
      </x:c>
      <x:c r="I4630" s="23" t="n">
        <x:v>0.9998534876394206</x:v>
      </x:c>
      <x:c r="J4630" s="2" t="n">
        <x:v>10</x:v>
      </x:c>
      <x:c r="K4630" s="2"/>
      <x:c r="L4630" s="2"/>
    </x:row>
    <x:row r="4631" ht="22" customHeight="1">
      <x:c r="A4631" s="2"/>
      <x:c r="B4631" s="2" t="n">
        <x:v>4598</x:v>
      </x:c>
      <x:c r="C4631" s="2" t="str">
        <x:v>90128D</x:v>
      </x:c>
      <x:c r="D4631" s="2" t="str">
        <x:v>PURPLE LEAVES AND BEADS PHONE CHAR</x:v>
      </x:c>
      <x:c r="E4631" s="11" t="n">
        <x:v>21.24</x:v>
      </x:c>
      <x:c r="F4631" s="11" t="n">
        <x:v>0</x:v>
      </x:c>
      <x:c r="G4631" s="11" t="n">
        <x:v>21.24</x:v>
      </x:c>
      <x:c r="H4631" s="23" t="n">
        <x:v>0.0000010343950013991795</x:v>
      </x:c>
      <x:c r="I4631" s="23" t="n">
        <x:v>0.999854522034422</x:v>
      </x:c>
      <x:c r="J4631" s="2" t="n">
        <x:v>7</x:v>
      </x:c>
      <x:c r="K4631" s="2"/>
      <x:c r="L4631" s="2"/>
    </x:row>
    <x:row r="4632" ht="22" customHeight="1">
      <x:c r="A4632" s="2"/>
      <x:c r="B4632" s="2" t="n">
        <x:v>4599</x:v>
      </x:c>
      <x:c r="C4632" s="2" t="str">
        <x:v>21594</x:v>
      </x:c>
      <x:c r="D4632" s="2" t="str">
        <x:v>Dr. Jam's Arouzer Stress Ball</x:v>
      </x:c>
      <x:c r="E4632" s="11" t="n">
        <x:v>21.06</x:v>
      </x:c>
      <x:c r="F4632" s="11" t="n">
        <x:v>0</x:v>
      </x:c>
      <x:c r="G4632" s="11" t="n">
        <x:v>21.06</x:v>
      </x:c>
      <x:c r="H4632" s="23" t="n">
        <x:v>0.0000010256289420652882</x:v>
      </x:c>
      <x:c r="I4632" s="23" t="n">
        <x:v>0.9998555476633642</x:v>
      </x:c>
      <x:c r="J4632" s="2" t="n">
        <x:v>5</x:v>
      </x:c>
      <x:c r="K4632" s="2"/>
      <x:c r="L4632" s="2"/>
    </x:row>
    <x:row r="4633" ht="22" customHeight="1">
      <x:c r="A4633" s="2"/>
      <x:c r="B4633" s="2" t="n">
        <x:v>4600</x:v>
      </x:c>
      <x:c r="C4633" s="2" t="str">
        <x:v>35603B</x:v>
      </x:c>
      <x:c r="D4633" s="2" t="str">
        <x:v>S/16 BLACK SHINY/MAT BAUBLES</x:v>
      </x:c>
      <x:c r="E4633" s="11" t="n">
        <x:v>21</x:v>
      </x:c>
      <x:c r="F4633" s="11" t="n">
        <x:v>50.400000000000006</x:v>
      </x:c>
      <x:c r="G4633" s="11" t="n">
        <x:v>-29.400000000000006</x:v>
      </x:c>
      <x:c r="H4633" s="23" t="n">
        <x:v>0.0000010227069222873245</x:v>
      </x:c>
      <x:c r="I4633" s="23" t="n">
        <x:v>0.9998565703702864</x:v>
      </x:c>
      <x:c r="J4633" s="2" t="n">
        <x:v>2</x:v>
      </x:c>
      <x:c r="K4633" s="2"/>
      <x:c r="L4633" s="2"/>
    </x:row>
    <x:row r="4634" ht="22" customHeight="1">
      <x:c r="A4634" s="2"/>
      <x:c r="B4634" s="2" t="n">
        <x:v>4601</x:v>
      </x:c>
      <x:c r="C4634" s="2" t="str">
        <x:v>23692</x:v>
      </x:c>
      <x:c r="D4634" s="2" t="str">
        <x:v>WRAP A PRETTY THANK YOU</x:v>
      </x:c>
      <x:c r="E4634" s="11" t="n">
        <x:v>21</x:v>
      </x:c>
      <x:c r="F4634" s="11" t="n">
        <x:v>0</x:v>
      </x:c>
      <x:c r="G4634" s="11" t="n">
        <x:v>21</x:v>
      </x:c>
      <x:c r="H4634" s="23" t="n">
        <x:v>0.0000010227069222873245</x:v>
      </x:c>
      <x:c r="I4634" s="23" t="n">
        <x:v>0.9998575930772087</x:v>
      </x:c>
      <x:c r="J4634" s="2" t="n">
        <x:v>2</x:v>
      </x:c>
      <x:c r="K4634" s="2"/>
      <x:c r="L4634" s="2"/>
    </x:row>
    <x:row r="4635" ht="22" customHeight="1">
      <x:c r="A4635" s="2"/>
      <x:c r="B4635" s="2" t="n">
        <x:v>4602</x:v>
      </x:c>
      <x:c r="C4635" s="2" t="str">
        <x:v>DCGS0072</x:v>
      </x:c>
      <x:c r="D4635" s="2" t="str">
        <x:v>CAT CAMOUFLAGUE COLLAR</x:v>
      </x:c>
      <x:c r="E4635" s="11" t="n">
        <x:v>20.68</x:v>
      </x:c>
      <x:c r="F4635" s="11" t="n">
        <x:v>0</x:v>
      </x:c>
      <x:c r="G4635" s="11" t="n">
        <x:v>20.68</x:v>
      </x:c>
      <x:c r="H4635" s="23" t="n">
        <x:v>0.000001007122816804851</x:v>
      </x:c>
      <x:c r="I4635" s="23" t="n">
        <x:v>0.9998586002000255</x:v>
      </x:c>
      <x:c r="J4635" s="2" t="n">
        <x:v>3</x:v>
      </x:c>
      <x:c r="K4635" s="2"/>
      <x:c r="L4635" s="2"/>
    </x:row>
    <x:row r="4636" ht="22" customHeight="1">
      <x:c r="A4636" s="2"/>
      <x:c r="B4636" s="2" t="n">
        <x:v>4603</x:v>
      </x:c>
      <x:c r="C4636" s="2" t="str">
        <x:v>46776a</x:v>
      </x:c>
      <x:c r="D4636" s="2" t="str">
        <x:v>WOVEN BUBBLE GUM CUSHION COVER</x:v>
      </x:c>
      <x:c r="E4636" s="11" t="n">
        <x:v>20.65</x:v>
      </x:c>
      <x:c r="F4636" s="11" t="n">
        <x:v>0</x:v>
      </x:c>
      <x:c r="G4636" s="11" t="n">
        <x:v>20.65</x:v>
      </x:c>
      <x:c r="H4636" s="23" t="n">
        <x:v>0.0000010056618069158689</x:v>
      </x:c>
      <x:c r="I4636" s="23" t="n">
        <x:v>0.9998596058618324</x:v>
      </x:c>
      <x:c r="J4636" s="2" t="n">
        <x:v>1</x:v>
      </x:c>
      <x:c r="K4636" s="2"/>
      <x:c r="L4636" s="2"/>
    </x:row>
    <x:row r="4637" ht="22" customHeight="1">
      <x:c r="A4637" s="2"/>
      <x:c r="B4637" s="2" t="n">
        <x:v>4604</x:v>
      </x:c>
      <x:c r="C4637" s="2" t="str">
        <x:v>10002R</x:v>
      </x:c>
      <x:c r="D4637" s="2" t="str">
        <x:v>ROBOT PENCIL SHARPNER</x:v>
      </x:c>
      <x:c r="E4637" s="11" t="n">
        <x:v>20.57</x:v>
      </x:c>
      <x:c r="F4637" s="11" t="n">
        <x:v>0</x:v>
      </x:c>
      <x:c r="G4637" s="11" t="n">
        <x:v>20.57</x:v>
      </x:c>
      <x:c r="H4637" s="23" t="n">
        <x:v>0.0000010017657805452506</x:v>
      </x:c>
      <x:c r="I4637" s="23" t="n">
        <x:v>0.999860607627613</x:v>
      </x:c>
      <x:c r="J4637" s="2" t="n">
        <x:v>3</x:v>
      </x:c>
      <x:c r="K4637" s="2"/>
      <x:c r="L4637" s="2"/>
    </x:row>
    <x:row r="4638" ht="22" customHeight="1">
      <x:c r="A4638" s="2"/>
      <x:c r="B4638" s="2" t="n">
        <x:v>4605</x:v>
      </x:c>
      <x:c r="C4638" s="2" t="str">
        <x:v>79172D</x:v>
      </x:c>
      <x:c r="D4638" s="2" t="str">
        <x:v>PURPLE TINT ACRYLIC FLOWER VASE</x:v>
      </x:c>
      <x:c r="E4638" s="11" t="n">
        <x:v>20.4</x:v>
      </x:c>
      <x:c r="F4638" s="11" t="n">
        <x:v>0</x:v>
      </x:c>
      <x:c r="G4638" s="11" t="n">
        <x:v>20.4</x:v>
      </x:c>
      <x:c r="H4638" s="23" t="n">
        <x:v>9.934867245076866e-7</x:v>
      </x:c>
      <x:c r="I4638" s="23" t="n">
        <x:v>0.9998616011143375</x:v>
      </x:c>
      <x:c r="J4638" s="2" t="n">
        <x:v>4</x:v>
      </x:c>
      <x:c r="K4638" s="2"/>
      <x:c r="L4638" s="2"/>
    </x:row>
    <x:row r="4639" ht="22" customHeight="1">
      <x:c r="A4639" s="2"/>
      <x:c r="B4639" s="2" t="n">
        <x:v>4606</x:v>
      </x:c>
      <x:c r="C4639" s="2" t="str">
        <x:v>85232a</x:v>
      </x:c>
      <x:c r="D4639" s="2" t="str">
        <x:v>SET/3 POLKA DOT STACKING TINS</x:v>
      </x:c>
      <x:c r="E4639" s="11" t="n">
        <x:v>20.34</x:v>
      </x:c>
      <x:c r="F4639" s="11" t="n">
        <x:v>0</x:v>
      </x:c>
      <x:c r="G4639" s="11" t="n">
        <x:v>20.34</x:v>
      </x:c>
      <x:c r="H4639" s="23" t="n">
        <x:v>9.905647047297229e-7</x:v>
      </x:c>
      <x:c r="I4639" s="23" t="n">
        <x:v>0.9998625916790422</x:v>
      </x:c>
      <x:c r="J4639" s="2" t="n">
        <x:v>2</x:v>
      </x:c>
      <x:c r="K4639" s="2"/>
      <x:c r="L4639" s="2"/>
    </x:row>
    <x:row r="4640" ht="22" customHeight="1">
      <x:c r="A4640" s="2"/>
      <x:c r="B4640" s="2" t="n">
        <x:v>4607</x:v>
      </x:c>
      <x:c r="C4640" s="2" t="str">
        <x:v>84536a</x:v>
      </x:c>
      <x:c r="D4640" s="2" t="str">
        <x:v>ENGLISH ROSE NOTEBOOK A7 SIZE</x:v>
      </x:c>
      <x:c r="E4640" s="11" t="n">
        <x:v>19.970000000000002</x:v>
      </x:c>
      <x:c r="F4640" s="11" t="n">
        <x:v>0</x:v>
      </x:c>
      <x:c r="G4640" s="11" t="n">
        <x:v>19.970000000000002</x:v>
      </x:c>
      <x:c r="H4640" s="23" t="n">
        <x:v>9.72545582765613e-7</x:v>
      </x:c>
      <x:c r="I4640" s="23" t="n">
        <x:v>0.999863564224625</x:v>
      </x:c>
      <x:c r="J4640" s="2" t="n">
        <x:v>12</x:v>
      </x:c>
      <x:c r="K4640" s="2"/>
      <x:c r="L4640" s="2"/>
    </x:row>
    <x:row r="4641" ht="22" customHeight="1">
      <x:c r="A4641" s="2"/>
      <x:c r="B4641" s="2" t="n">
        <x:v>4608</x:v>
      </x:c>
      <x:c r="C4641" s="2" t="str">
        <x:v>90082C</x:v>
      </x:c>
      <x:c r="D4641" s="2" t="str">
        <x:v>DIAMANTE BOW BROOCH WHITE COLOUR</x:v>
      </x:c>
      <x:c r="E4641" s="11" t="n">
        <x:v>19.93</x:v>
      </x:c>
      <x:c r="F4641" s="11" t="n">
        <x:v>0</x:v>
      </x:c>
      <x:c r="G4641" s="11" t="n">
        <x:v>19.93</x:v>
      </x:c>
      <x:c r="H4641" s="23" t="n">
        <x:v>9.705975695803036e-7</x:v>
      </x:c>
      <x:c r="I4641" s="23" t="n">
        <x:v>0.9998645348221945</x:v>
      </x:c>
      <x:c r="J4641" s="2" t="n">
        <x:v>3</x:v>
      </x:c>
      <x:c r="K4641" s="2"/>
      <x:c r="L4641" s="2"/>
    </x:row>
    <x:row r="4642" ht="22" customHeight="1">
      <x:c r="A4642" s="2"/>
      <x:c r="B4642" s="2" t="n">
        <x:v>4609</x:v>
      </x:c>
      <x:c r="C4642" s="2" t="str">
        <x:v>23601</x:v>
      </x:c>
      <x:c r="D4642" s="2" t="str">
        <x:v>SET 10 CARDS SNOWY SNOWDROPS  17100</x:v>
      </x:c>
      <x:c r="E4642" s="11" t="n">
        <x:v>19.92</x:v>
      </x:c>
      <x:c r="F4642" s="11" t="n">
        <x:v>0</x:v>
      </x:c>
      <x:c r="G4642" s="11" t="n">
        <x:v>19.92</x:v>
      </x:c>
      <x:c r="H4642" s="23" t="n">
        <x:v>9.701105662839765e-7</x:v>
      </x:c>
      <x:c r="I4642" s="23" t="n">
        <x:v>0.9998655049327608</x:v>
      </x:c>
      <x:c r="J4642" s="2" t="n">
        <x:v>4</x:v>
      </x:c>
      <x:c r="K4642" s="2"/>
      <x:c r="L4642" s="2"/>
    </x:row>
    <x:row r="4643" ht="22" customHeight="1">
      <x:c r="A4643" s="2"/>
      <x:c r="B4643" s="2" t="n">
        <x:v>4610</x:v>
      </x:c>
      <x:c r="C4643" s="2" t="str">
        <x:v>23646</x:v>
      </x:c>
      <x:c r="D4643" s="2" t="str">
        <x:v>SET 10 CARDS JINGLE BELLS 16957</x:v>
      </x:c>
      <x:c r="E4643" s="11" t="n">
        <x:v>19.92</x:v>
      </x:c>
      <x:c r="F4643" s="11" t="n">
        <x:v>0</x:v>
      </x:c>
      <x:c r="G4643" s="11" t="n">
        <x:v>19.92</x:v>
      </x:c>
      <x:c r="H4643" s="23" t="n">
        <x:v>9.701105662839765e-7</x:v>
      </x:c>
      <x:c r="I4643" s="23" t="n">
        <x:v>0.9998664750433272</x:v>
      </x:c>
      <x:c r="J4643" s="2" t="n">
        <x:v>5</x:v>
      </x:c>
      <x:c r="K4643" s="2"/>
      <x:c r="L4643" s="2"/>
    </x:row>
    <x:row r="4644" ht="22" customHeight="1">
      <x:c r="A4644" s="2"/>
      <x:c r="B4644" s="2" t="n">
        <x:v>4611</x:v>
      </x:c>
      <x:c r="C4644" s="2" t="str">
        <x:v>90127A</x:v>
      </x:c>
      <x:c r="D4644" s="2" t="str">
        <x:v>PINK BEADS+HAND PHONE CHARM</x:v>
      </x:c>
      <x:c r="E4644" s="11" t="n">
        <x:v>19.92</x:v>
      </x:c>
      <x:c r="F4644" s="11" t="n">
        <x:v>0</x:v>
      </x:c>
      <x:c r="G4644" s="11" t="n">
        <x:v>19.92</x:v>
      </x:c>
      <x:c r="H4644" s="23" t="n">
        <x:v>9.701105662839765e-7</x:v>
      </x:c>
      <x:c r="I4644" s="23" t="n">
        <x:v>0.9998674451538935</x:v>
      </x:c>
      <x:c r="J4644" s="2" t="n">
        <x:v>2</x:v>
      </x:c>
      <x:c r="K4644" s="2"/>
      <x:c r="L4644" s="2"/>
    </x:row>
    <x:row r="4645" ht="22" customHeight="1">
      <x:c r="A4645" s="2"/>
      <x:c r="B4645" s="2" t="n">
        <x:v>4612</x:v>
      </x:c>
      <x:c r="C4645" s="2" t="str">
        <x:v>23616</x:v>
      </x:c>
      <x:c r="D4645" s="2" t="str">
        <x:v>SET 10 CARDS JINGLE BELLS 17217</x:v>
      </x:c>
      <x:c r="E4645" s="11" t="n">
        <x:v>19.92</x:v>
      </x:c>
      <x:c r="F4645" s="11" t="n">
        <x:v>0</x:v>
      </x:c>
      <x:c r="G4645" s="11" t="n">
        <x:v>19.92</x:v>
      </x:c>
      <x:c r="H4645" s="23" t="n">
        <x:v>9.701105662839765e-7</x:v>
      </x:c>
      <x:c r="I4645" s="23" t="n">
        <x:v>0.9998684152644598</x:v>
      </x:c>
      <x:c r="J4645" s="2" t="n">
        <x:v>7</x:v>
      </x:c>
      <x:c r="K4645" s="2"/>
      <x:c r="L4645" s="2"/>
    </x:row>
    <x:row r="4646" ht="22" customHeight="1">
      <x:c r="A4646" s="2"/>
      <x:c r="B4646" s="2" t="n">
        <x:v>4613</x:v>
      </x:c>
      <x:c r="C4646" s="2" t="str">
        <x:v>84570B</x:v>
      </x:c>
      <x:c r="D4646" s="2" t="str">
        <x:v>WHITE SATIN DRESS JEWEL STAND</x:v>
      </x:c>
      <x:c r="E4646" s="11" t="n">
        <x:v>19.8</x:v>
      </x:c>
      <x:c r="F4646" s="11" t="n">
        <x:v>0</x:v>
      </x:c>
      <x:c r="G4646" s="11" t="n">
        <x:v>19.8</x:v>
      </x:c>
      <x:c r="H4646" s="23" t="n">
        <x:v>9.64266526728049e-7</x:v>
      </x:c>
      <x:c r="I4646" s="23" t="n">
        <x:v>0.9998693795309865</x:v>
      </x:c>
      <x:c r="J4646" s="2" t="n">
        <x:v>2</x:v>
      </x:c>
      <x:c r="K4646" s="2"/>
      <x:c r="L4646" s="2"/>
    </x:row>
    <x:row r="4647" ht="22" customHeight="1">
      <x:c r="A4647" s="2"/>
      <x:c r="B4647" s="2" t="n">
        <x:v>4614</x:v>
      </x:c>
      <x:c r="C4647" s="2" t="str">
        <x:v>37488A</x:v>
      </x:c>
      <x:c r="D4647" s="2" t="str">
        <x:v>damaged</x:v>
      </x:c>
      <x:c r="E4647" s="11" t="n">
        <x:v>19.770000000000003</x:v>
      </x:c>
      <x:c r="F4647" s="11" t="n">
        <x:v>2.95</x:v>
      </x:c>
      <x:c r="G4647" s="11" t="n">
        <x:v>16.82</x:v>
      </x:c>
      <x:c r="H4647" s="23" t="n">
        <x:v>9.62805516839067e-7</x:v>
      </x:c>
      <x:c r="I4647" s="23" t="n">
        <x:v>0.9998703423365034</x:v>
      </x:c>
      <x:c r="J4647" s="2" t="n">
        <x:v>5</x:v>
      </x:c>
      <x:c r="K4647" s="2"/>
      <x:c r="L4647" s="2"/>
    </x:row>
    <x:row r="4648" ht="22" customHeight="1">
      <x:c r="A4648" s="2"/>
      <x:c r="B4648" s="2" t="n">
        <x:v>4615</x:v>
      </x:c>
      <x:c r="C4648" s="2" t="str">
        <x:v>37487B</x:v>
      </x:c>
      <x:c r="D4648" s="2" t="str">
        <x:v>Damaged</x:v>
      </x:c>
      <x:c r="E4648" s="11" t="n">
        <x:v>19.72</x:v>
      </x:c>
      <x:c r="F4648" s="11" t="n">
        <x:v>0</x:v>
      </x:c>
      <x:c r="G4648" s="11" t="n">
        <x:v>19.72</x:v>
      </x:c>
      <x:c r="H4648" s="23" t="n">
        <x:v>9.603705003574304e-7</x:v>
      </x:c>
      <x:c r="I4648" s="23" t="n">
        <x:v>0.9998713027070038</x:v>
      </x:c>
      <x:c r="J4648" s="2" t="n">
        <x:v>2</x:v>
      </x:c>
      <x:c r="K4648" s="2"/>
      <x:c r="L4648" s="2"/>
    </x:row>
    <x:row r="4649" ht="22" customHeight="1">
      <x:c r="A4649" s="2"/>
      <x:c r="B4649" s="2" t="n">
        <x:v>4616</x:v>
      </x:c>
      <x:c r="C4649" s="2" t="str">
        <x:v>20680</x:v>
      </x:c>
      <x:c r="D4649" s="2" t="str">
        <x:v>PINK FLOWERS CHILDS UMBRELLA</x:v>
      </x:c>
      <x:c r="E4649" s="11" t="n">
        <x:v>19.5</x:v>
      </x:c>
      <x:c r="F4649" s="11" t="n">
        <x:v>0</x:v>
      </x:c>
      <x:c r="G4649" s="11" t="n">
        <x:v>19.5</x:v>
      </x:c>
      <x:c r="H4649" s="23" t="n">
        <x:v>9.496564278382298e-7</x:v>
      </x:c>
      <x:c r="I4649" s="23" t="n">
        <x:v>0.9998722523634316</x:v>
      </x:c>
      <x:c r="J4649" s="2" t="n">
        <x:v>4</x:v>
      </x:c>
      <x:c r="K4649" s="2"/>
      <x:c r="L4649" s="2"/>
    </x:row>
    <x:row r="4650" ht="22" customHeight="1">
      <x:c r="A4650" s="2"/>
      <x:c r="B4650" s="2" t="n">
        <x:v>4617</x:v>
      </x:c>
      <x:c r="C4650" s="2" t="str">
        <x:v>79062D</x:v>
      </x:c>
      <x:c r="D4650" s="2" t="str">
        <x:v>RETRO TIN ASHTRAY,REVOLUTIONARY</x:v>
      </x:c>
      <x:c r="E4650" s="11" t="n">
        <x:v>19.4</x:v>
      </x:c>
      <x:c r="F4650" s="11" t="n">
        <x:v>0</x:v>
      </x:c>
      <x:c r="G4650" s="11" t="n">
        <x:v>19.4</x:v>
      </x:c>
      <x:c r="H4650" s="23" t="n">
        <x:v>9.447863948749568e-7</x:v>
      </x:c>
      <x:c r="I4650" s="23" t="n">
        <x:v>0.9998731971498265</x:v>
      </x:c>
      <x:c r="J4650" s="2" t="n">
        <x:v>4</x:v>
      </x:c>
      <x:c r="K4650" s="2"/>
      <x:c r="L4650" s="2"/>
    </x:row>
    <x:row r="4651" ht="22" customHeight="1">
      <x:c r="A4651" s="2"/>
      <x:c r="B4651" s="2" t="n">
        <x:v>4618</x:v>
      </x:c>
      <x:c r="C4651" s="2" t="str">
        <x:v>81950V</x:v>
      </x:c>
      <x:c r="D4651" s="2" t="str">
        <x:v>FLOWER PURPLE CLOCK WITH SUCKER</x:v>
      </x:c>
      <x:c r="E4651" s="11" t="n">
        <x:v>19.09</x:v>
      </x:c>
      <x:c r="F4651" s="11" t="n">
        <x:v>0</x:v>
      </x:c>
      <x:c r="G4651" s="11" t="n">
        <x:v>19.09</x:v>
      </x:c>
      <x:c r="H4651" s="23" t="n">
        <x:v>9.296892926888107e-7</x:v>
      </x:c>
      <x:c r="I4651" s="23" t="n">
        <x:v>0.9998741268391191</x:v>
      </x:c>
      <x:c r="J4651" s="2" t="n">
        <x:v>10</x:v>
      </x:c>
      <x:c r="K4651" s="2"/>
      <x:c r="L4651" s="2"/>
    </x:row>
    <x:row r="4652" ht="22" customHeight="1">
      <x:c r="A4652" s="2"/>
      <x:c r="B4652" s="2" t="n">
        <x:v>4619</x:v>
      </x:c>
      <x:c r="C4652" s="2" t="str">
        <x:v>84030B</x:v>
      </x:c>
      <x:c r="D4652" s="2" t="str">
        <x:v>KNITTED POM POM HOT WATER BOTTLE</x:v>
      </x:c>
      <x:c r="E4652" s="11" t="n">
        <x:v>18.75</x:v>
      </x:c>
      <x:c r="F4652" s="11" t="n">
        <x:v>0</x:v>
      </x:c>
      <x:c r="G4652" s="11" t="n">
        <x:v>18.75</x:v>
      </x:c>
      <x:c r="H4652" s="23" t="n">
        <x:v>9.131311806136826e-7</x:v>
      </x:c>
      <x:c r="I4652" s="23" t="n">
        <x:v>0.9998750399702998</x:v>
      </x:c>
      <x:c r="J4652" s="2" t="n">
        <x:v>3</x:v>
      </x:c>
      <x:c r="K4652" s="2"/>
      <x:c r="L4652" s="2"/>
    </x:row>
    <x:row r="4653" ht="22" customHeight="1">
      <x:c r="A4653" s="2"/>
      <x:c r="B4653" s="2" t="n">
        <x:v>4620</x:v>
      </x:c>
      <x:c r="C4653" s="2" t="str">
        <x:v>90025D</x:v>
      </x:c>
      <x:c r="D4653" s="2" t="str">
        <x:v>BAROQUE BUTTERFLY EARRINGS PINK</x:v>
      </x:c>
      <x:c r="E4653" s="11" t="n">
        <x:v>18.69</x:v>
      </x:c>
      <x:c r="F4653" s="11" t="n">
        <x:v>0</x:v>
      </x:c>
      <x:c r="G4653" s="11" t="n">
        <x:v>18.69</x:v>
      </x:c>
      <x:c r="H4653" s="23" t="n">
        <x:v>9.102091608357188e-7</x:v>
      </x:c>
      <x:c r="I4653" s="23" t="n">
        <x:v>0.9998759501794606</x:v>
      </x:c>
      <x:c r="J4653" s="2" t="n">
        <x:v>5</x:v>
      </x:c>
      <x:c r="K4653" s="2"/>
      <x:c r="L4653" s="2"/>
    </x:row>
    <x:row r="4654" ht="22" customHeight="1">
      <x:c r="A4654" s="2"/>
      <x:c r="B4654" s="2" t="n">
        <x:v>4621</x:v>
      </x:c>
      <x:c r="C4654" s="2" t="str">
        <x:v>84732B</x:v>
      </x:c>
      <x:c r="D4654" s="2" t="str">
        <x:v>CUTE BIRD CEATURE SCREEN</x:v>
      </x:c>
      <x:c r="E4654" s="11" t="n">
        <x:v>18.48</x:v>
      </x:c>
      <x:c r="F4654" s="11" t="n">
        <x:v>0</x:v>
      </x:c>
      <x:c r="G4654" s="11" t="n">
        <x:v>18.48</x:v>
      </x:c>
      <x:c r="H4654" s="23" t="n">
        <x:v>8.999820916128455e-7</x:v>
      </x:c>
      <x:c r="I4654" s="23" t="n">
        <x:v>0.9998768501615523</x:v>
      </x:c>
      <x:c r="J4654" s="2" t="n">
        <x:v>6</x:v>
      </x:c>
      <x:c r="K4654" s="2"/>
      <x:c r="L4654" s="2"/>
    </x:row>
    <x:row r="4655" ht="22" customHeight="1">
      <x:c r="A4655" s="2"/>
      <x:c r="B4655" s="2" t="n">
        <x:v>4622</x:v>
      </x:c>
      <x:c r="C4655" s="2" t="str">
        <x:v>84311</x:v>
      </x:c>
      <x:c r="D4655" s="2" t="str">
        <x:v>CAMOFLAGE CUSHION COVER</x:v>
      </x:c>
      <x:c r="E4655" s="11" t="n">
        <x:v>18.15</x:v>
      </x:c>
      <x:c r="F4655" s="11" t="n">
        <x:v>0</x:v>
      </x:c>
      <x:c r="G4655" s="11" t="n">
        <x:v>18.15</x:v>
      </x:c>
      <x:c r="H4655" s="23" t="n">
        <x:v>8.839109828340446e-7</x:v>
      </x:c>
      <x:c r="I4655" s="23" t="n">
        <x:v>0.9998777340725351</x:v>
      </x:c>
      <x:c r="J4655" s="2" t="n">
        <x:v>1</x:v>
      </x:c>
      <x:c r="K4655" s="2"/>
      <x:c r="L4655" s="2"/>
    </x:row>
    <x:row r="4656" ht="22" customHeight="1">
      <x:c r="A4656" s="2"/>
      <x:c r="B4656" s="2" t="n">
        <x:v>4623</x:v>
      </x:c>
      <x:c r="C4656" s="2" t="str">
        <x:v>72796A</x:v>
      </x:c>
      <x:c r="D4656" s="2" t="str">
        <x:v>S/3 ENGLISH LAVENDER SQU CANDLE</x:v>
      </x:c>
      <x:c r="E4656" s="11" t="n">
        <x:v>18.15</x:v>
      </x:c>
      <x:c r="F4656" s="11" t="n">
        <x:v>0</x:v>
      </x:c>
      <x:c r="G4656" s="11" t="n">
        <x:v>18.15</x:v>
      </x:c>
      <x:c r="H4656" s="23" t="n">
        <x:v>8.839109828340446e-7</x:v>
      </x:c>
      <x:c r="I4656" s="23" t="n">
        <x:v>0.999878617983518</x:v>
      </x:c>
      <x:c r="J4656" s="2" t="n">
        <x:v>5</x:v>
      </x:c>
      <x:c r="K4656" s="2"/>
      <x:c r="L4656" s="2"/>
    </x:row>
    <x:row r="4657" ht="22" customHeight="1">
      <x:c r="A4657" s="2"/>
      <x:c r="B4657" s="2" t="n">
        <x:v>4624</x:v>
      </x:c>
      <x:c r="C4657" s="2" t="str">
        <x:v>84986b</x:v>
      </x:c>
      <x:c r="D4657" s="2" t="str">
        <x:v>SET OF 36 SILVER PAPER DOILIES</x:v>
      </x:c>
      <x:c r="E4657" s="11" t="n">
        <x:v>17.88</x:v>
      </x:c>
      <x:c r="F4657" s="11" t="n">
        <x:v>0</x:v>
      </x:c>
      <x:c r="G4657" s="11" t="n">
        <x:v>17.88</x:v>
      </x:c>
      <x:c r="H4657" s="23" t="n">
        <x:v>8.707618938332076e-7</x:v>
      </x:c>
      <x:c r="I4657" s="23" t="n">
        <x:v>0.9998794887454118</x:v>
      </x:c>
      <x:c r="J4657" s="2" t="n">
        <x:v>5</x:v>
      </x:c>
      <x:c r="K4657" s="2"/>
      <x:c r="L4657" s="2"/>
    </x:row>
    <x:row r="4658" ht="22" customHeight="1">
      <x:c r="A4658" s="2"/>
      <x:c r="B4658" s="2" t="n">
        <x:v>4625</x:v>
      </x:c>
      <x:c r="C4658" s="2" t="str">
        <x:v>84614C</x:v>
      </x:c>
      <x:c r="D4658" s="2" t="str">
        <x:v>BLUE BAROQUE FLOCK CANDLE HOLDER</x:v>
      </x:c>
      <x:c r="E4658" s="11" t="n">
        <x:v>17.85</x:v>
      </x:c>
      <x:c r="F4658" s="11" t="n">
        <x:v>0</x:v>
      </x:c>
      <x:c r="G4658" s="11" t="n">
        <x:v>17.85</x:v>
      </x:c>
      <x:c r="H4658" s="23" t="n">
        <x:v>8.693008839442259e-7</x:v>
      </x:c>
      <x:c r="I4658" s="23" t="n">
        <x:v>0.9998803580462957</x:v>
      </x:c>
      <x:c r="J4658" s="2" t="n">
        <x:v>1</x:v>
      </x:c>
      <x:c r="K4658" s="2"/>
      <x:c r="L4658" s="2"/>
    </x:row>
    <x:row r="4659" ht="22" customHeight="1">
      <x:c r="A4659" s="2"/>
      <x:c r="B4659" s="2" t="n">
        <x:v>4626</x:v>
      </x:c>
      <x:c r="C4659" s="2" t="str">
        <x:v>71050</x:v>
      </x:c>
      <x:c r="D4659" s="2" t="str">
        <x:v>SMALL SINGLE FLAME CANDLE HOLDER</x:v>
      </x:c>
      <x:c r="E4659" s="11" t="n">
        <x:v>17.849999999999998</x:v>
      </x:c>
      <x:c r="F4659" s="11" t="n">
        <x:v>0</x:v>
      </x:c>
      <x:c r="G4659" s="11" t="n">
        <x:v>17.849999999999998</x:v>
      </x:c>
      <x:c r="H4659" s="23" t="n">
        <x:v>8.693008839442256e-7</x:v>
      </x:c>
      <x:c r="I4659" s="23" t="n">
        <x:v>0.9998812273471797</x:v>
      </x:c>
      <x:c r="J4659" s="2" t="n">
        <x:v>8</x:v>
      </x:c>
      <x:c r="K4659" s="2"/>
      <x:c r="L4659" s="2"/>
    </x:row>
    <x:row r="4660" ht="22" customHeight="1">
      <x:c r="A4660" s="2"/>
      <x:c r="B4660" s="2" t="n">
        <x:v>4627</x:v>
      </x:c>
      <x:c r="C4660" s="2" t="str">
        <x:v>18097B</x:v>
      </x:c>
      <x:c r="D4660" s="2" t="str">
        <x:v>BLUE TALL PORCELAIN T-LIGHT HOLDER</x:v>
      </x:c>
      <x:c r="E4660" s="11" t="n">
        <x:v>17.849999999999998</x:v>
      </x:c>
      <x:c r="F4660" s="11" t="n">
        <x:v>0</x:v>
      </x:c>
      <x:c r="G4660" s="11" t="n">
        <x:v>17.849999999999998</x:v>
      </x:c>
      <x:c r="H4660" s="23" t="n">
        <x:v>8.693008839442256e-7</x:v>
      </x:c>
      <x:c r="I4660" s="23" t="n">
        <x:v>0.9998820966480636</x:v>
      </x:c>
      <x:c r="J4660" s="2" t="n">
        <x:v>3</x:v>
      </x:c>
      <x:c r="K4660" s="2"/>
      <x:c r="L4660" s="2"/>
    </x:row>
    <x:row r="4661" ht="22" customHeight="1">
      <x:c r="A4661" s="2"/>
      <x:c r="B4661" s="2" t="n">
        <x:v>4628</x:v>
      </x:c>
      <x:c r="C4661" s="2" t="str">
        <x:v>72801e</x:v>
      </x:c>
      <x:c r="D4661" s="2" t="str">
        <x:v>4 FESTIVE GREEN DINNER CANDLES</x:v>
      </x:c>
      <x:c r="E4661" s="11" t="n">
        <x:v>17.57</x:v>
      </x:c>
      <x:c r="F4661" s="11" t="n">
        <x:v>0</x:v>
      </x:c>
      <x:c r="G4661" s="11" t="n">
        <x:v>17.57</x:v>
      </x:c>
      <x:c r="H4661" s="23" t="n">
        <x:v>8.556647916470615e-7</x:v>
      </x:c>
      <x:c r="I4661" s="23" t="n">
        <x:v>0.9998829523128553</x:v>
      </x:c>
      <x:c r="J4661" s="2" t="n">
        <x:v>4</x:v>
      </x:c>
      <x:c r="K4661" s="2"/>
      <x:c r="L4661" s="2"/>
    </x:row>
    <x:row r="4662" ht="22" customHeight="1">
      <x:c r="A4662" s="2"/>
      <x:c r="B4662" s="2" t="n">
        <x:v>4629</x:v>
      </x:c>
      <x:c r="C4662" s="2" t="str">
        <x:v>90182B</x:v>
      </x:c>
      <x:c r="D4662" s="2" t="str">
        <x:v>AMETHYST 3 BEAD DROP EARRINGS</x:v>
      </x:c>
      <x:c r="E4662" s="11" t="n">
        <x:v>17.53</x:v>
      </x:c>
      <x:c r="F4662" s="11" t="n">
        <x:v>0</x:v>
      </x:c>
      <x:c r="G4662" s="11" t="n">
        <x:v>17.53</x:v>
      </x:c>
      <x:c r="H4662" s="23" t="n">
        <x:v>8.537167784617523e-7</x:v>
      </x:c>
      <x:c r="I4662" s="23" t="n">
        <x:v>0.9998838060296338</x:v>
      </x:c>
      <x:c r="J4662" s="2" t="n">
        <x:v>6</x:v>
      </x:c>
      <x:c r="K4662" s="2"/>
      <x:c r="L4662" s="2"/>
    </x:row>
    <x:row r="4663" ht="22" customHeight="1">
      <x:c r="A4663" s="2"/>
      <x:c r="B4663" s="2" t="n">
        <x:v>4630</x:v>
      </x:c>
      <x:c r="C4663" s="2" t="str">
        <x:v>23627</x:v>
      </x:c>
      <x:c r="D4663" s="2" t="str">
        <x:v>SET 10 CARDS XMAS GRAPHIC  17218</x:v>
      </x:c>
      <x:c r="E4663" s="11" t="n">
        <x:v>17.43</x:v>
      </x:c>
      <x:c r="F4663" s="11" t="n">
        <x:v>0</x:v>
      </x:c>
      <x:c r="G4663" s="11" t="n">
        <x:v>17.43</x:v>
      </x:c>
      <x:c r="H4663" s="23" t="n">
        <x:v>8.488467454984793e-7</x:v>
      </x:c>
      <x:c r="I4663" s="23" t="n">
        <x:v>0.9998846548763792</x:v>
      </x:c>
      <x:c r="J4663" s="2" t="n">
        <x:v>2</x:v>
      </x:c>
      <x:c r="K4663" s="2"/>
      <x:c r="L4663" s="2"/>
    </x:row>
    <x:row r="4664" ht="22" customHeight="1">
      <x:c r="A4664" s="2"/>
      <x:c r="B4664" s="2" t="n">
        <x:v>4631</x:v>
      </x:c>
      <x:c r="C4664" s="2" t="str">
        <x:v>37482b</x:v>
      </x:c>
      <x:c r="D4664" s="2" t="str">
        <x:v>CUBIC MUG BLUE POLKA DOT</x:v>
      </x:c>
      <x:c r="E4664" s="11" t="n">
        <x:v>17.35</x:v>
      </x:c>
      <x:c r="F4664" s="11" t="n">
        <x:v>0</x:v>
      </x:c>
      <x:c r="G4664" s="11" t="n">
        <x:v>17.35</x:v>
      </x:c>
      <x:c r="H4664" s="23" t="n">
        <x:v>8.44950719127861e-7</x:v>
      </x:c>
      <x:c r="I4664" s="23" t="n">
        <x:v>0.9998854998270984</x:v>
      </x:c>
      <x:c r="J4664" s="2" t="n">
        <x:v>1</x:v>
      </x:c>
      <x:c r="K4664" s="2"/>
      <x:c r="L4664" s="2"/>
    </x:row>
    <x:row r="4665" ht="22" customHeight="1">
      <x:c r="A4665" s="2"/>
      <x:c r="B4665" s="2" t="n">
        <x:v>4632</x:v>
      </x:c>
      <x:c r="C4665" s="2" t="str">
        <x:v>DCGS0066N</x:v>
      </x:c>
      <x:c r="D4665" s="2" t="str">
        <x:v>NAVY CUDDLES DOG HOODIE</x:v>
      </x:c>
      <x:c r="E4665" s="11" t="n">
        <x:v>17.3</x:v>
      </x:c>
      <x:c r="F4665" s="11" t="n">
        <x:v>0</x:v>
      </x:c>
      <x:c r="G4665" s="11" t="n">
        <x:v>17.3</x:v>
      </x:c>
      <x:c r="H4665" s="23" t="n">
        <x:v>8.425157026462245e-7</x:v>
      </x:c>
      <x:c r="I4665" s="23" t="n">
        <x:v>0.999886342342801</x:v>
      </x:c>
      <x:c r="J4665" s="2" t="n">
        <x:v>2</x:v>
      </x:c>
      <x:c r="K4665" s="2"/>
      <x:c r="L4665" s="2"/>
    </x:row>
    <x:row r="4666" ht="22" customHeight="1">
      <x:c r="A4666" s="2"/>
      <x:c r="B4666" s="2" t="n">
        <x:v>4633</x:v>
      </x:c>
      <x:c r="C4666" s="2" t="str">
        <x:v>84796b</x:v>
      </x:c>
      <x:c r="D4666" s="2" t="str">
        <x:v>BLUE SAVANNAH PICNIC HAMPER FOR 2</x:v>
      </x:c>
      <x:c r="E4666" s="11" t="n">
        <x:v>17.12</x:v>
      </x:c>
      <x:c r="F4666" s="11" t="n">
        <x:v>0</x:v>
      </x:c>
      <x:c r="G4666" s="11" t="n">
        <x:v>17.12</x:v>
      </x:c>
      <x:c r="H4666" s="23" t="n">
        <x:v>8.337496433123332e-7</x:v>
      </x:c>
      <x:c r="I4666" s="23" t="n">
        <x:v>0.9998871760924444</x:v>
      </x:c>
      <x:c r="J4666" s="2" t="n">
        <x:v>2</x:v>
      </x:c>
      <x:c r="K4666" s="2"/>
      <x:c r="L4666" s="2"/>
    </x:row>
    <x:row r="4667" ht="22" customHeight="1">
      <x:c r="A4667" s="2"/>
      <x:c r="B4667" s="2" t="n">
        <x:v>4634</x:v>
      </x:c>
      <x:c r="C4667" s="2" t="str">
        <x:v>DCGS0068</x:v>
      </x:c>
      <x:c r="D4667" s="2" t="str">
        <x:v>ebay</x:v>
      </x:c>
      <x:c r="E4667" s="11" t="n">
        <x:v>17.12</x:v>
      </x:c>
      <x:c r="F4667" s="11" t="n">
        <x:v>0</x:v>
      </x:c>
      <x:c r="G4667" s="11" t="n">
        <x:v>17.12</x:v>
      </x:c>
      <x:c r="H4667" s="23" t="n">
        <x:v>8.337496433123332e-7</x:v>
      </x:c>
      <x:c r="I4667" s="23" t="n">
        <x:v>0.9998880098420877</x:v>
      </x:c>
      <x:c r="J4667" s="2" t="n">
        <x:v>2</x:v>
      </x:c>
      <x:c r="K4667" s="2"/>
      <x:c r="L4667" s="2"/>
    </x:row>
    <x:row r="4668" ht="22" customHeight="1">
      <x:c r="A4668" s="2"/>
      <x:c r="B4668" s="2" t="n">
        <x:v>4635</x:v>
      </x:c>
      <x:c r="C4668" s="2" t="str">
        <x:v>84993b</x:v>
      </x:c>
      <x:c r="D4668" s="2" t="str">
        <x:v>75 BLACK PETIT FOUR CASES</x:v>
      </x:c>
      <x:c r="E4668" s="11" t="n">
        <x:v>16.99</x:v>
      </x:c>
      <x:c r="F4668" s="11" t="n">
        <x:v>0</x:v>
      </x:c>
      <x:c r="G4668" s="11" t="n">
        <x:v>16.99</x:v>
      </x:c>
      <x:c r="H4668" s="23" t="n">
        <x:v>8.274186004600782e-7</x:v>
      </x:c>
      <x:c r="I4668" s="23" t="n">
        <x:v>0.9998888372606881</x:v>
      </x:c>
      <x:c r="J4668" s="2" t="n">
        <x:v>13</x:v>
      </x:c>
      <x:c r="K4668" s="2"/>
      <x:c r="L4668" s="2"/>
    </x:row>
    <x:row r="4669" ht="22" customHeight="1">
      <x:c r="A4669" s="2"/>
      <x:c r="B4669" s="2" t="n">
        <x:v>4636</x:v>
      </x:c>
      <x:c r="C4669" s="2" t="str">
        <x:v>21120</x:v>
      </x:c>
      <x:c r="D4669" s="2" t="str">
        <x:v>*Boombox Ipod Classic</x:v>
      </x:c>
      <x:c r="E4669" s="11" t="n">
        <x:v>16.98</x:v>
      </x:c>
      <x:c r="F4669" s="11" t="n">
        <x:v>0</x:v>
      </x:c>
      <x:c r="G4669" s="11" t="n">
        <x:v>16.98</x:v>
      </x:c>
      <x:c r="H4669" s="23" t="n">
        <x:v>8.269315971637509e-7</x:v>
      </x:c>
      <x:c r="I4669" s="23" t="n">
        <x:v>0.9998896641922853</x:v>
      </x:c>
      <x:c r="J4669" s="2" t="n">
        <x:v>1</x:v>
      </x:c>
      <x:c r="K4669" s="2"/>
      <x:c r="L4669" s="2"/>
    </x:row>
    <x:row r="4670" ht="22" customHeight="1">
      <x:c r="A4670" s="2"/>
      <x:c r="B4670" s="2" t="n">
        <x:v>4637</x:v>
      </x:c>
      <x:c r="C4670" s="2" t="str">
        <x:v>85036b</x:v>
      </x:c>
      <x:c r="D4670" s="2" t="str">
        <x:v>CHOCOLATE 1 WICK MORRIS BOX CANDLE</x:v>
      </x:c>
      <x:c r="E4670" s="11" t="n">
        <x:v>16.94</x:v>
      </x:c>
      <x:c r="F4670" s="11" t="n">
        <x:v>0</x:v>
      </x:c>
      <x:c r="G4670" s="11" t="n">
        <x:v>16.94</x:v>
      </x:c>
      <x:c r="H4670" s="23" t="n">
        <x:v>8.249835839784417e-7</x:v>
      </x:c>
      <x:c r="I4670" s="23" t="n">
        <x:v>0.9998904891758693</x:v>
      </x:c>
      <x:c r="J4670" s="2" t="n">
        <x:v>2</x:v>
      </x:c>
      <x:c r="K4670" s="2"/>
      <x:c r="L4670" s="2"/>
    </x:row>
    <x:row r="4671" ht="22" customHeight="1">
      <x:c r="A4671" s="2"/>
      <x:c r="B4671" s="2" t="n">
        <x:v>4638</x:v>
      </x:c>
      <x:c r="C4671" s="2" t="str">
        <x:v>85035c</x:v>
      </x:c>
      <x:c r="D4671" s="2" t="str">
        <x:v>ROSE 3 WICK MORRIS BOX CANDLE</x:v>
      </x:c>
      <x:c r="E4671" s="11" t="n">
        <x:v>16.94</x:v>
      </x:c>
      <x:c r="F4671" s="11" t="n">
        <x:v>0</x:v>
      </x:c>
      <x:c r="G4671" s="11" t="n">
        <x:v>16.94</x:v>
      </x:c>
      <x:c r="H4671" s="23" t="n">
        <x:v>8.249835839784417e-7</x:v>
      </x:c>
      <x:c r="I4671" s="23" t="n">
        <x:v>0.9998913141594533</x:v>
      </x:c>
      <x:c r="J4671" s="2" t="n">
        <x:v>2</x:v>
      </x:c>
      <x:c r="K4671" s="2"/>
      <x:c r="L4671" s="2"/>
    </x:row>
    <x:row r="4672" ht="22" customHeight="1">
      <x:c r="A4672" s="2"/>
      <x:c r="B4672" s="2" t="n">
        <x:v>4639</x:v>
      </x:c>
      <x:c r="C4672" s="2" t="str">
        <x:v>72805</x:v>
      </x:c>
      <x:c r="D4672" s="2" t="str">
        <x:v>VANILLA CANDLE IN EMBOSSED ZINC POT</x:v>
      </x:c>
      <x:c r="E4672" s="11" t="n">
        <x:v>16.9</x:v>
      </x:c>
      <x:c r="F4672" s="11" t="n">
        <x:v>0</x:v>
      </x:c>
      <x:c r="G4672" s="11" t="n">
        <x:v>16.9</x:v>
      </x:c>
      <x:c r="H4672" s="23" t="n">
        <x:v>8.230355707931325e-7</x:v>
      </x:c>
      <x:c r="I4672" s="23" t="n">
        <x:v>0.9998921371950241</x:v>
      </x:c>
      <x:c r="J4672" s="2" t="n">
        <x:v>3</x:v>
      </x:c>
      <x:c r="K4672" s="2"/>
      <x:c r="L4672" s="2"/>
    </x:row>
    <x:row r="4673" ht="22" customHeight="1">
      <x:c r="A4673" s="2"/>
      <x:c r="B4673" s="2" t="n">
        <x:v>4640</x:v>
      </x:c>
      <x:c r="C4673" s="2" t="str">
        <x:v>47591c</x:v>
      </x:c>
      <x:c r="D4673" s="2" t="str">
        <x:v>BLUE FAIRY CAKE CHILD'S APRON</x:v>
      </x:c>
      <x:c r="E4673" s="11" t="n">
        <x:v>16.84</x:v>
      </x:c>
      <x:c r="F4673" s="11" t="n">
        <x:v>0</x:v>
      </x:c>
      <x:c r="G4673" s="11" t="n">
        <x:v>16.84</x:v>
      </x:c>
      <x:c r="H4673" s="23" t="n">
        <x:v>8.201135510151687e-7</x:v>
      </x:c>
      <x:c r="I4673" s="23" t="n">
        <x:v>0.9998929573085752</x:v>
      </x:c>
      <x:c r="J4673" s="2" t="n">
        <x:v>3</x:v>
      </x:c>
      <x:c r="K4673" s="2"/>
      <x:c r="L4673" s="2"/>
    </x:row>
    <x:row r="4674" ht="22" customHeight="1">
      <x:c r="A4674" s="2"/>
      <x:c r="B4674" s="2" t="n">
        <x:v>4641</x:v>
      </x:c>
      <x:c r="C4674" s="2" t="str">
        <x:v>44089A</x:v>
      </x:c>
      <x:c r="D4674" s="2" t="str">
        <x:v>PINK GAUZE BUTTERFLY LAMPSHADE</x:v>
      </x:c>
      <x:c r="E4674" s="11" t="n">
        <x:v>16.8</x:v>
      </x:c>
      <x:c r="F4674" s="11" t="n">
        <x:v>0</x:v>
      </x:c>
      <x:c r="G4674" s="11" t="n">
        <x:v>16.8</x:v>
      </x:c>
      <x:c r="H4674" s="23" t="n">
        <x:v>8.181655378298595e-7</x:v>
      </x:c>
      <x:c r="I4674" s="23" t="n">
        <x:v>0.9998937754741131</x:v>
      </x:c>
      <x:c r="J4674" s="2" t="n">
        <x:v>13</x:v>
      </x:c>
      <x:c r="K4674" s="2"/>
      <x:c r="L4674" s="2"/>
    </x:row>
    <x:row r="4675" ht="22" customHeight="1">
      <x:c r="A4675" s="2"/>
      <x:c r="B4675" s="2" t="n">
        <x:v>4642</x:v>
      </x:c>
      <x:c r="C4675" s="2" t="str">
        <x:v>72785A</x:v>
      </x:c>
      <x:c r="D4675" s="2" t="str">
        <x:v>S/4 CONTEMPORY PINK ROSEBUD CANDLES</x:v>
      </x:c>
      <x:c r="E4675" s="11" t="n">
        <x:v>16.8</x:v>
      </x:c>
      <x:c r="F4675" s="11" t="n">
        <x:v>0</x:v>
      </x:c>
      <x:c r="G4675" s="11" t="n">
        <x:v>16.8</x:v>
      </x:c>
      <x:c r="H4675" s="23" t="n">
        <x:v>8.181655378298595e-7</x:v>
      </x:c>
      <x:c r="I4675" s="23" t="n">
        <x:v>0.9998945936396509</x:v>
      </x:c>
      <x:c r="J4675" s="2" t="n">
        <x:v>4</x:v>
      </x:c>
      <x:c r="K4675" s="2"/>
      <x:c r="L4675" s="2"/>
    </x:row>
    <x:row r="4676" ht="22" customHeight="1">
      <x:c r="A4676" s="2"/>
      <x:c r="B4676" s="2" t="n">
        <x:v>4643</x:v>
      </x:c>
      <x:c r="C4676" s="2" t="str">
        <x:v>21511</x:v>
      </x:c>
      <x:c r="D4676" s="2" t="str">
        <x:v>VINTAGE COLLAGE  GREETING  CARD </x:v>
      </x:c>
      <x:c r="E4676" s="11" t="n">
        <x:v>16.799999999999997</x:v>
      </x:c>
      <x:c r="F4676" s="11" t="n">
        <x:v>0</x:v>
      </x:c>
      <x:c r="G4676" s="11" t="n">
        <x:v>16.799999999999997</x:v>
      </x:c>
      <x:c r="H4676" s="23" t="n">
        <x:v>8.181655378298594e-7</x:v>
      </x:c>
      <x:c r="I4676" s="23" t="n">
        <x:v>0.9998954118051888</x:v>
      </x:c>
      <x:c r="J4676" s="2" t="n">
        <x:v>2</x:v>
      </x:c>
      <x:c r="K4676" s="2"/>
      <x:c r="L4676" s="2"/>
    </x:row>
    <x:row r="4677" ht="22" customHeight="1">
      <x:c r="A4677" s="2"/>
      <x:c r="B4677" s="2" t="n">
        <x:v>4644</x:v>
      </x:c>
      <x:c r="C4677" s="2" t="str">
        <x:v>23644</x:v>
      </x:c>
      <x:c r="D4677" s="2" t="str">
        <x:v>SET 10 CARDS CHRISTMAS TREE 16955</x:v>
      </x:c>
      <x:c r="E4677" s="11" t="n">
        <x:v>16.65</x:v>
      </x:c>
      <x:c r="F4677" s="11" t="n">
        <x:v>0</x:v>
      </x:c>
      <x:c r="G4677" s="11" t="n">
        <x:v>16.65</x:v>
      </x:c>
      <x:c r="H4677" s="23" t="n">
        <x:v>8.1086048838495e-7</x:v>
      </x:c>
      <x:c r="I4677" s="23" t="n">
        <x:v>0.9998962226656772</x:v>
      </x:c>
      <x:c r="J4677" s="2" t="n">
        <x:v>5</x:v>
      </x:c>
      <x:c r="K4677" s="2"/>
      <x:c r="L4677" s="2"/>
    </x:row>
    <x:row r="4678" ht="22" customHeight="1">
      <x:c r="A4678" s="2"/>
      <x:c r="B4678" s="2" t="n">
        <x:v>4645</x:v>
      </x:c>
      <x:c r="C4678" s="2" t="str">
        <x:v>84031b</x:v>
      </x:c>
      <x:c r="D4678" s="2" t="str">
        <x:v>CHARLIE LOLA BLUE HOT WATER BOTTLE </x:v>
      </x:c>
      <x:c r="E4678" s="11" t="n">
        <x:v>16.63</x:v>
      </x:c>
      <x:c r="F4678" s="11" t="n">
        <x:v>0</x:v>
      </x:c>
      <x:c r="G4678" s="11" t="n">
        <x:v>16.63</x:v>
      </x:c>
      <x:c r="H4678" s="23" t="n">
        <x:v>8.098864817922954e-7</x:v>
      </x:c>
      <x:c r="I4678" s="23" t="n">
        <x:v>0.999897032552159</x:v>
      </x:c>
      <x:c r="J4678" s="2" t="n">
        <x:v>1</x:v>
      </x:c>
      <x:c r="K4678" s="2"/>
      <x:c r="L4678" s="2"/>
    </x:row>
    <x:row r="4679" ht="22" customHeight="1">
      <x:c r="A4679" s="2"/>
      <x:c r="B4679" s="2" t="n">
        <x:v>4646</x:v>
      </x:c>
      <x:c r="C4679" s="2" t="str">
        <x:v>84031a</x:v>
      </x:c>
      <x:c r="D4679" s="2" t="str">
        <x:v>CHARLIE+LOLA RED HOT WATER BOTTLE </x:v>
      </x:c>
      <x:c r="E4679" s="11" t="n">
        <x:v>16.63</x:v>
      </x:c>
      <x:c r="F4679" s="11" t="n">
        <x:v>0</x:v>
      </x:c>
      <x:c r="G4679" s="11" t="n">
        <x:v>16.63</x:v>
      </x:c>
      <x:c r="H4679" s="23" t="n">
        <x:v>8.098864817922954e-7</x:v>
      </x:c>
      <x:c r="I4679" s="23" t="n">
        <x:v>0.9998978424386408</x:v>
      </x:c>
      <x:c r="J4679" s="2" t="n">
        <x:v>1</x:v>
      </x:c>
      <x:c r="K4679" s="2"/>
      <x:c r="L4679" s="2"/>
    </x:row>
    <x:row r="4680" ht="22" customHeight="1">
      <x:c r="A4680" s="2"/>
      <x:c r="B4680" s="2" t="n">
        <x:v>4647</x:v>
      </x:c>
      <x:c r="C4680" s="2" t="str">
        <x:v>85036a</x:v>
      </x:c>
      <x:c r="D4680" s="2" t="str">
        <x:v>GARDENIA 1 WICK MORRIS BOXED CANDLE</x:v>
      </x:c>
      <x:c r="E4680" s="11" t="n">
        <x:v>16.58</x:v>
      </x:c>
      <x:c r="F4680" s="11" t="n">
        <x:v>0</x:v>
      </x:c>
      <x:c r="G4680" s="11" t="n">
        <x:v>16.58</x:v>
      </x:c>
      <x:c r="H4680" s="23" t="n">
        <x:v>8.074514653106589e-7</x:v>
      </x:c>
      <x:c r="I4680" s="23" t="n">
        <x:v>0.9998986498901061</x:v>
      </x:c>
      <x:c r="J4680" s="2" t="n">
        <x:v>1</x:v>
      </x:c>
      <x:c r="K4680" s="2"/>
      <x:c r="L4680" s="2"/>
    </x:row>
    <x:row r="4681" ht="22" customHeight="1">
      <x:c r="A4681" s="2"/>
      <x:c r="B4681" s="2" t="n">
        <x:v>4648</x:v>
      </x:c>
      <x:c r="C4681" s="2" t="str">
        <x:v>85160b</x:v>
      </x:c>
      <x:c r="D4681" s="2" t="str">
        <x:v>BLACK BIRD GARDEN DESIGN MUG</x:v>
      </x:c>
      <x:c r="E4681" s="11" t="n">
        <x:v>16.13</x:v>
      </x:c>
      <x:c r="F4681" s="11" t="n">
        <x:v>0</x:v>
      </x:c>
      <x:c r="G4681" s="11" t="n">
        <x:v>16.13</x:v>
      </x:c>
      <x:c r="H4681" s="23" t="n">
        <x:v>7.855363169759306e-7</x:v>
      </x:c>
      <x:c r="I4681" s="23" t="n">
        <x:v>0.9998994354264231</x:v>
      </x:c>
      <x:c r="J4681" s="2" t="n">
        <x:v>1</x:v>
      </x:c>
      <x:c r="K4681" s="2"/>
      <x:c r="L4681" s="2"/>
    </x:row>
    <x:row r="4682" ht="22" customHeight="1">
      <x:c r="A4682" s="2"/>
      <x:c r="B4682" s="2" t="n">
        <x:v>4649</x:v>
      </x:c>
      <x:c r="C4682" s="2" t="str">
        <x:v>90102</x:v>
      </x:c>
      <x:c r="D4682" s="2" t="str">
        <x:v>WHITE FRANGIPANI HAIR CLIP</x:v>
      </x:c>
      <x:c r="E4682" s="11" t="n">
        <x:v>16.11</x:v>
      </x:c>
      <x:c r="F4682" s="11" t="n">
        <x:v>0</x:v>
      </x:c>
      <x:c r="G4682" s="11" t="n">
        <x:v>16.11</x:v>
      </x:c>
      <x:c r="H4682" s="23" t="n">
        <x:v>7.84562310383276e-7</x:v>
      </x:c>
      <x:c r="I4682" s="23" t="n">
        <x:v>0.9999002199887335</x:v>
      </x:c>
      <x:c r="J4682" s="2" t="n">
        <x:v>4</x:v>
      </x:c>
      <x:c r="K4682" s="2"/>
      <x:c r="L4682" s="2"/>
    </x:row>
    <x:row r="4683" ht="22" customHeight="1">
      <x:c r="A4683" s="2"/>
      <x:c r="B4683" s="2" t="n">
        <x:v>4650</x:v>
      </x:c>
      <x:c r="C4683" s="2" t="str">
        <x:v>62074B</x:v>
      </x:c>
      <x:c r="D4683" s="2" t="str">
        <x:v>ELEPHANT CLIP W SUCTION CUP</x:v>
      </x:c>
      <x:c r="E4683" s="11" t="n">
        <x:v>15.96</x:v>
      </x:c>
      <x:c r="F4683" s="11" t="n">
        <x:v>0</x:v>
      </x:c>
      <x:c r="G4683" s="11" t="n">
        <x:v>15.96</x:v>
      </x:c>
      <x:c r="H4683" s="23" t="n">
        <x:v>7.772572609383666e-7</x:v>
      </x:c>
      <x:c r="I4683" s="23" t="n">
        <x:v>0.9999009972459943</x:v>
      </x:c>
      <x:c r="J4683" s="2" t="n">
        <x:v>12</x:v>
      </x:c>
      <x:c r="K4683" s="2"/>
      <x:c r="L4683" s="2"/>
    </x:row>
    <x:row r="4684" ht="22" customHeight="1">
      <x:c r="A4684" s="2"/>
      <x:c r="B4684" s="2" t="n">
        <x:v>4651</x:v>
      </x:c>
      <x:c r="C4684" s="2" t="str">
        <x:v>84630</x:v>
      </x:c>
      <x:c r="D4684" s="2" t="str">
        <x:v>FLOWERS AND BIRDS WALL PLAQUE</x:v>
      </x:c>
      <x:c r="E4684" s="11" t="n">
        <x:v>15.9</x:v>
      </x:c>
      <x:c r="F4684" s="11" t="n">
        <x:v>0</x:v>
      </x:c>
      <x:c r="G4684" s="11" t="n">
        <x:v>15.9</x:v>
      </x:c>
      <x:c r="H4684" s="23" t="n">
        <x:v>7.743352411604028e-7</x:v>
      </x:c>
      <x:c r="I4684" s="23" t="n">
        <x:v>0.9999017715812355</x:v>
      </x:c>
      <x:c r="J4684" s="2" t="n">
        <x:v>1</x:v>
      </x:c>
      <x:c r="K4684" s="2"/>
      <x:c r="L4684" s="2"/>
    </x:row>
    <x:row r="4685" ht="22" customHeight="1">
      <x:c r="A4685" s="2"/>
      <x:c r="B4685" s="2" t="n">
        <x:v>4652</x:v>
      </x:c>
      <x:c r="C4685" s="2" t="str">
        <x:v>84250M</x:v>
      </x:c>
      <x:c r="D4685" s="2" t="str">
        <x:v>GREETING CARD, BLACKPOOL ROCK</x:v>
      </x:c>
      <x:c r="E4685" s="11" t="n">
        <x:v>15.9</x:v>
      </x:c>
      <x:c r="F4685" s="11" t="n">
        <x:v>0</x:v>
      </x:c>
      <x:c r="G4685" s="11" t="n">
        <x:v>15.9</x:v>
      </x:c>
      <x:c r="H4685" s="23" t="n">
        <x:v>7.743352411604028e-7</x:v>
      </x:c>
      <x:c r="I4685" s="23" t="n">
        <x:v>0.9999025459164766</x:v>
      </x:c>
      <x:c r="J4685" s="2" t="n">
        <x:v>13</x:v>
      </x:c>
      <x:c r="K4685" s="2"/>
      <x:c r="L4685" s="2"/>
    </x:row>
    <x:row r="4686" ht="22" customHeight="1">
      <x:c r="A4686" s="2"/>
      <x:c r="B4686" s="2" t="n">
        <x:v>4653</x:v>
      </x:c>
      <x:c r="C4686" s="2" t="str">
        <x:v>35932</x:v>
      </x:c>
      <x:c r="D4686" s="2" t="str">
        <x:v>PINK CHRISTMAS TREE DECORATION</x:v>
      </x:c>
      <x:c r="E4686" s="11" t="n">
        <x:v>15.63</x:v>
      </x:c>
      <x:c r="F4686" s="11" t="n">
        <x:v>0</x:v>
      </x:c>
      <x:c r="G4686" s="11" t="n">
        <x:v>15.63</x:v>
      </x:c>
      <x:c r="H4686" s="23" t="n">
        <x:v>7.611861521595658e-7</x:v>
      </x:c>
      <x:c r="I4686" s="23" t="n">
        <x:v>0.9999033071026288</x:v>
      </x:c>
      <x:c r="J4686" s="2" t="n">
        <x:v>10</x:v>
      </x:c>
      <x:c r="K4686" s="2"/>
      <x:c r="L4686" s="2"/>
    </x:row>
    <x:row r="4687" ht="22" customHeight="1">
      <x:c r="A4687" s="2"/>
      <x:c r="B4687" s="2" t="n">
        <x:v>4654</x:v>
      </x:c>
      <x:c r="C4687" s="2" t="str">
        <x:v>84912a</x:v>
      </x:c>
      <x:c r="D4687" s="2" t="str">
        <x:v>PINK ROSE WASHBAG</x:v>
      </x:c>
      <x:c r="E4687" s="11" t="n">
        <x:v>15.56</x:v>
      </x:c>
      <x:c r="F4687" s="11" t="n">
        <x:v>0</x:v>
      </x:c>
      <x:c r="G4687" s="11" t="n">
        <x:v>15.56</x:v>
      </x:c>
      <x:c r="H4687" s="23" t="n">
        <x:v>7.577771290852747e-7</x:v>
      </x:c>
      <x:c r="I4687" s="23" t="n">
        <x:v>0.9999040648797578</x:v>
      </x:c>
      <x:c r="J4687" s="2" t="n">
        <x:v>1</x:v>
      </x:c>
      <x:c r="K4687" s="2"/>
      <x:c r="L4687" s="2"/>
    </x:row>
    <x:row r="4688" ht="22" customHeight="1">
      <x:c r="A4688" s="2"/>
      <x:c r="B4688" s="2" t="n">
        <x:v>4655</x:v>
      </x:c>
      <x:c r="C4688" s="2" t="str">
        <x:v>21560</x:v>
      </x:c>
      <x:c r="D4688" s="2" t="str">
        <x:v>TOADSTOOL  LUNCHBOX WITH CUTLERY</x:v>
      </x:c>
      <x:c r="E4688" s="11" t="n">
        <x:v>15.44</x:v>
      </x:c>
      <x:c r="F4688" s="11" t="n">
        <x:v>0</x:v>
      </x:c>
      <x:c r="G4688" s="11" t="n">
        <x:v>15.44</x:v>
      </x:c>
      <x:c r="H4688" s="23" t="n">
        <x:v>7.519330895293471e-7</x:v>
      </x:c>
      <x:c r="I4688" s="23" t="n">
        <x:v>0.9999048168128474</x:v>
      </x:c>
      <x:c r="J4688" s="2" t="n">
        <x:v>4</x:v>
      </x:c>
      <x:c r="K4688" s="2"/>
      <x:c r="L4688" s="2"/>
    </x:row>
    <x:row r="4689" ht="22" customHeight="1">
      <x:c r="A4689" s="2"/>
      <x:c r="B4689" s="2" t="n">
        <x:v>4656</x:v>
      </x:c>
      <x:c r="C4689" s="2" t="str">
        <x:v>21853</x:v>
      </x:c>
      <x:c r="D4689" s="2" t="str">
        <x:v>GUMBALL CUSTOM CARS TOP TRUMPS GAME</x:v>
      </x:c>
      <x:c r="E4689" s="11" t="n">
        <x:v>15.399999999999999</x:v>
      </x:c>
      <x:c r="F4689" s="11" t="n">
        <x:v>0</x:v>
      </x:c>
      <x:c r="G4689" s="11" t="n">
        <x:v>15.399999999999999</x:v>
      </x:c>
      <x:c r="H4689" s="23" t="n">
        <x:v>7.499850763440379e-7</x:v>
      </x:c>
      <x:c r="I4689" s="23" t="n">
        <x:v>0.9999055667979238</x:v>
      </x:c>
      <x:c r="J4689" s="2" t="n">
        <x:v>3</x:v>
      </x:c>
      <x:c r="K4689" s="2"/>
      <x:c r="L4689" s="2"/>
    </x:row>
    <x:row r="4690" ht="22" customHeight="1">
      <x:c r="A4690" s="2"/>
      <x:c r="B4690" s="2" t="n">
        <x:v>4657</x:v>
      </x:c>
      <x:c r="C4690" s="2" t="str">
        <x:v>37481</x:v>
      </x:c>
      <x:c r="D4690" s="2" t="str">
        <x:v>CUBIC MUG TEATIME CAKES</x:v>
      </x:c>
      <x:c r="E4690" s="11" t="n">
        <x:v>15.299999999999999</x:v>
      </x:c>
      <x:c r="F4690" s="11" t="n">
        <x:v>0</x:v>
      </x:c>
      <x:c r="G4690" s="11" t="n">
        <x:v>15.299999999999999</x:v>
      </x:c>
      <x:c r="H4690" s="23" t="n">
        <x:v>7.451150433807649e-7</x:v>
      </x:c>
      <x:c r="I4690" s="23" t="n">
        <x:v>0.9999063119129671</x:v>
      </x:c>
      <x:c r="J4690" s="2" t="n">
        <x:v>1</x:v>
      </x:c>
      <x:c r="K4690" s="2"/>
      <x:c r="L4690" s="2"/>
    </x:row>
    <x:row r="4691" ht="22" customHeight="1">
      <x:c r="A4691" s="2"/>
      <x:c r="B4691" s="2" t="n">
        <x:v>4658</x:v>
      </x:c>
      <x:c r="C4691" s="2" t="str">
        <x:v>84509e</x:v>
      </x:c>
      <x:c r="D4691" s="2" t="str">
        <x:v>SET OF 4 CAROUSEL PLACEMATS </x:v>
      </x:c>
      <x:c r="E4691" s="11" t="n">
        <x:v>15.24</x:v>
      </x:c>
      <x:c r="F4691" s="11" t="n">
        <x:v>0</x:v>
      </x:c>
      <x:c r="G4691" s="11" t="n">
        <x:v>15.24</x:v>
      </x:c>
      <x:c r="H4691" s="23" t="n">
        <x:v>7.421930236028012e-7</x:v>
      </x:c>
      <x:c r="I4691" s="23" t="n">
        <x:v>0.9999070541059907</x:v>
      </x:c>
      <x:c r="J4691" s="2" t="n">
        <x:v>1</x:v>
      </x:c>
      <x:c r="K4691" s="2"/>
      <x:c r="L4691" s="2"/>
    </x:row>
    <x:row r="4692" ht="22" customHeight="1">
      <x:c r="A4692" s="2"/>
      <x:c r="B4692" s="2" t="n">
        <x:v>4659</x:v>
      </x:c>
      <x:c r="C4692" s="2" t="str">
        <x:v>85124c</x:v>
      </x:c>
      <x:c r="D4692" s="2" t="str">
        <x:v>GREEN JUICY FRUIT PHOTO FRAME</x:v>
      </x:c>
      <x:c r="E4692" s="11" t="n">
        <x:v>15.18</x:v>
      </x:c>
      <x:c r="F4692" s="11" t="n">
        <x:v>0</x:v>
      </x:c>
      <x:c r="G4692" s="11" t="n">
        <x:v>15.18</x:v>
      </x:c>
      <x:c r="H4692" s="23" t="n">
        <x:v>7.392710038248374e-7</x:v>
      </x:c>
      <x:c r="I4692" s="23" t="n">
        <x:v>0.9999077933769945</x:v>
      </x:c>
      <x:c r="J4692" s="2" t="n">
        <x:v>2</x:v>
      </x:c>
      <x:c r="K4692" s="2"/>
      <x:c r="L4692" s="2"/>
    </x:row>
    <x:row r="4693" ht="22" customHeight="1">
      <x:c r="A4693" s="2"/>
      <x:c r="B4693" s="2" t="n">
        <x:v>4660</x:v>
      </x:c>
      <x:c r="C4693" s="2" t="str">
        <x:v>17174</x:v>
      </x:c>
      <x:c r="D4693" s="2" t="str">
        <x:v>ASSTD RASTA KEY-CHAINS</x:v>
      </x:c>
      <x:c r="E4693" s="11" t="n">
        <x:v>15.120000000000001</x:v>
      </x:c>
      <x:c r="F4693" s="11" t="n">
        <x:v>0</x:v>
      </x:c>
      <x:c r="G4693" s="11" t="n">
        <x:v>15.120000000000001</x:v>
      </x:c>
      <x:c r="H4693" s="23" t="n">
        <x:v>7.363489840468736e-7</x:v>
      </x:c>
      <x:c r="I4693" s="23" t="n">
        <x:v>0.9999085297259785</x:v>
      </x:c>
      <x:c r="J4693" s="2" t="n">
        <x:v>7</x:v>
      </x:c>
      <x:c r="K4693" s="2"/>
      <x:c r="L4693" s="2"/>
    </x:row>
    <x:row r="4694" ht="22" customHeight="1">
      <x:c r="A4694" s="2"/>
      <x:c r="B4694" s="2" t="n">
        <x:v>4661</x:v>
      </x:c>
      <x:c r="C4694" s="2" t="str">
        <x:v>m</x:v>
      </x:c>
      <x:c r="D4694" s="2" t="str">
        <x:v>Manual</x:v>
      </x:c>
      <x:c r="E4694" s="11" t="n">
        <x:v>15.049999999999999</x:v>
      </x:c>
      <x:c r="F4694" s="11" t="n">
        <x:v>0</x:v>
      </x:c>
      <x:c r="G4694" s="11" t="n">
        <x:v>15.049999999999999</x:v>
      </x:c>
      <x:c r="H4694" s="23" t="n">
        <x:v>7.329399609725825e-7</x:v>
      </x:c>
      <x:c r="I4694" s="23" t="n">
        <x:v>0.9999092626659395</x:v>
      </x:c>
      <x:c r="J4694" s="2" t="n">
        <x:v>4</x:v>
      </x:c>
      <x:c r="K4694" s="2"/>
      <x:c r="L4694" s="2"/>
    </x:row>
    <x:row r="4695" ht="22" customHeight="1">
      <x:c r="A4695" s="2"/>
      <x:c r="B4695" s="2" t="n">
        <x:v>4662</x:v>
      </x:c>
      <x:c r="C4695" s="2" t="str">
        <x:v>84206A</x:v>
      </x:c>
      <x:c r="D4695" s="2" t="str">
        <x:v>3 BLACK CATS W HEARTS BLANK CARD</x:v>
      </x:c>
      <x:c r="E4695" s="11" t="n">
        <x:v>15.010000000000002</x:v>
      </x:c>
      <x:c r="F4695" s="11" t="n">
        <x:v>0</x:v>
      </x:c>
      <x:c r="G4695" s="11" t="n">
        <x:v>15.010000000000002</x:v>
      </x:c>
      <x:c r="H4695" s="23" t="n">
        <x:v>7.309919477872734e-7</x:v>
      </x:c>
      <x:c r="I4695" s="23" t="n">
        <x:v>0.9999099936578872</x:v>
      </x:c>
      <x:c r="J4695" s="2" t="n">
        <x:v>9</x:v>
      </x:c>
      <x:c r="K4695" s="2"/>
      <x:c r="L4695" s="2"/>
    </x:row>
    <x:row r="4696" ht="22" customHeight="1">
      <x:c r="A4696" s="2"/>
      <x:c r="B4696" s="2" t="n">
        <x:v>4663</x:v>
      </x:c>
      <x:c r="C4696" s="2" t="str">
        <x:v>23449</x:v>
      </x:c>
      <x:c r="D4696" s="2" t="str">
        <x:v>SET OF 6 EASTER RAINBOW CHICKS</x:v>
      </x:c>
      <x:c r="E4696" s="11" t="n">
        <x:v>15</x:v>
      </x:c>
      <x:c r="F4696" s="11" t="n">
        <x:v>0</x:v>
      </x:c>
      <x:c r="G4696" s="11" t="n">
        <x:v>15</x:v>
      </x:c>
      <x:c r="H4696" s="23" t="n">
        <x:v>7.30504944490946e-7</x:v>
      </x:c>
      <x:c r="I4696" s="23" t="n">
        <x:v>0.9999107241628318</x:v>
      </x:c>
      <x:c r="J4696" s="2" t="n">
        <x:v>1</x:v>
      </x:c>
      <x:c r="K4696" s="2"/>
      <x:c r="L4696" s="2"/>
    </x:row>
    <x:row r="4697" ht="22" customHeight="1">
      <x:c r="A4697" s="2"/>
      <x:c r="B4697" s="2" t="n">
        <x:v>4664</x:v>
      </x:c>
      <x:c r="C4697" s="2" t="str">
        <x:v>90068</x:v>
      </x:c>
      <x:c r="D4697" s="2" t="str">
        <x:v>RUBY GLASS NECKLACE 42"</x:v>
      </x:c>
      <x:c r="E4697" s="11" t="n">
        <x:v>15</x:v>
      </x:c>
      <x:c r="F4697" s="11" t="n">
        <x:v>0</x:v>
      </x:c>
      <x:c r="G4697" s="11" t="n">
        <x:v>15</x:v>
      </x:c>
      <x:c r="H4697" s="23" t="n">
        <x:v>7.30504944490946e-7</x:v>
      </x:c>
      <x:c r="I4697" s="23" t="n">
        <x:v>0.9999114546677763</x:v>
      </x:c>
      <x:c r="J4697" s="2" t="n">
        <x:v>2</x:v>
      </x:c>
      <x:c r="K4697" s="2"/>
      <x:c r="L4697" s="2"/>
    </x:row>
    <x:row r="4698" ht="22" customHeight="1">
      <x:c r="A4698" s="2"/>
      <x:c r="B4698" s="2" t="n">
        <x:v>4665</x:v>
      </x:c>
      <x:c r="C4698" s="2" t="str">
        <x:v>21475</x:v>
      </x:c>
      <x:c r="D4698" s="2" t="str">
        <x:v>SWEETHEART CREAM STEEL FOLDIN CHAIR</x:v>
      </x:c>
      <x:c r="E4698" s="11" t="n">
        <x:v>14.95</x:v>
      </x:c>
      <x:c r="F4698" s="11" t="n">
        <x:v>14.95</x:v>
      </x:c>
      <x:c r="G4698" s="11" t="n">
        <x:v>0</x:v>
      </x:c>
      <x:c r="H4698" s="23" t="n">
        <x:v>7.280699280093095e-7</x:v>
      </x:c>
      <x:c r="I4698" s="23" t="n">
        <x:v>0.9999121827377043</x:v>
      </x:c>
      <x:c r="J4698" s="2" t="n">
        <x:v>1</x:v>
      </x:c>
      <x:c r="K4698" s="2"/>
      <x:c r="L4698" s="2"/>
    </x:row>
    <x:row r="4699" ht="22" customHeight="1">
      <x:c r="A4699" s="2"/>
      <x:c r="B4699" s="2" t="n">
        <x:v>4666</x:v>
      </x:c>
      <x:c r="C4699" s="2" t="str">
        <x:v>23621</x:v>
      </x:c>
      <x:c r="D4699" s="2" t="str">
        <x:v>SET 10 CARDS DAVID'S MADONNA 17074</x:v>
      </x:c>
      <x:c r="E4699" s="11" t="n">
        <x:v>14.940000000000001</x:v>
      </x:c>
      <x:c r="F4699" s="11" t="n">
        <x:v>0</x:v>
      </x:c>
      <x:c r="G4699" s="11" t="n">
        <x:v>14.940000000000001</x:v>
      </x:c>
      <x:c r="H4699" s="23" t="n">
        <x:v>7.275829247129823e-7</x:v>
      </x:c>
      <x:c r="I4699" s="23" t="n">
        <x:v>0.999912910320629</x:v>
      </x:c>
      <x:c r="J4699" s="2" t="n">
        <x:v>4</x:v>
      </x:c>
      <x:c r="K4699" s="2"/>
      <x:c r="L4699" s="2"/>
    </x:row>
    <x:row r="4700" ht="22" customHeight="1">
      <x:c r="A4700" s="2"/>
      <x:c r="B4700" s="2" t="n">
        <x:v>4667</x:v>
      </x:c>
      <x:c r="C4700" s="2" t="str">
        <x:v>84509g</x:v>
      </x:c>
      <x:c r="D4700" s="2" t="str">
        <x:v>SET OF 4 FAIRY CAKE PLACEMATS </x:v>
      </x:c>
      <x:c r="E4700" s="11" t="n">
        <x:v>14.92</x:v>
      </x:c>
      <x:c r="F4700" s="11" t="n">
        <x:v>0</x:v>
      </x:c>
      <x:c r="G4700" s="11" t="n">
        <x:v>14.92</x:v>
      </x:c>
      <x:c r="H4700" s="23" t="n">
        <x:v>7.266089181203276e-7</x:v>
      </x:c>
      <x:c r="I4700" s="23" t="n">
        <x:v>0.9999136369295472</x:v>
      </x:c>
      <x:c r="J4700" s="2" t="n">
        <x:v>2</x:v>
      </x:c>
      <x:c r="K4700" s="2"/>
      <x:c r="L4700" s="2"/>
    </x:row>
    <x:row r="4701" ht="22" customHeight="1">
      <x:c r="A4701" s="2"/>
      <x:c r="B4701" s="2" t="n">
        <x:v>4668</x:v>
      </x:c>
      <x:c r="C4701" s="2" t="str">
        <x:v>35650</x:v>
      </x:c>
      <x:c r="D4701" s="2" t="str">
        <x:v>VINTAGE BEAD PINK JEWEL STAND</x:v>
      </x:c>
      <x:c r="E4701" s="11" t="n">
        <x:v>14.850000000000001</x:v>
      </x:c>
      <x:c r="F4701" s="11" t="n">
        <x:v>0</x:v>
      </x:c>
      <x:c r="G4701" s="11" t="n">
        <x:v>14.850000000000001</x:v>
      </x:c>
      <x:c r="H4701" s="23" t="n">
        <x:v>7.231998950460366e-7</x:v>
      </x:c>
      <x:c r="I4701" s="23" t="n">
        <x:v>0.9999143601294422</x:v>
      </x:c>
      <x:c r="J4701" s="2" t="n">
        <x:v>3</x:v>
      </x:c>
      <x:c r="K4701" s="2"/>
      <x:c r="L4701" s="2"/>
    </x:row>
    <x:row r="4702" ht="22" customHeight="1">
      <x:c r="A4702" s="2"/>
      <x:c r="B4702" s="2" t="n">
        <x:v>4669</x:v>
      </x:c>
      <x:c r="C4702" s="2" t="str">
        <x:v>84567</x:v>
      </x:c>
      <x:c r="D4702" s="2" t="str">
        <x:v>FROSTED GLASS WITH SILVER SURROUND</x:v>
      </x:c>
      <x:c r="E4702" s="11" t="n">
        <x:v>14.85</x:v>
      </x:c>
      <x:c r="F4702" s="11" t="n">
        <x:v>0</x:v>
      </x:c>
      <x:c r="G4702" s="11" t="n">
        <x:v>14.85</x:v>
      </x:c>
      <x:c r="H4702" s="23" t="n">
        <x:v>7.231998950460365e-7</x:v>
      </x:c>
      <x:c r="I4702" s="23" t="n">
        <x:v>0.9999150833293373</x:v>
      </x:c>
      <x:c r="J4702" s="2" t="n">
        <x:v>1</x:v>
      </x:c>
      <x:c r="K4702" s="2"/>
      <x:c r="L4702" s="2"/>
    </x:row>
    <x:row r="4703" ht="22" customHeight="1">
      <x:c r="A4703" s="2"/>
      <x:c r="B4703" s="2" t="n">
        <x:v>4670</x:v>
      </x:c>
      <x:c r="C4703" s="2" t="str">
        <x:v>SP1002</x:v>
      </x:c>
      <x:c r="D4703" s="2" t="str">
        <x:v>KID'S CHALKBOARD/EASEL</x:v>
      </x:c>
      <x:c r="E4703" s="11" t="n">
        <x:v>14.75</x:v>
      </x:c>
      <x:c r="F4703" s="11" t="n">
        <x:v>0</x:v>
      </x:c>
      <x:c r="G4703" s="11" t="n">
        <x:v>14.75</x:v>
      </x:c>
      <x:c r="H4703" s="23" t="n">
        <x:v>7.183298620827636e-7</x:v>
      </x:c>
      <x:c r="I4703" s="23" t="n">
        <x:v>0.9999158016591994</x:v>
      </x:c>
      <x:c r="J4703" s="2" t="n">
        <x:v>2</x:v>
      </x:c>
      <x:c r="K4703" s="2"/>
      <x:c r="L4703" s="2"/>
    </x:row>
    <x:row r="4704" ht="22" customHeight="1">
      <x:c r="A4704" s="2"/>
      <x:c r="B4704" s="2" t="n">
        <x:v>4671</x:v>
      </x:c>
      <x:c r="C4704" s="2" t="str">
        <x:v>90011D</x:v>
      </x:c>
      <x:c r="D4704" s="2" t="str">
        <x:v>PURPLE CRYSTAL DROP EARRINGS</x:v>
      </x:c>
      <x:c r="E4704" s="11" t="n">
        <x:v>14.75</x:v>
      </x:c>
      <x:c r="F4704" s="11" t="n">
        <x:v>0</x:v>
      </x:c>
      <x:c r="G4704" s="11" t="n">
        <x:v>14.75</x:v>
      </x:c>
      <x:c r="H4704" s="23" t="n">
        <x:v>7.183298620827636e-7</x:v>
      </x:c>
      <x:c r="I4704" s="23" t="n">
        <x:v>0.9999165199890614</x:v>
      </x:c>
      <x:c r="J4704" s="2" t="n">
        <x:v>5</x:v>
      </x:c>
      <x:c r="K4704" s="2"/>
      <x:c r="L4704" s="2"/>
    </x:row>
    <x:row r="4705" ht="22" customHeight="1">
      <x:c r="A4705" s="2"/>
      <x:c r="B4705" s="2" t="n">
        <x:v>4672</x:v>
      </x:c>
      <x:c r="C4705" s="2" t="str">
        <x:v>23634</x:v>
      </x:c>
      <x:c r="D4705" s="2" t="str">
        <x:v>SET 10 CARDS XMAS CHOIR 17068</x:v>
      </x:c>
      <x:c r="E4705" s="11" t="n">
        <x:v>14.55</x:v>
      </x:c>
      <x:c r="F4705" s="11" t="n">
        <x:v>0</x:v>
      </x:c>
      <x:c r="G4705" s="11" t="n">
        <x:v>14.55</x:v>
      </x:c>
      <x:c r="H4705" s="23" t="n">
        <x:v>7.085897961562177e-7</x:v>
      </x:c>
      <x:c r="I4705" s="23" t="n">
        <x:v>0.9999172285788576</x:v>
      </x:c>
      <x:c r="J4705" s="2" t="n">
        <x:v>5</x:v>
      </x:c>
      <x:c r="K4705" s="2"/>
      <x:c r="L4705" s="2"/>
    </x:row>
    <x:row r="4706" ht="22" customHeight="1">
      <x:c r="A4706" s="2"/>
      <x:c r="B4706" s="2" t="n">
        <x:v>4673</x:v>
      </x:c>
      <x:c r="C4706" s="2" t="str">
        <x:v>90077</x:v>
      </x:c>
      <x:c r="D4706" s="2" t="str">
        <x:v>BLACK DIAMOND CLUSTER EARRINGS</x:v>
      </x:c>
      <x:c r="E4706" s="11" t="n">
        <x:v>14.399999999999999</x:v>
      </x:c>
      <x:c r="F4706" s="11" t="n">
        <x:v>0</x:v>
      </x:c>
      <x:c r="G4706" s="11" t="n">
        <x:v>14.399999999999999</x:v>
      </x:c>
      <x:c r="H4706" s="23" t="n">
        <x:v>7.012847467113081e-7</x:v>
      </x:c>
      <x:c r="I4706" s="23" t="n">
        <x:v>0.9999179298636043</x:v>
      </x:c>
      <x:c r="J4706" s="2" t="n">
        <x:v>5</x:v>
      </x:c>
      <x:c r="K4706" s="2"/>
      <x:c r="L4706" s="2"/>
    </x:row>
    <x:row r="4707" ht="22" customHeight="1">
      <x:c r="A4707" s="2"/>
      <x:c r="B4707" s="2" t="n">
        <x:v>4674</x:v>
      </x:c>
      <x:c r="C4707" s="2" t="str">
        <x:v>10124G</x:v>
      </x:c>
      <x:c r="D4707" s="2" t="str">
        <x:v>ARMY CAMO BOOKCOVER TAPE</x:v>
      </x:c>
      <x:c r="E4707" s="11" t="n">
        <x:v>14.28</x:v>
      </x:c>
      <x:c r="F4707" s="11" t="n">
        <x:v>0</x:v>
      </x:c>
      <x:c r="G4707" s="11" t="n">
        <x:v>14.28</x:v>
      </x:c>
      <x:c r="H4707" s="23" t="n">
        <x:v>6.954407071553806e-7</x:v>
      </x:c>
      <x:c r="I4707" s="23" t="n">
        <x:v>0.9999186253043114</x:v>
      </x:c>
      <x:c r="J4707" s="2" t="n">
        <x:v>10</x:v>
      </x:c>
      <x:c r="K4707" s="2"/>
      <x:c r="L4707" s="2"/>
    </x:row>
    <x:row r="4708" ht="22" customHeight="1">
      <x:c r="A4708" s="2"/>
      <x:c r="B4708" s="2" t="n">
        <x:v>4675</x:v>
      </x:c>
      <x:c r="C4708" s="2" t="str">
        <x:v>21852</x:v>
      </x:c>
      <x:c r="D4708" s="2" t="str">
        <x:v>EMPIRE TEDDY</x:v>
      </x:c>
      <x:c r="E4708" s="11" t="n">
        <x:v>13.9</x:v>
      </x:c>
      <x:c r="F4708" s="11" t="n">
        <x:v>0</x:v>
      </x:c>
      <x:c r="G4708" s="11" t="n">
        <x:v>13.9</x:v>
      </x:c>
      <x:c r="H4708" s="23" t="n">
        <x:v>6.769345818949434e-7</x:v>
      </x:c>
      <x:c r="I4708" s="23" t="n">
        <x:v>0.9999193022388934</x:v>
      </x:c>
      <x:c r="J4708" s="2" t="n">
        <x:v>2</x:v>
      </x:c>
      <x:c r="K4708" s="2"/>
      <x:c r="L4708" s="2"/>
    </x:row>
    <x:row r="4709" ht="22" customHeight="1">
      <x:c r="A4709" s="2"/>
      <x:c r="B4709" s="2" t="n">
        <x:v>4676</x:v>
      </x:c>
      <x:c r="C4709" s="2" t="str">
        <x:v>84868A</x:v>
      </x:c>
      <x:c r="D4709" s="2" t="str">
        <x:v>PINK BABY GIRL'S MEMORY BOX</x:v>
      </x:c>
      <x:c r="E4709" s="11" t="n">
        <x:v>13.9</x:v>
      </x:c>
      <x:c r="F4709" s="11" t="n">
        <x:v>0</x:v>
      </x:c>
      <x:c r="G4709" s="11" t="n">
        <x:v>13.9</x:v>
      </x:c>
      <x:c r="H4709" s="23" t="n">
        <x:v>6.769345818949434e-7</x:v>
      </x:c>
      <x:c r="I4709" s="23" t="n">
        <x:v>0.9999199791734753</x:v>
      </x:c>
      <x:c r="J4709" s="2" t="n">
        <x:v>2</x:v>
      </x:c>
      <x:c r="K4709" s="2"/>
      <x:c r="L4709" s="2"/>
    </x:row>
    <x:row r="4710" ht="22" customHeight="1">
      <x:c r="A4710" s="2"/>
      <x:c r="B4710" s="2" t="n">
        <x:v>4677</x:v>
      </x:c>
      <x:c r="C4710" s="2" t="str">
        <x:v>84406b</x:v>
      </x:c>
      <x:c r="D4710" s="2" t="str">
        <x:v>CREAM CUPID HEARTS COAT HANGER</x:v>
      </x:c>
      <x:c r="E4710" s="11" t="n">
        <x:v>13.82</x:v>
      </x:c>
      <x:c r="F4710" s="11" t="n">
        <x:v>0</x:v>
      </x:c>
      <x:c r="G4710" s="11" t="n">
        <x:v>13.82</x:v>
      </x:c>
      <x:c r="H4710" s="23" t="n">
        <x:v>6.73038555524325e-7</x:v>
      </x:c>
      <x:c r="I4710" s="23" t="n">
        <x:v>0.9999206522120309</x:v>
      </x:c>
      <x:c r="J4710" s="2" t="n">
        <x:v>2</x:v>
      </x:c>
      <x:c r="K4710" s="2"/>
      <x:c r="L4710" s="2"/>
    </x:row>
    <x:row r="4711" ht="22" customHeight="1">
      <x:c r="A4711" s="2"/>
      <x:c r="B4711" s="2" t="n">
        <x:v>4678</x:v>
      </x:c>
      <x:c r="C4711" s="2" t="str">
        <x:v>16245A</x:v>
      </x:c>
      <x:c r="D4711" s="2" t="str">
        <x:v>damaged</x:v>
      </x:c>
      <x:c r="E4711" s="11" t="n">
        <x:v>13.75</x:v>
      </x:c>
      <x:c r="F4711" s="11" t="n">
        <x:v>0</x:v>
      </x:c>
      <x:c r="G4711" s="11" t="n">
        <x:v>13.75</x:v>
      </x:c>
      <x:c r="H4711" s="23" t="n">
        <x:v>6.696295324500339e-7</x:v>
      </x:c>
      <x:c r="I4711" s="23" t="n">
        <x:v>0.9999213218415633</x:v>
      </x:c>
      <x:c r="J4711" s="2" t="n">
        <x:v>7</x:v>
      </x:c>
      <x:c r="K4711" s="2"/>
      <x:c r="L4711" s="2"/>
    </x:row>
    <x:row r="4712" ht="22" customHeight="1">
      <x:c r="A4712" s="2"/>
      <x:c r="B4712" s="2" t="n">
        <x:v>4679</x:v>
      </x:c>
      <x:c r="C4712" s="2" t="str">
        <x:v>35936</x:v>
      </x:c>
      <x:c r="D4712" s="2" t="str">
        <x:v>CERISE+GOLD CHRISTMAS TREE DEC</x:v>
      </x:c>
      <x:c r="E4712" s="11" t="n">
        <x:v>13.68</x:v>
      </x:c>
      <x:c r="F4712" s="11" t="n">
        <x:v>0</x:v>
      </x:c>
      <x:c r="G4712" s="11" t="n">
        <x:v>13.68</x:v>
      </x:c>
      <x:c r="H4712" s="23" t="n">
        <x:v>6.662205093757428e-7</x:v>
      </x:c>
      <x:c r="I4712" s="23" t="n">
        <x:v>0.9999219880620728</x:v>
      </x:c>
      <x:c r="J4712" s="2" t="n">
        <x:v>9</x:v>
      </x:c>
      <x:c r="K4712" s="2"/>
      <x:c r="L4712" s="2"/>
    </x:row>
    <x:row r="4713" ht="22" customHeight="1">
      <x:c r="A4713" s="2"/>
      <x:c r="B4713" s="2" t="n">
        <x:v>4680</x:v>
      </x:c>
      <x:c r="C4713" s="2" t="str">
        <x:v>84814B</x:v>
      </x:c>
      <x:c r="D4713" s="2" t="str">
        <x:v>RHOMBUS CRYSTAL PERFUME BOTTLE</x:v>
      </x:c>
      <x:c r="E4713" s="11" t="n">
        <x:v>13.65</x:v>
      </x:c>
      <x:c r="F4713" s="11" t="n">
        <x:v>0</x:v>
      </x:c>
      <x:c r="G4713" s="11" t="n">
        <x:v>13.65</x:v>
      </x:c>
      <x:c r="H4713" s="23" t="n">
        <x:v>6.647594994867609e-7</x:v>
      </x:c>
      <x:c r="I4713" s="23" t="n">
        <x:v>0.9999226528215722</x:v>
      </x:c>
      <x:c r="J4713" s="2" t="n">
        <x:v>3</x:v>
      </x:c>
      <x:c r="K4713" s="2"/>
      <x:c r="L4713" s="2"/>
    </x:row>
    <x:row r="4714" ht="22" customHeight="1">
      <x:c r="A4714" s="2"/>
      <x:c r="B4714" s="2" t="n">
        <x:v>4681</x:v>
      </x:c>
      <x:c r="C4714" s="2" t="str">
        <x:v>35443</x:v>
      </x:c>
      <x:c r="D4714" s="2" t="str">
        <x:v>RASTA IN BATH W SPLIFF ASHTRAY</x:v>
      </x:c>
      <x:c r="E4714" s="11" t="n">
        <x:v>13.6</x:v>
      </x:c>
      <x:c r="F4714" s="11" t="n">
        <x:v>0</x:v>
      </x:c>
      <x:c r="G4714" s="11" t="n">
        <x:v>13.6</x:v>
      </x:c>
      <x:c r="H4714" s="23" t="n">
        <x:v>6.623244830051244e-7</x:v>
      </x:c>
      <x:c r="I4714" s="23" t="n">
        <x:v>0.9999233151460553</x:v>
      </x:c>
      <x:c r="J4714" s="2" t="n">
        <x:v>10</x:v>
      </x:c>
      <x:c r="K4714" s="2"/>
      <x:c r="L4714" s="2"/>
    </x:row>
    <x:row r="4715" ht="22" customHeight="1">
      <x:c r="A4715" s="2"/>
      <x:c r="B4715" s="2" t="n">
        <x:v>4682</x:v>
      </x:c>
      <x:c r="C4715" s="2" t="str">
        <x:v>79342b</x:v>
      </x:c>
      <x:c r="D4715" s="2" t="str">
        <x:v>BROWN FLOWER LIGHTS</x:v>
      </x:c>
      <x:c r="E4715" s="11" t="n">
        <x:v>13.57</x:v>
      </x:c>
      <x:c r="F4715" s="11" t="n">
        <x:v>0</x:v>
      </x:c>
      <x:c r="G4715" s="11" t="n">
        <x:v>13.57</x:v>
      </x:c>
      <x:c r="H4715" s="23" t="n">
        <x:v>6.608634731161426e-7</x:v>
      </x:c>
      <x:c r="I4715" s="23" t="n">
        <x:v>0.9999239760095284</x:v>
      </x:c>
      <x:c r="J4715" s="2" t="n">
        <x:v>1</x:v>
      </x:c>
      <x:c r="K4715" s="2"/>
      <x:c r="L4715" s="2"/>
    </x:row>
    <x:row r="4716" ht="22" customHeight="1">
      <x:c r="A4716" s="2"/>
      <x:c r="B4716" s="2" t="n">
        <x:v>4683</x:v>
      </x:c>
      <x:c r="C4716" s="2" t="str">
        <x:v>84867a</x:v>
      </x:c>
      <x:c r="D4716" s="2" t="str">
        <x:v>PINK BABY GIRLS PHOTO ALBUM</x:v>
      </x:c>
      <x:c r="E4716" s="11" t="n">
        <x:v>13.57</x:v>
      </x:c>
      <x:c r="F4716" s="11" t="n">
        <x:v>0</x:v>
      </x:c>
      <x:c r="G4716" s="11" t="n">
        <x:v>13.57</x:v>
      </x:c>
      <x:c r="H4716" s="23" t="n">
        <x:v>6.608634731161426e-7</x:v>
      </x:c>
      <x:c r="I4716" s="23" t="n">
        <x:v>0.9999246368730016</x:v>
      </x:c>
      <x:c r="J4716" s="2" t="n">
        <x:v>1</x:v>
      </x:c>
      <x:c r="K4716" s="2"/>
      <x:c r="L4716" s="2"/>
    </x:row>
    <x:row r="4717" ht="22" customHeight="1">
      <x:c r="A4717" s="2"/>
      <x:c r="B4717" s="2" t="n">
        <x:v>4684</x:v>
      </x:c>
      <x:c r="C4717" s="2" t="str">
        <x:v>21525</x:v>
      </x:c>
      <x:c r="D4717" s="2" t="str">
        <x:v>BEWARE OF THE CAT DOORMAT</x:v>
      </x:c>
      <x:c r="E4717" s="11" t="n">
        <x:v>13.5</x:v>
      </x:c>
      <x:c r="F4717" s="11" t="n">
        <x:v>13.5</x:v>
      </x:c>
      <x:c r="G4717" s="11" t="n">
        <x:v>0</x:v>
      </x:c>
      <x:c r="H4717" s="23" t="n">
        <x:v>6.574544500418515e-7</x:v>
      </x:c>
      <x:c r="I4717" s="23" t="n">
        <x:v>0.9999252943274516</x:v>
      </x:c>
      <x:c r="J4717" s="2" t="n">
        <x:v>2</x:v>
      </x:c>
      <x:c r="K4717" s="2"/>
      <x:c r="L4717" s="2"/>
    </x:row>
    <x:row r="4718" ht="22" customHeight="1">
      <x:c r="A4718" s="2"/>
      <x:c r="B4718" s="2" t="n">
        <x:v>4685</x:v>
      </x:c>
      <x:c r="C4718" s="2" t="str">
        <x:v>85039b</x:v>
      </x:c>
      <x:c r="D4718" s="2" t="str">
        <x:v>S/4 IVORY MINI ROSE CANDLE IN BOWL</x:v>
      </x:c>
      <x:c r="E4718" s="11" t="n">
        <x:v>13.44</x:v>
      </x:c>
      <x:c r="F4718" s="11" t="n">
        <x:v>0</x:v>
      </x:c>
      <x:c r="G4718" s="11" t="n">
        <x:v>13.44</x:v>
      </x:c>
      <x:c r="H4718" s="23" t="n">
        <x:v>6.545324302638877e-7</x:v>
      </x:c>
      <x:c r="I4718" s="23" t="n">
        <x:v>0.9999259488598818</x:v>
      </x:c>
      <x:c r="J4718" s="2" t="n">
        <x:v>1</x:v>
      </x:c>
      <x:c r="K4718" s="2"/>
      <x:c r="L4718" s="2"/>
    </x:row>
    <x:row r="4719" ht="22" customHeight="1">
      <x:c r="A4719" s="2"/>
      <x:c r="B4719" s="2" t="n">
        <x:v>4686</x:v>
      </x:c>
      <x:c r="C4719" s="2" t="str">
        <x:v>62097B</x:v>
      </x:c>
      <x:c r="D4719" s="2" t="str">
        <x:v>BLUE STRIPES SHOULDER BAG</x:v>
      </x:c>
      <x:c r="E4719" s="11" t="n">
        <x:v>13.37</x:v>
      </x:c>
      <x:c r="F4719" s="11" t="n">
        <x:v>0</x:v>
      </x:c>
      <x:c r="G4719" s="11" t="n">
        <x:v>13.37</x:v>
      </x:c>
      <x:c r="H4719" s="23" t="n">
        <x:v>6.511234071895966e-7</x:v>
      </x:c>
      <x:c r="I4719" s="23" t="n">
        <x:v>0.999926599983289</x:v>
      </x:c>
      <x:c r="J4719" s="2" t="n">
        <x:v>4</x:v>
      </x:c>
      <x:c r="K4719" s="2"/>
      <x:c r="L4719" s="2"/>
    </x:row>
    <x:row r="4720" ht="22" customHeight="1">
      <x:c r="A4720" s="2"/>
      <x:c r="B4720" s="2" t="n">
        <x:v>4687</x:v>
      </x:c>
      <x:c r="C4720" s="2" t="str">
        <x:v>23639</x:v>
      </x:c>
      <x:c r="D4720" s="2" t="str">
        <x:v>SET 10 CARDS MAGICAL TREE 17086</x:v>
      </x:c>
      <x:c r="E4720" s="11" t="n">
        <x:v>13.32</x:v>
      </x:c>
      <x:c r="F4720" s="11" t="n">
        <x:v>0</x:v>
      </x:c>
      <x:c r="G4720" s="11" t="n">
        <x:v>13.32</x:v>
      </x:c>
      <x:c r="H4720" s="23" t="n">
        <x:v>6.4868839070796e-7</x:v>
      </x:c>
      <x:c r="I4720" s="23" t="n">
        <x:v>0.9999272486716797</x:v>
      </x:c>
      <x:c r="J4720" s="2" t="n">
        <x:v>4</x:v>
      </x:c>
      <x:c r="K4720" s="2"/>
      <x:c r="L4720" s="2"/>
    </x:row>
    <x:row r="4721" ht="22" customHeight="1">
      <x:c r="A4721" s="2"/>
      <x:c r="B4721" s="2" t="n">
        <x:v>4688</x:v>
      </x:c>
      <x:c r="C4721" s="2" t="str">
        <x:v>23607</x:v>
      </x:c>
      <x:c r="D4721" s="2" t="str">
        <x:v>SET 10 CARDS HATS &amp; STOCKINGS 17081</x:v>
      </x:c>
      <x:c r="E4721" s="11" t="n">
        <x:v>13.28</x:v>
      </x:c>
      <x:c r="F4721" s="11" t="n">
        <x:v>0</x:v>
      </x:c>
      <x:c r="G4721" s="11" t="n">
        <x:v>13.28</x:v>
      </x:c>
      <x:c r="H4721" s="23" t="n">
        <x:v>6.467403775226509e-7</x:v>
      </x:c>
      <x:c r="I4721" s="23" t="n">
        <x:v>0.9999278954120572</x:v>
      </x:c>
      <x:c r="J4721" s="2" t="n">
        <x:v>7</x:v>
      </x:c>
      <x:c r="K4721" s="2"/>
      <x:c r="L4721" s="2"/>
    </x:row>
    <x:row r="4722" ht="22" customHeight="1">
      <x:c r="A4722" s="2"/>
      <x:c r="B4722" s="2" t="n">
        <x:v>4689</x:v>
      </x:c>
      <x:c r="C4722" s="2" t="str">
        <x:v>79149B</x:v>
      </x:c>
      <x:c r="D4722" s="2" t="str">
        <x:v>SILICON STAR BULB  BLUE</x:v>
      </x:c>
      <x:c r="E4722" s="11" t="n">
        <x:v>13.02</x:v>
      </x:c>
      <x:c r="F4722" s="11" t="n">
        <x:v>0</x:v>
      </x:c>
      <x:c r="G4722" s="11" t="n">
        <x:v>13.02</x:v>
      </x:c>
      <x:c r="H4722" s="23" t="n">
        <x:v>6.340782918181411e-7</x:v>
      </x:c>
      <x:c r="I4722" s="23" t="n">
        <x:v>0.999928529490349</x:v>
      </x:c>
      <x:c r="J4722" s="2" t="n">
        <x:v>12</x:v>
      </x:c>
      <x:c r="K4722" s="2"/>
      <x:c r="L4722" s="2"/>
    </x:row>
    <x:row r="4723" ht="22" customHeight="1">
      <x:c r="A4723" s="2"/>
      <x:c r="B4723" s="2" t="n">
        <x:v>4690</x:v>
      </x:c>
      <x:c r="C4723" s="2" t="str">
        <x:v>35004s</x:v>
      </x:c>
      <x:c r="D4723" s="2" t="str">
        <x:v>SET OF 3 SILVER FLYING DUCKS</x:v>
      </x:c>
      <x:c r="E4723" s="11" t="n">
        <x:v>13</x:v>
      </x:c>
      <x:c r="F4723" s="11" t="n">
        <x:v>0</x:v>
      </x:c>
      <x:c r="G4723" s="11" t="n">
        <x:v>13</x:v>
      </x:c>
      <x:c r="H4723" s="23" t="n">
        <x:v>6.331042852254865e-7</x:v>
      </x:c>
      <x:c r="I4723" s="23" t="n">
        <x:v>0.9999291625946343</x:v>
      </x:c>
      <x:c r="J4723" s="2" t="n">
        <x:v>1</x:v>
      </x:c>
      <x:c r="K4723" s="2"/>
      <x:c r="L4723" s="2"/>
    </x:row>
    <x:row r="4724" ht="22" customHeight="1">
      <x:c r="A4724" s="2"/>
      <x:c r="B4724" s="2" t="n">
        <x:v>4691</x:v>
      </x:c>
      <x:c r="C4724" s="2" t="str">
        <x:v>85159b</x:v>
      </x:c>
      <x:c r="D4724" s="2" t="str">
        <x:v>WHITE TEA,COFFEE,SUGAR JARS</x:v>
      </x:c>
      <x:c r="E4724" s="11" t="n">
        <x:v>13</x:v>
      </x:c>
      <x:c r="F4724" s="11" t="n">
        <x:v>0</x:v>
      </x:c>
      <x:c r="G4724" s="11" t="n">
        <x:v>13</x:v>
      </x:c>
      <x:c r="H4724" s="23" t="n">
        <x:v>6.331042852254865e-7</x:v>
      </x:c>
      <x:c r="I4724" s="23" t="n">
        <x:v>0.9999297956989195</x:v>
      </x:c>
      <x:c r="J4724" s="2" t="n">
        <x:v>1</x:v>
      </x:c>
      <x:c r="K4724" s="2"/>
      <x:c r="L4724" s="2"/>
    </x:row>
    <x:row r="4725" ht="22" customHeight="1">
      <x:c r="A4725" s="2"/>
      <x:c r="B4725" s="2" t="n">
        <x:v>4692</x:v>
      </x:c>
      <x:c r="C4725" s="2" t="str">
        <x:v>16192</x:v>
      </x:c>
      <x:c r="D4725" s="2" t="str">
        <x:v>PINK BALLET OPENING CUBE BOX </x:v>
      </x:c>
      <x:c r="E4725" s="11" t="n">
        <x:v>12.899999999999999</x:v>
      </x:c>
      <x:c r="F4725" s="11" t="n">
        <x:v>0</x:v>
      </x:c>
      <x:c r="G4725" s="11" t="n">
        <x:v>12.899999999999999</x:v>
      </x:c>
      <x:c r="H4725" s="23" t="n">
        <x:v>6.282342522622135e-7</x:v>
      </x:c>
      <x:c r="I4725" s="23" t="n">
        <x:v>0.9999304239331718</x:v>
      </x:c>
      <x:c r="J4725" s="2" t="n">
        <x:v>1</x:v>
      </x:c>
      <x:c r="K4725" s="2"/>
      <x:c r="L4725" s="2"/>
    </x:row>
    <x:row r="4726" ht="22" customHeight="1">
      <x:c r="A4726" s="2"/>
      <x:c r="B4726" s="2" t="n">
        <x:v>4693</x:v>
      </x:c>
      <x:c r="C4726" s="2" t="str">
        <x:v>84989b</x:v>
      </x:c>
      <x:c r="D4726" s="2" t="str">
        <x:v>75 BLACK FAIRY CAKE CASES</x:v>
      </x:c>
      <x:c r="E4726" s="11" t="n">
        <x:v>12.8</x:v>
      </x:c>
      <x:c r="F4726" s="11" t="n">
        <x:v>0</x:v>
      </x:c>
      <x:c r="G4726" s="11" t="n">
        <x:v>12.8</x:v>
      </x:c>
      <x:c r="H4726" s="23" t="n">
        <x:v>6.233642192989406e-7</x:v>
      </x:c>
      <x:c r="I4726" s="23" t="n">
        <x:v>0.9999310472973911</x:v>
      </x:c>
      <x:c r="J4726" s="2" t="n">
        <x:v>6</x:v>
      </x:c>
      <x:c r="K4726" s="2"/>
      <x:c r="L4726" s="2"/>
    </x:row>
    <x:row r="4727" ht="22" customHeight="1">
      <x:c r="A4727" s="2"/>
      <x:c r="B4727" s="2" t="n">
        <x:v>4694</x:v>
      </x:c>
      <x:c r="C4727" s="2" t="str">
        <x:v>84247J</x:v>
      </x:c>
      <x:c r="D4727" s="2" t="str">
        <x:v>PACK/12 RUSSIAN DOLL CARDS</x:v>
      </x:c>
      <x:c r="E4727" s="11" t="n">
        <x:v>12.780000000000001</x:v>
      </x:c>
      <x:c r="F4727" s="11" t="n">
        <x:v>0</x:v>
      </x:c>
      <x:c r="G4727" s="11" t="n">
        <x:v>12.780000000000001</x:v>
      </x:c>
      <x:c r="H4727" s="23" t="n">
        <x:v>6.223902127062861e-7</x:v>
      </x:c>
      <x:c r="I4727" s="23" t="n">
        <x:v>0.9999316696876038</x:v>
      </x:c>
      <x:c r="J4727" s="2" t="n">
        <x:v>9</x:v>
      </x:c>
      <x:c r="K4727" s="2"/>
      <x:c r="L4727" s="2"/>
    </x:row>
    <x:row r="4728" ht="22" customHeight="1">
      <x:c r="A4728" s="2"/>
      <x:c r="B4728" s="2" t="n">
        <x:v>4695</x:v>
      </x:c>
      <x:c r="C4728" s="2" t="str">
        <x:v>21772</x:v>
      </x:c>
      <x:c r="D4728" s="2" t="str">
        <x:v>VINTAGE METAL CAKE STAND CREAM </x:v>
      </x:c>
      <x:c r="E4728" s="11" t="n">
        <x:v>12.75</x:v>
      </x:c>
      <x:c r="F4728" s="11" t="n">
        <x:v>0</x:v>
      </x:c>
      <x:c r="G4728" s="11" t="n">
        <x:v>12.75</x:v>
      </x:c>
      <x:c r="H4728" s="23" t="n">
        <x:v>6.209292028173041e-7</x:v>
      </x:c>
      <x:c r="I4728" s="23" t="n">
        <x:v>0.9999322906168067</x:v>
      </x:c>
      <x:c r="J4728" s="2" t="n">
        <x:v>1</x:v>
      </x:c>
      <x:c r="K4728" s="2"/>
      <x:c r="L4728" s="2"/>
    </x:row>
    <x:row r="4729" ht="22" customHeight="1">
      <x:c r="A4729" s="2"/>
      <x:c r="B4729" s="2" t="n">
        <x:v>4696</x:v>
      </x:c>
      <x:c r="C4729" s="2" t="str">
        <x:v>44092B</x:v>
      </x:c>
      <x:c r="D4729" s="2" t="str">
        <x:v>BLUE WHITE PLASTIC RINGS LAMPSHADE</x:v>
      </x:c>
      <x:c r="E4729" s="11" t="n">
        <x:v>12.75</x:v>
      </x:c>
      <x:c r="F4729" s="11" t="n">
        <x:v>0</x:v>
      </x:c>
      <x:c r="G4729" s="11" t="n">
        <x:v>12.75</x:v>
      </x:c>
      <x:c r="H4729" s="23" t="n">
        <x:v>6.209292028173041e-7</x:v>
      </x:c>
      <x:c r="I4729" s="23" t="n">
        <x:v>0.9999329115460095</x:v>
      </x:c>
      <x:c r="J4729" s="2" t="n">
        <x:v>6</x:v>
      </x:c>
      <x:c r="K4729" s="2"/>
      <x:c r="L4729" s="2"/>
    </x:row>
    <x:row r="4730" ht="22" customHeight="1">
      <x:c r="A4730" s="2"/>
      <x:c r="B4730" s="2" t="n">
        <x:v>4697</x:v>
      </x:c>
      <x:c r="C4730" s="2" t="str">
        <x:v>20812</x:v>
      </x:c>
      <x:c r="D4730" s="2" t="str">
        <x:v>EMBOSSED FLOWER TRELLIS PHOTO FRAME</x:v>
      </x:c>
      <x:c r="E4730" s="11" t="n">
        <x:v>12.75</x:v>
      </x:c>
      <x:c r="F4730" s="11" t="n">
        <x:v>0</x:v>
      </x:c>
      <x:c r="G4730" s="11" t="n">
        <x:v>12.75</x:v>
      </x:c>
      <x:c r="H4730" s="23" t="n">
        <x:v>6.209292028173041e-7</x:v>
      </x:c>
      <x:c r="I4730" s="23" t="n">
        <x:v>0.9999335324752123</x:v>
      </x:c>
      <x:c r="J4730" s="2" t="n">
        <x:v>3</x:v>
      </x:c>
      <x:c r="K4730" s="2"/>
      <x:c r="L4730" s="2"/>
    </x:row>
    <x:row r="4731" ht="22" customHeight="1">
      <x:c r="A4731" s="2"/>
      <x:c r="B4731" s="2" t="n">
        <x:v>4698</x:v>
      </x:c>
      <x:c r="C4731" s="2" t="str">
        <x:v>72752B</x:v>
      </x:c>
      <x:c r="D4731" s="2" t="str">
        <x:v>F.FAIRY,CANDLE IN GLASS,LAVENDER</x:v>
      </x:c>
      <x:c r="E4731" s="11" t="n">
        <x:v>12.75</x:v>
      </x:c>
      <x:c r="F4731" s="11" t="n">
        <x:v>0</x:v>
      </x:c>
      <x:c r="G4731" s="11" t="n">
        <x:v>12.75</x:v>
      </x:c>
      <x:c r="H4731" s="23" t="n">
        <x:v>6.209292028173041e-7</x:v>
      </x:c>
      <x:c r="I4731" s="23" t="n">
        <x:v>0.9999341534044152</x:v>
      </x:c>
      <x:c r="J4731" s="2" t="n">
        <x:v>2</x:v>
      </x:c>
      <x:c r="K4731" s="2"/>
      <x:c r="L4731" s="2"/>
    </x:row>
    <x:row r="4732" ht="22" customHeight="1">
      <x:c r="A4732" s="2"/>
      <x:c r="B4732" s="2" t="n">
        <x:v>4699</x:v>
      </x:c>
      <x:c r="C4732" s="2" t="str">
        <x:v>85083</x:v>
      </x:c>
      <x:c r="D4732" s="2" t="str">
        <x:v>KISS REINDEER SCANDINAVIAN STOCKING</x:v>
      </x:c>
      <x:c r="E4732" s="11" t="n">
        <x:v>12.75</x:v>
      </x:c>
      <x:c r="F4732" s="11" t="n">
        <x:v>15.299999999999999</x:v>
      </x:c>
      <x:c r="G4732" s="11" t="n">
        <x:v>-2.55</x:v>
      </x:c>
      <x:c r="H4732" s="23" t="n">
        <x:v>6.209292028173041e-7</x:v>
      </x:c>
      <x:c r="I4732" s="23" t="n">
        <x:v>0.999934774333618</x:v>
      </x:c>
      <x:c r="J4732" s="2" t="n">
        <x:v>2</x:v>
      </x:c>
      <x:c r="K4732" s="2"/>
      <x:c r="L4732" s="2"/>
    </x:row>
    <x:row r="4733" ht="22" customHeight="1">
      <x:c r="A4733" s="2"/>
      <x:c r="B4733" s="2" t="n">
        <x:v>4700</x:v>
      </x:c>
      <x:c r="C4733" s="2" t="str">
        <x:v>84648</x:v>
      </x:c>
      <x:c r="D4733" s="2" t="str">
        <x:v>NEW BAROQUE WALL MIRROR</x:v>
      </x:c>
      <x:c r="E4733" s="11" t="n">
        <x:v>12.75</x:v>
      </x:c>
      <x:c r="F4733" s="11" t="n">
        <x:v>0</x:v>
      </x:c>
      <x:c r="G4733" s="11" t="n">
        <x:v>12.75</x:v>
      </x:c>
      <x:c r="H4733" s="23" t="n">
        <x:v>6.209292028173041e-7</x:v>
      </x:c>
      <x:c r="I4733" s="23" t="n">
        <x:v>0.9999353952628208</x:v>
      </x:c>
      <x:c r="J4733" s="2" t="n">
        <x:v>1</x:v>
      </x:c>
      <x:c r="K4733" s="2"/>
      <x:c r="L4733" s="2"/>
    </x:row>
    <x:row r="4734" ht="22" customHeight="1">
      <x:c r="A4734" s="2"/>
      <x:c r="B4734" s="2" t="n">
        <x:v>4701</x:v>
      </x:c>
      <x:c r="C4734" s="2" t="str">
        <x:v>DCGS0037</x:v>
      </x:c>
      <x:c r="D4734" s="2" t="str">
        <x:v>KEY-RING CORKSCREW</x:v>
      </x:c>
      <x:c r="E4734" s="11" t="n">
        <x:v>12.72</x:v>
      </x:c>
      <x:c r="F4734" s="11" t="n">
        <x:v>0</x:v>
      </x:c>
      <x:c r="G4734" s="11" t="n">
        <x:v>12.72</x:v>
      </x:c>
      <x:c r="H4734" s="23" t="n">
        <x:v>6.194681929283223e-7</x:v>
      </x:c>
      <x:c r="I4734" s="23" t="n">
        <x:v>0.9999360147310138</x:v>
      </x:c>
      <x:c r="J4734" s="2" t="n">
        <x:v>1</x:v>
      </x:c>
      <x:c r="K4734" s="2"/>
      <x:c r="L4734" s="2"/>
    </x:row>
    <x:row r="4735" ht="22" customHeight="1">
      <x:c r="A4735" s="2"/>
      <x:c r="B4735" s="2" t="n">
        <x:v>4702</x:v>
      </x:c>
      <x:c r="C4735" s="2" t="str">
        <x:v>85157</x:v>
      </x:c>
      <x:c r="D4735" s="2" t="str">
        <x:v>SET OF 2 CHESTS CHOCOLAT AU LAIT</x:v>
      </x:c>
      <x:c r="E4735" s="11" t="n">
        <x:v>12.72</x:v>
      </x:c>
      <x:c r="F4735" s="11" t="n">
        <x:v>0</x:v>
      </x:c>
      <x:c r="G4735" s="11" t="n">
        <x:v>12.72</x:v>
      </x:c>
      <x:c r="H4735" s="23" t="n">
        <x:v>6.194681929283223e-7</x:v>
      </x:c>
      <x:c r="I4735" s="23" t="n">
        <x:v>0.9999366341992068</x:v>
      </x:c>
      <x:c r="J4735" s="2" t="n">
        <x:v>1</x:v>
      </x:c>
      <x:c r="K4735" s="2"/>
      <x:c r="L4735" s="2"/>
    </x:row>
    <x:row r="4736" ht="22" customHeight="1">
      <x:c r="A4736" s="2"/>
      <x:c r="B4736" s="2" t="n">
        <x:v>4703</x:v>
      </x:c>
      <x:c r="C4736" s="2" t="str">
        <x:v>35004p</x:v>
      </x:c>
      <x:c r="D4736" s="2" t="str">
        <x:v>SET OF 3 PINK FLYING DUCKS</x:v>
      </x:c>
      <x:c r="E4736" s="11" t="n">
        <x:v>12.72</x:v>
      </x:c>
      <x:c r="F4736" s="11" t="n">
        <x:v>0</x:v>
      </x:c>
      <x:c r="G4736" s="11" t="n">
        <x:v>12.72</x:v>
      </x:c>
      <x:c r="H4736" s="23" t="n">
        <x:v>6.194681929283223e-7</x:v>
      </x:c>
      <x:c r="I4736" s="23" t="n">
        <x:v>0.9999372536673997</x:v>
      </x:c>
      <x:c r="J4736" s="2" t="n">
        <x:v>1</x:v>
      </x:c>
      <x:c r="K4736" s="2"/>
      <x:c r="L4736" s="2"/>
    </x:row>
    <x:row r="4737" ht="22" customHeight="1">
      <x:c r="A4737" s="2"/>
      <x:c r="B4737" s="2" t="n">
        <x:v>4704</x:v>
      </x:c>
      <x:c r="C4737" s="2" t="str">
        <x:v>DCGS0075</x:v>
      </x:c>
      <x:c r="D4737" s="2" t="str">
        <x:v>CAMOUFLAGUE DOG LEAD</x:v>
      </x:c>
      <x:c r="E4737" s="11" t="n">
        <x:v>12.72</x:v>
      </x:c>
      <x:c r="F4737" s="11" t="n">
        <x:v>0</x:v>
      </x:c>
      <x:c r="G4737" s="11" t="n">
        <x:v>12.72</x:v>
      </x:c>
      <x:c r="H4737" s="23" t="n">
        <x:v>6.194681929283223e-7</x:v>
      </x:c>
      <x:c r="I4737" s="23" t="n">
        <x:v>0.9999378731355927</x:v>
      </x:c>
      <x:c r="J4737" s="2" t="n">
        <x:v>1</x:v>
      </x:c>
      <x:c r="K4737" s="2"/>
      <x:c r="L4737" s="2"/>
    </x:row>
    <x:row r="4738" ht="22" customHeight="1">
      <x:c r="A4738" s="2"/>
      <x:c r="B4738" s="2" t="n">
        <x:v>4705</x:v>
      </x:c>
      <x:c r="C4738" s="2" t="str">
        <x:v>35751C</x:v>
      </x:c>
      <x:c r="D4738" s="2" t="str">
        <x:v>PURPLE CURRENT CANDLE RING</x:v>
      </x:c>
      <x:c r="E4738" s="11" t="n">
        <x:v>12.61</x:v>
      </x:c>
      <x:c r="F4738" s="11" t="n">
        <x:v>0</x:v>
      </x:c>
      <x:c r="G4738" s="11" t="n">
        <x:v>12.61</x:v>
      </x:c>
      <x:c r="H4738" s="23" t="n">
        <x:v>6.141111566687219e-7</x:v>
      </x:c>
      <x:c r="I4738" s="23" t="n">
        <x:v>0.9999384872467494</x:v>
      </x:c>
      <x:c r="J4738" s="2" t="n">
        <x:v>2</x:v>
      </x:c>
      <x:c r="K4738" s="2"/>
      <x:c r="L4738" s="2"/>
    </x:row>
    <x:row r="4739" ht="22" customHeight="1">
      <x:c r="A4739" s="2"/>
      <x:c r="B4739" s="2" t="n">
        <x:v>4706</x:v>
      </x:c>
      <x:c r="C4739" s="2" t="str">
        <x:v>35918B</x:v>
      </x:c>
      <x:c r="D4739" s="2" t="str">
        <x:v>BLUE FLORIBUNDA EGG WARMER</x:v>
      </x:c>
      <x:c r="E4739" s="11" t="n">
        <x:v>12.5</x:v>
      </x:c>
      <x:c r="F4739" s="11" t="n">
        <x:v>1.25</x:v>
      </x:c>
      <x:c r="G4739" s="11" t="n">
        <x:v>11.25</x:v>
      </x:c>
      <x:c r="H4739" s="23" t="n">
        <x:v>6.087541204091217e-7</x:v>
      </x:c>
      <x:c r="I4739" s="23" t="n">
        <x:v>0.9999390960008698</x:v>
      </x:c>
      <x:c r="J4739" s="2" t="n">
        <x:v>5</x:v>
      </x:c>
      <x:c r="K4739" s="2"/>
      <x:c r="L4739" s="2"/>
    </x:row>
    <x:row r="4740" ht="22" customHeight="1">
      <x:c r="A4740" s="2"/>
      <x:c r="B4740" s="2" t="n">
        <x:v>4707</x:v>
      </x:c>
      <x:c r="C4740" s="2" t="str">
        <x:v>35597A</x:v>
      </x:c>
      <x:c r="D4740" s="2" t="str">
        <x:v>DUSTY PINK CHRISTMAS TREE 30CM</x:v>
      </x:c>
      <x:c r="E4740" s="11" t="n">
        <x:v>12.5</x:v>
      </x:c>
      <x:c r="F4740" s="11" t="n">
        <x:v>0</x:v>
      </x:c>
      <x:c r="G4740" s="11" t="n">
        <x:v>12.5</x:v>
      </x:c>
      <x:c r="H4740" s="23" t="n">
        <x:v>6.087541204091217e-7</x:v>
      </x:c>
      <x:c r="I4740" s="23" t="n">
        <x:v>0.9999397047549903</x:v>
      </x:c>
      <x:c r="J4740" s="2" t="n">
        <x:v>4</x:v>
      </x:c>
      <x:c r="K4740" s="2"/>
      <x:c r="L4740" s="2"/>
    </x:row>
    <x:row r="4741" ht="22" customHeight="1">
      <x:c r="A4741" s="2"/>
      <x:c r="B4741" s="2" t="n">
        <x:v>4708</x:v>
      </x:c>
      <x:c r="C4741" s="2" t="str">
        <x:v>84743C</x:v>
      </x:c>
      <x:c r="D4741" s="2" t="str">
        <x:v>damages</x:v>
      </x:c>
      <x:c r="E4741" s="11" t="n">
        <x:v>12.5</x:v>
      </x:c>
      <x:c r="F4741" s="11" t="n">
        <x:v>0</x:v>
      </x:c>
      <x:c r="G4741" s="11" t="n">
        <x:v>12.5</x:v>
      </x:c>
      <x:c r="H4741" s="23" t="n">
        <x:v>6.087541204091217e-7</x:v>
      </x:c>
      <x:c r="I4741" s="23" t="n">
        <x:v>0.9999403135091107</x:v>
      </x:c>
      <x:c r="J4741" s="2" t="n">
        <x:v>5</x:v>
      </x:c>
      <x:c r="K4741" s="2"/>
      <x:c r="L4741" s="2"/>
    </x:row>
    <x:row r="4742" ht="22" customHeight="1">
      <x:c r="A4742" s="2"/>
      <x:c r="B4742" s="2" t="n">
        <x:v>4709</x:v>
      </x:c>
      <x:c r="C4742" s="2" t="str">
        <x:v>51012L</x:v>
      </x:c>
      <x:c r="D4742" s="2" t="str">
        <x:v>FEATHER DUSTER, LIGHT PINK</x:v>
      </x:c>
      <x:c r="E4742" s="11" t="n">
        <x:v>12.5</x:v>
      </x:c>
      <x:c r="F4742" s="11" t="n">
        <x:v>1.25</x:v>
      </x:c>
      <x:c r="G4742" s="11" t="n">
        <x:v>11.25</x:v>
      </x:c>
      <x:c r="H4742" s="23" t="n">
        <x:v>6.087541204091217e-7</x:v>
      </x:c>
      <x:c r="I4742" s="23" t="n">
        <x:v>0.9999409222632312</x:v>
      </x:c>
      <x:c r="J4742" s="2" t="n">
        <x:v>6</x:v>
      </x:c>
      <x:c r="K4742" s="2"/>
      <x:c r="L4742" s="2"/>
    </x:row>
    <x:row r="4743" ht="22" customHeight="1">
      <x:c r="A4743" s="2"/>
      <x:c r="B4743" s="2" t="n">
        <x:v>4710</x:v>
      </x:c>
      <x:c r="C4743" s="2" t="str">
        <x:v>23635</x:v>
      </x:c>
      <x:c r="D4743" s="2" t="str">
        <x:v>SET 10 CARDS CHRISTMAS HOLLY  17259</x:v>
      </x:c>
      <x:c r="E4743" s="11" t="n">
        <x:v>12.48</x:v>
      </x:c>
      <x:c r="F4743" s="11" t="n">
        <x:v>0</x:v>
      </x:c>
      <x:c r="G4743" s="11" t="n">
        <x:v>12.48</x:v>
      </x:c>
      <x:c r="H4743" s="23" t="n">
        <x:v>6.077801138164671e-7</x:v>
      </x:c>
      <x:c r="I4743" s="23" t="n">
        <x:v>0.999941530043345</x:v>
      </x:c>
      <x:c r="J4743" s="2" t="n">
        <x:v>3</x:v>
      </x:c>
      <x:c r="K4743" s="2"/>
      <x:c r="L4743" s="2"/>
    </x:row>
    <x:row r="4744" ht="22" customHeight="1">
      <x:c r="A4744" s="2"/>
      <x:c r="B4744" s="2" t="n">
        <x:v>4711</x:v>
      </x:c>
      <x:c r="C4744" s="2" t="str">
        <x:v>23654</x:v>
      </x:c>
      <x:c r="D4744" s="2" t="str">
        <x:v>SET 10 CARD SNOWMAN 16965</x:v>
      </x:c>
      <x:c r="E4744" s="11" t="n">
        <x:v>12.450000000000001</x:v>
      </x:c>
      <x:c r="F4744" s="11" t="n">
        <x:v>0</x:v>
      </x:c>
      <x:c r="G4744" s="11" t="n">
        <x:v>12.450000000000001</x:v>
      </x:c>
      <x:c r="H4744" s="23" t="n">
        <x:v>6.063191039274853e-7</x:v>
      </x:c>
      <x:c r="I4744" s="23" t="n">
        <x:v>0.9999421363624489</x:v>
      </x:c>
      <x:c r="J4744" s="2" t="n">
        <x:v>4</x:v>
      </x:c>
      <x:c r="K4744" s="2"/>
      <x:c r="L4744" s="2"/>
    </x:row>
    <x:row r="4745" ht="22" customHeight="1">
      <x:c r="A4745" s="2"/>
      <x:c r="B4745" s="2" t="n">
        <x:v>4712</x:v>
      </x:c>
      <x:c r="C4745" s="2" t="str">
        <x:v>84596g</x:v>
      </x:c>
      <x:c r="D4745" s="2" t="str">
        <x:v>SMALL CHOCOLATES PINK BOWL</x:v>
      </x:c>
      <x:c r="E4745" s="11" t="n">
        <x:v>12.399999999999999</x:v>
      </x:c>
      <x:c r="F4745" s="11" t="n">
        <x:v>0</x:v>
      </x:c>
      <x:c r="G4745" s="11" t="n">
        <x:v>12.399999999999999</x:v>
      </x:c>
      <x:c r="H4745" s="23" t="n">
        <x:v>6.038840874458486e-7</x:v>
      </x:c>
      <x:c r="I4745" s="23" t="n">
        <x:v>0.9999427402465363</x:v>
      </x:c>
      <x:c r="J4745" s="2" t="n">
        <x:v>2</x:v>
      </x:c>
      <x:c r="K4745" s="2"/>
      <x:c r="L4745" s="2"/>
    </x:row>
    <x:row r="4746" ht="22" customHeight="1">
      <x:c r="A4746" s="2"/>
      <x:c r="B4746" s="2" t="n">
        <x:v>4713</x:v>
      </x:c>
      <x:c r="C4746" s="2" t="str">
        <x:v>90000C</x:v>
      </x:c>
      <x:c r="D4746" s="2" t="str">
        <x:v>OPAL WHITE/SILVER FLOWER NECKLACE</x:v>
      </x:c>
      <x:c r="E4746" s="11" t="n">
        <x:v>12.32</x:v>
      </x:c>
      <x:c r="F4746" s="11" t="n">
        <x:v>0</x:v>
      </x:c>
      <x:c r="G4746" s="11" t="n">
        <x:v>12.32</x:v>
      </x:c>
      <x:c r="H4746" s="23" t="n">
        <x:v>5.999880610752304e-7</x:v>
      </x:c>
      <x:c r="I4746" s="23" t="n">
        <x:v>0.9999433402345974</x:v>
      </x:c>
      <x:c r="J4746" s="2" t="n">
        <x:v>2</x:v>
      </x:c>
      <x:c r="K4746" s="2"/>
      <x:c r="L4746" s="2"/>
    </x:row>
    <x:row r="4747" ht="22" customHeight="1">
      <x:c r="A4747" s="2"/>
      <x:c r="B4747" s="2" t="n">
        <x:v>4714</x:v>
      </x:c>
      <x:c r="C4747" s="2" t="str">
        <x:v>44242A</x:v>
      </x:c>
      <x:c r="D4747" s="2" t="str">
        <x:v>LILAC FEATHERS CURTAIN</x:v>
      </x:c>
      <x:c r="E4747" s="11" t="n">
        <x:v>11.98</x:v>
      </x:c>
      <x:c r="F4747" s="11" t="n">
        <x:v>0</x:v>
      </x:c>
      <x:c r="G4747" s="11" t="n">
        <x:v>11.98</x:v>
      </x:c>
      <x:c r="H4747" s="23" t="n">
        <x:v>5.834299490001023e-7</x:v>
      </x:c>
      <x:c r="I4747" s="23" t="n">
        <x:v>0.9999439236645464</x:v>
      </x:c>
      <x:c r="J4747" s="2" t="n">
        <x:v>2</x:v>
      </x:c>
      <x:c r="K4747" s="2"/>
      <x:c r="L4747" s="2"/>
    </x:row>
    <x:row r="4748" ht="22" customHeight="1">
      <x:c r="A4748" s="2"/>
      <x:c r="B4748" s="2" t="n">
        <x:v>4715</x:v>
      </x:c>
      <x:c r="C4748" s="2" t="str">
        <x:v>22206</x:v>
      </x:c>
      <x:c r="D4748" s="2" t="str">
        <x:v>MUG , DOTCOMGIFTSHOP.COM </x:v>
      </x:c>
      <x:c r="E4748" s="11" t="n">
        <x:v>11.82</x:v>
      </x:c>
      <x:c r="F4748" s="11" t="n">
        <x:v>0</x:v>
      </x:c>
      <x:c r="G4748" s="11" t="n">
        <x:v>11.82</x:v>
      </x:c>
      <x:c r="H4748" s="23" t="n">
        <x:v>5.756378962588655e-7</x:v>
      </x:c>
      <x:c r="I4748" s="23" t="n">
        <x:v>0.9999444993024427</x:v>
      </x:c>
      <x:c r="J4748" s="2" t="n">
        <x:v>10</x:v>
      </x:c>
      <x:c r="K4748" s="2"/>
      <x:c r="L4748" s="2"/>
    </x:row>
    <x:row r="4749" ht="22" customHeight="1">
      <x:c r="A4749" s="2"/>
      <x:c r="B4749" s="2" t="n">
        <x:v>4716</x:v>
      </x:c>
      <x:c r="C4749" s="2" t="str">
        <x:v>85185E</x:v>
      </x:c>
      <x:c r="D4749" s="2" t="str">
        <x:v>DUCK SOCK PUPPET</x:v>
      </x:c>
      <x:c r="E4749" s="11" t="n">
        <x:v>11.8</x:v>
      </x:c>
      <x:c r="F4749" s="11" t="n">
        <x:v>5.1</x:v>
      </x:c>
      <x:c r="G4749" s="11" t="n">
        <x:v>6.700000000000002</x:v>
      </x:c>
      <x:c r="H4749" s="23" t="n">
        <x:v>5.74663889666211e-7</x:v>
      </x:c>
      <x:c r="I4749" s="23" t="n">
        <x:v>0.9999450739663324</x:v>
      </x:c>
      <x:c r="J4749" s="2" t="n">
        <x:v>2</x:v>
      </x:c>
      <x:c r="K4749" s="2"/>
      <x:c r="L4749" s="2"/>
    </x:row>
    <x:row r="4750" ht="22" customHeight="1">
      <x:c r="A4750" s="2"/>
      <x:c r="B4750" s="2" t="n">
        <x:v>4717</x:v>
      </x:c>
      <x:c r="C4750" s="2" t="str">
        <x:v>85179a</x:v>
      </x:c>
      <x:c r="D4750" s="2" t="str">
        <x:v>GREEN BITTY LIGHT CHAIN</x:v>
      </x:c>
      <x:c r="E4750" s="11" t="n">
        <x:v>11.780000000000001</x:v>
      </x:c>
      <x:c r="F4750" s="11" t="n">
        <x:v>0</x:v>
      </x:c>
      <x:c r="G4750" s="11" t="n">
        <x:v>11.780000000000001</x:v>
      </x:c>
      <x:c r="H4750" s="23" t="n">
        <x:v>5.736898830735563e-7</x:v>
      </x:c>
      <x:c r="I4750" s="23" t="n">
        <x:v>0.9999456476562154</x:v>
      </x:c>
      <x:c r="J4750" s="2" t="n">
        <x:v>2</x:v>
      </x:c>
      <x:c r="K4750" s="2"/>
      <x:c r="L4750" s="2"/>
    </x:row>
    <x:row r="4751" ht="22" customHeight="1">
      <x:c r="A4751" s="2"/>
      <x:c r="B4751" s="2" t="n">
        <x:v>4718</x:v>
      </x:c>
      <x:c r="C4751" s="2" t="str">
        <x:v>23605</x:v>
      </x:c>
      <x:c r="D4751" s="2" t="str">
        <x:v>SET 10 CARDS 12 DAYS OF XMAS 17059</x:v>
      </x:c>
      <x:c r="E4751" s="11" t="n">
        <x:v>11.64</x:v>
      </x:c>
      <x:c r="F4751" s="11" t="n">
        <x:v>0</x:v>
      </x:c>
      <x:c r="G4751" s="11" t="n">
        <x:v>11.64</x:v>
      </x:c>
      <x:c r="H4751" s="23" t="n">
        <x:v>5.668718369249741e-7</x:v>
      </x:c>
      <x:c r="I4751" s="23" t="n">
        <x:v>0.9999462145280523</x:v>
      </x:c>
      <x:c r="J4751" s="2" t="n">
        <x:v>1</x:v>
      </x:c>
      <x:c r="K4751" s="2"/>
      <x:c r="L4751" s="2"/>
    </x:row>
    <x:row r="4752" ht="22" customHeight="1">
      <x:c r="A4752" s="2"/>
      <x:c r="B4752" s="2" t="n">
        <x:v>4719</x:v>
      </x:c>
      <x:c r="C4752" s="2" t="str">
        <x:v>23608</x:v>
      </x:c>
      <x:c r="D4752" s="2" t="str">
        <x:v>SET 10 CARDS RUDOLPHS NOSE 17097</x:v>
      </x:c>
      <x:c r="E4752" s="11" t="n">
        <x:v>11.64</x:v>
      </x:c>
      <x:c r="F4752" s="11" t="n">
        <x:v>0</x:v>
      </x:c>
      <x:c r="G4752" s="11" t="n">
        <x:v>11.64</x:v>
      </x:c>
      <x:c r="H4752" s="23" t="n">
        <x:v>5.668718369249741e-7</x:v>
      </x:c>
      <x:c r="I4752" s="23" t="n">
        <x:v>0.9999467813998892</x:v>
      </x:c>
      <x:c r="J4752" s="2" t="n">
        <x:v>3</x:v>
      </x:c>
      <x:c r="K4752" s="2"/>
      <x:c r="L4752" s="2"/>
    </x:row>
    <x:row r="4753" ht="22" customHeight="1">
      <x:c r="A4753" s="2"/>
      <x:c r="B4753" s="2" t="n">
        <x:v>4720</x:v>
      </x:c>
      <x:c r="C4753" s="2" t="str">
        <x:v>90025B</x:v>
      </x:c>
      <x:c r="D4753" s="2" t="str">
        <x:v>BAROQUE BUTTERFLY EARRINGS RED</x:v>
      </x:c>
      <x:c r="E4753" s="11" t="n">
        <x:v>11.29</x:v>
      </x:c>
      <x:c r="F4753" s="11" t="n">
        <x:v>0</x:v>
      </x:c>
      <x:c r="G4753" s="11" t="n">
        <x:v>11.29</x:v>
      </x:c>
      <x:c r="H4753" s="23" t="n">
        <x:v>5.498267215535186e-7</x:v>
      </x:c>
      <x:c r="I4753" s="23" t="n">
        <x:v>0.9999473312266108</x:v>
      </x:c>
      <x:c r="J4753" s="2" t="n">
        <x:v>3</x:v>
      </x:c>
      <x:c r="K4753" s="2"/>
      <x:c r="L4753" s="2"/>
    </x:row>
    <x:row r="4754" ht="22" customHeight="1">
      <x:c r="A4754" s="2"/>
      <x:c r="B4754" s="2" t="n">
        <x:v>4721</x:v>
      </x:c>
      <x:c r="C4754" s="2" t="str">
        <x:v>79070b</x:v>
      </x:c>
      <x:c r="D4754" s="2" t="str">
        <x:v>ENGLISH ROSE SQUARE CAKE TINS</x:v>
      </x:c>
      <x:c r="E4754" s="11" t="n">
        <x:v>11.26</x:v>
      </x:c>
      <x:c r="F4754" s="11" t="n">
        <x:v>0</x:v>
      </x:c>
      <x:c r="G4754" s="11" t="n">
        <x:v>11.26</x:v>
      </x:c>
      <x:c r="H4754" s="23" t="n">
        <x:v>5.483657116645368e-7</x:v>
      </x:c>
      <x:c r="I4754" s="23" t="n">
        <x:v>0.9999478795923225</x:v>
      </x:c>
      <x:c r="J4754" s="2" t="n">
        <x:v>1</x:v>
      </x:c>
      <x:c r="K4754" s="2"/>
      <x:c r="L4754" s="2"/>
    </x:row>
    <x:row r="4755" ht="22" customHeight="1">
      <x:c r="A4755" s="2"/>
      <x:c r="B4755" s="2" t="n">
        <x:v>4722</x:v>
      </x:c>
      <x:c r="C4755" s="2" t="str">
        <x:v>84366</x:v>
      </x:c>
      <x:c r="D4755" s="2" t="str">
        <x:v>VENDETTA CANVAS PICTURE</x:v>
      </x:c>
      <x:c r="E4755" s="11" t="n">
        <x:v>11.25</x:v>
      </x:c>
      <x:c r="F4755" s="11" t="n">
        <x:v>0</x:v>
      </x:c>
      <x:c r="G4755" s="11" t="n">
        <x:v>11.25</x:v>
      </x:c>
      <x:c r="H4755" s="23" t="n">
        <x:v>5.478787083682095e-7</x:v>
      </x:c>
      <x:c r="I4755" s="23" t="n">
        <x:v>0.9999484274710309</x:v>
      </x:c>
      <x:c r="J4755" s="2" t="n">
        <x:v>3</x:v>
      </x:c>
      <x:c r="K4755" s="2"/>
      <x:c r="L4755" s="2"/>
    </x:row>
    <x:row r="4756" ht="22" customHeight="1">
      <x:c r="A4756" s="2"/>
      <x:c r="B4756" s="2" t="n">
        <x:v>4723</x:v>
      </x:c>
      <x:c r="C4756" s="2" t="str">
        <x:v>17011B</x:v>
      </x:c>
      <x:c r="D4756" s="2" t="str">
        <x:v>ORIGAMI JASMINE INCENSE+FLOWER </x:v>
      </x:c>
      <x:c r="E4756" s="11" t="n">
        <x:v>11.100000000000001</x:v>
      </x:c>
      <x:c r="F4756" s="11" t="n">
        <x:v>0</x:v>
      </x:c>
      <x:c r="G4756" s="11" t="n">
        <x:v>11.100000000000001</x:v>
      </x:c>
      <x:c r="H4756" s="23" t="n">
        <x:v>5.405736589233001e-7</x:v>
      </x:c>
      <x:c r="I4756" s="23" t="n">
        <x:v>0.9999489680446898</x:v>
      </x:c>
      <x:c r="J4756" s="2" t="n">
        <x:v>2</x:v>
      </x:c>
      <x:c r="K4756" s="2"/>
      <x:c r="L4756" s="2"/>
    </x:row>
    <x:row r="4757" ht="22" customHeight="1">
      <x:c r="A4757" s="2"/>
      <x:c r="B4757" s="2" t="n">
        <x:v>4724</x:v>
      </x:c>
      <x:c r="C4757" s="2" t="str">
        <x:v>47590a</x:v>
      </x:c>
      <x:c r="D4757" s="2" t="str">
        <x:v>BLUE HAPPY BIRTHDAY BUNTING</x:v>
      </x:c>
      <x:c r="E4757" s="11" t="n">
        <x:v>11.02</x:v>
      </x:c>
      <x:c r="F4757" s="11" t="n">
        <x:v>0</x:v>
      </x:c>
      <x:c r="G4757" s="11" t="n">
        <x:v>11.02</x:v>
      </x:c>
      <x:c r="H4757" s="23" t="n">
        <x:v>5.366776325526816e-7</x:v>
      </x:c>
      <x:c r="I4757" s="23" t="n">
        <x:v>0.9999495047223224</x:v>
      </x:c>
      <x:c r="J4757" s="2" t="n">
        <x:v>1</x:v>
      </x:c>
      <x:c r="K4757" s="2"/>
      <x:c r="L4757" s="2"/>
    </x:row>
    <x:row r="4758" ht="22" customHeight="1">
      <x:c r="A4758" s="2"/>
      <x:c r="B4758" s="2" t="n">
        <x:v>4725</x:v>
      </x:c>
      <x:c r="C4758" s="2" t="str">
        <x:v>72785B</x:v>
      </x:c>
      <x:c r="D4758" s="2" t="str">
        <x:v>S/4 CONTEMPORY RED ROSEBUD CANDLES</x:v>
      </x:c>
      <x:c r="E4758" s="11" t="n">
        <x:v>10.9</x:v>
      </x:c>
      <x:c r="F4758" s="11" t="n">
        <x:v>0</x:v>
      </x:c>
      <x:c r="G4758" s="11" t="n">
        <x:v>10.9</x:v>
      </x:c>
      <x:c r="H4758" s="23" t="n">
        <x:v>5.308335929967541e-7</x:v>
      </x:c>
      <x:c r="I4758" s="23" t="n">
        <x:v>0.9999500355559153</x:v>
      </x:c>
      <x:c r="J4758" s="2" t="n">
        <x:v>3</x:v>
      </x:c>
      <x:c r="K4758" s="2"/>
      <x:c r="L4758" s="2"/>
    </x:row>
    <x:row r="4759" ht="22" customHeight="1">
      <x:c r="A4759" s="2"/>
      <x:c r="B4759" s="2" t="n">
        <x:v>4726</x:v>
      </x:c>
      <x:c r="C4759" s="2" t="str">
        <x:v>84732D</x:v>
      </x:c>
      <x:c r="D4759" s="2" t="str">
        <x:v>CUTE RABBIT CEATURE SCREEN </x:v>
      </x:c>
      <x:c r="E4759" s="11" t="n">
        <x:v>10.89</x:v>
      </x:c>
      <x:c r="F4759" s="11" t="n">
        <x:v>0</x:v>
      </x:c>
      <x:c r="G4759" s="11" t="n">
        <x:v>10.89</x:v>
      </x:c>
      <x:c r="H4759" s="23" t="n">
        <x:v>5.303465897004268e-7</x:v>
      </x:c>
      <x:c r="I4759" s="23" t="n">
        <x:v>0.9999505659025051</x:v>
      </x:c>
      <x:c r="J4759" s="2" t="n">
        <x:v>6</x:v>
      </x:c>
      <x:c r="K4759" s="2"/>
      <x:c r="L4759" s="2"/>
    </x:row>
    <x:row r="4760" ht="22" customHeight="1">
      <x:c r="A4760" s="2"/>
      <x:c r="B4760" s="2" t="n">
        <x:v>4727</x:v>
      </x:c>
      <x:c r="C4760" s="2" t="str">
        <x:v>17084G</x:v>
      </x:c>
      <x:c r="D4760" s="2" t="str">
        <x:v>MOON INCENSE</x:v>
      </x:c>
      <x:c r="E4760" s="11" t="n">
        <x:v>10.5</x:v>
      </x:c>
      <x:c r="F4760" s="11" t="n">
        <x:v>0</x:v>
      </x:c>
      <x:c r="G4760" s="11" t="n">
        <x:v>10.5</x:v>
      </x:c>
      <x:c r="H4760" s="23" t="n">
        <x:v>5.113534611436622e-7</x:v>
      </x:c>
      <x:c r="I4760" s="23" t="n">
        <x:v>0.9999510772559662</x:v>
      </x:c>
      <x:c r="J4760" s="2" t="n">
        <x:v>2</x:v>
      </x:c>
      <x:c r="K4760" s="2"/>
      <x:c r="L4760" s="2"/>
    </x:row>
    <x:row r="4761" ht="22" customHeight="1">
      <x:c r="A4761" s="2"/>
      <x:c r="B4761" s="2" t="n">
        <x:v>4728</x:v>
      </x:c>
      <x:c r="C4761" s="2" t="str">
        <x:v>21496</x:v>
      </x:c>
      <x:c r="D4761" s="2" t="str">
        <x:v>WOODLAND CREATURES  WRAP</x:v>
      </x:c>
      <x:c r="E4761" s="11" t="n">
        <x:v>10.5</x:v>
      </x:c>
      <x:c r="F4761" s="11" t="n">
        <x:v>10.5</x:v>
      </x:c>
      <x:c r="G4761" s="11" t="n">
        <x:v>0</x:v>
      </x:c>
      <x:c r="H4761" s="23" t="n">
        <x:v>5.113534611436622e-7</x:v>
      </x:c>
      <x:c r="I4761" s="23" t="n">
        <x:v>0.9999515886094273</x:v>
      </x:c>
      <x:c r="J4761" s="2" t="n">
        <x:v>1</x:v>
      </x:c>
      <x:c r="K4761" s="2"/>
      <x:c r="L4761" s="2"/>
    </x:row>
    <x:row r="4762" ht="22" customHeight="1">
      <x:c r="A4762" s="2"/>
      <x:c r="B4762" s="2" t="n">
        <x:v>4729</x:v>
      </x:c>
      <x:c r="C4762" s="2" t="str">
        <x:v>16169G</x:v>
      </x:c>
      <x:c r="D4762" s="2" t="str">
        <x:v>WRAP ROMANTIC DECOUPAGE</x:v>
      </x:c>
      <x:c r="E4762" s="11" t="n">
        <x:v>10.5</x:v>
      </x:c>
      <x:c r="F4762" s="11" t="n">
        <x:v>0</x:v>
      </x:c>
      <x:c r="G4762" s="11" t="n">
        <x:v>10.5</x:v>
      </x:c>
      <x:c r="H4762" s="23" t="n">
        <x:v>5.113534611436622e-7</x:v>
      </x:c>
      <x:c r="I4762" s="23" t="n">
        <x:v>0.9999520999628885</x:v>
      </x:c>
      <x:c r="J4762" s="2" t="n">
        <x:v>1</x:v>
      </x:c>
      <x:c r="K4762" s="2"/>
      <x:c r="L4762" s="2"/>
    </x:row>
    <x:row r="4763" ht="22" customHeight="1">
      <x:c r="A4763" s="2"/>
      <x:c r="B4763" s="2" t="n">
        <x:v>4730</x:v>
      </x:c>
      <x:c r="C4763" s="2" t="str">
        <x:v>16169A</x:v>
      </x:c>
      <x:c r="D4763" s="2" t="str">
        <x:v>WRAP CHRISTMAS DECOUPAGE</x:v>
      </x:c>
      <x:c r="E4763" s="11" t="n">
        <x:v>10.5</x:v>
      </x:c>
      <x:c r="F4763" s="11" t="n">
        <x:v>0</x:v>
      </x:c>
      <x:c r="G4763" s="11" t="n">
        <x:v>10.5</x:v>
      </x:c>
      <x:c r="H4763" s="23" t="n">
        <x:v>5.113534611436622e-7</x:v>
      </x:c>
      <x:c r="I4763" s="23" t="n">
        <x:v>0.9999526113163496</x:v>
      </x:c>
      <x:c r="J4763" s="2" t="n">
        <x:v>1</x:v>
      </x:c>
      <x:c r="K4763" s="2"/>
      <x:c r="L4763" s="2"/>
    </x:row>
    <x:row r="4764" ht="22" customHeight="1">
      <x:c r="A4764" s="2"/>
      <x:c r="B4764" s="2" t="n">
        <x:v>4731</x:v>
      </x:c>
      <x:c r="C4764" s="2" t="str">
        <x:v>21858</x:v>
      </x:c>
      <x:c r="D4764" s="2" t="str">
        <x:v>dirty</x:v>
      </x:c>
      <x:c r="E4764" s="11" t="n">
        <x:v>10.23</x:v>
      </x:c>
      <x:c r="F4764" s="11" t="n">
        <x:v>0</x:v>
      </x:c>
      <x:c r="G4764" s="11" t="n">
        <x:v>10.23</x:v>
      </x:c>
      <x:c r="H4764" s="23" t="n">
        <x:v>4.982043721428252e-7</x:v>
      </x:c>
      <x:c r="I4764" s="23" t="n">
        <x:v>0.9999531095207217</x:v>
      </x:c>
      <x:c r="J4764" s="2" t="n">
        <x:v>2</x:v>
      </x:c>
      <x:c r="K4764" s="2"/>
      <x:c r="L4764" s="2"/>
    </x:row>
    <x:row r="4765" ht="22" customHeight="1">
      <x:c r="A4765" s="2"/>
      <x:c r="B4765" s="2" t="n">
        <x:v>4732</x:v>
      </x:c>
      <x:c r="C4765" s="2" t="str">
        <x:v>85124b</x:v>
      </x:c>
      <x:c r="D4765" s="2" t="str">
        <x:v>BLUE JUICY FRUIT PHOTO FRAME</x:v>
      </x:c>
      <x:c r="E4765" s="11" t="n">
        <x:v>10.23</x:v>
      </x:c>
      <x:c r="F4765" s="11" t="n">
        <x:v>0</x:v>
      </x:c>
      <x:c r="G4765" s="11" t="n">
        <x:v>10.23</x:v>
      </x:c>
      <x:c r="H4765" s="23" t="n">
        <x:v>4.982043721428252e-7</x:v>
      </x:c>
      <x:c r="I4765" s="23" t="n">
        <x:v>0.9999536077250938</x:v>
      </x:c>
      <x:c r="J4765" s="2" t="n">
        <x:v>2</x:v>
      </x:c>
      <x:c r="K4765" s="2"/>
      <x:c r="L4765" s="2"/>
    </x:row>
    <x:row r="4766" ht="22" customHeight="1">
      <x:c r="A4766" s="2"/>
      <x:c r="B4766" s="2" t="n">
        <x:v>4733</x:v>
      </x:c>
      <x:c r="C4766" s="2" t="str">
        <x:v>21857</x:v>
      </x:c>
      <x:c r="D4766" s="2" t="str">
        <x:v>STAR WARS TOP TRUMPS GAME</x:v>
      </x:c>
      <x:c r="E4766" s="11" t="n">
        <x:v>10.23</x:v>
      </x:c>
      <x:c r="F4766" s="11" t="n">
        <x:v>0</x:v>
      </x:c>
      <x:c r="G4766" s="11" t="n">
        <x:v>10.23</x:v>
      </x:c>
      <x:c r="H4766" s="23" t="n">
        <x:v>4.982043721428252e-7</x:v>
      </x:c>
      <x:c r="I4766" s="23" t="n">
        <x:v>0.9999541059294659</x:v>
      </x:c>
      <x:c r="J4766" s="2" t="n">
        <x:v>2</x:v>
      </x:c>
      <x:c r="K4766" s="2"/>
      <x:c r="L4766" s="2"/>
    </x:row>
    <x:row r="4767" ht="22" customHeight="1">
      <x:c r="A4767" s="2"/>
      <x:c r="B4767" s="2" t="n">
        <x:v>4734</x:v>
      </x:c>
      <x:c r="C4767" s="2" t="str">
        <x:v>20939</x:v>
      </x:c>
      <x:c r="D4767" s="2" t="str">
        <x:v>ORANGE CANDLE</x:v>
      </x:c>
      <x:c r="E4767" s="11" t="n">
        <x:v>10.2</x:v>
      </x:c>
      <x:c r="F4767" s="11" t="n">
        <x:v>0</x:v>
      </x:c>
      <x:c r="G4767" s="11" t="n">
        <x:v>10.2</x:v>
      </x:c>
      <x:c r="H4767" s="23" t="n">
        <x:v>4.967433622538433e-7</x:v>
      </x:c>
      <x:c r="I4767" s="23" t="n">
        <x:v>0.9999546026728281</x:v>
      </x:c>
      <x:c r="J4767" s="2" t="n">
        <x:v>1</x:v>
      </x:c>
      <x:c r="K4767" s="2"/>
      <x:c r="L4767" s="2"/>
    </x:row>
    <x:row r="4768" ht="22" customHeight="1">
      <x:c r="A4768" s="2"/>
      <x:c r="B4768" s="2" t="n">
        <x:v>4735</x:v>
      </x:c>
      <x:c r="C4768" s="2" t="str">
        <x:v>90214W</x:v>
      </x:c>
      <x:c r="D4768" s="2" t="str">
        <x:v>LETTER "W" BLING KEY RING</x:v>
      </x:c>
      <x:c r="E4768" s="11" t="n">
        <x:v>10.17</x:v>
      </x:c>
      <x:c r="F4768" s="11" t="n">
        <x:v>0</x:v>
      </x:c>
      <x:c r="G4768" s="11" t="n">
        <x:v>10.17</x:v>
      </x:c>
      <x:c r="H4768" s="23" t="n">
        <x:v>4.952823523648614e-7</x:v>
      </x:c>
      <x:c r="I4768" s="23" t="n">
        <x:v>0.9999550979551804</x:v>
      </x:c>
      <x:c r="J4768" s="2" t="n">
        <x:v>8</x:v>
      </x:c>
      <x:c r="K4768" s="2"/>
      <x:c r="L4768" s="2"/>
    </x:row>
    <x:row r="4769" ht="22" customHeight="1">
      <x:c r="A4769" s="2"/>
      <x:c r="B4769" s="2" t="n">
        <x:v>4736</x:v>
      </x:c>
      <x:c r="C4769" s="2" t="str">
        <x:v>85232d</x:v>
      </x:c>
      <x:c r="D4769" s="2" t="str">
        <x:v>SET/3 DECOUPAGE STACKING TINS</x:v>
      </x:c>
      <x:c r="E4769" s="11" t="n">
        <x:v>10.17</x:v>
      </x:c>
      <x:c r="F4769" s="11" t="n">
        <x:v>0</x:v>
      </x:c>
      <x:c r="G4769" s="11" t="n">
        <x:v>10.17</x:v>
      </x:c>
      <x:c r="H4769" s="23" t="n">
        <x:v>4.952823523648614e-7</x:v>
      </x:c>
      <x:c r="I4769" s="23" t="n">
        <x:v>0.9999555932375328</x:v>
      </x:c>
      <x:c r="J4769" s="2" t="n">
        <x:v>1</x:v>
      </x:c>
      <x:c r="K4769" s="2"/>
      <x:c r="L4769" s="2"/>
    </x:row>
    <x:row r="4770" ht="22" customHeight="1">
      <x:c r="A4770" s="2"/>
      <x:c r="B4770" s="2" t="n">
        <x:v>4737</x:v>
      </x:c>
      <x:c r="C4770" s="2" t="str">
        <x:v>84661c</x:v>
      </x:c>
      <x:c r="D4770" s="2" t="str">
        <x:v>PINK SQUARE TABLE CLOCK</x:v>
      </x:c>
      <x:c r="E4770" s="11" t="n">
        <x:v>10.12</x:v>
      </x:c>
      <x:c r="F4770" s="11" t="n">
        <x:v>0</x:v>
      </x:c>
      <x:c r="G4770" s="11" t="n">
        <x:v>10.12</x:v>
      </x:c>
      <x:c r="H4770" s="23" t="n">
        <x:v>4.928473358832249e-7</x:v>
      </x:c>
      <x:c r="I4770" s="23" t="n">
        <x:v>0.9999560860848686</x:v>
      </x:c>
      <x:c r="J4770" s="2" t="n">
        <x:v>2</x:v>
      </x:c>
      <x:c r="K4770" s="2"/>
      <x:c r="L4770" s="2"/>
    </x:row>
    <x:row r="4771" ht="22" customHeight="1">
      <x:c r="A4771" s="2"/>
      <x:c r="B4771" s="2" t="n">
        <x:v>4738</x:v>
      </x:c>
      <x:c r="C4771" s="2" t="str">
        <x:v>84661a</x:v>
      </x:c>
      <x:c r="D4771" s="2" t="str">
        <x:v>WHITE SQUARE TABLE CLOCK</x:v>
      </x:c>
      <x:c r="E4771" s="11" t="n">
        <x:v>10.02</x:v>
      </x:c>
      <x:c r="F4771" s="11" t="n">
        <x:v>0</x:v>
      </x:c>
      <x:c r="G4771" s="11" t="n">
        <x:v>10.02</x:v>
      </x:c>
      <x:c r="H4771" s="23" t="n">
        <x:v>4.87977302919952e-7</x:v>
      </x:c>
      <x:c r="I4771" s="23" t="n">
        <x:v>0.9999565740621715</x:v>
      </x:c>
      <x:c r="J4771" s="2" t="n">
        <x:v>2</x:v>
      </x:c>
      <x:c r="K4771" s="2"/>
      <x:c r="L4771" s="2"/>
    </x:row>
    <x:row r="4772" ht="22" customHeight="1">
      <x:c r="A4772" s="2"/>
      <x:c r="B4772" s="2" t="n">
        <x:v>4739</x:v>
      </x:c>
      <x:c r="C4772" s="2" t="str">
        <x:v>23619</x:v>
      </x:c>
      <x:c r="D4772" s="2" t="str">
        <x:v>SET 10 CARDS POINSETTIA 17093</x:v>
      </x:c>
      <x:c r="E4772" s="11" t="n">
        <x:v>9.96</x:v>
      </x:c>
      <x:c r="F4772" s="11" t="n">
        <x:v>0</x:v>
      </x:c>
      <x:c r="G4772" s="11" t="n">
        <x:v>9.96</x:v>
      </x:c>
      <x:c r="H4772" s="23" t="n">
        <x:v>4.850552831419883e-7</x:v>
      </x:c>
      <x:c r="I4772" s="23" t="n">
        <x:v>0.9999570591174547</x:v>
      </x:c>
      <x:c r="J4772" s="2" t="n">
        <x:v>2</x:v>
      </x:c>
      <x:c r="K4772" s="2"/>
      <x:c r="L4772" s="2"/>
    </x:row>
    <x:row r="4773" ht="22" customHeight="1">
      <x:c r="A4773" s="2"/>
      <x:c r="B4773" s="2" t="n">
        <x:v>4740</x:v>
      </x:c>
      <x:c r="C4773" s="2" t="str">
        <x:v>23650</x:v>
      </x:c>
      <x:c r="D4773" s="2" t="str">
        <x:v>SET 10 CARDS FILIGREE BAUBLE 16961</x:v>
      </x:c>
      <x:c r="E4773" s="11" t="n">
        <x:v>9.96</x:v>
      </x:c>
      <x:c r="F4773" s="11" t="n">
        <x:v>0</x:v>
      </x:c>
      <x:c r="G4773" s="11" t="n">
        <x:v>9.96</x:v>
      </x:c>
      <x:c r="H4773" s="23" t="n">
        <x:v>4.850552831419883e-7</x:v>
      </x:c>
      <x:c r="I4773" s="23" t="n">
        <x:v>0.9999575441727379</x:v>
      </x:c>
      <x:c r="J4773" s="2" t="n">
        <x:v>4</x:v>
      </x:c>
      <x:c r="K4773" s="2"/>
      <x:c r="L4773" s="2"/>
    </x:row>
    <x:row r="4774" ht="22" customHeight="1">
      <x:c r="A4774" s="2"/>
      <x:c r="B4774" s="2" t="n">
        <x:v>4741</x:v>
      </x:c>
      <x:c r="C4774" s="2" t="str">
        <x:v>23615</x:v>
      </x:c>
      <x:c r="D4774" s="2" t="str">
        <x:v>SET 10 CARDS PRINTED GRAPHIC 17219</x:v>
      </x:c>
      <x:c r="E4774" s="11" t="n">
        <x:v>9.96</x:v>
      </x:c>
      <x:c r="F4774" s="11" t="n">
        <x:v>0</x:v>
      </x:c>
      <x:c r="G4774" s="11" t="n">
        <x:v>9.96</x:v>
      </x:c>
      <x:c r="H4774" s="23" t="n">
        <x:v>4.850552831419883e-7</x:v>
      </x:c>
      <x:c r="I4774" s="23" t="n">
        <x:v>0.999958029228021</x:v>
      </x:c>
      <x:c r="J4774" s="2" t="n">
        <x:v>4</x:v>
      </x:c>
      <x:c r="K4774" s="2"/>
      <x:c r="L4774" s="2"/>
    </x:row>
    <x:row r="4775" ht="22" customHeight="1">
      <x:c r="A4775" s="2"/>
      <x:c r="B4775" s="2" t="n">
        <x:v>4742</x:v>
      </x:c>
      <x:c r="C4775" s="2" t="str">
        <x:v>23624</x:v>
      </x:c>
      <x:c r="D4775" s="2" t="str">
        <x:v>SET 10 CARD PERFECT NATIVITY 17089</x:v>
      </x:c>
      <x:c r="E4775" s="11" t="n">
        <x:v>9.96</x:v>
      </x:c>
      <x:c r="F4775" s="11" t="n">
        <x:v>0</x:v>
      </x:c>
      <x:c r="G4775" s="11" t="n">
        <x:v>9.96</x:v>
      </x:c>
      <x:c r="H4775" s="23" t="n">
        <x:v>4.850552831419883e-7</x:v>
      </x:c>
      <x:c r="I4775" s="23" t="n">
        <x:v>0.9999585142833042</x:v>
      </x:c>
      <x:c r="J4775" s="2" t="n">
        <x:v>4</x:v>
      </x:c>
      <x:c r="K4775" s="2"/>
      <x:c r="L4775" s="2"/>
    </x:row>
    <x:row r="4776" ht="22" customHeight="1">
      <x:c r="A4776" s="2"/>
      <x:c r="B4776" s="2" t="n">
        <x:v>4743</x:v>
      </x:c>
      <x:c r="C4776" s="2" t="str">
        <x:v>84971s</x:v>
      </x:c>
      <x:c r="D4776" s="2" t="str">
        <x:v>SMALL HEART FLOWERS HOOK </x:v>
      </x:c>
      <x:c r="E4776" s="11" t="n">
        <x:v>9.959999999999999</x:v>
      </x:c>
      <x:c r="F4776" s="11" t="n">
        <x:v>0</x:v>
      </x:c>
      <x:c r="G4776" s="11" t="n">
        <x:v>9.959999999999999</x:v>
      </x:c>
      <x:c r="H4776" s="23" t="n">
        <x:v>4.850552831419882e-7</x:v>
      </x:c>
      <x:c r="I4776" s="23" t="n">
        <x:v>0.9999589993385873</x:v>
      </x:c>
      <x:c r="J4776" s="2" t="n">
        <x:v>3</x:v>
      </x:c>
      <x:c r="K4776" s="2"/>
      <x:c r="L4776" s="2"/>
    </x:row>
    <x:row r="4777" ht="22" customHeight="1">
      <x:c r="A4777" s="2"/>
      <x:c r="B4777" s="2" t="n">
        <x:v>4744</x:v>
      </x:c>
      <x:c r="C4777" s="2" t="str">
        <x:v>85049b</x:v>
      </x:c>
      <x:c r="D4777" s="2" t="str">
        <x:v>LUSH GREENS RIBBONS</x:v>
      </x:c>
      <x:c r="E4777" s="11" t="n">
        <x:v>9.94</x:v>
      </x:c>
      <x:c r="F4777" s="11" t="n">
        <x:v>0</x:v>
      </x:c>
      <x:c r="G4777" s="11" t="n">
        <x:v>9.94</x:v>
      </x:c>
      <x:c r="H4777" s="23" t="n">
        <x:v>4.840812765493336e-7</x:v>
      </x:c>
      <x:c r="I4777" s="23" t="n">
        <x:v>0.9999594834198638</x:v>
      </x:c>
      <x:c r="J4777" s="2" t="n">
        <x:v>3</x:v>
      </x:c>
      <x:c r="K4777" s="2"/>
      <x:c r="L4777" s="2"/>
    </x:row>
    <x:row r="4778" ht="22" customHeight="1">
      <x:c r="A4778" s="2"/>
      <x:c r="B4778" s="2" t="n">
        <x:v>4745</x:v>
      </x:c>
      <x:c r="C4778" s="2" t="str">
        <x:v>85231g</x:v>
      </x:c>
      <x:c r="D4778" s="2" t="str">
        <x:v>ORANGE SCENTED SET/9 T-LIGHTS</x:v>
      </x:c>
      <x:c r="E4778" s="11" t="n">
        <x:v>9.78</x:v>
      </x:c>
      <x:c r="F4778" s="11" t="n">
        <x:v>0</x:v>
      </x:c>
      <x:c r="G4778" s="11" t="n">
        <x:v>9.78</x:v>
      </x:c>
      <x:c r="H4778" s="23" t="n">
        <x:v>4.762892238080968e-7</x:v>
      </x:c>
      <x:c r="I4778" s="23" t="n">
        <x:v>0.9999599597090877</x:v>
      </x:c>
      <x:c r="J4778" s="2" t="n">
        <x:v>6</x:v>
      </x:c>
      <x:c r="K4778" s="2"/>
      <x:c r="L4778" s="2"/>
    </x:row>
    <x:row r="4779" ht="22" customHeight="1">
      <x:c r="A4779" s="2"/>
      <x:c r="B4779" s="2" t="n">
        <x:v>4746</x:v>
      </x:c>
      <x:c r="C4779" s="2" t="str">
        <x:v>81953P</x:v>
      </x:c>
      <x:c r="D4779" s="2" t="str">
        <x:v>ROUND ARTICULATED PINK CLOCK W/SUCK</x:v>
      </x:c>
      <x:c r="E4779" s="11" t="n">
        <x:v>9.57</x:v>
      </x:c>
      <x:c r="F4779" s="11" t="n">
        <x:v>0</x:v>
      </x:c>
      <x:c r="G4779" s="11" t="n">
        <x:v>9.57</x:v>
      </x:c>
      <x:c r="H4779" s="23" t="n">
        <x:v>4.660621545852236e-7</x:v>
      </x:c>
      <x:c r="I4779" s="23" t="n">
        <x:v>0.9999604257712422</x:v>
      </x:c>
      <x:c r="J4779" s="2" t="n">
        <x:v>6</x:v>
      </x:c>
      <x:c r="K4779" s="2"/>
      <x:c r="L4779" s="2"/>
    </x:row>
    <x:row r="4780" ht="22" customHeight="1">
      <x:c r="A4780" s="2"/>
      <x:c r="B4780" s="2" t="n">
        <x:v>4747</x:v>
      </x:c>
      <x:c r="C4780" s="2" t="str">
        <x:v>20822</x:v>
      </x:c>
      <x:c r="D4780" s="2" t="str">
        <x:v>SILVER WINE GOBLET</x:v>
      </x:c>
      <x:c r="E4780" s="11" t="n">
        <x:v>9.3</x:v>
      </x:c>
      <x:c r="F4780" s="11" t="n">
        <x:v>9.3</x:v>
      </x:c>
      <x:c r="G4780" s="11" t="n">
        <x:v>0</x:v>
      </x:c>
      <x:c r="H4780" s="23" t="n">
        <x:v>4.5291306558438656e-7</x:v>
      </x:c>
      <x:c r="I4780" s="23" t="n">
        <x:v>0.9999608786843078</x:v>
      </x:c>
      <x:c r="J4780" s="2" t="n">
        <x:v>1</x:v>
      </x:c>
      <x:c r="K4780" s="2"/>
      <x:c r="L4780" s="2"/>
    </x:row>
    <x:row r="4781" ht="22" customHeight="1">
      <x:c r="A4781" s="2"/>
      <x:c r="B4781" s="2" t="n">
        <x:v>4748</x:v>
      </x:c>
      <x:c r="C4781" s="2" t="str">
        <x:v>72708</x:v>
      </x:c>
      <x:c r="D4781" s="2" t="str">
        <x:v>SCULPTED ROUND IVORY CANDLE </x:v>
      </x:c>
      <x:c r="E4781" s="11" t="n">
        <x:v>9.24</x:v>
      </x:c>
      <x:c r="F4781" s="11" t="n">
        <x:v>0</x:v>
      </x:c>
      <x:c r="G4781" s="11" t="n">
        <x:v>9.24</x:v>
      </x:c>
      <x:c r="H4781" s="23" t="n">
        <x:v>4.4999104580642275e-7</x:v>
      </x:c>
      <x:c r="I4781" s="23" t="n">
        <x:v>0.9999613286753536</x:v>
      </x:c>
      <x:c r="J4781" s="2" t="n">
        <x:v>5</x:v>
      </x:c>
      <x:c r="K4781" s="2"/>
      <x:c r="L4781" s="2"/>
    </x:row>
    <x:row r="4782" ht="22" customHeight="1">
      <x:c r="A4782" s="2"/>
      <x:c r="B4782" s="2" t="n">
        <x:v>4749</x:v>
      </x:c>
      <x:c r="C4782" s="2" t="str">
        <x:v>23441</x:v>
      </x:c>
      <x:c r="D4782" s="2" t="str">
        <x:v>HAND PAINTED HANGING EASTER EGG</x:v>
      </x:c>
      <x:c r="E4782" s="11" t="n">
        <x:v>9.24</x:v>
      </x:c>
      <x:c r="F4782" s="11" t="n">
        <x:v>0</x:v>
      </x:c>
      <x:c r="G4782" s="11" t="n">
        <x:v>9.24</x:v>
      </x:c>
      <x:c r="H4782" s="23" t="n">
        <x:v>4.4999104580642275e-7</x:v>
      </x:c>
      <x:c r="I4782" s="23" t="n">
        <x:v>0.9999617786663993</x:v>
      </x:c>
      <x:c r="J4782" s="2" t="n">
        <x:v>3</x:v>
      </x:c>
      <x:c r="K4782" s="2"/>
      <x:c r="L4782" s="2"/>
    </x:row>
    <x:row r="4783" ht="22" customHeight="1">
      <x:c r="A4783" s="2"/>
      <x:c r="B4783" s="2" t="n">
        <x:v>4750</x:v>
      </x:c>
      <x:c r="C4783" s="2" t="str">
        <x:v>90184c</x:v>
      </x:c>
      <x:c r="D4783" s="2" t="str">
        <x:v>BLACK CHUNKY BEAD BRACELET W STRAP</x:v>
      </x:c>
      <x:c r="E4783" s="11" t="n">
        <x:v>9.15</x:v>
      </x:c>
      <x:c r="F4783" s="11" t="n">
        <x:v>0</x:v>
      </x:c>
      <x:c r="G4783" s="11" t="n">
        <x:v>9.15</x:v>
      </x:c>
      <x:c r="H4783" s="23" t="n">
        <x:v>4.456080161394771e-7</x:v>
      </x:c>
      <x:c r="I4783" s="23" t="n">
        <x:v>0.9999622242744155</x:v>
      </x:c>
      <x:c r="J4783" s="2" t="n">
        <x:v>1</x:v>
      </x:c>
      <x:c r="K4783" s="2"/>
      <x:c r="L4783" s="2"/>
    </x:row>
    <x:row r="4784" ht="22" customHeight="1">
      <x:c r="A4784" s="2"/>
      <x:c r="B4784" s="2" t="n">
        <x:v>4751</x:v>
      </x:c>
      <x:c r="C4784" s="2" t="str">
        <x:v>18098B</x:v>
      </x:c>
      <x:c r="D4784" s="2" t="str">
        <x:v>BLUE PORCELAIN B'FLY OIL BURNER</x:v>
      </x:c>
      <x:c r="E4784" s="11" t="n">
        <x:v>8.850000000000001</x:v>
      </x:c>
      <x:c r="F4784" s="11" t="n">
        <x:v>0</x:v>
      </x:c>
      <x:c r="G4784" s="11" t="n">
        <x:v>8.850000000000001</x:v>
      </x:c>
      <x:c r="H4784" s="23" t="n">
        <x:v>4.3099791724965825e-7</x:v>
      </x:c>
      <x:c r="I4784" s="23" t="n">
        <x:v>0.9999626552723327</x:v>
      </x:c>
      <x:c r="J4784" s="2" t="n">
        <x:v>3</x:v>
      </x:c>
      <x:c r="K4784" s="2"/>
      <x:c r="L4784" s="2"/>
    </x:row>
    <x:row r="4785" ht="22" customHeight="1">
      <x:c r="A4785" s="2"/>
      <x:c r="B4785" s="2" t="n">
        <x:v>4752</x:v>
      </x:c>
      <x:c r="C4785" s="2" t="str">
        <x:v>62097A</x:v>
      </x:c>
      <x:c r="D4785" s="2" t="str">
        <x:v>PINK STRIPES SHOULDER BAG</x:v>
      </x:c>
      <x:c r="E4785" s="11" t="n">
        <x:v>8.850000000000001</x:v>
      </x:c>
      <x:c r="F4785" s="11" t="n">
        <x:v>0</x:v>
      </x:c>
      <x:c r="G4785" s="11" t="n">
        <x:v>8.850000000000001</x:v>
      </x:c>
      <x:c r="H4785" s="23" t="n">
        <x:v>4.3099791724965825e-7</x:v>
      </x:c>
      <x:c r="I4785" s="23" t="n">
        <x:v>0.99996308627025</x:v>
      </x:c>
      <x:c r="J4785" s="2" t="n">
        <x:v>3</x:v>
      </x:c>
      <x:c r="K4785" s="2"/>
      <x:c r="L4785" s="2"/>
    </x:row>
    <x:row r="4786" ht="22" customHeight="1">
      <x:c r="A4786" s="2"/>
      <x:c r="B4786" s="2" t="n">
        <x:v>4753</x:v>
      </x:c>
      <x:c r="C4786" s="2" t="str">
        <x:v>35598C</x:v>
      </x:c>
      <x:c r="D4786" s="2" t="str">
        <x:v>WHITE CHRISTMAS TREE 60CM</x:v>
      </x:c>
      <x:c r="E4786" s="11" t="n">
        <x:v>8.850000000000001</x:v>
      </x:c>
      <x:c r="F4786" s="11" t="n">
        <x:v>0</x:v>
      </x:c>
      <x:c r="G4786" s="11" t="n">
        <x:v>8.850000000000001</x:v>
      </x:c>
      <x:c r="H4786" s="23" t="n">
        <x:v>4.3099791724965825e-7</x:v>
      </x:c>
      <x:c r="I4786" s="23" t="n">
        <x:v>0.9999635172681672</x:v>
      </x:c>
      <x:c r="J4786" s="2" t="n">
        <x:v>3</x:v>
      </x:c>
      <x:c r="K4786" s="2"/>
      <x:c r="L4786" s="2"/>
    </x:row>
    <x:row r="4787" ht="22" customHeight="1">
      <x:c r="A4787" s="2"/>
      <x:c r="B4787" s="2" t="n">
        <x:v>4754</x:v>
      </x:c>
      <x:c r="C4787" s="2" t="str">
        <x:v>20882</x:v>
      </x:c>
      <x:c r="D4787" s="2" t="str">
        <x:v>MODERN CHRISTMAS TREE CANDLE</x:v>
      </x:c>
      <x:c r="E4787" s="11" t="n">
        <x:v>8.850000000000001</x:v>
      </x:c>
      <x:c r="F4787" s="11" t="n">
        <x:v>0</x:v>
      </x:c>
      <x:c r="G4787" s="11" t="n">
        <x:v>8.850000000000001</x:v>
      </x:c>
      <x:c r="H4787" s="23" t="n">
        <x:v>4.3099791724965825e-7</x:v>
      </x:c>
      <x:c r="I4787" s="23" t="n">
        <x:v>0.9999639482660845</x:v>
      </x:c>
      <x:c r="J4787" s="2" t="n">
        <x:v>2</x:v>
      </x:c>
      <x:c r="K4787" s="2"/>
      <x:c r="L4787" s="2"/>
    </x:row>
    <x:row r="4788" ht="22" customHeight="1">
      <x:c r="A4788" s="2"/>
      <x:c r="B4788" s="2" t="n">
        <x:v>4755</x:v>
      </x:c>
      <x:c r="C4788" s="2" t="str">
        <x:v>71496B</x:v>
      </x:c>
      <x:c r="D4788" s="2" t="str">
        <x:v>A4 WALL TIDY RED FLOWERS</x:v>
      </x:c>
      <x:c r="E4788" s="11" t="n">
        <x:v>8.67</x:v>
      </x:c>
      <x:c r="F4788" s="11" t="n">
        <x:v>0</x:v>
      </x:c>
      <x:c r="G4788" s="11" t="n">
        <x:v>8.67</x:v>
      </x:c>
      <x:c r="H4788" s="23" t="n">
        <x:v>4.222318579157668e-7</x:v>
      </x:c>
      <x:c r="I4788" s="23" t="n">
        <x:v>0.9999643704979424</x:v>
      </x:c>
      <x:c r="J4788" s="2" t="n">
        <x:v>6</x:v>
      </x:c>
      <x:c r="K4788" s="2"/>
      <x:c r="L4788" s="2"/>
    </x:row>
    <x:row r="4789" ht="22" customHeight="1">
      <x:c r="A4789" s="2"/>
      <x:c r="B4789" s="2" t="n">
        <x:v>4756</x:v>
      </x:c>
      <x:c r="C4789" s="2" t="str">
        <x:v>20739</x:v>
      </x:c>
      <x:c r="D4789" s="2" t="str">
        <x:v>*USB Office Glitter Lamp</x:v>
      </x:c>
      <x:c r="E4789" s="11" t="n">
        <x:v>8.65</x:v>
      </x:c>
      <x:c r="F4789" s="11" t="n">
        <x:v>0</x:v>
      </x:c>
      <x:c r="G4789" s="11" t="n">
        <x:v>8.65</x:v>
      </x:c>
      <x:c r="H4789" s="23" t="n">
        <x:v>4.2125785132311225e-7</x:v>
      </x:c>
      <x:c r="I4789" s="23" t="n">
        <x:v>0.9999647917557937</x:v>
      </x:c>
      <x:c r="J4789" s="2" t="n">
        <x:v>1</x:v>
      </x:c>
      <x:c r="K4789" s="2"/>
      <x:c r="L4789" s="2"/>
    </x:row>
    <x:row r="4790" ht="22" customHeight="1">
      <x:c r="A4790" s="2"/>
      <x:c r="B4790" s="2" t="n">
        <x:v>4757</x:v>
      </x:c>
      <x:c r="C4790" s="2" t="str">
        <x:v>21406</x:v>
      </x:c>
      <x:c r="D4790" s="2" t="str">
        <x:v>SPOTTY CAT DOORSTOP </x:v>
      </x:c>
      <x:c r="E4790" s="11" t="n">
        <x:v>8.65</x:v>
      </x:c>
      <x:c r="F4790" s="11" t="n">
        <x:v>0</x:v>
      </x:c>
      <x:c r="G4790" s="11" t="n">
        <x:v>8.65</x:v>
      </x:c>
      <x:c r="H4790" s="23" t="n">
        <x:v>4.2125785132311225e-7</x:v>
      </x:c>
      <x:c r="I4790" s="23" t="n">
        <x:v>0.9999652130136449</x:v>
      </x:c>
      <x:c r="J4790" s="2" t="n">
        <x:v>1</x:v>
      </x:c>
      <x:c r="K4790" s="2"/>
      <x:c r="L4790" s="2"/>
    </x:row>
    <x:row r="4791" ht="22" customHeight="1">
      <x:c r="A4791" s="2"/>
      <x:c r="B4791" s="2" t="n">
        <x:v>4758</x:v>
      </x:c>
      <x:c r="C4791" s="2" t="str">
        <x:v>90013E</x:v>
      </x:c>
      <x:c r="D4791" s="2" t="str">
        <x:v>AMBER VINTAGE EARRINGS </x:v>
      </x:c>
      <x:c r="E4791" s="11" t="n">
        <x:v>8.57</x:v>
      </x:c>
      <x:c r="F4791" s="11" t="n">
        <x:v>0</x:v>
      </x:c>
      <x:c r="G4791" s="11" t="n">
        <x:v>8.57</x:v>
      </x:c>
      <x:c r="H4791" s="23" t="n">
        <x:v>4.1736182495249387e-7</x:v>
      </x:c>
      <x:c r="I4791" s="23" t="n">
        <x:v>0.9999656303754699</x:v>
      </x:c>
      <x:c r="J4791" s="2" t="n">
        <x:v>2</x:v>
      </x:c>
      <x:c r="K4791" s="2"/>
      <x:c r="L4791" s="2"/>
    </x:row>
    <x:row r="4792" ht="22" customHeight="1">
      <x:c r="A4792" s="2"/>
      <x:c r="B4792" s="2" t="n">
        <x:v>4759</x:v>
      </x:c>
      <x:c r="C4792" s="2" t="str">
        <x:v>84572</x:v>
      </x:c>
      <x:c r="D4792" s="2" t="str">
        <x:v>6 HOOK JEWEL STAND LILAC DRESS</x:v>
      </x:c>
      <x:c r="E4792" s="11" t="n">
        <x:v>8.49</x:v>
      </x:c>
      <x:c r="F4792" s="11" t="n">
        <x:v>0</x:v>
      </x:c>
      <x:c r="G4792" s="11" t="n">
        <x:v>8.49</x:v>
      </x:c>
      <x:c r="H4792" s="23" t="n">
        <x:v>4.1346579858187544e-7</x:v>
      </x:c>
      <x:c r="I4792" s="23" t="n">
        <x:v>0.9999660438412685</x:v>
      </x:c>
      <x:c r="J4792" s="2" t="n">
        <x:v>1</x:v>
      </x:c>
      <x:c r="K4792" s="2"/>
      <x:c r="L4792" s="2"/>
    </x:row>
    <x:row r="4793" ht="22" customHeight="1">
      <x:c r="A4793" s="2"/>
      <x:c r="B4793" s="2" t="n">
        <x:v>4760</x:v>
      </x:c>
      <x:c r="C4793" s="2" t="str">
        <x:v>90126B</x:v>
      </x:c>
      <x:c r="D4793" s="2" t="str">
        <x:v>BLUE BERTIE MOBILE PHONE CHARM</x:v>
      </x:c>
      <x:c r="E4793" s="11" t="n">
        <x:v>8.48</x:v>
      </x:c>
      <x:c r="F4793" s="11" t="n">
        <x:v>0</x:v>
      </x:c>
      <x:c r="G4793" s="11" t="n">
        <x:v>8.48</x:v>
      </x:c>
      <x:c r="H4793" s="23" t="n">
        <x:v>4.1297879528554815e-7</x:v>
      </x:c>
      <x:c r="I4793" s="23" t="n">
        <x:v>0.9999664568200638</x:v>
      </x:c>
      <x:c r="J4793" s="2" t="n">
        <x:v>3</x:v>
      </x:c>
      <x:c r="K4793" s="2"/>
      <x:c r="L4793" s="2"/>
    </x:row>
    <x:row r="4794" ht="22" customHeight="1">
      <x:c r="A4794" s="2"/>
      <x:c r="B4794" s="2" t="n">
        <x:v>4761</x:v>
      </x:c>
      <x:c r="C4794" s="2" t="str">
        <x:v>72803b</x:v>
      </x:c>
      <x:c r="D4794" s="2" t="str">
        <x:v>OCEAN SCENT CANDLE JEWELLED DRAWER</x:v>
      </x:c>
      <x:c r="E4794" s="11" t="n">
        <x:v>8.47</x:v>
      </x:c>
      <x:c r="F4794" s="11" t="n">
        <x:v>0</x:v>
      </x:c>
      <x:c r="G4794" s="11" t="n">
        <x:v>8.47</x:v>
      </x:c>
      <x:c r="H4794" s="23" t="n">
        <x:v>4.1249179198922087e-7</x:v>
      </x:c>
      <x:c r="I4794" s="23" t="n">
        <x:v>0.9999668693118557</x:v>
      </x:c>
      <x:c r="J4794" s="2" t="n">
        <x:v>1</x:v>
      </x:c>
      <x:c r="K4794" s="2"/>
      <x:c r="L4794" s="2"/>
    </x:row>
    <x:row r="4795" ht="22" customHeight="1">
      <x:c r="A4795" s="2"/>
      <x:c r="B4795" s="2" t="n">
        <x:v>4762</x:v>
      </x:c>
      <x:c r="C4795" s="2" t="str">
        <x:v>84030b</x:v>
      </x:c>
      <x:c r="D4795" s="2" t="str">
        <x:v>KNITTED POM POM HOT WATER BOTTLE</x:v>
      </x:c>
      <x:c r="E4795" s="11" t="n">
        <x:v>8.46</x:v>
      </x:c>
      <x:c r="F4795" s="11" t="n">
        <x:v>0</x:v>
      </x:c>
      <x:c r="G4795" s="11" t="n">
        <x:v>8.46</x:v>
      </x:c>
      <x:c r="H4795" s="23" t="n">
        <x:v>4.120047886928936e-7</x:v>
      </x:c>
      <x:c r="I4795" s="23" t="n">
        <x:v>0.9999672813166445</x:v>
      </x:c>
      <x:c r="J4795" s="2" t="n">
        <x:v>1</x:v>
      </x:c>
      <x:c r="K4795" s="2"/>
      <x:c r="L4795" s="2"/>
    </x:row>
    <x:row r="4796" ht="22" customHeight="1">
      <x:c r="A4796" s="2"/>
      <x:c r="B4796" s="2" t="n">
        <x:v>4763</x:v>
      </x:c>
      <x:c r="C4796" s="2" t="str">
        <x:v>90111</x:v>
      </x:c>
      <x:c r="D4796" s="2" t="str">
        <x:v>BLUE HIBISCUS  HAIR CLIP</x:v>
      </x:c>
      <x:c r="E4796" s="11" t="n">
        <x:v>8.4</x:v>
      </x:c>
      <x:c r="F4796" s="11" t="n">
        <x:v>0</x:v>
      </x:c>
      <x:c r="G4796" s="11" t="n">
        <x:v>8.4</x:v>
      </x:c>
      <x:c r="H4796" s="23" t="n">
        <x:v>4.090827689149298e-7</x:v>
      </x:c>
      <x:c r="I4796" s="23" t="n">
        <x:v>0.9999676903994134</x:v>
      </x:c>
      <x:c r="J4796" s="2" t="n">
        <x:v>6</x:v>
      </x:c>
      <x:c r="K4796" s="2"/>
      <x:c r="L4796" s="2"/>
    </x:row>
    <x:row r="4797" ht="22" customHeight="1">
      <x:c r="A4797" s="2"/>
      <x:c r="B4797" s="2" t="n">
        <x:v>4764</x:v>
      </x:c>
      <x:c r="C4797" s="2" t="str">
        <x:v>44091A</x:v>
      </x:c>
      <x:c r="D4797" s="2" t="str">
        <x:v>BLUE CRUSOE CHECK LAMPSHADE</x:v>
      </x:c>
      <x:c r="E4797" s="11" t="n">
        <x:v>8.4</x:v>
      </x:c>
      <x:c r="F4797" s="11" t="n">
        <x:v>0</x:v>
      </x:c>
      <x:c r="G4797" s="11" t="n">
        <x:v>8.4</x:v>
      </x:c>
      <x:c r="H4797" s="23" t="n">
        <x:v>4.090827689149298e-7</x:v>
      </x:c>
      <x:c r="I4797" s="23" t="n">
        <x:v>0.9999680994821822</x:v>
      </x:c>
      <x:c r="J4797" s="2" t="n">
        <x:v>6</x:v>
      </x:c>
      <x:c r="K4797" s="2"/>
      <x:c r="L4797" s="2"/>
    </x:row>
    <x:row r="4798" ht="22" customHeight="1">
      <x:c r="A4798" s="2"/>
      <x:c r="B4798" s="2" t="n">
        <x:v>4765</x:v>
      </x:c>
      <x:c r="C4798" s="2" t="str">
        <x:v>84534b</x:v>
      </x:c>
      <x:c r="D4798" s="2" t="str">
        <x:v>FAIRY CAKE NOTEBOOK A5 SIZE</x:v>
      </x:c>
      <x:c r="E4798" s="11" t="n">
        <x:v>8.3</x:v>
      </x:c>
      <x:c r="F4798" s="11" t="n">
        <x:v>0</x:v>
      </x:c>
      <x:c r="G4798" s="11" t="n">
        <x:v>8.3</x:v>
      </x:c>
      <x:c r="H4798" s="23" t="n">
        <x:v>4.0421273595165683e-7</x:v>
      </x:c>
      <x:c r="I4798" s="23" t="n">
        <x:v>0.9999685036949182</x:v>
      </x:c>
      <x:c r="J4798" s="2" t="n">
        <x:v>4</x:v>
      </x:c>
      <x:c r="K4798" s="2"/>
      <x:c r="L4798" s="2"/>
    </x:row>
    <x:row r="4799" ht="22" customHeight="1">
      <x:c r="A4799" s="2"/>
      <x:c r="B4799" s="2" t="n">
        <x:v>4766</x:v>
      </x:c>
      <x:c r="C4799" s="2" t="str">
        <x:v>23612</x:v>
      </x:c>
      <x:c r="D4799" s="2" t="str">
        <x:v>SET 10 MINICARDS CUTE SNOWMAN 17071</x:v>
      </x:c>
      <x:c r="E4799" s="11" t="n">
        <x:v>8.299999999999999</x:v>
      </x:c>
      <x:c r="F4799" s="11" t="n">
        <x:v>0</x:v>
      </x:c>
      <x:c r="G4799" s="11" t="n">
        <x:v>8.299999999999999</x:v>
      </x:c>
      <x:c r="H4799" s="23" t="n">
        <x:v>4.042127359516568e-7</x:v>
      </x:c>
      <x:c r="I4799" s="23" t="n">
        <x:v>0.9999689079076541</x:v>
      </x:c>
      <x:c r="J4799" s="2" t="n">
        <x:v>2</x:v>
      </x:c>
      <x:c r="K4799" s="2"/>
      <x:c r="L4799" s="2"/>
    </x:row>
    <x:row r="4800" ht="22" customHeight="1">
      <x:c r="A4800" s="2"/>
      <x:c r="B4800" s="2" t="n">
        <x:v>4767</x:v>
      </x:c>
      <x:c r="C4800" s="2" t="str">
        <x:v>72802c</x:v>
      </x:c>
      <x:c r="D4800" s="2" t="str">
        <x:v>VANILLA SCENT CANDLE JEWELLED BOX</x:v>
      </x:c>
      <x:c r="E4800" s="11" t="n">
        <x:v>8.29</x:v>
      </x:c>
      <x:c r="F4800" s="11" t="n">
        <x:v>0</x:v>
      </x:c>
      <x:c r="G4800" s="11" t="n">
        <x:v>8.29</x:v>
      </x:c>
      <x:c r="H4800" s="23" t="n">
        <x:v>4.0372573265532944e-7</x:v>
      </x:c>
      <x:c r="I4800" s="23" t="n">
        <x:v>0.9999693116333868</x:v>
      </x:c>
      <x:c r="J4800" s="2" t="n">
        <x:v>1</x:v>
      </x:c>
      <x:c r="K4800" s="2"/>
      <x:c r="L4800" s="2"/>
    </x:row>
    <x:row r="4801" ht="22" customHeight="1">
      <x:c r="A4801" s="2"/>
      <x:c r="B4801" s="2" t="n">
        <x:v>4768</x:v>
      </x:c>
      <x:c r="C4801" s="2" t="str">
        <x:v>85034b</x:v>
      </x:c>
      <x:c r="D4801" s="2" t="str">
        <x:v>3 WHITE CHOC MORRIS BOXED CANDLES</x:v>
      </x:c>
      <x:c r="E4801" s="11" t="n">
        <x:v>8.29</x:v>
      </x:c>
      <x:c r="F4801" s="11" t="n">
        <x:v>0</x:v>
      </x:c>
      <x:c r="G4801" s="11" t="n">
        <x:v>8.29</x:v>
      </x:c>
      <x:c r="H4801" s="23" t="n">
        <x:v>4.0372573265532944e-7</x:v>
      </x:c>
      <x:c r="I4801" s="23" t="n">
        <x:v>0.9999697153591194</x:v>
      </x:c>
      <x:c r="J4801" s="2" t="n">
        <x:v>1</x:v>
      </x:c>
      <x:c r="K4801" s="2"/>
      <x:c r="L4801" s="2"/>
    </x:row>
    <x:row r="4802" ht="22" customHeight="1">
      <x:c r="A4802" s="2"/>
      <x:c r="B4802" s="2" t="n">
        <x:v>4769</x:v>
      </x:c>
      <x:c r="C4802" s="2" t="str">
        <x:v>84029c</x:v>
      </x:c>
      <x:c r="D4802" s="2" t="str">
        <x:v>BROWN FURRY HOT WATER BOTTLE</x:v>
      </x:c>
      <x:c r="E4802" s="11" t="n">
        <x:v>7.78</x:v>
      </x:c>
      <x:c r="F4802" s="11" t="n">
        <x:v>0</x:v>
      </x:c>
      <x:c r="G4802" s="11" t="n">
        <x:v>7.78</x:v>
      </x:c>
      <x:c r="H4802" s="23" t="n">
        <x:v>3.7888856454263737e-7</x:v>
      </x:c>
      <x:c r="I4802" s="23" t="n">
        <x:v>0.9999700942476839</x:v>
      </x:c>
      <x:c r="J4802" s="2" t="n">
        <x:v>1</x:v>
      </x:c>
      <x:c r="K4802" s="2"/>
      <x:c r="L4802" s="2"/>
    </x:row>
    <x:row r="4803" ht="22" customHeight="1">
      <x:c r="A4803" s="2"/>
      <x:c r="B4803" s="2" t="n">
        <x:v>4770</x:v>
      </x:c>
      <x:c r="C4803" s="2" t="str">
        <x:v>20942</x:v>
      </x:c>
      <x:c r="D4803" s="2" t="str">
        <x:v>SET/6 GINGERBREAD TREE T-LIGHTS</x:v>
      </x:c>
      <x:c r="E4803" s="11" t="n">
        <x:v>7.5</x:v>
      </x:c>
      <x:c r="F4803" s="11" t="n">
        <x:v>1.25</x:v>
      </x:c>
      <x:c r="G4803" s="11" t="n">
        <x:v>6.25</x:v>
      </x:c>
      <x:c r="H4803" s="23" t="n">
        <x:v>3.65252472245473e-7</x:v>
      </x:c>
      <x:c r="I4803" s="23" t="n">
        <x:v>0.9999704595001562</x:v>
      </x:c>
      <x:c r="J4803" s="2" t="n">
        <x:v>4</x:v>
      </x:c>
      <x:c r="K4803" s="2"/>
      <x:c r="L4803" s="2"/>
    </x:row>
    <x:row r="4804" ht="22" customHeight="1">
      <x:c r="A4804" s="2"/>
      <x:c r="B4804" s="2" t="n">
        <x:v>4771</x:v>
      </x:c>
      <x:c r="C4804" s="2" t="str">
        <x:v>46037A</x:v>
      </x:c>
      <x:c r="D4804" s="2" t="str">
        <x:v>PINK CANVAS DES CUSHION COVER </x:v>
      </x:c>
      <x:c r="E4804" s="11" t="n">
        <x:v>7.5</x:v>
      </x:c>
      <x:c r="F4804" s="11" t="n">
        <x:v>0</x:v>
      </x:c>
      <x:c r="G4804" s="11" t="n">
        <x:v>7.5</x:v>
      </x:c>
      <x:c r="H4804" s="23" t="n">
        <x:v>3.65252472245473e-7</x:v>
      </x:c>
      <x:c r="I4804" s="23" t="n">
        <x:v>0.9999708247526284</x:v>
      </x:c>
      <x:c r="J4804" s="2" t="n">
        <x:v>2</x:v>
      </x:c>
      <x:c r="K4804" s="2"/>
      <x:c r="L4804" s="2"/>
    </x:row>
    <x:row r="4805" ht="22" customHeight="1">
      <x:c r="A4805" s="2"/>
      <x:c r="B4805" s="2" t="n">
        <x:v>4772</x:v>
      </x:c>
      <x:c r="C4805" s="2" t="str">
        <x:v>90025A</x:v>
      </x:c>
      <x:c r="D4805" s="2" t="str">
        <x:v>BAROQUE BUTTERFLY EARRINGS BLACK</x:v>
      </x:c>
      <x:c r="E4805" s="11" t="n">
        <x:v>7.5</x:v>
      </x:c>
      <x:c r="F4805" s="11" t="n">
        <x:v>0</x:v>
      </x:c>
      <x:c r="G4805" s="11" t="n">
        <x:v>7.5</x:v>
      </x:c>
      <x:c r="H4805" s="23" t="n">
        <x:v>3.65252472245473e-7</x:v>
      </x:c>
      <x:c r="I4805" s="23" t="n">
        <x:v>0.9999711900051007</x:v>
      </x:c>
      <x:c r="J4805" s="2" t="n">
        <x:v>2</x:v>
      </x:c>
      <x:c r="K4805" s="2"/>
      <x:c r="L4805" s="2"/>
    </x:row>
    <x:row r="4806" ht="22" customHeight="1">
      <x:c r="A4806" s="2"/>
      <x:c r="B4806" s="2" t="n">
        <x:v>4773</x:v>
      </x:c>
      <x:c r="C4806" s="2" t="str">
        <x:v>82011E</x:v>
      </x:c>
      <x:c r="D4806" s="2" t="str">
        <x:v>BATHROOM SCALES, FAG BREAK</x:v>
      </x:c>
      <x:c r="E4806" s="11" t="n">
        <x:v>7.5</x:v>
      </x:c>
      <x:c r="F4806" s="11" t="n">
        <x:v>0</x:v>
      </x:c>
      <x:c r="G4806" s="11" t="n">
        <x:v>7.5</x:v>
      </x:c>
      <x:c r="H4806" s="23" t="n">
        <x:v>3.65252472245473e-7</x:v>
      </x:c>
      <x:c r="I4806" s="23" t="n">
        <x:v>0.999971555257573</x:v>
      </x:c>
      <x:c r="J4806" s="2" t="n">
        <x:v>2</x:v>
      </x:c>
      <x:c r="K4806" s="2"/>
      <x:c r="L4806" s="2"/>
    </x:row>
    <x:row r="4807" ht="22" customHeight="1">
      <x:c r="A4807" s="2"/>
      <x:c r="B4807" s="2" t="n">
        <x:v>4774</x:v>
      </x:c>
      <x:c r="C4807" s="2" t="str">
        <x:v>37438</x:v>
      </x:c>
      <x:c r="D4807" s="2" t="str">
        <x:v>FUNKY FLOWER COFFEE POT</x:v>
      </x:c>
      <x:c r="E4807" s="11" t="n">
        <x:v>7.5</x:v>
      </x:c>
      <x:c r="F4807" s="11" t="n">
        <x:v>0</x:v>
      </x:c>
      <x:c r="G4807" s="11" t="n">
        <x:v>7.5</x:v>
      </x:c>
      <x:c r="H4807" s="23" t="n">
        <x:v>3.65252472245473e-7</x:v>
      </x:c>
      <x:c r="I4807" s="23" t="n">
        <x:v>0.9999719205100452</x:v>
      </x:c>
      <x:c r="J4807" s="2" t="n">
        <x:v>1</x:v>
      </x:c>
      <x:c r="K4807" s="2"/>
      <x:c r="L4807" s="2"/>
    </x:row>
    <x:row r="4808" ht="22" customHeight="1">
      <x:c r="A4808" s="2"/>
      <x:c r="B4808" s="2" t="n">
        <x:v>4775</x:v>
      </x:c>
      <x:c r="C4808" s="2" t="str">
        <x:v>82613a</x:v>
      </x:c>
      <x:c r="D4808" s="2" t="str">
        <x:v>METAL SIGN,CUPCAKE SINGLE HOOK</x:v>
      </x:c>
      <x:c r="E4808" s="11" t="n">
        <x:v>7.4799999999999995</x:v>
      </x:c>
      <x:c r="F4808" s="11" t="n">
        <x:v>0</x:v>
      </x:c>
      <x:c r="G4808" s="11" t="n">
        <x:v>7.4799999999999995</x:v>
      </x:c>
      <x:c r="H4808" s="23" t="n">
        <x:v>3.6427846565281837e-7</x:v>
      </x:c>
      <x:c r="I4808" s="23" t="n">
        <x:v>0.9999722847885109</x:v>
      </x:c>
      <x:c r="J4808" s="2" t="n">
        <x:v>3</x:v>
      </x:c>
      <x:c r="K4808" s="2"/>
      <x:c r="L4808" s="2"/>
    </x:row>
    <x:row r="4809" ht="22" customHeight="1">
      <x:c r="A4809" s="2"/>
      <x:c r="B4809" s="2" t="n">
        <x:v>4776</x:v>
      </x:c>
      <x:c r="C4809" s="2" t="str">
        <x:v>23633</x:v>
      </x:c>
      <x:c r="D4809" s="2" t="str">
        <x:v>SET 10 CARDS WORLD CHILDREN 17067</x:v>
      </x:c>
      <x:c r="E4809" s="11" t="n">
        <x:v>7.470000000000001</x:v>
      </x:c>
      <x:c r="F4809" s="11" t="n">
        <x:v>0</x:v>
      </x:c>
      <x:c r="G4809" s="11" t="n">
        <x:v>7.470000000000001</x:v>
      </x:c>
      <x:c r="H4809" s="23" t="n">
        <x:v>3.6379146235649114e-7</x:v>
      </x:c>
      <x:c r="I4809" s="23" t="n">
        <x:v>0.9999726485799733</x:v>
      </x:c>
      <x:c r="J4809" s="2" t="n">
        <x:v>3</x:v>
      </x:c>
      <x:c r="K4809" s="2"/>
      <x:c r="L4809" s="2"/>
    </x:row>
    <x:row r="4810" ht="22" customHeight="1">
      <x:c r="A4810" s="2"/>
      <x:c r="B4810" s="2" t="n">
        <x:v>4777</x:v>
      </x:c>
      <x:c r="C4810" s="2" t="str">
        <x:v>84201B</x:v>
      </x:c>
      <x:c r="D4810" s="2" t="str">
        <x:v>HAPPY BIRTHDAY CARD STRIPEY TEDDY</x:v>
      </x:c>
      <x:c r="E4810" s="11" t="n">
        <x:v>7.41</x:v>
      </x:c>
      <x:c r="F4810" s="11" t="n">
        <x:v>0</x:v>
      </x:c>
      <x:c r="G4810" s="11" t="n">
        <x:v>7.41</x:v>
      </x:c>
      <x:c r="H4810" s="23" t="n">
        <x:v>3.6086944257852733e-7</x:v>
      </x:c>
      <x:c r="I4810" s="23" t="n">
        <x:v>0.9999730094494158</x:v>
      </x:c>
      <x:c r="J4810" s="2" t="n">
        <x:v>8</x:v>
      </x:c>
      <x:c r="K4810" s="2"/>
      <x:c r="L4810" s="2"/>
    </x:row>
    <x:row r="4811" ht="22" customHeight="1">
      <x:c r="A4811" s="2"/>
      <x:c r="B4811" s="2" t="n">
        <x:v>4778</x:v>
      </x:c>
      <x:c r="C4811" s="2" t="str">
        <x:v>35001P</x:v>
      </x:c>
      <x:c r="D4811" s="2" t="str">
        <x:v>HAND OPEN SHAPE PINK</x:v>
      </x:c>
      <x:c r="E4811" s="11" t="n">
        <x:v>6.98</x:v>
      </x:c>
      <x:c r="F4811" s="11" t="n">
        <x:v>3.49</x:v>
      </x:c>
      <x:c r="G4811" s="11" t="n">
        <x:v>3.49</x:v>
      </x:c>
      <x:c r="H4811" s="23" t="n">
        <x:v>3.399283008364536e-7</x:v>
      </x:c>
      <x:c r="I4811" s="23" t="n">
        <x:v>0.9999733493777166</x:v>
      </x:c>
      <x:c r="J4811" s="2" t="n">
        <x:v>2</x:v>
      </x:c>
      <x:c r="K4811" s="2"/>
      <x:c r="L4811" s="2"/>
    </x:row>
    <x:row r="4812" ht="22" customHeight="1">
      <x:c r="A4812" s="2"/>
      <x:c r="B4812" s="2" t="n">
        <x:v>4779</x:v>
      </x:c>
      <x:c r="C4812" s="2" t="str">
        <x:v>85230C</x:v>
      </x:c>
      <x:c r="D4812" s="2" t="str">
        <x:v>ROSE SCENTED VOTIVE CANDLE</x:v>
      </x:c>
      <x:c r="E4812" s="11" t="n">
        <x:v>6.959999999999999</x:v>
      </x:c>
      <x:c r="F4812" s="11" t="n">
        <x:v>0</x:v>
      </x:c>
      <x:c r="G4812" s="11" t="n">
        <x:v>6.959999999999999</x:v>
      </x:c>
      <x:c r="H4812" s="23" t="n">
        <x:v>3.389542942437989e-7</x:v>
      </x:c>
      <x:c r="I4812" s="23" t="n">
        <x:v>0.999973688332011</x:v>
      </x:c>
      <x:c r="J4812" s="2" t="n">
        <x:v>1</x:v>
      </x:c>
      <x:c r="K4812" s="2"/>
      <x:c r="L4812" s="2"/>
    </x:row>
    <x:row r="4813" ht="22" customHeight="1">
      <x:c r="A4813" s="2"/>
      <x:c r="B4813" s="2" t="n">
        <x:v>4780</x:v>
      </x:c>
      <x:c r="C4813" s="2" t="str">
        <x:v>85230D</x:v>
      </x:c>
      <x:c r="D4813" s="2" t="str">
        <x:v>VANILLA SCENTED VOTIVE CANDLE</x:v>
      </x:c>
      <x:c r="E4813" s="11" t="n">
        <x:v>6.959999999999999</x:v>
      </x:c>
      <x:c r="F4813" s="11" t="n">
        <x:v>0</x:v>
      </x:c>
      <x:c r="G4813" s="11" t="n">
        <x:v>6.959999999999999</x:v>
      </x:c>
      <x:c r="H4813" s="23" t="n">
        <x:v>3.389542942437989e-7</x:v>
      </x:c>
      <x:c r="I4813" s="23" t="n">
        <x:v>0.9999740272863052</x:v>
      </x:c>
      <x:c r="J4813" s="2" t="n">
        <x:v>1</x:v>
      </x:c>
      <x:c r="K4813" s="2"/>
      <x:c r="L4813" s="2"/>
    </x:row>
    <x:row r="4814" ht="22" customHeight="1">
      <x:c r="A4814" s="2"/>
      <x:c r="B4814" s="2" t="n">
        <x:v>4781</x:v>
      </x:c>
      <x:c r="C4814" s="2" t="str">
        <x:v>84705b</x:v>
      </x:c>
      <x:c r="D4814" s="2" t="str">
        <x:v>FAIRY CAKES PHOTO FRAME</x:v>
      </x:c>
      <x:c r="E4814" s="11" t="n">
        <x:v>6.86</x:v>
      </x:c>
      <x:c r="F4814" s="11" t="n">
        <x:v>0</x:v>
      </x:c>
      <x:c r="G4814" s="11" t="n">
        <x:v>6.86</x:v>
      </x:c>
      <x:c r="H4814" s="23" t="n">
        <x:v>3.34084261280526e-7</x:v>
      </x:c>
      <x:c r="I4814" s="23" t="n">
        <x:v>0.9999743613705665</x:v>
      </x:c>
      <x:c r="J4814" s="2" t="n">
        <x:v>2</x:v>
      </x:c>
      <x:c r="K4814" s="2"/>
      <x:c r="L4814" s="2"/>
    </x:row>
    <x:row r="4815" ht="22" customHeight="1">
      <x:c r="A4815" s="2"/>
      <x:c r="B4815" s="2" t="n">
        <x:v>4782</x:v>
      </x:c>
      <x:c r="C4815" s="2" t="str">
        <x:v>37409</x:v>
      </x:c>
      <x:c r="D4815" s="2" t="str">
        <x:v>ASSORTED DESIGN FLOWER MUGS</x:v>
      </x:c>
      <x:c r="E4815" s="11" t="n">
        <x:v>6.8</x:v>
      </x:c>
      <x:c r="F4815" s="11" t="n">
        <x:v>0</x:v>
      </x:c>
      <x:c r="G4815" s="11" t="n">
        <x:v>6.8</x:v>
      </x:c>
      <x:c r="H4815" s="23" t="n">
        <x:v>3.311622415025622e-7</x:v>
      </x:c>
      <x:c r="I4815" s="23" t="n">
        <x:v>0.999974692532808</x:v>
      </x:c>
      <x:c r="J4815" s="2" t="n">
        <x:v>3</x:v>
      </x:c>
      <x:c r="K4815" s="2"/>
      <x:c r="L4815" s="2"/>
    </x:row>
    <x:row r="4816" ht="22" customHeight="1">
      <x:c r="A4816" s="2"/>
      <x:c r="B4816" s="2" t="n">
        <x:v>4783</x:v>
      </x:c>
      <x:c r="C4816" s="2" t="str">
        <x:v>37484</x:v>
      </x:c>
      <x:c r="D4816" s="2" t="str">
        <x:v>ENGLISH ROSE TEA FOR ONE GIFT BOX</x:v>
      </x:c>
      <x:c r="E4816" s="11" t="n">
        <x:v>6.75</x:v>
      </x:c>
      <x:c r="F4816" s="11" t="n">
        <x:v>0</x:v>
      </x:c>
      <x:c r="G4816" s="11" t="n">
        <x:v>6.75</x:v>
      </x:c>
      <x:c r="H4816" s="23" t="n">
        <x:v>3.2872722502092574e-7</x:v>
      </x:c>
      <x:c r="I4816" s="23" t="n">
        <x:v>0.999975021260033</x:v>
      </x:c>
      <x:c r="J4816" s="2" t="n">
        <x:v>1</x:v>
      </x:c>
      <x:c r="K4816" s="2"/>
      <x:c r="L4816" s="2"/>
    </x:row>
    <x:row r="4817" ht="22" customHeight="1">
      <x:c r="A4817" s="2"/>
      <x:c r="B4817" s="2" t="n">
        <x:v>4784</x:v>
      </x:c>
      <x:c r="C4817" s="2" t="str">
        <x:v>48173A</x:v>
      </x:c>
      <x:c r="D4817" s="2" t="str">
        <x:v>DOOR MAT BLUE FLOCK</x:v>
      </x:c>
      <x:c r="E4817" s="11" t="n">
        <x:v>6.75</x:v>
      </x:c>
      <x:c r="F4817" s="11" t="n">
        <x:v>0</x:v>
      </x:c>
      <x:c r="G4817" s="11" t="n">
        <x:v>6.75</x:v>
      </x:c>
      <x:c r="H4817" s="23" t="n">
        <x:v>3.2872722502092574e-7</x:v>
      </x:c>
      <x:c r="I4817" s="23" t="n">
        <x:v>0.999975349987258</x:v>
      </x:c>
      <x:c r="J4817" s="2" t="n">
        <x:v>1</x:v>
      </x:c>
      <x:c r="K4817" s="2"/>
      <x:c r="L4817" s="2"/>
    </x:row>
    <x:row r="4818" ht="22" customHeight="1">
      <x:c r="A4818" s="2"/>
      <x:c r="B4818" s="2" t="n">
        <x:v>4785</x:v>
      </x:c>
      <x:c r="C4818" s="2" t="str">
        <x:v>23604</x:v>
      </x:c>
      <x:c r="D4818" s="2" t="str">
        <x:v>SET 10 MINI SANTA &amp; SNOWMAN  17087</x:v>
      </x:c>
      <x:c r="E4818" s="11" t="n">
        <x:v>6.64</x:v>
      </x:c>
      <x:c r="F4818" s="11" t="n">
        <x:v>0</x:v>
      </x:c>
      <x:c r="G4818" s="11" t="n">
        <x:v>6.64</x:v>
      </x:c>
      <x:c r="H4818" s="23" t="n">
        <x:v>3.2337018876132545e-7</x:v>
      </x:c>
      <x:c r="I4818" s="23" t="n">
        <x:v>0.9999756733574467</x:v>
      </x:c>
      <x:c r="J4818" s="2" t="n">
        <x:v>2</x:v>
      </x:c>
      <x:c r="K4818" s="2"/>
      <x:c r="L4818" s="2"/>
    </x:row>
    <x:row r="4819" ht="22" customHeight="1">
      <x:c r="A4819" s="2"/>
      <x:c r="B4819" s="2" t="n">
        <x:v>4786</x:v>
      </x:c>
      <x:c r="C4819" s="2" t="str">
        <x:v>20678</x:v>
      </x:c>
      <x:c r="D4819" s="2" t="str">
        <x:v>LARGE BLACK DIAMANTE HAIRSLIDE</x:v>
      </x:c>
      <x:c r="E4819" s="11" t="n">
        <x:v>6.6</x:v>
      </x:c>
      <x:c r="F4819" s="11" t="n">
        <x:v>0</x:v>
      </x:c>
      <x:c r="G4819" s="11" t="n">
        <x:v>6.6</x:v>
      </x:c>
      <x:c r="H4819" s="23" t="n">
        <x:v>3.214221755760162e-7</x:v>
      </x:c>
      <x:c r="I4819" s="23" t="n">
        <x:v>0.9999759947796223</x:v>
      </x:c>
      <x:c r="J4819" s="2" t="n">
        <x:v>1</x:v>
      </x:c>
      <x:c r="K4819" s="2"/>
      <x:c r="L4819" s="2"/>
    </x:row>
    <x:row r="4820" ht="22" customHeight="1">
      <x:c r="A4820" s="2"/>
      <x:c r="B4820" s="2" t="n">
        <x:v>4787</x:v>
      </x:c>
      <x:c r="C4820" s="2" t="str">
        <x:v>20858</x:v>
      </x:c>
      <x:c r="D4820" s="2" t="str">
        <x:v>SILVER PURSE GOLD PINK BUTTERFLY</x:v>
      </x:c>
      <x:c r="E4820" s="11" t="n">
        <x:v>6.6</x:v>
      </x:c>
      <x:c r="F4820" s="11" t="n">
        <x:v>0</x:v>
      </x:c>
      <x:c r="G4820" s="11" t="n">
        <x:v>6.6</x:v>
      </x:c>
      <x:c r="H4820" s="23" t="n">
        <x:v>3.214221755760162e-7</x:v>
      </x:c>
      <x:c r="I4820" s="23" t="n">
        <x:v>0.9999763162017978</x:v>
      </x:c>
      <x:c r="J4820" s="2" t="n">
        <x:v>1</x:v>
      </x:c>
      <x:c r="K4820" s="2"/>
      <x:c r="L4820" s="2"/>
    </x:row>
    <x:row r="4821" ht="22" customHeight="1">
      <x:c r="A4821" s="2"/>
      <x:c r="B4821" s="2" t="n">
        <x:v>4788</x:v>
      </x:c>
      <x:c r="C4821" s="2" t="str">
        <x:v>85231b</x:v>
      </x:c>
      <x:c r="D4821" s="2" t="str">
        <x:v>CINAMMON SET OF 9 T-LIGHTS</x:v>
      </x:c>
      <x:c r="E4821" s="11" t="n">
        <x:v>6.58</x:v>
      </x:c>
      <x:c r="F4821" s="11" t="n">
        <x:v>0</x:v>
      </x:c>
      <x:c r="G4821" s="11" t="n">
        <x:v>6.58</x:v>
      </x:c>
      <x:c r="H4821" s="23" t="n">
        <x:v>3.2044816898336164e-7</x:v>
      </x:c>
      <x:c r="I4821" s="23" t="n">
        <x:v>0.9999766366499668</x:v>
      </x:c>
      <x:c r="J4821" s="2" t="n">
        <x:v>4</x:v>
      </x:c>
      <x:c r="K4821" s="2"/>
      <x:c r="L4821" s="2"/>
    </x:row>
    <x:row r="4822" ht="22" customHeight="1">
      <x:c r="A4822" s="2"/>
      <x:c r="B4822" s="2" t="n">
        <x:v>4789</x:v>
      </x:c>
      <x:c r="C4822" s="2" t="str">
        <x:v>84536b</x:v>
      </x:c>
      <x:c r="D4822" s="2" t="str">
        <x:v>FAIRY CAKES NOTEBOOK A7 SIZE</x:v>
      </x:c>
      <x:c r="E4822" s="11" t="n">
        <x:v>6.48</x:v>
      </x:c>
      <x:c r="F4822" s="11" t="n">
        <x:v>0</x:v>
      </x:c>
      <x:c r="G4822" s="11" t="n">
        <x:v>6.48</x:v>
      </x:c>
      <x:c r="H4822" s="23" t="n">
        <x:v>3.155781360200887e-7</x:v>
      </x:c>
      <x:c r="I4822" s="23" t="n">
        <x:v>0.9999769522281029</x:v>
      </x:c>
      <x:c r="J4822" s="2" t="n">
        <x:v>4</x:v>
      </x:c>
      <x:c r="K4822" s="2"/>
      <x:c r="L4822" s="2"/>
    </x:row>
    <x:row r="4823" ht="22" customHeight="1">
      <x:c r="A4823" s="2"/>
      <x:c r="B4823" s="2" t="n">
        <x:v>4790</x:v>
      </x:c>
      <x:c r="C4823" s="2" t="str">
        <x:v>20884</x:v>
      </x:c>
      <x:c r="D4823" s="2" t="str">
        <x:v>MODERN CHRISTMAS TREE CANDLE </x:v>
      </x:c>
      <x:c r="E4823" s="11" t="n">
        <x:v>6.300000000000001</x:v>
      </x:c>
      <x:c r="F4823" s="11" t="n">
        <x:v>0</x:v>
      </x:c>
      <x:c r="G4823" s="11" t="n">
        <x:v>6.300000000000001</x:v>
      </x:c>
      <x:c r="H4823" s="23" t="n">
        <x:v>3.0681207668619737e-7</x:v>
      </x:c>
      <x:c r="I4823" s="23" t="n">
        <x:v>0.9999772590401795</x:v>
      </x:c>
      <x:c r="J4823" s="2" t="n">
        <x:v>3</x:v>
      </x:c>
      <x:c r="K4823" s="2"/>
      <x:c r="L4823" s="2"/>
    </x:row>
    <x:row r="4824" ht="22" customHeight="1">
      <x:c r="A4824" s="2"/>
      <x:c r="B4824" s="2" t="n">
        <x:v>4791</x:v>
      </x:c>
      <x:c r="C4824" s="2" t="str">
        <x:v>79140</x:v>
      </x:c>
      <x:c r="D4824" s="2" t="str">
        <x:v>gone</x:v>
      </x:c>
      <x:c r="E4824" s="11" t="n">
        <x:v>6.3</x:v>
      </x:c>
      <x:c r="F4824" s="11" t="n">
        <x:v>0</x:v>
      </x:c>
      <x:c r="G4824" s="11" t="n">
        <x:v>6.3</x:v>
      </x:c>
      <x:c r="H4824" s="23" t="n">
        <x:v>3.068120766861973e-7</x:v>
      </x:c>
      <x:c r="I4824" s="23" t="n">
        <x:v>0.9999775658522562</x:v>
      </x:c>
      <x:c r="J4824" s="2" t="n">
        <x:v>2</x:v>
      </x:c>
      <x:c r="K4824" s="2"/>
      <x:c r="L4824" s="2"/>
    </x:row>
    <x:row r="4825" ht="22" customHeight="1">
      <x:c r="A4825" s="2"/>
      <x:c r="B4825" s="2" t="n">
        <x:v>4792</x:v>
      </x:c>
      <x:c r="C4825" s="2" t="str">
        <x:v>37408</x:v>
      </x:c>
      <x:c r="D4825" s="2" t="str">
        <x:v>ASSORTED DESIGN GEISHA GIRL MUGS</x:v>
      </x:c>
      <x:c r="E4825" s="11" t="n">
        <x:v>6.25</x:v>
      </x:c>
      <x:c r="F4825" s="11" t="n">
        <x:v>0</x:v>
      </x:c>
      <x:c r="G4825" s="11" t="n">
        <x:v>6.25</x:v>
      </x:c>
      <x:c r="H4825" s="23" t="n">
        <x:v>3.0437706020456084e-7</x:v>
      </x:c>
      <x:c r="I4825" s="23" t="n">
        <x:v>0.9999778702293164</x:v>
      </x:c>
      <x:c r="J4825" s="2" t="n">
        <x:v>1</x:v>
      </x:c>
      <x:c r="K4825" s="2"/>
      <x:c r="L4825" s="2"/>
    </x:row>
    <x:row r="4826" ht="22" customHeight="1">
      <x:c r="A4826" s="2"/>
      <x:c r="B4826" s="2" t="n">
        <x:v>4793</x:v>
      </x:c>
      <x:c r="C4826" s="2" t="str">
        <x:v>20673</x:v>
      </x:c>
      <x:c r="D4826" s="2" t="str">
        <x:v>STRAWBERRIES PRINT BOWL</x:v>
      </x:c>
      <x:c r="E4826" s="11" t="n">
        <x:v>6.25</x:v>
      </x:c>
      <x:c r="F4826" s="11" t="n">
        <x:v>0</x:v>
      </x:c>
      <x:c r="G4826" s="11" t="n">
        <x:v>6.25</x:v>
      </x:c>
      <x:c r="H4826" s="23" t="n">
        <x:v>3.0437706020456084e-7</x:v>
      </x:c>
      <x:c r="I4826" s="23" t="n">
        <x:v>0.9999781746063766</x:v>
      </x:c>
      <x:c r="J4826" s="2" t="n">
        <x:v>2</x:v>
      </x:c>
      <x:c r="K4826" s="2"/>
      <x:c r="L4826" s="2"/>
    </x:row>
    <x:row r="4827" ht="22" customHeight="1">
      <x:c r="A4827" s="2"/>
      <x:c r="B4827" s="2" t="n">
        <x:v>4794</x:v>
      </x:c>
      <x:c r="C4827" s="2" t="str">
        <x:v>82072</x:v>
      </x:c>
      <x:c r="D4827" s="2" t="str">
        <x:v>WHITE WOOD SINGLE P/FRAME</x:v>
      </x:c>
      <x:c r="E4827" s="11" t="n">
        <x:v>6.25</x:v>
      </x:c>
      <x:c r="F4827" s="11" t="n">
        <x:v>0</x:v>
      </x:c>
      <x:c r="G4827" s="11" t="n">
        <x:v>6.25</x:v>
      </x:c>
      <x:c r="H4827" s="23" t="n">
        <x:v>3.0437706020456084e-7</x:v>
      </x:c>
      <x:c r="I4827" s="23" t="n">
        <x:v>0.9999784789834368</x:v>
      </x:c>
      <x:c r="J4827" s="2" t="n">
        <x:v>3</x:v>
      </x:c>
      <x:c r="K4827" s="2"/>
      <x:c r="L4827" s="2"/>
    </x:row>
    <x:row r="4828" ht="22" customHeight="1">
      <x:c r="A4828" s="2"/>
      <x:c r="B4828" s="2" t="n">
        <x:v>4795</x:v>
      </x:c>
      <x:c r="C4828" s="2" t="str">
        <x:v>23610</x:v>
      </x:c>
      <x:c r="D4828" s="2" t="str">
        <x:v>SET 10 CARDS CHRISTMAS ROBIN 17095</x:v>
      </x:c>
      <x:c r="E4828" s="11" t="n">
        <x:v>6.24</x:v>
      </x:c>
      <x:c r="F4828" s="11" t="n">
        <x:v>0</x:v>
      </x:c>
      <x:c r="G4828" s="11" t="n">
        <x:v>6.24</x:v>
      </x:c>
      <x:c r="H4828" s="23" t="n">
        <x:v>3.0389005690823356e-7</x:v>
      </x:c>
      <x:c r="I4828" s="23" t="n">
        <x:v>0.9999787828734937</x:v>
      </x:c>
      <x:c r="J4828" s="2" t="n">
        <x:v>3</x:v>
      </x:c>
      <x:c r="K4828" s="2"/>
      <x:c r="L4828" s="2"/>
    </x:row>
    <x:row r="4829" ht="22" customHeight="1">
      <x:c r="A4829" s="2"/>
      <x:c r="B4829" s="2" t="n">
        <x:v>4796</x:v>
      </x:c>
      <x:c r="C4829" s="2" t="str">
        <x:v>85123b</x:v>
      </x:c>
      <x:c r="D4829" s="2" t="str">
        <x:v>ZINC HANGING HEART T-LITE HLDR</x:v>
      </x:c>
      <x:c r="E4829" s="11" t="n">
        <x:v>6.04</x:v>
      </x:c>
      <x:c r="F4829" s="11" t="n">
        <x:v>0</x:v>
      </x:c>
      <x:c r="G4829" s="11" t="n">
        <x:v>6.04</x:v>
      </x:c>
      <x:c r="H4829" s="23" t="n">
        <x:v>2.941499909816876e-7</x:v>
      </x:c>
      <x:c r="I4829" s="23" t="n">
        <x:v>0.9999790770234848</x:v>
      </x:c>
      <x:c r="J4829" s="2" t="n">
        <x:v>1</x:v>
      </x:c>
      <x:c r="K4829" s="2"/>
      <x:c r="L4829" s="2"/>
    </x:row>
    <x:row r="4830" ht="22" customHeight="1">
      <x:c r="A4830" s="2"/>
      <x:c r="B4830" s="2" t="n">
        <x:v>4797</x:v>
      </x:c>
      <x:c r="C4830" s="2" t="str">
        <x:v>79051a</x:v>
      </x:c>
      <x:c r="D4830" s="2" t="str">
        <x:v>SMOKEY GREY COLOUR D.O.F. GLASS</x:v>
      </x:c>
      <x:c r="E4830" s="11" t="n">
        <x:v>6.04</x:v>
      </x:c>
      <x:c r="F4830" s="11" t="n">
        <x:v>0</x:v>
      </x:c>
      <x:c r="G4830" s="11" t="n">
        <x:v>6.04</x:v>
      </x:c>
      <x:c r="H4830" s="23" t="n">
        <x:v>2.941499909816876e-7</x:v>
      </x:c>
      <x:c r="I4830" s="23" t="n">
        <x:v>0.9999793711734758</x:v>
      </x:c>
      <x:c r="J4830" s="2" t="n">
        <x:v>1</x:v>
      </x:c>
      <x:c r="K4830" s="2"/>
      <x:c r="L4830" s="2"/>
    </x:row>
    <x:row r="4831" ht="22" customHeight="1">
      <x:c r="A4831" s="2"/>
      <x:c r="B4831" s="2" t="n">
        <x:v>4798</x:v>
      </x:c>
      <x:c r="C4831" s="2" t="str">
        <x:v>72751C</x:v>
      </x:c>
      <x:c r="D4831" s="2" t="str">
        <x:v>F.FAIRY S/3 SML CANDLE, ROSE</x:v>
      </x:c>
      <x:c r="E4831" s="11" t="n">
        <x:v>5.95</x:v>
      </x:c>
      <x:c r="F4831" s="11" t="n">
        <x:v>0</x:v>
      </x:c>
      <x:c r="G4831" s="11" t="n">
        <x:v>5.95</x:v>
      </x:c>
      <x:c r="H4831" s="23" t="n">
        <x:v>2.8976696131474195e-7</x:v>
      </x:c>
      <x:c r="I4831" s="23" t="n">
        <x:v>0.9999796609404371</x:v>
      </x:c>
      <x:c r="J4831" s="2" t="n">
        <x:v>1</x:v>
      </x:c>
      <x:c r="K4831" s="2"/>
      <x:c r="L4831" s="2"/>
    </x:row>
    <x:row r="4832" ht="22" customHeight="1">
      <x:c r="A4832" s="2"/>
      <x:c r="B4832" s="2" t="n">
        <x:v>4799</x:v>
      </x:c>
      <x:c r="C4832" s="2" t="str">
        <x:v>72751A</x:v>
      </x:c>
      <x:c r="D4832" s="2" t="str">
        <x:v>F.FAIRY S/3 SML CANDLE,LILY/VALLEY</x:v>
      </x:c>
      <x:c r="E4832" s="11" t="n">
        <x:v>5.95</x:v>
      </x:c>
      <x:c r="F4832" s="11" t="n">
        <x:v>0</x:v>
      </x:c>
      <x:c r="G4832" s="11" t="n">
        <x:v>5.95</x:v>
      </x:c>
      <x:c r="H4832" s="23" t="n">
        <x:v>2.8976696131474195e-7</x:v>
      </x:c>
      <x:c r="I4832" s="23" t="n">
        <x:v>0.9999799507073984</x:v>
      </x:c>
      <x:c r="J4832" s="2" t="n">
        <x:v>1</x:v>
      </x:c>
      <x:c r="K4832" s="2"/>
      <x:c r="L4832" s="2"/>
    </x:row>
    <x:row r="4833" ht="22" customHeight="1">
      <x:c r="A4833" s="2"/>
      <x:c r="B4833" s="2" t="n">
        <x:v>4800</x:v>
      </x:c>
      <x:c r="C4833" s="2" t="str">
        <x:v>85077</x:v>
      </x:c>
      <x:c r="D4833" s="2" t="str">
        <x:v>KISSING REINDEER TABLE RUNNER</x:v>
      </x:c>
      <x:c r="E4833" s="11" t="n">
        <x:v>5.95</x:v>
      </x:c>
      <x:c r="F4833" s="11" t="n">
        <x:v>0</x:v>
      </x:c>
      <x:c r="G4833" s="11" t="n">
        <x:v>5.95</x:v>
      </x:c>
      <x:c r="H4833" s="23" t="n">
        <x:v>2.8976696131474195e-7</x:v>
      </x:c>
      <x:c r="I4833" s="23" t="n">
        <x:v>0.9999802404743597</x:v>
      </x:c>
      <x:c r="J4833" s="2" t="n">
        <x:v>1</x:v>
      </x:c>
      <x:c r="K4833" s="2"/>
      <x:c r="L4833" s="2"/>
    </x:row>
    <x:row r="4834" ht="22" customHeight="1">
      <x:c r="A4834" s="2"/>
      <x:c r="B4834" s="2" t="n">
        <x:v>4801</x:v>
      </x:c>
      <x:c r="C4834" s="2" t="str">
        <x:v>72751B</x:v>
      </x:c>
      <x:c r="D4834" s="2" t="str">
        <x:v>F.FAIRY S/3 SML CANDLE, LAVENDER</x:v>
      </x:c>
      <x:c r="E4834" s="11" t="n">
        <x:v>5.95</x:v>
      </x:c>
      <x:c r="F4834" s="11" t="n">
        <x:v>0</x:v>
      </x:c>
      <x:c r="G4834" s="11" t="n">
        <x:v>5.95</x:v>
      </x:c>
      <x:c r="H4834" s="23" t="n">
        <x:v>2.8976696131474195e-7</x:v>
      </x:c>
      <x:c r="I4834" s="23" t="n">
        <x:v>0.999980530241321</x:v>
      </x:c>
      <x:c r="J4834" s="2" t="n">
        <x:v>1</x:v>
      </x:c>
      <x:c r="K4834" s="2"/>
      <x:c r="L4834" s="2"/>
    </x:row>
    <x:row r="4835" ht="22" customHeight="1">
      <x:c r="A4835" s="2"/>
      <x:c r="B4835" s="2" t="n">
        <x:v>4802</x:v>
      </x:c>
      <x:c r="C4835" s="2" t="str">
        <x:v>85184d</x:v>
      </x:c>
      <x:c r="D4835" s="2" t="str">
        <x:v>S/4 BLUE ROUND DECOUPAGE BOXES</x:v>
      </x:c>
      <x:c r="E4835" s="11" t="n">
        <x:v>5.91</x:v>
      </x:c>
      <x:c r="F4835" s="11" t="n">
        <x:v>0</x:v>
      </x:c>
      <x:c r="G4835" s="11" t="n">
        <x:v>5.91</x:v>
      </x:c>
      <x:c r="H4835" s="23" t="n">
        <x:v>2.8781894812943276e-7</x:v>
      </x:c>
      <x:c r="I4835" s="23" t="n">
        <x:v>0.9999808180602692</x:v>
      </x:c>
      <x:c r="J4835" s="2" t="n">
        <x:v>1</x:v>
      </x:c>
      <x:c r="K4835" s="2"/>
      <x:c r="L4835" s="2"/>
    </x:row>
    <x:row r="4836" ht="22" customHeight="1">
      <x:c r="A4836" s="2"/>
      <x:c r="B4836" s="2" t="n">
        <x:v>4803</x:v>
      </x:c>
      <x:c r="C4836" s="2" t="str">
        <x:v>79303A</x:v>
      </x:c>
      <x:c r="D4836" s="2" t="str">
        <x:v>WHITE ROHMBIC BLOCK TABLE LAMP</x:v>
      </x:c>
      <x:c r="E4836" s="11" t="n">
        <x:v>5.9</x:v>
      </x:c>
      <x:c r="F4836" s="11" t="n">
        <x:v>0</x:v>
      </x:c>
      <x:c r="G4836" s="11" t="n">
        <x:v>5.9</x:v>
      </x:c>
      <x:c r="H4836" s="23" t="n">
        <x:v>2.873319448331055e-7</x:v>
      </x:c>
      <x:c r="I4836" s="23" t="n">
        <x:v>0.999981105392214</x:v>
      </x:c>
      <x:c r="J4836" s="2" t="n">
        <x:v>1</x:v>
      </x:c>
      <x:c r="K4836" s="2"/>
      <x:c r="L4836" s="2"/>
    </x:row>
    <x:row r="4837" ht="22" customHeight="1">
      <x:c r="A4837" s="2"/>
      <x:c r="B4837" s="2" t="n">
        <x:v>4804</x:v>
      </x:c>
      <x:c r="C4837" s="2" t="str">
        <x:v>35821P</x:v>
      </x:c>
      <x:c r="D4837" s="2" t="str">
        <x:v>JEWELLED DECORATION,PINK</x:v>
      </x:c>
      <x:c r="E4837" s="11" t="n">
        <x:v>5.9</x:v>
      </x:c>
      <x:c r="F4837" s="11" t="n">
        <x:v>0</x:v>
      </x:c>
      <x:c r="G4837" s="11" t="n">
        <x:v>5.9</x:v>
      </x:c>
      <x:c r="H4837" s="23" t="n">
        <x:v>2.873319448331055e-7</x:v>
      </x:c>
      <x:c r="I4837" s="23" t="n">
        <x:v>0.9999813927241588</x:v>
      </x:c>
      <x:c r="J4837" s="2" t="n">
        <x:v>2</x:v>
      </x:c>
      <x:c r="K4837" s="2"/>
      <x:c r="L4837" s="2"/>
    </x:row>
    <x:row r="4838" ht="22" customHeight="1">
      <x:c r="A4838" s="2"/>
      <x:c r="B4838" s="2" t="n">
        <x:v>4805</x:v>
      </x:c>
      <x:c r="C4838" s="2" t="str">
        <x:v>35823P</x:v>
      </x:c>
      <x:c r="D4838" s="2" t="str">
        <x:v>ACRYLIC BEAD GARLAND,PINK</x:v>
      </x:c>
      <x:c r="E4838" s="11" t="n">
        <x:v>5.9</x:v>
      </x:c>
      <x:c r="F4838" s="11" t="n">
        <x:v>0</x:v>
      </x:c>
      <x:c r="G4838" s="11" t="n">
        <x:v>5.9</x:v>
      </x:c>
      <x:c r="H4838" s="23" t="n">
        <x:v>2.873319448331055e-7</x:v>
      </x:c>
      <x:c r="I4838" s="23" t="n">
        <x:v>0.9999816800561036</x:v>
      </x:c>
      <x:c r="J4838" s="2" t="n">
        <x:v>2</x:v>
      </x:c>
      <x:c r="K4838" s="2"/>
      <x:c r="L4838" s="2"/>
    </x:row>
    <x:row r="4839" ht="22" customHeight="1">
      <x:c r="A4839" s="2"/>
      <x:c r="B4839" s="2" t="n">
        <x:v>4806</x:v>
      </x:c>
      <x:c r="C4839" s="2" t="str">
        <x:v>18098A</x:v>
      </x:c>
      <x:c r="D4839" s="2" t="str">
        <x:v>PINK PORCELAIN B'FLY OIL BURNER</x:v>
      </x:c>
      <x:c r="E4839" s="11" t="n">
        <x:v>5.9</x:v>
      </x:c>
      <x:c r="F4839" s="11" t="n">
        <x:v>0</x:v>
      </x:c>
      <x:c r="G4839" s="11" t="n">
        <x:v>5.9</x:v>
      </x:c>
      <x:c r="H4839" s="23" t="n">
        <x:v>2.873319448331055e-7</x:v>
      </x:c>
      <x:c r="I4839" s="23" t="n">
        <x:v>0.9999819673880483</x:v>
      </x:c>
      <x:c r="J4839" s="2" t="n">
        <x:v>2</x:v>
      </x:c>
      <x:c r="K4839" s="2"/>
      <x:c r="L4839" s="2"/>
    </x:row>
    <x:row r="4840" ht="22" customHeight="1">
      <x:c r="A4840" s="2"/>
      <x:c r="B4840" s="2" t="n">
        <x:v>4807</x:v>
      </x:c>
      <x:c r="C4840" s="2" t="str">
        <x:v>85186B</x:v>
      </x:c>
      <x:c r="D4840" s="2" t="str">
        <x:v>BUNNY BUNCH OF FLOWERS</x:v>
      </x:c>
      <x:c r="E4840" s="11" t="n">
        <x:v>5.88</x:v>
      </x:c>
      <x:c r="F4840" s="11" t="n">
        <x:v>0</x:v>
      </x:c>
      <x:c r="G4840" s="11" t="n">
        <x:v>5.88</x:v>
      </x:c>
      <x:c r="H4840" s="23" t="n">
        <x:v>2.8635793824045086e-7</x:v>
      </x:c>
      <x:c r="I4840" s="23" t="n">
        <x:v>0.9999822537459866</x:v>
      </x:c>
      <x:c r="J4840" s="2" t="n">
        <x:v>2</x:v>
      </x:c>
      <x:c r="K4840" s="2"/>
      <x:c r="L4840" s="2"/>
    </x:row>
    <x:row r="4841" ht="22" customHeight="1">
      <x:c r="A4841" s="2"/>
      <x:c r="B4841" s="2" t="n">
        <x:v>4808</x:v>
      </x:c>
      <x:c r="C4841" s="2" t="str">
        <x:v>35051B</x:v>
      </x:c>
      <x:c r="D4841" s="2" t="str">
        <x:v>PINK BEADED CONE CHRISTMAS</x:v>
      </x:c>
      <x:c r="E4841" s="11" t="n">
        <x:v>5.88</x:v>
      </x:c>
      <x:c r="F4841" s="11" t="n">
        <x:v>0</x:v>
      </x:c>
      <x:c r="G4841" s="11" t="n">
        <x:v>5.88</x:v>
      </x:c>
      <x:c r="H4841" s="23" t="n">
        <x:v>2.8635793824045086e-7</x:v>
      </x:c>
      <x:c r="I4841" s="23" t="n">
        <x:v>0.9999825401039248</x:v>
      </x:c>
      <x:c r="J4841" s="2" t="n">
        <x:v>2</x:v>
      </x:c>
      <x:c r="K4841" s="2"/>
      <x:c r="L4841" s="2"/>
    </x:row>
    <x:row r="4842" ht="22" customHeight="1">
      <x:c r="A4842" s="2"/>
      <x:c r="B4842" s="2" t="n">
        <x:v>4809</x:v>
      </x:c>
      <x:c r="C4842" s="2" t="str">
        <x:v>37326</x:v>
      </x:c>
      <x:c r="D4842" s="2" t="str">
        <x:v>FAIRY DESIGN MUGS</x:v>
      </x:c>
      <x:c r="E4842" s="11" t="n">
        <x:v>5.859999999999999</x:v>
      </x:c>
      <x:c r="F4842" s="11" t="n">
        <x:v>0</x:v>
      </x:c>
      <x:c r="G4842" s="11" t="n">
        <x:v>5.859999999999999</x:v>
      </x:c>
      <x:c r="H4842" s="23" t="n">
        <x:v>2.8538393164779624e-7</x:v>
      </x:c>
      <x:c r="I4842" s="23" t="n">
        <x:v>0.9999828254878564</x:v>
      </x:c>
      <x:c r="J4842" s="2" t="n">
        <x:v>2</x:v>
      </x:c>
      <x:c r="K4842" s="2"/>
      <x:c r="L4842" s="2"/>
    </x:row>
    <x:row r="4843" ht="22" customHeight="1">
      <x:c r="A4843" s="2"/>
      <x:c r="B4843" s="2" t="n">
        <x:v>4810</x:v>
      </x:c>
      <x:c r="C4843" s="2" t="str">
        <x:v>23652</x:v>
      </x:c>
      <x:c r="D4843" s="2" t="str">
        <x:v>SET 10 CARD CHRISTMAS STAMPS 16963</x:v>
      </x:c>
      <x:c r="E4843" s="11" t="n">
        <x:v>5.82</x:v>
      </x:c>
      <x:c r="F4843" s="11" t="n">
        <x:v>0</x:v>
      </x:c>
      <x:c r="G4843" s="11" t="n">
        <x:v>5.82</x:v>
      </x:c>
      <x:c r="H4843" s="23" t="n">
        <x:v>2.8343591846248705e-7</x:v>
      </x:c>
      <x:c r="I4843" s="23" t="n">
        <x:v>0.999983108923775</x:v>
      </x:c>
      <x:c r="J4843" s="2" t="n">
        <x:v>1</x:v>
      </x:c>
      <x:c r="K4843" s="2"/>
      <x:c r="L4843" s="2"/>
    </x:row>
    <x:row r="4844" ht="22" customHeight="1">
      <x:c r="A4844" s="2"/>
      <x:c r="B4844" s="2" t="n">
        <x:v>4811</x:v>
      </x:c>
      <x:c r="C4844" s="2" t="str">
        <x:v>23617</x:v>
      </x:c>
      <x:c r="D4844" s="2" t="str">
        <x:v>SET 10 CARDS SWIRLY XMAS TREE 17104</x:v>
      </x:c>
      <x:c r="E4844" s="11" t="n">
        <x:v>5.82</x:v>
      </x:c>
      <x:c r="F4844" s="11" t="n">
        <x:v>0</x:v>
      </x:c>
      <x:c r="G4844" s="11" t="n">
        <x:v>5.82</x:v>
      </x:c>
      <x:c r="H4844" s="23" t="n">
        <x:v>2.8343591846248705e-7</x:v>
      </x:c>
      <x:c r="I4844" s="23" t="n">
        <x:v>0.9999833923596935</x:v>
      </x:c>
      <x:c r="J4844" s="2" t="n">
        <x:v>1</x:v>
      </x:c>
      <x:c r="K4844" s="2"/>
      <x:c r="L4844" s="2"/>
    </x:row>
    <x:row r="4845" ht="22" customHeight="1">
      <x:c r="A4845" s="2"/>
      <x:c r="B4845" s="2" t="n">
        <x:v>4812</x:v>
      </x:c>
      <x:c r="C4845" s="2" t="str">
        <x:v>23638</x:v>
      </x:c>
      <x:c r="D4845" s="2" t="str">
        <x:v>SET 10 CARDS ROBIN WATERPUMP  17096</x:v>
      </x:c>
      <x:c r="E4845" s="11" t="n">
        <x:v>5.82</x:v>
      </x:c>
      <x:c r="F4845" s="11" t="n">
        <x:v>0</x:v>
      </x:c>
      <x:c r="G4845" s="11" t="n">
        <x:v>5.82</x:v>
      </x:c>
      <x:c r="H4845" s="23" t="n">
        <x:v>2.8343591846248705e-7</x:v>
      </x:c>
      <x:c r="I4845" s="23" t="n">
        <x:v>0.999983675795612</x:v>
      </x:c>
      <x:c r="J4845" s="2" t="n">
        <x:v>2</x:v>
      </x:c>
      <x:c r="K4845" s="2"/>
      <x:c r="L4845" s="2"/>
    </x:row>
    <x:row r="4846" ht="22" customHeight="1">
      <x:c r="A4846" s="2"/>
      <x:c r="B4846" s="2" t="n">
        <x:v>4813</x:v>
      </x:c>
      <x:c r="C4846" s="2" t="str">
        <x:v>23630</x:v>
      </x:c>
      <x:c r="D4846" s="2" t="str">
        <x:v>SET 10 CARDS HANGING BAUBLES 17080</x:v>
      </x:c>
      <x:c r="E4846" s="11" t="n">
        <x:v>5.48</x:v>
      </x:c>
      <x:c r="F4846" s="11" t="n">
        <x:v>2.99</x:v>
      </x:c>
      <x:c r="G4846" s="11" t="n">
        <x:v>2.49</x:v>
      </x:c>
      <x:c r="H4846" s="23" t="n">
        <x:v>2.6687780638735897e-7</x:v>
      </x:c>
      <x:c r="I4846" s="23" t="n">
        <x:v>0.9999839426734184</x:v>
      </x:c>
      <x:c r="J4846" s="2" t="n">
        <x:v>2</x:v>
      </x:c>
      <x:c r="K4846" s="2"/>
      <x:c r="L4846" s="2"/>
    </x:row>
    <x:row r="4847" ht="22" customHeight="1">
      <x:c r="A4847" s="2"/>
      <x:c r="B4847" s="2" t="n">
        <x:v>4814</x:v>
      </x:c>
      <x:c r="C4847" s="2" t="str">
        <x:v>35537</x:v>
      </x:c>
      <x:c r="D4847" s="2" t="str">
        <x:v>CANDLE RING W/CLEAR BEADS</x:v>
      </x:c>
      <x:c r="E4847" s="11" t="n">
        <x:v>5.46</x:v>
      </x:c>
      <x:c r="F4847" s="11" t="n">
        <x:v>0</x:v>
      </x:c>
      <x:c r="G4847" s="11" t="n">
        <x:v>5.46</x:v>
      </x:c>
      <x:c r="H4847" s="23" t="n">
        <x:v>2.6590379979470435e-7</x:v>
      </x:c>
      <x:c r="I4847" s="23" t="n">
        <x:v>0.9999842085772181</x:v>
      </x:c>
      <x:c r="J4847" s="2" t="n">
        <x:v>3</x:v>
      </x:c>
      <x:c r="K4847" s="2"/>
      <x:c r="L4847" s="2"/>
    </x:row>
    <x:row r="4848" ht="22" customHeight="1">
      <x:c r="A4848" s="2"/>
      <x:c r="B4848" s="2" t="n">
        <x:v>4815</x:v>
      </x:c>
      <x:c r="C4848" s="2" t="str">
        <x:v>21838</x:v>
      </x:c>
      <x:c r="D4848" s="2" t="str">
        <x:v>DADDY MOUSE RED GINGHAM BOW TIE</x:v>
      </x:c>
      <x:c r="E4848" s="11" t="n">
        <x:v>5.45</x:v>
      </x:c>
      <x:c r="F4848" s="11" t="n">
        <x:v>0</x:v>
      </x:c>
      <x:c r="G4848" s="11" t="n">
        <x:v>5.45</x:v>
      </x:c>
      <x:c r="H4848" s="23" t="n">
        <x:v>2.6541679649837706e-7</x:v>
      </x:c>
      <x:c r="I4848" s="23" t="n">
        <x:v>0.9999844739940147</x:v>
      </x:c>
      <x:c r="J4848" s="2" t="n">
        <x:v>1</x:v>
      </x:c>
      <x:c r="K4848" s="2"/>
      <x:c r="L4848" s="2"/>
    </x:row>
    <x:row r="4849" ht="22" customHeight="1">
      <x:c r="A4849" s="2"/>
      <x:c r="B4849" s="2" t="n">
        <x:v>4816</x:v>
      </x:c>
      <x:c r="C4849" s="2" t="str">
        <x:v>35751D</x:v>
      </x:c>
      <x:c r="D4849" s="2" t="str">
        <x:v>PINK CURRENT CANDLE RING</x:v>
      </x:c>
      <x:c r="E4849" s="11" t="n">
        <x:v>5.32</x:v>
      </x:c>
      <x:c r="F4849" s="11" t="n">
        <x:v>0</x:v>
      </x:c>
      <x:c r="G4849" s="11" t="n">
        <x:v>5.32</x:v>
      </x:c>
      <x:c r="H4849" s="23" t="n">
        <x:v>2.590857536461222e-7</x:v>
      </x:c>
      <x:c r="I4849" s="23" t="n">
        <x:v>0.9999847330797683</x:v>
      </x:c>
      <x:c r="J4849" s="2" t="n">
        <x:v>1</x:v>
      </x:c>
      <x:c r="K4849" s="2"/>
      <x:c r="L4849" s="2"/>
    </x:row>
    <x:row r="4850" ht="22" customHeight="1">
      <x:c r="A4850" s="2"/>
      <x:c r="B4850" s="2" t="n">
        <x:v>4817</x:v>
      </x:c>
      <x:c r="C4850" s="2" t="str">
        <x:v>16215</x:v>
      </x:c>
      <x:c r="D4850" s="2" t="str">
        <x:v>FUNKY GIRLZ MAGNETIC TO DO LIST </x:v>
      </x:c>
      <x:c r="E4850" s="11" t="n">
        <x:v>5.2</x:v>
      </x:c>
      <x:c r="F4850" s="11" t="n">
        <x:v>0</x:v>
      </x:c>
      <x:c r="G4850" s="11" t="n">
        <x:v>5.2</x:v>
      </x:c>
      <x:c r="H4850" s="23" t="n">
        <x:v>2.5324171409019464e-7</x:v>
      </x:c>
      <x:c r="I4850" s="23" t="n">
        <x:v>0.9999849863214824</x:v>
      </x:c>
      <x:c r="J4850" s="2" t="n">
        <x:v>3</x:v>
      </x:c>
      <x:c r="K4850" s="2"/>
      <x:c r="L4850" s="2"/>
    </x:row>
    <x:row r="4851" ht="22" customHeight="1">
      <x:c r="A4851" s="2"/>
      <x:c r="B4851" s="2" t="n">
        <x:v>4818</x:v>
      </x:c>
      <x:c r="C4851" s="2" t="str">
        <x:v>21854</x:v>
      </x:c>
      <x:c r="D4851" s="2" t="str">
        <x:v>EURO FOOTBALL STARS TOP TRUMPS GAME</x:v>
      </x:c>
      <x:c r="E4851" s="11" t="n">
        <x:v>5.17</x:v>
      </x:c>
      <x:c r="F4851" s="11" t="n">
        <x:v>0</x:v>
      </x:c>
      <x:c r="G4851" s="11" t="n">
        <x:v>5.17</x:v>
      </x:c>
      <x:c r="H4851" s="23" t="n">
        <x:v>2.5178070420121274e-7</x:v>
      </x:c>
      <x:c r="I4851" s="23" t="n">
        <x:v>0.9999852381021865</x:v>
      </x:c>
      <x:c r="J4851" s="2" t="n">
        <x:v>1</x:v>
      </x:c>
      <x:c r="K4851" s="2"/>
      <x:c r="L4851" s="2"/>
    </x:row>
    <x:row r="4852" ht="22" customHeight="1">
      <x:c r="A4852" s="2"/>
      <x:c r="B4852" s="2" t="n">
        <x:v>4819</x:v>
      </x:c>
      <x:c r="C4852" s="2" t="str">
        <x:v>21860</x:v>
      </x:c>
      <x:c r="D4852" s="2" t="str">
        <x:v>DR WHO TOP TRUMPS GAME</x:v>
      </x:c>
      <x:c r="E4852" s="11" t="n">
        <x:v>5.17</x:v>
      </x:c>
      <x:c r="F4852" s="11" t="n">
        <x:v>0</x:v>
      </x:c>
      <x:c r="G4852" s="11" t="n">
        <x:v>5.17</x:v>
      </x:c>
      <x:c r="H4852" s="23" t="n">
        <x:v>2.5178070420121274e-7</x:v>
      </x:c>
      <x:c r="I4852" s="23" t="n">
        <x:v>0.9999854898828907</x:v>
      </x:c>
      <x:c r="J4852" s="2" t="n">
        <x:v>1</x:v>
      </x:c>
      <x:c r="K4852" s="2"/>
      <x:c r="L4852" s="2"/>
    </x:row>
    <x:row r="4853" ht="22" customHeight="1">
      <x:c r="A4853" s="2"/>
      <x:c r="B4853" s="2" t="n">
        <x:v>4820</x:v>
      </x:c>
      <x:c r="C4853" s="2" t="str">
        <x:v>71101A</x:v>
      </x:c>
      <x:c r="D4853" s="2" t="str">
        <x:v>ANGEL ON KNEES METAL POLE 100CM H</x:v>
      </x:c>
      <x:c r="E4853" s="11" t="n">
        <x:v>5.1</x:v>
      </x:c>
      <x:c r="F4853" s="11" t="n">
        <x:v>0</x:v>
      </x:c>
      <x:c r="G4853" s="11" t="n">
        <x:v>5.1</x:v>
      </x:c>
      <x:c r="H4853" s="23" t="n">
        <x:v>2.4837168112692164e-7</x:v>
      </x:c>
      <x:c r="I4853" s="23" t="n">
        <x:v>0.9999857382545718</x:v>
      </x:c>
      <x:c r="J4853" s="2" t="n">
        <x:v>1</x:v>
      </x:c>
      <x:c r="K4853" s="2"/>
      <x:c r="L4853" s="2"/>
    </x:row>
    <x:row r="4854" ht="22" customHeight="1">
      <x:c r="A4854" s="2"/>
      <x:c r="B4854" s="2" t="n">
        <x:v>4821</x:v>
      </x:c>
      <x:c r="C4854" s="2" t="str">
        <x:v>71434B</x:v>
      </x:c>
      <x:c r="D4854" s="2" t="str">
        <x:v>BLACK RND BULLET"KEEP CLEAN" BIN</x:v>
      </x:c>
      <x:c r="E4854" s="11" t="n">
        <x:v>5.1</x:v>
      </x:c>
      <x:c r="F4854" s="11" t="n">
        <x:v>0</x:v>
      </x:c>
      <x:c r="G4854" s="11" t="n">
        <x:v>5.1</x:v>
      </x:c>
      <x:c r="H4854" s="23" t="n">
        <x:v>2.4837168112692164e-7</x:v>
      </x:c>
      <x:c r="I4854" s="23" t="n">
        <x:v>0.9999859866262529</x:v>
      </x:c>
      <x:c r="J4854" s="2" t="n">
        <x:v>2</x:v>
      </x:c>
      <x:c r="K4854" s="2"/>
      <x:c r="L4854" s="2"/>
    </x:row>
    <x:row r="4855" ht="22" customHeight="1">
      <x:c r="A4855" s="2"/>
      <x:c r="B4855" s="2" t="n">
        <x:v>4822</x:v>
      </x:c>
      <x:c r="C4855" s="2" t="str">
        <x:v>90142B</x:v>
      </x:c>
      <x:c r="D4855" s="2" t="str">
        <x:v>IVORY PENDANT SHELL NECKLACE</x:v>
      </x:c>
      <x:c r="E4855" s="11" t="n">
        <x:v>5.09</x:v>
      </x:c>
      <x:c r="F4855" s="11" t="n">
        <x:v>0</x:v>
      </x:c>
      <x:c r="G4855" s="11" t="n">
        <x:v>5.09</x:v>
      </x:c>
      <x:c r="H4855" s="23" t="n">
        <x:v>2.4788467783059436e-7</x:v>
      </x:c>
      <x:c r="I4855" s="23" t="n">
        <x:v>0.9999862345109307</x:v>
      </x:c>
      <x:c r="J4855" s="2" t="n">
        <x:v>1</x:v>
      </x:c>
      <x:c r="K4855" s="2"/>
      <x:c r="L4855" s="2"/>
    </x:row>
    <x:row r="4856" ht="22" customHeight="1">
      <x:c r="A4856" s="2"/>
      <x:c r="B4856" s="2" t="n">
        <x:v>4823</x:v>
      </x:c>
      <x:c r="C4856" s="2" t="str">
        <x:v>90142C</x:v>
      </x:c>
      <x:c r="D4856" s="2" t="str">
        <x:v>ROSE PINK PENDANT SHELL NECKLACE</x:v>
      </x:c>
      <x:c r="E4856" s="11" t="n">
        <x:v>5.09</x:v>
      </x:c>
      <x:c r="F4856" s="11" t="n">
        <x:v>0</x:v>
      </x:c>
      <x:c r="G4856" s="11" t="n">
        <x:v>5.09</x:v>
      </x:c>
      <x:c r="H4856" s="23" t="n">
        <x:v>2.4788467783059436e-7</x:v>
      </x:c>
      <x:c r="I4856" s="23" t="n">
        <x:v>0.9999864823956085</x:v>
      </x:c>
      <x:c r="J4856" s="2" t="n">
        <x:v>1</x:v>
      </x:c>
      <x:c r="K4856" s="2"/>
      <x:c r="L4856" s="2"/>
    </x:row>
    <x:row r="4857" ht="22" customHeight="1">
      <x:c r="A4857" s="2"/>
      <x:c r="B4857" s="2" t="n">
        <x:v>4824</x:v>
      </x:c>
      <x:c r="C4857" s="2" t="str">
        <x:v>84942</x:v>
      </x:c>
      <x:c r="D4857" s="2" t="str">
        <x:v>KASHMIR FOLKART HEART DISHES</x:v>
      </x:c>
      <x:c r="E4857" s="11" t="n">
        <x:v>5.07</x:v>
      </x:c>
      <x:c r="F4857" s="11" t="n">
        <x:v>0</x:v>
      </x:c>
      <x:c r="G4857" s="11" t="n">
        <x:v>5.07</x:v>
      </x:c>
      <x:c r="H4857" s="23" t="n">
        <x:v>2.469106712379398e-7</x:v>
      </x:c>
      <x:c r="I4857" s="23" t="n">
        <x:v>0.9999867293062797</x:v>
      </x:c>
      <x:c r="J4857" s="2" t="n">
        <x:v>3</x:v>
      </x:c>
      <x:c r="K4857" s="2"/>
      <x:c r="L4857" s="2"/>
    </x:row>
    <x:row r="4858" ht="22" customHeight="1">
      <x:c r="A4858" s="2"/>
      <x:c r="B4858" s="2" t="n">
        <x:v>4825</x:v>
      </x:c>
      <x:c r="C4858" s="2" t="str">
        <x:v>72740B</x:v>
      </x:c>
      <x:c r="D4858" s="2" t="str">
        <x:v>LARGE WHITE CHOCOLATE CANDLE</x:v>
      </x:c>
      <x:c r="E4858" s="11" t="n">
        <x:v>5.06</x:v>
      </x:c>
      <x:c r="F4858" s="11" t="n">
        <x:v>0</x:v>
      </x:c>
      <x:c r="G4858" s="11" t="n">
        <x:v>5.06</x:v>
      </x:c>
      <x:c r="H4858" s="23" t="n">
        <x:v>2.4642366794161245e-7</x:v>
      </x:c>
      <x:c r="I4858" s="23" t="n">
        <x:v>0.9999869757299477</x:v>
      </x:c>
      <x:c r="J4858" s="2" t="n">
        <x:v>1</x:v>
      </x:c>
      <x:c r="K4858" s="2"/>
      <x:c r="L4858" s="2"/>
    </x:row>
    <x:row r="4859" ht="22" customHeight="1">
      <x:c r="A4859" s="2"/>
      <x:c r="B4859" s="2" t="n">
        <x:v>4826</x:v>
      </x:c>
      <x:c r="C4859" s="2" t="str">
        <x:v>DCGS0041</x:v>
      </x:c>
      <x:c r="D4859" s="2" t="str">
        <x:v>HAYNES MINI-COOPER PLAYING CARDS</x:v>
      </x:c>
      <x:c r="E4859" s="11" t="n">
        <x:v>5.06</x:v>
      </x:c>
      <x:c r="F4859" s="11" t="n">
        <x:v>0</x:v>
      </x:c>
      <x:c r="G4859" s="11" t="n">
        <x:v>5.06</x:v>
      </x:c>
      <x:c r="H4859" s="23" t="n">
        <x:v>2.4642366794161245e-7</x:v>
      </x:c>
      <x:c r="I4859" s="23" t="n">
        <x:v>0.9999872221536156</x:v>
      </x:c>
      <x:c r="J4859" s="2" t="n">
        <x:v>1</x:v>
      </x:c>
      <x:c r="K4859" s="2"/>
      <x:c r="L4859" s="2"/>
    </x:row>
    <x:row r="4860" ht="22" customHeight="1">
      <x:c r="A4860" s="2"/>
      <x:c r="B4860" s="2" t="n">
        <x:v>4827</x:v>
      </x:c>
      <x:c r="C4860" s="2" t="str">
        <x:v>20877</x:v>
      </x:c>
      <x:c r="D4860" s="2" t="str">
        <x:v>MODERN CHRISTMAS BAUBLE CANDLE </x:v>
      </x:c>
      <x:c r="E4860" s="11" t="n">
        <x:v>5.04</x:v>
      </x:c>
      <x:c r="F4860" s="11" t="n">
        <x:v>0</x:v>
      </x:c>
      <x:c r="G4860" s="11" t="n">
        <x:v>5.04</x:v>
      </x:c>
      <x:c r="H4860" s="23" t="n">
        <x:v>2.454496613489579e-7</x:v>
      </x:c>
      <x:c r="I4860" s="23" t="n">
        <x:v>0.999987467603277</x:v>
      </x:c>
      <x:c r="J4860" s="2" t="n">
        <x:v>5</x:v>
      </x:c>
      <x:c r="K4860" s="2"/>
      <x:c r="L4860" s="2"/>
    </x:row>
    <x:row r="4861" ht="22" customHeight="1">
      <x:c r="A4861" s="2"/>
      <x:c r="B4861" s="2" t="n">
        <x:v>4828</x:v>
      </x:c>
      <x:c r="C4861" s="2" t="str">
        <x:v>84596j</x:v>
      </x:c>
      <x:c r="D4861" s="2" t="str">
        <x:v>MIXED NUTS LIGHT GREEN BOWL</x:v>
      </x:c>
      <x:c r="E4861" s="11" t="n">
        <x:v>5.02</x:v>
      </x:c>
      <x:c r="F4861" s="11" t="n">
        <x:v>0</x:v>
      </x:c>
      <x:c r="G4861" s="11" t="n">
        <x:v>5.02</x:v>
      </x:c>
      <x:c r="H4861" s="23" t="n">
        <x:v>2.4447565475630327e-7</x:v>
      </x:c>
      <x:c r="I4861" s="23" t="n">
        <x:v>0.9999877120789317</x:v>
      </x:c>
      <x:c r="J4861" s="2" t="n">
        <x:v>2</x:v>
      </x:c>
      <x:c r="K4861" s="2"/>
      <x:c r="L4861" s="2"/>
    </x:row>
    <x:row r="4862" ht="22" customHeight="1">
      <x:c r="A4862" s="2"/>
      <x:c r="B4862" s="2" t="n">
        <x:v>4829</x:v>
      </x:c>
      <x:c r="C4862" s="2" t="str">
        <x:v>23649</x:v>
      </x:c>
      <x:c r="D4862" s="2" t="str">
        <x:v>SET 10 CARDS DECK THE HALLS 16960</x:v>
      </x:c>
      <x:c r="E4862" s="11" t="n">
        <x:v>4.98</x:v>
      </x:c>
      <x:c r="F4862" s="11" t="n">
        <x:v>0</x:v>
      </x:c>
      <x:c r="G4862" s="11" t="n">
        <x:v>4.98</x:v>
      </x:c>
      <x:c r="H4862" s="23" t="n">
        <x:v>2.4252764157099413e-7</x:v>
      </x:c>
      <x:c r="I4862" s="23" t="n">
        <x:v>0.9999879546065732</x:v>
      </x:c>
      <x:c r="J4862" s="2" t="n">
        <x:v>2</x:v>
      </x:c>
      <x:c r="K4862" s="2"/>
      <x:c r="L4862" s="2"/>
    </x:row>
    <x:row r="4863" ht="22" customHeight="1">
      <x:c r="A4863" s="2"/>
      <x:c r="B4863" s="2" t="n">
        <x:v>4830</x:v>
      </x:c>
      <x:c r="C4863" s="2" t="str">
        <x:v>47593b</x:v>
      </x:c>
      <x:c r="D4863" s="2" t="str">
        <x:v>SCOTTIE DOGS BABY BIB</x:v>
      </x:c>
      <x:c r="E4863" s="11" t="n">
        <x:v>4.9799999999999995</x:v>
      </x:c>
      <x:c r="F4863" s="11" t="n">
        <x:v>0</x:v>
      </x:c>
      <x:c r="G4863" s="11" t="n">
        <x:v>4.9799999999999995</x:v>
      </x:c>
      <x:c r="H4863" s="23" t="n">
        <x:v>2.425276415709941e-7</x:v>
      </x:c>
      <x:c r="I4863" s="23" t="n">
        <x:v>0.9999881971342147</x:v>
      </x:c>
      <x:c r="J4863" s="2" t="n">
        <x:v>1</x:v>
      </x:c>
      <x:c r="K4863" s="2"/>
      <x:c r="L4863" s="2"/>
    </x:row>
    <x:row r="4864" ht="22" customHeight="1">
      <x:c r="A4864" s="2"/>
      <x:c r="B4864" s="2" t="n">
        <x:v>4831</x:v>
      </x:c>
      <x:c r="C4864" s="2" t="str">
        <x:v>84661b</x:v>
      </x:c>
      <x:c r="D4864" s="2" t="str">
        <x:v>BLACK SQUARE TABLE CLOCK</x:v>
      </x:c>
      <x:c r="E4864" s="11" t="n">
        <x:v>4.96</x:v>
      </x:c>
      <x:c r="F4864" s="11" t="n">
        <x:v>0</x:v>
      </x:c>
      <x:c r="G4864" s="11" t="n">
        <x:v>4.96</x:v>
      </x:c>
      <x:c r="H4864" s="23" t="n">
        <x:v>2.415536349783395e-7</x:v>
      </x:c>
      <x:c r="I4864" s="23" t="n">
        <x:v>0.9999884386878497</x:v>
      </x:c>
      <x:c r="J4864" s="2" t="n">
        <x:v>1</x:v>
      </x:c>
      <x:c r="K4864" s="2"/>
      <x:c r="L4864" s="2"/>
    </x:row>
    <x:row r="4865" ht="22" customHeight="1">
      <x:c r="A4865" s="2"/>
      <x:c r="B4865" s="2" t="n">
        <x:v>4832</x:v>
      </x:c>
      <x:c r="C4865" s="2" t="str">
        <x:v>37451</x:v>
      </x:c>
      <x:c r="D4865" s="2" t="str">
        <x:v>CERAMIC CAKE TEAPOT WITH CHERRY</x:v>
      </x:c>
      <x:c r="E4865" s="11" t="n">
        <x:v>4.95</x:v>
      </x:c>
      <x:c r="F4865" s="11" t="n">
        <x:v>8.5</x:v>
      </x:c>
      <x:c r="G4865" s="11" t="n">
        <x:v>-3.55</x:v>
      </x:c>
      <x:c r="H4865" s="23" t="n">
        <x:v>2.410666316820122e-7</x:v>
      </x:c>
      <x:c r="I4865" s="23" t="n">
        <x:v>0.9999886797544814</x:v>
      </x:c>
      <x:c r="J4865" s="2" t="n">
        <x:v>1</x:v>
      </x:c>
      <x:c r="K4865" s="2"/>
      <x:c r="L4865" s="2"/>
    </x:row>
    <x:row r="4866" ht="22" customHeight="1">
      <x:c r="A4866" s="2"/>
      <x:c r="B4866" s="2" t="n">
        <x:v>4833</x:v>
      </x:c>
      <x:c r="C4866" s="2" t="str">
        <x:v>85232C</x:v>
      </x:c>
      <x:c r="D4866" s="2" t="str">
        <x:v>RUSSIAN FOLKART STACKING TINS</x:v>
      </x:c>
      <x:c r="E4866" s="11" t="n">
        <x:v>4.95</x:v>
      </x:c>
      <x:c r="F4866" s="11" t="n">
        <x:v>0</x:v>
      </x:c>
      <x:c r="G4866" s="11" t="n">
        <x:v>4.95</x:v>
      </x:c>
      <x:c r="H4866" s="23" t="n">
        <x:v>2.410666316820122e-7</x:v>
      </x:c>
      <x:c r="I4866" s="23" t="n">
        <x:v>0.999988920821113</x:v>
      </x:c>
      <x:c r="J4866" s="2" t="n">
        <x:v>1</x:v>
      </x:c>
      <x:c r="K4866" s="2"/>
      <x:c r="L4866" s="2"/>
    </x:row>
    <x:row r="4867" ht="22" customHeight="1">
      <x:c r="A4867" s="2"/>
      <x:c r="B4867" s="2" t="n">
        <x:v>4834</x:v>
      </x:c>
      <x:c r="C4867" s="2" t="str">
        <x:v>85043</x:v>
      </x:c>
      <x:c r="D4867" s="2" t="str">
        <x:v>RED HEART CANDY POP LIGHTS</x:v>
      </x:c>
      <x:c r="E4867" s="11" t="n">
        <x:v>4.95</x:v>
      </x:c>
      <x:c r="F4867" s="11" t="n">
        <x:v>14.850000000000001</x:v>
      </x:c>
      <x:c r="G4867" s="11" t="n">
        <x:v>-9.9</x:v>
      </x:c>
      <x:c r="H4867" s="23" t="n">
        <x:v>2.410666316820122e-7</x:v>
      </x:c>
      <x:c r="I4867" s="23" t="n">
        <x:v>0.9999891618877447</x:v>
      </x:c>
      <x:c r="J4867" s="2" t="n">
        <x:v>1</x:v>
      </x:c>
      <x:c r="K4867" s="2"/>
      <x:c r="L4867" s="2"/>
    </x:row>
    <x:row r="4868" ht="22" customHeight="1">
      <x:c r="A4868" s="2"/>
      <x:c r="B4868" s="2" t="n">
        <x:v>4835</x:v>
      </x:c>
      <x:c r="C4868" s="2" t="str">
        <x:v>84971l</x:v>
      </x:c>
      <x:c r="D4868" s="2" t="str">
        <x:v>LARGE HEART FLOWERS HOOK   </x:v>
      </x:c>
      <x:c r="E4868" s="11" t="n">
        <x:v>4.92</x:v>
      </x:c>
      <x:c r="F4868" s="11" t="n">
        <x:v>0</x:v>
      </x:c>
      <x:c r="G4868" s="11" t="n">
        <x:v>4.92</x:v>
      </x:c>
      <x:c r="H4868" s="23" t="n">
        <x:v>2.396056217930303e-7</x:v>
      </x:c>
      <x:c r="I4868" s="23" t="n">
        <x:v>0.9999894014933665</x:v>
      </x:c>
      <x:c r="J4868" s="2" t="n">
        <x:v>1</x:v>
      </x:c>
      <x:c r="K4868" s="2"/>
      <x:c r="L4868" s="2"/>
    </x:row>
    <x:row r="4869" ht="22" customHeight="1">
      <x:c r="A4869" s="2"/>
      <x:c r="B4869" s="2" t="n">
        <x:v>4836</x:v>
      </x:c>
      <x:c r="C4869" s="2" t="str">
        <x:v>85049d</x:v>
      </x:c>
      <x:c r="D4869" s="2" t="str">
        <x:v>BRIGHT BLUES RIBBONS </x:v>
      </x:c>
      <x:c r="E4869" s="11" t="n">
        <x:v>4.92</x:v>
      </x:c>
      <x:c r="F4869" s="11" t="n">
        <x:v>0</x:v>
      </x:c>
      <x:c r="G4869" s="11" t="n">
        <x:v>4.92</x:v>
      </x:c>
      <x:c r="H4869" s="23" t="n">
        <x:v>2.396056217930303e-7</x:v>
      </x:c>
      <x:c r="I4869" s="23" t="n">
        <x:v>0.9999896410989882</x:v>
      </x:c>
      <x:c r="J4869" s="2" t="n">
        <x:v>2</x:v>
      </x:c>
      <x:c r="K4869" s="2"/>
      <x:c r="L4869" s="2"/>
    </x:row>
    <x:row r="4870" ht="22" customHeight="1">
      <x:c r="A4870" s="2"/>
      <x:c r="B4870" s="2" t="n">
        <x:v>4837</x:v>
      </x:c>
      <x:c r="C4870" s="2" t="str">
        <x:v>90214U</x:v>
      </x:c>
      <x:c r="D4870" s="2" t="str">
        <x:v>LETTER "U" BLING KEY RING</x:v>
      </x:c>
      <x:c r="E4870" s="11" t="n">
        <x:v>4.7299999999999995</x:v>
      </x:c>
      <x:c r="F4870" s="11" t="n">
        <x:v>0</x:v>
      </x:c>
      <x:c r="G4870" s="11" t="n">
        <x:v>4.7299999999999995</x:v>
      </x:c>
      <x:c r="H4870" s="23" t="n">
        <x:v>2.3035255916281163e-7</x:v>
      </x:c>
      <x:c r="I4870" s="23" t="n">
        <x:v>0.9999898714515474</x:v>
      </x:c>
      <x:c r="J4870" s="2" t="n">
        <x:v>2</x:v>
      </x:c>
      <x:c r="K4870" s="2"/>
      <x:c r="L4870" s="2"/>
    </x:row>
    <x:row r="4871" ht="22" customHeight="1">
      <x:c r="A4871" s="2"/>
      <x:c r="B4871" s="2" t="n">
        <x:v>4838</x:v>
      </x:c>
      <x:c r="C4871" s="2" t="str">
        <x:v>45014</x:v>
      </x:c>
      <x:c r="D4871" s="2" t="str">
        <x:v>FOLDING SHIRT TIDY</x:v>
      </x:c>
      <x:c r="E4871" s="11" t="n">
        <x:v>4.65</x:v>
      </x:c>
      <x:c r="F4871" s="11" t="n">
        <x:v>0</x:v>
      </x:c>
      <x:c r="G4871" s="11" t="n">
        <x:v>4.65</x:v>
      </x:c>
      <x:c r="H4871" s="23" t="n">
        <x:v>2.2645653279219328e-7</x:v>
      </x:c>
      <x:c r="I4871" s="23" t="n">
        <x:v>0.9999900979080801</x:v>
      </x:c>
      <x:c r="J4871" s="2" t="n">
        <x:v>1</x:v>
      </x:c>
      <x:c r="K4871" s="2"/>
      <x:c r="L4871" s="2"/>
    </x:row>
    <x:row r="4872" ht="22" customHeight="1">
      <x:c r="A4872" s="2"/>
      <x:c r="B4872" s="2" t="n">
        <x:v>4839</x:v>
      </x:c>
      <x:c r="C4872" s="2" t="str">
        <x:v>81953B</x:v>
      </x:c>
      <x:c r="D4872" s="2" t="str">
        <x:v>ROUND BLUE CLOCK WITH SUCKER</x:v>
      </x:c>
      <x:c r="E4872" s="11" t="n">
        <x:v>4.64</x:v>
      </x:c>
      <x:c r="F4872" s="11" t="n">
        <x:v>0</x:v>
      </x:c>
      <x:c r="G4872" s="11" t="n">
        <x:v>4.64</x:v>
      </x:c>
      <x:c r="H4872" s="23" t="n">
        <x:v>2.2596952949586597e-7</x:v>
      </x:c>
      <x:c r="I4872" s="23" t="n">
        <x:v>0.9999903238776097</x:v>
      </x:c>
      <x:c r="J4872" s="2" t="n">
        <x:v>6</x:v>
      </x:c>
      <x:c r="K4872" s="2"/>
      <x:c r="L4872" s="2"/>
    </x:row>
    <x:row r="4873" ht="22" customHeight="1">
      <x:c r="A4873" s="2"/>
      <x:c r="B4873" s="2" t="n">
        <x:v>4840</x:v>
      </x:c>
      <x:c r="C4873" s="2" t="str">
        <x:v>79151B</x:v>
      </x:c>
      <x:c r="D4873" s="2" t="str">
        <x:v>SILICON CUBE 25W, BLUE</x:v>
      </x:c>
      <x:c r="E4873" s="11" t="n">
        <x:v>4.62</x:v>
      </x:c>
      <x:c r="F4873" s="11" t="n">
        <x:v>0</x:v>
      </x:c>
      <x:c r="G4873" s="11" t="n">
        <x:v>4.62</x:v>
      </x:c>
      <x:c r="H4873" s="23" t="n">
        <x:v>2.2499552290321137e-7</x:v>
      </x:c>
      <x:c r="I4873" s="23" t="n">
        <x:v>0.9999905488731325</x:v>
      </x:c>
      <x:c r="J4873" s="2" t="n">
        <x:v>2</x:v>
      </x:c>
      <x:c r="K4873" s="2"/>
      <x:c r="L4873" s="2"/>
    </x:row>
    <x:row r="4874" ht="22" customHeight="1">
      <x:c r="A4874" s="2"/>
      <x:c r="B4874" s="2" t="n">
        <x:v>4841</x:v>
      </x:c>
      <x:c r="C4874" s="2" t="str">
        <x:v>72529w</x:v>
      </x:c>
      <x:c r="D4874" s="2" t="str">
        <x:v>WHITE ADVENT CANDLE</x:v>
      </x:c>
      <x:c r="E4874" s="11" t="n">
        <x:v>4.3</x:v>
      </x:c>
      <x:c r="F4874" s="11" t="n">
        <x:v>0</x:v>
      </x:c>
      <x:c r="G4874" s="11" t="n">
        <x:v>4.3</x:v>
      </x:c>
      <x:c r="H4874" s="23" t="n">
        <x:v>2.0941141742073786e-7</x:v>
      </x:c>
      <x:c r="I4874" s="23" t="n">
        <x:v>0.99999075828455</x:v>
      </x:c>
      <x:c r="J4874" s="2" t="n">
        <x:v>1</x:v>
      </x:c>
      <x:c r="K4874" s="2"/>
      <x:c r="L4874" s="2"/>
    </x:row>
    <x:row r="4875" ht="22" customHeight="1">
      <x:c r="A4875" s="2"/>
      <x:c r="B4875" s="2" t="n">
        <x:v>4842</x:v>
      </x:c>
      <x:c r="C4875" s="2" t="str">
        <x:v>21409</x:v>
      </x:c>
      <x:c r="D4875" s="2" t="str">
        <x:v>SPOTTY COCKEREL DOORSTOP</x:v>
      </x:c>
      <x:c r="E4875" s="11" t="n">
        <x:v>4.25</x:v>
      </x:c>
      <x:c r="F4875" s="11" t="n">
        <x:v>0</x:v>
      </x:c>
      <x:c r="G4875" s="11" t="n">
        <x:v>4.25</x:v>
      </x:c>
      <x:c r="H4875" s="23" t="n">
        <x:v>2.069764009391014e-7</x:v>
      </x:c>
      <x:c r="I4875" s="23" t="n">
        <x:v>0.9999909652609509</x:v>
      </x:c>
      <x:c r="J4875" s="2" t="n">
        <x:v>1</x:v>
      </x:c>
      <x:c r="K4875" s="2"/>
      <x:c r="L4875" s="2"/>
    </x:row>
    <x:row r="4876" ht="22" customHeight="1">
      <x:c r="A4876" s="2"/>
      <x:c r="B4876" s="2" t="n">
        <x:v>4843</x:v>
      </x:c>
      <x:c r="C4876" s="2" t="str">
        <x:v>72752A</x:v>
      </x:c>
      <x:c r="D4876" s="2" t="str">
        <x:v>F.FAIRY,CANDLE IN GLASS,LILY/VALLEY</x:v>
      </x:c>
      <x:c r="E4876" s="11" t="n">
        <x:v>4.25</x:v>
      </x:c>
      <x:c r="F4876" s="11" t="n">
        <x:v>0</x:v>
      </x:c>
      <x:c r="G4876" s="11" t="n">
        <x:v>4.25</x:v>
      </x:c>
      <x:c r="H4876" s="23" t="n">
        <x:v>2.069764009391014e-7</x:v>
      </x:c>
      <x:c r="I4876" s="23" t="n">
        <x:v>0.9999911722373518</x:v>
      </x:c>
      <x:c r="J4876" s="2" t="n">
        <x:v>1</x:v>
      </x:c>
      <x:c r="K4876" s="2"/>
      <x:c r="L4876" s="2"/>
    </x:row>
    <x:row r="4877" ht="22" customHeight="1">
      <x:c r="A4877" s="2"/>
      <x:c r="B4877" s="2" t="n">
        <x:v>4844</x:v>
      </x:c>
      <x:c r="C4877" s="2" t="str">
        <x:v>79157B</x:v>
      </x:c>
      <x:c r="D4877" s="2" t="str">
        <x:v>UBO-LIGHT TRIOBASE BLUE</x:v>
      </x:c>
      <x:c r="E4877" s="11" t="n">
        <x:v>4.25</x:v>
      </x:c>
      <x:c r="F4877" s="11" t="n">
        <x:v>0</x:v>
      </x:c>
      <x:c r="G4877" s="11" t="n">
        <x:v>4.25</x:v>
      </x:c>
      <x:c r="H4877" s="23" t="n">
        <x:v>2.069764009391014e-7</x:v>
      </x:c>
      <x:c r="I4877" s="23" t="n">
        <x:v>0.9999913792137527</x:v>
      </x:c>
      <x:c r="J4877" s="2" t="n">
        <x:v>3</x:v>
      </x:c>
      <x:c r="K4877" s="2"/>
      <x:c r="L4877" s="2"/>
    </x:row>
    <x:row r="4878" ht="22" customHeight="1">
      <x:c r="A4878" s="2"/>
      <x:c r="B4878" s="2" t="n">
        <x:v>4845</x:v>
      </x:c>
      <x:c r="C4878" s="2" t="str">
        <x:v>79157V</x:v>
      </x:c>
      <x:c r="D4878" s="2" t="str">
        <x:v>UBO-LIGHT TRIOBASE PURPLE</x:v>
      </x:c>
      <x:c r="E4878" s="11" t="n">
        <x:v>4.25</x:v>
      </x:c>
      <x:c r="F4878" s="11" t="n">
        <x:v>0</x:v>
      </x:c>
      <x:c r="G4878" s="11" t="n">
        <x:v>4.25</x:v>
      </x:c>
      <x:c r="H4878" s="23" t="n">
        <x:v>2.069764009391014e-7</x:v>
      </x:c>
      <x:c r="I4878" s="23" t="n">
        <x:v>0.9999915861901536</x:v>
      </x:c>
      <x:c r="J4878" s="2" t="n">
        <x:v>3</x:v>
      </x:c>
      <x:c r="K4878" s="2"/>
      <x:c r="L4878" s="2"/>
    </x:row>
    <x:row r="4879" ht="22" customHeight="1">
      <x:c r="A4879" s="2"/>
      <x:c r="B4879" s="2" t="n">
        <x:v>4846</x:v>
      </x:c>
      <x:c r="C4879" s="2" t="str">
        <x:v>47594a</x:v>
      </x:c>
      <x:c r="D4879" s="2" t="str">
        <x:v>CAROUSEL DESIGN WASHBAG</x:v>
      </x:c>
      <x:c r="E4879" s="11" t="n">
        <x:v>4.21</x:v>
      </x:c>
      <x:c r="F4879" s="11" t="n">
        <x:v>0</x:v>
      </x:c>
      <x:c r="G4879" s="11" t="n">
        <x:v>4.21</x:v>
      </x:c>
      <x:c r="H4879" s="23" t="n">
        <x:v>2.0502838775379217e-7</x:v>
      </x:c>
      <x:c r="I4879" s="23" t="n">
        <x:v>0.9999917912185413</x:v>
      </x:c>
      <x:c r="J4879" s="2" t="n">
        <x:v>1</x:v>
      </x:c>
      <x:c r="K4879" s="2"/>
      <x:c r="L4879" s="2"/>
    </x:row>
    <x:row r="4880" ht="22" customHeight="1">
      <x:c r="A4880" s="2"/>
      <x:c r="B4880" s="2" t="n">
        <x:v>4847</x:v>
      </x:c>
      <x:c r="C4880" s="2" t="str">
        <x:v>84255A</x:v>
      </x:c>
      <x:c r="D4880" s="2" t="str">
        <x:v>PINK GLASS COCKTAIL LAMP</x:v>
      </x:c>
      <x:c r="E4880" s="11" t="n">
        <x:v>4.2</x:v>
      </x:c>
      <x:c r="F4880" s="11" t="n">
        <x:v>0</x:v>
      </x:c>
      <x:c r="G4880" s="11" t="n">
        <x:v>4.2</x:v>
      </x:c>
      <x:c r="H4880" s="23" t="n">
        <x:v>2.045413844574649e-7</x:v>
      </x:c>
      <x:c r="I4880" s="23" t="n">
        <x:v>0.9999919957599258</x:v>
      </x:c>
      <x:c r="J4880" s="2" t="n">
        <x:v>2</x:v>
      </x:c>
      <x:c r="K4880" s="2"/>
      <x:c r="L4880" s="2"/>
    </x:row>
    <x:row r="4881" ht="22" customHeight="1">
      <x:c r="A4881" s="2"/>
      <x:c r="B4881" s="2" t="n">
        <x:v>4848</x:v>
      </x:c>
      <x:c r="C4881" s="2" t="str">
        <x:v>46776e</x:v>
      </x:c>
      <x:c r="D4881" s="2" t="str">
        <x:v>WOVEN CANDY CUSHION COVER </x:v>
      </x:c>
      <x:c r="E4881" s="11" t="n">
        <x:v>4.13</x:v>
      </x:c>
      <x:c r="F4881" s="11" t="n">
        <x:v>0</x:v>
      </x:c>
      <x:c r="G4881" s="11" t="n">
        <x:v>4.13</x:v>
      </x:c>
      <x:c r="H4881" s="23" t="n">
        <x:v>2.011323613831738e-7</x:v>
      </x:c>
      <x:c r="I4881" s="23" t="n">
        <x:v>0.9999921968922872</x:v>
      </x:c>
      <x:c r="J4881" s="2" t="n">
        <x:v>1</x:v>
      </x:c>
      <x:c r="K4881" s="2"/>
      <x:c r="L4881" s="2"/>
    </x:row>
    <x:row r="4882" ht="22" customHeight="1">
      <x:c r="A4882" s="2"/>
      <x:c r="B4882" s="2" t="n">
        <x:v>4849</x:v>
      </x:c>
      <x:c r="C4882" s="2" t="str">
        <x:v>46776b</x:v>
      </x:c>
      <x:c r="D4882" s="2" t="str">
        <x:v>WOVEN BERRIES CUSHION COVER </x:v>
      </x:c>
      <x:c r="E4882" s="11" t="n">
        <x:v>4.13</x:v>
      </x:c>
      <x:c r="F4882" s="11" t="n">
        <x:v>0</x:v>
      </x:c>
      <x:c r="G4882" s="11" t="n">
        <x:v>4.13</x:v>
      </x:c>
      <x:c r="H4882" s="23" t="n">
        <x:v>2.011323613831738e-7</x:v>
      </x:c>
      <x:c r="I4882" s="23" t="n">
        <x:v>0.9999923980246487</x:v>
      </x:c>
      <x:c r="J4882" s="2" t="n">
        <x:v>1</x:v>
      </x:c>
      <x:c r="K4882" s="2"/>
      <x:c r="L4882" s="2"/>
    </x:row>
    <x:row r="4883" ht="22" customHeight="1">
      <x:c r="A4883" s="2"/>
      <x:c r="B4883" s="2" t="n">
        <x:v>4850</x:v>
      </x:c>
      <x:c r="C4883" s="2" t="str">
        <x:v>37432</x:v>
      </x:c>
      <x:c r="D4883" s="2" t="str">
        <x:v>MUG PINK AND PURPLE ARABIC DESIGN</x:v>
      </x:c>
      <x:c r="E4883" s="11" t="n">
        <x:v>3.9000000000000004</x:v>
      </x:c>
      <x:c r="F4883" s="11" t="n">
        <x:v>0</x:v>
      </x:c>
      <x:c r="G4883" s="11" t="n">
        <x:v>3.9000000000000004</x:v>
      </x:c>
      <x:c r="H4883" s="23" t="n">
        <x:v>1.89931285567646e-7</x:v>
      </x:c>
      <x:c r="I4883" s="23" t="n">
        <x:v>0.9999925879559343</x:v>
      </x:c>
      <x:c r="J4883" s="2" t="n">
        <x:v>1</x:v>
      </x:c>
      <x:c r="K4883" s="2"/>
      <x:c r="L4883" s="2"/>
    </x:row>
    <x:row r="4884" ht="22" customHeight="1">
      <x:c r="A4884" s="2"/>
      <x:c r="B4884" s="2" t="n">
        <x:v>4851</x:v>
      </x:c>
      <x:c r="C4884" s="2" t="str">
        <x:v>72084B</x:v>
      </x:c>
      <x:c r="D4884" s="2" t="str">
        <x:v>CHOCOLATE ICE CREAM CANDLE</x:v>
      </x:c>
      <x:c r="E4884" s="11" t="n">
        <x:v>3.9</x:v>
      </x:c>
      <x:c r="F4884" s="11" t="n">
        <x:v>0</x:v>
      </x:c>
      <x:c r="G4884" s="11" t="n">
        <x:v>3.9</x:v>
      </x:c>
      <x:c r="H4884" s="23" t="n">
        <x:v>1.8993128556764597e-7</x:v>
      </x:c>
      <x:c r="I4884" s="23" t="n">
        <x:v>0.9999927778872199</x:v>
      </x:c>
      <x:c r="J4884" s="2" t="n">
        <x:v>1</x:v>
      </x:c>
      <x:c r="K4884" s="2"/>
      <x:c r="L4884" s="2"/>
    </x:row>
    <x:row r="4885" ht="22" customHeight="1">
      <x:c r="A4885" s="2"/>
      <x:c r="B4885" s="2" t="n">
        <x:v>4852</x:v>
      </x:c>
      <x:c r="C4885" s="2" t="str">
        <x:v>16010</x:v>
      </x:c>
      <x:c r="D4885" s="2" t="str">
        <x:v>FOLDING CAMPING SCISSOR W/KNIF &amp; S</x:v>
      </x:c>
      <x:c r="E4885" s="11" t="n">
        <x:v>3.84</x:v>
      </x:c>
      <x:c r="F4885" s="11" t="n">
        <x:v>0</x:v>
      </x:c>
      <x:c r="G4885" s="11" t="n">
        <x:v>3.84</x:v>
      </x:c>
      <x:c r="H4885" s="23" t="n">
        <x:v>1.8700926578968219e-7</x:v>
      </x:c>
      <x:c r="I4885" s="23" t="n">
        <x:v>0.9999929648964856</x:v>
      </x:c>
      <x:c r="J4885" s="2" t="n">
        <x:v>4</x:v>
      </x:c>
      <x:c r="K4885" s="2"/>
      <x:c r="L4885" s="2"/>
    </x:row>
    <x:row r="4886" ht="22" customHeight="1">
      <x:c r="A4886" s="2"/>
      <x:c r="B4886" s="2" t="n">
        <x:v>4853</x:v>
      </x:c>
      <x:c r="C4886" s="2" t="str">
        <x:v>35995</x:v>
      </x:c>
      <x:c r="D4886" s="2" t="str">
        <x:v>SET/6 BLACK GLITTER REINDEER CANDLE</x:v>
      </x:c>
      <x:c r="E4886" s="11" t="n">
        <x:v>3.7800000000000002</x:v>
      </x:c>
      <x:c r="F4886" s="11" t="n">
        <x:v>0</x:v>
      </x:c>
      <x:c r="G4886" s="11" t="n">
        <x:v>3.7800000000000002</x:v>
      </x:c>
      <x:c r="H4886" s="23" t="n">
        <x:v>1.840872460117184e-7</x:v>
      </x:c>
      <x:c r="I4886" s="23" t="n">
        <x:v>0.9999931489837316</x:v>
      </x:c>
      <x:c r="J4886" s="2" t="n">
        <x:v>5</x:v>
      </x:c>
      <x:c r="K4886" s="2"/>
      <x:c r="L4886" s="2"/>
    </x:row>
    <x:row r="4887" ht="22" customHeight="1">
      <x:c r="A4887" s="2"/>
      <x:c r="B4887" s="2" t="n">
        <x:v>4854</x:v>
      </x:c>
      <x:c r="C4887" s="2" t="str">
        <x:v>35974</x:v>
      </x:c>
      <x:c r="D4887" s="2" t="str">
        <x:v>S/6 CHRISTMAS TREE PLACE SETTING</x:v>
      </x:c>
      <x:c r="E4887" s="11" t="n">
        <x:v>3.75</x:v>
      </x:c>
      <x:c r="F4887" s="11" t="n">
        <x:v>0</x:v>
      </x:c>
      <x:c r="G4887" s="11" t="n">
        <x:v>3.75</x:v>
      </x:c>
      <x:c r="H4887" s="23" t="n">
        <x:v>1.826262361227365e-7</x:v>
      </x:c>
      <x:c r="I4887" s="23" t="n">
        <x:v>0.9999933316099677</x:v>
      </x:c>
      <x:c r="J4887" s="2" t="n">
        <x:v>1</x:v>
      </x:c>
      <x:c r="K4887" s="2"/>
      <x:c r="L4887" s="2"/>
    </x:row>
    <x:row r="4888" ht="22" customHeight="1">
      <x:c r="A4888" s="2"/>
      <x:c r="B4888" s="2" t="n">
        <x:v>4855</x:v>
      </x:c>
      <x:c r="C4888" s="2" t="str">
        <x:v>90004A</x:v>
      </x:c>
      <x:c r="D4888" s="2" t="str">
        <x:v>JADE GREEN PAIR ENAMEL HAIR SLIDES</x:v>
      </x:c>
      <x:c r="E4888" s="11" t="n">
        <x:v>3.75</x:v>
      </x:c>
      <x:c r="F4888" s="11" t="n">
        <x:v>0</x:v>
      </x:c>
      <x:c r="G4888" s="11" t="n">
        <x:v>3.75</x:v>
      </x:c>
      <x:c r="H4888" s="23" t="n">
        <x:v>1.826262361227365e-7</x:v>
      </x:c>
      <x:c r="I4888" s="23" t="n">
        <x:v>0.9999935142362039</x:v>
      </x:c>
      <x:c r="J4888" s="2" t="n">
        <x:v>1</x:v>
      </x:c>
      <x:c r="K4888" s="2"/>
      <x:c r="L4888" s="2"/>
    </x:row>
    <x:row r="4889" ht="22" customHeight="1">
      <x:c r="A4889" s="2"/>
      <x:c r="B4889" s="2" t="n">
        <x:v>4856</x:v>
      </x:c>
      <x:c r="C4889" s="2" t="str">
        <x:v>40046C</x:v>
      </x:c>
      <x:c r="D4889" s="2" t="str">
        <x:v>PINK BUTTERFLY PAPER LAMPSHADE</x:v>
      </x:c>
      <x:c r="E4889" s="11" t="n">
        <x:v>3.75</x:v>
      </x:c>
      <x:c r="F4889" s="11" t="n">
        <x:v>0</x:v>
      </x:c>
      <x:c r="G4889" s="11" t="n">
        <x:v>3.75</x:v>
      </x:c>
      <x:c r="H4889" s="23" t="n">
        <x:v>1.826262361227365e-7</x:v>
      </x:c>
      <x:c r="I4889" s="23" t="n">
        <x:v>0.99999369686244</x:v>
      </x:c>
      <x:c r="J4889" s="2" t="n">
        <x:v>3</x:v>
      </x:c>
      <x:c r="K4889" s="2"/>
      <x:c r="L4889" s="2"/>
    </x:row>
    <x:row r="4890" ht="22" customHeight="1">
      <x:c r="A4890" s="2"/>
      <x:c r="B4890" s="2" t="n">
        <x:v>4857</x:v>
      </x:c>
      <x:c r="C4890" s="2" t="str">
        <x:v>84731</x:v>
      </x:c>
      <x:c r="D4890" s="2" t="str">
        <x:v>3 BIRDS CANVAS SCREEN</x:v>
      </x:c>
      <x:c r="E4890" s="11" t="n">
        <x:v>3.69</x:v>
      </x:c>
      <x:c r="F4890" s="11" t="n">
        <x:v>0</x:v>
      </x:c>
      <x:c r="G4890" s="11" t="n">
        <x:v>3.69</x:v>
      </x:c>
      <x:c r="H4890" s="23" t="n">
        <x:v>1.797042163447727e-7</x:v>
      </x:c>
      <x:c r="I4890" s="23" t="n">
        <x:v>0.9999938765666564</x:v>
      </x:c>
      <x:c r="J4890" s="2" t="n">
        <x:v>3</x:v>
      </x:c>
      <x:c r="K4890" s="2"/>
      <x:c r="L4890" s="2"/>
    </x:row>
    <x:row r="4891" ht="22" customHeight="1">
      <x:c r="A4891" s="2"/>
      <x:c r="B4891" s="2" t="n">
        <x:v>4858</x:v>
      </x:c>
      <x:c r="C4891" s="2" t="str">
        <x:v>35818C</x:v>
      </x:c>
      <x:c r="D4891" s="2" t="str">
        <x:v>ACRYLIC JEWEL ICICLE, CLEAR </x:v>
      </x:c>
      <x:c r="E4891" s="11" t="n">
        <x:v>3.43</x:v>
      </x:c>
      <x:c r="F4891" s="11" t="n">
        <x:v>0</x:v>
      </x:c>
      <x:c r="G4891" s="11" t="n">
        <x:v>3.43</x:v>
      </x:c>
      <x:c r="H4891" s="23" t="n">
        <x:v>1.67042130640263e-7</x:v>
      </x:c>
      <x:c r="I4891" s="23" t="n">
        <x:v>0.9999940436087871</x:v>
      </x:c>
      <x:c r="J4891" s="2" t="n">
        <x:v>1</x:v>
      </x:c>
      <x:c r="K4891" s="2"/>
      <x:c r="L4891" s="2"/>
    </x:row>
    <x:row r="4892" ht="22" customHeight="1">
      <x:c r="A4892" s="2"/>
      <x:c r="B4892" s="2" t="n">
        <x:v>4859</x:v>
      </x:c>
      <x:c r="C4892" s="2" t="str">
        <x:v>21081</x:v>
      </x:c>
      <x:c r="D4892" s="2" t="str">
        <x:v>SET/20 POSIES PAPER NAPKINS</x:v>
      </x:c>
      <x:c r="E4892" s="11" t="n">
        <x:v>3.4</x:v>
      </x:c>
      <x:c r="F4892" s="11" t="n">
        <x:v>0</x:v>
      </x:c>
      <x:c r="G4892" s="11" t="n">
        <x:v>3.4</x:v>
      </x:c>
      <x:c r="H4892" s="23" t="n">
        <x:v>1.655811207512811e-7</x:v>
      </x:c>
      <x:c r="I4892" s="23" t="n">
        <x:v>0.9999942091899078</x:v>
      </x:c>
      <x:c r="J4892" s="2" t="n">
        <x:v>4</x:v>
      </x:c>
      <x:c r="K4892" s="2"/>
      <x:c r="L4892" s="2"/>
    </x:row>
    <x:row r="4893" ht="22" customHeight="1">
      <x:c r="A4893" s="2"/>
      <x:c r="B4893" s="2" t="n">
        <x:v>4860</x:v>
      </x:c>
      <x:c r="C4893" s="2" t="str">
        <x:v>84559d</x:v>
      </x:c>
      <x:c r="D4893" s="2" t="str">
        <x:v>3D SHEET OF SEA WORLD STICKERS</x:v>
      </x:c>
      <x:c r="E4893" s="11" t="n">
        <x:v>3.38</x:v>
      </x:c>
      <x:c r="F4893" s="11" t="n">
        <x:v>0</x:v>
      </x:c>
      <x:c r="G4893" s="11" t="n">
        <x:v>3.38</x:v>
      </x:c>
      <x:c r="H4893" s="23" t="n">
        <x:v>1.646071141586265e-7</x:v>
      </x:c>
      <x:c r="I4893" s="23" t="n">
        <x:v>0.9999943737970219</x:v>
      </x:c>
      <x:c r="J4893" s="2" t="n">
        <x:v>1</x:v>
      </x:c>
      <x:c r="K4893" s="2"/>
      <x:c r="L4893" s="2"/>
    </x:row>
    <x:row r="4894" ht="22" customHeight="1">
      <x:c r="A4894" s="2"/>
      <x:c r="B4894" s="2" t="n">
        <x:v>4861</x:v>
      </x:c>
      <x:c r="C4894" s="2" t="str">
        <x:v>23643</x:v>
      </x:c>
      <x:c r="D4894" s="2" t="str">
        <x:v>SET 10 CARDS CHRISTMAS BAUBLE 16954</x:v>
      </x:c>
      <x:c r="E4894" s="11" t="n">
        <x:v>3.33</x:v>
      </x:c>
      <x:c r="F4894" s="11" t="n">
        <x:v>0</x:v>
      </x:c>
      <x:c r="G4894" s="11" t="n">
        <x:v>3.33</x:v>
      </x:c>
      <x:c r="H4894" s="23" t="n">
        <x:v>1.6217209767699e-7</x:v>
      </x:c>
      <x:c r="I4894" s="23" t="n">
        <x:v>0.9999945359691196</x:v>
      </x:c>
      <x:c r="J4894" s="2" t="n">
        <x:v>1</x:v>
      </x:c>
      <x:c r="K4894" s="2"/>
      <x:c r="L4894" s="2"/>
    </x:row>
    <x:row r="4895" ht="22" customHeight="1">
      <x:c r="A4895" s="2"/>
      <x:c r="B4895" s="2" t="n">
        <x:v>4862</x:v>
      </x:c>
      <x:c r="C4895" s="2" t="str">
        <x:v>20683</x:v>
      </x:c>
      <x:c r="D4895" s="2" t="str">
        <x:v>RAIN GIRL CHILDS UMBRELLA</x:v>
      </x:c>
      <x:c r="E4895" s="11" t="n">
        <x:v>3.25</x:v>
      </x:c>
      <x:c r="F4895" s="11" t="n">
        <x:v>0</x:v>
      </x:c>
      <x:c r="G4895" s="11" t="n">
        <x:v>3.25</x:v>
      </x:c>
      <x:c r="H4895" s="23" t="n">
        <x:v>1.5827607130637163e-7</x:v>
      </x:c>
      <x:c r="I4895" s="23" t="n">
        <x:v>0.9999946942451909</x:v>
      </x:c>
      <x:c r="J4895" s="2" t="n">
        <x:v>1</x:v>
      </x:c>
      <x:c r="K4895" s="2"/>
      <x:c r="L4895" s="2"/>
    </x:row>
    <x:row r="4896" ht="22" customHeight="1">
      <x:c r="A4896" s="2"/>
      <x:c r="B4896" s="2" t="n">
        <x:v>4863</x:v>
      </x:c>
      <x:c r="C4896" s="2" t="str">
        <x:v>84985b</x:v>
      </x:c>
      <x:c r="D4896" s="2" t="str">
        <x:v>SET OF 72 BLACK PAPER DOILIES </x:v>
      </x:c>
      <x:c r="E4896" s="11" t="n">
        <x:v>2.98</x:v>
      </x:c>
      <x:c r="F4896" s="11" t="n">
        <x:v>0</x:v>
      </x:c>
      <x:c r="G4896" s="11" t="n">
        <x:v>2.98</x:v>
      </x:c>
      <x:c r="H4896" s="23" t="n">
        <x:v>1.4512698230553462e-7</x:v>
      </x:c>
      <x:c r="I4896" s="23" t="n">
        <x:v>0.9999948393721733</x:v>
      </x:c>
      <x:c r="J4896" s="2" t="n">
        <x:v>1</x:v>
      </x:c>
      <x:c r="K4896" s="2"/>
      <x:c r="L4896" s="2"/>
    </x:row>
    <x:row r="4897" ht="22" customHeight="1">
      <x:c r="A4897" s="2"/>
      <x:c r="B4897" s="2" t="n">
        <x:v>4864</x:v>
      </x:c>
      <x:c r="C4897" s="2" t="str">
        <x:v>79301</x:v>
      </x:c>
      <x:c r="D4897" s="2" t="str">
        <x:v>FEATHER HEART LIGHTS</x:v>
      </x:c>
      <x:c r="E4897" s="11" t="n">
        <x:v>2.95</x:v>
      </x:c>
      <x:c r="F4897" s="11" t="n">
        <x:v>22.95</x:v>
      </x:c>
      <x:c r="G4897" s="11" t="n">
        <x:v>-20</x:v>
      </x:c>
      <x:c r="H4897" s="23" t="n">
        <x:v>1.4366597241655274e-7</x:v>
      </x:c>
      <x:c r="I4897" s="23" t="n">
        <x:v>0.9999949830381457</x:v>
      </x:c>
      <x:c r="J4897" s="2" t="n">
        <x:v>1</x:v>
      </x:c>
      <x:c r="K4897" s="2"/>
      <x:c r="L4897" s="2"/>
    </x:row>
    <x:row r="4898" ht="22" customHeight="1">
      <x:c r="A4898" s="2"/>
      <x:c r="B4898" s="2" t="n">
        <x:v>4865</x:v>
      </x:c>
      <x:c r="C4898" s="2" t="str">
        <x:v>20885</x:v>
      </x:c>
      <x:c r="D4898" s="2" t="str">
        <x:v>BOX OF 3 PEBBLE CANDLES</x:v>
      </x:c>
      <x:c r="E4898" s="11" t="n">
        <x:v>2.95</x:v>
      </x:c>
      <x:c r="F4898" s="11" t="n">
        <x:v>2.95</x:v>
      </x:c>
      <x:c r="G4898" s="11" t="n">
        <x:v>0</x:v>
      </x:c>
      <x:c r="H4898" s="23" t="n">
        <x:v>1.4366597241655274e-7</x:v>
      </x:c>
      <x:c r="I4898" s="23" t="n">
        <x:v>0.9999951267041182</x:v>
      </x:c>
      <x:c r="J4898" s="2" t="n">
        <x:v>1</x:v>
      </x:c>
      <x:c r="K4898" s="2"/>
      <x:c r="L4898" s="2"/>
    </x:row>
    <x:row r="4899" ht="22" customHeight="1">
      <x:c r="A4899" s="2"/>
      <x:c r="B4899" s="2" t="n">
        <x:v>4866</x:v>
      </x:c>
      <x:c r="C4899" s="2" t="str">
        <x:v>23602</x:v>
      </x:c>
      <x:c r="D4899" s="2" t="str">
        <x:v>SET 10 CARDS 3 WISE MEN 17107</x:v>
      </x:c>
      <x:c r="E4899" s="11" t="n">
        <x:v>2.91</x:v>
      </x:c>
      <x:c r="F4899" s="11" t="n">
        <x:v>0</x:v>
      </x:c>
      <x:c r="G4899" s="11" t="n">
        <x:v>2.91</x:v>
      </x:c>
      <x:c r="H4899" s="23" t="n">
        <x:v>1.4171795923124352e-7</x:v>
      </x:c>
      <x:c r="I4899" s="23" t="n">
        <x:v>0.9999952684220774</x:v>
      </x:c>
      <x:c r="J4899" s="2" t="n">
        <x:v>1</x:v>
      </x:c>
      <x:c r="K4899" s="2"/>
      <x:c r="L4899" s="2"/>
    </x:row>
    <x:row r="4900" ht="22" customHeight="1">
      <x:c r="A4900" s="2"/>
      <x:c r="B4900" s="2" t="n">
        <x:v>4867</x:v>
      </x:c>
      <x:c r="C4900" s="2" t="str">
        <x:v>23609</x:v>
      </x:c>
      <x:c r="D4900" s="2" t="str">
        <x:v>SET 10 CARDS SNOWY ROBIN 17099</x:v>
      </x:c>
      <x:c r="E4900" s="11" t="n">
        <x:v>2.91</x:v>
      </x:c>
      <x:c r="F4900" s="11" t="n">
        <x:v>0</x:v>
      </x:c>
      <x:c r="G4900" s="11" t="n">
        <x:v>2.91</x:v>
      </x:c>
      <x:c r="H4900" s="23" t="n">
        <x:v>1.4171795923124352e-7</x:v>
      </x:c>
      <x:c r="I4900" s="23" t="n">
        <x:v>0.9999954101400367</x:v>
      </x:c>
      <x:c r="J4900" s="2" t="n">
        <x:v>1</x:v>
      </x:c>
      <x:c r="K4900" s="2"/>
      <x:c r="L4900" s="2"/>
    </x:row>
    <x:row r="4901" ht="22" customHeight="1">
      <x:c r="A4901" s="2"/>
      <x:c r="B4901" s="2" t="n">
        <x:v>4868</x:v>
      </x:c>
      <x:c r="C4901" s="2" t="str">
        <x:v>23628</x:v>
      </x:c>
      <x:c r="D4901" s="2" t="str">
        <x:v>SET 10 CARDS TRIANGLE ICONS  17220</x:v>
      </x:c>
      <x:c r="E4901" s="11" t="n">
        <x:v>2.91</x:v>
      </x:c>
      <x:c r="F4901" s="11" t="n">
        <x:v>0</x:v>
      </x:c>
      <x:c r="G4901" s="11" t="n">
        <x:v>2.91</x:v>
      </x:c>
      <x:c r="H4901" s="23" t="n">
        <x:v>1.4171795923124352e-7</x:v>
      </x:c>
      <x:c r="I4901" s="23" t="n">
        <x:v>0.9999955518579959</x:v>
      </x:c>
      <x:c r="J4901" s="2" t="n">
        <x:v>1</x:v>
      </x:c>
      <x:c r="K4901" s="2"/>
      <x:c r="L4901" s="2"/>
    </x:row>
    <x:row r="4902" ht="22" customHeight="1">
      <x:c r="A4902" s="2"/>
      <x:c r="B4902" s="2" t="n">
        <x:v>4869</x:v>
      </x:c>
      <x:c r="C4902" s="2" t="str">
        <x:v>90183c</x:v>
      </x:c>
      <x:c r="D4902" s="2" t="str">
        <x:v>BLACK DROP EARRINGS W LONG BEADS</x:v>
      </x:c>
      <x:c r="E4902" s="11" t="n">
        <x:v>2.9</x:v>
      </x:c>
      <x:c r="F4902" s="11" t="n">
        <x:v>0</x:v>
      </x:c>
      <x:c r="G4902" s="11" t="n">
        <x:v>2.9</x:v>
      </x:c>
      <x:c r="H4902" s="23" t="n">
        <x:v>1.4123095593491624e-7</x:v>
      </x:c>
      <x:c r="I4902" s="23" t="n">
        <x:v>0.9999956930889519</x:v>
      </x:c>
      <x:c r="J4902" s="2" t="n">
        <x:v>1</x:v>
      </x:c>
      <x:c r="K4902" s="2"/>
      <x:c r="L4902" s="2"/>
    </x:row>
    <x:row r="4903" ht="22" customHeight="1">
      <x:c r="A4903" s="2"/>
      <x:c r="B4903" s="2" t="n">
        <x:v>4870</x:v>
      </x:c>
      <x:c r="C4903" s="2" t="str">
        <x:v>DCGS0044</x:v>
      </x:c>
      <x:c r="D4903" s="2" t="str">
        <x:v>HANDZ-OFF CAR FRESHENER</x:v>
      </x:c>
      <x:c r="E4903" s="11" t="n">
        <x:v>2.57</x:v>
      </x:c>
      <x:c r="F4903" s="11" t="n">
        <x:v>0</x:v>
      </x:c>
      <x:c r="G4903" s="11" t="n">
        <x:v>2.57</x:v>
      </x:c>
      <x:c r="H4903" s="23" t="n">
        <x:v>1.2515984715611542e-7</x:v>
      </x:c>
      <x:c r="I4903" s="23" t="n">
        <x:v>0.999995818248799</x:v>
      </x:c>
      <x:c r="J4903" s="2" t="n">
        <x:v>1</x:v>
      </x:c>
      <x:c r="K4903" s="2"/>
      <x:c r="L4903" s="2"/>
    </x:row>
    <x:row r="4904" ht="22" customHeight="1">
      <x:c r="A4904" s="2"/>
      <x:c r="B4904" s="2" t="n">
        <x:v>4871</x:v>
      </x:c>
      <x:c r="C4904" s="2" t="str">
        <x:v>90091</x:v>
      </x:c>
      <x:c r="D4904" s="2" t="str">
        <x:v>CRYSTAL DRAGONFLY PHONE CHARM</x:v>
      </x:c>
      <x:c r="E4904" s="11" t="n">
        <x:v>2.55</x:v>
      </x:c>
      <x:c r="F4904" s="11" t="n">
        <x:v>0</x:v>
      </x:c>
      <x:c r="G4904" s="11" t="n">
        <x:v>2.55</x:v>
      </x:c>
      <x:c r="H4904" s="23" t="n">
        <x:v>1.2418584056346082e-7</x:v>
      </x:c>
      <x:c r="I4904" s="23" t="n">
        <x:v>0.9999959424346396</x:v>
      </x:c>
      <x:c r="J4904" s="2" t="n">
        <x:v>2</x:v>
      </x:c>
      <x:c r="K4904" s="2"/>
      <x:c r="L4904" s="2"/>
    </x:row>
    <x:row r="4905" ht="22" customHeight="1">
      <x:c r="A4905" s="2"/>
      <x:c r="B4905" s="2" t="n">
        <x:v>4872</x:v>
      </x:c>
      <x:c r="C4905" s="2" t="str">
        <x:v>47554</x:v>
      </x:c>
      <x:c r="D4905" s="2" t="str">
        <x:v>S/3 COLOURS FLOCK TEA TOWELS</x:v>
      </x:c>
      <x:c r="E4905" s="11" t="n">
        <x:v>2.55</x:v>
      </x:c>
      <x:c r="F4905" s="11" t="n">
        <x:v>0</x:v>
      </x:c>
      <x:c r="G4905" s="11" t="n">
        <x:v>2.55</x:v>
      </x:c>
      <x:c r="H4905" s="23" t="n">
        <x:v>1.2418584056346082e-7</x:v>
      </x:c>
      <x:c r="I4905" s="23" t="n">
        <x:v>0.9999960666204802</x:v>
      </x:c>
      <x:c r="J4905" s="2" t="n">
        <x:v>1</x:v>
      </x:c>
      <x:c r="K4905" s="2"/>
      <x:c r="L4905" s="2"/>
    </x:row>
    <x:row r="4906" ht="22" customHeight="1">
      <x:c r="A4906" s="2"/>
      <x:c r="B4906" s="2" t="n">
        <x:v>4873</x:v>
      </x:c>
      <x:c r="C4906" s="2" t="str">
        <x:v>47556</x:v>
      </x:c>
      <x:c r="D4906" s="2" t="str">
        <x:v>SET/2 SPOTTY + ROSE TEA TOWELS </x:v>
      </x:c>
      <x:c r="E4906" s="11" t="n">
        <x:v>2.55</x:v>
      </x:c>
      <x:c r="F4906" s="11" t="n">
        <x:v>0</x:v>
      </x:c>
      <x:c r="G4906" s="11" t="n">
        <x:v>2.55</x:v>
      </x:c>
      <x:c r="H4906" s="23" t="n">
        <x:v>1.2418584056346082e-7</x:v>
      </x:c>
      <x:c r="I4906" s="23" t="n">
        <x:v>0.9999961908063209</x:v>
      </x:c>
      <x:c r="J4906" s="2" t="n">
        <x:v>1</x:v>
      </x:c>
      <x:c r="K4906" s="2"/>
      <x:c r="L4906" s="2"/>
    </x:row>
    <x:row r="4907" ht="22" customHeight="1">
      <x:c r="A4907" s="2"/>
      <x:c r="B4907" s="2" t="n">
        <x:v>4874</x:v>
      </x:c>
      <x:c r="C4907" s="2" t="str">
        <x:v>47569</x:v>
      </x:c>
      <x:c r="D4907" s="2" t="str">
        <x:v>ENGLISH ROSE DESIGN SHOPPING BAG</x:v>
      </x:c>
      <x:c r="E4907" s="11" t="n">
        <x:v>2.55</x:v>
      </x:c>
      <x:c r="F4907" s="11" t="n">
        <x:v>2.55</x:v>
      </x:c>
      <x:c r="G4907" s="11" t="n">
        <x:v>0</x:v>
      </x:c>
      <x:c r="H4907" s="23" t="n">
        <x:v>1.2418584056346082e-7</x:v>
      </x:c>
      <x:c r="I4907" s="23" t="n">
        <x:v>0.9999963149921615</x:v>
      </x:c>
      <x:c r="J4907" s="2" t="n">
        <x:v>1</x:v>
      </x:c>
      <x:c r="K4907" s="2"/>
      <x:c r="L4907" s="2"/>
    </x:row>
    <x:row r="4908" ht="22" customHeight="1">
      <x:c r="A4908" s="2"/>
      <x:c r="B4908" s="2" t="n">
        <x:v>4875</x:v>
      </x:c>
      <x:c r="C4908" s="2" t="str">
        <x:v>21036</x:v>
      </x:c>
      <x:c r="D4908" s="2" t="str">
        <x:v>SET/2 TEA TOWELS MODERN VINTAGE</x:v>
      </x:c>
      <x:c r="E4908" s="11" t="n">
        <x:v>2.55</x:v>
      </x:c>
      <x:c r="F4908" s="11" t="n">
        <x:v>0</x:v>
      </x:c>
      <x:c r="G4908" s="11" t="n">
        <x:v>2.55</x:v>
      </x:c>
      <x:c r="H4908" s="23" t="n">
        <x:v>1.2418584056346082e-7</x:v>
      </x:c>
      <x:c r="I4908" s="23" t="n">
        <x:v>0.9999964391780021</x:v>
      </x:c>
      <x:c r="J4908" s="2" t="n">
        <x:v>1</x:v>
      </x:c>
      <x:c r="K4908" s="2"/>
      <x:c r="L4908" s="2"/>
    </x:row>
    <x:row r="4909" ht="22" customHeight="1">
      <x:c r="A4909" s="2"/>
      <x:c r="B4909" s="2" t="n">
        <x:v>4876</x:v>
      </x:c>
      <x:c r="C4909" s="2" t="str">
        <x:v>20881</x:v>
      </x:c>
      <x:c r="D4909" s="2" t="str">
        <x:v>MODERN CHRISTMAS TREE CANDLE</x:v>
      </x:c>
      <x:c r="E4909" s="11" t="n">
        <x:v>2.55</x:v>
      </x:c>
      <x:c r="F4909" s="11" t="n">
        <x:v>0</x:v>
      </x:c>
      <x:c r="G4909" s="11" t="n">
        <x:v>2.55</x:v>
      </x:c>
      <x:c r="H4909" s="23" t="n">
        <x:v>1.2418584056346082e-7</x:v>
      </x:c>
      <x:c r="I4909" s="23" t="n">
        <x:v>0.9999965633638427</x:v>
      </x:c>
      <x:c r="J4909" s="2" t="n">
        <x:v>2</x:v>
      </x:c>
      <x:c r="K4909" s="2"/>
      <x:c r="L4909" s="2"/>
    </x:row>
    <x:row r="4910" ht="22" customHeight="1">
      <x:c r="A4910" s="2"/>
      <x:c r="B4910" s="2" t="n">
        <x:v>4877</x:v>
      </x:c>
      <x:c r="C4910" s="2" t="str">
        <x:v>85171</x:v>
      </x:c>
      <x:c r="D4910" s="2" t="str">
        <x:v>S/2 HYACINTH BULB CANDLES</x:v>
      </x:c>
      <x:c r="E4910" s="11" t="n">
        <x:v>2.55</x:v>
      </x:c>
      <x:c r="F4910" s="11" t="n">
        <x:v>0</x:v>
      </x:c>
      <x:c r="G4910" s="11" t="n">
        <x:v>2.55</x:v>
      </x:c>
      <x:c r="H4910" s="23" t="n">
        <x:v>1.2418584056346082e-7</x:v>
      </x:c>
      <x:c r="I4910" s="23" t="n">
        <x:v>0.9999966875496833</x:v>
      </x:c>
      <x:c r="J4910" s="2" t="n">
        <x:v>1</x:v>
      </x:c>
      <x:c r="K4910" s="2"/>
      <x:c r="L4910" s="2"/>
    </x:row>
    <x:row r="4911" ht="22" customHeight="1">
      <x:c r="A4911" s="2"/>
      <x:c r="B4911" s="2" t="n">
        <x:v>4878</x:v>
      </x:c>
      <x:c r="C4911" s="2" t="str">
        <x:v>35999</x:v>
      </x:c>
      <x:c r="D4911" s="2" t="str">
        <x:v>S/6 SCANDINAVIAN HEART T-LIGHT</x:v>
      </x:c>
      <x:c r="E4911" s="11" t="n">
        <x:v>2.55</x:v>
      </x:c>
      <x:c r="F4911" s="11" t="n">
        <x:v>0</x:v>
      </x:c>
      <x:c r="G4911" s="11" t="n">
        <x:v>2.55</x:v>
      </x:c>
      <x:c r="H4911" s="23" t="n">
        <x:v>1.2418584056346082e-7</x:v>
      </x:c>
      <x:c r="I4911" s="23" t="n">
        <x:v>0.9999968117355239</x:v>
      </x:c>
      <x:c r="J4911" s="2" t="n">
        <x:v>1</x:v>
      </x:c>
      <x:c r="K4911" s="2"/>
      <x:c r="L4911" s="2"/>
    </x:row>
    <x:row r="4912" ht="22" customHeight="1">
      <x:c r="A4912" s="2"/>
      <x:c r="B4912" s="2" t="n">
        <x:v>4879</x:v>
      </x:c>
      <x:c r="C4912" s="2" t="str">
        <x:v>17028J</x:v>
      </x:c>
      <x:c r="D4912" s="2" t="str">
        <x:v>INCENSE BAZAAR PEACH</x:v>
      </x:c>
      <x:c r="E4912" s="11" t="n">
        <x:v>2.52</x:v>
      </x:c>
      <x:c r="F4912" s="11" t="n">
        <x:v>0</x:v>
      </x:c>
      <x:c r="G4912" s="11" t="n">
        <x:v>2.52</x:v>
      </x:c>
      <x:c r="H4912" s="23" t="n">
        <x:v>1.2272483067447894e-7</x:v>
      </x:c>
      <x:c r="I4912" s="23" t="n">
        <x:v>0.9999969344603545</x:v>
      </x:c>
      <x:c r="J4912" s="2" t="n">
        <x:v>1</x:v>
      </x:c>
      <x:c r="K4912" s="2"/>
      <x:c r="L4912" s="2"/>
    </x:row>
    <x:row r="4913" ht="22" customHeight="1">
      <x:c r="A4913" s="2"/>
      <x:c r="B4913" s="2" t="n">
        <x:v>4880</x:v>
      </x:c>
      <x:c r="C4913" s="2" t="str">
        <x:v>47593a</x:v>
      </x:c>
      <x:c r="D4913" s="2" t="str">
        <x:v>CAROUSEL DESIGN BABY BIB</x:v>
      </x:c>
      <x:c r="E4913" s="11" t="n">
        <x:v>2.51</x:v>
      </x:c>
      <x:c r="F4913" s="11" t="n">
        <x:v>0</x:v>
      </x:c>
      <x:c r="G4913" s="11" t="n">
        <x:v>2.51</x:v>
      </x:c>
      <x:c r="H4913" s="23" t="n">
        <x:v>1.2223782737815163e-7</x:v>
      </x:c>
      <x:c r="I4913" s="23" t="n">
        <x:v>0.999997056698182</x:v>
      </x:c>
      <x:c r="J4913" s="2" t="n">
        <x:v>1</x:v>
      </x:c>
      <x:c r="K4913" s="2"/>
      <x:c r="L4913" s="2"/>
    </x:row>
    <x:row r="4914" ht="22" customHeight="1">
      <x:c r="A4914" s="2"/>
      <x:c r="B4914" s="2" t="n">
        <x:v>4881</x:v>
      </x:c>
      <x:c r="C4914" s="2" t="str">
        <x:v>DCGS0062</x:v>
      </x:c>
      <x:c r="D4914" s="2" t="str">
        <x:v>ROAD-RAGE CAR FRESHENER</x:v>
      </x:c>
      <x:c r="E4914" s="11" t="n">
        <x:v>2.51</x:v>
      </x:c>
      <x:c r="F4914" s="11" t="n">
        <x:v>0</x:v>
      </x:c>
      <x:c r="G4914" s="11" t="n">
        <x:v>2.51</x:v>
      </x:c>
      <x:c r="H4914" s="23" t="n">
        <x:v>1.2223782737815163e-7</x:v>
      </x:c>
      <x:c r="I4914" s="23" t="n">
        <x:v>0.9999971789360094</x:v>
      </x:c>
      <x:c r="J4914" s="2" t="n">
        <x:v>1</x:v>
      </x:c>
      <x:c r="K4914" s="2"/>
      <x:c r="L4914" s="2"/>
    </x:row>
    <x:row r="4915" ht="22" customHeight="1">
      <x:c r="A4915" s="2"/>
      <x:c r="B4915" s="2" t="n">
        <x:v>4882</x:v>
      </x:c>
      <x:c r="C4915" s="2" t="str">
        <x:v>21008</x:v>
      </x:c>
      <x:c r="D4915" s="2" t="str">
        <x:v>ETCHED GLASS HEART TREE DECORATION</x:v>
      </x:c>
      <x:c r="E4915" s="11" t="n">
        <x:v>2.51</x:v>
      </x:c>
      <x:c r="F4915" s="11" t="n">
        <x:v>0</x:v>
      </x:c>
      <x:c r="G4915" s="11" t="n">
        <x:v>2.51</x:v>
      </x:c>
      <x:c r="H4915" s="23" t="n">
        <x:v>1.2223782737815163e-7</x:v>
      </x:c>
      <x:c r="I4915" s="23" t="n">
        <x:v>0.9999973011738368</x:v>
      </x:c>
      <x:c r="J4915" s="2" t="n">
        <x:v>1</x:v>
      </x:c>
      <x:c r="K4915" s="2"/>
      <x:c r="L4915" s="2"/>
    </x:row>
    <x:row r="4916" ht="22" customHeight="1">
      <x:c r="A4916" s="2"/>
      <x:c r="B4916" s="2" t="n">
        <x:v>4883</x:v>
      </x:c>
      <x:c r="C4916" s="2" t="str">
        <x:v>90127B</x:v>
      </x:c>
      <x:c r="D4916" s="2" t="str">
        <x:v>BLUE BEADS+HAND PHONE CHARM</x:v>
      </x:c>
      <x:c r="E4916" s="11" t="n">
        <x:v>2.5</x:v>
      </x:c>
      <x:c r="F4916" s="11" t="n">
        <x:v>0</x:v>
      </x:c>
      <x:c r="G4916" s="11" t="n">
        <x:v>2.5</x:v>
      </x:c>
      <x:c r="H4916" s="23" t="n">
        <x:v>1.2175082408182435e-7</x:v>
      </x:c>
      <x:c r="I4916" s="23" t="n">
        <x:v>0.9999974229246609</x:v>
      </x:c>
      <x:c r="J4916" s="2" t="n">
        <x:v>2</x:v>
      </x:c>
      <x:c r="K4916" s="2"/>
      <x:c r="L4916" s="2"/>
    </x:row>
    <x:row r="4917" ht="22" customHeight="1">
      <x:c r="A4917" s="2"/>
      <x:c r="B4917" s="2" t="n">
        <x:v>4884</x:v>
      </x:c>
      <x:c r="C4917" s="2" t="str">
        <x:v>21290</x:v>
      </x:c>
      <x:c r="D4917" s="2" t="str">
        <x:v>LARGE SPOTTY CHOCOLATE GIFT BAG</x:v>
      </x:c>
      <x:c r="E4917" s="11" t="n">
        <x:v>2.5</x:v>
      </x:c>
      <x:c r="F4917" s="11" t="n">
        <x:v>0</x:v>
      </x:c>
      <x:c r="G4917" s="11" t="n">
        <x:v>2.5</x:v>
      </x:c>
      <x:c r="H4917" s="23" t="n">
        <x:v>1.2175082408182435e-7</x:v>
      </x:c>
      <x:c r="I4917" s="23" t="n">
        <x:v>0.999997544675485</x:v>
      </x:c>
      <x:c r="J4917" s="2" t="n">
        <x:v>1</x:v>
      </x:c>
      <x:c r="K4917" s="2"/>
      <x:c r="L4917" s="2"/>
    </x:row>
    <x:row r="4918" ht="22" customHeight="1">
      <x:c r="A4918" s="2"/>
      <x:c r="B4918" s="2" t="n">
        <x:v>4885</x:v>
      </x:c>
      <x:c r="C4918" s="2" t="str">
        <x:v>21225</x:v>
      </x:c>
      <x:c r="D4918" s="2" t="str">
        <x:v>POCKET MIRROR BUTTERFLY </x:v>
      </x:c>
      <x:c r="E4918" s="11" t="n">
        <x:v>2.5</x:v>
      </x:c>
      <x:c r="F4918" s="11" t="n">
        <x:v>0</x:v>
      </x:c>
      <x:c r="G4918" s="11" t="n">
        <x:v>2.5</x:v>
      </x:c>
      <x:c r="H4918" s="23" t="n">
        <x:v>1.2175082408182435e-7</x:v>
      </x:c>
      <x:c r="I4918" s="23" t="n">
        <x:v>0.999997666426309</x:v>
      </x:c>
      <x:c r="J4918" s="2" t="n">
        <x:v>2</x:v>
      </x:c>
      <x:c r="K4918" s="2"/>
      <x:c r="L4918" s="2"/>
    </x:row>
    <x:row r="4919" ht="22" customHeight="1">
      <x:c r="A4919" s="2"/>
      <x:c r="B4919" s="2" t="n">
        <x:v>4886</x:v>
      </x:c>
      <x:c r="C4919" s="2" t="str">
        <x:v>84596l</x:v>
      </x:c>
      <x:c r="D4919" s="2" t="str">
        <x:v>BISCUITS SMALL BOWL LIGHT BLUE</x:v>
      </x:c>
      <x:c r="E4919" s="11" t="n">
        <x:v>2.46</x:v>
      </x:c>
      <x:c r="F4919" s="11" t="n">
        <x:v>0</x:v>
      </x:c>
      <x:c r="G4919" s="11" t="n">
        <x:v>2.46</x:v>
      </x:c>
      <x:c r="H4919" s="23" t="n">
        <x:v>1.1980281089651516e-7</x:v>
      </x:c>
      <x:c r="I4919" s="23" t="n">
        <x:v>0.99999778622912</x:v>
      </x:c>
      <x:c r="J4919" s="2" t="n">
        <x:v>1</x:v>
      </x:c>
      <x:c r="K4919" s="2"/>
      <x:c r="L4919" s="2"/>
    </x:row>
    <x:row r="4920" ht="22" customHeight="1">
      <x:c r="A4920" s="2"/>
      <x:c r="B4920" s="2" t="n">
        <x:v>4887</x:v>
      </x:c>
      <x:c r="C4920" s="2" t="str">
        <x:v>85049c</x:v>
      </x:c>
      <x:c r="D4920" s="2" t="str">
        <x:v>ROMANTIC PINKS RIBBONS </x:v>
      </x:c>
      <x:c r="E4920" s="11" t="n">
        <x:v>2.46</x:v>
      </x:c>
      <x:c r="F4920" s="11" t="n">
        <x:v>0</x:v>
      </x:c>
      <x:c r="G4920" s="11" t="n">
        <x:v>2.46</x:v>
      </x:c>
      <x:c r="H4920" s="23" t="n">
        <x:v>1.1980281089651516e-7</x:v>
      </x:c>
      <x:c r="I4920" s="23" t="n">
        <x:v>0.9999979060319308</x:v>
      </x:c>
      <x:c r="J4920" s="2" t="n">
        <x:v>1</x:v>
      </x:c>
      <x:c r="K4920" s="2"/>
      <x:c r="L4920" s="2"/>
    </x:row>
    <x:row r="4921" ht="22" customHeight="1">
      <x:c r="A4921" s="2"/>
      <x:c r="B4921" s="2" t="n">
        <x:v>4888</x:v>
      </x:c>
      <x:c r="C4921" s="2" t="str">
        <x:v>84510b</x:v>
      </x:c>
      <x:c r="D4921" s="2" t="str">
        <x:v>SET OF 4 FAIRY CAKES COASTERS </x:v>
      </x:c>
      <x:c r="E4921" s="11" t="n">
        <x:v>2.15</x:v>
      </x:c>
      <x:c r="F4921" s="11" t="n">
        <x:v>0</x:v>
      </x:c>
      <x:c r="G4921" s="11" t="n">
        <x:v>2.15</x:v>
      </x:c>
      <x:c r="H4921" s="23" t="n">
        <x:v>1.0470570871036893e-7</x:v>
      </x:c>
      <x:c r="I4921" s="23" t="n">
        <x:v>0.9999980107376395</x:v>
      </x:c>
      <x:c r="J4921" s="2" t="n">
        <x:v>1</x:v>
      </x:c>
      <x:c r="K4921" s="2"/>
      <x:c r="L4921" s="2"/>
    </x:row>
    <x:row r="4922" ht="22" customHeight="1">
      <x:c r="A4922" s="2"/>
      <x:c r="B4922" s="2" t="n">
        <x:v>4889</x:v>
      </x:c>
      <x:c r="C4922" s="2" t="str">
        <x:v>17061</x:v>
      </x:c>
      <x:c r="D4922" s="2" t="str">
        <x:v>ASSORTED SHAPED STENCIL FOR HENNA</x:v>
      </x:c>
      <x:c r="E4922" s="11" t="n">
        <x:v>2.08</x:v>
      </x:c>
      <x:c r="F4922" s="11" t="n">
        <x:v>0</x:v>
      </x:c>
      <x:c r="G4922" s="11" t="n">
        <x:v>2.08</x:v>
      </x:c>
      <x:c r="H4922" s="23" t="n">
        <x:v>1.0129668563607785e-7</x:v>
      </x:c>
      <x:c r="I4922" s="23" t="n">
        <x:v>0.9999981120343251</x:v>
      </x:c>
      <x:c r="J4922" s="2" t="n">
        <x:v>1</x:v>
      </x:c>
      <x:c r="K4922" s="2"/>
      <x:c r="L4922" s="2"/>
    </x:row>
    <x:row r="4923" ht="22" customHeight="1">
      <x:c r="A4923" s="2"/>
      <x:c r="B4923" s="2" t="n">
        <x:v>4890</x:v>
      </x:c>
      <x:c r="C4923" s="2" t="str">
        <x:v>84814A</x:v>
      </x:c>
      <x:c r="D4923" s="2" t="str">
        <x:v>HEXAGONAL CRYSTAL PERFUME BOTTLE</x:v>
      </x:c>
      <x:c r="E4923" s="11" t="n">
        <x:v>1.95</x:v>
      </x:c>
      <x:c r="F4923" s="11" t="n">
        <x:v>0</x:v>
      </x:c>
      <x:c r="G4923" s="11" t="n">
        <x:v>1.95</x:v>
      </x:c>
      <x:c r="H4923" s="23" t="n">
        <x:v>9.496564278382298e-8</x:v>
      </x:c>
      <x:c r="I4923" s="23" t="n">
        <x:v>0.9999982069999679</x:v>
      </x:c>
      <x:c r="J4923" s="2" t="n">
        <x:v>1</x:v>
      </x:c>
      <x:c r="K4923" s="2"/>
      <x:c r="L4923" s="2"/>
    </x:row>
    <x:row r="4924" ht="22" customHeight="1">
      <x:c r="A4924" s="2"/>
      <x:c r="B4924" s="2" t="n">
        <x:v>4891</x:v>
      </x:c>
      <x:c r="C4924" s="2" t="str">
        <x:v>35945</x:v>
      </x:c>
      <x:c r="D4924" s="2" t="str">
        <x:v>GOLD CHRISTMAS STOCKING DECORATION</x:v>
      </x:c>
      <x:c r="E4924" s="11" t="n">
        <x:v>1.95</x:v>
      </x:c>
      <x:c r="F4924" s="11" t="n">
        <x:v>0</x:v>
      </x:c>
      <x:c r="G4924" s="11" t="n">
        <x:v>1.95</x:v>
      </x:c>
      <x:c r="H4924" s="23" t="n">
        <x:v>9.496564278382298e-8</x:v>
      </x:c>
      <x:c r="I4924" s="23" t="n">
        <x:v>0.9999983019656107</x:v>
      </x:c>
      <x:c r="J4924" s="2" t="n">
        <x:v>1</x:v>
      </x:c>
      <x:c r="K4924" s="2"/>
      <x:c r="L4924" s="2"/>
    </x:row>
    <x:row r="4925" ht="22" customHeight="1">
      <x:c r="A4925" s="2"/>
      <x:c r="B4925" s="2" t="n">
        <x:v>4892</x:v>
      </x:c>
      <x:c r="C4925" s="2" t="str">
        <x:v>85192S</x:v>
      </x:c>
      <x:c r="D4925" s="2" t="str">
        <x:v>HANGING SPRING FLOWER HEART SMALL</x:v>
      </x:c>
      <x:c r="E4925" s="11" t="n">
        <x:v>1.95</x:v>
      </x:c>
      <x:c r="F4925" s="11" t="n">
        <x:v>0</x:v>
      </x:c>
      <x:c r="G4925" s="11" t="n">
        <x:v>1.95</x:v>
      </x:c>
      <x:c r="H4925" s="23" t="n">
        <x:v>9.496564278382298e-8</x:v>
      </x:c>
      <x:c r="I4925" s="23" t="n">
        <x:v>0.9999983969312535</x:v>
      </x:c>
      <x:c r="J4925" s="2" t="n">
        <x:v>2</x:v>
      </x:c>
      <x:c r="K4925" s="2"/>
      <x:c r="L4925" s="2"/>
    </x:row>
    <x:row r="4926" ht="22" customHeight="1">
      <x:c r="A4926" s="2"/>
      <x:c r="B4926" s="2" t="n">
        <x:v>4893</x:v>
      </x:c>
      <x:c r="C4926" s="2" t="str">
        <x:v>46138D</x:v>
      </x:c>
      <x:c r="D4926" s="2" t="str">
        <x:v>GREEN CHENILLE SHAGGY C/COVER</x:v>
      </x:c>
      <x:c r="E4926" s="11" t="n">
        <x:v>1.95</x:v>
      </x:c>
      <x:c r="F4926" s="11" t="n">
        <x:v>0</x:v>
      </x:c>
      <x:c r="G4926" s="11" t="n">
        <x:v>1.95</x:v>
      </x:c>
      <x:c r="H4926" s="23" t="n">
        <x:v>9.496564278382298e-8</x:v>
      </x:c>
      <x:c r="I4926" s="23" t="n">
        <x:v>0.9999984918968963</x:v>
      </x:c>
      <x:c r="J4926" s="2" t="n">
        <x:v>1</x:v>
      </x:c>
      <x:c r="K4926" s="2"/>
      <x:c r="L4926" s="2"/>
    </x:row>
    <x:row r="4927" ht="22" customHeight="1">
      <x:c r="A4927" s="2"/>
      <x:c r="B4927" s="2" t="n">
        <x:v>4894</x:v>
      </x:c>
      <x:c r="C4927" s="2" t="str">
        <x:v>84206C</x:v>
      </x:c>
      <x:c r="D4927" s="2" t="str">
        <x:v>CHAMPAGNE TRAY BLANK CARD</x:v>
      </x:c>
      <x:c r="E4927" s="11" t="n">
        <x:v>1.9</x:v>
      </x:c>
      <x:c r="F4927" s="11" t="n">
        <x:v>0</x:v>
      </x:c>
      <x:c r="G4927" s="11" t="n">
        <x:v>1.9</x:v>
      </x:c>
      <x:c r="H4927" s="23" t="n">
        <x:v>9.25306263021865e-8</x:v>
      </x:c>
      <x:c r="I4927" s="23" t="n">
        <x:v>0.9999985844275225</x:v>
      </x:c>
      <x:c r="J4927" s="2" t="n">
        <x:v>4</x:v>
      </x:c>
      <x:c r="K4927" s="2"/>
      <x:c r="L4927" s="2"/>
    </x:row>
    <x:row r="4928" ht="22" customHeight="1">
      <x:c r="A4928" s="2"/>
      <x:c r="B4928" s="2" t="n">
        <x:v>4895</x:v>
      </x:c>
      <x:c r="C4928" s="2" t="str">
        <x:v>84201C</x:v>
      </x:c>
      <x:c r="D4928" s="2" t="str">
        <x:v>HAPPY BIRTHDAY CARD TEDDY/CAKE</x:v>
      </x:c>
      <x:c r="E4928" s="11" t="n">
        <x:v>1.9</x:v>
      </x:c>
      <x:c r="F4928" s="11" t="n">
        <x:v>0</x:v>
      </x:c>
      <x:c r="G4928" s="11" t="n">
        <x:v>1.9</x:v>
      </x:c>
      <x:c r="H4928" s="23" t="n">
        <x:v>9.25306263021865e-8</x:v>
      </x:c>
      <x:c r="I4928" s="23" t="n">
        <x:v>0.9999986769581488</x:v>
      </x:c>
      <x:c r="J4928" s="2" t="n">
        <x:v>3</x:v>
      </x:c>
      <x:c r="K4928" s="2"/>
      <x:c r="L4928" s="2"/>
    </x:row>
    <x:row r="4929" ht="22" customHeight="1">
      <x:c r="A4929" s="2"/>
      <x:c r="B4929" s="2" t="n">
        <x:v>4896</x:v>
      </x:c>
      <x:c r="C4929" s="2" t="str">
        <x:v>84206B</x:v>
      </x:c>
      <x:c r="D4929" s="2" t="str">
        <x:v>CAT WITH SUNGLASSES BLANK CARD</x:v>
      </x:c>
      <x:c r="E4929" s="11" t="n">
        <x:v>1.71</x:v>
      </x:c>
      <x:c r="F4929" s="11" t="n">
        <x:v>0</x:v>
      </x:c>
      <x:c r="G4929" s="11" t="n">
        <x:v>1.71</x:v>
      </x:c>
      <x:c r="H4929" s="23" t="n">
        <x:v>8.327756367196785e-8</x:v>
      </x:c>
      <x:c r="I4929" s="23" t="n">
        <x:v>0.9999987602357124</x:v>
      </x:c>
      <x:c r="J4929" s="2" t="n">
        <x:v>2</x:v>
      </x:c>
      <x:c r="K4929" s="2"/>
      <x:c r="L4929" s="2"/>
    </x:row>
    <x:row r="4930" ht="22" customHeight="1">
      <x:c r="A4930" s="2"/>
      <x:c r="B4930" s="2" t="n">
        <x:v>4897</x:v>
      </x:c>
      <x:c r="C4930" s="2" t="str">
        <x:v>35837</x:v>
      </x:c>
      <x:c r="D4930" s="2" t="str">
        <x:v>SET OF SIX SILVER+RED FLOCK BAUBLES</x:v>
      </x:c>
      <x:c r="E4930" s="11" t="n">
        <x:v>1.7</x:v>
      </x:c>
      <x:c r="F4930" s="11" t="n">
        <x:v>0</x:v>
      </x:c>
      <x:c r="G4930" s="11" t="n">
        <x:v>1.7</x:v>
      </x:c>
      <x:c r="H4930" s="23" t="n">
        <x:v>8.279056037564055e-8</x:v>
      </x:c>
      <x:c r="I4930" s="23" t="n">
        <x:v>0.9999988430262728</x:v>
      </x:c>
      <x:c r="J4930" s="2" t="n">
        <x:v>1</x:v>
      </x:c>
      <x:c r="K4930" s="2"/>
      <x:c r="L4930" s="2"/>
    </x:row>
    <x:row r="4931" ht="22" customHeight="1">
      <x:c r="A4931" s="2"/>
      <x:c r="B4931" s="2" t="n">
        <x:v>4898</x:v>
      </x:c>
      <x:c r="C4931" s="2" t="str">
        <x:v>30086C</x:v>
      </x:c>
      <x:c r="D4931" s="2" t="str">
        <x:v>ASSORTED FRUIT STRAWS</x:v>
      </x:c>
      <x:c r="E4931" s="11" t="n">
        <x:v>1.7</x:v>
      </x:c>
      <x:c r="F4931" s="11" t="n">
        <x:v>0</x:v>
      </x:c>
      <x:c r="G4931" s="11" t="n">
        <x:v>1.7</x:v>
      </x:c>
      <x:c r="H4931" s="23" t="n">
        <x:v>8.279056037564055e-8</x:v>
      </x:c>
      <x:c r="I4931" s="23" t="n">
        <x:v>0.9999989258168333</x:v>
      </x:c>
      <x:c r="J4931" s="2" t="n">
        <x:v>1</x:v>
      </x:c>
      <x:c r="K4931" s="2"/>
      <x:c r="L4931" s="2"/>
    </x:row>
    <x:row r="4932" ht="22" customHeight="1">
      <x:c r="A4932" s="2"/>
      <x:c r="B4932" s="2" t="n">
        <x:v>4899</x:v>
      </x:c>
      <x:c r="C4932" s="2" t="str">
        <x:v>20737</x:v>
      </x:c>
      <x:c r="D4932" s="2" t="str">
        <x:v>RED MINI TAPE MEASURE </x:v>
      </x:c>
      <x:c r="E4932" s="11" t="n">
        <x:v>1.7</x:v>
      </x:c>
      <x:c r="F4932" s="11" t="n">
        <x:v>0</x:v>
      </x:c>
      <x:c r="G4932" s="11" t="n">
        <x:v>1.7</x:v>
      </x:c>
      <x:c r="H4932" s="23" t="n">
        <x:v>8.279056037564055e-8</x:v>
      </x:c>
      <x:c r="I4932" s="23" t="n">
        <x:v>0.9999990086073937</x:v>
      </x:c>
      <x:c r="J4932" s="2" t="n">
        <x:v>1</x:v>
      </x:c>
      <x:c r="K4932" s="2"/>
      <x:c r="L4932" s="2"/>
    </x:row>
    <x:row r="4933" ht="22" customHeight="1">
      <x:c r="A4933" s="2"/>
      <x:c r="B4933" s="2" t="n">
        <x:v>4900</x:v>
      </x:c>
      <x:c r="C4933" s="2" t="str">
        <x:v>72754D</x:v>
      </x:c>
      <x:c r="D4933" s="2" t="str">
        <x:v>F FAIRY POTPOURRI CUSHIONS SUMMER</x:v>
      </x:c>
      <x:c r="E4933" s="11" t="n">
        <x:v>1.69</x:v>
      </x:c>
      <x:c r="F4933" s="11" t="n">
        <x:v>0</x:v>
      </x:c>
      <x:c r="G4933" s="11" t="n">
        <x:v>1.69</x:v>
      </x:c>
      <x:c r="H4933" s="23" t="n">
        <x:v>8.230355707931325e-8</x:v>
      </x:c>
      <x:c r="I4933" s="23" t="n">
        <x:v>0.9999990909109507</x:v>
      </x:c>
      <x:c r="J4933" s="2" t="n">
        <x:v>1</x:v>
      </x:c>
      <x:c r="K4933" s="2"/>
      <x:c r="L4933" s="2"/>
    </x:row>
    <x:row r="4934" ht="22" customHeight="1">
      <x:c r="A4934" s="2"/>
      <x:c r="B4934" s="2" t="n">
        <x:v>4901</x:v>
      </x:c>
      <x:c r="C4934" s="2" t="str">
        <x:v>10109</x:v>
      </x:c>
      <x:c r="D4934" s="2" t="str">
        <x:v>BENDY COLOUR PENCILS</x:v>
      </x:c>
      <x:c r="E4934" s="11" t="n">
        <x:v>1.68</x:v>
      </x:c>
      <x:c r="F4934" s="11" t="n">
        <x:v>0</x:v>
      </x:c>
      <x:c r="G4934" s="11" t="n">
        <x:v>1.68</x:v>
      </x:c>
      <x:c r="H4934" s="23" t="n">
        <x:v>8.181655378298596e-8</x:v>
      </x:c>
      <x:c r="I4934" s="23" t="n">
        <x:v>0.9999991727275045</x:v>
      </x:c>
      <x:c r="J4934" s="2" t="n">
        <x:v>1</x:v>
      </x:c>
      <x:c r="K4934" s="2"/>
      <x:c r="L4934" s="2"/>
    </x:row>
    <x:row r="4935" ht="22" customHeight="1">
      <x:c r="A4935" s="2"/>
      <x:c r="B4935" s="2" t="n">
        <x:v>4902</x:v>
      </x:c>
      <x:c r="C4935" s="2" t="str">
        <x:v>85231e</x:v>
      </x:c>
      <x:c r="D4935" s="2" t="str">
        <x:v>STRAWBERRY SCENTED SET/9 T-LIGHTS</x:v>
      </x:c>
      <x:c r="E4935" s="11" t="n">
        <x:v>1.66</x:v>
      </x:c>
      <x:c r="F4935" s="11" t="n">
        <x:v>0</x:v>
      </x:c>
      <x:c r="G4935" s="11" t="n">
        <x:v>1.66</x:v>
      </x:c>
      <x:c r="H4935" s="23" t="n">
        <x:v>8.084254719033136e-8</x:v>
      </x:c>
      <x:c r="I4935" s="23" t="n">
        <x:v>0.9999992535700517</x:v>
      </x:c>
      <x:c r="J4935" s="2" t="n">
        <x:v>1</x:v>
      </x:c>
      <x:c r="K4935" s="2"/>
      <x:c r="L4935" s="2"/>
    </x:row>
    <x:row r="4936" ht="22" customHeight="1">
      <x:c r="A4936" s="2"/>
      <x:c r="B4936" s="2" t="n">
        <x:v>4903</x:v>
      </x:c>
      <x:c r="C4936" s="2" t="str">
        <x:v>21585</x:v>
      </x:c>
      <x:c r="D4936" s="2" t="str">
        <x:v>SWALLOW SMALL TUBE MATCHES</x:v>
      </x:c>
      <x:c r="E4936" s="11" t="n">
        <x:v>1.65</x:v>
      </x:c>
      <x:c r="F4936" s="11" t="n">
        <x:v>0</x:v>
      </x:c>
      <x:c r="G4936" s="11" t="n">
        <x:v>1.65</x:v>
      </x:c>
      <x:c r="H4936" s="23" t="n">
        <x:v>8.035554389400405e-8</x:v>
      </x:c>
      <x:c r="I4936" s="23" t="n">
        <x:v>0.9999993339255956</x:v>
      </x:c>
      <x:c r="J4936" s="2" t="n">
        <x:v>1</x:v>
      </x:c>
      <x:c r="K4936" s="2"/>
      <x:c r="L4936" s="2"/>
    </x:row>
    <x:row r="4937" ht="22" customHeight="1">
      <x:c r="A4937" s="2"/>
      <x:c r="B4937" s="2" t="n">
        <x:v>4904</x:v>
      </x:c>
      <x:c r="C4937" s="2" t="str">
        <x:v>72796C</x:v>
      </x:c>
      <x:c r="D4937" s="2" t="str">
        <x:v>S/3 ROSE GARDEN SCENT SQU CANDLE</x:v>
      </x:c>
      <x:c r="E4937" s="11" t="n">
        <x:v>1.65</x:v>
      </x:c>
      <x:c r="F4937" s="11" t="n">
        <x:v>0</x:v>
      </x:c>
      <x:c r="G4937" s="11" t="n">
        <x:v>1.65</x:v>
      </x:c>
      <x:c r="H4937" s="23" t="n">
        <x:v>8.035554389400405e-8</x:v>
      </x:c>
      <x:c r="I4937" s="23" t="n">
        <x:v>0.9999994142811395</x:v>
      </x:c>
      <x:c r="J4937" s="2" t="n">
        <x:v>1</x:v>
      </x:c>
      <x:c r="K4937" s="2"/>
      <x:c r="L4937" s="2"/>
    </x:row>
    <x:row r="4938" ht="22" customHeight="1">
      <x:c r="A4938" s="2"/>
      <x:c r="B4938" s="2" t="n">
        <x:v>4905</x:v>
      </x:c>
      <x:c r="C4938" s="2" t="str">
        <x:v>85024A</x:v>
      </x:c>
      <x:c r="D4938" s="2" t="str">
        <x:v>CRYSTAL SMALL JEWELLED PHOTOFRAME</x:v>
      </x:c>
      <x:c r="E4938" s="11" t="n">
        <x:v>1.65</x:v>
      </x:c>
      <x:c r="F4938" s="11" t="n">
        <x:v>0</x:v>
      </x:c>
      <x:c r="G4938" s="11" t="n">
        <x:v>1.65</x:v>
      </x:c>
      <x:c r="H4938" s="23" t="n">
        <x:v>8.035554389400405e-8</x:v>
      </x:c>
      <x:c r="I4938" s="23" t="n">
        <x:v>0.9999994946366834</x:v>
      </x:c>
      <x:c r="J4938" s="2" t="n">
        <x:v>1</x:v>
      </x:c>
      <x:c r="K4938" s="2"/>
      <x:c r="L4938" s="2"/>
    </x:row>
    <x:row r="4939" ht="22" customHeight="1">
      <x:c r="A4939" s="2"/>
      <x:c r="B4939" s="2" t="n">
        <x:v>4906</x:v>
      </x:c>
      <x:c r="C4939" s="2" t="str">
        <x:v>23664</x:v>
      </x:c>
      <x:c r="D4939" s="2" t="str">
        <x:v>FLOWER SHOP DESIGN MUG</x:v>
      </x:c>
      <x:c r="E4939" s="11" t="n">
        <x:v>1.65</x:v>
      </x:c>
      <x:c r="F4939" s="11" t="n">
        <x:v>0</x:v>
      </x:c>
      <x:c r="G4939" s="11" t="n">
        <x:v>1.65</x:v>
      </x:c>
      <x:c r="H4939" s="23" t="n">
        <x:v>8.035554389400405e-8</x:v>
      </x:c>
      <x:c r="I4939" s="23" t="n">
        <x:v>0.9999995749922272</x:v>
      </x:c>
      <x:c r="J4939" s="2" t="n">
        <x:v>1</x:v>
      </x:c>
      <x:c r="K4939" s="2"/>
      <x:c r="L4939" s="2"/>
    </x:row>
    <x:row r="4940" ht="22" customHeight="1">
      <x:c r="A4940" s="2"/>
      <x:c r="B4940" s="2" t="n">
        <x:v>4907</x:v>
      </x:c>
      <x:c r="C4940" s="2" t="str">
        <x:v>35980B</x:v>
      </x:c>
      <x:c r="D4940" s="2" t="str">
        <x:v>RED TOP SCANDINAVIAN HEART </x:v>
      </x:c>
      <x:c r="E4940" s="11" t="n">
        <x:v>1.52</x:v>
      </x:c>
      <x:c r="F4940" s="11" t="n">
        <x:v>0</x:v>
      </x:c>
      <x:c r="G4940" s="11" t="n">
        <x:v>1.52</x:v>
      </x:c>
      <x:c r="H4940" s="23" t="n">
        <x:v>7.40245010417492e-8</x:v>
      </x:c>
      <x:c r="I4940" s="23" t="n">
        <x:v>0.9999996490167283</x:v>
      </x:c>
      <x:c r="J4940" s="2" t="n">
        <x:v>2</x:v>
      </x:c>
      <x:c r="K4940" s="2"/>
      <x:c r="L4940" s="2"/>
    </x:row>
    <x:row r="4941" ht="22" customHeight="1">
      <x:c r="A4941" s="2"/>
      <x:c r="B4941" s="2" t="n">
        <x:v>4908</x:v>
      </x:c>
      <x:c r="C4941" s="2" t="str">
        <x:v>35976B</x:v>
      </x:c>
      <x:c r="D4941" s="2" t="str">
        <x:v>WHITE SCANDINAVIAN HEART CHRISTMAS</x:v>
      </x:c>
      <x:c r="E4941" s="11" t="n">
        <x:v>1.25</x:v>
      </x:c>
      <x:c r="F4941" s="11" t="n">
        <x:v>15</x:v>
      </x:c>
      <x:c r="G4941" s="11" t="n">
        <x:v>-13.75</x:v>
      </x:c>
      <x:c r="H4941" s="23" t="n">
        <x:v>6.087541204091217e-8</x:v>
      </x:c>
      <x:c r="I4941" s="23" t="n">
        <x:v>0.9999997098921404</x:v>
      </x:c>
      <x:c r="J4941" s="2" t="n">
        <x:v>1</x:v>
      </x:c>
      <x:c r="K4941" s="2"/>
      <x:c r="L4941" s="2"/>
    </x:row>
    <x:row r="4942" ht="22" customHeight="1">
      <x:c r="A4942" s="2"/>
      <x:c r="B4942" s="2" t="n">
        <x:v>4909</x:v>
      </x:c>
      <x:c r="C4942" s="2" t="str">
        <x:v>35950</x:v>
      </x:c>
      <x:c r="D4942" s="2" t="str">
        <x:v>FOLKART HEART CHRISTMAS DECORATIONS</x:v>
      </x:c>
      <x:c r="E4942" s="11" t="n">
        <x:v>1.25</x:v>
      </x:c>
      <x:c r="F4942" s="11" t="n">
        <x:v>0</x:v>
      </x:c>
      <x:c r="G4942" s="11" t="n">
        <x:v>1.25</x:v>
      </x:c>
      <x:c r="H4942" s="23" t="n">
        <x:v>6.087541204091217e-8</x:v>
      </x:c>
      <x:c r="I4942" s="23" t="n">
        <x:v>0.9999997707675524</x:v>
      </x:c>
      <x:c r="J4942" s="2" t="n">
        <x:v>1</x:v>
      </x:c>
      <x:c r="K4942" s="2"/>
      <x:c r="L4942" s="2"/>
    </x:row>
    <x:row r="4943" ht="22" customHeight="1">
      <x:c r="A4943" s="2"/>
      <x:c r="B4943" s="2" t="n">
        <x:v>4910</x:v>
      </x:c>
      <x:c r="C4943" s="2" t="str">
        <x:v>84845A</x:v>
      </x:c>
      <x:c r="D4943" s="2" t="str">
        <x:v>HOLLYHOCK SQUARE HANDY TIN</x:v>
      </x:c>
      <x:c r="E4943" s="11" t="n">
        <x:v>1.25</x:v>
      </x:c>
      <x:c r="F4943" s="11" t="n">
        <x:v>0</x:v>
      </x:c>
      <x:c r="G4943" s="11" t="n">
        <x:v>1.25</x:v>
      </x:c>
      <x:c r="H4943" s="23" t="n">
        <x:v>6.087541204091217e-8</x:v>
      </x:c>
      <x:c r="I4943" s="23" t="n">
        <x:v>0.9999998316429645</x:v>
      </x:c>
      <x:c r="J4943" s="2" t="n">
        <x:v>1</x:v>
      </x:c>
      <x:c r="K4943" s="2"/>
      <x:c r="L4943" s="2"/>
    </x:row>
    <x:row r="4944" ht="22" customHeight="1">
      <x:c r="A4944" s="2"/>
      <x:c r="B4944" s="2" t="n">
        <x:v>4911</x:v>
      </x:c>
      <x:c r="C4944" s="2" t="str">
        <x:v>TEST002</x:v>
      </x:c>
      <x:c r="D4944" s="2" t="str">
        <x:v>This is a test product.</x:v>
      </x:c>
      <x:c r="E4944" s="11" t="n">
        <x:v>1</x:v>
      </x:c>
      <x:c r="F4944" s="11" t="n">
        <x:v>0</x:v>
      </x:c>
      <x:c r="G4944" s="11" t="n">
        <x:v>1</x:v>
      </x:c>
      <x:c r="H4944" s="23" t="n">
        <x:v>4.8700329632729735e-8</x:v>
      </x:c>
      <x:c r="I4944" s="23" t="n">
        <x:v>0.9999998803432941</x:v>
      </x:c>
      <x:c r="J4944" s="2" t="n">
        <x:v>1</x:v>
      </x:c>
      <x:c r="K4944" s="2"/>
      <x:c r="L4944" s="2"/>
    </x:row>
    <x:row r="4945" ht="22" customHeight="1">
      <x:c r="A4945" s="2"/>
      <x:c r="B4945" s="2" t="n">
        <x:v>4912</x:v>
      </x:c>
      <x:c r="C4945" s="2" t="str">
        <x:v>20721</x:v>
      </x:c>
      <x:c r="D4945" s="2" t="str">
        <x:v>OWLS CHARLOTTE BAG</x:v>
      </x:c>
      <x:c r="E4945" s="11" t="n">
        <x:v>0.85</x:v>
      </x:c>
      <x:c r="F4945" s="11" t="n">
        <x:v>0</x:v>
      </x:c>
      <x:c r="G4945" s="11" t="n">
        <x:v>0.85</x:v>
      </x:c>
      <x:c r="H4945" s="23" t="n">
        <x:v>4.1395280187820276e-8</x:v>
      </x:c>
      <x:c r="I4945" s="23" t="n">
        <x:v>0.9999999217385743</x:v>
      </x:c>
      <x:c r="J4945" s="2" t="n">
        <x:v>1</x:v>
      </x:c>
      <x:c r="K4945" s="2"/>
      <x:c r="L4945" s="2"/>
    </x:row>
    <x:row r="4946" ht="22" customHeight="1">
      <x:c r="A4946" s="2"/>
      <x:c r="B4946" s="2" t="n">
        <x:v>4913</x:v>
      </x:c>
      <x:c r="C4946" s="2" t="str">
        <x:v>51014c</x:v>
      </x:c>
      <x:c r="D4946" s="2" t="str">
        <x:v>FEATHER PEN,COAL BLACK</x:v>
      </x:c>
      <x:c r="E4946" s="11" t="n">
        <x:v>0.83</x:v>
      </x:c>
      <x:c r="F4946" s="11" t="n">
        <x:v>0</x:v>
      </x:c>
      <x:c r="G4946" s="11" t="n">
        <x:v>0.83</x:v>
      </x:c>
      <x:c r="H4946" s="23" t="n">
        <x:v>4.042127359516568e-8</x:v>
      </x:c>
      <x:c r="I4946" s="23" t="n">
        <x:v>0.9999999621598479</x:v>
      </x:c>
      <x:c r="J4946" s="2" t="n">
        <x:v>1</x:v>
      </x:c>
      <x:c r="K4946" s="2"/>
      <x:c r="L4946" s="2"/>
    </x:row>
    <x:row r="4947" ht="22" customHeight="1">
      <x:c r="A4947" s="2"/>
      <x:c r="B4947" s="2" t="n">
        <x:v>4914</x:v>
      </x:c>
      <x:c r="C4947" s="2" t="str">
        <x:v>35930</x:v>
      </x:c>
      <x:c r="D4947" s="2" t="str">
        <x:v>PINK HEART CHRISTMAS DECORATION</x:v>
      </x:c>
      <x:c r="E4947" s="11" t="n">
        <x:v>0.38</x:v>
      </x:c>
      <x:c r="F4947" s="11" t="n">
        <x:v>0</x:v>
      </x:c>
      <x:c r="G4947" s="11" t="n">
        <x:v>0.38</x:v>
      </x:c>
      <x:c r="H4947" s="23" t="n">
        <x:v>1.85061252604373e-8</x:v>
      </x:c>
      <x:c r="I4947" s="23" t="n">
        <x:v>0.9999999806659732</x:v>
      </x:c>
      <x:c r="J4947" s="2" t="n">
        <x:v>1</x:v>
      </x:c>
      <x:c r="K4947" s="2"/>
      <x:c r="L4947" s="2"/>
    </x:row>
    <x:row r="4948" ht="22" customHeight="1">
      <x:c r="A4948" s="2"/>
      <x:c r="B4948" s="2" t="n">
        <x:v>4915</x:v>
      </x:c>
      <x:c r="C4948" s="2" t="str">
        <x:v>84205C</x:v>
      </x:c>
      <x:c r="D4948" s="2" t="str">
        <x:v>HAPPY BIRTHDAY GINGER CAT CARD</x:v>
      </x:c>
      <x:c r="E4948" s="11" t="n">
        <x:v>0.38</x:v>
      </x:c>
      <x:c r="F4948" s="11" t="n">
        <x:v>0</x:v>
      </x:c>
      <x:c r="G4948" s="11" t="n">
        <x:v>0.38</x:v>
      </x:c>
      <x:c r="H4948" s="23" t="n">
        <x:v>1.85061252604373e-8</x:v>
      </x:c>
      <x:c r="I4948" s="23" t="n">
        <x:v>0.9999999991720985</x:v>
      </x:c>
      <x:c r="J4948" s="2" t="n">
        <x:v>1</x:v>
      </x:c>
      <x:c r="K4948" s="2"/>
      <x:c r="L4948" s="2"/>
    </x:row>
    <x:row r="4949" ht="22" customHeight="1">
      <x:c r="A4949" s="2"/>
      <x:c r="B4949" s="2" t="n">
        <x:v>4916</x:v>
      </x:c>
      <x:c r="C4949" s="2" t="str">
        <x:v>PADS</x:v>
      </x:c>
      <x:c r="D4949" s="2" t="str">
        <x:v>PADS TO MATCH ALL CUSHIONS</x:v>
      </x:c>
      <x:c r="E4949" s="11" t="n">
        <x:v>0.017</x:v>
      </x:c>
      <x:c r="F4949" s="11" t="n">
        <x:v>36.6</x:v>
      </x:c>
      <x:c r="G4949" s="11" t="n">
        <x:v>-36.583</x:v>
      </x:c>
      <x:c r="H4949" s="23" t="n">
        <x:v>8.279056037564056e-10</x:v>
      </x:c>
      <x:c r="I4949" s="23" t="n">
        <x:v>1.000000000000004</x:v>
      </x:c>
      <x:c r="J4949" s="2" t="n">
        <x:v>17</x:v>
      </x:c>
      <x:c r="K4949" s="2"/>
      <x:c r="L4949" s="2"/>
    </x:row>
    <x:row r="4950" ht="22" customHeight="1">
      <x:c r="A4950" s="2"/>
      <x:c r="B4950" s="2" t="n">
        <x:v>4917</x:v>
      </x:c>
      <x:c r="C4950" s="2" t="str">
        <x:v>84476A</x:v>
      </x:c>
      <x:c r="D4950" s="2" t="str">
        <x:v>Description unavailable</x:v>
      </x:c>
      <x:c r="E4950" s="11" t="n">
        <x:v>0</x:v>
      </x:c>
      <x:c r="F4950" s="11" t="n">
        <x:v>0</x:v>
      </x:c>
      <x:c r="G4950" s="11" t="n">
        <x:v>0</x:v>
      </x:c>
      <x:c r="H4950" s="23" t="n">
        <x:v>0</x:v>
      </x:c>
      <x:c r="I4950" s="23" t="n">
        <x:v>1.000000000000004</x:v>
      </x:c>
      <x:c r="J4950" s="2" t="n">
        <x:v>0</x:v>
      </x:c>
      <x:c r="K4950" s="2"/>
      <x:c r="L4950" s="2"/>
    </x:row>
    <x:row r="4951" ht="22" customHeight="1">
      <x:c r="A4951" s="2"/>
      <x:c r="B4951" s="2" t="n">
        <x:v>4918</x:v>
      </x:c>
      <x:c r="C4951" s="2" t="str">
        <x:v>84494B</x:v>
      </x:c>
      <x:c r="D4951" s="2" t="str">
        <x:v>Description unavailable</x:v>
      </x:c>
      <x:c r="E4951" s="11" t="n">
        <x:v>0</x:v>
      </x:c>
      <x:c r="F4951" s="11" t="n">
        <x:v>0</x:v>
      </x:c>
      <x:c r="G4951" s="11" t="n">
        <x:v>0</x:v>
      </x:c>
      <x:c r="H4951" s="23" t="n">
        <x:v>0</x:v>
      </x:c>
      <x:c r="I4951" s="23" t="n">
        <x:v>1.000000000000004</x:v>
      </x:c>
      <x:c r="J4951" s="2" t="n">
        <x:v>0</x:v>
      </x:c>
      <x:c r="K4951" s="2"/>
      <x:c r="L4951" s="2"/>
    </x:row>
    <x:row r="4952" ht="22" customHeight="1">
      <x:c r="A4952" s="2"/>
      <x:c r="B4952" s="2" t="n">
        <x:v>4919</x:v>
      </x:c>
      <x:c r="C4952" s="2" t="str">
        <x:v>17084F</x:v>
      </x:c>
      <x:c r="D4952" s="2" t="str">
        <x:v>Description unavailable</x:v>
      </x:c>
      <x:c r="E4952" s="11" t="n">
        <x:v>0</x:v>
      </x:c>
      <x:c r="F4952" s="11" t="n">
        <x:v>0</x:v>
      </x:c>
      <x:c r="G4952" s="11" t="n">
        <x:v>0</x:v>
      </x:c>
      <x:c r="H4952" s="23" t="n">
        <x:v>0</x:v>
      </x:c>
      <x:c r="I4952" s="23" t="n">
        <x:v>1.000000000000004</x:v>
      </x:c>
      <x:c r="J4952" s="2" t="n">
        <x:v>0</x:v>
      </x:c>
      <x:c r="K4952" s="2"/>
      <x:c r="L4952" s="2"/>
    </x:row>
    <x:row r="4953" ht="22" customHeight="1">
      <x:c r="A4953" s="2"/>
      <x:c r="B4953" s="2" t="n">
        <x:v>4920</x:v>
      </x:c>
      <x:c r="C4953" s="2" t="str">
        <x:v>84511</x:v>
      </x:c>
      <x:c r="D4953" s="2" t="str">
        <x:v>Description unavailable</x:v>
      </x:c>
      <x:c r="E4953" s="11" t="n">
        <x:v>0</x:v>
      </x:c>
      <x:c r="F4953" s="11" t="n">
        <x:v>0</x:v>
      </x:c>
      <x:c r="G4953" s="11" t="n">
        <x:v>0</x:v>
      </x:c>
      <x:c r="H4953" s="23" t="n">
        <x:v>0</x:v>
      </x:c>
      <x:c r="I4953" s="23" t="n">
        <x:v>1.000000000000004</x:v>
      </x:c>
      <x:c r="J4953" s="2" t="n">
        <x:v>0</x:v>
      </x:c>
      <x:c r="K4953" s="2"/>
      <x:c r="L4953" s="2"/>
    </x:row>
    <x:row r="4954" ht="22" customHeight="1">
      <x:c r="A4954" s="2"/>
      <x:c r="B4954" s="2" t="n">
        <x:v>4921</x:v>
      </x:c>
      <x:c r="C4954" s="2" t="str">
        <x:v>84519D</x:v>
      </x:c>
      <x:c r="D4954" s="2" t="str">
        <x:v>Description unavailable</x:v>
      </x:c>
      <x:c r="E4954" s="11" t="n">
        <x:v>0</x:v>
      </x:c>
      <x:c r="F4954" s="11" t="n">
        <x:v>0</x:v>
      </x:c>
      <x:c r="G4954" s="11" t="n">
        <x:v>0</x:v>
      </x:c>
      <x:c r="H4954" s="23" t="n">
        <x:v>0</x:v>
      </x:c>
      <x:c r="I4954" s="23" t="n">
        <x:v>1.000000000000004</x:v>
      </x:c>
      <x:c r="J4954" s="2" t="n">
        <x:v>0</x:v>
      </x:c>
      <x:c r="K4954" s="2"/>
      <x:c r="L4954" s="2"/>
    </x:row>
    <x:row r="4955" ht="22" customHeight="1">
      <x:c r="A4955" s="2"/>
      <x:c r="B4955" s="2" t="n">
        <x:v>4922</x:v>
      </x:c>
      <x:c r="C4955" s="2" t="str">
        <x:v>DCGS0056</x:v>
      </x:c>
      <x:c r="D4955" s="2" t="str">
        <x:v>Description unavailable</x:v>
      </x:c>
      <x:c r="E4955" s="11" t="n">
        <x:v>0</x:v>
      </x:c>
      <x:c r="F4955" s="11" t="n">
        <x:v>0</x:v>
      </x:c>
      <x:c r="G4955" s="11" t="n">
        <x:v>0</x:v>
      </x:c>
      <x:c r="H4955" s="23" t="n">
        <x:v>0</x:v>
      </x:c>
      <x:c r="I4955" s="23" t="n">
        <x:v>1.000000000000004</x:v>
      </x:c>
      <x:c r="J4955" s="2" t="n">
        <x:v>0</x:v>
      </x:c>
      <x:c r="K4955" s="2"/>
      <x:c r="L4955" s="2"/>
    </x:row>
    <x:row r="4956" ht="22" customHeight="1">
      <x:c r="A4956" s="2"/>
      <x:c r="B4956" s="2" t="n">
        <x:v>4923</x:v>
      </x:c>
      <x:c r="C4956" s="2" t="str">
        <x:v>DCGS0057</x:v>
      </x:c>
      <x:c r="D4956" s="2" t="str">
        <x:v>Description unavailable</x:v>
      </x:c>
      <x:c r="E4956" s="11" t="n">
        <x:v>0</x:v>
      </x:c>
      <x:c r="F4956" s="11" t="n">
        <x:v>0</x:v>
      </x:c>
      <x:c r="G4956" s="11" t="n">
        <x:v>0</x:v>
      </x:c>
      <x:c r="H4956" s="23" t="n">
        <x:v>0</x:v>
      </x:c>
      <x:c r="I4956" s="23" t="n">
        <x:v>1.000000000000004</x:v>
      </x:c>
      <x:c r="J4956" s="2" t="n">
        <x:v>0</x:v>
      </x:c>
      <x:c r="K4956" s="2"/>
      <x:c r="L4956" s="2"/>
    </x:row>
    <x:row r="4957" ht="22" customHeight="1">
      <x:c r="A4957" s="2"/>
      <x:c r="B4957" s="2" t="n">
        <x:v>4924</x:v>
      </x:c>
      <x:c r="C4957" s="2" t="str">
        <x:v>DCGS0066P</x:v>
      </x:c>
      <x:c r="D4957" s="2" t="str">
        <x:v>Description unavailable</x:v>
      </x:c>
      <x:c r="E4957" s="11" t="n">
        <x:v>0</x:v>
      </x:c>
      <x:c r="F4957" s="11" t="n">
        <x:v>0</x:v>
      </x:c>
      <x:c r="G4957" s="11" t="n">
        <x:v>0</x:v>
      </x:c>
      <x:c r="H4957" s="23" t="n">
        <x:v>0</x:v>
      </x:c>
      <x:c r="I4957" s="23" t="n">
        <x:v>1.000000000000004</x:v>
      </x:c>
      <x:c r="J4957" s="2" t="n">
        <x:v>0</x:v>
      </x:c>
      <x:c r="K4957" s="2"/>
      <x:c r="L4957" s="2"/>
    </x:row>
    <x:row r="4958" ht="22" customHeight="1">
      <x:c r="A4958" s="2"/>
      <x:c r="B4958" s="2" t="n">
        <x:v>4925</x:v>
      </x:c>
      <x:c r="C4958" s="2" t="str">
        <x:v>DCGS0067</x:v>
      </x:c>
      <x:c r="D4958" s="2" t="str">
        <x:v>ebay</x:v>
      </x:c>
      <x:c r="E4958" s="11" t="n">
        <x:v>0</x:v>
      </x:c>
      <x:c r="F4958" s="11" t="n">
        <x:v>0</x:v>
      </x:c>
      <x:c r="G4958" s="11" t="n">
        <x:v>0</x:v>
      </x:c>
      <x:c r="H4958" s="23" t="n">
        <x:v>0</x:v>
      </x:c>
      <x:c r="I4958" s="23" t="n">
        <x:v>1.000000000000004</x:v>
      </x:c>
      <x:c r="J4958" s="2" t="n">
        <x:v>0</x:v>
      </x:c>
      <x:c r="K4958" s="2"/>
      <x:c r="L4958" s="2"/>
    </x:row>
    <x:row r="4959" ht="22" customHeight="1">
      <x:c r="A4959" s="2"/>
      <x:c r="B4959" s="2" t="n">
        <x:v>4926</x:v>
      </x:c>
      <x:c r="C4959" s="2" t="str">
        <x:v>DCGS0071</x:v>
      </x:c>
      <x:c r="D4959" s="2" t="str">
        <x:v>Description unavailable</x:v>
      </x:c>
      <x:c r="E4959" s="11" t="n">
        <x:v>0</x:v>
      </x:c>
      <x:c r="F4959" s="11" t="n">
        <x:v>0</x:v>
      </x:c>
      <x:c r="G4959" s="11" t="n">
        <x:v>0</x:v>
      </x:c>
      <x:c r="H4959" s="23" t="n">
        <x:v>0</x:v>
      </x:c>
      <x:c r="I4959" s="23" t="n">
        <x:v>1.000000000000004</x:v>
      </x:c>
      <x:c r="J4959" s="2" t="n">
        <x:v>0</x:v>
      </x:c>
      <x:c r="K4959" s="2"/>
      <x:c r="L4959" s="2"/>
    </x:row>
    <x:row r="4960" ht="22" customHeight="1">
      <x:c r="A4960" s="2"/>
      <x:c r="B4960" s="2" t="n">
        <x:v>4927</x:v>
      </x:c>
      <x:c r="C4960" s="2" t="str">
        <x:v>DCGS0073</x:v>
      </x:c>
      <x:c r="D4960" s="2" t="str">
        <x:v>ebay</x:v>
      </x:c>
      <x:c r="E4960" s="11" t="n">
        <x:v>0</x:v>
      </x:c>
      <x:c r="F4960" s="11" t="n">
        <x:v>0</x:v>
      </x:c>
      <x:c r="G4960" s="11" t="n">
        <x:v>0</x:v>
      </x:c>
      <x:c r="H4960" s="23" t="n">
        <x:v>0</x:v>
      </x:c>
      <x:c r="I4960" s="23" t="n">
        <x:v>1.000000000000004</x:v>
      </x:c>
      <x:c r="J4960" s="2" t="n">
        <x:v>0</x:v>
      </x:c>
      <x:c r="K4960" s="2"/>
      <x:c r="L4960" s="2"/>
    </x:row>
    <x:row r="4961" ht="22" customHeight="1">
      <x:c r="A4961" s="2"/>
      <x:c r="B4961" s="2" t="n">
        <x:v>4928</x:v>
      </x:c>
      <x:c r="C4961" s="2" t="str">
        <x:v>DCGS0074</x:v>
      </x:c>
      <x:c r="D4961" s="2" t="str">
        <x:v>Description unavailable</x:v>
      </x:c>
      <x:c r="E4961" s="11" t="n">
        <x:v>0</x:v>
      </x:c>
      <x:c r="F4961" s="11" t="n">
        <x:v>0</x:v>
      </x:c>
      <x:c r="G4961" s="11" t="n">
        <x:v>0</x:v>
      </x:c>
      <x:c r="H4961" s="23" t="n">
        <x:v>0</x:v>
      </x:c>
      <x:c r="I4961" s="23" t="n">
        <x:v>1.000000000000004</x:v>
      </x:c>
      <x:c r="J4961" s="2" t="n">
        <x:v>0</x:v>
      </x:c>
      <x:c r="K4961" s="2"/>
      <x:c r="L4961" s="2"/>
    </x:row>
    <x:row r="4962" ht="22" customHeight="1">
      <x:c r="A4962" s="2"/>
      <x:c r="B4962" s="2" t="n">
        <x:v>4929</x:v>
      </x:c>
      <x:c r="C4962" s="2" t="str">
        <x:v>gift_0001_90</x:v>
      </x:c>
      <x:c r="D4962" s="2" t="str">
        <x:v>Description unavailable</x:v>
      </x:c>
      <x:c r="E4962" s="11" t="n">
        <x:v>0</x:v>
      </x:c>
      <x:c r="F4962" s="11" t="n">
        <x:v>0</x:v>
      </x:c>
      <x:c r="G4962" s="11" t="n">
        <x:v>0</x:v>
      </x:c>
      <x:c r="H4962" s="23" t="n">
        <x:v>0</x:v>
      </x:c>
      <x:c r="I4962" s="23" t="n">
        <x:v>1.000000000000004</x:v>
      </x:c>
      <x:c r="J4962" s="2" t="n">
        <x:v>0</x:v>
      </x:c>
      <x:c r="K4962" s="2"/>
      <x:c r="L4962" s="2"/>
    </x:row>
    <x:row r="4963" ht="22" customHeight="1">
      <x:c r="A4963" s="2"/>
      <x:c r="B4963" s="2" t="n">
        <x:v>4930</x:v>
      </x:c>
      <x:c r="C4963" s="2" t="str">
        <x:v>DCGS0060</x:v>
      </x:c>
      <x:c r="D4963" s="2" t="str">
        <x:v>Description unavailable</x:v>
      </x:c>
      <x:c r="E4963" s="11" t="n">
        <x:v>0</x:v>
      </x:c>
      <x:c r="F4963" s="11" t="n">
        <x:v>0</x:v>
      </x:c>
      <x:c r="G4963" s="11" t="n">
        <x:v>0</x:v>
      </x:c>
      <x:c r="H4963" s="23" t="n">
        <x:v>0</x:v>
      </x:c>
      <x:c r="I4963" s="23" t="n">
        <x:v>1.000000000000004</x:v>
      </x:c>
      <x:c r="J4963" s="2" t="n">
        <x:v>0</x:v>
      </x:c>
      <x:c r="K4963" s="2"/>
      <x:c r="L4963" s="2"/>
    </x:row>
    <x:row r="4964" ht="22" customHeight="1">
      <x:c r="A4964" s="2"/>
      <x:c r="B4964" s="2" t="n">
        <x:v>4931</x:v>
      </x:c>
      <x:c r="C4964" s="2" t="str">
        <x:v>48169</x:v>
      </x:c>
      <x:c r="D4964" s="2" t="str">
        <x:v>Description unavailable</x:v>
      </x:c>
      <x:c r="E4964" s="11" t="n">
        <x:v>0</x:v>
      </x:c>
      <x:c r="F4964" s="11" t="n">
        <x:v>0</x:v>
      </x:c>
      <x:c r="G4964" s="11" t="n">
        <x:v>0</x:v>
      </x:c>
      <x:c r="H4964" s="23" t="n">
        <x:v>0</x:v>
      </x:c>
      <x:c r="I4964" s="23" t="n">
        <x:v>1.000000000000004</x:v>
      </x:c>
      <x:c r="J4964" s="2" t="n">
        <x:v>0</x:v>
      </x:c>
      <x:c r="K4964" s="2"/>
      <x:c r="L4964" s="2"/>
    </x:row>
    <x:row r="4965" ht="22" customHeight="1">
      <x:c r="A4965" s="2"/>
      <x:c r="B4965" s="2" t="n">
        <x:v>4932</x:v>
      </x:c>
      <x:c r="C4965" s="2" t="str">
        <x:v>48172</x:v>
      </x:c>
      <x:c r="D4965" s="2" t="str">
        <x:v>Description unavailable</x:v>
      </x:c>
      <x:c r="E4965" s="11" t="n">
        <x:v>0</x:v>
      </x:c>
      <x:c r="F4965" s="11" t="n">
        <x:v>0</x:v>
      </x:c>
      <x:c r="G4965" s="11" t="n">
        <x:v>0</x:v>
      </x:c>
      <x:c r="H4965" s="23" t="n">
        <x:v>0</x:v>
      </x:c>
      <x:c r="I4965" s="23" t="n">
        <x:v>1.000000000000004</x:v>
      </x:c>
      <x:c r="J4965" s="2" t="n">
        <x:v>0</x:v>
      </x:c>
      <x:c r="K4965" s="2"/>
      <x:c r="L4965" s="2"/>
    </x:row>
    <x:row r="4966" ht="22" customHeight="1">
      <x:c r="A4966" s="2"/>
      <x:c r="B4966" s="2" t="n">
        <x:v>4933</x:v>
      </x:c>
      <x:c r="C4966" s="2" t="str">
        <x:v>90005B</x:v>
      </x:c>
      <x:c r="D4966" s="2" t="str">
        <x:v>Description unavailable</x:v>
      </x:c>
      <x:c r="E4966" s="11" t="n">
        <x:v>0</x:v>
      </x:c>
      <x:c r="F4966" s="11" t="n">
        <x:v>0</x:v>
      </x:c>
      <x:c r="G4966" s="11" t="n">
        <x:v>0</x:v>
      </x:c>
      <x:c r="H4966" s="23" t="n">
        <x:v>0</x:v>
      </x:c>
      <x:c r="I4966" s="23" t="n">
        <x:v>1.000000000000004</x:v>
      </x:c>
      <x:c r="J4966" s="2" t="n">
        <x:v>0</x:v>
      </x:c>
      <x:c r="K4966" s="2"/>
      <x:c r="L4966" s="2"/>
    </x:row>
    <x:row r="4967" ht="22" customHeight="1">
      <x:c r="A4967" s="2"/>
      <x:c r="B4967" s="2" t="n">
        <x:v>4934</x:v>
      </x:c>
      <x:c r="C4967" s="2" t="str">
        <x:v>15060A</x:v>
      </x:c>
      <x:c r="D4967" s="2" t="str">
        <x:v>Description unavailable</x:v>
      </x:c>
      <x:c r="E4967" s="11" t="n">
        <x:v>0</x:v>
      </x:c>
      <x:c r="F4967" s="11" t="n">
        <x:v>0</x:v>
      </x:c>
      <x:c r="G4967" s="11" t="n">
        <x:v>0</x:v>
      </x:c>
      <x:c r="H4967" s="23" t="n">
        <x:v>0</x:v>
      </x:c>
      <x:c r="I4967" s="23" t="n">
        <x:v>1.000000000000004</x:v>
      </x:c>
      <x:c r="J4967" s="2" t="n">
        <x:v>0</x:v>
      </x:c>
      <x:c r="K4967" s="2"/>
      <x:c r="L4967" s="2"/>
    </x:row>
    <x:row r="4968" ht="22" customHeight="1">
      <x:c r="A4968" s="2"/>
      <x:c r="B4968" s="2" t="n">
        <x:v>4935</x:v>
      </x:c>
      <x:c r="C4968" s="2" t="str">
        <x:v>21778</x:v>
      </x:c>
      <x:c r="D4968" s="2" t="str">
        <x:v>Description unavailable</x:v>
      </x:c>
      <x:c r="E4968" s="11" t="n">
        <x:v>0</x:v>
      </x:c>
      <x:c r="F4968" s="11" t="n">
        <x:v>0</x:v>
      </x:c>
      <x:c r="G4968" s="11" t="n">
        <x:v>0</x:v>
      </x:c>
      <x:c r="H4968" s="23" t="n">
        <x:v>0</x:v>
      </x:c>
      <x:c r="I4968" s="23" t="n">
        <x:v>1.000000000000004</x:v>
      </x:c>
      <x:c r="J4968" s="2" t="n">
        <x:v>0</x:v>
      </x:c>
      <x:c r="K4968" s="2"/>
      <x:c r="L4968" s="2"/>
    </x:row>
    <x:row r="4969" ht="22" customHeight="1">
      <x:c r="A4969" s="2"/>
      <x:c r="B4969" s="2" t="n">
        <x:v>4936</x:v>
      </x:c>
      <x:c r="C4969" s="2" t="str">
        <x:v>85231A</x:v>
      </x:c>
      <x:c r="D4969" s="2" t="str">
        <x:v>Description unavailable</x:v>
      </x:c>
      <x:c r="E4969" s="11" t="n">
        <x:v>0</x:v>
      </x:c>
      <x:c r="F4969" s="11" t="n">
        <x:v>0</x:v>
      </x:c>
      <x:c r="G4969" s="11" t="n">
        <x:v>0</x:v>
      </x:c>
      <x:c r="H4969" s="23" t="n">
        <x:v>0</x:v>
      </x:c>
      <x:c r="I4969" s="23" t="n">
        <x:v>1.000000000000004</x:v>
      </x:c>
      <x:c r="J4969" s="2" t="n">
        <x:v>0</x:v>
      </x:c>
      <x:c r="K4969" s="2"/>
      <x:c r="L4969" s="2"/>
    </x:row>
    <x:row r="4970" ht="22" customHeight="1">
      <x:c r="A4970" s="2"/>
      <x:c r="B4970" s="2" t="n">
        <x:v>4937</x:v>
      </x:c>
      <x:c r="C4970" s="2" t="str">
        <x:v>85231D</x:v>
      </x:c>
      <x:c r="D4970" s="2" t="str">
        <x:v>Description unavailable</x:v>
      </x:c>
      <x:c r="E4970" s="11" t="n">
        <x:v>0</x:v>
      </x:c>
      <x:c r="F4970" s="11" t="n">
        <x:v>0</x:v>
      </x:c>
      <x:c r="G4970" s="11" t="n">
        <x:v>0</x:v>
      </x:c>
      <x:c r="H4970" s="23" t="n">
        <x:v>0</x:v>
      </x:c>
      <x:c r="I4970" s="23" t="n">
        <x:v>1.000000000000004</x:v>
      </x:c>
      <x:c r="J4970" s="2" t="n">
        <x:v>0</x:v>
      </x:c>
      <x:c r="K4970" s="2"/>
      <x:c r="L4970" s="2"/>
    </x:row>
    <x:row r="4971" ht="22" customHeight="1">
      <x:c r="A4971" s="2"/>
      <x:c r="B4971" s="2" t="n">
        <x:v>4938</x:v>
      </x:c>
      <x:c r="C4971" s="2" t="str">
        <x:v>85231K</x:v>
      </x:c>
      <x:c r="D4971" s="2" t="str">
        <x:v>Description unavailable</x:v>
      </x:c>
      <x:c r="E4971" s="11" t="n">
        <x:v>0</x:v>
      </x:c>
      <x:c r="F4971" s="11" t="n">
        <x:v>0</x:v>
      </x:c>
      <x:c r="G4971" s="11" t="n">
        <x:v>0</x:v>
      </x:c>
      <x:c r="H4971" s="23" t="n">
        <x:v>0</x:v>
      </x:c>
      <x:c r="I4971" s="23" t="n">
        <x:v>1.000000000000004</x:v>
      </x:c>
      <x:c r="J4971" s="2" t="n">
        <x:v>0</x:v>
      </x:c>
      <x:c r="K4971" s="2"/>
      <x:c r="L4971" s="2"/>
    </x:row>
    <x:row r="4972" ht="22" customHeight="1">
      <x:c r="A4972" s="2"/>
      <x:c r="B4972" s="2" t="n">
        <x:v>4939</x:v>
      </x:c>
      <x:c r="C4972" s="2" t="str">
        <x:v>21859</x:v>
      </x:c>
      <x:c r="D4972" s="2" t="str">
        <x:v>Description unavailable</x:v>
      </x:c>
      <x:c r="E4972" s="11" t="n">
        <x:v>0</x:v>
      </x:c>
      <x:c r="F4972" s="11" t="n">
        <x:v>0</x:v>
      </x:c>
      <x:c r="G4972" s="11" t="n">
        <x:v>0</x:v>
      </x:c>
      <x:c r="H4972" s="23" t="n">
        <x:v>0</x:v>
      </x:c>
      <x:c r="I4972" s="23" t="n">
        <x:v>1.000000000000004</x:v>
      </x:c>
      <x:c r="J4972" s="2" t="n">
        <x:v>0</x:v>
      </x:c>
      <x:c r="K4972" s="2"/>
      <x:c r="L4972" s="2"/>
    </x:row>
    <x:row r="4973" ht="22" customHeight="1">
      <x:c r="A4973" s="2"/>
      <x:c r="B4973" s="2" t="n">
        <x:v>4940</x:v>
      </x:c>
      <x:c r="C4973" s="2" t="str">
        <x:v>21862</x:v>
      </x:c>
      <x:c r="D4973" s="2" t="str">
        <x:v>Description unavailable</x:v>
      </x:c>
      <x:c r="E4973" s="11" t="n">
        <x:v>0</x:v>
      </x:c>
      <x:c r="F4973" s="11" t="n">
        <x:v>0</x:v>
      </x:c>
      <x:c r="G4973" s="11" t="n">
        <x:v>0</x:v>
      </x:c>
      <x:c r="H4973" s="23" t="n">
        <x:v>0</x:v>
      </x:c>
      <x:c r="I4973" s="23" t="n">
        <x:v>1.000000000000004</x:v>
      </x:c>
      <x:c r="J4973" s="2" t="n">
        <x:v>0</x:v>
      </x:c>
      <x:c r="K4973" s="2"/>
      <x:c r="L4973" s="2"/>
    </x:row>
    <x:row r="4974" ht="22" customHeight="1">
      <x:c r="A4974" s="2"/>
      <x:c r="B4974" s="2" t="n">
        <x:v>4941</x:v>
      </x:c>
      <x:c r="C4974" s="2" t="str">
        <x:v>21863</x:v>
      </x:c>
      <x:c r="D4974" s="2" t="str">
        <x:v>Description unavailable</x:v>
      </x:c>
      <x:c r="E4974" s="11" t="n">
        <x:v>0</x:v>
      </x:c>
      <x:c r="F4974" s="11" t="n">
        <x:v>0</x:v>
      </x:c>
      <x:c r="G4974" s="11" t="n">
        <x:v>0</x:v>
      </x:c>
      <x:c r="H4974" s="23" t="n">
        <x:v>0</x:v>
      </x:c>
      <x:c r="I4974" s="23" t="n">
        <x:v>1.000000000000004</x:v>
      </x:c>
      <x:c r="J4974" s="2" t="n">
        <x:v>0</x:v>
      </x:c>
      <x:c r="K4974" s="2"/>
      <x:c r="L4974" s="2"/>
    </x:row>
    <x:row r="4975" ht="22" customHeight="1">
      <x:c r="A4975" s="2"/>
      <x:c r="B4975" s="2" t="n">
        <x:v>4942</x:v>
      </x:c>
      <x:c r="C4975" s="2" t="str">
        <x:v>21835</x:v>
      </x:c>
      <x:c r="D4975" s="2" t="str">
        <x:v>Description unavailable</x:v>
      </x:c>
      <x:c r="E4975" s="11" t="n">
        <x:v>0</x:v>
      </x:c>
      <x:c r="F4975" s="11" t="n">
        <x:v>0</x:v>
      </x:c>
      <x:c r="G4975" s="11" t="n">
        <x:v>0</x:v>
      </x:c>
      <x:c r="H4975" s="23" t="n">
        <x:v>0</x:v>
      </x:c>
      <x:c r="I4975" s="23" t="n">
        <x:v>1.000000000000004</x:v>
      </x:c>
      <x:c r="J4975" s="2" t="n">
        <x:v>0</x:v>
      </x:c>
      <x:c r="K4975" s="2"/>
      <x:c r="L4975" s="2"/>
    </x:row>
    <x:row r="4976" ht="22" customHeight="1">
      <x:c r="A4976" s="2"/>
      <x:c r="B4976" s="2" t="n">
        <x:v>4943</x:v>
      </x:c>
      <x:c r="C4976" s="2" t="str">
        <x:v>85223</x:v>
      </x:c>
      <x:c r="D4976" s="2" t="str">
        <x:v>Description unavailable</x:v>
      </x:c>
      <x:c r="E4976" s="11" t="n">
        <x:v>0</x:v>
      </x:c>
      <x:c r="F4976" s="11" t="n">
        <x:v>0</x:v>
      </x:c>
      <x:c r="G4976" s="11" t="n">
        <x:v>0</x:v>
      </x:c>
      <x:c r="H4976" s="23" t="n">
        <x:v>0</x:v>
      </x:c>
      <x:c r="I4976" s="23" t="n">
        <x:v>1.000000000000004</x:v>
      </x:c>
      <x:c r="J4976" s="2" t="n">
        <x:v>0</x:v>
      </x:c>
      <x:c r="K4976" s="2"/>
      <x:c r="L4976" s="2"/>
    </x:row>
    <x:row r="4977" ht="22" customHeight="1">
      <x:c r="A4977" s="2"/>
      <x:c r="B4977" s="2" t="n">
        <x:v>4944</x:v>
      </x:c>
      <x:c r="C4977" s="2" t="str">
        <x:v>85226B</x:v>
      </x:c>
      <x:c r="D4977" s="2" t="str">
        <x:v>Description unavailable</x:v>
      </x:c>
      <x:c r="E4977" s="11" t="n">
        <x:v>0</x:v>
      </x:c>
      <x:c r="F4977" s="11" t="n">
        <x:v>0</x:v>
      </x:c>
      <x:c r="G4977" s="11" t="n">
        <x:v>0</x:v>
      </x:c>
      <x:c r="H4977" s="23" t="n">
        <x:v>0</x:v>
      </x:c>
      <x:c r="I4977" s="23" t="n">
        <x:v>1.000000000000004</x:v>
      </x:c>
      <x:c r="J4977" s="2" t="n">
        <x:v>0</x:v>
      </x:c>
      <x:c r="K4977" s="2"/>
      <x:c r="L4977" s="2"/>
    </x:row>
    <x:row r="4978" ht="22" customHeight="1">
      <x:c r="A4978" s="2"/>
      <x:c r="B4978" s="2" t="n">
        <x:v>4945</x:v>
      </x:c>
      <x:c r="C4978" s="2" t="str">
        <x:v>21766</x:v>
      </x:c>
      <x:c r="D4978" s="2" t="str">
        <x:v>VINTAGE WOOD ORGANISER</x:v>
      </x:c>
      <x:c r="E4978" s="11" t="n">
        <x:v>0</x:v>
      </x:c>
      <x:c r="F4978" s="11" t="n">
        <x:v>33.9</x:v>
      </x:c>
      <x:c r="G4978" s="11" t="n">
        <x:v>-33.9</x:v>
      </x:c>
      <x:c r="H4978" s="23" t="n">
        <x:v>0</x:v>
      </x:c>
      <x:c r="I4978" s="23" t="n">
        <x:v>1.000000000000004</x:v>
      </x:c>
      <x:c r="J4978" s="2" t="n">
        <x:v>0</x:v>
      </x:c>
      <x:c r="K4978" s="2"/>
      <x:c r="L4978" s="2"/>
    </x:row>
    <x:row r="4979" ht="22" customHeight="1">
      <x:c r="A4979" s="2"/>
      <x:c r="B4979" s="2" t="n">
        <x:v>4946</x:v>
      </x:c>
      <x:c r="C4979" s="2" t="str">
        <x:v>20690</x:v>
      </x:c>
      <x:c r="D4979" s="2" t="str">
        <x:v>Description unavailable</x:v>
      </x:c>
      <x:c r="E4979" s="11" t="n">
        <x:v>0</x:v>
      </x:c>
      <x:c r="F4979" s="11" t="n">
        <x:v>0</x:v>
      </x:c>
      <x:c r="G4979" s="11" t="n">
        <x:v>0</x:v>
      </x:c>
      <x:c r="H4979" s="23" t="n">
        <x:v>0</x:v>
      </x:c>
      <x:c r="I4979" s="23" t="n">
        <x:v>1.000000000000004</x:v>
      </x:c>
      <x:c r="J4979" s="2" t="n">
        <x:v>0</x:v>
      </x:c>
      <x:c r="K4979" s="2"/>
      <x:c r="L4979" s="2"/>
    </x:row>
    <x:row r="4980" ht="22" customHeight="1">
      <x:c r="A4980" s="2"/>
      <x:c r="B4980" s="2" t="n">
        <x:v>4947</x:v>
      </x:c>
      <x:c r="C4980" s="2" t="str">
        <x:v>20691</x:v>
      </x:c>
      <x:c r="D4980" s="2" t="str">
        <x:v>Description unavailable</x:v>
      </x:c>
      <x:c r="E4980" s="11" t="n">
        <x:v>0</x:v>
      </x:c>
      <x:c r="F4980" s="11" t="n">
        <x:v>0</x:v>
      </x:c>
      <x:c r="G4980" s="11" t="n">
        <x:v>0</x:v>
      </x:c>
      <x:c r="H4980" s="23" t="n">
        <x:v>0</x:v>
      </x:c>
      <x:c r="I4980" s="23" t="n">
        <x:v>1.000000000000004</x:v>
      </x:c>
      <x:c r="J4980" s="2" t="n">
        <x:v>0</x:v>
      </x:c>
      <x:c r="K4980" s="2"/>
      <x:c r="L4980" s="2"/>
    </x:row>
    <x:row r="4981" ht="22" customHeight="1">
      <x:c r="A4981" s="2"/>
      <x:c r="B4981" s="2" t="n">
        <x:v>4948</x:v>
      </x:c>
      <x:c r="C4981" s="2" t="str">
        <x:v>49031B</x:v>
      </x:c>
      <x:c r="D4981" s="2" t="str">
        <x:v>CHROME EURO HOOK 20cm</x:v>
      </x:c>
      <x:c r="E4981" s="11" t="n">
        <x:v>0</x:v>
      </x:c>
      <x:c r="F4981" s="11" t="n">
        <x:v>0</x:v>
      </x:c>
      <x:c r="G4981" s="11" t="n">
        <x:v>0</x:v>
      </x:c>
      <x:c r="H4981" s="23" t="n">
        <x:v>0</x:v>
      </x:c>
      <x:c r="I4981" s="23" t="n">
        <x:v>1.000000000000004</x:v>
      </x:c>
      <x:c r="J4981" s="2" t="n">
        <x:v>0</x:v>
      </x:c>
      <x:c r="K4981" s="2"/>
      <x:c r="L4981" s="2"/>
    </x:row>
    <x:row r="4982" ht="22" customHeight="1">
      <x:c r="A4982" s="2"/>
      <x:c r="B4982" s="2" t="n">
        <x:v>4949</x:v>
      </x:c>
      <x:c r="C4982" s="2" t="str">
        <x:v>21776</x:v>
      </x:c>
      <x:c r="D4982" s="2" t="str">
        <x:v>Description unavailable</x:v>
      </x:c>
      <x:c r="E4982" s="11" t="n">
        <x:v>0</x:v>
      </x:c>
      <x:c r="F4982" s="11" t="n">
        <x:v>0</x:v>
      </x:c>
      <x:c r="G4982" s="11" t="n">
        <x:v>0</x:v>
      </x:c>
      <x:c r="H4982" s="23" t="n">
        <x:v>0</x:v>
      </x:c>
      <x:c r="I4982" s="23" t="n">
        <x:v>1.000000000000004</x:v>
      </x:c>
      <x:c r="J4982" s="2" t="n">
        <x:v>0</x:v>
      </x:c>
      <x:c r="K4982" s="2"/>
      <x:c r="L4982" s="2"/>
    </x:row>
    <x:row r="4983" ht="22" customHeight="1">
      <x:c r="A4983" s="2"/>
      <x:c r="B4983" s="2" t="n">
        <x:v>4950</x:v>
      </x:c>
      <x:c r="C4983" s="2" t="str">
        <x:v>21583</x:v>
      </x:c>
      <x:c r="D4983" s="2" t="str">
        <x:v>Description unavailable</x:v>
      </x:c>
      <x:c r="E4983" s="11" t="n">
        <x:v>0</x:v>
      </x:c>
      <x:c r="F4983" s="11" t="n">
        <x:v>0</x:v>
      </x:c>
      <x:c r="G4983" s="11" t="n">
        <x:v>0</x:v>
      </x:c>
      <x:c r="H4983" s="23" t="n">
        <x:v>0</x:v>
      </x:c>
      <x:c r="I4983" s="23" t="n">
        <x:v>1.000000000000004</x:v>
      </x:c>
      <x:c r="J4983" s="2" t="n">
        <x:v>0</x:v>
      </x:c>
      <x:c r="K4983" s="2"/>
      <x:c r="L4983" s="2"/>
    </x:row>
    <x:row r="4984" ht="22" customHeight="1">
      <x:c r="A4984" s="2"/>
      <x:c r="B4984" s="2" t="n">
        <x:v>4951</x:v>
      </x:c>
      <x:c r="C4984" s="2" t="str">
        <x:v>21646</x:v>
      </x:c>
      <x:c r="D4984" s="2" t="str">
        <x:v>Description unavailable</x:v>
      </x:c>
      <x:c r="E4984" s="11" t="n">
        <x:v>0</x:v>
      </x:c>
      <x:c r="F4984" s="11" t="n">
        <x:v>0</x:v>
      </x:c>
      <x:c r="G4984" s="11" t="n">
        <x:v>0</x:v>
      </x:c>
      <x:c r="H4984" s="23" t="n">
        <x:v>0</x:v>
      </x:c>
      <x:c r="I4984" s="23" t="n">
        <x:v>1.000000000000004</x:v>
      </x:c>
      <x:c r="J4984" s="2" t="n">
        <x:v>0</x:v>
      </x:c>
      <x:c r="K4984" s="2"/>
      <x:c r="L4984" s="2"/>
    </x:row>
    <x:row r="4985" ht="22" customHeight="1">
      <x:c r="A4985" s="2"/>
      <x:c r="B4985" s="2" t="n">
        <x:v>4952</x:v>
      </x:c>
      <x:c r="C4985" s="2" t="str">
        <x:v>85193S</x:v>
      </x:c>
      <x:c r="D4985" s="2" t="str">
        <x:v>Description unavailable</x:v>
      </x:c>
      <x:c r="E4985" s="11" t="n">
        <x:v>0</x:v>
      </x:c>
      <x:c r="F4985" s="11" t="n">
        <x:v>0</x:v>
      </x:c>
      <x:c r="G4985" s="11" t="n">
        <x:v>0</x:v>
      </x:c>
      <x:c r="H4985" s="23" t="n">
        <x:v>0</x:v>
      </x:c>
      <x:c r="I4985" s="23" t="n">
        <x:v>1.000000000000004</x:v>
      </x:c>
      <x:c r="J4985" s="2" t="n">
        <x:v>0</x:v>
      </x:c>
      <x:c r="K4985" s="2"/>
      <x:c r="L4985" s="2"/>
    </x:row>
    <x:row r="4986" ht="22" customHeight="1">
      <x:c r="A4986" s="2"/>
      <x:c r="B4986" s="2" t="n">
        <x:v>4953</x:v>
      </x:c>
      <x:c r="C4986" s="2" t="str">
        <x:v>85207B</x:v>
      </x:c>
      <x:c r="D4986" s="2" t="str">
        <x:v>Description unavailable</x:v>
      </x:c>
      <x:c r="E4986" s="11" t="n">
        <x:v>0</x:v>
      </x:c>
      <x:c r="F4986" s="11" t="n">
        <x:v>0</x:v>
      </x:c>
      <x:c r="G4986" s="11" t="n">
        <x:v>0</x:v>
      </x:c>
      <x:c r="H4986" s="23" t="n">
        <x:v>0</x:v>
      </x:c>
      <x:c r="I4986" s="23" t="n">
        <x:v>1.000000000000004</x:v>
      </x:c>
      <x:c r="J4986" s="2" t="n">
        <x:v>0</x:v>
      </x:c>
      <x:c r="K4986" s="2"/>
      <x:c r="L4986" s="2"/>
    </x:row>
    <x:row r="4987" ht="22" customHeight="1">
      <x:c r="A4987" s="2"/>
      <x:c r="B4987" s="2" t="n">
        <x:v>4954</x:v>
      </x:c>
      <x:c r="C4987" s="2" t="str">
        <x:v>21701</x:v>
      </x:c>
      <x:c r="D4987" s="2" t="str">
        <x:v>No Stock</x:v>
      </x:c>
      <x:c r="E4987" s="11" t="n">
        <x:v>0</x:v>
      </x:c>
      <x:c r="F4987" s="11" t="n">
        <x:v>20.28</x:v>
      </x:c>
      <x:c r="G4987" s="11" t="n">
        <x:v>-20.28</x:v>
      </x:c>
      <x:c r="H4987" s="23" t="n">
        <x:v>0</x:v>
      </x:c>
      <x:c r="I4987" s="23" t="n">
        <x:v>1.000000000000004</x:v>
      </x:c>
      <x:c r="J4987" s="2" t="n">
        <x:v>0</x:v>
      </x:c>
      <x:c r="K4987" s="2"/>
      <x:c r="L4987" s="2"/>
    </x:row>
    <x:row r="4988" ht="22" customHeight="1">
      <x:c r="A4988" s="2"/>
      <x:c r="B4988" s="2" t="n">
        <x:v>4955</x:v>
      </x:c>
      <x:c r="C4988" s="2" t="str">
        <x:v>21753</x:v>
      </x:c>
      <x:c r="D4988" s="2" t="str">
        <x:v>Description unavailable</x:v>
      </x:c>
      <x:c r="E4988" s="11" t="n">
        <x:v>0</x:v>
      </x:c>
      <x:c r="F4988" s="11" t="n">
        <x:v>0</x:v>
      </x:c>
      <x:c r="G4988" s="11" t="n">
        <x:v>0</x:v>
      </x:c>
      <x:c r="H4988" s="23" t="n">
        <x:v>0</x:v>
      </x:c>
      <x:c r="I4988" s="23" t="n">
        <x:v>1.000000000000004</x:v>
      </x:c>
      <x:c r="J4988" s="2" t="n">
        <x:v>0</x:v>
      </x:c>
      <x:c r="K4988" s="2"/>
      <x:c r="L4988" s="2"/>
    </x:row>
    <x:row r="4989" ht="22" customHeight="1">
      <x:c r="A4989" s="2"/>
      <x:c r="B4989" s="2" t="n">
        <x:v>4956</x:v>
      </x:c>
      <x:c r="C4989" s="2" t="str">
        <x:v>85219</x:v>
      </x:c>
      <x:c r="D4989" s="2" t="str">
        <x:v>S/4 HEART CRYSTAL FRIDGE MAGNETS</x:v>
      </x:c>
      <x:c r="E4989" s="11" t="n">
        <x:v>0</x:v>
      </x:c>
      <x:c r="F4989" s="11" t="n">
        <x:v>4.949999999999999</x:v>
      </x:c>
      <x:c r="G4989" s="11" t="n">
        <x:v>-4.949999999999999</x:v>
      </x:c>
      <x:c r="H4989" s="23" t="n">
        <x:v>0</x:v>
      </x:c>
      <x:c r="I4989" s="23" t="n">
        <x:v>1.000000000000004</x:v>
      </x:c>
      <x:c r="J4989" s="2" t="n">
        <x:v>0</x:v>
      </x:c>
      <x:c r="K4989" s="2"/>
      <x:c r="L4989" s="2"/>
    </x:row>
    <x:row r="4990" ht="22" customHeight="1">
      <x:c r="A4990" s="2"/>
      <x:c r="B4990" s="2" t="n">
        <x:v>4957</x:v>
      </x:c>
      <x:c r="C4990" s="2" t="str">
        <x:v>21601</x:v>
      </x:c>
      <x:c r="D4990" s="2" t="str">
        <x:v>Description unavailable</x:v>
      </x:c>
      <x:c r="E4990" s="11" t="n">
        <x:v>0</x:v>
      </x:c>
      <x:c r="F4990" s="11" t="n">
        <x:v>0</x:v>
      </x:c>
      <x:c r="G4990" s="11" t="n">
        <x:v>0</x:v>
      </x:c>
      <x:c r="H4990" s="23" t="n">
        <x:v>0</x:v>
      </x:c>
      <x:c r="I4990" s="23" t="n">
        <x:v>1.000000000000004</x:v>
      </x:c>
      <x:c r="J4990" s="2" t="n">
        <x:v>0</x:v>
      </x:c>
      <x:c r="K4990" s="2"/>
      <x:c r="L4990" s="2"/>
    </x:row>
    <x:row r="4991" ht="22" customHeight="1">
      <x:c r="A4991" s="2"/>
      <x:c r="B4991" s="2" t="n">
        <x:v>4958</x:v>
      </x:c>
      <x:c r="C4991" s="2" t="str">
        <x:v>21602</x:v>
      </x:c>
      <x:c r="D4991" s="2" t="str">
        <x:v>Description unavailable</x:v>
      </x:c>
      <x:c r="E4991" s="11" t="n">
        <x:v>0</x:v>
      </x:c>
      <x:c r="F4991" s="11" t="n">
        <x:v>0</x:v>
      </x:c>
      <x:c r="G4991" s="11" t="n">
        <x:v>0</x:v>
      </x:c>
      <x:c r="H4991" s="23" t="n">
        <x:v>0</x:v>
      </x:c>
      <x:c r="I4991" s="23" t="n">
        <x:v>1.000000000000004</x:v>
      </x:c>
      <x:c r="J4991" s="2" t="n">
        <x:v>0</x:v>
      </x:c>
      <x:c r="K4991" s="2"/>
      <x:c r="L4991" s="2"/>
    </x:row>
    <x:row r="4992" ht="22" customHeight="1">
      <x:c r="A4992" s="2"/>
      <x:c r="B4992" s="2" t="n">
        <x:v>4959</x:v>
      </x:c>
      <x:c r="C4992" s="2" t="str">
        <x:v>35839</x:v>
      </x:c>
      <x:c r="D4992" s="2" t="str">
        <x:v>Description unavailable</x:v>
      </x:c>
      <x:c r="E4992" s="11" t="n">
        <x:v>0</x:v>
      </x:c>
      <x:c r="F4992" s="11" t="n">
        <x:v>0</x:v>
      </x:c>
      <x:c r="G4992" s="11" t="n">
        <x:v>0</x:v>
      </x:c>
      <x:c r="H4992" s="23" t="n">
        <x:v>0</x:v>
      </x:c>
      <x:c r="I4992" s="23" t="n">
        <x:v>1.000000000000004</x:v>
      </x:c>
      <x:c r="J4992" s="2" t="n">
        <x:v>0</x:v>
      </x:c>
      <x:c r="K4992" s="2"/>
      <x:c r="L4992" s="2"/>
    </x:row>
    <x:row r="4993" ht="22" customHeight="1">
      <x:c r="A4993" s="2"/>
      <x:c r="B4993" s="2" t="n">
        <x:v>4960</x:v>
      </x:c>
      <x:c r="C4993" s="2" t="str">
        <x:v>35900</x:v>
      </x:c>
      <x:c r="D4993" s="2" t="str">
        <x:v>Description unavailable</x:v>
      </x:c>
      <x:c r="E4993" s="11" t="n">
        <x:v>0</x:v>
      </x:c>
      <x:c r="F4993" s="11" t="n">
        <x:v>0</x:v>
      </x:c>
      <x:c r="G4993" s="11" t="n">
        <x:v>0</x:v>
      </x:c>
      <x:c r="H4993" s="23" t="n">
        <x:v>0</x:v>
      </x:c>
      <x:c r="I4993" s="23" t="n">
        <x:v>1.000000000000004</x:v>
      </x:c>
      <x:c r="J4993" s="2" t="n">
        <x:v>0</x:v>
      </x:c>
      <x:c r="K4993" s="2"/>
      <x:c r="L4993" s="2"/>
    </x:row>
    <x:row r="4994" ht="22" customHeight="1">
      <x:c r="A4994" s="2"/>
      <x:c r="B4994" s="2" t="n">
        <x:v>4961</x:v>
      </x:c>
      <x:c r="C4994" s="2" t="str">
        <x:v>35908C</x:v>
      </x:c>
      <x:c r="D4994" s="2" t="str">
        <x:v>Description unavailable</x:v>
      </x:c>
      <x:c r="E4994" s="11" t="n">
        <x:v>0</x:v>
      </x:c>
      <x:c r="F4994" s="11" t="n">
        <x:v>0</x:v>
      </x:c>
      <x:c r="G4994" s="11" t="n">
        <x:v>0</x:v>
      </x:c>
      <x:c r="H4994" s="23" t="n">
        <x:v>0</x:v>
      </x:c>
      <x:c r="I4994" s="23" t="n">
        <x:v>1.000000000000004</x:v>
      </x:c>
      <x:c r="J4994" s="2" t="n">
        <x:v>0</x:v>
      </x:c>
      <x:c r="K4994" s="2"/>
      <x:c r="L4994" s="2"/>
    </x:row>
    <x:row r="4995" ht="22" customHeight="1">
      <x:c r="A4995" s="2"/>
      <x:c r="B4995" s="2" t="n">
        <x:v>4962</x:v>
      </x:c>
      <x:c r="C4995" s="2" t="str">
        <x:v>47581A</x:v>
      </x:c>
      <x:c r="D4995" s="2" t="str">
        <x:v>Description unavailable</x:v>
      </x:c>
      <x:c r="E4995" s="11" t="n">
        <x:v>0</x:v>
      </x:c>
      <x:c r="F4995" s="11" t="n">
        <x:v>0</x:v>
      </x:c>
      <x:c r="G4995" s="11" t="n">
        <x:v>0</x:v>
      </x:c>
      <x:c r="H4995" s="23" t="n">
        <x:v>0</x:v>
      </x:c>
      <x:c r="I4995" s="23" t="n">
        <x:v>1.000000000000004</x:v>
      </x:c>
      <x:c r="J4995" s="2" t="n">
        <x:v>0</x:v>
      </x:c>
      <x:c r="K4995" s="2"/>
      <x:c r="L4995" s="2"/>
    </x:row>
    <x:row r="4996" ht="22" customHeight="1">
      <x:c r="A4996" s="2"/>
      <x:c r="B4996" s="2" t="n">
        <x:v>4963</x:v>
      </x:c>
      <x:c r="C4996" s="2" t="str">
        <x:v>35940</x:v>
      </x:c>
      <x:c r="D4996" s="2" t="str">
        <x:v>Description unavailable</x:v>
      </x:c>
      <x:c r="E4996" s="11" t="n">
        <x:v>0</x:v>
      </x:c>
      <x:c r="F4996" s="11" t="n">
        <x:v>0</x:v>
      </x:c>
      <x:c r="G4996" s="11" t="n">
        <x:v>0</x:v>
      </x:c>
      <x:c r="H4996" s="23" t="n">
        <x:v>0</x:v>
      </x:c>
      <x:c r="I4996" s="23" t="n">
        <x:v>1.000000000000004</x:v>
      </x:c>
      <x:c r="J4996" s="2" t="n">
        <x:v>0</x:v>
      </x:c>
      <x:c r="K4996" s="2"/>
      <x:c r="L4996" s="2"/>
    </x:row>
    <x:row r="4997" ht="22" customHeight="1">
      <x:c r="A4997" s="2"/>
      <x:c r="B4997" s="2" t="n">
        <x:v>4964</x:v>
      </x:c>
      <x:c r="C4997" s="2" t="str">
        <x:v>35941</x:v>
      </x:c>
      <x:c r="D4997" s="2" t="str">
        <x:v>Description unavailable</x:v>
      </x:c>
      <x:c r="E4997" s="11" t="n">
        <x:v>0</x:v>
      </x:c>
      <x:c r="F4997" s="11" t="n">
        <x:v>0</x:v>
      </x:c>
      <x:c r="G4997" s="11" t="n">
        <x:v>0</x:v>
      </x:c>
      <x:c r="H4997" s="23" t="n">
        <x:v>0</x:v>
      </x:c>
      <x:c r="I4997" s="23" t="n">
        <x:v>1.000000000000004</x:v>
      </x:c>
      <x:c r="J4997" s="2" t="n">
        <x:v>0</x:v>
      </x:c>
      <x:c r="K4997" s="2"/>
      <x:c r="L4997" s="2"/>
    </x:row>
    <x:row r="4998" ht="22" customHeight="1">
      <x:c r="A4998" s="2"/>
      <x:c r="B4998" s="2" t="n">
        <x:v>4965</x:v>
      </x:c>
      <x:c r="C4998" s="2" t="str">
        <x:v>35948</x:v>
      </x:c>
      <x:c r="D4998" s="2" t="str">
        <x:v>Description unavailable</x:v>
      </x:c>
      <x:c r="E4998" s="11" t="n">
        <x:v>0</x:v>
      </x:c>
      <x:c r="F4998" s="11" t="n">
        <x:v>0</x:v>
      </x:c>
      <x:c r="G4998" s="11" t="n">
        <x:v>0</x:v>
      </x:c>
      <x:c r="H4998" s="23" t="n">
        <x:v>0</x:v>
      </x:c>
      <x:c r="I4998" s="23" t="n">
        <x:v>1.000000000000004</x:v>
      </x:c>
      <x:c r="J4998" s="2" t="n">
        <x:v>0</x:v>
      </x:c>
      <x:c r="K4998" s="2"/>
      <x:c r="L4998" s="2"/>
    </x:row>
    <x:row r="4999" ht="22" customHeight="1">
      <x:c r="A4999" s="2"/>
      <x:c r="B4999" s="2" t="n">
        <x:v>4966</x:v>
      </x:c>
      <x:c r="C4999" s="2" t="str">
        <x:v>35949</x:v>
      </x:c>
      <x:c r="D4999" s="2" t="str">
        <x:v>Description unavailable</x:v>
      </x:c>
      <x:c r="E4999" s="11" t="n">
        <x:v>0</x:v>
      </x:c>
      <x:c r="F4999" s="11" t="n">
        <x:v>0</x:v>
      </x:c>
      <x:c r="G4999" s="11" t="n">
        <x:v>0</x:v>
      </x:c>
      <x:c r="H4999" s="23" t="n">
        <x:v>0</x:v>
      </x:c>
      <x:c r="I4999" s="23" t="n">
        <x:v>1.000000000000004</x:v>
      </x:c>
      <x:c r="J4999" s="2" t="n">
        <x:v>0</x:v>
      </x:c>
      <x:c r="K4999" s="2"/>
      <x:c r="L4999" s="2"/>
    </x:row>
    <x:row r="5000" ht="22" customHeight="1">
      <x:c r="A5000" s="2"/>
      <x:c r="B5000" s="2" t="n">
        <x:v>4967</x:v>
      </x:c>
      <x:c r="C5000" s="2" t="str">
        <x:v>35956</x:v>
      </x:c>
      <x:c r="D5000" s="2" t="str">
        <x:v>lost</x:v>
      </x:c>
      <x:c r="E5000" s="11" t="n">
        <x:v>0</x:v>
      </x:c>
      <x:c r="F5000" s="11" t="n">
        <x:v>0</x:v>
      </x:c>
      <x:c r="G5000" s="11" t="n">
        <x:v>0</x:v>
      </x:c>
      <x:c r="H5000" s="23" t="n">
        <x:v>0</x:v>
      </x:c>
      <x:c r="I5000" s="23" t="n">
        <x:v>1.000000000000004</x:v>
      </x:c>
      <x:c r="J5000" s="2" t="n">
        <x:v>0</x:v>
      </x:c>
      <x:c r="K5000" s="2"/>
      <x:c r="L5000" s="2"/>
    </x:row>
    <x:row r="5001" ht="22" customHeight="1">
      <x:c r="A5001" s="2"/>
      <x:c r="B5001" s="2" t="n">
        <x:v>4968</x:v>
      </x:c>
      <x:c r="C5001" s="2" t="str">
        <x:v>35960</x:v>
      </x:c>
      <x:c r="D5001" s="2" t="str">
        <x:v>Description unavailable</x:v>
      </x:c>
      <x:c r="E5001" s="11" t="n">
        <x:v>0</x:v>
      </x:c>
      <x:c r="F5001" s="11" t="n">
        <x:v>0</x:v>
      </x:c>
      <x:c r="G5001" s="11" t="n">
        <x:v>0</x:v>
      </x:c>
      <x:c r="H5001" s="23" t="n">
        <x:v>0</x:v>
      </x:c>
      <x:c r="I5001" s="23" t="n">
        <x:v>1.000000000000004</x:v>
      </x:c>
      <x:c r="J5001" s="2" t="n">
        <x:v>0</x:v>
      </x:c>
      <x:c r="K5001" s="2"/>
      <x:c r="L5001" s="2"/>
    </x:row>
    <x:row r="5002" ht="22" customHeight="1">
      <x:c r="A5002" s="2"/>
      <x:c r="B5002" s="2" t="n">
        <x:v>4969</x:v>
      </x:c>
      <x:c r="C5002" s="2" t="str">
        <x:v>70037L</x:v>
      </x:c>
      <x:c r="D5002" s="2" t="str">
        <x:v>Description unavailable</x:v>
      </x:c>
      <x:c r="E5002" s="11" t="n">
        <x:v>0</x:v>
      </x:c>
      <x:c r="F5002" s="11" t="n">
        <x:v>0</x:v>
      </x:c>
      <x:c r="G5002" s="11" t="n">
        <x:v>0</x:v>
      </x:c>
      <x:c r="H5002" s="23" t="n">
        <x:v>0</x:v>
      </x:c>
      <x:c r="I5002" s="23" t="n">
        <x:v>1.000000000000004</x:v>
      </x:c>
      <x:c r="J5002" s="2" t="n">
        <x:v>0</x:v>
      </x:c>
      <x:c r="K5002" s="2"/>
      <x:c r="L5002" s="2"/>
    </x:row>
    <x:row r="5003" ht="22" customHeight="1">
      <x:c r="A5003" s="2"/>
      <x:c r="B5003" s="2" t="n">
        <x:v>4970</x:v>
      </x:c>
      <x:c r="C5003" s="2" t="str">
        <x:v>71028A</x:v>
      </x:c>
      <x:c r="D5003" s="2" t="str">
        <x:v>Description unavailable</x:v>
      </x:c>
      <x:c r="E5003" s="11" t="n">
        <x:v>0</x:v>
      </x:c>
      <x:c r="F5003" s="11" t="n">
        <x:v>0</x:v>
      </x:c>
      <x:c r="G5003" s="11" t="n">
        <x:v>0</x:v>
      </x:c>
      <x:c r="H5003" s="23" t="n">
        <x:v>0</x:v>
      </x:c>
      <x:c r="I5003" s="23" t="n">
        <x:v>1.000000000000004</x:v>
      </x:c>
      <x:c r="J5003" s="2" t="n">
        <x:v>0</x:v>
      </x:c>
      <x:c r="K5003" s="2"/>
      <x:c r="L5003" s="2"/>
    </x:row>
    <x:row r="5004" ht="22" customHeight="1">
      <x:c r="A5004" s="2"/>
      <x:c r="B5004" s="2" t="n">
        <x:v>4971</x:v>
      </x:c>
      <x:c r="C5004" s="2" t="str">
        <x:v>71263G</x:v>
      </x:c>
      <x:c r="D5004" s="2" t="str">
        <x:v>Description unavailable</x:v>
      </x:c>
      <x:c r="E5004" s="11" t="n">
        <x:v>0</x:v>
      </x:c>
      <x:c r="F5004" s="11" t="n">
        <x:v>0</x:v>
      </x:c>
      <x:c r="G5004" s="11" t="n">
        <x:v>0</x:v>
      </x:c>
      <x:c r="H5004" s="23" t="n">
        <x:v>0</x:v>
      </x:c>
      <x:c r="I5004" s="23" t="n">
        <x:v>1.000000000000004</x:v>
      </x:c>
      <x:c r="J5004" s="2" t="n">
        <x:v>0</x:v>
      </x:c>
      <x:c r="K5004" s="2"/>
      <x:c r="L5004" s="2"/>
    </x:row>
    <x:row r="5005" ht="22" customHeight="1">
      <x:c r="A5005" s="2"/>
      <x:c r="B5005" s="2" t="n">
        <x:v>4972</x:v>
      </x:c>
      <x:c r="C5005" s="2" t="str">
        <x:v>71265</x:v>
      </x:c>
      <x:c r="D5005" s="2" t="str">
        <x:v>Description unavailable</x:v>
      </x:c>
      <x:c r="E5005" s="11" t="n">
        <x:v>0</x:v>
      </x:c>
      <x:c r="F5005" s="11" t="n">
        <x:v>0</x:v>
      </x:c>
      <x:c r="G5005" s="11" t="n">
        <x:v>0</x:v>
      </x:c>
      <x:c r="H5005" s="23" t="n">
        <x:v>0</x:v>
      </x:c>
      <x:c r="I5005" s="23" t="n">
        <x:v>1.000000000000004</x:v>
      </x:c>
      <x:c r="J5005" s="2" t="n">
        <x:v>0</x:v>
      </x:c>
      <x:c r="K5005" s="2"/>
      <x:c r="L5005" s="2"/>
    </x:row>
    <x:row r="5006" ht="22" customHeight="1">
      <x:c r="A5006" s="2"/>
      <x:c r="B5006" s="2" t="n">
        <x:v>4973</x:v>
      </x:c>
      <x:c r="C5006" s="2" t="str">
        <x:v>71406B</x:v>
      </x:c>
      <x:c r="D5006" s="2" t="str">
        <x:v>Description unavailable</x:v>
      </x:c>
      <x:c r="E5006" s="11" t="n">
        <x:v>0</x:v>
      </x:c>
      <x:c r="F5006" s="11" t="n">
        <x:v>0</x:v>
      </x:c>
      <x:c r="G5006" s="11" t="n">
        <x:v>0</x:v>
      </x:c>
      <x:c r="H5006" s="23" t="n">
        <x:v>0</x:v>
      </x:c>
      <x:c r="I5006" s="23" t="n">
        <x:v>1.000000000000004</x:v>
      </x:c>
      <x:c r="J5006" s="2" t="n">
        <x:v>0</x:v>
      </x:c>
      <x:c r="K5006" s="2"/>
      <x:c r="L5006" s="2"/>
    </x:row>
    <x:row r="5007" ht="22" customHeight="1">
      <x:c r="A5007" s="2"/>
      <x:c r="B5007" s="2" t="n">
        <x:v>4974</x:v>
      </x:c>
      <x:c r="C5007" s="2" t="str">
        <x:v>71409B</x:v>
      </x:c>
      <x:c r="D5007" s="2" t="str">
        <x:v>Description unavailable</x:v>
      </x:c>
      <x:c r="E5007" s="11" t="n">
        <x:v>0</x:v>
      </x:c>
      <x:c r="F5007" s="11" t="n">
        <x:v>0</x:v>
      </x:c>
      <x:c r="G5007" s="11" t="n">
        <x:v>0</x:v>
      </x:c>
      <x:c r="H5007" s="23" t="n">
        <x:v>0</x:v>
      </x:c>
      <x:c r="I5007" s="23" t="n">
        <x:v>1.000000000000004</x:v>
      </x:c>
      <x:c r="J5007" s="2" t="n">
        <x:v>0</x:v>
      </x:c>
      <x:c r="K5007" s="2"/>
      <x:c r="L5007" s="2"/>
    </x:row>
    <x:row r="5008" ht="22" customHeight="1">
      <x:c r="A5008" s="2"/>
      <x:c r="B5008" s="2" t="n">
        <x:v>4975</x:v>
      </x:c>
      <x:c r="C5008" s="2" t="str">
        <x:v>71431</x:v>
      </x:c>
      <x:c r="D5008" s="2" t="str">
        <x:v>Description unavailable</x:v>
      </x:c>
      <x:c r="E5008" s="11" t="n">
        <x:v>0</x:v>
      </x:c>
      <x:c r="F5008" s="11" t="n">
        <x:v>0</x:v>
      </x:c>
      <x:c r="G5008" s="11" t="n">
        <x:v>0</x:v>
      </x:c>
      <x:c r="H5008" s="23" t="n">
        <x:v>0</x:v>
      </x:c>
      <x:c r="I5008" s="23" t="n">
        <x:v>1.000000000000004</x:v>
      </x:c>
      <x:c r="J5008" s="2" t="n">
        <x:v>0</x:v>
      </x:c>
      <x:c r="K5008" s="2"/>
      <x:c r="L5008" s="2"/>
    </x:row>
    <x:row r="5009" ht="22" customHeight="1">
      <x:c r="A5009" s="2"/>
      <x:c r="B5009" s="2" t="n">
        <x:v>4976</x:v>
      </x:c>
      <x:c r="C5009" s="2" t="str">
        <x:v>16131</x:v>
      </x:c>
      <x:c r="D5009" s="2" t="str">
        <x:v>Description unavailable</x:v>
      </x:c>
      <x:c r="E5009" s="11" t="n">
        <x:v>0</x:v>
      </x:c>
      <x:c r="F5009" s="11" t="n">
        <x:v>0</x:v>
      </x:c>
      <x:c r="G5009" s="11" t="n">
        <x:v>0</x:v>
      </x:c>
      <x:c r="H5009" s="23" t="n">
        <x:v>0</x:v>
      </x:c>
      <x:c r="I5009" s="23" t="n">
        <x:v>1.000000000000004</x:v>
      </x:c>
      <x:c r="J5009" s="2" t="n">
        <x:v>0</x:v>
      </x:c>
      <x:c r="K5009" s="2"/>
      <x:c r="L5009" s="2"/>
    </x:row>
    <x:row r="5010" ht="22" customHeight="1">
      <x:c r="A5010" s="2"/>
      <x:c r="B5010" s="2" t="n">
        <x:v>4977</x:v>
      </x:c>
      <x:c r="C5010" s="2" t="str">
        <x:v>16132</x:v>
      </x:c>
      <x:c r="D5010" s="2" t="str">
        <x:v>Description unavailable</x:v>
      </x:c>
      <x:c r="E5010" s="11" t="n">
        <x:v>0</x:v>
      </x:c>
      <x:c r="F5010" s="11" t="n">
        <x:v>0</x:v>
      </x:c>
      <x:c r="G5010" s="11" t="n">
        <x:v>0</x:v>
      </x:c>
      <x:c r="H5010" s="23" t="n">
        <x:v>0</x:v>
      </x:c>
      <x:c r="I5010" s="23" t="n">
        <x:v>1.000000000000004</x:v>
      </x:c>
      <x:c r="J5010" s="2" t="n">
        <x:v>0</x:v>
      </x:c>
      <x:c r="K5010" s="2"/>
      <x:c r="L5010" s="2"/>
    </x:row>
    <x:row r="5011" ht="22" customHeight="1">
      <x:c r="A5011" s="2"/>
      <x:c r="B5011" s="2" t="n">
        <x:v>4978</x:v>
      </x:c>
      <x:c r="C5011" s="2" t="str">
        <x:v>21514</x:v>
      </x:c>
      <x:c r="D5011" s="2" t="str">
        <x:v>Description unavailable</x:v>
      </x:c>
      <x:c r="E5011" s="11" t="n">
        <x:v>0</x:v>
      </x:c>
      <x:c r="F5011" s="11" t="n">
        <x:v>0</x:v>
      </x:c>
      <x:c r="G5011" s="11" t="n">
        <x:v>0</x:v>
      </x:c>
      <x:c r="H5011" s="23" t="n">
        <x:v>0</x:v>
      </x:c>
      <x:c r="I5011" s="23" t="n">
        <x:v>1.000000000000004</x:v>
      </x:c>
      <x:c r="J5011" s="2" t="n">
        <x:v>0</x:v>
      </x:c>
      <x:c r="K5011" s="2"/>
      <x:c r="L5011" s="2"/>
    </x:row>
    <x:row r="5012" ht="22" customHeight="1">
      <x:c r="A5012" s="2"/>
      <x:c r="B5012" s="2" t="n">
        <x:v>4979</x:v>
      </x:c>
      <x:c r="C5012" s="2" t="str">
        <x:v>21487</x:v>
      </x:c>
      <x:c r="D5012" s="2" t="str">
        <x:v>Description unavailable</x:v>
      </x:c>
      <x:c r="E5012" s="11" t="n">
        <x:v>0</x:v>
      </x:c>
      <x:c r="F5012" s="11" t="n">
        <x:v>0</x:v>
      </x:c>
      <x:c r="G5012" s="11" t="n">
        <x:v>0</x:v>
      </x:c>
      <x:c r="H5012" s="23" t="n">
        <x:v>0</x:v>
      </x:c>
      <x:c r="I5012" s="23" t="n">
        <x:v>1.000000000000004</x:v>
      </x:c>
      <x:c r="J5012" s="2" t="n">
        <x:v>0</x:v>
      </x:c>
      <x:c r="K5012" s="2"/>
      <x:c r="L5012" s="2"/>
    </x:row>
    <x:row r="5013" ht="22" customHeight="1">
      <x:c r="A5013" s="2"/>
      <x:c r="B5013" s="2" t="n">
        <x:v>4980</x:v>
      </x:c>
      <x:c r="C5013" s="2" t="str">
        <x:v>21492</x:v>
      </x:c>
      <x:c r="D5013" s="2" t="str">
        <x:v>Description unavailable</x:v>
      </x:c>
      <x:c r="E5013" s="11" t="n">
        <x:v>0</x:v>
      </x:c>
      <x:c r="F5013" s="11" t="n">
        <x:v>0</x:v>
      </x:c>
      <x:c r="G5013" s="11" t="n">
        <x:v>0</x:v>
      </x:c>
      <x:c r="H5013" s="23" t="n">
        <x:v>0</x:v>
      </x:c>
      <x:c r="I5013" s="23" t="n">
        <x:v>1.000000000000004</x:v>
      </x:c>
      <x:c r="J5013" s="2" t="n">
        <x:v>0</x:v>
      </x:c>
      <x:c r="K5013" s="2"/>
      <x:c r="L5013" s="2"/>
    </x:row>
    <x:row r="5014" ht="22" customHeight="1">
      <x:c r="A5014" s="2"/>
      <x:c r="B5014" s="2" t="n">
        <x:v>4981</x:v>
      </x:c>
      <x:c r="C5014" s="2" t="str">
        <x:v>85184A</x:v>
      </x:c>
      <x:c r="D5014" s="2" t="str">
        <x:v>Description unavailable</x:v>
      </x:c>
      <x:c r="E5014" s="11" t="n">
        <x:v>0</x:v>
      </x:c>
      <x:c r="F5014" s="11" t="n">
        <x:v>0</x:v>
      </x:c>
      <x:c r="G5014" s="11" t="n">
        <x:v>0</x:v>
      </x:c>
      <x:c r="H5014" s="23" t="n">
        <x:v>0</x:v>
      </x:c>
      <x:c r="I5014" s="23" t="n">
        <x:v>1.000000000000004</x:v>
      </x:c>
      <x:c r="J5014" s="2" t="n">
        <x:v>0</x:v>
      </x:c>
      <x:c r="K5014" s="2"/>
      <x:c r="L5014" s="2"/>
    </x:row>
    <x:row r="5015" ht="22" customHeight="1">
      <x:c r="A5015" s="2"/>
      <x:c r="B5015" s="2" t="n">
        <x:v>4982</x:v>
      </x:c>
      <x:c r="C5015" s="2" t="str">
        <x:v>21505</x:v>
      </x:c>
      <x:c r="D5015" s="2" t="str">
        <x:v>Description unavailable</x:v>
      </x:c>
      <x:c r="E5015" s="11" t="n">
        <x:v>0</x:v>
      </x:c>
      <x:c r="F5015" s="11" t="n">
        <x:v>0</x:v>
      </x:c>
      <x:c r="G5015" s="11" t="n">
        <x:v>0</x:v>
      </x:c>
      <x:c r="H5015" s="23" t="n">
        <x:v>0</x:v>
      </x:c>
      <x:c r="I5015" s="23" t="n">
        <x:v>1.000000000000004</x:v>
      </x:c>
      <x:c r="J5015" s="2" t="n">
        <x:v>0</x:v>
      </x:c>
      <x:c r="K5015" s="2"/>
      <x:c r="L5015" s="2"/>
    </x:row>
    <x:row r="5016" ht="22" customHeight="1">
      <x:c r="A5016" s="2"/>
      <x:c r="B5016" s="2" t="n">
        <x:v>4983</x:v>
      </x:c>
      <x:c r="C5016" s="2" t="str">
        <x:v>21510</x:v>
      </x:c>
      <x:c r="D5016" s="2" t="str">
        <x:v>Description unavailable</x:v>
      </x:c>
      <x:c r="E5016" s="11" t="n">
        <x:v>0</x:v>
      </x:c>
      <x:c r="F5016" s="11" t="n">
        <x:v>0</x:v>
      </x:c>
      <x:c r="G5016" s="11" t="n">
        <x:v>0</x:v>
      </x:c>
      <x:c r="H5016" s="23" t="n">
        <x:v>0</x:v>
      </x:c>
      <x:c r="I5016" s="23" t="n">
        <x:v>1.000000000000004</x:v>
      </x:c>
      <x:c r="J5016" s="2" t="n">
        <x:v>0</x:v>
      </x:c>
      <x:c r="K5016" s="2"/>
      <x:c r="L5016" s="2"/>
    </x:row>
    <x:row r="5017" ht="22" customHeight="1">
      <x:c r="A5017" s="2"/>
      <x:c r="B5017" s="2" t="n">
        <x:v>4984</x:v>
      </x:c>
      <x:c r="C5017" s="2" t="str">
        <x:v>21512</x:v>
      </x:c>
      <x:c r="D5017" s="2" t="str">
        <x:v>Description unavailable</x:v>
      </x:c>
      <x:c r="E5017" s="11" t="n">
        <x:v>0</x:v>
      </x:c>
      <x:c r="F5017" s="11" t="n">
        <x:v>0</x:v>
      </x:c>
      <x:c r="G5017" s="11" t="n">
        <x:v>0</x:v>
      </x:c>
      <x:c r="H5017" s="23" t="n">
        <x:v>0</x:v>
      </x:c>
      <x:c r="I5017" s="23" t="n">
        <x:v>1.000000000000004</x:v>
      </x:c>
      <x:c r="J5017" s="2" t="n">
        <x:v>0</x:v>
      </x:c>
      <x:c r="K5017" s="2"/>
      <x:c r="L5017" s="2"/>
    </x:row>
    <x:row r="5018" ht="22" customHeight="1">
      <x:c r="A5018" s="2"/>
      <x:c r="B5018" s="2" t="n">
        <x:v>4985</x:v>
      </x:c>
      <x:c r="C5018" s="2" t="str">
        <x:v>72038B</x:v>
      </x:c>
      <x:c r="D5018" s="2" t="str">
        <x:v>damaged</x:v>
      </x:c>
      <x:c r="E5018" s="11" t="n">
        <x:v>0</x:v>
      </x:c>
      <x:c r="F5018" s="11" t="n">
        <x:v>0</x:v>
      </x:c>
      <x:c r="G5018" s="11" t="n">
        <x:v>0</x:v>
      </x:c>
      <x:c r="H5018" s="23" t="n">
        <x:v>0</x:v>
      </x:c>
      <x:c r="I5018" s="23" t="n">
        <x:v>1.000000000000004</x:v>
      </x:c>
      <x:c r="J5018" s="2" t="n">
        <x:v>0</x:v>
      </x:c>
      <x:c r="K5018" s="2"/>
      <x:c r="L5018" s="2"/>
    </x:row>
    <x:row r="5019" ht="22" customHeight="1">
      <x:c r="A5019" s="2"/>
      <x:c r="B5019" s="2" t="n">
        <x:v>4986</x:v>
      </x:c>
      <x:c r="C5019" s="2" t="str">
        <x:v>72045A</x:v>
      </x:c>
      <x:c r="D5019" s="2" t="str">
        <x:v>Description unavailable</x:v>
      </x:c>
      <x:c r="E5019" s="11" t="n">
        <x:v>0</x:v>
      </x:c>
      <x:c r="F5019" s="11" t="n">
        <x:v>0</x:v>
      </x:c>
      <x:c r="G5019" s="11" t="n">
        <x:v>0</x:v>
      </x:c>
      <x:c r="H5019" s="23" t="n">
        <x:v>0</x:v>
      </x:c>
      <x:c r="I5019" s="23" t="n">
        <x:v>1.000000000000004</x:v>
      </x:c>
      <x:c r="J5019" s="2" t="n">
        <x:v>0</x:v>
      </x:c>
      <x:c r="K5019" s="2"/>
      <x:c r="L5019" s="2"/>
    </x:row>
    <x:row r="5020" ht="22" customHeight="1">
      <x:c r="A5020" s="2"/>
      <x:c r="B5020" s="2" t="n">
        <x:v>4987</x:v>
      </x:c>
      <x:c r="C5020" s="2" t="str">
        <x:v>21502</x:v>
      </x:c>
      <x:c r="D5020" s="2" t="str">
        <x:v>Description unavailable</x:v>
      </x:c>
      <x:c r="E5020" s="11" t="n">
        <x:v>0</x:v>
      </x:c>
      <x:c r="F5020" s="11" t="n">
        <x:v>0</x:v>
      </x:c>
      <x:c r="G5020" s="11" t="n">
        <x:v>0</x:v>
      </x:c>
      <x:c r="H5020" s="23" t="n">
        <x:v>0</x:v>
      </x:c>
      <x:c r="I5020" s="23" t="n">
        <x:v>1.000000000000004</x:v>
      </x:c>
      <x:c r="J5020" s="2" t="n">
        <x:v>0</x:v>
      </x:c>
      <x:c r="K5020" s="2"/>
      <x:c r="L5020" s="2"/>
    </x:row>
    <x:row r="5021" ht="22" customHeight="1">
      <x:c r="A5021" s="2"/>
      <x:c r="B5021" s="2" t="n">
        <x:v>4988</x:v>
      </x:c>
      <x:c r="C5021" s="2" t="str">
        <x:v>16065A</x:v>
      </x:c>
      <x:c r="D5021" s="2" t="str">
        <x:v>Description unavailable</x:v>
      </x:c>
      <x:c r="E5021" s="11" t="n">
        <x:v>0</x:v>
      </x:c>
      <x:c r="F5021" s="11" t="n">
        <x:v>0</x:v>
      </x:c>
      <x:c r="G5021" s="11" t="n">
        <x:v>0</x:v>
      </x:c>
      <x:c r="H5021" s="23" t="n">
        <x:v>0</x:v>
      </x:c>
      <x:c r="I5021" s="23" t="n">
        <x:v>1.000000000000004</x:v>
      </x:c>
      <x:c r="J5021" s="2" t="n">
        <x:v>0</x:v>
      </x:c>
      <x:c r="K5021" s="2"/>
      <x:c r="L5021" s="2"/>
    </x:row>
    <x:row r="5022" ht="22" customHeight="1">
      <x:c r="A5022" s="2"/>
      <x:c r="B5022" s="2" t="n">
        <x:v>4989</x:v>
      </x:c>
      <x:c r="C5022" s="2" t="str">
        <x:v>72331R</x:v>
      </x:c>
      <x:c r="D5022" s="2" t="str">
        <x:v>Description unavailable</x:v>
      </x:c>
      <x:c r="E5022" s="11" t="n">
        <x:v>0</x:v>
      </x:c>
      <x:c r="F5022" s="11" t="n">
        <x:v>0</x:v>
      </x:c>
      <x:c r="G5022" s="11" t="n">
        <x:v>0</x:v>
      </x:c>
      <x:c r="H5022" s="23" t="n">
        <x:v>0</x:v>
      </x:c>
      <x:c r="I5022" s="23" t="n">
        <x:v>1.000000000000004</x:v>
      </x:c>
      <x:c r="J5022" s="2" t="n">
        <x:v>0</x:v>
      </x:c>
      <x:c r="K5022" s="2"/>
      <x:c r="L5022" s="2"/>
    </x:row>
    <x:row r="5023" ht="22" customHeight="1">
      <x:c r="A5023" s="2"/>
      <x:c r="B5023" s="2" t="n">
        <x:v>4990</x:v>
      </x:c>
      <x:c r="C5023" s="2" t="str">
        <x:v>72348B</x:v>
      </x:c>
      <x:c r="D5023" s="2" t="str">
        <x:v>Description unavailable</x:v>
      </x:c>
      <x:c r="E5023" s="11" t="n">
        <x:v>0</x:v>
      </x:c>
      <x:c r="F5023" s="11" t="n">
        <x:v>0</x:v>
      </x:c>
      <x:c r="G5023" s="11" t="n">
        <x:v>0</x:v>
      </x:c>
      <x:c r="H5023" s="23" t="n">
        <x:v>0</x:v>
      </x:c>
      <x:c r="I5023" s="23" t="n">
        <x:v>1.000000000000004</x:v>
      </x:c>
      <x:c r="J5023" s="2" t="n">
        <x:v>0</x:v>
      </x:c>
      <x:c r="K5023" s="2"/>
      <x:c r="L5023" s="2"/>
    </x:row>
    <x:row r="5024" ht="22" customHeight="1">
      <x:c r="A5024" s="2"/>
      <x:c r="B5024" s="2" t="n">
        <x:v>4991</x:v>
      </x:c>
      <x:c r="C5024" s="2" t="str">
        <x:v>85148</x:v>
      </x:c>
      <x:c r="D5024" s="2" t="str">
        <x:v>Description unavailable</x:v>
      </x:c>
      <x:c r="E5024" s="11" t="n">
        <x:v>0</x:v>
      </x:c>
      <x:c r="F5024" s="11" t="n">
        <x:v>0</x:v>
      </x:c>
      <x:c r="G5024" s="11" t="n">
        <x:v>0</x:v>
      </x:c>
      <x:c r="H5024" s="23" t="n">
        <x:v>0</x:v>
      </x:c>
      <x:c r="I5024" s="23" t="n">
        <x:v>1.000000000000004</x:v>
      </x:c>
      <x:c r="J5024" s="2" t="n">
        <x:v>0</x:v>
      </x:c>
      <x:c r="K5024" s="2"/>
      <x:c r="L5024" s="2"/>
    </x:row>
    <x:row r="5025" ht="22" customHeight="1">
      <x:c r="A5025" s="2"/>
      <x:c r="B5025" s="2" t="n">
        <x:v>4992</x:v>
      </x:c>
      <x:c r="C5025" s="2" t="str">
        <x:v>72024HC</x:v>
      </x:c>
      <x:c r="D5025" s="2" t="str">
        <x:v>Description unavailable</x:v>
      </x:c>
      <x:c r="E5025" s="11" t="n">
        <x:v>0</x:v>
      </x:c>
      <x:c r="F5025" s="11" t="n">
        <x:v>0</x:v>
      </x:c>
      <x:c r="G5025" s="11" t="n">
        <x:v>0</x:v>
      </x:c>
      <x:c r="H5025" s="23" t="n">
        <x:v>0</x:v>
      </x:c>
      <x:c r="I5025" s="23" t="n">
        <x:v>1.000000000000004</x:v>
      </x:c>
      <x:c r="J5025" s="2" t="n">
        <x:v>0</x:v>
      </x:c>
      <x:c r="K5025" s="2"/>
      <x:c r="L5025" s="2"/>
    </x:row>
    <x:row r="5026" ht="22" customHeight="1">
      <x:c r="A5026" s="2"/>
      <x:c r="B5026" s="2" t="n">
        <x:v>4993</x:v>
      </x:c>
      <x:c r="C5026" s="2" t="str">
        <x:v>21325</x:v>
      </x:c>
      <x:c r="D5026" s="2" t="str">
        <x:v>Description unavailable</x:v>
      </x:c>
      <x:c r="E5026" s="11" t="n">
        <x:v>0</x:v>
      </x:c>
      <x:c r="F5026" s="11" t="n">
        <x:v>0</x:v>
      </x:c>
      <x:c r="G5026" s="11" t="n">
        <x:v>0</x:v>
      </x:c>
      <x:c r="H5026" s="23" t="n">
        <x:v>0</x:v>
      </x:c>
      <x:c r="I5026" s="23" t="n">
        <x:v>1.000000000000004</x:v>
      </x:c>
      <x:c r="J5026" s="2" t="n">
        <x:v>0</x:v>
      </x:c>
      <x:c r="K5026" s="2"/>
      <x:c r="L5026" s="2"/>
    </x:row>
    <x:row r="5027" ht="22" customHeight="1">
      <x:c r="A5027" s="2"/>
      <x:c r="B5027" s="2" t="n">
        <x:v>4994</x:v>
      </x:c>
      <x:c r="C5027" s="2" t="str">
        <x:v>21342</x:v>
      </x:c>
      <x:c r="D5027" s="2" t="str">
        <x:v>Description unavailable</x:v>
      </x:c>
      <x:c r="E5027" s="11" t="n">
        <x:v>0</x:v>
      </x:c>
      <x:c r="F5027" s="11" t="n">
        <x:v>0</x:v>
      </x:c>
      <x:c r="G5027" s="11" t="n">
        <x:v>0</x:v>
      </x:c>
      <x:c r="H5027" s="23" t="n">
        <x:v>0</x:v>
      </x:c>
      <x:c r="I5027" s="23" t="n">
        <x:v>1.000000000000004</x:v>
      </x:c>
      <x:c r="J5027" s="2" t="n">
        <x:v>0</x:v>
      </x:c>
      <x:c r="K5027" s="2"/>
      <x:c r="L5027" s="2"/>
    </x:row>
    <x:row r="5028" ht="22" customHeight="1">
      <x:c r="A5028" s="2"/>
      <x:c r="B5028" s="2" t="n">
        <x:v>4995</x:v>
      </x:c>
      <x:c r="C5028" s="2" t="str">
        <x:v>21362</x:v>
      </x:c>
      <x:c r="D5028" s="2" t="str">
        <x:v>Description unavailable</x:v>
      </x:c>
      <x:c r="E5028" s="11" t="n">
        <x:v>0</x:v>
      </x:c>
      <x:c r="F5028" s="11" t="n">
        <x:v>0</x:v>
      </x:c>
      <x:c r="G5028" s="11" t="n">
        <x:v>0</x:v>
      </x:c>
      <x:c r="H5028" s="23" t="n">
        <x:v>0</x:v>
      </x:c>
      <x:c r="I5028" s="23" t="n">
        <x:v>1.000000000000004</x:v>
      </x:c>
      <x:c r="J5028" s="2" t="n">
        <x:v>0</x:v>
      </x:c>
      <x:c r="K5028" s="2"/>
      <x:c r="L5028" s="2"/>
    </x:row>
    <x:row r="5029" ht="22" customHeight="1">
      <x:c r="A5029" s="2"/>
      <x:c r="B5029" s="2" t="n">
        <x:v>4996</x:v>
      </x:c>
      <x:c r="C5029" s="2" t="str">
        <x:v>72140D</x:v>
      </x:c>
      <x:c r="D5029" s="2" t="str">
        <x:v>Description unavailable</x:v>
      </x:c>
      <x:c r="E5029" s="11" t="n">
        <x:v>0</x:v>
      </x:c>
      <x:c r="F5029" s="11" t="n">
        <x:v>0</x:v>
      </x:c>
      <x:c r="G5029" s="11" t="n">
        <x:v>0</x:v>
      </x:c>
      <x:c r="H5029" s="23" t="n">
        <x:v>0</x:v>
      </x:c>
      <x:c r="I5029" s="23" t="n">
        <x:v>1.000000000000004</x:v>
      </x:c>
      <x:c r="J5029" s="2" t="n">
        <x:v>0</x:v>
      </x:c>
      <x:c r="K5029" s="2"/>
      <x:c r="L5029" s="2"/>
    </x:row>
    <x:row r="5030" ht="22" customHeight="1">
      <x:c r="A5030" s="2"/>
      <x:c r="B5030" s="2" t="n">
        <x:v>4997</x:v>
      </x:c>
      <x:c r="C5030" s="2" t="str">
        <x:v>72226D</x:v>
      </x:c>
      <x:c r="D5030" s="2" t="str">
        <x:v>Description unavailable</x:v>
      </x:c>
      <x:c r="E5030" s="11" t="n">
        <x:v>0</x:v>
      </x:c>
      <x:c r="F5030" s="11" t="n">
        <x:v>0</x:v>
      </x:c>
      <x:c r="G5030" s="11" t="n">
        <x:v>0</x:v>
      </x:c>
      <x:c r="H5030" s="23" t="n">
        <x:v>0</x:v>
      </x:c>
      <x:c r="I5030" s="23" t="n">
        <x:v>1.000000000000004</x:v>
      </x:c>
      <x:c r="J5030" s="2" t="n">
        <x:v>0</x:v>
      </x:c>
      <x:c r="K5030" s="2"/>
      <x:c r="L5030" s="2"/>
    </x:row>
    <x:row r="5031" ht="22" customHeight="1">
      <x:c r="A5031" s="2"/>
      <x:c r="B5031" s="2" t="n">
        <x:v>4998</x:v>
      </x:c>
      <x:c r="C5031" s="2" t="str">
        <x:v>72234</x:v>
      </x:c>
      <x:c r="D5031" s="2" t="str">
        <x:v>Description unavailable</x:v>
      </x:c>
      <x:c r="E5031" s="11" t="n">
        <x:v>0</x:v>
      </x:c>
      <x:c r="F5031" s="11" t="n">
        <x:v>0</x:v>
      </x:c>
      <x:c r="G5031" s="11" t="n">
        <x:v>0</x:v>
      </x:c>
      <x:c r="H5031" s="23" t="n">
        <x:v>0</x:v>
      </x:c>
      <x:c r="I5031" s="23" t="n">
        <x:v>1.000000000000004</x:v>
      </x:c>
      <x:c r="J5031" s="2" t="n">
        <x:v>0</x:v>
      </x:c>
      <x:c r="K5031" s="2"/>
      <x:c r="L5031" s="2"/>
    </x:row>
    <x:row r="5032" ht="22" customHeight="1">
      <x:c r="A5032" s="2"/>
      <x:c r="B5032" s="2" t="n">
        <x:v>4999</x:v>
      </x:c>
      <x:c r="C5032" s="2" t="str">
        <x:v>35978</x:v>
      </x:c>
      <x:c r="D5032" s="2" t="str">
        <x:v>damages</x:v>
      </x:c>
      <x:c r="E5032" s="11" t="n">
        <x:v>0</x:v>
      </x:c>
      <x:c r="F5032" s="11" t="n">
        <x:v>0</x:v>
      </x:c>
      <x:c r="G5032" s="11" t="n">
        <x:v>0</x:v>
      </x:c>
      <x:c r="H5032" s="23" t="n">
        <x:v>0</x:v>
      </x:c>
      <x:c r="I5032" s="23" t="n">
        <x:v>1.000000000000004</x:v>
      </x:c>
      <x:c r="J5032" s="2" t="n">
        <x:v>0</x:v>
      </x:c>
      <x:c r="K5032" s="2"/>
      <x:c r="L5032" s="2"/>
    </x:row>
    <x:row r="5033" ht="22" customHeight="1">
      <x:c r="A5033" s="2"/>
      <x:c r="B5033" s="2" t="n">
        <x:v>5000</x:v>
      </x:c>
      <x:c r="C5033" s="2" t="str">
        <x:v>47559</x:v>
      </x:c>
      <x:c r="D5033" s="2" t="str">
        <x:v>Description unavailable</x:v>
      </x:c>
      <x:c r="E5033" s="11" t="n">
        <x:v>0</x:v>
      </x:c>
      <x:c r="F5033" s="11" t="n">
        <x:v>0</x:v>
      </x:c>
      <x:c r="G5033" s="11" t="n">
        <x:v>0</x:v>
      </x:c>
      <x:c r="H5033" s="23" t="n">
        <x:v>0</x:v>
      </x:c>
      <x:c r="I5033" s="23" t="n">
        <x:v>1.000000000000004</x:v>
      </x:c>
      <x:c r="J5033" s="2" t="n">
        <x:v>0</x:v>
      </x:c>
      <x:c r="K5033" s="2"/>
      <x:c r="L5033" s="2"/>
    </x:row>
    <x:row r="5034" ht="22" customHeight="1">
      <x:c r="A5034" s="2"/>
      <x:c r="B5034" s="2" t="n">
        <x:v>5001</x:v>
      </x:c>
      <x:c r="C5034" s="2" t="str">
        <x:v>47565</x:v>
      </x:c>
      <x:c r="D5034" s="2" t="str">
        <x:v>Description unavailable</x:v>
      </x:c>
      <x:c r="E5034" s="11" t="n">
        <x:v>0</x:v>
      </x:c>
      <x:c r="F5034" s="11" t="n">
        <x:v>0</x:v>
      </x:c>
      <x:c r="G5034" s="11" t="n">
        <x:v>0</x:v>
      </x:c>
      <x:c r="H5034" s="23" t="n">
        <x:v>0</x:v>
      </x:c>
      <x:c r="I5034" s="23" t="n">
        <x:v>1.000000000000004</x:v>
      </x:c>
      <x:c r="J5034" s="2" t="n">
        <x:v>0</x:v>
      </x:c>
      <x:c r="K5034" s="2"/>
      <x:c r="L5034" s="2"/>
    </x:row>
    <x:row r="5035" ht="22" customHeight="1">
      <x:c r="A5035" s="2"/>
      <x:c r="B5035" s="2" t="n">
        <x:v>5002</x:v>
      </x:c>
      <x:c r="C5035" s="2" t="str">
        <x:v>47567</x:v>
      </x:c>
      <x:c r="D5035" s="2" t="str">
        <x:v>ENGLISH ROSE DESIGN KITCHEN APRON</x:v>
      </x:c>
      <x:c r="E5035" s="11" t="n">
        <x:v>0</x:v>
      </x:c>
      <x:c r="F5035" s="11" t="n">
        <x:v>11.9</x:v>
      </x:c>
      <x:c r="G5035" s="11" t="n">
        <x:v>-11.9</x:v>
      </x:c>
      <x:c r="H5035" s="23" t="n">
        <x:v>0</x:v>
      </x:c>
      <x:c r="I5035" s="23" t="n">
        <x:v>1.000000000000004</x:v>
      </x:c>
      <x:c r="J5035" s="2" t="n">
        <x:v>0</x:v>
      </x:c>
      <x:c r="K5035" s="2"/>
      <x:c r="L5035" s="2"/>
    </x:row>
    <x:row r="5036" ht="22" customHeight="1">
      <x:c r="A5036" s="2"/>
      <x:c r="B5036" s="2" t="n">
        <x:v>5003</x:v>
      </x:c>
      <x:c r="C5036" s="2" t="str">
        <x:v>21345</x:v>
      </x:c>
      <x:c r="D5036" s="2" t="str">
        <x:v>Description unavailable</x:v>
      </x:c>
      <x:c r="E5036" s="11" t="n">
        <x:v>0</x:v>
      </x:c>
      <x:c r="F5036" s="11" t="n">
        <x:v>0</x:v>
      </x:c>
      <x:c r="G5036" s="11" t="n">
        <x:v>0</x:v>
      </x:c>
      <x:c r="H5036" s="23" t="n">
        <x:v>0</x:v>
      </x:c>
      <x:c r="I5036" s="23" t="n">
        <x:v>1.000000000000004</x:v>
      </x:c>
      <x:c r="J5036" s="2" t="n">
        <x:v>0</x:v>
      </x:c>
      <x:c r="K5036" s="2"/>
      <x:c r="L5036" s="2"/>
    </x:row>
    <x:row r="5037" ht="22" customHeight="1">
      <x:c r="A5037" s="2"/>
      <x:c r="B5037" s="2" t="n">
        <x:v>5004</x:v>
      </x:c>
      <x:c r="C5037" s="2" t="str">
        <x:v>21346</x:v>
      </x:c>
      <x:c r="D5037" s="2" t="str">
        <x:v>LARGE SILVER BALUSTRADE CANDLESTICK</x:v>
      </x:c>
      <x:c r="E5037" s="11" t="n">
        <x:v>0</x:v>
      </x:c>
      <x:c r="F5037" s="11" t="n">
        <x:v>5.95</x:v>
      </x:c>
      <x:c r="G5037" s="11" t="n">
        <x:v>-5.95</x:v>
      </x:c>
      <x:c r="H5037" s="23" t="n">
        <x:v>0</x:v>
      </x:c>
      <x:c r="I5037" s="23" t="n">
        <x:v>1.000000000000004</x:v>
      </x:c>
      <x:c r="J5037" s="2" t="n">
        <x:v>0</x:v>
      </x:c>
      <x:c r="K5037" s="2"/>
      <x:c r="L5037" s="2"/>
    </x:row>
    <x:row r="5038" ht="22" customHeight="1">
      <x:c r="A5038" s="2"/>
      <x:c r="B5038" s="2" t="n">
        <x:v>5005</x:v>
      </x:c>
      <x:c r="C5038" s="2" t="str">
        <x:v>21315</x:v>
      </x:c>
      <x:c r="D5038" s="2" t="str">
        <x:v>LARGE GLASS HEART TRINKET POT</x:v>
      </x:c>
      <x:c r="E5038" s="11" t="n">
        <x:v>0</x:v>
      </x:c>
      <x:c r="F5038" s="11" t="n">
        <x:v>17</x:v>
      </x:c>
      <x:c r="G5038" s="11" t="n">
        <x:v>-17</x:v>
      </x:c>
      <x:c r="H5038" s="23" t="n">
        <x:v>0</x:v>
      </x:c>
      <x:c r="I5038" s="23" t="n">
        <x:v>1.000000000000004</x:v>
      </x:c>
      <x:c r="J5038" s="2" t="n">
        <x:v>0</x:v>
      </x:c>
      <x:c r="K5038" s="2"/>
      <x:c r="L5038" s="2"/>
    </x:row>
    <x:row r="5039" ht="22" customHeight="1">
      <x:c r="A5039" s="2"/>
      <x:c r="B5039" s="2" t="n">
        <x:v>5006</x:v>
      </x:c>
      <x:c r="C5039" s="2" t="str">
        <x:v>72483</x:v>
      </x:c>
      <x:c r="D5039" s="2" t="str">
        <x:v>Description unavailable</x:v>
      </x:c>
      <x:c r="E5039" s="11" t="n">
        <x:v>0</x:v>
      </x:c>
      <x:c r="F5039" s="11" t="n">
        <x:v>0</x:v>
      </x:c>
      <x:c r="G5039" s="11" t="n">
        <x:v>0</x:v>
      </x:c>
      <x:c r="H5039" s="23" t="n">
        <x:v>0</x:v>
      </x:c>
      <x:c r="I5039" s="23" t="n">
        <x:v>1.000000000000004</x:v>
      </x:c>
      <x:c r="J5039" s="2" t="n">
        <x:v>0</x:v>
      </x:c>
      <x:c r="K5039" s="2"/>
      <x:c r="L5039" s="2"/>
    </x:row>
    <x:row r="5040" ht="22" customHeight="1">
      <x:c r="A5040" s="2"/>
      <x:c r="B5040" s="2" t="n">
        <x:v>5007</x:v>
      </x:c>
      <x:c r="C5040" s="2" t="str">
        <x:v>72620A</x:v>
      </x:c>
      <x:c r="D5040" s="2" t="str">
        <x:v>Description unavailable</x:v>
      </x:c>
      <x:c r="E5040" s="11" t="n">
        <x:v>0</x:v>
      </x:c>
      <x:c r="F5040" s="11" t="n">
        <x:v>0</x:v>
      </x:c>
      <x:c r="G5040" s="11" t="n">
        <x:v>0</x:v>
      </x:c>
      <x:c r="H5040" s="23" t="n">
        <x:v>0</x:v>
      </x:c>
      <x:c r="I5040" s="23" t="n">
        <x:v>1.000000000000004</x:v>
      </x:c>
      <x:c r="J5040" s="2" t="n">
        <x:v>0</x:v>
      </x:c>
      <x:c r="K5040" s="2"/>
      <x:c r="L5040" s="2"/>
    </x:row>
    <x:row r="5041" ht="22" customHeight="1">
      <x:c r="A5041" s="2"/>
      <x:c r="B5041" s="2" t="n">
        <x:v>5008</x:v>
      </x:c>
      <x:c r="C5041" s="2" t="str">
        <x:v>72655C</x:v>
      </x:c>
      <x:c r="D5041" s="2" t="str">
        <x:v>Description unavailable</x:v>
      </x:c>
      <x:c r="E5041" s="11" t="n">
        <x:v>0</x:v>
      </x:c>
      <x:c r="F5041" s="11" t="n">
        <x:v>0</x:v>
      </x:c>
      <x:c r="G5041" s="11" t="n">
        <x:v>0</x:v>
      </x:c>
      <x:c r="H5041" s="23" t="n">
        <x:v>0</x:v>
      </x:c>
      <x:c r="I5041" s="23" t="n">
        <x:v>1.000000000000004</x:v>
      </x:c>
      <x:c r="J5041" s="2" t="n">
        <x:v>0</x:v>
      </x:c>
      <x:c r="K5041" s="2"/>
      <x:c r="L5041" s="2"/>
    </x:row>
    <x:row r="5042" ht="22" customHeight="1">
      <x:c r="A5042" s="2"/>
      <x:c r="B5042" s="2" t="n">
        <x:v>5009</x:v>
      </x:c>
      <x:c r="C5042" s="2" t="str">
        <x:v>72671B</x:v>
      </x:c>
      <x:c r="D5042" s="2" t="str">
        <x:v>Description unavailable</x:v>
      </x:c>
      <x:c r="E5042" s="11" t="n">
        <x:v>0</x:v>
      </x:c>
      <x:c r="F5042" s="11" t="n">
        <x:v>0</x:v>
      </x:c>
      <x:c r="G5042" s="11" t="n">
        <x:v>0</x:v>
      </x:c>
      <x:c r="H5042" s="23" t="n">
        <x:v>0</x:v>
      </x:c>
      <x:c r="I5042" s="23" t="n">
        <x:v>1.000000000000004</x:v>
      </x:c>
      <x:c r="J5042" s="2" t="n">
        <x:v>0</x:v>
      </x:c>
      <x:c r="K5042" s="2"/>
      <x:c r="L5042" s="2"/>
    </x:row>
    <x:row r="5043" ht="22" customHeight="1">
      <x:c r="A5043" s="2"/>
      <x:c r="B5043" s="2" t="n">
        <x:v>5010</x:v>
      </x:c>
      <x:c r="C5043" s="2" t="str">
        <x:v>72697A</x:v>
      </x:c>
      <x:c r="D5043" s="2" t="str">
        <x:v>Description unavailable</x:v>
      </x:c>
      <x:c r="E5043" s="11" t="n">
        <x:v>0</x:v>
      </x:c>
      <x:c r="F5043" s="11" t="n">
        <x:v>0</x:v>
      </x:c>
      <x:c r="G5043" s="11" t="n">
        <x:v>0</x:v>
      </x:c>
      <x:c r="H5043" s="23" t="n">
        <x:v>0</x:v>
      </x:c>
      <x:c r="I5043" s="23" t="n">
        <x:v>1.000000000000004</x:v>
      </x:c>
      <x:c r="J5043" s="2" t="n">
        <x:v>0</x:v>
      </x:c>
      <x:c r="K5043" s="2"/>
      <x:c r="L5043" s="2"/>
    </x:row>
    <x:row r="5044" ht="22" customHeight="1">
      <x:c r="A5044" s="2"/>
      <x:c r="B5044" s="2" t="n">
        <x:v>5011</x:v>
      </x:c>
      <x:c r="C5044" s="2" t="str">
        <x:v>21295</x:v>
      </x:c>
      <x:c r="D5044" s="2" t="str">
        <x:v>Description unavailable</x:v>
      </x:c>
      <x:c r="E5044" s="11" t="n">
        <x:v>0</x:v>
      </x:c>
      <x:c r="F5044" s="11" t="n">
        <x:v>0</x:v>
      </x:c>
      <x:c r="G5044" s="11" t="n">
        <x:v>0</x:v>
      </x:c>
      <x:c r="H5044" s="23" t="n">
        <x:v>0</x:v>
      </x:c>
      <x:c r="I5044" s="23" t="n">
        <x:v>1.000000000000004</x:v>
      </x:c>
      <x:c r="J5044" s="2" t="n">
        <x:v>0</x:v>
      </x:c>
      <x:c r="K5044" s="2"/>
      <x:c r="L5044" s="2"/>
    </x:row>
    <x:row r="5045" ht="22" customHeight="1">
      <x:c r="A5045" s="2"/>
      <x:c r="B5045" s="2" t="n">
        <x:v>5012</x:v>
      </x:c>
      <x:c r="C5045" s="2" t="str">
        <x:v>21301</x:v>
      </x:c>
      <x:c r="D5045" s="2" t="str">
        <x:v>Description unavailable</x:v>
      </x:c>
      <x:c r="E5045" s="11" t="n">
        <x:v>0</x:v>
      </x:c>
      <x:c r="F5045" s="11" t="n">
        <x:v>0</x:v>
      </x:c>
      <x:c r="G5045" s="11" t="n">
        <x:v>0</x:v>
      </x:c>
      <x:c r="H5045" s="23" t="n">
        <x:v>0</x:v>
      </x:c>
      <x:c r="I5045" s="23" t="n">
        <x:v>1.000000000000004</x:v>
      </x:c>
      <x:c r="J5045" s="2" t="n">
        <x:v>0</x:v>
      </x:c>
      <x:c r="K5045" s="2"/>
      <x:c r="L5045" s="2"/>
    </x:row>
    <x:row r="5046" ht="22" customHeight="1">
      <x:c r="A5046" s="2"/>
      <x:c r="B5046" s="2" t="n">
        <x:v>5013</x:v>
      </x:c>
      <x:c r="C5046" s="2" t="str">
        <x:v>72719</x:v>
      </x:c>
      <x:c r="D5046" s="2" t="str">
        <x:v>Description unavailable</x:v>
      </x:c>
      <x:c r="E5046" s="11" t="n">
        <x:v>0</x:v>
      </x:c>
      <x:c r="F5046" s="11" t="n">
        <x:v>0</x:v>
      </x:c>
      <x:c r="G5046" s="11" t="n">
        <x:v>0</x:v>
      </x:c>
      <x:c r="H5046" s="23" t="n">
        <x:v>0</x:v>
      </x:c>
      <x:c r="I5046" s="23" t="n">
        <x:v>1.000000000000004</x:v>
      </x:c>
      <x:c r="J5046" s="2" t="n">
        <x:v>0</x:v>
      </x:c>
      <x:c r="K5046" s="2"/>
      <x:c r="L5046" s="2"/>
    </x:row>
    <x:row r="5047" ht="22" customHeight="1">
      <x:c r="A5047" s="2"/>
      <x:c r="B5047" s="2" t="n">
        <x:v>5014</x:v>
      </x:c>
      <x:c r="C5047" s="2" t="str">
        <x:v>72732</x:v>
      </x:c>
      <x:c r="D5047" s="2" t="str">
        <x:v>thrown away-can't sell</x:v>
      </x:c>
      <x:c r="E5047" s="11" t="n">
        <x:v>0</x:v>
      </x:c>
      <x:c r="F5047" s="11" t="n">
        <x:v>0</x:v>
      </x:c>
      <x:c r="G5047" s="11" t="n">
        <x:v>0</x:v>
      </x:c>
      <x:c r="H5047" s="23" t="n">
        <x:v>0</x:v>
      </x:c>
      <x:c r="I5047" s="23" t="n">
        <x:v>1.000000000000004</x:v>
      </x:c>
      <x:c r="J5047" s="2" t="n">
        <x:v>0</x:v>
      </x:c>
      <x:c r="K5047" s="2"/>
      <x:c r="L5047" s="2"/>
    </x:row>
    <x:row r="5048" ht="22" customHeight="1">
      <x:c r="A5048" s="2"/>
      <x:c r="B5048" s="2" t="n">
        <x:v>5015</x:v>
      </x:c>
      <x:c r="C5048" s="2" t="str">
        <x:v>72748</x:v>
      </x:c>
      <x:c r="D5048" s="2" t="str">
        <x:v>Description unavailable</x:v>
      </x:c>
      <x:c r="E5048" s="11" t="n">
        <x:v>0</x:v>
      </x:c>
      <x:c r="F5048" s="11" t="n">
        <x:v>0</x:v>
      </x:c>
      <x:c r="G5048" s="11" t="n">
        <x:v>0</x:v>
      </x:c>
      <x:c r="H5048" s="23" t="n">
        <x:v>0</x:v>
      </x:c>
      <x:c r="I5048" s="23" t="n">
        <x:v>1.000000000000004</x:v>
      </x:c>
      <x:c r="J5048" s="2" t="n">
        <x:v>0</x:v>
      </x:c>
      <x:c r="K5048" s="2"/>
      <x:c r="L5048" s="2"/>
    </x:row>
    <x:row r="5049" ht="22" customHeight="1">
      <x:c r="A5049" s="2"/>
      <x:c r="B5049" s="2" t="n">
        <x:v>5016</x:v>
      </x:c>
      <x:c r="C5049" s="2" t="str">
        <x:v>72751D</x:v>
      </x:c>
      <x:c r="D5049" s="2" t="str">
        <x:v>Description unavailable</x:v>
      </x:c>
      <x:c r="E5049" s="11" t="n">
        <x:v>0</x:v>
      </x:c>
      <x:c r="F5049" s="11" t="n">
        <x:v>0</x:v>
      </x:c>
      <x:c r="G5049" s="11" t="n">
        <x:v>0</x:v>
      </x:c>
      <x:c r="H5049" s="23" t="n">
        <x:v>0</x:v>
      </x:c>
      <x:c r="I5049" s="23" t="n">
        <x:v>1.000000000000004</x:v>
      </x:c>
      <x:c r="J5049" s="2" t="n">
        <x:v>0</x:v>
      </x:c>
      <x:c r="K5049" s="2"/>
      <x:c r="L5049" s="2"/>
    </x:row>
    <x:row r="5050" ht="22" customHeight="1">
      <x:c r="A5050" s="2"/>
      <x:c r="B5050" s="2" t="n">
        <x:v>5017</x:v>
      </x:c>
      <x:c r="C5050" s="2" t="str">
        <x:v>85120</x:v>
      </x:c>
      <x:c r="D5050" s="2" t="str">
        <x:v>Description unavailable</x:v>
      </x:c>
      <x:c r="E5050" s="11" t="n">
        <x:v>0</x:v>
      </x:c>
      <x:c r="F5050" s="11" t="n">
        <x:v>0</x:v>
      </x:c>
      <x:c r="G5050" s="11" t="n">
        <x:v>0</x:v>
      </x:c>
      <x:c r="H5050" s="23" t="n">
        <x:v>0</x:v>
      </x:c>
      <x:c r="I5050" s="23" t="n">
        <x:v>1.000000000000004</x:v>
      </x:c>
      <x:c r="J5050" s="2" t="n">
        <x:v>0</x:v>
      </x:c>
      <x:c r="K5050" s="2"/>
      <x:c r="L5050" s="2"/>
    </x:row>
    <x:row r="5051" ht="22" customHeight="1">
      <x:c r="A5051" s="2"/>
      <x:c r="B5051" s="2" t="n">
        <x:v>5018</x:v>
      </x:c>
      <x:c r="C5051" s="2" t="str">
        <x:v>72752C</x:v>
      </x:c>
      <x:c r="D5051" s="2" t="str">
        <x:v>Description unavailable</x:v>
      </x:c>
      <x:c r="E5051" s="11" t="n">
        <x:v>0</x:v>
      </x:c>
      <x:c r="F5051" s="11" t="n">
        <x:v>0</x:v>
      </x:c>
      <x:c r="G5051" s="11" t="n">
        <x:v>0</x:v>
      </x:c>
      <x:c r="H5051" s="23" t="n">
        <x:v>0</x:v>
      </x:c>
      <x:c r="I5051" s="23" t="n">
        <x:v>1.000000000000004</x:v>
      </x:c>
      <x:c r="J5051" s="2" t="n">
        <x:v>0</x:v>
      </x:c>
      <x:c r="K5051" s="2"/>
      <x:c r="L5051" s="2"/>
    </x:row>
    <x:row r="5052" ht="22" customHeight="1">
      <x:c r="A5052" s="2"/>
      <x:c r="B5052" s="2" t="n">
        <x:v>5019</x:v>
      </x:c>
      <x:c r="C5052" s="2" t="str">
        <x:v>72752D</x:v>
      </x:c>
      <x:c r="D5052" s="2" t="str">
        <x:v>Description unavailable</x:v>
      </x:c>
      <x:c r="E5052" s="11" t="n">
        <x:v>0</x:v>
      </x:c>
      <x:c r="F5052" s="11" t="n">
        <x:v>0</x:v>
      </x:c>
      <x:c r="G5052" s="11" t="n">
        <x:v>0</x:v>
      </x:c>
      <x:c r="H5052" s="23" t="n">
        <x:v>0</x:v>
      </x:c>
      <x:c r="I5052" s="23" t="n">
        <x:v>1.000000000000004</x:v>
      </x:c>
      <x:c r="J5052" s="2" t="n">
        <x:v>0</x:v>
      </x:c>
      <x:c r="K5052" s="2"/>
      <x:c r="L5052" s="2"/>
    </x:row>
    <x:row r="5053" ht="22" customHeight="1">
      <x:c r="A5053" s="2"/>
      <x:c r="B5053" s="2" t="n">
        <x:v>5020</x:v>
      </x:c>
      <x:c r="C5053" s="2" t="str">
        <x:v>72754C</x:v>
      </x:c>
      <x:c r="D5053" s="2" t="str">
        <x:v>Description unavailable</x:v>
      </x:c>
      <x:c r="E5053" s="11" t="n">
        <x:v>0</x:v>
      </x:c>
      <x:c r="F5053" s="11" t="n">
        <x:v>0</x:v>
      </x:c>
      <x:c r="G5053" s="11" t="n">
        <x:v>0</x:v>
      </x:c>
      <x:c r="H5053" s="23" t="n">
        <x:v>0</x:v>
      </x:c>
      <x:c r="I5053" s="23" t="n">
        <x:v>1.000000000000004</x:v>
      </x:c>
      <x:c r="J5053" s="2" t="n">
        <x:v>0</x:v>
      </x:c>
      <x:c r="K5053" s="2"/>
      <x:c r="L5053" s="2"/>
    </x:row>
    <x:row r="5054" ht="22" customHeight="1">
      <x:c r="A5054" s="2"/>
      <x:c r="B5054" s="2" t="n">
        <x:v>5021</x:v>
      </x:c>
      <x:c r="C5054" s="2" t="str">
        <x:v>72755A</x:v>
      </x:c>
      <x:c r="D5054" s="2" t="str">
        <x:v>Description unavailable</x:v>
      </x:c>
      <x:c r="E5054" s="11" t="n">
        <x:v>0</x:v>
      </x:c>
      <x:c r="F5054" s="11" t="n">
        <x:v>0</x:v>
      </x:c>
      <x:c r="G5054" s="11" t="n">
        <x:v>0</x:v>
      </x:c>
      <x:c r="H5054" s="23" t="n">
        <x:v>0</x:v>
      </x:c>
      <x:c r="I5054" s="23" t="n">
        <x:v>1.000000000000004</x:v>
      </x:c>
      <x:c r="J5054" s="2" t="n">
        <x:v>0</x:v>
      </x:c>
      <x:c r="K5054" s="2"/>
      <x:c r="L5054" s="2"/>
    </x:row>
    <x:row r="5055" ht="22" customHeight="1">
      <x:c r="A5055" s="2"/>
      <x:c r="B5055" s="2" t="n">
        <x:v>5022</x:v>
      </x:c>
      <x:c r="C5055" s="2" t="str">
        <x:v>72755B</x:v>
      </x:c>
      <x:c r="D5055" s="2" t="str">
        <x:v>Description unavailable</x:v>
      </x:c>
      <x:c r="E5055" s="11" t="n">
        <x:v>0</x:v>
      </x:c>
      <x:c r="F5055" s="11" t="n">
        <x:v>0</x:v>
      </x:c>
      <x:c r="G5055" s="11" t="n">
        <x:v>0</x:v>
      </x:c>
      <x:c r="H5055" s="23" t="n">
        <x:v>0</x:v>
      </x:c>
      <x:c r="I5055" s="23" t="n">
        <x:v>1.000000000000004</x:v>
      </x:c>
      <x:c r="J5055" s="2" t="n">
        <x:v>0</x:v>
      </x:c>
      <x:c r="K5055" s="2"/>
      <x:c r="L5055" s="2"/>
    </x:row>
    <x:row r="5056" ht="22" customHeight="1">
      <x:c r="A5056" s="2"/>
      <x:c r="B5056" s="2" t="n">
        <x:v>5023</x:v>
      </x:c>
      <x:c r="C5056" s="2" t="str">
        <x:v>72759</x:v>
      </x:c>
      <x:c r="D5056" s="2" t="str">
        <x:v>thrown away-can't sell.</x:v>
      </x:c>
      <x:c r="E5056" s="11" t="n">
        <x:v>0</x:v>
      </x:c>
      <x:c r="F5056" s="11" t="n">
        <x:v>0</x:v>
      </x:c>
      <x:c r="G5056" s="11" t="n">
        <x:v>0</x:v>
      </x:c>
      <x:c r="H5056" s="23" t="n">
        <x:v>0</x:v>
      </x:c>
      <x:c r="I5056" s="23" t="n">
        <x:v>1.000000000000004</x:v>
      </x:c>
      <x:c r="J5056" s="2" t="n">
        <x:v>0</x:v>
      </x:c>
      <x:c r="K5056" s="2"/>
      <x:c r="L5056" s="2"/>
    </x:row>
    <x:row r="5057" ht="22" customHeight="1">
      <x:c r="A5057" s="2"/>
      <x:c r="B5057" s="2" t="n">
        <x:v>5024</x:v>
      </x:c>
      <x:c r="C5057" s="2" t="str">
        <x:v>72768</x:v>
      </x:c>
      <x:c r="D5057" s="2" t="str">
        <x:v>Description unavailable</x:v>
      </x:c>
      <x:c r="E5057" s="11" t="n">
        <x:v>0</x:v>
      </x:c>
      <x:c r="F5057" s="11" t="n">
        <x:v>0</x:v>
      </x:c>
      <x:c r="G5057" s="11" t="n">
        <x:v>0</x:v>
      </x:c>
      <x:c r="H5057" s="23" t="n">
        <x:v>0</x:v>
      </x:c>
      <x:c r="I5057" s="23" t="n">
        <x:v>1.000000000000004</x:v>
      </x:c>
      <x:c r="J5057" s="2" t="n">
        <x:v>0</x:v>
      </x:c>
      <x:c r="K5057" s="2"/>
      <x:c r="L5057" s="2"/>
    </x:row>
    <x:row r="5058" ht="22" customHeight="1">
      <x:c r="A5058" s="2"/>
      <x:c r="B5058" s="2" t="n">
        <x:v>5025</x:v>
      </x:c>
      <x:c r="C5058" s="2" t="str">
        <x:v>72777</x:v>
      </x:c>
      <x:c r="D5058" s="2" t="str">
        <x:v>Description unavailable</x:v>
      </x:c>
      <x:c r="E5058" s="11" t="n">
        <x:v>0</x:v>
      </x:c>
      <x:c r="F5058" s="11" t="n">
        <x:v>0</x:v>
      </x:c>
      <x:c r="G5058" s="11" t="n">
        <x:v>0</x:v>
      </x:c>
      <x:c r="H5058" s="23" t="n">
        <x:v>0</x:v>
      </x:c>
      <x:c r="I5058" s="23" t="n">
        <x:v>1.000000000000004</x:v>
      </x:c>
      <x:c r="J5058" s="2" t="n">
        <x:v>0</x:v>
      </x:c>
      <x:c r="K5058" s="2"/>
      <x:c r="L5058" s="2"/>
    </x:row>
    <x:row r="5059" ht="22" customHeight="1">
      <x:c r="A5059" s="2"/>
      <x:c r="B5059" s="2" t="n">
        <x:v>5026</x:v>
      </x:c>
      <x:c r="C5059" s="2" t="str">
        <x:v>85105</x:v>
      </x:c>
      <x:c r="D5059" s="2" t="str">
        <x:v>Description unavailable</x:v>
      </x:c>
      <x:c r="E5059" s="11" t="n">
        <x:v>0</x:v>
      </x:c>
      <x:c r="F5059" s="11" t="n">
        <x:v>0</x:v>
      </x:c>
      <x:c r="G5059" s="11" t="n">
        <x:v>0</x:v>
      </x:c>
      <x:c r="H5059" s="23" t="n">
        <x:v>0</x:v>
      </x:c>
      <x:c r="I5059" s="23" t="n">
        <x:v>1.000000000000004</x:v>
      </x:c>
      <x:c r="J5059" s="2" t="n">
        <x:v>0</x:v>
      </x:c>
      <x:c r="K5059" s="2"/>
      <x:c r="L5059" s="2"/>
    </x:row>
    <x:row r="5060" ht="22" customHeight="1">
      <x:c r="A5060" s="2"/>
      <x:c r="B5060" s="2" t="n">
        <x:v>5027</x:v>
      </x:c>
      <x:c r="C5060" s="2" t="str">
        <x:v>20720</x:v>
      </x:c>
      <x:c r="D5060" s="2" t="str">
        <x:v>Description unavailable</x:v>
      </x:c>
      <x:c r="E5060" s="11" t="n">
        <x:v>0</x:v>
      </x:c>
      <x:c r="F5060" s="11" t="n">
        <x:v>0</x:v>
      </x:c>
      <x:c r="G5060" s="11" t="n">
        <x:v>0</x:v>
      </x:c>
      <x:c r="H5060" s="23" t="n">
        <x:v>0</x:v>
      </x:c>
      <x:c r="I5060" s="23" t="n">
        <x:v>1.000000000000004</x:v>
      </x:c>
      <x:c r="J5060" s="2" t="n">
        <x:v>0</x:v>
      </x:c>
      <x:c r="K5060" s="2"/>
      <x:c r="L5060" s="2"/>
    </x:row>
    <x:row r="5061" ht="22" customHeight="1">
      <x:c r="A5061" s="2"/>
      <x:c r="B5061" s="2" t="n">
        <x:v>5028</x:v>
      </x:c>
      <x:c r="C5061" s="2" t="str">
        <x:v>35975A</x:v>
      </x:c>
      <x:c r="D5061" s="2" t="str">
        <x:v>Description unavailable</x:v>
      </x:c>
      <x:c r="E5061" s="11" t="n">
        <x:v>0</x:v>
      </x:c>
      <x:c r="F5061" s="11" t="n">
        <x:v>0</x:v>
      </x:c>
      <x:c r="G5061" s="11" t="n">
        <x:v>0</x:v>
      </x:c>
      <x:c r="H5061" s="23" t="n">
        <x:v>0</x:v>
      </x:c>
      <x:c r="I5061" s="23" t="n">
        <x:v>1.000000000000004</x:v>
      </x:c>
      <x:c r="J5061" s="2" t="n">
        <x:v>0</x:v>
      </x:c>
      <x:c r="K5061" s="2"/>
      <x:c r="L5061" s="2"/>
    </x:row>
    <x:row r="5062" ht="22" customHeight="1">
      <x:c r="A5062" s="2"/>
      <x:c r="B5062" s="2" t="n">
        <x:v>5029</x:v>
      </x:c>
      <x:c r="C5062" s="2" t="str">
        <x:v>35975B</x:v>
      </x:c>
      <x:c r="D5062" s="2" t="str">
        <x:v>Description unavailable</x:v>
      </x:c>
      <x:c r="E5062" s="11" t="n">
        <x:v>0</x:v>
      </x:c>
      <x:c r="F5062" s="11" t="n">
        <x:v>0</x:v>
      </x:c>
      <x:c r="G5062" s="11" t="n">
        <x:v>0</x:v>
      </x:c>
      <x:c r="H5062" s="23" t="n">
        <x:v>0</x:v>
      </x:c>
      <x:c r="I5062" s="23" t="n">
        <x:v>1.000000000000004</x:v>
      </x:c>
      <x:c r="J5062" s="2" t="n">
        <x:v>0</x:v>
      </x:c>
      <x:c r="K5062" s="2"/>
      <x:c r="L5062" s="2"/>
    </x:row>
    <x:row r="5063" ht="22" customHeight="1">
      <x:c r="A5063" s="2"/>
      <x:c r="B5063" s="2" t="n">
        <x:v>5030</x:v>
      </x:c>
      <x:c r="C5063" s="2" t="str">
        <x:v>35977B</x:v>
      </x:c>
      <x:c r="D5063" s="2" t="str">
        <x:v>Description unavailable</x:v>
      </x:c>
      <x:c r="E5063" s="11" t="n">
        <x:v>0</x:v>
      </x:c>
      <x:c r="F5063" s="11" t="n">
        <x:v>0</x:v>
      </x:c>
      <x:c r="G5063" s="11" t="n">
        <x:v>0</x:v>
      </x:c>
      <x:c r="H5063" s="23" t="n">
        <x:v>0</x:v>
      </x:c>
      <x:c r="I5063" s="23" t="n">
        <x:v>1.000000000000004</x:v>
      </x:c>
      <x:c r="J5063" s="2" t="n">
        <x:v>0</x:v>
      </x:c>
      <x:c r="K5063" s="2"/>
      <x:c r="L5063" s="2"/>
    </x:row>
    <x:row r="5064" ht="22" customHeight="1">
      <x:c r="A5064" s="2"/>
      <x:c r="B5064" s="2" t="n">
        <x:v>5031</x:v>
      </x:c>
      <x:c r="C5064" s="2" t="str">
        <x:v>21254</x:v>
      </x:c>
      <x:c r="D5064" s="2" t="str">
        <x:v>SET OF KITCHEN WALL  STICKERS</x:v>
      </x:c>
      <x:c r="E5064" s="11" t="n">
        <x:v>0</x:v>
      </x:c>
      <x:c r="F5064" s="11" t="n">
        <x:v>11.8</x:v>
      </x:c>
      <x:c r="G5064" s="11" t="n">
        <x:v>-11.8</x:v>
      </x:c>
      <x:c r="H5064" s="23" t="n">
        <x:v>0</x:v>
      </x:c>
      <x:c r="I5064" s="23" t="n">
        <x:v>1.000000000000004</x:v>
      </x:c>
      <x:c r="J5064" s="2" t="n">
        <x:v>0</x:v>
      </x:c>
      <x:c r="K5064" s="2"/>
      <x:c r="L5064" s="2"/>
    </x:row>
    <x:row r="5065" ht="22" customHeight="1">
      <x:c r="A5065" s="2"/>
      <x:c r="B5065" s="2" t="n">
        <x:v>5032</x:v>
      </x:c>
      <x:c r="C5065" s="2" t="str">
        <x:v>21227</x:v>
      </x:c>
      <x:c r="D5065" s="2" t="str">
        <x:v>Description unavailable</x:v>
      </x:c>
      <x:c r="E5065" s="11" t="n">
        <x:v>0</x:v>
      </x:c>
      <x:c r="F5065" s="11" t="n">
        <x:v>0</x:v>
      </x:c>
      <x:c r="G5065" s="11" t="n">
        <x:v>0</x:v>
      </x:c>
      <x:c r="H5065" s="23" t="n">
        <x:v>0</x:v>
      </x:c>
      <x:c r="I5065" s="23" t="n">
        <x:v>1.000000000000004</x:v>
      </x:c>
      <x:c r="J5065" s="2" t="n">
        <x:v>0</x:v>
      </x:c>
      <x:c r="K5065" s="2"/>
      <x:c r="L5065" s="2"/>
    </x:row>
    <x:row r="5066" ht="22" customHeight="1">
      <x:c r="A5066" s="2"/>
      <x:c r="B5066" s="2" t="n">
        <x:v>5033</x:v>
      </x:c>
      <x:c r="C5066" s="2" t="str">
        <x:v>21236</x:v>
      </x:c>
      <x:c r="D5066" s="2" t="str">
        <x:v>Description unavailable</x:v>
      </x:c>
      <x:c r="E5066" s="11" t="n">
        <x:v>0</x:v>
      </x:c>
      <x:c r="F5066" s="11" t="n">
        <x:v>0</x:v>
      </x:c>
      <x:c r="G5066" s="11" t="n">
        <x:v>0</x:v>
      </x:c>
      <x:c r="H5066" s="23" t="n">
        <x:v>0</x:v>
      </x:c>
      <x:c r="I5066" s="23" t="n">
        <x:v>1.000000000000004</x:v>
      </x:c>
      <x:c r="J5066" s="2" t="n">
        <x:v>0</x:v>
      </x:c>
      <x:c r="K5066" s="2"/>
      <x:c r="L5066" s="2"/>
    </x:row>
    <x:row r="5067" ht="22" customHeight="1">
      <x:c r="A5067" s="2"/>
      <x:c r="B5067" s="2" t="n">
        <x:v>5034</x:v>
      </x:c>
      <x:c r="C5067" s="2" t="str">
        <x:v>21273</x:v>
      </x:c>
      <x:c r="D5067" s="2" t="str">
        <x:v>Description unavailable</x:v>
      </x:c>
      <x:c r="E5067" s="11" t="n">
        <x:v>0</x:v>
      </x:c>
      <x:c r="F5067" s="11" t="n">
        <x:v>0</x:v>
      </x:c>
      <x:c r="G5067" s="11" t="n">
        <x:v>0</x:v>
      </x:c>
      <x:c r="H5067" s="23" t="n">
        <x:v>0</x:v>
      </x:c>
      <x:c r="I5067" s="23" t="n">
        <x:v>1.000000000000004</x:v>
      </x:c>
      <x:c r="J5067" s="2" t="n">
        <x:v>0</x:v>
      </x:c>
      <x:c r="K5067" s="2"/>
      <x:c r="L5067" s="2"/>
    </x:row>
    <x:row r="5068" ht="22" customHeight="1">
      <x:c r="A5068" s="2"/>
      <x:c r="B5068" s="2" t="n">
        <x:v>5035</x:v>
      </x:c>
      <x:c r="C5068" s="2" t="str">
        <x:v>85085A</x:v>
      </x:c>
      <x:c r="D5068" s="2" t="str">
        <x:v>Description unavailable</x:v>
      </x:c>
      <x:c r="E5068" s="11" t="n">
        <x:v>0</x:v>
      </x:c>
      <x:c r="F5068" s="11" t="n">
        <x:v>0</x:v>
      </x:c>
      <x:c r="G5068" s="11" t="n">
        <x:v>0</x:v>
      </x:c>
      <x:c r="H5068" s="23" t="n">
        <x:v>0</x:v>
      </x:c>
      <x:c r="I5068" s="23" t="n">
        <x:v>1.000000000000004</x:v>
      </x:c>
      <x:c r="J5068" s="2" t="n">
        <x:v>0</x:v>
      </x:c>
      <x:c r="K5068" s="2"/>
      <x:c r="L5068" s="2"/>
    </x:row>
    <x:row r="5069" ht="22" customHeight="1">
      <x:c r="A5069" s="2"/>
      <x:c r="B5069" s="2" t="n">
        <x:v>5036</x:v>
      </x:c>
      <x:c r="C5069" s="2" t="str">
        <x:v>85086B</x:v>
      </x:c>
      <x:c r="D5069" s="2" t="str">
        <x:v>Description unavailable</x:v>
      </x:c>
      <x:c r="E5069" s="11" t="n">
        <x:v>0</x:v>
      </x:c>
      <x:c r="F5069" s="11" t="n">
        <x:v>0</x:v>
      </x:c>
      <x:c r="G5069" s="11" t="n">
        <x:v>0</x:v>
      </x:c>
      <x:c r="H5069" s="23" t="n">
        <x:v>0</x:v>
      </x:c>
      <x:c r="I5069" s="23" t="n">
        <x:v>1.000000000000004</x:v>
      </x:c>
      <x:c r="J5069" s="2" t="n">
        <x:v>0</x:v>
      </x:c>
      <x:c r="K5069" s="2"/>
      <x:c r="L5069" s="2"/>
    </x:row>
    <x:row r="5070" ht="22" customHeight="1">
      <x:c r="A5070" s="2"/>
      <x:c r="B5070" s="2" t="n">
        <x:v>5037</x:v>
      </x:c>
      <x:c r="C5070" s="2" t="str">
        <x:v>85098A</x:v>
      </x:c>
      <x:c r="D5070" s="2" t="str">
        <x:v>Description unavailable</x:v>
      </x:c>
      <x:c r="E5070" s="11" t="n">
        <x:v>0</x:v>
      </x:c>
      <x:c r="F5070" s="11" t="n">
        <x:v>0</x:v>
      </x:c>
      <x:c r="G5070" s="11" t="n">
        <x:v>0</x:v>
      </x:c>
      <x:c r="H5070" s="23" t="n">
        <x:v>0</x:v>
      </x:c>
      <x:c r="I5070" s="23" t="n">
        <x:v>1.000000000000004</x:v>
      </x:c>
      <x:c r="J5070" s="2" t="n">
        <x:v>0</x:v>
      </x:c>
      <x:c r="K5070" s="2"/>
      <x:c r="L5070" s="2"/>
    </x:row>
    <x:row r="5071" ht="22" customHeight="1">
      <x:c r="A5071" s="2"/>
      <x:c r="B5071" s="2" t="n">
        <x:v>5038</x:v>
      </x:c>
      <x:c r="C5071" s="2" t="str">
        <x:v>85051</x:v>
      </x:c>
      <x:c r="D5071" s="2" t="str">
        <x:v>Description unavailable</x:v>
      </x:c>
      <x:c r="E5071" s="11" t="n">
        <x:v>0</x:v>
      </x:c>
      <x:c r="F5071" s="11" t="n">
        <x:v>0</x:v>
      </x:c>
      <x:c r="G5071" s="11" t="n">
        <x:v>0</x:v>
      </x:c>
      <x:c r="H5071" s="23" t="n">
        <x:v>0</x:v>
      </x:c>
      <x:c r="I5071" s="23" t="n">
        <x:v>1.000000000000004</x:v>
      </x:c>
      <x:c r="J5071" s="2" t="n">
        <x:v>0</x:v>
      </x:c>
      <x:c r="K5071" s="2"/>
      <x:c r="L5071" s="2"/>
    </x:row>
    <x:row r="5072" ht="22" customHeight="1">
      <x:c r="A5072" s="2"/>
      <x:c r="B5072" s="2" t="n">
        <x:v>5039</x:v>
      </x:c>
      <x:c r="C5072" s="2" t="str">
        <x:v>85056</x:v>
      </x:c>
      <x:c r="D5072" s="2" t="str">
        <x:v>Description unavailable</x:v>
      </x:c>
      <x:c r="E5072" s="11" t="n">
        <x:v>0</x:v>
      </x:c>
      <x:c r="F5072" s="11" t="n">
        <x:v>0</x:v>
      </x:c>
      <x:c r="G5072" s="11" t="n">
        <x:v>0</x:v>
      </x:c>
      <x:c r="H5072" s="23" t="n">
        <x:v>0</x:v>
      </x:c>
      <x:c r="I5072" s="23" t="n">
        <x:v>1.000000000000004</x:v>
      </x:c>
      <x:c r="J5072" s="2" t="n">
        <x:v>0</x:v>
      </x:c>
      <x:c r="K5072" s="2"/>
      <x:c r="L5072" s="2"/>
    </x:row>
    <x:row r="5073" ht="22" customHeight="1">
      <x:c r="A5073" s="2"/>
      <x:c r="B5073" s="2" t="n">
        <x:v>5040</x:v>
      </x:c>
      <x:c r="C5073" s="2" t="str">
        <x:v>85057</x:v>
      </x:c>
      <x:c r="D5073" s="2" t="str">
        <x:v>Description unavailable</x:v>
      </x:c>
      <x:c r="E5073" s="11" t="n">
        <x:v>0</x:v>
      </x:c>
      <x:c r="F5073" s="11" t="n">
        <x:v>0</x:v>
      </x:c>
      <x:c r="G5073" s="11" t="n">
        <x:v>0</x:v>
      </x:c>
      <x:c r="H5073" s="23" t="n">
        <x:v>0</x:v>
      </x:c>
      <x:c r="I5073" s="23" t="n">
        <x:v>1.000000000000004</x:v>
      </x:c>
      <x:c r="J5073" s="2" t="n">
        <x:v>0</x:v>
      </x:c>
      <x:c r="K5073" s="2"/>
      <x:c r="L5073" s="2"/>
    </x:row>
    <x:row r="5074" ht="22" customHeight="1">
      <x:c r="A5074" s="2"/>
      <x:c r="B5074" s="2" t="n">
        <x:v>5041</x:v>
      </x:c>
      <x:c r="C5074" s="2" t="str">
        <x:v>16155H</x:v>
      </x:c>
      <x:c r="D5074" s="2" t="str">
        <x:v>Description unavailable</x:v>
      </x:c>
      <x:c r="E5074" s="11" t="n">
        <x:v>0</x:v>
      </x:c>
      <x:c r="F5074" s="11" t="n">
        <x:v>0</x:v>
      </x:c>
      <x:c r="G5074" s="11" t="n">
        <x:v>0</x:v>
      </x:c>
      <x:c r="H5074" s="23" t="n">
        <x:v>0</x:v>
      </x:c>
      <x:c r="I5074" s="23" t="n">
        <x:v>1.000000000000004</x:v>
      </x:c>
      <x:c r="J5074" s="2" t="n">
        <x:v>0</x:v>
      </x:c>
      <x:c r="K5074" s="2"/>
      <x:c r="L5074" s="2"/>
    </x:row>
    <x:row r="5075" ht="22" customHeight="1">
      <x:c r="A5075" s="2"/>
      <x:c r="B5075" s="2" t="n">
        <x:v>5042</x:v>
      </x:c>
      <x:c r="C5075" s="2" t="str">
        <x:v>16156A</x:v>
      </x:c>
      <x:c r="D5075" s="2" t="str">
        <x:v>Description unavailable</x:v>
      </x:c>
      <x:c r="E5075" s="11" t="n">
        <x:v>0</x:v>
      </x:c>
      <x:c r="F5075" s="11" t="n">
        <x:v>0</x:v>
      </x:c>
      <x:c r="G5075" s="11" t="n">
        <x:v>0</x:v>
      </x:c>
      <x:c r="H5075" s="23" t="n">
        <x:v>0</x:v>
      </x:c>
      <x:c r="I5075" s="23" t="n">
        <x:v>1.000000000000004</x:v>
      </x:c>
      <x:c r="J5075" s="2" t="n">
        <x:v>0</x:v>
      </x:c>
      <x:c r="K5075" s="2"/>
      <x:c r="L5075" s="2"/>
    </x:row>
    <x:row r="5076" ht="22" customHeight="1">
      <x:c r="A5076" s="2"/>
      <x:c r="B5076" s="2" t="n">
        <x:v>5043</x:v>
      </x:c>
      <x:c r="C5076" s="2" t="str">
        <x:v>16161N</x:v>
      </x:c>
      <x:c r="D5076" s="2" t="str">
        <x:v>Description unavailable</x:v>
      </x:c>
      <x:c r="E5076" s="11" t="n">
        <x:v>0</x:v>
      </x:c>
      <x:c r="F5076" s="11" t="n">
        <x:v>0</x:v>
      </x:c>
      <x:c r="G5076" s="11" t="n">
        <x:v>0</x:v>
      </x:c>
      <x:c r="H5076" s="23" t="n">
        <x:v>0</x:v>
      </x:c>
      <x:c r="I5076" s="23" t="n">
        <x:v>1.000000000000004</x:v>
      </x:c>
      <x:c r="J5076" s="2" t="n">
        <x:v>0</x:v>
      </x:c>
      <x:c r="K5076" s="2"/>
      <x:c r="L5076" s="2"/>
    </x:row>
    <x:row r="5077" ht="22" customHeight="1">
      <x:c r="A5077" s="2"/>
      <x:c r="B5077" s="2" t="n">
        <x:v>5044</x:v>
      </x:c>
      <x:c r="C5077" s="2" t="str">
        <x:v>85073</x:v>
      </x:c>
      <x:c r="D5077" s="2" t="str">
        <x:v>Description unavailable</x:v>
      </x:c>
      <x:c r="E5077" s="11" t="n">
        <x:v>0</x:v>
      </x:c>
      <x:c r="F5077" s="11" t="n">
        <x:v>0</x:v>
      </x:c>
      <x:c r="G5077" s="11" t="n">
        <x:v>0</x:v>
      </x:c>
      <x:c r="H5077" s="23" t="n">
        <x:v>0</x:v>
      </x:c>
      <x:c r="I5077" s="23" t="n">
        <x:v>1.000000000000004</x:v>
      </x:c>
      <x:c r="J5077" s="2" t="n">
        <x:v>0</x:v>
      </x:c>
      <x:c r="K5077" s="2"/>
      <x:c r="L5077" s="2"/>
    </x:row>
    <x:row r="5078" ht="22" customHeight="1">
      <x:c r="A5078" s="2"/>
      <x:c r="B5078" s="2" t="n">
        <x:v>5045</x:v>
      </x:c>
      <x:c r="C5078" s="2" t="str">
        <x:v>85074</x:v>
      </x:c>
      <x:c r="D5078" s="2" t="str">
        <x:v>Description unavailable</x:v>
      </x:c>
      <x:c r="E5078" s="11" t="n">
        <x:v>0</x:v>
      </x:c>
      <x:c r="F5078" s="11" t="n">
        <x:v>0</x:v>
      </x:c>
      <x:c r="G5078" s="11" t="n">
        <x:v>0</x:v>
      </x:c>
      <x:c r="H5078" s="23" t="n">
        <x:v>0</x:v>
      </x:c>
      <x:c r="I5078" s="23" t="n">
        <x:v>1.000000000000004</x:v>
      </x:c>
      <x:c r="J5078" s="2" t="n">
        <x:v>0</x:v>
      </x:c>
      <x:c r="K5078" s="2"/>
      <x:c r="L5078" s="2"/>
    </x:row>
    <x:row r="5079" ht="22" customHeight="1">
      <x:c r="A5079" s="2"/>
      <x:c r="B5079" s="2" t="n">
        <x:v>5046</x:v>
      </x:c>
      <x:c r="C5079" s="2" t="str">
        <x:v>90080</x:v>
      </x:c>
      <x:c r="D5079" s="2" t="str">
        <x:v>Description unavailable</x:v>
      </x:c>
      <x:c r="E5079" s="11" t="n">
        <x:v>0</x:v>
      </x:c>
      <x:c r="F5079" s="11" t="n">
        <x:v>0</x:v>
      </x:c>
      <x:c r="G5079" s="11" t="n">
        <x:v>0</x:v>
      </x:c>
      <x:c r="H5079" s="23" t="n">
        <x:v>0</x:v>
      </x:c>
      <x:c r="I5079" s="23" t="n">
        <x:v>1.000000000000004</x:v>
      </x:c>
      <x:c r="J5079" s="2" t="n">
        <x:v>0</x:v>
      </x:c>
      <x:c r="K5079" s="2"/>
      <x:c r="L5079" s="2"/>
    </x:row>
    <x:row r="5080" ht="22" customHeight="1">
      <x:c r="A5080" s="2"/>
      <x:c r="B5080" s="2" t="n">
        <x:v>5047</x:v>
      </x:c>
      <x:c r="C5080" s="2" t="str">
        <x:v>21920</x:v>
      </x:c>
      <x:c r="D5080" s="2" t="str">
        <x:v>Description unavailable</x:v>
      </x:c>
      <x:c r="E5080" s="11" t="n">
        <x:v>0</x:v>
      </x:c>
      <x:c r="F5080" s="11" t="n">
        <x:v>0</x:v>
      </x:c>
      <x:c r="G5080" s="11" t="n">
        <x:v>0</x:v>
      </x:c>
      <x:c r="H5080" s="23" t="n">
        <x:v>0</x:v>
      </x:c>
      <x:c r="I5080" s="23" t="n">
        <x:v>1.000000000000004</x:v>
      </x:c>
      <x:c r="J5080" s="2" t="n">
        <x:v>0</x:v>
      </x:c>
      <x:c r="K5080" s="2"/>
      <x:c r="L5080" s="2"/>
    </x:row>
    <x:row r="5081" ht="22" customHeight="1">
      <x:c r="A5081" s="2"/>
      <x:c r="B5081" s="2" t="n">
        <x:v>5048</x:v>
      </x:c>
      <x:c r="C5081" s="2" t="str">
        <x:v>21855</x:v>
      </x:c>
      <x:c r="D5081" s="2" t="str">
        <x:v>Description unavailable</x:v>
      </x:c>
      <x:c r="E5081" s="11" t="n">
        <x:v>0</x:v>
      </x:c>
      <x:c r="F5081" s="11" t="n">
        <x:v>0</x:v>
      </x:c>
      <x:c r="G5081" s="11" t="n">
        <x:v>0</x:v>
      </x:c>
      <x:c r="H5081" s="23" t="n">
        <x:v>0</x:v>
      </x:c>
      <x:c r="I5081" s="23" t="n">
        <x:v>1.000000000000004</x:v>
      </x:c>
      <x:c r="J5081" s="2" t="n">
        <x:v>0</x:v>
      </x:c>
      <x:c r="K5081" s="2"/>
      <x:c r="L5081" s="2"/>
    </x:row>
    <x:row r="5082" ht="22" customHeight="1">
      <x:c r="A5082" s="2"/>
      <x:c r="B5082" s="2" t="n">
        <x:v>5049</x:v>
      </x:c>
      <x:c r="C5082" s="2" t="str">
        <x:v>47361</x:v>
      </x:c>
      <x:c r="D5082" s="2" t="str">
        <x:v>Description unavailable</x:v>
      </x:c>
      <x:c r="E5082" s="11" t="n">
        <x:v>0</x:v>
      </x:c>
      <x:c r="F5082" s="11" t="n">
        <x:v>0</x:v>
      </x:c>
      <x:c r="G5082" s="11" t="n">
        <x:v>0</x:v>
      </x:c>
      <x:c r="H5082" s="23" t="n">
        <x:v>0</x:v>
      </x:c>
      <x:c r="I5082" s="23" t="n">
        <x:v>1.000000000000004</x:v>
      </x:c>
      <x:c r="J5082" s="2" t="n">
        <x:v>0</x:v>
      </x:c>
      <x:c r="K5082" s="2"/>
      <x:c r="L5082" s="2"/>
    </x:row>
    <x:row r="5083" ht="22" customHeight="1">
      <x:c r="A5083" s="2"/>
      <x:c r="B5083" s="2" t="n">
        <x:v>5050</x:v>
      </x:c>
      <x:c r="C5083" s="2" t="str">
        <x:v>21176</x:v>
      </x:c>
      <x:c r="D5083" s="2" t="str">
        <x:v>Description unavailable</x:v>
      </x:c>
      <x:c r="E5083" s="11" t="n">
        <x:v>0</x:v>
      </x:c>
      <x:c r="F5083" s="11" t="n">
        <x:v>0</x:v>
      </x:c>
      <x:c r="G5083" s="11" t="n">
        <x:v>0</x:v>
      </x:c>
      <x:c r="H5083" s="23" t="n">
        <x:v>0</x:v>
      </x:c>
      <x:c r="I5083" s="23" t="n">
        <x:v>1.000000000000004</x:v>
      </x:c>
      <x:c r="J5083" s="2" t="n">
        <x:v>0</x:v>
      </x:c>
      <x:c r="K5083" s="2"/>
      <x:c r="L5083" s="2"/>
    </x:row>
    <x:row r="5084" ht="22" customHeight="1">
      <x:c r="A5084" s="2"/>
      <x:c r="B5084" s="2" t="n">
        <x:v>5051</x:v>
      </x:c>
      <x:c r="C5084" s="2" t="str">
        <x:v>21177</x:v>
      </x:c>
      <x:c r="D5084" s="2" t="str">
        <x:v>Description unavailable</x:v>
      </x:c>
      <x:c r="E5084" s="11" t="n">
        <x:v>0</x:v>
      </x:c>
      <x:c r="F5084" s="11" t="n">
        <x:v>0</x:v>
      </x:c>
      <x:c r="G5084" s="11" t="n">
        <x:v>0</x:v>
      </x:c>
      <x:c r="H5084" s="23" t="n">
        <x:v>0</x:v>
      </x:c>
      <x:c r="I5084" s="23" t="n">
        <x:v>1.000000000000004</x:v>
      </x:c>
      <x:c r="J5084" s="2" t="n">
        <x:v>0</x:v>
      </x:c>
      <x:c r="K5084" s="2"/>
      <x:c r="L5084" s="2"/>
    </x:row>
    <x:row r="5085" ht="22" customHeight="1">
      <x:c r="A5085" s="2"/>
      <x:c r="B5085" s="2" t="n">
        <x:v>5052</x:v>
      </x:c>
      <x:c r="C5085" s="2" t="str">
        <x:v>72778</x:v>
      </x:c>
      <x:c r="D5085" s="2" t="str">
        <x:v>Description unavailable</x:v>
      </x:c>
      <x:c r="E5085" s="11" t="n">
        <x:v>0</x:v>
      </x:c>
      <x:c r="F5085" s="11" t="n">
        <x:v>0</x:v>
      </x:c>
      <x:c r="G5085" s="11" t="n">
        <x:v>0</x:v>
      </x:c>
      <x:c r="H5085" s="23" t="n">
        <x:v>0</x:v>
      </x:c>
      <x:c r="I5085" s="23" t="n">
        <x:v>1.000000000000004</x:v>
      </x:c>
      <x:c r="J5085" s="2" t="n">
        <x:v>0</x:v>
      </x:c>
      <x:c r="K5085" s="2"/>
      <x:c r="L5085" s="2"/>
    </x:row>
    <x:row r="5086" ht="22" customHeight="1">
      <x:c r="A5086" s="2"/>
      <x:c r="B5086" s="2" t="n">
        <x:v>5053</x:v>
      </x:c>
      <x:c r="C5086" s="2" t="str">
        <x:v>35794</x:v>
      </x:c>
      <x:c r="D5086" s="2" t="str">
        <x:v>Description unavailable</x:v>
      </x:c>
      <x:c r="E5086" s="11" t="n">
        <x:v>0</x:v>
      </x:c>
      <x:c r="F5086" s="11" t="n">
        <x:v>0</x:v>
      </x:c>
      <x:c r="G5086" s="11" t="n">
        <x:v>0</x:v>
      </x:c>
      <x:c r="H5086" s="23" t="n">
        <x:v>0</x:v>
      </x:c>
      <x:c r="I5086" s="23" t="n">
        <x:v>1.000000000000004</x:v>
      </x:c>
      <x:c r="J5086" s="2" t="n">
        <x:v>0</x:v>
      </x:c>
      <x:c r="K5086" s="2"/>
      <x:c r="L5086" s="2"/>
    </x:row>
    <x:row r="5087" ht="22" customHeight="1">
      <x:c r="A5087" s="2"/>
      <x:c r="B5087" s="2" t="n">
        <x:v>5054</x:v>
      </x:c>
      <x:c r="C5087" s="2" t="str">
        <x:v>35813A</x:v>
      </x:c>
      <x:c r="D5087" s="2" t="str">
        <x:v>Description unavailable</x:v>
      </x:c>
      <x:c r="E5087" s="11" t="n">
        <x:v>0</x:v>
      </x:c>
      <x:c r="F5087" s="11" t="n">
        <x:v>0</x:v>
      </x:c>
      <x:c r="G5087" s="11" t="n">
        <x:v>0</x:v>
      </x:c>
      <x:c r="H5087" s="23" t="n">
        <x:v>0</x:v>
      </x:c>
      <x:c r="I5087" s="23" t="n">
        <x:v>1.000000000000004</x:v>
      </x:c>
      <x:c r="J5087" s="2" t="n">
        <x:v>0</x:v>
      </x:c>
      <x:c r="K5087" s="2"/>
      <x:c r="L5087" s="2"/>
    </x:row>
    <x:row r="5088" ht="22" customHeight="1">
      <x:c r="A5088" s="2"/>
      <x:c r="B5088" s="2" t="n">
        <x:v>5055</x:v>
      </x:c>
      <x:c r="C5088" s="2" t="str">
        <x:v>21182</x:v>
      </x:c>
      <x:c r="D5088" s="2" t="str">
        <x:v>Description unavailable</x:v>
      </x:c>
      <x:c r="E5088" s="11" t="n">
        <x:v>0</x:v>
      </x:c>
      <x:c r="F5088" s="11" t="n">
        <x:v>0</x:v>
      </x:c>
      <x:c r="G5088" s="11" t="n">
        <x:v>0</x:v>
      </x:c>
      <x:c r="H5088" s="23" t="n">
        <x:v>0</x:v>
      </x:c>
      <x:c r="I5088" s="23" t="n">
        <x:v>1.000000000000004</x:v>
      </x:c>
      <x:c r="J5088" s="2" t="n">
        <x:v>0</x:v>
      </x:c>
      <x:c r="K5088" s="2"/>
      <x:c r="L5088" s="2"/>
    </x:row>
    <x:row r="5089" ht="22" customHeight="1">
      <x:c r="A5089" s="2"/>
      <x:c r="B5089" s="2" t="n">
        <x:v>5056</x:v>
      </x:c>
      <x:c r="C5089" s="2" t="str">
        <x:v>21183</x:v>
      </x:c>
      <x:c r="D5089" s="2" t="str">
        <x:v>Description unavailable</x:v>
      </x:c>
      <x:c r="E5089" s="11" t="n">
        <x:v>0</x:v>
      </x:c>
      <x:c r="F5089" s="11" t="n">
        <x:v>0</x:v>
      </x:c>
      <x:c r="G5089" s="11" t="n">
        <x:v>0</x:v>
      </x:c>
      <x:c r="H5089" s="23" t="n">
        <x:v>0</x:v>
      </x:c>
      <x:c r="I5089" s="23" t="n">
        <x:v>1.000000000000004</x:v>
      </x:c>
      <x:c r="J5089" s="2" t="n">
        <x:v>0</x:v>
      </x:c>
      <x:c r="K5089" s="2"/>
      <x:c r="L5089" s="2"/>
    </x:row>
    <x:row r="5090" ht="22" customHeight="1">
      <x:c r="A5090" s="2"/>
      <x:c r="B5090" s="2" t="n">
        <x:v>5057</x:v>
      </x:c>
      <x:c r="C5090" s="2" t="str">
        <x:v>16169H</x:v>
      </x:c>
      <x:c r="D5090" s="2" t="str">
        <x:v>Description unavailable</x:v>
      </x:c>
      <x:c r="E5090" s="11" t="n">
        <x:v>0</x:v>
      </x:c>
      <x:c r="F5090" s="11" t="n">
        <x:v>0</x:v>
      </x:c>
      <x:c r="G5090" s="11" t="n">
        <x:v>0</x:v>
      </x:c>
      <x:c r="H5090" s="23" t="n">
        <x:v>0</x:v>
      </x:c>
      <x:c r="I5090" s="23" t="n">
        <x:v>1.000000000000004</x:v>
      </x:c>
      <x:c r="J5090" s="2" t="n">
        <x:v>0</x:v>
      </x:c>
      <x:c r="K5090" s="2"/>
      <x:c r="L5090" s="2"/>
    </x:row>
    <x:row r="5091" ht="22" customHeight="1">
      <x:c r="A5091" s="2"/>
      <x:c r="B5091" s="2" t="n">
        <x:v>5058</x:v>
      </x:c>
      <x:c r="C5091" s="2" t="str">
        <x:v>21170</x:v>
      </x:c>
      <x:c r="D5091" s="2" t="str">
        <x:v>Description unavailable</x:v>
      </x:c>
      <x:c r="E5091" s="11" t="n">
        <x:v>0</x:v>
      </x:c>
      <x:c r="F5091" s="11" t="n">
        <x:v>0</x:v>
      </x:c>
      <x:c r="G5091" s="11" t="n">
        <x:v>0</x:v>
      </x:c>
      <x:c r="H5091" s="23" t="n">
        <x:v>0</x:v>
      </x:c>
      <x:c r="I5091" s="23" t="n">
        <x:v>1.000000000000004</x:v>
      </x:c>
      <x:c r="J5091" s="2" t="n">
        <x:v>0</x:v>
      </x:c>
      <x:c r="K5091" s="2"/>
      <x:c r="L5091" s="2"/>
    </x:row>
    <x:row r="5092" ht="22" customHeight="1">
      <x:c r="A5092" s="2"/>
      <x:c r="B5092" s="2" t="n">
        <x:v>5059</x:v>
      </x:c>
      <x:c r="C5092" s="2" t="str">
        <x:v>23001</x:v>
      </x:c>
      <x:c r="D5092" s="2" t="str">
        <x:v>TRAVEL CARD WALLET DOTCOMGIFTSHOP</x:v>
      </x:c>
      <x:c r="E5092" s="11" t="n">
        <x:v>0</x:v>
      </x:c>
      <x:c r="F5092" s="11" t="n">
        <x:v>0</x:v>
      </x:c>
      <x:c r="G5092" s="11" t="n">
        <x:v>0</x:v>
      </x:c>
      <x:c r="H5092" s="23" t="n">
        <x:v>0</x:v>
      </x:c>
      <x:c r="I5092" s="23" t="n">
        <x:v>1.000000000000004</x:v>
      </x:c>
      <x:c r="J5092" s="2" t="n">
        <x:v>0</x:v>
      </x:c>
      <x:c r="K5092" s="2"/>
      <x:c r="L5092" s="2"/>
    </x:row>
    <x:row r="5093" ht="22" customHeight="1">
      <x:c r="A5093" s="2"/>
      <x:c r="B5093" s="2" t="n">
        <x:v>5060</x:v>
      </x:c>
      <x:c r="C5093" s="2" t="str">
        <x:v>16195</x:v>
      </x:c>
      <x:c r="D5093" s="2" t="str">
        <x:v>Description unavailable</x:v>
      </x:c>
      <x:c r="E5093" s="11" t="n">
        <x:v>0</x:v>
      </x:c>
      <x:c r="F5093" s="11" t="n">
        <x:v>0</x:v>
      </x:c>
      <x:c r="G5093" s="11" t="n">
        <x:v>0</x:v>
      </x:c>
      <x:c r="H5093" s="23" t="n">
        <x:v>0</x:v>
      </x:c>
      <x:c r="I5093" s="23" t="n">
        <x:v>1.000000000000004</x:v>
      </x:c>
      <x:c r="J5093" s="2" t="n">
        <x:v>0</x:v>
      </x:c>
      <x:c r="K5093" s="2"/>
      <x:c r="L5093" s="2"/>
    </x:row>
    <x:row r="5094" ht="22" customHeight="1">
      <x:c r="A5094" s="2"/>
      <x:c r="B5094" s="2" t="n">
        <x:v>5061</x:v>
      </x:c>
      <x:c r="C5094" s="2" t="str">
        <x:v>16200A</x:v>
      </x:c>
      <x:c r="D5094" s="2" t="str">
        <x:v>Description unavailable</x:v>
      </x:c>
      <x:c r="E5094" s="11" t="n">
        <x:v>0</x:v>
      </x:c>
      <x:c r="F5094" s="11" t="n">
        <x:v>0</x:v>
      </x:c>
      <x:c r="G5094" s="11" t="n">
        <x:v>0</x:v>
      </x:c>
      <x:c r="H5094" s="23" t="n">
        <x:v>0</x:v>
      </x:c>
      <x:c r="I5094" s="23" t="n">
        <x:v>1.000000000000004</x:v>
      </x:c>
      <x:c r="J5094" s="2" t="n">
        <x:v>0</x:v>
      </x:c>
      <x:c r="K5094" s="2"/>
      <x:c r="L5094" s="2"/>
    </x:row>
    <x:row r="5095" ht="22" customHeight="1">
      <x:c r="A5095" s="2"/>
      <x:c r="B5095" s="2" t="n">
        <x:v>5062</x:v>
      </x:c>
      <x:c r="C5095" s="2" t="str">
        <x:v>90097</x:v>
      </x:c>
      <x:c r="D5095" s="2" t="str">
        <x:v>Description unavailable</x:v>
      </x:c>
      <x:c r="E5095" s="11" t="n">
        <x:v>0</x:v>
      </x:c>
      <x:c r="F5095" s="11" t="n">
        <x:v>0</x:v>
      </x:c>
      <x:c r="G5095" s="11" t="n">
        <x:v>0</x:v>
      </x:c>
      <x:c r="H5095" s="23" t="n">
        <x:v>0</x:v>
      </x:c>
      <x:c r="I5095" s="23" t="n">
        <x:v>1.000000000000004</x:v>
      </x:c>
      <x:c r="J5095" s="2" t="n">
        <x:v>0</x:v>
      </x:c>
      <x:c r="K5095" s="2"/>
      <x:c r="L5095" s="2"/>
    </x:row>
    <x:row r="5096" ht="22" customHeight="1">
      <x:c r="A5096" s="2"/>
      <x:c r="B5096" s="2" t="n">
        <x:v>5063</x:v>
      </x:c>
      <x:c r="C5096" s="2" t="str">
        <x:v>85037</x:v>
      </x:c>
      <x:c r="D5096" s="2" t="str">
        <x:v>Description unavailable</x:v>
      </x:c>
      <x:c r="E5096" s="11" t="n">
        <x:v>0</x:v>
      </x:c>
      <x:c r="F5096" s="11" t="n">
        <x:v>0</x:v>
      </x:c>
      <x:c r="G5096" s="11" t="n">
        <x:v>0</x:v>
      </x:c>
      <x:c r="H5096" s="23" t="n">
        <x:v>0</x:v>
      </x:c>
      <x:c r="I5096" s="23" t="n">
        <x:v>1.000000000000004</x:v>
      </x:c>
      <x:c r="J5096" s="2" t="n">
        <x:v>0</x:v>
      </x:c>
      <x:c r="K5096" s="2"/>
      <x:c r="L5096" s="2"/>
    </x:row>
    <x:row r="5097" ht="22" customHeight="1">
      <x:c r="A5097" s="2"/>
      <x:c r="B5097" s="2" t="n">
        <x:v>5064</x:v>
      </x:c>
      <x:c r="C5097" s="2" t="str">
        <x:v>72798A</x:v>
      </x:c>
      <x:c r="D5097" s="2" t="str">
        <x:v>Description unavailable</x:v>
      </x:c>
      <x:c r="E5097" s="11" t="n">
        <x:v>0</x:v>
      </x:c>
      <x:c r="F5097" s="11" t="n">
        <x:v>0</x:v>
      </x:c>
      <x:c r="G5097" s="11" t="n">
        <x:v>0</x:v>
      </x:c>
      <x:c r="H5097" s="23" t="n">
        <x:v>0</x:v>
      </x:c>
      <x:c r="I5097" s="23" t="n">
        <x:v>1.000000000000004</x:v>
      </x:c>
      <x:c r="J5097" s="2" t="n">
        <x:v>0</x:v>
      </x:c>
      <x:c r="K5097" s="2"/>
      <x:c r="L5097" s="2"/>
    </x:row>
    <x:row r="5098" ht="22" customHeight="1">
      <x:c r="A5098" s="2"/>
      <x:c r="B5098" s="2" t="n">
        <x:v>5065</x:v>
      </x:c>
      <x:c r="C5098" s="2" t="str">
        <x:v>72798B</x:v>
      </x:c>
      <x:c r="D5098" s="2" t="str">
        <x:v>Description unavailable</x:v>
      </x:c>
      <x:c r="E5098" s="11" t="n">
        <x:v>0</x:v>
      </x:c>
      <x:c r="F5098" s="11" t="n">
        <x:v>0</x:v>
      </x:c>
      <x:c r="G5098" s="11" t="n">
        <x:v>0</x:v>
      </x:c>
      <x:c r="H5098" s="23" t="n">
        <x:v>0</x:v>
      </x:c>
      <x:c r="I5098" s="23" t="n">
        <x:v>1.000000000000004</x:v>
      </x:c>
      <x:c r="J5098" s="2" t="n">
        <x:v>0</x:v>
      </x:c>
      <x:c r="K5098" s="2"/>
      <x:c r="L5098" s="2"/>
    </x:row>
    <x:row r="5099" ht="22" customHeight="1">
      <x:c r="A5099" s="2"/>
      <x:c r="B5099" s="2" t="n">
        <x:v>5066</x:v>
      </x:c>
      <x:c r="C5099" s="2" t="str">
        <x:v>90107</x:v>
      </x:c>
      <x:c r="D5099" s="2" t="str">
        <x:v>Description unavailable</x:v>
      </x:c>
      <x:c r="E5099" s="11" t="n">
        <x:v>0</x:v>
      </x:c>
      <x:c r="F5099" s="11" t="n">
        <x:v>0</x:v>
      </x:c>
      <x:c r="G5099" s="11" t="n">
        <x:v>0</x:v>
      </x:c>
      <x:c r="H5099" s="23" t="n">
        <x:v>0</x:v>
      </x:c>
      <x:c r="I5099" s="23" t="n">
        <x:v>1.000000000000004</x:v>
      </x:c>
      <x:c r="J5099" s="2" t="n">
        <x:v>0</x:v>
      </x:c>
      <x:c r="K5099" s="2"/>
      <x:c r="L5099" s="2"/>
    </x:row>
    <x:row r="5100" ht="22" customHeight="1">
      <x:c r="A5100" s="2"/>
      <x:c r="B5100" s="2" t="n">
        <x:v>5067</x:v>
      </x:c>
      <x:c r="C5100" s="2" t="str">
        <x:v>90109</x:v>
      </x:c>
      <x:c r="D5100" s="2" t="str">
        <x:v>Description unavailable</x:v>
      </x:c>
      <x:c r="E5100" s="11" t="n">
        <x:v>0</x:v>
      </x:c>
      <x:c r="F5100" s="11" t="n">
        <x:v>0</x:v>
      </x:c>
      <x:c r="G5100" s="11" t="n">
        <x:v>0</x:v>
      </x:c>
      <x:c r="H5100" s="23" t="n">
        <x:v>0</x:v>
      </x:c>
      <x:c r="I5100" s="23" t="n">
        <x:v>1.000000000000004</x:v>
      </x:c>
      <x:c r="J5100" s="2" t="n">
        <x:v>0</x:v>
      </x:c>
      <x:c r="K5100" s="2"/>
      <x:c r="L5100" s="2"/>
    </x:row>
    <x:row r="5101" ht="22" customHeight="1">
      <x:c r="A5101" s="2"/>
      <x:c r="B5101" s="2" t="n">
        <x:v>5068</x:v>
      </x:c>
      <x:c r="C5101" s="2" t="str">
        <x:v>90110</x:v>
      </x:c>
      <x:c r="D5101" s="2" t="str">
        <x:v>Description unavailable</x:v>
      </x:c>
      <x:c r="E5101" s="11" t="n">
        <x:v>0</x:v>
      </x:c>
      <x:c r="F5101" s="11" t="n">
        <x:v>0</x:v>
      </x:c>
      <x:c r="G5101" s="11" t="n">
        <x:v>0</x:v>
      </x:c>
      <x:c r="H5101" s="23" t="n">
        <x:v>0</x:v>
      </x:c>
      <x:c r="I5101" s="23" t="n">
        <x:v>1.000000000000004</x:v>
      </x:c>
      <x:c r="J5101" s="2" t="n">
        <x:v>0</x:v>
      </x:c>
      <x:c r="K5101" s="2"/>
      <x:c r="L5101" s="2"/>
    </x:row>
    <x:row r="5102" ht="22" customHeight="1">
      <x:c r="A5102" s="2"/>
      <x:c r="B5102" s="2" t="n">
        <x:v>5069</x:v>
      </x:c>
      <x:c r="C5102" s="2" t="str">
        <x:v>20743</x:v>
      </x:c>
      <x:c r="D5102" s="2" t="str">
        <x:v>Description unavailable</x:v>
      </x:c>
      <x:c r="E5102" s="11" t="n">
        <x:v>0</x:v>
      </x:c>
      <x:c r="F5102" s="11" t="n">
        <x:v>0</x:v>
      </x:c>
      <x:c r="G5102" s="11" t="n">
        <x:v>0</x:v>
      </x:c>
      <x:c r="H5102" s="23" t="n">
        <x:v>0</x:v>
      </x:c>
      <x:c r="I5102" s="23" t="n">
        <x:v>1.000000000000004</x:v>
      </x:c>
      <x:c r="J5102" s="2" t="n">
        <x:v>0</x:v>
      </x:c>
      <x:c r="K5102" s="2"/>
      <x:c r="L5102" s="2"/>
    </x:row>
    <x:row r="5103" ht="22" customHeight="1">
      <x:c r="A5103" s="2"/>
      <x:c r="B5103" s="2" t="n">
        <x:v>5070</x:v>
      </x:c>
      <x:c r="C5103" s="2" t="str">
        <x:v>35980A</x:v>
      </x:c>
      <x:c r="D5103" s="2" t="str">
        <x:v>Description unavailable</x:v>
      </x:c>
      <x:c r="E5103" s="11" t="n">
        <x:v>0</x:v>
      </x:c>
      <x:c r="F5103" s="11" t="n">
        <x:v>0</x:v>
      </x:c>
      <x:c r="G5103" s="11" t="n">
        <x:v>0</x:v>
      </x:c>
      <x:c r="H5103" s="23" t="n">
        <x:v>0</x:v>
      </x:c>
      <x:c r="I5103" s="23" t="n">
        <x:v>1.000000000000004</x:v>
      </x:c>
      <x:c r="J5103" s="2" t="n">
        <x:v>0</x:v>
      </x:c>
      <x:c r="K5103" s="2"/>
      <x:c r="L5103" s="2"/>
    </x:row>
    <x:row r="5104" ht="22" customHeight="1">
      <x:c r="A5104" s="2"/>
      <x:c r="B5104" s="2" t="n">
        <x:v>5071</x:v>
      </x:c>
      <x:c r="C5104" s="2" t="str">
        <x:v>35983</x:v>
      </x:c>
      <x:c r="D5104" s="2" t="str">
        <x:v>Description unavailable</x:v>
      </x:c>
      <x:c r="E5104" s="11" t="n">
        <x:v>0</x:v>
      </x:c>
      <x:c r="F5104" s="11" t="n">
        <x:v>0</x:v>
      </x:c>
      <x:c r="G5104" s="11" t="n">
        <x:v>0</x:v>
      </x:c>
      <x:c r="H5104" s="23" t="n">
        <x:v>0</x:v>
      </x:c>
      <x:c r="I5104" s="23" t="n">
        <x:v>1.000000000000004</x:v>
      </x:c>
      <x:c r="J5104" s="2" t="n">
        <x:v>0</x:v>
      </x:c>
      <x:c r="K5104" s="2"/>
      <x:c r="L5104" s="2"/>
    </x:row>
    <x:row r="5105" ht="22" customHeight="1">
      <x:c r="A5105" s="2"/>
      <x:c r="B5105" s="2" t="n">
        <x:v>5072</x:v>
      </x:c>
      <x:c r="C5105" s="2" t="str">
        <x:v>35990</x:v>
      </x:c>
      <x:c r="D5105" s="2" t="str">
        <x:v>Description unavailable</x:v>
      </x:c>
      <x:c r="E5105" s="11" t="n">
        <x:v>0</x:v>
      </x:c>
      <x:c r="F5105" s="11" t="n">
        <x:v>0</x:v>
      </x:c>
      <x:c r="G5105" s="11" t="n">
        <x:v>0</x:v>
      </x:c>
      <x:c r="H5105" s="23" t="n">
        <x:v>0</x:v>
      </x:c>
      <x:c r="I5105" s="23" t="n">
        <x:v>1.000000000000004</x:v>
      </x:c>
      <x:c r="J5105" s="2" t="n">
        <x:v>0</x:v>
      </x:c>
      <x:c r="K5105" s="2"/>
      <x:c r="L5105" s="2"/>
    </x:row>
    <x:row r="5106" ht="22" customHeight="1">
      <x:c r="A5106" s="2"/>
      <x:c r="B5106" s="2" t="n">
        <x:v>5073</x:v>
      </x:c>
      <x:c r="C5106" s="2" t="str">
        <x:v>35992</x:v>
      </x:c>
      <x:c r="D5106" s="2" t="str">
        <x:v>Description unavailable</x:v>
      </x:c>
      <x:c r="E5106" s="11" t="n">
        <x:v>0</x:v>
      </x:c>
      <x:c r="F5106" s="11" t="n">
        <x:v>0</x:v>
      </x:c>
      <x:c r="G5106" s="11" t="n">
        <x:v>0</x:v>
      </x:c>
      <x:c r="H5106" s="23" t="n">
        <x:v>0</x:v>
      </x:c>
      <x:c r="I5106" s="23" t="n">
        <x:v>1.000000000000004</x:v>
      </x:c>
      <x:c r="J5106" s="2" t="n">
        <x:v>0</x:v>
      </x:c>
      <x:c r="K5106" s="2"/>
      <x:c r="L5106" s="2"/>
    </x:row>
    <x:row r="5107" ht="22" customHeight="1">
      <x:c r="A5107" s="2"/>
      <x:c r="B5107" s="2" t="n">
        <x:v>5074</x:v>
      </x:c>
      <x:c r="C5107" s="2" t="str">
        <x:v>35993</x:v>
      </x:c>
      <x:c r="D5107" s="2" t="str">
        <x:v>Description unavailable</x:v>
      </x:c>
      <x:c r="E5107" s="11" t="n">
        <x:v>0</x:v>
      </x:c>
      <x:c r="F5107" s="11" t="n">
        <x:v>0</x:v>
      </x:c>
      <x:c r="G5107" s="11" t="n">
        <x:v>0</x:v>
      </x:c>
      <x:c r="H5107" s="23" t="n">
        <x:v>0</x:v>
      </x:c>
      <x:c r="I5107" s="23" t="n">
        <x:v>1.000000000000004</x:v>
      </x:c>
      <x:c r="J5107" s="2" t="n">
        <x:v>0</x:v>
      </x:c>
      <x:c r="K5107" s="2"/>
      <x:c r="L5107" s="2"/>
    </x:row>
    <x:row r="5108" ht="22" customHeight="1">
      <x:c r="A5108" s="2"/>
      <x:c r="B5108" s="2" t="n">
        <x:v>5075</x:v>
      </x:c>
      <x:c r="C5108" s="2" t="str">
        <x:v>35751A</x:v>
      </x:c>
      <x:c r="D5108" s="2" t="str">
        <x:v>Description unavailable</x:v>
      </x:c>
      <x:c r="E5108" s="11" t="n">
        <x:v>0</x:v>
      </x:c>
      <x:c r="F5108" s="11" t="n">
        <x:v>0</x:v>
      </x:c>
      <x:c r="G5108" s="11" t="n">
        <x:v>0</x:v>
      </x:c>
      <x:c r="H5108" s="23" t="n">
        <x:v>0</x:v>
      </x:c>
      <x:c r="I5108" s="23" t="n">
        <x:v>1.000000000000004</x:v>
      </x:c>
      <x:c r="J5108" s="2" t="n">
        <x:v>0</x:v>
      </x:c>
      <x:c r="K5108" s="2"/>
      <x:c r="L5108" s="2"/>
    </x:row>
    <x:row r="5109" ht="22" customHeight="1">
      <x:c r="A5109" s="2"/>
      <x:c r="B5109" s="2" t="n">
        <x:v>5076</x:v>
      </x:c>
      <x:c r="C5109" s="2" t="str">
        <x:v>21104</x:v>
      </x:c>
      <x:c r="D5109" s="2" t="str">
        <x:v>Description unavailable</x:v>
      </x:c>
      <x:c r="E5109" s="11" t="n">
        <x:v>0</x:v>
      </x:c>
      <x:c r="F5109" s="11" t="n">
        <x:v>0</x:v>
      </x:c>
      <x:c r="G5109" s="11" t="n">
        <x:v>0</x:v>
      </x:c>
      <x:c r="H5109" s="23" t="n">
        <x:v>0</x:v>
      </x:c>
      <x:c r="I5109" s="23" t="n">
        <x:v>1.000000000000004</x:v>
      </x:c>
      <x:c r="J5109" s="2" t="n">
        <x:v>0</x:v>
      </x:c>
      <x:c r="K5109" s="2"/>
      <x:c r="L5109" s="2"/>
    </x:row>
    <x:row r="5110" ht="22" customHeight="1">
      <x:c r="A5110" s="2"/>
      <x:c r="B5110" s="2" t="n">
        <x:v>5077</x:v>
      </x:c>
      <x:c r="C5110" s="2" t="str">
        <x:v>21113</x:v>
      </x:c>
      <x:c r="D5110" s="2" t="str">
        <x:v>Description unavailable</x:v>
      </x:c>
      <x:c r="E5110" s="11" t="n">
        <x:v>0</x:v>
      </x:c>
      <x:c r="F5110" s="11" t="n">
        <x:v>0</x:v>
      </x:c>
      <x:c r="G5110" s="11" t="n">
        <x:v>0</x:v>
      </x:c>
      <x:c r="H5110" s="23" t="n">
        <x:v>0</x:v>
      </x:c>
      <x:c r="I5110" s="23" t="n">
        <x:v>1.000000000000004</x:v>
      </x:c>
      <x:c r="J5110" s="2" t="n">
        <x:v>0</x:v>
      </x:c>
      <x:c r="K5110" s="2"/>
      <x:c r="L5110" s="2"/>
    </x:row>
    <x:row r="5111" ht="22" customHeight="1">
      <x:c r="A5111" s="2"/>
      <x:c r="B5111" s="2" t="n">
        <x:v>5078</x:v>
      </x:c>
      <x:c r="C5111" s="2" t="str">
        <x:v>85025A</x:v>
      </x:c>
      <x:c r="D5111" s="2" t="str">
        <x:v>Description unavailable</x:v>
      </x:c>
      <x:c r="E5111" s="11" t="n">
        <x:v>0</x:v>
      </x:c>
      <x:c r="F5111" s="11" t="n">
        <x:v>0</x:v>
      </x:c>
      <x:c r="G5111" s="11" t="n">
        <x:v>0</x:v>
      </x:c>
      <x:c r="H5111" s="23" t="n">
        <x:v>0</x:v>
      </x:c>
      <x:c r="I5111" s="23" t="n">
        <x:v>1.000000000000004</x:v>
      </x:c>
      <x:c r="J5111" s="2" t="n">
        <x:v>0</x:v>
      </x:c>
      <x:c r="K5111" s="2"/>
      <x:c r="L5111" s="2"/>
    </x:row>
    <x:row r="5112" ht="22" customHeight="1">
      <x:c r="A5112" s="2"/>
      <x:c r="B5112" s="2" t="n">
        <x:v>5079</x:v>
      </x:c>
      <x:c r="C5112" s="2" t="str">
        <x:v>21148</x:v>
      </x:c>
      <x:c r="D5112" s="2" t="str">
        <x:v>Description unavailable</x:v>
      </x:c>
      <x:c r="E5112" s="11" t="n">
        <x:v>0</x:v>
      </x:c>
      <x:c r="F5112" s="11" t="n">
        <x:v>0</x:v>
      </x:c>
      <x:c r="G5112" s="11" t="n">
        <x:v>0</x:v>
      </x:c>
      <x:c r="H5112" s="23" t="n">
        <x:v>0</x:v>
      </x:c>
      <x:c r="I5112" s="23" t="n">
        <x:v>1.000000000000004</x:v>
      </x:c>
      <x:c r="J5112" s="2" t="n">
        <x:v>0</x:v>
      </x:c>
      <x:c r="K5112" s="2"/>
      <x:c r="L5112" s="2"/>
    </x:row>
    <x:row r="5113" ht="22" customHeight="1">
      <x:c r="A5113" s="2"/>
      <x:c r="B5113" s="2" t="n">
        <x:v>5080</x:v>
      </x:c>
      <x:c r="C5113" s="2" t="str">
        <x:v>23059</x:v>
      </x:c>
      <x:c r="D5113" s="2" t="str">
        <x:v>Thrown away-rusty</x:v>
      </x:c>
      <x:c r="E5113" s="11" t="n">
        <x:v>0</x:v>
      </x:c>
      <x:c r="F5113" s="11" t="n">
        <x:v>0</x:v>
      </x:c>
      <x:c r="G5113" s="11" t="n">
        <x:v>0</x:v>
      </x:c>
      <x:c r="H5113" s="23" t="n">
        <x:v>0</x:v>
      </x:c>
      <x:c r="I5113" s="23" t="n">
        <x:v>1.000000000000004</x:v>
      </x:c>
      <x:c r="J5113" s="2" t="n">
        <x:v>0</x:v>
      </x:c>
      <x:c r="K5113" s="2"/>
      <x:c r="L5113" s="2"/>
    </x:row>
    <x:row r="5114" ht="22" customHeight="1">
      <x:c r="A5114" s="2"/>
      <x:c r="B5114" s="2" t="n">
        <x:v>5081</x:v>
      </x:c>
      <x:c r="C5114" s="2" t="str">
        <x:v>21083</x:v>
      </x:c>
      <x:c r="D5114" s="2" t="str">
        <x:v>Description unavailable</x:v>
      </x:c>
      <x:c r="E5114" s="11" t="n">
        <x:v>0</x:v>
      </x:c>
      <x:c r="F5114" s="11" t="n">
        <x:v>0</x:v>
      </x:c>
      <x:c r="G5114" s="11" t="n">
        <x:v>0</x:v>
      </x:c>
      <x:c r="H5114" s="23" t="n">
        <x:v>0</x:v>
      </x:c>
      <x:c r="I5114" s="23" t="n">
        <x:v>1.000000000000004</x:v>
      </x:c>
      <x:c r="J5114" s="2" t="n">
        <x:v>0</x:v>
      </x:c>
      <x:c r="K5114" s="2"/>
      <x:c r="L5114" s="2"/>
    </x:row>
    <x:row r="5115" ht="22" customHeight="1">
      <x:c r="A5115" s="2"/>
      <x:c r="B5115" s="2" t="n">
        <x:v>5082</x:v>
      </x:c>
      <x:c r="C5115" s="2" t="str">
        <x:v>85017D</x:v>
      </x:c>
      <x:c r="D5115" s="2" t="str">
        <x:v>Description unavailable</x:v>
      </x:c>
      <x:c r="E5115" s="11" t="n">
        <x:v>0</x:v>
      </x:c>
      <x:c r="F5115" s="11" t="n">
        <x:v>0</x:v>
      </x:c>
      <x:c r="G5115" s="11" t="n">
        <x:v>0</x:v>
      </x:c>
      <x:c r="H5115" s="23" t="n">
        <x:v>0</x:v>
      </x:c>
      <x:c r="I5115" s="23" t="n">
        <x:v>1.000000000000004</x:v>
      </x:c>
      <x:c r="J5115" s="2" t="n">
        <x:v>0</x:v>
      </x:c>
      <x:c r="K5115" s="2"/>
      <x:c r="L5115" s="2"/>
    </x:row>
    <x:row r="5116" ht="22" customHeight="1">
      <x:c r="A5116" s="2"/>
      <x:c r="B5116" s="2" t="n">
        <x:v>5083</x:v>
      </x:c>
      <x:c r="C5116" s="2" t="str">
        <x:v>72801H</x:v>
      </x:c>
      <x:c r="D5116" s="2" t="str">
        <x:v>Description unavailable</x:v>
      </x:c>
      <x:c r="E5116" s="11" t="n">
        <x:v>0</x:v>
      </x:c>
      <x:c r="F5116" s="11" t="n">
        <x:v>0</x:v>
      </x:c>
      <x:c r="G5116" s="11" t="n">
        <x:v>0</x:v>
      </x:c>
      <x:c r="H5116" s="23" t="n">
        <x:v>0</x:v>
      </x:c>
      <x:c r="I5116" s="23" t="n">
        <x:v>1.000000000000004</x:v>
      </x:c>
      <x:c r="J5116" s="2" t="n">
        <x:v>0</x:v>
      </x:c>
      <x:c r="K5116" s="2"/>
      <x:c r="L5116" s="2"/>
    </x:row>
    <x:row r="5117" ht="22" customHeight="1">
      <x:c r="A5117" s="2"/>
      <x:c r="B5117" s="2" t="n">
        <x:v>5084</x:v>
      </x:c>
      <x:c r="C5117" s="2" t="str">
        <x:v>16210</x:v>
      </x:c>
      <x:c r="D5117" s="2" t="str">
        <x:v>Description unavailable</x:v>
      </x:c>
      <x:c r="E5117" s="11" t="n">
        <x:v>0</x:v>
      </x:c>
      <x:c r="F5117" s="11" t="n">
        <x:v>0</x:v>
      </x:c>
      <x:c r="G5117" s="11" t="n">
        <x:v>0</x:v>
      </x:c>
      <x:c r="H5117" s="23" t="n">
        <x:v>0</x:v>
      </x:c>
      <x:c r="I5117" s="23" t="n">
        <x:v>1.000000000000004</x:v>
      </x:c>
      <x:c r="J5117" s="2" t="n">
        <x:v>0</x:v>
      </x:c>
      <x:c r="K5117" s="2"/>
      <x:c r="L5117" s="2"/>
    </x:row>
    <x:row r="5118" ht="22" customHeight="1">
      <x:c r="A5118" s="2"/>
      <x:c r="B5118" s="2" t="n">
        <x:v>5085</x:v>
      </x:c>
      <x:c r="C5118" s="2" t="str">
        <x:v>16222B</x:v>
      </x:c>
      <x:c r="D5118" s="2" t="str">
        <x:v>Description unavailable</x:v>
      </x:c>
      <x:c r="E5118" s="11" t="n">
        <x:v>0</x:v>
      </x:c>
      <x:c r="F5118" s="11" t="n">
        <x:v>0</x:v>
      </x:c>
      <x:c r="G5118" s="11" t="n">
        <x:v>0</x:v>
      </x:c>
      <x:c r="H5118" s="23" t="n">
        <x:v>0</x:v>
      </x:c>
      <x:c r="I5118" s="23" t="n">
        <x:v>1.000000000000004</x:v>
      </x:c>
      <x:c r="J5118" s="2" t="n">
        <x:v>0</x:v>
      </x:c>
      <x:c r="K5118" s="2"/>
      <x:c r="L5118" s="2"/>
    </x:row>
    <x:row r="5119" ht="22" customHeight="1">
      <x:c r="A5119" s="2"/>
      <x:c r="B5119" s="2" t="n">
        <x:v>5086</x:v>
      </x:c>
      <x:c r="C5119" s="2" t="str">
        <x:v>35763</x:v>
      </x:c>
      <x:c r="D5119" s="2" t="str">
        <x:v>Description unavailable</x:v>
      </x:c>
      <x:c r="E5119" s="11" t="n">
        <x:v>0</x:v>
      </x:c>
      <x:c r="F5119" s="11" t="n">
        <x:v>0</x:v>
      </x:c>
      <x:c r="G5119" s="11" t="n">
        <x:v>0</x:v>
      </x:c>
      <x:c r="H5119" s="23" t="n">
        <x:v>0</x:v>
      </x:c>
      <x:c r="I5119" s="23" t="n">
        <x:v>1.000000000000004</x:v>
      </x:c>
      <x:c r="J5119" s="2" t="n">
        <x:v>0</x:v>
      </x:c>
      <x:c r="K5119" s="2"/>
      <x:c r="L5119" s="2"/>
    </x:row>
    <x:row r="5120" ht="22" customHeight="1">
      <x:c r="A5120" s="2"/>
      <x:c r="B5120" s="2" t="n">
        <x:v>5087</x:v>
      </x:c>
      <x:c r="C5120" s="2" t="str">
        <x:v>72806</x:v>
      </x:c>
      <x:c r="D5120" s="2" t="str">
        <x:v>Description unavailable</x:v>
      </x:c>
      <x:c r="E5120" s="11" t="n">
        <x:v>0</x:v>
      </x:c>
      <x:c r="F5120" s="11" t="n">
        <x:v>0</x:v>
      </x:c>
      <x:c r="G5120" s="11" t="n">
        <x:v>0</x:v>
      </x:c>
      <x:c r="H5120" s="23" t="n">
        <x:v>0</x:v>
      </x:c>
      <x:c r="I5120" s="23" t="n">
        <x:v>1.000000000000004</x:v>
      </x:c>
      <x:c r="J5120" s="2" t="n">
        <x:v>0</x:v>
      </x:c>
      <x:c r="K5120" s="2"/>
      <x:c r="L5120" s="2"/>
    </x:row>
    <x:row r="5121" ht="22" customHeight="1">
      <x:c r="A5121" s="2"/>
      <x:c r="B5121" s="2" t="n">
        <x:v>5088</x:v>
      </x:c>
      <x:c r="C5121" s="2" t="str">
        <x:v>72809</x:v>
      </x:c>
      <x:c r="D5121" s="2" t="str">
        <x:v>Description unavailable</x:v>
      </x:c>
      <x:c r="E5121" s="11" t="n">
        <x:v>0</x:v>
      </x:c>
      <x:c r="F5121" s="11" t="n">
        <x:v>0</x:v>
      </x:c>
      <x:c r="G5121" s="11" t="n">
        <x:v>0</x:v>
      </x:c>
      <x:c r="H5121" s="23" t="n">
        <x:v>0</x:v>
      </x:c>
      <x:c r="I5121" s="23" t="n">
        <x:v>1.000000000000004</x:v>
      </x:c>
      <x:c r="J5121" s="2" t="n">
        <x:v>0</x:v>
      </x:c>
      <x:c r="K5121" s="2"/>
      <x:c r="L5121" s="2"/>
    </x:row>
    <x:row r="5122" ht="22" customHeight="1">
      <x:c r="A5122" s="2"/>
      <x:c r="B5122" s="2" t="n">
        <x:v>5089</x:v>
      </x:c>
      <x:c r="C5122" s="2" t="str">
        <x:v>75132</x:v>
      </x:c>
      <x:c r="D5122" s="2" t="str">
        <x:v>Description unavailable</x:v>
      </x:c>
      <x:c r="E5122" s="11" t="n">
        <x:v>0</x:v>
      </x:c>
      <x:c r="F5122" s="11" t="n">
        <x:v>0</x:v>
      </x:c>
      <x:c r="G5122" s="11" t="n">
        <x:v>0</x:v>
      </x:c>
      <x:c r="H5122" s="23" t="n">
        <x:v>0</x:v>
      </x:c>
      <x:c r="I5122" s="23" t="n">
        <x:v>1.000000000000004</x:v>
      </x:c>
      <x:c r="J5122" s="2" t="n">
        <x:v>0</x:v>
      </x:c>
      <x:c r="K5122" s="2"/>
      <x:c r="L5122" s="2"/>
    </x:row>
    <x:row r="5123" ht="22" customHeight="1">
      <x:c r="A5123" s="2"/>
      <x:c r="B5123" s="2" t="n">
        <x:v>5090</x:v>
      </x:c>
      <x:c r="C5123" s="2" t="str">
        <x:v>21057</x:v>
      </x:c>
      <x:c r="D5123" s="2" t="str">
        <x:v>Description unavailable</x:v>
      </x:c>
      <x:c r="E5123" s="11" t="n">
        <x:v>0</x:v>
      </x:c>
      <x:c r="F5123" s="11" t="n">
        <x:v>0</x:v>
      </x:c>
      <x:c r="G5123" s="11" t="n">
        <x:v>0</x:v>
      </x:c>
      <x:c r="H5123" s="23" t="n">
        <x:v>0</x:v>
      </x:c>
      <x:c r="I5123" s="23" t="n">
        <x:v>1.000000000000004</x:v>
      </x:c>
      <x:c r="J5123" s="2" t="n">
        <x:v>0</x:v>
      </x:c>
      <x:c r="K5123" s="2"/>
      <x:c r="L5123" s="2"/>
    </x:row>
    <x:row r="5124" ht="22" customHeight="1">
      <x:c r="A5124" s="2"/>
      <x:c r="B5124" s="2" t="n">
        <x:v>5091</x:v>
      </x:c>
      <x:c r="C5124" s="2" t="str">
        <x:v>35994</x:v>
      </x:c>
      <x:c r="D5124" s="2" t="str">
        <x:v>Description unavailable</x:v>
      </x:c>
      <x:c r="E5124" s="11" t="n">
        <x:v>0</x:v>
      </x:c>
      <x:c r="F5124" s="11" t="n">
        <x:v>0</x:v>
      </x:c>
      <x:c r="G5124" s="11" t="n">
        <x:v>0</x:v>
      </x:c>
      <x:c r="H5124" s="23" t="n">
        <x:v>0</x:v>
      </x:c>
      <x:c r="I5124" s="23" t="n">
        <x:v>1.000000000000004</x:v>
      </x:c>
      <x:c r="J5124" s="2" t="n">
        <x:v>0</x:v>
      </x:c>
      <x:c r="K5124" s="2"/>
      <x:c r="L5124" s="2"/>
    </x:row>
    <x:row r="5125" ht="22" customHeight="1">
      <x:c r="A5125" s="2"/>
      <x:c r="B5125" s="2" t="n">
        <x:v>5092</x:v>
      </x:c>
      <x:c r="C5125" s="2" t="str">
        <x:v>90117</x:v>
      </x:c>
      <x:c r="D5125" s="2" t="str">
        <x:v>Description unavailable</x:v>
      </x:c>
      <x:c r="E5125" s="11" t="n">
        <x:v>0</x:v>
      </x:c>
      <x:c r="F5125" s="11" t="n">
        <x:v>0</x:v>
      </x:c>
      <x:c r="G5125" s="11" t="n">
        <x:v>0</x:v>
      </x:c>
      <x:c r="H5125" s="23" t="n">
        <x:v>0</x:v>
      </x:c>
      <x:c r="I5125" s="23" t="n">
        <x:v>1.000000000000004</x:v>
      </x:c>
      <x:c r="J5125" s="2" t="n">
        <x:v>0</x:v>
      </x:c>
      <x:c r="K5125" s="2"/>
      <x:c r="L5125" s="2"/>
    </x:row>
    <x:row r="5126" ht="22" customHeight="1">
      <x:c r="A5126" s="2"/>
      <x:c r="B5126" s="2" t="n">
        <x:v>5093</x:v>
      </x:c>
      <x:c r="C5126" s="2" t="str">
        <x:v>90121A</x:v>
      </x:c>
      <x:c r="D5126" s="2" t="str">
        <x:v>Description unavailable</x:v>
      </x:c>
      <x:c r="E5126" s="11" t="n">
        <x:v>0</x:v>
      </x:c>
      <x:c r="F5126" s="11" t="n">
        <x:v>0</x:v>
      </x:c>
      <x:c r="G5126" s="11" t="n">
        <x:v>0</x:v>
      </x:c>
      <x:c r="H5126" s="23" t="n">
        <x:v>0</x:v>
      </x:c>
      <x:c r="I5126" s="23" t="n">
        <x:v>1.000000000000004</x:v>
      </x:c>
      <x:c r="J5126" s="2" t="n">
        <x:v>0</x:v>
      </x:c>
      <x:c r="K5126" s="2"/>
      <x:c r="L5126" s="2"/>
    </x:row>
    <x:row r="5127" ht="22" customHeight="1">
      <x:c r="A5127" s="2"/>
      <x:c r="B5127" s="2" t="n">
        <x:v>5094</x:v>
      </x:c>
      <x:c r="C5127" s="2" t="str">
        <x:v>35643</x:v>
      </x:c>
      <x:c r="D5127" s="2" t="str">
        <x:v>?</x:v>
      </x:c>
      <x:c r="E5127" s="11" t="n">
        <x:v>0</x:v>
      </x:c>
      <x:c r="F5127" s="11" t="n">
        <x:v>0</x:v>
      </x:c>
      <x:c r="G5127" s="11" t="n">
        <x:v>0</x:v>
      </x:c>
      <x:c r="H5127" s="23" t="n">
        <x:v>0</x:v>
      </x:c>
      <x:c r="I5127" s="23" t="n">
        <x:v>1.000000000000004</x:v>
      </x:c>
      <x:c r="J5127" s="2" t="n">
        <x:v>0</x:v>
      </x:c>
      <x:c r="K5127" s="2"/>
      <x:c r="L5127" s="2"/>
    </x:row>
    <x:row r="5128" ht="22" customHeight="1">
      <x:c r="A5128" s="2"/>
      <x:c r="B5128" s="2" t="n">
        <x:v>5095</x:v>
      </x:c>
      <x:c r="C5128" s="2" t="str">
        <x:v>21047</x:v>
      </x:c>
      <x:c r="D5128" s="2" t="str">
        <x:v>Description unavailable</x:v>
      </x:c>
      <x:c r="E5128" s="11" t="n">
        <x:v>0</x:v>
      </x:c>
      <x:c r="F5128" s="11" t="n">
        <x:v>0</x:v>
      </x:c>
      <x:c r="G5128" s="11" t="n">
        <x:v>0</x:v>
      </x:c>
      <x:c r="H5128" s="23" t="n">
        <x:v>0</x:v>
      </x:c>
      <x:c r="I5128" s="23" t="n">
        <x:v>1.000000000000004</x:v>
      </x:c>
      <x:c r="J5128" s="2" t="n">
        <x:v>0</x:v>
      </x:c>
      <x:c r="K5128" s="2"/>
      <x:c r="L5128" s="2"/>
    </x:row>
    <x:row r="5129" ht="22" customHeight="1">
      <x:c r="A5129" s="2"/>
      <x:c r="B5129" s="2" t="n">
        <x:v>5096</x:v>
      </x:c>
      <x:c r="C5129" s="2" t="str">
        <x:v>16201C</x:v>
      </x:c>
      <x:c r="D5129" s="2" t="str">
        <x:v>Description unavailable</x:v>
      </x:c>
      <x:c r="E5129" s="11" t="n">
        <x:v>0</x:v>
      </x:c>
      <x:c r="F5129" s="11" t="n">
        <x:v>0</x:v>
      </x:c>
      <x:c r="G5129" s="11" t="n">
        <x:v>0</x:v>
      </x:c>
      <x:c r="H5129" s="23" t="n">
        <x:v>0</x:v>
      </x:c>
      <x:c r="I5129" s="23" t="n">
        <x:v>1.000000000000004</x:v>
      </x:c>
      <x:c r="J5129" s="2" t="n">
        <x:v>0</x:v>
      </x:c>
      <x:c r="K5129" s="2"/>
      <x:c r="L5129" s="2"/>
    </x:row>
    <x:row r="5130" ht="22" customHeight="1">
      <x:c r="A5130" s="2"/>
      <x:c r="B5130" s="2" t="n">
        <x:v>5097</x:v>
      </x:c>
      <x:c r="C5130" s="2" t="str">
        <x:v>84986A</x:v>
      </x:c>
      <x:c r="D5130" s="2" t="str">
        <x:v>Description unavailable</x:v>
      </x:c>
      <x:c r="E5130" s="11" t="n">
        <x:v>0</x:v>
      </x:c>
      <x:c r="F5130" s="11" t="n">
        <x:v>0</x:v>
      </x:c>
      <x:c r="G5130" s="11" t="n">
        <x:v>0</x:v>
      </x:c>
      <x:c r="H5130" s="23" t="n">
        <x:v>0</x:v>
      </x:c>
      <x:c r="I5130" s="23" t="n">
        <x:v>1.000000000000004</x:v>
      </x:c>
      <x:c r="J5130" s="2" t="n">
        <x:v>0</x:v>
      </x:c>
      <x:c r="K5130" s="2"/>
      <x:c r="L5130" s="2"/>
    </x:row>
    <x:row r="5131" ht="22" customHeight="1">
      <x:c r="A5131" s="2"/>
      <x:c r="B5131" s="2" t="n">
        <x:v>5098</x:v>
      </x:c>
      <x:c r="C5131" s="2" t="str">
        <x:v>35608C</x:v>
      </x:c>
      <x:c r="D5131" s="2" t="str">
        <x:v>Description unavailable</x:v>
      </x:c>
      <x:c r="E5131" s="11" t="n">
        <x:v>0</x:v>
      </x:c>
      <x:c r="F5131" s="11" t="n">
        <x:v>0</x:v>
      </x:c>
      <x:c r="G5131" s="11" t="n">
        <x:v>0</x:v>
      </x:c>
      <x:c r="H5131" s="23" t="n">
        <x:v>0</x:v>
      </x:c>
      <x:c r="I5131" s="23" t="n">
        <x:v>1.000000000000004</x:v>
      </x:c>
      <x:c r="J5131" s="2" t="n">
        <x:v>0</x:v>
      </x:c>
      <x:c r="K5131" s="2"/>
      <x:c r="L5131" s="2"/>
    </x:row>
    <x:row r="5132" ht="22" customHeight="1">
      <x:c r="A5132" s="2"/>
      <x:c r="B5132" s="2" t="n">
        <x:v>5099</x:v>
      </x:c>
      <x:c r="C5132" s="2" t="str">
        <x:v>35630B</x:v>
      </x:c>
      <x:c r="D5132" s="2" t="str">
        <x:v>Description unavailable</x:v>
      </x:c>
      <x:c r="E5132" s="11" t="n">
        <x:v>0</x:v>
      </x:c>
      <x:c r="F5132" s="11" t="n">
        <x:v>0</x:v>
      </x:c>
      <x:c r="G5132" s="11" t="n">
        <x:v>0</x:v>
      </x:c>
      <x:c r="H5132" s="23" t="n">
        <x:v>0</x:v>
      </x:c>
      <x:c r="I5132" s="23" t="n">
        <x:v>1.000000000000004</x:v>
      </x:c>
      <x:c r="J5132" s="2" t="n">
        <x:v>0</x:v>
      </x:c>
      <x:c r="K5132" s="2"/>
      <x:c r="L5132" s="2"/>
    </x:row>
    <x:row r="5133" ht="22" customHeight="1">
      <x:c r="A5133" s="2"/>
      <x:c r="B5133" s="2" t="n">
        <x:v>5100</x:v>
      </x:c>
      <x:c r="C5133" s="2" t="str">
        <x:v>35631A</x:v>
      </x:c>
      <x:c r="D5133" s="2" t="str">
        <x:v>Description unavailable</x:v>
      </x:c>
      <x:c r="E5133" s="11" t="n">
        <x:v>0</x:v>
      </x:c>
      <x:c r="F5133" s="11" t="n">
        <x:v>0</x:v>
      </x:c>
      <x:c r="G5133" s="11" t="n">
        <x:v>0</x:v>
      </x:c>
      <x:c r="H5133" s="23" t="n">
        <x:v>0</x:v>
      </x:c>
      <x:c r="I5133" s="23" t="n">
        <x:v>1.000000000000004</x:v>
      </x:c>
      <x:c r="J5133" s="2" t="n">
        <x:v>0</x:v>
      </x:c>
      <x:c r="K5133" s="2"/>
      <x:c r="L5133" s="2"/>
    </x:row>
    <x:row r="5134" ht="22" customHeight="1">
      <x:c r="A5134" s="2"/>
      <x:c r="B5134" s="2" t="n">
        <x:v>5101</x:v>
      </x:c>
      <x:c r="C5134" s="2" t="str">
        <x:v>35631B</x:v>
      </x:c>
      <x:c r="D5134" s="2" t="str">
        <x:v>BLUE GREEN CHRISTMAS HANGING BALL </x:v>
      </x:c>
      <x:c r="E5134" s="11" t="n">
        <x:v>0</x:v>
      </x:c>
      <x:c r="F5134" s="11" t="n">
        <x:v>0.19</x:v>
      </x:c>
      <x:c r="G5134" s="11" t="n">
        <x:v>-0.19</x:v>
      </x:c>
      <x:c r="H5134" s="23" t="n">
        <x:v>0</x:v>
      </x:c>
      <x:c r="I5134" s="23" t="n">
        <x:v>1.000000000000004</x:v>
      </x:c>
      <x:c r="J5134" s="2" t="n">
        <x:v>0</x:v>
      </x:c>
      <x:c r="K5134" s="2"/>
      <x:c r="L5134" s="2"/>
    </x:row>
    <x:row r="5135" ht="22" customHeight="1">
      <x:c r="A5135" s="2"/>
      <x:c r="B5135" s="2" t="n">
        <x:v>5102</x:v>
      </x:c>
      <x:c r="C5135" s="2" t="str">
        <x:v>35632A</x:v>
      </x:c>
      <x:c r="D5135" s="2" t="str">
        <x:v>Description unavailable</x:v>
      </x:c>
      <x:c r="E5135" s="11" t="n">
        <x:v>0</x:v>
      </x:c>
      <x:c r="F5135" s="11" t="n">
        <x:v>0</x:v>
      </x:c>
      <x:c r="G5135" s="11" t="n">
        <x:v>0</x:v>
      </x:c>
      <x:c r="H5135" s="23" t="n">
        <x:v>0</x:v>
      </x:c>
      <x:c r="I5135" s="23" t="n">
        <x:v>1.000000000000004</x:v>
      </x:c>
      <x:c r="J5135" s="2" t="n">
        <x:v>0</x:v>
      </x:c>
      <x:c r="K5135" s="2"/>
      <x:c r="L5135" s="2"/>
    </x:row>
    <x:row r="5136" ht="22" customHeight="1">
      <x:c r="A5136" s="2"/>
      <x:c r="B5136" s="2" t="n">
        <x:v>5103</x:v>
      </x:c>
      <x:c r="C5136" s="2" t="str">
        <x:v>47009</x:v>
      </x:c>
      <x:c r="D5136" s="2" t="str">
        <x:v>Description unavailable</x:v>
      </x:c>
      <x:c r="E5136" s="11" t="n">
        <x:v>0</x:v>
      </x:c>
      <x:c r="F5136" s="11" t="n">
        <x:v>0</x:v>
      </x:c>
      <x:c r="G5136" s="11" t="n">
        <x:v>0</x:v>
      </x:c>
      <x:c r="H5136" s="23" t="n">
        <x:v>0</x:v>
      </x:c>
      <x:c r="I5136" s="23" t="n">
        <x:v>1.000000000000004</x:v>
      </x:c>
      <x:c r="J5136" s="2" t="n">
        <x:v>0</x:v>
      </x:c>
      <x:c r="K5136" s="2"/>
      <x:c r="L5136" s="2"/>
    </x:row>
    <x:row r="5137" ht="22" customHeight="1">
      <x:c r="A5137" s="2"/>
      <x:c r="B5137" s="2" t="n">
        <x:v>5104</x:v>
      </x:c>
      <x:c r="C5137" s="2" t="str">
        <x:v>47284V</x:v>
      </x:c>
      <x:c r="D5137" s="2" t="str">
        <x:v>Description unavailable</x:v>
      </x:c>
      <x:c r="E5137" s="11" t="n">
        <x:v>0</x:v>
      </x:c>
      <x:c r="F5137" s="11" t="n">
        <x:v>0</x:v>
      </x:c>
      <x:c r="G5137" s="11" t="n">
        <x:v>0</x:v>
      </x:c>
      <x:c r="H5137" s="23" t="n">
        <x:v>0</x:v>
      </x:c>
      <x:c r="I5137" s="23" t="n">
        <x:v>1.000000000000004</x:v>
      </x:c>
      <x:c r="J5137" s="2" t="n">
        <x:v>0</x:v>
      </x:c>
      <x:c r="K5137" s="2"/>
      <x:c r="L5137" s="2"/>
    </x:row>
    <x:row r="5138" ht="22" customHeight="1">
      <x:c r="A5138" s="2"/>
      <x:c r="B5138" s="2" t="n">
        <x:v>5105</x:v>
      </x:c>
      <x:c r="C5138" s="2" t="str">
        <x:v>47285B</x:v>
      </x:c>
      <x:c r="D5138" s="2" t="str">
        <x:v>Description unavailable</x:v>
      </x:c>
      <x:c r="E5138" s="11" t="n">
        <x:v>0</x:v>
      </x:c>
      <x:c r="F5138" s="11" t="n">
        <x:v>0</x:v>
      </x:c>
      <x:c r="G5138" s="11" t="n">
        <x:v>0</x:v>
      </x:c>
      <x:c r="H5138" s="23" t="n">
        <x:v>0</x:v>
      </x:c>
      <x:c r="I5138" s="23" t="n">
        <x:v>1.000000000000004</x:v>
      </x:c>
      <x:c r="J5138" s="2" t="n">
        <x:v>0</x:v>
      </x:c>
      <x:c r="K5138" s="2"/>
      <x:c r="L5138" s="2"/>
    </x:row>
    <x:row r="5139" ht="22" customHeight="1">
      <x:c r="A5139" s="2"/>
      <x:c r="B5139" s="2" t="n">
        <x:v>5106</x:v>
      </x:c>
      <x:c r="C5139" s="2" t="str">
        <x:v>47340A</x:v>
      </x:c>
      <x:c r="D5139" s="2" t="str">
        <x:v>Description unavailable</x:v>
      </x:c>
      <x:c r="E5139" s="11" t="n">
        <x:v>0</x:v>
      </x:c>
      <x:c r="F5139" s="11" t="n">
        <x:v>0</x:v>
      </x:c>
      <x:c r="G5139" s="11" t="n">
        <x:v>0</x:v>
      </x:c>
      <x:c r="H5139" s="23" t="n">
        <x:v>0</x:v>
      </x:c>
      <x:c r="I5139" s="23" t="n">
        <x:v>1.000000000000004</x:v>
      </x:c>
      <x:c r="J5139" s="2" t="n">
        <x:v>0</x:v>
      </x:c>
      <x:c r="K5139" s="2"/>
      <x:c r="L5139" s="2"/>
    </x:row>
    <x:row r="5140" ht="22" customHeight="1">
      <x:c r="A5140" s="2"/>
      <x:c r="B5140" s="2" t="n">
        <x:v>5107</x:v>
      </x:c>
      <x:c r="C5140" s="2" t="str">
        <x:v>47340B</x:v>
      </x:c>
      <x:c r="D5140" s="2" t="str">
        <x:v>Description unavailable</x:v>
      </x:c>
      <x:c r="E5140" s="11" t="n">
        <x:v>0</x:v>
      </x:c>
      <x:c r="F5140" s="11" t="n">
        <x:v>0</x:v>
      </x:c>
      <x:c r="G5140" s="11" t="n">
        <x:v>0</x:v>
      </x:c>
      <x:c r="H5140" s="23" t="n">
        <x:v>0</x:v>
      </x:c>
      <x:c r="I5140" s="23" t="n">
        <x:v>1.000000000000004</x:v>
      </x:c>
      <x:c r="J5140" s="2" t="n">
        <x:v>0</x:v>
      </x:c>
      <x:c r="K5140" s="2"/>
      <x:c r="L5140" s="2"/>
    </x:row>
    <x:row r="5141" ht="22" customHeight="1">
      <x:c r="A5141" s="2"/>
      <x:c r="B5141" s="2" t="n">
        <x:v>5108</x:v>
      </x:c>
      <x:c r="C5141" s="2" t="str">
        <x:v>47347A</x:v>
      </x:c>
      <x:c r="D5141" s="2" t="str">
        <x:v>Description unavailable</x:v>
      </x:c>
      <x:c r="E5141" s="11" t="n">
        <x:v>0</x:v>
      </x:c>
      <x:c r="F5141" s="11" t="n">
        <x:v>0</x:v>
      </x:c>
      <x:c r="G5141" s="11" t="n">
        <x:v>0</x:v>
      </x:c>
      <x:c r="H5141" s="23" t="n">
        <x:v>0</x:v>
      </x:c>
      <x:c r="I5141" s="23" t="n">
        <x:v>1.000000000000004</x:v>
      </x:c>
      <x:c r="J5141" s="2" t="n">
        <x:v>0</x:v>
      </x:c>
      <x:c r="K5141" s="2"/>
      <x:c r="L5141" s="2"/>
    </x:row>
    <x:row r="5142" ht="22" customHeight="1">
      <x:c r="A5142" s="2"/>
      <x:c r="B5142" s="2" t="n">
        <x:v>5109</x:v>
      </x:c>
      <x:c r="C5142" s="2" t="str">
        <x:v>21024</x:v>
      </x:c>
      <x:c r="D5142" s="2" t="str">
        <x:v>Description unavailable</x:v>
      </x:c>
      <x:c r="E5142" s="11" t="n">
        <x:v>0</x:v>
      </x:c>
      <x:c r="F5142" s="11" t="n">
        <x:v>0</x:v>
      </x:c>
      <x:c r="G5142" s="11" t="n">
        <x:v>0</x:v>
      </x:c>
      <x:c r="H5142" s="23" t="n">
        <x:v>0</x:v>
      </x:c>
      <x:c r="I5142" s="23" t="n">
        <x:v>1.000000000000004</x:v>
      </x:c>
      <x:c r="J5142" s="2" t="n">
        <x:v>0</x:v>
      </x:c>
      <x:c r="K5142" s="2"/>
      <x:c r="L5142" s="2"/>
    </x:row>
    <x:row r="5143" ht="22" customHeight="1">
      <x:c r="A5143" s="2"/>
      <x:c r="B5143" s="2" t="n">
        <x:v>5110</x:v>
      </x:c>
      <x:c r="C5143" s="2" t="str">
        <x:v>79003B</x:v>
      </x:c>
      <x:c r="D5143" s="2" t="str">
        <x:v>Description unavailable</x:v>
      </x:c>
      <x:c r="E5143" s="11" t="n">
        <x:v>0</x:v>
      </x:c>
      <x:c r="F5143" s="11" t="n">
        <x:v>0</x:v>
      </x:c>
      <x:c r="G5143" s="11" t="n">
        <x:v>0</x:v>
      </x:c>
      <x:c r="H5143" s="23" t="n">
        <x:v>0</x:v>
      </x:c>
      <x:c r="I5143" s="23" t="n">
        <x:v>1.000000000000004</x:v>
      </x:c>
      <x:c r="J5143" s="2" t="n">
        <x:v>0</x:v>
      </x:c>
      <x:c r="K5143" s="2"/>
      <x:c r="L5143" s="2"/>
    </x:row>
    <x:row r="5144" ht="22" customHeight="1">
      <x:c r="A5144" s="2"/>
      <x:c r="B5144" s="2" t="n">
        <x:v>5111</x:v>
      </x:c>
      <x:c r="C5144" s="2" t="str">
        <x:v>79023B</x:v>
      </x:c>
      <x:c r="D5144" s="2" t="str">
        <x:v>Description unavailable</x:v>
      </x:c>
      <x:c r="E5144" s="11" t="n">
        <x:v>0</x:v>
      </x:c>
      <x:c r="F5144" s="11" t="n">
        <x:v>0</x:v>
      </x:c>
      <x:c r="G5144" s="11" t="n">
        <x:v>0</x:v>
      </x:c>
      <x:c r="H5144" s="23" t="n">
        <x:v>0</x:v>
      </x:c>
      <x:c r="I5144" s="23" t="n">
        <x:v>1.000000000000004</x:v>
      </x:c>
      <x:c r="J5144" s="2" t="n">
        <x:v>0</x:v>
      </x:c>
      <x:c r="K5144" s="2"/>
      <x:c r="L5144" s="2"/>
    </x:row>
    <x:row r="5145" ht="22" customHeight="1">
      <x:c r="A5145" s="2"/>
      <x:c r="B5145" s="2" t="n">
        <x:v>5112</x:v>
      </x:c>
      <x:c r="C5145" s="2" t="str">
        <x:v>79053A</x:v>
      </x:c>
      <x:c r="D5145" s="2" t="str">
        <x:v>Description unavailable</x:v>
      </x:c>
      <x:c r="E5145" s="11" t="n">
        <x:v>0</x:v>
      </x:c>
      <x:c r="F5145" s="11" t="n">
        <x:v>0</x:v>
      </x:c>
      <x:c r="G5145" s="11" t="n">
        <x:v>0</x:v>
      </x:c>
      <x:c r="H5145" s="23" t="n">
        <x:v>0</x:v>
      </x:c>
      <x:c r="I5145" s="23" t="n">
        <x:v>1.000000000000004</x:v>
      </x:c>
      <x:c r="J5145" s="2" t="n">
        <x:v>0</x:v>
      </x:c>
      <x:c r="K5145" s="2"/>
      <x:c r="L5145" s="2"/>
    </x:row>
    <x:row r="5146" ht="22" customHeight="1">
      <x:c r="A5146" s="2"/>
      <x:c r="B5146" s="2" t="n">
        <x:v>5113</x:v>
      </x:c>
      <x:c r="C5146" s="2" t="str">
        <x:v>79053B</x:v>
      </x:c>
      <x:c r="D5146" s="2" t="str">
        <x:v>Description unavailable</x:v>
      </x:c>
      <x:c r="E5146" s="11" t="n">
        <x:v>0</x:v>
      </x:c>
      <x:c r="F5146" s="11" t="n">
        <x:v>0</x:v>
      </x:c>
      <x:c r="G5146" s="11" t="n">
        <x:v>0</x:v>
      </x:c>
      <x:c r="H5146" s="23" t="n">
        <x:v>0</x:v>
      </x:c>
      <x:c r="I5146" s="23" t="n">
        <x:v>1.000000000000004</x:v>
      </x:c>
      <x:c r="J5146" s="2" t="n">
        <x:v>0</x:v>
      </x:c>
      <x:c r="K5146" s="2"/>
      <x:c r="L5146" s="2"/>
    </x:row>
    <x:row r="5147" ht="22" customHeight="1">
      <x:c r="A5147" s="2"/>
      <x:c r="B5147" s="2" t="n">
        <x:v>5114</x:v>
      </x:c>
      <x:c r="C5147" s="2" t="str">
        <x:v>79053D</x:v>
      </x:c>
      <x:c r="D5147" s="2" t="str">
        <x:v>Description unavailable</x:v>
      </x:c>
      <x:c r="E5147" s="11" t="n">
        <x:v>0</x:v>
      </x:c>
      <x:c r="F5147" s="11" t="n">
        <x:v>0</x:v>
      </x:c>
      <x:c r="G5147" s="11" t="n">
        <x:v>0</x:v>
      </x:c>
      <x:c r="H5147" s="23" t="n">
        <x:v>0</x:v>
      </x:c>
      <x:c r="I5147" s="23" t="n">
        <x:v>1.000000000000004</x:v>
      </x:c>
      <x:c r="J5147" s="2" t="n">
        <x:v>0</x:v>
      </x:c>
      <x:c r="K5147" s="2"/>
      <x:c r="L5147" s="2"/>
    </x:row>
    <x:row r="5148" ht="22" customHeight="1">
      <x:c r="A5148" s="2"/>
      <x:c r="B5148" s="2" t="n">
        <x:v>5115</x:v>
      </x:c>
      <x:c r="C5148" s="2" t="str">
        <x:v>79057B</x:v>
      </x:c>
      <x:c r="D5148" s="2" t="str">
        <x:v>Description unavailable</x:v>
      </x:c>
      <x:c r="E5148" s="11" t="n">
        <x:v>0</x:v>
      </x:c>
      <x:c r="F5148" s="11" t="n">
        <x:v>0</x:v>
      </x:c>
      <x:c r="G5148" s="11" t="n">
        <x:v>0</x:v>
      </x:c>
      <x:c r="H5148" s="23" t="n">
        <x:v>0</x:v>
      </x:c>
      <x:c r="I5148" s="23" t="n">
        <x:v>1.000000000000004</x:v>
      </x:c>
      <x:c r="J5148" s="2" t="n">
        <x:v>0</x:v>
      </x:c>
      <x:c r="K5148" s="2"/>
      <x:c r="L5148" s="2"/>
    </x:row>
    <x:row r="5149" ht="22" customHeight="1">
      <x:c r="A5149" s="2"/>
      <x:c r="B5149" s="2" t="n">
        <x:v>5116</x:v>
      </x:c>
      <x:c r="C5149" s="2" t="str">
        <x:v>79064C</x:v>
      </x:c>
      <x:c r="D5149" s="2" t="str">
        <x:v>Description unavailable</x:v>
      </x:c>
      <x:c r="E5149" s="11" t="n">
        <x:v>0</x:v>
      </x:c>
      <x:c r="F5149" s="11" t="n">
        <x:v>0</x:v>
      </x:c>
      <x:c r="G5149" s="11" t="n">
        <x:v>0</x:v>
      </x:c>
      <x:c r="H5149" s="23" t="n">
        <x:v>0</x:v>
      </x:c>
      <x:c r="I5149" s="23" t="n">
        <x:v>1.000000000000004</x:v>
      </x:c>
      <x:c r="J5149" s="2" t="n">
        <x:v>0</x:v>
      </x:c>
      <x:c r="K5149" s="2"/>
      <x:c r="L5149" s="2"/>
    </x:row>
    <x:row r="5150" ht="22" customHeight="1">
      <x:c r="A5150" s="2"/>
      <x:c r="B5150" s="2" t="n">
        <x:v>5117</x:v>
      </x:c>
      <x:c r="C5150" s="2" t="str">
        <x:v>79065B</x:v>
      </x:c>
      <x:c r="D5150" s="2" t="str">
        <x:v>Description unavailable</x:v>
      </x:c>
      <x:c r="E5150" s="11" t="n">
        <x:v>0</x:v>
      </x:c>
      <x:c r="F5150" s="11" t="n">
        <x:v>0</x:v>
      </x:c>
      <x:c r="G5150" s="11" t="n">
        <x:v>0</x:v>
      </x:c>
      <x:c r="H5150" s="23" t="n">
        <x:v>0</x:v>
      </x:c>
      <x:c r="I5150" s="23" t="n">
        <x:v>1.000000000000004</x:v>
      </x:c>
      <x:c r="J5150" s="2" t="n">
        <x:v>0</x:v>
      </x:c>
      <x:c r="K5150" s="2"/>
      <x:c r="L5150" s="2"/>
    </x:row>
    <x:row r="5151" ht="22" customHeight="1">
      <x:c r="A5151" s="2"/>
      <x:c r="B5151" s="2" t="n">
        <x:v>5118</x:v>
      </x:c>
      <x:c r="C5151" s="2" t="str">
        <x:v>84972M</x:v>
      </x:c>
      <x:c r="D5151" s="2" t="str">
        <x:v>Description unavailable</x:v>
      </x:c>
      <x:c r="E5151" s="11" t="n">
        <x:v>0</x:v>
      </x:c>
      <x:c r="F5151" s="11" t="n">
        <x:v>0</x:v>
      </x:c>
      <x:c r="G5151" s="11" t="n">
        <x:v>0</x:v>
      </x:c>
      <x:c r="H5151" s="23" t="n">
        <x:v>0</x:v>
      </x:c>
      <x:c r="I5151" s="23" t="n">
        <x:v>1.000000000000004</x:v>
      </x:c>
      <x:c r="J5151" s="2" t="n">
        <x:v>0</x:v>
      </x:c>
      <x:c r="K5151" s="2"/>
      <x:c r="L5151" s="2"/>
    </x:row>
    <x:row r="5152" ht="22" customHeight="1">
      <x:c r="A5152" s="2"/>
      <x:c r="B5152" s="2" t="n">
        <x:v>5119</x:v>
      </x:c>
      <x:c r="C5152" s="2" t="str">
        <x:v>16240</x:v>
      </x:c>
      <x:c r="D5152" s="2" t="str">
        <x:v>Description unavailable</x:v>
      </x:c>
      <x:c r="E5152" s="11" t="n">
        <x:v>0</x:v>
      </x:c>
      <x:c r="F5152" s="11" t="n">
        <x:v>0</x:v>
      </x:c>
      <x:c r="G5152" s="11" t="n">
        <x:v>0</x:v>
      </x:c>
      <x:c r="H5152" s="23" t="n">
        <x:v>0</x:v>
      </x:c>
      <x:c r="I5152" s="23" t="n">
        <x:v>1.000000000000004</x:v>
      </x:c>
      <x:c r="J5152" s="2" t="n">
        <x:v>0</x:v>
      </x:c>
      <x:c r="K5152" s="2"/>
      <x:c r="L5152" s="2"/>
    </x:row>
    <x:row r="5153" ht="22" customHeight="1">
      <x:c r="A5153" s="2"/>
      <x:c r="B5153" s="2" t="n">
        <x:v>5120</x:v>
      </x:c>
      <x:c r="C5153" s="2" t="str">
        <x:v>16243A</x:v>
      </x:c>
      <x:c r="D5153" s="2" t="str">
        <x:v>Description unavailable</x:v>
      </x:c>
      <x:c r="E5153" s="11" t="n">
        <x:v>0</x:v>
      </x:c>
      <x:c r="F5153" s="11" t="n">
        <x:v>0</x:v>
      </x:c>
      <x:c r="G5153" s="11" t="n">
        <x:v>0</x:v>
      </x:c>
      <x:c r="H5153" s="23" t="n">
        <x:v>0</x:v>
      </x:c>
      <x:c r="I5153" s="23" t="n">
        <x:v>1.000000000000004</x:v>
      </x:c>
      <x:c r="J5153" s="2" t="n">
        <x:v>0</x:v>
      </x:c>
      <x:c r="K5153" s="2"/>
      <x:c r="L5153" s="2"/>
    </x:row>
    <x:row r="5154" ht="22" customHeight="1">
      <x:c r="A5154" s="2"/>
      <x:c r="B5154" s="2" t="n">
        <x:v>5121</x:v>
      </x:c>
      <x:c r="C5154" s="2" t="str">
        <x:v>16245B</x:v>
      </x:c>
      <x:c r="D5154" s="2" t="str">
        <x:v>Description unavailable</x:v>
      </x:c>
      <x:c r="E5154" s="11" t="n">
        <x:v>0</x:v>
      </x:c>
      <x:c r="F5154" s="11" t="n">
        <x:v>0</x:v>
      </x:c>
      <x:c r="G5154" s="11" t="n">
        <x:v>0</x:v>
      </x:c>
      <x:c r="H5154" s="23" t="n">
        <x:v>0</x:v>
      </x:c>
      <x:c r="I5154" s="23" t="n">
        <x:v>1.000000000000004</x:v>
      </x:c>
      <x:c r="J5154" s="2" t="n">
        <x:v>0</x:v>
      </x:c>
      <x:c r="K5154" s="2"/>
      <x:c r="L5154" s="2"/>
    </x:row>
    <x:row r="5155" ht="22" customHeight="1">
      <x:c r="A5155" s="2"/>
      <x:c r="B5155" s="2" t="n">
        <x:v>5122</x:v>
      </x:c>
      <x:c r="C5155" s="2" t="str">
        <x:v>16248A</x:v>
      </x:c>
      <x:c r="D5155" s="2" t="str">
        <x:v>Description unavailable</x:v>
      </x:c>
      <x:c r="E5155" s="11" t="n">
        <x:v>0</x:v>
      </x:c>
      <x:c r="F5155" s="11" t="n">
        <x:v>0</x:v>
      </x:c>
      <x:c r="G5155" s="11" t="n">
        <x:v>0</x:v>
      </x:c>
      <x:c r="H5155" s="23" t="n">
        <x:v>0</x:v>
      </x:c>
      <x:c r="I5155" s="23" t="n">
        <x:v>1.000000000000004</x:v>
      </x:c>
      <x:c r="J5155" s="2" t="n">
        <x:v>0</x:v>
      </x:c>
      <x:c r="K5155" s="2"/>
      <x:c r="L5155" s="2"/>
    </x:row>
    <x:row r="5156" ht="22" customHeight="1">
      <x:c r="A5156" s="2"/>
      <x:c r="B5156" s="2" t="n">
        <x:v>5123</x:v>
      </x:c>
      <x:c r="C5156" s="2" t="str">
        <x:v>16249B</x:v>
      </x:c>
      <x:c r="D5156" s="2" t="str">
        <x:v>Description unavailable</x:v>
      </x:c>
      <x:c r="E5156" s="11" t="n">
        <x:v>0</x:v>
      </x:c>
      <x:c r="F5156" s="11" t="n">
        <x:v>0</x:v>
      </x:c>
      <x:c r="G5156" s="11" t="n">
        <x:v>0</x:v>
      </x:c>
      <x:c r="H5156" s="23" t="n">
        <x:v>0</x:v>
      </x:c>
      <x:c r="I5156" s="23" t="n">
        <x:v>1.000000000000004</x:v>
      </x:c>
      <x:c r="J5156" s="2" t="n">
        <x:v>0</x:v>
      </x:c>
      <x:c r="K5156" s="2"/>
      <x:c r="L5156" s="2"/>
    </x:row>
    <x:row r="5157" ht="22" customHeight="1">
      <x:c r="A5157" s="2"/>
      <x:c r="B5157" s="2" t="n">
        <x:v>5124</x:v>
      </x:c>
      <x:c r="C5157" s="2" t="str">
        <x:v>21048</x:v>
      </x:c>
      <x:c r="D5157" s="2" t="str">
        <x:v>Description unavailable</x:v>
      </x:c>
      <x:c r="E5157" s="11" t="n">
        <x:v>0</x:v>
      </x:c>
      <x:c r="F5157" s="11" t="n">
        <x:v>0</x:v>
      </x:c>
      <x:c r="G5157" s="11" t="n">
        <x:v>0</x:v>
      </x:c>
      <x:c r="H5157" s="23" t="n">
        <x:v>0</x:v>
      </x:c>
      <x:c r="I5157" s="23" t="n">
        <x:v>1.000000000000004</x:v>
      </x:c>
      <x:c r="J5157" s="2" t="n">
        <x:v>0</x:v>
      </x:c>
      <x:c r="K5157" s="2"/>
      <x:c r="L5157" s="2"/>
    </x:row>
    <x:row r="5158" ht="22" customHeight="1">
      <x:c r="A5158" s="2"/>
      <x:c r="B5158" s="2" t="n">
        <x:v>5125</x:v>
      </x:c>
      <x:c r="C5158" s="2" t="str">
        <x:v>21052</x:v>
      </x:c>
      <x:c r="D5158" s="2" t="str">
        <x:v>Description unavailable</x:v>
      </x:c>
      <x:c r="E5158" s="11" t="n">
        <x:v>0</x:v>
      </x:c>
      <x:c r="F5158" s="11" t="n">
        <x:v>0</x:v>
      </x:c>
      <x:c r="G5158" s="11" t="n">
        <x:v>0</x:v>
      </x:c>
      <x:c r="H5158" s="23" t="n">
        <x:v>0</x:v>
      </x:c>
      <x:c r="I5158" s="23" t="n">
        <x:v>1.000000000000004</x:v>
      </x:c>
      <x:c r="J5158" s="2" t="n">
        <x:v>0</x:v>
      </x:c>
      <x:c r="K5158" s="2"/>
      <x:c r="L5158" s="2"/>
    </x:row>
    <x:row r="5159" ht="22" customHeight="1">
      <x:c r="A5159" s="2"/>
      <x:c r="B5159" s="2" t="n">
        <x:v>5126</x:v>
      </x:c>
      <x:c r="C5159" s="2" t="str">
        <x:v>21053</x:v>
      </x:c>
      <x:c r="D5159" s="2" t="str">
        <x:v>ZINC HEART HANGER WITH HOOKS</x:v>
      </x:c>
      <x:c r="E5159" s="11" t="n">
        <x:v>0</x:v>
      </x:c>
      <x:c r="F5159" s="11" t="n">
        <x:v>4.25</x:v>
      </x:c>
      <x:c r="G5159" s="11" t="n">
        <x:v>-4.25</x:v>
      </x:c>
      <x:c r="H5159" s="23" t="n">
        <x:v>0</x:v>
      </x:c>
      <x:c r="I5159" s="23" t="n">
        <x:v>1.000000000000004</x:v>
      </x:c>
      <x:c r="J5159" s="2" t="n">
        <x:v>0</x:v>
      </x:c>
      <x:c r="K5159" s="2"/>
      <x:c r="L5159" s="2"/>
    </x:row>
    <x:row r="5160" ht="22" customHeight="1">
      <x:c r="A5160" s="2"/>
      <x:c r="B5160" s="2" t="n">
        <x:v>5127</x:v>
      </x:c>
      <x:c r="C5160" s="2" t="str">
        <x:v>21019</x:v>
      </x:c>
      <x:c r="D5160" s="2" t="str">
        <x:v>Description unavailable</x:v>
      </x:c>
      <x:c r="E5160" s="11" t="n">
        <x:v>0</x:v>
      </x:c>
      <x:c r="F5160" s="11" t="n">
        <x:v>0</x:v>
      </x:c>
      <x:c r="G5160" s="11" t="n">
        <x:v>0</x:v>
      </x:c>
      <x:c r="H5160" s="23" t="n">
        <x:v>0</x:v>
      </x:c>
      <x:c r="I5160" s="23" t="n">
        <x:v>1.000000000000004</x:v>
      </x:c>
      <x:c r="J5160" s="2" t="n">
        <x:v>0</x:v>
      </x:c>
      <x:c r="K5160" s="2"/>
      <x:c r="L5160" s="2"/>
    </x:row>
    <x:row r="5161" ht="22" customHeight="1">
      <x:c r="A5161" s="2"/>
      <x:c r="B5161" s="2" t="n">
        <x:v>5128</x:v>
      </x:c>
      <x:c r="C5161" s="2" t="str">
        <x:v>21020</x:v>
      </x:c>
      <x:c r="D5161" s="2" t="str">
        <x:v>Description unavailable</x:v>
      </x:c>
      <x:c r="E5161" s="11" t="n">
        <x:v>0</x:v>
      </x:c>
      <x:c r="F5161" s="11" t="n">
        <x:v>0</x:v>
      </x:c>
      <x:c r="G5161" s="11" t="n">
        <x:v>0</x:v>
      </x:c>
      <x:c r="H5161" s="23" t="n">
        <x:v>0</x:v>
      </x:c>
      <x:c r="I5161" s="23" t="n">
        <x:v>1.000000000000004</x:v>
      </x:c>
      <x:c r="J5161" s="2" t="n">
        <x:v>0</x:v>
      </x:c>
      <x:c r="K5161" s="2"/>
      <x:c r="L5161" s="2"/>
    </x:row>
    <x:row r="5162" ht="22" customHeight="1">
      <x:c r="A5162" s="2"/>
      <x:c r="B5162" s="2" t="n">
        <x:v>5129</x:v>
      </x:c>
      <x:c r="C5162" s="2" t="str">
        <x:v>21021</x:v>
      </x:c>
      <x:c r="D5162" s="2" t="str">
        <x:v>Description unavailable</x:v>
      </x:c>
      <x:c r="E5162" s="11" t="n">
        <x:v>0</x:v>
      </x:c>
      <x:c r="F5162" s="11" t="n">
        <x:v>0</x:v>
      </x:c>
      <x:c r="G5162" s="11" t="n">
        <x:v>0</x:v>
      </x:c>
      <x:c r="H5162" s="23" t="n">
        <x:v>0</x:v>
      </x:c>
      <x:c r="I5162" s="23" t="n">
        <x:v>1.000000000000004</x:v>
      </x:c>
      <x:c r="J5162" s="2" t="n">
        <x:v>0</x:v>
      </x:c>
      <x:c r="K5162" s="2"/>
      <x:c r="L5162" s="2"/>
    </x:row>
    <x:row r="5163" ht="22" customHeight="1">
      <x:c r="A5163" s="2"/>
      <x:c r="B5163" s="2" t="n">
        <x:v>5130</x:v>
      </x:c>
      <x:c r="C5163" s="2" t="str">
        <x:v>21022</x:v>
      </x:c>
      <x:c r="D5163" s="2" t="str">
        <x:v>Description unavailable</x:v>
      </x:c>
      <x:c r="E5163" s="11" t="n">
        <x:v>0</x:v>
      </x:c>
      <x:c r="F5163" s="11" t="n">
        <x:v>0</x:v>
      </x:c>
      <x:c r="G5163" s="11" t="n">
        <x:v>0</x:v>
      </x:c>
      <x:c r="H5163" s="23" t="n">
        <x:v>0</x:v>
      </x:c>
      <x:c r="I5163" s="23" t="n">
        <x:v>1.000000000000004</x:v>
      </x:c>
      <x:c r="J5163" s="2" t="n">
        <x:v>0</x:v>
      </x:c>
      <x:c r="K5163" s="2"/>
      <x:c r="L5163" s="2"/>
    </x:row>
    <x:row r="5164" ht="22" customHeight="1">
      <x:c r="A5164" s="2"/>
      <x:c r="B5164" s="2" t="n">
        <x:v>5131</x:v>
      </x:c>
      <x:c r="C5164" s="2" t="str">
        <x:v>21023</x:v>
      </x:c>
      <x:c r="D5164" s="2" t="str">
        <x:v>Description unavailable</x:v>
      </x:c>
      <x:c r="E5164" s="11" t="n">
        <x:v>0</x:v>
      </x:c>
      <x:c r="F5164" s="11" t="n">
        <x:v>0</x:v>
      </x:c>
      <x:c r="G5164" s="11" t="n">
        <x:v>0</x:v>
      </x:c>
      <x:c r="H5164" s="23" t="n">
        <x:v>0</x:v>
      </x:c>
      <x:c r="I5164" s="23" t="n">
        <x:v>1.000000000000004</x:v>
      </x:c>
      <x:c r="J5164" s="2" t="n">
        <x:v>0</x:v>
      </x:c>
      <x:c r="K5164" s="2"/>
      <x:c r="L5164" s="2"/>
    </x:row>
    <x:row r="5165" ht="22" customHeight="1">
      <x:c r="A5165" s="2"/>
      <x:c r="B5165" s="2" t="n">
        <x:v>5132</x:v>
      </x:c>
      <x:c r="C5165" s="2" t="str">
        <x:v>21005</x:v>
      </x:c>
      <x:c r="D5165" s="2" t="str">
        <x:v>Description unavailable</x:v>
      </x:c>
      <x:c r="E5165" s="11" t="n">
        <x:v>0</x:v>
      </x:c>
      <x:c r="F5165" s="11" t="n">
        <x:v>0</x:v>
      </x:c>
      <x:c r="G5165" s="11" t="n">
        <x:v>0</x:v>
      </x:c>
      <x:c r="H5165" s="23" t="n">
        <x:v>0</x:v>
      </x:c>
      <x:c r="I5165" s="23" t="n">
        <x:v>1.000000000000004</x:v>
      </x:c>
      <x:c r="J5165" s="2" t="n">
        <x:v>0</x:v>
      </x:c>
      <x:c r="K5165" s="2"/>
      <x:c r="L5165" s="2"/>
    </x:row>
    <x:row r="5166" ht="22" customHeight="1">
      <x:c r="A5166" s="2"/>
      <x:c r="B5166" s="2" t="n">
        <x:v>5133</x:v>
      </x:c>
      <x:c r="C5166" s="2" t="str">
        <x:v>21029</x:v>
      </x:c>
      <x:c r="D5166" s="2" t="str">
        <x:v>Description unavailable</x:v>
      </x:c>
      <x:c r="E5166" s="11" t="n">
        <x:v>0</x:v>
      </x:c>
      <x:c r="F5166" s="11" t="n">
        <x:v>0</x:v>
      </x:c>
      <x:c r="G5166" s="11" t="n">
        <x:v>0</x:v>
      </x:c>
      <x:c r="H5166" s="23" t="n">
        <x:v>0</x:v>
      </x:c>
      <x:c r="I5166" s="23" t="n">
        <x:v>1.000000000000004</x:v>
      </x:c>
      <x:c r="J5166" s="2" t="n">
        <x:v>0</x:v>
      </x:c>
      <x:c r="K5166" s="2"/>
      <x:c r="L5166" s="2"/>
    </x:row>
    <x:row r="5167" ht="22" customHeight="1">
      <x:c r="A5167" s="2"/>
      <x:c r="B5167" s="2" t="n">
        <x:v>5134</x:v>
      </x:c>
      <x:c r="C5167" s="2" t="str">
        <x:v>84940</x:v>
      </x:c>
      <x:c r="D5167" s="2" t="str">
        <x:v>Description unavailable</x:v>
      </x:c>
      <x:c r="E5167" s="11" t="n">
        <x:v>0</x:v>
      </x:c>
      <x:c r="F5167" s="11" t="n">
        <x:v>0</x:v>
      </x:c>
      <x:c r="G5167" s="11" t="n">
        <x:v>0</x:v>
      </x:c>
      <x:c r="H5167" s="23" t="n">
        <x:v>0</x:v>
      </x:c>
      <x:c r="I5167" s="23" t="n">
        <x:v>1.000000000000004</x:v>
      </x:c>
      <x:c r="J5167" s="2" t="n">
        <x:v>0</x:v>
      </x:c>
      <x:c r="K5167" s="2"/>
      <x:c r="L5167" s="2"/>
    </x:row>
    <x:row r="5168" ht="22" customHeight="1">
      <x:c r="A5168" s="2"/>
      <x:c r="B5168" s="2" t="n">
        <x:v>5135</x:v>
      </x:c>
      <x:c r="C5168" s="2" t="str">
        <x:v>17010S</x:v>
      </x:c>
      <x:c r="D5168" s="2" t="str">
        <x:v>Description unavailable</x:v>
      </x:c>
      <x:c r="E5168" s="11" t="n">
        <x:v>0</x:v>
      </x:c>
      <x:c r="F5168" s="11" t="n">
        <x:v>0</x:v>
      </x:c>
      <x:c r="G5168" s="11" t="n">
        <x:v>0</x:v>
      </x:c>
      <x:c r="H5168" s="23" t="n">
        <x:v>0</x:v>
      </x:c>
      <x:c r="I5168" s="23" t="n">
        <x:v>1.000000000000004</x:v>
      </x:c>
      <x:c r="J5168" s="2" t="n">
        <x:v>0</x:v>
      </x:c>
      <x:c r="K5168" s="2"/>
      <x:c r="L5168" s="2"/>
    </x:row>
    <x:row r="5169" ht="22" customHeight="1">
      <x:c r="A5169" s="2"/>
      <x:c r="B5169" s="2" t="n">
        <x:v>5136</x:v>
      </x:c>
      <x:c r="C5169" s="2" t="str">
        <x:v>20995</x:v>
      </x:c>
      <x:c r="D5169" s="2" t="str">
        <x:v>Description unavailable</x:v>
      </x:c>
      <x:c r="E5169" s="11" t="n">
        <x:v>0</x:v>
      </x:c>
      <x:c r="F5169" s="11" t="n">
        <x:v>0</x:v>
      </x:c>
      <x:c r="G5169" s="11" t="n">
        <x:v>0</x:v>
      </x:c>
      <x:c r="H5169" s="23" t="n">
        <x:v>0</x:v>
      </x:c>
      <x:c r="I5169" s="23" t="n">
        <x:v>1.000000000000004</x:v>
      </x:c>
      <x:c r="J5169" s="2" t="n">
        <x:v>0</x:v>
      </x:c>
      <x:c r="K5169" s="2"/>
      <x:c r="L5169" s="2"/>
    </x:row>
    <x:row r="5170" ht="22" customHeight="1">
      <x:c r="A5170" s="2"/>
      <x:c r="B5170" s="2" t="n">
        <x:v>5137</x:v>
      </x:c>
      <x:c r="C5170" s="2" t="str">
        <x:v>79069A</x:v>
      </x:c>
      <x:c r="D5170" s="2" t="str">
        <x:v>Description unavailable</x:v>
      </x:c>
      <x:c r="E5170" s="11" t="n">
        <x:v>0</x:v>
      </x:c>
      <x:c r="F5170" s="11" t="n">
        <x:v>0</x:v>
      </x:c>
      <x:c r="G5170" s="11" t="n">
        <x:v>0</x:v>
      </x:c>
      <x:c r="H5170" s="23" t="n">
        <x:v>0</x:v>
      </x:c>
      <x:c r="I5170" s="23" t="n">
        <x:v>1.000000000000004</x:v>
      </x:c>
      <x:c r="J5170" s="2" t="n">
        <x:v>0</x:v>
      </x:c>
      <x:c r="K5170" s="2"/>
      <x:c r="L5170" s="2"/>
    </x:row>
    <x:row r="5171" ht="22" customHeight="1">
      <x:c r="A5171" s="2"/>
      <x:c r="B5171" s="2" t="n">
        <x:v>5138</x:v>
      </x:c>
      <x:c r="C5171" s="2" t="str">
        <x:v>79070B</x:v>
      </x:c>
      <x:c r="D5171" s="2" t="str">
        <x:v>Description unavailable</x:v>
      </x:c>
      <x:c r="E5171" s="11" t="n">
        <x:v>0</x:v>
      </x:c>
      <x:c r="F5171" s="11" t="n">
        <x:v>0</x:v>
      </x:c>
      <x:c r="G5171" s="11" t="n">
        <x:v>0</x:v>
      </x:c>
      <x:c r="H5171" s="23" t="n">
        <x:v>0</x:v>
      </x:c>
      <x:c r="I5171" s="23" t="n">
        <x:v>1.000000000000004</x:v>
      </x:c>
      <x:c r="J5171" s="2" t="n">
        <x:v>0</x:v>
      </x:c>
      <x:c r="K5171" s="2"/>
      <x:c r="L5171" s="2"/>
    </x:row>
    <x:row r="5172" ht="22" customHeight="1">
      <x:c r="A5172" s="2"/>
      <x:c r="B5172" s="2" t="n">
        <x:v>5139</x:v>
      </x:c>
      <x:c r="C5172" s="2" t="str">
        <x:v>79071A</x:v>
      </x:c>
      <x:c r="D5172" s="2" t="str">
        <x:v>Description unavailable</x:v>
      </x:c>
      <x:c r="E5172" s="11" t="n">
        <x:v>0</x:v>
      </x:c>
      <x:c r="F5172" s="11" t="n">
        <x:v>0</x:v>
      </x:c>
      <x:c r="G5172" s="11" t="n">
        <x:v>0</x:v>
      </x:c>
      <x:c r="H5172" s="23" t="n">
        <x:v>0</x:v>
      </x:c>
      <x:c r="I5172" s="23" t="n">
        <x:v>1.000000000000004</x:v>
      </x:c>
      <x:c r="J5172" s="2" t="n">
        <x:v>0</x:v>
      </x:c>
      <x:c r="K5172" s="2"/>
      <x:c r="L5172" s="2"/>
    </x:row>
    <x:row r="5173" ht="22" customHeight="1">
      <x:c r="A5173" s="2"/>
      <x:c r="B5173" s="2" t="n">
        <x:v>5140</x:v>
      </x:c>
      <x:c r="C5173" s="2" t="str">
        <x:v>79082C</x:v>
      </x:c>
      <x:c r="D5173" s="2" t="str">
        <x:v>Description unavailable</x:v>
      </x:c>
      <x:c r="E5173" s="11" t="n">
        <x:v>0</x:v>
      </x:c>
      <x:c r="F5173" s="11" t="n">
        <x:v>0</x:v>
      </x:c>
      <x:c r="G5173" s="11" t="n">
        <x:v>0</x:v>
      </x:c>
      <x:c r="H5173" s="23" t="n">
        <x:v>0</x:v>
      </x:c>
      <x:c r="I5173" s="23" t="n">
        <x:v>1.000000000000004</x:v>
      </x:c>
      <x:c r="J5173" s="2" t="n">
        <x:v>0</x:v>
      </x:c>
      <x:c r="K5173" s="2"/>
      <x:c r="L5173" s="2"/>
    </x:row>
    <x:row r="5174" ht="22" customHeight="1">
      <x:c r="A5174" s="2"/>
      <x:c r="B5174" s="2" t="n">
        <x:v>5141</x:v>
      </x:c>
      <x:c r="C5174" s="2" t="str">
        <x:v>79142</x:v>
      </x:c>
      <x:c r="D5174" s="2" t="str">
        <x:v>Description unavailable</x:v>
      </x:c>
      <x:c r="E5174" s="11" t="n">
        <x:v>0</x:v>
      </x:c>
      <x:c r="F5174" s="11" t="n">
        <x:v>0</x:v>
      </x:c>
      <x:c r="G5174" s="11" t="n">
        <x:v>0</x:v>
      </x:c>
      <x:c r="H5174" s="23" t="n">
        <x:v>0</x:v>
      </x:c>
      <x:c r="I5174" s="23" t="n">
        <x:v>1.000000000000004</x:v>
      </x:c>
      <x:c r="J5174" s="2" t="n">
        <x:v>0</x:v>
      </x:c>
      <x:c r="K5174" s="2"/>
      <x:c r="L5174" s="2"/>
    </x:row>
    <x:row r="5175" ht="22" customHeight="1">
      <x:c r="A5175" s="2"/>
      <x:c r="B5175" s="2" t="n">
        <x:v>5142</x:v>
      </x:c>
      <x:c r="C5175" s="2" t="str">
        <x:v>84928</x:v>
      </x:c>
      <x:c r="D5175" s="2" t="str">
        <x:v>Description unavailable</x:v>
      </x:c>
      <x:c r="E5175" s="11" t="n">
        <x:v>0</x:v>
      </x:c>
      <x:c r="F5175" s="11" t="n">
        <x:v>0</x:v>
      </x:c>
      <x:c r="G5175" s="11" t="n">
        <x:v>0</x:v>
      </x:c>
      <x:c r="H5175" s="23" t="n">
        <x:v>0</x:v>
      </x:c>
      <x:c r="I5175" s="23" t="n">
        <x:v>1.000000000000004</x:v>
      </x:c>
      <x:c r="J5175" s="2" t="n">
        <x:v>0</x:v>
      </x:c>
      <x:c r="K5175" s="2"/>
      <x:c r="L5175" s="2"/>
    </x:row>
    <x:row r="5176" ht="22" customHeight="1">
      <x:c r="A5176" s="2"/>
      <x:c r="B5176" s="2" t="n">
        <x:v>5143</x:v>
      </x:c>
      <x:c r="C5176" s="2" t="str">
        <x:v>84933D</x:v>
      </x:c>
      <x:c r="D5176" s="2" t="str">
        <x:v>Description unavailable</x:v>
      </x:c>
      <x:c r="E5176" s="11" t="n">
        <x:v>0</x:v>
      </x:c>
      <x:c r="F5176" s="11" t="n">
        <x:v>0</x:v>
      </x:c>
      <x:c r="G5176" s="11" t="n">
        <x:v>0</x:v>
      </x:c>
      <x:c r="H5176" s="23" t="n">
        <x:v>0</x:v>
      </x:c>
      <x:c r="I5176" s="23" t="n">
        <x:v>1.000000000000004</x:v>
      </x:c>
      <x:c r="J5176" s="2" t="n">
        <x:v>0</x:v>
      </x:c>
      <x:c r="K5176" s="2"/>
      <x:c r="L5176" s="2"/>
    </x:row>
    <x:row r="5177" ht="22" customHeight="1">
      <x:c r="A5177" s="2"/>
      <x:c r="B5177" s="2" t="n">
        <x:v>5144</x:v>
      </x:c>
      <x:c r="C5177" s="2" t="str">
        <x:v>84938</x:v>
      </x:c>
      <x:c r="D5177" s="2" t="str">
        <x:v>Description unavailable</x:v>
      </x:c>
      <x:c r="E5177" s="11" t="n">
        <x:v>0</x:v>
      </x:c>
      <x:c r="F5177" s="11" t="n">
        <x:v>0</x:v>
      </x:c>
      <x:c r="G5177" s="11" t="n">
        <x:v>0</x:v>
      </x:c>
      <x:c r="H5177" s="23" t="n">
        <x:v>0</x:v>
      </x:c>
      <x:c r="I5177" s="23" t="n">
        <x:v>1.000000000000004</x:v>
      </x:c>
      <x:c r="J5177" s="2" t="n">
        <x:v>0</x:v>
      </x:c>
      <x:c r="K5177" s="2"/>
      <x:c r="L5177" s="2"/>
    </x:row>
    <x:row r="5178" ht="22" customHeight="1">
      <x:c r="A5178" s="2"/>
      <x:c r="B5178" s="2" t="n">
        <x:v>5145</x:v>
      </x:c>
      <x:c r="C5178" s="2" t="str">
        <x:v>16255</x:v>
      </x:c>
      <x:c r="D5178" s="2" t="str">
        <x:v>Description unavailable</x:v>
      </x:c>
      <x:c r="E5178" s="11" t="n">
        <x:v>0</x:v>
      </x:c>
      <x:c r="F5178" s="11" t="n">
        <x:v>0</x:v>
      </x:c>
      <x:c r="G5178" s="11" t="n">
        <x:v>0</x:v>
      </x:c>
      <x:c r="H5178" s="23" t="n">
        <x:v>0</x:v>
      </x:c>
      <x:c r="I5178" s="23" t="n">
        <x:v>1.000000000000004</x:v>
      </x:c>
      <x:c r="J5178" s="2" t="n">
        <x:v>0</x:v>
      </x:c>
      <x:c r="K5178" s="2"/>
      <x:c r="L5178" s="2"/>
    </x:row>
    <x:row r="5179" ht="22" customHeight="1">
      <x:c r="A5179" s="2"/>
      <x:c r="B5179" s="2" t="n">
        <x:v>5146</x:v>
      </x:c>
      <x:c r="C5179" s="2" t="str">
        <x:v>79165</x:v>
      </x:c>
      <x:c r="D5179" s="2" t="str">
        <x:v>Description unavailable</x:v>
      </x:c>
      <x:c r="E5179" s="11" t="n">
        <x:v>0</x:v>
      </x:c>
      <x:c r="F5179" s="11" t="n">
        <x:v>0</x:v>
      </x:c>
      <x:c r="G5179" s="11" t="n">
        <x:v>0</x:v>
      </x:c>
      <x:c r="H5179" s="23" t="n">
        <x:v>0</x:v>
      </x:c>
      <x:c r="I5179" s="23" t="n">
        <x:v>1.000000000000004</x:v>
      </x:c>
      <x:c r="J5179" s="2" t="n">
        <x:v>0</x:v>
      </x:c>
      <x:c r="K5179" s="2"/>
      <x:c r="L5179" s="2"/>
    </x:row>
    <x:row r="5180" ht="22" customHeight="1">
      <x:c r="A5180" s="2"/>
      <x:c r="B5180" s="2" t="n">
        <x:v>5147</x:v>
      </x:c>
      <x:c r="C5180" s="2" t="str">
        <x:v>79302C</x:v>
      </x:c>
      <x:c r="D5180" s="2" t="str">
        <x:v>Description unavailable</x:v>
      </x:c>
      <x:c r="E5180" s="11" t="n">
        <x:v>0</x:v>
      </x:c>
      <x:c r="F5180" s="11" t="n">
        <x:v>0</x:v>
      </x:c>
      <x:c r="G5180" s="11" t="n">
        <x:v>0</x:v>
      </x:c>
      <x:c r="H5180" s="23" t="n">
        <x:v>0</x:v>
      </x:c>
      <x:c r="I5180" s="23" t="n">
        <x:v>1.000000000000004</x:v>
      </x:c>
      <x:c r="J5180" s="2" t="n">
        <x:v>0</x:v>
      </x:c>
      <x:c r="K5180" s="2"/>
      <x:c r="L5180" s="2"/>
    </x:row>
    <x:row r="5181" ht="22" customHeight="1">
      <x:c r="A5181" s="2"/>
      <x:c r="B5181" s="2" t="n">
        <x:v>5148</x:v>
      </x:c>
      <x:c r="C5181" s="2" t="str">
        <x:v>79302J</x:v>
      </x:c>
      <x:c r="D5181" s="2" t="str">
        <x:v>Description unavailable</x:v>
      </x:c>
      <x:c r="E5181" s="11" t="n">
        <x:v>0</x:v>
      </x:c>
      <x:c r="F5181" s="11" t="n">
        <x:v>0</x:v>
      </x:c>
      <x:c r="G5181" s="11" t="n">
        <x:v>0</x:v>
      </x:c>
      <x:c r="H5181" s="23" t="n">
        <x:v>0</x:v>
      </x:c>
      <x:c r="I5181" s="23" t="n">
        <x:v>1.000000000000004</x:v>
      </x:c>
      <x:c r="J5181" s="2" t="n">
        <x:v>0</x:v>
      </x:c>
      <x:c r="K5181" s="2"/>
      <x:c r="L5181" s="2"/>
    </x:row>
    <x:row r="5182" ht="22" customHeight="1">
      <x:c r="A5182" s="2"/>
      <x:c r="B5182" s="2" t="n">
        <x:v>5149</x:v>
      </x:c>
      <x:c r="C5182" s="2" t="str">
        <x:v>79309A</x:v>
      </x:c>
      <x:c r="D5182" s="2" t="str">
        <x:v>Description unavailable</x:v>
      </x:c>
      <x:c r="E5182" s="11" t="n">
        <x:v>0</x:v>
      </x:c>
      <x:c r="F5182" s="11" t="n">
        <x:v>0</x:v>
      </x:c>
      <x:c r="G5182" s="11" t="n">
        <x:v>0</x:v>
      </x:c>
      <x:c r="H5182" s="23" t="n">
        <x:v>0</x:v>
      </x:c>
      <x:c r="I5182" s="23" t="n">
        <x:v>1.000000000000004</x:v>
      </x:c>
      <x:c r="J5182" s="2" t="n">
        <x:v>0</x:v>
      </x:c>
      <x:c r="K5182" s="2"/>
      <x:c r="L5182" s="2"/>
    </x:row>
    <x:row r="5183" ht="22" customHeight="1">
      <x:c r="A5183" s="2"/>
      <x:c r="B5183" s="2" t="n">
        <x:v>5150</x:v>
      </x:c>
      <x:c r="C5183" s="2" t="str">
        <x:v>21909</x:v>
      </x:c>
      <x:c r="D5183" s="2" t="str">
        <x:v>Description unavailable</x:v>
      </x:c>
      <x:c r="E5183" s="11" t="n">
        <x:v>0</x:v>
      </x:c>
      <x:c r="F5183" s="11" t="n">
        <x:v>0</x:v>
      </x:c>
      <x:c r="G5183" s="11" t="n">
        <x:v>0</x:v>
      </x:c>
      <x:c r="H5183" s="23" t="n">
        <x:v>0</x:v>
      </x:c>
      <x:c r="I5183" s="23" t="n">
        <x:v>1.000000000000004</x:v>
      </x:c>
      <x:c r="J5183" s="2" t="n">
        <x:v>0</x:v>
      </x:c>
      <x:c r="K5183" s="2"/>
      <x:c r="L5183" s="2"/>
    </x:row>
    <x:row r="5184" ht="22" customHeight="1">
      <x:c r="A5184" s="2"/>
      <x:c r="B5184" s="2" t="n">
        <x:v>5151</x:v>
      </x:c>
      <x:c r="C5184" s="2" t="str">
        <x:v>44266F</x:v>
      </x:c>
      <x:c r="D5184" s="2" t="str">
        <x:v>Description unavailable</x:v>
      </x:c>
      <x:c r="E5184" s="11" t="n">
        <x:v>0</x:v>
      </x:c>
      <x:c r="F5184" s="11" t="n">
        <x:v>0</x:v>
      </x:c>
      <x:c r="G5184" s="11" t="n">
        <x:v>0</x:v>
      </x:c>
      <x:c r="H5184" s="23" t="n">
        <x:v>0</x:v>
      </x:c>
      <x:c r="I5184" s="23" t="n">
        <x:v>1.000000000000004</x:v>
      </x:c>
      <x:c r="J5184" s="2" t="n">
        <x:v>0</x:v>
      </x:c>
      <x:c r="K5184" s="2"/>
      <x:c r="L5184" s="2"/>
    </x:row>
    <x:row r="5185" ht="22" customHeight="1">
      <x:c r="A5185" s="2"/>
      <x:c r="B5185" s="2" t="n">
        <x:v>5152</x:v>
      </x:c>
      <x:c r="C5185" s="2" t="str">
        <x:v>44276</x:v>
      </x:c>
      <x:c r="D5185" s="2" t="str">
        <x:v>Description unavailable</x:v>
      </x:c>
      <x:c r="E5185" s="11" t="n">
        <x:v>0</x:v>
      </x:c>
      <x:c r="F5185" s="11" t="n">
        <x:v>0</x:v>
      </x:c>
      <x:c r="G5185" s="11" t="n">
        <x:v>0</x:v>
      </x:c>
      <x:c r="H5185" s="23" t="n">
        <x:v>0</x:v>
      </x:c>
      <x:c r="I5185" s="23" t="n">
        <x:v>1.000000000000004</x:v>
      </x:c>
      <x:c r="J5185" s="2" t="n">
        <x:v>0</x:v>
      </x:c>
      <x:c r="K5185" s="2"/>
      <x:c r="L5185" s="2"/>
    </x:row>
    <x:row r="5186" ht="22" customHeight="1">
      <x:c r="A5186" s="2"/>
      <x:c r="B5186" s="2" t="n">
        <x:v>5153</x:v>
      </x:c>
      <x:c r="C5186" s="2" t="str">
        <x:v>45007B</x:v>
      </x:c>
      <x:c r="D5186" s="2" t="str">
        <x:v>Description unavailable</x:v>
      </x:c>
      <x:c r="E5186" s="11" t="n">
        <x:v>0</x:v>
      </x:c>
      <x:c r="F5186" s="11" t="n">
        <x:v>0</x:v>
      </x:c>
      <x:c r="G5186" s="11" t="n">
        <x:v>0</x:v>
      </x:c>
      <x:c r="H5186" s="23" t="n">
        <x:v>0</x:v>
      </x:c>
      <x:c r="I5186" s="23" t="n">
        <x:v>1.000000000000004</x:v>
      </x:c>
      <x:c r="J5186" s="2" t="n">
        <x:v>0</x:v>
      </x:c>
      <x:c r="K5186" s="2"/>
      <x:c r="L5186" s="2"/>
    </x:row>
    <x:row r="5187" ht="22" customHeight="1">
      <x:c r="A5187" s="2"/>
      <x:c r="B5187" s="2" t="n">
        <x:v>5154</x:v>
      </x:c>
      <x:c r="C5187" s="2" t="str">
        <x:v>45008L</x:v>
      </x:c>
      <x:c r="D5187" s="2" t="str">
        <x:v>Description unavailable</x:v>
      </x:c>
      <x:c r="E5187" s="11" t="n">
        <x:v>0</x:v>
      </x:c>
      <x:c r="F5187" s="11" t="n">
        <x:v>0</x:v>
      </x:c>
      <x:c r="G5187" s="11" t="n">
        <x:v>0</x:v>
      </x:c>
      <x:c r="H5187" s="23" t="n">
        <x:v>0</x:v>
      </x:c>
      <x:c r="I5187" s="23" t="n">
        <x:v>1.000000000000004</x:v>
      </x:c>
      <x:c r="J5187" s="2" t="n">
        <x:v>0</x:v>
      </x:c>
      <x:c r="K5187" s="2"/>
      <x:c r="L5187" s="2"/>
    </x:row>
    <x:row r="5188" ht="22" customHeight="1">
      <x:c r="A5188" s="2"/>
      <x:c r="B5188" s="2" t="n">
        <x:v>5155</x:v>
      </x:c>
      <x:c r="C5188" s="2" t="str">
        <x:v>35600A</x:v>
      </x:c>
      <x:c r="D5188" s="2" t="str">
        <x:v>Found by jackie</x:v>
      </x:c>
      <x:c r="E5188" s="11" t="n">
        <x:v>0</x:v>
      </x:c>
      <x:c r="F5188" s="11" t="n">
        <x:v>0</x:v>
      </x:c>
      <x:c r="G5188" s="11" t="n">
        <x:v>0</x:v>
      </x:c>
      <x:c r="H5188" s="23" t="n">
        <x:v>0</x:v>
      </x:c>
      <x:c r="I5188" s="23" t="n">
        <x:v>1.000000000000004</x:v>
      </x:c>
      <x:c r="J5188" s="2" t="n">
        <x:v>0</x:v>
      </x:c>
      <x:c r="K5188" s="2"/>
      <x:c r="L5188" s="2"/>
    </x:row>
    <x:row r="5189" ht="22" customHeight="1">
      <x:c r="A5189" s="2"/>
      <x:c r="B5189" s="2" t="n">
        <x:v>5156</x:v>
      </x:c>
      <x:c r="C5189" s="2" t="str">
        <x:v>35604B</x:v>
      </x:c>
      <x:c r="D5189" s="2" t="str">
        <x:v>Description unavailable</x:v>
      </x:c>
      <x:c r="E5189" s="11" t="n">
        <x:v>0</x:v>
      </x:c>
      <x:c r="F5189" s="11" t="n">
        <x:v>0</x:v>
      </x:c>
      <x:c r="G5189" s="11" t="n">
        <x:v>0</x:v>
      </x:c>
      <x:c r="H5189" s="23" t="n">
        <x:v>0</x:v>
      </x:c>
      <x:c r="I5189" s="23" t="n">
        <x:v>1.000000000000004</x:v>
      </x:c>
      <x:c r="J5189" s="2" t="n">
        <x:v>0</x:v>
      </x:c>
      <x:c r="K5189" s="2"/>
      <x:c r="L5189" s="2"/>
    </x:row>
    <x:row r="5190" ht="22" customHeight="1">
      <x:c r="A5190" s="2"/>
      <x:c r="B5190" s="2" t="n">
        <x:v>5157</x:v>
      </x:c>
      <x:c r="C5190" s="2" t="str">
        <x:v>35605A</x:v>
      </x:c>
      <x:c r="D5190" s="2" t="str">
        <x:v>damages</x:v>
      </x:c>
      <x:c r="E5190" s="11" t="n">
        <x:v>0</x:v>
      </x:c>
      <x:c r="F5190" s="11" t="n">
        <x:v>0</x:v>
      </x:c>
      <x:c r="G5190" s="11" t="n">
        <x:v>0</x:v>
      </x:c>
      <x:c r="H5190" s="23" t="n">
        <x:v>0</x:v>
      </x:c>
      <x:c r="I5190" s="23" t="n">
        <x:v>1.000000000000004</x:v>
      </x:c>
      <x:c r="J5190" s="2" t="n">
        <x:v>0</x:v>
      </x:c>
      <x:c r="K5190" s="2"/>
      <x:c r="L5190" s="2"/>
    </x:row>
    <x:row r="5191" ht="22" customHeight="1">
      <x:c r="A5191" s="2"/>
      <x:c r="B5191" s="2" t="n">
        <x:v>5158</x:v>
      </x:c>
      <x:c r="C5191" s="2" t="str">
        <x:v>35608A</x:v>
      </x:c>
      <x:c r="D5191" s="2" t="str">
        <x:v>Description unavailable</x:v>
      </x:c>
      <x:c r="E5191" s="11" t="n">
        <x:v>0</x:v>
      </x:c>
      <x:c r="F5191" s="11" t="n">
        <x:v>0</x:v>
      </x:c>
      <x:c r="G5191" s="11" t="n">
        <x:v>0</x:v>
      </x:c>
      <x:c r="H5191" s="23" t="n">
        <x:v>0</x:v>
      </x:c>
      <x:c r="I5191" s="23" t="n">
        <x:v>1.000000000000004</x:v>
      </x:c>
      <x:c r="J5191" s="2" t="n">
        <x:v>0</x:v>
      </x:c>
      <x:c r="K5191" s="2"/>
      <x:c r="L5191" s="2"/>
    </x:row>
    <x:row r="5192" ht="22" customHeight="1">
      <x:c r="A5192" s="2"/>
      <x:c r="B5192" s="2" t="n">
        <x:v>5159</x:v>
      </x:c>
      <x:c r="C5192" s="2" t="str">
        <x:v>20951</x:v>
      </x:c>
      <x:c r="D5192" s="2" t="str">
        <x:v>Description unavailable</x:v>
      </x:c>
      <x:c r="E5192" s="11" t="n">
        <x:v>0</x:v>
      </x:c>
      <x:c r="F5192" s="11" t="n">
        <x:v>0</x:v>
      </x:c>
      <x:c r="G5192" s="11" t="n">
        <x:v>0</x:v>
      </x:c>
      <x:c r="H5192" s="23" t="n">
        <x:v>0</x:v>
      </x:c>
      <x:c r="I5192" s="23" t="n">
        <x:v>1.000000000000004</x:v>
      </x:c>
      <x:c r="J5192" s="2" t="n">
        <x:v>0</x:v>
      </x:c>
      <x:c r="K5192" s="2"/>
      <x:c r="L5192" s="2"/>
    </x:row>
    <x:row r="5193" ht="22" customHeight="1">
      <x:c r="A5193" s="2"/>
      <x:c r="B5193" s="2" t="n">
        <x:v>5160</x:v>
      </x:c>
      <x:c r="C5193" s="2" t="str">
        <x:v>20937</x:v>
      </x:c>
      <x:c r="D5193" s="2" t="str">
        <x:v>Description unavailable</x:v>
      </x:c>
      <x:c r="E5193" s="11" t="n">
        <x:v>0</x:v>
      </x:c>
      <x:c r="F5193" s="11" t="n">
        <x:v>0</x:v>
      </x:c>
      <x:c r="G5193" s="11" t="n">
        <x:v>0</x:v>
      </x:c>
      <x:c r="H5193" s="23" t="n">
        <x:v>0</x:v>
      </x:c>
      <x:c r="I5193" s="23" t="n">
        <x:v>1.000000000000004</x:v>
      </x:c>
      <x:c r="J5193" s="2" t="n">
        <x:v>0</x:v>
      </x:c>
      <x:c r="K5193" s="2"/>
      <x:c r="L5193" s="2"/>
    </x:row>
    <x:row r="5194" ht="22" customHeight="1">
      <x:c r="A5194" s="2"/>
      <x:c r="B5194" s="2" t="n">
        <x:v>5161</x:v>
      </x:c>
      <x:c r="C5194" s="2" t="str">
        <x:v>20938</x:v>
      </x:c>
      <x:c r="D5194" s="2" t="str">
        <x:v>Description unavailable</x:v>
      </x:c>
      <x:c r="E5194" s="11" t="n">
        <x:v>0</x:v>
      </x:c>
      <x:c r="F5194" s="11" t="n">
        <x:v>0</x:v>
      </x:c>
      <x:c r="G5194" s="11" t="n">
        <x:v>0</x:v>
      </x:c>
      <x:c r="H5194" s="23" t="n">
        <x:v>0</x:v>
      </x:c>
      <x:c r="I5194" s="23" t="n">
        <x:v>1.000000000000004</x:v>
      </x:c>
      <x:c r="J5194" s="2" t="n">
        <x:v>0</x:v>
      </x:c>
      <x:c r="K5194" s="2"/>
      <x:c r="L5194" s="2"/>
    </x:row>
    <x:row r="5195" ht="22" customHeight="1">
      <x:c r="A5195" s="2"/>
      <x:c r="B5195" s="2" t="n">
        <x:v>5162</x:v>
      </x:c>
      <x:c r="C5195" s="2" t="str">
        <x:v>20955</x:v>
      </x:c>
      <x:c r="D5195" s="2" t="str">
        <x:v>Description unavailable</x:v>
      </x:c>
      <x:c r="E5195" s="11" t="n">
        <x:v>0</x:v>
      </x:c>
      <x:c r="F5195" s="11" t="n">
        <x:v>0</x:v>
      </x:c>
      <x:c r="G5195" s="11" t="n">
        <x:v>0</x:v>
      </x:c>
      <x:c r="H5195" s="23" t="n">
        <x:v>0</x:v>
      </x:c>
      <x:c r="I5195" s="23" t="n">
        <x:v>1.000000000000004</x:v>
      </x:c>
      <x:c r="J5195" s="2" t="n">
        <x:v>0</x:v>
      </x:c>
      <x:c r="K5195" s="2"/>
      <x:c r="L5195" s="2"/>
    </x:row>
    <x:row r="5196" ht="22" customHeight="1">
      <x:c r="A5196" s="2"/>
      <x:c r="B5196" s="2" t="n">
        <x:v>5163</x:v>
      </x:c>
      <x:c r="C5196" s="2" t="str">
        <x:v>20959</x:v>
      </x:c>
      <x:c r="D5196" s="2" t="str">
        <x:v>Description unavailable</x:v>
      </x:c>
      <x:c r="E5196" s="11" t="n">
        <x:v>0</x:v>
      </x:c>
      <x:c r="F5196" s="11" t="n">
        <x:v>0</x:v>
      </x:c>
      <x:c r="G5196" s="11" t="n">
        <x:v>0</x:v>
      </x:c>
      <x:c r="H5196" s="23" t="n">
        <x:v>0</x:v>
      </x:c>
      <x:c r="I5196" s="23" t="n">
        <x:v>1.000000000000004</x:v>
      </x:c>
      <x:c r="J5196" s="2" t="n">
        <x:v>0</x:v>
      </x:c>
      <x:c r="K5196" s="2"/>
      <x:c r="L5196" s="2"/>
    </x:row>
    <x:row r="5197" ht="22" customHeight="1">
      <x:c r="A5197" s="2"/>
      <x:c r="B5197" s="2" t="n">
        <x:v>5164</x:v>
      </x:c>
      <x:c r="C5197" s="2" t="str">
        <x:v>20965</x:v>
      </x:c>
      <x:c r="D5197" s="2" t="str">
        <x:v>Description unavailable</x:v>
      </x:c>
      <x:c r="E5197" s="11" t="n">
        <x:v>0</x:v>
      </x:c>
      <x:c r="F5197" s="11" t="n">
        <x:v>0</x:v>
      </x:c>
      <x:c r="G5197" s="11" t="n">
        <x:v>0</x:v>
      </x:c>
      <x:c r="H5197" s="23" t="n">
        <x:v>0</x:v>
      </x:c>
      <x:c r="I5197" s="23" t="n">
        <x:v>1.000000000000004</x:v>
      </x:c>
      <x:c r="J5197" s="2" t="n">
        <x:v>0</x:v>
      </x:c>
      <x:c r="K5197" s="2"/>
      <x:c r="L5197" s="2"/>
    </x:row>
    <x:row r="5198" ht="22" customHeight="1">
      <x:c r="A5198" s="2"/>
      <x:c r="B5198" s="2" t="n">
        <x:v>5165</x:v>
      </x:c>
      <x:c r="C5198" s="2" t="str">
        <x:v>84927C</x:v>
      </x:c>
      <x:c r="D5198" s="2" t="str">
        <x:v>Description unavailable</x:v>
      </x:c>
      <x:c r="E5198" s="11" t="n">
        <x:v>0</x:v>
      </x:c>
      <x:c r="F5198" s="11" t="n">
        <x:v>0</x:v>
      </x:c>
      <x:c r="G5198" s="11" t="n">
        <x:v>0</x:v>
      </x:c>
      <x:c r="H5198" s="23" t="n">
        <x:v>0</x:v>
      </x:c>
      <x:c r="I5198" s="23" t="n">
        <x:v>1.000000000000004</x:v>
      </x:c>
      <x:c r="J5198" s="2" t="n">
        <x:v>0</x:v>
      </x:c>
      <x:c r="K5198" s="2"/>
      <x:c r="L5198" s="2"/>
    </x:row>
    <x:row r="5199" ht="22" customHeight="1">
      <x:c r="A5199" s="2"/>
      <x:c r="B5199" s="2" t="n">
        <x:v>5166</x:v>
      </x:c>
      <x:c r="C5199" s="2" t="str">
        <x:v>79315B</x:v>
      </x:c>
      <x:c r="D5199" s="2" t="str">
        <x:v>Description unavailable</x:v>
      </x:c>
      <x:c r="E5199" s="11" t="n">
        <x:v>0</x:v>
      </x:c>
      <x:c r="F5199" s="11" t="n">
        <x:v>0</x:v>
      </x:c>
      <x:c r="G5199" s="11" t="n">
        <x:v>0</x:v>
      </x:c>
      <x:c r="H5199" s="23" t="n">
        <x:v>0</x:v>
      </x:c>
      <x:c r="I5199" s="23" t="n">
        <x:v>1.000000000000004</x:v>
      </x:c>
      <x:c r="J5199" s="2" t="n">
        <x:v>0</x:v>
      </x:c>
      <x:c r="K5199" s="2"/>
      <x:c r="L5199" s="2"/>
    </x:row>
    <x:row r="5200" ht="22" customHeight="1">
      <x:c r="A5200" s="2"/>
      <x:c r="B5200" s="2" t="n">
        <x:v>5167</x:v>
      </x:c>
      <x:c r="C5200" s="2" t="str">
        <x:v>37350</x:v>
      </x:c>
      <x:c r="D5200" s="2" t="str">
        <x:v>Description unavailable</x:v>
      </x:c>
      <x:c r="E5200" s="11" t="n">
        <x:v>0</x:v>
      </x:c>
      <x:c r="F5200" s="11" t="n">
        <x:v>0</x:v>
      </x:c>
      <x:c r="G5200" s="11" t="n">
        <x:v>0</x:v>
      </x:c>
      <x:c r="H5200" s="23" t="n">
        <x:v>0</x:v>
      </x:c>
      <x:c r="I5200" s="23" t="n">
        <x:v>1.000000000000004</x:v>
      </x:c>
      <x:c r="J5200" s="2" t="n">
        <x:v>0</x:v>
      </x:c>
      <x:c r="K5200" s="2"/>
      <x:c r="L5200" s="2"/>
    </x:row>
    <x:row r="5201" ht="22" customHeight="1">
      <x:c r="A5201" s="2"/>
      <x:c r="B5201" s="2" t="n">
        <x:v>5168</x:v>
      </x:c>
      <x:c r="C5201" s="2" t="str">
        <x:v>37353</x:v>
      </x:c>
      <x:c r="D5201" s="2" t="str">
        <x:v>Description unavailable</x:v>
      </x:c>
      <x:c r="E5201" s="11" t="n">
        <x:v>0</x:v>
      </x:c>
      <x:c r="F5201" s="11" t="n">
        <x:v>0</x:v>
      </x:c>
      <x:c r="G5201" s="11" t="n">
        <x:v>0</x:v>
      </x:c>
      <x:c r="H5201" s="23" t="n">
        <x:v>0</x:v>
      </x:c>
      <x:c r="I5201" s="23" t="n">
        <x:v>1.000000000000004</x:v>
      </x:c>
      <x:c r="J5201" s="2" t="n">
        <x:v>0</x:v>
      </x:c>
      <x:c r="K5201" s="2"/>
      <x:c r="L5201" s="2"/>
    </x:row>
    <x:row r="5202" ht="22" customHeight="1">
      <x:c r="A5202" s="2"/>
      <x:c r="B5202" s="2" t="n">
        <x:v>5169</x:v>
      </x:c>
      <x:c r="C5202" s="2" t="str">
        <x:v>37365Y</x:v>
      </x:c>
      <x:c r="D5202" s="2" t="str">
        <x:v>Description unavailable</x:v>
      </x:c>
      <x:c r="E5202" s="11" t="n">
        <x:v>0</x:v>
      </x:c>
      <x:c r="F5202" s="11" t="n">
        <x:v>0</x:v>
      </x:c>
      <x:c r="G5202" s="11" t="n">
        <x:v>0</x:v>
      </x:c>
      <x:c r="H5202" s="23" t="n">
        <x:v>0</x:v>
      </x:c>
      <x:c r="I5202" s="23" t="n">
        <x:v>1.000000000000004</x:v>
      </x:c>
      <x:c r="J5202" s="2" t="n">
        <x:v>0</x:v>
      </x:c>
      <x:c r="K5202" s="2"/>
      <x:c r="L5202" s="2"/>
    </x:row>
    <x:row r="5203" ht="22" customHeight="1">
      <x:c r="A5203" s="2"/>
      <x:c r="B5203" s="2" t="n">
        <x:v>5170</x:v>
      </x:c>
      <x:c r="C5203" s="2" t="str">
        <x:v>22003</x:v>
      </x:c>
      <x:c r="D5203" s="2" t="str">
        <x:v>VINTAGE BLUE VACUUM FLASK 0.5L </x:v>
      </x:c>
      <x:c r="E5203" s="11" t="n">
        <x:v>0</x:v>
      </x:c>
      <x:c r="F5203" s="11" t="n">
        <x:v>67.5</x:v>
      </x:c>
      <x:c r="G5203" s="11" t="n">
        <x:v>-67.5</x:v>
      </x:c>
      <x:c r="H5203" s="23" t="n">
        <x:v>0</x:v>
      </x:c>
      <x:c r="I5203" s="23" t="n">
        <x:v>1.000000000000004</x:v>
      </x:c>
      <x:c r="J5203" s="2" t="n">
        <x:v>0</x:v>
      </x:c>
      <x:c r="K5203" s="2"/>
      <x:c r="L5203" s="2"/>
    </x:row>
    <x:row r="5204" ht="22" customHeight="1">
      <x:c r="A5204" s="2"/>
      <x:c r="B5204" s="2" t="n">
        <x:v>5171</x:v>
      </x:c>
      <x:c r="C5204" s="2" t="str">
        <x:v>90172</x:v>
      </x:c>
      <x:c r="D5204" s="2" t="str">
        <x:v>Description unavailable</x:v>
      </x:c>
      <x:c r="E5204" s="11" t="n">
        <x:v>0</x:v>
      </x:c>
      <x:c r="F5204" s="11" t="n">
        <x:v>0</x:v>
      </x:c>
      <x:c r="G5204" s="11" t="n">
        <x:v>0</x:v>
      </x:c>
      <x:c r="H5204" s="23" t="n">
        <x:v>0</x:v>
      </x:c>
      <x:c r="I5204" s="23" t="n">
        <x:v>1.000000000000004</x:v>
      </x:c>
      <x:c r="J5204" s="2" t="n">
        <x:v>0</x:v>
      </x:c>
      <x:c r="K5204" s="2"/>
      <x:c r="L5204" s="2"/>
    </x:row>
    <x:row r="5205" ht="22" customHeight="1">
      <x:c r="A5205" s="2"/>
      <x:c r="B5205" s="2" t="n">
        <x:v>5172</x:v>
      </x:c>
      <x:c r="C5205" s="2" t="str">
        <x:v>20946</x:v>
      </x:c>
      <x:c r="D5205" s="2" t="str">
        <x:v>Description unavailable</x:v>
      </x:c>
      <x:c r="E5205" s="11" t="n">
        <x:v>0</x:v>
      </x:c>
      <x:c r="F5205" s="11" t="n">
        <x:v>0</x:v>
      </x:c>
      <x:c r="G5205" s="11" t="n">
        <x:v>0</x:v>
      </x:c>
      <x:c r="H5205" s="23" t="n">
        <x:v>0</x:v>
      </x:c>
      <x:c r="I5205" s="23" t="n">
        <x:v>1.000000000000004</x:v>
      </x:c>
      <x:c r="J5205" s="2" t="n">
        <x:v>0</x:v>
      </x:c>
      <x:c r="K5205" s="2"/>
      <x:c r="L5205" s="2"/>
    </x:row>
    <x:row r="5206" ht="22" customHeight="1">
      <x:c r="A5206" s="2"/>
      <x:c r="B5206" s="2" t="n">
        <x:v>5173</x:v>
      </x:c>
      <x:c r="C5206" s="2" t="str">
        <x:v>79333</x:v>
      </x:c>
      <x:c r="D5206" s="2" t="str">
        <x:v>Description unavailable</x:v>
      </x:c>
      <x:c r="E5206" s="11" t="n">
        <x:v>0</x:v>
      </x:c>
      <x:c r="F5206" s="11" t="n">
        <x:v>0</x:v>
      </x:c>
      <x:c r="G5206" s="11" t="n">
        <x:v>0</x:v>
      </x:c>
      <x:c r="H5206" s="23" t="n">
        <x:v>0</x:v>
      </x:c>
      <x:c r="I5206" s="23" t="n">
        <x:v>1.000000000000004</x:v>
      </x:c>
      <x:c r="J5206" s="2" t="n">
        <x:v>0</x:v>
      </x:c>
      <x:c r="K5206" s="2"/>
      <x:c r="L5206" s="2"/>
    </x:row>
    <x:row r="5207" ht="22" customHeight="1">
      <x:c r="A5207" s="2"/>
      <x:c r="B5207" s="2" t="n">
        <x:v>5174</x:v>
      </x:c>
      <x:c r="C5207" s="2" t="str">
        <x:v>79340P</x:v>
      </x:c>
      <x:c r="D5207" s="2" t="str">
        <x:v>PURPLE ORCHID FLOWER LIGHTS</x:v>
      </x:c>
      <x:c r="E5207" s="11" t="n">
        <x:v>0</x:v>
      </x:c>
      <x:c r="F5207" s="11" t="n">
        <x:v>15.9</x:v>
      </x:c>
      <x:c r="G5207" s="11" t="n">
        <x:v>-15.9</x:v>
      </x:c>
      <x:c r="H5207" s="23" t="n">
        <x:v>0</x:v>
      </x:c>
      <x:c r="I5207" s="23" t="n">
        <x:v>1.000000000000004</x:v>
      </x:c>
      <x:c r="J5207" s="2" t="n">
        <x:v>0</x:v>
      </x:c>
      <x:c r="K5207" s="2"/>
      <x:c r="L5207" s="2"/>
    </x:row>
    <x:row r="5208" ht="22" customHeight="1">
      <x:c r="A5208" s="2"/>
      <x:c r="B5208" s="2" t="n">
        <x:v>5175</x:v>
      </x:c>
      <x:c r="C5208" s="2" t="str">
        <x:v>79340W</x:v>
      </x:c>
      <x:c r="D5208" s="2" t="str">
        <x:v>WHITE ORCHID FLOWER LIGHTS</x:v>
      </x:c>
      <x:c r="E5208" s="11" t="n">
        <x:v>0</x:v>
      </x:c>
      <x:c r="F5208" s="11" t="n">
        <x:v>45.3</x:v>
      </x:c>
      <x:c r="G5208" s="11" t="n">
        <x:v>-45.3</x:v>
      </x:c>
      <x:c r="H5208" s="23" t="n">
        <x:v>0</x:v>
      </x:c>
      <x:c r="I5208" s="23" t="n">
        <x:v>1.000000000000004</x:v>
      </x:c>
      <x:c r="J5208" s="2" t="n">
        <x:v>0</x:v>
      </x:c>
      <x:c r="K5208" s="2"/>
      <x:c r="L5208" s="2"/>
    </x:row>
    <x:row r="5209" ht="22" customHeight="1">
      <x:c r="A5209" s="2"/>
      <x:c r="B5209" s="2" t="n">
        <x:v>5176</x:v>
      </x:c>
      <x:c r="C5209" s="2" t="str">
        <x:v>20900</x:v>
      </x:c>
      <x:c r="D5209" s="2" t="str">
        <x:v>Description unavailable</x:v>
      </x:c>
      <x:c r="E5209" s="11" t="n">
        <x:v>0</x:v>
      </x:c>
      <x:c r="F5209" s="11" t="n">
        <x:v>0</x:v>
      </x:c>
      <x:c r="G5209" s="11" t="n">
        <x:v>0</x:v>
      </x:c>
      <x:c r="H5209" s="23" t="n">
        <x:v>0</x:v>
      </x:c>
      <x:c r="I5209" s="23" t="n">
        <x:v>1.000000000000004</x:v>
      </x:c>
      <x:c r="J5209" s="2" t="n">
        <x:v>0</x:v>
      </x:c>
      <x:c r="K5209" s="2"/>
      <x:c r="L5209" s="2"/>
    </x:row>
    <x:row r="5210" ht="22" customHeight="1">
      <x:c r="A5210" s="2"/>
      <x:c r="B5210" s="2" t="n">
        <x:v>5177</x:v>
      </x:c>
      <x:c r="C5210" s="2" t="str">
        <x:v>82039C</x:v>
      </x:c>
      <x:c r="D5210" s="2" t="str">
        <x:v>Description unavailable</x:v>
      </x:c>
      <x:c r="E5210" s="11" t="n">
        <x:v>0</x:v>
      </x:c>
      <x:c r="F5210" s="11" t="n">
        <x:v>0</x:v>
      </x:c>
      <x:c r="G5210" s="11" t="n">
        <x:v>0</x:v>
      </x:c>
      <x:c r="H5210" s="23" t="n">
        <x:v>0</x:v>
      </x:c>
      <x:c r="I5210" s="23" t="n">
        <x:v>1.000000000000004</x:v>
      </x:c>
      <x:c r="J5210" s="2" t="n">
        <x:v>0</x:v>
      </x:c>
      <x:c r="K5210" s="2"/>
      <x:c r="L5210" s="2"/>
    </x:row>
    <x:row r="5211" ht="22" customHeight="1">
      <x:c r="A5211" s="2"/>
      <x:c r="B5211" s="2" t="n">
        <x:v>5178</x:v>
      </x:c>
      <x:c r="C5211" s="2" t="str">
        <x:v>84877C</x:v>
      </x:c>
      <x:c r="D5211" s="2" t="str">
        <x:v>Description unavailable</x:v>
      </x:c>
      <x:c r="E5211" s="11" t="n">
        <x:v>0</x:v>
      </x:c>
      <x:c r="F5211" s="11" t="n">
        <x:v>0</x:v>
      </x:c>
      <x:c r="G5211" s="11" t="n">
        <x:v>0</x:v>
      </x:c>
      <x:c r="H5211" s="23" t="n">
        <x:v>0</x:v>
      </x:c>
      <x:c r="I5211" s="23" t="n">
        <x:v>1.000000000000004</x:v>
      </x:c>
      <x:c r="J5211" s="2" t="n">
        <x:v>0</x:v>
      </x:c>
      <x:c r="K5211" s="2"/>
      <x:c r="L5211" s="2"/>
    </x:row>
    <x:row r="5212" ht="22" customHeight="1">
      <x:c r="A5212" s="2"/>
      <x:c r="B5212" s="2" t="n">
        <x:v>5179</x:v>
      </x:c>
      <x:c r="C5212" s="2" t="str">
        <x:v>84896C</x:v>
      </x:c>
      <x:c r="D5212" s="2" t="str">
        <x:v>Description unavailable</x:v>
      </x:c>
      <x:c r="E5212" s="11" t="n">
        <x:v>0</x:v>
      </x:c>
      <x:c r="F5212" s="11" t="n">
        <x:v>0</x:v>
      </x:c>
      <x:c r="G5212" s="11" t="n">
        <x:v>0</x:v>
      </x:c>
      <x:c r="H5212" s="23" t="n">
        <x:v>0</x:v>
      </x:c>
      <x:c r="I5212" s="23" t="n">
        <x:v>1.000000000000004</x:v>
      </x:c>
      <x:c r="J5212" s="2" t="n">
        <x:v>0</x:v>
      </x:c>
      <x:c r="K5212" s="2"/>
      <x:c r="L5212" s="2"/>
    </x:row>
    <x:row r="5213" ht="22" customHeight="1">
      <x:c r="A5213" s="2"/>
      <x:c r="B5213" s="2" t="n">
        <x:v>5180</x:v>
      </x:c>
      <x:c r="C5213" s="2" t="str">
        <x:v>84897A</x:v>
      </x:c>
      <x:c r="D5213" s="2" t="str">
        <x:v>Description unavailable</x:v>
      </x:c>
      <x:c r="E5213" s="11" t="n">
        <x:v>0</x:v>
      </x:c>
      <x:c r="F5213" s="11" t="n">
        <x:v>0</x:v>
      </x:c>
      <x:c r="G5213" s="11" t="n">
        <x:v>0</x:v>
      </x:c>
      <x:c r="H5213" s="23" t="n">
        <x:v>0</x:v>
      </x:c>
      <x:c r="I5213" s="23" t="n">
        <x:v>1.000000000000004</x:v>
      </x:c>
      <x:c r="J5213" s="2" t="n">
        <x:v>0</x:v>
      </x:c>
      <x:c r="K5213" s="2"/>
      <x:c r="L5213" s="2"/>
    </x:row>
    <x:row r="5214" ht="22" customHeight="1">
      <x:c r="A5214" s="2"/>
      <x:c r="B5214" s="2" t="n">
        <x:v>5181</x:v>
      </x:c>
      <x:c r="C5214" s="2" t="str">
        <x:v>84898E</x:v>
      </x:c>
      <x:c r="D5214" s="2" t="str">
        <x:v>Description unavailable</x:v>
      </x:c>
      <x:c r="E5214" s="11" t="n">
        <x:v>0</x:v>
      </x:c>
      <x:c r="F5214" s="11" t="n">
        <x:v>0</x:v>
      </x:c>
      <x:c r="G5214" s="11" t="n">
        <x:v>0</x:v>
      </x:c>
      <x:c r="H5214" s="23" t="n">
        <x:v>0</x:v>
      </x:c>
      <x:c r="I5214" s="23" t="n">
        <x:v>1.000000000000004</x:v>
      </x:c>
      <x:c r="J5214" s="2" t="n">
        <x:v>0</x:v>
      </x:c>
      <x:c r="K5214" s="2"/>
      <x:c r="L5214" s="2"/>
    </x:row>
    <x:row r="5215" ht="22" customHeight="1">
      <x:c r="A5215" s="2"/>
      <x:c r="B5215" s="2" t="n">
        <x:v>5182</x:v>
      </x:c>
      <x:c r="C5215" s="2" t="str">
        <x:v>84899A</x:v>
      </x:c>
      <x:c r="D5215" s="2" t="str">
        <x:v>Description unavailable</x:v>
      </x:c>
      <x:c r="E5215" s="11" t="n">
        <x:v>0</x:v>
      </x:c>
      <x:c r="F5215" s="11" t="n">
        <x:v>0</x:v>
      </x:c>
      <x:c r="G5215" s="11" t="n">
        <x:v>0</x:v>
      </x:c>
      <x:c r="H5215" s="23" t="n">
        <x:v>0</x:v>
      </x:c>
      <x:c r="I5215" s="23" t="n">
        <x:v>1.000000000000004</x:v>
      </x:c>
      <x:c r="J5215" s="2" t="n">
        <x:v>0</x:v>
      </x:c>
      <x:c r="K5215" s="2"/>
      <x:c r="L5215" s="2"/>
    </x:row>
    <x:row r="5216" ht="22" customHeight="1">
      <x:c r="A5216" s="2"/>
      <x:c r="B5216" s="2" t="n">
        <x:v>5183</x:v>
      </x:c>
      <x:c r="C5216" s="2" t="str">
        <x:v>84904</x:v>
      </x:c>
      <x:c r="D5216" s="2" t="str">
        <x:v>Description unavailable</x:v>
      </x:c>
      <x:c r="E5216" s="11" t="n">
        <x:v>0</x:v>
      </x:c>
      <x:c r="F5216" s="11" t="n">
        <x:v>0</x:v>
      </x:c>
      <x:c r="G5216" s="11" t="n">
        <x:v>0</x:v>
      </x:c>
      <x:c r="H5216" s="23" t="n">
        <x:v>0</x:v>
      </x:c>
      <x:c r="I5216" s="23" t="n">
        <x:v>1.000000000000004</x:v>
      </x:c>
      <x:c r="J5216" s="2" t="n">
        <x:v>0</x:v>
      </x:c>
      <x:c r="K5216" s="2"/>
      <x:c r="L5216" s="2"/>
    </x:row>
    <x:row r="5217" ht="22" customHeight="1">
      <x:c r="A5217" s="2"/>
      <x:c r="B5217" s="2" t="n">
        <x:v>5184</x:v>
      </x:c>
      <x:c r="C5217" s="2" t="str">
        <x:v>20944</x:v>
      </x:c>
      <x:c r="D5217" s="2" t="str">
        <x:v>Description unavailable</x:v>
      </x:c>
      <x:c r="E5217" s="11" t="n">
        <x:v>0</x:v>
      </x:c>
      <x:c r="F5217" s="11" t="n">
        <x:v>0</x:v>
      </x:c>
      <x:c r="G5217" s="11" t="n">
        <x:v>0</x:v>
      </x:c>
      <x:c r="H5217" s="23" t="n">
        <x:v>0</x:v>
      </x:c>
      <x:c r="I5217" s="23" t="n">
        <x:v>1.000000000000004</x:v>
      </x:c>
      <x:c r="J5217" s="2" t="n">
        <x:v>0</x:v>
      </x:c>
      <x:c r="K5217" s="2"/>
      <x:c r="L5217" s="2"/>
    </x:row>
    <x:row r="5218" ht="22" customHeight="1">
      <x:c r="A5218" s="2"/>
      <x:c r="B5218" s="2" t="n">
        <x:v>5185</x:v>
      </x:c>
      <x:c r="C5218" s="2" t="str">
        <x:v>84871</x:v>
      </x:c>
      <x:c r="D5218" s="2" t="str">
        <x:v>Description unavailable</x:v>
      </x:c>
      <x:c r="E5218" s="11" t="n">
        <x:v>0</x:v>
      </x:c>
      <x:c r="F5218" s="11" t="n">
        <x:v>0</x:v>
      </x:c>
      <x:c r="G5218" s="11" t="n">
        <x:v>0</x:v>
      </x:c>
      <x:c r="H5218" s="23" t="n">
        <x:v>0</x:v>
      </x:c>
      <x:c r="I5218" s="23" t="n">
        <x:v>1.000000000000004</x:v>
      </x:c>
      <x:c r="J5218" s="2" t="n">
        <x:v>0</x:v>
      </x:c>
      <x:c r="K5218" s="2"/>
      <x:c r="L5218" s="2"/>
    </x:row>
    <x:row r="5219" ht="22" customHeight="1">
      <x:c r="A5219" s="2"/>
      <x:c r="B5219" s="2" t="n">
        <x:v>5186</x:v>
      </x:c>
      <x:c r="C5219" s="2" t="str">
        <x:v>84873B</x:v>
      </x:c>
      <x:c r="D5219" s="2" t="str">
        <x:v>Description unavailable</x:v>
      </x:c>
      <x:c r="E5219" s="11" t="n">
        <x:v>0</x:v>
      </x:c>
      <x:c r="F5219" s="11" t="n">
        <x:v>0</x:v>
      </x:c>
      <x:c r="G5219" s="11" t="n">
        <x:v>0</x:v>
      </x:c>
      <x:c r="H5219" s="23" t="n">
        <x:v>0</x:v>
      </x:c>
      <x:c r="I5219" s="23" t="n">
        <x:v>1.000000000000004</x:v>
      </x:c>
      <x:c r="J5219" s="2" t="n">
        <x:v>0</x:v>
      </x:c>
      <x:c r="K5219" s="2"/>
      <x:c r="L5219" s="2"/>
    </x:row>
    <x:row r="5220" ht="22" customHeight="1">
      <x:c r="A5220" s="2"/>
      <x:c r="B5220" s="2" t="n">
        <x:v>5187</x:v>
      </x:c>
      <x:c r="C5220" s="2" t="str">
        <x:v>84874A</x:v>
      </x:c>
      <x:c r="D5220" s="2" t="str">
        <x:v>Description unavailable</x:v>
      </x:c>
      <x:c r="E5220" s="11" t="n">
        <x:v>0</x:v>
      </x:c>
      <x:c r="F5220" s="11" t="n">
        <x:v>0</x:v>
      </x:c>
      <x:c r="G5220" s="11" t="n">
        <x:v>0</x:v>
      </x:c>
      <x:c r="H5220" s="23" t="n">
        <x:v>0</x:v>
      </x:c>
      <x:c r="I5220" s="23" t="n">
        <x:v>1.000000000000004</x:v>
      </x:c>
      <x:c r="J5220" s="2" t="n">
        <x:v>0</x:v>
      </x:c>
      <x:c r="K5220" s="2"/>
      <x:c r="L5220" s="2"/>
    </x:row>
    <x:row r="5221" ht="22" customHeight="1">
      <x:c r="A5221" s="2"/>
      <x:c r="B5221" s="2" t="n">
        <x:v>5188</x:v>
      </x:c>
      <x:c r="C5221" s="2" t="str">
        <x:v>18096B</x:v>
      </x:c>
      <x:c r="D5221" s="2" t="str">
        <x:v>Description unavailable</x:v>
      </x:c>
      <x:c r="E5221" s="11" t="n">
        <x:v>0</x:v>
      </x:c>
      <x:c r="F5221" s="11" t="n">
        <x:v>0</x:v>
      </x:c>
      <x:c r="G5221" s="11" t="n">
        <x:v>0</x:v>
      </x:c>
      <x:c r="H5221" s="23" t="n">
        <x:v>0</x:v>
      </x:c>
      <x:c r="I5221" s="23" t="n">
        <x:v>1.000000000000004</x:v>
      </x:c>
      <x:c r="J5221" s="2" t="n">
        <x:v>0</x:v>
      </x:c>
      <x:c r="K5221" s="2"/>
      <x:c r="L5221" s="2"/>
    </x:row>
    <x:row r="5222" ht="22" customHeight="1">
      <x:c r="A5222" s="2"/>
      <x:c r="B5222" s="2" t="n">
        <x:v>5189</x:v>
      </x:c>
      <x:c r="C5222" s="2" t="str">
        <x:v>44242C</x:v>
      </x:c>
      <x:c r="D5222" s="2" t="str">
        <x:v>Description unavailable</x:v>
      </x:c>
      <x:c r="E5222" s="11" t="n">
        <x:v>0</x:v>
      </x:c>
      <x:c r="F5222" s="11" t="n">
        <x:v>0</x:v>
      </x:c>
      <x:c r="G5222" s="11" t="n">
        <x:v>0</x:v>
      </x:c>
      <x:c r="H5222" s="23" t="n">
        <x:v>0</x:v>
      </x:c>
      <x:c r="I5222" s="23" t="n">
        <x:v>1.000000000000004</x:v>
      </x:c>
      <x:c r="J5222" s="2" t="n">
        <x:v>0</x:v>
      </x:c>
      <x:c r="K5222" s="2"/>
      <x:c r="L5222" s="2"/>
    </x:row>
    <x:row r="5223" ht="22" customHeight="1">
      <x:c r="A5223" s="2"/>
      <x:c r="B5223" s="2" t="n">
        <x:v>5190</x:v>
      </x:c>
      <x:c r="C5223" s="2" t="str">
        <x:v>35591G</x:v>
      </x:c>
      <x:c r="D5223" s="2" t="str">
        <x:v>Description unavailable</x:v>
      </x:c>
      <x:c r="E5223" s="11" t="n">
        <x:v>0</x:v>
      </x:c>
      <x:c r="F5223" s="11" t="n">
        <x:v>0</x:v>
      </x:c>
      <x:c r="G5223" s="11" t="n">
        <x:v>0</x:v>
      </x:c>
      <x:c r="H5223" s="23" t="n">
        <x:v>0</x:v>
      </x:c>
      <x:c r="I5223" s="23" t="n">
        <x:v>1.000000000000004</x:v>
      </x:c>
      <x:c r="J5223" s="2" t="n">
        <x:v>0</x:v>
      </x:c>
      <x:c r="K5223" s="2"/>
      <x:c r="L5223" s="2"/>
    </x:row>
    <x:row r="5224" ht="22" customHeight="1">
      <x:c r="A5224" s="2"/>
      <x:c r="B5224" s="2" t="n">
        <x:v>5191</x:v>
      </x:c>
      <x:c r="C5224" s="2" t="str">
        <x:v>84849C</x:v>
      </x:c>
      <x:c r="D5224" s="2" t="str">
        <x:v>Description unavailable</x:v>
      </x:c>
      <x:c r="E5224" s="11" t="n">
        <x:v>0</x:v>
      </x:c>
      <x:c r="F5224" s="11" t="n">
        <x:v>0</x:v>
      </x:c>
      <x:c r="G5224" s="11" t="n">
        <x:v>0</x:v>
      </x:c>
      <x:c r="H5224" s="23" t="n">
        <x:v>0</x:v>
      </x:c>
      <x:c r="I5224" s="23" t="n">
        <x:v>1.000000000000004</x:v>
      </x:c>
      <x:c r="J5224" s="2" t="n">
        <x:v>0</x:v>
      </x:c>
      <x:c r="K5224" s="2"/>
      <x:c r="L5224" s="2"/>
    </x:row>
    <x:row r="5225" ht="22" customHeight="1">
      <x:c r="A5225" s="2"/>
      <x:c r="B5225" s="2" t="n">
        <x:v>5192</x:v>
      </x:c>
      <x:c r="C5225" s="2" t="str">
        <x:v>20904</x:v>
      </x:c>
      <x:c r="D5225" s="2" t="str">
        <x:v>Description unavailable</x:v>
      </x:c>
      <x:c r="E5225" s="11" t="n">
        <x:v>0</x:v>
      </x:c>
      <x:c r="F5225" s="11" t="n">
        <x:v>0</x:v>
      </x:c>
      <x:c r="G5225" s="11" t="n">
        <x:v>0</x:v>
      </x:c>
      <x:c r="H5225" s="23" t="n">
        <x:v>0</x:v>
      </x:c>
      <x:c r="I5225" s="23" t="n">
        <x:v>1.000000000000004</x:v>
      </x:c>
      <x:c r="J5225" s="2" t="n">
        <x:v>0</x:v>
      </x:c>
      <x:c r="K5225" s="2"/>
      <x:c r="L5225" s="2"/>
    </x:row>
    <x:row r="5226" ht="22" customHeight="1">
      <x:c r="A5226" s="2"/>
      <x:c r="B5226" s="2" t="n">
        <x:v>5193</x:v>
      </x:c>
      <x:c r="C5226" s="2" t="str">
        <x:v>20911</x:v>
      </x:c>
      <x:c r="D5226" s="2" t="str">
        <x:v>Description unavailable</x:v>
      </x:c>
      <x:c r="E5226" s="11" t="n">
        <x:v>0</x:v>
      </x:c>
      <x:c r="F5226" s="11" t="n">
        <x:v>0</x:v>
      </x:c>
      <x:c r="G5226" s="11" t="n">
        <x:v>0</x:v>
      </x:c>
      <x:c r="H5226" s="23" t="n">
        <x:v>0</x:v>
      </x:c>
      <x:c r="I5226" s="23" t="n">
        <x:v>1.000000000000004</x:v>
      </x:c>
      <x:c r="J5226" s="2" t="n">
        <x:v>0</x:v>
      </x:c>
      <x:c r="K5226" s="2"/>
      <x:c r="L5226" s="2"/>
    </x:row>
    <x:row r="5227" ht="22" customHeight="1">
      <x:c r="A5227" s="2"/>
      <x:c r="B5227" s="2" t="n">
        <x:v>5194</x:v>
      </x:c>
      <x:c r="C5227" s="2" t="str">
        <x:v>84866</x:v>
      </x:c>
      <x:c r="D5227" s="2" t="str">
        <x:v>Description unavailable</x:v>
      </x:c>
      <x:c r="E5227" s="11" t="n">
        <x:v>0</x:v>
      </x:c>
      <x:c r="F5227" s="11" t="n">
        <x:v>0</x:v>
      </x:c>
      <x:c r="G5227" s="11" t="n">
        <x:v>0</x:v>
      </x:c>
      <x:c r="H5227" s="23" t="n">
        <x:v>0</x:v>
      </x:c>
      <x:c r="I5227" s="23" t="n">
        <x:v>1.000000000000004</x:v>
      </x:c>
      <x:c r="J5227" s="2" t="n">
        <x:v>0</x:v>
      </x:c>
      <x:c r="K5227" s="2"/>
      <x:c r="L5227" s="2"/>
    </x:row>
    <x:row r="5228" ht="22" customHeight="1">
      <x:c r="A5228" s="2"/>
      <x:c r="B5228" s="2" t="n">
        <x:v>5195</x:v>
      </x:c>
      <x:c r="C5228" s="2" t="str">
        <x:v>84867B</x:v>
      </x:c>
      <x:c r="D5228" s="2" t="str">
        <x:v>Description unavailable</x:v>
      </x:c>
      <x:c r="E5228" s="11" t="n">
        <x:v>0</x:v>
      </x:c>
      <x:c r="F5228" s="11" t="n">
        <x:v>0</x:v>
      </x:c>
      <x:c r="G5228" s="11" t="n">
        <x:v>0</x:v>
      </x:c>
      <x:c r="H5228" s="23" t="n">
        <x:v>0</x:v>
      </x:c>
      <x:c r="I5228" s="23" t="n">
        <x:v>1.000000000000004</x:v>
      </x:c>
      <x:c r="J5228" s="2" t="n">
        <x:v>0</x:v>
      </x:c>
      <x:c r="K5228" s="2"/>
      <x:c r="L5228" s="2"/>
    </x:row>
    <x:row r="5229" ht="22" customHeight="1">
      <x:c r="A5229" s="2"/>
      <x:c r="B5229" s="2" t="n">
        <x:v>5196</x:v>
      </x:c>
      <x:c r="C5229" s="2" t="str">
        <x:v>20883</x:v>
      </x:c>
      <x:c r="D5229" s="2" t="str">
        <x:v>Description unavailable</x:v>
      </x:c>
      <x:c r="E5229" s="11" t="n">
        <x:v>0</x:v>
      </x:c>
      <x:c r="F5229" s="11" t="n">
        <x:v>0</x:v>
      </x:c>
      <x:c r="G5229" s="11" t="n">
        <x:v>0</x:v>
      </x:c>
      <x:c r="H5229" s="23" t="n">
        <x:v>0</x:v>
      </x:c>
      <x:c r="I5229" s="23" t="n">
        <x:v>1.000000000000004</x:v>
      </x:c>
      <x:c r="J5229" s="2" t="n">
        <x:v>0</x:v>
      </x:c>
      <x:c r="K5229" s="2"/>
      <x:c r="L5229" s="2"/>
    </x:row>
    <x:row r="5230" ht="22" customHeight="1">
      <x:c r="A5230" s="2"/>
      <x:c r="B5230" s="2" t="n">
        <x:v>5197</x:v>
      </x:c>
      <x:c r="C5230" s="2" t="str">
        <x:v>82096</x:v>
      </x:c>
      <x:c r="D5230" s="2" t="str">
        <x:v>Description unavailable</x:v>
      </x:c>
      <x:c r="E5230" s="11" t="n">
        <x:v>0</x:v>
      </x:c>
      <x:c r="F5230" s="11" t="n">
        <x:v>0</x:v>
      </x:c>
      <x:c r="G5230" s="11" t="n">
        <x:v>0</x:v>
      </x:c>
      <x:c r="H5230" s="23" t="n">
        <x:v>0</x:v>
      </x:c>
      <x:c r="I5230" s="23" t="n">
        <x:v>1.000000000000004</x:v>
      </x:c>
      <x:c r="J5230" s="2" t="n">
        <x:v>0</x:v>
      </x:c>
      <x:c r="K5230" s="2"/>
      <x:c r="L5230" s="2"/>
    </x:row>
    <x:row r="5231" ht="22" customHeight="1">
      <x:c r="A5231" s="2"/>
      <x:c r="B5231" s="2" t="n">
        <x:v>5198</x:v>
      </x:c>
      <x:c r="C5231" s="2" t="str">
        <x:v>35442</x:v>
      </x:c>
      <x:c r="D5231" s="2" t="str">
        <x:v>Description unavailable</x:v>
      </x:c>
      <x:c r="E5231" s="11" t="n">
        <x:v>0</x:v>
      </x:c>
      <x:c r="F5231" s="11" t="n">
        <x:v>0</x:v>
      </x:c>
      <x:c r="G5231" s="11" t="n">
        <x:v>0</x:v>
      </x:c>
      <x:c r="H5231" s="23" t="n">
        <x:v>0</x:v>
      </x:c>
      <x:c r="I5231" s="23" t="n">
        <x:v>1.000000000000004</x:v>
      </x:c>
      <x:c r="J5231" s="2" t="n">
        <x:v>0</x:v>
      </x:c>
      <x:c r="K5231" s="2"/>
      <x:c r="L5231" s="2"/>
    </x:row>
    <x:row r="5232" ht="22" customHeight="1">
      <x:c r="A5232" s="2"/>
      <x:c r="B5232" s="2" t="n">
        <x:v>5199</x:v>
      </x:c>
      <x:c r="C5232" s="2" t="str">
        <x:v>35471B</x:v>
      </x:c>
      <x:c r="D5232" s="2" t="str">
        <x:v>Description unavailable</x:v>
      </x:c>
      <x:c r="E5232" s="11" t="n">
        <x:v>0</x:v>
      </x:c>
      <x:c r="F5232" s="11" t="n">
        <x:v>0</x:v>
      </x:c>
      <x:c r="G5232" s="11" t="n">
        <x:v>0</x:v>
      </x:c>
      <x:c r="H5232" s="23" t="n">
        <x:v>0</x:v>
      </x:c>
      <x:c r="I5232" s="23" t="n">
        <x:v>1.000000000000004</x:v>
      </x:c>
      <x:c r="J5232" s="2" t="n">
        <x:v>0</x:v>
      </x:c>
      <x:c r="K5232" s="2"/>
      <x:c r="L5232" s="2"/>
    </x:row>
    <x:row r="5233" ht="22" customHeight="1">
      <x:c r="A5233" s="2"/>
      <x:c r="B5233" s="2" t="n">
        <x:v>5200</x:v>
      </x:c>
      <x:c r="C5233" s="2" t="str">
        <x:v>35473</x:v>
      </x:c>
      <x:c r="D5233" s="2" t="str">
        <x:v>Description unavailable</x:v>
      </x:c>
      <x:c r="E5233" s="11" t="n">
        <x:v>0</x:v>
      </x:c>
      <x:c r="F5233" s="11" t="n">
        <x:v>0</x:v>
      </x:c>
      <x:c r="G5233" s="11" t="n">
        <x:v>0</x:v>
      </x:c>
      <x:c r="H5233" s="23" t="n">
        <x:v>0</x:v>
      </x:c>
      <x:c r="I5233" s="23" t="n">
        <x:v>1.000000000000004</x:v>
      </x:c>
      <x:c r="J5233" s="2" t="n">
        <x:v>0</x:v>
      </x:c>
      <x:c r="K5233" s="2"/>
      <x:c r="L5233" s="2"/>
    </x:row>
    <x:row r="5234" ht="22" customHeight="1">
      <x:c r="A5234" s="2"/>
      <x:c r="B5234" s="2" t="n">
        <x:v>5201</x:v>
      </x:c>
      <x:c r="C5234" s="2" t="str">
        <x:v>22022</x:v>
      </x:c>
      <x:c r="D5234" s="2" t="str">
        <x:v>Description unavailable</x:v>
      </x:c>
      <x:c r="E5234" s="11" t="n">
        <x:v>0</x:v>
      </x:c>
      <x:c r="F5234" s="11" t="n">
        <x:v>0</x:v>
      </x:c>
      <x:c r="G5234" s="11" t="n">
        <x:v>0</x:v>
      </x:c>
      <x:c r="H5234" s="23" t="n">
        <x:v>0</x:v>
      </x:c>
      <x:c r="I5234" s="23" t="n">
        <x:v>1.000000000000004</x:v>
      </x:c>
      <x:c r="J5234" s="2" t="n">
        <x:v>0</x:v>
      </x:c>
      <x:c r="K5234" s="2"/>
      <x:c r="L5234" s="2"/>
    </x:row>
    <x:row r="5235" ht="22" customHeight="1">
      <x:c r="A5235" s="2"/>
      <x:c r="B5235" s="2" t="n">
        <x:v>5202</x:v>
      </x:c>
      <x:c r="C5235" s="2" t="str">
        <x:v>17013A</x:v>
      </x:c>
      <x:c r="D5235" s="2" t="str">
        <x:v>Description unavailable</x:v>
      </x:c>
      <x:c r="E5235" s="11" t="n">
        <x:v>0</x:v>
      </x:c>
      <x:c r="F5235" s="11" t="n">
        <x:v>0</x:v>
      </x:c>
      <x:c r="G5235" s="11" t="n">
        <x:v>0</x:v>
      </x:c>
      <x:c r="H5235" s="23" t="n">
        <x:v>0</x:v>
      </x:c>
      <x:c r="I5235" s="23" t="n">
        <x:v>1.000000000000004</x:v>
      </x:c>
      <x:c r="J5235" s="2" t="n">
        <x:v>0</x:v>
      </x:c>
      <x:c r="K5235" s="2"/>
      <x:c r="L5235" s="2"/>
    </x:row>
    <x:row r="5236" ht="22" customHeight="1">
      <x:c r="A5236" s="2"/>
      <x:c r="B5236" s="2" t="n">
        <x:v>5203</x:v>
      </x:c>
      <x:c r="C5236" s="2" t="str">
        <x:v>17013E</x:v>
      </x:c>
      <x:c r="D5236" s="2" t="str">
        <x:v>Description unavailable</x:v>
      </x:c>
      <x:c r="E5236" s="11" t="n">
        <x:v>0</x:v>
      </x:c>
      <x:c r="F5236" s="11" t="n">
        <x:v>0</x:v>
      </x:c>
      <x:c r="G5236" s="11" t="n">
        <x:v>0</x:v>
      </x:c>
      <x:c r="H5236" s="23" t="n">
        <x:v>0</x:v>
      </x:c>
      <x:c r="I5236" s="23" t="n">
        <x:v>1.000000000000004</x:v>
      </x:c>
      <x:c r="J5236" s="2" t="n">
        <x:v>0</x:v>
      </x:c>
      <x:c r="K5236" s="2"/>
      <x:c r="L5236" s="2"/>
    </x:row>
    <x:row r="5237" ht="22" customHeight="1">
      <x:c r="A5237" s="2"/>
      <x:c r="B5237" s="2" t="n">
        <x:v>5204</x:v>
      </x:c>
      <x:c r="C5237" s="2" t="str">
        <x:v>17014B</x:v>
      </x:c>
      <x:c r="D5237" s="2" t="str">
        <x:v>Description unavailable</x:v>
      </x:c>
      <x:c r="E5237" s="11" t="n">
        <x:v>0</x:v>
      </x:c>
      <x:c r="F5237" s="11" t="n">
        <x:v>0</x:v>
      </x:c>
      <x:c r="G5237" s="11" t="n">
        <x:v>0</x:v>
      </x:c>
      <x:c r="H5237" s="23" t="n">
        <x:v>0</x:v>
      </x:c>
      <x:c r="I5237" s="23" t="n">
        <x:v>1.000000000000004</x:v>
      </x:c>
      <x:c r="J5237" s="2" t="n">
        <x:v>0</x:v>
      </x:c>
      <x:c r="K5237" s="2"/>
      <x:c r="L5237" s="2"/>
    </x:row>
    <x:row r="5238" ht="22" customHeight="1">
      <x:c r="A5238" s="2"/>
      <x:c r="B5238" s="2" t="n">
        <x:v>5205</x:v>
      </x:c>
      <x:c r="C5238" s="2" t="str">
        <x:v>84825</x:v>
      </x:c>
      <x:c r="D5238" s="2" t="str">
        <x:v>Description unavailable</x:v>
      </x:c>
      <x:c r="E5238" s="11" t="n">
        <x:v>0</x:v>
      </x:c>
      <x:c r="F5238" s="11" t="n">
        <x:v>0</x:v>
      </x:c>
      <x:c r="G5238" s="11" t="n">
        <x:v>0</x:v>
      </x:c>
      <x:c r="H5238" s="23" t="n">
        <x:v>0</x:v>
      </x:c>
      <x:c r="I5238" s="23" t="n">
        <x:v>1.000000000000004</x:v>
      </x:c>
      <x:c r="J5238" s="2" t="n">
        <x:v>0</x:v>
      </x:c>
      <x:c r="K5238" s="2"/>
      <x:c r="L5238" s="2"/>
    </x:row>
    <x:row r="5239" ht="22" customHeight="1">
      <x:c r="A5239" s="2"/>
      <x:c r="B5239" s="2" t="n">
        <x:v>5206</x:v>
      </x:c>
      <x:c r="C5239" s="2" t="str">
        <x:v>84841</x:v>
      </x:c>
      <x:c r="D5239" s="2" t="str">
        <x:v>Description unavailable</x:v>
      </x:c>
      <x:c r="E5239" s="11" t="n">
        <x:v>0</x:v>
      </x:c>
      <x:c r="F5239" s="11" t="n">
        <x:v>0</x:v>
      </x:c>
      <x:c r="G5239" s="11" t="n">
        <x:v>0</x:v>
      </x:c>
      <x:c r="H5239" s="23" t="n">
        <x:v>0</x:v>
      </x:c>
      <x:c r="I5239" s="23" t="n">
        <x:v>1.000000000000004</x:v>
      </x:c>
      <x:c r="J5239" s="2" t="n">
        <x:v>0</x:v>
      </x:c>
      <x:c r="K5239" s="2"/>
      <x:c r="L5239" s="2"/>
    </x:row>
    <x:row r="5240" ht="22" customHeight="1">
      <x:c r="A5240" s="2"/>
      <x:c r="B5240" s="2" t="n">
        <x:v>5207</x:v>
      </x:c>
      <x:c r="C5240" s="2" t="str">
        <x:v>DCGS0006</x:v>
      </x:c>
      <x:c r="D5240" s="2" t="str">
        <x:v>Description unavailable</x:v>
      </x:c>
      <x:c r="E5240" s="11" t="n">
        <x:v>0</x:v>
      </x:c>
      <x:c r="F5240" s="11" t="n">
        <x:v>0</x:v>
      </x:c>
      <x:c r="G5240" s="11" t="n">
        <x:v>0</x:v>
      </x:c>
      <x:c r="H5240" s="23" t="n">
        <x:v>0</x:v>
      </x:c>
      <x:c r="I5240" s="23" t="n">
        <x:v>1.000000000000004</x:v>
      </x:c>
      <x:c r="J5240" s="2" t="n">
        <x:v>0</x:v>
      </x:c>
      <x:c r="K5240" s="2"/>
      <x:c r="L5240" s="2"/>
    </x:row>
    <x:row r="5241" ht="22" customHeight="1">
      <x:c r="A5241" s="2"/>
      <x:c r="B5241" s="2" t="n">
        <x:v>5208</x:v>
      </x:c>
      <x:c r="C5241" s="2" t="str">
        <x:v>84845B</x:v>
      </x:c>
      <x:c r="D5241" s="2" t="str">
        <x:v>Description unavailable</x:v>
      </x:c>
      <x:c r="E5241" s="11" t="n">
        <x:v>0</x:v>
      </x:c>
      <x:c r="F5241" s="11" t="n">
        <x:v>0</x:v>
      </x:c>
      <x:c r="G5241" s="11" t="n">
        <x:v>0</x:v>
      </x:c>
      <x:c r="H5241" s="23" t="n">
        <x:v>0</x:v>
      </x:c>
      <x:c r="I5241" s="23" t="n">
        <x:v>1.000000000000004</x:v>
      </x:c>
      <x:c r="J5241" s="2" t="n">
        <x:v>0</x:v>
      </x:c>
      <x:c r="K5241" s="2"/>
      <x:c r="L5241" s="2"/>
    </x:row>
    <x:row r="5242" ht="22" customHeight="1">
      <x:c r="A5242" s="2"/>
      <x:c r="B5242" s="2" t="n">
        <x:v>5209</x:v>
      </x:c>
      <x:c r="C5242" s="2" t="str">
        <x:v>20880</x:v>
      </x:c>
      <x:c r="D5242" s="2" t="str">
        <x:v>Description unavailable</x:v>
      </x:c>
      <x:c r="E5242" s="11" t="n">
        <x:v>0</x:v>
      </x:c>
      <x:c r="F5242" s="11" t="n">
        <x:v>0</x:v>
      </x:c>
      <x:c r="G5242" s="11" t="n">
        <x:v>0</x:v>
      </x:c>
      <x:c r="H5242" s="23" t="n">
        <x:v>0</x:v>
      </x:c>
      <x:c r="I5242" s="23" t="n">
        <x:v>1.000000000000004</x:v>
      </x:c>
      <x:c r="J5242" s="2" t="n">
        <x:v>0</x:v>
      </x:c>
      <x:c r="K5242" s="2"/>
      <x:c r="L5242" s="2"/>
    </x:row>
    <x:row r="5243" ht="22" customHeight="1">
      <x:c r="A5243" s="2"/>
      <x:c r="B5243" s="2" t="n">
        <x:v>5210</x:v>
      </x:c>
      <x:c r="C5243" s="2" t="str">
        <x:v>20859</x:v>
      </x:c>
      <x:c r="D5243" s="2" t="str">
        <x:v>Description unavailable</x:v>
      </x:c>
      <x:c r="E5243" s="11" t="n">
        <x:v>0</x:v>
      </x:c>
      <x:c r="F5243" s="11" t="n">
        <x:v>0</x:v>
      </x:c>
      <x:c r="G5243" s="11" t="n">
        <x:v>0</x:v>
      </x:c>
      <x:c r="H5243" s="23" t="n">
        <x:v>0</x:v>
      </x:c>
      <x:c r="I5243" s="23" t="n">
        <x:v>1.000000000000004</x:v>
      </x:c>
      <x:c r="J5243" s="2" t="n">
        <x:v>0</x:v>
      </x:c>
      <x:c r="K5243" s="2"/>
      <x:c r="L5243" s="2"/>
    </x:row>
    <x:row r="5244" ht="22" customHeight="1">
      <x:c r="A5244" s="2"/>
      <x:c r="B5244" s="2" t="n">
        <x:v>5211</x:v>
      </x:c>
      <x:c r="C5244" s="2" t="str">
        <x:v>35592T</x:v>
      </x:c>
      <x:c r="D5244" s="2" t="str">
        <x:v>Description unavailable</x:v>
      </x:c>
      <x:c r="E5244" s="11" t="n">
        <x:v>0</x:v>
      </x:c>
      <x:c r="F5244" s="11" t="n">
        <x:v>0</x:v>
      </x:c>
      <x:c r="G5244" s="11" t="n">
        <x:v>0</x:v>
      </x:c>
      <x:c r="H5244" s="23" t="n">
        <x:v>0</x:v>
      </x:c>
      <x:c r="I5244" s="23" t="n">
        <x:v>1.000000000000004</x:v>
      </x:c>
      <x:c r="J5244" s="2" t="n">
        <x:v>0</x:v>
      </x:c>
      <x:c r="K5244" s="2"/>
      <x:c r="L5244" s="2"/>
    </x:row>
    <x:row r="5245" ht="22" customHeight="1">
      <x:c r="A5245" s="2"/>
      <x:c r="B5245" s="2" t="n">
        <x:v>5212</x:v>
      </x:c>
      <x:c r="C5245" s="2" t="str">
        <x:v>82576</x:v>
      </x:c>
      <x:c r="D5245" s="2" t="str">
        <x:v>Description unavailable</x:v>
      </x:c>
      <x:c r="E5245" s="11" t="n">
        <x:v>0</x:v>
      </x:c>
      <x:c r="F5245" s="11" t="n">
        <x:v>0</x:v>
      </x:c>
      <x:c r="G5245" s="11" t="n">
        <x:v>0</x:v>
      </x:c>
      <x:c r="H5245" s="23" t="n">
        <x:v>0</x:v>
      </x:c>
      <x:c r="I5245" s="23" t="n">
        <x:v>1.000000000000004</x:v>
      </x:c>
      <x:c r="J5245" s="2" t="n">
        <x:v>0</x:v>
      </x:c>
      <x:c r="K5245" s="2"/>
      <x:c r="L5245" s="2"/>
    </x:row>
    <x:row r="5246" ht="22" customHeight="1">
      <x:c r="A5246" s="2"/>
      <x:c r="B5246" s="2" t="n">
        <x:v>5213</x:v>
      </x:c>
      <x:c r="C5246" s="2" t="str">
        <x:v>82577</x:v>
      </x:c>
      <x:c r="D5246" s="2" t="str">
        <x:v>Description unavailable</x:v>
      </x:c>
      <x:c r="E5246" s="11" t="n">
        <x:v>0</x:v>
      </x:c>
      <x:c r="F5246" s="11" t="n">
        <x:v>0</x:v>
      </x:c>
      <x:c r="G5246" s="11" t="n">
        <x:v>0</x:v>
      </x:c>
      <x:c r="H5246" s="23" t="n">
        <x:v>0</x:v>
      </x:c>
      <x:c r="I5246" s="23" t="n">
        <x:v>1.000000000000004</x:v>
      </x:c>
      <x:c r="J5246" s="2" t="n">
        <x:v>0</x:v>
      </x:c>
      <x:c r="K5246" s="2"/>
      <x:c r="L5246" s="2"/>
    </x:row>
    <x:row r="5247" ht="22" customHeight="1">
      <x:c r="A5247" s="2"/>
      <x:c r="B5247" s="2" t="n">
        <x:v>5214</x:v>
      </x:c>
      <x:c r="C5247" s="2" t="str">
        <x:v>82595</x:v>
      </x:c>
      <x:c r="D5247" s="2" t="str">
        <x:v>Description unavailable</x:v>
      </x:c>
      <x:c r="E5247" s="11" t="n">
        <x:v>0</x:v>
      </x:c>
      <x:c r="F5247" s="11" t="n">
        <x:v>0</x:v>
      </x:c>
      <x:c r="G5247" s="11" t="n">
        <x:v>0</x:v>
      </x:c>
      <x:c r="H5247" s="23" t="n">
        <x:v>0</x:v>
      </x:c>
      <x:c r="I5247" s="23" t="n">
        <x:v>1.000000000000004</x:v>
      </x:c>
      <x:c r="J5247" s="2" t="n">
        <x:v>0</x:v>
      </x:c>
      <x:c r="K5247" s="2"/>
      <x:c r="L5247" s="2"/>
    </x:row>
    <x:row r="5248" ht="22" customHeight="1">
      <x:c r="A5248" s="2"/>
      <x:c r="B5248" s="2" t="n">
        <x:v>5215</x:v>
      </x:c>
      <x:c r="C5248" s="2" t="str">
        <x:v>82609</x:v>
      </x:c>
      <x:c r="D5248" s="2" t="str">
        <x:v>Description unavailable</x:v>
      </x:c>
      <x:c r="E5248" s="11" t="n">
        <x:v>0</x:v>
      </x:c>
      <x:c r="F5248" s="11" t="n">
        <x:v>0</x:v>
      </x:c>
      <x:c r="G5248" s="11" t="n">
        <x:v>0</x:v>
      </x:c>
      <x:c r="H5248" s="23" t="n">
        <x:v>0</x:v>
      </x:c>
      <x:c r="I5248" s="23" t="n">
        <x:v>1.000000000000004</x:v>
      </x:c>
      <x:c r="J5248" s="2" t="n">
        <x:v>0</x:v>
      </x:c>
      <x:c r="K5248" s="2"/>
      <x:c r="L5248" s="2"/>
    </x:row>
    <x:row r="5249" ht="22" customHeight="1">
      <x:c r="A5249" s="2"/>
      <x:c r="B5249" s="2" t="n">
        <x:v>5216</x:v>
      </x:c>
      <x:c r="C5249" s="2" t="str">
        <x:v>37452B</x:v>
      </x:c>
      <x:c r="D5249" s="2" t="str">
        <x:v>Description unavailable</x:v>
      </x:c>
      <x:c r="E5249" s="11" t="n">
        <x:v>0</x:v>
      </x:c>
      <x:c r="F5249" s="11" t="n">
        <x:v>0</x:v>
      </x:c>
      <x:c r="G5249" s="11" t="n">
        <x:v>0</x:v>
      </x:c>
      <x:c r="H5249" s="23" t="n">
        <x:v>0</x:v>
      </x:c>
      <x:c r="I5249" s="23" t="n">
        <x:v>1.000000000000004</x:v>
      </x:c>
      <x:c r="J5249" s="2" t="n">
        <x:v>0</x:v>
      </x:c>
      <x:c r="K5249" s="2"/>
      <x:c r="L5249" s="2"/>
    </x:row>
    <x:row r="5250" ht="22" customHeight="1">
      <x:c r="A5250" s="2"/>
      <x:c r="B5250" s="2" t="n">
        <x:v>5217</x:v>
      </x:c>
      <x:c r="C5250" s="2" t="str">
        <x:v>37493B</x:v>
      </x:c>
      <x:c r="D5250" s="2" t="str">
        <x:v>Description unavailable</x:v>
      </x:c>
      <x:c r="E5250" s="11" t="n">
        <x:v>0</x:v>
      </x:c>
      <x:c r="F5250" s="11" t="n">
        <x:v>0</x:v>
      </x:c>
      <x:c r="G5250" s="11" t="n">
        <x:v>0</x:v>
      </x:c>
      <x:c r="H5250" s="23" t="n">
        <x:v>0</x:v>
      </x:c>
      <x:c r="I5250" s="23" t="n">
        <x:v>1.000000000000004</x:v>
      </x:c>
      <x:c r="J5250" s="2" t="n">
        <x:v>0</x:v>
      </x:c>
      <x:c r="K5250" s="2"/>
      <x:c r="L5250" s="2"/>
    </x:row>
    <x:row r="5251" ht="22" customHeight="1">
      <x:c r="A5251" s="2"/>
      <x:c r="B5251" s="2" t="n">
        <x:v>5218</x:v>
      </x:c>
      <x:c r="C5251" s="2" t="str">
        <x:v>37493C</x:v>
      </x:c>
      <x:c r="D5251" s="2" t="str">
        <x:v>Description unavailable</x:v>
      </x:c>
      <x:c r="E5251" s="11" t="n">
        <x:v>0</x:v>
      </x:c>
      <x:c r="F5251" s="11" t="n">
        <x:v>0</x:v>
      </x:c>
      <x:c r="G5251" s="11" t="n">
        <x:v>0</x:v>
      </x:c>
      <x:c r="H5251" s="23" t="n">
        <x:v>0</x:v>
      </x:c>
      <x:c r="I5251" s="23" t="n">
        <x:v>1.000000000000004</x:v>
      </x:c>
      <x:c r="J5251" s="2" t="n">
        <x:v>0</x:v>
      </x:c>
      <x:c r="K5251" s="2"/>
      <x:c r="L5251" s="2"/>
    </x:row>
    <x:row r="5252" ht="22" customHeight="1">
      <x:c r="A5252" s="2"/>
      <x:c r="B5252" s="2" t="n">
        <x:v>5219</x:v>
      </x:c>
      <x:c r="C5252" s="2" t="str">
        <x:v>37493D</x:v>
      </x:c>
      <x:c r="D5252" s="2" t="str">
        <x:v>Description unavailable</x:v>
      </x:c>
      <x:c r="E5252" s="11" t="n">
        <x:v>0</x:v>
      </x:c>
      <x:c r="F5252" s="11" t="n">
        <x:v>0</x:v>
      </x:c>
      <x:c r="G5252" s="11" t="n">
        <x:v>0</x:v>
      </x:c>
      <x:c r="H5252" s="23" t="n">
        <x:v>0</x:v>
      </x:c>
      <x:c r="I5252" s="23" t="n">
        <x:v>1.000000000000004</x:v>
      </x:c>
      <x:c r="J5252" s="2" t="n">
        <x:v>0</x:v>
      </x:c>
      <x:c r="K5252" s="2"/>
      <x:c r="L5252" s="2"/>
    </x:row>
    <x:row r="5253" ht="22" customHeight="1">
      <x:c r="A5253" s="2"/>
      <x:c r="B5253" s="2" t="n">
        <x:v>5220</x:v>
      </x:c>
      <x:c r="C5253" s="2" t="str">
        <x:v>37504</x:v>
      </x:c>
      <x:c r="D5253" s="2" t="str">
        <x:v>Description unavailable</x:v>
      </x:c>
      <x:c r="E5253" s="11" t="n">
        <x:v>0</x:v>
      </x:c>
      <x:c r="F5253" s="11" t="n">
        <x:v>0</x:v>
      </x:c>
      <x:c r="G5253" s="11" t="n">
        <x:v>0</x:v>
      </x:c>
      <x:c r="H5253" s="23" t="n">
        <x:v>0</x:v>
      </x:c>
      <x:c r="I5253" s="23" t="n">
        <x:v>1.000000000000004</x:v>
      </x:c>
      <x:c r="J5253" s="2" t="n">
        <x:v>0</x:v>
      </x:c>
      <x:c r="K5253" s="2"/>
      <x:c r="L5253" s="2"/>
    </x:row>
    <x:row r="5254" ht="22" customHeight="1">
      <x:c r="A5254" s="2"/>
      <x:c r="B5254" s="2" t="n">
        <x:v>5221</x:v>
      </x:c>
      <x:c r="C5254" s="2" t="str">
        <x:v>17160</x:v>
      </x:c>
      <x:c r="D5254" s="2" t="str">
        <x:v>Description unavailable</x:v>
      </x:c>
      <x:c r="E5254" s="11" t="n">
        <x:v>0</x:v>
      </x:c>
      <x:c r="F5254" s="11" t="n">
        <x:v>0</x:v>
      </x:c>
      <x:c r="G5254" s="11" t="n">
        <x:v>0</x:v>
      </x:c>
      <x:c r="H5254" s="23" t="n">
        <x:v>0</x:v>
      </x:c>
      <x:c r="I5254" s="23" t="n">
        <x:v>1.000000000000004</x:v>
      </x:c>
      <x:c r="J5254" s="2" t="n">
        <x:v>0</x:v>
      </x:c>
      <x:c r="K5254" s="2"/>
      <x:c r="L5254" s="2"/>
    </x:row>
    <x:row r="5255" ht="22" customHeight="1">
      <x:c r="A5255" s="2"/>
      <x:c r="B5255" s="2" t="n">
        <x:v>5222</x:v>
      </x:c>
      <x:c r="C5255" s="2" t="str">
        <x:v>18033</x:v>
      </x:c>
      <x:c r="D5255" s="2" t="str">
        <x:v>Description unavailable</x:v>
      </x:c>
      <x:c r="E5255" s="11" t="n">
        <x:v>0</x:v>
      </x:c>
      <x:c r="F5255" s="11" t="n">
        <x:v>0</x:v>
      </x:c>
      <x:c r="G5255" s="11" t="n">
        <x:v>0</x:v>
      </x:c>
      <x:c r="H5255" s="23" t="n">
        <x:v>0</x:v>
      </x:c>
      <x:c r="I5255" s="23" t="n">
        <x:v>1.000000000000004</x:v>
      </x:c>
      <x:c r="J5255" s="2" t="n">
        <x:v>0</x:v>
      </x:c>
      <x:c r="K5255" s="2"/>
      <x:c r="L5255" s="2"/>
    </x:row>
    <x:row r="5256" ht="22" customHeight="1">
      <x:c r="A5256" s="2"/>
      <x:c r="B5256" s="2" t="n">
        <x:v>5223</x:v>
      </x:c>
      <x:c r="C5256" s="2" t="str">
        <x:v>84810C</x:v>
      </x:c>
      <x:c r="D5256" s="2" t="str">
        <x:v>Description unavailable</x:v>
      </x:c>
      <x:c r="E5256" s="11" t="n">
        <x:v>0</x:v>
      </x:c>
      <x:c r="F5256" s="11" t="n">
        <x:v>0</x:v>
      </x:c>
      <x:c r="G5256" s="11" t="n">
        <x:v>0</x:v>
      </x:c>
      <x:c r="H5256" s="23" t="n">
        <x:v>0</x:v>
      </x:c>
      <x:c r="I5256" s="23" t="n">
        <x:v>1.000000000000004</x:v>
      </x:c>
      <x:c r="J5256" s="2" t="n">
        <x:v>0</x:v>
      </x:c>
      <x:c r="K5256" s="2"/>
      <x:c r="L5256" s="2"/>
    </x:row>
    <x:row r="5257" ht="22" customHeight="1">
      <x:c r="A5257" s="2"/>
      <x:c r="B5257" s="2" t="n">
        <x:v>5224</x:v>
      </x:c>
      <x:c r="C5257" s="2" t="str">
        <x:v>84811A</x:v>
      </x:c>
      <x:c r="D5257" s="2" t="str">
        <x:v>Description unavailable</x:v>
      </x:c>
      <x:c r="E5257" s="11" t="n">
        <x:v>0</x:v>
      </x:c>
      <x:c r="F5257" s="11" t="n">
        <x:v>0</x:v>
      </x:c>
      <x:c r="G5257" s="11" t="n">
        <x:v>0</x:v>
      </x:c>
      <x:c r="H5257" s="23" t="n">
        <x:v>0</x:v>
      </x:c>
      <x:c r="I5257" s="23" t="n">
        <x:v>1.000000000000004</x:v>
      </x:c>
      <x:c r="J5257" s="2" t="n">
        <x:v>0</x:v>
      </x:c>
      <x:c r="K5257" s="2"/>
      <x:c r="L5257" s="2"/>
    </x:row>
    <x:row r="5258" ht="22" customHeight="1">
      <x:c r="A5258" s="2"/>
      <x:c r="B5258" s="2" t="n">
        <x:v>5225</x:v>
      </x:c>
      <x:c r="C5258" s="2" t="str">
        <x:v>35232</x:v>
      </x:c>
      <x:c r="D5258" s="2" t="str">
        <x:v>Description unavailable</x:v>
      </x:c>
      <x:c r="E5258" s="11" t="n">
        <x:v>0</x:v>
      </x:c>
      <x:c r="F5258" s="11" t="n">
        <x:v>0</x:v>
      </x:c>
      <x:c r="G5258" s="11" t="n">
        <x:v>0</x:v>
      </x:c>
      <x:c r="H5258" s="23" t="n">
        <x:v>0</x:v>
      </x:c>
      <x:c r="I5258" s="23" t="n">
        <x:v>1.000000000000004</x:v>
      </x:c>
      <x:c r="J5258" s="2" t="n">
        <x:v>0</x:v>
      </x:c>
      <x:c r="K5258" s="2"/>
      <x:c r="L5258" s="2"/>
    </x:row>
    <x:row r="5259" ht="22" customHeight="1">
      <x:c r="A5259" s="2"/>
      <x:c r="B5259" s="2" t="n">
        <x:v>5226</x:v>
      </x:c>
      <x:c r="C5259" s="2" t="str">
        <x:v>18094A</x:v>
      </x:c>
      <x:c r="D5259" s="2" t="str">
        <x:v>Description unavailable</x:v>
      </x:c>
      <x:c r="E5259" s="11" t="n">
        <x:v>0</x:v>
      </x:c>
      <x:c r="F5259" s="11" t="n">
        <x:v>0</x:v>
      </x:c>
      <x:c r="G5259" s="11" t="n">
        <x:v>0</x:v>
      </x:c>
      <x:c r="H5259" s="23" t="n">
        <x:v>0</x:v>
      </x:c>
      <x:c r="I5259" s="23" t="n">
        <x:v>1.000000000000004</x:v>
      </x:c>
      <x:c r="J5259" s="2" t="n">
        <x:v>0</x:v>
      </x:c>
      <x:c r="K5259" s="2"/>
      <x:c r="L5259" s="2"/>
    </x:row>
    <x:row r="5260" ht="22" customHeight="1">
      <x:c r="A5260" s="2"/>
      <x:c r="B5260" s="2" t="n">
        <x:v>5227</x:v>
      </x:c>
      <x:c r="C5260" s="2" t="str">
        <x:v>84010</x:v>
      </x:c>
      <x:c r="D5260" s="2" t="str">
        <x:v>Description unavailable</x:v>
      </x:c>
      <x:c r="E5260" s="11" t="n">
        <x:v>0</x:v>
      </x:c>
      <x:c r="F5260" s="11" t="n">
        <x:v>0</x:v>
      </x:c>
      <x:c r="G5260" s="11" t="n">
        <x:v>0</x:v>
      </x:c>
      <x:c r="H5260" s="23" t="n">
        <x:v>0</x:v>
      </x:c>
      <x:c r="I5260" s="23" t="n">
        <x:v>1.000000000000004</x:v>
      </x:c>
      <x:c r="J5260" s="2" t="n">
        <x:v>0</x:v>
      </x:c>
      <x:c r="K5260" s="2"/>
      <x:c r="L5260" s="2"/>
    </x:row>
    <x:row r="5261" ht="22" customHeight="1">
      <x:c r="A5261" s="2"/>
      <x:c r="B5261" s="2" t="n">
        <x:v>5228</x:v>
      </x:c>
      <x:c r="C5261" s="2" t="str">
        <x:v>20844</x:v>
      </x:c>
      <x:c r="D5261" s="2" t="str">
        <x:v>Description unavailable</x:v>
      </x:c>
      <x:c r="E5261" s="11" t="n">
        <x:v>0</x:v>
      </x:c>
      <x:c r="F5261" s="11" t="n">
        <x:v>0</x:v>
      </x:c>
      <x:c r="G5261" s="11" t="n">
        <x:v>0</x:v>
      </x:c>
      <x:c r="H5261" s="23" t="n">
        <x:v>0</x:v>
      </x:c>
      <x:c r="I5261" s="23" t="n">
        <x:v>1.000000000000004</x:v>
      </x:c>
      <x:c r="J5261" s="2" t="n">
        <x:v>0</x:v>
      </x:c>
      <x:c r="K5261" s="2"/>
      <x:c r="L5261" s="2"/>
    </x:row>
    <x:row r="5262" ht="22" customHeight="1">
      <x:c r="A5262" s="2"/>
      <x:c r="B5262" s="2" t="n">
        <x:v>5229</x:v>
      </x:c>
      <x:c r="C5262" s="2" t="str">
        <x:v>84195</x:v>
      </x:c>
      <x:c r="D5262" s="2" t="str">
        <x:v>Description unavailable</x:v>
      </x:c>
      <x:c r="E5262" s="11" t="n">
        <x:v>0</x:v>
      </x:c>
      <x:c r="F5262" s="11" t="n">
        <x:v>0</x:v>
      </x:c>
      <x:c r="G5262" s="11" t="n">
        <x:v>0</x:v>
      </x:c>
      <x:c r="H5262" s="23" t="n">
        <x:v>0</x:v>
      </x:c>
      <x:c r="I5262" s="23" t="n">
        <x:v>1.000000000000004</x:v>
      </x:c>
      <x:c r="J5262" s="2" t="n">
        <x:v>0</x:v>
      </x:c>
      <x:c r="K5262" s="2"/>
      <x:c r="L5262" s="2"/>
    </x:row>
    <x:row r="5263" ht="22" customHeight="1">
      <x:c r="A5263" s="2"/>
      <x:c r="B5263" s="2" t="n">
        <x:v>5230</x:v>
      </x:c>
      <x:c r="C5263" s="2" t="str">
        <x:v>84200</x:v>
      </x:c>
      <x:c r="D5263" s="2" t="str">
        <x:v>Description unavailable</x:v>
      </x:c>
      <x:c r="E5263" s="11" t="n">
        <x:v>0</x:v>
      </x:c>
      <x:c r="F5263" s="11" t="n">
        <x:v>0</x:v>
      </x:c>
      <x:c r="G5263" s="11" t="n">
        <x:v>0</x:v>
      </x:c>
      <x:c r="H5263" s="23" t="n">
        <x:v>0</x:v>
      </x:c>
      <x:c r="I5263" s="23" t="n">
        <x:v>1.000000000000004</x:v>
      </x:c>
      <x:c r="J5263" s="2" t="n">
        <x:v>0</x:v>
      </x:c>
      <x:c r="K5263" s="2"/>
      <x:c r="L5263" s="2"/>
    </x:row>
    <x:row r="5264" ht="22" customHeight="1">
      <x:c r="A5264" s="2"/>
      <x:c r="B5264" s="2" t="n">
        <x:v>5231</x:v>
      </x:c>
      <x:c r="C5264" s="2" t="str">
        <x:v>10124C</x:v>
      </x:c>
      <x:c r="D5264" s="2" t="str">
        <x:v>Description unavailable</x:v>
      </x:c>
      <x:c r="E5264" s="11" t="n">
        <x:v>0</x:v>
      </x:c>
      <x:c r="F5264" s="11" t="n">
        <x:v>0</x:v>
      </x:c>
      <x:c r="G5264" s="11" t="n">
        <x:v>0</x:v>
      </x:c>
      <x:c r="H5264" s="23" t="n">
        <x:v>0</x:v>
      </x:c>
      <x:c r="I5264" s="23" t="n">
        <x:v>1.000000000000004</x:v>
      </x:c>
      <x:c r="J5264" s="2" t="n">
        <x:v>0</x:v>
      </x:c>
      <x:c r="K5264" s="2"/>
      <x:c r="L5264" s="2"/>
    </x:row>
    <x:row r="5265" ht="22" customHeight="1">
      <x:c r="A5265" s="2"/>
      <x:c r="B5265" s="2" t="n">
        <x:v>5232</x:v>
      </x:c>
      <x:c r="C5265" s="2" t="str">
        <x:v>84224</x:v>
      </x:c>
      <x:c r="D5265" s="2" t="str">
        <x:v>Description unavailable</x:v>
      </x:c>
      <x:c r="E5265" s="11" t="n">
        <x:v>0</x:v>
      </x:c>
      <x:c r="F5265" s="11" t="n">
        <x:v>0</x:v>
      </x:c>
      <x:c r="G5265" s="11" t="n">
        <x:v>0</x:v>
      </x:c>
      <x:c r="H5265" s="23" t="n">
        <x:v>0</x:v>
      </x:c>
      <x:c r="I5265" s="23" t="n">
        <x:v>1.000000000000004</x:v>
      </x:c>
      <x:c r="J5265" s="2" t="n">
        <x:v>0</x:v>
      </x:c>
      <x:c r="K5265" s="2"/>
      <x:c r="L5265" s="2"/>
    </x:row>
    <x:row r="5266" ht="22" customHeight="1">
      <x:c r="A5266" s="2"/>
      <x:c r="B5266" s="2" t="n">
        <x:v>5233</x:v>
      </x:c>
      <x:c r="C5266" s="2" t="str">
        <x:v>20852</x:v>
      </x:c>
      <x:c r="D5266" s="2" t="str">
        <x:v>Given away</x:v>
      </x:c>
      <x:c r="E5266" s="11" t="n">
        <x:v>0</x:v>
      </x:c>
      <x:c r="F5266" s="11" t="n">
        <x:v>0</x:v>
      </x:c>
      <x:c r="G5266" s="11" t="n">
        <x:v>0</x:v>
      </x:c>
      <x:c r="H5266" s="23" t="n">
        <x:v>0</x:v>
      </x:c>
      <x:c r="I5266" s="23" t="n">
        <x:v>1.000000000000004</x:v>
      </x:c>
      <x:c r="J5266" s="2" t="n">
        <x:v>0</x:v>
      </x:c>
      <x:c r="K5266" s="2"/>
      <x:c r="L5266" s="2"/>
    </x:row>
    <x:row r="5267" ht="22" customHeight="1">
      <x:c r="A5267" s="2"/>
      <x:c r="B5267" s="2" t="n">
        <x:v>5234</x:v>
      </x:c>
      <x:c r="C5267" s="2" t="str">
        <x:v>84775</x:v>
      </x:c>
      <x:c r="D5267" s="2" t="str">
        <x:v>Description unavailable</x:v>
      </x:c>
      <x:c r="E5267" s="11" t="n">
        <x:v>0</x:v>
      </x:c>
      <x:c r="F5267" s="11" t="n">
        <x:v>0</x:v>
      </x:c>
      <x:c r="G5267" s="11" t="n">
        <x:v>0</x:v>
      </x:c>
      <x:c r="H5267" s="23" t="n">
        <x:v>0</x:v>
      </x:c>
      <x:c r="I5267" s="23" t="n">
        <x:v>1.000000000000004</x:v>
      </x:c>
      <x:c r="J5267" s="2" t="n">
        <x:v>0</x:v>
      </x:c>
      <x:c r="K5267" s="2"/>
      <x:c r="L5267" s="2"/>
    </x:row>
    <x:row r="5268" ht="22" customHeight="1">
      <x:c r="A5268" s="2"/>
      <x:c r="B5268" s="2" t="n">
        <x:v>5235</x:v>
      </x:c>
      <x:c r="C5268" s="2" t="str">
        <x:v>37477D</x:v>
      </x:c>
      <x:c r="D5268" s="2" t="str">
        <x:v>Description unavailable</x:v>
      </x:c>
      <x:c r="E5268" s="11" t="n">
        <x:v>0</x:v>
      </x:c>
      <x:c r="F5268" s="11" t="n">
        <x:v>0</x:v>
      </x:c>
      <x:c r="G5268" s="11" t="n">
        <x:v>0</x:v>
      </x:c>
      <x:c r="H5268" s="23" t="n">
        <x:v>0</x:v>
      </x:c>
      <x:c r="I5268" s="23" t="n">
        <x:v>1.000000000000004</x:v>
      </x:c>
      <x:c r="J5268" s="2" t="n">
        <x:v>0</x:v>
      </x:c>
      <x:c r="K5268" s="2"/>
      <x:c r="L5268" s="2"/>
    </x:row>
    <x:row r="5269" ht="22" customHeight="1">
      <x:c r="A5269" s="2"/>
      <x:c r="B5269" s="2" t="n">
        <x:v>5236</x:v>
      </x:c>
      <x:c r="C5269" s="2" t="str">
        <x:v>37445A</x:v>
      </x:c>
      <x:c r="D5269" s="2" t="str">
        <x:v>Description unavailable</x:v>
      </x:c>
      <x:c r="E5269" s="11" t="n">
        <x:v>0</x:v>
      </x:c>
      <x:c r="F5269" s="11" t="n">
        <x:v>0</x:v>
      </x:c>
      <x:c r="G5269" s="11" t="n">
        <x:v>0</x:v>
      </x:c>
      <x:c r="H5269" s="23" t="n">
        <x:v>0</x:v>
      </x:c>
      <x:c r="I5269" s="23" t="n">
        <x:v>1.000000000000004</x:v>
      </x:c>
      <x:c r="J5269" s="2" t="n">
        <x:v>0</x:v>
      </x:c>
      <x:c r="K5269" s="2"/>
      <x:c r="L5269" s="2"/>
    </x:row>
    <x:row r="5270" ht="22" customHeight="1">
      <x:c r="A5270" s="2"/>
      <x:c r="B5270" s="2" t="n">
        <x:v>5237</x:v>
      </x:c>
      <x:c r="C5270" s="2" t="str">
        <x:v>37445C</x:v>
      </x:c>
      <x:c r="D5270" s="2" t="str">
        <x:v>Description unavailable</x:v>
      </x:c>
      <x:c r="E5270" s="11" t="n">
        <x:v>0</x:v>
      </x:c>
      <x:c r="F5270" s="11" t="n">
        <x:v>0</x:v>
      </x:c>
      <x:c r="G5270" s="11" t="n">
        <x:v>0</x:v>
      </x:c>
      <x:c r="H5270" s="23" t="n">
        <x:v>0</x:v>
      </x:c>
      <x:c r="I5270" s="23" t="n">
        <x:v>1.000000000000004</x:v>
      </x:c>
      <x:c r="J5270" s="2" t="n">
        <x:v>0</x:v>
      </x:c>
      <x:c r="K5270" s="2"/>
      <x:c r="L5270" s="2"/>
    </x:row>
    <x:row r="5271" ht="22" customHeight="1">
      <x:c r="A5271" s="2"/>
      <x:c r="B5271" s="2" t="n">
        <x:v>5238</x:v>
      </x:c>
      <x:c r="C5271" s="2" t="str">
        <x:v>37445D</x:v>
      </x:c>
      <x:c r="D5271" s="2" t="str">
        <x:v>Description unavailable</x:v>
      </x:c>
      <x:c r="E5271" s="11" t="n">
        <x:v>0</x:v>
      </x:c>
      <x:c r="F5271" s="11" t="n">
        <x:v>0</x:v>
      </x:c>
      <x:c r="G5271" s="11" t="n">
        <x:v>0</x:v>
      </x:c>
      <x:c r="H5271" s="23" t="n">
        <x:v>0</x:v>
      </x:c>
      <x:c r="I5271" s="23" t="n">
        <x:v>1.000000000000004</x:v>
      </x:c>
      <x:c r="J5271" s="2" t="n">
        <x:v>0</x:v>
      </x:c>
      <x:c r="K5271" s="2"/>
      <x:c r="L5271" s="2"/>
    </x:row>
    <x:row r="5272" ht="22" customHeight="1">
      <x:c r="A5272" s="2"/>
      <x:c r="B5272" s="2" t="n">
        <x:v>5239</x:v>
      </x:c>
      <x:c r="C5272" s="2" t="str">
        <x:v>84248F</x:v>
      </x:c>
      <x:c r="D5272" s="2" t="str">
        <x:v>Description unavailable</x:v>
      </x:c>
      <x:c r="E5272" s="11" t="n">
        <x:v>0</x:v>
      </x:c>
      <x:c r="F5272" s="11" t="n">
        <x:v>0</x:v>
      </x:c>
      <x:c r="G5272" s="11" t="n">
        <x:v>0</x:v>
      </x:c>
      <x:c r="H5272" s="23" t="n">
        <x:v>0</x:v>
      </x:c>
      <x:c r="I5272" s="23" t="n">
        <x:v>1.000000000000004</x:v>
      </x:c>
      <x:c r="J5272" s="2" t="n">
        <x:v>0</x:v>
      </x:c>
      <x:c r="K5272" s="2"/>
      <x:c r="L5272" s="2"/>
    </x:row>
    <x:row r="5273" ht="22" customHeight="1">
      <x:c r="A5273" s="2"/>
      <x:c r="B5273" s="2" t="n">
        <x:v>5240</x:v>
      </x:c>
      <x:c r="C5273" s="2" t="str">
        <x:v>84750C</x:v>
      </x:c>
      <x:c r="D5273" s="2" t="str">
        <x:v>Description unavailable</x:v>
      </x:c>
      <x:c r="E5273" s="11" t="n">
        <x:v>0</x:v>
      </x:c>
      <x:c r="F5273" s="11" t="n">
        <x:v>0</x:v>
      </x:c>
      <x:c r="G5273" s="11" t="n">
        <x:v>0</x:v>
      </x:c>
      <x:c r="H5273" s="23" t="n">
        <x:v>0</x:v>
      </x:c>
      <x:c r="I5273" s="23" t="n">
        <x:v>1.000000000000004</x:v>
      </x:c>
      <x:c r="J5273" s="2" t="n">
        <x:v>0</x:v>
      </x:c>
      <x:c r="K5273" s="2"/>
      <x:c r="L5273" s="2"/>
    </x:row>
    <x:row r="5274" ht="22" customHeight="1">
      <x:c r="A5274" s="2"/>
      <x:c r="B5274" s="2" t="n">
        <x:v>5241</x:v>
      </x:c>
      <x:c r="C5274" s="2" t="str">
        <x:v>84752B</x:v>
      </x:c>
      <x:c r="D5274" s="2" t="str">
        <x:v>Description unavailable</x:v>
      </x:c>
      <x:c r="E5274" s="11" t="n">
        <x:v>0</x:v>
      </x:c>
      <x:c r="F5274" s="11" t="n">
        <x:v>0</x:v>
      </x:c>
      <x:c r="G5274" s="11" t="n">
        <x:v>0</x:v>
      </x:c>
      <x:c r="H5274" s="23" t="n">
        <x:v>0</x:v>
      </x:c>
      <x:c r="I5274" s="23" t="n">
        <x:v>1.000000000000004</x:v>
      </x:c>
      <x:c r="J5274" s="2" t="n">
        <x:v>0</x:v>
      </x:c>
      <x:c r="K5274" s="2"/>
      <x:c r="L5274" s="2"/>
    </x:row>
    <x:row r="5275" ht="22" customHeight="1">
      <x:c r="A5275" s="2"/>
      <x:c r="B5275" s="2" t="n">
        <x:v>5242</x:v>
      </x:c>
      <x:c r="C5275" s="2" t="str">
        <x:v>84706E</x:v>
      </x:c>
      <x:c r="D5275" s="2" t="str">
        <x:v>Description unavailable</x:v>
      </x:c>
      <x:c r="E5275" s="11" t="n">
        <x:v>0</x:v>
      </x:c>
      <x:c r="F5275" s="11" t="n">
        <x:v>0</x:v>
      </x:c>
      <x:c r="G5275" s="11" t="n">
        <x:v>0</x:v>
      </x:c>
      <x:c r="H5275" s="23" t="n">
        <x:v>0</x:v>
      </x:c>
      <x:c r="I5275" s="23" t="n">
        <x:v>1.000000000000004</x:v>
      </x:c>
      <x:c r="J5275" s="2" t="n">
        <x:v>0</x:v>
      </x:c>
      <x:c r="K5275" s="2"/>
      <x:c r="L5275" s="2"/>
    </x:row>
    <x:row r="5276" ht="22" customHeight="1">
      <x:c r="A5276" s="2"/>
      <x:c r="B5276" s="2" t="n">
        <x:v>5243</x:v>
      </x:c>
      <x:c r="C5276" s="2" t="str">
        <x:v>84718</x:v>
      </x:c>
      <x:c r="D5276" s="2" t="str">
        <x:v>Description unavailable</x:v>
      </x:c>
      <x:c r="E5276" s="11" t="n">
        <x:v>0</x:v>
      </x:c>
      <x:c r="F5276" s="11" t="n">
        <x:v>0</x:v>
      </x:c>
      <x:c r="G5276" s="11" t="n">
        <x:v>0</x:v>
      </x:c>
      <x:c r="H5276" s="23" t="n">
        <x:v>0</x:v>
      </x:c>
      <x:c r="I5276" s="23" t="n">
        <x:v>1.000000000000004</x:v>
      </x:c>
      <x:c r="J5276" s="2" t="n">
        <x:v>0</x:v>
      </x:c>
      <x:c r="K5276" s="2"/>
      <x:c r="L5276" s="2"/>
    </x:row>
    <x:row r="5277" ht="22" customHeight="1">
      <x:c r="A5277" s="2"/>
      <x:c r="B5277" s="2" t="n">
        <x:v>5244</x:v>
      </x:c>
      <x:c r="C5277" s="2" t="str">
        <x:v>84247B</x:v>
      </x:c>
      <x:c r="D5277" s="2" t="str">
        <x:v>Description unavailable</x:v>
      </x:c>
      <x:c r="E5277" s="11" t="n">
        <x:v>0</x:v>
      </x:c>
      <x:c r="F5277" s="11" t="n">
        <x:v>0</x:v>
      </x:c>
      <x:c r="G5277" s="11" t="n">
        <x:v>0</x:v>
      </x:c>
      <x:c r="H5277" s="23" t="n">
        <x:v>0</x:v>
      </x:c>
      <x:c r="I5277" s="23" t="n">
        <x:v>1.000000000000004</x:v>
      </x:c>
      <x:c r="J5277" s="2" t="n">
        <x:v>0</x:v>
      </x:c>
      <x:c r="K5277" s="2"/>
      <x:c r="L5277" s="2"/>
    </x:row>
    <x:row r="5278" ht="22" customHeight="1">
      <x:c r="A5278" s="2"/>
      <x:c r="B5278" s="2" t="n">
        <x:v>5245</x:v>
      </x:c>
      <x:c r="C5278" s="2" t="str">
        <x:v>84247D</x:v>
      </x:c>
      <x:c r="D5278" s="2" t="str">
        <x:v>Description unavailable</x:v>
      </x:c>
      <x:c r="E5278" s="11" t="n">
        <x:v>0</x:v>
      </x:c>
      <x:c r="F5278" s="11" t="n">
        <x:v>0</x:v>
      </x:c>
      <x:c r="G5278" s="11" t="n">
        <x:v>0</x:v>
      </x:c>
      <x:c r="H5278" s="23" t="n">
        <x:v>0</x:v>
      </x:c>
      <x:c r="I5278" s="23" t="n">
        <x:v>1.000000000000004</x:v>
      </x:c>
      <x:c r="J5278" s="2" t="n">
        <x:v>0</x:v>
      </x:c>
      <x:c r="K5278" s="2"/>
      <x:c r="L5278" s="2"/>
    </x:row>
    <x:row r="5279" ht="22" customHeight="1">
      <x:c r="A5279" s="2"/>
      <x:c r="B5279" s="2" t="n">
        <x:v>5246</x:v>
      </x:c>
      <x:c r="C5279" s="2" t="str">
        <x:v>84248B</x:v>
      </x:c>
      <x:c r="D5279" s="2" t="str">
        <x:v>Description unavailable</x:v>
      </x:c>
      <x:c r="E5279" s="11" t="n">
        <x:v>0</x:v>
      </x:c>
      <x:c r="F5279" s="11" t="n">
        <x:v>0</x:v>
      </x:c>
      <x:c r="G5279" s="11" t="n">
        <x:v>0</x:v>
      </x:c>
      <x:c r="H5279" s="23" t="n">
        <x:v>0</x:v>
      </x:c>
      <x:c r="I5279" s="23" t="n">
        <x:v>1.000000000000004</x:v>
      </x:c>
      <x:c r="J5279" s="2" t="n">
        <x:v>0</x:v>
      </x:c>
      <x:c r="K5279" s="2"/>
      <x:c r="L5279" s="2"/>
    </x:row>
    <x:row r="5280" ht="22" customHeight="1">
      <x:c r="A5280" s="2"/>
      <x:c r="B5280" s="2" t="n">
        <x:v>5247</x:v>
      </x:c>
      <x:c r="C5280" s="2" t="str">
        <x:v>84248E</x:v>
      </x:c>
      <x:c r="D5280" s="2" t="str">
        <x:v>Description unavailable</x:v>
      </x:c>
      <x:c r="E5280" s="11" t="n">
        <x:v>0</x:v>
      </x:c>
      <x:c r="F5280" s="11" t="n">
        <x:v>0</x:v>
      </x:c>
      <x:c r="G5280" s="11" t="n">
        <x:v>0</x:v>
      </x:c>
      <x:c r="H5280" s="23" t="n">
        <x:v>0</x:v>
      </x:c>
      <x:c r="I5280" s="23" t="n">
        <x:v>1.000000000000004</x:v>
      </x:c>
      <x:c r="J5280" s="2" t="n">
        <x:v>0</x:v>
      </x:c>
      <x:c r="K5280" s="2"/>
      <x:c r="L5280" s="2"/>
    </x:row>
    <x:row r="5281" ht="22" customHeight="1">
      <x:c r="A5281" s="2"/>
      <x:c r="B5281" s="2" t="n">
        <x:v>5248</x:v>
      </x:c>
      <x:c r="C5281" s="2" t="str">
        <x:v>84705E</x:v>
      </x:c>
      <x:c r="D5281" s="2" t="str">
        <x:v>Description unavailable</x:v>
      </x:c>
      <x:c r="E5281" s="11" t="n">
        <x:v>0</x:v>
      </x:c>
      <x:c r="F5281" s="11" t="n">
        <x:v>0</x:v>
      </x:c>
      <x:c r="G5281" s="11" t="n">
        <x:v>0</x:v>
      </x:c>
      <x:c r="H5281" s="23" t="n">
        <x:v>0</x:v>
      </x:c>
      <x:c r="I5281" s="23" t="n">
        <x:v>1.000000000000004</x:v>
      </x:c>
      <x:c r="J5281" s="2" t="n">
        <x:v>0</x:v>
      </x:c>
      <x:c r="K5281" s="2"/>
      <x:c r="L5281" s="2"/>
    </x:row>
    <x:row r="5282" ht="22" customHeight="1">
      <x:c r="A5282" s="2"/>
      <x:c r="B5282" s="2" t="n">
        <x:v>5249</x:v>
      </x:c>
      <x:c r="C5282" s="2" t="str">
        <x:v>84250H</x:v>
      </x:c>
      <x:c r="D5282" s="2" t="str">
        <x:v>Description unavailable</x:v>
      </x:c>
      <x:c r="E5282" s="11" t="n">
        <x:v>0</x:v>
      </x:c>
      <x:c r="F5282" s="11" t="n">
        <x:v>0</x:v>
      </x:c>
      <x:c r="G5282" s="11" t="n">
        <x:v>0</x:v>
      </x:c>
      <x:c r="H5282" s="23" t="n">
        <x:v>0</x:v>
      </x:c>
      <x:c r="I5282" s="23" t="n">
        <x:v>1.000000000000004</x:v>
      </x:c>
      <x:c r="J5282" s="2" t="n">
        <x:v>0</x:v>
      </x:c>
      <x:c r="K5282" s="2"/>
      <x:c r="L5282" s="2"/>
    </x:row>
    <x:row r="5283" ht="22" customHeight="1">
      <x:c r="A5283" s="2"/>
      <x:c r="B5283" s="2" t="n">
        <x:v>5250</x:v>
      </x:c>
      <x:c r="C5283" s="2" t="str">
        <x:v>37452A</x:v>
      </x:c>
      <x:c r="D5283" s="2" t="str">
        <x:v>Description unavailable</x:v>
      </x:c>
      <x:c r="E5283" s="11" t="n">
        <x:v>0</x:v>
      </x:c>
      <x:c r="F5283" s="11" t="n">
        <x:v>0</x:v>
      </x:c>
      <x:c r="G5283" s="11" t="n">
        <x:v>0</x:v>
      </x:c>
      <x:c r="H5283" s="23" t="n">
        <x:v>0</x:v>
      </x:c>
      <x:c r="I5283" s="23" t="n">
        <x:v>1.000000000000004</x:v>
      </x:c>
      <x:c r="J5283" s="2" t="n">
        <x:v>0</x:v>
      </x:c>
      <x:c r="K5283" s="2"/>
      <x:c r="L5283" s="2"/>
    </x:row>
    <x:row r="5284" ht="22" customHeight="1">
      <x:c r="A5284" s="2"/>
      <x:c r="B5284" s="2" t="n">
        <x:v>5251</x:v>
      </x:c>
      <x:c r="C5284" s="2" t="str">
        <x:v>22126</x:v>
      </x:c>
      <x:c r="D5284" s="2" t="str">
        <x:v>given away</x:v>
      </x:c>
      <x:c r="E5284" s="11" t="n">
        <x:v>0</x:v>
      </x:c>
      <x:c r="F5284" s="11" t="n">
        <x:v>0</x:v>
      </x:c>
      <x:c r="G5284" s="11" t="n">
        <x:v>0</x:v>
      </x:c>
      <x:c r="H5284" s="23" t="n">
        <x:v>0</x:v>
      </x:c>
      <x:c r="I5284" s="23" t="n">
        <x:v>1.000000000000004</x:v>
      </x:c>
      <x:c r="J5284" s="2" t="n">
        <x:v>0</x:v>
      </x:c>
      <x:c r="K5284" s="2"/>
      <x:c r="L5284" s="2"/>
    </x:row>
    <x:row r="5285" ht="22" customHeight="1">
      <x:c r="A5285" s="2"/>
      <x:c r="B5285" s="2" t="n">
        <x:v>5252</x:v>
      </x:c>
      <x:c r="C5285" s="2" t="str">
        <x:v>90197A</x:v>
      </x:c>
      <x:c r="D5285" s="2" t="str">
        <x:v>Description unavailable</x:v>
      </x:c>
      <x:c r="E5285" s="11" t="n">
        <x:v>0</x:v>
      </x:c>
      <x:c r="F5285" s="11" t="n">
        <x:v>0</x:v>
      </x:c>
      <x:c r="G5285" s="11" t="n">
        <x:v>0</x:v>
      </x:c>
      <x:c r="H5285" s="23" t="n">
        <x:v>0</x:v>
      </x:c>
      <x:c r="I5285" s="23" t="n">
        <x:v>1.000000000000004</x:v>
      </x:c>
      <x:c r="J5285" s="2" t="n">
        <x:v>0</x:v>
      </x:c>
      <x:c r="K5285" s="2"/>
      <x:c r="L5285" s="2"/>
    </x:row>
    <x:row r="5286" ht="22" customHeight="1">
      <x:c r="A5286" s="2"/>
      <x:c r="B5286" s="2" t="n">
        <x:v>5253</x:v>
      </x:c>
      <x:c r="C5286" s="2" t="str">
        <x:v>90197C</x:v>
      </x:c>
      <x:c r="D5286" s="2" t="str">
        <x:v>Description unavailable</x:v>
      </x:c>
      <x:c r="E5286" s="11" t="n">
        <x:v>0</x:v>
      </x:c>
      <x:c r="F5286" s="11" t="n">
        <x:v>0</x:v>
      </x:c>
      <x:c r="G5286" s="11" t="n">
        <x:v>0</x:v>
      </x:c>
      <x:c r="H5286" s="23" t="n">
        <x:v>0</x:v>
      </x:c>
      <x:c r="I5286" s="23" t="n">
        <x:v>1.000000000000004</x:v>
      </x:c>
      <x:c r="J5286" s="2" t="n">
        <x:v>0</x:v>
      </x:c>
      <x:c r="K5286" s="2"/>
      <x:c r="L5286" s="2"/>
    </x:row>
    <x:row r="5287" ht="22" customHeight="1">
      <x:c r="A5287" s="2"/>
      <x:c r="B5287" s="2" t="n">
        <x:v>5254</x:v>
      </x:c>
      <x:c r="C5287" s="2" t="str">
        <x:v>22213</x:v>
      </x:c>
      <x:c r="D5287" s="2" t="str">
        <x:v>Description unavailable</x:v>
      </x:c>
      <x:c r="E5287" s="11" t="n">
        <x:v>0</x:v>
      </x:c>
      <x:c r="F5287" s="11" t="n">
        <x:v>0</x:v>
      </x:c>
      <x:c r="G5287" s="11" t="n">
        <x:v>0</x:v>
      </x:c>
      <x:c r="H5287" s="23" t="n">
        <x:v>0</x:v>
      </x:c>
      <x:c r="I5287" s="23" t="n">
        <x:v>1.000000000000004</x:v>
      </x:c>
      <x:c r="J5287" s="2" t="n">
        <x:v>0</x:v>
      </x:c>
      <x:c r="K5287" s="2"/>
      <x:c r="L5287" s="2"/>
    </x:row>
    <x:row r="5288" ht="22" customHeight="1">
      <x:c r="A5288" s="2"/>
      <x:c r="B5288" s="2" t="n">
        <x:v>5255</x:v>
      </x:c>
      <x:c r="C5288" s="2" t="str">
        <x:v>84681</x:v>
      </x:c>
      <x:c r="D5288" s="2" t="str">
        <x:v>Description unavailable</x:v>
      </x:c>
      <x:c r="E5288" s="11" t="n">
        <x:v>0</x:v>
      </x:c>
      <x:c r="F5288" s="11" t="n">
        <x:v>0</x:v>
      </x:c>
      <x:c r="G5288" s="11" t="n">
        <x:v>0</x:v>
      </x:c>
      <x:c r="H5288" s="23" t="n">
        <x:v>0</x:v>
      </x:c>
      <x:c r="I5288" s="23" t="n">
        <x:v>1.000000000000004</x:v>
      </x:c>
      <x:c r="J5288" s="2" t="n">
        <x:v>0</x:v>
      </x:c>
      <x:c r="K5288" s="2"/>
      <x:c r="L5288" s="2"/>
    </x:row>
    <x:row r="5289" ht="22" customHeight="1">
      <x:c r="A5289" s="2"/>
      <x:c r="B5289" s="2" t="n">
        <x:v>5256</x:v>
      </x:c>
      <x:c r="C5289" s="2" t="str">
        <x:v>84699</x:v>
      </x:c>
      <x:c r="D5289" s="2" t="str">
        <x:v>Description unavailable</x:v>
      </x:c>
      <x:c r="E5289" s="11" t="n">
        <x:v>0</x:v>
      </x:c>
      <x:c r="F5289" s="11" t="n">
        <x:v>0</x:v>
      </x:c>
      <x:c r="G5289" s="11" t="n">
        <x:v>0</x:v>
      </x:c>
      <x:c r="H5289" s="23" t="n">
        <x:v>0</x:v>
      </x:c>
      <x:c r="I5289" s="23" t="n">
        <x:v>1.000000000000004</x:v>
      </x:c>
      <x:c r="J5289" s="2" t="n">
        <x:v>0</x:v>
      </x:c>
      <x:c r="K5289" s="2"/>
      <x:c r="L5289" s="2"/>
    </x:row>
    <x:row r="5290" ht="22" customHeight="1">
      <x:c r="A5290" s="2"/>
      <x:c r="B5290" s="2" t="n">
        <x:v>5257</x:v>
      </x:c>
      <x:c r="C5290" s="2" t="str">
        <x:v>35001C</x:v>
      </x:c>
      <x:c r="D5290" s="2" t="str">
        <x:v>HAND OPEN SHAPE CHROME</x:v>
      </x:c>
      <x:c r="E5290" s="11" t="n">
        <x:v>0</x:v>
      </x:c>
      <x:c r="F5290" s="11" t="n">
        <x:v>10.17</x:v>
      </x:c>
      <x:c r="G5290" s="11" t="n">
        <x:v>-10.17</x:v>
      </x:c>
      <x:c r="H5290" s="23" t="n">
        <x:v>0</x:v>
      </x:c>
      <x:c r="I5290" s="23" t="n">
        <x:v>1.000000000000004</x:v>
      </x:c>
      <x:c r="J5290" s="2" t="n">
        <x:v>0</x:v>
      </x:c>
      <x:c r="K5290" s="2"/>
      <x:c r="L5290" s="2"/>
    </x:row>
    <x:row r="5291" ht="22" customHeight="1">
      <x:c r="A5291" s="2"/>
      <x:c r="B5291" s="2" t="n">
        <x:v>5258</x:v>
      </x:c>
      <x:c r="C5291" s="2" t="str">
        <x:v>17120</x:v>
      </x:c>
      <x:c r="D5291" s="2" t="str">
        <x:v>Description unavailable</x:v>
      </x:c>
      <x:c r="E5291" s="11" t="n">
        <x:v>0</x:v>
      </x:c>
      <x:c r="F5291" s="11" t="n">
        <x:v>0</x:v>
      </x:c>
      <x:c r="G5291" s="11" t="n">
        <x:v>0</x:v>
      </x:c>
      <x:c r="H5291" s="23" t="n">
        <x:v>0</x:v>
      </x:c>
      <x:c r="I5291" s="23" t="n">
        <x:v>1.000000000000004</x:v>
      </x:c>
      <x:c r="J5291" s="2" t="n">
        <x:v>0</x:v>
      </x:c>
      <x:c r="K5291" s="2"/>
      <x:c r="L5291" s="2"/>
    </x:row>
    <x:row r="5292" ht="22" customHeight="1">
      <x:c r="A5292" s="2"/>
      <x:c r="B5292" s="2" t="n">
        <x:v>5259</x:v>
      </x:c>
      <x:c r="C5292" s="2" t="str">
        <x:v>84341A</x:v>
      </x:c>
      <x:c r="D5292" s="2" t="str">
        <x:v>Description unavailable</x:v>
      </x:c>
      <x:c r="E5292" s="11" t="n">
        <x:v>0</x:v>
      </x:c>
      <x:c r="F5292" s="11" t="n">
        <x:v>0</x:v>
      </x:c>
      <x:c r="G5292" s="11" t="n">
        <x:v>0</x:v>
      </x:c>
      <x:c r="H5292" s="23" t="n">
        <x:v>0</x:v>
      </x:c>
      <x:c r="I5292" s="23" t="n">
        <x:v>1.000000000000004</x:v>
      </x:c>
      <x:c r="J5292" s="2" t="n">
        <x:v>0</x:v>
      </x:c>
      <x:c r="K5292" s="2"/>
      <x:c r="L5292" s="2"/>
    </x:row>
    <x:row r="5293" ht="22" customHeight="1">
      <x:c r="A5293" s="2"/>
      <x:c r="B5293" s="2" t="n">
        <x:v>5260</x:v>
      </x:c>
      <x:c r="C5293" s="2" t="str">
        <x:v>84344</x:v>
      </x:c>
      <x:c r="D5293" s="2" t="str">
        <x:v>Description unavailable</x:v>
      </x:c>
      <x:c r="E5293" s="11" t="n">
        <x:v>0</x:v>
      </x:c>
      <x:c r="F5293" s="11" t="n">
        <x:v>0</x:v>
      </x:c>
      <x:c r="G5293" s="11" t="n">
        <x:v>0</x:v>
      </x:c>
      <x:c r="H5293" s="23" t="n">
        <x:v>0</x:v>
      </x:c>
      <x:c r="I5293" s="23" t="n">
        <x:v>1.000000000000004</x:v>
      </x:c>
      <x:c r="J5293" s="2" t="n">
        <x:v>0</x:v>
      </x:c>
      <x:c r="K5293" s="2"/>
      <x:c r="L5293" s="2"/>
    </x:row>
    <x:row r="5294" ht="22" customHeight="1">
      <x:c r="A5294" s="2"/>
      <x:c r="B5294" s="2" t="n">
        <x:v>5261</x:v>
      </x:c>
      <x:c r="C5294" s="2" t="str">
        <x:v>20824</x:v>
      </x:c>
      <x:c r="D5294" s="2" t="str">
        <x:v>Description unavailable</x:v>
      </x:c>
      <x:c r="E5294" s="11" t="n">
        <x:v>0</x:v>
      </x:c>
      <x:c r="F5294" s="11" t="n">
        <x:v>0</x:v>
      </x:c>
      <x:c r="G5294" s="11" t="n">
        <x:v>0</x:v>
      </x:c>
      <x:c r="H5294" s="23" t="n">
        <x:v>0</x:v>
      </x:c>
      <x:c r="I5294" s="23" t="n">
        <x:v>1.000000000000004</x:v>
      </x:c>
      <x:c r="J5294" s="2" t="n">
        <x:v>0</x:v>
      </x:c>
      <x:c r="K5294" s="2"/>
      <x:c r="L5294" s="2"/>
    </x:row>
    <x:row r="5295" ht="22" customHeight="1">
      <x:c r="A5295" s="2"/>
      <x:c r="B5295" s="2" t="n">
        <x:v>5262</x:v>
      </x:c>
      <x:c r="C5295" s="2" t="str">
        <x:v>84671A</x:v>
      </x:c>
      <x:c r="D5295" s="2" t="str">
        <x:v>Description unavailable</x:v>
      </x:c>
      <x:c r="E5295" s="11" t="n">
        <x:v>0</x:v>
      </x:c>
      <x:c r="F5295" s="11" t="n">
        <x:v>0</x:v>
      </x:c>
      <x:c r="G5295" s="11" t="n">
        <x:v>0</x:v>
      </x:c>
      <x:c r="H5295" s="23" t="n">
        <x:v>0</x:v>
      </x:c>
      <x:c r="I5295" s="23" t="n">
        <x:v>1.000000000000004</x:v>
      </x:c>
      <x:c r="J5295" s="2" t="n">
        <x:v>0</x:v>
      </x:c>
      <x:c r="K5295" s="2"/>
      <x:c r="L5295" s="2"/>
    </x:row>
    <x:row r="5296" ht="22" customHeight="1">
      <x:c r="A5296" s="2"/>
      <x:c r="B5296" s="2" t="n">
        <x:v>5263</x:v>
      </x:c>
      <x:c r="C5296" s="2" t="str">
        <x:v>84672A</x:v>
      </x:c>
      <x:c r="D5296" s="2" t="str">
        <x:v>Description unavailable</x:v>
      </x:c>
      <x:c r="E5296" s="11" t="n">
        <x:v>0</x:v>
      </x:c>
      <x:c r="F5296" s="11" t="n">
        <x:v>0</x:v>
      </x:c>
      <x:c r="G5296" s="11" t="n">
        <x:v>0</x:v>
      </x:c>
      <x:c r="H5296" s="23" t="n">
        <x:v>0</x:v>
      </x:c>
      <x:c r="I5296" s="23" t="n">
        <x:v>1.000000000000004</x:v>
      </x:c>
      <x:c r="J5296" s="2" t="n">
        <x:v>0</x:v>
      </x:c>
      <x:c r="K5296" s="2"/>
      <x:c r="L5296" s="2"/>
    </x:row>
    <x:row r="5297" ht="22" customHeight="1">
      <x:c r="A5297" s="2"/>
      <x:c r="B5297" s="2" t="n">
        <x:v>5264</x:v>
      </x:c>
      <x:c r="C5297" s="2" t="str">
        <x:v>84641</x:v>
      </x:c>
      <x:c r="D5297" s="2" t="str">
        <x:v>damages</x:v>
      </x:c>
      <x:c r="E5297" s="11" t="n">
        <x:v>0</x:v>
      </x:c>
      <x:c r="F5297" s="11" t="n">
        <x:v>0</x:v>
      </x:c>
      <x:c r="G5297" s="11" t="n">
        <x:v>0</x:v>
      </x:c>
      <x:c r="H5297" s="23" t="n">
        <x:v>0</x:v>
      </x:c>
      <x:c r="I5297" s="23" t="n">
        <x:v>1.000000000000004</x:v>
      </x:c>
      <x:c r="J5297" s="2" t="n">
        <x:v>0</x:v>
      </x:c>
      <x:c r="K5297" s="2"/>
      <x:c r="L5297" s="2"/>
    </x:row>
    <x:row r="5298" ht="22" customHeight="1">
      <x:c r="A5298" s="2"/>
      <x:c r="B5298" s="2" t="n">
        <x:v>5265</x:v>
      </x:c>
      <x:c r="C5298" s="2" t="str">
        <x:v>84642</x:v>
      </x:c>
      <x:c r="D5298" s="2" t="str">
        <x:v>Description unavailable</x:v>
      </x:c>
      <x:c r="E5298" s="11" t="n">
        <x:v>0</x:v>
      </x:c>
      <x:c r="F5298" s="11" t="n">
        <x:v>0</x:v>
      </x:c>
      <x:c r="G5298" s="11" t="n">
        <x:v>0</x:v>
      </x:c>
      <x:c r="H5298" s="23" t="n">
        <x:v>0</x:v>
      </x:c>
      <x:c r="I5298" s="23" t="n">
        <x:v>1.000000000000004</x:v>
      </x:c>
      <x:c r="J5298" s="2" t="n">
        <x:v>0</x:v>
      </x:c>
      <x:c r="K5298" s="2"/>
      <x:c r="L5298" s="2"/>
    </x:row>
    <x:row r="5299" ht="22" customHeight="1">
      <x:c r="A5299" s="2"/>
      <x:c r="B5299" s="2" t="n">
        <x:v>5266</x:v>
      </x:c>
      <x:c r="C5299" s="2" t="str">
        <x:v>DCGSLGIRL</x:v>
      </x:c>
      <x:c r="D5299" s="2" t="str">
        <x:v>Description unavailable</x:v>
      </x:c>
      <x:c r="E5299" s="11" t="n">
        <x:v>0</x:v>
      </x:c>
      <x:c r="F5299" s="11" t="n">
        <x:v>0</x:v>
      </x:c>
      <x:c r="G5299" s="11" t="n">
        <x:v>0</x:v>
      </x:c>
      <x:c r="H5299" s="23" t="n">
        <x:v>0</x:v>
      </x:c>
      <x:c r="I5299" s="23" t="n">
        <x:v>1.000000000000004</x:v>
      </x:c>
      <x:c r="J5299" s="2" t="n">
        <x:v>0</x:v>
      </x:c>
      <x:c r="K5299" s="2"/>
      <x:c r="L5299" s="2"/>
    </x:row>
    <x:row r="5300" ht="22" customHeight="1">
      <x:c r="A5300" s="2"/>
      <x:c r="B5300" s="2" t="n">
        <x:v>5267</x:v>
      </x:c>
      <x:c r="C5300" s="2" t="str">
        <x:v>20779</x:v>
      </x:c>
      <x:c r="D5300" s="2" t="str">
        <x:v>PINK EAR MUFF HEADPHONES</x:v>
      </x:c>
      <x:c r="E5300" s="11" t="n">
        <x:v>0</x:v>
      </x:c>
      <x:c r="F5300" s="11" t="n">
        <x:v>14.790000000000001</x:v>
      </x:c>
      <x:c r="G5300" s="11" t="n">
        <x:v>-14.790000000000001</x:v>
      </x:c>
      <x:c r="H5300" s="23" t="n">
        <x:v>0</x:v>
      </x:c>
      <x:c r="I5300" s="23" t="n">
        <x:v>1.000000000000004</x:v>
      </x:c>
      <x:c r="J5300" s="2" t="n">
        <x:v>0</x:v>
      </x:c>
      <x:c r="K5300" s="2"/>
      <x:c r="L5300" s="2"/>
    </x:row>
    <x:row r="5301" ht="22" customHeight="1">
      <x:c r="A5301" s="2"/>
      <x:c r="B5301" s="2" t="n">
        <x:v>5268</x:v>
      </x:c>
      <x:c r="C5301" s="2" t="str">
        <x:v>37490C</x:v>
      </x:c>
      <x:c r="D5301" s="2" t="str">
        <x:v>Description unavailable</x:v>
      </x:c>
      <x:c r="E5301" s="11" t="n">
        <x:v>0</x:v>
      </x:c>
      <x:c r="F5301" s="11" t="n">
        <x:v>0</x:v>
      </x:c>
      <x:c r="G5301" s="11" t="n">
        <x:v>0</x:v>
      </x:c>
      <x:c r="H5301" s="23" t="n">
        <x:v>0</x:v>
      </x:c>
      <x:c r="I5301" s="23" t="n">
        <x:v>1.000000000000004</x:v>
      </x:c>
      <x:c r="J5301" s="2" t="n">
        <x:v>0</x:v>
      </x:c>
      <x:c r="K5301" s="2"/>
      <x:c r="L5301" s="2"/>
    </x:row>
    <x:row r="5302" ht="22" customHeight="1">
      <x:c r="A5302" s="2"/>
      <x:c r="B5302" s="2" t="n">
        <x:v>5269</x:v>
      </x:c>
      <x:c r="C5302" s="2" t="str">
        <x:v>37490D</x:v>
      </x:c>
      <x:c r="D5302" s="2" t="str">
        <x:v>Description unavailable</x:v>
      </x:c>
      <x:c r="E5302" s="11" t="n">
        <x:v>0</x:v>
      </x:c>
      <x:c r="F5302" s="11" t="n">
        <x:v>0</x:v>
      </x:c>
      <x:c r="G5302" s="11" t="n">
        <x:v>0</x:v>
      </x:c>
      <x:c r="H5302" s="23" t="n">
        <x:v>0</x:v>
      </x:c>
      <x:c r="I5302" s="23" t="n">
        <x:v>1.000000000000004</x:v>
      </x:c>
      <x:c r="J5302" s="2" t="n">
        <x:v>0</x:v>
      </x:c>
      <x:c r="K5302" s="2"/>
      <x:c r="L5302" s="2"/>
    </x:row>
    <x:row r="5303" ht="22" customHeight="1">
      <x:c r="A5303" s="2"/>
      <x:c r="B5303" s="2" t="n">
        <x:v>5270</x:v>
      </x:c>
      <x:c r="C5303" s="2" t="str">
        <x:v>84389</x:v>
      </x:c>
      <x:c r="D5303" s="2" t="str">
        <x:v>Description unavailable</x:v>
      </x:c>
      <x:c r="E5303" s="11" t="n">
        <x:v>0</x:v>
      </x:c>
      <x:c r="F5303" s="11" t="n">
        <x:v>0</x:v>
      </x:c>
      <x:c r="G5303" s="11" t="n">
        <x:v>0</x:v>
      </x:c>
      <x:c r="H5303" s="23" t="n">
        <x:v>0</x:v>
      </x:c>
      <x:c r="I5303" s="23" t="n">
        <x:v>1.000000000000004</x:v>
      </x:c>
      <x:c r="J5303" s="2" t="n">
        <x:v>0</x:v>
      </x:c>
      <x:c r="K5303" s="2"/>
      <x:c r="L5303" s="2"/>
    </x:row>
    <x:row r="5304" ht="22" customHeight="1">
      <x:c r="A5304" s="2"/>
      <x:c r="B5304" s="2" t="n">
        <x:v>5271</x:v>
      </x:c>
      <x:c r="C5304" s="2" t="str">
        <x:v>84394</x:v>
      </x:c>
      <x:c r="D5304" s="2" t="str">
        <x:v>Description unavailable</x:v>
      </x:c>
      <x:c r="E5304" s="11" t="n">
        <x:v>0</x:v>
      </x:c>
      <x:c r="F5304" s="11" t="n">
        <x:v>0</x:v>
      </x:c>
      <x:c r="G5304" s="11" t="n">
        <x:v>0</x:v>
      </x:c>
      <x:c r="H5304" s="23" t="n">
        <x:v>0</x:v>
      </x:c>
      <x:c r="I5304" s="23" t="n">
        <x:v>1.000000000000004</x:v>
      </x:c>
      <x:c r="J5304" s="2" t="n">
        <x:v>0</x:v>
      </x:c>
      <x:c r="K5304" s="2"/>
      <x:c r="L5304" s="2"/>
    </x:row>
    <x:row r="5305" ht="22" customHeight="1">
      <x:c r="A5305" s="2"/>
      <x:c r="B5305" s="2" t="n">
        <x:v>5272</x:v>
      </x:c>
      <x:c r="C5305" s="2" t="str">
        <x:v>84395</x:v>
      </x:c>
      <x:c r="D5305" s="2" t="str">
        <x:v>Description unavailable</x:v>
      </x:c>
      <x:c r="E5305" s="11" t="n">
        <x:v>0</x:v>
      </x:c>
      <x:c r="F5305" s="11" t="n">
        <x:v>0</x:v>
      </x:c>
      <x:c r="G5305" s="11" t="n">
        <x:v>0</x:v>
      </x:c>
      <x:c r="H5305" s="23" t="n">
        <x:v>0</x:v>
      </x:c>
      <x:c r="I5305" s="23" t="n">
        <x:v>1.000000000000004</x:v>
      </x:c>
      <x:c r="J5305" s="2" t="n">
        <x:v>0</x:v>
      </x:c>
      <x:c r="K5305" s="2"/>
      <x:c r="L5305" s="2"/>
    </x:row>
    <x:row r="5306" ht="22" customHeight="1">
      <x:c r="A5306" s="2"/>
      <x:c r="B5306" s="2" t="n">
        <x:v>5273</x:v>
      </x:c>
      <x:c r="C5306" s="2" t="str">
        <x:v>DCGS0059</x:v>
      </x:c>
      <x:c r="D5306" s="2" t="str">
        <x:v>Description unavailable</x:v>
      </x:c>
      <x:c r="E5306" s="11" t="n">
        <x:v>0</x:v>
      </x:c>
      <x:c r="F5306" s="11" t="n">
        <x:v>0</x:v>
      </x:c>
      <x:c r="G5306" s="11" t="n">
        <x:v>0</x:v>
      </x:c>
      <x:c r="H5306" s="23" t="n">
        <x:v>0</x:v>
      </x:c>
      <x:c r="I5306" s="23" t="n">
        <x:v>1.000000000000004</x:v>
      </x:c>
      <x:c r="J5306" s="2" t="n">
        <x:v>0</x:v>
      </x:c>
      <x:c r="K5306" s="2"/>
      <x:c r="L5306" s="2"/>
    </x:row>
    <x:row r="5307" ht="22" customHeight="1">
      <x:c r="A5307" s="2"/>
      <x:c r="B5307" s="2" t="n">
        <x:v>5274</x:v>
      </x:c>
      <x:c r="C5307" s="2" t="str">
        <x:v>DCGS0016</x:v>
      </x:c>
      <x:c r="D5307" s="2" t="str">
        <x:v>Description unavailable</x:v>
      </x:c>
      <x:c r="E5307" s="11" t="n">
        <x:v>0</x:v>
      </x:c>
      <x:c r="F5307" s="11" t="n">
        <x:v>0</x:v>
      </x:c>
      <x:c r="G5307" s="11" t="n">
        <x:v>0</x:v>
      </x:c>
      <x:c r="H5307" s="23" t="n">
        <x:v>0</x:v>
      </x:c>
      <x:c r="I5307" s="23" t="n">
        <x:v>1.000000000000004</x:v>
      </x:c>
      <x:c r="J5307" s="2" t="n">
        <x:v>0</x:v>
      </x:c>
      <x:c r="K5307" s="2"/>
      <x:c r="L5307" s="2"/>
    </x:row>
    <x:row r="5308" ht="22" customHeight="1">
      <x:c r="A5308" s="2"/>
      <x:c r="B5308" s="2" t="n">
        <x:v>5275</x:v>
      </x:c>
      <x:c r="C5308" s="2" t="str">
        <x:v>DCGS0027</x:v>
      </x:c>
      <x:c r="D5308" s="2" t="str">
        <x:v>Description unavailable</x:v>
      </x:c>
      <x:c r="E5308" s="11" t="n">
        <x:v>0</x:v>
      </x:c>
      <x:c r="F5308" s="11" t="n">
        <x:v>0</x:v>
      </x:c>
      <x:c r="G5308" s="11" t="n">
        <x:v>0</x:v>
      </x:c>
      <x:c r="H5308" s="23" t="n">
        <x:v>0</x:v>
      </x:c>
      <x:c r="I5308" s="23" t="n">
        <x:v>1.000000000000004</x:v>
      </x:c>
      <x:c r="J5308" s="2" t="n">
        <x:v>0</x:v>
      </x:c>
      <x:c r="K5308" s="2"/>
      <x:c r="L5308" s="2"/>
    </x:row>
    <x:row r="5309" ht="22" customHeight="1">
      <x:c r="A5309" s="2"/>
      <x:c r="B5309" s="2" t="n">
        <x:v>5276</x:v>
      </x:c>
      <x:c r="C5309" s="2" t="str">
        <x:v>DCGS0036</x:v>
      </x:c>
      <x:c r="D5309" s="2" t="str">
        <x:v>Description unavailable</x:v>
      </x:c>
      <x:c r="E5309" s="11" t="n">
        <x:v>0</x:v>
      </x:c>
      <x:c r="F5309" s="11" t="n">
        <x:v>0</x:v>
      </x:c>
      <x:c r="G5309" s="11" t="n">
        <x:v>0</x:v>
      </x:c>
      <x:c r="H5309" s="23" t="n">
        <x:v>0</x:v>
      </x:c>
      <x:c r="I5309" s="23" t="n">
        <x:v>1.000000000000004</x:v>
      </x:c>
      <x:c r="J5309" s="2" t="n">
        <x:v>0</x:v>
      </x:c>
      <x:c r="K5309" s="2"/>
      <x:c r="L5309" s="2"/>
    </x:row>
    <x:row r="5310" ht="22" customHeight="1">
      <x:c r="A5310" s="2"/>
      <x:c r="B5310" s="2" t="n">
        <x:v>5277</x:v>
      </x:c>
      <x:c r="C5310" s="2" t="str">
        <x:v>DCGS0039</x:v>
      </x:c>
      <x:c r="D5310" s="2" t="str">
        <x:v>Description unavailable</x:v>
      </x:c>
      <x:c r="E5310" s="11" t="n">
        <x:v>0</x:v>
      </x:c>
      <x:c r="F5310" s="11" t="n">
        <x:v>0</x:v>
      </x:c>
      <x:c r="G5310" s="11" t="n">
        <x:v>0</x:v>
      </x:c>
      <x:c r="H5310" s="23" t="n">
        <x:v>0</x:v>
      </x:c>
      <x:c r="I5310" s="23" t="n">
        <x:v>1.000000000000004</x:v>
      </x:c>
      <x:c r="J5310" s="2" t="n">
        <x:v>0</x:v>
      </x:c>
      <x:c r="K5310" s="2"/>
      <x:c r="L5310" s="2"/>
    </x:row>
    <x:row r="5311" ht="22" customHeight="1">
      <x:c r="A5311" s="2"/>
      <x:c r="B5311" s="2" t="n">
        <x:v>5278</x:v>
      </x:c>
      <x:c r="C5311" s="2" t="str">
        <x:v>DCGS0053</x:v>
      </x:c>
      <x:c r="D5311" s="2" t="str">
        <x:v>Description unavailable</x:v>
      </x:c>
      <x:c r="E5311" s="11" t="n">
        <x:v>0</x:v>
      </x:c>
      <x:c r="F5311" s="11" t="n">
        <x:v>0</x:v>
      </x:c>
      <x:c r="G5311" s="11" t="n">
        <x:v>0</x:v>
      </x:c>
      <x:c r="H5311" s="23" t="n">
        <x:v>0</x:v>
      </x:c>
      <x:c r="I5311" s="23" t="n">
        <x:v>1.000000000000004</x:v>
      </x:c>
      <x:c r="J5311" s="2" t="n">
        <x:v>0</x:v>
      </x:c>
      <x:c r="K5311" s="2"/>
      <x:c r="L5311" s="2"/>
    </x:row>
    <x:row r="5312" ht="22" customHeight="1">
      <x:c r="A5312" s="2"/>
      <x:c r="B5312" s="2" t="n">
        <x:v>5279</x:v>
      </x:c>
      <x:c r="C5312" s="2" t="str">
        <x:v>DCGS0055</x:v>
      </x:c>
      <x:c r="D5312" s="2" t="str">
        <x:v>Description unavailable</x:v>
      </x:c>
      <x:c r="E5312" s="11" t="n">
        <x:v>0</x:v>
      </x:c>
      <x:c r="F5312" s="11" t="n">
        <x:v>0</x:v>
      </x:c>
      <x:c r="G5312" s="11" t="n">
        <x:v>0</x:v>
      </x:c>
      <x:c r="H5312" s="23" t="n">
        <x:v>0</x:v>
      </x:c>
      <x:c r="I5312" s="23" t="n">
        <x:v>1.000000000000004</x:v>
      </x:c>
      <x:c r="J5312" s="2" t="n">
        <x:v>0</x:v>
      </x:c>
      <x:c r="K5312" s="2"/>
      <x:c r="L5312" s="2"/>
    </x:row>
    <x:row r="5313" ht="22" customHeight="1">
      <x:c r="A5313" s="2"/>
      <x:c r="B5313" s="2" t="n">
        <x:v>5280</x:v>
      </x:c>
      <x:c r="C5313" s="2" t="str">
        <x:v>C3</x:v>
      </x:c>
      <x:c r="D5313" s="2" t="str">
        <x:v>Description unavailable</x:v>
      </x:c>
      <x:c r="E5313" s="11" t="n">
        <x:v>0</x:v>
      </x:c>
      <x:c r="F5313" s="11" t="n">
        <x:v>0</x:v>
      </x:c>
      <x:c r="G5313" s="11" t="n">
        <x:v>0</x:v>
      </x:c>
      <x:c r="H5313" s="23" t="n">
        <x:v>0</x:v>
      </x:c>
      <x:c r="I5313" s="23" t="n">
        <x:v>1.000000000000004</x:v>
      </x:c>
      <x:c r="J5313" s="2" t="n">
        <x:v>0</x:v>
      </x:c>
      <x:c r="K5313" s="2"/>
      <x:c r="L5313" s="2"/>
    </x:row>
    <x:row r="5314" ht="22" customHeight="1">
      <x:c r="A5314" s="2"/>
      <x:c r="B5314" s="2" t="n">
        <x:v>5281</x:v>
      </x:c>
      <x:c r="C5314" s="2" t="str">
        <x:v>CRUK</x:v>
      </x:c>
      <x:c r="D5314" s="2" t="str">
        <x:v>CRUK Commission</x:v>
      </x:c>
      <x:c r="E5314" s="11" t="n">
        <x:v>0</x:v>
      </x:c>
      <x:c r="F5314" s="11" t="n">
        <x:v>7933.43</x:v>
      </x:c>
      <x:c r="G5314" s="11" t="n">
        <x:v>-7933.43</x:v>
      </x:c>
      <x:c r="H5314" s="23" t="n">
        <x:v>0</x:v>
      </x:c>
      <x:c r="I5314" s="23" t="n">
        <x:v>1.000000000000004</x:v>
      </x:c>
      <x:c r="J5314" s="2" t="n">
        <x:v>0</x:v>
      </x:c>
      <x:c r="K5314" s="2"/>
      <x:c r="L5314" s="2"/>
    </x:row>
    <x:row r="5315" ht="22" customHeight="1">
      <x:c r="A5315" s="2"/>
      <x:c r="B5315" s="2" t="n">
        <x:v>5282</x:v>
      </x:c>
      <x:c r="C5315" s="2" t="str">
        <x:v>gift_0001_60</x:v>
      </x:c>
      <x:c r="D5315" s="2" t="str">
        <x:v>Description unavailable</x:v>
      </x:c>
      <x:c r="E5315" s="11" t="n">
        <x:v>0</x:v>
      </x:c>
      <x:c r="F5315" s="11" t="n">
        <x:v>0</x:v>
      </x:c>
      <x:c r="G5315" s="11" t="n">
        <x:v>0</x:v>
      </x:c>
      <x:c r="H5315" s="23" t="n">
        <x:v>0</x:v>
      </x:c>
      <x:c r="I5315" s="23" t="n">
        <x:v>1.000000000000004</x:v>
      </x:c>
      <x:c r="J5315" s="2" t="n">
        <x:v>0</x:v>
      </x:c>
      <x:c r="K5315" s="2"/>
      <x:c r="L5315" s="2"/>
    </x:row>
    <x:row r="5316" ht="22" customHeight="1">
      <x:c r="A5316" s="2"/>
      <x:c r="B5316" s="2" t="n">
        <x:v>5283</x:v>
      </x:c>
      <x:c r="C5316" s="2" t="str">
        <x:v>DCGSLBOY</x:v>
      </x:c>
      <x:c r="D5316" s="2" t="str">
        <x:v>Description unavailable</x:v>
      </x:c>
      <x:c r="E5316" s="11" t="n">
        <x:v>0</x:v>
      </x:c>
      <x:c r="F5316" s="11" t="n">
        <x:v>0</x:v>
      </x:c>
      <x:c r="G5316" s="11" t="n">
        <x:v>0</x:v>
      </x:c>
      <x:c r="H5316" s="23" t="n">
        <x:v>0</x:v>
      </x:c>
      <x:c r="I5316" s="23" t="n">
        <x:v>1.000000000000004</x:v>
      </x:c>
      <x:c r="J5316" s="2" t="n">
        <x:v>0</x:v>
      </x:c>
      <x:c r="K5316" s="2"/>
      <x:c r="L5316" s="2"/>
    </x:row>
    <x:row r="5317" ht="22" customHeight="1">
      <x:c r="A5317" s="2"/>
      <x:c r="B5317" s="2" t="n">
        <x:v>5284</x:v>
      </x:c>
      <x:c r="C5317" s="2" t="str">
        <x:v>20710</x:v>
      </x:c>
      <x:c r="D5317" s="2" t="str">
        <x:v>Description unavailable</x:v>
      </x:c>
      <x:c r="E5317" s="11" t="n">
        <x:v>0</x:v>
      </x:c>
      <x:c r="F5317" s="11" t="n">
        <x:v>0</x:v>
      </x:c>
      <x:c r="G5317" s="11" t="n">
        <x:v>0</x:v>
      </x:c>
      <x:c r="H5317" s="23" t="n">
        <x:v>0</x:v>
      </x:c>
      <x:c r="I5317" s="23" t="n">
        <x:v>1.000000000000004</x:v>
      </x:c>
      <x:c r="J5317" s="2" t="n">
        <x:v>0</x:v>
      </x:c>
      <x:c r="K5317" s="2"/>
      <x:c r="L5317" s="2"/>
    </x:row>
    <x:row r="5318" ht="22" customHeight="1">
      <x:c r="A5318" s="2"/>
      <x:c r="B5318" s="2" t="n">
        <x:v>5285</x:v>
      </x:c>
      <x:c r="C5318" s="2" t="str">
        <x:v>35925</x:v>
      </x:c>
      <x:c r="D5318" s="2" t="str">
        <x:v>Description unavailable</x:v>
      </x:c>
      <x:c r="E5318" s="11" t="n">
        <x:v>0</x:v>
      </x:c>
      <x:c r="F5318" s="11" t="n">
        <x:v>0</x:v>
      </x:c>
      <x:c r="G5318" s="11" t="n">
        <x:v>0</x:v>
      </x:c>
      <x:c r="H5318" s="23" t="n">
        <x:v>0</x:v>
      </x:c>
      <x:c r="I5318" s="23" t="n">
        <x:v>1.000000000000004</x:v>
      </x:c>
      <x:c r="J5318" s="2" t="n">
        <x:v>0</x:v>
      </x:c>
      <x:c r="K5318" s="2"/>
      <x:c r="L5318" s="2"/>
    </x:row>
    <x:row r="5319" ht="22" customHeight="1">
      <x:c r="A5319" s="2"/>
      <x:c r="B5319" s="2" t="n">
        <x:v>5286</x:v>
      </x:c>
      <x:c r="C5319" s="2" t="str">
        <x:v>35926</x:v>
      </x:c>
      <x:c r="D5319" s="2" t="str">
        <x:v>Description unavailable</x:v>
      </x:c>
      <x:c r="E5319" s="11" t="n">
        <x:v>0</x:v>
      </x:c>
      <x:c r="F5319" s="11" t="n">
        <x:v>0</x:v>
      </x:c>
      <x:c r="G5319" s="11" t="n">
        <x:v>0</x:v>
      </x:c>
      <x:c r="H5319" s="23" t="n">
        <x:v>0</x:v>
      </x:c>
      <x:c r="I5319" s="23" t="n">
        <x:v>1.000000000000004</x:v>
      </x:c>
      <x:c r="J5319" s="2" t="n">
        <x:v>0</x:v>
      </x:c>
      <x:c r="K5319" s="2"/>
      <x:c r="L5319" s="2"/>
    </x:row>
    <x:row r="5320" ht="22" customHeight="1">
      <x:c r="A5320" s="2"/>
      <x:c r="B5320" s="2" t="n">
        <x:v>5287</x:v>
      </x:c>
      <x:c r="C5320" s="2" t="str">
        <x:v>35935</x:v>
      </x:c>
      <x:c r="D5320" s="2" t="str">
        <x:v>Description unavailable</x:v>
      </x:c>
      <x:c r="E5320" s="11" t="n">
        <x:v>0</x:v>
      </x:c>
      <x:c r="F5320" s="11" t="n">
        <x:v>0</x:v>
      </x:c>
      <x:c r="G5320" s="11" t="n">
        <x:v>0</x:v>
      </x:c>
      <x:c r="H5320" s="23" t="n">
        <x:v>0</x:v>
      </x:c>
      <x:c r="I5320" s="23" t="n">
        <x:v>1.000000000000004</x:v>
      </x:c>
      <x:c r="J5320" s="2" t="n">
        <x:v>0</x:v>
      </x:c>
      <x:c r="K5320" s="2"/>
      <x:c r="L5320" s="2"/>
    </x:row>
    <x:row r="5321" ht="22" customHeight="1">
      <x:c r="A5321" s="2"/>
      <x:c r="B5321" s="2" t="n">
        <x:v>5288</x:v>
      </x:c>
      <x:c r="C5321" s="2" t="str">
        <x:v>47595B</x:v>
      </x:c>
      <x:c r="D5321" s="2" t="str">
        <x:v>Description unavailable</x:v>
      </x:c>
      <x:c r="E5321" s="11" t="n">
        <x:v>0</x:v>
      </x:c>
      <x:c r="F5321" s="11" t="n">
        <x:v>0</x:v>
      </x:c>
      <x:c r="G5321" s="11" t="n">
        <x:v>0</x:v>
      </x:c>
      <x:c r="H5321" s="23" t="n">
        <x:v>0</x:v>
      </x:c>
      <x:c r="I5321" s="23" t="n">
        <x:v>1.000000000000004</x:v>
      </x:c>
      <x:c r="J5321" s="2" t="n">
        <x:v>0</x:v>
      </x:c>
      <x:c r="K5321" s="2"/>
      <x:c r="L5321" s="2"/>
    </x:row>
    <x:row r="5322" ht="22" customHeight="1">
      <x:c r="A5322" s="2"/>
      <x:c r="B5322" s="2" t="n">
        <x:v>5289</x:v>
      </x:c>
      <x:c r="C5322" s="2" t="str">
        <x:v>84402C</x:v>
      </x:c>
      <x:c r="D5322" s="2" t="str">
        <x:v>Description unavailable</x:v>
      </x:c>
      <x:c r="E5322" s="11" t="n">
        <x:v>0</x:v>
      </x:c>
      <x:c r="F5322" s="11" t="n">
        <x:v>0</x:v>
      </x:c>
      <x:c r="G5322" s="11" t="n">
        <x:v>0</x:v>
      </x:c>
      <x:c r="H5322" s="23" t="n">
        <x:v>0</x:v>
      </x:c>
      <x:c r="I5322" s="23" t="n">
        <x:v>1.000000000000004</x:v>
      </x:c>
      <x:c r="J5322" s="2" t="n">
        <x:v>0</x:v>
      </x:c>
      <x:c r="K5322" s="2"/>
      <x:c r="L5322" s="2"/>
    </x:row>
    <x:row r="5323" ht="22" customHeight="1">
      <x:c r="A5323" s="2"/>
      <x:c r="B5323" s="2" t="n">
        <x:v>5290</x:v>
      </x:c>
      <x:c r="C5323" s="2" t="str">
        <x:v>84439B</x:v>
      </x:c>
      <x:c r="D5323" s="2" t="str">
        <x:v>Description unavailable</x:v>
      </x:c>
      <x:c r="E5323" s="11" t="n">
        <x:v>0</x:v>
      </x:c>
      <x:c r="F5323" s="11" t="n">
        <x:v>0</x:v>
      </x:c>
      <x:c r="G5323" s="11" t="n">
        <x:v>0</x:v>
      </x:c>
      <x:c r="H5323" s="23" t="n">
        <x:v>0</x:v>
      </x:c>
      <x:c r="I5323" s="23" t="n">
        <x:v>1.000000000000004</x:v>
      </x:c>
      <x:c r="J5323" s="2" t="n">
        <x:v>0</x:v>
      </x:c>
      <x:c r="K5323" s="2"/>
      <x:c r="L5323" s="2"/>
    </x:row>
    <x:row r="5324" ht="22" customHeight="1">
      <x:c r="A5324" s="2"/>
      <x:c r="B5324" s="2" t="n">
        <x:v>5291</x:v>
      </x:c>
      <x:c r="C5324" s="2" t="str">
        <x:v>84440B</x:v>
      </x:c>
      <x:c r="D5324" s="2" t="str">
        <x:v>Description unavailable</x:v>
      </x:c>
      <x:c r="E5324" s="11" t="n">
        <x:v>0</x:v>
      </x:c>
      <x:c r="F5324" s="11" t="n">
        <x:v>0</x:v>
      </x:c>
      <x:c r="G5324" s="11" t="n">
        <x:v>0</x:v>
      </x:c>
      <x:c r="H5324" s="23" t="n">
        <x:v>0</x:v>
      </x:c>
      <x:c r="I5324" s="23" t="n">
        <x:v>1.000000000000004</x:v>
      </x:c>
      <x:c r="J5324" s="2" t="n">
        <x:v>0</x:v>
      </x:c>
      <x:c r="K5324" s="2"/>
      <x:c r="L5324" s="2"/>
    </x:row>
    <x:row r="5325" ht="22" customHeight="1">
      <x:c r="A5325" s="2"/>
      <x:c r="B5325" s="2" t="n">
        <x:v>5292</x:v>
      </x:c>
      <x:c r="C5325" s="2" t="str">
        <x:v>84444C</x:v>
      </x:c>
      <x:c r="D5325" s="2" t="str">
        <x:v>Description unavailable</x:v>
      </x:c>
      <x:c r="E5325" s="11" t="n">
        <x:v>0</x:v>
      </x:c>
      <x:c r="F5325" s="11" t="n">
        <x:v>0</x:v>
      </x:c>
      <x:c r="G5325" s="11" t="n">
        <x:v>0</x:v>
      </x:c>
      <x:c r="H5325" s="23" t="n">
        <x:v>0</x:v>
      </x:c>
      <x:c r="I5325" s="23" t="n">
        <x:v>1.000000000000004</x:v>
      </x:c>
      <x:c r="J5325" s="2" t="n">
        <x:v>0</x:v>
      </x:c>
      <x:c r="K5325" s="2"/>
      <x:c r="L5325" s="2"/>
    </x:row>
    <x:row r="5326" ht="22" customHeight="1">
      <x:c r="A5326" s="2"/>
      <x:c r="B5326" s="2" t="n">
        <x:v>5293</x:v>
      </x:c>
      <x:c r="C5326" s="2" t="str">
        <x:v>84448</x:v>
      </x:c>
      <x:c r="D5326" s="2" t="str">
        <x:v>Description unavailable</x:v>
      </x:c>
      <x:c r="E5326" s="11" t="n">
        <x:v>0</x:v>
      </x:c>
      <x:c r="F5326" s="11" t="n">
        <x:v>0</x:v>
      </x:c>
      <x:c r="G5326" s="11" t="n">
        <x:v>0</x:v>
      </x:c>
      <x:c r="H5326" s="23" t="n">
        <x:v>0</x:v>
      </x:c>
      <x:c r="I5326" s="23" t="n">
        <x:v>1.000000000000004</x:v>
      </x:c>
      <x:c r="J5326" s="2" t="n">
        <x:v>0</x:v>
      </x:c>
      <x:c r="K5326" s="2"/>
      <x:c r="L5326" s="2"/>
    </x:row>
    <x:row r="5327" ht="22" customHeight="1">
      <x:c r="A5327" s="2"/>
      <x:c r="B5327" s="2" t="n">
        <x:v>5294</x:v>
      </x:c>
      <x:c r="C5327" s="2" t="str">
        <x:v>84449</x:v>
      </x:c>
      <x:c r="D5327" s="2" t="str">
        <x:v>Description unavailable</x:v>
      </x:c>
      <x:c r="E5327" s="11" t="n">
        <x:v>0</x:v>
      </x:c>
      <x:c r="F5327" s="11" t="n">
        <x:v>0</x:v>
      </x:c>
      <x:c r="G5327" s="11" t="n">
        <x:v>0</x:v>
      </x:c>
      <x:c r="H5327" s="23" t="n">
        <x:v>0</x:v>
      </x:c>
      <x:c r="I5327" s="23" t="n">
        <x:v>1.000000000000004</x:v>
      </x:c>
      <x:c r="J5327" s="2" t="n">
        <x:v>0</x:v>
      </x:c>
      <x:c r="K5327" s="2"/>
      <x:c r="L5327" s="2"/>
    </x:row>
    <x:row r="5328" ht="22" customHeight="1">
      <x:c r="A5328" s="2"/>
      <x:c r="B5328" s="2" t="n">
        <x:v>5295</x:v>
      </x:c>
      <x:c r="C5328" s="2" t="str">
        <x:v>84460A</x:v>
      </x:c>
      <x:c r="D5328" s="2" t="str">
        <x:v>Description unavailable</x:v>
      </x:c>
      <x:c r="E5328" s="11" t="n">
        <x:v>0</x:v>
      </x:c>
      <x:c r="F5328" s="11" t="n">
        <x:v>0</x:v>
      </x:c>
      <x:c r="G5328" s="11" t="n">
        <x:v>0</x:v>
      </x:c>
      <x:c r="H5328" s="23" t="n">
        <x:v>0</x:v>
      </x:c>
      <x:c r="I5328" s="23" t="n">
        <x:v>1.000000000000004</x:v>
      </x:c>
      <x:c r="J5328" s="2" t="n">
        <x:v>0</x:v>
      </x:c>
      <x:c r="K5328" s="2"/>
      <x:c r="L5328" s="2"/>
    </x:row>
    <x:row r="5329" ht="22" customHeight="1">
      <x:c r="A5329" s="2"/>
      <x:c r="B5329" s="2" t="n">
        <x:v>5296</x:v>
      </x:c>
      <x:c r="C5329" s="2" t="str">
        <x:v>84597A</x:v>
      </x:c>
      <x:c r="D5329" s="2" t="str">
        <x:v>Description unavailable</x:v>
      </x:c>
      <x:c r="E5329" s="11" t="n">
        <x:v>0</x:v>
      </x:c>
      <x:c r="F5329" s="11" t="n">
        <x:v>0</x:v>
      </x:c>
      <x:c r="G5329" s="11" t="n">
        <x:v>0</x:v>
      </x:c>
      <x:c r="H5329" s="23" t="n">
        <x:v>0</x:v>
      </x:c>
      <x:c r="I5329" s="23" t="n">
        <x:v>1.000000000000004</x:v>
      </x:c>
      <x:c r="J5329" s="2" t="n">
        <x:v>0</x:v>
      </x:c>
      <x:c r="K5329" s="2"/>
      <x:c r="L5329" s="2"/>
    </x:row>
    <x:row r="5330" ht="22" customHeight="1">
      <x:c r="A5330" s="2"/>
      <x:c r="B5330" s="2" t="n">
        <x:v>5297</x:v>
      </x:c>
      <x:c r="C5330" s="2" t="str">
        <x:v>84600A</x:v>
      </x:c>
      <x:c r="D5330" s="2" t="str">
        <x:v>Description unavailable</x:v>
      </x:c>
      <x:c r="E5330" s="11" t="n">
        <x:v>0</x:v>
      </x:c>
      <x:c r="F5330" s="11" t="n">
        <x:v>0</x:v>
      </x:c>
      <x:c r="G5330" s="11" t="n">
        <x:v>0</x:v>
      </x:c>
      <x:c r="H5330" s="23" t="n">
        <x:v>0</x:v>
      </x:c>
      <x:c r="I5330" s="23" t="n">
        <x:v>1.000000000000004</x:v>
      </x:c>
      <x:c r="J5330" s="2" t="n">
        <x:v>0</x:v>
      </x:c>
      <x:c r="K5330" s="2"/>
      <x:c r="L5330" s="2"/>
    </x:row>
    <x:row r="5331" ht="22" customHeight="1">
      <x:c r="A5331" s="2"/>
      <x:c r="B5331" s="2" t="n">
        <x:v>5298</x:v>
      </x:c>
      <x:c r="C5331" s="2" t="str">
        <x:v>15002</x:v>
      </x:c>
      <x:c r="D5331" s="2" t="str">
        <x:v>rex use</x:v>
      </x:c>
      <x:c r="E5331" s="11" t="n">
        <x:v>0</x:v>
      </x:c>
      <x:c r="F5331" s="11" t="n">
        <x:v>0</x:v>
      </x:c>
      <x:c r="G5331" s="11" t="n">
        <x:v>0</x:v>
      </x:c>
      <x:c r="H5331" s="23" t="n">
        <x:v>0</x:v>
      </x:c>
      <x:c r="I5331" s="23" t="n">
        <x:v>1.000000000000004</x:v>
      </x:c>
      <x:c r="J5331" s="2" t="n">
        <x:v>0</x:v>
      </x:c>
      <x:c r="K5331" s="2"/>
      <x:c r="L5331" s="2"/>
    </x:row>
    <x:row r="5332" ht="22" customHeight="1">
      <x:c r="A5332" s="2"/>
      <x:c r="B5332" s="2" t="n">
        <x:v>5299</x:v>
      </x:c>
      <x:c r="C5332" s="2" t="str">
        <x:v>GIFT</x:v>
      </x:c>
      <x:c r="D5332" s="2" t="str">
        <x:v>Description unavailable</x:v>
      </x:c>
      <x:c r="E5332" s="11" t="n">
        <x:v>0</x:v>
      </x:c>
      <x:c r="F5332" s="11" t="n">
        <x:v>0</x:v>
      </x:c>
      <x:c r="G5332" s="11" t="n">
        <x:v>0</x:v>
      </x:c>
      <x:c r="H5332" s="23" t="n">
        <x:v>0</x:v>
      </x:c>
      <x:c r="I5332" s="23" t="n">
        <x:v>1.000000000000004</x:v>
      </x:c>
      <x:c r="J5332" s="2" t="n">
        <x:v>0</x:v>
      </x:c>
      <x:c r="K5332" s="2"/>
      <x:c r="L5332" s="2"/>
    </x:row>
    <x:row r="5333" ht="22" customHeight="1">
      <x:c r="A5333" s="2"/>
      <x:c r="B5333" s="2" t="n">
        <x:v>5300</x:v>
      </x:c>
      <x:c r="C5333" s="2" t="str">
        <x:v>17017</x:v>
      </x:c>
      <x:c r="D5333" s="2" t="str">
        <x:v>Description unavailable</x:v>
      </x:c>
      <x:c r="E5333" s="11" t="n">
        <x:v>0</x:v>
      </x:c>
      <x:c r="F5333" s="11" t="n">
        <x:v>0</x:v>
      </x:c>
      <x:c r="G5333" s="11" t="n">
        <x:v>0</x:v>
      </x:c>
      <x:c r="H5333" s="23" t="n">
        <x:v>0</x:v>
      </x:c>
      <x:c r="I5333" s="23" t="n">
        <x:v>1.000000000000004</x:v>
      </x:c>
      <x:c r="J5333" s="2" t="n">
        <x:v>0</x:v>
      </x:c>
      <x:c r="K5333" s="2"/>
      <x:c r="L5333" s="2"/>
    </x:row>
    <x:row r="5334" ht="22" customHeight="1">
      <x:c r="A5334" s="2"/>
      <x:c r="B5334" s="2" t="n">
        <x:v>5301</x:v>
      </x:c>
      <x:c r="C5334" s="2" t="str">
        <x:v>84571</x:v>
      </x:c>
      <x:c r="D5334" s="2" t="str">
        <x:v>Description unavailable</x:v>
      </x:c>
      <x:c r="E5334" s="11" t="n">
        <x:v>0</x:v>
      </x:c>
      <x:c r="F5334" s="11" t="n">
        <x:v>0</x:v>
      </x:c>
      <x:c r="G5334" s="11" t="n">
        <x:v>0</x:v>
      </x:c>
      <x:c r="H5334" s="23" t="n">
        <x:v>0</x:v>
      </x:c>
      <x:c r="I5334" s="23" t="n">
        <x:v>1.000000000000004</x:v>
      </x:c>
      <x:c r="J5334" s="2" t="n">
        <x:v>0</x:v>
      </x:c>
      <x:c r="K5334" s="2"/>
      <x:c r="L5334" s="2"/>
    </x:row>
    <x:row r="5335" ht="22" customHeight="1">
      <x:c r="A5335" s="2"/>
      <x:c r="B5335" s="2" t="n">
        <x:v>5302</x:v>
      </x:c>
      <x:c r="C5335" s="2" t="str">
        <x:v>84585L</x:v>
      </x:c>
      <x:c r="D5335" s="2" t="str">
        <x:v>Description unavailable</x:v>
      </x:c>
      <x:c r="E5335" s="11" t="n">
        <x:v>0</x:v>
      </x:c>
      <x:c r="F5335" s="11" t="n">
        <x:v>0</x:v>
      </x:c>
      <x:c r="G5335" s="11" t="n">
        <x:v>0</x:v>
      </x:c>
      <x:c r="H5335" s="23" t="n">
        <x:v>0</x:v>
      </x:c>
      <x:c r="I5335" s="23" t="n">
        <x:v>1.000000000000004</x:v>
      </x:c>
      <x:c r="J5335" s="2" t="n">
        <x:v>0</x:v>
      </x:c>
      <x:c r="K5335" s="2"/>
      <x:c r="L5335" s="2"/>
    </x:row>
    <x:row r="5336" ht="22" customHeight="1">
      <x:c r="A5336" s="2"/>
      <x:c r="B5336" s="2" t="n">
        <x:v>5303</x:v>
      </x:c>
      <x:c r="C5336" s="2" t="str">
        <x:v>23595</x:v>
      </x:c>
      <x:c r="D5336" s="2" t="str">
        <x:v>re-adjustment</x:v>
      </x:c>
      <x:c r="E5336" s="11" t="n">
        <x:v>0</x:v>
      </x:c>
      <x:c r="F5336" s="11" t="n">
        <x:v>0</x:v>
      </x:c>
      <x:c r="G5336" s="11" t="n">
        <x:v>0</x:v>
      </x:c>
      <x:c r="H5336" s="23" t="n">
        <x:v>0</x:v>
      </x:c>
      <x:c r="I5336" s="23" t="n">
        <x:v>1.000000000000004</x:v>
      </x:c>
      <x:c r="J5336" s="2" t="n">
        <x:v>0</x:v>
      </x:c>
      <x:c r="K5336" s="2"/>
      <x:c r="L5336" s="2"/>
    </x:row>
    <x:row r="5337" ht="22" customHeight="1">
      <x:c r="A5337" s="2"/>
      <x:c r="B5337" s="2" t="n">
        <x:v>5304</x:v>
      </x:c>
      <x:c r="C5337" s="2" t="str">
        <x:v>84558B</x:v>
      </x:c>
      <x:c r="D5337" s="2" t="str">
        <x:v>Description unavailable</x:v>
      </x:c>
      <x:c r="E5337" s="11" t="n">
        <x:v>0</x:v>
      </x:c>
      <x:c r="F5337" s="11" t="n">
        <x:v>0</x:v>
      </x:c>
      <x:c r="G5337" s="11" t="n">
        <x:v>0</x:v>
      </x:c>
      <x:c r="H5337" s="23" t="n">
        <x:v>0</x:v>
      </x:c>
      <x:c r="I5337" s="23" t="n">
        <x:v>1.000000000000004</x:v>
      </x:c>
      <x:c r="J5337" s="2" t="n">
        <x:v>0</x:v>
      </x:c>
      <x:c r="K5337" s="2"/>
      <x:c r="L5337" s="2"/>
    </x:row>
    <x:row r="5338" ht="23" customHeight="1">
      <x:c r="A5338" s="2"/>
      <x:c r="B5338" s="2"/>
      <x:c r="C5338" s="2"/>
      <x:c r="D5338" s="2"/>
      <x:c r="E5338" s="2"/>
      <x:c r="F5338" s="2"/>
      <x:c r="G5338" s="2"/>
      <x:c r="H5338" s="2"/>
      <x:c r="I5338" s="2"/>
      <x:c r="J5338" s="2"/>
      <x:c r="K5338" s="2"/>
      <x:c r="L5338" s="2"/>
    </x:row>
    <x:row r="5339" ht="23" customHeight="1">
      <x:c r="A5339" s="2"/>
      <x:c r="B5339" s="2"/>
      <x:c r="C5339" s="2"/>
      <x:c r="D5339" s="2"/>
      <x:c r="E5339" s="2"/>
      <x:c r="F5339" s="2"/>
      <x:c r="G5339" s="2"/>
      <x:c r="H5339" s="2"/>
      <x:c r="I5339" s="2"/>
      <x:c r="J5339" s="2"/>
      <x:c r="K5339" s="2"/>
      <x:c r="L5339" s="2"/>
    </x:row>
    <x:row r="5340" ht="23" customHeight="1">
      <x:c r="A5340" s="2"/>
      <x:c r="B5340" s="2"/>
      <x:c r="C5340" s="2"/>
      <x:c r="D5340" s="2"/>
      <x:c r="E5340" s="2"/>
      <x:c r="F5340" s="2"/>
      <x:c r="G5340" s="2"/>
      <x:c r="H5340" s="2"/>
      <x:c r="I5340" s="2"/>
      <x:c r="J5340" s="2"/>
      <x:c r="K5340" s="2"/>
      <x:c r="L5340" s="2"/>
    </x:row>
    <x:row r="5341" ht="23" customHeight="1">
      <x:c r="A5341" s="2"/>
      <x:c r="B5341" s="2"/>
      <x:c r="C5341" s="2"/>
      <x:c r="D5341" s="2"/>
      <x:c r="E5341" s="2"/>
      <x:c r="F5341" s="2"/>
      <x:c r="G5341" s="2"/>
      <x:c r="H5341" s="2"/>
      <x:c r="I5341" s="2"/>
      <x:c r="J5341" s="2"/>
      <x:c r="K5341" s="2"/>
      <x:c r="L5341" s="2"/>
    </x:row>
  </x:sheetData>
  <x:mergeCells>
    <x:mergeCell ref="B2:L3"/>
    <x:mergeCell ref="B4:L4"/>
    <x:mergeCell ref="B6:E6"/>
    <x:mergeCell ref="B7:E8"/>
    <x:mergeCell ref="G6:L6"/>
    <x:mergeCell ref="G7:L8"/>
    <x:mergeCell ref="B28:L30"/>
  </x:mergeCells>
  <x:pageMargins left="0.7" right="0.7" top="0.75" bottom="0.75" header="0.3" footer="0.3"/>
  <x:drawing xmlns:r="http://schemas.openxmlformats.org/officeDocument/2006/relationships" r:id="Rb9ca692477764282"/>
  <x:tableParts count="2">
    <x:tablePart xmlns:r="http://schemas.openxmlformats.org/officeDocument/2006/relationships" r:id="R649e9941604c4577"/>
    <x:tablePart xmlns:r="http://schemas.openxmlformats.org/officeDocument/2006/relationships" r:id="Rf5dc22470205443a"/>
  </x:tableParts>
</x:worksheet>
</file>

<file path=xl/worksheets/sheet4.xml><?xml version="1.0" encoding="utf-8"?>
<x:worksheet xmlns:x="http://schemas.openxmlformats.org/spreadsheetml/2006/main">
  <x:sheetPr>
    <x:tabColor rgb="FF20364D"/>
  </x:sheetPr>
  <x:sheetViews>
    <x:sheetView showGridLines="0" workbookViewId="0">
      <x:pane ySplit="5" topLeftCell="A6" activePane="bottomLeft" state="frozen"/>
    </x:sheetView>
  </x:sheetViews>
  <x:sheetFormatPr defaultRowHeight="15"/>
  <x:cols>
    <x:col min="1" max="1" width="3" hidden="0" customWidth="1"/>
    <x:col min="2" max="2" width="25" hidden="0" customWidth="1"/>
    <x:col min="3" max="3" width="25" hidden="0" customWidth="1"/>
    <x:col min="4" max="4" width="18" hidden="0" customWidth="1"/>
    <x:col min="5" max="5" width="18" hidden="0" customWidth="1"/>
    <x:col min="6" max="6" width="13" hidden="0" customWidth="1"/>
    <x:col min="7" max="7" width="13" hidden="0" customWidth="1"/>
    <x:col min="8" max="8" width="18" hidden="0" customWidth="1"/>
    <x:col min="9" max="9" width="7" hidden="0" customWidth="1"/>
    <x:col min="10" max="10" width="7" hidden="0" customWidth="1"/>
    <x:col min="11" max="11" width="7" hidden="0" customWidth="1"/>
    <x:col min="12" max="12" width="25" hidden="0" customWidth="1"/>
  </x:cols>
  <x:sheetData>
    <x:row r="1" ht="23" customHeight="1">
      <x:c r="A1" s="2"/>
      <x:c r="B1" s="2"/>
      <x:c r="C1" s="2"/>
      <x:c r="D1" s="2"/>
      <x:c r="E1" s="2"/>
      <x:c r="F1" s="2"/>
      <x:c r="G1" s="2"/>
      <x:c r="H1" s="2"/>
      <x:c r="I1" s="2"/>
      <x:c r="J1" s="2"/>
      <x:c r="K1" s="2"/>
      <x:c r="L1" s="2"/>
    </x:row>
    <x:row r="2" ht="23" customHeight="1">
      <x:c r="A2" s="2"/>
      <x:c r="B2" s="4" t="str">
        <x:v>Customer RFM segments</x:v>
      </x:c>
      <x:c r="C2" s="4" t="str">
        <x:v>Customer RFM segments</x:v>
      </x:c>
      <x:c r="D2" s="4" t="str">
        <x:v>Customer RFM segments</x:v>
      </x:c>
      <x:c r="E2" s="4" t="str">
        <x:v>Customer RFM segments</x:v>
      </x:c>
      <x:c r="F2" s="4" t="str">
        <x:v>Customer RFM segments</x:v>
      </x:c>
      <x:c r="G2" s="4" t="str">
        <x:v>Customer RFM segments</x:v>
      </x:c>
      <x:c r="H2" s="4" t="str">
        <x:v>Customer RFM segments</x:v>
      </x:c>
      <x:c r="I2" s="4" t="str">
        <x:v>Customer RFM segments</x:v>
      </x:c>
      <x:c r="J2" s="4" t="str">
        <x:v>Customer RFM segments</x:v>
      </x:c>
      <x:c r="K2" s="4" t="str">
        <x:v>Customer RFM segments</x:v>
      </x:c>
      <x:c r="L2" s="4" t="str">
        <x:v>Customer RFM segments</x:v>
      </x:c>
    </x:row>
    <x:row r="3" ht="23" customHeight="1">
      <x:c r="A3" s="2"/>
      <x:c r="B3" s="5" t="str">
        <x:v>Customer RFM segments</x:v>
      </x:c>
      <x:c r="C3" s="5" t="str">
        <x:v>Customer RFM segments</x:v>
      </x:c>
      <x:c r="D3" s="5" t="str">
        <x:v>Customer RFM segments</x:v>
      </x:c>
      <x:c r="E3" s="5" t="str">
        <x:v>Customer RFM segments</x:v>
      </x:c>
      <x:c r="F3" s="5" t="str">
        <x:v>Customer RFM segments</x:v>
      </x:c>
      <x:c r="G3" s="5" t="str">
        <x:v>Customer RFM segments</x:v>
      </x:c>
      <x:c r="H3" s="5" t="str">
        <x:v>Customer RFM segments</x:v>
      </x:c>
      <x:c r="I3" s="5" t="str">
        <x:v>Customer RFM segments</x:v>
      </x:c>
      <x:c r="J3" s="5" t="str">
        <x:v>Customer RFM segments</x:v>
      </x:c>
      <x:c r="K3" s="5" t="str">
        <x:v>Customer RFM segments</x:v>
      </x:c>
      <x:c r="L3" s="5" t="str">
        <x:v>Customer RFM segments</x:v>
      </x:c>
    </x:row>
    <x:row r="4" ht="23" customHeight="1">
      <x:c r="A4" s="2"/>
      <x:c r="B4" s="7" t="str">
        <x:v>Identified positive purchasers. Fixed reference date: 2011-12-10. Monetary = gross purchases, GBP.</x:v>
      </x:c>
      <x:c r="C4" s="7" t="str">
        <x:v>Identified positive purchasers. Fixed reference date: 2011-12-10. Monetary = gross purchases, GBP.</x:v>
      </x:c>
      <x:c r="D4" s="7" t="str">
        <x:v>Identified positive purchasers. Fixed reference date: 2011-12-10. Monetary = gross purchases, GBP.</x:v>
      </x:c>
      <x:c r="E4" s="7" t="str">
        <x:v>Identified positive purchasers. Fixed reference date: 2011-12-10. Monetary = gross purchases, GBP.</x:v>
      </x:c>
      <x:c r="F4" s="7" t="str">
        <x:v>Identified positive purchasers. Fixed reference date: 2011-12-10. Monetary = gross purchases, GBP.</x:v>
      </x:c>
      <x:c r="G4" s="7" t="str">
        <x:v>Identified positive purchasers. Fixed reference date: 2011-12-10. Monetary = gross purchases, GBP.</x:v>
      </x:c>
      <x:c r="H4" s="7" t="str">
        <x:v>Identified positive purchasers. Fixed reference date: 2011-12-10. Monetary = gross purchases, GBP.</x:v>
      </x:c>
      <x:c r="I4" s="7" t="str">
        <x:v>Identified positive purchasers. Fixed reference date: 2011-12-10. Monetary = gross purchases, GBP.</x:v>
      </x:c>
      <x:c r="J4" s="7" t="str">
        <x:v>Identified positive purchasers. Fixed reference date: 2011-12-10. Monetary = gross purchases, GBP.</x:v>
      </x:c>
      <x:c r="K4" s="7" t="str">
        <x:v>Identified positive purchasers. Fixed reference date: 2011-12-10. Monetary = gross purchases, GBP.</x:v>
      </x:c>
      <x:c r="L4" s="7" t="str">
        <x:v>Identified positive purchasers. Fixed reference date: 2011-12-10. Monetary = gross purchases, GBP.</x:v>
      </x:c>
    </x:row>
    <x:row r="5" ht="23" customHeight="1">
      <x:c r="A5" s="2"/>
      <x:c r="B5" s="2"/>
      <x:c r="C5" s="2"/>
      <x:c r="D5" s="2"/>
      <x:c r="E5" s="2"/>
      <x:c r="F5" s="2"/>
      <x:c r="G5" s="2"/>
      <x:c r="H5" s="2"/>
      <x:c r="I5" s="2"/>
      <x:c r="J5" s="2"/>
      <x:c r="K5" s="2"/>
      <x:c r="L5" s="2"/>
    </x:row>
    <x:row r="6" ht="23" customHeight="1">
      <x:c r="A6" s="2"/>
      <x:c r="B6" s="2"/>
      <x:c r="C6" s="2"/>
      <x:c r="D6" s="2"/>
      <x:c r="E6" s="2"/>
      <x:c r="F6" s="2"/>
      <x:c r="G6" s="2"/>
      <x:c r="H6" s="2"/>
      <x:c r="I6" s="2"/>
      <x:c r="J6" s="2"/>
      <x:c r="K6" s="2"/>
      <x:c r="L6" s="2"/>
    </x:row>
    <x:row r="7" ht="34" customHeight="1">
      <x:c r="A7" s="2"/>
      <x:c r="B7" s="10" t="str">
        <x:v>Segment</x:v>
      </x:c>
      <x:c r="C7" s="10" t="str">
        <x:v>Customers</x:v>
      </x:c>
      <x:c r="D7" s="10" t="str">
        <x:v>Gross sales</x:v>
      </x:c>
      <x:c r="E7" s="10" t="str">
        <x:v>Customer share</x:v>
      </x:c>
      <x:c r="F7" s="2"/>
      <x:c r="G7" s="2"/>
      <x:c r="H7" s="2"/>
      <x:c r="I7" s="2"/>
      <x:c r="J7" s="2"/>
      <x:c r="K7" s="2"/>
      <x:c r="L7" s="2"/>
    </x:row>
    <x:row r="8" ht="22" customHeight="1">
      <x:c r="A8" s="2"/>
      <x:c r="B8" s="2" t="str">
        <x:v>At risk</x:v>
      </x:c>
      <x:c r="C8" s="2" t="n">
        <x:f>COUNTIF($L$39:$L$5916,B8)</x:f>
        <x:v>704</x:v>
      </x:c>
      <x:c r="D8" s="11" t="n">
        <x:f>SUMIF($L$39:$L$5916,B8,$H$39:$H$5916)</x:f>
        <x:v>1523183.2520000022</x:v>
      </x:c>
      <x:c r="E8" s="23" t="n">
        <x:f>C8/COUNTA($B$39:$B$5916)</x:f>
        <x:v>0.11976862878530112</x:v>
      </x:c>
      <x:c r="F8" s="2"/>
      <x:c r="G8" s="2"/>
      <x:c r="H8" s="2"/>
      <x:c r="I8" s="2"/>
      <x:c r="J8" s="2"/>
      <x:c r="K8" s="2"/>
      <x:c r="L8" s="2"/>
    </x:row>
    <x:row r="9" ht="22" customHeight="1">
      <x:c r="A9" s="2"/>
      <x:c r="B9" s="2" t="str">
        <x:v>Champions</x:v>
      </x:c>
      <x:c r="C9" s="2" t="n">
        <x:f>COUNTIF($L$39:$L$5916,B9)</x:f>
        <x:v>1271</x:v>
      </x:c>
      <x:c r="D9" s="11" t="n">
        <x:f>SUMIF($L$39:$L$5916,B9,$H$39:$H$5916)</x:f>
        <x:v>11830252.675000018</x:v>
      </x:c>
      <x:c r="E9" s="23" t="n">
        <x:f>C9/COUNTA($B$39:$B$5916)</x:f>
        <x:v>0.21623001020755359</x:v>
      </x:c>
      <x:c r="F9" s="2"/>
      <x:c r="G9" s="2"/>
      <x:c r="H9" s="2"/>
      <x:c r="I9" s="2"/>
      <x:c r="J9" s="2"/>
      <x:c r="K9" s="2"/>
      <x:c r="L9" s="2"/>
    </x:row>
    <x:row r="10" ht="22" customHeight="1">
      <x:c r="A10" s="2"/>
      <x:c r="B10" s="2" t="str">
        <x:v>Developing</x:v>
      </x:c>
      <x:c r="C10" s="2" t="n">
        <x:f>COUNTIF($L$39:$L$5916,B10)</x:f>
        <x:v>424</x:v>
      </x:c>
      <x:c r="D10" s="11" t="n">
        <x:f>SUMIF($L$39:$L$5916,B10,$H$39:$H$5916)</x:f>
        <x:v>226497.63299999997</x:v>
      </x:c>
      <x:c r="E10" s="23" t="n">
        <x:f>C10/COUNTA($B$39:$B$5916)</x:f>
        <x:v>0.07213337870023817</x:v>
      </x:c>
      <x:c r="F10" s="2"/>
      <x:c r="G10" s="2"/>
      <x:c r="H10" s="2"/>
      <x:c r="I10" s="2"/>
      <x:c r="J10" s="2"/>
      <x:c r="K10" s="2"/>
      <x:c r="L10" s="2"/>
    </x:row>
    <x:row r="11" ht="22" customHeight="1">
      <x:c r="A11" s="2"/>
      <x:c r="B11" s="2" t="str">
        <x:v>Hibernating</x:v>
      </x:c>
      <x:c r="C11" s="2" t="n">
        <x:f>COUNTIF($L$39:$L$5916,B11)</x:f>
        <x:v>1639</x:v>
      </x:c>
      <x:c r="D11" s="11" t="n">
        <x:f>SUMIF($L$39:$L$5916,B11,$H$39:$H$5916)</x:f>
        <x:v>726692.8819999989</x:v>
      </x:c>
      <x:c r="E11" s="23" t="n">
        <x:f>C11/COUNTA($B$39:$B$5916)</x:f>
        <x:v>0.2788363388907792</x:v>
      </x:c>
      <x:c r="F11" s="2"/>
      <x:c r="G11" s="2"/>
      <x:c r="H11" s="2"/>
      <x:c r="I11" s="2"/>
      <x:c r="J11" s="2"/>
      <x:c r="K11" s="2"/>
      <x:c r="L11" s="2"/>
    </x:row>
    <x:row r="12" ht="22" customHeight="1">
      <x:c r="A12" s="2"/>
      <x:c r="B12" s="2" t="str">
        <x:v>Loyal</x:v>
      </x:c>
      <x:c r="C12" s="2" t="n">
        <x:f>COUNTIF($L$39:$L$5916,B12)</x:f>
        <x:v>1336</x:v>
      </x:c>
      <x:c r="D12" s="11" t="n">
        <x:f>SUMIF($L$39:$L$5916,B12,$H$39:$H$5916)</x:f>
        <x:v>2700468.466</x:v>
      </x:c>
      <x:c r="E12" s="23" t="n">
        <x:f>C12/COUNTA($B$39:$B$5916)</x:f>
        <x:v>0.22728819326301464</x:v>
      </x:c>
      <x:c r="F12" s="2"/>
      <x:c r="G12" s="2"/>
      <x:c r="H12" s="2"/>
      <x:c r="I12" s="2"/>
      <x:c r="J12" s="2"/>
      <x:c r="K12" s="2"/>
      <x:c r="L12" s="2"/>
    </x:row>
    <x:row r="13" ht="22" customHeight="1">
      <x:c r="A13" s="2"/>
      <x:c r="B13" s="2" t="str">
        <x:v>Recent light buyers</x:v>
      </x:c>
      <x:c r="C13" s="2" t="n">
        <x:f>COUNTIF($L$39:$L$5916,B13)</x:f>
        <x:v>504</x:v>
      </x:c>
      <x:c r="D13" s="11" t="n">
        <x:f>SUMIF($L$39:$L$5916,B13,$H$39:$H$5916)</x:f>
        <x:v>424456.26999999996</x:v>
      </x:c>
      <x:c r="E13" s="23" t="n">
        <x:f>C13/COUNTA($B$39:$B$5916)</x:f>
        <x:v>0.0857434501531133</x:v>
      </x:c>
      <x:c r="F13" s="2"/>
      <x:c r="G13" s="2"/>
      <x:c r="H13" s="2"/>
      <x:c r="I13" s="2"/>
      <x:c r="J13" s="2"/>
      <x:c r="K13" s="2"/>
      <x:c r="L13" s="2"/>
    </x:row>
    <x:row r="14" ht="23" customHeight="1">
      <x:c r="A14" s="2"/>
      <x:c r="B14" s="2"/>
      <x:c r="C14" s="2"/>
      <x:c r="D14" s="2"/>
      <x:c r="E14" s="2"/>
      <x:c r="F14" s="2"/>
      <x:c r="G14" s="2"/>
      <x:c r="H14" s="2"/>
      <x:c r="I14" s="2"/>
      <x:c r="J14" s="2"/>
      <x:c r="K14" s="2"/>
      <x:c r="L14" s="2"/>
    </x:row>
    <x:row r="15" ht="23" customHeight="1">
      <x:c r="A15" s="2"/>
      <x:c r="B15" s="2"/>
      <x:c r="C15" s="2"/>
      <x:c r="D15" s="2"/>
      <x:c r="E15" s="2"/>
      <x:c r="F15" s="2"/>
      <x:c r="G15" s="2"/>
      <x:c r="H15" s="2"/>
      <x:c r="I15" s="2"/>
      <x:c r="J15" s="2"/>
      <x:c r="K15" s="2"/>
      <x:c r="L15" s="2"/>
    </x:row>
    <x:row r="16" ht="23" customHeight="1">
      <x:c r="A16" s="2"/>
      <x:c r="B16" s="2" t="str">
        <x:v>Choose segment</x:v>
      </x:c>
      <x:c r="C16" s="2"/>
      <x:c r="D16" s="2"/>
      <x:c r="E16" s="2"/>
      <x:c r="F16" s="2"/>
      <x:c r="G16" s="2"/>
      <x:c r="H16" s="2"/>
      <x:c r="I16" s="2"/>
      <x:c r="J16" s="2"/>
      <x:c r="K16" s="2"/>
      <x:c r="L16" s="2"/>
    </x:row>
    <x:row r="17" ht="23" customHeight="1">
      <x:c r="A17" s="2"/>
      <x:c r="B17" s="18" t="str">
        <x:v>Champions</x:v>
      </x:c>
      <x:c r="C17" s="2"/>
      <x:c r="D17" s="2"/>
      <x:c r="E17" s="2"/>
      <x:c r="F17" s="2"/>
      <x:c r="G17" s="2"/>
      <x:c r="H17" s="2"/>
      <x:c r="I17" s="2"/>
      <x:c r="J17" s="2"/>
      <x:c r="K17" s="2"/>
      <x:c r="L17" s="2"/>
    </x:row>
    <x:row r="18" ht="23" customHeight="1">
      <x:c r="A18" s="2"/>
      <x:c r="B18" s="2"/>
      <x:c r="C18" s="2"/>
      <x:c r="D18" s="2"/>
      <x:c r="E18" s="2"/>
      <x:c r="F18" s="2"/>
      <x:c r="G18" s="2"/>
      <x:c r="H18" s="2"/>
      <x:c r="I18" s="2"/>
      <x:c r="J18" s="2"/>
      <x:c r="K18" s="2"/>
      <x:c r="L18" s="2"/>
    </x:row>
    <x:row r="19" ht="23" customHeight="1">
      <x:c r="A19" s="2"/>
      <x:c r="B19" s="7" t="str">
        <x:v>Selected segment customers</x:v>
      </x:c>
      <x:c r="C19" s="7" t="str">
        <x:v>Selected segment customers</x:v>
      </x:c>
      <x:c r="D19" s="7" t="str">
        <x:v>Selected segment customers</x:v>
      </x:c>
      <x:c r="E19" s="2"/>
      <x:c r="F19" s="2"/>
      <x:c r="G19" s="2"/>
      <x:c r="H19" s="2"/>
      <x:c r="I19" s="2"/>
      <x:c r="J19" s="2"/>
      <x:c r="K19" s="2"/>
      <x:c r="L19" s="2"/>
    </x:row>
    <x:row r="20" ht="23" customHeight="1">
      <x:c r="A20" s="2"/>
      <x:c r="B20" s="22" t="n">
        <x:f>SUMIF(B8:B13,B17,C8:C13)</x:f>
        <x:v>1271</x:v>
      </x:c>
      <x:c r="C20" s="2"/>
      <x:c r="D20" s="2"/>
      <x:c r="E20" s="2"/>
      <x:c r="F20" s="2"/>
      <x:c r="G20" s="2"/>
      <x:c r="H20" s="2"/>
      <x:c r="I20" s="2"/>
      <x:c r="J20" s="2"/>
      <x:c r="K20" s="2"/>
      <x:c r="L20" s="2"/>
    </x:row>
    <x:row r="21" ht="23" customHeight="1">
      <x:c r="A21" s="2"/>
      <x:c r="B21" s="2"/>
      <x:c r="C21" s="2"/>
      <x:c r="D21" s="2"/>
      <x:c r="E21" s="2"/>
      <x:c r="F21" s="2"/>
      <x:c r="G21" s="2"/>
      <x:c r="H21" s="2"/>
      <x:c r="I21" s="2"/>
      <x:c r="J21" s="2"/>
      <x:c r="K21" s="2"/>
      <x:c r="L21" s="2"/>
    </x:row>
    <x:row r="22" ht="23" customHeight="1">
      <x:c r="A22" s="2"/>
      <x:c r="B22" s="7" t="str">
        <x:v>Selected segment gross sales</x:v>
      </x:c>
      <x:c r="C22" s="7" t="str">
        <x:v>Selected segment gross sales</x:v>
      </x:c>
      <x:c r="D22" s="7" t="str">
        <x:v>Selected segment gross sales</x:v>
      </x:c>
      <x:c r="E22" s="2"/>
      <x:c r="F22" s="2"/>
      <x:c r="G22" s="7" t="str">
        <x:v>Repeat purchaser rate</x:v>
      </x:c>
      <x:c r="H22" s="7" t="str">
        <x:v>Repeat purchaser rate</x:v>
      </x:c>
      <x:c r="I22" s="7" t="str">
        <x:v>Repeat purchaser rate</x:v>
      </x:c>
      <x:c r="J22" s="2"/>
      <x:c r="K22" s="2"/>
      <x:c r="L22" s="2"/>
    </x:row>
    <x:row r="23" ht="23" customHeight="1">
      <x:c r="A23" s="2"/>
      <x:c r="B23" s="20" t="n">
        <x:f>SUMIF(B8:B13,B17,D8:D13)</x:f>
        <x:v>11830252.675000018</x:v>
      </x:c>
      <x:c r="C23" s="2"/>
      <x:c r="D23" s="2"/>
      <x:c r="E23" s="2"/>
      <x:c r="F23" s="2"/>
      <x:c r="G23" s="24" t="n">
        <x:f>'Monthly_Data'!J12/'Monthly_Data'!J11</x:f>
        <x:v>0.7238856753997959</x:v>
      </x:c>
      <x:c r="H23" s="2"/>
      <x:c r="I23" s="2"/>
      <x:c r="J23" s="2"/>
      <x:c r="K23" s="2"/>
      <x:c r="L23" s="2"/>
    </x:row>
    <x:row r="24" ht="23" customHeight="1">
      <x:c r="A24" s="2"/>
      <x:c r="B24" s="2"/>
      <x:c r="C24" s="2"/>
      <x:c r="D24" s="2"/>
      <x:c r="E24" s="2"/>
      <x:c r="F24" s="2"/>
      <x:c r="G24" s="2"/>
      <x:c r="H24" s="2"/>
      <x:c r="I24" s="2"/>
      <x:c r="J24" s="2"/>
      <x:c r="K24" s="2"/>
      <x:c r="L24" s="2"/>
    </x:row>
    <x:row r="25" ht="23" customHeight="1">
      <x:c r="A25" s="2"/>
      <x:c r="B25" s="15" t="str">
        <x:v>Repeat rate: customers with at least two distinct positive purchase invoices ÷ all identified positive purchasers. Scores use 20th/40th/60th/80th percentile cut points; ties stay together, so segment sizes need not be equal.</x:v>
      </x:c>
      <x:c r="C25" s="15" t="str">
        <x:v>Repeat rate: customers with at least two distinct positive purchase invoices ÷ all identified positive purchasers. Scores use 20th/40th/60th/80th percentile cut points; ties stay together, so segment sizes need not be equal.</x:v>
      </x:c>
      <x:c r="D25" s="15" t="str">
        <x:v>Repeat rate: customers with at least two distinct positive purchase invoices ÷ all identified positive purchasers. Scores use 20th/40th/60th/80th percentile cut points; ties stay together, so segment sizes need not be equal.</x:v>
      </x:c>
      <x:c r="E25" s="15" t="str">
        <x:v>Repeat rate: customers with at least two distinct positive purchase invoices ÷ all identified positive purchasers. Scores use 20th/40th/60th/80th percentile cut points; ties stay together, so segment sizes need not be equal.</x:v>
      </x:c>
      <x:c r="F25" s="15" t="str">
        <x:v>Repeat rate: customers with at least two distinct positive purchase invoices ÷ all identified positive purchasers. Scores use 20th/40th/60th/80th percentile cut points; ties stay together, so segment sizes need not be equal.</x:v>
      </x:c>
      <x:c r="G25" s="15" t="str">
        <x:v>Repeat rate: customers with at least two distinct positive purchase invoices ÷ all identified positive purchasers. Scores use 20th/40th/60th/80th percentile cut points; ties stay together, so segment sizes need not be equal.</x:v>
      </x:c>
      <x:c r="H25" s="15" t="str">
        <x:v>Repeat rate: customers with at least two distinct positive purchase invoices ÷ all identified positive purchasers. Scores use 20th/40th/60th/80th percentile cut points; ties stay together, so segment sizes need not be equal.</x:v>
      </x:c>
      <x:c r="I25" s="15" t="str">
        <x:v>Repeat rate: customers with at least two distinct positive purchase invoices ÷ all identified positive purchasers. Scores use 20th/40th/60th/80th percentile cut points; ties stay together, so segment sizes need not be equal.</x:v>
      </x:c>
      <x:c r="J25" s="15" t="str">
        <x:v>Repeat rate: customers with at least two distinct positive purchase invoices ÷ all identified positive purchasers. Scores use 20th/40th/60th/80th percentile cut points; ties stay together, so segment sizes need not be equal.</x:v>
      </x:c>
      <x:c r="K25" s="15" t="str">
        <x:v>Repeat rate: customers with at least two distinct positive purchase invoices ÷ all identified positive purchasers. Scores use 20th/40th/60th/80th percentile cut points; ties stay together, so segment sizes need not be equal.</x:v>
      </x:c>
      <x:c r="L25" s="15" t="str">
        <x:v>Repeat rate: customers with at least two distinct positive purchase invoices ÷ all identified positive purchasers. Scores use 20th/40th/60th/80th percentile cut points; ties stay together, so segment sizes need not be equal.</x:v>
      </x:c>
    </x:row>
    <x:row r="26" ht="23" customHeight="1">
      <x:c r="A26" s="2"/>
      <x:c r="B26" s="15" t="str">
        <x:v>Repeat rate: customers with at least two distinct positive purchase invoices ÷ all identified positive purchasers. Scores use 20th/40th/60th/80th percentile cut points; ties stay together, so segment sizes need not be equal.</x:v>
      </x:c>
      <x:c r="C26" s="15" t="str">
        <x:v>Repeat rate: customers with at least two distinct positive purchase invoices ÷ all identified positive purchasers. Scores use 20th/40th/60th/80th percentile cut points; ties stay together, so segment sizes need not be equal.</x:v>
      </x:c>
      <x:c r="D26" s="15" t="str">
        <x:v>Repeat rate: customers with at least two distinct positive purchase invoices ÷ all identified positive purchasers. Scores use 20th/40th/60th/80th percentile cut points; ties stay together, so segment sizes need not be equal.</x:v>
      </x:c>
      <x:c r="E26" s="15" t="str">
        <x:v>Repeat rate: customers with at least two distinct positive purchase invoices ÷ all identified positive purchasers. Scores use 20th/40th/60th/80th percentile cut points; ties stay together, so segment sizes need not be equal.</x:v>
      </x:c>
      <x:c r="F26" s="15" t="str">
        <x:v>Repeat rate: customers with at least two distinct positive purchase invoices ÷ all identified positive purchasers. Scores use 20th/40th/60th/80th percentile cut points; ties stay together, so segment sizes need not be equal.</x:v>
      </x:c>
      <x:c r="G26" s="15" t="str">
        <x:v>Repeat rate: customers with at least two distinct positive purchase invoices ÷ all identified positive purchasers. Scores use 20th/40th/60th/80th percentile cut points; ties stay together, so segment sizes need not be equal.</x:v>
      </x:c>
      <x:c r="H26" s="15" t="str">
        <x:v>Repeat rate: customers with at least two distinct positive purchase invoices ÷ all identified positive purchasers. Scores use 20th/40th/60th/80th percentile cut points; ties stay together, so segment sizes need not be equal.</x:v>
      </x:c>
      <x:c r="I26" s="15" t="str">
        <x:v>Repeat rate: customers with at least two distinct positive purchase invoices ÷ all identified positive purchasers. Scores use 20th/40th/60th/80th percentile cut points; ties stay together, so segment sizes need not be equal.</x:v>
      </x:c>
      <x:c r="J26" s="15" t="str">
        <x:v>Repeat rate: customers with at least two distinct positive purchase invoices ÷ all identified positive purchasers. Scores use 20th/40th/60th/80th percentile cut points; ties stay together, so segment sizes need not be equal.</x:v>
      </x:c>
      <x:c r="K26" s="15" t="str">
        <x:v>Repeat rate: customers with at least two distinct positive purchase invoices ÷ all identified positive purchasers. Scores use 20th/40th/60th/80th percentile cut points; ties stay together, so segment sizes need not be equal.</x:v>
      </x:c>
      <x:c r="L26" s="15" t="str">
        <x:v>Repeat rate: customers with at least two distinct positive purchase invoices ÷ all identified positive purchasers. Scores use 20th/40th/60th/80th percentile cut points; ties stay together, so segment sizes need not be equal.</x:v>
      </x:c>
    </x:row>
    <x:row r="27" ht="23" customHeight="1">
      <x:c r="A27" s="2"/>
      <x:c r="B27" s="15" t="str">
        <x:v>Repeat rate: customers with at least two distinct positive purchase invoices ÷ all identified positive purchasers. Scores use 20th/40th/60th/80th percentile cut points; ties stay together, so segment sizes need not be equal.</x:v>
      </x:c>
      <x:c r="C27" s="15" t="str">
        <x:v>Repeat rate: customers with at least two distinct positive purchase invoices ÷ all identified positive purchasers. Scores use 20th/40th/60th/80th percentile cut points; ties stay together, so segment sizes need not be equal.</x:v>
      </x:c>
      <x:c r="D27" s="15" t="str">
        <x:v>Repeat rate: customers with at least two distinct positive purchase invoices ÷ all identified positive purchasers. Scores use 20th/40th/60th/80th percentile cut points; ties stay together, so segment sizes need not be equal.</x:v>
      </x:c>
      <x:c r="E27" s="15" t="str">
        <x:v>Repeat rate: customers with at least two distinct positive purchase invoices ÷ all identified positive purchasers. Scores use 20th/40th/60th/80th percentile cut points; ties stay together, so segment sizes need not be equal.</x:v>
      </x:c>
      <x:c r="F27" s="15" t="str">
        <x:v>Repeat rate: customers with at least two distinct positive purchase invoices ÷ all identified positive purchasers. Scores use 20th/40th/60th/80th percentile cut points; ties stay together, so segment sizes need not be equal.</x:v>
      </x:c>
      <x:c r="G27" s="15" t="str">
        <x:v>Repeat rate: customers with at least two distinct positive purchase invoices ÷ all identified positive purchasers. Scores use 20th/40th/60th/80th percentile cut points; ties stay together, so segment sizes need not be equal.</x:v>
      </x:c>
      <x:c r="H27" s="15" t="str">
        <x:v>Repeat rate: customers with at least two distinct positive purchase invoices ÷ all identified positive purchasers. Scores use 20th/40th/60th/80th percentile cut points; ties stay together, so segment sizes need not be equal.</x:v>
      </x:c>
      <x:c r="I27" s="15" t="str">
        <x:v>Repeat rate: customers with at least two distinct positive purchase invoices ÷ all identified positive purchasers. Scores use 20th/40th/60th/80th percentile cut points; ties stay together, so segment sizes need not be equal.</x:v>
      </x:c>
      <x:c r="J27" s="15" t="str">
        <x:v>Repeat rate: customers with at least two distinct positive purchase invoices ÷ all identified positive purchasers. Scores use 20th/40th/60th/80th percentile cut points; ties stay together, so segment sizes need not be equal.</x:v>
      </x:c>
      <x:c r="K27" s="15" t="str">
        <x:v>Repeat rate: customers with at least two distinct positive purchase invoices ÷ all identified positive purchasers. Scores use 20th/40th/60th/80th percentile cut points; ties stay together, so segment sizes need not be equal.</x:v>
      </x:c>
      <x:c r="L27" s="15" t="str">
        <x:v>Repeat rate: customers with at least two distinct positive purchase invoices ÷ all identified positive purchasers. Scores use 20th/40th/60th/80th percentile cut points; ties stay together, so segment sizes need not be equal.</x:v>
      </x:c>
    </x:row>
    <x:row r="28" ht="23" customHeight="1">
      <x:c r="A28" s="2"/>
      <x:c r="B28" s="15" t="str">
        <x:v>Recency cut points: 20, 59, 190, 411 days. Frequency: 1, 2, 4, 8 orders. Monetary: £287.310, £612.116, £1231.758, £2916.438. Recency bands reverse: lower days score higher.</x:v>
      </x:c>
      <x:c r="C28" s="15" t="str">
        <x:v>Recency cut points: 20, 59, 190, 411 days. Frequency: 1, 2, 4, 8 orders. Monetary: £287.310, £612.116, £1231.758, £2916.438. Recency bands reverse: lower days score higher.</x:v>
      </x:c>
      <x:c r="D28" s="15" t="str">
        <x:v>Recency cut points: 20, 59, 190, 411 days. Frequency: 1, 2, 4, 8 orders. Monetary: £287.310, £612.116, £1231.758, £2916.438. Recency bands reverse: lower days score higher.</x:v>
      </x:c>
      <x:c r="E28" s="15" t="str">
        <x:v>Recency cut points: 20, 59, 190, 411 days. Frequency: 1, 2, 4, 8 orders. Monetary: £287.310, £612.116, £1231.758, £2916.438. Recency bands reverse: lower days score higher.</x:v>
      </x:c>
      <x:c r="F28" s="15" t="str">
        <x:v>Recency cut points: 20, 59, 190, 411 days. Frequency: 1, 2, 4, 8 orders. Monetary: £287.310, £612.116, £1231.758, £2916.438. Recency bands reverse: lower days score higher.</x:v>
      </x:c>
      <x:c r="G28" s="15" t="str">
        <x:v>Recency cut points: 20, 59, 190, 411 days. Frequency: 1, 2, 4, 8 orders. Monetary: £287.310, £612.116, £1231.758, £2916.438. Recency bands reverse: lower days score higher.</x:v>
      </x:c>
      <x:c r="H28" s="15" t="str">
        <x:v>Recency cut points: 20, 59, 190, 411 days. Frequency: 1, 2, 4, 8 orders. Monetary: £287.310, £612.116, £1231.758, £2916.438. Recency bands reverse: lower days score higher.</x:v>
      </x:c>
      <x:c r="I28" s="15" t="str">
        <x:v>Recency cut points: 20, 59, 190, 411 days. Frequency: 1, 2, 4, 8 orders. Monetary: £287.310, £612.116, £1231.758, £2916.438. Recency bands reverse: lower days score higher.</x:v>
      </x:c>
      <x:c r="J28" s="15" t="str">
        <x:v>Recency cut points: 20, 59, 190, 411 days. Frequency: 1, 2, 4, 8 orders. Monetary: £287.310, £612.116, £1231.758, £2916.438. Recency bands reverse: lower days score higher.</x:v>
      </x:c>
      <x:c r="K28" s="15" t="str">
        <x:v>Recency cut points: 20, 59, 190, 411 days. Frequency: 1, 2, 4, 8 orders. Monetary: £287.310, £612.116, £1231.758, £2916.438. Recency bands reverse: lower days score higher.</x:v>
      </x:c>
      <x:c r="L28" s="15" t="str">
        <x:v>Recency cut points: 20, 59, 190, 411 days. Frequency: 1, 2, 4, 8 orders. Monetary: £287.310, £612.116, £1231.758, £2916.438. Recency bands reverse: lower days score higher.</x:v>
      </x:c>
    </x:row>
    <x:row r="29" ht="23" customHeight="1">
      <x:c r="A29" s="2"/>
      <x:c r="B29" s="15" t="str">
        <x:v>Recency cut points: 20, 59, 190, 411 days. Frequency: 1, 2, 4, 8 orders. Monetary: £287.310, £612.116, £1231.758, £2916.438. Recency bands reverse: lower days score higher.</x:v>
      </x:c>
      <x:c r="C29" s="15" t="str">
        <x:v>Recency cut points: 20, 59, 190, 411 days. Frequency: 1, 2, 4, 8 orders. Monetary: £287.310, £612.116, £1231.758, £2916.438. Recency bands reverse: lower days score higher.</x:v>
      </x:c>
      <x:c r="D29" s="15" t="str">
        <x:v>Recency cut points: 20, 59, 190, 411 days. Frequency: 1, 2, 4, 8 orders. Monetary: £287.310, £612.116, £1231.758, £2916.438. Recency bands reverse: lower days score higher.</x:v>
      </x:c>
      <x:c r="E29" s="15" t="str">
        <x:v>Recency cut points: 20, 59, 190, 411 days. Frequency: 1, 2, 4, 8 orders. Monetary: £287.310, £612.116, £1231.758, £2916.438. Recency bands reverse: lower days score higher.</x:v>
      </x:c>
      <x:c r="F29" s="15" t="str">
        <x:v>Recency cut points: 20, 59, 190, 411 days. Frequency: 1, 2, 4, 8 orders. Monetary: £287.310, £612.116, £1231.758, £2916.438. Recency bands reverse: lower days score higher.</x:v>
      </x:c>
      <x:c r="G29" s="15" t="str">
        <x:v>Recency cut points: 20, 59, 190, 411 days. Frequency: 1, 2, 4, 8 orders. Monetary: £287.310, £612.116, £1231.758, £2916.438. Recency bands reverse: lower days score higher.</x:v>
      </x:c>
      <x:c r="H29" s="15" t="str">
        <x:v>Recency cut points: 20, 59, 190, 411 days. Frequency: 1, 2, 4, 8 orders. Monetary: £287.310, £612.116, £1231.758, £2916.438. Recency bands reverse: lower days score higher.</x:v>
      </x:c>
      <x:c r="I29" s="15" t="str">
        <x:v>Recency cut points: 20, 59, 190, 411 days. Frequency: 1, 2, 4, 8 orders. Monetary: £287.310, £612.116, £1231.758, £2916.438. Recency bands reverse: lower days score higher.</x:v>
      </x:c>
      <x:c r="J29" s="15" t="str">
        <x:v>Recency cut points: 20, 59, 190, 411 days. Frequency: 1, 2, 4, 8 orders. Monetary: £287.310, £612.116, £1231.758, £2916.438. Recency bands reverse: lower days score higher.</x:v>
      </x:c>
      <x:c r="K29" s="15" t="str">
        <x:v>Recency cut points: 20, 59, 190, 411 days. Frequency: 1, 2, 4, 8 orders. Monetary: £287.310, £612.116, £1231.758, £2916.438. Recency bands reverse: lower days score higher.</x:v>
      </x:c>
      <x:c r="L29" s="15" t="str">
        <x:v>Recency cut points: 20, 59, 190, 411 days. Frequency: 1, 2, 4, 8 orders. Monetary: £287.310, £612.116, £1231.758, £2916.438. Recency bands reverse: lower days score higher.</x:v>
      </x:c>
    </x:row>
    <x:row r="30" ht="23" customHeight="1">
      <x:c r="A30" s="2"/>
      <x:c r="B30" s="15" t="str">
        <x:v>Recency cut points: 20, 59, 190, 411 days. Frequency: 1, 2, 4, 8 orders. Monetary: £287.310, £612.116, £1231.758, £2916.438. Recency bands reverse: lower days score higher.</x:v>
      </x:c>
      <x:c r="C30" s="15" t="str">
        <x:v>Recency cut points: 20, 59, 190, 411 days. Frequency: 1, 2, 4, 8 orders. Monetary: £287.310, £612.116, £1231.758, £2916.438. Recency bands reverse: lower days score higher.</x:v>
      </x:c>
      <x:c r="D30" s="15" t="str">
        <x:v>Recency cut points: 20, 59, 190, 411 days. Frequency: 1, 2, 4, 8 orders. Monetary: £287.310, £612.116, £1231.758, £2916.438. Recency bands reverse: lower days score higher.</x:v>
      </x:c>
      <x:c r="E30" s="15" t="str">
        <x:v>Recency cut points: 20, 59, 190, 411 days. Frequency: 1, 2, 4, 8 orders. Monetary: £287.310, £612.116, £1231.758, £2916.438. Recency bands reverse: lower days score higher.</x:v>
      </x:c>
      <x:c r="F30" s="15" t="str">
        <x:v>Recency cut points: 20, 59, 190, 411 days. Frequency: 1, 2, 4, 8 orders. Monetary: £287.310, £612.116, £1231.758, £2916.438. Recency bands reverse: lower days score higher.</x:v>
      </x:c>
      <x:c r="G30" s="15" t="str">
        <x:v>Recency cut points: 20, 59, 190, 411 days. Frequency: 1, 2, 4, 8 orders. Monetary: £287.310, £612.116, £1231.758, £2916.438. Recency bands reverse: lower days score higher.</x:v>
      </x:c>
      <x:c r="H30" s="15" t="str">
        <x:v>Recency cut points: 20, 59, 190, 411 days. Frequency: 1, 2, 4, 8 orders. Monetary: £287.310, £612.116, £1231.758, £2916.438. Recency bands reverse: lower days score higher.</x:v>
      </x:c>
      <x:c r="I30" s="15" t="str">
        <x:v>Recency cut points: 20, 59, 190, 411 days. Frequency: 1, 2, 4, 8 orders. Monetary: £287.310, £612.116, £1231.758, £2916.438. Recency bands reverse: lower days score higher.</x:v>
      </x:c>
      <x:c r="J30" s="15" t="str">
        <x:v>Recency cut points: 20, 59, 190, 411 days. Frequency: 1, 2, 4, 8 orders. Monetary: £287.310, £612.116, £1231.758, £2916.438. Recency bands reverse: lower days score higher.</x:v>
      </x:c>
      <x:c r="K30" s="15" t="str">
        <x:v>Recency cut points: 20, 59, 190, 411 days. Frequency: 1, 2, 4, 8 orders. Monetary: £287.310, £612.116, £1231.758, £2916.438. Recency bands reverse: lower days score higher.</x:v>
      </x:c>
      <x:c r="L30" s="15" t="str">
        <x:v>Recency cut points: 20, 59, 190, 411 days. Frequency: 1, 2, 4, 8 orders. Monetary: £287.310, £612.116, £1231.758, £2916.438. Recency bands reverse: lower days score higher.</x:v>
      </x:c>
    </x:row>
    <x:row r="31" ht="23" customHeight="1">
      <x:c r="A31" s="2"/>
      <x:c r="B31" s="15" t="str">
        <x:v>Segment priority: Champions R≥4,F≥4,M≥4; At risk R≤2,F≥3; Loyal R≥3,F≥3; Recent light buyers R≥4,F≤2; Hibernating R≤2; otherwise Developing. The first matching rule wins. Use the detail table filters for country and segment. Country is the latest observed purchase country.</x:v>
      </x:c>
      <x:c r="C31" s="15" t="str">
        <x:v>Segment priority: Champions R≥4,F≥4,M≥4; At risk R≤2,F≥3; Loyal R≥3,F≥3; Recent light buyers R≥4,F≤2; Hibernating R≤2; otherwise Developing. The first matching rule wins. Use the detail table filters for country and segment. Country is the latest observed purchase country.</x:v>
      </x:c>
      <x:c r="D31" s="15" t="str">
        <x:v>Segment priority: Champions R≥4,F≥4,M≥4; At risk R≤2,F≥3; Loyal R≥3,F≥3; Recent light buyers R≥4,F≤2; Hibernating R≤2; otherwise Developing. The first matching rule wins. Use the detail table filters for country and segment. Country is the latest observed purchase country.</x:v>
      </x:c>
      <x:c r="E31" s="15" t="str">
        <x:v>Segment priority: Champions R≥4,F≥4,M≥4; At risk R≤2,F≥3; Loyal R≥3,F≥3; Recent light buyers R≥4,F≤2; Hibernating R≤2; otherwise Developing. The first matching rule wins. Use the detail table filters for country and segment. Country is the latest observed purchase country.</x:v>
      </x:c>
      <x:c r="F31" s="15" t="str">
        <x:v>Segment priority: Champions R≥4,F≥4,M≥4; At risk R≤2,F≥3; Loyal R≥3,F≥3; Recent light buyers R≥4,F≤2; Hibernating R≤2; otherwise Developing. The first matching rule wins. Use the detail table filters for country and segment. Country is the latest observed purchase country.</x:v>
      </x:c>
      <x:c r="G31" s="15" t="str">
        <x:v>Segment priority: Champions R≥4,F≥4,M≥4; At risk R≤2,F≥3; Loyal R≥3,F≥3; Recent light buyers R≥4,F≤2; Hibernating R≤2; otherwise Developing. The first matching rule wins. Use the detail table filters for country and segment. Country is the latest observed purchase country.</x:v>
      </x:c>
      <x:c r="H31" s="15" t="str">
        <x:v>Segment priority: Champions R≥4,F≥4,M≥4; At risk R≤2,F≥3; Loyal R≥3,F≥3; Recent light buyers R≥4,F≤2; Hibernating R≤2; otherwise Developing. The first matching rule wins. Use the detail table filters for country and segment. Country is the latest observed purchase country.</x:v>
      </x:c>
      <x:c r="I31" s="15" t="str">
        <x:v>Segment priority: Champions R≥4,F≥4,M≥4; At risk R≤2,F≥3; Loyal R≥3,F≥3; Recent light buyers R≥4,F≤2; Hibernating R≤2; otherwise Developing. The first matching rule wins. Use the detail table filters for country and segment. Country is the latest observed purchase country.</x:v>
      </x:c>
      <x:c r="J31" s="15" t="str">
        <x:v>Segment priority: Champions R≥4,F≥4,M≥4; At risk R≤2,F≥3; Loyal R≥3,F≥3; Recent light buyers R≥4,F≤2; Hibernating R≤2; otherwise Developing. The first matching rule wins. Use the detail table filters for country and segment. Country is the latest observed purchase country.</x:v>
      </x:c>
      <x:c r="K31" s="15" t="str">
        <x:v>Segment priority: Champions R≥4,F≥4,M≥4; At risk R≤2,F≥3; Loyal R≥3,F≥3; Recent light buyers R≥4,F≤2; Hibernating R≤2; otherwise Developing. The first matching rule wins. Use the detail table filters for country and segment. Country is the latest observed purchase country.</x:v>
      </x:c>
      <x:c r="L31" s="15" t="str">
        <x:v>Segment priority: Champions R≥4,F≥4,M≥4; At risk R≤2,F≥3; Loyal R≥3,F≥3; Recent light buyers R≥4,F≤2; Hibernating R≤2; otherwise Developing. The first matching rule wins. Use the detail table filters for country and segment. Country is the latest observed purchase country.</x:v>
      </x:c>
    </x:row>
    <x:row r="32" ht="23" customHeight="1">
      <x:c r="A32" s="2"/>
      <x:c r="B32" s="15" t="str">
        <x:v>Segment priority: Champions R≥4,F≥4,M≥4; At risk R≤2,F≥3; Loyal R≥3,F≥3; Recent light buyers R≥4,F≤2; Hibernating R≤2; otherwise Developing. The first matching rule wins. Use the detail table filters for country and segment. Country is the latest observed purchase country.</x:v>
      </x:c>
      <x:c r="C32" s="15" t="str">
        <x:v>Segment priority: Champions R≥4,F≥4,M≥4; At risk R≤2,F≥3; Loyal R≥3,F≥3; Recent light buyers R≥4,F≤2; Hibernating R≤2; otherwise Developing. The first matching rule wins. Use the detail table filters for country and segment. Country is the latest observed purchase country.</x:v>
      </x:c>
      <x:c r="D32" s="15" t="str">
        <x:v>Segment priority: Champions R≥4,F≥4,M≥4; At risk R≤2,F≥3; Loyal R≥3,F≥3; Recent light buyers R≥4,F≤2; Hibernating R≤2; otherwise Developing. The first matching rule wins. Use the detail table filters for country and segment. Country is the latest observed purchase country.</x:v>
      </x:c>
      <x:c r="E32" s="15" t="str">
        <x:v>Segment priority: Champions R≥4,F≥4,M≥4; At risk R≤2,F≥3; Loyal R≥3,F≥3; Recent light buyers R≥4,F≤2; Hibernating R≤2; otherwise Developing. The first matching rule wins. Use the detail table filters for country and segment. Country is the latest observed purchase country.</x:v>
      </x:c>
      <x:c r="F32" s="15" t="str">
        <x:v>Segment priority: Champions R≥4,F≥4,M≥4; At risk R≤2,F≥3; Loyal R≥3,F≥3; Recent light buyers R≥4,F≤2; Hibernating R≤2; otherwise Developing. The first matching rule wins. Use the detail table filters for country and segment. Country is the latest observed purchase country.</x:v>
      </x:c>
      <x:c r="G32" s="15" t="str">
        <x:v>Segment priority: Champions R≥4,F≥4,M≥4; At risk R≤2,F≥3; Loyal R≥3,F≥3; Recent light buyers R≥4,F≤2; Hibernating R≤2; otherwise Developing. The first matching rule wins. Use the detail table filters for country and segment. Country is the latest observed purchase country.</x:v>
      </x:c>
      <x:c r="H32" s="15" t="str">
        <x:v>Segment priority: Champions R≥4,F≥4,M≥4; At risk R≤2,F≥3; Loyal R≥3,F≥3; Recent light buyers R≥4,F≤2; Hibernating R≤2; otherwise Developing. The first matching rule wins. Use the detail table filters for country and segment. Country is the latest observed purchase country.</x:v>
      </x:c>
      <x:c r="I32" s="15" t="str">
        <x:v>Segment priority: Champions R≥4,F≥4,M≥4; At risk R≤2,F≥3; Loyal R≥3,F≥3; Recent light buyers R≥4,F≤2; Hibernating R≤2; otherwise Developing. The first matching rule wins. Use the detail table filters for country and segment. Country is the latest observed purchase country.</x:v>
      </x:c>
      <x:c r="J32" s="15" t="str">
        <x:v>Segment priority: Champions R≥4,F≥4,M≥4; At risk R≤2,F≥3; Loyal R≥3,F≥3; Recent light buyers R≥4,F≤2; Hibernating R≤2; otherwise Developing. The first matching rule wins. Use the detail table filters for country and segment. Country is the latest observed purchase country.</x:v>
      </x:c>
      <x:c r="K32" s="15" t="str">
        <x:v>Segment priority: Champions R≥4,F≥4,M≥4; At risk R≤2,F≥3; Loyal R≥3,F≥3; Recent light buyers R≥4,F≤2; Hibernating R≤2; otherwise Developing. The first matching rule wins. Use the detail table filters for country and segment. Country is the latest observed purchase country.</x:v>
      </x:c>
      <x:c r="L32" s="15" t="str">
        <x:v>Segment priority: Champions R≥4,F≥4,M≥4; At risk R≤2,F≥3; Loyal R≥3,F≥3; Recent light buyers R≥4,F≤2; Hibernating R≤2; otherwise Developing. The first matching rule wins. Use the detail table filters for country and segment. Country is the latest observed purchase country.</x:v>
      </x:c>
    </x:row>
    <x:row r="33" ht="23" customHeight="1">
      <x:c r="A33" s="2"/>
      <x:c r="B33" s="15" t="str">
        <x:v>Segment priority: Champions R≥4,F≥4,M≥4; At risk R≤2,F≥3; Loyal R≥3,F≥3; Recent light buyers R≥4,F≤2; Hibernating R≤2; otherwise Developing. The first matching rule wins. Use the detail table filters for country and segment. Country is the latest observed purchase country.</x:v>
      </x:c>
      <x:c r="C33" s="15" t="str">
        <x:v>Segment priority: Champions R≥4,F≥4,M≥4; At risk R≤2,F≥3; Loyal R≥3,F≥3; Recent light buyers R≥4,F≤2; Hibernating R≤2; otherwise Developing. The first matching rule wins. Use the detail table filters for country and segment. Country is the latest observed purchase country.</x:v>
      </x:c>
      <x:c r="D33" s="15" t="str">
        <x:v>Segment priority: Champions R≥4,F≥4,M≥4; At risk R≤2,F≥3; Loyal R≥3,F≥3; Recent light buyers R≥4,F≤2; Hibernating R≤2; otherwise Developing. The first matching rule wins. Use the detail table filters for country and segment. Country is the latest observed purchase country.</x:v>
      </x:c>
      <x:c r="E33" s="15" t="str">
        <x:v>Segment priority: Champions R≥4,F≥4,M≥4; At risk R≤2,F≥3; Loyal R≥3,F≥3; Recent light buyers R≥4,F≤2; Hibernating R≤2; otherwise Developing. The first matching rule wins. Use the detail table filters for country and segment. Country is the latest observed purchase country.</x:v>
      </x:c>
      <x:c r="F33" s="15" t="str">
        <x:v>Segment priority: Champions R≥4,F≥4,M≥4; At risk R≤2,F≥3; Loyal R≥3,F≥3; Recent light buyers R≥4,F≤2; Hibernating R≤2; otherwise Developing. The first matching rule wins. Use the detail table filters for country and segment. Country is the latest observed purchase country.</x:v>
      </x:c>
      <x:c r="G33" s="15" t="str">
        <x:v>Segment priority: Champions R≥4,F≥4,M≥4; At risk R≤2,F≥3; Loyal R≥3,F≥3; Recent light buyers R≥4,F≤2; Hibernating R≤2; otherwise Developing. The first matching rule wins. Use the detail table filters for country and segment. Country is the latest observed purchase country.</x:v>
      </x:c>
      <x:c r="H33" s="15" t="str">
        <x:v>Segment priority: Champions R≥4,F≥4,M≥4; At risk R≤2,F≥3; Loyal R≥3,F≥3; Recent light buyers R≥4,F≤2; Hibernating R≤2; otherwise Developing. The first matching rule wins. Use the detail table filters for country and segment. Country is the latest observed purchase country.</x:v>
      </x:c>
      <x:c r="I33" s="15" t="str">
        <x:v>Segment priority: Champions R≥4,F≥4,M≥4; At risk R≤2,F≥3; Loyal R≥3,F≥3; Recent light buyers R≥4,F≤2; Hibernating R≤2; otherwise Developing. The first matching rule wins. Use the detail table filters for country and segment. Country is the latest observed purchase country.</x:v>
      </x:c>
      <x:c r="J33" s="15" t="str">
        <x:v>Segment priority: Champions R≥4,F≥4,M≥4; At risk R≤2,F≥3; Loyal R≥3,F≥3; Recent light buyers R≥4,F≤2; Hibernating R≤2; otherwise Developing. The first matching rule wins. Use the detail table filters for country and segment. Country is the latest observed purchase country.</x:v>
      </x:c>
      <x:c r="K33" s="15" t="str">
        <x:v>Segment priority: Champions R≥4,F≥4,M≥4; At risk R≤2,F≥3; Loyal R≥3,F≥3; Recent light buyers R≥4,F≤2; Hibernating R≤2; otherwise Developing. The first matching rule wins. Use the detail table filters for country and segment. Country is the latest observed purchase country.</x:v>
      </x:c>
      <x:c r="L33" s="15" t="str">
        <x:v>Segment priority: Champions R≥4,F≥4,M≥4; At risk R≤2,F≥3; Loyal R≥3,F≥3; Recent light buyers R≥4,F≤2; Hibernating R≤2; otherwise Developing. The first matching rule wins. Use the detail table filters for country and segment. Country is the latest observed purchase country.</x:v>
      </x:c>
    </x:row>
    <x:row r="34" ht="23" customHeight="1">
      <x:c r="A34" s="2"/>
      <x:c r="B34" s="15" t="str">
        <x:v>Segment priority: Champions R≥4,F≥4,M≥4; At risk R≤2,F≥3; Loyal R≥3,F≥3; Recent light buyers R≥4,F≤2; Hibernating R≤2; otherwise Developing. The first matching rule wins. Use the detail table filters for country and segment. Country is the latest observed purchase country.</x:v>
      </x:c>
      <x:c r="C34" s="15" t="str">
        <x:v>Segment priority: Champions R≥4,F≥4,M≥4; At risk R≤2,F≥3; Loyal R≥3,F≥3; Recent light buyers R≥4,F≤2; Hibernating R≤2; otherwise Developing. The first matching rule wins. Use the detail table filters for country and segment. Country is the latest observed purchase country.</x:v>
      </x:c>
      <x:c r="D34" s="15" t="str">
        <x:v>Segment priority: Champions R≥4,F≥4,M≥4; At risk R≤2,F≥3; Loyal R≥3,F≥3; Recent light buyers R≥4,F≤2; Hibernating R≤2; otherwise Developing. The first matching rule wins. Use the detail table filters for country and segment. Country is the latest observed purchase country.</x:v>
      </x:c>
      <x:c r="E34" s="15" t="str">
        <x:v>Segment priority: Champions R≥4,F≥4,M≥4; At risk R≤2,F≥3; Loyal R≥3,F≥3; Recent light buyers R≥4,F≤2; Hibernating R≤2; otherwise Developing. The first matching rule wins. Use the detail table filters for country and segment. Country is the latest observed purchase country.</x:v>
      </x:c>
      <x:c r="F34" s="15" t="str">
        <x:v>Segment priority: Champions R≥4,F≥4,M≥4; At risk R≤2,F≥3; Loyal R≥3,F≥3; Recent light buyers R≥4,F≤2; Hibernating R≤2; otherwise Developing. The first matching rule wins. Use the detail table filters for country and segment. Country is the latest observed purchase country.</x:v>
      </x:c>
      <x:c r="G34" s="15" t="str">
        <x:v>Segment priority: Champions R≥4,F≥4,M≥4; At risk R≤2,F≥3; Loyal R≥3,F≥3; Recent light buyers R≥4,F≤2; Hibernating R≤2; otherwise Developing. The first matching rule wins. Use the detail table filters for country and segment. Country is the latest observed purchase country.</x:v>
      </x:c>
      <x:c r="H34" s="15" t="str">
        <x:v>Segment priority: Champions R≥4,F≥4,M≥4; At risk R≤2,F≥3; Loyal R≥3,F≥3; Recent light buyers R≥4,F≤2; Hibernating R≤2; otherwise Developing. The first matching rule wins. Use the detail table filters for country and segment. Country is the latest observed purchase country.</x:v>
      </x:c>
      <x:c r="I34" s="15" t="str">
        <x:v>Segment priority: Champions R≥4,F≥4,M≥4; At risk R≤2,F≥3; Loyal R≥3,F≥3; Recent light buyers R≥4,F≤2; Hibernating R≤2; otherwise Developing. The first matching rule wins. Use the detail table filters for country and segment. Country is the latest observed purchase country.</x:v>
      </x:c>
      <x:c r="J34" s="15" t="str">
        <x:v>Segment priority: Champions R≥4,F≥4,M≥4; At risk R≤2,F≥3; Loyal R≥3,F≥3; Recent light buyers R≥4,F≤2; Hibernating R≤2; otherwise Developing. The first matching rule wins. Use the detail table filters for country and segment. Country is the latest observed purchase country.</x:v>
      </x:c>
      <x:c r="K34" s="15" t="str">
        <x:v>Segment priority: Champions R≥4,F≥4,M≥4; At risk R≤2,F≥3; Loyal R≥3,F≥3; Recent light buyers R≥4,F≤2; Hibernating R≤2; otherwise Developing. The first matching rule wins. Use the detail table filters for country and segment. Country is the latest observed purchase country.</x:v>
      </x:c>
      <x:c r="L34" s="15" t="str">
        <x:v>Segment priority: Champions R≥4,F≥4,M≥4; At risk R≤2,F≥3; Loyal R≥3,F≥3; Recent light buyers R≥4,F≤2; Hibernating R≤2; otherwise Developing. The first matching rule wins. Use the detail table filters for country and segment. Country is the latest observed purchase country.</x:v>
      </x:c>
    </x:row>
    <x:row r="35" ht="23" customHeight="1">
      <x:c r="A35" s="2"/>
      <x:c r="B35" s="15" t="str">
        <x:v>Segment priority: Champions R≥4,F≥4,M≥4; At risk R≤2,F≥3; Loyal R≥3,F≥3; Recent light buyers R≥4,F≤2; Hibernating R≤2; otherwise Developing. The first matching rule wins. Use the detail table filters for country and segment. Country is the latest observed purchase country.</x:v>
      </x:c>
      <x:c r="C35" s="15" t="str">
        <x:v>Segment priority: Champions R≥4,F≥4,M≥4; At risk R≤2,F≥3; Loyal R≥3,F≥3; Recent light buyers R≥4,F≤2; Hibernating R≤2; otherwise Developing. The first matching rule wins. Use the detail table filters for country and segment. Country is the latest observed purchase country.</x:v>
      </x:c>
      <x:c r="D35" s="15" t="str">
        <x:v>Segment priority: Champions R≥4,F≥4,M≥4; At risk R≤2,F≥3; Loyal R≥3,F≥3; Recent light buyers R≥4,F≤2; Hibernating R≤2; otherwise Developing. The first matching rule wins. Use the detail table filters for country and segment. Country is the latest observed purchase country.</x:v>
      </x:c>
      <x:c r="E35" s="15" t="str">
        <x:v>Segment priority: Champions R≥4,F≥4,M≥4; At risk R≤2,F≥3; Loyal R≥3,F≥3; Recent light buyers R≥4,F≤2; Hibernating R≤2; otherwise Developing. The first matching rule wins. Use the detail table filters for country and segment. Country is the latest observed purchase country.</x:v>
      </x:c>
      <x:c r="F35" s="15" t="str">
        <x:v>Segment priority: Champions R≥4,F≥4,M≥4; At risk R≤2,F≥3; Loyal R≥3,F≥3; Recent light buyers R≥4,F≤2; Hibernating R≤2; otherwise Developing. The first matching rule wins. Use the detail table filters for country and segment. Country is the latest observed purchase country.</x:v>
      </x:c>
      <x:c r="G35" s="15" t="str">
        <x:v>Segment priority: Champions R≥4,F≥4,M≥4; At risk R≤2,F≥3; Loyal R≥3,F≥3; Recent light buyers R≥4,F≤2; Hibernating R≤2; otherwise Developing. The first matching rule wins. Use the detail table filters for country and segment. Country is the latest observed purchase country.</x:v>
      </x:c>
      <x:c r="H35" s="15" t="str">
        <x:v>Segment priority: Champions R≥4,F≥4,M≥4; At risk R≤2,F≥3; Loyal R≥3,F≥3; Recent light buyers R≥4,F≤2; Hibernating R≤2; otherwise Developing. The first matching rule wins. Use the detail table filters for country and segment. Country is the latest observed purchase country.</x:v>
      </x:c>
      <x:c r="I35" s="15" t="str">
        <x:v>Segment priority: Champions R≥4,F≥4,M≥4; At risk R≤2,F≥3; Loyal R≥3,F≥3; Recent light buyers R≥4,F≤2; Hibernating R≤2; otherwise Developing. The first matching rule wins. Use the detail table filters for country and segment. Country is the latest observed purchase country.</x:v>
      </x:c>
      <x:c r="J35" s="15" t="str">
        <x:v>Segment priority: Champions R≥4,F≥4,M≥4; At risk R≤2,F≥3; Loyal R≥3,F≥3; Recent light buyers R≥4,F≤2; Hibernating R≤2; otherwise Developing. The first matching rule wins. Use the detail table filters for country and segment. Country is the latest observed purchase country.</x:v>
      </x:c>
      <x:c r="K35" s="15" t="str">
        <x:v>Segment priority: Champions R≥4,F≥4,M≥4; At risk R≤2,F≥3; Loyal R≥3,F≥3; Recent light buyers R≥4,F≤2; Hibernating R≤2; otherwise Developing. The first matching rule wins. Use the detail table filters for country and segment. Country is the latest observed purchase country.</x:v>
      </x:c>
      <x:c r="L35" s="15" t="str">
        <x:v>Segment priority: Champions R≥4,F≥4,M≥4; At risk R≤2,F≥3; Loyal R≥3,F≥3; Recent light buyers R≥4,F≤2; Hibernating R≤2; otherwise Developing. The first matching rule wins. Use the detail table filters for country and segment. Country is the latest observed purchase country.</x:v>
      </x:c>
    </x:row>
    <x:row r="36" ht="23" customHeight="1">
      <x:c r="A36" s="2"/>
      <x:c r="B36" s="2"/>
      <x:c r="C36" s="2"/>
      <x:c r="D36" s="2"/>
      <x:c r="E36" s="2"/>
      <x:c r="F36" s="2"/>
      <x:c r="G36" s="2"/>
      <x:c r="H36" s="2"/>
      <x:c r="I36" s="2"/>
      <x:c r="J36" s="2"/>
      <x:c r="K36" s="2"/>
      <x:c r="L36" s="2"/>
    </x:row>
    <x:row r="37" ht="23" customHeight="1">
      <x:c r="A37" s="2"/>
      <x:c r="B37" s="2"/>
      <x:c r="C37" s="2"/>
      <x:c r="D37" s="2"/>
      <x:c r="E37" s="2"/>
      <x:c r="F37" s="2"/>
      <x:c r="G37" s="2"/>
      <x:c r="H37" s="2"/>
      <x:c r="I37" s="2"/>
      <x:c r="J37" s="2"/>
      <x:c r="K37" s="2"/>
      <x:c r="L37" s="2"/>
    </x:row>
    <x:row r="38" ht="34" customHeight="1">
      <x:c r="A38" s="2"/>
      <x:c r="B38" s="10" t="str">
        <x:v>Customer ID</x:v>
      </x:c>
      <x:c r="C38" s="10" t="str">
        <x:v>Country</x:v>
      </x:c>
      <x:c r="D38" s="10" t="str">
        <x:v>First observed</x:v>
      </x:c>
      <x:c r="E38" s="10" t="str">
        <x:v>Last purchase</x:v>
      </x:c>
      <x:c r="F38" s="10" t="str">
        <x:v>Recency days</x:v>
      </x:c>
      <x:c r="G38" s="10" t="str">
        <x:v>Orders</x:v>
      </x:c>
      <x:c r="H38" s="10" t="str">
        <x:v>Gross spend</x:v>
      </x:c>
      <x:c r="I38" s="10" t="str">
        <x:v>R</x:v>
      </x:c>
      <x:c r="J38" s="10" t="str">
        <x:v>F</x:v>
      </x:c>
      <x:c r="K38" s="10" t="str">
        <x:v>M</x:v>
      </x:c>
      <x:c r="L38" s="10" t="str">
        <x:v>Segment</x:v>
      </x:c>
    </x:row>
    <x:row r="39" ht="22" customHeight="1">
      <x:c r="A39" s="2"/>
      <x:c r="B39" s="2" t="str">
        <x:v>12346</x:v>
      </x:c>
      <x:c r="C39" s="2" t="str">
        <x:v>United Kingdom</x:v>
      </x:c>
      <x:c r="D39" s="25" t="n">
        <x:v>40161.14861111111</x:v>
      </x:c>
      <x:c r="E39" s="25" t="n">
        <x:v>40561.209027777775</x:v>
      </x:c>
      <x:c r="F39" s="2" t="n">
        <x:v>326</x:v>
      </x:c>
      <x:c r="G39" s="2" t="n">
        <x:v>12</x:v>
      </x:c>
      <x:c r="H39" s="11" t="n">
        <x:v>77556.46</x:v>
      </x:c>
      <x:c r="I39" s="2" t="n">
        <x:v>2</x:v>
      </x:c>
      <x:c r="J39" s="2" t="n">
        <x:v>5</x:v>
      </x:c>
      <x:c r="K39" s="2" t="n">
        <x:v>5</x:v>
      </x:c>
      <x:c r="L39" s="2" t="str">
        <x:v>At risk</x:v>
      </x:c>
    </x:row>
    <x:row r="40" ht="22" customHeight="1">
      <x:c r="A40" s="2"/>
      <x:c r="B40" s="2" t="str">
        <x:v>12347</x:v>
      </x:c>
      <x:c r="C40" s="2" t="str">
        <x:v>Iceland</x:v>
      </x:c>
      <x:c r="D40" s="25" t="n">
        <x:v>40482.38888888889</x:v>
      </x:c>
      <x:c r="E40" s="25" t="n">
        <x:v>40884.45277777778</x:v>
      </x:c>
      <x:c r="F40" s="2" t="n">
        <x:v>3</x:v>
      </x:c>
      <x:c r="G40" s="2" t="n">
        <x:v>8</x:v>
      </x:c>
      <x:c r="H40" s="11" t="n">
        <x:v>4921.53</x:v>
      </x:c>
      <x:c r="I40" s="2" t="n">
        <x:v>5</x:v>
      </x:c>
      <x:c r="J40" s="2" t="n">
        <x:v>4</x:v>
      </x:c>
      <x:c r="K40" s="2" t="n">
        <x:v>5</x:v>
      </x:c>
      <x:c r="L40" s="2" t="str">
        <x:v>Champions</x:v>
      </x:c>
    </x:row>
    <x:row r="41" ht="22" customHeight="1">
      <x:c r="A41" s="2"/>
      <x:c r="B41" s="2" t="str">
        <x:v>12348</x:v>
      </x:c>
      <x:c r="C41" s="2" t="str">
        <x:v>Finland</x:v>
      </x:c>
      <x:c r="D41" s="25" t="n">
        <x:v>40448.415972222225</x:v>
      </x:c>
      <x:c r="E41" s="25" t="n">
        <x:v>40811.342361111114</x:v>
      </x:c>
      <x:c r="F41" s="2" t="n">
        <x:v>76</x:v>
      </x:c>
      <x:c r="G41" s="2" t="n">
        <x:v>5</x:v>
      </x:c>
      <x:c r="H41" s="11" t="n">
        <x:v>2019.4</x:v>
      </x:c>
      <x:c r="I41" s="2" t="n">
        <x:v>3</x:v>
      </x:c>
      <x:c r="J41" s="2" t="n">
        <x:v>4</x:v>
      </x:c>
      <x:c r="K41" s="2" t="n">
        <x:v>4</x:v>
      </x:c>
      <x:c r="L41" s="2" t="str">
        <x:v>Loyal</x:v>
      </x:c>
    </x:row>
    <x:row r="42" ht="22" customHeight="1">
      <x:c r="A42" s="2"/>
      <x:c r="B42" s="2" t="str">
        <x:v>12349</x:v>
      </x:c>
      <x:c r="C42" s="2" t="str">
        <x:v>Italy</x:v>
      </x:c>
      <x:c r="D42" s="25" t="n">
        <x:v>40297.34722222222</x:v>
      </x:c>
      <x:c r="E42" s="25" t="n">
        <x:v>40868.20208333333</x:v>
      </x:c>
      <x:c r="F42" s="2" t="n">
        <x:v>19</x:v>
      </x:c>
      <x:c r="G42" s="2" t="n">
        <x:v>4</x:v>
      </x:c>
      <x:c r="H42" s="11" t="n">
        <x:v>4428.69</x:v>
      </x:c>
      <x:c r="I42" s="2" t="n">
        <x:v>5</x:v>
      </x:c>
      <x:c r="J42" s="2" t="n">
        <x:v>3</x:v>
      </x:c>
      <x:c r="K42" s="2" t="n">
        <x:v>5</x:v>
      </x:c>
      <x:c r="L42" s="2" t="str">
        <x:v>Loyal</x:v>
      </x:c>
    </x:row>
    <x:row r="43" ht="22" customHeight="1">
      <x:c r="A43" s="2"/>
      <x:c r="B43" s="2" t="str">
        <x:v>12350</x:v>
      </x:c>
      <x:c r="C43" s="2" t="str">
        <x:v>Norway</x:v>
      </x:c>
      <x:c r="D43" s="25" t="n">
        <x:v>40576.459027777775</x:v>
      </x:c>
      <x:c r="E43" s="25" t="n">
        <x:v>40576.459027777775</x:v>
      </x:c>
      <x:c r="F43" s="2" t="n">
        <x:v>311</x:v>
      </x:c>
      <x:c r="G43" s="2" t="n">
        <x:v>1</x:v>
      </x:c>
      <x:c r="H43" s="11" t="n">
        <x:v>334.4</x:v>
      </x:c>
      <x:c r="I43" s="2" t="n">
        <x:v>2</x:v>
      </x:c>
      <x:c r="J43" s="2" t="n">
        <x:v>1</x:v>
      </x:c>
      <x:c r="K43" s="2" t="n">
        <x:v>2</x:v>
      </x:c>
      <x:c r="L43" s="2" t="str">
        <x:v>Hibernating</x:v>
      </x:c>
    </x:row>
    <x:row r="44" ht="22" customHeight="1">
      <x:c r="A44" s="2"/>
      <x:c r="B44" s="2" t="str">
        <x:v>12351</x:v>
      </x:c>
      <x:c r="C44" s="2" t="str">
        <x:v>Unspecified</x:v>
      </x:c>
      <x:c r="D44" s="25" t="n">
        <x:v>40511.43263888889</x:v>
      </x:c>
      <x:c r="E44" s="25" t="n">
        <x:v>40511.43263888889</x:v>
      </x:c>
      <x:c r="F44" s="2" t="n">
        <x:v>376</x:v>
      </x:c>
      <x:c r="G44" s="2" t="n">
        <x:v>1</x:v>
      </x:c>
      <x:c r="H44" s="11" t="n">
        <x:v>300.93</x:v>
      </x:c>
      <x:c r="I44" s="2" t="n">
        <x:v>2</x:v>
      </x:c>
      <x:c r="J44" s="2" t="n">
        <x:v>1</x:v>
      </x:c>
      <x:c r="K44" s="2" t="n">
        <x:v>2</x:v>
      </x:c>
      <x:c r="L44" s="2" t="str">
        <x:v>Hibernating</x:v>
      </x:c>
    </x:row>
    <x:row r="45" ht="22" customHeight="1">
      <x:c r="A45" s="2"/>
      <x:c r="B45" s="2" t="str">
        <x:v>12352</x:v>
      </x:c>
      <x:c r="C45" s="2" t="str">
        <x:v>Norway</x:v>
      </x:c>
      <x:c r="D45" s="25" t="n">
        <x:v>40494.22222222222</x:v>
      </x:c>
      <x:c r="E45" s="25" t="n">
        <x:v>40850.40069444444</x:v>
      </x:c>
      <x:c r="F45" s="2" t="n">
        <x:v>37</x:v>
      </x:c>
      <x:c r="G45" s="2" t="n">
        <x:v>10</x:v>
      </x:c>
      <x:c r="H45" s="11" t="n">
        <x:v>2849.84</x:v>
      </x:c>
      <x:c r="I45" s="2" t="n">
        <x:v>4</x:v>
      </x:c>
      <x:c r="J45" s="2" t="n">
        <x:v>5</x:v>
      </x:c>
      <x:c r="K45" s="2" t="n">
        <x:v>4</x:v>
      </x:c>
      <x:c r="L45" s="2" t="str">
        <x:v>Champions</x:v>
      </x:c>
    </x:row>
    <x:row r="46" ht="22" customHeight="1">
      <x:c r="A46" s="2"/>
      <x:c r="B46" s="2" t="str">
        <x:v>12353</x:v>
      </x:c>
      <x:c r="C46" s="2" t="str">
        <x:v>Bahrain</x:v>
      </x:c>
      <x:c r="D46" s="25" t="n">
        <x:v>40478.322222222225</x:v>
      </x:c>
      <x:c r="E46" s="25" t="n">
        <x:v>40682.532638888886</x:v>
      </x:c>
      <x:c r="F46" s="2" t="n">
        <x:v>205</x:v>
      </x:c>
      <x:c r="G46" s="2" t="n">
        <x:v>2</x:v>
      </x:c>
      <x:c r="H46" s="11" t="n">
        <x:v>406.76</x:v>
      </x:c>
      <x:c r="I46" s="2" t="n">
        <x:v>2</x:v>
      </x:c>
      <x:c r="J46" s="2" t="n">
        <x:v>2</x:v>
      </x:c>
      <x:c r="K46" s="2" t="n">
        <x:v>2</x:v>
      </x:c>
      <x:c r="L46" s="2" t="str">
        <x:v>Hibernating</x:v>
      </x:c>
    </x:row>
    <x:row r="47" ht="22" customHeight="1">
      <x:c r="A47" s="2"/>
      <x:c r="B47" s="2" t="str">
        <x:v>12354</x:v>
      </x:c>
      <x:c r="C47" s="2" t="str">
        <x:v>Spain</x:v>
      </x:c>
      <x:c r="D47" s="25" t="n">
        <x:v>40654.34097222222</x:v>
      </x:c>
      <x:c r="E47" s="25" t="n">
        <x:v>40654.34097222222</x:v>
      </x:c>
      <x:c r="F47" s="2" t="n">
        <x:v>233</x:v>
      </x:c>
      <x:c r="G47" s="2" t="n">
        <x:v>1</x:v>
      </x:c>
      <x:c r="H47" s="11" t="n">
        <x:v>1079.4</x:v>
      </x:c>
      <x:c r="I47" s="2" t="n">
        <x:v>2</x:v>
      </x:c>
      <x:c r="J47" s="2" t="n">
        <x:v>1</x:v>
      </x:c>
      <x:c r="K47" s="2" t="n">
        <x:v>3</x:v>
      </x:c>
      <x:c r="L47" s="2" t="str">
        <x:v>Hibernating</x:v>
      </x:c>
    </x:row>
    <x:row r="48" ht="22" customHeight="1">
      <x:c r="A48" s="2"/>
      <x:c r="B48" s="2" t="str">
        <x:v>12355</x:v>
      </x:c>
      <x:c r="C48" s="2" t="str">
        <x:v>Bahrain</x:v>
      </x:c>
      <x:c r="D48" s="25" t="n">
        <x:v>40319.290972222225</x:v>
      </x:c>
      <x:c r="E48" s="25" t="n">
        <x:v>40672.36736111111</x:v>
      </x:c>
      <x:c r="F48" s="2" t="n">
        <x:v>215</x:v>
      </x:c>
      <x:c r="G48" s="2" t="n">
        <x:v>2</x:v>
      </x:c>
      <x:c r="H48" s="11" t="n">
        <x:v>947.61</x:v>
      </x:c>
      <x:c r="I48" s="2" t="n">
        <x:v>2</x:v>
      </x:c>
      <x:c r="J48" s="2" t="n">
        <x:v>2</x:v>
      </x:c>
      <x:c r="K48" s="2" t="n">
        <x:v>3</x:v>
      </x:c>
      <x:c r="L48" s="2" t="str">
        <x:v>Hibernating</x:v>
      </x:c>
    </x:row>
    <x:row r="49" ht="22" customHeight="1">
      <x:c r="A49" s="2"/>
      <x:c r="B49" s="2" t="str">
        <x:v>12356</x:v>
      </x:c>
      <x:c r="C49" s="2" t="str">
        <x:v>Portugal</x:v>
      </x:c>
      <x:c r="D49" s="25" t="n">
        <x:v>40462.19583333333</x:v>
      </x:c>
      <x:c r="E49" s="25" t="n">
        <x:v>40864.15277777778</x:v>
      </x:c>
      <x:c r="F49" s="2" t="n">
        <x:v>23</x:v>
      </x:c>
      <x:c r="G49" s="2" t="n">
        <x:v>6</x:v>
      </x:c>
      <x:c r="H49" s="11" t="n">
        <x:v>6373.68</x:v>
      </x:c>
      <x:c r="I49" s="2" t="n">
        <x:v>4</x:v>
      </x:c>
      <x:c r="J49" s="2" t="n">
        <x:v>4</x:v>
      </x:c>
      <x:c r="K49" s="2" t="n">
        <x:v>5</x:v>
      </x:c>
      <x:c r="L49" s="2" t="str">
        <x:v>Champions</x:v>
      </x:c>
    </x:row>
    <x:row r="50" ht="22" customHeight="1">
      <x:c r="A50" s="2"/>
      <x:c r="B50" s="2" t="str">
        <x:v>12357</x:v>
      </x:c>
      <x:c r="C50" s="2" t="str">
        <x:v>Switzerland</x:v>
      </x:c>
      <x:c r="D50" s="25" t="n">
        <x:v>40498.211805555555</x:v>
      </x:c>
      <x:c r="E50" s="25" t="n">
        <x:v>40853.46319444444</x:v>
      </x:c>
      <x:c r="F50" s="2" t="n">
        <x:v>34</x:v>
      </x:c>
      <x:c r="G50" s="2" t="n">
        <x:v>3</x:v>
      </x:c>
      <x:c r="H50" s="11" t="n">
        <x:v>18287.66</x:v>
      </x:c>
      <x:c r="I50" s="2" t="n">
        <x:v>4</x:v>
      </x:c>
      <x:c r="J50" s="2" t="n">
        <x:v>3</x:v>
      </x:c>
      <x:c r="K50" s="2" t="n">
        <x:v>5</x:v>
      </x:c>
      <x:c r="L50" s="2" t="str">
        <x:v>Loyal</x:v>
      </x:c>
    </x:row>
    <x:row r="51" ht="22" customHeight="1">
      <x:c r="A51" s="2"/>
      <x:c r="B51" s="2" t="str">
        <x:v>12358</x:v>
      </x:c>
      <x:c r="C51" s="2" t="str">
        <x:v>Austria</x:v>
      </x:c>
      <x:c r="D51" s="25" t="n">
        <x:v>40155.12430555555</x:v>
      </x:c>
      <x:c r="E51" s="25" t="n">
        <x:v>40885.22638888889</x:v>
      </x:c>
      <x:c r="F51" s="2" t="n">
        <x:v>2</x:v>
      </x:c>
      <x:c r="G51" s="2" t="n">
        <x:v>5</x:v>
      </x:c>
      <x:c r="H51" s="11" t="n">
        <x:v>3887.07</x:v>
      </x:c>
      <x:c r="I51" s="2" t="n">
        <x:v>5</x:v>
      </x:c>
      <x:c r="J51" s="2" t="n">
        <x:v>4</x:v>
      </x:c>
      <x:c r="K51" s="2" t="n">
        <x:v>5</x:v>
      </x:c>
      <x:c r="L51" s="2" t="str">
        <x:v>Champions</x:v>
      </x:c>
    </x:row>
    <x:row r="52" ht="22" customHeight="1">
      <x:c r="A52" s="2"/>
      <x:c r="B52" s="2" t="str">
        <x:v>12359</x:v>
      </x:c>
      <x:c r="C52" s="2" t="str">
        <x:v>Cyprus</x:v>
      </x:c>
      <x:c r="D52" s="25" t="n">
        <x:v>40152.35555555556</x:v>
      </x:c>
      <x:c r="E52" s="25" t="n">
        <x:v>40829.32430555556</x:v>
      </x:c>
      <x:c r="F52" s="2" t="n">
        <x:v>58</x:v>
      </x:c>
      <x:c r="G52" s="2" t="n">
        <x:v>10</x:v>
      </x:c>
      <x:c r="H52" s="11" t="n">
        <x:v>8935.94</x:v>
      </x:c>
      <x:c r="I52" s="2" t="n">
        <x:v>4</x:v>
      </x:c>
      <x:c r="J52" s="2" t="n">
        <x:v>5</x:v>
      </x:c>
      <x:c r="K52" s="2" t="n">
        <x:v>5</x:v>
      </x:c>
      <x:c r="L52" s="2" t="str">
        <x:v>Champions</x:v>
      </x:c>
    </x:row>
    <x:row r="53" ht="22" customHeight="1">
      <x:c r="A53" s="2"/>
      <x:c r="B53" s="2" t="str">
        <x:v>12360</x:v>
      </x:c>
      <x:c r="C53" s="2" t="str">
        <x:v>Austria</x:v>
      </x:c>
      <x:c r="D53" s="25" t="n">
        <x:v>40231.188888888886</x:v>
      </x:c>
      <x:c r="E53" s="25" t="n">
        <x:v>40834.43194444444</x:v>
      </x:c>
      <x:c r="F53" s="2" t="n">
        <x:v>53</x:v>
      </x:c>
      <x:c r="G53" s="2" t="n">
        <x:v>8</x:v>
      </x:c>
      <x:c r="H53" s="11" t="n">
        <x:v>4252.89</x:v>
      </x:c>
      <x:c r="I53" s="2" t="n">
        <x:v>4</x:v>
      </x:c>
      <x:c r="J53" s="2" t="n">
        <x:v>4</x:v>
      </x:c>
      <x:c r="K53" s="2" t="n">
        <x:v>5</x:v>
      </x:c>
      <x:c r="L53" s="2" t="str">
        <x:v>Champions</x:v>
      </x:c>
    </x:row>
    <x:row r="54" ht="22" customHeight="1">
      <x:c r="A54" s="2"/>
      <x:c r="B54" s="2" t="str">
        <x:v>12361</x:v>
      </x:c>
      <x:c r="C54" s="2" t="str">
        <x:v>Belgium</x:v>
      </x:c>
      <x:c r="D54" s="25" t="n">
        <x:v>40204.40069444444</x:v>
      </x:c>
      <x:c r="E54" s="25" t="n">
        <x:v>40599.36875</x:v>
      </x:c>
      <x:c r="F54" s="2" t="n">
        <x:v>288</x:v>
      </x:c>
      <x:c r="G54" s="2" t="n">
        <x:v>4</x:v>
      </x:c>
      <x:c r="H54" s="11" t="n">
        <x:v>511.25</x:v>
      </x:c>
      <x:c r="I54" s="2" t="n">
        <x:v>2</x:v>
      </x:c>
      <x:c r="J54" s="2" t="n">
        <x:v>3</x:v>
      </x:c>
      <x:c r="K54" s="2" t="n">
        <x:v>2</x:v>
      </x:c>
      <x:c r="L54" s="2" t="str">
        <x:v>At risk</x:v>
      </x:c>
    </x:row>
    <x:row r="55" ht="22" customHeight="1">
      <x:c r="A55" s="2"/>
      <x:c r="B55" s="2" t="str">
        <x:v>12362</x:v>
      </x:c>
      <x:c r="C55" s="2" t="str">
        <x:v>Belgium</x:v>
      </x:c>
      <x:c r="D55" s="25" t="n">
        <x:v>40148.21527777778</x:v>
      </x:c>
      <x:c r="E55" s="25" t="n">
        <x:v>40883.444444444445</x:v>
      </x:c>
      <x:c r="F55" s="2" t="n">
        <x:v>4</x:v>
      </x:c>
      <x:c r="G55" s="2" t="n">
        <x:v>11</x:v>
      </x:c>
      <x:c r="H55" s="11" t="n">
        <x:v>5356.23</x:v>
      </x:c>
      <x:c r="I55" s="2" t="n">
        <x:v>5</x:v>
      </x:c>
      <x:c r="J55" s="2" t="n">
        <x:v>5</x:v>
      </x:c>
      <x:c r="K55" s="2" t="n">
        <x:v>5</x:v>
      </x:c>
      <x:c r="L55" s="2" t="str">
        <x:v>Champions</x:v>
      </x:c>
    </x:row>
    <x:row r="56" ht="22" customHeight="1">
      <x:c r="A56" s="2"/>
      <x:c r="B56" s="2" t="str">
        <x:v>12363</x:v>
      </x:c>
      <x:c r="C56" s="2" t="str">
        <x:v>Unspecified</x:v>
      </x:c>
      <x:c r="D56" s="25" t="n">
        <x:v>40644.353472222225</x:v>
      </x:c>
      <x:c r="E56" s="25" t="n">
        <x:v>40777.22083333333</x:v>
      </x:c>
      <x:c r="F56" s="2" t="n">
        <x:v>110</x:v>
      </x:c>
      <x:c r="G56" s="2" t="n">
        <x:v>2</x:v>
      </x:c>
      <x:c r="H56" s="11" t="n">
        <x:v>552</x:v>
      </x:c>
      <x:c r="I56" s="2" t="n">
        <x:v>3</x:v>
      </x:c>
      <x:c r="J56" s="2" t="n">
        <x:v>2</x:v>
      </x:c>
      <x:c r="K56" s="2" t="n">
        <x:v>2</x:v>
      </x:c>
      <x:c r="L56" s="2" t="str">
        <x:v>Developing</x:v>
      </x:c>
    </x:row>
    <x:row r="57" ht="22" customHeight="1">
      <x:c r="A57" s="2"/>
      <x:c r="B57" s="2" t="str">
        <x:v>12364</x:v>
      </x:c>
      <x:c r="C57" s="2" t="str">
        <x:v>Belgium</x:v>
      </x:c>
      <x:c r="D57" s="25" t="n">
        <x:v>40774.433333333334</x:v>
      </x:c>
      <x:c r="E57" s="25" t="n">
        <x:v>40879.22361111111</x:v>
      </x:c>
      <x:c r="F57" s="2" t="n">
        <x:v>8</x:v>
      </x:c>
      <x:c r="G57" s="2" t="n">
        <x:v>4</x:v>
      </x:c>
      <x:c r="H57" s="11" t="n">
        <x:v>1313.1</x:v>
      </x:c>
      <x:c r="I57" s="2" t="n">
        <x:v>5</x:v>
      </x:c>
      <x:c r="J57" s="2" t="n">
        <x:v>3</x:v>
      </x:c>
      <x:c r="K57" s="2" t="n">
        <x:v>4</x:v>
      </x:c>
      <x:c r="L57" s="2" t="str">
        <x:v>Loyal</x:v>
      </x:c>
    </x:row>
    <x:row r="58" ht="22" customHeight="1">
      <x:c r="A58" s="2"/>
      <x:c r="B58" s="2" t="str">
        <x:v>12365</x:v>
      </x:c>
      <x:c r="C58" s="2" t="str">
        <x:v>Cyprus</x:v>
      </x:c>
      <x:c r="D58" s="25" t="n">
        <x:v>40595.36875</x:v>
      </x:c>
      <x:c r="E58" s="25" t="n">
        <x:v>40595.37777777778</x:v>
      </x:c>
      <x:c r="F58" s="2" t="n">
        <x:v>292</x:v>
      </x:c>
      <x:c r="G58" s="2" t="n">
        <x:v>2</x:v>
      </x:c>
      <x:c r="H58" s="11" t="n">
        <x:v>641.38</x:v>
      </x:c>
      <x:c r="I58" s="2" t="n">
        <x:v>2</x:v>
      </x:c>
      <x:c r="J58" s="2" t="n">
        <x:v>2</x:v>
      </x:c>
      <x:c r="K58" s="2" t="n">
        <x:v>3</x:v>
      </x:c>
      <x:c r="L58" s="2" t="str">
        <x:v>Hibernating</x:v>
      </x:c>
    </x:row>
    <x:row r="59" ht="22" customHeight="1">
      <x:c r="A59" s="2"/>
      <x:c r="B59" s="2" t="str">
        <x:v>12366</x:v>
      </x:c>
      <x:c r="C59" s="2" t="str">
        <x:v>Cyprus</x:v>
      </x:c>
      <x:c r="D59" s="25" t="n">
        <x:v>40253.22777777778</x:v>
      </x:c>
      <x:c r="E59" s="25" t="n">
        <x:v>40253.22777777778</x:v>
      </x:c>
      <x:c r="F59" s="2" t="n">
        <x:v>634</x:v>
      </x:c>
      <x:c r="G59" s="2" t="n">
        <x:v>1</x:v>
      </x:c>
      <x:c r="H59" s="11" t="n">
        <x:v>500.24</x:v>
      </x:c>
      <x:c r="I59" s="2" t="n">
        <x:v>1</x:v>
      </x:c>
      <x:c r="J59" s="2" t="n">
        <x:v>1</x:v>
      </x:c>
      <x:c r="K59" s="2" t="n">
        <x:v>2</x:v>
      </x:c>
      <x:c r="L59" s="2" t="str">
        <x:v>Hibernating</x:v>
      </x:c>
    </x:row>
    <x:row r="60" ht="22" customHeight="1">
      <x:c r="A60" s="2"/>
      <x:c r="B60" s="2" t="str">
        <x:v>12367</x:v>
      </x:c>
      <x:c r="C60" s="2" t="str">
        <x:v>Denmark</x:v>
      </x:c>
      <x:c r="D60" s="25" t="n">
        <x:v>40882.49166666667</x:v>
      </x:c>
      <x:c r="E60" s="25" t="n">
        <x:v>40882.49166666667</x:v>
      </x:c>
      <x:c r="F60" s="2" t="n">
        <x:v>5</x:v>
      </x:c>
      <x:c r="G60" s="2" t="n">
        <x:v>1</x:v>
      </x:c>
      <x:c r="H60" s="11" t="n">
        <x:v>168.9</x:v>
      </x:c>
      <x:c r="I60" s="2" t="n">
        <x:v>5</x:v>
      </x:c>
      <x:c r="J60" s="2" t="n">
        <x:v>1</x:v>
      </x:c>
      <x:c r="K60" s="2" t="n">
        <x:v>1</x:v>
      </x:c>
      <x:c r="L60" s="2" t="str">
        <x:v>Recent light buyers</x:v>
      </x:c>
    </x:row>
    <x:row r="61" ht="22" customHeight="1">
      <x:c r="A61" s="2"/>
      <x:c r="B61" s="2" t="str">
        <x:v>12368</x:v>
      </x:c>
      <x:c r="C61" s="2" t="str">
        <x:v>Cyprus</x:v>
      </x:c>
      <x:c r="D61" s="25" t="n">
        <x:v>40258.455555555556</x:v>
      </x:c>
      <x:c r="E61" s="25" t="n">
        <x:v>40258.455555555556</x:v>
      </x:c>
      <x:c r="F61" s="2" t="n">
        <x:v>629</x:v>
      </x:c>
      <x:c r="G61" s="2" t="n">
        <x:v>1</x:v>
      </x:c>
      <x:c r="H61" s="11" t="n">
        <x:v>917.7</x:v>
      </x:c>
      <x:c r="I61" s="2" t="n">
        <x:v>1</x:v>
      </x:c>
      <x:c r="J61" s="2" t="n">
        <x:v>1</x:v>
      </x:c>
      <x:c r="K61" s="2" t="n">
        <x:v>3</x:v>
      </x:c>
      <x:c r="L61" s="2" t="str">
        <x:v>Hibernating</x:v>
      </x:c>
    </x:row>
    <x:row r="62" ht="22" customHeight="1">
      <x:c r="A62" s="2"/>
      <x:c r="B62" s="2" t="str">
        <x:v>12369</x:v>
      </x:c>
      <x:c r="C62" s="2" t="str">
        <x:v>Austria</x:v>
      </x:c>
      <x:c r="D62" s="25" t="n">
        <x:v>40245.13125</x:v>
      </x:c>
      <x:c r="E62" s="25" t="n">
        <x:v>40473.342361111114</x:v>
      </x:c>
      <x:c r="F62" s="2" t="n">
        <x:v>414</x:v>
      </x:c>
      <x:c r="G62" s="2" t="n">
        <x:v>3</x:v>
      </x:c>
      <x:c r="H62" s="11" t="n">
        <x:v>1791.15</x:v>
      </x:c>
      <x:c r="I62" s="2" t="n">
        <x:v>1</x:v>
      </x:c>
      <x:c r="J62" s="2" t="n">
        <x:v>3</x:v>
      </x:c>
      <x:c r="K62" s="2" t="n">
        <x:v>4</x:v>
      </x:c>
      <x:c r="L62" s="2" t="str">
        <x:v>At risk</x:v>
      </x:c>
    </x:row>
    <x:row r="63" ht="22" customHeight="1">
      <x:c r="A63" s="2"/>
      <x:c r="B63" s="2" t="str">
        <x:v>12370</x:v>
      </x:c>
      <x:c r="C63" s="2" t="str">
        <x:v>Cyprus</x:v>
      </x:c>
      <x:c r="D63" s="25" t="n">
        <x:v>40218.19513888889</x:v>
      </x:c>
      <x:c r="E63" s="25" t="n">
        <x:v>40835.410416666666</x:v>
      </x:c>
      <x:c r="F63" s="2" t="n">
        <x:v>52</x:v>
      </x:c>
      <x:c r="G63" s="2" t="n">
        <x:v>7</x:v>
      </x:c>
      <x:c r="H63" s="11" t="n">
        <x:v>4320.31</x:v>
      </x:c>
      <x:c r="I63" s="2" t="n">
        <x:v>4</x:v>
      </x:c>
      <x:c r="J63" s="2" t="n">
        <x:v>4</x:v>
      </x:c>
      <x:c r="K63" s="2" t="n">
        <x:v>5</x:v>
      </x:c>
      <x:c r="L63" s="2" t="str">
        <x:v>Champions</x:v>
      </x:c>
    </x:row>
    <x:row r="64" ht="22" customHeight="1">
      <x:c r="A64" s="2"/>
      <x:c r="B64" s="2" t="str">
        <x:v>12371</x:v>
      </x:c>
      <x:c r="C64" s="2" t="str">
        <x:v>Switzerland</x:v>
      </x:c>
      <x:c r="D64" s="25" t="n">
        <x:v>40241.55763888889</x:v>
      </x:c>
      <x:c r="E64" s="25" t="n">
        <x:v>40842.21944444445</x:v>
      </x:c>
      <x:c r="F64" s="2" t="n">
        <x:v>45</x:v>
      </x:c>
      <x:c r="G64" s="2" t="n">
        <x:v>5</x:v>
      </x:c>
      <x:c r="H64" s="11" t="n">
        <x:v>4067.38</x:v>
      </x:c>
      <x:c r="I64" s="2" t="n">
        <x:v>4</x:v>
      </x:c>
      <x:c r="J64" s="2" t="n">
        <x:v>4</x:v>
      </x:c>
      <x:c r="K64" s="2" t="n">
        <x:v>5</x:v>
      </x:c>
      <x:c r="L64" s="2" t="str">
        <x:v>Champions</x:v>
      </x:c>
    </x:row>
    <x:row r="65" ht="22" customHeight="1">
      <x:c r="A65" s="2"/>
      <x:c r="B65" s="2" t="str">
        <x:v>12372</x:v>
      </x:c>
      <x:c r="C65" s="2" t="str">
        <x:v>Denmark</x:v>
      </x:c>
      <x:c r="D65" s="25" t="n">
        <x:v>40590.32361111111</x:v>
      </x:c>
      <x:c r="E65" s="25" t="n">
        <x:v>40815.3</x:v>
      </x:c>
      <x:c r="F65" s="2" t="n">
        <x:v>72</x:v>
      </x:c>
      <x:c r="G65" s="2" t="n">
        <x:v>3</x:v>
      </x:c>
      <x:c r="H65" s="11" t="n">
        <x:v>1298.04</x:v>
      </x:c>
      <x:c r="I65" s="2" t="n">
        <x:v>3</x:v>
      </x:c>
      <x:c r="J65" s="2" t="n">
        <x:v>3</x:v>
      </x:c>
      <x:c r="K65" s="2" t="n">
        <x:v>4</x:v>
      </x:c>
      <x:c r="L65" s="2" t="str">
        <x:v>Loyal</x:v>
      </x:c>
    </x:row>
    <x:row r="66" ht="22" customHeight="1">
      <x:c r="A66" s="2"/>
      <x:c r="B66" s="2" t="str">
        <x:v>12373</x:v>
      </x:c>
      <x:c r="C66" s="2" t="str">
        <x:v>Austria</x:v>
      </x:c>
      <x:c r="D66" s="25" t="n">
        <x:v>40213.29722222222</x:v>
      </x:c>
      <x:c r="E66" s="25" t="n">
        <x:v>40575.34027777778</x:v>
      </x:c>
      <x:c r="F66" s="2" t="n">
        <x:v>312</x:v>
      </x:c>
      <x:c r="G66" s="2" t="n">
        <x:v>3</x:v>
      </x:c>
      <x:c r="H66" s="11" t="n">
        <x:v>1127.65</x:v>
      </x:c>
      <x:c r="I66" s="2" t="n">
        <x:v>2</x:v>
      </x:c>
      <x:c r="J66" s="2" t="n">
        <x:v>3</x:v>
      </x:c>
      <x:c r="K66" s="2" t="n">
        <x:v>3</x:v>
      </x:c>
      <x:c r="L66" s="2" t="str">
        <x:v>At risk</x:v>
      </x:c>
    </x:row>
    <x:row r="67" ht="22" customHeight="1">
      <x:c r="A67" s="2"/>
      <x:c r="B67" s="2" t="str">
        <x:v>12374</x:v>
      </x:c>
      <x:c r="C67" s="2" t="str">
        <x:v>Austria</x:v>
      </x:c>
      <x:c r="D67" s="25" t="n">
        <x:v>40298.37569444445</x:v>
      </x:c>
      <x:c r="E67" s="25" t="n">
        <x:v>40861.44236111111</x:v>
      </x:c>
      <x:c r="F67" s="2" t="n">
        <x:v>26</x:v>
      </x:c>
      <x:c r="G67" s="2" t="n">
        <x:v>4</x:v>
      </x:c>
      <x:c r="H67" s="11" t="n">
        <x:v>2989.22</x:v>
      </x:c>
      <x:c r="I67" s="2" t="n">
        <x:v>4</x:v>
      </x:c>
      <x:c r="J67" s="2" t="n">
        <x:v>3</x:v>
      </x:c>
      <x:c r="K67" s="2" t="n">
        <x:v>5</x:v>
      </x:c>
      <x:c r="L67" s="2" t="str">
        <x:v>Loyal</x:v>
      </x:c>
    </x:row>
    <x:row r="68" ht="22" customHeight="1">
      <x:c r="A68" s="2"/>
      <x:c r="B68" s="2" t="str">
        <x:v>12375</x:v>
      </x:c>
      <x:c r="C68" s="2" t="str">
        <x:v>Finland</x:v>
      </x:c>
      <x:c r="D68" s="25" t="n">
        <x:v>40788.39097222222</x:v>
      </x:c>
      <x:c r="E68" s="25" t="n">
        <x:v>40876.23333333333</x:v>
      </x:c>
      <x:c r="F68" s="2" t="n">
        <x:v>11</x:v>
      </x:c>
      <x:c r="G68" s="2" t="n">
        <x:v>2</x:v>
      </x:c>
      <x:c r="H68" s="11" t="n">
        <x:v>457.5</x:v>
      </x:c>
      <x:c r="I68" s="2" t="n">
        <x:v>5</x:v>
      </x:c>
      <x:c r="J68" s="2" t="n">
        <x:v>2</x:v>
      </x:c>
      <x:c r="K68" s="2" t="n">
        <x:v>2</x:v>
      </x:c>
      <x:c r="L68" s="2" t="str">
        <x:v>Recent light buyers</x:v>
      </x:c>
    </x:row>
    <x:row r="69" ht="22" customHeight="1">
      <x:c r="A69" s="2"/>
      <x:c r="B69" s="2" t="str">
        <x:v>12376</x:v>
      </x:c>
      <x:c r="C69" s="2" t="str">
        <x:v>Switzerland</x:v>
      </x:c>
      <x:c r="D69" s="25" t="n">
        <x:v>40469.15416666667</x:v>
      </x:c>
      <x:c r="E69" s="25" t="n">
        <x:v>40497.302083333336</x:v>
      </x:c>
      <x:c r="F69" s="2" t="n">
        <x:v>390</x:v>
      </x:c>
      <x:c r="G69" s="2" t="n">
        <x:v>2</x:v>
      </x:c>
      <x:c r="H69" s="11" t="n">
        <x:v>503.15</x:v>
      </x:c>
      <x:c r="I69" s="2" t="n">
        <x:v>2</x:v>
      </x:c>
      <x:c r="J69" s="2" t="n">
        <x:v>2</x:v>
      </x:c>
      <x:c r="K69" s="2" t="n">
        <x:v>2</x:v>
      </x:c>
      <x:c r="L69" s="2" t="str">
        <x:v>Hibernating</x:v>
      </x:c>
    </x:row>
    <x:row r="70" ht="22" customHeight="1">
      <x:c r="A70" s="2"/>
      <x:c r="B70" s="2" t="str">
        <x:v>12377</x:v>
      </x:c>
      <x:c r="C70" s="2" t="str">
        <x:v>Switzerland</x:v>
      </x:c>
      <x:c r="D70" s="25" t="n">
        <x:v>40297.44027777778</x:v>
      </x:c>
      <x:c r="E70" s="25" t="n">
        <x:v>40571.447916666664</x:v>
      </x:c>
      <x:c r="F70" s="2" t="n">
        <x:v>316</x:v>
      </x:c>
      <x:c r="G70" s="2" t="n">
        <x:v>4</x:v>
      </x:c>
      <x:c r="H70" s="11" t="n">
        <x:v>3426.32</x:v>
      </x:c>
      <x:c r="I70" s="2" t="n">
        <x:v>2</x:v>
      </x:c>
      <x:c r="J70" s="2" t="n">
        <x:v>3</x:v>
      </x:c>
      <x:c r="K70" s="2" t="n">
        <x:v>5</x:v>
      </x:c>
      <x:c r="L70" s="2" t="str">
        <x:v>At risk</x:v>
      </x:c>
    </x:row>
    <x:row r="71" ht="22" customHeight="1">
      <x:c r="A71" s="2"/>
      <x:c r="B71" s="2" t="str">
        <x:v>12378</x:v>
      </x:c>
      <x:c r="C71" s="2" t="str">
        <x:v>Switzerland</x:v>
      </x:c>
      <x:c r="D71" s="25" t="n">
        <x:v>40324.37986111111</x:v>
      </x:c>
      <x:c r="E71" s="25" t="n">
        <x:v>40757.231944444444</x:v>
      </x:c>
      <x:c r="F71" s="2" t="n">
        <x:v>130</x:v>
      </x:c>
      <x:c r="G71" s="2" t="n">
        <x:v>2</x:v>
      </x:c>
      <x:c r="H71" s="11" t="n">
        <x:v>5416.32</x:v>
      </x:c>
      <x:c r="I71" s="2" t="n">
        <x:v>3</x:v>
      </x:c>
      <x:c r="J71" s="2" t="n">
        <x:v>2</x:v>
      </x:c>
      <x:c r="K71" s="2" t="n">
        <x:v>5</x:v>
      </x:c>
      <x:c r="L71" s="2" t="str">
        <x:v>Developing</x:v>
      </x:c>
    </x:row>
    <x:row r="72" ht="22" customHeight="1">
      <x:c r="A72" s="2"/>
      <x:c r="B72" s="2" t="str">
        <x:v>12379</x:v>
      </x:c>
      <x:c r="C72" s="2" t="str">
        <x:v>Belgium</x:v>
      </x:c>
      <x:c r="D72" s="25" t="n">
        <x:v>40352.325694444444</x:v>
      </x:c>
      <x:c r="E72" s="25" t="n">
        <x:v>40805.214583333334</x:v>
      </x:c>
      <x:c r="F72" s="2" t="n">
        <x:v>82</x:v>
      </x:c>
      <x:c r="G72" s="2" t="n">
        <x:v>4</x:v>
      </x:c>
      <x:c r="H72" s="11" t="n">
        <x:v>1620.22</x:v>
      </x:c>
      <x:c r="I72" s="2" t="n">
        <x:v>3</x:v>
      </x:c>
      <x:c r="J72" s="2" t="n">
        <x:v>3</x:v>
      </x:c>
      <x:c r="K72" s="2" t="n">
        <x:v>4</x:v>
      </x:c>
      <x:c r="L72" s="2" t="str">
        <x:v>Loyal</x:v>
      </x:c>
    </x:row>
    <x:row r="73" ht="22" customHeight="1">
      <x:c r="A73" s="2"/>
      <x:c r="B73" s="2" t="str">
        <x:v>12380</x:v>
      </x:c>
      <x:c r="C73" s="2" t="str">
        <x:v>Belgium</x:v>
      </x:c>
      <x:c r="D73" s="25" t="n">
        <x:v>40224.29513888889</x:v>
      </x:c>
      <x:c r="E73" s="25" t="n">
        <x:v>40865.26875</x:v>
      </x:c>
      <x:c r="F73" s="2" t="n">
        <x:v>22</x:v>
      </x:c>
      <x:c r="G73" s="2" t="n">
        <x:v>11</x:v>
      </x:c>
      <x:c r="H73" s="11" t="n">
        <x:v>9676.3</x:v>
      </x:c>
      <x:c r="I73" s="2" t="n">
        <x:v>4</x:v>
      </x:c>
      <x:c r="J73" s="2" t="n">
        <x:v>5</x:v>
      </x:c>
      <x:c r="K73" s="2" t="n">
        <x:v>5</x:v>
      </x:c>
      <x:c r="L73" s="2" t="str">
        <x:v>Champions</x:v>
      </x:c>
    </x:row>
    <x:row r="74" ht="22" customHeight="1">
      <x:c r="A74" s="2"/>
      <x:c r="B74" s="2" t="str">
        <x:v>12381</x:v>
      </x:c>
      <x:c r="C74" s="2" t="str">
        <x:v>Norway</x:v>
      </x:c>
      <x:c r="D74" s="25" t="n">
        <x:v>40767.20625</x:v>
      </x:c>
      <x:c r="E74" s="25" t="n">
        <x:v>40882.322222222225</x:v>
      </x:c>
      <x:c r="F74" s="2" t="n">
        <x:v>5</x:v>
      </x:c>
      <x:c r="G74" s="2" t="n">
        <x:v>5</x:v>
      </x:c>
      <x:c r="H74" s="11" t="n">
        <x:v>1845.31</x:v>
      </x:c>
      <x:c r="I74" s="2" t="n">
        <x:v>5</x:v>
      </x:c>
      <x:c r="J74" s="2" t="n">
        <x:v>4</x:v>
      </x:c>
      <x:c r="K74" s="2" t="n">
        <x:v>4</x:v>
      </x:c>
      <x:c r="L74" s="2" t="str">
        <x:v>Champions</x:v>
      </x:c>
    </x:row>
    <x:row r="75" ht="22" customHeight="1">
      <x:c r="A75" s="2"/>
      <x:c r="B75" s="2" t="str">
        <x:v>12383</x:v>
      </x:c>
      <x:c r="C75" s="2" t="str">
        <x:v>Belgium</x:v>
      </x:c>
      <x:c r="D75" s="25" t="n">
        <x:v>40534.39444444444</x:v>
      </x:c>
      <x:c r="E75" s="25" t="n">
        <x:v>40702.126388888886</x:v>
      </x:c>
      <x:c r="F75" s="2" t="n">
        <x:v>185</x:v>
      </x:c>
      <x:c r="G75" s="2" t="n">
        <x:v>5</x:v>
      </x:c>
      <x:c r="H75" s="11" t="n">
        <x:v>1850.56</x:v>
      </x:c>
      <x:c r="I75" s="2" t="n">
        <x:v>3</x:v>
      </x:c>
      <x:c r="J75" s="2" t="n">
        <x:v>4</x:v>
      </x:c>
      <x:c r="K75" s="2" t="n">
        <x:v>4</x:v>
      </x:c>
      <x:c r="L75" s="2" t="str">
        <x:v>Loyal</x:v>
      </x:c>
    </x:row>
    <x:row r="76" ht="22" customHeight="1">
      <x:c r="A76" s="2"/>
      <x:c r="B76" s="2" t="str">
        <x:v>12384</x:v>
      </x:c>
      <x:c r="C76" s="2" t="str">
        <x:v>Switzerland</x:v>
      </x:c>
      <x:c r="D76" s="25" t="n">
        <x:v>40765.26597222222</x:v>
      </x:c>
      <x:c r="E76" s="25" t="n">
        <x:v>40858.152083333334</x:v>
      </x:c>
      <x:c r="F76" s="2" t="n">
        <x:v>29</x:v>
      </x:c>
      <x:c r="G76" s="2" t="n">
        <x:v>2</x:v>
      </x:c>
      <x:c r="H76" s="11" t="n">
        <x:v>585.27</x:v>
      </x:c>
      <x:c r="I76" s="2" t="n">
        <x:v>4</x:v>
      </x:c>
      <x:c r="J76" s="2" t="n">
        <x:v>2</x:v>
      </x:c>
      <x:c r="K76" s="2" t="n">
        <x:v>2</x:v>
      </x:c>
      <x:c r="L76" s="2" t="str">
        <x:v>Recent light buyers</x:v>
      </x:c>
    </x:row>
    <x:row r="77" ht="22" customHeight="1">
      <x:c r="A77" s="2"/>
      <x:c r="B77" s="2" t="str">
        <x:v>12385</x:v>
      </x:c>
      <x:c r="C77" s="2" t="str">
        <x:v>Belgium</x:v>
      </x:c>
      <x:c r="D77" s="25" t="n">
        <x:v>40507.42638888889</x:v>
      </x:c>
      <x:c r="E77" s="25" t="n">
        <x:v>40507.42638888889</x:v>
      </x:c>
      <x:c r="F77" s="2" t="n">
        <x:v>380</x:v>
      </x:c>
      <x:c r="G77" s="2" t="n">
        <x:v>1</x:v>
      </x:c>
      <x:c r="H77" s="11" t="n">
        <x:v>1938.4</x:v>
      </x:c>
      <x:c r="I77" s="2" t="n">
        <x:v>2</x:v>
      </x:c>
      <x:c r="J77" s="2" t="n">
        <x:v>1</x:v>
      </x:c>
      <x:c r="K77" s="2" t="n">
        <x:v>4</x:v>
      </x:c>
      <x:c r="L77" s="2" t="str">
        <x:v>Hibernating</x:v>
      </x:c>
    </x:row>
    <x:row r="78" ht="22" customHeight="1">
      <x:c r="A78" s="2"/>
      <x:c r="B78" s="2" t="str">
        <x:v>12386</x:v>
      </x:c>
      <x:c r="C78" s="2" t="str">
        <x:v>Australia</x:v>
      </x:c>
      <x:c r="D78" s="25" t="n">
        <x:v>40520.20347222222</x:v>
      </x:c>
      <x:c r="E78" s="25" t="n">
        <x:v>40549.31736111111</x:v>
      </x:c>
      <x:c r="F78" s="2" t="n">
        <x:v>338</x:v>
      </x:c>
      <x:c r="G78" s="2" t="n">
        <x:v>2</x:v>
      </x:c>
      <x:c r="H78" s="11" t="n">
        <x:v>401.9</x:v>
      </x:c>
      <x:c r="I78" s="2" t="n">
        <x:v>2</x:v>
      </x:c>
      <x:c r="J78" s="2" t="n">
        <x:v>2</x:v>
      </x:c>
      <x:c r="K78" s="2" t="n">
        <x:v>2</x:v>
      </x:c>
      <x:c r="L78" s="2" t="str">
        <x:v>Hibernating</x:v>
      </x:c>
    </x:row>
    <x:row r="79" ht="22" customHeight="1">
      <x:c r="A79" s="2"/>
      <x:c r="B79" s="2" t="str">
        <x:v>12387</x:v>
      </x:c>
      <x:c r="C79" s="2" t="str">
        <x:v>Australia</x:v>
      </x:c>
      <x:c r="D79" s="25" t="n">
        <x:v>40471.47708333333</x:v>
      </x:c>
      <x:c r="E79" s="25" t="n">
        <x:v>40471.47708333333</x:v>
      </x:c>
      <x:c r="F79" s="2" t="n">
        <x:v>416</x:v>
      </x:c>
      <x:c r="G79" s="2" t="n">
        <x:v>1</x:v>
      </x:c>
      <x:c r="H79" s="11" t="n">
        <x:v>143.94</x:v>
      </x:c>
      <x:c r="I79" s="2" t="n">
        <x:v>1</x:v>
      </x:c>
      <x:c r="J79" s="2" t="n">
        <x:v>1</x:v>
      </x:c>
      <x:c r="K79" s="2" t="n">
        <x:v>1</x:v>
      </x:c>
      <x:c r="L79" s="2" t="str">
        <x:v>Hibernating</x:v>
      </x:c>
    </x:row>
    <x:row r="80" ht="22" customHeight="1">
      <x:c r="A80" s="2"/>
      <x:c r="B80" s="2" t="str">
        <x:v>12388</x:v>
      </x:c>
      <x:c r="C80" s="2" t="str">
        <x:v>Australia</x:v>
      </x:c>
      <x:c r="D80" s="25" t="n">
        <x:v>40304.32916666667</x:v>
      </x:c>
      <x:c r="E80" s="25" t="n">
        <x:v>40871.3125</x:v>
      </x:c>
      <x:c r="F80" s="2" t="n">
        <x:v>16</x:v>
      </x:c>
      <x:c r="G80" s="2" t="n">
        <x:v>8</x:v>
      </x:c>
      <x:c r="H80" s="11" t="n">
        <x:v>3901.11</x:v>
      </x:c>
      <x:c r="I80" s="2" t="n">
        <x:v>5</x:v>
      </x:c>
      <x:c r="J80" s="2" t="n">
        <x:v>4</x:v>
      </x:c>
      <x:c r="K80" s="2" t="n">
        <x:v>5</x:v>
      </x:c>
      <x:c r="L80" s="2" t="str">
        <x:v>Champions</x:v>
      </x:c>
    </x:row>
    <x:row r="81" ht="22" customHeight="1">
      <x:c r="A81" s="2"/>
      <x:c r="B81" s="2" t="str">
        <x:v>12389</x:v>
      </x:c>
      <x:c r="C81" s="2" t="str">
        <x:v>Australia</x:v>
      </x:c>
      <x:c r="D81" s="25" t="n">
        <x:v>40231.21875</x:v>
      </x:c>
      <x:c r="E81" s="25" t="n">
        <x:v>40484.28611111111</x:v>
      </x:c>
      <x:c r="F81" s="2" t="n">
        <x:v>403</x:v>
      </x:c>
      <x:c r="G81" s="2" t="n">
        <x:v>3</x:v>
      </x:c>
      <x:c r="H81" s="11" t="n">
        <x:v>1433.33</x:v>
      </x:c>
      <x:c r="I81" s="2" t="n">
        <x:v>2</x:v>
      </x:c>
      <x:c r="J81" s="2" t="n">
        <x:v>3</x:v>
      </x:c>
      <x:c r="K81" s="2" t="n">
        <x:v>4</x:v>
      </x:c>
      <x:c r="L81" s="2" t="str">
        <x:v>At risk</x:v>
      </x:c>
    </x:row>
    <x:row r="82" ht="22" customHeight="1">
      <x:c r="A82" s="2"/>
      <x:c r="B82" s="2" t="str">
        <x:v>12390</x:v>
      </x:c>
      <x:c r="C82" s="2" t="str">
        <x:v>Belgium</x:v>
      </x:c>
      <x:c r="D82" s="25" t="n">
        <x:v>40807.18958333333</x:v>
      </x:c>
      <x:c r="E82" s="25" t="n">
        <x:v>40807.18958333333</x:v>
      </x:c>
      <x:c r="F82" s="2" t="n">
        <x:v>80</x:v>
      </x:c>
      <x:c r="G82" s="2" t="n">
        <x:v>1</x:v>
      </x:c>
      <x:c r="H82" s="11" t="n">
        <x:v>549.84</x:v>
      </x:c>
      <x:c r="I82" s="2" t="n">
        <x:v>3</x:v>
      </x:c>
      <x:c r="J82" s="2" t="n">
        <x:v>1</x:v>
      </x:c>
      <x:c r="K82" s="2" t="n">
        <x:v>2</x:v>
      </x:c>
      <x:c r="L82" s="2" t="str">
        <x:v>Developing</x:v>
      </x:c>
    </x:row>
    <x:row r="83" ht="22" customHeight="1">
      <x:c r="A83" s="2"/>
      <x:c r="B83" s="2" t="str">
        <x:v>12391</x:v>
      </x:c>
      <x:c r="C83" s="2" t="str">
        <x:v>Cyprus</x:v>
      </x:c>
      <x:c r="D83" s="25" t="n">
        <x:v>40224.21666666667</x:v>
      </x:c>
      <x:c r="E83" s="25" t="n">
        <x:v>40865.29652777778</x:v>
      </x:c>
      <x:c r="F83" s="2" t="n">
        <x:v>22</x:v>
      </x:c>
      <x:c r="G83" s="2" t="n">
        <x:v>6</x:v>
      </x:c>
      <x:c r="H83" s="11" t="n">
        <x:v>2773.42</x:v>
      </x:c>
      <x:c r="I83" s="2" t="n">
        <x:v>4</x:v>
      </x:c>
      <x:c r="J83" s="2" t="n">
        <x:v>4</x:v>
      </x:c>
      <x:c r="K83" s="2" t="n">
        <x:v>4</x:v>
      </x:c>
      <x:c r="L83" s="2" t="str">
        <x:v>Champions</x:v>
      </x:c>
    </x:row>
    <x:row r="84" ht="22" customHeight="1">
      <x:c r="A84" s="2"/>
      <x:c r="B84" s="2" t="str">
        <x:v>12392</x:v>
      </x:c>
      <x:c r="C84" s="2" t="str">
        <x:v>Australia</x:v>
      </x:c>
      <x:c r="D84" s="25" t="n">
        <x:v>40295.37777777778</x:v>
      </x:c>
      <x:c r="E84" s="25" t="n">
        <x:v>40295.37777777778</x:v>
      </x:c>
      <x:c r="F84" s="2" t="n">
        <x:v>592</x:v>
      </x:c>
      <x:c r="G84" s="2" t="n">
        <x:v>1</x:v>
      </x:c>
      <x:c r="H84" s="11" t="n">
        <x:v>234.75</x:v>
      </x:c>
      <x:c r="I84" s="2" t="n">
        <x:v>1</x:v>
      </x:c>
      <x:c r="J84" s="2" t="n">
        <x:v>1</x:v>
      </x:c>
      <x:c r="K84" s="2" t="n">
        <x:v>1</x:v>
      </x:c>
      <x:c r="L84" s="2" t="str">
        <x:v>Hibernating</x:v>
      </x:c>
    </x:row>
    <x:row r="85" ht="22" customHeight="1">
      <x:c r="A85" s="2"/>
      <x:c r="B85" s="2" t="str">
        <x:v>12393</x:v>
      </x:c>
      <x:c r="C85" s="2" t="str">
        <x:v>Australia</x:v>
      </x:c>
      <x:c r="D85" s="25" t="n">
        <x:v>40458.36736111111</x:v>
      </x:c>
      <x:c r="E85" s="25" t="n">
        <x:v>40814.44513888889</x:v>
      </x:c>
      <x:c r="F85" s="2" t="n">
        <x:v>73</x:v>
      </x:c>
      <x:c r="G85" s="2" t="n">
        <x:v>6</x:v>
      </x:c>
      <x:c r="H85" s="11" t="n">
        <x:v>2399.45</x:v>
      </x:c>
      <x:c r="I85" s="2" t="n">
        <x:v>3</x:v>
      </x:c>
      <x:c r="J85" s="2" t="n">
        <x:v>4</x:v>
      </x:c>
      <x:c r="K85" s="2" t="n">
        <x:v>4</x:v>
      </x:c>
      <x:c r="L85" s="2" t="str">
        <x:v>Loyal</x:v>
      </x:c>
    </x:row>
    <x:row r="86" ht="22" customHeight="1">
      <x:c r="A86" s="2"/>
      <x:c r="B86" s="2" t="str">
        <x:v>12394</x:v>
      </x:c>
      <x:c r="C86" s="2" t="str">
        <x:v>Denmark</x:v>
      </x:c>
      <x:c r="D86" s="25" t="n">
        <x:v>40669.37569444445</x:v>
      </x:c>
      <x:c r="E86" s="25" t="n">
        <x:v>40823.13055555556</x:v>
      </x:c>
      <x:c r="F86" s="2" t="n">
        <x:v>64</x:v>
      </x:c>
      <x:c r="G86" s="2" t="n">
        <x:v>2</x:v>
      </x:c>
      <x:c r="H86" s="11" t="n">
        <x:v>1272.48</x:v>
      </x:c>
      <x:c r="I86" s="2" t="n">
        <x:v>3</x:v>
      </x:c>
      <x:c r="J86" s="2" t="n">
        <x:v>2</x:v>
      </x:c>
      <x:c r="K86" s="2" t="n">
        <x:v>4</x:v>
      </x:c>
      <x:c r="L86" s="2" t="str">
        <x:v>Developing</x:v>
      </x:c>
    </x:row>
    <x:row r="87" ht="22" customHeight="1">
      <x:c r="A87" s="2"/>
      <x:c r="B87" s="2" t="str">
        <x:v>12395</x:v>
      </x:c>
      <x:c r="C87" s="2" t="str">
        <x:v>Belgium</x:v>
      </x:c>
      <x:c r="D87" s="25" t="n">
        <x:v>40284.21944444445</x:v>
      </x:c>
      <x:c r="E87" s="25" t="n">
        <x:v>40867.43125</x:v>
      </x:c>
      <x:c r="F87" s="2" t="n">
        <x:v>20</x:v>
      </x:c>
      <x:c r="G87" s="2" t="n">
        <x:v>15</x:v>
      </x:c>
      <x:c r="H87" s="11" t="n">
        <x:v>4721.17</x:v>
      </x:c>
      <x:c r="I87" s="2" t="n">
        <x:v>5</x:v>
      </x:c>
      <x:c r="J87" s="2" t="n">
        <x:v>5</x:v>
      </x:c>
      <x:c r="K87" s="2" t="n">
        <x:v>5</x:v>
      </x:c>
      <x:c r="L87" s="2" t="str">
        <x:v>Champions</x:v>
      </x:c>
    </x:row>
    <x:row r="88" ht="22" customHeight="1">
      <x:c r="A88" s="2"/>
      <x:c r="B88" s="2" t="str">
        <x:v>12396</x:v>
      </x:c>
      <x:c r="C88" s="2" t="str">
        <x:v>RSA</x:v>
      </x:c>
      <x:c r="D88" s="25" t="n">
        <x:v>40212.34861111111</x:v>
      </x:c>
      <x:c r="E88" s="25" t="n">
        <x:v>40212.34861111111</x:v>
      </x:c>
      <x:c r="F88" s="2" t="n">
        <x:v>675</x:v>
      </x:c>
      <x:c r="G88" s="2" t="n">
        <x:v>1</x:v>
      </x:c>
      <x:c r="H88" s="11" t="n">
        <x:v>931.43</x:v>
      </x:c>
      <x:c r="I88" s="2" t="n">
        <x:v>1</x:v>
      </x:c>
      <x:c r="J88" s="2" t="n">
        <x:v>1</x:v>
      </x:c>
      <x:c r="K88" s="2" t="n">
        <x:v>3</x:v>
      </x:c>
      <x:c r="L88" s="2" t="str">
        <x:v>Hibernating</x:v>
      </x:c>
    </x:row>
    <x:row r="89" ht="22" customHeight="1">
      <x:c r="A89" s="2"/>
      <x:c r="B89" s="2" t="str">
        <x:v>12397</x:v>
      </x:c>
      <x:c r="C89" s="2" t="str">
        <x:v>Belgium</x:v>
      </x:c>
      <x:c r="D89" s="25" t="n">
        <x:v>40751.38958333333</x:v>
      </x:c>
      <x:c r="E89" s="25" t="n">
        <x:v>40851.20277777778</x:v>
      </x:c>
      <x:c r="F89" s="2" t="n">
        <x:v>36</x:v>
      </x:c>
      <x:c r="G89" s="2" t="n">
        <x:v>2</x:v>
      </x:c>
      <x:c r="H89" s="11" t="n">
        <x:v>2409.9</x:v>
      </x:c>
      <x:c r="I89" s="2" t="n">
        <x:v>4</x:v>
      </x:c>
      <x:c r="J89" s="2" t="n">
        <x:v>2</x:v>
      </x:c>
      <x:c r="K89" s="2" t="n">
        <x:v>4</x:v>
      </x:c>
      <x:c r="L89" s="2" t="str">
        <x:v>Recent light buyers</x:v>
      </x:c>
    </x:row>
    <x:row r="90" ht="22" customHeight="1">
      <x:c r="A90" s="2"/>
      <x:c r="B90" s="2" t="str">
        <x:v>12398</x:v>
      </x:c>
      <x:c r="C90" s="2" t="str">
        <x:v>Switzerland</x:v>
      </x:c>
      <x:c r="D90" s="25" t="n">
        <x:v>40841.22708333333</x:v>
      </x:c>
      <x:c r="E90" s="25" t="n">
        <x:v>40841.22708333333</x:v>
      </x:c>
      <x:c r="F90" s="2" t="n">
        <x:v>46</x:v>
      </x:c>
      <x:c r="G90" s="2" t="n">
        <x:v>1</x:v>
      </x:c>
      <x:c r="H90" s="11" t="n">
        <x:v>1635.66</x:v>
      </x:c>
      <x:c r="I90" s="2" t="n">
        <x:v>4</x:v>
      </x:c>
      <x:c r="J90" s="2" t="n">
        <x:v>1</x:v>
      </x:c>
      <x:c r="K90" s="2" t="n">
        <x:v>4</x:v>
      </x:c>
      <x:c r="L90" s="2" t="str">
        <x:v>Recent light buyers</x:v>
      </x:c>
    </x:row>
    <x:row r="91" ht="22" customHeight="1">
      <x:c r="A91" s="2"/>
      <x:c r="B91" s="2" t="str">
        <x:v>12399</x:v>
      </x:c>
      <x:c r="C91" s="2" t="str">
        <x:v>Belgium</x:v>
      </x:c>
      <x:c r="D91" s="25" t="n">
        <x:v>40242.15625</x:v>
      </x:c>
      <x:c r="E91" s="25" t="n">
        <x:v>40767.34375</x:v>
      </x:c>
      <x:c r="F91" s="2" t="n">
        <x:v>120</x:v>
      </x:c>
      <x:c r="G91" s="2" t="n">
        <x:v>7</x:v>
      </x:c>
      <x:c r="H91" s="11" t="n">
        <x:v>1962.3</x:v>
      </x:c>
      <x:c r="I91" s="2" t="n">
        <x:v>3</x:v>
      </x:c>
      <x:c r="J91" s="2" t="n">
        <x:v>4</x:v>
      </x:c>
      <x:c r="K91" s="2" t="n">
        <x:v>4</x:v>
      </x:c>
      <x:c r="L91" s="2" t="str">
        <x:v>Loyal</x:v>
      </x:c>
    </x:row>
    <x:row r="92" ht="22" customHeight="1">
      <x:c r="A92" s="2"/>
      <x:c r="B92" s="2" t="str">
        <x:v>12400</x:v>
      </x:c>
      <x:c r="C92" s="2" t="str">
        <x:v>Australia</x:v>
      </x:c>
      <x:c r="D92" s="25" t="n">
        <x:v>40472.364583333336</x:v>
      </x:c>
      <x:c r="E92" s="25" t="n">
        <x:v>40472.364583333336</x:v>
      </x:c>
      <x:c r="F92" s="2" t="n">
        <x:v>415</x:v>
      </x:c>
      <x:c r="G92" s="2" t="n">
        <x:v>1</x:v>
      </x:c>
      <x:c r="H92" s="11" t="n">
        <x:v>205.25</x:v>
      </x:c>
      <x:c r="I92" s="2" t="n">
        <x:v>1</x:v>
      </x:c>
      <x:c r="J92" s="2" t="n">
        <x:v>1</x:v>
      </x:c>
      <x:c r="K92" s="2" t="n">
        <x:v>1</x:v>
      </x:c>
      <x:c r="L92" s="2" t="str">
        <x:v>Hibernating</x:v>
      </x:c>
    </x:row>
    <x:row r="93" ht="22" customHeight="1">
      <x:c r="A93" s="2"/>
      <x:c r="B93" s="2" t="str">
        <x:v>12401</x:v>
      </x:c>
      <x:c r="C93" s="2" t="str">
        <x:v>Belgium</x:v>
      </x:c>
      <x:c r="D93" s="25" t="n">
        <x:v>40583.368055555555</x:v>
      </x:c>
      <x:c r="E93" s="25" t="n">
        <x:v>40583.368055555555</x:v>
      </x:c>
      <x:c r="F93" s="2" t="n">
        <x:v>304</x:v>
      </x:c>
      <x:c r="G93" s="2" t="n">
        <x:v>1</x:v>
      </x:c>
      <x:c r="H93" s="11" t="n">
        <x:v>84.3</x:v>
      </x:c>
      <x:c r="I93" s="2" t="n">
        <x:v>2</x:v>
      </x:c>
      <x:c r="J93" s="2" t="n">
        <x:v>1</x:v>
      </x:c>
      <x:c r="K93" s="2" t="n">
        <x:v>1</x:v>
      </x:c>
      <x:c r="L93" s="2" t="str">
        <x:v>Hibernating</x:v>
      </x:c>
    </x:row>
    <x:row r="94" ht="22" customHeight="1">
      <x:c r="A94" s="2"/>
      <x:c r="B94" s="2" t="str">
        <x:v>12402</x:v>
      </x:c>
      <x:c r="C94" s="2" t="str">
        <x:v>Belgium</x:v>
      </x:c>
      <x:c r="D94" s="25" t="n">
        <x:v>40216.32013888889</x:v>
      </x:c>
      <x:c r="E94" s="25" t="n">
        <x:v>40563.36736111111</x:v>
      </x:c>
      <x:c r="F94" s="2" t="n">
        <x:v>324</x:v>
      </x:c>
      <x:c r="G94" s="2" t="n">
        <x:v>6</x:v>
      </x:c>
      <x:c r="H94" s="11" t="n">
        <x:v>1256.9</x:v>
      </x:c>
      <x:c r="I94" s="2" t="n">
        <x:v>2</x:v>
      </x:c>
      <x:c r="J94" s="2" t="n">
        <x:v>4</x:v>
      </x:c>
      <x:c r="K94" s="2" t="n">
        <x:v>4</x:v>
      </x:c>
      <x:c r="L94" s="2" t="str">
        <x:v>At risk</x:v>
      </x:c>
    </x:row>
    <x:row r="95" ht="22" customHeight="1">
      <x:c r="A95" s="2"/>
      <x:c r="B95" s="2" t="str">
        <x:v>12403</x:v>
      </x:c>
      <x:c r="C95" s="2" t="str">
        <x:v>Denmark</x:v>
      </x:c>
      <x:c r="D95" s="25" t="n">
        <x:v>40365.277083333334</x:v>
      </x:c>
      <x:c r="E95" s="25" t="n">
        <x:v>40837.24375</x:v>
      </x:c>
      <x:c r="F95" s="2" t="n">
        <x:v>50</x:v>
      </x:c>
      <x:c r="G95" s="2" t="n">
        <x:v>2</x:v>
      </x:c>
      <x:c r="H95" s="11" t="n">
        <x:v>1019.36</x:v>
      </x:c>
      <x:c r="I95" s="2" t="n">
        <x:v>4</x:v>
      </x:c>
      <x:c r="J95" s="2" t="n">
        <x:v>2</x:v>
      </x:c>
      <x:c r="K95" s="2" t="n">
        <x:v>3</x:v>
      </x:c>
      <x:c r="L95" s="2" t="str">
        <x:v>Recent light buyers</x:v>
      </x:c>
    </x:row>
    <x:row r="96" ht="22" customHeight="1">
      <x:c r="A96" s="2"/>
      <x:c r="B96" s="2" t="str">
        <x:v>12404</x:v>
      </x:c>
      <x:c r="C96" s="2" t="str">
        <x:v>Finland</x:v>
      </x:c>
      <x:c r="D96" s="25" t="n">
        <x:v>40204.475694444445</x:v>
      </x:c>
      <x:c r="E96" s="25" t="n">
        <x:v>40204.475694444445</x:v>
      </x:c>
      <x:c r="F96" s="2" t="n">
        <x:v>683</x:v>
      </x:c>
      <x:c r="G96" s="2" t="n">
        <x:v>1</x:v>
      </x:c>
      <x:c r="H96" s="11" t="n">
        <x:v>63.24</x:v>
      </x:c>
      <x:c r="I96" s="2" t="n">
        <x:v>1</x:v>
      </x:c>
      <x:c r="J96" s="2" t="n">
        <x:v>1</x:v>
      </x:c>
      <x:c r="K96" s="2" t="n">
        <x:v>1</x:v>
      </x:c>
      <x:c r="L96" s="2" t="str">
        <x:v>Hibernating</x:v>
      </x:c>
    </x:row>
    <x:row r="97" ht="22" customHeight="1">
      <x:c r="A97" s="2"/>
      <x:c r="B97" s="2" t="str">
        <x:v>12405</x:v>
      </x:c>
      <x:c r="C97" s="2" t="str">
        <x:v>Finland</x:v>
      </x:c>
      <x:c r="D97" s="25" t="n">
        <x:v>40738.16111111111</x:v>
      </x:c>
      <x:c r="E97" s="25" t="n">
        <x:v>40738.16111111111</x:v>
      </x:c>
      <x:c r="F97" s="2" t="n">
        <x:v>149</x:v>
      </x:c>
      <x:c r="G97" s="2" t="n">
        <x:v>1</x:v>
      </x:c>
      <x:c r="H97" s="11" t="n">
        <x:v>1710.39</x:v>
      </x:c>
      <x:c r="I97" s="2" t="n">
        <x:v>3</x:v>
      </x:c>
      <x:c r="J97" s="2" t="n">
        <x:v>1</x:v>
      </x:c>
      <x:c r="K97" s="2" t="n">
        <x:v>4</x:v>
      </x:c>
      <x:c r="L97" s="2" t="str">
        <x:v>Developing</x:v>
      </x:c>
    </x:row>
    <x:row r="98" ht="22" customHeight="1">
      <x:c r="A98" s="2"/>
      <x:c r="B98" s="2" t="str">
        <x:v>12406</x:v>
      </x:c>
      <x:c r="C98" s="2" t="str">
        <x:v>Denmark</x:v>
      </x:c>
      <x:c r="D98" s="25" t="n">
        <x:v>40189.37777777778</x:v>
      </x:c>
      <x:c r="E98" s="25" t="n">
        <x:v>40864.59861111111</x:v>
      </x:c>
      <x:c r="F98" s="2" t="n">
        <x:v>23</x:v>
      </x:c>
      <x:c r="G98" s="2" t="n">
        <x:v>5</x:v>
      </x:c>
      <x:c r="H98" s="11" t="n">
        <x:v>6390.36</x:v>
      </x:c>
      <x:c r="I98" s="2" t="n">
        <x:v>4</x:v>
      </x:c>
      <x:c r="J98" s="2" t="n">
        <x:v>4</x:v>
      </x:c>
      <x:c r="K98" s="2" t="n">
        <x:v>5</x:v>
      </x:c>
      <x:c r="L98" s="2" t="str">
        <x:v>Champions</x:v>
      </x:c>
    </x:row>
    <x:row r="99" ht="22" customHeight="1">
      <x:c r="A99" s="2"/>
      <x:c r="B99" s="2" t="str">
        <x:v>12407</x:v>
      </x:c>
      <x:c r="C99" s="2" t="str">
        <x:v>Belgium</x:v>
      </x:c>
      <x:c r="D99" s="25" t="n">
        <x:v>40622.347916666666</x:v>
      </x:c>
      <x:c r="E99" s="25" t="n">
        <x:v>40837.21597222222</x:v>
      </x:c>
      <x:c r="F99" s="2" t="n">
        <x:v>50</x:v>
      </x:c>
      <x:c r="G99" s="2" t="n">
        <x:v>5</x:v>
      </x:c>
      <x:c r="H99" s="11" t="n">
        <x:v>1708.12</x:v>
      </x:c>
      <x:c r="I99" s="2" t="n">
        <x:v>4</x:v>
      </x:c>
      <x:c r="J99" s="2" t="n">
        <x:v>4</x:v>
      </x:c>
      <x:c r="K99" s="2" t="n">
        <x:v>4</x:v>
      </x:c>
      <x:c r="L99" s="2" t="str">
        <x:v>Champions</x:v>
      </x:c>
    </x:row>
    <x:row r="100" ht="22" customHeight="1">
      <x:c r="A100" s="2"/>
      <x:c r="B100" s="2" t="str">
        <x:v>12408</x:v>
      </x:c>
      <x:c r="C100" s="2" t="str">
        <x:v>Belgium</x:v>
      </x:c>
      <x:c r="D100" s="25" t="n">
        <x:v>40388.35208333333</x:v>
      </x:c>
      <x:c r="E100" s="25" t="n">
        <x:v>40854.31041666667</x:v>
      </x:c>
      <x:c r="F100" s="2" t="n">
        <x:v>33</x:v>
      </x:c>
      <x:c r="G100" s="2" t="n">
        <x:v>8</x:v>
      </x:c>
      <x:c r="H100" s="11" t="n">
        <x:v>4340.77</x:v>
      </x:c>
      <x:c r="I100" s="2" t="n">
        <x:v>4</x:v>
      </x:c>
      <x:c r="J100" s="2" t="n">
        <x:v>4</x:v>
      </x:c>
      <x:c r="K100" s="2" t="n">
        <x:v>5</x:v>
      </x:c>
      <x:c r="L100" s="2" t="str">
        <x:v>Champions</x:v>
      </x:c>
    </x:row>
    <x:row r="101" ht="22" customHeight="1">
      <x:c r="A101" s="2"/>
      <x:c r="B101" s="2" t="str">
        <x:v>12409</x:v>
      </x:c>
      <x:c r="C101" s="2" t="str">
        <x:v>Switzerland</x:v>
      </x:c>
      <x:c r="D101" s="25" t="n">
        <x:v>40321.43125</x:v>
      </x:c>
      <x:c r="E101" s="25" t="n">
        <x:v>40808.23472222222</x:v>
      </x:c>
      <x:c r="F101" s="2" t="n">
        <x:v>79</x:v>
      </x:c>
      <x:c r="G101" s="2" t="n">
        <x:v>7</x:v>
      </x:c>
      <x:c r="H101" s="11" t="n">
        <x:v>23419.29</x:v>
      </x:c>
      <x:c r="I101" s="2" t="n">
        <x:v>3</x:v>
      </x:c>
      <x:c r="J101" s="2" t="n">
        <x:v>4</x:v>
      </x:c>
      <x:c r="K101" s="2" t="n">
        <x:v>5</x:v>
      </x:c>
      <x:c r="L101" s="2" t="str">
        <x:v>Loyal</x:v>
      </x:c>
    </x:row>
    <x:row r="102" ht="22" customHeight="1">
      <x:c r="A102" s="2"/>
      <x:c r="B102" s="2" t="str">
        <x:v>12410</x:v>
      </x:c>
      <x:c r="C102" s="2" t="str">
        <x:v>Switzerland</x:v>
      </x:c>
      <x:c r="D102" s="25" t="n">
        <x:v>40384.35138888889</x:v>
      </x:c>
      <x:c r="E102" s="25" t="n">
        <x:v>40578.23541666667</x:v>
      </x:c>
      <x:c r="F102" s="2" t="n">
        <x:v>309</x:v>
      </x:c>
      <x:c r="G102" s="2" t="n">
        <x:v>3</x:v>
      </x:c>
      <x:c r="H102" s="11" t="n">
        <x:v>1013.71</x:v>
      </x:c>
      <x:c r="I102" s="2" t="n">
        <x:v>2</x:v>
      </x:c>
      <x:c r="J102" s="2" t="n">
        <x:v>3</x:v>
      </x:c>
      <x:c r="K102" s="2" t="n">
        <x:v>3</x:v>
      </x:c>
      <x:c r="L102" s="2" t="str">
        <x:v>At risk</x:v>
      </x:c>
    </x:row>
    <x:row r="103" ht="22" customHeight="1">
      <x:c r="A103" s="2"/>
      <x:c r="B103" s="2" t="str">
        <x:v>12411</x:v>
      </x:c>
      <x:c r="C103" s="2" t="str">
        <x:v>Australia</x:v>
      </x:c>
      <x:c r="D103" s="25" t="n">
        <x:v>40477.18402777778</x:v>
      </x:c>
      <x:c r="E103" s="25" t="n">
        <x:v>40477.18402777778</x:v>
      </x:c>
      <x:c r="F103" s="2" t="n">
        <x:v>410</x:v>
      </x:c>
      <x:c r="G103" s="2" t="n">
        <x:v>1</x:v>
      </x:c>
      <x:c r="H103" s="11" t="n">
        <x:v>346.9</x:v>
      </x:c>
      <x:c r="I103" s="2" t="n">
        <x:v>2</x:v>
      </x:c>
      <x:c r="J103" s="2" t="n">
        <x:v>1</x:v>
      </x:c>
      <x:c r="K103" s="2" t="n">
        <x:v>2</x:v>
      </x:c>
      <x:c r="L103" s="2" t="str">
        <x:v>Hibernating</x:v>
      </x:c>
    </x:row>
    <x:row r="104" ht="22" customHeight="1">
      <x:c r="A104" s="2"/>
      <x:c r="B104" s="2" t="str">
        <x:v>12412</x:v>
      </x:c>
      <x:c r="C104" s="2" t="str">
        <x:v>Denmark</x:v>
      </x:c>
      <x:c r="D104" s="25" t="n">
        <x:v>40347.34861111111</x:v>
      </x:c>
      <x:c r="E104" s="25" t="n">
        <x:v>40812.21944444445</x:v>
      </x:c>
      <x:c r="F104" s="2" t="n">
        <x:v>75</x:v>
      </x:c>
      <x:c r="G104" s="2" t="n">
        <x:v>6</x:v>
      </x:c>
      <x:c r="H104" s="11" t="n">
        <x:v>2596.93</x:v>
      </x:c>
      <x:c r="I104" s="2" t="n">
        <x:v>3</x:v>
      </x:c>
      <x:c r="J104" s="2" t="n">
        <x:v>4</x:v>
      </x:c>
      <x:c r="K104" s="2" t="n">
        <x:v>4</x:v>
      </x:c>
      <x:c r="L104" s="2" t="str">
        <x:v>Loyal</x:v>
      </x:c>
    </x:row>
    <x:row r="105" ht="22" customHeight="1">
      <x:c r="A105" s="2"/>
      <x:c r="B105" s="2" t="str">
        <x:v>12413</x:v>
      </x:c>
      <x:c r="C105" s="2" t="str">
        <x:v>France</x:v>
      </x:c>
      <x:c r="D105" s="25" t="n">
        <x:v>40484.35138888889</x:v>
      </x:c>
      <x:c r="E105" s="25" t="n">
        <x:v>40820.166666666664</x:v>
      </x:c>
      <x:c r="F105" s="2" t="n">
        <x:v>67</x:v>
      </x:c>
      <x:c r="G105" s="2" t="n">
        <x:v>4</x:v>
      </x:c>
      <x:c r="H105" s="11" t="n">
        <x:v>999.45</x:v>
      </x:c>
      <x:c r="I105" s="2" t="n">
        <x:v>3</x:v>
      </x:c>
      <x:c r="J105" s="2" t="n">
        <x:v>3</x:v>
      </x:c>
      <x:c r="K105" s="2" t="n">
        <x:v>3</x:v>
      </x:c>
      <x:c r="L105" s="2" t="str">
        <x:v>Loyal</x:v>
      </x:c>
    </x:row>
    <x:row r="106" ht="22" customHeight="1">
      <x:c r="A106" s="2"/>
      <x:c r="B106" s="2" t="str">
        <x:v>12414</x:v>
      </x:c>
      <x:c r="C106" s="2" t="str">
        <x:v>Austria</x:v>
      </x:c>
      <x:c r="D106" s="25" t="n">
        <x:v>40423.30694444444</x:v>
      </x:c>
      <x:c r="E106" s="25" t="n">
        <x:v>40669.410416666666</x:v>
      </x:c>
      <x:c r="F106" s="2" t="n">
        <x:v>218</x:v>
      </x:c>
      <x:c r="G106" s="2" t="n">
        <x:v>6</x:v>
      </x:c>
      <x:c r="H106" s="11" t="n">
        <x:v>952.41</x:v>
      </x:c>
      <x:c r="I106" s="2" t="n">
        <x:v>2</x:v>
      </x:c>
      <x:c r="J106" s="2" t="n">
        <x:v>4</x:v>
      </x:c>
      <x:c r="K106" s="2" t="n">
        <x:v>3</x:v>
      </x:c>
      <x:c r="L106" s="2" t="str">
        <x:v>At risk</x:v>
      </x:c>
    </x:row>
    <x:row r="107" ht="22" customHeight="1">
      <x:c r="A107" s="2"/>
      <x:c r="B107" s="2" t="str">
        <x:v>12415</x:v>
      </x:c>
      <x:c r="C107" s="2" t="str">
        <x:v>Australia</x:v>
      </x:c>
      <x:c r="D107" s="25" t="n">
        <x:v>40359.145833333336</x:v>
      </x:c>
      <x:c r="E107" s="25" t="n">
        <x:v>40862.39027777778</x:v>
      </x:c>
      <x:c r="F107" s="2" t="n">
        <x:v>25</x:v>
      </x:c>
      <x:c r="G107" s="2" t="n">
        <x:v>28</x:v>
      </x:c>
      <x:c r="H107" s="11" t="n">
        <x:v>144458.37</x:v>
      </x:c>
      <x:c r="I107" s="2" t="n">
        <x:v>4</x:v>
      </x:c>
      <x:c r="J107" s="2" t="n">
        <x:v>5</x:v>
      </x:c>
      <x:c r="K107" s="2" t="n">
        <x:v>5</x:v>
      </x:c>
      <x:c r="L107" s="2" t="str">
        <x:v>Champions</x:v>
      </x:c>
    </x:row>
    <x:row r="108" ht="22" customHeight="1">
      <x:c r="A108" s="2"/>
      <x:c r="B108" s="2" t="str">
        <x:v>12416</x:v>
      </x:c>
      <x:c r="C108" s="2" t="str">
        <x:v>Australia</x:v>
      </x:c>
      <x:c r="D108" s="25" t="n">
        <x:v>40230.22152777778</x:v>
      </x:c>
      <x:c r="E108" s="25" t="n">
        <x:v>40230.22152777778</x:v>
      </x:c>
      <x:c r="F108" s="2" t="n">
        <x:v>657</x:v>
      </x:c>
      <x:c r="G108" s="2" t="n">
        <x:v>1</x:v>
      </x:c>
      <x:c r="H108" s="11" t="n">
        <x:v>202.56</x:v>
      </x:c>
      <x:c r="I108" s="2" t="n">
        <x:v>1</x:v>
      </x:c>
      <x:c r="J108" s="2" t="n">
        <x:v>1</x:v>
      </x:c>
      <x:c r="K108" s="2" t="n">
        <x:v>1</x:v>
      </x:c>
      <x:c r="L108" s="2" t="str">
        <x:v>Hibernating</x:v>
      </x:c>
    </x:row>
    <x:row r="109" ht="22" customHeight="1">
      <x:c r="A109" s="2"/>
      <x:c r="B109" s="2" t="str">
        <x:v>12417</x:v>
      </x:c>
      <x:c r="C109" s="2" t="str">
        <x:v>Belgium</x:v>
      </x:c>
      <x:c r="D109" s="25" t="n">
        <x:v>40153.229166666664</x:v>
      </x:c>
      <x:c r="E109" s="25" t="n">
        <x:v>40883.41111111111</x:v>
      </x:c>
      <x:c r="F109" s="2" t="n">
        <x:v>4</x:v>
      </x:c>
      <x:c r="G109" s="2" t="n">
        <x:v>20</x:v>
      </x:c>
      <x:c r="H109" s="11" t="n">
        <x:v>6816.91</x:v>
      </x:c>
      <x:c r="I109" s="2" t="n">
        <x:v>5</x:v>
      </x:c>
      <x:c r="J109" s="2" t="n">
        <x:v>5</x:v>
      </x:c>
      <x:c r="K109" s="2" t="n">
        <x:v>5</x:v>
      </x:c>
      <x:c r="L109" s="2" t="str">
        <x:v>Champions</x:v>
      </x:c>
    </x:row>
    <x:row r="110" ht="22" customHeight="1">
      <x:c r="A110" s="2"/>
      <x:c r="B110" s="2" t="str">
        <x:v>12418</x:v>
      </x:c>
      <x:c r="C110" s="2" t="str">
        <x:v>Switzerland</x:v>
      </x:c>
      <x:c r="D110" s="25" t="n">
        <x:v>40256.407638888886</x:v>
      </x:c>
      <x:c r="E110" s="25" t="n">
        <x:v>40774.25555555556</x:v>
      </x:c>
      <x:c r="F110" s="2" t="n">
        <x:v>113</x:v>
      </x:c>
      <x:c r="G110" s="2" t="n">
        <x:v>4</x:v>
      </x:c>
      <x:c r="H110" s="11" t="n">
        <x:v>2021.2</x:v>
      </x:c>
      <x:c r="I110" s="2" t="n">
        <x:v>3</x:v>
      </x:c>
      <x:c r="J110" s="2" t="n">
        <x:v>3</x:v>
      </x:c>
      <x:c r="K110" s="2" t="n">
        <x:v>4</x:v>
      </x:c>
      <x:c r="L110" s="2" t="str">
        <x:v>Loyal</x:v>
      </x:c>
    </x:row>
    <x:row r="111" ht="22" customHeight="1">
      <x:c r="A111" s="2"/>
      <x:c r="B111" s="2" t="str">
        <x:v>12419</x:v>
      </x:c>
      <x:c r="C111" s="2" t="str">
        <x:v>Spain</x:v>
      </x:c>
      <x:c r="D111" s="25" t="n">
        <x:v>40473.23611111111</x:v>
      </x:c>
      <x:c r="E111" s="25" t="n">
        <x:v>40501.21111111111</x:v>
      </x:c>
      <x:c r="F111" s="2" t="n">
        <x:v>386</x:v>
      </x:c>
      <x:c r="G111" s="2" t="n">
        <x:v>2</x:v>
      </x:c>
      <x:c r="H111" s="11" t="n">
        <x:v>503.01</x:v>
      </x:c>
      <x:c r="I111" s="2" t="n">
        <x:v>2</x:v>
      </x:c>
      <x:c r="J111" s="2" t="n">
        <x:v>2</x:v>
      </x:c>
      <x:c r="K111" s="2" t="n">
        <x:v>2</x:v>
      </x:c>
      <x:c r="L111" s="2" t="str">
        <x:v>Hibernating</x:v>
      </x:c>
    </x:row>
    <x:row r="112" ht="22" customHeight="1">
      <x:c r="A112" s="2"/>
      <x:c r="B112" s="2" t="str">
        <x:v>12420</x:v>
      </x:c>
      <x:c r="C112" s="2" t="str">
        <x:v>Cyprus</x:v>
      </x:c>
      <x:c r="D112" s="25" t="n">
        <x:v>40823.163194444445</x:v>
      </x:c>
      <x:c r="E112" s="25" t="n">
        <x:v>40823.163194444445</x:v>
      </x:c>
      <x:c r="F112" s="2" t="n">
        <x:v>64</x:v>
      </x:c>
      <x:c r="G112" s="2" t="n">
        <x:v>1</x:v>
      </x:c>
      <x:c r="H112" s="11" t="n">
        <x:v>600.39</x:v>
      </x:c>
      <x:c r="I112" s="2" t="n">
        <x:v>3</x:v>
      </x:c>
      <x:c r="J112" s="2" t="n">
        <x:v>1</x:v>
      </x:c>
      <x:c r="K112" s="2" t="n">
        <x:v>2</x:v>
      </x:c>
      <x:c r="L112" s="2" t="str">
        <x:v>Developing</x:v>
      </x:c>
    </x:row>
    <x:row r="113" ht="22" customHeight="1">
      <x:c r="A113" s="2"/>
      <x:c r="B113" s="2" t="str">
        <x:v>12421</x:v>
      </x:c>
      <x:c r="C113" s="2" t="str">
        <x:v>Spain</x:v>
      </x:c>
      <x:c r="D113" s="25" t="n">
        <x:v>40381.37291666667</x:v>
      </x:c>
      <x:c r="E113" s="25" t="n">
        <x:v>40871.17152777778</x:v>
      </x:c>
      <x:c r="F113" s="2" t="n">
        <x:v>16</x:v>
      </x:c>
      <x:c r="G113" s="2" t="n">
        <x:v>6</x:v>
      </x:c>
      <x:c r="H113" s="11" t="n">
        <x:v>1098.6</x:v>
      </x:c>
      <x:c r="I113" s="2" t="n">
        <x:v>5</x:v>
      </x:c>
      <x:c r="J113" s="2" t="n">
        <x:v>4</x:v>
      </x:c>
      <x:c r="K113" s="2" t="n">
        <x:v>3</x:v>
      </x:c>
      <x:c r="L113" s="2" t="str">
        <x:v>Loyal</x:v>
      </x:c>
    </x:row>
    <x:row r="114" ht="22" customHeight="1">
      <x:c r="A114" s="2"/>
      <x:c r="B114" s="2" t="str">
        <x:v>12422</x:v>
      </x:c>
      <x:c r="C114" s="2" t="str">
        <x:v>Australia</x:v>
      </x:c>
      <x:c r="D114" s="25" t="n">
        <x:v>40165.322222222225</x:v>
      </x:c>
      <x:c r="E114" s="25" t="n">
        <x:v>40791.2</x:v>
      </x:c>
      <x:c r="F114" s="2" t="n">
        <x:v>96</x:v>
      </x:c>
      <x:c r="G114" s="2" t="n">
        <x:v>17</x:v>
      </x:c>
      <x:c r="H114" s="11" t="n">
        <x:v>5231.8</x:v>
      </x:c>
      <x:c r="I114" s="2" t="n">
        <x:v>3</x:v>
      </x:c>
      <x:c r="J114" s="2" t="n">
        <x:v>5</x:v>
      </x:c>
      <x:c r="K114" s="2" t="n">
        <x:v>5</x:v>
      </x:c>
      <x:c r="L114" s="2" t="str">
        <x:v>Loyal</x:v>
      </x:c>
    </x:row>
    <x:row r="115" ht="22" customHeight="1">
      <x:c r="A115" s="2"/>
      <x:c r="B115" s="2" t="str">
        <x:v>12423</x:v>
      </x:c>
      <x:c r="C115" s="2" t="str">
        <x:v>Belgium</x:v>
      </x:c>
      <x:c r="D115" s="25" t="n">
        <x:v>40421.18819444445</x:v>
      </x:c>
      <x:c r="E115" s="25" t="n">
        <x:v>40886.21527777778</x:v>
      </x:c>
      <x:c r="F115" s="2" t="n">
        <x:v>1</x:v>
      </x:c>
      <x:c r="G115" s="2" t="n">
        <x:v>10</x:v>
      </x:c>
      <x:c r="H115" s="11" t="n">
        <x:v>2622.39</x:v>
      </x:c>
      <x:c r="I115" s="2" t="n">
        <x:v>5</x:v>
      </x:c>
      <x:c r="J115" s="2" t="n">
        <x:v>5</x:v>
      </x:c>
      <x:c r="K115" s="2" t="n">
        <x:v>4</x:v>
      </x:c>
      <x:c r="L115" s="2" t="str">
        <x:v>Champions</x:v>
      </x:c>
    </x:row>
    <x:row r="116" ht="22" customHeight="1">
      <x:c r="A116" s="2"/>
      <x:c r="B116" s="2" t="str">
        <x:v>12424</x:v>
      </x:c>
      <x:c r="C116" s="2" t="str">
        <x:v>Australia</x:v>
      </x:c>
      <x:c r="D116" s="25" t="n">
        <x:v>40338.427083333336</x:v>
      </x:c>
      <x:c r="E116" s="25" t="n">
        <x:v>40724.29583333333</x:v>
      </x:c>
      <x:c r="F116" s="2" t="n">
        <x:v>163</x:v>
      </x:c>
      <x:c r="G116" s="2" t="n">
        <x:v>4</x:v>
      </x:c>
      <x:c r="H116" s="11" t="n">
        <x:v>3340.03</x:v>
      </x:c>
      <x:c r="I116" s="2" t="n">
        <x:v>3</x:v>
      </x:c>
      <x:c r="J116" s="2" t="n">
        <x:v>3</x:v>
      </x:c>
      <x:c r="K116" s="2" t="n">
        <x:v>5</x:v>
      </x:c>
      <x:c r="L116" s="2" t="str">
        <x:v>Loyal</x:v>
      </x:c>
    </x:row>
    <x:row r="117" ht="22" customHeight="1">
      <x:c r="A117" s="2"/>
      <x:c r="B117" s="2" t="str">
        <x:v>12425</x:v>
      </x:c>
      <x:c r="C117" s="2" t="str">
        <x:v>Portugal</x:v>
      </x:c>
      <x:c r="D117" s="25" t="n">
        <x:v>40438.381944444445</x:v>
      </x:c>
      <x:c r="E117" s="25" t="n">
        <x:v>40808.521527777775</x:v>
      </x:c>
      <x:c r="F117" s="2" t="n">
        <x:v>79</x:v>
      </x:c>
      <x:c r="G117" s="2" t="n">
        <x:v>2</x:v>
      </x:c>
      <x:c r="H117" s="11" t="n">
        <x:v>1741.41</x:v>
      </x:c>
      <x:c r="I117" s="2" t="n">
        <x:v>3</x:v>
      </x:c>
      <x:c r="J117" s="2" t="n">
        <x:v>2</x:v>
      </x:c>
      <x:c r="K117" s="2" t="n">
        <x:v>4</x:v>
      </x:c>
      <x:c r="L117" s="2" t="str">
        <x:v>Developing</x:v>
      </x:c>
    </x:row>
    <x:row r="118" ht="22" customHeight="1">
      <x:c r="A118" s="2"/>
      <x:c r="B118" s="2" t="str">
        <x:v>12426</x:v>
      </x:c>
      <x:c r="C118" s="2" t="str">
        <x:v>Germany</x:v>
      </x:c>
      <x:c r="D118" s="25" t="n">
        <x:v>40224.15347222222</x:v>
      </x:c>
      <x:c r="E118" s="25" t="n">
        <x:v>40692.30972222222</x:v>
      </x:c>
      <x:c r="F118" s="2" t="n">
        <x:v>195</x:v>
      </x:c>
      <x:c r="G118" s="2" t="n">
        <x:v>2</x:v>
      </x:c>
      <x:c r="H118" s="11" t="n">
        <x:v>1345.21</x:v>
      </x:c>
      <x:c r="I118" s="2" t="n">
        <x:v>2</x:v>
      </x:c>
      <x:c r="J118" s="2" t="n">
        <x:v>2</x:v>
      </x:c>
      <x:c r="K118" s="2" t="n">
        <x:v>4</x:v>
      </x:c>
      <x:c r="L118" s="2" t="str">
        <x:v>Hibernating</x:v>
      </x:c>
    </x:row>
    <x:row r="119" ht="22" customHeight="1">
      <x:c r="A119" s="2"/>
      <x:c r="B119" s="2" t="str">
        <x:v>12427</x:v>
      </x:c>
      <x:c r="C119" s="2" t="str">
        <x:v>Germany</x:v>
      </x:c>
      <x:c r="D119" s="25" t="n">
        <x:v>40515.23888888889</x:v>
      </x:c>
      <x:c r="E119" s="25" t="n">
        <x:v>40865.16388888889</x:v>
      </x:c>
      <x:c r="F119" s="2" t="n">
        <x:v>22</x:v>
      </x:c>
      <x:c r="G119" s="2" t="n">
        <x:v>3</x:v>
      </x:c>
      <x:c r="H119" s="11" t="n">
        <x:v>825.8</x:v>
      </x:c>
      <x:c r="I119" s="2" t="n">
        <x:v>4</x:v>
      </x:c>
      <x:c r="J119" s="2" t="n">
        <x:v>3</x:v>
      </x:c>
      <x:c r="K119" s="2" t="n">
        <x:v>3</x:v>
      </x:c>
      <x:c r="L119" s="2" t="str">
        <x:v>Loyal</x:v>
      </x:c>
    </x:row>
    <x:row r="120" ht="22" customHeight="1">
      <x:c r="A120" s="2"/>
      <x:c r="B120" s="2" t="str">
        <x:v>12428</x:v>
      </x:c>
      <x:c r="C120" s="2" t="str">
        <x:v>Finland</x:v>
      </x:c>
      <x:c r="D120" s="25" t="n">
        <x:v>40603.18958333333</x:v>
      </x:c>
      <x:c r="E120" s="25" t="n">
        <x:v>40861.14027777778</x:v>
      </x:c>
      <x:c r="F120" s="2" t="n">
        <x:v>26</x:v>
      </x:c>
      <x:c r="G120" s="2" t="n">
        <x:v>9</x:v>
      </x:c>
      <x:c r="H120" s="11" t="n">
        <x:v>7956.46</x:v>
      </x:c>
      <x:c r="I120" s="2" t="n">
        <x:v>4</x:v>
      </x:c>
      <x:c r="J120" s="2" t="n">
        <x:v>5</x:v>
      </x:c>
      <x:c r="K120" s="2" t="n">
        <x:v>5</x:v>
      </x:c>
      <x:c r="L120" s="2" t="str">
        <x:v>Champions</x:v>
      </x:c>
    </x:row>
    <x:row r="121" ht="22" customHeight="1">
      <x:c r="A121" s="2"/>
      <x:c r="B121" s="2" t="str">
        <x:v>12429</x:v>
      </x:c>
      <x:c r="C121" s="2" t="str">
        <x:v>Denmark</x:v>
      </x:c>
      <x:c r="D121" s="25" t="n">
        <x:v>40340.35277777778</x:v>
      </x:c>
      <x:c r="E121" s="25" t="n">
        <x:v>40877.51527777778</x:v>
      </x:c>
      <x:c r="F121" s="2" t="n">
        <x:v>10</x:v>
      </x:c>
      <x:c r="G121" s="2" t="n">
        <x:v>8</x:v>
      </x:c>
      <x:c r="H121" s="11" t="n">
        <x:v>6204.41</x:v>
      </x:c>
      <x:c r="I121" s="2" t="n">
        <x:v>5</x:v>
      </x:c>
      <x:c r="J121" s="2" t="n">
        <x:v>4</x:v>
      </x:c>
      <x:c r="K121" s="2" t="n">
        <x:v>5</x:v>
      </x:c>
      <x:c r="L121" s="2" t="str">
        <x:v>Champions</x:v>
      </x:c>
    </x:row>
    <x:row r="122" ht="22" customHeight="1">
      <x:c r="A122" s="2"/>
      <x:c r="B122" s="2" t="str">
        <x:v>12430</x:v>
      </x:c>
      <x:c r="C122" s="2" t="str">
        <x:v>Norway</x:v>
      </x:c>
      <x:c r="D122" s="25" t="n">
        <x:v>40843.42291666667</x:v>
      </x:c>
      <x:c r="E122" s="25" t="n">
        <x:v>40843.42291666667</x:v>
      </x:c>
      <x:c r="F122" s="2" t="n">
        <x:v>44</x:v>
      </x:c>
      <x:c r="G122" s="2" t="n">
        <x:v>1</x:v>
      </x:c>
      <x:c r="H122" s="11" t="n">
        <x:v>256.4</x:v>
      </x:c>
      <x:c r="I122" s="2" t="n">
        <x:v>4</x:v>
      </x:c>
      <x:c r="J122" s="2" t="n">
        <x:v>1</x:v>
      </x:c>
      <x:c r="K122" s="2" t="n">
        <x:v>1</x:v>
      </x:c>
      <x:c r="L122" s="2" t="str">
        <x:v>Recent light buyers</x:v>
      </x:c>
    </x:row>
    <x:row r="123" ht="22" customHeight="1">
      <x:c r="A123" s="2"/>
      <x:c r="B123" s="2" t="str">
        <x:v>12431</x:v>
      </x:c>
      <x:c r="C123" s="2" t="str">
        <x:v>Australia</x:v>
      </x:c>
      <x:c r="D123" s="25" t="n">
        <x:v>40193.169444444444</x:v>
      </x:c>
      <x:c r="E123" s="25" t="n">
        <x:v>40851.288194444445</x:v>
      </x:c>
      <x:c r="F123" s="2" t="n">
        <x:v>36</x:v>
      </x:c>
      <x:c r="G123" s="2" t="n">
        <x:v>27</x:v>
      </x:c>
      <x:c r="H123" s="11" t="n">
        <x:v>10499.72</x:v>
      </x:c>
      <x:c r="I123" s="2" t="n">
        <x:v>4</x:v>
      </x:c>
      <x:c r="J123" s="2" t="n">
        <x:v>5</x:v>
      </x:c>
      <x:c r="K123" s="2" t="n">
        <x:v>5</x:v>
      </x:c>
      <x:c r="L123" s="2" t="str">
        <x:v>Champions</x:v>
      </x:c>
    </x:row>
    <x:row r="124" ht="22" customHeight="1">
      <x:c r="A124" s="2"/>
      <x:c r="B124" s="2" t="str">
        <x:v>12432</x:v>
      </x:c>
      <x:c r="C124" s="2" t="str">
        <x:v>Norway</x:v>
      </x:c>
      <x:c r="D124" s="25" t="n">
        <x:v>40714.35208333333</x:v>
      </x:c>
      <x:c r="E124" s="25" t="n">
        <x:v>40844.279861111114</x:v>
      </x:c>
      <x:c r="F124" s="2" t="n">
        <x:v>43</x:v>
      </x:c>
      <x:c r="G124" s="2" t="n">
        <x:v>5</x:v>
      </x:c>
      <x:c r="H124" s="11" t="n">
        <x:v>5059.32</x:v>
      </x:c>
      <x:c r="I124" s="2" t="n">
        <x:v>4</x:v>
      </x:c>
      <x:c r="J124" s="2" t="n">
        <x:v>4</x:v>
      </x:c>
      <x:c r="K124" s="2" t="n">
        <x:v>5</x:v>
      </x:c>
      <x:c r="L124" s="2" t="str">
        <x:v>Champions</x:v>
      </x:c>
    </x:row>
    <x:row r="125" ht="22" customHeight="1">
      <x:c r="A125" s="2"/>
      <x:c r="B125" s="2" t="str">
        <x:v>12433</x:v>
      </x:c>
      <x:c r="C125" s="2" t="str">
        <x:v>Norway</x:v>
      </x:c>
      <x:c r="D125" s="25" t="n">
        <x:v>40410.18263888889</x:v>
      </x:c>
      <x:c r="E125" s="25" t="n">
        <x:v>40886.20972222222</x:v>
      </x:c>
      <x:c r="F125" s="2" t="n">
        <x:v>1</x:v>
      </x:c>
      <x:c r="G125" s="2" t="n">
        <x:v>10</x:v>
      </x:c>
      <x:c r="H125" s="11" t="n">
        <x:v>16794.14</x:v>
      </x:c>
      <x:c r="I125" s="2" t="n">
        <x:v>5</x:v>
      </x:c>
      <x:c r="J125" s="2" t="n">
        <x:v>5</x:v>
      </x:c>
      <x:c r="K125" s="2" t="n">
        <x:v>5</x:v>
      </x:c>
      <x:c r="L125" s="2" t="str">
        <x:v>Champions</x:v>
      </x:c>
    </x:row>
    <x:row r="126" ht="22" customHeight="1">
      <x:c r="A126" s="2"/>
      <x:c r="B126" s="2" t="str">
        <x:v>12434</x:v>
      </x:c>
      <x:c r="C126" s="2" t="str">
        <x:v>Australia</x:v>
      </x:c>
      <x:c r="D126" s="25" t="n">
        <x:v>40505.35972222222</x:v>
      </x:c>
      <x:c r="E126" s="25" t="n">
        <x:v>40802.31805555556</x:v>
      </x:c>
      <x:c r="F126" s="2" t="n">
        <x:v>85</x:v>
      </x:c>
      <x:c r="G126" s="2" t="n">
        <x:v>3</x:v>
      </x:c>
      <x:c r="H126" s="11" t="n">
        <x:v>1103.43</x:v>
      </x:c>
      <x:c r="I126" s="2" t="n">
        <x:v>3</x:v>
      </x:c>
      <x:c r="J126" s="2" t="n">
        <x:v>3</x:v>
      </x:c>
      <x:c r="K126" s="2" t="n">
        <x:v>3</x:v>
      </x:c>
      <x:c r="L126" s="2" t="str">
        <x:v>Loyal</x:v>
      </x:c>
    </x:row>
    <x:row r="127" ht="22" customHeight="1">
      <x:c r="A127" s="2"/>
      <x:c r="B127" s="2" t="str">
        <x:v>12435</x:v>
      </x:c>
      <x:c r="C127" s="2" t="str">
        <x:v>Denmark</x:v>
      </x:c>
      <x:c r="D127" s="25" t="n">
        <x:v>40149.373611111114</x:v>
      </x:c>
      <x:c r="E127" s="25" t="n">
        <x:v>40807.17083333333</x:v>
      </x:c>
      <x:c r="F127" s="2" t="n">
        <x:v>80</x:v>
      </x:c>
      <x:c r="G127" s="2" t="n">
        <x:v>6</x:v>
      </x:c>
      <x:c r="H127" s="11" t="n">
        <x:v>13925.93</x:v>
      </x:c>
      <x:c r="I127" s="2" t="n">
        <x:v>3</x:v>
      </x:c>
      <x:c r="J127" s="2" t="n">
        <x:v>4</x:v>
      </x:c>
      <x:c r="K127" s="2" t="n">
        <x:v>5</x:v>
      </x:c>
      <x:c r="L127" s="2" t="str">
        <x:v>Loyal</x:v>
      </x:c>
    </x:row>
    <x:row r="128" ht="22" customHeight="1">
      <x:c r="A128" s="2"/>
      <x:c r="B128" s="2" t="str">
        <x:v>12436</x:v>
      </x:c>
      <x:c r="C128" s="2" t="str">
        <x:v>Norway</x:v>
      </x:c>
      <x:c r="D128" s="25" t="n">
        <x:v>40787.29791666667</x:v>
      </x:c>
      <x:c r="E128" s="25" t="n">
        <x:v>40787.29791666667</x:v>
      </x:c>
      <x:c r="F128" s="2" t="n">
        <x:v>100</x:v>
      </x:c>
      <x:c r="G128" s="2" t="n">
        <x:v>1</x:v>
      </x:c>
      <x:c r="H128" s="11" t="n">
        <x:v>509.01</x:v>
      </x:c>
      <x:c r="I128" s="2" t="n">
        <x:v>3</x:v>
      </x:c>
      <x:c r="J128" s="2" t="n">
        <x:v>1</x:v>
      </x:c>
      <x:c r="K128" s="2" t="n">
        <x:v>2</x:v>
      </x:c>
      <x:c r="L128" s="2" t="str">
        <x:v>Developing</x:v>
      </x:c>
    </x:row>
    <x:row r="129" ht="22" customHeight="1">
      <x:c r="A129" s="2"/>
      <x:c r="B129" s="2" t="str">
        <x:v>12437</x:v>
      </x:c>
      <x:c r="C129" s="2" t="str">
        <x:v>France</x:v>
      </x:c>
      <x:c r="D129" s="25" t="n">
        <x:v>40149.475</x:v>
      </x:c>
      <x:c r="E129" s="25" t="n">
        <x:v>40885.274305555555</x:v>
      </x:c>
      <x:c r="F129" s="2" t="n">
        <x:v>2</x:v>
      </x:c>
      <x:c r="G129" s="2" t="n">
        <x:v>39</x:v>
      </x:c>
      <x:c r="H129" s="11" t="n">
        <x:v>12683.4</x:v>
      </x:c>
      <x:c r="I129" s="2" t="n">
        <x:v>5</x:v>
      </x:c>
      <x:c r="J129" s="2" t="n">
        <x:v>5</x:v>
      </x:c>
      <x:c r="K129" s="2" t="n">
        <x:v>5</x:v>
      </x:c>
      <x:c r="L129" s="2" t="str">
        <x:v>Champions</x:v>
      </x:c>
    </x:row>
    <x:row r="130" ht="22" customHeight="1">
      <x:c r="A130" s="2"/>
      <x:c r="B130" s="2" t="str">
        <x:v>12438</x:v>
      </x:c>
      <x:c r="C130" s="2" t="str">
        <x:v>Norway</x:v>
      </x:c>
      <x:c r="D130" s="25" t="n">
        <x:v>40746.353472222225</x:v>
      </x:c>
      <x:c r="E130" s="25" t="n">
        <x:v>40872.35277777778</x:v>
      </x:c>
      <x:c r="F130" s="2" t="n">
        <x:v>15</x:v>
      </x:c>
      <x:c r="G130" s="2" t="n">
        <x:v>2</x:v>
      </x:c>
      <x:c r="H130" s="11" t="n">
        <x:v>2906.85</x:v>
      </x:c>
      <x:c r="I130" s="2" t="n">
        <x:v>5</x:v>
      </x:c>
      <x:c r="J130" s="2" t="n">
        <x:v>2</x:v>
      </x:c>
      <x:c r="K130" s="2" t="n">
        <x:v>4</x:v>
      </x:c>
      <x:c r="L130" s="2" t="str">
        <x:v>Recent light buyers</x:v>
      </x:c>
    </x:row>
    <x:row r="131" ht="22" customHeight="1">
      <x:c r="A131" s="2"/>
      <x:c r="B131" s="2" t="str">
        <x:v>12439</x:v>
      </x:c>
      <x:c r="C131" s="2" t="str">
        <x:v>Cyprus</x:v>
      </x:c>
      <x:c r="D131" s="25" t="n">
        <x:v>40161.15277777778</x:v>
      </x:c>
      <x:c r="E131" s="25" t="n">
        <x:v>40204.299305555556</x:v>
      </x:c>
      <x:c r="F131" s="2" t="n">
        <x:v>683</x:v>
      </x:c>
      <x:c r="G131" s="2" t="n">
        <x:v>2</x:v>
      </x:c>
      <x:c r="H131" s="11" t="n">
        <x:v>1158.18</x:v>
      </x:c>
      <x:c r="I131" s="2" t="n">
        <x:v>1</x:v>
      </x:c>
      <x:c r="J131" s="2" t="n">
        <x:v>2</x:v>
      </x:c>
      <x:c r="K131" s="2" t="n">
        <x:v>3</x:v>
      </x:c>
      <x:c r="L131" s="2" t="str">
        <x:v>Hibernating</x:v>
      </x:c>
    </x:row>
    <x:row r="132" ht="22" customHeight="1">
      <x:c r="A132" s="2"/>
      <x:c r="B132" s="2" t="str">
        <x:v>12440</x:v>
      </x:c>
      <x:c r="C132" s="2" t="str">
        <x:v>Austria</x:v>
      </x:c>
      <x:c r="D132" s="25" t="n">
        <x:v>40169.29375</x:v>
      </x:c>
      <x:c r="E132" s="25" t="n">
        <x:v>40424.34097222222</x:v>
      </x:c>
      <x:c r="F132" s="2" t="n">
        <x:v>463</x:v>
      </x:c>
      <x:c r="G132" s="2" t="n">
        <x:v>2</x:v>
      </x:c>
      <x:c r="H132" s="11" t="n">
        <x:v>859.2</x:v>
      </x:c>
      <x:c r="I132" s="2" t="n">
        <x:v>1</x:v>
      </x:c>
      <x:c r="J132" s="2" t="n">
        <x:v>2</x:v>
      </x:c>
      <x:c r="K132" s="2" t="n">
        <x:v>3</x:v>
      </x:c>
      <x:c r="L132" s="2" t="str">
        <x:v>Hibernating</x:v>
      </x:c>
    </x:row>
    <x:row r="133" ht="22" customHeight="1">
      <x:c r="A133" s="2"/>
      <x:c r="B133" s="2" t="str">
        <x:v>12441</x:v>
      </x:c>
      <x:c r="C133" s="2" t="str">
        <x:v>France</x:v>
      </x:c>
      <x:c r="D133" s="25" t="n">
        <x:v>40520.239583333336</x:v>
      </x:c>
      <x:c r="E133" s="25" t="n">
        <x:v>40520.239583333336</x:v>
      </x:c>
      <x:c r="F133" s="2" t="n">
        <x:v>367</x:v>
      </x:c>
      <x:c r="G133" s="2" t="n">
        <x:v>1</x:v>
      </x:c>
      <x:c r="H133" s="11" t="n">
        <x:v>173.55</x:v>
      </x:c>
      <x:c r="I133" s="2" t="n">
        <x:v>2</x:v>
      </x:c>
      <x:c r="J133" s="2" t="n">
        <x:v>1</x:v>
      </x:c>
      <x:c r="K133" s="2" t="n">
        <x:v>1</x:v>
      </x:c>
      <x:c r="L133" s="2" t="str">
        <x:v>Hibernating</x:v>
      </x:c>
    </x:row>
    <x:row r="134" ht="22" customHeight="1">
      <x:c r="A134" s="2"/>
      <x:c r="B134" s="2" t="str">
        <x:v>12442</x:v>
      </x:c>
      <x:c r="C134" s="2" t="str">
        <x:v>Spain</x:v>
      </x:c>
      <x:c r="D134" s="25" t="n">
        <x:v>40883.39027777778</x:v>
      </x:c>
      <x:c r="E134" s="25" t="n">
        <x:v>40883.39027777778</x:v>
      </x:c>
      <x:c r="F134" s="2" t="n">
        <x:v>4</x:v>
      </x:c>
      <x:c r="G134" s="2" t="n">
        <x:v>1</x:v>
      </x:c>
      <x:c r="H134" s="11" t="n">
        <x:v>172.06</x:v>
      </x:c>
      <x:c r="I134" s="2" t="n">
        <x:v>5</x:v>
      </x:c>
      <x:c r="J134" s="2" t="n">
        <x:v>1</x:v>
      </x:c>
      <x:c r="K134" s="2" t="n">
        <x:v>1</x:v>
      </x:c>
      <x:c r="L134" s="2" t="str">
        <x:v>Recent light buyers</x:v>
      </x:c>
    </x:row>
    <x:row r="135" ht="22" customHeight="1">
      <x:c r="A135" s="2"/>
      <x:c r="B135" s="2" t="str">
        <x:v>12443</x:v>
      </x:c>
      <x:c r="C135" s="2" t="str">
        <x:v>Norway</x:v>
      </x:c>
      <x:c r="D135" s="25" t="n">
        <x:v>40154.44583333333</x:v>
      </x:c>
      <x:c r="E135" s="25" t="n">
        <x:v>40154.44583333333</x:v>
      </x:c>
      <x:c r="F135" s="2" t="n">
        <x:v>733</x:v>
      </x:c>
      <x:c r="G135" s="2" t="n">
        <x:v>1</x:v>
      </x:c>
      <x:c r="H135" s="11" t="n">
        <x:v>485.31</x:v>
      </x:c>
      <x:c r="I135" s="2" t="n">
        <x:v>1</x:v>
      </x:c>
      <x:c r="J135" s="2" t="n">
        <x:v>1</x:v>
      </x:c>
      <x:c r="K135" s="2" t="n">
        <x:v>2</x:v>
      </x:c>
      <x:c r="L135" s="2" t="str">
        <x:v>Hibernating</x:v>
      </x:c>
    </x:row>
    <x:row r="136" ht="22" customHeight="1">
      <x:c r="A136" s="2"/>
      <x:c r="B136" s="2" t="str">
        <x:v>12444</x:v>
      </x:c>
      <x:c r="C136" s="2" t="str">
        <x:v>Norway</x:v>
      </x:c>
      <x:c r="D136" s="25" t="n">
        <x:v>40715.375</x:v>
      </x:c>
      <x:c r="E136" s="25" t="n">
        <x:v>40865.34930555556</x:v>
      </x:c>
      <x:c r="F136" s="2" t="n">
        <x:v>22</x:v>
      </x:c>
      <x:c r="G136" s="2" t="n">
        <x:v>5</x:v>
      </x:c>
      <x:c r="H136" s="11" t="n">
        <x:v>5005.46</x:v>
      </x:c>
      <x:c r="I136" s="2" t="n">
        <x:v>4</x:v>
      </x:c>
      <x:c r="J136" s="2" t="n">
        <x:v>4</x:v>
      </x:c>
      <x:c r="K136" s="2" t="n">
        <x:v>5</x:v>
      </x:c>
      <x:c r="L136" s="2" t="str">
        <x:v>Champions</x:v>
      </x:c>
    </x:row>
    <x:row r="137" ht="22" customHeight="1">
      <x:c r="A137" s="2"/>
      <x:c r="B137" s="2" t="str">
        <x:v>12445</x:v>
      </x:c>
      <x:c r="C137" s="2" t="str">
        <x:v>Spain</x:v>
      </x:c>
      <x:c r="D137" s="25" t="n">
        <x:v>40466.311111111114</x:v>
      </x:c>
      <x:c r="E137" s="25" t="n">
        <x:v>40864.57152777778</x:v>
      </x:c>
      <x:c r="F137" s="2" t="n">
        <x:v>23</x:v>
      </x:c>
      <x:c r="G137" s="2" t="n">
        <x:v>2</x:v>
      </x:c>
      <x:c r="H137" s="11" t="n">
        <x:v>434.98</x:v>
      </x:c>
      <x:c r="I137" s="2" t="n">
        <x:v>4</x:v>
      </x:c>
      <x:c r="J137" s="2" t="n">
        <x:v>2</x:v>
      </x:c>
      <x:c r="K137" s="2" t="n">
        <x:v>2</x:v>
      </x:c>
      <x:c r="L137" s="2" t="str">
        <x:v>Recent light buyers</x:v>
      </x:c>
    </x:row>
    <x:row r="138" ht="22" customHeight="1">
      <x:c r="A138" s="2"/>
      <x:c r="B138" s="2" t="str">
        <x:v>12446</x:v>
      </x:c>
      <x:c r="C138" s="2" t="str">
        <x:v>RSA</x:v>
      </x:c>
      <x:c r="D138" s="25" t="n">
        <x:v>40829.32638888889</x:v>
      </x:c>
      <x:c r="E138" s="25" t="n">
        <x:v>40829.32638888889</x:v>
      </x:c>
      <x:c r="F138" s="2" t="n">
        <x:v>58</x:v>
      </x:c>
      <x:c r="G138" s="2" t="n">
        <x:v>1</x:v>
      </x:c>
      <x:c r="H138" s="11" t="n">
        <x:v>1002.31</x:v>
      </x:c>
      <x:c r="I138" s="2" t="n">
        <x:v>4</x:v>
      </x:c>
      <x:c r="J138" s="2" t="n">
        <x:v>1</x:v>
      </x:c>
      <x:c r="K138" s="2" t="n">
        <x:v>3</x:v>
      </x:c>
      <x:c r="L138" s="2" t="str">
        <x:v>Recent light buyers</x:v>
      </x:c>
    </x:row>
    <x:row r="139" ht="22" customHeight="1">
      <x:c r="A139" s="2"/>
      <x:c r="B139" s="2" t="str">
        <x:v>12447</x:v>
      </x:c>
      <x:c r="C139" s="2" t="str">
        <x:v>Belgium</x:v>
      </x:c>
      <x:c r="D139" s="25" t="n">
        <x:v>40643.350694444445</x:v>
      </x:c>
      <x:c r="E139" s="25" t="n">
        <x:v>40643.350694444445</x:v>
      </x:c>
      <x:c r="F139" s="2" t="n">
        <x:v>244</x:v>
      </x:c>
      <x:c r="G139" s="2" t="n">
        <x:v>1</x:v>
      </x:c>
      <x:c r="H139" s="11" t="n">
        <x:v>476.49</x:v>
      </x:c>
      <x:c r="I139" s="2" t="n">
        <x:v>2</x:v>
      </x:c>
      <x:c r="J139" s="2" t="n">
        <x:v>1</x:v>
      </x:c>
      <x:c r="K139" s="2" t="n">
        <x:v>2</x:v>
      </x:c>
      <x:c r="L139" s="2" t="str">
        <x:v>Hibernating</x:v>
      </x:c>
    </x:row>
    <x:row r="140" ht="22" customHeight="1">
      <x:c r="A140" s="2"/>
      <x:c r="B140" s="2" t="str">
        <x:v>12448</x:v>
      </x:c>
      <x:c r="C140" s="2" t="str">
        <x:v>Spain</x:v>
      </x:c>
      <x:c r="D140" s="25" t="n">
        <x:v>40842.365277777775</x:v>
      </x:c>
      <x:c r="E140" s="25" t="n">
        <x:v>40842.365277777775</x:v>
      </x:c>
      <x:c r="F140" s="2" t="n">
        <x:v>45</x:v>
      </x:c>
      <x:c r="G140" s="2" t="n">
        <x:v>1</x:v>
      </x:c>
      <x:c r="H140" s="11" t="n">
        <x:v>449.45</x:v>
      </x:c>
      <x:c r="I140" s="2" t="n">
        <x:v>4</x:v>
      </x:c>
      <x:c r="J140" s="2" t="n">
        <x:v>1</x:v>
      </x:c>
      <x:c r="K140" s="2" t="n">
        <x:v>2</x:v>
      </x:c>
      <x:c r="L140" s="2" t="str">
        <x:v>Recent light buyers</x:v>
      </x:c>
    </x:row>
    <x:row r="141" ht="22" customHeight="1">
      <x:c r="A141" s="2"/>
      <x:c r="B141" s="2" t="str">
        <x:v>12449</x:v>
      </x:c>
      <x:c r="C141" s="2" t="str">
        <x:v>Belgium</x:v>
      </x:c>
      <x:c r="D141" s="25" t="n">
        <x:v>40448.19236111111</x:v>
      </x:c>
      <x:c r="E141" s="25" t="n">
        <x:v>40864.365277777775</x:v>
      </x:c>
      <x:c r="F141" s="2" t="n">
        <x:v>23</x:v>
      </x:c>
      <x:c r="G141" s="2" t="n">
        <x:v>6</x:v>
      </x:c>
      <x:c r="H141" s="11" t="n">
        <x:v>4835.89</x:v>
      </x:c>
      <x:c r="I141" s="2" t="n">
        <x:v>4</x:v>
      </x:c>
      <x:c r="J141" s="2" t="n">
        <x:v>4</x:v>
      </x:c>
      <x:c r="K141" s="2" t="n">
        <x:v>5</x:v>
      </x:c>
      <x:c r="L141" s="2" t="str">
        <x:v>Champions</x:v>
      </x:c>
    </x:row>
    <x:row r="142" ht="22" customHeight="1">
      <x:c r="A142" s="2"/>
      <x:c r="B142" s="2" t="str">
        <x:v>12450</x:v>
      </x:c>
      <x:c r="C142" s="2" t="str">
        <x:v>Spain</x:v>
      </x:c>
      <x:c r="D142" s="25" t="n">
        <x:v>40412.34097222222</x:v>
      </x:c>
      <x:c r="E142" s="25" t="n">
        <x:v>40730.40347222222</x:v>
      </x:c>
      <x:c r="F142" s="2" t="n">
        <x:v>157</x:v>
      </x:c>
      <x:c r="G142" s="2" t="n">
        <x:v>5</x:v>
      </x:c>
      <x:c r="H142" s="11" t="n">
        <x:v>688.2</x:v>
      </x:c>
      <x:c r="I142" s="2" t="n">
        <x:v>3</x:v>
      </x:c>
      <x:c r="J142" s="2" t="n">
        <x:v>4</x:v>
      </x:c>
      <x:c r="K142" s="2" t="n">
        <x:v>3</x:v>
      </x:c>
      <x:c r="L142" s="2" t="str">
        <x:v>Loyal</x:v>
      </x:c>
    </x:row>
    <x:row r="143" ht="22" customHeight="1">
      <x:c r="A143" s="2"/>
      <x:c r="B143" s="2" t="str">
        <x:v>12451</x:v>
      </x:c>
      <x:c r="C143" s="2" t="str">
        <x:v>Switzerland</x:v>
      </x:c>
      <x:c r="D143" s="25" t="n">
        <x:v>40357.33194444444</x:v>
      </x:c>
      <x:c r="E143" s="25" t="n">
        <x:v>40876.15277777778</x:v>
      </x:c>
      <x:c r="F143" s="2" t="n">
        <x:v>11</x:v>
      </x:c>
      <x:c r="G143" s="2" t="n">
        <x:v>8</x:v>
      </x:c>
      <x:c r="H143" s="11" t="n">
        <x:v>12669.88</x:v>
      </x:c>
      <x:c r="I143" s="2" t="n">
        <x:v>5</x:v>
      </x:c>
      <x:c r="J143" s="2" t="n">
        <x:v>4</x:v>
      </x:c>
      <x:c r="K143" s="2" t="n">
        <x:v>5</x:v>
      </x:c>
      <x:c r="L143" s="2" t="str">
        <x:v>Champions</x:v>
      </x:c>
    </x:row>
    <x:row r="144" ht="22" customHeight="1">
      <x:c r="A144" s="2"/>
      <x:c r="B144" s="2" t="str">
        <x:v>12452</x:v>
      </x:c>
      <x:c r="C144" s="2" t="str">
        <x:v>Switzerland</x:v>
      </x:c>
      <x:c r="D144" s="25" t="n">
        <x:v>40870.12847222222</x:v>
      </x:c>
      <x:c r="E144" s="25" t="n">
        <x:v>40870.22777777778</x:v>
      </x:c>
      <x:c r="F144" s="2" t="n">
        <x:v>17</x:v>
      </x:c>
      <x:c r="G144" s="2" t="n">
        <x:v>2</x:v>
      </x:c>
      <x:c r="H144" s="11" t="n">
        <x:v>430.57</x:v>
      </x:c>
      <x:c r="I144" s="2" t="n">
        <x:v>5</x:v>
      </x:c>
      <x:c r="J144" s="2" t="n">
        <x:v>2</x:v>
      </x:c>
      <x:c r="K144" s="2" t="n">
        <x:v>2</x:v>
      </x:c>
      <x:c r="L144" s="2" t="str">
        <x:v>Recent light buyers</x:v>
      </x:c>
    </x:row>
    <x:row r="145" ht="22" customHeight="1">
      <x:c r="A145" s="2"/>
      <x:c r="B145" s="2" t="str">
        <x:v>12453</x:v>
      </x:c>
      <x:c r="C145" s="2" t="str">
        <x:v>Austria</x:v>
      </x:c>
      <x:c r="D145" s="25" t="n">
        <x:v>40752.38055555556</x:v>
      </x:c>
      <x:c r="E145" s="25" t="n">
        <x:v>40752.38055555556</x:v>
      </x:c>
      <x:c r="F145" s="2" t="n">
        <x:v>135</x:v>
      </x:c>
      <x:c r="G145" s="2" t="n">
        <x:v>1</x:v>
      </x:c>
      <x:c r="H145" s="11" t="n">
        <x:v>707.09</x:v>
      </x:c>
      <x:c r="I145" s="2" t="n">
        <x:v>3</x:v>
      </x:c>
      <x:c r="J145" s="2" t="n">
        <x:v>1</x:v>
      </x:c>
      <x:c r="K145" s="2" t="n">
        <x:v>3</x:v>
      </x:c>
      <x:c r="L145" s="2" t="str">
        <x:v>Developing</x:v>
      </x:c>
    </x:row>
    <x:row r="146" ht="22" customHeight="1">
      <x:c r="A146" s="2"/>
      <x:c r="B146" s="2" t="str">
        <x:v>12454</x:v>
      </x:c>
      <x:c r="C146" s="2" t="str">
        <x:v>Spain</x:v>
      </x:c>
      <x:c r="D146" s="25" t="n">
        <x:v>40465.52291666667</x:v>
      </x:c>
      <x:c r="E146" s="25" t="n">
        <x:v>40830.50902777778</x:v>
      </x:c>
      <x:c r="F146" s="2" t="n">
        <x:v>57</x:v>
      </x:c>
      <x:c r="G146" s="2" t="n">
        <x:v>5</x:v>
      </x:c>
      <x:c r="H146" s="11" t="n">
        <x:v>16679.78</x:v>
      </x:c>
      <x:c r="I146" s="2" t="n">
        <x:v>4</x:v>
      </x:c>
      <x:c r="J146" s="2" t="n">
        <x:v>4</x:v>
      </x:c>
      <x:c r="K146" s="2" t="n">
        <x:v>5</x:v>
      </x:c>
      <x:c r="L146" s="2" t="str">
        <x:v>Champions</x:v>
      </x:c>
    </x:row>
    <x:row r="147" ht="22" customHeight="1">
      <x:c r="A147" s="2"/>
      <x:c r="B147" s="2" t="str">
        <x:v>12455</x:v>
      </x:c>
      <x:c r="C147" s="2" t="str">
        <x:v>Spain</x:v>
      </x:c>
      <x:c r="D147" s="25" t="n">
        <x:v>40165.31458333333</x:v>
      </x:c>
      <x:c r="E147" s="25" t="n">
        <x:v>40813.43819444445</x:v>
      </x:c>
      <x:c r="F147" s="2" t="n">
        <x:v>74</x:v>
      </x:c>
      <x:c r="G147" s="2" t="n">
        <x:v>10</x:v>
      </x:c>
      <x:c r="H147" s="11" t="n">
        <x:v>5879.95</x:v>
      </x:c>
      <x:c r="I147" s="2" t="n">
        <x:v>3</x:v>
      </x:c>
      <x:c r="J147" s="2" t="n">
        <x:v>5</x:v>
      </x:c>
      <x:c r="K147" s="2" t="n">
        <x:v>5</x:v>
      </x:c>
      <x:c r="L147" s="2" t="str">
        <x:v>Loyal</x:v>
      </x:c>
    </x:row>
    <x:row r="148" ht="22" customHeight="1">
      <x:c r="A148" s="2"/>
      <x:c r="B148" s="2" t="str">
        <x:v>12456</x:v>
      </x:c>
      <x:c r="C148" s="2" t="str">
        <x:v>Switzerland</x:v>
      </x:c>
      <x:c r="D148" s="25" t="n">
        <x:v>40632.175</x:v>
      </x:c>
      <x:c r="E148" s="25" t="n">
        <x:v>40842.40347222222</x:v>
      </x:c>
      <x:c r="F148" s="2" t="n">
        <x:v>45</x:v>
      </x:c>
      <x:c r="G148" s="2" t="n">
        <x:v>3</x:v>
      </x:c>
      <x:c r="H148" s="11" t="n">
        <x:v>3181.04</x:v>
      </x:c>
      <x:c r="I148" s="2" t="n">
        <x:v>4</x:v>
      </x:c>
      <x:c r="J148" s="2" t="n">
        <x:v>3</x:v>
      </x:c>
      <x:c r="K148" s="2" t="n">
        <x:v>5</x:v>
      </x:c>
      <x:c r="L148" s="2" t="str">
        <x:v>Loyal</x:v>
      </x:c>
    </x:row>
    <x:row r="149" ht="22" customHeight="1">
      <x:c r="A149" s="2"/>
      <x:c r="B149" s="2" t="str">
        <x:v>12457</x:v>
      </x:c>
      <x:c r="C149" s="2" t="str">
        <x:v>Cyprus</x:v>
      </x:c>
      <x:c r="D149" s="25" t="n">
        <x:v>40451.540972222225</x:v>
      </x:c>
      <x:c r="E149" s="25" t="n">
        <x:v>40820.342361111114</x:v>
      </x:c>
      <x:c r="F149" s="2" t="n">
        <x:v>67</x:v>
      </x:c>
      <x:c r="G149" s="2" t="n">
        <x:v>8</x:v>
      </x:c>
      <x:c r="H149" s="11" t="n">
        <x:v>2995.91</x:v>
      </x:c>
      <x:c r="I149" s="2" t="n">
        <x:v>3</x:v>
      </x:c>
      <x:c r="J149" s="2" t="n">
        <x:v>4</x:v>
      </x:c>
      <x:c r="K149" s="2" t="n">
        <x:v>5</x:v>
      </x:c>
      <x:c r="L149" s="2" t="str">
        <x:v>Loyal</x:v>
      </x:c>
    </x:row>
    <x:row r="150" ht="22" customHeight="1">
      <x:c r="A150" s="2"/>
      <x:c r="B150" s="2" t="str">
        <x:v>12458</x:v>
      </x:c>
      <x:c r="C150" s="2" t="str">
        <x:v>Switzerland</x:v>
      </x:c>
      <x:c r="D150" s="25" t="n">
        <x:v>40399.23125</x:v>
      </x:c>
      <x:c r="E150" s="25" t="n">
        <x:v>40815.43402777778</x:v>
      </x:c>
      <x:c r="F150" s="2" t="n">
        <x:v>72</x:v>
      </x:c>
      <x:c r="G150" s="2" t="n">
        <x:v>4</x:v>
      </x:c>
      <x:c r="H150" s="11" t="n">
        <x:v>1777.49</x:v>
      </x:c>
      <x:c r="I150" s="2" t="n">
        <x:v>3</x:v>
      </x:c>
      <x:c r="J150" s="2" t="n">
        <x:v>3</x:v>
      </x:c>
      <x:c r="K150" s="2" t="n">
        <x:v>4</x:v>
      </x:c>
      <x:c r="L150" s="2" t="str">
        <x:v>Loyal</x:v>
      </x:c>
    </x:row>
    <x:row r="151" ht="22" customHeight="1">
      <x:c r="A151" s="2"/>
      <x:c r="B151" s="2" t="str">
        <x:v>12459</x:v>
      </x:c>
      <x:c r="C151" s="2" t="str">
        <x:v>Spain</x:v>
      </x:c>
      <x:c r="D151" s="25" t="n">
        <x:v>40281.41180555556</x:v>
      </x:c>
      <x:c r="E151" s="25" t="n">
        <x:v>40281.41180555556</x:v>
      </x:c>
      <x:c r="F151" s="2" t="n">
        <x:v>606</x:v>
      </x:c>
      <x:c r="G151" s="2" t="n">
        <x:v>1</x:v>
      </x:c>
      <x:c r="H151" s="11" t="n">
        <x:v>454.36</x:v>
      </x:c>
      <x:c r="I151" s="2" t="n">
        <x:v>1</x:v>
      </x:c>
      <x:c r="J151" s="2" t="n">
        <x:v>1</x:v>
      </x:c>
      <x:c r="K151" s="2" t="n">
        <x:v>2</x:v>
      </x:c>
      <x:c r="L151" s="2" t="str">
        <x:v>Hibernating</x:v>
      </x:c>
    </x:row>
    <x:row r="152" ht="22" customHeight="1">
      <x:c r="A152" s="2"/>
      <x:c r="B152" s="2" t="str">
        <x:v>12460</x:v>
      </x:c>
      <x:c r="C152" s="2" t="str">
        <x:v>Belgium</x:v>
      </x:c>
      <x:c r="D152" s="25" t="n">
        <x:v>40430.36875</x:v>
      </x:c>
      <x:c r="E152" s="25" t="n">
        <x:v>40430.36875</x:v>
      </x:c>
      <x:c r="F152" s="2" t="n">
        <x:v>457</x:v>
      </x:c>
      <x:c r="G152" s="2" t="n">
        <x:v>1</x:v>
      </x:c>
      <x:c r="H152" s="11" t="n">
        <x:v>326.65</x:v>
      </x:c>
      <x:c r="I152" s="2" t="n">
        <x:v>1</x:v>
      </x:c>
      <x:c r="J152" s="2" t="n">
        <x:v>1</x:v>
      </x:c>
      <x:c r="K152" s="2" t="n">
        <x:v>2</x:v>
      </x:c>
      <x:c r="L152" s="2" t="str">
        <x:v>Hibernating</x:v>
      </x:c>
    </x:row>
    <x:row r="153" ht="22" customHeight="1">
      <x:c r="A153" s="2"/>
      <x:c r="B153" s="2" t="str">
        <x:v>12461</x:v>
      </x:c>
      <x:c r="C153" s="2" t="str">
        <x:v>Switzerland</x:v>
      </x:c>
      <x:c r="D153" s="25" t="n">
        <x:v>40732.22430555556</x:v>
      </x:c>
      <x:c r="E153" s="25" t="n">
        <x:v>40792.49791666667</x:v>
      </x:c>
      <x:c r="F153" s="2" t="n">
        <x:v>95</x:v>
      </x:c>
      <x:c r="G153" s="2" t="n">
        <x:v>2</x:v>
      </x:c>
      <x:c r="H153" s="11" t="n">
        <x:v>826.88</x:v>
      </x:c>
      <x:c r="I153" s="2" t="n">
        <x:v>3</x:v>
      </x:c>
      <x:c r="J153" s="2" t="n">
        <x:v>2</x:v>
      </x:c>
      <x:c r="K153" s="2" t="n">
        <x:v>3</x:v>
      </x:c>
      <x:c r="L153" s="2" t="str">
        <x:v>Developing</x:v>
      </x:c>
    </x:row>
    <x:row r="154" ht="22" customHeight="1">
      <x:c r="A154" s="2"/>
      <x:c r="B154" s="2" t="str">
        <x:v>12462</x:v>
      </x:c>
      <x:c r="C154" s="2" t="str">
        <x:v>Spain</x:v>
      </x:c>
      <x:c r="D154" s="25" t="n">
        <x:v>40583.40555555555</x:v>
      </x:c>
      <x:c r="E154" s="25" t="n">
        <x:v>40868.174305555556</x:v>
      </x:c>
      <x:c r="F154" s="2" t="n">
        <x:v>19</x:v>
      </x:c>
      <x:c r="G154" s="2" t="n">
        <x:v>2</x:v>
      </x:c>
      <x:c r="H154" s="11" t="n">
        <x:v>1189.59</x:v>
      </x:c>
      <x:c r="I154" s="2" t="n">
        <x:v>5</x:v>
      </x:c>
      <x:c r="J154" s="2" t="n">
        <x:v>2</x:v>
      </x:c>
      <x:c r="K154" s="2" t="n">
        <x:v>3</x:v>
      </x:c>
      <x:c r="L154" s="2" t="str">
        <x:v>Recent light buyers</x:v>
      </x:c>
    </x:row>
    <x:row r="155" ht="22" customHeight="1">
      <x:c r="A155" s="2"/>
      <x:c r="B155" s="2" t="str">
        <x:v>12463</x:v>
      </x:c>
      <x:c r="C155" s="2" t="str">
        <x:v>Belgium</x:v>
      </x:c>
      <x:c r="D155" s="25" t="n">
        <x:v>40645.32430555556</x:v>
      </x:c>
      <x:c r="E155" s="25" t="n">
        <x:v>40833.36388888889</x:v>
      </x:c>
      <x:c r="F155" s="2" t="n">
        <x:v>54</x:v>
      </x:c>
      <x:c r="G155" s="2" t="n">
        <x:v>4</x:v>
      </x:c>
      <x:c r="H155" s="11" t="n">
        <x:v>1344.78</x:v>
      </x:c>
      <x:c r="I155" s="2" t="n">
        <x:v>4</x:v>
      </x:c>
      <x:c r="J155" s="2" t="n">
        <x:v>3</x:v>
      </x:c>
      <x:c r="K155" s="2" t="n">
        <x:v>4</x:v>
      </x:c>
      <x:c r="L155" s="2" t="str">
        <x:v>Loyal</x:v>
      </x:c>
    </x:row>
    <x:row r="156" ht="22" customHeight="1">
      <x:c r="A156" s="2"/>
      <x:c r="B156" s="2" t="str">
        <x:v>12464</x:v>
      </x:c>
      <x:c r="C156" s="2" t="str">
        <x:v>Belgium</x:v>
      </x:c>
      <x:c r="D156" s="25" t="n">
        <x:v>40577.354166666664</x:v>
      </x:c>
      <x:c r="E156" s="25" t="n">
        <x:v>40876.35625</x:v>
      </x:c>
      <x:c r="F156" s="2" t="n">
        <x:v>11</x:v>
      </x:c>
      <x:c r="G156" s="2" t="n">
        <x:v>8</x:v>
      </x:c>
      <x:c r="H156" s="11" t="n">
        <x:v>1212.05</x:v>
      </x:c>
      <x:c r="I156" s="2" t="n">
        <x:v>5</x:v>
      </x:c>
      <x:c r="J156" s="2" t="n">
        <x:v>4</x:v>
      </x:c>
      <x:c r="K156" s="2" t="n">
        <x:v>3</x:v>
      </x:c>
      <x:c r="L156" s="2" t="str">
        <x:v>Loyal</x:v>
      </x:c>
    </x:row>
    <x:row r="157" ht="22" customHeight="1">
      <x:c r="A157" s="2"/>
      <x:c r="B157" s="2" t="str">
        <x:v>12465</x:v>
      </x:c>
      <x:c r="C157" s="2" t="str">
        <x:v>Belgium</x:v>
      </x:c>
      <x:c r="D157" s="25" t="n">
        <x:v>40717.35902777778</x:v>
      </x:c>
      <x:c r="E157" s="25" t="n">
        <x:v>40869.481944444444</x:v>
      </x:c>
      <x:c r="F157" s="2" t="n">
        <x:v>18</x:v>
      </x:c>
      <x:c r="G157" s="2" t="n">
        <x:v>2</x:v>
      </x:c>
      <x:c r="H157" s="11" t="n">
        <x:v>742.19</x:v>
      </x:c>
      <x:c r="I157" s="2" t="n">
        <x:v>5</x:v>
      </x:c>
      <x:c r="J157" s="2" t="n">
        <x:v>2</x:v>
      </x:c>
      <x:c r="K157" s="2" t="n">
        <x:v>3</x:v>
      </x:c>
      <x:c r="L157" s="2" t="str">
        <x:v>Recent light buyers</x:v>
      </x:c>
    </x:row>
    <x:row r="158" ht="22" customHeight="1">
      <x:c r="A158" s="2"/>
      <x:c r="B158" s="2" t="str">
        <x:v>12466</x:v>
      </x:c>
      <x:c r="C158" s="2" t="str">
        <x:v>France</x:v>
      </x:c>
      <x:c r="D158" s="25" t="n">
        <x:v>40204.47638888889</x:v>
      </x:c>
      <x:c r="E158" s="25" t="n">
        <x:v>40204.47638888889</x:v>
      </x:c>
      <x:c r="F158" s="2" t="n">
        <x:v>683</x:v>
      </x:c>
      <x:c r="G158" s="2" t="n">
        <x:v>1</x:v>
      </x:c>
      <x:c r="H158" s="11" t="n">
        <x:v>56.73</x:v>
      </x:c>
      <x:c r="I158" s="2" t="n">
        <x:v>1</x:v>
      </x:c>
      <x:c r="J158" s="2" t="n">
        <x:v>1</x:v>
      </x:c>
      <x:c r="K158" s="2" t="n">
        <x:v>1</x:v>
      </x:c>
      <x:c r="L158" s="2" t="str">
        <x:v>Hibernating</x:v>
      </x:c>
    </x:row>
    <x:row r="159" ht="22" customHeight="1">
      <x:c r="A159" s="2"/>
      <x:c r="B159" s="2" t="str">
        <x:v>12467</x:v>
      </x:c>
      <x:c r="C159" s="2" t="str">
        <x:v>USA</x:v>
      </x:c>
      <x:c r="D159" s="25" t="n">
        <x:v>40463.44513888889</x:v>
      </x:c>
      <x:c r="E159" s="25" t="n">
        <x:v>40463.44513888889</x:v>
      </x:c>
      <x:c r="F159" s="2" t="n">
        <x:v>424</x:v>
      </x:c>
      <x:c r="G159" s="2" t="n">
        <x:v>1</x:v>
      </x:c>
      <x:c r="H159" s="11" t="n">
        <x:v>132.8</x:v>
      </x:c>
      <x:c r="I159" s="2" t="n">
        <x:v>1</x:v>
      </x:c>
      <x:c r="J159" s="2" t="n">
        <x:v>1</x:v>
      </x:c>
      <x:c r="K159" s="2" t="n">
        <x:v>1</x:v>
      </x:c>
      <x:c r="L159" s="2" t="str">
        <x:v>Hibernating</x:v>
      </x:c>
    </x:row>
    <x:row r="160" ht="22" customHeight="1">
      <x:c r="A160" s="2"/>
      <x:c r="B160" s="2" t="str">
        <x:v>12468</x:v>
      </x:c>
      <x:c r="C160" s="2" t="str">
        <x:v>Germany</x:v>
      </x:c>
      <x:c r="D160" s="25" t="n">
        <x:v>40204.214583333334</x:v>
      </x:c>
      <x:c r="E160" s="25" t="n">
        <x:v>40699.275</x:v>
      </x:c>
      <x:c r="F160" s="2" t="n">
        <x:v>188</x:v>
      </x:c>
      <x:c r="G160" s="2" t="n">
        <x:v>5</x:v>
      </x:c>
      <x:c r="H160" s="11" t="n">
        <x:v>3670.74</x:v>
      </x:c>
      <x:c r="I160" s="2" t="n">
        <x:v>3</x:v>
      </x:c>
      <x:c r="J160" s="2" t="n">
        <x:v>4</x:v>
      </x:c>
      <x:c r="K160" s="2" t="n">
        <x:v>5</x:v>
      </x:c>
      <x:c r="L160" s="2" t="str">
        <x:v>Loyal</x:v>
      </x:c>
    </x:row>
    <x:row r="161" ht="22" customHeight="1">
      <x:c r="A161" s="2"/>
      <x:c r="B161" s="2" t="str">
        <x:v>12469</x:v>
      </x:c>
      <x:c r="C161" s="2" t="str">
        <x:v>Thailand</x:v>
      </x:c>
      <x:c r="D161" s="25" t="n">
        <x:v>40350.229166666664</x:v>
      </x:c>
      <x:c r="E161" s="25" t="n">
        <x:v>40364.319444444445</x:v>
      </x:c>
      <x:c r="F161" s="2" t="n">
        <x:v>523</x:v>
      </x:c>
      <x:c r="G161" s="2" t="n">
        <x:v>2</x:v>
      </x:c>
      <x:c r="H161" s="11" t="n">
        <x:v>3070.54</x:v>
      </x:c>
      <x:c r="I161" s="2" t="n">
        <x:v>1</x:v>
      </x:c>
      <x:c r="J161" s="2" t="n">
        <x:v>2</x:v>
      </x:c>
      <x:c r="K161" s="2" t="n">
        <x:v>5</x:v>
      </x:c>
      <x:c r="L161" s="2" t="str">
        <x:v>Hibernating</x:v>
      </x:c>
    </x:row>
    <x:row r="162" ht="22" customHeight="1">
      <x:c r="A162" s="2"/>
      <x:c r="B162" s="2" t="str">
        <x:v>12470</x:v>
      </x:c>
      <x:c r="C162" s="2" t="str">
        <x:v>Unspecified</x:v>
      </x:c>
      <x:c r="D162" s="25" t="n">
        <x:v>40197.25069444445</x:v>
      </x:c>
      <x:c r="E162" s="25" t="n">
        <x:v>40197.25069444445</x:v>
      </x:c>
      <x:c r="F162" s="2" t="n">
        <x:v>690</x:v>
      </x:c>
      <x:c r="G162" s="2" t="n">
        <x:v>1</x:v>
      </x:c>
      <x:c r="H162" s="11" t="n">
        <x:v>211.95</x:v>
      </x:c>
      <x:c r="I162" s="2" t="n">
        <x:v>1</x:v>
      </x:c>
      <x:c r="J162" s="2" t="n">
        <x:v>1</x:v>
      </x:c>
      <x:c r="K162" s="2" t="n">
        <x:v>1</x:v>
      </x:c>
      <x:c r="L162" s="2" t="str">
        <x:v>Hibernating</x:v>
      </x:c>
    </x:row>
    <x:row r="163" ht="22" customHeight="1">
      <x:c r="A163" s="2"/>
      <x:c r="B163" s="2" t="str">
        <x:v>12471</x:v>
      </x:c>
      <x:c r="C163" s="2" t="str">
        <x:v>Germany</x:v>
      </x:c>
      <x:c r="D163" s="25" t="n">
        <x:v>40154.236805555556</x:v>
      </x:c>
      <x:c r="E163" s="25" t="n">
        <x:v>40884.44652777778</x:v>
      </x:c>
      <x:c r="F163" s="2" t="n">
        <x:v>3</x:v>
      </x:c>
      <x:c r="G163" s="2" t="n">
        <x:v>79</x:v>
      </x:c>
      <x:c r="H163" s="11" t="n">
        <x:v>39963.79</x:v>
      </x:c>
      <x:c r="I163" s="2" t="n">
        <x:v>5</x:v>
      </x:c>
      <x:c r="J163" s="2" t="n">
        <x:v>5</x:v>
      </x:c>
      <x:c r="K163" s="2" t="n">
        <x:v>5</x:v>
      </x:c>
      <x:c r="L163" s="2" t="str">
        <x:v>Champions</x:v>
      </x:c>
    </x:row>
    <x:row r="164" ht="22" customHeight="1">
      <x:c r="A164" s="2"/>
      <x:c r="B164" s="2" t="str">
        <x:v>12472</x:v>
      </x:c>
      <x:c r="C164" s="2" t="str">
        <x:v>Germany</x:v>
      </x:c>
      <x:c r="D164" s="25" t="n">
        <x:v>40161.24236111111</x:v>
      </x:c>
      <x:c r="E164" s="25" t="n">
        <x:v>40854.37569444445</x:v>
      </x:c>
      <x:c r="F164" s="2" t="n">
        <x:v>33</x:v>
      </x:c>
      <x:c r="G164" s="2" t="n">
        <x:v>19</x:v>
      </x:c>
      <x:c r="H164" s="11" t="n">
        <x:v>16249.29</x:v>
      </x:c>
      <x:c r="I164" s="2" t="n">
        <x:v>4</x:v>
      </x:c>
      <x:c r="J164" s="2" t="n">
        <x:v>5</x:v>
      </x:c>
      <x:c r="K164" s="2" t="n">
        <x:v>5</x:v>
      </x:c>
      <x:c r="L164" s="2" t="str">
        <x:v>Champions</x:v>
      </x:c>
    </x:row>
    <x:row r="165" ht="22" customHeight="1">
      <x:c r="A165" s="2"/>
      <x:c r="B165" s="2" t="str">
        <x:v>12473</x:v>
      </x:c>
      <x:c r="C165" s="2" t="str">
        <x:v>Germany</x:v>
      </x:c>
      <x:c r="D165" s="25" t="n">
        <x:v>40695.21875</x:v>
      </x:c>
      <x:c r="E165" s="25" t="n">
        <x:v>40857.365277777775</x:v>
      </x:c>
      <x:c r="F165" s="2" t="n">
        <x:v>30</x:v>
      </x:c>
      <x:c r="G165" s="2" t="n">
        <x:v>5</x:v>
      </x:c>
      <x:c r="H165" s="11" t="n">
        <x:v>3938.55</x:v>
      </x:c>
      <x:c r="I165" s="2" t="n">
        <x:v>4</x:v>
      </x:c>
      <x:c r="J165" s="2" t="n">
        <x:v>4</x:v>
      </x:c>
      <x:c r="K165" s="2" t="n">
        <x:v>5</x:v>
      </x:c>
      <x:c r="L165" s="2" t="str">
        <x:v>Champions</x:v>
      </x:c>
    </x:row>
    <x:row r="166" ht="22" customHeight="1">
      <x:c r="A166" s="2"/>
      <x:c r="B166" s="2" t="str">
        <x:v>12474</x:v>
      </x:c>
      <x:c r="C166" s="2" t="str">
        <x:v>Germany</x:v>
      </x:c>
      <x:c r="D166" s="25" t="n">
        <x:v>40220.19513888889</x:v>
      </x:c>
      <x:c r="E166" s="25" t="n">
        <x:v>40869.402083333334</x:v>
      </x:c>
      <x:c r="F166" s="2" t="n">
        <x:v>18</x:v>
      </x:c>
      <x:c r="G166" s="2" t="n">
        <x:v>31</x:v>
      </x:c>
      <x:c r="H166" s="11" t="n">
        <x:v>12424.45</x:v>
      </x:c>
      <x:c r="I166" s="2" t="n">
        <x:v>5</x:v>
      </x:c>
      <x:c r="J166" s="2" t="n">
        <x:v>5</x:v>
      </x:c>
      <x:c r="K166" s="2" t="n">
        <x:v>5</x:v>
      </x:c>
      <x:c r="L166" s="2" t="str">
        <x:v>Champions</x:v>
      </x:c>
    </x:row>
    <x:row r="167" ht="22" customHeight="1">
      <x:c r="A167" s="2"/>
      <x:c r="B167" s="2" t="str">
        <x:v>12475</x:v>
      </x:c>
      <x:c r="C167" s="2" t="str">
        <x:v>Germany</x:v>
      </x:c>
      <x:c r="D167" s="25" t="n">
        <x:v>40477.15902777778</x:v>
      </x:c>
      <x:c r="E167" s="25" t="n">
        <x:v>40833.21527777778</x:v>
      </x:c>
      <x:c r="F167" s="2" t="n">
        <x:v>54</x:v>
      </x:c>
      <x:c r="G167" s="2" t="n">
        <x:v>2</x:v>
      </x:c>
      <x:c r="H167" s="11" t="n">
        <x:v>1149.64</x:v>
      </x:c>
      <x:c r="I167" s="2" t="n">
        <x:v>4</x:v>
      </x:c>
      <x:c r="J167" s="2" t="n">
        <x:v>2</x:v>
      </x:c>
      <x:c r="K167" s="2" t="n">
        <x:v>3</x:v>
      </x:c>
      <x:c r="L167" s="2" t="str">
        <x:v>Recent light buyers</x:v>
      </x:c>
    </x:row>
    <x:row r="168" ht="22" customHeight="1">
      <x:c r="A168" s="2"/>
      <x:c r="B168" s="2" t="str">
        <x:v>12476</x:v>
      </x:c>
      <x:c r="C168" s="2" t="str">
        <x:v>Germany</x:v>
      </x:c>
      <x:c r="D168" s="25" t="n">
        <x:v>40385.169444444444</x:v>
      </x:c>
      <x:c r="E168" s="25" t="n">
        <x:v>40871.319444444445</x:v>
      </x:c>
      <x:c r="F168" s="2" t="n">
        <x:v>16</x:v>
      </x:c>
      <x:c r="G168" s="2" t="n">
        <x:v>23</x:v>
      </x:c>
      <x:c r="H168" s="11" t="n">
        <x:v>14115.41</x:v>
      </x:c>
      <x:c r="I168" s="2" t="n">
        <x:v>5</x:v>
      </x:c>
      <x:c r="J168" s="2" t="n">
        <x:v>5</x:v>
      </x:c>
      <x:c r="K168" s="2" t="n">
        <x:v>5</x:v>
      </x:c>
      <x:c r="L168" s="2" t="str">
        <x:v>Champions</x:v>
      </x:c>
    </x:row>
    <x:row r="169" ht="22" customHeight="1">
      <x:c r="A169" s="2"/>
      <x:c r="B169" s="2" t="str">
        <x:v>12477</x:v>
      </x:c>
      <x:c r="C169" s="2" t="str">
        <x:v>Germany</x:v>
      </x:c>
      <x:c r="D169" s="25" t="n">
        <x:v>40263.37569444445</x:v>
      </x:c>
      <x:c r="E169" s="25" t="n">
        <x:v>40864.20208333333</x:v>
      </x:c>
      <x:c r="F169" s="2" t="n">
        <x:v>23</x:v>
      </x:c>
      <x:c r="G169" s="2" t="n">
        <x:v>9</x:v>
      </x:c>
      <x:c r="H169" s="11" t="n">
        <x:v>20276.37</x:v>
      </x:c>
      <x:c r="I169" s="2" t="n">
        <x:v>4</x:v>
      </x:c>
      <x:c r="J169" s="2" t="n">
        <x:v>5</x:v>
      </x:c>
      <x:c r="K169" s="2" t="n">
        <x:v>5</x:v>
      </x:c>
      <x:c r="L169" s="2" t="str">
        <x:v>Champions</x:v>
      </x:c>
    </x:row>
    <x:row r="170" ht="22" customHeight="1">
      <x:c r="A170" s="2"/>
      <x:c r="B170" s="2" t="str">
        <x:v>12478</x:v>
      </x:c>
      <x:c r="C170" s="2" t="str">
        <x:v>Greece</x:v>
      </x:c>
      <x:c r="D170" s="25" t="n">
        <x:v>40883.205555555556</x:v>
      </x:c>
      <x:c r="E170" s="25" t="n">
        <x:v>40883.205555555556</x:v>
      </x:c>
      <x:c r="F170" s="2" t="n">
        <x:v>4</x:v>
      </x:c>
      <x:c r="G170" s="2" t="n">
        <x:v>1</x:v>
      </x:c>
      <x:c r="H170" s="11" t="n">
        <x:v>680.99</x:v>
      </x:c>
      <x:c r="I170" s="2" t="n">
        <x:v>5</x:v>
      </x:c>
      <x:c r="J170" s="2" t="n">
        <x:v>1</x:v>
      </x:c>
      <x:c r="K170" s="2" t="n">
        <x:v>3</x:v>
      </x:c>
      <x:c r="L170" s="2" t="str">
        <x:v>Recent light buyers</x:v>
      </x:c>
    </x:row>
    <x:row r="171" ht="22" customHeight="1">
      <x:c r="A171" s="2"/>
      <x:c r="B171" s="2" t="str">
        <x:v>12479</x:v>
      </x:c>
      <x:c r="C171" s="2" t="str">
        <x:v>Germany</x:v>
      </x:c>
      <x:c r="D171" s="25" t="n">
        <x:v>40875.35138888889</x:v>
      </x:c>
      <x:c r="E171" s="25" t="n">
        <x:v>40875.35138888889</x:v>
      </x:c>
      <x:c r="F171" s="2" t="n">
        <x:v>12</x:v>
      </x:c>
      <x:c r="G171" s="2" t="n">
        <x:v>1</x:v>
      </x:c>
      <x:c r="H171" s="11" t="n">
        <x:v>527.2</x:v>
      </x:c>
      <x:c r="I171" s="2" t="n">
        <x:v>5</x:v>
      </x:c>
      <x:c r="J171" s="2" t="n">
        <x:v>1</x:v>
      </x:c>
      <x:c r="K171" s="2" t="n">
        <x:v>2</x:v>
      </x:c>
      <x:c r="L171" s="2" t="str">
        <x:v>Recent light buyers</x:v>
      </x:c>
    </x:row>
    <x:row r="172" ht="22" customHeight="1">
      <x:c r="A172" s="2"/>
      <x:c r="B172" s="2" t="str">
        <x:v>12480</x:v>
      </x:c>
      <x:c r="C172" s="2" t="str">
        <x:v>Germany</x:v>
      </x:c>
      <x:c r="D172" s="25" t="n">
        <x:v>40379.347916666666</x:v>
      </x:c>
      <x:c r="E172" s="25" t="n">
        <x:v>40858.41111111111</x:v>
      </x:c>
      <x:c r="F172" s="2" t="n">
        <x:v>29</x:v>
      </x:c>
      <x:c r="G172" s="2" t="n">
        <x:v>7</x:v>
      </x:c>
      <x:c r="H172" s="11" t="n">
        <x:v>5464.85</x:v>
      </x:c>
      <x:c r="I172" s="2" t="n">
        <x:v>4</x:v>
      </x:c>
      <x:c r="J172" s="2" t="n">
        <x:v>4</x:v>
      </x:c>
      <x:c r="K172" s="2" t="n">
        <x:v>5</x:v>
      </x:c>
      <x:c r="L172" s="2" t="str">
        <x:v>Champions</x:v>
      </x:c>
    </x:row>
    <x:row r="173" ht="22" customHeight="1">
      <x:c r="A173" s="2"/>
      <x:c r="B173" s="2" t="str">
        <x:v>12481</x:v>
      </x:c>
      <x:c r="C173" s="2" t="str">
        <x:v>Germany</x:v>
      </x:c>
      <x:c r="D173" s="25" t="n">
        <x:v>40279.34027777778</x:v>
      </x:c>
      <x:c r="E173" s="25" t="n">
        <x:v>40864.14513888889</x:v>
      </x:c>
      <x:c r="F173" s="2" t="n">
        <x:v>23</x:v>
      </x:c>
      <x:c r="G173" s="2" t="n">
        <x:v>15</x:v>
      </x:c>
      <x:c r="H173" s="11" t="n">
        <x:v>12202.01</x:v>
      </x:c>
      <x:c r="I173" s="2" t="n">
        <x:v>4</x:v>
      </x:c>
      <x:c r="J173" s="2" t="n">
        <x:v>5</x:v>
      </x:c>
      <x:c r="K173" s="2" t="n">
        <x:v>5</x:v>
      </x:c>
      <x:c r="L173" s="2" t="str">
        <x:v>Champions</x:v>
      </x:c>
    </x:row>
    <x:row r="174" ht="22" customHeight="1">
      <x:c r="A174" s="2"/>
      <x:c r="B174" s="2" t="str">
        <x:v>12482</x:v>
      </x:c>
      <x:c r="C174" s="2" t="str">
        <x:v>Sweden</x:v>
      </x:c>
      <x:c r="D174" s="25" t="n">
        <x:v>40233.225</x:v>
      </x:c>
      <x:c r="E174" s="25" t="n">
        <x:v>40310.49375</x:v>
      </x:c>
      <x:c r="F174" s="2" t="n">
        <x:v>577</x:v>
      </x:c>
      <x:c r="G174" s="2" t="n">
        <x:v>29</x:v>
      </x:c>
      <x:c r="H174" s="11" t="n">
        <x:v>23691.4</x:v>
      </x:c>
      <x:c r="I174" s="2" t="n">
        <x:v>1</x:v>
      </x:c>
      <x:c r="J174" s="2" t="n">
        <x:v>5</x:v>
      </x:c>
      <x:c r="K174" s="2" t="n">
        <x:v>5</x:v>
      </x:c>
      <x:c r="L174" s="2" t="str">
        <x:v>At risk</x:v>
      </x:c>
    </x:row>
    <x:row r="175" ht="22" customHeight="1">
      <x:c r="A175" s="2"/>
      <x:c r="B175" s="2" t="str">
        <x:v>12483</x:v>
      </x:c>
      <x:c r="C175" s="2" t="str">
        <x:v>Sweden</x:v>
      </x:c>
      <x:c r="D175" s="25" t="n">
        <x:v>40209.35277777778</x:v>
      </x:c>
      <x:c r="E175" s="25" t="n">
        <x:v>40869.501388888886</x:v>
      </x:c>
      <x:c r="F175" s="2" t="n">
        <x:v>18</x:v>
      </x:c>
      <x:c r="G175" s="2" t="n">
        <x:v>19</x:v>
      </x:c>
      <x:c r="H175" s="11" t="n">
        <x:v>5120.58</x:v>
      </x:c>
      <x:c r="I175" s="2" t="n">
        <x:v>5</x:v>
      </x:c>
      <x:c r="J175" s="2" t="n">
        <x:v>5</x:v>
      </x:c>
      <x:c r="K175" s="2" t="n">
        <x:v>5</x:v>
      </x:c>
      <x:c r="L175" s="2" t="str">
        <x:v>Champions</x:v>
      </x:c>
    </x:row>
    <x:row r="176" ht="22" customHeight="1">
      <x:c r="A176" s="2"/>
      <x:c r="B176" s="2" t="str">
        <x:v>12484</x:v>
      </x:c>
      <x:c r="C176" s="2" t="str">
        <x:v>Spain</x:v>
      </x:c>
      <x:c r="D176" s="25" t="n">
        <x:v>40205.486805555556</x:v>
      </x:c>
      <x:c r="E176" s="25" t="n">
        <x:v>40854.27569444444</x:v>
      </x:c>
      <x:c r="F176" s="2" t="n">
        <x:v>33</x:v>
      </x:c>
      <x:c r="G176" s="2" t="n">
        <x:v>12</x:v>
      </x:c>
      <x:c r="H176" s="11" t="n">
        <x:v>6370.15</x:v>
      </x:c>
      <x:c r="I176" s="2" t="n">
        <x:v>4</x:v>
      </x:c>
      <x:c r="J176" s="2" t="n">
        <x:v>5</x:v>
      </x:c>
      <x:c r="K176" s="2" t="n">
        <x:v>5</x:v>
      </x:c>
      <x:c r="L176" s="2" t="str">
        <x:v>Champions</x:v>
      </x:c>
    </x:row>
    <x:row r="177" ht="22" customHeight="1">
      <x:c r="A177" s="2"/>
      <x:c r="B177" s="2" t="str">
        <x:v>12485</x:v>
      </x:c>
      <x:c r="C177" s="2" t="str">
        <x:v>Sweden</x:v>
      </x:c>
      <x:c r="D177" s="25" t="n">
        <x:v>40357.43194444444</x:v>
      </x:c>
      <x:c r="E177" s="25" t="n">
        <x:v>40357.43194444444</x:v>
      </x:c>
      <x:c r="F177" s="2" t="n">
        <x:v>530</x:v>
      </x:c>
      <x:c r="G177" s="2" t="n">
        <x:v>1</x:v>
      </x:c>
      <x:c r="H177" s="11" t="n">
        <x:v>708.1</x:v>
      </x:c>
      <x:c r="I177" s="2" t="n">
        <x:v>1</x:v>
      </x:c>
      <x:c r="J177" s="2" t="n">
        <x:v>1</x:v>
      </x:c>
      <x:c r="K177" s="2" t="n">
        <x:v>3</x:v>
      </x:c>
      <x:c r="L177" s="2" t="str">
        <x:v>Hibernating</x:v>
      </x:c>
    </x:row>
    <x:row r="178" ht="22" customHeight="1">
      <x:c r="A178" s="2"/>
      <x:c r="B178" s="2" t="str">
        <x:v>12486</x:v>
      </x:c>
      <x:c r="C178" s="2" t="str">
        <x:v>Sweden</x:v>
      </x:c>
      <x:c r="D178" s="25" t="n">
        <x:v>40455.30138888889</x:v>
      </x:c>
      <x:c r="E178" s="25" t="n">
        <x:v>40455.30138888889</x:v>
      </x:c>
      <x:c r="F178" s="2" t="n">
        <x:v>432</x:v>
      </x:c>
      <x:c r="G178" s="2" t="n">
        <x:v>1</x:v>
      </x:c>
      <x:c r="H178" s="11" t="n">
        <x:v>1037.28</x:v>
      </x:c>
      <x:c r="I178" s="2" t="n">
        <x:v>1</x:v>
      </x:c>
      <x:c r="J178" s="2" t="n">
        <x:v>1</x:v>
      </x:c>
      <x:c r="K178" s="2" t="n">
        <x:v>3</x:v>
      </x:c>
      <x:c r="L178" s="2" t="str">
        <x:v>Hibernating</x:v>
      </x:c>
    </x:row>
    <x:row r="179" ht="22" customHeight="1">
      <x:c r="A179" s="2"/>
      <x:c r="B179" s="2" t="str">
        <x:v>12487</x:v>
      </x:c>
      <x:c r="C179" s="2" t="str">
        <x:v>Sweden</x:v>
      </x:c>
      <x:c r="D179" s="25" t="n">
        <x:v>40156.275</x:v>
      </x:c>
      <x:c r="E179" s="25" t="n">
        <x:v>40156.275</x:v>
      </x:c>
      <x:c r="F179" s="2" t="n">
        <x:v>731</x:v>
      </x:c>
      <x:c r="G179" s="2" t="n">
        <x:v>1</x:v>
      </x:c>
      <x:c r="H179" s="11" t="n">
        <x:v>285.3</x:v>
      </x:c>
      <x:c r="I179" s="2" t="n">
        <x:v>1</x:v>
      </x:c>
      <x:c r="J179" s="2" t="n">
        <x:v>1</x:v>
      </x:c>
      <x:c r="K179" s="2" t="n">
        <x:v>1</x:v>
      </x:c>
      <x:c r="L179" s="2" t="str">
        <x:v>Hibernating</x:v>
      </x:c>
    </x:row>
    <x:row r="180" ht="22" customHeight="1">
      <x:c r="A180" s="2"/>
      <x:c r="B180" s="2" t="str">
        <x:v>12488</x:v>
      </x:c>
      <x:c r="C180" s="2" t="str">
        <x:v>France</x:v>
      </x:c>
      <x:c r="D180" s="25" t="n">
        <x:v>40811.231944444444</x:v>
      </x:c>
      <x:c r="E180" s="25" t="n">
        <x:v>40877.15972222222</x:v>
      </x:c>
      <x:c r="F180" s="2" t="n">
        <x:v>10</x:v>
      </x:c>
      <x:c r="G180" s="2" t="n">
        <x:v>3</x:v>
      </x:c>
      <x:c r="H180" s="11" t="n">
        <x:v>1298.66</x:v>
      </x:c>
      <x:c r="I180" s="2" t="n">
        <x:v>5</x:v>
      </x:c>
      <x:c r="J180" s="2" t="n">
        <x:v>3</x:v>
      </x:c>
      <x:c r="K180" s="2" t="n">
        <x:v>4</x:v>
      </x:c>
      <x:c r="L180" s="2" t="str">
        <x:v>Loyal</x:v>
      </x:c>
    </x:row>
    <x:row r="181" ht="22" customHeight="1">
      <x:c r="A181" s="2"/>
      <x:c r="B181" s="2" t="str">
        <x:v>12489</x:v>
      </x:c>
      <x:c r="C181" s="2" t="str">
        <x:v>France</x:v>
      </x:c>
      <x:c r="D181" s="25" t="n">
        <x:v>40550.342361111114</x:v>
      </x:c>
      <x:c r="E181" s="25" t="n">
        <x:v>40550.342361111114</x:v>
      </x:c>
      <x:c r="F181" s="2" t="n">
        <x:v>337</x:v>
      </x:c>
      <x:c r="G181" s="2" t="n">
        <x:v>1</x:v>
      </x:c>
      <x:c r="H181" s="11" t="n">
        <x:v>334.93</x:v>
      </x:c>
      <x:c r="I181" s="2" t="n">
        <x:v>2</x:v>
      </x:c>
      <x:c r="J181" s="2" t="n">
        <x:v>1</x:v>
      </x:c>
      <x:c r="K181" s="2" t="n">
        <x:v>2</x:v>
      </x:c>
      <x:c r="L181" s="2" t="str">
        <x:v>Hibernating</x:v>
      </x:c>
    </x:row>
    <x:row r="182" ht="22" customHeight="1">
      <x:c r="A182" s="2"/>
      <x:c r="B182" s="2" t="str">
        <x:v>12490</x:v>
      </x:c>
      <x:c r="C182" s="2" t="str">
        <x:v>France</x:v>
      </x:c>
      <x:c r="D182" s="25" t="n">
        <x:v>40148.32777777778</x:v>
      </x:c>
      <x:c r="E182" s="25" t="n">
        <x:v>40881.46319444444</x:v>
      </x:c>
      <x:c r="F182" s="2" t="n">
        <x:v>6</x:v>
      </x:c>
      <x:c r="G182" s="2" t="n">
        <x:v>21</x:v>
      </x:c>
      <x:c r="H182" s="11" t="n">
        <x:v>9823.64</x:v>
      </x:c>
      <x:c r="I182" s="2" t="n">
        <x:v>5</x:v>
      </x:c>
      <x:c r="J182" s="2" t="n">
        <x:v>5</x:v>
      </x:c>
      <x:c r="K182" s="2" t="n">
        <x:v>5</x:v>
      </x:c>
      <x:c r="L182" s="2" t="str">
        <x:v>Champions</x:v>
      </x:c>
    </x:row>
    <x:row r="183" ht="22" customHeight="1">
      <x:c r="A183" s="2"/>
      <x:c r="B183" s="2" t="str">
        <x:v>12491</x:v>
      </x:c>
      <x:c r="C183" s="2" t="str">
        <x:v>France</x:v>
      </x:c>
      <x:c r="D183" s="25" t="n">
        <x:v>40848.30416666667</x:v>
      </x:c>
      <x:c r="E183" s="25" t="n">
        <x:v>40848.30416666667</x:v>
      </x:c>
      <x:c r="F183" s="2" t="n">
        <x:v>39</x:v>
      </x:c>
      <x:c r="G183" s="2" t="n">
        <x:v>1</x:v>
      </x:c>
      <x:c r="H183" s="11" t="n">
        <x:v>460.4</x:v>
      </x:c>
      <x:c r="I183" s="2" t="n">
        <x:v>4</x:v>
      </x:c>
      <x:c r="J183" s="2" t="n">
        <x:v>1</x:v>
      </x:c>
      <x:c r="K183" s="2" t="n">
        <x:v>2</x:v>
      </x:c>
      <x:c r="L183" s="2" t="str">
        <x:v>Recent light buyers</x:v>
      </x:c>
    </x:row>
    <x:row r="184" ht="22" customHeight="1">
      <x:c r="A184" s="2"/>
      <x:c r="B184" s="2" t="str">
        <x:v>12492</x:v>
      </x:c>
      <x:c r="C184" s="2" t="str">
        <x:v>Germany</x:v>
      </x:c>
      <x:c r="D184" s="25" t="n">
        <x:v>40483.41527777778</x:v>
      </x:c>
      <x:c r="E184" s="25" t="n">
        <x:v>40823.427083333336</x:v>
      </x:c>
      <x:c r="F184" s="2" t="n">
        <x:v>64</x:v>
      </x:c>
      <x:c r="G184" s="2" t="n">
        <x:v>3</x:v>
      </x:c>
      <x:c r="H184" s="11" t="n">
        <x:v>715.21</x:v>
      </x:c>
      <x:c r="I184" s="2" t="n">
        <x:v>3</x:v>
      </x:c>
      <x:c r="J184" s="2" t="n">
        <x:v>3</x:v>
      </x:c>
      <x:c r="K184" s="2" t="n">
        <x:v>3</x:v>
      </x:c>
      <x:c r="L184" s="2" t="str">
        <x:v>Loyal</x:v>
      </x:c>
    </x:row>
    <x:row r="185" ht="22" customHeight="1">
      <x:c r="A185" s="2"/>
      <x:c r="B185" s="2" t="str">
        <x:v>12493</x:v>
      </x:c>
      <x:c r="C185" s="2" t="str">
        <x:v>France</x:v>
      </x:c>
      <x:c r="D185" s="25" t="n">
        <x:v>40689.41180555556</x:v>
      </x:c>
      <x:c r="E185" s="25" t="n">
        <x:v>40721.220138888886</x:v>
      </x:c>
      <x:c r="F185" s="2" t="n">
        <x:v>166</x:v>
      </x:c>
      <x:c r="G185" s="2" t="n">
        <x:v>2</x:v>
      </x:c>
      <x:c r="H185" s="11" t="n">
        <x:v>433.74</x:v>
      </x:c>
      <x:c r="I185" s="2" t="n">
        <x:v>3</x:v>
      </x:c>
      <x:c r="J185" s="2" t="n">
        <x:v>2</x:v>
      </x:c>
      <x:c r="K185" s="2" t="n">
        <x:v>2</x:v>
      </x:c>
      <x:c r="L185" s="2" t="str">
        <x:v>Developing</x:v>
      </x:c>
    </x:row>
    <x:row r="186" ht="22" customHeight="1">
      <x:c r="A186" s="2"/>
      <x:c r="B186" s="2" t="str">
        <x:v>12494</x:v>
      </x:c>
      <x:c r="C186" s="2" t="str">
        <x:v>France</x:v>
      </x:c>
      <x:c r="D186" s="25" t="n">
        <x:v>40310.36944444444</x:v>
      </x:c>
      <x:c r="E186" s="25" t="n">
        <x:v>40871.19027777778</x:v>
      </x:c>
      <x:c r="F186" s="2" t="n">
        <x:v>16</x:v>
      </x:c>
      <x:c r="G186" s="2" t="n">
        <x:v>9</x:v>
      </x:c>
      <x:c r="H186" s="11" t="n">
        <x:v>1815.27</x:v>
      </x:c>
      <x:c r="I186" s="2" t="n">
        <x:v>5</x:v>
      </x:c>
      <x:c r="J186" s="2" t="n">
        <x:v>5</x:v>
      </x:c>
      <x:c r="K186" s="2" t="n">
        <x:v>4</x:v>
      </x:c>
      <x:c r="L186" s="2" t="str">
        <x:v>Champions</x:v>
      </x:c>
    </x:row>
    <x:row r="187" ht="22" customHeight="1">
      <x:c r="A187" s="2"/>
      <x:c r="B187" s="2" t="str">
        <x:v>12495</x:v>
      </x:c>
      <x:c r="C187" s="2" t="str">
        <x:v>Sweden</x:v>
      </x:c>
      <x:c r="D187" s="25" t="n">
        <x:v>40246.24513888889</x:v>
      </x:c>
      <x:c r="E187" s="25" t="n">
        <x:v>40246.24513888889</x:v>
      </x:c>
      <x:c r="F187" s="2" t="n">
        <x:v>641</x:v>
      </x:c>
      <x:c r="G187" s="2" t="n">
        <x:v>1</x:v>
      </x:c>
      <x:c r="H187" s="11" t="n">
        <x:v>357.4</x:v>
      </x:c>
      <x:c r="I187" s="2" t="n">
        <x:v>1</x:v>
      </x:c>
      <x:c r="J187" s="2" t="n">
        <x:v>1</x:v>
      </x:c>
      <x:c r="K187" s="2" t="n">
        <x:v>2</x:v>
      </x:c>
      <x:c r="L187" s="2" t="str">
        <x:v>Hibernating</x:v>
      </x:c>
    </x:row>
    <x:row r="188" ht="22" customHeight="1">
      <x:c r="A188" s="2"/>
      <x:c r="B188" s="2" t="str">
        <x:v>12496</x:v>
      </x:c>
      <x:c r="C188" s="2" t="str">
        <x:v>Spain</x:v>
      </x:c>
      <x:c r="D188" s="25" t="n">
        <x:v>40266.37291666667</x:v>
      </x:c>
      <x:c r="E188" s="25" t="n">
        <x:v>40266.379166666666</x:v>
      </x:c>
      <x:c r="F188" s="2" t="n">
        <x:v>621</x:v>
      </x:c>
      <x:c r="G188" s="2" t="n">
        <x:v>2</x:v>
      </x:c>
      <x:c r="H188" s="11" t="n">
        <x:v>54.09</x:v>
      </x:c>
      <x:c r="I188" s="2" t="n">
        <x:v>1</x:v>
      </x:c>
      <x:c r="J188" s="2" t="n">
        <x:v>2</x:v>
      </x:c>
      <x:c r="K188" s="2" t="n">
        <x:v>1</x:v>
      </x:c>
      <x:c r="L188" s="2" t="str">
        <x:v>Hibernating</x:v>
      </x:c>
    </x:row>
    <x:row r="189" ht="22" customHeight="1">
      <x:c r="A189" s="2"/>
      <x:c r="B189" s="2" t="str">
        <x:v>12497</x:v>
      </x:c>
      <x:c r="C189" s="2" t="str">
        <x:v>Germany</x:v>
      </x:c>
      <x:c r="D189" s="25" t="n">
        <x:v>40242.19375</x:v>
      </x:c>
      <x:c r="E189" s="25" t="n">
        <x:v>40805.31180555555</x:v>
      </x:c>
      <x:c r="F189" s="2" t="n">
        <x:v>82</x:v>
      </x:c>
      <x:c r="G189" s="2" t="n">
        <x:v>3</x:v>
      </x:c>
      <x:c r="H189" s="11" t="n">
        <x:v>6248.5</x:v>
      </x:c>
      <x:c r="I189" s="2" t="n">
        <x:v>3</x:v>
      </x:c>
      <x:c r="J189" s="2" t="n">
        <x:v>3</x:v>
      </x:c>
      <x:c r="K189" s="2" t="n">
        <x:v>5</x:v>
      </x:c>
      <x:c r="L189" s="2" t="str">
        <x:v>Loyal</x:v>
      </x:c>
    </x:row>
    <x:row r="190" ht="22" customHeight="1">
      <x:c r="A190" s="2"/>
      <x:c r="B190" s="2" t="str">
        <x:v>12498</x:v>
      </x:c>
      <x:c r="C190" s="2" t="str">
        <x:v>Germany</x:v>
      </x:c>
      <x:c r="D190" s="25" t="n">
        <x:v>40829.1875</x:v>
      </x:c>
      <x:c r="E190" s="25" t="n">
        <x:v>40865.32847222222</x:v>
      </x:c>
      <x:c r="F190" s="2" t="n">
        <x:v>22</x:v>
      </x:c>
      <x:c r="G190" s="2" t="n">
        <x:v>3</x:v>
      </x:c>
      <x:c r="H190" s="11" t="n">
        <x:v>403.7</x:v>
      </x:c>
      <x:c r="I190" s="2" t="n">
        <x:v>4</x:v>
      </x:c>
      <x:c r="J190" s="2" t="n">
        <x:v>3</x:v>
      </x:c>
      <x:c r="K190" s="2" t="n">
        <x:v>2</x:v>
      </x:c>
      <x:c r="L190" s="2" t="str">
        <x:v>Loyal</x:v>
      </x:c>
    </x:row>
    <x:row r="191" ht="22" customHeight="1">
      <x:c r="A191" s="2"/>
      <x:c r="B191" s="2" t="str">
        <x:v>12499</x:v>
      </x:c>
      <x:c r="C191" s="2" t="str">
        <x:v>Germany</x:v>
      </x:c>
      <x:c r="D191" s="25" t="n">
        <x:v>40326.425</x:v>
      </x:c>
      <x:c r="E191" s="25" t="n">
        <x:v>40326.425</x:v>
      </x:c>
      <x:c r="F191" s="2" t="n">
        <x:v>561</x:v>
      </x:c>
      <x:c r="G191" s="2" t="n">
        <x:v>1</x:v>
      </x:c>
      <x:c r="H191" s="11" t="n">
        <x:v>393.72</x:v>
      </x:c>
      <x:c r="I191" s="2" t="n">
        <x:v>1</x:v>
      </x:c>
      <x:c r="J191" s="2" t="n">
        <x:v>1</x:v>
      </x:c>
      <x:c r="K191" s="2" t="n">
        <x:v>2</x:v>
      </x:c>
      <x:c r="L191" s="2" t="str">
        <x:v>Hibernating</x:v>
      </x:c>
    </x:row>
    <x:row r="192" ht="22" customHeight="1">
      <x:c r="A192" s="2"/>
      <x:c r="B192" s="2" t="str">
        <x:v>12500</x:v>
      </x:c>
      <x:c r="C192" s="2" t="str">
        <x:v>Germany</x:v>
      </x:c>
      <x:c r="D192" s="25" t="n">
        <x:v>40213.42013888889</x:v>
      </x:c>
      <x:c r="E192" s="25" t="n">
        <x:v>40863.47222222222</x:v>
      </x:c>
      <x:c r="F192" s="2" t="n">
        <x:v>24</x:v>
      </x:c>
      <x:c r="G192" s="2" t="n">
        <x:v>19</x:v>
      </x:c>
      <x:c r="H192" s="11" t="n">
        <x:v>5955.21</x:v>
      </x:c>
      <x:c r="I192" s="2" t="n">
        <x:v>4</x:v>
      </x:c>
      <x:c r="J192" s="2" t="n">
        <x:v>5</x:v>
      </x:c>
      <x:c r="K192" s="2" t="n">
        <x:v>5</x:v>
      </x:c>
      <x:c r="L192" s="2" t="str">
        <x:v>Champions</x:v>
      </x:c>
    </x:row>
    <x:row r="193" ht="22" customHeight="1">
      <x:c r="A193" s="2"/>
      <x:c r="B193" s="2" t="str">
        <x:v>12501</x:v>
      </x:c>
      <x:c r="C193" s="2" t="str">
        <x:v>Germany</x:v>
      </x:c>
      <x:c r="D193" s="25" t="n">
        <x:v>40550.311111111114</x:v>
      </x:c>
      <x:c r="E193" s="25" t="n">
        <x:v>40550.311111111114</x:v>
      </x:c>
      <x:c r="F193" s="2" t="n">
        <x:v>337</x:v>
      </x:c>
      <x:c r="G193" s="2" t="n">
        <x:v>1</x:v>
      </x:c>
      <x:c r="H193" s="11" t="n">
        <x:v>2169.39</x:v>
      </x:c>
      <x:c r="I193" s="2" t="n">
        <x:v>2</x:v>
      </x:c>
      <x:c r="J193" s="2" t="n">
        <x:v>1</x:v>
      </x:c>
      <x:c r="K193" s="2" t="n">
        <x:v>4</x:v>
      </x:c>
      <x:c r="L193" s="2" t="str">
        <x:v>Hibernating</x:v>
      </x:c>
    </x:row>
    <x:row r="194" ht="22" customHeight="1">
      <x:c r="A194" s="2"/>
      <x:c r="B194" s="2" t="str">
        <x:v>12502</x:v>
      </x:c>
      <x:c r="C194" s="2" t="str">
        <x:v>Spain</x:v>
      </x:c>
      <x:c r="D194" s="25" t="n">
        <x:v>40577.236805555556</x:v>
      </x:c>
      <x:c r="E194" s="25" t="n">
        <x:v>40791.28611111111</x:v>
      </x:c>
      <x:c r="F194" s="2" t="n">
        <x:v>96</x:v>
      </x:c>
      <x:c r="G194" s="2" t="n">
        <x:v>5</x:v>
      </x:c>
      <x:c r="H194" s="11" t="n">
        <x:v>3723.87</x:v>
      </x:c>
      <x:c r="I194" s="2" t="n">
        <x:v>3</x:v>
      </x:c>
      <x:c r="J194" s="2" t="n">
        <x:v>4</x:v>
      </x:c>
      <x:c r="K194" s="2" t="n">
        <x:v>5</x:v>
      </x:c>
      <x:c r="L194" s="2" t="str">
        <x:v>Loyal</x:v>
      </x:c>
    </x:row>
    <x:row r="195" ht="22" customHeight="1">
      <x:c r="A195" s="2"/>
      <x:c r="B195" s="2" t="str">
        <x:v>12503</x:v>
      </x:c>
      <x:c r="C195" s="2" t="str">
        <x:v>Spain</x:v>
      </x:c>
      <x:c r="D195" s="25" t="n">
        <x:v>40302.37430555555</x:v>
      </x:c>
      <x:c r="E195" s="25" t="n">
        <x:v>40302.37430555555</x:v>
      </x:c>
      <x:c r="F195" s="2" t="n">
        <x:v>585</x:v>
      </x:c>
      <x:c r="G195" s="2" t="n">
        <x:v>1</x:v>
      </x:c>
      <x:c r="H195" s="11" t="n">
        <x:v>1126</x:v>
      </x:c>
      <x:c r="I195" s="2" t="n">
        <x:v>1</x:v>
      </x:c>
      <x:c r="J195" s="2" t="n">
        <x:v>1</x:v>
      </x:c>
      <x:c r="K195" s="2" t="n">
        <x:v>3</x:v>
      </x:c>
      <x:c r="L195" s="2" t="str">
        <x:v>Hibernating</x:v>
      </x:c>
    </x:row>
    <x:row r="196" ht="22" customHeight="1">
      <x:c r="A196" s="2"/>
      <x:c r="B196" s="2" t="str">
        <x:v>12504</x:v>
      </x:c>
      <x:c r="C196" s="2" t="str">
        <x:v>Germany</x:v>
      </x:c>
      <x:c r="D196" s="25" t="n">
        <x:v>40290.225</x:v>
      </x:c>
      <x:c r="E196" s="25" t="n">
        <x:v>40868.45972222222</x:v>
      </x:c>
      <x:c r="F196" s="2" t="n">
        <x:v>19</x:v>
      </x:c>
      <x:c r="G196" s="2" t="n">
        <x:v>4</x:v>
      </x:c>
      <x:c r="H196" s="11" t="n">
        <x:v>779.05</x:v>
      </x:c>
      <x:c r="I196" s="2" t="n">
        <x:v>5</x:v>
      </x:c>
      <x:c r="J196" s="2" t="n">
        <x:v>3</x:v>
      </x:c>
      <x:c r="K196" s="2" t="n">
        <x:v>3</x:v>
      </x:c>
      <x:c r="L196" s="2" t="str">
        <x:v>Loyal</x:v>
      </x:c>
    </x:row>
    <x:row r="197" ht="22" customHeight="1">
      <x:c r="A197" s="2"/>
      <x:c r="B197" s="2" t="str">
        <x:v>12505</x:v>
      </x:c>
      <x:c r="C197" s="2" t="str">
        <x:v>Italy</x:v>
      </x:c>
      <x:c r="D197" s="25" t="n">
        <x:v>40478.17916666667</x:v>
      </x:c>
      <x:c r="E197" s="25" t="n">
        <x:v>40478.17916666667</x:v>
      </x:c>
      <x:c r="F197" s="2" t="n">
        <x:v>409</x:v>
      </x:c>
      <x:c r="G197" s="2" t="n">
        <x:v>1</x:v>
      </x:c>
      <x:c r="H197" s="11" t="n">
        <x:v>955.2</x:v>
      </x:c>
      <x:c r="I197" s="2" t="n">
        <x:v>2</x:v>
      </x:c>
      <x:c r="J197" s="2" t="n">
        <x:v>1</x:v>
      </x:c>
      <x:c r="K197" s="2" t="n">
        <x:v>3</x:v>
      </x:c>
      <x:c r="L197" s="2" t="str">
        <x:v>Hibernating</x:v>
      </x:c>
    </x:row>
    <x:row r="198" ht="22" customHeight="1">
      <x:c r="A198" s="2"/>
      <x:c r="B198" s="2" t="str">
        <x:v>12506</x:v>
      </x:c>
      <x:c r="C198" s="2" t="str">
        <x:v>France</x:v>
      </x:c>
      <x:c r="D198" s="25" t="n">
        <x:v>40654.1625</x:v>
      </x:c>
      <x:c r="E198" s="25" t="n">
        <x:v>40654.1625</x:v>
      </x:c>
      <x:c r="F198" s="2" t="n">
        <x:v>233</x:v>
      </x:c>
      <x:c r="G198" s="2" t="n">
        <x:v>1</x:v>
      </x:c>
      <x:c r="H198" s="11" t="n">
        <x:v>73.5</x:v>
      </x:c>
      <x:c r="I198" s="2" t="n">
        <x:v>2</x:v>
      </x:c>
      <x:c r="J198" s="2" t="n">
        <x:v>1</x:v>
      </x:c>
      <x:c r="K198" s="2" t="n">
        <x:v>1</x:v>
      </x:c>
      <x:c r="L198" s="2" t="str">
        <x:v>Hibernating</x:v>
      </x:c>
    </x:row>
    <x:row r="199" ht="22" customHeight="1">
      <x:c r="A199" s="2"/>
      <x:c r="B199" s="2" t="str">
        <x:v>12507</x:v>
      </x:c>
      <x:c r="C199" s="2" t="str">
        <x:v>Spain</x:v>
      </x:c>
      <x:c r="D199" s="25" t="n">
        <x:v>40302.18263888889</x:v>
      </x:c>
      <x:c r="E199" s="25" t="n">
        <x:v>40752.50625</x:v>
      </x:c>
      <x:c r="F199" s="2" t="n">
        <x:v>135</x:v>
      </x:c>
      <x:c r="G199" s="2" t="n">
        <x:v>4</x:v>
      </x:c>
      <x:c r="H199" s="11" t="n">
        <x:v>1844.06</x:v>
      </x:c>
      <x:c r="I199" s="2" t="n">
        <x:v>3</x:v>
      </x:c>
      <x:c r="J199" s="2" t="n">
        <x:v>3</x:v>
      </x:c>
      <x:c r="K199" s="2" t="n">
        <x:v>4</x:v>
      </x:c>
      <x:c r="L199" s="2" t="str">
        <x:v>Loyal</x:v>
      </x:c>
    </x:row>
    <x:row r="200" ht="22" customHeight="1">
      <x:c r="A200" s="2"/>
      <x:c r="B200" s="2" t="str">
        <x:v>12508</x:v>
      </x:c>
      <x:c r="C200" s="2" t="str">
        <x:v>France</x:v>
      </x:c>
      <x:c r="D200" s="25" t="n">
        <x:v>40857.47708333333</x:v>
      </x:c>
      <x:c r="E200" s="25" t="n">
        <x:v>40860.44236111111</x:v>
      </x:c>
      <x:c r="F200" s="2" t="n">
        <x:v>27</x:v>
      </x:c>
      <x:c r="G200" s="2" t="n">
        <x:v>2</x:v>
      </x:c>
      <x:c r="H200" s="11" t="n">
        <x:v>398.27</x:v>
      </x:c>
      <x:c r="I200" s="2" t="n">
        <x:v>4</x:v>
      </x:c>
      <x:c r="J200" s="2" t="n">
        <x:v>2</x:v>
      </x:c>
      <x:c r="K200" s="2" t="n">
        <x:v>2</x:v>
      </x:c>
      <x:c r="L200" s="2" t="str">
        <x:v>Recent light buyers</x:v>
      </x:c>
    </x:row>
    <x:row r="201" ht="22" customHeight="1">
      <x:c r="A201" s="2"/>
      <x:c r="B201" s="2" t="str">
        <x:v>12509</x:v>
      </x:c>
      <x:c r="C201" s="2" t="str">
        <x:v>France</x:v>
      </x:c>
      <x:c r="D201" s="25" t="n">
        <x:v>40602.40625</x:v>
      </x:c>
      <x:c r="E201" s="25" t="n">
        <x:v>40602.40625</x:v>
      </x:c>
      <x:c r="F201" s="2" t="n">
        <x:v>285</x:v>
      </x:c>
      <x:c r="G201" s="2" t="n">
        <x:v>1</x:v>
      </x:c>
      <x:c r="H201" s="11" t="n">
        <x:v>176.5</x:v>
      </x:c>
      <x:c r="I201" s="2" t="n">
        <x:v>2</x:v>
      </x:c>
      <x:c r="J201" s="2" t="n">
        <x:v>1</x:v>
      </x:c>
      <x:c r="K201" s="2" t="n">
        <x:v>1</x:v>
      </x:c>
      <x:c r="L201" s="2" t="str">
        <x:v>Hibernating</x:v>
      </x:c>
    </x:row>
    <x:row r="202" ht="22" customHeight="1">
      <x:c r="A202" s="2"/>
      <x:c r="B202" s="2" t="str">
        <x:v>12510</x:v>
      </x:c>
      <x:c r="C202" s="2" t="str">
        <x:v>Spain</x:v>
      </x:c>
      <x:c r="D202" s="25" t="n">
        <x:v>40151.36597222222</x:v>
      </x:c>
      <x:c r="E202" s="25" t="n">
        <x:v>40744.21875</x:v>
      </x:c>
      <x:c r="F202" s="2" t="n">
        <x:v>143</x:v>
      </x:c>
      <x:c r="G202" s="2" t="n">
        <x:v>9</x:v>
      </x:c>
      <x:c r="H202" s="11" t="n">
        <x:v>5178.02</x:v>
      </x:c>
      <x:c r="I202" s="2" t="n">
        <x:v>3</x:v>
      </x:c>
      <x:c r="J202" s="2" t="n">
        <x:v>5</x:v>
      </x:c>
      <x:c r="K202" s="2" t="n">
        <x:v>5</x:v>
      </x:c>
      <x:c r="L202" s="2" t="str">
        <x:v>Loyal</x:v>
      </x:c>
    </x:row>
    <x:row r="203" ht="22" customHeight="1">
      <x:c r="A203" s="2"/>
      <x:c r="B203" s="2" t="str">
        <x:v>12511</x:v>
      </x:c>
      <x:c r="C203" s="2" t="str">
        <x:v>Greece</x:v>
      </x:c>
      <x:c r="D203" s="25" t="n">
        <x:v>40458.23541666667</x:v>
      </x:c>
      <x:c r="E203" s="25" t="n">
        <x:v>40458.23541666667</x:v>
      </x:c>
      <x:c r="F203" s="2" t="n">
        <x:v>429</x:v>
      </x:c>
      <x:c r="G203" s="2" t="n">
        <x:v>1</x:v>
      </x:c>
      <x:c r="H203" s="11" t="n">
        <x:v>3084.02</x:v>
      </x:c>
      <x:c r="I203" s="2" t="n">
        <x:v>1</x:v>
      </x:c>
      <x:c r="J203" s="2" t="n">
        <x:v>1</x:v>
      </x:c>
      <x:c r="K203" s="2" t="n">
        <x:v>5</x:v>
      </x:c>
      <x:c r="L203" s="2" t="str">
        <x:v>Hibernating</x:v>
      </x:c>
    </x:row>
    <x:row r="204" ht="22" customHeight="1">
      <x:c r="A204" s="2"/>
      <x:c r="B204" s="2" t="str">
        <x:v>12512</x:v>
      </x:c>
      <x:c r="C204" s="2" t="str">
        <x:v>Israel</x:v>
      </x:c>
      <x:c r="D204" s="25" t="n">
        <x:v>40820.41180555556</x:v>
      </x:c>
      <x:c r="E204" s="25" t="n">
        <x:v>40820.413194444445</x:v>
      </x:c>
      <x:c r="F204" s="2" t="n">
        <x:v>67</x:v>
      </x:c>
      <x:c r="G204" s="2" t="n">
        <x:v>2</x:v>
      </x:c>
      <x:c r="H204" s="11" t="n">
        <x:v>138.03</x:v>
      </x:c>
      <x:c r="I204" s="2" t="n">
        <x:v>3</x:v>
      </x:c>
      <x:c r="J204" s="2" t="n">
        <x:v>2</x:v>
      </x:c>
      <x:c r="K204" s="2" t="n">
        <x:v>1</x:v>
      </x:c>
      <x:c r="L204" s="2" t="str">
        <x:v>Developing</x:v>
      </x:c>
    </x:row>
    <x:row r="205" ht="22" customHeight="1">
      <x:c r="A205" s="2"/>
      <x:c r="B205" s="2" t="str">
        <x:v>12513</x:v>
      </x:c>
      <x:c r="C205" s="2" t="str">
        <x:v>France</x:v>
      </x:c>
      <x:c r="D205" s="25" t="n">
        <x:v>40774.24375</x:v>
      </x:c>
      <x:c r="E205" s="25" t="n">
        <x:v>40774.24375</x:v>
      </x:c>
      <x:c r="F205" s="2" t="n">
        <x:v>113</x:v>
      </x:c>
      <x:c r="G205" s="2" t="n">
        <x:v>1</x:v>
      </x:c>
      <x:c r="H205" s="11" t="n">
        <x:v>612.29</x:v>
      </x:c>
      <x:c r="I205" s="2" t="n">
        <x:v>3</x:v>
      </x:c>
      <x:c r="J205" s="2" t="n">
        <x:v>1</x:v>
      </x:c>
      <x:c r="K205" s="2" t="n">
        <x:v>3</x:v>
      </x:c>
      <x:c r="L205" s="2" t="str">
        <x:v>Developing</x:v>
      </x:c>
    </x:row>
    <x:row r="206" ht="22" customHeight="1">
      <x:c r="A206" s="2"/>
      <x:c r="B206" s="2" t="str">
        <x:v>12514</x:v>
      </x:c>
      <x:c r="C206" s="2" t="str">
        <x:v>Italy</x:v>
      </x:c>
      <x:c r="D206" s="25" t="n">
        <x:v>40245.30416666667</x:v>
      </x:c>
      <x:c r="E206" s="25" t="n">
        <x:v>40619.48472222222</x:v>
      </x:c>
      <x:c r="F206" s="2" t="n">
        <x:v>268</x:v>
      </x:c>
      <x:c r="G206" s="2" t="n">
        <x:v>2</x:v>
      </x:c>
      <x:c r="H206" s="11" t="n">
        <x:v>1597.76</x:v>
      </x:c>
      <x:c r="I206" s="2" t="n">
        <x:v>2</x:v>
      </x:c>
      <x:c r="J206" s="2" t="n">
        <x:v>2</x:v>
      </x:c>
      <x:c r="K206" s="2" t="n">
        <x:v>4</x:v>
      </x:c>
      <x:c r="L206" s="2" t="str">
        <x:v>Hibernating</x:v>
      </x:c>
    </x:row>
    <x:row r="207" ht="22" customHeight="1">
      <x:c r="A207" s="2"/>
      <x:c r="B207" s="2" t="str">
        <x:v>12515</x:v>
      </x:c>
      <x:c r="C207" s="2" t="str">
        <x:v>Italy</x:v>
      </x:c>
      <x:c r="D207" s="25" t="n">
        <x:v>40533.44652777778</x:v>
      </x:c>
      <x:c r="E207" s="25" t="n">
        <x:v>40533.44652777778</x:v>
      </x:c>
      <x:c r="F207" s="2" t="n">
        <x:v>354</x:v>
      </x:c>
      <x:c r="G207" s="2" t="n">
        <x:v>1</x:v>
      </x:c>
      <x:c r="H207" s="11" t="n">
        <x:v>383.7</x:v>
      </x:c>
      <x:c r="I207" s="2" t="n">
        <x:v>2</x:v>
      </x:c>
      <x:c r="J207" s="2" t="n">
        <x:v>1</x:v>
      </x:c>
      <x:c r="K207" s="2" t="n">
        <x:v>2</x:v>
      </x:c>
      <x:c r="L207" s="2" t="str">
        <x:v>Hibernating</x:v>
      </x:c>
    </x:row>
    <x:row r="208" ht="22" customHeight="1">
      <x:c r="A208" s="2"/>
      <x:c r="B208" s="2" t="str">
        <x:v>12516</x:v>
      </x:c>
      <x:c r="C208" s="2" t="str">
        <x:v>Germany</x:v>
      </x:c>
      <x:c r="D208" s="25" t="n">
        <x:v>40287.384722222225</x:v>
      </x:c>
      <x:c r="E208" s="25" t="n">
        <x:v>40809.17569444444</x:v>
      </x:c>
      <x:c r="F208" s="2" t="n">
        <x:v>78</x:v>
      </x:c>
      <x:c r="G208" s="2" t="n">
        <x:v>4</x:v>
      </x:c>
      <x:c r="H208" s="11" t="n">
        <x:v>2648.62</x:v>
      </x:c>
      <x:c r="I208" s="2" t="n">
        <x:v>3</x:v>
      </x:c>
      <x:c r="J208" s="2" t="n">
        <x:v>3</x:v>
      </x:c>
      <x:c r="K208" s="2" t="n">
        <x:v>4</x:v>
      </x:c>
      <x:c r="L208" s="2" t="str">
        <x:v>Loyal</x:v>
      </x:c>
    </x:row>
    <x:row r="209" ht="22" customHeight="1">
      <x:c r="A209" s="2"/>
      <x:c r="B209" s="2" t="str">
        <x:v>12517</x:v>
      </x:c>
      <x:c r="C209" s="2" t="str">
        <x:v>Germany</x:v>
      </x:c>
      <x:c r="D209" s="25" t="n">
        <x:v>40696.42569444444</x:v>
      </x:c>
      <x:c r="E209" s="25" t="n">
        <x:v>40858.37777777778</x:v>
      </x:c>
      <x:c r="F209" s="2" t="n">
        <x:v>29</x:v>
      </x:c>
      <x:c r="G209" s="2" t="n">
        <x:v>5</x:v>
      </x:c>
      <x:c r="H209" s="11" t="n">
        <x:v>2502.84</x:v>
      </x:c>
      <x:c r="I209" s="2" t="n">
        <x:v>4</x:v>
      </x:c>
      <x:c r="J209" s="2" t="n">
        <x:v>4</x:v>
      </x:c>
      <x:c r="K209" s="2" t="n">
        <x:v>4</x:v>
      </x:c>
      <x:c r="L209" s="2" t="str">
        <x:v>Champions</x:v>
      </x:c>
    </x:row>
    <x:row r="210" ht="22" customHeight="1">
      <x:c r="A210" s="2"/>
      <x:c r="B210" s="2" t="str">
        <x:v>12518</x:v>
      </x:c>
      <x:c r="C210" s="2" t="str">
        <x:v>Germany</x:v>
      </x:c>
      <x:c r="D210" s="25" t="n">
        <x:v>40776.34583333333</x:v>
      </x:c>
      <x:c r="E210" s="25" t="n">
        <x:v>40886.217361111114</x:v>
      </x:c>
      <x:c r="F210" s="2" t="n">
        <x:v>1</x:v>
      </x:c>
      <x:c r="G210" s="2" t="n">
        <x:v>5</x:v>
      </x:c>
      <x:c r="H210" s="11" t="n">
        <x:v>2056.89</x:v>
      </x:c>
      <x:c r="I210" s="2" t="n">
        <x:v>5</x:v>
      </x:c>
      <x:c r="J210" s="2" t="n">
        <x:v>4</x:v>
      </x:c>
      <x:c r="K210" s="2" t="n">
        <x:v>4</x:v>
      </x:c>
      <x:c r="L210" s="2" t="str">
        <x:v>Champions</x:v>
      </x:c>
    </x:row>
    <x:row r="211" ht="22" customHeight="1">
      <x:c r="A211" s="2"/>
      <x:c r="B211" s="2" t="str">
        <x:v>12519</x:v>
      </x:c>
      <x:c r="C211" s="2" t="str">
        <x:v>Germany</x:v>
      </x:c>
      <x:c r="D211" s="25" t="n">
        <x:v>40410.13958333333</x:v>
      </x:c>
      <x:c r="E211" s="25" t="n">
        <x:v>40823.18472222222</x:v>
      </x:c>
      <x:c r="F211" s="2" t="n">
        <x:v>64</x:v>
      </x:c>
      <x:c r="G211" s="2" t="n">
        <x:v>2</x:v>
      </x:c>
      <x:c r="H211" s="11" t="n">
        <x:v>726.54</x:v>
      </x:c>
      <x:c r="I211" s="2" t="n">
        <x:v>3</x:v>
      </x:c>
      <x:c r="J211" s="2" t="n">
        <x:v>2</x:v>
      </x:c>
      <x:c r="K211" s="2" t="n">
        <x:v>3</x:v>
      </x:c>
      <x:c r="L211" s="2" t="str">
        <x:v>Developing</x:v>
      </x:c>
    </x:row>
    <x:row r="212" ht="22" customHeight="1">
      <x:c r="A212" s="2"/>
      <x:c r="B212" s="2" t="str">
        <x:v>12520</x:v>
      </x:c>
      <x:c r="C212" s="2" t="str">
        <x:v>Germany</x:v>
      </x:c>
      <x:c r="D212" s="25" t="n">
        <x:v>40613.274305555555</x:v>
      </x:c>
      <x:c r="E212" s="25" t="n">
        <x:v>40807.43263888889</x:v>
      </x:c>
      <x:c r="F212" s="2" t="n">
        <x:v>80</x:v>
      </x:c>
      <x:c r="G212" s="2" t="n">
        <x:v>5</x:v>
      </x:c>
      <x:c r="H212" s="11" t="n">
        <x:v>2634.26</x:v>
      </x:c>
      <x:c r="I212" s="2" t="n">
        <x:v>3</x:v>
      </x:c>
      <x:c r="J212" s="2" t="n">
        <x:v>4</x:v>
      </x:c>
      <x:c r="K212" s="2" t="n">
        <x:v>4</x:v>
      </x:c>
      <x:c r="L212" s="2" t="str">
        <x:v>Loyal</x:v>
      </x:c>
    </x:row>
    <x:row r="213" ht="22" customHeight="1">
      <x:c r="A213" s="2"/>
      <x:c r="B213" s="2" t="str">
        <x:v>12521</x:v>
      </x:c>
      <x:c r="C213" s="2" t="str">
        <x:v>Germany</x:v>
      </x:c>
      <x:c r="D213" s="25" t="n">
        <x:v>40744.24375</x:v>
      </x:c>
      <x:c r="E213" s="25" t="n">
        <x:v>40744.24375</x:v>
      </x:c>
      <x:c r="F213" s="2" t="n">
        <x:v>143</x:v>
      </x:c>
      <x:c r="G213" s="2" t="n">
        <x:v>1</x:v>
      </x:c>
      <x:c r="H213" s="11" t="n">
        <x:v>599.68</x:v>
      </x:c>
      <x:c r="I213" s="2" t="n">
        <x:v>3</x:v>
      </x:c>
      <x:c r="J213" s="2" t="n">
        <x:v>1</x:v>
      </x:c>
      <x:c r="K213" s="2" t="n">
        <x:v>2</x:v>
      </x:c>
      <x:c r="L213" s="2" t="str">
        <x:v>Developing</x:v>
      </x:c>
    </x:row>
    <x:row r="214" ht="22" customHeight="1">
      <x:c r="A214" s="2"/>
      <x:c r="B214" s="2" t="str">
        <x:v>12522</x:v>
      </x:c>
      <x:c r="C214" s="2" t="str">
        <x:v>Germany</x:v>
      </x:c>
      <x:c r="D214" s="25" t="n">
        <x:v>40835.40347222222</x:v>
      </x:c>
      <x:c r="E214" s="25" t="n">
        <x:v>40847.4375</x:v>
      </x:c>
      <x:c r="F214" s="2" t="n">
        <x:v>40</x:v>
      </x:c>
      <x:c r="G214" s="2" t="n">
        <x:v>2</x:v>
      </x:c>
      <x:c r="H214" s="11" t="n">
        <x:v>192.72</x:v>
      </x:c>
      <x:c r="I214" s="2" t="n">
        <x:v>4</x:v>
      </x:c>
      <x:c r="J214" s="2" t="n">
        <x:v>2</x:v>
      </x:c>
      <x:c r="K214" s="2" t="n">
        <x:v>1</x:v>
      </x:c>
      <x:c r="L214" s="2" t="str">
        <x:v>Recent light buyers</x:v>
      </x:c>
    </x:row>
    <x:row r="215" ht="22" customHeight="1">
      <x:c r="A215" s="2"/>
      <x:c r="B215" s="2" t="str">
        <x:v>12523</x:v>
      </x:c>
      <x:c r="C215" s="2" t="str">
        <x:v>France</x:v>
      </x:c>
      <x:c r="D215" s="25" t="n">
        <x:v>40154.365277777775</x:v>
      </x:c>
      <x:c r="E215" s="25" t="n">
        <x:v>40867.32986111111</x:v>
      </x:c>
      <x:c r="F215" s="2" t="n">
        <x:v>20</x:v>
      </x:c>
      <x:c r="G215" s="2" t="n">
        <x:v>23</x:v>
      </x:c>
      <x:c r="H215" s="11" t="n">
        <x:v>4372.15</x:v>
      </x:c>
      <x:c r="I215" s="2" t="n">
        <x:v>5</x:v>
      </x:c>
      <x:c r="J215" s="2" t="n">
        <x:v>5</x:v>
      </x:c>
      <x:c r="K215" s="2" t="n">
        <x:v>5</x:v>
      </x:c>
      <x:c r="L215" s="2" t="str">
        <x:v>Champions</x:v>
      </x:c>
    </x:row>
    <x:row r="216" ht="22" customHeight="1">
      <x:c r="A216" s="2"/>
      <x:c r="B216" s="2" t="str">
        <x:v>12524</x:v>
      </x:c>
      <x:c r="C216" s="2" t="str">
        <x:v>Germany</x:v>
      </x:c>
      <x:c r="D216" s="25" t="n">
        <x:v>40217.40347222222</x:v>
      </x:c>
      <x:c r="E216" s="25" t="n">
        <x:v>40877.43819444445</x:v>
      </x:c>
      <x:c r="F216" s="2" t="n">
        <x:v>10</x:v>
      </x:c>
      <x:c r="G216" s="2" t="n">
        <x:v>17</x:v>
      </x:c>
      <x:c r="H216" s="11" t="n">
        <x:v>11126.11</x:v>
      </x:c>
      <x:c r="I216" s="2" t="n">
        <x:v>5</x:v>
      </x:c>
      <x:c r="J216" s="2" t="n">
        <x:v>5</x:v>
      </x:c>
      <x:c r="K216" s="2" t="n">
        <x:v>5</x:v>
      </x:c>
      <x:c r="L216" s="2" t="str">
        <x:v>Champions</x:v>
      </x:c>
    </x:row>
    <x:row r="217" ht="22" customHeight="1">
      <x:c r="A217" s="2"/>
      <x:c r="B217" s="2" t="str">
        <x:v>12525</x:v>
      </x:c>
      <x:c r="C217" s="2" t="str">
        <x:v>France</x:v>
      </x:c>
      <x:c r="D217" s="25" t="n">
        <x:v>40239.37569444445</x:v>
      </x:c>
      <x:c r="E217" s="25" t="n">
        <x:v>40388.46388888889</x:v>
      </x:c>
      <x:c r="F217" s="2" t="n">
        <x:v>499</x:v>
      </x:c>
      <x:c r="G217" s="2" t="n">
        <x:v>3</x:v>
      </x:c>
      <x:c r="H217" s="11" t="n">
        <x:v>973.73</x:v>
      </x:c>
      <x:c r="I217" s="2" t="n">
        <x:v>1</x:v>
      </x:c>
      <x:c r="J217" s="2" t="n">
        <x:v>3</x:v>
      </x:c>
      <x:c r="K217" s="2" t="n">
        <x:v>3</x:v>
      </x:c>
      <x:c r="L217" s="2" t="str">
        <x:v>At risk</x:v>
      </x:c>
    </x:row>
    <x:row r="218" ht="22" customHeight="1">
      <x:c r="A218" s="2"/>
      <x:c r="B218" s="2" t="str">
        <x:v>12526</x:v>
      </x:c>
      <x:c r="C218" s="2" t="str">
        <x:v>Germany</x:v>
      </x:c>
      <x:c r="D218" s="25" t="n">
        <x:v>40792.388194444444</x:v>
      </x:c>
      <x:c r="E218" s="25" t="n">
        <x:v>40886.29791666667</x:v>
      </x:c>
      <x:c r="F218" s="2" t="n">
        <x:v>1</x:v>
      </x:c>
      <x:c r="G218" s="2" t="n">
        <x:v>3</x:v>
      </x:c>
      <x:c r="H218" s="11" t="n">
        <x:v>1316.66</x:v>
      </x:c>
      <x:c r="I218" s="2" t="n">
        <x:v>5</x:v>
      </x:c>
      <x:c r="J218" s="2" t="n">
        <x:v>3</x:v>
      </x:c>
      <x:c r="K218" s="2" t="n">
        <x:v>4</x:v>
      </x:c>
      <x:c r="L218" s="2" t="str">
        <x:v>Loyal</x:v>
      </x:c>
    </x:row>
    <x:row r="219" ht="22" customHeight="1">
      <x:c r="A219" s="2"/>
      <x:c r="B219" s="2" t="str">
        <x:v>12527</x:v>
      </x:c>
      <x:c r="C219" s="2" t="str">
        <x:v>Germany</x:v>
      </x:c>
      <x:c r="D219" s="25" t="n">
        <x:v>40357.44236111111</x:v>
      </x:c>
      <x:c r="E219" s="25" t="n">
        <x:v>40805.288194444445</x:v>
      </x:c>
      <x:c r="F219" s="2" t="n">
        <x:v>82</x:v>
      </x:c>
      <x:c r="G219" s="2" t="n">
        <x:v>5</x:v>
      </x:c>
      <x:c r="H219" s="11" t="n">
        <x:v>735.51</x:v>
      </x:c>
      <x:c r="I219" s="2" t="n">
        <x:v>3</x:v>
      </x:c>
      <x:c r="J219" s="2" t="n">
        <x:v>4</x:v>
      </x:c>
      <x:c r="K219" s="2" t="n">
        <x:v>3</x:v>
      </x:c>
      <x:c r="L219" s="2" t="str">
        <x:v>Loyal</x:v>
      </x:c>
    </x:row>
    <x:row r="220" ht="22" customHeight="1">
      <x:c r="A220" s="2"/>
      <x:c r="B220" s="2" t="str">
        <x:v>12528</x:v>
      </x:c>
      <x:c r="C220" s="2" t="str">
        <x:v>Germany</x:v>
      </x:c>
      <x:c r="D220" s="25" t="n">
        <x:v>40574.17013888889</x:v>
      </x:c>
      <x:c r="E220" s="25" t="n">
        <x:v>40877.40277777778</x:v>
      </x:c>
      <x:c r="F220" s="2" t="n">
        <x:v>10</x:v>
      </x:c>
      <x:c r="G220" s="2" t="n">
        <x:v>6</x:v>
      </x:c>
      <x:c r="H220" s="11" t="n">
        <x:v>1933.48</x:v>
      </x:c>
      <x:c r="I220" s="2" t="n">
        <x:v>5</x:v>
      </x:c>
      <x:c r="J220" s="2" t="n">
        <x:v>4</x:v>
      </x:c>
      <x:c r="K220" s="2" t="n">
        <x:v>4</x:v>
      </x:c>
      <x:c r="L220" s="2" t="str">
        <x:v>Champions</x:v>
      </x:c>
    </x:row>
    <x:row r="221" ht="22" customHeight="1">
      <x:c r="A221" s="2"/>
      <x:c r="B221" s="2" t="str">
        <x:v>12529</x:v>
      </x:c>
      <x:c r="C221" s="2" t="str">
        <x:v>France</x:v>
      </x:c>
      <x:c r="D221" s="25" t="n">
        <x:v>40358.34027777778</x:v>
      </x:c>
      <x:c r="E221" s="25" t="n">
        <x:v>40358.34027777778</x:v>
      </x:c>
      <x:c r="F221" s="2" t="n">
        <x:v>529</x:v>
      </x:c>
      <x:c r="G221" s="2" t="n">
        <x:v>1</x:v>
      </x:c>
      <x:c r="H221" s="11" t="n">
        <x:v>316.48</x:v>
      </x:c>
      <x:c r="I221" s="2" t="n">
        <x:v>1</x:v>
      </x:c>
      <x:c r="J221" s="2" t="n">
        <x:v>1</x:v>
      </x:c>
      <x:c r="K221" s="2" t="n">
        <x:v>2</x:v>
      </x:c>
      <x:c r="L221" s="2" t="str">
        <x:v>Hibernating</x:v>
      </x:c>
    </x:row>
    <x:row r="222" ht="22" customHeight="1">
      <x:c r="A222" s="2"/>
      <x:c r="B222" s="2" t="str">
        <x:v>12530</x:v>
      </x:c>
      <x:c r="C222" s="2" t="str">
        <x:v>Germany</x:v>
      </x:c>
      <x:c r="D222" s="25" t="n">
        <x:v>40244.40069444444</x:v>
      </x:c>
      <x:c r="E222" s="25" t="n">
        <x:v>40827.31527777778</x:v>
      </x:c>
      <x:c r="F222" s="2" t="n">
        <x:v>60</x:v>
      </x:c>
      <x:c r="G222" s="2" t="n">
        <x:v>9</x:v>
      </x:c>
      <x:c r="H222" s="11" t="n">
        <x:v>3759.26</x:v>
      </x:c>
      <x:c r="I222" s="2" t="n">
        <x:v>3</x:v>
      </x:c>
      <x:c r="J222" s="2" t="n">
        <x:v>5</x:v>
      </x:c>
      <x:c r="K222" s="2" t="n">
        <x:v>5</x:v>
      </x:c>
      <x:c r="L222" s="2" t="str">
        <x:v>Loyal</x:v>
      </x:c>
    </x:row>
    <x:row r="223" ht="22" customHeight="1">
      <x:c r="A223" s="2"/>
      <x:c r="B223" s="2" t="str">
        <x:v>12531</x:v>
      </x:c>
      <x:c r="C223" s="2" t="str">
        <x:v>Germany</x:v>
      </x:c>
      <x:c r="D223" s="25" t="n">
        <x:v>40200.38680555556</x:v>
      </x:c>
      <x:c r="E223" s="25" t="n">
        <x:v>40872.25833333333</x:v>
      </x:c>
      <x:c r="F223" s="2" t="n">
        <x:v>15</x:v>
      </x:c>
      <x:c r="G223" s="2" t="n">
        <x:v>2</x:v>
      </x:c>
      <x:c r="H223" s="11" t="n">
        <x:v>1933.2</x:v>
      </x:c>
      <x:c r="I223" s="2" t="n">
        <x:v>5</x:v>
      </x:c>
      <x:c r="J223" s="2" t="n">
        <x:v>2</x:v>
      </x:c>
      <x:c r="K223" s="2" t="n">
        <x:v>4</x:v>
      </x:c>
      <x:c r="L223" s="2" t="str">
        <x:v>Recent light buyers</x:v>
      </x:c>
    </x:row>
    <x:row r="224" ht="22" customHeight="1">
      <x:c r="A224" s="2"/>
      <x:c r="B224" s="2" t="str">
        <x:v>12532</x:v>
      </x:c>
      <x:c r="C224" s="2" t="str">
        <x:v>France</x:v>
      </x:c>
      <x:c r="D224" s="25" t="n">
        <x:v>40856.36597222222</x:v>
      </x:c>
      <x:c r="E224" s="25" t="n">
        <x:v>40856.36597222222</x:v>
      </x:c>
      <x:c r="F224" s="2" t="n">
        <x:v>31</x:v>
      </x:c>
      <x:c r="G224" s="2" t="n">
        <x:v>1</x:v>
      </x:c>
      <x:c r="H224" s="11" t="n">
        <x:v>349.83</x:v>
      </x:c>
      <x:c r="I224" s="2" t="n">
        <x:v>4</x:v>
      </x:c>
      <x:c r="J224" s="2" t="n">
        <x:v>1</x:v>
      </x:c>
      <x:c r="K224" s="2" t="n">
        <x:v>2</x:v>
      </x:c>
      <x:c r="L224" s="2" t="str">
        <x:v>Recent light buyers</x:v>
      </x:c>
    </x:row>
    <x:row r="225" ht="22" customHeight="1">
      <x:c r="A225" s="2"/>
      <x:c r="B225" s="2" t="str">
        <x:v>12533</x:v>
      </x:c>
      <x:c r="C225" s="2" t="str">
        <x:v>Germany</x:v>
      </x:c>
      <x:c r="D225" s="25" t="n">
        <x:v>40148.28472222222</x:v>
      </x:c>
      <x:c r="E225" s="25" t="n">
        <x:v>40259.24722222222</x:v>
      </x:c>
      <x:c r="F225" s="2" t="n">
        <x:v>628</x:v>
      </x:c>
      <x:c r="G225" s="2" t="n">
        <x:v>2</x:v>
      </x:c>
      <x:c r="H225" s="11" t="n">
        <x:v>1367.89</x:v>
      </x:c>
      <x:c r="I225" s="2" t="n">
        <x:v>1</x:v>
      </x:c>
      <x:c r="J225" s="2" t="n">
        <x:v>2</x:v>
      </x:c>
      <x:c r="K225" s="2" t="n">
        <x:v>4</x:v>
      </x:c>
      <x:c r="L225" s="2" t="str">
        <x:v>Hibernating</x:v>
      </x:c>
    </x:row>
    <x:row r="226" ht="22" customHeight="1">
      <x:c r="A226" s="2"/>
      <x:c r="B226" s="2" t="str">
        <x:v>12534</x:v>
      </x:c>
      <x:c r="C226" s="2" t="str">
        <x:v>Germany</x:v>
      </x:c>
      <x:c r="D226" s="25" t="n">
        <x:v>40756.22638888889</x:v>
      </x:c>
      <x:c r="E226" s="25" t="n">
        <x:v>40756.22638888889</x:v>
      </x:c>
      <x:c r="F226" s="2" t="n">
        <x:v>131</x:v>
      </x:c>
      <x:c r="G226" s="2" t="n">
        <x:v>1</x:v>
      </x:c>
      <x:c r="H226" s="11" t="n">
        <x:v>1089.18</x:v>
      </x:c>
      <x:c r="I226" s="2" t="n">
        <x:v>3</x:v>
      </x:c>
      <x:c r="J226" s="2" t="n">
        <x:v>1</x:v>
      </x:c>
      <x:c r="K226" s="2" t="n">
        <x:v>3</x:v>
      </x:c>
      <x:c r="L226" s="2" t="str">
        <x:v>Developing</x:v>
      </x:c>
    </x:row>
    <x:row r="227" ht="22" customHeight="1">
      <x:c r="A227" s="2"/>
      <x:c r="B227" s="2" t="str">
        <x:v>12535</x:v>
      </x:c>
      <x:c r="C227" s="2" t="str">
        <x:v>France</x:v>
      </x:c>
      <x:c r="D227" s="25" t="n">
        <x:v>40700.32430555556</x:v>
      </x:c>
      <x:c r="E227" s="25" t="n">
        <x:v>40795.15833333333</x:v>
      </x:c>
      <x:c r="F227" s="2" t="n">
        <x:v>92</x:v>
      </x:c>
      <x:c r="G227" s="2" t="n">
        <x:v>2</x:v>
      </x:c>
      <x:c r="H227" s="11" t="n">
        <x:v>716.35</x:v>
      </x:c>
      <x:c r="I227" s="2" t="n">
        <x:v>3</x:v>
      </x:c>
      <x:c r="J227" s="2" t="n">
        <x:v>2</x:v>
      </x:c>
      <x:c r="K227" s="2" t="n">
        <x:v>3</x:v>
      </x:c>
      <x:c r="L227" s="2" t="str">
        <x:v>Developing</x:v>
      </x:c>
    </x:row>
    <x:row r="228" ht="22" customHeight="1">
      <x:c r="A228" s="2"/>
      <x:c r="B228" s="2" t="str">
        <x:v>12536</x:v>
      </x:c>
      <x:c r="C228" s="2" t="str">
        <x:v>France</x:v>
      </x:c>
      <x:c r="D228" s="25" t="n">
        <x:v>40827.41111111111</x:v>
      </x:c>
      <x:c r="E228" s="25" t="n">
        <x:v>40843.38888888889</x:v>
      </x:c>
      <x:c r="F228" s="2" t="n">
        <x:v>44</x:v>
      </x:c>
      <x:c r="G228" s="2" t="n">
        <x:v>3</x:v>
      </x:c>
      <x:c r="H228" s="11" t="n">
        <x:v>12601.83</x:v>
      </x:c>
      <x:c r="I228" s="2" t="n">
        <x:v>4</x:v>
      </x:c>
      <x:c r="J228" s="2" t="n">
        <x:v>3</x:v>
      </x:c>
      <x:c r="K228" s="2" t="n">
        <x:v>5</x:v>
      </x:c>
      <x:c r="L228" s="2" t="str">
        <x:v>Loyal</x:v>
      </x:c>
    </x:row>
    <x:row r="229" ht="22" customHeight="1">
      <x:c r="A229" s="2"/>
      <x:c r="B229" s="2" t="str">
        <x:v>12537</x:v>
      </x:c>
      <x:c r="C229" s="2" t="str">
        <x:v>Sweden</x:v>
      </x:c>
      <x:c r="D229" s="25" t="n">
        <x:v>40478.15</x:v>
      </x:c>
      <x:c r="E229" s="25" t="n">
        <x:v>40478.15</x:v>
      </x:c>
      <x:c r="F229" s="2" t="n">
        <x:v>409</x:v>
      </x:c>
      <x:c r="G229" s="2" t="n">
        <x:v>1</x:v>
      </x:c>
      <x:c r="H229" s="11" t="n">
        <x:v>732.94</x:v>
      </x:c>
      <x:c r="I229" s="2" t="n">
        <x:v>2</x:v>
      </x:c>
      <x:c r="J229" s="2" t="n">
        <x:v>1</x:v>
      </x:c>
      <x:c r="K229" s="2" t="n">
        <x:v>3</x:v>
      </x:c>
      <x:c r="L229" s="2" t="str">
        <x:v>Hibernating</x:v>
      </x:c>
    </x:row>
    <x:row r="230" ht="22" customHeight="1">
      <x:c r="A230" s="2"/>
      <x:c r="B230" s="2" t="str">
        <x:v>12538</x:v>
      </x:c>
      <x:c r="C230" s="2" t="str">
        <x:v>Spain</x:v>
      </x:c>
      <x:c r="D230" s="25" t="n">
        <x:v>40508.33472222222</x:v>
      </x:c>
      <x:c r="E230" s="25" t="n">
        <x:v>40857.51111111111</x:v>
      </x:c>
      <x:c r="F230" s="2" t="n">
        <x:v>30</x:v>
      </x:c>
      <x:c r="G230" s="2" t="n">
        <x:v>2</x:v>
      </x:c>
      <x:c r="H230" s="11" t="n">
        <x:v>640.45</x:v>
      </x:c>
      <x:c r="I230" s="2" t="n">
        <x:v>4</x:v>
      </x:c>
      <x:c r="J230" s="2" t="n">
        <x:v>2</x:v>
      </x:c>
      <x:c r="K230" s="2" t="n">
        <x:v>3</x:v>
      </x:c>
      <x:c r="L230" s="2" t="str">
        <x:v>Recent light buyers</x:v>
      </x:c>
    </x:row>
    <x:row r="231" ht="22" customHeight="1">
      <x:c r="A231" s="2"/>
      <x:c r="B231" s="2" t="str">
        <x:v>12539</x:v>
      </x:c>
      <x:c r="C231" s="2" t="str">
        <x:v>Spain</x:v>
      </x:c>
      <x:c r="D231" s="25" t="n">
        <x:v>40170.333333333336</x:v>
      </x:c>
      <x:c r="E231" s="25" t="n">
        <x:v>40864.354166666664</x:v>
      </x:c>
      <x:c r="F231" s="2" t="n">
        <x:v>23</x:v>
      </x:c>
      <x:c r="G231" s="2" t="n">
        <x:v>7</x:v>
      </x:c>
      <x:c r="H231" s="11" t="n">
        <x:v>11214.75</x:v>
      </x:c>
      <x:c r="I231" s="2" t="n">
        <x:v>4</x:v>
      </x:c>
      <x:c r="J231" s="2" t="n">
        <x:v>4</x:v>
      </x:c>
      <x:c r="K231" s="2" t="n">
        <x:v>5</x:v>
      </x:c>
      <x:c r="L231" s="2" t="str">
        <x:v>Champions</x:v>
      </x:c>
    </x:row>
    <x:row r="232" ht="22" customHeight="1">
      <x:c r="A232" s="2"/>
      <x:c r="B232" s="2" t="str">
        <x:v>12540</x:v>
      </x:c>
      <x:c r="C232" s="2" t="str">
        <x:v>Spain</x:v>
      </x:c>
      <x:c r="D232" s="25" t="n">
        <x:v>40154.49722222222</x:v>
      </x:c>
      <x:c r="E232" s="25" t="n">
        <x:v>40867.271527777775</x:v>
      </x:c>
      <x:c r="F232" s="2" t="n">
        <x:v>20</x:v>
      </x:c>
      <x:c r="G232" s="2" t="n">
        <x:v>33</x:v>
      </x:c>
      <x:c r="H232" s="11" t="n">
        <x:v>22254.49</x:v>
      </x:c>
      <x:c r="I232" s="2" t="n">
        <x:v>5</x:v>
      </x:c>
      <x:c r="J232" s="2" t="n">
        <x:v>5</x:v>
      </x:c>
      <x:c r="K232" s="2" t="n">
        <x:v>5</x:v>
      </x:c>
      <x:c r="L232" s="2" t="str">
        <x:v>Champions</x:v>
      </x:c>
    </x:row>
    <x:row r="233" ht="22" customHeight="1">
      <x:c r="A233" s="2"/>
      <x:c r="B233" s="2" t="str">
        <x:v>12541</x:v>
      </x:c>
      <x:c r="C233" s="2" t="str">
        <x:v>Spain</x:v>
      </x:c>
      <x:c r="D233" s="25" t="n">
        <x:v>40606.188888888886</x:v>
      </x:c>
      <x:c r="E233" s="25" t="n">
        <x:v>40857.23611111111</x:v>
      </x:c>
      <x:c r="F233" s="2" t="n">
        <x:v>30</x:v>
      </x:c>
      <x:c r="G233" s="2" t="n">
        <x:v>3</x:v>
      </x:c>
      <x:c r="H233" s="11" t="n">
        <x:v>981.18</x:v>
      </x:c>
      <x:c r="I233" s="2" t="n">
        <x:v>4</x:v>
      </x:c>
      <x:c r="J233" s="2" t="n">
        <x:v>3</x:v>
      </x:c>
      <x:c r="K233" s="2" t="n">
        <x:v>3</x:v>
      </x:c>
      <x:c r="L233" s="2" t="str">
        <x:v>Loyal</x:v>
      </x:c>
    </x:row>
    <x:row r="234" ht="22" customHeight="1">
      <x:c r="A234" s="2"/>
      <x:c r="B234" s="2" t="str">
        <x:v>12542</x:v>
      </x:c>
      <x:c r="C234" s="2" t="str">
        <x:v>Spain</x:v>
      </x:c>
      <x:c r="D234" s="25" t="n">
        <x:v>40246.47638888889</x:v>
      </x:c>
      <x:c r="E234" s="25" t="n">
        <x:v>40402.59166666667</x:v>
      </x:c>
      <x:c r="F234" s="2" t="n">
        <x:v>485</x:v>
      </x:c>
      <x:c r="G234" s="2" t="n">
        <x:v>2</x:v>
      </x:c>
      <x:c r="H234" s="11" t="n">
        <x:v>481.88</x:v>
      </x:c>
      <x:c r="I234" s="2" t="n">
        <x:v>1</x:v>
      </x:c>
      <x:c r="J234" s="2" t="n">
        <x:v>2</x:v>
      </x:c>
      <x:c r="K234" s="2" t="n">
        <x:v>2</x:v>
      </x:c>
      <x:c r="L234" s="2" t="str">
        <x:v>Hibernating</x:v>
      </x:c>
    </x:row>
    <x:row r="235" ht="22" customHeight="1">
      <x:c r="A235" s="2"/>
      <x:c r="B235" s="2" t="str">
        <x:v>12543</x:v>
      </x:c>
      <x:c r="C235" s="2" t="str">
        <x:v>Spain</x:v>
      </x:c>
      <x:c r="D235" s="25" t="n">
        <x:v>40438.45208333333</x:v>
      </x:c>
      <x:c r="E235" s="25" t="n">
        <x:v>40438.45208333333</x:v>
      </x:c>
      <x:c r="F235" s="2" t="n">
        <x:v>449</x:v>
      </x:c>
      <x:c r="G235" s="2" t="n">
        <x:v>1</x:v>
      </x:c>
      <x:c r="H235" s="11" t="n">
        <x:v>980.25</x:v>
      </x:c>
      <x:c r="I235" s="2" t="n">
        <x:v>1</x:v>
      </x:c>
      <x:c r="J235" s="2" t="n">
        <x:v>1</x:v>
      </x:c>
      <x:c r="K235" s="2" t="n">
        <x:v>3</x:v>
      </x:c>
      <x:c r="L235" s="2" t="str">
        <x:v>Hibernating</x:v>
      </x:c>
    </x:row>
    <x:row r="236" ht="22" customHeight="1">
      <x:c r="A236" s="2"/>
      <x:c r="B236" s="2" t="str">
        <x:v>12544</x:v>
      </x:c>
      <x:c r="C236" s="2" t="str">
        <x:v>Spain</x:v>
      </x:c>
      <x:c r="D236" s="25" t="n">
        <x:v>40850.46875</x:v>
      </x:c>
      <x:c r="E236" s="25" t="n">
        <x:v>40850.46875</x:v>
      </x:c>
      <x:c r="F236" s="2" t="n">
        <x:v>37</x:v>
      </x:c>
      <x:c r="G236" s="2" t="n">
        <x:v>1</x:v>
      </x:c>
      <x:c r="H236" s="11" t="n">
        <x:v>372.7</x:v>
      </x:c>
      <x:c r="I236" s="2" t="n">
        <x:v>4</x:v>
      </x:c>
      <x:c r="J236" s="2" t="n">
        <x:v>1</x:v>
      </x:c>
      <x:c r="K236" s="2" t="n">
        <x:v>2</x:v>
      </x:c>
      <x:c r="L236" s="2" t="str">
        <x:v>Recent light buyers</x:v>
      </x:c>
    </x:row>
    <x:row r="237" ht="22" customHeight="1">
      <x:c r="A237" s="2"/>
      <x:c r="B237" s="2" t="str">
        <x:v>12545</x:v>
      </x:c>
      <x:c r="C237" s="2" t="str">
        <x:v>Spain</x:v>
      </x:c>
      <x:c r="D237" s="25" t="n">
        <x:v>40627.294444444444</x:v>
      </x:c>
      <x:c r="E237" s="25" t="n">
        <x:v>40811.36041666667</x:v>
      </x:c>
      <x:c r="F237" s="2" t="n">
        <x:v>76</x:v>
      </x:c>
      <x:c r="G237" s="2" t="n">
        <x:v>2</x:v>
      </x:c>
      <x:c r="H237" s="11" t="n">
        <x:v>1000.39</x:v>
      </x:c>
      <x:c r="I237" s="2" t="n">
        <x:v>3</x:v>
      </x:c>
      <x:c r="J237" s="2" t="n">
        <x:v>2</x:v>
      </x:c>
      <x:c r="K237" s="2" t="n">
        <x:v>3</x:v>
      </x:c>
      <x:c r="L237" s="2" t="str">
        <x:v>Developing</x:v>
      </x:c>
    </x:row>
    <x:row r="238" ht="22" customHeight="1">
      <x:c r="A238" s="2"/>
      <x:c r="B238" s="2" t="str">
        <x:v>12546</x:v>
      </x:c>
      <x:c r="C238" s="2" t="str">
        <x:v>Spain</x:v>
      </x:c>
      <x:c r="D238" s="25" t="n">
        <x:v>40809.197222222225</x:v>
      </x:c>
      <x:c r="E238" s="25" t="n">
        <x:v>40840.29791666667</x:v>
      </x:c>
      <x:c r="F238" s="2" t="n">
        <x:v>47</x:v>
      </x:c>
      <x:c r="G238" s="2" t="n">
        <x:v>2</x:v>
      </x:c>
      <x:c r="H238" s="11" t="n">
        <x:v>1161.5</x:v>
      </x:c>
      <x:c r="I238" s="2" t="n">
        <x:v>4</x:v>
      </x:c>
      <x:c r="J238" s="2" t="n">
        <x:v>2</x:v>
      </x:c>
      <x:c r="K238" s="2" t="n">
        <x:v>3</x:v>
      </x:c>
      <x:c r="L238" s="2" t="str">
        <x:v>Recent light buyers</x:v>
      </x:c>
    </x:row>
    <x:row r="239" ht="22" customHeight="1">
      <x:c r="A239" s="2"/>
      <x:c r="B239" s="2" t="str">
        <x:v>12547</x:v>
      </x:c>
      <x:c r="C239" s="2" t="str">
        <x:v>Spain</x:v>
      </x:c>
      <x:c r="D239" s="25" t="n">
        <x:v>40386.37152777778</x:v>
      </x:c>
      <x:c r="E239" s="25" t="n">
        <x:v>40689.31805555556</x:v>
      </x:c>
      <x:c r="F239" s="2" t="n">
        <x:v>198</x:v>
      </x:c>
      <x:c r="G239" s="2" t="n">
        <x:v>3</x:v>
      </x:c>
      <x:c r="H239" s="11" t="n">
        <x:v>383.58</x:v>
      </x:c>
      <x:c r="I239" s="2" t="n">
        <x:v>2</x:v>
      </x:c>
      <x:c r="J239" s="2" t="n">
        <x:v>3</x:v>
      </x:c>
      <x:c r="K239" s="2" t="n">
        <x:v>2</x:v>
      </x:c>
      <x:c r="L239" s="2" t="str">
        <x:v>At risk</x:v>
      </x:c>
    </x:row>
    <x:row r="240" ht="22" customHeight="1">
      <x:c r="A240" s="2"/>
      <x:c r="B240" s="2" t="str">
        <x:v>12548</x:v>
      </x:c>
      <x:c r="C240" s="2" t="str">
        <x:v>Spain</x:v>
      </x:c>
      <x:c r="D240" s="25" t="n">
        <x:v>40720.44097222222</x:v>
      </x:c>
      <x:c r="E240" s="25" t="n">
        <x:v>40720.44097222222</x:v>
      </x:c>
      <x:c r="F240" s="2" t="n">
        <x:v>167</x:v>
      </x:c>
      <x:c r="G240" s="2" t="n">
        <x:v>1</x:v>
      </x:c>
      <x:c r="H240" s="11" t="n">
        <x:v>95.2</x:v>
      </x:c>
      <x:c r="I240" s="2" t="n">
        <x:v>3</x:v>
      </x:c>
      <x:c r="J240" s="2" t="n">
        <x:v>1</x:v>
      </x:c>
      <x:c r="K240" s="2" t="n">
        <x:v>1</x:v>
      </x:c>
      <x:c r="L240" s="2" t="str">
        <x:v>Developing</x:v>
      </x:c>
    </x:row>
    <x:row r="241" ht="22" customHeight="1">
      <x:c r="A241" s="2"/>
      <x:c r="B241" s="2" t="str">
        <x:v>12549</x:v>
      </x:c>
      <x:c r="C241" s="2" t="str">
        <x:v>USA</x:v>
      </x:c>
      <x:c r="D241" s="25" t="n">
        <x:v>40189.31180555555</x:v>
      </x:c>
      <x:c r="E241" s="25" t="n">
        <x:v>40311.29513888889</x:v>
      </x:c>
      <x:c r="F241" s="2" t="n">
        <x:v>576</x:v>
      </x:c>
      <x:c r="G241" s="2" t="n">
        <x:v>6</x:v>
      </x:c>
      <x:c r="H241" s="11" t="n">
        <x:v>1575.68</x:v>
      </x:c>
      <x:c r="I241" s="2" t="n">
        <x:v>1</x:v>
      </x:c>
      <x:c r="J241" s="2" t="n">
        <x:v>4</x:v>
      </x:c>
      <x:c r="K241" s="2" t="n">
        <x:v>4</x:v>
      </x:c>
      <x:c r="L241" s="2" t="str">
        <x:v>At risk</x:v>
      </x:c>
    </x:row>
    <x:row r="242" ht="22" customHeight="1">
      <x:c r="A242" s="2"/>
      <x:c r="B242" s="2" t="str">
        <x:v>12550</x:v>
      </x:c>
      <x:c r="C242" s="2" t="str">
        <x:v>Spain</x:v>
      </x:c>
      <x:c r="D242" s="25" t="n">
        <x:v>40807.399305555555</x:v>
      </x:c>
      <x:c r="E242" s="25" t="n">
        <x:v>40807.399305555555</x:v>
      </x:c>
      <x:c r="F242" s="2" t="n">
        <x:v>80</x:v>
      </x:c>
      <x:c r="G242" s="2" t="n">
        <x:v>1</x:v>
      </x:c>
      <x:c r="H242" s="11" t="n">
        <x:v>964.83</x:v>
      </x:c>
      <x:c r="I242" s="2" t="n">
        <x:v>3</x:v>
      </x:c>
      <x:c r="J242" s="2" t="n">
        <x:v>1</x:v>
      </x:c>
      <x:c r="K242" s="2" t="n">
        <x:v>3</x:v>
      </x:c>
      <x:c r="L242" s="2" t="str">
        <x:v>Developing</x:v>
      </x:c>
    </x:row>
    <x:row r="243" ht="22" customHeight="1">
      <x:c r="A243" s="2"/>
      <x:c r="B243" s="2" t="str">
        <x:v>12551</x:v>
      </x:c>
      <x:c r="C243" s="2" t="str">
        <x:v>Spain</x:v>
      </x:c>
      <x:c r="D243" s="25" t="n">
        <x:v>40529.26597222222</x:v>
      </x:c>
      <x:c r="E243" s="25" t="n">
        <x:v>40529.26597222222</x:v>
      </x:c>
      <x:c r="F243" s="2" t="n">
        <x:v>358</x:v>
      </x:c>
      <x:c r="G243" s="2" t="n">
        <x:v>1</x:v>
      </x:c>
      <x:c r="H243" s="11" t="n">
        <x:v>168</x:v>
      </x:c>
      <x:c r="I243" s="2" t="n">
        <x:v>2</x:v>
      </x:c>
      <x:c r="J243" s="2" t="n">
        <x:v>1</x:v>
      </x:c>
      <x:c r="K243" s="2" t="n">
        <x:v>1</x:v>
      </x:c>
      <x:c r="L243" s="2" t="str">
        <x:v>Hibernating</x:v>
      </x:c>
    </x:row>
    <x:row r="244" ht="22" customHeight="1">
      <x:c r="A244" s="2"/>
      <x:c r="B244" s="2" t="str">
        <x:v>12552</x:v>
      </x:c>
      <x:c r="C244" s="2" t="str">
        <x:v>Italy</x:v>
      </x:c>
      <x:c r="D244" s="25" t="n">
        <x:v>40847.299305555556</x:v>
      </x:c>
      <x:c r="E244" s="25" t="n">
        <x:v>40848.20972222222</x:v>
      </x:c>
      <x:c r="F244" s="2" t="n">
        <x:v>39</x:v>
      </x:c>
      <x:c r="G244" s="2" t="n">
        <x:v>2</x:v>
      </x:c>
      <x:c r="H244" s="11" t="n">
        <x:v>437.82</x:v>
      </x:c>
      <x:c r="I244" s="2" t="n">
        <x:v>4</x:v>
      </x:c>
      <x:c r="J244" s="2" t="n">
        <x:v>2</x:v>
      </x:c>
      <x:c r="K244" s="2" t="n">
        <x:v>2</x:v>
      </x:c>
      <x:c r="L244" s="2" t="str">
        <x:v>Recent light buyers</x:v>
      </x:c>
    </x:row>
    <x:row r="245" ht="22" customHeight="1">
      <x:c r="A245" s="2"/>
      <x:c r="B245" s="2" t="str">
        <x:v>12553</x:v>
      </x:c>
      <x:c r="C245" s="2" t="str">
        <x:v>France</x:v>
      </x:c>
      <x:c r="D245" s="25" t="n">
        <x:v>40463.35763888889</x:v>
      </x:c>
      <x:c r="E245" s="25" t="n">
        <x:v>40878.48472222222</x:v>
      </x:c>
      <x:c r="F245" s="2" t="n">
        <x:v>9</x:v>
      </x:c>
      <x:c r="G245" s="2" t="n">
        <x:v>12</x:v>
      </x:c>
      <x:c r="H245" s="11" t="n">
        <x:v>4608.75</x:v>
      </x:c>
      <x:c r="I245" s="2" t="n">
        <x:v>5</x:v>
      </x:c>
      <x:c r="J245" s="2" t="n">
        <x:v>5</x:v>
      </x:c>
      <x:c r="K245" s="2" t="n">
        <x:v>5</x:v>
      </x:c>
      <x:c r="L245" s="2" t="str">
        <x:v>Champions</x:v>
      </x:c>
    </x:row>
    <x:row r="246" ht="22" customHeight="1">
      <x:c r="A246" s="2"/>
      <x:c r="B246" s="2" t="str">
        <x:v>12554</x:v>
      </x:c>
      <x:c r="C246" s="2" t="str">
        <x:v>Spain</x:v>
      </x:c>
      <x:c r="D246" s="25" t="n">
        <x:v>40438.31180555555</x:v>
      </x:c>
      <x:c r="E246" s="25" t="n">
        <x:v>40438.31180555555</x:v>
      </x:c>
      <x:c r="F246" s="2" t="n">
        <x:v>449</x:v>
      </x:c>
      <x:c r="G246" s="2" t="n">
        <x:v>1</x:v>
      </x:c>
      <x:c r="H246" s="11" t="n">
        <x:v>468.5</x:v>
      </x:c>
      <x:c r="I246" s="2" t="n">
        <x:v>1</x:v>
      </x:c>
      <x:c r="J246" s="2" t="n">
        <x:v>1</x:v>
      </x:c>
      <x:c r="K246" s="2" t="n">
        <x:v>2</x:v>
      </x:c>
      <x:c r="L246" s="2" t="str">
        <x:v>Hibernating</x:v>
      </x:c>
    </x:row>
    <x:row r="247" ht="22" customHeight="1">
      <x:c r="A247" s="2"/>
      <x:c r="B247" s="2" t="str">
        <x:v>12555</x:v>
      </x:c>
      <x:c r="C247" s="2" t="str">
        <x:v>Spain</x:v>
      </x:c>
      <x:c r="D247" s="25" t="n">
        <x:v>40204.47638888889</x:v>
      </x:c>
      <x:c r="E247" s="25" t="n">
        <x:v>40204.47638888889</x:v>
      </x:c>
      <x:c r="F247" s="2" t="n">
        <x:v>683</x:v>
      </x:c>
      <x:c r="G247" s="2" t="n">
        <x:v>1</x:v>
      </x:c>
      <x:c r="H247" s="11" t="n">
        <x:v>129.23</x:v>
      </x:c>
      <x:c r="I247" s="2" t="n">
        <x:v>1</x:v>
      </x:c>
      <x:c r="J247" s="2" t="n">
        <x:v>1</x:v>
      </x:c>
      <x:c r="K247" s="2" t="n">
        <x:v>1</x:v>
      </x:c>
      <x:c r="L247" s="2" t="str">
        <x:v>Hibernating</x:v>
      </x:c>
    </x:row>
    <x:row r="248" ht="22" customHeight="1">
      <x:c r="A248" s="2"/>
      <x:c r="B248" s="2" t="str">
        <x:v>12556</x:v>
      </x:c>
      <x:c r="C248" s="2" t="str">
        <x:v>Spain</x:v>
      </x:c>
      <x:c r="D248" s="25" t="n">
        <x:v>40735.35763888889</x:v>
      </x:c>
      <x:c r="E248" s="25" t="n">
        <x:v>40836.3375</x:v>
      </x:c>
      <x:c r="F248" s="2" t="n">
        <x:v>51</x:v>
      </x:c>
      <x:c r="G248" s="2" t="n">
        <x:v>2</x:v>
      </x:c>
      <x:c r="H248" s="11" t="n">
        <x:v>603.71</x:v>
      </x:c>
      <x:c r="I248" s="2" t="n">
        <x:v>4</x:v>
      </x:c>
      <x:c r="J248" s="2" t="n">
        <x:v>2</x:v>
      </x:c>
      <x:c r="K248" s="2" t="n">
        <x:v>2</x:v>
      </x:c>
      <x:c r="L248" s="2" t="str">
        <x:v>Recent light buyers</x:v>
      </x:c>
    </x:row>
    <x:row r="249" ht="22" customHeight="1">
      <x:c r="A249" s="2"/>
      <x:c r="B249" s="2" t="str">
        <x:v>12557</x:v>
      </x:c>
      <x:c r="C249" s="2" t="str">
        <x:v>Spain</x:v>
      </x:c>
      <x:c r="D249" s="25" t="n">
        <x:v>40164.23541666667</x:v>
      </x:c>
      <x:c r="E249" s="25" t="n">
        <x:v>40870.49930555555</x:v>
      </x:c>
      <x:c r="F249" s="2" t="n">
        <x:v>17</x:v>
      </x:c>
      <x:c r="G249" s="2" t="n">
        <x:v>8</x:v>
      </x:c>
      <x:c r="H249" s="11" t="n">
        <x:v>18096.14</x:v>
      </x:c>
      <x:c r="I249" s="2" t="n">
        <x:v>5</x:v>
      </x:c>
      <x:c r="J249" s="2" t="n">
        <x:v>4</x:v>
      </x:c>
      <x:c r="K249" s="2" t="n">
        <x:v>5</x:v>
      </x:c>
      <x:c r="L249" s="2" t="str">
        <x:v>Champions</x:v>
      </x:c>
    </x:row>
    <x:row r="250" ht="22" customHeight="1">
      <x:c r="A250" s="2"/>
      <x:c r="B250" s="2" t="str">
        <x:v>12558</x:v>
      </x:c>
      <x:c r="C250" s="2" t="str">
        <x:v>USA</x:v>
      </x:c>
      <x:c r="D250" s="25" t="n">
        <x:v>40879.236805555556</x:v>
      </x:c>
      <x:c r="E250" s="25" t="n">
        <x:v>40879.236805555556</x:v>
      </x:c>
      <x:c r="F250" s="2" t="n">
        <x:v>8</x:v>
      </x:c>
      <x:c r="G250" s="2" t="n">
        <x:v>1</x:v>
      </x:c>
      <x:c r="H250" s="11" t="n">
        <x:v>269.96</x:v>
      </x:c>
      <x:c r="I250" s="2" t="n">
        <x:v>5</x:v>
      </x:c>
      <x:c r="J250" s="2" t="n">
        <x:v>1</x:v>
      </x:c>
      <x:c r="K250" s="2" t="n">
        <x:v>1</x:v>
      </x:c>
      <x:c r="L250" s="2" t="str">
        <x:v>Recent light buyers</x:v>
      </x:c>
    </x:row>
    <x:row r="251" ht="22" customHeight="1">
      <x:c r="A251" s="2"/>
      <x:c r="B251" s="2" t="str">
        <x:v>12559</x:v>
      </x:c>
      <x:c r="C251" s="2" t="str">
        <x:v>Germany</x:v>
      </x:c>
      <x:c r="D251" s="25" t="n">
        <x:v>40567.21666666667</x:v>
      </x:c>
      <x:c r="E251" s="25" t="n">
        <x:v>40576.200694444444</x:v>
      </x:c>
      <x:c r="F251" s="2" t="n">
        <x:v>311</x:v>
      </x:c>
      <x:c r="G251" s="2" t="n">
        <x:v>2</x:v>
      </x:c>
      <x:c r="H251" s="11" t="n">
        <x:v>561.71</x:v>
      </x:c>
      <x:c r="I251" s="2" t="n">
        <x:v>2</x:v>
      </x:c>
      <x:c r="J251" s="2" t="n">
        <x:v>2</x:v>
      </x:c>
      <x:c r="K251" s="2" t="n">
        <x:v>2</x:v>
      </x:c>
      <x:c r="L251" s="2" t="str">
        <x:v>Hibernating</x:v>
      </x:c>
    </x:row>
    <x:row r="252" ht="22" customHeight="1">
      <x:c r="A252" s="2"/>
      <x:c r="B252" s="2" t="str">
        <x:v>12560</x:v>
      </x:c>
      <x:c r="C252" s="2" t="str">
        <x:v>Germany</x:v>
      </x:c>
      <x:c r="D252" s="25" t="n">
        <x:v>40743.45486111111</x:v>
      </x:c>
      <x:c r="E252" s="25" t="n">
        <x:v>40881.370833333334</x:v>
      </x:c>
      <x:c r="F252" s="2" t="n">
        <x:v>6</x:v>
      </x:c>
      <x:c r="G252" s="2" t="n">
        <x:v>3</x:v>
      </x:c>
      <x:c r="H252" s="11" t="n">
        <x:v>2134.01</x:v>
      </x:c>
      <x:c r="I252" s="2" t="n">
        <x:v>5</x:v>
      </x:c>
      <x:c r="J252" s="2" t="n">
        <x:v>3</x:v>
      </x:c>
      <x:c r="K252" s="2" t="n">
        <x:v>4</x:v>
      </x:c>
      <x:c r="L252" s="2" t="str">
        <x:v>Loyal</x:v>
      </x:c>
    </x:row>
    <x:row r="253" ht="22" customHeight="1">
      <x:c r="A253" s="2"/>
      <x:c r="B253" s="2" t="str">
        <x:v>12561</x:v>
      </x:c>
      <x:c r="C253" s="2" t="str">
        <x:v>Germany</x:v>
      </x:c>
      <x:c r="D253" s="25" t="n">
        <x:v>40584.277083333334</x:v>
      </x:c>
      <x:c r="E253" s="25" t="n">
        <x:v>40584.277083333334</x:v>
      </x:c>
      <x:c r="F253" s="2" t="n">
        <x:v>303</x:v>
      </x:c>
      <x:c r="G253" s="2" t="n">
        <x:v>1</x:v>
      </x:c>
      <x:c r="H253" s="11" t="n">
        <x:v>238.85</x:v>
      </x:c>
      <x:c r="I253" s="2" t="n">
        <x:v>2</x:v>
      </x:c>
      <x:c r="J253" s="2" t="n">
        <x:v>1</x:v>
      </x:c>
      <x:c r="K253" s="2" t="n">
        <x:v>1</x:v>
      </x:c>
      <x:c r="L253" s="2" t="str">
        <x:v>Hibernating</x:v>
      </x:c>
    </x:row>
    <x:row r="254" ht="22" customHeight="1">
      <x:c r="A254" s="2"/>
      <x:c r="B254" s="2" t="str">
        <x:v>12562</x:v>
      </x:c>
      <x:c r="C254" s="2" t="str">
        <x:v>France</x:v>
      </x:c>
      <x:c r="D254" s="25" t="n">
        <x:v>40451.342361111114</x:v>
      </x:c>
      <x:c r="E254" s="25" t="n">
        <x:v>40878.51388888889</x:v>
      </x:c>
      <x:c r="F254" s="2" t="n">
        <x:v>9</x:v>
      </x:c>
      <x:c r="G254" s="2" t="n">
        <x:v>9</x:v>
      </x:c>
      <x:c r="H254" s="11" t="n">
        <x:v>4966.92</x:v>
      </x:c>
      <x:c r="I254" s="2" t="n">
        <x:v>5</x:v>
      </x:c>
      <x:c r="J254" s="2" t="n">
        <x:v>5</x:v>
      </x:c>
      <x:c r="K254" s="2" t="n">
        <x:v>5</x:v>
      </x:c>
      <x:c r="L254" s="2" t="str">
        <x:v>Champions</x:v>
      </x:c>
    </x:row>
    <x:row r="255" ht="22" customHeight="1">
      <x:c r="A255" s="2"/>
      <x:c r="B255" s="2" t="str">
        <x:v>12563</x:v>
      </x:c>
      <x:c r="C255" s="2" t="str">
        <x:v>Italy</x:v>
      </x:c>
      <x:c r="D255" s="25" t="n">
        <x:v>40478.20277777778</x:v>
      </x:c>
      <x:c r="E255" s="25" t="n">
        <x:v>40478.20277777778</x:v>
      </x:c>
      <x:c r="F255" s="2" t="n">
        <x:v>409</x:v>
      </x:c>
      <x:c r="G255" s="2" t="n">
        <x:v>1</x:v>
      </x:c>
      <x:c r="H255" s="11" t="n">
        <x:v>249.24</x:v>
      </x:c>
      <x:c r="I255" s="2" t="n">
        <x:v>2</x:v>
      </x:c>
      <x:c r="J255" s="2" t="n">
        <x:v>1</x:v>
      </x:c>
      <x:c r="K255" s="2" t="n">
        <x:v>1</x:v>
      </x:c>
      <x:c r="L255" s="2" t="str">
        <x:v>Hibernating</x:v>
      </x:c>
    </x:row>
    <x:row r="256" ht="22" customHeight="1">
      <x:c r="A256" s="2"/>
      <x:c r="B256" s="2" t="str">
        <x:v>12564</x:v>
      </x:c>
      <x:c r="C256" s="2" t="str">
        <x:v>France</x:v>
      </x:c>
      <x:c r="D256" s="25" t="n">
        <x:v>40625.413194444445</x:v>
      </x:c>
      <x:c r="E256" s="25" t="n">
        <x:v>40625.413194444445</x:v>
      </x:c>
      <x:c r="F256" s="2" t="n">
        <x:v>262</x:v>
      </x:c>
      <x:c r="G256" s="2" t="n">
        <x:v>1</x:v>
      </x:c>
      <x:c r="H256" s="11" t="n">
        <x:v>456.9</x:v>
      </x:c>
      <x:c r="I256" s="2" t="n">
        <x:v>2</x:v>
      </x:c>
      <x:c r="J256" s="2" t="n">
        <x:v>1</x:v>
      </x:c>
      <x:c r="K256" s="2" t="n">
        <x:v>2</x:v>
      </x:c>
      <x:c r="L256" s="2" t="str">
        <x:v>Hibernating</x:v>
      </x:c>
    </x:row>
    <x:row r="257" ht="22" customHeight="1">
      <x:c r="A257" s="2"/>
      <x:c r="B257" s="2" t="str">
        <x:v>12565</x:v>
      </x:c>
      <x:c r="C257" s="2" t="str">
        <x:v>Saudi Arabia</x:v>
      </x:c>
      <x:c r="D257" s="25" t="n">
        <x:v>40598.231944444444</x:v>
      </x:c>
      <x:c r="E257" s="25" t="n">
        <x:v>40598.231944444444</x:v>
      </x:c>
      <x:c r="F257" s="2" t="n">
        <x:v>289</x:v>
      </x:c>
      <x:c r="G257" s="2" t="n">
        <x:v>1</x:v>
      </x:c>
      <x:c r="H257" s="11" t="n">
        <x:v>145.92</x:v>
      </x:c>
      <x:c r="I257" s="2" t="n">
        <x:v>2</x:v>
      </x:c>
      <x:c r="J257" s="2" t="n">
        <x:v>1</x:v>
      </x:c>
      <x:c r="K257" s="2" t="n">
        <x:v>1</x:v>
      </x:c>
      <x:c r="L257" s="2" t="str">
        <x:v>Hibernating</x:v>
      </x:c>
    </x:row>
    <x:row r="258" ht="22" customHeight="1">
      <x:c r="A258" s="2"/>
      <x:c r="B258" s="2" t="str">
        <x:v>12566</x:v>
      </x:c>
      <x:c r="C258" s="2" t="str">
        <x:v>Germany</x:v>
      </x:c>
      <x:c r="D258" s="25" t="n">
        <x:v>40800.395833333336</x:v>
      </x:c>
      <x:c r="E258" s="25" t="n">
        <x:v>40800.395833333336</x:v>
      </x:c>
      <x:c r="F258" s="2" t="n">
        <x:v>87</x:v>
      </x:c>
      <x:c r="G258" s="2" t="n">
        <x:v>1</x:v>
      </x:c>
      <x:c r="H258" s="11" t="n">
        <x:v>351.65</x:v>
      </x:c>
      <x:c r="I258" s="2" t="n">
        <x:v>3</x:v>
      </x:c>
      <x:c r="J258" s="2" t="n">
        <x:v>1</x:v>
      </x:c>
      <x:c r="K258" s="2" t="n">
        <x:v>2</x:v>
      </x:c>
      <x:c r="L258" s="2" t="str">
        <x:v>Developing</x:v>
      </x:c>
    </x:row>
    <x:row r="259" ht="22" customHeight="1">
      <x:c r="A259" s="2"/>
      <x:c r="B259" s="2" t="str">
        <x:v>12567</x:v>
      </x:c>
      <x:c r="C259" s="2" t="str">
        <x:v>France</x:v>
      </x:c>
      <x:c r="D259" s="25" t="n">
        <x:v>40220.229166666664</x:v>
      </x:c>
      <x:c r="E259" s="25" t="n">
        <x:v>40864.251388888886</x:v>
      </x:c>
      <x:c r="F259" s="2" t="n">
        <x:v>23</x:v>
      </x:c>
      <x:c r="G259" s="2" t="n">
        <x:v>15</x:v>
      </x:c>
      <x:c r="H259" s="11" t="n">
        <x:v>11767.48</x:v>
      </x:c>
      <x:c r="I259" s="2" t="n">
        <x:v>4</x:v>
      </x:c>
      <x:c r="J259" s="2" t="n">
        <x:v>5</x:v>
      </x:c>
      <x:c r="K259" s="2" t="n">
        <x:v>5</x:v>
      </x:c>
      <x:c r="L259" s="2" t="str">
        <x:v>Champions</x:v>
      </x:c>
    </x:row>
    <x:row r="260" ht="22" customHeight="1">
      <x:c r="A260" s="2"/>
      <x:c r="B260" s="2" t="str">
        <x:v>12568</x:v>
      </x:c>
      <x:c r="C260" s="2" t="str">
        <x:v>Germany</x:v>
      </x:c>
      <x:c r="D260" s="25" t="n">
        <x:v>40242.177083333336</x:v>
      </x:c>
      <x:c r="E260" s="25" t="n">
        <x:v>40242.177083333336</x:v>
      </x:c>
      <x:c r="F260" s="2" t="n">
        <x:v>645</x:v>
      </x:c>
      <x:c r="G260" s="2" t="n">
        <x:v>1</x:v>
      </x:c>
      <x:c r="H260" s="11" t="n">
        <x:v>70</x:v>
      </x:c>
      <x:c r="I260" s="2" t="n">
        <x:v>1</x:v>
      </x:c>
      <x:c r="J260" s="2" t="n">
        <x:v>1</x:v>
      </x:c>
      <x:c r="K260" s="2" t="n">
        <x:v>1</x:v>
      </x:c>
      <x:c r="L260" s="2" t="str">
        <x:v>Hibernating</x:v>
      </x:c>
    </x:row>
    <x:row r="261" ht="22" customHeight="1">
      <x:c r="A261" s="2"/>
      <x:c r="B261" s="2" t="str">
        <x:v>12569</x:v>
      </x:c>
      <x:c r="C261" s="2" t="str">
        <x:v>Germany</x:v>
      </x:c>
      <x:c r="D261" s="25" t="n">
        <x:v>40634.36597222222</x:v>
      </x:c>
      <x:c r="E261" s="25" t="n">
        <x:v>40884.475</x:v>
      </x:c>
      <x:c r="F261" s="2" t="n">
        <x:v>3</x:v>
      </x:c>
      <x:c r="G261" s="2" t="n">
        <x:v>32</x:v>
      </x:c>
      <x:c r="H261" s="11" t="n">
        <x:v>4124.69</x:v>
      </x:c>
      <x:c r="I261" s="2" t="n">
        <x:v>5</x:v>
      </x:c>
      <x:c r="J261" s="2" t="n">
        <x:v>5</x:v>
      </x:c>
      <x:c r="K261" s="2" t="n">
        <x:v>5</x:v>
      </x:c>
      <x:c r="L261" s="2" t="str">
        <x:v>Champions</x:v>
      </x:c>
    </x:row>
    <x:row r="262" ht="22" customHeight="1">
      <x:c r="A262" s="2"/>
      <x:c r="B262" s="2" t="str">
        <x:v>12570</x:v>
      </x:c>
      <x:c r="C262" s="2" t="str">
        <x:v>Spain</x:v>
      </x:c>
      <x:c r="D262" s="25" t="n">
        <x:v>40204.51944444444</x:v>
      </x:c>
      <x:c r="E262" s="25" t="n">
        <x:v>40204.51944444444</x:v>
      </x:c>
      <x:c r="F262" s="2" t="n">
        <x:v>683</x:v>
      </x:c>
      <x:c r="G262" s="2" t="n">
        <x:v>1</x:v>
      </x:c>
      <x:c r="H262" s="11" t="n">
        <x:v>77.52</x:v>
      </x:c>
      <x:c r="I262" s="2" t="n">
        <x:v>1</x:v>
      </x:c>
      <x:c r="J262" s="2" t="n">
        <x:v>1</x:v>
      </x:c>
      <x:c r="K262" s="2" t="n">
        <x:v>1</x:v>
      </x:c>
      <x:c r="L262" s="2" t="str">
        <x:v>Hibernating</x:v>
      </x:c>
    </x:row>
    <x:row r="263" ht="22" customHeight="1">
      <x:c r="A263" s="2"/>
      <x:c r="B263" s="2" t="str">
        <x:v>12571</x:v>
      </x:c>
      <x:c r="C263" s="2" t="str">
        <x:v>France</x:v>
      </x:c>
      <x:c r="D263" s="25" t="n">
        <x:v>40765.31597222222</x:v>
      </x:c>
      <x:c r="E263" s="25" t="n">
        <x:v>40847.22152777778</x:v>
      </x:c>
      <x:c r="F263" s="2" t="n">
        <x:v>40</x:v>
      </x:c>
      <x:c r="G263" s="2" t="n">
        <x:v>2</x:v>
      </x:c>
      <x:c r="H263" s="11" t="n">
        <x:v>519.61</x:v>
      </x:c>
      <x:c r="I263" s="2" t="n">
        <x:v>4</x:v>
      </x:c>
      <x:c r="J263" s="2" t="n">
        <x:v>2</x:v>
      </x:c>
      <x:c r="K263" s="2" t="n">
        <x:v>2</x:v>
      </x:c>
      <x:c r="L263" s="2" t="str">
        <x:v>Recent light buyers</x:v>
      </x:c>
    </x:row>
    <x:row r="264" ht="22" customHeight="1">
      <x:c r="A264" s="2"/>
      <x:c r="B264" s="2" t="str">
        <x:v>12572</x:v>
      </x:c>
      <x:c r="C264" s="2" t="str">
        <x:v>Germany</x:v>
      </x:c>
      <x:c r="D264" s="25" t="n">
        <x:v>40835.13888888889</x:v>
      </x:c>
      <x:c r="E264" s="25" t="n">
        <x:v>40878.180555555555</x:v>
      </x:c>
      <x:c r="F264" s="2" t="n">
        <x:v>9</x:v>
      </x:c>
      <x:c r="G264" s="2" t="n">
        <x:v>2</x:v>
      </x:c>
      <x:c r="H264" s="11" t="n">
        <x:v>1020.42</x:v>
      </x:c>
      <x:c r="I264" s="2" t="n">
        <x:v>5</x:v>
      </x:c>
      <x:c r="J264" s="2" t="n">
        <x:v>2</x:v>
      </x:c>
      <x:c r="K264" s="2" t="n">
        <x:v>3</x:v>
      </x:c>
      <x:c r="L264" s="2" t="str">
        <x:v>Recent light buyers</x:v>
      </x:c>
    </x:row>
    <x:row r="265" ht="22" customHeight="1">
      <x:c r="A265" s="2"/>
      <x:c r="B265" s="2" t="str">
        <x:v>12573</x:v>
      </x:c>
      <x:c r="C265" s="2" t="str">
        <x:v>France</x:v>
      </x:c>
      <x:c r="D265" s="25" t="n">
        <x:v>40421.51736111111</x:v>
      </x:c>
      <x:c r="E265" s="25" t="n">
        <x:v>40659.45277777778</x:v>
      </x:c>
      <x:c r="F265" s="2" t="n">
        <x:v>228</x:v>
      </x:c>
      <x:c r="G265" s="2" t="n">
        <x:v>5</x:v>
      </x:c>
      <x:c r="H265" s="11" t="n">
        <x:v>717.41</x:v>
      </x:c>
      <x:c r="I265" s="2" t="n">
        <x:v>2</x:v>
      </x:c>
      <x:c r="J265" s="2" t="n">
        <x:v>4</x:v>
      </x:c>
      <x:c r="K265" s="2" t="n">
        <x:v>3</x:v>
      </x:c>
      <x:c r="L265" s="2" t="str">
        <x:v>At risk</x:v>
      </x:c>
    </x:row>
    <x:row r="266" ht="22" customHeight="1">
      <x:c r="A266" s="2"/>
      <x:c r="B266" s="2" t="str">
        <x:v>12574</x:v>
      </x:c>
      <x:c r="C266" s="2" t="str">
        <x:v>France</x:v>
      </x:c>
      <x:c r="D266" s="25" t="n">
        <x:v>40571.180555555555</x:v>
      </x:c>
      <x:c r="E266" s="25" t="n">
        <x:v>40571.180555555555</x:v>
      </x:c>
      <x:c r="F266" s="2" t="n">
        <x:v>316</x:v>
      </x:c>
      <x:c r="G266" s="2" t="n">
        <x:v>1</x:v>
      </x:c>
      <x:c r="H266" s="11" t="n">
        <x:v>218.45</x:v>
      </x:c>
      <x:c r="I266" s="2" t="n">
        <x:v>2</x:v>
      </x:c>
      <x:c r="J266" s="2" t="n">
        <x:v>1</x:v>
      </x:c>
      <x:c r="K266" s="2" t="n">
        <x:v>1</x:v>
      </x:c>
      <x:c r="L266" s="2" t="str">
        <x:v>Hibernating</x:v>
      </x:c>
    </x:row>
    <x:row r="267" ht="22" customHeight="1">
      <x:c r="A267" s="2"/>
      <x:c r="B267" s="2" t="str">
        <x:v>12575</x:v>
      </x:c>
      <x:c r="C267" s="2" t="str">
        <x:v>France</x:v>
      </x:c>
      <x:c r="D267" s="25" t="n">
        <x:v>40360.177083333336</x:v>
      </x:c>
      <x:c r="E267" s="25" t="n">
        <x:v>40429.339583333334</x:v>
      </x:c>
      <x:c r="F267" s="2" t="n">
        <x:v>458</x:v>
      </x:c>
      <x:c r="G267" s="2" t="n">
        <x:v>2</x:v>
      </x:c>
      <x:c r="H267" s="11" t="n">
        <x:v>622.82</x:v>
      </x:c>
      <x:c r="I267" s="2" t="n">
        <x:v>1</x:v>
      </x:c>
      <x:c r="J267" s="2" t="n">
        <x:v>2</x:v>
      </x:c>
      <x:c r="K267" s="2" t="n">
        <x:v>3</x:v>
      </x:c>
      <x:c r="L267" s="2" t="str">
        <x:v>Hibernating</x:v>
      </x:c>
    </x:row>
    <x:row r="268" ht="22" customHeight="1">
      <x:c r="A268" s="2"/>
      <x:c r="B268" s="2" t="str">
        <x:v>12576</x:v>
      </x:c>
      <x:c r="C268" s="2" t="str">
        <x:v>Poland</x:v>
      </x:c>
      <x:c r="D268" s="25" t="n">
        <x:v>40360.365277777775</x:v>
      </x:c>
      <x:c r="E268" s="25" t="n">
        <x:v>40851.21597222222</x:v>
      </x:c>
      <x:c r="F268" s="2" t="n">
        <x:v>36</x:v>
      </x:c>
      <x:c r="G268" s="2" t="n">
        <x:v>8</x:v>
      </x:c>
      <x:c r="H268" s="11" t="n">
        <x:v>2142.72</x:v>
      </x:c>
      <x:c r="I268" s="2" t="n">
        <x:v>4</x:v>
      </x:c>
      <x:c r="J268" s="2" t="n">
        <x:v>4</x:v>
      </x:c>
      <x:c r="K268" s="2" t="n">
        <x:v>4</x:v>
      </x:c>
      <x:c r="L268" s="2" t="str">
        <x:v>Champions</x:v>
      </x:c>
    </x:row>
    <x:row r="269" ht="22" customHeight="1">
      <x:c r="A269" s="2"/>
      <x:c r="B269" s="2" t="str">
        <x:v>12577</x:v>
      </x:c>
      <x:c r="C269" s="2" t="str">
        <x:v>France</x:v>
      </x:c>
      <x:c r="D269" s="25" t="n">
        <x:v>40150.60486111111</x:v>
      </x:c>
      <x:c r="E269" s="25" t="n">
        <x:v>40851.35</x:v>
      </x:c>
      <x:c r="F269" s="2" t="n">
        <x:v>36</x:v>
      </x:c>
      <x:c r="G269" s="2" t="n">
        <x:v>8</x:v>
      </x:c>
      <x:c r="H269" s="11" t="n">
        <x:v>1653.75</x:v>
      </x:c>
      <x:c r="I269" s="2" t="n">
        <x:v>4</x:v>
      </x:c>
      <x:c r="J269" s="2" t="n">
        <x:v>4</x:v>
      </x:c>
      <x:c r="K269" s="2" t="n">
        <x:v>4</x:v>
      </x:c>
      <x:c r="L269" s="2" t="str">
        <x:v>Champions</x:v>
      </x:c>
    </x:row>
    <x:row r="270" ht="22" customHeight="1">
      <x:c r="A270" s="2"/>
      <x:c r="B270" s="2" t="str">
        <x:v>12578</x:v>
      </x:c>
      <x:c r="C270" s="2" t="str">
        <x:v>Italy</x:v>
      </x:c>
      <x:c r="D270" s="25" t="n">
        <x:v>40443.263194444444</x:v>
      </x:c>
      <x:c r="E270" s="25" t="n">
        <x:v>40865.354166666664</x:v>
      </x:c>
      <x:c r="F270" s="2" t="n">
        <x:v>22</x:v>
      </x:c>
      <x:c r="G270" s="2" t="n">
        <x:v>4</x:v>
      </x:c>
      <x:c r="H270" s="11" t="n">
        <x:v>4642.45</x:v>
      </x:c>
      <x:c r="I270" s="2" t="n">
        <x:v>4</x:v>
      </x:c>
      <x:c r="J270" s="2" t="n">
        <x:v>3</x:v>
      </x:c>
      <x:c r="K270" s="2" t="n">
        <x:v>5</x:v>
      </x:c>
      <x:c r="L270" s="2" t="str">
        <x:v>Loyal</x:v>
      </x:c>
    </x:row>
    <x:row r="271" ht="22" customHeight="1">
      <x:c r="A271" s="2"/>
      <x:c r="B271" s="2" t="str">
        <x:v>12579</x:v>
      </x:c>
      <x:c r="C271" s="2" t="str">
        <x:v>France</x:v>
      </x:c>
      <x:c r="D271" s="25" t="n">
        <x:v>40808.510416666664</x:v>
      </x:c>
      <x:c r="E271" s="25" t="n">
        <x:v>40808.510416666664</x:v>
      </x:c>
      <x:c r="F271" s="2" t="n">
        <x:v>79</x:v>
      </x:c>
      <x:c r="G271" s="2" t="n">
        <x:v>1</x:v>
      </x:c>
      <x:c r="H271" s="11" t="n">
        <x:v>440.42</x:v>
      </x:c>
      <x:c r="I271" s="2" t="n">
        <x:v>3</x:v>
      </x:c>
      <x:c r="J271" s="2" t="n">
        <x:v>1</x:v>
      </x:c>
      <x:c r="K271" s="2" t="n">
        <x:v>2</x:v>
      </x:c>
      <x:c r="L271" s="2" t="str">
        <x:v>Developing</x:v>
      </x:c>
    </x:row>
    <x:row r="272" ht="22" customHeight="1">
      <x:c r="A272" s="2"/>
      <x:c r="B272" s="2" t="str">
        <x:v>12580</x:v>
      </x:c>
      <x:c r="C272" s="2" t="str">
        <x:v>Germany</x:v>
      </x:c>
      <x:c r="D272" s="25" t="n">
        <x:v>40310.28125</x:v>
      </x:c>
      <x:c r="E272" s="25" t="n">
        <x:v>40640.225</x:v>
      </x:c>
      <x:c r="F272" s="2" t="n">
        <x:v>247</x:v>
      </x:c>
      <x:c r="G272" s="2" t="n">
        <x:v>2</x:v>
      </x:c>
      <x:c r="H272" s="11" t="n">
        <x:v>1052.9</x:v>
      </x:c>
      <x:c r="I272" s="2" t="n">
        <x:v>2</x:v>
      </x:c>
      <x:c r="J272" s="2" t="n">
        <x:v>2</x:v>
      </x:c>
      <x:c r="K272" s="2" t="n">
        <x:v>3</x:v>
      </x:c>
      <x:c r="L272" s="2" t="str">
        <x:v>Hibernating</x:v>
      </x:c>
    </x:row>
    <x:row r="273" ht="22" customHeight="1">
      <x:c r="A273" s="2"/>
      <x:c r="B273" s="2" t="str">
        <x:v>12581</x:v>
      </x:c>
      <x:c r="C273" s="2" t="str">
        <x:v>Germany</x:v>
      </x:c>
      <x:c r="D273" s="25" t="n">
        <x:v>40847.16388888889</x:v>
      </x:c>
      <x:c r="E273" s="25" t="n">
        <x:v>40847.16388888889</x:v>
      </x:c>
      <x:c r="F273" s="2" t="n">
        <x:v>40</x:v>
      </x:c>
      <x:c r="G273" s="2" t="n">
        <x:v>1</x:v>
      </x:c>
      <x:c r="H273" s="11" t="n">
        <x:v>197.71</x:v>
      </x:c>
      <x:c r="I273" s="2" t="n">
        <x:v>4</x:v>
      </x:c>
      <x:c r="J273" s="2" t="n">
        <x:v>1</x:v>
      </x:c>
      <x:c r="K273" s="2" t="n">
        <x:v>1</x:v>
      </x:c>
      <x:c r="L273" s="2" t="str">
        <x:v>Recent light buyers</x:v>
      </x:c>
    </x:row>
    <x:row r="274" ht="22" customHeight="1">
      <x:c r="A274" s="2"/>
      <x:c r="B274" s="2" t="str">
        <x:v>12582</x:v>
      </x:c>
      <x:c r="C274" s="2" t="str">
        <x:v>Finland</x:v>
      </x:c>
      <x:c r="D274" s="25" t="n">
        <x:v>40309.20486111111</x:v>
      </x:c>
      <x:c r="E274" s="25" t="n">
        <x:v>40648.15625</x:v>
      </x:c>
      <x:c r="F274" s="2" t="n">
        <x:v>239</x:v>
      </x:c>
      <x:c r="G274" s="2" t="n">
        <x:v>4</x:v>
      </x:c>
      <x:c r="H274" s="11" t="n">
        <x:v>1980.4</x:v>
      </x:c>
      <x:c r="I274" s="2" t="n">
        <x:v>2</x:v>
      </x:c>
      <x:c r="J274" s="2" t="n">
        <x:v>3</x:v>
      </x:c>
      <x:c r="K274" s="2" t="n">
        <x:v>4</x:v>
      </x:c>
      <x:c r="L274" s="2" t="str">
        <x:v>At risk</x:v>
      </x:c>
    </x:row>
    <x:row r="275" ht="22" customHeight="1">
      <x:c r="A275" s="2"/>
      <x:c r="B275" s="2" t="str">
        <x:v>12583</x:v>
      </x:c>
      <x:c r="C275" s="2" t="str">
        <x:v>France</x:v>
      </x:c>
      <x:c r="D275" s="25" t="n">
        <x:v>40153.28958333333</x:v>
      </x:c>
      <x:c r="E275" s="25" t="n">
        <x:v>40884.12986111111</x:v>
      </x:c>
      <x:c r="F275" s="2" t="n">
        <x:v>3</x:v>
      </x:c>
      <x:c r="G275" s="2" t="n">
        <x:v>27</x:v>
      </x:c>
      <x:c r="H275" s="11" t="n">
        <x:v>13591.58</x:v>
      </x:c>
      <x:c r="I275" s="2" t="n">
        <x:v>5</x:v>
      </x:c>
      <x:c r="J275" s="2" t="n">
        <x:v>5</x:v>
      </x:c>
      <x:c r="K275" s="2" t="n">
        <x:v>5</x:v>
      </x:c>
      <x:c r="L275" s="2" t="str">
        <x:v>Champions</x:v>
      </x:c>
    </x:row>
    <x:row r="276" ht="22" customHeight="1">
      <x:c r="A276" s="2"/>
      <x:c r="B276" s="2" t="str">
        <x:v>12584</x:v>
      </x:c>
      <x:c r="C276" s="2" t="str">
        <x:v>Italy</x:v>
      </x:c>
      <x:c r="D276" s="25" t="n">
        <x:v>40606.427083333336</x:v>
      </x:c>
      <x:c r="E276" s="25" t="n">
        <x:v>40883.19097222222</x:v>
      </x:c>
      <x:c r="F276" s="2" t="n">
        <x:v>4</x:v>
      </x:c>
      <x:c r="G276" s="2" t="n">
        <x:v>9</x:v>
      </x:c>
      <x:c r="H276" s="11" t="n">
        <x:v>2338.15</x:v>
      </x:c>
      <x:c r="I276" s="2" t="n">
        <x:v>5</x:v>
      </x:c>
      <x:c r="J276" s="2" t="n">
        <x:v>5</x:v>
      </x:c>
      <x:c r="K276" s="2" t="n">
        <x:v>4</x:v>
      </x:c>
      <x:c r="L276" s="2" t="str">
        <x:v>Champions</x:v>
      </x:c>
    </x:row>
    <x:row r="277" ht="22" customHeight="1">
      <x:c r="A277" s="2"/>
      <x:c r="B277" s="2" t="str">
        <x:v>12585</x:v>
      </x:c>
      <x:c r="C277" s="2" t="str">
        <x:v>Germany</x:v>
      </x:c>
      <x:c r="D277" s="25" t="n">
        <x:v>40535.33194444444</x:v>
      </x:c>
      <x:c r="E277" s="25" t="n">
        <x:v>40652.36041666667</x:v>
      </x:c>
      <x:c r="F277" s="2" t="n">
        <x:v>235</x:v>
      </x:c>
      <x:c r="G277" s="2" t="n">
        <x:v>2</x:v>
      </x:c>
      <x:c r="H277" s="11" t="n">
        <x:v>2040.1</x:v>
      </x:c>
      <x:c r="I277" s="2" t="n">
        <x:v>2</x:v>
      </x:c>
      <x:c r="J277" s="2" t="n">
        <x:v>2</x:v>
      </x:c>
      <x:c r="K277" s="2" t="n">
        <x:v>4</x:v>
      </x:c>
      <x:c r="L277" s="2" t="str">
        <x:v>Hibernating</x:v>
      </x:c>
    </x:row>
    <x:row r="278" ht="22" customHeight="1">
      <x:c r="A278" s="2"/>
      <x:c r="B278" s="2" t="str">
        <x:v>12586</x:v>
      </x:c>
      <x:c r="C278" s="2" t="str">
        <x:v>Italy</x:v>
      </x:c>
      <x:c r="D278" s="25" t="n">
        <x:v>40163.34375</x:v>
      </x:c>
      <x:c r="E278" s="25" t="n">
        <x:v>40869.475</x:v>
      </x:c>
      <x:c r="F278" s="2" t="n">
        <x:v>18</x:v>
      </x:c>
      <x:c r="G278" s="2" t="n">
        <x:v>4</x:v>
      </x:c>
      <x:c r="H278" s="11" t="n">
        <x:v>2062.67</x:v>
      </x:c>
      <x:c r="I278" s="2" t="n">
        <x:v>5</x:v>
      </x:c>
      <x:c r="J278" s="2" t="n">
        <x:v>3</x:v>
      </x:c>
      <x:c r="K278" s="2" t="n">
        <x:v>4</x:v>
      </x:c>
      <x:c r="L278" s="2" t="str">
        <x:v>Loyal</x:v>
      </x:c>
    </x:row>
    <x:row r="279" ht="22" customHeight="1">
      <x:c r="A279" s="2"/>
      <x:c r="B279" s="2" t="str">
        <x:v>12587</x:v>
      </x:c>
      <x:c r="C279" s="2" t="str">
        <x:v>Finland</x:v>
      </x:c>
      <x:c r="D279" s="25" t="n">
        <x:v>40879.32430555556</x:v>
      </x:c>
      <x:c r="E279" s="25" t="n">
        <x:v>40879.32430555556</x:v>
      </x:c>
      <x:c r="F279" s="2" t="n">
        <x:v>8</x:v>
      </x:c>
      <x:c r="G279" s="2" t="n">
        <x:v>1</x:v>
      </x:c>
      <x:c r="H279" s="11" t="n">
        <x:v>144</x:v>
      </x:c>
      <x:c r="I279" s="2" t="n">
        <x:v>5</x:v>
      </x:c>
      <x:c r="J279" s="2" t="n">
        <x:v>1</x:v>
      </x:c>
      <x:c r="K279" s="2" t="n">
        <x:v>1</x:v>
      </x:c>
      <x:c r="L279" s="2" t="str">
        <x:v>Recent light buyers</x:v>
      </x:c>
    </x:row>
    <x:row r="280" ht="22" customHeight="1">
      <x:c r="A280" s="2"/>
      <x:c r="B280" s="2" t="str">
        <x:v>12588</x:v>
      </x:c>
      <x:c r="C280" s="2" t="str">
        <x:v>Finland</x:v>
      </x:c>
      <x:c r="D280" s="25" t="n">
        <x:v>40289.30694444444</x:v>
      </x:c>
      <x:c r="E280" s="25" t="n">
        <x:v>40847.41736111111</x:v>
      </x:c>
      <x:c r="F280" s="2" t="n">
        <x:v>40</x:v>
      </x:c>
      <x:c r="G280" s="2" t="n">
        <x:v>4</x:v>
      </x:c>
      <x:c r="H280" s="11" t="n">
        <x:v>958.78</x:v>
      </x:c>
      <x:c r="I280" s="2" t="n">
        <x:v>4</x:v>
      </x:c>
      <x:c r="J280" s="2" t="n">
        <x:v>3</x:v>
      </x:c>
      <x:c r="K280" s="2" t="n">
        <x:v>3</x:v>
      </x:c>
      <x:c r="L280" s="2" t="str">
        <x:v>Loyal</x:v>
      </x:c>
    </x:row>
    <x:row r="281" ht="22" customHeight="1">
      <x:c r="A281" s="2"/>
      <x:c r="B281" s="2" t="str">
        <x:v>12589</x:v>
      </x:c>
      <x:c r="C281" s="2" t="str">
        <x:v>France</x:v>
      </x:c>
      <x:c r="D281" s="25" t="n">
        <x:v>40197.30972222222</x:v>
      </x:c>
      <x:c r="E281" s="25" t="n">
        <x:v>40858.22152777778</x:v>
      </x:c>
      <x:c r="F281" s="2" t="n">
        <x:v>29</x:v>
      </x:c>
      <x:c r="G281" s="2" t="n">
        <x:v>8</x:v>
      </x:c>
      <x:c r="H281" s="11" t="n">
        <x:v>4695.66</x:v>
      </x:c>
      <x:c r="I281" s="2" t="n">
        <x:v>4</x:v>
      </x:c>
      <x:c r="J281" s="2" t="n">
        <x:v>4</x:v>
      </x:c>
      <x:c r="K281" s="2" t="n">
        <x:v>5</x:v>
      </x:c>
      <x:c r="L281" s="2" t="str">
        <x:v>Champions</x:v>
      </x:c>
    </x:row>
    <x:row r="282" ht="22" customHeight="1">
      <x:c r="A282" s="2"/>
      <x:c r="B282" s="2" t="str">
        <x:v>12590</x:v>
      </x:c>
      <x:c r="C282" s="2" t="str">
        <x:v>Germany</x:v>
      </x:c>
      <x:c r="D282" s="25" t="n">
        <x:v>40675.40694444445</x:v>
      </x:c>
      <x:c r="E282" s="25" t="n">
        <x:v>40675.41111111111</x:v>
      </x:c>
      <x:c r="F282" s="2" t="n">
        <x:v>212</x:v>
      </x:c>
      <x:c r="G282" s="2" t="n">
        <x:v>2</x:v>
      </x:c>
      <x:c r="H282" s="11" t="n">
        <x:v>9864.26</x:v>
      </x:c>
      <x:c r="I282" s="2" t="n">
        <x:v>2</x:v>
      </x:c>
      <x:c r="J282" s="2" t="n">
        <x:v>2</x:v>
      </x:c>
      <x:c r="K282" s="2" t="n">
        <x:v>5</x:v>
      </x:c>
      <x:c r="L282" s="2" t="str">
        <x:v>Hibernating</x:v>
      </x:c>
    </x:row>
    <x:row r="283" ht="22" customHeight="1">
      <x:c r="A283" s="2"/>
      <x:c r="B283" s="2" t="str">
        <x:v>12591</x:v>
      </x:c>
      <x:c r="C283" s="2" t="str">
        <x:v>Italy</x:v>
      </x:c>
      <x:c r="D283" s="25" t="n">
        <x:v>40478.2375</x:v>
      </x:c>
      <x:c r="E283" s="25" t="n">
        <x:v>40569.399305555555</x:v>
      </x:c>
      <x:c r="F283" s="2" t="n">
        <x:v>318</x:v>
      </x:c>
      <x:c r="G283" s="2" t="n">
        <x:v>3</x:v>
      </x:c>
      <x:c r="H283" s="11" t="n">
        <x:v>1352.15</x:v>
      </x:c>
      <x:c r="I283" s="2" t="n">
        <x:v>2</x:v>
      </x:c>
      <x:c r="J283" s="2" t="n">
        <x:v>3</x:v>
      </x:c>
      <x:c r="K283" s="2" t="n">
        <x:v>4</x:v>
      </x:c>
      <x:c r="L283" s="2" t="str">
        <x:v>At risk</x:v>
      </x:c>
    </x:row>
    <x:row r="284" ht="22" customHeight="1">
      <x:c r="A284" s="2"/>
      <x:c r="B284" s="2" t="str">
        <x:v>12592</x:v>
      </x:c>
      <x:c r="C284" s="2" t="str">
        <x:v>Germany</x:v>
      </x:c>
      <x:c r="D284" s="25" t="n">
        <x:v>40367.379166666666</x:v>
      </x:c>
      <x:c r="E284" s="25" t="n">
        <x:v>40794.419444444444</x:v>
      </x:c>
      <x:c r="F284" s="2" t="n">
        <x:v>93</x:v>
      </x:c>
      <x:c r="G284" s="2" t="n">
        <x:v>5</x:v>
      </x:c>
      <x:c r="H284" s="11" t="n">
        <x:v>2582.66</x:v>
      </x:c>
      <x:c r="I284" s="2" t="n">
        <x:v>3</x:v>
      </x:c>
      <x:c r="J284" s="2" t="n">
        <x:v>4</x:v>
      </x:c>
      <x:c r="K284" s="2" t="n">
        <x:v>4</x:v>
      </x:c>
      <x:c r="L284" s="2" t="str">
        <x:v>Loyal</x:v>
      </x:c>
    </x:row>
    <x:row r="285" ht="22" customHeight="1">
      <x:c r="A285" s="2"/>
      <x:c r="B285" s="2" t="str">
        <x:v>12593</x:v>
      </x:c>
      <x:c r="C285" s="2" t="str">
        <x:v>France</x:v>
      </x:c>
      <x:c r="D285" s="25" t="n">
        <x:v>40668.18680555555</x:v>
      </x:c>
      <x:c r="E285" s="25" t="n">
        <x:v>40778.32152777778</x:v>
      </x:c>
      <x:c r="F285" s="2" t="n">
        <x:v>109</x:v>
      </x:c>
      <x:c r="G285" s="2" t="n">
        <x:v>3</x:v>
      </x:c>
      <x:c r="H285" s="11" t="n">
        <x:v>418.1</x:v>
      </x:c>
      <x:c r="I285" s="2" t="n">
        <x:v>3</x:v>
      </x:c>
      <x:c r="J285" s="2" t="n">
        <x:v>3</x:v>
      </x:c>
      <x:c r="K285" s="2" t="n">
        <x:v>2</x:v>
      </x:c>
      <x:c r="L285" s="2" t="str">
        <x:v>Loyal</x:v>
      </x:c>
    </x:row>
    <x:row r="286" ht="22" customHeight="1">
      <x:c r="A286" s="2"/>
      <x:c r="B286" s="2" t="str">
        <x:v>12594</x:v>
      </x:c>
      <x:c r="C286" s="2" t="str">
        <x:v>Italy</x:v>
      </x:c>
      <x:c r="D286" s="25" t="n">
        <x:v>40240.36875</x:v>
      </x:c>
      <x:c r="E286" s="25" t="n">
        <x:v>40849.305555555555</x:v>
      </x:c>
      <x:c r="F286" s="2" t="n">
        <x:v>38</x:v>
      </x:c>
      <x:c r="G286" s="2" t="n">
        <x:v>15</x:v>
      </x:c>
      <x:c r="H286" s="11" t="n">
        <x:v>5090.11</x:v>
      </x:c>
      <x:c r="I286" s="2" t="n">
        <x:v>4</x:v>
      </x:c>
      <x:c r="J286" s="2" t="n">
        <x:v>5</x:v>
      </x:c>
      <x:c r="K286" s="2" t="n">
        <x:v>5</x:v>
      </x:c>
      <x:c r="L286" s="2" t="str">
        <x:v>Champions</x:v>
      </x:c>
    </x:row>
    <x:row r="287" ht="22" customHeight="1">
      <x:c r="A287" s="2"/>
      <x:c r="B287" s="2" t="str">
        <x:v>12595</x:v>
      </x:c>
      <x:c r="C287" s="2" t="str">
        <x:v>Germany</x:v>
      </x:c>
      <x:c r="D287" s="25" t="n">
        <x:v>40382.17361111111</x:v>
      </x:c>
      <x:c r="E287" s="25" t="n">
        <x:v>40382.17361111111</x:v>
      </x:c>
      <x:c r="F287" s="2" t="n">
        <x:v>505</x:v>
      </x:c>
      <x:c r="G287" s="2" t="n">
        <x:v>1</x:v>
      </x:c>
      <x:c r="H287" s="11" t="n">
        <x:v>299.02</x:v>
      </x:c>
      <x:c r="I287" s="2" t="n">
        <x:v>1</x:v>
      </x:c>
      <x:c r="J287" s="2" t="n">
        <x:v>1</x:v>
      </x:c>
      <x:c r="K287" s="2" t="n">
        <x:v>2</x:v>
      </x:c>
      <x:c r="L287" s="2" t="str">
        <x:v>Hibernating</x:v>
      </x:c>
    </x:row>
    <x:row r="288" ht="22" customHeight="1">
      <x:c r="A288" s="2"/>
      <x:c r="B288" s="2" t="str">
        <x:v>12596</x:v>
      </x:c>
      <x:c r="C288" s="2" t="str">
        <x:v>Spain</x:v>
      </x:c>
      <x:c r="D288" s="25" t="n">
        <x:v>40644.34861111111</x:v>
      </x:c>
      <x:c r="E288" s="25" t="n">
        <x:v>40835.33472222222</x:v>
      </x:c>
      <x:c r="F288" s="2" t="n">
        <x:v>52</x:v>
      </x:c>
      <x:c r="G288" s="2" t="n">
        <x:v>2</x:v>
      </x:c>
      <x:c r="H288" s="11" t="n">
        <x:v>618.27</x:v>
      </x:c>
      <x:c r="I288" s="2" t="n">
        <x:v>4</x:v>
      </x:c>
      <x:c r="J288" s="2" t="n">
        <x:v>2</x:v>
      </x:c>
      <x:c r="K288" s="2" t="n">
        <x:v>3</x:v>
      </x:c>
      <x:c r="L288" s="2" t="str">
        <x:v>Recent light buyers</x:v>
      </x:c>
    </x:row>
    <x:row r="289" ht="22" customHeight="1">
      <x:c r="A289" s="2"/>
      <x:c r="B289" s="2" t="str">
        <x:v>12597</x:v>
      </x:c>
      <x:c r="C289" s="2" t="str">
        <x:v>Spain</x:v>
      </x:c>
      <x:c r="D289" s="25" t="n">
        <x:v>40618.375</x:v>
      </x:c>
      <x:c r="E289" s="25" t="n">
        <x:v>40867.35625</x:v>
      </x:c>
      <x:c r="F289" s="2" t="n">
        <x:v>20</x:v>
      </x:c>
      <x:c r="G289" s="2" t="n">
        <x:v>4</x:v>
      </x:c>
      <x:c r="H289" s="11" t="n">
        <x:v>3811.22</x:v>
      </x:c>
      <x:c r="I289" s="2" t="n">
        <x:v>5</x:v>
      </x:c>
      <x:c r="J289" s="2" t="n">
        <x:v>3</x:v>
      </x:c>
      <x:c r="K289" s="2" t="n">
        <x:v>5</x:v>
      </x:c>
      <x:c r="L289" s="2" t="str">
        <x:v>Loyal</x:v>
      </x:c>
    </x:row>
    <x:row r="290" ht="22" customHeight="1">
      <x:c r="A290" s="2"/>
      <x:c r="B290" s="2" t="str">
        <x:v>12598</x:v>
      </x:c>
      <x:c r="C290" s="2" t="str">
        <x:v>France</x:v>
      </x:c>
      <x:c r="D290" s="25" t="n">
        <x:v>40238.20694444444</x:v>
      </x:c>
      <x:c r="E290" s="25" t="n">
        <x:v>40877.30416666667</x:v>
      </x:c>
      <x:c r="F290" s="2" t="n">
        <x:v>10</x:v>
      </x:c>
      <x:c r="G290" s="2" t="n">
        <x:v>11</x:v>
      </x:c>
      <x:c r="H290" s="11" t="n">
        <x:v>4534.09</x:v>
      </x:c>
      <x:c r="I290" s="2" t="n">
        <x:v>5</x:v>
      </x:c>
      <x:c r="J290" s="2" t="n">
        <x:v>5</x:v>
      </x:c>
      <x:c r="K290" s="2" t="n">
        <x:v>5</x:v>
      </x:c>
      <x:c r="L290" s="2" t="str">
        <x:v>Champions</x:v>
      </x:c>
    </x:row>
    <x:row r="291" ht="22" customHeight="1">
      <x:c r="A291" s="2"/>
      <x:c r="B291" s="2" t="str">
        <x:v>12599</x:v>
      </x:c>
      <x:c r="C291" s="2" t="str">
        <x:v>France</x:v>
      </x:c>
      <x:c r="D291" s="25" t="n">
        <x:v>40309.2375</x:v>
      </x:c>
      <x:c r="E291" s="25" t="n">
        <x:v>40857.356944444444</x:v>
      </x:c>
      <x:c r="F291" s="2" t="n">
        <x:v>30</x:v>
      </x:c>
      <x:c r="G291" s="2" t="n">
        <x:v>13</x:v>
      </x:c>
      <x:c r="H291" s="11" t="n">
        <x:v>2296.72</x:v>
      </x:c>
      <x:c r="I291" s="2" t="n">
        <x:v>4</x:v>
      </x:c>
      <x:c r="J291" s="2" t="n">
        <x:v>5</x:v>
      </x:c>
      <x:c r="K291" s="2" t="n">
        <x:v>4</x:v>
      </x:c>
      <x:c r="L291" s="2" t="str">
        <x:v>Champions</x:v>
      </x:c>
    </x:row>
    <x:row r="292" ht="22" customHeight="1">
      <x:c r="A292" s="2"/>
      <x:c r="B292" s="2" t="str">
        <x:v>12600</x:v>
      </x:c>
      <x:c r="C292" s="2" t="str">
        <x:v>Germany</x:v>
      </x:c>
      <x:c r="D292" s="25" t="n">
        <x:v>40154.35902777778</x:v>
      </x:c>
      <x:c r="E292" s="25" t="n">
        <x:v>40858.228472222225</x:v>
      </x:c>
      <x:c r="F292" s="2" t="n">
        <x:v>29</x:v>
      </x:c>
      <x:c r="G292" s="2" t="n">
        <x:v>21</x:v>
      </x:c>
      <x:c r="H292" s="11" t="n">
        <x:v>4967.42</x:v>
      </x:c>
      <x:c r="I292" s="2" t="n">
        <x:v>4</x:v>
      </x:c>
      <x:c r="J292" s="2" t="n">
        <x:v>5</x:v>
      </x:c>
      <x:c r="K292" s="2" t="n">
        <x:v>5</x:v>
      </x:c>
      <x:c r="L292" s="2" t="str">
        <x:v>Champions</x:v>
      </x:c>
    </x:row>
    <x:row r="293" ht="22" customHeight="1">
      <x:c r="A293" s="2"/>
      <x:c r="B293" s="2" t="str">
        <x:v>12601</x:v>
      </x:c>
      <x:c r="C293" s="2" t="str">
        <x:v>Germany</x:v>
      </x:c>
      <x:c r="D293" s="25" t="n">
        <x:v>40482.24791666667</x:v>
      </x:c>
      <x:c r="E293" s="25" t="n">
        <x:v>40697.220138888886</x:v>
      </x:c>
      <x:c r="F293" s="2" t="n">
        <x:v>190</x:v>
      </x:c>
      <x:c r="G293" s="2" t="n">
        <x:v>6</x:v>
      </x:c>
      <x:c r="H293" s="11" t="n">
        <x:v>681.26</x:v>
      </x:c>
      <x:c r="I293" s="2" t="n">
        <x:v>3</x:v>
      </x:c>
      <x:c r="J293" s="2" t="n">
        <x:v>4</x:v>
      </x:c>
      <x:c r="K293" s="2" t="n">
        <x:v>3</x:v>
      </x:c>
      <x:c r="L293" s="2" t="str">
        <x:v>Loyal</x:v>
      </x:c>
    </x:row>
    <x:row r="294" ht="22" customHeight="1">
      <x:c r="A294" s="2"/>
      <x:c r="B294" s="2" t="str">
        <x:v>12602</x:v>
      </x:c>
      <x:c r="C294" s="2" t="str">
        <x:v>France</x:v>
      </x:c>
      <x:c r="D294" s="25" t="n">
        <x:v>40828.26527777778</x:v>
      </x:c>
      <x:c r="E294" s="25" t="n">
        <x:v>40828.26527777778</x:v>
      </x:c>
      <x:c r="F294" s="2" t="n">
        <x:v>59</x:v>
      </x:c>
      <x:c r="G294" s="2" t="n">
        <x:v>1</x:v>
      </x:c>
      <x:c r="H294" s="11" t="n">
        <x:v>153.12</x:v>
      </x:c>
      <x:c r="I294" s="2" t="n">
        <x:v>4</x:v>
      </x:c>
      <x:c r="J294" s="2" t="n">
        <x:v>1</x:v>
      </x:c>
      <x:c r="K294" s="2" t="n">
        <x:v>1</x:v>
      </x:c>
      <x:c r="L294" s="2" t="str">
        <x:v>Recent light buyers</x:v>
      </x:c>
    </x:row>
    <x:row r="295" ht="22" customHeight="1">
      <x:c r="A295" s="2"/>
      <x:c r="B295" s="2" t="str">
        <x:v>12603</x:v>
      </x:c>
      <x:c r="C295" s="2" t="str">
        <x:v>Germany</x:v>
      </x:c>
      <x:c r="D295" s="25" t="n">
        <x:v>40865.2375</x:v>
      </x:c>
      <x:c r="E295" s="25" t="n">
        <x:v>40865.2375</x:v>
      </x:c>
      <x:c r="F295" s="2" t="n">
        <x:v>22</x:v>
      </x:c>
      <x:c r="G295" s="2" t="n">
        <x:v>1</x:v>
      </x:c>
      <x:c r="H295" s="11" t="n">
        <x:v>739.2</x:v>
      </x:c>
      <x:c r="I295" s="2" t="n">
        <x:v>4</x:v>
      </x:c>
      <x:c r="J295" s="2" t="n">
        <x:v>1</x:v>
      </x:c>
      <x:c r="K295" s="2" t="n">
        <x:v>3</x:v>
      </x:c>
      <x:c r="L295" s="2" t="str">
        <x:v>Recent light buyers</x:v>
      </x:c>
    </x:row>
    <x:row r="296" ht="22" customHeight="1">
      <x:c r="A296" s="2"/>
      <x:c r="B296" s="2" t="str">
        <x:v>12604</x:v>
      </x:c>
      <x:c r="C296" s="2" t="str">
        <x:v>France</x:v>
      </x:c>
      <x:c r="D296" s="25" t="n">
        <x:v>40625.29583333333</x:v>
      </x:c>
      <x:c r="E296" s="25" t="n">
        <x:v>40807.38055555556</x:v>
      </x:c>
      <x:c r="F296" s="2" t="n">
        <x:v>80</x:v>
      </x:c>
      <x:c r="G296" s="2" t="n">
        <x:v>2</x:v>
      </x:c>
      <x:c r="H296" s="11" t="n">
        <x:v>254.18</x:v>
      </x:c>
      <x:c r="I296" s="2" t="n">
        <x:v>3</x:v>
      </x:c>
      <x:c r="J296" s="2" t="n">
        <x:v>2</x:v>
      </x:c>
      <x:c r="K296" s="2" t="n">
        <x:v>1</x:v>
      </x:c>
      <x:c r="L296" s="2" t="str">
        <x:v>Developing</x:v>
      </x:c>
    </x:row>
    <x:row r="297" ht="22" customHeight="1">
      <x:c r="A297" s="2"/>
      <x:c r="B297" s="2" t="str">
        <x:v>12605</x:v>
      </x:c>
      <x:c r="C297" s="2" t="str">
        <x:v>Germany</x:v>
      </x:c>
      <x:c r="D297" s="25" t="n">
        <x:v>40428.38958333333</x:v>
      </x:c>
      <x:c r="E297" s="25" t="n">
        <x:v>40510.3875</x:v>
      </x:c>
      <x:c r="F297" s="2" t="n">
        <x:v>377</x:v>
      </x:c>
      <x:c r="G297" s="2" t="n">
        <x:v>4</x:v>
      </x:c>
      <x:c r="H297" s="11" t="n">
        <x:v>1232.95</x:v>
      </x:c>
      <x:c r="I297" s="2" t="n">
        <x:v>2</x:v>
      </x:c>
      <x:c r="J297" s="2" t="n">
        <x:v>3</x:v>
      </x:c>
      <x:c r="K297" s="2" t="n">
        <x:v>4</x:v>
      </x:c>
      <x:c r="L297" s="2" t="str">
        <x:v>At risk</x:v>
      </x:c>
    </x:row>
    <x:row r="298" ht="22" customHeight="1">
      <x:c r="A298" s="2"/>
      <x:c r="B298" s="2" t="str">
        <x:v>12606</x:v>
      </x:c>
      <x:c r="C298" s="2" t="str">
        <x:v>Spain</x:v>
      </x:c>
      <x:c r="D298" s="25" t="n">
        <x:v>40204.47430555556</x:v>
      </x:c>
      <x:c r="E298" s="25" t="n">
        <x:v>40204.47430555556</x:v>
      </x:c>
      <x:c r="F298" s="2" t="n">
        <x:v>683</x:v>
      </x:c>
      <x:c r="G298" s="2" t="n">
        <x:v>1</x:v>
      </x:c>
      <x:c r="H298" s="11" t="n">
        <x:v>21</x:v>
      </x:c>
      <x:c r="I298" s="2" t="n">
        <x:v>1</x:v>
      </x:c>
      <x:c r="J298" s="2" t="n">
        <x:v>1</x:v>
      </x:c>
      <x:c r="K298" s="2" t="n">
        <x:v>1</x:v>
      </x:c>
      <x:c r="L298" s="2" t="str">
        <x:v>Hibernating</x:v>
      </x:c>
    </x:row>
    <x:row r="299" ht="22" customHeight="1">
      <x:c r="A299" s="2"/>
      <x:c r="B299" s="2" t="str">
        <x:v>12607</x:v>
      </x:c>
      <x:c r="C299" s="2" t="str">
        <x:v>USA</x:v>
      </x:c>
      <x:c r="D299" s="25" t="n">
        <x:v>40826.4625</x:v>
      </x:c>
      <x:c r="E299" s="25" t="n">
        <x:v>40826.4625</x:v>
      </x:c>
      <x:c r="F299" s="2" t="n">
        <x:v>61</x:v>
      </x:c>
      <x:c r="G299" s="2" t="n">
        <x:v>1</x:v>
      </x:c>
      <x:c r="H299" s="11" t="n">
        <x:v>1579.51</x:v>
      </x:c>
      <x:c r="I299" s="2" t="n">
        <x:v>3</x:v>
      </x:c>
      <x:c r="J299" s="2" t="n">
        <x:v>1</x:v>
      </x:c>
      <x:c r="K299" s="2" t="n">
        <x:v>4</x:v>
      </x:c>
      <x:c r="L299" s="2" t="str">
        <x:v>Developing</x:v>
      </x:c>
    </x:row>
    <x:row r="300" ht="22" customHeight="1">
      <x:c r="A300" s="2"/>
      <x:c r="B300" s="2" t="str">
        <x:v>12608</x:v>
      </x:c>
      <x:c r="C300" s="2" t="str">
        <x:v>United Kingdom</x:v>
      </x:c>
      <x:c r="D300" s="25" t="n">
        <x:v>40482.24236111111</x:v>
      </x:c>
      <x:c r="E300" s="25" t="n">
        <x:v>40482.24236111111</x:v>
      </x:c>
      <x:c r="F300" s="2" t="n">
        <x:v>405</x:v>
      </x:c>
      <x:c r="G300" s="2" t="n">
        <x:v>1</x:v>
      </x:c>
      <x:c r="H300" s="11" t="n">
        <x:v>415.79</x:v>
      </x:c>
      <x:c r="I300" s="2" t="n">
        <x:v>2</x:v>
      </x:c>
      <x:c r="J300" s="2" t="n">
        <x:v>1</x:v>
      </x:c>
      <x:c r="K300" s="2" t="n">
        <x:v>2</x:v>
      </x:c>
      <x:c r="L300" s="2" t="str">
        <x:v>Hibernating</x:v>
      </x:c>
    </x:row>
    <x:row r="301" ht="22" customHeight="1">
      <x:c r="A301" s="2"/>
      <x:c r="B301" s="2" t="str">
        <x:v>12609</x:v>
      </x:c>
      <x:c r="C301" s="2" t="str">
        <x:v>Germany</x:v>
      </x:c>
      <x:c r="D301" s="25" t="n">
        <x:v>40167.354166666664</x:v>
      </x:c>
      <x:c r="E301" s="25" t="n">
        <x:v>40808.481944444444</x:v>
      </x:c>
      <x:c r="F301" s="2" t="n">
        <x:v>79</x:v>
      </x:c>
      <x:c r="G301" s="2" t="n">
        <x:v>9</x:v>
      </x:c>
      <x:c r="H301" s="11" t="n">
        <x:v>3435.86</x:v>
      </x:c>
      <x:c r="I301" s="2" t="n">
        <x:v>3</x:v>
      </x:c>
      <x:c r="J301" s="2" t="n">
        <x:v>5</x:v>
      </x:c>
      <x:c r="K301" s="2" t="n">
        <x:v>5</x:v>
      </x:c>
      <x:c r="L301" s="2" t="str">
        <x:v>Loyal</x:v>
      </x:c>
    </x:row>
    <x:row r="302" ht="22" customHeight="1">
      <x:c r="A302" s="2"/>
      <x:c r="B302" s="2" t="str">
        <x:v>12610</x:v>
      </x:c>
      <x:c r="C302" s="2" t="str">
        <x:v>Italy</x:v>
      </x:c>
      <x:c r="D302" s="25" t="n">
        <x:v>40760.36944444444</x:v>
      </x:c>
      <x:c r="E302" s="25" t="n">
        <x:v>40864.19027777778</x:v>
      </x:c>
      <x:c r="F302" s="2" t="n">
        <x:v>23</x:v>
      </x:c>
      <x:c r="G302" s="2" t="n">
        <x:v>5</x:v>
      </x:c>
      <x:c r="H302" s="11" t="n">
        <x:v>2099.54</x:v>
      </x:c>
      <x:c r="I302" s="2" t="n">
        <x:v>4</x:v>
      </x:c>
      <x:c r="J302" s="2" t="n">
        <x:v>4</x:v>
      </x:c>
      <x:c r="K302" s="2" t="n">
        <x:v>4</x:v>
      </x:c>
      <x:c r="L302" s="2" t="str">
        <x:v>Champions</x:v>
      </x:c>
    </x:row>
    <x:row r="303" ht="22" customHeight="1">
      <x:c r="A303" s="2"/>
      <x:c r="B303" s="2" t="str">
        <x:v>12611</x:v>
      </x:c>
      <x:c r="C303" s="2" t="str">
        <x:v>Italy</x:v>
      </x:c>
      <x:c r="D303" s="25" t="n">
        <x:v>40834.34166666667</x:v>
      </x:c>
      <x:c r="E303" s="25" t="n">
        <x:v>40834.34166666667</x:v>
      </x:c>
      <x:c r="F303" s="2" t="n">
        <x:v>53</x:v>
      </x:c>
      <x:c r="G303" s="2" t="n">
        <x:v>1</x:v>
      </x:c>
      <x:c r="H303" s="11" t="n">
        <x:v>1193.32</x:v>
      </x:c>
      <x:c r="I303" s="2" t="n">
        <x:v>4</x:v>
      </x:c>
      <x:c r="J303" s="2" t="n">
        <x:v>1</x:v>
      </x:c>
      <x:c r="K303" s="2" t="n">
        <x:v>3</x:v>
      </x:c>
      <x:c r="L303" s="2" t="str">
        <x:v>Recent light buyers</x:v>
      </x:c>
    </x:row>
    <x:row r="304" ht="22" customHeight="1">
      <x:c r="A304" s="2"/>
      <x:c r="B304" s="2" t="str">
        <x:v>12612</x:v>
      </x:c>
      <x:c r="C304" s="2" t="str">
        <x:v>Germany</x:v>
      </x:c>
      <x:c r="D304" s="25" t="n">
        <x:v>40812.44097222222</x:v>
      </x:c>
      <x:c r="E304" s="25" t="n">
        <x:v>40812.44097222222</x:v>
      </x:c>
      <x:c r="F304" s="2" t="n">
        <x:v>75</x:v>
      </x:c>
      <x:c r="G304" s="2" t="n">
        <x:v>1</x:v>
      </x:c>
      <x:c r="H304" s="11" t="n">
        <x:v>704.04</x:v>
      </x:c>
      <x:c r="I304" s="2" t="n">
        <x:v>3</x:v>
      </x:c>
      <x:c r="J304" s="2" t="n">
        <x:v>1</x:v>
      </x:c>
      <x:c r="K304" s="2" t="n">
        <x:v>3</x:v>
      </x:c>
      <x:c r="L304" s="2" t="str">
        <x:v>Developing</x:v>
      </x:c>
    </x:row>
    <x:row r="305" ht="22" customHeight="1">
      <x:c r="A305" s="2"/>
      <x:c r="B305" s="2" t="str">
        <x:v>12613</x:v>
      </x:c>
      <x:c r="C305" s="2" t="str">
        <x:v>Germany</x:v>
      </x:c>
      <x:c r="D305" s="25" t="n">
        <x:v>40161.34027777778</x:v>
      </x:c>
      <x:c r="E305" s="25" t="n">
        <x:v>40829.415972222225</x:v>
      </x:c>
      <x:c r="F305" s="2" t="n">
        <x:v>58</x:v>
      </x:c>
      <x:c r="G305" s="2" t="n">
        <x:v>10</x:v>
      </x:c>
      <x:c r="H305" s="11" t="n">
        <x:v>6835.07</x:v>
      </x:c>
      <x:c r="I305" s="2" t="n">
        <x:v>4</x:v>
      </x:c>
      <x:c r="J305" s="2" t="n">
        <x:v>5</x:v>
      </x:c>
      <x:c r="K305" s="2" t="n">
        <x:v>5</x:v>
      </x:c>
      <x:c r="L305" s="2" t="str">
        <x:v>Champions</x:v>
      </x:c>
    </x:row>
    <x:row r="306" ht="22" customHeight="1">
      <x:c r="A306" s="2"/>
      <x:c r="B306" s="2" t="str">
        <x:v>12614</x:v>
      </x:c>
      <x:c r="C306" s="2" t="str">
        <x:v>Germany</x:v>
      </x:c>
      <x:c r="D306" s="25" t="n">
        <x:v>40609.22361111111</x:v>
      </x:c>
      <x:c r="E306" s="25" t="n">
        <x:v>40609.22361111111</x:v>
      </x:c>
      <x:c r="F306" s="2" t="n">
        <x:v>278</x:v>
      </x:c>
      <x:c r="G306" s="2" t="n">
        <x:v>1</x:v>
      </x:c>
      <x:c r="H306" s="11" t="n">
        <x:v>315.6</x:v>
      </x:c>
      <x:c r="I306" s="2" t="n">
        <x:v>2</x:v>
      </x:c>
      <x:c r="J306" s="2" t="n">
        <x:v>1</x:v>
      </x:c>
      <x:c r="K306" s="2" t="n">
        <x:v>2</x:v>
      </x:c>
      <x:c r="L306" s="2" t="str">
        <x:v>Hibernating</x:v>
      </x:c>
    </x:row>
    <x:row r="307" ht="22" customHeight="1">
      <x:c r="A307" s="2"/>
      <x:c r="B307" s="2" t="str">
        <x:v>12615</x:v>
      </x:c>
      <x:c r="C307" s="2" t="str">
        <x:v>France</x:v>
      </x:c>
      <x:c r="D307" s="25" t="n">
        <x:v>40255.38125</x:v>
      </x:c>
      <x:c r="E307" s="25" t="n">
        <x:v>40884.41805555556</x:v>
      </x:c>
      <x:c r="F307" s="2" t="n">
        <x:v>3</x:v>
      </x:c>
      <x:c r="G307" s="2" t="n">
        <x:v>8</x:v>
      </x:c>
      <x:c r="H307" s="11" t="n">
        <x:v>5740.98</x:v>
      </x:c>
      <x:c r="I307" s="2" t="n">
        <x:v>5</x:v>
      </x:c>
      <x:c r="J307" s="2" t="n">
        <x:v>4</x:v>
      </x:c>
      <x:c r="K307" s="2" t="n">
        <x:v>5</x:v>
      </x:c>
      <x:c r="L307" s="2" t="str">
        <x:v>Champions</x:v>
      </x:c>
    </x:row>
    <x:row r="308" ht="22" customHeight="1">
      <x:c r="A308" s="2"/>
      <x:c r="B308" s="2" t="str">
        <x:v>12616</x:v>
      </x:c>
      <x:c r="C308" s="2" t="str">
        <x:v>France</x:v>
      </x:c>
      <x:c r="D308" s="25" t="n">
        <x:v>40498.27638888889</x:v>
      </x:c>
      <x:c r="E308" s="25" t="n">
        <x:v>40791.42847222222</x:v>
      </x:c>
      <x:c r="F308" s="2" t="n">
        <x:v>96</x:v>
      </x:c>
      <x:c r="G308" s="2" t="n">
        <x:v>3</x:v>
      </x:c>
      <x:c r="H308" s="11" t="n">
        <x:v>1131.1</x:v>
      </x:c>
      <x:c r="I308" s="2" t="n">
        <x:v>3</x:v>
      </x:c>
      <x:c r="J308" s="2" t="n">
        <x:v>3</x:v>
      </x:c>
      <x:c r="K308" s="2" t="n">
        <x:v>3</x:v>
      </x:c>
      <x:c r="L308" s="2" t="str">
        <x:v>Loyal</x:v>
      </x:c>
    </x:row>
    <x:row r="309" ht="22" customHeight="1">
      <x:c r="A309" s="2"/>
      <x:c r="B309" s="2" t="str">
        <x:v>12617</x:v>
      </x:c>
      <x:c r="C309" s="2" t="str">
        <x:v>France</x:v>
      </x:c>
      <x:c r="D309" s="25" t="n">
        <x:v>40857.402083333334</x:v>
      </x:c>
      <x:c r="E309" s="25" t="n">
        <x:v>40857.402083333334</x:v>
      </x:c>
      <x:c r="F309" s="2" t="n">
        <x:v>30</x:v>
      </x:c>
      <x:c r="G309" s="2" t="n">
        <x:v>1</x:v>
      </x:c>
      <x:c r="H309" s="11" t="n">
        <x:v>355.53</x:v>
      </x:c>
      <x:c r="I309" s="2" t="n">
        <x:v>4</x:v>
      </x:c>
      <x:c r="J309" s="2" t="n">
        <x:v>1</x:v>
      </x:c>
      <x:c r="K309" s="2" t="n">
        <x:v>2</x:v>
      </x:c>
      <x:c r="L309" s="2" t="str">
        <x:v>Recent light buyers</x:v>
      </x:c>
    </x:row>
    <x:row r="310" ht="22" customHeight="1">
      <x:c r="A310" s="2"/>
      <x:c r="B310" s="2" t="str">
        <x:v>12618</x:v>
      </x:c>
      <x:c r="C310" s="2" t="str">
        <x:v>Italy</x:v>
      </x:c>
      <x:c r="D310" s="25" t="n">
        <x:v>40865.256944444445</x:v>
      </x:c>
      <x:c r="E310" s="25" t="n">
        <x:v>40865.256944444445</x:v>
      </x:c>
      <x:c r="F310" s="2" t="n">
        <x:v>22</x:v>
      </x:c>
      <x:c r="G310" s="2" t="n">
        <x:v>1</x:v>
      </x:c>
      <x:c r="H310" s="11" t="n">
        <x:v>177.31</x:v>
      </x:c>
      <x:c r="I310" s="2" t="n">
        <x:v>4</x:v>
      </x:c>
      <x:c r="J310" s="2" t="n">
        <x:v>1</x:v>
      </x:c>
      <x:c r="K310" s="2" t="n">
        <x:v>1</x:v>
      </x:c>
      <x:c r="L310" s="2" t="str">
        <x:v>Recent light buyers</x:v>
      </x:c>
    </x:row>
    <x:row r="311" ht="22" customHeight="1">
      <x:c r="A311" s="2"/>
      <x:c r="B311" s="2" t="str">
        <x:v>12619</x:v>
      </x:c>
      <x:c r="C311" s="2" t="str">
        <x:v>Germany</x:v>
      </x:c>
      <x:c r="D311" s="25" t="n">
        <x:v>40326.32777777778</x:v>
      </x:c>
      <x:c r="E311" s="25" t="n">
        <x:v>40870.41111111111</x:v>
      </x:c>
      <x:c r="F311" s="2" t="n">
        <x:v>17</x:v>
      </x:c>
      <x:c r="G311" s="2" t="n">
        <x:v>10</x:v>
      </x:c>
      <x:c r="H311" s="11" t="n">
        <x:v>3781.38</x:v>
      </x:c>
      <x:c r="I311" s="2" t="n">
        <x:v>5</x:v>
      </x:c>
      <x:c r="J311" s="2" t="n">
        <x:v>5</x:v>
      </x:c>
      <x:c r="K311" s="2" t="n">
        <x:v>5</x:v>
      </x:c>
      <x:c r="L311" s="2" t="str">
        <x:v>Champions</x:v>
      </x:c>
    </x:row>
    <x:row r="312" ht="22" customHeight="1">
      <x:c r="A312" s="2"/>
      <x:c r="B312" s="2" t="str">
        <x:v>12620</x:v>
      </x:c>
      <x:c r="C312" s="2" t="str">
        <x:v>France</x:v>
      </x:c>
      <x:c r="D312" s="25" t="n">
        <x:v>40682.29861111111</x:v>
      </x:c>
      <x:c r="E312" s="25" t="n">
        <x:v>40872.22222222222</x:v>
      </x:c>
      <x:c r="F312" s="2" t="n">
        <x:v>15</x:v>
      </x:c>
      <x:c r="G312" s="2" t="n">
        <x:v>3</x:v>
      </x:c>
      <x:c r="H312" s="11" t="n">
        <x:v>1339.41</x:v>
      </x:c>
      <x:c r="I312" s="2" t="n">
        <x:v>5</x:v>
      </x:c>
      <x:c r="J312" s="2" t="n">
        <x:v>3</x:v>
      </x:c>
      <x:c r="K312" s="2" t="n">
        <x:v>4</x:v>
      </x:c>
      <x:c r="L312" s="2" t="str">
        <x:v>Loyal</x:v>
      </x:c>
    </x:row>
    <x:row r="313" ht="22" customHeight="1">
      <x:c r="A313" s="2"/>
      <x:c r="B313" s="2" t="str">
        <x:v>12621</x:v>
      </x:c>
      <x:c r="C313" s="2" t="str">
        <x:v>Germany</x:v>
      </x:c>
      <x:c r="D313" s="25" t="n">
        <x:v>40218.29236111111</x:v>
      </x:c>
      <x:c r="E313" s="25" t="n">
        <x:v>40885.26736111111</x:v>
      </x:c>
      <x:c r="F313" s="2" t="n">
        <x:v>2</x:v>
      </x:c>
      <x:c r="G313" s="2" t="n">
        <x:v>35</x:v>
      </x:c>
      <x:c r="H313" s="11" t="n">
        <x:v>24311.2</x:v>
      </x:c>
      <x:c r="I313" s="2" t="n">
        <x:v>5</x:v>
      </x:c>
      <x:c r="J313" s="2" t="n">
        <x:v>5</x:v>
      </x:c>
      <x:c r="K313" s="2" t="n">
        <x:v>5</x:v>
      </x:c>
      <x:c r="L313" s="2" t="str">
        <x:v>Champions</x:v>
      </x:c>
    </x:row>
    <x:row r="314" ht="22" customHeight="1">
      <x:c r="A314" s="2"/>
      <x:c r="B314" s="2" t="str">
        <x:v>12622</x:v>
      </x:c>
      <x:c r="C314" s="2" t="str">
        <x:v>Germany</x:v>
      </x:c>
      <x:c r="D314" s="25" t="n">
        <x:v>40654.48541666667</x:v>
      </x:c>
      <x:c r="E314" s="25" t="n">
        <x:v>40654.48541666667</x:v>
      </x:c>
      <x:c r="F314" s="2" t="n">
        <x:v>233</x:v>
      </x:c>
      <x:c r="G314" s="2" t="n">
        <x:v>1</x:v>
      </x:c>
      <x:c r="H314" s="11" t="n">
        <x:v>180.1</x:v>
      </x:c>
      <x:c r="I314" s="2" t="n">
        <x:v>2</x:v>
      </x:c>
      <x:c r="J314" s="2" t="n">
        <x:v>1</x:v>
      </x:c>
      <x:c r="K314" s="2" t="n">
        <x:v>1</x:v>
      </x:c>
      <x:c r="L314" s="2" t="str">
        <x:v>Hibernating</x:v>
      </x:c>
    </x:row>
    <x:row r="315" ht="22" customHeight="1">
      <x:c r="A315" s="2"/>
      <x:c r="B315" s="2" t="str">
        <x:v>12623</x:v>
      </x:c>
      <x:c r="C315" s="2" t="str">
        <x:v>Germany</x:v>
      </x:c>
      <x:c r="D315" s="25" t="n">
        <x:v>40190.28125</x:v>
      </x:c>
      <x:c r="E315" s="25" t="n">
        <x:v>40610.368055555555</x:v>
      </x:c>
      <x:c r="F315" s="2" t="n">
        <x:v>277</x:v>
      </x:c>
      <x:c r="G315" s="2" t="n">
        <x:v>7</x:v>
      </x:c>
      <x:c r="H315" s="11" t="n">
        <x:v>3747.84</x:v>
      </x:c>
      <x:c r="I315" s="2" t="n">
        <x:v>2</x:v>
      </x:c>
      <x:c r="J315" s="2" t="n">
        <x:v>4</x:v>
      </x:c>
      <x:c r="K315" s="2" t="n">
        <x:v>5</x:v>
      </x:c>
      <x:c r="L315" s="2" t="str">
        <x:v>At risk</x:v>
      </x:c>
    </x:row>
    <x:row r="316" ht="22" customHeight="1">
      <x:c r="A316" s="2"/>
      <x:c r="B316" s="2" t="str">
        <x:v>12624</x:v>
      </x:c>
      <x:c r="C316" s="2" t="str">
        <x:v>France</x:v>
      </x:c>
      <x:c r="D316" s="25" t="n">
        <x:v>40709.31527777778</x:v>
      </x:c>
      <x:c r="E316" s="25" t="n">
        <x:v>40780.419444444444</x:v>
      </x:c>
      <x:c r="F316" s="2" t="n">
        <x:v>107</x:v>
      </x:c>
      <x:c r="G316" s="2" t="n">
        <x:v>2</x:v>
      </x:c>
      <x:c r="H316" s="11" t="n">
        <x:v>641.13</x:v>
      </x:c>
      <x:c r="I316" s="2" t="n">
        <x:v>3</x:v>
      </x:c>
      <x:c r="J316" s="2" t="n">
        <x:v>2</x:v>
      </x:c>
      <x:c r="K316" s="2" t="n">
        <x:v>3</x:v>
      </x:c>
      <x:c r="L316" s="2" t="str">
        <x:v>Developing</x:v>
      </x:c>
    </x:row>
    <x:row r="317" ht="22" customHeight="1">
      <x:c r="A317" s="2"/>
      <x:c r="B317" s="2" t="str">
        <x:v>12625</x:v>
      </x:c>
      <x:c r="C317" s="2" t="str">
        <x:v>Germany</x:v>
      </x:c>
      <x:c r="D317" s="25" t="n">
        <x:v>40290.27291666667</x:v>
      </x:c>
      <x:c r="E317" s="25" t="n">
        <x:v>40675.20416666667</x:v>
      </x:c>
      <x:c r="F317" s="2" t="n">
        <x:v>212</x:v>
      </x:c>
      <x:c r="G317" s="2" t="n">
        <x:v>4</x:v>
      </x:c>
      <x:c r="H317" s="11" t="n">
        <x:v>5164.88</x:v>
      </x:c>
      <x:c r="I317" s="2" t="n">
        <x:v>2</x:v>
      </x:c>
      <x:c r="J317" s="2" t="n">
        <x:v>3</x:v>
      </x:c>
      <x:c r="K317" s="2" t="n">
        <x:v>5</x:v>
      </x:c>
      <x:c r="L317" s="2" t="str">
        <x:v>At risk</x:v>
      </x:c>
    </x:row>
    <x:row r="318" ht="22" customHeight="1">
      <x:c r="A318" s="2"/>
      <x:c r="B318" s="2" t="str">
        <x:v>12626</x:v>
      </x:c>
      <x:c r="C318" s="2" t="str">
        <x:v>Germany</x:v>
      </x:c>
      <x:c r="D318" s="25" t="n">
        <x:v>40560.25069444445</x:v>
      </x:c>
      <x:c r="E318" s="25" t="n">
        <x:v>40863.4625</x:v>
      </x:c>
      <x:c r="F318" s="2" t="n">
        <x:v>24</x:v>
      </x:c>
      <x:c r="G318" s="2" t="n">
        <x:v>9</x:v>
      </x:c>
      <x:c r="H318" s="11" t="n">
        <x:v>6620.48</x:v>
      </x:c>
      <x:c r="I318" s="2" t="n">
        <x:v>4</x:v>
      </x:c>
      <x:c r="J318" s="2" t="n">
        <x:v>5</x:v>
      </x:c>
      <x:c r="K318" s="2" t="n">
        <x:v>5</x:v>
      </x:c>
      <x:c r="L318" s="2" t="str">
        <x:v>Champions</x:v>
      </x:c>
    </x:row>
    <x:row r="319" ht="22" customHeight="1">
      <x:c r="A319" s="2"/>
      <x:c r="B319" s="2" t="str">
        <x:v>12627</x:v>
      </x:c>
      <x:c r="C319" s="2" t="str">
        <x:v>Germany</x:v>
      </x:c>
      <x:c r="D319" s="25" t="n">
        <x:v>40746.37430555555</x:v>
      </x:c>
      <x:c r="E319" s="25" t="n">
        <x:v>40876.29652777778</x:v>
      </x:c>
      <x:c r="F319" s="2" t="n">
        <x:v>11</x:v>
      </x:c>
      <x:c r="G319" s="2" t="n">
        <x:v>7</x:v>
      </x:c>
      <x:c r="H319" s="11" t="n">
        <x:v>4478.53</x:v>
      </x:c>
      <x:c r="I319" s="2" t="n">
        <x:v>5</x:v>
      </x:c>
      <x:c r="J319" s="2" t="n">
        <x:v>4</x:v>
      </x:c>
      <x:c r="K319" s="2" t="n">
        <x:v>5</x:v>
      </x:c>
      <x:c r="L319" s="2" t="str">
        <x:v>Champions</x:v>
      </x:c>
    </x:row>
    <x:row r="320" ht="22" customHeight="1">
      <x:c r="A320" s="2"/>
      <x:c r="B320" s="2" t="str">
        <x:v>12628</x:v>
      </x:c>
      <x:c r="C320" s="2" t="str">
        <x:v>Germany</x:v>
      </x:c>
      <x:c r="D320" s="25" t="n">
        <x:v>40822.186111111114</x:v>
      </x:c>
      <x:c r="E320" s="25" t="n">
        <x:v>40882.34375</x:v>
      </x:c>
      <x:c r="F320" s="2" t="n">
        <x:v>5</x:v>
      </x:c>
      <x:c r="G320" s="2" t="n">
        <x:v>3</x:v>
      </x:c>
      <x:c r="H320" s="11" t="n">
        <x:v>786.46</x:v>
      </x:c>
      <x:c r="I320" s="2" t="n">
        <x:v>5</x:v>
      </x:c>
      <x:c r="J320" s="2" t="n">
        <x:v>3</x:v>
      </x:c>
      <x:c r="K320" s="2" t="n">
        <x:v>3</x:v>
      </x:c>
      <x:c r="L320" s="2" t="str">
        <x:v>Loyal</x:v>
      </x:c>
    </x:row>
    <x:row r="321" ht="22" customHeight="1">
      <x:c r="A321" s="2"/>
      <x:c r="B321" s="2" t="str">
        <x:v>12629</x:v>
      </x:c>
      <x:c r="C321" s="2" t="str">
        <x:v>Sweden</x:v>
      </x:c>
      <x:c r="D321" s="25" t="n">
        <x:v>40463.48611111111</x:v>
      </x:c>
      <x:c r="E321" s="25" t="n">
        <x:v>40501.17916666667</x:v>
      </x:c>
      <x:c r="F321" s="2" t="n">
        <x:v>386</x:v>
      </x:c>
      <x:c r="G321" s="2" t="n">
        <x:v>2</x:v>
      </x:c>
      <x:c r="H321" s="11" t="n">
        <x:v>1558.22</x:v>
      </x:c>
      <x:c r="I321" s="2" t="n">
        <x:v>2</x:v>
      </x:c>
      <x:c r="J321" s="2" t="n">
        <x:v>2</x:v>
      </x:c>
      <x:c r="K321" s="2" t="n">
        <x:v>4</x:v>
      </x:c>
      <x:c r="L321" s="2" t="str">
        <x:v>Hibernating</x:v>
      </x:c>
    </x:row>
    <x:row r="322" ht="22" customHeight="1">
      <x:c r="A322" s="2"/>
      <x:c r="B322" s="2" t="str">
        <x:v>12630</x:v>
      </x:c>
      <x:c r="C322" s="2" t="str">
        <x:v>Finland</x:v>
      </x:c>
      <x:c r="D322" s="25" t="n">
        <x:v>40843.236805555556</x:v>
      </x:c>
      <x:c r="E322" s="25" t="n">
        <x:v>40877.24166666667</x:v>
      </x:c>
      <x:c r="F322" s="2" t="n">
        <x:v>10</x:v>
      </x:c>
      <x:c r="G322" s="2" t="n">
        <x:v>2</x:v>
      </x:c>
      <x:c r="H322" s="11" t="n">
        <x:v>1270.88</x:v>
      </x:c>
      <x:c r="I322" s="2" t="n">
        <x:v>5</x:v>
      </x:c>
      <x:c r="J322" s="2" t="n">
        <x:v>2</x:v>
      </x:c>
      <x:c r="K322" s="2" t="n">
        <x:v>4</x:v>
      </x:c>
      <x:c r="L322" s="2" t="str">
        <x:v>Recent light buyers</x:v>
      </x:c>
    </x:row>
    <x:row r="323" ht="22" customHeight="1">
      <x:c r="A323" s="2"/>
      <x:c r="B323" s="2" t="str">
        <x:v>12631</x:v>
      </x:c>
      <x:c r="C323" s="2" t="str">
        <x:v>Finland</x:v>
      </x:c>
      <x:c r="D323" s="25" t="n">
        <x:v>40193.40972222222</x:v>
      </x:c>
      <x:c r="E323" s="25" t="n">
        <x:v>40829.37013888889</x:v>
      </x:c>
      <x:c r="F323" s="2" t="n">
        <x:v>58</x:v>
      </x:c>
      <x:c r="G323" s="2" t="n">
        <x:v>6</x:v>
      </x:c>
      <x:c r="H323" s="11" t="n">
        <x:v>3481.57</x:v>
      </x:c>
      <x:c r="I323" s="2" t="n">
        <x:v>4</x:v>
      </x:c>
      <x:c r="J323" s="2" t="n">
        <x:v>4</x:v>
      </x:c>
      <x:c r="K323" s="2" t="n">
        <x:v>5</x:v>
      </x:c>
      <x:c r="L323" s="2" t="str">
        <x:v>Champions</x:v>
      </x:c>
    </x:row>
    <x:row r="324" ht="22" customHeight="1">
      <x:c r="A324" s="2"/>
      <x:c r="B324" s="2" t="str">
        <x:v>12632</x:v>
      </x:c>
      <x:c r="C324" s="2" t="str">
        <x:v>Germany</x:v>
      </x:c>
      <x:c r="D324" s="25" t="n">
        <x:v>40322.17152777778</x:v>
      </x:c>
      <x:c r="E324" s="25" t="n">
        <x:v>40366.19375</x:v>
      </x:c>
      <x:c r="F324" s="2" t="n">
        <x:v>521</x:v>
      </x:c>
      <x:c r="G324" s="2" t="n">
        <x:v>2</x:v>
      </x:c>
      <x:c r="H324" s="11" t="n">
        <x:v>804.88</x:v>
      </x:c>
      <x:c r="I324" s="2" t="n">
        <x:v>1</x:v>
      </x:c>
      <x:c r="J324" s="2" t="n">
        <x:v>2</x:v>
      </x:c>
      <x:c r="K324" s="2" t="n">
        <x:v>3</x:v>
      </x:c>
      <x:c r="L324" s="2" t="str">
        <x:v>Hibernating</x:v>
      </x:c>
    </x:row>
    <x:row r="325" ht="22" customHeight="1">
      <x:c r="A325" s="2"/>
      <x:c r="B325" s="2" t="str">
        <x:v>12633</x:v>
      </x:c>
      <x:c r="C325" s="2" t="str">
        <x:v>Germany</x:v>
      </x:c>
      <x:c r="D325" s="25" t="n">
        <x:v>40361.28055555555</x:v>
      </x:c>
      <x:c r="E325" s="25" t="n">
        <x:v>40828.27777777778</x:v>
      </x:c>
      <x:c r="F325" s="2" t="n">
        <x:v>59</x:v>
      </x:c>
      <x:c r="G325" s="2" t="n">
        <x:v>7</x:v>
      </x:c>
      <x:c r="H325" s="11" t="n">
        <x:v>5678.16</x:v>
      </x:c>
      <x:c r="I325" s="2" t="n">
        <x:v>4</x:v>
      </x:c>
      <x:c r="J325" s="2" t="n">
        <x:v>4</x:v>
      </x:c>
      <x:c r="K325" s="2" t="n">
        <x:v>5</x:v>
      </x:c>
      <x:c r="L325" s="2" t="str">
        <x:v>Champions</x:v>
      </x:c>
    </x:row>
    <x:row r="326" ht="22" customHeight="1">
      <x:c r="A326" s="2"/>
      <x:c r="B326" s="2" t="str">
        <x:v>12634</x:v>
      </x:c>
      <x:c r="C326" s="2" t="str">
        <x:v>USA</x:v>
      </x:c>
      <x:c r="D326" s="25" t="n">
        <x:v>40338.44513888889</x:v>
      </x:c>
      <x:c r="E326" s="25" t="n">
        <x:v>40351.211805555555</x:v>
      </x:c>
      <x:c r="F326" s="2" t="n">
        <x:v>536</x:v>
      </x:c>
      <x:c r="G326" s="2" t="n">
        <x:v>2</x:v>
      </x:c>
      <x:c r="H326" s="11" t="n">
        <x:v>490</x:v>
      </x:c>
      <x:c r="I326" s="2" t="n">
        <x:v>1</x:v>
      </x:c>
      <x:c r="J326" s="2" t="n">
        <x:v>2</x:v>
      </x:c>
      <x:c r="K326" s="2" t="n">
        <x:v>2</x:v>
      </x:c>
      <x:c r="L326" s="2" t="str">
        <x:v>Hibernating</x:v>
      </x:c>
    </x:row>
    <x:row r="327" ht="22" customHeight="1">
      <x:c r="A327" s="2"/>
      <x:c r="B327" s="2" t="str">
        <x:v>12635</x:v>
      </x:c>
      <x:c r="C327" s="2" t="str">
        <x:v>Germany</x:v>
      </x:c>
      <x:c r="D327" s="25" t="n">
        <x:v>40430.243055555555</x:v>
      </x:c>
      <x:c r="E327" s="25" t="n">
        <x:v>40797.25277777778</x:v>
      </x:c>
      <x:c r="F327" s="2" t="n">
        <x:v>90</x:v>
      </x:c>
      <x:c r="G327" s="2" t="n">
        <x:v>4</x:v>
      </x:c>
      <x:c r="H327" s="11" t="n">
        <x:v>2930.41</x:v>
      </x:c>
      <x:c r="I327" s="2" t="n">
        <x:v>3</x:v>
      </x:c>
      <x:c r="J327" s="2" t="n">
        <x:v>3</x:v>
      </x:c>
      <x:c r="K327" s="2" t="n">
        <x:v>5</x:v>
      </x:c>
      <x:c r="L327" s="2" t="str">
        <x:v>Loyal</x:v>
      </x:c>
    </x:row>
    <x:row r="328" ht="22" customHeight="1">
      <x:c r="A328" s="2"/>
      <x:c r="B328" s="2" t="str">
        <x:v>12636</x:v>
      </x:c>
      <x:c r="C328" s="2" t="str">
        <x:v>USA</x:v>
      </x:c>
      <x:c r="D328" s="25" t="n">
        <x:v>40148.20486111111</x:v>
      </x:c>
      <x:c r="E328" s="25" t="n">
        <x:v>40148.20486111111</x:v>
      </x:c>
      <x:c r="F328" s="2" t="n">
        <x:v>739</x:v>
      </x:c>
      <x:c r="G328" s="2" t="n">
        <x:v>1</x:v>
      </x:c>
      <x:c r="H328" s="11" t="n">
        <x:v>141</x:v>
      </x:c>
      <x:c r="I328" s="2" t="n">
        <x:v>1</x:v>
      </x:c>
      <x:c r="J328" s="2" t="n">
        <x:v>1</x:v>
      </x:c>
      <x:c r="K328" s="2" t="n">
        <x:v>1</x:v>
      </x:c>
      <x:c r="L328" s="2" t="str">
        <x:v>Hibernating</x:v>
      </x:c>
    </x:row>
    <x:row r="329" ht="22" customHeight="1">
      <x:c r="A329" s="2"/>
      <x:c r="B329" s="2" t="str">
        <x:v>12637</x:v>
      </x:c>
      <x:c r="C329" s="2" t="str">
        <x:v>France</x:v>
      </x:c>
      <x:c r="D329" s="25" t="n">
        <x:v>40343.35833333333</x:v>
      </x:c>
      <x:c r="E329" s="25" t="n">
        <x:v>40819.365277777775</x:v>
      </x:c>
      <x:c r="F329" s="2" t="n">
        <x:v>68</x:v>
      </x:c>
      <x:c r="G329" s="2" t="n">
        <x:v>12</x:v>
      </x:c>
      <x:c r="H329" s="11" t="n">
        <x:v>8340.31</x:v>
      </x:c>
      <x:c r="I329" s="2" t="n">
        <x:v>3</x:v>
      </x:c>
      <x:c r="J329" s="2" t="n">
        <x:v>5</x:v>
      </x:c>
      <x:c r="K329" s="2" t="n">
        <x:v>5</x:v>
      </x:c>
      <x:c r="L329" s="2" t="str">
        <x:v>Loyal</x:v>
      </x:c>
    </x:row>
    <x:row r="330" ht="22" customHeight="1">
      <x:c r="A330" s="2"/>
      <x:c r="B330" s="2" t="str">
        <x:v>12638</x:v>
      </x:c>
      <x:c r="C330" s="2" t="str">
        <x:v>Sweden</x:v>
      </x:c>
      <x:c r="D330" s="25" t="n">
        <x:v>40247.229166666664</x:v>
      </x:c>
      <x:c r="E330" s="25" t="n">
        <x:v>40853.34097222222</x:v>
      </x:c>
      <x:c r="F330" s="2" t="n">
        <x:v>34</x:v>
      </x:c>
      <x:c r="G330" s="2" t="n">
        <x:v>2</x:v>
      </x:c>
      <x:c r="H330" s="11" t="n">
        <x:v>921.49</x:v>
      </x:c>
      <x:c r="I330" s="2" t="n">
        <x:v>4</x:v>
      </x:c>
      <x:c r="J330" s="2" t="n">
        <x:v>2</x:v>
      </x:c>
      <x:c r="K330" s="2" t="n">
        <x:v>3</x:v>
      </x:c>
      <x:c r="L330" s="2" t="str">
        <x:v>Recent light buyers</x:v>
      </x:c>
    </x:row>
    <x:row r="331" ht="22" customHeight="1">
      <x:c r="A331" s="2"/>
      <x:c r="B331" s="2" t="str">
        <x:v>12639</x:v>
      </x:c>
      <x:c r="C331" s="2" t="str">
        <x:v>Sweden</x:v>
      </x:c>
      <x:c r="D331" s="25" t="n">
        <x:v>40259.17013888889</x:v>
      </x:c>
      <x:c r="E331" s="25" t="n">
        <x:v>40648.325</x:v>
      </x:c>
      <x:c r="F331" s="2" t="n">
        <x:v>239</x:v>
      </x:c>
      <x:c r="G331" s="2" t="n">
        <x:v>3</x:v>
      </x:c>
      <x:c r="H331" s="11" t="n">
        <x:v>1312.37</x:v>
      </x:c>
      <x:c r="I331" s="2" t="n">
        <x:v>2</x:v>
      </x:c>
      <x:c r="J331" s="2" t="n">
        <x:v>3</x:v>
      </x:c>
      <x:c r="K331" s="2" t="n">
        <x:v>4</x:v>
      </x:c>
      <x:c r="L331" s="2" t="str">
        <x:v>At risk</x:v>
      </x:c>
    </x:row>
    <x:row r="332" ht="22" customHeight="1">
      <x:c r="A332" s="2"/>
      <x:c r="B332" s="2" t="str">
        <x:v>12640</x:v>
      </x:c>
      <x:c r="C332" s="2" t="str">
        <x:v>France</x:v>
      </x:c>
      <x:c r="D332" s="25" t="n">
        <x:v>40805.29236111111</x:v>
      </x:c>
      <x:c r="E332" s="25" t="n">
        <x:v>40863.28611111111</x:v>
      </x:c>
      <x:c r="F332" s="2" t="n">
        <x:v>24</x:v>
      </x:c>
      <x:c r="G332" s="2" t="n">
        <x:v>3</x:v>
      </x:c>
      <x:c r="H332" s="11" t="n">
        <x:v>1174.58</x:v>
      </x:c>
      <x:c r="I332" s="2" t="n">
        <x:v>4</x:v>
      </x:c>
      <x:c r="J332" s="2" t="n">
        <x:v>3</x:v>
      </x:c>
      <x:c r="K332" s="2" t="n">
        <x:v>3</x:v>
      </x:c>
      <x:c r="L332" s="2" t="str">
        <x:v>Loyal</x:v>
      </x:c>
    </x:row>
    <x:row r="333" ht="22" customHeight="1">
      <x:c r="A333" s="2"/>
      <x:c r="B333" s="2" t="str">
        <x:v>12641</x:v>
      </x:c>
      <x:c r="C333" s="2" t="str">
        <x:v>Sweden</x:v>
      </x:c>
      <x:c r="D333" s="25" t="n">
        <x:v>40771.35138888889</x:v>
      </x:c>
      <x:c r="E333" s="25" t="n">
        <x:v>40771.35138888889</x:v>
      </x:c>
      <x:c r="F333" s="2" t="n">
        <x:v>116</x:v>
      </x:c>
      <x:c r="G333" s="2" t="n">
        <x:v>1</x:v>
      </x:c>
      <x:c r="H333" s="11" t="n">
        <x:v>185.9</x:v>
      </x:c>
      <x:c r="I333" s="2" t="n">
        <x:v>3</x:v>
      </x:c>
      <x:c r="J333" s="2" t="n">
        <x:v>1</x:v>
      </x:c>
      <x:c r="K333" s="2" t="n">
        <x:v>1</x:v>
      </x:c>
      <x:c r="L333" s="2" t="str">
        <x:v>Developing</x:v>
      </x:c>
    </x:row>
    <x:row r="334" ht="22" customHeight="1">
      <x:c r="A334" s="2"/>
      <x:c r="B334" s="2" t="str">
        <x:v>12642</x:v>
      </x:c>
      <x:c r="C334" s="2" t="str">
        <x:v>Germany</x:v>
      </x:c>
      <x:c r="D334" s="25" t="n">
        <x:v>40779.18263888889</x:v>
      </x:c>
      <x:c r="E334" s="25" t="n">
        <x:v>40861.41875</x:v>
      </x:c>
      <x:c r="F334" s="2" t="n">
        <x:v>26</x:v>
      </x:c>
      <x:c r="G334" s="2" t="n">
        <x:v>3</x:v>
      </x:c>
      <x:c r="H334" s="11" t="n">
        <x:v>1013.26</x:v>
      </x:c>
      <x:c r="I334" s="2" t="n">
        <x:v>4</x:v>
      </x:c>
      <x:c r="J334" s="2" t="n">
        <x:v>3</x:v>
      </x:c>
      <x:c r="K334" s="2" t="n">
        <x:v>3</x:v>
      </x:c>
      <x:c r="L334" s="2" t="str">
        <x:v>Loyal</x:v>
      </x:c>
    </x:row>
    <x:row r="335" ht="22" customHeight="1">
      <x:c r="A335" s="2"/>
      <x:c r="B335" s="2" t="str">
        <x:v>12643</x:v>
      </x:c>
      <x:c r="C335" s="2" t="str">
        <x:v>France</x:v>
      </x:c>
      <x:c r="D335" s="25" t="n">
        <x:v>40275.38611111111</x:v>
      </x:c>
      <x:c r="E335" s="25" t="n">
        <x:v>40758.330555555556</x:v>
      </x:c>
      <x:c r="F335" s="2" t="n">
        <x:v>129</x:v>
      </x:c>
      <x:c r="G335" s="2" t="n">
        <x:v>12</x:v>
      </x:c>
      <x:c r="H335" s="11" t="n">
        <x:v>8350.42</x:v>
      </x:c>
      <x:c r="I335" s="2" t="n">
        <x:v>3</x:v>
      </x:c>
      <x:c r="J335" s="2" t="n">
        <x:v>5</x:v>
      </x:c>
      <x:c r="K335" s="2" t="n">
        <x:v>5</x:v>
      </x:c>
      <x:c r="L335" s="2" t="str">
        <x:v>Loyal</x:v>
      </x:c>
    </x:row>
    <x:row r="336" ht="22" customHeight="1">
      <x:c r="A336" s="2"/>
      <x:c r="B336" s="2" t="str">
        <x:v>12644</x:v>
      </x:c>
      <x:c r="C336" s="2" t="str">
        <x:v>Germany</x:v>
      </x:c>
      <x:c r="D336" s="25" t="n">
        <x:v>40192.33472222222</x:v>
      </x:c>
      <x:c r="E336" s="25" t="n">
        <x:v>40757.23125</x:v>
      </x:c>
      <x:c r="F336" s="2" t="n">
        <x:v>130</x:v>
      </x:c>
      <x:c r="G336" s="2" t="n">
        <x:v>4</x:v>
      </x:c>
      <x:c r="H336" s="11" t="n">
        <x:v>1918.49</x:v>
      </x:c>
      <x:c r="I336" s="2" t="n">
        <x:v>3</x:v>
      </x:c>
      <x:c r="J336" s="2" t="n">
        <x:v>3</x:v>
      </x:c>
      <x:c r="K336" s="2" t="n">
        <x:v>4</x:v>
      </x:c>
      <x:c r="L336" s="2" t="str">
        <x:v>Loyal</x:v>
      </x:c>
    </x:row>
    <x:row r="337" ht="22" customHeight="1">
      <x:c r="A337" s="2"/>
      <x:c r="B337" s="2" t="str">
        <x:v>12645</x:v>
      </x:c>
      <x:c r="C337" s="2" t="str">
        <x:v>Germany</x:v>
      </x:c>
      <x:c r="D337" s="25" t="n">
        <x:v>40218.24236111111</x:v>
      </x:c>
      <x:c r="E337" s="25" t="n">
        <x:v>40853.31805555556</x:v>
      </x:c>
      <x:c r="F337" s="2" t="n">
        <x:v>34</x:v>
      </x:c>
      <x:c r="G337" s="2" t="n">
        <x:v>8</x:v>
      </x:c>
      <x:c r="H337" s="11" t="n">
        <x:v>3539.3</x:v>
      </x:c>
      <x:c r="I337" s="2" t="n">
        <x:v>4</x:v>
      </x:c>
      <x:c r="J337" s="2" t="n">
        <x:v>4</x:v>
      </x:c>
      <x:c r="K337" s="2" t="n">
        <x:v>5</x:v>
      </x:c>
      <x:c r="L337" s="2" t="str">
        <x:v>Champions</x:v>
      </x:c>
    </x:row>
    <x:row r="338" ht="22" customHeight="1">
      <x:c r="A338" s="2"/>
      <x:c r="B338" s="2" t="str">
        <x:v>12646</x:v>
      </x:c>
      <x:c r="C338" s="2" t="str">
        <x:v>USA</x:v>
      </x:c>
      <x:c r="D338" s="25" t="n">
        <x:v>40837.32777777778</x:v>
      </x:c>
      <x:c r="E338" s="25" t="n">
        <x:v>40882.21805555555</x:v>
      </x:c>
      <x:c r="F338" s="2" t="n">
        <x:v>5</x:v>
      </x:c>
      <x:c r="G338" s="2" t="n">
        <x:v>2</x:v>
      </x:c>
      <x:c r="H338" s="11" t="n">
        <x:v>1346.97</x:v>
      </x:c>
      <x:c r="I338" s="2" t="n">
        <x:v>5</x:v>
      </x:c>
      <x:c r="J338" s="2" t="n">
        <x:v>2</x:v>
      </x:c>
      <x:c r="K338" s="2" t="n">
        <x:v>4</x:v>
      </x:c>
      <x:c r="L338" s="2" t="str">
        <x:v>Recent light buyers</x:v>
      </x:c>
    </x:row>
    <x:row r="339" ht="22" customHeight="1">
      <x:c r="A339" s="2"/>
      <x:c r="B339" s="2" t="str">
        <x:v>12647</x:v>
      </x:c>
      <x:c r="C339" s="2" t="str">
        <x:v>Germany</x:v>
      </x:c>
      <x:c r="D339" s="25" t="n">
        <x:v>40191.42083333333</x:v>
      </x:c>
      <x:c r="E339" s="25" t="n">
        <x:v>40864.330555555556</x:v>
      </x:c>
      <x:c r="F339" s="2" t="n">
        <x:v>23</x:v>
      </x:c>
      <x:c r="G339" s="2" t="n">
        <x:v>36</x:v>
      </x:c>
      <x:c r="H339" s="11" t="n">
        <x:v>16955.55</x:v>
      </x:c>
      <x:c r="I339" s="2" t="n">
        <x:v>4</x:v>
      </x:c>
      <x:c r="J339" s="2" t="n">
        <x:v>5</x:v>
      </x:c>
      <x:c r="K339" s="2" t="n">
        <x:v>5</x:v>
      </x:c>
      <x:c r="L339" s="2" t="str">
        <x:v>Champions</x:v>
      </x:c>
    </x:row>
    <x:row r="340" ht="22" customHeight="1">
      <x:c r="A340" s="2"/>
      <x:c r="B340" s="2" t="str">
        <x:v>12648</x:v>
      </x:c>
      <x:c r="C340" s="2" t="str">
        <x:v>Germany</x:v>
      </x:c>
      <x:c r="D340" s="25" t="n">
        <x:v>40185.56805555556</x:v>
      </x:c>
      <x:c r="E340" s="25" t="n">
        <x:v>40732.288194444445</x:v>
      </x:c>
      <x:c r="F340" s="2" t="n">
        <x:v>155</x:v>
      </x:c>
      <x:c r="G340" s="2" t="n">
        <x:v>4</x:v>
      </x:c>
      <x:c r="H340" s="11" t="n">
        <x:v>1112</x:v>
      </x:c>
      <x:c r="I340" s="2" t="n">
        <x:v>3</x:v>
      </x:c>
      <x:c r="J340" s="2" t="n">
        <x:v>3</x:v>
      </x:c>
      <x:c r="K340" s="2" t="n">
        <x:v>3</x:v>
      </x:c>
      <x:c r="L340" s="2" t="str">
        <x:v>Loyal</x:v>
      </x:c>
    </x:row>
    <x:row r="341" ht="22" customHeight="1">
      <x:c r="A341" s="2"/>
      <x:c r="B341" s="2" t="str">
        <x:v>12649</x:v>
      </x:c>
      <x:c r="C341" s="2" t="str">
        <x:v>Germany</x:v>
      </x:c>
      <x:c r="D341" s="25" t="n">
        <x:v>40190.51666666667</x:v>
      </x:c>
      <x:c r="E341" s="25" t="n">
        <x:v>40779.40347222222</x:v>
      </x:c>
      <x:c r="F341" s="2" t="n">
        <x:v>108</x:v>
      </x:c>
      <x:c r="G341" s="2" t="n">
        <x:v>8</x:v>
      </x:c>
      <x:c r="H341" s="11" t="n">
        <x:v>2294.65</x:v>
      </x:c>
      <x:c r="I341" s="2" t="n">
        <x:v>3</x:v>
      </x:c>
      <x:c r="J341" s="2" t="n">
        <x:v>4</x:v>
      </x:c>
      <x:c r="K341" s="2" t="n">
        <x:v>4</x:v>
      </x:c>
      <x:c r="L341" s="2" t="str">
        <x:v>Loyal</x:v>
      </x:c>
    </x:row>
    <x:row r="342" ht="22" customHeight="1">
      <x:c r="A342" s="2"/>
      <x:c r="B342" s="2" t="str">
        <x:v>12650</x:v>
      </x:c>
      <x:c r="C342" s="2" t="str">
        <x:v>France</x:v>
      </x:c>
      <x:c r="D342" s="25" t="n">
        <x:v>40883.481944444444</x:v>
      </x:c>
      <x:c r="E342" s="25" t="n">
        <x:v>40883.481944444444</x:v>
      </x:c>
      <x:c r="F342" s="2" t="n">
        <x:v>4</x:v>
      </x:c>
      <x:c r="G342" s="2" t="n">
        <x:v>1</x:v>
      </x:c>
      <x:c r="H342" s="11" t="n">
        <x:v>314.44</x:v>
      </x:c>
      <x:c r="I342" s="2" t="n">
        <x:v>5</x:v>
      </x:c>
      <x:c r="J342" s="2" t="n">
        <x:v>1</x:v>
      </x:c>
      <x:c r="K342" s="2" t="n">
        <x:v>2</x:v>
      </x:c>
      <x:c r="L342" s="2" t="str">
        <x:v>Recent light buyers</x:v>
      </x:c>
    </x:row>
    <x:row r="343" ht="22" customHeight="1">
      <x:c r="A343" s="2"/>
      <x:c r="B343" s="2" t="str">
        <x:v>12651</x:v>
      </x:c>
      <x:c r="C343" s="2" t="str">
        <x:v>France</x:v>
      </x:c>
      <x:c r="D343" s="25" t="n">
        <x:v>40421.43125</x:v>
      </x:c>
      <x:c r="E343" s="25" t="n">
        <x:v>40552.32361111111</x:v>
      </x:c>
      <x:c r="F343" s="2" t="n">
        <x:v>335</x:v>
      </x:c>
      <x:c r="G343" s="2" t="n">
        <x:v>4</x:v>
      </x:c>
      <x:c r="H343" s="11" t="n">
        <x:v>377.75</x:v>
      </x:c>
      <x:c r="I343" s="2" t="n">
        <x:v>2</x:v>
      </x:c>
      <x:c r="J343" s="2" t="n">
        <x:v>3</x:v>
      </x:c>
      <x:c r="K343" s="2" t="n">
        <x:v>2</x:v>
      </x:c>
      <x:c r="L343" s="2" t="str">
        <x:v>At risk</x:v>
      </x:c>
    </x:row>
    <x:row r="344" ht="22" customHeight="1">
      <x:c r="A344" s="2"/>
      <x:c r="B344" s="2" t="str">
        <x:v>12652</x:v>
      </x:c>
      <x:c r="C344" s="2" t="str">
        <x:v>France</x:v>
      </x:c>
      <x:c r="D344" s="25" t="n">
        <x:v>40452.427777777775</x:v>
      </x:c>
      <x:c r="E344" s="25" t="n">
        <x:v>40555.416666666664</x:v>
      </x:c>
      <x:c r="F344" s="2" t="n">
        <x:v>332</x:v>
      </x:c>
      <x:c r="G344" s="2" t="n">
        <x:v>2</x:v>
      </x:c>
      <x:c r="H344" s="11" t="n">
        <x:v>1017.03</x:v>
      </x:c>
      <x:c r="I344" s="2" t="n">
        <x:v>2</x:v>
      </x:c>
      <x:c r="J344" s="2" t="n">
        <x:v>2</x:v>
      </x:c>
      <x:c r="K344" s="2" t="n">
        <x:v>3</x:v>
      </x:c>
      <x:c r="L344" s="2" t="str">
        <x:v>Hibernating</x:v>
      </x:c>
    </x:row>
    <x:row r="345" ht="22" customHeight="1">
      <x:c r="A345" s="2"/>
      <x:c r="B345" s="2" t="str">
        <x:v>12653</x:v>
      </x:c>
      <x:c r="C345" s="2" t="str">
        <x:v>Israel</x:v>
      </x:c>
      <x:c r="D345" s="25" t="n">
        <x:v>40360.205555555556</x:v>
      </x:c>
      <x:c r="E345" s="25" t="n">
        <x:v>40738.236805555556</x:v>
      </x:c>
      <x:c r="F345" s="2" t="n">
        <x:v>149</x:v>
      </x:c>
      <x:c r="G345" s="2" t="n">
        <x:v>3</x:v>
      </x:c>
      <x:c r="H345" s="11" t="n">
        <x:v>4160.83</x:v>
      </x:c>
      <x:c r="I345" s="2" t="n">
        <x:v>3</x:v>
      </x:c>
      <x:c r="J345" s="2" t="n">
        <x:v>3</x:v>
      </x:c>
      <x:c r="K345" s="2" t="n">
        <x:v>5</x:v>
      </x:c>
      <x:c r="L345" s="2" t="str">
        <x:v>Loyal</x:v>
      </x:c>
    </x:row>
    <x:row r="346" ht="22" customHeight="1">
      <x:c r="A346" s="2"/>
      <x:c r="B346" s="2" t="str">
        <x:v>12654</x:v>
      </x:c>
      <x:c r="C346" s="2" t="str">
        <x:v>Germany</x:v>
      </x:c>
      <x:c r="D346" s="25" t="n">
        <x:v>40591.34444444445</x:v>
      </x:c>
      <x:c r="E346" s="25" t="n">
        <x:v>40876.21527777778</x:v>
      </x:c>
      <x:c r="F346" s="2" t="n">
        <x:v>11</x:v>
      </x:c>
      <x:c r="G346" s="2" t="n">
        <x:v>5</x:v>
      </x:c>
      <x:c r="H346" s="11" t="n">
        <x:v>601.98</x:v>
      </x:c>
      <x:c r="I346" s="2" t="n">
        <x:v>5</x:v>
      </x:c>
      <x:c r="J346" s="2" t="n">
        <x:v>4</x:v>
      </x:c>
      <x:c r="K346" s="2" t="n">
        <x:v>2</x:v>
      </x:c>
      <x:c r="L346" s="2" t="str">
        <x:v>Loyal</x:v>
      </x:c>
    </x:row>
    <x:row r="347" ht="22" customHeight="1">
      <x:c r="A347" s="2"/>
      <x:c r="B347" s="2" t="str">
        <x:v>12655</x:v>
      </x:c>
      <x:c r="C347" s="2" t="str">
        <x:v>France</x:v>
      </x:c>
      <x:c r="D347" s="25" t="n">
        <x:v>40463.17847222222</x:v>
      </x:c>
      <x:c r="E347" s="25" t="n">
        <x:v>40463.17847222222</x:v>
      </x:c>
      <x:c r="F347" s="2" t="n">
        <x:v>424</x:v>
      </x:c>
      <x:c r="G347" s="2" t="n">
        <x:v>1</x:v>
      </x:c>
      <x:c r="H347" s="11" t="n">
        <x:v>261.35</x:v>
      </x:c>
      <x:c r="I347" s="2" t="n">
        <x:v>1</x:v>
      </x:c>
      <x:c r="J347" s="2" t="n">
        <x:v>1</x:v>
      </x:c>
      <x:c r="K347" s="2" t="n">
        <x:v>1</x:v>
      </x:c>
      <x:c r="L347" s="2" t="str">
        <x:v>Hibernating</x:v>
      </x:c>
    </x:row>
    <x:row r="348" ht="22" customHeight="1">
      <x:c r="A348" s="2"/>
      <x:c r="B348" s="2" t="str">
        <x:v>12656</x:v>
      </x:c>
      <x:c r="C348" s="2" t="str">
        <x:v>France</x:v>
      </x:c>
      <x:c r="D348" s="25" t="n">
        <x:v>40324.166666666664</x:v>
      </x:c>
      <x:c r="E348" s="25" t="n">
        <x:v>40869.3625</x:v>
      </x:c>
      <x:c r="F348" s="2" t="n">
        <x:v>18</x:v>
      </x:c>
      <x:c r="G348" s="2" t="n">
        <x:v>8</x:v>
      </x:c>
      <x:c r="H348" s="11" t="n">
        <x:v>6407.83</x:v>
      </x:c>
      <x:c r="I348" s="2" t="n">
        <x:v>5</x:v>
      </x:c>
      <x:c r="J348" s="2" t="n">
        <x:v>4</x:v>
      </x:c>
      <x:c r="K348" s="2" t="n">
        <x:v>5</x:v>
      </x:c>
      <x:c r="L348" s="2" t="str">
        <x:v>Champions</x:v>
      </x:c>
    </x:row>
    <x:row r="349" ht="22" customHeight="1">
      <x:c r="A349" s="2"/>
      <x:c r="B349" s="2" t="str">
        <x:v>12657</x:v>
      </x:c>
      <x:c r="C349" s="2" t="str">
        <x:v>France</x:v>
      </x:c>
      <x:c r="D349" s="25" t="n">
        <x:v>40808.27777777778</x:v>
      </x:c>
      <x:c r="E349" s="25" t="n">
        <x:v>40875.44930555556</x:v>
      </x:c>
      <x:c r="F349" s="2" t="n">
        <x:v>12</x:v>
      </x:c>
      <x:c r="G349" s="2" t="n">
        <x:v>4</x:v>
      </x:c>
      <x:c r="H349" s="11" t="n">
        <x:v>1643.18</x:v>
      </x:c>
      <x:c r="I349" s="2" t="n">
        <x:v>5</x:v>
      </x:c>
      <x:c r="J349" s="2" t="n">
        <x:v>3</x:v>
      </x:c>
      <x:c r="K349" s="2" t="n">
        <x:v>4</x:v>
      </x:c>
      <x:c r="L349" s="2" t="str">
        <x:v>Loyal</x:v>
      </x:c>
    </x:row>
    <x:row r="350" ht="22" customHeight="1">
      <x:c r="A350" s="2"/>
      <x:c r="B350" s="2" t="str">
        <x:v>12658</x:v>
      </x:c>
      <x:c r="C350" s="2" t="str">
        <x:v>Germany</x:v>
      </x:c>
      <x:c r="D350" s="25" t="n">
        <x:v>40868.22361111111</x:v>
      </x:c>
      <x:c r="E350" s="25" t="n">
        <x:v>40868.22361111111</x:v>
      </x:c>
      <x:c r="F350" s="2" t="n">
        <x:v>19</x:v>
      </x:c>
      <x:c r="G350" s="2" t="n">
        <x:v>1</x:v>
      </x:c>
      <x:c r="H350" s="11" t="n">
        <x:v>686.05</x:v>
      </x:c>
      <x:c r="I350" s="2" t="n">
        <x:v>5</x:v>
      </x:c>
      <x:c r="J350" s="2" t="n">
        <x:v>1</x:v>
      </x:c>
      <x:c r="K350" s="2" t="n">
        <x:v>3</x:v>
      </x:c>
      <x:c r="L350" s="2" t="str">
        <x:v>Recent light buyers</x:v>
      </x:c>
    </x:row>
    <x:row r="351" ht="22" customHeight="1">
      <x:c r="A351" s="2"/>
      <x:c r="B351" s="2" t="str">
        <x:v>12659</x:v>
      </x:c>
      <x:c r="C351" s="2" t="str">
        <x:v>France</x:v>
      </x:c>
      <x:c r="D351" s="25" t="n">
        <x:v>40857.28680555556</x:v>
      </x:c>
      <x:c r="E351" s="25" t="n">
        <x:v>40857.28680555556</x:v>
      </x:c>
      <x:c r="F351" s="2" t="n">
        <x:v>30</x:v>
      </x:c>
      <x:c r="G351" s="2" t="n">
        <x:v>1</x:v>
      </x:c>
      <x:c r="H351" s="11" t="n">
        <x:v>91.68</x:v>
      </x:c>
      <x:c r="I351" s="2" t="n">
        <x:v>4</x:v>
      </x:c>
      <x:c r="J351" s="2" t="n">
        <x:v>1</x:v>
      </x:c>
      <x:c r="K351" s="2" t="n">
        <x:v>1</x:v>
      </x:c>
      <x:c r="L351" s="2" t="str">
        <x:v>Recent light buyers</x:v>
      </x:c>
    </x:row>
    <x:row r="352" ht="22" customHeight="1">
      <x:c r="A352" s="2"/>
      <x:c r="B352" s="2" t="str">
        <x:v>12660</x:v>
      </x:c>
      <x:c r="C352" s="2" t="str">
        <x:v>France</x:v>
      </x:c>
      <x:c r="D352" s="25" t="n">
        <x:v>40875.35138888889</x:v>
      </x:c>
      <x:c r="E352" s="25" t="n">
        <x:v>40875.35138888889</x:v>
      </x:c>
      <x:c r="F352" s="2" t="n">
        <x:v>12</x:v>
      </x:c>
      <x:c r="G352" s="2" t="n">
        <x:v>1</x:v>
      </x:c>
      <x:c r="H352" s="11" t="n">
        <x:v>245.1</x:v>
      </x:c>
      <x:c r="I352" s="2" t="n">
        <x:v>5</x:v>
      </x:c>
      <x:c r="J352" s="2" t="n">
        <x:v>1</x:v>
      </x:c>
      <x:c r="K352" s="2" t="n">
        <x:v>1</x:v>
      </x:c>
      <x:c r="L352" s="2" t="str">
        <x:v>Recent light buyers</x:v>
      </x:c>
    </x:row>
    <x:row r="353" ht="22" customHeight="1">
      <x:c r="A353" s="2"/>
      <x:c r="B353" s="2" t="str">
        <x:v>12661</x:v>
      </x:c>
      <x:c r="C353" s="2" t="str">
        <x:v>Sweden</x:v>
      </x:c>
      <x:c r="D353" s="25" t="n">
        <x:v>40450.490277777775</x:v>
      </x:c>
      <x:c r="E353" s="25" t="n">
        <x:v>40450.490277777775</x:v>
      </x:c>
      <x:c r="F353" s="2" t="n">
        <x:v>437</x:v>
      </x:c>
      <x:c r="G353" s="2" t="n">
        <x:v>1</x:v>
      </x:c>
      <x:c r="H353" s="11" t="n">
        <x:v>162</x:v>
      </x:c>
      <x:c r="I353" s="2" t="n">
        <x:v>1</x:v>
      </x:c>
      <x:c r="J353" s="2" t="n">
        <x:v>1</x:v>
      </x:c>
      <x:c r="K353" s="2" t="n">
        <x:v>1</x:v>
      </x:c>
      <x:c r="L353" s="2" t="str">
        <x:v>Hibernating</x:v>
      </x:c>
    </x:row>
    <x:row r="354" ht="22" customHeight="1">
      <x:c r="A354" s="2"/>
      <x:c r="B354" s="2" t="str">
        <x:v>12662</x:v>
      </x:c>
      <x:c r="C354" s="2" t="str">
        <x:v>Germany</x:v>
      </x:c>
      <x:c r="D354" s="25" t="n">
        <x:v>40269.20138888889</x:v>
      </x:c>
      <x:c r="E354" s="25" t="n">
        <x:v>40886.290972222225</x:v>
      </x:c>
      <x:c r="F354" s="2" t="n">
        <x:v>1</x:v>
      </x:c>
      <x:c r="G354" s="2" t="n">
        <x:v>20</x:v>
      </x:c>
      <x:c r="H354" s="11" t="n">
        <x:v>6726.54</x:v>
      </x:c>
      <x:c r="I354" s="2" t="n">
        <x:v>5</x:v>
      </x:c>
      <x:c r="J354" s="2" t="n">
        <x:v>5</x:v>
      </x:c>
      <x:c r="K354" s="2" t="n">
        <x:v>5</x:v>
      </x:c>
      <x:c r="L354" s="2" t="str">
        <x:v>Champions</x:v>
      </x:c>
    </x:row>
    <x:row r="355" ht="22" customHeight="1">
      <x:c r="A355" s="2"/>
      <x:c r="B355" s="2" t="str">
        <x:v>12663</x:v>
      </x:c>
      <x:c r="C355" s="2" t="str">
        <x:v>Germany</x:v>
      </x:c>
      <x:c r="D355" s="25" t="n">
        <x:v>40218.39444444444</x:v>
      </x:c>
      <x:c r="E355" s="25" t="n">
        <x:v>40262.194444444445</x:v>
      </x:c>
      <x:c r="F355" s="2" t="n">
        <x:v>625</x:v>
      </x:c>
      <x:c r="G355" s="2" t="n">
        <x:v>2</x:v>
      </x:c>
      <x:c r="H355" s="11" t="n">
        <x:v>239.4</x:v>
      </x:c>
      <x:c r="I355" s="2" t="n">
        <x:v>1</x:v>
      </x:c>
      <x:c r="J355" s="2" t="n">
        <x:v>2</x:v>
      </x:c>
      <x:c r="K355" s="2" t="n">
        <x:v>1</x:v>
      </x:c>
      <x:c r="L355" s="2" t="str">
        <x:v>Hibernating</x:v>
      </x:c>
    </x:row>
    <x:row r="356" ht="22" customHeight="1">
      <x:c r="A356" s="2"/>
      <x:c r="B356" s="2" t="str">
        <x:v>12664</x:v>
      </x:c>
      <x:c r="C356" s="2" t="str">
        <x:v>Finland</x:v>
      </x:c>
      <x:c r="D356" s="25" t="n">
        <x:v>40160.22777777778</x:v>
      </x:c>
      <x:c r="E356" s="25" t="n">
        <x:v>40878.50486111111</x:v>
      </x:c>
      <x:c r="F356" s="2" t="n">
        <x:v>9</x:v>
      </x:c>
      <x:c r="G356" s="2" t="n">
        <x:v>11</x:v>
      </x:c>
      <x:c r="H356" s="11" t="n">
        <x:v>6070.04</x:v>
      </x:c>
      <x:c r="I356" s="2" t="n">
        <x:v>5</x:v>
      </x:c>
      <x:c r="J356" s="2" t="n">
        <x:v>5</x:v>
      </x:c>
      <x:c r="K356" s="2" t="n">
        <x:v>5</x:v>
      </x:c>
      <x:c r="L356" s="2" t="str">
        <x:v>Champions</x:v>
      </x:c>
    </x:row>
    <x:row r="357" ht="22" customHeight="1">
      <x:c r="A357" s="2"/>
      <x:c r="B357" s="2" t="str">
        <x:v>12665</x:v>
      </x:c>
      <x:c r="C357" s="2" t="str">
        <x:v>Germany</x:v>
      </x:c>
      <x:c r="D357" s="25" t="n">
        <x:v>40217.424305555556</x:v>
      </x:c>
      <x:c r="E357" s="25" t="n">
        <x:v>40562.14861111111</x:v>
      </x:c>
      <x:c r="F357" s="2" t="n">
        <x:v>325</x:v>
      </x:c>
      <x:c r="G357" s="2" t="n">
        <x:v>3</x:v>
      </x:c>
      <x:c r="H357" s="11" t="n">
        <x:v>313.6</x:v>
      </x:c>
      <x:c r="I357" s="2" t="n">
        <x:v>2</x:v>
      </x:c>
      <x:c r="J357" s="2" t="n">
        <x:v>3</x:v>
      </x:c>
      <x:c r="K357" s="2" t="n">
        <x:v>2</x:v>
      </x:c>
      <x:c r="L357" s="2" t="str">
        <x:v>At risk</x:v>
      </x:c>
    </x:row>
    <x:row r="358" ht="22" customHeight="1">
      <x:c r="A358" s="2"/>
      <x:c r="B358" s="2" t="str">
        <x:v>12666</x:v>
      </x:c>
      <x:c r="C358" s="2" t="str">
        <x:v>Israel</x:v>
      </x:c>
      <x:c r="D358" s="25" t="n">
        <x:v>40492.48611111111</x:v>
      </x:c>
      <x:c r="E358" s="25" t="n">
        <x:v>40492.48611111111</x:v>
      </x:c>
      <x:c r="F358" s="2" t="n">
        <x:v>395</x:v>
      </x:c>
      <x:c r="G358" s="2" t="n">
        <x:v>1</x:v>
      </x:c>
      <x:c r="H358" s="11" t="n">
        <x:v>1248.42</x:v>
      </x:c>
      <x:c r="I358" s="2" t="n">
        <x:v>2</x:v>
      </x:c>
      <x:c r="J358" s="2" t="n">
        <x:v>1</x:v>
      </x:c>
      <x:c r="K358" s="2" t="n">
        <x:v>4</x:v>
      </x:c>
      <x:c r="L358" s="2" t="str">
        <x:v>Hibernating</x:v>
      </x:c>
    </x:row>
    <x:row r="359" ht="22" customHeight="1">
      <x:c r="A359" s="2"/>
      <x:c r="B359" s="2" t="str">
        <x:v>12667</x:v>
      </x:c>
      <x:c r="C359" s="2" t="str">
        <x:v>Finland</x:v>
      </x:c>
      <x:c r="D359" s="25" t="n">
        <x:v>40828.5</x:v>
      </x:c>
      <x:c r="E359" s="25" t="n">
        <x:v>40828.5</x:v>
      </x:c>
      <x:c r="F359" s="2" t="n">
        <x:v>59</x:v>
      </x:c>
      <x:c r="G359" s="2" t="n">
        <x:v>1</x:v>
      </x:c>
      <x:c r="H359" s="11" t="n">
        <x:v>620.13</x:v>
      </x:c>
      <x:c r="I359" s="2" t="n">
        <x:v>4</x:v>
      </x:c>
      <x:c r="J359" s="2" t="n">
        <x:v>1</x:v>
      </x:c>
      <x:c r="K359" s="2" t="n">
        <x:v>3</x:v>
      </x:c>
      <x:c r="L359" s="2" t="str">
        <x:v>Recent light buyers</x:v>
      </x:c>
    </x:row>
    <x:row r="360" ht="22" customHeight="1">
      <x:c r="A360" s="2"/>
      <x:c r="B360" s="2" t="str">
        <x:v>12668</x:v>
      </x:c>
      <x:c r="C360" s="2" t="str">
        <x:v>Germany</x:v>
      </x:c>
      <x:c r="D360" s="25" t="n">
        <x:v>40209.447916666664</x:v>
      </x:c>
      <x:c r="E360" s="25" t="n">
        <x:v>40875.24722222222</x:v>
      </x:c>
      <x:c r="F360" s="2" t="n">
        <x:v>12</x:v>
      </x:c>
      <x:c r="G360" s="2" t="n">
        <x:v>10</x:v>
      </x:c>
      <x:c r="H360" s="11" t="n">
        <x:v>11444.68</x:v>
      </x:c>
      <x:c r="I360" s="2" t="n">
        <x:v>5</x:v>
      </x:c>
      <x:c r="J360" s="2" t="n">
        <x:v>5</x:v>
      </x:c>
      <x:c r="K360" s="2" t="n">
        <x:v>5</x:v>
      </x:c>
      <x:c r="L360" s="2" t="str">
        <x:v>Champions</x:v>
      </x:c>
    </x:row>
    <x:row r="361" ht="22" customHeight="1">
      <x:c r="A361" s="2"/>
      <x:c r="B361" s="2" t="str">
        <x:v>12669</x:v>
      </x:c>
      <x:c r="C361" s="2" t="str">
        <x:v>France</x:v>
      </x:c>
      <x:c r="D361" s="25" t="n">
        <x:v>40630.21875</x:v>
      </x:c>
      <x:c r="E361" s="25" t="n">
        <x:v>40736.20416666667</x:v>
      </x:c>
      <x:c r="F361" s="2" t="n">
        <x:v>151</x:v>
      </x:c>
      <x:c r="G361" s="2" t="n">
        <x:v>3</x:v>
      </x:c>
      <x:c r="H361" s="11" t="n">
        <x:v>2744.03</x:v>
      </x:c>
      <x:c r="I361" s="2" t="n">
        <x:v>3</x:v>
      </x:c>
      <x:c r="J361" s="2" t="n">
        <x:v>3</x:v>
      </x:c>
      <x:c r="K361" s="2" t="n">
        <x:v>4</x:v>
      </x:c>
      <x:c r="L361" s="2" t="str">
        <x:v>Loyal</x:v>
      </x:c>
    </x:row>
    <x:row r="362" ht="22" customHeight="1">
      <x:c r="A362" s="2"/>
      <x:c r="B362" s="2" t="str">
        <x:v>12670</x:v>
      </x:c>
      <x:c r="C362" s="2" t="str">
        <x:v>France</x:v>
      </x:c>
      <x:c r="D362" s="25" t="n">
        <x:v>40220.217361111114</x:v>
      </x:c>
      <x:c r="E362" s="25" t="n">
        <x:v>40876.43263888889</x:v>
      </x:c>
      <x:c r="F362" s="2" t="n">
        <x:v>11</x:v>
      </x:c>
      <x:c r="G362" s="2" t="n">
        <x:v>7</x:v>
      </x:c>
      <x:c r="H362" s="11" t="n">
        <x:v>3760.29</x:v>
      </x:c>
      <x:c r="I362" s="2" t="n">
        <x:v>5</x:v>
      </x:c>
      <x:c r="J362" s="2" t="n">
        <x:v>4</x:v>
      </x:c>
      <x:c r="K362" s="2" t="n">
        <x:v>5</x:v>
      </x:c>
      <x:c r="L362" s="2" t="str">
        <x:v>Champions</x:v>
      </x:c>
    </x:row>
    <x:row r="363" ht="22" customHeight="1">
      <x:c r="A363" s="2"/>
      <x:c r="B363" s="2" t="str">
        <x:v>12671</x:v>
      </x:c>
      <x:c r="C363" s="2" t="str">
        <x:v>Germany</x:v>
      </x:c>
      <x:c r="D363" s="25" t="n">
        <x:v>40280.479166666664</x:v>
      </x:c>
      <x:c r="E363" s="25" t="n">
        <x:v>40280.479166666664</x:v>
      </x:c>
      <x:c r="F363" s="2" t="n">
        <x:v>607</x:v>
      </x:c>
      <x:c r="G363" s="2" t="n">
        <x:v>1</x:v>
      </x:c>
      <x:c r="H363" s="11" t="n">
        <x:v>2622.481</x:v>
      </x:c>
      <x:c r="I363" s="2" t="n">
        <x:v>1</x:v>
      </x:c>
      <x:c r="J363" s="2" t="n">
        <x:v>1</x:v>
      </x:c>
      <x:c r="K363" s="2" t="n">
        <x:v>4</x:v>
      </x:c>
      <x:c r="L363" s="2" t="str">
        <x:v>Hibernating</x:v>
      </x:c>
    </x:row>
    <x:row r="364" ht="22" customHeight="1">
      <x:c r="A364" s="2"/>
      <x:c r="B364" s="2" t="str">
        <x:v>12672</x:v>
      </x:c>
      <x:c r="C364" s="2" t="str">
        <x:v>France</x:v>
      </x:c>
      <x:c r="D364" s="25" t="n">
        <x:v>40291.20625</x:v>
      </x:c>
      <x:c r="E364" s="25" t="n">
        <x:v>40557.180555555555</x:v>
      </x:c>
      <x:c r="F364" s="2" t="n">
        <x:v>330</x:v>
      </x:c>
      <x:c r="G364" s="2" t="n">
        <x:v>2</x:v>
      </x:c>
      <x:c r="H364" s="11" t="n">
        <x:v>437.05</x:v>
      </x:c>
      <x:c r="I364" s="2" t="n">
        <x:v>2</x:v>
      </x:c>
      <x:c r="J364" s="2" t="n">
        <x:v>2</x:v>
      </x:c>
      <x:c r="K364" s="2" t="n">
        <x:v>2</x:v>
      </x:c>
      <x:c r="L364" s="2" t="str">
        <x:v>Hibernating</x:v>
      </x:c>
    </x:row>
    <x:row r="365" ht="22" customHeight="1">
      <x:c r="A365" s="2"/>
      <x:c r="B365" s="2" t="str">
        <x:v>12673</x:v>
      </x:c>
      <x:c r="C365" s="2" t="str">
        <x:v>Germany</x:v>
      </x:c>
      <x:c r="D365" s="25" t="n">
        <x:v>40485.240277777775</x:v>
      </x:c>
      <x:c r="E365" s="25" t="n">
        <x:v>40881.37152777778</x:v>
      </x:c>
      <x:c r="F365" s="2" t="n">
        <x:v>6</x:v>
      </x:c>
      <x:c r="G365" s="2" t="n">
        <x:v>3</x:v>
      </x:c>
      <x:c r="H365" s="11" t="n">
        <x:v>1230.02</x:v>
      </x:c>
      <x:c r="I365" s="2" t="n">
        <x:v>5</x:v>
      </x:c>
      <x:c r="J365" s="2" t="n">
        <x:v>3</x:v>
      </x:c>
      <x:c r="K365" s="2" t="n">
        <x:v>3</x:v>
      </x:c>
      <x:c r="L365" s="2" t="str">
        <x:v>Loyal</x:v>
      </x:c>
    </x:row>
    <x:row r="366" ht="22" customHeight="1">
      <x:c r="A366" s="2"/>
      <x:c r="B366" s="2" t="str">
        <x:v>12674</x:v>
      </x:c>
      <x:c r="C366" s="2" t="str">
        <x:v>France</x:v>
      </x:c>
      <x:c r="D366" s="25" t="n">
        <x:v>40679.17361111111</x:v>
      </x:c>
      <x:c r="E366" s="25" t="n">
        <x:v>40848.3</x:v>
      </x:c>
      <x:c r="F366" s="2" t="n">
        <x:v>39</x:v>
      </x:c>
      <x:c r="G366" s="2" t="n">
        <x:v>4</x:v>
      </x:c>
      <x:c r="H366" s="11" t="n">
        <x:v>1970.6</x:v>
      </x:c>
      <x:c r="I366" s="2" t="n">
        <x:v>4</x:v>
      </x:c>
      <x:c r="J366" s="2" t="n">
        <x:v>3</x:v>
      </x:c>
      <x:c r="K366" s="2" t="n">
        <x:v>4</x:v>
      </x:c>
      <x:c r="L366" s="2" t="str">
        <x:v>Loyal</x:v>
      </x:c>
    </x:row>
    <x:row r="367" ht="22" customHeight="1">
      <x:c r="A367" s="2"/>
      <x:c r="B367" s="2" t="str">
        <x:v>12675</x:v>
      </x:c>
      <x:c r="C367" s="2" t="str">
        <x:v>Italy</x:v>
      </x:c>
      <x:c r="D367" s="25" t="n">
        <x:v>40308.48888888889</x:v>
      </x:c>
      <x:c r="E367" s="25" t="n">
        <x:v>40333.200694444444</x:v>
      </x:c>
      <x:c r="F367" s="2" t="n">
        <x:v>554</x:v>
      </x:c>
      <x:c r="G367" s="2" t="n">
        <x:v>2</x:v>
      </x:c>
      <x:c r="H367" s="11" t="n">
        <x:v>958.5</x:v>
      </x:c>
      <x:c r="I367" s="2" t="n">
        <x:v>1</x:v>
      </x:c>
      <x:c r="J367" s="2" t="n">
        <x:v>2</x:v>
      </x:c>
      <x:c r="K367" s="2" t="n">
        <x:v>3</x:v>
      </x:c>
      <x:c r="L367" s="2" t="str">
        <x:v>Hibernating</x:v>
      </x:c>
    </x:row>
    <x:row r="368" ht="22" customHeight="1">
      <x:c r="A368" s="2"/>
      <x:c r="B368" s="2" t="str">
        <x:v>12676</x:v>
      </x:c>
      <x:c r="C368" s="2" t="str">
        <x:v>Sweden</x:v>
      </x:c>
      <x:c r="D368" s="25" t="n">
        <x:v>40403.353472222225</x:v>
      </x:c>
      <x:c r="E368" s="25" t="n">
        <x:v>40862.30902777778</x:v>
      </x:c>
      <x:c r="F368" s="2" t="n">
        <x:v>25</x:v>
      </x:c>
      <x:c r="G368" s="2" t="n">
        <x:v>11</x:v>
      </x:c>
      <x:c r="H368" s="11" t="n">
        <x:v>2843.09</x:v>
      </x:c>
      <x:c r="I368" s="2" t="n">
        <x:v>4</x:v>
      </x:c>
      <x:c r="J368" s="2" t="n">
        <x:v>5</x:v>
      </x:c>
      <x:c r="K368" s="2" t="n">
        <x:v>4</x:v>
      </x:c>
      <x:c r="L368" s="2" t="str">
        <x:v>Champions</x:v>
      </x:c>
    </x:row>
    <x:row r="369" ht="22" customHeight="1">
      <x:c r="A369" s="2"/>
      <x:c r="B369" s="2" t="str">
        <x:v>12677</x:v>
      </x:c>
      <x:c r="C369" s="2" t="str">
        <x:v>France</x:v>
      </x:c>
      <x:c r="D369" s="25" t="n">
        <x:v>40220.37152777778</x:v>
      </x:c>
      <x:c r="E369" s="25" t="n">
        <x:v>40331.395833333336</x:v>
      </x:c>
      <x:c r="F369" s="2" t="n">
        <x:v>556</x:v>
      </x:c>
      <x:c r="G369" s="2" t="n">
        <x:v>2</x:v>
      </x:c>
      <x:c r="H369" s="11" t="n">
        <x:v>395.1</x:v>
      </x:c>
      <x:c r="I369" s="2" t="n">
        <x:v>1</x:v>
      </x:c>
      <x:c r="J369" s="2" t="n">
        <x:v>2</x:v>
      </x:c>
      <x:c r="K369" s="2" t="n">
        <x:v>2</x:v>
      </x:c>
      <x:c r="L369" s="2" t="str">
        <x:v>Hibernating</x:v>
      </x:c>
    </x:row>
    <x:row r="370" ht="22" customHeight="1">
      <x:c r="A370" s="2"/>
      <x:c r="B370" s="2" t="str">
        <x:v>12678</x:v>
      </x:c>
      <x:c r="C370" s="2" t="str">
        <x:v>France</x:v>
      </x:c>
      <x:c r="D370" s="25" t="n">
        <x:v>40185.490277777775</x:v>
      </x:c>
      <x:c r="E370" s="25" t="n">
        <x:v>40844.33611111111</x:v>
      </x:c>
      <x:c r="F370" s="2" t="n">
        <x:v>43</x:v>
      </x:c>
      <x:c r="G370" s="2" t="n">
        <x:v>21</x:v>
      </x:c>
      <x:c r="H370" s="11" t="n">
        <x:v>34281.18</x:v>
      </x:c>
      <x:c r="I370" s="2" t="n">
        <x:v>4</x:v>
      </x:c>
      <x:c r="J370" s="2" t="n">
        <x:v>5</x:v>
      </x:c>
      <x:c r="K370" s="2" t="n">
        <x:v>5</x:v>
      </x:c>
      <x:c r="L370" s="2" t="str">
        <x:v>Champions</x:v>
      </x:c>
    </x:row>
    <x:row r="371" ht="22" customHeight="1">
      <x:c r="A371" s="2"/>
      <x:c r="B371" s="2" t="str">
        <x:v>12679</x:v>
      </x:c>
      <x:c r="C371" s="2" t="str">
        <x:v>France</x:v>
      </x:c>
      <x:c r="D371" s="25" t="n">
        <x:v>40603.30972222222</x:v>
      </x:c>
      <x:c r="E371" s="25" t="n">
        <x:v>40828.3125</x:v>
      </x:c>
      <x:c r="F371" s="2" t="n">
        <x:v>59</x:v>
      </x:c>
      <x:c r="G371" s="2" t="n">
        <x:v>4</x:v>
      </x:c>
      <x:c r="H371" s="11" t="n">
        <x:v>1113.02</x:v>
      </x:c>
      <x:c r="I371" s="2" t="n">
        <x:v>4</x:v>
      </x:c>
      <x:c r="J371" s="2" t="n">
        <x:v>3</x:v>
      </x:c>
      <x:c r="K371" s="2" t="n">
        <x:v>3</x:v>
      </x:c>
      <x:c r="L371" s="2" t="str">
        <x:v>Loyal</x:v>
      </x:c>
    </x:row>
    <x:row r="372" ht="22" customHeight="1">
      <x:c r="A372" s="2"/>
      <x:c r="B372" s="2" t="str">
        <x:v>12680</x:v>
      </x:c>
      <x:c r="C372" s="2" t="str">
        <x:v>France</x:v>
      </x:c>
      <x:c r="D372" s="25" t="n">
        <x:v>40773.447222222225</x:v>
      </x:c>
      <x:c r="E372" s="25" t="n">
        <x:v>40886.32638888889</x:v>
      </x:c>
      <x:c r="F372" s="2" t="n">
        <x:v>1</x:v>
      </x:c>
      <x:c r="G372" s="2" t="n">
        <x:v>4</x:v>
      </x:c>
      <x:c r="H372" s="11" t="n">
        <x:v>880.81</x:v>
      </x:c>
      <x:c r="I372" s="2" t="n">
        <x:v>5</x:v>
      </x:c>
      <x:c r="J372" s="2" t="n">
        <x:v>3</x:v>
      </x:c>
      <x:c r="K372" s="2" t="n">
        <x:v>3</x:v>
      </x:c>
      <x:c r="L372" s="2" t="str">
        <x:v>Loyal</x:v>
      </x:c>
    </x:row>
    <x:row r="373" ht="22" customHeight="1">
      <x:c r="A373" s="2"/>
      <x:c r="B373" s="2" t="str">
        <x:v>12681</x:v>
      </x:c>
      <x:c r="C373" s="2" t="str">
        <x:v>France</x:v>
      </x:c>
      <x:c r="D373" s="25" t="n">
        <x:v>40160.35486111111</x:v>
      </x:c>
      <x:c r="E373" s="25" t="n">
        <x:v>40872.27291666667</x:v>
      </x:c>
      <x:c r="F373" s="2" t="n">
        <x:v>15</x:v>
      </x:c>
      <x:c r="G373" s="2" t="n">
        <x:v>45</x:v>
      </x:c>
      <x:c r="H373" s="11" t="n">
        <x:v>29834.76</x:v>
      </x:c>
      <x:c r="I373" s="2" t="n">
        <x:v>5</x:v>
      </x:c>
      <x:c r="J373" s="2" t="n">
        <x:v>5</x:v>
      </x:c>
      <x:c r="K373" s="2" t="n">
        <x:v>5</x:v>
      </x:c>
      <x:c r="L373" s="2" t="str">
        <x:v>Champions</x:v>
      </x:c>
    </x:row>
    <x:row r="374" ht="22" customHeight="1">
      <x:c r="A374" s="2"/>
      <x:c r="B374" s="2" t="str">
        <x:v>12682</x:v>
      </x:c>
      <x:c r="C374" s="2" t="str">
        <x:v>France</x:v>
      </x:c>
      <x:c r="D374" s="25" t="n">
        <x:v>40148.186111111114</x:v>
      </x:c>
      <x:c r="E374" s="25" t="n">
        <x:v>40883.208333333336</x:v>
      </x:c>
      <x:c r="F374" s="2" t="n">
        <x:v>4</x:v>
      </x:c>
      <x:c r="G374" s="2" t="n">
        <x:v>52</x:v>
      </x:c>
      <x:c r="H374" s="11" t="n">
        <x:v>22958.62</x:v>
      </x:c>
      <x:c r="I374" s="2" t="n">
        <x:v>5</x:v>
      </x:c>
      <x:c r="J374" s="2" t="n">
        <x:v>5</x:v>
      </x:c>
      <x:c r="K374" s="2" t="n">
        <x:v>5</x:v>
      </x:c>
      <x:c r="L374" s="2" t="str">
        <x:v>Champions</x:v>
      </x:c>
    </x:row>
    <x:row r="375" ht="22" customHeight="1">
      <x:c r="A375" s="2"/>
      <x:c r="B375" s="2" t="str">
        <x:v>12683</x:v>
      </x:c>
      <x:c r="C375" s="2" t="str">
        <x:v>France</x:v>
      </x:c>
      <x:c r="D375" s="25" t="n">
        <x:v>40160.41736111111</x:v>
      </x:c>
      <x:c r="E375" s="25" t="n">
        <x:v>40882.47986111111</x:v>
      </x:c>
      <x:c r="F375" s="2" t="n">
        <x:v>5</x:v>
      </x:c>
      <x:c r="G375" s="2" t="n">
        <x:v>21</x:v>
      </x:c>
      <x:c r="H375" s="11" t="n">
        <x:v>11633.7</x:v>
      </x:c>
      <x:c r="I375" s="2" t="n">
        <x:v>5</x:v>
      </x:c>
      <x:c r="J375" s="2" t="n">
        <x:v>5</x:v>
      </x:c>
      <x:c r="K375" s="2" t="n">
        <x:v>5</x:v>
      </x:c>
      <x:c r="L375" s="2" t="str">
        <x:v>Champions</x:v>
      </x:c>
    </x:row>
    <x:row r="376" ht="22" customHeight="1">
      <x:c r="A376" s="2"/>
      <x:c r="B376" s="2" t="str">
        <x:v>12684</x:v>
      </x:c>
      <x:c r="C376" s="2" t="str">
        <x:v>France</x:v>
      </x:c>
      <x:c r="D376" s="25" t="n">
        <x:v>40673.32986111111</x:v>
      </x:c>
      <x:c r="E376" s="25" t="n">
        <x:v>40879.20347222222</x:v>
      </x:c>
      <x:c r="F376" s="2" t="n">
        <x:v>8</x:v>
      </x:c>
      <x:c r="G376" s="2" t="n">
        <x:v>7</x:v>
      </x:c>
      <x:c r="H376" s="11" t="n">
        <x:v>2283.63</x:v>
      </x:c>
      <x:c r="I376" s="2" t="n">
        <x:v>5</x:v>
      </x:c>
      <x:c r="J376" s="2" t="n">
        <x:v>4</x:v>
      </x:c>
      <x:c r="K376" s="2" t="n">
        <x:v>4</x:v>
      </x:c>
      <x:c r="L376" s="2" t="str">
        <x:v>Champions</x:v>
      </x:c>
    </x:row>
    <x:row r="377" ht="22" customHeight="1">
      <x:c r="A377" s="2"/>
      <x:c r="B377" s="2" t="str">
        <x:v>12685</x:v>
      </x:c>
      <x:c r="C377" s="2" t="str">
        <x:v>France</x:v>
      </x:c>
      <x:c r="D377" s="25" t="n">
        <x:v>40793.22777777778</x:v>
      </x:c>
      <x:c r="E377" s="25" t="n">
        <x:v>40858.365277777775</x:v>
      </x:c>
      <x:c r="F377" s="2" t="n">
        <x:v>29</x:v>
      </x:c>
      <x:c r="G377" s="2" t="n">
        <x:v>6</x:v>
      </x:c>
      <x:c r="H377" s="11" t="n">
        <x:v>2863.08</x:v>
      </x:c>
      <x:c r="I377" s="2" t="n">
        <x:v>4</x:v>
      </x:c>
      <x:c r="J377" s="2" t="n">
        <x:v>4</x:v>
      </x:c>
      <x:c r="K377" s="2" t="n">
        <x:v>4</x:v>
      </x:c>
      <x:c r="L377" s="2" t="str">
        <x:v>Champions</x:v>
      </x:c>
    </x:row>
    <x:row r="378" ht="22" customHeight="1">
      <x:c r="A378" s="2"/>
      <x:c r="B378" s="2" t="str">
        <x:v>12686</x:v>
      </x:c>
      <x:c r="C378" s="2" t="str">
        <x:v>France</x:v>
      </x:c>
      <x:c r="D378" s="25" t="n">
        <x:v>40515.20208333333</x:v>
      </x:c>
      <x:c r="E378" s="25" t="n">
        <x:v>40515.20208333333</x:v>
      </x:c>
      <x:c r="F378" s="2" t="n">
        <x:v>372</x:v>
      </x:c>
      <x:c r="G378" s="2" t="n">
        <x:v>1</x:v>
      </x:c>
      <x:c r="H378" s="11" t="n">
        <x:v>89.14</x:v>
      </x:c>
      <x:c r="I378" s="2" t="n">
        <x:v>2</x:v>
      </x:c>
      <x:c r="J378" s="2" t="n">
        <x:v>1</x:v>
      </x:c>
      <x:c r="K378" s="2" t="n">
        <x:v>1</x:v>
      </x:c>
      <x:c r="L378" s="2" t="str">
        <x:v>Hibernating</x:v>
      </x:c>
    </x:row>
    <x:row r="379" ht="22" customHeight="1">
      <x:c r="A379" s="2"/>
      <x:c r="B379" s="2" t="str">
        <x:v>12687</x:v>
      </x:c>
      <x:c r="C379" s="2" t="str">
        <x:v>Sweden</x:v>
      </x:c>
      <x:c r="D379" s="25" t="n">
        <x:v>40406.29861111111</x:v>
      </x:c>
      <x:c r="E379" s="25" t="n">
        <x:v>40406.3</x:v>
      </x:c>
      <x:c r="F379" s="2" t="n">
        <x:v>481</x:v>
      </x:c>
      <x:c r="G379" s="2" t="n">
        <x:v>2</x:v>
      </x:c>
      <x:c r="H379" s="11" t="n">
        <x:v>2138.91</x:v>
      </x:c>
      <x:c r="I379" s="2" t="n">
        <x:v>1</x:v>
      </x:c>
      <x:c r="J379" s="2" t="n">
        <x:v>2</x:v>
      </x:c>
      <x:c r="K379" s="2" t="n">
        <x:v>4</x:v>
      </x:c>
      <x:c r="L379" s="2" t="str">
        <x:v>Hibernating</x:v>
      </x:c>
    </x:row>
    <x:row r="380" ht="22" customHeight="1">
      <x:c r="A380" s="2"/>
      <x:c r="B380" s="2" t="str">
        <x:v>12688</x:v>
      </x:c>
      <x:c r="C380" s="2" t="str">
        <x:v>Israel</x:v>
      </x:c>
      <x:c r="D380" s="25" t="n">
        <x:v>40773.15902777778</x:v>
      </x:c>
      <x:c r="E380" s="25" t="n">
        <x:v>40773.15902777778</x:v>
      </x:c>
      <x:c r="F380" s="2" t="n">
        <x:v>114</x:v>
      </x:c>
      <x:c r="G380" s="2" t="n">
        <x:v>1</x:v>
      </x:c>
      <x:c r="H380" s="11" t="n">
        <x:v>4873.81</x:v>
      </x:c>
      <x:c r="I380" s="2" t="n">
        <x:v>3</x:v>
      </x:c>
      <x:c r="J380" s="2" t="n">
        <x:v>1</x:v>
      </x:c>
      <x:c r="K380" s="2" t="n">
        <x:v>5</x:v>
      </x:c>
      <x:c r="L380" s="2" t="str">
        <x:v>Developing</x:v>
      </x:c>
    </x:row>
    <x:row r="381" ht="22" customHeight="1">
      <x:c r="A381" s="2"/>
      <x:c r="B381" s="2" t="str">
        <x:v>12689</x:v>
      </x:c>
      <x:c r="C381" s="2" t="str">
        <x:v>France</x:v>
      </x:c>
      <x:c r="D381" s="25" t="n">
        <x:v>40759.21111111111</x:v>
      </x:c>
      <x:c r="E381" s="25" t="n">
        <x:v>40861.146527777775</x:v>
      </x:c>
      <x:c r="F381" s="2" t="n">
        <x:v>26</x:v>
      </x:c>
      <x:c r="G381" s="2" t="n">
        <x:v>2</x:v>
      </x:c>
      <x:c r="H381" s="11" t="n">
        <x:v>1247.61</x:v>
      </x:c>
      <x:c r="I381" s="2" t="n">
        <x:v>4</x:v>
      </x:c>
      <x:c r="J381" s="2" t="n">
        <x:v>2</x:v>
      </x:c>
      <x:c r="K381" s="2" t="n">
        <x:v>4</x:v>
      </x:c>
      <x:c r="L381" s="2" t="str">
        <x:v>Recent light buyers</x:v>
      </x:c>
    </x:row>
    <x:row r="382" ht="22" customHeight="1">
      <x:c r="A382" s="2"/>
      <x:c r="B382" s="2" t="str">
        <x:v>12690</x:v>
      </x:c>
      <x:c r="C382" s="2" t="str">
        <x:v>France</x:v>
      </x:c>
      <x:c r="D382" s="25" t="n">
        <x:v>40681.17291666667</x:v>
      </x:c>
      <x:c r="E382" s="25" t="n">
        <x:v>40681.17291666667</x:v>
      </x:c>
      <x:c r="F382" s="2" t="n">
        <x:v>206</x:v>
      </x:c>
      <x:c r="G382" s="2" t="n">
        <x:v>1</x:v>
      </x:c>
      <x:c r="H382" s="11" t="n">
        <x:v>389.01</x:v>
      </x:c>
      <x:c r="I382" s="2" t="n">
        <x:v>2</x:v>
      </x:c>
      <x:c r="J382" s="2" t="n">
        <x:v>1</x:v>
      </x:c>
      <x:c r="K382" s="2" t="n">
        <x:v>2</x:v>
      </x:c>
      <x:c r="L382" s="2" t="str">
        <x:v>Hibernating</x:v>
      </x:c>
    </x:row>
    <x:row r="383" ht="22" customHeight="1">
      <x:c r="A383" s="2"/>
      <x:c r="B383" s="2" t="str">
        <x:v>12691</x:v>
      </x:c>
      <x:c r="C383" s="2" t="str">
        <x:v>France</x:v>
      </x:c>
      <x:c r="D383" s="25" t="n">
        <x:v>40466.291666666664</x:v>
      </x:c>
      <x:c r="E383" s="25" t="n">
        <x:v>40858.49236111111</x:v>
      </x:c>
      <x:c r="F383" s="2" t="n">
        <x:v>29</x:v>
      </x:c>
      <x:c r="G383" s="2" t="n">
        <x:v>7</x:v>
      </x:c>
      <x:c r="H383" s="11" t="n">
        <x:v>1170.4</x:v>
      </x:c>
      <x:c r="I383" s="2" t="n">
        <x:v>4</x:v>
      </x:c>
      <x:c r="J383" s="2" t="n">
        <x:v>4</x:v>
      </x:c>
      <x:c r="K383" s="2" t="n">
        <x:v>3</x:v>
      </x:c>
      <x:c r="L383" s="2" t="str">
        <x:v>Loyal</x:v>
      </x:c>
    </x:row>
    <x:row r="384" ht="22" customHeight="1">
      <x:c r="A384" s="2"/>
      <x:c r="B384" s="2" t="str">
        <x:v>12692</x:v>
      </x:c>
      <x:c r="C384" s="2" t="str">
        <x:v>France</x:v>
      </x:c>
      <x:c r="D384" s="25" t="n">
        <x:v>40249.376388888886</x:v>
      </x:c>
      <x:c r="E384" s="25" t="n">
        <x:v>40249.376388888886</x:v>
      </x:c>
      <x:c r="F384" s="2" t="n">
        <x:v>638</x:v>
      </x:c>
      <x:c r="G384" s="2" t="n">
        <x:v>1</x:v>
      </x:c>
      <x:c r="H384" s="11" t="n">
        <x:v>110.95</x:v>
      </x:c>
      <x:c r="I384" s="2" t="n">
        <x:v>1</x:v>
      </x:c>
      <x:c r="J384" s="2" t="n">
        <x:v>1</x:v>
      </x:c>
      <x:c r="K384" s="2" t="n">
        <x:v>1</x:v>
      </x:c>
      <x:c r="L384" s="2" t="str">
        <x:v>Hibernating</x:v>
      </x:c>
    </x:row>
    <x:row r="385" ht="22" customHeight="1">
      <x:c r="A385" s="2"/>
      <x:c r="B385" s="2" t="str">
        <x:v>12693</x:v>
      </x:c>
      <x:c r="C385" s="2" t="str">
        <x:v>Germany</x:v>
      </x:c>
      <x:c r="D385" s="25" t="n">
        <x:v>40364.37222222222</x:v>
      </x:c>
      <x:c r="E385" s="25" t="n">
        <x:v>40759.535416666666</x:v>
      </x:c>
      <x:c r="F385" s="2" t="n">
        <x:v>128</x:v>
      </x:c>
      <x:c r="G385" s="2" t="n">
        <x:v>7</x:v>
      </x:c>
      <x:c r="H385" s="11" t="n">
        <x:v>1703.02</x:v>
      </x:c>
      <x:c r="I385" s="2" t="n">
        <x:v>3</x:v>
      </x:c>
      <x:c r="J385" s="2" t="n">
        <x:v>4</x:v>
      </x:c>
      <x:c r="K385" s="2" t="n">
        <x:v>4</x:v>
      </x:c>
      <x:c r="L385" s="2" t="str">
        <x:v>Loyal</x:v>
      </x:c>
    </x:row>
    <x:row r="386" ht="22" customHeight="1">
      <x:c r="A386" s="2"/>
      <x:c r="B386" s="2" t="str">
        <x:v>12694</x:v>
      </x:c>
      <x:c r="C386" s="2" t="str">
        <x:v>France</x:v>
      </x:c>
      <x:c r="D386" s="25" t="n">
        <x:v>40465.61041666667</x:v>
      </x:c>
      <x:c r="E386" s="25" t="n">
        <x:v>40816.3375</x:v>
      </x:c>
      <x:c r="F386" s="2" t="n">
        <x:v>71</x:v>
      </x:c>
      <x:c r="G386" s="2" t="n">
        <x:v>3</x:v>
      </x:c>
      <x:c r="H386" s="11" t="n">
        <x:v>1843.35</x:v>
      </x:c>
      <x:c r="I386" s="2" t="n">
        <x:v>3</x:v>
      </x:c>
      <x:c r="J386" s="2" t="n">
        <x:v>3</x:v>
      </x:c>
      <x:c r="K386" s="2" t="n">
        <x:v>4</x:v>
      </x:c>
      <x:c r="L386" s="2" t="str">
        <x:v>Loyal</x:v>
      </x:c>
    </x:row>
    <x:row r="387" ht="22" customHeight="1">
      <x:c r="A387" s="2"/>
      <x:c r="B387" s="2" t="str">
        <x:v>12695</x:v>
      </x:c>
      <x:c r="C387" s="2" t="str">
        <x:v>France</x:v>
      </x:c>
      <x:c r="D387" s="25" t="n">
        <x:v>40221.34861111111</x:v>
      </x:c>
      <x:c r="E387" s="25" t="n">
        <x:v>40879.34861111111</x:v>
      </x:c>
      <x:c r="F387" s="2" t="n">
        <x:v>8</x:v>
      </x:c>
      <x:c r="G387" s="2" t="n">
        <x:v>7</x:v>
      </x:c>
      <x:c r="H387" s="11" t="n">
        <x:v>1407.12</x:v>
      </x:c>
      <x:c r="I387" s="2" t="n">
        <x:v>5</x:v>
      </x:c>
      <x:c r="J387" s="2" t="n">
        <x:v>4</x:v>
      </x:c>
      <x:c r="K387" s="2" t="n">
        <x:v>4</x:v>
      </x:c>
      <x:c r="L387" s="2" t="str">
        <x:v>Champions</x:v>
      </x:c>
    </x:row>
    <x:row r="388" ht="22" customHeight="1">
      <x:c r="A388" s="2"/>
      <x:c r="B388" s="2" t="str">
        <x:v>12696</x:v>
      </x:c>
      <x:c r="C388" s="2" t="str">
        <x:v>Finland</x:v>
      </x:c>
      <x:c r="D388" s="25" t="n">
        <x:v>40378.20972222222</x:v>
      </x:c>
      <x:c r="E388" s="25" t="n">
        <x:v>40452.23819444444</x:v>
      </x:c>
      <x:c r="F388" s="2" t="n">
        <x:v>435</x:v>
      </x:c>
      <x:c r="G388" s="2" t="n">
        <x:v>2</x:v>
      </x:c>
      <x:c r="H388" s="11" t="n">
        <x:v>851.91</x:v>
      </x:c>
      <x:c r="I388" s="2" t="n">
        <x:v>1</x:v>
      </x:c>
      <x:c r="J388" s="2" t="n">
        <x:v>2</x:v>
      </x:c>
      <x:c r="K388" s="2" t="n">
        <x:v>3</x:v>
      </x:c>
      <x:c r="L388" s="2" t="str">
        <x:v>Hibernating</x:v>
      </x:c>
    </x:row>
    <x:row r="389" ht="22" customHeight="1">
      <x:c r="A389" s="2"/>
      <x:c r="B389" s="2" t="str">
        <x:v>12697</x:v>
      </x:c>
      <x:c r="C389" s="2" t="str">
        <x:v>Sweden</x:v>
      </x:c>
      <x:c r="D389" s="25" t="n">
        <x:v>40717.447222222225</x:v>
      </x:c>
      <x:c r="E389" s="25" t="n">
        <x:v>40858.157638888886</x:v>
      </x:c>
      <x:c r="F389" s="2" t="n">
        <x:v>29</x:v>
      </x:c>
      <x:c r="G389" s="2" t="n">
        <x:v>3</x:v>
      </x:c>
      <x:c r="H389" s="11" t="n">
        <x:v>957.59</x:v>
      </x:c>
      <x:c r="I389" s="2" t="n">
        <x:v>4</x:v>
      </x:c>
      <x:c r="J389" s="2" t="n">
        <x:v>3</x:v>
      </x:c>
      <x:c r="K389" s="2" t="n">
        <x:v>3</x:v>
      </x:c>
      <x:c r="L389" s="2" t="str">
        <x:v>Loyal</x:v>
      </x:c>
    </x:row>
    <x:row r="390" ht="22" customHeight="1">
      <x:c r="A390" s="2"/>
      <x:c r="B390" s="2" t="str">
        <x:v>12698</x:v>
      </x:c>
      <x:c r="C390" s="2" t="str">
        <x:v>Germany</x:v>
      </x:c>
      <x:c r="D390" s="25" t="n">
        <x:v>40296.45208333333</x:v>
      </x:c>
      <x:c r="E390" s="25" t="n">
        <x:v>40296.45208333333</x:v>
      </x:c>
      <x:c r="F390" s="2" t="n">
        <x:v>591</x:v>
      </x:c>
      <x:c r="G390" s="2" t="n">
        <x:v>1</x:v>
      </x:c>
      <x:c r="H390" s="11" t="n">
        <x:v>339.75</x:v>
      </x:c>
      <x:c r="I390" s="2" t="n">
        <x:v>1</x:v>
      </x:c>
      <x:c r="J390" s="2" t="n">
        <x:v>1</x:v>
      </x:c>
      <x:c r="K390" s="2" t="n">
        <x:v>2</x:v>
      </x:c>
      <x:c r="L390" s="2" t="str">
        <x:v>Hibernating</x:v>
      </x:c>
    </x:row>
    <x:row r="391" ht="22" customHeight="1">
      <x:c r="A391" s="2"/>
      <x:c r="B391" s="2" t="str">
        <x:v>12699</x:v>
      </x:c>
      <x:c r="C391" s="2" t="str">
        <x:v>Germany</x:v>
      </x:c>
      <x:c r="D391" s="25" t="n">
        <x:v>40469.29652777778</x:v>
      </x:c>
      <x:c r="E391" s="25" t="n">
        <x:v>40469.29652777778</x:v>
      </x:c>
      <x:c r="F391" s="2" t="n">
        <x:v>418</x:v>
      </x:c>
      <x:c r="G391" s="2" t="n">
        <x:v>1</x:v>
      </x:c>
      <x:c r="H391" s="11" t="n">
        <x:v>638.11</x:v>
      </x:c>
      <x:c r="I391" s="2" t="n">
        <x:v>1</x:v>
      </x:c>
      <x:c r="J391" s="2" t="n">
        <x:v>1</x:v>
      </x:c>
      <x:c r="K391" s="2" t="n">
        <x:v>3</x:v>
      </x:c>
      <x:c r="L391" s="2" t="str">
        <x:v>Hibernating</x:v>
      </x:c>
    </x:row>
    <x:row r="392" ht="22" customHeight="1">
      <x:c r="A392" s="2"/>
      <x:c r="B392" s="2" t="str">
        <x:v>12700</x:v>
      </x:c>
      <x:c r="C392" s="2" t="str">
        <x:v>France</x:v>
      </x:c>
      <x:c r="D392" s="25" t="n">
        <x:v>40671.46527777778</x:v>
      </x:c>
      <x:c r="E392" s="25" t="n">
        <x:v>40879.24097222222</x:v>
      </x:c>
      <x:c r="F392" s="2" t="n">
        <x:v>8</x:v>
      </x:c>
      <x:c r="G392" s="2" t="n">
        <x:v>4</x:v>
      </x:c>
      <x:c r="H392" s="11" t="n">
        <x:v>4939.99</x:v>
      </x:c>
      <x:c r="I392" s="2" t="n">
        <x:v>5</x:v>
      </x:c>
      <x:c r="J392" s="2" t="n">
        <x:v>3</x:v>
      </x:c>
      <x:c r="K392" s="2" t="n">
        <x:v>5</x:v>
      </x:c>
      <x:c r="L392" s="2" t="str">
        <x:v>Loyal</x:v>
      </x:c>
    </x:row>
    <x:row r="393" ht="22" customHeight="1">
      <x:c r="A393" s="2"/>
      <x:c r="B393" s="2" t="str">
        <x:v>12701</x:v>
      </x:c>
      <x:c r="C393" s="2" t="str">
        <x:v>Germany</x:v>
      </x:c>
      <x:c r="D393" s="25" t="n">
        <x:v>40253.34930555556</x:v>
      </x:c>
      <x:c r="E393" s="25" t="n">
        <x:v>40807.24097222222</x:v>
      </x:c>
      <x:c r="F393" s="2" t="n">
        <x:v>80</x:v>
      </x:c>
      <x:c r="G393" s="2" t="n">
        <x:v>6</x:v>
      </x:c>
      <x:c r="H393" s="11" t="n">
        <x:v>2446.41</x:v>
      </x:c>
      <x:c r="I393" s="2" t="n">
        <x:v>3</x:v>
      </x:c>
      <x:c r="J393" s="2" t="n">
        <x:v>4</x:v>
      </x:c>
      <x:c r="K393" s="2" t="n">
        <x:v>4</x:v>
      </x:c>
      <x:c r="L393" s="2" t="str">
        <x:v>Loyal</x:v>
      </x:c>
    </x:row>
    <x:row r="394" ht="22" customHeight="1">
      <x:c r="A394" s="2"/>
      <x:c r="B394" s="2" t="str">
        <x:v>12702</x:v>
      </x:c>
      <x:c r="C394" s="2" t="str">
        <x:v>Germany</x:v>
      </x:c>
      <x:c r="D394" s="25" t="n">
        <x:v>40867.23333333333</x:v>
      </x:c>
      <x:c r="E394" s="25" t="n">
        <x:v>40867.23333333333</x:v>
      </x:c>
      <x:c r="F394" s="2" t="n">
        <x:v>20</x:v>
      </x:c>
      <x:c r="G394" s="2" t="n">
        <x:v>1</x:v>
      </x:c>
      <x:c r="H394" s="11" t="n">
        <x:v>219</x:v>
      </x:c>
      <x:c r="I394" s="2" t="n">
        <x:v>5</x:v>
      </x:c>
      <x:c r="J394" s="2" t="n">
        <x:v>1</x:v>
      </x:c>
      <x:c r="K394" s="2" t="n">
        <x:v>1</x:v>
      </x:c>
      <x:c r="L394" s="2" t="str">
        <x:v>Recent light buyers</x:v>
      </x:c>
    </x:row>
    <x:row r="395" ht="22" customHeight="1">
      <x:c r="A395" s="2"/>
      <x:c r="B395" s="2" t="str">
        <x:v>12703</x:v>
      </x:c>
      <x:c r="C395" s="2" t="str">
        <x:v>Germany</x:v>
      </x:c>
      <x:c r="D395" s="25" t="n">
        <x:v>40202.29513888889</x:v>
      </x:c>
      <x:c r="E395" s="25" t="n">
        <x:v>40815.53611111111</x:v>
      </x:c>
      <x:c r="F395" s="2" t="n">
        <x:v>72</x:v>
      </x:c>
      <x:c r="G395" s="2" t="n">
        <x:v>4</x:v>
      </x:c>
      <x:c r="H395" s="11" t="n">
        <x:v>1006.53</x:v>
      </x:c>
      <x:c r="I395" s="2" t="n">
        <x:v>3</x:v>
      </x:c>
      <x:c r="J395" s="2" t="n">
        <x:v>3</x:v>
      </x:c>
      <x:c r="K395" s="2" t="n">
        <x:v>3</x:v>
      </x:c>
      <x:c r="L395" s="2" t="str">
        <x:v>Loyal</x:v>
      </x:c>
    </x:row>
    <x:row r="396" ht="22" customHeight="1">
      <x:c r="A396" s="2"/>
      <x:c r="B396" s="2" t="str">
        <x:v>12704</x:v>
      </x:c>
      <x:c r="C396" s="2" t="str">
        <x:v>Finland</x:v>
      </x:c>
      <x:c r="D396" s="25" t="n">
        <x:v>40717.22222222222</x:v>
      </x:c>
      <x:c r="E396" s="25" t="n">
        <x:v>40879.34375</x:v>
      </x:c>
      <x:c r="F396" s="2" t="n">
        <x:v>8</x:v>
      </x:c>
      <x:c r="G396" s="2" t="n">
        <x:v>8</x:v>
      </x:c>
      <x:c r="H396" s="11" t="n">
        <x:v>2340.84</x:v>
      </x:c>
      <x:c r="I396" s="2" t="n">
        <x:v>5</x:v>
      </x:c>
      <x:c r="J396" s="2" t="n">
        <x:v>4</x:v>
      </x:c>
      <x:c r="K396" s="2" t="n">
        <x:v>4</x:v>
      </x:c>
      <x:c r="L396" s="2" t="str">
        <x:v>Champions</x:v>
      </x:c>
    </x:row>
    <x:row r="397" ht="22" customHeight="1">
      <x:c r="A397" s="2"/>
      <x:c r="B397" s="2" t="str">
        <x:v>12705</x:v>
      </x:c>
      <x:c r="C397" s="2" t="str">
        <x:v>Germany</x:v>
      </x:c>
      <x:c r="D397" s="25" t="n">
        <x:v>40353.20208333333</x:v>
      </x:c>
      <x:c r="E397" s="25" t="n">
        <x:v>40871.345138888886</x:v>
      </x:c>
      <x:c r="F397" s="2" t="n">
        <x:v>16</x:v>
      </x:c>
      <x:c r="G397" s="2" t="n">
        <x:v>14</x:v>
      </x:c>
      <x:c r="H397" s="11" t="n">
        <x:v>11762.1</x:v>
      </x:c>
      <x:c r="I397" s="2" t="n">
        <x:v>5</x:v>
      </x:c>
      <x:c r="J397" s="2" t="n">
        <x:v>5</x:v>
      </x:c>
      <x:c r="K397" s="2" t="n">
        <x:v>5</x:v>
      </x:c>
      <x:c r="L397" s="2" t="str">
        <x:v>Champions</x:v>
      </x:c>
    </x:row>
    <x:row r="398" ht="22" customHeight="1">
      <x:c r="A398" s="2"/>
      <x:c r="B398" s="2" t="str">
        <x:v>12707</x:v>
      </x:c>
      <x:c r="C398" s="2" t="str">
        <x:v>France</x:v>
      </x:c>
      <x:c r="D398" s="25" t="n">
        <x:v>40595.15138888889</x:v>
      </x:c>
      <x:c r="E398" s="25" t="n">
        <x:v>40595.15138888889</x:v>
      </x:c>
      <x:c r="F398" s="2" t="n">
        <x:v>292</x:v>
      </x:c>
      <x:c r="G398" s="2" t="n">
        <x:v>1</x:v>
      </x:c>
      <x:c r="H398" s="11" t="n">
        <x:v>603.42</x:v>
      </x:c>
      <x:c r="I398" s="2" t="n">
        <x:v>2</x:v>
      </x:c>
      <x:c r="J398" s="2" t="n">
        <x:v>1</x:v>
      </x:c>
      <x:c r="K398" s="2" t="n">
        <x:v>2</x:v>
      </x:c>
      <x:c r="L398" s="2" t="str">
        <x:v>Hibernating</x:v>
      </x:c>
    </x:row>
    <x:row r="399" ht="22" customHeight="1">
      <x:c r="A399" s="2"/>
      <x:c r="B399" s="2" t="str">
        <x:v>12708</x:v>
      </x:c>
      <x:c r="C399" s="2" t="str">
        <x:v>Germany</x:v>
      </x:c>
      <x:c r="D399" s="25" t="n">
        <x:v>40165.225694444445</x:v>
      </x:c>
      <x:c r="E399" s="25" t="n">
        <x:v>40857.20277777778</x:v>
      </x:c>
      <x:c r="F399" s="2" t="n">
        <x:v>30</x:v>
      </x:c>
      <x:c r="G399" s="2" t="n">
        <x:v>18</x:v>
      </x:c>
      <x:c r="H399" s="11" t="n">
        <x:v>5117.66</x:v>
      </x:c>
      <x:c r="I399" s="2" t="n">
        <x:v>4</x:v>
      </x:c>
      <x:c r="J399" s="2" t="n">
        <x:v>5</x:v>
      </x:c>
      <x:c r="K399" s="2" t="n">
        <x:v>5</x:v>
      </x:c>
      <x:c r="L399" s="2" t="str">
        <x:v>Champions</x:v>
      </x:c>
    </x:row>
    <x:row r="400" ht="22" customHeight="1">
      <x:c r="A400" s="2"/>
      <x:c r="B400" s="2" t="str">
        <x:v>12709</x:v>
      </x:c>
      <x:c r="C400" s="2" t="str">
        <x:v>Germany</x:v>
      </x:c>
      <x:c r="D400" s="25" t="n">
        <x:v>40156.36736111111</x:v>
      </x:c>
      <x:c r="E400" s="25" t="n">
        <x:v>40871.44305555556</x:v>
      </x:c>
      <x:c r="F400" s="2" t="n">
        <x:v>16</x:v>
      </x:c>
      <x:c r="G400" s="2" t="n">
        <x:v>34</x:v>
      </x:c>
      <x:c r="H400" s="11" t="n">
        <x:v>30570.64</x:v>
      </x:c>
      <x:c r="I400" s="2" t="n">
        <x:v>5</x:v>
      </x:c>
      <x:c r="J400" s="2" t="n">
        <x:v>5</x:v>
      </x:c>
      <x:c r="K400" s="2" t="n">
        <x:v>5</x:v>
      </x:c>
      <x:c r="L400" s="2" t="str">
        <x:v>Champions</x:v>
      </x:c>
    </x:row>
    <x:row r="401" ht="22" customHeight="1">
      <x:c r="A401" s="2"/>
      <x:c r="B401" s="2" t="str">
        <x:v>12710</x:v>
      </x:c>
      <x:c r="C401" s="2" t="str">
        <x:v>Germany</x:v>
      </x:c>
      <x:c r="D401" s="25" t="n">
        <x:v>40685.37847222222</x:v>
      </x:c>
      <x:c r="E401" s="25" t="n">
        <x:v>40790.291666666664</x:v>
      </x:c>
      <x:c r="F401" s="2" t="n">
        <x:v>97</x:v>
      </x:c>
      <x:c r="G401" s="2" t="n">
        <x:v>3</x:v>
      </x:c>
      <x:c r="H401" s="11" t="n">
        <x:v>1149.02</x:v>
      </x:c>
      <x:c r="I401" s="2" t="n">
        <x:v>3</x:v>
      </x:c>
      <x:c r="J401" s="2" t="n">
        <x:v>3</x:v>
      </x:c>
      <x:c r="K401" s="2" t="n">
        <x:v>3</x:v>
      </x:c>
      <x:c r="L401" s="2" t="str">
        <x:v>Loyal</x:v>
      </x:c>
    </x:row>
    <x:row r="402" ht="22" customHeight="1">
      <x:c r="A402" s="2"/>
      <x:c r="B402" s="2" t="str">
        <x:v>12711</x:v>
      </x:c>
      <x:c r="C402" s="2" t="str">
        <x:v>Germany</x:v>
      </x:c>
      <x:c r="D402" s="25" t="n">
        <x:v>40210.270833333336</x:v>
      </x:c>
      <x:c r="E402" s="25" t="n">
        <x:v>40275.290972222225</x:v>
      </x:c>
      <x:c r="F402" s="2" t="n">
        <x:v>612</x:v>
      </x:c>
      <x:c r="G402" s="2" t="n">
        <x:v>2</x:v>
      </x:c>
      <x:c r="H402" s="11" t="n">
        <x:v>1339.05</x:v>
      </x:c>
      <x:c r="I402" s="2" t="n">
        <x:v>1</x:v>
      </x:c>
      <x:c r="J402" s="2" t="n">
        <x:v>2</x:v>
      </x:c>
      <x:c r="K402" s="2" t="n">
        <x:v>4</x:v>
      </x:c>
      <x:c r="L402" s="2" t="str">
        <x:v>Hibernating</x:v>
      </x:c>
    </x:row>
    <x:row r="403" ht="22" customHeight="1">
      <x:c r="A403" s="2"/>
      <x:c r="B403" s="2" t="str">
        <x:v>12712</x:v>
      </x:c>
      <x:c r="C403" s="2" t="str">
        <x:v>Germany</x:v>
      </x:c>
      <x:c r="D403" s="25" t="n">
        <x:v>40156.240277777775</x:v>
      </x:c>
      <x:c r="E403" s="25" t="n">
        <x:v>40858.138194444444</x:v>
      </x:c>
      <x:c r="F403" s="2" t="n">
        <x:v>29</x:v>
      </x:c>
      <x:c r="G403" s="2" t="n">
        <x:v>21</x:v>
      </x:c>
      <x:c r="H403" s="11" t="n">
        <x:v>6723.03</x:v>
      </x:c>
      <x:c r="I403" s="2" t="n">
        <x:v>4</x:v>
      </x:c>
      <x:c r="J403" s="2" t="n">
        <x:v>5</x:v>
      </x:c>
      <x:c r="K403" s="2" t="n">
        <x:v>5</x:v>
      </x:c>
      <x:c r="L403" s="2" t="str">
        <x:v>Champions</x:v>
      </x:c>
    </x:row>
    <x:row r="404" ht="22" customHeight="1">
      <x:c r="A404" s="2"/>
      <x:c r="B404" s="2" t="str">
        <x:v>12713</x:v>
      </x:c>
      <x:c r="C404" s="2" t="str">
        <x:v>Germany</x:v>
      </x:c>
      <x:c r="D404" s="25" t="n">
        <x:v>40886.302777777775</x:v>
      </x:c>
      <x:c r="E404" s="25" t="n">
        <x:v>40886.302777777775</x:v>
      </x:c>
      <x:c r="F404" s="2" t="n">
        <x:v>1</x:v>
      </x:c>
      <x:c r="G404" s="2" t="n">
        <x:v>1</x:v>
      </x:c>
      <x:c r="H404" s="11" t="n">
        <x:v>848.55</x:v>
      </x:c>
      <x:c r="I404" s="2" t="n">
        <x:v>5</x:v>
      </x:c>
      <x:c r="J404" s="2" t="n">
        <x:v>1</x:v>
      </x:c>
      <x:c r="K404" s="2" t="n">
        <x:v>3</x:v>
      </x:c>
      <x:c r="L404" s="2" t="str">
        <x:v>Recent light buyers</x:v>
      </x:c>
    </x:row>
    <x:row r="405" ht="22" customHeight="1">
      <x:c r="A405" s="2"/>
      <x:c r="B405" s="2" t="str">
        <x:v>12714</x:v>
      </x:c>
      <x:c r="C405" s="2" t="str">
        <x:v>France</x:v>
      </x:c>
      <x:c r="D405" s="25" t="n">
        <x:v>40151.208333333336</x:v>
      </x:c>
      <x:c r="E405" s="25" t="n">
        <x:v>40877.44652777778</x:v>
      </x:c>
      <x:c r="F405" s="2" t="n">
        <x:v>10</x:v>
      </x:c>
      <x:c r="G405" s="2" t="n">
        <x:v>12</x:v>
      </x:c>
      <x:c r="H405" s="11" t="n">
        <x:v>14093.71</x:v>
      </x:c>
      <x:c r="I405" s="2" t="n">
        <x:v>5</x:v>
      </x:c>
      <x:c r="J405" s="2" t="n">
        <x:v>5</x:v>
      </x:c>
      <x:c r="K405" s="2" t="n">
        <x:v>5</x:v>
      </x:c>
      <x:c r="L405" s="2" t="str">
        <x:v>Champions</x:v>
      </x:c>
    </x:row>
    <x:row r="406" ht="22" customHeight="1">
      <x:c r="A406" s="2"/>
      <x:c r="B406" s="2" t="str">
        <x:v>12715</x:v>
      </x:c>
      <x:c r="C406" s="2" t="str">
        <x:v>Sweden</x:v>
      </x:c>
      <x:c r="D406" s="25" t="n">
        <x:v>40780.43194444444</x:v>
      </x:c>
      <x:c r="E406" s="25" t="n">
        <x:v>40780.43194444444</x:v>
      </x:c>
      <x:c r="F406" s="2" t="n">
        <x:v>107</x:v>
      </x:c>
      <x:c r="G406" s="2" t="n">
        <x:v>1</x:v>
      </x:c>
      <x:c r="H406" s="11" t="n">
        <x:v>353.86</x:v>
      </x:c>
      <x:c r="I406" s="2" t="n">
        <x:v>3</x:v>
      </x:c>
      <x:c r="J406" s="2" t="n">
        <x:v>1</x:v>
      </x:c>
      <x:c r="K406" s="2" t="n">
        <x:v>2</x:v>
      </x:c>
      <x:c r="L406" s="2" t="str">
        <x:v>Developing</x:v>
      </x:c>
    </x:row>
    <x:row r="407" ht="22" customHeight="1">
      <x:c r="A407" s="2"/>
      <x:c r="B407" s="2" t="str">
        <x:v>12716</x:v>
      </x:c>
      <x:c r="C407" s="2" t="str">
        <x:v>France</x:v>
      </x:c>
      <x:c r="D407" s="25" t="n">
        <x:v>40753.35277777778</x:v>
      </x:c>
      <x:c r="E407" s="25" t="n">
        <x:v>40883.163194444445</x:v>
      </x:c>
      <x:c r="F407" s="2" t="n">
        <x:v>4</x:v>
      </x:c>
      <x:c r="G407" s="2" t="n">
        <x:v>2</x:v>
      </x:c>
      <x:c r="H407" s="11" t="n">
        <x:v>1053.49</x:v>
      </x:c>
      <x:c r="I407" s="2" t="n">
        <x:v>5</x:v>
      </x:c>
      <x:c r="J407" s="2" t="n">
        <x:v>2</x:v>
      </x:c>
      <x:c r="K407" s="2" t="n">
        <x:v>3</x:v>
      </x:c>
      <x:c r="L407" s="2" t="str">
        <x:v>Recent light buyers</x:v>
      </x:c>
    </x:row>
    <x:row r="408" ht="22" customHeight="1">
      <x:c r="A408" s="2"/>
      <x:c r="B408" s="2" t="str">
        <x:v>12717</x:v>
      </x:c>
      <x:c r="C408" s="2" t="str">
        <x:v>Greece</x:v>
      </x:c>
      <x:c r="D408" s="25" t="n">
        <x:v>40296.39861111111</x:v>
      </x:c>
      <x:c r="E408" s="25" t="n">
        <x:v>40735.407638888886</x:v>
      </x:c>
      <x:c r="F408" s="2" t="n">
        <x:v>152</x:v>
      </x:c>
      <x:c r="G408" s="2" t="n">
        <x:v>3</x:v>
      </x:c>
      <x:c r="H408" s="11" t="n">
        <x:v>1308.91</x:v>
      </x:c>
      <x:c r="I408" s="2" t="n">
        <x:v>3</x:v>
      </x:c>
      <x:c r="J408" s="2" t="n">
        <x:v>3</x:v>
      </x:c>
      <x:c r="K408" s="2" t="n">
        <x:v>4</x:v>
      </x:c>
      <x:c r="L408" s="2" t="str">
        <x:v>Loyal</x:v>
      </x:c>
    </x:row>
    <x:row r="409" ht="22" customHeight="1">
      <x:c r="A409" s="2"/>
      <x:c r="B409" s="2" t="str">
        <x:v>12718</x:v>
      </x:c>
      <x:c r="C409" s="2" t="str">
        <x:v>France</x:v>
      </x:c>
      <x:c r="D409" s="25" t="n">
        <x:v>40815.48472222222</x:v>
      </x:c>
      <x:c r="E409" s="25" t="n">
        <x:v>40815.48472222222</x:v>
      </x:c>
      <x:c r="F409" s="2" t="n">
        <x:v>72</x:v>
      </x:c>
      <x:c r="G409" s="2" t="n">
        <x:v>1</x:v>
      </x:c>
      <x:c r="H409" s="11" t="n">
        <x:v>238.25</x:v>
      </x:c>
      <x:c r="I409" s="2" t="n">
        <x:v>3</x:v>
      </x:c>
      <x:c r="J409" s="2" t="n">
        <x:v>1</x:v>
      </x:c>
      <x:c r="K409" s="2" t="n">
        <x:v>1</x:v>
      </x:c>
      <x:c r="L409" s="2" t="str">
        <x:v>Developing</x:v>
      </x:c>
    </x:row>
    <x:row r="410" ht="22" customHeight="1">
      <x:c r="A410" s="2"/>
      <x:c r="B410" s="2" t="str">
        <x:v>12719</x:v>
      </x:c>
      <x:c r="C410" s="2" t="str">
        <x:v>France</x:v>
      </x:c>
      <x:c r="D410" s="25" t="n">
        <x:v>40821.40972222222</x:v>
      </x:c>
      <x:c r="E410" s="25" t="n">
        <x:v>40881.364583333336</x:v>
      </x:c>
      <x:c r="F410" s="2" t="n">
        <x:v>6</x:v>
      </x:c>
      <x:c r="G410" s="2" t="n">
        <x:v>2</x:v>
      </x:c>
      <x:c r="H410" s="11" t="n">
        <x:v>644.95</x:v>
      </x:c>
      <x:c r="I410" s="2" t="n">
        <x:v>5</x:v>
      </x:c>
      <x:c r="J410" s="2" t="n">
        <x:v>2</x:v>
      </x:c>
      <x:c r="K410" s="2" t="n">
        <x:v>3</x:v>
      </x:c>
      <x:c r="L410" s="2" t="str">
        <x:v>Recent light buyers</x:v>
      </x:c>
    </x:row>
    <x:row r="411" ht="22" customHeight="1">
      <x:c r="A411" s="2"/>
      <x:c r="B411" s="2" t="str">
        <x:v>12720</x:v>
      </x:c>
      <x:c r="C411" s="2" t="str">
        <x:v>Germany</x:v>
      </x:c>
      <x:c r="D411" s="25" t="n">
        <x:v>40380.19861111111</x:v>
      </x:c>
      <x:c r="E411" s="25" t="n">
        <x:v>40884.12708333333</x:v>
      </x:c>
      <x:c r="F411" s="2" t="n">
        <x:v>3</x:v>
      </x:c>
      <x:c r="G411" s="2" t="n">
        <x:v>30</x:v>
      </x:c>
      <x:c r="H411" s="11" t="n">
        <x:v>7787.28</x:v>
      </x:c>
      <x:c r="I411" s="2" t="n">
        <x:v>5</x:v>
      </x:c>
      <x:c r="J411" s="2" t="n">
        <x:v>5</x:v>
      </x:c>
      <x:c r="K411" s="2" t="n">
        <x:v>5</x:v>
      </x:c>
      <x:c r="L411" s="2" t="str">
        <x:v>Champions</x:v>
      </x:c>
    </x:row>
    <x:row r="412" ht="22" customHeight="1">
      <x:c r="A412" s="2"/>
      <x:c r="B412" s="2" t="str">
        <x:v>12721</x:v>
      </x:c>
      <x:c r="C412" s="2" t="str">
        <x:v>France</x:v>
      </x:c>
      <x:c r="D412" s="25" t="n">
        <x:v>40415.25486111111</x:v>
      </x:c>
      <x:c r="E412" s="25" t="n">
        <x:v>40855.30069444444</x:v>
      </x:c>
      <x:c r="F412" s="2" t="n">
        <x:v>32</x:v>
      </x:c>
      <x:c r="G412" s="2" t="n">
        <x:v>8</x:v>
      </x:c>
      <x:c r="H412" s="11" t="n">
        <x:v>4013.08</x:v>
      </x:c>
      <x:c r="I412" s="2" t="n">
        <x:v>4</x:v>
      </x:c>
      <x:c r="J412" s="2" t="n">
        <x:v>4</x:v>
      </x:c>
      <x:c r="K412" s="2" t="n">
        <x:v>5</x:v>
      </x:c>
      <x:c r="L412" s="2" t="str">
        <x:v>Champions</x:v>
      </x:c>
    </x:row>
    <x:row r="413" ht="22" customHeight="1">
      <x:c r="A413" s="2"/>
      <x:c r="B413" s="2" t="str">
        <x:v>12722</x:v>
      </x:c>
      <x:c r="C413" s="2" t="str">
        <x:v>France</x:v>
      </x:c>
      <x:c r="D413" s="25" t="n">
        <x:v>40736.288194444445</x:v>
      </x:c>
      <x:c r="E413" s="25" t="n">
        <x:v>40801.40972222222</x:v>
      </x:c>
      <x:c r="F413" s="2" t="n">
        <x:v>86</x:v>
      </x:c>
      <x:c r="G413" s="2" t="n">
        <x:v>4</x:v>
      </x:c>
      <x:c r="H413" s="11" t="n">
        <x:v>997.63</x:v>
      </x:c>
      <x:c r="I413" s="2" t="n">
        <x:v>3</x:v>
      </x:c>
      <x:c r="J413" s="2" t="n">
        <x:v>3</x:v>
      </x:c>
      <x:c r="K413" s="2" t="n">
        <x:v>3</x:v>
      </x:c>
      <x:c r="L413" s="2" t="str">
        <x:v>Loyal</x:v>
      </x:c>
    </x:row>
    <x:row r="414" ht="22" customHeight="1">
      <x:c r="A414" s="2"/>
      <x:c r="B414" s="2" t="str">
        <x:v>12723</x:v>
      </x:c>
      <x:c r="C414" s="2" t="str">
        <x:v>France</x:v>
      </x:c>
      <x:c r="D414" s="25" t="n">
        <x:v>40821.45277777778</x:v>
      </x:c>
      <x:c r="E414" s="25" t="n">
        <x:v>40883.22152777778</x:v>
      </x:c>
      <x:c r="F414" s="2" t="n">
        <x:v>4</x:v>
      </x:c>
      <x:c r="G414" s="2" t="n">
        <x:v>5</x:v>
      </x:c>
      <x:c r="H414" s="11" t="n">
        <x:v>725.07</x:v>
      </x:c>
      <x:c r="I414" s="2" t="n">
        <x:v>5</x:v>
      </x:c>
      <x:c r="J414" s="2" t="n">
        <x:v>4</x:v>
      </x:c>
      <x:c r="K414" s="2" t="n">
        <x:v>3</x:v>
      </x:c>
      <x:c r="L414" s="2" t="str">
        <x:v>Loyal</x:v>
      </x:c>
    </x:row>
    <x:row r="415" ht="22" customHeight="1">
      <x:c r="A415" s="2"/>
      <x:c r="B415" s="2" t="str">
        <x:v>12724</x:v>
      </x:c>
      <x:c r="C415" s="2" t="str">
        <x:v>France</x:v>
      </x:c>
      <x:c r="D415" s="25" t="n">
        <x:v>40351.375</x:v>
      </x:c>
      <x:c r="E415" s="25" t="n">
        <x:v>40881.45972222222</x:v>
      </x:c>
      <x:c r="F415" s="2" t="n">
        <x:v>6</x:v>
      </x:c>
      <x:c r="G415" s="2" t="n">
        <x:v>7</x:v>
      </x:c>
      <x:c r="H415" s="11" t="n">
        <x:v>2317.52</x:v>
      </x:c>
      <x:c r="I415" s="2" t="n">
        <x:v>5</x:v>
      </x:c>
      <x:c r="J415" s="2" t="n">
        <x:v>4</x:v>
      </x:c>
      <x:c r="K415" s="2" t="n">
        <x:v>4</x:v>
      </x:c>
      <x:c r="L415" s="2" t="str">
        <x:v>Champions</x:v>
      </x:c>
    </x:row>
    <x:row r="416" ht="22" customHeight="1">
      <x:c r="A416" s="2"/>
      <x:c r="B416" s="2" t="str">
        <x:v>12725</x:v>
      </x:c>
      <x:c r="C416" s="2" t="str">
        <x:v>Italy</x:v>
      </x:c>
      <x:c r="D416" s="25" t="n">
        <x:v>40302.37430555555</x:v>
      </x:c>
      <x:c r="E416" s="25" t="n">
        <x:v>40515.447916666664</x:v>
      </x:c>
      <x:c r="F416" s="2" t="n">
        <x:v>372</x:v>
      </x:c>
      <x:c r="G416" s="2" t="n">
        <x:v>4</x:v>
      </x:c>
      <x:c r="H416" s="11" t="n">
        <x:v>2266.76</x:v>
      </x:c>
      <x:c r="I416" s="2" t="n">
        <x:v>2</x:v>
      </x:c>
      <x:c r="J416" s="2" t="n">
        <x:v>3</x:v>
      </x:c>
      <x:c r="K416" s="2" t="n">
        <x:v>4</x:v>
      </x:c>
      <x:c r="L416" s="2" t="str">
        <x:v>At risk</x:v>
      </x:c>
    </x:row>
    <x:row r="417" ht="22" customHeight="1">
      <x:c r="A417" s="2"/>
      <x:c r="B417" s="2" t="str">
        <x:v>12726</x:v>
      </x:c>
      <x:c r="C417" s="2" t="str">
        <x:v>France</x:v>
      </x:c>
      <x:c r="D417" s="25" t="n">
        <x:v>40262.475694444445</x:v>
      </x:c>
      <x:c r="E417" s="25" t="n">
        <x:v>40858.35763888889</x:v>
      </x:c>
      <x:c r="F417" s="2" t="n">
        <x:v>29</x:v>
      </x:c>
      <x:c r="G417" s="2" t="n">
        <x:v>11</x:v>
      </x:c>
      <x:c r="H417" s="11" t="n">
        <x:v>4014.6</x:v>
      </x:c>
      <x:c r="I417" s="2" t="n">
        <x:v>4</x:v>
      </x:c>
      <x:c r="J417" s="2" t="n">
        <x:v>5</x:v>
      </x:c>
      <x:c r="K417" s="2" t="n">
        <x:v>5</x:v>
      </x:c>
      <x:c r="L417" s="2" t="str">
        <x:v>Champions</x:v>
      </x:c>
    </x:row>
    <x:row r="418" ht="22" customHeight="1">
      <x:c r="A418" s="2"/>
      <x:c r="B418" s="2" t="str">
        <x:v>12727</x:v>
      </x:c>
      <x:c r="C418" s="2" t="str">
        <x:v>France</x:v>
      </x:c>
      <x:c r="D418" s="25" t="n">
        <x:v>40232.20416666667</x:v>
      </x:c>
      <x:c r="E418" s="25" t="n">
        <x:v>40876.28194444445</x:v>
      </x:c>
      <x:c r="F418" s="2" t="n">
        <x:v>11</x:v>
      </x:c>
      <x:c r="G418" s="2" t="n">
        <x:v>10</x:v>
      </x:c>
      <x:c r="H418" s="11" t="n">
        <x:v>5679.53</x:v>
      </x:c>
      <x:c r="I418" s="2" t="n">
        <x:v>5</x:v>
      </x:c>
      <x:c r="J418" s="2" t="n">
        <x:v>5</x:v>
      </x:c>
      <x:c r="K418" s="2" t="n">
        <x:v>5</x:v>
      </x:c>
      <x:c r="L418" s="2" t="str">
        <x:v>Champions</x:v>
      </x:c>
    </x:row>
    <x:row r="419" ht="22" customHeight="1">
      <x:c r="A419" s="2"/>
      <x:c r="B419" s="2" t="str">
        <x:v>12728</x:v>
      </x:c>
      <x:c r="C419" s="2" t="str">
        <x:v>France</x:v>
      </x:c>
      <x:c r="D419" s="25" t="n">
        <x:v>40503.27361111111</x:v>
      </x:c>
      <x:c r="E419" s="25" t="n">
        <x:v>40815.43819444445</x:v>
      </x:c>
      <x:c r="F419" s="2" t="n">
        <x:v>72</x:v>
      </x:c>
      <x:c r="G419" s="2" t="n">
        <x:v>5</x:v>
      </x:c>
      <x:c r="H419" s="11" t="n">
        <x:v>1070.17</x:v>
      </x:c>
      <x:c r="I419" s="2" t="n">
        <x:v>3</x:v>
      </x:c>
      <x:c r="J419" s="2" t="n">
        <x:v>4</x:v>
      </x:c>
      <x:c r="K419" s="2" t="n">
        <x:v>3</x:v>
      </x:c>
      <x:c r="L419" s="2" t="str">
        <x:v>Loyal</x:v>
      </x:c>
    </x:row>
    <x:row r="420" ht="22" customHeight="1">
      <x:c r="A420" s="2"/>
      <x:c r="B420" s="2" t="str">
        <x:v>12729</x:v>
      </x:c>
      <x:c r="C420" s="2" t="str">
        <x:v>France</x:v>
      </x:c>
      <x:c r="D420" s="25" t="n">
        <x:v>40773.27777777778</x:v>
      </x:c>
      <x:c r="E420" s="25" t="n">
        <x:v>40773.27777777778</x:v>
      </x:c>
      <x:c r="F420" s="2" t="n">
        <x:v>114</x:v>
      </x:c>
      <x:c r="G420" s="2" t="n">
        <x:v>1</x:v>
      </x:c>
      <x:c r="H420" s="11" t="n">
        <x:v>453.01</x:v>
      </x:c>
      <x:c r="I420" s="2" t="n">
        <x:v>3</x:v>
      </x:c>
      <x:c r="J420" s="2" t="n">
        <x:v>1</x:v>
      </x:c>
      <x:c r="K420" s="2" t="n">
        <x:v>2</x:v>
      </x:c>
      <x:c r="L420" s="2" t="str">
        <x:v>Developing</x:v>
      </x:c>
    </x:row>
    <x:row r="421" ht="22" customHeight="1">
      <x:c r="A421" s="2"/>
      <x:c r="B421" s="2" t="str">
        <x:v>12730</x:v>
      </x:c>
      <x:c r="C421" s="2" t="str">
        <x:v>Germany</x:v>
      </x:c>
      <x:c r="D421" s="25" t="n">
        <x:v>40365.30486111111</x:v>
      </x:c>
      <x:c r="E421" s="25" t="n">
        <x:v>40365.30486111111</x:v>
      </x:c>
      <x:c r="F421" s="2" t="n">
        <x:v>522</x:v>
      </x:c>
      <x:c r="G421" s="2" t="n">
        <x:v>1</x:v>
      </x:c>
      <x:c r="H421" s="11" t="n">
        <x:v>829.25</x:v>
      </x:c>
      <x:c r="I421" s="2" t="n">
        <x:v>1</x:v>
      </x:c>
      <x:c r="J421" s="2" t="n">
        <x:v>1</x:v>
      </x:c>
      <x:c r="K421" s="2" t="n">
        <x:v>3</x:v>
      </x:c>
      <x:c r="L421" s="2" t="str">
        <x:v>Hibernating</x:v>
      </x:c>
    </x:row>
    <x:row r="422" ht="22" customHeight="1">
      <x:c r="A422" s="2"/>
      <x:c r="B422" s="2" t="str">
        <x:v>12731</x:v>
      </x:c>
      <x:c r="C422" s="2" t="str">
        <x:v>France</x:v>
      </x:c>
      <x:c r="D422" s="25" t="n">
        <x:v>40239.18263888889</x:v>
      </x:c>
      <x:c r="E422" s="25" t="n">
        <x:v>40863.290972222225</x:v>
      </x:c>
      <x:c r="F422" s="2" t="n">
        <x:v>24</x:v>
      </x:c>
      <x:c r="G422" s="2" t="n">
        <x:v>17</x:v>
      </x:c>
      <x:c r="H422" s="11" t="n">
        <x:v>25775.71</x:v>
      </x:c>
      <x:c r="I422" s="2" t="n">
        <x:v>4</x:v>
      </x:c>
      <x:c r="J422" s="2" t="n">
        <x:v>5</x:v>
      </x:c>
      <x:c r="K422" s="2" t="n">
        <x:v>5</x:v>
      </x:c>
      <x:c r="L422" s="2" t="str">
        <x:v>Champions</x:v>
      </x:c>
    </x:row>
    <x:row r="423" ht="22" customHeight="1">
      <x:c r="A423" s="2"/>
      <x:c r="B423" s="2" t="str">
        <x:v>12732</x:v>
      </x:c>
      <x:c r="C423" s="2" t="str">
        <x:v>France</x:v>
      </x:c>
      <x:c r="D423" s="25" t="n">
        <x:v>40707.27291666667</x:v>
      </x:c>
      <x:c r="E423" s="25" t="n">
        <x:v>40707.27291666667</x:v>
      </x:c>
      <x:c r="F423" s="2" t="n">
        <x:v>180</x:v>
      </x:c>
      <x:c r="G423" s="2" t="n">
        <x:v>1</x:v>
      </x:c>
      <x:c r="H423" s="11" t="n">
        <x:v>236.26</x:v>
      </x:c>
      <x:c r="I423" s="2" t="n">
        <x:v>3</x:v>
      </x:c>
      <x:c r="J423" s="2" t="n">
        <x:v>1</x:v>
      </x:c>
      <x:c r="K423" s="2" t="n">
        <x:v>1</x:v>
      </x:c>
      <x:c r="L423" s="2" t="str">
        <x:v>Developing</x:v>
      </x:c>
    </x:row>
    <x:row r="424" ht="22" customHeight="1">
      <x:c r="A424" s="2"/>
      <x:c r="B424" s="2" t="str">
        <x:v>12733</x:v>
      </x:c>
      <x:c r="C424" s="2" t="str">
        <x:v>USA</x:v>
      </x:c>
      <x:c r="D424" s="25" t="n">
        <x:v>40197.34930555556</x:v>
      </x:c>
      <x:c r="E424" s="25" t="n">
        <x:v>40652.47152777778</x:v>
      </x:c>
      <x:c r="F424" s="2" t="n">
        <x:v>235</x:v>
      </x:c>
      <x:c r="G424" s="2" t="n">
        <x:v>4</x:v>
      </x:c>
      <x:c r="H424" s="11" t="n">
        <x:v>2424.87</x:v>
      </x:c>
      <x:c r="I424" s="2" t="n">
        <x:v>2</x:v>
      </x:c>
      <x:c r="J424" s="2" t="n">
        <x:v>3</x:v>
      </x:c>
      <x:c r="K424" s="2" t="n">
        <x:v>4</x:v>
      </x:c>
      <x:c r="L424" s="2" t="str">
        <x:v>At risk</x:v>
      </x:c>
    </x:row>
    <x:row r="425" ht="22" customHeight="1">
      <x:c r="A425" s="2"/>
      <x:c r="B425" s="2" t="str">
        <x:v>12734</x:v>
      </x:c>
      <x:c r="C425" s="2" t="str">
        <x:v>France</x:v>
      </x:c>
      <x:c r="D425" s="25" t="n">
        <x:v>40494.35138888889</x:v>
      </x:c>
      <x:c r="E425" s="25" t="n">
        <x:v>40534.32430555556</x:v>
      </x:c>
      <x:c r="F425" s="2" t="n">
        <x:v>353</x:v>
      </x:c>
      <x:c r="G425" s="2" t="n">
        <x:v>3</x:v>
      </x:c>
      <x:c r="H425" s="11" t="n">
        <x:v>639.65</x:v>
      </x:c>
      <x:c r="I425" s="2" t="n">
        <x:v>2</x:v>
      </x:c>
      <x:c r="J425" s="2" t="n">
        <x:v>3</x:v>
      </x:c>
      <x:c r="K425" s="2" t="n">
        <x:v>3</x:v>
      </x:c>
      <x:c r="L425" s="2" t="str">
        <x:v>At risk</x:v>
      </x:c>
    </x:row>
    <x:row r="426" ht="22" customHeight="1">
      <x:c r="A426" s="2"/>
      <x:c r="B426" s="2" t="str">
        <x:v>12735</x:v>
      </x:c>
      <x:c r="C426" s="2" t="str">
        <x:v>France</x:v>
      </x:c>
      <x:c r="D426" s="25" t="n">
        <x:v>40549.393055555556</x:v>
      </x:c>
      <x:c r="E426" s="25" t="n">
        <x:v>40571.35902777778</x:v>
      </x:c>
      <x:c r="F426" s="2" t="n">
        <x:v>316</x:v>
      </x:c>
      <x:c r="G426" s="2" t="n">
        <x:v>2</x:v>
      </x:c>
      <x:c r="H426" s="11" t="n">
        <x:v>779.57</x:v>
      </x:c>
      <x:c r="I426" s="2" t="n">
        <x:v>2</x:v>
      </x:c>
      <x:c r="J426" s="2" t="n">
        <x:v>2</x:v>
      </x:c>
      <x:c r="K426" s="2" t="n">
        <x:v>3</x:v>
      </x:c>
      <x:c r="L426" s="2" t="str">
        <x:v>Hibernating</x:v>
      </x:c>
    </x:row>
    <x:row r="427" ht="22" customHeight="1">
      <x:c r="A427" s="2"/>
      <x:c r="B427" s="2" t="str">
        <x:v>12736</x:v>
      </x:c>
      <x:c r="C427" s="2" t="str">
        <x:v>France</x:v>
      </x:c>
      <x:c r="D427" s="25" t="n">
        <x:v>40554.12291666667</x:v>
      </x:c>
      <x:c r="E427" s="25" t="n">
        <x:v>40554.12291666667</x:v>
      </x:c>
      <x:c r="F427" s="2" t="n">
        <x:v>333</x:v>
      </x:c>
      <x:c r="G427" s="2" t="n">
        <x:v>1</x:v>
      </x:c>
      <x:c r="H427" s="11" t="n">
        <x:v>234</x:v>
      </x:c>
      <x:c r="I427" s="2" t="n">
        <x:v>2</x:v>
      </x:c>
      <x:c r="J427" s="2" t="n">
        <x:v>1</x:v>
      </x:c>
      <x:c r="K427" s="2" t="n">
        <x:v>1</x:v>
      </x:c>
      <x:c r="L427" s="2" t="str">
        <x:v>Hibernating</x:v>
      </x:c>
    </x:row>
    <x:row r="428" ht="22" customHeight="1">
      <x:c r="A428" s="2"/>
      <x:c r="B428" s="2" t="str">
        <x:v>12737</x:v>
      </x:c>
      <x:c r="C428" s="2" t="str">
        <x:v>France</x:v>
      </x:c>
      <x:c r="D428" s="25" t="n">
        <x:v>40388.31041666667</x:v>
      </x:c>
      <x:c r="E428" s="25" t="n">
        <x:v>40388.31180555555</x:v>
      </x:c>
      <x:c r="F428" s="2" t="n">
        <x:v>499</x:v>
      </x:c>
      <x:c r="G428" s="2" t="n">
        <x:v>2</x:v>
      </x:c>
      <x:c r="H428" s="11" t="n">
        <x:v>3710.5</x:v>
      </x:c>
      <x:c r="I428" s="2" t="n">
        <x:v>1</x:v>
      </x:c>
      <x:c r="J428" s="2" t="n">
        <x:v>2</x:v>
      </x:c>
      <x:c r="K428" s="2" t="n">
        <x:v>5</x:v>
      </x:c>
      <x:c r="L428" s="2" t="str">
        <x:v>Hibernating</x:v>
      </x:c>
    </x:row>
    <x:row r="429" ht="22" customHeight="1">
      <x:c r="A429" s="2"/>
      <x:c r="B429" s="2" t="str">
        <x:v>12738</x:v>
      </x:c>
      <x:c r="C429" s="2" t="str">
        <x:v>Germany</x:v>
      </x:c>
      <x:c r="D429" s="25" t="n">
        <x:v>40514.56041666667</x:v>
      </x:c>
      <x:c r="E429" s="25" t="n">
        <x:v>40514.56041666667</x:v>
      </x:c>
      <x:c r="F429" s="2" t="n">
        <x:v>373</x:v>
      </x:c>
      <x:c r="G429" s="2" t="n">
        <x:v>1</x:v>
      </x:c>
      <x:c r="H429" s="11" t="n">
        <x:v>155.35</x:v>
      </x:c>
      <x:c r="I429" s="2" t="n">
        <x:v>2</x:v>
      </x:c>
      <x:c r="J429" s="2" t="n">
        <x:v>1</x:v>
      </x:c>
      <x:c r="K429" s="2" t="n">
        <x:v>1</x:v>
      </x:c>
      <x:c r="L429" s="2" t="str">
        <x:v>Hibernating</x:v>
      </x:c>
    </x:row>
    <x:row r="430" ht="22" customHeight="1">
      <x:c r="A430" s="2"/>
      <x:c r="B430" s="2" t="str">
        <x:v>12739</x:v>
      </x:c>
      <x:c r="C430" s="2" t="str">
        <x:v>United Arab Emirates</x:v>
      </x:c>
      <x:c r="D430" s="25" t="n">
        <x:v>40492.39375</x:v>
      </x:c>
      <x:c r="E430" s="25" t="n">
        <x:v>40808.333333333336</x:v>
      </x:c>
      <x:c r="F430" s="2" t="n">
        <x:v>79</x:v>
      </x:c>
      <x:c r="G430" s="2" t="n">
        <x:v>4</x:v>
      </x:c>
      <x:c r="H430" s="11" t="n">
        <x:v>2726.73</x:v>
      </x:c>
      <x:c r="I430" s="2" t="n">
        <x:v>3</x:v>
      </x:c>
      <x:c r="J430" s="2" t="n">
        <x:v>3</x:v>
      </x:c>
      <x:c r="K430" s="2" t="n">
        <x:v>4</x:v>
      </x:c>
      <x:c r="L430" s="2" t="str">
        <x:v>Loyal</x:v>
      </x:c>
    </x:row>
    <x:row r="431" ht="22" customHeight="1">
      <x:c r="A431" s="2"/>
      <x:c r="B431" s="2" t="str">
        <x:v>12740</x:v>
      </x:c>
      <x:c r="C431" s="2" t="str">
        <x:v>France</x:v>
      </x:c>
      <x:c r="D431" s="25" t="n">
        <x:v>40823.23888888889</x:v>
      </x:c>
      <x:c r="E431" s="25" t="n">
        <x:v>40823.23888888889</x:v>
      </x:c>
      <x:c r="F431" s="2" t="n">
        <x:v>64</x:v>
      </x:c>
      <x:c r="G431" s="2" t="n">
        <x:v>1</x:v>
      </x:c>
      <x:c r="H431" s="11" t="n">
        <x:v>427.6</x:v>
      </x:c>
      <x:c r="I431" s="2" t="n">
        <x:v>3</x:v>
      </x:c>
      <x:c r="J431" s="2" t="n">
        <x:v>1</x:v>
      </x:c>
      <x:c r="K431" s="2" t="n">
        <x:v>2</x:v>
      </x:c>
      <x:c r="L431" s="2" t="str">
        <x:v>Developing</x:v>
      </x:c>
    </x:row>
    <x:row r="432" ht="22" customHeight="1">
      <x:c r="A432" s="2"/>
      <x:c r="B432" s="2" t="str">
        <x:v>12741</x:v>
      </x:c>
      <x:c r="C432" s="2" t="str">
        <x:v>USA</x:v>
      </x:c>
      <x:c r="D432" s="25" t="n">
        <x:v>40353.475</x:v>
      </x:c>
      <x:c r="E432" s="25" t="n">
        <x:v>40357.4</x:v>
      </x:c>
      <x:c r="F432" s="2" t="n">
        <x:v>530</x:v>
      </x:c>
      <x:c r="G432" s="2" t="n">
        <x:v>2</x:v>
      </x:c>
      <x:c r="H432" s="11" t="n">
        <x:v>406.07</x:v>
      </x:c>
      <x:c r="I432" s="2" t="n">
        <x:v>1</x:v>
      </x:c>
      <x:c r="J432" s="2" t="n">
        <x:v>2</x:v>
      </x:c>
      <x:c r="K432" s="2" t="n">
        <x:v>2</x:v>
      </x:c>
      <x:c r="L432" s="2" t="str">
        <x:v>Hibernating</x:v>
      </x:c>
    </x:row>
    <x:row r="433" ht="22" customHeight="1">
      <x:c r="A433" s="2"/>
      <x:c r="B433" s="2" t="str">
        <x:v>12742</x:v>
      </x:c>
      <x:c r="C433" s="2" t="str">
        <x:v>United Arab Emirates</x:v>
      </x:c>
      <x:c r="D433" s="25" t="n">
        <x:v>40261.32152777778</x:v>
      </x:c>
      <x:c r="E433" s="25" t="n">
        <x:v>40261.32152777778</x:v>
      </x:c>
      <x:c r="F433" s="2" t="n">
        <x:v>626</x:v>
      </x:c>
      <x:c r="G433" s="2" t="n">
        <x:v>1</x:v>
      </x:c>
      <x:c r="H433" s="11" t="n">
        <x:v>1201.52</x:v>
      </x:c>
      <x:c r="I433" s="2" t="n">
        <x:v>1</x:v>
      </x:c>
      <x:c r="J433" s="2" t="n">
        <x:v>1</x:v>
      </x:c>
      <x:c r="K433" s="2" t="n">
        <x:v>3</x:v>
      </x:c>
      <x:c r="L433" s="2" t="str">
        <x:v>Hibernating</x:v>
      </x:c>
    </x:row>
    <x:row r="434" ht="22" customHeight="1">
      <x:c r="A434" s="2"/>
      <x:c r="B434" s="2" t="str">
        <x:v>12743</x:v>
      </x:c>
      <x:c r="C434" s="2" t="str">
        <x:v>Unspecified</x:v>
      </x:c>
      <x:c r="D434" s="25" t="n">
        <x:v>40752.4625</x:v>
      </x:c>
      <x:c r="E434" s="25" t="n">
        <x:v>40752.472916666666</x:v>
      </x:c>
      <x:c r="F434" s="2" t="n">
        <x:v>135</x:v>
      </x:c>
      <x:c r="G434" s="2" t="n">
        <x:v>2</x:v>
      </x:c>
      <x:c r="H434" s="11" t="n">
        <x:v>546.43</x:v>
      </x:c>
      <x:c r="I434" s="2" t="n">
        <x:v>3</x:v>
      </x:c>
      <x:c r="J434" s="2" t="n">
        <x:v>2</x:v>
      </x:c>
      <x:c r="K434" s="2" t="n">
        <x:v>2</x:v>
      </x:c>
      <x:c r="L434" s="2" t="str">
        <x:v>Developing</x:v>
      </x:c>
    </x:row>
    <x:row r="435" ht="22" customHeight="1">
      <x:c r="A435" s="2"/>
      <x:c r="B435" s="2" t="str">
        <x:v>12744</x:v>
      </x:c>
      <x:c r="C435" s="2" t="str">
        <x:v>Singapore</x:v>
      </x:c>
      <x:c r="D435" s="25" t="n">
        <x:v>40295.47152777778</x:v>
      </x:c>
      <x:c r="E435" s="25" t="n">
        <x:v>40835.2625</x:v>
      </x:c>
      <x:c r="F435" s="2" t="n">
        <x:v>52</x:v>
      </x:c>
      <x:c r="G435" s="2" t="n">
        <x:v>11</x:v>
      </x:c>
      <x:c r="H435" s="11" t="n">
        <x:v>25317.06</x:v>
      </x:c>
      <x:c r="I435" s="2" t="n">
        <x:v>4</x:v>
      </x:c>
      <x:c r="J435" s="2" t="n">
        <x:v>5</x:v>
      </x:c>
      <x:c r="K435" s="2" t="n">
        <x:v>5</x:v>
      </x:c>
      <x:c r="L435" s="2" t="str">
        <x:v>Champions</x:v>
      </x:c>
    </x:row>
    <x:row r="436" ht="22" customHeight="1">
      <x:c r="A436" s="2"/>
      <x:c r="B436" s="2" t="str">
        <x:v>12745</x:v>
      </x:c>
      <x:c r="C436" s="2" t="str">
        <x:v>United Kingdom</x:v>
      </x:c>
      <x:c r="D436" s="25" t="n">
        <x:v>40204.47361111111</x:v>
      </x:c>
      <x:c r="E436" s="25" t="n">
        <x:v>40400.21805555555</x:v>
      </x:c>
      <x:c r="F436" s="2" t="n">
        <x:v>487</x:v>
      </x:c>
      <x:c r="G436" s="2" t="n">
        <x:v>3</x:v>
      </x:c>
      <x:c r="H436" s="11" t="n">
        <x:v>925.41</x:v>
      </x:c>
      <x:c r="I436" s="2" t="n">
        <x:v>1</x:v>
      </x:c>
      <x:c r="J436" s="2" t="n">
        <x:v>3</x:v>
      </x:c>
      <x:c r="K436" s="2" t="n">
        <x:v>3</x:v>
      </x:c>
      <x:c r="L436" s="2" t="str">
        <x:v>At risk</x:v>
      </x:c>
    </x:row>
    <x:row r="437" ht="22" customHeight="1">
      <x:c r="A437" s="2"/>
      <x:c r="B437" s="2" t="str">
        <x:v>12746</x:v>
      </x:c>
      <x:c r="C437" s="2" t="str">
        <x:v>United Kingdom</x:v>
      </x:c>
      <x:c r="D437" s="25" t="n">
        <x:v>40346.236805555556</x:v>
      </x:c>
      <x:c r="E437" s="25" t="n">
        <x:v>40346.236805555556</x:v>
      </x:c>
      <x:c r="F437" s="2" t="n">
        <x:v>541</x:v>
      </x:c>
      <x:c r="G437" s="2" t="n">
        <x:v>1</x:v>
      </x:c>
      <x:c r="H437" s="11" t="n">
        <x:v>254.55</x:v>
      </x:c>
      <x:c r="I437" s="2" t="n">
        <x:v>1</x:v>
      </x:c>
      <x:c r="J437" s="2" t="n">
        <x:v>1</x:v>
      </x:c>
      <x:c r="K437" s="2" t="n">
        <x:v>1</x:v>
      </x:c>
      <x:c r="L437" s="2" t="str">
        <x:v>Hibernating</x:v>
      </x:c>
    </x:row>
    <x:row r="438" ht="22" customHeight="1">
      <x:c r="A438" s="2"/>
      <x:c r="B438" s="2" t="str">
        <x:v>12747</x:v>
      </x:c>
      <x:c r="C438" s="2" t="str">
        <x:v>United Kingdom</x:v>
      </x:c>
      <x:c r="D438" s="25" t="n">
        <x:v>40154.34930555556</x:v>
      </x:c>
      <x:c r="E438" s="25" t="n">
        <x:v>40884.39861111111</x:v>
      </x:c>
      <x:c r="F438" s="2" t="n">
        <x:v>3</x:v>
      </x:c>
      <x:c r="G438" s="2" t="n">
        <x:v>26</x:v>
      </x:c>
      <x:c r="H438" s="11" t="n">
        <x:v>8917.98</x:v>
      </x:c>
      <x:c r="I438" s="2" t="n">
        <x:v>5</x:v>
      </x:c>
      <x:c r="J438" s="2" t="n">
        <x:v>5</x:v>
      </x:c>
      <x:c r="K438" s="2" t="n">
        <x:v>5</x:v>
      </x:c>
      <x:c r="L438" s="2" t="str">
        <x:v>Champions</x:v>
      </x:c>
    </x:row>
    <x:row r="439" ht="22" customHeight="1">
      <x:c r="A439" s="2"/>
      <x:c r="B439" s="2" t="str">
        <x:v>12748</x:v>
      </x:c>
      <x:c r="C439" s="2" t="str">
        <x:v>United Kingdom</x:v>
      </x:c>
      <x:c r="D439" s="25" t="n">
        <x:v>40151.521527777775</x:v>
      </x:c>
      <x:c r="E439" s="25" t="n">
        <x:v>40886.305555555555</x:v>
      </x:c>
      <x:c r="F439" s="2" t="n">
        <x:v>1</x:v>
      </x:c>
      <x:c r="G439" s="2" t="n">
        <x:v>336</x:v>
      </x:c>
      <x:c r="H439" s="11" t="n">
        <x:v>54598.04</x:v>
      </x:c>
      <x:c r="I439" s="2" t="n">
        <x:v>5</x:v>
      </x:c>
      <x:c r="J439" s="2" t="n">
        <x:v>5</x:v>
      </x:c>
      <x:c r="K439" s="2" t="n">
        <x:v>5</x:v>
      </x:c>
      <x:c r="L439" s="2" t="str">
        <x:v>Champions</x:v>
      </x:c>
    </x:row>
    <x:row r="440" ht="22" customHeight="1">
      <x:c r="A440" s="2"/>
      <x:c r="B440" s="2" t="str">
        <x:v>12749</x:v>
      </x:c>
      <x:c r="C440" s="2" t="str">
        <x:v>United Kingdom</x:v>
      </x:c>
      <x:c r="D440" s="25" t="n">
        <x:v>40365.42013888889</x:v>
      </x:c>
      <x:c r="E440" s="25" t="n">
        <x:v>40883.205555555556</x:v>
      </x:c>
      <x:c r="F440" s="2" t="n">
        <x:v>4</x:v>
      </x:c>
      <x:c r="G440" s="2" t="n">
        <x:v>9</x:v>
      </x:c>
      <x:c r="H440" s="11" t="n">
        <x:v>6897.36</x:v>
      </x:c>
      <x:c r="I440" s="2" t="n">
        <x:v>5</x:v>
      </x:c>
      <x:c r="J440" s="2" t="n">
        <x:v>5</x:v>
      </x:c>
      <x:c r="K440" s="2" t="n">
        <x:v>5</x:v>
      </x:c>
      <x:c r="L440" s="2" t="str">
        <x:v>Champions</x:v>
      </x:c>
    </x:row>
    <x:row r="441" ht="22" customHeight="1">
      <x:c r="A441" s="2"/>
      <x:c r="B441" s="2" t="str">
        <x:v>12750</x:v>
      </x:c>
      <x:c r="C441" s="2" t="str">
        <x:v>Poland</x:v>
      </x:c>
      <x:c r="D441" s="25" t="n">
        <x:v>40758.17569444444</x:v>
      </x:c>
      <x:c r="E441" s="25" t="n">
        <x:v>40758.17569444444</x:v>
      </x:c>
      <x:c r="F441" s="2" t="n">
        <x:v>129</x:v>
      </x:c>
      <x:c r="G441" s="2" t="n">
        <x:v>1</x:v>
      </x:c>
      <x:c r="H441" s="11" t="n">
        <x:v>275.88</x:v>
      </x:c>
      <x:c r="I441" s="2" t="n">
        <x:v>3</x:v>
      </x:c>
      <x:c r="J441" s="2" t="n">
        <x:v>1</x:v>
      </x:c>
      <x:c r="K441" s="2" t="n">
        <x:v>1</x:v>
      </x:c>
      <x:c r="L441" s="2" t="str">
        <x:v>Developing</x:v>
      </x:c>
    </x:row>
    <x:row r="442" ht="22" customHeight="1">
      <x:c r="A442" s="2"/>
      <x:c r="B442" s="2" t="str">
        <x:v>12751</x:v>
      </x:c>
      <x:c r="C442" s="2" t="str">
        <x:v>Brazil</x:v>
      </x:c>
      <x:c r="D442" s="25" t="n">
        <x:v>40442.325694444444</x:v>
      </x:c>
      <x:c r="E442" s="25" t="n">
        <x:v>40442.325694444444</x:v>
      </x:c>
      <x:c r="F442" s="2" t="n">
        <x:v>445</x:v>
      </x:c>
      <x:c r="G442" s="2" t="n">
        <x:v>1</x:v>
      </x:c>
      <x:c r="H442" s="11" t="n">
        <x:v>268.27</x:v>
      </x:c>
      <x:c r="I442" s="2" t="n">
        <x:v>1</x:v>
      </x:c>
      <x:c r="J442" s="2" t="n">
        <x:v>1</x:v>
      </x:c>
      <x:c r="K442" s="2" t="n">
        <x:v>1</x:v>
      </x:c>
      <x:c r="L442" s="2" t="str">
        <x:v>Hibernating</x:v>
      </x:c>
    </x:row>
    <x:row r="443" ht="22" customHeight="1">
      <x:c r="A443" s="2"/>
      <x:c r="B443" s="2" t="str">
        <x:v>12752</x:v>
      </x:c>
      <x:c r="C443" s="2" t="str">
        <x:v>Norway</x:v>
      </x:c>
      <x:c r="D443" s="25" t="n">
        <x:v>40805.35555555556</x:v>
      </x:c>
      <x:c r="E443" s="25" t="n">
        <x:v>40805.35555555556</x:v>
      </x:c>
      <x:c r="F443" s="2" t="n">
        <x:v>82</x:v>
      </x:c>
      <x:c r="G443" s="2" t="n">
        <x:v>1</x:v>
      </x:c>
      <x:c r="H443" s="11" t="n">
        <x:v>4366.78</x:v>
      </x:c>
      <x:c r="I443" s="2" t="n">
        <x:v>3</x:v>
      </x:c>
      <x:c r="J443" s="2" t="n">
        <x:v>1</x:v>
      </x:c>
      <x:c r="K443" s="2" t="n">
        <x:v>5</x:v>
      </x:c>
      <x:c r="L443" s="2" t="str">
        <x:v>Developing</x:v>
      </x:c>
    </x:row>
    <x:row r="444" ht="22" customHeight="1">
      <x:c r="A444" s="2"/>
      <x:c r="B444" s="2" t="str">
        <x:v>12753</x:v>
      </x:c>
      <x:c r="C444" s="2" t="str">
        <x:v>Japan</x:v>
      </x:c>
      <x:c r="D444" s="25" t="n">
        <x:v>40524.28055555555</x:v>
      </x:c>
      <x:c r="E444" s="25" t="n">
        <x:v>40864.24444444444</x:v>
      </x:c>
      <x:c r="F444" s="2" t="n">
        <x:v>23</x:v>
      </x:c>
      <x:c r="G444" s="2" t="n">
        <x:v>6</x:v>
      </x:c>
      <x:c r="H444" s="11" t="n">
        <x:v>21429.39</x:v>
      </x:c>
      <x:c r="I444" s="2" t="n">
        <x:v>4</x:v>
      </x:c>
      <x:c r="J444" s="2" t="n">
        <x:v>4</x:v>
      </x:c>
      <x:c r="K444" s="2" t="n">
        <x:v>5</x:v>
      </x:c>
      <x:c r="L444" s="2" t="str">
        <x:v>Champions</x:v>
      </x:c>
    </x:row>
    <x:row r="445" ht="22" customHeight="1">
      <x:c r="A445" s="2"/>
      <x:c r="B445" s="2" t="str">
        <x:v>12754</x:v>
      </x:c>
      <x:c r="C445" s="2" t="str">
        <x:v>Japan</x:v>
      </x:c>
      <x:c r="D445" s="25" t="n">
        <x:v>40578.22986111111</x:v>
      </x:c>
      <x:c r="E445" s="25" t="n">
        <x:v>40651.166666666664</x:v>
      </x:c>
      <x:c r="F445" s="2" t="n">
        <x:v>236</x:v>
      </x:c>
      <x:c r="G445" s="2" t="n">
        <x:v>3</x:v>
      </x:c>
      <x:c r="H445" s="11" t="n">
        <x:v>3010.74</x:v>
      </x:c>
      <x:c r="I445" s="2" t="n">
        <x:v>2</x:v>
      </x:c>
      <x:c r="J445" s="2" t="n">
        <x:v>3</x:v>
      </x:c>
      <x:c r="K445" s="2" t="n">
        <x:v>5</x:v>
      </x:c>
      <x:c r="L445" s="2" t="str">
        <x:v>At risk</x:v>
      </x:c>
    </x:row>
    <x:row r="446" ht="22" customHeight="1">
      <x:c r="A446" s="2"/>
      <x:c r="B446" s="2" t="str">
        <x:v>12755</x:v>
      </x:c>
      <x:c r="C446" s="2" t="str">
        <x:v>Japan</x:v>
      </x:c>
      <x:c r="D446" s="25" t="n">
        <x:v>40193.28958333333</x:v>
      </x:c>
      <x:c r="E446" s="25" t="n">
        <x:v>40606.32083333333</x:v>
      </x:c>
      <x:c r="F446" s="2" t="n">
        <x:v>281</x:v>
      </x:c>
      <x:c r="G446" s="2" t="n">
        <x:v>11</x:v>
      </x:c>
      <x:c r="H446" s="11" t="n">
        <x:v>5236.26</x:v>
      </x:c>
      <x:c r="I446" s="2" t="n">
        <x:v>2</x:v>
      </x:c>
      <x:c r="J446" s="2" t="n">
        <x:v>5</x:v>
      </x:c>
      <x:c r="K446" s="2" t="n">
        <x:v>5</x:v>
      </x:c>
      <x:c r="L446" s="2" t="str">
        <x:v>At risk</x:v>
      </x:c>
    </x:row>
    <x:row r="447" ht="22" customHeight="1">
      <x:c r="A447" s="2"/>
      <x:c r="B447" s="2" t="str">
        <x:v>12756</x:v>
      </x:c>
      <x:c r="C447" s="2" t="str">
        <x:v>Japan</x:v>
      </x:c>
      <x:c r="D447" s="25" t="n">
        <x:v>40800.18819444445</x:v>
      </x:c>
      <x:c r="E447" s="25" t="n">
        <x:v>40800.18819444445</x:v>
      </x:c>
      <x:c r="F447" s="2" t="n">
        <x:v>87</x:v>
      </x:c>
      <x:c r="G447" s="2" t="n">
        <x:v>1</x:v>
      </x:c>
      <x:c r="H447" s="11" t="n">
        <x:v>112.08</x:v>
      </x:c>
      <x:c r="I447" s="2" t="n">
        <x:v>3</x:v>
      </x:c>
      <x:c r="J447" s="2" t="n">
        <x:v>1</x:v>
      </x:c>
      <x:c r="K447" s="2" t="n">
        <x:v>1</x:v>
      </x:c>
      <x:c r="L447" s="2" t="str">
        <x:v>Developing</x:v>
      </x:c>
    </x:row>
    <x:row r="448" ht="22" customHeight="1">
      <x:c r="A448" s="2"/>
      <x:c r="B448" s="2" t="str">
        <x:v>12757</x:v>
      </x:c>
      <x:c r="C448" s="2" t="str">
        <x:v>Portugal</x:v>
      </x:c>
      <x:c r="D448" s="25" t="n">
        <x:v>40675.584027777775</x:v>
      </x:c>
      <x:c r="E448" s="25" t="n">
        <x:v>40871.3125</x:v>
      </x:c>
      <x:c r="F448" s="2" t="n">
        <x:v>16</x:v>
      </x:c>
      <x:c r="G448" s="2" t="n">
        <x:v>13</x:v>
      </x:c>
      <x:c r="H448" s="11" t="n">
        <x:v>7857.1</x:v>
      </x:c>
      <x:c r="I448" s="2" t="n">
        <x:v>5</x:v>
      </x:c>
      <x:c r="J448" s="2" t="n">
        <x:v>5</x:v>
      </x:c>
      <x:c r="K448" s="2" t="n">
        <x:v>5</x:v>
      </x:c>
      <x:c r="L448" s="2" t="str">
        <x:v>Champions</x:v>
      </x:c>
    </x:row>
    <x:row r="449" ht="22" customHeight="1">
      <x:c r="A449" s="2"/>
      <x:c r="B449" s="2" t="str">
        <x:v>12758</x:v>
      </x:c>
      <x:c r="C449" s="2" t="str">
        <x:v>Portugal</x:v>
      </x:c>
      <x:c r="D449" s="25" t="n">
        <x:v>40148.40277777778</x:v>
      </x:c>
      <x:c r="E449" s="25" t="n">
        <x:v>40770.22361111111</x:v>
      </x:c>
      <x:c r="F449" s="2" t="n">
        <x:v>117</x:v>
      </x:c>
      <x:c r="G449" s="2" t="n">
        <x:v>7</x:v>
      </x:c>
      <x:c r="H449" s="11" t="n">
        <x:v>9903.24</x:v>
      </x:c>
      <x:c r="I449" s="2" t="n">
        <x:v>3</x:v>
      </x:c>
      <x:c r="J449" s="2" t="n">
        <x:v>4</x:v>
      </x:c>
      <x:c r="K449" s="2" t="n">
        <x:v>5</x:v>
      </x:c>
      <x:c r="L449" s="2" t="str">
        <x:v>Loyal</x:v>
      </x:c>
    </x:row>
    <x:row r="450" ht="22" customHeight="1">
      <x:c r="A450" s="2"/>
      <x:c r="B450" s="2" t="str">
        <x:v>12759</x:v>
      </x:c>
      <x:c r="C450" s="2" t="str">
        <x:v>Netherlands</x:v>
      </x:c>
      <x:c r="D450" s="25" t="n">
        <x:v>40151.24097222222</x:v>
      </x:c>
      <x:c r="E450" s="25" t="n">
        <x:v>40834.40902777778</x:v>
      </x:c>
      <x:c r="F450" s="2" t="n">
        <x:v>53</x:v>
      </x:c>
      <x:c r="G450" s="2" t="n">
        <x:v>8</x:v>
      </x:c>
      <x:c r="H450" s="11" t="n">
        <x:v>5020.74</x:v>
      </x:c>
      <x:c r="I450" s="2" t="n">
        <x:v>4</x:v>
      </x:c>
      <x:c r="J450" s="2" t="n">
        <x:v>4</x:v>
      </x:c>
      <x:c r="K450" s="2" t="n">
        <x:v>5</x:v>
      </x:c>
      <x:c r="L450" s="2" t="str">
        <x:v>Champions</x:v>
      </x:c>
    </x:row>
    <x:row r="451" ht="22" customHeight="1">
      <x:c r="A451" s="2"/>
      <x:c r="B451" s="2" t="str">
        <x:v>12760</x:v>
      </x:c>
      <x:c r="C451" s="2" t="str">
        <x:v>Netherlands</x:v>
      </x:c>
      <x:c r="D451" s="25" t="n">
        <x:v>40431.15972222222</x:v>
      </x:c>
      <x:c r="E451" s="25" t="n">
        <x:v>40431.15972222222</x:v>
      </x:c>
      <x:c r="F451" s="2" t="n">
        <x:v>456</x:v>
      </x:c>
      <x:c r="G451" s="2" t="n">
        <x:v>1</x:v>
      </x:c>
      <x:c r="H451" s="11" t="n">
        <x:v>347.8</x:v>
      </x:c>
      <x:c r="I451" s="2" t="n">
        <x:v>1</x:v>
      </x:c>
      <x:c r="J451" s="2" t="n">
        <x:v>1</x:v>
      </x:c>
      <x:c r="K451" s="2" t="n">
        <x:v>2</x:v>
      </x:c>
      <x:c r="L451" s="2" t="str">
        <x:v>Hibernating</x:v>
      </x:c>
    </x:row>
    <x:row r="452" ht="22" customHeight="1">
      <x:c r="A452" s="2"/>
      <x:c r="B452" s="2" t="str">
        <x:v>12761</x:v>
      </x:c>
      <x:c r="C452" s="2" t="str">
        <x:v>Netherlands</x:v>
      </x:c>
      <x:c r="D452" s="25" t="n">
        <x:v>40422.24097222222</x:v>
      </x:c>
      <x:c r="E452" s="25" t="n">
        <x:v>40429.30347222222</x:v>
      </x:c>
      <x:c r="F452" s="2" t="n">
        <x:v>458</x:v>
      </x:c>
      <x:c r="G452" s="2" t="n">
        <x:v>2</x:v>
      </x:c>
      <x:c r="H452" s="11" t="n">
        <x:v>782.95</x:v>
      </x:c>
      <x:c r="I452" s="2" t="n">
        <x:v>1</x:v>
      </x:c>
      <x:c r="J452" s="2" t="n">
        <x:v>2</x:v>
      </x:c>
      <x:c r="K452" s="2" t="n">
        <x:v>3</x:v>
      </x:c>
      <x:c r="L452" s="2" t="str">
        <x:v>Hibernating</x:v>
      </x:c>
    </x:row>
    <x:row r="453" ht="22" customHeight="1">
      <x:c r="A453" s="2"/>
      <x:c r="B453" s="2" t="str">
        <x:v>12762</x:v>
      </x:c>
      <x:c r="C453" s="2" t="str">
        <x:v>Portugal</x:v>
      </x:c>
      <x:c r="D453" s="25" t="n">
        <x:v>40861.39097222222</x:v>
      </x:c>
      <x:c r="E453" s="25" t="n">
        <x:v>40879.22430555556</x:v>
      </x:c>
      <x:c r="F453" s="2" t="n">
        <x:v>8</x:v>
      </x:c>
      <x:c r="G453" s="2" t="n">
        <x:v>2</x:v>
      </x:c>
      <x:c r="H453" s="11" t="n">
        <x:v>1898.52</x:v>
      </x:c>
      <x:c r="I453" s="2" t="n">
        <x:v>5</x:v>
      </x:c>
      <x:c r="J453" s="2" t="n">
        <x:v>2</x:v>
      </x:c>
      <x:c r="K453" s="2" t="n">
        <x:v>4</x:v>
      </x:c>
      <x:c r="L453" s="2" t="str">
        <x:v>Recent light buyers</x:v>
      </x:c>
    </x:row>
    <x:row r="454" ht="22" customHeight="1">
      <x:c r="A454" s="2"/>
      <x:c r="B454" s="2" t="str">
        <x:v>12763</x:v>
      </x:c>
      <x:c r="C454" s="2" t="str">
        <x:v>Japan</x:v>
      </x:c>
      <x:c r="D454" s="25" t="n">
        <x:v>40517.44861111111</x:v>
      </x:c>
      <x:c r="E454" s="25" t="n">
        <x:v>40748.38333333333</x:v>
      </x:c>
      <x:c r="F454" s="2" t="n">
        <x:v>139</x:v>
      </x:c>
      <x:c r="G454" s="2" t="n">
        <x:v>2</x:v>
      </x:c>
      <x:c r="H454" s="11" t="n">
        <x:v>494.08</x:v>
      </x:c>
      <x:c r="I454" s="2" t="n">
        <x:v>3</x:v>
      </x:c>
      <x:c r="J454" s="2" t="n">
        <x:v>2</x:v>
      </x:c>
      <x:c r="K454" s="2" t="n">
        <x:v>2</x:v>
      </x:c>
      <x:c r="L454" s="2" t="str">
        <x:v>Developing</x:v>
      </x:c>
    </x:row>
    <x:row r="455" ht="22" customHeight="1">
      <x:c r="A455" s="2"/>
      <x:c r="B455" s="2" t="str">
        <x:v>12764</x:v>
      </x:c>
      <x:c r="C455" s="2" t="str">
        <x:v>Lebanon</x:v>
      </x:c>
      <x:c r="D455" s="25" t="n">
        <x:v>40570.22152777778</x:v>
      </x:c>
      <x:c r="E455" s="25" t="n">
        <x:v>40570.22152777778</x:v>
      </x:c>
      <x:c r="F455" s="2" t="n">
        <x:v>317</x:v>
      </x:c>
      <x:c r="G455" s="2" t="n">
        <x:v>1</x:v>
      </x:c>
      <x:c r="H455" s="11" t="n">
        <x:v>1693.88</x:v>
      </x:c>
      <x:c r="I455" s="2" t="n">
        <x:v>2</x:v>
      </x:c>
      <x:c r="J455" s="2" t="n">
        <x:v>1</x:v>
      </x:c>
      <x:c r="K455" s="2" t="n">
        <x:v>4</x:v>
      </x:c>
      <x:c r="L455" s="2" t="str">
        <x:v>Hibernating</x:v>
      </x:c>
    </x:row>
    <x:row r="456" ht="22" customHeight="1">
      <x:c r="A456" s="2"/>
      <x:c r="B456" s="2" t="str">
        <x:v>12765</x:v>
      </x:c>
      <x:c r="C456" s="2" t="str">
        <x:v>Netherlands</x:v>
      </x:c>
      <x:c r="D456" s="25" t="n">
        <x:v>40245.19652777778</x:v>
      </x:c>
      <x:c r="E456" s="25" t="n">
        <x:v>40414.36875</x:v>
      </x:c>
      <x:c r="F456" s="2" t="n">
        <x:v>473</x:v>
      </x:c>
      <x:c r="G456" s="2" t="n">
        <x:v>6</x:v>
      </x:c>
      <x:c r="H456" s="11" t="n">
        <x:v>1404.58</x:v>
      </x:c>
      <x:c r="I456" s="2" t="n">
        <x:v>1</x:v>
      </x:c>
      <x:c r="J456" s="2" t="n">
        <x:v>4</x:v>
      </x:c>
      <x:c r="K456" s="2" t="n">
        <x:v>4</x:v>
      </x:c>
      <x:c r="L456" s="2" t="str">
        <x:v>At risk</x:v>
      </x:c>
    </x:row>
    <x:row r="457" ht="22" customHeight="1">
      <x:c r="A457" s="2"/>
      <x:c r="B457" s="2" t="str">
        <x:v>12766</x:v>
      </x:c>
      <x:c r="C457" s="2" t="str">
        <x:v>Portugal</x:v>
      </x:c>
      <x:c r="D457" s="25" t="n">
        <x:v>40479.18680555555</x:v>
      </x:c>
      <x:c r="E457" s="25" t="n">
        <x:v>40883.15694444445</x:v>
      </x:c>
      <x:c r="F457" s="2" t="n">
        <x:v>4</x:v>
      </x:c>
      <x:c r="G457" s="2" t="n">
        <x:v>9</x:v>
      </x:c>
      <x:c r="H457" s="11" t="n">
        <x:v>8918.99</x:v>
      </x:c>
      <x:c r="I457" s="2" t="n">
        <x:v>5</x:v>
      </x:c>
      <x:c r="J457" s="2" t="n">
        <x:v>5</x:v>
      </x:c>
      <x:c r="K457" s="2" t="n">
        <x:v>5</x:v>
      </x:c>
      <x:c r="L457" s="2" t="str">
        <x:v>Champions</x:v>
      </x:c>
    </x:row>
    <x:row r="458" ht="22" customHeight="1">
      <x:c r="A458" s="2"/>
      <x:c r="B458" s="2" t="str">
        <x:v>12767</x:v>
      </x:c>
      <x:c r="C458" s="2" t="str">
        <x:v>Korea</x:v>
      </x:c>
      <x:c r="D458" s="25" t="n">
        <x:v>40511.19305555556</x:v>
      </x:c>
      <x:c r="E458" s="25" t="n">
        <x:v>40511.19305555556</x:v>
      </x:c>
      <x:c r="F458" s="2" t="n">
        <x:v>376</x:v>
      </x:c>
      <x:c r="G458" s="2" t="n">
        <x:v>1</x:v>
      </x:c>
      <x:c r="H458" s="11" t="n">
        <x:v>949.82</x:v>
      </x:c>
      <x:c r="I458" s="2" t="n">
        <x:v>2</x:v>
      </x:c>
      <x:c r="J458" s="2" t="n">
        <x:v>1</x:v>
      </x:c>
      <x:c r="K458" s="2" t="n">
        <x:v>3</x:v>
      </x:c>
      <x:c r="L458" s="2" t="str">
        <x:v>Hibernating</x:v>
      </x:c>
    </x:row>
    <x:row r="459" ht="22" customHeight="1">
      <x:c r="A459" s="2"/>
      <x:c r="B459" s="2" t="str">
        <x:v>12768</x:v>
      </x:c>
      <x:c r="C459" s="2" t="str">
        <x:v>Korea</x:v>
      </x:c>
      <x:c r="D459" s="25" t="n">
        <x:v>40436.29722222222</x:v>
      </x:c>
      <x:c r="E459" s="25" t="n">
        <x:v>40436.29722222222</x:v>
      </x:c>
      <x:c r="F459" s="2" t="n">
        <x:v>451</x:v>
      </x:c>
      <x:c r="G459" s="2" t="n">
        <x:v>1</x:v>
      </x:c>
      <x:c r="H459" s="11" t="n">
        <x:v>168.69</x:v>
      </x:c>
      <x:c r="I459" s="2" t="n">
        <x:v>1</x:v>
      </x:c>
      <x:c r="J459" s="2" t="n">
        <x:v>1</x:v>
      </x:c>
      <x:c r="K459" s="2" t="n">
        <x:v>1</x:v>
      </x:c>
      <x:c r="L459" s="2" t="str">
        <x:v>Hibernating</x:v>
      </x:c>
    </x:row>
    <x:row r="460" ht="22" customHeight="1">
      <x:c r="A460" s="2"/>
      <x:c r="B460" s="2" t="str">
        <x:v>12769</x:v>
      </x:c>
      <x:c r="C460" s="2" t="str">
        <x:v>Brazil</x:v>
      </x:c>
      <x:c r="D460" s="25" t="n">
        <x:v>40648.225694444445</x:v>
      </x:c>
      <x:c r="E460" s="25" t="n">
        <x:v>40648.225694444445</x:v>
      </x:c>
      <x:c r="F460" s="2" t="n">
        <x:v>239</x:v>
      </x:c>
      <x:c r="G460" s="2" t="n">
        <x:v>1</x:v>
      </x:c>
      <x:c r="H460" s="11" t="n">
        <x:v>1143.6</x:v>
      </x:c>
      <x:c r="I460" s="2" t="n">
        <x:v>2</x:v>
      </x:c>
      <x:c r="J460" s="2" t="n">
        <x:v>1</x:v>
      </x:c>
      <x:c r="K460" s="2" t="n">
        <x:v>3</x:v>
      </x:c>
      <x:c r="L460" s="2" t="str">
        <x:v>Hibernating</x:v>
      </x:c>
    </x:row>
    <x:row r="461" ht="22" customHeight="1">
      <x:c r="A461" s="2"/>
      <x:c r="B461" s="2" t="str">
        <x:v>12770</x:v>
      </x:c>
      <x:c r="C461" s="2" t="str">
        <x:v>Japan</x:v>
      </x:c>
      <x:c r="D461" s="25" t="n">
        <x:v>40430.279861111114</x:v>
      </x:c>
      <x:c r="E461" s="25" t="n">
        <x:v>40676.18958333333</x:v>
      </x:c>
      <x:c r="F461" s="2" t="n">
        <x:v>211</x:v>
      </x:c>
      <x:c r="G461" s="2" t="n">
        <x:v>2</x:v>
      </x:c>
      <x:c r="H461" s="11" t="n">
        <x:v>3246.45</x:v>
      </x:c>
      <x:c r="I461" s="2" t="n">
        <x:v>2</x:v>
      </x:c>
      <x:c r="J461" s="2" t="n">
        <x:v>2</x:v>
      </x:c>
      <x:c r="K461" s="2" t="n">
        <x:v>5</x:v>
      </x:c>
      <x:c r="L461" s="2" t="str">
        <x:v>Hibernating</x:v>
      </x:c>
    </x:row>
    <x:row r="462" ht="22" customHeight="1">
      <x:c r="A462" s="2"/>
      <x:c r="B462" s="2" t="str">
        <x:v>12771</x:v>
      </x:c>
      <x:c r="C462" s="2" t="str">
        <x:v>Portugal</x:v>
      </x:c>
      <x:c r="D462" s="25" t="n">
        <x:v>40401.285416666666</x:v>
      </x:c>
      <x:c r="E462" s="25" t="n">
        <x:v>40401.285416666666</x:v>
      </x:c>
      <x:c r="F462" s="2" t="n">
        <x:v>486</x:v>
      </x:c>
      <x:c r="G462" s="2" t="n">
        <x:v>1</x:v>
      </x:c>
      <x:c r="H462" s="11" t="n">
        <x:v>282.3</x:v>
      </x:c>
      <x:c r="I462" s="2" t="n">
        <x:v>1</x:v>
      </x:c>
      <x:c r="J462" s="2" t="n">
        <x:v>1</x:v>
      </x:c>
      <x:c r="K462" s="2" t="n">
        <x:v>1</x:v>
      </x:c>
      <x:c r="L462" s="2" t="str">
        <x:v>Hibernating</x:v>
      </x:c>
    </x:row>
    <x:row r="463" ht="22" customHeight="1">
      <x:c r="A463" s="2"/>
      <x:c r="B463" s="2" t="str">
        <x:v>12772</x:v>
      </x:c>
      <x:c r="C463" s="2" t="str">
        <x:v>Portugal</x:v>
      </x:c>
      <x:c r="D463" s="25" t="n">
        <x:v>40827.17986111111</x:v>
      </x:c>
      <x:c r="E463" s="25" t="n">
        <x:v>40827.17986111111</x:v>
      </x:c>
      <x:c r="F463" s="2" t="n">
        <x:v>60</x:v>
      </x:c>
      <x:c r="G463" s="2" t="n">
        <x:v>1</x:v>
      </x:c>
      <x:c r="H463" s="11" t="n">
        <x:v>892.47</x:v>
      </x:c>
      <x:c r="I463" s="2" t="n">
        <x:v>3</x:v>
      </x:c>
      <x:c r="J463" s="2" t="n">
        <x:v>1</x:v>
      </x:c>
      <x:c r="K463" s="2" t="n">
        <x:v>3</x:v>
      </x:c>
      <x:c r="L463" s="2" t="str">
        <x:v>Developing</x:v>
      </x:c>
    </x:row>
    <x:row r="464" ht="22" customHeight="1">
      <x:c r="A464" s="2"/>
      <x:c r="B464" s="2" t="str">
        <x:v>12773</x:v>
      </x:c>
      <x:c r="C464" s="2" t="str">
        <x:v>Portugal</x:v>
      </x:c>
      <x:c r="D464" s="25" t="n">
        <x:v>40322.520833333336</x:v>
      </x:c>
      <x:c r="E464" s="25" t="n">
        <x:v>40322.520833333336</x:v>
      </x:c>
      <x:c r="F464" s="2" t="n">
        <x:v>565</x:v>
      </x:c>
      <x:c r="G464" s="2" t="n">
        <x:v>1</x:v>
      </x:c>
      <x:c r="H464" s="11" t="n">
        <x:v>124.25</x:v>
      </x:c>
      <x:c r="I464" s="2" t="n">
        <x:v>1</x:v>
      </x:c>
      <x:c r="J464" s="2" t="n">
        <x:v>1</x:v>
      </x:c>
      <x:c r="K464" s="2" t="n">
        <x:v>1</x:v>
      </x:c>
      <x:c r="L464" s="2" t="str">
        <x:v>Hibernating</x:v>
      </x:c>
    </x:row>
    <x:row r="465" ht="22" customHeight="1">
      <x:c r="A465" s="2"/>
      <x:c r="B465" s="2" t="str">
        <x:v>12774</x:v>
      </x:c>
      <x:c r="C465" s="2" t="str">
        <x:v>Netherlands</x:v>
      </x:c>
      <x:c r="D465" s="25" t="n">
        <x:v>40351.23472222222</x:v>
      </x:c>
      <x:c r="E465" s="25" t="n">
        <x:v>40351.23472222222</x:v>
      </x:c>
      <x:c r="F465" s="2" t="n">
        <x:v>536</x:v>
      </x:c>
      <x:c r="G465" s="2" t="n">
        <x:v>1</x:v>
      </x:c>
      <x:c r="H465" s="11" t="n">
        <x:v>98.7</x:v>
      </x:c>
      <x:c r="I465" s="2" t="n">
        <x:v>1</x:v>
      </x:c>
      <x:c r="J465" s="2" t="n">
        <x:v>1</x:v>
      </x:c>
      <x:c r="K465" s="2" t="n">
        <x:v>1</x:v>
      </x:c>
      <x:c r="L465" s="2" t="str">
        <x:v>Hibernating</x:v>
      </x:c>
    </x:row>
    <x:row r="466" ht="22" customHeight="1">
      <x:c r="A466" s="2"/>
      <x:c r="B466" s="2" t="str">
        <x:v>12775</x:v>
      </x:c>
      <x:c r="C466" s="2" t="str">
        <x:v>Netherlands</x:v>
      </x:c>
      <x:c r="D466" s="25" t="n">
        <x:v>40477.39166666667</x:v>
      </x:c>
      <x:c r="E466" s="25" t="n">
        <x:v>40869.48125</x:v>
      </x:c>
      <x:c r="F466" s="2" t="n">
        <x:v>18</x:v>
      </x:c>
      <x:c r="G466" s="2" t="n">
        <x:v>7</x:v>
      </x:c>
      <x:c r="H466" s="11" t="n">
        <x:v>1686.12</x:v>
      </x:c>
      <x:c r="I466" s="2" t="n">
        <x:v>5</x:v>
      </x:c>
      <x:c r="J466" s="2" t="n">
        <x:v>4</x:v>
      </x:c>
      <x:c r="K466" s="2" t="n">
        <x:v>4</x:v>
      </x:c>
      <x:c r="L466" s="2" t="str">
        <x:v>Champions</x:v>
      </x:c>
    </x:row>
    <x:row r="467" ht="22" customHeight="1">
      <x:c r="A467" s="2"/>
      <x:c r="B467" s="2" t="str">
        <x:v>12776</x:v>
      </x:c>
      <x:c r="C467" s="2" t="str">
        <x:v>Portugal</x:v>
      </x:c>
      <x:c r="D467" s="25" t="n">
        <x:v>40219.299305555556</x:v>
      </x:c>
      <x:c r="E467" s="25" t="n">
        <x:v>40219.299305555556</x:v>
      </x:c>
      <x:c r="F467" s="2" t="n">
        <x:v>668</x:v>
      </x:c>
      <x:c r="G467" s="2" t="n">
        <x:v>1</x:v>
      </x:c>
      <x:c r="H467" s="11" t="n">
        <x:v>55.5</x:v>
      </x:c>
      <x:c r="I467" s="2" t="n">
        <x:v>1</x:v>
      </x:c>
      <x:c r="J467" s="2" t="n">
        <x:v>1</x:v>
      </x:c>
      <x:c r="K467" s="2" t="n">
        <x:v>1</x:v>
      </x:c>
      <x:c r="L467" s="2" t="str">
        <x:v>Hibernating</x:v>
      </x:c>
    </x:row>
    <x:row r="468" ht="22" customHeight="1">
      <x:c r="A468" s="2"/>
      <x:c r="B468" s="2" t="str">
        <x:v>12777</x:v>
      </x:c>
      <x:c r="C468" s="2" t="str">
        <x:v>United Kingdom</x:v>
      </x:c>
      <x:c r="D468" s="25" t="n">
        <x:v>40429.274305555555</x:v>
      </x:c>
      <x:c r="E468" s="25" t="n">
        <x:v>40429.274305555555</x:v>
      </x:c>
      <x:c r="F468" s="2" t="n">
        <x:v>458</x:v>
      </x:c>
      <x:c r="G468" s="2" t="n">
        <x:v>1</x:v>
      </x:c>
      <x:c r="H468" s="11" t="n">
        <x:v>519.45</x:v>
      </x:c>
      <x:c r="I468" s="2" t="n">
        <x:v>1</x:v>
      </x:c>
      <x:c r="J468" s="2" t="n">
        <x:v>1</x:v>
      </x:c>
      <x:c r="K468" s="2" t="n">
        <x:v>2</x:v>
      </x:c>
      <x:c r="L468" s="2" t="str">
        <x:v>Hibernating</x:v>
      </x:c>
    </x:row>
    <x:row r="469" ht="22" customHeight="1">
      <x:c r="A469" s="2"/>
      <x:c r="B469" s="2" t="str">
        <x:v>12778</x:v>
      </x:c>
      <x:c r="C469" s="2" t="str">
        <x:v>Netherlands</x:v>
      </x:c>
      <x:c r="D469" s="25" t="n">
        <x:v>40284.20625</x:v>
      </x:c>
      <x:c r="E469" s="25" t="n">
        <x:v>40867.270833333336</x:v>
      </x:c>
      <x:c r="F469" s="2" t="n">
        <x:v>20</x:v>
      </x:c>
      <x:c r="G469" s="2" t="n">
        <x:v>9</x:v>
      </x:c>
      <x:c r="H469" s="11" t="n">
        <x:v>1775.68</x:v>
      </x:c>
      <x:c r="I469" s="2" t="n">
        <x:v>5</x:v>
      </x:c>
      <x:c r="J469" s="2" t="n">
        <x:v>5</x:v>
      </x:c>
      <x:c r="K469" s="2" t="n">
        <x:v>4</x:v>
      </x:c>
      <x:c r="L469" s="2" t="str">
        <x:v>Champions</x:v>
      </x:c>
    </x:row>
    <x:row r="470" ht="22" customHeight="1">
      <x:c r="A470" s="2"/>
      <x:c r="B470" s="2" t="str">
        <x:v>12779</x:v>
      </x:c>
      <x:c r="C470" s="2" t="str">
        <x:v>Poland</x:v>
      </x:c>
      <x:c r="D470" s="25" t="n">
        <x:v>40150.100694444445</x:v>
      </x:c>
      <x:c r="E470" s="25" t="n">
        <x:v>40849.279861111114</x:v>
      </x:c>
      <x:c r="F470" s="2" t="n">
        <x:v>38</x:v>
      </x:c>
      <x:c r="G470" s="2" t="n">
        <x:v>14</x:v>
      </x:c>
      <x:c r="H470" s="11" t="n">
        <x:v>6474.11</x:v>
      </x:c>
      <x:c r="I470" s="2" t="n">
        <x:v>4</x:v>
      </x:c>
      <x:c r="J470" s="2" t="n">
        <x:v>5</x:v>
      </x:c>
      <x:c r="K470" s="2" t="n">
        <x:v>5</x:v>
      </x:c>
      <x:c r="L470" s="2" t="str">
        <x:v>Champions</x:v>
      </x:c>
    </x:row>
    <x:row r="471" ht="22" customHeight="1">
      <x:c r="A471" s="2"/>
      <x:c r="B471" s="2" t="str">
        <x:v>12780</x:v>
      </x:c>
      <x:c r="C471" s="2" t="str">
        <x:v>Netherlands</x:v>
      </x:c>
      <x:c r="D471" s="25" t="n">
        <x:v>40288.194444444445</x:v>
      </x:c>
      <x:c r="E471" s="25" t="n">
        <x:v>40288.194444444445</x:v>
      </x:c>
      <x:c r="F471" s="2" t="n">
        <x:v>599</x:v>
      </x:c>
      <x:c r="G471" s="2" t="n">
        <x:v>1</x:v>
      </x:c>
      <x:c r="H471" s="11" t="n">
        <x:v>337.4</x:v>
      </x:c>
      <x:c r="I471" s="2" t="n">
        <x:v>1</x:v>
      </x:c>
      <x:c r="J471" s="2" t="n">
        <x:v>1</x:v>
      </x:c>
      <x:c r="K471" s="2" t="n">
        <x:v>2</x:v>
      </x:c>
      <x:c r="L471" s="2" t="str">
        <x:v>Hibernating</x:v>
      </x:c>
    </x:row>
    <x:row r="472" ht="22" customHeight="1">
      <x:c r="A472" s="2"/>
      <x:c r="B472" s="2" t="str">
        <x:v>12781</x:v>
      </x:c>
      <x:c r="C472" s="2" t="str">
        <x:v>Czech Republic</x:v>
      </x:c>
      <x:c r="D472" s="25" t="n">
        <x:v>40602.154861111114</x:v>
      </x:c>
      <x:c r="E472" s="25" t="n">
        <x:v>40823.23402777778</x:v>
      </x:c>
      <x:c r="F472" s="2" t="n">
        <x:v>64</x:v>
      </x:c>
      <x:c r="G472" s="2" t="n">
        <x:v>2</x:v>
      </x:c>
      <x:c r="H472" s="11" t="n">
        <x:v>826.74</x:v>
      </x:c>
      <x:c r="I472" s="2" t="n">
        <x:v>3</x:v>
      </x:c>
      <x:c r="J472" s="2" t="n">
        <x:v>2</x:v>
      </x:c>
      <x:c r="K472" s="2" t="n">
        <x:v>3</x:v>
      </x:c>
      <x:c r="L472" s="2" t="str">
        <x:v>Developing</x:v>
      </x:c>
    </x:row>
    <x:row r="473" ht="22" customHeight="1">
      <x:c r="A473" s="2"/>
      <x:c r="B473" s="2" t="str">
        <x:v>12782</x:v>
      </x:c>
      <x:c r="C473" s="2" t="str">
        <x:v>Portugal</x:v>
      </x:c>
      <x:c r="D473" s="25" t="n">
        <x:v>40367.35486111111</x:v>
      </x:c>
      <x:c r="E473" s="25" t="n">
        <x:v>40882.177777777775</x:v>
      </x:c>
      <x:c r="F473" s="2" t="n">
        <x:v>5</x:v>
      </x:c>
      <x:c r="G473" s="2" t="n">
        <x:v>11</x:v>
      </x:c>
      <x:c r="H473" s="11" t="n">
        <x:v>4618.24</x:v>
      </x:c>
      <x:c r="I473" s="2" t="n">
        <x:v>5</x:v>
      </x:c>
      <x:c r="J473" s="2" t="n">
        <x:v>5</x:v>
      </x:c>
      <x:c r="K473" s="2" t="n">
        <x:v>5</x:v>
      </x:c>
      <x:c r="L473" s="2" t="str">
        <x:v>Champions</x:v>
      </x:c>
    </x:row>
    <x:row r="474" ht="22" customHeight="1">
      <x:c r="A474" s="2"/>
      <x:c r="B474" s="2" t="str">
        <x:v>12783</x:v>
      </x:c>
      <x:c r="C474" s="2" t="str">
        <x:v>Portugal</x:v>
      </x:c>
      <x:c r="D474" s="25" t="n">
        <x:v>40811.44097222222</x:v>
      </x:c>
      <x:c r="E474" s="25" t="n">
        <x:v>40884.455555555556</x:v>
      </x:c>
      <x:c r="F474" s="2" t="n">
        <x:v>3</x:v>
      </x:c>
      <x:c r="G474" s="2" t="n">
        <x:v>6</x:v>
      </x:c>
      <x:c r="H474" s="11" t="n">
        <x:v>2225.91</x:v>
      </x:c>
      <x:c r="I474" s="2" t="n">
        <x:v>5</x:v>
      </x:c>
      <x:c r="J474" s="2" t="n">
        <x:v>4</x:v>
      </x:c>
      <x:c r="K474" s="2" t="n">
        <x:v>4</x:v>
      </x:c>
      <x:c r="L474" s="2" t="str">
        <x:v>Champions</x:v>
      </x:c>
    </x:row>
    <x:row r="475" ht="22" customHeight="1">
      <x:c r="A475" s="2"/>
      <x:c r="B475" s="2" t="str">
        <x:v>12784</x:v>
      </x:c>
      <x:c r="C475" s="2" t="str">
        <x:v>Portugal</x:v>
      </x:c>
      <x:c r="D475" s="25" t="n">
        <x:v>40357.3375</x:v>
      </x:c>
      <x:c r="E475" s="25" t="n">
        <x:v>40877.44305555556</x:v>
      </x:c>
      <x:c r="F475" s="2" t="n">
        <x:v>10</x:v>
      </x:c>
      <x:c r="G475" s="2" t="n">
        <x:v>3</x:v>
      </x:c>
      <x:c r="H475" s="11" t="n">
        <x:v>1804.75</x:v>
      </x:c>
      <x:c r="I475" s="2" t="n">
        <x:v>5</x:v>
      </x:c>
      <x:c r="J475" s="2" t="n">
        <x:v>3</x:v>
      </x:c>
      <x:c r="K475" s="2" t="n">
        <x:v>4</x:v>
      </x:c>
      <x:c r="L475" s="2" t="str">
        <x:v>Loyal</x:v>
      </x:c>
    </x:row>
    <x:row r="476" ht="22" customHeight="1">
      <x:c r="A476" s="2"/>
      <x:c r="B476" s="2" t="str">
        <x:v>12785</x:v>
      </x:c>
      <x:c r="C476" s="2" t="str">
        <x:v>Portugal</x:v>
      </x:c>
      <x:c r="D476" s="25" t="n">
        <x:v>40155.37222222222</x:v>
      </x:c>
      <x:c r="E476" s="25" t="n">
        <x:v>40522.36666666667</x:v>
      </x:c>
      <x:c r="F476" s="2" t="n">
        <x:v>365</x:v>
      </x:c>
      <x:c r="G476" s="2" t="n">
        <x:v>3</x:v>
      </x:c>
      <x:c r="H476" s="11" t="n">
        <x:v>1100.4</x:v>
      </x:c>
      <x:c r="I476" s="2" t="n">
        <x:v>2</x:v>
      </x:c>
      <x:c r="J476" s="2" t="n">
        <x:v>3</x:v>
      </x:c>
      <x:c r="K476" s="2" t="n">
        <x:v>3</x:v>
      </x:c>
      <x:c r="L476" s="2" t="str">
        <x:v>At risk</x:v>
      </x:c>
    </x:row>
    <x:row r="477" ht="22" customHeight="1">
      <x:c r="A477" s="2"/>
      <x:c r="B477" s="2" t="str">
        <x:v>12786</x:v>
      </x:c>
      <x:c r="C477" s="2" t="str">
        <x:v>Netherlands</x:v>
      </x:c>
      <x:c r="D477" s="25" t="n">
        <x:v>40277.3</x:v>
      </x:c>
      <x:c r="E477" s="25" t="n">
        <x:v>40277.3</x:v>
      </x:c>
      <x:c r="F477" s="2" t="n">
        <x:v>610</x:v>
      </x:c>
      <x:c r="G477" s="2" t="n">
        <x:v>1</x:v>
      </x:c>
      <x:c r="H477" s="11" t="n">
        <x:v>728.5</x:v>
      </x:c>
      <x:c r="I477" s="2" t="n">
        <x:v>1</x:v>
      </x:c>
      <x:c r="J477" s="2" t="n">
        <x:v>1</x:v>
      </x:c>
      <x:c r="K477" s="2" t="n">
        <x:v>3</x:v>
      </x:c>
      <x:c r="L477" s="2" t="str">
        <x:v>Hibernating</x:v>
      </x:c>
    </x:row>
    <x:row r="478" ht="22" customHeight="1">
      <x:c r="A478" s="2"/>
      <x:c r="B478" s="2" t="str">
        <x:v>12787</x:v>
      </x:c>
      <x:c r="C478" s="2" t="str">
        <x:v>Netherlands</x:v>
      </x:c>
      <x:c r="D478" s="25" t="n">
        <x:v>40473.41458333333</x:v>
      </x:c>
      <x:c r="E478" s="25" t="n">
        <x:v>40877.15555555555</x:v>
      </x:c>
      <x:c r="F478" s="2" t="n">
        <x:v>10</x:v>
      </x:c>
      <x:c r="G478" s="2" t="n">
        <x:v>4</x:v>
      </x:c>
      <x:c r="H478" s="11" t="n">
        <x:v>862.18</x:v>
      </x:c>
      <x:c r="I478" s="2" t="n">
        <x:v>5</x:v>
      </x:c>
      <x:c r="J478" s="2" t="n">
        <x:v>3</x:v>
      </x:c>
      <x:c r="K478" s="2" t="n">
        <x:v>3</x:v>
      </x:c>
      <x:c r="L478" s="2" t="str">
        <x:v>Loyal</x:v>
      </x:c>
    </x:row>
    <x:row r="479" ht="22" customHeight="1">
      <x:c r="A479" s="2"/>
      <x:c r="B479" s="2" t="str">
        <x:v>12788</x:v>
      </x:c>
      <x:c r="C479" s="2" t="str">
        <x:v>Netherlands</x:v>
      </x:c>
      <x:c r="D479" s="25" t="n">
        <x:v>40358.336805555555</x:v>
      </x:c>
      <x:c r="E479" s="25" t="n">
        <x:v>40423.38958333333</x:v>
      </x:c>
      <x:c r="F479" s="2" t="n">
        <x:v>464</x:v>
      </x:c>
      <x:c r="G479" s="2" t="n">
        <x:v>4</x:v>
      </x:c>
      <x:c r="H479" s="11" t="n">
        <x:v>444.9</x:v>
      </x:c>
      <x:c r="I479" s="2" t="n">
        <x:v>1</x:v>
      </x:c>
      <x:c r="J479" s="2" t="n">
        <x:v>3</x:v>
      </x:c>
      <x:c r="K479" s="2" t="n">
        <x:v>2</x:v>
      </x:c>
      <x:c r="L479" s="2" t="str">
        <x:v>At risk</x:v>
      </x:c>
    </x:row>
    <x:row r="480" ht="22" customHeight="1">
      <x:c r="A480" s="2"/>
      <x:c r="B480" s="2" t="str">
        <x:v>12789</x:v>
      </x:c>
      <x:c r="C480" s="2" t="str">
        <x:v>Netherlands</x:v>
      </x:c>
      <x:c r="D480" s="25" t="n">
        <x:v>40193.29583333333</x:v>
      </x:c>
      <x:c r="E480" s="25" t="n">
        <x:v>40821.356944444444</x:v>
      </x:c>
      <x:c r="F480" s="2" t="n">
        <x:v>66</x:v>
      </x:c>
      <x:c r="G480" s="2" t="n">
        <x:v>3</x:v>
      </x:c>
      <x:c r="H480" s="11" t="n">
        <x:v>273.35</x:v>
      </x:c>
      <x:c r="I480" s="2" t="n">
        <x:v>3</x:v>
      </x:c>
      <x:c r="J480" s="2" t="n">
        <x:v>3</x:v>
      </x:c>
      <x:c r="K480" s="2" t="n">
        <x:v>1</x:v>
      </x:c>
      <x:c r="L480" s="2" t="str">
        <x:v>Loyal</x:v>
      </x:c>
    </x:row>
    <x:row r="481" ht="22" customHeight="1">
      <x:c r="A481" s="2"/>
      <x:c r="B481" s="2" t="str">
        <x:v>12790</x:v>
      </x:c>
      <x:c r="C481" s="2" t="str">
        <x:v>Netherlands</x:v>
      </x:c>
      <x:c r="D481" s="25" t="n">
        <x:v>40476.33611111111</x:v>
      </x:c>
      <x:c r="E481" s="25" t="n">
        <x:v>40694.384722222225</x:v>
      </x:c>
      <x:c r="F481" s="2" t="n">
        <x:v>193</x:v>
      </x:c>
      <x:c r="G481" s="2" t="n">
        <x:v>2</x:v>
      </x:c>
      <x:c r="H481" s="11" t="n">
        <x:v>591.85</x:v>
      </x:c>
      <x:c r="I481" s="2" t="n">
        <x:v>2</x:v>
      </x:c>
      <x:c r="J481" s="2" t="n">
        <x:v>2</x:v>
      </x:c>
      <x:c r="K481" s="2" t="n">
        <x:v>2</x:v>
      </x:c>
      <x:c r="L481" s="2" t="str">
        <x:v>Hibernating</x:v>
      </x:c>
    </x:row>
    <x:row r="482" ht="22" customHeight="1">
      <x:c r="A482" s="2"/>
      <x:c r="B482" s="2" t="str">
        <x:v>12791</x:v>
      </x:c>
      <x:c r="C482" s="2" t="str">
        <x:v>Netherlands</x:v>
      </x:c>
      <x:c r="D482" s="25" t="n">
        <x:v>40262.52013888889</x:v>
      </x:c>
      <x:c r="E482" s="25" t="n">
        <x:v>40513.26875</x:v>
      </x:c>
      <x:c r="F482" s="2" t="n">
        <x:v>374</x:v>
      </x:c>
      <x:c r="G482" s="2" t="n">
        <x:v>6</x:v>
      </x:c>
      <x:c r="H482" s="11" t="n">
        <x:v>863.51</x:v>
      </x:c>
      <x:c r="I482" s="2" t="n">
        <x:v>2</x:v>
      </x:c>
      <x:c r="J482" s="2" t="n">
        <x:v>4</x:v>
      </x:c>
      <x:c r="K482" s="2" t="n">
        <x:v>3</x:v>
      </x:c>
      <x:c r="L482" s="2" t="str">
        <x:v>At risk</x:v>
      </x:c>
    </x:row>
    <x:row r="483" ht="22" customHeight="1">
      <x:c r="A483" s="2"/>
      <x:c r="B483" s="2" t="str">
        <x:v>12792</x:v>
      </x:c>
      <x:c r="C483" s="2" t="str">
        <x:v>Portugal</x:v>
      </x:c>
      <x:c r="D483" s="25" t="n">
        <x:v>40352.24236111111</x:v>
      </x:c>
      <x:c r="E483" s="25" t="n">
        <x:v>40630.275</x:v>
      </x:c>
      <x:c r="F483" s="2" t="n">
        <x:v>257</x:v>
      </x:c>
      <x:c r="G483" s="2" t="n">
        <x:v>2</x:v>
      </x:c>
      <x:c r="H483" s="11" t="n">
        <x:v>827.01</x:v>
      </x:c>
      <x:c r="I483" s="2" t="n">
        <x:v>2</x:v>
      </x:c>
      <x:c r="J483" s="2" t="n">
        <x:v>2</x:v>
      </x:c>
      <x:c r="K483" s="2" t="n">
        <x:v>3</x:v>
      </x:c>
      <x:c r="L483" s="2" t="str">
        <x:v>Hibernating</x:v>
      </x:c>
    </x:row>
    <x:row r="484" ht="22" customHeight="1">
      <x:c r="A484" s="2"/>
      <x:c r="B484" s="2" t="str">
        <x:v>12793</x:v>
      </x:c>
      <x:c r="C484" s="2" t="str">
        <x:v>Portugal</x:v>
      </x:c>
      <x:c r="D484" s="25" t="n">
        <x:v>40485.336805555555</x:v>
      </x:c>
      <x:c r="E484" s="25" t="n">
        <x:v>40552.3</x:v>
      </x:c>
      <x:c r="F484" s="2" t="n">
        <x:v>335</x:v>
      </x:c>
      <x:c r="G484" s="2" t="n">
        <x:v>3</x:v>
      </x:c>
      <x:c r="H484" s="11" t="n">
        <x:v>885.53</x:v>
      </x:c>
      <x:c r="I484" s="2" t="n">
        <x:v>2</x:v>
      </x:c>
      <x:c r="J484" s="2" t="n">
        <x:v>3</x:v>
      </x:c>
      <x:c r="K484" s="2" t="n">
        <x:v>3</x:v>
      </x:c>
      <x:c r="L484" s="2" t="str">
        <x:v>At risk</x:v>
      </x:c>
    </x:row>
    <x:row r="485" ht="22" customHeight="1">
      <x:c r="A485" s="2"/>
      <x:c r="B485" s="2" t="str">
        <x:v>12794</x:v>
      </x:c>
      <x:c r="C485" s="2" t="str">
        <x:v>Portugal</x:v>
      </x:c>
      <x:c r="D485" s="25" t="n">
        <x:v>40788.29236111111</x:v>
      </x:c>
      <x:c r="E485" s="25" t="n">
        <x:v>40833.4125</x:v>
      </x:c>
      <x:c r="F485" s="2" t="n">
        <x:v>54</x:v>
      </x:c>
      <x:c r="G485" s="2" t="n">
        <x:v>2</x:v>
      </x:c>
      <x:c r="H485" s="11" t="n">
        <x:v>860.41</x:v>
      </x:c>
      <x:c r="I485" s="2" t="n">
        <x:v>4</x:v>
      </x:c>
      <x:c r="J485" s="2" t="n">
        <x:v>2</x:v>
      </x:c>
      <x:c r="K485" s="2" t="n">
        <x:v>3</x:v>
      </x:c>
      <x:c r="L485" s="2" t="str">
        <x:v>Recent light buyers</x:v>
      </x:c>
    </x:row>
    <x:row r="486" ht="22" customHeight="1">
      <x:c r="A486" s="2"/>
      <x:c r="B486" s="2" t="str">
        <x:v>12795</x:v>
      </x:c>
      <x:c r="C486" s="2" t="str">
        <x:v>Portugal</x:v>
      </x:c>
      <x:c r="D486" s="25" t="n">
        <x:v>40868.22708333333</x:v>
      </x:c>
      <x:c r="E486" s="25" t="n">
        <x:v>40868.22708333333</x:v>
      </x:c>
      <x:c r="F486" s="2" t="n">
        <x:v>19</x:v>
      </x:c>
      <x:c r="G486" s="2" t="n">
        <x:v>1</x:v>
      </x:c>
      <x:c r="H486" s="11" t="n">
        <x:v>430.48</x:v>
      </x:c>
      <x:c r="I486" s="2" t="n">
        <x:v>5</x:v>
      </x:c>
      <x:c r="J486" s="2" t="n">
        <x:v>1</x:v>
      </x:c>
      <x:c r="K486" s="2" t="n">
        <x:v>2</x:v>
      </x:c>
      <x:c r="L486" s="2" t="str">
        <x:v>Recent light buyers</x:v>
      </x:c>
    </x:row>
    <x:row r="487" ht="22" customHeight="1">
      <x:c r="A487" s="2"/>
      <x:c r="B487" s="2" t="str">
        <x:v>12796</x:v>
      </x:c>
      <x:c r="C487" s="2" t="str">
        <x:v>Netherlands</x:v>
      </x:c>
      <x:c r="D487" s="25" t="n">
        <x:v>40258.450694444444</x:v>
      </x:c>
      <x:c r="E487" s="25" t="n">
        <x:v>40258.450694444444</x:v>
      </x:c>
      <x:c r="F487" s="2" t="n">
        <x:v>629</x:v>
      </x:c>
      <x:c r="G487" s="2" t="n">
        <x:v>1</x:v>
      </x:c>
      <x:c r="H487" s="11" t="n">
        <x:v>381</x:v>
      </x:c>
      <x:c r="I487" s="2" t="n">
        <x:v>1</x:v>
      </x:c>
      <x:c r="J487" s="2" t="n">
        <x:v>1</x:v>
      </x:c>
      <x:c r="K487" s="2" t="n">
        <x:v>2</x:v>
      </x:c>
      <x:c r="L487" s="2" t="str">
        <x:v>Hibernating</x:v>
      </x:c>
    </x:row>
    <x:row r="488" ht="22" customHeight="1">
      <x:c r="A488" s="2"/>
      <x:c r="B488" s="2" t="str">
        <x:v>12797</x:v>
      </x:c>
      <x:c r="C488" s="2" t="str">
        <x:v>Portugal</x:v>
      </x:c>
      <x:c r="D488" s="25" t="n">
        <x:v>40462.32847222222</x:v>
      </x:c>
      <x:c r="E488" s="25" t="n">
        <x:v>40521.24652777778</x:v>
      </x:c>
      <x:c r="F488" s="2" t="n">
        <x:v>366</x:v>
      </x:c>
      <x:c r="G488" s="2" t="n">
        <x:v>2</x:v>
      </x:c>
      <x:c r="H488" s="11" t="n">
        <x:v>552.08</x:v>
      </x:c>
      <x:c r="I488" s="2" t="n">
        <x:v>2</x:v>
      </x:c>
      <x:c r="J488" s="2" t="n">
        <x:v>2</x:v>
      </x:c>
      <x:c r="K488" s="2" t="n">
        <x:v>2</x:v>
      </x:c>
      <x:c r="L488" s="2" t="str">
        <x:v>Hibernating</x:v>
      </x:c>
    </x:row>
    <x:row r="489" ht="22" customHeight="1">
      <x:c r="A489" s="2"/>
      <x:c r="B489" s="2" t="str">
        <x:v>12798</x:v>
      </x:c>
      <x:c r="C489" s="2" t="str">
        <x:v>Japan</x:v>
      </x:c>
      <x:c r="D489" s="25" t="n">
        <x:v>40465.31041666667</x:v>
      </x:c>
      <x:c r="E489" s="25" t="n">
        <x:v>40876.45277777778</x:v>
      </x:c>
      <x:c r="F489" s="2" t="n">
        <x:v>11</x:v>
      </x:c>
      <x:c r="G489" s="2" t="n">
        <x:v>4</x:v>
      </x:c>
      <x:c r="H489" s="11" t="n">
        <x:v>8510.93</x:v>
      </x:c>
      <x:c r="I489" s="2" t="n">
        <x:v>5</x:v>
      </x:c>
      <x:c r="J489" s="2" t="n">
        <x:v>3</x:v>
      </x:c>
      <x:c r="K489" s="2" t="n">
        <x:v>5</x:v>
      </x:c>
      <x:c r="L489" s="2" t="str">
        <x:v>Loyal</x:v>
      </x:c>
    </x:row>
    <x:row r="490" ht="22" customHeight="1">
      <x:c r="A490" s="2"/>
      <x:c r="B490" s="2" t="str">
        <x:v>12799</x:v>
      </x:c>
      <x:c r="C490" s="2" t="str">
        <x:v>Japan</x:v>
      </x:c>
      <x:c r="D490" s="25" t="n">
        <x:v>40357.45625</x:v>
      </x:c>
      <x:c r="E490" s="25" t="n">
        <x:v>40357.45625</x:v>
      </x:c>
      <x:c r="F490" s="2" t="n">
        <x:v>530</x:v>
      </x:c>
      <x:c r="G490" s="2" t="n">
        <x:v>1</x:v>
      </x:c>
      <x:c r="H490" s="11" t="n">
        <x:v>219.35</x:v>
      </x:c>
      <x:c r="I490" s="2" t="n">
        <x:v>1</x:v>
      </x:c>
      <x:c r="J490" s="2" t="n">
        <x:v>1</x:v>
      </x:c>
      <x:c r="K490" s="2" t="n">
        <x:v>1</x:v>
      </x:c>
      <x:c r="L490" s="2" t="str">
        <x:v>Hibernating</x:v>
      </x:c>
    </x:row>
    <x:row r="491" ht="22" customHeight="1">
      <x:c r="A491" s="2"/>
      <x:c r="B491" s="2" t="str">
        <x:v>12800</x:v>
      </x:c>
      <x:c r="C491" s="2" t="str">
        <x:v>Portugal</x:v>
      </x:c>
      <x:c r="D491" s="25" t="n">
        <x:v>40210.251388888886</x:v>
      </x:c>
      <x:c r="E491" s="25" t="n">
        <x:v>40416.38263888889</x:v>
      </x:c>
      <x:c r="F491" s="2" t="n">
        <x:v>471</x:v>
      </x:c>
      <x:c r="G491" s="2" t="n">
        <x:v>3</x:v>
      </x:c>
      <x:c r="H491" s="11" t="n">
        <x:v>584.25</x:v>
      </x:c>
      <x:c r="I491" s="2" t="n">
        <x:v>1</x:v>
      </x:c>
      <x:c r="J491" s="2" t="n">
        <x:v>3</x:v>
      </x:c>
      <x:c r="K491" s="2" t="n">
        <x:v>2</x:v>
      </x:c>
      <x:c r="L491" s="2" t="str">
        <x:v>At risk</x:v>
      </x:c>
    </x:row>
    <x:row r="492" ht="22" customHeight="1">
      <x:c r="A492" s="2"/>
      <x:c r="B492" s="2" t="str">
        <x:v>12801</x:v>
      </x:c>
      <x:c r="C492" s="2" t="str">
        <x:v>Sweden</x:v>
      </x:c>
      <x:c r="D492" s="25" t="n">
        <x:v>40386.19305555556</x:v>
      </x:c>
      <x:c r="E492" s="25" t="n">
        <x:v>40386.19305555556</x:v>
      </x:c>
      <x:c r="F492" s="2" t="n">
        <x:v>501</x:v>
      </x:c>
      <x:c r="G492" s="2" t="n">
        <x:v>1</x:v>
      </x:c>
      <x:c r="H492" s="11" t="n">
        <x:v>1071.82</x:v>
      </x:c>
      <x:c r="I492" s="2" t="n">
        <x:v>1</x:v>
      </x:c>
      <x:c r="J492" s="2" t="n">
        <x:v>1</x:v>
      </x:c>
      <x:c r="K492" s="2" t="n">
        <x:v>3</x:v>
      </x:c>
      <x:c r="L492" s="2" t="str">
        <x:v>Hibernating</x:v>
      </x:c>
    </x:row>
    <x:row r="493" ht="22" customHeight="1">
      <x:c r="A493" s="2"/>
      <x:c r="B493" s="2" t="str">
        <x:v>12802</x:v>
      </x:c>
      <x:c r="C493" s="2" t="str">
        <x:v>Netherlands</x:v>
      </x:c>
      <x:c r="D493" s="25" t="n">
        <x:v>40323.19027777778</x:v>
      </x:c>
      <x:c r="E493" s="25" t="n">
        <x:v>40700.191666666666</x:v>
      </x:c>
      <x:c r="F493" s="2" t="n">
        <x:v>187</x:v>
      </x:c>
      <x:c r="G493" s="2" t="n">
        <x:v>7</x:v>
      </x:c>
      <x:c r="H493" s="11" t="n">
        <x:v>2416.42</x:v>
      </x:c>
      <x:c r="I493" s="2" t="n">
        <x:v>3</x:v>
      </x:c>
      <x:c r="J493" s="2" t="n">
        <x:v>4</x:v>
      </x:c>
      <x:c r="K493" s="2" t="n">
        <x:v>4</x:v>
      </x:c>
      <x:c r="L493" s="2" t="str">
        <x:v>Loyal</x:v>
      </x:c>
    </x:row>
    <x:row r="494" ht="22" customHeight="1">
      <x:c r="A494" s="2"/>
      <x:c r="B494" s="2" t="str">
        <x:v>12803</x:v>
      </x:c>
      <x:c r="C494" s="2" t="str">
        <x:v>Netherlands</x:v>
      </x:c>
      <x:c r="D494" s="25" t="n">
        <x:v>40493.41458333333</x:v>
      </x:c>
      <x:c r="E494" s="25" t="n">
        <x:v>40493.41458333333</x:v>
      </x:c>
      <x:c r="F494" s="2" t="n">
        <x:v>394</x:v>
      </x:c>
      <x:c r="G494" s="2" t="n">
        <x:v>1</x:v>
      </x:c>
      <x:c r="H494" s="11" t="n">
        <x:v>1092.81</x:v>
      </x:c>
      <x:c r="I494" s="2" t="n">
        <x:v>2</x:v>
      </x:c>
      <x:c r="J494" s="2" t="n">
        <x:v>1</x:v>
      </x:c>
      <x:c r="K494" s="2" t="n">
        <x:v>3</x:v>
      </x:c>
      <x:c r="L494" s="2" t="str">
        <x:v>Hibernating</x:v>
      </x:c>
    </x:row>
    <x:row r="495" ht="22" customHeight="1">
      <x:c r="A495" s="2"/>
      <x:c r="B495" s="2" t="str">
        <x:v>12804</x:v>
      </x:c>
      <x:c r="C495" s="2" t="str">
        <x:v>Netherlands</x:v>
      </x:c>
      <x:c r="D495" s="25" t="n">
        <x:v>40386.36944444444</x:v>
      </x:c>
      <x:c r="E495" s="25" t="n">
        <x:v>40421.29027777778</x:v>
      </x:c>
      <x:c r="F495" s="2" t="n">
        <x:v>466</x:v>
      </x:c>
      <x:c r="G495" s="2" t="n">
        <x:v>2</x:v>
      </x:c>
      <x:c r="H495" s="11" t="n">
        <x:v>327.02</x:v>
      </x:c>
      <x:c r="I495" s="2" t="n">
        <x:v>1</x:v>
      </x:c>
      <x:c r="J495" s="2" t="n">
        <x:v>2</x:v>
      </x:c>
      <x:c r="K495" s="2" t="n">
        <x:v>2</x:v>
      </x:c>
      <x:c r="L495" s="2" t="str">
        <x:v>Hibernating</x:v>
      </x:c>
    </x:row>
    <x:row r="496" ht="22" customHeight="1">
      <x:c r="A496" s="2"/>
      <x:c r="B496" s="2" t="str">
        <x:v>12805</x:v>
      </x:c>
      <x:c r="C496" s="2" t="str">
        <x:v>Netherlands</x:v>
      </x:c>
      <x:c r="D496" s="25" t="n">
        <x:v>40212.17083333333</x:v>
      </x:c>
      <x:c r="E496" s="25" t="n">
        <x:v>40505.31041666667</x:v>
      </x:c>
      <x:c r="F496" s="2" t="n">
        <x:v>382</x:v>
      </x:c>
      <x:c r="G496" s="2" t="n">
        <x:v>4</x:v>
      </x:c>
      <x:c r="H496" s="11" t="n">
        <x:v>1434.95</x:v>
      </x:c>
      <x:c r="I496" s="2" t="n">
        <x:v>2</x:v>
      </x:c>
      <x:c r="J496" s="2" t="n">
        <x:v>3</x:v>
      </x:c>
      <x:c r="K496" s="2" t="n">
        <x:v>4</x:v>
      </x:c>
      <x:c r="L496" s="2" t="str">
        <x:v>At risk</x:v>
      </x:c>
    </x:row>
    <x:row r="497" ht="22" customHeight="1">
      <x:c r="A497" s="2"/>
      <x:c r="B497" s="2" t="str">
        <x:v>12806</x:v>
      </x:c>
      <x:c r="C497" s="2" t="str">
        <x:v>Netherlands</x:v>
      </x:c>
      <x:c r="D497" s="25" t="n">
        <x:v>40298.23888888889</x:v>
      </x:c>
      <x:c r="E497" s="25" t="n">
        <x:v>40451.356944444444</x:v>
      </x:c>
      <x:c r="F497" s="2" t="n">
        <x:v>436</x:v>
      </x:c>
      <x:c r="G497" s="2" t="n">
        <x:v>4</x:v>
      </x:c>
      <x:c r="H497" s="11" t="n">
        <x:v>2878.96</x:v>
      </x:c>
      <x:c r="I497" s="2" t="n">
        <x:v>1</x:v>
      </x:c>
      <x:c r="J497" s="2" t="n">
        <x:v>3</x:v>
      </x:c>
      <x:c r="K497" s="2" t="n">
        <x:v>4</x:v>
      </x:c>
      <x:c r="L497" s="2" t="str">
        <x:v>At risk</x:v>
      </x:c>
    </x:row>
    <x:row r="498" ht="22" customHeight="1">
      <x:c r="A498" s="2"/>
      <x:c r="B498" s="2" t="str">
        <x:v>12807</x:v>
      </x:c>
      <x:c r="C498" s="2" t="str">
        <x:v>Sweden</x:v>
      </x:c>
      <x:c r="D498" s="25" t="n">
        <x:v>40503.38958333333</x:v>
      </x:c>
      <x:c r="E498" s="25" t="n">
        <x:v>40503.38958333333</x:v>
      </x:c>
      <x:c r="F498" s="2" t="n">
        <x:v>384</x:v>
      </x:c>
      <x:c r="G498" s="2" t="n">
        <x:v>1</x:v>
      </x:c>
      <x:c r="H498" s="11" t="n">
        <x:v>330.35</x:v>
      </x:c>
      <x:c r="I498" s="2" t="n">
        <x:v>2</x:v>
      </x:c>
      <x:c r="J498" s="2" t="n">
        <x:v>1</x:v>
      </x:c>
      <x:c r="K498" s="2" t="n">
        <x:v>2</x:v>
      </x:c>
      <x:c r="L498" s="2" t="str">
        <x:v>Hibernating</x:v>
      </x:c>
    </x:row>
    <x:row r="499" ht="22" customHeight="1">
      <x:c r="A499" s="2"/>
      <x:c r="B499" s="2" t="str">
        <x:v>12808</x:v>
      </x:c>
      <x:c r="C499" s="2" t="str">
        <x:v>Portugal</x:v>
      </x:c>
      <x:c r="D499" s="25" t="n">
        <x:v>40424.225</x:v>
      </x:c>
      <x:c r="E499" s="25" t="n">
        <x:v>40850.211805555555</x:v>
      </x:c>
      <x:c r="F499" s="2" t="n">
        <x:v>37</x:v>
      </x:c>
      <x:c r="G499" s="2" t="n">
        <x:v>5</x:v>
      </x:c>
      <x:c r="H499" s="11" t="n">
        <x:v>776.7</x:v>
      </x:c>
      <x:c r="I499" s="2" t="n">
        <x:v>4</x:v>
      </x:c>
      <x:c r="J499" s="2" t="n">
        <x:v>4</x:v>
      </x:c>
      <x:c r="K499" s="2" t="n">
        <x:v>3</x:v>
      </x:c>
      <x:c r="L499" s="2" t="str">
        <x:v>Loyal</x:v>
      </x:c>
    </x:row>
    <x:row r="500" ht="22" customHeight="1">
      <x:c r="A500" s="2"/>
      <x:c r="B500" s="2" t="str">
        <x:v>12809</x:v>
      </x:c>
      <x:c r="C500" s="2" t="str">
        <x:v>Portugal</x:v>
      </x:c>
      <x:c r="D500" s="25" t="n">
        <x:v>40239.388194444444</x:v>
      </x:c>
      <x:c r="E500" s="25" t="n">
        <x:v>40709.24375</x:v>
      </x:c>
      <x:c r="F500" s="2" t="n">
        <x:v>178</x:v>
      </x:c>
      <x:c r="G500" s="2" t="n">
        <x:v>3</x:v>
      </x:c>
      <x:c r="H500" s="11" t="n">
        <x:v>1755.94</x:v>
      </x:c>
      <x:c r="I500" s="2" t="n">
        <x:v>3</x:v>
      </x:c>
      <x:c r="J500" s="2" t="n">
        <x:v>3</x:v>
      </x:c>
      <x:c r="K500" s="2" t="n">
        <x:v>4</x:v>
      </x:c>
      <x:c r="L500" s="2" t="str">
        <x:v>Loyal</x:v>
      </x:c>
    </x:row>
    <x:row r="501" ht="22" customHeight="1">
      <x:c r="A501" s="2"/>
      <x:c r="B501" s="2" t="str">
        <x:v>12810</x:v>
      </x:c>
      <x:c r="C501" s="2" t="str">
        <x:v>Japan</x:v>
      </x:c>
      <x:c r="D501" s="25" t="n">
        <x:v>40210.20277777778</x:v>
      </x:c>
      <x:c r="E501" s="25" t="n">
        <x:v>40352.24513888889</x:v>
      </x:c>
      <x:c r="F501" s="2" t="n">
        <x:v>535</x:v>
      </x:c>
      <x:c r="G501" s="2" t="n">
        <x:v>2</x:v>
      </x:c>
      <x:c r="H501" s="11" t="n">
        <x:v>534.99</x:v>
      </x:c>
      <x:c r="I501" s="2" t="n">
        <x:v>1</x:v>
      </x:c>
      <x:c r="J501" s="2" t="n">
        <x:v>2</x:v>
      </x:c>
      <x:c r="K501" s="2" t="n">
        <x:v>2</x:v>
      </x:c>
      <x:c r="L501" s="2" t="str">
        <x:v>Hibernating</x:v>
      </x:c>
    </x:row>
    <x:row r="502" ht="22" customHeight="1">
      <x:c r="A502" s="2"/>
      <x:c r="B502" s="2" t="str">
        <x:v>12811</x:v>
      </x:c>
      <x:c r="C502" s="2" t="str">
        <x:v>Portugal</x:v>
      </x:c>
      <x:c r="D502" s="25" t="n">
        <x:v>40459.305555555555</x:v>
      </x:c>
      <x:c r="E502" s="25" t="n">
        <x:v>40626.19583333333</x:v>
      </x:c>
      <x:c r="F502" s="2" t="n">
        <x:v>261</x:v>
      </x:c>
      <x:c r="G502" s="2" t="n">
        <x:v>5</x:v>
      </x:c>
      <x:c r="H502" s="11" t="n">
        <x:v>1033.9</x:v>
      </x:c>
      <x:c r="I502" s="2" t="n">
        <x:v>2</x:v>
      </x:c>
      <x:c r="J502" s="2" t="n">
        <x:v>4</x:v>
      </x:c>
      <x:c r="K502" s="2" t="n">
        <x:v>3</x:v>
      </x:c>
      <x:c r="L502" s="2" t="str">
        <x:v>At risk</x:v>
      </x:c>
    </x:row>
    <x:row r="503" ht="22" customHeight="1">
      <x:c r="A503" s="2"/>
      <x:c r="B503" s="2" t="str">
        <x:v>12812</x:v>
      </x:c>
      <x:c r="C503" s="2" t="str">
        <x:v>Japan</x:v>
      </x:c>
      <x:c r="D503" s="25" t="n">
        <x:v>40842.20416666667</x:v>
      </x:c>
      <x:c r="E503" s="25" t="n">
        <x:v>40842.20416666667</x:v>
      </x:c>
      <x:c r="F503" s="2" t="n">
        <x:v>45</x:v>
      </x:c>
      <x:c r="G503" s="2" t="n">
        <x:v>1</x:v>
      </x:c>
      <x:c r="H503" s="11" t="n">
        <x:v>229.64</x:v>
      </x:c>
      <x:c r="I503" s="2" t="n">
        <x:v>4</x:v>
      </x:c>
      <x:c r="J503" s="2" t="n">
        <x:v>1</x:v>
      </x:c>
      <x:c r="K503" s="2" t="n">
        <x:v>1</x:v>
      </x:c>
      <x:c r="L503" s="2" t="str">
        <x:v>Recent light buyers</x:v>
      </x:c>
    </x:row>
    <x:row r="504" ht="22" customHeight="1">
      <x:c r="A504" s="2"/>
      <x:c r="B504" s="2" t="str">
        <x:v>12813</x:v>
      </x:c>
      <x:c r="C504" s="2" t="str">
        <x:v>Netherlands</x:v>
      </x:c>
      <x:c r="D504" s="25" t="n">
        <x:v>40193.49444444444</x:v>
      </x:c>
      <x:c r="E504" s="25" t="n">
        <x:v>40385.20138888889</x:v>
      </x:c>
      <x:c r="F504" s="2" t="n">
        <x:v>502</x:v>
      </x:c>
      <x:c r="G504" s="2" t="n">
        <x:v>3</x:v>
      </x:c>
      <x:c r="H504" s="11" t="n">
        <x:v>1687.8</x:v>
      </x:c>
      <x:c r="I504" s="2" t="n">
        <x:v>1</x:v>
      </x:c>
      <x:c r="J504" s="2" t="n">
        <x:v>3</x:v>
      </x:c>
      <x:c r="K504" s="2" t="n">
        <x:v>4</x:v>
      </x:c>
      <x:c r="L504" s="2" t="str">
        <x:v>At risk</x:v>
      </x:c>
    </x:row>
    <x:row r="505" ht="22" customHeight="1">
      <x:c r="A505" s="2"/>
      <x:c r="B505" s="2" t="str">
        <x:v>12814</x:v>
      </x:c>
      <x:c r="C505" s="2" t="str">
        <x:v>Poland</x:v>
      </x:c>
      <x:c r="D505" s="25" t="n">
        <x:v>40785.299305555556</x:v>
      </x:c>
      <x:c r="E505" s="25" t="n">
        <x:v>40785.299305555556</x:v>
      </x:c>
      <x:c r="F505" s="2" t="n">
        <x:v>102</x:v>
      </x:c>
      <x:c r="G505" s="2" t="n">
        <x:v>1</x:v>
      </x:c>
      <x:c r="H505" s="11" t="n">
        <x:v>125.92</x:v>
      </x:c>
      <x:c r="I505" s="2" t="n">
        <x:v>3</x:v>
      </x:c>
      <x:c r="J505" s="2" t="n">
        <x:v>1</x:v>
      </x:c>
      <x:c r="K505" s="2" t="n">
        <x:v>1</x:v>
      </x:c>
      <x:c r="L505" s="2" t="str">
        <x:v>Developing</x:v>
      </x:c>
    </x:row>
    <x:row r="506" ht="22" customHeight="1">
      <x:c r="A506" s="2"/>
      <x:c r="B506" s="2" t="str">
        <x:v>12815</x:v>
      </x:c>
      <x:c r="C506" s="2" t="str">
        <x:v>Poland</x:v>
      </x:c>
      <x:c r="D506" s="25" t="n">
        <x:v>40688.356944444444</x:v>
      </x:c>
      <x:c r="E506" s="25" t="n">
        <x:v>40739.222916666666</x:v>
      </x:c>
      <x:c r="F506" s="2" t="n">
        <x:v>148</x:v>
      </x:c>
      <x:c r="G506" s="2" t="n">
        <x:v>2</x:v>
      </x:c>
      <x:c r="H506" s="11" t="n">
        <x:v>1063.46</x:v>
      </x:c>
      <x:c r="I506" s="2" t="n">
        <x:v>3</x:v>
      </x:c>
      <x:c r="J506" s="2" t="n">
        <x:v>2</x:v>
      </x:c>
      <x:c r="K506" s="2" t="n">
        <x:v>3</x:v>
      </x:c>
      <x:c r="L506" s="2" t="str">
        <x:v>Developing</x:v>
      </x:c>
    </x:row>
    <x:row r="507" ht="22" customHeight="1">
      <x:c r="A507" s="2"/>
      <x:c r="B507" s="2" t="str">
        <x:v>12816</x:v>
      </x:c>
      <x:c r="C507" s="2" t="str">
        <x:v>Poland</x:v>
      </x:c>
      <x:c r="D507" s="25" t="n">
        <x:v>40710.35</x:v>
      </x:c>
      <x:c r="E507" s="25" t="n">
        <x:v>40791.32013888889</x:v>
      </x:c>
      <x:c r="F507" s="2" t="n">
        <x:v>96</x:v>
      </x:c>
      <x:c r="G507" s="2" t="n">
        <x:v>2</x:v>
      </x:c>
      <x:c r="H507" s="11" t="n">
        <x:v>572.2</x:v>
      </x:c>
      <x:c r="I507" s="2" t="n">
        <x:v>3</x:v>
      </x:c>
      <x:c r="J507" s="2" t="n">
        <x:v>2</x:v>
      </x:c>
      <x:c r="K507" s="2" t="n">
        <x:v>2</x:v>
      </x:c>
      <x:c r="L507" s="2" t="str">
        <x:v>Developing</x:v>
      </x:c>
    </x:row>
    <x:row r="508" ht="22" customHeight="1">
      <x:c r="A508" s="2"/>
      <x:c r="B508" s="2" t="str">
        <x:v>12817</x:v>
      </x:c>
      <x:c r="C508" s="2" t="str">
        <x:v>Austria</x:v>
      </x:c>
      <x:c r="D508" s="25" t="n">
        <x:v>40452.16458333333</x:v>
      </x:c>
      <x:c r="E508" s="25" t="n">
        <x:v>40605.47777777778</x:v>
      </x:c>
      <x:c r="F508" s="2" t="n">
        <x:v>282</x:v>
      </x:c>
      <x:c r="G508" s="2" t="n">
        <x:v>3</x:v>
      </x:c>
      <x:c r="H508" s="11" t="n">
        <x:v>690.98</x:v>
      </x:c>
      <x:c r="I508" s="2" t="n">
        <x:v>2</x:v>
      </x:c>
      <x:c r="J508" s="2" t="n">
        <x:v>3</x:v>
      </x:c>
      <x:c r="K508" s="2" t="n">
        <x:v>3</x:v>
      </x:c>
      <x:c r="L508" s="2" t="str">
        <x:v>At risk</x:v>
      </x:c>
    </x:row>
    <x:row r="509" ht="22" customHeight="1">
      <x:c r="A509" s="2"/>
      <x:c r="B509" s="2" t="str">
        <x:v>12818</x:v>
      </x:c>
      <x:c r="C509" s="2" t="str">
        <x:v>Austria</x:v>
      </x:c>
      <x:c r="D509" s="25" t="n">
        <x:v>40625.29583333333</x:v>
      </x:c>
      <x:c r="E509" s="25" t="n">
        <x:v>40625.29583333333</x:v>
      </x:c>
      <x:c r="F509" s="2" t="n">
        <x:v>262</x:v>
      </x:c>
      <x:c r="G509" s="2" t="n">
        <x:v>1</x:v>
      </x:c>
      <x:c r="H509" s="11" t="n">
        <x:v>1542.08</x:v>
      </x:c>
      <x:c r="I509" s="2" t="n">
        <x:v>2</x:v>
      </x:c>
      <x:c r="J509" s="2" t="n">
        <x:v>1</x:v>
      </x:c>
      <x:c r="K509" s="2" t="n">
        <x:v>4</x:v>
      </x:c>
      <x:c r="L509" s="2" t="str">
        <x:v>Hibernating</x:v>
      </x:c>
    </x:row>
    <x:row r="510" ht="22" customHeight="1">
      <x:c r="A510" s="2"/>
      <x:c r="B510" s="2" t="str">
        <x:v>12819</x:v>
      </x:c>
      <x:c r="C510" s="2" t="str">
        <x:v>United Kingdom</x:v>
      </x:c>
      <x:c r="D510" s="25" t="n">
        <x:v>40428.430555555555</x:v>
      </x:c>
      <x:c r="E510" s="25" t="n">
        <x:v>40428.430555555555</x:v>
      </x:c>
      <x:c r="F510" s="2" t="n">
        <x:v>459</x:v>
      </x:c>
      <x:c r="G510" s="2" t="n">
        <x:v>1</x:v>
      </x:c>
      <x:c r="H510" s="11" t="n">
        <x:v>540.52</x:v>
      </x:c>
      <x:c r="I510" s="2" t="n">
        <x:v>1</x:v>
      </x:c>
      <x:c r="J510" s="2" t="n">
        <x:v>1</x:v>
      </x:c>
      <x:c r="K510" s="2" t="n">
        <x:v>2</x:v>
      </x:c>
      <x:c r="L510" s="2" t="str">
        <x:v>Hibernating</x:v>
      </x:c>
    </x:row>
    <x:row r="511" ht="22" customHeight="1">
      <x:c r="A511" s="2"/>
      <x:c r="B511" s="2" t="str">
        <x:v>12820</x:v>
      </x:c>
      <x:c r="C511" s="2" t="str">
        <x:v>United Kingdom</x:v>
      </x:c>
      <x:c r="D511" s="25" t="n">
        <x:v>40152.35902777778</x:v>
      </x:c>
      <x:c r="E511" s="25" t="n">
        <x:v>40883.425</x:v>
      </x:c>
      <x:c r="F511" s="2" t="n">
        <x:v>4</x:v>
      </x:c>
      <x:c r="G511" s="2" t="n">
        <x:v>11</x:v>
      </x:c>
      <x:c r="H511" s="11" t="n">
        <x:v>2689.52</x:v>
      </x:c>
      <x:c r="I511" s="2" t="n">
        <x:v>5</x:v>
      </x:c>
      <x:c r="J511" s="2" t="n">
        <x:v>5</x:v>
      </x:c>
      <x:c r="K511" s="2" t="n">
        <x:v>4</x:v>
      </x:c>
      <x:c r="L511" s="2" t="str">
        <x:v>Champions</x:v>
      </x:c>
    </x:row>
    <x:row r="512" ht="22" customHeight="1">
      <x:c r="A512" s="2"/>
      <x:c r="B512" s="2" t="str">
        <x:v>12821</x:v>
      </x:c>
      <x:c r="C512" s="2" t="str">
        <x:v>United Kingdom</x:v>
      </x:c>
      <x:c r="D512" s="25" t="n">
        <x:v>40275.42638888889</x:v>
      </x:c>
      <x:c r="E512" s="25" t="n">
        <x:v>40672.45208333333</x:v>
      </x:c>
      <x:c r="F512" s="2" t="n">
        <x:v>215</x:v>
      </x:c>
      <x:c r="G512" s="2" t="n">
        <x:v>2</x:v>
      </x:c>
      <x:c r="H512" s="11" t="n">
        <x:v>220.8</x:v>
      </x:c>
      <x:c r="I512" s="2" t="n">
        <x:v>2</x:v>
      </x:c>
      <x:c r="J512" s="2" t="n">
        <x:v>2</x:v>
      </x:c>
      <x:c r="K512" s="2" t="n">
        <x:v>1</x:v>
      </x:c>
      <x:c r="L512" s="2" t="str">
        <x:v>Hibernating</x:v>
      </x:c>
    </x:row>
    <x:row r="513" ht="22" customHeight="1">
      <x:c r="A513" s="2"/>
      <x:c r="B513" s="2" t="str">
        <x:v>12822</x:v>
      </x:c>
      <x:c r="C513" s="2" t="str">
        <x:v>United Kingdom</x:v>
      </x:c>
      <x:c r="D513" s="25" t="n">
        <x:v>40799.365277777775</x:v>
      </x:c>
      <x:c r="E513" s="25" t="n">
        <x:v>40816.21111111111</x:v>
      </x:c>
      <x:c r="F513" s="2" t="n">
        <x:v>71</x:v>
      </x:c>
      <x:c r="G513" s="2" t="n">
        <x:v>2</x:v>
      </x:c>
      <x:c r="H513" s="11" t="n">
        <x:v>948.88</x:v>
      </x:c>
      <x:c r="I513" s="2" t="n">
        <x:v>3</x:v>
      </x:c>
      <x:c r="J513" s="2" t="n">
        <x:v>2</x:v>
      </x:c>
      <x:c r="K513" s="2" t="n">
        <x:v>3</x:v>
      </x:c>
      <x:c r="L513" s="2" t="str">
        <x:v>Developing</x:v>
      </x:c>
    </x:row>
    <x:row r="514" ht="22" customHeight="1">
      <x:c r="A514" s="2"/>
      <x:c r="B514" s="2" t="str">
        <x:v>12823</x:v>
      </x:c>
      <x:c r="C514" s="2" t="str">
        <x:v>United Kingdom</x:v>
      </x:c>
      <x:c r="D514" s="25" t="n">
        <x:v>40207.32777777778</x:v>
      </x:c>
      <x:c r="E514" s="25" t="n">
        <x:v>40812.10763888889</x:v>
      </x:c>
      <x:c r="F514" s="2" t="n">
        <x:v>75</x:v>
      </x:c>
      <x:c r="G514" s="2" t="n">
        <x:v>18</x:v>
      </x:c>
      <x:c r="H514" s="11" t="n">
        <x:v>6501.5</x:v>
      </x:c>
      <x:c r="I514" s="2" t="n">
        <x:v>3</x:v>
      </x:c>
      <x:c r="J514" s="2" t="n">
        <x:v>5</x:v>
      </x:c>
      <x:c r="K514" s="2" t="n">
        <x:v>5</x:v>
      </x:c>
      <x:c r="L514" s="2" t="str">
        <x:v>Loyal</x:v>
      </x:c>
    </x:row>
    <x:row r="515" ht="22" customHeight="1">
      <x:c r="A515" s="2"/>
      <x:c r="B515" s="2" t="str">
        <x:v>12824</x:v>
      </x:c>
      <x:c r="C515" s="2" t="str">
        <x:v>United Kingdom</x:v>
      </x:c>
      <x:c r="D515" s="25" t="n">
        <x:v>40827.325694444444</x:v>
      </x:c>
      <x:c r="E515" s="25" t="n">
        <x:v>40827.325694444444</x:v>
      </x:c>
      <x:c r="F515" s="2" t="n">
        <x:v>60</x:v>
      </x:c>
      <x:c r="G515" s="2" t="n">
        <x:v>1</x:v>
      </x:c>
      <x:c r="H515" s="11" t="n">
        <x:v>397.12</x:v>
      </x:c>
      <x:c r="I515" s="2" t="n">
        <x:v>3</x:v>
      </x:c>
      <x:c r="J515" s="2" t="n">
        <x:v>1</x:v>
      </x:c>
      <x:c r="K515" s="2" t="n">
        <x:v>2</x:v>
      </x:c>
      <x:c r="L515" s="2" t="str">
        <x:v>Developing</x:v>
      </x:c>
    </x:row>
    <x:row r="516" ht="22" customHeight="1">
      <x:c r="A516" s="2"/>
      <x:c r="B516" s="2" t="str">
        <x:v>12825</x:v>
      </x:c>
      <x:c r="C516" s="2" t="str">
        <x:v>United Kingdom</x:v>
      </x:c>
      <x:c r="D516" s="25" t="n">
        <x:v>40245.220138888886</x:v>
      </x:c>
      <x:c r="E516" s="25" t="n">
        <x:v>40365.37222222222</x:v>
      </x:c>
      <x:c r="F516" s="2" t="n">
        <x:v>522</x:v>
      </x:c>
      <x:c r="G516" s="2" t="n">
        <x:v>2</x:v>
      </x:c>
      <x:c r="H516" s="11" t="n">
        <x:v>518.63</x:v>
      </x:c>
      <x:c r="I516" s="2" t="n">
        <x:v>1</x:v>
      </x:c>
      <x:c r="J516" s="2" t="n">
        <x:v>2</x:v>
      </x:c>
      <x:c r="K516" s="2" t="n">
        <x:v>2</x:v>
      </x:c>
      <x:c r="L516" s="2" t="str">
        <x:v>Hibernating</x:v>
      </x:c>
    </x:row>
    <x:row r="517" ht="22" customHeight="1">
      <x:c r="A517" s="2"/>
      <x:c r="B517" s="2" t="str">
        <x:v>12826</x:v>
      </x:c>
      <x:c r="C517" s="2" t="str">
        <x:v>United Kingdom</x:v>
      </x:c>
      <x:c r="D517" s="25" t="n">
        <x:v>40165.23819444444</x:v>
      </x:c>
      <x:c r="E517" s="25" t="n">
        <x:v>40884.225694444445</x:v>
      </x:c>
      <x:c r="F517" s="2" t="n">
        <x:v>3</x:v>
      </x:c>
      <x:c r="G517" s="2" t="n">
        <x:v>12</x:v>
      </x:c>
      <x:c r="H517" s="11" t="n">
        <x:v>2800.75</x:v>
      </x:c>
      <x:c r="I517" s="2" t="n">
        <x:v>5</x:v>
      </x:c>
      <x:c r="J517" s="2" t="n">
        <x:v>5</x:v>
      </x:c>
      <x:c r="K517" s="2" t="n">
        <x:v>4</x:v>
      </x:c>
      <x:c r="L517" s="2" t="str">
        <x:v>Champions</x:v>
      </x:c>
    </x:row>
    <x:row r="518" ht="22" customHeight="1">
      <x:c r="A518" s="2"/>
      <x:c r="B518" s="2" t="str">
        <x:v>12827</x:v>
      </x:c>
      <x:c r="C518" s="2" t="str">
        <x:v>United Kingdom</x:v>
      </x:c>
      <x:c r="D518" s="25" t="n">
        <x:v>40842.447222222225</x:v>
      </x:c>
      <x:c r="E518" s="25" t="n">
        <x:v>40881.30347222222</x:v>
      </x:c>
      <x:c r="F518" s="2" t="n">
        <x:v>6</x:v>
      </x:c>
      <x:c r="G518" s="2" t="n">
        <x:v>3</x:v>
      </x:c>
      <x:c r="H518" s="11" t="n">
        <x:v>430.15</x:v>
      </x:c>
      <x:c r="I518" s="2" t="n">
        <x:v>5</x:v>
      </x:c>
      <x:c r="J518" s="2" t="n">
        <x:v>3</x:v>
      </x:c>
      <x:c r="K518" s="2" t="n">
        <x:v>2</x:v>
      </x:c>
      <x:c r="L518" s="2" t="str">
        <x:v>Loyal</x:v>
      </x:c>
    </x:row>
    <x:row r="519" ht="22" customHeight="1">
      <x:c r="A519" s="2"/>
      <x:c r="B519" s="2" t="str">
        <x:v>12828</x:v>
      </x:c>
      <x:c r="C519" s="2" t="str">
        <x:v>United Kingdom</x:v>
      </x:c>
      <x:c r="D519" s="25" t="n">
        <x:v>40756.46944444445</x:v>
      </x:c>
      <x:c r="E519" s="25" t="n">
        <x:v>40884.15625</x:v>
      </x:c>
      <x:c r="F519" s="2" t="n">
        <x:v>3</x:v>
      </x:c>
      <x:c r="G519" s="2" t="n">
        <x:v>6</x:v>
      </x:c>
      <x:c r="H519" s="11" t="n">
        <x:v>1018.71</x:v>
      </x:c>
      <x:c r="I519" s="2" t="n">
        <x:v>5</x:v>
      </x:c>
      <x:c r="J519" s="2" t="n">
        <x:v>4</x:v>
      </x:c>
      <x:c r="K519" s="2" t="n">
        <x:v>3</x:v>
      </x:c>
      <x:c r="L519" s="2" t="str">
        <x:v>Loyal</x:v>
      </x:c>
    </x:row>
    <x:row r="520" ht="22" customHeight="1">
      <x:c r="A520" s="2"/>
      <x:c r="B520" s="2" t="str">
        <x:v>12829</x:v>
      </x:c>
      <x:c r="C520" s="2" t="str">
        <x:v>United Kingdom</x:v>
      </x:c>
      <x:c r="D520" s="25" t="n">
        <x:v>40336.419444444444</x:v>
      </x:c>
      <x:c r="E520" s="25" t="n">
        <x:v>40550.25902777778</x:v>
      </x:c>
      <x:c r="F520" s="2" t="n">
        <x:v>337</x:v>
      </x:c>
      <x:c r="G520" s="2" t="n">
        <x:v>3</x:v>
      </x:c>
      <x:c r="H520" s="11" t="n">
        <x:v>385.3</x:v>
      </x:c>
      <x:c r="I520" s="2" t="n">
        <x:v>2</x:v>
      </x:c>
      <x:c r="J520" s="2" t="n">
        <x:v>3</x:v>
      </x:c>
      <x:c r="K520" s="2" t="n">
        <x:v>2</x:v>
      </x:c>
      <x:c r="L520" s="2" t="str">
        <x:v>At risk</x:v>
      </x:c>
    </x:row>
    <x:row r="521" ht="22" customHeight="1">
      <x:c r="A521" s="2"/>
      <x:c r="B521" s="2" t="str">
        <x:v>12830</x:v>
      </x:c>
      <x:c r="C521" s="2" t="str">
        <x:v>United Kingdom</x:v>
      </x:c>
      <x:c r="D521" s="25" t="n">
        <x:v>40715.24513888889</x:v>
      </x:c>
      <x:c r="E521" s="25" t="n">
        <x:v>40849.2875</x:v>
      </x:c>
      <x:c r="F521" s="2" t="n">
        <x:v>38</x:v>
      </x:c>
      <x:c r="G521" s="2" t="n">
        <x:v>6</x:v>
      </x:c>
      <x:c r="H521" s="11" t="n">
        <x:v>6814.64</x:v>
      </x:c>
      <x:c r="I521" s="2" t="n">
        <x:v>4</x:v>
      </x:c>
      <x:c r="J521" s="2" t="n">
        <x:v>4</x:v>
      </x:c>
      <x:c r="K521" s="2" t="n">
        <x:v>5</x:v>
      </x:c>
      <x:c r="L521" s="2" t="str">
        <x:v>Champions</x:v>
      </x:c>
    </x:row>
    <x:row r="522" ht="22" customHeight="1">
      <x:c r="A522" s="2"/>
      <x:c r="B522" s="2" t="str">
        <x:v>12831</x:v>
      </x:c>
      <x:c r="C522" s="2" t="str">
        <x:v>United Kingdom</x:v>
      </x:c>
      <x:c r="D522" s="25" t="n">
        <x:v>40423.45694444444</x:v>
      </x:c>
      <x:c r="E522" s="25" t="n">
        <x:v>40624.33472222222</x:v>
      </x:c>
      <x:c r="F522" s="2" t="n">
        <x:v>263</x:v>
      </x:c>
      <x:c r="G522" s="2" t="n">
        <x:v>3</x:v>
      </x:c>
      <x:c r="H522" s="11" t="n">
        <x:v>451.11</x:v>
      </x:c>
      <x:c r="I522" s="2" t="n">
        <x:v>2</x:v>
      </x:c>
      <x:c r="J522" s="2" t="n">
        <x:v>3</x:v>
      </x:c>
      <x:c r="K522" s="2" t="n">
        <x:v>2</x:v>
      </x:c>
      <x:c r="L522" s="2" t="str">
        <x:v>At risk</x:v>
      </x:c>
    </x:row>
    <x:row r="523" ht="22" customHeight="1">
      <x:c r="A523" s="2"/>
      <x:c r="B523" s="2" t="str">
        <x:v>12832</x:v>
      </x:c>
      <x:c r="C523" s="2" t="str">
        <x:v>United Kingdom</x:v>
      </x:c>
      <x:c r="D523" s="25" t="n">
        <x:v>40788.36666666667</x:v>
      </x:c>
      <x:c r="E523" s="25" t="n">
        <x:v>40854.354166666664</x:v>
      </x:c>
      <x:c r="F523" s="2" t="n">
        <x:v>33</x:v>
      </x:c>
      <x:c r="G523" s="2" t="n">
        <x:v>2</x:v>
      </x:c>
      <x:c r="H523" s="11" t="n">
        <x:v>383.03</x:v>
      </x:c>
      <x:c r="I523" s="2" t="n">
        <x:v>4</x:v>
      </x:c>
      <x:c r="J523" s="2" t="n">
        <x:v>2</x:v>
      </x:c>
      <x:c r="K523" s="2" t="n">
        <x:v>2</x:v>
      </x:c>
      <x:c r="L523" s="2" t="str">
        <x:v>Recent light buyers</x:v>
      </x:c>
    </x:row>
    <x:row r="524" ht="22" customHeight="1">
      <x:c r="A524" s="2"/>
      <x:c r="B524" s="2" t="str">
        <x:v>12833</x:v>
      </x:c>
      <x:c r="C524" s="2" t="str">
        <x:v>United Kingdom</x:v>
      </x:c>
      <x:c r="D524" s="25" t="n">
        <x:v>40741.365277777775</x:v>
      </x:c>
      <x:c r="E524" s="25" t="n">
        <x:v>40741.365277777775</x:v>
      </x:c>
      <x:c r="F524" s="2" t="n">
        <x:v>146</x:v>
      </x:c>
      <x:c r="G524" s="2" t="n">
        <x:v>1</x:v>
      </x:c>
      <x:c r="H524" s="11" t="n">
        <x:v>417.38</x:v>
      </x:c>
      <x:c r="I524" s="2" t="n">
        <x:v>3</x:v>
      </x:c>
      <x:c r="J524" s="2" t="n">
        <x:v>1</x:v>
      </x:c>
      <x:c r="K524" s="2" t="n">
        <x:v>2</x:v>
      </x:c>
      <x:c r="L524" s="2" t="str">
        <x:v>Developing</x:v>
      </x:c>
    </x:row>
    <x:row r="525" ht="22" customHeight="1">
      <x:c r="A525" s="2"/>
      <x:c r="B525" s="2" t="str">
        <x:v>12834</x:v>
      </x:c>
      <x:c r="C525" s="2" t="str">
        <x:v>United Kingdom</x:v>
      </x:c>
      <x:c r="D525" s="25" t="n">
        <x:v>40604.200694444444</x:v>
      </x:c>
      <x:c r="E525" s="25" t="n">
        <x:v>40604.200694444444</x:v>
      </x:c>
      <x:c r="F525" s="2" t="n">
        <x:v>283</x:v>
      </x:c>
      <x:c r="G525" s="2" t="n">
        <x:v>1</x:v>
      </x:c>
      <x:c r="H525" s="11" t="n">
        <x:v>312.38</x:v>
      </x:c>
      <x:c r="I525" s="2" t="n">
        <x:v>2</x:v>
      </x:c>
      <x:c r="J525" s="2" t="n">
        <x:v>1</x:v>
      </x:c>
      <x:c r="K525" s="2" t="n">
        <x:v>2</x:v>
      </x:c>
      <x:c r="L525" s="2" t="str">
        <x:v>Hibernating</x:v>
      </x:c>
    </x:row>
    <x:row r="526" ht="22" customHeight="1">
      <x:c r="A526" s="2"/>
      <x:c r="B526" s="2" t="str">
        <x:v>12835</x:v>
      </x:c>
      <x:c r="C526" s="2" t="str">
        <x:v>United Kingdom</x:v>
      </x:c>
      <x:c r="D526" s="25" t="n">
        <x:v>40150.30069444444</x:v>
      </x:c>
      <x:c r="E526" s="25" t="n">
        <x:v>40459.24930555555</x:v>
      </x:c>
      <x:c r="F526" s="2" t="n">
        <x:v>428</x:v>
      </x:c>
      <x:c r="G526" s="2" t="n">
        <x:v>41</x:v>
      </x:c>
      <x:c r="H526" s="11" t="n">
        <x:v>6043.31</x:v>
      </x:c>
      <x:c r="I526" s="2" t="n">
        <x:v>1</x:v>
      </x:c>
      <x:c r="J526" s="2" t="n">
        <x:v>5</x:v>
      </x:c>
      <x:c r="K526" s="2" t="n">
        <x:v>5</x:v>
      </x:c>
      <x:c r="L526" s="2" t="str">
        <x:v>At risk</x:v>
      </x:c>
    </x:row>
    <x:row r="527" ht="22" customHeight="1">
      <x:c r="A527" s="2"/>
      <x:c r="B527" s="2" t="str">
        <x:v>12836</x:v>
      </x:c>
      <x:c r="C527" s="2" t="str">
        <x:v>United Kingdom</x:v>
      </x:c>
      <x:c r="D527" s="25" t="n">
        <x:v>40148.388194444444</x:v>
      </x:c>
      <x:c r="E527" s="25" t="n">
        <x:v>40827.42361111111</x:v>
      </x:c>
      <x:c r="F527" s="2" t="n">
        <x:v>60</x:v>
      </x:c>
      <x:c r="G527" s="2" t="n">
        <x:v>15</x:v>
      </x:c>
      <x:c r="H527" s="11" t="n">
        <x:v>6585.62</x:v>
      </x:c>
      <x:c r="I527" s="2" t="n">
        <x:v>3</x:v>
      </x:c>
      <x:c r="J527" s="2" t="n">
        <x:v>5</x:v>
      </x:c>
      <x:c r="K527" s="2" t="n">
        <x:v>5</x:v>
      </x:c>
      <x:c r="L527" s="2" t="str">
        <x:v>Loyal</x:v>
      </x:c>
    </x:row>
    <x:row r="528" ht="22" customHeight="1">
      <x:c r="A528" s="2"/>
      <x:c r="B528" s="2" t="str">
        <x:v>12837</x:v>
      </x:c>
      <x:c r="C528" s="2" t="str">
        <x:v>United Kingdom</x:v>
      </x:c>
      <x:c r="D528" s="25" t="n">
        <x:v>40317.42361111111</x:v>
      </x:c>
      <x:c r="E528" s="25" t="n">
        <x:v>40713.46319444444</x:v>
      </x:c>
      <x:c r="F528" s="2" t="n">
        <x:v>174</x:v>
      </x:c>
      <x:c r="G528" s="2" t="n">
        <x:v>2</x:v>
      </x:c>
      <x:c r="H528" s="11" t="n">
        <x:v>688.41</x:v>
      </x:c>
      <x:c r="I528" s="2" t="n">
        <x:v>3</x:v>
      </x:c>
      <x:c r="J528" s="2" t="n">
        <x:v>2</x:v>
      </x:c>
      <x:c r="K528" s="2" t="n">
        <x:v>3</x:v>
      </x:c>
      <x:c r="L528" s="2" t="str">
        <x:v>Developing</x:v>
      </x:c>
    </x:row>
    <x:row r="529" ht="22" customHeight="1">
      <x:c r="A529" s="2"/>
      <x:c r="B529" s="2" t="str">
        <x:v>12838</x:v>
      </x:c>
      <x:c r="C529" s="2" t="str">
        <x:v>United Kingdom</x:v>
      </x:c>
      <x:c r="D529" s="25" t="n">
        <x:v>40294.20763888889</x:v>
      </x:c>
      <x:c r="E529" s="25" t="n">
        <x:v>40853.305555555555</x:v>
      </x:c>
      <x:c r="F529" s="2" t="n">
        <x:v>34</x:v>
      </x:c>
      <x:c r="G529" s="2" t="n">
        <x:v>10</x:v>
      </x:c>
      <x:c r="H529" s="11" t="n">
        <x:v>3007.69</x:v>
      </x:c>
      <x:c r="I529" s="2" t="n">
        <x:v>4</x:v>
      </x:c>
      <x:c r="J529" s="2" t="n">
        <x:v>5</x:v>
      </x:c>
      <x:c r="K529" s="2" t="n">
        <x:v>5</x:v>
      </x:c>
      <x:c r="L529" s="2" t="str">
        <x:v>Champions</x:v>
      </x:c>
    </x:row>
    <x:row r="530" ht="22" customHeight="1">
      <x:c r="A530" s="2"/>
      <x:c r="B530" s="2" t="str">
        <x:v>12839</x:v>
      </x:c>
      <x:c r="C530" s="2" t="str">
        <x:v>United Kingdom</x:v>
      </x:c>
      <x:c r="D530" s="25" t="n">
        <x:v>40154.17916666667</x:v>
      </x:c>
      <x:c r="E530" s="25" t="n">
        <x:v>40884.31458333333</x:v>
      </x:c>
      <x:c r="F530" s="2" t="n">
        <x:v>3</x:v>
      </x:c>
      <x:c r="G530" s="2" t="n">
        <x:v>26</x:v>
      </x:c>
      <x:c r="H530" s="11" t="n">
        <x:v>9669.12</x:v>
      </x:c>
      <x:c r="I530" s="2" t="n">
        <x:v>5</x:v>
      </x:c>
      <x:c r="J530" s="2" t="n">
        <x:v>5</x:v>
      </x:c>
      <x:c r="K530" s="2" t="n">
        <x:v>5</x:v>
      </x:c>
      <x:c r="L530" s="2" t="str">
        <x:v>Champions</x:v>
      </x:c>
    </x:row>
    <x:row r="531" ht="22" customHeight="1">
      <x:c r="A531" s="2"/>
      <x:c r="B531" s="2" t="str">
        <x:v>12840</x:v>
      </x:c>
      <x:c r="C531" s="2" t="str">
        <x:v>United Kingdom</x:v>
      </x:c>
      <x:c r="D531" s="25" t="n">
        <x:v>40212.410416666666</x:v>
      </x:c>
      <x:c r="E531" s="25" t="n">
        <x:v>40743.18680555555</x:v>
      </x:c>
      <x:c r="F531" s="2" t="n">
        <x:v>144</x:v>
      </x:c>
      <x:c r="G531" s="2" t="n">
        <x:v>7</x:v>
      </x:c>
      <x:c r="H531" s="11" t="n">
        <x:v>4041.97</x:v>
      </x:c>
      <x:c r="I531" s="2" t="n">
        <x:v>3</x:v>
      </x:c>
      <x:c r="J531" s="2" t="n">
        <x:v>4</x:v>
      </x:c>
      <x:c r="K531" s="2" t="n">
        <x:v>5</x:v>
      </x:c>
      <x:c r="L531" s="2" t="str">
        <x:v>Loyal</x:v>
      </x:c>
    </x:row>
    <x:row r="532" ht="22" customHeight="1">
      <x:c r="A532" s="2"/>
      <x:c r="B532" s="2" t="str">
        <x:v>12841</x:v>
      </x:c>
      <x:c r="C532" s="2" t="str">
        <x:v>United Kingdom</x:v>
      </x:c>
      <x:c r="D532" s="25" t="n">
        <x:v>40367.44305555556</x:v>
      </x:c>
      <x:c r="E532" s="25" t="n">
        <x:v>40882.25902777778</x:v>
      </x:c>
      <x:c r="F532" s="2" t="n">
        <x:v>5</x:v>
      </x:c>
      <x:c r="G532" s="2" t="n">
        <x:v>40</x:v>
      </x:c>
      <x:c r="H532" s="11" t="n">
        <x:v>7034.69</x:v>
      </x:c>
      <x:c r="I532" s="2" t="n">
        <x:v>5</x:v>
      </x:c>
      <x:c r="J532" s="2" t="n">
        <x:v>5</x:v>
      </x:c>
      <x:c r="K532" s="2" t="n">
        <x:v>5</x:v>
      </x:c>
      <x:c r="L532" s="2" t="str">
        <x:v>Champions</x:v>
      </x:c>
    </x:row>
    <x:row r="533" ht="22" customHeight="1">
      <x:c r="A533" s="2"/>
      <x:c r="B533" s="2" t="str">
        <x:v>12842</x:v>
      </x:c>
      <x:c r="C533" s="2" t="str">
        <x:v>United Kingdom</x:v>
      </x:c>
      <x:c r="D533" s="25" t="n">
        <x:v>40149.135416666664</x:v>
      </x:c>
      <x:c r="E533" s="25" t="n">
        <x:v>40816.43958333333</x:v>
      </x:c>
      <x:c r="F533" s="2" t="n">
        <x:v>71</x:v>
      </x:c>
      <x:c r="G533" s="2" t="n">
        <x:v>4</x:v>
      </x:c>
      <x:c r="H533" s="11" t="n">
        <x:v>1917.99</x:v>
      </x:c>
      <x:c r="I533" s="2" t="n">
        <x:v>3</x:v>
      </x:c>
      <x:c r="J533" s="2" t="n">
        <x:v>3</x:v>
      </x:c>
      <x:c r="K533" s="2" t="n">
        <x:v>4</x:v>
      </x:c>
      <x:c r="L533" s="2" t="str">
        <x:v>Loyal</x:v>
      </x:c>
    </x:row>
    <x:row r="534" ht="22" customHeight="1">
      <x:c r="A534" s="2"/>
      <x:c r="B534" s="2" t="str">
        <x:v>12843</x:v>
      </x:c>
      <x:c r="C534" s="2" t="str">
        <x:v>United Kingdom</x:v>
      </x:c>
      <x:c r="D534" s="25" t="n">
        <x:v>40160.27847222222</x:v>
      </x:c>
      <x:c r="E534" s="25" t="n">
        <x:v>40821.29791666667</x:v>
      </x:c>
      <x:c r="F534" s="2" t="n">
        <x:v>66</x:v>
      </x:c>
      <x:c r="G534" s="2" t="n">
        <x:v>30</x:v>
      </x:c>
      <x:c r="H534" s="11" t="n">
        <x:v>6588.41</x:v>
      </x:c>
      <x:c r="I534" s="2" t="n">
        <x:v>3</x:v>
      </x:c>
      <x:c r="J534" s="2" t="n">
        <x:v>5</x:v>
      </x:c>
      <x:c r="K534" s="2" t="n">
        <x:v>5</x:v>
      </x:c>
      <x:c r="L534" s="2" t="str">
        <x:v>Loyal</x:v>
      </x:c>
    </x:row>
    <x:row r="535" ht="22" customHeight="1">
      <x:c r="A535" s="2"/>
      <x:c r="B535" s="2" t="str">
        <x:v>12844</x:v>
      </x:c>
      <x:c r="C535" s="2" t="str">
        <x:v>United Kingdom</x:v>
      </x:c>
      <x:c r="D535" s="25" t="n">
        <x:v>40293.285416666666</x:v>
      </x:c>
      <x:c r="E535" s="25" t="n">
        <x:v>40857.35486111111</x:v>
      </x:c>
      <x:c r="F535" s="2" t="n">
        <x:v>30</x:v>
      </x:c>
      <x:c r="G535" s="2" t="n">
        <x:v>4</x:v>
      </x:c>
      <x:c r="H535" s="11" t="n">
        <x:v>648.6</x:v>
      </x:c>
      <x:c r="I535" s="2" t="n">
        <x:v>4</x:v>
      </x:c>
      <x:c r="J535" s="2" t="n">
        <x:v>3</x:v>
      </x:c>
      <x:c r="K535" s="2" t="n">
        <x:v>3</x:v>
      </x:c>
      <x:c r="L535" s="2" t="str">
        <x:v>Loyal</x:v>
      </x:c>
    </x:row>
    <x:row r="536" ht="22" customHeight="1">
      <x:c r="A536" s="2"/>
      <x:c r="B536" s="2" t="str">
        <x:v>12845</x:v>
      </x:c>
      <x:c r="C536" s="2" t="str">
        <x:v>United Kingdom</x:v>
      </x:c>
      <x:c r="D536" s="25" t="n">
        <x:v>40596.381944444445</x:v>
      </x:c>
      <x:c r="E536" s="25" t="n">
        <x:v>40619.356944444444</x:v>
      </x:c>
      <x:c r="F536" s="2" t="n">
        <x:v>268</x:v>
      </x:c>
      <x:c r="G536" s="2" t="n">
        <x:v>4</x:v>
      </x:c>
      <x:c r="H536" s="11" t="n">
        <x:v>354.09</x:v>
      </x:c>
      <x:c r="I536" s="2" t="n">
        <x:v>2</x:v>
      </x:c>
      <x:c r="J536" s="2" t="n">
        <x:v>3</x:v>
      </x:c>
      <x:c r="K536" s="2" t="n">
        <x:v>2</x:v>
      </x:c>
      <x:c r="L536" s="2" t="str">
        <x:v>At risk</x:v>
      </x:c>
    </x:row>
    <x:row r="537" ht="22" customHeight="1">
      <x:c r="A537" s="2"/>
      <x:c r="B537" s="2" t="str">
        <x:v>12846</x:v>
      </x:c>
      <x:c r="C537" s="2" t="str">
        <x:v>United Kingdom</x:v>
      </x:c>
      <x:c r="D537" s="25" t="n">
        <x:v>40204.478472222225</x:v>
      </x:c>
      <x:c r="E537" s="25" t="n">
        <x:v>40204.478472222225</x:v>
      </x:c>
      <x:c r="F537" s="2" t="n">
        <x:v>683</x:v>
      </x:c>
      <x:c r="G537" s="2" t="n">
        <x:v>1</x:v>
      </x:c>
      <x:c r="H537" s="11" t="n">
        <x:v>15.58</x:v>
      </x:c>
      <x:c r="I537" s="2" t="n">
        <x:v>1</x:v>
      </x:c>
      <x:c r="J537" s="2" t="n">
        <x:v>1</x:v>
      </x:c>
      <x:c r="K537" s="2" t="n">
        <x:v>1</x:v>
      </x:c>
      <x:c r="L537" s="2" t="str">
        <x:v>Hibernating</x:v>
      </x:c>
    </x:row>
    <x:row r="538" ht="22" customHeight="1">
      <x:c r="A538" s="2"/>
      <x:c r="B538" s="2" t="str">
        <x:v>12847</x:v>
      </x:c>
      <x:c r="C538" s="2" t="str">
        <x:v>United Kingdom</x:v>
      </x:c>
      <x:c r="D538" s="25" t="n">
        <x:v>40499.322222222225</x:v>
      </x:c>
      <x:c r="E538" s="25" t="n">
        <x:v>40864.34444444445</x:v>
      </x:c>
      <x:c r="F538" s="2" t="n">
        <x:v>23</x:v>
      </x:c>
      <x:c r="G538" s="2" t="n">
        <x:v>2</x:v>
      </x:c>
      <x:c r="H538" s="11" t="n">
        <x:v>1636.9</x:v>
      </x:c>
      <x:c r="I538" s="2" t="n">
        <x:v>4</x:v>
      </x:c>
      <x:c r="J538" s="2" t="n">
        <x:v>2</x:v>
      </x:c>
      <x:c r="K538" s="2" t="n">
        <x:v>4</x:v>
      </x:c>
      <x:c r="L538" s="2" t="str">
        <x:v>Recent light buyers</x:v>
      </x:c>
    </x:row>
    <x:row r="539" ht="22" customHeight="1">
      <x:c r="A539" s="2"/>
      <x:c r="B539" s="2" t="str">
        <x:v>12848</x:v>
      </x:c>
      <x:c r="C539" s="2" t="str">
        <x:v>United Kingdom</x:v>
      </x:c>
      <x:c r="D539" s="25" t="n">
        <x:v>40211.322916666664</x:v>
      </x:c>
      <x:c r="E539" s="25" t="n">
        <x:v>40211.322916666664</x:v>
      </x:c>
      <x:c r="F539" s="2" t="n">
        <x:v>676</x:v>
      </x:c>
      <x:c r="G539" s="2" t="n">
        <x:v>1</x:v>
      </x:c>
      <x:c r="H539" s="11" t="n">
        <x:v>208</x:v>
      </x:c>
      <x:c r="I539" s="2" t="n">
        <x:v>1</x:v>
      </x:c>
      <x:c r="J539" s="2" t="n">
        <x:v>1</x:v>
      </x:c>
      <x:c r="K539" s="2" t="n">
        <x:v>1</x:v>
      </x:c>
      <x:c r="L539" s="2" t="str">
        <x:v>Hibernating</x:v>
      </x:c>
    </x:row>
    <x:row r="540" ht="22" customHeight="1">
      <x:c r="A540" s="2"/>
      <x:c r="B540" s="2" t="str">
        <x:v>12849</x:v>
      </x:c>
      <x:c r="C540" s="2" t="str">
        <x:v>United Kingdom</x:v>
      </x:c>
      <x:c r="D540" s="25" t="n">
        <x:v>40295.36388888889</x:v>
      </x:c>
      <x:c r="E540" s="25" t="n">
        <x:v>40855.361805555556</x:v>
      </x:c>
      <x:c r="F540" s="2" t="n">
        <x:v>32</x:v>
      </x:c>
      <x:c r="G540" s="2" t="n">
        <x:v>6</x:v>
      </x:c>
      <x:c r="H540" s="11" t="n">
        <x:v>3090.56</x:v>
      </x:c>
      <x:c r="I540" s="2" t="n">
        <x:v>4</x:v>
      </x:c>
      <x:c r="J540" s="2" t="n">
        <x:v>4</x:v>
      </x:c>
      <x:c r="K540" s="2" t="n">
        <x:v>5</x:v>
      </x:c>
      <x:c r="L540" s="2" t="str">
        <x:v>Champions</x:v>
      </x:c>
    </x:row>
    <x:row r="541" ht="22" customHeight="1">
      <x:c r="A541" s="2"/>
      <x:c r="B541" s="2" t="str">
        <x:v>12850</x:v>
      </x:c>
      <x:c r="C541" s="2" t="str">
        <x:v>United Kingdom</x:v>
      </x:c>
      <x:c r="D541" s="25" t="n">
        <x:v>40441.30972222222</x:v>
      </x:c>
      <x:c r="E541" s="25" t="n">
        <x:v>40441.30972222222</x:v>
      </x:c>
      <x:c r="F541" s="2" t="n">
        <x:v>446</x:v>
      </x:c>
      <x:c r="G541" s="2" t="n">
        <x:v>1</x:v>
      </x:c>
      <x:c r="H541" s="11" t="n">
        <x:v>330</x:v>
      </x:c>
      <x:c r="I541" s="2" t="n">
        <x:v>1</x:v>
      </x:c>
      <x:c r="J541" s="2" t="n">
        <x:v>1</x:v>
      </x:c>
      <x:c r="K541" s="2" t="n">
        <x:v>2</x:v>
      </x:c>
      <x:c r="L541" s="2" t="str">
        <x:v>Hibernating</x:v>
      </x:c>
    </x:row>
    <x:row r="542" ht="22" customHeight="1">
      <x:c r="A542" s="2"/>
      <x:c r="B542" s="2" t="str">
        <x:v>12851</x:v>
      </x:c>
      <x:c r="C542" s="2" t="str">
        <x:v>United Kingdom</x:v>
      </x:c>
      <x:c r="D542" s="25" t="n">
        <x:v>40409.42569444444</x:v>
      </x:c>
      <x:c r="E542" s="25" t="n">
        <x:v>40790.32013888889</x:v>
      </x:c>
      <x:c r="F542" s="2" t="n">
        <x:v>97</x:v>
      </x:c>
      <x:c r="G542" s="2" t="n">
        <x:v>2</x:v>
      </x:c>
      <x:c r="H542" s="11" t="n">
        <x:v>284.13</x:v>
      </x:c>
      <x:c r="I542" s="2" t="n">
        <x:v>3</x:v>
      </x:c>
      <x:c r="J542" s="2" t="n">
        <x:v>2</x:v>
      </x:c>
      <x:c r="K542" s="2" t="n">
        <x:v>1</x:v>
      </x:c>
      <x:c r="L542" s="2" t="str">
        <x:v>Developing</x:v>
      </x:c>
    </x:row>
    <x:row r="543" ht="22" customHeight="1">
      <x:c r="A543" s="2"/>
      <x:c r="B543" s="2" t="str">
        <x:v>12852</x:v>
      </x:c>
      <x:c r="C543" s="2" t="str">
        <x:v>United Kingdom</x:v>
      </x:c>
      <x:c r="D543" s="25" t="n">
        <x:v>40592.157638888886</x:v>
      </x:c>
      <x:c r="E543" s="25" t="n">
        <x:v>40592.157638888886</x:v>
      </x:c>
      <x:c r="F543" s="2" t="n">
        <x:v>295</x:v>
      </x:c>
      <x:c r="G543" s="2" t="n">
        <x:v>1</x:v>
      </x:c>
      <x:c r="H543" s="11" t="n">
        <x:v>311.55</x:v>
      </x:c>
      <x:c r="I543" s="2" t="n">
        <x:v>2</x:v>
      </x:c>
      <x:c r="J543" s="2" t="n">
        <x:v>1</x:v>
      </x:c>
      <x:c r="K543" s="2" t="n">
        <x:v>2</x:v>
      </x:c>
      <x:c r="L543" s="2" t="str">
        <x:v>Hibernating</x:v>
      </x:c>
    </x:row>
    <x:row r="544" ht="22" customHeight="1">
      <x:c r="A544" s="2"/>
      <x:c r="B544" s="2" t="str">
        <x:v>12853</x:v>
      </x:c>
      <x:c r="C544" s="2" t="str">
        <x:v>United Kingdom</x:v>
      </x:c>
      <x:c r="D544" s="25" t="n">
        <x:v>40214.28958333333</x:v>
      </x:c>
      <x:c r="E544" s="25" t="n">
        <x:v>40752.27013888889</x:v>
      </x:c>
      <x:c r="F544" s="2" t="n">
        <x:v>135</x:v>
      </x:c>
      <x:c r="G544" s="2" t="n">
        <x:v>11</x:v>
      </x:c>
      <x:c r="H544" s="11" t="n">
        <x:v>3907.5</x:v>
      </x:c>
      <x:c r="I544" s="2" t="n">
        <x:v>3</x:v>
      </x:c>
      <x:c r="J544" s="2" t="n">
        <x:v>5</x:v>
      </x:c>
      <x:c r="K544" s="2" t="n">
        <x:v>5</x:v>
      </x:c>
      <x:c r="L544" s="2" t="str">
        <x:v>Loyal</x:v>
      </x:c>
    </x:row>
    <x:row r="545" ht="22" customHeight="1">
      <x:c r="A545" s="2"/>
      <x:c r="B545" s="2" t="str">
        <x:v>12854</x:v>
      </x:c>
      <x:c r="C545" s="2" t="str">
        <x:v>United Kingdom</x:v>
      </x:c>
      <x:c r="D545" s="25" t="n">
        <x:v>40158.32986111111</x:v>
      </x:c>
      <x:c r="E545" s="25" t="n">
        <x:v>40808.302083333336</x:v>
      </x:c>
      <x:c r="F545" s="2" t="n">
        <x:v>79</x:v>
      </x:c>
      <x:c r="G545" s="2" t="n">
        <x:v>7</x:v>
      </x:c>
      <x:c r="H545" s="11" t="n">
        <x:v>2994.02</x:v>
      </x:c>
      <x:c r="I545" s="2" t="n">
        <x:v>3</x:v>
      </x:c>
      <x:c r="J545" s="2" t="n">
        <x:v>4</x:v>
      </x:c>
      <x:c r="K545" s="2" t="n">
        <x:v>5</x:v>
      </x:c>
      <x:c r="L545" s="2" t="str">
        <x:v>Loyal</x:v>
      </x:c>
    </x:row>
    <x:row r="546" ht="22" customHeight="1">
      <x:c r="A546" s="2"/>
      <x:c r="B546" s="2" t="str">
        <x:v>12855</x:v>
      </x:c>
      <x:c r="C546" s="2" t="str">
        <x:v>United Kingdom</x:v>
      </x:c>
      <x:c r="D546" s="25" t="n">
        <x:v>40484.552777777775</x:v>
      </x:c>
      <x:c r="E546" s="25" t="n">
        <x:v>40514.19236111111</x:v>
      </x:c>
      <x:c r="F546" s="2" t="n">
        <x:v>373</x:v>
      </x:c>
      <x:c r="G546" s="2" t="n">
        <x:v>4</x:v>
      </x:c>
      <x:c r="H546" s="11" t="n">
        <x:v>612.84</x:v>
      </x:c>
      <x:c r="I546" s="2" t="n">
        <x:v>2</x:v>
      </x:c>
      <x:c r="J546" s="2" t="n">
        <x:v>3</x:v>
      </x:c>
      <x:c r="K546" s="2" t="n">
        <x:v>3</x:v>
      </x:c>
      <x:c r="L546" s="2" t="str">
        <x:v>At risk</x:v>
      </x:c>
    </x:row>
    <x:row r="547" ht="22" customHeight="1">
      <x:c r="A547" s="2"/>
      <x:c r="B547" s="2" t="str">
        <x:v>12856</x:v>
      </x:c>
      <x:c r="C547" s="2" t="str">
        <x:v>United Kingdom</x:v>
      </x:c>
      <x:c r="D547" s="25" t="n">
        <x:v>40823.31805555556</x:v>
      </x:c>
      <x:c r="E547" s="25" t="n">
        <x:v>40879.24444444444</x:v>
      </x:c>
      <x:c r="F547" s="2" t="n">
        <x:v>8</x:v>
      </x:c>
      <x:c r="G547" s="2" t="n">
        <x:v>6</x:v>
      </x:c>
      <x:c r="H547" s="11" t="n">
        <x:v>2179.93</x:v>
      </x:c>
      <x:c r="I547" s="2" t="n">
        <x:v>5</x:v>
      </x:c>
      <x:c r="J547" s="2" t="n">
        <x:v>4</x:v>
      </x:c>
      <x:c r="K547" s="2" t="n">
        <x:v>4</x:v>
      </x:c>
      <x:c r="L547" s="2" t="str">
        <x:v>Champions</x:v>
      </x:c>
    </x:row>
    <x:row r="548" ht="22" customHeight="1">
      <x:c r="A548" s="2"/>
      <x:c r="B548" s="2" t="str">
        <x:v>12857</x:v>
      </x:c>
      <x:c r="C548" s="2" t="str">
        <x:v>United Kingdom</x:v>
      </x:c>
      <x:c r="D548" s="25" t="n">
        <x:v>40203.44236111111</x:v>
      </x:c>
      <x:c r="E548" s="25" t="n">
        <x:v>40676.22222222222</x:v>
      </x:c>
      <x:c r="F548" s="2" t="n">
        <x:v>211</x:v>
      </x:c>
      <x:c r="G548" s="2" t="n">
        <x:v>6</x:v>
      </x:c>
      <x:c r="H548" s="11" t="n">
        <x:v>3688</x:v>
      </x:c>
      <x:c r="I548" s="2" t="n">
        <x:v>2</x:v>
      </x:c>
      <x:c r="J548" s="2" t="n">
        <x:v>4</x:v>
      </x:c>
      <x:c r="K548" s="2" t="n">
        <x:v>5</x:v>
      </x:c>
      <x:c r="L548" s="2" t="str">
        <x:v>At risk</x:v>
      </x:c>
    </x:row>
    <x:row r="549" ht="22" customHeight="1">
      <x:c r="A549" s="2"/>
      <x:c r="B549" s="2" t="str">
        <x:v>12858</x:v>
      </x:c>
      <x:c r="C549" s="2" t="str">
        <x:v>United Kingdom</x:v>
      </x:c>
      <x:c r="D549" s="25" t="n">
        <x:v>40503.32986111111</x:v>
      </x:c>
      <x:c r="E549" s="25" t="n">
        <x:v>40503.32986111111</x:v>
      </x:c>
      <x:c r="F549" s="2" t="n">
        <x:v>384</x:v>
      </x:c>
      <x:c r="G549" s="2" t="n">
        <x:v>1</x:v>
      </x:c>
      <x:c r="H549" s="11" t="n">
        <x:v>177.92</x:v>
      </x:c>
      <x:c r="I549" s="2" t="n">
        <x:v>2</x:v>
      </x:c>
      <x:c r="J549" s="2" t="n">
        <x:v>1</x:v>
      </x:c>
      <x:c r="K549" s="2" t="n">
        <x:v>1</x:v>
      </x:c>
      <x:c r="L549" s="2" t="str">
        <x:v>Hibernating</x:v>
      </x:c>
    </x:row>
    <x:row r="550" ht="22" customHeight="1">
      <x:c r="A550" s="2"/>
      <x:c r="B550" s="2" t="str">
        <x:v>12859</x:v>
      </x:c>
      <x:c r="C550" s="2" t="str">
        <x:v>United Kingdom</x:v>
      </x:c>
      <x:c r="D550" s="25" t="n">
        <x:v>40428.305555555555</x:v>
      </x:c>
      <x:c r="E550" s="25" t="n">
        <x:v>40428.305555555555</x:v>
      </x:c>
      <x:c r="F550" s="2" t="n">
        <x:v>459</x:v>
      </x:c>
      <x:c r="G550" s="2" t="n">
        <x:v>1</x:v>
      </x:c>
      <x:c r="H550" s="11" t="n">
        <x:v>575.1</x:v>
      </x:c>
      <x:c r="I550" s="2" t="n">
        <x:v>1</x:v>
      </x:c>
      <x:c r="J550" s="2" t="n">
        <x:v>1</x:v>
      </x:c>
      <x:c r="K550" s="2" t="n">
        <x:v>2</x:v>
      </x:c>
      <x:c r="L550" s="2" t="str">
        <x:v>Hibernating</x:v>
      </x:c>
    </x:row>
    <x:row r="551" ht="22" customHeight="1">
      <x:c r="A551" s="2"/>
      <x:c r="B551" s="2" t="str">
        <x:v>12860</x:v>
      </x:c>
      <x:c r="C551" s="2" t="str">
        <x:v>United Kingdom</x:v>
      </x:c>
      <x:c r="D551" s="25" t="n">
        <x:v>40193.43194444444</x:v>
      </x:c>
      <x:c r="E551" s="25" t="n">
        <x:v>40193.43194444444</x:v>
      </x:c>
      <x:c r="F551" s="2" t="n">
        <x:v>694</x:v>
      </x:c>
      <x:c r="G551" s="2" t="n">
        <x:v>1</x:v>
      </x:c>
      <x:c r="H551" s="11" t="n">
        <x:v>55.47</x:v>
      </x:c>
      <x:c r="I551" s="2" t="n">
        <x:v>1</x:v>
      </x:c>
      <x:c r="J551" s="2" t="n">
        <x:v>1</x:v>
      </x:c>
      <x:c r="K551" s="2" t="n">
        <x:v>1</x:v>
      </x:c>
      <x:c r="L551" s="2" t="str">
        <x:v>Hibernating</x:v>
      </x:c>
    </x:row>
    <x:row r="552" ht="22" customHeight="1">
      <x:c r="A552" s="2"/>
      <x:c r="B552" s="2" t="str">
        <x:v>12861</x:v>
      </x:c>
      <x:c r="C552" s="2" t="str">
        <x:v>United Kingdom</x:v>
      </x:c>
      <x:c r="D552" s="25" t="n">
        <x:v>40267.277083333334</x:v>
      </x:c>
      <x:c r="E552" s="25" t="n">
        <x:v>40267.277083333334</x:v>
      </x:c>
      <x:c r="F552" s="2" t="n">
        <x:v>620</x:v>
      </x:c>
      <x:c r="G552" s="2" t="n">
        <x:v>1</x:v>
      </x:c>
      <x:c r="H552" s="11" t="n">
        <x:v>68.25</x:v>
      </x:c>
      <x:c r="I552" s="2" t="n">
        <x:v>1</x:v>
      </x:c>
      <x:c r="J552" s="2" t="n">
        <x:v>1</x:v>
      </x:c>
      <x:c r="K552" s="2" t="n">
        <x:v>1</x:v>
      </x:c>
      <x:c r="L552" s="2" t="str">
        <x:v>Hibernating</x:v>
      </x:c>
    </x:row>
    <x:row r="553" ht="22" customHeight="1">
      <x:c r="A553" s="2"/>
      <x:c r="B553" s="2" t="str">
        <x:v>12862</x:v>
      </x:c>
      <x:c r="C553" s="2" t="str">
        <x:v>United Kingdom</x:v>
      </x:c>
      <x:c r="D553" s="25" t="n">
        <x:v>40391.430555555555</x:v>
      </x:c>
      <x:c r="E553" s="25" t="n">
        <x:v>40461.282638888886</x:v>
      </x:c>
      <x:c r="F553" s="2" t="n">
        <x:v>426</x:v>
      </x:c>
      <x:c r="G553" s="2" t="n">
        <x:v>2</x:v>
      </x:c>
      <x:c r="H553" s="11" t="n">
        <x:v>1008.32</x:v>
      </x:c>
      <x:c r="I553" s="2" t="n">
        <x:v>1</x:v>
      </x:c>
      <x:c r="J553" s="2" t="n">
        <x:v>2</x:v>
      </x:c>
      <x:c r="K553" s="2" t="n">
        <x:v>3</x:v>
      </x:c>
      <x:c r="L553" s="2" t="str">
        <x:v>Hibernating</x:v>
      </x:c>
    </x:row>
    <x:row r="554" ht="22" customHeight="1">
      <x:c r="A554" s="2"/>
      <x:c r="B554" s="2" t="str">
        <x:v>12863</x:v>
      </x:c>
      <x:c r="C554" s="2" t="str">
        <x:v>United Kingdom</x:v>
      </x:c>
      <x:c r="D554" s="25" t="n">
        <x:v>40297.370833333334</x:v>
      </x:c>
      <x:c r="E554" s="25" t="n">
        <x:v>40834.385416666664</x:v>
      </x:c>
      <x:c r="F554" s="2" t="n">
        <x:v>53</x:v>
      </x:c>
      <x:c r="G554" s="2" t="n">
        <x:v>6</x:v>
      </x:c>
      <x:c r="H554" s="11" t="n">
        <x:v>2792.55</x:v>
      </x:c>
      <x:c r="I554" s="2" t="n">
        <x:v>4</x:v>
      </x:c>
      <x:c r="J554" s="2" t="n">
        <x:v>4</x:v>
      </x:c>
      <x:c r="K554" s="2" t="n">
        <x:v>4</x:v>
      </x:c>
      <x:c r="L554" s="2" t="str">
        <x:v>Champions</x:v>
      </x:c>
    </x:row>
    <x:row r="555" ht="22" customHeight="1">
      <x:c r="A555" s="2"/>
      <x:c r="B555" s="2" t="str">
        <x:v>12864</x:v>
      </x:c>
      <x:c r="C555" s="2" t="str">
        <x:v>United Kingdom</x:v>
      </x:c>
      <x:c r="D555" s="25" t="n">
        <x:v>40378.51527777778</x:v>
      </x:c>
      <x:c r="E555" s="25" t="n">
        <x:v>40748.33541666667</x:v>
      </x:c>
      <x:c r="F555" s="2" t="n">
        <x:v>139</x:v>
      </x:c>
      <x:c r="G555" s="2" t="n">
        <x:v>2</x:v>
      </x:c>
      <x:c r="H555" s="11" t="n">
        <x:v>299.57</x:v>
      </x:c>
      <x:c r="I555" s="2" t="n">
        <x:v>3</x:v>
      </x:c>
      <x:c r="J555" s="2" t="n">
        <x:v>2</x:v>
      </x:c>
      <x:c r="K555" s="2" t="n">
        <x:v>2</x:v>
      </x:c>
      <x:c r="L555" s="2" t="str">
        <x:v>Developing</x:v>
      </x:c>
    </x:row>
    <x:row r="556" ht="22" customHeight="1">
      <x:c r="A556" s="2"/>
      <x:c r="B556" s="2" t="str">
        <x:v>12865</x:v>
      </x:c>
      <x:c r="C556" s="2" t="str">
        <x:v>Austria</x:v>
      </x:c>
      <x:c r="D556" s="25" t="n">
        <x:v>40410.305555555555</x:v>
      </x:c>
      <x:c r="E556" s="25" t="n">
        <x:v>40860.396527777775</x:v>
      </x:c>
      <x:c r="F556" s="2" t="n">
        <x:v>27</x:v>
      </x:c>
      <x:c r="G556" s="2" t="n">
        <x:v>4</x:v>
      </x:c>
      <x:c r="H556" s="11" t="n">
        <x:v>3323.47</x:v>
      </x:c>
      <x:c r="I556" s="2" t="n">
        <x:v>4</x:v>
      </x:c>
      <x:c r="J556" s="2" t="n">
        <x:v>3</x:v>
      </x:c>
      <x:c r="K556" s="2" t="n">
        <x:v>5</x:v>
      </x:c>
      <x:c r="L556" s="2" t="str">
        <x:v>Loyal</x:v>
      </x:c>
    </x:row>
    <x:row r="557" ht="22" customHeight="1">
      <x:c r="A557" s="2"/>
      <x:c r="B557" s="2" t="str">
        <x:v>12866</x:v>
      </x:c>
      <x:c r="C557" s="2" t="str">
        <x:v>Belgium</x:v>
      </x:c>
      <x:c r="D557" s="25" t="n">
        <x:v>40384.27569444444</x:v>
      </x:c>
      <x:c r="E557" s="25" t="n">
        <x:v>40603.38263888889</x:v>
      </x:c>
      <x:c r="F557" s="2" t="n">
        <x:v>284</x:v>
      </x:c>
      <x:c r="G557" s="2" t="n">
        <x:v>3</x:v>
      </x:c>
      <x:c r="H557" s="11" t="n">
        <x:v>1227.35</x:v>
      </x:c>
      <x:c r="I557" s="2" t="n">
        <x:v>2</x:v>
      </x:c>
      <x:c r="J557" s="2" t="n">
        <x:v>3</x:v>
      </x:c>
      <x:c r="K557" s="2" t="n">
        <x:v>3</x:v>
      </x:c>
      <x:c r="L557" s="2" t="str">
        <x:v>At risk</x:v>
      </x:c>
    </x:row>
    <x:row r="558" ht="22" customHeight="1">
      <x:c r="A558" s="2"/>
      <x:c r="B558" s="2" t="str">
        <x:v>12867</x:v>
      </x:c>
      <x:c r="C558" s="2" t="str">
        <x:v>United Kingdom</x:v>
      </x:c>
      <x:c r="D558" s="25" t="n">
        <x:v>40163.475694444445</x:v>
      </x:c>
      <x:c r="E558" s="25" t="n">
        <x:v>40860.4375</x:v>
      </x:c>
      <x:c r="F558" s="2" t="n">
        <x:v>27</x:v>
      </x:c>
      <x:c r="G558" s="2" t="n">
        <x:v>13</x:v>
      </x:c>
      <x:c r="H558" s="11" t="n">
        <x:v>7913.29</x:v>
      </x:c>
      <x:c r="I558" s="2" t="n">
        <x:v>4</x:v>
      </x:c>
      <x:c r="J558" s="2" t="n">
        <x:v>5</x:v>
      </x:c>
      <x:c r="K558" s="2" t="n">
        <x:v>5</x:v>
      </x:c>
      <x:c r="L558" s="2" t="str">
        <x:v>Champions</x:v>
      </x:c>
    </x:row>
    <x:row r="559" ht="22" customHeight="1">
      <x:c r="A559" s="2"/>
      <x:c r="B559" s="2" t="str">
        <x:v>12868</x:v>
      </x:c>
      <x:c r="C559" s="2" t="str">
        <x:v>United Kingdom</x:v>
      </x:c>
      <x:c r="D559" s="25" t="n">
        <x:v>40494.211805555555</x:v>
      </x:c>
      <x:c r="E559" s="25" t="n">
        <x:v>40701.2375</x:v>
      </x:c>
      <x:c r="F559" s="2" t="n">
        <x:v>186</x:v>
      </x:c>
      <x:c r="G559" s="2" t="n">
        <x:v>8</x:v>
      </x:c>
      <x:c r="H559" s="11" t="n">
        <x:v>2043.76</x:v>
      </x:c>
      <x:c r="I559" s="2" t="n">
        <x:v>3</x:v>
      </x:c>
      <x:c r="J559" s="2" t="n">
        <x:v>4</x:v>
      </x:c>
      <x:c r="K559" s="2" t="n">
        <x:v>4</x:v>
      </x:c>
      <x:c r="L559" s="2" t="str">
        <x:v>Loyal</x:v>
      </x:c>
    </x:row>
    <x:row r="560" ht="22" customHeight="1">
      <x:c r="A560" s="2"/>
      <x:c r="B560" s="2" t="str">
        <x:v>12869</x:v>
      </x:c>
      <x:c r="C560" s="2" t="str">
        <x:v>United Kingdom</x:v>
      </x:c>
      <x:c r="D560" s="25" t="n">
        <x:v>40205.29861111111</x:v>
      </x:c>
      <x:c r="E560" s="25" t="n">
        <x:v>40205.29861111111</x:v>
      </x:c>
      <x:c r="F560" s="2" t="n">
        <x:v>682</x:v>
      </x:c>
      <x:c r="G560" s="2" t="n">
        <x:v>1</x:v>
      </x:c>
      <x:c r="H560" s="11" t="n">
        <x:v>337.67</x:v>
      </x:c>
      <x:c r="I560" s="2" t="n">
        <x:v>1</x:v>
      </x:c>
      <x:c r="J560" s="2" t="n">
        <x:v>1</x:v>
      </x:c>
      <x:c r="K560" s="2" t="n">
        <x:v>2</x:v>
      </x:c>
      <x:c r="L560" s="2" t="str">
        <x:v>Hibernating</x:v>
      </x:c>
    </x:row>
    <x:row r="561" ht="22" customHeight="1">
      <x:c r="A561" s="2"/>
      <x:c r="B561" s="2" t="str">
        <x:v>12870</x:v>
      </x:c>
      <x:c r="C561" s="2" t="str">
        <x:v>United Kingdom</x:v>
      </x:c>
      <x:c r="D561" s="25" t="n">
        <x:v>40262.39722222222</x:v>
      </x:c>
      <x:c r="E561" s="25" t="n">
        <x:v>40511.3625</x:v>
      </x:c>
      <x:c r="F561" s="2" t="n">
        <x:v>376</x:v>
      </x:c>
      <x:c r="G561" s="2" t="n">
        <x:v>3</x:v>
      </x:c>
      <x:c r="H561" s="11" t="n">
        <x:v>1676.95</x:v>
      </x:c>
      <x:c r="I561" s="2" t="n">
        <x:v>2</x:v>
      </x:c>
      <x:c r="J561" s="2" t="n">
        <x:v>3</x:v>
      </x:c>
      <x:c r="K561" s="2" t="n">
        <x:v>4</x:v>
      </x:c>
      <x:c r="L561" s="2" t="str">
        <x:v>At risk</x:v>
      </x:c>
    </x:row>
    <x:row r="562" ht="22" customHeight="1">
      <x:c r="A562" s="2"/>
      <x:c r="B562" s="2" t="str">
        <x:v>12871</x:v>
      </x:c>
      <x:c r="C562" s="2" t="str">
        <x:v>United Kingdom</x:v>
      </x:c>
      <x:c r="D562" s="25" t="n">
        <x:v>40447.231944444444</x:v>
      </x:c>
      <x:c r="E562" s="25" t="n">
        <x:v>40802.42152777778</x:v>
      </x:c>
      <x:c r="F562" s="2" t="n">
        <x:v>85</x:v>
      </x:c>
      <x:c r="G562" s="2" t="n">
        <x:v>3</x:v>
      </x:c>
      <x:c r="H562" s="11" t="n">
        <x:v>744.02</x:v>
      </x:c>
      <x:c r="I562" s="2" t="n">
        <x:v>3</x:v>
      </x:c>
      <x:c r="J562" s="2" t="n">
        <x:v>3</x:v>
      </x:c>
      <x:c r="K562" s="2" t="n">
        <x:v>3</x:v>
      </x:c>
      <x:c r="L562" s="2" t="str">
        <x:v>Loyal</x:v>
      </x:c>
    </x:row>
    <x:row r="563" ht="22" customHeight="1">
      <x:c r="A563" s="2"/>
      <x:c r="B563" s="2" t="str">
        <x:v>12872</x:v>
      </x:c>
      <x:c r="C563" s="2" t="str">
        <x:v>United Kingdom</x:v>
      </x:c>
      <x:c r="D563" s="25" t="n">
        <x:v>40150.62708333333</x:v>
      </x:c>
      <x:c r="E563" s="25" t="n">
        <x:v>40560.24444444444</x:v>
      </x:c>
      <x:c r="F563" s="2" t="n">
        <x:v>327</x:v>
      </x:c>
      <x:c r="G563" s="2" t="n">
        <x:v>12</x:v>
      </x:c>
      <x:c r="H563" s="11" t="n">
        <x:v>3306.96</x:v>
      </x:c>
      <x:c r="I563" s="2" t="n">
        <x:v>2</x:v>
      </x:c>
      <x:c r="J563" s="2" t="n">
        <x:v>5</x:v>
      </x:c>
      <x:c r="K563" s="2" t="n">
        <x:v>5</x:v>
      </x:c>
      <x:c r="L563" s="2" t="str">
        <x:v>At risk</x:v>
      </x:c>
    </x:row>
    <x:row r="564" ht="22" customHeight="1">
      <x:c r="A564" s="2"/>
      <x:c r="B564" s="2" t="str">
        <x:v>12873</x:v>
      </x:c>
      <x:c r="C564" s="2" t="str">
        <x:v>United Kingdom</x:v>
      </x:c>
      <x:c r="D564" s="25" t="n">
        <x:v>40205.20138888889</x:v>
      </x:c>
      <x:c r="E564" s="25" t="n">
        <x:v>40604.41527777778</x:v>
      </x:c>
      <x:c r="F564" s="2" t="n">
        <x:v>283</x:v>
      </x:c>
      <x:c r="G564" s="2" t="n">
        <x:v>3</x:v>
      </x:c>
      <x:c r="H564" s="11" t="n">
        <x:v>2027.3</x:v>
      </x:c>
      <x:c r="I564" s="2" t="n">
        <x:v>2</x:v>
      </x:c>
      <x:c r="J564" s="2" t="n">
        <x:v>3</x:v>
      </x:c>
      <x:c r="K564" s="2" t="n">
        <x:v>4</x:v>
      </x:c>
      <x:c r="L564" s="2" t="str">
        <x:v>At risk</x:v>
      </x:c>
    </x:row>
    <x:row r="565" ht="22" customHeight="1">
      <x:c r="A565" s="2"/>
      <x:c r="B565" s="2" t="str">
        <x:v>12874</x:v>
      </x:c>
      <x:c r="C565" s="2" t="str">
        <x:v>Belgium</x:v>
      </x:c>
      <x:c r="D565" s="25" t="n">
        <x:v>40332.32708333333</x:v>
      </x:c>
      <x:c r="E565" s="25" t="n">
        <x:v>40501.43263888889</x:v>
      </x:c>
      <x:c r="F565" s="2" t="n">
        <x:v>386</x:v>
      </x:c>
      <x:c r="G565" s="2" t="n">
        <x:v>2</x:v>
      </x:c>
      <x:c r="H565" s="11" t="n">
        <x:v>948.42</x:v>
      </x:c>
      <x:c r="I565" s="2" t="n">
        <x:v>2</x:v>
      </x:c>
      <x:c r="J565" s="2" t="n">
        <x:v>2</x:v>
      </x:c>
      <x:c r="K565" s="2" t="n">
        <x:v>3</x:v>
      </x:c>
      <x:c r="L565" s="2" t="str">
        <x:v>Hibernating</x:v>
      </x:c>
    </x:row>
    <x:row r="566" ht="22" customHeight="1">
      <x:c r="A566" s="2"/>
      <x:c r="B566" s="2" t="str">
        <x:v>12875</x:v>
      </x:c>
      <x:c r="C566" s="2" t="str">
        <x:v>United Kingdom</x:v>
      </x:c>
      <x:c r="D566" s="25" t="n">
        <x:v>40189.31736111111</x:v>
      </x:c>
      <x:c r="E566" s="25" t="n">
        <x:v>40743.4375</x:v>
      </x:c>
      <x:c r="F566" s="2" t="n">
        <x:v>144</x:v>
      </x:c>
      <x:c r="G566" s="2" t="n">
        <x:v>5</x:v>
      </x:c>
      <x:c r="H566" s="11" t="n">
        <x:v>1356.99</x:v>
      </x:c>
      <x:c r="I566" s="2" t="n">
        <x:v>3</x:v>
      </x:c>
      <x:c r="J566" s="2" t="n">
        <x:v>4</x:v>
      </x:c>
      <x:c r="K566" s="2" t="n">
        <x:v>4</x:v>
      </x:c>
      <x:c r="L566" s="2" t="str">
        <x:v>Loyal</x:v>
      </x:c>
    </x:row>
    <x:row r="567" ht="22" customHeight="1">
      <x:c r="A567" s="2"/>
      <x:c r="B567" s="2" t="str">
        <x:v>12876</x:v>
      </x:c>
      <x:c r="C567" s="2" t="str">
        <x:v>Belgium</x:v>
      </x:c>
      <x:c r="D567" s="25" t="n">
        <x:v>40296.35138888889</x:v>
      </x:c>
      <x:c r="E567" s="25" t="n">
        <x:v>40829.30972222222</x:v>
      </x:c>
      <x:c r="F567" s="2" t="n">
        <x:v>58</x:v>
      </x:c>
      <x:c r="G567" s="2" t="n">
        <x:v>4</x:v>
      </x:c>
      <x:c r="H567" s="11" t="n">
        <x:v>4081.79</x:v>
      </x:c>
      <x:c r="I567" s="2" t="n">
        <x:v>4</x:v>
      </x:c>
      <x:c r="J567" s="2" t="n">
        <x:v>3</x:v>
      </x:c>
      <x:c r="K567" s="2" t="n">
        <x:v>5</x:v>
      </x:c>
      <x:c r="L567" s="2" t="str">
        <x:v>Loyal</x:v>
      </x:c>
    </x:row>
    <x:row r="568" ht="22" customHeight="1">
      <x:c r="A568" s="2"/>
      <x:c r="B568" s="2" t="str">
        <x:v>12877</x:v>
      </x:c>
      <x:c r="C568" s="2" t="str">
        <x:v>United Kingdom</x:v>
      </x:c>
      <x:c r="D568" s="25" t="n">
        <x:v>40196.22430555556</x:v>
      </x:c>
      <x:c r="E568" s="25" t="n">
        <x:v>40883.229166666664</x:v>
      </x:c>
      <x:c r="F568" s="2" t="n">
        <x:v>4</x:v>
      </x:c>
      <x:c r="G568" s="2" t="n">
        <x:v>20</x:v>
      </x:c>
      <x:c r="H568" s="11" t="n">
        <x:v>2955.17</x:v>
      </x:c>
      <x:c r="I568" s="2" t="n">
        <x:v>5</x:v>
      </x:c>
      <x:c r="J568" s="2" t="n">
        <x:v>5</x:v>
      </x:c>
      <x:c r="K568" s="2" t="n">
        <x:v>5</x:v>
      </x:c>
      <x:c r="L568" s="2" t="str">
        <x:v>Champions</x:v>
      </x:c>
    </x:row>
    <x:row r="569" ht="22" customHeight="1">
      <x:c r="A569" s="2"/>
      <x:c r="B569" s="2" t="str">
        <x:v>12878</x:v>
      </x:c>
      <x:c r="C569" s="2" t="str">
        <x:v>United Kingdom</x:v>
      </x:c>
      <x:c r="D569" s="25" t="n">
        <x:v>40620.376388888886</x:v>
      </x:c>
      <x:c r="E569" s="25" t="n">
        <x:v>40650.33819444444</x:v>
      </x:c>
      <x:c r="F569" s="2" t="n">
        <x:v>237</x:v>
      </x:c>
      <x:c r="G569" s="2" t="n">
        <x:v>2</x:v>
      </x:c>
      <x:c r="H569" s="11" t="n">
        <x:v>854.99</x:v>
      </x:c>
      <x:c r="I569" s="2" t="n">
        <x:v>2</x:v>
      </x:c>
      <x:c r="J569" s="2" t="n">
        <x:v>2</x:v>
      </x:c>
      <x:c r="K569" s="2" t="n">
        <x:v>3</x:v>
      </x:c>
      <x:c r="L569" s="2" t="str">
        <x:v>Hibernating</x:v>
      </x:c>
    </x:row>
    <x:row r="570" ht="22" customHeight="1">
      <x:c r="A570" s="2"/>
      <x:c r="B570" s="2" t="str">
        <x:v>12879</x:v>
      </x:c>
      <x:c r="C570" s="2" t="str">
        <x:v>United Kingdom</x:v>
      </x:c>
      <x:c r="D570" s="25" t="n">
        <x:v>40795.299305555556</x:v>
      </x:c>
      <x:c r="E570" s="25" t="n">
        <x:v>40842.308333333334</x:v>
      </x:c>
      <x:c r="F570" s="2" t="n">
        <x:v>45</x:v>
      </x:c>
      <x:c r="G570" s="2" t="n">
        <x:v>3</x:v>
      </x:c>
      <x:c r="H570" s="11" t="n">
        <x:v>573.22</x:v>
      </x:c>
      <x:c r="I570" s="2" t="n">
        <x:v>4</x:v>
      </x:c>
      <x:c r="J570" s="2" t="n">
        <x:v>3</x:v>
      </x:c>
      <x:c r="K570" s="2" t="n">
        <x:v>2</x:v>
      </x:c>
      <x:c r="L570" s="2" t="str">
        <x:v>Loyal</x:v>
      </x:c>
    </x:row>
    <x:row r="571" ht="22" customHeight="1">
      <x:c r="A571" s="2"/>
      <x:c r="B571" s="2" t="str">
        <x:v>12880</x:v>
      </x:c>
      <x:c r="C571" s="2" t="str">
        <x:v>United Kingdom</x:v>
      </x:c>
      <x:c r="D571" s="25" t="n">
        <x:v>40312.28958333333</x:v>
      </x:c>
      <x:c r="E571" s="25" t="n">
        <x:v>40505.243055555555</x:v>
      </x:c>
      <x:c r="F571" s="2" t="n">
        <x:v>382</x:v>
      </x:c>
      <x:c r="G571" s="2" t="n">
        <x:v>2</x:v>
      </x:c>
      <x:c r="H571" s="11" t="n">
        <x:v>640.13</x:v>
      </x:c>
      <x:c r="I571" s="2" t="n">
        <x:v>2</x:v>
      </x:c>
      <x:c r="J571" s="2" t="n">
        <x:v>2</x:v>
      </x:c>
      <x:c r="K571" s="2" t="n">
        <x:v>3</x:v>
      </x:c>
      <x:c r="L571" s="2" t="str">
        <x:v>Hibernating</x:v>
      </x:c>
    </x:row>
    <x:row r="572" ht="22" customHeight="1">
      <x:c r="A572" s="2"/>
      <x:c r="B572" s="2" t="str">
        <x:v>12881</x:v>
      </x:c>
      <x:c r="C572" s="2" t="str">
        <x:v>United Kingdom</x:v>
      </x:c>
      <x:c r="D572" s="25" t="n">
        <x:v>40611.28055555555</x:v>
      </x:c>
      <x:c r="E572" s="25" t="n">
        <x:v>40611.28055555555</x:v>
      </x:c>
      <x:c r="F572" s="2" t="n">
        <x:v>276</x:v>
      </x:c>
      <x:c r="G572" s="2" t="n">
        <x:v>1</x:v>
      </x:c>
      <x:c r="H572" s="11" t="n">
        <x:v>298</x:v>
      </x:c>
      <x:c r="I572" s="2" t="n">
        <x:v>2</x:v>
      </x:c>
      <x:c r="J572" s="2" t="n">
        <x:v>1</x:v>
      </x:c>
      <x:c r="K572" s="2" t="n">
        <x:v>2</x:v>
      </x:c>
      <x:c r="L572" s="2" t="str">
        <x:v>Hibernating</x:v>
      </x:c>
    </x:row>
    <x:row r="573" ht="22" customHeight="1">
      <x:c r="A573" s="2"/>
      <x:c r="B573" s="2" t="str">
        <x:v>12882</x:v>
      </x:c>
      <x:c r="C573" s="2" t="str">
        <x:v>United Kingdom</x:v>
      </x:c>
      <x:c r="D573" s="25" t="n">
        <x:v>40853.26527777778</x:v>
      </x:c>
      <x:c r="E573" s="25" t="n">
        <x:v>40877.47083333333</x:v>
      </x:c>
      <x:c r="F573" s="2" t="n">
        <x:v>10</x:v>
      </x:c>
      <x:c r="G573" s="2" t="n">
        <x:v>2</x:v>
      </x:c>
      <x:c r="H573" s="11" t="n">
        <x:v>1463.04</x:v>
      </x:c>
      <x:c r="I573" s="2" t="n">
        <x:v>5</x:v>
      </x:c>
      <x:c r="J573" s="2" t="n">
        <x:v>2</x:v>
      </x:c>
      <x:c r="K573" s="2" t="n">
        <x:v>4</x:v>
      </x:c>
      <x:c r="L573" s="2" t="str">
        <x:v>Recent light buyers</x:v>
      </x:c>
    </x:row>
    <x:row r="574" ht="22" customHeight="1">
      <x:c r="A574" s="2"/>
      <x:c r="B574" s="2" t="str">
        <x:v>12883</x:v>
      </x:c>
      <x:c r="C574" s="2" t="str">
        <x:v>United Kingdom</x:v>
      </x:c>
      <x:c r="D574" s="25" t="n">
        <x:v>40797.42916666667</x:v>
      </x:c>
      <x:c r="E574" s="25" t="n">
        <x:v>40862.188888888886</x:v>
      </x:c>
      <x:c r="F574" s="2" t="n">
        <x:v>25</x:v>
      </x:c>
      <x:c r="G574" s="2" t="n">
        <x:v>4</x:v>
      </x:c>
      <x:c r="H574" s="11" t="n">
        <x:v>703.47</x:v>
      </x:c>
      <x:c r="I574" s="2" t="n">
        <x:v>4</x:v>
      </x:c>
      <x:c r="J574" s="2" t="n">
        <x:v>3</x:v>
      </x:c>
      <x:c r="K574" s="2" t="n">
        <x:v>3</x:v>
      </x:c>
      <x:c r="L574" s="2" t="str">
        <x:v>Loyal</x:v>
      </x:c>
    </x:row>
    <x:row r="575" ht="22" customHeight="1">
      <x:c r="A575" s="2"/>
      <x:c r="B575" s="2" t="str">
        <x:v>12884</x:v>
      </x:c>
      <x:c r="C575" s="2" t="str">
        <x:v>United Kingdom</x:v>
      </x:c>
      <x:c r="D575" s="25" t="n">
        <x:v>40798.34027777778</x:v>
      </x:c>
      <x:c r="E575" s="25" t="n">
        <x:v>40798.34027777778</x:v>
      </x:c>
      <x:c r="F575" s="2" t="n">
        <x:v>89</x:v>
      </x:c>
      <x:c r="G575" s="2" t="n">
        <x:v>1</x:v>
      </x:c>
      <x:c r="H575" s="11" t="n">
        <x:v>309.05</x:v>
      </x:c>
      <x:c r="I575" s="2" t="n">
        <x:v>3</x:v>
      </x:c>
      <x:c r="J575" s="2" t="n">
        <x:v>1</x:v>
      </x:c>
      <x:c r="K575" s="2" t="n">
        <x:v>2</x:v>
      </x:c>
      <x:c r="L575" s="2" t="str">
        <x:v>Developing</x:v>
      </x:c>
    </x:row>
    <x:row r="576" ht="22" customHeight="1">
      <x:c r="A576" s="2"/>
      <x:c r="B576" s="2" t="str">
        <x:v>12885</x:v>
      </x:c>
      <x:c r="C576" s="2" t="str">
        <x:v>United Kingdom</x:v>
      </x:c>
      <x:c r="D576" s="25" t="n">
        <x:v>40763.28125</x:v>
      </x:c>
      <x:c r="E576" s="25" t="n">
        <x:v>40823.36111111111</x:v>
      </x:c>
      <x:c r="F576" s="2" t="n">
        <x:v>64</x:v>
      </x:c>
      <x:c r="G576" s="2" t="n">
        <x:v>3</x:v>
      </x:c>
      <x:c r="H576" s="11" t="n">
        <x:v>1175.22</x:v>
      </x:c>
      <x:c r="I576" s="2" t="n">
        <x:v>3</x:v>
      </x:c>
      <x:c r="J576" s="2" t="n">
        <x:v>3</x:v>
      </x:c>
      <x:c r="K576" s="2" t="n">
        <x:v>3</x:v>
      </x:c>
      <x:c r="L576" s="2" t="str">
        <x:v>Loyal</x:v>
      </x:c>
    </x:row>
    <x:row r="577" ht="22" customHeight="1">
      <x:c r="A577" s="2"/>
      <x:c r="B577" s="2" t="str">
        <x:v>12886</x:v>
      </x:c>
      <x:c r="C577" s="2" t="str">
        <x:v>United Kingdom</x:v>
      </x:c>
      <x:c r="D577" s="25" t="n">
        <x:v>40667.26458333333</x:v>
      </x:c>
      <x:c r="E577" s="25" t="n">
        <x:v>40819.214583333334</x:v>
      </x:c>
      <x:c r="F577" s="2" t="n">
        <x:v>68</x:v>
      </x:c>
      <x:c r="G577" s="2" t="n">
        <x:v>2</x:v>
      </x:c>
      <x:c r="H577" s="11" t="n">
        <x:v>1378.4</x:v>
      </x:c>
      <x:c r="I577" s="2" t="n">
        <x:v>3</x:v>
      </x:c>
      <x:c r="J577" s="2" t="n">
        <x:v>2</x:v>
      </x:c>
      <x:c r="K577" s="2" t="n">
        <x:v>4</x:v>
      </x:c>
      <x:c r="L577" s="2" t="str">
        <x:v>Developing</x:v>
      </x:c>
    </x:row>
    <x:row r="578" ht="22" customHeight="1">
      <x:c r="A578" s="2"/>
      <x:c r="B578" s="2" t="str">
        <x:v>12887</x:v>
      </x:c>
      <x:c r="C578" s="2" t="str">
        <x:v>United Kingdom</x:v>
      </x:c>
      <x:c r="D578" s="25" t="n">
        <x:v>40503.2625</x:v>
      </x:c>
      <x:c r="E578" s="25" t="n">
        <x:v>40503.2625</x:v>
      </x:c>
      <x:c r="F578" s="2" t="n">
        <x:v>384</x:v>
      </x:c>
      <x:c r="G578" s="2" t="n">
        <x:v>1</x:v>
      </x:c>
      <x:c r="H578" s="11" t="n">
        <x:v>222.4</x:v>
      </x:c>
      <x:c r="I578" s="2" t="n">
        <x:v>2</x:v>
      </x:c>
      <x:c r="J578" s="2" t="n">
        <x:v>1</x:v>
      </x:c>
      <x:c r="K578" s="2" t="n">
        <x:v>1</x:v>
      </x:c>
      <x:c r="L578" s="2" t="str">
        <x:v>Hibernating</x:v>
      </x:c>
    </x:row>
    <x:row r="579" ht="22" customHeight="1">
      <x:c r="A579" s="2"/>
      <x:c r="B579" s="2" t="str">
        <x:v>12888</x:v>
      </x:c>
      <x:c r="C579" s="2" t="str">
        <x:v>United Kingdom</x:v>
      </x:c>
      <x:c r="D579" s="25" t="n">
        <x:v>40631.396527777775</x:v>
      </x:c>
      <x:c r="E579" s="25" t="n">
        <x:v>40672.45972222222</x:v>
      </x:c>
      <x:c r="F579" s="2" t="n">
        <x:v>215</x:v>
      </x:c>
      <x:c r="G579" s="2" t="n">
        <x:v>2</x:v>
      </x:c>
      <x:c r="H579" s="11" t="n">
        <x:v>354.12</x:v>
      </x:c>
      <x:c r="I579" s="2" t="n">
        <x:v>2</x:v>
      </x:c>
      <x:c r="J579" s="2" t="n">
        <x:v>2</x:v>
      </x:c>
      <x:c r="K579" s="2" t="n">
        <x:v>2</x:v>
      </x:c>
      <x:c r="L579" s="2" t="str">
        <x:v>Hibernating</x:v>
      </x:c>
    </x:row>
    <x:row r="580" ht="22" customHeight="1">
      <x:c r="A580" s="2"/>
      <x:c r="B580" s="2" t="str">
        <x:v>12889</x:v>
      </x:c>
      <x:c r="C580" s="2" t="str">
        <x:v>United Kingdom</x:v>
      </x:c>
      <x:c r="D580" s="25" t="n">
        <x:v>40384.39722222222</x:v>
      </x:c>
      <x:c r="E580" s="25" t="n">
        <x:v>40505.46388888889</x:v>
      </x:c>
      <x:c r="F580" s="2" t="n">
        <x:v>382</x:v>
      </x:c>
      <x:c r="G580" s="2" t="n">
        <x:v>4</x:v>
      </x:c>
      <x:c r="H580" s="11" t="n">
        <x:v>385.46</x:v>
      </x:c>
      <x:c r="I580" s="2" t="n">
        <x:v>2</x:v>
      </x:c>
      <x:c r="J580" s="2" t="n">
        <x:v>3</x:v>
      </x:c>
      <x:c r="K580" s="2" t="n">
        <x:v>2</x:v>
      </x:c>
      <x:c r="L580" s="2" t="str">
        <x:v>At risk</x:v>
      </x:c>
    </x:row>
    <x:row r="581" ht="22" customHeight="1">
      <x:c r="A581" s="2"/>
      <x:c r="B581" s="2" t="str">
        <x:v>12890</x:v>
      </x:c>
      <x:c r="C581" s="2" t="str">
        <x:v>United Kingdom</x:v>
      </x:c>
      <x:c r="D581" s="25" t="n">
        <x:v>40499.37847222222</x:v>
      </x:c>
      <x:c r="E581" s="25" t="n">
        <x:v>40862.518055555556</x:v>
      </x:c>
      <x:c r="F581" s="2" t="n">
        <x:v>25</x:v>
      </x:c>
      <x:c r="G581" s="2" t="n">
        <x:v>2</x:v>
      </x:c>
      <x:c r="H581" s="11" t="n">
        <x:v>717.27</x:v>
      </x:c>
      <x:c r="I581" s="2" t="n">
        <x:v>4</x:v>
      </x:c>
      <x:c r="J581" s="2" t="n">
        <x:v>2</x:v>
      </x:c>
      <x:c r="K581" s="2" t="n">
        <x:v>3</x:v>
      </x:c>
      <x:c r="L581" s="2" t="str">
        <x:v>Recent light buyers</x:v>
      </x:c>
    </x:row>
    <x:row r="582" ht="22" customHeight="1">
      <x:c r="A582" s="2"/>
      <x:c r="B582" s="2" t="str">
        <x:v>12891</x:v>
      </x:c>
      <x:c r="C582" s="2" t="str">
        <x:v>United Kingdom</x:v>
      </x:c>
      <x:c r="D582" s="25" t="n">
        <x:v>40227.39722222222</x:v>
      </x:c>
      <x:c r="E582" s="25" t="n">
        <x:v>40701.31319444445</x:v>
      </x:c>
      <x:c r="F582" s="2" t="n">
        <x:v>186</x:v>
      </x:c>
      <x:c r="G582" s="2" t="n">
        <x:v>11</x:v>
      </x:c>
      <x:c r="H582" s="11" t="n">
        <x:v>840.5</x:v>
      </x:c>
      <x:c r="I582" s="2" t="n">
        <x:v>3</x:v>
      </x:c>
      <x:c r="J582" s="2" t="n">
        <x:v>5</x:v>
      </x:c>
      <x:c r="K582" s="2" t="n">
        <x:v>3</x:v>
      </x:c>
      <x:c r="L582" s="2" t="str">
        <x:v>Loyal</x:v>
      </x:c>
    </x:row>
    <x:row r="583" ht="22" customHeight="1">
      <x:c r="A583" s="2"/>
      <x:c r="B583" s="2" t="str">
        <x:v>12892</x:v>
      </x:c>
      <x:c r="C583" s="2" t="str">
        <x:v>United Kingdom</x:v>
      </x:c>
      <x:c r="D583" s="25" t="n">
        <x:v>40490.20208333333</x:v>
      </x:c>
      <x:c r="E583" s="25" t="n">
        <x:v>40490.20208333333</x:v>
      </x:c>
      <x:c r="F583" s="2" t="n">
        <x:v>397</x:v>
      </x:c>
      <x:c r="G583" s="2" t="n">
        <x:v>1</x:v>
      </x:c>
      <x:c r="H583" s="11" t="n">
        <x:v>263.38</x:v>
      </x:c>
      <x:c r="I583" s="2" t="n">
        <x:v>2</x:v>
      </x:c>
      <x:c r="J583" s="2" t="n">
        <x:v>1</x:v>
      </x:c>
      <x:c r="K583" s="2" t="n">
        <x:v>1</x:v>
      </x:c>
      <x:c r="L583" s="2" t="str">
        <x:v>Hibernating</x:v>
      </x:c>
    </x:row>
    <x:row r="584" ht="22" customHeight="1">
      <x:c r="A584" s="2"/>
      <x:c r="B584" s="2" t="str">
        <x:v>12893</x:v>
      </x:c>
      <x:c r="C584" s="2" t="str">
        <x:v>United Kingdom</x:v>
      </x:c>
      <x:c r="D584" s="25" t="n">
        <x:v>40856.31527777778</x:v>
      </x:c>
      <x:c r="E584" s="25" t="n">
        <x:v>40856.31527777778</x:v>
      </x:c>
      <x:c r="F584" s="2" t="n">
        <x:v>31</x:v>
      </x:c>
      <x:c r="G584" s="2" t="n">
        <x:v>1</x:v>
      </x:c>
      <x:c r="H584" s="11" t="n">
        <x:v>188.14</x:v>
      </x:c>
      <x:c r="I584" s="2" t="n">
        <x:v>4</x:v>
      </x:c>
      <x:c r="J584" s="2" t="n">
        <x:v>1</x:v>
      </x:c>
      <x:c r="K584" s="2" t="n">
        <x:v>1</x:v>
      </x:c>
      <x:c r="L584" s="2" t="str">
        <x:v>Recent light buyers</x:v>
      </x:c>
    </x:row>
    <x:row r="585" ht="22" customHeight="1">
      <x:c r="A585" s="2"/>
      <x:c r="B585" s="2" t="str">
        <x:v>12894</x:v>
      </x:c>
      <x:c r="C585" s="2" t="str">
        <x:v>United Kingdom</x:v>
      </x:c>
      <x:c r="D585" s="25" t="n">
        <x:v>40311.407638888886</x:v>
      </x:c>
      <x:c r="E585" s="25" t="n">
        <x:v>40311.407638888886</x:v>
      </x:c>
      <x:c r="F585" s="2" t="n">
        <x:v>576</x:v>
      </x:c>
      <x:c r="G585" s="2" t="n">
        <x:v>1</x:v>
      </x:c>
      <x:c r="H585" s="11" t="n">
        <x:v>157.35</x:v>
      </x:c>
      <x:c r="I585" s="2" t="n">
        <x:v>1</x:v>
      </x:c>
      <x:c r="J585" s="2" t="n">
        <x:v>1</x:v>
      </x:c>
      <x:c r="K585" s="2" t="n">
        <x:v>1</x:v>
      </x:c>
      <x:c r="L585" s="2" t="str">
        <x:v>Hibernating</x:v>
      </x:c>
    </x:row>
    <x:row r="586" ht="22" customHeight="1">
      <x:c r="A586" s="2"/>
      <x:c r="B586" s="2" t="str">
        <x:v>12895</x:v>
      </x:c>
      <x:c r="C586" s="2" t="str">
        <x:v>United Kingdom</x:v>
      </x:c>
      <x:c r="D586" s="25" t="n">
        <x:v>40800.149305555555</x:v>
      </x:c>
      <x:c r="E586" s="25" t="n">
        <x:v>40844.36875</x:v>
      </x:c>
      <x:c r="F586" s="2" t="n">
        <x:v>43</x:v>
      </x:c>
      <x:c r="G586" s="2" t="n">
        <x:v>2</x:v>
      </x:c>
      <x:c r="H586" s="11" t="n">
        <x:v>372.8</x:v>
      </x:c>
      <x:c r="I586" s="2" t="n">
        <x:v>4</x:v>
      </x:c>
      <x:c r="J586" s="2" t="n">
        <x:v>2</x:v>
      </x:c>
      <x:c r="K586" s="2" t="n">
        <x:v>2</x:v>
      </x:c>
      <x:c r="L586" s="2" t="str">
        <x:v>Recent light buyers</x:v>
      </x:c>
    </x:row>
    <x:row r="587" ht="22" customHeight="1">
      <x:c r="A587" s="2"/>
      <x:c r="B587" s="2" t="str">
        <x:v>12897</x:v>
      </x:c>
      <x:c r="C587" s="2" t="str">
        <x:v>United Kingdom</x:v>
      </x:c>
      <x:c r="D587" s="25" t="n">
        <x:v>40343.29027777778</x:v>
      </x:c>
      <x:c r="E587" s="25" t="n">
        <x:v>40682.30069444444</x:v>
      </x:c>
      <x:c r="F587" s="2" t="n">
        <x:v>205</x:v>
      </x:c>
      <x:c r="G587" s="2" t="n">
        <x:v>4</x:v>
      </x:c>
      <x:c r="H587" s="11" t="n">
        <x:v>514.25</x:v>
      </x:c>
      <x:c r="I587" s="2" t="n">
        <x:v>2</x:v>
      </x:c>
      <x:c r="J587" s="2" t="n">
        <x:v>3</x:v>
      </x:c>
      <x:c r="K587" s="2" t="n">
        <x:v>2</x:v>
      </x:c>
      <x:c r="L587" s="2" t="str">
        <x:v>At risk</x:v>
      </x:c>
    </x:row>
    <x:row r="588" ht="22" customHeight="1">
      <x:c r="A588" s="2"/>
      <x:c r="B588" s="2" t="str">
        <x:v>12898</x:v>
      </x:c>
      <x:c r="C588" s="2" t="str">
        <x:v>United Kingdom</x:v>
      </x:c>
      <x:c r="D588" s="25" t="n">
        <x:v>40227.316666666666</x:v>
      </x:c>
      <x:c r="E588" s="25" t="n">
        <x:v>40423.13055555556</x:v>
      </x:c>
      <x:c r="F588" s="2" t="n">
        <x:v>464</x:v>
      </x:c>
      <x:c r="G588" s="2" t="n">
        <x:v>2</x:v>
      </x:c>
      <x:c r="H588" s="11" t="n">
        <x:v>310.96</x:v>
      </x:c>
      <x:c r="I588" s="2" t="n">
        <x:v>1</x:v>
      </x:c>
      <x:c r="J588" s="2" t="n">
        <x:v>2</x:v>
      </x:c>
      <x:c r="K588" s="2" t="n">
        <x:v>2</x:v>
      </x:c>
      <x:c r="L588" s="2" t="str">
        <x:v>Hibernating</x:v>
      </x:c>
    </x:row>
    <x:row r="589" ht="22" customHeight="1">
      <x:c r="A589" s="2"/>
      <x:c r="B589" s="2" t="str">
        <x:v>12899</x:v>
      </x:c>
      <x:c r="C589" s="2" t="str">
        <x:v>United Kingdom</x:v>
      </x:c>
      <x:c r="D589" s="25" t="n">
        <x:v>40473.20347222222</x:v>
      </x:c>
      <x:c r="E589" s="25" t="n">
        <x:v>40473.20347222222</x:v>
      </x:c>
      <x:c r="F589" s="2" t="n">
        <x:v>414</x:v>
      </x:c>
      <x:c r="G589" s="2" t="n">
        <x:v>1</x:v>
      </x:c>
      <x:c r="H589" s="11" t="n">
        <x:v>366.4</x:v>
      </x:c>
      <x:c r="I589" s="2" t="n">
        <x:v>1</x:v>
      </x:c>
      <x:c r="J589" s="2" t="n">
        <x:v>1</x:v>
      </x:c>
      <x:c r="K589" s="2" t="n">
        <x:v>2</x:v>
      </x:c>
      <x:c r="L589" s="2" t="str">
        <x:v>Hibernating</x:v>
      </x:c>
    </x:row>
    <x:row r="590" ht="22" customHeight="1">
      <x:c r="A590" s="2"/>
      <x:c r="B590" s="2" t="str">
        <x:v>12900</x:v>
      </x:c>
      <x:c r="C590" s="2" t="str">
        <x:v>United Kingdom</x:v>
      </x:c>
      <x:c r="D590" s="25" t="n">
        <x:v>40464.42847222222</x:v>
      </x:c>
      <x:c r="E590" s="25" t="n">
        <x:v>40464.42847222222</x:v>
      </x:c>
      <x:c r="F590" s="2" t="n">
        <x:v>423</x:v>
      </x:c>
      <x:c r="G590" s="2" t="n">
        <x:v>1</x:v>
      </x:c>
      <x:c r="H590" s="11" t="n">
        <x:v>340.33</x:v>
      </x:c>
      <x:c r="I590" s="2" t="n">
        <x:v>1</x:v>
      </x:c>
      <x:c r="J590" s="2" t="n">
        <x:v>1</x:v>
      </x:c>
      <x:c r="K590" s="2" t="n">
        <x:v>2</x:v>
      </x:c>
      <x:c r="L590" s="2" t="str">
        <x:v>Hibernating</x:v>
      </x:c>
    </x:row>
    <x:row r="591" ht="22" customHeight="1">
      <x:c r="A591" s="2"/>
      <x:c r="B591" s="2" t="str">
        <x:v>12901</x:v>
      </x:c>
      <x:c r="C591" s="2" t="str">
        <x:v>United Kingdom</x:v>
      </x:c>
      <x:c r="D591" s="25" t="n">
        <x:v>40616.236805555556</x:v>
      </x:c>
      <x:c r="E591" s="25" t="n">
        <x:v>40878.21319444444</x:v>
      </x:c>
      <x:c r="F591" s="2" t="n">
        <x:v>9</x:v>
      </x:c>
      <x:c r="G591" s="2" t="n">
        <x:v>28</x:v>
      </x:c>
      <x:c r="H591" s="11" t="n">
        <x:v>17654.54</x:v>
      </x:c>
      <x:c r="I591" s="2" t="n">
        <x:v>5</x:v>
      </x:c>
      <x:c r="J591" s="2" t="n">
        <x:v>5</x:v>
      </x:c>
      <x:c r="K591" s="2" t="n">
        <x:v>5</x:v>
      </x:c>
      <x:c r="L591" s="2" t="str">
        <x:v>Champions</x:v>
      </x:c>
    </x:row>
    <x:row r="592" ht="22" customHeight="1">
      <x:c r="A592" s="2"/>
      <x:c r="B592" s="2" t="str">
        <x:v>12902</x:v>
      </x:c>
      <x:c r="C592" s="2" t="str">
        <x:v>United Kingdom</x:v>
      </x:c>
      <x:c r="D592" s="25" t="n">
        <x:v>40622.29583333333</x:v>
      </x:c>
      <x:c r="E592" s="25" t="n">
        <x:v>40622.29583333333</x:v>
      </x:c>
      <x:c r="F592" s="2" t="n">
        <x:v>265</x:v>
      </x:c>
      <x:c r="G592" s="2" t="n">
        <x:v>1</x:v>
      </x:c>
      <x:c r="H592" s="11" t="n">
        <x:v>138.68</x:v>
      </x:c>
      <x:c r="I592" s="2" t="n">
        <x:v>2</x:v>
      </x:c>
      <x:c r="J592" s="2" t="n">
        <x:v>1</x:v>
      </x:c>
      <x:c r="K592" s="2" t="n">
        <x:v>1</x:v>
      </x:c>
      <x:c r="L592" s="2" t="str">
        <x:v>Hibernating</x:v>
      </x:c>
    </x:row>
    <x:row r="593" ht="22" customHeight="1">
      <x:c r="A593" s="2"/>
      <x:c r="B593" s="2" t="str">
        <x:v>12903</x:v>
      </x:c>
      <x:c r="C593" s="2" t="str">
        <x:v>United Kingdom</x:v>
      </x:c>
      <x:c r="D593" s="25" t="n">
        <x:v>40458.31875</x:v>
      </x:c>
      <x:c r="E593" s="25" t="n">
        <x:v>40458.31875</x:v>
      </x:c>
      <x:c r="F593" s="2" t="n">
        <x:v>429</x:v>
      </x:c>
      <x:c r="G593" s="2" t="n">
        <x:v>1</x:v>
      </x:c>
      <x:c r="H593" s="11" t="n">
        <x:v>833.53</x:v>
      </x:c>
      <x:c r="I593" s="2" t="n">
        <x:v>1</x:v>
      </x:c>
      <x:c r="J593" s="2" t="n">
        <x:v>1</x:v>
      </x:c>
      <x:c r="K593" s="2" t="n">
        <x:v>3</x:v>
      </x:c>
      <x:c r="L593" s="2" t="str">
        <x:v>Hibernating</x:v>
      </x:c>
    </x:row>
    <x:row r="594" ht="22" customHeight="1">
      <x:c r="A594" s="2"/>
      <x:c r="B594" s="2" t="str">
        <x:v>12904</x:v>
      </x:c>
      <x:c r="C594" s="2" t="str">
        <x:v>United Kingdom</x:v>
      </x:c>
      <x:c r="D594" s="25" t="n">
        <x:v>40714.34583333333</x:v>
      </x:c>
      <x:c r="E594" s="25" t="n">
        <x:v>40868.39861111111</x:v>
      </x:c>
      <x:c r="F594" s="2" t="n">
        <x:v>19</x:v>
      </x:c>
      <x:c r="G594" s="2" t="n">
        <x:v>2</x:v>
      </x:c>
      <x:c r="H594" s="11" t="n">
        <x:v>509.58</x:v>
      </x:c>
      <x:c r="I594" s="2" t="n">
        <x:v>5</x:v>
      </x:c>
      <x:c r="J594" s="2" t="n">
        <x:v>2</x:v>
      </x:c>
      <x:c r="K594" s="2" t="n">
        <x:v>2</x:v>
      </x:c>
      <x:c r="L594" s="2" t="str">
        <x:v>Recent light buyers</x:v>
      </x:c>
    </x:row>
    <x:row r="595" ht="22" customHeight="1">
      <x:c r="A595" s="2"/>
      <x:c r="B595" s="2" t="str">
        <x:v>12905</x:v>
      </x:c>
      <x:c r="C595" s="2" t="str">
        <x:v>United Kingdom</x:v>
      </x:c>
      <x:c r="D595" s="25" t="n">
        <x:v>40204.379166666666</x:v>
      </x:c>
      <x:c r="E595" s="25" t="n">
        <x:v>40310.211805555555</x:v>
      </x:c>
      <x:c r="F595" s="2" t="n">
        <x:v>577</x:v>
      </x:c>
      <x:c r="G595" s="2" t="n">
        <x:v>2</x:v>
      </x:c>
      <x:c r="H595" s="11" t="n">
        <x:v>1018.42</x:v>
      </x:c>
      <x:c r="I595" s="2" t="n">
        <x:v>1</x:v>
      </x:c>
      <x:c r="J595" s="2" t="n">
        <x:v>2</x:v>
      </x:c>
      <x:c r="K595" s="2" t="n">
        <x:v>3</x:v>
      </x:c>
      <x:c r="L595" s="2" t="str">
        <x:v>Hibernating</x:v>
      </x:c>
    </x:row>
    <x:row r="596" ht="22" customHeight="1">
      <x:c r="A596" s="2"/>
      <x:c r="B596" s="2" t="str">
        <x:v>12906</x:v>
      </x:c>
      <x:c r="C596" s="2" t="str">
        <x:v>United Kingdom</x:v>
      </x:c>
      <x:c r="D596" s="25" t="n">
        <x:v>40808.41875</x:v>
      </x:c>
      <x:c r="E596" s="25" t="n">
        <x:v>40875.20486111111</x:v>
      </x:c>
      <x:c r="F596" s="2" t="n">
        <x:v>12</x:v>
      </x:c>
      <x:c r="G596" s="2" t="n">
        <x:v>5</x:v>
      </x:c>
      <x:c r="H596" s="11" t="n">
        <x:v>2919.81</x:v>
      </x:c>
      <x:c r="I596" s="2" t="n">
        <x:v>5</x:v>
      </x:c>
      <x:c r="J596" s="2" t="n">
        <x:v>4</x:v>
      </x:c>
      <x:c r="K596" s="2" t="n">
        <x:v>5</x:v>
      </x:c>
      <x:c r="L596" s="2" t="str">
        <x:v>Champions</x:v>
      </x:c>
    </x:row>
    <x:row r="597" ht="22" customHeight="1">
      <x:c r="A597" s="2"/>
      <x:c r="B597" s="2" t="str">
        <x:v>12907</x:v>
      </x:c>
      <x:c r="C597" s="2" t="str">
        <x:v>United Kingdom</x:v>
      </x:c>
      <x:c r="D597" s="25" t="n">
        <x:v>40392.39791666667</x:v>
      </x:c>
      <x:c r="E597" s="25" t="n">
        <x:v>40491.29722222222</x:v>
      </x:c>
      <x:c r="F597" s="2" t="n">
        <x:v>396</x:v>
      </x:c>
      <x:c r="G597" s="2" t="n">
        <x:v>2</x:v>
      </x:c>
      <x:c r="H597" s="11" t="n">
        <x:v>508.91</x:v>
      </x:c>
      <x:c r="I597" s="2" t="n">
        <x:v>2</x:v>
      </x:c>
      <x:c r="J597" s="2" t="n">
        <x:v>2</x:v>
      </x:c>
      <x:c r="K597" s="2" t="n">
        <x:v>2</x:v>
      </x:c>
      <x:c r="L597" s="2" t="str">
        <x:v>Hibernating</x:v>
      </x:c>
    </x:row>
    <x:row r="598" ht="22" customHeight="1">
      <x:c r="A598" s="2"/>
      <x:c r="B598" s="2" t="str">
        <x:v>12908</x:v>
      </x:c>
      <x:c r="C598" s="2" t="str">
        <x:v>United Kingdom</x:v>
      </x:c>
      <x:c r="D598" s="25" t="n">
        <x:v>40256.45763888889</x:v>
      </x:c>
      <x:c r="E598" s="25" t="n">
        <x:v>40710.44375</x:v>
      </x:c>
      <x:c r="F598" s="2" t="n">
        <x:v>177</x:v>
      </x:c>
      <x:c r="G598" s="2" t="n">
        <x:v>5</x:v>
      </x:c>
      <x:c r="H598" s="11" t="n">
        <x:v>1776</x:v>
      </x:c>
      <x:c r="I598" s="2" t="n">
        <x:v>3</x:v>
      </x:c>
      <x:c r="J598" s="2" t="n">
        <x:v>4</x:v>
      </x:c>
      <x:c r="K598" s="2" t="n">
        <x:v>4</x:v>
      </x:c>
      <x:c r="L598" s="2" t="str">
        <x:v>Loyal</x:v>
      </x:c>
    </x:row>
    <x:row r="599" ht="22" customHeight="1">
      <x:c r="A599" s="2"/>
      <x:c r="B599" s="2" t="str">
        <x:v>12909</x:v>
      </x:c>
      <x:c r="C599" s="2" t="str">
        <x:v>United Kingdom</x:v>
      </x:c>
      <x:c r="D599" s="25" t="n">
        <x:v>40233.30138888889</x:v>
      </x:c>
      <x:c r="E599" s="25" t="n">
        <x:v>40847.32152777778</x:v>
      </x:c>
      <x:c r="F599" s="2" t="n">
        <x:v>40</x:v>
      </x:c>
      <x:c r="G599" s="2" t="n">
        <x:v>8</x:v>
      </x:c>
      <x:c r="H599" s="11" t="n">
        <x:v>3103.19</x:v>
      </x:c>
      <x:c r="I599" s="2" t="n">
        <x:v>4</x:v>
      </x:c>
      <x:c r="J599" s="2" t="n">
        <x:v>4</x:v>
      </x:c>
      <x:c r="K599" s="2" t="n">
        <x:v>5</x:v>
      </x:c>
      <x:c r="L599" s="2" t="str">
        <x:v>Champions</x:v>
      </x:c>
    </x:row>
    <x:row r="600" ht="22" customHeight="1">
      <x:c r="A600" s="2"/>
      <x:c r="B600" s="2" t="str">
        <x:v>12910</x:v>
      </x:c>
      <x:c r="C600" s="2" t="str">
        <x:v>United Kingdom</x:v>
      </x:c>
      <x:c r="D600" s="25" t="n">
        <x:v>40265.34027777778</x:v>
      </x:c>
      <x:c r="E600" s="25" t="n">
        <x:v>40863.39444444444</x:v>
      </x:c>
      <x:c r="F600" s="2" t="n">
        <x:v>24</x:v>
      </x:c>
      <x:c r="G600" s="2" t="n">
        <x:v>13</x:v>
      </x:c>
      <x:c r="H600" s="11" t="n">
        <x:v>5796.52</x:v>
      </x:c>
      <x:c r="I600" s="2" t="n">
        <x:v>4</x:v>
      </x:c>
      <x:c r="J600" s="2" t="n">
        <x:v>5</x:v>
      </x:c>
      <x:c r="K600" s="2" t="n">
        <x:v>5</x:v>
      </x:c>
      <x:c r="L600" s="2" t="str">
        <x:v>Champions</x:v>
      </x:c>
    </x:row>
    <x:row r="601" ht="22" customHeight="1">
      <x:c r="A601" s="2"/>
      <x:c r="B601" s="2" t="str">
        <x:v>12911</x:v>
      </x:c>
      <x:c r="C601" s="2" t="str">
        <x:v>United Kingdom</x:v>
      </x:c>
      <x:c r="D601" s="25" t="n">
        <x:v>40335.30069444444</x:v>
      </x:c>
      <x:c r="E601" s="25" t="n">
        <x:v>40335.30069444444</x:v>
      </x:c>
      <x:c r="F601" s="2" t="n">
        <x:v>552</x:v>
      </x:c>
      <x:c r="G601" s="2" t="n">
        <x:v>1</x:v>
      </x:c>
      <x:c r="H601" s="11" t="n">
        <x:v>1680.47</x:v>
      </x:c>
      <x:c r="I601" s="2" t="n">
        <x:v>1</x:v>
      </x:c>
      <x:c r="J601" s="2" t="n">
        <x:v>1</x:v>
      </x:c>
      <x:c r="K601" s="2" t="n">
        <x:v>4</x:v>
      </x:c>
      <x:c r="L601" s="2" t="str">
        <x:v>Hibernating</x:v>
      </x:c>
    </x:row>
    <x:row r="602" ht="22" customHeight="1">
      <x:c r="A602" s="2"/>
      <x:c r="B602" s="2" t="str">
        <x:v>12912</x:v>
      </x:c>
      <x:c r="C602" s="2" t="str">
        <x:v>United Kingdom</x:v>
      </x:c>
      <x:c r="D602" s="25" t="n">
        <x:v>40846.274305555555</x:v>
      </x:c>
      <x:c r="E602" s="25" t="n">
        <x:v>40884.163194444445</x:v>
      </x:c>
      <x:c r="F602" s="2" t="n">
        <x:v>3</x:v>
      </x:c>
      <x:c r="G602" s="2" t="n">
        <x:v>5</x:v>
      </x:c>
      <x:c r="H602" s="11" t="n">
        <x:v>1662.3</x:v>
      </x:c>
      <x:c r="I602" s="2" t="n">
        <x:v>5</x:v>
      </x:c>
      <x:c r="J602" s="2" t="n">
        <x:v>4</x:v>
      </x:c>
      <x:c r="K602" s="2" t="n">
        <x:v>4</x:v>
      </x:c>
      <x:c r="L602" s="2" t="str">
        <x:v>Champions</x:v>
      </x:c>
    </x:row>
    <x:row r="603" ht="22" customHeight="1">
      <x:c r="A603" s="2"/>
      <x:c r="B603" s="2" t="str">
        <x:v>12913</x:v>
      </x:c>
      <x:c r="C603" s="2" t="str">
        <x:v>United Kingdom</x:v>
      </x:c>
      <x:c r="D603" s="25" t="n">
        <x:v>40148.30416666667</x:v>
      </x:c>
      <x:c r="E603" s="25" t="n">
        <x:v>40882.299305555556</x:v>
      </x:c>
      <x:c r="F603" s="2" t="n">
        <x:v>5</x:v>
      </x:c>
      <x:c r="G603" s="2" t="n">
        <x:v>13</x:v>
      </x:c>
      <x:c r="H603" s="11" t="n">
        <x:v>6283.24</x:v>
      </x:c>
      <x:c r="I603" s="2" t="n">
        <x:v>5</x:v>
      </x:c>
      <x:c r="J603" s="2" t="n">
        <x:v>5</x:v>
      </x:c>
      <x:c r="K603" s="2" t="n">
        <x:v>5</x:v>
      </x:c>
      <x:c r="L603" s="2" t="str">
        <x:v>Champions</x:v>
      </x:c>
    </x:row>
    <x:row r="604" ht="22" customHeight="1">
      <x:c r="A604" s="2"/>
      <x:c r="B604" s="2" t="str">
        <x:v>12914</x:v>
      </x:c>
      <x:c r="C604" s="2" t="str">
        <x:v>United Kingdom</x:v>
      </x:c>
      <x:c r="D604" s="25" t="n">
        <x:v>40486.311111111114</x:v>
      </x:c>
      <x:c r="E604" s="25" t="n">
        <x:v>40486.311111111114</x:v>
      </x:c>
      <x:c r="F604" s="2" t="n">
        <x:v>401</x:v>
      </x:c>
      <x:c r="G604" s="2" t="n">
        <x:v>1</x:v>
      </x:c>
      <x:c r="H604" s="11" t="n">
        <x:v>223.98</x:v>
      </x:c>
      <x:c r="I604" s="2" t="n">
        <x:v>2</x:v>
      </x:c>
      <x:c r="J604" s="2" t="n">
        <x:v>1</x:v>
      </x:c>
      <x:c r="K604" s="2" t="n">
        <x:v>1</x:v>
      </x:c>
      <x:c r="L604" s="2" t="str">
        <x:v>Hibernating</x:v>
      </x:c>
    </x:row>
    <x:row r="605" ht="22" customHeight="1">
      <x:c r="A605" s="2"/>
      <x:c r="B605" s="2" t="str">
        <x:v>12915</x:v>
      </x:c>
      <x:c r="C605" s="2" t="str">
        <x:v>United Kingdom</x:v>
      </x:c>
      <x:c r="D605" s="25" t="n">
        <x:v>40297.60833333333</x:v>
      </x:c>
      <x:c r="E605" s="25" t="n">
        <x:v>40738.27361111111</x:v>
      </x:c>
      <x:c r="F605" s="2" t="n">
        <x:v>149</x:v>
      </x:c>
      <x:c r="G605" s="2" t="n">
        <x:v>4</x:v>
      </x:c>
      <x:c r="H605" s="11" t="n">
        <x:v>975.1</x:v>
      </x:c>
      <x:c r="I605" s="2" t="n">
        <x:v>3</x:v>
      </x:c>
      <x:c r="J605" s="2" t="n">
        <x:v>3</x:v>
      </x:c>
      <x:c r="K605" s="2" t="n">
        <x:v>3</x:v>
      </x:c>
      <x:c r="L605" s="2" t="str">
        <x:v>Loyal</x:v>
      </x:c>
    </x:row>
    <x:row r="606" ht="22" customHeight="1">
      <x:c r="A606" s="2"/>
      <x:c r="B606" s="2" t="str">
        <x:v>12916</x:v>
      </x:c>
      <x:c r="C606" s="2" t="str">
        <x:v>United Kingdom</x:v>
      </x:c>
      <x:c r="D606" s="25" t="n">
        <x:v>40202.268055555556</x:v>
      </x:c>
      <x:c r="E606" s="25" t="n">
        <x:v>40748.23263888889</x:v>
      </x:c>
      <x:c r="F606" s="2" t="n">
        <x:v>139</x:v>
      </x:c>
      <x:c r="G606" s="2" t="n">
        <x:v>7</x:v>
      </x:c>
      <x:c r="H606" s="11" t="n">
        <x:v>4654.02</x:v>
      </x:c>
      <x:c r="I606" s="2" t="n">
        <x:v>3</x:v>
      </x:c>
      <x:c r="J606" s="2" t="n">
        <x:v>4</x:v>
      </x:c>
      <x:c r="K606" s="2" t="n">
        <x:v>5</x:v>
      </x:c>
      <x:c r="L606" s="2" t="str">
        <x:v>Loyal</x:v>
      </x:c>
    </x:row>
    <x:row r="607" ht="22" customHeight="1">
      <x:c r="A607" s="2"/>
      <x:c r="B607" s="2" t="str">
        <x:v>12917</x:v>
      </x:c>
      <x:c r="C607" s="2" t="str">
        <x:v>United Kingdom</x:v>
      </x:c>
      <x:c r="D607" s="25" t="n">
        <x:v>40156.39027777778</x:v>
      </x:c>
      <x:c r="E607" s="25" t="n">
        <x:v>40758.4875</x:v>
      </x:c>
      <x:c r="F607" s="2" t="n">
        <x:v>129</x:v>
      </x:c>
      <x:c r="G607" s="2" t="n">
        <x:v>6</x:v>
      </x:c>
      <x:c r="H607" s="11" t="n">
        <x:v>4359.2</x:v>
      </x:c>
      <x:c r="I607" s="2" t="n">
        <x:v>3</x:v>
      </x:c>
      <x:c r="J607" s="2" t="n">
        <x:v>4</x:v>
      </x:c>
      <x:c r="K607" s="2" t="n">
        <x:v>5</x:v>
      </x:c>
      <x:c r="L607" s="2" t="str">
        <x:v>Loyal</x:v>
      </x:c>
    </x:row>
    <x:row r="608" ht="22" customHeight="1">
      <x:c r="A608" s="2"/>
      <x:c r="B608" s="2" t="str">
        <x:v>12918</x:v>
      </x:c>
      <x:c r="C608" s="2" t="str">
        <x:v>United Kingdom</x:v>
      </x:c>
      <x:c r="D608" s="25" t="n">
        <x:v>40260.43194444444</x:v>
      </x:c>
      <x:c r="E608" s="25" t="n">
        <x:v>40260.43194444444</x:v>
      </x:c>
      <x:c r="F608" s="2" t="n">
        <x:v>627</x:v>
      </x:c>
      <x:c r="G608" s="2" t="n">
        <x:v>1</x:v>
      </x:c>
      <x:c r="H608" s="11" t="n">
        <x:v>10953.5</x:v>
      </x:c>
      <x:c r="I608" s="2" t="n">
        <x:v>1</x:v>
      </x:c>
      <x:c r="J608" s="2" t="n">
        <x:v>1</x:v>
      </x:c>
      <x:c r="K608" s="2" t="n">
        <x:v>5</x:v>
      </x:c>
      <x:c r="L608" s="2" t="str">
        <x:v>Hibernating</x:v>
      </x:c>
    </x:row>
    <x:row r="609" ht="22" customHeight="1">
      <x:c r="A609" s="2"/>
      <x:c r="B609" s="2" t="str">
        <x:v>12919</x:v>
      </x:c>
      <x:c r="C609" s="2" t="str">
        <x:v>United Kingdom</x:v>
      </x:c>
      <x:c r="D609" s="25" t="n">
        <x:v>40717.18194444444</x:v>
      </x:c>
      <x:c r="E609" s="25" t="n">
        <x:v>40878.36597222222</x:v>
      </x:c>
      <x:c r="F609" s="2" t="n">
        <x:v>9</x:v>
      </x:c>
      <x:c r="G609" s="2" t="n">
        <x:v>6</x:v>
      </x:c>
      <x:c r="H609" s="11" t="n">
        <x:v>1335.19</x:v>
      </x:c>
      <x:c r="I609" s="2" t="n">
        <x:v>5</x:v>
      </x:c>
      <x:c r="J609" s="2" t="n">
        <x:v>4</x:v>
      </x:c>
      <x:c r="K609" s="2" t="n">
        <x:v>4</x:v>
      </x:c>
      <x:c r="L609" s="2" t="str">
        <x:v>Champions</x:v>
      </x:c>
    </x:row>
    <x:row r="610" ht="22" customHeight="1">
      <x:c r="A610" s="2"/>
      <x:c r="B610" s="2" t="str">
        <x:v>12920</x:v>
      </x:c>
      <x:c r="C610" s="2" t="str">
        <x:v>United Kingdom</x:v>
      </x:c>
      <x:c r="D610" s="25" t="n">
        <x:v>40161.45694444444</x:v>
      </x:c>
      <x:c r="E610" s="25" t="n">
        <x:v>40869.42013888889</x:v>
      </x:c>
      <x:c r="F610" s="2" t="n">
        <x:v>18</x:v>
      </x:c>
      <x:c r="G610" s="2" t="n">
        <x:v>4</x:v>
      </x:c>
      <x:c r="H610" s="11" t="n">
        <x:v>488.09</x:v>
      </x:c>
      <x:c r="I610" s="2" t="n">
        <x:v>5</x:v>
      </x:c>
      <x:c r="J610" s="2" t="n">
        <x:v>3</x:v>
      </x:c>
      <x:c r="K610" s="2" t="n">
        <x:v>2</x:v>
      </x:c>
      <x:c r="L610" s="2" t="str">
        <x:v>Loyal</x:v>
      </x:c>
    </x:row>
    <x:row r="611" ht="22" customHeight="1">
      <x:c r="A611" s="2"/>
      <x:c r="B611" s="2" t="str">
        <x:v>12921</x:v>
      </x:c>
      <x:c r="C611" s="2" t="str">
        <x:v>United Kingdom</x:v>
      </x:c>
      <x:c r="D611" s="25" t="n">
        <x:v>40148.36319444444</x:v>
      </x:c>
      <x:c r="E611" s="25" t="n">
        <x:v>40877.47361111111</x:v>
      </x:c>
      <x:c r="F611" s="2" t="n">
        <x:v>10</x:v>
      </x:c>
      <x:c r="G611" s="2" t="n">
        <x:v>74</x:v>
      </x:c>
      <x:c r="H611" s="11" t="n">
        <x:v>35233.24</x:v>
      </x:c>
      <x:c r="I611" s="2" t="n">
        <x:v>5</x:v>
      </x:c>
      <x:c r="J611" s="2" t="n">
        <x:v>5</x:v>
      </x:c>
      <x:c r="K611" s="2" t="n">
        <x:v>5</x:v>
      </x:c>
      <x:c r="L611" s="2" t="str">
        <x:v>Champions</x:v>
      </x:c>
    </x:row>
    <x:row r="612" ht="22" customHeight="1">
      <x:c r="A612" s="2"/>
      <x:c r="B612" s="2" t="str">
        <x:v>12922</x:v>
      </x:c>
      <x:c r="C612" s="2" t="str">
        <x:v>United Kingdom</x:v>
      </x:c>
      <x:c r="D612" s="25" t="n">
        <x:v>40725.44097222222</x:v>
      </x:c>
      <x:c r="E612" s="25" t="n">
        <x:v>40725.44097222222</x:v>
      </x:c>
      <x:c r="F612" s="2" t="n">
        <x:v>162</x:v>
      </x:c>
      <x:c r="G612" s="2" t="n">
        <x:v>1</x:v>
      </x:c>
      <x:c r="H612" s="11" t="n">
        <x:v>405.38</x:v>
      </x:c>
      <x:c r="I612" s="2" t="n">
        <x:v>3</x:v>
      </x:c>
      <x:c r="J612" s="2" t="n">
        <x:v>1</x:v>
      </x:c>
      <x:c r="K612" s="2" t="n">
        <x:v>2</x:v>
      </x:c>
      <x:c r="L612" s="2" t="str">
        <x:v>Developing</x:v>
      </x:c>
    </x:row>
    <x:row r="613" ht="22" customHeight="1">
      <x:c r="A613" s="2"/>
      <x:c r="B613" s="2" t="str">
        <x:v>12923</x:v>
      </x:c>
      <x:c r="C613" s="2" t="str">
        <x:v>United Kingdom</x:v>
      </x:c>
      <x:c r="D613" s="25" t="n">
        <x:v>40311.413194444445</x:v>
      </x:c>
      <x:c r="E613" s="25" t="n">
        <x:v>40822.47222222222</x:v>
      </x:c>
      <x:c r="F613" s="2" t="n">
        <x:v>65</x:v>
      </x:c>
      <x:c r="G613" s="2" t="n">
        <x:v>3</x:v>
      </x:c>
      <x:c r="H613" s="11" t="n">
        <x:v>789.87</x:v>
      </x:c>
      <x:c r="I613" s="2" t="n">
        <x:v>3</x:v>
      </x:c>
      <x:c r="J613" s="2" t="n">
        <x:v>3</x:v>
      </x:c>
      <x:c r="K613" s="2" t="n">
        <x:v>3</x:v>
      </x:c>
      <x:c r="L613" s="2" t="str">
        <x:v>Loyal</x:v>
      </x:c>
    </x:row>
    <x:row r="614" ht="22" customHeight="1">
      <x:c r="A614" s="2"/>
      <x:c r="B614" s="2" t="str">
        <x:v>12924</x:v>
      </x:c>
      <x:c r="C614" s="2" t="str">
        <x:v>United Kingdom</x:v>
      </x:c>
      <x:c r="D614" s="25" t="n">
        <x:v>40156.319444444445</x:v>
      </x:c>
      <x:c r="E614" s="25" t="n">
        <x:v>40798.37152777778</x:v>
      </x:c>
      <x:c r="F614" s="2" t="n">
        <x:v>89</x:v>
      </x:c>
      <x:c r="G614" s="2" t="n">
        <x:v>12</x:v>
      </x:c>
      <x:c r="H614" s="11" t="n">
        <x:v>2469.4</x:v>
      </x:c>
      <x:c r="I614" s="2" t="n">
        <x:v>3</x:v>
      </x:c>
      <x:c r="J614" s="2" t="n">
        <x:v>5</x:v>
      </x:c>
      <x:c r="K614" s="2" t="n">
        <x:v>4</x:v>
      </x:c>
      <x:c r="L614" s="2" t="str">
        <x:v>Loyal</x:v>
      </x:c>
    </x:row>
    <x:row r="615" ht="22" customHeight="1">
      <x:c r="A615" s="2"/>
      <x:c r="B615" s="2" t="str">
        <x:v>12925</x:v>
      </x:c>
      <x:c r="C615" s="2" t="str">
        <x:v>United Kingdom</x:v>
      </x:c>
      <x:c r="D615" s="25" t="n">
        <x:v>40294.23055555556</x:v>
      </x:c>
      <x:c r="E615" s="25" t="n">
        <x:v>40882.25763888889</x:v>
      </x:c>
      <x:c r="F615" s="2" t="n">
        <x:v>5</x:v>
      </x:c>
      <x:c r="G615" s="2" t="n">
        <x:v>3</x:v>
      </x:c>
      <x:c r="H615" s="11" t="n">
        <x:v>729.33</x:v>
      </x:c>
      <x:c r="I615" s="2" t="n">
        <x:v>5</x:v>
      </x:c>
      <x:c r="J615" s="2" t="n">
        <x:v>3</x:v>
      </x:c>
      <x:c r="K615" s="2" t="n">
        <x:v>3</x:v>
      </x:c>
      <x:c r="L615" s="2" t="str">
        <x:v>Loyal</x:v>
      </x:c>
    </x:row>
    <x:row r="616" ht="22" customHeight="1">
      <x:c r="A616" s="2"/>
      <x:c r="B616" s="2" t="str">
        <x:v>12926</x:v>
      </x:c>
      <x:c r="C616" s="2" t="str">
        <x:v>United Kingdom</x:v>
      </x:c>
      <x:c r="D616" s="25" t="n">
        <x:v>40161.399305555555</x:v>
      </x:c>
      <x:c r="E616" s="25" t="n">
        <x:v>40475.45625</x:v>
      </x:c>
      <x:c r="F616" s="2" t="n">
        <x:v>412</x:v>
      </x:c>
      <x:c r="G616" s="2" t="n">
        <x:v>4</x:v>
      </x:c>
      <x:c r="H616" s="11" t="n">
        <x:v>1548.46</x:v>
      </x:c>
      <x:c r="I616" s="2" t="n">
        <x:v>1</x:v>
      </x:c>
      <x:c r="J616" s="2" t="n">
        <x:v>3</x:v>
      </x:c>
      <x:c r="K616" s="2" t="n">
        <x:v>4</x:v>
      </x:c>
      <x:c r="L616" s="2" t="str">
        <x:v>At risk</x:v>
      </x:c>
    </x:row>
    <x:row r="617" ht="22" customHeight="1">
      <x:c r="A617" s="2"/>
      <x:c r="B617" s="2" t="str">
        <x:v>12927</x:v>
      </x:c>
      <x:c r="C617" s="2" t="str">
        <x:v>United Kingdom</x:v>
      </x:c>
      <x:c r="D617" s="25" t="n">
        <x:v>40492.20972222222</x:v>
      </x:c>
      <x:c r="E617" s="25" t="n">
        <x:v>40492.20972222222</x:v>
      </x:c>
      <x:c r="F617" s="2" t="n">
        <x:v>395</x:v>
      </x:c>
      <x:c r="G617" s="2" t="n">
        <x:v>1</x:v>
      </x:c>
      <x:c r="H617" s="11" t="n">
        <x:v>197.31</x:v>
      </x:c>
      <x:c r="I617" s="2" t="n">
        <x:v>2</x:v>
      </x:c>
      <x:c r="J617" s="2" t="n">
        <x:v>1</x:v>
      </x:c>
      <x:c r="K617" s="2" t="n">
        <x:v>1</x:v>
      </x:c>
      <x:c r="L617" s="2" t="str">
        <x:v>Hibernating</x:v>
      </x:c>
    </x:row>
    <x:row r="618" ht="22" customHeight="1">
      <x:c r="A618" s="2"/>
      <x:c r="B618" s="2" t="str">
        <x:v>12928</x:v>
      </x:c>
      <x:c r="C618" s="2" t="str">
        <x:v>United Kingdom</x:v>
      </x:c>
      <x:c r="D618" s="25" t="n">
        <x:v>40337.21944444445</x:v>
      </x:c>
      <x:c r="E618" s="25" t="n">
        <x:v>40851.39166666667</x:v>
      </x:c>
      <x:c r="F618" s="2" t="n">
        <x:v>36</x:v>
      </x:c>
      <x:c r="G618" s="2" t="n">
        <x:v>12</x:v>
      </x:c>
      <x:c r="H618" s="11" t="n">
        <x:v>4304.89</x:v>
      </x:c>
      <x:c r="I618" s="2" t="n">
        <x:v>4</x:v>
      </x:c>
      <x:c r="J618" s="2" t="n">
        <x:v>5</x:v>
      </x:c>
      <x:c r="K618" s="2" t="n">
        <x:v>5</x:v>
      </x:c>
      <x:c r="L618" s="2" t="str">
        <x:v>Champions</x:v>
      </x:c>
    </x:row>
    <x:row r="619" ht="22" customHeight="1">
      <x:c r="A619" s="2"/>
      <x:c r="B619" s="2" t="str">
        <x:v>12929</x:v>
      </x:c>
      <x:c r="C619" s="2" t="str">
        <x:v>United Kingdom</x:v>
      </x:c>
      <x:c r="D619" s="25" t="n">
        <x:v>40575.29722222222</x:v>
      </x:c>
      <x:c r="E619" s="25" t="n">
        <x:v>40575.29722222222</x:v>
      </x:c>
      <x:c r="F619" s="2" t="n">
        <x:v>312</x:v>
      </x:c>
      <x:c r="G619" s="2" t="n">
        <x:v>1</x:v>
      </x:c>
      <x:c r="H619" s="11" t="n">
        <x:v>117.85</x:v>
      </x:c>
      <x:c r="I619" s="2" t="n">
        <x:v>2</x:v>
      </x:c>
      <x:c r="J619" s="2" t="n">
        <x:v>1</x:v>
      </x:c>
      <x:c r="K619" s="2" t="n">
        <x:v>1</x:v>
      </x:c>
      <x:c r="L619" s="2" t="str">
        <x:v>Hibernating</x:v>
      </x:c>
    </x:row>
    <x:row r="620" ht="22" customHeight="1">
      <x:c r="A620" s="2"/>
      <x:c r="B620" s="2" t="str">
        <x:v>12930</x:v>
      </x:c>
      <x:c r="C620" s="2" t="str">
        <x:v>United Kingdom</x:v>
      </x:c>
      <x:c r="D620" s="25" t="n">
        <x:v>40715.350694444445</x:v>
      </x:c>
      <x:c r="E620" s="25" t="n">
        <x:v>40808.42916666667</x:v>
      </x:c>
      <x:c r="F620" s="2" t="n">
        <x:v>79</x:v>
      </x:c>
      <x:c r="G620" s="2" t="n">
        <x:v>2</x:v>
      </x:c>
      <x:c r="H620" s="11" t="n">
        <x:v>415.8</x:v>
      </x:c>
      <x:c r="I620" s="2" t="n">
        <x:v>3</x:v>
      </x:c>
      <x:c r="J620" s="2" t="n">
        <x:v>2</x:v>
      </x:c>
      <x:c r="K620" s="2" t="n">
        <x:v>2</x:v>
      </x:c>
      <x:c r="L620" s="2" t="str">
        <x:v>Developing</x:v>
      </x:c>
    </x:row>
    <x:row r="621" ht="22" customHeight="1">
      <x:c r="A621" s="2"/>
      <x:c r="B621" s="2" t="str">
        <x:v>12931</x:v>
      </x:c>
      <x:c r="C621" s="2" t="str">
        <x:v>United Kingdom</x:v>
      </x:c>
      <x:c r="D621" s="25" t="n">
        <x:v>40148.28194444445</x:v>
      </x:c>
      <x:c r="E621" s="25" t="n">
        <x:v>40865.31875</x:v>
      </x:c>
      <x:c r="F621" s="2" t="n">
        <x:v>22</x:v>
      </x:c>
      <x:c r="G621" s="2" t="n">
        <x:v>57</x:v>
      </x:c>
      <x:c r="H621" s="11" t="n">
        <x:v>92347.34</x:v>
      </x:c>
      <x:c r="I621" s="2" t="n">
        <x:v>4</x:v>
      </x:c>
      <x:c r="J621" s="2" t="n">
        <x:v>5</x:v>
      </x:c>
      <x:c r="K621" s="2" t="n">
        <x:v>5</x:v>
      </x:c>
      <x:c r="L621" s="2" t="str">
        <x:v>Champions</x:v>
      </x:c>
    </x:row>
    <x:row r="622" ht="22" customHeight="1">
      <x:c r="A622" s="2"/>
      <x:c r="B622" s="2" t="str">
        <x:v>12932</x:v>
      </x:c>
      <x:c r="C622" s="2" t="str">
        <x:v>United Kingdom</x:v>
      </x:c>
      <x:c r="D622" s="25" t="n">
        <x:v>40219.15694444445</x:v>
      </x:c>
      <x:c r="E622" s="25" t="n">
        <x:v>40347.39027777778</x:v>
      </x:c>
      <x:c r="F622" s="2" t="n">
        <x:v>540</x:v>
      </x:c>
      <x:c r="G622" s="2" t="n">
        <x:v>8</x:v>
      </x:c>
      <x:c r="H622" s="11" t="n">
        <x:v>1698.56</x:v>
      </x:c>
      <x:c r="I622" s="2" t="n">
        <x:v>1</x:v>
      </x:c>
      <x:c r="J622" s="2" t="n">
        <x:v>4</x:v>
      </x:c>
      <x:c r="K622" s="2" t="n">
        <x:v>4</x:v>
      </x:c>
      <x:c r="L622" s="2" t="str">
        <x:v>At risk</x:v>
      </x:c>
    </x:row>
    <x:row r="623" ht="22" customHeight="1">
      <x:c r="A623" s="2"/>
      <x:c r="B623" s="2" t="str">
        <x:v>12933</x:v>
      </x:c>
      <x:c r="C623" s="2" t="str">
        <x:v>United Kingdom</x:v>
      </x:c>
      <x:c r="D623" s="25" t="n">
        <x:v>40157.48541666667</x:v>
      </x:c>
      <x:c r="E623" s="25" t="n">
        <x:v>40862.48472222222</x:v>
      </x:c>
      <x:c r="F623" s="2" t="n">
        <x:v>25</x:v>
      </x:c>
      <x:c r="G623" s="2" t="n">
        <x:v>8</x:v>
      </x:c>
      <x:c r="H623" s="11" t="n">
        <x:v>1687.03</x:v>
      </x:c>
      <x:c r="I623" s="2" t="n">
        <x:v>4</x:v>
      </x:c>
      <x:c r="J623" s="2" t="n">
        <x:v>4</x:v>
      </x:c>
      <x:c r="K623" s="2" t="n">
        <x:v>4</x:v>
      </x:c>
      <x:c r="L623" s="2" t="str">
        <x:v>Champions</x:v>
      </x:c>
    </x:row>
    <x:row r="624" ht="22" customHeight="1">
      <x:c r="A624" s="2"/>
      <x:c r="B624" s="2" t="str">
        <x:v>12934</x:v>
      </x:c>
      <x:c r="C624" s="2" t="str">
        <x:v>United Kingdom</x:v>
      </x:c>
      <x:c r="D624" s="25" t="n">
        <x:v>40150.24375</x:v>
      </x:c>
      <x:c r="E624" s="25" t="n">
        <x:v>40150.24375</x:v>
      </x:c>
      <x:c r="F624" s="2" t="n">
        <x:v>737</x:v>
      </x:c>
      <x:c r="G624" s="2" t="n">
        <x:v>1</x:v>
      </x:c>
      <x:c r="H624" s="11" t="n">
        <x:v>181.65</x:v>
      </x:c>
      <x:c r="I624" s="2" t="n">
        <x:v>1</x:v>
      </x:c>
      <x:c r="J624" s="2" t="n">
        <x:v>1</x:v>
      </x:c>
      <x:c r="K624" s="2" t="n">
        <x:v>1</x:v>
      </x:c>
      <x:c r="L624" s="2" t="str">
        <x:v>Hibernating</x:v>
      </x:c>
    </x:row>
    <x:row r="625" ht="22" customHeight="1">
      <x:c r="A625" s="2"/>
      <x:c r="B625" s="2" t="str">
        <x:v>12935</x:v>
      </x:c>
      <x:c r="C625" s="2" t="str">
        <x:v>United Kingdom</x:v>
      </x:c>
      <x:c r="D625" s="25" t="n">
        <x:v>40279.45763888889</x:v>
      </x:c>
      <x:c r="E625" s="25" t="n">
        <x:v>40884.51736111111</x:v>
      </x:c>
      <x:c r="F625" s="2" t="n">
        <x:v>3</x:v>
      </x:c>
      <x:c r="G625" s="2" t="n">
        <x:v>15</x:v>
      </x:c>
      <x:c r="H625" s="11" t="n">
        <x:v>4243.86</x:v>
      </x:c>
      <x:c r="I625" s="2" t="n">
        <x:v>5</x:v>
      </x:c>
      <x:c r="J625" s="2" t="n">
        <x:v>5</x:v>
      </x:c>
      <x:c r="K625" s="2" t="n">
        <x:v>5</x:v>
      </x:c>
      <x:c r="L625" s="2" t="str">
        <x:v>Champions</x:v>
      </x:c>
    </x:row>
    <x:row r="626" ht="22" customHeight="1">
      <x:c r="A626" s="2"/>
      <x:c r="B626" s="2" t="str">
        <x:v>12936</x:v>
      </x:c>
      <x:c r="C626" s="2" t="str">
        <x:v>United Kingdom</x:v>
      </x:c>
      <x:c r="D626" s="25" t="n">
        <x:v>40808.36875</x:v>
      </x:c>
      <x:c r="E626" s="25" t="n">
        <x:v>40869.52222222222</x:v>
      </x:c>
      <x:c r="F626" s="2" t="n">
        <x:v>18</x:v>
      </x:c>
      <x:c r="G626" s="2" t="n">
        <x:v>4</x:v>
      </x:c>
      <x:c r="H626" s="11" t="n">
        <x:v>1063.9</x:v>
      </x:c>
      <x:c r="I626" s="2" t="n">
        <x:v>5</x:v>
      </x:c>
      <x:c r="J626" s="2" t="n">
        <x:v>3</x:v>
      </x:c>
      <x:c r="K626" s="2" t="n">
        <x:v>3</x:v>
      </x:c>
      <x:c r="L626" s="2" t="str">
        <x:v>Loyal</x:v>
      </x:c>
    </x:row>
    <x:row r="627" ht="22" customHeight="1">
      <x:c r="A627" s="2"/>
      <x:c r="B627" s="2" t="str">
        <x:v>12937</x:v>
      </x:c>
      <x:c r="C627" s="2" t="str">
        <x:v>United Kingdom</x:v>
      </x:c>
      <x:c r="D627" s="25" t="n">
        <x:v>40150.44652777778</x:v>
      </x:c>
      <x:c r="E627" s="25" t="n">
        <x:v>40871.42013888889</x:v>
      </x:c>
      <x:c r="F627" s="2" t="n">
        <x:v>16</x:v>
      </x:c>
      <x:c r="G627" s="2" t="n">
        <x:v>9</x:v>
      </x:c>
      <x:c r="H627" s="11" t="n">
        <x:v>3097.61</x:v>
      </x:c>
      <x:c r="I627" s="2" t="n">
        <x:v>5</x:v>
      </x:c>
      <x:c r="J627" s="2" t="n">
        <x:v>5</x:v>
      </x:c>
      <x:c r="K627" s="2" t="n">
        <x:v>5</x:v>
      </x:c>
      <x:c r="L627" s="2" t="str">
        <x:v>Champions</x:v>
      </x:c>
    </x:row>
    <x:row r="628" ht="22" customHeight="1">
      <x:c r="A628" s="2"/>
      <x:c r="B628" s="2" t="str">
        <x:v>12938</x:v>
      </x:c>
      <x:c r="C628" s="2" t="str">
        <x:v>United Kingdom</x:v>
      </x:c>
      <x:c r="D628" s="25" t="n">
        <x:v>40861.26458333333</x:v>
      </x:c>
      <x:c r="E628" s="25" t="n">
        <x:v>40861.26458333333</x:v>
      </x:c>
      <x:c r="F628" s="2" t="n">
        <x:v>26</x:v>
      </x:c>
      <x:c r="G628" s="2" t="n">
        <x:v>1</x:v>
      </x:c>
      <x:c r="H628" s="11" t="n">
        <x:v>114.14</x:v>
      </x:c>
      <x:c r="I628" s="2" t="n">
        <x:v>4</x:v>
      </x:c>
      <x:c r="J628" s="2" t="n">
        <x:v>1</x:v>
      </x:c>
      <x:c r="K628" s="2" t="n">
        <x:v>1</x:v>
      </x:c>
      <x:c r="L628" s="2" t="str">
        <x:v>Recent light buyers</x:v>
      </x:c>
    </x:row>
    <x:row r="629" ht="22" customHeight="1">
      <x:c r="A629" s="2"/>
      <x:c r="B629" s="2" t="str">
        <x:v>12939</x:v>
      </x:c>
      <x:c r="C629" s="2" t="str">
        <x:v>United Kingdom</x:v>
      </x:c>
      <x:c r="D629" s="25" t="n">
        <x:v>40190.26875</x:v>
      </x:c>
      <x:c r="E629" s="25" t="n">
        <x:v>40822.39791666667</x:v>
      </x:c>
      <x:c r="F629" s="2" t="n">
        <x:v>65</x:v>
      </x:c>
      <x:c r="G629" s="2" t="n">
        <x:v>20</x:v>
      </x:c>
      <x:c r="H629" s="11" t="n">
        <x:v>25264.8</x:v>
      </x:c>
      <x:c r="I629" s="2" t="n">
        <x:v>3</x:v>
      </x:c>
      <x:c r="J629" s="2" t="n">
        <x:v>5</x:v>
      </x:c>
      <x:c r="K629" s="2" t="n">
        <x:v>5</x:v>
      </x:c>
      <x:c r="L629" s="2" t="str">
        <x:v>Loyal</x:v>
      </x:c>
    </x:row>
    <x:row r="630" ht="22" customHeight="1">
      <x:c r="A630" s="2"/>
      <x:c r="B630" s="2" t="str">
        <x:v>12940</x:v>
      </x:c>
      <x:c r="C630" s="2" t="str">
        <x:v>United Kingdom</x:v>
      </x:c>
      <x:c r="D630" s="25" t="n">
        <x:v>40799.21944444445</x:v>
      </x:c>
      <x:c r="E630" s="25" t="n">
        <x:v>40832.29791666667</x:v>
      </x:c>
      <x:c r="F630" s="2" t="n">
        <x:v>55</x:v>
      </x:c>
      <x:c r="G630" s="2" t="n">
        <x:v>2</x:v>
      </x:c>
      <x:c r="H630" s="11" t="n">
        <x:v>913.54</x:v>
      </x:c>
      <x:c r="I630" s="2" t="n">
        <x:v>4</x:v>
      </x:c>
      <x:c r="J630" s="2" t="n">
        <x:v>2</x:v>
      </x:c>
      <x:c r="K630" s="2" t="n">
        <x:v>3</x:v>
      </x:c>
      <x:c r="L630" s="2" t="str">
        <x:v>Recent light buyers</x:v>
      </x:c>
    </x:row>
    <x:row r="631" ht="22" customHeight="1">
      <x:c r="A631" s="2"/>
      <x:c r="B631" s="2" t="str">
        <x:v>12941</x:v>
      </x:c>
      <x:c r="C631" s="2" t="str">
        <x:v>United Kingdom</x:v>
      </x:c>
      <x:c r="D631" s="25" t="n">
        <x:v>40162.34166666667</x:v>
      </x:c>
      <x:c r="E631" s="25" t="n">
        <x:v>40162.34166666667</x:v>
      </x:c>
      <x:c r="F631" s="2" t="n">
        <x:v>725</x:v>
      </x:c>
      <x:c r="G631" s="2" t="n">
        <x:v>1</x:v>
      </x:c>
      <x:c r="H631" s="11" t="n">
        <x:v>377.49</x:v>
      </x:c>
      <x:c r="I631" s="2" t="n">
        <x:v>1</x:v>
      </x:c>
      <x:c r="J631" s="2" t="n">
        <x:v>1</x:v>
      </x:c>
      <x:c r="K631" s="2" t="n">
        <x:v>2</x:v>
      </x:c>
      <x:c r="L631" s="2" t="str">
        <x:v>Hibernating</x:v>
      </x:c>
    </x:row>
    <x:row r="632" ht="22" customHeight="1">
      <x:c r="A632" s="2"/>
      <x:c r="B632" s="2" t="str">
        <x:v>12942</x:v>
      </x:c>
      <x:c r="C632" s="2" t="str">
        <x:v>United Kingdom</x:v>
      </x:c>
      <x:c r="D632" s="25" t="n">
        <x:v>40521.19027777778</x:v>
      </x:c>
      <x:c r="E632" s="25" t="n">
        <x:v>40755.402083333334</x:v>
      </x:c>
      <x:c r="F632" s="2" t="n">
        <x:v>132</x:v>
      </x:c>
      <x:c r="G632" s="2" t="n">
        <x:v>3</x:v>
      </x:c>
      <x:c r="H632" s="11" t="n">
        <x:v>683.9</x:v>
      </x:c>
      <x:c r="I632" s="2" t="n">
        <x:v>3</x:v>
      </x:c>
      <x:c r="J632" s="2" t="n">
        <x:v>3</x:v>
      </x:c>
      <x:c r="K632" s="2" t="n">
        <x:v>3</x:v>
      </x:c>
      <x:c r="L632" s="2" t="str">
        <x:v>Loyal</x:v>
      </x:c>
    </x:row>
    <x:row r="633" ht="22" customHeight="1">
      <x:c r="A633" s="2"/>
      <x:c r="B633" s="2" t="str">
        <x:v>12943</x:v>
      </x:c>
      <x:c r="C633" s="2" t="str">
        <x:v>United Kingdom</x:v>
      </x:c>
      <x:c r="D633" s="25" t="n">
        <x:v>40281.25208333333</x:v>
      </x:c>
      <x:c r="E633" s="25" t="n">
        <x:v>40328.36944444444</x:v>
      </x:c>
      <x:c r="F633" s="2" t="n">
        <x:v>559</x:v>
      </x:c>
      <x:c r="G633" s="2" t="n">
        <x:v>2</x:v>
      </x:c>
      <x:c r="H633" s="11" t="n">
        <x:v>496.5</x:v>
      </x:c>
      <x:c r="I633" s="2" t="n">
        <x:v>1</x:v>
      </x:c>
      <x:c r="J633" s="2" t="n">
        <x:v>2</x:v>
      </x:c>
      <x:c r="K633" s="2" t="n">
        <x:v>2</x:v>
      </x:c>
      <x:c r="L633" s="2" t="str">
        <x:v>Hibernating</x:v>
      </x:c>
    </x:row>
    <x:row r="634" ht="22" customHeight="1">
      <x:c r="A634" s="2"/>
      <x:c r="B634" s="2" t="str">
        <x:v>12944</x:v>
      </x:c>
      <x:c r="C634" s="2" t="str">
        <x:v>United Kingdom</x:v>
      </x:c>
      <x:c r="D634" s="25" t="n">
        <x:v>40532.236805555556</x:v>
      </x:c>
      <x:c r="E634" s="25" t="n">
        <x:v>40851.25277777778</x:v>
      </x:c>
      <x:c r="F634" s="2" t="n">
        <x:v>36</x:v>
      </x:c>
      <x:c r="G634" s="2" t="n">
        <x:v>2</x:v>
      </x:c>
      <x:c r="H634" s="11" t="n">
        <x:v>604.51</x:v>
      </x:c>
      <x:c r="I634" s="2" t="n">
        <x:v>4</x:v>
      </x:c>
      <x:c r="J634" s="2" t="n">
        <x:v>2</x:v>
      </x:c>
      <x:c r="K634" s="2" t="n">
        <x:v>2</x:v>
      </x:c>
      <x:c r="L634" s="2" t="str">
        <x:v>Recent light buyers</x:v>
      </x:c>
    </x:row>
    <x:row r="635" ht="22" customHeight="1">
      <x:c r="A635" s="2"/>
      <x:c r="B635" s="2" t="str">
        <x:v>12945</x:v>
      </x:c>
      <x:c r="C635" s="2" t="str">
        <x:v>United Kingdom</x:v>
      </x:c>
      <x:c r="D635" s="25" t="n">
        <x:v>40230.42916666667</x:v>
      </x:c>
      <x:c r="E635" s="25" t="n">
        <x:v>40598.385416666664</x:v>
      </x:c>
      <x:c r="F635" s="2" t="n">
        <x:v>289</x:v>
      </x:c>
      <x:c r="G635" s="2" t="n">
        <x:v>2</x:v>
      </x:c>
      <x:c r="H635" s="11" t="n">
        <x:v>900.11</x:v>
      </x:c>
      <x:c r="I635" s="2" t="n">
        <x:v>2</x:v>
      </x:c>
      <x:c r="J635" s="2" t="n">
        <x:v>2</x:v>
      </x:c>
      <x:c r="K635" s="2" t="n">
        <x:v>3</x:v>
      </x:c>
      <x:c r="L635" s="2" t="str">
        <x:v>Hibernating</x:v>
      </x:c>
    </x:row>
    <x:row r="636" ht="22" customHeight="1">
      <x:c r="A636" s="2"/>
      <x:c r="B636" s="2" t="str">
        <x:v>12946</x:v>
      </x:c>
      <x:c r="C636" s="2" t="str">
        <x:v>United Kingdom</x:v>
      </x:c>
      <x:c r="D636" s="25" t="n">
        <x:v>40450.21805555555</x:v>
      </x:c>
      <x:c r="E636" s="25" t="n">
        <x:v>40450.21805555555</x:v>
      </x:c>
      <x:c r="F636" s="2" t="n">
        <x:v>437</x:v>
      </x:c>
      <x:c r="G636" s="2" t="n">
        <x:v>1</x:v>
      </x:c>
      <x:c r="H636" s="11" t="n">
        <x:v>324.45</x:v>
      </x:c>
      <x:c r="I636" s="2" t="n">
        <x:v>1</x:v>
      </x:c>
      <x:c r="J636" s="2" t="n">
        <x:v>1</x:v>
      </x:c>
      <x:c r="K636" s="2" t="n">
        <x:v>2</x:v>
      </x:c>
      <x:c r="L636" s="2" t="str">
        <x:v>Hibernating</x:v>
      </x:c>
    </x:row>
    <x:row r="637" ht="22" customHeight="1">
      <x:c r="A637" s="2"/>
      <x:c r="B637" s="2" t="str">
        <x:v>12947</x:v>
      </x:c>
      <x:c r="C637" s="2" t="str">
        <x:v>United Kingdom</x:v>
      </x:c>
      <x:c r="D637" s="25" t="n">
        <x:v>40513.472916666666</x:v>
      </x:c>
      <x:c r="E637" s="25" t="n">
        <x:v>40743.2125</x:v>
      </x:c>
      <x:c r="F637" s="2" t="n">
        <x:v>144</x:v>
      </x:c>
      <x:c r="G637" s="2" t="n">
        <x:v>6</x:v>
      </x:c>
      <x:c r="H637" s="11" t="n">
        <x:v>1603.99</x:v>
      </x:c>
      <x:c r="I637" s="2" t="n">
        <x:v>3</x:v>
      </x:c>
      <x:c r="J637" s="2" t="n">
        <x:v>4</x:v>
      </x:c>
      <x:c r="K637" s="2" t="n">
        <x:v>4</x:v>
      </x:c>
      <x:c r="L637" s="2" t="str">
        <x:v>Loyal</x:v>
      </x:c>
    </x:row>
    <x:row r="638" ht="22" customHeight="1">
      <x:c r="A638" s="2"/>
      <x:c r="B638" s="2" t="str">
        <x:v>12948</x:v>
      </x:c>
      <x:c r="C638" s="2" t="str">
        <x:v>United Kingdom</x:v>
      </x:c>
      <x:c r="D638" s="25" t="n">
        <x:v>40149.311111111114</x:v>
      </x:c>
      <x:c r="E638" s="25" t="n">
        <x:v>40870.506944444445</x:v>
      </x:c>
      <x:c r="F638" s="2" t="n">
        <x:v>17</x:v>
      </x:c>
      <x:c r="G638" s="2" t="n">
        <x:v>9</x:v>
      </x:c>
      <x:c r="H638" s="11" t="n">
        <x:v>2317.43</x:v>
      </x:c>
      <x:c r="I638" s="2" t="n">
        <x:v>5</x:v>
      </x:c>
      <x:c r="J638" s="2" t="n">
        <x:v>5</x:v>
      </x:c>
      <x:c r="K638" s="2" t="n">
        <x:v>4</x:v>
      </x:c>
      <x:c r="L638" s="2" t="str">
        <x:v>Champions</x:v>
      </x:c>
    </x:row>
    <x:row r="639" ht="22" customHeight="1">
      <x:c r="A639" s="2"/>
      <x:c r="B639" s="2" t="str">
        <x:v>12949</x:v>
      </x:c>
      <x:c r="C639" s="2" t="str">
        <x:v>United Kingdom</x:v>
      </x:c>
      <x:c r="D639" s="25" t="n">
        <x:v>40150.455555555556</x:v>
      </x:c>
      <x:c r="E639" s="25" t="n">
        <x:v>40856.26736111111</x:v>
      </x:c>
      <x:c r="F639" s="2" t="n">
        <x:v>31</x:v>
      </x:c>
      <x:c r="G639" s="2" t="n">
        <x:v>22</x:v>
      </x:c>
      <x:c r="H639" s="11" t="n">
        <x:v>15526.7</x:v>
      </x:c>
      <x:c r="I639" s="2" t="n">
        <x:v>4</x:v>
      </x:c>
      <x:c r="J639" s="2" t="n">
        <x:v>5</x:v>
      </x:c>
      <x:c r="K639" s="2" t="n">
        <x:v>5</x:v>
      </x:c>
      <x:c r="L639" s="2" t="str">
        <x:v>Champions</x:v>
      </x:c>
    </x:row>
    <x:row r="640" ht="22" customHeight="1">
      <x:c r="A640" s="2"/>
      <x:c r="B640" s="2" t="str">
        <x:v>12950</x:v>
      </x:c>
      <x:c r="C640" s="2" t="str">
        <x:v>United Kingdom</x:v>
      </x:c>
      <x:c r="D640" s="25" t="n">
        <x:v>40862.36666666667</x:v>
      </x:c>
      <x:c r="E640" s="25" t="n">
        <x:v>40884.345138888886</x:v>
      </x:c>
      <x:c r="F640" s="2" t="n">
        <x:v>3</x:v>
      </x:c>
      <x:c r="G640" s="2" t="n">
        <x:v>3</x:v>
      </x:c>
      <x:c r="H640" s="11" t="n">
        <x:v>1843</x:v>
      </x:c>
      <x:c r="I640" s="2" t="n">
        <x:v>5</x:v>
      </x:c>
      <x:c r="J640" s="2" t="n">
        <x:v>3</x:v>
      </x:c>
      <x:c r="K640" s="2" t="n">
        <x:v>4</x:v>
      </x:c>
      <x:c r="L640" s="2" t="str">
        <x:v>Loyal</x:v>
      </x:c>
    </x:row>
    <x:row r="641" ht="22" customHeight="1">
      <x:c r="A641" s="2"/>
      <x:c r="B641" s="2" t="str">
        <x:v>12951</x:v>
      </x:c>
      <x:c r="C641" s="2" t="str">
        <x:v>United Kingdom</x:v>
      </x:c>
      <x:c r="D641" s="25" t="n">
        <x:v>40188.32152777778</x:v>
      </x:c>
      <x:c r="E641" s="25" t="n">
        <x:v>40878.30138888889</x:v>
      </x:c>
      <x:c r="F641" s="2" t="n">
        <x:v>9</x:v>
      </x:c>
      <x:c r="G641" s="2" t="n">
        <x:v>15</x:v>
      </x:c>
      <x:c r="H641" s="11" t="n">
        <x:v>3213.72</x:v>
      </x:c>
      <x:c r="I641" s="2" t="n">
        <x:v>5</x:v>
      </x:c>
      <x:c r="J641" s="2" t="n">
        <x:v>5</x:v>
      </x:c>
      <x:c r="K641" s="2" t="n">
        <x:v>5</x:v>
      </x:c>
      <x:c r="L641" s="2" t="str">
        <x:v>Champions</x:v>
      </x:c>
    </x:row>
    <x:row r="642" ht="22" customHeight="1">
      <x:c r="A642" s="2"/>
      <x:c r="B642" s="2" t="str">
        <x:v>12952</x:v>
      </x:c>
      <x:c r="C642" s="2" t="str">
        <x:v>United Kingdom</x:v>
      </x:c>
      <x:c r="D642" s="25" t="n">
        <x:v>40808.48402777778</x:v>
      </x:c>
      <x:c r="E642" s="25" t="n">
        <x:v>40881.23263888889</x:v>
      </x:c>
      <x:c r="F642" s="2" t="n">
        <x:v>6</x:v>
      </x:c>
      <x:c r="G642" s="2" t="n">
        <x:v>4</x:v>
      </x:c>
      <x:c r="H642" s="11" t="n">
        <x:v>1387.79</x:v>
      </x:c>
      <x:c r="I642" s="2" t="n">
        <x:v>5</x:v>
      </x:c>
      <x:c r="J642" s="2" t="n">
        <x:v>3</x:v>
      </x:c>
      <x:c r="K642" s="2" t="n">
        <x:v>4</x:v>
      </x:c>
      <x:c r="L642" s="2" t="str">
        <x:v>Loyal</x:v>
      </x:c>
    </x:row>
    <x:row r="643" ht="22" customHeight="1">
      <x:c r="A643" s="2"/>
      <x:c r="B643" s="2" t="str">
        <x:v>12953</x:v>
      </x:c>
      <x:c r="C643" s="2" t="str">
        <x:v>United Kingdom</x:v>
      </x:c>
      <x:c r="D643" s="25" t="n">
        <x:v>40364.35902777778</x:v>
      </x:c>
      <x:c r="E643" s="25" t="n">
        <x:v>40877.183333333334</x:v>
      </x:c>
      <x:c r="F643" s="2" t="n">
        <x:v>10</x:v>
      </x:c>
      <x:c r="G643" s="2" t="n">
        <x:v>2</x:v>
      </x:c>
      <x:c r="H643" s="11" t="n">
        <x:v>828.81</x:v>
      </x:c>
      <x:c r="I643" s="2" t="n">
        <x:v>5</x:v>
      </x:c>
      <x:c r="J643" s="2" t="n">
        <x:v>2</x:v>
      </x:c>
      <x:c r="K643" s="2" t="n">
        <x:v>3</x:v>
      </x:c>
      <x:c r="L643" s="2" t="str">
        <x:v>Recent light buyers</x:v>
      </x:c>
    </x:row>
    <x:row r="644" ht="22" customHeight="1">
      <x:c r="A644" s="2"/>
      <x:c r="B644" s="2" t="str">
        <x:v>12954</x:v>
      </x:c>
      <x:c r="C644" s="2" t="str">
        <x:v>United Kingdom</x:v>
      </x:c>
      <x:c r="D644" s="25" t="n">
        <x:v>40248.21944444445</x:v>
      </x:c>
      <x:c r="E644" s="25" t="n">
        <x:v>40248.21944444445</x:v>
      </x:c>
      <x:c r="F644" s="2" t="n">
        <x:v>639</x:v>
      </x:c>
      <x:c r="G644" s="2" t="n">
        <x:v>1</x:v>
      </x:c>
      <x:c r="H644" s="11" t="n">
        <x:v>162.45</x:v>
      </x:c>
      <x:c r="I644" s="2" t="n">
        <x:v>1</x:v>
      </x:c>
      <x:c r="J644" s="2" t="n">
        <x:v>1</x:v>
      </x:c>
      <x:c r="K644" s="2" t="n">
        <x:v>1</x:v>
      </x:c>
      <x:c r="L644" s="2" t="str">
        <x:v>Hibernating</x:v>
      </x:c>
    </x:row>
    <x:row r="645" ht="22" customHeight="1">
      <x:c r="A645" s="2"/>
      <x:c r="B645" s="2" t="str">
        <x:v>12955</x:v>
      </x:c>
      <x:c r="C645" s="2" t="str">
        <x:v>United Kingdom</x:v>
      </x:c>
      <x:c r="D645" s="25" t="n">
        <x:v>40619.16875</x:v>
      </x:c>
      <x:c r="E645" s="25" t="n">
        <x:v>40885.478472222225</x:v>
      </x:c>
      <x:c r="F645" s="2" t="n">
        <x:v>2</x:v>
      </x:c>
      <x:c r="G645" s="2" t="n">
        <x:v>11</x:v>
      </x:c>
      <x:c r="H645" s="11" t="n">
        <x:v>4757.16</x:v>
      </x:c>
      <x:c r="I645" s="2" t="n">
        <x:v>5</x:v>
      </x:c>
      <x:c r="J645" s="2" t="n">
        <x:v>5</x:v>
      </x:c>
      <x:c r="K645" s="2" t="n">
        <x:v>5</x:v>
      </x:c>
      <x:c r="L645" s="2" t="str">
        <x:v>Champions</x:v>
      </x:c>
    </x:row>
    <x:row r="646" ht="22" customHeight="1">
      <x:c r="A646" s="2"/>
      <x:c r="B646" s="2" t="str">
        <x:v>12956</x:v>
      </x:c>
      <x:c r="C646" s="2" t="str">
        <x:v>United Kingdom</x:v>
      </x:c>
      <x:c r="D646" s="25" t="n">
        <x:v>40162.58541666667</x:v>
      </x:c>
      <x:c r="E646" s="25" t="n">
        <x:v>40580.46388888889</x:v>
      </x:c>
      <x:c r="F646" s="2" t="n">
        <x:v>307</x:v>
      </x:c>
      <x:c r="G646" s="2" t="n">
        <x:v>4</x:v>
      </x:c>
      <x:c r="H646" s="11" t="n">
        <x:v>521.89</x:v>
      </x:c>
      <x:c r="I646" s="2" t="n">
        <x:v>2</x:v>
      </x:c>
      <x:c r="J646" s="2" t="n">
        <x:v>3</x:v>
      </x:c>
      <x:c r="K646" s="2" t="n">
        <x:v>2</x:v>
      </x:c>
      <x:c r="L646" s="2" t="str">
        <x:v>At risk</x:v>
      </x:c>
    </x:row>
    <x:row r="647" ht="22" customHeight="1">
      <x:c r="A647" s="2"/>
      <x:c r="B647" s="2" t="str">
        <x:v>12957</x:v>
      </x:c>
      <x:c r="C647" s="2" t="str">
        <x:v>United Kingdom</x:v>
      </x:c>
      <x:c r="D647" s="25" t="n">
        <x:v>40158.29236111111</x:v>
      </x:c>
      <x:c r="E647" s="25" t="n">
        <x:v>40877.20347222222</x:v>
      </x:c>
      <x:c r="F647" s="2" t="n">
        <x:v>10</x:v>
      </x:c>
      <x:c r="G647" s="2" t="n">
        <x:v>13</x:v>
      </x:c>
      <x:c r="H647" s="11" t="n">
        <x:v>8706.97</x:v>
      </x:c>
      <x:c r="I647" s="2" t="n">
        <x:v>5</x:v>
      </x:c>
      <x:c r="J647" s="2" t="n">
        <x:v>5</x:v>
      </x:c>
      <x:c r="K647" s="2" t="n">
        <x:v>5</x:v>
      </x:c>
      <x:c r="L647" s="2" t="str">
        <x:v>Champions</x:v>
      </x:c>
    </x:row>
    <x:row r="648" ht="22" customHeight="1">
      <x:c r="A648" s="2"/>
      <x:c r="B648" s="2" t="str">
        <x:v>12958</x:v>
      </x:c>
      <x:c r="C648" s="2" t="str">
        <x:v>United Kingdom</x:v>
      </x:c>
      <x:c r="D648" s="25" t="n">
        <x:v>40303.47361111111</x:v>
      </x:c>
      <x:c r="E648" s="25" t="n">
        <x:v>40486.46944444445</x:v>
      </x:c>
      <x:c r="F648" s="2" t="n">
        <x:v>401</x:v>
      </x:c>
      <x:c r="G648" s="2" t="n">
        <x:v>2</x:v>
      </x:c>
      <x:c r="H648" s="11" t="n">
        <x:v>539.49</x:v>
      </x:c>
      <x:c r="I648" s="2" t="n">
        <x:v>2</x:v>
      </x:c>
      <x:c r="J648" s="2" t="n">
        <x:v>2</x:v>
      </x:c>
      <x:c r="K648" s="2" t="n">
        <x:v>2</x:v>
      </x:c>
      <x:c r="L648" s="2" t="str">
        <x:v>Hibernating</x:v>
      </x:c>
    </x:row>
    <x:row r="649" ht="22" customHeight="1">
      <x:c r="A649" s="2"/>
      <x:c r="B649" s="2" t="str">
        <x:v>12959</x:v>
      </x:c>
      <x:c r="C649" s="2" t="str">
        <x:v>United Kingdom</x:v>
      </x:c>
      <x:c r="D649" s="25" t="n">
        <x:v>40402.51388888889</x:v>
      </x:c>
      <x:c r="E649" s="25" t="n">
        <x:v>40402.51388888889</x:v>
      </x:c>
      <x:c r="F649" s="2" t="n">
        <x:v>485</x:v>
      </x:c>
      <x:c r="G649" s="2" t="n">
        <x:v>1</x:v>
      </x:c>
      <x:c r="H649" s="11" t="n">
        <x:v>150.95</x:v>
      </x:c>
      <x:c r="I649" s="2" t="n">
        <x:v>1</x:v>
      </x:c>
      <x:c r="J649" s="2" t="n">
        <x:v>1</x:v>
      </x:c>
      <x:c r="K649" s="2" t="n">
        <x:v>1</x:v>
      </x:c>
      <x:c r="L649" s="2" t="str">
        <x:v>Hibernating</x:v>
      </x:c>
    </x:row>
    <x:row r="650" ht="22" customHeight="1">
      <x:c r="A650" s="2"/>
      <x:c r="B650" s="2" t="str">
        <x:v>12960</x:v>
      </x:c>
      <x:c r="C650" s="2" t="str">
        <x:v>United Kingdom</x:v>
      </x:c>
      <x:c r="D650" s="25" t="n">
        <x:v>40225.35555555556</x:v>
      </x:c>
      <x:c r="E650" s="25" t="n">
        <x:v>40473.18819444445</x:v>
      </x:c>
      <x:c r="F650" s="2" t="n">
        <x:v>414</x:v>
      </x:c>
      <x:c r="G650" s="2" t="n">
        <x:v>4</x:v>
      </x:c>
      <x:c r="H650" s="11" t="n">
        <x:v>1322.07</x:v>
      </x:c>
      <x:c r="I650" s="2" t="n">
        <x:v>1</x:v>
      </x:c>
      <x:c r="J650" s="2" t="n">
        <x:v>3</x:v>
      </x:c>
      <x:c r="K650" s="2" t="n">
        <x:v>4</x:v>
      </x:c>
      <x:c r="L650" s="2" t="str">
        <x:v>At risk</x:v>
      </x:c>
    </x:row>
    <x:row r="651" ht="22" customHeight="1">
      <x:c r="A651" s="2"/>
      <x:c r="B651" s="2" t="str">
        <x:v>12961</x:v>
      </x:c>
      <x:c r="C651" s="2" t="str">
        <x:v>United Kingdom</x:v>
      </x:c>
      <x:c r="D651" s="25" t="n">
        <x:v>40507.48888888889</x:v>
      </x:c>
      <x:c r="E651" s="25" t="n">
        <x:v>40507.48888888889</x:v>
      </x:c>
      <x:c r="F651" s="2" t="n">
        <x:v>380</x:v>
      </x:c>
      <x:c r="G651" s="2" t="n">
        <x:v>1</x:v>
      </x:c>
      <x:c r="H651" s="11" t="n">
        <x:v>211.99</x:v>
      </x:c>
      <x:c r="I651" s="2" t="n">
        <x:v>2</x:v>
      </x:c>
      <x:c r="J651" s="2" t="n">
        <x:v>1</x:v>
      </x:c>
      <x:c r="K651" s="2" t="n">
        <x:v>1</x:v>
      </x:c>
      <x:c r="L651" s="2" t="str">
        <x:v>Hibernating</x:v>
      </x:c>
    </x:row>
    <x:row r="652" ht="22" customHeight="1">
      <x:c r="A652" s="2"/>
      <x:c r="B652" s="2" t="str">
        <x:v>12962</x:v>
      </x:c>
      <x:c r="C652" s="2" t="str">
        <x:v>United Kingdom</x:v>
      </x:c>
      <x:c r="D652" s="25" t="n">
        <x:v>40773.35972222222</x:v>
      </x:c>
      <x:c r="E652" s="25" t="n">
        <x:v>40879.45486111111</x:v>
      </x:c>
      <x:c r="F652" s="2" t="n">
        <x:v>8</x:v>
      </x:c>
      <x:c r="G652" s="2" t="n">
        <x:v>2</x:v>
      </x:c>
      <x:c r="H652" s="11" t="n">
        <x:v>266.39</x:v>
      </x:c>
      <x:c r="I652" s="2" t="n">
        <x:v>5</x:v>
      </x:c>
      <x:c r="J652" s="2" t="n">
        <x:v>2</x:v>
      </x:c>
      <x:c r="K652" s="2" t="n">
        <x:v>1</x:v>
      </x:c>
      <x:c r="L652" s="2" t="str">
        <x:v>Recent light buyers</x:v>
      </x:c>
    </x:row>
    <x:row r="653" ht="22" customHeight="1">
      <x:c r="A653" s="2"/>
      <x:c r="B653" s="2" t="str">
        <x:v>12963</x:v>
      </x:c>
      <x:c r="C653" s="2" t="str">
        <x:v>United Kingdom</x:v>
      </x:c>
      <x:c r="D653" s="25" t="n">
        <x:v>40367.40625</x:v>
      </x:c>
      <x:c r="E653" s="25" t="n">
        <x:v>40878.32986111111</x:v>
      </x:c>
      <x:c r="F653" s="2" t="n">
        <x:v>9</x:v>
      </x:c>
      <x:c r="G653" s="2" t="n">
        <x:v>12</x:v>
      </x:c>
      <x:c r="H653" s="11" t="n">
        <x:v>3235.79</x:v>
      </x:c>
      <x:c r="I653" s="2" t="n">
        <x:v>5</x:v>
      </x:c>
      <x:c r="J653" s="2" t="n">
        <x:v>5</x:v>
      </x:c>
      <x:c r="K653" s="2" t="n">
        <x:v>5</x:v>
      </x:c>
      <x:c r="L653" s="2" t="str">
        <x:v>Champions</x:v>
      </x:c>
    </x:row>
    <x:row r="654" ht="22" customHeight="1">
      <x:c r="A654" s="2"/>
      <x:c r="B654" s="2" t="str">
        <x:v>12964</x:v>
      </x:c>
      <x:c r="C654" s="2" t="str">
        <x:v>United Kingdom</x:v>
      </x:c>
      <x:c r="D654" s="25" t="n">
        <x:v>40449.532638888886</x:v>
      </x:c>
      <x:c r="E654" s="25" t="n">
        <x:v>40449.532638888886</x:v>
      </x:c>
      <x:c r="F654" s="2" t="n">
        <x:v>438</x:v>
      </x:c>
      <x:c r="G654" s="2" t="n">
        <x:v>1</x:v>
      </x:c>
      <x:c r="H654" s="11" t="n">
        <x:v>132.24</x:v>
      </x:c>
      <x:c r="I654" s="2" t="n">
        <x:v>1</x:v>
      </x:c>
      <x:c r="J654" s="2" t="n">
        <x:v>1</x:v>
      </x:c>
      <x:c r="K654" s="2" t="n">
        <x:v>1</x:v>
      </x:c>
      <x:c r="L654" s="2" t="str">
        <x:v>Hibernating</x:v>
      </x:c>
    </x:row>
    <x:row r="655" ht="22" customHeight="1">
      <x:c r="A655" s="2"/>
      <x:c r="B655" s="2" t="str">
        <x:v>12965</x:v>
      </x:c>
      <x:c r="C655" s="2" t="str">
        <x:v>United Kingdom</x:v>
      </x:c>
      <x:c r="D655" s="25" t="n">
        <x:v>40797.43819444445</x:v>
      </x:c>
      <x:c r="E655" s="25" t="n">
        <x:v>40797.43819444445</x:v>
      </x:c>
      <x:c r="F655" s="2" t="n">
        <x:v>90</x:v>
      </x:c>
      <x:c r="G655" s="2" t="n">
        <x:v>1</x:v>
      </x:c>
      <x:c r="H655" s="11" t="n">
        <x:v>771.91</x:v>
      </x:c>
      <x:c r="I655" s="2" t="n">
        <x:v>3</x:v>
      </x:c>
      <x:c r="J655" s="2" t="n">
        <x:v>1</x:v>
      </x:c>
      <x:c r="K655" s="2" t="n">
        <x:v>3</x:v>
      </x:c>
      <x:c r="L655" s="2" t="str">
        <x:v>Developing</x:v>
      </x:c>
    </x:row>
    <x:row r="656" ht="22" customHeight="1">
      <x:c r="A656" s="2"/>
      <x:c r="B656" s="2" t="str">
        <x:v>12966</x:v>
      </x:c>
      <x:c r="C656" s="2" t="str">
        <x:v>United Kingdom</x:v>
      </x:c>
      <x:c r="D656" s="25" t="n">
        <x:v>40877.31805555556</x:v>
      </x:c>
      <x:c r="E656" s="25" t="n">
        <x:v>40877.31805555556</x:v>
      </x:c>
      <x:c r="F656" s="2" t="n">
        <x:v>10</x:v>
      </x:c>
      <x:c r="G656" s="2" t="n">
        <x:v>1</x:v>
      </x:c>
      <x:c r="H656" s="11" t="n">
        <x:v>160.18</x:v>
      </x:c>
      <x:c r="I656" s="2" t="n">
        <x:v>5</x:v>
      </x:c>
      <x:c r="J656" s="2" t="n">
        <x:v>1</x:v>
      </x:c>
      <x:c r="K656" s="2" t="n">
        <x:v>1</x:v>
      </x:c>
      <x:c r="L656" s="2" t="str">
        <x:v>Recent light buyers</x:v>
      </x:c>
    </x:row>
    <x:row r="657" ht="22" customHeight="1">
      <x:c r="A657" s="2"/>
      <x:c r="B657" s="2" t="str">
        <x:v>12967</x:v>
      </x:c>
      <x:c r="C657" s="2" t="str">
        <x:v>United Kingdom</x:v>
      </x:c>
      <x:c r="D657" s="25" t="n">
        <x:v>40503.25208333333</x:v>
      </x:c>
      <x:c r="E657" s="25" t="n">
        <x:v>40528.59027777778</x:v>
      </x:c>
      <x:c r="F657" s="2" t="n">
        <x:v>359</x:v>
      </x:c>
      <x:c r="G657" s="2" t="n">
        <x:v>3</x:v>
      </x:c>
      <x:c r="H657" s="11" t="n">
        <x:v>2938.52</x:v>
      </x:c>
      <x:c r="I657" s="2" t="n">
        <x:v>2</x:v>
      </x:c>
      <x:c r="J657" s="2" t="n">
        <x:v>3</x:v>
      </x:c>
      <x:c r="K657" s="2" t="n">
        <x:v>5</x:v>
      </x:c>
      <x:c r="L657" s="2" t="str">
        <x:v>At risk</x:v>
      </x:c>
    </x:row>
    <x:row r="658" ht="22" customHeight="1">
      <x:c r="A658" s="2"/>
      <x:c r="B658" s="2" t="str">
        <x:v>12968</x:v>
      </x:c>
      <x:c r="C658" s="2" t="str">
        <x:v>United Kingdom</x:v>
      </x:c>
      <x:c r="D658" s="25" t="n">
        <x:v>40774.447222222225</x:v>
      </x:c>
      <x:c r="E658" s="25" t="n">
        <x:v>40774.447222222225</x:v>
      </x:c>
      <x:c r="F658" s="2" t="n">
        <x:v>113</x:v>
      </x:c>
      <x:c r="G658" s="2" t="n">
        <x:v>1</x:v>
      </x:c>
      <x:c r="H658" s="11" t="n">
        <x:v>135.95</x:v>
      </x:c>
      <x:c r="I658" s="2" t="n">
        <x:v>3</x:v>
      </x:c>
      <x:c r="J658" s="2" t="n">
        <x:v>1</x:v>
      </x:c>
      <x:c r="K658" s="2" t="n">
        <x:v>1</x:v>
      </x:c>
      <x:c r="L658" s="2" t="str">
        <x:v>Developing</x:v>
      </x:c>
    </x:row>
    <x:row r="659" ht="22" customHeight="1">
      <x:c r="A659" s="2"/>
      <x:c r="B659" s="2" t="str">
        <x:v>12969</x:v>
      </x:c>
      <x:c r="C659" s="2" t="str">
        <x:v>United Kingdom</x:v>
      </x:c>
      <x:c r="D659" s="25" t="n">
        <x:v>40284.243055555555</x:v>
      </x:c>
      <x:c r="E659" s="25" t="n">
        <x:v>40284.243055555555</x:v>
      </x:c>
      <x:c r="F659" s="2" t="n">
        <x:v>603</x:v>
      </x:c>
      <x:c r="G659" s="2" t="n">
        <x:v>1</x:v>
      </x:c>
      <x:c r="H659" s="11" t="n">
        <x:v>122.45</x:v>
      </x:c>
      <x:c r="I659" s="2" t="n">
        <x:v>1</x:v>
      </x:c>
      <x:c r="J659" s="2" t="n">
        <x:v>1</x:v>
      </x:c>
      <x:c r="K659" s="2" t="n">
        <x:v>1</x:v>
      </x:c>
      <x:c r="L659" s="2" t="str">
        <x:v>Hibernating</x:v>
      </x:c>
    </x:row>
    <x:row r="660" ht="22" customHeight="1">
      <x:c r="A660" s="2"/>
      <x:c r="B660" s="2" t="str">
        <x:v>12970</x:v>
      </x:c>
      <x:c r="C660" s="2" t="str">
        <x:v>United Kingdom</x:v>
      </x:c>
      <x:c r="D660" s="25" t="n">
        <x:v>40151.388194444444</x:v>
      </x:c>
      <x:c r="E660" s="25" t="n">
        <x:v>40879.395833333336</x:v>
      </x:c>
      <x:c r="F660" s="2" t="n">
        <x:v>8</x:v>
      </x:c>
      <x:c r="G660" s="2" t="n">
        <x:v>10</x:v>
      </x:c>
      <x:c r="H660" s="11" t="n">
        <x:v>1524.97</x:v>
      </x:c>
      <x:c r="I660" s="2" t="n">
        <x:v>5</x:v>
      </x:c>
      <x:c r="J660" s="2" t="n">
        <x:v>5</x:v>
      </x:c>
      <x:c r="K660" s="2" t="n">
        <x:v>4</x:v>
      </x:c>
      <x:c r="L660" s="2" t="str">
        <x:v>Champions</x:v>
      </x:c>
    </x:row>
    <x:row r="661" ht="22" customHeight="1">
      <x:c r="A661" s="2"/>
      <x:c r="B661" s="2" t="str">
        <x:v>12971</x:v>
      </x:c>
      <x:c r="C661" s="2" t="str">
        <x:v>United Kingdom</x:v>
      </x:c>
      <x:c r="D661" s="25" t="n">
        <x:v>40162.58611111111</x:v>
      </x:c>
      <x:c r="E661" s="25" t="n">
        <x:v>40883.305555555555</x:v>
      </x:c>
      <x:c r="F661" s="2" t="n">
        <x:v>4</x:v>
      </x:c>
      <x:c r="G661" s="2" t="n">
        <x:v>116</x:v>
      </x:c>
      <x:c r="H661" s="11" t="n">
        <x:v>15704.6</x:v>
      </x:c>
      <x:c r="I661" s="2" t="n">
        <x:v>5</x:v>
      </x:c>
      <x:c r="J661" s="2" t="n">
        <x:v>5</x:v>
      </x:c>
      <x:c r="K661" s="2" t="n">
        <x:v>5</x:v>
      </x:c>
      <x:c r="L661" s="2" t="str">
        <x:v>Champions</x:v>
      </x:c>
    </x:row>
    <x:row r="662" ht="22" customHeight="1">
      <x:c r="A662" s="2"/>
      <x:c r="B662" s="2" t="str">
        <x:v>12972</x:v>
      </x:c>
      <x:c r="C662" s="2" t="str">
        <x:v>United Kingdom</x:v>
      </x:c>
      <x:c r="D662" s="25" t="n">
        <x:v>40225.395833333336</x:v>
      </x:c>
      <x:c r="E662" s="25" t="n">
        <x:v>40473.15347222222</x:v>
      </x:c>
      <x:c r="F662" s="2" t="n">
        <x:v>414</x:v>
      </x:c>
      <x:c r="G662" s="2" t="n">
        <x:v>4</x:v>
      </x:c>
      <x:c r="H662" s="11" t="n">
        <x:v>1161.2</x:v>
      </x:c>
      <x:c r="I662" s="2" t="n">
        <x:v>1</x:v>
      </x:c>
      <x:c r="J662" s="2" t="n">
        <x:v>3</x:v>
      </x:c>
      <x:c r="K662" s="2" t="n">
        <x:v>3</x:v>
      </x:c>
      <x:c r="L662" s="2" t="str">
        <x:v>At risk</x:v>
      </x:c>
    </x:row>
    <x:row r="663" ht="22" customHeight="1">
      <x:c r="A663" s="2"/>
      <x:c r="B663" s="2" t="str">
        <x:v>12973</x:v>
      </x:c>
      <x:c r="C663" s="2" t="str">
        <x:v>United Kingdom</x:v>
      </x:c>
      <x:c r="D663" s="25" t="n">
        <x:v>40473.21805555555</x:v>
      </x:c>
      <x:c r="E663" s="25" t="n">
        <x:v>40473.21805555555</x:v>
      </x:c>
      <x:c r="F663" s="2" t="n">
        <x:v>414</x:v>
      </x:c>
      <x:c r="G663" s="2" t="n">
        <x:v>1</x:v>
      </x:c>
      <x:c r="H663" s="11" t="n">
        <x:v>385.55</x:v>
      </x:c>
      <x:c r="I663" s="2" t="n">
        <x:v>1</x:v>
      </x:c>
      <x:c r="J663" s="2" t="n">
        <x:v>1</x:v>
      </x:c>
      <x:c r="K663" s="2" t="n">
        <x:v>2</x:v>
      </x:c>
      <x:c r="L663" s="2" t="str">
        <x:v>Hibernating</x:v>
      </x:c>
    </x:row>
    <x:row r="664" ht="22" customHeight="1">
      <x:c r="A664" s="2"/>
      <x:c r="B664" s="2" t="str">
        <x:v>12974</x:v>
      </x:c>
      <x:c r="C664" s="2" t="str">
        <x:v>United Kingdom</x:v>
      </x:c>
      <x:c r="D664" s="25" t="n">
        <x:v>40321.28125</x:v>
      </x:c>
      <x:c r="E664" s="25" t="n">
        <x:v>40689.18958333333</x:v>
      </x:c>
      <x:c r="F664" s="2" t="n">
        <x:v>198</x:v>
      </x:c>
      <x:c r="G664" s="2" t="n">
        <x:v>2</x:v>
      </x:c>
      <x:c r="H664" s="11" t="n">
        <x:v>408.95</x:v>
      </x:c>
      <x:c r="I664" s="2" t="n">
        <x:v>2</x:v>
      </x:c>
      <x:c r="J664" s="2" t="n">
        <x:v>2</x:v>
      </x:c>
      <x:c r="K664" s="2" t="n">
        <x:v>2</x:v>
      </x:c>
      <x:c r="L664" s="2" t="str">
        <x:v>Hibernating</x:v>
      </x:c>
    </x:row>
    <x:row r="665" ht="22" customHeight="1">
      <x:c r="A665" s="2"/>
      <x:c r="B665" s="2" t="str">
        <x:v>12975</x:v>
      </x:c>
      <x:c r="C665" s="2" t="str">
        <x:v>United Kingdom</x:v>
      </x:c>
      <x:c r="D665" s="25" t="n">
        <x:v>40153.23472222222</x:v>
      </x:c>
      <x:c r="E665" s="25" t="n">
        <x:v>40450.19861111111</x:v>
      </x:c>
      <x:c r="F665" s="2" t="n">
        <x:v>437</x:v>
      </x:c>
      <x:c r="G665" s="2" t="n">
        <x:v>6</x:v>
      </x:c>
      <x:c r="H665" s="11" t="n">
        <x:v>2100.09</x:v>
      </x:c>
      <x:c r="I665" s="2" t="n">
        <x:v>1</x:v>
      </x:c>
      <x:c r="J665" s="2" t="n">
        <x:v>4</x:v>
      </x:c>
      <x:c r="K665" s="2" t="n">
        <x:v>4</x:v>
      </x:c>
      <x:c r="L665" s="2" t="str">
        <x:v>At risk</x:v>
      </x:c>
    </x:row>
    <x:row r="666" ht="22" customHeight="1">
      <x:c r="A666" s="2"/>
      <x:c r="B666" s="2" t="str">
        <x:v>12976</x:v>
      </x:c>
      <x:c r="C666" s="2" t="str">
        <x:v>United Kingdom</x:v>
      </x:c>
      <x:c r="D666" s="25" t="n">
        <x:v>40221.44861111111</x:v>
      </x:c>
      <x:c r="E666" s="25" t="n">
        <x:v>40675.20486111111</x:v>
      </x:c>
      <x:c r="F666" s="2" t="n">
        <x:v>212</x:v>
      </x:c>
      <x:c r="G666" s="2" t="n">
        <x:v>8</x:v>
      </x:c>
      <x:c r="H666" s="11" t="n">
        <x:v>3156.38</x:v>
      </x:c>
      <x:c r="I666" s="2" t="n">
        <x:v>2</x:v>
      </x:c>
      <x:c r="J666" s="2" t="n">
        <x:v>4</x:v>
      </x:c>
      <x:c r="K666" s="2" t="n">
        <x:v>5</x:v>
      </x:c>
      <x:c r="L666" s="2" t="str">
        <x:v>At risk</x:v>
      </x:c>
    </x:row>
    <x:row r="667" ht="22" customHeight="1">
      <x:c r="A667" s="2"/>
      <x:c r="B667" s="2" t="str">
        <x:v>12977</x:v>
      </x:c>
      <x:c r="C667" s="2" t="str">
        <x:v>United Kingdom</x:v>
      </x:c>
      <x:c r="D667" s="25" t="n">
        <x:v>40375.475694444445</x:v>
      </x:c>
      <x:c r="E667" s="25" t="n">
        <x:v>40730.48611111111</x:v>
      </x:c>
      <x:c r="F667" s="2" t="n">
        <x:v>157</x:v>
      </x:c>
      <x:c r="G667" s="2" t="n">
        <x:v>4</x:v>
      </x:c>
      <x:c r="H667" s="11" t="n">
        <x:v>517.63</x:v>
      </x:c>
      <x:c r="I667" s="2" t="n">
        <x:v>3</x:v>
      </x:c>
      <x:c r="J667" s="2" t="n">
        <x:v>3</x:v>
      </x:c>
      <x:c r="K667" s="2" t="n">
        <x:v>2</x:v>
      </x:c>
      <x:c r="L667" s="2" t="str">
        <x:v>Loyal</x:v>
      </x:c>
    </x:row>
    <x:row r="668" ht="22" customHeight="1">
      <x:c r="A668" s="2"/>
      <x:c r="B668" s="2" t="str">
        <x:v>12978</x:v>
      </x:c>
      <x:c r="C668" s="2" t="str">
        <x:v>United Kingdom</x:v>
      </x:c>
      <x:c r="D668" s="25" t="n">
        <x:v>40157.29861111111</x:v>
      </x:c>
      <x:c r="E668" s="25" t="n">
        <x:v>40501.39513888889</x:v>
      </x:c>
      <x:c r="F668" s="2" t="n">
        <x:v>386</x:v>
      </x:c>
      <x:c r="G668" s="2" t="n">
        <x:v>5</x:v>
      </x:c>
      <x:c r="H668" s="11" t="n">
        <x:v>2502.82</x:v>
      </x:c>
      <x:c r="I668" s="2" t="n">
        <x:v>2</x:v>
      </x:c>
      <x:c r="J668" s="2" t="n">
        <x:v>4</x:v>
      </x:c>
      <x:c r="K668" s="2" t="n">
        <x:v>4</x:v>
      </x:c>
      <x:c r="L668" s="2" t="str">
        <x:v>At risk</x:v>
      </x:c>
    </x:row>
    <x:row r="669" ht="22" customHeight="1">
      <x:c r="A669" s="2"/>
      <x:c r="B669" s="2" t="str">
        <x:v>12979</x:v>
      </x:c>
      <x:c r="C669" s="2" t="str">
        <x:v>United Arab Emirates</x:v>
      </x:c>
      <x:c r="D669" s="25" t="n">
        <x:v>40157.447916666664</x:v>
      </x:c>
      <x:c r="E669" s="25" t="n">
        <x:v>40157.447916666664</x:v>
      </x:c>
      <x:c r="F669" s="2" t="n">
        <x:v>730</x:v>
      </x:c>
      <x:c r="G669" s="2" t="n">
        <x:v>1</x:v>
      </x:c>
      <x:c r="H669" s="11" t="n">
        <x:v>517.7</x:v>
      </x:c>
      <x:c r="I669" s="2" t="n">
        <x:v>1</x:v>
      </x:c>
      <x:c r="J669" s="2" t="n">
        <x:v>1</x:v>
      </x:c>
      <x:c r="K669" s="2" t="n">
        <x:v>2</x:v>
      </x:c>
      <x:c r="L669" s="2" t="str">
        <x:v>Hibernating</x:v>
      </x:c>
    </x:row>
    <x:row r="670" ht="22" customHeight="1">
      <x:c r="A670" s="2"/>
      <x:c r="B670" s="2" t="str">
        <x:v>12980</x:v>
      </x:c>
      <x:c r="C670" s="2" t="str">
        <x:v>United Kingdom</x:v>
      </x:c>
      <x:c r="D670" s="25" t="n">
        <x:v>40149.268055555556</x:v>
      </x:c>
      <x:c r="E670" s="25" t="n">
        <x:v>40729.19027777778</x:v>
      </x:c>
      <x:c r="F670" s="2" t="n">
        <x:v>158</x:v>
      </x:c>
      <x:c r="G670" s="2" t="n">
        <x:v>21</x:v>
      </x:c>
      <x:c r="H670" s="11" t="n">
        <x:v>16245.78</x:v>
      </x:c>
      <x:c r="I670" s="2" t="n">
        <x:v>3</x:v>
      </x:c>
      <x:c r="J670" s="2" t="n">
        <x:v>5</x:v>
      </x:c>
      <x:c r="K670" s="2" t="n">
        <x:v>5</x:v>
      </x:c>
      <x:c r="L670" s="2" t="str">
        <x:v>Loyal</x:v>
      </x:c>
    </x:row>
    <x:row r="671" ht="22" customHeight="1">
      <x:c r="A671" s="2"/>
      <x:c r="B671" s="2" t="str">
        <x:v>12981</x:v>
      </x:c>
      <x:c r="C671" s="2" t="str">
        <x:v>United Kingdom</x:v>
      </x:c>
      <x:c r="D671" s="25" t="n">
        <x:v>40753.384722222225</x:v>
      </x:c>
      <x:c r="E671" s="25" t="n">
        <x:v>40857.291666666664</x:v>
      </x:c>
      <x:c r="F671" s="2" t="n">
        <x:v>30</x:v>
      </x:c>
      <x:c r="G671" s="2" t="n">
        <x:v>2</x:v>
      </x:c>
      <x:c r="H671" s="11" t="n">
        <x:v>372.22</x:v>
      </x:c>
      <x:c r="I671" s="2" t="n">
        <x:v>4</x:v>
      </x:c>
      <x:c r="J671" s="2" t="n">
        <x:v>2</x:v>
      </x:c>
      <x:c r="K671" s="2" t="n">
        <x:v>2</x:v>
      </x:c>
      <x:c r="L671" s="2" t="str">
        <x:v>Recent light buyers</x:v>
      </x:c>
    </x:row>
    <x:row r="672" ht="22" customHeight="1">
      <x:c r="A672" s="2"/>
      <x:c r="B672" s="2" t="str">
        <x:v>12982</x:v>
      </x:c>
      <x:c r="C672" s="2" t="str">
        <x:v>United Kingdom</x:v>
      </x:c>
      <x:c r="D672" s="25" t="n">
        <x:v>40280.368055555555</x:v>
      </x:c>
      <x:c r="E672" s="25" t="n">
        <x:v>40644.285416666666</x:v>
      </x:c>
      <x:c r="F672" s="2" t="n">
        <x:v>243</x:v>
      </x:c>
      <x:c r="G672" s="2" t="n">
        <x:v>8</x:v>
      </x:c>
      <x:c r="H672" s="11" t="n">
        <x:v>2744.81</x:v>
      </x:c>
      <x:c r="I672" s="2" t="n">
        <x:v>2</x:v>
      </x:c>
      <x:c r="J672" s="2" t="n">
        <x:v>4</x:v>
      </x:c>
      <x:c r="K672" s="2" t="n">
        <x:v>4</x:v>
      </x:c>
      <x:c r="L672" s="2" t="str">
        <x:v>At risk</x:v>
      </x:c>
    </x:row>
    <x:row r="673" ht="22" customHeight="1">
      <x:c r="A673" s="2"/>
      <x:c r="B673" s="2" t="str">
        <x:v>12983</x:v>
      </x:c>
      <x:c r="C673" s="2" t="str">
        <x:v>United Kingdom</x:v>
      </x:c>
      <x:c r="D673" s="25" t="n">
        <x:v>40288.33194444444</x:v>
      </x:c>
      <x:c r="E673" s="25" t="n">
        <x:v>40288.33194444444</x:v>
      </x:c>
      <x:c r="F673" s="2" t="n">
        <x:v>599</x:v>
      </x:c>
      <x:c r="G673" s="2" t="n">
        <x:v>1</x:v>
      </x:c>
      <x:c r="H673" s="11" t="n">
        <x:v>490.08</x:v>
      </x:c>
      <x:c r="I673" s="2" t="n">
        <x:v>1</x:v>
      </x:c>
      <x:c r="J673" s="2" t="n">
        <x:v>1</x:v>
      </x:c>
      <x:c r="K673" s="2" t="n">
        <x:v>2</x:v>
      </x:c>
      <x:c r="L673" s="2" t="str">
        <x:v>Hibernating</x:v>
      </x:c>
    </x:row>
    <x:row r="674" ht="22" customHeight="1">
      <x:c r="A674" s="2"/>
      <x:c r="B674" s="2" t="str">
        <x:v>12984</x:v>
      </x:c>
      <x:c r="C674" s="2" t="str">
        <x:v>United Kingdom</x:v>
      </x:c>
      <x:c r="D674" s="25" t="n">
        <x:v>40868.31736111111</x:v>
      </x:c>
      <x:c r="E674" s="25" t="n">
        <x:v>40868.31736111111</x:v>
      </x:c>
      <x:c r="F674" s="2" t="n">
        <x:v>19</x:v>
      </x:c>
      <x:c r="G674" s="2" t="n">
        <x:v>1</x:v>
      </x:c>
      <x:c r="H674" s="11" t="n">
        <x:v>97.5</x:v>
      </x:c>
      <x:c r="I674" s="2" t="n">
        <x:v>5</x:v>
      </x:c>
      <x:c r="J674" s="2" t="n">
        <x:v>1</x:v>
      </x:c>
      <x:c r="K674" s="2" t="n">
        <x:v>1</x:v>
      </x:c>
      <x:c r="L674" s="2" t="str">
        <x:v>Recent light buyers</x:v>
      </x:c>
    </x:row>
    <x:row r="675" ht="22" customHeight="1">
      <x:c r="A675" s="2"/>
      <x:c r="B675" s="2" t="str">
        <x:v>12985</x:v>
      </x:c>
      <x:c r="C675" s="2" t="str">
        <x:v>United Kingdom</x:v>
      </x:c>
      <x:c r="D675" s="25" t="n">
        <x:v>40858.322222222225</x:v>
      </x:c>
      <x:c r="E675" s="25" t="n">
        <x:v>40886.240277777775</x:v>
      </x:c>
      <x:c r="F675" s="2" t="n">
        <x:v>1</x:v>
      </x:c>
      <x:c r="G675" s="2" t="n">
        <x:v>2</x:v>
      </x:c>
      <x:c r="H675" s="11" t="n">
        <x:v>1239.38</x:v>
      </x:c>
      <x:c r="I675" s="2" t="n">
        <x:v>5</x:v>
      </x:c>
      <x:c r="J675" s="2" t="n">
        <x:v>2</x:v>
      </x:c>
      <x:c r="K675" s="2" t="n">
        <x:v>4</x:v>
      </x:c>
      <x:c r="L675" s="2" t="str">
        <x:v>Recent light buyers</x:v>
      </x:c>
    </x:row>
    <x:row r="676" ht="22" customHeight="1">
      <x:c r="A676" s="2"/>
      <x:c r="B676" s="2" t="str">
        <x:v>12986</x:v>
      </x:c>
      <x:c r="C676" s="2" t="str">
        <x:v>United Kingdom</x:v>
      </x:c>
      <x:c r="D676" s="25" t="n">
        <x:v>40199.239583333336</x:v>
      </x:c>
      <x:c r="E676" s="25" t="n">
        <x:v>40458.28958333333</x:v>
      </x:c>
      <x:c r="F676" s="2" t="n">
        <x:v>429</x:v>
      </x:c>
      <x:c r="G676" s="2" t="n">
        <x:v>10</x:v>
      </x:c>
      <x:c r="H676" s="11" t="n">
        <x:v>2729.84</x:v>
      </x:c>
      <x:c r="I676" s="2" t="n">
        <x:v>1</x:v>
      </x:c>
      <x:c r="J676" s="2" t="n">
        <x:v>5</x:v>
      </x:c>
      <x:c r="K676" s="2" t="n">
        <x:v>4</x:v>
      </x:c>
      <x:c r="L676" s="2" t="str">
        <x:v>At risk</x:v>
      </x:c>
    </x:row>
    <x:row r="677" ht="22" customHeight="1">
      <x:c r="A677" s="2"/>
      <x:c r="B677" s="2" t="str">
        <x:v>12987</x:v>
      </x:c>
      <x:c r="C677" s="2" t="str">
        <x:v>United Kingdom</x:v>
      </x:c>
      <x:c r="D677" s="25" t="n">
        <x:v>40198.20625</x:v>
      </x:c>
      <x:c r="E677" s="25" t="n">
        <x:v>40813.29375</x:v>
      </x:c>
      <x:c r="F677" s="2" t="n">
        <x:v>74</x:v>
      </x:c>
      <x:c r="G677" s="2" t="n">
        <x:v>5</x:v>
      </x:c>
      <x:c r="H677" s="11" t="n">
        <x:v>1312.21</x:v>
      </x:c>
      <x:c r="I677" s="2" t="n">
        <x:v>3</x:v>
      </x:c>
      <x:c r="J677" s="2" t="n">
        <x:v>4</x:v>
      </x:c>
      <x:c r="K677" s="2" t="n">
        <x:v>4</x:v>
      </x:c>
      <x:c r="L677" s="2" t="str">
        <x:v>Loyal</x:v>
      </x:c>
    </x:row>
    <x:row r="678" ht="22" customHeight="1">
      <x:c r="A678" s="2"/>
      <x:c r="B678" s="2" t="str">
        <x:v>12988</x:v>
      </x:c>
      <x:c r="C678" s="2" t="str">
        <x:v>United Kingdom</x:v>
      </x:c>
      <x:c r="D678" s="25" t="n">
        <x:v>40594.396527777775</x:v>
      </x:c>
      <x:c r="E678" s="25" t="n">
        <x:v>40594.396527777775</x:v>
      </x:c>
      <x:c r="F678" s="2" t="n">
        <x:v>293</x:v>
      </x:c>
      <x:c r="G678" s="2" t="n">
        <x:v>1</x:v>
      </x:c>
      <x:c r="H678" s="11" t="n">
        <x:v>535.32</x:v>
      </x:c>
      <x:c r="I678" s="2" t="n">
        <x:v>2</x:v>
      </x:c>
      <x:c r="J678" s="2" t="n">
        <x:v>1</x:v>
      </x:c>
      <x:c r="K678" s="2" t="n">
        <x:v>2</x:v>
      </x:c>
      <x:c r="L678" s="2" t="str">
        <x:v>Hibernating</x:v>
      </x:c>
    </x:row>
    <x:row r="679" ht="22" customHeight="1">
      <x:c r="A679" s="2"/>
      <x:c r="B679" s="2" t="str">
        <x:v>12989</x:v>
      </x:c>
      <x:c r="C679" s="2" t="str">
        <x:v>United Kingdom</x:v>
      </x:c>
      <x:c r="D679" s="25" t="n">
        <x:v>40157.35208333333</x:v>
      </x:c>
      <x:c r="E679" s="25" t="n">
        <x:v>40883.436111111114</x:v>
      </x:c>
      <x:c r="F679" s="2" t="n">
        <x:v>4</x:v>
      </x:c>
      <x:c r="G679" s="2" t="n">
        <x:v>33</x:v>
      </x:c>
      <x:c r="H679" s="11" t="n">
        <x:v>13551.75</x:v>
      </x:c>
      <x:c r="I679" s="2" t="n">
        <x:v>5</x:v>
      </x:c>
      <x:c r="J679" s="2" t="n">
        <x:v>5</x:v>
      </x:c>
      <x:c r="K679" s="2" t="n">
        <x:v>5</x:v>
      </x:c>
      <x:c r="L679" s="2" t="str">
        <x:v>Champions</x:v>
      </x:c>
    </x:row>
    <x:row r="680" ht="22" customHeight="1">
      <x:c r="A680" s="2"/>
      <x:c r="B680" s="2" t="str">
        <x:v>12990</x:v>
      </x:c>
      <x:c r="C680" s="2" t="str">
        <x:v>United Kingdom</x:v>
      </x:c>
      <x:c r="D680" s="25" t="n">
        <x:v>40267.275</x:v>
      </x:c>
      <x:c r="E680" s="25" t="n">
        <x:v>40855.334027777775</x:v>
      </x:c>
      <x:c r="F680" s="2" t="n">
        <x:v>32</x:v>
      </x:c>
      <x:c r="G680" s="2" t="n">
        <x:v>7</x:v>
      </x:c>
      <x:c r="H680" s="11" t="n">
        <x:v>955.5</x:v>
      </x:c>
      <x:c r="I680" s="2" t="n">
        <x:v>4</x:v>
      </x:c>
      <x:c r="J680" s="2" t="n">
        <x:v>4</x:v>
      </x:c>
      <x:c r="K680" s="2" t="n">
        <x:v>3</x:v>
      </x:c>
      <x:c r="L680" s="2" t="str">
        <x:v>Loyal</x:v>
      </x:c>
    </x:row>
    <x:row r="681" ht="22" customHeight="1">
      <x:c r="A681" s="2"/>
      <x:c r="B681" s="2" t="str">
        <x:v>12991</x:v>
      </x:c>
      <x:c r="C681" s="2" t="str">
        <x:v>United Kingdom</x:v>
      </x:c>
      <x:c r="D681" s="25" t="n">
        <x:v>40497.36319444444</x:v>
      </x:c>
      <x:c r="E681" s="25" t="n">
        <x:v>40863.44027777778</x:v>
      </x:c>
      <x:c r="F681" s="2" t="n">
        <x:v>24</x:v>
      </x:c>
      <x:c r="G681" s="2" t="n">
        <x:v>3</x:v>
      </x:c>
      <x:c r="H681" s="11" t="n">
        <x:v>764.82</x:v>
      </x:c>
      <x:c r="I681" s="2" t="n">
        <x:v>4</x:v>
      </x:c>
      <x:c r="J681" s="2" t="n">
        <x:v>3</x:v>
      </x:c>
      <x:c r="K681" s="2" t="n">
        <x:v>3</x:v>
      </x:c>
      <x:c r="L681" s="2" t="str">
        <x:v>Loyal</x:v>
      </x:c>
    </x:row>
    <x:row r="682" ht="22" customHeight="1">
      <x:c r="A682" s="2"/>
      <x:c r="B682" s="2" t="str">
        <x:v>12992</x:v>
      </x:c>
      <x:c r="C682" s="2" t="str">
        <x:v>United Kingdom</x:v>
      </x:c>
      <x:c r="D682" s="25" t="n">
        <x:v>40161.490277777775</x:v>
      </x:c>
      <x:c r="E682" s="25" t="n">
        <x:v>40161.490277777775</x:v>
      </x:c>
      <x:c r="F682" s="2" t="n">
        <x:v>726</x:v>
      </x:c>
      <x:c r="G682" s="2" t="n">
        <x:v>1</x:v>
      </x:c>
      <x:c r="H682" s="11" t="n">
        <x:v>93.35</x:v>
      </x:c>
      <x:c r="I682" s="2" t="n">
        <x:v>1</x:v>
      </x:c>
      <x:c r="J682" s="2" t="n">
        <x:v>1</x:v>
      </x:c>
      <x:c r="K682" s="2" t="n">
        <x:v>1</x:v>
      </x:c>
      <x:c r="L682" s="2" t="str">
        <x:v>Hibernating</x:v>
      </x:c>
    </x:row>
    <x:row r="683" ht="22" customHeight="1">
      <x:c r="A683" s="2"/>
      <x:c r="B683" s="2" t="str">
        <x:v>12993</x:v>
      </x:c>
      <x:c r="C683" s="2" t="str">
        <x:v>United Kingdom</x:v>
      </x:c>
      <x:c r="D683" s="25" t="n">
        <x:v>40227.23263888889</x:v>
      </x:c>
      <x:c r="E683" s="25" t="n">
        <x:v>40863.450694444444</x:v>
      </x:c>
      <x:c r="F683" s="2" t="n">
        <x:v>24</x:v>
      </x:c>
      <x:c r="G683" s="2" t="n">
        <x:v>8</x:v>
      </x:c>
      <x:c r="H683" s="11" t="n">
        <x:v>1259.63</x:v>
      </x:c>
      <x:c r="I683" s="2" t="n">
        <x:v>4</x:v>
      </x:c>
      <x:c r="J683" s="2" t="n">
        <x:v>4</x:v>
      </x:c>
      <x:c r="K683" s="2" t="n">
        <x:v>4</x:v>
      </x:c>
      <x:c r="L683" s="2" t="str">
        <x:v>Champions</x:v>
      </x:c>
    </x:row>
    <x:row r="684" ht="22" customHeight="1">
      <x:c r="A684" s="2"/>
      <x:c r="B684" s="2" t="str">
        <x:v>12994</x:v>
      </x:c>
      <x:c r="C684" s="2" t="str">
        <x:v>United Kingdom</x:v>
      </x:c>
      <x:c r="D684" s="25" t="n">
        <x:v>40618.146527777775</x:v>
      </x:c>
      <x:c r="E684" s="25" t="n">
        <x:v>40882.44652777778</x:v>
      </x:c>
      <x:c r="F684" s="2" t="n">
        <x:v>5</x:v>
      </x:c>
      <x:c r="G684" s="2" t="n">
        <x:v>3</x:v>
      </x:c>
      <x:c r="H684" s="11" t="n">
        <x:v>974.42</x:v>
      </x:c>
      <x:c r="I684" s="2" t="n">
        <x:v>5</x:v>
      </x:c>
      <x:c r="J684" s="2" t="n">
        <x:v>3</x:v>
      </x:c>
      <x:c r="K684" s="2" t="n">
        <x:v>3</x:v>
      </x:c>
      <x:c r="L684" s="2" t="str">
        <x:v>Loyal</x:v>
      </x:c>
    </x:row>
    <x:row r="685" ht="22" customHeight="1">
      <x:c r="A685" s="2"/>
      <x:c r="B685" s="2" t="str">
        <x:v>12995</x:v>
      </x:c>
      <x:c r="C685" s="2" t="str">
        <x:v>United Kingdom</x:v>
      </x:c>
      <x:c r="D685" s="25" t="n">
        <x:v>40801.447222222225</x:v>
      </x:c>
      <x:c r="E685" s="25" t="n">
        <x:v>40801.447222222225</x:v>
      </x:c>
      <x:c r="F685" s="2" t="n">
        <x:v>86</x:v>
      </x:c>
      <x:c r="G685" s="2" t="n">
        <x:v>1</x:v>
      </x:c>
      <x:c r="H685" s="11" t="n">
        <x:v>211.32</x:v>
      </x:c>
      <x:c r="I685" s="2" t="n">
        <x:v>3</x:v>
      </x:c>
      <x:c r="J685" s="2" t="n">
        <x:v>1</x:v>
      </x:c>
      <x:c r="K685" s="2" t="n">
        <x:v>1</x:v>
      </x:c>
      <x:c r="L685" s="2" t="str">
        <x:v>Developing</x:v>
      </x:c>
    </x:row>
    <x:row r="686" ht="22" customHeight="1">
      <x:c r="A686" s="2"/>
      <x:c r="B686" s="2" t="str">
        <x:v>12996</x:v>
      </x:c>
      <x:c r="C686" s="2" t="str">
        <x:v>United Kingdom</x:v>
      </x:c>
      <x:c r="D686" s="25" t="n">
        <x:v>40511.18541666667</x:v>
      </x:c>
      <x:c r="E686" s="25" t="n">
        <x:v>40511.18541666667</x:v>
      </x:c>
      <x:c r="F686" s="2" t="n">
        <x:v>376</x:v>
      </x:c>
      <x:c r="G686" s="2" t="n">
        <x:v>1</x:v>
      </x:c>
      <x:c r="H686" s="11" t="n">
        <x:v>355.5</x:v>
      </x:c>
      <x:c r="I686" s="2" t="n">
        <x:v>2</x:v>
      </x:c>
      <x:c r="J686" s="2" t="n">
        <x:v>1</x:v>
      </x:c>
      <x:c r="K686" s="2" t="n">
        <x:v>2</x:v>
      </x:c>
      <x:c r="L686" s="2" t="str">
        <x:v>Hibernating</x:v>
      </x:c>
    </x:row>
    <x:row r="687" ht="22" customHeight="1">
      <x:c r="A687" s="2"/>
      <x:c r="B687" s="2" t="str">
        <x:v>12997</x:v>
      </x:c>
      <x:c r="C687" s="2" t="str">
        <x:v>United Kingdom</x:v>
      </x:c>
      <x:c r="D687" s="25" t="n">
        <x:v>40274.254166666666</x:v>
      </x:c>
      <x:c r="E687" s="25" t="n">
        <x:v>40864.44930555556</x:v>
      </x:c>
      <x:c r="F687" s="2" t="n">
        <x:v>23</x:v>
      </x:c>
      <x:c r="G687" s="2" t="n">
        <x:v>8</x:v>
      </x:c>
      <x:c r="H687" s="11" t="n">
        <x:v>2110.91</x:v>
      </x:c>
      <x:c r="I687" s="2" t="n">
        <x:v>4</x:v>
      </x:c>
      <x:c r="J687" s="2" t="n">
        <x:v>4</x:v>
      </x:c>
      <x:c r="K687" s="2" t="n">
        <x:v>4</x:v>
      </x:c>
      <x:c r="L687" s="2" t="str">
        <x:v>Champions</x:v>
      </x:c>
    </x:row>
    <x:row r="688" ht="22" customHeight="1">
      <x:c r="A688" s="2"/>
      <x:c r="B688" s="2" t="str">
        <x:v>12998</x:v>
      </x:c>
      <x:c r="C688" s="2" t="str">
        <x:v>United Kingdom</x:v>
      </x:c>
      <x:c r="D688" s="25" t="n">
        <x:v>40233.288194444445</x:v>
      </x:c>
      <x:c r="E688" s="25" t="n">
        <x:v>40394.12847222222</x:v>
      </x:c>
      <x:c r="F688" s="2" t="n">
        <x:v>493</x:v>
      </x:c>
      <x:c r="G688" s="2" t="n">
        <x:v>3</x:v>
      </x:c>
      <x:c r="H688" s="11" t="n">
        <x:v>920.08</x:v>
      </x:c>
      <x:c r="I688" s="2" t="n">
        <x:v>1</x:v>
      </x:c>
      <x:c r="J688" s="2" t="n">
        <x:v>3</x:v>
      </x:c>
      <x:c r="K688" s="2" t="n">
        <x:v>3</x:v>
      </x:c>
      <x:c r="L688" s="2" t="str">
        <x:v>At risk</x:v>
      </x:c>
    </x:row>
    <x:row r="689" ht="22" customHeight="1">
      <x:c r="A689" s="2"/>
      <x:c r="B689" s="2" t="str">
        <x:v>12999</x:v>
      </x:c>
      <x:c r="C689" s="2" t="str">
        <x:v>United Kingdom</x:v>
      </x:c>
      <x:c r="D689" s="25" t="n">
        <x:v>40641.22638888889</x:v>
      </x:c>
      <x:c r="E689" s="25" t="n">
        <x:v>40690.35</x:v>
      </x:c>
      <x:c r="F689" s="2" t="n">
        <x:v>197</x:v>
      </x:c>
      <x:c r="G689" s="2" t="n">
        <x:v>3</x:v>
      </x:c>
      <x:c r="H689" s="11" t="n">
        <x:v>455.88</x:v>
      </x:c>
      <x:c r="I689" s="2" t="n">
        <x:v>2</x:v>
      </x:c>
      <x:c r="J689" s="2" t="n">
        <x:v>3</x:v>
      </x:c>
      <x:c r="K689" s="2" t="n">
        <x:v>2</x:v>
      </x:c>
      <x:c r="L689" s="2" t="str">
        <x:v>At risk</x:v>
      </x:c>
    </x:row>
    <x:row r="690" ht="22" customHeight="1">
      <x:c r="A690" s="2"/>
      <x:c r="B690" s="2" t="str">
        <x:v>13000</x:v>
      </x:c>
      <x:c r="C690" s="2" t="str">
        <x:v>United Kingdom</x:v>
      </x:c>
      <x:c r="D690" s="25" t="n">
        <x:v>40161.50208333333</x:v>
      </x:c>
      <x:c r="E690" s="25" t="n">
        <x:v>40780.23819444444</x:v>
      </x:c>
      <x:c r="F690" s="2" t="n">
        <x:v>107</x:v>
      </x:c>
      <x:c r="G690" s="2" t="n">
        <x:v>4</x:v>
      </x:c>
      <x:c r="H690" s="11" t="n">
        <x:v>1032.5</x:v>
      </x:c>
      <x:c r="I690" s="2" t="n">
        <x:v>3</x:v>
      </x:c>
      <x:c r="J690" s="2" t="n">
        <x:v>3</x:v>
      </x:c>
      <x:c r="K690" s="2" t="n">
        <x:v>3</x:v>
      </x:c>
      <x:c r="L690" s="2" t="str">
        <x:v>Loyal</x:v>
      </x:c>
    </x:row>
    <x:row r="691" ht="22" customHeight="1">
      <x:c r="A691" s="2"/>
      <x:c r="B691" s="2" t="str">
        <x:v>13001</x:v>
      </x:c>
      <x:c r="C691" s="2" t="str">
        <x:v>United Kingdom</x:v>
      </x:c>
      <x:c r="D691" s="25" t="n">
        <x:v>40150.472916666666</x:v>
      </x:c>
      <x:c r="E691" s="25" t="n">
        <x:v>40882.410416666666</x:v>
      </x:c>
      <x:c r="F691" s="2" t="n">
        <x:v>5</x:v>
      </x:c>
      <x:c r="G691" s="2" t="n">
        <x:v>33</x:v>
      </x:c>
      <x:c r="H691" s="11" t="n">
        <x:v>24172.1</x:v>
      </x:c>
      <x:c r="I691" s="2" t="n">
        <x:v>5</x:v>
      </x:c>
      <x:c r="J691" s="2" t="n">
        <x:v>5</x:v>
      </x:c>
      <x:c r="K691" s="2" t="n">
        <x:v>5</x:v>
      </x:c>
      <x:c r="L691" s="2" t="str">
        <x:v>Champions</x:v>
      </x:c>
    </x:row>
    <x:row r="692" ht="22" customHeight="1">
      <x:c r="A692" s="2"/>
      <x:c r="B692" s="2" t="str">
        <x:v>13002</x:v>
      </x:c>
      <x:c r="C692" s="2" t="str">
        <x:v>United Kingdom</x:v>
      </x:c>
      <x:c r="D692" s="25" t="n">
        <x:v>40452.29027777778</x:v>
      </x:c>
      <x:c r="E692" s="25" t="n">
        <x:v>40568.42916666667</x:v>
      </x:c>
      <x:c r="F692" s="2" t="n">
        <x:v>319</x:v>
      </x:c>
      <x:c r="G692" s="2" t="n">
        <x:v>3</x:v>
      </x:c>
      <x:c r="H692" s="11" t="n">
        <x:v>414.13</x:v>
      </x:c>
      <x:c r="I692" s="2" t="n">
        <x:v>2</x:v>
      </x:c>
      <x:c r="J692" s="2" t="n">
        <x:v>3</x:v>
      </x:c>
      <x:c r="K692" s="2" t="n">
        <x:v>2</x:v>
      </x:c>
      <x:c r="L692" s="2" t="str">
        <x:v>At risk</x:v>
      </x:c>
    </x:row>
    <x:row r="693" ht="22" customHeight="1">
      <x:c r="A693" s="2"/>
      <x:c r="B693" s="2" t="str">
        <x:v>13003</x:v>
      </x:c>
      <x:c r="C693" s="2" t="str">
        <x:v>United Kingdom</x:v>
      </x:c>
      <x:c r="D693" s="25" t="n">
        <x:v>40672.14097222222</x:v>
      </x:c>
      <x:c r="E693" s="25" t="n">
        <x:v>40781.243055555555</x:v>
      </x:c>
      <x:c r="F693" s="2" t="n">
        <x:v>106</x:v>
      </x:c>
      <x:c r="G693" s="2" t="n">
        <x:v>3</x:v>
      </x:c>
      <x:c r="H693" s="11" t="n">
        <x:v>149.05</x:v>
      </x:c>
      <x:c r="I693" s="2" t="n">
        <x:v>3</x:v>
      </x:c>
      <x:c r="J693" s="2" t="n">
        <x:v>3</x:v>
      </x:c>
      <x:c r="K693" s="2" t="n">
        <x:v>1</x:v>
      </x:c>
      <x:c r="L693" s="2" t="str">
        <x:v>Loyal</x:v>
      </x:c>
    </x:row>
    <x:row r="694" ht="22" customHeight="1">
      <x:c r="A694" s="2"/>
      <x:c r="B694" s="2" t="str">
        <x:v>13004</x:v>
      </x:c>
      <x:c r="C694" s="2" t="str">
        <x:v>United Kingdom</x:v>
      </x:c>
      <x:c r="D694" s="25" t="n">
        <x:v>40162.197222222225</x:v>
      </x:c>
      <x:c r="E694" s="25" t="n">
        <x:v>40875.26875</x:v>
      </x:c>
      <x:c r="F694" s="2" t="n">
        <x:v>12</x:v>
      </x:c>
      <x:c r="G694" s="2" t="n">
        <x:v>36</x:v>
      </x:c>
      <x:c r="H694" s="11" t="n">
        <x:v>11650.85</x:v>
      </x:c>
      <x:c r="I694" s="2" t="n">
        <x:v>5</x:v>
      </x:c>
      <x:c r="J694" s="2" t="n">
        <x:v>5</x:v>
      </x:c>
      <x:c r="K694" s="2" t="n">
        <x:v>5</x:v>
      </x:c>
      <x:c r="L694" s="2" t="str">
        <x:v>Champions</x:v>
      </x:c>
    </x:row>
    <x:row r="695" ht="22" customHeight="1">
      <x:c r="A695" s="2"/>
      <x:c r="B695" s="2" t="str">
        <x:v>13005</x:v>
      </x:c>
      <x:c r="C695" s="2" t="str">
        <x:v>United Kingdom</x:v>
      </x:c>
      <x:c r="D695" s="25" t="n">
        <x:v>40429.32777777778</x:v>
      </x:c>
      <x:c r="E695" s="25" t="n">
        <x:v>40713.24513888889</x:v>
      </x:c>
      <x:c r="F695" s="2" t="n">
        <x:v>174</x:v>
      </x:c>
      <x:c r="G695" s="2" t="n">
        <x:v>4</x:v>
      </x:c>
      <x:c r="H695" s="11" t="n">
        <x:v>999.68</x:v>
      </x:c>
      <x:c r="I695" s="2" t="n">
        <x:v>3</x:v>
      </x:c>
      <x:c r="J695" s="2" t="n">
        <x:v>3</x:v>
      </x:c>
      <x:c r="K695" s="2" t="n">
        <x:v>3</x:v>
      </x:c>
      <x:c r="L695" s="2" t="str">
        <x:v>Loyal</x:v>
      </x:c>
    </x:row>
    <x:row r="696" ht="22" customHeight="1">
      <x:c r="A696" s="2"/>
      <x:c r="B696" s="2" t="str">
        <x:v>13006</x:v>
      </x:c>
      <x:c r="C696" s="2" t="str">
        <x:v>United Kingdom</x:v>
      </x:c>
      <x:c r="D696" s="25" t="n">
        <x:v>40830.36736111111</x:v>
      </x:c>
      <x:c r="E696" s="25" t="n">
        <x:v>40830.36736111111</x:v>
      </x:c>
      <x:c r="F696" s="2" t="n">
        <x:v>57</x:v>
      </x:c>
      <x:c r="G696" s="2" t="n">
        <x:v>1</x:v>
      </x:c>
      <x:c r="H696" s="11" t="n">
        <x:v>81.57</x:v>
      </x:c>
      <x:c r="I696" s="2" t="n">
        <x:v>4</x:v>
      </x:c>
      <x:c r="J696" s="2" t="n">
        <x:v>1</x:v>
      </x:c>
      <x:c r="K696" s="2" t="n">
        <x:v>1</x:v>
      </x:c>
      <x:c r="L696" s="2" t="str">
        <x:v>Recent light buyers</x:v>
      </x:c>
    </x:row>
    <x:row r="697" ht="22" customHeight="1">
      <x:c r="A697" s="2"/>
      <x:c r="B697" s="2" t="str">
        <x:v>13007</x:v>
      </x:c>
      <x:c r="C697" s="2" t="str">
        <x:v>United Kingdom</x:v>
      </x:c>
      <x:c r="D697" s="25" t="n">
        <x:v>40307.23472222222</x:v>
      </x:c>
      <x:c r="E697" s="25" t="n">
        <x:v>40307.23472222222</x:v>
      </x:c>
      <x:c r="F697" s="2" t="n">
        <x:v>580</x:v>
      </x:c>
      <x:c r="G697" s="2" t="n">
        <x:v>1</x:v>
      </x:c>
      <x:c r="H697" s="11" t="n">
        <x:v>175.25</x:v>
      </x:c>
      <x:c r="I697" s="2" t="n">
        <x:v>1</x:v>
      </x:c>
      <x:c r="J697" s="2" t="n">
        <x:v>1</x:v>
      </x:c>
      <x:c r="K697" s="2" t="n">
        <x:v>1</x:v>
      </x:c>
      <x:c r="L697" s="2" t="str">
        <x:v>Hibernating</x:v>
      </x:c>
    </x:row>
    <x:row r="698" ht="22" customHeight="1">
      <x:c r="A698" s="2"/>
      <x:c r="B698" s="2" t="str">
        <x:v>13008</x:v>
      </x:c>
      <x:c r="C698" s="2" t="str">
        <x:v>United Kingdom</x:v>
      </x:c>
      <x:c r="D698" s="25" t="n">
        <x:v>40163.46319444444</x:v>
      </x:c>
      <x:c r="E698" s="25" t="n">
        <x:v>40563.39166666667</x:v>
      </x:c>
      <x:c r="F698" s="2" t="n">
        <x:v>324</x:v>
      </x:c>
      <x:c r="G698" s="2" t="n">
        <x:v>3</x:v>
      </x:c>
      <x:c r="H698" s="11" t="n">
        <x:v>612.13</x:v>
      </x:c>
      <x:c r="I698" s="2" t="n">
        <x:v>2</x:v>
      </x:c>
      <x:c r="J698" s="2" t="n">
        <x:v>3</x:v>
      </x:c>
      <x:c r="K698" s="2" t="n">
        <x:v>3</x:v>
      </x:c>
      <x:c r="L698" s="2" t="str">
        <x:v>At risk</x:v>
      </x:c>
    </x:row>
    <x:row r="699" ht="22" customHeight="1">
      <x:c r="A699" s="2"/>
      <x:c r="B699" s="2" t="str">
        <x:v>13009</x:v>
      </x:c>
      <x:c r="C699" s="2" t="str">
        <x:v>United Kingdom</x:v>
      </x:c>
      <x:c r="D699" s="25" t="n">
        <x:v>40214.30694444444</x:v>
      </x:c>
      <x:c r="E699" s="25" t="n">
        <x:v>40214.30694444444</x:v>
      </x:c>
      <x:c r="F699" s="2" t="n">
        <x:v>673</x:v>
      </x:c>
      <x:c r="G699" s="2" t="n">
        <x:v>1</x:v>
      </x:c>
      <x:c r="H699" s="11" t="n">
        <x:v>234</x:v>
      </x:c>
      <x:c r="I699" s="2" t="n">
        <x:v>1</x:v>
      </x:c>
      <x:c r="J699" s="2" t="n">
        <x:v>1</x:v>
      </x:c>
      <x:c r="K699" s="2" t="n">
        <x:v>1</x:v>
      </x:c>
      <x:c r="L699" s="2" t="str">
        <x:v>Hibernating</x:v>
      </x:c>
    </x:row>
    <x:row r="700" ht="22" customHeight="1">
      <x:c r="A700" s="2"/>
      <x:c r="B700" s="2" t="str">
        <x:v>13010</x:v>
      </x:c>
      <x:c r="C700" s="2" t="str">
        <x:v>United Kingdom</x:v>
      </x:c>
      <x:c r="D700" s="25" t="n">
        <x:v>40238.26944444444</x:v>
      </x:c>
      <x:c r="E700" s="25" t="n">
        <x:v>40512.42291666667</x:v>
      </x:c>
      <x:c r="F700" s="2" t="n">
        <x:v>375</x:v>
      </x:c>
      <x:c r="G700" s="2" t="n">
        <x:v>2</x:v>
      </x:c>
      <x:c r="H700" s="11" t="n">
        <x:v>330.12</x:v>
      </x:c>
      <x:c r="I700" s="2" t="n">
        <x:v>2</x:v>
      </x:c>
      <x:c r="J700" s="2" t="n">
        <x:v>2</x:v>
      </x:c>
      <x:c r="K700" s="2" t="n">
        <x:v>2</x:v>
      </x:c>
      <x:c r="L700" s="2" t="str">
        <x:v>Hibernating</x:v>
      </x:c>
    </x:row>
    <x:row r="701" ht="22" customHeight="1">
      <x:c r="A701" s="2"/>
      <x:c r="B701" s="2" t="str">
        <x:v>13011</x:v>
      </x:c>
      <x:c r="C701" s="2" t="str">
        <x:v>United Kingdom</x:v>
      </x:c>
      <x:c r="D701" s="25" t="n">
        <x:v>40514.51527777778</x:v>
      </x:c>
      <x:c r="E701" s="25" t="n">
        <x:v>40514.51527777778</x:v>
      </x:c>
      <x:c r="F701" s="2" t="n">
        <x:v>373</x:v>
      </x:c>
      <x:c r="G701" s="2" t="n">
        <x:v>1</x:v>
      </x:c>
      <x:c r="H701" s="11" t="n">
        <x:v>50.55</x:v>
      </x:c>
      <x:c r="I701" s="2" t="n">
        <x:v>2</x:v>
      </x:c>
      <x:c r="J701" s="2" t="n">
        <x:v>1</x:v>
      </x:c>
      <x:c r="K701" s="2" t="n">
        <x:v>1</x:v>
      </x:c>
      <x:c r="L701" s="2" t="str">
        <x:v>Hibernating</x:v>
      </x:c>
    </x:row>
    <x:row r="702" ht="22" customHeight="1">
      <x:c r="A702" s="2"/>
      <x:c r="B702" s="2" t="str">
        <x:v>13012</x:v>
      </x:c>
      <x:c r="C702" s="2" t="str">
        <x:v>United Kingdom</x:v>
      </x:c>
      <x:c r="D702" s="25" t="n">
        <x:v>40294.384722222225</x:v>
      </x:c>
      <x:c r="E702" s="25" t="n">
        <x:v>40877.336805555555</x:v>
      </x:c>
      <x:c r="F702" s="2" t="n">
        <x:v>10</x:v>
      </x:c>
      <x:c r="G702" s="2" t="n">
        <x:v>11</x:v>
      </x:c>
      <x:c r="H702" s="11" t="n">
        <x:v>2972.83</x:v>
      </x:c>
      <x:c r="I702" s="2" t="n">
        <x:v>5</x:v>
      </x:c>
      <x:c r="J702" s="2" t="n">
        <x:v>5</x:v>
      </x:c>
      <x:c r="K702" s="2" t="n">
        <x:v>5</x:v>
      </x:c>
      <x:c r="L702" s="2" t="str">
        <x:v>Champions</x:v>
      </x:c>
    </x:row>
    <x:row r="703" ht="22" customHeight="1">
      <x:c r="A703" s="2"/>
      <x:c r="B703" s="2" t="str">
        <x:v>13013</x:v>
      </x:c>
      <x:c r="C703" s="2" t="str">
        <x:v>United Kingdom</x:v>
      </x:c>
      <x:c r="D703" s="25" t="n">
        <x:v>40161.231944444444</x:v>
      </x:c>
      <x:c r="E703" s="25" t="n">
        <x:v>40885.41736111111</x:v>
      </x:c>
      <x:c r="F703" s="2" t="n">
        <x:v>2</x:v>
      </x:c>
      <x:c r="G703" s="2" t="n">
        <x:v>29</x:v>
      </x:c>
      <x:c r="H703" s="11" t="n">
        <x:v>11097.43</x:v>
      </x:c>
      <x:c r="I703" s="2" t="n">
        <x:v>5</x:v>
      </x:c>
      <x:c r="J703" s="2" t="n">
        <x:v>5</x:v>
      </x:c>
      <x:c r="K703" s="2" t="n">
        <x:v>5</x:v>
      </x:c>
      <x:c r="L703" s="2" t="str">
        <x:v>Champions</x:v>
      </x:c>
    </x:row>
    <x:row r="704" ht="22" customHeight="1">
      <x:c r="A704" s="2"/>
      <x:c r="B704" s="2" t="str">
        <x:v>13014</x:v>
      </x:c>
      <x:c r="C704" s="2" t="str">
        <x:v>United Kingdom</x:v>
      </x:c>
      <x:c r="D704" s="25" t="n">
        <x:v>40454.274305555555</x:v>
      </x:c>
      <x:c r="E704" s="25" t="n">
        <x:v>40876.31041666667</x:v>
      </x:c>
      <x:c r="F704" s="2" t="n">
        <x:v>11</x:v>
      </x:c>
      <x:c r="G704" s="2" t="n">
        <x:v>11</x:v>
      </x:c>
      <x:c r="H704" s="11" t="n">
        <x:v>5381.08</x:v>
      </x:c>
      <x:c r="I704" s="2" t="n">
        <x:v>5</x:v>
      </x:c>
      <x:c r="J704" s="2" t="n">
        <x:v>5</x:v>
      </x:c>
      <x:c r="K704" s="2" t="n">
        <x:v>5</x:v>
      </x:c>
      <x:c r="L704" s="2" t="str">
        <x:v>Champions</x:v>
      </x:c>
    </x:row>
    <x:row r="705" ht="22" customHeight="1">
      <x:c r="A705" s="2"/>
      <x:c r="B705" s="2" t="str">
        <x:v>13015</x:v>
      </x:c>
      <x:c r="C705" s="2" t="str">
        <x:v>United Kingdom</x:v>
      </x:c>
      <x:c r="D705" s="25" t="n">
        <x:v>40283.48263888889</x:v>
      </x:c>
      <x:c r="E705" s="25" t="n">
        <x:v>40833.34652777778</x:v>
      </x:c>
      <x:c r="F705" s="2" t="n">
        <x:v>54</x:v>
      </x:c>
      <x:c r="G705" s="2" t="n">
        <x:v>11</x:v>
      </x:c>
      <x:c r="H705" s="11" t="n">
        <x:v>6586.42</x:v>
      </x:c>
      <x:c r="I705" s="2" t="n">
        <x:v>4</x:v>
      </x:c>
      <x:c r="J705" s="2" t="n">
        <x:v>5</x:v>
      </x:c>
      <x:c r="K705" s="2" t="n">
        <x:v>5</x:v>
      </x:c>
      <x:c r="L705" s="2" t="str">
        <x:v>Champions</x:v>
      </x:c>
    </x:row>
    <x:row r="706" ht="22" customHeight="1">
      <x:c r="A706" s="2"/>
      <x:c r="B706" s="2" t="str">
        <x:v>13016</x:v>
      </x:c>
      <x:c r="C706" s="2" t="str">
        <x:v>United Kingdom</x:v>
      </x:c>
      <x:c r="D706" s="25" t="n">
        <x:v>40763.416666666664</x:v>
      </x:c>
      <x:c r="E706" s="25" t="n">
        <x:v>40813.38055555556</x:v>
      </x:c>
      <x:c r="F706" s="2" t="n">
        <x:v>74</x:v>
      </x:c>
      <x:c r="G706" s="2" t="n">
        <x:v>3</x:v>
      </x:c>
      <x:c r="H706" s="11" t="n">
        <x:v>789.89</x:v>
      </x:c>
      <x:c r="I706" s="2" t="n">
        <x:v>3</x:v>
      </x:c>
      <x:c r="J706" s="2" t="n">
        <x:v>3</x:v>
      </x:c>
      <x:c r="K706" s="2" t="n">
        <x:v>3</x:v>
      </x:c>
      <x:c r="L706" s="2" t="str">
        <x:v>Loyal</x:v>
      </x:c>
    </x:row>
    <x:row r="707" ht="22" customHeight="1">
      <x:c r="A707" s="2"/>
      <x:c r="B707" s="2" t="str">
        <x:v>13017</x:v>
      </x:c>
      <x:c r="C707" s="2" t="str">
        <x:v>United Kingdom</x:v>
      </x:c>
      <x:c r="D707" s="25" t="n">
        <x:v>40879.45347222222</x:v>
      </x:c>
      <x:c r="E707" s="25" t="n">
        <x:v>40879.45347222222</x:v>
      </x:c>
      <x:c r="F707" s="2" t="n">
        <x:v>8</x:v>
      </x:c>
      <x:c r="G707" s="2" t="n">
        <x:v>1</x:v>
      </x:c>
      <x:c r="H707" s="11" t="n">
        <x:v>204</x:v>
      </x:c>
      <x:c r="I707" s="2" t="n">
        <x:v>5</x:v>
      </x:c>
      <x:c r="J707" s="2" t="n">
        <x:v>1</x:v>
      </x:c>
      <x:c r="K707" s="2" t="n">
        <x:v>1</x:v>
      </x:c>
      <x:c r="L707" s="2" t="str">
        <x:v>Recent light buyers</x:v>
      </x:c>
    </x:row>
    <x:row r="708" ht="22" customHeight="1">
      <x:c r="A708" s="2"/>
      <x:c r="B708" s="2" t="str">
        <x:v>13018</x:v>
      </x:c>
      <x:c r="C708" s="2" t="str">
        <x:v>United Kingdom</x:v>
      </x:c>
      <x:c r="D708" s="25" t="n">
        <x:v>40238.31527777778</x:v>
      </x:c>
      <x:c r="E708" s="25" t="n">
        <x:v>40870.35277777778</x:v>
      </x:c>
      <x:c r="F708" s="2" t="n">
        <x:v>17</x:v>
      </x:c>
      <x:c r="G708" s="2" t="n">
        <x:v>35</x:v>
      </x:c>
      <x:c r="H708" s="11" t="n">
        <x:v>9763.16</x:v>
      </x:c>
      <x:c r="I708" s="2" t="n">
        <x:v>5</x:v>
      </x:c>
      <x:c r="J708" s="2" t="n">
        <x:v>5</x:v>
      </x:c>
      <x:c r="K708" s="2" t="n">
        <x:v>5</x:v>
      </x:c>
      <x:c r="L708" s="2" t="str">
        <x:v>Champions</x:v>
      </x:c>
    </x:row>
    <x:row r="709" ht="22" customHeight="1">
      <x:c r="A709" s="2"/>
      <x:c r="B709" s="2" t="str">
        <x:v>13019</x:v>
      </x:c>
      <x:c r="C709" s="2" t="str">
        <x:v>United Kingdom</x:v>
      </x:c>
      <x:c r="D709" s="25" t="n">
        <x:v>40153.444444444445</x:v>
      </x:c>
      <x:c r="E709" s="25" t="n">
        <x:v>40507.41388888889</x:v>
      </x:c>
      <x:c r="F709" s="2" t="n">
        <x:v>380</x:v>
      </x:c>
      <x:c r="G709" s="2" t="n">
        <x:v>6</x:v>
      </x:c>
      <x:c r="H709" s="11" t="n">
        <x:v>1229.95</x:v>
      </x:c>
      <x:c r="I709" s="2" t="n">
        <x:v>2</x:v>
      </x:c>
      <x:c r="J709" s="2" t="n">
        <x:v>4</x:v>
      </x:c>
      <x:c r="K709" s="2" t="n">
        <x:v>3</x:v>
      </x:c>
      <x:c r="L709" s="2" t="str">
        <x:v>At risk</x:v>
      </x:c>
    </x:row>
    <x:row r="710" ht="22" customHeight="1">
      <x:c r="A710" s="2"/>
      <x:c r="B710" s="2" t="str">
        <x:v>13020</x:v>
      </x:c>
      <x:c r="C710" s="2" t="str">
        <x:v>United Kingdom</x:v>
      </x:c>
      <x:c r="D710" s="25" t="n">
        <x:v>40227.23263888889</x:v>
      </x:c>
      <x:c r="E710" s="25" t="n">
        <x:v>40324.25833333333</x:v>
      </x:c>
      <x:c r="F710" s="2" t="n">
        <x:v>563</x:v>
      </x:c>
      <x:c r="G710" s="2" t="n">
        <x:v>2</x:v>
      </x:c>
      <x:c r="H710" s="11" t="n">
        <x:v>618.96</x:v>
      </x:c>
      <x:c r="I710" s="2" t="n">
        <x:v>1</x:v>
      </x:c>
      <x:c r="J710" s="2" t="n">
        <x:v>2</x:v>
      </x:c>
      <x:c r="K710" s="2" t="n">
        <x:v>3</x:v>
      </x:c>
      <x:c r="L710" s="2" t="str">
        <x:v>Hibernating</x:v>
      </x:c>
    </x:row>
    <x:row r="711" ht="22" customHeight="1">
      <x:c r="A711" s="2"/>
      <x:c r="B711" s="2" t="str">
        <x:v>13021</x:v>
      </x:c>
      <x:c r="C711" s="2" t="str">
        <x:v>United Kingdom</x:v>
      </x:c>
      <x:c r="D711" s="25" t="n">
        <x:v>40152.29305555556</x:v>
      </x:c>
      <x:c r="E711" s="25" t="n">
        <x:v>40882.48402777778</x:v>
      </x:c>
      <x:c r="F711" s="2" t="n">
        <x:v>5</x:v>
      </x:c>
      <x:c r="G711" s="2" t="n">
        <x:v>17</x:v>
      </x:c>
      <x:c r="H711" s="11" t="n">
        <x:v>4887.24</x:v>
      </x:c>
      <x:c r="I711" s="2" t="n">
        <x:v>5</x:v>
      </x:c>
      <x:c r="J711" s="2" t="n">
        <x:v>5</x:v>
      </x:c>
      <x:c r="K711" s="2" t="n">
        <x:v>5</x:v>
      </x:c>
      <x:c r="L711" s="2" t="str">
        <x:v>Champions</x:v>
      </x:c>
    </x:row>
    <x:row r="712" ht="22" customHeight="1">
      <x:c r="A712" s="2"/>
      <x:c r="B712" s="2" t="str">
        <x:v>13022</x:v>
      </x:c>
      <x:c r="C712" s="2" t="str">
        <x:v>Belgium</x:v>
      </x:c>
      <x:c r="D712" s="25" t="n">
        <x:v>40457.243055555555</x:v>
      </x:c>
      <x:c r="E712" s="25" t="n">
        <x:v>40457.243055555555</x:v>
      </x:c>
      <x:c r="F712" s="2" t="n">
        <x:v>430</x:v>
      </x:c>
      <x:c r="G712" s="2" t="n">
        <x:v>1</x:v>
      </x:c>
      <x:c r="H712" s="11" t="n">
        <x:v>65.3</x:v>
      </x:c>
      <x:c r="I712" s="2" t="n">
        <x:v>1</x:v>
      </x:c>
      <x:c r="J712" s="2" t="n">
        <x:v>1</x:v>
      </x:c>
      <x:c r="K712" s="2" t="n">
        <x:v>1</x:v>
      </x:c>
      <x:c r="L712" s="2" t="str">
        <x:v>Hibernating</x:v>
      </x:c>
    </x:row>
    <x:row r="713" ht="22" customHeight="1">
      <x:c r="A713" s="2"/>
      <x:c r="B713" s="2" t="str">
        <x:v>13023</x:v>
      </x:c>
      <x:c r="C713" s="2" t="str">
        <x:v>United Kingdom</x:v>
      </x:c>
      <x:c r="D713" s="25" t="n">
        <x:v>40358.20208333333</x:v>
      </x:c>
      <x:c r="E713" s="25" t="n">
        <x:v>40822.47708333333</x:v>
      </x:c>
      <x:c r="F713" s="2" t="n">
        <x:v>65</x:v>
      </x:c>
      <x:c r="G713" s="2" t="n">
        <x:v>3</x:v>
      </x:c>
      <x:c r="H713" s="11" t="n">
        <x:v>1449.03</x:v>
      </x:c>
      <x:c r="I713" s="2" t="n">
        <x:v>3</x:v>
      </x:c>
      <x:c r="J713" s="2" t="n">
        <x:v>3</x:v>
      </x:c>
      <x:c r="K713" s="2" t="n">
        <x:v>4</x:v>
      </x:c>
      <x:c r="L713" s="2" t="str">
        <x:v>Loyal</x:v>
      </x:c>
    </x:row>
    <x:row r="714" ht="22" customHeight="1">
      <x:c r="A714" s="2"/>
      <x:c r="B714" s="2" t="str">
        <x:v>13024</x:v>
      </x:c>
      <x:c r="C714" s="2" t="str">
        <x:v>United Kingdom</x:v>
      </x:c>
      <x:c r="D714" s="25" t="n">
        <x:v>40304.39236111111</x:v>
      </x:c>
      <x:c r="E714" s="25" t="n">
        <x:v>40416.19583333333</x:v>
      </x:c>
      <x:c r="F714" s="2" t="n">
        <x:v>471</x:v>
      </x:c>
      <x:c r="G714" s="2" t="n">
        <x:v>2</x:v>
      </x:c>
      <x:c r="H714" s="11" t="n">
        <x:v>555.87</x:v>
      </x:c>
      <x:c r="I714" s="2" t="n">
        <x:v>1</x:v>
      </x:c>
      <x:c r="J714" s="2" t="n">
        <x:v>2</x:v>
      </x:c>
      <x:c r="K714" s="2" t="n">
        <x:v>2</x:v>
      </x:c>
      <x:c r="L714" s="2" t="str">
        <x:v>Hibernating</x:v>
      </x:c>
    </x:row>
    <x:row r="715" ht="22" customHeight="1">
      <x:c r="A715" s="2"/>
      <x:c r="B715" s="2" t="str">
        <x:v>13025</x:v>
      </x:c>
      <x:c r="C715" s="2" t="str">
        <x:v>United Kingdom</x:v>
      </x:c>
      <x:c r="D715" s="25" t="n">
        <x:v>40155.20972222222</x:v>
      </x:c>
      <x:c r="E715" s="25" t="n">
        <x:v>40155.20972222222</x:v>
      </x:c>
      <x:c r="F715" s="2" t="n">
        <x:v>732</x:v>
      </x:c>
      <x:c r="G715" s="2" t="n">
        <x:v>1</x:v>
      </x:c>
      <x:c r="H715" s="11" t="n">
        <x:v>323.39</x:v>
      </x:c>
      <x:c r="I715" s="2" t="n">
        <x:v>1</x:v>
      </x:c>
      <x:c r="J715" s="2" t="n">
        <x:v>1</x:v>
      </x:c>
      <x:c r="K715" s="2" t="n">
        <x:v>2</x:v>
      </x:c>
      <x:c r="L715" s="2" t="str">
        <x:v>Hibernating</x:v>
      </x:c>
    </x:row>
    <x:row r="716" ht="22" customHeight="1">
      <x:c r="A716" s="2"/>
      <x:c r="B716" s="2" t="str">
        <x:v>13026</x:v>
      </x:c>
      <x:c r="C716" s="2" t="str">
        <x:v>United Kingdom</x:v>
      </x:c>
      <x:c r="D716" s="25" t="n">
        <x:v>40160.27361111111</x:v>
      </x:c>
      <x:c r="E716" s="25" t="n">
        <x:v>40885.498611111114</x:v>
      </x:c>
      <x:c r="F716" s="2" t="n">
        <x:v>2</x:v>
      </x:c>
      <x:c r="G716" s="2" t="n">
        <x:v>9</x:v>
      </x:c>
      <x:c r="H716" s="11" t="n">
        <x:v>1733.08</x:v>
      </x:c>
      <x:c r="I716" s="2" t="n">
        <x:v>5</x:v>
      </x:c>
      <x:c r="J716" s="2" t="n">
        <x:v>5</x:v>
      </x:c>
      <x:c r="K716" s="2" t="n">
        <x:v>4</x:v>
      </x:c>
      <x:c r="L716" s="2" t="str">
        <x:v>Champions</x:v>
      </x:c>
    </x:row>
    <x:row r="717" ht="22" customHeight="1">
      <x:c r="A717" s="2"/>
      <x:c r="B717" s="2" t="str">
        <x:v>13027</x:v>
      </x:c>
      <x:c r="C717" s="2" t="str">
        <x:v>United Kingdom</x:v>
      </x:c>
      <x:c r="D717" s="25" t="n">
        <x:v>40198.236805555556</x:v>
      </x:c>
      <x:c r="E717" s="25" t="n">
        <x:v>40773.19375</x:v>
      </x:c>
      <x:c r="F717" s="2" t="n">
        <x:v>114</x:v>
      </x:c>
      <x:c r="G717" s="2" t="n">
        <x:v>19</x:v>
      </x:c>
      <x:c r="H717" s="11" t="n">
        <x:v>17335.2</x:v>
      </x:c>
      <x:c r="I717" s="2" t="n">
        <x:v>3</x:v>
      </x:c>
      <x:c r="J717" s="2" t="n">
        <x:v>5</x:v>
      </x:c>
      <x:c r="K717" s="2" t="n">
        <x:v>5</x:v>
      </x:c>
      <x:c r="L717" s="2" t="str">
        <x:v>Loyal</x:v>
      </x:c>
    </x:row>
    <x:row r="718" ht="22" customHeight="1">
      <x:c r="A718" s="2"/>
      <x:c r="B718" s="2" t="str">
        <x:v>13028</x:v>
      </x:c>
      <x:c r="C718" s="2" t="str">
        <x:v>United Kingdom</x:v>
      </x:c>
      <x:c r="D718" s="25" t="n">
        <x:v>40841.38125</x:v>
      </x:c>
      <x:c r="E718" s="25" t="n">
        <x:v>40864.256944444445</x:v>
      </x:c>
      <x:c r="F718" s="2" t="n">
        <x:v>23</x:v>
      </x:c>
      <x:c r="G718" s="2" t="n">
        <x:v>2</x:v>
      </x:c>
      <x:c r="H718" s="11" t="n">
        <x:v>661.32</x:v>
      </x:c>
      <x:c r="I718" s="2" t="n">
        <x:v>4</x:v>
      </x:c>
      <x:c r="J718" s="2" t="n">
        <x:v>2</x:v>
      </x:c>
      <x:c r="K718" s="2" t="n">
        <x:v>3</x:v>
      </x:c>
      <x:c r="L718" s="2" t="str">
        <x:v>Recent light buyers</x:v>
      </x:c>
    </x:row>
    <x:row r="719" ht="22" customHeight="1">
      <x:c r="A719" s="2"/>
      <x:c r="B719" s="2" t="str">
        <x:v>13029</x:v>
      </x:c>
      <x:c r="C719" s="2" t="str">
        <x:v>United Kingdom</x:v>
      </x:c>
      <x:c r="D719" s="25" t="n">
        <x:v>40363.365277777775</x:v>
      </x:c>
      <x:c r="E719" s="25" t="n">
        <x:v>40856.17569444444</x:v>
      </x:c>
      <x:c r="F719" s="2" t="n">
        <x:v>31</x:v>
      </x:c>
      <x:c r="G719" s="2" t="n">
        <x:v>5</x:v>
      </x:c>
      <x:c r="H719" s="11" t="n">
        <x:v>1927.3</x:v>
      </x:c>
      <x:c r="I719" s="2" t="n">
        <x:v>4</x:v>
      </x:c>
      <x:c r="J719" s="2" t="n">
        <x:v>4</x:v>
      </x:c>
      <x:c r="K719" s="2" t="n">
        <x:v>4</x:v>
      </x:c>
      <x:c r="L719" s="2" t="str">
        <x:v>Champions</x:v>
      </x:c>
    </x:row>
    <x:row r="720" ht="22" customHeight="1">
      <x:c r="A720" s="2"/>
      <x:c r="B720" s="2" t="str">
        <x:v>13030</x:v>
      </x:c>
      <x:c r="C720" s="2" t="str">
        <x:v>United Kingdom</x:v>
      </x:c>
      <x:c r="D720" s="25" t="n">
        <x:v>40518.396527777775</x:v>
      </x:c>
      <x:c r="E720" s="25" t="n">
        <x:v>40875.395833333336</x:v>
      </x:c>
      <x:c r="F720" s="2" t="n">
        <x:v>12</x:v>
      </x:c>
      <x:c r="G720" s="2" t="n">
        <x:v>2</x:v>
      </x:c>
      <x:c r="H720" s="11" t="n">
        <x:v>799.48</x:v>
      </x:c>
      <x:c r="I720" s="2" t="n">
        <x:v>5</x:v>
      </x:c>
      <x:c r="J720" s="2" t="n">
        <x:v>2</x:v>
      </x:c>
      <x:c r="K720" s="2" t="n">
        <x:v>3</x:v>
      </x:c>
      <x:c r="L720" s="2" t="str">
        <x:v>Recent light buyers</x:v>
      </x:c>
    </x:row>
    <x:row r="721" ht="22" customHeight="1">
      <x:c r="A721" s="2"/>
      <x:c r="B721" s="2" t="str">
        <x:v>13031</x:v>
      </x:c>
      <x:c r="C721" s="2" t="str">
        <x:v>United Kingdom</x:v>
      </x:c>
      <x:c r="D721" s="25" t="n">
        <x:v>40332.41458333333</x:v>
      </x:c>
      <x:c r="E721" s="25" t="n">
        <x:v>40479.44027777778</x:v>
      </x:c>
      <x:c r="F721" s="2" t="n">
        <x:v>408</x:v>
      </x:c>
      <x:c r="G721" s="2" t="n">
        <x:v>5</x:v>
      </x:c>
      <x:c r="H721" s="11" t="n">
        <x:v>3419.27</x:v>
      </x:c>
      <x:c r="I721" s="2" t="n">
        <x:v>2</x:v>
      </x:c>
      <x:c r="J721" s="2" t="n">
        <x:v>4</x:v>
      </x:c>
      <x:c r="K721" s="2" t="n">
        <x:v>5</x:v>
      </x:c>
      <x:c r="L721" s="2" t="str">
        <x:v>At risk</x:v>
      </x:c>
    </x:row>
    <x:row r="722" ht="22" customHeight="1">
      <x:c r="A722" s="2"/>
      <x:c r="B722" s="2" t="str">
        <x:v>13032</x:v>
      </x:c>
      <x:c r="C722" s="2" t="str">
        <x:v>United Kingdom</x:v>
      </x:c>
      <x:c r="D722" s="25" t="n">
        <x:v>40426.37569444445</x:v>
      </x:c>
      <x:c r="E722" s="25" t="n">
        <x:v>40834.45416666667</x:v>
      </x:c>
      <x:c r="F722" s="2" t="n">
        <x:v>53</x:v>
      </x:c>
      <x:c r="G722" s="2" t="n">
        <x:v>9</x:v>
      </x:c>
      <x:c r="H722" s="11" t="n">
        <x:v>2843.55</x:v>
      </x:c>
      <x:c r="I722" s="2" t="n">
        <x:v>4</x:v>
      </x:c>
      <x:c r="J722" s="2" t="n">
        <x:v>5</x:v>
      </x:c>
      <x:c r="K722" s="2" t="n">
        <x:v>4</x:v>
      </x:c>
      <x:c r="L722" s="2" t="str">
        <x:v>Champions</x:v>
      </x:c>
    </x:row>
    <x:row r="723" ht="22" customHeight="1">
      <x:c r="A723" s="2"/>
      <x:c r="B723" s="2" t="str">
        <x:v>13033</x:v>
      </x:c>
      <x:c r="C723" s="2" t="str">
        <x:v>United Kingdom</x:v>
      </x:c>
      <x:c r="D723" s="25" t="n">
        <x:v>40457.19236111111</x:v>
      </x:c>
      <x:c r="E723" s="25" t="n">
        <x:v>40529.39097222222</x:v>
      </x:c>
      <x:c r="F723" s="2" t="n">
        <x:v>358</x:v>
      </x:c>
      <x:c r="G723" s="2" t="n">
        <x:v>2</x:v>
      </x:c>
      <x:c r="H723" s="11" t="n">
        <x:v>220.55</x:v>
      </x:c>
      <x:c r="I723" s="2" t="n">
        <x:v>2</x:v>
      </x:c>
      <x:c r="J723" s="2" t="n">
        <x:v>2</x:v>
      </x:c>
      <x:c r="K723" s="2" t="n">
        <x:v>1</x:v>
      </x:c>
      <x:c r="L723" s="2" t="str">
        <x:v>Hibernating</x:v>
      </x:c>
    </x:row>
    <x:row r="724" ht="22" customHeight="1">
      <x:c r="A724" s="2"/>
      <x:c r="B724" s="2" t="str">
        <x:v>13034</x:v>
      </x:c>
      <x:c r="C724" s="2" t="str">
        <x:v>United Kingdom</x:v>
      </x:c>
      <x:c r="D724" s="25" t="n">
        <x:v>40485.43194444444</x:v>
      </x:c>
      <x:c r="E724" s="25" t="n">
        <x:v>40832.30625</x:v>
      </x:c>
      <x:c r="F724" s="2" t="n">
        <x:v>55</x:v>
      </x:c>
      <x:c r="G724" s="2" t="n">
        <x:v>3</x:v>
      </x:c>
      <x:c r="H724" s="11" t="n">
        <x:v>756.82</x:v>
      </x:c>
      <x:c r="I724" s="2" t="n">
        <x:v>4</x:v>
      </x:c>
      <x:c r="J724" s="2" t="n">
        <x:v>3</x:v>
      </x:c>
      <x:c r="K724" s="2" t="n">
        <x:v>3</x:v>
      </x:c>
      <x:c r="L724" s="2" t="str">
        <x:v>Loyal</x:v>
      </x:c>
    </x:row>
    <x:row r="725" ht="22" customHeight="1">
      <x:c r="A725" s="2"/>
      <x:c r="B725" s="2" t="str">
        <x:v>13035</x:v>
      </x:c>
      <x:c r="C725" s="2" t="str">
        <x:v>United Kingdom</x:v>
      </x:c>
      <x:c r="D725" s="25" t="n">
        <x:v>40455.44513888889</x:v>
      </x:c>
      <x:c r="E725" s="25" t="n">
        <x:v>40813.16458333333</x:v>
      </x:c>
      <x:c r="F725" s="2" t="n">
        <x:v>74</x:v>
      </x:c>
      <x:c r="G725" s="2" t="n">
        <x:v>3</x:v>
      </x:c>
      <x:c r="H725" s="11" t="n">
        <x:v>1364.2</x:v>
      </x:c>
      <x:c r="I725" s="2" t="n">
        <x:v>3</x:v>
      </x:c>
      <x:c r="J725" s="2" t="n">
        <x:v>3</x:v>
      </x:c>
      <x:c r="K725" s="2" t="n">
        <x:v>4</x:v>
      </x:c>
      <x:c r="L725" s="2" t="str">
        <x:v>Loyal</x:v>
      </x:c>
    </x:row>
    <x:row r="726" ht="22" customHeight="1">
      <x:c r="A726" s="2"/>
      <x:c r="B726" s="2" t="str">
        <x:v>13036</x:v>
      </x:c>
      <x:c r="C726" s="2" t="str">
        <x:v>United Kingdom</x:v>
      </x:c>
      <x:c r="D726" s="25" t="n">
        <x:v>40202.274305555555</x:v>
      </x:c>
      <x:c r="E726" s="25" t="n">
        <x:v>40202.274305555555</x:v>
      </x:c>
      <x:c r="F726" s="2" t="n">
        <x:v>685</x:v>
      </x:c>
      <x:c r="G726" s="2" t="n">
        <x:v>1</x:v>
      </x:c>
      <x:c r="H726" s="11" t="n">
        <x:v>307.1</x:v>
      </x:c>
      <x:c r="I726" s="2" t="n">
        <x:v>1</x:v>
      </x:c>
      <x:c r="J726" s="2" t="n">
        <x:v>1</x:v>
      </x:c>
      <x:c r="K726" s="2" t="n">
        <x:v>2</x:v>
      </x:c>
      <x:c r="L726" s="2" t="str">
        <x:v>Hibernating</x:v>
      </x:c>
    </x:row>
    <x:row r="727" ht="22" customHeight="1">
      <x:c r="A727" s="2"/>
      <x:c r="B727" s="2" t="str">
        <x:v>13037</x:v>
      </x:c>
      <x:c r="C727" s="2" t="str">
        <x:v>United Kingdom</x:v>
      </x:c>
      <x:c r="D727" s="25" t="n">
        <x:v>40150.50277777778</x:v>
      </x:c>
      <x:c r="E727" s="25" t="n">
        <x:v>40748.44861111111</x:v>
      </x:c>
      <x:c r="F727" s="2" t="n">
        <x:v>139</x:v>
      </x:c>
      <x:c r="G727" s="2" t="n">
        <x:v>12</x:v>
      </x:c>
      <x:c r="H727" s="11" t="n">
        <x:v>3914.95</x:v>
      </x:c>
      <x:c r="I727" s="2" t="n">
        <x:v>3</x:v>
      </x:c>
      <x:c r="J727" s="2" t="n">
        <x:v>5</x:v>
      </x:c>
      <x:c r="K727" s="2" t="n">
        <x:v>5</x:v>
      </x:c>
      <x:c r="L727" s="2" t="str">
        <x:v>Loyal</x:v>
      </x:c>
    </x:row>
    <x:row r="728" ht="22" customHeight="1">
      <x:c r="A728" s="2"/>
      <x:c r="B728" s="2" t="str">
        <x:v>13038</x:v>
      </x:c>
      <x:c r="C728" s="2" t="str">
        <x:v>United Kingdom</x:v>
      </x:c>
      <x:c r="D728" s="25" t="n">
        <x:v>40596.279861111114</x:v>
      </x:c>
      <x:c r="E728" s="25" t="n">
        <x:v>40806.40069444444</x:v>
      </x:c>
      <x:c r="F728" s="2" t="n">
        <x:v>81</x:v>
      </x:c>
      <x:c r="G728" s="2" t="n">
        <x:v>3</x:v>
      </x:c>
      <x:c r="H728" s="11" t="n">
        <x:v>908.46</x:v>
      </x:c>
      <x:c r="I728" s="2" t="n">
        <x:v>3</x:v>
      </x:c>
      <x:c r="J728" s="2" t="n">
        <x:v>3</x:v>
      </x:c>
      <x:c r="K728" s="2" t="n">
        <x:v>3</x:v>
      </x:c>
      <x:c r="L728" s="2" t="str">
        <x:v>Loyal</x:v>
      </x:c>
    </x:row>
    <x:row r="729" ht="22" customHeight="1">
      <x:c r="A729" s="2"/>
      <x:c r="B729" s="2" t="str">
        <x:v>13039</x:v>
      </x:c>
      <x:c r="C729" s="2" t="str">
        <x:v>United Kingdom</x:v>
      </x:c>
      <x:c r="D729" s="25" t="n">
        <x:v>40164.48819444444</x:v>
      </x:c>
      <x:c r="E729" s="25" t="n">
        <x:v>40302.489583333336</x:v>
      </x:c>
      <x:c r="F729" s="2" t="n">
        <x:v>585</x:v>
      </x:c>
      <x:c r="G729" s="2" t="n">
        <x:v>4</x:v>
      </x:c>
      <x:c r="H729" s="11" t="n">
        <x:v>1010.73</x:v>
      </x:c>
      <x:c r="I729" s="2" t="n">
        <x:v>1</x:v>
      </x:c>
      <x:c r="J729" s="2" t="n">
        <x:v>3</x:v>
      </x:c>
      <x:c r="K729" s="2" t="n">
        <x:v>3</x:v>
      </x:c>
      <x:c r="L729" s="2" t="str">
        <x:v>At risk</x:v>
      </x:c>
    </x:row>
    <x:row r="730" ht="22" customHeight="1">
      <x:c r="A730" s="2"/>
      <x:c r="B730" s="2" t="str">
        <x:v>13040</x:v>
      </x:c>
      <x:c r="C730" s="2" t="str">
        <x:v>United Kingdom</x:v>
      </x:c>
      <x:c r="D730" s="25" t="n">
        <x:v>40853.37013888889</x:v>
      </x:c>
      <x:c r="E730" s="25" t="n">
        <x:v>40878.23472222222</x:v>
      </x:c>
      <x:c r="F730" s="2" t="n">
        <x:v>9</x:v>
      </x:c>
      <x:c r="G730" s="2" t="n">
        <x:v>2</x:v>
      </x:c>
      <x:c r="H730" s="11" t="n">
        <x:v>676.99</x:v>
      </x:c>
      <x:c r="I730" s="2" t="n">
        <x:v>5</x:v>
      </x:c>
      <x:c r="J730" s="2" t="n">
        <x:v>2</x:v>
      </x:c>
      <x:c r="K730" s="2" t="n">
        <x:v>3</x:v>
      </x:c>
      <x:c r="L730" s="2" t="str">
        <x:v>Recent light buyers</x:v>
      </x:c>
    </x:row>
    <x:row r="731" ht="22" customHeight="1">
      <x:c r="A731" s="2"/>
      <x:c r="B731" s="2" t="str">
        <x:v>13041</x:v>
      </x:c>
      <x:c r="C731" s="2" t="str">
        <x:v>United Kingdom</x:v>
      </x:c>
      <x:c r="D731" s="25" t="n">
        <x:v>40297.154861111114</x:v>
      </x:c>
      <x:c r="E731" s="25" t="n">
        <x:v>40436.28055555555</x:v>
      </x:c>
      <x:c r="F731" s="2" t="n">
        <x:v>451</x:v>
      </x:c>
      <x:c r="G731" s="2" t="n">
        <x:v>4</x:v>
      </x:c>
      <x:c r="H731" s="11" t="n">
        <x:v>799.13</x:v>
      </x:c>
      <x:c r="I731" s="2" t="n">
        <x:v>1</x:v>
      </x:c>
      <x:c r="J731" s="2" t="n">
        <x:v>3</x:v>
      </x:c>
      <x:c r="K731" s="2" t="n">
        <x:v>3</x:v>
      </x:c>
      <x:c r="L731" s="2" t="str">
        <x:v>At risk</x:v>
      </x:c>
    </x:row>
    <x:row r="732" ht="22" customHeight="1">
      <x:c r="A732" s="2"/>
      <x:c r="B732" s="2" t="str">
        <x:v>13042</x:v>
      </x:c>
      <x:c r="C732" s="2" t="str">
        <x:v>United Kingdom</x:v>
      </x:c>
      <x:c r="D732" s="25" t="n">
        <x:v>40154.44583333333</x:v>
      </x:c>
      <x:c r="E732" s="25" t="n">
        <x:v>40288.36319444444</x:v>
      </x:c>
      <x:c r="F732" s="2" t="n">
        <x:v>599</x:v>
      </x:c>
      <x:c r="G732" s="2" t="n">
        <x:v>3</x:v>
      </x:c>
      <x:c r="H732" s="11" t="n">
        <x:v>1556.54</x:v>
      </x:c>
      <x:c r="I732" s="2" t="n">
        <x:v>1</x:v>
      </x:c>
      <x:c r="J732" s="2" t="n">
        <x:v>3</x:v>
      </x:c>
      <x:c r="K732" s="2" t="n">
        <x:v>4</x:v>
      </x:c>
      <x:c r="L732" s="2" t="str">
        <x:v>At risk</x:v>
      </x:c>
    </x:row>
    <x:row r="733" ht="22" customHeight="1">
      <x:c r="A733" s="2"/>
      <x:c r="B733" s="2" t="str">
        <x:v>13043</x:v>
      </x:c>
      <x:c r="C733" s="2" t="str">
        <x:v>United Kingdom</x:v>
      </x:c>
      <x:c r="D733" s="25" t="n">
        <x:v>40613.41111111111</x:v>
      </x:c>
      <x:c r="E733" s="25" t="n">
        <x:v>40613.41111111111</x:v>
      </x:c>
      <x:c r="F733" s="2" t="n">
        <x:v>274</x:v>
      </x:c>
      <x:c r="G733" s="2" t="n">
        <x:v>1</x:v>
      </x:c>
      <x:c r="H733" s="11" t="n">
        <x:v>516.42</x:v>
      </x:c>
      <x:c r="I733" s="2" t="n">
        <x:v>2</x:v>
      </x:c>
      <x:c r="J733" s="2" t="n">
        <x:v>1</x:v>
      </x:c>
      <x:c r="K733" s="2" t="n">
        <x:v>2</x:v>
      </x:c>
      <x:c r="L733" s="2" t="str">
        <x:v>Hibernating</x:v>
      </x:c>
    </x:row>
    <x:row r="734" ht="22" customHeight="1">
      <x:c r="A734" s="2"/>
      <x:c r="B734" s="2" t="str">
        <x:v>13044</x:v>
      </x:c>
      <x:c r="C734" s="2" t="str">
        <x:v>United Kingdom</x:v>
      </x:c>
      <x:c r="D734" s="25" t="n">
        <x:v>40186.40694444445</x:v>
      </x:c>
      <x:c r="E734" s="25" t="n">
        <x:v>40595.430555555555</x:v>
      </x:c>
      <x:c r="F734" s="2" t="n">
        <x:v>292</x:v>
      </x:c>
      <x:c r="G734" s="2" t="n">
        <x:v>11</x:v>
      </x:c>
      <x:c r="H734" s="11" t="n">
        <x:v>4853.9</x:v>
      </x:c>
      <x:c r="I734" s="2" t="n">
        <x:v>2</x:v>
      </x:c>
      <x:c r="J734" s="2" t="n">
        <x:v>5</x:v>
      </x:c>
      <x:c r="K734" s="2" t="n">
        <x:v>5</x:v>
      </x:c>
      <x:c r="L734" s="2" t="str">
        <x:v>At risk</x:v>
      </x:c>
    </x:row>
    <x:row r="735" ht="22" customHeight="1">
      <x:c r="A735" s="2"/>
      <x:c r="B735" s="2" t="str">
        <x:v>13045</x:v>
      </x:c>
      <x:c r="C735" s="2" t="str">
        <x:v>United Kingdom</x:v>
      </x:c>
      <x:c r="D735" s="25" t="n">
        <x:v>40400.33472222222</x:v>
      </x:c>
      <x:c r="E735" s="25" t="n">
        <x:v>40787.419444444444</x:v>
      </x:c>
      <x:c r="F735" s="2" t="n">
        <x:v>100</x:v>
      </x:c>
      <x:c r="G735" s="2" t="n">
        <x:v>3</x:v>
      </x:c>
      <x:c r="H735" s="11" t="n">
        <x:v>808.92</x:v>
      </x:c>
      <x:c r="I735" s="2" t="n">
        <x:v>3</x:v>
      </x:c>
      <x:c r="J735" s="2" t="n">
        <x:v>3</x:v>
      </x:c>
      <x:c r="K735" s="2" t="n">
        <x:v>3</x:v>
      </x:c>
      <x:c r="L735" s="2" t="str">
        <x:v>Loyal</x:v>
      </x:c>
    </x:row>
    <x:row r="736" ht="22" customHeight="1">
      <x:c r="A736" s="2"/>
      <x:c r="B736" s="2" t="str">
        <x:v>13046</x:v>
      </x:c>
      <x:c r="C736" s="2" t="str">
        <x:v>United Kingdom</x:v>
      </x:c>
      <x:c r="D736" s="25" t="n">
        <x:v>40430.339583333334</x:v>
      </x:c>
      <x:c r="E736" s="25" t="n">
        <x:v>40856.15</x:v>
      </x:c>
      <x:c r="F736" s="2" t="n">
        <x:v>31</x:v>
      </x:c>
      <x:c r="G736" s="2" t="n">
        <x:v>3</x:v>
      </x:c>
      <x:c r="H736" s="11" t="n">
        <x:v>949.25</x:v>
      </x:c>
      <x:c r="I736" s="2" t="n">
        <x:v>4</x:v>
      </x:c>
      <x:c r="J736" s="2" t="n">
        <x:v>3</x:v>
      </x:c>
      <x:c r="K736" s="2" t="n">
        <x:v>3</x:v>
      </x:c>
      <x:c r="L736" s="2" t="str">
        <x:v>Loyal</x:v>
      </x:c>
    </x:row>
    <x:row r="737" ht="22" customHeight="1">
      <x:c r="A737" s="2"/>
      <x:c r="B737" s="2" t="str">
        <x:v>13047</x:v>
      </x:c>
      <x:c r="C737" s="2" t="str">
        <x:v>United Kingdom</x:v>
      </x:c>
      <x:c r="D737" s="25" t="n">
        <x:v>40163.279861111114</x:v>
      </x:c>
      <x:c r="E737" s="25" t="n">
        <x:v>40855.29583333333</x:v>
      </x:c>
      <x:c r="F737" s="2" t="n">
        <x:v>32</x:v>
      </x:c>
      <x:c r="G737" s="2" t="n">
        <x:v>24</x:v>
      </x:c>
      <x:c r="H737" s="11" t="n">
        <x:v>8428.53</x:v>
      </x:c>
      <x:c r="I737" s="2" t="n">
        <x:v>4</x:v>
      </x:c>
      <x:c r="J737" s="2" t="n">
        <x:v>5</x:v>
      </x:c>
      <x:c r="K737" s="2" t="n">
        <x:v>5</x:v>
      </x:c>
      <x:c r="L737" s="2" t="str">
        <x:v>Champions</x:v>
      </x:c>
    </x:row>
    <x:row r="738" ht="22" customHeight="1">
      <x:c r="A738" s="2"/>
      <x:c r="B738" s="2" t="str">
        <x:v>13048</x:v>
      </x:c>
      <x:c r="C738" s="2" t="str">
        <x:v>United Kingdom</x:v>
      </x:c>
      <x:c r="D738" s="25" t="n">
        <x:v>40205.32986111111</x:v>
      </x:c>
      <x:c r="E738" s="25" t="n">
        <x:v>40872.34930555556</x:v>
      </x:c>
      <x:c r="F738" s="2" t="n">
        <x:v>15</x:v>
      </x:c>
      <x:c r="G738" s="2" t="n">
        <x:v>9</x:v>
      </x:c>
      <x:c r="H738" s="11" t="n">
        <x:v>4084.21</x:v>
      </x:c>
      <x:c r="I738" s="2" t="n">
        <x:v>5</x:v>
      </x:c>
      <x:c r="J738" s="2" t="n">
        <x:v>5</x:v>
      </x:c>
      <x:c r="K738" s="2" t="n">
        <x:v>5</x:v>
      </x:c>
      <x:c r="L738" s="2" t="str">
        <x:v>Champions</x:v>
      </x:c>
    </x:row>
    <x:row r="739" ht="22" customHeight="1">
      <x:c r="A739" s="2"/>
      <x:c r="B739" s="2" t="str">
        <x:v>13049</x:v>
      </x:c>
      <x:c r="C739" s="2" t="str">
        <x:v>United Kingdom</x:v>
      </x:c>
      <x:c r="D739" s="25" t="n">
        <x:v>40485.44375</x:v>
      </x:c>
      <x:c r="E739" s="25" t="n">
        <x:v>40822.43819444445</x:v>
      </x:c>
      <x:c r="F739" s="2" t="n">
        <x:v>65</x:v>
      </x:c>
      <x:c r="G739" s="2" t="n">
        <x:v>4</x:v>
      </x:c>
      <x:c r="H739" s="11" t="n">
        <x:v>1408.24</x:v>
      </x:c>
      <x:c r="I739" s="2" t="n">
        <x:v>3</x:v>
      </x:c>
      <x:c r="J739" s="2" t="n">
        <x:v>3</x:v>
      </x:c>
      <x:c r="K739" s="2" t="n">
        <x:v>4</x:v>
      </x:c>
      <x:c r="L739" s="2" t="str">
        <x:v>Loyal</x:v>
      </x:c>
    </x:row>
    <x:row r="740" ht="22" customHeight="1">
      <x:c r="A740" s="2"/>
      <x:c r="B740" s="2" t="str">
        <x:v>13050</x:v>
      </x:c>
      <x:c r="C740" s="2" t="str">
        <x:v>United Kingdom</x:v>
      </x:c>
      <x:c r="D740" s="25" t="n">
        <x:v>40162.42083333333</x:v>
      </x:c>
      <x:c r="E740" s="25" t="n">
        <x:v>40872.17916666667</x:v>
      </x:c>
      <x:c r="F740" s="2" t="n">
        <x:v>15</x:v>
      </x:c>
      <x:c r="G740" s="2" t="n">
        <x:v>35</x:v>
      </x:c>
      <x:c r="H740" s="11" t="n">
        <x:v>12016.52</x:v>
      </x:c>
      <x:c r="I740" s="2" t="n">
        <x:v>5</x:v>
      </x:c>
      <x:c r="J740" s="2" t="n">
        <x:v>5</x:v>
      </x:c>
      <x:c r="K740" s="2" t="n">
        <x:v>5</x:v>
      </x:c>
      <x:c r="L740" s="2" t="str">
        <x:v>Champions</x:v>
      </x:c>
    </x:row>
    <x:row r="741" ht="22" customHeight="1">
      <x:c r="A741" s="2"/>
      <x:c r="B741" s="2" t="str">
        <x:v>13051</x:v>
      </x:c>
      <x:c r="C741" s="2" t="str">
        <x:v>United Kingdom</x:v>
      </x:c>
      <x:c r="D741" s="25" t="n">
        <x:v>40267.25763888889</x:v>
      </x:c>
      <x:c r="E741" s="25" t="n">
        <x:v>40308.17638888889</x:v>
      </x:c>
      <x:c r="F741" s="2" t="n">
        <x:v>579</x:v>
      </x:c>
      <x:c r="G741" s="2" t="n">
        <x:v>2</x:v>
      </x:c>
      <x:c r="H741" s="11" t="n">
        <x:v>155.8</x:v>
      </x:c>
      <x:c r="I741" s="2" t="n">
        <x:v>1</x:v>
      </x:c>
      <x:c r="J741" s="2" t="n">
        <x:v>2</x:v>
      </x:c>
      <x:c r="K741" s="2" t="n">
        <x:v>1</x:v>
      </x:c>
      <x:c r="L741" s="2" t="str">
        <x:v>Hibernating</x:v>
      </x:c>
    </x:row>
    <x:row r="742" ht="22" customHeight="1">
      <x:c r="A742" s="2"/>
      <x:c r="B742" s="2" t="str">
        <x:v>13052</x:v>
      </x:c>
      <x:c r="C742" s="2" t="str">
        <x:v>United Kingdom</x:v>
      </x:c>
      <x:c r="D742" s="25" t="n">
        <x:v>40232.31319444445</x:v>
      </x:c>
      <x:c r="E742" s="25" t="n">
        <x:v>40674.38333333333</x:v>
      </x:c>
      <x:c r="F742" s="2" t="n">
        <x:v>213</x:v>
      </x:c>
      <x:c r="G742" s="2" t="n">
        <x:v>7</x:v>
      </x:c>
      <x:c r="H742" s="11" t="n">
        <x:v>3168.53</x:v>
      </x:c>
      <x:c r="I742" s="2" t="n">
        <x:v>2</x:v>
      </x:c>
      <x:c r="J742" s="2" t="n">
        <x:v>4</x:v>
      </x:c>
      <x:c r="K742" s="2" t="n">
        <x:v>5</x:v>
      </x:c>
      <x:c r="L742" s="2" t="str">
        <x:v>At risk</x:v>
      </x:c>
    </x:row>
    <x:row r="743" ht="22" customHeight="1">
      <x:c r="A743" s="2"/>
      <x:c r="B743" s="2" t="str">
        <x:v>13053</x:v>
      </x:c>
      <x:c r="C743" s="2" t="str">
        <x:v>United Kingdom</x:v>
      </x:c>
      <x:c r="D743" s="25" t="n">
        <x:v>40265.26944444444</x:v>
      </x:c>
      <x:c r="E743" s="25" t="n">
        <x:v>40265.26944444444</x:v>
      </x:c>
      <x:c r="F743" s="2" t="n">
        <x:v>622</x:v>
      </x:c>
      <x:c r="G743" s="2" t="n">
        <x:v>1</x:v>
      </x:c>
      <x:c r="H743" s="11" t="n">
        <x:v>127.65</x:v>
      </x:c>
      <x:c r="I743" s="2" t="n">
        <x:v>1</x:v>
      </x:c>
      <x:c r="J743" s="2" t="n">
        <x:v>1</x:v>
      </x:c>
      <x:c r="K743" s="2" t="n">
        <x:v>1</x:v>
      </x:c>
      <x:c r="L743" s="2" t="str">
        <x:v>Hibernating</x:v>
      </x:c>
    </x:row>
    <x:row r="744" ht="22" customHeight="1">
      <x:c r="A744" s="2"/>
      <x:c r="B744" s="2" t="str">
        <x:v>13055</x:v>
      </x:c>
      <x:c r="C744" s="2" t="str">
        <x:v>United Kingdom</x:v>
      </x:c>
      <x:c r="D744" s="25" t="n">
        <x:v>40457.13680555556</x:v>
      </x:c>
      <x:c r="E744" s="25" t="n">
        <x:v>40808.393055555556</x:v>
      </x:c>
      <x:c r="F744" s="2" t="n">
        <x:v>79</x:v>
      </x:c>
      <x:c r="G744" s="2" t="n">
        <x:v>4</x:v>
      </x:c>
      <x:c r="H744" s="11" t="n">
        <x:v>2321.11</x:v>
      </x:c>
      <x:c r="I744" s="2" t="n">
        <x:v>3</x:v>
      </x:c>
      <x:c r="J744" s="2" t="n">
        <x:v>3</x:v>
      </x:c>
      <x:c r="K744" s="2" t="n">
        <x:v>4</x:v>
      </x:c>
      <x:c r="L744" s="2" t="str">
        <x:v>Loyal</x:v>
      </x:c>
    </x:row>
    <x:row r="745" ht="22" customHeight="1">
      <x:c r="A745" s="2"/>
      <x:c r="B745" s="2" t="str">
        <x:v>13056</x:v>
      </x:c>
      <x:c r="C745" s="2" t="str">
        <x:v>United Kingdom</x:v>
      </x:c>
      <x:c r="D745" s="25" t="n">
        <x:v>40335.381944444445</x:v>
      </x:c>
      <x:c r="E745" s="25" t="n">
        <x:v>40335.381944444445</x:v>
      </x:c>
      <x:c r="F745" s="2" t="n">
        <x:v>552</x:v>
      </x:c>
      <x:c r="G745" s="2" t="n">
        <x:v>1</x:v>
      </x:c>
      <x:c r="H745" s="11" t="n">
        <x:v>209.48</x:v>
      </x:c>
      <x:c r="I745" s="2" t="n">
        <x:v>1</x:v>
      </x:c>
      <x:c r="J745" s="2" t="n">
        <x:v>1</x:v>
      </x:c>
      <x:c r="K745" s="2" t="n">
        <x:v>1</x:v>
      </x:c>
      <x:c r="L745" s="2" t="str">
        <x:v>Hibernating</x:v>
      </x:c>
    </x:row>
    <x:row r="746" ht="22" customHeight="1">
      <x:c r="A746" s="2"/>
      <x:c r="B746" s="2" t="str">
        <x:v>13057</x:v>
      </x:c>
      <x:c r="C746" s="2" t="str">
        <x:v>United Kingdom</x:v>
      </x:c>
      <x:c r="D746" s="25" t="n">
        <x:v>40255.30138888889</x:v>
      </x:c>
      <x:c r="E746" s="25" t="n">
        <x:v>40356.447222222225</x:v>
      </x:c>
      <x:c r="F746" s="2" t="n">
        <x:v>531</x:v>
      </x:c>
      <x:c r="G746" s="2" t="n">
        <x:v>3</x:v>
      </x:c>
      <x:c r="H746" s="11" t="n">
        <x:v>722.09</x:v>
      </x:c>
      <x:c r="I746" s="2" t="n">
        <x:v>1</x:v>
      </x:c>
      <x:c r="J746" s="2" t="n">
        <x:v>3</x:v>
      </x:c>
      <x:c r="K746" s="2" t="n">
        <x:v>3</x:v>
      </x:c>
      <x:c r="L746" s="2" t="str">
        <x:v>At risk</x:v>
      </x:c>
    </x:row>
    <x:row r="747" ht="22" customHeight="1">
      <x:c r="A747" s="2"/>
      <x:c r="B747" s="2" t="str">
        <x:v>13058</x:v>
      </x:c>
      <x:c r="C747" s="2" t="str">
        <x:v>United Kingdom</x:v>
      </x:c>
      <x:c r="D747" s="25" t="n">
        <x:v>40735.29236111111</x:v>
      </x:c>
      <x:c r="E747" s="25" t="n">
        <x:v>40862.32152777778</x:v>
      </x:c>
      <x:c r="F747" s="2" t="n">
        <x:v>25</x:v>
      </x:c>
      <x:c r="G747" s="2" t="n">
        <x:v>3</x:v>
      </x:c>
      <x:c r="H747" s="11" t="n">
        <x:v>271.4</x:v>
      </x:c>
      <x:c r="I747" s="2" t="n">
        <x:v>4</x:v>
      </x:c>
      <x:c r="J747" s="2" t="n">
        <x:v>3</x:v>
      </x:c>
      <x:c r="K747" s="2" t="n">
        <x:v>1</x:v>
      </x:c>
      <x:c r="L747" s="2" t="str">
        <x:v>Loyal</x:v>
      </x:c>
    </x:row>
    <x:row r="748" ht="22" customHeight="1">
      <x:c r="A748" s="2"/>
      <x:c r="B748" s="2" t="str">
        <x:v>13059</x:v>
      </x:c>
      <x:c r="C748" s="2" t="str">
        <x:v>United Kingdom</x:v>
      </x:c>
      <x:c r="D748" s="25" t="n">
        <x:v>40268.30763888889</x:v>
      </x:c>
      <x:c r="E748" s="25" t="n">
        <x:v>40637.23611111111</x:v>
      </x:c>
      <x:c r="F748" s="2" t="n">
        <x:v>250</x:v>
      </x:c>
      <x:c r="G748" s="2" t="n">
        <x:v>10</x:v>
      </x:c>
      <x:c r="H748" s="11" t="n">
        <x:v>2303.17</x:v>
      </x:c>
      <x:c r="I748" s="2" t="n">
        <x:v>2</x:v>
      </x:c>
      <x:c r="J748" s="2" t="n">
        <x:v>5</x:v>
      </x:c>
      <x:c r="K748" s="2" t="n">
        <x:v>4</x:v>
      </x:c>
      <x:c r="L748" s="2" t="str">
        <x:v>At risk</x:v>
      </x:c>
    </x:row>
    <x:row r="749" ht="22" customHeight="1">
      <x:c r="A749" s="2"/>
      <x:c r="B749" s="2" t="str">
        <x:v>13060</x:v>
      </x:c>
      <x:c r="C749" s="2" t="str">
        <x:v>United Kingdom</x:v>
      </x:c>
      <x:c r="D749" s="25" t="n">
        <x:v>40633.27569444444</x:v>
      </x:c>
      <x:c r="E749" s="25" t="n">
        <x:v>40633.27569444444</x:v>
      </x:c>
      <x:c r="F749" s="2" t="n">
        <x:v>254</x:v>
      </x:c>
      <x:c r="G749" s="2" t="n">
        <x:v>1</x:v>
      </x:c>
      <x:c r="H749" s="11" t="n">
        <x:v>307.53</x:v>
      </x:c>
      <x:c r="I749" s="2" t="n">
        <x:v>2</x:v>
      </x:c>
      <x:c r="J749" s="2" t="n">
        <x:v>1</x:v>
      </x:c>
      <x:c r="K749" s="2" t="n">
        <x:v>2</x:v>
      </x:c>
      <x:c r="L749" s="2" t="str">
        <x:v>Hibernating</x:v>
      </x:c>
    </x:row>
    <x:row r="750" ht="22" customHeight="1">
      <x:c r="A750" s="2"/>
      <x:c r="B750" s="2" t="str">
        <x:v>13061</x:v>
      </x:c>
      <x:c r="C750" s="2" t="str">
        <x:v>United Kingdom</x:v>
      </x:c>
      <x:c r="D750" s="25" t="n">
        <x:v>40814.46111111111</x:v>
      </x:c>
      <x:c r="E750" s="25" t="n">
        <x:v>40814.46111111111</x:v>
      </x:c>
      <x:c r="F750" s="2" t="n">
        <x:v>73</x:v>
      </x:c>
      <x:c r="G750" s="2" t="n">
        <x:v>1</x:v>
      </x:c>
      <x:c r="H750" s="11" t="n">
        <x:v>248.61</x:v>
      </x:c>
      <x:c r="I750" s="2" t="n">
        <x:v>3</x:v>
      </x:c>
      <x:c r="J750" s="2" t="n">
        <x:v>1</x:v>
      </x:c>
      <x:c r="K750" s="2" t="n">
        <x:v>1</x:v>
      </x:c>
      <x:c r="L750" s="2" t="str">
        <x:v>Developing</x:v>
      </x:c>
    </x:row>
    <x:row r="751" ht="22" customHeight="1">
      <x:c r="A751" s="2"/>
      <x:c r="B751" s="2" t="str">
        <x:v>13062</x:v>
      </x:c>
      <x:c r="C751" s="2" t="str">
        <x:v>United Kingdom</x:v>
      </x:c>
      <x:c r="D751" s="25" t="n">
        <x:v>40695.425</x:v>
      </x:c>
      <x:c r="E751" s="25" t="n">
        <x:v>40695.425</x:v>
      </x:c>
      <x:c r="F751" s="2" t="n">
        <x:v>192</x:v>
      </x:c>
      <x:c r="G751" s="2" t="n">
        <x:v>1</x:v>
      </x:c>
      <x:c r="H751" s="11" t="n">
        <x:v>346.98</x:v>
      </x:c>
      <x:c r="I751" s="2" t="n">
        <x:v>2</x:v>
      </x:c>
      <x:c r="J751" s="2" t="n">
        <x:v>1</x:v>
      </x:c>
      <x:c r="K751" s="2" t="n">
        <x:v>2</x:v>
      </x:c>
      <x:c r="L751" s="2" t="str">
        <x:v>Hibernating</x:v>
      </x:c>
    </x:row>
    <x:row r="752" ht="22" customHeight="1">
      <x:c r="A752" s="2"/>
      <x:c r="B752" s="2" t="str">
        <x:v>13063</x:v>
      </x:c>
      <x:c r="C752" s="2" t="str">
        <x:v>United Kingdom</x:v>
      </x:c>
      <x:c r="D752" s="25" t="n">
        <x:v>40406.31041666667</x:v>
      </x:c>
      <x:c r="E752" s="25" t="n">
        <x:v>40406.31041666667</x:v>
      </x:c>
      <x:c r="F752" s="2" t="n">
        <x:v>481</x:v>
      </x:c>
      <x:c r="G752" s="2" t="n">
        <x:v>1</x:v>
      </x:c>
      <x:c r="H752" s="11" t="n">
        <x:v>188.4</x:v>
      </x:c>
      <x:c r="I752" s="2" t="n">
        <x:v>1</x:v>
      </x:c>
      <x:c r="J752" s="2" t="n">
        <x:v>1</x:v>
      </x:c>
      <x:c r="K752" s="2" t="n">
        <x:v>1</x:v>
      </x:c>
      <x:c r="L752" s="2" t="str">
        <x:v>Hibernating</x:v>
      </x:c>
    </x:row>
    <x:row r="753" ht="22" customHeight="1">
      <x:c r="A753" s="2"/>
      <x:c r="B753" s="2" t="str">
        <x:v>13064</x:v>
      </x:c>
      <x:c r="C753" s="2" t="str">
        <x:v>United Kingdom</x:v>
      </x:c>
      <x:c r="D753" s="25" t="n">
        <x:v>40295.21388888889</x:v>
      </x:c>
      <x:c r="E753" s="25" t="n">
        <x:v>40874.31319444445</x:v>
      </x:c>
      <x:c r="F753" s="2" t="n">
        <x:v>13</x:v>
      </x:c>
      <x:c r="G753" s="2" t="n">
        <x:v>6</x:v>
      </x:c>
      <x:c r="H753" s="11" t="n">
        <x:v>1680.74</x:v>
      </x:c>
      <x:c r="I753" s="2" t="n">
        <x:v>5</x:v>
      </x:c>
      <x:c r="J753" s="2" t="n">
        <x:v>4</x:v>
      </x:c>
      <x:c r="K753" s="2" t="n">
        <x:v>4</x:v>
      </x:c>
      <x:c r="L753" s="2" t="str">
        <x:v>Champions</x:v>
      </x:c>
    </x:row>
    <x:row r="754" ht="22" customHeight="1">
      <x:c r="A754" s="2"/>
      <x:c r="B754" s="2" t="str">
        <x:v>13065</x:v>
      </x:c>
      <x:c r="C754" s="2" t="str">
        <x:v>United Kingdom</x:v>
      </x:c>
      <x:c r="D754" s="25" t="n">
        <x:v>40339.28055555555</x:v>
      </x:c>
      <x:c r="E754" s="25" t="n">
        <x:v>40513.49444444444</x:v>
      </x:c>
      <x:c r="F754" s="2" t="n">
        <x:v>374</x:v>
      </x:c>
      <x:c r="G754" s="2" t="n">
        <x:v>5</x:v>
      </x:c>
      <x:c r="H754" s="11" t="n">
        <x:v>1055.05</x:v>
      </x:c>
      <x:c r="I754" s="2" t="n">
        <x:v>2</x:v>
      </x:c>
      <x:c r="J754" s="2" t="n">
        <x:v>4</x:v>
      </x:c>
      <x:c r="K754" s="2" t="n">
        <x:v>3</x:v>
      </x:c>
      <x:c r="L754" s="2" t="str">
        <x:v>At risk</x:v>
      </x:c>
    </x:row>
    <x:row r="755" ht="22" customHeight="1">
      <x:c r="A755" s="2"/>
      <x:c r="B755" s="2" t="str">
        <x:v>13066</x:v>
      </x:c>
      <x:c r="C755" s="2" t="str">
        <x:v>United Kingdom</x:v>
      </x:c>
      <x:c r="D755" s="25" t="n">
        <x:v>40854.504166666666</x:v>
      </x:c>
      <x:c r="E755" s="25" t="n">
        <x:v>40862.33125</x:v>
      </x:c>
      <x:c r="F755" s="2" t="n">
        <x:v>25</x:v>
      </x:c>
      <x:c r="G755" s="2" t="n">
        <x:v>2</x:v>
      </x:c>
      <x:c r="H755" s="11" t="n">
        <x:v>470.8</x:v>
      </x:c>
      <x:c r="I755" s="2" t="n">
        <x:v>4</x:v>
      </x:c>
      <x:c r="J755" s="2" t="n">
        <x:v>2</x:v>
      </x:c>
      <x:c r="K755" s="2" t="n">
        <x:v>2</x:v>
      </x:c>
      <x:c r="L755" s="2" t="str">
        <x:v>Recent light buyers</x:v>
      </x:c>
    </x:row>
    <x:row r="756" ht="22" customHeight="1">
      <x:c r="A756" s="2"/>
      <x:c r="B756" s="2" t="str">
        <x:v>13067</x:v>
      </x:c>
      <x:c r="C756" s="2" t="str">
        <x:v>United Kingdom</x:v>
      </x:c>
      <x:c r="D756" s="25" t="n">
        <x:v>40440.36319444444</x:v>
      </x:c>
      <x:c r="E756" s="25" t="n">
        <x:v>40804.35972222222</x:v>
      </x:c>
      <x:c r="F756" s="2" t="n">
        <x:v>83</x:v>
      </x:c>
      <x:c r="G756" s="2" t="n">
        <x:v>3</x:v>
      </x:c>
      <x:c r="H756" s="11" t="n">
        <x:v>508.51</x:v>
      </x:c>
      <x:c r="I756" s="2" t="n">
        <x:v>3</x:v>
      </x:c>
      <x:c r="J756" s="2" t="n">
        <x:v>3</x:v>
      </x:c>
      <x:c r="K756" s="2" t="n">
        <x:v>2</x:v>
      </x:c>
      <x:c r="L756" s="2" t="str">
        <x:v>Loyal</x:v>
      </x:c>
    </x:row>
    <x:row r="757" ht="22" customHeight="1">
      <x:c r="A757" s="2"/>
      <x:c r="B757" s="2" t="str">
        <x:v>13068</x:v>
      </x:c>
      <x:c r="C757" s="2" t="str">
        <x:v>United Kingdom</x:v>
      </x:c>
      <x:c r="D757" s="25" t="n">
        <x:v>40567.13888888889</x:v>
      </x:c>
      <x:c r="E757" s="25" t="n">
        <x:v>40876.416666666664</x:v>
      </x:c>
      <x:c r="F757" s="2" t="n">
        <x:v>11</x:v>
      </x:c>
      <x:c r="G757" s="2" t="n">
        <x:v>2</x:v>
      </x:c>
      <x:c r="H757" s="11" t="n">
        <x:v>344</x:v>
      </x:c>
      <x:c r="I757" s="2" t="n">
        <x:v>5</x:v>
      </x:c>
      <x:c r="J757" s="2" t="n">
        <x:v>2</x:v>
      </x:c>
      <x:c r="K757" s="2" t="n">
        <x:v>2</x:v>
      </x:c>
      <x:c r="L757" s="2" t="str">
        <x:v>Recent light buyers</x:v>
      </x:c>
    </x:row>
    <x:row r="758" ht="22" customHeight="1">
      <x:c r="A758" s="2"/>
      <x:c r="B758" s="2" t="str">
        <x:v>13069</x:v>
      </x:c>
      <x:c r="C758" s="2" t="str">
        <x:v>United Kingdom</x:v>
      </x:c>
      <x:c r="D758" s="25" t="n">
        <x:v>40343.39375</x:v>
      </x:c>
      <x:c r="E758" s="25" t="n">
        <x:v>40886.152083333334</x:v>
      </x:c>
      <x:c r="F758" s="2" t="n">
        <x:v>1</x:v>
      </x:c>
      <x:c r="G758" s="2" t="n">
        <x:v>38</x:v>
      </x:c>
      <x:c r="H758" s="11" t="n">
        <x:v>9350.63</x:v>
      </x:c>
      <x:c r="I758" s="2" t="n">
        <x:v>5</x:v>
      </x:c>
      <x:c r="J758" s="2" t="n">
        <x:v>5</x:v>
      </x:c>
      <x:c r="K758" s="2" t="n">
        <x:v>5</x:v>
      </x:c>
      <x:c r="L758" s="2" t="str">
        <x:v>Champions</x:v>
      </x:c>
    </x:row>
    <x:row r="759" ht="22" customHeight="1">
      <x:c r="A759" s="2"/>
      <x:c r="B759" s="2" t="str">
        <x:v>13070</x:v>
      </x:c>
      <x:c r="C759" s="2" t="str">
        <x:v>United Kingdom</x:v>
      </x:c>
      <x:c r="D759" s="25" t="n">
        <x:v>40154.40555555555</x:v>
      </x:c>
      <x:c r="E759" s="25" t="n">
        <x:v>40694.364583333336</x:v>
      </x:c>
      <x:c r="F759" s="2" t="n">
        <x:v>193</x:v>
      </x:c>
      <x:c r="G759" s="2" t="n">
        <x:v>4</x:v>
      </x:c>
      <x:c r="H759" s="11" t="n">
        <x:v>751.7</x:v>
      </x:c>
      <x:c r="I759" s="2" t="n">
        <x:v>2</x:v>
      </x:c>
      <x:c r="J759" s="2" t="n">
        <x:v>3</x:v>
      </x:c>
      <x:c r="K759" s="2" t="n">
        <x:v>3</x:v>
      </x:c>
      <x:c r="L759" s="2" t="str">
        <x:v>At risk</x:v>
      </x:c>
    </x:row>
    <x:row r="760" ht="22" customHeight="1">
      <x:c r="A760" s="2"/>
      <x:c r="B760" s="2" t="str">
        <x:v>13071</x:v>
      </x:c>
      <x:c r="C760" s="2" t="str">
        <x:v>United Kingdom</x:v>
      </x:c>
      <x:c r="D760" s="25" t="n">
        <x:v>40274.35902777778</x:v>
      </x:c>
      <x:c r="E760" s="25" t="n">
        <x:v>40274.35902777778</x:v>
      </x:c>
      <x:c r="F760" s="2" t="n">
        <x:v>613</x:v>
      </x:c>
      <x:c r="G760" s="2" t="n">
        <x:v>1</x:v>
      </x:c>
      <x:c r="H760" s="11" t="n">
        <x:v>129.22</x:v>
      </x:c>
      <x:c r="I760" s="2" t="n">
        <x:v>1</x:v>
      </x:c>
      <x:c r="J760" s="2" t="n">
        <x:v>1</x:v>
      </x:c>
      <x:c r="K760" s="2" t="n">
        <x:v>1</x:v>
      </x:c>
      <x:c r="L760" s="2" t="str">
        <x:v>Hibernating</x:v>
      </x:c>
    </x:row>
    <x:row r="761" ht="22" customHeight="1">
      <x:c r="A761" s="2"/>
      <x:c r="B761" s="2" t="str">
        <x:v>13072</x:v>
      </x:c>
      <x:c r="C761" s="2" t="str">
        <x:v>United Kingdom</x:v>
      </x:c>
      <x:c r="D761" s="25" t="n">
        <x:v>40620.13333333333</x:v>
      </x:c>
      <x:c r="E761" s="25" t="n">
        <x:v>40620.13333333333</x:v>
      </x:c>
      <x:c r="F761" s="2" t="n">
        <x:v>267</x:v>
      </x:c>
      <x:c r="G761" s="2" t="n">
        <x:v>1</x:v>
      </x:c>
      <x:c r="H761" s="11" t="n">
        <x:v>177.15</x:v>
      </x:c>
      <x:c r="I761" s="2" t="n">
        <x:v>2</x:v>
      </x:c>
      <x:c r="J761" s="2" t="n">
        <x:v>1</x:v>
      </x:c>
      <x:c r="K761" s="2" t="n">
        <x:v>1</x:v>
      </x:c>
      <x:c r="L761" s="2" t="str">
        <x:v>Hibernating</x:v>
      </x:c>
    </x:row>
    <x:row r="762" ht="22" customHeight="1">
      <x:c r="A762" s="2"/>
      <x:c r="B762" s="2" t="str">
        <x:v>13073</x:v>
      </x:c>
      <x:c r="C762" s="2" t="str">
        <x:v>United Kingdom</x:v>
      </x:c>
      <x:c r="D762" s="25" t="n">
        <x:v>40449.18541666667</x:v>
      </x:c>
      <x:c r="E762" s="25" t="n">
        <x:v>40475.379166666666</x:v>
      </x:c>
      <x:c r="F762" s="2" t="n">
        <x:v>412</x:v>
      </x:c>
      <x:c r="G762" s="2" t="n">
        <x:v>2</x:v>
      </x:c>
      <x:c r="H762" s="11" t="n">
        <x:v>418.08</x:v>
      </x:c>
      <x:c r="I762" s="2" t="n">
        <x:v>1</x:v>
      </x:c>
      <x:c r="J762" s="2" t="n">
        <x:v>2</x:v>
      </x:c>
      <x:c r="K762" s="2" t="n">
        <x:v>2</x:v>
      </x:c>
      <x:c r="L762" s="2" t="str">
        <x:v>Hibernating</x:v>
      </x:c>
    </x:row>
    <x:row r="763" ht="22" customHeight="1">
      <x:c r="A763" s="2"/>
      <x:c r="B763" s="2" t="str">
        <x:v>13074</x:v>
      </x:c>
      <x:c r="C763" s="2" t="str">
        <x:v>United Kingdom</x:v>
      </x:c>
      <x:c r="D763" s="25" t="n">
        <x:v>40163.28194444445</x:v>
      </x:c>
      <x:c r="E763" s="25" t="n">
        <x:v>40375.49513888889</x:v>
      </x:c>
      <x:c r="F763" s="2" t="n">
        <x:v>512</x:v>
      </x:c>
      <x:c r="G763" s="2" t="n">
        <x:v>4</x:v>
      </x:c>
      <x:c r="H763" s="11" t="n">
        <x:v>1378.74</x:v>
      </x:c>
      <x:c r="I763" s="2" t="n">
        <x:v>1</x:v>
      </x:c>
      <x:c r="J763" s="2" t="n">
        <x:v>3</x:v>
      </x:c>
      <x:c r="K763" s="2" t="n">
        <x:v>4</x:v>
      </x:c>
      <x:c r="L763" s="2" t="str">
        <x:v>At risk</x:v>
      </x:c>
    </x:row>
    <x:row r="764" ht="22" customHeight="1">
      <x:c r="A764" s="2"/>
      <x:c r="B764" s="2" t="str">
        <x:v>13075</x:v>
      </x:c>
      <x:c r="C764" s="2" t="str">
        <x:v>United Kingdom</x:v>
      </x:c>
      <x:c r="D764" s="25" t="n">
        <x:v>40757.22152777778</x:v>
      </x:c>
      <x:c r="E764" s="25" t="n">
        <x:v>40757.22152777778</x:v>
      </x:c>
      <x:c r="F764" s="2" t="n">
        <x:v>130</x:v>
      </x:c>
      <x:c r="G764" s="2" t="n">
        <x:v>1</x:v>
      </x:c>
      <x:c r="H764" s="11" t="n">
        <x:v>919.61</x:v>
      </x:c>
      <x:c r="I764" s="2" t="n">
        <x:v>3</x:v>
      </x:c>
      <x:c r="J764" s="2" t="n">
        <x:v>1</x:v>
      </x:c>
      <x:c r="K764" s="2" t="n">
        <x:v>3</x:v>
      </x:c>
      <x:c r="L764" s="2" t="str">
        <x:v>Developing</x:v>
      </x:c>
    </x:row>
    <x:row r="765" ht="22" customHeight="1">
      <x:c r="A765" s="2"/>
      <x:c r="B765" s="2" t="str">
        <x:v>13076</x:v>
      </x:c>
      <x:c r="C765" s="2" t="str">
        <x:v>United Kingdom</x:v>
      </x:c>
      <x:c r="D765" s="25" t="n">
        <x:v>40429.22708333333</x:v>
      </x:c>
      <x:c r="E765" s="25" t="n">
        <x:v>40429.22708333333</x:v>
      </x:c>
      <x:c r="F765" s="2" t="n">
        <x:v>458</x:v>
      </x:c>
      <x:c r="G765" s="2" t="n">
        <x:v>1</x:v>
      </x:c>
      <x:c r="H765" s="11" t="n">
        <x:v>135.4</x:v>
      </x:c>
      <x:c r="I765" s="2" t="n">
        <x:v>1</x:v>
      </x:c>
      <x:c r="J765" s="2" t="n">
        <x:v>1</x:v>
      </x:c>
      <x:c r="K765" s="2" t="n">
        <x:v>1</x:v>
      </x:c>
      <x:c r="L765" s="2" t="str">
        <x:v>Hibernating</x:v>
      </x:c>
    </x:row>
    <x:row r="766" ht="22" customHeight="1">
      <x:c r="A766" s="2"/>
      <x:c r="B766" s="2" t="str">
        <x:v>13077</x:v>
      </x:c>
      <x:c r="C766" s="2" t="str">
        <x:v>United Kingdom</x:v>
      </x:c>
      <x:c r="D766" s="25" t="n">
        <x:v>40158.26180555556</x:v>
      </x:c>
      <x:c r="E766" s="25" t="n">
        <x:v>40885.6</x:v>
      </x:c>
      <x:c r="F766" s="2" t="n">
        <x:v>2</x:v>
      </x:c>
      <x:c r="G766" s="2" t="n">
        <x:v>11</x:v>
      </x:c>
      <x:c r="H766" s="11" t="n">
        <x:v>2750.95</x:v>
      </x:c>
      <x:c r="I766" s="2" t="n">
        <x:v>5</x:v>
      </x:c>
      <x:c r="J766" s="2" t="n">
        <x:v>5</x:v>
      </x:c>
      <x:c r="K766" s="2" t="n">
        <x:v>4</x:v>
      </x:c>
      <x:c r="L766" s="2" t="str">
        <x:v>Champions</x:v>
      </x:c>
    </x:row>
    <x:row r="767" ht="22" customHeight="1">
      <x:c r="A767" s="2"/>
      <x:c r="B767" s="2" t="str">
        <x:v>13078</x:v>
      </x:c>
      <x:c r="C767" s="2" t="str">
        <x:v>United Kingdom</x:v>
      </x:c>
      <x:c r="D767" s="25" t="n">
        <x:v>40148.17083333333</x:v>
      </x:c>
      <x:c r="E767" s="25" t="n">
        <x:v>40883.441666666666</x:v>
      </x:c>
      <x:c r="F767" s="2" t="n">
        <x:v>4</x:v>
      </x:c>
      <x:c r="G767" s="2" t="n">
        <x:v>57</x:v>
      </x:c>
      <x:c r="H767" s="11" t="n">
        <x:v>29018.06</x:v>
      </x:c>
      <x:c r="I767" s="2" t="n">
        <x:v>5</x:v>
      </x:c>
      <x:c r="J767" s="2" t="n">
        <x:v>5</x:v>
      </x:c>
      <x:c r="K767" s="2" t="n">
        <x:v>5</x:v>
      </x:c>
      <x:c r="L767" s="2" t="str">
        <x:v>Champions</x:v>
      </x:c>
    </x:row>
    <x:row r="768" ht="22" customHeight="1">
      <x:c r="A768" s="2"/>
      <x:c r="B768" s="2" t="str">
        <x:v>13079</x:v>
      </x:c>
      <x:c r="C768" s="2" t="str">
        <x:v>United Kingdom</x:v>
      </x:c>
      <x:c r="D768" s="25" t="n">
        <x:v>40469.385416666664</x:v>
      </x:c>
      <x:c r="E768" s="25" t="n">
        <x:v>40882.49513888889</x:v>
      </x:c>
      <x:c r="F768" s="2" t="n">
        <x:v>5</x:v>
      </x:c>
      <x:c r="G768" s="2" t="n">
        <x:v>6</x:v>
      </x:c>
      <x:c r="H768" s="11" t="n">
        <x:v>419.18</x:v>
      </x:c>
      <x:c r="I768" s="2" t="n">
        <x:v>5</x:v>
      </x:c>
      <x:c r="J768" s="2" t="n">
        <x:v>4</x:v>
      </x:c>
      <x:c r="K768" s="2" t="n">
        <x:v>2</x:v>
      </x:c>
      <x:c r="L768" s="2" t="str">
        <x:v>Loyal</x:v>
      </x:c>
    </x:row>
    <x:row r="769" ht="22" customHeight="1">
      <x:c r="A769" s="2"/>
      <x:c r="B769" s="2" t="str">
        <x:v>13080</x:v>
      </x:c>
      <x:c r="C769" s="2" t="str">
        <x:v>United Kingdom</x:v>
      </x:c>
      <x:c r="D769" s="25" t="n">
        <x:v>40277.33819444444</x:v>
      </x:c>
      <x:c r="E769" s="25" t="n">
        <x:v>40707.415972222225</x:v>
      </x:c>
      <x:c r="F769" s="2" t="n">
        <x:v>180</x:v>
      </x:c>
      <x:c r="G769" s="2" t="n">
        <x:v>4</x:v>
      </x:c>
      <x:c r="H769" s="11" t="n">
        <x:v>280.73</x:v>
      </x:c>
      <x:c r="I769" s="2" t="n">
        <x:v>3</x:v>
      </x:c>
      <x:c r="J769" s="2" t="n">
        <x:v>3</x:v>
      </x:c>
      <x:c r="K769" s="2" t="n">
        <x:v>1</x:v>
      </x:c>
      <x:c r="L769" s="2" t="str">
        <x:v>Loyal</x:v>
      </x:c>
    </x:row>
    <x:row r="770" ht="22" customHeight="1">
      <x:c r="A770" s="2"/>
      <x:c r="B770" s="2" t="str">
        <x:v>13081</x:v>
      </x:c>
      <x:c r="C770" s="2" t="str">
        <x:v>United Kingdom</x:v>
      </x:c>
      <x:c r="D770" s="25" t="n">
        <x:v>40155.373611111114</x:v>
      </x:c>
      <x:c r="E770" s="25" t="n">
        <x:v>40875.245833333334</x:v>
      </x:c>
      <x:c r="F770" s="2" t="n">
        <x:v>12</x:v>
      </x:c>
      <x:c r="G770" s="2" t="n">
        <x:v>28</x:v>
      </x:c>
      <x:c r="H770" s="11" t="n">
        <x:v>56838.37</x:v>
      </x:c>
      <x:c r="I770" s="2" t="n">
        <x:v>5</x:v>
      </x:c>
      <x:c r="J770" s="2" t="n">
        <x:v>5</x:v>
      </x:c>
      <x:c r="K770" s="2" t="n">
        <x:v>5</x:v>
      </x:c>
      <x:c r="L770" s="2" t="str">
        <x:v>Champions</x:v>
      </x:c>
    </x:row>
    <x:row r="771" ht="22" customHeight="1">
      <x:c r="A771" s="2"/>
      <x:c r="B771" s="2" t="str">
        <x:v>13082</x:v>
      </x:c>
      <x:c r="C771" s="2" t="str">
        <x:v>United Kingdom</x:v>
      </x:c>
      <x:c r="D771" s="25" t="n">
        <x:v>40169.44236111111</x:v>
      </x:c>
      <x:c r="E771" s="25" t="n">
        <x:v>40760.46944444445</x:v>
      </x:c>
      <x:c r="F771" s="2" t="n">
        <x:v>127</x:v>
      </x:c>
      <x:c r="G771" s="2" t="n">
        <x:v>21</x:v>
      </x:c>
      <x:c r="H771" s="11" t="n">
        <x:v>7335.75</x:v>
      </x:c>
      <x:c r="I771" s="2" t="n">
        <x:v>3</x:v>
      </x:c>
      <x:c r="J771" s="2" t="n">
        <x:v>5</x:v>
      </x:c>
      <x:c r="K771" s="2" t="n">
        <x:v>5</x:v>
      </x:c>
      <x:c r="L771" s="2" t="str">
        <x:v>Loyal</x:v>
      </x:c>
    </x:row>
    <x:row r="772" ht="22" customHeight="1">
      <x:c r="A772" s="2"/>
      <x:c r="B772" s="2" t="str">
        <x:v>13083</x:v>
      </x:c>
      <x:c r="C772" s="2" t="str">
        <x:v>United Kingdom</x:v>
      </x:c>
      <x:c r="D772" s="25" t="n">
        <x:v>40461.35972222222</x:v>
      </x:c>
      <x:c r="E772" s="25" t="n">
        <x:v>40882.41736111111</x:v>
      </x:c>
      <x:c r="F772" s="2" t="n">
        <x:v>5</x:v>
      </x:c>
      <x:c r="G772" s="2" t="n">
        <x:v>3</x:v>
      </x:c>
      <x:c r="H772" s="11" t="n">
        <x:v>395.43</x:v>
      </x:c>
      <x:c r="I772" s="2" t="n">
        <x:v>5</x:v>
      </x:c>
      <x:c r="J772" s="2" t="n">
        <x:v>3</x:v>
      </x:c>
      <x:c r="K772" s="2" t="n">
        <x:v>2</x:v>
      </x:c>
      <x:c r="L772" s="2" t="str">
        <x:v>Loyal</x:v>
      </x:c>
    </x:row>
    <x:row r="773" ht="22" customHeight="1">
      <x:c r="A773" s="2"/>
      <x:c r="B773" s="2" t="str">
        <x:v>13084</x:v>
      </x:c>
      <x:c r="C773" s="2" t="str">
        <x:v>United Kingdom</x:v>
      </x:c>
      <x:c r="D773" s="25" t="n">
        <x:v>40395.15902777778</x:v>
      </x:c>
      <x:c r="E773" s="25" t="n">
        <x:v>40395.15902777778</x:v>
      </x:c>
      <x:c r="F773" s="2" t="n">
        <x:v>492</x:v>
      </x:c>
      <x:c r="G773" s="2" t="n">
        <x:v>1</x:v>
      </x:c>
      <x:c r="H773" s="11" t="n">
        <x:v>122.4</x:v>
      </x:c>
      <x:c r="I773" s="2" t="n">
        <x:v>1</x:v>
      </x:c>
      <x:c r="J773" s="2" t="n">
        <x:v>1</x:v>
      </x:c>
      <x:c r="K773" s="2" t="n">
        <x:v>1</x:v>
      </x:c>
      <x:c r="L773" s="2" t="str">
        <x:v>Hibernating</x:v>
      </x:c>
    </x:row>
    <x:row r="774" ht="22" customHeight="1">
      <x:c r="A774" s="2"/>
      <x:c r="B774" s="2" t="str">
        <x:v>13085</x:v>
      </x:c>
      <x:c r="C774" s="2" t="str">
        <x:v>United Kingdom</x:v>
      </x:c>
      <x:c r="D774" s="25" t="n">
        <x:v>40148.114583333336</x:v>
      </x:c>
      <x:c r="E774" s="25" t="n">
        <x:v>40729.299305555556</x:v>
      </x:c>
      <x:c r="F774" s="2" t="n">
        <x:v>158</x:v>
      </x:c>
      <x:c r="G774" s="2" t="n">
        <x:v>8</x:v>
      </x:c>
      <x:c r="H774" s="11" t="n">
        <x:v>2433.28</x:v>
      </x:c>
      <x:c r="I774" s="2" t="n">
        <x:v>3</x:v>
      </x:c>
      <x:c r="J774" s="2" t="n">
        <x:v>4</x:v>
      </x:c>
      <x:c r="K774" s="2" t="n">
        <x:v>4</x:v>
      </x:c>
      <x:c r="L774" s="2" t="str">
        <x:v>Loyal</x:v>
      </x:c>
    </x:row>
    <x:row r="775" ht="22" customHeight="1">
      <x:c r="A775" s="2"/>
      <x:c r="B775" s="2" t="str">
        <x:v>13086</x:v>
      </x:c>
      <x:c r="C775" s="2" t="str">
        <x:v>United Kingdom</x:v>
      </x:c>
      <x:c r="D775" s="25" t="n">
        <x:v>40504.22777777778</x:v>
      </x:c>
      <x:c r="E775" s="25" t="n">
        <x:v>40504.22777777778</x:v>
      </x:c>
      <x:c r="F775" s="2" t="n">
        <x:v>383</x:v>
      </x:c>
      <x:c r="G775" s="2" t="n">
        <x:v>1</x:v>
      </x:c>
      <x:c r="H775" s="11" t="n">
        <x:v>439.33</x:v>
      </x:c>
      <x:c r="I775" s="2" t="n">
        <x:v>2</x:v>
      </x:c>
      <x:c r="J775" s="2" t="n">
        <x:v>1</x:v>
      </x:c>
      <x:c r="K775" s="2" t="n">
        <x:v>2</x:v>
      </x:c>
      <x:c r="L775" s="2" t="str">
        <x:v>Hibernating</x:v>
      </x:c>
    </x:row>
    <x:row r="776" ht="22" customHeight="1">
      <x:c r="A776" s="2"/>
      <x:c r="B776" s="2" t="str">
        <x:v>13087</x:v>
      </x:c>
      <x:c r="C776" s="2" t="str">
        <x:v>United Kingdom</x:v>
      </x:c>
      <x:c r="D776" s="25" t="n">
        <x:v>40160.427777777775</x:v>
      </x:c>
      <x:c r="E776" s="25" t="n">
        <x:v>40160.427777777775</x:v>
      </x:c>
      <x:c r="F776" s="2" t="n">
        <x:v>727</x:v>
      </x:c>
      <x:c r="G776" s="2" t="n">
        <x:v>1</x:v>
      </x:c>
      <x:c r="H776" s="11" t="n">
        <x:v>313.64</x:v>
      </x:c>
      <x:c r="I776" s="2" t="n">
        <x:v>1</x:v>
      </x:c>
      <x:c r="J776" s="2" t="n">
        <x:v>1</x:v>
      </x:c>
      <x:c r="K776" s="2" t="n">
        <x:v>2</x:v>
      </x:c>
      <x:c r="L776" s="2" t="str">
        <x:v>Hibernating</x:v>
      </x:c>
    </x:row>
    <x:row r="777" ht="22" customHeight="1">
      <x:c r="A777" s="2"/>
      <x:c r="B777" s="2" t="str">
        <x:v>13088</x:v>
      </x:c>
      <x:c r="C777" s="2" t="str">
        <x:v>United Kingdom</x:v>
      </x:c>
      <x:c r="D777" s="25" t="n">
        <x:v>40469.44097222222</x:v>
      </x:c>
      <x:c r="E777" s="25" t="n">
        <x:v>40469.44097222222</x:v>
      </x:c>
      <x:c r="F777" s="2" t="n">
        <x:v>418</x:v>
      </x:c>
      <x:c r="G777" s="2" t="n">
        <x:v>1</x:v>
      </x:c>
      <x:c r="H777" s="11" t="n">
        <x:v>236.11</x:v>
      </x:c>
      <x:c r="I777" s="2" t="n">
        <x:v>1</x:v>
      </x:c>
      <x:c r="J777" s="2" t="n">
        <x:v>1</x:v>
      </x:c>
      <x:c r="K777" s="2" t="n">
        <x:v>1</x:v>
      </x:c>
      <x:c r="L777" s="2" t="str">
        <x:v>Hibernating</x:v>
      </x:c>
    </x:row>
    <x:row r="778" ht="22" customHeight="1">
      <x:c r="A778" s="2"/>
      <x:c r="B778" s="2" t="str">
        <x:v>13089</x:v>
      </x:c>
      <x:c r="C778" s="2" t="str">
        <x:v>United Kingdom</x:v>
      </x:c>
      <x:c r="D778" s="25" t="n">
        <x:v>40149.447222222225</x:v>
      </x:c>
      <x:c r="E778" s="25" t="n">
        <x:v>40884.16805555556</x:v>
      </x:c>
      <x:c r="F778" s="2" t="n">
        <x:v>3</x:v>
      </x:c>
      <x:c r="G778" s="2" t="n">
        <x:v>203</x:v>
      </x:c>
      <x:c r="H778" s="11" t="n">
        <x:v>113507.24</x:v>
      </x:c>
      <x:c r="I778" s="2" t="n">
        <x:v>5</x:v>
      </x:c>
      <x:c r="J778" s="2" t="n">
        <x:v>5</x:v>
      </x:c>
      <x:c r="K778" s="2" t="n">
        <x:v>5</x:v>
      </x:c>
      <x:c r="L778" s="2" t="str">
        <x:v>Champions</x:v>
      </x:c>
    </x:row>
    <x:row r="779" ht="22" customHeight="1">
      <x:c r="A779" s="2"/>
      <x:c r="B779" s="2" t="str">
        <x:v>13090</x:v>
      </x:c>
      <x:c r="C779" s="2" t="str">
        <x:v>United Kingdom</x:v>
      </x:c>
      <x:c r="D779" s="25" t="n">
        <x:v>40392.373611111114</x:v>
      </x:c>
      <x:c r="E779" s="25" t="n">
        <x:v>40878.31875</x:v>
      </x:c>
      <x:c r="F779" s="2" t="n">
        <x:v>9</x:v>
      </x:c>
      <x:c r="G779" s="2" t="n">
        <x:v>24</x:v>
      </x:c>
      <x:c r="H779" s="11" t="n">
        <x:v>13094.69</x:v>
      </x:c>
      <x:c r="I779" s="2" t="n">
        <x:v>5</x:v>
      </x:c>
      <x:c r="J779" s="2" t="n">
        <x:v>5</x:v>
      </x:c>
      <x:c r="K779" s="2" t="n">
        <x:v>5</x:v>
      </x:c>
      <x:c r="L779" s="2" t="str">
        <x:v>Champions</x:v>
      </x:c>
    </x:row>
    <x:row r="780" ht="22" customHeight="1">
      <x:c r="A780" s="2"/>
      <x:c r="B780" s="2" t="str">
        <x:v>13091</x:v>
      </x:c>
      <x:c r="C780" s="2" t="str">
        <x:v>United Kingdom</x:v>
      </x:c>
      <x:c r="D780" s="25" t="n">
        <x:v>40157.28472222222</x:v>
      </x:c>
      <x:c r="E780" s="25" t="n">
        <x:v>40858.45416666667</x:v>
      </x:c>
      <x:c r="F780" s="2" t="n">
        <x:v>29</x:v>
      </x:c>
      <x:c r="G780" s="2" t="n">
        <x:v>3</x:v>
      </x:c>
      <x:c r="H780" s="11" t="n">
        <x:v>2321.82</x:v>
      </x:c>
      <x:c r="I780" s="2" t="n">
        <x:v>4</x:v>
      </x:c>
      <x:c r="J780" s="2" t="n">
        <x:v>3</x:v>
      </x:c>
      <x:c r="K780" s="2" t="n">
        <x:v>4</x:v>
      </x:c>
      <x:c r="L780" s="2" t="str">
        <x:v>Loyal</x:v>
      </x:c>
    </x:row>
    <x:row r="781" ht="22" customHeight="1">
      <x:c r="A781" s="2"/>
      <x:c r="B781" s="2" t="str">
        <x:v>13092</x:v>
      </x:c>
      <x:c r="C781" s="2" t="str">
        <x:v>United Kingdom</x:v>
      </x:c>
      <x:c r="D781" s="25" t="n">
        <x:v>40219.15555555555</x:v>
      </x:c>
      <x:c r="E781" s="25" t="n">
        <x:v>40816.2625</x:v>
      </x:c>
      <x:c r="F781" s="2" t="n">
        <x:v>71</x:v>
      </x:c>
      <x:c r="G781" s="2" t="n">
        <x:v>12</x:v>
      </x:c>
      <x:c r="H781" s="11" t="n">
        <x:v>2140.28</x:v>
      </x:c>
      <x:c r="I781" s="2" t="n">
        <x:v>3</x:v>
      </x:c>
      <x:c r="J781" s="2" t="n">
        <x:v>5</x:v>
      </x:c>
      <x:c r="K781" s="2" t="n">
        <x:v>4</x:v>
      </x:c>
      <x:c r="L781" s="2" t="str">
        <x:v>Loyal</x:v>
      </x:c>
    </x:row>
    <x:row r="782" ht="22" customHeight="1">
      <x:c r="A782" s="2"/>
      <x:c r="B782" s="2" t="str">
        <x:v>13093</x:v>
      </x:c>
      <x:c r="C782" s="2" t="str">
        <x:v>United Kingdom</x:v>
      </x:c>
      <x:c r="D782" s="25" t="n">
        <x:v>40151.23055555556</x:v>
      </x:c>
      <x:c r="E782" s="25" t="n">
        <x:v>40611.30138888889</x:v>
      </x:c>
      <x:c r="F782" s="2" t="n">
        <x:v>276</x:v>
      </x:c>
      <x:c r="G782" s="2" t="n">
        <x:v>55</x:v>
      </x:c>
      <x:c r="H782" s="11" t="n">
        <x:v>54144.25</x:v>
      </x:c>
      <x:c r="I782" s="2" t="n">
        <x:v>2</x:v>
      </x:c>
      <x:c r="J782" s="2" t="n">
        <x:v>5</x:v>
      </x:c>
      <x:c r="K782" s="2" t="n">
        <x:v>5</x:v>
      </x:c>
      <x:c r="L782" s="2" t="str">
        <x:v>At risk</x:v>
      </x:c>
    </x:row>
    <x:row r="783" ht="22" customHeight="1">
      <x:c r="A783" s="2"/>
      <x:c r="B783" s="2" t="str">
        <x:v>13094</x:v>
      </x:c>
      <x:c r="C783" s="2" t="str">
        <x:v>United Kingdom</x:v>
      </x:c>
      <x:c r="D783" s="25" t="n">
        <x:v>40497.385416666664</x:v>
      </x:c>
      <x:c r="E783" s="25" t="n">
        <x:v>40865.37986111111</x:v>
      </x:c>
      <x:c r="F783" s="2" t="n">
        <x:v>22</x:v>
      </x:c>
      <x:c r="G783" s="2" t="n">
        <x:v>13</x:v>
      </x:c>
      <x:c r="H783" s="11" t="n">
        <x:v>2209.44</x:v>
      </x:c>
      <x:c r="I783" s="2" t="n">
        <x:v>4</x:v>
      </x:c>
      <x:c r="J783" s="2" t="n">
        <x:v>5</x:v>
      </x:c>
      <x:c r="K783" s="2" t="n">
        <x:v>4</x:v>
      </x:c>
      <x:c r="L783" s="2" t="str">
        <x:v>Champions</x:v>
      </x:c>
    </x:row>
    <x:row r="784" ht="22" customHeight="1">
      <x:c r="A784" s="2"/>
      <x:c r="B784" s="2" t="str">
        <x:v>13095</x:v>
      </x:c>
      <x:c r="C784" s="2" t="str">
        <x:v>United Kingdom</x:v>
      </x:c>
      <x:c r="D784" s="25" t="n">
        <x:v>40816.29375</x:v>
      </x:c>
      <x:c r="E784" s="25" t="n">
        <x:v>40816.29375</x:v>
      </x:c>
      <x:c r="F784" s="2" t="n">
        <x:v>71</x:v>
      </x:c>
      <x:c r="G784" s="2" t="n">
        <x:v>1</x:v>
      </x:c>
      <x:c r="H784" s="11" t="n">
        <x:v>74.4</x:v>
      </x:c>
      <x:c r="I784" s="2" t="n">
        <x:v>3</x:v>
      </x:c>
      <x:c r="J784" s="2" t="n">
        <x:v>1</x:v>
      </x:c>
      <x:c r="K784" s="2" t="n">
        <x:v>1</x:v>
      </x:c>
      <x:c r="L784" s="2" t="str">
        <x:v>Developing</x:v>
      </x:c>
    </x:row>
    <x:row r="785" ht="22" customHeight="1">
      <x:c r="A785" s="2"/>
      <x:c r="B785" s="2" t="str">
        <x:v>13096</x:v>
      </x:c>
      <x:c r="C785" s="2" t="str">
        <x:v>United Kingdom</x:v>
      </x:c>
      <x:c r="D785" s="25" t="n">
        <x:v>40492.38055555556</x:v>
      </x:c>
      <x:c r="E785" s="25" t="n">
        <x:v>40492.38055555556</x:v>
      </x:c>
      <x:c r="F785" s="2" t="n">
        <x:v>395</x:v>
      </x:c>
      <x:c r="G785" s="2" t="n">
        <x:v>1</x:v>
      </x:c>
      <x:c r="H785" s="11" t="n">
        <x:v>419.7</x:v>
      </x:c>
      <x:c r="I785" s="2" t="n">
        <x:v>2</x:v>
      </x:c>
      <x:c r="J785" s="2" t="n">
        <x:v>1</x:v>
      </x:c>
      <x:c r="K785" s="2" t="n">
        <x:v>2</x:v>
      </x:c>
      <x:c r="L785" s="2" t="str">
        <x:v>Hibernating</x:v>
      </x:c>
    </x:row>
    <x:row r="786" ht="22" customHeight="1">
      <x:c r="A786" s="2"/>
      <x:c r="B786" s="2" t="str">
        <x:v>13097</x:v>
      </x:c>
      <x:c r="C786" s="2" t="str">
        <x:v>United Kingdom</x:v>
      </x:c>
      <x:c r="D786" s="25" t="n">
        <x:v>40148.35486111111</x:v>
      </x:c>
      <x:c r="E786" s="25" t="n">
        <x:v>40854.23819444444</x:v>
      </x:c>
      <x:c r="F786" s="2" t="n">
        <x:v>33</x:v>
      </x:c>
      <x:c r="G786" s="2" t="n">
        <x:v>28</x:v>
      </x:c>
      <x:c r="H786" s="11" t="n">
        <x:v>13389.22</x:v>
      </x:c>
      <x:c r="I786" s="2" t="n">
        <x:v>4</x:v>
      </x:c>
      <x:c r="J786" s="2" t="n">
        <x:v>5</x:v>
      </x:c>
      <x:c r="K786" s="2" t="n">
        <x:v>5</x:v>
      </x:c>
      <x:c r="L786" s="2" t="str">
        <x:v>Champions</x:v>
      </x:c>
    </x:row>
    <x:row r="787" ht="22" customHeight="1">
      <x:c r="A787" s="2"/>
      <x:c r="B787" s="2" t="str">
        <x:v>13098</x:v>
      </x:c>
      <x:c r="C787" s="2" t="str">
        <x:v>United Kingdom</x:v>
      </x:c>
      <x:c r="D787" s="25" t="n">
        <x:v>40569.365277777775</x:v>
      </x:c>
      <x:c r="E787" s="25" t="n">
        <x:v>40885.384722222225</x:v>
      </x:c>
      <x:c r="F787" s="2" t="n">
        <x:v>2</x:v>
      </x:c>
      <x:c r="G787" s="2" t="n">
        <x:v>28</x:v>
      </x:c>
      <x:c r="H787" s="11" t="n">
        <x:v>28882.44</x:v>
      </x:c>
      <x:c r="I787" s="2" t="n">
        <x:v>5</x:v>
      </x:c>
      <x:c r="J787" s="2" t="n">
        <x:v>5</x:v>
      </x:c>
      <x:c r="K787" s="2" t="n">
        <x:v>5</x:v>
      </x:c>
      <x:c r="L787" s="2" t="str">
        <x:v>Champions</x:v>
      </x:c>
    </x:row>
    <x:row r="788" ht="22" customHeight="1">
      <x:c r="A788" s="2"/>
      <x:c r="B788" s="2" t="str">
        <x:v>13099</x:v>
      </x:c>
      <x:c r="C788" s="2" t="str">
        <x:v>United Kingdom</x:v>
      </x:c>
      <x:c r="D788" s="25" t="n">
        <x:v>40787.52777777778</x:v>
      </x:c>
      <x:c r="E788" s="25" t="n">
        <x:v>40787.52777777778</x:v>
      </x:c>
      <x:c r="F788" s="2" t="n">
        <x:v>100</x:v>
      </x:c>
      <x:c r="G788" s="2" t="n">
        <x:v>1</x:v>
      </x:c>
      <x:c r="H788" s="11" t="n">
        <x:v>207.36</x:v>
      </x:c>
      <x:c r="I788" s="2" t="n">
        <x:v>3</x:v>
      </x:c>
      <x:c r="J788" s="2" t="n">
        <x:v>1</x:v>
      </x:c>
      <x:c r="K788" s="2" t="n">
        <x:v>1</x:v>
      </x:c>
      <x:c r="L788" s="2" t="str">
        <x:v>Developing</x:v>
      </x:c>
    </x:row>
    <x:row r="789" ht="22" customHeight="1">
      <x:c r="A789" s="2"/>
      <x:c r="B789" s="2" t="str">
        <x:v>13101</x:v>
      </x:c>
      <x:c r="C789" s="2" t="str">
        <x:v>United Kingdom</x:v>
      </x:c>
      <x:c r="D789" s="25" t="n">
        <x:v>40205.450694444444</x:v>
      </x:c>
      <x:c r="E789" s="25" t="n">
        <x:v>40652.40069444444</x:v>
      </x:c>
      <x:c r="F789" s="2" t="n">
        <x:v>235</x:v>
      </x:c>
      <x:c r="G789" s="2" t="n">
        <x:v>4</x:v>
      </x:c>
      <x:c r="H789" s="11" t="n">
        <x:v>695.4</x:v>
      </x:c>
      <x:c r="I789" s="2" t="n">
        <x:v>2</x:v>
      </x:c>
      <x:c r="J789" s="2" t="n">
        <x:v>3</x:v>
      </x:c>
      <x:c r="K789" s="2" t="n">
        <x:v>3</x:v>
      </x:c>
      <x:c r="L789" s="2" t="str">
        <x:v>At risk</x:v>
      </x:c>
    </x:row>
    <x:row r="790" ht="22" customHeight="1">
      <x:c r="A790" s="2"/>
      <x:c r="B790" s="2" t="str">
        <x:v>13102</x:v>
      </x:c>
      <x:c r="C790" s="2" t="str">
        <x:v>United Kingdom</x:v>
      </x:c>
      <x:c r="D790" s="25" t="n">
        <x:v>40304.34166666667</x:v>
      </x:c>
      <x:c r="E790" s="25" t="n">
        <x:v>40885.32777777778</x:v>
      </x:c>
      <x:c r="F790" s="2" t="n">
        <x:v>2</x:v>
      </x:c>
      <x:c r="G790" s="2" t="n">
        <x:v>37</x:v>
      </x:c>
      <x:c r="H790" s="11" t="n">
        <x:v>11380.1</x:v>
      </x:c>
      <x:c r="I790" s="2" t="n">
        <x:v>5</x:v>
      </x:c>
      <x:c r="J790" s="2" t="n">
        <x:v>5</x:v>
      </x:c>
      <x:c r="K790" s="2" t="n">
        <x:v>5</x:v>
      </x:c>
      <x:c r="L790" s="2" t="str">
        <x:v>Champions</x:v>
      </x:c>
    </x:row>
    <x:row r="791" ht="22" customHeight="1">
      <x:c r="A791" s="2"/>
      <x:c r="B791" s="2" t="str">
        <x:v>13103</x:v>
      </x:c>
      <x:c r="C791" s="2" t="str">
        <x:v>United Kingdom</x:v>
      </x:c>
      <x:c r="D791" s="25" t="n">
        <x:v>40309.40347222222</x:v>
      </x:c>
      <x:c r="E791" s="25" t="n">
        <x:v>40847.19305555556</x:v>
      </x:c>
      <x:c r="F791" s="2" t="n">
        <x:v>40</x:v>
      </x:c>
      <x:c r="G791" s="2" t="n">
        <x:v>3</x:v>
      </x:c>
      <x:c r="H791" s="11" t="n">
        <x:v>709.64</x:v>
      </x:c>
      <x:c r="I791" s="2" t="n">
        <x:v>4</x:v>
      </x:c>
      <x:c r="J791" s="2" t="n">
        <x:v>3</x:v>
      </x:c>
      <x:c r="K791" s="2" t="n">
        <x:v>3</x:v>
      </x:c>
      <x:c r="L791" s="2" t="str">
        <x:v>Loyal</x:v>
      </x:c>
    </x:row>
    <x:row r="792" ht="22" customHeight="1">
      <x:c r="A792" s="2"/>
      <x:c r="B792" s="2" t="str">
        <x:v>13104</x:v>
      </x:c>
      <x:c r="C792" s="2" t="str">
        <x:v>United Kingdom</x:v>
      </x:c>
      <x:c r="D792" s="25" t="n">
        <x:v>40233.42083333333</x:v>
      </x:c>
      <x:c r="E792" s="25" t="n">
        <x:v>40883.34027777778</x:v>
      </x:c>
      <x:c r="F792" s="2" t="n">
        <x:v>4</x:v>
      </x:c>
      <x:c r="G792" s="2" t="n">
        <x:v>9</x:v>
      </x:c>
      <x:c r="H792" s="11" t="n">
        <x:v>1709.1</x:v>
      </x:c>
      <x:c r="I792" s="2" t="n">
        <x:v>5</x:v>
      </x:c>
      <x:c r="J792" s="2" t="n">
        <x:v>5</x:v>
      </x:c>
      <x:c r="K792" s="2" t="n">
        <x:v>4</x:v>
      </x:c>
      <x:c r="L792" s="2" t="str">
        <x:v>Champions</x:v>
      </x:c>
    </x:row>
    <x:row r="793" ht="22" customHeight="1">
      <x:c r="A793" s="2"/>
      <x:c r="B793" s="2" t="str">
        <x:v>13105</x:v>
      </x:c>
      <x:c r="C793" s="2" t="str">
        <x:v>United Kingdom</x:v>
      </x:c>
      <x:c r="D793" s="25" t="n">
        <x:v>40450.361805555556</x:v>
      </x:c>
      <x:c r="E793" s="25" t="n">
        <x:v>40450.361805555556</x:v>
      </x:c>
      <x:c r="F793" s="2" t="n">
        <x:v>437</x:v>
      </x:c>
      <x:c r="G793" s="2" t="n">
        <x:v>1</x:v>
      </x:c>
      <x:c r="H793" s="11" t="n">
        <x:v>72</x:v>
      </x:c>
      <x:c r="I793" s="2" t="n">
        <x:v>1</x:v>
      </x:c>
      <x:c r="J793" s="2" t="n">
        <x:v>1</x:v>
      </x:c>
      <x:c r="K793" s="2" t="n">
        <x:v>1</x:v>
      </x:c>
      <x:c r="L793" s="2" t="str">
        <x:v>Hibernating</x:v>
      </x:c>
    </x:row>
    <x:row r="794" ht="22" customHeight="1">
      <x:c r="A794" s="2"/>
      <x:c r="B794" s="2" t="str">
        <x:v>13106</x:v>
      </x:c>
      <x:c r="C794" s="2" t="str">
        <x:v>United Kingdom</x:v>
      </x:c>
      <x:c r="D794" s="25" t="n">
        <x:v>40473.34027777778</x:v>
      </x:c>
      <x:c r="E794" s="25" t="n">
        <x:v>40753.425</x:v>
      </x:c>
      <x:c r="F794" s="2" t="n">
        <x:v>134</x:v>
      </x:c>
      <x:c r="G794" s="2" t="n">
        <x:v>2</x:v>
      </x:c>
      <x:c r="H794" s="11" t="n">
        <x:v>603.46</x:v>
      </x:c>
      <x:c r="I794" s="2" t="n">
        <x:v>3</x:v>
      </x:c>
      <x:c r="J794" s="2" t="n">
        <x:v>2</x:v>
      </x:c>
      <x:c r="K794" s="2" t="n">
        <x:v>2</x:v>
      </x:c>
      <x:c r="L794" s="2" t="str">
        <x:v>Developing</x:v>
      </x:c>
    </x:row>
    <x:row r="795" ht="22" customHeight="1">
      <x:c r="A795" s="2"/>
      <x:c r="B795" s="2" t="str">
        <x:v>13107</x:v>
      </x:c>
      <x:c r="C795" s="2" t="str">
        <x:v>United Kingdom</x:v>
      </x:c>
      <x:c r="D795" s="25" t="n">
        <x:v>40213.243055555555</x:v>
      </x:c>
      <x:c r="E795" s="25" t="n">
        <x:v>40842.41111111111</x:v>
      </x:c>
      <x:c r="F795" s="2" t="n">
        <x:v>45</x:v>
      </x:c>
      <x:c r="G795" s="2" t="n">
        <x:v>9</x:v>
      </x:c>
      <x:c r="H795" s="11" t="n">
        <x:v>5253.07</x:v>
      </x:c>
      <x:c r="I795" s="2" t="n">
        <x:v>4</x:v>
      </x:c>
      <x:c r="J795" s="2" t="n">
        <x:v>5</x:v>
      </x:c>
      <x:c r="K795" s="2" t="n">
        <x:v>5</x:v>
      </x:c>
      <x:c r="L795" s="2" t="str">
        <x:v>Champions</x:v>
      </x:c>
    </x:row>
    <x:row r="796" ht="22" customHeight="1">
      <x:c r="A796" s="2"/>
      <x:c r="B796" s="2" t="str">
        <x:v>13108</x:v>
      </x:c>
      <x:c r="C796" s="2" t="str">
        <x:v>United Kingdom</x:v>
      </x:c>
      <x:c r="D796" s="25" t="n">
        <x:v>40451.50625</x:v>
      </x:c>
      <x:c r="E796" s="25" t="n">
        <x:v>40514.23263888889</x:v>
      </x:c>
      <x:c r="F796" s="2" t="n">
        <x:v>373</x:v>
      </x:c>
      <x:c r="G796" s="2" t="n">
        <x:v>2</x:v>
      </x:c>
      <x:c r="H796" s="11" t="n">
        <x:v>748.46</x:v>
      </x:c>
      <x:c r="I796" s="2" t="n">
        <x:v>2</x:v>
      </x:c>
      <x:c r="J796" s="2" t="n">
        <x:v>2</x:v>
      </x:c>
      <x:c r="K796" s="2" t="n">
        <x:v>3</x:v>
      </x:c>
      <x:c r="L796" s="2" t="str">
        <x:v>Hibernating</x:v>
      </x:c>
    </x:row>
    <x:row r="797" ht="22" customHeight="1">
      <x:c r="A797" s="2"/>
      <x:c r="B797" s="2" t="str">
        <x:v>13109</x:v>
      </x:c>
      <x:c r="C797" s="2" t="str">
        <x:v>United Kingdom</x:v>
      </x:c>
      <x:c r="D797" s="25" t="n">
        <x:v>40335.33263888889</x:v>
      </x:c>
      <x:c r="E797" s="25" t="n">
        <x:v>40827.21944444445</x:v>
      </x:c>
      <x:c r="F797" s="2" t="n">
        <x:v>60</x:v>
      </x:c>
      <x:c r="G797" s="2" t="n">
        <x:v>3</x:v>
      </x:c>
      <x:c r="H797" s="11" t="n">
        <x:v>1134.03</x:v>
      </x:c>
      <x:c r="I797" s="2" t="n">
        <x:v>3</x:v>
      </x:c>
      <x:c r="J797" s="2" t="n">
        <x:v>3</x:v>
      </x:c>
      <x:c r="K797" s="2" t="n">
        <x:v>3</x:v>
      </x:c>
      <x:c r="L797" s="2" t="str">
        <x:v>Loyal</x:v>
      </x:c>
    </x:row>
    <x:row r="798" ht="22" customHeight="1">
      <x:c r="A798" s="2"/>
      <x:c r="B798" s="2" t="str">
        <x:v>13110</x:v>
      </x:c>
      <x:c r="C798" s="2" t="str">
        <x:v>United Kingdom</x:v>
      </x:c>
      <x:c r="D798" s="25" t="n">
        <x:v>40148.384722222225</x:v>
      </x:c>
      <x:c r="E798" s="25" t="n">
        <x:v>40855.395833333336</x:v>
      </x:c>
      <x:c r="F798" s="2" t="n">
        <x:v>32</x:v>
      </x:c>
      <x:c r="G798" s="2" t="n">
        <x:v>12</x:v>
      </x:c>
      <x:c r="H798" s="11" t="n">
        <x:v>2957.47</x:v>
      </x:c>
      <x:c r="I798" s="2" t="n">
        <x:v>4</x:v>
      </x:c>
      <x:c r="J798" s="2" t="n">
        <x:v>5</x:v>
      </x:c>
      <x:c r="K798" s="2" t="n">
        <x:v>5</x:v>
      </x:c>
      <x:c r="L798" s="2" t="str">
        <x:v>Champions</x:v>
      </x:c>
    </x:row>
    <x:row r="799" ht="22" customHeight="1">
      <x:c r="A799" s="2"/>
      <x:c r="B799" s="2" t="str">
        <x:v>13111</x:v>
      </x:c>
      <x:c r="C799" s="2" t="str">
        <x:v>United Kingdom</x:v>
      </x:c>
      <x:c r="D799" s="25" t="n">
        <x:v>40168.166666666664</x:v>
      </x:c>
      <x:c r="E799" s="25" t="n">
        <x:v>40168.166666666664</x:v>
      </x:c>
      <x:c r="F799" s="2" t="n">
        <x:v>719</x:v>
      </x:c>
      <x:c r="G799" s="2" t="n">
        <x:v>1</x:v>
      </x:c>
      <x:c r="H799" s="11" t="n">
        <x:v>321.88</x:v>
      </x:c>
      <x:c r="I799" s="2" t="n">
        <x:v>1</x:v>
      </x:c>
      <x:c r="J799" s="2" t="n">
        <x:v>1</x:v>
      </x:c>
      <x:c r="K799" s="2" t="n">
        <x:v>2</x:v>
      </x:c>
      <x:c r="L799" s="2" t="str">
        <x:v>Hibernating</x:v>
      </x:c>
    </x:row>
    <x:row r="800" ht="22" customHeight="1">
      <x:c r="A800" s="2"/>
      <x:c r="B800" s="2" t="str">
        <x:v>13112</x:v>
      </x:c>
      <x:c r="C800" s="2" t="str">
        <x:v>United Kingdom</x:v>
      </x:c>
      <x:c r="D800" s="25" t="n">
        <x:v>40345.50208333333</x:v>
      </x:c>
      <x:c r="E800" s="25" t="n">
        <x:v>40345.50208333333</x:v>
      </x:c>
      <x:c r="F800" s="2" t="n">
        <x:v>542</x:v>
      </x:c>
      <x:c r="G800" s="2" t="n">
        <x:v>1</x:v>
      </x:c>
      <x:c r="H800" s="11" t="n">
        <x:v>20.6</x:v>
      </x:c>
      <x:c r="I800" s="2" t="n">
        <x:v>1</x:v>
      </x:c>
      <x:c r="J800" s="2" t="n">
        <x:v>1</x:v>
      </x:c>
      <x:c r="K800" s="2" t="n">
        <x:v>1</x:v>
      </x:c>
      <x:c r="L800" s="2" t="str">
        <x:v>Hibernating</x:v>
      </x:c>
    </x:row>
    <x:row r="801" ht="22" customHeight="1">
      <x:c r="A801" s="2"/>
      <x:c r="B801" s="2" t="str">
        <x:v>13113</x:v>
      </x:c>
      <x:c r="C801" s="2" t="str">
        <x:v>United Kingdom</x:v>
      </x:c>
      <x:c r="D801" s="25" t="n">
        <x:v>40265.467361111114</x:v>
      </x:c>
      <x:c r="E801" s="25" t="n">
        <x:v>40886.325694444444</x:v>
      </x:c>
      <x:c r="F801" s="2" t="n">
        <x:v>1</x:v>
      </x:c>
      <x:c r="G801" s="2" t="n">
        <x:v>37</x:v>
      </x:c>
      <x:c r="H801" s="11" t="n">
        <x:v>18252.76</x:v>
      </x:c>
      <x:c r="I801" s="2" t="n">
        <x:v>5</x:v>
      </x:c>
      <x:c r="J801" s="2" t="n">
        <x:v>5</x:v>
      </x:c>
      <x:c r="K801" s="2" t="n">
        <x:v>5</x:v>
      </x:c>
      <x:c r="L801" s="2" t="str">
        <x:v>Champions</x:v>
      </x:c>
    </x:row>
    <x:row r="802" ht="22" customHeight="1">
      <x:c r="A802" s="2"/>
      <x:c r="B802" s="2" t="str">
        <x:v>13114</x:v>
      </x:c>
      <x:c r="C802" s="2" t="str">
        <x:v>United Kingdom</x:v>
      </x:c>
      <x:c r="D802" s="25" t="n">
        <x:v>40156.205555555556</x:v>
      </x:c>
      <x:c r="E802" s="25" t="n">
        <x:v>40156.205555555556</x:v>
      </x:c>
      <x:c r="F802" s="2" t="n">
        <x:v>731</x:v>
      </x:c>
      <x:c r="G802" s="2" t="n">
        <x:v>1</x:v>
      </x:c>
      <x:c r="H802" s="11" t="n">
        <x:v>234.38</x:v>
      </x:c>
      <x:c r="I802" s="2" t="n">
        <x:v>1</x:v>
      </x:c>
      <x:c r="J802" s="2" t="n">
        <x:v>1</x:v>
      </x:c>
      <x:c r="K802" s="2" t="n">
        <x:v>1</x:v>
      </x:c>
      <x:c r="L802" s="2" t="str">
        <x:v>Hibernating</x:v>
      </x:c>
    </x:row>
    <x:row r="803" ht="22" customHeight="1">
      <x:c r="A803" s="2"/>
      <x:c r="B803" s="2" t="str">
        <x:v>13115</x:v>
      </x:c>
      <x:c r="C803" s="2" t="str">
        <x:v>United Kingdom</x:v>
      </x:c>
      <x:c r="D803" s="25" t="n">
        <x:v>40287.353472222225</x:v>
      </x:c>
      <x:c r="E803" s="25" t="n">
        <x:v>40875.31805555556</x:v>
      </x:c>
      <x:c r="F803" s="2" t="n">
        <x:v>12</x:v>
      </x:c>
      <x:c r="G803" s="2" t="n">
        <x:v>10</x:v>
      </x:c>
      <x:c r="H803" s="11" t="n">
        <x:v>5494.7</x:v>
      </x:c>
      <x:c r="I803" s="2" t="n">
        <x:v>5</x:v>
      </x:c>
      <x:c r="J803" s="2" t="n">
        <x:v>5</x:v>
      </x:c>
      <x:c r="K803" s="2" t="n">
        <x:v>5</x:v>
      </x:c>
      <x:c r="L803" s="2" t="str">
        <x:v>Champions</x:v>
      </x:c>
    </x:row>
    <x:row r="804" ht="22" customHeight="1">
      <x:c r="A804" s="2"/>
      <x:c r="B804" s="2" t="str">
        <x:v>13116</x:v>
      </x:c>
      <x:c r="C804" s="2" t="str">
        <x:v>United Kingdom</x:v>
      </x:c>
      <x:c r="D804" s="25" t="n">
        <x:v>40748.39791666667</x:v>
      </x:c>
      <x:c r="E804" s="25" t="n">
        <x:v>40748.39791666667</x:v>
      </x:c>
      <x:c r="F804" s="2" t="n">
        <x:v>139</x:v>
      </x:c>
      <x:c r="G804" s="2" t="n">
        <x:v>1</x:v>
      </x:c>
      <x:c r="H804" s="11" t="n">
        <x:v>501.14</x:v>
      </x:c>
      <x:c r="I804" s="2" t="n">
        <x:v>3</x:v>
      </x:c>
      <x:c r="J804" s="2" t="n">
        <x:v>1</x:v>
      </x:c>
      <x:c r="K804" s="2" t="n">
        <x:v>2</x:v>
      </x:c>
      <x:c r="L804" s="2" t="str">
        <x:v>Developing</x:v>
      </x:c>
    </x:row>
    <x:row r="805" ht="22" customHeight="1">
      <x:c r="A805" s="2"/>
      <x:c r="B805" s="2" t="str">
        <x:v>13117</x:v>
      </x:c>
      <x:c r="C805" s="2" t="str">
        <x:v>United Kingdom</x:v>
      </x:c>
      <x:c r="D805" s="25" t="n">
        <x:v>40263.368055555555</x:v>
      </x:c>
      <x:c r="E805" s="25" t="n">
        <x:v>40865.29305555556</x:v>
      </x:c>
      <x:c r="F805" s="2" t="n">
        <x:v>22</x:v>
      </x:c>
      <x:c r="G805" s="2" t="n">
        <x:v>18</x:v>
      </x:c>
      <x:c r="H805" s="11" t="n">
        <x:v>2255.66</x:v>
      </x:c>
      <x:c r="I805" s="2" t="n">
        <x:v>4</x:v>
      </x:c>
      <x:c r="J805" s="2" t="n">
        <x:v>5</x:v>
      </x:c>
      <x:c r="K805" s="2" t="n">
        <x:v>4</x:v>
      </x:c>
      <x:c r="L805" s="2" t="str">
        <x:v>Champions</x:v>
      </x:c>
    </x:row>
    <x:row r="806" ht="22" customHeight="1">
      <x:c r="A806" s="2"/>
      <x:c r="B806" s="2" t="str">
        <x:v>13118</x:v>
      </x:c>
      <x:c r="C806" s="2" t="str">
        <x:v>United Kingdom</x:v>
      </x:c>
      <x:c r="D806" s="25" t="n">
        <x:v>40447.44861111111</x:v>
      </x:c>
      <x:c r="E806" s="25" t="n">
        <x:v>40867.32361111111</x:v>
      </x:c>
      <x:c r="F806" s="2" t="n">
        <x:v>20</x:v>
      </x:c>
      <x:c r="G806" s="2" t="n">
        <x:v>9</x:v>
      </x:c>
      <x:c r="H806" s="11" t="n">
        <x:v>2415.41</x:v>
      </x:c>
      <x:c r="I806" s="2" t="n">
        <x:v>5</x:v>
      </x:c>
      <x:c r="J806" s="2" t="n">
        <x:v>5</x:v>
      </x:c>
      <x:c r="K806" s="2" t="n">
        <x:v>4</x:v>
      </x:c>
      <x:c r="L806" s="2" t="str">
        <x:v>Champions</x:v>
      </x:c>
    </x:row>
    <x:row r="807" ht="22" customHeight="1">
      <x:c r="A807" s="2"/>
      <x:c r="B807" s="2" t="str">
        <x:v>13119</x:v>
      </x:c>
      <x:c r="C807" s="2" t="str">
        <x:v>United Kingdom</x:v>
      </x:c>
      <x:c r="D807" s="25" t="n">
        <x:v>40218.15138888889</x:v>
      </x:c>
      <x:c r="E807" s="25" t="n">
        <x:v>40218.15138888889</x:v>
      </x:c>
      <x:c r="F807" s="2" t="n">
        <x:v>669</x:v>
      </x:c>
      <x:c r="G807" s="2" t="n">
        <x:v>1</x:v>
      </x:c>
      <x:c r="H807" s="11" t="n">
        <x:v>134.9</x:v>
      </x:c>
      <x:c r="I807" s="2" t="n">
        <x:v>1</x:v>
      </x:c>
      <x:c r="J807" s="2" t="n">
        <x:v>1</x:v>
      </x:c>
      <x:c r="K807" s="2" t="n">
        <x:v>1</x:v>
      </x:c>
      <x:c r="L807" s="2" t="str">
        <x:v>Hibernating</x:v>
      </x:c>
    </x:row>
    <x:row r="808" ht="22" customHeight="1">
      <x:c r="A808" s="2"/>
      <x:c r="B808" s="2" t="str">
        <x:v>13120</x:v>
      </x:c>
      <x:c r="C808" s="2" t="str">
        <x:v>United Kingdom</x:v>
      </x:c>
      <x:c r="D808" s="25" t="n">
        <x:v>40648.22152777778</x:v>
      </x:c>
      <x:c r="E808" s="25" t="n">
        <x:v>40648.22152777778</x:v>
      </x:c>
      <x:c r="F808" s="2" t="n">
        <x:v>239</x:v>
      </x:c>
      <x:c r="G808" s="2" t="n">
        <x:v>1</x:v>
      </x:c>
      <x:c r="H808" s="11" t="n">
        <x:v>30.6</x:v>
      </x:c>
      <x:c r="I808" s="2" t="n">
        <x:v>2</x:v>
      </x:c>
      <x:c r="J808" s="2" t="n">
        <x:v>1</x:v>
      </x:c>
      <x:c r="K808" s="2" t="n">
        <x:v>1</x:v>
      </x:c>
      <x:c r="L808" s="2" t="str">
        <x:v>Hibernating</x:v>
      </x:c>
    </x:row>
    <x:row r="809" ht="22" customHeight="1">
      <x:c r="A809" s="2"/>
      <x:c r="B809" s="2" t="str">
        <x:v>13121</x:v>
      </x:c>
      <x:c r="C809" s="2" t="str">
        <x:v>United Kingdom</x:v>
      </x:c>
      <x:c r="D809" s="25" t="n">
        <x:v>40617.49097222222</x:v>
      </x:c>
      <x:c r="E809" s="25" t="n">
        <x:v>40617.49097222222</x:v>
      </x:c>
      <x:c r="F809" s="2" t="n">
        <x:v>270</x:v>
      </x:c>
      <x:c r="G809" s="2" t="n">
        <x:v>1</x:v>
      </x:c>
      <x:c r="H809" s="11" t="n">
        <x:v>283.73</x:v>
      </x:c>
      <x:c r="I809" s="2" t="n">
        <x:v>2</x:v>
      </x:c>
      <x:c r="J809" s="2" t="n">
        <x:v>1</x:v>
      </x:c>
      <x:c r="K809" s="2" t="n">
        <x:v>1</x:v>
      </x:c>
      <x:c r="L809" s="2" t="str">
        <x:v>Hibernating</x:v>
      </x:c>
    </x:row>
    <x:row r="810" ht="22" customHeight="1">
      <x:c r="A810" s="2"/>
      <x:c r="B810" s="2" t="str">
        <x:v>13122</x:v>
      </x:c>
      <x:c r="C810" s="2" t="str">
        <x:v>United Kingdom</x:v>
      </x:c>
      <x:c r="D810" s="25" t="n">
        <x:v>40646.38333333333</x:v>
      </x:c>
      <x:c r="E810" s="25" t="n">
        <x:v>40792.45347222222</x:v>
      </x:c>
      <x:c r="F810" s="2" t="n">
        <x:v>95</x:v>
      </x:c>
      <x:c r="G810" s="2" t="n">
        <x:v>2</x:v>
      </x:c>
      <x:c r="H810" s="11" t="n">
        <x:v>922.39</x:v>
      </x:c>
      <x:c r="I810" s="2" t="n">
        <x:v>3</x:v>
      </x:c>
      <x:c r="J810" s="2" t="n">
        <x:v>2</x:v>
      </x:c>
      <x:c r="K810" s="2" t="n">
        <x:v>3</x:v>
      </x:c>
      <x:c r="L810" s="2" t="str">
        <x:v>Developing</x:v>
      </x:c>
    </x:row>
    <x:row r="811" ht="22" customHeight="1">
      <x:c r="A811" s="2"/>
      <x:c r="B811" s="2" t="str">
        <x:v>13123</x:v>
      </x:c>
      <x:c r="C811" s="2" t="str">
        <x:v>United Kingdom</x:v>
      </x:c>
      <x:c r="D811" s="25" t="n">
        <x:v>40357.32152777778</x:v>
      </x:c>
      <x:c r="E811" s="25" t="n">
        <x:v>40414.22083333333</x:v>
      </x:c>
      <x:c r="F811" s="2" t="n">
        <x:v>473</x:v>
      </x:c>
      <x:c r="G811" s="2" t="n">
        <x:v>2</x:v>
      </x:c>
      <x:c r="H811" s="11" t="n">
        <x:v>506.75</x:v>
      </x:c>
      <x:c r="I811" s="2" t="n">
        <x:v>1</x:v>
      </x:c>
      <x:c r="J811" s="2" t="n">
        <x:v>2</x:v>
      </x:c>
      <x:c r="K811" s="2" t="n">
        <x:v>2</x:v>
      </x:c>
      <x:c r="L811" s="2" t="str">
        <x:v>Hibernating</x:v>
      </x:c>
    </x:row>
    <x:row r="812" ht="22" customHeight="1">
      <x:c r="A812" s="2"/>
      <x:c r="B812" s="2" t="str">
        <x:v>13124</x:v>
      </x:c>
      <x:c r="C812" s="2" t="str">
        <x:v>United Kingdom</x:v>
      </x:c>
      <x:c r="D812" s="25" t="n">
        <x:v>40501.45138888889</x:v>
      </x:c>
      <x:c r="E812" s="25" t="n">
        <x:v>40797.322916666664</x:v>
      </x:c>
      <x:c r="F812" s="2" t="n">
        <x:v>90</x:v>
      </x:c>
      <x:c r="G812" s="2" t="n">
        <x:v>4</x:v>
      </x:c>
      <x:c r="H812" s="11" t="n">
        <x:v>4782.45</x:v>
      </x:c>
      <x:c r="I812" s="2" t="n">
        <x:v>3</x:v>
      </x:c>
      <x:c r="J812" s="2" t="n">
        <x:v>3</x:v>
      </x:c>
      <x:c r="K812" s="2" t="n">
        <x:v>5</x:v>
      </x:c>
      <x:c r="L812" s="2" t="str">
        <x:v>Loyal</x:v>
      </x:c>
    </x:row>
    <x:row r="813" ht="22" customHeight="1">
      <x:c r="A813" s="2"/>
      <x:c r="B813" s="2" t="str">
        <x:v>13125</x:v>
      </x:c>
      <x:c r="C813" s="2" t="str">
        <x:v>United Kingdom</x:v>
      </x:c>
      <x:c r="D813" s="25" t="n">
        <x:v>40363.29027777778</x:v>
      </x:c>
      <x:c r="E813" s="25" t="n">
        <x:v>40363.29027777778</x:v>
      </x:c>
      <x:c r="F813" s="2" t="n">
        <x:v>524</x:v>
      </x:c>
      <x:c r="G813" s="2" t="n">
        <x:v>1</x:v>
      </x:c>
      <x:c r="H813" s="11" t="n">
        <x:v>158.57</x:v>
      </x:c>
      <x:c r="I813" s="2" t="n">
        <x:v>1</x:v>
      </x:c>
      <x:c r="J813" s="2" t="n">
        <x:v>1</x:v>
      </x:c>
      <x:c r="K813" s="2" t="n">
        <x:v>1</x:v>
      </x:c>
      <x:c r="L813" s="2" t="str">
        <x:v>Hibernating</x:v>
      </x:c>
    </x:row>
    <x:row r="814" ht="22" customHeight="1">
      <x:c r="A814" s="2"/>
      <x:c r="B814" s="2" t="str">
        <x:v>13126</x:v>
      </x:c>
      <x:c r="C814" s="2" t="str">
        <x:v>United Kingdom</x:v>
      </x:c>
      <x:c r="D814" s="25" t="n">
        <x:v>40239.308333333334</x:v>
      </x:c>
      <x:c r="E814" s="25" t="n">
        <x:v>40882.208333333336</x:v>
      </x:c>
      <x:c r="F814" s="2" t="n">
        <x:v>5</x:v>
      </x:c>
      <x:c r="G814" s="2" t="n">
        <x:v>13</x:v>
      </x:c>
      <x:c r="H814" s="11" t="n">
        <x:v>3774.81</x:v>
      </x:c>
      <x:c r="I814" s="2" t="n">
        <x:v>5</x:v>
      </x:c>
      <x:c r="J814" s="2" t="n">
        <x:v>5</x:v>
      </x:c>
      <x:c r="K814" s="2" t="n">
        <x:v>5</x:v>
      </x:c>
      <x:c r="L814" s="2" t="str">
        <x:v>Champions</x:v>
      </x:c>
    </x:row>
    <x:row r="815" ht="22" customHeight="1">
      <x:c r="A815" s="2"/>
      <x:c r="B815" s="2" t="str">
        <x:v>13127</x:v>
      </x:c>
      <x:c r="C815" s="2" t="str">
        <x:v>United Kingdom</x:v>
      </x:c>
      <x:c r="D815" s="25" t="n">
        <x:v>40809.22638888889</x:v>
      </x:c>
      <x:c r="E815" s="25" t="n">
        <x:v>40809.22638888889</x:v>
      </x:c>
      <x:c r="F815" s="2" t="n">
        <x:v>78</x:v>
      </x:c>
      <x:c r="G815" s="2" t="n">
        <x:v>1</x:v>
      </x:c>
      <x:c r="H815" s="11" t="n">
        <x:v>259.17</x:v>
      </x:c>
      <x:c r="I815" s="2" t="n">
        <x:v>3</x:v>
      </x:c>
      <x:c r="J815" s="2" t="n">
        <x:v>1</x:v>
      </x:c>
      <x:c r="K815" s="2" t="n">
        <x:v>1</x:v>
      </x:c>
      <x:c r="L815" s="2" t="str">
        <x:v>Developing</x:v>
      </x:c>
    </x:row>
    <x:row r="816" ht="22" customHeight="1">
      <x:c r="A816" s="2"/>
      <x:c r="B816" s="2" t="str">
        <x:v>13128</x:v>
      </x:c>
      <x:c r="C816" s="2" t="str">
        <x:v>United Kingdom</x:v>
      </x:c>
      <x:c r="D816" s="25" t="n">
        <x:v>40255.42222222222</x:v>
      </x:c>
      <x:c r="E816" s="25" t="n">
        <x:v>40255.42222222222</x:v>
      </x:c>
      <x:c r="F816" s="2" t="n">
        <x:v>632</x:v>
      </x:c>
      <x:c r="G816" s="2" t="n">
        <x:v>1</x:v>
      </x:c>
      <x:c r="H816" s="11" t="n">
        <x:v>263.5</x:v>
      </x:c>
      <x:c r="I816" s="2" t="n">
        <x:v>1</x:v>
      </x:c>
      <x:c r="J816" s="2" t="n">
        <x:v>1</x:v>
      </x:c>
      <x:c r="K816" s="2" t="n">
        <x:v>1</x:v>
      </x:c>
      <x:c r="L816" s="2" t="str">
        <x:v>Hibernating</x:v>
      </x:c>
    </x:row>
    <x:row r="817" ht="22" customHeight="1">
      <x:c r="A817" s="2"/>
      <x:c r="B817" s="2" t="str">
        <x:v>13129</x:v>
      </x:c>
      <x:c r="C817" s="2" t="str">
        <x:v>United Kingdom</x:v>
      </x:c>
      <x:c r="D817" s="25" t="n">
        <x:v>40357.2875</x:v>
      </x:c>
      <x:c r="E817" s="25" t="n">
        <x:v>40434.36597222222</x:v>
      </x:c>
      <x:c r="F817" s="2" t="n">
        <x:v>453</x:v>
      </x:c>
      <x:c r="G817" s="2" t="n">
        <x:v>2</x:v>
      </x:c>
      <x:c r="H817" s="11" t="n">
        <x:v>233.25</x:v>
      </x:c>
      <x:c r="I817" s="2" t="n">
        <x:v>1</x:v>
      </x:c>
      <x:c r="J817" s="2" t="n">
        <x:v>2</x:v>
      </x:c>
      <x:c r="K817" s="2" t="n">
        <x:v>1</x:v>
      </x:c>
      <x:c r="L817" s="2" t="str">
        <x:v>Hibernating</x:v>
      </x:c>
    </x:row>
    <x:row r="818" ht="22" customHeight="1">
      <x:c r="A818" s="2"/>
      <x:c r="B818" s="2" t="str">
        <x:v>13130</x:v>
      </x:c>
      <x:c r="C818" s="2" t="str">
        <x:v>United Kingdom</x:v>
      </x:c>
      <x:c r="D818" s="25" t="n">
        <x:v>40792.4375</x:v>
      </x:c>
      <x:c r="E818" s="25" t="n">
        <x:v>40792.4375</x:v>
      </x:c>
      <x:c r="F818" s="2" t="n">
        <x:v>95</x:v>
      </x:c>
      <x:c r="G818" s="2" t="n">
        <x:v>1</x:v>
      </x:c>
      <x:c r="H818" s="11" t="n">
        <x:v>64</x:v>
      </x:c>
      <x:c r="I818" s="2" t="n">
        <x:v>3</x:v>
      </x:c>
      <x:c r="J818" s="2" t="n">
        <x:v>1</x:v>
      </x:c>
      <x:c r="K818" s="2" t="n">
        <x:v>1</x:v>
      </x:c>
      <x:c r="L818" s="2" t="str">
        <x:v>Developing</x:v>
      </x:c>
    </x:row>
    <x:row r="819" ht="22" customHeight="1">
      <x:c r="A819" s="2"/>
      <x:c r="B819" s="2" t="str">
        <x:v>13131</x:v>
      </x:c>
      <x:c r="C819" s="2" t="str">
        <x:v>United Kingdom</x:v>
      </x:c>
      <x:c r="D819" s="25" t="n">
        <x:v>40218.19930555556</x:v>
      </x:c>
      <x:c r="E819" s="25" t="n">
        <x:v>40863.347916666666</x:v>
      </x:c>
      <x:c r="F819" s="2" t="n">
        <x:v>24</x:v>
      </x:c>
      <x:c r="G819" s="2" t="n">
        <x:v>7</x:v>
      </x:c>
      <x:c r="H819" s="11" t="n">
        <x:v>3313.77</x:v>
      </x:c>
      <x:c r="I819" s="2" t="n">
        <x:v>4</x:v>
      </x:c>
      <x:c r="J819" s="2" t="n">
        <x:v>4</x:v>
      </x:c>
      <x:c r="K819" s="2" t="n">
        <x:v>5</x:v>
      </x:c>
      <x:c r="L819" s="2" t="str">
        <x:v>Champions</x:v>
      </x:c>
    </x:row>
    <x:row r="820" ht="22" customHeight="1">
      <x:c r="A820" s="2"/>
      <x:c r="B820" s="2" t="str">
        <x:v>13132</x:v>
      </x:c>
      <x:c r="C820" s="2" t="str">
        <x:v>United Kingdom</x:v>
      </x:c>
      <x:c r="D820" s="25" t="n">
        <x:v>40625.322222222225</x:v>
      </x:c>
      <x:c r="E820" s="25" t="n">
        <x:v>40625.322222222225</x:v>
      </x:c>
      <x:c r="F820" s="2" t="n">
        <x:v>262</x:v>
      </x:c>
      <x:c r="G820" s="2" t="n">
        <x:v>1</x:v>
      </x:c>
      <x:c r="H820" s="11" t="n">
        <x:v>77.3</x:v>
      </x:c>
      <x:c r="I820" s="2" t="n">
        <x:v>2</x:v>
      </x:c>
      <x:c r="J820" s="2" t="n">
        <x:v>1</x:v>
      </x:c>
      <x:c r="K820" s="2" t="n">
        <x:v>1</x:v>
      </x:c>
      <x:c r="L820" s="2" t="str">
        <x:v>Hibernating</x:v>
      </x:c>
    </x:row>
    <x:row r="821" ht="22" customHeight="1">
      <x:c r="A821" s="2"/>
      <x:c r="B821" s="2" t="str">
        <x:v>13133</x:v>
      </x:c>
      <x:c r="C821" s="2" t="str">
        <x:v>United Kingdom</x:v>
      </x:c>
      <x:c r="D821" s="25" t="n">
        <x:v>40427.4375</x:v>
      </x:c>
      <x:c r="E821" s="25" t="n">
        <x:v>40613.22986111111</x:v>
      </x:c>
      <x:c r="F821" s="2" t="n">
        <x:v>274</x:v>
      </x:c>
      <x:c r="G821" s="2" t="n">
        <x:v>3</x:v>
      </x:c>
      <x:c r="H821" s="11" t="n">
        <x:v>200.45</x:v>
      </x:c>
      <x:c r="I821" s="2" t="n">
        <x:v>2</x:v>
      </x:c>
      <x:c r="J821" s="2" t="n">
        <x:v>3</x:v>
      </x:c>
      <x:c r="K821" s="2" t="n">
        <x:v>1</x:v>
      </x:c>
      <x:c r="L821" s="2" t="str">
        <x:v>At risk</x:v>
      </x:c>
    </x:row>
    <x:row r="822" ht="22" customHeight="1">
      <x:c r="A822" s="2"/>
      <x:c r="B822" s="2" t="str">
        <x:v>13134</x:v>
      </x:c>
      <x:c r="C822" s="2" t="str">
        <x:v>United Kingdom</x:v>
      </x:c>
      <x:c r="D822" s="25" t="n">
        <x:v>40470.347916666666</x:v>
      </x:c>
      <x:c r="E822" s="25" t="n">
        <x:v>40801.23263888889</x:v>
      </x:c>
      <x:c r="F822" s="2" t="n">
        <x:v>86</x:v>
      </x:c>
      <x:c r="G822" s="2" t="n">
        <x:v>6</x:v>
      </x:c>
      <x:c r="H822" s="11" t="n">
        <x:v>2475.23</x:v>
      </x:c>
      <x:c r="I822" s="2" t="n">
        <x:v>3</x:v>
      </x:c>
      <x:c r="J822" s="2" t="n">
        <x:v>4</x:v>
      </x:c>
      <x:c r="K822" s="2" t="n">
        <x:v>4</x:v>
      </x:c>
      <x:c r="L822" s="2" t="str">
        <x:v>Loyal</x:v>
      </x:c>
    </x:row>
    <x:row r="823" ht="22" customHeight="1">
      <x:c r="A823" s="2"/>
      <x:c r="B823" s="2" t="str">
        <x:v>13135</x:v>
      </x:c>
      <x:c r="C823" s="2" t="str">
        <x:v>United Kingdom</x:v>
      </x:c>
      <x:c r="D823" s="25" t="n">
        <x:v>40395.51944444444</x:v>
      </x:c>
      <x:c r="E823" s="25" t="n">
        <x:v>40690.24444444444</x:v>
      </x:c>
      <x:c r="F823" s="2" t="n">
        <x:v>197</x:v>
      </x:c>
      <x:c r="G823" s="2" t="n">
        <x:v>2</x:v>
      </x:c>
      <x:c r="H823" s="11" t="n">
        <x:v>3371.45</x:v>
      </x:c>
      <x:c r="I823" s="2" t="n">
        <x:v>2</x:v>
      </x:c>
      <x:c r="J823" s="2" t="n">
        <x:v>2</x:v>
      </x:c>
      <x:c r="K823" s="2" t="n">
        <x:v>5</x:v>
      </x:c>
      <x:c r="L823" s="2" t="str">
        <x:v>Hibernating</x:v>
      </x:c>
    </x:row>
    <x:row r="824" ht="22" customHeight="1">
      <x:c r="A824" s="2"/>
      <x:c r="B824" s="2" t="str">
        <x:v>13136</x:v>
      </x:c>
      <x:c r="C824" s="2" t="str">
        <x:v>United Kingdom</x:v>
      </x:c>
      <x:c r="D824" s="25" t="n">
        <x:v>40155.5625</x:v>
      </x:c>
      <x:c r="E824" s="25" t="n">
        <x:v>40830.361805555556</x:v>
      </x:c>
      <x:c r="F824" s="2" t="n">
        <x:v>57</x:v>
      </x:c>
      <x:c r="G824" s="2" t="n">
        <x:v>13</x:v>
      </x:c>
      <x:c r="H824" s="11" t="n">
        <x:v>6274.56</x:v>
      </x:c>
      <x:c r="I824" s="2" t="n">
        <x:v>4</x:v>
      </x:c>
      <x:c r="J824" s="2" t="n">
        <x:v>5</x:v>
      </x:c>
      <x:c r="K824" s="2" t="n">
        <x:v>5</x:v>
      </x:c>
      <x:c r="L824" s="2" t="str">
        <x:v>Champions</x:v>
      </x:c>
    </x:row>
    <x:row r="825" ht="22" customHeight="1">
      <x:c r="A825" s="2"/>
      <x:c r="B825" s="2" t="str">
        <x:v>13137</x:v>
      </x:c>
      <x:c r="C825" s="2" t="str">
        <x:v>United Kingdom</x:v>
      </x:c>
      <x:c r="D825" s="25" t="n">
        <x:v>40384.444444444445</x:v>
      </x:c>
      <x:c r="E825" s="25" t="n">
        <x:v>40876.29791666667</x:v>
      </x:c>
      <x:c r="F825" s="2" t="n">
        <x:v>11</x:v>
      </x:c>
      <x:c r="G825" s="2" t="n">
        <x:v>16</x:v>
      </x:c>
      <x:c r="H825" s="11" t="n">
        <x:v>7712.7</x:v>
      </x:c>
      <x:c r="I825" s="2" t="n">
        <x:v>5</x:v>
      </x:c>
      <x:c r="J825" s="2" t="n">
        <x:v>5</x:v>
      </x:c>
      <x:c r="K825" s="2" t="n">
        <x:v>5</x:v>
      </x:c>
      <x:c r="L825" s="2" t="str">
        <x:v>Champions</x:v>
      </x:c>
    </x:row>
    <x:row r="826" ht="22" customHeight="1">
      <x:c r="A826" s="2"/>
      <x:c r="B826" s="2" t="str">
        <x:v>13138</x:v>
      </x:c>
      <x:c r="C826" s="2" t="str">
        <x:v>United Kingdom</x:v>
      </x:c>
      <x:c r="D826" s="25" t="n">
        <x:v>40490.28125</x:v>
      </x:c>
      <x:c r="E826" s="25" t="n">
        <x:v>40864.49375</x:v>
      </x:c>
      <x:c r="F826" s="2" t="n">
        <x:v>23</x:v>
      </x:c>
      <x:c r="G826" s="2" t="n">
        <x:v>7</x:v>
      </x:c>
      <x:c r="H826" s="11" t="n">
        <x:v>1274.01</x:v>
      </x:c>
      <x:c r="I826" s="2" t="n">
        <x:v>4</x:v>
      </x:c>
      <x:c r="J826" s="2" t="n">
        <x:v>4</x:v>
      </x:c>
      <x:c r="K826" s="2" t="n">
        <x:v>4</x:v>
      </x:c>
      <x:c r="L826" s="2" t="str">
        <x:v>Champions</x:v>
      </x:c>
    </x:row>
    <x:row r="827" ht="22" customHeight="1">
      <x:c r="A827" s="2"/>
      <x:c r="B827" s="2" t="str">
        <x:v>13139</x:v>
      </x:c>
      <x:c r="C827" s="2" t="str">
        <x:v>United Kingdom</x:v>
      </x:c>
      <x:c r="D827" s="25" t="n">
        <x:v>40449.175</x:v>
      </x:c>
      <x:c r="E827" s="25" t="n">
        <x:v>40870.370833333334</x:v>
      </x:c>
      <x:c r="F827" s="2" t="n">
        <x:v>17</x:v>
      </x:c>
      <x:c r="G827" s="2" t="n">
        <x:v>8</x:v>
      </x:c>
      <x:c r="H827" s="11" t="n">
        <x:v>8202.98</x:v>
      </x:c>
      <x:c r="I827" s="2" t="n">
        <x:v>5</x:v>
      </x:c>
      <x:c r="J827" s="2" t="n">
        <x:v>4</x:v>
      </x:c>
      <x:c r="K827" s="2" t="n">
        <x:v>5</x:v>
      </x:c>
      <x:c r="L827" s="2" t="str">
        <x:v>Champions</x:v>
      </x:c>
    </x:row>
    <x:row r="828" ht="22" customHeight="1">
      <x:c r="A828" s="2"/>
      <x:c r="B828" s="2" t="str">
        <x:v>13140</x:v>
      </x:c>
      <x:c r="C828" s="2" t="str">
        <x:v>United Kingdom</x:v>
      </x:c>
      <x:c r="D828" s="25" t="n">
        <x:v>40395.586805555555</x:v>
      </x:c>
      <x:c r="E828" s="25" t="n">
        <x:v>40778.43958333333</x:v>
      </x:c>
      <x:c r="F828" s="2" t="n">
        <x:v>109</x:v>
      </x:c>
      <x:c r="G828" s="2" t="n">
        <x:v>5</x:v>
      </x:c>
      <x:c r="H828" s="11" t="n">
        <x:v>1056.17</x:v>
      </x:c>
      <x:c r="I828" s="2" t="n">
        <x:v>3</x:v>
      </x:c>
      <x:c r="J828" s="2" t="n">
        <x:v>4</x:v>
      </x:c>
      <x:c r="K828" s="2" t="n">
        <x:v>3</x:v>
      </x:c>
      <x:c r="L828" s="2" t="str">
        <x:v>Loyal</x:v>
      </x:c>
    </x:row>
    <x:row r="829" ht="22" customHeight="1">
      <x:c r="A829" s="2"/>
      <x:c r="B829" s="2" t="str">
        <x:v>13141</x:v>
      </x:c>
      <x:c r="C829" s="2" t="str">
        <x:v>United Kingdom</x:v>
      </x:c>
      <x:c r="D829" s="25" t="n">
        <x:v>40156.356944444444</x:v>
      </x:c>
      <x:c r="E829" s="25" t="n">
        <x:v>40802.20416666667</x:v>
      </x:c>
      <x:c r="F829" s="2" t="n">
        <x:v>85</x:v>
      </x:c>
      <x:c r="G829" s="2" t="n">
        <x:v>17</x:v>
      </x:c>
      <x:c r="H829" s="11" t="n">
        <x:v>7668.58</x:v>
      </x:c>
      <x:c r="I829" s="2" t="n">
        <x:v>3</x:v>
      </x:c>
      <x:c r="J829" s="2" t="n">
        <x:v>5</x:v>
      </x:c>
      <x:c r="K829" s="2" t="n">
        <x:v>5</x:v>
      </x:c>
      <x:c r="L829" s="2" t="str">
        <x:v>Loyal</x:v>
      </x:c>
    </x:row>
    <x:row r="830" ht="22" customHeight="1">
      <x:c r="A830" s="2"/>
      <x:c r="B830" s="2" t="str">
        <x:v>13142</x:v>
      </x:c>
      <x:c r="C830" s="2" t="str">
        <x:v>United Kingdom</x:v>
      </x:c>
      <x:c r="D830" s="25" t="n">
        <x:v>40867.46319444444</x:v>
      </x:c>
      <x:c r="E830" s="25" t="n">
        <x:v>40867.46319444444</x:v>
      </x:c>
      <x:c r="F830" s="2" t="n">
        <x:v>20</x:v>
      </x:c>
      <x:c r="G830" s="2" t="n">
        <x:v>1</x:v>
      </x:c>
      <x:c r="H830" s="11" t="n">
        <x:v>307.09</x:v>
      </x:c>
      <x:c r="I830" s="2" t="n">
        <x:v>5</x:v>
      </x:c>
      <x:c r="J830" s="2" t="n">
        <x:v>1</x:v>
      </x:c>
      <x:c r="K830" s="2" t="n">
        <x:v>2</x:v>
      </x:c>
      <x:c r="L830" s="2" t="str">
        <x:v>Recent light buyers</x:v>
      </x:c>
    </x:row>
    <x:row r="831" ht="22" customHeight="1">
      <x:c r="A831" s="2"/>
      <x:c r="B831" s="2" t="str">
        <x:v>13143</x:v>
      </x:c>
      <x:c r="C831" s="2" t="str">
        <x:v>United Kingdom</x:v>
      </x:c>
      <x:c r="D831" s="25" t="n">
        <x:v>40302.30694444444</x:v>
      </x:c>
      <x:c r="E831" s="25" t="n">
        <x:v>40302.30694444444</x:v>
      </x:c>
      <x:c r="F831" s="2" t="n">
        <x:v>585</x:v>
      </x:c>
      <x:c r="G831" s="2" t="n">
        <x:v>1</x:v>
      </x:c>
      <x:c r="H831" s="11" t="n">
        <x:v>405.1</x:v>
      </x:c>
      <x:c r="I831" s="2" t="n">
        <x:v>1</x:v>
      </x:c>
      <x:c r="J831" s="2" t="n">
        <x:v>1</x:v>
      </x:c>
      <x:c r="K831" s="2" t="n">
        <x:v>2</x:v>
      </x:c>
      <x:c r="L831" s="2" t="str">
        <x:v>Hibernating</x:v>
      </x:c>
    </x:row>
    <x:row r="832" ht="22" customHeight="1">
      <x:c r="A832" s="2"/>
      <x:c r="B832" s="2" t="str">
        <x:v>13144</x:v>
      </x:c>
      <x:c r="C832" s="2" t="str">
        <x:v>United Kingdom</x:v>
      </x:c>
      <x:c r="D832" s="25" t="n">
        <x:v>40455.384722222225</x:v>
      </x:c>
      <x:c r="E832" s="25" t="n">
        <x:v>40554.260416666664</x:v>
      </x:c>
      <x:c r="F832" s="2" t="n">
        <x:v>333</x:v>
      </x:c>
      <x:c r="G832" s="2" t="n">
        <x:v>2</x:v>
      </x:c>
      <x:c r="H832" s="11" t="n">
        <x:v>135.35</x:v>
      </x:c>
      <x:c r="I832" s="2" t="n">
        <x:v>2</x:v>
      </x:c>
      <x:c r="J832" s="2" t="n">
        <x:v>2</x:v>
      </x:c>
      <x:c r="K832" s="2" t="n">
        <x:v>1</x:v>
      </x:c>
      <x:c r="L832" s="2" t="str">
        <x:v>Hibernating</x:v>
      </x:c>
    </x:row>
    <x:row r="833" ht="22" customHeight="1">
      <x:c r="A833" s="2"/>
      <x:c r="B833" s="2" t="str">
        <x:v>13145</x:v>
      </x:c>
      <x:c r="C833" s="2" t="str">
        <x:v>United Kingdom</x:v>
      </x:c>
      <x:c r="D833" s="25" t="n">
        <x:v>40287.25763888889</x:v>
      </x:c>
      <x:c r="E833" s="25" t="n">
        <x:v>40847.322916666664</x:v>
      </x:c>
      <x:c r="F833" s="2" t="n">
        <x:v>40</x:v>
      </x:c>
      <x:c r="G833" s="2" t="n">
        <x:v>7</x:v>
      </x:c>
      <x:c r="H833" s="11" t="n">
        <x:v>1128.52</x:v>
      </x:c>
      <x:c r="I833" s="2" t="n">
        <x:v>4</x:v>
      </x:c>
      <x:c r="J833" s="2" t="n">
        <x:v>4</x:v>
      </x:c>
      <x:c r="K833" s="2" t="n">
        <x:v>3</x:v>
      </x:c>
      <x:c r="L833" s="2" t="str">
        <x:v>Loyal</x:v>
      </x:c>
    </x:row>
    <x:row r="834" ht="22" customHeight="1">
      <x:c r="A834" s="2"/>
      <x:c r="B834" s="2" t="str">
        <x:v>13146</x:v>
      </x:c>
      <x:c r="C834" s="2" t="str">
        <x:v>United Kingdom</x:v>
      </x:c>
      <x:c r="D834" s="25" t="n">
        <x:v>40860.43680555555</x:v>
      </x:c>
      <x:c r="E834" s="25" t="n">
        <x:v>40860.43680555555</x:v>
      </x:c>
      <x:c r="F834" s="2" t="n">
        <x:v>27</x:v>
      </x:c>
      <x:c r="G834" s="2" t="n">
        <x:v>1</x:v>
      </x:c>
      <x:c r="H834" s="11" t="n">
        <x:v>228.91</x:v>
      </x:c>
      <x:c r="I834" s="2" t="n">
        <x:v>4</x:v>
      </x:c>
      <x:c r="J834" s="2" t="n">
        <x:v>1</x:v>
      </x:c>
      <x:c r="K834" s="2" t="n">
        <x:v>1</x:v>
      </x:c>
      <x:c r="L834" s="2" t="str">
        <x:v>Recent light buyers</x:v>
      </x:c>
    </x:row>
    <x:row r="835" ht="22" customHeight="1">
      <x:c r="A835" s="2"/>
      <x:c r="B835" s="2" t="str">
        <x:v>13147</x:v>
      </x:c>
      <x:c r="C835" s="2" t="str">
        <x:v>United Kingdom</x:v>
      </x:c>
      <x:c r="D835" s="25" t="n">
        <x:v>40787.311111111114</x:v>
      </x:c>
      <x:c r="E835" s="25" t="n">
        <x:v>40876.37430555555</x:v>
      </x:c>
      <x:c r="F835" s="2" t="n">
        <x:v>11</x:v>
      </x:c>
      <x:c r="G835" s="2" t="n">
        <x:v>4</x:v>
      </x:c>
      <x:c r="H835" s="11" t="n">
        <x:v>712.8</x:v>
      </x:c>
      <x:c r="I835" s="2" t="n">
        <x:v>5</x:v>
      </x:c>
      <x:c r="J835" s="2" t="n">
        <x:v>3</x:v>
      </x:c>
      <x:c r="K835" s="2" t="n">
        <x:v>3</x:v>
      </x:c>
      <x:c r="L835" s="2" t="str">
        <x:v>Loyal</x:v>
      </x:c>
    </x:row>
    <x:row r="836" ht="22" customHeight="1">
      <x:c r="A836" s="2"/>
      <x:c r="B836" s="2" t="str">
        <x:v>13148</x:v>
      </x:c>
      <x:c r="C836" s="2" t="str">
        <x:v>United Kingdom</x:v>
      </x:c>
      <x:c r="D836" s="25" t="n">
        <x:v>40154.43472222222</x:v>
      </x:c>
      <x:c r="E836" s="25" t="n">
        <x:v>40857.43263888889</x:v>
      </x:c>
      <x:c r="F836" s="2" t="n">
        <x:v>30</x:v>
      </x:c>
      <x:c r="G836" s="2" t="n">
        <x:v>26</x:v>
      </x:c>
      <x:c r="H836" s="11" t="n">
        <x:v>8621.81</x:v>
      </x:c>
      <x:c r="I836" s="2" t="n">
        <x:v>4</x:v>
      </x:c>
      <x:c r="J836" s="2" t="n">
        <x:v>5</x:v>
      </x:c>
      <x:c r="K836" s="2" t="n">
        <x:v>5</x:v>
      </x:c>
      <x:c r="L836" s="2" t="str">
        <x:v>Champions</x:v>
      </x:c>
    </x:row>
    <x:row r="837" ht="22" customHeight="1">
      <x:c r="A837" s="2"/>
      <x:c r="B837" s="2" t="str">
        <x:v>13149</x:v>
      </x:c>
      <x:c r="C837" s="2" t="str">
        <x:v>United Kingdom</x:v>
      </x:c>
      <x:c r="D837" s="25" t="n">
        <x:v>40597.37291666667</x:v>
      </x:c>
      <x:c r="E837" s="25" t="n">
        <x:v>40872.339583333334</x:v>
      </x:c>
      <x:c r="F837" s="2" t="n">
        <x:v>15</x:v>
      </x:c>
      <x:c r="G837" s="2" t="n">
        <x:v>4</x:v>
      </x:c>
      <x:c r="H837" s="11" t="n">
        <x:v>1676.06</x:v>
      </x:c>
      <x:c r="I837" s="2" t="n">
        <x:v>5</x:v>
      </x:c>
      <x:c r="J837" s="2" t="n">
        <x:v>3</x:v>
      </x:c>
      <x:c r="K837" s="2" t="n">
        <x:v>4</x:v>
      </x:c>
      <x:c r="L837" s="2" t="str">
        <x:v>Loyal</x:v>
      </x:c>
    </x:row>
    <x:row r="838" ht="22" customHeight="1">
      <x:c r="A838" s="2"/>
      <x:c r="B838" s="2" t="str">
        <x:v>13150</x:v>
      </x:c>
      <x:c r="C838" s="2" t="str">
        <x:v>United Kingdom</x:v>
      </x:c>
      <x:c r="D838" s="25" t="n">
        <x:v>40256.16875</x:v>
      </x:c>
      <x:c r="E838" s="25" t="n">
        <x:v>40402.33263888889</x:v>
      </x:c>
      <x:c r="F838" s="2" t="n">
        <x:v>485</x:v>
      </x:c>
      <x:c r="G838" s="2" t="n">
        <x:v>3</x:v>
      </x:c>
      <x:c r="H838" s="11" t="n">
        <x:v>449.97</x:v>
      </x:c>
      <x:c r="I838" s="2" t="n">
        <x:v>1</x:v>
      </x:c>
      <x:c r="J838" s="2" t="n">
        <x:v>3</x:v>
      </x:c>
      <x:c r="K838" s="2" t="n">
        <x:v>2</x:v>
      </x:c>
      <x:c r="L838" s="2" t="str">
        <x:v>At risk</x:v>
      </x:c>
    </x:row>
    <x:row r="839" ht="22" customHeight="1">
      <x:c r="A839" s="2"/>
      <x:c r="B839" s="2" t="str">
        <x:v>13151</x:v>
      </x:c>
      <x:c r="C839" s="2" t="str">
        <x:v>United Kingdom</x:v>
      </x:c>
      <x:c r="D839" s="25" t="n">
        <x:v>40259.22638888889</x:v>
      </x:c>
      <x:c r="E839" s="25" t="n">
        <x:v>40591.31180555555</x:v>
      </x:c>
      <x:c r="F839" s="2" t="n">
        <x:v>296</x:v>
      </x:c>
      <x:c r="G839" s="2" t="n">
        <x:v>3</x:v>
      </x:c>
      <x:c r="H839" s="11" t="n">
        <x:v>2580.74</x:v>
      </x:c>
      <x:c r="I839" s="2" t="n">
        <x:v>2</x:v>
      </x:c>
      <x:c r="J839" s="2" t="n">
        <x:v>3</x:v>
      </x:c>
      <x:c r="K839" s="2" t="n">
        <x:v>4</x:v>
      </x:c>
      <x:c r="L839" s="2" t="str">
        <x:v>At risk</x:v>
      </x:c>
    </x:row>
    <x:row r="840" ht="22" customHeight="1">
      <x:c r="A840" s="2"/>
      <x:c r="B840" s="2" t="str">
        <x:v>13152</x:v>
      </x:c>
      <x:c r="C840" s="2" t="str">
        <x:v>United Kingdom</x:v>
      </x:c>
      <x:c r="D840" s="25" t="n">
        <x:v>40192.209027777775</x:v>
      </x:c>
      <x:c r="E840" s="25" t="n">
        <x:v>40469.36388888889</x:v>
      </x:c>
      <x:c r="F840" s="2" t="n">
        <x:v>418</x:v>
      </x:c>
      <x:c r="G840" s="2" t="n">
        <x:v>7</x:v>
      </x:c>
      <x:c r="H840" s="11" t="n">
        <x:v>2146.38</x:v>
      </x:c>
      <x:c r="I840" s="2" t="n">
        <x:v>1</x:v>
      </x:c>
      <x:c r="J840" s="2" t="n">
        <x:v>4</x:v>
      </x:c>
      <x:c r="K840" s="2" t="n">
        <x:v>4</x:v>
      </x:c>
      <x:c r="L840" s="2" t="str">
        <x:v>At risk</x:v>
      </x:c>
    </x:row>
    <x:row r="841" ht="22" customHeight="1">
      <x:c r="A841" s="2"/>
      <x:c r="B841" s="2" t="str">
        <x:v>13153</x:v>
      </x:c>
      <x:c r="C841" s="2" t="str">
        <x:v>United Kingdom</x:v>
      </x:c>
      <x:c r="D841" s="25" t="n">
        <x:v>40881.30138888889</x:v>
      </x:c>
      <x:c r="E841" s="25" t="n">
        <x:v>40881.30138888889</x:v>
      </x:c>
      <x:c r="F841" s="2" t="n">
        <x:v>6</x:v>
      </x:c>
      <x:c r="G841" s="2" t="n">
        <x:v>1</x:v>
      </x:c>
      <x:c r="H841" s="11" t="n">
        <x:v>486.22</x:v>
      </x:c>
      <x:c r="I841" s="2" t="n">
        <x:v>5</x:v>
      </x:c>
      <x:c r="J841" s="2" t="n">
        <x:v>1</x:v>
      </x:c>
      <x:c r="K841" s="2" t="n">
        <x:v>2</x:v>
      </x:c>
      <x:c r="L841" s="2" t="str">
        <x:v>Recent light buyers</x:v>
      </x:c>
    </x:row>
    <x:row r="842" ht="22" customHeight="1">
      <x:c r="A842" s="2"/>
      <x:c r="B842" s="2" t="str">
        <x:v>13154</x:v>
      </x:c>
      <x:c r="C842" s="2" t="str">
        <x:v>United Kingdom</x:v>
      </x:c>
      <x:c r="D842" s="25" t="n">
        <x:v>40151.15694444445</x:v>
      </x:c>
      <x:c r="E842" s="25" t="n">
        <x:v>40487.458333333336</x:v>
      </x:c>
      <x:c r="F842" s="2" t="n">
        <x:v>400</x:v>
      </x:c>
      <x:c r="G842" s="2" t="n">
        <x:v>3</x:v>
      </x:c>
      <x:c r="H842" s="11" t="n">
        <x:v>1624.84</x:v>
      </x:c>
      <x:c r="I842" s="2" t="n">
        <x:v>2</x:v>
      </x:c>
      <x:c r="J842" s="2" t="n">
        <x:v>3</x:v>
      </x:c>
      <x:c r="K842" s="2" t="n">
        <x:v>4</x:v>
      </x:c>
      <x:c r="L842" s="2" t="str">
        <x:v>At risk</x:v>
      </x:c>
    </x:row>
    <x:row r="843" ht="22" customHeight="1">
      <x:c r="A843" s="2"/>
      <x:c r="B843" s="2" t="str">
        <x:v>13155</x:v>
      </x:c>
      <x:c r="C843" s="2" t="str">
        <x:v>United Kingdom</x:v>
      </x:c>
      <x:c r="D843" s="25" t="n">
        <x:v>40395.1875</x:v>
      </x:c>
      <x:c r="E843" s="25" t="n">
        <x:v>40853.44513888889</x:v>
      </x:c>
      <x:c r="F843" s="2" t="n">
        <x:v>34</x:v>
      </x:c>
      <x:c r="G843" s="2" t="n">
        <x:v>6</x:v>
      </x:c>
      <x:c r="H843" s="11" t="n">
        <x:v>1370.48</x:v>
      </x:c>
      <x:c r="I843" s="2" t="n">
        <x:v>4</x:v>
      </x:c>
      <x:c r="J843" s="2" t="n">
        <x:v>4</x:v>
      </x:c>
      <x:c r="K843" s="2" t="n">
        <x:v>4</x:v>
      </x:c>
      <x:c r="L843" s="2" t="str">
        <x:v>Champions</x:v>
      </x:c>
    </x:row>
    <x:row r="844" ht="22" customHeight="1">
      <x:c r="A844" s="2"/>
      <x:c r="B844" s="2" t="str">
        <x:v>13156</x:v>
      </x:c>
      <x:c r="C844" s="2" t="str">
        <x:v>United Kingdom</x:v>
      </x:c>
      <x:c r="D844" s="25" t="n">
        <x:v>40210.364583333336</x:v>
      </x:c>
      <x:c r="E844" s="25" t="n">
        <x:v>40501.339583333334</x:v>
      </x:c>
      <x:c r="F844" s="2" t="n">
        <x:v>386</x:v>
      </x:c>
      <x:c r="G844" s="2" t="n">
        <x:v>3</x:v>
      </x:c>
      <x:c r="H844" s="11" t="n">
        <x:v>1586.54</x:v>
      </x:c>
      <x:c r="I844" s="2" t="n">
        <x:v>2</x:v>
      </x:c>
      <x:c r="J844" s="2" t="n">
        <x:v>3</x:v>
      </x:c>
      <x:c r="K844" s="2" t="n">
        <x:v>4</x:v>
      </x:c>
      <x:c r="L844" s="2" t="str">
        <x:v>At risk</x:v>
      </x:c>
    </x:row>
    <x:row r="845" ht="22" customHeight="1">
      <x:c r="A845" s="2"/>
      <x:c r="B845" s="2" t="str">
        <x:v>13157</x:v>
      </x:c>
      <x:c r="C845" s="2" t="str">
        <x:v>United Kingdom</x:v>
      </x:c>
      <x:c r="D845" s="25" t="n">
        <x:v>40245.290972222225</x:v>
      </x:c>
      <x:c r="E845" s="25" t="n">
        <x:v>40837.368055555555</x:v>
      </x:c>
      <x:c r="F845" s="2" t="n">
        <x:v>50</x:v>
      </x:c>
      <x:c r="G845" s="2" t="n">
        <x:v>9</x:v>
      </x:c>
      <x:c r="H845" s="11" t="n">
        <x:v>5687.36</x:v>
      </x:c>
      <x:c r="I845" s="2" t="n">
        <x:v>4</x:v>
      </x:c>
      <x:c r="J845" s="2" t="n">
        <x:v>5</x:v>
      </x:c>
      <x:c r="K845" s="2" t="n">
        <x:v>5</x:v>
      </x:c>
      <x:c r="L845" s="2" t="str">
        <x:v>Champions</x:v>
      </x:c>
    </x:row>
    <x:row r="846" ht="22" customHeight="1">
      <x:c r="A846" s="2"/>
      <x:c r="B846" s="2" t="str">
        <x:v>13158</x:v>
      </x:c>
      <x:c r="C846" s="2" t="str">
        <x:v>United Kingdom</x:v>
      </x:c>
      <x:c r="D846" s="25" t="n">
        <x:v>40498.50833333333</x:v>
      </x:c>
      <x:c r="E846" s="25" t="n">
        <x:v>40792.29027777778</x:v>
      </x:c>
      <x:c r="F846" s="2" t="n">
        <x:v>95</x:v>
      </x:c>
      <x:c r="G846" s="2" t="n">
        <x:v>5</x:v>
      </x:c>
      <x:c r="H846" s="11" t="n">
        <x:v>1508.18</x:v>
      </x:c>
      <x:c r="I846" s="2" t="n">
        <x:v>3</x:v>
      </x:c>
      <x:c r="J846" s="2" t="n">
        <x:v>4</x:v>
      </x:c>
      <x:c r="K846" s="2" t="n">
        <x:v>4</x:v>
      </x:c>
      <x:c r="L846" s="2" t="str">
        <x:v>Loyal</x:v>
      </x:c>
    </x:row>
    <x:row r="847" ht="22" customHeight="1">
      <x:c r="A847" s="2"/>
      <x:c r="B847" s="2" t="str">
        <x:v>13159</x:v>
      </x:c>
      <x:c r="C847" s="2" t="str">
        <x:v>United Kingdom</x:v>
      </x:c>
      <x:c r="D847" s="25" t="n">
        <x:v>40771.28055555555</x:v>
      </x:c>
      <x:c r="E847" s="25" t="n">
        <x:v>40878.26388888889</x:v>
      </x:c>
      <x:c r="F847" s="2" t="n">
        <x:v>9</x:v>
      </x:c>
      <x:c r="G847" s="2" t="n">
        <x:v>4</x:v>
      </x:c>
      <x:c r="H847" s="11" t="n">
        <x:v>1437.85</x:v>
      </x:c>
      <x:c r="I847" s="2" t="n">
        <x:v>5</x:v>
      </x:c>
      <x:c r="J847" s="2" t="n">
        <x:v>3</x:v>
      </x:c>
      <x:c r="K847" s="2" t="n">
        <x:v>4</x:v>
      </x:c>
      <x:c r="L847" s="2" t="str">
        <x:v>Loyal</x:v>
      </x:c>
    </x:row>
    <x:row r="848" ht="22" customHeight="1">
      <x:c r="A848" s="2"/>
      <x:c r="B848" s="2" t="str">
        <x:v>13160</x:v>
      </x:c>
      <x:c r="C848" s="2" t="str">
        <x:v>United Kingdom</x:v>
      </x:c>
      <x:c r="D848" s="25" t="n">
        <x:v>40864.33819444444</x:v>
      </x:c>
      <x:c r="E848" s="25" t="n">
        <x:v>40864.33819444444</x:v>
      </x:c>
      <x:c r="F848" s="2" t="n">
        <x:v>23</x:v>
      </x:c>
      <x:c r="G848" s="2" t="n">
        <x:v>1</x:v>
      </x:c>
      <x:c r="H848" s="11" t="n">
        <x:v>91.8</x:v>
      </x:c>
      <x:c r="I848" s="2" t="n">
        <x:v>4</x:v>
      </x:c>
      <x:c r="J848" s="2" t="n">
        <x:v>1</x:v>
      </x:c>
      <x:c r="K848" s="2" t="n">
        <x:v>1</x:v>
      </x:c>
      <x:c r="L848" s="2" t="str">
        <x:v>Recent light buyers</x:v>
      </x:c>
    </x:row>
    <x:row r="849" ht="22" customHeight="1">
      <x:c r="A849" s="2"/>
      <x:c r="B849" s="2" t="str">
        <x:v>13161</x:v>
      </x:c>
      <x:c r="C849" s="2" t="str">
        <x:v>United Kingdom</x:v>
      </x:c>
      <x:c r="D849" s="25" t="n">
        <x:v>40386.322222222225</x:v>
      </x:c>
      <x:c r="E849" s="25" t="n">
        <x:v>40573.37708333333</x:v>
      </x:c>
      <x:c r="F849" s="2" t="n">
        <x:v>314</x:v>
      </x:c>
      <x:c r="G849" s="2" t="n">
        <x:v>2</x:v>
      </x:c>
      <x:c r="H849" s="11" t="n">
        <x:v>478.88</x:v>
      </x:c>
      <x:c r="I849" s="2" t="n">
        <x:v>2</x:v>
      </x:c>
      <x:c r="J849" s="2" t="n">
        <x:v>2</x:v>
      </x:c>
      <x:c r="K849" s="2" t="n">
        <x:v>2</x:v>
      </x:c>
      <x:c r="L849" s="2" t="str">
        <x:v>Hibernating</x:v>
      </x:c>
    </x:row>
    <x:row r="850" ht="22" customHeight="1">
      <x:c r="A850" s="2"/>
      <x:c r="B850" s="2" t="str">
        <x:v>13162</x:v>
      </x:c>
      <x:c r="C850" s="2" t="str">
        <x:v>United Kingdom</x:v>
      </x:c>
      <x:c r="D850" s="25" t="n">
        <x:v>40151.37430555555</x:v>
      </x:c>
      <x:c r="E850" s="25" t="n">
        <x:v>40764.45763888889</x:v>
      </x:c>
      <x:c r="F850" s="2" t="n">
        <x:v>123</x:v>
      </x:c>
      <x:c r="G850" s="2" t="n">
        <x:v>16</x:v>
      </x:c>
      <x:c r="H850" s="11" t="n">
        <x:v>9275.49</x:v>
      </x:c>
      <x:c r="I850" s="2" t="n">
        <x:v>3</x:v>
      </x:c>
      <x:c r="J850" s="2" t="n">
        <x:v>5</x:v>
      </x:c>
      <x:c r="K850" s="2" t="n">
        <x:v>5</x:v>
      </x:c>
      <x:c r="L850" s="2" t="str">
        <x:v>Loyal</x:v>
      </x:c>
    </x:row>
    <x:row r="851" ht="22" customHeight="1">
      <x:c r="A851" s="2"/>
      <x:c r="B851" s="2" t="str">
        <x:v>13163</x:v>
      </x:c>
      <x:c r="C851" s="2" t="str">
        <x:v>United Kingdom</x:v>
      </x:c>
      <x:c r="D851" s="25" t="n">
        <x:v>40276.472916666666</x:v>
      </x:c>
      <x:c r="E851" s="25" t="n">
        <x:v>40276.472916666666</x:v>
      </x:c>
      <x:c r="F851" s="2" t="n">
        <x:v>611</x:v>
      </x:c>
      <x:c r="G851" s="2" t="n">
        <x:v>1</x:v>
      </x:c>
      <x:c r="H851" s="11" t="n">
        <x:v>17.65</x:v>
      </x:c>
      <x:c r="I851" s="2" t="n">
        <x:v>1</x:v>
      </x:c>
      <x:c r="J851" s="2" t="n">
        <x:v>1</x:v>
      </x:c>
      <x:c r="K851" s="2" t="n">
        <x:v>1</x:v>
      </x:c>
      <x:c r="L851" s="2" t="str">
        <x:v>Hibernating</x:v>
      </x:c>
    </x:row>
    <x:row r="852" ht="22" customHeight="1">
      <x:c r="A852" s="2"/>
      <x:c r="B852" s="2" t="str">
        <x:v>13164</x:v>
      </x:c>
      <x:c r="C852" s="2" t="str">
        <x:v>United Kingdom</x:v>
      </x:c>
      <x:c r="D852" s="25" t="n">
        <x:v>40219.28611111111</x:v>
      </x:c>
      <x:c r="E852" s="25" t="n">
        <x:v>40317.36944444444</x:v>
      </x:c>
      <x:c r="F852" s="2" t="n">
        <x:v>570</x:v>
      </x:c>
      <x:c r="G852" s="2" t="n">
        <x:v>2</x:v>
      </x:c>
      <x:c r="H852" s="11" t="n">
        <x:v>372.2</x:v>
      </x:c>
      <x:c r="I852" s="2" t="n">
        <x:v>1</x:v>
      </x:c>
      <x:c r="J852" s="2" t="n">
        <x:v>2</x:v>
      </x:c>
      <x:c r="K852" s="2" t="n">
        <x:v>2</x:v>
      </x:c>
      <x:c r="L852" s="2" t="str">
        <x:v>Hibernating</x:v>
      </x:c>
    </x:row>
    <x:row r="853" ht="22" customHeight="1">
      <x:c r="A853" s="2"/>
      <x:c r="B853" s="2" t="str">
        <x:v>13165</x:v>
      </x:c>
      <x:c r="C853" s="2" t="str">
        <x:v>United Kingdom</x:v>
      </x:c>
      <x:c r="D853" s="25" t="n">
        <x:v>40473.50277777778</x:v>
      </x:c>
      <x:c r="E853" s="25" t="n">
        <x:v>40840.42013888889</x:v>
      </x:c>
      <x:c r="F853" s="2" t="n">
        <x:v>47</x:v>
      </x:c>
      <x:c r="G853" s="2" t="n">
        <x:v>3</x:v>
      </x:c>
      <x:c r="H853" s="11" t="n">
        <x:v>1451.16</x:v>
      </x:c>
      <x:c r="I853" s="2" t="n">
        <x:v>4</x:v>
      </x:c>
      <x:c r="J853" s="2" t="n">
        <x:v>3</x:v>
      </x:c>
      <x:c r="K853" s="2" t="n">
        <x:v>4</x:v>
      </x:c>
      <x:c r="L853" s="2" t="str">
        <x:v>Loyal</x:v>
      </x:c>
    </x:row>
    <x:row r="854" ht="22" customHeight="1">
      <x:c r="A854" s="2"/>
      <x:c r="B854" s="2" t="str">
        <x:v>13166</x:v>
      </x:c>
      <x:c r="C854" s="2" t="str">
        <x:v>United Kingdom</x:v>
      </x:c>
      <x:c r="D854" s="25" t="n">
        <x:v>40472.39513888889</x:v>
      </x:c>
      <x:c r="E854" s="25" t="n">
        <x:v>40603.427777777775</x:v>
      </x:c>
      <x:c r="F854" s="2" t="n">
        <x:v>284</x:v>
      </x:c>
      <x:c r="G854" s="2" t="n">
        <x:v>2</x:v>
      </x:c>
      <x:c r="H854" s="11" t="n">
        <x:v>884.18</x:v>
      </x:c>
      <x:c r="I854" s="2" t="n">
        <x:v>2</x:v>
      </x:c>
      <x:c r="J854" s="2" t="n">
        <x:v>2</x:v>
      </x:c>
      <x:c r="K854" s="2" t="n">
        <x:v>3</x:v>
      </x:c>
      <x:c r="L854" s="2" t="str">
        <x:v>Hibernating</x:v>
      </x:c>
    </x:row>
    <x:row r="855" ht="22" customHeight="1">
      <x:c r="A855" s="2"/>
      <x:c r="B855" s="2" t="str">
        <x:v>13167</x:v>
      </x:c>
      <x:c r="C855" s="2" t="str">
        <x:v>United Kingdom</x:v>
      </x:c>
      <x:c r="D855" s="25" t="n">
        <x:v>40496.33194444444</x:v>
      </x:c>
      <x:c r="E855" s="25" t="n">
        <x:v>40868.308333333334</x:v>
      </x:c>
      <x:c r="F855" s="2" t="n">
        <x:v>19</x:v>
      </x:c>
      <x:c r="G855" s="2" t="n">
        <x:v>5</x:v>
      </x:c>
      <x:c r="H855" s="11" t="n">
        <x:v>1125.15</x:v>
      </x:c>
      <x:c r="I855" s="2" t="n">
        <x:v>5</x:v>
      </x:c>
      <x:c r="J855" s="2" t="n">
        <x:v>4</x:v>
      </x:c>
      <x:c r="K855" s="2" t="n">
        <x:v>3</x:v>
      </x:c>
      <x:c r="L855" s="2" t="str">
        <x:v>Loyal</x:v>
      </x:c>
    </x:row>
    <x:row r="856" ht="22" customHeight="1">
      <x:c r="A856" s="2"/>
      <x:c r="B856" s="2" t="str">
        <x:v>13168</x:v>
      </x:c>
      <x:c r="C856" s="2" t="str">
        <x:v>United Kingdom</x:v>
      </x:c>
      <x:c r="D856" s="25" t="n">
        <x:v>40344.416666666664</x:v>
      </x:c>
      <x:c r="E856" s="25" t="n">
        <x:v>40850.330555555556</x:v>
      </x:c>
      <x:c r="F856" s="2" t="n">
        <x:v>37</x:v>
      </x:c>
      <x:c r="G856" s="2" t="n">
        <x:v>5</x:v>
      </x:c>
      <x:c r="H856" s="11" t="n">
        <x:v>1875.31</x:v>
      </x:c>
      <x:c r="I856" s="2" t="n">
        <x:v>4</x:v>
      </x:c>
      <x:c r="J856" s="2" t="n">
        <x:v>4</x:v>
      </x:c>
      <x:c r="K856" s="2" t="n">
        <x:v>4</x:v>
      </x:c>
      <x:c r="L856" s="2" t="str">
        <x:v>Champions</x:v>
      </x:c>
    </x:row>
    <x:row r="857" ht="22" customHeight="1">
      <x:c r="A857" s="2"/>
      <x:c r="B857" s="2" t="str">
        <x:v>13169</x:v>
      </x:c>
      <x:c r="C857" s="2" t="str">
        <x:v>United Kingdom</x:v>
      </x:c>
      <x:c r="D857" s="25" t="n">
        <x:v>40324.45694444444</x:v>
      </x:c>
      <x:c r="E857" s="25" t="n">
        <x:v>40823.299305555556</x:v>
      </x:c>
      <x:c r="F857" s="2" t="n">
        <x:v>64</x:v>
      </x:c>
      <x:c r="G857" s="2" t="n">
        <x:v>3</x:v>
      </x:c>
      <x:c r="H857" s="11" t="n">
        <x:v>840.08</x:v>
      </x:c>
      <x:c r="I857" s="2" t="n">
        <x:v>3</x:v>
      </x:c>
      <x:c r="J857" s="2" t="n">
        <x:v>3</x:v>
      </x:c>
      <x:c r="K857" s="2" t="n">
        <x:v>3</x:v>
      </x:c>
      <x:c r="L857" s="2" t="str">
        <x:v>Loyal</x:v>
      </x:c>
    </x:row>
    <x:row r="858" ht="22" customHeight="1">
      <x:c r="A858" s="2"/>
      <x:c r="B858" s="2" t="str">
        <x:v>13170</x:v>
      </x:c>
      <x:c r="C858" s="2" t="str">
        <x:v>United Kingdom</x:v>
      </x:c>
      <x:c r="D858" s="25" t="n">
        <x:v>40860.30486111111</x:v>
      </x:c>
      <x:c r="E858" s="25" t="n">
        <x:v>40860.30486111111</x:v>
      </x:c>
      <x:c r="F858" s="2" t="n">
        <x:v>27</x:v>
      </x:c>
      <x:c r="G858" s="2" t="n">
        <x:v>1</x:v>
      </x:c>
      <x:c r="H858" s="11" t="n">
        <x:v>116.01</x:v>
      </x:c>
      <x:c r="I858" s="2" t="n">
        <x:v>4</x:v>
      </x:c>
      <x:c r="J858" s="2" t="n">
        <x:v>1</x:v>
      </x:c>
      <x:c r="K858" s="2" t="n">
        <x:v>1</x:v>
      </x:c>
      <x:c r="L858" s="2" t="str">
        <x:v>Recent light buyers</x:v>
      </x:c>
    </x:row>
    <x:row r="859" ht="22" customHeight="1">
      <x:c r="A859" s="2"/>
      <x:c r="B859" s="2" t="str">
        <x:v>13171</x:v>
      </x:c>
      <x:c r="C859" s="2" t="str">
        <x:v>United Kingdom</x:v>
      </x:c>
      <x:c r="D859" s="25" t="n">
        <x:v>40587.38611111111</x:v>
      </x:c>
      <x:c r="E859" s="25" t="n">
        <x:v>40865.22708333333</x:v>
      </x:c>
      <x:c r="F859" s="2" t="n">
        <x:v>22</x:v>
      </x:c>
      <x:c r="G859" s="2" t="n">
        <x:v>3</x:v>
      </x:c>
      <x:c r="H859" s="11" t="n">
        <x:v>468.41</x:v>
      </x:c>
      <x:c r="I859" s="2" t="n">
        <x:v>4</x:v>
      </x:c>
      <x:c r="J859" s="2" t="n">
        <x:v>3</x:v>
      </x:c>
      <x:c r="K859" s="2" t="n">
        <x:v>2</x:v>
      </x:c>
      <x:c r="L859" s="2" t="str">
        <x:v>Loyal</x:v>
      </x:c>
    </x:row>
    <x:row r="860" ht="22" customHeight="1">
      <x:c r="A860" s="2"/>
      <x:c r="B860" s="2" t="str">
        <x:v>13172</x:v>
      </x:c>
      <x:c r="C860" s="2" t="str">
        <x:v>United Kingdom</x:v>
      </x:c>
      <x:c r="D860" s="25" t="n">
        <x:v>40486.42361111111</x:v>
      </x:c>
      <x:c r="E860" s="25" t="n">
        <x:v>40486.42361111111</x:v>
      </x:c>
      <x:c r="F860" s="2" t="n">
        <x:v>401</x:v>
      </x:c>
      <x:c r="G860" s="2" t="n">
        <x:v>1</x:v>
      </x:c>
      <x:c r="H860" s="11" t="n">
        <x:v>69.6</x:v>
      </x:c>
      <x:c r="I860" s="2" t="n">
        <x:v>2</x:v>
      </x:c>
      <x:c r="J860" s="2" t="n">
        <x:v>1</x:v>
      </x:c>
      <x:c r="K860" s="2" t="n">
        <x:v>1</x:v>
      </x:c>
      <x:c r="L860" s="2" t="str">
        <x:v>Hibernating</x:v>
      </x:c>
    </x:row>
    <x:row r="861" ht="22" customHeight="1">
      <x:c r="A861" s="2"/>
      <x:c r="B861" s="2" t="str">
        <x:v>13173</x:v>
      </x:c>
      <x:c r="C861" s="2" t="str">
        <x:v>United Kingdom</x:v>
      </x:c>
      <x:c r="D861" s="25" t="n">
        <x:v>40157.32777777778</x:v>
      </x:c>
      <x:c r="E861" s="25" t="n">
        <x:v>40882.45208333333</x:v>
      </x:c>
      <x:c r="F861" s="2" t="n">
        <x:v>5</x:v>
      </x:c>
      <x:c r="G861" s="2" t="n">
        <x:v>11</x:v>
      </x:c>
      <x:c r="H861" s="11" t="n">
        <x:v>2473.41</x:v>
      </x:c>
      <x:c r="I861" s="2" t="n">
        <x:v>5</x:v>
      </x:c>
      <x:c r="J861" s="2" t="n">
        <x:v>5</x:v>
      </x:c>
      <x:c r="K861" s="2" t="n">
        <x:v>4</x:v>
      </x:c>
      <x:c r="L861" s="2" t="str">
        <x:v>Champions</x:v>
      </x:c>
    </x:row>
    <x:row r="862" ht="22" customHeight="1">
      <x:c r="A862" s="2"/>
      <x:c r="B862" s="2" t="str">
        <x:v>13174</x:v>
      </x:c>
      <x:c r="C862" s="2" t="str">
        <x:v>United Kingdom</x:v>
      </x:c>
      <x:c r="D862" s="25" t="n">
        <x:v>40151.444444444445</x:v>
      </x:c>
      <x:c r="E862" s="25" t="n">
        <x:v>40870.399305555555</x:v>
      </x:c>
      <x:c r="F862" s="2" t="n">
        <x:v>17</x:v>
      </x:c>
      <x:c r="G862" s="2" t="n">
        <x:v>12</x:v>
      </x:c>
      <x:c r="H862" s="11" t="n">
        <x:v>8078.87</x:v>
      </x:c>
      <x:c r="I862" s="2" t="n">
        <x:v>5</x:v>
      </x:c>
      <x:c r="J862" s="2" t="n">
        <x:v>5</x:v>
      </x:c>
      <x:c r="K862" s="2" t="n">
        <x:v>5</x:v>
      </x:c>
      <x:c r="L862" s="2" t="str">
        <x:v>Champions</x:v>
      </x:c>
    </x:row>
    <x:row r="863" ht="22" customHeight="1">
      <x:c r="A863" s="2"/>
      <x:c r="B863" s="2" t="str">
        <x:v>13175</x:v>
      </x:c>
      <x:c r="C863" s="2" t="str">
        <x:v>United Kingdom</x:v>
      </x:c>
      <x:c r="D863" s="25" t="n">
        <x:v>40151.299305555556</x:v>
      </x:c>
      <x:c r="E863" s="25" t="n">
        <x:v>40304.342361111114</x:v>
      </x:c>
      <x:c r="F863" s="2" t="n">
        <x:v>583</x:v>
      </x:c>
      <x:c r="G863" s="2" t="n">
        <x:v>2</x:v>
      </x:c>
      <x:c r="H863" s="11" t="n">
        <x:v>831.45</x:v>
      </x:c>
      <x:c r="I863" s="2" t="n">
        <x:v>1</x:v>
      </x:c>
      <x:c r="J863" s="2" t="n">
        <x:v>2</x:v>
      </x:c>
      <x:c r="K863" s="2" t="n">
        <x:v>3</x:v>
      </x:c>
      <x:c r="L863" s="2" t="str">
        <x:v>Hibernating</x:v>
      </x:c>
    </x:row>
    <x:row r="864" ht="22" customHeight="1">
      <x:c r="A864" s="2"/>
      <x:c r="B864" s="2" t="str">
        <x:v>13176</x:v>
      </x:c>
      <x:c r="C864" s="2" t="str">
        <x:v>United Kingdom</x:v>
      </x:c>
      <x:c r="D864" s="25" t="n">
        <x:v>40840.44652777778</x:v>
      </x:c>
      <x:c r="E864" s="25" t="n">
        <x:v>40840.44652777778</x:v>
      </x:c>
      <x:c r="F864" s="2" t="n">
        <x:v>47</x:v>
      </x:c>
      <x:c r="G864" s="2" t="n">
        <x:v>1</x:v>
      </x:c>
      <x:c r="H864" s="11" t="n">
        <x:v>492.84</x:v>
      </x:c>
      <x:c r="I864" s="2" t="n">
        <x:v>4</x:v>
      </x:c>
      <x:c r="J864" s="2" t="n">
        <x:v>1</x:v>
      </x:c>
      <x:c r="K864" s="2" t="n">
        <x:v>2</x:v>
      </x:c>
      <x:c r="L864" s="2" t="str">
        <x:v>Recent light buyers</x:v>
      </x:c>
    </x:row>
    <x:row r="865" ht="22" customHeight="1">
      <x:c r="A865" s="2"/>
      <x:c r="B865" s="2" t="str">
        <x:v>13177</x:v>
      </x:c>
      <x:c r="C865" s="2" t="str">
        <x:v>United Kingdom</x:v>
      </x:c>
      <x:c r="D865" s="25" t="n">
        <x:v>40456.23263888889</x:v>
      </x:c>
      <x:c r="E865" s="25" t="n">
        <x:v>40822.205555555556</x:v>
      </x:c>
      <x:c r="F865" s="2" t="n">
        <x:v>65</x:v>
      </x:c>
      <x:c r="G865" s="2" t="n">
        <x:v>2</x:v>
      </x:c>
      <x:c r="H865" s="11" t="n">
        <x:v>512.2</x:v>
      </x:c>
      <x:c r="I865" s="2" t="n">
        <x:v>3</x:v>
      </x:c>
      <x:c r="J865" s="2" t="n">
        <x:v>2</x:v>
      </x:c>
      <x:c r="K865" s="2" t="n">
        <x:v>2</x:v>
      </x:c>
      <x:c r="L865" s="2" t="str">
        <x:v>Developing</x:v>
      </x:c>
    </x:row>
    <x:row r="866" ht="22" customHeight="1">
      <x:c r="A866" s="2"/>
      <x:c r="B866" s="2" t="str">
        <x:v>13178</x:v>
      </x:c>
      <x:c r="C866" s="2" t="str">
        <x:v>United Kingdom</x:v>
      </x:c>
      <x:c r="D866" s="25" t="n">
        <x:v>40163.375</x:v>
      </x:c>
      <x:c r="E866" s="25" t="n">
        <x:v>40860.46805555555</x:v>
      </x:c>
      <x:c r="F866" s="2" t="n">
        <x:v>27</x:v>
      </x:c>
      <x:c r="G866" s="2" t="n">
        <x:v>21</x:v>
      </x:c>
      <x:c r="H866" s="11" t="n">
        <x:v>14059.19</x:v>
      </x:c>
      <x:c r="I866" s="2" t="n">
        <x:v>4</x:v>
      </x:c>
      <x:c r="J866" s="2" t="n">
        <x:v>5</x:v>
      </x:c>
      <x:c r="K866" s="2" t="n">
        <x:v>5</x:v>
      </x:c>
      <x:c r="L866" s="2" t="str">
        <x:v>Champions</x:v>
      </x:c>
    </x:row>
    <x:row r="867" ht="22" customHeight="1">
      <x:c r="A867" s="2"/>
      <x:c r="B867" s="2" t="str">
        <x:v>13179</x:v>
      </x:c>
      <x:c r="C867" s="2" t="str">
        <x:v>United Kingdom</x:v>
      </x:c>
      <x:c r="D867" s="25" t="n">
        <x:v>40268.27777777778</x:v>
      </x:c>
      <x:c r="E867" s="25" t="n">
        <x:v>40268.27777777778</x:v>
      </x:c>
      <x:c r="F867" s="2" t="n">
        <x:v>619</x:v>
      </x:c>
      <x:c r="G867" s="2" t="n">
        <x:v>1</x:v>
      </x:c>
      <x:c r="H867" s="11" t="n">
        <x:v>572.31</x:v>
      </x:c>
      <x:c r="I867" s="2" t="n">
        <x:v>1</x:v>
      </x:c>
      <x:c r="J867" s="2" t="n">
        <x:v>1</x:v>
      </x:c>
      <x:c r="K867" s="2" t="n">
        <x:v>2</x:v>
      </x:c>
      <x:c r="L867" s="2" t="str">
        <x:v>Hibernating</x:v>
      </x:c>
    </x:row>
    <x:row r="868" ht="22" customHeight="1">
      <x:c r="A868" s="2"/>
      <x:c r="B868" s="2" t="str">
        <x:v>13180</x:v>
      </x:c>
      <x:c r="C868" s="2" t="str">
        <x:v>United Kingdom</x:v>
      </x:c>
      <x:c r="D868" s="25" t="n">
        <x:v>40279.35902777778</x:v>
      </x:c>
      <x:c r="E868" s="25" t="n">
        <x:v>40279.35902777778</x:v>
      </x:c>
      <x:c r="F868" s="2" t="n">
        <x:v>608</x:v>
      </x:c>
      <x:c r="G868" s="2" t="n">
        <x:v>1</x:v>
      </x:c>
      <x:c r="H868" s="11" t="n">
        <x:v>86.1</x:v>
      </x:c>
      <x:c r="I868" s="2" t="n">
        <x:v>1</x:v>
      </x:c>
      <x:c r="J868" s="2" t="n">
        <x:v>1</x:v>
      </x:c>
      <x:c r="K868" s="2" t="n">
        <x:v>1</x:v>
      </x:c>
      <x:c r="L868" s="2" t="str">
        <x:v>Hibernating</x:v>
      </x:c>
    </x:row>
    <x:row r="869" ht="22" customHeight="1">
      <x:c r="A869" s="2"/>
      <x:c r="B869" s="2" t="str">
        <x:v>13181</x:v>
      </x:c>
      <x:c r="C869" s="2" t="str">
        <x:v>United Kingdom</x:v>
      </x:c>
      <x:c r="D869" s="25" t="n">
        <x:v>40505.42013888889</x:v>
      </x:c>
      <x:c r="E869" s="25" t="n">
        <x:v>40505.42013888889</x:v>
      </x:c>
      <x:c r="F869" s="2" t="n">
        <x:v>382</x:v>
      </x:c>
      <x:c r="G869" s="2" t="n">
        <x:v>1</x:v>
      </x:c>
      <x:c r="H869" s="11" t="n">
        <x:v>359.69</x:v>
      </x:c>
      <x:c r="I869" s="2" t="n">
        <x:v>2</x:v>
      </x:c>
      <x:c r="J869" s="2" t="n">
        <x:v>1</x:v>
      </x:c>
      <x:c r="K869" s="2" t="n">
        <x:v>2</x:v>
      </x:c>
      <x:c r="L869" s="2" t="str">
        <x:v>Hibernating</x:v>
      </x:c>
    </x:row>
    <x:row r="870" ht="22" customHeight="1">
      <x:c r="A870" s="2"/>
      <x:c r="B870" s="2" t="str">
        <x:v>13182</x:v>
      </x:c>
      <x:c r="C870" s="2" t="str">
        <x:v>United Kingdom</x:v>
      </x:c>
      <x:c r="D870" s="25" t="n">
        <x:v>40841.365277777775</x:v>
      </x:c>
      <x:c r="E870" s="25" t="n">
        <x:v>40841.365277777775</x:v>
      </x:c>
      <x:c r="F870" s="2" t="n">
        <x:v>46</x:v>
      </x:c>
      <x:c r="G870" s="2" t="n">
        <x:v>1</x:v>
      </x:c>
      <x:c r="H870" s="11" t="n">
        <x:v>121.18</x:v>
      </x:c>
      <x:c r="I870" s="2" t="n">
        <x:v>4</x:v>
      </x:c>
      <x:c r="J870" s="2" t="n">
        <x:v>1</x:v>
      </x:c>
      <x:c r="K870" s="2" t="n">
        <x:v>1</x:v>
      </x:c>
      <x:c r="L870" s="2" t="str">
        <x:v>Recent light buyers</x:v>
      </x:c>
    </x:row>
    <x:row r="871" ht="22" customHeight="1">
      <x:c r="A871" s="2"/>
      <x:c r="B871" s="2" t="str">
        <x:v>13183</x:v>
      </x:c>
      <x:c r="C871" s="2" t="str">
        <x:v>United Kingdom</x:v>
      </x:c>
      <x:c r="D871" s="25" t="n">
        <x:v>40251.313888888886</x:v>
      </x:c>
      <x:c r="E871" s="25" t="n">
        <x:v>40879.229166666664</x:v>
      </x:c>
      <x:c r="F871" s="2" t="n">
        <x:v>8</x:v>
      </x:c>
      <x:c r="G871" s="2" t="n">
        <x:v>15</x:v>
      </x:c>
      <x:c r="H871" s="11" t="n">
        <x:v>7036.18</x:v>
      </x:c>
      <x:c r="I871" s="2" t="n">
        <x:v>5</x:v>
      </x:c>
      <x:c r="J871" s="2" t="n">
        <x:v>5</x:v>
      </x:c>
      <x:c r="K871" s="2" t="n">
        <x:v>5</x:v>
      </x:c>
      <x:c r="L871" s="2" t="str">
        <x:v>Champions</x:v>
      </x:c>
    </x:row>
    <x:row r="872" ht="22" customHeight="1">
      <x:c r="A872" s="2"/>
      <x:c r="B872" s="2" t="str">
        <x:v>13184</x:v>
      </x:c>
      <x:c r="C872" s="2" t="str">
        <x:v>United Kingdom</x:v>
      </x:c>
      <x:c r="D872" s="25" t="n">
        <x:v>40596.51736111111</x:v>
      </x:c>
      <x:c r="E872" s="25" t="n">
        <x:v>40872.29305555556</x:v>
      </x:c>
      <x:c r="F872" s="2" t="n">
        <x:v>15</x:v>
      </x:c>
      <x:c r="G872" s="2" t="n">
        <x:v>10</x:v>
      </x:c>
      <x:c r="H872" s="11" t="n">
        <x:v>1701.29</x:v>
      </x:c>
      <x:c r="I872" s="2" t="n">
        <x:v>5</x:v>
      </x:c>
      <x:c r="J872" s="2" t="n">
        <x:v>5</x:v>
      </x:c>
      <x:c r="K872" s="2" t="n">
        <x:v>4</x:v>
      </x:c>
      <x:c r="L872" s="2" t="str">
        <x:v>Champions</x:v>
      </x:c>
    </x:row>
    <x:row r="873" ht="22" customHeight="1">
      <x:c r="A873" s="2"/>
      <x:c r="B873" s="2" t="str">
        <x:v>13185</x:v>
      </x:c>
      <x:c r="C873" s="2" t="str">
        <x:v>United Kingdom</x:v>
      </x:c>
      <x:c r="D873" s="25" t="n">
        <x:v>40619.28888888889</x:v>
      </x:c>
      <x:c r="E873" s="25" t="n">
        <x:v>40619.28888888889</x:v>
      </x:c>
      <x:c r="F873" s="2" t="n">
        <x:v>268</x:v>
      </x:c>
      <x:c r="G873" s="2" t="n">
        <x:v>1</x:v>
      </x:c>
      <x:c r="H873" s="11" t="n">
        <x:v>71.4</x:v>
      </x:c>
      <x:c r="I873" s="2" t="n">
        <x:v>2</x:v>
      </x:c>
      <x:c r="J873" s="2" t="n">
        <x:v>1</x:v>
      </x:c>
      <x:c r="K873" s="2" t="n">
        <x:v>1</x:v>
      </x:c>
      <x:c r="L873" s="2" t="str">
        <x:v>Hibernating</x:v>
      </x:c>
    </x:row>
    <x:row r="874" ht="22" customHeight="1">
      <x:c r="A874" s="2"/>
      <x:c r="B874" s="2" t="str">
        <x:v>13186</x:v>
      </x:c>
      <x:c r="C874" s="2" t="str">
        <x:v>United Kingdom</x:v>
      </x:c>
      <x:c r="D874" s="25" t="n">
        <x:v>40758.17291666667</x:v>
      </x:c>
      <x:c r="E874" s="25" t="n">
        <x:v>40847.27777777778</x:v>
      </x:c>
      <x:c r="F874" s="2" t="n">
        <x:v>40</x:v>
      </x:c>
      <x:c r="G874" s="2" t="n">
        <x:v>3</x:v>
      </x:c>
      <x:c r="H874" s="11" t="n">
        <x:v>1575.89</x:v>
      </x:c>
      <x:c r="I874" s="2" t="n">
        <x:v>4</x:v>
      </x:c>
      <x:c r="J874" s="2" t="n">
        <x:v>3</x:v>
      </x:c>
      <x:c r="K874" s="2" t="n">
        <x:v>4</x:v>
      </x:c>
      <x:c r="L874" s="2" t="str">
        <x:v>Loyal</x:v>
      </x:c>
    </x:row>
    <x:row r="875" ht="22" customHeight="1">
      <x:c r="A875" s="2"/>
      <x:c r="B875" s="2" t="str">
        <x:v>13187</x:v>
      </x:c>
      <x:c r="C875" s="2" t="str">
        <x:v>United Kingdom</x:v>
      </x:c>
      <x:c r="D875" s="25" t="n">
        <x:v>40262.5125</x:v>
      </x:c>
      <x:c r="E875" s="25" t="n">
        <x:v>40549.58125</x:v>
      </x:c>
      <x:c r="F875" s="2" t="n">
        <x:v>338</x:v>
      </x:c>
      <x:c r="G875" s="2" t="n">
        <x:v>4</x:v>
      </x:c>
      <x:c r="H875" s="11" t="n">
        <x:v>367.01</x:v>
      </x:c>
      <x:c r="I875" s="2" t="n">
        <x:v>2</x:v>
      </x:c>
      <x:c r="J875" s="2" t="n">
        <x:v>3</x:v>
      </x:c>
      <x:c r="K875" s="2" t="n">
        <x:v>2</x:v>
      </x:c>
      <x:c r="L875" s="2" t="str">
        <x:v>At risk</x:v>
      </x:c>
    </x:row>
    <x:row r="876" ht="22" customHeight="1">
      <x:c r="A876" s="2"/>
      <x:c r="B876" s="2" t="str">
        <x:v>13188</x:v>
      </x:c>
      <x:c r="C876" s="2" t="str">
        <x:v>United Kingdom</x:v>
      </x:c>
      <x:c r="D876" s="25" t="n">
        <x:v>40875.436111111114</x:v>
      </x:c>
      <x:c r="E876" s="25" t="n">
        <x:v>40875.436111111114</x:v>
      </x:c>
      <x:c r="F876" s="2" t="n">
        <x:v>12</x:v>
      </x:c>
      <x:c r="G876" s="2" t="n">
        <x:v>1</x:v>
      </x:c>
      <x:c r="H876" s="11" t="n">
        <x:v>114.6</x:v>
      </x:c>
      <x:c r="I876" s="2" t="n">
        <x:v>5</x:v>
      </x:c>
      <x:c r="J876" s="2" t="n">
        <x:v>1</x:v>
      </x:c>
      <x:c r="K876" s="2" t="n">
        <x:v>1</x:v>
      </x:c>
      <x:c r="L876" s="2" t="str">
        <x:v>Recent light buyers</x:v>
      </x:c>
    </x:row>
    <x:row r="877" ht="22" customHeight="1">
      <x:c r="A877" s="2"/>
      <x:c r="B877" s="2" t="str">
        <x:v>13189</x:v>
      </x:c>
      <x:c r="C877" s="2" t="str">
        <x:v>United Kingdom</x:v>
      </x:c>
      <x:c r="D877" s="25" t="n">
        <x:v>40771.34166666667</x:v>
      </x:c>
      <x:c r="E877" s="25" t="n">
        <x:v>40868.23541666667</x:v>
      </x:c>
      <x:c r="F877" s="2" t="n">
        <x:v>19</x:v>
      </x:c>
      <x:c r="G877" s="2" t="n">
        <x:v>2</x:v>
      </x:c>
      <x:c r="H877" s="11" t="n">
        <x:v>260.68</x:v>
      </x:c>
      <x:c r="I877" s="2" t="n">
        <x:v>5</x:v>
      </x:c>
      <x:c r="J877" s="2" t="n">
        <x:v>2</x:v>
      </x:c>
      <x:c r="K877" s="2" t="n">
        <x:v>1</x:v>
      </x:c>
      <x:c r="L877" s="2" t="str">
        <x:v>Recent light buyers</x:v>
      </x:c>
    </x:row>
    <x:row r="878" ht="22" customHeight="1">
      <x:c r="A878" s="2"/>
      <x:c r="B878" s="2" t="str">
        <x:v>13190</x:v>
      </x:c>
      <x:c r="C878" s="2" t="str">
        <x:v>United Kingdom</x:v>
      </x:c>
      <x:c r="D878" s="25" t="n">
        <x:v>40154.30069444444</x:v>
      </x:c>
      <x:c r="E878" s="25" t="n">
        <x:v>40342.44930555556</x:v>
      </x:c>
      <x:c r="F878" s="2" t="n">
        <x:v>545</x:v>
      </x:c>
      <x:c r="G878" s="2" t="n">
        <x:v>3</x:v>
      </x:c>
      <x:c r="H878" s="11" t="n">
        <x:v>570.66</x:v>
      </x:c>
      <x:c r="I878" s="2" t="n">
        <x:v>1</x:v>
      </x:c>
      <x:c r="J878" s="2" t="n">
        <x:v>3</x:v>
      </x:c>
      <x:c r="K878" s="2" t="n">
        <x:v>2</x:v>
      </x:c>
      <x:c r="L878" s="2" t="str">
        <x:v>At risk</x:v>
      </x:c>
    </x:row>
    <x:row r="879" ht="22" customHeight="1">
      <x:c r="A879" s="2"/>
      <x:c r="B879" s="2" t="str">
        <x:v>13191</x:v>
      </x:c>
      <x:c r="C879" s="2" t="str">
        <x:v>United Kingdom</x:v>
      </x:c>
      <x:c r="D879" s="25" t="n">
        <x:v>40228.501388888886</x:v>
      </x:c>
      <x:c r="E879" s="25" t="n">
        <x:v>40228.501388888886</x:v>
      </x:c>
      <x:c r="F879" s="2" t="n">
        <x:v>659</x:v>
      </x:c>
      <x:c r="G879" s="2" t="n">
        <x:v>1</x:v>
      </x:c>
      <x:c r="H879" s="11" t="n">
        <x:v>164.69</x:v>
      </x:c>
      <x:c r="I879" s="2" t="n">
        <x:v>1</x:v>
      </x:c>
      <x:c r="J879" s="2" t="n">
        <x:v>1</x:v>
      </x:c>
      <x:c r="K879" s="2" t="n">
        <x:v>1</x:v>
      </x:c>
      <x:c r="L879" s="2" t="str">
        <x:v>Hibernating</x:v>
      </x:c>
    </x:row>
    <x:row r="880" ht="22" customHeight="1">
      <x:c r="A880" s="2"/>
      <x:c r="B880" s="2" t="str">
        <x:v>13192</x:v>
      </x:c>
      <x:c r="C880" s="2" t="str">
        <x:v>United Kingdom</x:v>
      </x:c>
      <x:c r="D880" s="25" t="n">
        <x:v>40200.15069444444</x:v>
      </x:c>
      <x:c r="E880" s="25" t="n">
        <x:v>40791.38402777778</x:v>
      </x:c>
      <x:c r="F880" s="2" t="n">
        <x:v>96</x:v>
      </x:c>
      <x:c r="G880" s="2" t="n">
        <x:v>6</x:v>
      </x:c>
      <x:c r="H880" s="11" t="n">
        <x:v>2558.58</x:v>
      </x:c>
      <x:c r="I880" s="2" t="n">
        <x:v>3</x:v>
      </x:c>
      <x:c r="J880" s="2" t="n">
        <x:v>4</x:v>
      </x:c>
      <x:c r="K880" s="2" t="n">
        <x:v>4</x:v>
      </x:c>
      <x:c r="L880" s="2" t="str">
        <x:v>Loyal</x:v>
      </x:c>
    </x:row>
    <x:row r="881" ht="22" customHeight="1">
      <x:c r="A881" s="2"/>
      <x:c r="B881" s="2" t="str">
        <x:v>13193</x:v>
      </x:c>
      <x:c r="C881" s="2" t="str">
        <x:v>United Kingdom</x:v>
      </x:c>
      <x:c r="D881" s="25" t="n">
        <x:v>40825.395833333336</x:v>
      </x:c>
      <x:c r="E881" s="25" t="n">
        <x:v>40825.395833333336</x:v>
      </x:c>
      <x:c r="F881" s="2" t="n">
        <x:v>62</x:v>
      </x:c>
      <x:c r="G881" s="2" t="n">
        <x:v>1</x:v>
      </x:c>
      <x:c r="H881" s="11" t="n">
        <x:v>117.88</x:v>
      </x:c>
      <x:c r="I881" s="2" t="n">
        <x:v>3</x:v>
      </x:c>
      <x:c r="J881" s="2" t="n">
        <x:v>1</x:v>
      </x:c>
      <x:c r="K881" s="2" t="n">
        <x:v>1</x:v>
      </x:c>
      <x:c r="L881" s="2" t="str">
        <x:v>Developing</x:v>
      </x:c>
    </x:row>
    <x:row r="882" ht="22" customHeight="1">
      <x:c r="A882" s="2"/>
      <x:c r="B882" s="2" t="str">
        <x:v>13194</x:v>
      </x:c>
      <x:c r="C882" s="2" t="str">
        <x:v>United Kingdom</x:v>
      </x:c>
      <x:c r="D882" s="25" t="n">
        <x:v>40465.2875</x:v>
      </x:c>
      <x:c r="E882" s="25" t="n">
        <x:v>40751.16736111111</x:v>
      </x:c>
      <x:c r="F882" s="2" t="n">
        <x:v>136</x:v>
      </x:c>
      <x:c r="G882" s="2" t="n">
        <x:v>2</x:v>
      </x:c>
      <x:c r="H882" s="11" t="n">
        <x:v>472.78</x:v>
      </x:c>
      <x:c r="I882" s="2" t="n">
        <x:v>3</x:v>
      </x:c>
      <x:c r="J882" s="2" t="n">
        <x:v>2</x:v>
      </x:c>
      <x:c r="K882" s="2" t="n">
        <x:v>2</x:v>
      </x:c>
      <x:c r="L882" s="2" t="str">
        <x:v>Developing</x:v>
      </x:c>
    </x:row>
    <x:row r="883" ht="22" customHeight="1">
      <x:c r="A883" s="2"/>
      <x:c r="B883" s="2" t="str">
        <x:v>13195</x:v>
      </x:c>
      <x:c r="C883" s="2" t="str">
        <x:v>United Kingdom</x:v>
      </x:c>
      <x:c r="D883" s="25" t="n">
        <x:v>40472.33819444444</x:v>
      </x:c>
      <x:c r="E883" s="25" t="n">
        <x:v>40472.33819444444</x:v>
      </x:c>
      <x:c r="F883" s="2" t="n">
        <x:v>415</x:v>
      </x:c>
      <x:c r="G883" s="2" t="n">
        <x:v>1</x:v>
      </x:c>
      <x:c r="H883" s="11" t="n">
        <x:v>172.38</x:v>
      </x:c>
      <x:c r="I883" s="2" t="n">
        <x:v>1</x:v>
      </x:c>
      <x:c r="J883" s="2" t="n">
        <x:v>1</x:v>
      </x:c>
      <x:c r="K883" s="2" t="n">
        <x:v>1</x:v>
      </x:c>
      <x:c r="L883" s="2" t="str">
        <x:v>Hibernating</x:v>
      </x:c>
    </x:row>
    <x:row r="884" ht="22" customHeight="1">
      <x:c r="A884" s="2"/>
      <x:c r="B884" s="2" t="str">
        <x:v>13196</x:v>
      </x:c>
      <x:c r="C884" s="2" t="str">
        <x:v>United Kingdom</x:v>
      </x:c>
      <x:c r="D884" s="25" t="n">
        <x:v>40269.32916666667</x:v>
      </x:c>
      <x:c r="E884" s="25" t="n">
        <x:v>40875.370833333334</x:v>
      </x:c>
      <x:c r="F884" s="2" t="n">
        <x:v>12</x:v>
      </x:c>
      <x:c r="G884" s="2" t="n">
        <x:v>7</x:v>
      </x:c>
      <x:c r="H884" s="11" t="n">
        <x:v>3068.84</x:v>
      </x:c>
      <x:c r="I884" s="2" t="n">
        <x:v>5</x:v>
      </x:c>
      <x:c r="J884" s="2" t="n">
        <x:v>4</x:v>
      </x:c>
      <x:c r="K884" s="2" t="n">
        <x:v>5</x:v>
      </x:c>
      <x:c r="L884" s="2" t="str">
        <x:v>Champions</x:v>
      </x:c>
    </x:row>
    <x:row r="885" ht="22" customHeight="1">
      <x:c r="A885" s="2"/>
      <x:c r="B885" s="2" t="str">
        <x:v>13197</x:v>
      </x:c>
      <x:c r="C885" s="2" t="str">
        <x:v>United Kingdom</x:v>
      </x:c>
      <x:c r="D885" s="25" t="n">
        <x:v>40277.17638888889</x:v>
      </x:c>
      <x:c r="E885" s="25" t="n">
        <x:v>40277.17638888889</x:v>
      </x:c>
      <x:c r="F885" s="2" t="n">
        <x:v>610</x:v>
      </x:c>
      <x:c r="G885" s="2" t="n">
        <x:v>1</x:v>
      </x:c>
      <x:c r="H885" s="11" t="n">
        <x:v>373.01</x:v>
      </x:c>
      <x:c r="I885" s="2" t="n">
        <x:v>1</x:v>
      </x:c>
      <x:c r="J885" s="2" t="n">
        <x:v>1</x:v>
      </x:c>
      <x:c r="K885" s="2" t="n">
        <x:v>2</x:v>
      </x:c>
      <x:c r="L885" s="2" t="str">
        <x:v>Hibernating</x:v>
      </x:c>
    </x:row>
    <x:row r="886" ht="22" customHeight="1">
      <x:c r="A886" s="2"/>
      <x:c r="B886" s="2" t="str">
        <x:v>13198</x:v>
      </x:c>
      <x:c r="C886" s="2" t="str">
        <x:v>United Kingdom</x:v>
      </x:c>
      <x:c r="D886" s="25" t="n">
        <x:v>40452.35208333333</x:v>
      </x:c>
      <x:c r="E886" s="25" t="n">
        <x:v>40876.42847222222</x:v>
      </x:c>
      <x:c r="F886" s="2" t="n">
        <x:v>11</x:v>
      </x:c>
      <x:c r="G886" s="2" t="n">
        <x:v>8</x:v>
      </x:c>
      <x:c r="H886" s="11" t="n">
        <x:v>4974.23</x:v>
      </x:c>
      <x:c r="I886" s="2" t="n">
        <x:v>5</x:v>
      </x:c>
      <x:c r="J886" s="2" t="n">
        <x:v>4</x:v>
      </x:c>
      <x:c r="K886" s="2" t="n">
        <x:v>5</x:v>
      </x:c>
      <x:c r="L886" s="2" t="str">
        <x:v>Champions</x:v>
      </x:c>
    </x:row>
    <x:row r="887" ht="22" customHeight="1">
      <x:c r="A887" s="2"/>
      <x:c r="B887" s="2" t="str">
        <x:v>13199</x:v>
      </x:c>
      <x:c r="C887" s="2" t="str">
        <x:v>United Kingdom</x:v>
      </x:c>
      <x:c r="D887" s="25" t="n">
        <x:v>40152.21597222222</x:v>
      </x:c>
      <x:c r="E887" s="25" t="n">
        <x:v>40883.3125</x:v>
      </x:c>
      <x:c r="F887" s="2" t="n">
        <x:v>4</x:v>
      </x:c>
      <x:c r="G887" s="2" t="n">
        <x:v>67</x:v>
      </x:c>
      <x:c r="H887" s="11" t="n">
        <x:v>15964.21</x:v>
      </x:c>
      <x:c r="I887" s="2" t="n">
        <x:v>5</x:v>
      </x:c>
      <x:c r="J887" s="2" t="n">
        <x:v>5</x:v>
      </x:c>
      <x:c r="K887" s="2" t="n">
        <x:v>5</x:v>
      </x:c>
      <x:c r="L887" s="2" t="str">
        <x:v>Champions</x:v>
      </x:c>
    </x:row>
    <x:row r="888" ht="22" customHeight="1">
      <x:c r="A888" s="2"/>
      <x:c r="B888" s="2" t="str">
        <x:v>13200</x:v>
      </x:c>
      <x:c r="C888" s="2" t="str">
        <x:v>United Kingdom</x:v>
      </x:c>
      <x:c r="D888" s="25" t="n">
        <x:v>40760.40972222222</x:v>
      </x:c>
      <x:c r="E888" s="25" t="n">
        <x:v>40867.44097222222</x:v>
      </x:c>
      <x:c r="F888" s="2" t="n">
        <x:v>20</x:v>
      </x:c>
      <x:c r="G888" s="2" t="n">
        <x:v>4</x:v>
      </x:c>
      <x:c r="H888" s="11" t="n">
        <x:v>870.09</x:v>
      </x:c>
      <x:c r="I888" s="2" t="n">
        <x:v>5</x:v>
      </x:c>
      <x:c r="J888" s="2" t="n">
        <x:v>3</x:v>
      </x:c>
      <x:c r="K888" s="2" t="n">
        <x:v>3</x:v>
      </x:c>
      <x:c r="L888" s="2" t="str">
        <x:v>Loyal</x:v>
      </x:c>
    </x:row>
    <x:row r="889" ht="22" customHeight="1">
      <x:c r="A889" s="2"/>
      <x:c r="B889" s="2" t="str">
        <x:v>13201</x:v>
      </x:c>
      <x:c r="C889" s="2" t="str">
        <x:v>United Kingdom</x:v>
      </x:c>
      <x:c r="D889" s="25" t="n">
        <x:v>40244.25069444445</x:v>
      </x:c>
      <x:c r="E889" s="25" t="n">
        <x:v>40384.395833333336</x:v>
      </x:c>
      <x:c r="F889" s="2" t="n">
        <x:v>503</x:v>
      </x:c>
      <x:c r="G889" s="2" t="n">
        <x:v>4</x:v>
      </x:c>
      <x:c r="H889" s="11" t="n">
        <x:v>1240.61</x:v>
      </x:c>
      <x:c r="I889" s="2" t="n">
        <x:v>1</x:v>
      </x:c>
      <x:c r="J889" s="2" t="n">
        <x:v>3</x:v>
      </x:c>
      <x:c r="K889" s="2" t="n">
        <x:v>4</x:v>
      </x:c>
      <x:c r="L889" s="2" t="str">
        <x:v>At risk</x:v>
      </x:c>
    </x:row>
    <x:row r="890" ht="22" customHeight="1">
      <x:c r="A890" s="2"/>
      <x:c r="B890" s="2" t="str">
        <x:v>13202</x:v>
      </x:c>
      <x:c r="C890" s="2" t="str">
        <x:v>United Kingdom</x:v>
      </x:c>
      <x:c r="D890" s="25" t="n">
        <x:v>40156.24166666667</x:v>
      </x:c>
      <x:c r="E890" s="25" t="n">
        <x:v>40492.475</x:v>
      </x:c>
      <x:c r="F890" s="2" t="n">
        <x:v>395</x:v>
      </x:c>
      <x:c r="G890" s="2" t="n">
        <x:v>7</x:v>
      </x:c>
      <x:c r="H890" s="11" t="n">
        <x:v>1580.3</x:v>
      </x:c>
      <x:c r="I890" s="2" t="n">
        <x:v>2</x:v>
      </x:c>
      <x:c r="J890" s="2" t="n">
        <x:v>4</x:v>
      </x:c>
      <x:c r="K890" s="2" t="n">
        <x:v>4</x:v>
      </x:c>
      <x:c r="L890" s="2" t="str">
        <x:v>At risk</x:v>
      </x:c>
    </x:row>
    <x:row r="891" ht="22" customHeight="1">
      <x:c r="A891" s="2"/>
      <x:c r="B891" s="2" t="str">
        <x:v>13203</x:v>
      </x:c>
      <x:c r="C891" s="2" t="str">
        <x:v>United Kingdom</x:v>
      </x:c>
      <x:c r="D891" s="25" t="n">
        <x:v>40164.385416666664</x:v>
      </x:c>
      <x:c r="E891" s="25" t="n">
        <x:v>40877.239583333336</x:v>
      </x:c>
      <x:c r="F891" s="2" t="n">
        <x:v>10</x:v>
      </x:c>
      <x:c r="G891" s="2" t="n">
        <x:v>10</x:v>
      </x:c>
      <x:c r="H891" s="11" t="n">
        <x:v>2648.25</x:v>
      </x:c>
      <x:c r="I891" s="2" t="n">
        <x:v>5</x:v>
      </x:c>
      <x:c r="J891" s="2" t="n">
        <x:v>5</x:v>
      </x:c>
      <x:c r="K891" s="2" t="n">
        <x:v>4</x:v>
      </x:c>
      <x:c r="L891" s="2" t="str">
        <x:v>Champions</x:v>
      </x:c>
    </x:row>
    <x:row r="892" ht="22" customHeight="1">
      <x:c r="A892" s="2"/>
      <x:c r="B892" s="2" t="str">
        <x:v>13204</x:v>
      </x:c>
      <x:c r="C892" s="2" t="str">
        <x:v>United Kingdom</x:v>
      </x:c>
      <x:c r="D892" s="25" t="n">
        <x:v>40155.41388888889</x:v>
      </x:c>
      <x:c r="E892" s="25" t="n">
        <x:v>40155.41388888889</x:v>
      </x:c>
      <x:c r="F892" s="2" t="n">
        <x:v>732</x:v>
      </x:c>
      <x:c r="G892" s="2" t="n">
        <x:v>1</x:v>
      </x:c>
      <x:c r="H892" s="11" t="n">
        <x:v>966.66</x:v>
      </x:c>
      <x:c r="I892" s="2" t="n">
        <x:v>1</x:v>
      </x:c>
      <x:c r="J892" s="2" t="n">
        <x:v>1</x:v>
      </x:c>
      <x:c r="K892" s="2" t="n">
        <x:v>3</x:v>
      </x:c>
      <x:c r="L892" s="2" t="str">
        <x:v>Hibernating</x:v>
      </x:c>
    </x:row>
    <x:row r="893" ht="22" customHeight="1">
      <x:c r="A893" s="2"/>
      <x:c r="B893" s="2" t="str">
        <x:v>13205</x:v>
      </x:c>
      <x:c r="C893" s="2" t="str">
        <x:v>United Kingdom</x:v>
      </x:c>
      <x:c r="D893" s="25" t="n">
        <x:v>40443.47638888889</x:v>
      </x:c>
      <x:c r="E893" s="25" t="n">
        <x:v>40443.47638888889</x:v>
      </x:c>
      <x:c r="F893" s="2" t="n">
        <x:v>444</x:v>
      </x:c>
      <x:c r="G893" s="2" t="n">
        <x:v>1</x:v>
      </x:c>
      <x:c r="H893" s="11" t="n">
        <x:v>2803.2</x:v>
      </x:c>
      <x:c r="I893" s="2" t="n">
        <x:v>1</x:v>
      </x:c>
      <x:c r="J893" s="2" t="n">
        <x:v>1</x:v>
      </x:c>
      <x:c r="K893" s="2" t="n">
        <x:v>4</x:v>
      </x:c>
      <x:c r="L893" s="2" t="str">
        <x:v>Hibernating</x:v>
      </x:c>
    </x:row>
    <x:row r="894" ht="22" customHeight="1">
      <x:c r="A894" s="2"/>
      <x:c r="B894" s="2" t="str">
        <x:v>13206</x:v>
      </x:c>
      <x:c r="C894" s="2" t="str">
        <x:v>United Kingdom</x:v>
      </x:c>
      <x:c r="D894" s="25" t="n">
        <x:v>40154.36666666667</x:v>
      </x:c>
      <x:c r="E894" s="25" t="n">
        <x:v>40486.493055555555</x:v>
      </x:c>
      <x:c r="F894" s="2" t="n">
        <x:v>401</x:v>
      </x:c>
      <x:c r="G894" s="2" t="n">
        <x:v>13</x:v>
      </x:c>
      <x:c r="H894" s="11" t="n">
        <x:v>8377.32</x:v>
      </x:c>
      <x:c r="I894" s="2" t="n">
        <x:v>2</x:v>
      </x:c>
      <x:c r="J894" s="2" t="n">
        <x:v>5</x:v>
      </x:c>
      <x:c r="K894" s="2" t="n">
        <x:v>5</x:v>
      </x:c>
      <x:c r="L894" s="2" t="str">
        <x:v>At risk</x:v>
      </x:c>
    </x:row>
    <x:row r="895" ht="22" customHeight="1">
      <x:c r="A895" s="2"/>
      <x:c r="B895" s="2" t="str">
        <x:v>13207</x:v>
      </x:c>
      <x:c r="C895" s="2" t="str">
        <x:v>United Kingdom</x:v>
      </x:c>
      <x:c r="D895" s="25" t="n">
        <x:v>40274.48402777778</x:v>
      </x:c>
      <x:c r="E895" s="25" t="n">
        <x:v>40871.41111111111</x:v>
      </x:c>
      <x:c r="F895" s="2" t="n">
        <x:v>16</x:v>
      </x:c>
      <x:c r="G895" s="2" t="n">
        <x:v>4</x:v>
      </x:c>
      <x:c r="H895" s="11" t="n">
        <x:v>535.86</x:v>
      </x:c>
      <x:c r="I895" s="2" t="n">
        <x:v>5</x:v>
      </x:c>
      <x:c r="J895" s="2" t="n">
        <x:v>3</x:v>
      </x:c>
      <x:c r="K895" s="2" t="n">
        <x:v>2</x:v>
      </x:c>
      <x:c r="L895" s="2" t="str">
        <x:v>Loyal</x:v>
      </x:c>
    </x:row>
    <x:row r="896" ht="22" customHeight="1">
      <x:c r="A896" s="2"/>
      <x:c r="B896" s="2" t="str">
        <x:v>13208</x:v>
      </x:c>
      <x:c r="C896" s="2" t="str">
        <x:v>United Kingdom</x:v>
      </x:c>
      <x:c r="D896" s="25" t="n">
        <x:v>40150.350694444445</x:v>
      </x:c>
      <x:c r="E896" s="25" t="n">
        <x:v>40828.20416666667</x:v>
      </x:c>
      <x:c r="F896" s="2" t="n">
        <x:v>59</x:v>
      </x:c>
      <x:c r="G896" s="2" t="n">
        <x:v>9</x:v>
      </x:c>
      <x:c r="H896" s="11" t="n">
        <x:v>1988.5</x:v>
      </x:c>
      <x:c r="I896" s="2" t="n">
        <x:v>4</x:v>
      </x:c>
      <x:c r="J896" s="2" t="n">
        <x:v>5</x:v>
      </x:c>
      <x:c r="K896" s="2" t="n">
        <x:v>4</x:v>
      </x:c>
      <x:c r="L896" s="2" t="str">
        <x:v>Champions</x:v>
      </x:c>
    </x:row>
    <x:row r="897" ht="22" customHeight="1">
      <x:c r="A897" s="2"/>
      <x:c r="B897" s="2" t="str">
        <x:v>13209</x:v>
      </x:c>
      <x:c r="C897" s="2" t="str">
        <x:v>United Kingdom</x:v>
      </x:c>
      <x:c r="D897" s="25" t="n">
        <x:v>40202.395833333336</x:v>
      </x:c>
      <x:c r="E897" s="25" t="n">
        <x:v>40856.370833333334</x:v>
      </x:c>
      <x:c r="F897" s="2" t="n">
        <x:v>31</x:v>
      </x:c>
      <x:c r="G897" s="2" t="n">
        <x:v>13</x:v>
      </x:c>
      <x:c r="H897" s="11" t="n">
        <x:v>8509.51</x:v>
      </x:c>
      <x:c r="I897" s="2" t="n">
        <x:v>4</x:v>
      </x:c>
      <x:c r="J897" s="2" t="n">
        <x:v>5</x:v>
      </x:c>
      <x:c r="K897" s="2" t="n">
        <x:v>5</x:v>
      </x:c>
      <x:c r="L897" s="2" t="str">
        <x:v>Champions</x:v>
      </x:c>
    </x:row>
    <x:row r="898" ht="22" customHeight="1">
      <x:c r="A898" s="2"/>
      <x:c r="B898" s="2" t="str">
        <x:v>13210</x:v>
      </x:c>
      <x:c r="C898" s="2" t="str">
        <x:v>United Kingdom</x:v>
      </x:c>
      <x:c r="D898" s="25" t="n">
        <x:v>40793.1375</x:v>
      </x:c>
      <x:c r="E898" s="25" t="n">
        <x:v>40793.1375</x:v>
      </x:c>
      <x:c r="F898" s="2" t="n">
        <x:v>94</x:v>
      </x:c>
      <x:c r="G898" s="2" t="n">
        <x:v>1</x:v>
      </x:c>
      <x:c r="H898" s="11" t="n">
        <x:v>353.48</x:v>
      </x:c>
      <x:c r="I898" s="2" t="n">
        <x:v>3</x:v>
      </x:c>
      <x:c r="J898" s="2" t="n">
        <x:v>1</x:v>
      </x:c>
      <x:c r="K898" s="2" t="n">
        <x:v>2</x:v>
      </x:c>
      <x:c r="L898" s="2" t="str">
        <x:v>Developing</x:v>
      </x:c>
    </x:row>
    <x:row r="899" ht="22" customHeight="1">
      <x:c r="A899" s="2"/>
      <x:c r="B899" s="2" t="str">
        <x:v>13211</x:v>
      </x:c>
      <x:c r="C899" s="2" t="str">
        <x:v>United Kingdom</x:v>
      </x:c>
      <x:c r="D899" s="25" t="n">
        <x:v>40153.433333333334</x:v>
      </x:c>
      <x:c r="E899" s="25" t="n">
        <x:v>40876.404861111114</x:v>
      </x:c>
      <x:c r="F899" s="2" t="n">
        <x:v>11</x:v>
      </x:c>
      <x:c r="G899" s="2" t="n">
        <x:v>10</x:v>
      </x:c>
      <x:c r="H899" s="11" t="n">
        <x:v>2729.32</x:v>
      </x:c>
      <x:c r="I899" s="2" t="n">
        <x:v>5</x:v>
      </x:c>
      <x:c r="J899" s="2" t="n">
        <x:v>5</x:v>
      </x:c>
      <x:c r="K899" s="2" t="n">
        <x:v>4</x:v>
      </x:c>
      <x:c r="L899" s="2" t="str">
        <x:v>Champions</x:v>
      </x:c>
    </x:row>
    <x:row r="900" ht="22" customHeight="1">
      <x:c r="A900" s="2"/>
      <x:c r="B900" s="2" t="str">
        <x:v>13212</x:v>
      </x:c>
      <x:c r="C900" s="2" t="str">
        <x:v>United Kingdom</x:v>
      </x:c>
      <x:c r="D900" s="25" t="n">
        <x:v>40825.40833333333</x:v>
      </x:c>
      <x:c r="E900" s="25" t="n">
        <x:v>40867.319444444445</x:v>
      </x:c>
      <x:c r="F900" s="2" t="n">
        <x:v>20</x:v>
      </x:c>
      <x:c r="G900" s="2" t="n">
        <x:v>3</x:v>
      </x:c>
      <x:c r="H900" s="11" t="n">
        <x:v>788.08</x:v>
      </x:c>
      <x:c r="I900" s="2" t="n">
        <x:v>5</x:v>
      </x:c>
      <x:c r="J900" s="2" t="n">
        <x:v>3</x:v>
      </x:c>
      <x:c r="K900" s="2" t="n">
        <x:v>3</x:v>
      </x:c>
      <x:c r="L900" s="2" t="str">
        <x:v>Loyal</x:v>
      </x:c>
    </x:row>
    <x:row r="901" ht="22" customHeight="1">
      <x:c r="A901" s="2"/>
      <x:c r="B901" s="2" t="str">
        <x:v>13213</x:v>
      </x:c>
      <x:c r="C901" s="2" t="str">
        <x:v>United Kingdom</x:v>
      </x:c>
      <x:c r="D901" s="25" t="n">
        <x:v>40318.40972222222</x:v>
      </x:c>
      <x:c r="E901" s="25" t="n">
        <x:v>40830.27916666667</x:v>
      </x:c>
      <x:c r="F901" s="2" t="n">
        <x:v>57</x:v>
      </x:c>
      <x:c r="G901" s="2" t="n">
        <x:v>11</x:v>
      </x:c>
      <x:c r="H901" s="11" t="n">
        <x:v>3851.52</x:v>
      </x:c>
      <x:c r="I901" s="2" t="n">
        <x:v>4</x:v>
      </x:c>
      <x:c r="J901" s="2" t="n">
        <x:v>5</x:v>
      </x:c>
      <x:c r="K901" s="2" t="n">
        <x:v>5</x:v>
      </x:c>
      <x:c r="L901" s="2" t="str">
        <x:v>Champions</x:v>
      </x:c>
    </x:row>
    <x:row r="902" ht="22" customHeight="1">
      <x:c r="A902" s="2"/>
      <x:c r="B902" s="2" t="str">
        <x:v>13214</x:v>
      </x:c>
      <x:c r="C902" s="2" t="str">
        <x:v>United Kingdom</x:v>
      </x:c>
      <x:c r="D902" s="25" t="n">
        <x:v>40240.381944444445</x:v>
      </x:c>
      <x:c r="E902" s="25" t="n">
        <x:v>40469.208333333336</x:v>
      </x:c>
      <x:c r="F902" s="2" t="n">
        <x:v>418</x:v>
      </x:c>
      <x:c r="G902" s="2" t="n">
        <x:v>7</x:v>
      </x:c>
      <x:c r="H902" s="11" t="n">
        <x:v>3264.23</x:v>
      </x:c>
      <x:c r="I902" s="2" t="n">
        <x:v>1</x:v>
      </x:c>
      <x:c r="J902" s="2" t="n">
        <x:v>4</x:v>
      </x:c>
      <x:c r="K902" s="2" t="n">
        <x:v>5</x:v>
      </x:c>
      <x:c r="L902" s="2" t="str">
        <x:v>At risk</x:v>
      </x:c>
    </x:row>
    <x:row r="903" ht="22" customHeight="1">
      <x:c r="A903" s="2"/>
      <x:c r="B903" s="2" t="str">
        <x:v>13215</x:v>
      </x:c>
      <x:c r="C903" s="2" t="str">
        <x:v>United Kingdom</x:v>
      </x:c>
      <x:c r="D903" s="25" t="n">
        <x:v>40484.55972222222</x:v>
      </x:c>
      <x:c r="E903" s="25" t="n">
        <x:v>40484.55972222222</x:v>
      </x:c>
      <x:c r="F903" s="2" t="n">
        <x:v>403</x:v>
      </x:c>
      <x:c r="G903" s="2" t="n">
        <x:v>1</x:v>
      </x:c>
      <x:c r="H903" s="11" t="n">
        <x:v>81.6</x:v>
      </x:c>
      <x:c r="I903" s="2" t="n">
        <x:v>2</x:v>
      </x:c>
      <x:c r="J903" s="2" t="n">
        <x:v>1</x:v>
      </x:c>
      <x:c r="K903" s="2" t="n">
        <x:v>1</x:v>
      </x:c>
      <x:c r="L903" s="2" t="str">
        <x:v>Hibernating</x:v>
      </x:c>
    </x:row>
    <x:row r="904" ht="22" customHeight="1">
      <x:c r="A904" s="2"/>
      <x:c r="B904" s="2" t="str">
        <x:v>13216</x:v>
      </x:c>
      <x:c r="C904" s="2" t="str">
        <x:v>United Kingdom</x:v>
      </x:c>
      <x:c r="D904" s="25" t="n">
        <x:v>40619.30416666667</x:v>
      </x:c>
      <x:c r="E904" s="25" t="n">
        <x:v>40619.30416666667</x:v>
      </x:c>
      <x:c r="F904" s="2" t="n">
        <x:v>268</x:v>
      </x:c>
      <x:c r="G904" s="2" t="n">
        <x:v>1</x:v>
      </x:c>
      <x:c r="H904" s="11" t="n">
        <x:v>333.74</x:v>
      </x:c>
      <x:c r="I904" s="2" t="n">
        <x:v>2</x:v>
      </x:c>
      <x:c r="J904" s="2" t="n">
        <x:v>1</x:v>
      </x:c>
      <x:c r="K904" s="2" t="n">
        <x:v>2</x:v>
      </x:c>
      <x:c r="L904" s="2" t="str">
        <x:v>Hibernating</x:v>
      </x:c>
    </x:row>
    <x:row r="905" ht="22" customHeight="1">
      <x:c r="A905" s="2"/>
      <x:c r="B905" s="2" t="str">
        <x:v>13217</x:v>
      </x:c>
      <x:c r="C905" s="2" t="str">
        <x:v>United Kingdom</x:v>
      </x:c>
      <x:c r="D905" s="25" t="n">
        <x:v>40231.325694444444</x:v>
      </x:c>
      <x:c r="E905" s="25" t="n">
        <x:v>40764.438888888886</x:v>
      </x:c>
      <x:c r="F905" s="2" t="n">
        <x:v>123</x:v>
      </x:c>
      <x:c r="G905" s="2" t="n">
        <x:v>4</x:v>
      </x:c>
      <x:c r="H905" s="11" t="n">
        <x:v>666.48</x:v>
      </x:c>
      <x:c r="I905" s="2" t="n">
        <x:v>3</x:v>
      </x:c>
      <x:c r="J905" s="2" t="n">
        <x:v>3</x:v>
      </x:c>
      <x:c r="K905" s="2" t="n">
        <x:v>3</x:v>
      </x:c>
      <x:c r="L905" s="2" t="str">
        <x:v>Loyal</x:v>
      </x:c>
    </x:row>
    <x:row r="906" ht="22" customHeight="1">
      <x:c r="A906" s="2"/>
      <x:c r="B906" s="2" t="str">
        <x:v>13218</x:v>
      </x:c>
      <x:c r="C906" s="2" t="str">
        <x:v>United Kingdom</x:v>
      </x:c>
      <x:c r="D906" s="25" t="n">
        <x:v>40759.49930555555</x:v>
      </x:c>
      <x:c r="E906" s="25" t="n">
        <x:v>40759.49930555555</x:v>
      </x:c>
      <x:c r="F906" s="2" t="n">
        <x:v>128</x:v>
      </x:c>
      <x:c r="G906" s="2" t="n">
        <x:v>1</x:v>
      </x:c>
      <x:c r="H906" s="11" t="n">
        <x:v>62.64</x:v>
      </x:c>
      <x:c r="I906" s="2" t="n">
        <x:v>3</x:v>
      </x:c>
      <x:c r="J906" s="2" t="n">
        <x:v>1</x:v>
      </x:c>
      <x:c r="K906" s="2" t="n">
        <x:v>1</x:v>
      </x:c>
      <x:c r="L906" s="2" t="str">
        <x:v>Developing</x:v>
      </x:c>
    </x:row>
    <x:row r="907" ht="22" customHeight="1">
      <x:c r="A907" s="2"/>
      <x:c r="B907" s="2" t="str">
        <x:v>13219</x:v>
      </x:c>
      <x:c r="C907" s="2" t="str">
        <x:v>United Kingdom</x:v>
      </x:c>
      <x:c r="D907" s="25" t="n">
        <x:v>40268.3875</x:v>
      </x:c>
      <x:c r="E907" s="25" t="n">
        <x:v>40268.3875</x:v>
      </x:c>
      <x:c r="F907" s="2" t="n">
        <x:v>619</x:v>
      </x:c>
      <x:c r="G907" s="2" t="n">
        <x:v>1</x:v>
      </x:c>
      <x:c r="H907" s="11" t="n">
        <x:v>76.23</x:v>
      </x:c>
      <x:c r="I907" s="2" t="n">
        <x:v>1</x:v>
      </x:c>
      <x:c r="J907" s="2" t="n">
        <x:v>1</x:v>
      </x:c>
      <x:c r="K907" s="2" t="n">
        <x:v>1</x:v>
      </x:c>
      <x:c r="L907" s="2" t="str">
        <x:v>Hibernating</x:v>
      </x:c>
    </x:row>
    <x:row r="908" ht="22" customHeight="1">
      <x:c r="A908" s="2"/>
      <x:c r="B908" s="2" t="str">
        <x:v>13220</x:v>
      </x:c>
      <x:c r="C908" s="2" t="str">
        <x:v>United Kingdom</x:v>
      </x:c>
      <x:c r="D908" s="25" t="n">
        <x:v>40311.23263888889</x:v>
      </x:c>
      <x:c r="E908" s="25" t="n">
        <x:v>40808.35972222222</x:v>
      </x:c>
      <x:c r="F908" s="2" t="n">
        <x:v>79</x:v>
      </x:c>
      <x:c r="G908" s="2" t="n">
        <x:v>5</x:v>
      </x:c>
      <x:c r="H908" s="11" t="n">
        <x:v>1336.09</x:v>
      </x:c>
      <x:c r="I908" s="2" t="n">
        <x:v>3</x:v>
      </x:c>
      <x:c r="J908" s="2" t="n">
        <x:v>4</x:v>
      </x:c>
      <x:c r="K908" s="2" t="n">
        <x:v>4</x:v>
      </x:c>
      <x:c r="L908" s="2" t="str">
        <x:v>Loyal</x:v>
      </x:c>
    </x:row>
    <x:row r="909" ht="22" customHeight="1">
      <x:c r="A909" s="2"/>
      <x:c r="B909" s="2" t="str">
        <x:v>13221</x:v>
      </x:c>
      <x:c r="C909" s="2" t="str">
        <x:v>United Kingdom</x:v>
      </x:c>
      <x:c r="D909" s="25" t="n">
        <x:v>40527.35</x:v>
      </x:c>
      <x:c r="E909" s="25" t="n">
        <x:v>40646.498611111114</x:v>
      </x:c>
      <x:c r="F909" s="2" t="n">
        <x:v>241</x:v>
      </x:c>
      <x:c r="G909" s="2" t="n">
        <x:v>2</x:v>
      </x:c>
      <x:c r="H909" s="11" t="n">
        <x:v>847.41</x:v>
      </x:c>
      <x:c r="I909" s="2" t="n">
        <x:v>2</x:v>
      </x:c>
      <x:c r="J909" s="2" t="n">
        <x:v>2</x:v>
      </x:c>
      <x:c r="K909" s="2" t="n">
        <x:v>3</x:v>
      </x:c>
      <x:c r="L909" s="2" t="str">
        <x:v>Hibernating</x:v>
      </x:c>
    </x:row>
    <x:row r="910" ht="22" customHeight="1">
      <x:c r="A910" s="2"/>
      <x:c r="B910" s="2" t="str">
        <x:v>13222</x:v>
      </x:c>
      <x:c r="C910" s="2" t="str">
        <x:v>United Kingdom</x:v>
      </x:c>
      <x:c r="D910" s="25" t="n">
        <x:v>40309.370833333334</x:v>
      </x:c>
      <x:c r="E910" s="25" t="n">
        <x:v>40309.370833333334</x:v>
      </x:c>
      <x:c r="F910" s="2" t="n">
        <x:v>578</x:v>
      </x:c>
      <x:c r="G910" s="2" t="n">
        <x:v>1</x:v>
      </x:c>
      <x:c r="H910" s="11" t="n">
        <x:v>88.5</x:v>
      </x:c>
      <x:c r="I910" s="2" t="n">
        <x:v>1</x:v>
      </x:c>
      <x:c r="J910" s="2" t="n">
        <x:v>1</x:v>
      </x:c>
      <x:c r="K910" s="2" t="n">
        <x:v>1</x:v>
      </x:c>
      <x:c r="L910" s="2" t="str">
        <x:v>Hibernating</x:v>
      </x:c>
    </x:row>
    <x:row r="911" ht="22" customHeight="1">
      <x:c r="A911" s="2"/>
      <x:c r="B911" s="2" t="str">
        <x:v>13223</x:v>
      </x:c>
      <x:c r="C911" s="2" t="str">
        <x:v>United Kingdom</x:v>
      </x:c>
      <x:c r="D911" s="25" t="n">
        <x:v>40221.35208333333</x:v>
      </x:c>
      <x:c r="E911" s="25" t="n">
        <x:v>40686.33541666667</x:v>
      </x:c>
      <x:c r="F911" s="2" t="n">
        <x:v>201</x:v>
      </x:c>
      <x:c r="G911" s="2" t="n">
        <x:v>6</x:v>
      </x:c>
      <x:c r="H911" s="11" t="n">
        <x:v>969.12</x:v>
      </x:c>
      <x:c r="I911" s="2" t="n">
        <x:v>2</x:v>
      </x:c>
      <x:c r="J911" s="2" t="n">
        <x:v>4</x:v>
      </x:c>
      <x:c r="K911" s="2" t="n">
        <x:v>3</x:v>
      </x:c>
      <x:c r="L911" s="2" t="str">
        <x:v>At risk</x:v>
      </x:c>
    </x:row>
    <x:row r="912" ht="22" customHeight="1">
      <x:c r="A912" s="2"/>
      <x:c r="B912" s="2" t="str">
        <x:v>13224</x:v>
      </x:c>
      <x:c r="C912" s="2" t="str">
        <x:v>United Kingdom</x:v>
      </x:c>
      <x:c r="D912" s="25" t="n">
        <x:v>40735.381944444445</x:v>
      </x:c>
      <x:c r="E912" s="25" t="n">
        <x:v>40826.413194444445</x:v>
      </x:c>
      <x:c r="F912" s="2" t="n">
        <x:v>61</x:v>
      </x:c>
      <x:c r="G912" s="2" t="n">
        <x:v>2</x:v>
      </x:c>
      <x:c r="H912" s="11" t="n">
        <x:v>2155.95</x:v>
      </x:c>
      <x:c r="I912" s="2" t="n">
        <x:v>3</x:v>
      </x:c>
      <x:c r="J912" s="2" t="n">
        <x:v>2</x:v>
      </x:c>
      <x:c r="K912" s="2" t="n">
        <x:v>4</x:v>
      </x:c>
      <x:c r="L912" s="2" t="str">
        <x:v>Developing</x:v>
      </x:c>
    </x:row>
    <x:row r="913" ht="22" customHeight="1">
      <x:c r="A913" s="2"/>
      <x:c r="B913" s="2" t="str">
        <x:v>13225</x:v>
      </x:c>
      <x:c r="C913" s="2" t="str">
        <x:v>United Kingdom</x:v>
      </x:c>
      <x:c r="D913" s="25" t="n">
        <x:v>40164.17291666667</x:v>
      </x:c>
      <x:c r="E913" s="25" t="n">
        <x:v>40883.353472222225</x:v>
      </x:c>
      <x:c r="F913" s="2" t="n">
        <x:v>4</x:v>
      </x:c>
      <x:c r="G913" s="2" t="n">
        <x:v>16</x:v>
      </x:c>
      <x:c r="H913" s="11" t="n">
        <x:v>16260.07</x:v>
      </x:c>
      <x:c r="I913" s="2" t="n">
        <x:v>5</x:v>
      </x:c>
      <x:c r="J913" s="2" t="n">
        <x:v>5</x:v>
      </x:c>
      <x:c r="K913" s="2" t="n">
        <x:v>5</x:v>
      </x:c>
      <x:c r="L913" s="2" t="str">
        <x:v>Champions</x:v>
      </x:c>
    </x:row>
    <x:row r="914" ht="22" customHeight="1">
      <x:c r="A914" s="2"/>
      <x:c r="B914" s="2" t="str">
        <x:v>13226</x:v>
      </x:c>
      <x:c r="C914" s="2" t="str">
        <x:v>United Kingdom</x:v>
      </x:c>
      <x:c r="D914" s="25" t="n">
        <x:v>40493.365277777775</x:v>
      </x:c>
      <x:c r="E914" s="25" t="n">
        <x:v>40613.399305555555</x:v>
      </x:c>
      <x:c r="F914" s="2" t="n">
        <x:v>274</x:v>
      </x:c>
      <x:c r="G914" s="2" t="n">
        <x:v>2</x:v>
      </x:c>
      <x:c r="H914" s="11" t="n">
        <x:v>312.46</x:v>
      </x:c>
      <x:c r="I914" s="2" t="n">
        <x:v>2</x:v>
      </x:c>
      <x:c r="J914" s="2" t="n">
        <x:v>2</x:v>
      </x:c>
      <x:c r="K914" s="2" t="n">
        <x:v>2</x:v>
      </x:c>
      <x:c r="L914" s="2" t="str">
        <x:v>Hibernating</x:v>
      </x:c>
    </x:row>
    <x:row r="915" ht="22" customHeight="1">
      <x:c r="A915" s="2"/>
      <x:c r="B915" s="2" t="str">
        <x:v>13227</x:v>
      </x:c>
      <x:c r="C915" s="2" t="str">
        <x:v>United Kingdom</x:v>
      </x:c>
      <x:c r="D915" s="25" t="n">
        <x:v>40685.282638888886</x:v>
      </x:c>
      <x:c r="E915" s="25" t="n">
        <x:v>40685.282638888886</x:v>
      </x:c>
      <x:c r="F915" s="2" t="n">
        <x:v>202</x:v>
      </x:c>
      <x:c r="G915" s="2" t="n">
        <x:v>1</x:v>
      </x:c>
      <x:c r="H915" s="11" t="n">
        <x:v>257.7</x:v>
      </x:c>
      <x:c r="I915" s="2" t="n">
        <x:v>2</x:v>
      </x:c>
      <x:c r="J915" s="2" t="n">
        <x:v>1</x:v>
      </x:c>
      <x:c r="K915" s="2" t="n">
        <x:v>1</x:v>
      </x:c>
      <x:c r="L915" s="2" t="str">
        <x:v>Hibernating</x:v>
      </x:c>
    </x:row>
    <x:row r="916" ht="22" customHeight="1">
      <x:c r="A916" s="2"/>
      <x:c r="B916" s="2" t="str">
        <x:v>13228</x:v>
      </x:c>
      <x:c r="C916" s="2" t="str">
        <x:v>United Kingdom</x:v>
      </x:c>
      <x:c r="D916" s="25" t="n">
        <x:v>40805.39444444444</x:v>
      </x:c>
      <x:c r="E916" s="25" t="n">
        <x:v>40805.39444444444</x:v>
      </x:c>
      <x:c r="F916" s="2" t="n">
        <x:v>82</x:v>
      </x:c>
      <x:c r="G916" s="2" t="n">
        <x:v>1</x:v>
      </x:c>
      <x:c r="H916" s="11" t="n">
        <x:v>358</x:v>
      </x:c>
      <x:c r="I916" s="2" t="n">
        <x:v>3</x:v>
      </x:c>
      <x:c r="J916" s="2" t="n">
        <x:v>1</x:v>
      </x:c>
      <x:c r="K916" s="2" t="n">
        <x:v>2</x:v>
      </x:c>
      <x:c r="L916" s="2" t="str">
        <x:v>Developing</x:v>
      </x:c>
    </x:row>
    <x:row r="917" ht="22" customHeight="1">
      <x:c r="A917" s="2"/>
      <x:c r="B917" s="2" t="str">
        <x:v>13229</x:v>
      </x:c>
      <x:c r="C917" s="2" t="str">
        <x:v>United Kingdom</x:v>
      </x:c>
      <x:c r="D917" s="25" t="n">
        <x:v>40661.29652777778</x:v>
      </x:c>
      <x:c r="E917" s="25" t="n">
        <x:v>40661.29652777778</x:v>
      </x:c>
      <x:c r="F917" s="2" t="n">
        <x:v>226</x:v>
      </x:c>
      <x:c r="G917" s="2" t="n">
        <x:v>1</x:v>
      </x:c>
      <x:c r="H917" s="11" t="n">
        <x:v>160.95</x:v>
      </x:c>
      <x:c r="I917" s="2" t="n">
        <x:v>2</x:v>
      </x:c>
      <x:c r="J917" s="2" t="n">
        <x:v>1</x:v>
      </x:c>
      <x:c r="K917" s="2" t="n">
        <x:v>1</x:v>
      </x:c>
      <x:c r="L917" s="2" t="str">
        <x:v>Hibernating</x:v>
      </x:c>
    </x:row>
    <x:row r="918" ht="22" customHeight="1">
      <x:c r="A918" s="2"/>
      <x:c r="B918" s="2" t="str">
        <x:v>13230</x:v>
      </x:c>
      <x:c r="C918" s="2" t="str">
        <x:v>United Kingdom</x:v>
      </x:c>
      <x:c r="D918" s="25" t="n">
        <x:v>40255.626388888886</x:v>
      </x:c>
      <x:c r="E918" s="25" t="n">
        <x:v>40882.46041666667</x:v>
      </x:c>
      <x:c r="F918" s="2" t="n">
        <x:v>5</x:v>
      </x:c>
      <x:c r="G918" s="2" t="n">
        <x:v>30</x:v>
      </x:c>
      <x:c r="H918" s="11" t="n">
        <x:v>6267.33</x:v>
      </x:c>
      <x:c r="I918" s="2" t="n">
        <x:v>5</x:v>
      </x:c>
      <x:c r="J918" s="2" t="n">
        <x:v>5</x:v>
      </x:c>
      <x:c r="K918" s="2" t="n">
        <x:v>5</x:v>
      </x:c>
      <x:c r="L918" s="2" t="str">
        <x:v>Champions</x:v>
      </x:c>
    </x:row>
    <x:row r="919" ht="22" customHeight="1">
      <x:c r="A919" s="2"/>
      <x:c r="B919" s="2" t="str">
        <x:v>13232</x:v>
      </x:c>
      <x:c r="C919" s="2" t="str">
        <x:v>United Kingdom</x:v>
      </x:c>
      <x:c r="D919" s="25" t="n">
        <x:v>40643.36666666667</x:v>
      </x:c>
      <x:c r="E919" s="25" t="n">
        <x:v>40874.23541666667</x:v>
      </x:c>
      <x:c r="F919" s="2" t="n">
        <x:v>13</x:v>
      </x:c>
      <x:c r="G919" s="2" t="n">
        <x:v>7</x:v>
      </x:c>
      <x:c r="H919" s="11" t="n">
        <x:v>1357.6</x:v>
      </x:c>
      <x:c r="I919" s="2" t="n">
        <x:v>5</x:v>
      </x:c>
      <x:c r="J919" s="2" t="n">
        <x:v>4</x:v>
      </x:c>
      <x:c r="K919" s="2" t="n">
        <x:v>4</x:v>
      </x:c>
      <x:c r="L919" s="2" t="str">
        <x:v>Champions</x:v>
      </x:c>
    </x:row>
    <x:row r="920" ht="22" customHeight="1">
      <x:c r="A920" s="2"/>
      <x:c r="B920" s="2" t="str">
        <x:v>13233</x:v>
      </x:c>
      <x:c r="C920" s="2" t="str">
        <x:v>United Kingdom</x:v>
      </x:c>
      <x:c r="D920" s="25" t="n">
        <x:v>40192.381944444445</x:v>
      </x:c>
      <x:c r="E920" s="25" t="n">
        <x:v>40812.350694444445</x:v>
      </x:c>
      <x:c r="F920" s="2" t="n">
        <x:v>75</x:v>
      </x:c>
      <x:c r="G920" s="2" t="n">
        <x:v>4</x:v>
      </x:c>
      <x:c r="H920" s="11" t="n">
        <x:v>1176.46</x:v>
      </x:c>
      <x:c r="I920" s="2" t="n">
        <x:v>3</x:v>
      </x:c>
      <x:c r="J920" s="2" t="n">
        <x:v>3</x:v>
      </x:c>
      <x:c r="K920" s="2" t="n">
        <x:v>3</x:v>
      </x:c>
      <x:c r="L920" s="2" t="str">
        <x:v>Loyal</x:v>
      </x:c>
    </x:row>
    <x:row r="921" ht="22" customHeight="1">
      <x:c r="A921" s="2"/>
      <x:c r="B921" s="2" t="str">
        <x:v>13234</x:v>
      </x:c>
      <x:c r="C921" s="2" t="str">
        <x:v>United Kingdom</x:v>
      </x:c>
      <x:c r="D921" s="25" t="n">
        <x:v>40154.313888888886</x:v>
      </x:c>
      <x:c r="E921" s="25" t="n">
        <x:v>40214.27847222222</x:v>
      </x:c>
      <x:c r="F921" s="2" t="n">
        <x:v>673</x:v>
      </x:c>
      <x:c r="G921" s="2" t="n">
        <x:v>2</x:v>
      </x:c>
      <x:c r="H921" s="11" t="n">
        <x:v>356.95</x:v>
      </x:c>
      <x:c r="I921" s="2" t="n">
        <x:v>1</x:v>
      </x:c>
      <x:c r="J921" s="2" t="n">
        <x:v>2</x:v>
      </x:c>
      <x:c r="K921" s="2" t="n">
        <x:v>2</x:v>
      </x:c>
      <x:c r="L921" s="2" t="str">
        <x:v>Hibernating</x:v>
      </x:c>
    </x:row>
    <x:row r="922" ht="22" customHeight="1">
      <x:c r="A922" s="2"/>
      <x:c r="B922" s="2" t="str">
        <x:v>13235</x:v>
      </x:c>
      <x:c r="C922" s="2" t="str">
        <x:v>United Kingdom</x:v>
      </x:c>
      <x:c r="D922" s="25" t="n">
        <x:v>40674.50902777778</x:v>
      </x:c>
      <x:c r="E922" s="25" t="n">
        <x:v>40674.50902777778</x:v>
      </x:c>
      <x:c r="F922" s="2" t="n">
        <x:v>213</x:v>
      </x:c>
      <x:c r="G922" s="2" t="n">
        <x:v>1</x:v>
      </x:c>
      <x:c r="H922" s="11" t="n">
        <x:v>1031.07</x:v>
      </x:c>
      <x:c r="I922" s="2" t="n">
        <x:v>2</x:v>
      </x:c>
      <x:c r="J922" s="2" t="n">
        <x:v>1</x:v>
      </x:c>
      <x:c r="K922" s="2" t="n">
        <x:v>3</x:v>
      </x:c>
      <x:c r="L922" s="2" t="str">
        <x:v>Hibernating</x:v>
      </x:c>
    </x:row>
    <x:row r="923" ht="22" customHeight="1">
      <x:c r="A923" s="2"/>
      <x:c r="B923" s="2" t="str">
        <x:v>13236</x:v>
      </x:c>
      <x:c r="C923" s="2" t="str">
        <x:v>United Kingdom</x:v>
      </x:c>
      <x:c r="D923" s="25" t="n">
        <x:v>40780.16527777778</x:v>
      </x:c>
      <x:c r="E923" s="25" t="n">
        <x:v>40862.32638888889</x:v>
      </x:c>
      <x:c r="F923" s="2" t="n">
        <x:v>25</x:v>
      </x:c>
      <x:c r="G923" s="2" t="n">
        <x:v>2</x:v>
      </x:c>
      <x:c r="H923" s="11" t="n">
        <x:v>744.85</x:v>
      </x:c>
      <x:c r="I923" s="2" t="n">
        <x:v>4</x:v>
      </x:c>
      <x:c r="J923" s="2" t="n">
        <x:v>2</x:v>
      </x:c>
      <x:c r="K923" s="2" t="n">
        <x:v>3</x:v>
      </x:c>
      <x:c r="L923" s="2" t="str">
        <x:v>Recent light buyers</x:v>
      </x:c>
    </x:row>
    <x:row r="924" ht="22" customHeight="1">
      <x:c r="A924" s="2"/>
      <x:c r="B924" s="2" t="str">
        <x:v>13237</x:v>
      </x:c>
      <x:c r="C924" s="2" t="str">
        <x:v>United Kingdom</x:v>
      </x:c>
      <x:c r="D924" s="25" t="n">
        <x:v>40499.21319444444</x:v>
      </x:c>
      <x:c r="E924" s="25" t="n">
        <x:v>40499.21319444444</x:v>
      </x:c>
      <x:c r="F924" s="2" t="n">
        <x:v>388</x:v>
      </x:c>
      <x:c r="G924" s="2" t="n">
        <x:v>1</x:v>
      </x:c>
      <x:c r="H924" s="11" t="n">
        <x:v>643</x:v>
      </x:c>
      <x:c r="I924" s="2" t="n">
        <x:v>2</x:v>
      </x:c>
      <x:c r="J924" s="2" t="n">
        <x:v>1</x:v>
      </x:c>
      <x:c r="K924" s="2" t="n">
        <x:v>3</x:v>
      </x:c>
      <x:c r="L924" s="2" t="str">
        <x:v>Hibernating</x:v>
      </x:c>
    </x:row>
    <x:row r="925" ht="22" customHeight="1">
      <x:c r="A925" s="2"/>
      <x:c r="B925" s="2" t="str">
        <x:v>13238</x:v>
      </x:c>
      <x:c r="C925" s="2" t="str">
        <x:v>United Kingdom</x:v>
      </x:c>
      <x:c r="D925" s="25" t="n">
        <x:v>40296.41805555556</x:v>
      </x:c>
      <x:c r="E925" s="25" t="n">
        <x:v>40869.44236111111</x:v>
      </x:c>
      <x:c r="F925" s="2" t="n">
        <x:v>18</x:v>
      </x:c>
      <x:c r="G925" s="2" t="n">
        <x:v>6</x:v>
      </x:c>
      <x:c r="H925" s="11" t="n">
        <x:v>1006.63</x:v>
      </x:c>
      <x:c r="I925" s="2" t="n">
        <x:v>5</x:v>
      </x:c>
      <x:c r="J925" s="2" t="n">
        <x:v>4</x:v>
      </x:c>
      <x:c r="K925" s="2" t="n">
        <x:v>3</x:v>
      </x:c>
      <x:c r="L925" s="2" t="str">
        <x:v>Loyal</x:v>
      </x:c>
    </x:row>
    <x:row r="926" ht="22" customHeight="1">
      <x:c r="A926" s="2"/>
      <x:c r="B926" s="2" t="str">
        <x:v>13239</x:v>
      </x:c>
      <x:c r="C926" s="2" t="str">
        <x:v>United Kingdom</x:v>
      </x:c>
      <x:c r="D926" s="25" t="n">
        <x:v>40384.356944444444</x:v>
      </x:c>
      <x:c r="E926" s="25" t="n">
        <x:v>40625.225694444445</x:v>
      </x:c>
      <x:c r="F926" s="2" t="n">
        <x:v>262</x:v>
      </x:c>
      <x:c r="G926" s="2" t="n">
        <x:v>5</x:v>
      </x:c>
      <x:c r="H926" s="11" t="n">
        <x:v>1594.69</x:v>
      </x:c>
      <x:c r="I926" s="2" t="n">
        <x:v>2</x:v>
      </x:c>
      <x:c r="J926" s="2" t="n">
        <x:v>4</x:v>
      </x:c>
      <x:c r="K926" s="2" t="n">
        <x:v>4</x:v>
      </x:c>
      <x:c r="L926" s="2" t="str">
        <x:v>At risk</x:v>
      </x:c>
    </x:row>
    <x:row r="927" ht="22" customHeight="1">
      <x:c r="A927" s="2"/>
      <x:c r="B927" s="2" t="str">
        <x:v>13240</x:v>
      </x:c>
      <x:c r="C927" s="2" t="str">
        <x:v>United Kingdom</x:v>
      </x:c>
      <x:c r="D927" s="25" t="n">
        <x:v>40234.345138888886</x:v>
      </x:c>
      <x:c r="E927" s="25" t="n">
        <x:v>40790.38055555556</x:v>
      </x:c>
      <x:c r="F927" s="2" t="n">
        <x:v>97</x:v>
      </x:c>
      <x:c r="G927" s="2" t="n">
        <x:v>8</x:v>
      </x:c>
      <x:c r="H927" s="11" t="n">
        <x:v>1514.45</x:v>
      </x:c>
      <x:c r="I927" s="2" t="n">
        <x:v>3</x:v>
      </x:c>
      <x:c r="J927" s="2" t="n">
        <x:v>4</x:v>
      </x:c>
      <x:c r="K927" s="2" t="n">
        <x:v>4</x:v>
      </x:c>
      <x:c r="L927" s="2" t="str">
        <x:v>Loyal</x:v>
      </x:c>
    </x:row>
    <x:row r="928" ht="22" customHeight="1">
      <x:c r="A928" s="2"/>
      <x:c r="B928" s="2" t="str">
        <x:v>13241</x:v>
      </x:c>
      <x:c r="C928" s="2" t="str">
        <x:v>United Kingdom</x:v>
      </x:c>
      <x:c r="D928" s="25" t="n">
        <x:v>40475.26180555556</x:v>
      </x:c>
      <x:c r="E928" s="25" t="n">
        <x:v>40475.26180555556</x:v>
      </x:c>
      <x:c r="F928" s="2" t="n">
        <x:v>412</x:v>
      </x:c>
      <x:c r="G928" s="2" t="n">
        <x:v>1</x:v>
      </x:c>
      <x:c r="H928" s="11" t="n">
        <x:v>115.58</x:v>
      </x:c>
      <x:c r="I928" s="2" t="n">
        <x:v>1</x:v>
      </x:c>
      <x:c r="J928" s="2" t="n">
        <x:v>1</x:v>
      </x:c>
      <x:c r="K928" s="2" t="n">
        <x:v>1</x:v>
      </x:c>
      <x:c r="L928" s="2" t="str">
        <x:v>Hibernating</x:v>
      </x:c>
    </x:row>
    <x:row r="929" ht="22" customHeight="1">
      <x:c r="A929" s="2"/>
      <x:c r="B929" s="2" t="str">
        <x:v>13242</x:v>
      </x:c>
      <x:c r="C929" s="2" t="str">
        <x:v>United Kingdom</x:v>
      </x:c>
      <x:c r="D929" s="25" t="n">
        <x:v>40218.34166666667</x:v>
      </x:c>
      <x:c r="E929" s="25" t="n">
        <x:v>40774.32847222222</x:v>
      </x:c>
      <x:c r="F929" s="2" t="n">
        <x:v>113</x:v>
      </x:c>
      <x:c r="G929" s="2" t="n">
        <x:v>7</x:v>
      </x:c>
      <x:c r="H929" s="11" t="n">
        <x:v>699.4</x:v>
      </x:c>
      <x:c r="I929" s="2" t="n">
        <x:v>3</x:v>
      </x:c>
      <x:c r="J929" s="2" t="n">
        <x:v>4</x:v>
      </x:c>
      <x:c r="K929" s="2" t="n">
        <x:v>3</x:v>
      </x:c>
      <x:c r="L929" s="2" t="str">
        <x:v>Loyal</x:v>
      </x:c>
    </x:row>
    <x:row r="930" ht="22" customHeight="1">
      <x:c r="A930" s="2"/>
      <x:c r="B930" s="2" t="str">
        <x:v>13243</x:v>
      </x:c>
      <x:c r="C930" s="2" t="str">
        <x:v>United Kingdom</x:v>
      </x:c>
      <x:c r="D930" s="25" t="n">
        <x:v>40255.34027777778</x:v>
      </x:c>
      <x:c r="E930" s="25" t="n">
        <x:v>40683.34305555555</x:v>
      </x:c>
      <x:c r="F930" s="2" t="n">
        <x:v>204</x:v>
      </x:c>
      <x:c r="G930" s="2" t="n">
        <x:v>5</x:v>
      </x:c>
      <x:c r="H930" s="11" t="n">
        <x:v>1278.04</x:v>
      </x:c>
      <x:c r="I930" s="2" t="n">
        <x:v>2</x:v>
      </x:c>
      <x:c r="J930" s="2" t="n">
        <x:v>4</x:v>
      </x:c>
      <x:c r="K930" s="2" t="n">
        <x:v>4</x:v>
      </x:c>
      <x:c r="L930" s="2" t="str">
        <x:v>At risk</x:v>
      </x:c>
    </x:row>
    <x:row r="931" ht="22" customHeight="1">
      <x:c r="A931" s="2"/>
      <x:c r="B931" s="2" t="str">
        <x:v>13244</x:v>
      </x:c>
      <x:c r="C931" s="2" t="str">
        <x:v>United Kingdom</x:v>
      </x:c>
      <x:c r="D931" s="25" t="n">
        <x:v>40794.28194444445</x:v>
      </x:c>
      <x:c r="E931" s="25" t="n">
        <x:v>40794.28194444445</x:v>
      </x:c>
      <x:c r="F931" s="2" t="n">
        <x:v>93</x:v>
      </x:c>
      <x:c r="G931" s="2" t="n">
        <x:v>1</x:v>
      </x:c>
      <x:c r="H931" s="11" t="n">
        <x:v>121.74</x:v>
      </x:c>
      <x:c r="I931" s="2" t="n">
        <x:v>3</x:v>
      </x:c>
      <x:c r="J931" s="2" t="n">
        <x:v>1</x:v>
      </x:c>
      <x:c r="K931" s="2" t="n">
        <x:v>1</x:v>
      </x:c>
      <x:c r="L931" s="2" t="str">
        <x:v>Developing</x:v>
      </x:c>
    </x:row>
    <x:row r="932" ht="22" customHeight="1">
      <x:c r="A932" s="2"/>
      <x:c r="B932" s="2" t="str">
        <x:v>13245</x:v>
      </x:c>
      <x:c r="C932" s="2" t="str">
        <x:v>United Kingdom</x:v>
      </x:c>
      <x:c r="D932" s="25" t="n">
        <x:v>40454.37708333333</x:v>
      </x:c>
      <x:c r="E932" s="25" t="n">
        <x:v>40836.27777777778</x:v>
      </x:c>
      <x:c r="F932" s="2" t="n">
        <x:v>51</x:v>
      </x:c>
      <x:c r="G932" s="2" t="n">
        <x:v>2</x:v>
      </x:c>
      <x:c r="H932" s="11" t="n">
        <x:v>989.22</x:v>
      </x:c>
      <x:c r="I932" s="2" t="n">
        <x:v>4</x:v>
      </x:c>
      <x:c r="J932" s="2" t="n">
        <x:v>2</x:v>
      </x:c>
      <x:c r="K932" s="2" t="n">
        <x:v>3</x:v>
      </x:c>
      <x:c r="L932" s="2" t="str">
        <x:v>Recent light buyers</x:v>
      </x:c>
    </x:row>
    <x:row r="933" ht="22" customHeight="1">
      <x:c r="A933" s="2"/>
      <x:c r="B933" s="2" t="str">
        <x:v>13246</x:v>
      </x:c>
      <x:c r="C933" s="2" t="str">
        <x:v>United Kingdom</x:v>
      </x:c>
      <x:c r="D933" s="25" t="n">
        <x:v>40361.35833333333</x:v>
      </x:c>
      <x:c r="E933" s="25" t="n">
        <x:v>40868.493055555555</x:v>
      </x:c>
      <x:c r="F933" s="2" t="n">
        <x:v>19</x:v>
      </x:c>
      <x:c r="G933" s="2" t="n">
        <x:v>11</x:v>
      </x:c>
      <x:c r="H933" s="11" t="n">
        <x:v>3387.43</x:v>
      </x:c>
      <x:c r="I933" s="2" t="n">
        <x:v>5</x:v>
      </x:c>
      <x:c r="J933" s="2" t="n">
        <x:v>5</x:v>
      </x:c>
      <x:c r="K933" s="2" t="n">
        <x:v>5</x:v>
      </x:c>
      <x:c r="L933" s="2" t="str">
        <x:v>Champions</x:v>
      </x:c>
    </x:row>
    <x:row r="934" ht="22" customHeight="1">
      <x:c r="A934" s="2"/>
      <x:c r="B934" s="2" t="str">
        <x:v>13247</x:v>
      </x:c>
      <x:c r="C934" s="2" t="str">
        <x:v>United Kingdom</x:v>
      </x:c>
      <x:c r="D934" s="25" t="n">
        <x:v>40804.271527777775</x:v>
      </x:c>
      <x:c r="E934" s="25" t="n">
        <x:v>40869.24930555555</x:v>
      </x:c>
      <x:c r="F934" s="2" t="n">
        <x:v>18</x:v>
      </x:c>
      <x:c r="G934" s="2" t="n">
        <x:v>4</x:v>
      </x:c>
      <x:c r="H934" s="11" t="n">
        <x:v>501.12</x:v>
      </x:c>
      <x:c r="I934" s="2" t="n">
        <x:v>5</x:v>
      </x:c>
      <x:c r="J934" s="2" t="n">
        <x:v>3</x:v>
      </x:c>
      <x:c r="K934" s="2" t="n">
        <x:v>2</x:v>
      </x:c>
      <x:c r="L934" s="2" t="str">
        <x:v>Loyal</x:v>
      </x:c>
    </x:row>
    <x:row r="935" ht="22" customHeight="1">
      <x:c r="A935" s="2"/>
      <x:c r="B935" s="2" t="str">
        <x:v>13248</x:v>
      </x:c>
      <x:c r="C935" s="2" t="str">
        <x:v>United Kingdom</x:v>
      </x:c>
      <x:c r="D935" s="25" t="n">
        <x:v>40697.336805555555</x:v>
      </x:c>
      <x:c r="E935" s="25" t="n">
        <x:v>40762.319444444445</x:v>
      </x:c>
      <x:c r="F935" s="2" t="n">
        <x:v>125</x:v>
      </x:c>
      <x:c r="G935" s="2" t="n">
        <x:v>2</x:v>
      </x:c>
      <x:c r="H935" s="11" t="n">
        <x:v>465.68</x:v>
      </x:c>
      <x:c r="I935" s="2" t="n">
        <x:v>3</x:v>
      </x:c>
      <x:c r="J935" s="2" t="n">
        <x:v>2</x:v>
      </x:c>
      <x:c r="K935" s="2" t="n">
        <x:v>2</x:v>
      </x:c>
      <x:c r="L935" s="2" t="str">
        <x:v>Developing</x:v>
      </x:c>
    </x:row>
    <x:row r="936" ht="22" customHeight="1">
      <x:c r="A936" s="2"/>
      <x:c r="B936" s="2" t="str">
        <x:v>13249</x:v>
      </x:c>
      <x:c r="C936" s="2" t="str">
        <x:v>United Kingdom</x:v>
      </x:c>
      <x:c r="D936" s="25" t="n">
        <x:v>40202.299305555556</x:v>
      </x:c>
      <x:c r="E936" s="25" t="n">
        <x:v>40794.35138888889</x:v>
      </x:c>
      <x:c r="F936" s="2" t="n">
        <x:v>93</x:v>
      </x:c>
      <x:c r="G936" s="2" t="n">
        <x:v>9</x:v>
      </x:c>
      <x:c r="H936" s="11" t="n">
        <x:v>1608.93</x:v>
      </x:c>
      <x:c r="I936" s="2" t="n">
        <x:v>3</x:v>
      </x:c>
      <x:c r="J936" s="2" t="n">
        <x:v>5</x:v>
      </x:c>
      <x:c r="K936" s="2" t="n">
        <x:v>4</x:v>
      </x:c>
      <x:c r="L936" s="2" t="str">
        <x:v>Loyal</x:v>
      </x:c>
    </x:row>
    <x:row r="937" ht="22" customHeight="1">
      <x:c r="A937" s="2"/>
      <x:c r="B937" s="2" t="str">
        <x:v>13250</x:v>
      </x:c>
      <x:c r="C937" s="2" t="str">
        <x:v>United Kingdom</x:v>
      </x:c>
      <x:c r="D937" s="25" t="n">
        <x:v>40384.37569444445</x:v>
      </x:c>
      <x:c r="E937" s="25" t="n">
        <x:v>40426.27291666667</x:v>
      </x:c>
      <x:c r="F937" s="2" t="n">
        <x:v>461</x:v>
      </x:c>
      <x:c r="G937" s="2" t="n">
        <x:v>2</x:v>
      </x:c>
      <x:c r="H937" s="11" t="n">
        <x:v>256.04</x:v>
      </x:c>
      <x:c r="I937" s="2" t="n">
        <x:v>1</x:v>
      </x:c>
      <x:c r="J937" s="2" t="n">
        <x:v>2</x:v>
      </x:c>
      <x:c r="K937" s="2" t="n">
        <x:v>1</x:v>
      </x:c>
      <x:c r="L937" s="2" t="str">
        <x:v>Hibernating</x:v>
      </x:c>
    </x:row>
    <x:row r="938" ht="22" customHeight="1">
      <x:c r="A938" s="2"/>
      <x:c r="B938" s="2" t="str">
        <x:v>13251</x:v>
      </x:c>
      <x:c r="C938" s="2" t="str">
        <x:v>United Kingdom</x:v>
      </x:c>
      <x:c r="D938" s="25" t="n">
        <x:v>40484.34722222222</x:v>
      </x:c>
      <x:c r="E938" s="25" t="n">
        <x:v>40484.34722222222</x:v>
      </x:c>
      <x:c r="F938" s="2" t="n">
        <x:v>403</x:v>
      </x:c>
      <x:c r="G938" s="2" t="n">
        <x:v>1</x:v>
      </x:c>
      <x:c r="H938" s="11" t="n">
        <x:v>252.68</x:v>
      </x:c>
      <x:c r="I938" s="2" t="n">
        <x:v>2</x:v>
      </x:c>
      <x:c r="J938" s="2" t="n">
        <x:v>1</x:v>
      </x:c>
      <x:c r="K938" s="2" t="n">
        <x:v>1</x:v>
      </x:c>
      <x:c r="L938" s="2" t="str">
        <x:v>Hibernating</x:v>
      </x:c>
    </x:row>
    <x:row r="939" ht="22" customHeight="1">
      <x:c r="A939" s="2"/>
      <x:c r="B939" s="2" t="str">
        <x:v>13252</x:v>
      </x:c>
      <x:c r="C939" s="2" t="str">
        <x:v>United Kingdom</x:v>
      </x:c>
      <x:c r="D939" s="25" t="n">
        <x:v>40261.229166666664</x:v>
      </x:c>
      <x:c r="E939" s="25" t="n">
        <x:v>40492.458333333336</x:v>
      </x:c>
      <x:c r="F939" s="2" t="n">
        <x:v>395</x:v>
      </x:c>
      <x:c r="G939" s="2" t="n">
        <x:v>2</x:v>
      </x:c>
      <x:c r="H939" s="11" t="n">
        <x:v>399.3</x:v>
      </x:c>
      <x:c r="I939" s="2" t="n">
        <x:v>2</x:v>
      </x:c>
      <x:c r="J939" s="2" t="n">
        <x:v>2</x:v>
      </x:c>
      <x:c r="K939" s="2" t="n">
        <x:v>2</x:v>
      </x:c>
      <x:c r="L939" s="2" t="str">
        <x:v>Hibernating</x:v>
      </x:c>
    </x:row>
    <x:row r="940" ht="22" customHeight="1">
      <x:c r="A940" s="2"/>
      <x:c r="B940" s="2" t="str">
        <x:v>13253</x:v>
      </x:c>
      <x:c r="C940" s="2" t="str">
        <x:v>United Kingdom</x:v>
      </x:c>
      <x:c r="D940" s="25" t="n">
        <x:v>40183.30069444444</x:v>
      </x:c>
      <x:c r="E940" s="25" t="n">
        <x:v>40730.214583333334</x:v>
      </x:c>
      <x:c r="F940" s="2" t="n">
        <x:v>157</x:v>
      </x:c>
      <x:c r="G940" s="2" t="n">
        <x:v>4</x:v>
      </x:c>
      <x:c r="H940" s="11" t="n">
        <x:v>2951.11</x:v>
      </x:c>
      <x:c r="I940" s="2" t="n">
        <x:v>3</x:v>
      </x:c>
      <x:c r="J940" s="2" t="n">
        <x:v>3</x:v>
      </x:c>
      <x:c r="K940" s="2" t="n">
        <x:v>5</x:v>
      </x:c>
      <x:c r="L940" s="2" t="str">
        <x:v>Loyal</x:v>
      </x:c>
    </x:row>
    <x:row r="941" ht="22" customHeight="1">
      <x:c r="A941" s="2"/>
      <x:c r="B941" s="2" t="str">
        <x:v>13254</x:v>
      </x:c>
      <x:c r="C941" s="2" t="str">
        <x:v>United Kingdom</x:v>
      </x:c>
      <x:c r="D941" s="25" t="n">
        <x:v>40510.44583333333</x:v>
      </x:c>
      <x:c r="E941" s="25" t="n">
        <x:v>40510.44583333333</x:v>
      </x:c>
      <x:c r="F941" s="2" t="n">
        <x:v>377</x:v>
      </x:c>
      <x:c r="G941" s="2" t="n">
        <x:v>1</x:v>
      </x:c>
      <x:c r="H941" s="11" t="n">
        <x:v>51.41</x:v>
      </x:c>
      <x:c r="I941" s="2" t="n">
        <x:v>2</x:v>
      </x:c>
      <x:c r="J941" s="2" t="n">
        <x:v>1</x:v>
      </x:c>
      <x:c r="K941" s="2" t="n">
        <x:v>1</x:v>
      </x:c>
      <x:c r="L941" s="2" t="str">
        <x:v>Hibernating</x:v>
      </x:c>
    </x:row>
    <x:row r="942" ht="22" customHeight="1">
      <x:c r="A942" s="2"/>
      <x:c r="B942" s="2" t="str">
        <x:v>13255</x:v>
      </x:c>
      <x:c r="C942" s="2" t="str">
        <x:v>United Kingdom</x:v>
      </x:c>
      <x:c r="D942" s="25" t="n">
        <x:v>40374.34722222222</x:v>
      </x:c>
      <x:c r="E942" s="25" t="n">
        <x:v>40877.34305555555</x:v>
      </x:c>
      <x:c r="F942" s="2" t="n">
        <x:v>10</x:v>
      </x:c>
      <x:c r="G942" s="2" t="n">
        <x:v>3</x:v>
      </x:c>
      <x:c r="H942" s="11" t="n">
        <x:v>678.76</x:v>
      </x:c>
      <x:c r="I942" s="2" t="n">
        <x:v>5</x:v>
      </x:c>
      <x:c r="J942" s="2" t="n">
        <x:v>3</x:v>
      </x:c>
      <x:c r="K942" s="2" t="n">
        <x:v>3</x:v>
      </x:c>
      <x:c r="L942" s="2" t="str">
        <x:v>Loyal</x:v>
      </x:c>
    </x:row>
    <x:row r="943" ht="22" customHeight="1">
      <x:c r="A943" s="2"/>
      <x:c r="B943" s="2" t="str">
        <x:v>13257</x:v>
      </x:c>
      <x:c r="C943" s="2" t="str">
        <x:v>United Kingdom</x:v>
      </x:c>
      <x:c r="D943" s="25" t="n">
        <x:v>40450.41527777778</x:v>
      </x:c>
      <x:c r="E943" s="25" t="n">
        <x:v>40450.41527777778</x:v>
      </x:c>
      <x:c r="F943" s="2" t="n">
        <x:v>437</x:v>
      </x:c>
      <x:c r="G943" s="2" t="n">
        <x:v>1</x:v>
      </x:c>
      <x:c r="H943" s="11" t="n">
        <x:v>149.75</x:v>
      </x:c>
      <x:c r="I943" s="2" t="n">
        <x:v>1</x:v>
      </x:c>
      <x:c r="J943" s="2" t="n">
        <x:v>1</x:v>
      </x:c>
      <x:c r="K943" s="2" t="n">
        <x:v>1</x:v>
      </x:c>
      <x:c r="L943" s="2" t="str">
        <x:v>Hibernating</x:v>
      </x:c>
    </x:row>
    <x:row r="944" ht="22" customHeight="1">
      <x:c r="A944" s="2"/>
      <x:c r="B944" s="2" t="str">
        <x:v>13258</x:v>
      </x:c>
      <x:c r="C944" s="2" t="str">
        <x:v>United Kingdom</x:v>
      </x:c>
      <x:c r="D944" s="25" t="n">
        <x:v>40486.322916666664</x:v>
      </x:c>
      <x:c r="E944" s="25" t="n">
        <x:v>40875.18819444445</x:v>
      </x:c>
      <x:c r="F944" s="2" t="n">
        <x:v>12</x:v>
      </x:c>
      <x:c r="G944" s="2" t="n">
        <x:v>5</x:v>
      </x:c>
      <x:c r="H944" s="11" t="n">
        <x:v>1035.18</x:v>
      </x:c>
      <x:c r="I944" s="2" t="n">
        <x:v>5</x:v>
      </x:c>
      <x:c r="J944" s="2" t="n">
        <x:v>4</x:v>
      </x:c>
      <x:c r="K944" s="2" t="n">
        <x:v>3</x:v>
      </x:c>
      <x:c r="L944" s="2" t="str">
        <x:v>Loyal</x:v>
      </x:c>
    </x:row>
    <x:row r="945" ht="22" customHeight="1">
      <x:c r="A945" s="2"/>
      <x:c r="B945" s="2" t="str">
        <x:v>13259</x:v>
      </x:c>
      <x:c r="C945" s="2" t="str">
        <x:v>United Kingdom</x:v>
      </x:c>
      <x:c r="D945" s="25" t="n">
        <x:v>40188.22638888889</x:v>
      </x:c>
      <x:c r="E945" s="25" t="n">
        <x:v>40825.24166666667</x:v>
      </x:c>
      <x:c r="F945" s="2" t="n">
        <x:v>62</x:v>
      </x:c>
      <x:c r="G945" s="2" t="n">
        <x:v>9</x:v>
      </x:c>
      <x:c r="H945" s="11" t="n">
        <x:v>1433.38</x:v>
      </x:c>
      <x:c r="I945" s="2" t="n">
        <x:v>3</x:v>
      </x:c>
      <x:c r="J945" s="2" t="n">
        <x:v>5</x:v>
      </x:c>
      <x:c r="K945" s="2" t="n">
        <x:v>4</x:v>
      </x:c>
      <x:c r="L945" s="2" t="str">
        <x:v>Loyal</x:v>
      </x:c>
    </x:row>
    <x:row r="946" ht="22" customHeight="1">
      <x:c r="A946" s="2"/>
      <x:c r="B946" s="2" t="str">
        <x:v>13260</x:v>
      </x:c>
      <x:c r="C946" s="2" t="str">
        <x:v>United Kingdom</x:v>
      </x:c>
      <x:c r="D946" s="25" t="n">
        <x:v>40825.347916666666</x:v>
      </x:c>
      <x:c r="E946" s="25" t="n">
        <x:v>40825.347916666666</x:v>
      </x:c>
      <x:c r="F946" s="2" t="n">
        <x:v>62</x:v>
      </x:c>
      <x:c r="G946" s="2" t="n">
        <x:v>1</x:v>
      </x:c>
      <x:c r="H946" s="11" t="n">
        <x:v>557.62</x:v>
      </x:c>
      <x:c r="I946" s="2" t="n">
        <x:v>3</x:v>
      </x:c>
      <x:c r="J946" s="2" t="n">
        <x:v>1</x:v>
      </x:c>
      <x:c r="K946" s="2" t="n">
        <x:v>2</x:v>
      </x:c>
      <x:c r="L946" s="2" t="str">
        <x:v>Developing</x:v>
      </x:c>
    </x:row>
    <x:row r="947" ht="22" customHeight="1">
      <x:c r="A947" s="2"/>
      <x:c r="B947" s="2" t="str">
        <x:v>13261</x:v>
      </x:c>
      <x:c r="C947" s="2" t="str">
        <x:v>United Kingdom</x:v>
      </x:c>
      <x:c r="D947" s="25" t="n">
        <x:v>40601.236805555556</x:v>
      </x:c>
      <x:c r="E947" s="25" t="n">
        <x:v>40618.30694444444</x:v>
      </x:c>
      <x:c r="F947" s="2" t="n">
        <x:v>269</x:v>
      </x:c>
      <x:c r="G947" s="2" t="n">
        <x:v>2</x:v>
      </x:c>
      <x:c r="H947" s="11" t="n">
        <x:v>944.1</x:v>
      </x:c>
      <x:c r="I947" s="2" t="n">
        <x:v>2</x:v>
      </x:c>
      <x:c r="J947" s="2" t="n">
        <x:v>2</x:v>
      </x:c>
      <x:c r="K947" s="2" t="n">
        <x:v>3</x:v>
      </x:c>
      <x:c r="L947" s="2" t="str">
        <x:v>Hibernating</x:v>
      </x:c>
    </x:row>
    <x:row r="948" ht="22" customHeight="1">
      <x:c r="A948" s="2"/>
      <x:c r="B948" s="2" t="str">
        <x:v>13262</x:v>
      </x:c>
      <x:c r="C948" s="2" t="str">
        <x:v>United Kingdom</x:v>
      </x:c>
      <x:c r="D948" s="25" t="n">
        <x:v>40286.30138888889</x:v>
      </x:c>
      <x:c r="E948" s="25" t="n">
        <x:v>40623.42083333333</x:v>
      </x:c>
      <x:c r="F948" s="2" t="n">
        <x:v>264</x:v>
      </x:c>
      <x:c r="G948" s="2" t="n">
        <x:v>3</x:v>
      </x:c>
      <x:c r="H948" s="11" t="n">
        <x:v>573.45</x:v>
      </x:c>
      <x:c r="I948" s="2" t="n">
        <x:v>2</x:v>
      </x:c>
      <x:c r="J948" s="2" t="n">
        <x:v>3</x:v>
      </x:c>
      <x:c r="K948" s="2" t="n">
        <x:v>2</x:v>
      </x:c>
      <x:c r="L948" s="2" t="str">
        <x:v>At risk</x:v>
      </x:c>
    </x:row>
    <x:row r="949" ht="22" customHeight="1">
      <x:c r="A949" s="2"/>
      <x:c r="B949" s="2" t="str">
        <x:v>13263</x:v>
      </x:c>
      <x:c r="C949" s="2" t="str">
        <x:v>United Kingdom</x:v>
      </x:c>
      <x:c r="D949" s="25" t="n">
        <x:v>40473.50486111111</x:v>
      </x:c>
      <x:c r="E949" s="25" t="n">
        <x:v>40885.37430555555</x:v>
      </x:c>
      <x:c r="F949" s="2" t="n">
        <x:v>2</x:v>
      </x:c>
      <x:c r="G949" s="2" t="n">
        <x:v>39</x:v>
      </x:c>
      <x:c r="H949" s="11" t="n">
        <x:v>8704.69</x:v>
      </x:c>
      <x:c r="I949" s="2" t="n">
        <x:v>5</x:v>
      </x:c>
      <x:c r="J949" s="2" t="n">
        <x:v>5</x:v>
      </x:c>
      <x:c r="K949" s="2" t="n">
        <x:v>5</x:v>
      </x:c>
      <x:c r="L949" s="2" t="str">
        <x:v>Champions</x:v>
      </x:c>
    </x:row>
    <x:row r="950" ht="22" customHeight="1">
      <x:c r="A950" s="2"/>
      <x:c r="B950" s="2" t="str">
        <x:v>13264</x:v>
      </x:c>
      <x:c r="C950" s="2" t="str">
        <x:v>United Kingdom</x:v>
      </x:c>
      <x:c r="D950" s="25" t="n">
        <x:v>40444.32083333333</x:v>
      </x:c>
      <x:c r="E950" s="25" t="n">
        <x:v>40444.32083333333</x:v>
      </x:c>
      <x:c r="F950" s="2" t="n">
        <x:v>443</x:v>
      </x:c>
      <x:c r="G950" s="2" t="n">
        <x:v>1</x:v>
      </x:c>
      <x:c r="H950" s="11" t="n">
        <x:v>722.56</x:v>
      </x:c>
      <x:c r="I950" s="2" t="n">
        <x:v>1</x:v>
      </x:c>
      <x:c r="J950" s="2" t="n">
        <x:v>1</x:v>
      </x:c>
      <x:c r="K950" s="2" t="n">
        <x:v>3</x:v>
      </x:c>
      <x:c r="L950" s="2" t="str">
        <x:v>Hibernating</x:v>
      </x:c>
    </x:row>
    <x:row r="951" ht="22" customHeight="1">
      <x:c r="A951" s="2"/>
      <x:c r="B951" s="2" t="str">
        <x:v>13265</x:v>
      </x:c>
      <x:c r="C951" s="2" t="str">
        <x:v>United Kingdom</x:v>
      </x:c>
      <x:c r="D951" s="25" t="n">
        <x:v>40613.20416666667</x:v>
      </x:c>
      <x:c r="E951" s="25" t="n">
        <x:v>40833.41805555556</x:v>
      </x:c>
      <x:c r="F951" s="2" t="n">
        <x:v>54</x:v>
      </x:c>
      <x:c r="G951" s="2" t="n">
        <x:v>5</x:v>
      </x:c>
      <x:c r="H951" s="11" t="n">
        <x:v>2107.66</x:v>
      </x:c>
      <x:c r="I951" s="2" t="n">
        <x:v>4</x:v>
      </x:c>
      <x:c r="J951" s="2" t="n">
        <x:v>4</x:v>
      </x:c>
      <x:c r="K951" s="2" t="n">
        <x:v>4</x:v>
      </x:c>
      <x:c r="L951" s="2" t="str">
        <x:v>Champions</x:v>
      </x:c>
    </x:row>
    <x:row r="952" ht="22" customHeight="1">
      <x:c r="A952" s="2"/>
      <x:c r="B952" s="2" t="str">
        <x:v>13266</x:v>
      </x:c>
      <x:c r="C952" s="2" t="str">
        <x:v>United Kingdom</x:v>
      </x:c>
      <x:c r="D952" s="25" t="n">
        <x:v>40164.24444444444</x:v>
      </x:c>
      <x:c r="E952" s="25" t="n">
        <x:v>40875.402083333334</x:v>
      </x:c>
      <x:c r="F952" s="2" t="n">
        <x:v>12</x:v>
      </x:c>
      <x:c r="G952" s="2" t="n">
        <x:v>19</x:v>
      </x:c>
      <x:c r="H952" s="11" t="n">
        <x:v>6135.04</x:v>
      </x:c>
      <x:c r="I952" s="2" t="n">
        <x:v>5</x:v>
      </x:c>
      <x:c r="J952" s="2" t="n">
        <x:v>5</x:v>
      </x:c>
      <x:c r="K952" s="2" t="n">
        <x:v>5</x:v>
      </x:c>
      <x:c r="L952" s="2" t="str">
        <x:v>Champions</x:v>
      </x:c>
    </x:row>
    <x:row r="953" ht="22" customHeight="1">
      <x:c r="A953" s="2"/>
      <x:c r="B953" s="2" t="str">
        <x:v>13267</x:v>
      </x:c>
      <x:c r="C953" s="2" t="str">
        <x:v>United Kingdom</x:v>
      </x:c>
      <x:c r="D953" s="25" t="n">
        <x:v>40154.49722222222</x:v>
      </x:c>
      <x:c r="E953" s="25" t="n">
        <x:v>40884.25833333333</x:v>
      </x:c>
      <x:c r="F953" s="2" t="n">
        <x:v>3</x:v>
      </x:c>
      <x:c r="G953" s="2" t="n">
        <x:v>36</x:v>
      </x:c>
      <x:c r="H953" s="11" t="n">
        <x:v>9429.81</x:v>
      </x:c>
      <x:c r="I953" s="2" t="n">
        <x:v>5</x:v>
      </x:c>
      <x:c r="J953" s="2" t="n">
        <x:v>5</x:v>
      </x:c>
      <x:c r="K953" s="2" t="n">
        <x:v>5</x:v>
      </x:c>
      <x:c r="L953" s="2" t="str">
        <x:v>Champions</x:v>
      </x:c>
    </x:row>
    <x:row r="954" ht="22" customHeight="1">
      <x:c r="A954" s="2"/>
      <x:c r="B954" s="2" t="str">
        <x:v>13268</x:v>
      </x:c>
      <x:c r="C954" s="2" t="str">
        <x:v>United Kingdom</x:v>
      </x:c>
      <x:c r="D954" s="25" t="n">
        <x:v>40619.34722222222</x:v>
      </x:c>
      <x:c r="E954" s="25" t="n">
        <x:v>40869.285416666666</x:v>
      </x:c>
      <x:c r="F954" s="2" t="n">
        <x:v>18</x:v>
      </x:c>
      <x:c r="G954" s="2" t="n">
        <x:v>11</x:v>
      </x:c>
      <x:c r="H954" s="11" t="n">
        <x:v>3214.69</x:v>
      </x:c>
      <x:c r="I954" s="2" t="n">
        <x:v>5</x:v>
      </x:c>
      <x:c r="J954" s="2" t="n">
        <x:v>5</x:v>
      </x:c>
      <x:c r="K954" s="2" t="n">
        <x:v>5</x:v>
      </x:c>
      <x:c r="L954" s="2" t="str">
        <x:v>Champions</x:v>
      </x:c>
    </x:row>
    <x:row r="955" ht="22" customHeight="1">
      <x:c r="A955" s="2"/>
      <x:c r="B955" s="2" t="str">
        <x:v>13269</x:v>
      </x:c>
      <x:c r="C955" s="2" t="str">
        <x:v>United Kingdom</x:v>
      </x:c>
      <x:c r="D955" s="25" t="n">
        <x:v>40149.282638888886</x:v>
      </x:c>
      <x:c r="E955" s="25" t="n">
        <x:v>40885.41180555556</x:v>
      </x:c>
      <x:c r="F955" s="2" t="n">
        <x:v>2</x:v>
      </x:c>
      <x:c r="G955" s="2" t="n">
        <x:v>28</x:v>
      </x:c>
      <x:c r="H955" s="11" t="n">
        <x:v>8540.27</x:v>
      </x:c>
      <x:c r="I955" s="2" t="n">
        <x:v>5</x:v>
      </x:c>
      <x:c r="J955" s="2" t="n">
        <x:v>5</x:v>
      </x:c>
      <x:c r="K955" s="2" t="n">
        <x:v>5</x:v>
      </x:c>
      <x:c r="L955" s="2" t="str">
        <x:v>Champions</x:v>
      </x:c>
    </x:row>
    <x:row r="956" ht="22" customHeight="1">
      <x:c r="A956" s="2"/>
      <x:c r="B956" s="2" t="str">
        <x:v>13270</x:v>
      </x:c>
      <x:c r="C956" s="2" t="str">
        <x:v>United Kingdom</x:v>
      </x:c>
      <x:c r="D956" s="25" t="n">
        <x:v>40520.41180555556</x:v>
      </x:c>
      <x:c r="E956" s="25" t="n">
        <x:v>40520.41180555556</x:v>
      </x:c>
      <x:c r="F956" s="2" t="n">
        <x:v>367</x:v>
      </x:c>
      <x:c r="G956" s="2" t="n">
        <x:v>1</x:v>
      </x:c>
      <x:c r="H956" s="11" t="n">
        <x:v>590</x:v>
      </x:c>
      <x:c r="I956" s="2" t="n">
        <x:v>2</x:v>
      </x:c>
      <x:c r="J956" s="2" t="n">
        <x:v>1</x:v>
      </x:c>
      <x:c r="K956" s="2" t="n">
        <x:v>2</x:v>
      </x:c>
      <x:c r="L956" s="2" t="str">
        <x:v>Hibernating</x:v>
      </x:c>
    </x:row>
    <x:row r="957" ht="22" customHeight="1">
      <x:c r="A957" s="2"/>
      <x:c r="B957" s="2" t="str">
        <x:v>13271</x:v>
      </x:c>
      <x:c r="C957" s="2" t="str">
        <x:v>United Kingdom</x:v>
      </x:c>
      <x:c r="D957" s="25" t="n">
        <x:v>40849.396527777775</x:v>
      </x:c>
      <x:c r="E957" s="25" t="n">
        <x:v>40849.396527777775</x:v>
      </x:c>
      <x:c r="F957" s="2" t="n">
        <x:v>38</x:v>
      </x:c>
      <x:c r="G957" s="2" t="n">
        <x:v>1</x:v>
      </x:c>
      <x:c r="H957" s="11" t="n">
        <x:v>217.38</x:v>
      </x:c>
      <x:c r="I957" s="2" t="n">
        <x:v>4</x:v>
      </x:c>
      <x:c r="J957" s="2" t="n">
        <x:v>1</x:v>
      </x:c>
      <x:c r="K957" s="2" t="n">
        <x:v>1</x:v>
      </x:c>
      <x:c r="L957" s="2" t="str">
        <x:v>Recent light buyers</x:v>
      </x:c>
    </x:row>
    <x:row r="958" ht="22" customHeight="1">
      <x:c r="A958" s="2"/>
      <x:c r="B958" s="2" t="str">
        <x:v>13272</x:v>
      </x:c>
      <x:c r="C958" s="2" t="str">
        <x:v>United Kingdom</x:v>
      </x:c>
      <x:c r="D958" s="25" t="n">
        <x:v>40797.29583333333</x:v>
      </x:c>
      <x:c r="E958" s="25" t="n">
        <x:v>40855.375</x:v>
      </x:c>
      <x:c r="F958" s="2" t="n">
        <x:v>32</x:v>
      </x:c>
      <x:c r="G958" s="2" t="n">
        <x:v>2</x:v>
      </x:c>
      <x:c r="H958" s="11" t="n">
        <x:v>276.56</x:v>
      </x:c>
      <x:c r="I958" s="2" t="n">
        <x:v>4</x:v>
      </x:c>
      <x:c r="J958" s="2" t="n">
        <x:v>2</x:v>
      </x:c>
      <x:c r="K958" s="2" t="n">
        <x:v>1</x:v>
      </x:c>
      <x:c r="L958" s="2" t="str">
        <x:v>Recent light buyers</x:v>
      </x:c>
    </x:row>
    <x:row r="959" ht="22" customHeight="1">
      <x:c r="A959" s="2"/>
      <x:c r="B959" s="2" t="str">
        <x:v>13273</x:v>
      </x:c>
      <x:c r="C959" s="2" t="str">
        <x:v>United Kingdom</x:v>
      </x:c>
      <x:c r="D959" s="25" t="n">
        <x:v>40773.376388888886</x:v>
      </x:c>
      <x:c r="E959" s="25" t="n">
        <x:v>40773.376388888886</x:v>
      </x:c>
      <x:c r="F959" s="2" t="n">
        <x:v>114</x:v>
      </x:c>
      <x:c r="G959" s="2" t="n">
        <x:v>1</x:v>
      </x:c>
      <x:c r="H959" s="11" t="n">
        <x:v>138.98</x:v>
      </x:c>
      <x:c r="I959" s="2" t="n">
        <x:v>3</x:v>
      </x:c>
      <x:c r="J959" s="2" t="n">
        <x:v>1</x:v>
      </x:c>
      <x:c r="K959" s="2" t="n">
        <x:v>1</x:v>
      </x:c>
      <x:c r="L959" s="2" t="str">
        <x:v>Developing</x:v>
      </x:c>
    </x:row>
    <x:row r="960" ht="22" customHeight="1">
      <x:c r="A960" s="2"/>
      <x:c r="B960" s="2" t="str">
        <x:v>13274</x:v>
      </x:c>
      <x:c r="C960" s="2" t="str">
        <x:v>United Kingdom</x:v>
      </x:c>
      <x:c r="D960" s="25" t="n">
        <x:v>40477.36666666667</x:v>
      </x:c>
      <x:c r="E960" s="25" t="n">
        <x:v>40477.36666666667</x:v>
      </x:c>
      <x:c r="F960" s="2" t="n">
        <x:v>410</x:v>
      </x:c>
      <x:c r="G960" s="2" t="n">
        <x:v>1</x:v>
      </x:c>
      <x:c r="H960" s="11" t="n">
        <x:v>360.85</x:v>
      </x:c>
      <x:c r="I960" s="2" t="n">
        <x:v>2</x:v>
      </x:c>
      <x:c r="J960" s="2" t="n">
        <x:v>1</x:v>
      </x:c>
      <x:c r="K960" s="2" t="n">
        <x:v>2</x:v>
      </x:c>
      <x:c r="L960" s="2" t="str">
        <x:v>Hibernating</x:v>
      </x:c>
    </x:row>
    <x:row r="961" ht="22" customHeight="1">
      <x:c r="A961" s="2"/>
      <x:c r="B961" s="2" t="str">
        <x:v>13275</x:v>
      </x:c>
      <x:c r="C961" s="2" t="str">
        <x:v>United Kingdom</x:v>
      </x:c>
      <x:c r="D961" s="25" t="n">
        <x:v>40254.37847222222</x:v>
      </x:c>
      <x:c r="E961" s="25" t="n">
        <x:v>40503.29791666667</x:v>
      </x:c>
      <x:c r="F961" s="2" t="n">
        <x:v>384</x:v>
      </x:c>
      <x:c r="G961" s="2" t="n">
        <x:v>2</x:v>
      </x:c>
      <x:c r="H961" s="11" t="n">
        <x:v>241.66</x:v>
      </x:c>
      <x:c r="I961" s="2" t="n">
        <x:v>2</x:v>
      </x:c>
      <x:c r="J961" s="2" t="n">
        <x:v>2</x:v>
      </x:c>
      <x:c r="K961" s="2" t="n">
        <x:v>1</x:v>
      </x:c>
      <x:c r="L961" s="2" t="str">
        <x:v>Hibernating</x:v>
      </x:c>
    </x:row>
    <x:row r="962" ht="22" customHeight="1">
      <x:c r="A962" s="2"/>
      <x:c r="B962" s="2" t="str">
        <x:v>13276</x:v>
      </x:c>
      <x:c r="C962" s="2" t="str">
        <x:v>United Kingdom</x:v>
      </x:c>
      <x:c r="D962" s="25" t="n">
        <x:v>40244.37847222222</x:v>
      </x:c>
      <x:c r="E962" s="25" t="n">
        <x:v>40823.322222222225</x:v>
      </x:c>
      <x:c r="F962" s="2" t="n">
        <x:v>64</x:v>
      </x:c>
      <x:c r="G962" s="2" t="n">
        <x:v>5</x:v>
      </x:c>
      <x:c r="H962" s="11" t="n">
        <x:v>1939.26</x:v>
      </x:c>
      <x:c r="I962" s="2" t="n">
        <x:v>3</x:v>
      </x:c>
      <x:c r="J962" s="2" t="n">
        <x:v>4</x:v>
      </x:c>
      <x:c r="K962" s="2" t="n">
        <x:v>4</x:v>
      </x:c>
      <x:c r="L962" s="2" t="str">
        <x:v>Loyal</x:v>
      </x:c>
    </x:row>
    <x:row r="963" ht="22" customHeight="1">
      <x:c r="A963" s="2"/>
      <x:c r="B963" s="2" t="str">
        <x:v>13277</x:v>
      </x:c>
      <x:c r="C963" s="2" t="str">
        <x:v>United Kingdom</x:v>
      </x:c>
      <x:c r="D963" s="25" t="n">
        <x:v>40347.15625</x:v>
      </x:c>
      <x:c r="E963" s="25" t="n">
        <x:v>40871.18125</x:v>
      </x:c>
      <x:c r="F963" s="2" t="n">
        <x:v>16</x:v>
      </x:c>
      <x:c r="G963" s="2" t="n">
        <x:v>7</x:v>
      </x:c>
      <x:c r="H963" s="11" t="n">
        <x:v>523.3</x:v>
      </x:c>
      <x:c r="I963" s="2" t="n">
        <x:v>5</x:v>
      </x:c>
      <x:c r="J963" s="2" t="n">
        <x:v>4</x:v>
      </x:c>
      <x:c r="K963" s="2" t="n">
        <x:v>2</x:v>
      </x:c>
      <x:c r="L963" s="2" t="str">
        <x:v>Loyal</x:v>
      </x:c>
    </x:row>
    <x:row r="964" ht="22" customHeight="1">
      <x:c r="A964" s="2"/>
      <x:c r="B964" s="2" t="str">
        <x:v>13278</x:v>
      </x:c>
      <x:c r="C964" s="2" t="str">
        <x:v>United Kingdom</x:v>
      </x:c>
      <x:c r="D964" s="25" t="n">
        <x:v>40276.290972222225</x:v>
      </x:c>
      <x:c r="E964" s="25" t="n">
        <x:v>40846.28402777778</x:v>
      </x:c>
      <x:c r="F964" s="2" t="n">
        <x:v>41</x:v>
      </x:c>
      <x:c r="G964" s="2" t="n">
        <x:v>4</x:v>
      </x:c>
      <x:c r="H964" s="11" t="n">
        <x:v>1435.85</x:v>
      </x:c>
      <x:c r="I964" s="2" t="n">
        <x:v>4</x:v>
      </x:c>
      <x:c r="J964" s="2" t="n">
        <x:v>3</x:v>
      </x:c>
      <x:c r="K964" s="2" t="n">
        <x:v>4</x:v>
      </x:c>
      <x:c r="L964" s="2" t="str">
        <x:v>Loyal</x:v>
      </x:c>
    </x:row>
    <x:row r="965" ht="22" customHeight="1">
      <x:c r="A965" s="2"/>
      <x:c r="B965" s="2" t="str">
        <x:v>13279</x:v>
      </x:c>
      <x:c r="C965" s="2" t="str">
        <x:v>United Kingdom</x:v>
      </x:c>
      <x:c r="D965" s="25" t="n">
        <x:v>40808.51666666667</x:v>
      </x:c>
      <x:c r="E965" s="25" t="n">
        <x:v>40808.51666666667</x:v>
      </x:c>
      <x:c r="F965" s="2" t="n">
        <x:v>79</x:v>
      </x:c>
      <x:c r="G965" s="2" t="n">
        <x:v>1</x:v>
      </x:c>
      <x:c r="H965" s="11" t="n">
        <x:v>137.75</x:v>
      </x:c>
      <x:c r="I965" s="2" t="n">
        <x:v>3</x:v>
      </x:c>
      <x:c r="J965" s="2" t="n">
        <x:v>1</x:v>
      </x:c>
      <x:c r="K965" s="2" t="n">
        <x:v>1</x:v>
      </x:c>
      <x:c r="L965" s="2" t="str">
        <x:v>Developing</x:v>
      </x:c>
    </x:row>
    <x:row r="966" ht="22" customHeight="1">
      <x:c r="A966" s="2"/>
      <x:c r="B966" s="2" t="str">
        <x:v>13280</x:v>
      </x:c>
      <x:c r="C966" s="2" t="str">
        <x:v>United Kingdom</x:v>
      </x:c>
      <x:c r="D966" s="25" t="n">
        <x:v>40242.17152777778</x:v>
      </x:c>
      <x:c r="E966" s="25" t="n">
        <x:v>40764.34305555555</x:v>
      </x:c>
      <x:c r="F966" s="2" t="n">
        <x:v>123</x:v>
      </x:c>
      <x:c r="G966" s="2" t="n">
        <x:v>7</x:v>
      </x:c>
      <x:c r="H966" s="11" t="n">
        <x:v>2322.63</x:v>
      </x:c>
      <x:c r="I966" s="2" t="n">
        <x:v>3</x:v>
      </x:c>
      <x:c r="J966" s="2" t="n">
        <x:v>4</x:v>
      </x:c>
      <x:c r="K966" s="2" t="n">
        <x:v>4</x:v>
      </x:c>
      <x:c r="L966" s="2" t="str">
        <x:v>Loyal</x:v>
      </x:c>
    </x:row>
    <x:row r="967" ht="22" customHeight="1">
      <x:c r="A967" s="2"/>
      <x:c r="B967" s="2" t="str">
        <x:v>13281</x:v>
      </x:c>
      <x:c r="C967" s="2" t="str">
        <x:v>United Kingdom</x:v>
      </x:c>
      <x:c r="D967" s="25" t="n">
        <x:v>40447.46041666667</x:v>
      </x:c>
      <x:c r="E967" s="25" t="n">
        <x:v>40447.46041666667</x:v>
      </x:c>
      <x:c r="F967" s="2" t="n">
        <x:v>440</x:v>
      </x:c>
      <x:c r="G967" s="2" t="n">
        <x:v>1</x:v>
      </x:c>
      <x:c r="H967" s="11" t="n">
        <x:v>350.85</x:v>
      </x:c>
      <x:c r="I967" s="2" t="n">
        <x:v>1</x:v>
      </x:c>
      <x:c r="J967" s="2" t="n">
        <x:v>1</x:v>
      </x:c>
      <x:c r="K967" s="2" t="n">
        <x:v>2</x:v>
      </x:c>
      <x:c r="L967" s="2" t="str">
        <x:v>Hibernating</x:v>
      </x:c>
    </x:row>
    <x:row r="968" ht="22" customHeight="1">
      <x:c r="A968" s="2"/>
      <x:c r="B968" s="2" t="str">
        <x:v>13282</x:v>
      </x:c>
      <x:c r="C968" s="2" t="str">
        <x:v>United Kingdom</x:v>
      </x:c>
      <x:c r="D968" s="25" t="n">
        <x:v>40480.38263888889</x:v>
      </x:c>
      <x:c r="E968" s="25" t="n">
        <x:v>40868.43958333333</x:v>
      </x:c>
      <x:c r="F968" s="2" t="n">
        <x:v>19</x:v>
      </x:c>
      <x:c r="G968" s="2" t="n">
        <x:v>4</x:v>
      </x:c>
      <x:c r="H968" s="11" t="n">
        <x:v>1313.19</x:v>
      </x:c>
      <x:c r="I968" s="2" t="n">
        <x:v>5</x:v>
      </x:c>
      <x:c r="J968" s="2" t="n">
        <x:v>3</x:v>
      </x:c>
      <x:c r="K968" s="2" t="n">
        <x:v>4</x:v>
      </x:c>
      <x:c r="L968" s="2" t="str">
        <x:v>Loyal</x:v>
      </x:c>
    </x:row>
    <x:row r="969" ht="22" customHeight="1">
      <x:c r="A969" s="2"/>
      <x:c r="B969" s="2" t="str">
        <x:v>13283</x:v>
      </x:c>
      <x:c r="C969" s="2" t="str">
        <x:v>United Kingdom</x:v>
      </x:c>
      <x:c r="D969" s="25" t="n">
        <x:v>40246.4</x:v>
      </x:c>
      <x:c r="E969" s="25" t="n">
        <x:v>40827.20138888889</x:v>
      </x:c>
      <x:c r="F969" s="2" t="n">
        <x:v>60</x:v>
      </x:c>
      <x:c r="G969" s="2" t="n">
        <x:v>4</x:v>
      </x:c>
      <x:c r="H969" s="11" t="n">
        <x:v>373.36</x:v>
      </x:c>
      <x:c r="I969" s="2" t="n">
        <x:v>3</x:v>
      </x:c>
      <x:c r="J969" s="2" t="n">
        <x:v>3</x:v>
      </x:c>
      <x:c r="K969" s="2" t="n">
        <x:v>2</x:v>
      </x:c>
      <x:c r="L969" s="2" t="str">
        <x:v>Loyal</x:v>
      </x:c>
    </x:row>
    <x:row r="970" ht="22" customHeight="1">
      <x:c r="A970" s="2"/>
      <x:c r="B970" s="2" t="str">
        <x:v>13284</x:v>
      </x:c>
      <x:c r="C970" s="2" t="str">
        <x:v>United Kingdom</x:v>
      </x:c>
      <x:c r="D970" s="25" t="n">
        <x:v>40556.18263888889</x:v>
      </x:c>
      <x:c r="E970" s="25" t="n">
        <x:v>40556.18263888889</x:v>
      </x:c>
      <x:c r="F970" s="2" t="n">
        <x:v>331</x:v>
      </x:c>
      <x:c r="G970" s="2" t="n">
        <x:v>1</x:v>
      </x:c>
      <x:c r="H970" s="11" t="n">
        <x:v>201.19</x:v>
      </x:c>
      <x:c r="I970" s="2" t="n">
        <x:v>2</x:v>
      </x:c>
      <x:c r="J970" s="2" t="n">
        <x:v>1</x:v>
      </x:c>
      <x:c r="K970" s="2" t="n">
        <x:v>1</x:v>
      </x:c>
      <x:c r="L970" s="2" t="str">
        <x:v>Hibernating</x:v>
      </x:c>
    </x:row>
    <x:row r="971" ht="22" customHeight="1">
      <x:c r="A971" s="2"/>
      <x:c r="B971" s="2" t="str">
        <x:v>13285</x:v>
      </x:c>
      <x:c r="C971" s="2" t="str">
        <x:v>United Kingdom</x:v>
      </x:c>
      <x:c r="D971" s="25" t="n">
        <x:v>40262.393055555556</x:v>
      </x:c>
      <x:c r="E971" s="25" t="n">
        <x:v>40863.34652777778</x:v>
      </x:c>
      <x:c r="F971" s="2" t="n">
        <x:v>24</x:v>
      </x:c>
      <x:c r="G971" s="2" t="n">
        <x:v>6</x:v>
      </x:c>
      <x:c r="H971" s="11" t="n">
        <x:v>3364.59</x:v>
      </x:c>
      <x:c r="I971" s="2" t="n">
        <x:v>4</x:v>
      </x:c>
      <x:c r="J971" s="2" t="n">
        <x:v>4</x:v>
      </x:c>
      <x:c r="K971" s="2" t="n">
        <x:v>5</x:v>
      </x:c>
      <x:c r="L971" s="2" t="str">
        <x:v>Champions</x:v>
      </x:c>
    </x:row>
    <x:row r="972" ht="22" customHeight="1">
      <x:c r="A972" s="2"/>
      <x:c r="B972" s="2" t="str">
        <x:v>13286</x:v>
      </x:c>
      <x:c r="C972" s="2" t="str">
        <x:v>United Kingdom</x:v>
      </x:c>
      <x:c r="D972" s="25" t="n">
        <x:v>40286.44097222222</x:v>
      </x:c>
      <x:c r="E972" s="25" t="n">
        <x:v>40286.44097222222</x:v>
      </x:c>
      <x:c r="F972" s="2" t="n">
        <x:v>601</x:v>
      </x:c>
      <x:c r="G972" s="2" t="n">
        <x:v>1</x:v>
      </x:c>
      <x:c r="H972" s="11" t="n">
        <x:v>734.91</x:v>
      </x:c>
      <x:c r="I972" s="2" t="n">
        <x:v>1</x:v>
      </x:c>
      <x:c r="J972" s="2" t="n">
        <x:v>1</x:v>
      </x:c>
      <x:c r="K972" s="2" t="n">
        <x:v>3</x:v>
      </x:c>
      <x:c r="L972" s="2" t="str">
        <x:v>Hibernating</x:v>
      </x:c>
    </x:row>
    <x:row r="973" ht="22" customHeight="1">
      <x:c r="A973" s="2"/>
      <x:c r="B973" s="2" t="str">
        <x:v>13287</x:v>
      </x:c>
      <x:c r="C973" s="2" t="str">
        <x:v>United Kingdom</x:v>
      </x:c>
      <x:c r="D973" s="25" t="n">
        <x:v>40182.23819444444</x:v>
      </x:c>
      <x:c r="E973" s="25" t="n">
        <x:v>40283.43472222222</x:v>
      </x:c>
      <x:c r="F973" s="2" t="n">
        <x:v>604</x:v>
      </x:c>
      <x:c r="G973" s="2" t="n">
        <x:v>3</x:v>
      </x:c>
      <x:c r="H973" s="11" t="n">
        <x:v>781.59</x:v>
      </x:c>
      <x:c r="I973" s="2" t="n">
        <x:v>1</x:v>
      </x:c>
      <x:c r="J973" s="2" t="n">
        <x:v>3</x:v>
      </x:c>
      <x:c r="K973" s="2" t="n">
        <x:v>3</x:v>
      </x:c>
      <x:c r="L973" s="2" t="str">
        <x:v>At risk</x:v>
      </x:c>
    </x:row>
    <x:row r="974" ht="22" customHeight="1">
      <x:c r="A974" s="2"/>
      <x:c r="B974" s="2" t="str">
        <x:v>13288</x:v>
      </x:c>
      <x:c r="C974" s="2" t="str">
        <x:v>United Kingdom</x:v>
      </x:c>
      <x:c r="D974" s="25" t="n">
        <x:v>40220.415972222225</x:v>
      </x:c>
      <x:c r="E974" s="25" t="n">
        <x:v>40443.48055555556</x:v>
      </x:c>
      <x:c r="F974" s="2" t="n">
        <x:v>444</x:v>
      </x:c>
      <x:c r="G974" s="2" t="n">
        <x:v>5</x:v>
      </x:c>
      <x:c r="H974" s="11" t="n">
        <x:v>927.61</x:v>
      </x:c>
      <x:c r="I974" s="2" t="n">
        <x:v>1</x:v>
      </x:c>
      <x:c r="J974" s="2" t="n">
        <x:v>4</x:v>
      </x:c>
      <x:c r="K974" s="2" t="n">
        <x:v>3</x:v>
      </x:c>
      <x:c r="L974" s="2" t="str">
        <x:v>At risk</x:v>
      </x:c>
    </x:row>
    <x:row r="975" ht="22" customHeight="1">
      <x:c r="A975" s="2"/>
      <x:c r="B975" s="2" t="str">
        <x:v>13289</x:v>
      </x:c>
      <x:c r="C975" s="2" t="str">
        <x:v>United Kingdom</x:v>
      </x:c>
      <x:c r="D975" s="25" t="n">
        <x:v>40163.28680555556</x:v>
      </x:c>
      <x:c r="E975" s="25" t="n">
        <x:v>40163.28680555556</x:v>
      </x:c>
      <x:c r="F975" s="2" t="n">
        <x:v>724</x:v>
      </x:c>
      <x:c r="G975" s="2" t="n">
        <x:v>1</x:v>
      </x:c>
      <x:c r="H975" s="11" t="n">
        <x:v>307.95</x:v>
      </x:c>
      <x:c r="I975" s="2" t="n">
        <x:v>1</x:v>
      </x:c>
      <x:c r="J975" s="2" t="n">
        <x:v>1</x:v>
      </x:c>
      <x:c r="K975" s="2" t="n">
        <x:v>2</x:v>
      </x:c>
      <x:c r="L975" s="2" t="str">
        <x:v>Hibernating</x:v>
      </x:c>
    </x:row>
    <x:row r="976" ht="22" customHeight="1">
      <x:c r="A976" s="2"/>
      <x:c r="B976" s="2" t="str">
        <x:v>13290</x:v>
      </x:c>
      <x:c r="C976" s="2" t="str">
        <x:v>United Kingdom</x:v>
      </x:c>
      <x:c r="D976" s="25" t="n">
        <x:v>40448.478472222225</x:v>
      </x:c>
      <x:c r="E976" s="25" t="n">
        <x:v>40448.478472222225</x:v>
      </x:c>
      <x:c r="F976" s="2" t="n">
        <x:v>439</x:v>
      </x:c>
      <x:c r="G976" s="2" t="n">
        <x:v>1</x:v>
      </x:c>
      <x:c r="H976" s="11" t="n">
        <x:v>208.63</x:v>
      </x:c>
      <x:c r="I976" s="2" t="n">
        <x:v>1</x:v>
      </x:c>
      <x:c r="J976" s="2" t="n">
        <x:v>1</x:v>
      </x:c>
      <x:c r="K976" s="2" t="n">
        <x:v>1</x:v>
      </x:c>
      <x:c r="L976" s="2" t="str">
        <x:v>Hibernating</x:v>
      </x:c>
    </x:row>
    <x:row r="977" ht="22" customHeight="1">
      <x:c r="A977" s="2"/>
      <x:c r="B977" s="2" t="str">
        <x:v>13291</x:v>
      </x:c>
      <x:c r="C977" s="2" t="str">
        <x:v>United Kingdom</x:v>
      </x:c>
      <x:c r="D977" s="25" t="n">
        <x:v>40220.566666666666</x:v>
      </x:c>
      <x:c r="E977" s="25" t="n">
        <x:v>40731.23333333333</x:v>
      </x:c>
      <x:c r="F977" s="2" t="n">
        <x:v>156</x:v>
      </x:c>
      <x:c r="G977" s="2" t="n">
        <x:v>11</x:v>
      </x:c>
      <x:c r="H977" s="11" t="n">
        <x:v>3320.84</x:v>
      </x:c>
      <x:c r="I977" s="2" t="n">
        <x:v>3</x:v>
      </x:c>
      <x:c r="J977" s="2" t="n">
        <x:v>5</x:v>
      </x:c>
      <x:c r="K977" s="2" t="n">
        <x:v>5</x:v>
      </x:c>
      <x:c r="L977" s="2" t="str">
        <x:v>Loyal</x:v>
      </x:c>
    </x:row>
    <x:row r="978" ht="22" customHeight="1">
      <x:c r="A978" s="2"/>
      <x:c r="B978" s="2" t="str">
        <x:v>13292</x:v>
      </x:c>
      <x:c r="C978" s="2" t="str">
        <x:v>United Kingdom</x:v>
      </x:c>
      <x:c r="D978" s="25" t="n">
        <x:v>40360.4</x:v>
      </x:c>
      <x:c r="E978" s="25" t="n">
        <x:v>40848.21111111111</x:v>
      </x:c>
      <x:c r="F978" s="2" t="n">
        <x:v>39</x:v>
      </x:c>
      <x:c r="G978" s="2" t="n">
        <x:v>5</x:v>
      </x:c>
      <x:c r="H978" s="11" t="n">
        <x:v>994.51</x:v>
      </x:c>
      <x:c r="I978" s="2" t="n">
        <x:v>4</x:v>
      </x:c>
      <x:c r="J978" s="2" t="n">
        <x:v>4</x:v>
      </x:c>
      <x:c r="K978" s="2" t="n">
        <x:v>3</x:v>
      </x:c>
      <x:c r="L978" s="2" t="str">
        <x:v>Loyal</x:v>
      </x:c>
    </x:row>
    <x:row r="979" ht="22" customHeight="1">
      <x:c r="A979" s="2"/>
      <x:c r="B979" s="2" t="str">
        <x:v>13293</x:v>
      </x:c>
      <x:c r="C979" s="2" t="str">
        <x:v>United Kingdom</x:v>
      </x:c>
      <x:c r="D979" s="25" t="n">
        <x:v>40218.29513888889</x:v>
      </x:c>
      <x:c r="E979" s="25" t="n">
        <x:v>40494.35277777778</x:v>
      </x:c>
      <x:c r="F979" s="2" t="n">
        <x:v>393</x:v>
      </x:c>
      <x:c r="G979" s="2" t="n">
        <x:v>6</x:v>
      </x:c>
      <x:c r="H979" s="11" t="n">
        <x:v>1192.94</x:v>
      </x:c>
      <x:c r="I979" s="2" t="n">
        <x:v>2</x:v>
      </x:c>
      <x:c r="J979" s="2" t="n">
        <x:v>4</x:v>
      </x:c>
      <x:c r="K979" s="2" t="n">
        <x:v>3</x:v>
      </x:c>
      <x:c r="L979" s="2" t="str">
        <x:v>At risk</x:v>
      </x:c>
    </x:row>
    <x:row r="980" ht="22" customHeight="1">
      <x:c r="A980" s="2"/>
      <x:c r="B980" s="2" t="str">
        <x:v>13294</x:v>
      </x:c>
      <x:c r="C980" s="2" t="str">
        <x:v>United Kingdom</x:v>
      </x:c>
      <x:c r="D980" s="25" t="n">
        <x:v>40240.32916666667</x:v>
      </x:c>
      <x:c r="E980" s="25" t="n">
        <x:v>40697.1625</x:v>
      </x:c>
      <x:c r="F980" s="2" t="n">
        <x:v>190</x:v>
      </x:c>
      <x:c r="G980" s="2" t="n">
        <x:v>3</x:v>
      </x:c>
      <x:c r="H980" s="11" t="n">
        <x:v>1689.53</x:v>
      </x:c>
      <x:c r="I980" s="2" t="n">
        <x:v>3</x:v>
      </x:c>
      <x:c r="J980" s="2" t="n">
        <x:v>3</x:v>
      </x:c>
      <x:c r="K980" s="2" t="n">
        <x:v>4</x:v>
      </x:c>
      <x:c r="L980" s="2" t="str">
        <x:v>Loyal</x:v>
      </x:c>
    </x:row>
    <x:row r="981" ht="22" customHeight="1">
      <x:c r="A981" s="2"/>
      <x:c r="B981" s="2" t="str">
        <x:v>13295</x:v>
      </x:c>
      <x:c r="C981" s="2" t="str">
        <x:v>United Kingdom</x:v>
      </x:c>
      <x:c r="D981" s="25" t="n">
        <x:v>40310.17569444444</x:v>
      </x:c>
      <x:c r="E981" s="25" t="n">
        <x:v>40527.26458333333</x:v>
      </x:c>
      <x:c r="F981" s="2" t="n">
        <x:v>360</x:v>
      </x:c>
      <x:c r="G981" s="2" t="n">
        <x:v>4</x:v>
      </x:c>
      <x:c r="H981" s="11" t="n">
        <x:v>1101.97</x:v>
      </x:c>
      <x:c r="I981" s="2" t="n">
        <x:v>2</x:v>
      </x:c>
      <x:c r="J981" s="2" t="n">
        <x:v>3</x:v>
      </x:c>
      <x:c r="K981" s="2" t="n">
        <x:v>3</x:v>
      </x:c>
      <x:c r="L981" s="2" t="str">
        <x:v>At risk</x:v>
      </x:c>
    </x:row>
    <x:row r="982" ht="22" customHeight="1">
      <x:c r="A982" s="2"/>
      <x:c r="B982" s="2" t="str">
        <x:v>13296</x:v>
      </x:c>
      <x:c r="C982" s="2" t="str">
        <x:v>United Kingdom</x:v>
      </x:c>
      <x:c r="D982" s="25" t="n">
        <x:v>40309.39513888889</x:v>
      </x:c>
      <x:c r="E982" s="25" t="n">
        <x:v>40749.365277777775</x:v>
      </x:c>
      <x:c r="F982" s="2" t="n">
        <x:v>138</x:v>
      </x:c>
      <x:c r="G982" s="2" t="n">
        <x:v>6</x:v>
      </x:c>
      <x:c r="H982" s="11" t="n">
        <x:v>792.51</x:v>
      </x:c>
      <x:c r="I982" s="2" t="n">
        <x:v>3</x:v>
      </x:c>
      <x:c r="J982" s="2" t="n">
        <x:v>4</x:v>
      </x:c>
      <x:c r="K982" s="2" t="n">
        <x:v>3</x:v>
      </x:c>
      <x:c r="L982" s="2" t="str">
        <x:v>Loyal</x:v>
      </x:c>
    </x:row>
    <x:row r="983" ht="22" customHeight="1">
      <x:c r="A983" s="2"/>
      <x:c r="B983" s="2" t="str">
        <x:v>13297</x:v>
      </x:c>
      <x:c r="C983" s="2" t="str">
        <x:v>United Kingdom</x:v>
      </x:c>
      <x:c r="D983" s="25" t="n">
        <x:v>40344.31597222222</x:v>
      </x:c>
      <x:c r="E983" s="25" t="n">
        <x:v>40879.188888888886</x:v>
      </x:c>
      <x:c r="F983" s="2" t="n">
        <x:v>8</x:v>
      </x:c>
      <x:c r="G983" s="2" t="n">
        <x:v>7</x:v>
      </x:c>
      <x:c r="H983" s="11" t="n">
        <x:v>4368.62</x:v>
      </x:c>
      <x:c r="I983" s="2" t="n">
        <x:v>5</x:v>
      </x:c>
      <x:c r="J983" s="2" t="n">
        <x:v>4</x:v>
      </x:c>
      <x:c r="K983" s="2" t="n">
        <x:v>5</x:v>
      </x:c>
      <x:c r="L983" s="2" t="str">
        <x:v>Champions</x:v>
      </x:c>
    </x:row>
    <x:row r="984" ht="22" customHeight="1">
      <x:c r="A984" s="2"/>
      <x:c r="B984" s="2" t="str">
        <x:v>13298</x:v>
      </x:c>
      <x:c r="C984" s="2" t="str">
        <x:v>United Kingdom</x:v>
      </x:c>
      <x:c r="D984" s="25" t="n">
        <x:v>40885.34097222222</x:v>
      </x:c>
      <x:c r="E984" s="25" t="n">
        <x:v>40885.34097222222</x:v>
      </x:c>
      <x:c r="F984" s="2" t="n">
        <x:v>2</x:v>
      </x:c>
      <x:c r="G984" s="2" t="n">
        <x:v>1</x:v>
      </x:c>
      <x:c r="H984" s="11" t="n">
        <x:v>360</x:v>
      </x:c>
      <x:c r="I984" s="2" t="n">
        <x:v>5</x:v>
      </x:c>
      <x:c r="J984" s="2" t="n">
        <x:v>1</x:v>
      </x:c>
      <x:c r="K984" s="2" t="n">
        <x:v>2</x:v>
      </x:c>
      <x:c r="L984" s="2" t="str">
        <x:v>Recent light buyers</x:v>
      </x:c>
    </x:row>
    <x:row r="985" ht="22" customHeight="1">
      <x:c r="A985" s="2"/>
      <x:c r="B985" s="2" t="str">
        <x:v>13299</x:v>
      </x:c>
      <x:c r="C985" s="2" t="str">
        <x:v>United Kingdom</x:v>
      </x:c>
      <x:c r="D985" s="25" t="n">
        <x:v>40358.270833333336</x:v>
      </x:c>
      <x:c r="E985" s="25" t="n">
        <x:v>40618.32986111111</x:v>
      </x:c>
      <x:c r="F985" s="2" t="n">
        <x:v>269</x:v>
      </x:c>
      <x:c r="G985" s="2" t="n">
        <x:v>3</x:v>
      </x:c>
      <x:c r="H985" s="11" t="n">
        <x:v>1218.7</x:v>
      </x:c>
      <x:c r="I985" s="2" t="n">
        <x:v>2</x:v>
      </x:c>
      <x:c r="J985" s="2" t="n">
        <x:v>3</x:v>
      </x:c>
      <x:c r="K985" s="2" t="n">
        <x:v>3</x:v>
      </x:c>
      <x:c r="L985" s="2" t="str">
        <x:v>At risk</x:v>
      </x:c>
    </x:row>
    <x:row r="986" ht="22" customHeight="1">
      <x:c r="A986" s="2"/>
      <x:c r="B986" s="2" t="str">
        <x:v>13300</x:v>
      </x:c>
      <x:c r="C986" s="2" t="str">
        <x:v>United Kingdom</x:v>
      </x:c>
      <x:c r="D986" s="25" t="n">
        <x:v>40312.455555555556</x:v>
      </x:c>
      <x:c r="E986" s="25" t="n">
        <x:v>40717.339583333334</x:v>
      </x:c>
      <x:c r="F986" s="2" t="n">
        <x:v>170</x:v>
      </x:c>
      <x:c r="G986" s="2" t="n">
        <x:v>3</x:v>
      </x:c>
      <x:c r="H986" s="11" t="n">
        <x:v>1285.51</x:v>
      </x:c>
      <x:c r="I986" s="2" t="n">
        <x:v>3</x:v>
      </x:c>
      <x:c r="J986" s="2" t="n">
        <x:v>3</x:v>
      </x:c>
      <x:c r="K986" s="2" t="n">
        <x:v>4</x:v>
      </x:c>
      <x:c r="L986" s="2" t="str">
        <x:v>Loyal</x:v>
      </x:c>
    </x:row>
    <x:row r="987" ht="22" customHeight="1">
      <x:c r="A987" s="2"/>
      <x:c r="B987" s="2" t="str">
        <x:v>13301</x:v>
      </x:c>
      <x:c r="C987" s="2" t="str">
        <x:v>United Kingdom</x:v>
      </x:c>
      <x:c r="D987" s="25" t="n">
        <x:v>40594.342361111114</x:v>
      </x:c>
      <x:c r="E987" s="25" t="n">
        <x:v>40783.26736111111</x:v>
      </x:c>
      <x:c r="F987" s="2" t="n">
        <x:v>104</x:v>
      </x:c>
      <x:c r="G987" s="2" t="n">
        <x:v>4</x:v>
      </x:c>
      <x:c r="H987" s="11" t="n">
        <x:v>618.09</x:v>
      </x:c>
      <x:c r="I987" s="2" t="n">
        <x:v>3</x:v>
      </x:c>
      <x:c r="J987" s="2" t="n">
        <x:v>3</x:v>
      </x:c>
      <x:c r="K987" s="2" t="n">
        <x:v>3</x:v>
      </x:c>
      <x:c r="L987" s="2" t="str">
        <x:v>Loyal</x:v>
      </x:c>
    </x:row>
    <x:row r="988" ht="22" customHeight="1">
      <x:c r="A988" s="2"/>
      <x:c r="B988" s="2" t="str">
        <x:v>13302</x:v>
      </x:c>
      <x:c r="C988" s="2" t="str">
        <x:v>United Kingdom</x:v>
      </x:c>
      <x:c r="D988" s="25" t="n">
        <x:v>40360.313888888886</x:v>
      </x:c>
      <x:c r="E988" s="25" t="n">
        <x:v>40731.53888888889</x:v>
      </x:c>
      <x:c r="F988" s="2" t="n">
        <x:v>156</x:v>
      </x:c>
      <x:c r="G988" s="2" t="n">
        <x:v>2</x:v>
      </x:c>
      <x:c r="H988" s="11" t="n">
        <x:v>159.2</x:v>
      </x:c>
      <x:c r="I988" s="2" t="n">
        <x:v>3</x:v>
      </x:c>
      <x:c r="J988" s="2" t="n">
        <x:v>2</x:v>
      </x:c>
      <x:c r="K988" s="2" t="n">
        <x:v>1</x:v>
      </x:c>
      <x:c r="L988" s="2" t="str">
        <x:v>Developing</x:v>
      </x:c>
    </x:row>
    <x:row r="989" ht="22" customHeight="1">
      <x:c r="A989" s="2"/>
      <x:c r="B989" s="2" t="str">
        <x:v>13303</x:v>
      </x:c>
      <x:c r="C989" s="2" t="str">
        <x:v>United Kingdom</x:v>
      </x:c>
      <x:c r="D989" s="25" t="n">
        <x:v>40486.413194444445</x:v>
      </x:c>
      <x:c r="E989" s="25" t="n">
        <x:v>40486.413194444445</x:v>
      </x:c>
      <x:c r="F989" s="2" t="n">
        <x:v>401</x:v>
      </x:c>
      <x:c r="G989" s="2" t="n">
        <x:v>1</x:v>
      </x:c>
      <x:c r="H989" s="11" t="n">
        <x:v>61.72</x:v>
      </x:c>
      <x:c r="I989" s="2" t="n">
        <x:v>2</x:v>
      </x:c>
      <x:c r="J989" s="2" t="n">
        <x:v>1</x:v>
      </x:c>
      <x:c r="K989" s="2" t="n">
        <x:v>1</x:v>
      </x:c>
      <x:c r="L989" s="2" t="str">
        <x:v>Hibernating</x:v>
      </x:c>
    </x:row>
    <x:row r="990" ht="22" customHeight="1">
      <x:c r="A990" s="2"/>
      <x:c r="B990" s="2" t="str">
        <x:v>13304</x:v>
      </x:c>
      <x:c r="C990" s="2" t="str">
        <x:v>United Kingdom</x:v>
      </x:c>
      <x:c r="D990" s="25" t="n">
        <x:v>40217.32083333333</x:v>
      </x:c>
      <x:c r="E990" s="25" t="n">
        <x:v>40535.399305555555</x:v>
      </x:c>
      <x:c r="F990" s="2" t="n">
        <x:v>352</x:v>
      </x:c>
      <x:c r="G990" s="2" t="n">
        <x:v>4</x:v>
      </x:c>
      <x:c r="H990" s="11" t="n">
        <x:v>1217.99</x:v>
      </x:c>
      <x:c r="I990" s="2" t="n">
        <x:v>2</x:v>
      </x:c>
      <x:c r="J990" s="2" t="n">
        <x:v>3</x:v>
      </x:c>
      <x:c r="K990" s="2" t="n">
        <x:v>3</x:v>
      </x:c>
      <x:c r="L990" s="2" t="str">
        <x:v>At risk</x:v>
      </x:c>
    </x:row>
    <x:row r="991" ht="22" customHeight="1">
      <x:c r="A991" s="2"/>
      <x:c r="B991" s="2" t="str">
        <x:v>13305</x:v>
      </x:c>
      <x:c r="C991" s="2" t="str">
        <x:v>United Kingdom</x:v>
      </x:c>
      <x:c r="D991" s="25" t="n">
        <x:v>40247.40902777778</x:v>
      </x:c>
      <x:c r="E991" s="25" t="n">
        <x:v>40882.427083333336</x:v>
      </x:c>
      <x:c r="F991" s="2" t="n">
        <x:v>5</x:v>
      </x:c>
      <x:c r="G991" s="2" t="n">
        <x:v>16</x:v>
      </x:c>
      <x:c r="H991" s="11" t="n">
        <x:v>3618.51</x:v>
      </x:c>
      <x:c r="I991" s="2" t="n">
        <x:v>5</x:v>
      </x:c>
      <x:c r="J991" s="2" t="n">
        <x:v>5</x:v>
      </x:c>
      <x:c r="K991" s="2" t="n">
        <x:v>5</x:v>
      </x:c>
      <x:c r="L991" s="2" t="str">
        <x:v>Champions</x:v>
      </x:c>
    </x:row>
    <x:row r="992" ht="22" customHeight="1">
      <x:c r="A992" s="2"/>
      <x:c r="B992" s="2" t="str">
        <x:v>13306</x:v>
      </x:c>
      <x:c r="C992" s="2" t="str">
        <x:v>United Kingdom</x:v>
      </x:c>
      <x:c r="D992" s="25" t="n">
        <x:v>40456.413194444445</x:v>
      </x:c>
      <x:c r="E992" s="25" t="n">
        <x:v>40456.413194444445</x:v>
      </x:c>
      <x:c r="F992" s="2" t="n">
        <x:v>431</x:v>
      </x:c>
      <x:c r="G992" s="2" t="n">
        <x:v>1</x:v>
      </x:c>
      <x:c r="H992" s="11" t="n">
        <x:v>53.65</x:v>
      </x:c>
      <x:c r="I992" s="2" t="n">
        <x:v>1</x:v>
      </x:c>
      <x:c r="J992" s="2" t="n">
        <x:v>1</x:v>
      </x:c>
      <x:c r="K992" s="2" t="n">
        <x:v>1</x:v>
      </x:c>
      <x:c r="L992" s="2" t="str">
        <x:v>Hibernating</x:v>
      </x:c>
    </x:row>
    <x:row r="993" ht="22" customHeight="1">
      <x:c r="A993" s="2"/>
      <x:c r="B993" s="2" t="str">
        <x:v>13307</x:v>
      </x:c>
      <x:c r="C993" s="2" t="str">
        <x:v>United Kingdom</x:v>
      </x:c>
      <x:c r="D993" s="25" t="n">
        <x:v>40294.35277777778</x:v>
      </x:c>
      <x:c r="E993" s="25" t="n">
        <x:v>40766.509722222225</x:v>
      </x:c>
      <x:c r="F993" s="2" t="n">
        <x:v>121</x:v>
      </x:c>
      <x:c r="G993" s="2" t="n">
        <x:v>3</x:v>
      </x:c>
      <x:c r="H993" s="11" t="n">
        <x:v>273.34</x:v>
      </x:c>
      <x:c r="I993" s="2" t="n">
        <x:v>3</x:v>
      </x:c>
      <x:c r="J993" s="2" t="n">
        <x:v>3</x:v>
      </x:c>
      <x:c r="K993" s="2" t="n">
        <x:v>1</x:v>
      </x:c>
      <x:c r="L993" s="2" t="str">
        <x:v>Loyal</x:v>
      </x:c>
    </x:row>
    <x:row r="994" ht="22" customHeight="1">
      <x:c r="A994" s="2"/>
      <x:c r="B994" s="2" t="str">
        <x:v>13308</x:v>
      </x:c>
      <x:c r="C994" s="2" t="str">
        <x:v>United Kingdom</x:v>
      </x:c>
      <x:c r="D994" s="25" t="n">
        <x:v>40290.18194444444</x:v>
      </x:c>
      <x:c r="E994" s="25" t="n">
        <x:v>40864.18819444445</x:v>
      </x:c>
      <x:c r="F994" s="2" t="n">
        <x:v>23</x:v>
      </x:c>
      <x:c r="G994" s="2" t="n">
        <x:v>4</x:v>
      </x:c>
      <x:c r="H994" s="11" t="n">
        <x:v>1670.37</x:v>
      </x:c>
      <x:c r="I994" s="2" t="n">
        <x:v>4</x:v>
      </x:c>
      <x:c r="J994" s="2" t="n">
        <x:v>3</x:v>
      </x:c>
      <x:c r="K994" s="2" t="n">
        <x:v>4</x:v>
      </x:c>
      <x:c r="L994" s="2" t="str">
        <x:v>Loyal</x:v>
      </x:c>
    </x:row>
    <x:row r="995" ht="22" customHeight="1">
      <x:c r="A995" s="2"/>
      <x:c r="B995" s="2" t="str">
        <x:v>13309</x:v>
      </x:c>
      <x:c r="C995" s="2" t="str">
        <x:v>United Kingdom</x:v>
      </x:c>
      <x:c r="D995" s="25" t="n">
        <x:v>40494.29861111111</x:v>
      </x:c>
      <x:c r="E995" s="25" t="n">
        <x:v>40879.481944444444</x:v>
      </x:c>
      <x:c r="F995" s="2" t="n">
        <x:v>8</x:v>
      </x:c>
      <x:c r="G995" s="2" t="n">
        <x:v>6</x:v>
      </x:c>
      <x:c r="H995" s="11" t="n">
        <x:v>1706.37</x:v>
      </x:c>
      <x:c r="I995" s="2" t="n">
        <x:v>5</x:v>
      </x:c>
      <x:c r="J995" s="2" t="n">
        <x:v>4</x:v>
      </x:c>
      <x:c r="K995" s="2" t="n">
        <x:v>4</x:v>
      </x:c>
      <x:c r="L995" s="2" t="str">
        <x:v>Champions</x:v>
      </x:c>
    </x:row>
    <x:row r="996" ht="22" customHeight="1">
      <x:c r="A996" s="2"/>
      <x:c r="B996" s="2" t="str">
        <x:v>13310</x:v>
      </x:c>
      <x:c r="C996" s="2" t="str">
        <x:v>United Kingdom</x:v>
      </x:c>
      <x:c r="D996" s="25" t="n">
        <x:v>40484.50208333333</x:v>
      </x:c>
      <x:c r="E996" s="25" t="n">
        <x:v>40858.51597222222</x:v>
      </x:c>
      <x:c r="F996" s="2" t="n">
        <x:v>29</x:v>
      </x:c>
      <x:c r="G996" s="2" t="n">
        <x:v>5</x:v>
      </x:c>
      <x:c r="H996" s="11" t="n">
        <x:v>1541.2</x:v>
      </x:c>
      <x:c r="I996" s="2" t="n">
        <x:v>4</x:v>
      </x:c>
      <x:c r="J996" s="2" t="n">
        <x:v>4</x:v>
      </x:c>
      <x:c r="K996" s="2" t="n">
        <x:v>4</x:v>
      </x:c>
      <x:c r="L996" s="2" t="str">
        <x:v>Champions</x:v>
      </x:c>
    </x:row>
    <x:row r="997" ht="22" customHeight="1">
      <x:c r="A997" s="2"/>
      <x:c r="B997" s="2" t="str">
        <x:v>13311</x:v>
      </x:c>
      <x:c r="C997" s="2" t="str">
        <x:v>United Kingdom</x:v>
      </x:c>
      <x:c r="D997" s="25" t="n">
        <x:v>40736.393055555556</x:v>
      </x:c>
      <x:c r="E997" s="25" t="n">
        <x:v>40882.32986111111</x:v>
      </x:c>
      <x:c r="F997" s="2" t="n">
        <x:v>5</x:v>
      </x:c>
      <x:c r="G997" s="2" t="n">
        <x:v>2</x:v>
      </x:c>
      <x:c r="H997" s="11" t="n">
        <x:v>598.57</x:v>
      </x:c>
      <x:c r="I997" s="2" t="n">
        <x:v>5</x:v>
      </x:c>
      <x:c r="J997" s="2" t="n">
        <x:v>2</x:v>
      </x:c>
      <x:c r="K997" s="2" t="n">
        <x:v>2</x:v>
      </x:c>
      <x:c r="L997" s="2" t="str">
        <x:v>Recent light buyers</x:v>
      </x:c>
    </x:row>
    <x:row r="998" ht="22" customHeight="1">
      <x:c r="A998" s="2"/>
      <x:c r="B998" s="2" t="str">
        <x:v>13312</x:v>
      </x:c>
      <x:c r="C998" s="2" t="str">
        <x:v>United Kingdom</x:v>
      </x:c>
      <x:c r="D998" s="25" t="n">
        <x:v>40435.4</x:v>
      </x:c>
      <x:c r="E998" s="25" t="n">
        <x:v>40435.4</x:v>
      </x:c>
      <x:c r="F998" s="2" t="n">
        <x:v>452</x:v>
      </x:c>
      <x:c r="G998" s="2" t="n">
        <x:v>1</x:v>
      </x:c>
      <x:c r="H998" s="11" t="n">
        <x:v>124.75</x:v>
      </x:c>
      <x:c r="I998" s="2" t="n">
        <x:v>1</x:v>
      </x:c>
      <x:c r="J998" s="2" t="n">
        <x:v>1</x:v>
      </x:c>
      <x:c r="K998" s="2" t="n">
        <x:v>1</x:v>
      </x:c>
      <x:c r="L998" s="2" t="str">
        <x:v>Hibernating</x:v>
      </x:c>
    </x:row>
    <x:row r="999" ht="22" customHeight="1">
      <x:c r="A999" s="2"/>
      <x:c r="B999" s="2" t="str">
        <x:v>13313</x:v>
      </x:c>
      <x:c r="C999" s="2" t="str">
        <x:v>United Kingdom</x:v>
      </x:c>
      <x:c r="D999" s="25" t="n">
        <x:v>40149.47083333333</x:v>
      </x:c>
      <x:c r="E999" s="25" t="n">
        <x:v>40864.49166666667</x:v>
      </x:c>
      <x:c r="F999" s="2" t="n">
        <x:v>23</x:v>
      </x:c>
      <x:c r="G999" s="2" t="n">
        <x:v>12</x:v>
      </x:c>
      <x:c r="H999" s="11" t="n">
        <x:v>3445.32</x:v>
      </x:c>
      <x:c r="I999" s="2" t="n">
        <x:v>4</x:v>
      </x:c>
      <x:c r="J999" s="2" t="n">
        <x:v>5</x:v>
      </x:c>
      <x:c r="K999" s="2" t="n">
        <x:v>5</x:v>
      </x:c>
      <x:c r="L999" s="2" t="str">
        <x:v>Champions</x:v>
      </x:c>
    </x:row>
    <x:row r="1000" ht="22" customHeight="1">
      <x:c r="A1000" s="2"/>
      <x:c r="B1000" s="2" t="str">
        <x:v>13314</x:v>
      </x:c>
      <x:c r="C1000" s="2" t="str">
        <x:v>United Kingdom</x:v>
      </x:c>
      <x:c r="D1000" s="25" t="n">
        <x:v>40813.22222222222</x:v>
      </x:c>
      <x:c r="E1000" s="25" t="n">
        <x:v>40885.31180555555</x:v>
      </x:c>
      <x:c r="F1000" s="2" t="n">
        <x:v>2</x:v>
      </x:c>
      <x:c r="G1000" s="2" t="n">
        <x:v>3</x:v>
      </x:c>
      <x:c r="H1000" s="11" t="n">
        <x:v>775.94</x:v>
      </x:c>
      <x:c r="I1000" s="2" t="n">
        <x:v>5</x:v>
      </x:c>
      <x:c r="J1000" s="2" t="n">
        <x:v>3</x:v>
      </x:c>
      <x:c r="K1000" s="2" t="n">
        <x:v>3</x:v>
      </x:c>
      <x:c r="L1000" s="2" t="str">
        <x:v>Loyal</x:v>
      </x:c>
    </x:row>
    <x:row r="1001" ht="22" customHeight="1">
      <x:c r="A1001" s="2"/>
      <x:c r="B1001" s="2" t="str">
        <x:v>13315</x:v>
      </x:c>
      <x:c r="C1001" s="2" t="str">
        <x:v>United Kingdom</x:v>
      </x:c>
      <x:c r="D1001" s="25" t="n">
        <x:v>40197.44027777778</x:v>
      </x:c>
      <x:c r="E1001" s="25" t="n">
        <x:v>40197.44027777778</x:v>
      </x:c>
      <x:c r="F1001" s="2" t="n">
        <x:v>690</x:v>
      </x:c>
      <x:c r="G1001" s="2" t="n">
        <x:v>1</x:v>
      </x:c>
      <x:c r="H1001" s="11" t="n">
        <x:v>310.26</x:v>
      </x:c>
      <x:c r="I1001" s="2" t="n">
        <x:v>1</x:v>
      </x:c>
      <x:c r="J1001" s="2" t="n">
        <x:v>1</x:v>
      </x:c>
      <x:c r="K1001" s="2" t="n">
        <x:v>2</x:v>
      </x:c>
      <x:c r="L1001" s="2" t="str">
        <x:v>Hibernating</x:v>
      </x:c>
    </x:row>
    <x:row r="1002" ht="22" customHeight="1">
      <x:c r="A1002" s="2"/>
      <x:c r="B1002" s="2" t="str">
        <x:v>13316</x:v>
      </x:c>
      <x:c r="C1002" s="2" t="str">
        <x:v>United Kingdom</x:v>
      </x:c>
      <x:c r="D1002" s="25" t="n">
        <x:v>40247.209027777775</x:v>
      </x:c>
      <x:c r="E1002" s="25" t="n">
        <x:v>40849.36111111111</x:v>
      </x:c>
      <x:c r="F1002" s="2" t="n">
        <x:v>38</x:v>
      </x:c>
      <x:c r="G1002" s="2" t="n">
        <x:v>10</x:v>
      </x:c>
      <x:c r="H1002" s="11" t="n">
        <x:v>13191.57</x:v>
      </x:c>
      <x:c r="I1002" s="2" t="n">
        <x:v>4</x:v>
      </x:c>
      <x:c r="J1002" s="2" t="n">
        <x:v>5</x:v>
      </x:c>
      <x:c r="K1002" s="2" t="n">
        <x:v>5</x:v>
      </x:c>
      <x:c r="L1002" s="2" t="str">
        <x:v>Champions</x:v>
      </x:c>
    </x:row>
    <x:row r="1003" ht="22" customHeight="1">
      <x:c r="A1003" s="2"/>
      <x:c r="B1003" s="2" t="str">
        <x:v>13317</x:v>
      </x:c>
      <x:c r="C1003" s="2" t="str">
        <x:v>United Kingdom</x:v>
      </x:c>
      <x:c r="D1003" s="25" t="n">
        <x:v>40160.25763888889</x:v>
      </x:c>
      <x:c r="E1003" s="25" t="n">
        <x:v>40820.35763888889</x:v>
      </x:c>
      <x:c r="F1003" s="2" t="n">
        <x:v>67</x:v>
      </x:c>
      <x:c r="G1003" s="2" t="n">
        <x:v>19</x:v>
      </x:c>
      <x:c r="H1003" s="11" t="n">
        <x:v>6486.091</x:v>
      </x:c>
      <x:c r="I1003" s="2" t="n">
        <x:v>3</x:v>
      </x:c>
      <x:c r="J1003" s="2" t="n">
        <x:v>5</x:v>
      </x:c>
      <x:c r="K1003" s="2" t="n">
        <x:v>5</x:v>
      </x:c>
      <x:c r="L1003" s="2" t="str">
        <x:v>Loyal</x:v>
      </x:c>
    </x:row>
    <x:row r="1004" ht="22" customHeight="1">
      <x:c r="A1004" s="2"/>
      <x:c r="B1004" s="2" t="str">
        <x:v>13318</x:v>
      </x:c>
      <x:c r="C1004" s="2" t="str">
        <x:v>United Kingdom</x:v>
      </x:c>
      <x:c r="D1004" s="25" t="n">
        <x:v>40849.35138888889</x:v>
      </x:c>
      <x:c r="E1004" s="25" t="n">
        <x:v>40885.57708333333</x:v>
      </x:c>
      <x:c r="F1004" s="2" t="n">
        <x:v>2</x:v>
      </x:c>
      <x:c r="G1004" s="2" t="n">
        <x:v>3</x:v>
      </x:c>
      <x:c r="H1004" s="11" t="n">
        <x:v>640.76</x:v>
      </x:c>
      <x:c r="I1004" s="2" t="n">
        <x:v>5</x:v>
      </x:c>
      <x:c r="J1004" s="2" t="n">
        <x:v>3</x:v>
      </x:c>
      <x:c r="K1004" s="2" t="n">
        <x:v>3</x:v>
      </x:c>
      <x:c r="L1004" s="2" t="str">
        <x:v>Loyal</x:v>
      </x:c>
    </x:row>
    <x:row r="1005" ht="22" customHeight="1">
      <x:c r="A1005" s="2"/>
      <x:c r="B1005" s="2" t="str">
        <x:v>13319</x:v>
      </x:c>
      <x:c r="C1005" s="2" t="str">
        <x:v>United Kingdom</x:v>
      </x:c>
      <x:c r="D1005" s="25" t="n">
        <x:v>40153.40694444445</x:v>
      </x:c>
      <x:c r="E1005" s="25" t="n">
        <x:v>40881.356944444444</x:v>
      </x:c>
      <x:c r="F1005" s="2" t="n">
        <x:v>6</x:v>
      </x:c>
      <x:c r="G1005" s="2" t="n">
        <x:v>58</x:v>
      </x:c>
      <x:c r="H1005" s="11" t="n">
        <x:v>21323.22</x:v>
      </x:c>
      <x:c r="I1005" s="2" t="n">
        <x:v>5</x:v>
      </x:c>
      <x:c r="J1005" s="2" t="n">
        <x:v>5</x:v>
      </x:c>
      <x:c r="K1005" s="2" t="n">
        <x:v>5</x:v>
      </x:c>
      <x:c r="L1005" s="2" t="str">
        <x:v>Champions</x:v>
      </x:c>
    </x:row>
    <x:row r="1006" ht="22" customHeight="1">
      <x:c r="A1006" s="2"/>
      <x:c r="B1006" s="2" t="str">
        <x:v>13320</x:v>
      </x:c>
      <x:c r="C1006" s="2" t="str">
        <x:v>United Kingdom</x:v>
      </x:c>
      <x:c r="D1006" s="25" t="n">
        <x:v>40408.228472222225</x:v>
      </x:c>
      <x:c r="E1006" s="25" t="n">
        <x:v>40808.54652777778</x:v>
      </x:c>
      <x:c r="F1006" s="2" t="n">
        <x:v>79</x:v>
      </x:c>
      <x:c r="G1006" s="2" t="n">
        <x:v>6</x:v>
      </x:c>
      <x:c r="H1006" s="11" t="n">
        <x:v>2228.1</x:v>
      </x:c>
      <x:c r="I1006" s="2" t="n">
        <x:v>3</x:v>
      </x:c>
      <x:c r="J1006" s="2" t="n">
        <x:v>4</x:v>
      </x:c>
      <x:c r="K1006" s="2" t="n">
        <x:v>4</x:v>
      </x:c>
      <x:c r="L1006" s="2" t="str">
        <x:v>Loyal</x:v>
      </x:c>
    </x:row>
    <x:row r="1007" ht="22" customHeight="1">
      <x:c r="A1007" s="2"/>
      <x:c r="B1007" s="2" t="str">
        <x:v>13321</x:v>
      </x:c>
      <x:c r="C1007" s="2" t="str">
        <x:v>United Kingdom</x:v>
      </x:c>
      <x:c r="D1007" s="25" t="n">
        <x:v>40800.42916666667</x:v>
      </x:c>
      <x:c r="E1007" s="25" t="n">
        <x:v>40814.433333333334</x:v>
      </x:c>
      <x:c r="F1007" s="2" t="n">
        <x:v>73</x:v>
      </x:c>
      <x:c r="G1007" s="2" t="n">
        <x:v>2</x:v>
      </x:c>
      <x:c r="H1007" s="11" t="n">
        <x:v>567.36</x:v>
      </x:c>
      <x:c r="I1007" s="2" t="n">
        <x:v>3</x:v>
      </x:c>
      <x:c r="J1007" s="2" t="n">
        <x:v>2</x:v>
      </x:c>
      <x:c r="K1007" s="2" t="n">
        <x:v>2</x:v>
      </x:c>
      <x:c r="L1007" s="2" t="str">
        <x:v>Developing</x:v>
      </x:c>
    </x:row>
    <x:row r="1008" ht="22" customHeight="1">
      <x:c r="A1008" s="2"/>
      <x:c r="B1008" s="2" t="str">
        <x:v>13322</x:v>
      </x:c>
      <x:c r="C1008" s="2" t="str">
        <x:v>United Kingdom</x:v>
      </x:c>
      <x:c r="D1008" s="25" t="n">
        <x:v>40869.38958333333</x:v>
      </x:c>
      <x:c r="E1008" s="25" t="n">
        <x:v>40869.38958333333</x:v>
      </x:c>
      <x:c r="F1008" s="2" t="n">
        <x:v>18</x:v>
      </x:c>
      <x:c r="G1008" s="2" t="n">
        <x:v>1</x:v>
      </x:c>
      <x:c r="H1008" s="11" t="n">
        <x:v>199.48</x:v>
      </x:c>
      <x:c r="I1008" s="2" t="n">
        <x:v>5</x:v>
      </x:c>
      <x:c r="J1008" s="2" t="n">
        <x:v>1</x:v>
      </x:c>
      <x:c r="K1008" s="2" t="n">
        <x:v>1</x:v>
      </x:c>
      <x:c r="L1008" s="2" t="str">
        <x:v>Recent light buyers</x:v>
      </x:c>
    </x:row>
    <x:row r="1009" ht="22" customHeight="1">
      <x:c r="A1009" s="2"/>
      <x:c r="B1009" s="2" t="str">
        <x:v>13323</x:v>
      </x:c>
      <x:c r="C1009" s="2" t="str">
        <x:v>United Kingdom</x:v>
      </x:c>
      <x:c r="D1009" s="25" t="n">
        <x:v>40802.34930555556</x:v>
      </x:c>
      <x:c r="E1009" s="25" t="n">
        <x:v>40883.50833333333</x:v>
      </x:c>
      <x:c r="F1009" s="2" t="n">
        <x:v>4</x:v>
      </x:c>
      <x:c r="G1009" s="2" t="n">
        <x:v>5</x:v>
      </x:c>
      <x:c r="H1009" s="11" t="n">
        <x:v>787.85</x:v>
      </x:c>
      <x:c r="I1009" s="2" t="n">
        <x:v>5</x:v>
      </x:c>
      <x:c r="J1009" s="2" t="n">
        <x:v>4</x:v>
      </x:c>
      <x:c r="K1009" s="2" t="n">
        <x:v>3</x:v>
      </x:c>
      <x:c r="L1009" s="2" t="str">
        <x:v>Loyal</x:v>
      </x:c>
    </x:row>
    <x:row r="1010" ht="22" customHeight="1">
      <x:c r="A1010" s="2"/>
      <x:c r="B1010" s="2" t="str">
        <x:v>13324</x:v>
      </x:c>
      <x:c r="C1010" s="2" t="str">
        <x:v>United Kingdom</x:v>
      </x:c>
      <x:c r="D1010" s="25" t="n">
        <x:v>40323.22430555556</x:v>
      </x:c>
      <x:c r="E1010" s="25" t="n">
        <x:v>40850.47777777778</x:v>
      </x:c>
      <x:c r="F1010" s="2" t="n">
        <x:v>37</x:v>
      </x:c>
      <x:c r="G1010" s="2" t="n">
        <x:v>18</x:v>
      </x:c>
      <x:c r="H1010" s="11" t="n">
        <x:v>10513.47</x:v>
      </x:c>
      <x:c r="I1010" s="2" t="n">
        <x:v>4</x:v>
      </x:c>
      <x:c r="J1010" s="2" t="n">
        <x:v>5</x:v>
      </x:c>
      <x:c r="K1010" s="2" t="n">
        <x:v>5</x:v>
      </x:c>
      <x:c r="L1010" s="2" t="str">
        <x:v>Champions</x:v>
      </x:c>
    </x:row>
    <x:row r="1011" ht="22" customHeight="1">
      <x:c r="A1011" s="2"/>
      <x:c r="B1011" s="2" t="str">
        <x:v>13325</x:v>
      </x:c>
      <x:c r="C1011" s="2" t="str">
        <x:v>United Kingdom</x:v>
      </x:c>
      <x:c r="D1011" s="25" t="n">
        <x:v>40805.23333333333</x:v>
      </x:c>
      <x:c r="E1011" s="25" t="n">
        <x:v>40805.23333333333</x:v>
      </x:c>
      <x:c r="F1011" s="2" t="n">
        <x:v>82</x:v>
      </x:c>
      <x:c r="G1011" s="2" t="n">
        <x:v>1</x:v>
      </x:c>
      <x:c r="H1011" s="11" t="n">
        <x:v>675.3</x:v>
      </x:c>
      <x:c r="I1011" s="2" t="n">
        <x:v>3</x:v>
      </x:c>
      <x:c r="J1011" s="2" t="n">
        <x:v>1</x:v>
      </x:c>
      <x:c r="K1011" s="2" t="n">
        <x:v>3</x:v>
      </x:c>
      <x:c r="L1011" s="2" t="str">
        <x:v>Developing</x:v>
      </x:c>
    </x:row>
    <x:row r="1012" ht="22" customHeight="1">
      <x:c r="A1012" s="2"/>
      <x:c r="B1012" s="2" t="str">
        <x:v>13326</x:v>
      </x:c>
      <x:c r="C1012" s="2" t="str">
        <x:v>United Kingdom</x:v>
      </x:c>
      <x:c r="D1012" s="25" t="n">
        <x:v>40454.458333333336</x:v>
      </x:c>
      <x:c r="E1012" s="25" t="n">
        <x:v>40454.458333333336</x:v>
      </x:c>
      <x:c r="F1012" s="2" t="n">
        <x:v>433</x:v>
      </x:c>
      <x:c r="G1012" s="2" t="n">
        <x:v>1</x:v>
      </x:c>
      <x:c r="H1012" s="11" t="n">
        <x:v>281.76</x:v>
      </x:c>
      <x:c r="I1012" s="2" t="n">
        <x:v>1</x:v>
      </x:c>
      <x:c r="J1012" s="2" t="n">
        <x:v>1</x:v>
      </x:c>
      <x:c r="K1012" s="2" t="n">
        <x:v>1</x:v>
      </x:c>
      <x:c r="L1012" s="2" t="str">
        <x:v>Hibernating</x:v>
      </x:c>
    </x:row>
    <x:row r="1013" ht="22" customHeight="1">
      <x:c r="A1013" s="2"/>
      <x:c r="B1013" s="2" t="str">
        <x:v>13327</x:v>
      </x:c>
      <x:c r="C1013" s="2" t="str">
        <x:v>United Kingdom</x:v>
      </x:c>
      <x:c r="D1013" s="25" t="n">
        <x:v>40165.44097222222</x:v>
      </x:c>
      <x:c r="E1013" s="25" t="n">
        <x:v>40848.222916666666</x:v>
      </x:c>
      <x:c r="F1013" s="2" t="n">
        <x:v>39</x:v>
      </x:c>
      <x:c r="G1013" s="2" t="n">
        <x:v>20</x:v>
      </x:c>
      <x:c r="H1013" s="11" t="n">
        <x:v>9134.48</x:v>
      </x:c>
      <x:c r="I1013" s="2" t="n">
        <x:v>4</x:v>
      </x:c>
      <x:c r="J1013" s="2" t="n">
        <x:v>5</x:v>
      </x:c>
      <x:c r="K1013" s="2" t="n">
        <x:v>5</x:v>
      </x:c>
      <x:c r="L1013" s="2" t="str">
        <x:v>Champions</x:v>
      </x:c>
    </x:row>
    <x:row r="1014" ht="22" customHeight="1">
      <x:c r="A1014" s="2"/>
      <x:c r="B1014" s="2" t="str">
        <x:v>13328</x:v>
      </x:c>
      <x:c r="C1014" s="2" t="str">
        <x:v>United Kingdom</x:v>
      </x:c>
      <x:c r="D1014" s="25" t="n">
        <x:v>40570.43194444444</x:v>
      </x:c>
      <x:c r="E1014" s="25" t="n">
        <x:v>40570.43194444444</x:v>
      </x:c>
      <x:c r="F1014" s="2" t="n">
        <x:v>317</x:v>
      </x:c>
      <x:c r="G1014" s="2" t="n">
        <x:v>1</x:v>
      </x:c>
      <x:c r="H1014" s="11" t="n">
        <x:v>1308.48</x:v>
      </x:c>
      <x:c r="I1014" s="2" t="n">
        <x:v>2</x:v>
      </x:c>
      <x:c r="J1014" s="2" t="n">
        <x:v>1</x:v>
      </x:c>
      <x:c r="K1014" s="2" t="n">
        <x:v>4</x:v>
      </x:c>
      <x:c r="L1014" s="2" t="str">
        <x:v>Hibernating</x:v>
      </x:c>
    </x:row>
    <x:row r="1015" ht="22" customHeight="1">
      <x:c r="A1015" s="2"/>
      <x:c r="B1015" s="2" t="str">
        <x:v>13329</x:v>
      </x:c>
      <x:c r="C1015" s="2" t="str">
        <x:v>United Kingdom</x:v>
      </x:c>
      <x:c r="D1015" s="25" t="n">
        <x:v>40151.44513888889</x:v>
      </x:c>
      <x:c r="E1015" s="25" t="n">
        <x:v>40855.228472222225</x:v>
      </x:c>
      <x:c r="F1015" s="2" t="n">
        <x:v>32</x:v>
      </x:c>
      <x:c r="G1015" s="2" t="n">
        <x:v>8</x:v>
      </x:c>
      <x:c r="H1015" s="11" t="n">
        <x:v>4808.77</x:v>
      </x:c>
      <x:c r="I1015" s="2" t="n">
        <x:v>4</x:v>
      </x:c>
      <x:c r="J1015" s="2" t="n">
        <x:v>4</x:v>
      </x:c>
      <x:c r="K1015" s="2" t="n">
        <x:v>5</x:v>
      </x:c>
      <x:c r="L1015" s="2" t="str">
        <x:v>Champions</x:v>
      </x:c>
    </x:row>
    <x:row r="1016" ht="22" customHeight="1">
      <x:c r="A1016" s="2"/>
      <x:c r="B1016" s="2" t="str">
        <x:v>13330</x:v>
      </x:c>
      <x:c r="C1016" s="2" t="str">
        <x:v>United Kingdom</x:v>
      </x:c>
      <x:c r="D1016" s="25" t="n">
        <x:v>40232.21666666667</x:v>
      </x:c>
      <x:c r="E1016" s="25" t="n">
        <x:v>40794.31041666667</x:v>
      </x:c>
      <x:c r="F1016" s="2" t="n">
        <x:v>93</x:v>
      </x:c>
      <x:c r="G1016" s="2" t="n">
        <x:v>6</x:v>
      </x:c>
      <x:c r="H1016" s="11" t="n">
        <x:v>2806.18</x:v>
      </x:c>
      <x:c r="I1016" s="2" t="n">
        <x:v>3</x:v>
      </x:c>
      <x:c r="J1016" s="2" t="n">
        <x:v>4</x:v>
      </x:c>
      <x:c r="K1016" s="2" t="n">
        <x:v>4</x:v>
      </x:c>
      <x:c r="L1016" s="2" t="str">
        <x:v>Loyal</x:v>
      </x:c>
    </x:row>
    <x:row r="1017" ht="22" customHeight="1">
      <x:c r="A1017" s="2"/>
      <x:c r="B1017" s="2" t="str">
        <x:v>13331</x:v>
      </x:c>
      <x:c r="C1017" s="2" t="str">
        <x:v>United Kingdom</x:v>
      </x:c>
      <x:c r="D1017" s="25" t="n">
        <x:v>40485.12777777778</x:v>
      </x:c>
      <x:c r="E1017" s="25" t="n">
        <x:v>40485.12777777778</x:v>
      </x:c>
      <x:c r="F1017" s="2" t="n">
        <x:v>402</x:v>
      </x:c>
      <x:c r="G1017" s="2" t="n">
        <x:v>1</x:v>
      </x:c>
      <x:c r="H1017" s="11" t="n">
        <x:v>262.4</x:v>
      </x:c>
      <x:c r="I1017" s="2" t="n">
        <x:v>2</x:v>
      </x:c>
      <x:c r="J1017" s="2" t="n">
        <x:v>1</x:v>
      </x:c>
      <x:c r="K1017" s="2" t="n">
        <x:v>1</x:v>
      </x:c>
      <x:c r="L1017" s="2" t="str">
        <x:v>Hibernating</x:v>
      </x:c>
    </x:row>
    <x:row r="1018" ht="22" customHeight="1">
      <x:c r="A1018" s="2"/>
      <x:c r="B1018" s="2" t="str">
        <x:v>13332</x:v>
      </x:c>
      <x:c r="C1018" s="2" t="str">
        <x:v>United Kingdom</x:v>
      </x:c>
      <x:c r="D1018" s="25" t="n">
        <x:v>40872.354166666664</x:v>
      </x:c>
      <x:c r="E1018" s="25" t="n">
        <x:v>40872.354166666664</x:v>
      </x:c>
      <x:c r="F1018" s="2" t="n">
        <x:v>15</x:v>
      </x:c>
      <x:c r="G1018" s="2" t="n">
        <x:v>1</x:v>
      </x:c>
      <x:c r="H1018" s="11" t="n">
        <x:v>350.9</x:v>
      </x:c>
      <x:c r="I1018" s="2" t="n">
        <x:v>5</x:v>
      </x:c>
      <x:c r="J1018" s="2" t="n">
        <x:v>1</x:v>
      </x:c>
      <x:c r="K1018" s="2" t="n">
        <x:v>2</x:v>
      </x:c>
      <x:c r="L1018" s="2" t="str">
        <x:v>Recent light buyers</x:v>
      </x:c>
    </x:row>
    <x:row r="1019" ht="22" customHeight="1">
      <x:c r="A1019" s="2"/>
      <x:c r="B1019" s="2" t="str">
        <x:v>13333</x:v>
      </x:c>
      <x:c r="C1019" s="2" t="str">
        <x:v>United Kingdom</x:v>
      </x:c>
      <x:c r="D1019" s="25" t="n">
        <x:v>40228.18472222222</x:v>
      </x:c>
      <x:c r="E1019" s="25" t="n">
        <x:v>40475.35</x:v>
      </x:c>
      <x:c r="F1019" s="2" t="n">
        <x:v>412</x:v>
      </x:c>
      <x:c r="G1019" s="2" t="n">
        <x:v>3</x:v>
      </x:c>
      <x:c r="H1019" s="11" t="n">
        <x:v>1015.74</x:v>
      </x:c>
      <x:c r="I1019" s="2" t="n">
        <x:v>1</x:v>
      </x:c>
      <x:c r="J1019" s="2" t="n">
        <x:v>3</x:v>
      </x:c>
      <x:c r="K1019" s="2" t="n">
        <x:v>3</x:v>
      </x:c>
      <x:c r="L1019" s="2" t="str">
        <x:v>At risk</x:v>
      </x:c>
    </x:row>
    <x:row r="1020" ht="22" customHeight="1">
      <x:c r="A1020" s="2"/>
      <x:c r="B1020" s="2" t="str">
        <x:v>13334</x:v>
      </x:c>
      <x:c r="C1020" s="2" t="str">
        <x:v>United Kingdom</x:v>
      </x:c>
      <x:c r="D1020" s="25" t="n">
        <x:v>40234.30625</x:v>
      </x:c>
      <x:c r="E1020" s="25" t="n">
        <x:v>40804.43125</x:v>
      </x:c>
      <x:c r="F1020" s="2" t="n">
        <x:v>83</x:v>
      </x:c>
      <x:c r="G1020" s="2" t="n">
        <x:v>5</x:v>
      </x:c>
      <x:c r="H1020" s="11" t="n">
        <x:v>6263.75</x:v>
      </x:c>
      <x:c r="I1020" s="2" t="n">
        <x:v>3</x:v>
      </x:c>
      <x:c r="J1020" s="2" t="n">
        <x:v>4</x:v>
      </x:c>
      <x:c r="K1020" s="2" t="n">
        <x:v>5</x:v>
      </x:c>
      <x:c r="L1020" s="2" t="str">
        <x:v>Loyal</x:v>
      </x:c>
    </x:row>
    <x:row r="1021" ht="22" customHeight="1">
      <x:c r="A1021" s="2"/>
      <x:c r="B1021" s="2" t="str">
        <x:v>13336</x:v>
      </x:c>
      <x:c r="C1021" s="2" t="str">
        <x:v>United Kingdom</x:v>
      </x:c>
      <x:c r="D1021" s="25" t="n">
        <x:v>40809.37847222222</x:v>
      </x:c>
      <x:c r="E1021" s="25" t="n">
        <x:v>40809.37847222222</x:v>
      </x:c>
      <x:c r="F1021" s="2" t="n">
        <x:v>78</x:v>
      </x:c>
      <x:c r="G1021" s="2" t="n">
        <x:v>1</x:v>
      </x:c>
      <x:c r="H1021" s="11" t="n">
        <x:v>795.12</x:v>
      </x:c>
      <x:c r="I1021" s="2" t="n">
        <x:v>3</x:v>
      </x:c>
      <x:c r="J1021" s="2" t="n">
        <x:v>1</x:v>
      </x:c>
      <x:c r="K1021" s="2" t="n">
        <x:v>3</x:v>
      </x:c>
      <x:c r="L1021" s="2" t="str">
        <x:v>Developing</x:v>
      </x:c>
    </x:row>
    <x:row r="1022" ht="22" customHeight="1">
      <x:c r="A1022" s="2"/>
      <x:c r="B1022" s="2" t="str">
        <x:v>13337</x:v>
      </x:c>
      <x:c r="C1022" s="2" t="str">
        <x:v>United Kingdom</x:v>
      </x:c>
      <x:c r="D1022" s="25" t="n">
        <x:v>40340.35208333333</x:v>
      </x:c>
      <x:c r="E1022" s="25" t="n">
        <x:v>40340.35208333333</x:v>
      </x:c>
      <x:c r="F1022" s="2" t="n">
        <x:v>547</x:v>
      </x:c>
      <x:c r="G1022" s="2" t="n">
        <x:v>1</x:v>
      </x:c>
      <x:c r="H1022" s="11" t="n">
        <x:v>1575.26</x:v>
      </x:c>
      <x:c r="I1022" s="2" t="n">
        <x:v>1</x:v>
      </x:c>
      <x:c r="J1022" s="2" t="n">
        <x:v>1</x:v>
      </x:c>
      <x:c r="K1022" s="2" t="n">
        <x:v>4</x:v>
      </x:c>
      <x:c r="L1022" s="2" t="str">
        <x:v>Hibernating</x:v>
      </x:c>
    </x:row>
    <x:row r="1023" ht="22" customHeight="1">
      <x:c r="A1023" s="2"/>
      <x:c r="B1023" s="2" t="str">
        <x:v>13338</x:v>
      </x:c>
      <x:c r="C1023" s="2" t="str">
        <x:v>United Kingdom</x:v>
      </x:c>
      <x:c r="D1023" s="25" t="n">
        <x:v>40183.30902777778</x:v>
      </x:c>
      <x:c r="E1023" s="25" t="n">
        <x:v>40729.17083333333</x:v>
      </x:c>
      <x:c r="F1023" s="2" t="n">
        <x:v>158</x:v>
      </x:c>
      <x:c r="G1023" s="2" t="n">
        <x:v>4</x:v>
      </x:c>
      <x:c r="H1023" s="11" t="n">
        <x:v>2445.62</x:v>
      </x:c>
      <x:c r="I1023" s="2" t="n">
        <x:v>3</x:v>
      </x:c>
      <x:c r="J1023" s="2" t="n">
        <x:v>3</x:v>
      </x:c>
      <x:c r="K1023" s="2" t="n">
        <x:v>4</x:v>
      </x:c>
      <x:c r="L1023" s="2" t="str">
        <x:v>Loyal</x:v>
      </x:c>
    </x:row>
    <x:row r="1024" ht="22" customHeight="1">
      <x:c r="A1024" s="2"/>
      <x:c r="B1024" s="2" t="str">
        <x:v>13339</x:v>
      </x:c>
      <x:c r="C1024" s="2" t="str">
        <x:v>United Kingdom</x:v>
      </x:c>
      <x:c r="D1024" s="25" t="n">
        <x:v>40686.146527777775</x:v>
      </x:c>
      <x:c r="E1024" s="25" t="n">
        <x:v>40686.146527777775</x:v>
      </x:c>
      <x:c r="F1024" s="2" t="n">
        <x:v>201</x:v>
      </x:c>
      <x:c r="G1024" s="2" t="n">
        <x:v>1</x:v>
      </x:c>
      <x:c r="H1024" s="11" t="n">
        <x:v>860.12</x:v>
      </x:c>
      <x:c r="I1024" s="2" t="n">
        <x:v>2</x:v>
      </x:c>
      <x:c r="J1024" s="2" t="n">
        <x:v>1</x:v>
      </x:c>
      <x:c r="K1024" s="2" t="n">
        <x:v>3</x:v>
      </x:c>
      <x:c r="L1024" s="2" t="str">
        <x:v>Hibernating</x:v>
      </x:c>
    </x:row>
    <x:row r="1025" ht="22" customHeight="1">
      <x:c r="A1025" s="2"/>
      <x:c r="B1025" s="2" t="str">
        <x:v>13340</x:v>
      </x:c>
      <x:c r="C1025" s="2" t="str">
        <x:v>United Kingdom</x:v>
      </x:c>
      <x:c r="D1025" s="25" t="n">
        <x:v>40231.4125</x:v>
      </x:c>
      <x:c r="E1025" s="25" t="n">
        <x:v>40841.34375</x:v>
      </x:c>
      <x:c r="F1025" s="2" t="n">
        <x:v>46</x:v>
      </x:c>
      <x:c r="G1025" s="2" t="n">
        <x:v>12</x:v>
      </x:c>
      <x:c r="H1025" s="11" t="n">
        <x:v>22100.56</x:v>
      </x:c>
      <x:c r="I1025" s="2" t="n">
        <x:v>4</x:v>
      </x:c>
      <x:c r="J1025" s="2" t="n">
        <x:v>5</x:v>
      </x:c>
      <x:c r="K1025" s="2" t="n">
        <x:v>5</x:v>
      </x:c>
      <x:c r="L1025" s="2" t="str">
        <x:v>Champions</x:v>
      </x:c>
    </x:row>
    <x:row r="1026" ht="22" customHeight="1">
      <x:c r="A1026" s="2"/>
      <x:c r="B1026" s="2" t="str">
        <x:v>13341</x:v>
      </x:c>
      <x:c r="C1026" s="2" t="str">
        <x:v>United Kingdom</x:v>
      </x:c>
      <x:c r="D1026" s="25" t="n">
        <x:v>40626.20138888889</x:v>
      </x:c>
      <x:c r="E1026" s="25" t="n">
        <x:v>40626.20138888889</x:v>
      </x:c>
      <x:c r="F1026" s="2" t="n">
        <x:v>261</x:v>
      </x:c>
      <x:c r="G1026" s="2" t="n">
        <x:v>1</x:v>
      </x:c>
      <x:c r="H1026" s="11" t="n">
        <x:v>775.85</x:v>
      </x:c>
      <x:c r="I1026" s="2" t="n">
        <x:v>2</x:v>
      </x:c>
      <x:c r="J1026" s="2" t="n">
        <x:v>1</x:v>
      </x:c>
      <x:c r="K1026" s="2" t="n">
        <x:v>3</x:v>
      </x:c>
      <x:c r="L1026" s="2" t="str">
        <x:v>Hibernating</x:v>
      </x:c>
    </x:row>
    <x:row r="1027" ht="22" customHeight="1">
      <x:c r="A1027" s="2"/>
      <x:c r="B1027" s="2" t="str">
        <x:v>13343</x:v>
      </x:c>
      <x:c r="C1027" s="2" t="str">
        <x:v>United Kingdom</x:v>
      </x:c>
      <x:c r="D1027" s="25" t="n">
        <x:v>40709.308333333334</x:v>
      </x:c>
      <x:c r="E1027" s="25" t="n">
        <x:v>40709.308333333334</x:v>
      </x:c>
      <x:c r="F1027" s="2" t="n">
        <x:v>178</x:v>
      </x:c>
      <x:c r="G1027" s="2" t="n">
        <x:v>1</x:v>
      </x:c>
      <x:c r="H1027" s="11" t="n">
        <x:v>353.43</x:v>
      </x:c>
      <x:c r="I1027" s="2" t="n">
        <x:v>3</x:v>
      </x:c>
      <x:c r="J1027" s="2" t="n">
        <x:v>1</x:v>
      </x:c>
      <x:c r="K1027" s="2" t="n">
        <x:v>2</x:v>
      </x:c>
      <x:c r="L1027" s="2" t="str">
        <x:v>Developing</x:v>
      </x:c>
    </x:row>
    <x:row r="1028" ht="22" customHeight="1">
      <x:c r="A1028" s="2"/>
      <x:c r="B1028" s="2" t="str">
        <x:v>13344</x:v>
      </x:c>
      <x:c r="C1028" s="2" t="str">
        <x:v>United Kingdom</x:v>
      </x:c>
      <x:c r="D1028" s="25" t="n">
        <x:v>40609.22777777778</x:v>
      </x:c>
      <x:c r="E1028" s="25" t="n">
        <x:v>40819.197916666664</x:v>
      </x:c>
      <x:c r="F1028" s="2" t="n">
        <x:v>68</x:v>
      </x:c>
      <x:c r="G1028" s="2" t="n">
        <x:v>3</x:v>
      </x:c>
      <x:c r="H1028" s="11" t="n">
        <x:v>2543.72</x:v>
      </x:c>
      <x:c r="I1028" s="2" t="n">
        <x:v>3</x:v>
      </x:c>
      <x:c r="J1028" s="2" t="n">
        <x:v>3</x:v>
      </x:c>
      <x:c r="K1028" s="2" t="n">
        <x:v>4</x:v>
      </x:c>
      <x:c r="L1028" s="2" t="str">
        <x:v>Loyal</x:v>
      </x:c>
    </x:row>
    <x:row r="1029" ht="22" customHeight="1">
      <x:c r="A1029" s="2"/>
      <x:c r="B1029" s="2" t="str">
        <x:v>13345</x:v>
      </x:c>
      <x:c r="C1029" s="2" t="str">
        <x:v>United Kingdom</x:v>
      </x:c>
      <x:c r="D1029" s="25" t="n">
        <x:v>40599.16736111111</x:v>
      </x:c>
      <x:c r="E1029" s="25" t="n">
        <x:v>40599.16736111111</x:v>
      </x:c>
      <x:c r="F1029" s="2" t="n">
        <x:v>288</x:v>
      </x:c>
      <x:c r="G1029" s="2" t="n">
        <x:v>1</x:v>
      </x:c>
      <x:c r="H1029" s="11" t="n">
        <x:v>389.5</x:v>
      </x:c>
      <x:c r="I1029" s="2" t="n">
        <x:v>2</x:v>
      </x:c>
      <x:c r="J1029" s="2" t="n">
        <x:v>1</x:v>
      </x:c>
      <x:c r="K1029" s="2" t="n">
        <x:v>2</x:v>
      </x:c>
      <x:c r="L1029" s="2" t="str">
        <x:v>Hibernating</x:v>
      </x:c>
    </x:row>
    <x:row r="1030" ht="22" customHeight="1">
      <x:c r="A1030" s="2"/>
      <x:c r="B1030" s="2" t="str">
        <x:v>13346</x:v>
      </x:c>
      <x:c r="C1030" s="2" t="str">
        <x:v>United Kingdom</x:v>
      </x:c>
      <x:c r="D1030" s="25" t="n">
        <x:v>40290.31527777778</x:v>
      </x:c>
      <x:c r="E1030" s="25" t="n">
        <x:v>40424.27847222222</x:v>
      </x:c>
      <x:c r="F1030" s="2" t="n">
        <x:v>463</x:v>
      </x:c>
      <x:c r="G1030" s="2" t="n">
        <x:v>6</x:v>
      </x:c>
      <x:c r="H1030" s="11" t="n">
        <x:v>299.4</x:v>
      </x:c>
      <x:c r="I1030" s="2" t="n">
        <x:v>1</x:v>
      </x:c>
      <x:c r="J1030" s="2" t="n">
        <x:v>4</x:v>
      </x:c>
      <x:c r="K1030" s="2" t="n">
        <x:v>2</x:v>
      </x:c>
      <x:c r="L1030" s="2" t="str">
        <x:v>At risk</x:v>
      </x:c>
    </x:row>
    <x:row r="1031" ht="22" customHeight="1">
      <x:c r="A1031" s="2"/>
      <x:c r="B1031" s="2" t="str">
        <x:v>13347</x:v>
      </x:c>
      <x:c r="C1031" s="2" t="str">
        <x:v>United Kingdom</x:v>
      </x:c>
      <x:c r="D1031" s="25" t="n">
        <x:v>40816.35277777778</x:v>
      </x:c>
      <x:c r="E1031" s="25" t="n">
        <x:v>40816.35277777778</x:v>
      </x:c>
      <x:c r="F1031" s="2" t="n">
        <x:v>71</x:v>
      </x:c>
      <x:c r="G1031" s="2" t="n">
        <x:v>1</x:v>
      </x:c>
      <x:c r="H1031" s="11" t="n">
        <x:v>341.36</x:v>
      </x:c>
      <x:c r="I1031" s="2" t="n">
        <x:v>3</x:v>
      </x:c>
      <x:c r="J1031" s="2" t="n">
        <x:v>1</x:v>
      </x:c>
      <x:c r="K1031" s="2" t="n">
        <x:v>2</x:v>
      </x:c>
      <x:c r="L1031" s="2" t="str">
        <x:v>Developing</x:v>
      </x:c>
    </x:row>
    <x:row r="1032" ht="22" customHeight="1">
      <x:c r="A1032" s="2"/>
      <x:c r="B1032" s="2" t="str">
        <x:v>13348</x:v>
      </x:c>
      <x:c r="C1032" s="2" t="str">
        <x:v>United Kingdom</x:v>
      </x:c>
      <x:c r="D1032" s="25" t="n">
        <x:v>40822.51944444444</x:v>
      </x:c>
      <x:c r="E1032" s="25" t="n">
        <x:v>40822.51944444444</x:v>
      </x:c>
      <x:c r="F1032" s="2" t="n">
        <x:v>65</x:v>
      </x:c>
      <x:c r="G1032" s="2" t="n">
        <x:v>1</x:v>
      </x:c>
      <x:c r="H1032" s="11" t="n">
        <x:v>233.76</x:v>
      </x:c>
      <x:c r="I1032" s="2" t="n">
        <x:v>3</x:v>
      </x:c>
      <x:c r="J1032" s="2" t="n">
        <x:v>1</x:v>
      </x:c>
      <x:c r="K1032" s="2" t="n">
        <x:v>1</x:v>
      </x:c>
      <x:c r="L1032" s="2" t="str">
        <x:v>Developing</x:v>
      </x:c>
    </x:row>
    <x:row r="1033" ht="22" customHeight="1">
      <x:c r="A1033" s="2"/>
      <x:c r="B1033" s="2" t="str">
        <x:v>13349</x:v>
      </x:c>
      <x:c r="C1033" s="2" t="str">
        <x:v>United Kingdom</x:v>
      </x:c>
      <x:c r="D1033" s="25" t="n">
        <x:v>40876.12986111111</x:v>
      </x:c>
      <x:c r="E1033" s="25" t="n">
        <x:v>40876.12986111111</x:v>
      </x:c>
      <x:c r="F1033" s="2" t="n">
        <x:v>11</x:v>
      </x:c>
      <x:c r="G1033" s="2" t="n">
        <x:v>1</x:v>
      </x:c>
      <x:c r="H1033" s="11" t="n">
        <x:v>247.32</x:v>
      </x:c>
      <x:c r="I1033" s="2" t="n">
        <x:v>5</x:v>
      </x:c>
      <x:c r="J1033" s="2" t="n">
        <x:v>1</x:v>
      </x:c>
      <x:c r="K1033" s="2" t="n">
        <x:v>1</x:v>
      </x:c>
      <x:c r="L1033" s="2" t="str">
        <x:v>Recent light buyers</x:v>
      </x:c>
    </x:row>
    <x:row r="1034" ht="22" customHeight="1">
      <x:c r="A1034" s="2"/>
      <x:c r="B1034" s="2" t="str">
        <x:v>13350</x:v>
      </x:c>
      <x:c r="C1034" s="2" t="str">
        <x:v>United Kingdom</x:v>
      </x:c>
      <x:c r="D1034" s="25" t="n">
        <x:v>40807.35625</x:v>
      </x:c>
      <x:c r="E1034" s="25" t="n">
        <x:v>40870.48125</x:v>
      </x:c>
      <x:c r="F1034" s="2" t="n">
        <x:v>17</x:v>
      </x:c>
      <x:c r="G1034" s="2" t="n">
        <x:v>2</x:v>
      </x:c>
      <x:c r="H1034" s="11" t="n">
        <x:v>979.12</x:v>
      </x:c>
      <x:c r="I1034" s="2" t="n">
        <x:v>5</x:v>
      </x:c>
      <x:c r="J1034" s="2" t="n">
        <x:v>2</x:v>
      </x:c>
      <x:c r="K1034" s="2" t="n">
        <x:v>3</x:v>
      </x:c>
      <x:c r="L1034" s="2" t="str">
        <x:v>Recent light buyers</x:v>
      </x:c>
    </x:row>
    <x:row r="1035" ht="22" customHeight="1">
      <x:c r="A1035" s="2"/>
      <x:c r="B1035" s="2" t="str">
        <x:v>13351</x:v>
      </x:c>
      <x:c r="C1035" s="2" t="str">
        <x:v>United Kingdom</x:v>
      </x:c>
      <x:c r="D1035" s="25" t="n">
        <x:v>40820.32986111111</x:v>
      </x:c>
      <x:c r="E1035" s="25" t="n">
        <x:v>40820.32986111111</x:v>
      </x:c>
      <x:c r="F1035" s="2" t="n">
        <x:v>67</x:v>
      </x:c>
      <x:c r="G1035" s="2" t="n">
        <x:v>1</x:v>
      </x:c>
      <x:c r="H1035" s="11" t="n">
        <x:v>373.94</x:v>
      </x:c>
      <x:c r="I1035" s="2" t="n">
        <x:v>3</x:v>
      </x:c>
      <x:c r="J1035" s="2" t="n">
        <x:v>1</x:v>
      </x:c>
      <x:c r="K1035" s="2" t="n">
        <x:v>2</x:v>
      </x:c>
      <x:c r="L1035" s="2" t="str">
        <x:v>Developing</x:v>
      </x:c>
    </x:row>
    <x:row r="1036" ht="22" customHeight="1">
      <x:c r="A1036" s="2"/>
      <x:c r="B1036" s="2" t="str">
        <x:v>13352</x:v>
      </x:c>
      <x:c r="C1036" s="2" t="str">
        <x:v>United Kingdom</x:v>
      </x:c>
      <x:c r="D1036" s="25" t="n">
        <x:v>40826.37152777778</x:v>
      </x:c>
      <x:c r="E1036" s="25" t="n">
        <x:v>40826.37152777778</x:v>
      </x:c>
      <x:c r="F1036" s="2" t="n">
        <x:v>61</x:v>
      </x:c>
      <x:c r="G1036" s="2" t="n">
        <x:v>1</x:v>
      </x:c>
      <x:c r="H1036" s="11" t="n">
        <x:v>397.98</x:v>
      </x:c>
      <x:c r="I1036" s="2" t="n">
        <x:v>3</x:v>
      </x:c>
      <x:c r="J1036" s="2" t="n">
        <x:v>1</x:v>
      </x:c>
      <x:c r="K1036" s="2" t="n">
        <x:v>2</x:v>
      </x:c>
      <x:c r="L1036" s="2" t="str">
        <x:v>Developing</x:v>
      </x:c>
    </x:row>
    <x:row r="1037" ht="22" customHeight="1">
      <x:c r="A1037" s="2"/>
      <x:c r="B1037" s="2" t="str">
        <x:v>13354</x:v>
      </x:c>
      <x:c r="C1037" s="2" t="str">
        <x:v>United Kingdom</x:v>
      </x:c>
      <x:c r="D1037" s="25" t="n">
        <x:v>40815.345138888886</x:v>
      </x:c>
      <x:c r="E1037" s="25" t="n">
        <x:v>40815.345138888886</x:v>
      </x:c>
      <x:c r="F1037" s="2" t="n">
        <x:v>72</x:v>
      </x:c>
      <x:c r="G1037" s="2" t="n">
        <x:v>1</x:v>
      </x:c>
      <x:c r="H1037" s="11" t="n">
        <x:v>743.53</x:v>
      </x:c>
      <x:c r="I1037" s="2" t="n">
        <x:v>3</x:v>
      </x:c>
      <x:c r="J1037" s="2" t="n">
        <x:v>1</x:v>
      </x:c>
      <x:c r="K1037" s="2" t="n">
        <x:v>3</x:v>
      </x:c>
      <x:c r="L1037" s="2" t="str">
        <x:v>Developing</x:v>
      </x:c>
    </x:row>
    <x:row r="1038" ht="22" customHeight="1">
      <x:c r="A1038" s="2"/>
      <x:c r="B1038" s="2" t="str">
        <x:v>13355</x:v>
      </x:c>
      <x:c r="C1038" s="2" t="str">
        <x:v>United Kingdom</x:v>
      </x:c>
      <x:c r="D1038" s="25" t="n">
        <x:v>40764.40833333333</x:v>
      </x:c>
      <x:c r="E1038" s="25" t="n">
        <x:v>40764.40833333333</x:v>
      </x:c>
      <x:c r="F1038" s="2" t="n">
        <x:v>123</x:v>
      </x:c>
      <x:c r="G1038" s="2" t="n">
        <x:v>1</x:v>
      </x:c>
      <x:c r="H1038" s="11" t="n">
        <x:v>674.7</x:v>
      </x:c>
      <x:c r="I1038" s="2" t="n">
        <x:v>3</x:v>
      </x:c>
      <x:c r="J1038" s="2" t="n">
        <x:v>1</x:v>
      </x:c>
      <x:c r="K1038" s="2" t="n">
        <x:v>3</x:v>
      </x:c>
      <x:c r="L1038" s="2" t="str">
        <x:v>Developing</x:v>
      </x:c>
    </x:row>
    <x:row r="1039" ht="22" customHeight="1">
      <x:c r="A1039" s="2"/>
      <x:c r="B1039" s="2" t="str">
        <x:v>13356</x:v>
      </x:c>
      <x:c r="C1039" s="2" t="str">
        <x:v>United Kingdom</x:v>
      </x:c>
      <x:c r="D1039" s="25" t="n">
        <x:v>40806.39791666667</x:v>
      </x:c>
      <x:c r="E1039" s="25" t="n">
        <x:v>40806.39791666667</x:v>
      </x:c>
      <x:c r="F1039" s="2" t="n">
        <x:v>81</x:v>
      </x:c>
      <x:c r="G1039" s="2" t="n">
        <x:v>1</x:v>
      </x:c>
      <x:c r="H1039" s="11" t="n">
        <x:v>768.24</x:v>
      </x:c>
      <x:c r="I1039" s="2" t="n">
        <x:v>3</x:v>
      </x:c>
      <x:c r="J1039" s="2" t="n">
        <x:v>1</x:v>
      </x:c>
      <x:c r="K1039" s="2" t="n">
        <x:v>3</x:v>
      </x:c>
      <x:c r="L1039" s="2" t="str">
        <x:v>Developing</x:v>
      </x:c>
    </x:row>
    <x:row r="1040" ht="22" customHeight="1">
      <x:c r="A1040" s="2"/>
      <x:c r="B1040" s="2" t="str">
        <x:v>13357</x:v>
      </x:c>
      <x:c r="C1040" s="2" t="str">
        <x:v>United Kingdom</x:v>
      </x:c>
      <x:c r="D1040" s="25" t="n">
        <x:v>40259.395833333336</x:v>
      </x:c>
      <x:c r="E1040" s="25" t="n">
        <x:v>40629.37222222222</x:v>
      </x:c>
      <x:c r="F1040" s="2" t="n">
        <x:v>258</x:v>
      </x:c>
      <x:c r="G1040" s="2" t="n">
        <x:v>5</x:v>
      </x:c>
      <x:c r="H1040" s="11" t="n">
        <x:v>3838.36</x:v>
      </x:c>
      <x:c r="I1040" s="2" t="n">
        <x:v>2</x:v>
      </x:c>
      <x:c r="J1040" s="2" t="n">
        <x:v>4</x:v>
      </x:c>
      <x:c r="K1040" s="2" t="n">
        <x:v>5</x:v>
      </x:c>
      <x:c r="L1040" s="2" t="str">
        <x:v>At risk</x:v>
      </x:c>
    </x:row>
    <x:row r="1041" ht="22" customHeight="1">
      <x:c r="A1041" s="2"/>
      <x:c r="B1041" s="2" t="str">
        <x:v>13358</x:v>
      </x:c>
      <x:c r="C1041" s="2" t="str">
        <x:v>United Kingdom</x:v>
      </x:c>
      <x:c r="D1041" s="25" t="n">
        <x:v>40618.28611111111</x:v>
      </x:c>
      <x:c r="E1041" s="25" t="n">
        <x:v>40618.28611111111</x:v>
      </x:c>
      <x:c r="F1041" s="2" t="n">
        <x:v>269</x:v>
      </x:c>
      <x:c r="G1041" s="2" t="n">
        <x:v>1</x:v>
      </x:c>
      <x:c r="H1041" s="11" t="n">
        <x:v>439.03</x:v>
      </x:c>
      <x:c r="I1041" s="2" t="n">
        <x:v>2</x:v>
      </x:c>
      <x:c r="J1041" s="2" t="n">
        <x:v>1</x:v>
      </x:c>
      <x:c r="K1041" s="2" t="n">
        <x:v>2</x:v>
      </x:c>
      <x:c r="L1041" s="2" t="str">
        <x:v>Hibernating</x:v>
      </x:c>
    </x:row>
    <x:row r="1042" ht="22" customHeight="1">
      <x:c r="A1042" s="2"/>
      <x:c r="B1042" s="2" t="str">
        <x:v>13359</x:v>
      </x:c>
      <x:c r="C1042" s="2" t="str">
        <x:v>United Kingdom</x:v>
      </x:c>
      <x:c r="D1042" s="25" t="n">
        <x:v>40483.42013888889</x:v>
      </x:c>
      <x:c r="E1042" s="25" t="n">
        <x:v>40823.1875</x:v>
      </x:c>
      <x:c r="F1042" s="2" t="n">
        <x:v>64</x:v>
      </x:c>
      <x:c r="G1042" s="2" t="n">
        <x:v>2</x:v>
      </x:c>
      <x:c r="H1042" s="11" t="n">
        <x:v>1043.31</x:v>
      </x:c>
      <x:c r="I1042" s="2" t="n">
        <x:v>3</x:v>
      </x:c>
      <x:c r="J1042" s="2" t="n">
        <x:v>2</x:v>
      </x:c>
      <x:c r="K1042" s="2" t="n">
        <x:v>3</x:v>
      </x:c>
      <x:c r="L1042" s="2" t="str">
        <x:v>Developing</x:v>
      </x:c>
    </x:row>
    <x:row r="1043" ht="22" customHeight="1">
      <x:c r="A1043" s="2"/>
      <x:c r="B1043" s="2" t="str">
        <x:v>13360</x:v>
      </x:c>
      <x:c r="C1043" s="2" t="str">
        <x:v>United Kingdom</x:v>
      </x:c>
      <x:c r="D1043" s="25" t="n">
        <x:v>40186.26111111111</x:v>
      </x:c>
      <x:c r="E1043" s="25" t="n">
        <x:v>40455.31736111111</x:v>
      </x:c>
      <x:c r="F1043" s="2" t="n">
        <x:v>432</x:v>
      </x:c>
      <x:c r="G1043" s="2" t="n">
        <x:v>4</x:v>
      </x:c>
      <x:c r="H1043" s="11" t="n">
        <x:v>1553.65</x:v>
      </x:c>
      <x:c r="I1043" s="2" t="n">
        <x:v>1</x:v>
      </x:c>
      <x:c r="J1043" s="2" t="n">
        <x:v>3</x:v>
      </x:c>
      <x:c r="K1043" s="2" t="n">
        <x:v>4</x:v>
      </x:c>
      <x:c r="L1043" s="2" t="str">
        <x:v>At risk</x:v>
      </x:c>
    </x:row>
    <x:row r="1044" ht="22" customHeight="1">
      <x:c r="A1044" s="2"/>
      <x:c r="B1044" s="2" t="str">
        <x:v>13361</x:v>
      </x:c>
      <x:c r="C1044" s="2" t="str">
        <x:v>United Kingdom</x:v>
      </x:c>
      <x:c r="D1044" s="25" t="n">
        <x:v>40269.11736111111</x:v>
      </x:c>
      <x:c r="E1044" s="25" t="n">
        <x:v>40414.41388888889</x:v>
      </x:c>
      <x:c r="F1044" s="2" t="n">
        <x:v>473</x:v>
      </x:c>
      <x:c r="G1044" s="2" t="n">
        <x:v>2</x:v>
      </x:c>
      <x:c r="H1044" s="11" t="n">
        <x:v>1450.5</x:v>
      </x:c>
      <x:c r="I1044" s="2" t="n">
        <x:v>1</x:v>
      </x:c>
      <x:c r="J1044" s="2" t="n">
        <x:v>2</x:v>
      </x:c>
      <x:c r="K1044" s="2" t="n">
        <x:v>4</x:v>
      </x:c>
      <x:c r="L1044" s="2" t="str">
        <x:v>Hibernating</x:v>
      </x:c>
    </x:row>
    <x:row r="1045" ht="22" customHeight="1">
      <x:c r="A1045" s="2"/>
      <x:c r="B1045" s="2" t="str">
        <x:v>13362</x:v>
      </x:c>
      <x:c r="C1045" s="2" t="str">
        <x:v>United Kingdom</x:v>
      </x:c>
      <x:c r="D1045" s="25" t="n">
        <x:v>40461.43541666667</x:v>
      </x:c>
      <x:c r="E1045" s="25" t="n">
        <x:v>40877.40347222222</x:v>
      </x:c>
      <x:c r="F1045" s="2" t="n">
        <x:v>10</x:v>
      </x:c>
      <x:c r="G1045" s="2" t="n">
        <x:v>7</x:v>
      </x:c>
      <x:c r="H1045" s="11" t="n">
        <x:v>5394.07</x:v>
      </x:c>
      <x:c r="I1045" s="2" t="n">
        <x:v>5</x:v>
      </x:c>
      <x:c r="J1045" s="2" t="n">
        <x:v>4</x:v>
      </x:c>
      <x:c r="K1045" s="2" t="n">
        <x:v>5</x:v>
      </x:c>
      <x:c r="L1045" s="2" t="str">
        <x:v>Champions</x:v>
      </x:c>
    </x:row>
    <x:row r="1046" ht="22" customHeight="1">
      <x:c r="A1046" s="2"/>
      <x:c r="B1046" s="2" t="str">
        <x:v>13363</x:v>
      </x:c>
      <x:c r="C1046" s="2" t="str">
        <x:v>United Kingdom</x:v>
      </x:c>
      <x:c r="D1046" s="25" t="n">
        <x:v>40477.25486111111</x:v>
      </x:c>
      <x:c r="E1046" s="25" t="n">
        <x:v>40869.319444444445</x:v>
      </x:c>
      <x:c r="F1046" s="2" t="n">
        <x:v>18</x:v>
      </x:c>
      <x:c r="G1046" s="2" t="n">
        <x:v>3</x:v>
      </x:c>
      <x:c r="H1046" s="11" t="n">
        <x:v>1723.86</x:v>
      </x:c>
      <x:c r="I1046" s="2" t="n">
        <x:v>5</x:v>
      </x:c>
      <x:c r="J1046" s="2" t="n">
        <x:v>3</x:v>
      </x:c>
      <x:c r="K1046" s="2" t="n">
        <x:v>4</x:v>
      </x:c>
      <x:c r="L1046" s="2" t="str">
        <x:v>Loyal</x:v>
      </x:c>
    </x:row>
    <x:row r="1047" ht="22" customHeight="1">
      <x:c r="A1047" s="2"/>
      <x:c r="B1047" s="2" t="str">
        <x:v>13364</x:v>
      </x:c>
      <x:c r="C1047" s="2" t="str">
        <x:v>United Kingdom</x:v>
      </x:c>
      <x:c r="D1047" s="25" t="n">
        <x:v>40815.55069444444</x:v>
      </x:c>
      <x:c r="E1047" s="25" t="n">
        <x:v>40815.55069444444</x:v>
      </x:c>
      <x:c r="F1047" s="2" t="n">
        <x:v>72</x:v>
      </x:c>
      <x:c r="G1047" s="2" t="n">
        <x:v>1</x:v>
      </x:c>
      <x:c r="H1047" s="11" t="n">
        <x:v>134.96</x:v>
      </x:c>
      <x:c r="I1047" s="2" t="n">
        <x:v>3</x:v>
      </x:c>
      <x:c r="J1047" s="2" t="n">
        <x:v>1</x:v>
      </x:c>
      <x:c r="K1047" s="2" t="n">
        <x:v>1</x:v>
      </x:c>
      <x:c r="L1047" s="2" t="str">
        <x:v>Developing</x:v>
      </x:c>
    </x:row>
    <x:row r="1048" ht="22" customHeight="1">
      <x:c r="A1048" s="2"/>
      <x:c r="B1048" s="2" t="str">
        <x:v>13365</x:v>
      </x:c>
      <x:c r="C1048" s="2" t="str">
        <x:v>United Kingdom</x:v>
      </x:c>
      <x:c r="D1048" s="25" t="n">
        <x:v>40669.291666666664</x:v>
      </x:c>
      <x:c r="E1048" s="25" t="n">
        <x:v>40853.316666666666</x:v>
      </x:c>
      <x:c r="F1048" s="2" t="n">
        <x:v>34</x:v>
      </x:c>
      <x:c r="G1048" s="2" t="n">
        <x:v>2</x:v>
      </x:c>
      <x:c r="H1048" s="11" t="n">
        <x:v>2225.37</x:v>
      </x:c>
      <x:c r="I1048" s="2" t="n">
        <x:v>4</x:v>
      </x:c>
      <x:c r="J1048" s="2" t="n">
        <x:v>2</x:v>
      </x:c>
      <x:c r="K1048" s="2" t="n">
        <x:v>4</x:v>
      </x:c>
      <x:c r="L1048" s="2" t="str">
        <x:v>Recent light buyers</x:v>
      </x:c>
    </x:row>
    <x:row r="1049" ht="22" customHeight="1">
      <x:c r="A1049" s="2"/>
      <x:c r="B1049" s="2" t="str">
        <x:v>13366</x:v>
      </x:c>
      <x:c r="C1049" s="2" t="str">
        <x:v>United Kingdom</x:v>
      </x:c>
      <x:c r="D1049" s="25" t="n">
        <x:v>40836.35902777778</x:v>
      </x:c>
      <x:c r="E1049" s="25" t="n">
        <x:v>40836.35902777778</x:v>
      </x:c>
      <x:c r="F1049" s="2" t="n">
        <x:v>51</x:v>
      </x:c>
      <x:c r="G1049" s="2" t="n">
        <x:v>1</x:v>
      </x:c>
      <x:c r="H1049" s="11" t="n">
        <x:v>56.16</x:v>
      </x:c>
      <x:c r="I1049" s="2" t="n">
        <x:v>4</x:v>
      </x:c>
      <x:c r="J1049" s="2" t="n">
        <x:v>1</x:v>
      </x:c>
      <x:c r="K1049" s="2" t="n">
        <x:v>1</x:v>
      </x:c>
      <x:c r="L1049" s="2" t="str">
        <x:v>Recent light buyers</x:v>
      </x:c>
    </x:row>
    <x:row r="1050" ht="22" customHeight="1">
      <x:c r="A1050" s="2"/>
      <x:c r="B1050" s="2" t="str">
        <x:v>13367</x:v>
      </x:c>
      <x:c r="C1050" s="2" t="str">
        <x:v>United Kingdom</x:v>
      </x:c>
      <x:c r="D1050" s="25" t="n">
        <x:v>40455.208333333336</x:v>
      </x:c>
      <x:c r="E1050" s="25" t="n">
        <x:v>40455.208333333336</x:v>
      </x:c>
      <x:c r="F1050" s="2" t="n">
        <x:v>432</x:v>
      </x:c>
      <x:c r="G1050" s="2" t="n">
        <x:v>1</x:v>
      </x:c>
      <x:c r="H1050" s="11" t="n">
        <x:v>510.2</x:v>
      </x:c>
      <x:c r="I1050" s="2" t="n">
        <x:v>1</x:v>
      </x:c>
      <x:c r="J1050" s="2" t="n">
        <x:v>1</x:v>
      </x:c>
      <x:c r="K1050" s="2" t="n">
        <x:v>2</x:v>
      </x:c>
      <x:c r="L1050" s="2" t="str">
        <x:v>Hibernating</x:v>
      </x:c>
    </x:row>
    <x:row r="1051" ht="22" customHeight="1">
      <x:c r="A1051" s="2"/>
      <x:c r="B1051" s="2" t="str">
        <x:v>13368</x:v>
      </x:c>
      <x:c r="C1051" s="2" t="str">
        <x:v>United Kingdom</x:v>
      </x:c>
      <x:c r="D1051" s="25" t="n">
        <x:v>40463.23819444444</x:v>
      </x:c>
      <x:c r="E1051" s="25" t="n">
        <x:v>40630.20763888889</x:v>
      </x:c>
      <x:c r="F1051" s="2" t="n">
        <x:v>257</x:v>
      </x:c>
      <x:c r="G1051" s="2" t="n">
        <x:v>4</x:v>
      </x:c>
      <x:c r="H1051" s="11" t="n">
        <x:v>1121.5</x:v>
      </x:c>
      <x:c r="I1051" s="2" t="n">
        <x:v>2</x:v>
      </x:c>
      <x:c r="J1051" s="2" t="n">
        <x:v>3</x:v>
      </x:c>
      <x:c r="K1051" s="2" t="n">
        <x:v>3</x:v>
      </x:c>
      <x:c r="L1051" s="2" t="str">
        <x:v>At risk</x:v>
      </x:c>
    </x:row>
    <x:row r="1052" ht="22" customHeight="1">
      <x:c r="A1052" s="2"/>
      <x:c r="B1052" s="2" t="str">
        <x:v>13369</x:v>
      </x:c>
      <x:c r="C1052" s="2" t="str">
        <x:v>United Kingdom</x:v>
      </x:c>
      <x:c r="D1052" s="25" t="n">
        <x:v>40521.270833333336</x:v>
      </x:c>
      <x:c r="E1052" s="25" t="n">
        <x:v>40521.270833333336</x:v>
      </x:c>
      <x:c r="F1052" s="2" t="n">
        <x:v>366</x:v>
      </x:c>
      <x:c r="G1052" s="2" t="n">
        <x:v>1</x:v>
      </x:c>
      <x:c r="H1052" s="11" t="n">
        <x:v>308.28</x:v>
      </x:c>
      <x:c r="I1052" s="2" t="n">
        <x:v>2</x:v>
      </x:c>
      <x:c r="J1052" s="2" t="n">
        <x:v>1</x:v>
      </x:c>
      <x:c r="K1052" s="2" t="n">
        <x:v>2</x:v>
      </x:c>
      <x:c r="L1052" s="2" t="str">
        <x:v>Hibernating</x:v>
      </x:c>
    </x:row>
    <x:row r="1053" ht="22" customHeight="1">
      <x:c r="A1053" s="2"/>
      <x:c r="B1053" s="2" t="str">
        <x:v>13370</x:v>
      </x:c>
      <x:c r="C1053" s="2" t="str">
        <x:v>United Kingdom</x:v>
      </x:c>
      <x:c r="D1053" s="25" t="n">
        <x:v>40515.22638888889</x:v>
      </x:c>
      <x:c r="E1053" s="25" t="n">
        <x:v>40515.22638888889</x:v>
      </x:c>
      <x:c r="F1053" s="2" t="n">
        <x:v>372</x:v>
      </x:c>
      <x:c r="G1053" s="2" t="n">
        <x:v>1</x:v>
      </x:c>
      <x:c r="H1053" s="11" t="n">
        <x:v>754.87</x:v>
      </x:c>
      <x:c r="I1053" s="2" t="n">
        <x:v>2</x:v>
      </x:c>
      <x:c r="J1053" s="2" t="n">
        <x:v>1</x:v>
      </x:c>
      <x:c r="K1053" s="2" t="n">
        <x:v>3</x:v>
      </x:c>
      <x:c r="L1053" s="2" t="str">
        <x:v>Hibernating</x:v>
      </x:c>
    </x:row>
    <x:row r="1054" ht="22" customHeight="1">
      <x:c r="A1054" s="2"/>
      <x:c r="B1054" s="2" t="str">
        <x:v>13371</x:v>
      </x:c>
      <x:c r="C1054" s="2" t="str">
        <x:v>United Kingdom</x:v>
      </x:c>
      <x:c r="D1054" s="25" t="n">
        <x:v>40254.43680555555</x:v>
      </x:c>
      <x:c r="E1054" s="25" t="n">
        <x:v>40381.52291666667</x:v>
      </x:c>
      <x:c r="F1054" s="2" t="n">
        <x:v>506</x:v>
      </x:c>
      <x:c r="G1054" s="2" t="n">
        <x:v>2</x:v>
      </x:c>
      <x:c r="H1054" s="11" t="n">
        <x:v>2297.66</x:v>
      </x:c>
      <x:c r="I1054" s="2" t="n">
        <x:v>1</x:v>
      </x:c>
      <x:c r="J1054" s="2" t="n">
        <x:v>2</x:v>
      </x:c>
      <x:c r="K1054" s="2" t="n">
        <x:v>4</x:v>
      </x:c>
      <x:c r="L1054" s="2" t="str">
        <x:v>Hibernating</x:v>
      </x:c>
    </x:row>
    <x:row r="1055" ht="22" customHeight="1">
      <x:c r="A1055" s="2"/>
      <x:c r="B1055" s="2" t="str">
        <x:v>13372</x:v>
      </x:c>
      <x:c r="C1055" s="2" t="str">
        <x:v>United Kingdom</x:v>
      </x:c>
      <x:c r="D1055" s="25" t="n">
        <x:v>40797.32361111111</x:v>
      </x:c>
      <x:c r="E1055" s="25" t="n">
        <x:v>40797.32361111111</x:v>
      </x:c>
      <x:c r="F1055" s="2" t="n">
        <x:v>90</x:v>
      </x:c>
      <x:c r="G1055" s="2" t="n">
        <x:v>1</x:v>
      </x:c>
      <x:c r="H1055" s="11" t="n">
        <x:v>378.64</x:v>
      </x:c>
      <x:c r="I1055" s="2" t="n">
        <x:v>3</x:v>
      </x:c>
      <x:c r="J1055" s="2" t="n">
        <x:v>1</x:v>
      </x:c>
      <x:c r="K1055" s="2" t="n">
        <x:v>2</x:v>
      </x:c>
      <x:c r="L1055" s="2" t="str">
        <x:v>Developing</x:v>
      </x:c>
    </x:row>
    <x:row r="1056" ht="22" customHeight="1">
      <x:c r="A1056" s="2"/>
      <x:c r="B1056" s="2" t="str">
        <x:v>13373</x:v>
      </x:c>
      <x:c r="C1056" s="2" t="str">
        <x:v>United Kingdom</x:v>
      </x:c>
      <x:c r="D1056" s="25" t="n">
        <x:v>40153.31527777778</x:v>
      </x:c>
      <x:c r="E1056" s="25" t="n">
        <x:v>40826.24375</x:v>
      </x:c>
      <x:c r="F1056" s="2" t="n">
        <x:v>61</x:v>
      </x:c>
      <x:c r="G1056" s="2" t="n">
        <x:v>6</x:v>
      </x:c>
      <x:c r="H1056" s="11" t="n">
        <x:v>7587.19</x:v>
      </x:c>
      <x:c r="I1056" s="2" t="n">
        <x:v>3</x:v>
      </x:c>
      <x:c r="J1056" s="2" t="n">
        <x:v>4</x:v>
      </x:c>
      <x:c r="K1056" s="2" t="n">
        <x:v>5</x:v>
      </x:c>
      <x:c r="L1056" s="2" t="str">
        <x:v>Loyal</x:v>
      </x:c>
    </x:row>
    <x:row r="1057" ht="22" customHeight="1">
      <x:c r="A1057" s="2"/>
      <x:c r="B1057" s="2" t="str">
        <x:v>13374</x:v>
      </x:c>
      <x:c r="C1057" s="2" t="str">
        <x:v>United Kingdom</x:v>
      </x:c>
      <x:c r="D1057" s="25" t="n">
        <x:v>40437.228472222225</x:v>
      </x:c>
      <x:c r="E1057" s="25" t="n">
        <x:v>40472.21111111111</x:v>
      </x:c>
      <x:c r="F1057" s="2" t="n">
        <x:v>415</x:v>
      </x:c>
      <x:c r="G1057" s="2" t="n">
        <x:v>2</x:v>
      </x:c>
      <x:c r="H1057" s="11" t="n">
        <x:v>422.8</x:v>
      </x:c>
      <x:c r="I1057" s="2" t="n">
        <x:v>1</x:v>
      </x:c>
      <x:c r="J1057" s="2" t="n">
        <x:v>2</x:v>
      </x:c>
      <x:c r="K1057" s="2" t="n">
        <x:v>2</x:v>
      </x:c>
      <x:c r="L1057" s="2" t="str">
        <x:v>Hibernating</x:v>
      </x:c>
    </x:row>
    <x:row r="1058" ht="22" customHeight="1">
      <x:c r="A1058" s="2"/>
      <x:c r="B1058" s="2" t="str">
        <x:v>13375</x:v>
      </x:c>
      <x:c r="C1058" s="2" t="str">
        <x:v>United Kingdom</x:v>
      </x:c>
      <x:c r="D1058" s="25" t="n">
        <x:v>40442.13333333333</x:v>
      </x:c>
      <x:c r="E1058" s="25" t="n">
        <x:v>40798.22152777778</x:v>
      </x:c>
      <x:c r="F1058" s="2" t="n">
        <x:v>89</x:v>
      </x:c>
      <x:c r="G1058" s="2" t="n">
        <x:v>2</x:v>
      </x:c>
      <x:c r="H1058" s="11" t="n">
        <x:v>1792.23</x:v>
      </x:c>
      <x:c r="I1058" s="2" t="n">
        <x:v>3</x:v>
      </x:c>
      <x:c r="J1058" s="2" t="n">
        <x:v>2</x:v>
      </x:c>
      <x:c r="K1058" s="2" t="n">
        <x:v>4</x:v>
      </x:c>
      <x:c r="L1058" s="2" t="str">
        <x:v>Developing</x:v>
      </x:c>
    </x:row>
    <x:row r="1059" ht="22" customHeight="1">
      <x:c r="A1059" s="2"/>
      <x:c r="B1059" s="2" t="str">
        <x:v>13376</x:v>
      </x:c>
      <x:c r="C1059" s="2" t="str">
        <x:v>United Kingdom</x:v>
      </x:c>
      <x:c r="D1059" s="25" t="n">
        <x:v>40652.33541666667</x:v>
      </x:c>
      <x:c r="E1059" s="25" t="n">
        <x:v>40787.46944444445</x:v>
      </x:c>
      <x:c r="F1059" s="2" t="n">
        <x:v>100</x:v>
      </x:c>
      <x:c r="G1059" s="2" t="n">
        <x:v>3</x:v>
      </x:c>
      <x:c r="H1059" s="11" t="n">
        <x:v>1019.76</x:v>
      </x:c>
      <x:c r="I1059" s="2" t="n">
        <x:v>3</x:v>
      </x:c>
      <x:c r="J1059" s="2" t="n">
        <x:v>3</x:v>
      </x:c>
      <x:c r="K1059" s="2" t="n">
        <x:v>3</x:v>
      </x:c>
      <x:c r="L1059" s="2" t="str">
        <x:v>Loyal</x:v>
      </x:c>
    </x:row>
    <x:row r="1060" ht="22" customHeight="1">
      <x:c r="A1060" s="2"/>
      <x:c r="B1060" s="2" t="str">
        <x:v>13377</x:v>
      </x:c>
      <x:c r="C1060" s="2" t="str">
        <x:v>United Kingdom</x:v>
      </x:c>
      <x:c r="D1060" s="25" t="n">
        <x:v>40241.2125</x:v>
      </x:c>
      <x:c r="E1060" s="25" t="n">
        <x:v>40490.305555555555</x:v>
      </x:c>
      <x:c r="F1060" s="2" t="n">
        <x:v>397</x:v>
      </x:c>
      <x:c r="G1060" s="2" t="n">
        <x:v>2</x:v>
      </x:c>
      <x:c r="H1060" s="11" t="n">
        <x:v>1552.88</x:v>
      </x:c>
      <x:c r="I1060" s="2" t="n">
        <x:v>2</x:v>
      </x:c>
      <x:c r="J1060" s="2" t="n">
        <x:v>2</x:v>
      </x:c>
      <x:c r="K1060" s="2" t="n">
        <x:v>4</x:v>
      </x:c>
      <x:c r="L1060" s="2" t="str">
        <x:v>Hibernating</x:v>
      </x:c>
    </x:row>
    <x:row r="1061" ht="22" customHeight="1">
      <x:c r="A1061" s="2"/>
      <x:c r="B1061" s="2" t="str">
        <x:v>13379</x:v>
      </x:c>
      <x:c r="C1061" s="2" t="str">
        <x:v>United Kingdom</x:v>
      </x:c>
      <x:c r="D1061" s="25" t="n">
        <x:v>40750.30972222222</x:v>
      </x:c>
      <x:c r="E1061" s="25" t="n">
        <x:v>40860.364583333336</x:v>
      </x:c>
      <x:c r="F1061" s="2" t="n">
        <x:v>27</x:v>
      </x:c>
      <x:c r="G1061" s="2" t="n">
        <x:v>3</x:v>
      </x:c>
      <x:c r="H1061" s="11" t="n">
        <x:v>572.56</x:v>
      </x:c>
      <x:c r="I1061" s="2" t="n">
        <x:v>4</x:v>
      </x:c>
      <x:c r="J1061" s="2" t="n">
        <x:v>3</x:v>
      </x:c>
      <x:c r="K1061" s="2" t="n">
        <x:v>2</x:v>
      </x:c>
      <x:c r="L1061" s="2" t="str">
        <x:v>Loyal</x:v>
      </x:c>
    </x:row>
    <x:row r="1062" ht="22" customHeight="1">
      <x:c r="A1062" s="2"/>
      <x:c r="B1062" s="2" t="str">
        <x:v>13380</x:v>
      </x:c>
      <x:c r="C1062" s="2" t="str">
        <x:v>United Kingdom</x:v>
      </x:c>
      <x:c r="D1062" s="25" t="n">
        <x:v>40454.22083333333</x:v>
      </x:c>
      <x:c r="E1062" s="25" t="n">
        <x:v>40454.22083333333</x:v>
      </x:c>
      <x:c r="F1062" s="2" t="n">
        <x:v>433</x:v>
      </x:c>
      <x:c r="G1062" s="2" t="n">
        <x:v>1</x:v>
      </x:c>
      <x:c r="H1062" s="11" t="n">
        <x:v>62.4</x:v>
      </x:c>
      <x:c r="I1062" s="2" t="n">
        <x:v>1</x:v>
      </x:c>
      <x:c r="J1062" s="2" t="n">
        <x:v>1</x:v>
      </x:c>
      <x:c r="K1062" s="2" t="n">
        <x:v>1</x:v>
      </x:c>
      <x:c r="L1062" s="2" t="str">
        <x:v>Hibernating</x:v>
      </x:c>
    </x:row>
    <x:row r="1063" ht="22" customHeight="1">
      <x:c r="A1063" s="2"/>
      <x:c r="B1063" s="2" t="str">
        <x:v>13381</x:v>
      </x:c>
      <x:c r="C1063" s="2" t="str">
        <x:v>United Kingdom</x:v>
      </x:c>
      <x:c r="D1063" s="25" t="n">
        <x:v>40148.42986111111</x:v>
      </x:c>
      <x:c r="E1063" s="25" t="n">
        <x:v>40855.29027777778</x:v>
      </x:c>
      <x:c r="F1063" s="2" t="n">
        <x:v>32</x:v>
      </x:c>
      <x:c r="G1063" s="2" t="n">
        <x:v>12</x:v>
      </x:c>
      <x:c r="H1063" s="11" t="n">
        <x:v>8224.37</x:v>
      </x:c>
      <x:c r="I1063" s="2" t="n">
        <x:v>4</x:v>
      </x:c>
      <x:c r="J1063" s="2" t="n">
        <x:v>5</x:v>
      </x:c>
      <x:c r="K1063" s="2" t="n">
        <x:v>5</x:v>
      </x:c>
      <x:c r="L1063" s="2" t="str">
        <x:v>Champions</x:v>
      </x:c>
    </x:row>
    <x:row r="1064" ht="22" customHeight="1">
      <x:c r="A1064" s="2"/>
      <x:c r="B1064" s="2" t="str">
        <x:v>13382</x:v>
      </x:c>
      <x:c r="C1064" s="2" t="str">
        <x:v>United Kingdom</x:v>
      </x:c>
      <x:c r="D1064" s="25" t="n">
        <x:v>40155.205555555556</x:v>
      </x:c>
      <x:c r="E1064" s="25" t="n">
        <x:v>40606.21041666667</x:v>
      </x:c>
      <x:c r="F1064" s="2" t="n">
        <x:v>281</x:v>
      </x:c>
      <x:c r="G1064" s="2" t="n">
        <x:v>5</x:v>
      </x:c>
      <x:c r="H1064" s="11" t="n">
        <x:v>1387.58</x:v>
      </x:c>
      <x:c r="I1064" s="2" t="n">
        <x:v>2</x:v>
      </x:c>
      <x:c r="J1064" s="2" t="n">
        <x:v>4</x:v>
      </x:c>
      <x:c r="K1064" s="2" t="n">
        <x:v>4</x:v>
      </x:c>
      <x:c r="L1064" s="2" t="str">
        <x:v>At risk</x:v>
      </x:c>
    </x:row>
    <x:row r="1065" ht="22" customHeight="1">
      <x:c r="A1065" s="2"/>
      <x:c r="B1065" s="2" t="str">
        <x:v>13383</x:v>
      </x:c>
      <x:c r="C1065" s="2" t="str">
        <x:v>United Kingdom</x:v>
      </x:c>
      <x:c r="D1065" s="25" t="n">
        <x:v>40343.28125</x:v>
      </x:c>
      <x:c r="E1065" s="25" t="n">
        <x:v>40343.28125</x:v>
      </x:c>
      <x:c r="F1065" s="2" t="n">
        <x:v>544</x:v>
      </x:c>
      <x:c r="G1065" s="2" t="n">
        <x:v>1</x:v>
      </x:c>
      <x:c r="H1065" s="11" t="n">
        <x:v>305.28</x:v>
      </x:c>
      <x:c r="I1065" s="2" t="n">
        <x:v>1</x:v>
      </x:c>
      <x:c r="J1065" s="2" t="n">
        <x:v>1</x:v>
      </x:c>
      <x:c r="K1065" s="2" t="n">
        <x:v>2</x:v>
      </x:c>
      <x:c r="L1065" s="2" t="str">
        <x:v>Hibernating</x:v>
      </x:c>
    </x:row>
    <x:row r="1066" ht="22" customHeight="1">
      <x:c r="A1066" s="2"/>
      <x:c r="B1066" s="2" t="str">
        <x:v>13384</x:v>
      </x:c>
      <x:c r="C1066" s="2" t="str">
        <x:v>United Kingdom</x:v>
      </x:c>
      <x:c r="D1066" s="25" t="n">
        <x:v>40386.30694444444</x:v>
      </x:c>
      <x:c r="E1066" s="25" t="n">
        <x:v>40856.25277777778</x:v>
      </x:c>
      <x:c r="F1066" s="2" t="n">
        <x:v>31</x:v>
      </x:c>
      <x:c r="G1066" s="2" t="n">
        <x:v>11</x:v>
      </x:c>
      <x:c r="H1066" s="11" t="n">
        <x:v>6680.83</x:v>
      </x:c>
      <x:c r="I1066" s="2" t="n">
        <x:v>4</x:v>
      </x:c>
      <x:c r="J1066" s="2" t="n">
        <x:v>5</x:v>
      </x:c>
      <x:c r="K1066" s="2" t="n">
        <x:v>5</x:v>
      </x:c>
      <x:c r="L1066" s="2" t="str">
        <x:v>Champions</x:v>
      </x:c>
    </x:row>
    <x:row r="1067" ht="22" customHeight="1">
      <x:c r="A1067" s="2"/>
      <x:c r="B1067" s="2" t="str">
        <x:v>13385</x:v>
      </x:c>
      <x:c r="C1067" s="2" t="str">
        <x:v>United Kingdom</x:v>
      </x:c>
      <x:c r="D1067" s="25" t="n">
        <x:v>40557.20277777778</x:v>
      </x:c>
      <x:c r="E1067" s="25" t="n">
        <x:v>40557.20277777778</x:v>
      </x:c>
      <x:c r="F1067" s="2" t="n">
        <x:v>330</x:v>
      </x:c>
      <x:c r="G1067" s="2" t="n">
        <x:v>1</x:v>
      </x:c>
      <x:c r="H1067" s="11" t="n">
        <x:v>534.57</x:v>
      </x:c>
      <x:c r="I1067" s="2" t="n">
        <x:v>2</x:v>
      </x:c>
      <x:c r="J1067" s="2" t="n">
        <x:v>1</x:v>
      </x:c>
      <x:c r="K1067" s="2" t="n">
        <x:v>2</x:v>
      </x:c>
      <x:c r="L1067" s="2" t="str">
        <x:v>Hibernating</x:v>
      </x:c>
    </x:row>
    <x:row r="1068" ht="22" customHeight="1">
      <x:c r="A1068" s="2"/>
      <x:c r="B1068" s="2" t="str">
        <x:v>13386</x:v>
      </x:c>
      <x:c r="C1068" s="2" t="str">
        <x:v>United Kingdom</x:v>
      </x:c>
      <x:c r="D1068" s="25" t="n">
        <x:v>40449.339583333334</x:v>
      </x:c>
      <x:c r="E1068" s="25" t="n">
        <x:v>40472.32777777778</x:v>
      </x:c>
      <x:c r="F1068" s="2" t="n">
        <x:v>415</x:v>
      </x:c>
      <x:c r="G1068" s="2" t="n">
        <x:v>2</x:v>
      </x:c>
      <x:c r="H1068" s="11" t="n">
        <x:v>835.46</x:v>
      </x:c>
      <x:c r="I1068" s="2" t="n">
        <x:v>1</x:v>
      </x:c>
      <x:c r="J1068" s="2" t="n">
        <x:v>2</x:v>
      </x:c>
      <x:c r="K1068" s="2" t="n">
        <x:v>3</x:v>
      </x:c>
      <x:c r="L1068" s="2" t="str">
        <x:v>Hibernating</x:v>
      </x:c>
    </x:row>
    <x:row r="1069" ht="22" customHeight="1">
      <x:c r="A1069" s="2"/>
      <x:c r="B1069" s="2" t="str">
        <x:v>13387</x:v>
      </x:c>
      <x:c r="C1069" s="2" t="str">
        <x:v>United Kingdom</x:v>
      </x:c>
      <x:c r="D1069" s="25" t="n">
        <x:v>40469.37986111111</x:v>
      </x:c>
      <x:c r="E1069" s="25" t="n">
        <x:v>40469.37986111111</x:v>
      </x:c>
      <x:c r="F1069" s="2" t="n">
        <x:v>418</x:v>
      </x:c>
      <x:c r="G1069" s="2" t="n">
        <x:v>1</x:v>
      </x:c>
      <x:c r="H1069" s="11" t="n">
        <x:v>189.44</x:v>
      </x:c>
      <x:c r="I1069" s="2" t="n">
        <x:v>1</x:v>
      </x:c>
      <x:c r="J1069" s="2" t="n">
        <x:v>1</x:v>
      </x:c>
      <x:c r="K1069" s="2" t="n">
        <x:v>1</x:v>
      </x:c>
      <x:c r="L1069" s="2" t="str">
        <x:v>Hibernating</x:v>
      </x:c>
    </x:row>
    <x:row r="1070" ht="22" customHeight="1">
      <x:c r="A1070" s="2"/>
      <x:c r="B1070" s="2" t="str">
        <x:v>13388</x:v>
      </x:c>
      <x:c r="C1070" s="2" t="str">
        <x:v>United Kingdom</x:v>
      </x:c>
      <x:c r="D1070" s="25" t="n">
        <x:v>40283.22083333333</x:v>
      </x:c>
      <x:c r="E1070" s="25" t="n">
        <x:v>40755.32777777778</x:v>
      </x:c>
      <x:c r="F1070" s="2" t="n">
        <x:v>132</x:v>
      </x:c>
      <x:c r="G1070" s="2" t="n">
        <x:v>3</x:v>
      </x:c>
      <x:c r="H1070" s="11" t="n">
        <x:v>1185.65</x:v>
      </x:c>
      <x:c r="I1070" s="2" t="n">
        <x:v>3</x:v>
      </x:c>
      <x:c r="J1070" s="2" t="n">
        <x:v>3</x:v>
      </x:c>
      <x:c r="K1070" s="2" t="n">
        <x:v>3</x:v>
      </x:c>
      <x:c r="L1070" s="2" t="str">
        <x:v>Loyal</x:v>
      </x:c>
    </x:row>
    <x:row r="1071" ht="22" customHeight="1">
      <x:c r="A1071" s="2"/>
      <x:c r="B1071" s="2" t="str">
        <x:v>13389</x:v>
      </x:c>
      <x:c r="C1071" s="2" t="str">
        <x:v>United Kingdom</x:v>
      </x:c>
      <x:c r="D1071" s="25" t="n">
        <x:v>40654.3</x:v>
      </x:c>
      <x:c r="E1071" s="25" t="n">
        <x:v>40875.37569444445</x:v>
      </x:c>
      <x:c r="F1071" s="2" t="n">
        <x:v>12</x:v>
      </x:c>
      <x:c r="G1071" s="2" t="n">
        <x:v>3</x:v>
      </x:c>
      <x:c r="H1071" s="11" t="n">
        <x:v>797.96</x:v>
      </x:c>
      <x:c r="I1071" s="2" t="n">
        <x:v>5</x:v>
      </x:c>
      <x:c r="J1071" s="2" t="n">
        <x:v>3</x:v>
      </x:c>
      <x:c r="K1071" s="2" t="n">
        <x:v>3</x:v>
      </x:c>
      <x:c r="L1071" s="2" t="str">
        <x:v>Loyal</x:v>
      </x:c>
    </x:row>
    <x:row r="1072" ht="22" customHeight="1">
      <x:c r="A1072" s="2"/>
      <x:c r="B1072" s="2" t="str">
        <x:v>13390</x:v>
      </x:c>
      <x:c r="C1072" s="2" t="str">
        <x:v>United Kingdom</x:v>
      </x:c>
      <x:c r="D1072" s="25" t="n">
        <x:v>40812.15138888889</x:v>
      </x:c>
      <x:c r="E1072" s="25" t="n">
        <x:v>40812.15138888889</x:v>
      </x:c>
      <x:c r="F1072" s="2" t="n">
        <x:v>75</x:v>
      </x:c>
      <x:c r="G1072" s="2" t="n">
        <x:v>1</x:v>
      </x:c>
      <x:c r="H1072" s="11" t="n">
        <x:v>544.08</x:v>
      </x:c>
      <x:c r="I1072" s="2" t="n">
        <x:v>3</x:v>
      </x:c>
      <x:c r="J1072" s="2" t="n">
        <x:v>1</x:v>
      </x:c>
      <x:c r="K1072" s="2" t="n">
        <x:v>2</x:v>
      </x:c>
      <x:c r="L1072" s="2" t="str">
        <x:v>Developing</x:v>
      </x:c>
    </x:row>
    <x:row r="1073" ht="22" customHeight="1">
      <x:c r="A1073" s="2"/>
      <x:c r="B1073" s="2" t="str">
        <x:v>13391</x:v>
      </x:c>
      <x:c r="C1073" s="2" t="str">
        <x:v>United Kingdom</x:v>
      </x:c>
      <x:c r="D1073" s="25" t="n">
        <x:v>40683.243055555555</x:v>
      </x:c>
      <x:c r="E1073" s="25" t="n">
        <x:v>40683.243055555555</x:v>
      </x:c>
      <x:c r="F1073" s="2" t="n">
        <x:v>204</x:v>
      </x:c>
      <x:c r="G1073" s="2" t="n">
        <x:v>1</x:v>
      </x:c>
      <x:c r="H1073" s="11" t="n">
        <x:v>59.8</x:v>
      </x:c>
      <x:c r="I1073" s="2" t="n">
        <x:v>2</x:v>
      </x:c>
      <x:c r="J1073" s="2" t="n">
        <x:v>1</x:v>
      </x:c>
      <x:c r="K1073" s="2" t="n">
        <x:v>1</x:v>
      </x:c>
      <x:c r="L1073" s="2" t="str">
        <x:v>Hibernating</x:v>
      </x:c>
    </x:row>
    <x:row r="1074" ht="22" customHeight="1">
      <x:c r="A1074" s="2"/>
      <x:c r="B1074" s="2" t="str">
        <x:v>13392</x:v>
      </x:c>
      <x:c r="C1074" s="2" t="str">
        <x:v>United Kingdom</x:v>
      </x:c>
      <x:c r="D1074" s="25" t="n">
        <x:v>40209.356944444444</x:v>
      </x:c>
      <x:c r="E1074" s="25" t="n">
        <x:v>40209.356944444444</x:v>
      </x:c>
      <x:c r="F1074" s="2" t="n">
        <x:v>678</x:v>
      </x:c>
      <x:c r="G1074" s="2" t="n">
        <x:v>1</x:v>
      </x:c>
      <x:c r="H1074" s="11" t="n">
        <x:v>91.14</x:v>
      </x:c>
      <x:c r="I1074" s="2" t="n">
        <x:v>1</x:v>
      </x:c>
      <x:c r="J1074" s="2" t="n">
        <x:v>1</x:v>
      </x:c>
      <x:c r="K1074" s="2" t="n">
        <x:v>1</x:v>
      </x:c>
      <x:c r="L1074" s="2" t="str">
        <x:v>Hibernating</x:v>
      </x:c>
    </x:row>
    <x:row r="1075" ht="22" customHeight="1">
      <x:c r="A1075" s="2"/>
      <x:c r="B1075" s="2" t="str">
        <x:v>13393</x:v>
      </x:c>
      <x:c r="C1075" s="2" t="str">
        <x:v>United Kingdom</x:v>
      </x:c>
      <x:c r="D1075" s="25" t="n">
        <x:v>40154.55</x:v>
      </x:c>
      <x:c r="E1075" s="25" t="n">
        <x:v>40303.19027777778</x:v>
      </x:c>
      <x:c r="F1075" s="2" t="n">
        <x:v>584</x:v>
      </x:c>
      <x:c r="G1075" s="2" t="n">
        <x:v>4</x:v>
      </x:c>
      <x:c r="H1075" s="11" t="n">
        <x:v>1131.45</x:v>
      </x:c>
      <x:c r="I1075" s="2" t="n">
        <x:v>1</x:v>
      </x:c>
      <x:c r="J1075" s="2" t="n">
        <x:v>3</x:v>
      </x:c>
      <x:c r="K1075" s="2" t="n">
        <x:v>3</x:v>
      </x:c>
      <x:c r="L1075" s="2" t="str">
        <x:v>At risk</x:v>
      </x:c>
    </x:row>
    <x:row r="1076" ht="22" customHeight="1">
      <x:c r="A1076" s="2"/>
      <x:c r="B1076" s="2" t="str">
        <x:v>13394</x:v>
      </x:c>
      <x:c r="C1076" s="2" t="str">
        <x:v>United Kingdom</x:v>
      </x:c>
      <x:c r="D1076" s="25" t="n">
        <x:v>40148.29027777778</x:v>
      </x:c>
      <x:c r="E1076" s="25" t="n">
        <x:v>40885.275</x:v>
      </x:c>
      <x:c r="F1076" s="2" t="n">
        <x:v>2</x:v>
      </x:c>
      <x:c r="G1076" s="2" t="n">
        <x:v>19</x:v>
      </x:c>
      <x:c r="H1076" s="11" t="n">
        <x:v>6621.7</x:v>
      </x:c>
      <x:c r="I1076" s="2" t="n">
        <x:v>5</x:v>
      </x:c>
      <x:c r="J1076" s="2" t="n">
        <x:v>5</x:v>
      </x:c>
      <x:c r="K1076" s="2" t="n">
        <x:v>5</x:v>
      </x:c>
      <x:c r="L1076" s="2" t="str">
        <x:v>Champions</x:v>
      </x:c>
    </x:row>
    <x:row r="1077" ht="22" customHeight="1">
      <x:c r="A1077" s="2"/>
      <x:c r="B1077" s="2" t="str">
        <x:v>13395</x:v>
      </x:c>
      <x:c r="C1077" s="2" t="str">
        <x:v>United Kingdom</x:v>
      </x:c>
      <x:c r="D1077" s="25" t="n">
        <x:v>40465.333333333336</x:v>
      </x:c>
      <x:c r="E1077" s="25" t="n">
        <x:v>40701.419444444444</x:v>
      </x:c>
      <x:c r="F1077" s="2" t="n">
        <x:v>186</x:v>
      </x:c>
      <x:c r="G1077" s="2" t="n">
        <x:v>3</x:v>
      </x:c>
      <x:c r="H1077" s="11" t="n">
        <x:v>1180.23</x:v>
      </x:c>
      <x:c r="I1077" s="2" t="n">
        <x:v>3</x:v>
      </x:c>
      <x:c r="J1077" s="2" t="n">
        <x:v>3</x:v>
      </x:c>
      <x:c r="K1077" s="2" t="n">
        <x:v>3</x:v>
      </x:c>
      <x:c r="L1077" s="2" t="str">
        <x:v>Loyal</x:v>
      </x:c>
    </x:row>
    <x:row r="1078" ht="22" customHeight="1">
      <x:c r="A1078" s="2"/>
      <x:c r="B1078" s="2" t="str">
        <x:v>13396</x:v>
      </x:c>
      <x:c r="C1078" s="2" t="str">
        <x:v>United Kingdom</x:v>
      </x:c>
      <x:c r="D1078" s="25" t="n">
        <x:v>40567.35902777778</x:v>
      </x:c>
      <x:c r="E1078" s="25" t="n">
        <x:v>40857.49930555555</x:v>
      </x:c>
      <x:c r="F1078" s="2" t="n">
        <x:v>30</x:v>
      </x:c>
      <x:c r="G1078" s="2" t="n">
        <x:v>2</x:v>
      </x:c>
      <x:c r="H1078" s="11" t="n">
        <x:v>1360.99</x:v>
      </x:c>
      <x:c r="I1078" s="2" t="n">
        <x:v>4</x:v>
      </x:c>
      <x:c r="J1078" s="2" t="n">
        <x:v>2</x:v>
      </x:c>
      <x:c r="K1078" s="2" t="n">
        <x:v>4</x:v>
      </x:c>
      <x:c r="L1078" s="2" t="str">
        <x:v>Recent light buyers</x:v>
      </x:c>
    </x:row>
    <x:row r="1079" ht="22" customHeight="1">
      <x:c r="A1079" s="2"/>
      <x:c r="B1079" s="2" t="str">
        <x:v>13397</x:v>
      </x:c>
      <x:c r="C1079" s="2" t="str">
        <x:v>United Kingdom</x:v>
      </x:c>
      <x:c r="D1079" s="25" t="n">
        <x:v>40198.20138888889</x:v>
      </x:c>
      <x:c r="E1079" s="25" t="n">
        <x:v>40814.24722222222</x:v>
      </x:c>
      <x:c r="F1079" s="2" t="n">
        <x:v>73</x:v>
      </x:c>
      <x:c r="G1079" s="2" t="n">
        <x:v>10</x:v>
      </x:c>
      <x:c r="H1079" s="11" t="n">
        <x:v>3191.87</x:v>
      </x:c>
      <x:c r="I1079" s="2" t="n">
        <x:v>3</x:v>
      </x:c>
      <x:c r="J1079" s="2" t="n">
        <x:v>5</x:v>
      </x:c>
      <x:c r="K1079" s="2" t="n">
        <x:v>5</x:v>
      </x:c>
      <x:c r="L1079" s="2" t="str">
        <x:v>Loyal</x:v>
      </x:c>
    </x:row>
    <x:row r="1080" ht="22" customHeight="1">
      <x:c r="A1080" s="2"/>
      <x:c r="B1080" s="2" t="str">
        <x:v>13398</x:v>
      </x:c>
      <x:c r="C1080" s="2" t="str">
        <x:v>United Kingdom</x:v>
      </x:c>
      <x:c r="D1080" s="25" t="n">
        <x:v>40438.19027777778</x:v>
      </x:c>
      <x:c r="E1080" s="25" t="n">
        <x:v>40694.345138888886</x:v>
      </x:c>
      <x:c r="F1080" s="2" t="n">
        <x:v>193</x:v>
      </x:c>
      <x:c r="G1080" s="2" t="n">
        <x:v>2</x:v>
      </x:c>
      <x:c r="H1080" s="11" t="n">
        <x:v>670.34</x:v>
      </x:c>
      <x:c r="I1080" s="2" t="n">
        <x:v>2</x:v>
      </x:c>
      <x:c r="J1080" s="2" t="n">
        <x:v>2</x:v>
      </x:c>
      <x:c r="K1080" s="2" t="n">
        <x:v>3</x:v>
      </x:c>
      <x:c r="L1080" s="2" t="str">
        <x:v>Hibernating</x:v>
      </x:c>
    </x:row>
    <x:row r="1081" ht="22" customHeight="1">
      <x:c r="A1081" s="2"/>
      <x:c r="B1081" s="2" t="str">
        <x:v>13399</x:v>
      </x:c>
      <x:c r="C1081" s="2" t="str">
        <x:v>United Kingdom</x:v>
      </x:c>
      <x:c r="D1081" s="25" t="n">
        <x:v>40367.532638888886</x:v>
      </x:c>
      <x:c r="E1081" s="25" t="n">
        <x:v>40422.37430555555</x:v>
      </x:c>
      <x:c r="F1081" s="2" t="n">
        <x:v>465</x:v>
      </x:c>
      <x:c r="G1081" s="2" t="n">
        <x:v>3</x:v>
      </x:c>
      <x:c r="H1081" s="11" t="n">
        <x:v>275.4</x:v>
      </x:c>
      <x:c r="I1081" s="2" t="n">
        <x:v>1</x:v>
      </x:c>
      <x:c r="J1081" s="2" t="n">
        <x:v>3</x:v>
      </x:c>
      <x:c r="K1081" s="2" t="n">
        <x:v>1</x:v>
      </x:c>
      <x:c r="L1081" s="2" t="str">
        <x:v>At risk</x:v>
      </x:c>
    </x:row>
    <x:row r="1082" ht="22" customHeight="1">
      <x:c r="A1082" s="2"/>
      <x:c r="B1082" s="2" t="str">
        <x:v>13400</x:v>
      </x:c>
      <x:c r="C1082" s="2" t="str">
        <x:v>United Kingdom</x:v>
      </x:c>
      <x:c r="D1082" s="25" t="n">
        <x:v>40304.166666666664</x:v>
      </x:c>
      <x:c r="E1082" s="25" t="n">
        <x:v>40304.166666666664</x:v>
      </x:c>
      <x:c r="F1082" s="2" t="n">
        <x:v>583</x:v>
      </x:c>
      <x:c r="G1082" s="2" t="n">
        <x:v>1</x:v>
      </x:c>
      <x:c r="H1082" s="11" t="n">
        <x:v>310.83</x:v>
      </x:c>
      <x:c r="I1082" s="2" t="n">
        <x:v>1</x:v>
      </x:c>
      <x:c r="J1082" s="2" t="n">
        <x:v>1</x:v>
      </x:c>
      <x:c r="K1082" s="2" t="n">
        <x:v>2</x:v>
      </x:c>
      <x:c r="L1082" s="2" t="str">
        <x:v>Hibernating</x:v>
      </x:c>
    </x:row>
    <x:row r="1083" ht="22" customHeight="1">
      <x:c r="A1083" s="2"/>
      <x:c r="B1083" s="2" t="str">
        <x:v>13402</x:v>
      </x:c>
      <x:c r="C1083" s="2" t="str">
        <x:v>United Kingdom</x:v>
      </x:c>
      <x:c r="D1083" s="25" t="n">
        <x:v>40322.24722222222</x:v>
      </x:c>
      <x:c r="E1083" s="25" t="n">
        <x:v>40759.45208333333</x:v>
      </x:c>
      <x:c r="F1083" s="2" t="n">
        <x:v>128</x:v>
      </x:c>
      <x:c r="G1083" s="2" t="n">
        <x:v>4</x:v>
      </x:c>
      <x:c r="H1083" s="11" t="n">
        <x:v>1226.85</x:v>
      </x:c>
      <x:c r="I1083" s="2" t="n">
        <x:v>3</x:v>
      </x:c>
      <x:c r="J1083" s="2" t="n">
        <x:v>3</x:v>
      </x:c>
      <x:c r="K1083" s="2" t="n">
        <x:v>3</x:v>
      </x:c>
      <x:c r="L1083" s="2" t="str">
        <x:v>Loyal</x:v>
      </x:c>
    </x:row>
    <x:row r="1084" ht="22" customHeight="1">
      <x:c r="A1084" s="2"/>
      <x:c r="B1084" s="2" t="str">
        <x:v>13403</x:v>
      </x:c>
      <x:c r="C1084" s="2" t="str">
        <x:v>United Kingdom</x:v>
      </x:c>
      <x:c r="D1084" s="25" t="n">
        <x:v>40163.34930555556</x:v>
      </x:c>
      <x:c r="E1084" s="25" t="n">
        <x:v>40869.14444444444</x:v>
      </x:c>
      <x:c r="F1084" s="2" t="n">
        <x:v>18</x:v>
      </x:c>
      <x:c r="G1084" s="2" t="n">
        <x:v>3</x:v>
      </x:c>
      <x:c r="H1084" s="11" t="n">
        <x:v>229.5</x:v>
      </x:c>
      <x:c r="I1084" s="2" t="n">
        <x:v>5</x:v>
      </x:c>
      <x:c r="J1084" s="2" t="n">
        <x:v>3</x:v>
      </x:c>
      <x:c r="K1084" s="2" t="n">
        <x:v>1</x:v>
      </x:c>
      <x:c r="L1084" s="2" t="str">
        <x:v>Loyal</x:v>
      </x:c>
    </x:row>
    <x:row r="1085" ht="22" customHeight="1">
      <x:c r="A1085" s="2"/>
      <x:c r="B1085" s="2" t="str">
        <x:v>13404</x:v>
      </x:c>
      <x:c r="C1085" s="2" t="str">
        <x:v>United Kingdom</x:v>
      </x:c>
      <x:c r="D1085" s="25" t="n">
        <x:v>40674.28958333333</x:v>
      </x:c>
      <x:c r="E1085" s="25" t="n">
        <x:v>40885.44236111111</x:v>
      </x:c>
      <x:c r="F1085" s="2" t="n">
        <x:v>2</x:v>
      </x:c>
      <x:c r="G1085" s="2" t="n">
        <x:v>2</x:v>
      </x:c>
      <x:c r="H1085" s="11" t="n">
        <x:v>252.49</x:v>
      </x:c>
      <x:c r="I1085" s="2" t="n">
        <x:v>5</x:v>
      </x:c>
      <x:c r="J1085" s="2" t="n">
        <x:v>2</x:v>
      </x:c>
      <x:c r="K1085" s="2" t="n">
        <x:v>1</x:v>
      </x:c>
      <x:c r="L1085" s="2" t="str">
        <x:v>Recent light buyers</x:v>
      </x:c>
    </x:row>
    <x:row r="1086" ht="22" customHeight="1">
      <x:c r="A1086" s="2"/>
      <x:c r="B1086" s="2" t="str">
        <x:v>13405</x:v>
      </x:c>
      <x:c r="C1086" s="2" t="str">
        <x:v>United Kingdom</x:v>
      </x:c>
      <x:c r="D1086" s="25" t="n">
        <x:v>40162.38402777778</x:v>
      </x:c>
      <x:c r="E1086" s="25" t="n">
        <x:v>40812.50069444445</x:v>
      </x:c>
      <x:c r="F1086" s="2" t="n">
        <x:v>75</x:v>
      </x:c>
      <x:c r="G1086" s="2" t="n">
        <x:v>6</x:v>
      </x:c>
      <x:c r="H1086" s="11" t="n">
        <x:v>1213.811</x:v>
      </x:c>
      <x:c r="I1086" s="2" t="n">
        <x:v>3</x:v>
      </x:c>
      <x:c r="J1086" s="2" t="n">
        <x:v>4</x:v>
      </x:c>
      <x:c r="K1086" s="2" t="n">
        <x:v>3</x:v>
      </x:c>
      <x:c r="L1086" s="2" t="str">
        <x:v>Loyal</x:v>
      </x:c>
    </x:row>
    <x:row r="1087" ht="22" customHeight="1">
      <x:c r="A1087" s="2"/>
      <x:c r="B1087" s="2" t="str">
        <x:v>13406</x:v>
      </x:c>
      <x:c r="C1087" s="2" t="str">
        <x:v>United Kingdom</x:v>
      </x:c>
      <x:c r="D1087" s="25" t="n">
        <x:v>40255.103472222225</x:v>
      </x:c>
      <x:c r="E1087" s="25" t="n">
        <x:v>40459.40555555555</x:v>
      </x:c>
      <x:c r="F1087" s="2" t="n">
        <x:v>428</x:v>
      </x:c>
      <x:c r="G1087" s="2" t="n">
        <x:v>2</x:v>
      </x:c>
      <x:c r="H1087" s="11" t="n">
        <x:v>568.92</x:v>
      </x:c>
      <x:c r="I1087" s="2" t="n">
        <x:v>1</x:v>
      </x:c>
      <x:c r="J1087" s="2" t="n">
        <x:v>2</x:v>
      </x:c>
      <x:c r="K1087" s="2" t="n">
        <x:v>2</x:v>
      </x:c>
      <x:c r="L1087" s="2" t="str">
        <x:v>Hibernating</x:v>
      </x:c>
    </x:row>
    <x:row r="1088" ht="22" customHeight="1">
      <x:c r="A1088" s="2"/>
      <x:c r="B1088" s="2" t="str">
        <x:v>13407</x:v>
      </x:c>
      <x:c r="C1088" s="2" t="str">
        <x:v>United Kingdom</x:v>
      </x:c>
      <x:c r="D1088" s="25" t="n">
        <x:v>40225.25902777778</x:v>
      </x:c>
      <x:c r="E1088" s="25" t="n">
        <x:v>40308.32013888889</x:v>
      </x:c>
      <x:c r="F1088" s="2" t="n">
        <x:v>579</x:v>
      </x:c>
      <x:c r="G1088" s="2" t="n">
        <x:v>3</x:v>
      </x:c>
      <x:c r="H1088" s="11" t="n">
        <x:v>2244.7</x:v>
      </x:c>
      <x:c r="I1088" s="2" t="n">
        <x:v>1</x:v>
      </x:c>
      <x:c r="J1088" s="2" t="n">
        <x:v>3</x:v>
      </x:c>
      <x:c r="K1088" s="2" t="n">
        <x:v>4</x:v>
      </x:c>
      <x:c r="L1088" s="2" t="str">
        <x:v>At risk</x:v>
      </x:c>
    </x:row>
    <x:row r="1089" ht="22" customHeight="1">
      <x:c r="A1089" s="2"/>
      <x:c r="B1089" s="2" t="str">
        <x:v>13408</x:v>
      </x:c>
      <x:c r="C1089" s="2" t="str">
        <x:v>United Kingdom</x:v>
      </x:c>
      <x:c r="D1089" s="25" t="n">
        <x:v>40151.18819444445</x:v>
      </x:c>
      <x:c r="E1089" s="25" t="n">
        <x:v>40885.17013888889</x:v>
      </x:c>
      <x:c r="F1089" s="2" t="n">
        <x:v>2</x:v>
      </x:c>
      <x:c r="G1089" s="2" t="n">
        <x:v>106</x:v>
      </x:c>
      <x:c r="H1089" s="11" t="n">
        <x:v>50174.782</x:v>
      </x:c>
      <x:c r="I1089" s="2" t="n">
        <x:v>5</x:v>
      </x:c>
      <x:c r="J1089" s="2" t="n">
        <x:v>5</x:v>
      </x:c>
      <x:c r="K1089" s="2" t="n">
        <x:v>5</x:v>
      </x:c>
      <x:c r="L1089" s="2" t="str">
        <x:v>Champions</x:v>
      </x:c>
    </x:row>
    <x:row r="1090" ht="22" customHeight="1">
      <x:c r="A1090" s="2"/>
      <x:c r="B1090" s="2" t="str">
        <x:v>13410</x:v>
      </x:c>
      <x:c r="C1090" s="2" t="str">
        <x:v>United Kingdom</x:v>
      </x:c>
      <x:c r="D1090" s="25" t="n">
        <x:v>40155.36319444444</x:v>
      </x:c>
      <x:c r="E1090" s="25" t="n">
        <x:v>40862.43958333333</x:v>
      </x:c>
      <x:c r="F1090" s="2" t="n">
        <x:v>25</x:v>
      </x:c>
      <x:c r="G1090" s="2" t="n">
        <x:v>9</x:v>
      </x:c>
      <x:c r="H1090" s="11" t="n">
        <x:v>2201.96</x:v>
      </x:c>
      <x:c r="I1090" s="2" t="n">
        <x:v>4</x:v>
      </x:c>
      <x:c r="J1090" s="2" t="n">
        <x:v>5</x:v>
      </x:c>
      <x:c r="K1090" s="2" t="n">
        <x:v>4</x:v>
      </x:c>
      <x:c r="L1090" s="2" t="str">
        <x:v>Champions</x:v>
      </x:c>
    </x:row>
    <x:row r="1091" ht="22" customHeight="1">
      <x:c r="A1091" s="2"/>
      <x:c r="B1091" s="2" t="str">
        <x:v>13411</x:v>
      </x:c>
      <x:c r="C1091" s="2" t="str">
        <x:v>United Kingdom</x:v>
      </x:c>
      <x:c r="D1091" s="25" t="n">
        <x:v>40779.37291666667</x:v>
      </x:c>
      <x:c r="E1091" s="25" t="n">
        <x:v>40779.37291666667</x:v>
      </x:c>
      <x:c r="F1091" s="2" t="n">
        <x:v>108</x:v>
      </x:c>
      <x:c r="G1091" s="2" t="n">
        <x:v>1</x:v>
      </x:c>
      <x:c r="H1091" s="11" t="n">
        <x:v>213.55</x:v>
      </x:c>
      <x:c r="I1091" s="2" t="n">
        <x:v>3</x:v>
      </x:c>
      <x:c r="J1091" s="2" t="n">
        <x:v>1</x:v>
      </x:c>
      <x:c r="K1091" s="2" t="n">
        <x:v>1</x:v>
      </x:c>
      <x:c r="L1091" s="2" t="str">
        <x:v>Developing</x:v>
      </x:c>
    </x:row>
    <x:row r="1092" ht="22" customHeight="1">
      <x:c r="A1092" s="2"/>
      <x:c r="B1092" s="2" t="str">
        <x:v>13412</x:v>
      </x:c>
      <x:c r="C1092" s="2" t="str">
        <x:v>United Kingdom</x:v>
      </x:c>
      <x:c r="D1092" s="25" t="n">
        <x:v>40266.47777777778</x:v>
      </x:c>
      <x:c r="E1092" s="25" t="n">
        <x:v>40266.47777777778</x:v>
      </x:c>
      <x:c r="F1092" s="2" t="n">
        <x:v>621</x:v>
      </x:c>
      <x:c r="G1092" s="2" t="n">
        <x:v>1</x:v>
      </x:c>
      <x:c r="H1092" s="11" t="n">
        <x:v>487.35</x:v>
      </x:c>
      <x:c r="I1092" s="2" t="n">
        <x:v>1</x:v>
      </x:c>
      <x:c r="J1092" s="2" t="n">
        <x:v>1</x:v>
      </x:c>
      <x:c r="K1092" s="2" t="n">
        <x:v>2</x:v>
      </x:c>
      <x:c r="L1092" s="2" t="str">
        <x:v>Hibernating</x:v>
      </x:c>
    </x:row>
    <x:row r="1093" ht="22" customHeight="1">
      <x:c r="A1093" s="2"/>
      <x:c r="B1093" s="2" t="str">
        <x:v>13413</x:v>
      </x:c>
      <x:c r="C1093" s="2" t="str">
        <x:v>United Kingdom</x:v>
      </x:c>
      <x:c r="D1093" s="25" t="n">
        <x:v>40199.529861111114</x:v>
      </x:c>
      <x:c r="E1093" s="25" t="n">
        <x:v>40247.30347222222</x:v>
      </x:c>
      <x:c r="F1093" s="2" t="n">
        <x:v>640</x:v>
      </x:c>
      <x:c r="G1093" s="2" t="n">
        <x:v>6</x:v>
      </x:c>
      <x:c r="H1093" s="11" t="n">
        <x:v>429.44</x:v>
      </x:c>
      <x:c r="I1093" s="2" t="n">
        <x:v>1</x:v>
      </x:c>
      <x:c r="J1093" s="2" t="n">
        <x:v>4</x:v>
      </x:c>
      <x:c r="K1093" s="2" t="n">
        <x:v>2</x:v>
      </x:c>
      <x:c r="L1093" s="2" t="str">
        <x:v>At risk</x:v>
      </x:c>
    </x:row>
    <x:row r="1094" ht="22" customHeight="1">
      <x:c r="A1094" s="2"/>
      <x:c r="B1094" s="2" t="str">
        <x:v>13414</x:v>
      </x:c>
      <x:c r="C1094" s="2" t="str">
        <x:v>United Kingdom</x:v>
      </x:c>
      <x:c r="D1094" s="25" t="n">
        <x:v>40283.5</x:v>
      </x:c>
      <x:c r="E1094" s="25" t="n">
        <x:v>40753.28125</x:v>
      </x:c>
      <x:c r="F1094" s="2" t="n">
        <x:v>134</x:v>
      </x:c>
      <x:c r="G1094" s="2" t="n">
        <x:v>6</x:v>
      </x:c>
      <x:c r="H1094" s="11" t="n">
        <x:v>2494.14</x:v>
      </x:c>
      <x:c r="I1094" s="2" t="n">
        <x:v>3</x:v>
      </x:c>
      <x:c r="J1094" s="2" t="n">
        <x:v>4</x:v>
      </x:c>
      <x:c r="K1094" s="2" t="n">
        <x:v>4</x:v>
      </x:c>
      <x:c r="L1094" s="2" t="str">
        <x:v>Loyal</x:v>
      </x:c>
    </x:row>
    <x:row r="1095" ht="22" customHeight="1">
      <x:c r="A1095" s="2"/>
      <x:c r="B1095" s="2" t="str">
        <x:v>13415</x:v>
      </x:c>
      <x:c r="C1095" s="2" t="str">
        <x:v>United Kingdom</x:v>
      </x:c>
      <x:c r="D1095" s="25" t="n">
        <x:v>40158.38888888889</x:v>
      </x:c>
      <x:c r="E1095" s="25" t="n">
        <x:v>40414.27638888889</x:v>
      </x:c>
      <x:c r="F1095" s="2" t="n">
        <x:v>473</x:v>
      </x:c>
      <x:c r="G1095" s="2" t="n">
        <x:v>4</x:v>
      </x:c>
      <x:c r="H1095" s="11" t="n">
        <x:v>800.67</x:v>
      </x:c>
      <x:c r="I1095" s="2" t="n">
        <x:v>1</x:v>
      </x:c>
      <x:c r="J1095" s="2" t="n">
        <x:v>3</x:v>
      </x:c>
      <x:c r="K1095" s="2" t="n">
        <x:v>3</x:v>
      </x:c>
      <x:c r="L1095" s="2" t="str">
        <x:v>At risk</x:v>
      </x:c>
    </x:row>
    <x:row r="1096" ht="22" customHeight="1">
      <x:c r="A1096" s="2"/>
      <x:c r="B1096" s="2" t="str">
        <x:v>13416</x:v>
      </x:c>
      <x:c r="C1096" s="2" t="str">
        <x:v>United Kingdom</x:v>
      </x:c>
      <x:c r="D1096" s="25" t="n">
        <x:v>40150.33472222222</x:v>
      </x:c>
      <x:c r="E1096" s="25" t="n">
        <x:v>40843.16388888889</x:v>
      </x:c>
      <x:c r="F1096" s="2" t="n">
        <x:v>44</x:v>
      </x:c>
      <x:c r="G1096" s="2" t="n">
        <x:v>3</x:v>
      </x:c>
      <x:c r="H1096" s="11" t="n">
        <x:v>940.8</x:v>
      </x:c>
      <x:c r="I1096" s="2" t="n">
        <x:v>4</x:v>
      </x:c>
      <x:c r="J1096" s="2" t="n">
        <x:v>3</x:v>
      </x:c>
      <x:c r="K1096" s="2" t="n">
        <x:v>3</x:v>
      </x:c>
      <x:c r="L1096" s="2" t="str">
        <x:v>Loyal</x:v>
      </x:c>
    </x:row>
    <x:row r="1097" ht="22" customHeight="1">
      <x:c r="A1097" s="2"/>
      <x:c r="B1097" s="2" t="str">
        <x:v>13417</x:v>
      </x:c>
      <x:c r="C1097" s="2" t="str">
        <x:v>United Kingdom</x:v>
      </x:c>
      <x:c r="D1097" s="25" t="n">
        <x:v>40217.31875</x:v>
      </x:c>
      <x:c r="E1097" s="25" t="n">
        <x:v>40882.15902777778</x:v>
      </x:c>
      <x:c r="F1097" s="2" t="n">
        <x:v>5</x:v>
      </x:c>
      <x:c r="G1097" s="2" t="n">
        <x:v>6</x:v>
      </x:c>
      <x:c r="H1097" s="11" t="n">
        <x:v>1669.49</x:v>
      </x:c>
      <x:c r="I1097" s="2" t="n">
        <x:v>5</x:v>
      </x:c>
      <x:c r="J1097" s="2" t="n">
        <x:v>4</x:v>
      </x:c>
      <x:c r="K1097" s="2" t="n">
        <x:v>4</x:v>
      </x:c>
      <x:c r="L1097" s="2" t="str">
        <x:v>Champions</x:v>
      </x:c>
    </x:row>
    <x:row r="1098" ht="22" customHeight="1">
      <x:c r="A1098" s="2"/>
      <x:c r="B1098" s="2" t="str">
        <x:v>13418</x:v>
      </x:c>
      <x:c r="C1098" s="2" t="str">
        <x:v>United Kingdom</x:v>
      </x:c>
      <x:c r="D1098" s="25" t="n">
        <x:v>40158.32708333333</x:v>
      </x:c>
      <x:c r="E1098" s="25" t="n">
        <x:v>40875.22430555556</x:v>
      </x:c>
      <x:c r="F1098" s="2" t="n">
        <x:v>12</x:v>
      </x:c>
      <x:c r="G1098" s="2" t="n">
        <x:v>31</x:v>
      </x:c>
      <x:c r="H1098" s="11" t="n">
        <x:v>11610.36</x:v>
      </x:c>
      <x:c r="I1098" s="2" t="n">
        <x:v>5</x:v>
      </x:c>
      <x:c r="J1098" s="2" t="n">
        <x:v>5</x:v>
      </x:c>
      <x:c r="K1098" s="2" t="n">
        <x:v>5</x:v>
      </x:c>
      <x:c r="L1098" s="2" t="str">
        <x:v>Champions</x:v>
      </x:c>
    </x:row>
    <x:row r="1099" ht="22" customHeight="1">
      <x:c r="A1099" s="2"/>
      <x:c r="B1099" s="2" t="str">
        <x:v>13419</x:v>
      </x:c>
      <x:c r="C1099" s="2" t="str">
        <x:v>United Kingdom</x:v>
      </x:c>
      <x:c r="D1099" s="25" t="n">
        <x:v>40823.325694444444</x:v>
      </x:c>
      <x:c r="E1099" s="25" t="n">
        <x:v>40823.325694444444</x:v>
      </x:c>
      <x:c r="F1099" s="2" t="n">
        <x:v>64</x:v>
      </x:c>
      <x:c r="G1099" s="2" t="n">
        <x:v>1</x:v>
      </x:c>
      <x:c r="H1099" s="11" t="n">
        <x:v>221.06</x:v>
      </x:c>
      <x:c r="I1099" s="2" t="n">
        <x:v>3</x:v>
      </x:c>
      <x:c r="J1099" s="2" t="n">
        <x:v>1</x:v>
      </x:c>
      <x:c r="K1099" s="2" t="n">
        <x:v>1</x:v>
      </x:c>
      <x:c r="L1099" s="2" t="str">
        <x:v>Developing</x:v>
      </x:c>
    </x:row>
    <x:row r="1100" ht="22" customHeight="1">
      <x:c r="A1100" s="2"/>
      <x:c r="B1100" s="2" t="str">
        <x:v>13420</x:v>
      </x:c>
      <x:c r="C1100" s="2" t="str">
        <x:v>United Kingdom</x:v>
      </x:c>
      <x:c r="D1100" s="25" t="n">
        <x:v>40716.274305555555</x:v>
      </x:c>
      <x:c r="E1100" s="25" t="n">
        <x:v>40737.15833333333</x:v>
      </x:c>
      <x:c r="F1100" s="2" t="n">
        <x:v>150</x:v>
      </x:c>
      <x:c r="G1100" s="2" t="n">
        <x:v>2</x:v>
      </x:c>
      <x:c r="H1100" s="11" t="n">
        <x:v>159.85</x:v>
      </x:c>
      <x:c r="I1100" s="2" t="n">
        <x:v>3</x:v>
      </x:c>
      <x:c r="J1100" s="2" t="n">
        <x:v>2</x:v>
      </x:c>
      <x:c r="K1100" s="2" t="n">
        <x:v>1</x:v>
      </x:c>
      <x:c r="L1100" s="2" t="str">
        <x:v>Developing</x:v>
      </x:c>
    </x:row>
    <x:row r="1101" ht="22" customHeight="1">
      <x:c r="A1101" s="2"/>
      <x:c r="B1101" s="2" t="str">
        <x:v>13421</x:v>
      </x:c>
      <x:c r="C1101" s="2" t="str">
        <x:v>United Kingdom</x:v>
      </x:c>
      <x:c r="D1101" s="25" t="n">
        <x:v>40223.40625</x:v>
      </x:c>
      <x:c r="E1101" s="25" t="n">
        <x:v>40846.38958333333</x:v>
      </x:c>
      <x:c r="F1101" s="2" t="n">
        <x:v>41</x:v>
      </x:c>
      <x:c r="G1101" s="2" t="n">
        <x:v>8</x:v>
      </x:c>
      <x:c r="H1101" s="11" t="n">
        <x:v>4103.12</x:v>
      </x:c>
      <x:c r="I1101" s="2" t="n">
        <x:v>4</x:v>
      </x:c>
      <x:c r="J1101" s="2" t="n">
        <x:v>4</x:v>
      </x:c>
      <x:c r="K1101" s="2" t="n">
        <x:v>5</x:v>
      </x:c>
      <x:c r="L1101" s="2" t="str">
        <x:v>Champions</x:v>
      </x:c>
    </x:row>
    <x:row r="1102" ht="22" customHeight="1">
      <x:c r="A1102" s="2"/>
      <x:c r="B1102" s="2" t="str">
        <x:v>13422</x:v>
      </x:c>
      <x:c r="C1102" s="2" t="str">
        <x:v>United Kingdom</x:v>
      </x:c>
      <x:c r="D1102" s="25" t="n">
        <x:v>40822.3625</x:v>
      </x:c>
      <x:c r="E1102" s="25" t="n">
        <x:v>40822.3625</x:v>
      </x:c>
      <x:c r="F1102" s="2" t="n">
        <x:v>65</x:v>
      </x:c>
      <x:c r="G1102" s="2" t="n">
        <x:v>1</x:v>
      </x:c>
      <x:c r="H1102" s="11" t="n">
        <x:v>2626.3</x:v>
      </x:c>
      <x:c r="I1102" s="2" t="n">
        <x:v>3</x:v>
      </x:c>
      <x:c r="J1102" s="2" t="n">
        <x:v>1</x:v>
      </x:c>
      <x:c r="K1102" s="2" t="n">
        <x:v>4</x:v>
      </x:c>
      <x:c r="L1102" s="2" t="str">
        <x:v>Developing</x:v>
      </x:c>
    </x:row>
    <x:row r="1103" ht="22" customHeight="1">
      <x:c r="A1103" s="2"/>
      <x:c r="B1103" s="2" t="str">
        <x:v>13423</x:v>
      </x:c>
      <x:c r="C1103" s="2" t="str">
        <x:v>United Kingdom</x:v>
      </x:c>
      <x:c r="D1103" s="25" t="n">
        <x:v>40458.16805555556</x:v>
      </x:c>
      <x:c r="E1103" s="25" t="n">
        <x:v>40458.16805555556</x:v>
      </x:c>
      <x:c r="F1103" s="2" t="n">
        <x:v>429</x:v>
      </x:c>
      <x:c r="G1103" s="2" t="n">
        <x:v>1</x:v>
      </x:c>
      <x:c r="H1103" s="11" t="n">
        <x:v>217.03</x:v>
      </x:c>
      <x:c r="I1103" s="2" t="n">
        <x:v>1</x:v>
      </x:c>
      <x:c r="J1103" s="2" t="n">
        <x:v>1</x:v>
      </x:c>
      <x:c r="K1103" s="2" t="n">
        <x:v>1</x:v>
      </x:c>
      <x:c r="L1103" s="2" t="str">
        <x:v>Hibernating</x:v>
      </x:c>
    </x:row>
    <x:row r="1104" ht="22" customHeight="1">
      <x:c r="A1104" s="2"/>
      <x:c r="B1104" s="2" t="str">
        <x:v>13424</x:v>
      </x:c>
      <x:c r="C1104" s="2" t="str">
        <x:v>United Kingdom</x:v>
      </x:c>
      <x:c r="D1104" s="25" t="n">
        <x:v>40437.24236111111</x:v>
      </x:c>
      <x:c r="E1104" s="25" t="n">
        <x:v>40437.24236111111</x:v>
      </x:c>
      <x:c r="F1104" s="2" t="n">
        <x:v>450</x:v>
      </x:c>
      <x:c r="G1104" s="2" t="n">
        <x:v>1</x:v>
      </x:c>
      <x:c r="H1104" s="11" t="n">
        <x:v>572.77</x:v>
      </x:c>
      <x:c r="I1104" s="2" t="n">
        <x:v>1</x:v>
      </x:c>
      <x:c r="J1104" s="2" t="n">
        <x:v>1</x:v>
      </x:c>
      <x:c r="K1104" s="2" t="n">
        <x:v>2</x:v>
      </x:c>
      <x:c r="L1104" s="2" t="str">
        <x:v>Hibernating</x:v>
      </x:c>
    </x:row>
    <x:row r="1105" ht="22" customHeight="1">
      <x:c r="A1105" s="2"/>
      <x:c r="B1105" s="2" t="str">
        <x:v>13425</x:v>
      </x:c>
      <x:c r="C1105" s="2" t="str">
        <x:v>United Kingdom</x:v>
      </x:c>
      <x:c r="D1105" s="25" t="n">
        <x:v>40307.399305555555</x:v>
      </x:c>
      <x:c r="E1105" s="25" t="n">
        <x:v>40778.50902777778</x:v>
      </x:c>
      <x:c r="F1105" s="2" t="n">
        <x:v>109</x:v>
      </x:c>
      <x:c r="G1105" s="2" t="n">
        <x:v>5</x:v>
      </x:c>
      <x:c r="H1105" s="11" t="n">
        <x:v>3403.63</x:v>
      </x:c>
      <x:c r="I1105" s="2" t="n">
        <x:v>3</x:v>
      </x:c>
      <x:c r="J1105" s="2" t="n">
        <x:v>4</x:v>
      </x:c>
      <x:c r="K1105" s="2" t="n">
        <x:v>5</x:v>
      </x:c>
      <x:c r="L1105" s="2" t="str">
        <x:v>Loyal</x:v>
      </x:c>
    </x:row>
    <x:row r="1106" ht="22" customHeight="1">
      <x:c r="A1106" s="2"/>
      <x:c r="B1106" s="2" t="str">
        <x:v>13426</x:v>
      </x:c>
      <x:c r="C1106" s="2" t="str">
        <x:v>United Kingdom</x:v>
      </x:c>
      <x:c r="D1106" s="25" t="n">
        <x:v>40156.427777777775</x:v>
      </x:c>
      <x:c r="E1106" s="25" t="n">
        <x:v>40886.165972222225</x:v>
      </x:c>
      <x:c r="F1106" s="2" t="n">
        <x:v>1</x:v>
      </x:c>
      <x:c r="G1106" s="2" t="n">
        <x:v>22</x:v>
      </x:c>
      <x:c r="H1106" s="11" t="n">
        <x:v>8167.38</x:v>
      </x:c>
      <x:c r="I1106" s="2" t="n">
        <x:v>5</x:v>
      </x:c>
      <x:c r="J1106" s="2" t="n">
        <x:v>5</x:v>
      </x:c>
      <x:c r="K1106" s="2" t="n">
        <x:v>5</x:v>
      </x:c>
      <x:c r="L1106" s="2" t="str">
        <x:v>Champions</x:v>
      </x:c>
    </x:row>
    <x:row r="1107" ht="22" customHeight="1">
      <x:c r="A1107" s="2"/>
      <x:c r="B1107" s="2" t="str">
        <x:v>13427</x:v>
      </x:c>
      <x:c r="C1107" s="2" t="str">
        <x:v>United Kingdom</x:v>
      </x:c>
      <x:c r="D1107" s="25" t="n">
        <x:v>40164.36388888889</x:v>
      </x:c>
      <x:c r="E1107" s="25" t="n">
        <x:v>40867.33472222222</x:v>
      </x:c>
      <x:c r="F1107" s="2" t="n">
        <x:v>20</x:v>
      </x:c>
      <x:c r="G1107" s="2" t="n">
        <x:v>6</x:v>
      </x:c>
      <x:c r="H1107" s="11" t="n">
        <x:v>1006.53</x:v>
      </x:c>
      <x:c r="I1107" s="2" t="n">
        <x:v>5</x:v>
      </x:c>
      <x:c r="J1107" s="2" t="n">
        <x:v>4</x:v>
      </x:c>
      <x:c r="K1107" s="2" t="n">
        <x:v>3</x:v>
      </x:c>
      <x:c r="L1107" s="2" t="str">
        <x:v>Loyal</x:v>
      </x:c>
    </x:row>
    <x:row r="1108" ht="22" customHeight="1">
      <x:c r="A1108" s="2"/>
      <x:c r="B1108" s="2" t="str">
        <x:v>13428</x:v>
      </x:c>
      <x:c r="C1108" s="2" t="str">
        <x:v>United Kingdom</x:v>
      </x:c>
      <x:c r="D1108" s="25" t="n">
        <x:v>40372.34722222222</x:v>
      </x:c>
      <x:c r="E1108" s="25" t="n">
        <x:v>40876.38888888889</x:v>
      </x:c>
      <x:c r="F1108" s="2" t="n">
        <x:v>11</x:v>
      </x:c>
      <x:c r="G1108" s="2" t="n">
        <x:v>3</x:v>
      </x:c>
      <x:c r="H1108" s="11" t="n">
        <x:v>499.98</x:v>
      </x:c>
      <x:c r="I1108" s="2" t="n">
        <x:v>5</x:v>
      </x:c>
      <x:c r="J1108" s="2" t="n">
        <x:v>3</x:v>
      </x:c>
      <x:c r="K1108" s="2" t="n">
        <x:v>2</x:v>
      </x:c>
      <x:c r="L1108" s="2" t="str">
        <x:v>Loyal</x:v>
      </x:c>
    </x:row>
    <x:row r="1109" ht="22" customHeight="1">
      <x:c r="A1109" s="2"/>
      <x:c r="B1109" s="2" t="str">
        <x:v>13429</x:v>
      </x:c>
      <x:c r="C1109" s="2" t="str">
        <x:v>United Kingdom</x:v>
      </x:c>
      <x:c r="D1109" s="25" t="n">
        <x:v>40811.45763888889</x:v>
      </x:c>
      <x:c r="E1109" s="25" t="n">
        <x:v>40876.17361111111</x:v>
      </x:c>
      <x:c r="F1109" s="2" t="n">
        <x:v>11</x:v>
      </x:c>
      <x:c r="G1109" s="2" t="n">
        <x:v>4</x:v>
      </x:c>
      <x:c r="H1109" s="11" t="n">
        <x:v>1006.8</x:v>
      </x:c>
      <x:c r="I1109" s="2" t="n">
        <x:v>5</x:v>
      </x:c>
      <x:c r="J1109" s="2" t="n">
        <x:v>3</x:v>
      </x:c>
      <x:c r="K1109" s="2" t="n">
        <x:v>3</x:v>
      </x:c>
      <x:c r="L1109" s="2" t="str">
        <x:v>Loyal</x:v>
      </x:c>
    </x:row>
    <x:row r="1110" ht="22" customHeight="1">
      <x:c r="A1110" s="2"/>
      <x:c r="B1110" s="2" t="str">
        <x:v>13430</x:v>
      </x:c>
      <x:c r="C1110" s="2" t="str">
        <x:v>United Kingdom</x:v>
      </x:c>
      <x:c r="D1110" s="25" t="n">
        <x:v>40800.393055555556</x:v>
      </x:c>
      <x:c r="E1110" s="25" t="n">
        <x:v>40868.138194444444</x:v>
      </x:c>
      <x:c r="F1110" s="2" t="n">
        <x:v>19</x:v>
      </x:c>
      <x:c r="G1110" s="2" t="n">
        <x:v>2</x:v>
      </x:c>
      <x:c r="H1110" s="11" t="n">
        <x:v>679.45</x:v>
      </x:c>
      <x:c r="I1110" s="2" t="n">
        <x:v>5</x:v>
      </x:c>
      <x:c r="J1110" s="2" t="n">
        <x:v>2</x:v>
      </x:c>
      <x:c r="K1110" s="2" t="n">
        <x:v>3</x:v>
      </x:c>
      <x:c r="L1110" s="2" t="str">
        <x:v>Recent light buyers</x:v>
      </x:c>
    </x:row>
    <x:row r="1111" ht="22" customHeight="1">
      <x:c r="A1111" s="2"/>
      <x:c r="B1111" s="2" t="str">
        <x:v>13431</x:v>
      </x:c>
      <x:c r="C1111" s="2" t="str">
        <x:v>United Kingdom</x:v>
      </x:c>
      <x:c r="D1111" s="25" t="n">
        <x:v>40227.28680555556</x:v>
      </x:c>
      <x:c r="E1111" s="25" t="n">
        <x:v>40819.36736111111</x:v>
      </x:c>
      <x:c r="F1111" s="2" t="n">
        <x:v>68</x:v>
      </x:c>
      <x:c r="G1111" s="2" t="n">
        <x:v>8</x:v>
      </x:c>
      <x:c r="H1111" s="11" t="n">
        <x:v>3316.24</x:v>
      </x:c>
      <x:c r="I1111" s="2" t="n">
        <x:v>3</x:v>
      </x:c>
      <x:c r="J1111" s="2" t="n">
        <x:v>4</x:v>
      </x:c>
      <x:c r="K1111" s="2" t="n">
        <x:v>5</x:v>
      </x:c>
      <x:c r="L1111" s="2" t="str">
        <x:v>Loyal</x:v>
      </x:c>
    </x:row>
    <x:row r="1112" ht="22" customHeight="1">
      <x:c r="A1112" s="2"/>
      <x:c r="B1112" s="2" t="str">
        <x:v>13432</x:v>
      </x:c>
      <x:c r="C1112" s="2" t="str">
        <x:v>United Kingdom</x:v>
      </x:c>
      <x:c r="D1112" s="25" t="n">
        <x:v>40274.40416666667</x:v>
      </x:c>
      <x:c r="E1112" s="25" t="n">
        <x:v>40315.34583333333</x:v>
      </x:c>
      <x:c r="F1112" s="2" t="n">
        <x:v>572</x:v>
      </x:c>
      <x:c r="G1112" s="2" t="n">
        <x:v>2</x:v>
      </x:c>
      <x:c r="H1112" s="11" t="n">
        <x:v>439.1</x:v>
      </x:c>
      <x:c r="I1112" s="2" t="n">
        <x:v>1</x:v>
      </x:c>
      <x:c r="J1112" s="2" t="n">
        <x:v>2</x:v>
      </x:c>
      <x:c r="K1112" s="2" t="n">
        <x:v>2</x:v>
      </x:c>
      <x:c r="L1112" s="2" t="str">
        <x:v>Hibernating</x:v>
      </x:c>
    </x:row>
    <x:row r="1113" ht="22" customHeight="1">
      <x:c r="A1113" s="2"/>
      <x:c r="B1113" s="2" t="str">
        <x:v>13433</x:v>
      </x:c>
      <x:c r="C1113" s="2" t="str">
        <x:v>United Kingdom</x:v>
      </x:c>
      <x:c r="D1113" s="25" t="n">
        <x:v>40190.165972222225</x:v>
      </x:c>
      <x:c r="E1113" s="25" t="n">
        <x:v>40385.49652777778</x:v>
      </x:c>
      <x:c r="F1113" s="2" t="n">
        <x:v>502</x:v>
      </x:c>
      <x:c r="G1113" s="2" t="n">
        <x:v>4</x:v>
      </x:c>
      <x:c r="H1113" s="11" t="n">
        <x:v>658.32</x:v>
      </x:c>
      <x:c r="I1113" s="2" t="n">
        <x:v>1</x:v>
      </x:c>
      <x:c r="J1113" s="2" t="n">
        <x:v>3</x:v>
      </x:c>
      <x:c r="K1113" s="2" t="n">
        <x:v>3</x:v>
      </x:c>
      <x:c r="L1113" s="2" t="str">
        <x:v>At risk</x:v>
      </x:c>
    </x:row>
    <x:row r="1114" ht="22" customHeight="1">
      <x:c r="A1114" s="2"/>
      <x:c r="B1114" s="2" t="str">
        <x:v>13434</x:v>
      </x:c>
      <x:c r="C1114" s="2" t="str">
        <x:v>United Kingdom</x:v>
      </x:c>
      <x:c r="D1114" s="25" t="n">
        <x:v>40231.20416666667</x:v>
      </x:c>
      <x:c r="E1114" s="25" t="n">
        <x:v>40812.395833333336</x:v>
      </x:c>
      <x:c r="F1114" s="2" t="n">
        <x:v>75</x:v>
      </x:c>
      <x:c r="G1114" s="2" t="n">
        <x:v>5</x:v>
      </x:c>
      <x:c r="H1114" s="11" t="n">
        <x:v>1666.86</x:v>
      </x:c>
      <x:c r="I1114" s="2" t="n">
        <x:v>3</x:v>
      </x:c>
      <x:c r="J1114" s="2" t="n">
        <x:v>4</x:v>
      </x:c>
      <x:c r="K1114" s="2" t="n">
        <x:v>4</x:v>
      </x:c>
      <x:c r="L1114" s="2" t="str">
        <x:v>Loyal</x:v>
      </x:c>
    </x:row>
    <x:row r="1115" ht="22" customHeight="1">
      <x:c r="A1115" s="2"/>
      <x:c r="B1115" s="2" t="str">
        <x:v>13435</x:v>
      </x:c>
      <x:c r="C1115" s="2" t="str">
        <x:v>United Kingdom</x:v>
      </x:c>
      <x:c r="D1115" s="25" t="n">
        <x:v>40386.49722222222</x:v>
      </x:c>
      <x:c r="E1115" s="25" t="n">
        <x:v>40881.40625</x:v>
      </x:c>
      <x:c r="F1115" s="2" t="n">
        <x:v>6</x:v>
      </x:c>
      <x:c r="G1115" s="2" t="n">
        <x:v>9</x:v>
      </x:c>
      <x:c r="H1115" s="11" t="n">
        <x:v>4475.23</x:v>
      </x:c>
      <x:c r="I1115" s="2" t="n">
        <x:v>5</x:v>
      </x:c>
      <x:c r="J1115" s="2" t="n">
        <x:v>5</x:v>
      </x:c>
      <x:c r="K1115" s="2" t="n">
        <x:v>5</x:v>
      </x:c>
      <x:c r="L1115" s="2" t="str">
        <x:v>Champions</x:v>
      </x:c>
    </x:row>
    <x:row r="1116" ht="22" customHeight="1">
      <x:c r="A1116" s="2"/>
      <x:c r="B1116" s="2" t="str">
        <x:v>13436</x:v>
      </x:c>
      <x:c r="C1116" s="2" t="str">
        <x:v>United Kingdom</x:v>
      </x:c>
      <x:c r="D1116" s="25" t="n">
        <x:v>40885.23125</x:v>
      </x:c>
      <x:c r="E1116" s="25" t="n">
        <x:v>40885.23125</x:v>
      </x:c>
      <x:c r="F1116" s="2" t="n">
        <x:v>2</x:v>
      </x:c>
      <x:c r="G1116" s="2" t="n">
        <x:v>1</x:v>
      </x:c>
      <x:c r="H1116" s="11" t="n">
        <x:v>196.89</x:v>
      </x:c>
      <x:c r="I1116" s="2" t="n">
        <x:v>5</x:v>
      </x:c>
      <x:c r="J1116" s="2" t="n">
        <x:v>1</x:v>
      </x:c>
      <x:c r="K1116" s="2" t="n">
        <x:v>1</x:v>
      </x:c>
      <x:c r="L1116" s="2" t="str">
        <x:v>Recent light buyers</x:v>
      </x:c>
    </x:row>
    <x:row r="1117" ht="22" customHeight="1">
      <x:c r="A1117" s="2"/>
      <x:c r="B1117" s="2" t="str">
        <x:v>13437</x:v>
      </x:c>
      <x:c r="C1117" s="2" t="str">
        <x:v>United Kingdom</x:v>
      </x:c>
      <x:c r="D1117" s="25" t="n">
        <x:v>40696.395833333336</x:v>
      </x:c>
      <x:c r="E1117" s="25" t="n">
        <x:v>40872.375</x:v>
      </x:c>
      <x:c r="F1117" s="2" t="n">
        <x:v>15</x:v>
      </x:c>
      <x:c r="G1117" s="2" t="n">
        <x:v>7</x:v>
      </x:c>
      <x:c r="H1117" s="11" t="n">
        <x:v>3408.06</x:v>
      </x:c>
      <x:c r="I1117" s="2" t="n">
        <x:v>5</x:v>
      </x:c>
      <x:c r="J1117" s="2" t="n">
        <x:v>4</x:v>
      </x:c>
      <x:c r="K1117" s="2" t="n">
        <x:v>5</x:v>
      </x:c>
      <x:c r="L1117" s="2" t="str">
        <x:v>Champions</x:v>
      </x:c>
    </x:row>
    <x:row r="1118" ht="22" customHeight="1">
      <x:c r="A1118" s="2"/>
      <x:c r="B1118" s="2" t="str">
        <x:v>13438</x:v>
      </x:c>
      <x:c r="C1118" s="2" t="str">
        <x:v>United Kingdom</x:v>
      </x:c>
      <x:c r="D1118" s="25" t="n">
        <x:v>40339.57361111111</x:v>
      </x:c>
      <x:c r="E1118" s="25" t="n">
        <x:v>40339.57361111111</x:v>
      </x:c>
      <x:c r="F1118" s="2" t="n">
        <x:v>548</x:v>
      </x:c>
      <x:c r="G1118" s="2" t="n">
        <x:v>1</x:v>
      </x:c>
      <x:c r="H1118" s="11" t="n">
        <x:v>46.5</x:v>
      </x:c>
      <x:c r="I1118" s="2" t="n">
        <x:v>1</x:v>
      </x:c>
      <x:c r="J1118" s="2" t="n">
        <x:v>1</x:v>
      </x:c>
      <x:c r="K1118" s="2" t="n">
        <x:v>1</x:v>
      </x:c>
      <x:c r="L1118" s="2" t="str">
        <x:v>Hibernating</x:v>
      </x:c>
    </x:row>
    <x:row r="1119" ht="22" customHeight="1">
      <x:c r="A1119" s="2"/>
      <x:c r="B1119" s="2" t="str">
        <x:v>13439</x:v>
      </x:c>
      <x:c r="C1119" s="2" t="str">
        <x:v>United Kingdom</x:v>
      </x:c>
      <x:c r="D1119" s="25" t="n">
        <x:v>40360.4</x:v>
      </x:c>
      <x:c r="E1119" s="25" t="n">
        <x:v>40631.38888888889</x:v>
      </x:c>
      <x:c r="F1119" s="2" t="n">
        <x:v>256</x:v>
      </x:c>
      <x:c r="G1119" s="2" t="n">
        <x:v>3</x:v>
      </x:c>
      <x:c r="H1119" s="11" t="n">
        <x:v>986.61</x:v>
      </x:c>
      <x:c r="I1119" s="2" t="n">
        <x:v>2</x:v>
      </x:c>
      <x:c r="J1119" s="2" t="n">
        <x:v>3</x:v>
      </x:c>
      <x:c r="K1119" s="2" t="n">
        <x:v>3</x:v>
      </x:c>
      <x:c r="L1119" s="2" t="str">
        <x:v>At risk</x:v>
      </x:c>
    </x:row>
    <x:row r="1120" ht="22" customHeight="1">
      <x:c r="A1120" s="2"/>
      <x:c r="B1120" s="2" t="str">
        <x:v>13440</x:v>
      </x:c>
      <x:c r="C1120" s="2" t="str">
        <x:v>United Kingdom</x:v>
      </x:c>
      <x:c r="D1120" s="25" t="n">
        <x:v>40435.231944444444</x:v>
      </x:c>
      <x:c r="E1120" s="25" t="n">
        <x:v>40463.34097222222</x:v>
      </x:c>
      <x:c r="F1120" s="2" t="n">
        <x:v>424</x:v>
      </x:c>
      <x:c r="G1120" s="2" t="n">
        <x:v>7</x:v>
      </x:c>
      <x:c r="H1120" s="11" t="n">
        <x:v>1295.25</x:v>
      </x:c>
      <x:c r="I1120" s="2" t="n">
        <x:v>1</x:v>
      </x:c>
      <x:c r="J1120" s="2" t="n">
        <x:v>4</x:v>
      </x:c>
      <x:c r="K1120" s="2" t="n">
        <x:v>4</x:v>
      </x:c>
      <x:c r="L1120" s="2" t="str">
        <x:v>At risk</x:v>
      </x:c>
    </x:row>
    <x:row r="1121" ht="22" customHeight="1">
      <x:c r="A1121" s="2"/>
      <x:c r="B1121" s="2" t="str">
        <x:v>13441</x:v>
      </x:c>
      <x:c r="C1121" s="2" t="str">
        <x:v>United Kingdom</x:v>
      </x:c>
      <x:c r="D1121" s="25" t="n">
        <x:v>40455.23472222222</x:v>
      </x:c>
      <x:c r="E1121" s="25" t="n">
        <x:v>40795.19305555556</x:v>
      </x:c>
      <x:c r="F1121" s="2" t="n">
        <x:v>92</x:v>
      </x:c>
      <x:c r="G1121" s="2" t="n">
        <x:v>2</x:v>
      </x:c>
      <x:c r="H1121" s="11" t="n">
        <x:v>720.9</x:v>
      </x:c>
      <x:c r="I1121" s="2" t="n">
        <x:v>3</x:v>
      </x:c>
      <x:c r="J1121" s="2" t="n">
        <x:v>2</x:v>
      </x:c>
      <x:c r="K1121" s="2" t="n">
        <x:v>3</x:v>
      </x:c>
      <x:c r="L1121" s="2" t="str">
        <x:v>Developing</x:v>
      </x:c>
    </x:row>
    <x:row r="1122" ht="22" customHeight="1">
      <x:c r="A1122" s="2"/>
      <x:c r="B1122" s="2" t="str">
        <x:v>13442</x:v>
      </x:c>
      <x:c r="C1122" s="2" t="str">
        <x:v>United Kingdom</x:v>
      </x:c>
      <x:c r="D1122" s="25" t="n">
        <x:v>40148.415972222225</x:v>
      </x:c>
      <x:c r="E1122" s="25" t="n">
        <x:v>40219.37708333333</x:v>
      </x:c>
      <x:c r="F1122" s="2" t="n">
        <x:v>668</x:v>
      </x:c>
      <x:c r="G1122" s="2" t="n">
        <x:v>3</x:v>
      </x:c>
      <x:c r="H1122" s="11" t="n">
        <x:v>419.87</x:v>
      </x:c>
      <x:c r="I1122" s="2" t="n">
        <x:v>1</x:v>
      </x:c>
      <x:c r="J1122" s="2" t="n">
        <x:v>3</x:v>
      </x:c>
      <x:c r="K1122" s="2" t="n">
        <x:v>2</x:v>
      </x:c>
      <x:c r="L1122" s="2" t="str">
        <x:v>At risk</x:v>
      </x:c>
    </x:row>
    <x:row r="1123" ht="22" customHeight="1">
      <x:c r="A1123" s="2"/>
      <x:c r="B1123" s="2" t="str">
        <x:v>13443</x:v>
      </x:c>
      <x:c r="C1123" s="2" t="str">
        <x:v>United Kingdom</x:v>
      </x:c>
      <x:c r="D1123" s="25" t="n">
        <x:v>40209.354166666664</x:v>
      </x:c>
      <x:c r="E1123" s="25" t="n">
        <x:v>40438.31319444445</x:v>
      </x:c>
      <x:c r="F1123" s="2" t="n">
        <x:v>449</x:v>
      </x:c>
      <x:c r="G1123" s="2" t="n">
        <x:v>6</x:v>
      </x:c>
      <x:c r="H1123" s="11" t="n">
        <x:v>1280.16</x:v>
      </x:c>
      <x:c r="I1123" s="2" t="n">
        <x:v>1</x:v>
      </x:c>
      <x:c r="J1123" s="2" t="n">
        <x:v>4</x:v>
      </x:c>
      <x:c r="K1123" s="2" t="n">
        <x:v>4</x:v>
      </x:c>
      <x:c r="L1123" s="2" t="str">
        <x:v>At risk</x:v>
      </x:c>
    </x:row>
    <x:row r="1124" ht="22" customHeight="1">
      <x:c r="A1124" s="2"/>
      <x:c r="B1124" s="2" t="str">
        <x:v>13444</x:v>
      </x:c>
      <x:c r="C1124" s="2" t="str">
        <x:v>United Kingdom</x:v>
      </x:c>
      <x:c r="D1124" s="25" t="n">
        <x:v>40380.39861111111</x:v>
      </x:c>
      <x:c r="E1124" s="25" t="n">
        <x:v>40512.33472222222</x:v>
      </x:c>
      <x:c r="F1124" s="2" t="n">
        <x:v>375</x:v>
      </x:c>
      <x:c r="G1124" s="2" t="n">
        <x:v>2</x:v>
      </x:c>
      <x:c r="H1124" s="11" t="n">
        <x:v>631.68</x:v>
      </x:c>
      <x:c r="I1124" s="2" t="n">
        <x:v>2</x:v>
      </x:c>
      <x:c r="J1124" s="2" t="n">
        <x:v>2</x:v>
      </x:c>
      <x:c r="K1124" s="2" t="n">
        <x:v>3</x:v>
      </x:c>
      <x:c r="L1124" s="2" t="str">
        <x:v>Hibernating</x:v>
      </x:c>
    </x:row>
    <x:row r="1125" ht="22" customHeight="1">
      <x:c r="A1125" s="2"/>
      <x:c r="B1125" s="2" t="str">
        <x:v>13445</x:v>
      </x:c>
      <x:c r="C1125" s="2" t="str">
        <x:v>United Kingdom</x:v>
      </x:c>
      <x:c r="D1125" s="25" t="n">
        <x:v>40260.44027777778</x:v>
      </x:c>
      <x:c r="E1125" s="25" t="n">
        <x:v>40260.44027777778</x:v>
      </x:c>
      <x:c r="F1125" s="2" t="n">
        <x:v>627</x:v>
      </x:c>
      <x:c r="G1125" s="2" t="n">
        <x:v>1</x:v>
      </x:c>
      <x:c r="H1125" s="11" t="n">
        <x:v>241.9</x:v>
      </x:c>
      <x:c r="I1125" s="2" t="n">
        <x:v>1</x:v>
      </x:c>
      <x:c r="J1125" s="2" t="n">
        <x:v>1</x:v>
      </x:c>
      <x:c r="K1125" s="2" t="n">
        <x:v>1</x:v>
      </x:c>
      <x:c r="L1125" s="2" t="str">
        <x:v>Hibernating</x:v>
      </x:c>
    </x:row>
    <x:row r="1126" ht="22" customHeight="1">
      <x:c r="A1126" s="2"/>
      <x:c r="B1126" s="2" t="str">
        <x:v>13446</x:v>
      </x:c>
      <x:c r="C1126" s="2" t="str">
        <x:v>United Kingdom</x:v>
      </x:c>
      <x:c r="D1126" s="25" t="n">
        <x:v>40223.28611111111</x:v>
      </x:c>
      <x:c r="E1126" s="25" t="n">
        <x:v>40456.57708333333</x:v>
      </x:c>
      <x:c r="F1126" s="2" t="n">
        <x:v>431</x:v>
      </x:c>
      <x:c r="G1126" s="2" t="n">
        <x:v>11</x:v>
      </x:c>
      <x:c r="H1126" s="11" t="n">
        <x:v>3881.89</x:v>
      </x:c>
      <x:c r="I1126" s="2" t="n">
        <x:v>1</x:v>
      </x:c>
      <x:c r="J1126" s="2" t="n">
        <x:v>5</x:v>
      </x:c>
      <x:c r="K1126" s="2" t="n">
        <x:v>5</x:v>
      </x:c>
      <x:c r="L1126" s="2" t="str">
        <x:v>At risk</x:v>
      </x:c>
    </x:row>
    <x:row r="1127" ht="22" customHeight="1">
      <x:c r="A1127" s="2"/>
      <x:c r="B1127" s="2" t="str">
        <x:v>13447</x:v>
      </x:c>
      <x:c r="C1127" s="2" t="str">
        <x:v>United Kingdom</x:v>
      </x:c>
      <x:c r="D1127" s="25" t="n">
        <x:v>40851.21527777778</x:v>
      </x:c>
      <x:c r="E1127" s="25" t="n">
        <x:v>40863.35972222222</x:v>
      </x:c>
      <x:c r="F1127" s="2" t="n">
        <x:v>24</x:v>
      </x:c>
      <x:c r="G1127" s="2" t="n">
        <x:v>3</x:v>
      </x:c>
      <x:c r="H1127" s="11" t="n">
        <x:v>1129.14</x:v>
      </x:c>
      <x:c r="I1127" s="2" t="n">
        <x:v>4</x:v>
      </x:c>
      <x:c r="J1127" s="2" t="n">
        <x:v>3</x:v>
      </x:c>
      <x:c r="K1127" s="2" t="n">
        <x:v>3</x:v>
      </x:c>
      <x:c r="L1127" s="2" t="str">
        <x:v>Loyal</x:v>
      </x:c>
    </x:row>
    <x:row r="1128" ht="22" customHeight="1">
      <x:c r="A1128" s="2"/>
      <x:c r="B1128" s="2" t="str">
        <x:v>13448</x:v>
      </x:c>
      <x:c r="C1128" s="2" t="str">
        <x:v>United Kingdom</x:v>
      </x:c>
      <x:c r="D1128" s="25" t="n">
        <x:v>40153.30138888889</x:v>
      </x:c>
      <x:c r="E1128" s="25" t="n">
        <x:v>40870.31458333333</x:v>
      </x:c>
      <x:c r="F1128" s="2" t="n">
        <x:v>17</x:v>
      </x:c>
      <x:c r="G1128" s="2" t="n">
        <x:v>13</x:v>
      </x:c>
      <x:c r="H1128" s="11" t="n">
        <x:v>8796.91</x:v>
      </x:c>
      <x:c r="I1128" s="2" t="n">
        <x:v>5</x:v>
      </x:c>
      <x:c r="J1128" s="2" t="n">
        <x:v>5</x:v>
      </x:c>
      <x:c r="K1128" s="2" t="n">
        <x:v>5</x:v>
      </x:c>
      <x:c r="L1128" s="2" t="str">
        <x:v>Champions</x:v>
      </x:c>
    </x:row>
    <x:row r="1129" ht="22" customHeight="1">
      <x:c r="A1129" s="2"/>
      <x:c r="B1129" s="2" t="str">
        <x:v>13449</x:v>
      </x:c>
      <x:c r="C1129" s="2" t="str">
        <x:v>United Kingdom</x:v>
      </x:c>
      <x:c r="D1129" s="25" t="n">
        <x:v>40863.14444444444</x:v>
      </x:c>
      <x:c r="E1129" s="25" t="n">
        <x:v>40863.14444444444</x:v>
      </x:c>
      <x:c r="F1129" s="2" t="n">
        <x:v>24</x:v>
      </x:c>
      <x:c r="G1129" s="2" t="n">
        <x:v>1</x:v>
      </x:c>
      <x:c r="H1129" s="11" t="n">
        <x:v>291.88</x:v>
      </x:c>
      <x:c r="I1129" s="2" t="n">
        <x:v>4</x:v>
      </x:c>
      <x:c r="J1129" s="2" t="n">
        <x:v>1</x:v>
      </x:c>
      <x:c r="K1129" s="2" t="n">
        <x:v>2</x:v>
      </x:c>
      <x:c r="L1129" s="2" t="str">
        <x:v>Recent light buyers</x:v>
      </x:c>
    </x:row>
    <x:row r="1130" ht="22" customHeight="1">
      <x:c r="A1130" s="2"/>
      <x:c r="B1130" s="2" t="str">
        <x:v>13450</x:v>
      </x:c>
      <x:c r="C1130" s="2" t="str">
        <x:v>United Kingdom</x:v>
      </x:c>
      <x:c r="D1130" s="25" t="n">
        <x:v>40283.59375</x:v>
      </x:c>
      <x:c r="E1130" s="25" t="n">
        <x:v>40860.2875</x:v>
      </x:c>
      <x:c r="F1130" s="2" t="n">
        <x:v>27</x:v>
      </x:c>
      <x:c r="G1130" s="2" t="n">
        <x:v>13</x:v>
      </x:c>
      <x:c r="H1130" s="11" t="n">
        <x:v>4120.04</x:v>
      </x:c>
      <x:c r="I1130" s="2" t="n">
        <x:v>4</x:v>
      </x:c>
      <x:c r="J1130" s="2" t="n">
        <x:v>5</x:v>
      </x:c>
      <x:c r="K1130" s="2" t="n">
        <x:v>5</x:v>
      </x:c>
      <x:c r="L1130" s="2" t="str">
        <x:v>Champions</x:v>
      </x:c>
    </x:row>
    <x:row r="1131" ht="22" customHeight="1">
      <x:c r="A1131" s="2"/>
      <x:c r="B1131" s="2" t="str">
        <x:v>13451</x:v>
      </x:c>
      <x:c r="C1131" s="2" t="str">
        <x:v>United Kingdom</x:v>
      </x:c>
      <x:c r="D1131" s="25" t="n">
        <x:v>40258.467361111114</x:v>
      </x:c>
      <x:c r="E1131" s="25" t="n">
        <x:v>40860.45694444444</x:v>
      </x:c>
      <x:c r="F1131" s="2" t="n">
        <x:v>27</x:v>
      </x:c>
      <x:c r="G1131" s="2" t="n">
        <x:v>11</x:v>
      </x:c>
      <x:c r="H1131" s="11" t="n">
        <x:v>7190.92</x:v>
      </x:c>
      <x:c r="I1131" s="2" t="n">
        <x:v>4</x:v>
      </x:c>
      <x:c r="J1131" s="2" t="n">
        <x:v>5</x:v>
      </x:c>
      <x:c r="K1131" s="2" t="n">
        <x:v>5</x:v>
      </x:c>
      <x:c r="L1131" s="2" t="str">
        <x:v>Champions</x:v>
      </x:c>
    </x:row>
    <x:row r="1132" ht="22" customHeight="1">
      <x:c r="A1132" s="2"/>
      <x:c r="B1132" s="2" t="str">
        <x:v>13452</x:v>
      </x:c>
      <x:c r="C1132" s="2" t="str">
        <x:v>United Kingdom</x:v>
      </x:c>
      <x:c r="D1132" s="25" t="n">
        <x:v>40414.20347222222</x:v>
      </x:c>
      <x:c r="E1132" s="25" t="n">
        <x:v>40627.388194444444</x:v>
      </x:c>
      <x:c r="F1132" s="2" t="n">
        <x:v>260</x:v>
      </x:c>
      <x:c r="G1132" s="2" t="n">
        <x:v>3</x:v>
      </x:c>
      <x:c r="H1132" s="11" t="n">
        <x:v>729.8</x:v>
      </x:c>
      <x:c r="I1132" s="2" t="n">
        <x:v>2</x:v>
      </x:c>
      <x:c r="J1132" s="2" t="n">
        <x:v>3</x:v>
      </x:c>
      <x:c r="K1132" s="2" t="n">
        <x:v>3</x:v>
      </x:c>
      <x:c r="L1132" s="2" t="str">
        <x:v>At risk</x:v>
      </x:c>
    </x:row>
    <x:row r="1133" ht="22" customHeight="1">
      <x:c r="A1133" s="2"/>
      <x:c r="B1133" s="2" t="str">
        <x:v>13453</x:v>
      </x:c>
      <x:c r="C1133" s="2" t="str">
        <x:v>United Kingdom</x:v>
      </x:c>
      <x:c r="D1133" s="25" t="n">
        <x:v>40484.34930555556</x:v>
      </x:c>
      <x:c r="E1133" s="25" t="n">
        <x:v>40721.19027777778</x:v>
      </x:c>
      <x:c r="F1133" s="2" t="n">
        <x:v>166</x:v>
      </x:c>
      <x:c r="G1133" s="2" t="n">
        <x:v>3</x:v>
      </x:c>
      <x:c r="H1133" s="11" t="n">
        <x:v>781.69</x:v>
      </x:c>
      <x:c r="I1133" s="2" t="n">
        <x:v>3</x:v>
      </x:c>
      <x:c r="J1133" s="2" t="n">
        <x:v>3</x:v>
      </x:c>
      <x:c r="K1133" s="2" t="n">
        <x:v>3</x:v>
      </x:c>
      <x:c r="L1133" s="2" t="str">
        <x:v>Loyal</x:v>
      </x:c>
    </x:row>
    <x:row r="1134" ht="22" customHeight="1">
      <x:c r="A1134" s="2"/>
      <x:c r="B1134" s="2" t="str">
        <x:v>13454</x:v>
      </x:c>
      <x:c r="C1134" s="2" t="str">
        <x:v>United Kingdom</x:v>
      </x:c>
      <x:c r="D1134" s="25" t="n">
        <x:v>40245.40277777778</x:v>
      </x:c>
      <x:c r="E1134" s="25" t="n">
        <x:v>40245.40277777778</x:v>
      </x:c>
      <x:c r="F1134" s="2" t="n">
        <x:v>642</x:v>
      </x:c>
      <x:c r="G1134" s="2" t="n">
        <x:v>1</x:v>
      </x:c>
      <x:c r="H1134" s="11" t="n">
        <x:v>219.87</x:v>
      </x:c>
      <x:c r="I1134" s="2" t="n">
        <x:v>1</x:v>
      </x:c>
      <x:c r="J1134" s="2" t="n">
        <x:v>1</x:v>
      </x:c>
      <x:c r="K1134" s="2" t="n">
        <x:v>1</x:v>
      </x:c>
      <x:c r="L1134" s="2" t="str">
        <x:v>Hibernating</x:v>
      </x:c>
    </x:row>
    <x:row r="1135" ht="22" customHeight="1">
      <x:c r="A1135" s="2"/>
      <x:c r="B1135" s="2" t="str">
        <x:v>13455</x:v>
      </x:c>
      <x:c r="C1135" s="2" t="str">
        <x:v>United Kingdom</x:v>
      </x:c>
      <x:c r="D1135" s="25" t="n">
        <x:v>40156.16527777778</x:v>
      </x:c>
      <x:c r="E1135" s="25" t="n">
        <x:v>40862.26458333333</x:v>
      </x:c>
      <x:c r="F1135" s="2" t="n">
        <x:v>25</x:v>
      </x:c>
      <x:c r="G1135" s="2" t="n">
        <x:v>6</x:v>
      </x:c>
      <x:c r="H1135" s="11" t="n">
        <x:v>2212.99</x:v>
      </x:c>
      <x:c r="I1135" s="2" t="n">
        <x:v>4</x:v>
      </x:c>
      <x:c r="J1135" s="2" t="n">
        <x:v>4</x:v>
      </x:c>
      <x:c r="K1135" s="2" t="n">
        <x:v>4</x:v>
      </x:c>
      <x:c r="L1135" s="2" t="str">
        <x:v>Champions</x:v>
      </x:c>
    </x:row>
    <x:row r="1136" ht="22" customHeight="1">
      <x:c r="A1136" s="2"/>
      <x:c r="B1136" s="2" t="str">
        <x:v>13456</x:v>
      </x:c>
      <x:c r="C1136" s="2" t="str">
        <x:v>United Kingdom</x:v>
      </x:c>
      <x:c r="D1136" s="25" t="n">
        <x:v>40679.44027777778</x:v>
      </x:c>
      <x:c r="E1136" s="25" t="n">
        <x:v>40869.17916666667</x:v>
      </x:c>
      <x:c r="F1136" s="2" t="n">
        <x:v>18</x:v>
      </x:c>
      <x:c r="G1136" s="2" t="n">
        <x:v>6</x:v>
      </x:c>
      <x:c r="H1136" s="11" t="n">
        <x:v>1766.72</x:v>
      </x:c>
      <x:c r="I1136" s="2" t="n">
        <x:v>5</x:v>
      </x:c>
      <x:c r="J1136" s="2" t="n">
        <x:v>4</x:v>
      </x:c>
      <x:c r="K1136" s="2" t="n">
        <x:v>4</x:v>
      </x:c>
      <x:c r="L1136" s="2" t="str">
        <x:v>Champions</x:v>
      </x:c>
    </x:row>
    <x:row r="1137" ht="22" customHeight="1">
      <x:c r="A1137" s="2"/>
      <x:c r="B1137" s="2" t="str">
        <x:v>13457</x:v>
      </x:c>
      <x:c r="C1137" s="2" t="str">
        <x:v>United Kingdom</x:v>
      </x:c>
      <x:c r="D1137" s="25" t="n">
        <x:v>40149.32361111111</x:v>
      </x:c>
      <x:c r="E1137" s="25" t="n">
        <x:v>40198.15833333333</x:v>
      </x:c>
      <x:c r="F1137" s="2" t="n">
        <x:v>689</x:v>
      </x:c>
      <x:c r="G1137" s="2" t="n">
        <x:v>2</x:v>
      </x:c>
      <x:c r="H1137" s="11" t="n">
        <x:v>148.22</x:v>
      </x:c>
      <x:c r="I1137" s="2" t="n">
        <x:v>1</x:v>
      </x:c>
      <x:c r="J1137" s="2" t="n">
        <x:v>2</x:v>
      </x:c>
      <x:c r="K1137" s="2" t="n">
        <x:v>1</x:v>
      </x:c>
      <x:c r="L1137" s="2" t="str">
        <x:v>Hibernating</x:v>
      </x:c>
    </x:row>
    <x:row r="1138" ht="22" customHeight="1">
      <x:c r="A1138" s="2"/>
      <x:c r="B1138" s="2" t="str">
        <x:v>13458</x:v>
      </x:c>
      <x:c r="C1138" s="2" t="str">
        <x:v>United Kingdom</x:v>
      </x:c>
      <x:c r="D1138" s="25" t="n">
        <x:v>40498.37569444445</x:v>
      </x:c>
      <x:c r="E1138" s="25" t="n">
        <x:v>40879.43680555555</x:v>
      </x:c>
      <x:c r="F1138" s="2" t="n">
        <x:v>8</x:v>
      </x:c>
      <x:c r="G1138" s="2" t="n">
        <x:v>16</x:v>
      </x:c>
      <x:c r="H1138" s="11" t="n">
        <x:v>11959.27</x:v>
      </x:c>
      <x:c r="I1138" s="2" t="n">
        <x:v>5</x:v>
      </x:c>
      <x:c r="J1138" s="2" t="n">
        <x:v>5</x:v>
      </x:c>
      <x:c r="K1138" s="2" t="n">
        <x:v>5</x:v>
      </x:c>
      <x:c r="L1138" s="2" t="str">
        <x:v>Champions</x:v>
      </x:c>
    </x:row>
    <x:row r="1139" ht="22" customHeight="1">
      <x:c r="A1139" s="2"/>
      <x:c r="B1139" s="2" t="str">
        <x:v>13459</x:v>
      </x:c>
      <x:c r="C1139" s="2" t="str">
        <x:v>United Kingdom</x:v>
      </x:c>
      <x:c r="D1139" s="25" t="n">
        <x:v>40204.35763888889</x:v>
      </x:c>
      <x:c r="E1139" s="25" t="n">
        <x:v>40262.225</x:v>
      </x:c>
      <x:c r="F1139" s="2" t="n">
        <x:v>625</x:v>
      </x:c>
      <x:c r="G1139" s="2" t="n">
        <x:v>2</x:v>
      </x:c>
      <x:c r="H1139" s="11" t="n">
        <x:v>1160.41</x:v>
      </x:c>
      <x:c r="I1139" s="2" t="n">
        <x:v>1</x:v>
      </x:c>
      <x:c r="J1139" s="2" t="n">
        <x:v>2</x:v>
      </x:c>
      <x:c r="K1139" s="2" t="n">
        <x:v>3</x:v>
      </x:c>
      <x:c r="L1139" s="2" t="str">
        <x:v>Hibernating</x:v>
      </x:c>
    </x:row>
    <x:row r="1140" ht="22" customHeight="1">
      <x:c r="A1140" s="2"/>
      <x:c r="B1140" s="2" t="str">
        <x:v>13460</x:v>
      </x:c>
      <x:c r="C1140" s="2" t="str">
        <x:v>United Kingdom</x:v>
      </x:c>
      <x:c r="D1140" s="25" t="n">
        <x:v>40837.20138888889</x:v>
      </x:c>
      <x:c r="E1140" s="25" t="n">
        <x:v>40857.51180555556</x:v>
      </x:c>
      <x:c r="F1140" s="2" t="n">
        <x:v>30</x:v>
      </x:c>
      <x:c r="G1140" s="2" t="n">
        <x:v>2</x:v>
      </x:c>
      <x:c r="H1140" s="11" t="n">
        <x:v>183.44</x:v>
      </x:c>
      <x:c r="I1140" s="2" t="n">
        <x:v>4</x:v>
      </x:c>
      <x:c r="J1140" s="2" t="n">
        <x:v>2</x:v>
      </x:c>
      <x:c r="K1140" s="2" t="n">
        <x:v>1</x:v>
      </x:c>
      <x:c r="L1140" s="2" t="str">
        <x:v>Recent light buyers</x:v>
      </x:c>
    </x:row>
    <x:row r="1141" ht="22" customHeight="1">
      <x:c r="A1141" s="2"/>
      <x:c r="B1141" s="2" t="str">
        <x:v>13461</x:v>
      </x:c>
      <x:c r="C1141" s="2" t="str">
        <x:v>United Kingdom</x:v>
      </x:c>
      <x:c r="D1141" s="25" t="n">
        <x:v>40289.459027777775</x:v>
      </x:c>
      <x:c r="E1141" s="25" t="n">
        <x:v>40848.16736111111</x:v>
      </x:c>
      <x:c r="F1141" s="2" t="n">
        <x:v>39</x:v>
      </x:c>
      <x:c r="G1141" s="2" t="n">
        <x:v>6</x:v>
      </x:c>
      <x:c r="H1141" s="11" t="n">
        <x:v>4160</x:v>
      </x:c>
      <x:c r="I1141" s="2" t="n">
        <x:v>4</x:v>
      </x:c>
      <x:c r="J1141" s="2" t="n">
        <x:v>4</x:v>
      </x:c>
      <x:c r="K1141" s="2" t="n">
        <x:v>5</x:v>
      </x:c>
      <x:c r="L1141" s="2" t="str">
        <x:v>Champions</x:v>
      </x:c>
    </x:row>
    <x:row r="1142" ht="22" customHeight="1">
      <x:c r="A1142" s="2"/>
      <x:c r="B1142" s="2" t="str">
        <x:v>13462</x:v>
      </x:c>
      <x:c r="C1142" s="2" t="str">
        <x:v>United Kingdom</x:v>
      </x:c>
      <x:c r="D1142" s="25" t="n">
        <x:v>40161.2</x:v>
      </x:c>
      <x:c r="E1142" s="25" t="n">
        <x:v>40634.26388888889</x:v>
      </x:c>
      <x:c r="F1142" s="2" t="n">
        <x:v>253</x:v>
      </x:c>
      <x:c r="G1142" s="2" t="n">
        <x:v>5</x:v>
      </x:c>
      <x:c r="H1142" s="11" t="n">
        <x:v>1153.85</x:v>
      </x:c>
      <x:c r="I1142" s="2" t="n">
        <x:v>2</x:v>
      </x:c>
      <x:c r="J1142" s="2" t="n">
        <x:v>4</x:v>
      </x:c>
      <x:c r="K1142" s="2" t="n">
        <x:v>3</x:v>
      </x:c>
      <x:c r="L1142" s="2" t="str">
        <x:v>At risk</x:v>
      </x:c>
    </x:row>
    <x:row r="1143" ht="22" customHeight="1">
      <x:c r="A1143" s="2"/>
      <x:c r="B1143" s="2" t="str">
        <x:v>13464</x:v>
      </x:c>
      <x:c r="C1143" s="2" t="str">
        <x:v>United Kingdom</x:v>
      </x:c>
      <x:c r="D1143" s="25" t="n">
        <x:v>40268.43194444444</x:v>
      </x:c>
      <x:c r="E1143" s="25" t="n">
        <x:v>40828.41736111111</x:v>
      </x:c>
      <x:c r="F1143" s="2" t="n">
        <x:v>59</x:v>
      </x:c>
      <x:c r="G1143" s="2" t="n">
        <x:v>6</x:v>
      </x:c>
      <x:c r="H1143" s="11" t="n">
        <x:v>3097.64</x:v>
      </x:c>
      <x:c r="I1143" s="2" t="n">
        <x:v>4</x:v>
      </x:c>
      <x:c r="J1143" s="2" t="n">
        <x:v>4</x:v>
      </x:c>
      <x:c r="K1143" s="2" t="n">
        <x:v>5</x:v>
      </x:c>
      <x:c r="L1143" s="2" t="str">
        <x:v>Champions</x:v>
      </x:c>
    </x:row>
    <x:row r="1144" ht="22" customHeight="1">
      <x:c r="A1144" s="2"/>
      <x:c r="B1144" s="2" t="str">
        <x:v>13465</x:v>
      </x:c>
      <x:c r="C1144" s="2" t="str">
        <x:v>United Kingdom</x:v>
      </x:c>
      <x:c r="D1144" s="25" t="n">
        <x:v>40300.4375</x:v>
      </x:c>
      <x:c r="E1144" s="25" t="n">
        <x:v>40440.42569444444</x:v>
      </x:c>
      <x:c r="F1144" s="2" t="n">
        <x:v>447</x:v>
      </x:c>
      <x:c r="G1144" s="2" t="n">
        <x:v>2</x:v>
      </x:c>
      <x:c r="H1144" s="11" t="n">
        <x:v>931.12</x:v>
      </x:c>
      <x:c r="I1144" s="2" t="n">
        <x:v>1</x:v>
      </x:c>
      <x:c r="J1144" s="2" t="n">
        <x:v>2</x:v>
      </x:c>
      <x:c r="K1144" s="2" t="n">
        <x:v>3</x:v>
      </x:c>
      <x:c r="L1144" s="2" t="str">
        <x:v>Hibernating</x:v>
      </x:c>
    </x:row>
    <x:row r="1145" ht="22" customHeight="1">
      <x:c r="A1145" s="2"/>
      <x:c r="B1145" s="2" t="str">
        <x:v>13466</x:v>
      </x:c>
      <x:c r="C1145" s="2" t="str">
        <x:v>United Kingdom</x:v>
      </x:c>
      <x:c r="D1145" s="25" t="n">
        <x:v>40258.368055555555</x:v>
      </x:c>
      <x:c r="E1145" s="25" t="n">
        <x:v>40702.48541666667</x:v>
      </x:c>
      <x:c r="F1145" s="2" t="n">
        <x:v>185</x:v>
      </x:c>
      <x:c r="G1145" s="2" t="n">
        <x:v>5</x:v>
      </x:c>
      <x:c r="H1145" s="11" t="n">
        <x:v>1013.35</x:v>
      </x:c>
      <x:c r="I1145" s="2" t="n">
        <x:v>3</x:v>
      </x:c>
      <x:c r="J1145" s="2" t="n">
        <x:v>4</x:v>
      </x:c>
      <x:c r="K1145" s="2" t="n">
        <x:v>3</x:v>
      </x:c>
      <x:c r="L1145" s="2" t="str">
        <x:v>Loyal</x:v>
      </x:c>
    </x:row>
    <x:row r="1146" ht="22" customHeight="1">
      <x:c r="A1146" s="2"/>
      <x:c r="B1146" s="2" t="str">
        <x:v>13467</x:v>
      </x:c>
      <x:c r="C1146" s="2" t="str">
        <x:v>United Kingdom</x:v>
      </x:c>
      <x:c r="D1146" s="25" t="n">
        <x:v>40850.49722222222</x:v>
      </x:c>
      <x:c r="E1146" s="25" t="n">
        <x:v>40876.209027777775</x:v>
      </x:c>
      <x:c r="F1146" s="2" t="n">
        <x:v>11</x:v>
      </x:c>
      <x:c r="G1146" s="2" t="n">
        <x:v>2</x:v>
      </x:c>
      <x:c r="H1146" s="11" t="n">
        <x:v>1083.71</x:v>
      </x:c>
      <x:c r="I1146" s="2" t="n">
        <x:v>5</x:v>
      </x:c>
      <x:c r="J1146" s="2" t="n">
        <x:v>2</x:v>
      </x:c>
      <x:c r="K1146" s="2" t="n">
        <x:v>3</x:v>
      </x:c>
      <x:c r="L1146" s="2" t="str">
        <x:v>Recent light buyers</x:v>
      </x:c>
    </x:row>
    <x:row r="1147" ht="22" customHeight="1">
      <x:c r="A1147" s="2"/>
      <x:c r="B1147" s="2" t="str">
        <x:v>13468</x:v>
      </x:c>
      <x:c r="C1147" s="2" t="str">
        <x:v>United Kingdom</x:v>
      </x:c>
      <x:c r="D1147" s="25" t="n">
        <x:v>40150.35555555556</x:v>
      </x:c>
      <x:c r="E1147" s="25" t="n">
        <x:v>40885.23541666667</x:v>
      </x:c>
      <x:c r="F1147" s="2" t="n">
        <x:v>2</x:v>
      </x:c>
      <x:c r="G1147" s="2" t="n">
        <x:v>72</x:v>
      </x:c>
      <x:c r="H1147" s="11" t="n">
        <x:v>12808.28</x:v>
      </x:c>
      <x:c r="I1147" s="2" t="n">
        <x:v>5</x:v>
      </x:c>
      <x:c r="J1147" s="2" t="n">
        <x:v>5</x:v>
      </x:c>
      <x:c r="K1147" s="2" t="n">
        <x:v>5</x:v>
      </x:c>
      <x:c r="L1147" s="2" t="str">
        <x:v>Champions</x:v>
      </x:c>
    </x:row>
    <x:row r="1148" ht="22" customHeight="1">
      <x:c r="A1148" s="2"/>
      <x:c r="B1148" s="2" t="str">
        <x:v>13469</x:v>
      </x:c>
      <x:c r="C1148" s="2" t="str">
        <x:v>United Kingdom</x:v>
      </x:c>
      <x:c r="D1148" s="25" t="n">
        <x:v>40233.41875</x:v>
      </x:c>
      <x:c r="E1148" s="25" t="n">
        <x:v>40233.41875</x:v>
      </x:c>
      <x:c r="F1148" s="2" t="n">
        <x:v>654</x:v>
      </x:c>
      <x:c r="G1148" s="2" t="n">
        <x:v>1</x:v>
      </x:c>
      <x:c r="H1148" s="11" t="n">
        <x:v>82.4</x:v>
      </x:c>
      <x:c r="I1148" s="2" t="n">
        <x:v>1</x:v>
      </x:c>
      <x:c r="J1148" s="2" t="n">
        <x:v>1</x:v>
      </x:c>
      <x:c r="K1148" s="2" t="n">
        <x:v>1</x:v>
      </x:c>
      <x:c r="L1148" s="2" t="str">
        <x:v>Hibernating</x:v>
      </x:c>
    </x:row>
    <x:row r="1149" ht="22" customHeight="1">
      <x:c r="A1149" s="2"/>
      <x:c r="B1149" s="2" t="str">
        <x:v>13470</x:v>
      </x:c>
      <x:c r="C1149" s="2" t="str">
        <x:v>United Kingdom</x:v>
      </x:c>
      <x:c r="D1149" s="25" t="n">
        <x:v>40771.504166666666</x:v>
      </x:c>
      <x:c r="E1149" s="25" t="n">
        <x:v>40787.41458333333</x:v>
      </x:c>
      <x:c r="F1149" s="2" t="n">
        <x:v>100</x:v>
      </x:c>
      <x:c r="G1149" s="2" t="n">
        <x:v>2</x:v>
      </x:c>
      <x:c r="H1149" s="11" t="n">
        <x:v>165</x:v>
      </x:c>
      <x:c r="I1149" s="2" t="n">
        <x:v>3</x:v>
      </x:c>
      <x:c r="J1149" s="2" t="n">
        <x:v>2</x:v>
      </x:c>
      <x:c r="K1149" s="2" t="n">
        <x:v>1</x:v>
      </x:c>
      <x:c r="L1149" s="2" t="str">
        <x:v>Developing</x:v>
      </x:c>
    </x:row>
    <x:row r="1150" ht="22" customHeight="1">
      <x:c r="A1150" s="2"/>
      <x:c r="B1150" s="2" t="str">
        <x:v>13471</x:v>
      </x:c>
      <x:c r="C1150" s="2" t="str">
        <x:v>United Kingdom</x:v>
      </x:c>
      <x:c r="D1150" s="25" t="n">
        <x:v>40839.34027777778</x:v>
      </x:c>
      <x:c r="E1150" s="25" t="n">
        <x:v>40885.447222222225</x:v>
      </x:c>
      <x:c r="F1150" s="2" t="n">
        <x:v>2</x:v>
      </x:c>
      <x:c r="G1150" s="2" t="n">
        <x:v>4</x:v>
      </x:c>
      <x:c r="H1150" s="11" t="n">
        <x:v>2531.58</x:v>
      </x:c>
      <x:c r="I1150" s="2" t="n">
        <x:v>5</x:v>
      </x:c>
      <x:c r="J1150" s="2" t="n">
        <x:v>3</x:v>
      </x:c>
      <x:c r="K1150" s="2" t="n">
        <x:v>4</x:v>
      </x:c>
      <x:c r="L1150" s="2" t="str">
        <x:v>Loyal</x:v>
      </x:c>
    </x:row>
    <x:row r="1151" ht="22" customHeight="1">
      <x:c r="A1151" s="2"/>
      <x:c r="B1151" s="2" t="str">
        <x:v>13472</x:v>
      </x:c>
      <x:c r="C1151" s="2" t="str">
        <x:v>United Kingdom</x:v>
      </x:c>
      <x:c r="D1151" s="25" t="n">
        <x:v>40331.2</x:v>
      </x:c>
      <x:c r="E1151" s="25" t="n">
        <x:v>40423.19513888889</x:v>
      </x:c>
      <x:c r="F1151" s="2" t="n">
        <x:v>464</x:v>
      </x:c>
      <x:c r="G1151" s="2" t="n">
        <x:v>2</x:v>
      </x:c>
      <x:c r="H1151" s="11" t="n">
        <x:v>592.24</x:v>
      </x:c>
      <x:c r="I1151" s="2" t="n">
        <x:v>1</x:v>
      </x:c>
      <x:c r="J1151" s="2" t="n">
        <x:v>2</x:v>
      </x:c>
      <x:c r="K1151" s="2" t="n">
        <x:v>2</x:v>
      </x:c>
      <x:c r="L1151" s="2" t="str">
        <x:v>Hibernating</x:v>
      </x:c>
    </x:row>
    <x:row r="1152" ht="22" customHeight="1">
      <x:c r="A1152" s="2"/>
      <x:c r="B1152" s="2" t="str">
        <x:v>13473</x:v>
      </x:c>
      <x:c r="C1152" s="2" t="str">
        <x:v>United Kingdom</x:v>
      </x:c>
      <x:c r="D1152" s="25" t="n">
        <x:v>40162.58472222222</x:v>
      </x:c>
      <x:c r="E1152" s="25" t="n">
        <x:v>40826.26388888889</x:v>
      </x:c>
      <x:c r="F1152" s="2" t="n">
        <x:v>61</x:v>
      </x:c>
      <x:c r="G1152" s="2" t="n">
        <x:v>8</x:v>
      </x:c>
      <x:c r="H1152" s="11" t="n">
        <x:v>2657.76</x:v>
      </x:c>
      <x:c r="I1152" s="2" t="n">
        <x:v>3</x:v>
      </x:c>
      <x:c r="J1152" s="2" t="n">
        <x:v>4</x:v>
      </x:c>
      <x:c r="K1152" s="2" t="n">
        <x:v>4</x:v>
      </x:c>
      <x:c r="L1152" s="2" t="str">
        <x:v>Loyal</x:v>
      </x:c>
    </x:row>
    <x:row r="1153" ht="22" customHeight="1">
      <x:c r="A1153" s="2"/>
      <x:c r="B1153" s="2" t="str">
        <x:v>13474</x:v>
      </x:c>
      <x:c r="C1153" s="2" t="str">
        <x:v>United Kingdom</x:v>
      </x:c>
      <x:c r="D1153" s="25" t="n">
        <x:v>40391.40277777778</x:v>
      </x:c>
      <x:c r="E1153" s="25" t="n">
        <x:v>40650.37013888889</x:v>
      </x:c>
      <x:c r="F1153" s="2" t="n">
        <x:v>237</x:v>
      </x:c>
      <x:c r="G1153" s="2" t="n">
        <x:v>3</x:v>
      </x:c>
      <x:c r="H1153" s="11" t="n">
        <x:v>663.79</x:v>
      </x:c>
      <x:c r="I1153" s="2" t="n">
        <x:v>2</x:v>
      </x:c>
      <x:c r="J1153" s="2" t="n">
        <x:v>3</x:v>
      </x:c>
      <x:c r="K1153" s="2" t="n">
        <x:v>3</x:v>
      </x:c>
      <x:c r="L1153" s="2" t="str">
        <x:v>At risk</x:v>
      </x:c>
    </x:row>
    <x:row r="1154" ht="22" customHeight="1">
      <x:c r="A1154" s="2"/>
      <x:c r="B1154" s="2" t="str">
        <x:v>13475</x:v>
      </x:c>
      <x:c r="C1154" s="2" t="str">
        <x:v>United Kingdom</x:v>
      </x:c>
      <x:c r="D1154" s="25" t="n">
        <x:v>40588.316666666666</x:v>
      </x:c>
      <x:c r="E1154" s="25" t="n">
        <x:v>40695.36944444444</x:v>
      </x:c>
      <x:c r="F1154" s="2" t="n">
        <x:v>192</x:v>
      </x:c>
      <x:c r="G1154" s="2" t="n">
        <x:v>4</x:v>
      </x:c>
      <x:c r="H1154" s="11" t="n">
        <x:v>1431.78</x:v>
      </x:c>
      <x:c r="I1154" s="2" t="n">
        <x:v>2</x:v>
      </x:c>
      <x:c r="J1154" s="2" t="n">
        <x:v>3</x:v>
      </x:c>
      <x:c r="K1154" s="2" t="n">
        <x:v>4</x:v>
      </x:c>
      <x:c r="L1154" s="2" t="str">
        <x:v>At risk</x:v>
      </x:c>
    </x:row>
    <x:row r="1155" ht="22" customHeight="1">
      <x:c r="A1155" s="2"/>
      <x:c r="B1155" s="2" t="str">
        <x:v>13476</x:v>
      </x:c>
      <x:c r="C1155" s="2" t="str">
        <x:v>United Kingdom</x:v>
      </x:c>
      <x:c r="D1155" s="25" t="n">
        <x:v>40242.19375</x:v>
      </x:c>
      <x:c r="E1155" s="25" t="n">
        <x:v>40708.291666666664</x:v>
      </x:c>
      <x:c r="F1155" s="2" t="n">
        <x:v>179</x:v>
      </x:c>
      <x:c r="G1155" s="2" t="n">
        <x:v>5</x:v>
      </x:c>
      <x:c r="H1155" s="11" t="n">
        <x:v>2061.47</x:v>
      </x:c>
      <x:c r="I1155" s="2" t="n">
        <x:v>3</x:v>
      </x:c>
      <x:c r="J1155" s="2" t="n">
        <x:v>4</x:v>
      </x:c>
      <x:c r="K1155" s="2" t="n">
        <x:v>4</x:v>
      </x:c>
      <x:c r="L1155" s="2" t="str">
        <x:v>Loyal</x:v>
      </x:c>
    </x:row>
    <x:row r="1156" ht="22" customHeight="1">
      <x:c r="A1156" s="2"/>
      <x:c r="B1156" s="2" t="str">
        <x:v>13477</x:v>
      </x:c>
      <x:c r="C1156" s="2" t="str">
        <x:v>United Kingdom</x:v>
      </x:c>
      <x:c r="D1156" s="25" t="n">
        <x:v>40203.28611111111</x:v>
      </x:c>
      <x:c r="E1156" s="25" t="n">
        <x:v>40849.294444444444</x:v>
      </x:c>
      <x:c r="F1156" s="2" t="n">
        <x:v>38</x:v>
      </x:c>
      <x:c r="G1156" s="2" t="n">
        <x:v>11</x:v>
      </x:c>
      <x:c r="H1156" s="11" t="n">
        <x:v>2834.17</x:v>
      </x:c>
      <x:c r="I1156" s="2" t="n">
        <x:v>4</x:v>
      </x:c>
      <x:c r="J1156" s="2" t="n">
        <x:v>5</x:v>
      </x:c>
      <x:c r="K1156" s="2" t="n">
        <x:v>4</x:v>
      </x:c>
      <x:c r="L1156" s="2" t="str">
        <x:v>Champions</x:v>
      </x:c>
    </x:row>
    <x:row r="1157" ht="22" customHeight="1">
      <x:c r="A1157" s="2"/>
      <x:c r="B1157" s="2" t="str">
        <x:v>13478</x:v>
      </x:c>
      <x:c r="C1157" s="2" t="str">
        <x:v>United Kingdom</x:v>
      </x:c>
      <x:c r="D1157" s="25" t="n">
        <x:v>40209.45208333333</x:v>
      </x:c>
      <x:c r="E1157" s="25" t="n">
        <x:v>40417.34930555556</x:v>
      </x:c>
      <x:c r="F1157" s="2" t="n">
        <x:v>470</x:v>
      </x:c>
      <x:c r="G1157" s="2" t="n">
        <x:v>5</x:v>
      </x:c>
      <x:c r="H1157" s="11" t="n">
        <x:v>2215.78</x:v>
      </x:c>
      <x:c r="I1157" s="2" t="n">
        <x:v>1</x:v>
      </x:c>
      <x:c r="J1157" s="2" t="n">
        <x:v>4</x:v>
      </x:c>
      <x:c r="K1157" s="2" t="n">
        <x:v>4</x:v>
      </x:c>
      <x:c r="L1157" s="2" t="str">
        <x:v>At risk</x:v>
      </x:c>
    </x:row>
    <x:row r="1158" ht="22" customHeight="1">
      <x:c r="A1158" s="2"/>
      <x:c r="B1158" s="2" t="str">
        <x:v>13479</x:v>
      </x:c>
      <x:c r="C1158" s="2" t="str">
        <x:v>United Kingdom</x:v>
      </x:c>
      <x:c r="D1158" s="25" t="n">
        <x:v>40409.47083333333</x:v>
      </x:c>
      <x:c r="E1158" s="25" t="n">
        <x:v>40686.239583333336</x:v>
      </x:c>
      <x:c r="F1158" s="2" t="n">
        <x:v>201</x:v>
      </x:c>
      <x:c r="G1158" s="2" t="n">
        <x:v>4</x:v>
      </x:c>
      <x:c r="H1158" s="11" t="n">
        <x:v>851.37</x:v>
      </x:c>
      <x:c r="I1158" s="2" t="n">
        <x:v>2</x:v>
      </x:c>
      <x:c r="J1158" s="2" t="n">
        <x:v>3</x:v>
      </x:c>
      <x:c r="K1158" s="2" t="n">
        <x:v>3</x:v>
      </x:c>
      <x:c r="L1158" s="2" t="str">
        <x:v>At risk</x:v>
      </x:c>
    </x:row>
    <x:row r="1159" ht="22" customHeight="1">
      <x:c r="A1159" s="2"/>
      <x:c r="B1159" s="2" t="str">
        <x:v>13480</x:v>
      </x:c>
      <x:c r="C1159" s="2" t="str">
        <x:v>United Kingdom</x:v>
      </x:c>
      <x:c r="D1159" s="25" t="n">
        <x:v>40207.31597222222</x:v>
      </x:c>
      <x:c r="E1159" s="25" t="n">
        <x:v>40470.28680555556</x:v>
      </x:c>
      <x:c r="F1159" s="2" t="n">
        <x:v>417</x:v>
      </x:c>
      <x:c r="G1159" s="2" t="n">
        <x:v>2</x:v>
      </x:c>
      <x:c r="H1159" s="11" t="n">
        <x:v>627.82</x:v>
      </x:c>
      <x:c r="I1159" s="2" t="n">
        <x:v>1</x:v>
      </x:c>
      <x:c r="J1159" s="2" t="n">
        <x:v>2</x:v>
      </x:c>
      <x:c r="K1159" s="2" t="n">
        <x:v>3</x:v>
      </x:c>
      <x:c r="L1159" s="2" t="str">
        <x:v>Hibernating</x:v>
      </x:c>
    </x:row>
    <x:row r="1160" ht="22" customHeight="1">
      <x:c r="A1160" s="2"/>
      <x:c r="B1160" s="2" t="str">
        <x:v>13481</x:v>
      </x:c>
      <x:c r="C1160" s="2" t="str">
        <x:v>United Kingdom</x:v>
      </x:c>
      <x:c r="D1160" s="25" t="n">
        <x:v>40151.31736111111</x:v>
      </x:c>
      <x:c r="E1160" s="25" t="n">
        <x:v>40841.17152777778</x:v>
      </x:c>
      <x:c r="F1160" s="2" t="n">
        <x:v>46</x:v>
      </x:c>
      <x:c r="G1160" s="2" t="n">
        <x:v>11</x:v>
      </x:c>
      <x:c r="H1160" s="11" t="n">
        <x:v>3830.84</x:v>
      </x:c>
      <x:c r="I1160" s="2" t="n">
        <x:v>4</x:v>
      </x:c>
      <x:c r="J1160" s="2" t="n">
        <x:v>5</x:v>
      </x:c>
      <x:c r="K1160" s="2" t="n">
        <x:v>5</x:v>
      </x:c>
      <x:c r="L1160" s="2" t="str">
        <x:v>Champions</x:v>
      </x:c>
    </x:row>
    <x:row r="1161" ht="22" customHeight="1">
      <x:c r="A1161" s="2"/>
      <x:c r="B1161" s="2" t="str">
        <x:v>13482</x:v>
      </x:c>
      <x:c r="C1161" s="2" t="str">
        <x:v>United Kingdom</x:v>
      </x:c>
      <x:c r="D1161" s="25" t="n">
        <x:v>40259.22986111111</x:v>
      </x:c>
      <x:c r="E1161" s="25" t="n">
        <x:v>40654.50208333333</x:v>
      </x:c>
      <x:c r="F1161" s="2" t="n">
        <x:v>233</x:v>
      </x:c>
      <x:c r="G1161" s="2" t="n">
        <x:v>2</x:v>
      </x:c>
      <x:c r="H1161" s="11" t="n">
        <x:v>336.09</x:v>
      </x:c>
      <x:c r="I1161" s="2" t="n">
        <x:v>2</x:v>
      </x:c>
      <x:c r="J1161" s="2" t="n">
        <x:v>2</x:v>
      </x:c>
      <x:c r="K1161" s="2" t="n">
        <x:v>2</x:v>
      </x:c>
      <x:c r="L1161" s="2" t="str">
        <x:v>Hibernating</x:v>
      </x:c>
    </x:row>
    <x:row r="1162" ht="22" customHeight="1">
      <x:c r="A1162" s="2"/>
      <x:c r="B1162" s="2" t="str">
        <x:v>13483</x:v>
      </x:c>
      <x:c r="C1162" s="2" t="str">
        <x:v>United Kingdom</x:v>
      </x:c>
      <x:c r="D1162" s="25" t="n">
        <x:v>40821.28680555556</x:v>
      </x:c>
      <x:c r="E1162" s="25" t="n">
        <x:v>40821.28680555556</x:v>
      </x:c>
      <x:c r="F1162" s="2" t="n">
        <x:v>66</x:v>
      </x:c>
      <x:c r="G1162" s="2" t="n">
        <x:v>1</x:v>
      </x:c>
      <x:c r="H1162" s="11" t="n">
        <x:v>140.34</x:v>
      </x:c>
      <x:c r="I1162" s="2" t="n">
        <x:v>3</x:v>
      </x:c>
      <x:c r="J1162" s="2" t="n">
        <x:v>1</x:v>
      </x:c>
      <x:c r="K1162" s="2" t="n">
        <x:v>1</x:v>
      </x:c>
      <x:c r="L1162" s="2" t="str">
        <x:v>Developing</x:v>
      </x:c>
    </x:row>
    <x:row r="1163" ht="22" customHeight="1">
      <x:c r="A1163" s="2"/>
      <x:c r="B1163" s="2" t="str">
        <x:v>13484</x:v>
      </x:c>
      <x:c r="C1163" s="2" t="str">
        <x:v>United Kingdom</x:v>
      </x:c>
      <x:c r="D1163" s="25" t="n">
        <x:v>40247.28194444445</x:v>
      </x:c>
      <x:c r="E1163" s="25" t="n">
        <x:v>40645.479166666664</x:v>
      </x:c>
      <x:c r="F1163" s="2" t="n">
        <x:v>242</x:v>
      </x:c>
      <x:c r="G1163" s="2" t="n">
        <x:v>3</x:v>
      </x:c>
      <x:c r="H1163" s="11" t="n">
        <x:v>790.72</x:v>
      </x:c>
      <x:c r="I1163" s="2" t="n">
        <x:v>2</x:v>
      </x:c>
      <x:c r="J1163" s="2" t="n">
        <x:v>3</x:v>
      </x:c>
      <x:c r="K1163" s="2" t="n">
        <x:v>3</x:v>
      </x:c>
      <x:c r="L1163" s="2" t="str">
        <x:v>At risk</x:v>
      </x:c>
    </x:row>
    <x:row r="1164" ht="22" customHeight="1">
      <x:c r="A1164" s="2"/>
      <x:c r="B1164" s="2" t="str">
        <x:v>13485</x:v>
      </x:c>
      <x:c r="C1164" s="2" t="str">
        <x:v>United Kingdom</x:v>
      </x:c>
      <x:c r="D1164" s="25" t="n">
        <x:v>40150.365277777775</x:v>
      </x:c>
      <x:c r="E1164" s="25" t="n">
        <x:v>40653.373611111114</x:v>
      </x:c>
      <x:c r="F1164" s="2" t="n">
        <x:v>234</x:v>
      </x:c>
      <x:c r="G1164" s="2" t="n">
        <x:v>11</x:v>
      </x:c>
      <x:c r="H1164" s="11" t="n">
        <x:v>3019.22</x:v>
      </x:c>
      <x:c r="I1164" s="2" t="n">
        <x:v>2</x:v>
      </x:c>
      <x:c r="J1164" s="2" t="n">
        <x:v>5</x:v>
      </x:c>
      <x:c r="K1164" s="2" t="n">
        <x:v>5</x:v>
      </x:c>
      <x:c r="L1164" s="2" t="str">
        <x:v>At risk</x:v>
      </x:c>
    </x:row>
    <x:row r="1165" ht="22" customHeight="1">
      <x:c r="A1165" s="2"/>
      <x:c r="B1165" s="2" t="str">
        <x:v>13486</x:v>
      </x:c>
      <x:c r="C1165" s="2" t="str">
        <x:v>United Kingdom</x:v>
      </x:c>
      <x:c r="D1165" s="25" t="n">
        <x:v>40731.513194444444</x:v>
      </x:c>
      <x:c r="E1165" s="25" t="n">
        <x:v>40808.342361111114</x:v>
      </x:c>
      <x:c r="F1165" s="2" t="n">
        <x:v>79</x:v>
      </x:c>
      <x:c r="G1165" s="2" t="n">
        <x:v>3</x:v>
      </x:c>
      <x:c r="H1165" s="11" t="n">
        <x:v>1122.41</x:v>
      </x:c>
      <x:c r="I1165" s="2" t="n">
        <x:v>3</x:v>
      </x:c>
      <x:c r="J1165" s="2" t="n">
        <x:v>3</x:v>
      </x:c>
      <x:c r="K1165" s="2" t="n">
        <x:v>3</x:v>
      </x:c>
      <x:c r="L1165" s="2" t="str">
        <x:v>Loyal</x:v>
      </x:c>
    </x:row>
    <x:row r="1166" ht="22" customHeight="1">
      <x:c r="A1166" s="2"/>
      <x:c r="B1166" s="2" t="str">
        <x:v>13487</x:v>
      </x:c>
      <x:c r="C1166" s="2" t="str">
        <x:v>United Kingdom</x:v>
      </x:c>
      <x:c r="D1166" s="25" t="n">
        <x:v>40152.225694444445</x:v>
      </x:c>
      <x:c r="E1166" s="25" t="n">
        <x:v>40829.29652777778</x:v>
      </x:c>
      <x:c r="F1166" s="2" t="n">
        <x:v>58</x:v>
      </x:c>
      <x:c r="G1166" s="2" t="n">
        <x:v>5</x:v>
      </x:c>
      <x:c r="H1166" s="11" t="n">
        <x:v>846.87</x:v>
      </x:c>
      <x:c r="I1166" s="2" t="n">
        <x:v>4</x:v>
      </x:c>
      <x:c r="J1166" s="2" t="n">
        <x:v>4</x:v>
      </x:c>
      <x:c r="K1166" s="2" t="n">
        <x:v>3</x:v>
      </x:c>
      <x:c r="L1166" s="2" t="str">
        <x:v>Loyal</x:v>
      </x:c>
    </x:row>
    <x:row r="1167" ht="22" customHeight="1">
      <x:c r="A1167" s="2"/>
      <x:c r="B1167" s="2" t="str">
        <x:v>13488</x:v>
      </x:c>
      <x:c r="C1167" s="2" t="str">
        <x:v>United Kingdom</x:v>
      </x:c>
      <x:c r="D1167" s="25" t="n">
        <x:v>40203.217361111114</x:v>
      </x:c>
      <x:c r="E1167" s="25" t="n">
        <x:v>40869.40347222222</x:v>
      </x:c>
      <x:c r="F1167" s="2" t="n">
        <x:v>18</x:v>
      </x:c>
      <x:c r="G1167" s="2" t="n">
        <x:v>23</x:v>
      </x:c>
      <x:c r="H1167" s="11" t="n">
        <x:v>14205.96</x:v>
      </x:c>
      <x:c r="I1167" s="2" t="n">
        <x:v>5</x:v>
      </x:c>
      <x:c r="J1167" s="2" t="n">
        <x:v>5</x:v>
      </x:c>
      <x:c r="K1167" s="2" t="n">
        <x:v>5</x:v>
      </x:c>
      <x:c r="L1167" s="2" t="str">
        <x:v>Champions</x:v>
      </x:c>
    </x:row>
    <x:row r="1168" ht="22" customHeight="1">
      <x:c r="A1168" s="2"/>
      <x:c r="B1168" s="2" t="str">
        <x:v>13489</x:v>
      </x:c>
      <x:c r="C1168" s="2" t="str">
        <x:v>United Kingdom</x:v>
      </x:c>
      <x:c r="D1168" s="25" t="n">
        <x:v>40592.2375</x:v>
      </x:c>
      <x:c r="E1168" s="25" t="n">
        <x:v>40781.34444444445</x:v>
      </x:c>
      <x:c r="F1168" s="2" t="n">
        <x:v>106</x:v>
      </x:c>
      <x:c r="G1168" s="2" t="n">
        <x:v>4</x:v>
      </x:c>
      <x:c r="H1168" s="11" t="n">
        <x:v>449.52</x:v>
      </x:c>
      <x:c r="I1168" s="2" t="n">
        <x:v>3</x:v>
      </x:c>
      <x:c r="J1168" s="2" t="n">
        <x:v>3</x:v>
      </x:c>
      <x:c r="K1168" s="2" t="n">
        <x:v>2</x:v>
      </x:c>
      <x:c r="L1168" s="2" t="str">
        <x:v>Loyal</x:v>
      </x:c>
    </x:row>
    <x:row r="1169" ht="22" customHeight="1">
      <x:c r="A1169" s="2"/>
      <x:c r="B1169" s="2" t="str">
        <x:v>13490</x:v>
      </x:c>
      <x:c r="C1169" s="2" t="str">
        <x:v>United Kingdom</x:v>
      </x:c>
      <x:c r="D1169" s="25" t="n">
        <x:v>40232.40833333333</x:v>
      </x:c>
      <x:c r="E1169" s="25" t="n">
        <x:v>40232.40833333333</x:v>
      </x:c>
      <x:c r="F1169" s="2" t="n">
        <x:v>655</x:v>
      </x:c>
      <x:c r="G1169" s="2" t="n">
        <x:v>1</x:v>
      </x:c>
      <x:c r="H1169" s="11" t="n">
        <x:v>154.25</x:v>
      </x:c>
      <x:c r="I1169" s="2" t="n">
        <x:v>1</x:v>
      </x:c>
      <x:c r="J1169" s="2" t="n">
        <x:v>1</x:v>
      </x:c>
      <x:c r="K1169" s="2" t="n">
        <x:v>1</x:v>
      </x:c>
      <x:c r="L1169" s="2" t="str">
        <x:v>Hibernating</x:v>
      </x:c>
    </x:row>
    <x:row r="1170" ht="22" customHeight="1">
      <x:c r="A1170" s="2"/>
      <x:c r="B1170" s="2" t="str">
        <x:v>13491</x:v>
      </x:c>
      <x:c r="C1170" s="2" t="str">
        <x:v>United Kingdom</x:v>
      </x:c>
      <x:c r="D1170" s="25" t="n">
        <x:v>40154.14166666667</x:v>
      </x:c>
      <x:c r="E1170" s="25" t="n">
        <x:v>40835.14722222222</x:v>
      </x:c>
      <x:c r="F1170" s="2" t="n">
        <x:v>52</x:v>
      </x:c>
      <x:c r="G1170" s="2" t="n">
        <x:v>27</x:v>
      </x:c>
      <x:c r="H1170" s="11" t="n">
        <x:v>4467.66</x:v>
      </x:c>
      <x:c r="I1170" s="2" t="n">
        <x:v>4</x:v>
      </x:c>
      <x:c r="J1170" s="2" t="n">
        <x:v>5</x:v>
      </x:c>
      <x:c r="K1170" s="2" t="n">
        <x:v>5</x:v>
      </x:c>
      <x:c r="L1170" s="2" t="str">
        <x:v>Champions</x:v>
      </x:c>
    </x:row>
    <x:row r="1171" ht="22" customHeight="1">
      <x:c r="A1171" s="2"/>
      <x:c r="B1171" s="2" t="str">
        <x:v>13492</x:v>
      </x:c>
      <x:c r="C1171" s="2" t="str">
        <x:v>Switzerland</x:v>
      </x:c>
      <x:c r="D1171" s="25" t="n">
        <x:v>40672.2125</x:v>
      </x:c>
      <x:c r="E1171" s="25" t="n">
        <x:v>40750.39236111111</x:v>
      </x:c>
      <x:c r="F1171" s="2" t="n">
        <x:v>137</x:v>
      </x:c>
      <x:c r="G1171" s="2" t="n">
        <x:v>3</x:v>
      </x:c>
      <x:c r="H1171" s="11" t="n">
        <x:v>1269.84</x:v>
      </x:c>
      <x:c r="I1171" s="2" t="n">
        <x:v>3</x:v>
      </x:c>
      <x:c r="J1171" s="2" t="n">
        <x:v>3</x:v>
      </x:c>
      <x:c r="K1171" s="2" t="n">
        <x:v>4</x:v>
      </x:c>
      <x:c r="L1171" s="2" t="str">
        <x:v>Loyal</x:v>
      </x:c>
    </x:row>
    <x:row r="1172" ht="22" customHeight="1">
      <x:c r="A1172" s="2"/>
      <x:c r="B1172" s="2" t="str">
        <x:v>13493</x:v>
      </x:c>
      <x:c r="C1172" s="2" t="str">
        <x:v>Switzerland</x:v>
      </x:c>
      <x:c r="D1172" s="25" t="n">
        <x:v>40599.4875</x:v>
      </x:c>
      <x:c r="E1172" s="25" t="n">
        <x:v>40611.44097222222</x:v>
      </x:c>
      <x:c r="F1172" s="2" t="n">
        <x:v>276</x:v>
      </x:c>
      <x:c r="G1172" s="2" t="n">
        <x:v>2</x:v>
      </x:c>
      <x:c r="H1172" s="11" t="n">
        <x:v>618.63</x:v>
      </x:c>
      <x:c r="I1172" s="2" t="n">
        <x:v>2</x:v>
      </x:c>
      <x:c r="J1172" s="2" t="n">
        <x:v>2</x:v>
      </x:c>
      <x:c r="K1172" s="2" t="n">
        <x:v>3</x:v>
      </x:c>
      <x:c r="L1172" s="2" t="str">
        <x:v>Hibernating</x:v>
      </x:c>
    </x:row>
    <x:row r="1173" ht="22" customHeight="1">
      <x:c r="A1173" s="2"/>
      <x:c r="B1173" s="2" t="str">
        <x:v>13494</x:v>
      </x:c>
      <x:c r="C1173" s="2" t="str">
        <x:v>United Kingdom</x:v>
      </x:c>
      <x:c r="D1173" s="25" t="n">
        <x:v>40575.29027777778</x:v>
      </x:c>
      <x:c r="E1173" s="25" t="n">
        <x:v>40575.29027777778</x:v>
      </x:c>
      <x:c r="F1173" s="2" t="n">
        <x:v>312</x:v>
      </x:c>
      <x:c r="G1173" s="2" t="n">
        <x:v>1</x:v>
      </x:c>
      <x:c r="H1173" s="11" t="n">
        <x:v>316.26</x:v>
      </x:c>
      <x:c r="I1173" s="2" t="n">
        <x:v>2</x:v>
      </x:c>
      <x:c r="J1173" s="2" t="n">
        <x:v>1</x:v>
      </x:c>
      <x:c r="K1173" s="2" t="n">
        <x:v>2</x:v>
      </x:c>
      <x:c r="L1173" s="2" t="str">
        <x:v>Hibernating</x:v>
      </x:c>
    </x:row>
    <x:row r="1174" ht="22" customHeight="1">
      <x:c r="A1174" s="2"/>
      <x:c r="B1174" s="2" t="str">
        <x:v>13495</x:v>
      </x:c>
      <x:c r="C1174" s="2" t="str">
        <x:v>United Kingdom</x:v>
      </x:c>
      <x:c r="D1174" s="25" t="n">
        <x:v>40154.3</x:v>
      </x:c>
      <x:c r="E1174" s="25" t="n">
        <x:v>40879.26458333333</x:v>
      </x:c>
      <x:c r="F1174" s="2" t="n">
        <x:v>8</x:v>
      </x:c>
      <x:c r="G1174" s="2" t="n">
        <x:v>10</x:v>
      </x:c>
      <x:c r="H1174" s="11" t="n">
        <x:v>4863.31</x:v>
      </x:c>
      <x:c r="I1174" s="2" t="n">
        <x:v>5</x:v>
      </x:c>
      <x:c r="J1174" s="2" t="n">
        <x:v>5</x:v>
      </x:c>
      <x:c r="K1174" s="2" t="n">
        <x:v>5</x:v>
      </x:c>
      <x:c r="L1174" s="2" t="str">
        <x:v>Champions</x:v>
      </x:c>
    </x:row>
    <x:row r="1175" ht="22" customHeight="1">
      <x:c r="A1175" s="2"/>
      <x:c r="B1175" s="2" t="str">
        <x:v>13496</x:v>
      </x:c>
      <x:c r="C1175" s="2" t="str">
        <x:v>United Kingdom</x:v>
      </x:c>
      <x:c r="D1175" s="25" t="n">
        <x:v>40527.220138888886</x:v>
      </x:c>
      <x:c r="E1175" s="25" t="n">
        <x:v>40876.248611111114</x:v>
      </x:c>
      <x:c r="F1175" s="2" t="n">
        <x:v>11</x:v>
      </x:c>
      <x:c r="G1175" s="2" t="n">
        <x:v>2</x:v>
      </x:c>
      <x:c r="H1175" s="11" t="n">
        <x:v>653.33</x:v>
      </x:c>
      <x:c r="I1175" s="2" t="n">
        <x:v>5</x:v>
      </x:c>
      <x:c r="J1175" s="2" t="n">
        <x:v>2</x:v>
      </x:c>
      <x:c r="K1175" s="2" t="n">
        <x:v>3</x:v>
      </x:c>
      <x:c r="L1175" s="2" t="str">
        <x:v>Recent light buyers</x:v>
      </x:c>
    </x:row>
    <x:row r="1176" ht="22" customHeight="1">
      <x:c r="A1176" s="2"/>
      <x:c r="B1176" s="2" t="str">
        <x:v>13497</x:v>
      </x:c>
      <x:c r="C1176" s="2" t="str">
        <x:v>United Kingdom</x:v>
      </x:c>
      <x:c r="D1176" s="25" t="n">
        <x:v>40217.22708333333</x:v>
      </x:c>
      <x:c r="E1176" s="25" t="n">
        <x:v>40604.169444444444</x:v>
      </x:c>
      <x:c r="F1176" s="2" t="n">
        <x:v>283</x:v>
      </x:c>
      <x:c r="G1176" s="2" t="n">
        <x:v>6</x:v>
      </x:c>
      <x:c r="H1176" s="11" t="n">
        <x:v>1166.83</x:v>
      </x:c>
      <x:c r="I1176" s="2" t="n">
        <x:v>2</x:v>
      </x:c>
      <x:c r="J1176" s="2" t="n">
        <x:v>4</x:v>
      </x:c>
      <x:c r="K1176" s="2" t="n">
        <x:v>3</x:v>
      </x:c>
      <x:c r="L1176" s="2" t="str">
        <x:v>At risk</x:v>
      </x:c>
    </x:row>
    <x:row r="1177" ht="22" customHeight="1">
      <x:c r="A1177" s="2"/>
      <x:c r="B1177" s="2" t="str">
        <x:v>13498</x:v>
      </x:c>
      <x:c r="C1177" s="2" t="str">
        <x:v>United Kingdom</x:v>
      </x:c>
      <x:c r="D1177" s="25" t="n">
        <x:v>40156.43472222222</x:v>
      </x:c>
      <x:c r="E1177" s="25" t="n">
        <x:v>40156.43472222222</x:v>
      </x:c>
      <x:c r="F1177" s="2" t="n">
        <x:v>731</x:v>
      </x:c>
      <x:c r="G1177" s="2" t="n">
        <x:v>1</x:v>
      </x:c>
      <x:c r="H1177" s="11" t="n">
        <x:v>327.38</x:v>
      </x:c>
      <x:c r="I1177" s="2" t="n">
        <x:v>1</x:v>
      </x:c>
      <x:c r="J1177" s="2" t="n">
        <x:v>1</x:v>
      </x:c>
      <x:c r="K1177" s="2" t="n">
        <x:v>2</x:v>
      </x:c>
      <x:c r="L1177" s="2" t="str">
        <x:v>Hibernating</x:v>
      </x:c>
    </x:row>
    <x:row r="1178" ht="22" customHeight="1">
      <x:c r="A1178" s="2"/>
      <x:c r="B1178" s="2" t="str">
        <x:v>13499</x:v>
      </x:c>
      <x:c r="C1178" s="2" t="str">
        <x:v>United Kingdom</x:v>
      </x:c>
      <x:c r="D1178" s="25" t="n">
        <x:v>40617.16111111111</x:v>
      </x:c>
      <x:c r="E1178" s="25" t="n">
        <x:v>40869.26458333333</x:v>
      </x:c>
      <x:c r="F1178" s="2" t="n">
        <x:v>18</x:v>
      </x:c>
      <x:c r="G1178" s="2" t="n">
        <x:v>5</x:v>
      </x:c>
      <x:c r="H1178" s="11" t="n">
        <x:v>1159.11</x:v>
      </x:c>
      <x:c r="I1178" s="2" t="n">
        <x:v>5</x:v>
      </x:c>
      <x:c r="J1178" s="2" t="n">
        <x:v>4</x:v>
      </x:c>
      <x:c r="K1178" s="2" t="n">
        <x:v>3</x:v>
      </x:c>
      <x:c r="L1178" s="2" t="str">
        <x:v>Loyal</x:v>
      </x:c>
    </x:row>
    <x:row r="1179" ht="22" customHeight="1">
      <x:c r="A1179" s="2"/>
      <x:c r="B1179" s="2" t="str">
        <x:v>13500</x:v>
      </x:c>
      <x:c r="C1179" s="2" t="str">
        <x:v>United Kingdom</x:v>
      </x:c>
      <x:c r="D1179" s="25" t="n">
        <x:v>40485.34444444445</x:v>
      </x:c>
      <x:c r="E1179" s="25" t="n">
        <x:v>40863.44097222222</x:v>
      </x:c>
      <x:c r="F1179" s="2" t="n">
        <x:v>24</x:v>
      </x:c>
      <x:c r="G1179" s="2" t="n">
        <x:v>4</x:v>
      </x:c>
      <x:c r="H1179" s="11" t="n">
        <x:v>1466.3</x:v>
      </x:c>
      <x:c r="I1179" s="2" t="n">
        <x:v>4</x:v>
      </x:c>
      <x:c r="J1179" s="2" t="n">
        <x:v>3</x:v>
      </x:c>
      <x:c r="K1179" s="2" t="n">
        <x:v>4</x:v>
      </x:c>
      <x:c r="L1179" s="2" t="str">
        <x:v>Loyal</x:v>
      </x:c>
    </x:row>
    <x:row r="1180" ht="22" customHeight="1">
      <x:c r="A1180" s="2"/>
      <x:c r="B1180" s="2" t="str">
        <x:v>13501</x:v>
      </x:c>
      <x:c r="C1180" s="2" t="str">
        <x:v>Switzerland</x:v>
      </x:c>
      <x:c r="D1180" s="25" t="n">
        <x:v>40316.35</x:v>
      </x:c>
      <x:c r="E1180" s="25" t="n">
        <x:v>40598.58263888889</x:v>
      </x:c>
      <x:c r="F1180" s="2" t="n">
        <x:v>289</x:v>
      </x:c>
      <x:c r="G1180" s="2" t="n">
        <x:v>3</x:v>
      </x:c>
      <x:c r="H1180" s="11" t="n">
        <x:v>2885.11</x:v>
      </x:c>
      <x:c r="I1180" s="2" t="n">
        <x:v>2</x:v>
      </x:c>
      <x:c r="J1180" s="2" t="n">
        <x:v>3</x:v>
      </x:c>
      <x:c r="K1180" s="2" t="n">
        <x:v>4</x:v>
      </x:c>
      <x:c r="L1180" s="2" t="str">
        <x:v>At risk</x:v>
      </x:c>
    </x:row>
    <x:row r="1181" ht="22" customHeight="1">
      <x:c r="A1181" s="2"/>
      <x:c r="B1181" s="2" t="str">
        <x:v>13502</x:v>
      </x:c>
      <x:c r="C1181" s="2" t="str">
        <x:v>United Kingdom</x:v>
      </x:c>
      <x:c r="D1181" s="25" t="n">
        <x:v>40338.24444444444</x:v>
      </x:c>
      <x:c r="E1181" s="25" t="n">
        <x:v>40870.23541666667</x:v>
      </x:c>
      <x:c r="F1181" s="2" t="n">
        <x:v>17</x:v>
      </x:c>
      <x:c r="G1181" s="2" t="n">
        <x:v>5</x:v>
      </x:c>
      <x:c r="H1181" s="11" t="n">
        <x:v>780.5</x:v>
      </x:c>
      <x:c r="I1181" s="2" t="n">
        <x:v>5</x:v>
      </x:c>
      <x:c r="J1181" s="2" t="n">
        <x:v>4</x:v>
      </x:c>
      <x:c r="K1181" s="2" t="n">
        <x:v>3</x:v>
      </x:c>
      <x:c r="L1181" s="2" t="str">
        <x:v>Loyal</x:v>
      </x:c>
    </x:row>
    <x:row r="1182" ht="22" customHeight="1">
      <x:c r="A1182" s="2"/>
      <x:c r="B1182" s="2" t="str">
        <x:v>13503</x:v>
      </x:c>
      <x:c r="C1182" s="2" t="str">
        <x:v>United Kingdom</x:v>
      </x:c>
      <x:c r="D1182" s="25" t="n">
        <x:v>40225.36736111111</x:v>
      </x:c>
      <x:c r="E1182" s="25" t="n">
        <x:v>40815.34930555556</x:v>
      </x:c>
      <x:c r="F1182" s="2" t="n">
        <x:v>72</x:v>
      </x:c>
      <x:c r="G1182" s="2" t="n">
        <x:v>6</x:v>
      </x:c>
      <x:c r="H1182" s="11" t="n">
        <x:v>1905.39</x:v>
      </x:c>
      <x:c r="I1182" s="2" t="n">
        <x:v>3</x:v>
      </x:c>
      <x:c r="J1182" s="2" t="n">
        <x:v>4</x:v>
      </x:c>
      <x:c r="K1182" s="2" t="n">
        <x:v>4</x:v>
      </x:c>
      <x:c r="L1182" s="2" t="str">
        <x:v>Loyal</x:v>
      </x:c>
    </x:row>
    <x:row r="1183" ht="22" customHeight="1">
      <x:c r="A1183" s="2"/>
      <x:c r="B1183" s="2" t="str">
        <x:v>13504</x:v>
      </x:c>
      <x:c r="C1183" s="2" t="str">
        <x:v>United Kingdom</x:v>
      </x:c>
      <x:c r="D1183" s="25" t="n">
        <x:v>40822.34722222222</x:v>
      </x:c>
      <x:c r="E1183" s="25" t="n">
        <x:v>40822.34722222222</x:v>
      </x:c>
      <x:c r="F1183" s="2" t="n">
        <x:v>65</x:v>
      </x:c>
      <x:c r="G1183" s="2" t="n">
        <x:v>1</x:v>
      </x:c>
      <x:c r="H1183" s="11" t="n">
        <x:v>295.93</x:v>
      </x:c>
      <x:c r="I1183" s="2" t="n">
        <x:v>3</x:v>
      </x:c>
      <x:c r="J1183" s="2" t="n">
        <x:v>1</x:v>
      </x:c>
      <x:c r="K1183" s="2" t="n">
        <x:v>2</x:v>
      </x:c>
      <x:c r="L1183" s="2" t="str">
        <x:v>Developing</x:v>
      </x:c>
    </x:row>
    <x:row r="1184" ht="22" customHeight="1">
      <x:c r="A1184" s="2"/>
      <x:c r="B1184" s="2" t="str">
        <x:v>13505</x:v>
      </x:c>
      <x:c r="C1184" s="2" t="str">
        <x:v>Switzerland</x:v>
      </x:c>
      <x:c r="D1184" s="25" t="n">
        <x:v>40654.29652777778</x:v>
      </x:c>
      <x:c r="E1184" s="25" t="n">
        <x:v>40814.28888888889</x:v>
      </x:c>
      <x:c r="F1184" s="2" t="n">
        <x:v>73</x:v>
      </x:c>
      <x:c r="G1184" s="2" t="n">
        <x:v>4</x:v>
      </x:c>
      <x:c r="H1184" s="11" t="n">
        <x:v>4393.63</x:v>
      </x:c>
      <x:c r="I1184" s="2" t="n">
        <x:v>3</x:v>
      </x:c>
      <x:c r="J1184" s="2" t="n">
        <x:v>3</x:v>
      </x:c>
      <x:c r="K1184" s="2" t="n">
        <x:v>5</x:v>
      </x:c>
      <x:c r="L1184" s="2" t="str">
        <x:v>Loyal</x:v>
      </x:c>
    </x:row>
    <x:row r="1185" ht="22" customHeight="1">
      <x:c r="A1185" s="2"/>
      <x:c r="B1185" s="2" t="str">
        <x:v>13506</x:v>
      </x:c>
      <x:c r="C1185" s="2" t="str">
        <x:v>United Kingdom</x:v>
      </x:c>
      <x:c r="D1185" s="25" t="n">
        <x:v>40426.31458333333</x:v>
      </x:c>
      <x:c r="E1185" s="25" t="n">
        <x:v>40570.37013888889</x:v>
      </x:c>
      <x:c r="F1185" s="2" t="n">
        <x:v>317</x:v>
      </x:c>
      <x:c r="G1185" s="2" t="n">
        <x:v>5</x:v>
      </x:c>
      <x:c r="H1185" s="11" t="n">
        <x:v>1338.08</x:v>
      </x:c>
      <x:c r="I1185" s="2" t="n">
        <x:v>2</x:v>
      </x:c>
      <x:c r="J1185" s="2" t="n">
        <x:v>4</x:v>
      </x:c>
      <x:c r="K1185" s="2" t="n">
        <x:v>4</x:v>
      </x:c>
      <x:c r="L1185" s="2" t="str">
        <x:v>At risk</x:v>
      </x:c>
    </x:row>
    <x:row r="1186" ht="22" customHeight="1">
      <x:c r="A1186" s="2"/>
      <x:c r="B1186" s="2" t="str">
        <x:v>13507</x:v>
      </x:c>
      <x:c r="C1186" s="2" t="str">
        <x:v>United Kingdom</x:v>
      </x:c>
      <x:c r="D1186" s="25" t="n">
        <x:v>40741.28472222222</x:v>
      </x:c>
      <x:c r="E1186" s="25" t="n">
        <x:v>40883.342361111114</x:v>
      </x:c>
      <x:c r="F1186" s="2" t="n">
        <x:v>4</x:v>
      </x:c>
      <x:c r="G1186" s="2" t="n">
        <x:v>4</x:v>
      </x:c>
      <x:c r="H1186" s="11" t="n">
        <x:v>2479.16</x:v>
      </x:c>
      <x:c r="I1186" s="2" t="n">
        <x:v>5</x:v>
      </x:c>
      <x:c r="J1186" s="2" t="n">
        <x:v>3</x:v>
      </x:c>
      <x:c r="K1186" s="2" t="n">
        <x:v>4</x:v>
      </x:c>
      <x:c r="L1186" s="2" t="str">
        <x:v>Loyal</x:v>
      </x:c>
    </x:row>
    <x:row r="1187" ht="22" customHeight="1">
      <x:c r="A1187" s="2"/>
      <x:c r="B1187" s="2" t="str">
        <x:v>13508</x:v>
      </x:c>
      <x:c r="C1187" s="2" t="str">
        <x:v>United Kingdom</x:v>
      </x:c>
      <x:c r="D1187" s="25" t="n">
        <x:v>40244.29027777778</x:v>
      </x:c>
      <x:c r="E1187" s="25" t="n">
        <x:v>40643.29027777778</x:v>
      </x:c>
      <x:c r="F1187" s="2" t="n">
        <x:v>244</x:v>
      </x:c>
      <x:c r="G1187" s="2" t="n">
        <x:v>2</x:v>
      </x:c>
      <x:c r="H1187" s="11" t="n">
        <x:v>287.05</x:v>
      </x:c>
      <x:c r="I1187" s="2" t="n">
        <x:v>2</x:v>
      </x:c>
      <x:c r="J1187" s="2" t="n">
        <x:v>2</x:v>
      </x:c>
      <x:c r="K1187" s="2" t="n">
        <x:v>1</x:v>
      </x:c>
      <x:c r="L1187" s="2" t="str">
        <x:v>Hibernating</x:v>
      </x:c>
    </x:row>
    <x:row r="1188" ht="22" customHeight="1">
      <x:c r="A1188" s="2"/>
      <x:c r="B1188" s="2" t="str">
        <x:v>13509</x:v>
      </x:c>
      <x:c r="C1188" s="2" t="str">
        <x:v>United Kingdom</x:v>
      </x:c>
      <x:c r="D1188" s="25" t="n">
        <x:v>40379.29861111111</x:v>
      </x:c>
      <x:c r="E1188" s="25" t="n">
        <x:v>40878.21527777778</x:v>
      </x:c>
      <x:c r="F1188" s="2" t="n">
        <x:v>9</x:v>
      </x:c>
      <x:c r="G1188" s="2" t="n">
        <x:v>8</x:v>
      </x:c>
      <x:c r="H1188" s="11" t="n">
        <x:v>1114.72</x:v>
      </x:c>
      <x:c r="I1188" s="2" t="n">
        <x:v>5</x:v>
      </x:c>
      <x:c r="J1188" s="2" t="n">
        <x:v>4</x:v>
      </x:c>
      <x:c r="K1188" s="2" t="n">
        <x:v>3</x:v>
      </x:c>
      <x:c r="L1188" s="2" t="str">
        <x:v>Loyal</x:v>
      </x:c>
    </x:row>
    <x:row r="1189" ht="22" customHeight="1">
      <x:c r="A1189" s="2"/>
      <x:c r="B1189" s="2" t="str">
        <x:v>13510</x:v>
      </x:c>
      <x:c r="C1189" s="2" t="str">
        <x:v>United Kingdom</x:v>
      </x:c>
      <x:c r="D1189" s="25" t="n">
        <x:v>40168.28680555556</x:v>
      </x:c>
      <x:c r="E1189" s="25" t="n">
        <x:v>40885.365277777775</x:v>
      </x:c>
      <x:c r="F1189" s="2" t="n">
        <x:v>2</x:v>
      </x:c>
      <x:c r="G1189" s="2" t="n">
        <x:v>11</x:v>
      </x:c>
      <x:c r="H1189" s="11" t="n">
        <x:v>4558.29</x:v>
      </x:c>
      <x:c r="I1189" s="2" t="n">
        <x:v>5</x:v>
      </x:c>
      <x:c r="J1189" s="2" t="n">
        <x:v>5</x:v>
      </x:c>
      <x:c r="K1189" s="2" t="n">
        <x:v>5</x:v>
      </x:c>
      <x:c r="L1189" s="2" t="str">
        <x:v>Champions</x:v>
      </x:c>
    </x:row>
    <x:row r="1190" ht="22" customHeight="1">
      <x:c r="A1190" s="2"/>
      <x:c r="B1190" s="2" t="str">
        <x:v>13511</x:v>
      </x:c>
      <x:c r="C1190" s="2" t="str">
        <x:v>United Kingdom</x:v>
      </x:c>
      <x:c r="D1190" s="25" t="n">
        <x:v>40210.29861111111</x:v>
      </x:c>
      <x:c r="E1190" s="25" t="n">
        <x:v>40210.29861111111</x:v>
      </x:c>
      <x:c r="F1190" s="2" t="n">
        <x:v>677</x:v>
      </x:c>
      <x:c r="G1190" s="2" t="n">
        <x:v>1</x:v>
      </x:c>
      <x:c r="H1190" s="11" t="n">
        <x:v>282.76</x:v>
      </x:c>
      <x:c r="I1190" s="2" t="n">
        <x:v>1</x:v>
      </x:c>
      <x:c r="J1190" s="2" t="n">
        <x:v>1</x:v>
      </x:c>
      <x:c r="K1190" s="2" t="n">
        <x:v>1</x:v>
      </x:c>
      <x:c r="L1190" s="2" t="str">
        <x:v>Hibernating</x:v>
      </x:c>
    </x:row>
    <x:row r="1191" ht="22" customHeight="1">
      <x:c r="A1191" s="2"/>
      <x:c r="B1191" s="2" t="str">
        <x:v>13512</x:v>
      </x:c>
      <x:c r="C1191" s="2" t="str">
        <x:v>United Kingdom</x:v>
      </x:c>
      <x:c r="D1191" s="25" t="n">
        <x:v>40303.34861111111</x:v>
      </x:c>
      <x:c r="E1191" s="25" t="n">
        <x:v>40626.21041666667</x:v>
      </x:c>
      <x:c r="F1191" s="2" t="n">
        <x:v>261</x:v>
      </x:c>
      <x:c r="G1191" s="2" t="n">
        <x:v>4</x:v>
      </x:c>
      <x:c r="H1191" s="11" t="n">
        <x:v>713.39</x:v>
      </x:c>
      <x:c r="I1191" s="2" t="n">
        <x:v>2</x:v>
      </x:c>
      <x:c r="J1191" s="2" t="n">
        <x:v>3</x:v>
      </x:c>
      <x:c r="K1191" s="2" t="n">
        <x:v>3</x:v>
      </x:c>
      <x:c r="L1191" s="2" t="str">
        <x:v>At risk</x:v>
      </x:c>
    </x:row>
    <x:row r="1192" ht="22" customHeight="1">
      <x:c r="A1192" s="2"/>
      <x:c r="B1192" s="2" t="str">
        <x:v>13513</x:v>
      </x:c>
      <x:c r="C1192" s="2" t="str">
        <x:v>United Kingdom</x:v>
      </x:c>
      <x:c r="D1192" s="25" t="n">
        <x:v>40231.48333333333</x:v>
      </x:c>
      <x:c r="E1192" s="25" t="n">
        <x:v>40760.28472222222</x:v>
      </x:c>
      <x:c r="F1192" s="2" t="n">
        <x:v>127</x:v>
      </x:c>
      <x:c r="G1192" s="2" t="n">
        <x:v>3</x:v>
      </x:c>
      <x:c r="H1192" s="11" t="n">
        <x:v>824.59</x:v>
      </x:c>
      <x:c r="I1192" s="2" t="n">
        <x:v>3</x:v>
      </x:c>
      <x:c r="J1192" s="2" t="n">
        <x:v>3</x:v>
      </x:c>
      <x:c r="K1192" s="2" t="n">
        <x:v>3</x:v>
      </x:c>
      <x:c r="L1192" s="2" t="str">
        <x:v>Loyal</x:v>
      </x:c>
    </x:row>
    <x:row r="1193" ht="22" customHeight="1">
      <x:c r="A1193" s="2"/>
      <x:c r="B1193" s="2" t="str">
        <x:v>13514</x:v>
      </x:c>
      <x:c r="C1193" s="2" t="str">
        <x:v>United Kingdom</x:v>
      </x:c>
      <x:c r="D1193" s="25" t="n">
        <x:v>40204.424305555556</x:v>
      </x:c>
      <x:c r="E1193" s="25" t="n">
        <x:v>40813.19375</x:v>
      </x:c>
      <x:c r="F1193" s="2" t="n">
        <x:v>74</x:v>
      </x:c>
      <x:c r="G1193" s="2" t="n">
        <x:v>4</x:v>
      </x:c>
      <x:c r="H1193" s="11" t="n">
        <x:v>815.9</x:v>
      </x:c>
      <x:c r="I1193" s="2" t="n">
        <x:v>3</x:v>
      </x:c>
      <x:c r="J1193" s="2" t="n">
        <x:v>3</x:v>
      </x:c>
      <x:c r="K1193" s="2" t="n">
        <x:v>3</x:v>
      </x:c>
      <x:c r="L1193" s="2" t="str">
        <x:v>Loyal</x:v>
      </x:c>
    </x:row>
    <x:row r="1194" ht="22" customHeight="1">
      <x:c r="A1194" s="2"/>
      <x:c r="B1194" s="2" t="str">
        <x:v>13515</x:v>
      </x:c>
      <x:c r="C1194" s="2" t="str">
        <x:v>United Kingdom</x:v>
      </x:c>
      <x:c r="D1194" s="25" t="n">
        <x:v>40242.29027777778</x:v>
      </x:c>
      <x:c r="E1194" s="25" t="n">
        <x:v>40814.268055555556</x:v>
      </x:c>
      <x:c r="F1194" s="2" t="n">
        <x:v>73</x:v>
      </x:c>
      <x:c r="G1194" s="2" t="n">
        <x:v>6</x:v>
      </x:c>
      <x:c r="H1194" s="11" t="n">
        <x:v>1265.82</x:v>
      </x:c>
      <x:c r="I1194" s="2" t="n">
        <x:v>3</x:v>
      </x:c>
      <x:c r="J1194" s="2" t="n">
        <x:v>4</x:v>
      </x:c>
      <x:c r="K1194" s="2" t="n">
        <x:v>4</x:v>
      </x:c>
      <x:c r="L1194" s="2" t="str">
        <x:v>Loyal</x:v>
      </x:c>
    </x:row>
    <x:row r="1195" ht="22" customHeight="1">
      <x:c r="A1195" s="2"/>
      <x:c r="B1195" s="2" t="str">
        <x:v>13516</x:v>
      </x:c>
      <x:c r="C1195" s="2" t="str">
        <x:v>United Kingdom</x:v>
      </x:c>
      <x:c r="D1195" s="25" t="n">
        <x:v>40469.16111111111</x:v>
      </x:c>
      <x:c r="E1195" s="25" t="n">
        <x:v>40865.34375</x:v>
      </x:c>
      <x:c r="F1195" s="2" t="n">
        <x:v>22</x:v>
      </x:c>
      <x:c r="G1195" s="2" t="n">
        <x:v>4</x:v>
      </x:c>
      <x:c r="H1195" s="11" t="n">
        <x:v>1685.26</x:v>
      </x:c>
      <x:c r="I1195" s="2" t="n">
        <x:v>4</x:v>
      </x:c>
      <x:c r="J1195" s="2" t="n">
        <x:v>3</x:v>
      </x:c>
      <x:c r="K1195" s="2" t="n">
        <x:v>4</x:v>
      </x:c>
      <x:c r="L1195" s="2" t="str">
        <x:v>Loyal</x:v>
      </x:c>
    </x:row>
    <x:row r="1196" ht="22" customHeight="1">
      <x:c r="A1196" s="2"/>
      <x:c r="B1196" s="2" t="str">
        <x:v>13517</x:v>
      </x:c>
      <x:c r="C1196" s="2" t="str">
        <x:v>United Kingdom</x:v>
      </x:c>
      <x:c r="D1196" s="25" t="n">
        <x:v>40707.15555555555</x:v>
      </x:c>
      <x:c r="E1196" s="25" t="n">
        <x:v>40827.279861111114</x:v>
      </x:c>
      <x:c r="F1196" s="2" t="n">
        <x:v>60</x:v>
      </x:c>
      <x:c r="G1196" s="2" t="n">
        <x:v>3</x:v>
      </x:c>
      <x:c r="H1196" s="11" t="n">
        <x:v>2128.42</x:v>
      </x:c>
      <x:c r="I1196" s="2" t="n">
        <x:v>3</x:v>
      </x:c>
      <x:c r="J1196" s="2" t="n">
        <x:v>3</x:v>
      </x:c>
      <x:c r="K1196" s="2" t="n">
        <x:v>4</x:v>
      </x:c>
      <x:c r="L1196" s="2" t="str">
        <x:v>Loyal</x:v>
      </x:c>
    </x:row>
    <x:row r="1197" ht="22" customHeight="1">
      <x:c r="A1197" s="2"/>
      <x:c r="B1197" s="2" t="str">
        <x:v>13518</x:v>
      </x:c>
      <x:c r="C1197" s="2" t="str">
        <x:v>United Kingdom</x:v>
      </x:c>
      <x:c r="D1197" s="25" t="n">
        <x:v>40801.228472222225</x:v>
      </x:c>
      <x:c r="E1197" s="25" t="n">
        <x:v>40801.228472222225</x:v>
      </x:c>
      <x:c r="F1197" s="2" t="n">
        <x:v>86</x:v>
      </x:c>
      <x:c r="G1197" s="2" t="n">
        <x:v>1</x:v>
      </x:c>
      <x:c r="H1197" s="11" t="n">
        <x:v>659.44</x:v>
      </x:c>
      <x:c r="I1197" s="2" t="n">
        <x:v>3</x:v>
      </x:c>
      <x:c r="J1197" s="2" t="n">
        <x:v>1</x:v>
      </x:c>
      <x:c r="K1197" s="2" t="n">
        <x:v>3</x:v>
      </x:c>
      <x:c r="L1197" s="2" t="str">
        <x:v>Developing</x:v>
      </x:c>
    </x:row>
    <x:row r="1198" ht="22" customHeight="1">
      <x:c r="A1198" s="2"/>
      <x:c r="B1198" s="2" t="str">
        <x:v>13519</x:v>
      </x:c>
      <x:c r="C1198" s="2" t="str">
        <x:v>United Kingdom</x:v>
      </x:c>
      <x:c r="D1198" s="25" t="n">
        <x:v>40444.28125</x:v>
      </x:c>
      <x:c r="E1198" s="25" t="n">
        <x:v>40808.558333333334</x:v>
      </x:c>
      <x:c r="F1198" s="2" t="n">
        <x:v>79</x:v>
      </x:c>
      <x:c r="G1198" s="2" t="n">
        <x:v>2</x:v>
      </x:c>
      <x:c r="H1198" s="11" t="n">
        <x:v>343.21</x:v>
      </x:c>
      <x:c r="I1198" s="2" t="n">
        <x:v>3</x:v>
      </x:c>
      <x:c r="J1198" s="2" t="n">
        <x:v>2</x:v>
      </x:c>
      <x:c r="K1198" s="2" t="n">
        <x:v>2</x:v>
      </x:c>
      <x:c r="L1198" s="2" t="str">
        <x:v>Developing</x:v>
      </x:c>
    </x:row>
    <x:row r="1199" ht="22" customHeight="1">
      <x:c r="A1199" s="2"/>
      <x:c r="B1199" s="2" t="str">
        <x:v>13520</x:v>
      </x:c>
      <x:c r="C1199" s="2" t="str">
        <x:v>Switzerland</x:v>
      </x:c>
      <x:c r="D1199" s="25" t="n">
        <x:v>40164.25763888889</x:v>
      </x:c>
      <x:c r="E1199" s="25" t="n">
        <x:v>40828.22222222222</x:v>
      </x:c>
      <x:c r="F1199" s="2" t="n">
        <x:v>59</x:v>
      </x:c>
      <x:c r="G1199" s="2" t="n">
        <x:v>11</x:v>
      </x:c>
      <x:c r="H1199" s="11" t="n">
        <x:v>6606</x:v>
      </x:c>
      <x:c r="I1199" s="2" t="n">
        <x:v>4</x:v>
      </x:c>
      <x:c r="J1199" s="2" t="n">
        <x:v>5</x:v>
      </x:c>
      <x:c r="K1199" s="2" t="n">
        <x:v>5</x:v>
      </x:c>
      <x:c r="L1199" s="2" t="str">
        <x:v>Champions</x:v>
      </x:c>
    </x:row>
    <x:row r="1200" ht="22" customHeight="1">
      <x:c r="A1200" s="2"/>
      <x:c r="B1200" s="2" t="str">
        <x:v>13521</x:v>
      </x:c>
      <x:c r="C1200" s="2" t="str">
        <x:v>United Kingdom</x:v>
      </x:c>
      <x:c r="D1200" s="25" t="n">
        <x:v>40876.42291666667</x:v>
      </x:c>
      <x:c r="E1200" s="25" t="n">
        <x:v>40885.368055555555</x:v>
      </x:c>
      <x:c r="F1200" s="2" t="n">
        <x:v>2</x:v>
      </x:c>
      <x:c r="G1200" s="2" t="n">
        <x:v>3</x:v>
      </x:c>
      <x:c r="H1200" s="11" t="n">
        <x:v>1093.65</x:v>
      </x:c>
      <x:c r="I1200" s="2" t="n">
        <x:v>5</x:v>
      </x:c>
      <x:c r="J1200" s="2" t="n">
        <x:v>3</x:v>
      </x:c>
      <x:c r="K1200" s="2" t="n">
        <x:v>3</x:v>
      </x:c>
      <x:c r="L1200" s="2" t="str">
        <x:v>Loyal</x:v>
      </x:c>
    </x:row>
    <x:row r="1201" ht="22" customHeight="1">
      <x:c r="A1201" s="2"/>
      <x:c r="B1201" s="2" t="str">
        <x:v>13522</x:v>
      </x:c>
      <x:c r="C1201" s="2" t="str">
        <x:v>United Kingdom</x:v>
      </x:c>
      <x:c r="D1201" s="25" t="n">
        <x:v>40856.424305555556</x:v>
      </x:c>
      <x:c r="E1201" s="25" t="n">
        <x:v>40856.424305555556</x:v>
      </x:c>
      <x:c r="F1201" s="2" t="n">
        <x:v>31</x:v>
      </x:c>
      <x:c r="G1201" s="2" t="n">
        <x:v>1</x:v>
      </x:c>
      <x:c r="H1201" s="11" t="n">
        <x:v>125.8</x:v>
      </x:c>
      <x:c r="I1201" s="2" t="n">
        <x:v>4</x:v>
      </x:c>
      <x:c r="J1201" s="2" t="n">
        <x:v>1</x:v>
      </x:c>
      <x:c r="K1201" s="2" t="n">
        <x:v>1</x:v>
      </x:c>
      <x:c r="L1201" s="2" t="str">
        <x:v>Recent light buyers</x:v>
      </x:c>
    </x:row>
    <x:row r="1202" ht="22" customHeight="1">
      <x:c r="A1202" s="2"/>
      <x:c r="B1202" s="2" t="str">
        <x:v>13523</x:v>
      </x:c>
      <x:c r="C1202" s="2" t="str">
        <x:v>United Kingdom</x:v>
      </x:c>
      <x:c r="D1202" s="25" t="n">
        <x:v>40484.413194444445</x:v>
      </x:c>
      <x:c r="E1202" s="25" t="n">
        <x:v>40853.424305555556</x:v>
      </x:c>
      <x:c r="F1202" s="2" t="n">
        <x:v>34</x:v>
      </x:c>
      <x:c r="G1202" s="2" t="n">
        <x:v>6</x:v>
      </x:c>
      <x:c r="H1202" s="11" t="n">
        <x:v>4534.57</x:v>
      </x:c>
      <x:c r="I1202" s="2" t="n">
        <x:v>4</x:v>
      </x:c>
      <x:c r="J1202" s="2" t="n">
        <x:v>4</x:v>
      </x:c>
      <x:c r="K1202" s="2" t="n">
        <x:v>5</x:v>
      </x:c>
      <x:c r="L1202" s="2" t="str">
        <x:v>Champions</x:v>
      </x:c>
    </x:row>
    <x:row r="1203" ht="22" customHeight="1">
      <x:c r="A1203" s="2"/>
      <x:c r="B1203" s="2" t="str">
        <x:v>13524</x:v>
      </x:c>
      <x:c r="C1203" s="2" t="str">
        <x:v>United Kingdom</x:v>
      </x:c>
      <x:c r="D1203" s="25" t="n">
        <x:v>40667.30972222222</x:v>
      </x:c>
      <x:c r="E1203" s="25" t="n">
        <x:v>40846.31527777778</x:v>
      </x:c>
      <x:c r="F1203" s="2" t="n">
        <x:v>41</x:v>
      </x:c>
      <x:c r="G1203" s="2" t="n">
        <x:v>5</x:v>
      </x:c>
      <x:c r="H1203" s="11" t="n">
        <x:v>680.18</x:v>
      </x:c>
      <x:c r="I1203" s="2" t="n">
        <x:v>4</x:v>
      </x:c>
      <x:c r="J1203" s="2" t="n">
        <x:v>4</x:v>
      </x:c>
      <x:c r="K1203" s="2" t="n">
        <x:v>3</x:v>
      </x:c>
      <x:c r="L1203" s="2" t="str">
        <x:v>Loyal</x:v>
      </x:c>
    </x:row>
    <x:row r="1204" ht="22" customHeight="1">
      <x:c r="A1204" s="2"/>
      <x:c r="B1204" s="2" t="str">
        <x:v>13525</x:v>
      </x:c>
      <x:c r="C1204" s="2" t="str">
        <x:v>United Kingdom</x:v>
      </x:c>
      <x:c r="D1204" s="25" t="n">
        <x:v>40638.441666666666</x:v>
      </x:c>
      <x:c r="E1204" s="25" t="n">
        <x:v>40872.29236111111</x:v>
      </x:c>
      <x:c r="F1204" s="2" t="n">
        <x:v>15</x:v>
      </x:c>
      <x:c r="G1204" s="2" t="n">
        <x:v>2</x:v>
      </x:c>
      <x:c r="H1204" s="11" t="n">
        <x:v>628.78</x:v>
      </x:c>
      <x:c r="I1204" s="2" t="n">
        <x:v>5</x:v>
      </x:c>
      <x:c r="J1204" s="2" t="n">
        <x:v>2</x:v>
      </x:c>
      <x:c r="K1204" s="2" t="n">
        <x:v>3</x:v>
      </x:c>
      <x:c r="L1204" s="2" t="str">
        <x:v>Recent light buyers</x:v>
      </x:c>
    </x:row>
    <x:row r="1205" ht="22" customHeight="1">
      <x:c r="A1205" s="2"/>
      <x:c r="B1205" s="2" t="str">
        <x:v>13526</x:v>
      </x:c>
      <x:c r="C1205" s="2" t="str">
        <x:v>United Kingdom</x:v>
      </x:c>
      <x:c r="D1205" s="25" t="n">
        <x:v>40148.330555555556</x:v>
      </x:c>
      <x:c r="E1205" s="25" t="n">
        <x:v>40148.342361111114</x:v>
      </x:c>
      <x:c r="F1205" s="2" t="n">
        <x:v>739</x:v>
      </x:c>
      <x:c r="G1205" s="2" t="n">
        <x:v>2</x:v>
      </x:c>
      <x:c r="H1205" s="11" t="n">
        <x:v>1182</x:v>
      </x:c>
      <x:c r="I1205" s="2" t="n">
        <x:v>1</x:v>
      </x:c>
      <x:c r="J1205" s="2" t="n">
        <x:v>2</x:v>
      </x:c>
      <x:c r="K1205" s="2" t="n">
        <x:v>3</x:v>
      </x:c>
      <x:c r="L1205" s="2" t="str">
        <x:v>Hibernating</x:v>
      </x:c>
    </x:row>
    <x:row r="1206" ht="22" customHeight="1">
      <x:c r="A1206" s="2"/>
      <x:c r="B1206" s="2" t="str">
        <x:v>13527</x:v>
      </x:c>
      <x:c r="C1206" s="2" t="str">
        <x:v>United Kingdom</x:v>
      </x:c>
      <x:c r="D1206" s="25" t="n">
        <x:v>40199.31736111111</x:v>
      </x:c>
      <x:c r="E1206" s="25" t="n">
        <x:v>40853.294444444444</x:v>
      </x:c>
      <x:c r="F1206" s="2" t="n">
        <x:v>34</x:v>
      </x:c>
      <x:c r="G1206" s="2" t="n">
        <x:v>12</x:v>
      </x:c>
      <x:c r="H1206" s="11" t="n">
        <x:v>4683.74</x:v>
      </x:c>
      <x:c r="I1206" s="2" t="n">
        <x:v>4</x:v>
      </x:c>
      <x:c r="J1206" s="2" t="n">
        <x:v>5</x:v>
      </x:c>
      <x:c r="K1206" s="2" t="n">
        <x:v>5</x:v>
      </x:c>
      <x:c r="L1206" s="2" t="str">
        <x:v>Champions</x:v>
      </x:c>
    </x:row>
    <x:row r="1207" ht="22" customHeight="1">
      <x:c r="A1207" s="2"/>
      <x:c r="B1207" s="2" t="str">
        <x:v>13529</x:v>
      </x:c>
      <x:c r="C1207" s="2" t="str">
        <x:v>United Kingdom</x:v>
      </x:c>
      <x:c r="D1207" s="25" t="n">
        <x:v>40682.28472222222</x:v>
      </x:c>
      <x:c r="E1207" s="25" t="n">
        <x:v>40808.177083333336</x:v>
      </x:c>
      <x:c r="F1207" s="2" t="n">
        <x:v>79</x:v>
      </x:c>
      <x:c r="G1207" s="2" t="n">
        <x:v>2</x:v>
      </x:c>
      <x:c r="H1207" s="11" t="n">
        <x:v>307.76</x:v>
      </x:c>
      <x:c r="I1207" s="2" t="n">
        <x:v>3</x:v>
      </x:c>
      <x:c r="J1207" s="2" t="n">
        <x:v>2</x:v>
      </x:c>
      <x:c r="K1207" s="2" t="n">
        <x:v>2</x:v>
      </x:c>
      <x:c r="L1207" s="2" t="str">
        <x:v>Developing</x:v>
      </x:c>
    </x:row>
    <x:row r="1208" ht="22" customHeight="1">
      <x:c r="A1208" s="2"/>
      <x:c r="B1208" s="2" t="str">
        <x:v>13530</x:v>
      </x:c>
      <x:c r="C1208" s="2" t="str">
        <x:v>United Kingdom</x:v>
      </x:c>
      <x:c r="D1208" s="25" t="n">
        <x:v>40252.381944444445</x:v>
      </x:c>
      <x:c r="E1208" s="25" t="n">
        <x:v>40252.381944444445</x:v>
      </x:c>
      <x:c r="F1208" s="2" t="n">
        <x:v>635</x:v>
      </x:c>
      <x:c r="G1208" s="2" t="n">
        <x:v>1</x:v>
      </x:c>
      <x:c r="H1208" s="11" t="n">
        <x:v>402.98</x:v>
      </x:c>
      <x:c r="I1208" s="2" t="n">
        <x:v>1</x:v>
      </x:c>
      <x:c r="J1208" s="2" t="n">
        <x:v>1</x:v>
      </x:c>
      <x:c r="K1208" s="2" t="n">
        <x:v>2</x:v>
      </x:c>
      <x:c r="L1208" s="2" t="str">
        <x:v>Hibernating</x:v>
      </x:c>
    </x:row>
    <x:row r="1209" ht="22" customHeight="1">
      <x:c r="A1209" s="2"/>
      <x:c r="B1209" s="2" t="str">
        <x:v>13531</x:v>
      </x:c>
      <x:c r="C1209" s="2" t="str">
        <x:v>United Kingdom</x:v>
      </x:c>
      <x:c r="D1209" s="25" t="n">
        <x:v>40150.430555555555</x:v>
      </x:c>
      <x:c r="E1209" s="25" t="n">
        <x:v>40681.49722222222</x:v>
      </x:c>
      <x:c r="F1209" s="2" t="n">
        <x:v>206</x:v>
      </x:c>
      <x:c r="G1209" s="2" t="n">
        <x:v>6</x:v>
      </x:c>
      <x:c r="H1209" s="11" t="n">
        <x:v>1433.07</x:v>
      </x:c>
      <x:c r="I1209" s="2" t="n">
        <x:v>2</x:v>
      </x:c>
      <x:c r="J1209" s="2" t="n">
        <x:v>4</x:v>
      </x:c>
      <x:c r="K1209" s="2" t="n">
        <x:v>4</x:v>
      </x:c>
      <x:c r="L1209" s="2" t="str">
        <x:v>At risk</x:v>
      </x:c>
    </x:row>
    <x:row r="1210" ht="22" customHeight="1">
      <x:c r="A1210" s="2"/>
      <x:c r="B1210" s="2" t="str">
        <x:v>13532</x:v>
      </x:c>
      <x:c r="C1210" s="2" t="str">
        <x:v>United Kingdom</x:v>
      </x:c>
      <x:c r="D1210" s="25" t="n">
        <x:v>40853.30902777778</x:v>
      </x:c>
      <x:c r="E1210" s="25" t="n">
        <x:v>40853.30902777778</x:v>
      </x:c>
      <x:c r="F1210" s="2" t="n">
        <x:v>34</x:v>
      </x:c>
      <x:c r="G1210" s="2" t="n">
        <x:v>1</x:v>
      </x:c>
      <x:c r="H1210" s="11" t="n">
        <x:v>210.31</x:v>
      </x:c>
      <x:c r="I1210" s="2" t="n">
        <x:v>4</x:v>
      </x:c>
      <x:c r="J1210" s="2" t="n">
        <x:v>1</x:v>
      </x:c>
      <x:c r="K1210" s="2" t="n">
        <x:v>1</x:v>
      </x:c>
      <x:c r="L1210" s="2" t="str">
        <x:v>Recent light buyers</x:v>
      </x:c>
    </x:row>
    <x:row r="1211" ht="22" customHeight="1">
      <x:c r="A1211" s="2"/>
      <x:c r="B1211" s="2" t="str">
        <x:v>13533</x:v>
      </x:c>
      <x:c r="C1211" s="2" t="str">
        <x:v>United Kingdom</x:v>
      </x:c>
      <x:c r="D1211" s="25" t="n">
        <x:v>40619.32430555556</x:v>
      </x:c>
      <x:c r="E1211" s="25" t="n">
        <x:v>40704.2875</x:v>
      </x:c>
      <x:c r="F1211" s="2" t="n">
        <x:v>183</x:v>
      </x:c>
      <x:c r="G1211" s="2" t="n">
        <x:v>3</x:v>
      </x:c>
      <x:c r="H1211" s="11" t="n">
        <x:v>270.79</x:v>
      </x:c>
      <x:c r="I1211" s="2" t="n">
        <x:v>3</x:v>
      </x:c>
      <x:c r="J1211" s="2" t="n">
        <x:v>3</x:v>
      </x:c>
      <x:c r="K1211" s="2" t="n">
        <x:v>1</x:v>
      </x:c>
      <x:c r="L1211" s="2" t="str">
        <x:v>Loyal</x:v>
      </x:c>
    </x:row>
    <x:row r="1212" ht="22" customHeight="1">
      <x:c r="A1212" s="2"/>
      <x:c r="B1212" s="2" t="str">
        <x:v>13534</x:v>
      </x:c>
      <x:c r="C1212" s="2" t="str">
        <x:v>United Kingdom</x:v>
      </x:c>
      <x:c r="D1212" s="25" t="n">
        <x:v>40366.416666666664</x:v>
      </x:c>
      <x:c r="E1212" s="25" t="n">
        <x:v>40884.41111111111</x:v>
      </x:c>
      <x:c r="F1212" s="2" t="n">
        <x:v>3</x:v>
      </x:c>
      <x:c r="G1212" s="2" t="n">
        <x:v>35</x:v>
      </x:c>
      <x:c r="H1212" s="11" t="n">
        <x:v>7720.9</x:v>
      </x:c>
      <x:c r="I1212" s="2" t="n">
        <x:v>5</x:v>
      </x:c>
      <x:c r="J1212" s="2" t="n">
        <x:v>5</x:v>
      </x:c>
      <x:c r="K1212" s="2" t="n">
        <x:v>5</x:v>
      </x:c>
      <x:c r="L1212" s="2" t="str">
        <x:v>Champions</x:v>
      </x:c>
    </x:row>
    <x:row r="1213" ht="22" customHeight="1">
      <x:c r="A1213" s="2"/>
      <x:c r="B1213" s="2" t="str">
        <x:v>13535</x:v>
      </x:c>
      <x:c r="C1213" s="2" t="str">
        <x:v>United Kingdom</x:v>
      </x:c>
      <x:c r="D1213" s="25" t="n">
        <x:v>40484.28402777778</x:v>
      </x:c>
      <x:c r="E1213" s="25" t="n">
        <x:v>40484.28402777778</x:v>
      </x:c>
      <x:c r="F1213" s="2" t="n">
        <x:v>403</x:v>
      </x:c>
      <x:c r="G1213" s="2" t="n">
        <x:v>1</x:v>
      </x:c>
      <x:c r="H1213" s="11" t="n">
        <x:v>89.5</x:v>
      </x:c>
      <x:c r="I1213" s="2" t="n">
        <x:v>2</x:v>
      </x:c>
      <x:c r="J1213" s="2" t="n">
        <x:v>1</x:v>
      </x:c>
      <x:c r="K1213" s="2" t="n">
        <x:v>1</x:v>
      </x:c>
      <x:c r="L1213" s="2" t="str">
        <x:v>Hibernating</x:v>
      </x:c>
    </x:row>
    <x:row r="1214" ht="22" customHeight="1">
      <x:c r="A1214" s="2"/>
      <x:c r="B1214" s="2" t="str">
        <x:v>13536</x:v>
      </x:c>
      <x:c r="C1214" s="2" t="str">
        <x:v>United Kingdom</x:v>
      </x:c>
      <x:c r="D1214" s="25" t="n">
        <x:v>40811.354166666664</x:v>
      </x:c>
      <x:c r="E1214" s="25" t="n">
        <x:v>40885.48472222222</x:v>
      </x:c>
      <x:c r="F1214" s="2" t="n">
        <x:v>2</x:v>
      </x:c>
      <x:c r="G1214" s="2" t="n">
        <x:v>7</x:v>
      </x:c>
      <x:c r="H1214" s="11" t="n">
        <x:v>3448.29</x:v>
      </x:c>
      <x:c r="I1214" s="2" t="n">
        <x:v>5</x:v>
      </x:c>
      <x:c r="J1214" s="2" t="n">
        <x:v>4</x:v>
      </x:c>
      <x:c r="K1214" s="2" t="n">
        <x:v>5</x:v>
      </x:c>
      <x:c r="L1214" s="2" t="str">
        <x:v>Champions</x:v>
      </x:c>
    </x:row>
    <x:row r="1215" ht="22" customHeight="1">
      <x:c r="A1215" s="2"/>
      <x:c r="B1215" s="2" t="str">
        <x:v>13537</x:v>
      </x:c>
      <x:c r="C1215" s="2" t="str">
        <x:v>United Kingdom</x:v>
      </x:c>
      <x:c r="D1215" s="25" t="n">
        <x:v>40435.236805555556</x:v>
      </x:c>
      <x:c r="E1215" s="25" t="n">
        <x:v>40461.322916666664</x:v>
      </x:c>
      <x:c r="F1215" s="2" t="n">
        <x:v>426</x:v>
      </x:c>
      <x:c r="G1215" s="2" t="n">
        <x:v>2</x:v>
      </x:c>
      <x:c r="H1215" s="11" t="n">
        <x:v>717.85</x:v>
      </x:c>
      <x:c r="I1215" s="2" t="n">
        <x:v>1</x:v>
      </x:c>
      <x:c r="J1215" s="2" t="n">
        <x:v>2</x:v>
      </x:c>
      <x:c r="K1215" s="2" t="n">
        <x:v>3</x:v>
      </x:c>
      <x:c r="L1215" s="2" t="str">
        <x:v>Hibernating</x:v>
      </x:c>
    </x:row>
    <x:row r="1216" ht="22" customHeight="1">
      <x:c r="A1216" s="2"/>
      <x:c r="B1216" s="2" t="str">
        <x:v>13538</x:v>
      </x:c>
      <x:c r="C1216" s="2" t="str">
        <x:v>United Kingdom</x:v>
      </x:c>
      <x:c r="D1216" s="25" t="n">
        <x:v>40211.32430555556</x:v>
      </x:c>
      <x:c r="E1216" s="25" t="n">
        <x:v>40843.481944444444</x:v>
      </x:c>
      <x:c r="F1216" s="2" t="n">
        <x:v>44</x:v>
      </x:c>
      <x:c r="G1216" s="2" t="n">
        <x:v>12</x:v>
      </x:c>
      <x:c r="H1216" s="11" t="n">
        <x:v>3112.73</x:v>
      </x:c>
      <x:c r="I1216" s="2" t="n">
        <x:v>4</x:v>
      </x:c>
      <x:c r="J1216" s="2" t="n">
        <x:v>5</x:v>
      </x:c>
      <x:c r="K1216" s="2" t="n">
        <x:v>5</x:v>
      </x:c>
      <x:c r="L1216" s="2" t="str">
        <x:v>Champions</x:v>
      </x:c>
    </x:row>
    <x:row r="1217" ht="22" customHeight="1">
      <x:c r="A1217" s="2"/>
      <x:c r="B1217" s="2" t="str">
        <x:v>13539</x:v>
      </x:c>
      <x:c r="C1217" s="2" t="str">
        <x:v>United Kingdom</x:v>
      </x:c>
      <x:c r="D1217" s="25" t="n">
        <x:v>40296.294444444444</x:v>
      </x:c>
      <x:c r="E1217" s="25" t="n">
        <x:v>40801.22083333333</x:v>
      </x:c>
      <x:c r="F1217" s="2" t="n">
        <x:v>86</x:v>
      </x:c>
      <x:c r="G1217" s="2" t="n">
        <x:v>7</x:v>
      </x:c>
      <x:c r="H1217" s="11" t="n">
        <x:v>1569.36</x:v>
      </x:c>
      <x:c r="I1217" s="2" t="n">
        <x:v>3</x:v>
      </x:c>
      <x:c r="J1217" s="2" t="n">
        <x:v>4</x:v>
      </x:c>
      <x:c r="K1217" s="2" t="n">
        <x:v>4</x:v>
      </x:c>
      <x:c r="L1217" s="2" t="str">
        <x:v>Loyal</x:v>
      </x:c>
    </x:row>
    <x:row r="1218" ht="22" customHeight="1">
      <x:c r="A1218" s="2"/>
      <x:c r="B1218" s="2" t="str">
        <x:v>13540</x:v>
      </x:c>
      <x:c r="C1218" s="2" t="str">
        <x:v>United Kingdom</x:v>
      </x:c>
      <x:c r="D1218" s="25" t="n">
        <x:v>40231.18194444444</x:v>
      </x:c>
      <x:c r="E1218" s="25" t="n">
        <x:v>40419.38888888889</x:v>
      </x:c>
      <x:c r="F1218" s="2" t="n">
        <x:v>468</x:v>
      </x:c>
      <x:c r="G1218" s="2" t="n">
        <x:v>3</x:v>
      </x:c>
      <x:c r="H1218" s="11" t="n">
        <x:v>632.39</x:v>
      </x:c>
      <x:c r="I1218" s="2" t="n">
        <x:v>1</x:v>
      </x:c>
      <x:c r="J1218" s="2" t="n">
        <x:v>3</x:v>
      </x:c>
      <x:c r="K1218" s="2" t="n">
        <x:v>3</x:v>
      </x:c>
      <x:c r="L1218" s="2" t="str">
        <x:v>At risk</x:v>
      </x:c>
    </x:row>
    <x:row r="1219" ht="22" customHeight="1">
      <x:c r="A1219" s="2"/>
      <x:c r="B1219" s="2" t="str">
        <x:v>13541</x:v>
      </x:c>
      <x:c r="C1219" s="2" t="str">
        <x:v>United Kingdom</x:v>
      </x:c>
      <x:c r="D1219" s="25" t="n">
        <x:v>40316.46875</x:v>
      </x:c>
      <x:c r="E1219" s="25" t="n">
        <x:v>40459.48402777778</x:v>
      </x:c>
      <x:c r="F1219" s="2" t="n">
        <x:v>428</x:v>
      </x:c>
      <x:c r="G1219" s="2" t="n">
        <x:v>2</x:v>
      </x:c>
      <x:c r="H1219" s="11" t="n">
        <x:v>785.25</x:v>
      </x:c>
      <x:c r="I1219" s="2" t="n">
        <x:v>1</x:v>
      </x:c>
      <x:c r="J1219" s="2" t="n">
        <x:v>2</x:v>
      </x:c>
      <x:c r="K1219" s="2" t="n">
        <x:v>3</x:v>
      </x:c>
      <x:c r="L1219" s="2" t="str">
        <x:v>Hibernating</x:v>
      </x:c>
    </x:row>
    <x:row r="1220" ht="22" customHeight="1">
      <x:c r="A1220" s="2"/>
      <x:c r="B1220" s="2" t="str">
        <x:v>13542</x:v>
      </x:c>
      <x:c r="C1220" s="2" t="str">
        <x:v>United Kingdom</x:v>
      </x:c>
      <x:c r="D1220" s="25" t="n">
        <x:v>40157.62013888889</x:v>
      </x:c>
      <x:c r="E1220" s="25" t="n">
        <x:v>40510.26666666667</x:v>
      </x:c>
      <x:c r="F1220" s="2" t="n">
        <x:v>377</x:v>
      </x:c>
      <x:c r="G1220" s="2" t="n">
        <x:v>17</x:v>
      </x:c>
      <x:c r="H1220" s="11" t="n">
        <x:v>4006.17</x:v>
      </x:c>
      <x:c r="I1220" s="2" t="n">
        <x:v>2</x:v>
      </x:c>
      <x:c r="J1220" s="2" t="n">
        <x:v>5</x:v>
      </x:c>
      <x:c r="K1220" s="2" t="n">
        <x:v>5</x:v>
      </x:c>
      <x:c r="L1220" s="2" t="str">
        <x:v>At risk</x:v>
      </x:c>
    </x:row>
    <x:row r="1221" ht="22" customHeight="1">
      <x:c r="A1221" s="2"/>
      <x:c r="B1221" s="2" t="str">
        <x:v>13543</x:v>
      </x:c>
      <x:c r="C1221" s="2" t="str">
        <x:v>United Kingdom</x:v>
      </x:c>
      <x:c r="D1221" s="25" t="n">
        <x:v>40199.395833333336</x:v>
      </x:c>
      <x:c r="E1221" s="25" t="n">
        <x:v>40252.356944444444</x:v>
      </x:c>
      <x:c r="F1221" s="2" t="n">
        <x:v>635</x:v>
      </x:c>
      <x:c r="G1221" s="2" t="n">
        <x:v>2</x:v>
      </x:c>
      <x:c r="H1221" s="11" t="n">
        <x:v>1439.61</x:v>
      </x:c>
      <x:c r="I1221" s="2" t="n">
        <x:v>1</x:v>
      </x:c>
      <x:c r="J1221" s="2" t="n">
        <x:v>2</x:v>
      </x:c>
      <x:c r="K1221" s="2" t="n">
        <x:v>4</x:v>
      </x:c>
      <x:c r="L1221" s="2" t="str">
        <x:v>Hibernating</x:v>
      </x:c>
    </x:row>
    <x:row r="1222" ht="22" customHeight="1">
      <x:c r="A1222" s="2"/>
      <x:c r="B1222" s="2" t="str">
        <x:v>13544</x:v>
      </x:c>
      <x:c r="C1222" s="2" t="str">
        <x:v>United Kingdom</x:v>
      </x:c>
      <x:c r="D1222" s="25" t="n">
        <x:v>40242.271527777775</x:v>
      </x:c>
      <x:c r="E1222" s="25" t="n">
        <x:v>40847.28958333333</x:v>
      </x:c>
      <x:c r="F1222" s="2" t="n">
        <x:v>40</x:v>
      </x:c>
      <x:c r="G1222" s="2" t="n">
        <x:v>6</x:v>
      </x:c>
      <x:c r="H1222" s="11" t="n">
        <x:v>829</x:v>
      </x:c>
      <x:c r="I1222" s="2" t="n">
        <x:v>4</x:v>
      </x:c>
      <x:c r="J1222" s="2" t="n">
        <x:v>4</x:v>
      </x:c>
      <x:c r="K1222" s="2" t="n">
        <x:v>3</x:v>
      </x:c>
      <x:c r="L1222" s="2" t="str">
        <x:v>Loyal</x:v>
      </x:c>
    </x:row>
    <x:row r="1223" ht="22" customHeight="1">
      <x:c r="A1223" s="2"/>
      <x:c r="B1223" s="2" t="str">
        <x:v>13545</x:v>
      </x:c>
      <x:c r="C1223" s="2" t="str">
        <x:v>United Kingdom</x:v>
      </x:c>
      <x:c r="D1223" s="25" t="n">
        <x:v>40342.28402777778</x:v>
      </x:c>
      <x:c r="E1223" s="25" t="n">
        <x:v>40496.26875</x:v>
      </x:c>
      <x:c r="F1223" s="2" t="n">
        <x:v>391</x:v>
      </x:c>
      <x:c r="G1223" s="2" t="n">
        <x:v>2</x:v>
      </x:c>
      <x:c r="H1223" s="11" t="n">
        <x:v>374.64</x:v>
      </x:c>
      <x:c r="I1223" s="2" t="n">
        <x:v>2</x:v>
      </x:c>
      <x:c r="J1223" s="2" t="n">
        <x:v>2</x:v>
      </x:c>
      <x:c r="K1223" s="2" t="n">
        <x:v>2</x:v>
      </x:c>
      <x:c r="L1223" s="2" t="str">
        <x:v>Hibernating</x:v>
      </x:c>
    </x:row>
    <x:row r="1224" ht="22" customHeight="1">
      <x:c r="A1224" s="2"/>
      <x:c r="B1224" s="2" t="str">
        <x:v>13546</x:v>
      </x:c>
      <x:c r="C1224" s="2" t="str">
        <x:v>United Kingdom</x:v>
      </x:c>
      <x:c r="D1224" s="25" t="n">
        <x:v>40462.51597222222</x:v>
      </x:c>
      <x:c r="E1224" s="25" t="n">
        <x:v>40874.40972222222</x:v>
      </x:c>
      <x:c r="F1224" s="2" t="n">
        <x:v>13</x:v>
      </x:c>
      <x:c r="G1224" s="2" t="n">
        <x:v>5</x:v>
      </x:c>
      <x:c r="H1224" s="11" t="n">
        <x:v>1092.14</x:v>
      </x:c>
      <x:c r="I1224" s="2" t="n">
        <x:v>5</x:v>
      </x:c>
      <x:c r="J1224" s="2" t="n">
        <x:v>4</x:v>
      </x:c>
      <x:c r="K1224" s="2" t="n">
        <x:v>3</x:v>
      </x:c>
      <x:c r="L1224" s="2" t="str">
        <x:v>Loyal</x:v>
      </x:c>
    </x:row>
    <x:row r="1225" ht="22" customHeight="1">
      <x:c r="A1225" s="2"/>
      <x:c r="B1225" s="2" t="str">
        <x:v>13547</x:v>
      </x:c>
      <x:c r="C1225" s="2" t="str">
        <x:v>United Kingdom</x:v>
      </x:c>
      <x:c r="D1225" s="25" t="n">
        <x:v>40478.384722222225</x:v>
      </x:c>
      <x:c r="E1225" s="25" t="n">
        <x:v>40478.384722222225</x:v>
      </x:c>
      <x:c r="F1225" s="2" t="n">
        <x:v>409</x:v>
      </x:c>
      <x:c r="G1225" s="2" t="n">
        <x:v>1</x:v>
      </x:c>
      <x:c r="H1225" s="11" t="n">
        <x:v>175.53</x:v>
      </x:c>
      <x:c r="I1225" s="2" t="n">
        <x:v>2</x:v>
      </x:c>
      <x:c r="J1225" s="2" t="n">
        <x:v>1</x:v>
      </x:c>
      <x:c r="K1225" s="2" t="n">
        <x:v>1</x:v>
      </x:c>
      <x:c r="L1225" s="2" t="str">
        <x:v>Hibernating</x:v>
      </x:c>
    </x:row>
    <x:row r="1226" ht="22" customHeight="1">
      <x:c r="A1226" s="2"/>
      <x:c r="B1226" s="2" t="str">
        <x:v>13548</x:v>
      </x:c>
      <x:c r="C1226" s="2" t="str">
        <x:v>United Kingdom</x:v>
      </x:c>
      <x:c r="D1226" s="25" t="n">
        <x:v>40415.36388888889</x:v>
      </x:c>
      <x:c r="E1226" s="25" t="n">
        <x:v>40790.40972222222</x:v>
      </x:c>
      <x:c r="F1226" s="2" t="n">
        <x:v>97</x:v>
      </x:c>
      <x:c r="G1226" s="2" t="n">
        <x:v>3</x:v>
      </x:c>
      <x:c r="H1226" s="11" t="n">
        <x:v>908.99</x:v>
      </x:c>
      <x:c r="I1226" s="2" t="n">
        <x:v>3</x:v>
      </x:c>
      <x:c r="J1226" s="2" t="n">
        <x:v>3</x:v>
      </x:c>
      <x:c r="K1226" s="2" t="n">
        <x:v>3</x:v>
      </x:c>
      <x:c r="L1226" s="2" t="str">
        <x:v>Loyal</x:v>
      </x:c>
    </x:row>
    <x:row r="1227" ht="22" customHeight="1">
      <x:c r="A1227" s="2"/>
      <x:c r="B1227" s="2" t="str">
        <x:v>13549</x:v>
      </x:c>
      <x:c r="C1227" s="2" t="str">
        <x:v>United Kingdom</x:v>
      </x:c>
      <x:c r="D1227" s="25" t="n">
        <x:v>40499.30347222222</x:v>
      </x:c>
      <x:c r="E1227" s="25" t="n">
        <x:v>40861.180555555555</x:v>
      </x:c>
      <x:c r="F1227" s="2" t="n">
        <x:v>26</x:v>
      </x:c>
      <x:c r="G1227" s="2" t="n">
        <x:v>8</x:v>
      </x:c>
      <x:c r="H1227" s="11" t="n">
        <x:v>1005.8</x:v>
      </x:c>
      <x:c r="I1227" s="2" t="n">
        <x:v>4</x:v>
      </x:c>
      <x:c r="J1227" s="2" t="n">
        <x:v>4</x:v>
      </x:c>
      <x:c r="K1227" s="2" t="n">
        <x:v>3</x:v>
      </x:c>
      <x:c r="L1227" s="2" t="str">
        <x:v>Loyal</x:v>
      </x:c>
    </x:row>
    <x:row r="1228" ht="22" customHeight="1">
      <x:c r="A1228" s="2"/>
      <x:c r="B1228" s="2" t="str">
        <x:v>13550</x:v>
      </x:c>
      <x:c r="C1228" s="2" t="str">
        <x:v>United Kingdom</x:v>
      </x:c>
      <x:c r="D1228" s="25" t="n">
        <x:v>40503.433333333334</x:v>
      </x:c>
      <x:c r="E1228" s="25" t="n">
        <x:v>40503.433333333334</x:v>
      </x:c>
      <x:c r="F1228" s="2" t="n">
        <x:v>384</x:v>
      </x:c>
      <x:c r="G1228" s="2" t="n">
        <x:v>1</x:v>
      </x:c>
      <x:c r="H1228" s="11" t="n">
        <x:v>349.51</x:v>
      </x:c>
      <x:c r="I1228" s="2" t="n">
        <x:v>2</x:v>
      </x:c>
      <x:c r="J1228" s="2" t="n">
        <x:v>1</x:v>
      </x:c>
      <x:c r="K1228" s="2" t="n">
        <x:v>2</x:v>
      </x:c>
      <x:c r="L1228" s="2" t="str">
        <x:v>Hibernating</x:v>
      </x:c>
    </x:row>
    <x:row r="1229" ht="22" customHeight="1">
      <x:c r="A1229" s="2"/>
      <x:c r="B1229" s="2" t="str">
        <x:v>13551</x:v>
      </x:c>
      <x:c r="C1229" s="2" t="str">
        <x:v>United Kingdom</x:v>
      </x:c>
      <x:c r="D1229" s="25" t="n">
        <x:v>40220.41736111111</x:v>
      </x:c>
      <x:c r="E1229" s="25" t="n">
        <x:v>40567.40694444445</x:v>
      </x:c>
      <x:c r="F1229" s="2" t="n">
        <x:v>320</x:v>
      </x:c>
      <x:c r="G1229" s="2" t="n">
        <x:v>2</x:v>
      </x:c>
      <x:c r="H1229" s="11" t="n">
        <x:v>244.2</x:v>
      </x:c>
      <x:c r="I1229" s="2" t="n">
        <x:v>2</x:v>
      </x:c>
      <x:c r="J1229" s="2" t="n">
        <x:v>2</x:v>
      </x:c>
      <x:c r="K1229" s="2" t="n">
        <x:v>1</x:v>
      </x:c>
      <x:c r="L1229" s="2" t="str">
        <x:v>Hibernating</x:v>
      </x:c>
    </x:row>
    <x:row r="1230" ht="22" customHeight="1">
      <x:c r="A1230" s="2"/>
      <x:c r="B1230" s="2" t="str">
        <x:v>13552</x:v>
      </x:c>
      <x:c r="C1230" s="2" t="str">
        <x:v>United Kingdom</x:v>
      </x:c>
      <x:c r="D1230" s="25" t="n">
        <x:v>40228.35277777778</x:v>
      </x:c>
      <x:c r="E1230" s="25" t="n">
        <x:v>40820.42986111111</x:v>
      </x:c>
      <x:c r="F1230" s="2" t="n">
        <x:v>67</x:v>
      </x:c>
      <x:c r="G1230" s="2" t="n">
        <x:v>22</x:v>
      </x:c>
      <x:c r="H1230" s="11" t="n">
        <x:v>6978.92</x:v>
      </x:c>
      <x:c r="I1230" s="2" t="n">
        <x:v>3</x:v>
      </x:c>
      <x:c r="J1230" s="2" t="n">
        <x:v>5</x:v>
      </x:c>
      <x:c r="K1230" s="2" t="n">
        <x:v>5</x:v>
      </x:c>
      <x:c r="L1230" s="2" t="str">
        <x:v>Loyal</x:v>
      </x:c>
    </x:row>
    <x:row r="1231" ht="22" customHeight="1">
      <x:c r="A1231" s="2"/>
      <x:c r="B1231" s="2" t="str">
        <x:v>13553</x:v>
      </x:c>
      <x:c r="C1231" s="2" t="str">
        <x:v>United Kingdom</x:v>
      </x:c>
      <x:c r="D1231" s="25" t="n">
        <x:v>40212.30625</x:v>
      </x:c>
      <x:c r="E1231" s="25" t="n">
        <x:v>40212.30625</x:v>
      </x:c>
      <x:c r="F1231" s="2" t="n">
        <x:v>675</x:v>
      </x:c>
      <x:c r="G1231" s="2" t="n">
        <x:v>1</x:v>
      </x:c>
      <x:c r="H1231" s="11" t="n">
        <x:v>517.8</x:v>
      </x:c>
      <x:c r="I1231" s="2" t="n">
        <x:v>1</x:v>
      </x:c>
      <x:c r="J1231" s="2" t="n">
        <x:v>1</x:v>
      </x:c>
      <x:c r="K1231" s="2" t="n">
        <x:v>2</x:v>
      </x:c>
      <x:c r="L1231" s="2" t="str">
        <x:v>Hibernating</x:v>
      </x:c>
    </x:row>
    <x:row r="1232" ht="22" customHeight="1">
      <x:c r="A1232" s="2"/>
      <x:c r="B1232" s="2" t="str">
        <x:v>13554</x:v>
      </x:c>
      <x:c r="C1232" s="2" t="str">
        <x:v>United Kingdom</x:v>
      </x:c>
      <x:c r="D1232" s="25" t="n">
        <x:v>40440.31875</x:v>
      </x:c>
      <x:c r="E1232" s="25" t="n">
        <x:v>40506.42013888889</x:v>
      </x:c>
      <x:c r="F1232" s="2" t="n">
        <x:v>381</x:v>
      </x:c>
      <x:c r="G1232" s="2" t="n">
        <x:v>7</x:v>
      </x:c>
      <x:c r="H1232" s="11" t="n">
        <x:v>1638.28</x:v>
      </x:c>
      <x:c r="I1232" s="2" t="n">
        <x:v>2</x:v>
      </x:c>
      <x:c r="J1232" s="2" t="n">
        <x:v>4</x:v>
      </x:c>
      <x:c r="K1232" s="2" t="n">
        <x:v>4</x:v>
      </x:c>
      <x:c r="L1232" s="2" t="str">
        <x:v>At risk</x:v>
      </x:c>
    </x:row>
    <x:row r="1233" ht="22" customHeight="1">
      <x:c r="A1233" s="2"/>
      <x:c r="B1233" s="2" t="str">
        <x:v>13555</x:v>
      </x:c>
      <x:c r="C1233" s="2" t="str">
        <x:v>United Kingdom</x:v>
      </x:c>
      <x:c r="D1233" s="25" t="n">
        <x:v>40197.34722222222</x:v>
      </x:c>
      <x:c r="E1233" s="25" t="n">
        <x:v>40813.316666666666</x:v>
      </x:c>
      <x:c r="F1233" s="2" t="n">
        <x:v>74</x:v>
      </x:c>
      <x:c r="G1233" s="2" t="n">
        <x:v>13</x:v>
      </x:c>
      <x:c r="H1233" s="11" t="n">
        <x:v>8999.19</x:v>
      </x:c>
      <x:c r="I1233" s="2" t="n">
        <x:v>3</x:v>
      </x:c>
      <x:c r="J1233" s="2" t="n">
        <x:v>5</x:v>
      </x:c>
      <x:c r="K1233" s="2" t="n">
        <x:v>5</x:v>
      </x:c>
      <x:c r="L1233" s="2" t="str">
        <x:v>Loyal</x:v>
      </x:c>
    </x:row>
    <x:row r="1234" ht="22" customHeight="1">
      <x:c r="A1234" s="2"/>
      <x:c r="B1234" s="2" t="str">
        <x:v>13556</x:v>
      </x:c>
      <x:c r="C1234" s="2" t="str">
        <x:v>United Kingdom</x:v>
      </x:c>
      <x:c r="D1234" s="25" t="n">
        <x:v>40451.16736111111</x:v>
      </x:c>
      <x:c r="E1234" s="25" t="n">
        <x:v>40457.48888888889</x:v>
      </x:c>
      <x:c r="F1234" s="2" t="n">
        <x:v>430</x:v>
      </x:c>
      <x:c r="G1234" s="2" t="n">
        <x:v>2</x:v>
      </x:c>
      <x:c r="H1234" s="11" t="n">
        <x:v>200.82</x:v>
      </x:c>
      <x:c r="I1234" s="2" t="n">
        <x:v>1</x:v>
      </x:c>
      <x:c r="J1234" s="2" t="n">
        <x:v>2</x:v>
      </x:c>
      <x:c r="K1234" s="2" t="n">
        <x:v>1</x:v>
      </x:c>
      <x:c r="L1234" s="2" t="str">
        <x:v>Hibernating</x:v>
      </x:c>
    </x:row>
    <x:row r="1235" ht="22" customHeight="1">
      <x:c r="A1235" s="2"/>
      <x:c r="B1235" s="2" t="str">
        <x:v>13557</x:v>
      </x:c>
      <x:c r="C1235" s="2" t="str">
        <x:v>United Kingdom</x:v>
      </x:c>
      <x:c r="D1235" s="25" t="n">
        <x:v>40155.52847222222</x:v>
      </x:c>
      <x:c r="E1235" s="25" t="n">
        <x:v>40858.433333333334</x:v>
      </x:c>
      <x:c r="F1235" s="2" t="n">
        <x:v>29</x:v>
      </x:c>
      <x:c r="G1235" s="2" t="n">
        <x:v>13</x:v>
      </x:c>
      <x:c r="H1235" s="11" t="n">
        <x:v>3032.26</x:v>
      </x:c>
      <x:c r="I1235" s="2" t="n">
        <x:v>4</x:v>
      </x:c>
      <x:c r="J1235" s="2" t="n">
        <x:v>5</x:v>
      </x:c>
      <x:c r="K1235" s="2" t="n">
        <x:v>5</x:v>
      </x:c>
      <x:c r="L1235" s="2" t="str">
        <x:v>Champions</x:v>
      </x:c>
    </x:row>
    <x:row r="1236" ht="22" customHeight="1">
      <x:c r="A1236" s="2"/>
      <x:c r="B1236" s="2" t="str">
        <x:v>13558</x:v>
      </x:c>
      <x:c r="C1236" s="2" t="str">
        <x:v>United Kingdom</x:v>
      </x:c>
      <x:c r="D1236" s="25" t="n">
        <x:v>40818.334027777775</x:v>
      </x:c>
      <x:c r="E1236" s="25" t="n">
        <x:v>40881.26666666667</x:v>
      </x:c>
      <x:c r="F1236" s="2" t="n">
        <x:v>6</x:v>
      </x:c>
      <x:c r="G1236" s="2" t="n">
        <x:v>4</x:v>
      </x:c>
      <x:c r="H1236" s="11" t="n">
        <x:v>605.06</x:v>
      </x:c>
      <x:c r="I1236" s="2" t="n">
        <x:v>5</x:v>
      </x:c>
      <x:c r="J1236" s="2" t="n">
        <x:v>3</x:v>
      </x:c>
      <x:c r="K1236" s="2" t="n">
        <x:v>2</x:v>
      </x:c>
      <x:c r="L1236" s="2" t="str">
        <x:v>Loyal</x:v>
      </x:c>
    </x:row>
    <x:row r="1237" ht="22" customHeight="1">
      <x:c r="A1237" s="2"/>
      <x:c r="B1237" s="2" t="str">
        <x:v>13559</x:v>
      </x:c>
      <x:c r="C1237" s="2" t="str">
        <x:v>United Kingdom</x:v>
      </x:c>
      <x:c r="D1237" s="25" t="n">
        <x:v>40343.28611111111</x:v>
      </x:c>
      <x:c r="E1237" s="25" t="n">
        <x:v>40374.20277777778</x:v>
      </x:c>
      <x:c r="F1237" s="2" t="n">
        <x:v>513</x:v>
      </x:c>
      <x:c r="G1237" s="2" t="n">
        <x:v>2</x:v>
      </x:c>
      <x:c r="H1237" s="11" t="n">
        <x:v>990</x:v>
      </x:c>
      <x:c r="I1237" s="2" t="n">
        <x:v>1</x:v>
      </x:c>
      <x:c r="J1237" s="2" t="n">
        <x:v>2</x:v>
      </x:c>
      <x:c r="K1237" s="2" t="n">
        <x:v>3</x:v>
      </x:c>
      <x:c r="L1237" s="2" t="str">
        <x:v>Hibernating</x:v>
      </x:c>
    </x:row>
    <x:row r="1238" ht="22" customHeight="1">
      <x:c r="A1238" s="2"/>
      <x:c r="B1238" s="2" t="str">
        <x:v>13560</x:v>
      </x:c>
      <x:c r="C1238" s="2" t="str">
        <x:v>United Kingdom</x:v>
      </x:c>
      <x:c r="D1238" s="25" t="n">
        <x:v>40879.34097222222</x:v>
      </x:c>
      <x:c r="E1238" s="25" t="n">
        <x:v>40879.34097222222</x:v>
      </x:c>
      <x:c r="F1238" s="2" t="n">
        <x:v>8</x:v>
      </x:c>
      <x:c r="G1238" s="2" t="n">
        <x:v>1</x:v>
      </x:c>
      <x:c r="H1238" s="11" t="n">
        <x:v>174.37</x:v>
      </x:c>
      <x:c r="I1238" s="2" t="n">
        <x:v>5</x:v>
      </x:c>
      <x:c r="J1238" s="2" t="n">
        <x:v>1</x:v>
      </x:c>
      <x:c r="K1238" s="2" t="n">
        <x:v>1</x:v>
      </x:c>
      <x:c r="L1238" s="2" t="str">
        <x:v>Recent light buyers</x:v>
      </x:c>
    </x:row>
    <x:row r="1239" ht="22" customHeight="1">
      <x:c r="A1239" s="2"/>
      <x:c r="B1239" s="2" t="str">
        <x:v>13561</x:v>
      </x:c>
      <x:c r="C1239" s="2" t="str">
        <x:v>United Kingdom</x:v>
      </x:c>
      <x:c r="D1239" s="25" t="n">
        <x:v>40237.3625</x:v>
      </x:c>
      <x:c r="E1239" s="25" t="n">
        <x:v>40671.31875</x:v>
      </x:c>
      <x:c r="F1239" s="2" t="n">
        <x:v>216</x:v>
      </x:c>
      <x:c r="G1239" s="2" t="n">
        <x:v>11</x:v>
      </x:c>
      <x:c r="H1239" s="11" t="n">
        <x:v>1820.72</x:v>
      </x:c>
      <x:c r="I1239" s="2" t="n">
        <x:v>2</x:v>
      </x:c>
      <x:c r="J1239" s="2" t="n">
        <x:v>5</x:v>
      </x:c>
      <x:c r="K1239" s="2" t="n">
        <x:v>4</x:v>
      </x:c>
      <x:c r="L1239" s="2" t="str">
        <x:v>At risk</x:v>
      </x:c>
    </x:row>
    <x:row r="1240" ht="22" customHeight="1">
      <x:c r="A1240" s="2"/>
      <x:c r="B1240" s="2" t="str">
        <x:v>13562</x:v>
      </x:c>
      <x:c r="C1240" s="2" t="str">
        <x:v>United Kingdom</x:v>
      </x:c>
      <x:c r="D1240" s="25" t="n">
        <x:v>40192.48125</x:v>
      </x:c>
      <x:c r="E1240" s="25" t="n">
        <x:v>40805.24375</x:v>
      </x:c>
      <x:c r="F1240" s="2" t="n">
        <x:v>82</x:v>
      </x:c>
      <x:c r="G1240" s="2" t="n">
        <x:v>8</x:v>
      </x:c>
      <x:c r="H1240" s="11" t="n">
        <x:v>4838.18</x:v>
      </x:c>
      <x:c r="I1240" s="2" t="n">
        <x:v>3</x:v>
      </x:c>
      <x:c r="J1240" s="2" t="n">
        <x:v>4</x:v>
      </x:c>
      <x:c r="K1240" s="2" t="n">
        <x:v>5</x:v>
      </x:c>
      <x:c r="L1240" s="2" t="str">
        <x:v>Loyal</x:v>
      </x:c>
    </x:row>
    <x:row r="1241" ht="22" customHeight="1">
      <x:c r="A1241" s="2"/>
      <x:c r="B1241" s="2" t="str">
        <x:v>13563</x:v>
      </x:c>
      <x:c r="C1241" s="2" t="str">
        <x:v>United Kingdom</x:v>
      </x:c>
      <x:c r="D1241" s="25" t="n">
        <x:v>40746.51458333333</x:v>
      </x:c>
      <x:c r="E1241" s="25" t="n">
        <x:v>40802.40625</x:v>
      </x:c>
      <x:c r="F1241" s="2" t="n">
        <x:v>85</x:v>
      </x:c>
      <x:c r="G1241" s="2" t="n">
        <x:v>2</x:v>
      </x:c>
      <x:c r="H1241" s="11" t="n">
        <x:v>777.53</x:v>
      </x:c>
      <x:c r="I1241" s="2" t="n">
        <x:v>3</x:v>
      </x:c>
      <x:c r="J1241" s="2" t="n">
        <x:v>2</x:v>
      </x:c>
      <x:c r="K1241" s="2" t="n">
        <x:v>3</x:v>
      </x:c>
      <x:c r="L1241" s="2" t="str">
        <x:v>Developing</x:v>
      </x:c>
    </x:row>
    <x:row r="1242" ht="22" customHeight="1">
      <x:c r="A1242" s="2"/>
      <x:c r="B1242" s="2" t="str">
        <x:v>13564</x:v>
      </x:c>
      <x:c r="C1242" s="2" t="str">
        <x:v>United Kingdom</x:v>
      </x:c>
      <x:c r="D1242" s="25" t="n">
        <x:v>40149.288194444445</x:v>
      </x:c>
      <x:c r="E1242" s="25" t="n">
        <x:v>40742.39791666667</x:v>
      </x:c>
      <x:c r="F1242" s="2" t="n">
        <x:v>145</x:v>
      </x:c>
      <x:c r="G1242" s="2" t="n">
        <x:v>37</x:v>
      </x:c>
      <x:c r="H1242" s="11" t="n">
        <x:v>16709.55</x:v>
      </x:c>
      <x:c r="I1242" s="2" t="n">
        <x:v>3</x:v>
      </x:c>
      <x:c r="J1242" s="2" t="n">
        <x:v>5</x:v>
      </x:c>
      <x:c r="K1242" s="2" t="n">
        <x:v>5</x:v>
      </x:c>
      <x:c r="L1242" s="2" t="str">
        <x:v>Loyal</x:v>
      </x:c>
    </x:row>
    <x:row r="1243" ht="22" customHeight="1">
      <x:c r="A1243" s="2"/>
      <x:c r="B1243" s="2" t="str">
        <x:v>13565</x:v>
      </x:c>
      <x:c r="C1243" s="2" t="str">
        <x:v>United Kingdom</x:v>
      </x:c>
      <x:c r="D1243" s="25" t="n">
        <x:v>40475.45208333333</x:v>
      </x:c>
      <x:c r="E1243" s="25" t="n">
        <x:v>40867.39791666667</x:v>
      </x:c>
      <x:c r="F1243" s="2" t="n">
        <x:v>20</x:v>
      </x:c>
      <x:c r="G1243" s="2" t="n">
        <x:v>3</x:v>
      </x:c>
      <x:c r="H1243" s="11" t="n">
        <x:v>414.8</x:v>
      </x:c>
      <x:c r="I1243" s="2" t="n">
        <x:v>5</x:v>
      </x:c>
      <x:c r="J1243" s="2" t="n">
        <x:v>3</x:v>
      </x:c>
      <x:c r="K1243" s="2" t="n">
        <x:v>2</x:v>
      </x:c>
      <x:c r="L1243" s="2" t="str">
        <x:v>Loyal</x:v>
      </x:c>
    </x:row>
    <x:row r="1244" ht="22" customHeight="1">
      <x:c r="A1244" s="2"/>
      <x:c r="B1244" s="2" t="str">
        <x:v>13566</x:v>
      </x:c>
      <x:c r="C1244" s="2" t="str">
        <x:v>United Kingdom</x:v>
      </x:c>
      <x:c r="D1244" s="25" t="n">
        <x:v>40247.30694444444</x:v>
      </x:c>
      <x:c r="E1244" s="25" t="n">
        <x:v>40846.290972222225</x:v>
      </x:c>
      <x:c r="F1244" s="2" t="n">
        <x:v>41</x:v>
      </x:c>
      <x:c r="G1244" s="2" t="n">
        <x:v>5</x:v>
      </x:c>
      <x:c r="H1244" s="11" t="n">
        <x:v>1708.12</x:v>
      </x:c>
      <x:c r="I1244" s="2" t="n">
        <x:v>4</x:v>
      </x:c>
      <x:c r="J1244" s="2" t="n">
        <x:v>4</x:v>
      </x:c>
      <x:c r="K1244" s="2" t="n">
        <x:v>4</x:v>
      </x:c>
      <x:c r="L1244" s="2" t="str">
        <x:v>Champions</x:v>
      </x:c>
    </x:row>
    <x:row r="1245" ht="22" customHeight="1">
      <x:c r="A1245" s="2"/>
      <x:c r="B1245" s="2" t="str">
        <x:v>13567</x:v>
      </x:c>
      <x:c r="C1245" s="2" t="str">
        <x:v>United Kingdom</x:v>
      </x:c>
      <x:c r="D1245" s="25" t="n">
        <x:v>40345.325</x:v>
      </x:c>
      <x:c r="E1245" s="25" t="n">
        <x:v>40458.32708333333</x:v>
      </x:c>
      <x:c r="F1245" s="2" t="n">
        <x:v>429</x:v>
      </x:c>
      <x:c r="G1245" s="2" t="n">
        <x:v>4</x:v>
      </x:c>
      <x:c r="H1245" s="11" t="n">
        <x:v>1083.69</x:v>
      </x:c>
      <x:c r="I1245" s="2" t="n">
        <x:v>1</x:v>
      </x:c>
      <x:c r="J1245" s="2" t="n">
        <x:v>3</x:v>
      </x:c>
      <x:c r="K1245" s="2" t="n">
        <x:v>3</x:v>
      </x:c>
      <x:c r="L1245" s="2" t="str">
        <x:v>At risk</x:v>
      </x:c>
    </x:row>
    <x:row r="1246" ht="22" customHeight="1">
      <x:c r="A1246" s="2"/>
      <x:c r="B1246" s="2" t="str">
        <x:v>13568</x:v>
      </x:c>
      <x:c r="C1246" s="2" t="str">
        <x:v>United Kingdom</x:v>
      </x:c>
      <x:c r="D1246" s="25" t="n">
        <x:v>40713.40416666667</x:v>
      </x:c>
      <x:c r="E1246" s="25" t="n">
        <x:v>40713.40416666667</x:v>
      </x:c>
      <x:c r="F1246" s="2" t="n">
        <x:v>174</x:v>
      </x:c>
      <x:c r="G1246" s="2" t="n">
        <x:v>1</x:v>
      </x:c>
      <x:c r="H1246" s="11" t="n">
        <x:v>192.85</x:v>
      </x:c>
      <x:c r="I1246" s="2" t="n">
        <x:v>3</x:v>
      </x:c>
      <x:c r="J1246" s="2" t="n">
        <x:v>1</x:v>
      </x:c>
      <x:c r="K1246" s="2" t="n">
        <x:v>1</x:v>
      </x:c>
      <x:c r="L1246" s="2" t="str">
        <x:v>Developing</x:v>
      </x:c>
    </x:row>
    <x:row r="1247" ht="22" customHeight="1">
      <x:c r="A1247" s="2"/>
      <x:c r="B1247" s="2" t="str">
        <x:v>13569</x:v>
      </x:c>
      <x:c r="C1247" s="2" t="str">
        <x:v>United Kingdom</x:v>
      </x:c>
      <x:c r="D1247" s="25" t="n">
        <x:v>40458.336805555555</x:v>
      </x:c>
      <x:c r="E1247" s="25" t="n">
        <x:v>40869.33819444444</x:v>
      </x:c>
      <x:c r="F1247" s="2" t="n">
        <x:v>18</x:v>
      </x:c>
      <x:c r="G1247" s="2" t="n">
        <x:v>4</x:v>
      </x:c>
      <x:c r="H1247" s="11" t="n">
        <x:v>775.46</x:v>
      </x:c>
      <x:c r="I1247" s="2" t="n">
        <x:v>5</x:v>
      </x:c>
      <x:c r="J1247" s="2" t="n">
        <x:v>3</x:v>
      </x:c>
      <x:c r="K1247" s="2" t="n">
        <x:v>3</x:v>
      </x:c>
      <x:c r="L1247" s="2" t="str">
        <x:v>Loyal</x:v>
      </x:c>
    </x:row>
    <x:row r="1248" ht="22" customHeight="1">
      <x:c r="A1248" s="2"/>
      <x:c r="B1248" s="2" t="str">
        <x:v>13570</x:v>
      </x:c>
      <x:c r="C1248" s="2" t="str">
        <x:v>United Kingdom</x:v>
      </x:c>
      <x:c r="D1248" s="25" t="n">
        <x:v>40643.35833333333</x:v>
      </x:c>
      <x:c r="E1248" s="25" t="n">
        <x:v>40643.35833333333</x:v>
      </x:c>
      <x:c r="F1248" s="2" t="n">
        <x:v>244</x:v>
      </x:c>
      <x:c r="G1248" s="2" t="n">
        <x:v>1</x:v>
      </x:c>
      <x:c r="H1248" s="11" t="n">
        <x:v>239.49</x:v>
      </x:c>
      <x:c r="I1248" s="2" t="n">
        <x:v>2</x:v>
      </x:c>
      <x:c r="J1248" s="2" t="n">
        <x:v>1</x:v>
      </x:c>
      <x:c r="K1248" s="2" t="n">
        <x:v>1</x:v>
      </x:c>
      <x:c r="L1248" s="2" t="str">
        <x:v>Hibernating</x:v>
      </x:c>
    </x:row>
    <x:row r="1249" ht="22" customHeight="1">
      <x:c r="A1249" s="2"/>
      <x:c r="B1249" s="2" t="str">
        <x:v>13571</x:v>
      </x:c>
      <x:c r="C1249" s="2" t="str">
        <x:v>United Kingdom</x:v>
      </x:c>
      <x:c r="D1249" s="25" t="n">
        <x:v>40155.33472222222</x:v>
      </x:c>
      <x:c r="E1249" s="25" t="n">
        <x:v>40874.24097222222</x:v>
      </x:c>
      <x:c r="F1249" s="2" t="n">
        <x:v>13</x:v>
      </x:c>
      <x:c r="G1249" s="2" t="n">
        <x:v>26</x:v>
      </x:c>
      <x:c r="H1249" s="11" t="n">
        <x:v>4546.54</x:v>
      </x:c>
      <x:c r="I1249" s="2" t="n">
        <x:v>5</x:v>
      </x:c>
      <x:c r="J1249" s="2" t="n">
        <x:v>5</x:v>
      </x:c>
      <x:c r="K1249" s="2" t="n">
        <x:v>5</x:v>
      </x:c>
      <x:c r="L1249" s="2" t="str">
        <x:v>Champions</x:v>
      </x:c>
    </x:row>
    <x:row r="1250" ht="22" customHeight="1">
      <x:c r="A1250" s="2"/>
      <x:c r="B1250" s="2" t="str">
        <x:v>13572</x:v>
      </x:c>
      <x:c r="C1250" s="2" t="str">
        <x:v>United Kingdom</x:v>
      </x:c>
      <x:c r="D1250" s="25" t="n">
        <x:v>40681.290972222225</x:v>
      </x:c>
      <x:c r="E1250" s="25" t="n">
        <x:v>40681.290972222225</x:v>
      </x:c>
      <x:c r="F1250" s="2" t="n">
        <x:v>206</x:v>
      </x:c>
      <x:c r="G1250" s="2" t="n">
        <x:v>1</x:v>
      </x:c>
      <x:c r="H1250" s="11" t="n">
        <x:v>1384.25</x:v>
      </x:c>
      <x:c r="I1250" s="2" t="n">
        <x:v>2</x:v>
      </x:c>
      <x:c r="J1250" s="2" t="n">
        <x:v>1</x:v>
      </x:c>
      <x:c r="K1250" s="2" t="n">
        <x:v>4</x:v>
      </x:c>
      <x:c r="L1250" s="2" t="str">
        <x:v>Hibernating</x:v>
      </x:c>
    </x:row>
    <x:row r="1251" ht="22" customHeight="1">
      <x:c r="A1251" s="2"/>
      <x:c r="B1251" s="2" t="str">
        <x:v>13573</x:v>
      </x:c>
      <x:c r="C1251" s="2" t="str">
        <x:v>United Kingdom</x:v>
      </x:c>
      <x:c r="D1251" s="25" t="n">
        <x:v>40249.4625</x:v>
      </x:c>
      <x:c r="E1251" s="25" t="n">
        <x:v>40836.39791666667</x:v>
      </x:c>
      <x:c r="F1251" s="2" t="n">
        <x:v>51</x:v>
      </x:c>
      <x:c r="G1251" s="2" t="n">
        <x:v>6</x:v>
      </x:c>
      <x:c r="H1251" s="11" t="n">
        <x:v>916.47</x:v>
      </x:c>
      <x:c r="I1251" s="2" t="n">
        <x:v>4</x:v>
      </x:c>
      <x:c r="J1251" s="2" t="n">
        <x:v>4</x:v>
      </x:c>
      <x:c r="K1251" s="2" t="n">
        <x:v>3</x:v>
      </x:c>
      <x:c r="L1251" s="2" t="str">
        <x:v>Loyal</x:v>
      </x:c>
    </x:row>
    <x:row r="1252" ht="22" customHeight="1">
      <x:c r="A1252" s="2"/>
      <x:c r="B1252" s="2" t="str">
        <x:v>13574</x:v>
      </x:c>
      <x:c r="C1252" s="2" t="str">
        <x:v>United Kingdom</x:v>
      </x:c>
      <x:c r="D1252" s="25" t="n">
        <x:v>40475.35277777778</x:v>
      </x:c>
      <x:c r="E1252" s="25" t="n">
        <x:v>40475.35277777778</x:v>
      </x:c>
      <x:c r="F1252" s="2" t="n">
        <x:v>412</x:v>
      </x:c>
      <x:c r="G1252" s="2" t="n">
        <x:v>1</x:v>
      </x:c>
      <x:c r="H1252" s="11" t="n">
        <x:v>421.25</x:v>
      </x:c>
      <x:c r="I1252" s="2" t="n">
        <x:v>1</x:v>
      </x:c>
      <x:c r="J1252" s="2" t="n">
        <x:v>1</x:v>
      </x:c>
      <x:c r="K1252" s="2" t="n">
        <x:v>2</x:v>
      </x:c>
      <x:c r="L1252" s="2" t="str">
        <x:v>Hibernating</x:v>
      </x:c>
    </x:row>
    <x:row r="1253" ht="22" customHeight="1">
      <x:c r="A1253" s="2"/>
      <x:c r="B1253" s="2" t="str">
        <x:v>13575</x:v>
      </x:c>
      <x:c r="C1253" s="2" t="str">
        <x:v>United Kingdom</x:v>
      </x:c>
      <x:c r="D1253" s="25" t="n">
        <x:v>40710.39166666667</x:v>
      </x:c>
      <x:c r="E1253" s="25" t="n">
        <x:v>40863.34305555555</x:v>
      </x:c>
      <x:c r="F1253" s="2" t="n">
        <x:v>24</x:v>
      </x:c>
      <x:c r="G1253" s="2" t="n">
        <x:v>5</x:v>
      </x:c>
      <x:c r="H1253" s="11" t="n">
        <x:v>732.07</x:v>
      </x:c>
      <x:c r="I1253" s="2" t="n">
        <x:v>4</x:v>
      </x:c>
      <x:c r="J1253" s="2" t="n">
        <x:v>4</x:v>
      </x:c>
      <x:c r="K1253" s="2" t="n">
        <x:v>3</x:v>
      </x:c>
      <x:c r="L1253" s="2" t="str">
        <x:v>Loyal</x:v>
      </x:c>
    </x:row>
    <x:row r="1254" ht="22" customHeight="1">
      <x:c r="A1254" s="2"/>
      <x:c r="B1254" s="2" t="str">
        <x:v>13576</x:v>
      </x:c>
      <x:c r="C1254" s="2" t="str">
        <x:v>United Kingdom</x:v>
      </x:c>
      <x:c r="D1254" s="25" t="n">
        <x:v>40155.425</x:v>
      </x:c>
      <x:c r="E1254" s="25" t="n">
        <x:v>40876.44027777778</x:v>
      </x:c>
      <x:c r="F1254" s="2" t="n">
        <x:v>11</x:v>
      </x:c>
      <x:c r="G1254" s="2" t="n">
        <x:v>28</x:v>
      </x:c>
      <x:c r="H1254" s="11" t="n">
        <x:v>11202.59</x:v>
      </x:c>
      <x:c r="I1254" s="2" t="n">
        <x:v>5</x:v>
      </x:c>
      <x:c r="J1254" s="2" t="n">
        <x:v>5</x:v>
      </x:c>
      <x:c r="K1254" s="2" t="n">
        <x:v>5</x:v>
      </x:c>
      <x:c r="L1254" s="2" t="str">
        <x:v>Champions</x:v>
      </x:c>
    </x:row>
    <x:row r="1255" ht="22" customHeight="1">
      <x:c r="A1255" s="2"/>
      <x:c r="B1255" s="2" t="str">
        <x:v>13577</x:v>
      </x:c>
      <x:c r="C1255" s="2" t="str">
        <x:v>United Kingdom</x:v>
      </x:c>
      <x:c r="D1255" s="25" t="n">
        <x:v>40161.46527777778</x:v>
      </x:c>
      <x:c r="E1255" s="25" t="n">
        <x:v>40861.42986111111</x:v>
      </x:c>
      <x:c r="F1255" s="2" t="n">
        <x:v>26</x:v>
      </x:c>
      <x:c r="G1255" s="2" t="n">
        <x:v>11</x:v>
      </x:c>
      <x:c r="H1255" s="11" t="n">
        <x:v>3489.28</x:v>
      </x:c>
      <x:c r="I1255" s="2" t="n">
        <x:v>4</x:v>
      </x:c>
      <x:c r="J1255" s="2" t="n">
        <x:v>5</x:v>
      </x:c>
      <x:c r="K1255" s="2" t="n">
        <x:v>5</x:v>
      </x:c>
      <x:c r="L1255" s="2" t="str">
        <x:v>Champions</x:v>
      </x:c>
    </x:row>
    <x:row r="1256" ht="22" customHeight="1">
      <x:c r="A1256" s="2"/>
      <x:c r="B1256" s="2" t="str">
        <x:v>13578</x:v>
      </x:c>
      <x:c r="C1256" s="2" t="str">
        <x:v>United Kingdom</x:v>
      </x:c>
      <x:c r="D1256" s="25" t="n">
        <x:v>40477.36388888889</x:v>
      </x:c>
      <x:c r="E1256" s="25" t="n">
        <x:v>40477.36388888889</x:v>
      </x:c>
      <x:c r="F1256" s="2" t="n">
        <x:v>410</x:v>
      </x:c>
      <x:c r="G1256" s="2" t="n">
        <x:v>1</x:v>
      </x:c>
      <x:c r="H1256" s="11" t="n">
        <x:v>147.66</x:v>
      </x:c>
      <x:c r="I1256" s="2" t="n">
        <x:v>2</x:v>
      </x:c>
      <x:c r="J1256" s="2" t="n">
        <x:v>1</x:v>
      </x:c>
      <x:c r="K1256" s="2" t="n">
        <x:v>1</x:v>
      </x:c>
      <x:c r="L1256" s="2" t="str">
        <x:v>Hibernating</x:v>
      </x:c>
    </x:row>
    <x:row r="1257" ht="22" customHeight="1">
      <x:c r="A1257" s="2"/>
      <x:c r="B1257" s="2" t="str">
        <x:v>13579</x:v>
      </x:c>
      <x:c r="C1257" s="2" t="str">
        <x:v>United Kingdom</x:v>
      </x:c>
      <x:c r="D1257" s="25" t="n">
        <x:v>40227.37013888889</x:v>
      </x:c>
      <x:c r="E1257" s="25" t="n">
        <x:v>40872.15347222222</x:v>
      </x:c>
      <x:c r="F1257" s="2" t="n">
        <x:v>15</x:v>
      </x:c>
      <x:c r="G1257" s="2" t="n">
        <x:v>5</x:v>
      </x:c>
      <x:c r="H1257" s="11" t="n">
        <x:v>1374.34</x:v>
      </x:c>
      <x:c r="I1257" s="2" t="n">
        <x:v>5</x:v>
      </x:c>
      <x:c r="J1257" s="2" t="n">
        <x:v>4</x:v>
      </x:c>
      <x:c r="K1257" s="2" t="n">
        <x:v>4</x:v>
      </x:c>
      <x:c r="L1257" s="2" t="str">
        <x:v>Champions</x:v>
      </x:c>
    </x:row>
    <x:row r="1258" ht="22" customHeight="1">
      <x:c r="A1258" s="2"/>
      <x:c r="B1258" s="2" t="str">
        <x:v>13580</x:v>
      </x:c>
      <x:c r="C1258" s="2" t="str">
        <x:v>United Kingdom</x:v>
      </x:c>
      <x:c r="D1258" s="25" t="n">
        <x:v>40480.41736111111</x:v>
      </x:c>
      <x:c r="E1258" s="25" t="n">
        <x:v>40480.41736111111</x:v>
      </x:c>
      <x:c r="F1258" s="2" t="n">
        <x:v>407</x:v>
      </x:c>
      <x:c r="G1258" s="2" t="n">
        <x:v>1</x:v>
      </x:c>
      <x:c r="H1258" s="11" t="n">
        <x:v>107.75</x:v>
      </x:c>
      <x:c r="I1258" s="2" t="n">
        <x:v>2</x:v>
      </x:c>
      <x:c r="J1258" s="2" t="n">
        <x:v>1</x:v>
      </x:c>
      <x:c r="K1258" s="2" t="n">
        <x:v>1</x:v>
      </x:c>
      <x:c r="L1258" s="2" t="str">
        <x:v>Hibernating</x:v>
      </x:c>
    </x:row>
    <x:row r="1259" ht="22" customHeight="1">
      <x:c r="A1259" s="2"/>
      <x:c r="B1259" s="2" t="str">
        <x:v>13581</x:v>
      </x:c>
      <x:c r="C1259" s="2" t="str">
        <x:v>United Kingdom</x:v>
      </x:c>
      <x:c r="D1259" s="25" t="n">
        <x:v>40472.479166666664</x:v>
      </x:c>
      <x:c r="E1259" s="25" t="n">
        <x:v>40577.40347222222</x:v>
      </x:c>
      <x:c r="F1259" s="2" t="n">
        <x:v>310</x:v>
      </x:c>
      <x:c r="G1259" s="2" t="n">
        <x:v>2</x:v>
      </x:c>
      <x:c r="H1259" s="11" t="n">
        <x:v>280.53</x:v>
      </x:c>
      <x:c r="I1259" s="2" t="n">
        <x:v>2</x:v>
      </x:c>
      <x:c r="J1259" s="2" t="n">
        <x:v>2</x:v>
      </x:c>
      <x:c r="K1259" s="2" t="n">
        <x:v>1</x:v>
      </x:c>
      <x:c r="L1259" s="2" t="str">
        <x:v>Hibernating</x:v>
      </x:c>
    </x:row>
    <x:row r="1260" ht="22" customHeight="1">
      <x:c r="A1260" s="2"/>
      <x:c r="B1260" s="2" t="str">
        <x:v>13582</x:v>
      </x:c>
      <x:c r="C1260" s="2" t="str">
        <x:v>United Kingdom</x:v>
      </x:c>
      <x:c r="D1260" s="25" t="n">
        <x:v>40269.27638888889</x:v>
      </x:c>
      <x:c r="E1260" s="25" t="n">
        <x:v>40497.27361111111</x:v>
      </x:c>
      <x:c r="F1260" s="2" t="n">
        <x:v>390</x:v>
      </x:c>
      <x:c r="G1260" s="2" t="n">
        <x:v>2</x:v>
      </x:c>
      <x:c r="H1260" s="11" t="n">
        <x:v>241.68</x:v>
      </x:c>
      <x:c r="I1260" s="2" t="n">
        <x:v>2</x:v>
      </x:c>
      <x:c r="J1260" s="2" t="n">
        <x:v>2</x:v>
      </x:c>
      <x:c r="K1260" s="2" t="n">
        <x:v>1</x:v>
      </x:c>
      <x:c r="L1260" s="2" t="str">
        <x:v>Hibernating</x:v>
      </x:c>
    </x:row>
    <x:row r="1261" ht="22" customHeight="1">
      <x:c r="A1261" s="2"/>
      <x:c r="B1261" s="2" t="str">
        <x:v>13583</x:v>
      </x:c>
      <x:c r="C1261" s="2" t="str">
        <x:v>United Kingdom</x:v>
      </x:c>
      <x:c r="D1261" s="25" t="n">
        <x:v>40207.37013888889</x:v>
      </x:c>
      <x:c r="E1261" s="25" t="n">
        <x:v>40731.23611111111</x:v>
      </x:c>
      <x:c r="F1261" s="2" t="n">
        <x:v>156</x:v>
      </x:c>
      <x:c r="G1261" s="2" t="n">
        <x:v>2</x:v>
      </x:c>
      <x:c r="H1261" s="11" t="n">
        <x:v>1445.031</x:v>
      </x:c>
      <x:c r="I1261" s="2" t="n">
        <x:v>3</x:v>
      </x:c>
      <x:c r="J1261" s="2" t="n">
        <x:v>2</x:v>
      </x:c>
      <x:c r="K1261" s="2" t="n">
        <x:v>4</x:v>
      </x:c>
      <x:c r="L1261" s="2" t="str">
        <x:v>Developing</x:v>
      </x:c>
    </x:row>
    <x:row r="1262" ht="22" customHeight="1">
      <x:c r="A1262" s="2"/>
      <x:c r="B1262" s="2" t="str">
        <x:v>13584</x:v>
      </x:c>
      <x:c r="C1262" s="2" t="str">
        <x:v>United Kingdom</x:v>
      </x:c>
      <x:c r="D1262" s="25" t="n">
        <x:v>40211.15277777778</x:v>
      </x:c>
      <x:c r="E1262" s="25" t="n">
        <x:v>40580.325694444444</x:v>
      </x:c>
      <x:c r="F1262" s="2" t="n">
        <x:v>307</x:v>
      </x:c>
      <x:c r="G1262" s="2" t="n">
        <x:v>3</x:v>
      </x:c>
      <x:c r="H1262" s="11" t="n">
        <x:v>392.45</x:v>
      </x:c>
      <x:c r="I1262" s="2" t="n">
        <x:v>2</x:v>
      </x:c>
      <x:c r="J1262" s="2" t="n">
        <x:v>3</x:v>
      </x:c>
      <x:c r="K1262" s="2" t="n">
        <x:v>2</x:v>
      </x:c>
      <x:c r="L1262" s="2" t="str">
        <x:v>At risk</x:v>
      </x:c>
    </x:row>
    <x:row r="1263" ht="22" customHeight="1">
      <x:c r="A1263" s="2"/>
      <x:c r="B1263" s="2" t="str">
        <x:v>13585</x:v>
      </x:c>
      <x:c r="C1263" s="2" t="str">
        <x:v>United Kingdom</x:v>
      </x:c>
      <x:c r="D1263" s="25" t="n">
        <x:v>40148.41388888889</x:v>
      </x:c>
      <x:c r="E1263" s="25" t="n">
        <x:v>40356.31458333333</x:v>
      </x:c>
      <x:c r="F1263" s="2" t="n">
        <x:v>531</x:v>
      </x:c>
      <x:c r="G1263" s="2" t="n">
        <x:v>3</x:v>
      </x:c>
      <x:c r="H1263" s="11" t="n">
        <x:v>684.54</x:v>
      </x:c>
      <x:c r="I1263" s="2" t="n">
        <x:v>1</x:v>
      </x:c>
      <x:c r="J1263" s="2" t="n">
        <x:v>3</x:v>
      </x:c>
      <x:c r="K1263" s="2" t="n">
        <x:v>3</x:v>
      </x:c>
      <x:c r="L1263" s="2" t="str">
        <x:v>At risk</x:v>
      </x:c>
    </x:row>
    <x:row r="1264" ht="22" customHeight="1">
      <x:c r="A1264" s="2"/>
      <x:c r="B1264" s="2" t="str">
        <x:v>13586</x:v>
      </x:c>
      <x:c r="C1264" s="2" t="str">
        <x:v>United Kingdom</x:v>
      </x:c>
      <x:c r="D1264" s="25" t="n">
        <x:v>40345.36597222222</x:v>
      </x:c>
      <x:c r="E1264" s="25" t="n">
        <x:v>40345.36597222222</x:v>
      </x:c>
      <x:c r="F1264" s="2" t="n">
        <x:v>542</x:v>
      </x:c>
      <x:c r="G1264" s="2" t="n">
        <x:v>1</x:v>
      </x:c>
      <x:c r="H1264" s="11" t="n">
        <x:v>131.53</x:v>
      </x:c>
      <x:c r="I1264" s="2" t="n">
        <x:v>1</x:v>
      </x:c>
      <x:c r="J1264" s="2" t="n">
        <x:v>1</x:v>
      </x:c>
      <x:c r="K1264" s="2" t="n">
        <x:v>1</x:v>
      </x:c>
      <x:c r="L1264" s="2" t="str">
        <x:v>Hibernating</x:v>
      </x:c>
    </x:row>
    <x:row r="1265" ht="22" customHeight="1">
      <x:c r="A1265" s="2"/>
      <x:c r="B1265" s="2" t="str">
        <x:v>13587</x:v>
      </x:c>
      <x:c r="C1265" s="2" t="str">
        <x:v>United Kingdom</x:v>
      </x:c>
      <x:c r="D1265" s="25" t="n">
        <x:v>40223.345138888886</x:v>
      </x:c>
      <x:c r="E1265" s="25" t="n">
        <x:v>40823.31319444445</x:v>
      </x:c>
      <x:c r="F1265" s="2" t="n">
        <x:v>64</x:v>
      </x:c>
      <x:c r="G1265" s="2" t="n">
        <x:v>4</x:v>
      </x:c>
      <x:c r="H1265" s="11" t="n">
        <x:v>1673.5</x:v>
      </x:c>
      <x:c r="I1265" s="2" t="n">
        <x:v>3</x:v>
      </x:c>
      <x:c r="J1265" s="2" t="n">
        <x:v>3</x:v>
      </x:c>
      <x:c r="K1265" s="2" t="n">
        <x:v>4</x:v>
      </x:c>
      <x:c r="L1265" s="2" t="str">
        <x:v>Loyal</x:v>
      </x:c>
    </x:row>
    <x:row r="1266" ht="22" customHeight="1">
      <x:c r="A1266" s="2"/>
      <x:c r="B1266" s="2" t="str">
        <x:v>13588</x:v>
      </x:c>
      <x:c r="C1266" s="2" t="str">
        <x:v>United Kingdom</x:v>
      </x:c>
      <x:c r="D1266" s="25" t="n">
        <x:v>40631.45347222222</x:v>
      </x:c>
      <x:c r="E1266" s="25" t="n">
        <x:v>40871.2375</x:v>
      </x:c>
      <x:c r="F1266" s="2" t="n">
        <x:v>16</x:v>
      </x:c>
      <x:c r="G1266" s="2" t="n">
        <x:v>9</x:v>
      </x:c>
      <x:c r="H1266" s="11" t="n">
        <x:v>2478.95</x:v>
      </x:c>
      <x:c r="I1266" s="2" t="n">
        <x:v>5</x:v>
      </x:c>
      <x:c r="J1266" s="2" t="n">
        <x:v>5</x:v>
      </x:c>
      <x:c r="K1266" s="2" t="n">
        <x:v>4</x:v>
      </x:c>
      <x:c r="L1266" s="2" t="str">
        <x:v>Champions</x:v>
      </x:c>
    </x:row>
    <x:row r="1267" ht="22" customHeight="1">
      <x:c r="A1267" s="2"/>
      <x:c r="B1267" s="2" t="str">
        <x:v>13589</x:v>
      </x:c>
      <x:c r="C1267" s="2" t="str">
        <x:v>United Kingdom</x:v>
      </x:c>
      <x:c r="D1267" s="25" t="n">
        <x:v>40153.22638888889</x:v>
      </x:c>
      <x:c r="E1267" s="25" t="n">
        <x:v>40872.29861111111</x:v>
      </x:c>
      <x:c r="F1267" s="2" t="n">
        <x:v>15</x:v>
      </x:c>
      <x:c r="G1267" s="2" t="n">
        <x:v>6</x:v>
      </x:c>
      <x:c r="H1267" s="11" t="n">
        <x:v>1120.74</x:v>
      </x:c>
      <x:c r="I1267" s="2" t="n">
        <x:v>5</x:v>
      </x:c>
      <x:c r="J1267" s="2" t="n">
        <x:v>4</x:v>
      </x:c>
      <x:c r="K1267" s="2" t="n">
        <x:v>3</x:v>
      </x:c>
      <x:c r="L1267" s="2" t="str">
        <x:v>Loyal</x:v>
      </x:c>
    </x:row>
    <x:row r="1268" ht="22" customHeight="1">
      <x:c r="A1268" s="2"/>
      <x:c r="B1268" s="2" t="str">
        <x:v>13590</x:v>
      </x:c>
      <x:c r="C1268" s="2" t="str">
        <x:v>United Kingdom</x:v>
      </x:c>
      <x:c r="D1268" s="25" t="n">
        <x:v>40148.35902777778</x:v>
      </x:c>
      <x:c r="E1268" s="25" t="n">
        <x:v>40875.32916666667</x:v>
      </x:c>
      <x:c r="F1268" s="2" t="n">
        <x:v>12</x:v>
      </x:c>
      <x:c r="G1268" s="2" t="n">
        <x:v>18</x:v>
      </x:c>
      <x:c r="H1268" s="11" t="n">
        <x:v>6349.59</x:v>
      </x:c>
      <x:c r="I1268" s="2" t="n">
        <x:v>5</x:v>
      </x:c>
      <x:c r="J1268" s="2" t="n">
        <x:v>5</x:v>
      </x:c>
      <x:c r="K1268" s="2" t="n">
        <x:v>5</x:v>
      </x:c>
      <x:c r="L1268" s="2" t="str">
        <x:v>Champions</x:v>
      </x:c>
    </x:row>
    <x:row r="1269" ht="22" customHeight="1">
      <x:c r="A1269" s="2"/>
      <x:c r="B1269" s="2" t="str">
        <x:v>13591</x:v>
      </x:c>
      <x:c r="C1269" s="2" t="str">
        <x:v>United Kingdom</x:v>
      </x:c>
      <x:c r="D1269" s="25" t="n">
        <x:v>40161.447222222225</x:v>
      </x:c>
      <x:c r="E1269" s="25" t="n">
        <x:v>40822.30972222222</x:v>
      </x:c>
      <x:c r="F1269" s="2" t="n">
        <x:v>65</x:v>
      </x:c>
      <x:c r="G1269" s="2" t="n">
        <x:v>7</x:v>
      </x:c>
      <x:c r="H1269" s="11" t="n">
        <x:v>2093.94</x:v>
      </x:c>
      <x:c r="I1269" s="2" t="n">
        <x:v>3</x:v>
      </x:c>
      <x:c r="J1269" s="2" t="n">
        <x:v>4</x:v>
      </x:c>
      <x:c r="K1269" s="2" t="n">
        <x:v>4</x:v>
      </x:c>
      <x:c r="L1269" s="2" t="str">
        <x:v>Loyal</x:v>
      </x:c>
    </x:row>
    <x:row r="1270" ht="22" customHeight="1">
      <x:c r="A1270" s="2"/>
      <x:c r="B1270" s="2" t="str">
        <x:v>13592</x:v>
      </x:c>
      <x:c r="C1270" s="2" t="str">
        <x:v>United Kingdom</x:v>
      </x:c>
      <x:c r="D1270" s="25" t="n">
        <x:v>40622.37569444445</x:v>
      </x:c>
      <x:c r="E1270" s="25" t="n">
        <x:v>40851.200694444444</x:v>
      </x:c>
      <x:c r="F1270" s="2" t="n">
        <x:v>36</x:v>
      </x:c>
      <x:c r="G1270" s="2" t="n">
        <x:v>4</x:v>
      </x:c>
      <x:c r="H1270" s="11" t="n">
        <x:v>247.96</x:v>
      </x:c>
      <x:c r="I1270" s="2" t="n">
        <x:v>4</x:v>
      </x:c>
      <x:c r="J1270" s="2" t="n">
        <x:v>3</x:v>
      </x:c>
      <x:c r="K1270" s="2" t="n">
        <x:v>1</x:v>
      </x:c>
      <x:c r="L1270" s="2" t="str">
        <x:v>Loyal</x:v>
      </x:c>
    </x:row>
    <x:row r="1271" ht="22" customHeight="1">
      <x:c r="A1271" s="2"/>
      <x:c r="B1271" s="2" t="str">
        <x:v>13593</x:v>
      </x:c>
      <x:c r="C1271" s="2" t="str">
        <x:v>United Kingdom</x:v>
      </x:c>
      <x:c r="D1271" s="25" t="n">
        <x:v>40239.48333333333</x:v>
      </x:c>
      <x:c r="E1271" s="25" t="n">
        <x:v>40778.35763888889</x:v>
      </x:c>
      <x:c r="F1271" s="2" t="n">
        <x:v>109</x:v>
      </x:c>
      <x:c r="G1271" s="2" t="n">
        <x:v>14</x:v>
      </x:c>
      <x:c r="H1271" s="11" t="n">
        <x:v>5523.69</x:v>
      </x:c>
      <x:c r="I1271" s="2" t="n">
        <x:v>3</x:v>
      </x:c>
      <x:c r="J1271" s="2" t="n">
        <x:v>5</x:v>
      </x:c>
      <x:c r="K1271" s="2" t="n">
        <x:v>5</x:v>
      </x:c>
      <x:c r="L1271" s="2" t="str">
        <x:v>Loyal</x:v>
      </x:c>
    </x:row>
    <x:row r="1272" ht="22" customHeight="1">
      <x:c r="A1272" s="2"/>
      <x:c r="B1272" s="2" t="str">
        <x:v>13594</x:v>
      </x:c>
      <x:c r="C1272" s="2" t="str">
        <x:v>United Kingdom</x:v>
      </x:c>
      <x:c r="D1272" s="25" t="n">
        <x:v>40401.22430555556</x:v>
      </x:c>
      <x:c r="E1272" s="25" t="n">
        <x:v>40834.22152777778</x:v>
      </x:c>
      <x:c r="F1272" s="2" t="n">
        <x:v>53</x:v>
      </x:c>
      <x:c r="G1272" s="2" t="n">
        <x:v>2</x:v>
      </x:c>
      <x:c r="H1272" s="11" t="n">
        <x:v>533.32</x:v>
      </x:c>
      <x:c r="I1272" s="2" t="n">
        <x:v>4</x:v>
      </x:c>
      <x:c r="J1272" s="2" t="n">
        <x:v>2</x:v>
      </x:c>
      <x:c r="K1272" s="2" t="n">
        <x:v>2</x:v>
      </x:c>
      <x:c r="L1272" s="2" t="str">
        <x:v>Recent light buyers</x:v>
      </x:c>
    </x:row>
    <x:row r="1273" ht="22" customHeight="1">
      <x:c r="A1273" s="2"/>
      <x:c r="B1273" s="2" t="str">
        <x:v>13595</x:v>
      </x:c>
      <x:c r="C1273" s="2" t="str">
        <x:v>United Kingdom</x:v>
      </x:c>
      <x:c r="D1273" s="25" t="n">
        <x:v>40240.40416666667</x:v>
      </x:c>
      <x:c r="E1273" s="25" t="n">
        <x:v>40370.316666666666</x:v>
      </x:c>
      <x:c r="F1273" s="2" t="n">
        <x:v>517</x:v>
      </x:c>
      <x:c r="G1273" s="2" t="n">
        <x:v>3</x:v>
      </x:c>
      <x:c r="H1273" s="11" t="n">
        <x:v>818.22</x:v>
      </x:c>
      <x:c r="I1273" s="2" t="n">
        <x:v>1</x:v>
      </x:c>
      <x:c r="J1273" s="2" t="n">
        <x:v>3</x:v>
      </x:c>
      <x:c r="K1273" s="2" t="n">
        <x:v>3</x:v>
      </x:c>
      <x:c r="L1273" s="2" t="str">
        <x:v>At risk</x:v>
      </x:c>
    </x:row>
    <x:row r="1274" ht="22" customHeight="1">
      <x:c r="A1274" s="2"/>
      <x:c r="B1274" s="2" t="str">
        <x:v>13596</x:v>
      </x:c>
      <x:c r="C1274" s="2" t="str">
        <x:v>United Kingdom</x:v>
      </x:c>
      <x:c r="D1274" s="25" t="n">
        <x:v>40874.28958333333</x:v>
      </x:c>
      <x:c r="E1274" s="25" t="n">
        <x:v>40881.29236111111</x:v>
      </x:c>
      <x:c r="F1274" s="2" t="n">
        <x:v>6</x:v>
      </x:c>
      <x:c r="G1274" s="2" t="n">
        <x:v>2</x:v>
      </x:c>
      <x:c r="H1274" s="11" t="n">
        <x:v>697.04</x:v>
      </x:c>
      <x:c r="I1274" s="2" t="n">
        <x:v>5</x:v>
      </x:c>
      <x:c r="J1274" s="2" t="n">
        <x:v>2</x:v>
      </x:c>
      <x:c r="K1274" s="2" t="n">
        <x:v>3</x:v>
      </x:c>
      <x:c r="L1274" s="2" t="str">
        <x:v>Recent light buyers</x:v>
      </x:c>
    </x:row>
    <x:row r="1275" ht="22" customHeight="1">
      <x:c r="A1275" s="2"/>
      <x:c r="B1275" s="2" t="str">
        <x:v>13597</x:v>
      </x:c>
      <x:c r="C1275" s="2" t="str">
        <x:v>United Kingdom</x:v>
      </x:c>
      <x:c r="D1275" s="25" t="n">
        <x:v>40484.1875</x:v>
      </x:c>
      <x:c r="E1275" s="25" t="n">
        <x:v>40486.4125</x:v>
      </x:c>
      <x:c r="F1275" s="2" t="n">
        <x:v>401</x:v>
      </x:c>
      <x:c r="G1275" s="2" t="n">
        <x:v>2</x:v>
      </x:c>
      <x:c r="H1275" s="11" t="n">
        <x:v>396.71</x:v>
      </x:c>
      <x:c r="I1275" s="2" t="n">
        <x:v>2</x:v>
      </x:c>
      <x:c r="J1275" s="2" t="n">
        <x:v>2</x:v>
      </x:c>
      <x:c r="K1275" s="2" t="n">
        <x:v>2</x:v>
      </x:c>
      <x:c r="L1275" s="2" t="str">
        <x:v>Hibernating</x:v>
      </x:c>
    </x:row>
    <x:row r="1276" ht="22" customHeight="1">
      <x:c r="A1276" s="2"/>
      <x:c r="B1276" s="2" t="str">
        <x:v>13598</x:v>
      </x:c>
      <x:c r="C1276" s="2" t="str">
        <x:v>United Kingdom</x:v>
      </x:c>
      <x:c r="D1276" s="25" t="n">
        <x:v>40235.26527777778</x:v>
      </x:c>
      <x:c r="E1276" s="25" t="n">
        <x:v>40839.39444444444</x:v>
      </x:c>
      <x:c r="F1276" s="2" t="n">
        <x:v>48</x:v>
      </x:c>
      <x:c r="G1276" s="2" t="n">
        <x:v>5</x:v>
      </x:c>
      <x:c r="H1276" s="11" t="n">
        <x:v>789.59</x:v>
      </x:c>
      <x:c r="I1276" s="2" t="n">
        <x:v>4</x:v>
      </x:c>
      <x:c r="J1276" s="2" t="n">
        <x:v>4</x:v>
      </x:c>
      <x:c r="K1276" s="2" t="n">
        <x:v>3</x:v>
      </x:c>
      <x:c r="L1276" s="2" t="str">
        <x:v>Loyal</x:v>
      </x:c>
    </x:row>
    <x:row r="1277" ht="22" customHeight="1">
      <x:c r="A1277" s="2"/>
      <x:c r="B1277" s="2" t="str">
        <x:v>13599</x:v>
      </x:c>
      <x:c r="C1277" s="2" t="str">
        <x:v>United Kingdom</x:v>
      </x:c>
      <x:c r="D1277" s="25" t="n">
        <x:v>40148.3125</x:v>
      </x:c>
      <x:c r="E1277" s="25" t="n">
        <x:v>40885.46527777778</x:v>
      </x:c>
      <x:c r="F1277" s="2" t="n">
        <x:v>2</x:v>
      </x:c>
      <x:c r="G1277" s="2" t="n">
        <x:v>33</x:v>
      </x:c>
      <x:c r="H1277" s="11" t="n">
        <x:v>9814.79</x:v>
      </x:c>
      <x:c r="I1277" s="2" t="n">
        <x:v>5</x:v>
      </x:c>
      <x:c r="J1277" s="2" t="n">
        <x:v>5</x:v>
      </x:c>
      <x:c r="K1277" s="2" t="n">
        <x:v>5</x:v>
      </x:c>
      <x:c r="L1277" s="2" t="str">
        <x:v>Champions</x:v>
      </x:c>
    </x:row>
    <x:row r="1278" ht="22" customHeight="1">
      <x:c r="A1278" s="2"/>
      <x:c r="B1278" s="2" t="str">
        <x:v>13600</x:v>
      </x:c>
      <x:c r="C1278" s="2" t="str">
        <x:v>United Kingdom</x:v>
      </x:c>
      <x:c r="D1278" s="25" t="n">
        <x:v>40252.51111111111</x:v>
      </x:c>
      <x:c r="E1278" s="25" t="n">
        <x:v>40574.43541666667</x:v>
      </x:c>
      <x:c r="F1278" s="2" t="n">
        <x:v>313</x:v>
      </x:c>
      <x:c r="G1278" s="2" t="n">
        <x:v>2</x:v>
      </x:c>
      <x:c r="H1278" s="11" t="n">
        <x:v>518.42</x:v>
      </x:c>
      <x:c r="I1278" s="2" t="n">
        <x:v>2</x:v>
      </x:c>
      <x:c r="J1278" s="2" t="n">
        <x:v>2</x:v>
      </x:c>
      <x:c r="K1278" s="2" t="n">
        <x:v>2</x:v>
      </x:c>
      <x:c r="L1278" s="2" t="str">
        <x:v>Hibernating</x:v>
      </x:c>
    </x:row>
    <x:row r="1279" ht="22" customHeight="1">
      <x:c r="A1279" s="2"/>
      <x:c r="B1279" s="2" t="str">
        <x:v>13601</x:v>
      </x:c>
      <x:c r="C1279" s="2" t="str">
        <x:v>United Kingdom</x:v>
      </x:c>
      <x:c r="D1279" s="25" t="n">
        <x:v>40340.41875</x:v>
      </x:c>
      <x:c r="E1279" s="25" t="n">
        <x:v>40841.521527777775</x:v>
      </x:c>
      <x:c r="F1279" s="2" t="n">
        <x:v>46</x:v>
      </x:c>
      <x:c r="G1279" s="2" t="n">
        <x:v>4</x:v>
      </x:c>
      <x:c r="H1279" s="11" t="n">
        <x:v>1185.14</x:v>
      </x:c>
      <x:c r="I1279" s="2" t="n">
        <x:v>4</x:v>
      </x:c>
      <x:c r="J1279" s="2" t="n">
        <x:v>3</x:v>
      </x:c>
      <x:c r="K1279" s="2" t="n">
        <x:v>3</x:v>
      </x:c>
      <x:c r="L1279" s="2" t="str">
        <x:v>Loyal</x:v>
      </x:c>
    </x:row>
    <x:row r="1280" ht="22" customHeight="1">
      <x:c r="A1280" s="2"/>
      <x:c r="B1280" s="2" t="str">
        <x:v>13602</x:v>
      </x:c>
      <x:c r="C1280" s="2" t="str">
        <x:v>United Kingdom</x:v>
      </x:c>
      <x:c r="D1280" s="25" t="n">
        <x:v>40326.28402777778</x:v>
      </x:c>
      <x:c r="E1280" s="25" t="n">
        <x:v>40822.282638888886</x:v>
      </x:c>
      <x:c r="F1280" s="2" t="n">
        <x:v>65</x:v>
      </x:c>
      <x:c r="G1280" s="2" t="n">
        <x:v>4</x:v>
      </x:c>
      <x:c r="H1280" s="11" t="n">
        <x:v>1025.17</x:v>
      </x:c>
      <x:c r="I1280" s="2" t="n">
        <x:v>3</x:v>
      </x:c>
      <x:c r="J1280" s="2" t="n">
        <x:v>3</x:v>
      </x:c>
      <x:c r="K1280" s="2" t="n">
        <x:v>3</x:v>
      </x:c>
      <x:c r="L1280" s="2" t="str">
        <x:v>Loyal</x:v>
      </x:c>
    </x:row>
    <x:row r="1281" ht="22" customHeight="1">
      <x:c r="A1281" s="2"/>
      <x:c r="B1281" s="2" t="str">
        <x:v>13603</x:v>
      </x:c>
      <x:c r="C1281" s="2" t="str">
        <x:v>United Kingdom</x:v>
      </x:c>
      <x:c r="D1281" s="25" t="n">
        <x:v>40860.45625</x:v>
      </x:c>
      <x:c r="E1281" s="25" t="n">
        <x:v>40860.45625</x:v>
      </x:c>
      <x:c r="F1281" s="2" t="n">
        <x:v>27</x:v>
      </x:c>
      <x:c r="G1281" s="2" t="n">
        <x:v>1</x:v>
      </x:c>
      <x:c r="H1281" s="11" t="n">
        <x:v>164.34</x:v>
      </x:c>
      <x:c r="I1281" s="2" t="n">
        <x:v>4</x:v>
      </x:c>
      <x:c r="J1281" s="2" t="n">
        <x:v>1</x:v>
      </x:c>
      <x:c r="K1281" s="2" t="n">
        <x:v>1</x:v>
      </x:c>
      <x:c r="L1281" s="2" t="str">
        <x:v>Recent light buyers</x:v>
      </x:c>
    </x:row>
    <x:row r="1282" ht="22" customHeight="1">
      <x:c r="A1282" s="2"/>
      <x:c r="B1282" s="2" t="str">
        <x:v>13604</x:v>
      </x:c>
      <x:c r="C1282" s="2" t="str">
        <x:v>United Kingdom</x:v>
      </x:c>
      <x:c r="D1282" s="25" t="n">
        <x:v>40228.29305555556</x:v>
      </x:c>
      <x:c r="E1282" s="25" t="n">
        <x:v>40228.29305555556</x:v>
      </x:c>
      <x:c r="F1282" s="2" t="n">
        <x:v>659</x:v>
      </x:c>
      <x:c r="G1282" s="2" t="n">
        <x:v>1</x:v>
      </x:c>
      <x:c r="H1282" s="11" t="n">
        <x:v>717.62</x:v>
      </x:c>
      <x:c r="I1282" s="2" t="n">
        <x:v>1</x:v>
      </x:c>
      <x:c r="J1282" s="2" t="n">
        <x:v>1</x:v>
      </x:c>
      <x:c r="K1282" s="2" t="n">
        <x:v>3</x:v>
      </x:c>
      <x:c r="L1282" s="2" t="str">
        <x:v>Hibernating</x:v>
      </x:c>
    </x:row>
    <x:row r="1283" ht="22" customHeight="1">
      <x:c r="A1283" s="2"/>
      <x:c r="B1283" s="2" t="str">
        <x:v>13605</x:v>
      </x:c>
      <x:c r="C1283" s="2" t="str">
        <x:v>United Kingdom</x:v>
      </x:c>
      <x:c r="D1283" s="25" t="n">
        <x:v>40315.44861111111</x:v>
      </x:c>
      <x:c r="E1283" s="25" t="n">
        <x:v>40499.51111111111</x:v>
      </x:c>
      <x:c r="F1283" s="2" t="n">
        <x:v>388</x:v>
      </x:c>
      <x:c r="G1283" s="2" t="n">
        <x:v>2</x:v>
      </x:c>
      <x:c r="H1283" s="11" t="n">
        <x:v>522.67</x:v>
      </x:c>
      <x:c r="I1283" s="2" t="n">
        <x:v>2</x:v>
      </x:c>
      <x:c r="J1283" s="2" t="n">
        <x:v>2</x:v>
      </x:c>
      <x:c r="K1283" s="2" t="n">
        <x:v>2</x:v>
      </x:c>
      <x:c r="L1283" s="2" t="str">
        <x:v>Hibernating</x:v>
      </x:c>
    </x:row>
    <x:row r="1284" ht="22" customHeight="1">
      <x:c r="A1284" s="2"/>
      <x:c r="B1284" s="2" t="str">
        <x:v>13606</x:v>
      </x:c>
      <x:c r="C1284" s="2" t="str">
        <x:v>United Kingdom</x:v>
      </x:c>
      <x:c r="D1284" s="25" t="n">
        <x:v>40575.27916666667</x:v>
      </x:c>
      <x:c r="E1284" s="25" t="n">
        <x:v>40857.53194444445</x:v>
      </x:c>
      <x:c r="F1284" s="2" t="n">
        <x:v>30</x:v>
      </x:c>
      <x:c r="G1284" s="2" t="n">
        <x:v>3</x:v>
      </x:c>
      <x:c r="H1284" s="11" t="n">
        <x:v>280.54</x:v>
      </x:c>
      <x:c r="I1284" s="2" t="n">
        <x:v>4</x:v>
      </x:c>
      <x:c r="J1284" s="2" t="n">
        <x:v>3</x:v>
      </x:c>
      <x:c r="K1284" s="2" t="n">
        <x:v>1</x:v>
      </x:c>
      <x:c r="L1284" s="2" t="str">
        <x:v>Loyal</x:v>
      </x:c>
    </x:row>
    <x:row r="1285" ht="22" customHeight="1">
      <x:c r="A1285" s="2"/>
      <x:c r="B1285" s="2" t="str">
        <x:v>13607</x:v>
      </x:c>
      <x:c r="C1285" s="2" t="str">
        <x:v>United Kingdom</x:v>
      </x:c>
      <x:c r="D1285" s="25" t="n">
        <x:v>40484.28333333333</x:v>
      </x:c>
      <x:c r="E1285" s="25" t="n">
        <x:v>40846.470138888886</x:v>
      </x:c>
      <x:c r="F1285" s="2" t="n">
        <x:v>41</x:v>
      </x:c>
      <x:c r="G1285" s="2" t="n">
        <x:v>2</x:v>
      </x:c>
      <x:c r="H1285" s="11" t="n">
        <x:v>1078.31</x:v>
      </x:c>
      <x:c r="I1285" s="2" t="n">
        <x:v>4</x:v>
      </x:c>
      <x:c r="J1285" s="2" t="n">
        <x:v>2</x:v>
      </x:c>
      <x:c r="K1285" s="2" t="n">
        <x:v>3</x:v>
      </x:c>
      <x:c r="L1285" s="2" t="str">
        <x:v>Recent light buyers</x:v>
      </x:c>
    </x:row>
    <x:row r="1286" ht="22" customHeight="1">
      <x:c r="A1286" s="2"/>
      <x:c r="B1286" s="2" t="str">
        <x:v>13608</x:v>
      </x:c>
      <x:c r="C1286" s="2" t="str">
        <x:v>United Kingdom</x:v>
      </x:c>
      <x:c r="D1286" s="25" t="n">
        <x:v>40346.311111111114</x:v>
      </x:c>
      <x:c r="E1286" s="25" t="n">
        <x:v>40346.311111111114</x:v>
      </x:c>
      <x:c r="F1286" s="2" t="n">
        <x:v>541</x:v>
      </x:c>
      <x:c r="G1286" s="2" t="n">
        <x:v>1</x:v>
      </x:c>
      <x:c r="H1286" s="11" t="n">
        <x:v>236.2</x:v>
      </x:c>
      <x:c r="I1286" s="2" t="n">
        <x:v>1</x:v>
      </x:c>
      <x:c r="J1286" s="2" t="n">
        <x:v>1</x:v>
      </x:c>
      <x:c r="K1286" s="2" t="n">
        <x:v>1</x:v>
      </x:c>
      <x:c r="L1286" s="2" t="str">
        <x:v>Hibernating</x:v>
      </x:c>
    </x:row>
    <x:row r="1287" ht="22" customHeight="1">
      <x:c r="A1287" s="2"/>
      <x:c r="B1287" s="2" t="str">
        <x:v>13609</x:v>
      </x:c>
      <x:c r="C1287" s="2" t="str">
        <x:v>United Kingdom</x:v>
      </x:c>
      <x:c r="D1287" s="25" t="n">
        <x:v>40293.35138888889</x:v>
      </x:c>
      <x:c r="E1287" s="25" t="n">
        <x:v>40293.35138888889</x:v>
      </x:c>
      <x:c r="F1287" s="2" t="n">
        <x:v>594</x:v>
      </x:c>
      <x:c r="G1287" s="2" t="n">
        <x:v>1</x:v>
      </x:c>
      <x:c r="H1287" s="11" t="n">
        <x:v>167.35</x:v>
      </x:c>
      <x:c r="I1287" s="2" t="n">
        <x:v>1</x:v>
      </x:c>
      <x:c r="J1287" s="2" t="n">
        <x:v>1</x:v>
      </x:c>
      <x:c r="K1287" s="2" t="n">
        <x:v>1</x:v>
      </x:c>
      <x:c r="L1287" s="2" t="str">
        <x:v>Hibernating</x:v>
      </x:c>
    </x:row>
    <x:row r="1288" ht="22" customHeight="1">
      <x:c r="A1288" s="2"/>
      <x:c r="B1288" s="2" t="str">
        <x:v>13610</x:v>
      </x:c>
      <x:c r="C1288" s="2" t="str">
        <x:v>United Kingdom</x:v>
      </x:c>
      <x:c r="D1288" s="25" t="n">
        <x:v>40183.38333333333</x:v>
      </x:c>
      <x:c r="E1288" s="25" t="n">
        <x:v>40874.44305555556</x:v>
      </x:c>
      <x:c r="F1288" s="2" t="n">
        <x:v>13</x:v>
      </x:c>
      <x:c r="G1288" s="2" t="n">
        <x:v>14</x:v>
      </x:c>
      <x:c r="H1288" s="11" t="n">
        <x:v>2175.88</x:v>
      </x:c>
      <x:c r="I1288" s="2" t="n">
        <x:v>5</x:v>
      </x:c>
      <x:c r="J1288" s="2" t="n">
        <x:v>5</x:v>
      </x:c>
      <x:c r="K1288" s="2" t="n">
        <x:v>4</x:v>
      </x:c>
      <x:c r="L1288" s="2" t="str">
        <x:v>Champions</x:v>
      </x:c>
    </x:row>
    <x:row r="1289" ht="22" customHeight="1">
      <x:c r="A1289" s="2"/>
      <x:c r="B1289" s="2" t="str">
        <x:v>13611</x:v>
      </x:c>
      <x:c r="C1289" s="2" t="str">
        <x:v>United Kingdom</x:v>
      </x:c>
      <x:c r="D1289" s="25" t="n">
        <x:v>40150.12291666667</x:v>
      </x:c>
      <x:c r="E1289" s="25" t="n">
        <x:v>40797.410416666666</x:v>
      </x:c>
      <x:c r="F1289" s="2" t="n">
        <x:v>90</x:v>
      </x:c>
      <x:c r="G1289" s="2" t="n">
        <x:v>10</x:v>
      </x:c>
      <x:c r="H1289" s="11" t="n">
        <x:v>3319.53</x:v>
      </x:c>
      <x:c r="I1289" s="2" t="n">
        <x:v>3</x:v>
      </x:c>
      <x:c r="J1289" s="2" t="n">
        <x:v>5</x:v>
      </x:c>
      <x:c r="K1289" s="2" t="n">
        <x:v>5</x:v>
      </x:c>
      <x:c r="L1289" s="2" t="str">
        <x:v>Loyal</x:v>
      </x:c>
    </x:row>
    <x:row r="1290" ht="22" customHeight="1">
      <x:c r="A1290" s="2"/>
      <x:c r="B1290" s="2" t="str">
        <x:v>13612</x:v>
      </x:c>
      <x:c r="C1290" s="2" t="str">
        <x:v>United Kingdom</x:v>
      </x:c>
      <x:c r="D1290" s="25" t="n">
        <x:v>40254.30138888889</x:v>
      </x:c>
      <x:c r="E1290" s="25" t="n">
        <x:v>40254.30138888889</x:v>
      </x:c>
      <x:c r="F1290" s="2" t="n">
        <x:v>633</x:v>
      </x:c>
      <x:c r="G1290" s="2" t="n">
        <x:v>1</x:v>
      </x:c>
      <x:c r="H1290" s="11" t="n">
        <x:v>818.29</x:v>
      </x:c>
      <x:c r="I1290" s="2" t="n">
        <x:v>1</x:v>
      </x:c>
      <x:c r="J1290" s="2" t="n">
        <x:v>1</x:v>
      </x:c>
      <x:c r="K1290" s="2" t="n">
        <x:v>3</x:v>
      </x:c>
      <x:c r="L1290" s="2" t="str">
        <x:v>Hibernating</x:v>
      </x:c>
    </x:row>
    <x:row r="1291" ht="22" customHeight="1">
      <x:c r="A1291" s="2"/>
      <x:c r="B1291" s="2" t="str">
        <x:v>13613</x:v>
      </x:c>
      <x:c r="C1291" s="2" t="str">
        <x:v>United Kingdom</x:v>
      </x:c>
      <x:c r="D1291" s="25" t="n">
        <x:v>40226.319444444445</x:v>
      </x:c>
      <x:c r="E1291" s="25" t="n">
        <x:v>40434.29236111111</x:v>
      </x:c>
      <x:c r="F1291" s="2" t="n">
        <x:v>453</x:v>
      </x:c>
      <x:c r="G1291" s="2" t="n">
        <x:v>5</x:v>
      </x:c>
      <x:c r="H1291" s="11" t="n">
        <x:v>1039.85</x:v>
      </x:c>
      <x:c r="I1291" s="2" t="n">
        <x:v>1</x:v>
      </x:c>
      <x:c r="J1291" s="2" t="n">
        <x:v>4</x:v>
      </x:c>
      <x:c r="K1291" s="2" t="n">
        <x:v>3</x:v>
      </x:c>
      <x:c r="L1291" s="2" t="str">
        <x:v>At risk</x:v>
      </x:c>
    </x:row>
    <x:row r="1292" ht="22" customHeight="1">
      <x:c r="A1292" s="2"/>
      <x:c r="B1292" s="2" t="str">
        <x:v>13614</x:v>
      </x:c>
      <x:c r="C1292" s="2" t="str">
        <x:v>United Kingdom</x:v>
      </x:c>
      <x:c r="D1292" s="25" t="n">
        <x:v>40335.3625</x:v>
      </x:c>
      <x:c r="E1292" s="25" t="n">
        <x:v>40862.407638888886</x:v>
      </x:c>
      <x:c r="F1292" s="2" t="n">
        <x:v>25</x:v>
      </x:c>
      <x:c r="G1292" s="2" t="n">
        <x:v>6</x:v>
      </x:c>
      <x:c r="H1292" s="11" t="n">
        <x:v>2359.19</x:v>
      </x:c>
      <x:c r="I1292" s="2" t="n">
        <x:v>4</x:v>
      </x:c>
      <x:c r="J1292" s="2" t="n">
        <x:v>4</x:v>
      </x:c>
      <x:c r="K1292" s="2" t="n">
        <x:v>4</x:v>
      </x:c>
      <x:c r="L1292" s="2" t="str">
        <x:v>Champions</x:v>
      </x:c>
    </x:row>
    <x:row r="1293" ht="22" customHeight="1">
      <x:c r="A1293" s="2"/>
      <x:c r="B1293" s="2" t="str">
        <x:v>13615</x:v>
      </x:c>
      <x:c r="C1293" s="2" t="str">
        <x:v>United Kingdom</x:v>
      </x:c>
      <x:c r="D1293" s="25" t="n">
        <x:v>40206.44652777778</x:v>
      </x:c>
      <x:c r="E1293" s="25" t="n">
        <x:v>40568.13958333333</x:v>
      </x:c>
      <x:c r="F1293" s="2" t="n">
        <x:v>319</x:v>
      </x:c>
      <x:c r="G1293" s="2" t="n">
        <x:v>8</x:v>
      </x:c>
      <x:c r="H1293" s="11" t="n">
        <x:v>6272.53</x:v>
      </x:c>
      <x:c r="I1293" s="2" t="n">
        <x:v>2</x:v>
      </x:c>
      <x:c r="J1293" s="2" t="n">
        <x:v>4</x:v>
      </x:c>
      <x:c r="K1293" s="2" t="n">
        <x:v>5</x:v>
      </x:c>
      <x:c r="L1293" s="2" t="str">
        <x:v>At risk</x:v>
      </x:c>
    </x:row>
    <x:row r="1294" ht="22" customHeight="1">
      <x:c r="A1294" s="2"/>
      <x:c r="B1294" s="2" t="str">
        <x:v>13616</x:v>
      </x:c>
      <x:c r="C1294" s="2" t="str">
        <x:v>United Kingdom</x:v>
      </x:c>
      <x:c r="D1294" s="25" t="n">
        <x:v>40195.41388888889</x:v>
      </x:c>
      <x:c r="E1294" s="25" t="n">
        <x:v>40318.33263888889</x:v>
      </x:c>
      <x:c r="F1294" s="2" t="n">
        <x:v>569</x:v>
      </x:c>
      <x:c r="G1294" s="2" t="n">
        <x:v>2</x:v>
      </x:c>
      <x:c r="H1294" s="11" t="n">
        <x:v>288.1</x:v>
      </x:c>
      <x:c r="I1294" s="2" t="n">
        <x:v>1</x:v>
      </x:c>
      <x:c r="J1294" s="2" t="n">
        <x:v>2</x:v>
      </x:c>
      <x:c r="K1294" s="2" t="n">
        <x:v>2</x:v>
      </x:c>
      <x:c r="L1294" s="2" t="str">
        <x:v>Hibernating</x:v>
      </x:c>
    </x:row>
    <x:row r="1295" ht="22" customHeight="1">
      <x:c r="A1295" s="2"/>
      <x:c r="B1295" s="2" t="str">
        <x:v>13617</x:v>
      </x:c>
      <x:c r="C1295" s="2" t="str">
        <x:v>United Kingdom</x:v>
      </x:c>
      <x:c r="D1295" s="25" t="n">
        <x:v>40391.43263888889</x:v>
      </x:c>
      <x:c r="E1295" s="25" t="n">
        <x:v>40846.368055555555</x:v>
      </x:c>
      <x:c r="F1295" s="2" t="n">
        <x:v>41</x:v>
      </x:c>
      <x:c r="G1295" s="2" t="n">
        <x:v>8</x:v>
      </x:c>
      <x:c r="H1295" s="11" t="n">
        <x:v>1278.75</x:v>
      </x:c>
      <x:c r="I1295" s="2" t="n">
        <x:v>4</x:v>
      </x:c>
      <x:c r="J1295" s="2" t="n">
        <x:v>4</x:v>
      </x:c>
      <x:c r="K1295" s="2" t="n">
        <x:v>4</x:v>
      </x:c>
      <x:c r="L1295" s="2" t="str">
        <x:v>Champions</x:v>
      </x:c>
    </x:row>
    <x:row r="1296" ht="22" customHeight="1">
      <x:c r="A1296" s="2"/>
      <x:c r="B1296" s="2" t="str">
        <x:v>13618</x:v>
      </x:c>
      <x:c r="C1296" s="2" t="str">
        <x:v>United Kingdom</x:v>
      </x:c>
      <x:c r="D1296" s="25" t="n">
        <x:v>40713.25625</x:v>
      </x:c>
      <x:c r="E1296" s="25" t="n">
        <x:v>40713.25625</x:v>
      </x:c>
      <x:c r="F1296" s="2" t="n">
        <x:v>174</x:v>
      </x:c>
      <x:c r="G1296" s="2" t="n">
        <x:v>1</x:v>
      </x:c>
      <x:c r="H1296" s="11" t="n">
        <x:v>177.34</x:v>
      </x:c>
      <x:c r="I1296" s="2" t="n">
        <x:v>3</x:v>
      </x:c>
      <x:c r="J1296" s="2" t="n">
        <x:v>1</x:v>
      </x:c>
      <x:c r="K1296" s="2" t="n">
        <x:v>1</x:v>
      </x:c>
      <x:c r="L1296" s="2" t="str">
        <x:v>Developing</x:v>
      </x:c>
    </x:row>
    <x:row r="1297" ht="22" customHeight="1">
      <x:c r="A1297" s="2"/>
      <x:c r="B1297" s="2" t="str">
        <x:v>13619</x:v>
      </x:c>
      <x:c r="C1297" s="2" t="str">
        <x:v>United Kingdom</x:v>
      </x:c>
      <x:c r="D1297" s="25" t="n">
        <x:v>40212.38611111111</x:v>
      </x:c>
      <x:c r="E1297" s="25" t="n">
        <x:v>40342.277083333334</x:v>
      </x:c>
      <x:c r="F1297" s="2" t="n">
        <x:v>545</x:v>
      </x:c>
      <x:c r="G1297" s="2" t="n">
        <x:v>2</x:v>
      </x:c>
      <x:c r="H1297" s="11" t="n">
        <x:v>231.69</x:v>
      </x:c>
      <x:c r="I1297" s="2" t="n">
        <x:v>1</x:v>
      </x:c>
      <x:c r="J1297" s="2" t="n">
        <x:v>2</x:v>
      </x:c>
      <x:c r="K1297" s="2" t="n">
        <x:v>1</x:v>
      </x:c>
      <x:c r="L1297" s="2" t="str">
        <x:v>Hibernating</x:v>
      </x:c>
    </x:row>
    <x:row r="1298" ht="22" customHeight="1">
      <x:c r="A1298" s="2"/>
      <x:c r="B1298" s="2" t="str">
        <x:v>13620</x:v>
      </x:c>
      <x:c r="C1298" s="2" t="str">
        <x:v>United Kingdom</x:v>
      </x:c>
      <x:c r="D1298" s="25" t="n">
        <x:v>40358.41805555556</x:v>
      </x:c>
      <x:c r="E1298" s="25" t="n">
        <x:v>40358.41805555556</x:v>
      </x:c>
      <x:c r="F1298" s="2" t="n">
        <x:v>529</x:v>
      </x:c>
      <x:c r="G1298" s="2" t="n">
        <x:v>1</x:v>
      </x:c>
      <x:c r="H1298" s="11" t="n">
        <x:v>112.34</x:v>
      </x:c>
      <x:c r="I1298" s="2" t="n">
        <x:v>1</x:v>
      </x:c>
      <x:c r="J1298" s="2" t="n">
        <x:v>1</x:v>
      </x:c>
      <x:c r="K1298" s="2" t="n">
        <x:v>1</x:v>
      </x:c>
      <x:c r="L1298" s="2" t="str">
        <x:v>Hibernating</x:v>
      </x:c>
    </x:row>
    <x:row r="1299" ht="22" customHeight="1">
      <x:c r="A1299" s="2"/>
      <x:c r="B1299" s="2" t="str">
        <x:v>13621</x:v>
      </x:c>
      <x:c r="C1299" s="2" t="str">
        <x:v>United Kingdom</x:v>
      </x:c>
      <x:c r="D1299" s="25" t="n">
        <x:v>40770.143055555556</x:v>
      </x:c>
      <x:c r="E1299" s="25" t="n">
        <x:v>40770.143055555556</x:v>
      </x:c>
      <x:c r="F1299" s="2" t="n">
        <x:v>117</x:v>
      </x:c>
      <x:c r="G1299" s="2" t="n">
        <x:v>1</x:v>
      </x:c>
      <x:c r="H1299" s="11" t="n">
        <x:v>213.85</x:v>
      </x:c>
      <x:c r="I1299" s="2" t="n">
        <x:v>3</x:v>
      </x:c>
      <x:c r="J1299" s="2" t="n">
        <x:v>1</x:v>
      </x:c>
      <x:c r="K1299" s="2" t="n">
        <x:v>1</x:v>
      </x:c>
      <x:c r="L1299" s="2" t="str">
        <x:v>Developing</x:v>
      </x:c>
    </x:row>
    <x:row r="1300" ht="22" customHeight="1">
      <x:c r="A1300" s="2"/>
      <x:c r="B1300" s="2" t="str">
        <x:v>13622</x:v>
      </x:c>
      <x:c r="C1300" s="2" t="str">
        <x:v>United Kingdom</x:v>
      </x:c>
      <x:c r="D1300" s="25" t="n">
        <x:v>40190.34861111111</x:v>
      </x:c>
      <x:c r="E1300" s="25" t="n">
        <x:v>40190.34861111111</x:v>
      </x:c>
      <x:c r="F1300" s="2" t="n">
        <x:v>697</x:v>
      </x:c>
      <x:c r="G1300" s="2" t="n">
        <x:v>1</x:v>
      </x:c>
      <x:c r="H1300" s="11" t="n">
        <x:v>658.95</x:v>
      </x:c>
      <x:c r="I1300" s="2" t="n">
        <x:v>1</x:v>
      </x:c>
      <x:c r="J1300" s="2" t="n">
        <x:v>1</x:v>
      </x:c>
      <x:c r="K1300" s="2" t="n">
        <x:v>3</x:v>
      </x:c>
      <x:c r="L1300" s="2" t="str">
        <x:v>Hibernating</x:v>
      </x:c>
    </x:row>
    <x:row r="1301" ht="22" customHeight="1">
      <x:c r="A1301" s="2"/>
      <x:c r="B1301" s="2" t="str">
        <x:v>13623</x:v>
      </x:c>
      <x:c r="C1301" s="2" t="str">
        <x:v>United Kingdom</x:v>
      </x:c>
      <x:c r="D1301" s="25" t="n">
        <x:v>40149.37291666667</x:v>
      </x:c>
      <x:c r="E1301" s="25" t="n">
        <x:v>40856.291666666664</x:v>
      </x:c>
      <x:c r="F1301" s="2" t="n">
        <x:v>31</x:v>
      </x:c>
      <x:c r="G1301" s="2" t="n">
        <x:v>10</x:v>
      </x:c>
      <x:c r="H1301" s="11" t="n">
        <x:v>2566.49</x:v>
      </x:c>
      <x:c r="I1301" s="2" t="n">
        <x:v>4</x:v>
      </x:c>
      <x:c r="J1301" s="2" t="n">
        <x:v>5</x:v>
      </x:c>
      <x:c r="K1301" s="2" t="n">
        <x:v>4</x:v>
      </x:c>
      <x:c r="L1301" s="2" t="str">
        <x:v>Champions</x:v>
      </x:c>
    </x:row>
    <x:row r="1302" ht="22" customHeight="1">
      <x:c r="A1302" s="2"/>
      <x:c r="B1302" s="2" t="str">
        <x:v>13624</x:v>
      </x:c>
      <x:c r="C1302" s="2" t="str">
        <x:v>United Kingdom</x:v>
      </x:c>
      <x:c r="D1302" s="25" t="n">
        <x:v>40498.36319444444</x:v>
      </x:c>
      <x:c r="E1302" s="25" t="n">
        <x:v>40498.36319444444</x:v>
      </x:c>
      <x:c r="F1302" s="2" t="n">
        <x:v>389</x:v>
      </x:c>
      <x:c r="G1302" s="2" t="n">
        <x:v>1</x:v>
      </x:c>
      <x:c r="H1302" s="11" t="n">
        <x:v>462.08</x:v>
      </x:c>
      <x:c r="I1302" s="2" t="n">
        <x:v>2</x:v>
      </x:c>
      <x:c r="J1302" s="2" t="n">
        <x:v>1</x:v>
      </x:c>
      <x:c r="K1302" s="2" t="n">
        <x:v>2</x:v>
      </x:c>
      <x:c r="L1302" s="2" t="str">
        <x:v>Hibernating</x:v>
      </x:c>
    </x:row>
    <x:row r="1303" ht="22" customHeight="1">
      <x:c r="A1303" s="2"/>
      <x:c r="B1303" s="2" t="str">
        <x:v>13625</x:v>
      </x:c>
      <x:c r="C1303" s="2" t="str">
        <x:v>United Kingdom</x:v>
      </x:c>
      <x:c r="D1303" s="25" t="n">
        <x:v>40290.243055555555</x:v>
      </x:c>
      <x:c r="E1303" s="25" t="n">
        <x:v>40290.243055555555</x:v>
      </x:c>
      <x:c r="F1303" s="2" t="n">
        <x:v>597</x:v>
      </x:c>
      <x:c r="G1303" s="2" t="n">
        <x:v>1</x:v>
      </x:c>
      <x:c r="H1303" s="11" t="n">
        <x:v>301.26</x:v>
      </x:c>
      <x:c r="I1303" s="2" t="n">
        <x:v>1</x:v>
      </x:c>
      <x:c r="J1303" s="2" t="n">
        <x:v>1</x:v>
      </x:c>
      <x:c r="K1303" s="2" t="n">
        <x:v>2</x:v>
      </x:c>
      <x:c r="L1303" s="2" t="str">
        <x:v>Hibernating</x:v>
      </x:c>
    </x:row>
    <x:row r="1304" ht="22" customHeight="1">
      <x:c r="A1304" s="2"/>
      <x:c r="B1304" s="2" t="str">
        <x:v>13626</x:v>
      </x:c>
      <x:c r="C1304" s="2" t="str">
        <x:v>United Kingdom</x:v>
      </x:c>
      <x:c r="D1304" s="25" t="n">
        <x:v>40507.46666666667</x:v>
      </x:c>
      <x:c r="E1304" s="25" t="n">
        <x:v>40634.211805555555</x:v>
      </x:c>
      <x:c r="F1304" s="2" t="n">
        <x:v>253</x:v>
      </x:c>
      <x:c r="G1304" s="2" t="n">
        <x:v>2</x:v>
      </x:c>
      <x:c r="H1304" s="11" t="n">
        <x:v>707.04</x:v>
      </x:c>
      <x:c r="I1304" s="2" t="n">
        <x:v>2</x:v>
      </x:c>
      <x:c r="J1304" s="2" t="n">
        <x:v>2</x:v>
      </x:c>
      <x:c r="K1304" s="2" t="n">
        <x:v>3</x:v>
      </x:c>
      <x:c r="L1304" s="2" t="str">
        <x:v>Hibernating</x:v>
      </x:c>
    </x:row>
    <x:row r="1305" ht="22" customHeight="1">
      <x:c r="A1305" s="2"/>
      <x:c r="B1305" s="2" t="str">
        <x:v>13627</x:v>
      </x:c>
      <x:c r="C1305" s="2" t="str">
        <x:v>United Kingdom</x:v>
      </x:c>
      <x:c r="D1305" s="25" t="n">
        <x:v>40246.37708333333</x:v>
      </x:c>
      <x:c r="E1305" s="25" t="n">
        <x:v>40827.38888888889</x:v>
      </x:c>
      <x:c r="F1305" s="2" t="n">
        <x:v>60</x:v>
      </x:c>
      <x:c r="G1305" s="2" t="n">
        <x:v>7</x:v>
      </x:c>
      <x:c r="H1305" s="11" t="n">
        <x:v>2245.9</x:v>
      </x:c>
      <x:c r="I1305" s="2" t="n">
        <x:v>3</x:v>
      </x:c>
      <x:c r="J1305" s="2" t="n">
        <x:v>4</x:v>
      </x:c>
      <x:c r="K1305" s="2" t="n">
        <x:v>4</x:v>
      </x:c>
      <x:c r="L1305" s="2" t="str">
        <x:v>Loyal</x:v>
      </x:c>
    </x:row>
    <x:row r="1306" ht="22" customHeight="1">
      <x:c r="A1306" s="2"/>
      <x:c r="B1306" s="2" t="str">
        <x:v>13628</x:v>
      </x:c>
      <x:c r="C1306" s="2" t="str">
        <x:v>United Kingdom</x:v>
      </x:c>
      <x:c r="D1306" s="25" t="n">
        <x:v>40210.40555555555</x:v>
      </x:c>
      <x:c r="E1306" s="25" t="n">
        <x:v>40210.40555555555</x:v>
      </x:c>
      <x:c r="F1306" s="2" t="n">
        <x:v>677</x:v>
      </x:c>
      <x:c r="G1306" s="2" t="n">
        <x:v>1</x:v>
      </x:c>
      <x:c r="H1306" s="11" t="n">
        <x:v>310.14</x:v>
      </x:c>
      <x:c r="I1306" s="2" t="n">
        <x:v>1</x:v>
      </x:c>
      <x:c r="J1306" s="2" t="n">
        <x:v>1</x:v>
      </x:c>
      <x:c r="K1306" s="2" t="n">
        <x:v>2</x:v>
      </x:c>
      <x:c r="L1306" s="2" t="str">
        <x:v>Hibernating</x:v>
      </x:c>
    </x:row>
    <x:row r="1307" ht="22" customHeight="1">
      <x:c r="A1307" s="2"/>
      <x:c r="B1307" s="2" t="str">
        <x:v>13629</x:v>
      </x:c>
      <x:c r="C1307" s="2" t="str">
        <x:v>United Kingdom</x:v>
      </x:c>
      <x:c r="D1307" s="25" t="n">
        <x:v>40220.52361111111</x:v>
      </x:c>
      <x:c r="E1307" s="25" t="n">
        <x:v>40863.347916666666</x:v>
      </x:c>
      <x:c r="F1307" s="2" t="n">
        <x:v>24</x:v>
      </x:c>
      <x:c r="G1307" s="2" t="n">
        <x:v>19</x:v>
      </x:c>
      <x:c r="H1307" s="11" t="n">
        <x:v>13370.86</x:v>
      </x:c>
      <x:c r="I1307" s="2" t="n">
        <x:v>4</x:v>
      </x:c>
      <x:c r="J1307" s="2" t="n">
        <x:v>5</x:v>
      </x:c>
      <x:c r="K1307" s="2" t="n">
        <x:v>5</x:v>
      </x:c>
      <x:c r="L1307" s="2" t="str">
        <x:v>Champions</x:v>
      </x:c>
    </x:row>
    <x:row r="1308" ht="22" customHeight="1">
      <x:c r="A1308" s="2"/>
      <x:c r="B1308" s="2" t="str">
        <x:v>13630</x:v>
      </x:c>
      <x:c r="C1308" s="2" t="str">
        <x:v>United Kingdom</x:v>
      </x:c>
      <x:c r="D1308" s="25" t="n">
        <x:v>40601.325694444444</x:v>
      </x:c>
      <x:c r="E1308" s="25" t="n">
        <x:v>40881.427777777775</x:v>
      </x:c>
      <x:c r="F1308" s="2" t="n">
        <x:v>6</x:v>
      </x:c>
      <x:c r="G1308" s="2" t="n">
        <x:v>7</x:v>
      </x:c>
      <x:c r="H1308" s="11" t="n">
        <x:v>2031.78</x:v>
      </x:c>
      <x:c r="I1308" s="2" t="n">
        <x:v>5</x:v>
      </x:c>
      <x:c r="J1308" s="2" t="n">
        <x:v>4</x:v>
      </x:c>
      <x:c r="K1308" s="2" t="n">
        <x:v>4</x:v>
      </x:c>
      <x:c r="L1308" s="2" t="str">
        <x:v>Champions</x:v>
      </x:c>
    </x:row>
    <x:row r="1309" ht="22" customHeight="1">
      <x:c r="A1309" s="2"/>
      <x:c r="B1309" s="2" t="str">
        <x:v>13631</x:v>
      </x:c>
      <x:c r="C1309" s="2" t="str">
        <x:v>United Kingdom</x:v>
      </x:c>
      <x:c r="D1309" s="25" t="n">
        <x:v>40619.50902777778</x:v>
      </x:c>
      <x:c r="E1309" s="25" t="n">
        <x:v>40787.20625</x:v>
      </x:c>
      <x:c r="F1309" s="2" t="n">
        <x:v>100</x:v>
      </x:c>
      <x:c r="G1309" s="2" t="n">
        <x:v>11</x:v>
      </x:c>
      <x:c r="H1309" s="11" t="n">
        <x:v>3070.42</x:v>
      </x:c>
      <x:c r="I1309" s="2" t="n">
        <x:v>3</x:v>
      </x:c>
      <x:c r="J1309" s="2" t="n">
        <x:v>5</x:v>
      </x:c>
      <x:c r="K1309" s="2" t="n">
        <x:v>5</x:v>
      </x:c>
      <x:c r="L1309" s="2" t="str">
        <x:v>Loyal</x:v>
      </x:c>
    </x:row>
    <x:row r="1310" ht="22" customHeight="1">
      <x:c r="A1310" s="2"/>
      <x:c r="B1310" s="2" t="str">
        <x:v>13632</x:v>
      </x:c>
      <x:c r="C1310" s="2" t="str">
        <x:v>United Kingdom</x:v>
      </x:c>
      <x:c r="D1310" s="25" t="n">
        <x:v>40275.24930555555</x:v>
      </x:c>
      <x:c r="E1310" s="25" t="n">
        <x:v>40862.24375</x:v>
      </x:c>
      <x:c r="F1310" s="2" t="n">
        <x:v>25</x:v>
      </x:c>
      <x:c r="G1310" s="2" t="n">
        <x:v>8</x:v>
      </x:c>
      <x:c r="H1310" s="11" t="n">
        <x:v>3648.15</x:v>
      </x:c>
      <x:c r="I1310" s="2" t="n">
        <x:v>4</x:v>
      </x:c>
      <x:c r="J1310" s="2" t="n">
        <x:v>4</x:v>
      </x:c>
      <x:c r="K1310" s="2" t="n">
        <x:v>5</x:v>
      </x:c>
      <x:c r="L1310" s="2" t="str">
        <x:v>Champions</x:v>
      </x:c>
    </x:row>
    <x:row r="1311" ht="22" customHeight="1">
      <x:c r="A1311" s="2"/>
      <x:c r="B1311" s="2" t="str">
        <x:v>13634</x:v>
      </x:c>
      <x:c r="C1311" s="2" t="str">
        <x:v>United Kingdom</x:v>
      </x:c>
      <x:c r="D1311" s="25" t="n">
        <x:v>40188.393055555556</x:v>
      </x:c>
      <x:c r="E1311" s="25" t="n">
        <x:v>40853.36111111111</x:v>
      </x:c>
      <x:c r="F1311" s="2" t="n">
        <x:v>34</x:v>
      </x:c>
      <x:c r="G1311" s="2" t="n">
        <x:v>16</x:v>
      </x:c>
      <x:c r="H1311" s="11" t="n">
        <x:v>5073.47</x:v>
      </x:c>
      <x:c r="I1311" s="2" t="n">
        <x:v>4</x:v>
      </x:c>
      <x:c r="J1311" s="2" t="n">
        <x:v>5</x:v>
      </x:c>
      <x:c r="K1311" s="2" t="n">
        <x:v>5</x:v>
      </x:c>
      <x:c r="L1311" s="2" t="str">
        <x:v>Champions</x:v>
      </x:c>
    </x:row>
    <x:row r="1312" ht="22" customHeight="1">
      <x:c r="A1312" s="2"/>
      <x:c r="B1312" s="2" t="str">
        <x:v>13635</x:v>
      </x:c>
      <x:c r="C1312" s="2" t="str">
        <x:v>United Kingdom</x:v>
      </x:c>
      <x:c r="D1312" s="25" t="n">
        <x:v>40148.19861111111</x:v>
      </x:c>
      <x:c r="E1312" s="25" t="n">
        <x:v>40819.24652777778</x:v>
      </x:c>
      <x:c r="F1312" s="2" t="n">
        <x:v>68</x:v>
      </x:c>
      <x:c r="G1312" s="2" t="n">
        <x:v>4</x:v>
      </x:c>
      <x:c r="H1312" s="11" t="n">
        <x:v>2999.16</x:v>
      </x:c>
      <x:c r="I1312" s="2" t="n">
        <x:v>3</x:v>
      </x:c>
      <x:c r="J1312" s="2" t="n">
        <x:v>3</x:v>
      </x:c>
      <x:c r="K1312" s="2" t="n">
        <x:v>5</x:v>
      </x:c>
      <x:c r="L1312" s="2" t="str">
        <x:v>Loyal</x:v>
      </x:c>
    </x:row>
    <x:row r="1313" ht="22" customHeight="1">
      <x:c r="A1313" s="2"/>
      <x:c r="B1313" s="2" t="str">
        <x:v>13636</x:v>
      </x:c>
      <x:c r="C1313" s="2" t="str">
        <x:v>United Kingdom</x:v>
      </x:c>
      <x:c r="D1313" s="25" t="n">
        <x:v>40601.39513888889</x:v>
      </x:c>
      <x:c r="E1313" s="25" t="n">
        <x:v>40850.229166666664</x:v>
      </x:c>
      <x:c r="F1313" s="2" t="n">
        <x:v>37</x:v>
      </x:c>
      <x:c r="G1313" s="2" t="n">
        <x:v>5</x:v>
      </x:c>
      <x:c r="H1313" s="11" t="n">
        <x:v>949.12</x:v>
      </x:c>
      <x:c r="I1313" s="2" t="n">
        <x:v>4</x:v>
      </x:c>
      <x:c r="J1313" s="2" t="n">
        <x:v>4</x:v>
      </x:c>
      <x:c r="K1313" s="2" t="n">
        <x:v>3</x:v>
      </x:c>
      <x:c r="L1313" s="2" t="str">
        <x:v>Loyal</x:v>
      </x:c>
    </x:row>
    <x:row r="1314" ht="22" customHeight="1">
      <x:c r="A1314" s="2"/>
      <x:c r="B1314" s="2" t="str">
        <x:v>13637</x:v>
      </x:c>
      <x:c r="C1314" s="2" t="str">
        <x:v>United Kingdom</x:v>
      </x:c>
      <x:c r="D1314" s="25" t="n">
        <x:v>40660.3375</x:v>
      </x:c>
      <x:c r="E1314" s="25" t="n">
        <x:v>40834.35555555556</x:v>
      </x:c>
      <x:c r="F1314" s="2" t="n">
        <x:v>53</x:v>
      </x:c>
      <x:c r="G1314" s="2" t="n">
        <x:v>3</x:v>
      </x:c>
      <x:c r="H1314" s="11" t="n">
        <x:v>810.5</x:v>
      </x:c>
      <x:c r="I1314" s="2" t="n">
        <x:v>4</x:v>
      </x:c>
      <x:c r="J1314" s="2" t="n">
        <x:v>3</x:v>
      </x:c>
      <x:c r="K1314" s="2" t="n">
        <x:v>3</x:v>
      </x:c>
      <x:c r="L1314" s="2" t="str">
        <x:v>Loyal</x:v>
      </x:c>
    </x:row>
    <x:row r="1315" ht="22" customHeight="1">
      <x:c r="A1315" s="2"/>
      <x:c r="B1315" s="2" t="str">
        <x:v>13638</x:v>
      </x:c>
      <x:c r="C1315" s="2" t="str">
        <x:v>United Kingdom</x:v>
      </x:c>
      <x:c r="D1315" s="25" t="n">
        <x:v>40871.23472222222</x:v>
      </x:c>
      <x:c r="E1315" s="25" t="n">
        <x:v>40871.23472222222</x:v>
      </x:c>
      <x:c r="F1315" s="2" t="n">
        <x:v>16</x:v>
      </x:c>
      <x:c r="G1315" s="2" t="n">
        <x:v>1</x:v>
      </x:c>
      <x:c r="H1315" s="11" t="n">
        <x:v>122.64</x:v>
      </x:c>
      <x:c r="I1315" s="2" t="n">
        <x:v>5</x:v>
      </x:c>
      <x:c r="J1315" s="2" t="n">
        <x:v>1</x:v>
      </x:c>
      <x:c r="K1315" s="2" t="n">
        <x:v>1</x:v>
      </x:c>
      <x:c r="L1315" s="2" t="str">
        <x:v>Recent light buyers</x:v>
      </x:c>
    </x:row>
    <x:row r="1316" ht="22" customHeight="1">
      <x:c r="A1316" s="2"/>
      <x:c r="B1316" s="2" t="str">
        <x:v>13639</x:v>
      </x:c>
      <x:c r="C1316" s="2" t="str">
        <x:v>United Kingdom</x:v>
      </x:c>
      <x:c r="D1316" s="25" t="n">
        <x:v>40450.211805555555</x:v>
      </x:c>
      <x:c r="E1316" s="25" t="n">
        <x:v>40812.35833333333</x:v>
      </x:c>
      <x:c r="F1316" s="2" t="n">
        <x:v>75</x:v>
      </x:c>
      <x:c r="G1316" s="2" t="n">
        <x:v>2</x:v>
      </x:c>
      <x:c r="H1316" s="11" t="n">
        <x:v>1346.27</x:v>
      </x:c>
      <x:c r="I1316" s="2" t="n">
        <x:v>3</x:v>
      </x:c>
      <x:c r="J1316" s="2" t="n">
        <x:v>2</x:v>
      </x:c>
      <x:c r="K1316" s="2" t="n">
        <x:v>4</x:v>
      </x:c>
      <x:c r="L1316" s="2" t="str">
        <x:v>Developing</x:v>
      </x:c>
    </x:row>
    <x:row r="1317" ht="22" customHeight="1">
      <x:c r="A1317" s="2"/>
      <x:c r="B1317" s="2" t="str">
        <x:v>13640</x:v>
      </x:c>
      <x:c r="C1317" s="2" t="str">
        <x:v>United Kingdom</x:v>
      </x:c>
      <x:c r="D1317" s="25" t="n">
        <x:v>40275.43958333333</x:v>
      </x:c>
      <x:c r="E1317" s="25" t="n">
        <x:v>40275.43958333333</x:v>
      </x:c>
      <x:c r="F1317" s="2" t="n">
        <x:v>612</x:v>
      </x:c>
      <x:c r="G1317" s="2" t="n">
        <x:v>1</x:v>
      </x:c>
      <x:c r="H1317" s="11" t="n">
        <x:v>405</x:v>
      </x:c>
      <x:c r="I1317" s="2" t="n">
        <x:v>1</x:v>
      </x:c>
      <x:c r="J1317" s="2" t="n">
        <x:v>1</x:v>
      </x:c>
      <x:c r="K1317" s="2" t="n">
        <x:v>2</x:v>
      </x:c>
      <x:c r="L1317" s="2" t="str">
        <x:v>Hibernating</x:v>
      </x:c>
    </x:row>
    <x:row r="1318" ht="22" customHeight="1">
      <x:c r="A1318" s="2"/>
      <x:c r="B1318" s="2" t="str">
        <x:v>13641</x:v>
      </x:c>
      <x:c r="C1318" s="2" t="str">
        <x:v>United Kingdom</x:v>
      </x:c>
      <x:c r="D1318" s="25" t="n">
        <x:v>40152.345138888886</x:v>
      </x:c>
      <x:c r="E1318" s="25" t="n">
        <x:v>40246.10902777778</x:v>
      </x:c>
      <x:c r="F1318" s="2" t="n">
        <x:v>641</x:v>
      </x:c>
      <x:c r="G1318" s="2" t="n">
        <x:v>5</x:v>
      </x:c>
      <x:c r="H1318" s="11" t="n">
        <x:v>1016.47</x:v>
      </x:c>
      <x:c r="I1318" s="2" t="n">
        <x:v>1</x:v>
      </x:c>
      <x:c r="J1318" s="2" t="n">
        <x:v>4</x:v>
      </x:c>
      <x:c r="K1318" s="2" t="n">
        <x:v>3</x:v>
      </x:c>
      <x:c r="L1318" s="2" t="str">
        <x:v>At risk</x:v>
      </x:c>
    </x:row>
    <x:row r="1319" ht="22" customHeight="1">
      <x:c r="A1319" s="2"/>
      <x:c r="B1319" s="2" t="str">
        <x:v>13642</x:v>
      </x:c>
      <x:c r="C1319" s="2" t="str">
        <x:v>United Kingdom</x:v>
      </x:c>
      <x:c r="D1319" s="25" t="n">
        <x:v>40454.30763888889</x:v>
      </x:c>
      <x:c r="E1319" s="25" t="n">
        <x:v>40671.31527777778</x:v>
      </x:c>
      <x:c r="F1319" s="2" t="n">
        <x:v>216</x:v>
      </x:c>
      <x:c r="G1319" s="2" t="n">
        <x:v>4</x:v>
      </x:c>
      <x:c r="H1319" s="11" t="n">
        <x:v>514.72</x:v>
      </x:c>
      <x:c r="I1319" s="2" t="n">
        <x:v>2</x:v>
      </x:c>
      <x:c r="J1319" s="2" t="n">
        <x:v>3</x:v>
      </x:c>
      <x:c r="K1319" s="2" t="n">
        <x:v>2</x:v>
      </x:c>
      <x:c r="L1319" s="2" t="str">
        <x:v>At risk</x:v>
      </x:c>
    </x:row>
    <x:row r="1320" ht="22" customHeight="1">
      <x:c r="A1320" s="2"/>
      <x:c r="B1320" s="2" t="str">
        <x:v>13643</x:v>
      </x:c>
      <x:c r="C1320" s="2" t="str">
        <x:v>United Kingdom</x:v>
      </x:c>
      <x:c r="D1320" s="25" t="n">
        <x:v>40155.325</x:v>
      </x:c>
      <x:c r="E1320" s="25" t="n">
        <x:v>40855.44236111111</x:v>
      </x:c>
      <x:c r="F1320" s="2" t="n">
        <x:v>32</x:v>
      </x:c>
      <x:c r="G1320" s="2" t="n">
        <x:v>10</x:v>
      </x:c>
      <x:c r="H1320" s="11" t="n">
        <x:v>2156.77</x:v>
      </x:c>
      <x:c r="I1320" s="2" t="n">
        <x:v>4</x:v>
      </x:c>
      <x:c r="J1320" s="2" t="n">
        <x:v>5</x:v>
      </x:c>
      <x:c r="K1320" s="2" t="n">
        <x:v>4</x:v>
      </x:c>
      <x:c r="L1320" s="2" t="str">
        <x:v>Champions</x:v>
      </x:c>
    </x:row>
    <x:row r="1321" ht="22" customHeight="1">
      <x:c r="A1321" s="2"/>
      <x:c r="B1321" s="2" t="str">
        <x:v>13644</x:v>
      </x:c>
      <x:c r="C1321" s="2" t="str">
        <x:v>United Kingdom</x:v>
      </x:c>
      <x:c r="D1321" s="25" t="n">
        <x:v>40781.28680555556</x:v>
      </x:c>
      <x:c r="E1321" s="25" t="n">
        <x:v>40870.37986111111</x:v>
      </x:c>
      <x:c r="F1321" s="2" t="n">
        <x:v>17</x:v>
      </x:c>
      <x:c r="G1321" s="2" t="n">
        <x:v>4</x:v>
      </x:c>
      <x:c r="H1321" s="11" t="n">
        <x:v>2624.26</x:v>
      </x:c>
      <x:c r="I1321" s="2" t="n">
        <x:v>5</x:v>
      </x:c>
      <x:c r="J1321" s="2" t="n">
        <x:v>3</x:v>
      </x:c>
      <x:c r="K1321" s="2" t="n">
        <x:v>4</x:v>
      </x:c>
      <x:c r="L1321" s="2" t="str">
        <x:v>Loyal</x:v>
      </x:c>
    </x:row>
    <x:row r="1322" ht="22" customHeight="1">
      <x:c r="A1322" s="2"/>
      <x:c r="B1322" s="2" t="str">
        <x:v>13645</x:v>
      </x:c>
      <x:c r="C1322" s="2" t="str">
        <x:v>United Kingdom</x:v>
      </x:c>
      <x:c r="D1322" s="25" t="n">
        <x:v>40766.46597222222</x:v>
      </x:c>
      <x:c r="E1322" s="25" t="n">
        <x:v>40766.46597222222</x:v>
      </x:c>
      <x:c r="F1322" s="2" t="n">
        <x:v>121</x:v>
      </x:c>
      <x:c r="G1322" s="2" t="n">
        <x:v>1</x:v>
      </x:c>
      <x:c r="H1322" s="11" t="n">
        <x:v>252.1</x:v>
      </x:c>
      <x:c r="I1322" s="2" t="n">
        <x:v>3</x:v>
      </x:c>
      <x:c r="J1322" s="2" t="n">
        <x:v>1</x:v>
      </x:c>
      <x:c r="K1322" s="2" t="n">
        <x:v>1</x:v>
      </x:c>
      <x:c r="L1322" s="2" t="str">
        <x:v>Developing</x:v>
      </x:c>
    </x:row>
    <x:row r="1323" ht="22" customHeight="1">
      <x:c r="A1323" s="2"/>
      <x:c r="B1323" s="2" t="str">
        <x:v>13646</x:v>
      </x:c>
      <x:c r="C1323" s="2" t="str">
        <x:v>United Kingdom</x:v>
      </x:c>
      <x:c r="D1323" s="25" t="n">
        <x:v>40487.291666666664</x:v>
      </x:c>
      <x:c r="E1323" s="25" t="n">
        <x:v>40487.30069444444</x:v>
      </x:c>
      <x:c r="F1323" s="2" t="n">
        <x:v>400</x:v>
      </x:c>
      <x:c r="G1323" s="2" t="n">
        <x:v>2</x:v>
      </x:c>
      <x:c r="H1323" s="11" t="n">
        <x:v>326.25</x:v>
      </x:c>
      <x:c r="I1323" s="2" t="n">
        <x:v>2</x:v>
      </x:c>
      <x:c r="J1323" s="2" t="n">
        <x:v>2</x:v>
      </x:c>
      <x:c r="K1323" s="2" t="n">
        <x:v>2</x:v>
      </x:c>
      <x:c r="L1323" s="2" t="str">
        <x:v>Hibernating</x:v>
      </x:c>
    </x:row>
    <x:row r="1324" ht="22" customHeight="1">
      <x:c r="A1324" s="2"/>
      <x:c r="B1324" s="2" t="str">
        <x:v>13647</x:v>
      </x:c>
      <x:c r="C1324" s="2" t="str">
        <x:v>United Kingdom</x:v>
      </x:c>
      <x:c r="D1324" s="25" t="n">
        <x:v>40283.32986111111</x:v>
      </x:c>
      <x:c r="E1324" s="25" t="n">
        <x:v>40877.291666666664</x:v>
      </x:c>
      <x:c r="F1324" s="2" t="n">
        <x:v>10</x:v>
      </x:c>
      <x:c r="G1324" s="2" t="n">
        <x:v>8</x:v>
      </x:c>
      <x:c r="H1324" s="11" t="n">
        <x:v>3071.68</x:v>
      </x:c>
      <x:c r="I1324" s="2" t="n">
        <x:v>5</x:v>
      </x:c>
      <x:c r="J1324" s="2" t="n">
        <x:v>4</x:v>
      </x:c>
      <x:c r="K1324" s="2" t="n">
        <x:v>5</x:v>
      </x:c>
      <x:c r="L1324" s="2" t="str">
        <x:v>Champions</x:v>
      </x:c>
    </x:row>
    <x:row r="1325" ht="22" customHeight="1">
      <x:c r="A1325" s="2"/>
      <x:c r="B1325" s="2" t="str">
        <x:v>13648</x:v>
      </x:c>
      <x:c r="C1325" s="2" t="str">
        <x:v>United Kingdom</x:v>
      </x:c>
      <x:c r="D1325" s="25" t="n">
        <x:v>40148.55069444444</x:v>
      </x:c>
      <x:c r="E1325" s="25" t="n">
        <x:v>40486.40694444445</x:v>
      </x:c>
      <x:c r="F1325" s="2" t="n">
        <x:v>401</x:v>
      </x:c>
      <x:c r="G1325" s="2" t="n">
        <x:v>8</x:v>
      </x:c>
      <x:c r="H1325" s="11" t="n">
        <x:v>1764.02</x:v>
      </x:c>
      <x:c r="I1325" s="2" t="n">
        <x:v>2</x:v>
      </x:c>
      <x:c r="J1325" s="2" t="n">
        <x:v>4</x:v>
      </x:c>
      <x:c r="K1325" s="2" t="n">
        <x:v>4</x:v>
      </x:c>
      <x:c r="L1325" s="2" t="str">
        <x:v>At risk</x:v>
      </x:c>
    </x:row>
    <x:row r="1326" ht="22" customHeight="1">
      <x:c r="A1326" s="2"/>
      <x:c r="B1326" s="2" t="str">
        <x:v>13649</x:v>
      </x:c>
      <x:c r="C1326" s="2" t="str">
        <x:v>United Kingdom</x:v>
      </x:c>
      <x:c r="D1326" s="25" t="n">
        <x:v>40359.48263888889</x:v>
      </x:c>
      <x:c r="E1326" s="25" t="n">
        <x:v>40630.285416666666</x:v>
      </x:c>
      <x:c r="F1326" s="2" t="n">
        <x:v>257</x:v>
      </x:c>
      <x:c r="G1326" s="2" t="n">
        <x:v>6</x:v>
      </x:c>
      <x:c r="H1326" s="11" t="n">
        <x:v>1481.08</x:v>
      </x:c>
      <x:c r="I1326" s="2" t="n">
        <x:v>2</x:v>
      </x:c>
      <x:c r="J1326" s="2" t="n">
        <x:v>4</x:v>
      </x:c>
      <x:c r="K1326" s="2" t="n">
        <x:v>4</x:v>
      </x:c>
      <x:c r="L1326" s="2" t="str">
        <x:v>At risk</x:v>
      </x:c>
    </x:row>
    <x:row r="1327" ht="22" customHeight="1">
      <x:c r="A1327" s="2"/>
      <x:c r="B1327" s="2" t="str">
        <x:v>13650</x:v>
      </x:c>
      <x:c r="C1327" s="2" t="str">
        <x:v>United Kingdom</x:v>
      </x:c>
      <x:c r="D1327" s="25" t="n">
        <x:v>40204.15555555555</x:v>
      </x:c>
      <x:c r="E1327" s="25" t="n">
        <x:v>40870.30694444444</x:v>
      </x:c>
      <x:c r="F1327" s="2" t="n">
        <x:v>17</x:v>
      </x:c>
      <x:c r="G1327" s="2" t="n">
        <x:v>10</x:v>
      </x:c>
      <x:c r="H1327" s="11" t="n">
        <x:v>3288</x:v>
      </x:c>
      <x:c r="I1327" s="2" t="n">
        <x:v>5</x:v>
      </x:c>
      <x:c r="J1327" s="2" t="n">
        <x:v>5</x:v>
      </x:c>
      <x:c r="K1327" s="2" t="n">
        <x:v>5</x:v>
      </x:c>
      <x:c r="L1327" s="2" t="str">
        <x:v>Champions</x:v>
      </x:c>
    </x:row>
    <x:row r="1328" ht="22" customHeight="1">
      <x:c r="A1328" s="2"/>
      <x:c r="B1328" s="2" t="str">
        <x:v>13651</x:v>
      </x:c>
      <x:c r="C1328" s="2" t="str">
        <x:v>United Kingdom</x:v>
      </x:c>
      <x:c r="D1328" s="25" t="n">
        <x:v>40505.197222222225</x:v>
      </x:c>
      <x:c r="E1328" s="25" t="n">
        <x:v>40851.415972222225</x:v>
      </x:c>
      <x:c r="F1328" s="2" t="n">
        <x:v>36</x:v>
      </x:c>
      <x:c r="G1328" s="2" t="n">
        <x:v>3</x:v>
      </x:c>
      <x:c r="H1328" s="11" t="n">
        <x:v>226.85</x:v>
      </x:c>
      <x:c r="I1328" s="2" t="n">
        <x:v>4</x:v>
      </x:c>
      <x:c r="J1328" s="2" t="n">
        <x:v>3</x:v>
      </x:c>
      <x:c r="K1328" s="2" t="n">
        <x:v>1</x:v>
      </x:c>
      <x:c r="L1328" s="2" t="str">
        <x:v>Loyal</x:v>
      </x:c>
    </x:row>
    <x:row r="1329" ht="22" customHeight="1">
      <x:c r="A1329" s="2"/>
      <x:c r="B1329" s="2" t="str">
        <x:v>13652</x:v>
      </x:c>
      <x:c r="C1329" s="2" t="str">
        <x:v>United Kingdom</x:v>
      </x:c>
      <x:c r="D1329" s="25" t="n">
        <x:v>40234.52569444444</x:v>
      </x:c>
      <x:c r="E1329" s="25" t="n">
        <x:v>40841.160416666666</x:v>
      </x:c>
      <x:c r="F1329" s="2" t="n">
        <x:v>46</x:v>
      </x:c>
      <x:c r="G1329" s="2" t="n">
        <x:v>5</x:v>
      </x:c>
      <x:c r="H1329" s="11" t="n">
        <x:v>2262.05</x:v>
      </x:c>
      <x:c r="I1329" s="2" t="n">
        <x:v>4</x:v>
      </x:c>
      <x:c r="J1329" s="2" t="n">
        <x:v>4</x:v>
      </x:c>
      <x:c r="K1329" s="2" t="n">
        <x:v>4</x:v>
      </x:c>
      <x:c r="L1329" s="2" t="str">
        <x:v>Champions</x:v>
      </x:c>
    </x:row>
    <x:row r="1330" ht="22" customHeight="1">
      <x:c r="A1330" s="2"/>
      <x:c r="B1330" s="2" t="str">
        <x:v>13653</x:v>
      </x:c>
      <x:c r="C1330" s="2" t="str">
        <x:v>United Kingdom</x:v>
      </x:c>
      <x:c r="D1330" s="25" t="n">
        <x:v>40399.138194444444</x:v>
      </x:c>
      <x:c r="E1330" s="25" t="n">
        <x:v>40399.138194444444</x:v>
      </x:c>
      <x:c r="F1330" s="2" t="n">
        <x:v>488</x:v>
      </x:c>
      <x:c r="G1330" s="2" t="n">
        <x:v>1</x:v>
      </x:c>
      <x:c r="H1330" s="11" t="n">
        <x:v>152.2</x:v>
      </x:c>
      <x:c r="I1330" s="2" t="n">
        <x:v>1</x:v>
      </x:c>
      <x:c r="J1330" s="2" t="n">
        <x:v>1</x:v>
      </x:c>
      <x:c r="K1330" s="2" t="n">
        <x:v>1</x:v>
      </x:c>
      <x:c r="L1330" s="2" t="str">
        <x:v>Hibernating</x:v>
      </x:c>
    </x:row>
    <x:row r="1331" ht="22" customHeight="1">
      <x:c r="A1331" s="2"/>
      <x:c r="B1331" s="2" t="str">
        <x:v>13654</x:v>
      </x:c>
      <x:c r="C1331" s="2" t="str">
        <x:v>United Kingdom</x:v>
      </x:c>
      <x:c r="D1331" s="25" t="n">
        <x:v>40149.279861111114</x:v>
      </x:c>
      <x:c r="E1331" s="25" t="n">
        <x:v>40843.475</x:v>
      </x:c>
      <x:c r="F1331" s="2" t="n">
        <x:v>44</x:v>
      </x:c>
      <x:c r="G1331" s="2" t="n">
        <x:v>11</x:v>
      </x:c>
      <x:c r="H1331" s="11" t="n">
        <x:v>6308</x:v>
      </x:c>
      <x:c r="I1331" s="2" t="n">
        <x:v>4</x:v>
      </x:c>
      <x:c r="J1331" s="2" t="n">
        <x:v>5</x:v>
      </x:c>
      <x:c r="K1331" s="2" t="n">
        <x:v>5</x:v>
      </x:c>
      <x:c r="L1331" s="2" t="str">
        <x:v>Champions</x:v>
      </x:c>
    </x:row>
    <x:row r="1332" ht="22" customHeight="1">
      <x:c r="A1332" s="2"/>
      <x:c r="B1332" s="2" t="str">
        <x:v>13655</x:v>
      </x:c>
      <x:c r="C1332" s="2" t="str">
        <x:v>United Kingdom</x:v>
      </x:c>
      <x:c r="D1332" s="25" t="n">
        <x:v>40295.20763888889</x:v>
      </x:c>
      <x:c r="E1332" s="25" t="n">
        <x:v>40772.39236111111</x:v>
      </x:c>
      <x:c r="F1332" s="2" t="n">
        <x:v>115</x:v>
      </x:c>
      <x:c r="G1332" s="2" t="n">
        <x:v>6</x:v>
      </x:c>
      <x:c r="H1332" s="11" t="n">
        <x:v>2280.51</x:v>
      </x:c>
      <x:c r="I1332" s="2" t="n">
        <x:v>3</x:v>
      </x:c>
      <x:c r="J1332" s="2" t="n">
        <x:v>4</x:v>
      </x:c>
      <x:c r="K1332" s="2" t="n">
        <x:v>4</x:v>
      </x:c>
      <x:c r="L1332" s="2" t="str">
        <x:v>Loyal</x:v>
      </x:c>
    </x:row>
    <x:row r="1333" ht="22" customHeight="1">
      <x:c r="A1333" s="2"/>
      <x:c r="B1333" s="2" t="str">
        <x:v>13656</x:v>
      </x:c>
      <x:c r="C1333" s="2" t="str">
        <x:v>United Kingdom</x:v>
      </x:c>
      <x:c r="D1333" s="25" t="n">
        <x:v>40291.32638888889</x:v>
      </x:c>
      <x:c r="E1333" s="25" t="n">
        <x:v>40722.22986111111</x:v>
      </x:c>
      <x:c r="F1333" s="2" t="n">
        <x:v>165</x:v>
      </x:c>
      <x:c r="G1333" s="2" t="n">
        <x:v>4</x:v>
      </x:c>
      <x:c r="H1333" s="11" t="n">
        <x:v>1078.85</x:v>
      </x:c>
      <x:c r="I1333" s="2" t="n">
        <x:v>3</x:v>
      </x:c>
      <x:c r="J1333" s="2" t="n">
        <x:v>3</x:v>
      </x:c>
      <x:c r="K1333" s="2" t="n">
        <x:v>3</x:v>
      </x:c>
      <x:c r="L1333" s="2" t="str">
        <x:v>Loyal</x:v>
      </x:c>
    </x:row>
    <x:row r="1334" ht="22" customHeight="1">
      <x:c r="A1334" s="2"/>
      <x:c r="B1334" s="2" t="str">
        <x:v>13657</x:v>
      </x:c>
      <x:c r="C1334" s="2" t="str">
        <x:v>United Kingdom</x:v>
      </x:c>
      <x:c r="D1334" s="25" t="n">
        <x:v>40685.31597222222</x:v>
      </x:c>
      <x:c r="E1334" s="25" t="n">
        <x:v>40876.313888888886</x:v>
      </x:c>
      <x:c r="F1334" s="2" t="n">
        <x:v>11</x:v>
      </x:c>
      <x:c r="G1334" s="2" t="n">
        <x:v>2</x:v>
      </x:c>
      <x:c r="H1334" s="11" t="n">
        <x:v>382.14</x:v>
      </x:c>
      <x:c r="I1334" s="2" t="n">
        <x:v>5</x:v>
      </x:c>
      <x:c r="J1334" s="2" t="n">
        <x:v>2</x:v>
      </x:c>
      <x:c r="K1334" s="2" t="n">
        <x:v>2</x:v>
      </x:c>
      <x:c r="L1334" s="2" t="str">
        <x:v>Recent light buyers</x:v>
      </x:c>
    </x:row>
    <x:row r="1335" ht="22" customHeight="1">
      <x:c r="A1335" s="2"/>
      <x:c r="B1335" s="2" t="str">
        <x:v>13658</x:v>
      </x:c>
      <x:c r="C1335" s="2" t="str">
        <x:v>United Kingdom</x:v>
      </x:c>
      <x:c r="D1335" s="25" t="n">
        <x:v>40214.345138888886</x:v>
      </x:c>
      <x:c r="E1335" s="25" t="n">
        <x:v>40877.217361111114</x:v>
      </x:c>
      <x:c r="F1335" s="2" t="n">
        <x:v>10</x:v>
      </x:c>
      <x:c r="G1335" s="2" t="n">
        <x:v>9</x:v>
      </x:c>
      <x:c r="H1335" s="11" t="n">
        <x:v>6025.5</x:v>
      </x:c>
      <x:c r="I1335" s="2" t="n">
        <x:v>5</x:v>
      </x:c>
      <x:c r="J1335" s="2" t="n">
        <x:v>5</x:v>
      </x:c>
      <x:c r="K1335" s="2" t="n">
        <x:v>5</x:v>
      </x:c>
      <x:c r="L1335" s="2" t="str">
        <x:v>Champions</x:v>
      </x:c>
    </x:row>
    <x:row r="1336" ht="22" customHeight="1">
      <x:c r="A1336" s="2"/>
      <x:c r="B1336" s="2" t="str">
        <x:v>13659</x:v>
      </x:c>
      <x:c r="C1336" s="2" t="str">
        <x:v>United Kingdom</x:v>
      </x:c>
      <x:c r="D1336" s="25" t="n">
        <x:v>40226.17013888889</x:v>
      </x:c>
      <x:c r="E1336" s="25" t="n">
        <x:v>40681.31736111111</x:v>
      </x:c>
      <x:c r="F1336" s="2" t="n">
        <x:v>206</x:v>
      </x:c>
      <x:c r="G1336" s="2" t="n">
        <x:v>12</x:v>
      </x:c>
      <x:c r="H1336" s="11" t="n">
        <x:v>4894.88</x:v>
      </x:c>
      <x:c r="I1336" s="2" t="n">
        <x:v>2</x:v>
      </x:c>
      <x:c r="J1336" s="2" t="n">
        <x:v>5</x:v>
      </x:c>
      <x:c r="K1336" s="2" t="n">
        <x:v>5</x:v>
      </x:c>
      <x:c r="L1336" s="2" t="str">
        <x:v>At risk</x:v>
      </x:c>
    </x:row>
    <x:row r="1337" ht="22" customHeight="1">
      <x:c r="A1337" s="2"/>
      <x:c r="B1337" s="2" t="str">
        <x:v>13660</x:v>
      </x:c>
      <x:c r="C1337" s="2" t="str">
        <x:v>United Kingdom</x:v>
      </x:c>
      <x:c r="D1337" s="25" t="n">
        <x:v>40486.46527777778</x:v>
      </x:c>
      <x:c r="E1337" s="25" t="n">
        <x:v>40486.46527777778</x:v>
      </x:c>
      <x:c r="F1337" s="2" t="n">
        <x:v>401</x:v>
      </x:c>
      <x:c r="G1337" s="2" t="n">
        <x:v>1</x:v>
      </x:c>
      <x:c r="H1337" s="11" t="n">
        <x:v>314.59</x:v>
      </x:c>
      <x:c r="I1337" s="2" t="n">
        <x:v>2</x:v>
      </x:c>
      <x:c r="J1337" s="2" t="n">
        <x:v>1</x:v>
      </x:c>
      <x:c r="K1337" s="2" t="n">
        <x:v>2</x:v>
      </x:c>
      <x:c r="L1337" s="2" t="str">
        <x:v>Hibernating</x:v>
      </x:c>
    </x:row>
    <x:row r="1338" ht="22" customHeight="1">
      <x:c r="A1338" s="2"/>
      <x:c r="B1338" s="2" t="str">
        <x:v>13661</x:v>
      </x:c>
      <x:c r="C1338" s="2" t="str">
        <x:v>United Kingdom</x:v>
      </x:c>
      <x:c r="D1338" s="25" t="n">
        <x:v>40283.41527777778</x:v>
      </x:c>
      <x:c r="E1338" s="25" t="n">
        <x:v>40283.41527777778</x:v>
      </x:c>
      <x:c r="F1338" s="2" t="n">
        <x:v>604</x:v>
      </x:c>
      <x:c r="G1338" s="2" t="n">
        <x:v>1</x:v>
      </x:c>
      <x:c r="H1338" s="11" t="n">
        <x:v>325.24</x:v>
      </x:c>
      <x:c r="I1338" s="2" t="n">
        <x:v>1</x:v>
      </x:c>
      <x:c r="J1338" s="2" t="n">
        <x:v>1</x:v>
      </x:c>
      <x:c r="K1338" s="2" t="n">
        <x:v>2</x:v>
      </x:c>
      <x:c r="L1338" s="2" t="str">
        <x:v>Hibernating</x:v>
      </x:c>
    </x:row>
    <x:row r="1339" ht="22" customHeight="1">
      <x:c r="A1339" s="2"/>
      <x:c r="B1339" s="2" t="str">
        <x:v>13662</x:v>
      </x:c>
      <x:c r="C1339" s="2" t="str">
        <x:v>United Kingdom</x:v>
      </x:c>
      <x:c r="D1339" s="25" t="n">
        <x:v>40228.347916666666</x:v>
      </x:c>
      <x:c r="E1339" s="25" t="n">
        <x:v>40801.294444444444</x:v>
      </x:c>
      <x:c r="F1339" s="2" t="n">
        <x:v>86</x:v>
      </x:c>
      <x:c r="G1339" s="2" t="n">
        <x:v>11</x:v>
      </x:c>
      <x:c r="H1339" s="11" t="n">
        <x:v>2250.11</x:v>
      </x:c>
      <x:c r="I1339" s="2" t="n">
        <x:v>3</x:v>
      </x:c>
      <x:c r="J1339" s="2" t="n">
        <x:v>5</x:v>
      </x:c>
      <x:c r="K1339" s="2" t="n">
        <x:v>4</x:v>
      </x:c>
      <x:c r="L1339" s="2" t="str">
        <x:v>Loyal</x:v>
      </x:c>
    </x:row>
    <x:row r="1340" ht="22" customHeight="1">
      <x:c r="A1340" s="2"/>
      <x:c r="B1340" s="2" t="str">
        <x:v>13663</x:v>
      </x:c>
      <x:c r="C1340" s="2" t="str">
        <x:v>United Kingdom</x:v>
      </x:c>
      <x:c r="D1340" s="25" t="n">
        <x:v>40240.21597222222</x:v>
      </x:c>
      <x:c r="E1340" s="25" t="n">
        <x:v>40707.447222222225</x:v>
      </x:c>
      <x:c r="F1340" s="2" t="n">
        <x:v>180</x:v>
      </x:c>
      <x:c r="G1340" s="2" t="n">
        <x:v>5</x:v>
      </x:c>
      <x:c r="H1340" s="11" t="n">
        <x:v>2047.51</x:v>
      </x:c>
      <x:c r="I1340" s="2" t="n">
        <x:v>3</x:v>
      </x:c>
      <x:c r="J1340" s="2" t="n">
        <x:v>4</x:v>
      </x:c>
      <x:c r="K1340" s="2" t="n">
        <x:v>4</x:v>
      </x:c>
      <x:c r="L1340" s="2" t="str">
        <x:v>Loyal</x:v>
      </x:c>
    </x:row>
    <x:row r="1341" ht="22" customHeight="1">
      <x:c r="A1341" s="2"/>
      <x:c r="B1341" s="2" t="str">
        <x:v>13665</x:v>
      </x:c>
      <x:c r="C1341" s="2" t="str">
        <x:v>United Kingdom</x:v>
      </x:c>
      <x:c r="D1341" s="25" t="n">
        <x:v>40382.353472222225</x:v>
      </x:c>
      <x:c r="E1341" s="25" t="n">
        <x:v>40500.3375</x:v>
      </x:c>
      <x:c r="F1341" s="2" t="n">
        <x:v>387</x:v>
      </x:c>
      <x:c r="G1341" s="2" t="n">
        <x:v>3</x:v>
      </x:c>
      <x:c r="H1341" s="11" t="n">
        <x:v>1711.66</x:v>
      </x:c>
      <x:c r="I1341" s="2" t="n">
        <x:v>2</x:v>
      </x:c>
      <x:c r="J1341" s="2" t="n">
        <x:v>3</x:v>
      </x:c>
      <x:c r="K1341" s="2" t="n">
        <x:v>4</x:v>
      </x:c>
      <x:c r="L1341" s="2" t="str">
        <x:v>At risk</x:v>
      </x:c>
    </x:row>
    <x:row r="1342" ht="22" customHeight="1">
      <x:c r="A1342" s="2"/>
      <x:c r="B1342" s="2" t="str">
        <x:v>13666</x:v>
      </x:c>
      <x:c r="C1342" s="2" t="str">
        <x:v>United Kingdom</x:v>
      </x:c>
      <x:c r="D1342" s="25" t="n">
        <x:v>40151.24166666667</x:v>
      </x:c>
      <x:c r="E1342" s="25" t="n">
        <x:v>40826.44375</x:v>
      </x:c>
      <x:c r="F1342" s="2" t="n">
        <x:v>61</x:v>
      </x:c>
      <x:c r="G1342" s="2" t="n">
        <x:v>5</x:v>
      </x:c>
      <x:c r="H1342" s="11" t="n">
        <x:v>127.9</x:v>
      </x:c>
      <x:c r="I1342" s="2" t="n">
        <x:v>3</x:v>
      </x:c>
      <x:c r="J1342" s="2" t="n">
        <x:v>4</x:v>
      </x:c>
      <x:c r="K1342" s="2" t="n">
        <x:v>1</x:v>
      </x:c>
      <x:c r="L1342" s="2" t="str">
        <x:v>Loyal</x:v>
      </x:c>
    </x:row>
    <x:row r="1343" ht="22" customHeight="1">
      <x:c r="A1343" s="2"/>
      <x:c r="B1343" s="2" t="str">
        <x:v>13667</x:v>
      </x:c>
      <x:c r="C1343" s="2" t="str">
        <x:v>United Kingdom</x:v>
      </x:c>
      <x:c r="D1343" s="25" t="n">
        <x:v>40737.44583333333</x:v>
      </x:c>
      <x:c r="E1343" s="25" t="n">
        <x:v>40737.44583333333</x:v>
      </x:c>
      <x:c r="F1343" s="2" t="n">
        <x:v>150</x:v>
      </x:c>
      <x:c r="G1343" s="2" t="n">
        <x:v>1</x:v>
      </x:c>
      <x:c r="H1343" s="11" t="n">
        <x:v>305.02</x:v>
      </x:c>
      <x:c r="I1343" s="2" t="n">
        <x:v>3</x:v>
      </x:c>
      <x:c r="J1343" s="2" t="n">
        <x:v>1</x:v>
      </x:c>
      <x:c r="K1343" s="2" t="n">
        <x:v>2</x:v>
      </x:c>
      <x:c r="L1343" s="2" t="str">
        <x:v>Developing</x:v>
      </x:c>
    </x:row>
    <x:row r="1344" ht="22" customHeight="1">
      <x:c r="A1344" s="2"/>
      <x:c r="B1344" s="2" t="str">
        <x:v>13668</x:v>
      </x:c>
      <x:c r="C1344" s="2" t="str">
        <x:v>United Kingdom</x:v>
      </x:c>
      <x:c r="D1344" s="25" t="n">
        <x:v>40158.39444444444</x:v>
      </x:c>
      <x:c r="E1344" s="25" t="n">
        <x:v>40884.299305555556</x:v>
      </x:c>
      <x:c r="F1344" s="2" t="n">
        <x:v>3</x:v>
      </x:c>
      <x:c r="G1344" s="2" t="n">
        <x:v>35</x:v>
      </x:c>
      <x:c r="H1344" s="11" t="n">
        <x:v>13089.94</x:v>
      </x:c>
      <x:c r="I1344" s="2" t="n">
        <x:v>5</x:v>
      </x:c>
      <x:c r="J1344" s="2" t="n">
        <x:v>5</x:v>
      </x:c>
      <x:c r="K1344" s="2" t="n">
        <x:v>5</x:v>
      </x:c>
      <x:c r="L1344" s="2" t="str">
        <x:v>Champions</x:v>
      </x:c>
    </x:row>
    <x:row r="1345" ht="22" customHeight="1">
      <x:c r="A1345" s="2"/>
      <x:c r="B1345" s="2" t="str">
        <x:v>13669</x:v>
      </x:c>
      <x:c r="C1345" s="2" t="str">
        <x:v>United Kingdom</x:v>
      </x:c>
      <x:c r="D1345" s="25" t="n">
        <x:v>40479.42013888889</x:v>
      </x:c>
      <x:c r="E1345" s="25" t="n">
        <x:v>40836.188888888886</x:v>
      </x:c>
      <x:c r="F1345" s="2" t="n">
        <x:v>51</x:v>
      </x:c>
      <x:c r="G1345" s="2" t="n">
        <x:v>3</x:v>
      </x:c>
      <x:c r="H1345" s="11" t="n">
        <x:v>413.55</x:v>
      </x:c>
      <x:c r="I1345" s="2" t="n">
        <x:v>4</x:v>
      </x:c>
      <x:c r="J1345" s="2" t="n">
        <x:v>3</x:v>
      </x:c>
      <x:c r="K1345" s="2" t="n">
        <x:v>2</x:v>
      </x:c>
      <x:c r="L1345" s="2" t="str">
        <x:v>Loyal</x:v>
      </x:c>
    </x:row>
    <x:row r="1346" ht="22" customHeight="1">
      <x:c r="A1346" s="2"/>
      <x:c r="B1346" s="2" t="str">
        <x:v>13670</x:v>
      </x:c>
      <x:c r="C1346" s="2" t="str">
        <x:v>United Kingdom</x:v>
      </x:c>
      <x:c r="D1346" s="25" t="n">
        <x:v>40811.43402777778</x:v>
      </x:c>
      <x:c r="E1346" s="25" t="n">
        <x:v>40811.43402777778</x:v>
      </x:c>
      <x:c r="F1346" s="2" t="n">
        <x:v>76</x:v>
      </x:c>
      <x:c r="G1346" s="2" t="n">
        <x:v>1</x:v>
      </x:c>
      <x:c r="H1346" s="11" t="n">
        <x:v>349.7</x:v>
      </x:c>
      <x:c r="I1346" s="2" t="n">
        <x:v>3</x:v>
      </x:c>
      <x:c r="J1346" s="2" t="n">
        <x:v>1</x:v>
      </x:c>
      <x:c r="K1346" s="2" t="n">
        <x:v>2</x:v>
      </x:c>
      <x:c r="L1346" s="2" t="str">
        <x:v>Developing</x:v>
      </x:c>
    </x:row>
    <x:row r="1347" ht="22" customHeight="1">
      <x:c r="A1347" s="2"/>
      <x:c r="B1347" s="2" t="str">
        <x:v>13671</x:v>
      </x:c>
      <x:c r="C1347" s="2" t="str">
        <x:v>United Kingdom</x:v>
      </x:c>
      <x:c r="D1347" s="25" t="n">
        <x:v>40492.243055555555</x:v>
      </x:c>
      <x:c r="E1347" s="25" t="n">
        <x:v>40492.243055555555</x:v>
      </x:c>
      <x:c r="F1347" s="2" t="n">
        <x:v>395</x:v>
      </x:c>
      <x:c r="G1347" s="2" t="n">
        <x:v>1</x:v>
      </x:c>
      <x:c r="H1347" s="11" t="n">
        <x:v>194.95</x:v>
      </x:c>
      <x:c r="I1347" s="2" t="n">
        <x:v>2</x:v>
      </x:c>
      <x:c r="J1347" s="2" t="n">
        <x:v>1</x:v>
      </x:c>
      <x:c r="K1347" s="2" t="n">
        <x:v>1</x:v>
      </x:c>
      <x:c r="L1347" s="2" t="str">
        <x:v>Hibernating</x:v>
      </x:c>
    </x:row>
    <x:row r="1348" ht="22" customHeight="1">
      <x:c r="A1348" s="2"/>
      <x:c r="B1348" s="2" t="str">
        <x:v>13672</x:v>
      </x:c>
      <x:c r="C1348" s="2" t="str">
        <x:v>United Kingdom</x:v>
      </x:c>
      <x:c r="D1348" s="25" t="n">
        <x:v>40156.27777777778</x:v>
      </x:c>
      <x:c r="E1348" s="25" t="n">
        <x:v>40585.37013888889</x:v>
      </x:c>
      <x:c r="F1348" s="2" t="n">
        <x:v>302</x:v>
      </x:c>
      <x:c r="G1348" s="2" t="n">
        <x:v>3</x:v>
      </x:c>
      <x:c r="H1348" s="11" t="n">
        <x:v>419.92</x:v>
      </x:c>
      <x:c r="I1348" s="2" t="n">
        <x:v>2</x:v>
      </x:c>
      <x:c r="J1348" s="2" t="n">
        <x:v>3</x:v>
      </x:c>
      <x:c r="K1348" s="2" t="n">
        <x:v>2</x:v>
      </x:c>
      <x:c r="L1348" s="2" t="str">
        <x:v>At risk</x:v>
      </x:c>
    </x:row>
    <x:row r="1349" ht="22" customHeight="1">
      <x:c r="A1349" s="2"/>
      <x:c r="B1349" s="2" t="str">
        <x:v>13673</x:v>
      </x:c>
      <x:c r="C1349" s="2" t="str">
        <x:v>United Kingdom</x:v>
      </x:c>
      <x:c r="D1349" s="25" t="n">
        <x:v>40854.444444444445</x:v>
      </x:c>
      <x:c r="E1349" s="25" t="n">
        <x:v>40868.299305555556</x:v>
      </x:c>
      <x:c r="F1349" s="2" t="n">
        <x:v>19</x:v>
      </x:c>
      <x:c r="G1349" s="2" t="n">
        <x:v>2</x:v>
      </x:c>
      <x:c r="H1349" s="11" t="n">
        <x:v>396.92</x:v>
      </x:c>
      <x:c r="I1349" s="2" t="n">
        <x:v>5</x:v>
      </x:c>
      <x:c r="J1349" s="2" t="n">
        <x:v>2</x:v>
      </x:c>
      <x:c r="K1349" s="2" t="n">
        <x:v>2</x:v>
      </x:c>
      <x:c r="L1349" s="2" t="str">
        <x:v>Recent light buyers</x:v>
      </x:c>
    </x:row>
    <x:row r="1350" ht="22" customHeight="1">
      <x:c r="A1350" s="2"/>
      <x:c r="B1350" s="2" t="str">
        <x:v>13674</x:v>
      </x:c>
      <x:c r="C1350" s="2" t="str">
        <x:v>United Kingdom</x:v>
      </x:c>
      <x:c r="D1350" s="25" t="n">
        <x:v>40454.236805555556</x:v>
      </x:c>
      <x:c r="E1350" s="25" t="n">
        <x:v>40454.236805555556</x:v>
      </x:c>
      <x:c r="F1350" s="2" t="n">
        <x:v>433</x:v>
      </x:c>
      <x:c r="G1350" s="2" t="n">
        <x:v>1</x:v>
      </x:c>
      <x:c r="H1350" s="11" t="n">
        <x:v>240.68</x:v>
      </x:c>
      <x:c r="I1350" s="2" t="n">
        <x:v>1</x:v>
      </x:c>
      <x:c r="J1350" s="2" t="n">
        <x:v>1</x:v>
      </x:c>
      <x:c r="K1350" s="2" t="n">
        <x:v>1</x:v>
      </x:c>
      <x:c r="L1350" s="2" t="str">
        <x:v>Hibernating</x:v>
      </x:c>
    </x:row>
    <x:row r="1351" ht="22" customHeight="1">
      <x:c r="A1351" s="2"/>
      <x:c r="B1351" s="2" t="str">
        <x:v>13675</x:v>
      </x:c>
      <x:c r="C1351" s="2" t="str">
        <x:v>United Kingdom</x:v>
      </x:c>
      <x:c r="D1351" s="25" t="n">
        <x:v>40602.30138888889</x:v>
      </x:c>
      <x:c r="E1351" s="25" t="n">
        <x:v>40735.33125</x:v>
      </x:c>
      <x:c r="F1351" s="2" t="n">
        <x:v>152</x:v>
      </x:c>
      <x:c r="G1351" s="2" t="n">
        <x:v>2</x:v>
      </x:c>
      <x:c r="H1351" s="11" t="n">
        <x:v>486.82</x:v>
      </x:c>
      <x:c r="I1351" s="2" t="n">
        <x:v>3</x:v>
      </x:c>
      <x:c r="J1351" s="2" t="n">
        <x:v>2</x:v>
      </x:c>
      <x:c r="K1351" s="2" t="n">
        <x:v>2</x:v>
      </x:c>
      <x:c r="L1351" s="2" t="str">
        <x:v>Developing</x:v>
      </x:c>
    </x:row>
    <x:row r="1352" ht="22" customHeight="1">
      <x:c r="A1352" s="2"/>
      <x:c r="B1352" s="2" t="str">
        <x:v>13676</x:v>
      </x:c>
      <x:c r="C1352" s="2" t="str">
        <x:v>United Kingdom</x:v>
      </x:c>
      <x:c r="D1352" s="25" t="n">
        <x:v>40267.49513888889</x:v>
      </x:c>
      <x:c r="E1352" s="25" t="n">
        <x:v>40347.520833333336</x:v>
      </x:c>
      <x:c r="F1352" s="2" t="n">
        <x:v>540</x:v>
      </x:c>
      <x:c r="G1352" s="2" t="n">
        <x:v>2</x:v>
      </x:c>
      <x:c r="H1352" s="11" t="n">
        <x:v>243.9</x:v>
      </x:c>
      <x:c r="I1352" s="2" t="n">
        <x:v>1</x:v>
      </x:c>
      <x:c r="J1352" s="2" t="n">
        <x:v>2</x:v>
      </x:c>
      <x:c r="K1352" s="2" t="n">
        <x:v>1</x:v>
      </x:c>
      <x:c r="L1352" s="2" t="str">
        <x:v>Hibernating</x:v>
      </x:c>
    </x:row>
    <x:row r="1353" ht="22" customHeight="1">
      <x:c r="A1353" s="2"/>
      <x:c r="B1353" s="2" t="str">
        <x:v>13677</x:v>
      </x:c>
      <x:c r="C1353" s="2" t="str">
        <x:v>United Kingdom</x:v>
      </x:c>
      <x:c r="D1353" s="25" t="n">
        <x:v>40366.51736111111</x:v>
      </x:c>
      <x:c r="E1353" s="25" t="n">
        <x:v>40482.27222222222</x:v>
      </x:c>
      <x:c r="F1353" s="2" t="n">
        <x:v>405</x:v>
      </x:c>
      <x:c r="G1353" s="2" t="n">
        <x:v>2</x:v>
      </x:c>
      <x:c r="H1353" s="11" t="n">
        <x:v>556.19</x:v>
      </x:c>
      <x:c r="I1353" s="2" t="n">
        <x:v>2</x:v>
      </x:c>
      <x:c r="J1353" s="2" t="n">
        <x:v>2</x:v>
      </x:c>
      <x:c r="K1353" s="2" t="n">
        <x:v>2</x:v>
      </x:c>
      <x:c r="L1353" s="2" t="str">
        <x:v>Hibernating</x:v>
      </x:c>
    </x:row>
    <x:row r="1354" ht="22" customHeight="1">
      <x:c r="A1354" s="2"/>
      <x:c r="B1354" s="2" t="str">
        <x:v>13678</x:v>
      </x:c>
      <x:c r="C1354" s="2" t="str">
        <x:v>United Kingdom</x:v>
      </x:c>
      <x:c r="D1354" s="25" t="n">
        <x:v>40735.21805555555</x:v>
      </x:c>
      <x:c r="E1354" s="25" t="n">
        <x:v>40735.21805555555</x:v>
      </x:c>
      <x:c r="F1354" s="2" t="n">
        <x:v>152</x:v>
      </x:c>
      <x:c r="G1354" s="2" t="n">
        <x:v>1</x:v>
      </x:c>
      <x:c r="H1354" s="11" t="n">
        <x:v>232.6</x:v>
      </x:c>
      <x:c r="I1354" s="2" t="n">
        <x:v>3</x:v>
      </x:c>
      <x:c r="J1354" s="2" t="n">
        <x:v>1</x:v>
      </x:c>
      <x:c r="K1354" s="2" t="n">
        <x:v>1</x:v>
      </x:c>
      <x:c r="L1354" s="2" t="str">
        <x:v>Developing</x:v>
      </x:c>
    </x:row>
    <x:row r="1355" ht="22" customHeight="1">
      <x:c r="A1355" s="2"/>
      <x:c r="B1355" s="2" t="str">
        <x:v>13679</x:v>
      </x:c>
      <x:c r="C1355" s="2" t="str">
        <x:v>United Kingdom</x:v>
      </x:c>
      <x:c r="D1355" s="25" t="n">
        <x:v>40151.49444444444</x:v>
      </x:c>
      <x:c r="E1355" s="25" t="n">
        <x:v>40393.30069444444</x:v>
      </x:c>
      <x:c r="F1355" s="2" t="n">
        <x:v>494</x:v>
      </x:c>
      <x:c r="G1355" s="2" t="n">
        <x:v>3</x:v>
      </x:c>
      <x:c r="H1355" s="11" t="n">
        <x:v>281.26</x:v>
      </x:c>
      <x:c r="I1355" s="2" t="n">
        <x:v>1</x:v>
      </x:c>
      <x:c r="J1355" s="2" t="n">
        <x:v>3</x:v>
      </x:c>
      <x:c r="K1355" s="2" t="n">
        <x:v>1</x:v>
      </x:c>
      <x:c r="L1355" s="2" t="str">
        <x:v>At risk</x:v>
      </x:c>
    </x:row>
    <x:row r="1356" ht="22" customHeight="1">
      <x:c r="A1356" s="2"/>
      <x:c r="B1356" s="2" t="str">
        <x:v>13680</x:v>
      </x:c>
      <x:c r="C1356" s="2" t="str">
        <x:v>United Kingdom</x:v>
      </x:c>
      <x:c r="D1356" s="25" t="n">
        <x:v>40151.384722222225</x:v>
      </x:c>
      <x:c r="E1356" s="25" t="n">
        <x:v>40885.36597222222</x:v>
      </x:c>
      <x:c r="F1356" s="2" t="n">
        <x:v>2</x:v>
      </x:c>
      <x:c r="G1356" s="2" t="n">
        <x:v>12</x:v>
      </x:c>
      <x:c r="H1356" s="11" t="n">
        <x:v>11435.67</x:v>
      </x:c>
      <x:c r="I1356" s="2" t="n">
        <x:v>5</x:v>
      </x:c>
      <x:c r="J1356" s="2" t="n">
        <x:v>5</x:v>
      </x:c>
      <x:c r="K1356" s="2" t="n">
        <x:v>5</x:v>
      </x:c>
      <x:c r="L1356" s="2" t="str">
        <x:v>Champions</x:v>
      </x:c>
    </x:row>
    <x:row r="1357" ht="22" customHeight="1">
      <x:c r="A1357" s="2"/>
      <x:c r="B1357" s="2" t="str">
        <x:v>13681</x:v>
      </x:c>
      <x:c r="C1357" s="2" t="str">
        <x:v>United Kingdom</x:v>
      </x:c>
      <x:c r="D1357" s="25" t="n">
        <x:v>40731.43125</x:v>
      </x:c>
      <x:c r="E1357" s="25" t="n">
        <x:v>40869.25902777778</x:v>
      </x:c>
      <x:c r="F1357" s="2" t="n">
        <x:v>18</x:v>
      </x:c>
      <x:c r="G1357" s="2" t="n">
        <x:v>4</x:v>
      </x:c>
      <x:c r="H1357" s="11" t="n">
        <x:v>827.83</x:v>
      </x:c>
      <x:c r="I1357" s="2" t="n">
        <x:v>5</x:v>
      </x:c>
      <x:c r="J1357" s="2" t="n">
        <x:v>3</x:v>
      </x:c>
      <x:c r="K1357" s="2" t="n">
        <x:v>3</x:v>
      </x:c>
      <x:c r="L1357" s="2" t="str">
        <x:v>Loyal</x:v>
      </x:c>
    </x:row>
    <x:row r="1358" ht="22" customHeight="1">
      <x:c r="A1358" s="2"/>
      <x:c r="B1358" s="2" t="str">
        <x:v>13682</x:v>
      </x:c>
      <x:c r="C1358" s="2" t="str">
        <x:v>United Kingdom</x:v>
      </x:c>
      <x:c r="D1358" s="25" t="n">
        <x:v>40699.379166666666</x:v>
      </x:c>
      <x:c r="E1358" s="25" t="n">
        <x:v>40699.379166666666</x:v>
      </x:c>
      <x:c r="F1358" s="2" t="n">
        <x:v>188</x:v>
      </x:c>
      <x:c r="G1358" s="2" t="n">
        <x:v>1</x:v>
      </x:c>
      <x:c r="H1358" s="11" t="n">
        <x:v>59.5</x:v>
      </x:c>
      <x:c r="I1358" s="2" t="n">
        <x:v>3</x:v>
      </x:c>
      <x:c r="J1358" s="2" t="n">
        <x:v>1</x:v>
      </x:c>
      <x:c r="K1358" s="2" t="n">
        <x:v>1</x:v>
      </x:c>
      <x:c r="L1358" s="2" t="str">
        <x:v>Developing</x:v>
      </x:c>
    </x:row>
    <x:row r="1359" ht="22" customHeight="1">
      <x:c r="A1359" s="2"/>
      <x:c r="B1359" s="2" t="str">
        <x:v>13683</x:v>
      </x:c>
      <x:c r="C1359" s="2" t="str">
        <x:v>United Kingdom</x:v>
      </x:c>
      <x:c r="D1359" s="25" t="n">
        <x:v>40429.208333333336</x:v>
      </x:c>
      <x:c r="E1359" s="25" t="n">
        <x:v>40429.208333333336</x:v>
      </x:c>
      <x:c r="F1359" s="2" t="n">
        <x:v>458</x:v>
      </x:c>
      <x:c r="G1359" s="2" t="n">
        <x:v>1</x:v>
      </x:c>
      <x:c r="H1359" s="11" t="n">
        <x:v>258.6</x:v>
      </x:c>
      <x:c r="I1359" s="2" t="n">
        <x:v>1</x:v>
      </x:c>
      <x:c r="J1359" s="2" t="n">
        <x:v>1</x:v>
      </x:c>
      <x:c r="K1359" s="2" t="n">
        <x:v>1</x:v>
      </x:c>
      <x:c r="L1359" s="2" t="str">
        <x:v>Hibernating</x:v>
      </x:c>
    </x:row>
    <x:row r="1360" ht="22" customHeight="1">
      <x:c r="A1360" s="2"/>
      <x:c r="B1360" s="2" t="str">
        <x:v>13684</x:v>
      </x:c>
      <x:c r="C1360" s="2" t="str">
        <x:v>United Kingdom</x:v>
      </x:c>
      <x:c r="D1360" s="25" t="n">
        <x:v>40265.40833333333</x:v>
      </x:c>
      <x:c r="E1360" s="25" t="n">
        <x:v>40601.217361111114</x:v>
      </x:c>
      <x:c r="F1360" s="2" t="n">
        <x:v>286</x:v>
      </x:c>
      <x:c r="G1360" s="2" t="n">
        <x:v>4</x:v>
      </x:c>
      <x:c r="H1360" s="11" t="n">
        <x:v>596.98</x:v>
      </x:c>
      <x:c r="I1360" s="2" t="n">
        <x:v>2</x:v>
      </x:c>
      <x:c r="J1360" s="2" t="n">
        <x:v>3</x:v>
      </x:c>
      <x:c r="K1360" s="2" t="n">
        <x:v>2</x:v>
      </x:c>
      <x:c r="L1360" s="2" t="str">
        <x:v>At risk</x:v>
      </x:c>
    </x:row>
    <x:row r="1361" ht="22" customHeight="1">
      <x:c r="A1361" s="2"/>
      <x:c r="B1361" s="2" t="str">
        <x:v>13685</x:v>
      </x:c>
      <x:c r="C1361" s="2" t="str">
        <x:v>United Kingdom</x:v>
      </x:c>
      <x:c r="D1361" s="25" t="n">
        <x:v>40826.33263888889</x:v>
      </x:c>
      <x:c r="E1361" s="25" t="n">
        <x:v>40884.27847222222</x:v>
      </x:c>
      <x:c r="F1361" s="2" t="n">
        <x:v>3</x:v>
      </x:c>
      <x:c r="G1361" s="2" t="n">
        <x:v>7</x:v>
      </x:c>
      <x:c r="H1361" s="11" t="n">
        <x:v>3119.44</x:v>
      </x:c>
      <x:c r="I1361" s="2" t="n">
        <x:v>5</x:v>
      </x:c>
      <x:c r="J1361" s="2" t="n">
        <x:v>4</x:v>
      </x:c>
      <x:c r="K1361" s="2" t="n">
        <x:v>5</x:v>
      </x:c>
      <x:c r="L1361" s="2" t="str">
        <x:v>Champions</x:v>
      </x:c>
    </x:row>
    <x:row r="1362" ht="22" customHeight="1">
      <x:c r="A1362" s="2"/>
      <x:c r="B1362" s="2" t="str">
        <x:v>13686</x:v>
      </x:c>
      <x:c r="C1362" s="2" t="str">
        <x:v>United Kingdom</x:v>
      </x:c>
      <x:c r="D1362" s="25" t="n">
        <x:v>40485.36388888889</x:v>
      </x:c>
      <x:c r="E1362" s="25" t="n">
        <x:v>40704.17361111111</x:v>
      </x:c>
      <x:c r="F1362" s="2" t="n">
        <x:v>183</x:v>
      </x:c>
      <x:c r="G1362" s="2" t="n">
        <x:v>3</x:v>
      </x:c>
      <x:c r="H1362" s="11" t="n">
        <x:v>409.04</x:v>
      </x:c>
      <x:c r="I1362" s="2" t="n">
        <x:v>3</x:v>
      </x:c>
      <x:c r="J1362" s="2" t="n">
        <x:v>3</x:v>
      </x:c>
      <x:c r="K1362" s="2" t="n">
        <x:v>2</x:v>
      </x:c>
      <x:c r="L1362" s="2" t="str">
        <x:v>Loyal</x:v>
      </x:c>
    </x:row>
    <x:row r="1363" ht="22" customHeight="1">
      <x:c r="A1363" s="2"/>
      <x:c r="B1363" s="2" t="str">
        <x:v>13687</x:v>
      </x:c>
      <x:c r="C1363" s="2" t="str">
        <x:v>United Kingdom</x:v>
      </x:c>
      <x:c r="D1363" s="25" t="n">
        <x:v>40448.479166666664</x:v>
      </x:c>
      <x:c r="E1363" s="25" t="n">
        <x:v>40448.479166666664</x:v>
      </x:c>
      <x:c r="F1363" s="2" t="n">
        <x:v>439</x:v>
      </x:c>
      <x:c r="G1363" s="2" t="n">
        <x:v>1</x:v>
      </x:c>
      <x:c r="H1363" s="11" t="n">
        <x:v>11880.84</x:v>
      </x:c>
      <x:c r="I1363" s="2" t="n">
        <x:v>1</x:v>
      </x:c>
      <x:c r="J1363" s="2" t="n">
        <x:v>1</x:v>
      </x:c>
      <x:c r="K1363" s="2" t="n">
        <x:v>5</x:v>
      </x:c>
      <x:c r="L1363" s="2" t="str">
        <x:v>Hibernating</x:v>
      </x:c>
    </x:row>
    <x:row r="1364" ht="22" customHeight="1">
      <x:c r="A1364" s="2"/>
      <x:c r="B1364" s="2" t="str">
        <x:v>13688</x:v>
      </x:c>
      <x:c r="C1364" s="2" t="str">
        <x:v>United Kingdom</x:v>
      </x:c>
      <x:c r="D1364" s="25" t="n">
        <x:v>40251.38263888889</x:v>
      </x:c>
      <x:c r="E1364" s="25" t="n">
        <x:v>40251.38263888889</x:v>
      </x:c>
      <x:c r="F1364" s="2" t="n">
        <x:v>636</x:v>
      </x:c>
      <x:c r="G1364" s="2" t="n">
        <x:v>1</x:v>
      </x:c>
      <x:c r="H1364" s="11" t="n">
        <x:v>375.5</x:v>
      </x:c>
      <x:c r="I1364" s="2" t="n">
        <x:v>1</x:v>
      </x:c>
      <x:c r="J1364" s="2" t="n">
        <x:v>1</x:v>
      </x:c>
      <x:c r="K1364" s="2" t="n">
        <x:v>2</x:v>
      </x:c>
      <x:c r="L1364" s="2" t="str">
        <x:v>Hibernating</x:v>
      </x:c>
    </x:row>
    <x:row r="1365" ht="22" customHeight="1">
      <x:c r="A1365" s="2"/>
      <x:c r="B1365" s="2" t="str">
        <x:v>13689</x:v>
      </x:c>
      <x:c r="C1365" s="2" t="str">
        <x:v>United Kingdom</x:v>
      </x:c>
      <x:c r="D1365" s="25" t="n">
        <x:v>40442.22708333333</x:v>
      </x:c>
      <x:c r="E1365" s="25" t="n">
        <x:v>40823.347916666666</x:v>
      </x:c>
      <x:c r="F1365" s="2" t="n">
        <x:v>64</x:v>
      </x:c>
      <x:c r="G1365" s="2" t="n">
        <x:v>2</x:v>
      </x:c>
      <x:c r="H1365" s="11" t="n">
        <x:v>1259.5</x:v>
      </x:c>
      <x:c r="I1365" s="2" t="n">
        <x:v>3</x:v>
      </x:c>
      <x:c r="J1365" s="2" t="n">
        <x:v>2</x:v>
      </x:c>
      <x:c r="K1365" s="2" t="n">
        <x:v>4</x:v>
      </x:c>
      <x:c r="L1365" s="2" t="str">
        <x:v>Developing</x:v>
      </x:c>
    </x:row>
    <x:row r="1366" ht="22" customHeight="1">
      <x:c r="A1366" s="2"/>
      <x:c r="B1366" s="2" t="str">
        <x:v>13690</x:v>
      </x:c>
      <x:c r="C1366" s="2" t="str">
        <x:v>United Kingdom</x:v>
      </x:c>
      <x:c r="D1366" s="25" t="n">
        <x:v>40827.41875</x:v>
      </x:c>
      <x:c r="E1366" s="25" t="n">
        <x:v>40827.41875</x:v>
      </x:c>
      <x:c r="F1366" s="2" t="n">
        <x:v>60</x:v>
      </x:c>
      <x:c r="G1366" s="2" t="n">
        <x:v>1</x:v>
      </x:c>
      <x:c r="H1366" s="11" t="n">
        <x:v>172.25</x:v>
      </x:c>
      <x:c r="I1366" s="2" t="n">
        <x:v>3</x:v>
      </x:c>
      <x:c r="J1366" s="2" t="n">
        <x:v>1</x:v>
      </x:c>
      <x:c r="K1366" s="2" t="n">
        <x:v>1</x:v>
      </x:c>
      <x:c r="L1366" s="2" t="str">
        <x:v>Developing</x:v>
      </x:c>
    </x:row>
    <x:row r="1367" ht="22" customHeight="1">
      <x:c r="A1367" s="2"/>
      <x:c r="B1367" s="2" t="str">
        <x:v>13691</x:v>
      </x:c>
      <x:c r="C1367" s="2" t="str">
        <x:v>United Kingdom</x:v>
      </x:c>
      <x:c r="D1367" s="25" t="n">
        <x:v>40490.52361111111</x:v>
      </x:c>
      <x:c r="E1367" s="25" t="n">
        <x:v>40490.52361111111</x:v>
      </x:c>
      <x:c r="F1367" s="2" t="n">
        <x:v>397</x:v>
      </x:c>
      <x:c r="G1367" s="2" t="n">
        <x:v>1</x:v>
      </x:c>
      <x:c r="H1367" s="11" t="n">
        <x:v>212.78</x:v>
      </x:c>
      <x:c r="I1367" s="2" t="n">
        <x:v>2</x:v>
      </x:c>
      <x:c r="J1367" s="2" t="n">
        <x:v>1</x:v>
      </x:c>
      <x:c r="K1367" s="2" t="n">
        <x:v>1</x:v>
      </x:c>
      <x:c r="L1367" s="2" t="str">
        <x:v>Hibernating</x:v>
      </x:c>
    </x:row>
    <x:row r="1368" ht="22" customHeight="1">
      <x:c r="A1368" s="2"/>
      <x:c r="B1368" s="2" t="str">
        <x:v>13692</x:v>
      </x:c>
      <x:c r="C1368" s="2" t="str">
        <x:v>United Kingdom</x:v>
      </x:c>
      <x:c r="D1368" s="25" t="n">
        <x:v>40466.35277777778</x:v>
      </x:c>
      <x:c r="E1368" s="25" t="n">
        <x:v>40862.26180555556</x:v>
      </x:c>
      <x:c r="F1368" s="2" t="n">
        <x:v>25</x:v>
      </x:c>
      <x:c r="G1368" s="2" t="n">
        <x:v>5</x:v>
      </x:c>
      <x:c r="H1368" s="11" t="n">
        <x:v>3114.4</x:v>
      </x:c>
      <x:c r="I1368" s="2" t="n">
        <x:v>4</x:v>
      </x:c>
      <x:c r="J1368" s="2" t="n">
        <x:v>4</x:v>
      </x:c>
      <x:c r="K1368" s="2" t="n">
        <x:v>5</x:v>
      </x:c>
      <x:c r="L1368" s="2" t="str">
        <x:v>Champions</x:v>
      </x:c>
    </x:row>
    <x:row r="1369" ht="22" customHeight="1">
      <x:c r="A1369" s="2"/>
      <x:c r="B1369" s="2" t="str">
        <x:v>13693</x:v>
      </x:c>
      <x:c r="C1369" s="2" t="str">
        <x:v>United Kingdom</x:v>
      </x:c>
      <x:c r="D1369" s="25" t="n">
        <x:v>40154.27013888889</x:v>
      </x:c>
      <x:c r="E1369" s="25" t="n">
        <x:v>40512.55625</x:v>
      </x:c>
      <x:c r="F1369" s="2" t="n">
        <x:v>375</x:v>
      </x:c>
      <x:c r="G1369" s="2" t="n">
        <x:v>9</x:v>
      </x:c>
      <x:c r="H1369" s="11" t="n">
        <x:v>2011.82</x:v>
      </x:c>
      <x:c r="I1369" s="2" t="n">
        <x:v>2</x:v>
      </x:c>
      <x:c r="J1369" s="2" t="n">
        <x:v>5</x:v>
      </x:c>
      <x:c r="K1369" s="2" t="n">
        <x:v>4</x:v>
      </x:c>
      <x:c r="L1369" s="2" t="str">
        <x:v>At risk</x:v>
      </x:c>
    </x:row>
    <x:row r="1370" ht="22" customHeight="1">
      <x:c r="A1370" s="2"/>
      <x:c r="B1370" s="2" t="str">
        <x:v>13694</x:v>
      </x:c>
      <x:c r="C1370" s="2" t="str">
        <x:v>United Kingdom</x:v>
      </x:c>
      <x:c r="D1370" s="25" t="n">
        <x:v>40151.43472222222</x:v>
      </x:c>
      <x:c r="E1370" s="25" t="n">
        <x:v>40883.188888888886</x:v>
      </x:c>
      <x:c r="F1370" s="2" t="n">
        <x:v>4</x:v>
      </x:c>
      <x:c r="G1370" s="2" t="n">
        <x:v>143</x:v>
      </x:c>
      <x:c r="H1370" s="11" t="n">
        <x:v>195640.69</x:v>
      </x:c>
      <x:c r="I1370" s="2" t="n">
        <x:v>5</x:v>
      </x:c>
      <x:c r="J1370" s="2" t="n">
        <x:v>5</x:v>
      </x:c>
      <x:c r="K1370" s="2" t="n">
        <x:v>5</x:v>
      </x:c>
      <x:c r="L1370" s="2" t="str">
        <x:v>Champions</x:v>
      </x:c>
    </x:row>
    <x:row r="1371" ht="22" customHeight="1">
      <x:c r="A1371" s="2"/>
      <x:c r="B1371" s="2" t="str">
        <x:v>13695</x:v>
      </x:c>
      <x:c r="C1371" s="2" t="str">
        <x:v>United Kingdom</x:v>
      </x:c>
      <x:c r="D1371" s="25" t="n">
        <x:v>40309.25486111111</x:v>
      </x:c>
      <x:c r="E1371" s="25" t="n">
        <x:v>40855.393055555556</x:v>
      </x:c>
      <x:c r="F1371" s="2" t="n">
        <x:v>32</x:v>
      </x:c>
      <x:c r="G1371" s="2" t="n">
        <x:v>16</x:v>
      </x:c>
      <x:c r="H1371" s="11" t="n">
        <x:v>2770.73</x:v>
      </x:c>
      <x:c r="I1371" s="2" t="n">
        <x:v>4</x:v>
      </x:c>
      <x:c r="J1371" s="2" t="n">
        <x:v>5</x:v>
      </x:c>
      <x:c r="K1371" s="2" t="n">
        <x:v>4</x:v>
      </x:c>
      <x:c r="L1371" s="2" t="str">
        <x:v>Champions</x:v>
      </x:c>
    </x:row>
    <x:row r="1372" ht="22" customHeight="1">
      <x:c r="A1372" s="2"/>
      <x:c r="B1372" s="2" t="str">
        <x:v>13696</x:v>
      </x:c>
      <x:c r="C1372" s="2" t="str">
        <x:v>United Kingdom</x:v>
      </x:c>
      <x:c r="D1372" s="25" t="n">
        <x:v>40220.38680555556</x:v>
      </x:c>
      <x:c r="E1372" s="25" t="n">
        <x:v>40465.197222222225</x:v>
      </x:c>
      <x:c r="F1372" s="2" t="n">
        <x:v>422</x:v>
      </x:c>
      <x:c r="G1372" s="2" t="n">
        <x:v>3</x:v>
      </x:c>
      <x:c r="H1372" s="11" t="n">
        <x:v>2020.4</x:v>
      </x:c>
      <x:c r="I1372" s="2" t="n">
        <x:v>1</x:v>
      </x:c>
      <x:c r="J1372" s="2" t="n">
        <x:v>3</x:v>
      </x:c>
      <x:c r="K1372" s="2" t="n">
        <x:v>4</x:v>
      </x:c>
      <x:c r="L1372" s="2" t="str">
        <x:v>At risk</x:v>
      </x:c>
    </x:row>
    <x:row r="1373" ht="22" customHeight="1">
      <x:c r="A1373" s="2"/>
      <x:c r="B1373" s="2" t="str">
        <x:v>13697</x:v>
      </x:c>
      <x:c r="C1373" s="2" t="str">
        <x:v>United Kingdom</x:v>
      </x:c>
      <x:c r="D1373" s="25" t="n">
        <x:v>40848.17638888889</x:v>
      </x:c>
      <x:c r="E1373" s="25" t="n">
        <x:v>40848.17638888889</x:v>
      </x:c>
      <x:c r="F1373" s="2" t="n">
        <x:v>39</x:v>
      </x:c>
      <x:c r="G1373" s="2" t="n">
        <x:v>1</x:v>
      </x:c>
      <x:c r="H1373" s="11" t="n">
        <x:v>151.3</x:v>
      </x:c>
      <x:c r="I1373" s="2" t="n">
        <x:v>4</x:v>
      </x:c>
      <x:c r="J1373" s="2" t="n">
        <x:v>1</x:v>
      </x:c>
      <x:c r="K1373" s="2" t="n">
        <x:v>1</x:v>
      </x:c>
      <x:c r="L1373" s="2" t="str">
        <x:v>Recent light buyers</x:v>
      </x:c>
    </x:row>
    <x:row r="1374" ht="22" customHeight="1">
      <x:c r="A1374" s="2"/>
      <x:c r="B1374" s="2" t="str">
        <x:v>13698</x:v>
      </x:c>
      <x:c r="C1374" s="2" t="str">
        <x:v>United Kingdom</x:v>
      </x:c>
      <x:c r="D1374" s="25" t="n">
        <x:v>40205.16805555556</x:v>
      </x:c>
      <x:c r="E1374" s="25" t="n">
        <x:v>40290.28611111111</x:v>
      </x:c>
      <x:c r="F1374" s="2" t="n">
        <x:v>597</x:v>
      </x:c>
      <x:c r="G1374" s="2" t="n">
        <x:v>2</x:v>
      </x:c>
      <x:c r="H1374" s="11" t="n">
        <x:v>465.53</x:v>
      </x:c>
      <x:c r="I1374" s="2" t="n">
        <x:v>1</x:v>
      </x:c>
      <x:c r="J1374" s="2" t="n">
        <x:v>2</x:v>
      </x:c>
      <x:c r="K1374" s="2" t="n">
        <x:v>2</x:v>
      </x:c>
      <x:c r="L1374" s="2" t="str">
        <x:v>Hibernating</x:v>
      </x:c>
    </x:row>
    <x:row r="1375" ht="22" customHeight="1">
      <x:c r="A1375" s="2"/>
      <x:c r="B1375" s="2" t="str">
        <x:v>13699</x:v>
      </x:c>
      <x:c r="C1375" s="2" t="str">
        <x:v>United Kingdom</x:v>
      </x:c>
      <x:c r="D1375" s="25" t="n">
        <x:v>40336.33541666667</x:v>
      </x:c>
      <x:c r="E1375" s="25" t="n">
        <x:v>40731.49375</x:v>
      </x:c>
      <x:c r="F1375" s="2" t="n">
        <x:v>156</x:v>
      </x:c>
      <x:c r="G1375" s="2" t="n">
        <x:v>2</x:v>
      </x:c>
      <x:c r="H1375" s="11" t="n">
        <x:v>764.15</x:v>
      </x:c>
      <x:c r="I1375" s="2" t="n">
        <x:v>3</x:v>
      </x:c>
      <x:c r="J1375" s="2" t="n">
        <x:v>2</x:v>
      </x:c>
      <x:c r="K1375" s="2" t="n">
        <x:v>3</x:v>
      </x:c>
      <x:c r="L1375" s="2" t="str">
        <x:v>Developing</x:v>
      </x:c>
    </x:row>
    <x:row r="1376" ht="22" customHeight="1">
      <x:c r="A1376" s="2"/>
      <x:c r="B1376" s="2" t="str">
        <x:v>13700</x:v>
      </x:c>
      <x:c r="C1376" s="2" t="str">
        <x:v>United Kingdom</x:v>
      </x:c>
      <x:c r="D1376" s="25" t="n">
        <x:v>40216.24513888889</x:v>
      </x:c>
      <x:c r="E1376" s="25" t="n">
        <x:v>40860.333333333336</x:v>
      </x:c>
      <x:c r="F1376" s="2" t="n">
        <x:v>27</x:v>
      </x:c>
      <x:c r="G1376" s="2" t="n">
        <x:v>13</x:v>
      </x:c>
      <x:c r="H1376" s="11" t="n">
        <x:v>2613.46</x:v>
      </x:c>
      <x:c r="I1376" s="2" t="n">
        <x:v>4</x:v>
      </x:c>
      <x:c r="J1376" s="2" t="n">
        <x:v>5</x:v>
      </x:c>
      <x:c r="K1376" s="2" t="n">
        <x:v>4</x:v>
      </x:c>
      <x:c r="L1376" s="2" t="str">
        <x:v>Champions</x:v>
      </x:c>
    </x:row>
    <x:row r="1377" ht="22" customHeight="1">
      <x:c r="A1377" s="2"/>
      <x:c r="B1377" s="2" t="str">
        <x:v>13701</x:v>
      </x:c>
      <x:c r="C1377" s="2" t="str">
        <x:v>United Kingdom</x:v>
      </x:c>
      <x:c r="D1377" s="25" t="n">
        <x:v>40440.31875</x:v>
      </x:c>
      <x:c r="E1377" s="25" t="n">
        <x:v>40440.31875</x:v>
      </x:c>
      <x:c r="F1377" s="2" t="n">
        <x:v>447</x:v>
      </x:c>
      <x:c r="G1377" s="2" t="n">
        <x:v>1</x:v>
      </x:c>
      <x:c r="H1377" s="11" t="n">
        <x:v>161</x:v>
      </x:c>
      <x:c r="I1377" s="2" t="n">
        <x:v>1</x:v>
      </x:c>
      <x:c r="J1377" s="2" t="n">
        <x:v>1</x:v>
      </x:c>
      <x:c r="K1377" s="2" t="n">
        <x:v>1</x:v>
      </x:c>
      <x:c r="L1377" s="2" t="str">
        <x:v>Hibernating</x:v>
      </x:c>
    </x:row>
    <x:row r="1378" ht="22" customHeight="1">
      <x:c r="A1378" s="2"/>
      <x:c r="B1378" s="2" t="str">
        <x:v>13702</x:v>
      </x:c>
      <x:c r="C1378" s="2" t="str">
        <x:v>United Kingdom</x:v>
      </x:c>
      <x:c r="D1378" s="25" t="n">
        <x:v>40441.27777777778</x:v>
      </x:c>
      <x:c r="E1378" s="25" t="n">
        <x:v>40441.27777777778</x:v>
      </x:c>
      <x:c r="F1378" s="2" t="n">
        <x:v>446</x:v>
      </x:c>
      <x:c r="G1378" s="2" t="n">
        <x:v>1</x:v>
      </x:c>
      <x:c r="H1378" s="11" t="n">
        <x:v>135.18</x:v>
      </x:c>
      <x:c r="I1378" s="2" t="n">
        <x:v>1</x:v>
      </x:c>
      <x:c r="J1378" s="2" t="n">
        <x:v>1</x:v>
      </x:c>
      <x:c r="K1378" s="2" t="n">
        <x:v>1</x:v>
      </x:c>
      <x:c r="L1378" s="2" t="str">
        <x:v>Hibernating</x:v>
      </x:c>
    </x:row>
    <x:row r="1379" ht="22" customHeight="1">
      <x:c r="A1379" s="2"/>
      <x:c r="B1379" s="2" t="str">
        <x:v>13703</x:v>
      </x:c>
      <x:c r="C1379" s="2" t="str">
        <x:v>United Kingdom</x:v>
      </x:c>
      <x:c r="D1379" s="25" t="n">
        <x:v>40471.34097222222</x:v>
      </x:c>
      <x:c r="E1379" s="25" t="n">
        <x:v>40568.34027777778</x:v>
      </x:c>
      <x:c r="F1379" s="2" t="n">
        <x:v>319</x:v>
      </x:c>
      <x:c r="G1379" s="2" t="n">
        <x:v>2</x:v>
      </x:c>
      <x:c r="H1379" s="11" t="n">
        <x:v>425.56</x:v>
      </x:c>
      <x:c r="I1379" s="2" t="n">
        <x:v>2</x:v>
      </x:c>
      <x:c r="J1379" s="2" t="n">
        <x:v>2</x:v>
      </x:c>
      <x:c r="K1379" s="2" t="n">
        <x:v>2</x:v>
      </x:c>
      <x:c r="L1379" s="2" t="str">
        <x:v>Hibernating</x:v>
      </x:c>
    </x:row>
    <x:row r="1380" ht="22" customHeight="1">
      <x:c r="A1380" s="2"/>
      <x:c r="B1380" s="2" t="str">
        <x:v>13704</x:v>
      </x:c>
      <x:c r="C1380" s="2" t="str">
        <x:v>United Kingdom</x:v>
      </x:c>
      <x:c r="D1380" s="25" t="n">
        <x:v>40798.40277777778</x:v>
      </x:c>
      <x:c r="E1380" s="25" t="n">
        <x:v>40881.42569444444</x:v>
      </x:c>
      <x:c r="F1380" s="2" t="n">
        <x:v>6</x:v>
      </x:c>
      <x:c r="G1380" s="2" t="n">
        <x:v>9</x:v>
      </x:c>
      <x:c r="H1380" s="11" t="n">
        <x:v>2308.06</x:v>
      </x:c>
      <x:c r="I1380" s="2" t="n">
        <x:v>5</x:v>
      </x:c>
      <x:c r="J1380" s="2" t="n">
        <x:v>5</x:v>
      </x:c>
      <x:c r="K1380" s="2" t="n">
        <x:v>4</x:v>
      </x:c>
      <x:c r="L1380" s="2" t="str">
        <x:v>Champions</x:v>
      </x:c>
    </x:row>
    <x:row r="1381" ht="22" customHeight="1">
      <x:c r="A1381" s="2"/>
      <x:c r="B1381" s="2" t="str">
        <x:v>13705</x:v>
      </x:c>
      <x:c r="C1381" s="2" t="str">
        <x:v>United Kingdom</x:v>
      </x:c>
      <x:c r="D1381" s="25" t="n">
        <x:v>40262.513194444444</x:v>
      </x:c>
      <x:c r="E1381" s="25" t="n">
        <x:v>40879.313888888886</x:v>
      </x:c>
      <x:c r="F1381" s="2" t="n">
        <x:v>8</x:v>
      </x:c>
      <x:c r="G1381" s="2" t="n">
        <x:v>7</x:v>
      </x:c>
      <x:c r="H1381" s="11" t="n">
        <x:v>1717.19</x:v>
      </x:c>
      <x:c r="I1381" s="2" t="n">
        <x:v>5</x:v>
      </x:c>
      <x:c r="J1381" s="2" t="n">
        <x:v>4</x:v>
      </x:c>
      <x:c r="K1381" s="2" t="n">
        <x:v>4</x:v>
      </x:c>
      <x:c r="L1381" s="2" t="str">
        <x:v>Champions</x:v>
      </x:c>
    </x:row>
    <x:row r="1382" ht="22" customHeight="1">
      <x:c r="A1382" s="2"/>
      <x:c r="B1382" s="2" t="str">
        <x:v>13706</x:v>
      </x:c>
      <x:c r="C1382" s="2" t="str">
        <x:v>United Kingdom</x:v>
      </x:c>
      <x:c r="D1382" s="25" t="n">
        <x:v>40260.17916666667</x:v>
      </x:c>
      <x:c r="E1382" s="25" t="n">
        <x:v>40584.18125</x:v>
      </x:c>
      <x:c r="F1382" s="2" t="n">
        <x:v>303</x:v>
      </x:c>
      <x:c r="G1382" s="2" t="n">
        <x:v>2</x:v>
      </x:c>
      <x:c r="H1382" s="11" t="n">
        <x:v>631.17</x:v>
      </x:c>
      <x:c r="I1382" s="2" t="n">
        <x:v>2</x:v>
      </x:c>
      <x:c r="J1382" s="2" t="n">
        <x:v>2</x:v>
      </x:c>
      <x:c r="K1382" s="2" t="n">
        <x:v>3</x:v>
      </x:c>
      <x:c r="L1382" s="2" t="str">
        <x:v>Hibernating</x:v>
      </x:c>
    </x:row>
    <x:row r="1383" ht="22" customHeight="1">
      <x:c r="A1383" s="2"/>
      <x:c r="B1383" s="2" t="str">
        <x:v>13707</x:v>
      </x:c>
      <x:c r="C1383" s="2" t="str">
        <x:v>United Kingdom</x:v>
      </x:c>
      <x:c r="D1383" s="25" t="n">
        <x:v>40350.28958333333</x:v>
      </x:c>
      <x:c r="E1383" s="25" t="n">
        <x:v>40619.54375</x:v>
      </x:c>
      <x:c r="F1383" s="2" t="n">
        <x:v>268</x:v>
      </x:c>
      <x:c r="G1383" s="2" t="n">
        <x:v>5</x:v>
      </x:c>
      <x:c r="H1383" s="11" t="n">
        <x:v>3365.86</x:v>
      </x:c>
      <x:c r="I1383" s="2" t="n">
        <x:v>2</x:v>
      </x:c>
      <x:c r="J1383" s="2" t="n">
        <x:v>4</x:v>
      </x:c>
      <x:c r="K1383" s="2" t="n">
        <x:v>5</x:v>
      </x:c>
      <x:c r="L1383" s="2" t="str">
        <x:v>At risk</x:v>
      </x:c>
    </x:row>
    <x:row r="1384" ht="22" customHeight="1">
      <x:c r="A1384" s="2"/>
      <x:c r="B1384" s="2" t="str">
        <x:v>13708</x:v>
      </x:c>
      <x:c r="C1384" s="2" t="str">
        <x:v>United Kingdom</x:v>
      </x:c>
      <x:c r="D1384" s="25" t="n">
        <x:v>40615.365277777775</x:v>
      </x:c>
      <x:c r="E1384" s="25" t="n">
        <x:v>40615.365277777775</x:v>
      </x:c>
      <x:c r="F1384" s="2" t="n">
        <x:v>272</x:v>
      </x:c>
      <x:c r="G1384" s="2" t="n">
        <x:v>1</x:v>
      </x:c>
      <x:c r="H1384" s="11" t="n">
        <x:v>296.88</x:v>
      </x:c>
      <x:c r="I1384" s="2" t="n">
        <x:v>2</x:v>
      </x:c>
      <x:c r="J1384" s="2" t="n">
        <x:v>1</x:v>
      </x:c>
      <x:c r="K1384" s="2" t="n">
        <x:v>2</x:v>
      </x:c>
      <x:c r="L1384" s="2" t="str">
        <x:v>Hibernating</x:v>
      </x:c>
    </x:row>
    <x:row r="1385" ht="22" customHeight="1">
      <x:c r="A1385" s="2"/>
      <x:c r="B1385" s="2" t="str">
        <x:v>13709</x:v>
      </x:c>
      <x:c r="C1385" s="2" t="str">
        <x:v>United Kingdom</x:v>
      </x:c>
      <x:c r="D1385" s="25" t="n">
        <x:v>40189.23611111111</x:v>
      </x:c>
      <x:c r="E1385" s="25" t="n">
        <x:v>40883.22777777778</x:v>
      </x:c>
      <x:c r="F1385" s="2" t="n">
        <x:v>4</x:v>
      </x:c>
      <x:c r="G1385" s="2" t="n">
        <x:v>18</x:v>
      </x:c>
      <x:c r="H1385" s="11" t="n">
        <x:v>7591.75</x:v>
      </x:c>
      <x:c r="I1385" s="2" t="n">
        <x:v>5</x:v>
      </x:c>
      <x:c r="J1385" s="2" t="n">
        <x:v>5</x:v>
      </x:c>
      <x:c r="K1385" s="2" t="n">
        <x:v>5</x:v>
      </x:c>
      <x:c r="L1385" s="2" t="str">
        <x:v>Champions</x:v>
      </x:c>
    </x:row>
    <x:row r="1386" ht="22" customHeight="1">
      <x:c r="A1386" s="2"/>
      <x:c r="B1386" s="2" t="str">
        <x:v>13710</x:v>
      </x:c>
      <x:c r="C1386" s="2" t="str">
        <x:v>United Kingdom</x:v>
      </x:c>
      <x:c r="D1386" s="25" t="n">
        <x:v>40274.32916666667</x:v>
      </x:c>
      <x:c r="E1386" s="25" t="n">
        <x:v>40855.13611111111</x:v>
      </x:c>
      <x:c r="F1386" s="2" t="n">
        <x:v>32</x:v>
      </x:c>
      <x:c r="G1386" s="2" t="n">
        <x:v>3</x:v>
      </x:c>
      <x:c r="H1386" s="11" t="n">
        <x:v>509.52</x:v>
      </x:c>
      <x:c r="I1386" s="2" t="n">
        <x:v>4</x:v>
      </x:c>
      <x:c r="J1386" s="2" t="n">
        <x:v>3</x:v>
      </x:c>
      <x:c r="K1386" s="2" t="n">
        <x:v>2</x:v>
      </x:c>
      <x:c r="L1386" s="2" t="str">
        <x:v>Loyal</x:v>
      </x:c>
    </x:row>
    <x:row r="1387" ht="22" customHeight="1">
      <x:c r="A1387" s="2"/>
      <x:c r="B1387" s="2" t="str">
        <x:v>13711</x:v>
      </x:c>
      <x:c r="C1387" s="2" t="str">
        <x:v>United Kingdom</x:v>
      </x:c>
      <x:c r="D1387" s="25" t="n">
        <x:v>40162.58611111111</x:v>
      </x:c>
      <x:c r="E1387" s="25" t="n">
        <x:v>40668.22986111111</x:v>
      </x:c>
      <x:c r="F1387" s="2" t="n">
        <x:v>219</x:v>
      </x:c>
      <x:c r="G1387" s="2" t="n">
        <x:v>9</x:v>
      </x:c>
      <x:c r="H1387" s="11" t="n">
        <x:v>1792.26</x:v>
      </x:c>
      <x:c r="I1387" s="2" t="n">
        <x:v>2</x:v>
      </x:c>
      <x:c r="J1387" s="2" t="n">
        <x:v>5</x:v>
      </x:c>
      <x:c r="K1387" s="2" t="n">
        <x:v>4</x:v>
      </x:c>
      <x:c r="L1387" s="2" t="str">
        <x:v>At risk</x:v>
      </x:c>
    </x:row>
    <x:row r="1388" ht="22" customHeight="1">
      <x:c r="A1388" s="2"/>
      <x:c r="B1388" s="2" t="str">
        <x:v>13712</x:v>
      </x:c>
      <x:c r="C1388" s="2" t="str">
        <x:v>United Kingdom</x:v>
      </x:c>
      <x:c r="D1388" s="25" t="n">
        <x:v>40276.26111111111</x:v>
      </x:c>
      <x:c r="E1388" s="25" t="n">
        <x:v>40640.31458333333</x:v>
      </x:c>
      <x:c r="F1388" s="2" t="n">
        <x:v>247</x:v>
      </x:c>
      <x:c r="G1388" s="2" t="n">
        <x:v>2</x:v>
      </x:c>
      <x:c r="H1388" s="11" t="n">
        <x:v>766.42</x:v>
      </x:c>
      <x:c r="I1388" s="2" t="n">
        <x:v>2</x:v>
      </x:c>
      <x:c r="J1388" s="2" t="n">
        <x:v>2</x:v>
      </x:c>
      <x:c r="K1388" s="2" t="n">
        <x:v>3</x:v>
      </x:c>
      <x:c r="L1388" s="2" t="str">
        <x:v>Hibernating</x:v>
      </x:c>
    </x:row>
    <x:row r="1389" ht="22" customHeight="1">
      <x:c r="A1389" s="2"/>
      <x:c r="B1389" s="2" t="str">
        <x:v>13713</x:v>
      </x:c>
      <x:c r="C1389" s="2" t="str">
        <x:v>United Kingdom</x:v>
      </x:c>
      <x:c r="D1389" s="25" t="n">
        <x:v>40303.49166666667</x:v>
      </x:c>
      <x:c r="E1389" s="25" t="n">
        <x:v>40478.47083333333</x:v>
      </x:c>
      <x:c r="F1389" s="2" t="n">
        <x:v>409</x:v>
      </x:c>
      <x:c r="G1389" s="2" t="n">
        <x:v>3</x:v>
      </x:c>
      <x:c r="H1389" s="11" t="n">
        <x:v>743.26</x:v>
      </x:c>
      <x:c r="I1389" s="2" t="n">
        <x:v>2</x:v>
      </x:c>
      <x:c r="J1389" s="2" t="n">
        <x:v>3</x:v>
      </x:c>
      <x:c r="K1389" s="2" t="n">
        <x:v>3</x:v>
      </x:c>
      <x:c r="L1389" s="2" t="str">
        <x:v>At risk</x:v>
      </x:c>
    </x:row>
    <x:row r="1390" ht="22" customHeight="1">
      <x:c r="A1390" s="2"/>
      <x:c r="B1390" s="2" t="str">
        <x:v>13714</x:v>
      </x:c>
      <x:c r="C1390" s="2" t="str">
        <x:v>United Kingdom</x:v>
      </x:c>
      <x:c r="D1390" s="25" t="n">
        <x:v>40421.37291666667</x:v>
      </x:c>
      <x:c r="E1390" s="25" t="n">
        <x:v>40421.37291666667</x:v>
      </x:c>
      <x:c r="F1390" s="2" t="n">
        <x:v>466</x:v>
      </x:c>
      <x:c r="G1390" s="2" t="n">
        <x:v>1</x:v>
      </x:c>
      <x:c r="H1390" s="11" t="n">
        <x:v>161.35</x:v>
      </x:c>
      <x:c r="I1390" s="2" t="n">
        <x:v>1</x:v>
      </x:c>
      <x:c r="J1390" s="2" t="n">
        <x:v>1</x:v>
      </x:c>
      <x:c r="K1390" s="2" t="n">
        <x:v>1</x:v>
      </x:c>
      <x:c r="L1390" s="2" t="str">
        <x:v>Hibernating</x:v>
      </x:c>
    </x:row>
    <x:row r="1391" ht="22" customHeight="1">
      <x:c r="A1391" s="2"/>
      <x:c r="B1391" s="2" t="str">
        <x:v>13715</x:v>
      </x:c>
      <x:c r="C1391" s="2" t="str">
        <x:v>United Kingdom</x:v>
      </x:c>
      <x:c r="D1391" s="25" t="n">
        <x:v>40248.43958333333</x:v>
      </x:c>
      <x:c r="E1391" s="25" t="n">
        <x:v>40605.597916666666</x:v>
      </x:c>
      <x:c r="F1391" s="2" t="n">
        <x:v>282</x:v>
      </x:c>
      <x:c r="G1391" s="2" t="n">
        <x:v>17</x:v>
      </x:c>
      <x:c r="H1391" s="11" t="n">
        <x:v>8210.64</x:v>
      </x:c>
      <x:c r="I1391" s="2" t="n">
        <x:v>2</x:v>
      </x:c>
      <x:c r="J1391" s="2" t="n">
        <x:v>5</x:v>
      </x:c>
      <x:c r="K1391" s="2" t="n">
        <x:v>5</x:v>
      </x:c>
      <x:c r="L1391" s="2" t="str">
        <x:v>At risk</x:v>
      </x:c>
    </x:row>
    <x:row r="1392" ht="22" customHeight="1">
      <x:c r="A1392" s="2"/>
      <x:c r="B1392" s="2" t="str">
        <x:v>13716</x:v>
      </x:c>
      <x:c r="C1392" s="2" t="str">
        <x:v>United Kingdom</x:v>
      </x:c>
      <x:c r="D1392" s="25" t="n">
        <x:v>40617.36736111111</x:v>
      </x:c>
      <x:c r="E1392" s="25" t="n">
        <x:v>40617.36736111111</x:v>
      </x:c>
      <x:c r="F1392" s="2" t="n">
        <x:v>270</x:v>
      </x:c>
      <x:c r="G1392" s="2" t="n">
        <x:v>1</x:v>
      </x:c>
      <x:c r="H1392" s="11" t="n">
        <x:v>138.28</x:v>
      </x:c>
      <x:c r="I1392" s="2" t="n">
        <x:v>2</x:v>
      </x:c>
      <x:c r="J1392" s="2" t="n">
        <x:v>1</x:v>
      </x:c>
      <x:c r="K1392" s="2" t="n">
        <x:v>1</x:v>
      </x:c>
      <x:c r="L1392" s="2" t="str">
        <x:v>Hibernating</x:v>
      </x:c>
    </x:row>
    <x:row r="1393" ht="22" customHeight="1">
      <x:c r="A1393" s="2"/>
      <x:c r="B1393" s="2" t="str">
        <x:v>13717</x:v>
      </x:c>
      <x:c r="C1393" s="2" t="str">
        <x:v>United Kingdom</x:v>
      </x:c>
      <x:c r="D1393" s="25" t="n">
        <x:v>40401.194444444445</x:v>
      </x:c>
      <x:c r="E1393" s="25" t="n">
        <x:v>40854.38402777778</x:v>
      </x:c>
      <x:c r="F1393" s="2" t="n">
        <x:v>33</x:v>
      </x:c>
      <x:c r="G1393" s="2" t="n">
        <x:v>8</x:v>
      </x:c>
      <x:c r="H1393" s="11" t="n">
        <x:v>1763.3</x:v>
      </x:c>
      <x:c r="I1393" s="2" t="n">
        <x:v>4</x:v>
      </x:c>
      <x:c r="J1393" s="2" t="n">
        <x:v>4</x:v>
      </x:c>
      <x:c r="K1393" s="2" t="n">
        <x:v>4</x:v>
      </x:c>
      <x:c r="L1393" s="2" t="str">
        <x:v>Champions</x:v>
      </x:c>
    </x:row>
    <x:row r="1394" ht="22" customHeight="1">
      <x:c r="A1394" s="2"/>
      <x:c r="B1394" s="2" t="str">
        <x:v>13718</x:v>
      </x:c>
      <x:c r="C1394" s="2" t="str">
        <x:v>United Kingdom</x:v>
      </x:c>
      <x:c r="D1394" s="25" t="n">
        <x:v>40591.29027777778</x:v>
      </x:c>
      <x:c r="E1394" s="25" t="n">
        <x:v>40640.35</x:v>
      </x:c>
      <x:c r="F1394" s="2" t="n">
        <x:v>247</x:v>
      </x:c>
      <x:c r="G1394" s="2" t="n">
        <x:v>2</x:v>
      </x:c>
      <x:c r="H1394" s="11" t="n">
        <x:v>306.55</x:v>
      </x:c>
      <x:c r="I1394" s="2" t="n">
        <x:v>2</x:v>
      </x:c>
      <x:c r="J1394" s="2" t="n">
        <x:v>2</x:v>
      </x:c>
      <x:c r="K1394" s="2" t="n">
        <x:v>2</x:v>
      </x:c>
      <x:c r="L1394" s="2" t="str">
        <x:v>Hibernating</x:v>
      </x:c>
    </x:row>
    <x:row r="1395" ht="22" customHeight="1">
      <x:c r="A1395" s="2"/>
      <x:c r="B1395" s="2" t="str">
        <x:v>13719</x:v>
      </x:c>
      <x:c r="C1395" s="2" t="str">
        <x:v>United Kingdom</x:v>
      </x:c>
      <x:c r="D1395" s="25" t="n">
        <x:v>40315.4</x:v>
      </x:c>
      <x:c r="E1395" s="25" t="n">
        <x:v>40871.43472222222</x:v>
      </x:c>
      <x:c r="F1395" s="2" t="n">
        <x:v>16</x:v>
      </x:c>
      <x:c r="G1395" s="2" t="n">
        <x:v>11</x:v>
      </x:c>
      <x:c r="H1395" s="11" t="n">
        <x:v>2815.25</x:v>
      </x:c>
      <x:c r="I1395" s="2" t="n">
        <x:v>5</x:v>
      </x:c>
      <x:c r="J1395" s="2" t="n">
        <x:v>5</x:v>
      </x:c>
      <x:c r="K1395" s="2" t="n">
        <x:v>4</x:v>
      </x:c>
      <x:c r="L1395" s="2" t="str">
        <x:v>Champions</x:v>
      </x:c>
    </x:row>
    <x:row r="1396" ht="22" customHeight="1">
      <x:c r="A1396" s="2"/>
      <x:c r="B1396" s="2" t="str">
        <x:v>13720</x:v>
      </x:c>
      <x:c r="C1396" s="2" t="str">
        <x:v>United Kingdom</x:v>
      </x:c>
      <x:c r="D1396" s="25" t="n">
        <x:v>40632.17847222222</x:v>
      </x:c>
      <x:c r="E1396" s="25" t="n">
        <x:v>40770.32361111111</x:v>
      </x:c>
      <x:c r="F1396" s="2" t="n">
        <x:v>117</x:v>
      </x:c>
      <x:c r="G1396" s="2" t="n">
        <x:v>4</x:v>
      </x:c>
      <x:c r="H1396" s="11" t="n">
        <x:v>799.9</x:v>
      </x:c>
      <x:c r="I1396" s="2" t="n">
        <x:v>3</x:v>
      </x:c>
      <x:c r="J1396" s="2" t="n">
        <x:v>3</x:v>
      </x:c>
      <x:c r="K1396" s="2" t="n">
        <x:v>3</x:v>
      </x:c>
      <x:c r="L1396" s="2" t="str">
        <x:v>Loyal</x:v>
      </x:c>
    </x:row>
    <x:row r="1397" ht="22" customHeight="1">
      <x:c r="A1397" s="2"/>
      <x:c r="B1397" s="2" t="str">
        <x:v>13721</x:v>
      </x:c>
      <x:c r="C1397" s="2" t="str">
        <x:v>United Kingdom</x:v>
      </x:c>
      <x:c r="D1397" s="25" t="n">
        <x:v>40491.540972222225</x:v>
      </x:c>
      <x:c r="E1397" s="25" t="n">
        <x:v>40850.37847222222</x:v>
      </x:c>
      <x:c r="F1397" s="2" t="n">
        <x:v>37</x:v>
      </x:c>
      <x:c r="G1397" s="2" t="n">
        <x:v>2</x:v>
      </x:c>
      <x:c r="H1397" s="11" t="n">
        <x:v>741.54</x:v>
      </x:c>
      <x:c r="I1397" s="2" t="n">
        <x:v>4</x:v>
      </x:c>
      <x:c r="J1397" s="2" t="n">
        <x:v>2</x:v>
      </x:c>
      <x:c r="K1397" s="2" t="n">
        <x:v>3</x:v>
      </x:c>
      <x:c r="L1397" s="2" t="str">
        <x:v>Recent light buyers</x:v>
      </x:c>
    </x:row>
    <x:row r="1398" ht="22" customHeight="1">
      <x:c r="A1398" s="2"/>
      <x:c r="B1398" s="2" t="str">
        <x:v>13722</x:v>
      </x:c>
      <x:c r="C1398" s="2" t="str">
        <x:v>United Kingdom</x:v>
      </x:c>
      <x:c r="D1398" s="25" t="n">
        <x:v>40240.38402777778</x:v>
      </x:c>
      <x:c r="E1398" s="25" t="n">
        <x:v>40755.322222222225</x:v>
      </x:c>
      <x:c r="F1398" s="2" t="n">
        <x:v>132</x:v>
      </x:c>
      <x:c r="G1398" s="2" t="n">
        <x:v>10</x:v>
      </x:c>
      <x:c r="H1398" s="11" t="n">
        <x:v>5635.41</x:v>
      </x:c>
      <x:c r="I1398" s="2" t="n">
        <x:v>3</x:v>
      </x:c>
      <x:c r="J1398" s="2" t="n">
        <x:v>5</x:v>
      </x:c>
      <x:c r="K1398" s="2" t="n">
        <x:v>5</x:v>
      </x:c>
      <x:c r="L1398" s="2" t="str">
        <x:v>Loyal</x:v>
      </x:c>
    </x:row>
    <x:row r="1399" ht="22" customHeight="1">
      <x:c r="A1399" s="2"/>
      <x:c r="B1399" s="2" t="str">
        <x:v>13723</x:v>
      </x:c>
      <x:c r="C1399" s="2" t="str">
        <x:v>United Kingdom</x:v>
      </x:c>
      <x:c r="D1399" s="25" t="n">
        <x:v>40275.39722222222</x:v>
      </x:c>
      <x:c r="E1399" s="25" t="n">
        <x:v>40669.50277777778</x:v>
      </x:c>
      <x:c r="F1399" s="2" t="n">
        <x:v>218</x:v>
      </x:c>
      <x:c r="G1399" s="2" t="n">
        <x:v>6</x:v>
      </x:c>
      <x:c r="H1399" s="11" t="n">
        <x:v>1209.2</x:v>
      </x:c>
      <x:c r="I1399" s="2" t="n">
        <x:v>2</x:v>
      </x:c>
      <x:c r="J1399" s="2" t="n">
        <x:v>4</x:v>
      </x:c>
      <x:c r="K1399" s="2" t="n">
        <x:v>3</x:v>
      </x:c>
      <x:c r="L1399" s="2" t="str">
        <x:v>At risk</x:v>
      </x:c>
    </x:row>
    <x:row r="1400" ht="22" customHeight="1">
      <x:c r="A1400" s="2"/>
      <x:c r="B1400" s="2" t="str">
        <x:v>13724</x:v>
      </x:c>
      <x:c r="C1400" s="2" t="str">
        <x:v>United Kingdom</x:v>
      </x:c>
      <x:c r="D1400" s="25" t="n">
        <x:v>40249.436111111114</x:v>
      </x:c>
      <x:c r="E1400" s="25" t="n">
        <x:v>40249.436111111114</x:v>
      </x:c>
      <x:c r="F1400" s="2" t="n">
        <x:v>638</x:v>
      </x:c>
      <x:c r="G1400" s="2" t="n">
        <x:v>1</x:v>
      </x:c>
      <x:c r="H1400" s="11" t="n">
        <x:v>213.01</x:v>
      </x:c>
      <x:c r="I1400" s="2" t="n">
        <x:v>1</x:v>
      </x:c>
      <x:c r="J1400" s="2" t="n">
        <x:v>1</x:v>
      </x:c>
      <x:c r="K1400" s="2" t="n">
        <x:v>1</x:v>
      </x:c>
      <x:c r="L1400" s="2" t="str">
        <x:v>Hibernating</x:v>
      </x:c>
    </x:row>
    <x:row r="1401" ht="22" customHeight="1">
      <x:c r="A1401" s="2"/>
      <x:c r="B1401" s="2" t="str">
        <x:v>13725</x:v>
      </x:c>
      <x:c r="C1401" s="2" t="str">
        <x:v>United Kingdom</x:v>
      </x:c>
      <x:c r="D1401" s="25" t="n">
        <x:v>40578.30416666667</x:v>
      </x:c>
      <x:c r="E1401" s="25" t="n">
        <x:v>40837.21041666667</x:v>
      </x:c>
      <x:c r="F1401" s="2" t="n">
        <x:v>50</x:v>
      </x:c>
      <x:c r="G1401" s="2" t="n">
        <x:v>8</x:v>
      </x:c>
      <x:c r="H1401" s="11" t="n">
        <x:v>1980.56</x:v>
      </x:c>
      <x:c r="I1401" s="2" t="n">
        <x:v>4</x:v>
      </x:c>
      <x:c r="J1401" s="2" t="n">
        <x:v>4</x:v>
      </x:c>
      <x:c r="K1401" s="2" t="n">
        <x:v>4</x:v>
      </x:c>
      <x:c r="L1401" s="2" t="str">
        <x:v>Champions</x:v>
      </x:c>
    </x:row>
    <x:row r="1402" ht="22" customHeight="1">
      <x:c r="A1402" s="2"/>
      <x:c r="B1402" s="2" t="str">
        <x:v>13726</x:v>
      </x:c>
      <x:c r="C1402" s="2" t="str">
        <x:v>United Kingdom</x:v>
      </x:c>
      <x:c r="D1402" s="25" t="n">
        <x:v>40786.254166666666</x:v>
      </x:c>
      <x:c r="E1402" s="25" t="n">
        <x:v>40848.24236111111</x:v>
      </x:c>
      <x:c r="F1402" s="2" t="n">
        <x:v>39</x:v>
      </x:c>
      <x:c r="G1402" s="2" t="n">
        <x:v>2</x:v>
      </x:c>
      <x:c r="H1402" s="11" t="n">
        <x:v>1079.66</x:v>
      </x:c>
      <x:c r="I1402" s="2" t="n">
        <x:v>4</x:v>
      </x:c>
      <x:c r="J1402" s="2" t="n">
        <x:v>2</x:v>
      </x:c>
      <x:c r="K1402" s="2" t="n">
        <x:v>3</x:v>
      </x:c>
      <x:c r="L1402" s="2" t="str">
        <x:v>Recent light buyers</x:v>
      </x:c>
    </x:row>
    <x:row r="1403" ht="22" customHeight="1">
      <x:c r="A1403" s="2"/>
      <x:c r="B1403" s="2" t="str">
        <x:v>13727</x:v>
      </x:c>
      <x:c r="C1403" s="2" t="str">
        <x:v>United Kingdom</x:v>
      </x:c>
      <x:c r="D1403" s="25" t="n">
        <x:v>40156.350694444445</x:v>
      </x:c>
      <x:c r="E1403" s="25" t="n">
        <x:v>40858.19861111111</x:v>
      </x:c>
      <x:c r="F1403" s="2" t="n">
        <x:v>29</x:v>
      </x:c>
      <x:c r="G1403" s="2" t="n">
        <x:v>8</x:v>
      </x:c>
      <x:c r="H1403" s="11" t="n">
        <x:v>1080.05</x:v>
      </x:c>
      <x:c r="I1403" s="2" t="n">
        <x:v>4</x:v>
      </x:c>
      <x:c r="J1403" s="2" t="n">
        <x:v>4</x:v>
      </x:c>
      <x:c r="K1403" s="2" t="n">
        <x:v>3</x:v>
      </x:c>
      <x:c r="L1403" s="2" t="str">
        <x:v>Loyal</x:v>
      </x:c>
    </x:row>
    <x:row r="1404" ht="22" customHeight="1">
      <x:c r="A1404" s="2"/>
      <x:c r="B1404" s="2" t="str">
        <x:v>13728</x:v>
      </x:c>
      <x:c r="C1404" s="2" t="str">
        <x:v>United Kingdom</x:v>
      </x:c>
      <x:c r="D1404" s="25" t="n">
        <x:v>40156.50902777778</x:v>
      </x:c>
      <x:c r="E1404" s="25" t="n">
        <x:v>40850.24236111111</x:v>
      </x:c>
      <x:c r="F1404" s="2" t="n">
        <x:v>37</x:v>
      </x:c>
      <x:c r="G1404" s="2" t="n">
        <x:v>16</x:v>
      </x:c>
      <x:c r="H1404" s="11" t="n">
        <x:v>2855.17</x:v>
      </x:c>
      <x:c r="I1404" s="2" t="n">
        <x:v>4</x:v>
      </x:c>
      <x:c r="J1404" s="2" t="n">
        <x:v>5</x:v>
      </x:c>
      <x:c r="K1404" s="2" t="n">
        <x:v>4</x:v>
      </x:c>
      <x:c r="L1404" s="2" t="str">
        <x:v>Champions</x:v>
      </x:c>
    </x:row>
    <x:row r="1405" ht="22" customHeight="1">
      <x:c r="A1405" s="2"/>
      <x:c r="B1405" s="2" t="str">
        <x:v>13729</x:v>
      </x:c>
      <x:c r="C1405" s="2" t="str">
        <x:v>United Kingdom</x:v>
      </x:c>
      <x:c r="D1405" s="25" t="n">
        <x:v>40202.41458333333</x:v>
      </x:c>
      <x:c r="E1405" s="25" t="n">
        <x:v>40451.23888888889</x:v>
      </x:c>
      <x:c r="F1405" s="2" t="n">
        <x:v>436</x:v>
      </x:c>
      <x:c r="G1405" s="2" t="n">
        <x:v>3</x:v>
      </x:c>
      <x:c r="H1405" s="11" t="n">
        <x:v>724.73</x:v>
      </x:c>
      <x:c r="I1405" s="2" t="n">
        <x:v>1</x:v>
      </x:c>
      <x:c r="J1405" s="2" t="n">
        <x:v>3</x:v>
      </x:c>
      <x:c r="K1405" s="2" t="n">
        <x:v>3</x:v>
      </x:c>
      <x:c r="L1405" s="2" t="str">
        <x:v>At risk</x:v>
      </x:c>
    </x:row>
    <x:row r="1406" ht="22" customHeight="1">
      <x:c r="A1406" s="2"/>
      <x:c r="B1406" s="2" t="str">
        <x:v>13730</x:v>
      </x:c>
      <x:c r="C1406" s="2" t="str">
        <x:v>United Kingdom</x:v>
      </x:c>
      <x:c r="D1406" s="25" t="n">
        <x:v>40725.32430555556</x:v>
      </x:c>
      <x:c r="E1406" s="25" t="n">
        <x:v>40751.149305555555</x:v>
      </x:c>
      <x:c r="F1406" s="2" t="n">
        <x:v>136</x:v>
      </x:c>
      <x:c r="G1406" s="2" t="n">
        <x:v>2</x:v>
      </x:c>
      <x:c r="H1406" s="11" t="n">
        <x:v>752.6</x:v>
      </x:c>
      <x:c r="I1406" s="2" t="n">
        <x:v>3</x:v>
      </x:c>
      <x:c r="J1406" s="2" t="n">
        <x:v>2</x:v>
      </x:c>
      <x:c r="K1406" s="2" t="n">
        <x:v>3</x:v>
      </x:c>
      <x:c r="L1406" s="2" t="str">
        <x:v>Developing</x:v>
      </x:c>
    </x:row>
    <x:row r="1407" ht="22" customHeight="1">
      <x:c r="A1407" s="2"/>
      <x:c r="B1407" s="2" t="str">
        <x:v>13731</x:v>
      </x:c>
      <x:c r="C1407" s="2" t="str">
        <x:v>United Kingdom</x:v>
      </x:c>
      <x:c r="D1407" s="25" t="n">
        <x:v>40640.21527777778</x:v>
      </x:c>
      <x:c r="E1407" s="25" t="n">
        <x:v>40667.39791666667</x:v>
      </x:c>
      <x:c r="F1407" s="2" t="n">
        <x:v>220</x:v>
      </x:c>
      <x:c r="G1407" s="2" t="n">
        <x:v>2</x:v>
      </x:c>
      <x:c r="H1407" s="11" t="n">
        <x:v>610.59</x:v>
      </x:c>
      <x:c r="I1407" s="2" t="n">
        <x:v>2</x:v>
      </x:c>
      <x:c r="J1407" s="2" t="n">
        <x:v>2</x:v>
      </x:c>
      <x:c r="K1407" s="2" t="n">
        <x:v>2</x:v>
      </x:c>
      <x:c r="L1407" s="2" t="str">
        <x:v>Hibernating</x:v>
      </x:c>
    </x:row>
    <x:row r="1408" ht="22" customHeight="1">
      <x:c r="A1408" s="2"/>
      <x:c r="B1408" s="2" t="str">
        <x:v>13732</x:v>
      </x:c>
      <x:c r="C1408" s="2" t="str">
        <x:v>United Kingdom</x:v>
      </x:c>
      <x:c r="D1408" s="25" t="n">
        <x:v>40858.450694444444</x:v>
      </x:c>
      <x:c r="E1408" s="25" t="n">
        <x:v>40858.450694444444</x:v>
      </x:c>
      <x:c r="F1408" s="2" t="n">
        <x:v>29</x:v>
      </x:c>
      <x:c r="G1408" s="2" t="n">
        <x:v>1</x:v>
      </x:c>
      <x:c r="H1408" s="11" t="n">
        <x:v>491.86</x:v>
      </x:c>
      <x:c r="I1408" s="2" t="n">
        <x:v>4</x:v>
      </x:c>
      <x:c r="J1408" s="2" t="n">
        <x:v>1</x:v>
      </x:c>
      <x:c r="K1408" s="2" t="n">
        <x:v>2</x:v>
      </x:c>
      <x:c r="L1408" s="2" t="str">
        <x:v>Recent light buyers</x:v>
      </x:c>
    </x:row>
    <x:row r="1409" ht="22" customHeight="1">
      <x:c r="A1409" s="2"/>
      <x:c r="B1409" s="2" t="str">
        <x:v>13733</x:v>
      </x:c>
      <x:c r="C1409" s="2" t="str">
        <x:v>United Kingdom</x:v>
      </x:c>
      <x:c r="D1409" s="25" t="n">
        <x:v>40151.436111111114</x:v>
      </x:c>
      <x:c r="E1409" s="25" t="n">
        <x:v>40476.30416666667</x:v>
      </x:c>
      <x:c r="F1409" s="2" t="n">
        <x:v>411</x:v>
      </x:c>
      <x:c r="G1409" s="2" t="n">
        <x:v>2</x:v>
      </x:c>
      <x:c r="H1409" s="11" t="n">
        <x:v>487.03</x:v>
      </x:c>
      <x:c r="I1409" s="2" t="n">
        <x:v>2</x:v>
      </x:c>
      <x:c r="J1409" s="2" t="n">
        <x:v>2</x:v>
      </x:c>
      <x:c r="K1409" s="2" t="n">
        <x:v>2</x:v>
      </x:c>
      <x:c r="L1409" s="2" t="str">
        <x:v>Hibernating</x:v>
      </x:c>
    </x:row>
    <x:row r="1410" ht="22" customHeight="1">
      <x:c r="A1410" s="2"/>
      <x:c r="B1410" s="2" t="str">
        <x:v>13734</x:v>
      </x:c>
      <x:c r="C1410" s="2" t="str">
        <x:v>United Kingdom</x:v>
      </x:c>
      <x:c r="D1410" s="25" t="n">
        <x:v>40284.15416666667</x:v>
      </x:c>
      <x:c r="E1410" s="25" t="n">
        <x:v>40378.294444444444</x:v>
      </x:c>
      <x:c r="F1410" s="2" t="n">
        <x:v>509</x:v>
      </x:c>
      <x:c r="G1410" s="2" t="n">
        <x:v>4</x:v>
      </x:c>
      <x:c r="H1410" s="11" t="n">
        <x:v>6701.64</x:v>
      </x:c>
      <x:c r="I1410" s="2" t="n">
        <x:v>1</x:v>
      </x:c>
      <x:c r="J1410" s="2" t="n">
        <x:v>3</x:v>
      </x:c>
      <x:c r="K1410" s="2" t="n">
        <x:v>5</x:v>
      </x:c>
      <x:c r="L1410" s="2" t="str">
        <x:v>At risk</x:v>
      </x:c>
    </x:row>
    <x:row r="1411" ht="22" customHeight="1">
      <x:c r="A1411" s="2"/>
      <x:c r="B1411" s="2" t="str">
        <x:v>13735</x:v>
      </x:c>
      <x:c r="C1411" s="2" t="str">
        <x:v>United Kingdom</x:v>
      </x:c>
      <x:c r="D1411" s="25" t="n">
        <x:v>40160.35486111111</x:v>
      </x:c>
      <x:c r="E1411" s="25" t="n">
        <x:v>40862.259722222225</x:v>
      </x:c>
      <x:c r="F1411" s="2" t="n">
        <x:v>25</x:v>
      </x:c>
      <x:c r="G1411" s="2" t="n">
        <x:v>13</x:v>
      </x:c>
      <x:c r="H1411" s="11" t="n">
        <x:v>9813.22</x:v>
      </x:c>
      <x:c r="I1411" s="2" t="n">
        <x:v>4</x:v>
      </x:c>
      <x:c r="J1411" s="2" t="n">
        <x:v>5</x:v>
      </x:c>
      <x:c r="K1411" s="2" t="n">
        <x:v>5</x:v>
      </x:c>
      <x:c r="L1411" s="2" t="str">
        <x:v>Champions</x:v>
      </x:c>
    </x:row>
    <x:row r="1412" ht="22" customHeight="1">
      <x:c r="A1412" s="2"/>
      <x:c r="B1412" s="2" t="str">
        <x:v>13736</x:v>
      </x:c>
      <x:c r="C1412" s="2" t="str">
        <x:v>United Kingdom</x:v>
      </x:c>
      <x:c r="D1412" s="25" t="n">
        <x:v>40153.29652777778</x:v>
      </x:c>
      <x:c r="E1412" s="25" t="n">
        <x:v>40881.42986111111</x:v>
      </x:c>
      <x:c r="F1412" s="2" t="n">
        <x:v>6</x:v>
      </x:c>
      <x:c r="G1412" s="2" t="n">
        <x:v>7</x:v>
      </x:c>
      <x:c r="H1412" s="11" t="n">
        <x:v>2766.21</x:v>
      </x:c>
      <x:c r="I1412" s="2" t="n">
        <x:v>5</x:v>
      </x:c>
      <x:c r="J1412" s="2" t="n">
        <x:v>4</x:v>
      </x:c>
      <x:c r="K1412" s="2" t="n">
        <x:v>4</x:v>
      </x:c>
      <x:c r="L1412" s="2" t="str">
        <x:v>Champions</x:v>
      </x:c>
    </x:row>
    <x:row r="1413" ht="22" customHeight="1">
      <x:c r="A1413" s="2"/>
      <x:c r="B1413" s="2" t="str">
        <x:v>13737</x:v>
      </x:c>
      <x:c r="C1413" s="2" t="str">
        <x:v>United Kingdom</x:v>
      </x:c>
      <x:c r="D1413" s="25" t="n">
        <x:v>40686.48055555556</x:v>
      </x:c>
      <x:c r="E1413" s="25" t="n">
        <x:v>40686.48055555556</x:v>
      </x:c>
      <x:c r="F1413" s="2" t="n">
        <x:v>201</x:v>
      </x:c>
      <x:c r="G1413" s="2" t="n">
        <x:v>1</x:v>
      </x:c>
      <x:c r="H1413" s="11" t="n">
        <x:v>339.6</x:v>
      </x:c>
      <x:c r="I1413" s="2" t="n">
        <x:v>2</x:v>
      </x:c>
      <x:c r="J1413" s="2" t="n">
        <x:v>1</x:v>
      </x:c>
      <x:c r="K1413" s="2" t="n">
        <x:v>2</x:v>
      </x:c>
      <x:c r="L1413" s="2" t="str">
        <x:v>Hibernating</x:v>
      </x:c>
    </x:row>
    <x:row r="1414" ht="22" customHeight="1">
      <x:c r="A1414" s="2"/>
      <x:c r="B1414" s="2" t="str">
        <x:v>13738</x:v>
      </x:c>
      <x:c r="C1414" s="2" t="str">
        <x:v>United Kingdom</x:v>
      </x:c>
      <x:c r="D1414" s="25" t="n">
        <x:v>40490.43263888889</x:v>
      </x:c>
      <x:c r="E1414" s="25" t="n">
        <x:v>40490.43263888889</x:v>
      </x:c>
      <x:c r="F1414" s="2" t="n">
        <x:v>397</x:v>
      </x:c>
      <x:c r="G1414" s="2" t="n">
        <x:v>1</x:v>
      </x:c>
      <x:c r="H1414" s="11" t="n">
        <x:v>440.93</x:v>
      </x:c>
      <x:c r="I1414" s="2" t="n">
        <x:v>2</x:v>
      </x:c>
      <x:c r="J1414" s="2" t="n">
        <x:v>1</x:v>
      </x:c>
      <x:c r="K1414" s="2" t="n">
        <x:v>2</x:v>
      </x:c>
      <x:c r="L1414" s="2" t="str">
        <x:v>Hibernating</x:v>
      </x:c>
    </x:row>
    <x:row r="1415" ht="22" customHeight="1">
      <x:c r="A1415" s="2"/>
      <x:c r="B1415" s="2" t="str">
        <x:v>13739</x:v>
      </x:c>
      <x:c r="C1415" s="2" t="str">
        <x:v>United Kingdom</x:v>
      </x:c>
      <x:c r="D1415" s="25" t="n">
        <x:v>40359.225694444445</x:v>
      </x:c>
      <x:c r="E1415" s="25" t="n">
        <x:v>40868.35763888889</x:v>
      </x:c>
      <x:c r="F1415" s="2" t="n">
        <x:v>19</x:v>
      </x:c>
      <x:c r="G1415" s="2" t="n">
        <x:v>2</x:v>
      </x:c>
      <x:c r="H1415" s="11" t="n">
        <x:v>292.2</x:v>
      </x:c>
      <x:c r="I1415" s="2" t="n">
        <x:v>5</x:v>
      </x:c>
      <x:c r="J1415" s="2" t="n">
        <x:v>2</x:v>
      </x:c>
      <x:c r="K1415" s="2" t="n">
        <x:v>2</x:v>
      </x:c>
      <x:c r="L1415" s="2" t="str">
        <x:v>Recent light buyers</x:v>
      </x:c>
    </x:row>
    <x:row r="1416" ht="22" customHeight="1">
      <x:c r="A1416" s="2"/>
      <x:c r="B1416" s="2" t="str">
        <x:v>13740</x:v>
      </x:c>
      <x:c r="C1416" s="2" t="str">
        <x:v>United Kingdom</x:v>
      </x:c>
      <x:c r="D1416" s="25" t="n">
        <x:v>40149.30694444444</x:v>
      </x:c>
      <x:c r="E1416" s="25" t="n">
        <x:v>40646.23055555556</x:v>
      </x:c>
      <x:c r="F1416" s="2" t="n">
        <x:v>241</x:v>
      </x:c>
      <x:c r="G1416" s="2" t="n">
        <x:v>5</x:v>
      </x:c>
      <x:c r="H1416" s="11" t="n">
        <x:v>1597.77</x:v>
      </x:c>
      <x:c r="I1416" s="2" t="n">
        <x:v>2</x:v>
      </x:c>
      <x:c r="J1416" s="2" t="n">
        <x:v>4</x:v>
      </x:c>
      <x:c r="K1416" s="2" t="n">
        <x:v>4</x:v>
      </x:c>
      <x:c r="L1416" s="2" t="str">
        <x:v>At risk</x:v>
      </x:c>
    </x:row>
    <x:row r="1417" ht="22" customHeight="1">
      <x:c r="A1417" s="2"/>
      <x:c r="B1417" s="2" t="str">
        <x:v>13741</x:v>
      </x:c>
      <x:c r="C1417" s="2" t="str">
        <x:v>United Kingdom</x:v>
      </x:c>
      <x:c r="D1417" s="25" t="n">
        <x:v>40669.36319444444</x:v>
      </x:c>
      <x:c r="E1417" s="25" t="n">
        <x:v>40815.17986111111</x:v>
      </x:c>
      <x:c r="F1417" s="2" t="n">
        <x:v>72</x:v>
      </x:c>
      <x:c r="G1417" s="2" t="n">
        <x:v>3</x:v>
      </x:c>
      <x:c r="H1417" s="11" t="n">
        <x:v>668.43</x:v>
      </x:c>
      <x:c r="I1417" s="2" t="n">
        <x:v>3</x:v>
      </x:c>
      <x:c r="J1417" s="2" t="n">
        <x:v>3</x:v>
      </x:c>
      <x:c r="K1417" s="2" t="n">
        <x:v>3</x:v>
      </x:c>
      <x:c r="L1417" s="2" t="str">
        <x:v>Loyal</x:v>
      </x:c>
    </x:row>
    <x:row r="1418" ht="22" customHeight="1">
      <x:c r="A1418" s="2"/>
      <x:c r="B1418" s="2" t="str">
        <x:v>13742</x:v>
      </x:c>
      <x:c r="C1418" s="2" t="str">
        <x:v>United Kingdom</x:v>
      </x:c>
      <x:c r="D1418" s="25" t="n">
        <x:v>40566.415972222225</x:v>
      </x:c>
      <x:c r="E1418" s="25" t="n">
        <x:v>40870.25486111111</x:v>
      </x:c>
      <x:c r="F1418" s="2" t="n">
        <x:v>17</x:v>
      </x:c>
      <x:c r="G1418" s="2" t="n">
        <x:v>12</x:v>
      </x:c>
      <x:c r="H1418" s="11" t="n">
        <x:v>3131.02</x:v>
      </x:c>
      <x:c r="I1418" s="2" t="n">
        <x:v>5</x:v>
      </x:c>
      <x:c r="J1418" s="2" t="n">
        <x:v>5</x:v>
      </x:c>
      <x:c r="K1418" s="2" t="n">
        <x:v>5</x:v>
      </x:c>
      <x:c r="L1418" s="2" t="str">
        <x:v>Champions</x:v>
      </x:c>
    </x:row>
    <x:row r="1419" ht="22" customHeight="1">
      <x:c r="A1419" s="2"/>
      <x:c r="B1419" s="2" t="str">
        <x:v>13743</x:v>
      </x:c>
      <x:c r="C1419" s="2" t="str">
        <x:v>United Kingdom</x:v>
      </x:c>
      <x:c r="D1419" s="25" t="n">
        <x:v>40627.40694444445</x:v>
      </x:c>
      <x:c r="E1419" s="25" t="n">
        <x:v>40884.214583333334</x:v>
      </x:c>
      <x:c r="F1419" s="2" t="n">
        <x:v>3</x:v>
      </x:c>
      <x:c r="G1419" s="2" t="n">
        <x:v>7</x:v>
      </x:c>
      <x:c r="H1419" s="11" t="n">
        <x:v>1341.6</x:v>
      </x:c>
      <x:c r="I1419" s="2" t="n">
        <x:v>5</x:v>
      </x:c>
      <x:c r="J1419" s="2" t="n">
        <x:v>4</x:v>
      </x:c>
      <x:c r="K1419" s="2" t="n">
        <x:v>4</x:v>
      </x:c>
      <x:c r="L1419" s="2" t="str">
        <x:v>Champions</x:v>
      </x:c>
    </x:row>
    <x:row r="1420" ht="22" customHeight="1">
      <x:c r="A1420" s="2"/>
      <x:c r="B1420" s="2" t="str">
        <x:v>13744</x:v>
      </x:c>
      <x:c r="C1420" s="2" t="str">
        <x:v>United Kingdom</x:v>
      </x:c>
      <x:c r="D1420" s="25" t="n">
        <x:v>40594.38055555556</x:v>
      </x:c>
      <x:c r="E1420" s="25" t="n">
        <x:v>40791.42986111111</x:v>
      </x:c>
      <x:c r="F1420" s="2" t="n">
        <x:v>96</x:v>
      </x:c>
      <x:c r="G1420" s="2" t="n">
        <x:v>2</x:v>
      </x:c>
      <x:c r="H1420" s="11" t="n">
        <x:v>1156.36</x:v>
      </x:c>
      <x:c r="I1420" s="2" t="n">
        <x:v>3</x:v>
      </x:c>
      <x:c r="J1420" s="2" t="n">
        <x:v>2</x:v>
      </x:c>
      <x:c r="K1420" s="2" t="n">
        <x:v>3</x:v>
      </x:c>
      <x:c r="L1420" s="2" t="str">
        <x:v>Developing</x:v>
      </x:c>
    </x:row>
    <x:row r="1421" ht="22" customHeight="1">
      <x:c r="A1421" s="2"/>
      <x:c r="B1421" s="2" t="str">
        <x:v>13745</x:v>
      </x:c>
      <x:c r="C1421" s="2" t="str">
        <x:v>United Kingdom</x:v>
      </x:c>
      <x:c r="D1421" s="25" t="n">
        <x:v>40340.513194444444</x:v>
      </x:c>
      <x:c r="E1421" s="25" t="n">
        <x:v>40724.48819444444</x:v>
      </x:c>
      <x:c r="F1421" s="2" t="n">
        <x:v>163</x:v>
      </x:c>
      <x:c r="G1421" s="2" t="n">
        <x:v>2</x:v>
      </x:c>
      <x:c r="H1421" s="11" t="n">
        <x:v>777.36</x:v>
      </x:c>
      <x:c r="I1421" s="2" t="n">
        <x:v>3</x:v>
      </x:c>
      <x:c r="J1421" s="2" t="n">
        <x:v>2</x:v>
      </x:c>
      <x:c r="K1421" s="2" t="n">
        <x:v>3</x:v>
      </x:c>
      <x:c r="L1421" s="2" t="str">
        <x:v>Developing</x:v>
      </x:c>
    </x:row>
    <x:row r="1422" ht="22" customHeight="1">
      <x:c r="A1422" s="2"/>
      <x:c r="B1422" s="2" t="str">
        <x:v>13746</x:v>
      </x:c>
      <x:c r="C1422" s="2" t="str">
        <x:v>United Kingdom</x:v>
      </x:c>
      <x:c r="D1422" s="25" t="n">
        <x:v>40473.288194444445</x:v>
      </x:c>
      <x:c r="E1422" s="25" t="n">
        <x:v>40473.288194444445</x:v>
      </x:c>
      <x:c r="F1422" s="2" t="n">
        <x:v>414</x:v>
      </x:c>
      <x:c r="G1422" s="2" t="n">
        <x:v>1</x:v>
      </x:c>
      <x:c r="H1422" s="11" t="n">
        <x:v>176.69</x:v>
      </x:c>
      <x:c r="I1422" s="2" t="n">
        <x:v>1</x:v>
      </x:c>
      <x:c r="J1422" s="2" t="n">
        <x:v>1</x:v>
      </x:c>
      <x:c r="K1422" s="2" t="n">
        <x:v>1</x:v>
      </x:c>
      <x:c r="L1422" s="2" t="str">
        <x:v>Hibernating</x:v>
      </x:c>
    </x:row>
    <x:row r="1423" ht="22" customHeight="1">
      <x:c r="A1423" s="2"/>
      <x:c r="B1423" s="2" t="str">
        <x:v>13747</x:v>
      </x:c>
      <x:c r="C1423" s="2" t="str">
        <x:v>United Kingdom</x:v>
      </x:c>
      <x:c r="D1423" s="25" t="n">
        <x:v>40462.177083333336</x:v>
      </x:c>
      <x:c r="E1423" s="25" t="n">
        <x:v>40513.23402777778</x:v>
      </x:c>
      <x:c r="F1423" s="2" t="n">
        <x:v>374</x:v>
      </x:c>
      <x:c r="G1423" s="2" t="n">
        <x:v>2</x:v>
      </x:c>
      <x:c r="H1423" s="11" t="n">
        <x:v>169.8</x:v>
      </x:c>
      <x:c r="I1423" s="2" t="n">
        <x:v>2</x:v>
      </x:c>
      <x:c r="J1423" s="2" t="n">
        <x:v>2</x:v>
      </x:c>
      <x:c r="K1423" s="2" t="n">
        <x:v>1</x:v>
      </x:c>
      <x:c r="L1423" s="2" t="str">
        <x:v>Hibernating</x:v>
      </x:c>
    </x:row>
    <x:row r="1424" ht="22" customHeight="1">
      <x:c r="A1424" s="2"/>
      <x:c r="B1424" s="2" t="str">
        <x:v>13748</x:v>
      </x:c>
      <x:c r="C1424" s="2" t="str">
        <x:v>United Kingdom</x:v>
      </x:c>
      <x:c r="D1424" s="25" t="n">
        <x:v>40148.48888888889</x:v>
      </x:c>
      <x:c r="E1424" s="25" t="n">
        <x:v>40791.197916666664</x:v>
      </x:c>
      <x:c r="F1424" s="2" t="n">
        <x:v>96</x:v>
      </x:c>
      <x:c r="G1424" s="2" t="n">
        <x:v>9</x:v>
      </x:c>
      <x:c r="H1424" s="11" t="n">
        <x:v>2064.35</x:v>
      </x:c>
      <x:c r="I1424" s="2" t="n">
        <x:v>3</x:v>
      </x:c>
      <x:c r="J1424" s="2" t="n">
        <x:v>5</x:v>
      </x:c>
      <x:c r="K1424" s="2" t="n">
        <x:v>4</x:v>
      </x:c>
      <x:c r="L1424" s="2" t="str">
        <x:v>Loyal</x:v>
      </x:c>
    </x:row>
    <x:row r="1425" ht="22" customHeight="1">
      <x:c r="A1425" s="2"/>
      <x:c r="B1425" s="2" t="str">
        <x:v>13750</x:v>
      </x:c>
      <x:c r="C1425" s="2" t="str">
        <x:v>United Kingdom</x:v>
      </x:c>
      <x:c r="D1425" s="25" t="n">
        <x:v>40269.40902777778</x:v>
      </x:c>
      <x:c r="E1425" s="25" t="n">
        <x:v>40833.302777777775</x:v>
      </x:c>
      <x:c r="F1425" s="2" t="n">
        <x:v>54</x:v>
      </x:c>
      <x:c r="G1425" s="2" t="n">
        <x:v>11</x:v>
      </x:c>
      <x:c r="H1425" s="11" t="n">
        <x:v>3602.18</x:v>
      </x:c>
      <x:c r="I1425" s="2" t="n">
        <x:v>4</x:v>
      </x:c>
      <x:c r="J1425" s="2" t="n">
        <x:v>5</x:v>
      </x:c>
      <x:c r="K1425" s="2" t="n">
        <x:v>5</x:v>
      </x:c>
      <x:c r="L1425" s="2" t="str">
        <x:v>Champions</x:v>
      </x:c>
    </x:row>
    <x:row r="1426" ht="22" customHeight="1">
      <x:c r="A1426" s="2"/>
      <x:c r="B1426" s="2" t="str">
        <x:v>13751</x:v>
      </x:c>
      <x:c r="C1426" s="2" t="str">
        <x:v>United Kingdom</x:v>
      </x:c>
      <x:c r="D1426" s="25" t="n">
        <x:v>40598.455555555556</x:v>
      </x:c>
      <x:c r="E1426" s="25" t="n">
        <x:v>40598.455555555556</x:v>
      </x:c>
      <x:c r="F1426" s="2" t="n">
        <x:v>289</x:v>
      </x:c>
      <x:c r="G1426" s="2" t="n">
        <x:v>1</x:v>
      </x:c>
      <x:c r="H1426" s="11" t="n">
        <x:v>296.25</x:v>
      </x:c>
      <x:c r="I1426" s="2" t="n">
        <x:v>2</x:v>
      </x:c>
      <x:c r="J1426" s="2" t="n">
        <x:v>1</x:v>
      </x:c>
      <x:c r="K1426" s="2" t="n">
        <x:v>2</x:v>
      </x:c>
      <x:c r="L1426" s="2" t="str">
        <x:v>Hibernating</x:v>
      </x:c>
    </x:row>
    <x:row r="1427" ht="22" customHeight="1">
      <x:c r="A1427" s="2"/>
      <x:c r="B1427" s="2" t="str">
        <x:v>13752</x:v>
      </x:c>
      <x:c r="C1427" s="2" t="str">
        <x:v>United Kingdom</x:v>
      </x:c>
      <x:c r="D1427" s="25" t="n">
        <x:v>40359.22430555556</x:v>
      </x:c>
      <x:c r="E1427" s="25" t="n">
        <x:v>40762.38611111111</x:v>
      </x:c>
      <x:c r="F1427" s="2" t="n">
        <x:v>125</x:v>
      </x:c>
      <x:c r="G1427" s="2" t="n">
        <x:v>7</x:v>
      </x:c>
      <x:c r="H1427" s="11" t="n">
        <x:v>1590.73</x:v>
      </x:c>
      <x:c r="I1427" s="2" t="n">
        <x:v>3</x:v>
      </x:c>
      <x:c r="J1427" s="2" t="n">
        <x:v>4</x:v>
      </x:c>
      <x:c r="K1427" s="2" t="n">
        <x:v>4</x:v>
      </x:c>
      <x:c r="L1427" s="2" t="str">
        <x:v>Loyal</x:v>
      </x:c>
    </x:row>
    <x:row r="1428" ht="22" customHeight="1">
      <x:c r="A1428" s="2"/>
      <x:c r="B1428" s="2" t="str">
        <x:v>13753</x:v>
      </x:c>
      <x:c r="C1428" s="2" t="str">
        <x:v>United Kingdom</x:v>
      </x:c>
      <x:c r="D1428" s="25" t="n">
        <x:v>40150.22222222222</x:v>
      </x:c>
      <x:c r="E1428" s="25" t="n">
        <x:v>40599.325</x:v>
      </x:c>
      <x:c r="F1428" s="2" t="n">
        <x:v>288</x:v>
      </x:c>
      <x:c r="G1428" s="2" t="n">
        <x:v>4</x:v>
      </x:c>
      <x:c r="H1428" s="11" t="n">
        <x:v>2094.57</x:v>
      </x:c>
      <x:c r="I1428" s="2" t="n">
        <x:v>2</x:v>
      </x:c>
      <x:c r="J1428" s="2" t="n">
        <x:v>3</x:v>
      </x:c>
      <x:c r="K1428" s="2" t="n">
        <x:v>4</x:v>
      </x:c>
      <x:c r="L1428" s="2" t="str">
        <x:v>At risk</x:v>
      </x:c>
    </x:row>
    <x:row r="1429" ht="22" customHeight="1">
      <x:c r="A1429" s="2"/>
      <x:c r="B1429" s="2" t="str">
        <x:v>13754</x:v>
      </x:c>
      <x:c r="C1429" s="2" t="str">
        <x:v>United Kingdom</x:v>
      </x:c>
      <x:c r="D1429" s="25" t="n">
        <x:v>40449.43680555555</x:v>
      </x:c>
      <x:c r="E1429" s="25" t="n">
        <x:v>40735.285416666666</x:v>
      </x:c>
      <x:c r="F1429" s="2" t="n">
        <x:v>152</x:v>
      </x:c>
      <x:c r="G1429" s="2" t="n">
        <x:v>3</x:v>
      </x:c>
      <x:c r="H1429" s="11" t="n">
        <x:v>447.05</x:v>
      </x:c>
      <x:c r="I1429" s="2" t="n">
        <x:v>3</x:v>
      </x:c>
      <x:c r="J1429" s="2" t="n">
        <x:v>3</x:v>
      </x:c>
      <x:c r="K1429" s="2" t="n">
        <x:v>2</x:v>
      </x:c>
      <x:c r="L1429" s="2" t="str">
        <x:v>Loyal</x:v>
      </x:c>
    </x:row>
    <x:row r="1430" ht="22" customHeight="1">
      <x:c r="A1430" s="2"/>
      <x:c r="B1430" s="2" t="str">
        <x:v>13755</x:v>
      </x:c>
      <x:c r="C1430" s="2" t="str">
        <x:v>United Kingdom</x:v>
      </x:c>
      <x:c r="D1430" s="25" t="n">
        <x:v>40823.447916666664</x:v>
      </x:c>
      <x:c r="E1430" s="25" t="n">
        <x:v>40883.30972222222</x:v>
      </x:c>
      <x:c r="F1430" s="2" t="n">
        <x:v>4</x:v>
      </x:c>
      <x:c r="G1430" s="2" t="n">
        <x:v>9</x:v>
      </x:c>
      <x:c r="H1430" s="11" t="n">
        <x:v>2161.35</x:v>
      </x:c>
      <x:c r="I1430" s="2" t="n">
        <x:v>5</x:v>
      </x:c>
      <x:c r="J1430" s="2" t="n">
        <x:v>5</x:v>
      </x:c>
      <x:c r="K1430" s="2" t="n">
        <x:v>4</x:v>
      </x:c>
      <x:c r="L1430" s="2" t="str">
        <x:v>Champions</x:v>
      </x:c>
    </x:row>
    <x:row r="1431" ht="22" customHeight="1">
      <x:c r="A1431" s="2"/>
      <x:c r="B1431" s="2" t="str">
        <x:v>13756</x:v>
      </x:c>
      <x:c r="C1431" s="2" t="str">
        <x:v>United Kingdom</x:v>
      </x:c>
      <x:c r="D1431" s="25" t="n">
        <x:v>40162.42916666667</x:v>
      </x:c>
      <x:c r="E1431" s="25" t="n">
        <x:v>40884.48888888889</x:v>
      </x:c>
      <x:c r="F1431" s="2" t="n">
        <x:v>3</x:v>
      </x:c>
      <x:c r="G1431" s="2" t="n">
        <x:v>23</x:v>
      </x:c>
      <x:c r="H1431" s="11" t="n">
        <x:v>8674.7</x:v>
      </x:c>
      <x:c r="I1431" s="2" t="n">
        <x:v>5</x:v>
      </x:c>
      <x:c r="J1431" s="2" t="n">
        <x:v>5</x:v>
      </x:c>
      <x:c r="K1431" s="2" t="n">
        <x:v>5</x:v>
      </x:c>
      <x:c r="L1431" s="2" t="str">
        <x:v>Champions</x:v>
      </x:c>
    </x:row>
    <x:row r="1432" ht="22" customHeight="1">
      <x:c r="A1432" s="2"/>
      <x:c r="B1432" s="2" t="str">
        <x:v>13757</x:v>
      </x:c>
      <x:c r="C1432" s="2" t="str">
        <x:v>United Kingdom</x:v>
      </x:c>
      <x:c r="D1432" s="25" t="n">
        <x:v>40212.31736111111</x:v>
      </x:c>
      <x:c r="E1432" s="25" t="n">
        <x:v>40212.31736111111</x:v>
      </x:c>
      <x:c r="F1432" s="2" t="n">
        <x:v>675</x:v>
      </x:c>
      <x:c r="G1432" s="2" t="n">
        <x:v>1</x:v>
      </x:c>
      <x:c r="H1432" s="11" t="n">
        <x:v>195.55</x:v>
      </x:c>
      <x:c r="I1432" s="2" t="n">
        <x:v>1</x:v>
      </x:c>
      <x:c r="J1432" s="2" t="n">
        <x:v>1</x:v>
      </x:c>
      <x:c r="K1432" s="2" t="n">
        <x:v>1</x:v>
      </x:c>
      <x:c r="L1432" s="2" t="str">
        <x:v>Hibernating</x:v>
      </x:c>
    </x:row>
    <x:row r="1433" ht="22" customHeight="1">
      <x:c r="A1433" s="2"/>
      <x:c r="B1433" s="2" t="str">
        <x:v>13758</x:v>
      </x:c>
      <x:c r="C1433" s="2" t="str">
        <x:v>United Kingdom</x:v>
      </x:c>
      <x:c r="D1433" s="25" t="n">
        <x:v>40148.2125</x:v>
      </x:c>
      <x:c r="E1433" s="25" t="n">
        <x:v>40875.25763888889</x:v>
      </x:c>
      <x:c r="F1433" s="2" t="n">
        <x:v>12</x:v>
      </x:c>
      <x:c r="G1433" s="2" t="n">
        <x:v>15</x:v>
      </x:c>
      <x:c r="H1433" s="11" t="n">
        <x:v>8698.13</x:v>
      </x:c>
      <x:c r="I1433" s="2" t="n">
        <x:v>5</x:v>
      </x:c>
      <x:c r="J1433" s="2" t="n">
        <x:v>5</x:v>
      </x:c>
      <x:c r="K1433" s="2" t="n">
        <x:v>5</x:v>
      </x:c>
      <x:c r="L1433" s="2" t="str">
        <x:v>Champions</x:v>
      </x:c>
    </x:row>
    <x:row r="1434" ht="22" customHeight="1">
      <x:c r="A1434" s="2"/>
      <x:c r="B1434" s="2" t="str">
        <x:v>13759</x:v>
      </x:c>
      <x:c r="C1434" s="2" t="str">
        <x:v>United Kingdom</x:v>
      </x:c>
      <x:c r="D1434" s="25" t="n">
        <x:v>40815.444444444445</x:v>
      </x:c>
      <x:c r="E1434" s="25" t="n">
        <x:v>40853.407638888886</x:v>
      </x:c>
      <x:c r="F1434" s="2" t="n">
        <x:v>34</x:v>
      </x:c>
      <x:c r="G1434" s="2" t="n">
        <x:v>2</x:v>
      </x:c>
      <x:c r="H1434" s="11" t="n">
        <x:v>659.41</x:v>
      </x:c>
      <x:c r="I1434" s="2" t="n">
        <x:v>4</x:v>
      </x:c>
      <x:c r="J1434" s="2" t="n">
        <x:v>2</x:v>
      </x:c>
      <x:c r="K1434" s="2" t="n">
        <x:v>3</x:v>
      </x:c>
      <x:c r="L1434" s="2" t="str">
        <x:v>Recent light buyers</x:v>
      </x:c>
    </x:row>
    <x:row r="1435" ht="22" customHeight="1">
      <x:c r="A1435" s="2"/>
      <x:c r="B1435" s="2" t="str">
        <x:v>13760</x:v>
      </x:c>
      <x:c r="C1435" s="2" t="str">
        <x:v>United Kingdom</x:v>
      </x:c>
      <x:c r="D1435" s="25" t="n">
        <x:v>40293.34027777778</x:v>
      </x:c>
      <x:c r="E1435" s="25" t="n">
        <x:v>40832.467361111114</x:v>
      </x:c>
      <x:c r="F1435" s="2" t="n">
        <x:v>55</x:v>
      </x:c>
      <x:c r="G1435" s="2" t="n">
        <x:v>5</x:v>
      </x:c>
      <x:c r="H1435" s="11" t="n">
        <x:v>1363.64</x:v>
      </x:c>
      <x:c r="I1435" s="2" t="n">
        <x:v>4</x:v>
      </x:c>
      <x:c r="J1435" s="2" t="n">
        <x:v>4</x:v>
      </x:c>
      <x:c r="K1435" s="2" t="n">
        <x:v>4</x:v>
      </x:c>
      <x:c r="L1435" s="2" t="str">
        <x:v>Champions</x:v>
      </x:c>
    </x:row>
    <x:row r="1436" ht="22" customHeight="1">
      <x:c r="A1436" s="2"/>
      <x:c r="B1436" s="2" t="str">
        <x:v>13761</x:v>
      </x:c>
      <x:c r="C1436" s="2" t="str">
        <x:v>United Kingdom</x:v>
      </x:c>
      <x:c r="D1436" s="25" t="n">
        <x:v>40230.25555555556</x:v>
      </x:c>
      <x:c r="E1436" s="25" t="n">
        <x:v>40836.37569444445</x:v>
      </x:c>
      <x:c r="F1436" s="2" t="n">
        <x:v>51</x:v>
      </x:c>
      <x:c r="G1436" s="2" t="n">
        <x:v>6</x:v>
      </x:c>
      <x:c r="H1436" s="11" t="n">
        <x:v>1952.17</x:v>
      </x:c>
      <x:c r="I1436" s="2" t="n">
        <x:v>4</x:v>
      </x:c>
      <x:c r="J1436" s="2" t="n">
        <x:v>4</x:v>
      </x:c>
      <x:c r="K1436" s="2" t="n">
        <x:v>4</x:v>
      </x:c>
      <x:c r="L1436" s="2" t="str">
        <x:v>Champions</x:v>
      </x:c>
    </x:row>
    <x:row r="1437" ht="22" customHeight="1">
      <x:c r="A1437" s="2"/>
      <x:c r="B1437" s="2" t="str">
        <x:v>13762</x:v>
      </x:c>
      <x:c r="C1437" s="2" t="str">
        <x:v>United Kingdom</x:v>
      </x:c>
      <x:c r="D1437" s="25" t="n">
        <x:v>40188.30069444444</x:v>
      </x:c>
      <x:c r="E1437" s="25" t="n">
        <x:v>40668.177083333336</x:v>
      </x:c>
      <x:c r="F1437" s="2" t="n">
        <x:v>219</x:v>
      </x:c>
      <x:c r="G1437" s="2" t="n">
        <x:v>5</x:v>
      </x:c>
      <x:c r="H1437" s="11" t="n">
        <x:v>2472.48</x:v>
      </x:c>
      <x:c r="I1437" s="2" t="n">
        <x:v>2</x:v>
      </x:c>
      <x:c r="J1437" s="2" t="n">
        <x:v>4</x:v>
      </x:c>
      <x:c r="K1437" s="2" t="n">
        <x:v>4</x:v>
      </x:c>
      <x:c r="L1437" s="2" t="str">
        <x:v>At risk</x:v>
      </x:c>
    </x:row>
    <x:row r="1438" ht="22" customHeight="1">
      <x:c r="A1438" s="2"/>
      <x:c r="B1438" s="2" t="str">
        <x:v>13763</x:v>
      </x:c>
      <x:c r="C1438" s="2" t="str">
        <x:v>United Kingdom</x:v>
      </x:c>
      <x:c r="D1438" s="25" t="n">
        <x:v>40451.527083333334</x:v>
      </x:c>
      <x:c r="E1438" s="25" t="n">
        <x:v>40823.42569444444</x:v>
      </x:c>
      <x:c r="F1438" s="2" t="n">
        <x:v>64</x:v>
      </x:c>
      <x:c r="G1438" s="2" t="n">
        <x:v>3</x:v>
      </x:c>
      <x:c r="H1438" s="11" t="n">
        <x:v>5217.44</x:v>
      </x:c>
      <x:c r="I1438" s="2" t="n">
        <x:v>3</x:v>
      </x:c>
      <x:c r="J1438" s="2" t="n">
        <x:v>3</x:v>
      </x:c>
      <x:c r="K1438" s="2" t="n">
        <x:v>5</x:v>
      </x:c>
      <x:c r="L1438" s="2" t="str">
        <x:v>Loyal</x:v>
      </x:c>
    </x:row>
    <x:row r="1439" ht="22" customHeight="1">
      <x:c r="A1439" s="2"/>
      <x:c r="B1439" s="2" t="str">
        <x:v>13764</x:v>
      </x:c>
      <x:c r="C1439" s="2" t="str">
        <x:v>United Kingdom</x:v>
      </x:c>
      <x:c r="D1439" s="25" t="n">
        <x:v>40244.330555555556</x:v>
      </x:c>
      <x:c r="E1439" s="25" t="n">
        <x:v>40816.29375</x:v>
      </x:c>
      <x:c r="F1439" s="2" t="n">
        <x:v>71</x:v>
      </x:c>
      <x:c r="G1439" s="2" t="n">
        <x:v>6</x:v>
      </x:c>
      <x:c r="H1439" s="11" t="n">
        <x:v>2953.26</x:v>
      </x:c>
      <x:c r="I1439" s="2" t="n">
        <x:v>3</x:v>
      </x:c>
      <x:c r="J1439" s="2" t="n">
        <x:v>4</x:v>
      </x:c>
      <x:c r="K1439" s="2" t="n">
        <x:v>5</x:v>
      </x:c>
      <x:c r="L1439" s="2" t="str">
        <x:v>Loyal</x:v>
      </x:c>
    </x:row>
    <x:row r="1440" ht="22" customHeight="1">
      <x:c r="A1440" s="2"/>
      <x:c r="B1440" s="2" t="str">
        <x:v>13765</x:v>
      </x:c>
      <x:c r="C1440" s="2" t="str">
        <x:v>United Kingdom</x:v>
      </x:c>
      <x:c r="D1440" s="25" t="n">
        <x:v>40233.365277777775</x:v>
      </x:c>
      <x:c r="E1440" s="25" t="n">
        <x:v>40233.365277777775</x:v>
      </x:c>
      <x:c r="F1440" s="2" t="n">
        <x:v>654</x:v>
      </x:c>
      <x:c r="G1440" s="2" t="n">
        <x:v>1</x:v>
      </x:c>
      <x:c r="H1440" s="11" t="n">
        <x:v>352.821</x:v>
      </x:c>
      <x:c r="I1440" s="2" t="n">
        <x:v>1</x:v>
      </x:c>
      <x:c r="J1440" s="2" t="n">
        <x:v>1</x:v>
      </x:c>
      <x:c r="K1440" s="2" t="n">
        <x:v>2</x:v>
      </x:c>
      <x:c r="L1440" s="2" t="str">
        <x:v>Hibernating</x:v>
      </x:c>
    </x:row>
    <x:row r="1441" ht="22" customHeight="1">
      <x:c r="A1441" s="2"/>
      <x:c r="B1441" s="2" t="str">
        <x:v>13766</x:v>
      </x:c>
      <x:c r="C1441" s="2" t="str">
        <x:v>United Kingdom</x:v>
      </x:c>
      <x:c r="D1441" s="25" t="n">
        <x:v>40391.39236111111</x:v>
      </x:c>
      <x:c r="E1441" s="25" t="n">
        <x:v>40391.39236111111</x:v>
      </x:c>
      <x:c r="F1441" s="2" t="n">
        <x:v>496</x:v>
      </x:c>
      <x:c r="G1441" s="2" t="n">
        <x:v>1</x:v>
      </x:c>
      <x:c r="H1441" s="11" t="n">
        <x:v>190.35</x:v>
      </x:c>
      <x:c r="I1441" s="2" t="n">
        <x:v>1</x:v>
      </x:c>
      <x:c r="J1441" s="2" t="n">
        <x:v>1</x:v>
      </x:c>
      <x:c r="K1441" s="2" t="n">
        <x:v>1</x:v>
      </x:c>
      <x:c r="L1441" s="2" t="str">
        <x:v>Hibernating</x:v>
      </x:c>
    </x:row>
    <x:row r="1442" ht="22" customHeight="1">
      <x:c r="A1442" s="2"/>
      <x:c r="B1442" s="2" t="str">
        <x:v>13767</x:v>
      </x:c>
      <x:c r="C1442" s="2" t="str">
        <x:v>United Kingdom</x:v>
      </x:c>
      <x:c r="D1442" s="25" t="n">
        <x:v>40148.24444444444</x:v>
      </x:c>
      <x:c r="E1442" s="25" t="n">
        <x:v>40884.416666666664</x:v>
      </x:c>
      <x:c r="F1442" s="2" t="n">
        <x:v>3</x:v>
      </x:c>
      <x:c r="G1442" s="2" t="n">
        <x:v>73</x:v>
      </x:c>
      <x:c r="H1442" s="11" t="n">
        <x:v>33903.57</x:v>
      </x:c>
      <x:c r="I1442" s="2" t="n">
        <x:v>5</x:v>
      </x:c>
      <x:c r="J1442" s="2" t="n">
        <x:v>5</x:v>
      </x:c>
      <x:c r="K1442" s="2" t="n">
        <x:v>5</x:v>
      </x:c>
      <x:c r="L1442" s="2" t="str">
        <x:v>Champions</x:v>
      </x:c>
    </x:row>
    <x:row r="1443" ht="22" customHeight="1">
      <x:c r="A1443" s="2"/>
      <x:c r="B1443" s="2" t="str">
        <x:v>13768</x:v>
      </x:c>
      <x:c r="C1443" s="2" t="str">
        <x:v>United Kingdom</x:v>
      </x:c>
      <x:c r="D1443" s="25" t="n">
        <x:v>40156.225694444445</x:v>
      </x:c>
      <x:c r="E1443" s="25" t="n">
        <x:v>40160.236805555556</x:v>
      </x:c>
      <x:c r="F1443" s="2" t="n">
        <x:v>727</x:v>
      </x:c>
      <x:c r="G1443" s="2" t="n">
        <x:v>2</x:v>
      </x:c>
      <x:c r="H1443" s="11" t="n">
        <x:v>875.97</x:v>
      </x:c>
      <x:c r="I1443" s="2" t="n">
        <x:v>1</x:v>
      </x:c>
      <x:c r="J1443" s="2" t="n">
        <x:v>2</x:v>
      </x:c>
      <x:c r="K1443" s="2" t="n">
        <x:v>3</x:v>
      </x:c>
      <x:c r="L1443" s="2" t="str">
        <x:v>Hibernating</x:v>
      </x:c>
    </x:row>
    <x:row r="1444" ht="22" customHeight="1">
      <x:c r="A1444" s="2"/>
      <x:c r="B1444" s="2" t="str">
        <x:v>13769</x:v>
      </x:c>
      <x:c r="C1444" s="2" t="str">
        <x:v>United Kingdom</x:v>
      </x:c>
      <x:c r="D1444" s="25" t="n">
        <x:v>40163.290972222225</x:v>
      </x:c>
      <x:c r="E1444" s="25" t="n">
        <x:v>40884.42222222222</x:v>
      </x:c>
      <x:c r="F1444" s="2" t="n">
        <x:v>3</x:v>
      </x:c>
      <x:c r="G1444" s="2" t="n">
        <x:v>20</x:v>
      </x:c>
      <x:c r="H1444" s="11" t="n">
        <x:v>5478.12</x:v>
      </x:c>
      <x:c r="I1444" s="2" t="n">
        <x:v>5</x:v>
      </x:c>
      <x:c r="J1444" s="2" t="n">
        <x:v>5</x:v>
      </x:c>
      <x:c r="K1444" s="2" t="n">
        <x:v>5</x:v>
      </x:c>
      <x:c r="L1444" s="2" t="str">
        <x:v>Champions</x:v>
      </x:c>
    </x:row>
    <x:row r="1445" ht="22" customHeight="1">
      <x:c r="A1445" s="2"/>
      <x:c r="B1445" s="2" t="str">
        <x:v>13770</x:v>
      </x:c>
      <x:c r="C1445" s="2" t="str">
        <x:v>United Kingdom</x:v>
      </x:c>
      <x:c r="D1445" s="25" t="n">
        <x:v>40156.40555555555</x:v>
      </x:c>
      <x:c r="E1445" s="25" t="n">
        <x:v>40464.42361111111</x:v>
      </x:c>
      <x:c r="F1445" s="2" t="n">
        <x:v>423</x:v>
      </x:c>
      <x:c r="G1445" s="2" t="n">
        <x:v>4</x:v>
      </x:c>
      <x:c r="H1445" s="11" t="n">
        <x:v>785.37</x:v>
      </x:c>
      <x:c r="I1445" s="2" t="n">
        <x:v>1</x:v>
      </x:c>
      <x:c r="J1445" s="2" t="n">
        <x:v>3</x:v>
      </x:c>
      <x:c r="K1445" s="2" t="n">
        <x:v>3</x:v>
      </x:c>
      <x:c r="L1445" s="2" t="str">
        <x:v>At risk</x:v>
      </x:c>
    </x:row>
    <x:row r="1446" ht="22" customHeight="1">
      <x:c r="A1446" s="2"/>
      <x:c r="B1446" s="2" t="str">
        <x:v>13771</x:v>
      </x:c>
      <x:c r="C1446" s="2" t="str">
        <x:v>United Kingdom</x:v>
      </x:c>
      <x:c r="D1446" s="25" t="n">
        <x:v>40234.31736111111</x:v>
      </x:c>
      <x:c r="E1446" s="25" t="n">
        <x:v>40822.3875</x:v>
      </x:c>
      <x:c r="F1446" s="2" t="n">
        <x:v>65</x:v>
      </x:c>
      <x:c r="G1446" s="2" t="n">
        <x:v>9</x:v>
      </x:c>
      <x:c r="H1446" s="11" t="n">
        <x:v>5728.82</x:v>
      </x:c>
      <x:c r="I1446" s="2" t="n">
        <x:v>3</x:v>
      </x:c>
      <x:c r="J1446" s="2" t="n">
        <x:v>5</x:v>
      </x:c>
      <x:c r="K1446" s="2" t="n">
        <x:v>5</x:v>
      </x:c>
      <x:c r="L1446" s="2" t="str">
        <x:v>Loyal</x:v>
      </x:c>
    </x:row>
    <x:row r="1447" ht="22" customHeight="1">
      <x:c r="A1447" s="2"/>
      <x:c r="B1447" s="2" t="str">
        <x:v>13772</x:v>
      </x:c>
      <x:c r="C1447" s="2" t="str">
        <x:v>United Kingdom</x:v>
      </x:c>
      <x:c r="D1447" s="25" t="n">
        <x:v>40232.37152777778</x:v>
      </x:c>
      <x:c r="E1447" s="25" t="n">
        <x:v>40853.279861111114</x:v>
      </x:c>
      <x:c r="F1447" s="2" t="n">
        <x:v>34</x:v>
      </x:c>
      <x:c r="G1447" s="2" t="n">
        <x:v>8</x:v>
      </x:c>
      <x:c r="H1447" s="11" t="n">
        <x:v>3114.22</x:v>
      </x:c>
      <x:c r="I1447" s="2" t="n">
        <x:v>4</x:v>
      </x:c>
      <x:c r="J1447" s="2" t="n">
        <x:v>4</x:v>
      </x:c>
      <x:c r="K1447" s="2" t="n">
        <x:v>5</x:v>
      </x:c>
      <x:c r="L1447" s="2" t="str">
        <x:v>Champions</x:v>
      </x:c>
    </x:row>
    <x:row r="1448" ht="22" customHeight="1">
      <x:c r="A1448" s="2"/>
      <x:c r="B1448" s="2" t="str">
        <x:v>13773</x:v>
      </x:c>
      <x:c r="C1448" s="2" t="str">
        <x:v>United Kingdom</x:v>
      </x:c>
      <x:c r="D1448" s="25" t="n">
        <x:v>40227.22708333333</x:v>
      </x:c>
      <x:c r="E1448" s="25" t="n">
        <x:v>40490.28402777778</x:v>
      </x:c>
      <x:c r="F1448" s="2" t="n">
        <x:v>397</x:v>
      </x:c>
      <x:c r="G1448" s="2" t="n">
        <x:v>2</x:v>
      </x:c>
      <x:c r="H1448" s="11" t="n">
        <x:v>301.54</x:v>
      </x:c>
      <x:c r="I1448" s="2" t="n">
        <x:v>2</x:v>
      </x:c>
      <x:c r="J1448" s="2" t="n">
        <x:v>2</x:v>
      </x:c>
      <x:c r="K1448" s="2" t="n">
        <x:v>2</x:v>
      </x:c>
      <x:c r="L1448" s="2" t="str">
        <x:v>Hibernating</x:v>
      </x:c>
    </x:row>
    <x:row r="1449" ht="22" customHeight="1">
      <x:c r="A1449" s="2"/>
      <x:c r="B1449" s="2" t="str">
        <x:v>13774</x:v>
      </x:c>
      <x:c r="C1449" s="2" t="str">
        <x:v>United Kingdom</x:v>
      </x:c>
      <x:c r="D1449" s="25" t="n">
        <x:v>40805.29583333333</x:v>
      </x:c>
      <x:c r="E1449" s="25" t="n">
        <x:v>40805.29583333333</x:v>
      </x:c>
      <x:c r="F1449" s="2" t="n">
        <x:v>82</x:v>
      </x:c>
      <x:c r="G1449" s="2" t="n">
        <x:v>1</x:v>
      </x:c>
      <x:c r="H1449" s="11" t="n">
        <x:v>345</x:v>
      </x:c>
      <x:c r="I1449" s="2" t="n">
        <x:v>3</x:v>
      </x:c>
      <x:c r="J1449" s="2" t="n">
        <x:v>1</x:v>
      </x:c>
      <x:c r="K1449" s="2" t="n">
        <x:v>2</x:v>
      </x:c>
      <x:c r="L1449" s="2" t="str">
        <x:v>Developing</x:v>
      </x:c>
    </x:row>
    <x:row r="1450" ht="22" customHeight="1">
      <x:c r="A1450" s="2"/>
      <x:c r="B1450" s="2" t="str">
        <x:v>13775</x:v>
      </x:c>
      <x:c r="C1450" s="2" t="str">
        <x:v>United Kingdom</x:v>
      </x:c>
      <x:c r="D1450" s="25" t="n">
        <x:v>40296.302083333336</x:v>
      </x:c>
      <x:c r="E1450" s="25" t="n">
        <x:v>40296.302083333336</x:v>
      </x:c>
      <x:c r="F1450" s="2" t="n">
        <x:v>591</x:v>
      </x:c>
      <x:c r="G1450" s="2" t="n">
        <x:v>1</x:v>
      </x:c>
      <x:c r="H1450" s="11" t="n">
        <x:v>1049.66</x:v>
      </x:c>
      <x:c r="I1450" s="2" t="n">
        <x:v>1</x:v>
      </x:c>
      <x:c r="J1450" s="2" t="n">
        <x:v>1</x:v>
      </x:c>
      <x:c r="K1450" s="2" t="n">
        <x:v>3</x:v>
      </x:c>
      <x:c r="L1450" s="2" t="str">
        <x:v>Hibernating</x:v>
      </x:c>
    </x:row>
    <x:row r="1451" ht="22" customHeight="1">
      <x:c r="A1451" s="2"/>
      <x:c r="B1451" s="2" t="str">
        <x:v>13776</x:v>
      </x:c>
      <x:c r="C1451" s="2" t="str">
        <x:v>United Kingdom</x:v>
      </x:c>
      <x:c r="D1451" s="25" t="n">
        <x:v>40458.46319444444</x:v>
      </x:c>
      <x:c r="E1451" s="25" t="n">
        <x:v>40458.46597222222</x:v>
      </x:c>
      <x:c r="F1451" s="2" t="n">
        <x:v>429</x:v>
      </x:c>
      <x:c r="G1451" s="2" t="n">
        <x:v>2</x:v>
      </x:c>
      <x:c r="H1451" s="11" t="n">
        <x:v>623.98</x:v>
      </x:c>
      <x:c r="I1451" s="2" t="n">
        <x:v>1</x:v>
      </x:c>
      <x:c r="J1451" s="2" t="n">
        <x:v>2</x:v>
      </x:c>
      <x:c r="K1451" s="2" t="n">
        <x:v>3</x:v>
      </x:c>
      <x:c r="L1451" s="2" t="str">
        <x:v>Hibernating</x:v>
      </x:c>
    </x:row>
    <x:row r="1452" ht="22" customHeight="1">
      <x:c r="A1452" s="2"/>
      <x:c r="B1452" s="2" t="str">
        <x:v>13777</x:v>
      </x:c>
      <x:c r="C1452" s="2" t="str">
        <x:v>United Kingdom</x:v>
      </x:c>
      <x:c r="D1452" s="25" t="n">
        <x:v>40149.19930555556</x:v>
      </x:c>
      <x:c r="E1452" s="25" t="n">
        <x:v>40886.30902777778</x:v>
      </x:c>
      <x:c r="F1452" s="2" t="n">
        <x:v>1</x:v>
      </x:c>
      <x:c r="G1452" s="2" t="n">
        <x:v>61</x:v>
      </x:c>
      <x:c r="H1452" s="11" t="n">
        <x:v>49638.26</x:v>
      </x:c>
      <x:c r="I1452" s="2" t="n">
        <x:v>5</x:v>
      </x:c>
      <x:c r="J1452" s="2" t="n">
        <x:v>5</x:v>
      </x:c>
      <x:c r="K1452" s="2" t="n">
        <x:v>5</x:v>
      </x:c>
      <x:c r="L1452" s="2" t="str">
        <x:v>Champions</x:v>
      </x:c>
    </x:row>
    <x:row r="1453" ht="22" customHeight="1">
      <x:c r="A1453" s="2"/>
      <x:c r="B1453" s="2" t="str">
        <x:v>13778</x:v>
      </x:c>
      <x:c r="C1453" s="2" t="str">
        <x:v>United Kingdom</x:v>
      </x:c>
      <x:c r="D1453" s="25" t="n">
        <x:v>40321.356944444444</x:v>
      </x:c>
      <x:c r="E1453" s="25" t="n">
        <x:v>40783.43402777778</x:v>
      </x:c>
      <x:c r="F1453" s="2" t="n">
        <x:v>104</x:v>
      </x:c>
      <x:c r="G1453" s="2" t="n">
        <x:v>4</x:v>
      </x:c>
      <x:c r="H1453" s="11" t="n">
        <x:v>1124.49</x:v>
      </x:c>
      <x:c r="I1453" s="2" t="n">
        <x:v>3</x:v>
      </x:c>
      <x:c r="J1453" s="2" t="n">
        <x:v>3</x:v>
      </x:c>
      <x:c r="K1453" s="2" t="n">
        <x:v>3</x:v>
      </x:c>
      <x:c r="L1453" s="2" t="str">
        <x:v>Loyal</x:v>
      </x:c>
    </x:row>
    <x:row r="1454" ht="22" customHeight="1">
      <x:c r="A1454" s="2"/>
      <x:c r="B1454" s="2" t="str">
        <x:v>13779</x:v>
      </x:c>
      <x:c r="C1454" s="2" t="str">
        <x:v>United Kingdom</x:v>
      </x:c>
      <x:c r="D1454" s="25" t="n">
        <x:v>40371.26666666667</x:v>
      </x:c>
      <x:c r="E1454" s="25" t="n">
        <x:v>40371.26666666667</x:v>
      </x:c>
      <x:c r="F1454" s="2" t="n">
        <x:v>516</x:v>
      </x:c>
      <x:c r="G1454" s="2" t="n">
        <x:v>1</x:v>
      </x:c>
      <x:c r="H1454" s="11" t="n">
        <x:v>161.13</x:v>
      </x:c>
      <x:c r="I1454" s="2" t="n">
        <x:v>1</x:v>
      </x:c>
      <x:c r="J1454" s="2" t="n">
        <x:v>1</x:v>
      </x:c>
      <x:c r="K1454" s="2" t="n">
        <x:v>1</x:v>
      </x:c>
      <x:c r="L1454" s="2" t="str">
        <x:v>Hibernating</x:v>
      </x:c>
    </x:row>
    <x:row r="1455" ht="22" customHeight="1">
      <x:c r="A1455" s="2"/>
      <x:c r="B1455" s="2" t="str">
        <x:v>13780</x:v>
      </x:c>
      <x:c r="C1455" s="2" t="str">
        <x:v>United Kingdom</x:v>
      </x:c>
      <x:c r="D1455" s="25" t="n">
        <x:v>40479.61875</x:v>
      </x:c>
      <x:c r="E1455" s="25" t="n">
        <x:v>40879.36736111111</x:v>
      </x:c>
      <x:c r="F1455" s="2" t="n">
        <x:v>8</x:v>
      </x:c>
      <x:c r="G1455" s="2" t="n">
        <x:v>3</x:v>
      </x:c>
      <x:c r="H1455" s="11" t="n">
        <x:v>735.82</x:v>
      </x:c>
      <x:c r="I1455" s="2" t="n">
        <x:v>5</x:v>
      </x:c>
      <x:c r="J1455" s="2" t="n">
        <x:v>3</x:v>
      </x:c>
      <x:c r="K1455" s="2" t="n">
        <x:v>3</x:v>
      </x:c>
      <x:c r="L1455" s="2" t="str">
        <x:v>Loyal</x:v>
      </x:c>
    </x:row>
    <x:row r="1456" ht="22" customHeight="1">
      <x:c r="A1456" s="2"/>
      <x:c r="B1456" s="2" t="str">
        <x:v>13781</x:v>
      </x:c>
      <x:c r="C1456" s="2" t="str">
        <x:v>United Kingdom</x:v>
      </x:c>
      <x:c r="D1456" s="25" t="n">
        <x:v>40165.44861111111</x:v>
      </x:c>
      <x:c r="E1456" s="25" t="n">
        <x:v>40636.29722222222</x:v>
      </x:c>
      <x:c r="F1456" s="2" t="n">
        <x:v>251</x:v>
      </x:c>
      <x:c r="G1456" s="2" t="n">
        <x:v>3</x:v>
      </x:c>
      <x:c r="H1456" s="11" t="n">
        <x:v>778.83</x:v>
      </x:c>
      <x:c r="I1456" s="2" t="n">
        <x:v>2</x:v>
      </x:c>
      <x:c r="J1456" s="2" t="n">
        <x:v>3</x:v>
      </x:c>
      <x:c r="K1456" s="2" t="n">
        <x:v>3</x:v>
      </x:c>
      <x:c r="L1456" s="2" t="str">
        <x:v>At risk</x:v>
      </x:c>
    </x:row>
    <x:row r="1457" ht="22" customHeight="1">
      <x:c r="A1457" s="2"/>
      <x:c r="B1457" s="2" t="str">
        <x:v>13782</x:v>
      </x:c>
      <x:c r="C1457" s="2" t="str">
        <x:v>United Kingdom</x:v>
      </x:c>
      <x:c r="D1457" s="25" t="n">
        <x:v>40153.32777777778</x:v>
      </x:c>
      <x:c r="E1457" s="25" t="n">
        <x:v>40874.2875</x:v>
      </x:c>
      <x:c r="F1457" s="2" t="n">
        <x:v>13</x:v>
      </x:c>
      <x:c r="G1457" s="2" t="n">
        <x:v>13</x:v>
      </x:c>
      <x:c r="H1457" s="11" t="n">
        <x:v>1793.72</x:v>
      </x:c>
      <x:c r="I1457" s="2" t="n">
        <x:v>5</x:v>
      </x:c>
      <x:c r="J1457" s="2" t="n">
        <x:v>5</x:v>
      </x:c>
      <x:c r="K1457" s="2" t="n">
        <x:v>4</x:v>
      </x:c>
      <x:c r="L1457" s="2" t="str">
        <x:v>Champions</x:v>
      </x:c>
    </x:row>
    <x:row r="1458" ht="22" customHeight="1">
      <x:c r="A1458" s="2"/>
      <x:c r="B1458" s="2" t="str">
        <x:v>13783</x:v>
      </x:c>
      <x:c r="C1458" s="2" t="str">
        <x:v>United Kingdom</x:v>
      </x:c>
      <x:c r="D1458" s="25" t="n">
        <x:v>40213.36597222222</x:v>
      </x:c>
      <x:c r="E1458" s="25" t="n">
        <x:v>40399.18263888889</x:v>
      </x:c>
      <x:c r="F1458" s="2" t="n">
        <x:v>488</x:v>
      </x:c>
      <x:c r="G1458" s="2" t="n">
        <x:v>4</x:v>
      </x:c>
      <x:c r="H1458" s="11" t="n">
        <x:v>1542.09</x:v>
      </x:c>
      <x:c r="I1458" s="2" t="n">
        <x:v>1</x:v>
      </x:c>
      <x:c r="J1458" s="2" t="n">
        <x:v>3</x:v>
      </x:c>
      <x:c r="K1458" s="2" t="n">
        <x:v>4</x:v>
      </x:c>
      <x:c r="L1458" s="2" t="str">
        <x:v>At risk</x:v>
      </x:c>
    </x:row>
    <x:row r="1459" ht="22" customHeight="1">
      <x:c r="A1459" s="2"/>
      <x:c r="B1459" s="2" t="str">
        <x:v>13784</x:v>
      </x:c>
      <x:c r="C1459" s="2" t="str">
        <x:v>United Kingdom</x:v>
      </x:c>
      <x:c r="D1459" s="25" t="n">
        <x:v>40436.31041666667</x:v>
      </x:c>
      <x:c r="E1459" s="25" t="n">
        <x:v>40877.18958333333</x:v>
      </x:c>
      <x:c r="F1459" s="2" t="n">
        <x:v>10</x:v>
      </x:c>
      <x:c r="G1459" s="2" t="n">
        <x:v>14</x:v>
      </x:c>
      <x:c r="H1459" s="11" t="n">
        <x:v>2910.23</x:v>
      </x:c>
      <x:c r="I1459" s="2" t="n">
        <x:v>5</x:v>
      </x:c>
      <x:c r="J1459" s="2" t="n">
        <x:v>5</x:v>
      </x:c>
      <x:c r="K1459" s="2" t="n">
        <x:v>4</x:v>
      </x:c>
      <x:c r="L1459" s="2" t="str">
        <x:v>Champions</x:v>
      </x:c>
    </x:row>
    <x:row r="1460" ht="22" customHeight="1">
      <x:c r="A1460" s="2"/>
      <x:c r="B1460" s="2" t="str">
        <x:v>13785</x:v>
      </x:c>
      <x:c r="C1460" s="2" t="str">
        <x:v>United Kingdom</x:v>
      </x:c>
      <x:c r="D1460" s="25" t="n">
        <x:v>40426.459027777775</x:v>
      </x:c>
      <x:c r="E1460" s="25" t="n">
        <x:v>40458.18402777778</x:v>
      </x:c>
      <x:c r="F1460" s="2" t="n">
        <x:v>429</x:v>
      </x:c>
      <x:c r="G1460" s="2" t="n">
        <x:v>4</x:v>
      </x:c>
      <x:c r="H1460" s="11" t="n">
        <x:v>542.49</x:v>
      </x:c>
      <x:c r="I1460" s="2" t="n">
        <x:v>1</x:v>
      </x:c>
      <x:c r="J1460" s="2" t="n">
        <x:v>3</x:v>
      </x:c>
      <x:c r="K1460" s="2" t="n">
        <x:v>2</x:v>
      </x:c>
      <x:c r="L1460" s="2" t="str">
        <x:v>At risk</x:v>
      </x:c>
    </x:row>
    <x:row r="1461" ht="22" customHeight="1">
      <x:c r="A1461" s="2"/>
      <x:c r="B1461" s="2" t="str">
        <x:v>13786</x:v>
      </x:c>
      <x:c r="C1461" s="2" t="str">
        <x:v>United Kingdom</x:v>
      </x:c>
      <x:c r="D1461" s="25" t="n">
        <x:v>40150.438888888886</x:v>
      </x:c>
      <x:c r="E1461" s="25" t="n">
        <x:v>40519.37013888889</x:v>
      </x:c>
      <x:c r="F1461" s="2" t="n">
        <x:v>368</x:v>
      </x:c>
      <x:c r="G1461" s="2" t="n">
        <x:v>6</x:v>
      </x:c>
      <x:c r="H1461" s="11" t="n">
        <x:v>3128.54</x:v>
      </x:c>
      <x:c r="I1461" s="2" t="n">
        <x:v>2</x:v>
      </x:c>
      <x:c r="J1461" s="2" t="n">
        <x:v>4</x:v>
      </x:c>
      <x:c r="K1461" s="2" t="n">
        <x:v>5</x:v>
      </x:c>
      <x:c r="L1461" s="2" t="str">
        <x:v>At risk</x:v>
      </x:c>
    </x:row>
    <x:row r="1462" ht="22" customHeight="1">
      <x:c r="A1462" s="2"/>
      <x:c r="B1462" s="2" t="str">
        <x:v>13787</x:v>
      </x:c>
      <x:c r="C1462" s="2" t="str">
        <x:v>United Kingdom</x:v>
      </x:c>
      <x:c r="D1462" s="25" t="n">
        <x:v>40192.217361111114</x:v>
      </x:c>
      <x:c r="E1462" s="25" t="n">
        <x:v>40811.29583333333</x:v>
      </x:c>
      <x:c r="F1462" s="2" t="n">
        <x:v>76</x:v>
      </x:c>
      <x:c r="G1462" s="2" t="n">
        <x:v>6</x:v>
      </x:c>
      <x:c r="H1462" s="11" t="n">
        <x:v>1222.5</x:v>
      </x:c>
      <x:c r="I1462" s="2" t="n">
        <x:v>3</x:v>
      </x:c>
      <x:c r="J1462" s="2" t="n">
        <x:v>4</x:v>
      </x:c>
      <x:c r="K1462" s="2" t="n">
        <x:v>3</x:v>
      </x:c>
      <x:c r="L1462" s="2" t="str">
        <x:v>Loyal</x:v>
      </x:c>
    </x:row>
    <x:row r="1463" ht="22" customHeight="1">
      <x:c r="A1463" s="2"/>
      <x:c r="B1463" s="2" t="str">
        <x:v>13788</x:v>
      </x:c>
      <x:c r="C1463" s="2" t="str">
        <x:v>United Kingdom</x:v>
      </x:c>
      <x:c r="D1463" s="25" t="n">
        <x:v>40381.45138888889</x:v>
      </x:c>
      <x:c r="E1463" s="25" t="n">
        <x:v>40381.45138888889</x:v>
      </x:c>
      <x:c r="F1463" s="2" t="n">
        <x:v>506</x:v>
      </x:c>
      <x:c r="G1463" s="2" t="n">
        <x:v>1</x:v>
      </x:c>
      <x:c r="H1463" s="11" t="n">
        <x:v>3.75</x:v>
      </x:c>
      <x:c r="I1463" s="2" t="n">
        <x:v>1</x:v>
      </x:c>
      <x:c r="J1463" s="2" t="n">
        <x:v>1</x:v>
      </x:c>
      <x:c r="K1463" s="2" t="n">
        <x:v>1</x:v>
      </x:c>
      <x:c r="L1463" s="2" t="str">
        <x:v>Hibernating</x:v>
      </x:c>
    </x:row>
    <x:row r="1464" ht="22" customHeight="1">
      <x:c r="A1464" s="2"/>
      <x:c r="B1464" s="2" t="str">
        <x:v>13789</x:v>
      </x:c>
      <x:c r="C1464" s="2" t="str">
        <x:v>United Kingdom</x:v>
      </x:c>
      <x:c r="D1464" s="25" t="n">
        <x:v>40498.43819444445</x:v>
      </x:c>
      <x:c r="E1464" s="25" t="n">
        <x:v>40498.43819444445</x:v>
      </x:c>
      <x:c r="F1464" s="2" t="n">
        <x:v>389</x:v>
      </x:c>
      <x:c r="G1464" s="2" t="n">
        <x:v>1</x:v>
      </x:c>
      <x:c r="H1464" s="11" t="n">
        <x:v>239.46</x:v>
      </x:c>
      <x:c r="I1464" s="2" t="n">
        <x:v>2</x:v>
      </x:c>
      <x:c r="J1464" s="2" t="n">
        <x:v>1</x:v>
      </x:c>
      <x:c r="K1464" s="2" t="n">
        <x:v>1</x:v>
      </x:c>
      <x:c r="L1464" s="2" t="str">
        <x:v>Hibernating</x:v>
      </x:c>
    </x:row>
    <x:row r="1465" ht="22" customHeight="1">
      <x:c r="A1465" s="2"/>
      <x:c r="B1465" s="2" t="str">
        <x:v>13790</x:v>
      </x:c>
      <x:c r="C1465" s="2" t="str">
        <x:v>United Kingdom</x:v>
      </x:c>
      <x:c r="D1465" s="25" t="n">
        <x:v>40882.45</x:v>
      </x:c>
      <x:c r="E1465" s="25" t="n">
        <x:v>40882.45</x:v>
      </x:c>
      <x:c r="F1465" s="2" t="n">
        <x:v>5</x:v>
      </x:c>
      <x:c r="G1465" s="2" t="n">
        <x:v>1</x:v>
      </x:c>
      <x:c r="H1465" s="11" t="n">
        <x:v>348.8</x:v>
      </x:c>
      <x:c r="I1465" s="2" t="n">
        <x:v>5</x:v>
      </x:c>
      <x:c r="J1465" s="2" t="n">
        <x:v>1</x:v>
      </x:c>
      <x:c r="K1465" s="2" t="n">
        <x:v>2</x:v>
      </x:c>
      <x:c r="L1465" s="2" t="str">
        <x:v>Recent light buyers</x:v>
      </x:c>
    </x:row>
    <x:row r="1466" ht="22" customHeight="1">
      <x:c r="A1466" s="2"/>
      <x:c r="B1466" s="2" t="str">
        <x:v>13791</x:v>
      </x:c>
      <x:c r="C1466" s="2" t="str">
        <x:v>United Kingdom</x:v>
      </x:c>
      <x:c r="D1466" s="25" t="n">
        <x:v>40718.48472222222</x:v>
      </x:c>
      <x:c r="E1466" s="25" t="n">
        <x:v>40759.28055555555</x:v>
      </x:c>
      <x:c r="F1466" s="2" t="n">
        <x:v>128</x:v>
      </x:c>
      <x:c r="G1466" s="2" t="n">
        <x:v>2</x:v>
      </x:c>
      <x:c r="H1466" s="11" t="n">
        <x:v>1516</x:v>
      </x:c>
      <x:c r="I1466" s="2" t="n">
        <x:v>3</x:v>
      </x:c>
      <x:c r="J1466" s="2" t="n">
        <x:v>2</x:v>
      </x:c>
      <x:c r="K1466" s="2" t="n">
        <x:v>4</x:v>
      </x:c>
      <x:c r="L1466" s="2" t="str">
        <x:v>Developing</x:v>
      </x:c>
    </x:row>
    <x:row r="1467" ht="22" customHeight="1">
      <x:c r="A1467" s="2"/>
      <x:c r="B1467" s="2" t="str">
        <x:v>13792</x:v>
      </x:c>
      <x:c r="C1467" s="2" t="str">
        <x:v>United Kingdom</x:v>
      </x:c>
      <x:c r="D1467" s="25" t="n">
        <x:v>40464.25347222222</x:v>
      </x:c>
      <x:c r="E1467" s="25" t="n">
        <x:v>40820.396527777775</x:v>
      </x:c>
      <x:c r="F1467" s="2" t="n">
        <x:v>67</x:v>
      </x:c>
      <x:c r="G1467" s="2" t="n">
        <x:v>3</x:v>
      </x:c>
      <x:c r="H1467" s="11" t="n">
        <x:v>383.95</x:v>
      </x:c>
      <x:c r="I1467" s="2" t="n">
        <x:v>3</x:v>
      </x:c>
      <x:c r="J1467" s="2" t="n">
        <x:v>3</x:v>
      </x:c>
      <x:c r="K1467" s="2" t="n">
        <x:v>2</x:v>
      </x:c>
      <x:c r="L1467" s="2" t="str">
        <x:v>Loyal</x:v>
      </x:c>
    </x:row>
    <x:row r="1468" ht="22" customHeight="1">
      <x:c r="A1468" s="2"/>
      <x:c r="B1468" s="2" t="str">
        <x:v>13793</x:v>
      </x:c>
      <x:c r="C1468" s="2" t="str">
        <x:v>United Kingdom</x:v>
      </x:c>
      <x:c r="D1468" s="25" t="n">
        <x:v>40240.14236111111</x:v>
      </x:c>
      <x:c r="E1468" s="25" t="n">
        <x:v>40240.14236111111</x:v>
      </x:c>
      <x:c r="F1468" s="2" t="n">
        <x:v>647</x:v>
      </x:c>
      <x:c r="G1468" s="2" t="n">
        <x:v>1</x:v>
      </x:c>
      <x:c r="H1468" s="11" t="n">
        <x:v>96</x:v>
      </x:c>
      <x:c r="I1468" s="2" t="n">
        <x:v>1</x:v>
      </x:c>
      <x:c r="J1468" s="2" t="n">
        <x:v>1</x:v>
      </x:c>
      <x:c r="K1468" s="2" t="n">
        <x:v>1</x:v>
      </x:c>
      <x:c r="L1468" s="2" t="str">
        <x:v>Hibernating</x:v>
      </x:c>
    </x:row>
    <x:row r="1469" ht="22" customHeight="1">
      <x:c r="A1469" s="2"/>
      <x:c r="B1469" s="2" t="str">
        <x:v>13794</x:v>
      </x:c>
      <x:c r="C1469" s="2" t="str">
        <x:v>United Kingdom</x:v>
      </x:c>
      <x:c r="D1469" s="25" t="n">
        <x:v>40340.3125</x:v>
      </x:c>
      <x:c r="E1469" s="25" t="n">
        <x:v>40340.3125</x:v>
      </x:c>
      <x:c r="F1469" s="2" t="n">
        <x:v>547</x:v>
      </x:c>
      <x:c r="G1469" s="2" t="n">
        <x:v>1</x:v>
      </x:c>
      <x:c r="H1469" s="11" t="n">
        <x:v>126.03</x:v>
      </x:c>
      <x:c r="I1469" s="2" t="n">
        <x:v>1</x:v>
      </x:c>
      <x:c r="J1469" s="2" t="n">
        <x:v>1</x:v>
      </x:c>
      <x:c r="K1469" s="2" t="n">
        <x:v>1</x:v>
      </x:c>
      <x:c r="L1469" s="2" t="str">
        <x:v>Hibernating</x:v>
      </x:c>
    </x:row>
    <x:row r="1470" ht="22" customHeight="1">
      <x:c r="A1470" s="2"/>
      <x:c r="B1470" s="2" t="str">
        <x:v>13795</x:v>
      </x:c>
      <x:c r="C1470" s="2" t="str">
        <x:v>United Kingdom</x:v>
      </x:c>
      <x:c r="D1470" s="25" t="n">
        <x:v>40249.322222222225</x:v>
      </x:c>
      <x:c r="E1470" s="25" t="n">
        <x:v>40498.51736111111</x:v>
      </x:c>
      <x:c r="F1470" s="2" t="n">
        <x:v>389</x:v>
      </x:c>
      <x:c r="G1470" s="2" t="n">
        <x:v>4</x:v>
      </x:c>
      <x:c r="H1470" s="11" t="n">
        <x:v>836.3</x:v>
      </x:c>
      <x:c r="I1470" s="2" t="n">
        <x:v>2</x:v>
      </x:c>
      <x:c r="J1470" s="2" t="n">
        <x:v>3</x:v>
      </x:c>
      <x:c r="K1470" s="2" t="n">
        <x:v>3</x:v>
      </x:c>
      <x:c r="L1470" s="2" t="str">
        <x:v>At risk</x:v>
      </x:c>
    </x:row>
    <x:row r="1471" ht="22" customHeight="1">
      <x:c r="A1471" s="2"/>
      <x:c r="B1471" s="2" t="str">
        <x:v>13796</x:v>
      </x:c>
      <x:c r="C1471" s="2" t="str">
        <x:v>United Kingdom</x:v>
      </x:c>
      <x:c r="D1471" s="25" t="n">
        <x:v>40387.40625</x:v>
      </x:c>
      <x:c r="E1471" s="25" t="n">
        <x:v>40387.40625</x:v>
      </x:c>
      <x:c r="F1471" s="2" t="n">
        <x:v>500</x:v>
      </x:c>
      <x:c r="G1471" s="2" t="n">
        <x:v>1</x:v>
      </x:c>
      <x:c r="H1471" s="11" t="n">
        <x:v>289.7</x:v>
      </x:c>
      <x:c r="I1471" s="2" t="n">
        <x:v>1</x:v>
      </x:c>
      <x:c r="J1471" s="2" t="n">
        <x:v>1</x:v>
      </x:c>
      <x:c r="K1471" s="2" t="n">
        <x:v>2</x:v>
      </x:c>
      <x:c r="L1471" s="2" t="str">
        <x:v>Hibernating</x:v>
      </x:c>
    </x:row>
    <x:row r="1472" ht="22" customHeight="1">
      <x:c r="A1472" s="2"/>
      <x:c r="B1472" s="2" t="str">
        <x:v>13797</x:v>
      </x:c>
      <x:c r="C1472" s="2" t="str">
        <x:v>United Kingdom</x:v>
      </x:c>
      <x:c r="D1472" s="25" t="n">
        <x:v>40239.30347222222</x:v>
      </x:c>
      <x:c r="E1472" s="25" t="n">
        <x:v>40450.231944444444</x:v>
      </x:c>
      <x:c r="F1472" s="2" t="n">
        <x:v>437</x:v>
      </x:c>
      <x:c r="G1472" s="2" t="n">
        <x:v>3</x:v>
      </x:c>
      <x:c r="H1472" s="11" t="n">
        <x:v>1179.45</x:v>
      </x:c>
      <x:c r="I1472" s="2" t="n">
        <x:v>1</x:v>
      </x:c>
      <x:c r="J1472" s="2" t="n">
        <x:v>3</x:v>
      </x:c>
      <x:c r="K1472" s="2" t="n">
        <x:v>3</x:v>
      </x:c>
      <x:c r="L1472" s="2" t="str">
        <x:v>At risk</x:v>
      </x:c>
    </x:row>
    <x:row r="1473" ht="22" customHeight="1">
      <x:c r="A1473" s="2"/>
      <x:c r="B1473" s="2" t="str">
        <x:v>13798</x:v>
      </x:c>
      <x:c r="C1473" s="2" t="str">
        <x:v>United Kingdom</x:v>
      </x:c>
      <x:c r="D1473" s="25" t="n">
        <x:v>40155.472916666666</x:v>
      </x:c>
      <x:c r="E1473" s="25" t="n">
        <x:v>40885.45208333333</x:v>
      </x:c>
      <x:c r="F1473" s="2" t="n">
        <x:v>2</x:v>
      </x:c>
      <x:c r="G1473" s="2" t="n">
        <x:v>110</x:v>
      </x:c>
      <x:c r="H1473" s="11" t="n">
        <x:v>75428.87</x:v>
      </x:c>
      <x:c r="I1473" s="2" t="n">
        <x:v>5</x:v>
      </x:c>
      <x:c r="J1473" s="2" t="n">
        <x:v>5</x:v>
      </x:c>
      <x:c r="K1473" s="2" t="n">
        <x:v>5</x:v>
      </x:c>
      <x:c r="L1473" s="2" t="str">
        <x:v>Champions</x:v>
      </x:c>
    </x:row>
    <x:row r="1474" ht="22" customHeight="1">
      <x:c r="A1474" s="2"/>
      <x:c r="B1474" s="2" t="str">
        <x:v>13799</x:v>
      </x:c>
      <x:c r="C1474" s="2" t="str">
        <x:v>United Kingdom</x:v>
      </x:c>
      <x:c r="D1474" s="25" t="n">
        <x:v>40242.48541666667</x:v>
      </x:c>
      <x:c r="E1474" s="25" t="n">
        <x:v>40770.29652777778</x:v>
      </x:c>
      <x:c r="F1474" s="2" t="n">
        <x:v>117</x:v>
      </x:c>
      <x:c r="G1474" s="2" t="n">
        <x:v>9</x:v>
      </x:c>
      <x:c r="H1474" s="11" t="n">
        <x:v>2803.57</x:v>
      </x:c>
      <x:c r="I1474" s="2" t="n">
        <x:v>3</x:v>
      </x:c>
      <x:c r="J1474" s="2" t="n">
        <x:v>5</x:v>
      </x:c>
      <x:c r="K1474" s="2" t="n">
        <x:v>4</x:v>
      </x:c>
      <x:c r="L1474" s="2" t="str">
        <x:v>Loyal</x:v>
      </x:c>
    </x:row>
    <x:row r="1475" ht="22" customHeight="1">
      <x:c r="A1475" s="2"/>
      <x:c r="B1475" s="2" t="str">
        <x:v>13800</x:v>
      </x:c>
      <x:c r="C1475" s="2" t="str">
        <x:v>United Kingdom</x:v>
      </x:c>
      <x:c r="D1475" s="25" t="n">
        <x:v>40150.21041666667</x:v>
      </x:c>
      <x:c r="E1475" s="25" t="n">
        <x:v>40577.31041666667</x:v>
      </x:c>
      <x:c r="F1475" s="2" t="n">
        <x:v>310</x:v>
      </x:c>
      <x:c r="G1475" s="2" t="n">
        <x:v>3</x:v>
      </x:c>
      <x:c r="H1475" s="11" t="n">
        <x:v>1679.56</x:v>
      </x:c>
      <x:c r="I1475" s="2" t="n">
        <x:v>2</x:v>
      </x:c>
      <x:c r="J1475" s="2" t="n">
        <x:v>3</x:v>
      </x:c>
      <x:c r="K1475" s="2" t="n">
        <x:v>4</x:v>
      </x:c>
      <x:c r="L1475" s="2" t="str">
        <x:v>At risk</x:v>
      </x:c>
    </x:row>
    <x:row r="1476" ht="22" customHeight="1">
      <x:c r="A1476" s="2"/>
      <x:c r="B1476" s="2" t="str">
        <x:v>13801</x:v>
      </x:c>
      <x:c r="C1476" s="2" t="str">
        <x:v>United Kingdom</x:v>
      </x:c>
      <x:c r="D1476" s="25" t="n">
        <x:v>40820.21875</x:v>
      </x:c>
      <x:c r="E1476" s="25" t="n">
        <x:v>40820.21875</x:v>
      </x:c>
      <x:c r="F1476" s="2" t="n">
        <x:v>67</x:v>
      </x:c>
      <x:c r="G1476" s="2" t="n">
        <x:v>1</x:v>
      </x:c>
      <x:c r="H1476" s="11" t="n">
        <x:v>324.8</x:v>
      </x:c>
      <x:c r="I1476" s="2" t="n">
        <x:v>3</x:v>
      </x:c>
      <x:c r="J1476" s="2" t="n">
        <x:v>1</x:v>
      </x:c>
      <x:c r="K1476" s="2" t="n">
        <x:v>2</x:v>
      </x:c>
      <x:c r="L1476" s="2" t="str">
        <x:v>Developing</x:v>
      </x:c>
    </x:row>
    <x:row r="1477" ht="22" customHeight="1">
      <x:c r="A1477" s="2"/>
      <x:c r="B1477" s="2" t="str">
        <x:v>13802</x:v>
      </x:c>
      <x:c r="C1477" s="2" t="str">
        <x:v>United Kingdom</x:v>
      </x:c>
      <x:c r="D1477" s="25" t="n">
        <x:v>40225.21597222222</x:v>
      </x:c>
      <x:c r="E1477" s="25" t="n">
        <x:v>40748.245833333334</x:v>
      </x:c>
      <x:c r="F1477" s="2" t="n">
        <x:v>139</x:v>
      </x:c>
      <x:c r="G1477" s="2" t="n">
        <x:v>19</x:v>
      </x:c>
      <x:c r="H1477" s="11" t="n">
        <x:v>26259.11</x:v>
      </x:c>
      <x:c r="I1477" s="2" t="n">
        <x:v>3</x:v>
      </x:c>
      <x:c r="J1477" s="2" t="n">
        <x:v>5</x:v>
      </x:c>
      <x:c r="K1477" s="2" t="n">
        <x:v>5</x:v>
      </x:c>
      <x:c r="L1477" s="2" t="str">
        <x:v>Loyal</x:v>
      </x:c>
    </x:row>
    <x:row r="1478" ht="22" customHeight="1">
      <x:c r="A1478" s="2"/>
      <x:c r="B1478" s="2" t="str">
        <x:v>13803</x:v>
      </x:c>
      <x:c r="C1478" s="2" t="str">
        <x:v>United Kingdom</x:v>
      </x:c>
      <x:c r="D1478" s="25" t="n">
        <x:v>40268.208333333336</x:v>
      </x:c>
      <x:c r="E1478" s="25" t="n">
        <x:v>40631.33125</x:v>
      </x:c>
      <x:c r="F1478" s="2" t="n">
        <x:v>256</x:v>
      </x:c>
      <x:c r="G1478" s="2" t="n">
        <x:v>3</x:v>
      </x:c>
      <x:c r="H1478" s="11" t="n">
        <x:v>1338.91</x:v>
      </x:c>
      <x:c r="I1478" s="2" t="n">
        <x:v>2</x:v>
      </x:c>
      <x:c r="J1478" s="2" t="n">
        <x:v>3</x:v>
      </x:c>
      <x:c r="K1478" s="2" t="n">
        <x:v>4</x:v>
      </x:c>
      <x:c r="L1478" s="2" t="str">
        <x:v>At risk</x:v>
      </x:c>
    </x:row>
    <x:row r="1479" ht="22" customHeight="1">
      <x:c r="A1479" s="2"/>
      <x:c r="B1479" s="2" t="str">
        <x:v>13804</x:v>
      </x:c>
      <x:c r="C1479" s="2" t="str">
        <x:v>United Kingdom</x:v>
      </x:c>
      <x:c r="D1479" s="25" t="n">
        <x:v>40450.22638888889</x:v>
      </x:c>
      <x:c r="E1479" s="25" t="n">
        <x:v>40856.313888888886</x:v>
      </x:c>
      <x:c r="F1479" s="2" t="n">
        <x:v>31</x:v>
      </x:c>
      <x:c r="G1479" s="2" t="n">
        <x:v>9</x:v>
      </x:c>
      <x:c r="H1479" s="11" t="n">
        <x:v>3208.52</x:v>
      </x:c>
      <x:c r="I1479" s="2" t="n">
        <x:v>4</x:v>
      </x:c>
      <x:c r="J1479" s="2" t="n">
        <x:v>5</x:v>
      </x:c>
      <x:c r="K1479" s="2" t="n">
        <x:v>5</x:v>
      </x:c>
      <x:c r="L1479" s="2" t="str">
        <x:v>Champions</x:v>
      </x:c>
    </x:row>
    <x:row r="1480" ht="22" customHeight="1">
      <x:c r="A1480" s="2"/>
      <x:c r="B1480" s="2" t="str">
        <x:v>13805</x:v>
      </x:c>
      <x:c r="C1480" s="2" t="str">
        <x:v>United Kingdom</x:v>
      </x:c>
      <x:c r="D1480" s="25" t="n">
        <x:v>40757.43680555555</x:v>
      </x:c>
      <x:c r="E1480" s="25" t="n">
        <x:v>40834.40972222222</x:v>
      </x:c>
      <x:c r="F1480" s="2" t="n">
        <x:v>53</x:v>
      </x:c>
      <x:c r="G1480" s="2" t="n">
        <x:v>2</x:v>
      </x:c>
      <x:c r="H1480" s="11" t="n">
        <x:v>924.6</x:v>
      </x:c>
      <x:c r="I1480" s="2" t="n">
        <x:v>4</x:v>
      </x:c>
      <x:c r="J1480" s="2" t="n">
        <x:v>2</x:v>
      </x:c>
      <x:c r="K1480" s="2" t="n">
        <x:v>3</x:v>
      </x:c>
      <x:c r="L1480" s="2" t="str">
        <x:v>Recent light buyers</x:v>
      </x:c>
    </x:row>
    <x:row r="1481" ht="22" customHeight="1">
      <x:c r="A1481" s="2"/>
      <x:c r="B1481" s="2" t="str">
        <x:v>13806</x:v>
      </x:c>
      <x:c r="C1481" s="2" t="str">
        <x:v>United Kingdom</x:v>
      </x:c>
      <x:c r="D1481" s="25" t="n">
        <x:v>40823.279861111114</x:v>
      </x:c>
      <x:c r="E1481" s="25" t="n">
        <x:v>40823.279861111114</x:v>
      </x:c>
      <x:c r="F1481" s="2" t="n">
        <x:v>64</x:v>
      </x:c>
      <x:c r="G1481" s="2" t="n">
        <x:v>1</x:v>
      </x:c>
      <x:c r="H1481" s="11" t="n">
        <x:v>256.38</x:v>
      </x:c>
      <x:c r="I1481" s="2" t="n">
        <x:v>3</x:v>
      </x:c>
      <x:c r="J1481" s="2" t="n">
        <x:v>1</x:v>
      </x:c>
      <x:c r="K1481" s="2" t="n">
        <x:v>1</x:v>
      </x:c>
      <x:c r="L1481" s="2" t="str">
        <x:v>Developing</x:v>
      </x:c>
    </x:row>
    <x:row r="1482" ht="22" customHeight="1">
      <x:c r="A1482" s="2"/>
      <x:c r="B1482" s="2" t="str">
        <x:v>13807</x:v>
      </x:c>
      <x:c r="C1482" s="2" t="str">
        <x:v>United Kingdom</x:v>
      </x:c>
      <x:c r="D1482" s="25" t="n">
        <x:v>40151.32013888889</x:v>
      </x:c>
      <x:c r="E1482" s="25" t="n">
        <x:v>40519.45</x:v>
      </x:c>
      <x:c r="F1482" s="2" t="n">
        <x:v>368</x:v>
      </x:c>
      <x:c r="G1482" s="2" t="n">
        <x:v>3</x:v>
      </x:c>
      <x:c r="H1482" s="11" t="n">
        <x:v>422.2</x:v>
      </x:c>
      <x:c r="I1482" s="2" t="n">
        <x:v>2</x:v>
      </x:c>
      <x:c r="J1482" s="2" t="n">
        <x:v>3</x:v>
      </x:c>
      <x:c r="K1482" s="2" t="n">
        <x:v>2</x:v>
      </x:c>
      <x:c r="L1482" s="2" t="str">
        <x:v>At risk</x:v>
      </x:c>
    </x:row>
    <x:row r="1483" ht="22" customHeight="1">
      <x:c r="A1483" s="2"/>
      <x:c r="B1483" s="2" t="str">
        <x:v>13808</x:v>
      </x:c>
      <x:c r="C1483" s="2" t="str">
        <x:v>United Kingdom</x:v>
      </x:c>
      <x:c r="D1483" s="25" t="n">
        <x:v>40790.29652777778</x:v>
      </x:c>
      <x:c r="E1483" s="25" t="n">
        <x:v>40881.30416666667</x:v>
      </x:c>
      <x:c r="F1483" s="2" t="n">
        <x:v>6</x:v>
      </x:c>
      <x:c r="G1483" s="2" t="n">
        <x:v>5</x:v>
      </x:c>
      <x:c r="H1483" s="11" t="n">
        <x:v>1747.66</x:v>
      </x:c>
      <x:c r="I1483" s="2" t="n">
        <x:v>5</x:v>
      </x:c>
      <x:c r="J1483" s="2" t="n">
        <x:v>4</x:v>
      </x:c>
      <x:c r="K1483" s="2" t="n">
        <x:v>4</x:v>
      </x:c>
      <x:c r="L1483" s="2" t="str">
        <x:v>Champions</x:v>
      </x:c>
    </x:row>
    <x:row r="1484" ht="22" customHeight="1">
      <x:c r="A1484" s="2"/>
      <x:c r="B1484" s="2" t="str">
        <x:v>13809</x:v>
      </x:c>
      <x:c r="C1484" s="2" t="str">
        <x:v>Cyprus</x:v>
      </x:c>
      <x:c r="D1484" s="25" t="n">
        <x:v>40426.27916666667</x:v>
      </x:c>
      <x:c r="E1484" s="25" t="n">
        <x:v>40581.34375</x:v>
      </x:c>
      <x:c r="F1484" s="2" t="n">
        <x:v>306</x:v>
      </x:c>
      <x:c r="G1484" s="2" t="n">
        <x:v>3</x:v>
      </x:c>
      <x:c r="H1484" s="11" t="n">
        <x:v>679.7</x:v>
      </x:c>
      <x:c r="I1484" s="2" t="n">
        <x:v>2</x:v>
      </x:c>
      <x:c r="J1484" s="2" t="n">
        <x:v>3</x:v>
      </x:c>
      <x:c r="K1484" s="2" t="n">
        <x:v>3</x:v>
      </x:c>
      <x:c r="L1484" s="2" t="str">
        <x:v>At risk</x:v>
      </x:c>
    </x:row>
    <x:row r="1485" ht="22" customHeight="1">
      <x:c r="A1485" s="2"/>
      <x:c r="B1485" s="2" t="str">
        <x:v>13810</x:v>
      </x:c>
      <x:c r="C1485" s="2" t="str">
        <x:v>Germany</x:v>
      </x:c>
      <x:c r="D1485" s="25" t="n">
        <x:v>40830.33125</x:v>
      </x:c>
      <x:c r="E1485" s="25" t="n">
        <x:v>40858.14791666667</x:v>
      </x:c>
      <x:c r="F1485" s="2" t="n">
        <x:v>29</x:v>
      </x:c>
      <x:c r="G1485" s="2" t="n">
        <x:v>3</x:v>
      </x:c>
      <x:c r="H1485" s="11" t="n">
        <x:v>1499.01</x:v>
      </x:c>
      <x:c r="I1485" s="2" t="n">
        <x:v>4</x:v>
      </x:c>
      <x:c r="J1485" s="2" t="n">
        <x:v>3</x:v>
      </x:c>
      <x:c r="K1485" s="2" t="n">
        <x:v>4</x:v>
      </x:c>
      <x:c r="L1485" s="2" t="str">
        <x:v>Loyal</x:v>
      </x:c>
    </x:row>
    <x:row r="1486" ht="22" customHeight="1">
      <x:c r="A1486" s="2"/>
      <x:c r="B1486" s="2" t="str">
        <x:v>13811</x:v>
      </x:c>
      <x:c r="C1486" s="2" t="str">
        <x:v>Germany</x:v>
      </x:c>
      <x:c r="D1486" s="25" t="n">
        <x:v>40647.569444444445</x:v>
      </x:c>
      <x:c r="E1486" s="25" t="n">
        <x:v>40703.20416666667</x:v>
      </x:c>
      <x:c r="F1486" s="2" t="n">
        <x:v>184</x:v>
      </x:c>
      <x:c r="G1486" s="2" t="n">
        <x:v>3</x:v>
      </x:c>
      <x:c r="H1486" s="11" t="n">
        <x:v>814.5</x:v>
      </x:c>
      <x:c r="I1486" s="2" t="n">
        <x:v>3</x:v>
      </x:c>
      <x:c r="J1486" s="2" t="n">
        <x:v>3</x:v>
      </x:c>
      <x:c r="K1486" s="2" t="n">
        <x:v>3</x:v>
      </x:c>
      <x:c r="L1486" s="2" t="str">
        <x:v>Loyal</x:v>
      </x:c>
    </x:row>
    <x:row r="1487" ht="22" customHeight="1">
      <x:c r="A1487" s="2"/>
      <x:c r="B1487" s="2" t="str">
        <x:v>13812</x:v>
      </x:c>
      <x:c r="C1487" s="2" t="str">
        <x:v>Germany</x:v>
      </x:c>
      <x:c r="D1487" s="25" t="n">
        <x:v>40781.32916666667</x:v>
      </x:c>
      <x:c r="E1487" s="25" t="n">
        <x:v>40844.39375</x:v>
      </x:c>
      <x:c r="F1487" s="2" t="n">
        <x:v>43</x:v>
      </x:c>
      <x:c r="G1487" s="2" t="n">
        <x:v>3</x:v>
      </x:c>
      <x:c r="H1487" s="11" t="n">
        <x:v>539</x:v>
      </x:c>
      <x:c r="I1487" s="2" t="n">
        <x:v>4</x:v>
      </x:c>
      <x:c r="J1487" s="2" t="n">
        <x:v>3</x:v>
      </x:c>
      <x:c r="K1487" s="2" t="n">
        <x:v>2</x:v>
      </x:c>
      <x:c r="L1487" s="2" t="str">
        <x:v>Loyal</x:v>
      </x:c>
    </x:row>
    <x:row r="1488" ht="22" customHeight="1">
      <x:c r="A1488" s="2"/>
      <x:c r="B1488" s="2" t="str">
        <x:v>13813</x:v>
      </x:c>
      <x:c r="C1488" s="2" t="str">
        <x:v>Germany</x:v>
      </x:c>
      <x:c r="D1488" s="25" t="n">
        <x:v>40153.21944444445</x:v>
      </x:c>
      <x:c r="E1488" s="25" t="n">
        <x:v>40847.23472222222</x:v>
      </x:c>
      <x:c r="F1488" s="2" t="n">
        <x:v>40</x:v>
      </x:c>
      <x:c r="G1488" s="2" t="n">
        <x:v>8</x:v>
      </x:c>
      <x:c r="H1488" s="11" t="n">
        <x:v>2765.47</x:v>
      </x:c>
      <x:c r="I1488" s="2" t="n">
        <x:v>4</x:v>
      </x:c>
      <x:c r="J1488" s="2" t="n">
        <x:v>4</x:v>
      </x:c>
      <x:c r="K1488" s="2" t="n">
        <x:v>4</x:v>
      </x:c>
      <x:c r="L1488" s="2" t="str">
        <x:v>Champions</x:v>
      </x:c>
    </x:row>
    <x:row r="1489" ht="22" customHeight="1">
      <x:c r="A1489" s="2"/>
      <x:c r="B1489" s="2" t="str">
        <x:v>13814</x:v>
      </x:c>
      <x:c r="C1489" s="2" t="str">
        <x:v>Germany</x:v>
      </x:c>
      <x:c r="D1489" s="25" t="n">
        <x:v>40359.38333333333</x:v>
      </x:c>
      <x:c r="E1489" s="25" t="n">
        <x:v>40794.36666666667</x:v>
      </x:c>
      <x:c r="F1489" s="2" t="n">
        <x:v>93</x:v>
      </x:c>
      <x:c r="G1489" s="2" t="n">
        <x:v>3</x:v>
      </x:c>
      <x:c r="H1489" s="11" t="n">
        <x:v>2257.32</x:v>
      </x:c>
      <x:c r="I1489" s="2" t="n">
        <x:v>3</x:v>
      </x:c>
      <x:c r="J1489" s="2" t="n">
        <x:v>3</x:v>
      </x:c>
      <x:c r="K1489" s="2" t="n">
        <x:v>4</x:v>
      </x:c>
      <x:c r="L1489" s="2" t="str">
        <x:v>Loyal</x:v>
      </x:c>
    </x:row>
    <x:row r="1490" ht="22" customHeight="1">
      <x:c r="A1490" s="2"/>
      <x:c r="B1490" s="2" t="str">
        <x:v>13815</x:v>
      </x:c>
      <x:c r="C1490" s="2" t="str">
        <x:v>Germany</x:v>
      </x:c>
      <x:c r="D1490" s="25" t="n">
        <x:v>40221.22638888889</x:v>
      </x:c>
      <x:c r="E1490" s="25" t="n">
        <x:v>40864.388194444444</x:v>
      </x:c>
      <x:c r="F1490" s="2" t="n">
        <x:v>23</x:v>
      </x:c>
      <x:c r="G1490" s="2" t="n">
        <x:v>8</x:v>
      </x:c>
      <x:c r="H1490" s="11" t="n">
        <x:v>7475.74</x:v>
      </x:c>
      <x:c r="I1490" s="2" t="n">
        <x:v>4</x:v>
      </x:c>
      <x:c r="J1490" s="2" t="n">
        <x:v>4</x:v>
      </x:c>
      <x:c r="K1490" s="2" t="n">
        <x:v>5</x:v>
      </x:c>
      <x:c r="L1490" s="2" t="str">
        <x:v>Champions</x:v>
      </x:c>
    </x:row>
    <x:row r="1491" ht="22" customHeight="1">
      <x:c r="A1491" s="2"/>
      <x:c r="B1491" s="2" t="str">
        <x:v>13816</x:v>
      </x:c>
      <x:c r="C1491" s="2" t="str">
        <x:v>Germany</x:v>
      </x:c>
      <x:c r="D1491" s="25" t="n">
        <x:v>40822.40069444444</x:v>
      </x:c>
      <x:c r="E1491" s="25" t="n">
        <x:v>40863.15138888889</x:v>
      </x:c>
      <x:c r="F1491" s="2" t="n">
        <x:v>24</x:v>
      </x:c>
      <x:c r="G1491" s="2" t="n">
        <x:v>2</x:v>
      </x:c>
      <x:c r="H1491" s="11" t="n">
        <x:v>571.67</x:v>
      </x:c>
      <x:c r="I1491" s="2" t="n">
        <x:v>4</x:v>
      </x:c>
      <x:c r="J1491" s="2" t="n">
        <x:v>2</x:v>
      </x:c>
      <x:c r="K1491" s="2" t="n">
        <x:v>2</x:v>
      </x:c>
      <x:c r="L1491" s="2" t="str">
        <x:v>Recent light buyers</x:v>
      </x:c>
    </x:row>
    <x:row r="1492" ht="22" customHeight="1">
      <x:c r="A1492" s="2"/>
      <x:c r="B1492" s="2" t="str">
        <x:v>13817</x:v>
      </x:c>
      <x:c r="C1492" s="2" t="str">
        <x:v>Germany</x:v>
      </x:c>
      <x:c r="D1492" s="25" t="n">
        <x:v>40535.28194444445</x:v>
      </x:c>
      <x:c r="E1492" s="25" t="n">
        <x:v>40857.53402777778</x:v>
      </x:c>
      <x:c r="F1492" s="2" t="n">
        <x:v>30</x:v>
      </x:c>
      <x:c r="G1492" s="2" t="n">
        <x:v>2</x:v>
      </x:c>
      <x:c r="H1492" s="11" t="n">
        <x:v>382.98</x:v>
      </x:c>
      <x:c r="I1492" s="2" t="n">
        <x:v>4</x:v>
      </x:c>
      <x:c r="J1492" s="2" t="n">
        <x:v>2</x:v>
      </x:c>
      <x:c r="K1492" s="2" t="n">
        <x:v>2</x:v>
      </x:c>
      <x:c r="L1492" s="2" t="str">
        <x:v>Recent light buyers</x:v>
      </x:c>
    </x:row>
    <x:row r="1493" ht="22" customHeight="1">
      <x:c r="A1493" s="2"/>
      <x:c r="B1493" s="2" t="str">
        <x:v>13818</x:v>
      </x:c>
      <x:c r="C1493" s="2" t="str">
        <x:v>United Kingdom</x:v>
      </x:c>
      <x:c r="D1493" s="25" t="n">
        <x:v>40457.31597222222</x:v>
      </x:c>
      <x:c r="E1493" s="25" t="n">
        <x:v>40457.31597222222</x:v>
      </x:c>
      <x:c r="F1493" s="2" t="n">
        <x:v>430</x:v>
      </x:c>
      <x:c r="G1493" s="2" t="n">
        <x:v>1</x:v>
      </x:c>
      <x:c r="H1493" s="11" t="n">
        <x:v>61.28</x:v>
      </x:c>
      <x:c r="I1493" s="2" t="n">
        <x:v>1</x:v>
      </x:c>
      <x:c r="J1493" s="2" t="n">
        <x:v>1</x:v>
      </x:c>
      <x:c r="K1493" s="2" t="n">
        <x:v>1</x:v>
      </x:c>
      <x:c r="L1493" s="2" t="str">
        <x:v>Hibernating</x:v>
      </x:c>
    </x:row>
    <x:row r="1494" ht="22" customHeight="1">
      <x:c r="A1494" s="2"/>
      <x:c r="B1494" s="2" t="str">
        <x:v>13819</x:v>
      </x:c>
      <x:c r="C1494" s="2" t="str">
        <x:v>United Kingdom</x:v>
      </x:c>
      <x:c r="D1494" s="25" t="n">
        <x:v>40148.47083333333</x:v>
      </x:c>
      <x:c r="E1494" s="25" t="n">
        <x:v>40585.23472222222</x:v>
      </x:c>
      <x:c r="F1494" s="2" t="n">
        <x:v>302</x:v>
      </x:c>
      <x:c r="G1494" s="2" t="n">
        <x:v>6</x:v>
      </x:c>
      <x:c r="H1494" s="11" t="n">
        <x:v>2642.35</x:v>
      </x:c>
      <x:c r="I1494" s="2" t="n">
        <x:v>2</x:v>
      </x:c>
      <x:c r="J1494" s="2" t="n">
        <x:v>4</x:v>
      </x:c>
      <x:c r="K1494" s="2" t="n">
        <x:v>4</x:v>
      </x:c>
      <x:c r="L1494" s="2" t="str">
        <x:v>At risk</x:v>
      </x:c>
    </x:row>
    <x:row r="1495" ht="22" customHeight="1">
      <x:c r="A1495" s="2"/>
      <x:c r="B1495" s="2" t="str">
        <x:v>13820</x:v>
      </x:c>
      <x:c r="C1495" s="2" t="str">
        <x:v>United Kingdom</x:v>
      </x:c>
      <x:c r="D1495" s="25" t="n">
        <x:v>40206.30972222222</x:v>
      </x:c>
      <x:c r="E1495" s="25" t="n">
        <x:v>40468.365277777775</x:v>
      </x:c>
      <x:c r="F1495" s="2" t="n">
        <x:v>419</x:v>
      </x:c>
      <x:c r="G1495" s="2" t="n">
        <x:v>3</x:v>
      </x:c>
      <x:c r="H1495" s="11" t="n">
        <x:v>660.65</x:v>
      </x:c>
      <x:c r="I1495" s="2" t="n">
        <x:v>1</x:v>
      </x:c>
      <x:c r="J1495" s="2" t="n">
        <x:v>3</x:v>
      </x:c>
      <x:c r="K1495" s="2" t="n">
        <x:v>3</x:v>
      </x:c>
      <x:c r="L1495" s="2" t="str">
        <x:v>At risk</x:v>
      </x:c>
    </x:row>
    <x:row r="1496" ht="22" customHeight="1">
      <x:c r="A1496" s="2"/>
      <x:c r="B1496" s="2" t="str">
        <x:v>13821</x:v>
      </x:c>
      <x:c r="C1496" s="2" t="str">
        <x:v>United Kingdom</x:v>
      </x:c>
      <x:c r="D1496" s="25" t="n">
        <x:v>40182.35833333333</x:v>
      </x:c>
      <x:c r="E1496" s="25" t="n">
        <x:v>40742.200694444444</x:v>
      </x:c>
      <x:c r="F1496" s="2" t="n">
        <x:v>145</x:v>
      </x:c>
      <x:c r="G1496" s="2" t="n">
        <x:v>6</x:v>
      </x:c>
      <x:c r="H1496" s="11" t="n">
        <x:v>1410.73</x:v>
      </x:c>
      <x:c r="I1496" s="2" t="n">
        <x:v>3</x:v>
      </x:c>
      <x:c r="J1496" s="2" t="n">
        <x:v>4</x:v>
      </x:c>
      <x:c r="K1496" s="2" t="n">
        <x:v>4</x:v>
      </x:c>
      <x:c r="L1496" s="2" t="str">
        <x:v>Loyal</x:v>
      </x:c>
    </x:row>
    <x:row r="1497" ht="22" customHeight="1">
      <x:c r="A1497" s="2"/>
      <x:c r="B1497" s="2" t="str">
        <x:v>13822</x:v>
      </x:c>
      <x:c r="C1497" s="2" t="str">
        <x:v>United Kingdom</x:v>
      </x:c>
      <x:c r="D1497" s="25" t="n">
        <x:v>40846.45486111111</x:v>
      </x:c>
      <x:c r="E1497" s="25" t="n">
        <x:v>40881.30069444444</x:v>
      </x:c>
      <x:c r="F1497" s="2" t="n">
        <x:v>6</x:v>
      </x:c>
      <x:c r="G1497" s="2" t="n">
        <x:v>2</x:v>
      </x:c>
      <x:c r="H1497" s="11" t="n">
        <x:v>632</x:v>
      </x:c>
      <x:c r="I1497" s="2" t="n">
        <x:v>5</x:v>
      </x:c>
      <x:c r="J1497" s="2" t="n">
        <x:v>2</x:v>
      </x:c>
      <x:c r="K1497" s="2" t="n">
        <x:v>3</x:v>
      </x:c>
      <x:c r="L1497" s="2" t="str">
        <x:v>Recent light buyers</x:v>
      </x:c>
    </x:row>
    <x:row r="1498" ht="22" customHeight="1">
      <x:c r="A1498" s="2"/>
      <x:c r="B1498" s="2" t="str">
        <x:v>13823</x:v>
      </x:c>
      <x:c r="C1498" s="2" t="str">
        <x:v>United Kingdom</x:v>
      </x:c>
      <x:c r="D1498" s="25" t="n">
        <x:v>40162.39861111111</x:v>
      </x:c>
      <x:c r="E1498" s="25" t="n">
        <x:v>40868.22361111111</x:v>
      </x:c>
      <x:c r="F1498" s="2" t="n">
        <x:v>19</x:v>
      </x:c>
      <x:c r="G1498" s="2" t="n">
        <x:v>7</x:v>
      </x:c>
      <x:c r="H1498" s="11" t="n">
        <x:v>3403.45</x:v>
      </x:c>
      <x:c r="I1498" s="2" t="n">
        <x:v>5</x:v>
      </x:c>
      <x:c r="J1498" s="2" t="n">
        <x:v>4</x:v>
      </x:c>
      <x:c r="K1498" s="2" t="n">
        <x:v>5</x:v>
      </x:c>
      <x:c r="L1498" s="2" t="str">
        <x:v>Champions</x:v>
      </x:c>
    </x:row>
    <x:row r="1499" ht="22" customHeight="1">
      <x:c r="A1499" s="2"/>
      <x:c r="B1499" s="2" t="str">
        <x:v>13824</x:v>
      </x:c>
      <x:c r="C1499" s="2" t="str">
        <x:v>United Kingdom</x:v>
      </x:c>
      <x:c r="D1499" s="25" t="n">
        <x:v>40249.42847222222</x:v>
      </x:c>
      <x:c r="E1499" s="25" t="n">
        <x:v>40854.32013888889</x:v>
      </x:c>
      <x:c r="F1499" s="2" t="n">
        <x:v>33</x:v>
      </x:c>
      <x:c r="G1499" s="2" t="n">
        <x:v>12</x:v>
      </x:c>
      <x:c r="H1499" s="11" t="n">
        <x:v>3314.76</x:v>
      </x:c>
      <x:c r="I1499" s="2" t="n">
        <x:v>4</x:v>
      </x:c>
      <x:c r="J1499" s="2" t="n">
        <x:v>5</x:v>
      </x:c>
      <x:c r="K1499" s="2" t="n">
        <x:v>5</x:v>
      </x:c>
      <x:c r="L1499" s="2" t="str">
        <x:v>Champions</x:v>
      </x:c>
    </x:row>
    <x:row r="1500" ht="22" customHeight="1">
      <x:c r="A1500" s="2"/>
      <x:c r="B1500" s="2" t="str">
        <x:v>13825</x:v>
      </x:c>
      <x:c r="C1500" s="2" t="str">
        <x:v>United Kingdom</x:v>
      </x:c>
      <x:c r="D1500" s="25" t="n">
        <x:v>40156.395833333336</x:v>
      </x:c>
      <x:c r="E1500" s="25" t="n">
        <x:v>40265.251388888886</x:v>
      </x:c>
      <x:c r="F1500" s="2" t="n">
        <x:v>622</x:v>
      </x:c>
      <x:c r="G1500" s="2" t="n">
        <x:v>2</x:v>
      </x:c>
      <x:c r="H1500" s="11" t="n">
        <x:v>255.59</x:v>
      </x:c>
      <x:c r="I1500" s="2" t="n">
        <x:v>1</x:v>
      </x:c>
      <x:c r="J1500" s="2" t="n">
        <x:v>2</x:v>
      </x:c>
      <x:c r="K1500" s="2" t="n">
        <x:v>1</x:v>
      </x:c>
      <x:c r="L1500" s="2" t="str">
        <x:v>Hibernating</x:v>
      </x:c>
    </x:row>
    <x:row r="1501" ht="22" customHeight="1">
      <x:c r="A1501" s="2"/>
      <x:c r="B1501" s="2" t="str">
        <x:v>13826</x:v>
      </x:c>
      <x:c r="C1501" s="2" t="str">
        <x:v>United Kingdom</x:v>
      </x:c>
      <x:c r="D1501" s="25" t="n">
        <x:v>40710.36666666667</x:v>
      </x:c>
      <x:c r="E1501" s="25" t="n">
        <x:v>40710.36666666667</x:v>
      </x:c>
      <x:c r="F1501" s="2" t="n">
        <x:v>177</x:v>
      </x:c>
      <x:c r="G1501" s="2" t="n">
        <x:v>1</x:v>
      </x:c>
      <x:c r="H1501" s="11" t="n">
        <x:v>189.5</x:v>
      </x:c>
      <x:c r="I1501" s="2" t="n">
        <x:v>3</x:v>
      </x:c>
      <x:c r="J1501" s="2" t="n">
        <x:v>1</x:v>
      </x:c>
      <x:c r="K1501" s="2" t="n">
        <x:v>1</x:v>
      </x:c>
      <x:c r="L1501" s="2" t="str">
        <x:v>Developing</x:v>
      </x:c>
    </x:row>
    <x:row r="1502" ht="22" customHeight="1">
      <x:c r="A1502" s="2"/>
      <x:c r="B1502" s="2" t="str">
        <x:v>13827</x:v>
      </x:c>
      <x:c r="C1502" s="2" t="str">
        <x:v>United Kingdom</x:v>
      </x:c>
      <x:c r="D1502" s="25" t="n">
        <x:v>40743.44305555556</x:v>
      </x:c>
      <x:c r="E1502" s="25" t="n">
        <x:v>40829.31805555556</x:v>
      </x:c>
      <x:c r="F1502" s="2" t="n">
        <x:v>58</x:v>
      </x:c>
      <x:c r="G1502" s="2" t="n">
        <x:v>3</x:v>
      </x:c>
      <x:c r="H1502" s="11" t="n">
        <x:v>412.05</x:v>
      </x:c>
      <x:c r="I1502" s="2" t="n">
        <x:v>4</x:v>
      </x:c>
      <x:c r="J1502" s="2" t="n">
        <x:v>3</x:v>
      </x:c>
      <x:c r="K1502" s="2" t="n">
        <x:v>2</x:v>
      </x:c>
      <x:c r="L1502" s="2" t="str">
        <x:v>Loyal</x:v>
      </x:c>
    </x:row>
    <x:row r="1503" ht="22" customHeight="1">
      <x:c r="A1503" s="2"/>
      <x:c r="B1503" s="2" t="str">
        <x:v>13828</x:v>
      </x:c>
      <x:c r="C1503" s="2" t="str">
        <x:v>United Kingdom</x:v>
      </x:c>
      <x:c r="D1503" s="25" t="n">
        <x:v>40864.45972222222</x:v>
      </x:c>
      <x:c r="E1503" s="25" t="n">
        <x:v>40864.45972222222</x:v>
      </x:c>
      <x:c r="F1503" s="2" t="n">
        <x:v>23</x:v>
      </x:c>
      <x:c r="G1503" s="2" t="n">
        <x:v>1</x:v>
      </x:c>
      <x:c r="H1503" s="11" t="n">
        <x:v>209.49</x:v>
      </x:c>
      <x:c r="I1503" s="2" t="n">
        <x:v>4</x:v>
      </x:c>
      <x:c r="J1503" s="2" t="n">
        <x:v>1</x:v>
      </x:c>
      <x:c r="K1503" s="2" t="n">
        <x:v>1</x:v>
      </x:c>
      <x:c r="L1503" s="2" t="str">
        <x:v>Recent light buyers</x:v>
      </x:c>
    </x:row>
    <x:row r="1504" ht="22" customHeight="1">
      <x:c r="A1504" s="2"/>
      <x:c r="B1504" s="2" t="str">
        <x:v>13829</x:v>
      </x:c>
      <x:c r="C1504" s="2" t="str">
        <x:v>United Kingdom</x:v>
      </x:c>
      <x:c r="D1504" s="25" t="n">
        <x:v>40465.55486111111</x:v>
      </x:c>
      <x:c r="E1504" s="25" t="n">
        <x:v>40465.55486111111</x:v>
      </x:c>
      <x:c r="F1504" s="2" t="n">
        <x:v>422</x:v>
      </x:c>
      <x:c r="G1504" s="2" t="n">
        <x:v>1</x:v>
      </x:c>
      <x:c r="H1504" s="11" t="n">
        <x:v>102</x:v>
      </x:c>
      <x:c r="I1504" s="2" t="n">
        <x:v>1</x:v>
      </x:c>
      <x:c r="J1504" s="2" t="n">
        <x:v>1</x:v>
      </x:c>
      <x:c r="K1504" s="2" t="n">
        <x:v>1</x:v>
      </x:c>
      <x:c r="L1504" s="2" t="str">
        <x:v>Hibernating</x:v>
      </x:c>
    </x:row>
    <x:row r="1505" ht="22" customHeight="1">
      <x:c r="A1505" s="2"/>
      <x:c r="B1505" s="2" t="str">
        <x:v>13830</x:v>
      </x:c>
      <x:c r="C1505" s="2" t="str">
        <x:v>United Kingdom</x:v>
      </x:c>
      <x:c r="D1505" s="25" t="n">
        <x:v>40305.308333333334</x:v>
      </x:c>
      <x:c r="E1505" s="25" t="n">
        <x:v>40305.308333333334</x:v>
      </x:c>
      <x:c r="F1505" s="2" t="n">
        <x:v>582</x:v>
      </x:c>
      <x:c r="G1505" s="2" t="n">
        <x:v>1</x:v>
      </x:c>
      <x:c r="H1505" s="11" t="n">
        <x:v>156.85</x:v>
      </x:c>
      <x:c r="I1505" s="2" t="n">
        <x:v>1</x:v>
      </x:c>
      <x:c r="J1505" s="2" t="n">
        <x:v>1</x:v>
      </x:c>
      <x:c r="K1505" s="2" t="n">
        <x:v>1</x:v>
      </x:c>
      <x:c r="L1505" s="2" t="str">
        <x:v>Hibernating</x:v>
      </x:c>
    </x:row>
    <x:row r="1506" ht="22" customHeight="1">
      <x:c r="A1506" s="2"/>
      <x:c r="B1506" s="2" t="str">
        <x:v>13831</x:v>
      </x:c>
      <x:c r="C1506" s="2" t="str">
        <x:v>United Kingdom</x:v>
      </x:c>
      <x:c r="D1506" s="25" t="n">
        <x:v>40157.40972222222</x:v>
      </x:c>
      <x:c r="E1506" s="25" t="n">
        <x:v>40870.44513888889</x:v>
      </x:c>
      <x:c r="F1506" s="2" t="n">
        <x:v>17</x:v>
      </x:c>
      <x:c r="G1506" s="2" t="n">
        <x:v>18</x:v>
      </x:c>
      <x:c r="H1506" s="11" t="n">
        <x:v>6615.58</x:v>
      </x:c>
      <x:c r="I1506" s="2" t="n">
        <x:v>5</x:v>
      </x:c>
      <x:c r="J1506" s="2" t="n">
        <x:v>5</x:v>
      </x:c>
      <x:c r="K1506" s="2" t="n">
        <x:v>5</x:v>
      </x:c>
      <x:c r="L1506" s="2" t="str">
        <x:v>Champions</x:v>
      </x:c>
    </x:row>
    <x:row r="1507" ht="22" customHeight="1">
      <x:c r="A1507" s="2"/>
      <x:c r="B1507" s="2" t="str">
        <x:v>13832</x:v>
      </x:c>
      <x:c r="C1507" s="2" t="str">
        <x:v>United Kingdom</x:v>
      </x:c>
      <x:c r="D1507" s="25" t="n">
        <x:v>40464.40347222222</x:v>
      </x:c>
      <x:c r="E1507" s="25" t="n">
        <x:v>40867.441666666666</x:v>
      </x:c>
      <x:c r="F1507" s="2" t="n">
        <x:v>20</x:v>
      </x:c>
      <x:c r="G1507" s="2" t="n">
        <x:v>2</x:v>
      </x:c>
      <x:c r="H1507" s="11" t="n">
        <x:v>613.69</x:v>
      </x:c>
      <x:c r="I1507" s="2" t="n">
        <x:v>5</x:v>
      </x:c>
      <x:c r="J1507" s="2" t="n">
        <x:v>2</x:v>
      </x:c>
      <x:c r="K1507" s="2" t="n">
        <x:v>3</x:v>
      </x:c>
      <x:c r="L1507" s="2" t="str">
        <x:v>Recent light buyers</x:v>
      </x:c>
    </x:row>
    <x:row r="1508" ht="22" customHeight="1">
      <x:c r="A1508" s="2"/>
      <x:c r="B1508" s="2" t="str">
        <x:v>13833</x:v>
      </x:c>
      <x:c r="C1508" s="2" t="str">
        <x:v>United Kingdom</x:v>
      </x:c>
      <x:c r="D1508" s="25" t="n">
        <x:v>40482.38263888889</x:v>
      </x:c>
      <x:c r="E1508" s="25" t="n">
        <x:v>40727.35208333333</x:v>
      </x:c>
      <x:c r="F1508" s="2" t="n">
        <x:v>160</x:v>
      </x:c>
      <x:c r="G1508" s="2" t="n">
        <x:v>2</x:v>
      </x:c>
      <x:c r="H1508" s="11" t="n">
        <x:v>701.36</x:v>
      </x:c>
      <x:c r="I1508" s="2" t="n">
        <x:v>3</x:v>
      </x:c>
      <x:c r="J1508" s="2" t="n">
        <x:v>2</x:v>
      </x:c>
      <x:c r="K1508" s="2" t="n">
        <x:v>3</x:v>
      </x:c>
      <x:c r="L1508" s="2" t="str">
        <x:v>Developing</x:v>
      </x:c>
    </x:row>
    <x:row r="1509" ht="22" customHeight="1">
      <x:c r="A1509" s="2"/>
      <x:c r="B1509" s="2" t="str">
        <x:v>13834</x:v>
      </x:c>
      <x:c r="C1509" s="2" t="str">
        <x:v>United Kingdom</x:v>
      </x:c>
      <x:c r="D1509" s="25" t="n">
        <x:v>40217.32777777778</x:v>
      </x:c>
      <x:c r="E1509" s="25" t="n">
        <x:v>40310.22708333333</x:v>
      </x:c>
      <x:c r="F1509" s="2" t="n">
        <x:v>577</x:v>
      </x:c>
      <x:c r="G1509" s="2" t="n">
        <x:v>2</x:v>
      </x:c>
      <x:c r="H1509" s="11" t="n">
        <x:v>324.19</x:v>
      </x:c>
      <x:c r="I1509" s="2" t="n">
        <x:v>1</x:v>
      </x:c>
      <x:c r="J1509" s="2" t="n">
        <x:v>2</x:v>
      </x:c>
      <x:c r="K1509" s="2" t="n">
        <x:v>2</x:v>
      </x:c>
      <x:c r="L1509" s="2" t="str">
        <x:v>Hibernating</x:v>
      </x:c>
    </x:row>
    <x:row r="1510" ht="22" customHeight="1">
      <x:c r="A1510" s="2"/>
      <x:c r="B1510" s="2" t="str">
        <x:v>13835</x:v>
      </x:c>
      <x:c r="C1510" s="2" t="str">
        <x:v>United Kingdom</x:v>
      </x:c>
      <x:c r="D1510" s="25" t="n">
        <x:v>40241.143055555556</x:v>
      </x:c>
      <x:c r="E1510" s="25" t="n">
        <x:v>40861.44236111111</x:v>
      </x:c>
      <x:c r="F1510" s="2" t="n">
        <x:v>26</x:v>
      </x:c>
      <x:c r="G1510" s="2" t="n">
        <x:v>7</x:v>
      </x:c>
      <x:c r="H1510" s="11" t="n">
        <x:v>1095.27</x:v>
      </x:c>
      <x:c r="I1510" s="2" t="n">
        <x:v>4</x:v>
      </x:c>
      <x:c r="J1510" s="2" t="n">
        <x:v>4</x:v>
      </x:c>
      <x:c r="K1510" s="2" t="n">
        <x:v>3</x:v>
      </x:c>
      <x:c r="L1510" s="2" t="str">
        <x:v>Loyal</x:v>
      </x:c>
    </x:row>
    <x:row r="1511" ht="22" customHeight="1">
      <x:c r="A1511" s="2"/>
      <x:c r="B1511" s="2" t="str">
        <x:v>13836</x:v>
      </x:c>
      <x:c r="C1511" s="2" t="str">
        <x:v>United Kingdom</x:v>
      </x:c>
      <x:c r="D1511" s="25" t="n">
        <x:v>40472.35208333333</x:v>
      </x:c>
      <x:c r="E1511" s="25" t="n">
        <x:v>40487.35486111111</x:v>
      </x:c>
      <x:c r="F1511" s="2" t="n">
        <x:v>400</x:v>
      </x:c>
      <x:c r="G1511" s="2" t="n">
        <x:v>2</x:v>
      </x:c>
      <x:c r="H1511" s="11" t="n">
        <x:v>620.37</x:v>
      </x:c>
      <x:c r="I1511" s="2" t="n">
        <x:v>2</x:v>
      </x:c>
      <x:c r="J1511" s="2" t="n">
        <x:v>2</x:v>
      </x:c>
      <x:c r="K1511" s="2" t="n">
        <x:v>3</x:v>
      </x:c>
      <x:c r="L1511" s="2" t="str">
        <x:v>Hibernating</x:v>
      </x:c>
    </x:row>
    <x:row r="1512" ht="22" customHeight="1">
      <x:c r="A1512" s="2"/>
      <x:c r="B1512" s="2" t="str">
        <x:v>13837</x:v>
      </x:c>
      <x:c r="C1512" s="2" t="str">
        <x:v>United Kingdom</x:v>
      </x:c>
      <x:c r="D1512" s="25" t="n">
        <x:v>40569.302083333336</x:v>
      </x:c>
      <x:c r="E1512" s="25" t="n">
        <x:v>40675.29861111111</x:v>
      </x:c>
      <x:c r="F1512" s="2" t="n">
        <x:v>212</x:v>
      </x:c>
      <x:c r="G1512" s="2" t="n">
        <x:v>2</x:v>
      </x:c>
      <x:c r="H1512" s="11" t="n">
        <x:v>271.24</x:v>
      </x:c>
      <x:c r="I1512" s="2" t="n">
        <x:v>2</x:v>
      </x:c>
      <x:c r="J1512" s="2" t="n">
        <x:v>2</x:v>
      </x:c>
      <x:c r="K1512" s="2" t="n">
        <x:v>1</x:v>
      </x:c>
      <x:c r="L1512" s="2" t="str">
        <x:v>Hibernating</x:v>
      </x:c>
    </x:row>
    <x:row r="1513" ht="22" customHeight="1">
      <x:c r="A1513" s="2"/>
      <x:c r="B1513" s="2" t="str">
        <x:v>13838</x:v>
      </x:c>
      <x:c r="C1513" s="2" t="str">
        <x:v>United Kingdom</x:v>
      </x:c>
      <x:c r="D1513" s="25" t="n">
        <x:v>40307.27777777778</x:v>
      </x:c>
      <x:c r="E1513" s="25" t="n">
        <x:v>40881.25</x:v>
      </x:c>
      <x:c r="F1513" s="2" t="n">
        <x:v>6</x:v>
      </x:c>
      <x:c r="G1513" s="2" t="n">
        <x:v>10</x:v>
      </x:c>
      <x:c r="H1513" s="11" t="n">
        <x:v>1727.98</x:v>
      </x:c>
      <x:c r="I1513" s="2" t="n">
        <x:v>5</x:v>
      </x:c>
      <x:c r="J1513" s="2" t="n">
        <x:v>5</x:v>
      </x:c>
      <x:c r="K1513" s="2" t="n">
        <x:v>4</x:v>
      </x:c>
      <x:c r="L1513" s="2" t="str">
        <x:v>Champions</x:v>
      </x:c>
    </x:row>
    <x:row r="1514" ht="22" customHeight="1">
      <x:c r="A1514" s="2"/>
      <x:c r="B1514" s="2" t="str">
        <x:v>13839</x:v>
      </x:c>
      <x:c r="C1514" s="2" t="str">
        <x:v>United Kingdom</x:v>
      </x:c>
      <x:c r="D1514" s="25" t="n">
        <x:v>40400.36944444444</x:v>
      </x:c>
      <x:c r="E1514" s="25" t="n">
        <x:v>40400.36944444444</x:v>
      </x:c>
      <x:c r="F1514" s="2" t="n">
        <x:v>487</x:v>
      </x:c>
      <x:c r="G1514" s="2" t="n">
        <x:v>1</x:v>
      </x:c>
      <x:c r="H1514" s="11" t="n">
        <x:v>139.95</x:v>
      </x:c>
      <x:c r="I1514" s="2" t="n">
        <x:v>1</x:v>
      </x:c>
      <x:c r="J1514" s="2" t="n">
        <x:v>1</x:v>
      </x:c>
      <x:c r="K1514" s="2" t="n">
        <x:v>1</x:v>
      </x:c>
      <x:c r="L1514" s="2" t="str">
        <x:v>Hibernating</x:v>
      </x:c>
    </x:row>
    <x:row r="1515" ht="22" customHeight="1">
      <x:c r="A1515" s="2"/>
      <x:c r="B1515" s="2" t="str">
        <x:v>13840</x:v>
      </x:c>
      <x:c r="C1515" s="2" t="str">
        <x:v>United Kingdom</x:v>
      </x:c>
      <x:c r="D1515" s="25" t="n">
        <x:v>40470.356944444444</x:v>
      </x:c>
      <x:c r="E1515" s="25" t="n">
        <x:v>40470.356944444444</x:v>
      </x:c>
      <x:c r="F1515" s="2" t="n">
        <x:v>417</x:v>
      </x:c>
      <x:c r="G1515" s="2" t="n">
        <x:v>1</x:v>
      </x:c>
      <x:c r="H1515" s="11" t="n">
        <x:v>651.4</x:v>
      </x:c>
      <x:c r="I1515" s="2" t="n">
        <x:v>1</x:v>
      </x:c>
      <x:c r="J1515" s="2" t="n">
        <x:v>1</x:v>
      </x:c>
      <x:c r="K1515" s="2" t="n">
        <x:v>3</x:v>
      </x:c>
      <x:c r="L1515" s="2" t="str">
        <x:v>Hibernating</x:v>
      </x:c>
    </x:row>
    <x:row r="1516" ht="22" customHeight="1">
      <x:c r="A1516" s="2"/>
      <x:c r="B1516" s="2" t="str">
        <x:v>13841</x:v>
      </x:c>
      <x:c r="C1516" s="2" t="str">
        <x:v>United Kingdom</x:v>
      </x:c>
      <x:c r="D1516" s="25" t="n">
        <x:v>40634.29861111111</x:v>
      </x:c>
      <x:c r="E1516" s="25" t="n">
        <x:v>40634.29861111111</x:v>
      </x:c>
      <x:c r="F1516" s="2" t="n">
        <x:v>253</x:v>
      </x:c>
      <x:c r="G1516" s="2" t="n">
        <x:v>1</x:v>
      </x:c>
      <x:c r="H1516" s="11" t="n">
        <x:v>85</x:v>
      </x:c>
      <x:c r="I1516" s="2" t="n">
        <x:v>2</x:v>
      </x:c>
      <x:c r="J1516" s="2" t="n">
        <x:v>1</x:v>
      </x:c>
      <x:c r="K1516" s="2" t="n">
        <x:v>1</x:v>
      </x:c>
      <x:c r="L1516" s="2" t="str">
        <x:v>Hibernating</x:v>
      </x:c>
    </x:row>
    <x:row r="1517" ht="22" customHeight="1">
      <x:c r="A1517" s="2"/>
      <x:c r="B1517" s="2" t="str">
        <x:v>13842</x:v>
      </x:c>
      <x:c r="C1517" s="2" t="str">
        <x:v>United Kingdom</x:v>
      </x:c>
      <x:c r="D1517" s="25" t="n">
        <x:v>40225.45416666667</x:v>
      </x:c>
      <x:c r="E1517" s="25" t="n">
        <x:v>40828.24375</x:v>
      </x:c>
      <x:c r="F1517" s="2" t="n">
        <x:v>59</x:v>
      </x:c>
      <x:c r="G1517" s="2" t="n">
        <x:v>18</x:v>
      </x:c>
      <x:c r="H1517" s="11" t="n">
        <x:v>5319.34</x:v>
      </x:c>
      <x:c r="I1517" s="2" t="n">
        <x:v>4</x:v>
      </x:c>
      <x:c r="J1517" s="2" t="n">
        <x:v>5</x:v>
      </x:c>
      <x:c r="K1517" s="2" t="n">
        <x:v>5</x:v>
      </x:c>
      <x:c r="L1517" s="2" t="str">
        <x:v>Champions</x:v>
      </x:c>
    </x:row>
    <x:row r="1518" ht="22" customHeight="1">
      <x:c r="A1518" s="2"/>
      <x:c r="B1518" s="2" t="str">
        <x:v>13843</x:v>
      </x:c>
      <x:c r="C1518" s="2" t="str">
        <x:v>United Kingdom</x:v>
      </x:c>
      <x:c r="D1518" s="25" t="n">
        <x:v>40505.53333333333</x:v>
      </x:c>
      <x:c r="E1518" s="25" t="n">
        <x:v>40505.53333333333</x:v>
      </x:c>
      <x:c r="F1518" s="2" t="n">
        <x:v>382</x:v>
      </x:c>
      <x:c r="G1518" s="2" t="n">
        <x:v>1</x:v>
      </x:c>
      <x:c r="H1518" s="11" t="n">
        <x:v>319.75</x:v>
      </x:c>
      <x:c r="I1518" s="2" t="n">
        <x:v>2</x:v>
      </x:c>
      <x:c r="J1518" s="2" t="n">
        <x:v>1</x:v>
      </x:c>
      <x:c r="K1518" s="2" t="n">
        <x:v>2</x:v>
      </x:c>
      <x:c r="L1518" s="2" t="str">
        <x:v>Hibernating</x:v>
      </x:c>
    </x:row>
    <x:row r="1519" ht="22" customHeight="1">
      <x:c r="A1519" s="2"/>
      <x:c r="B1519" s="2" t="str">
        <x:v>13844</x:v>
      </x:c>
      <x:c r="C1519" s="2" t="str">
        <x:v>United Kingdom</x:v>
      </x:c>
      <x:c r="D1519" s="25" t="n">
        <x:v>40875.347916666666</x:v>
      </x:c>
      <x:c r="E1519" s="25" t="n">
        <x:v>40875.347916666666</x:v>
      </x:c>
      <x:c r="F1519" s="2" t="n">
        <x:v>12</x:v>
      </x:c>
      <x:c r="G1519" s="2" t="n">
        <x:v>1</x:v>
      </x:c>
      <x:c r="H1519" s="11" t="n">
        <x:v>361.62</x:v>
      </x:c>
      <x:c r="I1519" s="2" t="n">
        <x:v>5</x:v>
      </x:c>
      <x:c r="J1519" s="2" t="n">
        <x:v>1</x:v>
      </x:c>
      <x:c r="K1519" s="2" t="n">
        <x:v>2</x:v>
      </x:c>
      <x:c r="L1519" s="2" t="str">
        <x:v>Recent light buyers</x:v>
      </x:c>
    </x:row>
    <x:row r="1520" ht="22" customHeight="1">
      <x:c r="A1520" s="2"/>
      <x:c r="B1520" s="2" t="str">
        <x:v>13845</x:v>
      </x:c>
      <x:c r="C1520" s="2" t="str">
        <x:v>United Kingdom</x:v>
      </x:c>
      <x:c r="D1520" s="25" t="n">
        <x:v>40822.14236111111</x:v>
      </x:c>
      <x:c r="E1520" s="25" t="n">
        <x:v>40822.14236111111</x:v>
      </x:c>
      <x:c r="F1520" s="2" t="n">
        <x:v>65</x:v>
      </x:c>
      <x:c r="G1520" s="2" t="n">
        <x:v>1</x:v>
      </x:c>
      <x:c r="H1520" s="11" t="n">
        <x:v>312.98</x:v>
      </x:c>
      <x:c r="I1520" s="2" t="n">
        <x:v>3</x:v>
      </x:c>
      <x:c r="J1520" s="2" t="n">
        <x:v>1</x:v>
      </x:c>
      <x:c r="K1520" s="2" t="n">
        <x:v>2</x:v>
      </x:c>
      <x:c r="L1520" s="2" t="str">
        <x:v>Developing</x:v>
      </x:c>
    </x:row>
    <x:row r="1521" ht="22" customHeight="1">
      <x:c r="A1521" s="2"/>
      <x:c r="B1521" s="2" t="str">
        <x:v>13846</x:v>
      </x:c>
      <x:c r="C1521" s="2" t="str">
        <x:v>United Kingdom</x:v>
      </x:c>
      <x:c r="D1521" s="25" t="n">
        <x:v>40487.19930555556</x:v>
      </x:c>
      <x:c r="E1521" s="25" t="n">
        <x:v>40862.29652777778</x:v>
      </x:c>
      <x:c r="F1521" s="2" t="n">
        <x:v>25</x:v>
      </x:c>
      <x:c r="G1521" s="2" t="n">
        <x:v>4</x:v>
      </x:c>
      <x:c r="H1521" s="11" t="n">
        <x:v>1307.79</x:v>
      </x:c>
      <x:c r="I1521" s="2" t="n">
        <x:v>4</x:v>
      </x:c>
      <x:c r="J1521" s="2" t="n">
        <x:v>3</x:v>
      </x:c>
      <x:c r="K1521" s="2" t="n">
        <x:v>4</x:v>
      </x:c>
      <x:c r="L1521" s="2" t="str">
        <x:v>Loyal</x:v>
      </x:c>
    </x:row>
    <x:row r="1522" ht="22" customHeight="1">
      <x:c r="A1522" s="2"/>
      <x:c r="B1522" s="2" t="str">
        <x:v>13847</x:v>
      </x:c>
      <x:c r="C1522" s="2" t="str">
        <x:v>United Kingdom</x:v>
      </x:c>
      <x:c r="D1522" s="25" t="n">
        <x:v>40167.236805555556</x:v>
      </x:c>
      <x:c r="E1522" s="25" t="n">
        <x:v>40167.236805555556</x:v>
      </x:c>
      <x:c r="F1522" s="2" t="n">
        <x:v>720</x:v>
      </x:c>
      <x:c r="G1522" s="2" t="n">
        <x:v>1</x:v>
      </x:c>
      <x:c r="H1522" s="11" t="n">
        <x:v>310.72</x:v>
      </x:c>
      <x:c r="I1522" s="2" t="n">
        <x:v>1</x:v>
      </x:c>
      <x:c r="J1522" s="2" t="n">
        <x:v>1</x:v>
      </x:c>
      <x:c r="K1522" s="2" t="n">
        <x:v>2</x:v>
      </x:c>
      <x:c r="L1522" s="2" t="str">
        <x:v>Hibernating</x:v>
      </x:c>
    </x:row>
    <x:row r="1523" ht="22" customHeight="1">
      <x:c r="A1523" s="2"/>
      <x:c r="B1523" s="2" t="str">
        <x:v>13848</x:v>
      </x:c>
      <x:c r="C1523" s="2" t="str">
        <x:v>United Kingdom</x:v>
      </x:c>
      <x:c r="D1523" s="25" t="n">
        <x:v>40156.470138888886</x:v>
      </x:c>
      <x:c r="E1523" s="25" t="n">
        <x:v>40794.33194444444</x:v>
      </x:c>
      <x:c r="F1523" s="2" t="n">
        <x:v>93</x:v>
      </x:c>
      <x:c r="G1523" s="2" t="n">
        <x:v>8</x:v>
      </x:c>
      <x:c r="H1523" s="11" t="n">
        <x:v>3015</x:v>
      </x:c>
      <x:c r="I1523" s="2" t="n">
        <x:v>3</x:v>
      </x:c>
      <x:c r="J1523" s="2" t="n">
        <x:v>4</x:v>
      </x:c>
      <x:c r="K1523" s="2" t="n">
        <x:v>5</x:v>
      </x:c>
      <x:c r="L1523" s="2" t="str">
        <x:v>Loyal</x:v>
      </x:c>
    </x:row>
    <x:row r="1524" ht="22" customHeight="1">
      <x:c r="A1524" s="2"/>
      <x:c r="B1524" s="2" t="str">
        <x:v>13849</x:v>
      </x:c>
      <x:c r="C1524" s="2" t="str">
        <x:v>United Kingdom</x:v>
      </x:c>
      <x:c r="D1524" s="25" t="n">
        <x:v>40262.29375</x:v>
      </x:c>
      <x:c r="E1524" s="25" t="n">
        <x:v>40835.24930555555</x:v>
      </x:c>
      <x:c r="F1524" s="2" t="n">
        <x:v>52</x:v>
      </x:c>
      <x:c r="G1524" s="2" t="n">
        <x:v>5</x:v>
      </x:c>
      <x:c r="H1524" s="11" t="n">
        <x:v>3469.3</x:v>
      </x:c>
      <x:c r="I1524" s="2" t="n">
        <x:v>4</x:v>
      </x:c>
      <x:c r="J1524" s="2" t="n">
        <x:v>4</x:v>
      </x:c>
      <x:c r="K1524" s="2" t="n">
        <x:v>5</x:v>
      </x:c>
      <x:c r="L1524" s="2" t="str">
        <x:v>Champions</x:v>
      </x:c>
    </x:row>
    <x:row r="1525" ht="22" customHeight="1">
      <x:c r="A1525" s="2"/>
      <x:c r="B1525" s="2" t="str">
        <x:v>13850</x:v>
      </x:c>
      <x:c r="C1525" s="2" t="str">
        <x:v>United Kingdom</x:v>
      </x:c>
      <x:c r="D1525" s="25" t="n">
        <x:v>40757.37777777778</x:v>
      </x:c>
      <x:c r="E1525" s="25" t="n">
        <x:v>40757.37777777778</x:v>
      </x:c>
      <x:c r="F1525" s="2" t="n">
        <x:v>130</x:v>
      </x:c>
      <x:c r="G1525" s="2" t="n">
        <x:v>1</x:v>
      </x:c>
      <x:c r="H1525" s="11" t="n">
        <x:v>1595.48</x:v>
      </x:c>
      <x:c r="I1525" s="2" t="n">
        <x:v>3</x:v>
      </x:c>
      <x:c r="J1525" s="2" t="n">
        <x:v>1</x:v>
      </x:c>
      <x:c r="K1525" s="2" t="n">
        <x:v>4</x:v>
      </x:c>
      <x:c r="L1525" s="2" t="str">
        <x:v>Developing</x:v>
      </x:c>
    </x:row>
    <x:row r="1526" ht="22" customHeight="1">
      <x:c r="A1526" s="2"/>
      <x:c r="B1526" s="2" t="str">
        <x:v>13851</x:v>
      </x:c>
      <x:c r="C1526" s="2" t="str">
        <x:v>United Kingdom</x:v>
      </x:c>
      <x:c r="D1526" s="25" t="n">
        <x:v>40207.2875</x:v>
      </x:c>
      <x:c r="E1526" s="25" t="n">
        <x:v>40791.316666666666</x:v>
      </x:c>
      <x:c r="F1526" s="2" t="n">
        <x:v>96</x:v>
      </x:c>
      <x:c r="G1526" s="2" t="n">
        <x:v>8</x:v>
      </x:c>
      <x:c r="H1526" s="11" t="n">
        <x:v>4606.46</x:v>
      </x:c>
      <x:c r="I1526" s="2" t="n">
        <x:v>3</x:v>
      </x:c>
      <x:c r="J1526" s="2" t="n">
        <x:v>4</x:v>
      </x:c>
      <x:c r="K1526" s="2" t="n">
        <x:v>5</x:v>
      </x:c>
      <x:c r="L1526" s="2" t="str">
        <x:v>Loyal</x:v>
      </x:c>
    </x:row>
    <x:row r="1527" ht="22" customHeight="1">
      <x:c r="A1527" s="2"/>
      <x:c r="B1527" s="2" t="str">
        <x:v>13852</x:v>
      </x:c>
      <x:c r="C1527" s="2" t="str">
        <x:v>United Kingdom</x:v>
      </x:c>
      <x:c r="D1527" s="25" t="n">
        <x:v>40276.17083333333</x:v>
      </x:c>
      <x:c r="E1527" s="25" t="n">
        <x:v>40276.17083333333</x:v>
      </x:c>
      <x:c r="F1527" s="2" t="n">
        <x:v>611</x:v>
      </x:c>
      <x:c r="G1527" s="2" t="n">
        <x:v>1</x:v>
      </x:c>
      <x:c r="H1527" s="11" t="n">
        <x:v>187.35</x:v>
      </x:c>
      <x:c r="I1527" s="2" t="n">
        <x:v>1</x:v>
      </x:c>
      <x:c r="J1527" s="2" t="n">
        <x:v>1</x:v>
      </x:c>
      <x:c r="K1527" s="2" t="n">
        <x:v>1</x:v>
      </x:c>
      <x:c r="L1527" s="2" t="str">
        <x:v>Hibernating</x:v>
      </x:c>
    </x:row>
    <x:row r="1528" ht="22" customHeight="1">
      <x:c r="A1528" s="2"/>
      <x:c r="B1528" s="2" t="str">
        <x:v>13853</x:v>
      </x:c>
      <x:c r="C1528" s="2" t="str">
        <x:v>United Kingdom</x:v>
      </x:c>
      <x:c r="D1528" s="25" t="n">
        <x:v>40829.3875</x:v>
      </x:c>
      <x:c r="E1528" s="25" t="n">
        <x:v>40829.3875</x:v>
      </x:c>
      <x:c r="F1528" s="2" t="n">
        <x:v>58</x:v>
      </x:c>
      <x:c r="G1528" s="2" t="n">
        <x:v>1</x:v>
      </x:c>
      <x:c r="H1528" s="11" t="n">
        <x:v>1090.14</x:v>
      </x:c>
      <x:c r="I1528" s="2" t="n">
        <x:v>4</x:v>
      </x:c>
      <x:c r="J1528" s="2" t="n">
        <x:v>1</x:v>
      </x:c>
      <x:c r="K1528" s="2" t="n">
        <x:v>3</x:v>
      </x:c>
      <x:c r="L1528" s="2" t="str">
        <x:v>Recent light buyers</x:v>
      </x:c>
    </x:row>
    <x:row r="1529" ht="22" customHeight="1">
      <x:c r="A1529" s="2"/>
      <x:c r="B1529" s="2" t="str">
        <x:v>13854</x:v>
      </x:c>
      <x:c r="C1529" s="2" t="str">
        <x:v>United Kingdom</x:v>
      </x:c>
      <x:c r="D1529" s="25" t="n">
        <x:v>40186.26944444444</x:v>
      </x:c>
      <x:c r="E1529" s="25" t="n">
        <x:v>40878.17083333333</x:v>
      </x:c>
      <x:c r="F1529" s="2" t="n">
        <x:v>9</x:v>
      </x:c>
      <x:c r="G1529" s="2" t="n">
        <x:v>39</x:v>
      </x:c>
      <x:c r="H1529" s="11" t="n">
        <x:v>11944.56</x:v>
      </x:c>
      <x:c r="I1529" s="2" t="n">
        <x:v>5</x:v>
      </x:c>
      <x:c r="J1529" s="2" t="n">
        <x:v>5</x:v>
      </x:c>
      <x:c r="K1529" s="2" t="n">
        <x:v>5</x:v>
      </x:c>
      <x:c r="L1529" s="2" t="str">
        <x:v>Champions</x:v>
      </x:c>
    </x:row>
    <x:row r="1530" ht="22" customHeight="1">
      <x:c r="A1530" s="2"/>
      <x:c r="B1530" s="2" t="str">
        <x:v>13855</x:v>
      </x:c>
      <x:c r="C1530" s="2" t="str">
        <x:v>United Kingdom</x:v>
      </x:c>
      <x:c r="D1530" s="25" t="n">
        <x:v>40155.49722222222</x:v>
      </x:c>
      <x:c r="E1530" s="25" t="n">
        <x:v>40386.20347222222</x:v>
      </x:c>
      <x:c r="F1530" s="2" t="n">
        <x:v>501</x:v>
      </x:c>
      <x:c r="G1530" s="2" t="n">
        <x:v>4</x:v>
      </x:c>
      <x:c r="H1530" s="11" t="n">
        <x:v>1310.34</x:v>
      </x:c>
      <x:c r="I1530" s="2" t="n">
        <x:v>1</x:v>
      </x:c>
      <x:c r="J1530" s="2" t="n">
        <x:v>3</x:v>
      </x:c>
      <x:c r="K1530" s="2" t="n">
        <x:v>4</x:v>
      </x:c>
      <x:c r="L1530" s="2" t="str">
        <x:v>At risk</x:v>
      </x:c>
    </x:row>
    <x:row r="1531" ht="22" customHeight="1">
      <x:c r="A1531" s="2"/>
      <x:c r="B1531" s="2" t="str">
        <x:v>13856</x:v>
      </x:c>
      <x:c r="C1531" s="2" t="str">
        <x:v>United Kingdom</x:v>
      </x:c>
      <x:c r="D1531" s="25" t="n">
        <x:v>40267.444444444445</x:v>
      </x:c>
      <x:c r="E1531" s="25" t="n">
        <x:v>40718.21041666667</x:v>
      </x:c>
      <x:c r="F1531" s="2" t="n">
        <x:v>169</x:v>
      </x:c>
      <x:c r="G1531" s="2" t="n">
        <x:v>11</x:v>
      </x:c>
      <x:c r="H1531" s="11" t="n">
        <x:v>1142.03</x:v>
      </x:c>
      <x:c r="I1531" s="2" t="n">
        <x:v>3</x:v>
      </x:c>
      <x:c r="J1531" s="2" t="n">
        <x:v>5</x:v>
      </x:c>
      <x:c r="K1531" s="2" t="n">
        <x:v>3</x:v>
      </x:c>
      <x:c r="L1531" s="2" t="str">
        <x:v>Loyal</x:v>
      </x:c>
    </x:row>
    <x:row r="1532" ht="22" customHeight="1">
      <x:c r="A1532" s="2"/>
      <x:c r="B1532" s="2" t="str">
        <x:v>13857</x:v>
      </x:c>
      <x:c r="C1532" s="2" t="str">
        <x:v>United Kingdom</x:v>
      </x:c>
      <x:c r="D1532" s="25" t="n">
        <x:v>40315.38958333333</x:v>
      </x:c>
      <x:c r="E1532" s="25" t="n">
        <x:v>40493.32916666667</x:v>
      </x:c>
      <x:c r="F1532" s="2" t="n">
        <x:v>394</x:v>
      </x:c>
      <x:c r="G1532" s="2" t="n">
        <x:v>6</x:v>
      </x:c>
      <x:c r="H1532" s="11" t="n">
        <x:v>1001.01</x:v>
      </x:c>
      <x:c r="I1532" s="2" t="n">
        <x:v>2</x:v>
      </x:c>
      <x:c r="J1532" s="2" t="n">
        <x:v>4</x:v>
      </x:c>
      <x:c r="K1532" s="2" t="n">
        <x:v>3</x:v>
      </x:c>
      <x:c r="L1532" s="2" t="str">
        <x:v>At risk</x:v>
      </x:c>
    </x:row>
    <x:row r="1533" ht="22" customHeight="1">
      <x:c r="A1533" s="2"/>
      <x:c r="B1533" s="2" t="str">
        <x:v>13858</x:v>
      </x:c>
      <x:c r="C1533" s="2" t="str">
        <x:v>United Kingdom</x:v>
      </x:c>
      <x:c r="D1533" s="25" t="n">
        <x:v>40829.470138888886</x:v>
      </x:c>
      <x:c r="E1533" s="25" t="n">
        <x:v>40829.470138888886</x:v>
      </x:c>
      <x:c r="F1533" s="2" t="n">
        <x:v>58</x:v>
      </x:c>
      <x:c r="G1533" s="2" t="n">
        <x:v>1</x:v>
      </x:c>
      <x:c r="H1533" s="11" t="n">
        <x:v>216.17</x:v>
      </x:c>
      <x:c r="I1533" s="2" t="n">
        <x:v>4</x:v>
      </x:c>
      <x:c r="J1533" s="2" t="n">
        <x:v>1</x:v>
      </x:c>
      <x:c r="K1533" s="2" t="n">
        <x:v>1</x:v>
      </x:c>
      <x:c r="L1533" s="2" t="str">
        <x:v>Recent light buyers</x:v>
      </x:c>
    </x:row>
    <x:row r="1534" ht="22" customHeight="1">
      <x:c r="A1534" s="2"/>
      <x:c r="B1534" s="2" t="str">
        <x:v>13859</x:v>
      </x:c>
      <x:c r="C1534" s="2" t="str">
        <x:v>United Kingdom</x:v>
      </x:c>
      <x:c r="D1534" s="25" t="n">
        <x:v>40357.441666666666</x:v>
      </x:c>
      <x:c r="E1534" s="25" t="n">
        <x:v>40560.46805555555</x:v>
      </x:c>
      <x:c r="F1534" s="2" t="n">
        <x:v>327</x:v>
      </x:c>
      <x:c r="G1534" s="2" t="n">
        <x:v>2</x:v>
      </x:c>
      <x:c r="H1534" s="11" t="n">
        <x:v>515.86</x:v>
      </x:c>
      <x:c r="I1534" s="2" t="n">
        <x:v>2</x:v>
      </x:c>
      <x:c r="J1534" s="2" t="n">
        <x:v>2</x:v>
      </x:c>
      <x:c r="K1534" s="2" t="n">
        <x:v>2</x:v>
      </x:c>
      <x:c r="L1534" s="2" t="str">
        <x:v>Hibernating</x:v>
      </x:c>
    </x:row>
    <x:row r="1535" ht="22" customHeight="1">
      <x:c r="A1535" s="2"/>
      <x:c r="B1535" s="2" t="str">
        <x:v>13860</x:v>
      </x:c>
      <x:c r="C1535" s="2" t="str">
        <x:v>United Kingdom</x:v>
      </x:c>
      <x:c r="D1535" s="25" t="n">
        <x:v>40800.18541666667</x:v>
      </x:c>
      <x:c r="E1535" s="25" t="n">
        <x:v>40885.33125</x:v>
      </x:c>
      <x:c r="F1535" s="2" t="n">
        <x:v>2</x:v>
      </x:c>
      <x:c r="G1535" s="2" t="n">
        <x:v>5</x:v>
      </x:c>
      <x:c r="H1535" s="11" t="n">
        <x:v>1245.9</x:v>
      </x:c>
      <x:c r="I1535" s="2" t="n">
        <x:v>5</x:v>
      </x:c>
      <x:c r="J1535" s="2" t="n">
        <x:v>4</x:v>
      </x:c>
      <x:c r="K1535" s="2" t="n">
        <x:v>4</x:v>
      </x:c>
      <x:c r="L1535" s="2" t="str">
        <x:v>Champions</x:v>
      </x:c>
    </x:row>
    <x:row r="1536" ht="22" customHeight="1">
      <x:c r="A1536" s="2"/>
      <x:c r="B1536" s="2" t="str">
        <x:v>13861</x:v>
      </x:c>
      <x:c r="C1536" s="2" t="str">
        <x:v>United Kingdom</x:v>
      </x:c>
      <x:c r="D1536" s="25" t="n">
        <x:v>40356.27569444444</x:v>
      </x:c>
      <x:c r="E1536" s="25" t="n">
        <x:v>40457.38888888889</x:v>
      </x:c>
      <x:c r="F1536" s="2" t="n">
        <x:v>430</x:v>
      </x:c>
      <x:c r="G1536" s="2" t="n">
        <x:v>2</x:v>
      </x:c>
      <x:c r="H1536" s="11" t="n">
        <x:v>273.26</x:v>
      </x:c>
      <x:c r="I1536" s="2" t="n">
        <x:v>1</x:v>
      </x:c>
      <x:c r="J1536" s="2" t="n">
        <x:v>2</x:v>
      </x:c>
      <x:c r="K1536" s="2" t="n">
        <x:v>1</x:v>
      </x:c>
      <x:c r="L1536" s="2" t="str">
        <x:v>Hibernating</x:v>
      </x:c>
    </x:row>
    <x:row r="1537" ht="22" customHeight="1">
      <x:c r="A1537" s="2"/>
      <x:c r="B1537" s="2" t="str">
        <x:v>13862</x:v>
      </x:c>
      <x:c r="C1537" s="2" t="str">
        <x:v>United Kingdom</x:v>
      </x:c>
      <x:c r="D1537" s="25" t="n">
        <x:v>40497.36319444444</x:v>
      </x:c>
      <x:c r="E1537" s="25" t="n">
        <x:v>40868.475</x:v>
      </x:c>
      <x:c r="F1537" s="2" t="n">
        <x:v>19</x:v>
      </x:c>
      <x:c r="G1537" s="2" t="n">
        <x:v>9</x:v>
      </x:c>
      <x:c r="H1537" s="11" t="n">
        <x:v>2556.09</x:v>
      </x:c>
      <x:c r="I1537" s="2" t="n">
        <x:v>5</x:v>
      </x:c>
      <x:c r="J1537" s="2" t="n">
        <x:v>5</x:v>
      </x:c>
      <x:c r="K1537" s="2" t="n">
        <x:v>4</x:v>
      </x:c>
      <x:c r="L1537" s="2" t="str">
        <x:v>Champions</x:v>
      </x:c>
    </x:row>
    <x:row r="1538" ht="22" customHeight="1">
      <x:c r="A1538" s="2"/>
      <x:c r="B1538" s="2" t="str">
        <x:v>13863</x:v>
      </x:c>
      <x:c r="C1538" s="2" t="str">
        <x:v>United Kingdom</x:v>
      </x:c>
      <x:c r="D1538" s="25" t="n">
        <x:v>40293.339583333334</x:v>
      </x:c>
      <x:c r="E1538" s="25" t="n">
        <x:v>40639.22222222222</x:v>
      </x:c>
      <x:c r="F1538" s="2" t="n">
        <x:v>248</x:v>
      </x:c>
      <x:c r="G1538" s="2" t="n">
        <x:v>4</x:v>
      </x:c>
      <x:c r="H1538" s="11" t="n">
        <x:v>1239.55</x:v>
      </x:c>
      <x:c r="I1538" s="2" t="n">
        <x:v>2</x:v>
      </x:c>
      <x:c r="J1538" s="2" t="n">
        <x:v>3</x:v>
      </x:c>
      <x:c r="K1538" s="2" t="n">
        <x:v>4</x:v>
      </x:c>
      <x:c r="L1538" s="2" t="str">
        <x:v>At risk</x:v>
      </x:c>
    </x:row>
    <x:row r="1539" ht="22" customHeight="1">
      <x:c r="A1539" s="2"/>
      <x:c r="B1539" s="2" t="str">
        <x:v>13864</x:v>
      </x:c>
      <x:c r="C1539" s="2" t="str">
        <x:v>United Kingdom</x:v>
      </x:c>
      <x:c r="D1539" s="25" t="n">
        <x:v>40500.32638888889</x:v>
      </x:c>
      <x:c r="E1539" s="25" t="n">
        <x:v>40500.32638888889</x:v>
      </x:c>
      <x:c r="F1539" s="2" t="n">
        <x:v>387</x:v>
      </x:c>
      <x:c r="G1539" s="2" t="n">
        <x:v>1</x:v>
      </x:c>
      <x:c r="H1539" s="11" t="n">
        <x:v>662.4</x:v>
      </x:c>
      <x:c r="I1539" s="2" t="n">
        <x:v>2</x:v>
      </x:c>
      <x:c r="J1539" s="2" t="n">
        <x:v>1</x:v>
      </x:c>
      <x:c r="K1539" s="2" t="n">
        <x:v>3</x:v>
      </x:c>
      <x:c r="L1539" s="2" t="str">
        <x:v>Hibernating</x:v>
      </x:c>
    </x:row>
    <x:row r="1540" ht="22" customHeight="1">
      <x:c r="A1540" s="2"/>
      <x:c r="B1540" s="2" t="str">
        <x:v>13865</x:v>
      </x:c>
      <x:c r="C1540" s="2" t="str">
        <x:v>United Kingdom</x:v>
      </x:c>
      <x:c r="D1540" s="25" t="n">
        <x:v>40597.294444444444</x:v>
      </x:c>
      <x:c r="E1540" s="25" t="n">
        <x:v>40828.35486111111</x:v>
      </x:c>
      <x:c r="F1540" s="2" t="n">
        <x:v>59</x:v>
      </x:c>
      <x:c r="G1540" s="2" t="n">
        <x:v>4</x:v>
      </x:c>
      <x:c r="H1540" s="11" t="n">
        <x:v>501.56</x:v>
      </x:c>
      <x:c r="I1540" s="2" t="n">
        <x:v>4</x:v>
      </x:c>
      <x:c r="J1540" s="2" t="n">
        <x:v>3</x:v>
      </x:c>
      <x:c r="K1540" s="2" t="n">
        <x:v>2</x:v>
      </x:c>
      <x:c r="L1540" s="2" t="str">
        <x:v>Loyal</x:v>
      </x:c>
    </x:row>
    <x:row r="1541" ht="22" customHeight="1">
      <x:c r="A1541" s="2"/>
      <x:c r="B1541" s="2" t="str">
        <x:v>13866</x:v>
      </x:c>
      <x:c r="C1541" s="2" t="str">
        <x:v>United Kingdom</x:v>
      </x:c>
      <x:c r="D1541" s="25" t="n">
        <x:v>40812.4125</x:v>
      </x:c>
      <x:c r="E1541" s="25" t="n">
        <x:v>40812.4125</x:v>
      </x:c>
      <x:c r="F1541" s="2" t="n">
        <x:v>75</x:v>
      </x:c>
      <x:c r="G1541" s="2" t="n">
        <x:v>1</x:v>
      </x:c>
      <x:c r="H1541" s="11" t="n">
        <x:v>145.67</x:v>
      </x:c>
      <x:c r="I1541" s="2" t="n">
        <x:v>3</x:v>
      </x:c>
      <x:c r="J1541" s="2" t="n">
        <x:v>1</x:v>
      </x:c>
      <x:c r="K1541" s="2" t="n">
        <x:v>1</x:v>
      </x:c>
      <x:c r="L1541" s="2" t="str">
        <x:v>Developing</x:v>
      </x:c>
    </x:row>
    <x:row r="1542" ht="22" customHeight="1">
      <x:c r="A1542" s="2"/>
      <x:c r="B1542" s="2" t="str">
        <x:v>13867</x:v>
      </x:c>
      <x:c r="C1542" s="2" t="str">
        <x:v>United Kingdom</x:v>
      </x:c>
      <x:c r="D1542" s="25" t="n">
        <x:v>40668.51944444444</x:v>
      </x:c>
      <x:c r="E1542" s="25" t="n">
        <x:v>40855.45</x:v>
      </x:c>
      <x:c r="F1542" s="2" t="n">
        <x:v>32</x:v>
      </x:c>
      <x:c r="G1542" s="2" t="n">
        <x:v>3</x:v>
      </x:c>
      <x:c r="H1542" s="11" t="n">
        <x:v>1015.29</x:v>
      </x:c>
      <x:c r="I1542" s="2" t="n">
        <x:v>4</x:v>
      </x:c>
      <x:c r="J1542" s="2" t="n">
        <x:v>3</x:v>
      </x:c>
      <x:c r="K1542" s="2" t="n">
        <x:v>3</x:v>
      </x:c>
      <x:c r="L1542" s="2" t="str">
        <x:v>Loyal</x:v>
      </x:c>
    </x:row>
    <x:row r="1543" ht="22" customHeight="1">
      <x:c r="A1543" s="2"/>
      <x:c r="B1543" s="2" t="str">
        <x:v>13868</x:v>
      </x:c>
      <x:c r="C1543" s="2" t="str">
        <x:v>United Kingdom</x:v>
      </x:c>
      <x:c r="D1543" s="25" t="n">
        <x:v>40848.322916666664</x:v>
      </x:c>
      <x:c r="E1543" s="25" t="n">
        <x:v>40879.48055555556</x:v>
      </x:c>
      <x:c r="F1543" s="2" t="n">
        <x:v>8</x:v>
      </x:c>
      <x:c r="G1543" s="2" t="n">
        <x:v>2</x:v>
      </x:c>
      <x:c r="H1543" s="11" t="n">
        <x:v>3192.54</x:v>
      </x:c>
      <x:c r="I1543" s="2" t="n">
        <x:v>5</x:v>
      </x:c>
      <x:c r="J1543" s="2" t="n">
        <x:v>2</x:v>
      </x:c>
      <x:c r="K1543" s="2" t="n">
        <x:v>5</x:v>
      </x:c>
      <x:c r="L1543" s="2" t="str">
        <x:v>Recent light buyers</x:v>
      </x:c>
    </x:row>
    <x:row r="1544" ht="22" customHeight="1">
      <x:c r="A1544" s="2"/>
      <x:c r="B1544" s="2" t="str">
        <x:v>13869</x:v>
      </x:c>
      <x:c r="C1544" s="2" t="str">
        <x:v>United Kingdom</x:v>
      </x:c>
      <x:c r="D1544" s="25" t="n">
        <x:v>40195.41180555556</x:v>
      </x:c>
      <x:c r="E1544" s="25" t="n">
        <x:v>40763.37013888889</x:v>
      </x:c>
      <x:c r="F1544" s="2" t="n">
        <x:v>124</x:v>
      </x:c>
      <x:c r="G1544" s="2" t="n">
        <x:v>10</x:v>
      </x:c>
      <x:c r="H1544" s="11" t="n">
        <x:v>8111.57</x:v>
      </x:c>
      <x:c r="I1544" s="2" t="n">
        <x:v>3</x:v>
      </x:c>
      <x:c r="J1544" s="2" t="n">
        <x:v>5</x:v>
      </x:c>
      <x:c r="K1544" s="2" t="n">
        <x:v>5</x:v>
      </x:c>
      <x:c r="L1544" s="2" t="str">
        <x:v>Loyal</x:v>
      </x:c>
    </x:row>
    <x:row r="1545" ht="22" customHeight="1">
      <x:c r="A1545" s="2"/>
      <x:c r="B1545" s="2" t="str">
        <x:v>13870</x:v>
      </x:c>
      <x:c r="C1545" s="2" t="str">
        <x:v>United Kingdom</x:v>
      </x:c>
      <x:c r="D1545" s="25" t="n">
        <x:v>40217.29722222222</x:v>
      </x:c>
      <x:c r="E1545" s="25" t="n">
        <x:v>40884.34930555556</x:v>
      </x:c>
      <x:c r="F1545" s="2" t="n">
        <x:v>3</x:v>
      </x:c>
      <x:c r="G1545" s="2" t="n">
        <x:v>15</x:v>
      </x:c>
      <x:c r="H1545" s="11" t="n">
        <x:v>5712.08</x:v>
      </x:c>
      <x:c r="I1545" s="2" t="n">
        <x:v>5</x:v>
      </x:c>
      <x:c r="J1545" s="2" t="n">
        <x:v>5</x:v>
      </x:c>
      <x:c r="K1545" s="2" t="n">
        <x:v>5</x:v>
      </x:c>
      <x:c r="L1545" s="2" t="str">
        <x:v>Champions</x:v>
      </x:c>
    </x:row>
    <x:row r="1546" ht="22" customHeight="1">
      <x:c r="A1546" s="2"/>
      <x:c r="B1546" s="2" t="str">
        <x:v>13871</x:v>
      </x:c>
      <x:c r="C1546" s="2" t="str">
        <x:v>United Kingdom</x:v>
      </x:c>
      <x:c r="D1546" s="25" t="n">
        <x:v>40167.339583333334</x:v>
      </x:c>
      <x:c r="E1546" s="25" t="n">
        <x:v>40864.24236111111</x:v>
      </x:c>
      <x:c r="F1546" s="2" t="n">
        <x:v>23</x:v>
      </x:c>
      <x:c r="G1546" s="2" t="n">
        <x:v>17</x:v>
      </x:c>
      <x:c r="H1546" s="11" t="n">
        <x:v>7885.85</x:v>
      </x:c>
      <x:c r="I1546" s="2" t="n">
        <x:v>4</x:v>
      </x:c>
      <x:c r="J1546" s="2" t="n">
        <x:v>5</x:v>
      </x:c>
      <x:c r="K1546" s="2" t="n">
        <x:v>5</x:v>
      </x:c>
      <x:c r="L1546" s="2" t="str">
        <x:v>Champions</x:v>
      </x:c>
    </x:row>
    <x:row r="1547" ht="22" customHeight="1">
      <x:c r="A1547" s="2"/>
      <x:c r="B1547" s="2" t="str">
        <x:v>13872</x:v>
      </x:c>
      <x:c r="C1547" s="2" t="str">
        <x:v>United Kingdom</x:v>
      </x:c>
      <x:c r="D1547" s="25" t="n">
        <x:v>40161.205555555556</x:v>
      </x:c>
      <x:c r="E1547" s="25" t="n">
        <x:v>40359.44097222222</x:v>
      </x:c>
      <x:c r="F1547" s="2" t="n">
        <x:v>528</x:v>
      </x:c>
      <x:c r="G1547" s="2" t="n">
        <x:v>3</x:v>
      </x:c>
      <x:c r="H1547" s="11" t="n">
        <x:v>919.57</x:v>
      </x:c>
      <x:c r="I1547" s="2" t="n">
        <x:v>1</x:v>
      </x:c>
      <x:c r="J1547" s="2" t="n">
        <x:v>3</x:v>
      </x:c>
      <x:c r="K1547" s="2" t="n">
        <x:v>3</x:v>
      </x:c>
      <x:c r="L1547" s="2" t="str">
        <x:v>At risk</x:v>
      </x:c>
    </x:row>
    <x:row r="1548" ht="22" customHeight="1">
      <x:c r="A1548" s="2"/>
      <x:c r="B1548" s="2" t="str">
        <x:v>13873</x:v>
      </x:c>
      <x:c r="C1548" s="2" t="str">
        <x:v>United Kingdom</x:v>
      </x:c>
      <x:c r="D1548" s="25" t="n">
        <x:v>40240.31319444445</x:v>
      </x:c>
      <x:c r="E1548" s="25" t="n">
        <x:v>40767.21388888889</x:v>
      </x:c>
      <x:c r="F1548" s="2" t="n">
        <x:v>120</x:v>
      </x:c>
      <x:c r="G1548" s="2" t="n">
        <x:v>8</x:v>
      </x:c>
      <x:c r="H1548" s="11" t="n">
        <x:v>1038.92</x:v>
      </x:c>
      <x:c r="I1548" s="2" t="n">
        <x:v>3</x:v>
      </x:c>
      <x:c r="J1548" s="2" t="n">
        <x:v>4</x:v>
      </x:c>
      <x:c r="K1548" s="2" t="n">
        <x:v>3</x:v>
      </x:c>
      <x:c r="L1548" s="2" t="str">
        <x:v>Loyal</x:v>
      </x:c>
    </x:row>
    <x:row r="1549" ht="22" customHeight="1">
      <x:c r="A1549" s="2"/>
      <x:c r="B1549" s="2" t="str">
        <x:v>13874</x:v>
      </x:c>
      <x:c r="C1549" s="2" t="str">
        <x:v>United Kingdom</x:v>
      </x:c>
      <x:c r="D1549" s="25" t="n">
        <x:v>40213.56875</x:v>
      </x:c>
      <x:c r="E1549" s="25" t="n">
        <x:v>40528.555555555555</x:v>
      </x:c>
      <x:c r="F1549" s="2" t="n">
        <x:v>359</x:v>
      </x:c>
      <x:c r="G1549" s="2" t="n">
        <x:v>7</x:v>
      </x:c>
      <x:c r="H1549" s="11" t="n">
        <x:v>2049.15</x:v>
      </x:c>
      <x:c r="I1549" s="2" t="n">
        <x:v>2</x:v>
      </x:c>
      <x:c r="J1549" s="2" t="n">
        <x:v>4</x:v>
      </x:c>
      <x:c r="K1549" s="2" t="n">
        <x:v>4</x:v>
      </x:c>
      <x:c r="L1549" s="2" t="str">
        <x:v>At risk</x:v>
      </x:c>
    </x:row>
    <x:row r="1550" ht="22" customHeight="1">
      <x:c r="A1550" s="2"/>
      <x:c r="B1550" s="2" t="str">
        <x:v>13875</x:v>
      </x:c>
      <x:c r="C1550" s="2" t="str">
        <x:v>United Kingdom</x:v>
      </x:c>
      <x:c r="D1550" s="25" t="n">
        <x:v>40164.229166666664</x:v>
      </x:c>
      <x:c r="E1550" s="25" t="n">
        <x:v>40833.191666666666</x:v>
      </x:c>
      <x:c r="F1550" s="2" t="n">
        <x:v>54</x:v>
      </x:c>
      <x:c r="G1550" s="2" t="n">
        <x:v>14</x:v>
      </x:c>
      <x:c r="H1550" s="11" t="n">
        <x:v>4814.37</x:v>
      </x:c>
      <x:c r="I1550" s="2" t="n">
        <x:v>4</x:v>
      </x:c>
      <x:c r="J1550" s="2" t="n">
        <x:v>5</x:v>
      </x:c>
      <x:c r="K1550" s="2" t="n">
        <x:v>5</x:v>
      </x:c>
      <x:c r="L1550" s="2" t="str">
        <x:v>Champions</x:v>
      </x:c>
    </x:row>
    <x:row r="1551" ht="22" customHeight="1">
      <x:c r="A1551" s="2"/>
      <x:c r="B1551" s="2" t="str">
        <x:v>13876</x:v>
      </x:c>
      <x:c r="C1551" s="2" t="str">
        <x:v>United Kingdom</x:v>
      </x:c>
      <x:c r="D1551" s="25" t="n">
        <x:v>40823.22361111111</x:v>
      </x:c>
      <x:c r="E1551" s="25" t="n">
        <x:v>40823.22361111111</x:v>
      </x:c>
      <x:c r="F1551" s="2" t="n">
        <x:v>64</x:v>
      </x:c>
      <x:c r="G1551" s="2" t="n">
        <x:v>1</x:v>
      </x:c>
      <x:c r="H1551" s="11" t="n">
        <x:v>122.7</x:v>
      </x:c>
      <x:c r="I1551" s="2" t="n">
        <x:v>3</x:v>
      </x:c>
      <x:c r="J1551" s="2" t="n">
        <x:v>1</x:v>
      </x:c>
      <x:c r="K1551" s="2" t="n">
        <x:v>1</x:v>
      </x:c>
      <x:c r="L1551" s="2" t="str">
        <x:v>Developing</x:v>
      </x:c>
    </x:row>
    <x:row r="1552" ht="22" customHeight="1">
      <x:c r="A1552" s="2"/>
      <x:c r="B1552" s="2" t="str">
        <x:v>13877</x:v>
      </x:c>
      <x:c r="C1552" s="2" t="str">
        <x:v>United Kingdom</x:v>
      </x:c>
      <x:c r="D1552" s="25" t="n">
        <x:v>40197.24513888889</x:v>
      </x:c>
      <x:c r="E1552" s="25" t="n">
        <x:v>40800.450694444444</x:v>
      </x:c>
      <x:c r="F1552" s="2" t="n">
        <x:v>87</x:v>
      </x:c>
      <x:c r="G1552" s="2" t="n">
        <x:v>3</x:v>
      </x:c>
      <x:c r="H1552" s="11" t="n">
        <x:v>449.68</x:v>
      </x:c>
      <x:c r="I1552" s="2" t="n">
        <x:v>3</x:v>
      </x:c>
      <x:c r="J1552" s="2" t="n">
        <x:v>3</x:v>
      </x:c>
      <x:c r="K1552" s="2" t="n">
        <x:v>2</x:v>
      </x:c>
      <x:c r="L1552" s="2" t="str">
        <x:v>Loyal</x:v>
      </x:c>
    </x:row>
    <x:row r="1553" ht="22" customHeight="1">
      <x:c r="A1553" s="2"/>
      <x:c r="B1553" s="2" t="str">
        <x:v>13878</x:v>
      </x:c>
      <x:c r="C1553" s="2" t="str">
        <x:v>United Kingdom</x:v>
      </x:c>
      <x:c r="D1553" s="25" t="n">
        <x:v>40282.368055555555</x:v>
      </x:c>
      <x:c r="E1553" s="25" t="n">
        <x:v>40832.30486111111</x:v>
      </x:c>
      <x:c r="F1553" s="2" t="n">
        <x:v>55</x:v>
      </x:c>
      <x:c r="G1553" s="2" t="n">
        <x:v>4</x:v>
      </x:c>
      <x:c r="H1553" s="11" t="n">
        <x:v>2473.06</x:v>
      </x:c>
      <x:c r="I1553" s="2" t="n">
        <x:v>4</x:v>
      </x:c>
      <x:c r="J1553" s="2" t="n">
        <x:v>3</x:v>
      </x:c>
      <x:c r="K1553" s="2" t="n">
        <x:v>4</x:v>
      </x:c>
      <x:c r="L1553" s="2" t="str">
        <x:v>Loyal</x:v>
      </x:c>
    </x:row>
    <x:row r="1554" ht="22" customHeight="1">
      <x:c r="A1554" s="2"/>
      <x:c r="B1554" s="2" t="str">
        <x:v>13879</x:v>
      </x:c>
      <x:c r="C1554" s="2" t="str">
        <x:v>United Kingdom</x:v>
      </x:c>
      <x:c r="D1554" s="25" t="n">
        <x:v>40241.24236111111</x:v>
      </x:c>
      <x:c r="E1554" s="25" t="n">
        <x:v>40241.24236111111</x:v>
      </x:c>
      <x:c r="F1554" s="2" t="n">
        <x:v>646</x:v>
      </x:c>
      <x:c r="G1554" s="2" t="n">
        <x:v>1</x:v>
      </x:c>
      <x:c r="H1554" s="11" t="n">
        <x:v>395.5</x:v>
      </x:c>
      <x:c r="I1554" s="2" t="n">
        <x:v>1</x:v>
      </x:c>
      <x:c r="J1554" s="2" t="n">
        <x:v>1</x:v>
      </x:c>
      <x:c r="K1554" s="2" t="n">
        <x:v>2</x:v>
      </x:c>
      <x:c r="L1554" s="2" t="str">
        <x:v>Hibernating</x:v>
      </x:c>
    </x:row>
    <x:row r="1555" ht="22" customHeight="1">
      <x:c r="A1555" s="2"/>
      <x:c r="B1555" s="2" t="str">
        <x:v>13880</x:v>
      </x:c>
      <x:c r="C1555" s="2" t="str">
        <x:v>United Kingdom</x:v>
      </x:c>
      <x:c r="D1555" s="25" t="n">
        <x:v>40324.39513888889</x:v>
      </x:c>
      <x:c r="E1555" s="25" t="n">
        <x:v>40865.36388888889</x:v>
      </x:c>
      <x:c r="F1555" s="2" t="n">
        <x:v>22</x:v>
      </x:c>
      <x:c r="G1555" s="2" t="n">
        <x:v>17</x:v>
      </x:c>
      <x:c r="H1555" s="11" t="n">
        <x:v>4293.86</x:v>
      </x:c>
      <x:c r="I1555" s="2" t="n">
        <x:v>4</x:v>
      </x:c>
      <x:c r="J1555" s="2" t="n">
        <x:v>5</x:v>
      </x:c>
      <x:c r="K1555" s="2" t="n">
        <x:v>5</x:v>
      </x:c>
      <x:c r="L1555" s="2" t="str">
        <x:v>Champions</x:v>
      </x:c>
    </x:row>
    <x:row r="1556" ht="22" customHeight="1">
      <x:c r="A1556" s="2"/>
      <x:c r="B1556" s="2" t="str">
        <x:v>13881</x:v>
      </x:c>
      <x:c r="C1556" s="2" t="str">
        <x:v>United Kingdom</x:v>
      </x:c>
      <x:c r="D1556" s="25" t="n">
        <x:v>40241.40347222222</x:v>
      </x:c>
      <x:c r="E1556" s="25" t="n">
        <x:v>40883.32638888889</x:v>
      </x:c>
      <x:c r="F1556" s="2" t="n">
        <x:v>4</x:v>
      </x:c>
      <x:c r="G1556" s="2" t="n">
        <x:v>43</x:v>
      </x:c>
      <x:c r="H1556" s="11" t="n">
        <x:v>45179.1</x:v>
      </x:c>
      <x:c r="I1556" s="2" t="n">
        <x:v>5</x:v>
      </x:c>
      <x:c r="J1556" s="2" t="n">
        <x:v>5</x:v>
      </x:c>
      <x:c r="K1556" s="2" t="n">
        <x:v>5</x:v>
      </x:c>
      <x:c r="L1556" s="2" t="str">
        <x:v>Champions</x:v>
      </x:c>
    </x:row>
    <x:row r="1557" ht="22" customHeight="1">
      <x:c r="A1557" s="2"/>
      <x:c r="B1557" s="2" t="str">
        <x:v>13882</x:v>
      </x:c>
      <x:c r="C1557" s="2" t="str">
        <x:v>United Kingdom</x:v>
      </x:c>
      <x:c r="D1557" s="25" t="n">
        <x:v>40822.436111111114</x:v>
      </x:c>
      <x:c r="E1557" s="25" t="n">
        <x:v>40884.26111111111</x:v>
      </x:c>
      <x:c r="F1557" s="2" t="n">
        <x:v>3</x:v>
      </x:c>
      <x:c r="G1557" s="2" t="n">
        <x:v>5</x:v>
      </x:c>
      <x:c r="H1557" s="11" t="n">
        <x:v>1191.13</x:v>
      </x:c>
      <x:c r="I1557" s="2" t="n">
        <x:v>5</x:v>
      </x:c>
      <x:c r="J1557" s="2" t="n">
        <x:v>4</x:v>
      </x:c>
      <x:c r="K1557" s="2" t="n">
        <x:v>3</x:v>
      </x:c>
      <x:c r="L1557" s="2" t="str">
        <x:v>Loyal</x:v>
      </x:c>
    </x:row>
    <x:row r="1558" ht="22" customHeight="1">
      <x:c r="A1558" s="2"/>
      <x:c r="B1558" s="2" t="str">
        <x:v>13883</x:v>
      </x:c>
      <x:c r="C1558" s="2" t="str">
        <x:v>United Kingdom</x:v>
      </x:c>
      <x:c r="D1558" s="25" t="n">
        <x:v>40155.518055555556</x:v>
      </x:c>
      <x:c r="E1558" s="25" t="n">
        <x:v>40876.239583333336</x:v>
      </x:c>
      <x:c r="F1558" s="2" t="n">
        <x:v>11</x:v>
      </x:c>
      <x:c r="G1558" s="2" t="n">
        <x:v>15</x:v>
      </x:c>
      <x:c r="H1558" s="11" t="n">
        <x:v>6560.02</x:v>
      </x:c>
      <x:c r="I1558" s="2" t="n">
        <x:v>5</x:v>
      </x:c>
      <x:c r="J1558" s="2" t="n">
        <x:v>5</x:v>
      </x:c>
      <x:c r="K1558" s="2" t="n">
        <x:v>5</x:v>
      </x:c>
      <x:c r="L1558" s="2" t="str">
        <x:v>Champions</x:v>
      </x:c>
    </x:row>
    <x:row r="1559" ht="22" customHeight="1">
      <x:c r="A1559" s="2"/>
      <x:c r="B1559" s="2" t="str">
        <x:v>13884</x:v>
      </x:c>
      <x:c r="C1559" s="2" t="str">
        <x:v>United Kingdom</x:v>
      </x:c>
      <x:c r="D1559" s="25" t="n">
        <x:v>40416.62291666667</x:v>
      </x:c>
      <x:c r="E1559" s="25" t="n">
        <x:v>40879.479166666664</x:v>
      </x:c>
      <x:c r="F1559" s="2" t="n">
        <x:v>8</x:v>
      </x:c>
      <x:c r="G1559" s="2" t="n">
        <x:v>10</x:v>
      </x:c>
      <x:c r="H1559" s="11" t="n">
        <x:v>1888.48</x:v>
      </x:c>
      <x:c r="I1559" s="2" t="n">
        <x:v>5</x:v>
      </x:c>
      <x:c r="J1559" s="2" t="n">
        <x:v>5</x:v>
      </x:c>
      <x:c r="K1559" s="2" t="n">
        <x:v>4</x:v>
      </x:c>
      <x:c r="L1559" s="2" t="str">
        <x:v>Champions</x:v>
      </x:c>
    </x:row>
    <x:row r="1560" ht="22" customHeight="1">
      <x:c r="A1560" s="2"/>
      <x:c r="B1560" s="2" t="str">
        <x:v>13885</x:v>
      </x:c>
      <x:c r="C1560" s="2" t="str">
        <x:v>United Kingdom</x:v>
      </x:c>
      <x:c r="D1560" s="25" t="n">
        <x:v>40686.16111111111</x:v>
      </x:c>
      <x:c r="E1560" s="25" t="n">
        <x:v>40697.42152777778</x:v>
      </x:c>
      <x:c r="F1560" s="2" t="n">
        <x:v>190</x:v>
      </x:c>
      <x:c r="G1560" s="2" t="n">
        <x:v>2</x:v>
      </x:c>
      <x:c r="H1560" s="11" t="n">
        <x:v>506.8</x:v>
      </x:c>
      <x:c r="I1560" s="2" t="n">
        <x:v>3</x:v>
      </x:c>
      <x:c r="J1560" s="2" t="n">
        <x:v>2</x:v>
      </x:c>
      <x:c r="K1560" s="2" t="n">
        <x:v>2</x:v>
      </x:c>
      <x:c r="L1560" s="2" t="str">
        <x:v>Developing</x:v>
      </x:c>
    </x:row>
    <x:row r="1561" ht="22" customHeight="1">
      <x:c r="A1561" s="2"/>
      <x:c r="B1561" s="2" t="str">
        <x:v>13886</x:v>
      </x:c>
      <x:c r="C1561" s="2" t="str">
        <x:v>United Kingdom</x:v>
      </x:c>
      <x:c r="D1561" s="25" t="n">
        <x:v>40815.345138888886</x:v>
      </x:c>
      <x:c r="E1561" s="25" t="n">
        <x:v>40815.345138888886</x:v>
      </x:c>
      <x:c r="F1561" s="2" t="n">
        <x:v>72</x:v>
      </x:c>
      <x:c r="G1561" s="2" t="n">
        <x:v>1</x:v>
      </x:c>
      <x:c r="H1561" s="11" t="n">
        <x:v>243.56</x:v>
      </x:c>
      <x:c r="I1561" s="2" t="n">
        <x:v>3</x:v>
      </x:c>
      <x:c r="J1561" s="2" t="n">
        <x:v>1</x:v>
      </x:c>
      <x:c r="K1561" s="2" t="n">
        <x:v>1</x:v>
      </x:c>
      <x:c r="L1561" s="2" t="str">
        <x:v>Developing</x:v>
      </x:c>
    </x:row>
    <x:row r="1562" ht="22" customHeight="1">
      <x:c r="A1562" s="2"/>
      <x:c r="B1562" s="2" t="str">
        <x:v>13887</x:v>
      </x:c>
      <x:c r="C1562" s="2" t="str">
        <x:v>United Kingdom</x:v>
      </x:c>
      <x:c r="D1562" s="25" t="n">
        <x:v>40682.51527777778</x:v>
      </x:c>
      <x:c r="E1562" s="25" t="n">
        <x:v>40682.51527777778</x:v>
      </x:c>
      <x:c r="F1562" s="2" t="n">
        <x:v>205</x:v>
      </x:c>
      <x:c r="G1562" s="2" t="n">
        <x:v>1</x:v>
      </x:c>
      <x:c r="H1562" s="11" t="n">
        <x:v>349.55</x:v>
      </x:c>
      <x:c r="I1562" s="2" t="n">
        <x:v>2</x:v>
      </x:c>
      <x:c r="J1562" s="2" t="n">
        <x:v>1</x:v>
      </x:c>
      <x:c r="K1562" s="2" t="n">
        <x:v>2</x:v>
      </x:c>
      <x:c r="L1562" s="2" t="str">
        <x:v>Hibernating</x:v>
      </x:c>
    </x:row>
    <x:row r="1563" ht="22" customHeight="1">
      <x:c r="A1563" s="2"/>
      <x:c r="B1563" s="2" t="str">
        <x:v>13888</x:v>
      </x:c>
      <x:c r="C1563" s="2" t="str">
        <x:v>United Kingdom</x:v>
      </x:c>
      <x:c r="D1563" s="25" t="n">
        <x:v>40311.28958333333</x:v>
      </x:c>
      <x:c r="E1563" s="25" t="n">
        <x:v>40767.217361111114</x:v>
      </x:c>
      <x:c r="F1563" s="2" t="n">
        <x:v>120</x:v>
      </x:c>
      <x:c r="G1563" s="2" t="n">
        <x:v>7</x:v>
      </x:c>
      <x:c r="H1563" s="11" t="n">
        <x:v>2169.05</x:v>
      </x:c>
      <x:c r="I1563" s="2" t="n">
        <x:v>3</x:v>
      </x:c>
      <x:c r="J1563" s="2" t="n">
        <x:v>4</x:v>
      </x:c>
      <x:c r="K1563" s="2" t="n">
        <x:v>4</x:v>
      </x:c>
      <x:c r="L1563" s="2" t="str">
        <x:v>Loyal</x:v>
      </x:c>
    </x:row>
    <x:row r="1564" ht="22" customHeight="1">
      <x:c r="A1564" s="2"/>
      <x:c r="B1564" s="2" t="str">
        <x:v>13889</x:v>
      </x:c>
      <x:c r="C1564" s="2" t="str">
        <x:v>United Kingdom</x:v>
      </x:c>
      <x:c r="D1564" s="25" t="n">
        <x:v>40200.39722222222</x:v>
      </x:c>
      <x:c r="E1564" s="25" t="n">
        <x:v>40794.17569444444</x:v>
      </x:c>
      <x:c r="F1564" s="2" t="n">
        <x:v>93</x:v>
      </x:c>
      <x:c r="G1564" s="2" t="n">
        <x:v>6</x:v>
      </x:c>
      <x:c r="H1564" s="11" t="n">
        <x:v>1991.23</x:v>
      </x:c>
      <x:c r="I1564" s="2" t="n">
        <x:v>3</x:v>
      </x:c>
      <x:c r="J1564" s="2" t="n">
        <x:v>4</x:v>
      </x:c>
      <x:c r="K1564" s="2" t="n">
        <x:v>4</x:v>
      </x:c>
      <x:c r="L1564" s="2" t="str">
        <x:v>Loyal</x:v>
      </x:c>
    </x:row>
    <x:row r="1565" ht="22" customHeight="1">
      <x:c r="A1565" s="2"/>
      <x:c r="B1565" s="2" t="str">
        <x:v>13890</x:v>
      </x:c>
      <x:c r="C1565" s="2" t="str">
        <x:v>United Kingdom</x:v>
      </x:c>
      <x:c r="D1565" s="25" t="n">
        <x:v>40153.427083333336</x:v>
      </x:c>
      <x:c r="E1565" s="25" t="n">
        <x:v>40885.441666666666</x:v>
      </x:c>
      <x:c r="F1565" s="2" t="n">
        <x:v>2</x:v>
      </x:c>
      <x:c r="G1565" s="2" t="n">
        <x:v>14</x:v>
      </x:c>
      <x:c r="H1565" s="11" t="n">
        <x:v>2927.38</x:v>
      </x:c>
      <x:c r="I1565" s="2" t="n">
        <x:v>5</x:v>
      </x:c>
      <x:c r="J1565" s="2" t="n">
        <x:v>5</x:v>
      </x:c>
      <x:c r="K1565" s="2" t="n">
        <x:v>5</x:v>
      </x:c>
      <x:c r="L1565" s="2" t="str">
        <x:v>Champions</x:v>
      </x:c>
    </x:row>
    <x:row r="1566" ht="22" customHeight="1">
      <x:c r="A1566" s="2"/>
      <x:c r="B1566" s="2" t="str">
        <x:v>13891</x:v>
      </x:c>
      <x:c r="C1566" s="2" t="str">
        <x:v>United Kingdom</x:v>
      </x:c>
      <x:c r="D1566" s="25" t="n">
        <x:v>40304.45972222222</x:v>
      </x:c>
      <x:c r="E1566" s="25" t="n">
        <x:v>40508.45625</x:v>
      </x:c>
      <x:c r="F1566" s="2" t="n">
        <x:v>379</x:v>
      </x:c>
      <x:c r="G1566" s="2" t="n">
        <x:v>3</x:v>
      </x:c>
      <x:c r="H1566" s="11" t="n">
        <x:v>863.56</x:v>
      </x:c>
      <x:c r="I1566" s="2" t="n">
        <x:v>2</x:v>
      </x:c>
      <x:c r="J1566" s="2" t="n">
        <x:v>3</x:v>
      </x:c>
      <x:c r="K1566" s="2" t="n">
        <x:v>3</x:v>
      </x:c>
      <x:c r="L1566" s="2" t="str">
        <x:v>At risk</x:v>
      </x:c>
    </x:row>
    <x:row r="1567" ht="22" customHeight="1">
      <x:c r="A1567" s="2"/>
      <x:c r="B1567" s="2" t="str">
        <x:v>13892</x:v>
      </x:c>
      <x:c r="C1567" s="2" t="str">
        <x:v>United Kingdom</x:v>
      </x:c>
      <x:c r="D1567" s="25" t="n">
        <x:v>40311.23055555556</x:v>
      </x:c>
      <x:c r="E1567" s="25" t="n">
        <x:v>40860.28472222222</x:v>
      </x:c>
      <x:c r="F1567" s="2" t="n">
        <x:v>27</x:v>
      </x:c>
      <x:c r="G1567" s="2" t="n">
        <x:v>6</x:v>
      </x:c>
      <x:c r="H1567" s="11" t="n">
        <x:v>1267.65</x:v>
      </x:c>
      <x:c r="I1567" s="2" t="n">
        <x:v>4</x:v>
      </x:c>
      <x:c r="J1567" s="2" t="n">
        <x:v>4</x:v>
      </x:c>
      <x:c r="K1567" s="2" t="n">
        <x:v>4</x:v>
      </x:c>
      <x:c r="L1567" s="2" t="str">
        <x:v>Champions</x:v>
      </x:c>
    </x:row>
    <x:row r="1568" ht="22" customHeight="1">
      <x:c r="A1568" s="2"/>
      <x:c r="B1568" s="2" t="str">
        <x:v>13893</x:v>
      </x:c>
      <x:c r="C1568" s="2" t="str">
        <x:v>United Kingdom</x:v>
      </x:c>
      <x:c r="D1568" s="25" t="n">
        <x:v>40589.270833333336</x:v>
      </x:c>
      <x:c r="E1568" s="25" t="n">
        <x:v>40589.270833333336</x:v>
      </x:c>
      <x:c r="F1568" s="2" t="n">
        <x:v>298</x:v>
      </x:c>
      <x:c r="G1568" s="2" t="n">
        <x:v>1</x:v>
      </x:c>
      <x:c r="H1568" s="11" t="n">
        <x:v>821.1</x:v>
      </x:c>
      <x:c r="I1568" s="2" t="n">
        <x:v>2</x:v>
      </x:c>
      <x:c r="J1568" s="2" t="n">
        <x:v>1</x:v>
      </x:c>
      <x:c r="K1568" s="2" t="n">
        <x:v>3</x:v>
      </x:c>
      <x:c r="L1568" s="2" t="str">
        <x:v>Hibernating</x:v>
      </x:c>
    </x:row>
    <x:row r="1569" ht="22" customHeight="1">
      <x:c r="A1569" s="2"/>
      <x:c r="B1569" s="2" t="str">
        <x:v>13894</x:v>
      </x:c>
      <x:c r="C1569" s="2" t="str">
        <x:v>United Kingdom</x:v>
      </x:c>
      <x:c r="D1569" s="25" t="n">
        <x:v>40576.32916666667</x:v>
      </x:c>
      <x:c r="E1569" s="25" t="n">
        <x:v>40863.197222222225</x:v>
      </x:c>
      <x:c r="F1569" s="2" t="n">
        <x:v>24</x:v>
      </x:c>
      <x:c r="G1569" s="2" t="n">
        <x:v>3</x:v>
      </x:c>
      <x:c r="H1569" s="11" t="n">
        <x:v>564.62</x:v>
      </x:c>
      <x:c r="I1569" s="2" t="n">
        <x:v>4</x:v>
      </x:c>
      <x:c r="J1569" s="2" t="n">
        <x:v>3</x:v>
      </x:c>
      <x:c r="K1569" s="2" t="n">
        <x:v>2</x:v>
      </x:c>
      <x:c r="L1569" s="2" t="str">
        <x:v>Loyal</x:v>
      </x:c>
    </x:row>
    <x:row r="1570" ht="22" customHeight="1">
      <x:c r="A1570" s="2"/>
      <x:c r="B1570" s="2" t="str">
        <x:v>13895</x:v>
      </x:c>
      <x:c r="C1570" s="2" t="str">
        <x:v>United Kingdom</x:v>
      </x:c>
      <x:c r="D1570" s="25" t="n">
        <x:v>40150.339583333334</x:v>
      </x:c>
      <x:c r="E1570" s="25" t="n">
        <x:v>40858.49791666667</x:v>
      </x:c>
      <x:c r="F1570" s="2" t="n">
        <x:v>29</x:v>
      </x:c>
      <x:c r="G1570" s="2" t="n">
        <x:v>6</x:v>
      </x:c>
      <x:c r="H1570" s="11" t="n">
        <x:v>4008.52</x:v>
      </x:c>
      <x:c r="I1570" s="2" t="n">
        <x:v>4</x:v>
      </x:c>
      <x:c r="J1570" s="2" t="n">
        <x:v>4</x:v>
      </x:c>
      <x:c r="K1570" s="2" t="n">
        <x:v>5</x:v>
      </x:c>
      <x:c r="L1570" s="2" t="str">
        <x:v>Champions</x:v>
      </x:c>
    </x:row>
    <x:row r="1571" ht="22" customHeight="1">
      <x:c r="A1571" s="2"/>
      <x:c r="B1571" s="2" t="str">
        <x:v>13896</x:v>
      </x:c>
      <x:c r="C1571" s="2" t="str">
        <x:v>United Kingdom</x:v>
      </x:c>
      <x:c r="D1571" s="25" t="n">
        <x:v>40261.163194444445</x:v>
      </x:c>
      <x:c r="E1571" s="25" t="n">
        <x:v>40261.163194444445</x:v>
      </x:c>
      <x:c r="F1571" s="2" t="n">
        <x:v>626</x:v>
      </x:c>
      <x:c r="G1571" s="2" t="n">
        <x:v>1</x:v>
      </x:c>
      <x:c r="H1571" s="11" t="n">
        <x:v>388.55</x:v>
      </x:c>
      <x:c r="I1571" s="2" t="n">
        <x:v>1</x:v>
      </x:c>
      <x:c r="J1571" s="2" t="n">
        <x:v>1</x:v>
      </x:c>
      <x:c r="K1571" s="2" t="n">
        <x:v>2</x:v>
      </x:c>
      <x:c r="L1571" s="2" t="str">
        <x:v>Hibernating</x:v>
      </x:c>
    </x:row>
    <x:row r="1572" ht="22" customHeight="1">
      <x:c r="A1572" s="2"/>
      <x:c r="B1572" s="2" t="str">
        <x:v>13897</x:v>
      </x:c>
      <x:c r="C1572" s="2" t="str">
        <x:v>United Kingdom</x:v>
      </x:c>
      <x:c r="D1572" s="25" t="n">
        <x:v>40209.36666666667</x:v>
      </x:c>
      <x:c r="E1572" s="25" t="n">
        <x:v>40836.395833333336</x:v>
      </x:c>
      <x:c r="F1572" s="2" t="n">
        <x:v>51</x:v>
      </x:c>
      <x:c r="G1572" s="2" t="n">
        <x:v>3</x:v>
      </x:c>
      <x:c r="H1572" s="11" t="n">
        <x:v>1160.72</x:v>
      </x:c>
      <x:c r="I1572" s="2" t="n">
        <x:v>4</x:v>
      </x:c>
      <x:c r="J1572" s="2" t="n">
        <x:v>3</x:v>
      </x:c>
      <x:c r="K1572" s="2" t="n">
        <x:v>3</x:v>
      </x:c>
      <x:c r="L1572" s="2" t="str">
        <x:v>Loyal</x:v>
      </x:c>
    </x:row>
    <x:row r="1573" ht="22" customHeight="1">
      <x:c r="A1573" s="2"/>
      <x:c r="B1573" s="2" t="str">
        <x:v>13898</x:v>
      </x:c>
      <x:c r="C1573" s="2" t="str">
        <x:v>United Kingdom</x:v>
      </x:c>
      <x:c r="D1573" s="25" t="n">
        <x:v>40475.44583333333</x:v>
      </x:c>
      <x:c r="E1573" s="25" t="n">
        <x:v>40561.22777777778</x:v>
      </x:c>
      <x:c r="F1573" s="2" t="n">
        <x:v>326</x:v>
      </x:c>
      <x:c r="G1573" s="2" t="n">
        <x:v>2</x:v>
      </x:c>
      <x:c r="H1573" s="11" t="n">
        <x:v>686.4</x:v>
      </x:c>
      <x:c r="I1573" s="2" t="n">
        <x:v>2</x:v>
      </x:c>
      <x:c r="J1573" s="2" t="n">
        <x:v>2</x:v>
      </x:c>
      <x:c r="K1573" s="2" t="n">
        <x:v>3</x:v>
      </x:c>
      <x:c r="L1573" s="2" t="str">
        <x:v>Hibernating</x:v>
      </x:c>
    </x:row>
    <x:row r="1574" ht="22" customHeight="1">
      <x:c r="A1574" s="2"/>
      <x:c r="B1574" s="2" t="str">
        <x:v>13899</x:v>
      </x:c>
      <x:c r="C1574" s="2" t="str">
        <x:v>United Kingdom</x:v>
      </x:c>
      <x:c r="D1574" s="25" t="n">
        <x:v>40612.1875</x:v>
      </x:c>
      <x:c r="E1574" s="25" t="n">
        <x:v>40870.36111111111</x:v>
      </x:c>
      <x:c r="F1574" s="2" t="n">
        <x:v>17</x:v>
      </x:c>
      <x:c r="G1574" s="2" t="n">
        <x:v>2</x:v>
      </x:c>
      <x:c r="H1574" s="11" t="n">
        <x:v>388.52</x:v>
      </x:c>
      <x:c r="I1574" s="2" t="n">
        <x:v>5</x:v>
      </x:c>
      <x:c r="J1574" s="2" t="n">
        <x:v>2</x:v>
      </x:c>
      <x:c r="K1574" s="2" t="n">
        <x:v>2</x:v>
      </x:c>
      <x:c r="L1574" s="2" t="str">
        <x:v>Recent light buyers</x:v>
      </x:c>
    </x:row>
    <x:row r="1575" ht="22" customHeight="1">
      <x:c r="A1575" s="2"/>
      <x:c r="B1575" s="2" t="str">
        <x:v>13900</x:v>
      </x:c>
      <x:c r="C1575" s="2" t="str">
        <x:v>United Kingdom</x:v>
      </x:c>
      <x:c r="D1575" s="25" t="n">
        <x:v>40262.365277777775</x:v>
      </x:c>
      <x:c r="E1575" s="25" t="n">
        <x:v>40703.60138888889</x:v>
      </x:c>
      <x:c r="F1575" s="2" t="n">
        <x:v>184</x:v>
      </x:c>
      <x:c r="G1575" s="2" t="n">
        <x:v>6</x:v>
      </x:c>
      <x:c r="H1575" s="11" t="n">
        <x:v>1610.59</x:v>
      </x:c>
      <x:c r="I1575" s="2" t="n">
        <x:v>3</x:v>
      </x:c>
      <x:c r="J1575" s="2" t="n">
        <x:v>4</x:v>
      </x:c>
      <x:c r="K1575" s="2" t="n">
        <x:v>4</x:v>
      </x:c>
      <x:c r="L1575" s="2" t="str">
        <x:v>Loyal</x:v>
      </x:c>
    </x:row>
    <x:row r="1576" ht="22" customHeight="1">
      <x:c r="A1576" s="2"/>
      <x:c r="B1576" s="2" t="str">
        <x:v>13901</x:v>
      </x:c>
      <x:c r="C1576" s="2" t="str">
        <x:v>United Kingdom</x:v>
      </x:c>
      <x:c r="D1576" s="25" t="n">
        <x:v>40183.18680555555</x:v>
      </x:c>
      <x:c r="E1576" s="25" t="n">
        <x:v>40814.40833333333</x:v>
      </x:c>
      <x:c r="F1576" s="2" t="n">
        <x:v>73</x:v>
      </x:c>
      <x:c r="G1576" s="2" t="n">
        <x:v>15</x:v>
      </x:c>
      <x:c r="H1576" s="11" t="n">
        <x:v>5676.34</x:v>
      </x:c>
      <x:c r="I1576" s="2" t="n">
        <x:v>3</x:v>
      </x:c>
      <x:c r="J1576" s="2" t="n">
        <x:v>5</x:v>
      </x:c>
      <x:c r="K1576" s="2" t="n">
        <x:v>5</x:v>
      </x:c>
      <x:c r="L1576" s="2" t="str">
        <x:v>Loyal</x:v>
      </x:c>
    </x:row>
    <x:row r="1577" ht="22" customHeight="1">
      <x:c r="A1577" s="2"/>
      <x:c r="B1577" s="2" t="str">
        <x:v>13902</x:v>
      </x:c>
      <x:c r="C1577" s="2" t="str">
        <x:v>Denmark</x:v>
      </x:c>
      <x:c r="D1577" s="25" t="n">
        <x:v>40162.20972222222</x:v>
      </x:c>
      <x:c r="E1577" s="25" t="n">
        <x:v>40254.339583333334</x:v>
      </x:c>
      <x:c r="F1577" s="2" t="n">
        <x:v>633</x:v>
      </x:c>
      <x:c r="G1577" s="2" t="n">
        <x:v>5</x:v>
      </x:c>
      <x:c r="H1577" s="11" t="n">
        <x:v>34095.26</x:v>
      </x:c>
      <x:c r="I1577" s="2" t="n">
        <x:v>1</x:v>
      </x:c>
      <x:c r="J1577" s="2" t="n">
        <x:v>4</x:v>
      </x:c>
      <x:c r="K1577" s="2" t="n">
        <x:v>5</x:v>
      </x:c>
      <x:c r="L1577" s="2" t="str">
        <x:v>At risk</x:v>
      </x:c>
    </x:row>
    <x:row r="1578" ht="22" customHeight="1">
      <x:c r="A1578" s="2"/>
      <x:c r="B1578" s="2" t="str">
        <x:v>13903</x:v>
      </x:c>
      <x:c r="C1578" s="2" t="str">
        <x:v>United Kingdom</x:v>
      </x:c>
      <x:c r="D1578" s="25" t="n">
        <x:v>40486.53055555555</x:v>
      </x:c>
      <x:c r="E1578" s="25" t="n">
        <x:v>40486.53055555555</x:v>
      </x:c>
      <x:c r="F1578" s="2" t="n">
        <x:v>401</x:v>
      </x:c>
      <x:c r="G1578" s="2" t="n">
        <x:v>1</x:v>
      </x:c>
      <x:c r="H1578" s="11" t="n">
        <x:v>165.45</x:v>
      </x:c>
      <x:c r="I1578" s="2" t="n">
        <x:v>2</x:v>
      </x:c>
      <x:c r="J1578" s="2" t="n">
        <x:v>1</x:v>
      </x:c>
      <x:c r="K1578" s="2" t="n">
        <x:v>1</x:v>
      </x:c>
      <x:c r="L1578" s="2" t="str">
        <x:v>Hibernating</x:v>
      </x:c>
    </x:row>
    <x:row r="1579" ht="22" customHeight="1">
      <x:c r="A1579" s="2"/>
      <x:c r="B1579" s="2" t="str">
        <x:v>13904</x:v>
      </x:c>
      <x:c r="C1579" s="2" t="str">
        <x:v>United Kingdom</x:v>
      </x:c>
      <x:c r="D1579" s="25" t="n">
        <x:v>40592.2625</x:v>
      </x:c>
      <x:c r="E1579" s="25" t="n">
        <x:v>40849.361805555556</x:v>
      </x:c>
      <x:c r="F1579" s="2" t="n">
        <x:v>38</x:v>
      </x:c>
      <x:c r="G1579" s="2" t="n">
        <x:v>2</x:v>
      </x:c>
      <x:c r="H1579" s="11" t="n">
        <x:v>332.64</x:v>
      </x:c>
      <x:c r="I1579" s="2" t="n">
        <x:v>4</x:v>
      </x:c>
      <x:c r="J1579" s="2" t="n">
        <x:v>2</x:v>
      </x:c>
      <x:c r="K1579" s="2" t="n">
        <x:v>2</x:v>
      </x:c>
      <x:c r="L1579" s="2" t="str">
        <x:v>Recent light buyers</x:v>
      </x:c>
    </x:row>
    <x:row r="1580" ht="22" customHeight="1">
      <x:c r="A1580" s="2"/>
      <x:c r="B1580" s="2" t="str">
        <x:v>13905</x:v>
      </x:c>
      <x:c r="C1580" s="2" t="str">
        <x:v>United Kingdom</x:v>
      </x:c>
      <x:c r="D1580" s="25" t="n">
        <x:v>40154.27847222222</x:v>
      </x:c>
      <x:c r="E1580" s="25" t="n">
        <x:v>40154.27847222222</x:v>
      </x:c>
      <x:c r="F1580" s="2" t="n">
        <x:v>733</x:v>
      </x:c>
      <x:c r="G1580" s="2" t="n">
        <x:v>1</x:v>
      </x:c>
      <x:c r="H1580" s="11" t="n">
        <x:v>312.65</x:v>
      </x:c>
      <x:c r="I1580" s="2" t="n">
        <x:v>1</x:v>
      </x:c>
      <x:c r="J1580" s="2" t="n">
        <x:v>1</x:v>
      </x:c>
      <x:c r="K1580" s="2" t="n">
        <x:v>2</x:v>
      </x:c>
      <x:c r="L1580" s="2" t="str">
        <x:v>Hibernating</x:v>
      </x:c>
    </x:row>
    <x:row r="1581" ht="22" customHeight="1">
      <x:c r="A1581" s="2"/>
      <x:c r="B1581" s="2" t="str">
        <x:v>13906</x:v>
      </x:c>
      <x:c r="C1581" s="2" t="str">
        <x:v>United Kingdom</x:v>
      </x:c>
      <x:c r="D1581" s="25" t="n">
        <x:v>40477.416666666664</x:v>
      </x:c>
      <x:c r="E1581" s="25" t="n">
        <x:v>40477.416666666664</x:v>
      </x:c>
      <x:c r="F1581" s="2" t="n">
        <x:v>410</x:v>
      </x:c>
      <x:c r="G1581" s="2" t="n">
        <x:v>1</x:v>
      </x:c>
      <x:c r="H1581" s="11" t="n">
        <x:v>42</x:v>
      </x:c>
      <x:c r="I1581" s="2" t="n">
        <x:v>2</x:v>
      </x:c>
      <x:c r="J1581" s="2" t="n">
        <x:v>1</x:v>
      </x:c>
      <x:c r="K1581" s="2" t="n">
        <x:v>1</x:v>
      </x:c>
      <x:c r="L1581" s="2" t="str">
        <x:v>Hibernating</x:v>
      </x:c>
    </x:row>
    <x:row r="1582" ht="22" customHeight="1">
      <x:c r="A1582" s="2"/>
      <x:c r="B1582" s="2" t="str">
        <x:v>13907</x:v>
      </x:c>
      <x:c r="C1582" s="2" t="str">
        <x:v>United Kingdom</x:v>
      </x:c>
      <x:c r="D1582" s="25" t="n">
        <x:v>40195.30694444444</x:v>
      </x:c>
      <x:c r="E1582" s="25" t="n">
        <x:v>40195.30694444444</x:v>
      </x:c>
      <x:c r="F1582" s="2" t="n">
        <x:v>692</x:v>
      </x:c>
      <x:c r="G1582" s="2" t="n">
        <x:v>1</x:v>
      </x:c>
      <x:c r="H1582" s="11" t="n">
        <x:v>136.8</x:v>
      </x:c>
      <x:c r="I1582" s="2" t="n">
        <x:v>1</x:v>
      </x:c>
      <x:c r="J1582" s="2" t="n">
        <x:v>1</x:v>
      </x:c>
      <x:c r="K1582" s="2" t="n">
        <x:v>1</x:v>
      </x:c>
      <x:c r="L1582" s="2" t="str">
        <x:v>Hibernating</x:v>
      </x:c>
    </x:row>
    <x:row r="1583" ht="22" customHeight="1">
      <x:c r="A1583" s="2"/>
      <x:c r="B1583" s="2" t="str">
        <x:v>13908</x:v>
      </x:c>
      <x:c r="C1583" s="2" t="str">
        <x:v>United Kingdom</x:v>
      </x:c>
      <x:c r="D1583" s="25" t="n">
        <x:v>40610.294444444444</x:v>
      </x:c>
      <x:c r="E1583" s="25" t="n">
        <x:v>40807.28402777778</x:v>
      </x:c>
      <x:c r="F1583" s="2" t="n">
        <x:v>80</x:v>
      </x:c>
      <x:c r="G1583" s="2" t="n">
        <x:v>4</x:v>
      </x:c>
      <x:c r="H1583" s="11" t="n">
        <x:v>2369.55</x:v>
      </x:c>
      <x:c r="I1583" s="2" t="n">
        <x:v>3</x:v>
      </x:c>
      <x:c r="J1583" s="2" t="n">
        <x:v>3</x:v>
      </x:c>
      <x:c r="K1583" s="2" t="n">
        <x:v>4</x:v>
      </x:c>
      <x:c r="L1583" s="2" t="str">
        <x:v>Loyal</x:v>
      </x:c>
    </x:row>
    <x:row r="1584" ht="22" customHeight="1">
      <x:c r="A1584" s="2"/>
      <x:c r="B1584" s="2" t="str">
        <x:v>13909</x:v>
      </x:c>
      <x:c r="C1584" s="2" t="str">
        <x:v>United Kingdom</x:v>
      </x:c>
      <x:c r="D1584" s="25" t="n">
        <x:v>40365.49444444444</x:v>
      </x:c>
      <x:c r="E1584" s="25" t="n">
        <x:v>40463.51527777778</x:v>
      </x:c>
      <x:c r="F1584" s="2" t="n">
        <x:v>424</x:v>
      </x:c>
      <x:c r="G1584" s="2" t="n">
        <x:v>2</x:v>
      </x:c>
      <x:c r="H1584" s="11" t="n">
        <x:v>286.6</x:v>
      </x:c>
      <x:c r="I1584" s="2" t="n">
        <x:v>1</x:v>
      </x:c>
      <x:c r="J1584" s="2" t="n">
        <x:v>2</x:v>
      </x:c>
      <x:c r="K1584" s="2" t="n">
        <x:v>1</x:v>
      </x:c>
      <x:c r="L1584" s="2" t="str">
        <x:v>Hibernating</x:v>
      </x:c>
    </x:row>
    <x:row r="1585" ht="22" customHeight="1">
      <x:c r="A1585" s="2"/>
      <x:c r="B1585" s="2" t="str">
        <x:v>13911</x:v>
      </x:c>
      <x:c r="C1585" s="2" t="str">
        <x:v>United Kingdom</x:v>
      </x:c>
      <x:c r="D1585" s="25" t="n">
        <x:v>40238.47986111111</x:v>
      </x:c>
      <x:c r="E1585" s="25" t="n">
        <x:v>40829.44652777778</x:v>
      </x:c>
      <x:c r="F1585" s="2" t="n">
        <x:v>58</x:v>
      </x:c>
      <x:c r="G1585" s="2" t="n">
        <x:v>20</x:v>
      </x:c>
      <x:c r="H1585" s="11" t="n">
        <x:v>4234.99</x:v>
      </x:c>
      <x:c r="I1585" s="2" t="n">
        <x:v>4</x:v>
      </x:c>
      <x:c r="J1585" s="2" t="n">
        <x:v>5</x:v>
      </x:c>
      <x:c r="K1585" s="2" t="n">
        <x:v>5</x:v>
      </x:c>
      <x:c r="L1585" s="2" t="str">
        <x:v>Champions</x:v>
      </x:c>
    </x:row>
    <x:row r="1586" ht="22" customHeight="1">
      <x:c r="A1586" s="2"/>
      <x:c r="B1586" s="2" t="str">
        <x:v>13912</x:v>
      </x:c>
      <x:c r="C1586" s="2" t="str">
        <x:v>United Kingdom</x:v>
      </x:c>
      <x:c r="D1586" s="25" t="n">
        <x:v>40463.154861111114</x:v>
      </x:c>
      <x:c r="E1586" s="25" t="n">
        <x:v>40463.154861111114</x:v>
      </x:c>
      <x:c r="F1586" s="2" t="n">
        <x:v>424</x:v>
      </x:c>
      <x:c r="G1586" s="2" t="n">
        <x:v>1</x:v>
      </x:c>
      <x:c r="H1586" s="11" t="n">
        <x:v>124.95</x:v>
      </x:c>
      <x:c r="I1586" s="2" t="n">
        <x:v>1</x:v>
      </x:c>
      <x:c r="J1586" s="2" t="n">
        <x:v>1</x:v>
      </x:c>
      <x:c r="K1586" s="2" t="n">
        <x:v>1</x:v>
      </x:c>
      <x:c r="L1586" s="2" t="str">
        <x:v>Hibernating</x:v>
      </x:c>
    </x:row>
    <x:row r="1587" ht="22" customHeight="1">
      <x:c r="A1587" s="2"/>
      <x:c r="B1587" s="2" t="str">
        <x:v>13913</x:v>
      </x:c>
      <x:c r="C1587" s="2" t="str">
        <x:v>United Kingdom</x:v>
      </x:c>
      <x:c r="D1587" s="25" t="n">
        <x:v>40380.21597222222</x:v>
      </x:c>
      <x:c r="E1587" s="25" t="n">
        <x:v>40380.21597222222</x:v>
      </x:c>
      <x:c r="F1587" s="2" t="n">
        <x:v>507</x:v>
      </x:c>
      <x:c r="G1587" s="2" t="n">
        <x:v>1</x:v>
      </x:c>
      <x:c r="H1587" s="11" t="n">
        <x:v>42.22</x:v>
      </x:c>
      <x:c r="I1587" s="2" t="n">
        <x:v>1</x:v>
      </x:c>
      <x:c r="J1587" s="2" t="n">
        <x:v>1</x:v>
      </x:c>
      <x:c r="K1587" s="2" t="n">
        <x:v>1</x:v>
      </x:c>
      <x:c r="L1587" s="2" t="str">
        <x:v>Hibernating</x:v>
      </x:c>
    </x:row>
    <x:row r="1588" ht="22" customHeight="1">
      <x:c r="A1588" s="2"/>
      <x:c r="B1588" s="2" t="str">
        <x:v>13914</x:v>
      </x:c>
      <x:c r="C1588" s="2" t="str">
        <x:v>United Kingdom</x:v>
      </x:c>
      <x:c r="D1588" s="25" t="n">
        <x:v>40850.47777777778</x:v>
      </x:c>
      <x:c r="E1588" s="25" t="n">
        <x:v>40875.23263888889</x:v>
      </x:c>
      <x:c r="F1588" s="2" t="n">
        <x:v>12</x:v>
      </x:c>
      <x:c r="G1588" s="2" t="n">
        <x:v>2</x:v>
      </x:c>
      <x:c r="H1588" s="11" t="n">
        <x:v>626.45</x:v>
      </x:c>
      <x:c r="I1588" s="2" t="n">
        <x:v>5</x:v>
      </x:c>
      <x:c r="J1588" s="2" t="n">
        <x:v>2</x:v>
      </x:c>
      <x:c r="K1588" s="2" t="n">
        <x:v>3</x:v>
      </x:c>
      <x:c r="L1588" s="2" t="str">
        <x:v>Recent light buyers</x:v>
      </x:c>
    </x:row>
    <x:row r="1589" ht="22" customHeight="1">
      <x:c r="A1589" s="2"/>
      <x:c r="B1589" s="2" t="str">
        <x:v>13915</x:v>
      </x:c>
      <x:c r="C1589" s="2" t="str">
        <x:v>United Kingdom</x:v>
      </x:c>
      <x:c r="D1589" s="25" t="n">
        <x:v>40492.42847222222</x:v>
      </x:c>
      <x:c r="E1589" s="25" t="n">
        <x:v>40492.42847222222</x:v>
      </x:c>
      <x:c r="F1589" s="2" t="n">
        <x:v>395</x:v>
      </x:c>
      <x:c r="G1589" s="2" t="n">
        <x:v>1</x:v>
      </x:c>
      <x:c r="H1589" s="11" t="n">
        <x:v>70.8</x:v>
      </x:c>
      <x:c r="I1589" s="2" t="n">
        <x:v>2</x:v>
      </x:c>
      <x:c r="J1589" s="2" t="n">
        <x:v>1</x:v>
      </x:c>
      <x:c r="K1589" s="2" t="n">
        <x:v>1</x:v>
      </x:c>
      <x:c r="L1589" s="2" t="str">
        <x:v>Hibernating</x:v>
      </x:c>
    </x:row>
    <x:row r="1590" ht="22" customHeight="1">
      <x:c r="A1590" s="2"/>
      <x:c r="B1590" s="2" t="str">
        <x:v>13916</x:v>
      </x:c>
      <x:c r="C1590" s="2" t="str">
        <x:v>United Kingdom</x:v>
      </x:c>
      <x:c r="D1590" s="25" t="n">
        <x:v>40211.2125</x:v>
      </x:c>
      <x:c r="E1590" s="25" t="n">
        <x:v>40423.21111111111</x:v>
      </x:c>
      <x:c r="F1590" s="2" t="n">
        <x:v>464</x:v>
      </x:c>
      <x:c r="G1590" s="2" t="n">
        <x:v>4</x:v>
      </x:c>
      <x:c r="H1590" s="11" t="n">
        <x:v>1275.81</x:v>
      </x:c>
      <x:c r="I1590" s="2" t="n">
        <x:v>1</x:v>
      </x:c>
      <x:c r="J1590" s="2" t="n">
        <x:v>3</x:v>
      </x:c>
      <x:c r="K1590" s="2" t="n">
        <x:v>4</x:v>
      </x:c>
      <x:c r="L1590" s="2" t="str">
        <x:v>At risk</x:v>
      </x:c>
    </x:row>
    <x:row r="1591" ht="22" customHeight="1">
      <x:c r="A1591" s="2"/>
      <x:c r="B1591" s="2" t="str">
        <x:v>13917</x:v>
      </x:c>
      <x:c r="C1591" s="2" t="str">
        <x:v>United Kingdom</x:v>
      </x:c>
      <x:c r="D1591" s="25" t="n">
        <x:v>40695.32361111111</x:v>
      </x:c>
      <x:c r="E1591" s="25" t="n">
        <x:v>40837.205555555556</x:v>
      </x:c>
      <x:c r="F1591" s="2" t="n">
        <x:v>50</x:v>
      </x:c>
      <x:c r="G1591" s="2" t="n">
        <x:v>2</x:v>
      </x:c>
      <x:c r="H1591" s="11" t="n">
        <x:v>272.04</x:v>
      </x:c>
      <x:c r="I1591" s="2" t="n">
        <x:v>4</x:v>
      </x:c>
      <x:c r="J1591" s="2" t="n">
        <x:v>2</x:v>
      </x:c>
      <x:c r="K1591" s="2" t="n">
        <x:v>1</x:v>
      </x:c>
      <x:c r="L1591" s="2" t="str">
        <x:v>Recent light buyers</x:v>
      </x:c>
    </x:row>
    <x:row r="1592" ht="22" customHeight="1">
      <x:c r="A1592" s="2"/>
      <x:c r="B1592" s="2" t="str">
        <x:v>13918</x:v>
      </x:c>
      <x:c r="C1592" s="2" t="str">
        <x:v>United Kingdom</x:v>
      </x:c>
      <x:c r="D1592" s="25" t="n">
        <x:v>40633.54513888889</x:v>
      </x:c>
      <x:c r="E1592" s="25" t="n">
        <x:v>40837.30902777778</x:v>
      </x:c>
      <x:c r="F1592" s="2" t="n">
        <x:v>50</x:v>
      </x:c>
      <x:c r="G1592" s="2" t="n">
        <x:v>2</x:v>
      </x:c>
      <x:c r="H1592" s="11" t="n">
        <x:v>1212.84</x:v>
      </x:c>
      <x:c r="I1592" s="2" t="n">
        <x:v>4</x:v>
      </x:c>
      <x:c r="J1592" s="2" t="n">
        <x:v>2</x:v>
      </x:c>
      <x:c r="K1592" s="2" t="n">
        <x:v>3</x:v>
      </x:c>
      <x:c r="L1592" s="2" t="str">
        <x:v>Recent light buyers</x:v>
      </x:c>
    </x:row>
    <x:row r="1593" ht="22" customHeight="1">
      <x:c r="A1593" s="2"/>
      <x:c r="B1593" s="2" t="str">
        <x:v>13919</x:v>
      </x:c>
      <x:c r="C1593" s="2" t="str">
        <x:v>Denmark</x:v>
      </x:c>
      <x:c r="D1593" s="25" t="n">
        <x:v>40346.1875</x:v>
      </x:c>
      <x:c r="E1593" s="25" t="n">
        <x:v>40827.39166666667</x:v>
      </x:c>
      <x:c r="F1593" s="2" t="n">
        <x:v>60</x:v>
      </x:c>
      <x:c r="G1593" s="2" t="n">
        <x:v>4</x:v>
      </x:c>
      <x:c r="H1593" s="11" t="n">
        <x:v>1360.68</x:v>
      </x:c>
      <x:c r="I1593" s="2" t="n">
        <x:v>3</x:v>
      </x:c>
      <x:c r="J1593" s="2" t="n">
        <x:v>3</x:v>
      </x:c>
      <x:c r="K1593" s="2" t="n">
        <x:v>4</x:v>
      </x:c>
      <x:c r="L1593" s="2" t="str">
        <x:v>Loyal</x:v>
      </x:c>
    </x:row>
    <x:row r="1594" ht="22" customHeight="1">
      <x:c r="A1594" s="2"/>
      <x:c r="B1594" s="2" t="str">
        <x:v>13920</x:v>
      </x:c>
      <x:c r="C1594" s="2" t="str">
        <x:v>United Kingdom</x:v>
      </x:c>
      <x:c r="D1594" s="25" t="n">
        <x:v>40324.45</x:v>
      </x:c>
      <x:c r="E1594" s="25" t="n">
        <x:v>40455.31736111111</x:v>
      </x:c>
      <x:c r="F1594" s="2" t="n">
        <x:v>432</x:v>
      </x:c>
      <x:c r="G1594" s="2" t="n">
        <x:v>4</x:v>
      </x:c>
      <x:c r="H1594" s="11" t="n">
        <x:v>1774.68</x:v>
      </x:c>
      <x:c r="I1594" s="2" t="n">
        <x:v>1</x:v>
      </x:c>
      <x:c r="J1594" s="2" t="n">
        <x:v>3</x:v>
      </x:c>
      <x:c r="K1594" s="2" t="n">
        <x:v>4</x:v>
      </x:c>
      <x:c r="L1594" s="2" t="str">
        <x:v>At risk</x:v>
      </x:c>
    </x:row>
    <x:row r="1595" ht="22" customHeight="1">
      <x:c r="A1595" s="2"/>
      <x:c r="B1595" s="2" t="str">
        <x:v>13921</x:v>
      </x:c>
      <x:c r="C1595" s="2" t="str">
        <x:v>United Kingdom</x:v>
      </x:c>
      <x:c r="D1595" s="25" t="n">
        <x:v>40165.30486111111</x:v>
      </x:c>
      <x:c r="E1595" s="25" t="n">
        <x:v>40484.48055555556</x:v>
      </x:c>
      <x:c r="F1595" s="2" t="n">
        <x:v>403</x:v>
      </x:c>
      <x:c r="G1595" s="2" t="n">
        <x:v>4</x:v>
      </x:c>
      <x:c r="H1595" s="11" t="n">
        <x:v>730.7</x:v>
      </x:c>
      <x:c r="I1595" s="2" t="n">
        <x:v>2</x:v>
      </x:c>
      <x:c r="J1595" s="2" t="n">
        <x:v>3</x:v>
      </x:c>
      <x:c r="K1595" s="2" t="n">
        <x:v>3</x:v>
      </x:c>
      <x:c r="L1595" s="2" t="str">
        <x:v>At risk</x:v>
      </x:c>
    </x:row>
    <x:row r="1596" ht="22" customHeight="1">
      <x:c r="A1596" s="2"/>
      <x:c r="B1596" s="2" t="str">
        <x:v>13922</x:v>
      </x:c>
      <x:c r="C1596" s="2" t="str">
        <x:v>United Kingdom</x:v>
      </x:c>
      <x:c r="D1596" s="25" t="n">
        <x:v>40419.4</x:v>
      </x:c>
      <x:c r="E1596" s="25" t="n">
        <x:v>40535.23472222222</x:v>
      </x:c>
      <x:c r="F1596" s="2" t="n">
        <x:v>352</x:v>
      </x:c>
      <x:c r="G1596" s="2" t="n">
        <x:v>3</x:v>
      </x:c>
      <x:c r="H1596" s="11" t="n">
        <x:v>865.2</x:v>
      </x:c>
      <x:c r="I1596" s="2" t="n">
        <x:v>2</x:v>
      </x:c>
      <x:c r="J1596" s="2" t="n">
        <x:v>3</x:v>
      </x:c>
      <x:c r="K1596" s="2" t="n">
        <x:v>3</x:v>
      </x:c>
      <x:c r="L1596" s="2" t="str">
        <x:v>At risk</x:v>
      </x:c>
    </x:row>
    <x:row r="1597" ht="22" customHeight="1">
      <x:c r="A1597" s="2"/>
      <x:c r="B1597" s="2" t="str">
        <x:v>13923</x:v>
      </x:c>
      <x:c r="C1597" s="2" t="str">
        <x:v>United Kingdom</x:v>
      </x:c>
      <x:c r="D1597" s="25" t="n">
        <x:v>40833.31458333333</x:v>
      </x:c>
      <x:c r="E1597" s="25" t="n">
        <x:v>40833.31458333333</x:v>
      </x:c>
      <x:c r="F1597" s="2" t="n">
        <x:v>54</x:v>
      </x:c>
      <x:c r="G1597" s="2" t="n">
        <x:v>1</x:v>
      </x:c>
      <x:c r="H1597" s="11" t="n">
        <x:v>351.13</x:v>
      </x:c>
      <x:c r="I1597" s="2" t="n">
        <x:v>4</x:v>
      </x:c>
      <x:c r="J1597" s="2" t="n">
        <x:v>1</x:v>
      </x:c>
      <x:c r="K1597" s="2" t="n">
        <x:v>2</x:v>
      </x:c>
      <x:c r="L1597" s="2" t="str">
        <x:v>Recent light buyers</x:v>
      </x:c>
    </x:row>
    <x:row r="1598" ht="22" customHeight="1">
      <x:c r="A1598" s="2"/>
      <x:c r="B1598" s="2" t="str">
        <x:v>13924</x:v>
      </x:c>
      <x:c r="C1598" s="2" t="str">
        <x:v>United Kingdom</x:v>
      </x:c>
      <x:c r="D1598" s="25" t="n">
        <x:v>40814.42152777778</x:v>
      </x:c>
      <x:c r="E1598" s="25" t="n">
        <x:v>40885.19375</x:v>
      </x:c>
      <x:c r="F1598" s="2" t="n">
        <x:v>2</x:v>
      </x:c>
      <x:c r="G1598" s="2" t="n">
        <x:v>6</x:v>
      </x:c>
      <x:c r="H1598" s="11" t="n">
        <x:v>1838.85</x:v>
      </x:c>
      <x:c r="I1598" s="2" t="n">
        <x:v>5</x:v>
      </x:c>
      <x:c r="J1598" s="2" t="n">
        <x:v>4</x:v>
      </x:c>
      <x:c r="K1598" s="2" t="n">
        <x:v>4</x:v>
      </x:c>
      <x:c r="L1598" s="2" t="str">
        <x:v>Champions</x:v>
      </x:c>
    </x:row>
    <x:row r="1599" ht="22" customHeight="1">
      <x:c r="A1599" s="2"/>
      <x:c r="B1599" s="2" t="str">
        <x:v>13925</x:v>
      </x:c>
      <x:c r="C1599" s="2" t="str">
        <x:v>United Kingdom</x:v>
      </x:c>
      <x:c r="D1599" s="25" t="n">
        <x:v>40752.29791666667</x:v>
      </x:c>
      <x:c r="E1599" s="25" t="n">
        <x:v>40794.32430555556</x:v>
      </x:c>
      <x:c r="F1599" s="2" t="n">
        <x:v>93</x:v>
      </x:c>
      <x:c r="G1599" s="2" t="n">
        <x:v>4</x:v>
      </x:c>
      <x:c r="H1599" s="11" t="n">
        <x:v>678.25</x:v>
      </x:c>
      <x:c r="I1599" s="2" t="n">
        <x:v>3</x:v>
      </x:c>
      <x:c r="J1599" s="2" t="n">
        <x:v>3</x:v>
      </x:c>
      <x:c r="K1599" s="2" t="n">
        <x:v>3</x:v>
      </x:c>
      <x:c r="L1599" s="2" t="str">
        <x:v>Loyal</x:v>
      </x:c>
    </x:row>
    <x:row r="1600" ht="22" customHeight="1">
      <x:c r="A1600" s="2"/>
      <x:c r="B1600" s="2" t="str">
        <x:v>13926</x:v>
      </x:c>
      <x:c r="C1600" s="2" t="str">
        <x:v>United Kingdom</x:v>
      </x:c>
      <x:c r="D1600" s="25" t="n">
        <x:v>40863.34444444445</x:v>
      </x:c>
      <x:c r="E1600" s="25" t="n">
        <x:v>40863.34444444445</x:v>
      </x:c>
      <x:c r="F1600" s="2" t="n">
        <x:v>24</x:v>
      </x:c>
      <x:c r="G1600" s="2" t="n">
        <x:v>1</x:v>
      </x:c>
      <x:c r="H1600" s="11" t="n">
        <x:v>223.85</x:v>
      </x:c>
      <x:c r="I1600" s="2" t="n">
        <x:v>4</x:v>
      </x:c>
      <x:c r="J1600" s="2" t="n">
        <x:v>1</x:v>
      </x:c>
      <x:c r="K1600" s="2" t="n">
        <x:v>1</x:v>
      </x:c>
      <x:c r="L1600" s="2" t="str">
        <x:v>Recent light buyers</x:v>
      </x:c>
    </x:row>
    <x:row r="1601" ht="22" customHeight="1">
      <x:c r="A1601" s="2"/>
      <x:c r="B1601" s="2" t="str">
        <x:v>13927</x:v>
      </x:c>
      <x:c r="C1601" s="2" t="str">
        <x:v>United Kingdom</x:v>
      </x:c>
      <x:c r="D1601" s="25" t="n">
        <x:v>40449.46666666667</x:v>
      </x:c>
      <x:c r="E1601" s="25" t="n">
        <x:v>40812.291666666664</x:v>
      </x:c>
      <x:c r="F1601" s="2" t="n">
        <x:v>75</x:v>
      </x:c>
      <x:c r="G1601" s="2" t="n">
        <x:v>2</x:v>
      </x:c>
      <x:c r="H1601" s="11" t="n">
        <x:v>708.26</x:v>
      </x:c>
      <x:c r="I1601" s="2" t="n">
        <x:v>3</x:v>
      </x:c>
      <x:c r="J1601" s="2" t="n">
        <x:v>2</x:v>
      </x:c>
      <x:c r="K1601" s="2" t="n">
        <x:v>3</x:v>
      </x:c>
      <x:c r="L1601" s="2" t="str">
        <x:v>Developing</x:v>
      </x:c>
    </x:row>
    <x:row r="1602" ht="22" customHeight="1">
      <x:c r="A1602" s="2"/>
      <x:c r="B1602" s="2" t="str">
        <x:v>13928</x:v>
      </x:c>
      <x:c r="C1602" s="2" t="str">
        <x:v>United Kingdom</x:v>
      </x:c>
      <x:c r="D1602" s="25" t="n">
        <x:v>40753.45763888889</x:v>
      </x:c>
      <x:c r="E1602" s="25" t="n">
        <x:v>40876.23125</x:v>
      </x:c>
      <x:c r="F1602" s="2" t="n">
        <x:v>11</x:v>
      </x:c>
      <x:c r="G1602" s="2" t="n">
        <x:v>4</x:v>
      </x:c>
      <x:c r="H1602" s="11" t="n">
        <x:v>464.57</x:v>
      </x:c>
      <x:c r="I1602" s="2" t="n">
        <x:v>5</x:v>
      </x:c>
      <x:c r="J1602" s="2" t="n">
        <x:v>3</x:v>
      </x:c>
      <x:c r="K1602" s="2" t="n">
        <x:v>2</x:v>
      </x:c>
      <x:c r="L1602" s="2" t="str">
        <x:v>Loyal</x:v>
      </x:c>
    </x:row>
    <x:row r="1603" ht="22" customHeight="1">
      <x:c r="A1603" s="2"/>
      <x:c r="B1603" s="2" t="str">
        <x:v>13929</x:v>
      </x:c>
      <x:c r="C1603" s="2" t="str">
        <x:v>United Kingdom</x:v>
      </x:c>
      <x:c r="D1603" s="25" t="n">
        <x:v>40192.100694444445</x:v>
      </x:c>
      <x:c r="E1603" s="25" t="n">
        <x:v>40717.43472222222</x:v>
      </x:c>
      <x:c r="F1603" s="2" t="n">
        <x:v>170</x:v>
      </x:c>
      <x:c r="G1603" s="2" t="n">
        <x:v>11</x:v>
      </x:c>
      <x:c r="H1603" s="11" t="n">
        <x:v>3494.1</x:v>
      </x:c>
      <x:c r="I1603" s="2" t="n">
        <x:v>3</x:v>
      </x:c>
      <x:c r="J1603" s="2" t="n">
        <x:v>5</x:v>
      </x:c>
      <x:c r="K1603" s="2" t="n">
        <x:v>5</x:v>
      </x:c>
      <x:c r="L1603" s="2" t="str">
        <x:v>Loyal</x:v>
      </x:c>
    </x:row>
    <x:row r="1604" ht="22" customHeight="1">
      <x:c r="A1604" s="2"/>
      <x:c r="B1604" s="2" t="str">
        <x:v>13930</x:v>
      </x:c>
      <x:c r="C1604" s="2" t="str">
        <x:v>United Kingdom</x:v>
      </x:c>
      <x:c r="D1604" s="25" t="n">
        <x:v>40750.25</x:v>
      </x:c>
      <x:c r="E1604" s="25" t="n">
        <x:v>40829.197916666664</x:v>
      </x:c>
      <x:c r="F1604" s="2" t="n">
        <x:v>58</x:v>
      </x:c>
      <x:c r="G1604" s="2" t="n">
        <x:v>2</x:v>
      </x:c>
      <x:c r="H1604" s="11" t="n">
        <x:v>337.34</x:v>
      </x:c>
      <x:c r="I1604" s="2" t="n">
        <x:v>4</x:v>
      </x:c>
      <x:c r="J1604" s="2" t="n">
        <x:v>2</x:v>
      </x:c>
      <x:c r="K1604" s="2" t="n">
        <x:v>2</x:v>
      </x:c>
      <x:c r="L1604" s="2" t="str">
        <x:v>Recent light buyers</x:v>
      </x:c>
    </x:row>
    <x:row r="1605" ht="22" customHeight="1">
      <x:c r="A1605" s="2"/>
      <x:c r="B1605" s="2" t="str">
        <x:v>13931</x:v>
      </x:c>
      <x:c r="C1605" s="2" t="str">
        <x:v>United Kingdom</x:v>
      </x:c>
      <x:c r="D1605" s="25" t="n">
        <x:v>40150.22638888889</x:v>
      </x:c>
      <x:c r="E1605" s="25" t="n">
        <x:v>40791.21666666667</x:v>
      </x:c>
      <x:c r="F1605" s="2" t="n">
        <x:v>96</x:v>
      </x:c>
      <x:c r="G1605" s="2" t="n">
        <x:v>11</x:v>
      </x:c>
      <x:c r="H1605" s="11" t="n">
        <x:v>5257.38</x:v>
      </x:c>
      <x:c r="I1605" s="2" t="n">
        <x:v>3</x:v>
      </x:c>
      <x:c r="J1605" s="2" t="n">
        <x:v>5</x:v>
      </x:c>
      <x:c r="K1605" s="2" t="n">
        <x:v>5</x:v>
      </x:c>
      <x:c r="L1605" s="2" t="str">
        <x:v>Loyal</x:v>
      </x:c>
    </x:row>
    <x:row r="1606" ht="22" customHeight="1">
      <x:c r="A1606" s="2"/>
      <x:c r="B1606" s="2" t="str">
        <x:v>13932</x:v>
      </x:c>
      <x:c r="C1606" s="2" t="str">
        <x:v>United Kingdom</x:v>
      </x:c>
      <x:c r="D1606" s="25" t="n">
        <x:v>40592.29305555556</x:v>
      </x:c>
      <x:c r="E1606" s="25" t="n">
        <x:v>40592.29305555556</x:v>
      </x:c>
      <x:c r="F1606" s="2" t="n">
        <x:v>295</x:v>
      </x:c>
      <x:c r="G1606" s="2" t="n">
        <x:v>1</x:v>
      </x:c>
      <x:c r="H1606" s="11" t="n">
        <x:v>307.4</x:v>
      </x:c>
      <x:c r="I1606" s="2" t="n">
        <x:v>2</x:v>
      </x:c>
      <x:c r="J1606" s="2" t="n">
        <x:v>1</x:v>
      </x:c>
      <x:c r="K1606" s="2" t="n">
        <x:v>2</x:v>
      </x:c>
      <x:c r="L1606" s="2" t="str">
        <x:v>Hibernating</x:v>
      </x:c>
    </x:row>
    <x:row r="1607" ht="22" customHeight="1">
      <x:c r="A1607" s="2"/>
      <x:c r="B1607" s="2" t="str">
        <x:v>13933</x:v>
      </x:c>
      <x:c r="C1607" s="2" t="str">
        <x:v>United Kingdom</x:v>
      </x:c>
      <x:c r="D1607" s="25" t="n">
        <x:v>40738.35763888889</x:v>
      </x:c>
      <x:c r="E1607" s="25" t="n">
        <x:v>40777.37708333333</x:v>
      </x:c>
      <x:c r="F1607" s="2" t="n">
        <x:v>110</x:v>
      </x:c>
      <x:c r="G1607" s="2" t="n">
        <x:v>2</x:v>
      </x:c>
      <x:c r="H1607" s="11" t="n">
        <x:v>608.79</x:v>
      </x:c>
      <x:c r="I1607" s="2" t="n">
        <x:v>3</x:v>
      </x:c>
      <x:c r="J1607" s="2" t="n">
        <x:v>2</x:v>
      </x:c>
      <x:c r="K1607" s="2" t="n">
        <x:v>2</x:v>
      </x:c>
      <x:c r="L1607" s="2" t="str">
        <x:v>Developing</x:v>
      </x:c>
    </x:row>
    <x:row r="1608" ht="22" customHeight="1">
      <x:c r="A1608" s="2"/>
      <x:c r="B1608" s="2" t="str">
        <x:v>13934</x:v>
      </x:c>
      <x:c r="C1608" s="2" t="str">
        <x:v>United Kingdom</x:v>
      </x:c>
      <x:c r="D1608" s="25" t="n">
        <x:v>40623.152083333334</x:v>
      </x:c>
      <x:c r="E1608" s="25" t="n">
        <x:v>40623.152083333334</x:v>
      </x:c>
      <x:c r="F1608" s="2" t="n">
        <x:v>264</x:v>
      </x:c>
      <x:c r="G1608" s="2" t="n">
        <x:v>1</x:v>
      </x:c>
      <x:c r="H1608" s="11" t="n">
        <x:v>922.1</x:v>
      </x:c>
      <x:c r="I1608" s="2" t="n">
        <x:v>2</x:v>
      </x:c>
      <x:c r="J1608" s="2" t="n">
        <x:v>1</x:v>
      </x:c>
      <x:c r="K1608" s="2" t="n">
        <x:v>3</x:v>
      </x:c>
      <x:c r="L1608" s="2" t="str">
        <x:v>Hibernating</x:v>
      </x:c>
    </x:row>
    <x:row r="1609" ht="22" customHeight="1">
      <x:c r="A1609" s="2"/>
      <x:c r="B1609" s="2" t="str">
        <x:v>13935</x:v>
      </x:c>
      <x:c r="C1609" s="2" t="str">
        <x:v>United Kingdom</x:v>
      </x:c>
      <x:c r="D1609" s="25" t="n">
        <x:v>40234.459027777775</x:v>
      </x:c>
      <x:c r="E1609" s="25" t="n">
        <x:v>40290.26458333333</x:v>
      </x:c>
      <x:c r="F1609" s="2" t="n">
        <x:v>597</x:v>
      </x:c>
      <x:c r="G1609" s="2" t="n">
        <x:v>3</x:v>
      </x:c>
      <x:c r="H1609" s="11" t="n">
        <x:v>6116.92</x:v>
      </x:c>
      <x:c r="I1609" s="2" t="n">
        <x:v>1</x:v>
      </x:c>
      <x:c r="J1609" s="2" t="n">
        <x:v>3</x:v>
      </x:c>
      <x:c r="K1609" s="2" t="n">
        <x:v>5</x:v>
      </x:c>
      <x:c r="L1609" s="2" t="str">
        <x:v>At risk</x:v>
      </x:c>
    </x:row>
    <x:row r="1610" ht="22" customHeight="1">
      <x:c r="A1610" s="2"/>
      <x:c r="B1610" s="2" t="str">
        <x:v>13936</x:v>
      </x:c>
      <x:c r="C1610" s="2" t="str">
        <x:v>United Kingdom</x:v>
      </x:c>
      <x:c r="D1610" s="25" t="n">
        <x:v>40472.38958333333</x:v>
      </x:c>
      <x:c r="E1610" s="25" t="n">
        <x:v>40707.157638888886</x:v>
      </x:c>
      <x:c r="F1610" s="2" t="n">
        <x:v>180</x:v>
      </x:c>
      <x:c r="G1610" s="2" t="n">
        <x:v>3</x:v>
      </x:c>
      <x:c r="H1610" s="11" t="n">
        <x:v>939.66</x:v>
      </x:c>
      <x:c r="I1610" s="2" t="n">
        <x:v>3</x:v>
      </x:c>
      <x:c r="J1610" s="2" t="n">
        <x:v>3</x:v>
      </x:c>
      <x:c r="K1610" s="2" t="n">
        <x:v>3</x:v>
      </x:c>
      <x:c r="L1610" s="2" t="str">
        <x:v>Loyal</x:v>
      </x:c>
    </x:row>
    <x:row r="1611" ht="22" customHeight="1">
      <x:c r="A1611" s="2"/>
      <x:c r="B1611" s="2" t="str">
        <x:v>13937</x:v>
      </x:c>
      <x:c r="C1611" s="2" t="str">
        <x:v>United Kingdom</x:v>
      </x:c>
      <x:c r="D1611" s="25" t="n">
        <x:v>40484.31736111111</x:v>
      </x:c>
      <x:c r="E1611" s="25" t="n">
        <x:v>40717.48263888889</x:v>
      </x:c>
      <x:c r="F1611" s="2" t="n">
        <x:v>170</x:v>
      </x:c>
      <x:c r="G1611" s="2" t="n">
        <x:v>2</x:v>
      </x:c>
      <x:c r="H1611" s="11" t="n">
        <x:v>880.13</x:v>
      </x:c>
      <x:c r="I1611" s="2" t="n">
        <x:v>3</x:v>
      </x:c>
      <x:c r="J1611" s="2" t="n">
        <x:v>2</x:v>
      </x:c>
      <x:c r="K1611" s="2" t="n">
        <x:v>3</x:v>
      </x:c>
      <x:c r="L1611" s="2" t="str">
        <x:v>Developing</x:v>
      </x:c>
    </x:row>
    <x:row r="1612" ht="22" customHeight="1">
      <x:c r="A1612" s="2"/>
      <x:c r="B1612" s="2" t="str">
        <x:v>13938</x:v>
      </x:c>
      <x:c r="C1612" s="2" t="str">
        <x:v>United Kingdom</x:v>
      </x:c>
      <x:c r="D1612" s="25" t="n">
        <x:v>40851.40069444444</x:v>
      </x:c>
      <x:c r="E1612" s="25" t="n">
        <x:v>40851.40069444444</x:v>
      </x:c>
      <x:c r="F1612" s="2" t="n">
        <x:v>36</x:v>
      </x:c>
      <x:c r="G1612" s="2" t="n">
        <x:v>1</x:v>
      </x:c>
      <x:c r="H1612" s="11" t="n">
        <x:v>71.66</x:v>
      </x:c>
      <x:c r="I1612" s="2" t="n">
        <x:v>4</x:v>
      </x:c>
      <x:c r="J1612" s="2" t="n">
        <x:v>1</x:v>
      </x:c>
      <x:c r="K1612" s="2" t="n">
        <x:v>1</x:v>
      </x:c>
      <x:c r="L1612" s="2" t="str">
        <x:v>Recent light buyers</x:v>
      </x:c>
    </x:row>
    <x:row r="1613" ht="22" customHeight="1">
      <x:c r="A1613" s="2"/>
      <x:c r="B1613" s="2" t="str">
        <x:v>13939</x:v>
      </x:c>
      <x:c r="C1613" s="2" t="str">
        <x:v>United Kingdom</x:v>
      </x:c>
      <x:c r="D1613" s="25" t="n">
        <x:v>40274.32152777778</x:v>
      </x:c>
      <x:c r="E1613" s="25" t="n">
        <x:v>40863.35625</x:v>
      </x:c>
      <x:c r="F1613" s="2" t="n">
        <x:v>24</x:v>
      </x:c>
      <x:c r="G1613" s="2" t="n">
        <x:v>7</x:v>
      </x:c>
      <x:c r="H1613" s="11" t="n">
        <x:v>1560.96</x:v>
      </x:c>
      <x:c r="I1613" s="2" t="n">
        <x:v>4</x:v>
      </x:c>
      <x:c r="J1613" s="2" t="n">
        <x:v>4</x:v>
      </x:c>
      <x:c r="K1613" s="2" t="n">
        <x:v>4</x:v>
      </x:c>
      <x:c r="L1613" s="2" t="str">
        <x:v>Champions</x:v>
      </x:c>
    </x:row>
    <x:row r="1614" ht="22" customHeight="1">
      <x:c r="A1614" s="2"/>
      <x:c r="B1614" s="2" t="str">
        <x:v>13940</x:v>
      </x:c>
      <x:c r="C1614" s="2" t="str">
        <x:v>United Kingdom</x:v>
      </x:c>
      <x:c r="D1614" s="25" t="n">
        <x:v>40742.461805555555</x:v>
      </x:c>
      <x:c r="E1614" s="25" t="n">
        <x:v>40869.427083333336</x:v>
      </x:c>
      <x:c r="F1614" s="2" t="n">
        <x:v>18</x:v>
      </x:c>
      <x:c r="G1614" s="2" t="n">
        <x:v>4</x:v>
      </x:c>
      <x:c r="H1614" s="11" t="n">
        <x:v>839.14</x:v>
      </x:c>
      <x:c r="I1614" s="2" t="n">
        <x:v>5</x:v>
      </x:c>
      <x:c r="J1614" s="2" t="n">
        <x:v>3</x:v>
      </x:c>
      <x:c r="K1614" s="2" t="n">
        <x:v>3</x:v>
      </x:c>
      <x:c r="L1614" s="2" t="str">
        <x:v>Loyal</x:v>
      </x:c>
    </x:row>
    <x:row r="1615" ht="22" customHeight="1">
      <x:c r="A1615" s="2"/>
      <x:c r="B1615" s="2" t="str">
        <x:v>13941</x:v>
      </x:c>
      <x:c r="C1615" s="2" t="str">
        <x:v>United Kingdom</x:v>
      </x:c>
      <x:c r="D1615" s="25" t="n">
        <x:v>40163.46527777778</x:v>
      </x:c>
      <x:c r="E1615" s="25" t="n">
        <x:v>40865.19652777778</x:v>
      </x:c>
      <x:c r="F1615" s="2" t="n">
        <x:v>22</x:v>
      </x:c>
      <x:c r="G1615" s="2" t="n">
        <x:v>15</x:v>
      </x:c>
      <x:c r="H1615" s="11" t="n">
        <x:v>10027.18</x:v>
      </x:c>
      <x:c r="I1615" s="2" t="n">
        <x:v>4</x:v>
      </x:c>
      <x:c r="J1615" s="2" t="n">
        <x:v>5</x:v>
      </x:c>
      <x:c r="K1615" s="2" t="n">
        <x:v>5</x:v>
      </x:c>
      <x:c r="L1615" s="2" t="str">
        <x:v>Champions</x:v>
      </x:c>
    </x:row>
    <x:row r="1616" ht="22" customHeight="1">
      <x:c r="A1616" s="2"/>
      <x:c r="B1616" s="2" t="str">
        <x:v>13942</x:v>
      </x:c>
      <x:c r="C1616" s="2" t="str">
        <x:v>United Kingdom</x:v>
      </x:c>
      <x:c r="D1616" s="25" t="n">
        <x:v>40352.31597222222</x:v>
      </x:c>
      <x:c r="E1616" s="25" t="n">
        <x:v>40352.31597222222</x:v>
      </x:c>
      <x:c r="F1616" s="2" t="n">
        <x:v>535</x:v>
      </x:c>
      <x:c r="G1616" s="2" t="n">
        <x:v>1</x:v>
      </x:c>
      <x:c r="H1616" s="11" t="n">
        <x:v>320</x:v>
      </x:c>
      <x:c r="I1616" s="2" t="n">
        <x:v>1</x:v>
      </x:c>
      <x:c r="J1616" s="2" t="n">
        <x:v>1</x:v>
      </x:c>
      <x:c r="K1616" s="2" t="n">
        <x:v>2</x:v>
      </x:c>
      <x:c r="L1616" s="2" t="str">
        <x:v>Hibernating</x:v>
      </x:c>
    </x:row>
    <x:row r="1617" ht="22" customHeight="1">
      <x:c r="A1617" s="2"/>
      <x:c r="B1617" s="2" t="str">
        <x:v>13943</x:v>
      </x:c>
      <x:c r="C1617" s="2" t="str">
        <x:v>United Kingdom</x:v>
      </x:c>
      <x:c r="D1617" s="25" t="n">
        <x:v>40309.270833333336</x:v>
      </x:c>
      <x:c r="E1617" s="25" t="n">
        <x:v>40309.270833333336</x:v>
      </x:c>
      <x:c r="F1617" s="2" t="n">
        <x:v>578</x:v>
      </x:c>
      <x:c r="G1617" s="2" t="n">
        <x:v>1</x:v>
      </x:c>
      <x:c r="H1617" s="11" t="n">
        <x:v>246.54</x:v>
      </x:c>
      <x:c r="I1617" s="2" t="n">
        <x:v>1</x:v>
      </x:c>
      <x:c r="J1617" s="2" t="n">
        <x:v>1</x:v>
      </x:c>
      <x:c r="K1617" s="2" t="n">
        <x:v>1</x:v>
      </x:c>
      <x:c r="L1617" s="2" t="str">
        <x:v>Hibernating</x:v>
      </x:c>
    </x:row>
    <x:row r="1618" ht="22" customHeight="1">
      <x:c r="A1618" s="2"/>
      <x:c r="B1618" s="2" t="str">
        <x:v>13944</x:v>
      </x:c>
      <x:c r="C1618" s="2" t="str">
        <x:v>United Kingdom</x:v>
      </x:c>
      <x:c r="D1618" s="25" t="n">
        <x:v>40233.41805555556</x:v>
      </x:c>
      <x:c r="E1618" s="25" t="n">
        <x:v>40233.41805555556</x:v>
      </x:c>
      <x:c r="F1618" s="2" t="n">
        <x:v>654</x:v>
      </x:c>
      <x:c r="G1618" s="2" t="n">
        <x:v>1</x:v>
      </x:c>
      <x:c r="H1618" s="11" t="n">
        <x:v>200.43</x:v>
      </x:c>
      <x:c r="I1618" s="2" t="n">
        <x:v>1</x:v>
      </x:c>
      <x:c r="J1618" s="2" t="n">
        <x:v>1</x:v>
      </x:c>
      <x:c r="K1618" s="2" t="n">
        <x:v>1</x:v>
      </x:c>
      <x:c r="L1618" s="2" t="str">
        <x:v>Hibernating</x:v>
      </x:c>
    </x:row>
    <x:row r="1619" ht="22" customHeight="1">
      <x:c r="A1619" s="2"/>
      <x:c r="B1619" s="2" t="str">
        <x:v>13945</x:v>
      </x:c>
      <x:c r="C1619" s="2" t="str">
        <x:v>United Kingdom</x:v>
      </x:c>
      <x:c r="D1619" s="25" t="n">
        <x:v>40407.20763888889</x:v>
      </x:c>
      <x:c r="E1619" s="25" t="n">
        <x:v>40492.208333333336</x:v>
      </x:c>
      <x:c r="F1619" s="2" t="n">
        <x:v>395</x:v>
      </x:c>
      <x:c r="G1619" s="2" t="n">
        <x:v>2</x:v>
      </x:c>
      <x:c r="H1619" s="11" t="n">
        <x:v>854.15</x:v>
      </x:c>
      <x:c r="I1619" s="2" t="n">
        <x:v>2</x:v>
      </x:c>
      <x:c r="J1619" s="2" t="n">
        <x:v>2</x:v>
      </x:c>
      <x:c r="K1619" s="2" t="n">
        <x:v>3</x:v>
      </x:c>
      <x:c r="L1619" s="2" t="str">
        <x:v>Hibernating</x:v>
      </x:c>
    </x:row>
    <x:row r="1620" ht="22" customHeight="1">
      <x:c r="A1620" s="2"/>
      <x:c r="B1620" s="2" t="str">
        <x:v>13946</x:v>
      </x:c>
      <x:c r="C1620" s="2" t="str">
        <x:v>United Kingdom</x:v>
      </x:c>
      <x:c r="D1620" s="25" t="n">
        <x:v>40151.25486111111</x:v>
      </x:c>
      <x:c r="E1620" s="25" t="n">
        <x:v>40807.35625</x:v>
      </x:c>
      <x:c r="F1620" s="2" t="n">
        <x:v>80</x:v>
      </x:c>
      <x:c r="G1620" s="2" t="n">
        <x:v>6</x:v>
      </x:c>
      <x:c r="H1620" s="11" t="n">
        <x:v>1876.23</x:v>
      </x:c>
      <x:c r="I1620" s="2" t="n">
        <x:v>3</x:v>
      </x:c>
      <x:c r="J1620" s="2" t="n">
        <x:v>4</x:v>
      </x:c>
      <x:c r="K1620" s="2" t="n">
        <x:v>4</x:v>
      </x:c>
      <x:c r="L1620" s="2" t="str">
        <x:v>Loyal</x:v>
      </x:c>
    </x:row>
    <x:row r="1621" ht="22" customHeight="1">
      <x:c r="A1621" s="2"/>
      <x:c r="B1621" s="2" t="str">
        <x:v>13947</x:v>
      </x:c>
      <x:c r="C1621" s="2" t="str">
        <x:v>United Kingdom</x:v>
      </x:c>
      <x:c r="D1621" s="25" t="n">
        <x:v>40821.40416666667</x:v>
      </x:c>
      <x:c r="E1621" s="25" t="n">
        <x:v>40821.40416666667</x:v>
      </x:c>
      <x:c r="F1621" s="2" t="n">
        <x:v>66</x:v>
      </x:c>
      <x:c r="G1621" s="2" t="n">
        <x:v>1</x:v>
      </x:c>
      <x:c r="H1621" s="11" t="n">
        <x:v>90.6</x:v>
      </x:c>
      <x:c r="I1621" s="2" t="n">
        <x:v>3</x:v>
      </x:c>
      <x:c r="J1621" s="2" t="n">
        <x:v>1</x:v>
      </x:c>
      <x:c r="K1621" s="2" t="n">
        <x:v>1</x:v>
      </x:c>
      <x:c r="L1621" s="2" t="str">
        <x:v>Developing</x:v>
      </x:c>
    </x:row>
    <x:row r="1622" ht="22" customHeight="1">
      <x:c r="A1622" s="2"/>
      <x:c r="B1622" s="2" t="str">
        <x:v>13948</x:v>
      </x:c>
      <x:c r="C1622" s="2" t="str">
        <x:v>United Kingdom</x:v>
      </x:c>
      <x:c r="D1622" s="25" t="n">
        <x:v>40151.30138888889</x:v>
      </x:c>
      <x:c r="E1622" s="25" t="n">
        <x:v>40526.22083333333</x:v>
      </x:c>
      <x:c r="F1622" s="2" t="n">
        <x:v>361</x:v>
      </x:c>
      <x:c r="G1622" s="2" t="n">
        <x:v>4</x:v>
      </x:c>
      <x:c r="H1622" s="11" t="n">
        <x:v>548.76</x:v>
      </x:c>
      <x:c r="I1622" s="2" t="n">
        <x:v>2</x:v>
      </x:c>
      <x:c r="J1622" s="2" t="n">
        <x:v>3</x:v>
      </x:c>
      <x:c r="K1622" s="2" t="n">
        <x:v>2</x:v>
      </x:c>
      <x:c r="L1622" s="2" t="str">
        <x:v>At risk</x:v>
      </x:c>
    </x:row>
    <x:row r="1623" ht="22" customHeight="1">
      <x:c r="A1623" s="2"/>
      <x:c r="B1623" s="2" t="str">
        <x:v>13949</x:v>
      </x:c>
      <x:c r="C1623" s="2" t="str">
        <x:v>United Kingdom</x:v>
      </x:c>
      <x:c r="D1623" s="25" t="n">
        <x:v>40792.288194444445</x:v>
      </x:c>
      <x:c r="E1623" s="25" t="n">
        <x:v>40884.19097222222</x:v>
      </x:c>
      <x:c r="F1623" s="2" t="n">
        <x:v>3</x:v>
      </x:c>
      <x:c r="G1623" s="2" t="n">
        <x:v>6</x:v>
      </x:c>
      <x:c r="H1623" s="11" t="n">
        <x:v>2427.32</x:v>
      </x:c>
      <x:c r="I1623" s="2" t="n">
        <x:v>5</x:v>
      </x:c>
      <x:c r="J1623" s="2" t="n">
        <x:v>4</x:v>
      </x:c>
      <x:c r="K1623" s="2" t="n">
        <x:v>4</x:v>
      </x:c>
      <x:c r="L1623" s="2" t="str">
        <x:v>Champions</x:v>
      </x:c>
    </x:row>
    <x:row r="1624" ht="22" customHeight="1">
      <x:c r="A1624" s="2"/>
      <x:c r="B1624" s="2" t="str">
        <x:v>13950</x:v>
      </x:c>
      <x:c r="C1624" s="2" t="str">
        <x:v>United Kingdom</x:v>
      </x:c>
      <x:c r="D1624" s="25" t="n">
        <x:v>40640.27013888889</x:v>
      </x:c>
      <x:c r="E1624" s="25" t="n">
        <x:v>40875.40555555555</x:v>
      </x:c>
      <x:c r="F1624" s="2" t="n">
        <x:v>12</x:v>
      </x:c>
      <x:c r="G1624" s="2" t="n">
        <x:v>4</x:v>
      </x:c>
      <x:c r="H1624" s="11" t="n">
        <x:v>745.06</x:v>
      </x:c>
      <x:c r="I1624" s="2" t="n">
        <x:v>5</x:v>
      </x:c>
      <x:c r="J1624" s="2" t="n">
        <x:v>3</x:v>
      </x:c>
      <x:c r="K1624" s="2" t="n">
        <x:v>3</x:v>
      </x:c>
      <x:c r="L1624" s="2" t="str">
        <x:v>Loyal</x:v>
      </x:c>
    </x:row>
    <x:row r="1625" ht="22" customHeight="1">
      <x:c r="A1625" s="2"/>
      <x:c r="B1625" s="2" t="str">
        <x:v>13951</x:v>
      </x:c>
      <x:c r="C1625" s="2" t="str">
        <x:v>United Kingdom</x:v>
      </x:c>
      <x:c r="D1625" s="25" t="n">
        <x:v>40592.43125</x:v>
      </x:c>
      <x:c r="E1625" s="25" t="n">
        <x:v>40710.48819444444</x:v>
      </x:c>
      <x:c r="F1625" s="2" t="n">
        <x:v>177</x:v>
      </x:c>
      <x:c r="G1625" s="2" t="n">
        <x:v>3</x:v>
      </x:c>
      <x:c r="H1625" s="11" t="n">
        <x:v>674.45</x:v>
      </x:c>
      <x:c r="I1625" s="2" t="n">
        <x:v>3</x:v>
      </x:c>
      <x:c r="J1625" s="2" t="n">
        <x:v>3</x:v>
      </x:c>
      <x:c r="K1625" s="2" t="n">
        <x:v>3</x:v>
      </x:c>
      <x:c r="L1625" s="2" t="str">
        <x:v>Loyal</x:v>
      </x:c>
    </x:row>
    <x:row r="1626" ht="22" customHeight="1">
      <x:c r="A1626" s="2"/>
      <x:c r="B1626" s="2" t="str">
        <x:v>13952</x:v>
      </x:c>
      <x:c r="C1626" s="2" t="str">
        <x:v>United Kingdom</x:v>
      </x:c>
      <x:c r="D1626" s="25" t="n">
        <x:v>40163.19513888889</x:v>
      </x:c>
      <x:c r="E1626" s="25" t="n">
        <x:v>40669.166666666664</x:v>
      </x:c>
      <x:c r="F1626" s="2" t="n">
        <x:v>218</x:v>
      </x:c>
      <x:c r="G1626" s="2" t="n">
        <x:v>14</x:v>
      </x:c>
      <x:c r="H1626" s="11" t="n">
        <x:v>12823.521</x:v>
      </x:c>
      <x:c r="I1626" s="2" t="n">
        <x:v>2</x:v>
      </x:c>
      <x:c r="J1626" s="2" t="n">
        <x:v>5</x:v>
      </x:c>
      <x:c r="K1626" s="2" t="n">
        <x:v>5</x:v>
      </x:c>
      <x:c r="L1626" s="2" t="str">
        <x:v>At risk</x:v>
      </x:c>
    </x:row>
    <x:row r="1627" ht="22" customHeight="1">
      <x:c r="A1627" s="2"/>
      <x:c r="B1627" s="2" t="str">
        <x:v>13953</x:v>
      </x:c>
      <x:c r="C1627" s="2" t="str">
        <x:v>United Kingdom</x:v>
      </x:c>
      <x:c r="D1627" s="25" t="n">
        <x:v>40158.33194444444</x:v>
      </x:c>
      <x:c r="E1627" s="25" t="n">
        <x:v>40879.46111111111</x:v>
      </x:c>
      <x:c r="F1627" s="2" t="n">
        <x:v>8</x:v>
      </x:c>
      <x:c r="G1627" s="2" t="n">
        <x:v>12</x:v>
      </x:c>
      <x:c r="H1627" s="11" t="n">
        <x:v>6640.68</x:v>
      </x:c>
      <x:c r="I1627" s="2" t="n">
        <x:v>5</x:v>
      </x:c>
      <x:c r="J1627" s="2" t="n">
        <x:v>5</x:v>
      </x:c>
      <x:c r="K1627" s="2" t="n">
        <x:v>5</x:v>
      </x:c>
      <x:c r="L1627" s="2" t="str">
        <x:v>Champions</x:v>
      </x:c>
    </x:row>
    <x:row r="1628" ht="22" customHeight="1">
      <x:c r="A1628" s="2"/>
      <x:c r="B1628" s="2" t="str">
        <x:v>13954</x:v>
      </x:c>
      <x:c r="C1628" s="2" t="str">
        <x:v>United Kingdom</x:v>
      </x:c>
      <x:c r="D1628" s="25" t="n">
        <x:v>40816.24444444444</x:v>
      </x:c>
      <x:c r="E1628" s="25" t="n">
        <x:v>40885.32638888889</x:v>
      </x:c>
      <x:c r="F1628" s="2" t="n">
        <x:v>2</x:v>
      </x:c>
      <x:c r="G1628" s="2" t="n">
        <x:v>2</x:v>
      </x:c>
      <x:c r="H1628" s="11" t="n">
        <x:v>439.92</x:v>
      </x:c>
      <x:c r="I1628" s="2" t="n">
        <x:v>5</x:v>
      </x:c>
      <x:c r="J1628" s="2" t="n">
        <x:v>2</x:v>
      </x:c>
      <x:c r="K1628" s="2" t="n">
        <x:v>2</x:v>
      </x:c>
      <x:c r="L1628" s="2" t="str">
        <x:v>Recent light buyers</x:v>
      </x:c>
    </x:row>
    <x:row r="1629" ht="22" customHeight="1">
      <x:c r="A1629" s="2"/>
      <x:c r="B1629" s="2" t="str">
        <x:v>13955</x:v>
      </x:c>
      <x:c r="C1629" s="2" t="str">
        <x:v>United Kingdom</x:v>
      </x:c>
      <x:c r="D1629" s="25" t="n">
        <x:v>40511.524305555555</x:v>
      </x:c>
      <x:c r="E1629" s="25" t="n">
        <x:v>40732.513194444444</x:v>
      </x:c>
      <x:c r="F1629" s="2" t="n">
        <x:v>155</x:v>
      </x:c>
      <x:c r="G1629" s="2" t="n">
        <x:v>3</x:v>
      </x:c>
      <x:c r="H1629" s="11" t="n">
        <x:v>545.17</x:v>
      </x:c>
      <x:c r="I1629" s="2" t="n">
        <x:v>3</x:v>
      </x:c>
      <x:c r="J1629" s="2" t="n">
        <x:v>3</x:v>
      </x:c>
      <x:c r="K1629" s="2" t="n">
        <x:v>2</x:v>
      </x:c>
      <x:c r="L1629" s="2" t="str">
        <x:v>Loyal</x:v>
      </x:c>
    </x:row>
    <x:row r="1630" ht="22" customHeight="1">
      <x:c r="A1630" s="2"/>
      <x:c r="B1630" s="2" t="str">
        <x:v>13956</x:v>
      </x:c>
      <x:c r="C1630" s="2" t="str">
        <x:v>United Kingdom</x:v>
      </x:c>
      <x:c r="D1630" s="25" t="n">
        <x:v>40615.32708333333</x:v>
      </x:c>
      <x:c r="E1630" s="25" t="n">
        <x:v>40881.34722222222</x:v>
      </x:c>
      <x:c r="F1630" s="2" t="n">
        <x:v>6</x:v>
      </x:c>
      <x:c r="G1630" s="2" t="n">
        <x:v>5</x:v>
      </x:c>
      <x:c r="H1630" s="11" t="n">
        <x:v>1026.42</x:v>
      </x:c>
      <x:c r="I1630" s="2" t="n">
        <x:v>5</x:v>
      </x:c>
      <x:c r="J1630" s="2" t="n">
        <x:v>4</x:v>
      </x:c>
      <x:c r="K1630" s="2" t="n">
        <x:v>3</x:v>
      </x:c>
      <x:c r="L1630" s="2" t="str">
        <x:v>Loyal</x:v>
      </x:c>
    </x:row>
    <x:row r="1631" ht="22" customHeight="1">
      <x:c r="A1631" s="2"/>
      <x:c r="B1631" s="2" t="str">
        <x:v>13957</x:v>
      </x:c>
      <x:c r="C1631" s="2" t="str">
        <x:v>United Kingdom</x:v>
      </x:c>
      <x:c r="D1631" s="25" t="n">
        <x:v>40228.23055555556</x:v>
      </x:c>
      <x:c r="E1631" s="25" t="n">
        <x:v>40469.20972222222</x:v>
      </x:c>
      <x:c r="F1631" s="2" t="n">
        <x:v>418</x:v>
      </x:c>
      <x:c r="G1631" s="2" t="n">
        <x:v>3</x:v>
      </x:c>
      <x:c r="H1631" s="11" t="n">
        <x:v>458.25</x:v>
      </x:c>
      <x:c r="I1631" s="2" t="n">
        <x:v>1</x:v>
      </x:c>
      <x:c r="J1631" s="2" t="n">
        <x:v>3</x:v>
      </x:c>
      <x:c r="K1631" s="2" t="n">
        <x:v>2</x:v>
      </x:c>
      <x:c r="L1631" s="2" t="str">
        <x:v>At risk</x:v>
      </x:c>
    </x:row>
    <x:row r="1632" ht="22" customHeight="1">
      <x:c r="A1632" s="2"/>
      <x:c r="B1632" s="2" t="str">
        <x:v>13958</x:v>
      </x:c>
      <x:c r="C1632" s="2" t="str">
        <x:v>United Kingdom</x:v>
      </x:c>
      <x:c r="D1632" s="25" t="n">
        <x:v>40152.34166666667</x:v>
      </x:c>
      <x:c r="E1632" s="25" t="n">
        <x:v>40507.21597222222</x:v>
      </x:c>
      <x:c r="F1632" s="2" t="n">
        <x:v>380</x:v>
      </x:c>
      <x:c r="G1632" s="2" t="n">
        <x:v>8</x:v>
      </x:c>
      <x:c r="H1632" s="11" t="n">
        <x:v>4709.23</x:v>
      </x:c>
      <x:c r="I1632" s="2" t="n">
        <x:v>2</x:v>
      </x:c>
      <x:c r="J1632" s="2" t="n">
        <x:v>4</x:v>
      </x:c>
      <x:c r="K1632" s="2" t="n">
        <x:v>5</x:v>
      </x:c>
      <x:c r="L1632" s="2" t="str">
        <x:v>At risk</x:v>
      </x:c>
    </x:row>
    <x:row r="1633" ht="22" customHeight="1">
      <x:c r="A1633" s="2"/>
      <x:c r="B1633" s="2" t="str">
        <x:v>13959</x:v>
      </x:c>
      <x:c r="C1633" s="2" t="str">
        <x:v>United Kingdom</x:v>
      </x:c>
      <x:c r="D1633" s="25" t="n">
        <x:v>40375.424305555556</x:v>
      </x:c>
      <x:c r="E1633" s="25" t="n">
        <x:v>40807.42083333333</x:v>
      </x:c>
      <x:c r="F1633" s="2" t="n">
        <x:v>80</x:v>
      </x:c>
      <x:c r="G1633" s="2" t="n">
        <x:v>6</x:v>
      </x:c>
      <x:c r="H1633" s="11" t="n">
        <x:v>1076.18</x:v>
      </x:c>
      <x:c r="I1633" s="2" t="n">
        <x:v>3</x:v>
      </x:c>
      <x:c r="J1633" s="2" t="n">
        <x:v>4</x:v>
      </x:c>
      <x:c r="K1633" s="2" t="n">
        <x:v>3</x:v>
      </x:c>
      <x:c r="L1633" s="2" t="str">
        <x:v>Loyal</x:v>
      </x:c>
    </x:row>
    <x:row r="1634" ht="22" customHeight="1">
      <x:c r="A1634" s="2"/>
      <x:c r="B1634" s="2" t="str">
        <x:v>13960</x:v>
      </x:c>
      <x:c r="C1634" s="2" t="str">
        <x:v>United Kingdom</x:v>
      </x:c>
      <x:c r="D1634" s="25" t="n">
        <x:v>40815.31875</x:v>
      </x:c>
      <x:c r="E1634" s="25" t="n">
        <x:v>40865.43541666667</x:v>
      </x:c>
      <x:c r="F1634" s="2" t="n">
        <x:v>22</x:v>
      </x:c>
      <x:c r="G1634" s="2" t="n">
        <x:v>2</x:v>
      </x:c>
      <x:c r="H1634" s="11" t="n">
        <x:v>230.22</x:v>
      </x:c>
      <x:c r="I1634" s="2" t="n">
        <x:v>4</x:v>
      </x:c>
      <x:c r="J1634" s="2" t="n">
        <x:v>2</x:v>
      </x:c>
      <x:c r="K1634" s="2" t="n">
        <x:v>1</x:v>
      </x:c>
      <x:c r="L1634" s="2" t="str">
        <x:v>Recent light buyers</x:v>
      </x:c>
    </x:row>
    <x:row r="1635" ht="22" customHeight="1">
      <x:c r="A1635" s="2"/>
      <x:c r="B1635" s="2" t="str">
        <x:v>13961</x:v>
      </x:c>
      <x:c r="C1635" s="2" t="str">
        <x:v>United Kingdom</x:v>
      </x:c>
      <x:c r="D1635" s="25" t="n">
        <x:v>40494.40277777778</x:v>
      </x:c>
      <x:c r="E1635" s="25" t="n">
        <x:v>40494.40277777778</x:v>
      </x:c>
      <x:c r="F1635" s="2" t="n">
        <x:v>393</x:v>
      </x:c>
      <x:c r="G1635" s="2" t="n">
        <x:v>1</x:v>
      </x:c>
      <x:c r="H1635" s="11" t="n">
        <x:v>538.4</x:v>
      </x:c>
      <x:c r="I1635" s="2" t="n">
        <x:v>2</x:v>
      </x:c>
      <x:c r="J1635" s="2" t="n">
        <x:v>1</x:v>
      </x:c>
      <x:c r="K1635" s="2" t="n">
        <x:v>2</x:v>
      </x:c>
      <x:c r="L1635" s="2" t="str">
        <x:v>Hibernating</x:v>
      </x:c>
    </x:row>
    <x:row r="1636" ht="22" customHeight="1">
      <x:c r="A1636" s="2"/>
      <x:c r="B1636" s="2" t="str">
        <x:v>13962</x:v>
      </x:c>
      <x:c r="C1636" s="2" t="str">
        <x:v>United Kingdom</x:v>
      </x:c>
      <x:c r="D1636" s="25" t="n">
        <x:v>40451.23263888889</x:v>
      </x:c>
      <x:c r="E1636" s="25" t="n">
        <x:v>40865.157638888886</x:v>
      </x:c>
      <x:c r="F1636" s="2" t="n">
        <x:v>22</x:v>
      </x:c>
      <x:c r="G1636" s="2" t="n">
        <x:v>3</x:v>
      </x:c>
      <x:c r="H1636" s="11" t="n">
        <x:v>362.8</x:v>
      </x:c>
      <x:c r="I1636" s="2" t="n">
        <x:v>4</x:v>
      </x:c>
      <x:c r="J1636" s="2" t="n">
        <x:v>3</x:v>
      </x:c>
      <x:c r="K1636" s="2" t="n">
        <x:v>2</x:v>
      </x:c>
      <x:c r="L1636" s="2" t="str">
        <x:v>Loyal</x:v>
      </x:c>
    </x:row>
    <x:row r="1637" ht="22" customHeight="1">
      <x:c r="A1637" s="2"/>
      <x:c r="B1637" s="2" t="str">
        <x:v>13963</x:v>
      </x:c>
      <x:c r="C1637" s="2" t="str">
        <x:v>United Kingdom</x:v>
      </x:c>
      <x:c r="D1637" s="25" t="n">
        <x:v>40289.47222222222</x:v>
      </x:c>
      <x:c r="E1637" s="25" t="n">
        <x:v>40578.404861111114</x:v>
      </x:c>
      <x:c r="F1637" s="2" t="n">
        <x:v>309</x:v>
      </x:c>
      <x:c r="G1637" s="2" t="n">
        <x:v>17</x:v>
      </x:c>
      <x:c r="H1637" s="11" t="n">
        <x:v>2860.57</x:v>
      </x:c>
      <x:c r="I1637" s="2" t="n">
        <x:v>2</x:v>
      </x:c>
      <x:c r="J1637" s="2" t="n">
        <x:v>5</x:v>
      </x:c>
      <x:c r="K1637" s="2" t="n">
        <x:v>4</x:v>
      </x:c>
      <x:c r="L1637" s="2" t="str">
        <x:v>At risk</x:v>
      </x:c>
    </x:row>
    <x:row r="1638" ht="22" customHeight="1">
      <x:c r="A1638" s="2"/>
      <x:c r="B1638" s="2" t="str">
        <x:v>13964</x:v>
      </x:c>
      <x:c r="C1638" s="2" t="str">
        <x:v>United Kingdom</x:v>
      </x:c>
      <x:c r="D1638" s="25" t="n">
        <x:v>40456.31805555556</x:v>
      </x:c>
      <x:c r="E1638" s="25" t="n">
        <x:v>40499.37013888889</x:v>
      </x:c>
      <x:c r="F1638" s="2" t="n">
        <x:v>388</x:v>
      </x:c>
      <x:c r="G1638" s="2" t="n">
        <x:v>2</x:v>
      </x:c>
      <x:c r="H1638" s="11" t="n">
        <x:v>438.9</x:v>
      </x:c>
      <x:c r="I1638" s="2" t="n">
        <x:v>2</x:v>
      </x:c>
      <x:c r="J1638" s="2" t="n">
        <x:v>2</x:v>
      </x:c>
      <x:c r="K1638" s="2" t="n">
        <x:v>2</x:v>
      </x:c>
      <x:c r="L1638" s="2" t="str">
        <x:v>Hibernating</x:v>
      </x:c>
    </x:row>
    <x:row r="1639" ht="22" customHeight="1">
      <x:c r="A1639" s="2"/>
      <x:c r="B1639" s="2" t="str">
        <x:v>13965</x:v>
      </x:c>
      <x:c r="C1639" s="2" t="str">
        <x:v>United Kingdom</x:v>
      </x:c>
      <x:c r="D1639" s="25" t="n">
        <x:v>40183.43125</x:v>
      </x:c>
      <x:c r="E1639" s="25" t="n">
        <x:v>40410.23611111111</x:v>
      </x:c>
      <x:c r="F1639" s="2" t="n">
        <x:v>477</x:v>
      </x:c>
      <x:c r="G1639" s="2" t="n">
        <x:v>3</x:v>
      </x:c>
      <x:c r="H1639" s="11" t="n">
        <x:v>996.61</x:v>
      </x:c>
      <x:c r="I1639" s="2" t="n">
        <x:v>1</x:v>
      </x:c>
      <x:c r="J1639" s="2" t="n">
        <x:v>3</x:v>
      </x:c>
      <x:c r="K1639" s="2" t="n">
        <x:v>3</x:v>
      </x:c>
      <x:c r="L1639" s="2" t="str">
        <x:v>At risk</x:v>
      </x:c>
    </x:row>
    <x:row r="1640" ht="22" customHeight="1">
      <x:c r="A1640" s="2"/>
      <x:c r="B1640" s="2" t="str">
        <x:v>13966</x:v>
      </x:c>
      <x:c r="C1640" s="2" t="str">
        <x:v>United Kingdom</x:v>
      </x:c>
      <x:c r="D1640" s="25" t="n">
        <x:v>40451.33888888889</x:v>
      </x:c>
      <x:c r="E1640" s="25" t="n">
        <x:v>40451.33888888889</x:v>
      </x:c>
      <x:c r="F1640" s="2" t="n">
        <x:v>436</x:v>
      </x:c>
      <x:c r="G1640" s="2" t="n">
        <x:v>1</x:v>
      </x:c>
      <x:c r="H1640" s="11" t="n">
        <x:v>390.86</x:v>
      </x:c>
      <x:c r="I1640" s="2" t="n">
        <x:v>1</x:v>
      </x:c>
      <x:c r="J1640" s="2" t="n">
        <x:v>1</x:v>
      </x:c>
      <x:c r="K1640" s="2" t="n">
        <x:v>2</x:v>
      </x:c>
      <x:c r="L1640" s="2" t="str">
        <x:v>Hibernating</x:v>
      </x:c>
    </x:row>
    <x:row r="1641" ht="22" customHeight="1">
      <x:c r="A1641" s="2"/>
      <x:c r="B1641" s="2" t="str">
        <x:v>13967</x:v>
      </x:c>
      <x:c r="C1641" s="2" t="str">
        <x:v>United Kingdom</x:v>
      </x:c>
      <x:c r="D1641" s="25" t="n">
        <x:v>40490.35</x:v>
      </x:c>
      <x:c r="E1641" s="25" t="n">
        <x:v>40741.29305555556</x:v>
      </x:c>
      <x:c r="F1641" s="2" t="n">
        <x:v>146</x:v>
      </x:c>
      <x:c r="G1641" s="2" t="n">
        <x:v>2</x:v>
      </x:c>
      <x:c r="H1641" s="11" t="n">
        <x:v>166.3</x:v>
      </x:c>
      <x:c r="I1641" s="2" t="n">
        <x:v>3</x:v>
      </x:c>
      <x:c r="J1641" s="2" t="n">
        <x:v>2</x:v>
      </x:c>
      <x:c r="K1641" s="2" t="n">
        <x:v>1</x:v>
      </x:c>
      <x:c r="L1641" s="2" t="str">
        <x:v>Developing</x:v>
      </x:c>
    </x:row>
    <x:row r="1642" ht="22" customHeight="1">
      <x:c r="A1642" s="2"/>
      <x:c r="B1642" s="2" t="str">
        <x:v>13968</x:v>
      </x:c>
      <x:c r="C1642" s="2" t="str">
        <x:v>United Kingdom</x:v>
      </x:c>
      <x:c r="D1642" s="25" t="n">
        <x:v>40463.34861111111</x:v>
      </x:c>
      <x:c r="E1642" s="25" t="n">
        <x:v>40463.34861111111</x:v>
      </x:c>
      <x:c r="F1642" s="2" t="n">
        <x:v>424</x:v>
      </x:c>
      <x:c r="G1642" s="2" t="n">
        <x:v>1</x:v>
      </x:c>
      <x:c r="H1642" s="11" t="n">
        <x:v>123.66</x:v>
      </x:c>
      <x:c r="I1642" s="2" t="n">
        <x:v>1</x:v>
      </x:c>
      <x:c r="J1642" s="2" t="n">
        <x:v>1</x:v>
      </x:c>
      <x:c r="K1642" s="2" t="n">
        <x:v>1</x:v>
      </x:c>
      <x:c r="L1642" s="2" t="str">
        <x:v>Hibernating</x:v>
      </x:c>
    </x:row>
    <x:row r="1643" ht="22" customHeight="1">
      <x:c r="A1643" s="2"/>
      <x:c r="B1643" s="2" t="str">
        <x:v>13969</x:v>
      </x:c>
      <x:c r="C1643" s="2" t="str">
        <x:v>United Kingdom</x:v>
      </x:c>
      <x:c r="D1643" s="25" t="n">
        <x:v>40262.34375</x:v>
      </x:c>
      <x:c r="E1643" s="25" t="n">
        <x:v>40879.424305555556</x:v>
      </x:c>
      <x:c r="F1643" s="2" t="n">
        <x:v>8</x:v>
      </x:c>
      <x:c r="G1643" s="2" t="n">
        <x:v>35</x:v>
      </x:c>
      <x:c r="H1643" s="11" t="n">
        <x:v>13048.28</x:v>
      </x:c>
      <x:c r="I1643" s="2" t="n">
        <x:v>5</x:v>
      </x:c>
      <x:c r="J1643" s="2" t="n">
        <x:v>5</x:v>
      </x:c>
      <x:c r="K1643" s="2" t="n">
        <x:v>5</x:v>
      </x:c>
      <x:c r="L1643" s="2" t="str">
        <x:v>Champions</x:v>
      </x:c>
    </x:row>
    <x:row r="1644" ht="22" customHeight="1">
      <x:c r="A1644" s="2"/>
      <x:c r="B1644" s="2" t="str">
        <x:v>13970</x:v>
      </x:c>
      <x:c r="C1644" s="2" t="str">
        <x:v>United Kingdom</x:v>
      </x:c>
      <x:c r="D1644" s="25" t="n">
        <x:v>40449.28680555556</x:v>
      </x:c>
      <x:c r="E1644" s="25" t="n">
        <x:v>40500.347916666666</x:v>
      </x:c>
      <x:c r="F1644" s="2" t="n">
        <x:v>387</x:v>
      </x:c>
      <x:c r="G1644" s="2" t="n">
        <x:v>2</x:v>
      </x:c>
      <x:c r="H1644" s="11" t="n">
        <x:v>846.55</x:v>
      </x:c>
      <x:c r="I1644" s="2" t="n">
        <x:v>2</x:v>
      </x:c>
      <x:c r="J1644" s="2" t="n">
        <x:v>2</x:v>
      </x:c>
      <x:c r="K1644" s="2" t="n">
        <x:v>3</x:v>
      </x:c>
      <x:c r="L1644" s="2" t="str">
        <x:v>Hibernating</x:v>
      </x:c>
    </x:row>
    <x:row r="1645" ht="22" customHeight="1">
      <x:c r="A1645" s="2"/>
      <x:c r="B1645" s="2" t="str">
        <x:v>13971</x:v>
      </x:c>
      <x:c r="C1645" s="2" t="str">
        <x:v>United Kingdom</x:v>
      </x:c>
      <x:c r="D1645" s="25" t="n">
        <x:v>40204.20208333333</x:v>
      </x:c>
      <x:c r="E1645" s="25" t="n">
        <x:v>40868.29583333333</x:v>
      </x:c>
      <x:c r="F1645" s="2" t="n">
        <x:v>19</x:v>
      </x:c>
      <x:c r="G1645" s="2" t="n">
        <x:v>14</x:v>
      </x:c>
      <x:c r="H1645" s="11" t="n">
        <x:v>4667.57</x:v>
      </x:c>
      <x:c r="I1645" s="2" t="n">
        <x:v>5</x:v>
      </x:c>
      <x:c r="J1645" s="2" t="n">
        <x:v>5</x:v>
      </x:c>
      <x:c r="K1645" s="2" t="n">
        <x:v>5</x:v>
      </x:c>
      <x:c r="L1645" s="2" t="str">
        <x:v>Champions</x:v>
      </x:c>
    </x:row>
    <x:row r="1646" ht="22" customHeight="1">
      <x:c r="A1646" s="2"/>
      <x:c r="B1646" s="2" t="str">
        <x:v>13972</x:v>
      </x:c>
      <x:c r="C1646" s="2" t="str">
        <x:v>United Kingdom</x:v>
      </x:c>
      <x:c r="D1646" s="25" t="n">
        <x:v>40685.27361111111</x:v>
      </x:c>
      <x:c r="E1646" s="25" t="n">
        <x:v>40816.2875</x:v>
      </x:c>
      <x:c r="F1646" s="2" t="n">
        <x:v>71</x:v>
      </x:c>
      <x:c r="G1646" s="2" t="n">
        <x:v>2</x:v>
      </x:c>
      <x:c r="H1646" s="11" t="n">
        <x:v>190.25</x:v>
      </x:c>
      <x:c r="I1646" s="2" t="n">
        <x:v>3</x:v>
      </x:c>
      <x:c r="J1646" s="2" t="n">
        <x:v>2</x:v>
      </x:c>
      <x:c r="K1646" s="2" t="n">
        <x:v>1</x:v>
      </x:c>
      <x:c r="L1646" s="2" t="str">
        <x:v>Developing</x:v>
      </x:c>
    </x:row>
    <x:row r="1647" ht="22" customHeight="1">
      <x:c r="A1647" s="2"/>
      <x:c r="B1647" s="2" t="str">
        <x:v>13973</x:v>
      </x:c>
      <x:c r="C1647" s="2" t="str">
        <x:v>United Kingdom</x:v>
      </x:c>
      <x:c r="D1647" s="25" t="n">
        <x:v>40599.43125</x:v>
      </x:c>
      <x:c r="E1647" s="25" t="n">
        <x:v>40599.43125</x:v>
      </x:c>
      <x:c r="F1647" s="2" t="n">
        <x:v>288</x:v>
      </x:c>
      <x:c r="G1647" s="2" t="n">
        <x:v>1</x:v>
      </x:c>
      <x:c r="H1647" s="11" t="n">
        <x:v>264.7</x:v>
      </x:c>
      <x:c r="I1647" s="2" t="n">
        <x:v>2</x:v>
      </x:c>
      <x:c r="J1647" s="2" t="n">
        <x:v>1</x:v>
      </x:c>
      <x:c r="K1647" s="2" t="n">
        <x:v>1</x:v>
      </x:c>
      <x:c r="L1647" s="2" t="str">
        <x:v>Hibernating</x:v>
      </x:c>
    </x:row>
    <x:row r="1648" ht="22" customHeight="1">
      <x:c r="A1648" s="2"/>
      <x:c r="B1648" s="2" t="str">
        <x:v>13974</x:v>
      </x:c>
      <x:c r="C1648" s="2" t="str">
        <x:v>United Kingdom</x:v>
      </x:c>
      <x:c r="D1648" s="25" t="n">
        <x:v>40304.538194444445</x:v>
      </x:c>
      <x:c r="E1648" s="25" t="n">
        <x:v>40837.40347222222</x:v>
      </x:c>
      <x:c r="F1648" s="2" t="n">
        <x:v>50</x:v>
      </x:c>
      <x:c r="G1648" s="2" t="n">
        <x:v>2</x:v>
      </x:c>
      <x:c r="H1648" s="11" t="n">
        <x:v>677.72</x:v>
      </x:c>
      <x:c r="I1648" s="2" t="n">
        <x:v>4</x:v>
      </x:c>
      <x:c r="J1648" s="2" t="n">
        <x:v>2</x:v>
      </x:c>
      <x:c r="K1648" s="2" t="n">
        <x:v>3</x:v>
      </x:c>
      <x:c r="L1648" s="2" t="str">
        <x:v>Recent light buyers</x:v>
      </x:c>
    </x:row>
    <x:row r="1649" ht="22" customHeight="1">
      <x:c r="A1649" s="2"/>
      <x:c r="B1649" s="2" t="str">
        <x:v>13975</x:v>
      </x:c>
      <x:c r="C1649" s="2" t="str">
        <x:v>United Kingdom</x:v>
      </x:c>
      <x:c r="D1649" s="25" t="n">
        <x:v>40211.342361111114</x:v>
      </x:c>
      <x:c r="E1649" s="25" t="n">
        <x:v>40855.34652777778</x:v>
      </x:c>
      <x:c r="F1649" s="2" t="n">
        <x:v>32</x:v>
      </x:c>
      <x:c r="G1649" s="2" t="n">
        <x:v>12</x:v>
      </x:c>
      <x:c r="H1649" s="11" t="n">
        <x:v>5358.84</x:v>
      </x:c>
      <x:c r="I1649" s="2" t="n">
        <x:v>4</x:v>
      </x:c>
      <x:c r="J1649" s="2" t="n">
        <x:v>5</x:v>
      </x:c>
      <x:c r="K1649" s="2" t="n">
        <x:v>5</x:v>
      </x:c>
      <x:c r="L1649" s="2" t="str">
        <x:v>Champions</x:v>
      </x:c>
    </x:row>
    <x:row r="1650" ht="22" customHeight="1">
      <x:c r="A1650" s="2"/>
      <x:c r="B1650" s="2" t="str">
        <x:v>13976</x:v>
      </x:c>
      <x:c r="C1650" s="2" t="str">
        <x:v>United Kingdom</x:v>
      </x:c>
      <x:c r="D1650" s="25" t="n">
        <x:v>40218.33888888889</x:v>
      </x:c>
      <x:c r="E1650" s="25" t="n">
        <x:v>40680.17569444444</x:v>
      </x:c>
      <x:c r="F1650" s="2" t="n">
        <x:v>207</x:v>
      </x:c>
      <x:c r="G1650" s="2" t="n">
        <x:v>4</x:v>
      </x:c>
      <x:c r="H1650" s="11" t="n">
        <x:v>1192.36</x:v>
      </x:c>
      <x:c r="I1650" s="2" t="n">
        <x:v>2</x:v>
      </x:c>
      <x:c r="J1650" s="2" t="n">
        <x:v>3</x:v>
      </x:c>
      <x:c r="K1650" s="2" t="n">
        <x:v>3</x:v>
      </x:c>
      <x:c r="L1650" s="2" t="str">
        <x:v>At risk</x:v>
      </x:c>
    </x:row>
    <x:row r="1651" ht="22" customHeight="1">
      <x:c r="A1651" s="2"/>
      <x:c r="B1651" s="2" t="str">
        <x:v>13977</x:v>
      </x:c>
      <x:c r="C1651" s="2" t="str">
        <x:v>United Kingdom</x:v>
      </x:c>
      <x:c r="D1651" s="25" t="n">
        <x:v>40475.38055555556</x:v>
      </x:c>
      <x:c r="E1651" s="25" t="n">
        <x:v>40475.38055555556</x:v>
      </x:c>
      <x:c r="F1651" s="2" t="n">
        <x:v>412</x:v>
      </x:c>
      <x:c r="G1651" s="2" t="n">
        <x:v>1</x:v>
      </x:c>
      <x:c r="H1651" s="11" t="n">
        <x:v>519.81</x:v>
      </x:c>
      <x:c r="I1651" s="2" t="n">
        <x:v>1</x:v>
      </x:c>
      <x:c r="J1651" s="2" t="n">
        <x:v>1</x:v>
      </x:c>
      <x:c r="K1651" s="2" t="n">
        <x:v>2</x:v>
      </x:c>
      <x:c r="L1651" s="2" t="str">
        <x:v>Hibernating</x:v>
      </x:c>
    </x:row>
    <x:row r="1652" ht="22" customHeight="1">
      <x:c r="A1652" s="2"/>
      <x:c r="B1652" s="2" t="str">
        <x:v>13978</x:v>
      </x:c>
      <x:c r="C1652" s="2" t="str">
        <x:v>United Kingdom</x:v>
      </x:c>
      <x:c r="D1652" s="25" t="n">
        <x:v>40841.419444444444</x:v>
      </x:c>
      <x:c r="E1652" s="25" t="n">
        <x:v>40872.275</x:v>
      </x:c>
      <x:c r="F1652" s="2" t="n">
        <x:v>15</x:v>
      </x:c>
      <x:c r="G1652" s="2" t="n">
        <x:v>2</x:v>
      </x:c>
      <x:c r="H1652" s="11" t="n">
        <x:v>196.79</x:v>
      </x:c>
      <x:c r="I1652" s="2" t="n">
        <x:v>5</x:v>
      </x:c>
      <x:c r="J1652" s="2" t="n">
        <x:v>2</x:v>
      </x:c>
      <x:c r="K1652" s="2" t="n">
        <x:v>1</x:v>
      </x:c>
      <x:c r="L1652" s="2" t="str">
        <x:v>Recent light buyers</x:v>
      </x:c>
    </x:row>
    <x:row r="1653" ht="22" customHeight="1">
      <x:c r="A1653" s="2"/>
      <x:c r="B1653" s="2" t="str">
        <x:v>13979</x:v>
      </x:c>
      <x:c r="C1653" s="2" t="str">
        <x:v>United Kingdom</x:v>
      </x:c>
      <x:c r="D1653" s="25" t="n">
        <x:v>40150.20972222222</x:v>
      </x:c>
      <x:c r="E1653" s="25" t="n">
        <x:v>40813.35555555556</x:v>
      </x:c>
      <x:c r="F1653" s="2" t="n">
        <x:v>74</x:v>
      </x:c>
      <x:c r="G1653" s="2" t="n">
        <x:v>7</x:v>
      </x:c>
      <x:c r="H1653" s="11" t="n">
        <x:v>3416.23</x:v>
      </x:c>
      <x:c r="I1653" s="2" t="n">
        <x:v>3</x:v>
      </x:c>
      <x:c r="J1653" s="2" t="n">
        <x:v>4</x:v>
      </x:c>
      <x:c r="K1653" s="2" t="n">
        <x:v>5</x:v>
      </x:c>
      <x:c r="L1653" s="2" t="str">
        <x:v>Loyal</x:v>
      </x:c>
    </x:row>
    <x:row r="1654" ht="22" customHeight="1">
      <x:c r="A1654" s="2"/>
      <x:c r="B1654" s="2" t="str">
        <x:v>13980</x:v>
      </x:c>
      <x:c r="C1654" s="2" t="str">
        <x:v>United Kingdom</x:v>
      </x:c>
      <x:c r="D1654" s="25" t="n">
        <x:v>40230.3875</x:v>
      </x:c>
      <x:c r="E1654" s="25" t="n">
        <x:v>40826.356944444444</x:v>
      </x:c>
      <x:c r="F1654" s="2" t="n">
        <x:v>61</x:v>
      </x:c>
      <x:c r="G1654" s="2" t="n">
        <x:v>5</x:v>
      </x:c>
      <x:c r="H1654" s="11" t="n">
        <x:v>799.92</x:v>
      </x:c>
      <x:c r="I1654" s="2" t="n">
        <x:v>3</x:v>
      </x:c>
      <x:c r="J1654" s="2" t="n">
        <x:v>4</x:v>
      </x:c>
      <x:c r="K1654" s="2" t="n">
        <x:v>3</x:v>
      </x:c>
      <x:c r="L1654" s="2" t="str">
        <x:v>Loyal</x:v>
      </x:c>
    </x:row>
    <x:row r="1655" ht="22" customHeight="1">
      <x:c r="A1655" s="2"/>
      <x:c r="B1655" s="2" t="str">
        <x:v>13981</x:v>
      </x:c>
      <x:c r="C1655" s="2" t="str">
        <x:v>United Kingdom</x:v>
      </x:c>
      <x:c r="D1655" s="25" t="n">
        <x:v>40471.21041666667</x:v>
      </x:c>
      <x:c r="E1655" s="25" t="n">
        <x:v>40471.21041666667</x:v>
      </x:c>
      <x:c r="F1655" s="2" t="n">
        <x:v>416</x:v>
      </x:c>
      <x:c r="G1655" s="2" t="n">
        <x:v>1</x:v>
      </x:c>
      <x:c r="H1655" s="11" t="n">
        <x:v>331.14</x:v>
      </x:c>
      <x:c r="I1655" s="2" t="n">
        <x:v>1</x:v>
      </x:c>
      <x:c r="J1655" s="2" t="n">
        <x:v>1</x:v>
      </x:c>
      <x:c r="K1655" s="2" t="n">
        <x:v>2</x:v>
      </x:c>
      <x:c r="L1655" s="2" t="str">
        <x:v>Hibernating</x:v>
      </x:c>
    </x:row>
    <x:row r="1656" ht="22" customHeight="1">
      <x:c r="A1656" s="2"/>
      <x:c r="B1656" s="2" t="str">
        <x:v>13982</x:v>
      </x:c>
      <x:c r="C1656" s="2" t="str">
        <x:v>United Kingdom</x:v>
      </x:c>
      <x:c r="D1656" s="25" t="n">
        <x:v>40198.37777777778</x:v>
      </x:c>
      <x:c r="E1656" s="25" t="n">
        <x:v>40847.475</x:v>
      </x:c>
      <x:c r="F1656" s="2" t="n">
        <x:v>40</x:v>
      </x:c>
      <x:c r="G1656" s="2" t="n">
        <x:v>9</x:v>
      </x:c>
      <x:c r="H1656" s="11" t="n">
        <x:v>4016.99</x:v>
      </x:c>
      <x:c r="I1656" s="2" t="n">
        <x:v>4</x:v>
      </x:c>
      <x:c r="J1656" s="2" t="n">
        <x:v>5</x:v>
      </x:c>
      <x:c r="K1656" s="2" t="n">
        <x:v>5</x:v>
      </x:c>
      <x:c r="L1656" s="2" t="str">
        <x:v>Champions</x:v>
      </x:c>
    </x:row>
    <x:row r="1657" ht="22" customHeight="1">
      <x:c r="A1657" s="2"/>
      <x:c r="B1657" s="2" t="str">
        <x:v>13983</x:v>
      </x:c>
      <x:c r="C1657" s="2" t="str">
        <x:v>United Kingdom</x:v>
      </x:c>
      <x:c r="D1657" s="25" t="n">
        <x:v>40156.37013888889</x:v>
      </x:c>
      <x:c r="E1657" s="25" t="n">
        <x:v>40857.254166666666</x:v>
      </x:c>
      <x:c r="F1657" s="2" t="n">
        <x:v>30</x:v>
      </x:c>
      <x:c r="G1657" s="2" t="n">
        <x:v>21</x:v>
      </x:c>
      <x:c r="H1657" s="11" t="n">
        <x:v>6779.09</x:v>
      </x:c>
      <x:c r="I1657" s="2" t="n">
        <x:v>4</x:v>
      </x:c>
      <x:c r="J1657" s="2" t="n">
        <x:v>5</x:v>
      </x:c>
      <x:c r="K1657" s="2" t="n">
        <x:v>5</x:v>
      </x:c>
      <x:c r="L1657" s="2" t="str">
        <x:v>Champions</x:v>
      </x:c>
    </x:row>
    <x:row r="1658" ht="22" customHeight="1">
      <x:c r="A1658" s="2"/>
      <x:c r="B1658" s="2" t="str">
        <x:v>13984</x:v>
      </x:c>
      <x:c r="C1658" s="2" t="str">
        <x:v>United Kingdom</x:v>
      </x:c>
      <x:c r="D1658" s="25" t="n">
        <x:v>40154.285416666666</x:v>
      </x:c>
      <x:c r="E1658" s="25" t="n">
        <x:v>40860.31805555556</x:v>
      </x:c>
      <x:c r="F1658" s="2" t="n">
        <x:v>27</x:v>
      </x:c>
      <x:c r="G1658" s="2" t="n">
        <x:v>12</x:v>
      </x:c>
      <x:c r="H1658" s="11" t="n">
        <x:v>1893.8</x:v>
      </x:c>
      <x:c r="I1658" s="2" t="n">
        <x:v>4</x:v>
      </x:c>
      <x:c r="J1658" s="2" t="n">
        <x:v>5</x:v>
      </x:c>
      <x:c r="K1658" s="2" t="n">
        <x:v>4</x:v>
      </x:c>
      <x:c r="L1658" s="2" t="str">
        <x:v>Champions</x:v>
      </x:c>
    </x:row>
    <x:row r="1659" ht="22" customHeight="1">
      <x:c r="A1659" s="2"/>
      <x:c r="B1659" s="2" t="str">
        <x:v>13985</x:v>
      </x:c>
      <x:c r="C1659" s="2" t="str">
        <x:v>United Kingdom</x:v>
      </x:c>
      <x:c r="D1659" s="25" t="n">
        <x:v>40218.37222222222</x:v>
      </x:c>
      <x:c r="E1659" s="25" t="n">
        <x:v>40882.504166666666</x:v>
      </x:c>
      <x:c r="F1659" s="2" t="n">
        <x:v>5</x:v>
      </x:c>
      <x:c r="G1659" s="2" t="n">
        <x:v>22</x:v>
      </x:c>
      <x:c r="H1659" s="11" t="n">
        <x:v>10020.86</x:v>
      </x:c>
      <x:c r="I1659" s="2" t="n">
        <x:v>5</x:v>
      </x:c>
      <x:c r="J1659" s="2" t="n">
        <x:v>5</x:v>
      </x:c>
      <x:c r="K1659" s="2" t="n">
        <x:v>5</x:v>
      </x:c>
      <x:c r="L1659" s="2" t="str">
        <x:v>Champions</x:v>
      </x:c>
    </x:row>
    <x:row r="1660" ht="22" customHeight="1">
      <x:c r="A1660" s="2"/>
      <x:c r="B1660" s="2" t="str">
        <x:v>13986</x:v>
      </x:c>
      <x:c r="C1660" s="2" t="str">
        <x:v>United Kingdom</x:v>
      </x:c>
      <x:c r="D1660" s="25" t="n">
        <x:v>40869.416666666664</x:v>
      </x:c>
      <x:c r="E1660" s="25" t="n">
        <x:v>40869.416666666664</x:v>
      </x:c>
      <x:c r="F1660" s="2" t="n">
        <x:v>18</x:v>
      </x:c>
      <x:c r="G1660" s="2" t="n">
        <x:v>1</x:v>
      </x:c>
      <x:c r="H1660" s="11" t="n">
        <x:v>320.46</x:v>
      </x:c>
      <x:c r="I1660" s="2" t="n">
        <x:v>5</x:v>
      </x:c>
      <x:c r="J1660" s="2" t="n">
        <x:v>1</x:v>
      </x:c>
      <x:c r="K1660" s="2" t="n">
        <x:v>2</x:v>
      </x:c>
      <x:c r="L1660" s="2" t="str">
        <x:v>Recent light buyers</x:v>
      </x:c>
    </x:row>
    <x:row r="1661" ht="22" customHeight="1">
      <x:c r="A1661" s="2"/>
      <x:c r="B1661" s="2" t="str">
        <x:v>13987</x:v>
      </x:c>
      <x:c r="C1661" s="2" t="str">
        <x:v>United Kingdom</x:v>
      </x:c>
      <x:c r="D1661" s="25" t="n">
        <x:v>40486.20416666667</x:v>
      </x:c>
      <x:c r="E1661" s="25" t="n">
        <x:v>40507.22222222222</x:v>
      </x:c>
      <x:c r="F1661" s="2" t="n">
        <x:v>380</x:v>
      </x:c>
      <x:c r="G1661" s="2" t="n">
        <x:v>2</x:v>
      </x:c>
      <x:c r="H1661" s="11" t="n">
        <x:v>682.54</x:v>
      </x:c>
      <x:c r="I1661" s="2" t="n">
        <x:v>2</x:v>
      </x:c>
      <x:c r="J1661" s="2" t="n">
        <x:v>2</x:v>
      </x:c>
      <x:c r="K1661" s="2" t="n">
        <x:v>3</x:v>
      </x:c>
      <x:c r="L1661" s="2" t="str">
        <x:v>Hibernating</x:v>
      </x:c>
    </x:row>
    <x:row r="1662" ht="22" customHeight="1">
      <x:c r="A1662" s="2"/>
      <x:c r="B1662" s="2" t="str">
        <x:v>13988</x:v>
      </x:c>
      <x:c r="C1662" s="2" t="str">
        <x:v>United Kingdom</x:v>
      </x:c>
      <x:c r="D1662" s="25" t="n">
        <x:v>40261.25347222222</x:v>
      </x:c>
      <x:c r="E1662" s="25" t="n">
        <x:v>40867.21875</x:v>
      </x:c>
      <x:c r="F1662" s="2" t="n">
        <x:v>20</x:v>
      </x:c>
      <x:c r="G1662" s="2" t="n">
        <x:v>8</x:v>
      </x:c>
      <x:c r="H1662" s="11" t="n">
        <x:v>4757.8</x:v>
      </x:c>
      <x:c r="I1662" s="2" t="n">
        <x:v>5</x:v>
      </x:c>
      <x:c r="J1662" s="2" t="n">
        <x:v>4</x:v>
      </x:c>
      <x:c r="K1662" s="2" t="n">
        <x:v>5</x:v>
      </x:c>
      <x:c r="L1662" s="2" t="str">
        <x:v>Champions</x:v>
      </x:c>
    </x:row>
    <x:row r="1663" ht="22" customHeight="1">
      <x:c r="A1663" s="2"/>
      <x:c r="B1663" s="2" t="str">
        <x:v>13989</x:v>
      </x:c>
      <x:c r="C1663" s="2" t="str">
        <x:v>United Kingdom</x:v>
      </x:c>
      <x:c r="D1663" s="25" t="n">
        <x:v>40323.30069444444</x:v>
      </x:c>
      <x:c r="E1663" s="25" t="n">
        <x:v>40821.19930555556</x:v>
      </x:c>
      <x:c r="F1663" s="2" t="n">
        <x:v>66</x:v>
      </x:c>
      <x:c r="G1663" s="2" t="n">
        <x:v>5</x:v>
      </x:c>
      <x:c r="H1663" s="11" t="n">
        <x:v>2026.06</x:v>
      </x:c>
      <x:c r="I1663" s="2" t="n">
        <x:v>3</x:v>
      </x:c>
      <x:c r="J1663" s="2" t="n">
        <x:v>4</x:v>
      </x:c>
      <x:c r="K1663" s="2" t="n">
        <x:v>4</x:v>
      </x:c>
      <x:c r="L1663" s="2" t="str">
        <x:v>Loyal</x:v>
      </x:c>
    </x:row>
    <x:row r="1664" ht="22" customHeight="1">
      <x:c r="A1664" s="2"/>
      <x:c r="B1664" s="2" t="str">
        <x:v>13990</x:v>
      </x:c>
      <x:c r="C1664" s="2" t="str">
        <x:v>United Kingdom</x:v>
      </x:c>
      <x:c r="D1664" s="25" t="n">
        <x:v>40673.42986111111</x:v>
      </x:c>
      <x:c r="E1664" s="25" t="n">
        <x:v>40673.42986111111</x:v>
      </x:c>
      <x:c r="F1664" s="2" t="n">
        <x:v>214</x:v>
      </x:c>
      <x:c r="G1664" s="2" t="n">
        <x:v>1</x:v>
      </x:c>
      <x:c r="H1664" s="11" t="n">
        <x:v>311.3</x:v>
      </x:c>
      <x:c r="I1664" s="2" t="n">
        <x:v>2</x:v>
      </x:c>
      <x:c r="J1664" s="2" t="n">
        <x:v>1</x:v>
      </x:c>
      <x:c r="K1664" s="2" t="n">
        <x:v>2</x:v>
      </x:c>
      <x:c r="L1664" s="2" t="str">
        <x:v>Hibernating</x:v>
      </x:c>
    </x:row>
    <x:row r="1665" ht="22" customHeight="1">
      <x:c r="A1665" s="2"/>
      <x:c r="B1665" s="2" t="str">
        <x:v>13991</x:v>
      </x:c>
      <x:c r="C1665" s="2" t="str">
        <x:v>United Kingdom</x:v>
      </x:c>
      <x:c r="D1665" s="25" t="n">
        <x:v>40743.33194444444</x:v>
      </x:c>
      <x:c r="E1665" s="25" t="n">
        <x:v>40874.47083333333</x:v>
      </x:c>
      <x:c r="F1665" s="2" t="n">
        <x:v>13</x:v>
      </x:c>
      <x:c r="G1665" s="2" t="n">
        <x:v>6</x:v>
      </x:c>
      <x:c r="H1665" s="11" t="n">
        <x:v>855.97</x:v>
      </x:c>
      <x:c r="I1665" s="2" t="n">
        <x:v>5</x:v>
      </x:c>
      <x:c r="J1665" s="2" t="n">
        <x:v>4</x:v>
      </x:c>
      <x:c r="K1665" s="2" t="n">
        <x:v>3</x:v>
      </x:c>
      <x:c r="L1665" s="2" t="str">
        <x:v>Loyal</x:v>
      </x:c>
    </x:row>
    <x:row r="1666" ht="22" customHeight="1">
      <x:c r="A1666" s="2"/>
      <x:c r="B1666" s="2" t="str">
        <x:v>13992</x:v>
      </x:c>
      <x:c r="C1666" s="2" t="str">
        <x:v>United Kingdom</x:v>
      </x:c>
      <x:c r="D1666" s="25" t="n">
        <x:v>40423.50277777778</x:v>
      </x:c>
      <x:c r="E1666" s="25" t="n">
        <x:v>40856.43263888889</x:v>
      </x:c>
      <x:c r="F1666" s="2" t="n">
        <x:v>31</x:v>
      </x:c>
      <x:c r="G1666" s="2" t="n">
        <x:v>3</x:v>
      </x:c>
      <x:c r="H1666" s="11" t="n">
        <x:v>219.5</x:v>
      </x:c>
      <x:c r="I1666" s="2" t="n">
        <x:v>4</x:v>
      </x:c>
      <x:c r="J1666" s="2" t="n">
        <x:v>3</x:v>
      </x:c>
      <x:c r="K1666" s="2" t="n">
        <x:v>1</x:v>
      </x:c>
      <x:c r="L1666" s="2" t="str">
        <x:v>Loyal</x:v>
      </x:c>
    </x:row>
    <x:row r="1667" ht="22" customHeight="1">
      <x:c r="A1667" s="2"/>
      <x:c r="B1667" s="2" t="str">
        <x:v>13993</x:v>
      </x:c>
      <x:c r="C1667" s="2" t="str">
        <x:v>United Kingdom</x:v>
      </x:c>
      <x:c r="D1667" s="25" t="n">
        <x:v>40150.28958333333</x:v>
      </x:c>
      <x:c r="E1667" s="25" t="n">
        <x:v>40844.17083333333</x:v>
      </x:c>
      <x:c r="F1667" s="2" t="n">
        <x:v>43</x:v>
      </x:c>
      <x:c r="G1667" s="2" t="n">
        <x:v>19</x:v>
      </x:c>
      <x:c r="H1667" s="11" t="n">
        <x:v>6775.71</x:v>
      </x:c>
      <x:c r="I1667" s="2" t="n">
        <x:v>4</x:v>
      </x:c>
      <x:c r="J1667" s="2" t="n">
        <x:v>5</x:v>
      </x:c>
      <x:c r="K1667" s="2" t="n">
        <x:v>5</x:v>
      </x:c>
      <x:c r="L1667" s="2" t="str">
        <x:v>Champions</x:v>
      </x:c>
    </x:row>
    <x:row r="1668" ht="22" customHeight="1">
      <x:c r="A1668" s="2"/>
      <x:c r="B1668" s="2" t="str">
        <x:v>13994</x:v>
      </x:c>
      <x:c r="C1668" s="2" t="str">
        <x:v>United Kingdom</x:v>
      </x:c>
      <x:c r="D1668" s="25" t="n">
        <x:v>40738.561111111114</x:v>
      </x:c>
      <x:c r="E1668" s="25" t="n">
        <x:v>40883.25347222222</x:v>
      </x:c>
      <x:c r="F1668" s="2" t="n">
        <x:v>4</x:v>
      </x:c>
      <x:c r="G1668" s="2" t="n">
        <x:v>6</x:v>
      </x:c>
      <x:c r="H1668" s="11" t="n">
        <x:v>2313.14</x:v>
      </x:c>
      <x:c r="I1668" s="2" t="n">
        <x:v>5</x:v>
      </x:c>
      <x:c r="J1668" s="2" t="n">
        <x:v>4</x:v>
      </x:c>
      <x:c r="K1668" s="2" t="n">
        <x:v>4</x:v>
      </x:c>
      <x:c r="L1668" s="2" t="str">
        <x:v>Champions</x:v>
      </x:c>
    </x:row>
    <x:row r="1669" ht="22" customHeight="1">
      <x:c r="A1669" s="2"/>
      <x:c r="B1669" s="2" t="str">
        <x:v>13995</x:v>
      </x:c>
      <x:c r="C1669" s="2" t="str">
        <x:v>United Kingdom</x:v>
      </x:c>
      <x:c r="D1669" s="25" t="n">
        <x:v>40165.32152777778</x:v>
      </x:c>
      <x:c r="E1669" s="25" t="n">
        <x:v>40871.39027777778</x:v>
      </x:c>
      <x:c r="F1669" s="2" t="n">
        <x:v>16</x:v>
      </x:c>
      <x:c r="G1669" s="2" t="n">
        <x:v>14</x:v>
      </x:c>
      <x:c r="H1669" s="11" t="n">
        <x:v>3902.01</x:v>
      </x:c>
      <x:c r="I1669" s="2" t="n">
        <x:v>5</x:v>
      </x:c>
      <x:c r="J1669" s="2" t="n">
        <x:v>5</x:v>
      </x:c>
      <x:c r="K1669" s="2" t="n">
        <x:v>5</x:v>
      </x:c>
      <x:c r="L1669" s="2" t="str">
        <x:v>Champions</x:v>
      </x:c>
    </x:row>
    <x:row r="1670" ht="22" customHeight="1">
      <x:c r="A1670" s="2"/>
      <x:c r="B1670" s="2" t="str">
        <x:v>13996</x:v>
      </x:c>
      <x:c r="C1670" s="2" t="str">
        <x:v>United Kingdom</x:v>
      </x:c>
      <x:c r="D1670" s="25" t="n">
        <x:v>40487.42152777778</x:v>
      </x:c>
      <x:c r="E1670" s="25" t="n">
        <x:v>40500.47708333333</x:v>
      </x:c>
      <x:c r="F1670" s="2" t="n">
        <x:v>387</x:v>
      </x:c>
      <x:c r="G1670" s="2" t="n">
        <x:v>2</x:v>
      </x:c>
      <x:c r="H1670" s="11" t="n">
        <x:v>895.76</x:v>
      </x:c>
      <x:c r="I1670" s="2" t="n">
        <x:v>2</x:v>
      </x:c>
      <x:c r="J1670" s="2" t="n">
        <x:v>2</x:v>
      </x:c>
      <x:c r="K1670" s="2" t="n">
        <x:v>3</x:v>
      </x:c>
      <x:c r="L1670" s="2" t="str">
        <x:v>Hibernating</x:v>
      </x:c>
    </x:row>
    <x:row r="1671" ht="22" customHeight="1">
      <x:c r="A1671" s="2"/>
      <x:c r="B1671" s="2" t="str">
        <x:v>13997</x:v>
      </x:c>
      <x:c r="C1671" s="2" t="str">
        <x:v>United Kingdom</x:v>
      </x:c>
      <x:c r="D1671" s="25" t="n">
        <x:v>40336.52291666667</x:v>
      </x:c>
      <x:c r="E1671" s="25" t="n">
        <x:v>40367.54583333333</x:v>
      </x:c>
      <x:c r="F1671" s="2" t="n">
        <x:v>520</x:v>
      </x:c>
      <x:c r="G1671" s="2" t="n">
        <x:v>3</x:v>
      </x:c>
      <x:c r="H1671" s="11" t="n">
        <x:v>382.31</x:v>
      </x:c>
      <x:c r="I1671" s="2" t="n">
        <x:v>1</x:v>
      </x:c>
      <x:c r="J1671" s="2" t="n">
        <x:v>3</x:v>
      </x:c>
      <x:c r="K1671" s="2" t="n">
        <x:v>2</x:v>
      </x:c>
      <x:c r="L1671" s="2" t="str">
        <x:v>At risk</x:v>
      </x:c>
    </x:row>
    <x:row r="1672" ht="22" customHeight="1">
      <x:c r="A1672" s="2"/>
      <x:c r="B1672" s="2" t="str">
        <x:v>13998</x:v>
      </x:c>
      <x:c r="C1672" s="2" t="str">
        <x:v>United Kingdom</x:v>
      </x:c>
      <x:c r="D1672" s="25" t="n">
        <x:v>40310.34583333333</x:v>
      </x:c>
      <x:c r="E1672" s="25" t="n">
        <x:v>40440.22222222222</x:v>
      </x:c>
      <x:c r="F1672" s="2" t="n">
        <x:v>447</x:v>
      </x:c>
      <x:c r="G1672" s="2" t="n">
        <x:v>3</x:v>
      </x:c>
      <x:c r="H1672" s="11" t="n">
        <x:v>566.7</x:v>
      </x:c>
      <x:c r="I1672" s="2" t="n">
        <x:v>1</x:v>
      </x:c>
      <x:c r="J1672" s="2" t="n">
        <x:v>3</x:v>
      </x:c>
      <x:c r="K1672" s="2" t="n">
        <x:v>2</x:v>
      </x:c>
      <x:c r="L1672" s="2" t="str">
        <x:v>At risk</x:v>
      </x:c>
    </x:row>
    <x:row r="1673" ht="22" customHeight="1">
      <x:c r="A1673" s="2"/>
      <x:c r="B1673" s="2" t="str">
        <x:v>13999</x:v>
      </x:c>
      <x:c r="C1673" s="2" t="str">
        <x:v>United Kingdom</x:v>
      </x:c>
      <x:c r="D1673" s="25" t="n">
        <x:v>40152.32083333333</x:v>
      </x:c>
      <x:c r="E1673" s="25" t="n">
        <x:v>40876.36111111111</x:v>
      </x:c>
      <x:c r="F1673" s="2" t="n">
        <x:v>11</x:v>
      </x:c>
      <x:c r="G1673" s="2" t="n">
        <x:v>29</x:v>
      </x:c>
      <x:c r="H1673" s="11" t="n">
        <x:v>9502.26</x:v>
      </x:c>
      <x:c r="I1673" s="2" t="n">
        <x:v>5</x:v>
      </x:c>
      <x:c r="J1673" s="2" t="n">
        <x:v>5</x:v>
      </x:c>
      <x:c r="K1673" s="2" t="n">
        <x:v>5</x:v>
      </x:c>
      <x:c r="L1673" s="2" t="str">
        <x:v>Champions</x:v>
      </x:c>
    </x:row>
    <x:row r="1674" ht="22" customHeight="1">
      <x:c r="A1674" s="2"/>
      <x:c r="B1674" s="2" t="str">
        <x:v>14000</x:v>
      </x:c>
      <x:c r="C1674" s="2" t="str">
        <x:v>United Kingdom</x:v>
      </x:c>
      <x:c r="D1674" s="25" t="n">
        <x:v>40149.20138888889</x:v>
      </x:c>
      <x:c r="E1674" s="25" t="n">
        <x:v>40675.493055555555</x:v>
      </x:c>
      <x:c r="F1674" s="2" t="n">
        <x:v>212</x:v>
      </x:c>
      <x:c r="G1674" s="2" t="n">
        <x:v>5</x:v>
      </x:c>
      <x:c r="H1674" s="11" t="n">
        <x:v>2046.34</x:v>
      </x:c>
      <x:c r="I1674" s="2" t="n">
        <x:v>2</x:v>
      </x:c>
      <x:c r="J1674" s="2" t="n">
        <x:v>4</x:v>
      </x:c>
      <x:c r="K1674" s="2" t="n">
        <x:v>4</x:v>
      </x:c>
      <x:c r="L1674" s="2" t="str">
        <x:v>At risk</x:v>
      </x:c>
    </x:row>
    <x:row r="1675" ht="22" customHeight="1">
      <x:c r="A1675" s="2"/>
      <x:c r="B1675" s="2" t="str">
        <x:v>14001</x:v>
      </x:c>
      <x:c r="C1675" s="2" t="str">
        <x:v>United Kingdom</x:v>
      </x:c>
      <x:c r="D1675" s="25" t="n">
        <x:v>40393.325694444444</x:v>
      </x:c>
      <x:c r="E1675" s="25" t="n">
        <x:v>40841.22986111111</x:v>
      </x:c>
      <x:c r="F1675" s="2" t="n">
        <x:v>46</x:v>
      </x:c>
      <x:c r="G1675" s="2" t="n">
        <x:v>9</x:v>
      </x:c>
      <x:c r="H1675" s="11" t="n">
        <x:v>4228.85</x:v>
      </x:c>
      <x:c r="I1675" s="2" t="n">
        <x:v>4</x:v>
      </x:c>
      <x:c r="J1675" s="2" t="n">
        <x:v>5</x:v>
      </x:c>
      <x:c r="K1675" s="2" t="n">
        <x:v>5</x:v>
      </x:c>
      <x:c r="L1675" s="2" t="str">
        <x:v>Champions</x:v>
      </x:c>
    </x:row>
    <x:row r="1676" ht="22" customHeight="1">
      <x:c r="A1676" s="2"/>
      <x:c r="B1676" s="2" t="str">
        <x:v>14002</x:v>
      </x:c>
      <x:c r="C1676" s="2" t="str">
        <x:v>United Kingdom</x:v>
      </x:c>
      <x:c r="D1676" s="25" t="n">
        <x:v>40730.415972222225</x:v>
      </x:c>
      <x:c r="E1676" s="25" t="n">
        <x:v>40752.45486111111</x:v>
      </x:c>
      <x:c r="F1676" s="2" t="n">
        <x:v>135</x:v>
      </x:c>
      <x:c r="G1676" s="2" t="n">
        <x:v>2</x:v>
      </x:c>
      <x:c r="H1676" s="11" t="n">
        <x:v>529.73</x:v>
      </x:c>
      <x:c r="I1676" s="2" t="n">
        <x:v>3</x:v>
      </x:c>
      <x:c r="J1676" s="2" t="n">
        <x:v>2</x:v>
      </x:c>
      <x:c r="K1676" s="2" t="n">
        <x:v>2</x:v>
      </x:c>
      <x:c r="L1676" s="2" t="str">
        <x:v>Developing</x:v>
      </x:c>
    </x:row>
    <x:row r="1677" ht="22" customHeight="1">
      <x:c r="A1677" s="2"/>
      <x:c r="B1677" s="2" t="str">
        <x:v>14003</x:v>
      </x:c>
      <x:c r="C1677" s="2" t="str">
        <x:v>United Kingdom</x:v>
      </x:c>
      <x:c r="D1677" s="25" t="n">
        <x:v>40154.16180555556</x:v>
      </x:c>
      <x:c r="E1677" s="25" t="n">
        <x:v>40154.16180555556</x:v>
      </x:c>
      <x:c r="F1677" s="2" t="n">
        <x:v>733</x:v>
      </x:c>
      <x:c r="G1677" s="2" t="n">
        <x:v>1</x:v>
      </x:c>
      <x:c r="H1677" s="11" t="n">
        <x:v>209.41</x:v>
      </x:c>
      <x:c r="I1677" s="2" t="n">
        <x:v>1</x:v>
      </x:c>
      <x:c r="J1677" s="2" t="n">
        <x:v>1</x:v>
      </x:c>
      <x:c r="K1677" s="2" t="n">
        <x:v>1</x:v>
      </x:c>
      <x:c r="L1677" s="2" t="str">
        <x:v>Hibernating</x:v>
      </x:c>
    </x:row>
    <x:row r="1678" ht="22" customHeight="1">
      <x:c r="A1678" s="2"/>
      <x:c r="B1678" s="2" t="str">
        <x:v>14004</x:v>
      </x:c>
      <x:c r="C1678" s="2" t="str">
        <x:v>United Kingdom</x:v>
      </x:c>
      <x:c r="D1678" s="25" t="n">
        <x:v>40451.19375</x:v>
      </x:c>
      <x:c r="E1678" s="25" t="n">
        <x:v>40843.40277777778</x:v>
      </x:c>
      <x:c r="F1678" s="2" t="n">
        <x:v>44</x:v>
      </x:c>
      <x:c r="G1678" s="2" t="n">
        <x:v>11</x:v>
      </x:c>
      <x:c r="H1678" s="11" t="n">
        <x:v>6258.45</x:v>
      </x:c>
      <x:c r="I1678" s="2" t="n">
        <x:v>4</x:v>
      </x:c>
      <x:c r="J1678" s="2" t="n">
        <x:v>5</x:v>
      </x:c>
      <x:c r="K1678" s="2" t="n">
        <x:v>5</x:v>
      </x:c>
      <x:c r="L1678" s="2" t="str">
        <x:v>Champions</x:v>
      </x:c>
    </x:row>
    <x:row r="1679" ht="22" customHeight="1">
      <x:c r="A1679" s="2"/>
      <x:c r="B1679" s="2" t="str">
        <x:v>14005</x:v>
      </x:c>
      <x:c r="C1679" s="2" t="str">
        <x:v>United Kingdom</x:v>
      </x:c>
      <x:c r="D1679" s="25" t="n">
        <x:v>40671.23125</x:v>
      </x:c>
      <x:c r="E1679" s="25" t="n">
        <x:v>40877.32013888889</x:v>
      </x:c>
      <x:c r="F1679" s="2" t="n">
        <x:v>10</x:v>
      </x:c>
      <x:c r="G1679" s="2" t="n">
        <x:v>5</x:v>
      </x:c>
      <x:c r="H1679" s="11" t="n">
        <x:v>2874.72</x:v>
      </x:c>
      <x:c r="I1679" s="2" t="n">
        <x:v>5</x:v>
      </x:c>
      <x:c r="J1679" s="2" t="n">
        <x:v>4</x:v>
      </x:c>
      <x:c r="K1679" s="2" t="n">
        <x:v>4</x:v>
      </x:c>
      <x:c r="L1679" s="2" t="str">
        <x:v>Champions</x:v>
      </x:c>
    </x:row>
    <x:row r="1680" ht="22" customHeight="1">
      <x:c r="A1680" s="2"/>
      <x:c r="B1680" s="2" t="str">
        <x:v>14006</x:v>
      </x:c>
      <x:c r="C1680" s="2" t="str">
        <x:v>United Kingdom</x:v>
      </x:c>
      <x:c r="D1680" s="25" t="n">
        <x:v>40234.197916666664</x:v>
      </x:c>
      <x:c r="E1680" s="25" t="n">
        <x:v>40771.19375</x:v>
      </x:c>
      <x:c r="F1680" s="2" t="n">
        <x:v>116</x:v>
      </x:c>
      <x:c r="G1680" s="2" t="n">
        <x:v>7</x:v>
      </x:c>
      <x:c r="H1680" s="11" t="n">
        <x:v>2196.67</x:v>
      </x:c>
      <x:c r="I1680" s="2" t="n">
        <x:v>3</x:v>
      </x:c>
      <x:c r="J1680" s="2" t="n">
        <x:v>4</x:v>
      </x:c>
      <x:c r="K1680" s="2" t="n">
        <x:v>4</x:v>
      </x:c>
      <x:c r="L1680" s="2" t="str">
        <x:v>Loyal</x:v>
      </x:c>
    </x:row>
    <x:row r="1681" ht="22" customHeight="1">
      <x:c r="A1681" s="2"/>
      <x:c r="B1681" s="2" t="str">
        <x:v>14007</x:v>
      </x:c>
      <x:c r="C1681" s="2" t="str">
        <x:v>United Kingdom</x:v>
      </x:c>
      <x:c r="D1681" s="25" t="n">
        <x:v>40374.17083333333</x:v>
      </x:c>
      <x:c r="E1681" s="25" t="n">
        <x:v>40374.17083333333</x:v>
      </x:c>
      <x:c r="F1681" s="2" t="n">
        <x:v>513</x:v>
      </x:c>
      <x:c r="G1681" s="2" t="n">
        <x:v>1</x:v>
      </x:c>
      <x:c r="H1681" s="11" t="n">
        <x:v>79.48</x:v>
      </x:c>
      <x:c r="I1681" s="2" t="n">
        <x:v>1</x:v>
      </x:c>
      <x:c r="J1681" s="2" t="n">
        <x:v>1</x:v>
      </x:c>
      <x:c r="K1681" s="2" t="n">
        <x:v>1</x:v>
      </x:c>
      <x:c r="L1681" s="2" t="str">
        <x:v>Hibernating</x:v>
      </x:c>
    </x:row>
    <x:row r="1682" ht="22" customHeight="1">
      <x:c r="A1682" s="2"/>
      <x:c r="B1682" s="2" t="str">
        <x:v>14008</x:v>
      </x:c>
      <x:c r="C1682" s="2" t="str">
        <x:v>United Kingdom</x:v>
      </x:c>
      <x:c r="D1682" s="25" t="n">
        <x:v>40454.339583333334</x:v>
      </x:c>
      <x:c r="E1682" s="25" t="n">
        <x:v>40454.339583333334</x:v>
      </x:c>
      <x:c r="F1682" s="2" t="n">
        <x:v>433</x:v>
      </x:c>
      <x:c r="G1682" s="2" t="n">
        <x:v>1</x:v>
      </x:c>
      <x:c r="H1682" s="11" t="n">
        <x:v>509.04</x:v>
      </x:c>
      <x:c r="I1682" s="2" t="n">
        <x:v>1</x:v>
      </x:c>
      <x:c r="J1682" s="2" t="n">
        <x:v>1</x:v>
      </x:c>
      <x:c r="K1682" s="2" t="n">
        <x:v>2</x:v>
      </x:c>
      <x:c r="L1682" s="2" t="str">
        <x:v>Hibernating</x:v>
      </x:c>
    </x:row>
    <x:row r="1683" ht="22" customHeight="1">
      <x:c r="A1683" s="2"/>
      <x:c r="B1683" s="2" t="str">
        <x:v>14009</x:v>
      </x:c>
      <x:c r="C1683" s="2" t="str">
        <x:v>United Kingdom</x:v>
      </x:c>
      <x:c r="D1683" s="25" t="n">
        <x:v>40424.29722222222</x:v>
      </x:c>
      <x:c r="E1683" s="25" t="n">
        <x:v>40688.44930555556</x:v>
      </x:c>
      <x:c r="F1683" s="2" t="n">
        <x:v>199</x:v>
      </x:c>
      <x:c r="G1683" s="2" t="n">
        <x:v>3</x:v>
      </x:c>
      <x:c r="H1683" s="11" t="n">
        <x:v>1099.91</x:v>
      </x:c>
      <x:c r="I1683" s="2" t="n">
        <x:v>2</x:v>
      </x:c>
      <x:c r="J1683" s="2" t="n">
        <x:v>3</x:v>
      </x:c>
      <x:c r="K1683" s="2" t="n">
        <x:v>3</x:v>
      </x:c>
      <x:c r="L1683" s="2" t="str">
        <x:v>At risk</x:v>
      </x:c>
    </x:row>
    <x:row r="1684" ht="22" customHeight="1">
      <x:c r="A1684" s="2"/>
      <x:c r="B1684" s="2" t="str">
        <x:v>14010</x:v>
      </x:c>
      <x:c r="C1684" s="2" t="str">
        <x:v>United Kingdom</x:v>
      </x:c>
      <x:c r="D1684" s="25" t="n">
        <x:v>40321.32361111111</x:v>
      </x:c>
      <x:c r="E1684" s="25" t="n">
        <x:v>40321.333333333336</x:v>
      </x:c>
      <x:c r="F1684" s="2" t="n">
        <x:v>566</x:v>
      </x:c>
      <x:c r="G1684" s="2" t="n">
        <x:v>2</x:v>
      </x:c>
      <x:c r="H1684" s="11" t="n">
        <x:v>445.15</x:v>
      </x:c>
      <x:c r="I1684" s="2" t="n">
        <x:v>1</x:v>
      </x:c>
      <x:c r="J1684" s="2" t="n">
        <x:v>2</x:v>
      </x:c>
      <x:c r="K1684" s="2" t="n">
        <x:v>2</x:v>
      </x:c>
      <x:c r="L1684" s="2" t="str">
        <x:v>Hibernating</x:v>
      </x:c>
    </x:row>
    <x:row r="1685" ht="22" customHeight="1">
      <x:c r="A1685" s="2"/>
      <x:c r="B1685" s="2" t="str">
        <x:v>14011</x:v>
      </x:c>
      <x:c r="C1685" s="2" t="str">
        <x:v>United Kingdom</x:v>
      </x:c>
      <x:c r="D1685" s="25" t="n">
        <x:v>40279.36111111111</x:v>
      </x:c>
      <x:c r="E1685" s="25" t="n">
        <x:v>40406.43819444445</x:v>
      </x:c>
      <x:c r="F1685" s="2" t="n">
        <x:v>481</x:v>
      </x:c>
      <x:c r="G1685" s="2" t="n">
        <x:v>2</x:v>
      </x:c>
      <x:c r="H1685" s="11" t="n">
        <x:v>457.82</x:v>
      </x:c>
      <x:c r="I1685" s="2" t="n">
        <x:v>1</x:v>
      </x:c>
      <x:c r="J1685" s="2" t="n">
        <x:v>2</x:v>
      </x:c>
      <x:c r="K1685" s="2" t="n">
        <x:v>2</x:v>
      </x:c>
      <x:c r="L1685" s="2" t="str">
        <x:v>Hibernating</x:v>
      </x:c>
    </x:row>
    <x:row r="1686" ht="22" customHeight="1">
      <x:c r="A1686" s="2"/>
      <x:c r="B1686" s="2" t="str">
        <x:v>14012</x:v>
      </x:c>
      <x:c r="C1686" s="2" t="str">
        <x:v>United Kingdom</x:v>
      </x:c>
      <x:c r="D1686" s="25" t="n">
        <x:v>40609.30972222222</x:v>
      </x:c>
      <x:c r="E1686" s="25" t="n">
        <x:v>40609.30972222222</x:v>
      </x:c>
      <x:c r="F1686" s="2" t="n">
        <x:v>278</x:v>
      </x:c>
      <x:c r="G1686" s="2" t="n">
        <x:v>1</x:v>
      </x:c>
      <x:c r="H1686" s="11" t="n">
        <x:v>328.8</x:v>
      </x:c>
      <x:c r="I1686" s="2" t="n">
        <x:v>2</x:v>
      </x:c>
      <x:c r="J1686" s="2" t="n">
        <x:v>1</x:v>
      </x:c>
      <x:c r="K1686" s="2" t="n">
        <x:v>2</x:v>
      </x:c>
      <x:c r="L1686" s="2" t="str">
        <x:v>Hibernating</x:v>
      </x:c>
    </x:row>
    <x:row r="1687" ht="22" customHeight="1">
      <x:c r="A1687" s="2"/>
      <x:c r="B1687" s="2" t="str">
        <x:v>14013</x:v>
      </x:c>
      <x:c r="C1687" s="2" t="str">
        <x:v>United Kingdom</x:v>
      </x:c>
      <x:c r="D1687" s="25" t="n">
        <x:v>40263.20972222222</x:v>
      </x:c>
      <x:c r="E1687" s="25" t="n">
        <x:v>40776.41736111111</x:v>
      </x:c>
      <x:c r="F1687" s="2" t="n">
        <x:v>111</x:v>
      </x:c>
      <x:c r="G1687" s="2" t="n">
        <x:v>5</x:v>
      </x:c>
      <x:c r="H1687" s="11" t="n">
        <x:v>1084.57</x:v>
      </x:c>
      <x:c r="I1687" s="2" t="n">
        <x:v>3</x:v>
      </x:c>
      <x:c r="J1687" s="2" t="n">
        <x:v>4</x:v>
      </x:c>
      <x:c r="K1687" s="2" t="n">
        <x:v>3</x:v>
      </x:c>
      <x:c r="L1687" s="2" t="str">
        <x:v>Loyal</x:v>
      </x:c>
    </x:row>
    <x:row r="1688" ht="22" customHeight="1">
      <x:c r="A1688" s="2"/>
      <x:c r="B1688" s="2" t="str">
        <x:v>14014</x:v>
      </x:c>
      <x:c r="C1688" s="2" t="str">
        <x:v>United Kingdom</x:v>
      </x:c>
      <x:c r="D1688" s="25" t="n">
        <x:v>40310.169444444444</x:v>
      </x:c>
      <x:c r="E1688" s="25" t="n">
        <x:v>40809.34583333333</x:v>
      </x:c>
      <x:c r="F1688" s="2" t="n">
        <x:v>78</x:v>
      </x:c>
      <x:c r="G1688" s="2" t="n">
        <x:v>3</x:v>
      </x:c>
      <x:c r="H1688" s="11" t="n">
        <x:v>1948.21</x:v>
      </x:c>
      <x:c r="I1688" s="2" t="n">
        <x:v>3</x:v>
      </x:c>
      <x:c r="J1688" s="2" t="n">
        <x:v>3</x:v>
      </x:c>
      <x:c r="K1688" s="2" t="n">
        <x:v>4</x:v>
      </x:c>
      <x:c r="L1688" s="2" t="str">
        <x:v>Loyal</x:v>
      </x:c>
    </x:row>
    <x:row r="1689" ht="22" customHeight="1">
      <x:c r="A1689" s="2"/>
      <x:c r="B1689" s="2" t="str">
        <x:v>14015</x:v>
      </x:c>
      <x:c r="C1689" s="2" t="str">
        <x:v>United Kingdom</x:v>
      </x:c>
      <x:c r="D1689" s="25" t="n">
        <x:v>40834.20972222222</x:v>
      </x:c>
      <x:c r="E1689" s="25" t="n">
        <x:v>40834.20972222222</x:v>
      </x:c>
      <x:c r="F1689" s="2" t="n">
        <x:v>53</x:v>
      </x:c>
      <x:c r="G1689" s="2" t="n">
        <x:v>1</x:v>
      </x:c>
      <x:c r="H1689" s="11" t="n">
        <x:v>917.34</x:v>
      </x:c>
      <x:c r="I1689" s="2" t="n">
        <x:v>4</x:v>
      </x:c>
      <x:c r="J1689" s="2" t="n">
        <x:v>1</x:v>
      </x:c>
      <x:c r="K1689" s="2" t="n">
        <x:v>3</x:v>
      </x:c>
      <x:c r="L1689" s="2" t="str">
        <x:v>Recent light buyers</x:v>
      </x:c>
    </x:row>
    <x:row r="1690" ht="22" customHeight="1">
      <x:c r="A1690" s="2"/>
      <x:c r="B1690" s="2" t="str">
        <x:v>14016</x:v>
      </x:c>
      <x:c r="C1690" s="2" t="str">
        <x:v>EIRE</x:v>
      </x:c>
      <x:c r="D1690" s="25" t="n">
        <x:v>40186.38333333333</x:v>
      </x:c>
      <x:c r="E1690" s="25" t="n">
        <x:v>40725.27013888889</x:v>
      </x:c>
      <x:c r="F1690" s="2" t="n">
        <x:v>162</x:v>
      </x:c>
      <x:c r="G1690" s="2" t="n">
        <x:v>11</x:v>
      </x:c>
      <x:c r="H1690" s="11" t="n">
        <x:v>11403.41</x:v>
      </x:c>
      <x:c r="I1690" s="2" t="n">
        <x:v>3</x:v>
      </x:c>
      <x:c r="J1690" s="2" t="n">
        <x:v>5</x:v>
      </x:c>
      <x:c r="K1690" s="2" t="n">
        <x:v>5</x:v>
      </x:c>
      <x:c r="L1690" s="2" t="str">
        <x:v>Loyal</x:v>
      </x:c>
    </x:row>
    <x:row r="1691" ht="22" customHeight="1">
      <x:c r="A1691" s="2"/>
      <x:c r="B1691" s="2" t="str">
        <x:v>14017</x:v>
      </x:c>
      <x:c r="C1691" s="2" t="str">
        <x:v>United Kingdom</x:v>
      </x:c>
      <x:c r="D1691" s="25" t="n">
        <x:v>40315.41111111111</x:v>
      </x:c>
      <x:c r="E1691" s="25" t="n">
        <x:v>40315.41111111111</x:v>
      </x:c>
      <x:c r="F1691" s="2" t="n">
        <x:v>572</x:v>
      </x:c>
      <x:c r="G1691" s="2" t="n">
        <x:v>1</x:v>
      </x:c>
      <x:c r="H1691" s="11" t="n">
        <x:v>229.75</x:v>
      </x:c>
      <x:c r="I1691" s="2" t="n">
        <x:v>1</x:v>
      </x:c>
      <x:c r="J1691" s="2" t="n">
        <x:v>1</x:v>
      </x:c>
      <x:c r="K1691" s="2" t="n">
        <x:v>1</x:v>
      </x:c>
      <x:c r="L1691" s="2" t="str">
        <x:v>Hibernating</x:v>
      </x:c>
    </x:row>
    <x:row r="1692" ht="22" customHeight="1">
      <x:c r="A1692" s="2"/>
      <x:c r="B1692" s="2" t="str">
        <x:v>14018</x:v>
      </x:c>
      <x:c r="C1692" s="2" t="str">
        <x:v>United Kingdom</x:v>
      </x:c>
      <x:c r="D1692" s="25" t="n">
        <x:v>40241.39097222222</x:v>
      </x:c>
      <x:c r="E1692" s="25" t="n">
        <x:v>40241.39097222222</x:v>
      </x:c>
      <x:c r="F1692" s="2" t="n">
        <x:v>646</x:v>
      </x:c>
      <x:c r="G1692" s="2" t="n">
        <x:v>1</x:v>
      </x:c>
      <x:c r="H1692" s="11" t="n">
        <x:v>367.15</x:v>
      </x:c>
      <x:c r="I1692" s="2" t="n">
        <x:v>1</x:v>
      </x:c>
      <x:c r="J1692" s="2" t="n">
        <x:v>1</x:v>
      </x:c>
      <x:c r="K1692" s="2" t="n">
        <x:v>2</x:v>
      </x:c>
      <x:c r="L1692" s="2" t="str">
        <x:v>Hibernating</x:v>
      </x:c>
    </x:row>
    <x:row r="1693" ht="22" customHeight="1">
      <x:c r="A1693" s="2"/>
      <x:c r="B1693" s="2" t="str">
        <x:v>14019</x:v>
      </x:c>
      <x:c r="C1693" s="2" t="str">
        <x:v>United Kingdom</x:v>
      </x:c>
      <x:c r="D1693" s="25" t="n">
        <x:v>40748.44375</x:v>
      </x:c>
      <x:c r="E1693" s="25" t="n">
        <x:v>40840.217361111114</x:v>
      </x:c>
      <x:c r="F1693" s="2" t="n">
        <x:v>47</x:v>
      </x:c>
      <x:c r="G1693" s="2" t="n">
        <x:v>3</x:v>
      </x:c>
      <x:c r="H1693" s="11" t="n">
        <x:v>1421.61</x:v>
      </x:c>
      <x:c r="I1693" s="2" t="n">
        <x:v>4</x:v>
      </x:c>
      <x:c r="J1693" s="2" t="n">
        <x:v>3</x:v>
      </x:c>
      <x:c r="K1693" s="2" t="n">
        <x:v>4</x:v>
      </x:c>
      <x:c r="L1693" s="2" t="str">
        <x:v>Loyal</x:v>
      </x:c>
    </x:row>
    <x:row r="1694" ht="22" customHeight="1">
      <x:c r="A1694" s="2"/>
      <x:c r="B1694" s="2" t="str">
        <x:v>14020</x:v>
      </x:c>
      <x:c r="C1694" s="2" t="str">
        <x:v>United Kingdom</x:v>
      </x:c>
      <x:c r="D1694" s="25" t="n">
        <x:v>40357.43680555555</x:v>
      </x:c>
      <x:c r="E1694" s="25" t="n">
        <x:v>40870.18194444444</x:v>
      </x:c>
      <x:c r="F1694" s="2" t="n">
        <x:v>17</x:v>
      </x:c>
      <x:c r="G1694" s="2" t="n">
        <x:v>4</x:v>
      </x:c>
      <x:c r="H1694" s="11" t="n">
        <x:v>1249.01</x:v>
      </x:c>
      <x:c r="I1694" s="2" t="n">
        <x:v>5</x:v>
      </x:c>
      <x:c r="J1694" s="2" t="n">
        <x:v>3</x:v>
      </x:c>
      <x:c r="K1694" s="2" t="n">
        <x:v>4</x:v>
      </x:c>
      <x:c r="L1694" s="2" t="str">
        <x:v>Loyal</x:v>
      </x:c>
    </x:row>
    <x:row r="1695" ht="22" customHeight="1">
      <x:c r="A1695" s="2"/>
      <x:c r="B1695" s="2" t="str">
        <x:v>14021</x:v>
      </x:c>
      <x:c r="C1695" s="2" t="str">
        <x:v>United Kingdom</x:v>
      </x:c>
      <x:c r="D1695" s="25" t="n">
        <x:v>40294.26527777778</x:v>
      </x:c>
      <x:c r="E1695" s="25" t="n">
        <x:v>40731.44861111111</x:v>
      </x:c>
      <x:c r="F1695" s="2" t="n">
        <x:v>156</x:v>
      </x:c>
      <x:c r="G1695" s="2" t="n">
        <x:v>7</x:v>
      </x:c>
      <x:c r="H1695" s="11" t="n">
        <x:v>1716.58</x:v>
      </x:c>
      <x:c r="I1695" s="2" t="n">
        <x:v>3</x:v>
      </x:c>
      <x:c r="J1695" s="2" t="n">
        <x:v>4</x:v>
      </x:c>
      <x:c r="K1695" s="2" t="n">
        <x:v>4</x:v>
      </x:c>
      <x:c r="L1695" s="2" t="str">
        <x:v>Loyal</x:v>
      </x:c>
    </x:row>
    <x:row r="1696" ht="22" customHeight="1">
      <x:c r="A1696" s="2"/>
      <x:c r="B1696" s="2" t="str">
        <x:v>14022</x:v>
      </x:c>
      <x:c r="C1696" s="2" t="str">
        <x:v>United Kingdom</x:v>
      </x:c>
      <x:c r="D1696" s="25" t="n">
        <x:v>40400.19305555556</x:v>
      </x:c>
      <x:c r="E1696" s="25" t="n">
        <x:v>40661.402083333334</x:v>
      </x:c>
      <x:c r="F1696" s="2" t="n">
        <x:v>226</x:v>
      </x:c>
      <x:c r="G1696" s="2" t="n">
        <x:v>2</x:v>
      </x:c>
      <x:c r="H1696" s="11" t="n">
        <x:v>792.15</x:v>
      </x:c>
      <x:c r="I1696" s="2" t="n">
        <x:v>2</x:v>
      </x:c>
      <x:c r="J1696" s="2" t="n">
        <x:v>2</x:v>
      </x:c>
      <x:c r="K1696" s="2" t="n">
        <x:v>3</x:v>
      </x:c>
      <x:c r="L1696" s="2" t="str">
        <x:v>Hibernating</x:v>
      </x:c>
    </x:row>
    <x:row r="1697" ht="22" customHeight="1">
      <x:c r="A1697" s="2"/>
      <x:c r="B1697" s="2" t="str">
        <x:v>14023</x:v>
      </x:c>
      <x:c r="C1697" s="2" t="str">
        <x:v>United Kingdom</x:v>
      </x:c>
      <x:c r="D1697" s="25" t="n">
        <x:v>40636.45138888889</x:v>
      </x:c>
      <x:c r="E1697" s="25" t="n">
        <x:v>40879.373611111114</x:v>
      </x:c>
      <x:c r="F1697" s="2" t="n">
        <x:v>8</x:v>
      </x:c>
      <x:c r="G1697" s="2" t="n">
        <x:v>2</x:v>
      </x:c>
      <x:c r="H1697" s="11" t="n">
        <x:v>584.07</x:v>
      </x:c>
      <x:c r="I1697" s="2" t="n">
        <x:v>5</x:v>
      </x:c>
      <x:c r="J1697" s="2" t="n">
        <x:v>2</x:v>
      </x:c>
      <x:c r="K1697" s="2" t="n">
        <x:v>2</x:v>
      </x:c>
      <x:c r="L1697" s="2" t="str">
        <x:v>Recent light buyers</x:v>
      </x:c>
    </x:row>
    <x:row r="1698" ht="22" customHeight="1">
      <x:c r="A1698" s="2"/>
      <x:c r="B1698" s="2" t="str">
        <x:v>14024</x:v>
      </x:c>
      <x:c r="C1698" s="2" t="str">
        <x:v>United Kingdom</x:v>
      </x:c>
      <x:c r="D1698" s="25" t="n">
        <x:v>40496.24375</x:v>
      </x:c>
      <x:c r="E1698" s="25" t="n">
        <x:v>40765.270833333336</x:v>
      </x:c>
      <x:c r="F1698" s="2" t="n">
        <x:v>122</x:v>
      </x:c>
      <x:c r="G1698" s="2" t="n">
        <x:v>3</x:v>
      </x:c>
      <x:c r="H1698" s="11" t="n">
        <x:v>645.74</x:v>
      </x:c>
      <x:c r="I1698" s="2" t="n">
        <x:v>3</x:v>
      </x:c>
      <x:c r="J1698" s="2" t="n">
        <x:v>3</x:v>
      </x:c>
      <x:c r="K1698" s="2" t="n">
        <x:v>3</x:v>
      </x:c>
      <x:c r="L1698" s="2" t="str">
        <x:v>Loyal</x:v>
      </x:c>
    </x:row>
    <x:row r="1699" ht="22" customHeight="1">
      <x:c r="A1699" s="2"/>
      <x:c r="B1699" s="2" t="str">
        <x:v>14025</x:v>
      </x:c>
      <x:c r="C1699" s="2" t="str">
        <x:v>United Kingdom</x:v>
      </x:c>
      <x:c r="D1699" s="25" t="n">
        <x:v>40303.205555555556</x:v>
      </x:c>
      <x:c r="E1699" s="25" t="n">
        <x:v>40422.21597222222</x:v>
      </x:c>
      <x:c r="F1699" s="2" t="n">
        <x:v>465</x:v>
      </x:c>
      <x:c r="G1699" s="2" t="n">
        <x:v>8</x:v>
      </x:c>
      <x:c r="H1699" s="11" t="n">
        <x:v>4057.9</x:v>
      </x:c>
      <x:c r="I1699" s="2" t="n">
        <x:v>1</x:v>
      </x:c>
      <x:c r="J1699" s="2" t="n">
        <x:v>4</x:v>
      </x:c>
      <x:c r="K1699" s="2" t="n">
        <x:v>5</x:v>
      </x:c>
      <x:c r="L1699" s="2" t="str">
        <x:v>At risk</x:v>
      </x:c>
    </x:row>
    <x:row r="1700" ht="22" customHeight="1">
      <x:c r="A1700" s="2"/>
      <x:c r="B1700" s="2" t="str">
        <x:v>14026</x:v>
      </x:c>
      <x:c r="C1700" s="2" t="str">
        <x:v>United Kingdom</x:v>
      </x:c>
      <x:c r="D1700" s="25" t="n">
        <x:v>40261.381944444445</x:v>
      </x:c>
      <x:c r="E1700" s="25" t="n">
        <x:v>40416.22986111111</x:v>
      </x:c>
      <x:c r="F1700" s="2" t="n">
        <x:v>471</x:v>
      </x:c>
      <x:c r="G1700" s="2" t="n">
        <x:v>2</x:v>
      </x:c>
      <x:c r="H1700" s="11" t="n">
        <x:v>713.11</x:v>
      </x:c>
      <x:c r="I1700" s="2" t="n">
        <x:v>1</x:v>
      </x:c>
      <x:c r="J1700" s="2" t="n">
        <x:v>2</x:v>
      </x:c>
      <x:c r="K1700" s="2" t="n">
        <x:v>3</x:v>
      </x:c>
      <x:c r="L1700" s="2" t="str">
        <x:v>Hibernating</x:v>
      </x:c>
    </x:row>
    <x:row r="1701" ht="22" customHeight="1">
      <x:c r="A1701" s="2"/>
      <x:c r="B1701" s="2" t="str">
        <x:v>14027</x:v>
      </x:c>
      <x:c r="C1701" s="2" t="str">
        <x:v>United Kingdom</x:v>
      </x:c>
      <x:c r="D1701" s="25" t="n">
        <x:v>40826.16736111111</x:v>
      </x:c>
      <x:c r="E1701" s="25" t="n">
        <x:v>40826.16736111111</x:v>
      </x:c>
      <x:c r="F1701" s="2" t="n">
        <x:v>61</x:v>
      </x:c>
      <x:c r="G1701" s="2" t="n">
        <x:v>1</x:v>
      </x:c>
      <x:c r="H1701" s="11" t="n">
        <x:v>104.82</x:v>
      </x:c>
      <x:c r="I1701" s="2" t="n">
        <x:v>3</x:v>
      </x:c>
      <x:c r="J1701" s="2" t="n">
        <x:v>1</x:v>
      </x:c>
      <x:c r="K1701" s="2" t="n">
        <x:v>1</x:v>
      </x:c>
      <x:c r="L1701" s="2" t="str">
        <x:v>Developing</x:v>
      </x:c>
    </x:row>
    <x:row r="1702" ht="22" customHeight="1">
      <x:c r="A1702" s="2"/>
      <x:c r="B1702" s="2" t="str">
        <x:v>14028</x:v>
      </x:c>
      <x:c r="C1702" s="2" t="str">
        <x:v>United Kingdom</x:v>
      </x:c>
      <x:c r="D1702" s="25" t="n">
        <x:v>40336.29305555556</x:v>
      </x:c>
      <x:c r="E1702" s="25" t="n">
        <x:v>40336.35625</x:v>
      </x:c>
      <x:c r="F1702" s="2" t="n">
        <x:v>551</x:v>
      </x:c>
      <x:c r="G1702" s="2" t="n">
        <x:v>3</x:v>
      </x:c>
      <x:c r="H1702" s="11" t="n">
        <x:v>10396.5</x:v>
      </x:c>
      <x:c r="I1702" s="2" t="n">
        <x:v>1</x:v>
      </x:c>
      <x:c r="J1702" s="2" t="n">
        <x:v>3</x:v>
      </x:c>
      <x:c r="K1702" s="2" t="n">
        <x:v>5</x:v>
      </x:c>
      <x:c r="L1702" s="2" t="str">
        <x:v>At risk</x:v>
      </x:c>
    </x:row>
    <x:row r="1703" ht="22" customHeight="1">
      <x:c r="A1703" s="2"/>
      <x:c r="B1703" s="2" t="str">
        <x:v>14029</x:v>
      </x:c>
      <x:c r="C1703" s="2" t="str">
        <x:v>United Kingdom</x:v>
      </x:c>
      <x:c r="D1703" s="25" t="n">
        <x:v>40742.49791666667</x:v>
      </x:c>
      <x:c r="E1703" s="25" t="n">
        <x:v>40823.40694444445</x:v>
      </x:c>
      <x:c r="F1703" s="2" t="n">
        <x:v>64</x:v>
      </x:c>
      <x:c r="G1703" s="2" t="n">
        <x:v>2</x:v>
      </x:c>
      <x:c r="H1703" s="11" t="n">
        <x:v>467.66</x:v>
      </x:c>
      <x:c r="I1703" s="2" t="n">
        <x:v>3</x:v>
      </x:c>
      <x:c r="J1703" s="2" t="n">
        <x:v>2</x:v>
      </x:c>
      <x:c r="K1703" s="2" t="n">
        <x:v>2</x:v>
      </x:c>
      <x:c r="L1703" s="2" t="str">
        <x:v>Developing</x:v>
      </x:c>
    </x:row>
    <x:row r="1704" ht="22" customHeight="1">
      <x:c r="A1704" s="2"/>
      <x:c r="B1704" s="2" t="str">
        <x:v>14030</x:v>
      </x:c>
      <x:c r="C1704" s="2" t="str">
        <x:v>United Kingdom</x:v>
      </x:c>
      <x:c r="D1704" s="25" t="n">
        <x:v>40157.51875</x:v>
      </x:c>
      <x:c r="E1704" s="25" t="n">
        <x:v>40868.49166666667</x:v>
      </x:c>
      <x:c r="F1704" s="2" t="n">
        <x:v>19</x:v>
      </x:c>
      <x:c r="G1704" s="2" t="n">
        <x:v>20</x:v>
      </x:c>
      <x:c r="H1704" s="11" t="n">
        <x:v>7585.79</x:v>
      </x:c>
      <x:c r="I1704" s="2" t="n">
        <x:v>5</x:v>
      </x:c>
      <x:c r="J1704" s="2" t="n">
        <x:v>5</x:v>
      </x:c>
      <x:c r="K1704" s="2" t="n">
        <x:v>5</x:v>
      </x:c>
      <x:c r="L1704" s="2" t="str">
        <x:v>Champions</x:v>
      </x:c>
    </x:row>
    <x:row r="1705" ht="22" customHeight="1">
      <x:c r="A1705" s="2"/>
      <x:c r="B1705" s="2" t="str">
        <x:v>14031</x:v>
      </x:c>
      <x:c r="C1705" s="2" t="str">
        <x:v>United Kingdom</x:v>
      </x:c>
      <x:c r="D1705" s="25" t="n">
        <x:v>40150.44097222222</x:v>
      </x:c>
      <x:c r="E1705" s="25" t="n">
        <x:v>40879.50902777778</x:v>
      </x:c>
      <x:c r="F1705" s="2" t="n">
        <x:v>8</x:v>
      </x:c>
      <x:c r="G1705" s="2" t="n">
        <x:v>44</x:v>
      </x:c>
      <x:c r="H1705" s="11" t="n">
        <x:v>39099.1</x:v>
      </x:c>
      <x:c r="I1705" s="2" t="n">
        <x:v>5</x:v>
      </x:c>
      <x:c r="J1705" s="2" t="n">
        <x:v>5</x:v>
      </x:c>
      <x:c r="K1705" s="2" t="n">
        <x:v>5</x:v>
      </x:c>
      <x:c r="L1705" s="2" t="str">
        <x:v>Champions</x:v>
      </x:c>
    </x:row>
    <x:row r="1706" ht="22" customHeight="1">
      <x:c r="A1706" s="2"/>
      <x:c r="B1706" s="2" t="str">
        <x:v>14032</x:v>
      </x:c>
      <x:c r="C1706" s="2" t="str">
        <x:v>United Kingdom</x:v>
      </x:c>
      <x:c r="D1706" s="25" t="n">
        <x:v>40161.29305555556</x:v>
      </x:c>
      <x:c r="E1706" s="25" t="n">
        <x:v>40884.43263888889</x:v>
      </x:c>
      <x:c r="F1706" s="2" t="n">
        <x:v>3</x:v>
      </x:c>
      <x:c r="G1706" s="2" t="n">
        <x:v>16</x:v>
      </x:c>
      <x:c r="H1706" s="11" t="n">
        <x:v>4546.41</x:v>
      </x:c>
      <x:c r="I1706" s="2" t="n">
        <x:v>5</x:v>
      </x:c>
      <x:c r="J1706" s="2" t="n">
        <x:v>5</x:v>
      </x:c>
      <x:c r="K1706" s="2" t="n">
        <x:v>5</x:v>
      </x:c>
      <x:c r="L1706" s="2" t="str">
        <x:v>Champions</x:v>
      </x:c>
    </x:row>
    <x:row r="1707" ht="22" customHeight="1">
      <x:c r="A1707" s="2"/>
      <x:c r="B1707" s="2" t="str">
        <x:v>14033</x:v>
      </x:c>
      <x:c r="C1707" s="2" t="str">
        <x:v>United Kingdom</x:v>
      </x:c>
      <x:c r="D1707" s="25" t="n">
        <x:v>40331.42361111111</x:v>
      </x:c>
      <x:c r="E1707" s="25" t="n">
        <x:v>40331.42361111111</x:v>
      </x:c>
      <x:c r="F1707" s="2" t="n">
        <x:v>556</x:v>
      </x:c>
      <x:c r="G1707" s="2" t="n">
        <x:v>1</x:v>
      </x:c>
      <x:c r="H1707" s="11" t="n">
        <x:v>109.44</x:v>
      </x:c>
      <x:c r="I1707" s="2" t="n">
        <x:v>1</x:v>
      </x:c>
      <x:c r="J1707" s="2" t="n">
        <x:v>1</x:v>
      </x:c>
      <x:c r="K1707" s="2" t="n">
        <x:v>1</x:v>
      </x:c>
      <x:c r="L1707" s="2" t="str">
        <x:v>Hibernating</x:v>
      </x:c>
    </x:row>
    <x:row r="1708" ht="22" customHeight="1">
      <x:c r="A1708" s="2"/>
      <x:c r="B1708" s="2" t="str">
        <x:v>14034</x:v>
      </x:c>
      <x:c r="C1708" s="2" t="str">
        <x:v>United Kingdom</x:v>
      </x:c>
      <x:c r="D1708" s="25" t="n">
        <x:v>40729.3375</x:v>
      </x:c>
      <x:c r="E1708" s="25" t="n">
        <x:v>40864.376388888886</x:v>
      </x:c>
      <x:c r="F1708" s="2" t="n">
        <x:v>23</x:v>
      </x:c>
      <x:c r="G1708" s="2" t="n">
        <x:v>3</x:v>
      </x:c>
      <x:c r="H1708" s="11" t="n">
        <x:v>651.82</x:v>
      </x:c>
      <x:c r="I1708" s="2" t="n">
        <x:v>4</x:v>
      </x:c>
      <x:c r="J1708" s="2" t="n">
        <x:v>3</x:v>
      </x:c>
      <x:c r="K1708" s="2" t="n">
        <x:v>3</x:v>
      </x:c>
      <x:c r="L1708" s="2" t="str">
        <x:v>Loyal</x:v>
      </x:c>
    </x:row>
    <x:row r="1709" ht="22" customHeight="1">
      <x:c r="A1709" s="2"/>
      <x:c r="B1709" s="2" t="str">
        <x:v>14035</x:v>
      </x:c>
      <x:c r="C1709" s="2" t="str">
        <x:v>United Kingdom</x:v>
      </x:c>
      <x:c r="D1709" s="25" t="n">
        <x:v>40274.31875</x:v>
      </x:c>
      <x:c r="E1709" s="25" t="n">
        <x:v>40858.21041666667</x:v>
      </x:c>
      <x:c r="F1709" s="2" t="n">
        <x:v>29</x:v>
      </x:c>
      <x:c r="G1709" s="2" t="n">
        <x:v>9</x:v>
      </x:c>
      <x:c r="H1709" s="11" t="n">
        <x:v>2856.72</x:v>
      </x:c>
      <x:c r="I1709" s="2" t="n">
        <x:v>4</x:v>
      </x:c>
      <x:c r="J1709" s="2" t="n">
        <x:v>5</x:v>
      </x:c>
      <x:c r="K1709" s="2" t="n">
        <x:v>4</x:v>
      </x:c>
      <x:c r="L1709" s="2" t="str">
        <x:v>Champions</x:v>
      </x:c>
    </x:row>
    <x:row r="1710" ht="22" customHeight="1">
      <x:c r="A1710" s="2"/>
      <x:c r="B1710" s="2" t="str">
        <x:v>14036</x:v>
      </x:c>
      <x:c r="C1710" s="2" t="str">
        <x:v>United Kingdom</x:v>
      </x:c>
      <x:c r="D1710" s="25" t="n">
        <x:v>40602.18472222222</x:v>
      </x:c>
      <x:c r="E1710" s="25" t="n">
        <x:v>40602.18472222222</x:v>
      </x:c>
      <x:c r="F1710" s="2" t="n">
        <x:v>285</x:v>
      </x:c>
      <x:c r="G1710" s="2" t="n">
        <x:v>1</x:v>
      </x:c>
      <x:c r="H1710" s="11" t="n">
        <x:v>626.65</x:v>
      </x:c>
      <x:c r="I1710" s="2" t="n">
        <x:v>2</x:v>
      </x:c>
      <x:c r="J1710" s="2" t="n">
        <x:v>1</x:v>
      </x:c>
      <x:c r="K1710" s="2" t="n">
        <x:v>3</x:v>
      </x:c>
      <x:c r="L1710" s="2" t="str">
        <x:v>Hibernating</x:v>
      </x:c>
    </x:row>
    <x:row r="1711" ht="22" customHeight="1">
      <x:c r="A1711" s="2"/>
      <x:c r="B1711" s="2" t="str">
        <x:v>14037</x:v>
      </x:c>
      <x:c r="C1711" s="2" t="str">
        <x:v>United Kingdom</x:v>
      </x:c>
      <x:c r="D1711" s="25" t="n">
        <x:v>40154.277083333334</x:v>
      </x:c>
      <x:c r="E1711" s="25" t="n">
        <x:v>40710.37291666667</x:v>
      </x:c>
      <x:c r="F1711" s="2" t="n">
        <x:v>177</x:v>
      </x:c>
      <x:c r="G1711" s="2" t="n">
        <x:v>6</x:v>
      </x:c>
      <x:c r="H1711" s="11" t="n">
        <x:v>836.95</x:v>
      </x:c>
      <x:c r="I1711" s="2" t="n">
        <x:v>3</x:v>
      </x:c>
      <x:c r="J1711" s="2" t="n">
        <x:v>4</x:v>
      </x:c>
      <x:c r="K1711" s="2" t="n">
        <x:v>3</x:v>
      </x:c>
      <x:c r="L1711" s="2" t="str">
        <x:v>Loyal</x:v>
      </x:c>
    </x:row>
    <x:row r="1712" ht="22" customHeight="1">
      <x:c r="A1712" s="2"/>
      <x:c r="B1712" s="2" t="str">
        <x:v>14038</x:v>
      </x:c>
      <x:c r="C1712" s="2" t="str">
        <x:v>United Kingdom</x:v>
      </x:c>
      <x:c r="D1712" s="25" t="n">
        <x:v>40213.16388888889</x:v>
      </x:c>
      <x:c r="E1712" s="25" t="n">
        <x:v>40808.35902777778</x:v>
      </x:c>
      <x:c r="F1712" s="2" t="n">
        <x:v>79</x:v>
      </x:c>
      <x:c r="G1712" s="2" t="n">
        <x:v>5</x:v>
      </x:c>
      <x:c r="H1712" s="11" t="n">
        <x:v>3069.88</x:v>
      </x:c>
      <x:c r="I1712" s="2" t="n">
        <x:v>3</x:v>
      </x:c>
      <x:c r="J1712" s="2" t="n">
        <x:v>4</x:v>
      </x:c>
      <x:c r="K1712" s="2" t="n">
        <x:v>5</x:v>
      </x:c>
      <x:c r="L1712" s="2" t="str">
        <x:v>Loyal</x:v>
      </x:c>
    </x:row>
    <x:row r="1713" ht="22" customHeight="1">
      <x:c r="A1713" s="2"/>
      <x:c r="B1713" s="2" t="str">
        <x:v>14039</x:v>
      </x:c>
      <x:c r="C1713" s="2" t="str">
        <x:v>United Kingdom</x:v>
      </x:c>
      <x:c r="D1713" s="25" t="n">
        <x:v>40311.21875</x:v>
      </x:c>
      <x:c r="E1713" s="25" t="n">
        <x:v>40853.36666666667</x:v>
      </x:c>
      <x:c r="F1713" s="2" t="n">
        <x:v>34</x:v>
      </x:c>
      <x:c r="G1713" s="2" t="n">
        <x:v>2</x:v>
      </x:c>
      <x:c r="H1713" s="11" t="n">
        <x:v>267.28</x:v>
      </x:c>
      <x:c r="I1713" s="2" t="n">
        <x:v>4</x:v>
      </x:c>
      <x:c r="J1713" s="2" t="n">
        <x:v>2</x:v>
      </x:c>
      <x:c r="K1713" s="2" t="n">
        <x:v>1</x:v>
      </x:c>
      <x:c r="L1713" s="2" t="str">
        <x:v>Recent light buyers</x:v>
      </x:c>
    </x:row>
    <x:row r="1714" ht="22" customHeight="1">
      <x:c r="A1714" s="2"/>
      <x:c r="B1714" s="2" t="str">
        <x:v>14040</x:v>
      </x:c>
      <x:c r="C1714" s="2" t="str">
        <x:v>United Kingdom</x:v>
      </x:c>
      <x:c r="D1714" s="25" t="n">
        <x:v>40148.30138888889</x:v>
      </x:c>
      <x:c r="E1714" s="25" t="n">
        <x:v>40846.32083333333</x:v>
      </x:c>
      <x:c r="F1714" s="2" t="n">
        <x:v>41</x:v>
      </x:c>
      <x:c r="G1714" s="2" t="n">
        <x:v>35</x:v>
      </x:c>
      <x:c r="H1714" s="11" t="n">
        <x:v>12645.57</x:v>
      </x:c>
      <x:c r="I1714" s="2" t="n">
        <x:v>4</x:v>
      </x:c>
      <x:c r="J1714" s="2" t="n">
        <x:v>5</x:v>
      </x:c>
      <x:c r="K1714" s="2" t="n">
        <x:v>5</x:v>
      </x:c>
      <x:c r="L1714" s="2" t="str">
        <x:v>Champions</x:v>
      </x:c>
    </x:row>
    <x:row r="1715" ht="22" customHeight="1">
      <x:c r="A1715" s="2"/>
      <x:c r="B1715" s="2" t="str">
        <x:v>14041</x:v>
      </x:c>
      <x:c r="C1715" s="2" t="str">
        <x:v>United Kingdom</x:v>
      </x:c>
      <x:c r="D1715" s="25" t="n">
        <x:v>40620.350694444445</x:v>
      </x:c>
      <x:c r="E1715" s="25" t="n">
        <x:v>40620.350694444445</x:v>
      </x:c>
      <x:c r="F1715" s="2" t="n">
        <x:v>267</x:v>
      </x:c>
      <x:c r="G1715" s="2" t="n">
        <x:v>1</x:v>
      </x:c>
      <x:c r="H1715" s="11" t="n">
        <x:v>141.41</x:v>
      </x:c>
      <x:c r="I1715" s="2" t="n">
        <x:v>2</x:v>
      </x:c>
      <x:c r="J1715" s="2" t="n">
        <x:v>1</x:v>
      </x:c>
      <x:c r="K1715" s="2" t="n">
        <x:v>1</x:v>
      </x:c>
      <x:c r="L1715" s="2" t="str">
        <x:v>Hibernating</x:v>
      </x:c>
    </x:row>
    <x:row r="1716" ht="22" customHeight="1">
      <x:c r="A1716" s="2"/>
      <x:c r="B1716" s="2" t="str">
        <x:v>14042</x:v>
      </x:c>
      <x:c r="C1716" s="2" t="str">
        <x:v>United Kingdom</x:v>
      </x:c>
      <x:c r="D1716" s="25" t="n">
        <x:v>40161.42152777778</x:v>
      </x:c>
      <x:c r="E1716" s="25" t="n">
        <x:v>40161.42152777778</x:v>
      </x:c>
      <x:c r="F1716" s="2" t="n">
        <x:v>726</x:v>
      </x:c>
      <x:c r="G1716" s="2" t="n">
        <x:v>1</x:v>
      </x:c>
      <x:c r="H1716" s="11" t="n">
        <x:v>431.98</x:v>
      </x:c>
      <x:c r="I1716" s="2" t="n">
        <x:v>1</x:v>
      </x:c>
      <x:c r="J1716" s="2" t="n">
        <x:v>1</x:v>
      </x:c>
      <x:c r="K1716" s="2" t="n">
        <x:v>2</x:v>
      </x:c>
      <x:c r="L1716" s="2" t="str">
        <x:v>Hibernating</x:v>
      </x:c>
    </x:row>
    <x:row r="1717" ht="22" customHeight="1">
      <x:c r="A1717" s="2"/>
      <x:c r="B1717" s="2" t="str">
        <x:v>14043</x:v>
      </x:c>
      <x:c r="C1717" s="2" t="str">
        <x:v>United Kingdom</x:v>
      </x:c>
      <x:c r="D1717" s="25" t="n">
        <x:v>40157.455555555556</x:v>
      </x:c>
      <x:c r="E1717" s="25" t="n">
        <x:v>40395.55416666667</x:v>
      </x:c>
      <x:c r="F1717" s="2" t="n">
        <x:v>492</x:v>
      </x:c>
      <x:c r="G1717" s="2" t="n">
        <x:v>2</x:v>
      </x:c>
      <x:c r="H1717" s="11" t="n">
        <x:v>304.25</x:v>
      </x:c>
      <x:c r="I1717" s="2" t="n">
        <x:v>1</x:v>
      </x:c>
      <x:c r="J1717" s="2" t="n">
        <x:v>2</x:v>
      </x:c>
      <x:c r="K1717" s="2" t="n">
        <x:v>2</x:v>
      </x:c>
      <x:c r="L1717" s="2" t="str">
        <x:v>Hibernating</x:v>
      </x:c>
    </x:row>
    <x:row r="1718" ht="22" customHeight="1">
      <x:c r="A1718" s="2"/>
      <x:c r="B1718" s="2" t="str">
        <x:v>14044</x:v>
      </x:c>
      <x:c r="C1718" s="2" t="str">
        <x:v>United Kingdom</x:v>
      </x:c>
      <x:c r="D1718" s="25" t="n">
        <x:v>40202.42638888889</x:v>
      </x:c>
      <x:c r="E1718" s="25" t="n">
        <x:v>40860.29513888889</x:v>
      </x:c>
      <x:c r="F1718" s="2" t="n">
        <x:v>27</x:v>
      </x:c>
      <x:c r="G1718" s="2" t="n">
        <x:v>10</x:v>
      </x:c>
      <x:c r="H1718" s="11" t="n">
        <x:v>3123.1</x:v>
      </x:c>
      <x:c r="I1718" s="2" t="n">
        <x:v>4</x:v>
      </x:c>
      <x:c r="J1718" s="2" t="n">
        <x:v>5</x:v>
      </x:c>
      <x:c r="K1718" s="2" t="n">
        <x:v>5</x:v>
      </x:c>
      <x:c r="L1718" s="2" t="str">
        <x:v>Champions</x:v>
      </x:c>
    </x:row>
    <x:row r="1719" ht="22" customHeight="1">
      <x:c r="A1719" s="2"/>
      <x:c r="B1719" s="2" t="str">
        <x:v>14045</x:v>
      </x:c>
      <x:c r="C1719" s="2" t="str">
        <x:v>United Kingdom</x:v>
      </x:c>
      <x:c r="D1719" s="25" t="n">
        <x:v>40186.21388888889</x:v>
      </x:c>
      <x:c r="E1719" s="25" t="n">
        <x:v>40777.43541666667</x:v>
      </x:c>
      <x:c r="F1719" s="2" t="n">
        <x:v>110</x:v>
      </x:c>
      <x:c r="G1719" s="2" t="n">
        <x:v>16</x:v>
      </x:c>
      <x:c r="H1719" s="11" t="n">
        <x:v>10986.63</x:v>
      </x:c>
      <x:c r="I1719" s="2" t="n">
        <x:v>3</x:v>
      </x:c>
      <x:c r="J1719" s="2" t="n">
        <x:v>5</x:v>
      </x:c>
      <x:c r="K1719" s="2" t="n">
        <x:v>5</x:v>
      </x:c>
      <x:c r="L1719" s="2" t="str">
        <x:v>Loyal</x:v>
      </x:c>
    </x:row>
    <x:row r="1720" ht="22" customHeight="1">
      <x:c r="A1720" s="2"/>
      <x:c r="B1720" s="2" t="str">
        <x:v>14046</x:v>
      </x:c>
      <x:c r="C1720" s="2" t="str">
        <x:v>United Kingdom</x:v>
      </x:c>
      <x:c r="D1720" s="25" t="n">
        <x:v>40602.40833333333</x:v>
      </x:c>
      <x:c r="E1720" s="25" t="n">
        <x:v>40602.40833333333</x:v>
      </x:c>
      <x:c r="F1720" s="2" t="n">
        <x:v>285</x:v>
      </x:c>
      <x:c r="G1720" s="2" t="n">
        <x:v>1</x:v>
      </x:c>
      <x:c r="H1720" s="11" t="n">
        <x:v>154.99</x:v>
      </x:c>
      <x:c r="I1720" s="2" t="n">
        <x:v>2</x:v>
      </x:c>
      <x:c r="J1720" s="2" t="n">
        <x:v>1</x:v>
      </x:c>
      <x:c r="K1720" s="2" t="n">
        <x:v>1</x:v>
      </x:c>
      <x:c r="L1720" s="2" t="str">
        <x:v>Hibernating</x:v>
      </x:c>
    </x:row>
    <x:row r="1721" ht="22" customHeight="1">
      <x:c r="A1721" s="2"/>
      <x:c r="B1721" s="2" t="str">
        <x:v>14047</x:v>
      </x:c>
      <x:c r="C1721" s="2" t="str">
        <x:v>United Kingdom</x:v>
      </x:c>
      <x:c r="D1721" s="25" t="n">
        <x:v>40210.211805555555</x:v>
      </x:c>
      <x:c r="E1721" s="25" t="n">
        <x:v>40878.279861111114</x:v>
      </x:c>
      <x:c r="F1721" s="2" t="n">
        <x:v>9</x:v>
      </x:c>
      <x:c r="G1721" s="2" t="n">
        <x:v>14</x:v>
      </x:c>
      <x:c r="H1721" s="11" t="n">
        <x:v>3968.11</x:v>
      </x:c>
      <x:c r="I1721" s="2" t="n">
        <x:v>5</x:v>
      </x:c>
      <x:c r="J1721" s="2" t="n">
        <x:v>5</x:v>
      </x:c>
      <x:c r="K1721" s="2" t="n">
        <x:v>5</x:v>
      </x:c>
      <x:c r="L1721" s="2" t="str">
        <x:v>Champions</x:v>
      </x:c>
    </x:row>
    <x:row r="1722" ht="22" customHeight="1">
      <x:c r="A1722" s="2"/>
      <x:c r="B1722" s="2" t="str">
        <x:v>14048</x:v>
      </x:c>
      <x:c r="C1722" s="2" t="str">
        <x:v>United Kingdom</x:v>
      </x:c>
      <x:c r="D1722" s="25" t="n">
        <x:v>40504.38055555556</x:v>
      </x:c>
      <x:c r="E1722" s="25" t="n">
        <x:v>40581.41180555556</x:v>
      </x:c>
      <x:c r="F1722" s="2" t="n">
        <x:v>306</x:v>
      </x:c>
      <x:c r="G1722" s="2" t="n">
        <x:v>3</x:v>
      </x:c>
      <x:c r="H1722" s="11" t="n">
        <x:v>748.69</x:v>
      </x:c>
      <x:c r="I1722" s="2" t="n">
        <x:v>2</x:v>
      </x:c>
      <x:c r="J1722" s="2" t="n">
        <x:v>3</x:v>
      </x:c>
      <x:c r="K1722" s="2" t="n">
        <x:v>3</x:v>
      </x:c>
      <x:c r="L1722" s="2" t="str">
        <x:v>At risk</x:v>
      </x:c>
    </x:row>
    <x:row r="1723" ht="22" customHeight="1">
      <x:c r="A1723" s="2"/>
      <x:c r="B1723" s="2" t="str">
        <x:v>14049</x:v>
      </x:c>
      <x:c r="C1723" s="2" t="str">
        <x:v>United Kingdom</x:v>
      </x:c>
      <x:c r="D1723" s="25" t="n">
        <x:v>40269.41111111111</x:v>
      </x:c>
      <x:c r="E1723" s="25" t="n">
        <x:v>40870.305555555555</x:v>
      </x:c>
      <x:c r="F1723" s="2" t="n">
        <x:v>17</x:v>
      </x:c>
      <x:c r="G1723" s="2" t="n">
        <x:v>13</x:v>
      </x:c>
      <x:c r="H1723" s="11" t="n">
        <x:v>13239.03</x:v>
      </x:c>
      <x:c r="I1723" s="2" t="n">
        <x:v>5</x:v>
      </x:c>
      <x:c r="J1723" s="2" t="n">
        <x:v>5</x:v>
      </x:c>
      <x:c r="K1723" s="2" t="n">
        <x:v>5</x:v>
      </x:c>
      <x:c r="L1723" s="2" t="str">
        <x:v>Champions</x:v>
      </x:c>
    </x:row>
    <x:row r="1724" ht="22" customHeight="1">
      <x:c r="A1724" s="2"/>
      <x:c r="B1724" s="2" t="str">
        <x:v>14050</x:v>
      </x:c>
      <x:c r="C1724" s="2" t="str">
        <x:v>United Kingdom</x:v>
      </x:c>
      <x:c r="D1724" s="25" t="n">
        <x:v>40780.365277777775</x:v>
      </x:c>
      <x:c r="E1724" s="25" t="n">
        <x:v>40855.208333333336</x:v>
      </x:c>
      <x:c r="F1724" s="2" t="n">
        <x:v>32</x:v>
      </x:c>
      <x:c r="G1724" s="2" t="n">
        <x:v>2</x:v>
      </x:c>
      <x:c r="H1724" s="11" t="n">
        <x:v>746.36</x:v>
      </x:c>
      <x:c r="I1724" s="2" t="n">
        <x:v>4</x:v>
      </x:c>
      <x:c r="J1724" s="2" t="n">
        <x:v>2</x:v>
      </x:c>
      <x:c r="K1724" s="2" t="n">
        <x:v>3</x:v>
      </x:c>
      <x:c r="L1724" s="2" t="str">
        <x:v>Recent light buyers</x:v>
      </x:c>
    </x:row>
    <x:row r="1725" ht="22" customHeight="1">
      <x:c r="A1725" s="2"/>
      <x:c r="B1725" s="2" t="str">
        <x:v>14051</x:v>
      </x:c>
      <x:c r="C1725" s="2" t="str">
        <x:v>United Kingdom</x:v>
      </x:c>
      <x:c r="D1725" s="25" t="n">
        <x:v>40150.28680555556</x:v>
      </x:c>
      <x:c r="E1725" s="25" t="n">
        <x:v>40886.22222222222</x:v>
      </x:c>
      <x:c r="F1725" s="2" t="n">
        <x:v>1</x:v>
      </x:c>
      <x:c r="G1725" s="2" t="n">
        <x:v>37</x:v>
      </x:c>
      <x:c r="H1725" s="11" t="n">
        <x:v>21810.58</x:v>
      </x:c>
      <x:c r="I1725" s="2" t="n">
        <x:v>5</x:v>
      </x:c>
      <x:c r="J1725" s="2" t="n">
        <x:v>5</x:v>
      </x:c>
      <x:c r="K1725" s="2" t="n">
        <x:v>5</x:v>
      </x:c>
      <x:c r="L1725" s="2" t="str">
        <x:v>Champions</x:v>
      </x:c>
    </x:row>
    <x:row r="1726" ht="22" customHeight="1">
      <x:c r="A1726" s="2"/>
      <x:c r="B1726" s="2" t="str">
        <x:v>14052</x:v>
      </x:c>
      <x:c r="C1726" s="2" t="str">
        <x:v>United Kingdom</x:v>
      </x:c>
      <x:c r="D1726" s="25" t="n">
        <x:v>40496.27569444444</x:v>
      </x:c>
      <x:c r="E1726" s="25" t="n">
        <x:v>40867.3125</x:v>
      </x:c>
      <x:c r="F1726" s="2" t="n">
        <x:v>20</x:v>
      </x:c>
      <x:c r="G1726" s="2" t="n">
        <x:v>2</x:v>
      </x:c>
      <x:c r="H1726" s="11" t="n">
        <x:v>480.81</x:v>
      </x:c>
      <x:c r="I1726" s="2" t="n">
        <x:v>5</x:v>
      </x:c>
      <x:c r="J1726" s="2" t="n">
        <x:v>2</x:v>
      </x:c>
      <x:c r="K1726" s="2" t="n">
        <x:v>2</x:v>
      </x:c>
      <x:c r="L1726" s="2" t="str">
        <x:v>Recent light buyers</x:v>
      </x:c>
    </x:row>
    <x:row r="1727" ht="22" customHeight="1">
      <x:c r="A1727" s="2"/>
      <x:c r="B1727" s="2" t="str">
        <x:v>14053</x:v>
      </x:c>
      <x:c r="C1727" s="2" t="str">
        <x:v>United Kingdom</x:v>
      </x:c>
      <x:c r="D1727" s="25" t="n">
        <x:v>40400.251388888886</x:v>
      </x:c>
      <x:c r="E1727" s="25" t="n">
        <x:v>40762.39375</x:v>
      </x:c>
      <x:c r="F1727" s="2" t="n">
        <x:v>125</x:v>
      </x:c>
      <x:c r="G1727" s="2" t="n">
        <x:v>4</x:v>
      </x:c>
      <x:c r="H1727" s="11" t="n">
        <x:v>572.3</x:v>
      </x:c>
      <x:c r="I1727" s="2" t="n">
        <x:v>3</x:v>
      </x:c>
      <x:c r="J1727" s="2" t="n">
        <x:v>3</x:v>
      </x:c>
      <x:c r="K1727" s="2" t="n">
        <x:v>2</x:v>
      </x:c>
      <x:c r="L1727" s="2" t="str">
        <x:v>Loyal</x:v>
      </x:c>
    </x:row>
    <x:row r="1728" ht="22" customHeight="1">
      <x:c r="A1728" s="2"/>
      <x:c r="B1728" s="2" t="str">
        <x:v>14054</x:v>
      </x:c>
      <x:c r="C1728" s="2" t="str">
        <x:v>United Kingdom</x:v>
      </x:c>
      <x:c r="D1728" s="25" t="n">
        <x:v>40821.450694444444</x:v>
      </x:c>
      <x:c r="E1728" s="25" t="n">
        <x:v>40821.450694444444</x:v>
      </x:c>
      <x:c r="F1728" s="2" t="n">
        <x:v>66</x:v>
      </x:c>
      <x:c r="G1728" s="2" t="n">
        <x:v>1</x:v>
      </x:c>
      <x:c r="H1728" s="11" t="n">
        <x:v>92.46</x:v>
      </x:c>
      <x:c r="I1728" s="2" t="n">
        <x:v>3</x:v>
      </x:c>
      <x:c r="J1728" s="2" t="n">
        <x:v>1</x:v>
      </x:c>
      <x:c r="K1728" s="2" t="n">
        <x:v>1</x:v>
      </x:c>
      <x:c r="L1728" s="2" t="str">
        <x:v>Developing</x:v>
      </x:c>
    </x:row>
    <x:row r="1729" ht="22" customHeight="1">
      <x:c r="A1729" s="2"/>
      <x:c r="B1729" s="2" t="str">
        <x:v>14055</x:v>
      </x:c>
      <x:c r="C1729" s="2" t="str">
        <x:v>United Kingdom</x:v>
      </x:c>
      <x:c r="D1729" s="25" t="n">
        <x:v>40163.424305555556</x:v>
      </x:c>
      <x:c r="E1729" s="25" t="n">
        <x:v>40780.419444444444</x:v>
      </x:c>
      <x:c r="F1729" s="2" t="n">
        <x:v>107</x:v>
      </x:c>
      <x:c r="G1729" s="2" t="n">
        <x:v>3</x:v>
      </x:c>
      <x:c r="H1729" s="11" t="n">
        <x:v>1520.96</x:v>
      </x:c>
      <x:c r="I1729" s="2" t="n">
        <x:v>3</x:v>
      </x:c>
      <x:c r="J1729" s="2" t="n">
        <x:v>3</x:v>
      </x:c>
      <x:c r="K1729" s="2" t="n">
        <x:v>4</x:v>
      </x:c>
      <x:c r="L1729" s="2" t="str">
        <x:v>Loyal</x:v>
      </x:c>
    </x:row>
    <x:row r="1730" ht="22" customHeight="1">
      <x:c r="A1730" s="2"/>
      <x:c r="B1730" s="2" t="str">
        <x:v>14056</x:v>
      </x:c>
      <x:c r="C1730" s="2" t="str">
        <x:v>United Kingdom</x:v>
      </x:c>
      <x:c r="D1730" s="25" t="n">
        <x:v>40602.42986111111</x:v>
      </x:c>
      <x:c r="E1730" s="25" t="n">
        <x:v>40885.35833333333</x:v>
      </x:c>
      <x:c r="F1730" s="2" t="n">
        <x:v>2</x:v>
      </x:c>
      <x:c r="G1730" s="2" t="n">
        <x:v>23</x:v>
      </x:c>
      <x:c r="H1730" s="11" t="n">
        <x:v>8214.65</x:v>
      </x:c>
      <x:c r="I1730" s="2" t="n">
        <x:v>5</x:v>
      </x:c>
      <x:c r="J1730" s="2" t="n">
        <x:v>5</x:v>
      </x:c>
      <x:c r="K1730" s="2" t="n">
        <x:v>5</x:v>
      </x:c>
      <x:c r="L1730" s="2" t="str">
        <x:v>Champions</x:v>
      </x:c>
    </x:row>
    <x:row r="1731" ht="22" customHeight="1">
      <x:c r="A1731" s="2"/>
      <x:c r="B1731" s="2" t="str">
        <x:v>14057</x:v>
      </x:c>
      <x:c r="C1731" s="2" t="str">
        <x:v>United Kingdom</x:v>
      </x:c>
      <x:c r="D1731" s="25" t="n">
        <x:v>40150.345138888886</x:v>
      </x:c>
      <x:c r="E1731" s="25" t="n">
        <x:v>40863.23055555556</x:v>
      </x:c>
      <x:c r="F1731" s="2" t="n">
        <x:v>24</x:v>
      </x:c>
      <x:c r="G1731" s="2" t="n">
        <x:v>22</x:v>
      </x:c>
      <x:c r="H1731" s="11" t="n">
        <x:v>8408.84</x:v>
      </x:c>
      <x:c r="I1731" s="2" t="n">
        <x:v>4</x:v>
      </x:c>
      <x:c r="J1731" s="2" t="n">
        <x:v>5</x:v>
      </x:c>
      <x:c r="K1731" s="2" t="n">
        <x:v>5</x:v>
      </x:c>
      <x:c r="L1731" s="2" t="str">
        <x:v>Champions</x:v>
      </x:c>
    </x:row>
    <x:row r="1732" ht="22" customHeight="1">
      <x:c r="A1732" s="2"/>
      <x:c r="B1732" s="2" t="str">
        <x:v>14058</x:v>
      </x:c>
      <x:c r="C1732" s="2" t="str">
        <x:v>United Kingdom</x:v>
      </x:c>
      <x:c r="D1732" s="25" t="n">
        <x:v>40356.27013888889</x:v>
      </x:c>
      <x:c r="E1732" s="25" t="n">
        <x:v>40424.18819444445</x:v>
      </x:c>
      <x:c r="F1732" s="2" t="n">
        <x:v>463</x:v>
      </x:c>
      <x:c r="G1732" s="2" t="n">
        <x:v>2</x:v>
      </x:c>
      <x:c r="H1732" s="11" t="n">
        <x:v>469.19</x:v>
      </x:c>
      <x:c r="I1732" s="2" t="n">
        <x:v>1</x:v>
      </x:c>
      <x:c r="J1732" s="2" t="n">
        <x:v>2</x:v>
      </x:c>
      <x:c r="K1732" s="2" t="n">
        <x:v>2</x:v>
      </x:c>
      <x:c r="L1732" s="2" t="str">
        <x:v>Hibernating</x:v>
      </x:c>
    </x:row>
    <x:row r="1733" ht="22" customHeight="1">
      <x:c r="A1733" s="2"/>
      <x:c r="B1733" s="2" t="str">
        <x:v>14059</x:v>
      </x:c>
      <x:c r="C1733" s="2" t="str">
        <x:v>United Kingdom</x:v>
      </x:c>
      <x:c r="D1733" s="25" t="n">
        <x:v>40620.2125</x:v>
      </x:c>
      <x:c r="E1733" s="25" t="n">
        <x:v>40620.2125</x:v>
      </x:c>
      <x:c r="F1733" s="2" t="n">
        <x:v>267</x:v>
      </x:c>
      <x:c r="G1733" s="2" t="n">
        <x:v>1</x:v>
      </x:c>
      <x:c r="H1733" s="11" t="n">
        <x:v>183.6</x:v>
      </x:c>
      <x:c r="I1733" s="2" t="n">
        <x:v>2</x:v>
      </x:c>
      <x:c r="J1733" s="2" t="n">
        <x:v>1</x:v>
      </x:c>
      <x:c r="K1733" s="2" t="n">
        <x:v>1</x:v>
      </x:c>
      <x:c r="L1733" s="2" t="str">
        <x:v>Hibernating</x:v>
      </x:c>
    </x:row>
    <x:row r="1734" ht="22" customHeight="1">
      <x:c r="A1734" s="2"/>
      <x:c r="B1734" s="2" t="str">
        <x:v>14060</x:v>
      </x:c>
      <x:c r="C1734" s="2" t="str">
        <x:v>United Kingdom</x:v>
      </x:c>
      <x:c r="D1734" s="25" t="n">
        <x:v>40248.19930555556</x:v>
      </x:c>
      <x:c r="E1734" s="25" t="n">
        <x:v>40882.31180555555</x:v>
      </x:c>
      <x:c r="F1734" s="2" t="n">
        <x:v>5</x:v>
      </x:c>
      <x:c r="G1734" s="2" t="n">
        <x:v>30</x:v>
      </x:c>
      <x:c r="H1734" s="11" t="n">
        <x:v>8898.24</x:v>
      </x:c>
      <x:c r="I1734" s="2" t="n">
        <x:v>5</x:v>
      </x:c>
      <x:c r="J1734" s="2" t="n">
        <x:v>5</x:v>
      </x:c>
      <x:c r="K1734" s="2" t="n">
        <x:v>5</x:v>
      </x:c>
      <x:c r="L1734" s="2" t="str">
        <x:v>Champions</x:v>
      </x:c>
    </x:row>
    <x:row r="1735" ht="22" customHeight="1">
      <x:c r="A1735" s="2"/>
      <x:c r="B1735" s="2" t="str">
        <x:v>14061</x:v>
      </x:c>
      <x:c r="C1735" s="2" t="str">
        <x:v>United Kingdom</x:v>
      </x:c>
      <x:c r="D1735" s="25" t="n">
        <x:v>40148.54375</x:v>
      </x:c>
      <x:c r="E1735" s="25" t="n">
        <x:v>40379.51527777778</x:v>
      </x:c>
      <x:c r="F1735" s="2" t="n">
        <x:v>508</x:v>
      </x:c>
      <x:c r="G1735" s="2" t="n">
        <x:v>3</x:v>
      </x:c>
      <x:c r="H1735" s="11" t="n">
        <x:v>917.43</x:v>
      </x:c>
      <x:c r="I1735" s="2" t="n">
        <x:v>1</x:v>
      </x:c>
      <x:c r="J1735" s="2" t="n">
        <x:v>3</x:v>
      </x:c>
      <x:c r="K1735" s="2" t="n">
        <x:v>3</x:v>
      </x:c>
      <x:c r="L1735" s="2" t="str">
        <x:v>At risk</x:v>
      </x:c>
    </x:row>
    <x:row r="1736" ht="22" customHeight="1">
      <x:c r="A1736" s="2"/>
      <x:c r="B1736" s="2" t="str">
        <x:v>14062</x:v>
      </x:c>
      <x:c r="C1736" s="2" t="str">
        <x:v>United Kingdom</x:v>
      </x:c>
      <x:c r="D1736" s="25" t="n">
        <x:v>40157.39444444444</x:v>
      </x:c>
      <x:c r="E1736" s="25" t="n">
        <x:v>40877.21111111111</x:v>
      </x:c>
      <x:c r="F1736" s="2" t="n">
        <x:v>10</x:v>
      </x:c>
      <x:c r="G1736" s="2" t="n">
        <x:v>24</x:v>
      </x:c>
      <x:c r="H1736" s="11" t="n">
        <x:v>25604.2</x:v>
      </x:c>
      <x:c r="I1736" s="2" t="n">
        <x:v>5</x:v>
      </x:c>
      <x:c r="J1736" s="2" t="n">
        <x:v>5</x:v>
      </x:c>
      <x:c r="K1736" s="2" t="n">
        <x:v>5</x:v>
      </x:c>
      <x:c r="L1736" s="2" t="str">
        <x:v>Champions</x:v>
      </x:c>
    </x:row>
    <x:row r="1737" ht="22" customHeight="1">
      <x:c r="A1737" s="2"/>
      <x:c r="B1737" s="2" t="str">
        <x:v>14063</x:v>
      </x:c>
      <x:c r="C1737" s="2" t="str">
        <x:v>United Kingdom</x:v>
      </x:c>
      <x:c r="D1737" s="25" t="n">
        <x:v>40155.365277777775</x:v>
      </x:c>
      <x:c r="E1737" s="25" t="n">
        <x:v>40448.47083333333</x:v>
      </x:c>
      <x:c r="F1737" s="2" t="n">
        <x:v>439</x:v>
      </x:c>
      <x:c r="G1737" s="2" t="n">
        <x:v>9</x:v>
      </x:c>
      <x:c r="H1737" s="11" t="n">
        <x:v>22710.2</x:v>
      </x:c>
      <x:c r="I1737" s="2" t="n">
        <x:v>1</x:v>
      </x:c>
      <x:c r="J1737" s="2" t="n">
        <x:v>5</x:v>
      </x:c>
      <x:c r="K1737" s="2" t="n">
        <x:v>5</x:v>
      </x:c>
      <x:c r="L1737" s="2" t="str">
        <x:v>At risk</x:v>
      </x:c>
    </x:row>
    <x:row r="1738" ht="22" customHeight="1">
      <x:c r="A1738" s="2"/>
      <x:c r="B1738" s="2" t="str">
        <x:v>14064</x:v>
      </x:c>
      <x:c r="C1738" s="2" t="str">
        <x:v>United Kingdom</x:v>
      </x:c>
      <x:c r="D1738" s="25" t="n">
        <x:v>40199.34861111111</x:v>
      </x:c>
      <x:c r="E1738" s="25" t="n">
        <x:v>40857.34305555555</x:v>
      </x:c>
      <x:c r="F1738" s="2" t="n">
        <x:v>30</x:v>
      </x:c>
      <x:c r="G1738" s="2" t="n">
        <x:v>15</x:v>
      </x:c>
      <x:c r="H1738" s="11" t="n">
        <x:v>3332.42</x:v>
      </x:c>
      <x:c r="I1738" s="2" t="n">
        <x:v>4</x:v>
      </x:c>
      <x:c r="J1738" s="2" t="n">
        <x:v>5</x:v>
      </x:c>
      <x:c r="K1738" s="2" t="n">
        <x:v>5</x:v>
      </x:c>
      <x:c r="L1738" s="2" t="str">
        <x:v>Champions</x:v>
      </x:c>
    </x:row>
    <x:row r="1739" ht="22" customHeight="1">
      <x:c r="A1739" s="2"/>
      <x:c r="B1739" s="2" t="str">
        <x:v>14065</x:v>
      </x:c>
      <x:c r="C1739" s="2" t="str">
        <x:v>United Kingdom</x:v>
      </x:c>
      <x:c r="D1739" s="25" t="n">
        <x:v>40455.29375</x:v>
      </x:c>
      <x:c r="E1739" s="25" t="n">
        <x:v>40497.467361111114</x:v>
      </x:c>
      <x:c r="F1739" s="2" t="n">
        <x:v>390</x:v>
      </x:c>
      <x:c r="G1739" s="2" t="n">
        <x:v>3</x:v>
      </x:c>
      <x:c r="H1739" s="11" t="n">
        <x:v>891.02</x:v>
      </x:c>
      <x:c r="I1739" s="2" t="n">
        <x:v>2</x:v>
      </x:c>
      <x:c r="J1739" s="2" t="n">
        <x:v>3</x:v>
      </x:c>
      <x:c r="K1739" s="2" t="n">
        <x:v>3</x:v>
      </x:c>
      <x:c r="L1739" s="2" t="str">
        <x:v>At risk</x:v>
      </x:c>
    </x:row>
    <x:row r="1740" ht="22" customHeight="1">
      <x:c r="A1740" s="2"/>
      <x:c r="B1740" s="2" t="str">
        <x:v>14066</x:v>
      </x:c>
      <x:c r="C1740" s="2" t="str">
        <x:v>United Kingdom</x:v>
      </x:c>
      <x:c r="D1740" s="25" t="n">
        <x:v>40620.30625</x:v>
      </x:c>
      <x:c r="E1740" s="25" t="n">
        <x:v>40620.30625</x:v>
      </x:c>
      <x:c r="F1740" s="2" t="n">
        <x:v>267</x:v>
      </x:c>
      <x:c r="G1740" s="2" t="n">
        <x:v>1</x:v>
      </x:c>
      <x:c r="H1740" s="11" t="n">
        <x:v>152.55</x:v>
      </x:c>
      <x:c r="I1740" s="2" t="n">
        <x:v>2</x:v>
      </x:c>
      <x:c r="J1740" s="2" t="n">
        <x:v>1</x:v>
      </x:c>
      <x:c r="K1740" s="2" t="n">
        <x:v>1</x:v>
      </x:c>
      <x:c r="L1740" s="2" t="str">
        <x:v>Hibernating</x:v>
      </x:c>
    </x:row>
    <x:row r="1741" ht="22" customHeight="1">
      <x:c r="A1741" s="2"/>
      <x:c r="B1741" s="2" t="str">
        <x:v>14067</x:v>
      </x:c>
      <x:c r="C1741" s="2" t="str">
        <x:v>United Kingdom</x:v>
      </x:c>
      <x:c r="D1741" s="25" t="n">
        <x:v>40790.291666666664</x:v>
      </x:c>
      <x:c r="E1741" s="25" t="n">
        <x:v>40823.222916666666</x:v>
      </x:c>
      <x:c r="F1741" s="2" t="n">
        <x:v>64</x:v>
      </x:c>
      <x:c r="G1741" s="2" t="n">
        <x:v>2</x:v>
      </x:c>
      <x:c r="H1741" s="11" t="n">
        <x:v>374.7</x:v>
      </x:c>
      <x:c r="I1741" s="2" t="n">
        <x:v>3</x:v>
      </x:c>
      <x:c r="J1741" s="2" t="n">
        <x:v>2</x:v>
      </x:c>
      <x:c r="K1741" s="2" t="n">
        <x:v>2</x:v>
      </x:c>
      <x:c r="L1741" s="2" t="str">
        <x:v>Developing</x:v>
      </x:c>
    </x:row>
    <x:row r="1742" ht="22" customHeight="1">
      <x:c r="A1742" s="2"/>
      <x:c r="B1742" s="2" t="str">
        <x:v>14068</x:v>
      </x:c>
      <x:c r="C1742" s="2" t="str">
        <x:v>United Kingdom</x:v>
      </x:c>
      <x:c r="D1742" s="25" t="n">
        <x:v>40209.21527777778</x:v>
      </x:c>
      <x:c r="E1742" s="25" t="n">
        <x:v>40566.45972222222</x:v>
      </x:c>
      <x:c r="F1742" s="2" t="n">
        <x:v>321</x:v>
      </x:c>
      <x:c r="G1742" s="2" t="n">
        <x:v>4</x:v>
      </x:c>
      <x:c r="H1742" s="11" t="n">
        <x:v>1528.37</x:v>
      </x:c>
      <x:c r="I1742" s="2" t="n">
        <x:v>2</x:v>
      </x:c>
      <x:c r="J1742" s="2" t="n">
        <x:v>3</x:v>
      </x:c>
      <x:c r="K1742" s="2" t="n">
        <x:v>4</x:v>
      </x:c>
      <x:c r="L1742" s="2" t="str">
        <x:v>At risk</x:v>
      </x:c>
    </x:row>
    <x:row r="1743" ht="22" customHeight="1">
      <x:c r="A1743" s="2"/>
      <x:c r="B1743" s="2" t="str">
        <x:v>14069</x:v>
      </x:c>
      <x:c r="C1743" s="2" t="str">
        <x:v>United Kingdom</x:v>
      </x:c>
      <x:c r="D1743" s="25" t="n">
        <x:v>40325.3125</x:v>
      </x:c>
      <x:c r="E1743" s="25" t="n">
        <x:v>40372.3</x:v>
      </x:c>
      <x:c r="F1743" s="2" t="n">
        <x:v>515</x:v>
      </x:c>
      <x:c r="G1743" s="2" t="n">
        <x:v>2</x:v>
      </x:c>
      <x:c r="H1743" s="11" t="n">
        <x:v>230.06</x:v>
      </x:c>
      <x:c r="I1743" s="2" t="n">
        <x:v>1</x:v>
      </x:c>
      <x:c r="J1743" s="2" t="n">
        <x:v>2</x:v>
      </x:c>
      <x:c r="K1743" s="2" t="n">
        <x:v>1</x:v>
      </x:c>
      <x:c r="L1743" s="2" t="str">
        <x:v>Hibernating</x:v>
      </x:c>
    </x:row>
    <x:row r="1744" ht="22" customHeight="1">
      <x:c r="A1744" s="2"/>
      <x:c r="B1744" s="2" t="str">
        <x:v>14070</x:v>
      </x:c>
      <x:c r="C1744" s="2" t="str">
        <x:v>United Kingdom</x:v>
      </x:c>
      <x:c r="D1744" s="25" t="n">
        <x:v>40202.31041666667</x:v>
      </x:c>
      <x:c r="E1744" s="25" t="n">
        <x:v>40202.31041666667</x:v>
      </x:c>
      <x:c r="F1744" s="2" t="n">
        <x:v>685</x:v>
      </x:c>
      <x:c r="G1744" s="2" t="n">
        <x:v>1</x:v>
      </x:c>
      <x:c r="H1744" s="11" t="n">
        <x:v>326.55</x:v>
      </x:c>
      <x:c r="I1744" s="2" t="n">
        <x:v>1</x:v>
      </x:c>
      <x:c r="J1744" s="2" t="n">
        <x:v>1</x:v>
      </x:c>
      <x:c r="K1744" s="2" t="n">
        <x:v>2</x:v>
      </x:c>
      <x:c r="L1744" s="2" t="str">
        <x:v>Hibernating</x:v>
      </x:c>
    </x:row>
    <x:row r="1745" ht="22" customHeight="1">
      <x:c r="A1745" s="2"/>
      <x:c r="B1745" s="2" t="str">
        <x:v>14071</x:v>
      </x:c>
      <x:c r="C1745" s="2" t="str">
        <x:v>United Kingdom</x:v>
      </x:c>
      <x:c r="D1745" s="25" t="n">
        <x:v>40622.27291666667</x:v>
      </x:c>
      <x:c r="E1745" s="25" t="n">
        <x:v>40883.31041666667</x:v>
      </x:c>
      <x:c r="F1745" s="2" t="n">
        <x:v>4</x:v>
      </x:c>
      <x:c r="G1745" s="2" t="n">
        <x:v>8</x:v>
      </x:c>
      <x:c r="H1745" s="11" t="n">
        <x:v>1438.82</x:v>
      </x:c>
      <x:c r="I1745" s="2" t="n">
        <x:v>5</x:v>
      </x:c>
      <x:c r="J1745" s="2" t="n">
        <x:v>4</x:v>
      </x:c>
      <x:c r="K1745" s="2" t="n">
        <x:v>4</x:v>
      </x:c>
      <x:c r="L1745" s="2" t="str">
        <x:v>Champions</x:v>
      </x:c>
    </x:row>
    <x:row r="1746" ht="22" customHeight="1">
      <x:c r="A1746" s="2"/>
      <x:c r="B1746" s="2" t="str">
        <x:v>14072</x:v>
      </x:c>
      <x:c r="C1746" s="2" t="str">
        <x:v>United Kingdom</x:v>
      </x:c>
      <x:c r="D1746" s="25" t="n">
        <x:v>40220.31319444445</x:v>
      </x:c>
      <x:c r="E1746" s="25" t="n">
        <x:v>40220.31319444445</x:v>
      </x:c>
      <x:c r="F1746" s="2" t="n">
        <x:v>667</x:v>
      </x:c>
      <x:c r="G1746" s="2" t="n">
        <x:v>1</x:v>
      </x:c>
      <x:c r="H1746" s="11" t="n">
        <x:v>390.85</x:v>
      </x:c>
      <x:c r="I1746" s="2" t="n">
        <x:v>1</x:v>
      </x:c>
      <x:c r="J1746" s="2" t="n">
        <x:v>1</x:v>
      </x:c>
      <x:c r="K1746" s="2" t="n">
        <x:v>2</x:v>
      </x:c>
      <x:c r="L1746" s="2" t="str">
        <x:v>Hibernating</x:v>
      </x:c>
    </x:row>
    <x:row r="1747" ht="22" customHeight="1">
      <x:c r="A1747" s="2"/>
      <x:c r="B1747" s="2" t="str">
        <x:v>14073</x:v>
      </x:c>
      <x:c r="C1747" s="2" t="str">
        <x:v>United Kingdom</x:v>
      </x:c>
      <x:c r="D1747" s="25" t="n">
        <x:v>40854.450694444444</x:v>
      </x:c>
      <x:c r="E1747" s="25" t="n">
        <x:v>40854.450694444444</x:v>
      </x:c>
      <x:c r="F1747" s="2" t="n">
        <x:v>33</x:v>
      </x:c>
      <x:c r="G1747" s="2" t="n">
        <x:v>1</x:v>
      </x:c>
      <x:c r="H1747" s="11" t="n">
        <x:v>151.04</x:v>
      </x:c>
      <x:c r="I1747" s="2" t="n">
        <x:v>4</x:v>
      </x:c>
      <x:c r="J1747" s="2" t="n">
        <x:v>1</x:v>
      </x:c>
      <x:c r="K1747" s="2" t="n">
        <x:v>1</x:v>
      </x:c>
      <x:c r="L1747" s="2" t="str">
        <x:v>Recent light buyers</x:v>
      </x:c>
    </x:row>
    <x:row r="1748" ht="22" customHeight="1">
      <x:c r="A1748" s="2"/>
      <x:c r="B1748" s="2" t="str">
        <x:v>14074</x:v>
      </x:c>
      <x:c r="C1748" s="2" t="str">
        <x:v>United Kingdom</x:v>
      </x:c>
      <x:c r="D1748" s="25" t="n">
        <x:v>40263.37152777778</x:v>
      </x:c>
      <x:c r="E1748" s="25" t="n">
        <x:v>40263.37152777778</x:v>
      </x:c>
      <x:c r="F1748" s="2" t="n">
        <x:v>624</x:v>
      </x:c>
      <x:c r="G1748" s="2" t="n">
        <x:v>1</x:v>
      </x:c>
      <x:c r="H1748" s="11" t="n">
        <x:v>219.4</x:v>
      </x:c>
      <x:c r="I1748" s="2" t="n">
        <x:v>1</x:v>
      </x:c>
      <x:c r="J1748" s="2" t="n">
        <x:v>1</x:v>
      </x:c>
      <x:c r="K1748" s="2" t="n">
        <x:v>1</x:v>
      </x:c>
      <x:c r="L1748" s="2" t="str">
        <x:v>Hibernating</x:v>
      </x:c>
    </x:row>
    <x:row r="1749" ht="22" customHeight="1">
      <x:c r="A1749" s="2"/>
      <x:c r="B1749" s="2" t="str">
        <x:v>14075</x:v>
      </x:c>
      <x:c r="C1749" s="2" t="str">
        <x:v>United Kingdom</x:v>
      </x:c>
      <x:c r="D1749" s="25" t="n">
        <x:v>40345.407638888886</x:v>
      </x:c>
      <x:c r="E1749" s="25" t="n">
        <x:v>40882.15138888889</x:v>
      </x:c>
      <x:c r="F1749" s="2" t="n">
        <x:v>5</x:v>
      </x:c>
      <x:c r="G1749" s="2" t="n">
        <x:v>6</x:v>
      </x:c>
      <x:c r="H1749" s="11" t="n">
        <x:v>1734.87</x:v>
      </x:c>
      <x:c r="I1749" s="2" t="n">
        <x:v>5</x:v>
      </x:c>
      <x:c r="J1749" s="2" t="n">
        <x:v>4</x:v>
      </x:c>
      <x:c r="K1749" s="2" t="n">
        <x:v>4</x:v>
      </x:c>
      <x:c r="L1749" s="2" t="str">
        <x:v>Champions</x:v>
      </x:c>
    </x:row>
    <x:row r="1750" ht="22" customHeight="1">
      <x:c r="A1750" s="2"/>
      <x:c r="B1750" s="2" t="str">
        <x:v>14076</x:v>
      </x:c>
      <x:c r="C1750" s="2" t="str">
        <x:v>United Kingdom</x:v>
      </x:c>
      <x:c r="D1750" s="25" t="n">
        <x:v>40757.42986111111</x:v>
      </x:c>
      <x:c r="E1750" s="25" t="n">
        <x:v>40757.42986111111</x:v>
      </x:c>
      <x:c r="F1750" s="2" t="n">
        <x:v>130</x:v>
      </x:c>
      <x:c r="G1750" s="2" t="n">
        <x:v>1</x:v>
      </x:c>
      <x:c r="H1750" s="11" t="n">
        <x:v>122.47</x:v>
      </x:c>
      <x:c r="I1750" s="2" t="n">
        <x:v>3</x:v>
      </x:c>
      <x:c r="J1750" s="2" t="n">
        <x:v>1</x:v>
      </x:c>
      <x:c r="K1750" s="2" t="n">
        <x:v>1</x:v>
      </x:c>
      <x:c r="L1750" s="2" t="str">
        <x:v>Developing</x:v>
      </x:c>
    </x:row>
    <x:row r="1751" ht="22" customHeight="1">
      <x:c r="A1751" s="2"/>
      <x:c r="B1751" s="2" t="str">
        <x:v>14077</x:v>
      </x:c>
      <x:c r="C1751" s="2" t="str">
        <x:v>United Kingdom</x:v>
      </x:c>
      <x:c r="D1751" s="25" t="n">
        <x:v>40491.459027777775</x:v>
      </x:c>
      <x:c r="E1751" s="25" t="n">
        <x:v>40846.31597222222</x:v>
      </x:c>
      <x:c r="F1751" s="2" t="n">
        <x:v>41</x:v>
      </x:c>
      <x:c r="G1751" s="2" t="n">
        <x:v>6</x:v>
      </x:c>
      <x:c r="H1751" s="11" t="n">
        <x:v>615.08</x:v>
      </x:c>
      <x:c r="I1751" s="2" t="n">
        <x:v>4</x:v>
      </x:c>
      <x:c r="J1751" s="2" t="n">
        <x:v>4</x:v>
      </x:c>
      <x:c r="K1751" s="2" t="n">
        <x:v>3</x:v>
      </x:c>
      <x:c r="L1751" s="2" t="str">
        <x:v>Loyal</x:v>
      </x:c>
    </x:row>
    <x:row r="1752" ht="22" customHeight="1">
      <x:c r="A1752" s="2"/>
      <x:c r="B1752" s="2" t="str">
        <x:v>14078</x:v>
      </x:c>
      <x:c r="C1752" s="2" t="str">
        <x:v>United Kingdom</x:v>
      </x:c>
      <x:c r="D1752" s="25" t="n">
        <x:v>40265.42013888889</x:v>
      </x:c>
      <x:c r="E1752" s="25" t="n">
        <x:v>40785.302777777775</x:v>
      </x:c>
      <x:c r="F1752" s="2" t="n">
        <x:v>102</x:v>
      </x:c>
      <x:c r="G1752" s="2" t="n">
        <x:v>9</x:v>
      </x:c>
      <x:c r="H1752" s="11" t="n">
        <x:v>1556.39</x:v>
      </x:c>
      <x:c r="I1752" s="2" t="n">
        <x:v>3</x:v>
      </x:c>
      <x:c r="J1752" s="2" t="n">
        <x:v>5</x:v>
      </x:c>
      <x:c r="K1752" s="2" t="n">
        <x:v>4</x:v>
      </x:c>
      <x:c r="L1752" s="2" t="str">
        <x:v>Loyal</x:v>
      </x:c>
    </x:row>
    <x:row r="1753" ht="22" customHeight="1">
      <x:c r="A1753" s="2"/>
      <x:c r="B1753" s="2" t="str">
        <x:v>14079</x:v>
      </x:c>
      <x:c r="C1753" s="2" t="str">
        <x:v>United Kingdom</x:v>
      </x:c>
      <x:c r="D1753" s="25" t="n">
        <x:v>40204.513194444444</x:v>
      </x:c>
      <x:c r="E1753" s="25" t="n">
        <x:v>40762.29861111111</x:v>
      </x:c>
      <x:c r="F1753" s="2" t="n">
        <x:v>125</x:v>
      </x:c>
      <x:c r="G1753" s="2" t="n">
        <x:v>2</x:v>
      </x:c>
      <x:c r="H1753" s="11" t="n">
        <x:v>618.73</x:v>
      </x:c>
      <x:c r="I1753" s="2" t="n">
        <x:v>3</x:v>
      </x:c>
      <x:c r="J1753" s="2" t="n">
        <x:v>2</x:v>
      </x:c>
      <x:c r="K1753" s="2" t="n">
        <x:v>3</x:v>
      </x:c>
      <x:c r="L1753" s="2" t="str">
        <x:v>Developing</x:v>
      </x:c>
    </x:row>
    <x:row r="1754" ht="22" customHeight="1">
      <x:c r="A1754" s="2"/>
      <x:c r="B1754" s="2" t="str">
        <x:v>14080</x:v>
      </x:c>
      <x:c r="C1754" s="2" t="str">
        <x:v>United Kingdom</x:v>
      </x:c>
      <x:c r="D1754" s="25" t="n">
        <x:v>40149.41736111111</x:v>
      </x:c>
      <x:c r="E1754" s="25" t="n">
        <x:v>40854.25625</x:v>
      </x:c>
      <x:c r="F1754" s="2" t="n">
        <x:v>33</x:v>
      </x:c>
      <x:c r="G1754" s="2" t="n">
        <x:v>5</x:v>
      </x:c>
      <x:c r="H1754" s="11" t="n">
        <x:v>1115.68</x:v>
      </x:c>
      <x:c r="I1754" s="2" t="n">
        <x:v>4</x:v>
      </x:c>
      <x:c r="J1754" s="2" t="n">
        <x:v>4</x:v>
      </x:c>
      <x:c r="K1754" s="2" t="n">
        <x:v>3</x:v>
      </x:c>
      <x:c r="L1754" s="2" t="str">
        <x:v>Loyal</x:v>
      </x:c>
    </x:row>
    <x:row r="1755" ht="22" customHeight="1">
      <x:c r="A1755" s="2"/>
      <x:c r="B1755" s="2" t="str">
        <x:v>14081</x:v>
      </x:c>
      <x:c r="C1755" s="2" t="str">
        <x:v>United Kingdom</x:v>
      </x:c>
      <x:c r="D1755" s="25" t="n">
        <x:v>40157.56041666667</x:v>
      </x:c>
      <x:c r="E1755" s="25" t="n">
        <x:v>40584.470138888886</x:v>
      </x:c>
      <x:c r="F1755" s="2" t="n">
        <x:v>303</x:v>
      </x:c>
      <x:c r="G1755" s="2" t="n">
        <x:v>10</x:v>
      </x:c>
      <x:c r="H1755" s="11" t="n">
        <x:v>4946.58</x:v>
      </x:c>
      <x:c r="I1755" s="2" t="n">
        <x:v>2</x:v>
      </x:c>
      <x:c r="J1755" s="2" t="n">
        <x:v>5</x:v>
      </x:c>
      <x:c r="K1755" s="2" t="n">
        <x:v>5</x:v>
      </x:c>
      <x:c r="L1755" s="2" t="str">
        <x:v>At risk</x:v>
      </x:c>
    </x:row>
    <x:row r="1756" ht="22" customHeight="1">
      <x:c r="A1756" s="2"/>
      <x:c r="B1756" s="2" t="str">
        <x:v>14082</x:v>
      </x:c>
      <x:c r="C1756" s="2" t="str">
        <x:v>United Kingdom</x:v>
      </x:c>
      <x:c r="D1756" s="25" t="n">
        <x:v>40494.282638888886</x:v>
      </x:c>
      <x:c r="E1756" s="25" t="n">
        <x:v>40522.251388888886</x:v>
      </x:c>
      <x:c r="F1756" s="2" t="n">
        <x:v>365</x:v>
      </x:c>
      <x:c r="G1756" s="2" t="n">
        <x:v>2</x:v>
      </x:c>
      <x:c r="H1756" s="11" t="n">
        <x:v>413.36</x:v>
      </x:c>
      <x:c r="I1756" s="2" t="n">
        <x:v>2</x:v>
      </x:c>
      <x:c r="J1756" s="2" t="n">
        <x:v>2</x:v>
      </x:c>
      <x:c r="K1756" s="2" t="n">
        <x:v>2</x:v>
      </x:c>
      <x:c r="L1756" s="2" t="str">
        <x:v>Hibernating</x:v>
      </x:c>
    </x:row>
    <x:row r="1757" ht="22" customHeight="1">
      <x:c r="A1757" s="2"/>
      <x:c r="B1757" s="2" t="str">
        <x:v>14083</x:v>
      </x:c>
      <x:c r="C1757" s="2" t="str">
        <x:v>United Kingdom</x:v>
      </x:c>
      <x:c r="D1757" s="25" t="n">
        <x:v>40165.27361111111</x:v>
      </x:c>
      <x:c r="E1757" s="25" t="n">
        <x:v>40882.34305555555</x:v>
      </x:c>
      <x:c r="F1757" s="2" t="n">
        <x:v>5</x:v>
      </x:c>
      <x:c r="G1757" s="2" t="n">
        <x:v>11</x:v>
      </x:c>
      <x:c r="H1757" s="11" t="n">
        <x:v>1097.72</x:v>
      </x:c>
      <x:c r="I1757" s="2" t="n">
        <x:v>5</x:v>
      </x:c>
      <x:c r="J1757" s="2" t="n">
        <x:v>5</x:v>
      </x:c>
      <x:c r="K1757" s="2" t="n">
        <x:v>3</x:v>
      </x:c>
      <x:c r="L1757" s="2" t="str">
        <x:v>Loyal</x:v>
      </x:c>
    </x:row>
    <x:row r="1758" ht="22" customHeight="1">
      <x:c r="A1758" s="2"/>
      <x:c r="B1758" s="2" t="str">
        <x:v>14084</x:v>
      </x:c>
      <x:c r="C1758" s="2" t="str">
        <x:v>United Kingdom</x:v>
      </x:c>
      <x:c r="D1758" s="25" t="n">
        <x:v>40374.4</x:v>
      </x:c>
      <x:c r="E1758" s="25" t="n">
        <x:v>40374.4</x:v>
      </x:c>
      <x:c r="F1758" s="2" t="n">
        <x:v>513</x:v>
      </x:c>
      <x:c r="G1758" s="2" t="n">
        <x:v>1</x:v>
      </x:c>
      <x:c r="H1758" s="11" t="n">
        <x:v>150.5</x:v>
      </x:c>
      <x:c r="I1758" s="2" t="n">
        <x:v>1</x:v>
      </x:c>
      <x:c r="J1758" s="2" t="n">
        <x:v>1</x:v>
      </x:c>
      <x:c r="K1758" s="2" t="n">
        <x:v>1</x:v>
      </x:c>
      <x:c r="L1758" s="2" t="str">
        <x:v>Hibernating</x:v>
      </x:c>
    </x:row>
    <x:row r="1759" ht="22" customHeight="1">
      <x:c r="A1759" s="2"/>
      <x:c r="B1759" s="2" t="str">
        <x:v>14085</x:v>
      </x:c>
      <x:c r="C1759" s="2" t="str">
        <x:v>United Kingdom</x:v>
      </x:c>
      <x:c r="D1759" s="25" t="n">
        <x:v>40155.361805555556</x:v>
      </x:c>
      <x:c r="E1759" s="25" t="n">
        <x:v>40884.365277777775</x:v>
      </x:c>
      <x:c r="F1759" s="2" t="n">
        <x:v>3</x:v>
      </x:c>
      <x:c r="G1759" s="2" t="n">
        <x:v>33</x:v>
      </x:c>
      <x:c r="H1759" s="11" t="n">
        <x:v>9796.92</x:v>
      </x:c>
      <x:c r="I1759" s="2" t="n">
        <x:v>5</x:v>
      </x:c>
      <x:c r="J1759" s="2" t="n">
        <x:v>5</x:v>
      </x:c>
      <x:c r="K1759" s="2" t="n">
        <x:v>5</x:v>
      </x:c>
      <x:c r="L1759" s="2" t="str">
        <x:v>Champions</x:v>
      </x:c>
    </x:row>
    <x:row r="1760" ht="22" customHeight="1">
      <x:c r="A1760" s="2"/>
      <x:c r="B1760" s="2" t="str">
        <x:v>14086</x:v>
      </x:c>
      <x:c r="C1760" s="2" t="str">
        <x:v>United Kingdom</x:v>
      </x:c>
      <x:c r="D1760" s="25" t="n">
        <x:v>40424.24444444444</x:v>
      </x:c>
      <x:c r="E1760" s="25" t="n">
        <x:v>40424.24444444444</x:v>
      </x:c>
      <x:c r="F1760" s="2" t="n">
        <x:v>463</x:v>
      </x:c>
      <x:c r="G1760" s="2" t="n">
        <x:v>1</x:v>
      </x:c>
      <x:c r="H1760" s="11" t="n">
        <x:v>39.95</x:v>
      </x:c>
      <x:c r="I1760" s="2" t="n">
        <x:v>1</x:v>
      </x:c>
      <x:c r="J1760" s="2" t="n">
        <x:v>1</x:v>
      </x:c>
      <x:c r="K1760" s="2" t="n">
        <x:v>1</x:v>
      </x:c>
      <x:c r="L1760" s="2" t="str">
        <x:v>Hibernating</x:v>
      </x:c>
    </x:row>
    <x:row r="1761" ht="22" customHeight="1">
      <x:c r="A1761" s="2"/>
      <x:c r="B1761" s="2" t="str">
        <x:v>14087</x:v>
      </x:c>
      <x:c r="C1761" s="2" t="str">
        <x:v>United Kingdom</x:v>
      </x:c>
      <x:c r="D1761" s="25" t="n">
        <x:v>40151.43541666667</x:v>
      </x:c>
      <x:c r="E1761" s="25" t="n">
        <x:v>40884.32013888889</x:v>
      </x:c>
      <x:c r="F1761" s="2" t="n">
        <x:v>3</x:v>
      </x:c>
      <x:c r="G1761" s="2" t="n">
        <x:v>3</x:v>
      </x:c>
      <x:c r="H1761" s="11" t="n">
        <x:v>846.22</x:v>
      </x:c>
      <x:c r="I1761" s="2" t="n">
        <x:v>5</x:v>
      </x:c>
      <x:c r="J1761" s="2" t="n">
        <x:v>3</x:v>
      </x:c>
      <x:c r="K1761" s="2" t="n">
        <x:v>3</x:v>
      </x:c>
      <x:c r="L1761" s="2" t="str">
        <x:v>Loyal</x:v>
      </x:c>
    </x:row>
    <x:row r="1762" ht="22" customHeight="1">
      <x:c r="A1762" s="2"/>
      <x:c r="B1762" s="2" t="str">
        <x:v>14088</x:v>
      </x:c>
      <x:c r="C1762" s="2" t="str">
        <x:v>United Kingdom</x:v>
      </x:c>
      <x:c r="D1762" s="25" t="n">
        <x:v>40465.615277777775</x:v>
      </x:c>
      <x:c r="E1762" s="25" t="n">
        <x:v>40876.46944444445</x:v>
      </x:c>
      <x:c r="F1762" s="2" t="n">
        <x:v>11</x:v>
      </x:c>
      <x:c r="G1762" s="2" t="n">
        <x:v>16</x:v>
      </x:c>
      <x:c r="H1762" s="11" t="n">
        <x:v>64036.8</x:v>
      </x:c>
      <x:c r="I1762" s="2" t="n">
        <x:v>5</x:v>
      </x:c>
      <x:c r="J1762" s="2" t="n">
        <x:v>5</x:v>
      </x:c>
      <x:c r="K1762" s="2" t="n">
        <x:v>5</x:v>
      </x:c>
      <x:c r="L1762" s="2" t="str">
        <x:v>Champions</x:v>
      </x:c>
    </x:row>
    <x:row r="1763" ht="22" customHeight="1">
      <x:c r="A1763" s="2"/>
      <x:c r="B1763" s="2" t="str">
        <x:v>14089</x:v>
      </x:c>
      <x:c r="C1763" s="2" t="str">
        <x:v>United Kingdom</x:v>
      </x:c>
      <x:c r="D1763" s="25" t="n">
        <x:v>40830.23472222222</x:v>
      </x:c>
      <x:c r="E1763" s="25" t="n">
        <x:v>40830.23472222222</x:v>
      </x:c>
      <x:c r="F1763" s="2" t="n">
        <x:v>57</x:v>
      </x:c>
      <x:c r="G1763" s="2" t="n">
        <x:v>1</x:v>
      </x:c>
      <x:c r="H1763" s="11" t="n">
        <x:v>161</x:v>
      </x:c>
      <x:c r="I1763" s="2" t="n">
        <x:v>4</x:v>
      </x:c>
      <x:c r="J1763" s="2" t="n">
        <x:v>1</x:v>
      </x:c>
      <x:c r="K1763" s="2" t="n">
        <x:v>1</x:v>
      </x:c>
      <x:c r="L1763" s="2" t="str">
        <x:v>Recent light buyers</x:v>
      </x:c>
    </x:row>
    <x:row r="1764" ht="22" customHeight="1">
      <x:c r="A1764" s="2"/>
      <x:c r="B1764" s="2" t="str">
        <x:v>14090</x:v>
      </x:c>
      <x:c r="C1764" s="2" t="str">
        <x:v>United Kingdom</x:v>
      </x:c>
      <x:c r="D1764" s="25" t="n">
        <x:v>40562.24375</x:v>
      </x:c>
      <x:c r="E1764" s="25" t="n">
        <x:v>40562.24375</x:v>
      </x:c>
      <x:c r="F1764" s="2" t="n">
        <x:v>325</x:v>
      </x:c>
      <x:c r="G1764" s="2" t="n">
        <x:v>1</x:v>
      </x:c>
      <x:c r="H1764" s="11" t="n">
        <x:v>76.32</x:v>
      </x:c>
      <x:c r="I1764" s="2" t="n">
        <x:v>2</x:v>
      </x:c>
      <x:c r="J1764" s="2" t="n">
        <x:v>1</x:v>
      </x:c>
      <x:c r="K1764" s="2" t="n">
        <x:v>1</x:v>
      </x:c>
      <x:c r="L1764" s="2" t="str">
        <x:v>Hibernating</x:v>
      </x:c>
    </x:row>
    <x:row r="1765" ht="22" customHeight="1">
      <x:c r="A1765" s="2"/>
      <x:c r="B1765" s="2" t="str">
        <x:v>14091</x:v>
      </x:c>
      <x:c r="C1765" s="2" t="str">
        <x:v>United Kingdom</x:v>
      </x:c>
      <x:c r="D1765" s="25" t="n">
        <x:v>40188.361805555556</x:v>
      </x:c>
      <x:c r="E1765" s="25" t="n">
        <x:v>40232.42847222222</x:v>
      </x:c>
      <x:c r="F1765" s="2" t="n">
        <x:v>655</x:v>
      </x:c>
      <x:c r="G1765" s="2" t="n">
        <x:v>2</x:v>
      </x:c>
      <x:c r="H1765" s="11" t="n">
        <x:v>9530.08</x:v>
      </x:c>
      <x:c r="I1765" s="2" t="n">
        <x:v>1</x:v>
      </x:c>
      <x:c r="J1765" s="2" t="n">
        <x:v>2</x:v>
      </x:c>
      <x:c r="K1765" s="2" t="n">
        <x:v>5</x:v>
      </x:c>
      <x:c r="L1765" s="2" t="str">
        <x:v>Hibernating</x:v>
      </x:c>
    </x:row>
    <x:row r="1766" ht="22" customHeight="1">
      <x:c r="A1766" s="2"/>
      <x:c r="B1766" s="2" t="str">
        <x:v>14092</x:v>
      </x:c>
      <x:c r="C1766" s="2" t="str">
        <x:v>United Kingdom</x:v>
      </x:c>
      <x:c r="D1766" s="25" t="n">
        <x:v>40163.475</x:v>
      </x:c>
      <x:c r="E1766" s="25" t="n">
        <x:v>40879.30069444444</x:v>
      </x:c>
      <x:c r="F1766" s="2" t="n">
        <x:v>8</x:v>
      </x:c>
      <x:c r="G1766" s="2" t="n">
        <x:v>24</x:v>
      </x:c>
      <x:c r="H1766" s="11" t="n">
        <x:v>7229.45</x:v>
      </x:c>
      <x:c r="I1766" s="2" t="n">
        <x:v>5</x:v>
      </x:c>
      <x:c r="J1766" s="2" t="n">
        <x:v>5</x:v>
      </x:c>
      <x:c r="K1766" s="2" t="n">
        <x:v>5</x:v>
      </x:c>
      <x:c r="L1766" s="2" t="str">
        <x:v>Champions</x:v>
      </x:c>
    </x:row>
    <x:row r="1767" ht="22" customHeight="1">
      <x:c r="A1767" s="2"/>
      <x:c r="B1767" s="2" t="str">
        <x:v>14093</x:v>
      </x:c>
      <x:c r="C1767" s="2" t="str">
        <x:v>United Kingdom</x:v>
      </x:c>
      <x:c r="D1767" s="25" t="n">
        <x:v>40874.47708333333</x:v>
      </x:c>
      <x:c r="E1767" s="25" t="n">
        <x:v>40874.47708333333</x:v>
      </x:c>
      <x:c r="F1767" s="2" t="n">
        <x:v>13</x:v>
      </x:c>
      <x:c r="G1767" s="2" t="n">
        <x:v>1</x:v>
      </x:c>
      <x:c r="H1767" s="11" t="n">
        <x:v>442.85</x:v>
      </x:c>
      <x:c r="I1767" s="2" t="n">
        <x:v>5</x:v>
      </x:c>
      <x:c r="J1767" s="2" t="n">
        <x:v>1</x:v>
      </x:c>
      <x:c r="K1767" s="2" t="n">
        <x:v>2</x:v>
      </x:c>
      <x:c r="L1767" s="2" t="str">
        <x:v>Recent light buyers</x:v>
      </x:c>
    </x:row>
    <x:row r="1768" ht="22" customHeight="1">
      <x:c r="A1768" s="2"/>
      <x:c r="B1768" s="2" t="str">
        <x:v>14094</x:v>
      </x:c>
      <x:c r="C1768" s="2" t="str">
        <x:v>United Kingdom</x:v>
      </x:c>
      <x:c r="D1768" s="25" t="n">
        <x:v>40447.29027777778</x:v>
      </x:c>
      <x:c r="E1768" s="25" t="n">
        <x:v>40447.29027777778</x:v>
      </x:c>
      <x:c r="F1768" s="2" t="n">
        <x:v>440</x:v>
      </x:c>
      <x:c r="G1768" s="2" t="n">
        <x:v>1</x:v>
      </x:c>
      <x:c r="H1768" s="11" t="n">
        <x:v>335.22</x:v>
      </x:c>
      <x:c r="I1768" s="2" t="n">
        <x:v>1</x:v>
      </x:c>
      <x:c r="J1768" s="2" t="n">
        <x:v>1</x:v>
      </x:c>
      <x:c r="K1768" s="2" t="n">
        <x:v>2</x:v>
      </x:c>
      <x:c r="L1768" s="2" t="str">
        <x:v>Hibernating</x:v>
      </x:c>
    </x:row>
    <x:row r="1769" ht="22" customHeight="1">
      <x:c r="A1769" s="2"/>
      <x:c r="B1769" s="2" t="str">
        <x:v>14095</x:v>
      </x:c>
      <x:c r="C1769" s="2" t="str">
        <x:v>United Kingdom</x:v>
      </x:c>
      <x:c r="D1769" s="25" t="n">
        <x:v>40164.325694444444</x:v>
      </x:c>
      <x:c r="E1769" s="25" t="n">
        <x:v>40164.325694444444</x:v>
      </x:c>
      <x:c r="F1769" s="2" t="n">
        <x:v>723</x:v>
      </x:c>
      <x:c r="G1769" s="2" t="n">
        <x:v>1</x:v>
      </x:c>
      <x:c r="H1769" s="11" t="n">
        <x:v>2.95</x:v>
      </x:c>
      <x:c r="I1769" s="2" t="n">
        <x:v>1</x:v>
      </x:c>
      <x:c r="J1769" s="2" t="n">
        <x:v>1</x:v>
      </x:c>
      <x:c r="K1769" s="2" t="n">
        <x:v>1</x:v>
      </x:c>
      <x:c r="L1769" s="2" t="str">
        <x:v>Hibernating</x:v>
      </x:c>
    </x:row>
    <x:row r="1770" ht="22" customHeight="1">
      <x:c r="A1770" s="2"/>
      <x:c r="B1770" s="2" t="str">
        <x:v>14096</x:v>
      </x:c>
      <x:c r="C1770" s="2" t="str">
        <x:v>United Kingdom</x:v>
      </x:c>
      <x:c r="D1770" s="25" t="n">
        <x:v>40785.24236111111</x:v>
      </x:c>
      <x:c r="E1770" s="25" t="n">
        <x:v>40882.51180555556</x:v>
      </x:c>
      <x:c r="F1770" s="2" t="n">
        <x:v>5</x:v>
      </x:c>
      <x:c r="G1770" s="2" t="n">
        <x:v>17</x:v>
      </x:c>
      <x:c r="H1770" s="11" t="n">
        <x:v>65164.79</x:v>
      </x:c>
      <x:c r="I1770" s="2" t="n">
        <x:v>5</x:v>
      </x:c>
      <x:c r="J1770" s="2" t="n">
        <x:v>5</x:v>
      </x:c>
      <x:c r="K1770" s="2" t="n">
        <x:v>5</x:v>
      </x:c>
      <x:c r="L1770" s="2" t="str">
        <x:v>Champions</x:v>
      </x:c>
    </x:row>
    <x:row r="1771" ht="22" customHeight="1">
      <x:c r="A1771" s="2"/>
      <x:c r="B1771" s="2" t="str">
        <x:v>14097</x:v>
      </x:c>
      <x:c r="C1771" s="2" t="str">
        <x:v>United Kingdom</x:v>
      </x:c>
      <x:c r="D1771" s="25" t="n">
        <x:v>40241.240277777775</x:v>
      </x:c>
      <x:c r="E1771" s="25" t="n">
        <x:v>40405.38888888889</x:v>
      </x:c>
      <x:c r="F1771" s="2" t="n">
        <x:v>482</x:v>
      </x:c>
      <x:c r="G1771" s="2" t="n">
        <x:v>2</x:v>
      </x:c>
      <x:c r="H1771" s="11" t="n">
        <x:v>422.86</x:v>
      </x:c>
      <x:c r="I1771" s="2" t="n">
        <x:v>1</x:v>
      </x:c>
      <x:c r="J1771" s="2" t="n">
        <x:v>2</x:v>
      </x:c>
      <x:c r="K1771" s="2" t="n">
        <x:v>2</x:v>
      </x:c>
      <x:c r="L1771" s="2" t="str">
        <x:v>Hibernating</x:v>
      </x:c>
    </x:row>
    <x:row r="1772" ht="22" customHeight="1">
      <x:c r="A1772" s="2"/>
      <x:c r="B1772" s="2" t="str">
        <x:v>14098</x:v>
      </x:c>
      <x:c r="C1772" s="2" t="str">
        <x:v>United Kingdom</x:v>
      </x:c>
      <x:c r="D1772" s="25" t="n">
        <x:v>40850.217361111114</x:v>
      </x:c>
      <x:c r="E1772" s="25" t="n">
        <x:v>40850.217361111114</x:v>
      </x:c>
      <x:c r="F1772" s="2" t="n">
        <x:v>37</x:v>
      </x:c>
      <x:c r="G1772" s="2" t="n">
        <x:v>1</x:v>
      </x:c>
      <x:c r="H1772" s="11" t="n">
        <x:v>147.35</x:v>
      </x:c>
      <x:c r="I1772" s="2" t="n">
        <x:v>4</x:v>
      </x:c>
      <x:c r="J1772" s="2" t="n">
        <x:v>1</x:v>
      </x:c>
      <x:c r="K1772" s="2" t="n">
        <x:v>1</x:v>
      </x:c>
      <x:c r="L1772" s="2" t="str">
        <x:v>Recent light buyers</x:v>
      </x:c>
    </x:row>
    <x:row r="1773" ht="22" customHeight="1">
      <x:c r="A1773" s="2"/>
      <x:c r="B1773" s="2" t="str">
        <x:v>14099</x:v>
      </x:c>
      <x:c r="C1773" s="2" t="str">
        <x:v>United Kingdom</x:v>
      </x:c>
      <x:c r="D1773" s="25" t="n">
        <x:v>40157.288194444445</x:v>
      </x:c>
      <x:c r="E1773" s="25" t="n">
        <x:v>40870.37013888889</x:v>
      </x:c>
      <x:c r="F1773" s="2" t="n">
        <x:v>17</x:v>
      </x:c>
      <x:c r="G1773" s="2" t="n">
        <x:v>20</x:v>
      </x:c>
      <x:c r="H1773" s="11" t="n">
        <x:v>5765.71</x:v>
      </x:c>
      <x:c r="I1773" s="2" t="n">
        <x:v>5</x:v>
      </x:c>
      <x:c r="J1773" s="2" t="n">
        <x:v>5</x:v>
      </x:c>
      <x:c r="K1773" s="2" t="n">
        <x:v>5</x:v>
      </x:c>
      <x:c r="L1773" s="2" t="str">
        <x:v>Champions</x:v>
      </x:c>
    </x:row>
    <x:row r="1774" ht="22" customHeight="1">
      <x:c r="A1774" s="2"/>
      <x:c r="B1774" s="2" t="str">
        <x:v>14100</x:v>
      </x:c>
      <x:c r="C1774" s="2" t="str">
        <x:v>United Kingdom</x:v>
      </x:c>
      <x:c r="D1774" s="25" t="n">
        <x:v>40749.25069444445</x:v>
      </x:c>
      <x:c r="E1774" s="25" t="n">
        <x:v>40749.25069444445</x:v>
      </x:c>
      <x:c r="F1774" s="2" t="n">
        <x:v>138</x:v>
      </x:c>
      <x:c r="G1774" s="2" t="n">
        <x:v>1</x:v>
      </x:c>
      <x:c r="H1774" s="11" t="n">
        <x:v>194.9</x:v>
      </x:c>
      <x:c r="I1774" s="2" t="n">
        <x:v>3</x:v>
      </x:c>
      <x:c r="J1774" s="2" t="n">
        <x:v>1</x:v>
      </x:c>
      <x:c r="K1774" s="2" t="n">
        <x:v>1</x:v>
      </x:c>
      <x:c r="L1774" s="2" t="str">
        <x:v>Developing</x:v>
      </x:c>
    </x:row>
    <x:row r="1775" ht="22" customHeight="1">
      <x:c r="A1775" s="2"/>
      <x:c r="B1775" s="2" t="str">
        <x:v>14101</x:v>
      </x:c>
      <x:c r="C1775" s="2" t="str">
        <x:v>United Kingdom</x:v>
      </x:c>
      <x:c r="D1775" s="25" t="n">
        <x:v>40265.35833333333</x:v>
      </x:c>
      <x:c r="E1775" s="25" t="n">
        <x:v>40813.311111111114</x:v>
      </x:c>
      <x:c r="F1775" s="2" t="n">
        <x:v>74</x:v>
      </x:c>
      <x:c r="G1775" s="2" t="n">
        <x:v>13</x:v>
      </x:c>
      <x:c r="H1775" s="11" t="n">
        <x:v>9961.93</x:v>
      </x:c>
      <x:c r="I1775" s="2" t="n">
        <x:v>3</x:v>
      </x:c>
      <x:c r="J1775" s="2" t="n">
        <x:v>5</x:v>
      </x:c>
      <x:c r="K1775" s="2" t="n">
        <x:v>5</x:v>
      </x:c>
      <x:c r="L1775" s="2" t="str">
        <x:v>Loyal</x:v>
      </x:c>
    </x:row>
    <x:row r="1776" ht="22" customHeight="1">
      <x:c r="A1776" s="2"/>
      <x:c r="B1776" s="2" t="str">
        <x:v>14102</x:v>
      </x:c>
      <x:c r="C1776" s="2" t="str">
        <x:v>United Kingdom</x:v>
      </x:c>
      <x:c r="D1776" s="25" t="n">
        <x:v>40842.32361111111</x:v>
      </x:c>
      <x:c r="E1776" s="25" t="n">
        <x:v>40881.44305555556</x:v>
      </x:c>
      <x:c r="F1776" s="2" t="n">
        <x:v>6</x:v>
      </x:c>
      <x:c r="G1776" s="2" t="n">
        <x:v>5</x:v>
      </x:c>
      <x:c r="H1776" s="11" t="n">
        <x:v>1360.28</x:v>
      </x:c>
      <x:c r="I1776" s="2" t="n">
        <x:v>5</x:v>
      </x:c>
      <x:c r="J1776" s="2" t="n">
        <x:v>4</x:v>
      </x:c>
      <x:c r="K1776" s="2" t="n">
        <x:v>4</x:v>
      </x:c>
      <x:c r="L1776" s="2" t="str">
        <x:v>Champions</x:v>
      </x:c>
    </x:row>
    <x:row r="1777" ht="22" customHeight="1">
      <x:c r="A1777" s="2"/>
      <x:c r="B1777" s="2" t="str">
        <x:v>14104</x:v>
      </x:c>
      <x:c r="C1777" s="2" t="str">
        <x:v>United Kingdom</x:v>
      </x:c>
      <x:c r="D1777" s="25" t="n">
        <x:v>40326.46597222222</x:v>
      </x:c>
      <x:c r="E1777" s="25" t="n">
        <x:v>40732.32638888889</x:v>
      </x:c>
      <x:c r="F1777" s="2" t="n">
        <x:v>155</x:v>
      </x:c>
      <x:c r="G1777" s="2" t="n">
        <x:v>5</x:v>
      </x:c>
      <x:c r="H1777" s="11" t="n">
        <x:v>771.58</x:v>
      </x:c>
      <x:c r="I1777" s="2" t="n">
        <x:v>3</x:v>
      </x:c>
      <x:c r="J1777" s="2" t="n">
        <x:v>4</x:v>
      </x:c>
      <x:c r="K1777" s="2" t="n">
        <x:v>3</x:v>
      </x:c>
      <x:c r="L1777" s="2" t="str">
        <x:v>Loyal</x:v>
      </x:c>
    </x:row>
    <x:row r="1778" ht="22" customHeight="1">
      <x:c r="A1778" s="2"/>
      <x:c r="B1778" s="2" t="str">
        <x:v>14105</x:v>
      </x:c>
      <x:c r="C1778" s="2" t="str">
        <x:v>United Kingdom</x:v>
      </x:c>
      <x:c r="D1778" s="25" t="n">
        <x:v>40165.49791666667</x:v>
      </x:c>
      <x:c r="E1778" s="25" t="n">
        <x:v>40647.54027777778</x:v>
      </x:c>
      <x:c r="F1778" s="2" t="n">
        <x:v>240</x:v>
      </x:c>
      <x:c r="G1778" s="2" t="n">
        <x:v>5</x:v>
      </x:c>
      <x:c r="H1778" s="11" t="n">
        <x:v>5988.83</x:v>
      </x:c>
      <x:c r="I1778" s="2" t="n">
        <x:v>2</x:v>
      </x:c>
      <x:c r="J1778" s="2" t="n">
        <x:v>4</x:v>
      </x:c>
      <x:c r="K1778" s="2" t="n">
        <x:v>5</x:v>
      </x:c>
      <x:c r="L1778" s="2" t="str">
        <x:v>At risk</x:v>
      </x:c>
    </x:row>
    <x:row r="1779" ht="22" customHeight="1">
      <x:c r="A1779" s="2"/>
      <x:c r="B1779" s="2" t="str">
        <x:v>14106</x:v>
      </x:c>
      <x:c r="C1779" s="2" t="str">
        <x:v>United Kingdom</x:v>
      </x:c>
      <x:c r="D1779" s="25" t="n">
        <x:v>40149.38125</x:v>
      </x:c>
      <x:c r="E1779" s="25" t="n">
        <x:v>40149.38125</x:v>
      </x:c>
      <x:c r="F1779" s="2" t="n">
        <x:v>738</x:v>
      </x:c>
      <x:c r="G1779" s="2" t="n">
        <x:v>1</x:v>
      </x:c>
      <x:c r="H1779" s="11" t="n">
        <x:v>214.8</x:v>
      </x:c>
      <x:c r="I1779" s="2" t="n">
        <x:v>1</x:v>
      </x:c>
      <x:c r="J1779" s="2" t="n">
        <x:v>1</x:v>
      </x:c>
      <x:c r="K1779" s="2" t="n">
        <x:v>1</x:v>
      </x:c>
      <x:c r="L1779" s="2" t="str">
        <x:v>Hibernating</x:v>
      </x:c>
    </x:row>
    <x:row r="1780" ht="22" customHeight="1">
      <x:c r="A1780" s="2"/>
      <x:c r="B1780" s="2" t="str">
        <x:v>14107</x:v>
      </x:c>
      <x:c r="C1780" s="2" t="str">
        <x:v>United Kingdom</x:v>
      </x:c>
      <x:c r="D1780" s="25" t="n">
        <x:v>40156.38888888889</x:v>
      </x:c>
      <x:c r="E1780" s="25" t="n">
        <x:v>40835.3</x:v>
      </x:c>
      <x:c r="F1780" s="2" t="n">
        <x:v>52</x:v>
      </x:c>
      <x:c r="G1780" s="2" t="n">
        <x:v>11</x:v>
      </x:c>
      <x:c r="H1780" s="11" t="n">
        <x:v>4877.3</x:v>
      </x:c>
      <x:c r="I1780" s="2" t="n">
        <x:v>4</x:v>
      </x:c>
      <x:c r="J1780" s="2" t="n">
        <x:v>5</x:v>
      </x:c>
      <x:c r="K1780" s="2" t="n">
        <x:v>5</x:v>
      </x:c>
      <x:c r="L1780" s="2" t="str">
        <x:v>Champions</x:v>
      </x:c>
    </x:row>
    <x:row r="1781" ht="22" customHeight="1">
      <x:c r="A1781" s="2"/>
      <x:c r="B1781" s="2" t="str">
        <x:v>14108</x:v>
      </x:c>
      <x:c r="C1781" s="2" t="str">
        <x:v>United Kingdom</x:v>
      </x:c>
      <x:c r="D1781" s="25" t="n">
        <x:v>40148.54652777778</x:v>
      </x:c>
      <x:c r="E1781" s="25" t="n">
        <x:v>40856.236805555556</x:v>
      </x:c>
      <x:c r="F1781" s="2" t="n">
        <x:v>31</x:v>
      </x:c>
      <x:c r="G1781" s="2" t="n">
        <x:v>4</x:v>
      </x:c>
      <x:c r="H1781" s="11" t="n">
        <x:v>1044.96</x:v>
      </x:c>
      <x:c r="I1781" s="2" t="n">
        <x:v>4</x:v>
      </x:c>
      <x:c r="J1781" s="2" t="n">
        <x:v>3</x:v>
      </x:c>
      <x:c r="K1781" s="2" t="n">
        <x:v>3</x:v>
      </x:c>
      <x:c r="L1781" s="2" t="str">
        <x:v>Loyal</x:v>
      </x:c>
    </x:row>
    <x:row r="1782" ht="22" customHeight="1">
      <x:c r="A1782" s="2"/>
      <x:c r="B1782" s="2" t="str">
        <x:v>14109</x:v>
      </x:c>
      <x:c r="C1782" s="2" t="str">
        <x:v>United Kingdom</x:v>
      </x:c>
      <x:c r="D1782" s="25" t="n">
        <x:v>40814.22083333333</x:v>
      </x:c>
      <x:c r="E1782" s="25" t="n">
        <x:v>40814.22083333333</x:v>
      </x:c>
      <x:c r="F1782" s="2" t="n">
        <x:v>73</x:v>
      </x:c>
      <x:c r="G1782" s="2" t="n">
        <x:v>1</x:v>
      </x:c>
      <x:c r="H1782" s="11" t="n">
        <x:v>144.2</x:v>
      </x:c>
      <x:c r="I1782" s="2" t="n">
        <x:v>3</x:v>
      </x:c>
      <x:c r="J1782" s="2" t="n">
        <x:v>1</x:v>
      </x:c>
      <x:c r="K1782" s="2" t="n">
        <x:v>1</x:v>
      </x:c>
      <x:c r="L1782" s="2" t="str">
        <x:v>Developing</x:v>
      </x:c>
    </x:row>
    <x:row r="1783" ht="22" customHeight="1">
      <x:c r="A1783" s="2"/>
      <x:c r="B1783" s="2" t="str">
        <x:v>14110</x:v>
      </x:c>
      <x:c r="C1783" s="2" t="str">
        <x:v>United Kingdom</x:v>
      </x:c>
      <x:c r="D1783" s="25" t="n">
        <x:v>40148.20138888889</x:v>
      </x:c>
      <x:c r="E1783" s="25" t="n">
        <x:v>40883.30972222222</x:v>
      </x:c>
      <x:c r="F1783" s="2" t="n">
        <x:v>4</x:v>
      </x:c>
      <x:c r="G1783" s="2" t="n">
        <x:v>33</x:v>
      </x:c>
      <x:c r="H1783" s="11" t="n">
        <x:v>12987.95</x:v>
      </x:c>
      <x:c r="I1783" s="2" t="n">
        <x:v>5</x:v>
      </x:c>
      <x:c r="J1783" s="2" t="n">
        <x:v>5</x:v>
      </x:c>
      <x:c r="K1783" s="2" t="n">
        <x:v>5</x:v>
      </x:c>
      <x:c r="L1783" s="2" t="str">
        <x:v>Champions</x:v>
      </x:c>
    </x:row>
    <x:row r="1784" ht="22" customHeight="1">
      <x:c r="A1784" s="2"/>
      <x:c r="B1784" s="2" t="str">
        <x:v>14111</x:v>
      </x:c>
      <x:c r="C1784" s="2" t="str">
        <x:v>United Kingdom</x:v>
      </x:c>
      <x:c r="D1784" s="25" t="n">
        <x:v>40645.275</x:v>
      </x:c>
      <x:c r="E1784" s="25" t="n">
        <x:v>40872.36388888889</x:v>
      </x:c>
      <x:c r="F1784" s="2" t="n">
        <x:v>15</x:v>
      </x:c>
      <x:c r="G1784" s="2" t="n">
        <x:v>4</x:v>
      </x:c>
      <x:c r="H1784" s="11" t="n">
        <x:v>692.85</x:v>
      </x:c>
      <x:c r="I1784" s="2" t="n">
        <x:v>5</x:v>
      </x:c>
      <x:c r="J1784" s="2" t="n">
        <x:v>3</x:v>
      </x:c>
      <x:c r="K1784" s="2" t="n">
        <x:v>3</x:v>
      </x:c>
      <x:c r="L1784" s="2" t="str">
        <x:v>Loyal</x:v>
      </x:c>
    </x:row>
    <x:row r="1785" ht="22" customHeight="1">
      <x:c r="A1785" s="2"/>
      <x:c r="B1785" s="2" t="str">
        <x:v>14112</x:v>
      </x:c>
      <x:c r="C1785" s="2" t="str">
        <x:v>United Kingdom</x:v>
      </x:c>
      <x:c r="D1785" s="25" t="n">
        <x:v>40232.38611111111</x:v>
      </x:c>
      <x:c r="E1785" s="25" t="n">
        <x:v>40864.3125</x:v>
      </x:c>
      <x:c r="F1785" s="2" t="n">
        <x:v>23</x:v>
      </x:c>
      <x:c r="G1785" s="2" t="n">
        <x:v>13</x:v>
      </x:c>
      <x:c r="H1785" s="11" t="n">
        <x:v>5834.59</x:v>
      </x:c>
      <x:c r="I1785" s="2" t="n">
        <x:v>4</x:v>
      </x:c>
      <x:c r="J1785" s="2" t="n">
        <x:v>5</x:v>
      </x:c>
      <x:c r="K1785" s="2" t="n">
        <x:v>5</x:v>
      </x:c>
      <x:c r="L1785" s="2" t="str">
        <x:v>Champions</x:v>
      </x:c>
    </x:row>
    <x:row r="1786" ht="22" customHeight="1">
      <x:c r="A1786" s="2"/>
      <x:c r="B1786" s="2" t="str">
        <x:v>14113</x:v>
      </x:c>
      <x:c r="C1786" s="2" t="str">
        <x:v>United Kingdom</x:v>
      </x:c>
      <x:c r="D1786" s="25" t="n">
        <x:v>40155.1125</x:v>
      </x:c>
      <x:c r="E1786" s="25" t="n">
        <x:v>40883.30416666667</x:v>
      </x:c>
      <x:c r="F1786" s="2" t="n">
        <x:v>4</x:v>
      </x:c>
      <x:c r="G1786" s="2" t="n">
        <x:v>16</x:v>
      </x:c>
      <x:c r="H1786" s="11" t="n">
        <x:v>7092.61</x:v>
      </x:c>
      <x:c r="I1786" s="2" t="n">
        <x:v>5</x:v>
      </x:c>
      <x:c r="J1786" s="2" t="n">
        <x:v>5</x:v>
      </x:c>
      <x:c r="K1786" s="2" t="n">
        <x:v>5</x:v>
      </x:c>
      <x:c r="L1786" s="2" t="str">
        <x:v>Champions</x:v>
      </x:c>
    </x:row>
    <x:row r="1787" ht="22" customHeight="1">
      <x:c r="A1787" s="2"/>
      <x:c r="B1787" s="2" t="str">
        <x:v>14114</x:v>
      </x:c>
      <x:c r="C1787" s="2" t="str">
        <x:v>United Kingdom</x:v>
      </x:c>
      <x:c r="D1787" s="25" t="n">
        <x:v>40280.25486111111</x:v>
      </x:c>
      <x:c r="E1787" s="25" t="n">
        <x:v>40613.19583333333</x:v>
      </x:c>
      <x:c r="F1787" s="2" t="n">
        <x:v>274</x:v>
      </x:c>
      <x:c r="G1787" s="2" t="n">
        <x:v>7</x:v>
      </x:c>
      <x:c r="H1787" s="11" t="n">
        <x:v>1364.09</x:v>
      </x:c>
      <x:c r="I1787" s="2" t="n">
        <x:v>2</x:v>
      </x:c>
      <x:c r="J1787" s="2" t="n">
        <x:v>4</x:v>
      </x:c>
      <x:c r="K1787" s="2" t="n">
        <x:v>4</x:v>
      </x:c>
      <x:c r="L1787" s="2" t="str">
        <x:v>At risk</x:v>
      </x:c>
    </x:row>
    <x:row r="1788" ht="22" customHeight="1">
      <x:c r="A1788" s="2"/>
      <x:c r="B1788" s="2" t="str">
        <x:v>14115</x:v>
      </x:c>
      <x:c r="C1788" s="2" t="str">
        <x:v>United Kingdom</x:v>
      </x:c>
      <x:c r="D1788" s="25" t="n">
        <x:v>40220.28055555555</x:v>
      </x:c>
      <x:c r="E1788" s="25" t="n">
        <x:v>40385.316666666666</x:v>
      </x:c>
      <x:c r="F1788" s="2" t="n">
        <x:v>502</x:v>
      </x:c>
      <x:c r="G1788" s="2" t="n">
        <x:v>2</x:v>
      </x:c>
      <x:c r="H1788" s="11" t="n">
        <x:v>622.67</x:v>
      </x:c>
      <x:c r="I1788" s="2" t="n">
        <x:v>1</x:v>
      </x:c>
      <x:c r="J1788" s="2" t="n">
        <x:v>2</x:v>
      </x:c>
      <x:c r="K1788" s="2" t="n">
        <x:v>3</x:v>
      </x:c>
      <x:c r="L1788" s="2" t="str">
        <x:v>Hibernating</x:v>
      </x:c>
    </x:row>
    <x:row r="1789" ht="22" customHeight="1">
      <x:c r="A1789" s="2"/>
      <x:c r="B1789" s="2" t="str">
        <x:v>14116</x:v>
      </x:c>
      <x:c r="C1789" s="2" t="str">
        <x:v>United Kingdom</x:v>
      </x:c>
      <x:c r="D1789" s="25" t="n">
        <x:v>40765.322222222225</x:v>
      </x:c>
      <x:c r="E1789" s="25" t="n">
        <x:v>40867.228472222225</x:v>
      </x:c>
      <x:c r="F1789" s="2" t="n">
        <x:v>20</x:v>
      </x:c>
      <x:c r="G1789" s="2" t="n">
        <x:v>5</x:v>
      </x:c>
      <x:c r="H1789" s="11" t="n">
        <x:v>1382.74</x:v>
      </x:c>
      <x:c r="I1789" s="2" t="n">
        <x:v>5</x:v>
      </x:c>
      <x:c r="J1789" s="2" t="n">
        <x:v>4</x:v>
      </x:c>
      <x:c r="K1789" s="2" t="n">
        <x:v>4</x:v>
      </x:c>
      <x:c r="L1789" s="2" t="str">
        <x:v>Champions</x:v>
      </x:c>
    </x:row>
    <x:row r="1790" ht="22" customHeight="1">
      <x:c r="A1790" s="2"/>
      <x:c r="B1790" s="2" t="str">
        <x:v>14117</x:v>
      </x:c>
      <x:c r="C1790" s="2" t="str">
        <x:v>United Kingdom</x:v>
      </x:c>
      <x:c r="D1790" s="25" t="n">
        <x:v>40743.200694444444</x:v>
      </x:c>
      <x:c r="E1790" s="25" t="n">
        <x:v>40743.200694444444</x:v>
      </x:c>
      <x:c r="F1790" s="2" t="n">
        <x:v>144</x:v>
      </x:c>
      <x:c r="G1790" s="2" t="n">
        <x:v>1</x:v>
      </x:c>
      <x:c r="H1790" s="11" t="n">
        <x:v>90</x:v>
      </x:c>
      <x:c r="I1790" s="2" t="n">
        <x:v>3</x:v>
      </x:c>
      <x:c r="J1790" s="2" t="n">
        <x:v>1</x:v>
      </x:c>
      <x:c r="K1790" s="2" t="n">
        <x:v>1</x:v>
      </x:c>
      <x:c r="L1790" s="2" t="str">
        <x:v>Developing</x:v>
      </x:c>
    </x:row>
    <x:row r="1791" ht="22" customHeight="1">
      <x:c r="A1791" s="2"/>
      <x:c r="B1791" s="2" t="str">
        <x:v>14118</x:v>
      </x:c>
      <x:c r="C1791" s="2" t="str">
        <x:v>United Kingdom</x:v>
      </x:c>
      <x:c r="D1791" s="25" t="n">
        <x:v>40458.290972222225</x:v>
      </x:c>
      <x:c r="E1791" s="25" t="n">
        <x:v>40458.290972222225</x:v>
      </x:c>
      <x:c r="F1791" s="2" t="n">
        <x:v>429</x:v>
      </x:c>
      <x:c r="G1791" s="2" t="n">
        <x:v>1</x:v>
      </x:c>
      <x:c r="H1791" s="11" t="n">
        <x:v>458.45</x:v>
      </x:c>
      <x:c r="I1791" s="2" t="n">
        <x:v>1</x:v>
      </x:c>
      <x:c r="J1791" s="2" t="n">
        <x:v>1</x:v>
      </x:c>
      <x:c r="K1791" s="2" t="n">
        <x:v>2</x:v>
      </x:c>
      <x:c r="L1791" s="2" t="str">
        <x:v>Hibernating</x:v>
      </x:c>
    </x:row>
    <x:row r="1792" ht="22" customHeight="1">
      <x:c r="A1792" s="2"/>
      <x:c r="B1792" s="2" t="str">
        <x:v>14119</x:v>
      </x:c>
      <x:c r="C1792" s="2" t="str">
        <x:v>United Kingdom</x:v>
      </x:c>
      <x:c r="D1792" s="25" t="n">
        <x:v>40168.41111111111</x:v>
      </x:c>
      <x:c r="E1792" s="25" t="n">
        <x:v>40511.23125</x:v>
      </x:c>
      <x:c r="F1792" s="2" t="n">
        <x:v>376</x:v>
      </x:c>
      <x:c r="G1792" s="2" t="n">
        <x:v>2</x:v>
      </x:c>
      <x:c r="H1792" s="11" t="n">
        <x:v>183.37</x:v>
      </x:c>
      <x:c r="I1792" s="2" t="n">
        <x:v>2</x:v>
      </x:c>
      <x:c r="J1792" s="2" t="n">
        <x:v>2</x:v>
      </x:c>
      <x:c r="K1792" s="2" t="n">
        <x:v>1</x:v>
      </x:c>
      <x:c r="L1792" s="2" t="str">
        <x:v>Hibernating</x:v>
      </x:c>
    </x:row>
    <x:row r="1793" ht="22" customHeight="1">
      <x:c r="A1793" s="2"/>
      <x:c r="B1793" s="2" t="str">
        <x:v>14121</x:v>
      </x:c>
      <x:c r="C1793" s="2" t="str">
        <x:v>United Kingdom</x:v>
      </x:c>
      <x:c r="D1793" s="25" t="n">
        <x:v>40827.23541666667</x:v>
      </x:c>
      <x:c r="E1793" s="25" t="n">
        <x:v>40883.30486111111</x:v>
      </x:c>
      <x:c r="F1793" s="2" t="n">
        <x:v>4</x:v>
      </x:c>
      <x:c r="G1793" s="2" t="n">
        <x:v>4</x:v>
      </x:c>
      <x:c r="H1793" s="11" t="n">
        <x:v>2780.15</x:v>
      </x:c>
      <x:c r="I1793" s="2" t="n">
        <x:v>5</x:v>
      </x:c>
      <x:c r="J1793" s="2" t="n">
        <x:v>3</x:v>
      </x:c>
      <x:c r="K1793" s="2" t="n">
        <x:v>4</x:v>
      </x:c>
      <x:c r="L1793" s="2" t="str">
        <x:v>Loyal</x:v>
      </x:c>
    </x:row>
    <x:row r="1794" ht="22" customHeight="1">
      <x:c r="A1794" s="2"/>
      <x:c r="B1794" s="2" t="str">
        <x:v>14122</x:v>
      </x:c>
      <x:c r="C1794" s="2" t="str">
        <x:v>United Kingdom</x:v>
      </x:c>
      <x:c r="D1794" s="25" t="n">
        <x:v>40149.39027777778</x:v>
      </x:c>
      <x:c r="E1794" s="25" t="n">
        <x:v>40480.424305555556</x:v>
      </x:c>
      <x:c r="F1794" s="2" t="n">
        <x:v>407</x:v>
      </x:c>
      <x:c r="G1794" s="2" t="n">
        <x:v>3</x:v>
      </x:c>
      <x:c r="H1794" s="11" t="n">
        <x:v>362.42</x:v>
      </x:c>
      <x:c r="I1794" s="2" t="n">
        <x:v>2</x:v>
      </x:c>
      <x:c r="J1794" s="2" t="n">
        <x:v>3</x:v>
      </x:c>
      <x:c r="K1794" s="2" t="n">
        <x:v>2</x:v>
      </x:c>
      <x:c r="L1794" s="2" t="str">
        <x:v>At risk</x:v>
      </x:c>
    </x:row>
    <x:row r="1795" ht="22" customHeight="1">
      <x:c r="A1795" s="2"/>
      <x:c r="B1795" s="2" t="str">
        <x:v>14123</x:v>
      </x:c>
      <x:c r="C1795" s="2" t="str">
        <x:v>United Kingdom</x:v>
      </x:c>
      <x:c r="D1795" s="25" t="n">
        <x:v>40153.44097222222</x:v>
      </x:c>
      <x:c r="E1795" s="25" t="n">
        <x:v>40153.44097222222</x:v>
      </x:c>
      <x:c r="F1795" s="2" t="n">
        <x:v>734</x:v>
      </x:c>
      <x:c r="G1795" s="2" t="n">
        <x:v>1</x:v>
      </x:c>
      <x:c r="H1795" s="11" t="n">
        <x:v>436.18</x:v>
      </x:c>
      <x:c r="I1795" s="2" t="n">
        <x:v>1</x:v>
      </x:c>
      <x:c r="J1795" s="2" t="n">
        <x:v>1</x:v>
      </x:c>
      <x:c r="K1795" s="2" t="n">
        <x:v>2</x:v>
      </x:c>
      <x:c r="L1795" s="2" t="str">
        <x:v>Hibernating</x:v>
      </x:c>
    </x:row>
    <x:row r="1796" ht="22" customHeight="1">
      <x:c r="A1796" s="2"/>
      <x:c r="B1796" s="2" t="str">
        <x:v>14124</x:v>
      </x:c>
      <x:c r="C1796" s="2" t="str">
        <x:v>United Kingdom</x:v>
      </x:c>
      <x:c r="D1796" s="25" t="n">
        <x:v>40802.35555555556</x:v>
      </x:c>
      <x:c r="E1796" s="25" t="n">
        <x:v>40802.35555555556</x:v>
      </x:c>
      <x:c r="F1796" s="2" t="n">
        <x:v>85</x:v>
      </x:c>
      <x:c r="G1796" s="2" t="n">
        <x:v>1</x:v>
      </x:c>
      <x:c r="H1796" s="11" t="n">
        <x:v>419.58</x:v>
      </x:c>
      <x:c r="I1796" s="2" t="n">
        <x:v>3</x:v>
      </x:c>
      <x:c r="J1796" s="2" t="n">
        <x:v>1</x:v>
      </x:c>
      <x:c r="K1796" s="2" t="n">
        <x:v>2</x:v>
      </x:c>
      <x:c r="L1796" s="2" t="str">
        <x:v>Developing</x:v>
      </x:c>
    </x:row>
    <x:row r="1797" ht="22" customHeight="1">
      <x:c r="A1797" s="2"/>
      <x:c r="B1797" s="2" t="str">
        <x:v>14125</x:v>
      </x:c>
      <x:c r="C1797" s="2" t="str">
        <x:v>United Kingdom</x:v>
      </x:c>
      <x:c r="D1797" s="25" t="n">
        <x:v>40808.444444444445</x:v>
      </x:c>
      <x:c r="E1797" s="25" t="n">
        <x:v>40876.32430555556</x:v>
      </x:c>
      <x:c r="F1797" s="2" t="n">
        <x:v>11</x:v>
      </x:c>
      <x:c r="G1797" s="2" t="n">
        <x:v>3</x:v>
      </x:c>
      <x:c r="H1797" s="11" t="n">
        <x:v>2740.43</x:v>
      </x:c>
      <x:c r="I1797" s="2" t="n">
        <x:v>5</x:v>
      </x:c>
      <x:c r="J1797" s="2" t="n">
        <x:v>3</x:v>
      </x:c>
      <x:c r="K1797" s="2" t="n">
        <x:v>4</x:v>
      </x:c>
      <x:c r="L1797" s="2" t="str">
        <x:v>Loyal</x:v>
      </x:c>
    </x:row>
    <x:row r="1798" ht="22" customHeight="1">
      <x:c r="A1798" s="2"/>
      <x:c r="B1798" s="2" t="str">
        <x:v>14126</x:v>
      </x:c>
      <x:c r="C1798" s="2" t="str">
        <x:v>United Kingdom</x:v>
      </x:c>
      <x:c r="D1798" s="25" t="n">
        <x:v>40442.410416666666</x:v>
      </x:c>
      <x:c r="E1798" s="25" t="n">
        <x:v>40879.28125</x:v>
      </x:c>
      <x:c r="F1798" s="2" t="n">
        <x:v>8</x:v>
      </x:c>
      <x:c r="G1798" s="2" t="n">
        <x:v>4</x:v>
      </x:c>
      <x:c r="H1798" s="11" t="n">
        <x:v>1172.46</x:v>
      </x:c>
      <x:c r="I1798" s="2" t="n">
        <x:v>5</x:v>
      </x:c>
      <x:c r="J1798" s="2" t="n">
        <x:v>3</x:v>
      </x:c>
      <x:c r="K1798" s="2" t="n">
        <x:v>3</x:v>
      </x:c>
      <x:c r="L1798" s="2" t="str">
        <x:v>Loyal</x:v>
      </x:c>
    </x:row>
    <x:row r="1799" ht="22" customHeight="1">
      <x:c r="A1799" s="2"/>
      <x:c r="B1799" s="2" t="str">
        <x:v>14127</x:v>
      </x:c>
      <x:c r="C1799" s="2" t="str">
        <x:v>United Kingdom</x:v>
      </x:c>
      <x:c r="D1799" s="25" t="n">
        <x:v>40461.28680555556</x:v>
      </x:c>
      <x:c r="E1799" s="25" t="n">
        <x:v>40764.24236111111</x:v>
      </x:c>
      <x:c r="F1799" s="2" t="n">
        <x:v>123</x:v>
      </x:c>
      <x:c r="G1799" s="2" t="n">
        <x:v>6</x:v>
      </x:c>
      <x:c r="H1799" s="11" t="n">
        <x:v>1900.08</x:v>
      </x:c>
      <x:c r="I1799" s="2" t="n">
        <x:v>3</x:v>
      </x:c>
      <x:c r="J1799" s="2" t="n">
        <x:v>4</x:v>
      </x:c>
      <x:c r="K1799" s="2" t="n">
        <x:v>4</x:v>
      </x:c>
      <x:c r="L1799" s="2" t="str">
        <x:v>Loyal</x:v>
      </x:c>
    </x:row>
    <x:row r="1800" ht="22" customHeight="1">
      <x:c r="A1800" s="2"/>
      <x:c r="B1800" s="2" t="str">
        <x:v>14128</x:v>
      </x:c>
      <x:c r="C1800" s="2" t="str">
        <x:v>United Kingdom</x:v>
      </x:c>
      <x:c r="D1800" s="25" t="n">
        <x:v>40335.37847222222</x:v>
      </x:c>
      <x:c r="E1800" s="25" t="n">
        <x:v>40826.291666666664</x:v>
      </x:c>
      <x:c r="F1800" s="2" t="n">
        <x:v>61</x:v>
      </x:c>
      <x:c r="G1800" s="2" t="n">
        <x:v>3</x:v>
      </x:c>
      <x:c r="H1800" s="11" t="n">
        <x:v>924.21</x:v>
      </x:c>
      <x:c r="I1800" s="2" t="n">
        <x:v>3</x:v>
      </x:c>
      <x:c r="J1800" s="2" t="n">
        <x:v>3</x:v>
      </x:c>
      <x:c r="K1800" s="2" t="n">
        <x:v>3</x:v>
      </x:c>
      <x:c r="L1800" s="2" t="str">
        <x:v>Loyal</x:v>
      </x:c>
    </x:row>
    <x:row r="1801" ht="22" customHeight="1">
      <x:c r="A1801" s="2"/>
      <x:c r="B1801" s="2" t="str">
        <x:v>14129</x:v>
      </x:c>
      <x:c r="C1801" s="2" t="str">
        <x:v>United Kingdom</x:v>
      </x:c>
      <x:c r="D1801" s="25" t="n">
        <x:v>40307.4125</x:v>
      </x:c>
      <x:c r="E1801" s="25" t="n">
        <x:v>40885.251388888886</x:v>
      </x:c>
      <x:c r="F1801" s="2" t="n">
        <x:v>2</x:v>
      </x:c>
      <x:c r="G1801" s="2" t="n">
        <x:v>9</x:v>
      </x:c>
      <x:c r="H1801" s="11" t="n">
        <x:v>2591.34</x:v>
      </x:c>
      <x:c r="I1801" s="2" t="n">
        <x:v>5</x:v>
      </x:c>
      <x:c r="J1801" s="2" t="n">
        <x:v>5</x:v>
      </x:c>
      <x:c r="K1801" s="2" t="n">
        <x:v>4</x:v>
      </x:c>
      <x:c r="L1801" s="2" t="str">
        <x:v>Champions</x:v>
      </x:c>
    </x:row>
    <x:row r="1802" ht="22" customHeight="1">
      <x:c r="A1802" s="2"/>
      <x:c r="B1802" s="2" t="str">
        <x:v>14130</x:v>
      </x:c>
      <x:c r="C1802" s="2" t="str">
        <x:v>United Kingdom</x:v>
      </x:c>
      <x:c r="D1802" s="25" t="n">
        <x:v>40158.48125</x:v>
      </x:c>
      <x:c r="E1802" s="25" t="n">
        <x:v>40567.461805555555</x:v>
      </x:c>
      <x:c r="F1802" s="2" t="n">
        <x:v>320</x:v>
      </x:c>
      <x:c r="G1802" s="2" t="n">
        <x:v>4</x:v>
      </x:c>
      <x:c r="H1802" s="11" t="n">
        <x:v>1882.67</x:v>
      </x:c>
      <x:c r="I1802" s="2" t="n">
        <x:v>2</x:v>
      </x:c>
      <x:c r="J1802" s="2" t="n">
        <x:v>3</x:v>
      </x:c>
      <x:c r="K1802" s="2" t="n">
        <x:v>4</x:v>
      </x:c>
      <x:c r="L1802" s="2" t="str">
        <x:v>At risk</x:v>
      </x:c>
    </x:row>
    <x:row r="1803" ht="22" customHeight="1">
      <x:c r="A1803" s="2"/>
      <x:c r="B1803" s="2" t="str">
        <x:v>14131</x:v>
      </x:c>
      <x:c r="C1803" s="2" t="str">
        <x:v>United Kingdom</x:v>
      </x:c>
      <x:c r="D1803" s="25" t="n">
        <x:v>40238.290972222225</x:v>
      </x:c>
      <x:c r="E1803" s="25" t="n">
        <x:v>40238.290972222225</x:v>
      </x:c>
      <x:c r="F1803" s="2" t="n">
        <x:v>649</x:v>
      </x:c>
      <x:c r="G1803" s="2" t="n">
        <x:v>1</x:v>
      </x:c>
      <x:c r="H1803" s="11" t="n">
        <x:v>187.87</x:v>
      </x:c>
      <x:c r="I1803" s="2" t="n">
        <x:v>1</x:v>
      </x:c>
      <x:c r="J1803" s="2" t="n">
        <x:v>1</x:v>
      </x:c>
      <x:c r="K1803" s="2" t="n">
        <x:v>1</x:v>
      </x:c>
      <x:c r="L1803" s="2" t="str">
        <x:v>Hibernating</x:v>
      </x:c>
    </x:row>
    <x:row r="1804" ht="22" customHeight="1">
      <x:c r="A1804" s="2"/>
      <x:c r="B1804" s="2" t="str">
        <x:v>14132</x:v>
      </x:c>
      <x:c r="C1804" s="2" t="str">
        <x:v>United Kingdom</x:v>
      </x:c>
      <x:c r="D1804" s="25" t="n">
        <x:v>40703.294444444444</x:v>
      </x:c>
      <x:c r="E1804" s="25" t="n">
        <x:v>40884.35763888889</x:v>
      </x:c>
      <x:c r="F1804" s="2" t="n">
        <x:v>3</x:v>
      </x:c>
      <x:c r="G1804" s="2" t="n">
        <x:v>11</x:v>
      </x:c>
      <x:c r="H1804" s="11" t="n">
        <x:v>3586.03</x:v>
      </x:c>
      <x:c r="I1804" s="2" t="n">
        <x:v>5</x:v>
      </x:c>
      <x:c r="J1804" s="2" t="n">
        <x:v>5</x:v>
      </x:c>
      <x:c r="K1804" s="2" t="n">
        <x:v>5</x:v>
      </x:c>
      <x:c r="L1804" s="2" t="str">
        <x:v>Champions</x:v>
      </x:c>
    </x:row>
    <x:row r="1805" ht="22" customHeight="1">
      <x:c r="A1805" s="2"/>
      <x:c r="B1805" s="2" t="str">
        <x:v>14133</x:v>
      </x:c>
      <x:c r="C1805" s="2" t="str">
        <x:v>United Kingdom</x:v>
      </x:c>
      <x:c r="D1805" s="25" t="n">
        <x:v>40153.29861111111</x:v>
      </x:c>
      <x:c r="E1805" s="25" t="n">
        <x:v>40757.27361111111</x:v>
      </x:c>
      <x:c r="F1805" s="2" t="n">
        <x:v>130</x:v>
      </x:c>
      <x:c r="G1805" s="2" t="n">
        <x:v>4</x:v>
      </x:c>
      <x:c r="H1805" s="11" t="n">
        <x:v>911.14</x:v>
      </x:c>
      <x:c r="I1805" s="2" t="n">
        <x:v>3</x:v>
      </x:c>
      <x:c r="J1805" s="2" t="n">
        <x:v>3</x:v>
      </x:c>
      <x:c r="K1805" s="2" t="n">
        <x:v>3</x:v>
      </x:c>
      <x:c r="L1805" s="2" t="str">
        <x:v>Loyal</x:v>
      </x:c>
    </x:row>
    <x:row r="1806" ht="22" customHeight="1">
      <x:c r="A1806" s="2"/>
      <x:c r="B1806" s="2" t="str">
        <x:v>14134</x:v>
      </x:c>
      <x:c r="C1806" s="2" t="str">
        <x:v>United Kingdom</x:v>
      </x:c>
      <x:c r="D1806" s="25" t="n">
        <x:v>40157.18402777778</x:v>
      </x:c>
      <x:c r="E1806" s="25" t="n">
        <x:v>40504.30972222222</x:v>
      </x:c>
      <x:c r="F1806" s="2" t="n">
        <x:v>383</x:v>
      </x:c>
      <x:c r="G1806" s="2" t="n">
        <x:v>15</x:v>
      </x:c>
      <x:c r="H1806" s="11" t="n">
        <x:v>11123.35</x:v>
      </x:c>
      <x:c r="I1806" s="2" t="n">
        <x:v>2</x:v>
      </x:c>
      <x:c r="J1806" s="2" t="n">
        <x:v>5</x:v>
      </x:c>
      <x:c r="K1806" s="2" t="n">
        <x:v>5</x:v>
      </x:c>
      <x:c r="L1806" s="2" t="str">
        <x:v>At risk</x:v>
      </x:c>
    </x:row>
    <x:row r="1807" ht="22" customHeight="1">
      <x:c r="A1807" s="2"/>
      <x:c r="B1807" s="2" t="str">
        <x:v>14135</x:v>
      </x:c>
      <x:c r="C1807" s="2" t="str">
        <x:v>United Kingdom</x:v>
      </x:c>
      <x:c r="D1807" s="25" t="n">
        <x:v>40149.16527777778</x:v>
      </x:c>
      <x:c r="E1807" s="25" t="n">
        <x:v>40885.27638888889</x:v>
      </x:c>
      <x:c r="F1807" s="2" t="n">
        <x:v>2</x:v>
      </x:c>
      <x:c r="G1807" s="2" t="n">
        <x:v>24</x:v>
      </x:c>
      <x:c r="H1807" s="11" t="n">
        <x:v>8839.67</x:v>
      </x:c>
      <x:c r="I1807" s="2" t="n">
        <x:v>5</x:v>
      </x:c>
      <x:c r="J1807" s="2" t="n">
        <x:v>5</x:v>
      </x:c>
      <x:c r="K1807" s="2" t="n">
        <x:v>5</x:v>
      </x:c>
      <x:c r="L1807" s="2" t="str">
        <x:v>Champions</x:v>
      </x:c>
    </x:row>
    <x:row r="1808" ht="22" customHeight="1">
      <x:c r="A1808" s="2"/>
      <x:c r="B1808" s="2" t="str">
        <x:v>14136</x:v>
      </x:c>
      <x:c r="C1808" s="2" t="str">
        <x:v>United Kingdom</x:v>
      </x:c>
      <x:c r="D1808" s="25" t="n">
        <x:v>40155.17986111111</x:v>
      </x:c>
      <x:c r="E1808" s="25" t="n">
        <x:v>40486.28680555556</x:v>
      </x:c>
      <x:c r="F1808" s="2" t="n">
        <x:v>401</x:v>
      </x:c>
      <x:c r="G1808" s="2" t="n">
        <x:v>5</x:v>
      </x:c>
      <x:c r="H1808" s="11" t="n">
        <x:v>1570.81</x:v>
      </x:c>
      <x:c r="I1808" s="2" t="n">
        <x:v>2</x:v>
      </x:c>
      <x:c r="J1808" s="2" t="n">
        <x:v>4</x:v>
      </x:c>
      <x:c r="K1808" s="2" t="n">
        <x:v>4</x:v>
      </x:c>
      <x:c r="L1808" s="2" t="str">
        <x:v>At risk</x:v>
      </x:c>
    </x:row>
    <x:row r="1809" ht="22" customHeight="1">
      <x:c r="A1809" s="2"/>
      <x:c r="B1809" s="2" t="str">
        <x:v>14137</x:v>
      </x:c>
      <x:c r="C1809" s="2" t="str">
        <x:v>United Kingdom</x:v>
      </x:c>
      <x:c r="D1809" s="25" t="n">
        <x:v>40191.3125</x:v>
      </x:c>
      <x:c r="E1809" s="25" t="n">
        <x:v>40191.3125</x:v>
      </x:c>
      <x:c r="F1809" s="2" t="n">
        <x:v>696</x:v>
      </x:c>
      <x:c r="G1809" s="2" t="n">
        <x:v>1</x:v>
      </x:c>
      <x:c r="H1809" s="11" t="n">
        <x:v>332.7</x:v>
      </x:c>
      <x:c r="I1809" s="2" t="n">
        <x:v>1</x:v>
      </x:c>
      <x:c r="J1809" s="2" t="n">
        <x:v>1</x:v>
      </x:c>
      <x:c r="K1809" s="2" t="n">
        <x:v>2</x:v>
      </x:c>
      <x:c r="L1809" s="2" t="str">
        <x:v>Hibernating</x:v>
      </x:c>
    </x:row>
    <x:row r="1810" ht="22" customHeight="1">
      <x:c r="A1810" s="2"/>
      <x:c r="B1810" s="2" t="str">
        <x:v>14138</x:v>
      </x:c>
      <x:c r="C1810" s="2" t="str">
        <x:v>United Kingdom</x:v>
      </x:c>
      <x:c r="D1810" s="25" t="n">
        <x:v>40823.19305555556</x:v>
      </x:c>
      <x:c r="E1810" s="25" t="n">
        <x:v>40885.322222222225</x:v>
      </x:c>
      <x:c r="F1810" s="2" t="n">
        <x:v>2</x:v>
      </x:c>
      <x:c r="G1810" s="2" t="n">
        <x:v>2</x:v>
      </x:c>
      <x:c r="H1810" s="11" t="n">
        <x:v>982.38</x:v>
      </x:c>
      <x:c r="I1810" s="2" t="n">
        <x:v>5</x:v>
      </x:c>
      <x:c r="J1810" s="2" t="n">
        <x:v>2</x:v>
      </x:c>
      <x:c r="K1810" s="2" t="n">
        <x:v>3</x:v>
      </x:c>
      <x:c r="L1810" s="2" t="str">
        <x:v>Recent light buyers</x:v>
      </x:c>
    </x:row>
    <x:row r="1811" ht="22" customHeight="1">
      <x:c r="A1811" s="2"/>
      <x:c r="B1811" s="2" t="str">
        <x:v>14139</x:v>
      </x:c>
      <x:c r="C1811" s="2" t="str">
        <x:v>United Kingdom</x:v>
      </x:c>
      <x:c r="D1811" s="25" t="n">
        <x:v>40344.17847222222</x:v>
      </x:c>
      <x:c r="E1811" s="25" t="n">
        <x:v>40840.356944444444</x:v>
      </x:c>
      <x:c r="F1811" s="2" t="n">
        <x:v>47</x:v>
      </x:c>
      <x:c r="G1811" s="2" t="n">
        <x:v>4</x:v>
      </x:c>
      <x:c r="H1811" s="11" t="n">
        <x:v>1086.8</x:v>
      </x:c>
      <x:c r="I1811" s="2" t="n">
        <x:v>4</x:v>
      </x:c>
      <x:c r="J1811" s="2" t="n">
        <x:v>3</x:v>
      </x:c>
      <x:c r="K1811" s="2" t="n">
        <x:v>3</x:v>
      </x:c>
      <x:c r="L1811" s="2" t="str">
        <x:v>Loyal</x:v>
      </x:c>
    </x:row>
    <x:row r="1812" ht="22" customHeight="1">
      <x:c r="A1812" s="2"/>
      <x:c r="B1812" s="2" t="str">
        <x:v>14140</x:v>
      </x:c>
      <x:c r="C1812" s="2" t="str">
        <x:v>United Kingdom</x:v>
      </x:c>
      <x:c r="D1812" s="25" t="n">
        <x:v>40855.26388888889</x:v>
      </x:c>
      <x:c r="E1812" s="25" t="n">
        <x:v>40883.17013888889</x:v>
      </x:c>
      <x:c r="F1812" s="2" t="n">
        <x:v>4</x:v>
      </x:c>
      <x:c r="G1812" s="2" t="n">
        <x:v>2</x:v>
      </x:c>
      <x:c r="H1812" s="11" t="n">
        <x:v>935.05</x:v>
      </x:c>
      <x:c r="I1812" s="2" t="n">
        <x:v>5</x:v>
      </x:c>
      <x:c r="J1812" s="2" t="n">
        <x:v>2</x:v>
      </x:c>
      <x:c r="K1812" s="2" t="n">
        <x:v>3</x:v>
      </x:c>
      <x:c r="L1812" s="2" t="str">
        <x:v>Recent light buyers</x:v>
      </x:c>
    </x:row>
    <x:row r="1813" ht="22" customHeight="1">
      <x:c r="A1813" s="2"/>
      <x:c r="B1813" s="2" t="str">
        <x:v>14141</x:v>
      </x:c>
      <x:c r="C1813" s="2" t="str">
        <x:v>United Kingdom</x:v>
      </x:c>
      <x:c r="D1813" s="25" t="n">
        <x:v>40781.40277777778</x:v>
      </x:c>
      <x:c r="E1813" s="25" t="n">
        <x:v>40884.20347222222</x:v>
      </x:c>
      <x:c r="F1813" s="2" t="n">
        <x:v>3</x:v>
      </x:c>
      <x:c r="G1813" s="2" t="n">
        <x:v>4</x:v>
      </x:c>
      <x:c r="H1813" s="11" t="n">
        <x:v>915.13</x:v>
      </x:c>
      <x:c r="I1813" s="2" t="n">
        <x:v>5</x:v>
      </x:c>
      <x:c r="J1813" s="2" t="n">
        <x:v>3</x:v>
      </x:c>
      <x:c r="K1813" s="2" t="n">
        <x:v>3</x:v>
      </x:c>
      <x:c r="L1813" s="2" t="str">
        <x:v>Loyal</x:v>
      </x:c>
    </x:row>
    <x:row r="1814" ht="22" customHeight="1">
      <x:c r="A1814" s="2"/>
      <x:c r="B1814" s="2" t="str">
        <x:v>14142</x:v>
      </x:c>
      <x:c r="C1814" s="2" t="str">
        <x:v>United Kingdom</x:v>
      </x:c>
      <x:c r="D1814" s="25" t="n">
        <x:v>40240.42569444444</x:v>
      </x:c>
      <x:c r="E1814" s="25" t="n">
        <x:v>40513.48125</x:v>
      </x:c>
      <x:c r="F1814" s="2" t="n">
        <x:v>374</x:v>
      </x:c>
      <x:c r="G1814" s="2" t="n">
        <x:v>2</x:v>
      </x:c>
      <x:c r="H1814" s="11" t="n">
        <x:v>671.34</x:v>
      </x:c>
      <x:c r="I1814" s="2" t="n">
        <x:v>2</x:v>
      </x:c>
      <x:c r="J1814" s="2" t="n">
        <x:v>2</x:v>
      </x:c>
      <x:c r="K1814" s="2" t="n">
        <x:v>3</x:v>
      </x:c>
      <x:c r="L1814" s="2" t="str">
        <x:v>Hibernating</x:v>
      </x:c>
    </x:row>
    <x:row r="1815" ht="22" customHeight="1">
      <x:c r="A1815" s="2"/>
      <x:c r="B1815" s="2" t="str">
        <x:v>14143</x:v>
      </x:c>
      <x:c r="C1815" s="2" t="str">
        <x:v>United Kingdom</x:v>
      </x:c>
      <x:c r="D1815" s="25" t="n">
        <x:v>40753.2</x:v>
      </x:c>
      <x:c r="E1815" s="25" t="n">
        <x:v>40753.2</x:v>
      </x:c>
      <x:c r="F1815" s="2" t="n">
        <x:v>134</x:v>
      </x:c>
      <x:c r="G1815" s="2" t="n">
        <x:v>1</x:v>
      </x:c>
      <x:c r="H1815" s="11" t="n">
        <x:v>115.8</x:v>
      </x:c>
      <x:c r="I1815" s="2" t="n">
        <x:v>3</x:v>
      </x:c>
      <x:c r="J1815" s="2" t="n">
        <x:v>1</x:v>
      </x:c>
      <x:c r="K1815" s="2" t="n">
        <x:v>1</x:v>
      </x:c>
      <x:c r="L1815" s="2" t="str">
        <x:v>Developing</x:v>
      </x:c>
    </x:row>
    <x:row r="1816" ht="22" customHeight="1">
      <x:c r="A1816" s="2"/>
      <x:c r="B1816" s="2" t="str">
        <x:v>14144</x:v>
      </x:c>
      <x:c r="C1816" s="2" t="str">
        <x:v>United Kingdom</x:v>
      </x:c>
      <x:c r="D1816" s="25" t="n">
        <x:v>40400.42847222222</x:v>
      </x:c>
      <x:c r="E1816" s="25" t="n">
        <x:v>40400.42847222222</x:v>
      </x:c>
      <x:c r="F1816" s="2" t="n">
        <x:v>487</x:v>
      </x:c>
      <x:c r="G1816" s="2" t="n">
        <x:v>1</x:v>
      </x:c>
      <x:c r="H1816" s="11" t="n">
        <x:v>30.6</x:v>
      </x:c>
      <x:c r="I1816" s="2" t="n">
        <x:v>1</x:v>
      </x:c>
      <x:c r="J1816" s="2" t="n">
        <x:v>1</x:v>
      </x:c>
      <x:c r="K1816" s="2" t="n">
        <x:v>1</x:v>
      </x:c>
      <x:c r="L1816" s="2" t="str">
        <x:v>Hibernating</x:v>
      </x:c>
    </x:row>
    <x:row r="1817" ht="22" customHeight="1">
      <x:c r="A1817" s="2"/>
      <x:c r="B1817" s="2" t="str">
        <x:v>14145</x:v>
      </x:c>
      <x:c r="C1817" s="2" t="str">
        <x:v>United Kingdom</x:v>
      </x:c>
      <x:c r="D1817" s="25" t="n">
        <x:v>40276.19930555556</x:v>
      </x:c>
      <x:c r="E1817" s="25" t="n">
        <x:v>40840.29861111111</x:v>
      </x:c>
      <x:c r="F1817" s="2" t="n">
        <x:v>47</x:v>
      </x:c>
      <x:c r="G1817" s="2" t="n">
        <x:v>7</x:v>
      </x:c>
      <x:c r="H1817" s="11" t="n">
        <x:v>7600.05</x:v>
      </x:c>
      <x:c r="I1817" s="2" t="n">
        <x:v>4</x:v>
      </x:c>
      <x:c r="J1817" s="2" t="n">
        <x:v>4</x:v>
      </x:c>
      <x:c r="K1817" s="2" t="n">
        <x:v>5</x:v>
      </x:c>
      <x:c r="L1817" s="2" t="str">
        <x:v>Champions</x:v>
      </x:c>
    </x:row>
    <x:row r="1818" ht="22" customHeight="1">
      <x:c r="A1818" s="2"/>
      <x:c r="B1818" s="2" t="str">
        <x:v>14146</x:v>
      </x:c>
      <x:c r="C1818" s="2" t="str">
        <x:v>United Kingdom</x:v>
      </x:c>
      <x:c r="D1818" s="25" t="n">
        <x:v>40191.46111111111</x:v>
      </x:c>
      <x:c r="E1818" s="25" t="n">
        <x:v>40878.22083333333</x:v>
      </x:c>
      <x:c r="F1818" s="2" t="n">
        <x:v>9</x:v>
      </x:c>
      <x:c r="G1818" s="2" t="n">
        <x:v>12</x:v>
      </x:c>
      <x:c r="H1818" s="11" t="n">
        <x:v>9450.3</x:v>
      </x:c>
      <x:c r="I1818" s="2" t="n">
        <x:v>5</x:v>
      </x:c>
      <x:c r="J1818" s="2" t="n">
        <x:v>5</x:v>
      </x:c>
      <x:c r="K1818" s="2" t="n">
        <x:v>5</x:v>
      </x:c>
      <x:c r="L1818" s="2" t="str">
        <x:v>Champions</x:v>
      </x:c>
    </x:row>
    <x:row r="1819" ht="22" customHeight="1">
      <x:c r="A1819" s="2"/>
      <x:c r="B1819" s="2" t="str">
        <x:v>14147</x:v>
      </x:c>
      <x:c r="C1819" s="2" t="str">
        <x:v>United Kingdom</x:v>
      </x:c>
      <x:c r="D1819" s="25" t="n">
        <x:v>40246.36319444444</x:v>
      </x:c>
      <x:c r="E1819" s="25" t="n">
        <x:v>40808.54861111111</x:v>
      </x:c>
      <x:c r="F1819" s="2" t="n">
        <x:v>79</x:v>
      </x:c>
      <x:c r="G1819" s="2" t="n">
        <x:v>9</x:v>
      </x:c>
      <x:c r="H1819" s="11" t="n">
        <x:v>2590.2</x:v>
      </x:c>
      <x:c r="I1819" s="2" t="n">
        <x:v>3</x:v>
      </x:c>
      <x:c r="J1819" s="2" t="n">
        <x:v>5</x:v>
      </x:c>
      <x:c r="K1819" s="2" t="n">
        <x:v>4</x:v>
      </x:c>
      <x:c r="L1819" s="2" t="str">
        <x:v>Loyal</x:v>
      </x:c>
    </x:row>
    <x:row r="1820" ht="22" customHeight="1">
      <x:c r="A1820" s="2"/>
      <x:c r="B1820" s="2" t="str">
        <x:v>14148</x:v>
      </x:c>
      <x:c r="C1820" s="2" t="str">
        <x:v>United Kingdom</x:v>
      </x:c>
      <x:c r="D1820" s="25" t="n">
        <x:v>40472.38055555556</x:v>
      </x:c>
      <x:c r="E1820" s="25" t="n">
        <x:v>40653.29305555556</x:v>
      </x:c>
      <x:c r="F1820" s="2" t="n">
        <x:v>234</x:v>
      </x:c>
      <x:c r="G1820" s="2" t="n">
        <x:v>2</x:v>
      </x:c>
      <x:c r="H1820" s="11" t="n">
        <x:v>466.29</x:v>
      </x:c>
      <x:c r="I1820" s="2" t="n">
        <x:v>2</x:v>
      </x:c>
      <x:c r="J1820" s="2" t="n">
        <x:v>2</x:v>
      </x:c>
      <x:c r="K1820" s="2" t="n">
        <x:v>2</x:v>
      </x:c>
      <x:c r="L1820" s="2" t="str">
        <x:v>Hibernating</x:v>
      </x:c>
    </x:row>
    <x:row r="1821" ht="22" customHeight="1">
      <x:c r="A1821" s="2"/>
      <x:c r="B1821" s="2" t="str">
        <x:v>14149</x:v>
      </x:c>
      <x:c r="C1821" s="2" t="str">
        <x:v>United Kingdom</x:v>
      </x:c>
      <x:c r="D1821" s="25" t="n">
        <x:v>40666.197222222225</x:v>
      </x:c>
      <x:c r="E1821" s="25" t="n">
        <x:v>40666.197222222225</x:v>
      </x:c>
      <x:c r="F1821" s="2" t="n">
        <x:v>221</x:v>
      </x:c>
      <x:c r="G1821" s="2" t="n">
        <x:v>1</x:v>
      </x:c>
      <x:c r="H1821" s="11" t="n">
        <x:v>446.62</x:v>
      </x:c>
      <x:c r="I1821" s="2" t="n">
        <x:v>2</x:v>
      </x:c>
      <x:c r="J1821" s="2" t="n">
        <x:v>1</x:v>
      </x:c>
      <x:c r="K1821" s="2" t="n">
        <x:v>2</x:v>
      </x:c>
      <x:c r="L1821" s="2" t="str">
        <x:v>Hibernating</x:v>
      </x:c>
    </x:row>
    <x:row r="1822" ht="22" customHeight="1">
      <x:c r="A1822" s="2"/>
      <x:c r="B1822" s="2" t="str">
        <x:v>14150</x:v>
      </x:c>
      <x:c r="C1822" s="2" t="str">
        <x:v>United Kingdom</x:v>
      </x:c>
      <x:c r="D1822" s="25" t="n">
        <x:v>40527.21111111111</x:v>
      </x:c>
      <x:c r="E1822" s="25" t="n">
        <x:v>40851.211805555555</x:v>
      </x:c>
      <x:c r="F1822" s="2" t="n">
        <x:v>36</x:v>
      </x:c>
      <x:c r="G1822" s="2" t="n">
        <x:v>2</x:v>
      </x:c>
      <x:c r="H1822" s="11" t="n">
        <x:v>658.64</x:v>
      </x:c>
      <x:c r="I1822" s="2" t="n">
        <x:v>4</x:v>
      </x:c>
      <x:c r="J1822" s="2" t="n">
        <x:v>2</x:v>
      </x:c>
      <x:c r="K1822" s="2" t="n">
        <x:v>3</x:v>
      </x:c>
      <x:c r="L1822" s="2" t="str">
        <x:v>Recent light buyers</x:v>
      </x:c>
    </x:row>
    <x:row r="1823" ht="22" customHeight="1">
      <x:c r="A1823" s="2"/>
      <x:c r="B1823" s="2" t="str">
        <x:v>14151</x:v>
      </x:c>
      <x:c r="C1823" s="2" t="str">
        <x:v>United Kingdom</x:v>
      </x:c>
      <x:c r="D1823" s="25" t="n">
        <x:v>40170.245833333334</x:v>
      </x:c>
      <x:c r="E1823" s="25" t="n">
        <x:v>40213.44097222222</x:v>
      </x:c>
      <x:c r="F1823" s="2" t="n">
        <x:v>674</x:v>
      </x:c>
      <x:c r="G1823" s="2" t="n">
        <x:v>2</x:v>
      </x:c>
      <x:c r="H1823" s="11" t="n">
        <x:v>679.45</x:v>
      </x:c>
      <x:c r="I1823" s="2" t="n">
        <x:v>1</x:v>
      </x:c>
      <x:c r="J1823" s="2" t="n">
        <x:v>2</x:v>
      </x:c>
      <x:c r="K1823" s="2" t="n">
        <x:v>3</x:v>
      </x:c>
      <x:c r="L1823" s="2" t="str">
        <x:v>Hibernating</x:v>
      </x:c>
    </x:row>
    <x:row r="1824" ht="22" customHeight="1">
      <x:c r="A1824" s="2"/>
      <x:c r="B1824" s="2" t="str">
        <x:v>14152</x:v>
      </x:c>
      <x:c r="C1824" s="2" t="str">
        <x:v>United Kingdom</x:v>
      </x:c>
      <x:c r="D1824" s="25" t="n">
        <x:v>40227.37291666667</x:v>
      </x:c>
      <x:c r="E1824" s="25" t="n">
        <x:v>40811.32916666667</x:v>
      </x:c>
      <x:c r="F1824" s="2" t="n">
        <x:v>76</x:v>
      </x:c>
      <x:c r="G1824" s="2" t="n">
        <x:v>7</x:v>
      </x:c>
      <x:c r="H1824" s="11" t="n">
        <x:v>1997.34</x:v>
      </x:c>
      <x:c r="I1824" s="2" t="n">
        <x:v>3</x:v>
      </x:c>
      <x:c r="J1824" s="2" t="n">
        <x:v>4</x:v>
      </x:c>
      <x:c r="K1824" s="2" t="n">
        <x:v>4</x:v>
      </x:c>
      <x:c r="L1824" s="2" t="str">
        <x:v>Loyal</x:v>
      </x:c>
    </x:row>
    <x:row r="1825" ht="22" customHeight="1">
      <x:c r="A1825" s="2"/>
      <x:c r="B1825" s="2" t="str">
        <x:v>14153</x:v>
      </x:c>
      <x:c r="C1825" s="2" t="str">
        <x:v>United Kingdom</x:v>
      </x:c>
      <x:c r="D1825" s="25" t="n">
        <x:v>40403.399305555555</x:v>
      </x:c>
      <x:c r="E1825" s="25" t="n">
        <x:v>40403.399305555555</x:v>
      </x:c>
      <x:c r="F1825" s="2" t="n">
        <x:v>484</x:v>
      </x:c>
      <x:c r="G1825" s="2" t="n">
        <x:v>1</x:v>
      </x:c>
      <x:c r="H1825" s="11" t="n">
        <x:v>233.4</x:v>
      </x:c>
      <x:c r="I1825" s="2" t="n">
        <x:v>1</x:v>
      </x:c>
      <x:c r="J1825" s="2" t="n">
        <x:v>1</x:v>
      </x:c>
      <x:c r="K1825" s="2" t="n">
        <x:v>1</x:v>
      </x:c>
      <x:c r="L1825" s="2" t="str">
        <x:v>Hibernating</x:v>
      </x:c>
    </x:row>
    <x:row r="1826" ht="22" customHeight="1">
      <x:c r="A1826" s="2"/>
      <x:c r="B1826" s="2" t="str">
        <x:v>14154</x:v>
      </x:c>
      <x:c r="C1826" s="2" t="str">
        <x:v>United Kingdom</x:v>
      </x:c>
      <x:c r="D1826" s="25" t="n">
        <x:v>40191.32430555556</x:v>
      </x:c>
      <x:c r="E1826" s="25" t="n">
        <x:v>40647.47638888889</x:v>
      </x:c>
      <x:c r="F1826" s="2" t="n">
        <x:v>240</x:v>
      </x:c>
      <x:c r="G1826" s="2" t="n">
        <x:v>8</x:v>
      </x:c>
      <x:c r="H1826" s="11" t="n">
        <x:v>6460.7</x:v>
      </x:c>
      <x:c r="I1826" s="2" t="n">
        <x:v>2</x:v>
      </x:c>
      <x:c r="J1826" s="2" t="n">
        <x:v>4</x:v>
      </x:c>
      <x:c r="K1826" s="2" t="n">
        <x:v>5</x:v>
      </x:c>
      <x:c r="L1826" s="2" t="str">
        <x:v>At risk</x:v>
      </x:c>
    </x:row>
    <x:row r="1827" ht="22" customHeight="1">
      <x:c r="A1827" s="2"/>
      <x:c r="B1827" s="2" t="str">
        <x:v>14155</x:v>
      </x:c>
      <x:c r="C1827" s="2" t="str">
        <x:v>United Kingdom</x:v>
      </x:c>
      <x:c r="D1827" s="25" t="n">
        <x:v>40620.38402777778</x:v>
      </x:c>
      <x:c r="E1827" s="25" t="n">
        <x:v>40620.38402777778</x:v>
      </x:c>
      <x:c r="F1827" s="2" t="n">
        <x:v>267</x:v>
      </x:c>
      <x:c r="G1827" s="2" t="n">
        <x:v>1</x:v>
      </x:c>
      <x:c r="H1827" s="11" t="n">
        <x:v>118.75</x:v>
      </x:c>
      <x:c r="I1827" s="2" t="n">
        <x:v>2</x:v>
      </x:c>
      <x:c r="J1827" s="2" t="n">
        <x:v>1</x:v>
      </x:c>
      <x:c r="K1827" s="2" t="n">
        <x:v>1</x:v>
      </x:c>
      <x:c r="L1827" s="2" t="str">
        <x:v>Hibernating</x:v>
      </x:c>
    </x:row>
    <x:row r="1828" ht="22" customHeight="1">
      <x:c r="A1828" s="2"/>
      <x:c r="B1828" s="2" t="str">
        <x:v>14156</x:v>
      </x:c>
      <x:c r="C1828" s="2" t="str">
        <x:v>EIRE</x:v>
      </x:c>
      <x:c r="D1828" s="25" t="n">
        <x:v>40148.3125</x:v>
      </x:c>
      <x:c r="E1828" s="25" t="n">
        <x:v>40877.245833333334</x:v>
      </x:c>
      <x:c r="F1828" s="2" t="n">
        <x:v>10</x:v>
      </x:c>
      <x:c r="G1828" s="2" t="n">
        <x:v>156</x:v>
      </x:c>
      <x:c r="H1828" s="11" t="n">
        <x:v>313624.17</x:v>
      </x:c>
      <x:c r="I1828" s="2" t="n">
        <x:v>5</x:v>
      </x:c>
      <x:c r="J1828" s="2" t="n">
        <x:v>5</x:v>
      </x:c>
      <x:c r="K1828" s="2" t="n">
        <x:v>5</x:v>
      </x:c>
      <x:c r="L1828" s="2" t="str">
        <x:v>Champions</x:v>
      </x:c>
    </x:row>
    <x:row r="1829" ht="22" customHeight="1">
      <x:c r="A1829" s="2"/>
      <x:c r="B1829" s="2" t="str">
        <x:v>14157</x:v>
      </x:c>
      <x:c r="C1829" s="2" t="str">
        <x:v>United Kingdom</x:v>
      </x:c>
      <x:c r="D1829" s="25" t="n">
        <x:v>40240.49236111111</x:v>
      </x:c>
      <x:c r="E1829" s="25" t="n">
        <x:v>40867.27222222222</x:v>
      </x:c>
      <x:c r="F1829" s="2" t="n">
        <x:v>20</x:v>
      </x:c>
      <x:c r="G1829" s="2" t="n">
        <x:v>5</x:v>
      </x:c>
      <x:c r="H1829" s="11" t="n">
        <x:v>1002.78</x:v>
      </x:c>
      <x:c r="I1829" s="2" t="n">
        <x:v>5</x:v>
      </x:c>
      <x:c r="J1829" s="2" t="n">
        <x:v>4</x:v>
      </x:c>
      <x:c r="K1829" s="2" t="n">
        <x:v>3</x:v>
      </x:c>
      <x:c r="L1829" s="2" t="str">
        <x:v>Loyal</x:v>
      </x:c>
    </x:row>
    <x:row r="1830" ht="22" customHeight="1">
      <x:c r="A1830" s="2"/>
      <x:c r="B1830" s="2" t="str">
        <x:v>14158</x:v>
      </x:c>
      <x:c r="C1830" s="2" t="str">
        <x:v>United Kingdom</x:v>
      </x:c>
      <x:c r="D1830" s="25" t="n">
        <x:v>40846.42222222222</x:v>
      </x:c>
      <x:c r="E1830" s="25" t="n">
        <x:v>40846.42222222222</x:v>
      </x:c>
      <x:c r="F1830" s="2" t="n">
        <x:v>41</x:v>
      </x:c>
      <x:c r="G1830" s="2" t="n">
        <x:v>1</x:v>
      </x:c>
      <x:c r="H1830" s="11" t="n">
        <x:v>507.66</x:v>
      </x:c>
      <x:c r="I1830" s="2" t="n">
        <x:v>4</x:v>
      </x:c>
      <x:c r="J1830" s="2" t="n">
        <x:v>1</x:v>
      </x:c>
      <x:c r="K1830" s="2" t="n">
        <x:v>2</x:v>
      </x:c>
      <x:c r="L1830" s="2" t="str">
        <x:v>Recent light buyers</x:v>
      </x:c>
    </x:row>
    <x:row r="1831" ht="22" customHeight="1">
      <x:c r="A1831" s="2"/>
      <x:c r="B1831" s="2" t="str">
        <x:v>14159</x:v>
      </x:c>
      <x:c r="C1831" s="2" t="str">
        <x:v>United Kingdom</x:v>
      </x:c>
      <x:c r="D1831" s="25" t="n">
        <x:v>40150.31319444445</x:v>
      </x:c>
      <x:c r="E1831" s="25" t="n">
        <x:v>40867.316666666666</x:v>
      </x:c>
      <x:c r="F1831" s="2" t="n">
        <x:v>20</x:v>
      </x:c>
      <x:c r="G1831" s="2" t="n">
        <x:v>20</x:v>
      </x:c>
      <x:c r="H1831" s="11" t="n">
        <x:v>7938.01</x:v>
      </x:c>
      <x:c r="I1831" s="2" t="n">
        <x:v>5</x:v>
      </x:c>
      <x:c r="J1831" s="2" t="n">
        <x:v>5</x:v>
      </x:c>
      <x:c r="K1831" s="2" t="n">
        <x:v>5</x:v>
      </x:c>
      <x:c r="L1831" s="2" t="str">
        <x:v>Champions</x:v>
      </x:c>
    </x:row>
    <x:row r="1832" ht="22" customHeight="1">
      <x:c r="A1832" s="2"/>
      <x:c r="B1832" s="2" t="str">
        <x:v>14160</x:v>
      </x:c>
      <x:c r="C1832" s="2" t="str">
        <x:v>United Kingdom</x:v>
      </x:c>
      <x:c r="D1832" s="25" t="n">
        <x:v>40188.29583333333</x:v>
      </x:c>
      <x:c r="E1832" s="25" t="n">
        <x:v>40276.395833333336</x:v>
      </x:c>
      <x:c r="F1832" s="2" t="n">
        <x:v>611</x:v>
      </x:c>
      <x:c r="G1832" s="2" t="n">
        <x:v>7</x:v>
      </x:c>
      <x:c r="H1832" s="11" t="n">
        <x:v>8421.47</x:v>
      </x:c>
      <x:c r="I1832" s="2" t="n">
        <x:v>1</x:v>
      </x:c>
      <x:c r="J1832" s="2" t="n">
        <x:v>4</x:v>
      </x:c>
      <x:c r="K1832" s="2" t="n">
        <x:v>5</x:v>
      </x:c>
      <x:c r="L1832" s="2" t="str">
        <x:v>At risk</x:v>
      </x:c>
    </x:row>
    <x:row r="1833" ht="22" customHeight="1">
      <x:c r="A1833" s="2"/>
      <x:c r="B1833" s="2" t="str">
        <x:v>14161</x:v>
      </x:c>
      <x:c r="C1833" s="2" t="str">
        <x:v>United Kingdom</x:v>
      </x:c>
      <x:c r="D1833" s="25" t="n">
        <x:v>40160.28194444445</x:v>
      </x:c>
      <x:c r="E1833" s="25" t="n">
        <x:v>40671.27847222222</x:v>
      </x:c>
      <x:c r="F1833" s="2" t="n">
        <x:v>216</x:v>
      </x:c>
      <x:c r="G1833" s="2" t="n">
        <x:v>7</x:v>
      </x:c>
      <x:c r="H1833" s="11" t="n">
        <x:v>3035.73</x:v>
      </x:c>
      <x:c r="I1833" s="2" t="n">
        <x:v>2</x:v>
      </x:c>
      <x:c r="J1833" s="2" t="n">
        <x:v>4</x:v>
      </x:c>
      <x:c r="K1833" s="2" t="n">
        <x:v>5</x:v>
      </x:c>
      <x:c r="L1833" s="2" t="str">
        <x:v>At risk</x:v>
      </x:c>
    </x:row>
    <x:row r="1834" ht="22" customHeight="1">
      <x:c r="A1834" s="2"/>
      <x:c r="B1834" s="2" t="str">
        <x:v>14162</x:v>
      </x:c>
      <x:c r="C1834" s="2" t="str">
        <x:v>United Kingdom</x:v>
      </x:c>
      <x:c r="D1834" s="25" t="n">
        <x:v>40594.313888888886</x:v>
      </x:c>
      <x:c r="E1834" s="25" t="n">
        <x:v>40713.275</x:v>
      </x:c>
      <x:c r="F1834" s="2" t="n">
        <x:v>174</x:v>
      </x:c>
      <x:c r="G1834" s="2" t="n">
        <x:v>2</x:v>
      </x:c>
      <x:c r="H1834" s="11" t="n">
        <x:v>289.36</x:v>
      </x:c>
      <x:c r="I1834" s="2" t="n">
        <x:v>3</x:v>
      </x:c>
      <x:c r="J1834" s="2" t="n">
        <x:v>2</x:v>
      </x:c>
      <x:c r="K1834" s="2" t="n">
        <x:v>2</x:v>
      </x:c>
      <x:c r="L1834" s="2" t="str">
        <x:v>Developing</x:v>
      </x:c>
    </x:row>
    <x:row r="1835" ht="22" customHeight="1">
      <x:c r="A1835" s="2"/>
      <x:c r="B1835" s="2" t="str">
        <x:v>14163</x:v>
      </x:c>
      <x:c r="C1835" s="2" t="str">
        <x:v>United Kingdom</x:v>
      </x:c>
      <x:c r="D1835" s="25" t="n">
        <x:v>40424.510416666664</x:v>
      </x:c>
      <x:c r="E1835" s="25" t="n">
        <x:v>40799.42916666667</x:v>
      </x:c>
      <x:c r="F1835" s="2" t="n">
        <x:v>88</x:v>
      </x:c>
      <x:c r="G1835" s="2" t="n">
        <x:v>5</x:v>
      </x:c>
      <x:c r="H1835" s="11" t="n">
        <x:v>2594.62</x:v>
      </x:c>
      <x:c r="I1835" s="2" t="n">
        <x:v>3</x:v>
      </x:c>
      <x:c r="J1835" s="2" t="n">
        <x:v>4</x:v>
      </x:c>
      <x:c r="K1835" s="2" t="n">
        <x:v>4</x:v>
      </x:c>
      <x:c r="L1835" s="2" t="str">
        <x:v>Loyal</x:v>
      </x:c>
    </x:row>
    <x:row r="1836" ht="22" customHeight="1">
      <x:c r="A1836" s="2"/>
      <x:c r="B1836" s="2" t="str">
        <x:v>14164</x:v>
      </x:c>
      <x:c r="C1836" s="2" t="str">
        <x:v>United Kingdom</x:v>
      </x:c>
      <x:c r="D1836" s="25" t="n">
        <x:v>40806.30416666667</x:v>
      </x:c>
      <x:c r="E1836" s="25" t="n">
        <x:v>40816.308333333334</x:v>
      </x:c>
      <x:c r="F1836" s="2" t="n">
        <x:v>71</x:v>
      </x:c>
      <x:c r="G1836" s="2" t="n">
        <x:v>2</x:v>
      </x:c>
      <x:c r="H1836" s="11" t="n">
        <x:v>1631.77</x:v>
      </x:c>
      <x:c r="I1836" s="2" t="n">
        <x:v>3</x:v>
      </x:c>
      <x:c r="J1836" s="2" t="n">
        <x:v>2</x:v>
      </x:c>
      <x:c r="K1836" s="2" t="n">
        <x:v>4</x:v>
      </x:c>
      <x:c r="L1836" s="2" t="str">
        <x:v>Developing</x:v>
      </x:c>
    </x:row>
    <x:row r="1837" ht="22" customHeight="1">
      <x:c r="A1837" s="2"/>
      <x:c r="B1837" s="2" t="str">
        <x:v>14165</x:v>
      </x:c>
      <x:c r="C1837" s="2" t="str">
        <x:v>United Kingdom</x:v>
      </x:c>
      <x:c r="D1837" s="25" t="n">
        <x:v>40611.31875</x:v>
      </x:c>
      <x:c r="E1837" s="25" t="n">
        <x:v>40611.31875</x:v>
      </x:c>
      <x:c r="F1837" s="2" t="n">
        <x:v>276</x:v>
      </x:c>
      <x:c r="G1837" s="2" t="n">
        <x:v>1</x:v>
      </x:c>
      <x:c r="H1837" s="11" t="n">
        <x:v>122.54</x:v>
      </x:c>
      <x:c r="I1837" s="2" t="n">
        <x:v>2</x:v>
      </x:c>
      <x:c r="J1837" s="2" t="n">
        <x:v>1</x:v>
      </x:c>
      <x:c r="K1837" s="2" t="n">
        <x:v>1</x:v>
      </x:c>
      <x:c r="L1837" s="2" t="str">
        <x:v>Hibernating</x:v>
      </x:c>
    </x:row>
    <x:row r="1838" ht="22" customHeight="1">
      <x:c r="A1838" s="2"/>
      <x:c r="B1838" s="2" t="str">
        <x:v>14166</x:v>
      </x:c>
      <x:c r="C1838" s="2" t="str">
        <x:v>United Kingdom</x:v>
      </x:c>
      <x:c r="D1838" s="25" t="n">
        <x:v>40260.42361111111</x:v>
      </x:c>
      <x:c r="E1838" s="25" t="n">
        <x:v>40381.6125</x:v>
      </x:c>
      <x:c r="F1838" s="2" t="n">
        <x:v>506</x:v>
      </x:c>
      <x:c r="G1838" s="2" t="n">
        <x:v>2</x:v>
      </x:c>
      <x:c r="H1838" s="11" t="n">
        <x:v>256.85</x:v>
      </x:c>
      <x:c r="I1838" s="2" t="n">
        <x:v>1</x:v>
      </x:c>
      <x:c r="J1838" s="2" t="n">
        <x:v>2</x:v>
      </x:c>
      <x:c r="K1838" s="2" t="n">
        <x:v>1</x:v>
      </x:c>
      <x:c r="L1838" s="2" t="str">
        <x:v>Hibernating</x:v>
      </x:c>
    </x:row>
    <x:row r="1839" ht="22" customHeight="1">
      <x:c r="A1839" s="2"/>
      <x:c r="B1839" s="2" t="str">
        <x:v>14167</x:v>
      </x:c>
      <x:c r="C1839" s="2" t="str">
        <x:v>United Kingdom</x:v>
      </x:c>
      <x:c r="D1839" s="25" t="n">
        <x:v>40205.46319444444</x:v>
      </x:c>
      <x:c r="E1839" s="25" t="n">
        <x:v>40847.39513888889</x:v>
      </x:c>
      <x:c r="F1839" s="2" t="n">
        <x:v>40</x:v>
      </x:c>
      <x:c r="G1839" s="2" t="n">
        <x:v>8</x:v>
      </x:c>
      <x:c r="H1839" s="11" t="n">
        <x:v>1296.49</x:v>
      </x:c>
      <x:c r="I1839" s="2" t="n">
        <x:v>4</x:v>
      </x:c>
      <x:c r="J1839" s="2" t="n">
        <x:v>4</x:v>
      </x:c>
      <x:c r="K1839" s="2" t="n">
        <x:v>4</x:v>
      </x:c>
      <x:c r="L1839" s="2" t="str">
        <x:v>Champions</x:v>
      </x:c>
    </x:row>
    <x:row r="1840" ht="22" customHeight="1">
      <x:c r="A1840" s="2"/>
      <x:c r="B1840" s="2" t="str">
        <x:v>14168</x:v>
      </x:c>
      <x:c r="C1840" s="2" t="str">
        <x:v>United Kingdom</x:v>
      </x:c>
      <x:c r="D1840" s="25" t="n">
        <x:v>40322.311111111114</x:v>
      </x:c>
      <x:c r="E1840" s="25" t="n">
        <x:v>40466.24236111111</x:v>
      </x:c>
      <x:c r="F1840" s="2" t="n">
        <x:v>421</x:v>
      </x:c>
      <x:c r="G1840" s="2" t="n">
        <x:v>2</x:v>
      </x:c>
      <x:c r="H1840" s="11" t="n">
        <x:v>370.45</x:v>
      </x:c>
      <x:c r="I1840" s="2" t="n">
        <x:v>1</x:v>
      </x:c>
      <x:c r="J1840" s="2" t="n">
        <x:v>2</x:v>
      </x:c>
      <x:c r="K1840" s="2" t="n">
        <x:v>2</x:v>
      </x:c>
      <x:c r="L1840" s="2" t="str">
        <x:v>Hibernating</x:v>
      </x:c>
    </x:row>
    <x:row r="1841" ht="22" customHeight="1">
      <x:c r="A1841" s="2"/>
      <x:c r="B1841" s="2" t="str">
        <x:v>14169</x:v>
      </x:c>
      <x:c r="C1841" s="2" t="str">
        <x:v>United Kingdom</x:v>
      </x:c>
      <x:c r="D1841" s="25" t="n">
        <x:v>40442.36041666667</x:v>
      </x:c>
      <x:c r="E1841" s="25" t="n">
        <x:v>40456.15625</x:v>
      </x:c>
      <x:c r="F1841" s="2" t="n">
        <x:v>431</x:v>
      </x:c>
      <x:c r="G1841" s="2" t="n">
        <x:v>2</x:v>
      </x:c>
      <x:c r="H1841" s="11" t="n">
        <x:v>624.43</x:v>
      </x:c>
      <x:c r="I1841" s="2" t="n">
        <x:v>1</x:v>
      </x:c>
      <x:c r="J1841" s="2" t="n">
        <x:v>2</x:v>
      </x:c>
      <x:c r="K1841" s="2" t="n">
        <x:v>3</x:v>
      </x:c>
      <x:c r="L1841" s="2" t="str">
        <x:v>Hibernating</x:v>
      </x:c>
    </x:row>
    <x:row r="1842" ht="22" customHeight="1">
      <x:c r="A1842" s="2"/>
      <x:c r="B1842" s="2" t="str">
        <x:v>14170</x:v>
      </x:c>
      <x:c r="C1842" s="2" t="str">
        <x:v>United Kingdom</x:v>
      </x:c>
      <x:c r="D1842" s="25" t="n">
        <x:v>40491.379166666666</x:v>
      </x:c>
      <x:c r="E1842" s="25" t="n">
        <x:v>40511.34027777778</x:v>
      </x:c>
      <x:c r="F1842" s="2" t="n">
        <x:v>376</x:v>
      </x:c>
      <x:c r="G1842" s="2" t="n">
        <x:v>3</x:v>
      </x:c>
      <x:c r="H1842" s="11" t="n">
        <x:v>597.33</x:v>
      </x:c>
      <x:c r="I1842" s="2" t="n">
        <x:v>2</x:v>
      </x:c>
      <x:c r="J1842" s="2" t="n">
        <x:v>3</x:v>
      </x:c>
      <x:c r="K1842" s="2" t="n">
        <x:v>2</x:v>
      </x:c>
      <x:c r="L1842" s="2" t="str">
        <x:v>At risk</x:v>
      </x:c>
    </x:row>
    <x:row r="1843" ht="22" customHeight="1">
      <x:c r="A1843" s="2"/>
      <x:c r="B1843" s="2" t="str">
        <x:v>14171</x:v>
      </x:c>
      <x:c r="C1843" s="2" t="str">
        <x:v>United Kingdom</x:v>
      </x:c>
      <x:c r="D1843" s="25" t="n">
        <x:v>40156.368055555555</x:v>
      </x:c>
      <x:c r="E1843" s="25" t="n">
        <x:v>40788.48819444444</x:v>
      </x:c>
      <x:c r="F1843" s="2" t="n">
        <x:v>99</x:v>
      </x:c>
      <x:c r="G1843" s="2" t="n">
        <x:v>2</x:v>
      </x:c>
      <x:c r="H1843" s="11" t="n">
        <x:v>498.79</x:v>
      </x:c>
      <x:c r="I1843" s="2" t="n">
        <x:v>3</x:v>
      </x:c>
      <x:c r="J1843" s="2" t="n">
        <x:v>2</x:v>
      </x:c>
      <x:c r="K1843" s="2" t="n">
        <x:v>2</x:v>
      </x:c>
      <x:c r="L1843" s="2" t="str">
        <x:v>Developing</x:v>
      </x:c>
    </x:row>
    <x:row r="1844" ht="22" customHeight="1">
      <x:c r="A1844" s="2"/>
      <x:c r="B1844" s="2" t="str">
        <x:v>14172</x:v>
      </x:c>
      <x:c r="C1844" s="2" t="str">
        <x:v>United Kingdom</x:v>
      </x:c>
      <x:c r="D1844" s="25" t="n">
        <x:v>40244.248611111114</x:v>
      </x:c>
      <x:c r="E1844" s="25" t="n">
        <x:v>40281.35138888889</x:v>
      </x:c>
      <x:c r="F1844" s="2" t="n">
        <x:v>606</x:v>
      </x:c>
      <x:c r="G1844" s="2" t="n">
        <x:v>3</x:v>
      </x:c>
      <x:c r="H1844" s="11" t="n">
        <x:v>402.72</x:v>
      </x:c>
      <x:c r="I1844" s="2" t="n">
        <x:v>1</x:v>
      </x:c>
      <x:c r="J1844" s="2" t="n">
        <x:v>3</x:v>
      </x:c>
      <x:c r="K1844" s="2" t="n">
        <x:v>2</x:v>
      </x:c>
      <x:c r="L1844" s="2" t="str">
        <x:v>At risk</x:v>
      </x:c>
    </x:row>
    <x:row r="1845" ht="22" customHeight="1">
      <x:c r="A1845" s="2"/>
      <x:c r="B1845" s="2" t="str">
        <x:v>14173</x:v>
      </x:c>
      <x:c r="C1845" s="2" t="str">
        <x:v>United Kingdom</x:v>
      </x:c>
      <x:c r="D1845" s="25" t="n">
        <x:v>40156.32361111111</x:v>
      </x:c>
      <x:c r="E1845" s="25" t="n">
        <x:v>40876.2875</x:v>
      </x:c>
      <x:c r="F1845" s="2" t="n">
        <x:v>11</x:v>
      </x:c>
      <x:c r="G1845" s="2" t="n">
        <x:v>6</x:v>
      </x:c>
      <x:c r="H1845" s="11" t="n">
        <x:v>586</x:v>
      </x:c>
      <x:c r="I1845" s="2" t="n">
        <x:v>5</x:v>
      </x:c>
      <x:c r="J1845" s="2" t="n">
        <x:v>4</x:v>
      </x:c>
      <x:c r="K1845" s="2" t="n">
        <x:v>2</x:v>
      </x:c>
      <x:c r="L1845" s="2" t="str">
        <x:v>Loyal</x:v>
      </x:c>
    </x:row>
    <x:row r="1846" ht="22" customHeight="1">
      <x:c r="A1846" s="2"/>
      <x:c r="B1846" s="2" t="str">
        <x:v>14174</x:v>
      </x:c>
      <x:c r="C1846" s="2" t="str">
        <x:v>United Kingdom</x:v>
      </x:c>
      <x:c r="D1846" s="25" t="n">
        <x:v>40853.345138888886</x:v>
      </x:c>
      <x:c r="E1846" s="25" t="n">
        <x:v>40853.345138888886</x:v>
      </x:c>
      <x:c r="F1846" s="2" t="n">
        <x:v>34</x:v>
      </x:c>
      <x:c r="G1846" s="2" t="n">
        <x:v>1</x:v>
      </x:c>
      <x:c r="H1846" s="11" t="n">
        <x:v>134.46</x:v>
      </x:c>
      <x:c r="I1846" s="2" t="n">
        <x:v>4</x:v>
      </x:c>
      <x:c r="J1846" s="2" t="n">
        <x:v>1</x:v>
      </x:c>
      <x:c r="K1846" s="2" t="n">
        <x:v>1</x:v>
      </x:c>
      <x:c r="L1846" s="2" t="str">
        <x:v>Recent light buyers</x:v>
      </x:c>
    </x:row>
    <x:row r="1847" ht="22" customHeight="1">
      <x:c r="A1847" s="2"/>
      <x:c r="B1847" s="2" t="str">
        <x:v>14175</x:v>
      </x:c>
      <x:c r="C1847" s="2" t="str">
        <x:v>United Kingdom</x:v>
      </x:c>
      <x:c r="D1847" s="25" t="n">
        <x:v>40259.23819444444</x:v>
      </x:c>
      <x:c r="E1847" s="25" t="n">
        <x:v>40827.288194444445</x:v>
      </x:c>
      <x:c r="F1847" s="2" t="n">
        <x:v>60</x:v>
      </x:c>
      <x:c r="G1847" s="2" t="n">
        <x:v>8</x:v>
      </x:c>
      <x:c r="H1847" s="11" t="n">
        <x:v>7678.88</x:v>
      </x:c>
      <x:c r="I1847" s="2" t="n">
        <x:v>3</x:v>
      </x:c>
      <x:c r="J1847" s="2" t="n">
        <x:v>4</x:v>
      </x:c>
      <x:c r="K1847" s="2" t="n">
        <x:v>5</x:v>
      </x:c>
      <x:c r="L1847" s="2" t="str">
        <x:v>Loyal</x:v>
      </x:c>
    </x:row>
    <x:row r="1848" ht="22" customHeight="1">
      <x:c r="A1848" s="2"/>
      <x:c r="B1848" s="2" t="str">
        <x:v>14176</x:v>
      </x:c>
      <x:c r="C1848" s="2" t="str">
        <x:v>United Kingdom</x:v>
      </x:c>
      <x:c r="D1848" s="25" t="n">
        <x:v>40505.347916666666</x:v>
      </x:c>
      <x:c r="E1848" s="25" t="n">
        <x:v>40589.34166666667</x:v>
      </x:c>
      <x:c r="F1848" s="2" t="n">
        <x:v>298</x:v>
      </x:c>
      <x:c r="G1848" s="2" t="n">
        <x:v>5</x:v>
      </x:c>
      <x:c r="H1848" s="11" t="n">
        <x:v>756.46</x:v>
      </x:c>
      <x:c r="I1848" s="2" t="n">
        <x:v>2</x:v>
      </x:c>
      <x:c r="J1848" s="2" t="n">
        <x:v>4</x:v>
      </x:c>
      <x:c r="K1848" s="2" t="n">
        <x:v>3</x:v>
      </x:c>
      <x:c r="L1848" s="2" t="str">
        <x:v>At risk</x:v>
      </x:c>
    </x:row>
    <x:row r="1849" ht="22" customHeight="1">
      <x:c r="A1849" s="2"/>
      <x:c r="B1849" s="2" t="str">
        <x:v>14177</x:v>
      </x:c>
      <x:c r="C1849" s="2" t="str">
        <x:v>United Kingdom</x:v>
      </x:c>
      <x:c r="D1849" s="25" t="n">
        <x:v>40235.290972222225</x:v>
      </x:c>
      <x:c r="E1849" s="25" t="n">
        <x:v>40800.424305555556</x:v>
      </x:c>
      <x:c r="F1849" s="2" t="n">
        <x:v>87</x:v>
      </x:c>
      <x:c r="G1849" s="2" t="n">
        <x:v>13</x:v>
      </x:c>
      <x:c r="H1849" s="11" t="n">
        <x:v>2229.34</x:v>
      </x:c>
      <x:c r="I1849" s="2" t="n">
        <x:v>3</x:v>
      </x:c>
      <x:c r="J1849" s="2" t="n">
        <x:v>5</x:v>
      </x:c>
      <x:c r="K1849" s="2" t="n">
        <x:v>4</x:v>
      </x:c>
      <x:c r="L1849" s="2" t="str">
        <x:v>Loyal</x:v>
      </x:c>
    </x:row>
    <x:row r="1850" ht="22" customHeight="1">
      <x:c r="A1850" s="2"/>
      <x:c r="B1850" s="2" t="str">
        <x:v>14178</x:v>
      </x:c>
      <x:c r="C1850" s="2" t="str">
        <x:v>United Kingdom</x:v>
      </x:c>
      <x:c r="D1850" s="25" t="n">
        <x:v>40704.32708333333</x:v>
      </x:c>
      <x:c r="E1850" s="25" t="n">
        <x:v>40878.29236111111</x:v>
      </x:c>
      <x:c r="F1850" s="2" t="n">
        <x:v>9</x:v>
      </x:c>
      <x:c r="G1850" s="2" t="n">
        <x:v>7</x:v>
      </x:c>
      <x:c r="H1850" s="11" t="n">
        <x:v>1620.93</x:v>
      </x:c>
      <x:c r="I1850" s="2" t="n">
        <x:v>5</x:v>
      </x:c>
      <x:c r="J1850" s="2" t="n">
        <x:v>4</x:v>
      </x:c>
      <x:c r="K1850" s="2" t="n">
        <x:v>4</x:v>
      </x:c>
      <x:c r="L1850" s="2" t="str">
        <x:v>Champions</x:v>
      </x:c>
    </x:row>
    <x:row r="1851" ht="22" customHeight="1">
      <x:c r="A1851" s="2"/>
      <x:c r="B1851" s="2" t="str">
        <x:v>14179</x:v>
      </x:c>
      <x:c r="C1851" s="2" t="str">
        <x:v>United Kingdom</x:v>
      </x:c>
      <x:c r="D1851" s="25" t="n">
        <x:v>40834.375</x:v>
      </x:c>
      <x:c r="E1851" s="25" t="n">
        <x:v>40846.29652777778</x:v>
      </x:c>
      <x:c r="F1851" s="2" t="n">
        <x:v>41</x:v>
      </x:c>
      <x:c r="G1851" s="2" t="n">
        <x:v>2</x:v>
      </x:c>
      <x:c r="H1851" s="11" t="n">
        <x:v>719.78</x:v>
      </x:c>
      <x:c r="I1851" s="2" t="n">
        <x:v>4</x:v>
      </x:c>
      <x:c r="J1851" s="2" t="n">
        <x:v>2</x:v>
      </x:c>
      <x:c r="K1851" s="2" t="n">
        <x:v>3</x:v>
      </x:c>
      <x:c r="L1851" s="2" t="str">
        <x:v>Recent light buyers</x:v>
      </x:c>
    </x:row>
    <x:row r="1852" ht="22" customHeight="1">
      <x:c r="A1852" s="2"/>
      <x:c r="B1852" s="2" t="str">
        <x:v>14180</x:v>
      </x:c>
      <x:c r="C1852" s="2" t="str">
        <x:v>United Kingdom</x:v>
      </x:c>
      <x:c r="D1852" s="25" t="n">
        <x:v>40338.41388888889</x:v>
      </x:c>
      <x:c r="E1852" s="25" t="n">
        <x:v>40876.24722222222</x:v>
      </x:c>
      <x:c r="F1852" s="2" t="n">
        <x:v>11</x:v>
      </x:c>
      <x:c r="G1852" s="2" t="n">
        <x:v>33</x:v>
      </x:c>
      <x:c r="H1852" s="11" t="n">
        <x:v>6117.5</x:v>
      </x:c>
      <x:c r="I1852" s="2" t="n">
        <x:v>5</x:v>
      </x:c>
      <x:c r="J1852" s="2" t="n">
        <x:v>5</x:v>
      </x:c>
      <x:c r="K1852" s="2" t="n">
        <x:v>5</x:v>
      </x:c>
      <x:c r="L1852" s="2" t="str">
        <x:v>Champions</x:v>
      </x:c>
    </x:row>
    <x:row r="1853" ht="22" customHeight="1">
      <x:c r="A1853" s="2"/>
      <x:c r="B1853" s="2" t="str">
        <x:v>14181</x:v>
      </x:c>
      <x:c r="C1853" s="2" t="str">
        <x:v>United Kingdom</x:v>
      </x:c>
      <x:c r="D1853" s="25" t="n">
        <x:v>40324.313888888886</x:v>
      </x:c>
      <x:c r="E1853" s="25" t="n">
        <x:v>40476.14375</x:v>
      </x:c>
      <x:c r="F1853" s="2" t="n">
        <x:v>411</x:v>
      </x:c>
      <x:c r="G1853" s="2" t="n">
        <x:v>2</x:v>
      </x:c>
      <x:c r="H1853" s="11" t="n">
        <x:v>310.55</x:v>
      </x:c>
      <x:c r="I1853" s="2" t="n">
        <x:v>2</x:v>
      </x:c>
      <x:c r="J1853" s="2" t="n">
        <x:v>2</x:v>
      </x:c>
      <x:c r="K1853" s="2" t="n">
        <x:v>2</x:v>
      </x:c>
      <x:c r="L1853" s="2" t="str">
        <x:v>Hibernating</x:v>
      </x:c>
    </x:row>
    <x:row r="1854" ht="22" customHeight="1">
      <x:c r="A1854" s="2"/>
      <x:c r="B1854" s="2" t="str">
        <x:v>14182</x:v>
      </x:c>
      <x:c r="C1854" s="2" t="str">
        <x:v>United Kingdom</x:v>
      </x:c>
      <x:c r="D1854" s="25" t="n">
        <x:v>40290.441666666666</x:v>
      </x:c>
      <x:c r="E1854" s="25" t="n">
        <x:v>40443.28125</x:v>
      </x:c>
      <x:c r="F1854" s="2" t="n">
        <x:v>444</x:v>
      </x:c>
      <x:c r="G1854" s="2" t="n">
        <x:v>4</x:v>
      </x:c>
      <x:c r="H1854" s="11" t="n">
        <x:v>678.77</x:v>
      </x:c>
      <x:c r="I1854" s="2" t="n">
        <x:v>1</x:v>
      </x:c>
      <x:c r="J1854" s="2" t="n">
        <x:v>3</x:v>
      </x:c>
      <x:c r="K1854" s="2" t="n">
        <x:v>3</x:v>
      </x:c>
      <x:c r="L1854" s="2" t="str">
        <x:v>At risk</x:v>
      </x:c>
    </x:row>
    <x:row r="1855" ht="22" customHeight="1">
      <x:c r="A1855" s="2"/>
      <x:c r="B1855" s="2" t="str">
        <x:v>14183</x:v>
      </x:c>
      <x:c r="C1855" s="2" t="str">
        <x:v>United Kingdom</x:v>
      </x:c>
      <x:c r="D1855" s="25" t="n">
        <x:v>40405.441666666666</x:v>
      </x:c>
      <x:c r="E1855" s="25" t="n">
        <x:v>40475.40625</x:v>
      </x:c>
      <x:c r="F1855" s="2" t="n">
        <x:v>412</x:v>
      </x:c>
      <x:c r="G1855" s="2" t="n">
        <x:v>2</x:v>
      </x:c>
      <x:c r="H1855" s="11" t="n">
        <x:v>286.29</x:v>
      </x:c>
      <x:c r="I1855" s="2" t="n">
        <x:v>1</x:v>
      </x:c>
      <x:c r="J1855" s="2" t="n">
        <x:v>2</x:v>
      </x:c>
      <x:c r="K1855" s="2" t="n">
        <x:v>1</x:v>
      </x:c>
      <x:c r="L1855" s="2" t="str">
        <x:v>Hibernating</x:v>
      </x:c>
    </x:row>
    <x:row r="1856" ht="22" customHeight="1">
      <x:c r="A1856" s="2"/>
      <x:c r="B1856" s="2" t="str">
        <x:v>14184</x:v>
      </x:c>
      <x:c r="C1856" s="2" t="str">
        <x:v>United Kingdom</x:v>
      </x:c>
      <x:c r="D1856" s="25" t="n">
        <x:v>40820.32152777778</x:v>
      </x:c>
      <x:c r="E1856" s="25" t="n">
        <x:v>40820.32152777778</x:v>
      </x:c>
      <x:c r="F1856" s="2" t="n">
        <x:v>67</x:v>
      </x:c>
      <x:c r="G1856" s="2" t="n">
        <x:v>1</x:v>
      </x:c>
      <x:c r="H1856" s="11" t="n">
        <x:v>452.89</x:v>
      </x:c>
      <x:c r="I1856" s="2" t="n">
        <x:v>3</x:v>
      </x:c>
      <x:c r="J1856" s="2" t="n">
        <x:v>1</x:v>
      </x:c>
      <x:c r="K1856" s="2" t="n">
        <x:v>2</x:v>
      </x:c>
      <x:c r="L1856" s="2" t="str">
        <x:v>Developing</x:v>
      </x:c>
    </x:row>
    <x:row r="1857" ht="22" customHeight="1">
      <x:c r="A1857" s="2"/>
      <x:c r="B1857" s="2" t="str">
        <x:v>14185</x:v>
      </x:c>
      <x:c r="C1857" s="2" t="str">
        <x:v>United Kingdom</x:v>
      </x:c>
      <x:c r="D1857" s="25" t="n">
        <x:v>40555.36944444444</x:v>
      </x:c>
      <x:c r="E1857" s="25" t="n">
        <x:v>40555.36944444444</x:v>
      </x:c>
      <x:c r="F1857" s="2" t="n">
        <x:v>332</x:v>
      </x:c>
      <x:c r="G1857" s="2" t="n">
        <x:v>1</x:v>
      </x:c>
      <x:c r="H1857" s="11" t="n">
        <x:v>197.65</x:v>
      </x:c>
      <x:c r="I1857" s="2" t="n">
        <x:v>2</x:v>
      </x:c>
      <x:c r="J1857" s="2" t="n">
        <x:v>1</x:v>
      </x:c>
      <x:c r="K1857" s="2" t="n">
        <x:v>1</x:v>
      </x:c>
      <x:c r="L1857" s="2" t="str">
        <x:v>Hibernating</x:v>
      </x:c>
    </x:row>
    <x:row r="1858" ht="22" customHeight="1">
      <x:c r="A1858" s="2"/>
      <x:c r="B1858" s="2" t="str">
        <x:v>14186</x:v>
      </x:c>
      <x:c r="C1858" s="2" t="str">
        <x:v>United Kingdom</x:v>
      </x:c>
      <x:c r="D1858" s="25" t="n">
        <x:v>40242.26180555556</x:v>
      </x:c>
      <x:c r="E1858" s="25" t="n">
        <x:v>40459.354166666664</x:v>
      </x:c>
      <x:c r="F1858" s="2" t="n">
        <x:v>428</x:v>
      </x:c>
      <x:c r="G1858" s="2" t="n">
        <x:v>5</x:v>
      </x:c>
      <x:c r="H1858" s="11" t="n">
        <x:v>1550.63</x:v>
      </x:c>
      <x:c r="I1858" s="2" t="n">
        <x:v>1</x:v>
      </x:c>
      <x:c r="J1858" s="2" t="n">
        <x:v>4</x:v>
      </x:c>
      <x:c r="K1858" s="2" t="n">
        <x:v>4</x:v>
      </x:c>
      <x:c r="L1858" s="2" t="str">
        <x:v>At risk</x:v>
      </x:c>
    </x:row>
    <x:row r="1859" ht="22" customHeight="1">
      <x:c r="A1859" s="2"/>
      <x:c r="B1859" s="2" t="str">
        <x:v>14187</x:v>
      </x:c>
      <x:c r="C1859" s="2" t="str">
        <x:v>United Kingdom</x:v>
      </x:c>
      <x:c r="D1859" s="25" t="n">
        <x:v>40413.29583333333</x:v>
      </x:c>
      <x:c r="E1859" s="25" t="n">
        <x:v>40413.29583333333</x:v>
      </x:c>
      <x:c r="F1859" s="2" t="n">
        <x:v>474</x:v>
      </x:c>
      <x:c r="G1859" s="2" t="n">
        <x:v>1</x:v>
      </x:c>
      <x:c r="H1859" s="11" t="n">
        <x:v>123.5</x:v>
      </x:c>
      <x:c r="I1859" s="2" t="n">
        <x:v>1</x:v>
      </x:c>
      <x:c r="J1859" s="2" t="n">
        <x:v>1</x:v>
      </x:c>
      <x:c r="K1859" s="2" t="n">
        <x:v>1</x:v>
      </x:c>
      <x:c r="L1859" s="2" t="str">
        <x:v>Hibernating</x:v>
      </x:c>
    </x:row>
    <x:row r="1860" ht="22" customHeight="1">
      <x:c r="A1860" s="2"/>
      <x:c r="B1860" s="2" t="str">
        <x:v>14188</x:v>
      </x:c>
      <x:c r="C1860" s="2" t="str">
        <x:v>United Kingdom</x:v>
      </x:c>
      <x:c r="D1860" s="25" t="n">
        <x:v>40576.365277777775</x:v>
      </x:c>
      <x:c r="E1860" s="25" t="n">
        <x:v>40856.322916666664</x:v>
      </x:c>
      <x:c r="F1860" s="2" t="n">
        <x:v>31</x:v>
      </x:c>
      <x:c r="G1860" s="2" t="n">
        <x:v>6</x:v>
      </x:c>
      <x:c r="H1860" s="11" t="n">
        <x:v>2054.36</x:v>
      </x:c>
      <x:c r="I1860" s="2" t="n">
        <x:v>4</x:v>
      </x:c>
      <x:c r="J1860" s="2" t="n">
        <x:v>4</x:v>
      </x:c>
      <x:c r="K1860" s="2" t="n">
        <x:v>4</x:v>
      </x:c>
      <x:c r="L1860" s="2" t="str">
        <x:v>Champions</x:v>
      </x:c>
    </x:row>
    <x:row r="1861" ht="22" customHeight="1">
      <x:c r="A1861" s="2"/>
      <x:c r="B1861" s="2" t="str">
        <x:v>14189</x:v>
      </x:c>
      <x:c r="C1861" s="2" t="str">
        <x:v>United Kingdom</x:v>
      </x:c>
      <x:c r="D1861" s="25" t="n">
        <x:v>40498.186111111114</x:v>
      </x:c>
      <x:c r="E1861" s="25" t="n">
        <x:v>40884.45486111111</x:v>
      </x:c>
      <x:c r="F1861" s="2" t="n">
        <x:v>3</x:v>
      </x:c>
      <x:c r="G1861" s="2" t="n">
        <x:v>16</x:v>
      </x:c>
      <x:c r="H1861" s="11" t="n">
        <x:v>5503.15</x:v>
      </x:c>
      <x:c r="I1861" s="2" t="n">
        <x:v>5</x:v>
      </x:c>
      <x:c r="J1861" s="2" t="n">
        <x:v>5</x:v>
      </x:c>
      <x:c r="K1861" s="2" t="n">
        <x:v>5</x:v>
      </x:c>
      <x:c r="L1861" s="2" t="str">
        <x:v>Champions</x:v>
      </x:c>
    </x:row>
    <x:row r="1862" ht="22" customHeight="1">
      <x:c r="A1862" s="2"/>
      <x:c r="B1862" s="2" t="str">
        <x:v>14190</x:v>
      </x:c>
      <x:c r="C1862" s="2" t="str">
        <x:v>United Kingdom</x:v>
      </x:c>
      <x:c r="D1862" s="25" t="n">
        <x:v>40220.39375</x:v>
      </x:c>
      <x:c r="E1862" s="25" t="n">
        <x:v>40220.39375</x:v>
      </x:c>
      <x:c r="F1862" s="2" t="n">
        <x:v>667</x:v>
      </x:c>
      <x:c r="G1862" s="2" t="n">
        <x:v>1</x:v>
      </x:c>
      <x:c r="H1862" s="11" t="n">
        <x:v>79.9</x:v>
      </x:c>
      <x:c r="I1862" s="2" t="n">
        <x:v>1</x:v>
      </x:c>
      <x:c r="J1862" s="2" t="n">
        <x:v>1</x:v>
      </x:c>
      <x:c r="K1862" s="2" t="n">
        <x:v>1</x:v>
      </x:c>
      <x:c r="L1862" s="2" t="str">
        <x:v>Hibernating</x:v>
      </x:c>
    </x:row>
    <x:row r="1863" ht="22" customHeight="1">
      <x:c r="A1863" s="2"/>
      <x:c r="B1863" s="2" t="str">
        <x:v>14191</x:v>
      </x:c>
      <x:c r="C1863" s="2" t="str">
        <x:v>United Kingdom</x:v>
      </x:c>
      <x:c r="D1863" s="25" t="n">
        <x:v>40158.24166666667</x:v>
      </x:c>
      <x:c r="E1863" s="25" t="n">
        <x:v>40885.18263888889</x:v>
      </x:c>
      <x:c r="F1863" s="2" t="n">
        <x:v>2</x:v>
      </x:c>
      <x:c r="G1863" s="2" t="n">
        <x:v>15</x:v>
      </x:c>
      <x:c r="H1863" s="11" t="n">
        <x:v>4817.66</x:v>
      </x:c>
      <x:c r="I1863" s="2" t="n">
        <x:v>5</x:v>
      </x:c>
      <x:c r="J1863" s="2" t="n">
        <x:v>5</x:v>
      </x:c>
      <x:c r="K1863" s="2" t="n">
        <x:v>5</x:v>
      </x:c>
      <x:c r="L1863" s="2" t="str">
        <x:v>Champions</x:v>
      </x:c>
    </x:row>
    <x:row r="1864" ht="22" customHeight="1">
      <x:c r="A1864" s="2"/>
      <x:c r="B1864" s="2" t="str">
        <x:v>14192</x:v>
      </x:c>
      <x:c r="C1864" s="2" t="str">
        <x:v>United Kingdom</x:v>
      </x:c>
      <x:c r="D1864" s="25" t="n">
        <x:v>40498.53055555555</x:v>
      </x:c>
      <x:c r="E1864" s="25" t="n">
        <x:v>40498.53055555555</x:v>
      </x:c>
      <x:c r="F1864" s="2" t="n">
        <x:v>389</x:v>
      </x:c>
      <x:c r="G1864" s="2" t="n">
        <x:v>1</x:v>
      </x:c>
      <x:c r="H1864" s="11" t="n">
        <x:v>293.74</x:v>
      </x:c>
      <x:c r="I1864" s="2" t="n">
        <x:v>2</x:v>
      </x:c>
      <x:c r="J1864" s="2" t="n">
        <x:v>1</x:v>
      </x:c>
      <x:c r="K1864" s="2" t="n">
        <x:v>2</x:v>
      </x:c>
      <x:c r="L1864" s="2" t="str">
        <x:v>Hibernating</x:v>
      </x:c>
    </x:row>
    <x:row r="1865" ht="22" customHeight="1">
      <x:c r="A1865" s="2"/>
      <x:c r="B1865" s="2" t="str">
        <x:v>14193</x:v>
      </x:c>
      <x:c r="C1865" s="2" t="str">
        <x:v>United Kingdom</x:v>
      </x:c>
      <x:c r="D1865" s="25" t="n">
        <x:v>40490.31319444445</x:v>
      </x:c>
      <x:c r="E1865" s="25" t="n">
        <x:v>40819.19027777778</x:v>
      </x:c>
      <x:c r="F1865" s="2" t="n">
        <x:v>68</x:v>
      </x:c>
      <x:c r="G1865" s="2" t="n">
        <x:v>3</x:v>
      </x:c>
      <x:c r="H1865" s="11" t="n">
        <x:v>1210.19</x:v>
      </x:c>
      <x:c r="I1865" s="2" t="n">
        <x:v>3</x:v>
      </x:c>
      <x:c r="J1865" s="2" t="n">
        <x:v>3</x:v>
      </x:c>
      <x:c r="K1865" s="2" t="n">
        <x:v>3</x:v>
      </x:c>
      <x:c r="L1865" s="2" t="str">
        <x:v>Loyal</x:v>
      </x:c>
    </x:row>
    <x:row r="1866" ht="22" customHeight="1">
      <x:c r="A1866" s="2"/>
      <x:c r="B1866" s="2" t="str">
        <x:v>14194</x:v>
      </x:c>
      <x:c r="C1866" s="2" t="str">
        <x:v>United Kingdom</x:v>
      </x:c>
      <x:c r="D1866" s="25" t="n">
        <x:v>40184.302777777775</x:v>
      </x:c>
      <x:c r="E1866" s="25" t="n">
        <x:v>40882.23472222222</x:v>
      </x:c>
      <x:c r="F1866" s="2" t="n">
        <x:v>5</x:v>
      </x:c>
      <x:c r="G1866" s="2" t="n">
        <x:v>36</x:v>
      </x:c>
      <x:c r="H1866" s="11" t="n">
        <x:v>18670.59</x:v>
      </x:c>
      <x:c r="I1866" s="2" t="n">
        <x:v>5</x:v>
      </x:c>
      <x:c r="J1866" s="2" t="n">
        <x:v>5</x:v>
      </x:c>
      <x:c r="K1866" s="2" t="n">
        <x:v>5</x:v>
      </x:c>
      <x:c r="L1866" s="2" t="str">
        <x:v>Champions</x:v>
      </x:c>
    </x:row>
    <x:row r="1867" ht="22" customHeight="1">
      <x:c r="A1867" s="2"/>
      <x:c r="B1867" s="2" t="str">
        <x:v>14195</x:v>
      </x:c>
      <x:c r="C1867" s="2" t="str">
        <x:v>United Kingdom</x:v>
      </x:c>
      <x:c r="D1867" s="25" t="n">
        <x:v>40252.50833333333</x:v>
      </x:c>
      <x:c r="E1867" s="25" t="n">
        <x:v>40685.228472222225</x:v>
      </x:c>
      <x:c r="F1867" s="2" t="n">
        <x:v>202</x:v>
      </x:c>
      <x:c r="G1867" s="2" t="n">
        <x:v>6</x:v>
      </x:c>
      <x:c r="H1867" s="11" t="n">
        <x:v>2615.6</x:v>
      </x:c>
      <x:c r="I1867" s="2" t="n">
        <x:v>2</x:v>
      </x:c>
      <x:c r="J1867" s="2" t="n">
        <x:v>4</x:v>
      </x:c>
      <x:c r="K1867" s="2" t="n">
        <x:v>4</x:v>
      </x:c>
      <x:c r="L1867" s="2" t="str">
        <x:v>At risk</x:v>
      </x:c>
    </x:row>
    <x:row r="1868" ht="22" customHeight="1">
      <x:c r="A1868" s="2"/>
      <x:c r="B1868" s="2" t="str">
        <x:v>14196</x:v>
      </x:c>
      <x:c r="C1868" s="2" t="str">
        <x:v>United Kingdom</x:v>
      </x:c>
      <x:c r="D1868" s="25" t="n">
        <x:v>40780.225694444445</x:v>
      </x:c>
      <x:c r="E1868" s="25" t="n">
        <x:v>40780.225694444445</x:v>
      </x:c>
      <x:c r="F1868" s="2" t="n">
        <x:v>107</x:v>
      </x:c>
      <x:c r="G1868" s="2" t="n">
        <x:v>1</x:v>
      </x:c>
      <x:c r="H1868" s="11" t="n">
        <x:v>335.52</x:v>
      </x:c>
      <x:c r="I1868" s="2" t="n">
        <x:v>3</x:v>
      </x:c>
      <x:c r="J1868" s="2" t="n">
        <x:v>1</x:v>
      </x:c>
      <x:c r="K1868" s="2" t="n">
        <x:v>2</x:v>
      </x:c>
      <x:c r="L1868" s="2" t="str">
        <x:v>Developing</x:v>
      </x:c>
    </x:row>
    <x:row r="1869" ht="22" customHeight="1">
      <x:c r="A1869" s="2"/>
      <x:c r="B1869" s="2" t="str">
        <x:v>14197</x:v>
      </x:c>
      <x:c r="C1869" s="2" t="str">
        <x:v>United Kingdom</x:v>
      </x:c>
      <x:c r="D1869" s="25" t="n">
        <x:v>40476.209027777775</x:v>
      </x:c>
      <x:c r="E1869" s="25" t="n">
        <x:v>40476.209027777775</x:v>
      </x:c>
      <x:c r="F1869" s="2" t="n">
        <x:v>411</x:v>
      </x:c>
      <x:c r="G1869" s="2" t="n">
        <x:v>1</x:v>
      </x:c>
      <x:c r="H1869" s="11" t="n">
        <x:v>390.05</x:v>
      </x:c>
      <x:c r="I1869" s="2" t="n">
        <x:v>2</x:v>
      </x:c>
      <x:c r="J1869" s="2" t="n">
        <x:v>1</x:v>
      </x:c>
      <x:c r="K1869" s="2" t="n">
        <x:v>2</x:v>
      </x:c>
      <x:c r="L1869" s="2" t="str">
        <x:v>Hibernating</x:v>
      </x:c>
    </x:row>
    <x:row r="1870" ht="22" customHeight="1">
      <x:c r="A1870" s="2"/>
      <x:c r="B1870" s="2" t="str">
        <x:v>14198</x:v>
      </x:c>
      <x:c r="C1870" s="2" t="str">
        <x:v>United Kingdom</x:v>
      </x:c>
      <x:c r="D1870" s="25" t="n">
        <x:v>40183.21319444444</x:v>
      </x:c>
      <x:c r="E1870" s="25" t="n">
        <x:v>40868.48263888889</x:v>
      </x:c>
      <x:c r="F1870" s="2" t="n">
        <x:v>19</x:v>
      </x:c>
      <x:c r="G1870" s="2" t="n">
        <x:v>9</x:v>
      </x:c>
      <x:c r="H1870" s="11" t="n">
        <x:v>1569.73</x:v>
      </x:c>
      <x:c r="I1870" s="2" t="n">
        <x:v>5</x:v>
      </x:c>
      <x:c r="J1870" s="2" t="n">
        <x:v>5</x:v>
      </x:c>
      <x:c r="K1870" s="2" t="n">
        <x:v>4</x:v>
      </x:c>
      <x:c r="L1870" s="2" t="str">
        <x:v>Champions</x:v>
      </x:c>
    </x:row>
    <x:row r="1871" ht="22" customHeight="1">
      <x:c r="A1871" s="2"/>
      <x:c r="B1871" s="2" t="str">
        <x:v>14199</x:v>
      </x:c>
      <x:c r="C1871" s="2" t="str">
        <x:v>United Kingdom</x:v>
      </x:c>
      <x:c r="D1871" s="25" t="n">
        <x:v>40356.30069444444</x:v>
      </x:c>
      <x:c r="E1871" s="25" t="n">
        <x:v>40668.36388888889</x:v>
      </x:c>
      <x:c r="F1871" s="2" t="n">
        <x:v>219</x:v>
      </x:c>
      <x:c r="G1871" s="2" t="n">
        <x:v>4</x:v>
      </x:c>
      <x:c r="H1871" s="11" t="n">
        <x:v>1091.7</x:v>
      </x:c>
      <x:c r="I1871" s="2" t="n">
        <x:v>2</x:v>
      </x:c>
      <x:c r="J1871" s="2" t="n">
        <x:v>3</x:v>
      </x:c>
      <x:c r="K1871" s="2" t="n">
        <x:v>3</x:v>
      </x:c>
      <x:c r="L1871" s="2" t="str">
        <x:v>At risk</x:v>
      </x:c>
    </x:row>
    <x:row r="1872" ht="22" customHeight="1">
      <x:c r="A1872" s="2"/>
      <x:c r="B1872" s="2" t="str">
        <x:v>14200</x:v>
      </x:c>
      <x:c r="C1872" s="2" t="str">
        <x:v>United Kingdom</x:v>
      </x:c>
      <x:c r="D1872" s="25" t="n">
        <x:v>40269.334027777775</x:v>
      </x:c>
      <x:c r="E1872" s="25" t="n">
        <x:v>40269.334027777775</x:v>
      </x:c>
      <x:c r="F1872" s="2" t="n">
        <x:v>618</x:v>
      </x:c>
      <x:c r="G1872" s="2" t="n">
        <x:v>1</x:v>
      </x:c>
      <x:c r="H1872" s="11" t="n">
        <x:v>379.2</x:v>
      </x:c>
      <x:c r="I1872" s="2" t="n">
        <x:v>1</x:v>
      </x:c>
      <x:c r="J1872" s="2" t="n">
        <x:v>1</x:v>
      </x:c>
      <x:c r="K1872" s="2" t="n">
        <x:v>2</x:v>
      </x:c>
      <x:c r="L1872" s="2" t="str">
        <x:v>Hibernating</x:v>
      </x:c>
    </x:row>
    <x:row r="1873" ht="22" customHeight="1">
      <x:c r="A1873" s="2"/>
      <x:c r="B1873" s="2" t="str">
        <x:v>14201</x:v>
      </x:c>
      <x:c r="C1873" s="2" t="str">
        <x:v>United Kingdom</x:v>
      </x:c>
      <x:c r="D1873" s="25" t="n">
        <x:v>40298.333333333336</x:v>
      </x:c>
      <x:c r="E1873" s="25" t="n">
        <x:v>40826.35208333333</x:v>
      </x:c>
      <x:c r="F1873" s="2" t="n">
        <x:v>61</x:v>
      </x:c>
      <x:c r="G1873" s="2" t="n">
        <x:v>10</x:v>
      </x:c>
      <x:c r="H1873" s="11" t="n">
        <x:v>1193.54</x:v>
      </x:c>
      <x:c r="I1873" s="2" t="n">
        <x:v>3</x:v>
      </x:c>
      <x:c r="J1873" s="2" t="n">
        <x:v>5</x:v>
      </x:c>
      <x:c r="K1873" s="2" t="n">
        <x:v>3</x:v>
      </x:c>
      <x:c r="L1873" s="2" t="str">
        <x:v>Loyal</x:v>
      </x:c>
    </x:row>
    <x:row r="1874" ht="22" customHeight="1">
      <x:c r="A1874" s="2"/>
      <x:c r="B1874" s="2" t="str">
        <x:v>14202</x:v>
      </x:c>
      <x:c r="C1874" s="2" t="str">
        <x:v>United Kingdom</x:v>
      </x:c>
      <x:c r="D1874" s="25" t="n">
        <x:v>40262.23333333333</x:v>
      </x:c>
      <x:c r="E1874" s="25" t="n">
        <x:v>40505.50902777778</x:v>
      </x:c>
      <x:c r="F1874" s="2" t="n">
        <x:v>382</x:v>
      </x:c>
      <x:c r="G1874" s="2" t="n">
        <x:v>3</x:v>
      </x:c>
      <x:c r="H1874" s="11" t="n">
        <x:v>847.76</x:v>
      </x:c>
      <x:c r="I1874" s="2" t="n">
        <x:v>2</x:v>
      </x:c>
      <x:c r="J1874" s="2" t="n">
        <x:v>3</x:v>
      </x:c>
      <x:c r="K1874" s="2" t="n">
        <x:v>3</x:v>
      </x:c>
      <x:c r="L1874" s="2" t="str">
        <x:v>At risk</x:v>
      </x:c>
    </x:row>
    <x:row r="1875" ht="22" customHeight="1">
      <x:c r="A1875" s="2"/>
      <x:c r="B1875" s="2" t="str">
        <x:v>14203</x:v>
      </x:c>
      <x:c r="C1875" s="2" t="str">
        <x:v>United Kingdom</x:v>
      </x:c>
      <x:c r="D1875" s="25" t="n">
        <x:v>40489.35763888889</x:v>
      </x:c>
      <x:c r="E1875" s="25" t="n">
        <x:v>40489.35763888889</x:v>
      </x:c>
      <x:c r="F1875" s="2" t="n">
        <x:v>398</x:v>
      </x:c>
      <x:c r="G1875" s="2" t="n">
        <x:v>1</x:v>
      </x:c>
      <x:c r="H1875" s="11" t="n">
        <x:v>339.34</x:v>
      </x:c>
      <x:c r="I1875" s="2" t="n">
        <x:v>2</x:v>
      </x:c>
      <x:c r="J1875" s="2" t="n">
        <x:v>1</x:v>
      </x:c>
      <x:c r="K1875" s="2" t="n">
        <x:v>2</x:v>
      </x:c>
      <x:c r="L1875" s="2" t="str">
        <x:v>Hibernating</x:v>
      </x:c>
    </x:row>
    <x:row r="1876" ht="22" customHeight="1">
      <x:c r="A1876" s="2"/>
      <x:c r="B1876" s="2" t="str">
        <x:v>14204</x:v>
      </x:c>
      <x:c r="C1876" s="2" t="str">
        <x:v>United Kingdom</x:v>
      </x:c>
      <x:c r="D1876" s="25" t="n">
        <x:v>40149.35138888889</x:v>
      </x:c>
      <x:c r="E1876" s="25" t="n">
        <x:v>40884.35972222222</x:v>
      </x:c>
      <x:c r="F1876" s="2" t="n">
        <x:v>3</x:v>
      </x:c>
      <x:c r="G1876" s="2" t="n">
        <x:v>4</x:v>
      </x:c>
      <x:c r="H1876" s="11" t="n">
        <x:v>1062.96</x:v>
      </x:c>
      <x:c r="I1876" s="2" t="n">
        <x:v>5</x:v>
      </x:c>
      <x:c r="J1876" s="2" t="n">
        <x:v>3</x:v>
      </x:c>
      <x:c r="K1876" s="2" t="n">
        <x:v>3</x:v>
      </x:c>
      <x:c r="L1876" s="2" t="str">
        <x:v>Loyal</x:v>
      </x:c>
    </x:row>
    <x:row r="1877" ht="22" customHeight="1">
      <x:c r="A1877" s="2"/>
      <x:c r="B1877" s="2" t="str">
        <x:v>14205</x:v>
      </x:c>
      <x:c r="C1877" s="2" t="str">
        <x:v>United Kingdom</x:v>
      </x:c>
      <x:c r="D1877" s="25" t="n">
        <x:v>40244.305555555555</x:v>
      </x:c>
      <x:c r="E1877" s="25" t="n">
        <x:v>40870.24652777778</x:v>
      </x:c>
      <x:c r="F1877" s="2" t="n">
        <x:v>17</x:v>
      </x:c>
      <x:c r="G1877" s="2" t="n">
        <x:v>9</x:v>
      </x:c>
      <x:c r="H1877" s="11" t="n">
        <x:v>2414.2</x:v>
      </x:c>
      <x:c r="I1877" s="2" t="n">
        <x:v>5</x:v>
      </x:c>
      <x:c r="J1877" s="2" t="n">
        <x:v>5</x:v>
      </x:c>
      <x:c r="K1877" s="2" t="n">
        <x:v>4</x:v>
      </x:c>
      <x:c r="L1877" s="2" t="str">
        <x:v>Champions</x:v>
      </x:c>
    </x:row>
    <x:row r="1878" ht="22" customHeight="1">
      <x:c r="A1878" s="2"/>
      <x:c r="B1878" s="2" t="str">
        <x:v>14206</x:v>
      </x:c>
      <x:c r="C1878" s="2" t="str">
        <x:v>United Kingdom</x:v>
      </x:c>
      <x:c r="D1878" s="25" t="n">
        <x:v>40484.27569444444</x:v>
      </x:c>
      <x:c r="E1878" s="25" t="n">
        <x:v>40647.48472222222</x:v>
      </x:c>
      <x:c r="F1878" s="2" t="n">
        <x:v>240</x:v>
      </x:c>
      <x:c r="G1878" s="2" t="n">
        <x:v>3</x:v>
      </x:c>
      <x:c r="H1878" s="11" t="n">
        <x:v>1185.01</x:v>
      </x:c>
      <x:c r="I1878" s="2" t="n">
        <x:v>2</x:v>
      </x:c>
      <x:c r="J1878" s="2" t="n">
        <x:v>3</x:v>
      </x:c>
      <x:c r="K1878" s="2" t="n">
        <x:v>3</x:v>
      </x:c>
      <x:c r="L1878" s="2" t="str">
        <x:v>At risk</x:v>
      </x:c>
    </x:row>
    <x:row r="1879" ht="22" customHeight="1">
      <x:c r="A1879" s="2"/>
      <x:c r="B1879" s="2" t="str">
        <x:v>14207</x:v>
      </x:c>
      <x:c r="C1879" s="2" t="str">
        <x:v>United Kingdom</x:v>
      </x:c>
      <x:c r="D1879" s="25" t="n">
        <x:v>40199.18958333333</x:v>
      </x:c>
      <x:c r="E1879" s="25" t="n">
        <x:v>40199.18958333333</x:v>
      </x:c>
      <x:c r="F1879" s="2" t="n">
        <x:v>688</x:v>
      </x:c>
      <x:c r="G1879" s="2" t="n">
        <x:v>1</x:v>
      </x:c>
      <x:c r="H1879" s="11" t="n">
        <x:v>157.8</x:v>
      </x:c>
      <x:c r="I1879" s="2" t="n">
        <x:v>1</x:v>
      </x:c>
      <x:c r="J1879" s="2" t="n">
        <x:v>1</x:v>
      </x:c>
      <x:c r="K1879" s="2" t="n">
        <x:v>1</x:v>
      </x:c>
      <x:c r="L1879" s="2" t="str">
        <x:v>Hibernating</x:v>
      </x:c>
    </x:row>
    <x:row r="1880" ht="22" customHeight="1">
      <x:c r="A1880" s="2"/>
      <x:c r="B1880" s="2" t="str">
        <x:v>14208</x:v>
      </x:c>
      <x:c r="C1880" s="2" t="str">
        <x:v>United Kingdom</x:v>
      </x:c>
      <x:c r="D1880" s="25" t="n">
        <x:v>40335.34097222222</x:v>
      </x:c>
      <x:c r="E1880" s="25" t="n">
        <x:v>40792.325</x:v>
      </x:c>
      <x:c r="F1880" s="2" t="n">
        <x:v>95</x:v>
      </x:c>
      <x:c r="G1880" s="2" t="n">
        <x:v>2</x:v>
      </x:c>
      <x:c r="H1880" s="11" t="n">
        <x:v>567.05</x:v>
      </x:c>
      <x:c r="I1880" s="2" t="n">
        <x:v>3</x:v>
      </x:c>
      <x:c r="J1880" s="2" t="n">
        <x:v>2</x:v>
      </x:c>
      <x:c r="K1880" s="2" t="n">
        <x:v>2</x:v>
      </x:c>
      <x:c r="L1880" s="2" t="str">
        <x:v>Developing</x:v>
      </x:c>
    </x:row>
    <x:row r="1881" ht="22" customHeight="1">
      <x:c r="A1881" s="2"/>
      <x:c r="B1881" s="2" t="str">
        <x:v>14209</x:v>
      </x:c>
      <x:c r="C1881" s="2" t="str">
        <x:v>United Kingdom</x:v>
      </x:c>
      <x:c r="D1881" s="25" t="n">
        <x:v>40200.22777777778</x:v>
      </x:c>
      <x:c r="E1881" s="25" t="n">
        <x:v>40876.22083333333</x:v>
      </x:c>
      <x:c r="F1881" s="2" t="n">
        <x:v>11</x:v>
      </x:c>
      <x:c r="G1881" s="2" t="n">
        <x:v>15</x:v>
      </x:c>
      <x:c r="H1881" s="11" t="n">
        <x:v>4993.27</x:v>
      </x:c>
      <x:c r="I1881" s="2" t="n">
        <x:v>5</x:v>
      </x:c>
      <x:c r="J1881" s="2" t="n">
        <x:v>5</x:v>
      </x:c>
      <x:c r="K1881" s="2" t="n">
        <x:v>5</x:v>
      </x:c>
      <x:c r="L1881" s="2" t="str">
        <x:v>Champions</x:v>
      </x:c>
    </x:row>
    <x:row r="1882" ht="22" customHeight="1">
      <x:c r="A1882" s="2"/>
      <x:c r="B1882" s="2" t="str">
        <x:v>14210</x:v>
      </x:c>
      <x:c r="C1882" s="2" t="str">
        <x:v>United Kingdom</x:v>
      </x:c>
      <x:c r="D1882" s="25" t="n">
        <x:v>40184.220138888886</x:v>
      </x:c>
      <x:c r="E1882" s="25" t="n">
        <x:v>40781.316666666666</x:v>
      </x:c>
      <x:c r="F1882" s="2" t="n">
        <x:v>106</x:v>
      </x:c>
      <x:c r="G1882" s="2" t="n">
        <x:v>16</x:v>
      </x:c>
      <x:c r="H1882" s="11" t="n">
        <x:v>5556.57</x:v>
      </x:c>
      <x:c r="I1882" s="2" t="n">
        <x:v>3</x:v>
      </x:c>
      <x:c r="J1882" s="2" t="n">
        <x:v>5</x:v>
      </x:c>
      <x:c r="K1882" s="2" t="n">
        <x:v>5</x:v>
      </x:c>
      <x:c r="L1882" s="2" t="str">
        <x:v>Loyal</x:v>
      </x:c>
    </x:row>
    <x:row r="1883" ht="22" customHeight="1">
      <x:c r="A1883" s="2"/>
      <x:c r="B1883" s="2" t="str">
        <x:v>14211</x:v>
      </x:c>
      <x:c r="C1883" s="2" t="str">
        <x:v>United Kingdom</x:v>
      </x:c>
      <x:c r="D1883" s="25" t="n">
        <x:v>40156.325</x:v>
      </x:c>
      <x:c r="E1883" s="25" t="n">
        <x:v>40833.34930555556</x:v>
      </x:c>
      <x:c r="F1883" s="2" t="n">
        <x:v>54</x:v>
      </x:c>
      <x:c r="G1883" s="2" t="n">
        <x:v>18</x:v>
      </x:c>
      <x:c r="H1883" s="11" t="n">
        <x:v>4402.29</x:v>
      </x:c>
      <x:c r="I1883" s="2" t="n">
        <x:v>4</x:v>
      </x:c>
      <x:c r="J1883" s="2" t="n">
        <x:v>5</x:v>
      </x:c>
      <x:c r="K1883" s="2" t="n">
        <x:v>5</x:v>
      </x:c>
      <x:c r="L1883" s="2" t="str">
        <x:v>Champions</x:v>
      </x:c>
    </x:row>
    <x:row r="1884" ht="22" customHeight="1">
      <x:c r="A1884" s="2"/>
      <x:c r="B1884" s="2" t="str">
        <x:v>14212</x:v>
      </x:c>
      <x:c r="C1884" s="2" t="str">
        <x:v>United Kingdom</x:v>
      </x:c>
      <x:c r="D1884" s="25" t="n">
        <x:v>40441.28333333333</x:v>
      </x:c>
      <x:c r="E1884" s="25" t="n">
        <x:v>40797.322916666664</x:v>
      </x:c>
      <x:c r="F1884" s="2" t="n">
        <x:v>90</x:v>
      </x:c>
      <x:c r="G1884" s="2" t="n">
        <x:v>2</x:v>
      </x:c>
      <x:c r="H1884" s="11" t="n">
        <x:v>2190.14</x:v>
      </x:c>
      <x:c r="I1884" s="2" t="n">
        <x:v>3</x:v>
      </x:c>
      <x:c r="J1884" s="2" t="n">
        <x:v>2</x:v>
      </x:c>
      <x:c r="K1884" s="2" t="n">
        <x:v>4</x:v>
      </x:c>
      <x:c r="L1884" s="2" t="str">
        <x:v>Developing</x:v>
      </x:c>
    </x:row>
    <x:row r="1885" ht="22" customHeight="1">
      <x:c r="A1885" s="2"/>
      <x:c r="B1885" s="2" t="str">
        <x:v>14213</x:v>
      </x:c>
      <x:c r="C1885" s="2" t="str">
        <x:v>United Kingdom</x:v>
      </x:c>
      <x:c r="D1885" s="25" t="n">
        <x:v>40482.23402777778</x:v>
      </x:c>
      <x:c r="E1885" s="25" t="n">
        <x:v>40482.23402777778</x:v>
      </x:c>
      <x:c r="F1885" s="2" t="n">
        <x:v>405</x:v>
      </x:c>
      <x:c r="G1885" s="2" t="n">
        <x:v>1</x:v>
      </x:c>
      <x:c r="H1885" s="11" t="n">
        <x:v>1192.2</x:v>
      </x:c>
      <x:c r="I1885" s="2" t="n">
        <x:v>2</x:v>
      </x:c>
      <x:c r="J1885" s="2" t="n">
        <x:v>1</x:v>
      </x:c>
      <x:c r="K1885" s="2" t="n">
        <x:v>3</x:v>
      </x:c>
      <x:c r="L1885" s="2" t="str">
        <x:v>Hibernating</x:v>
      </x:c>
    </x:row>
    <x:row r="1886" ht="22" customHeight="1">
      <x:c r="A1886" s="2"/>
      <x:c r="B1886" s="2" t="str">
        <x:v>14214</x:v>
      </x:c>
      <x:c r="C1886" s="2" t="str">
        <x:v>United Kingdom</x:v>
      </x:c>
      <x:c r="D1886" s="25" t="n">
        <x:v>40609.30972222222</x:v>
      </x:c>
      <x:c r="E1886" s="25" t="n">
        <x:v>40856.22986111111</x:v>
      </x:c>
      <x:c r="F1886" s="2" t="n">
        <x:v>31</x:v>
      </x:c>
      <x:c r="G1886" s="2" t="n">
        <x:v>5</x:v>
      </x:c>
      <x:c r="H1886" s="11" t="n">
        <x:v>1004.38</x:v>
      </x:c>
      <x:c r="I1886" s="2" t="n">
        <x:v>4</x:v>
      </x:c>
      <x:c r="J1886" s="2" t="n">
        <x:v>4</x:v>
      </x:c>
      <x:c r="K1886" s="2" t="n">
        <x:v>3</x:v>
      </x:c>
      <x:c r="L1886" s="2" t="str">
        <x:v>Loyal</x:v>
      </x:c>
    </x:row>
    <x:row r="1887" ht="22" customHeight="1">
      <x:c r="A1887" s="2"/>
      <x:c r="B1887" s="2" t="str">
        <x:v>14215</x:v>
      </x:c>
      <x:c r="C1887" s="2" t="str">
        <x:v>United Kingdom</x:v>
      </x:c>
      <x:c r="D1887" s="25" t="n">
        <x:v>40155.19097222222</x:v>
      </x:c>
      <x:c r="E1887" s="25" t="n">
        <x:v>40875.30486111111</x:v>
      </x:c>
      <x:c r="F1887" s="2" t="n">
        <x:v>12</x:v>
      </x:c>
      <x:c r="G1887" s="2" t="n">
        <x:v>9</x:v>
      </x:c>
      <x:c r="H1887" s="11" t="n">
        <x:v>3250.33</x:v>
      </x:c>
      <x:c r="I1887" s="2" t="n">
        <x:v>5</x:v>
      </x:c>
      <x:c r="J1887" s="2" t="n">
        <x:v>5</x:v>
      </x:c>
      <x:c r="K1887" s="2" t="n">
        <x:v>5</x:v>
      </x:c>
      <x:c r="L1887" s="2" t="str">
        <x:v>Champions</x:v>
      </x:c>
    </x:row>
    <x:row r="1888" ht="22" customHeight="1">
      <x:c r="A1888" s="2"/>
      <x:c r="B1888" s="2" t="str">
        <x:v>14216</x:v>
      </x:c>
      <x:c r="C1888" s="2" t="str">
        <x:v>United Kingdom</x:v>
      </x:c>
      <x:c r="D1888" s="25" t="n">
        <x:v>40472.42152777778</x:v>
      </x:c>
      <x:c r="E1888" s="25" t="n">
        <x:v>40883.41388888889</x:v>
      </x:c>
      <x:c r="F1888" s="2" t="n">
        <x:v>4</x:v>
      </x:c>
      <x:c r="G1888" s="2" t="n">
        <x:v>5</x:v>
      </x:c>
      <x:c r="H1888" s="11" t="n">
        <x:v>2150.04</x:v>
      </x:c>
      <x:c r="I1888" s="2" t="n">
        <x:v>5</x:v>
      </x:c>
      <x:c r="J1888" s="2" t="n">
        <x:v>4</x:v>
      </x:c>
      <x:c r="K1888" s="2" t="n">
        <x:v>4</x:v>
      </x:c>
      <x:c r="L1888" s="2" t="str">
        <x:v>Champions</x:v>
      </x:c>
    </x:row>
    <x:row r="1889" ht="22" customHeight="1">
      <x:c r="A1889" s="2"/>
      <x:c r="B1889" s="2" t="str">
        <x:v>14217</x:v>
      </x:c>
      <x:c r="C1889" s="2" t="str">
        <x:v>United Kingdom</x:v>
      </x:c>
      <x:c r="D1889" s="25" t="n">
        <x:v>40359.32916666667</x:v>
      </x:c>
      <x:c r="E1889" s="25" t="n">
        <x:v>40885.28680555556</x:v>
      </x:c>
      <x:c r="F1889" s="2" t="n">
        <x:v>2</x:v>
      </x:c>
      <x:c r="G1889" s="2" t="n">
        <x:v>23</x:v>
      </x:c>
      <x:c r="H1889" s="11" t="n">
        <x:v>3298.59</x:v>
      </x:c>
      <x:c r="I1889" s="2" t="n">
        <x:v>5</x:v>
      </x:c>
      <x:c r="J1889" s="2" t="n">
        <x:v>5</x:v>
      </x:c>
      <x:c r="K1889" s="2" t="n">
        <x:v>5</x:v>
      </x:c>
      <x:c r="L1889" s="2" t="str">
        <x:v>Champions</x:v>
      </x:c>
    </x:row>
    <x:row r="1890" ht="22" customHeight="1">
      <x:c r="A1890" s="2"/>
      <x:c r="B1890" s="2" t="str">
        <x:v>14218</x:v>
      </x:c>
      <x:c r="C1890" s="2" t="str">
        <x:v>United Kingdom</x:v>
      </x:c>
      <x:c r="D1890" s="25" t="n">
        <x:v>40844.208333333336</x:v>
      </x:c>
      <x:c r="E1890" s="25" t="n">
        <x:v>40844.208333333336</x:v>
      </x:c>
      <x:c r="F1890" s="2" t="n">
        <x:v>43</x:v>
      </x:c>
      <x:c r="G1890" s="2" t="n">
        <x:v>1</x:v>
      </x:c>
      <x:c r="H1890" s="11" t="n">
        <x:v>169.48</x:v>
      </x:c>
      <x:c r="I1890" s="2" t="n">
        <x:v>4</x:v>
      </x:c>
      <x:c r="J1890" s="2" t="n">
        <x:v>1</x:v>
      </x:c>
      <x:c r="K1890" s="2" t="n">
        <x:v>1</x:v>
      </x:c>
      <x:c r="L1890" s="2" t="str">
        <x:v>Recent light buyers</x:v>
      </x:c>
    </x:row>
    <x:row r="1891" ht="22" customHeight="1">
      <x:c r="A1891" s="2"/>
      <x:c r="B1891" s="2" t="str">
        <x:v>14219</x:v>
      </x:c>
      <x:c r="C1891" s="2" t="str">
        <x:v>United Kingdom</x:v>
      </x:c>
      <x:c r="D1891" s="25" t="n">
        <x:v>40393.40416666667</x:v>
      </x:c>
      <x:c r="E1891" s="25" t="n">
        <x:v>40882.47430555556</x:v>
      </x:c>
      <x:c r="F1891" s="2" t="n">
        <x:v>5</x:v>
      </x:c>
      <x:c r="G1891" s="2" t="n">
        <x:v>3</x:v>
      </x:c>
      <x:c r="H1891" s="11" t="n">
        <x:v>633.83</x:v>
      </x:c>
      <x:c r="I1891" s="2" t="n">
        <x:v>5</x:v>
      </x:c>
      <x:c r="J1891" s="2" t="n">
        <x:v>3</x:v>
      </x:c>
      <x:c r="K1891" s="2" t="n">
        <x:v>3</x:v>
      </x:c>
      <x:c r="L1891" s="2" t="str">
        <x:v>Loyal</x:v>
      </x:c>
    </x:row>
    <x:row r="1892" ht="22" customHeight="1">
      <x:c r="A1892" s="2"/>
      <x:c r="B1892" s="2" t="str">
        <x:v>14220</x:v>
      </x:c>
      <x:c r="C1892" s="2" t="str">
        <x:v>United Kingdom</x:v>
      </x:c>
      <x:c r="D1892" s="25" t="n">
        <x:v>40317.35138888889</x:v>
      </x:c>
      <x:c r="E1892" s="25" t="n">
        <x:v>40639.34930555556</x:v>
      </x:c>
      <x:c r="F1892" s="2" t="n">
        <x:v>248</x:v>
      </x:c>
      <x:c r="G1892" s="2" t="n">
        <x:v>4</x:v>
      </x:c>
      <x:c r="H1892" s="11" t="n">
        <x:v>1515</x:v>
      </x:c>
      <x:c r="I1892" s="2" t="n">
        <x:v>2</x:v>
      </x:c>
      <x:c r="J1892" s="2" t="n">
        <x:v>3</x:v>
      </x:c>
      <x:c r="K1892" s="2" t="n">
        <x:v>4</x:v>
      </x:c>
      <x:c r="L1892" s="2" t="str">
        <x:v>At risk</x:v>
      </x:c>
    </x:row>
    <x:row r="1893" ht="22" customHeight="1">
      <x:c r="A1893" s="2"/>
      <x:c r="B1893" s="2" t="str">
        <x:v>14221</x:v>
      </x:c>
      <x:c r="C1893" s="2" t="str">
        <x:v>United Kingdom</x:v>
      </x:c>
      <x:c r="D1893" s="25" t="n">
        <x:v>40274.381944444445</x:v>
      </x:c>
      <x:c r="E1893" s="25" t="n">
        <x:v>40844.3625</x:v>
      </x:c>
      <x:c r="F1893" s="2" t="n">
        <x:v>43</x:v>
      </x:c>
      <x:c r="G1893" s="2" t="n">
        <x:v>17</x:v>
      </x:c>
      <x:c r="H1893" s="11" t="n">
        <x:v>6517.49</x:v>
      </x:c>
      <x:c r="I1893" s="2" t="n">
        <x:v>4</x:v>
      </x:c>
      <x:c r="J1893" s="2" t="n">
        <x:v>5</x:v>
      </x:c>
      <x:c r="K1893" s="2" t="n">
        <x:v>5</x:v>
      </x:c>
      <x:c r="L1893" s="2" t="str">
        <x:v>Champions</x:v>
      </x:c>
    </x:row>
    <x:row r="1894" ht="22" customHeight="1">
      <x:c r="A1894" s="2"/>
      <x:c r="B1894" s="2" t="str">
        <x:v>14222</x:v>
      </x:c>
      <x:c r="C1894" s="2" t="str">
        <x:v>United Kingdom</x:v>
      </x:c>
      <x:c r="D1894" s="25" t="n">
        <x:v>40709.4875</x:v>
      </x:c>
      <x:c r="E1894" s="25" t="n">
        <x:v>40709.4875</x:v>
      </x:c>
      <x:c r="F1894" s="2" t="n">
        <x:v>178</x:v>
      </x:c>
      <x:c r="G1894" s="2" t="n">
        <x:v>1</x:v>
      </x:c>
      <x:c r="H1894" s="11" t="n">
        <x:v>683.17</x:v>
      </x:c>
      <x:c r="I1894" s="2" t="n">
        <x:v>3</x:v>
      </x:c>
      <x:c r="J1894" s="2" t="n">
        <x:v>1</x:v>
      </x:c>
      <x:c r="K1894" s="2" t="n">
        <x:v>3</x:v>
      </x:c>
      <x:c r="L1894" s="2" t="str">
        <x:v>Developing</x:v>
      </x:c>
    </x:row>
    <x:row r="1895" ht="22" customHeight="1">
      <x:c r="A1895" s="2"/>
      <x:c r="B1895" s="2" t="str">
        <x:v>14223</x:v>
      </x:c>
      <x:c r="C1895" s="2" t="str">
        <x:v>United Kingdom</x:v>
      </x:c>
      <x:c r="D1895" s="25" t="n">
        <x:v>40622.45972222222</x:v>
      </x:c>
      <x:c r="E1895" s="25" t="n">
        <x:v>40794.35972222222</x:v>
      </x:c>
      <x:c r="F1895" s="2" t="n">
        <x:v>93</x:v>
      </x:c>
      <x:c r="G1895" s="2" t="n">
        <x:v>3</x:v>
      </x:c>
      <x:c r="H1895" s="11" t="n">
        <x:v>991.13</x:v>
      </x:c>
      <x:c r="I1895" s="2" t="n">
        <x:v>3</x:v>
      </x:c>
      <x:c r="J1895" s="2" t="n">
        <x:v>3</x:v>
      </x:c>
      <x:c r="K1895" s="2" t="n">
        <x:v>3</x:v>
      </x:c>
      <x:c r="L1895" s="2" t="str">
        <x:v>Loyal</x:v>
      </x:c>
    </x:row>
    <x:row r="1896" ht="22" customHeight="1">
      <x:c r="A1896" s="2"/>
      <x:c r="B1896" s="2" t="str">
        <x:v>14224</x:v>
      </x:c>
      <x:c r="C1896" s="2" t="str">
        <x:v>United Kingdom</x:v>
      </x:c>
      <x:c r="D1896" s="25" t="n">
        <x:v>40342.365277777775</x:v>
      </x:c>
      <x:c r="E1896" s="25" t="n">
        <x:v>40776.35</x:v>
      </x:c>
      <x:c r="F1896" s="2" t="n">
        <x:v>111</x:v>
      </x:c>
      <x:c r="G1896" s="2" t="n">
        <x:v>9</x:v>
      </x:c>
      <x:c r="H1896" s="11" t="n">
        <x:v>1897.9</x:v>
      </x:c>
      <x:c r="I1896" s="2" t="n">
        <x:v>3</x:v>
      </x:c>
      <x:c r="J1896" s="2" t="n">
        <x:v>5</x:v>
      </x:c>
      <x:c r="K1896" s="2" t="n">
        <x:v>4</x:v>
      </x:c>
      <x:c r="L1896" s="2" t="str">
        <x:v>Loyal</x:v>
      </x:c>
    </x:row>
    <x:row r="1897" ht="22" customHeight="1">
      <x:c r="A1897" s="2"/>
      <x:c r="B1897" s="2" t="str">
        <x:v>14225</x:v>
      </x:c>
      <x:c r="C1897" s="2" t="str">
        <x:v>United Kingdom</x:v>
      </x:c>
      <x:c r="D1897" s="25" t="n">
        <x:v>40190.41805555556</x:v>
      </x:c>
      <x:c r="E1897" s="25" t="n">
        <x:v>40452.23055555556</x:v>
      </x:c>
      <x:c r="F1897" s="2" t="n">
        <x:v>435</x:v>
      </x:c>
      <x:c r="G1897" s="2" t="n">
        <x:v>4</x:v>
      </x:c>
      <x:c r="H1897" s="11" t="n">
        <x:v>2037.02</x:v>
      </x:c>
      <x:c r="I1897" s="2" t="n">
        <x:v>1</x:v>
      </x:c>
      <x:c r="J1897" s="2" t="n">
        <x:v>3</x:v>
      </x:c>
      <x:c r="K1897" s="2" t="n">
        <x:v>4</x:v>
      </x:c>
      <x:c r="L1897" s="2" t="str">
        <x:v>At risk</x:v>
      </x:c>
    </x:row>
    <x:row r="1898" ht="22" customHeight="1">
      <x:c r="A1898" s="2"/>
      <x:c r="B1898" s="2" t="str">
        <x:v>14226</x:v>
      </x:c>
      <x:c r="C1898" s="2" t="str">
        <x:v>United Kingdom</x:v>
      </x:c>
      <x:c r="D1898" s="25" t="n">
        <x:v>40445.39722222222</x:v>
      </x:c>
      <x:c r="E1898" s="25" t="n">
        <x:v>40858.27361111111</x:v>
      </x:c>
      <x:c r="F1898" s="2" t="n">
        <x:v>29</x:v>
      </x:c>
      <x:c r="G1898" s="2" t="n">
        <x:v>6</x:v>
      </x:c>
      <x:c r="H1898" s="11" t="n">
        <x:v>3002.53</x:v>
      </x:c>
      <x:c r="I1898" s="2" t="n">
        <x:v>4</x:v>
      </x:c>
      <x:c r="J1898" s="2" t="n">
        <x:v>4</x:v>
      </x:c>
      <x:c r="K1898" s="2" t="n">
        <x:v>5</x:v>
      </x:c>
      <x:c r="L1898" s="2" t="str">
        <x:v>Champions</x:v>
      </x:c>
    </x:row>
    <x:row r="1899" ht="22" customHeight="1">
      <x:c r="A1899" s="2"/>
      <x:c r="B1899" s="2" t="str">
        <x:v>14227</x:v>
      </x:c>
      <x:c r="C1899" s="2" t="str">
        <x:v>United Kingdom</x:v>
      </x:c>
      <x:c r="D1899" s="25" t="n">
        <x:v>40217.19305555556</x:v>
      </x:c>
      <x:c r="E1899" s="25" t="n">
        <x:v>40860.45</x:v>
      </x:c>
      <x:c r="F1899" s="2" t="n">
        <x:v>27</x:v>
      </x:c>
      <x:c r="G1899" s="2" t="n">
        <x:v>15</x:v>
      </x:c>
      <x:c r="H1899" s="11" t="n">
        <x:v>6368.71</x:v>
      </x:c>
      <x:c r="I1899" s="2" t="n">
        <x:v>4</x:v>
      </x:c>
      <x:c r="J1899" s="2" t="n">
        <x:v>5</x:v>
      </x:c>
      <x:c r="K1899" s="2" t="n">
        <x:v>5</x:v>
      </x:c>
      <x:c r="L1899" s="2" t="str">
        <x:v>Champions</x:v>
      </x:c>
    </x:row>
    <x:row r="1900" ht="22" customHeight="1">
      <x:c r="A1900" s="2"/>
      <x:c r="B1900" s="2" t="str">
        <x:v>14228</x:v>
      </x:c>
      <x:c r="C1900" s="2" t="str">
        <x:v>United Kingdom</x:v>
      </x:c>
      <x:c r="D1900" s="25" t="n">
        <x:v>40340.31180555555</x:v>
      </x:c>
      <x:c r="E1900" s="25" t="n">
        <x:v>40449.197916666664</x:v>
      </x:c>
      <x:c r="F1900" s="2" t="n">
        <x:v>438</x:v>
      </x:c>
      <x:c r="G1900" s="2" t="n">
        <x:v>3</x:v>
      </x:c>
      <x:c r="H1900" s="11" t="n">
        <x:v>745.5</x:v>
      </x:c>
      <x:c r="I1900" s="2" t="n">
        <x:v>1</x:v>
      </x:c>
      <x:c r="J1900" s="2" t="n">
        <x:v>3</x:v>
      </x:c>
      <x:c r="K1900" s="2" t="n">
        <x:v>3</x:v>
      </x:c>
      <x:c r="L1900" s="2" t="str">
        <x:v>At risk</x:v>
      </x:c>
    </x:row>
    <x:row r="1901" ht="22" customHeight="1">
      <x:c r="A1901" s="2"/>
      <x:c r="B1901" s="2" t="str">
        <x:v>14229</x:v>
      </x:c>
      <x:c r="C1901" s="2" t="str">
        <x:v>United Kingdom</x:v>
      </x:c>
      <x:c r="D1901" s="25" t="n">
        <x:v>40415.282638888886</x:v>
      </x:c>
      <x:c r="E1901" s="25" t="n">
        <x:v>40835.21111111111</x:v>
      </x:c>
      <x:c r="F1901" s="2" t="n">
        <x:v>52</x:v>
      </x:c>
      <x:c r="G1901" s="2" t="n">
        <x:v>7</x:v>
      </x:c>
      <x:c r="H1901" s="11" t="n">
        <x:v>2594.04</x:v>
      </x:c>
      <x:c r="I1901" s="2" t="n">
        <x:v>4</x:v>
      </x:c>
      <x:c r="J1901" s="2" t="n">
        <x:v>4</x:v>
      </x:c>
      <x:c r="K1901" s="2" t="n">
        <x:v>4</x:v>
      </x:c>
      <x:c r="L1901" s="2" t="str">
        <x:v>Champions</x:v>
      </x:c>
    </x:row>
    <x:row r="1902" ht="22" customHeight="1">
      <x:c r="A1902" s="2"/>
      <x:c r="B1902" s="2" t="str">
        <x:v>14230</x:v>
      </x:c>
      <x:c r="C1902" s="2" t="str">
        <x:v>United Kingdom</x:v>
      </x:c>
      <x:c r="D1902" s="25" t="n">
        <x:v>40338.37222222222</x:v>
      </x:c>
      <x:c r="E1902" s="25" t="n">
        <x:v>40451.17152777778</x:v>
      </x:c>
      <x:c r="F1902" s="2" t="n">
        <x:v>436</x:v>
      </x:c>
      <x:c r="G1902" s="2" t="n">
        <x:v>3</x:v>
      </x:c>
      <x:c r="H1902" s="11" t="n">
        <x:v>979.8</x:v>
      </x:c>
      <x:c r="I1902" s="2" t="n">
        <x:v>1</x:v>
      </x:c>
      <x:c r="J1902" s="2" t="n">
        <x:v>3</x:v>
      </x:c>
      <x:c r="K1902" s="2" t="n">
        <x:v>3</x:v>
      </x:c>
      <x:c r="L1902" s="2" t="str">
        <x:v>At risk</x:v>
      </x:c>
    </x:row>
    <x:row r="1903" ht="22" customHeight="1">
      <x:c r="A1903" s="2"/>
      <x:c r="B1903" s="2" t="str">
        <x:v>14231</x:v>
      </x:c>
      <x:c r="C1903" s="2" t="str">
        <x:v>United Kingdom</x:v>
      </x:c>
      <x:c r="D1903" s="25" t="n">
        <x:v>40436.20277777778</x:v>
      </x:c>
      <x:c r="E1903" s="25" t="n">
        <x:v>40703.25347222222</x:v>
      </x:c>
      <x:c r="F1903" s="2" t="n">
        <x:v>184</x:v>
      </x:c>
      <x:c r="G1903" s="2" t="n">
        <x:v>4</x:v>
      </x:c>
      <x:c r="H1903" s="11" t="n">
        <x:v>1235.62</x:v>
      </x:c>
      <x:c r="I1903" s="2" t="n">
        <x:v>3</x:v>
      </x:c>
      <x:c r="J1903" s="2" t="n">
        <x:v>3</x:v>
      </x:c>
      <x:c r="K1903" s="2" t="n">
        <x:v>4</x:v>
      </x:c>
      <x:c r="L1903" s="2" t="str">
        <x:v>Loyal</x:v>
      </x:c>
    </x:row>
    <x:row r="1904" ht="22" customHeight="1">
      <x:c r="A1904" s="2"/>
      <x:c r="B1904" s="2" t="str">
        <x:v>14232</x:v>
      </x:c>
      <x:c r="C1904" s="2" t="str">
        <x:v>United Kingdom</x:v>
      </x:c>
      <x:c r="D1904" s="25" t="n">
        <x:v>40622.322222222225</x:v>
      </x:c>
      <x:c r="E1904" s="25" t="n">
        <x:v>40844.25625</x:v>
      </x:c>
      <x:c r="F1904" s="2" t="n">
        <x:v>43</x:v>
      </x:c>
      <x:c r="G1904" s="2" t="n">
        <x:v>5</x:v>
      </x:c>
      <x:c r="H1904" s="11" t="n">
        <x:v>2048.07</x:v>
      </x:c>
      <x:c r="I1904" s="2" t="n">
        <x:v>4</x:v>
      </x:c>
      <x:c r="J1904" s="2" t="n">
        <x:v>4</x:v>
      </x:c>
      <x:c r="K1904" s="2" t="n">
        <x:v>4</x:v>
      </x:c>
      <x:c r="L1904" s="2" t="str">
        <x:v>Champions</x:v>
      </x:c>
    </x:row>
    <x:row r="1905" ht="22" customHeight="1">
      <x:c r="A1905" s="2"/>
      <x:c r="B1905" s="2" t="str">
        <x:v>14233</x:v>
      </x:c>
      <x:c r="C1905" s="2" t="str">
        <x:v>United Kingdom</x:v>
      </x:c>
      <x:c r="D1905" s="25" t="n">
        <x:v>40242.48263888889</x:v>
      </x:c>
      <x:c r="E1905" s="25" t="n">
        <x:v>40837.45416666667</x:v>
      </x:c>
      <x:c r="F1905" s="2" t="n">
        <x:v>50</x:v>
      </x:c>
      <x:c r="G1905" s="2" t="n">
        <x:v>7</x:v>
      </x:c>
      <x:c r="H1905" s="11" t="n">
        <x:v>2904.27</x:v>
      </x:c>
      <x:c r="I1905" s="2" t="n">
        <x:v>4</x:v>
      </x:c>
      <x:c r="J1905" s="2" t="n">
        <x:v>4</x:v>
      </x:c>
      <x:c r="K1905" s="2" t="n">
        <x:v>4</x:v>
      </x:c>
      <x:c r="L1905" s="2" t="str">
        <x:v>Champions</x:v>
      </x:c>
    </x:row>
    <x:row r="1906" ht="22" customHeight="1">
      <x:c r="A1906" s="2"/>
      <x:c r="B1906" s="2" t="str">
        <x:v>14234</x:v>
      </x:c>
      <x:c r="C1906" s="2" t="str">
        <x:v>United Kingdom</x:v>
      </x:c>
      <x:c r="D1906" s="25" t="n">
        <x:v>40829.373611111114</x:v>
      </x:c>
      <x:c r="E1906" s="25" t="n">
        <x:v>40864.53680555556</x:v>
      </x:c>
      <x:c r="F1906" s="2" t="n">
        <x:v>23</x:v>
      </x:c>
      <x:c r="G1906" s="2" t="n">
        <x:v>4</x:v>
      </x:c>
      <x:c r="H1906" s="11" t="n">
        <x:v>775.46</x:v>
      </x:c>
      <x:c r="I1906" s="2" t="n">
        <x:v>4</x:v>
      </x:c>
      <x:c r="J1906" s="2" t="n">
        <x:v>3</x:v>
      </x:c>
      <x:c r="K1906" s="2" t="n">
        <x:v>3</x:v>
      </x:c>
      <x:c r="L1906" s="2" t="str">
        <x:v>Loyal</x:v>
      </x:c>
    </x:row>
    <x:row r="1907" ht="22" customHeight="1">
      <x:c r="A1907" s="2"/>
      <x:c r="B1907" s="2" t="str">
        <x:v>14235</x:v>
      </x:c>
      <x:c r="C1907" s="2" t="str">
        <x:v>United Kingdom</x:v>
      </x:c>
      <x:c r="D1907" s="25" t="n">
        <x:v>40267.35833333333</x:v>
      </x:c>
      <x:c r="E1907" s="25" t="n">
        <x:v>40811.40069444444</x:v>
      </x:c>
      <x:c r="F1907" s="2" t="n">
        <x:v>76</x:v>
      </x:c>
      <x:c r="G1907" s="2" t="n">
        <x:v>9</x:v>
      </x:c>
      <x:c r="H1907" s="11" t="n">
        <x:v>4717.99</x:v>
      </x:c>
      <x:c r="I1907" s="2" t="n">
        <x:v>3</x:v>
      </x:c>
      <x:c r="J1907" s="2" t="n">
        <x:v>5</x:v>
      </x:c>
      <x:c r="K1907" s="2" t="n">
        <x:v>5</x:v>
      </x:c>
      <x:c r="L1907" s="2" t="str">
        <x:v>Loyal</x:v>
      </x:c>
    </x:row>
    <x:row r="1908" ht="22" customHeight="1">
      <x:c r="A1908" s="2"/>
      <x:c r="B1908" s="2" t="str">
        <x:v>14236</x:v>
      </x:c>
      <x:c r="C1908" s="2" t="str">
        <x:v>United Kingdom</x:v>
      </x:c>
      <x:c r="D1908" s="25" t="n">
        <x:v>40381.39375</x:v>
      </x:c>
      <x:c r="E1908" s="25" t="n">
        <x:v>40806.17569444444</x:v>
      </x:c>
      <x:c r="F1908" s="2" t="n">
        <x:v>81</x:v>
      </x:c>
      <x:c r="G1908" s="2" t="n">
        <x:v>5</x:v>
      </x:c>
      <x:c r="H1908" s="11" t="n">
        <x:v>1555.34</x:v>
      </x:c>
      <x:c r="I1908" s="2" t="n">
        <x:v>3</x:v>
      </x:c>
      <x:c r="J1908" s="2" t="n">
        <x:v>4</x:v>
      </x:c>
      <x:c r="K1908" s="2" t="n">
        <x:v>4</x:v>
      </x:c>
      <x:c r="L1908" s="2" t="str">
        <x:v>Loyal</x:v>
      </x:c>
    </x:row>
    <x:row r="1909" ht="22" customHeight="1">
      <x:c r="A1909" s="2"/>
      <x:c r="B1909" s="2" t="str">
        <x:v>14237</x:v>
      </x:c>
      <x:c r="C1909" s="2" t="str">
        <x:v>United Kingdom</x:v>
      </x:c>
      <x:c r="D1909" s="25" t="n">
        <x:v>40296.21111111111</x:v>
      </x:c>
      <x:c r="E1909" s="25" t="n">
        <x:v>40513.34722222222</x:v>
      </x:c>
      <x:c r="F1909" s="2" t="n">
        <x:v>374</x:v>
      </x:c>
      <x:c r="G1909" s="2" t="n">
        <x:v>2</x:v>
      </x:c>
      <x:c r="H1909" s="11" t="n">
        <x:v>471.14</x:v>
      </x:c>
      <x:c r="I1909" s="2" t="n">
        <x:v>2</x:v>
      </x:c>
      <x:c r="J1909" s="2" t="n">
        <x:v>2</x:v>
      </x:c>
      <x:c r="K1909" s="2" t="n">
        <x:v>2</x:v>
      </x:c>
      <x:c r="L1909" s="2" t="str">
        <x:v>Hibernating</x:v>
      </x:c>
    </x:row>
    <x:row r="1910" ht="22" customHeight="1">
      <x:c r="A1910" s="2"/>
      <x:c r="B1910" s="2" t="str">
        <x:v>14238</x:v>
      </x:c>
      <x:c r="C1910" s="2" t="str">
        <x:v>United Kingdom</x:v>
      </x:c>
      <x:c r="D1910" s="25" t="n">
        <x:v>40152.248611111114</x:v>
      </x:c>
      <x:c r="E1910" s="25" t="n">
        <x:v>40560.40277777778</x:v>
      </x:c>
      <x:c r="F1910" s="2" t="n">
        <x:v>327</x:v>
      </x:c>
      <x:c r="G1910" s="2" t="n">
        <x:v>3</x:v>
      </x:c>
      <x:c r="H1910" s="11" t="n">
        <x:v>434.23</x:v>
      </x:c>
      <x:c r="I1910" s="2" t="n">
        <x:v>2</x:v>
      </x:c>
      <x:c r="J1910" s="2" t="n">
        <x:v>3</x:v>
      </x:c>
      <x:c r="K1910" s="2" t="n">
        <x:v>2</x:v>
      </x:c>
      <x:c r="L1910" s="2" t="str">
        <x:v>At risk</x:v>
      </x:c>
    </x:row>
    <x:row r="1911" ht="22" customHeight="1">
      <x:c r="A1911" s="2"/>
      <x:c r="B1911" s="2" t="str">
        <x:v>14239</x:v>
      </x:c>
      <x:c r="C1911" s="2" t="str">
        <x:v>United Kingdom</x:v>
      </x:c>
      <x:c r="D1911" s="25" t="n">
        <x:v>40152.316666666666</x:v>
      </x:c>
      <x:c r="E1911" s="25" t="n">
        <x:v>40843.40277777778</x:v>
      </x:c>
      <x:c r="F1911" s="2" t="n">
        <x:v>44</x:v>
      </x:c>
      <x:c r="G1911" s="2" t="n">
        <x:v>21</x:v>
      </x:c>
      <x:c r="H1911" s="11" t="n">
        <x:v>4263.17</x:v>
      </x:c>
      <x:c r="I1911" s="2" t="n">
        <x:v>4</x:v>
      </x:c>
      <x:c r="J1911" s="2" t="n">
        <x:v>5</x:v>
      </x:c>
      <x:c r="K1911" s="2" t="n">
        <x:v>5</x:v>
      </x:c>
      <x:c r="L1911" s="2" t="str">
        <x:v>Champions</x:v>
      </x:c>
    </x:row>
    <x:row r="1912" ht="22" customHeight="1">
      <x:c r="A1912" s="2"/>
      <x:c r="B1912" s="2" t="str">
        <x:v>14240</x:v>
      </x:c>
      <x:c r="C1912" s="2" t="str">
        <x:v>United Kingdom</x:v>
      </x:c>
      <x:c r="D1912" s="25" t="n">
        <x:v>40463.325</x:v>
      </x:c>
      <x:c r="E1912" s="25" t="n">
        <x:v>40856.364583333336</x:v>
      </x:c>
      <x:c r="F1912" s="2" t="n">
        <x:v>31</x:v>
      </x:c>
      <x:c r="G1912" s="2" t="n">
        <x:v>3</x:v>
      </x:c>
      <x:c r="H1912" s="11" t="n">
        <x:v>1247.49</x:v>
      </x:c>
      <x:c r="I1912" s="2" t="n">
        <x:v>4</x:v>
      </x:c>
      <x:c r="J1912" s="2" t="n">
        <x:v>3</x:v>
      </x:c>
      <x:c r="K1912" s="2" t="n">
        <x:v>4</x:v>
      </x:c>
      <x:c r="L1912" s="2" t="str">
        <x:v>Loyal</x:v>
      </x:c>
    </x:row>
    <x:row r="1913" ht="22" customHeight="1">
      <x:c r="A1913" s="2"/>
      <x:c r="B1913" s="2" t="str">
        <x:v>14241</x:v>
      </x:c>
      <x:c r="C1913" s="2" t="str">
        <x:v>United Kingdom</x:v>
      </x:c>
      <x:c r="D1913" s="25" t="n">
        <x:v>40190.424305555556</x:v>
      </x:c>
      <x:c r="E1913" s="25" t="n">
        <x:v>40703.28194444445</x:v>
      </x:c>
      <x:c r="F1913" s="2" t="n">
        <x:v>184</x:v>
      </x:c>
      <x:c r="G1913" s="2" t="n">
        <x:v>2</x:v>
      </x:c>
      <x:c r="H1913" s="11" t="n">
        <x:v>333.7</x:v>
      </x:c>
      <x:c r="I1913" s="2" t="n">
        <x:v>3</x:v>
      </x:c>
      <x:c r="J1913" s="2" t="n">
        <x:v>2</x:v>
      </x:c>
      <x:c r="K1913" s="2" t="n">
        <x:v>2</x:v>
      </x:c>
      <x:c r="L1913" s="2" t="str">
        <x:v>Developing</x:v>
      </x:c>
    </x:row>
    <x:row r="1914" ht="22" customHeight="1">
      <x:c r="A1914" s="2"/>
      <x:c r="B1914" s="2" t="str">
        <x:v>14242</x:v>
      </x:c>
      <x:c r="C1914" s="2" t="str">
        <x:v>United Kingdom</x:v>
      </x:c>
      <x:c r="D1914" s="25" t="n">
        <x:v>40561.16180555556</x:v>
      </x:c>
      <x:c r="E1914" s="25" t="n">
        <x:v>40652.28194444445</x:v>
      </x:c>
      <x:c r="F1914" s="2" t="n">
        <x:v>235</x:v>
      </x:c>
      <x:c r="G1914" s="2" t="n">
        <x:v>2</x:v>
      </x:c>
      <x:c r="H1914" s="11" t="n">
        <x:v>280.55</x:v>
      </x:c>
      <x:c r="I1914" s="2" t="n">
        <x:v>2</x:v>
      </x:c>
      <x:c r="J1914" s="2" t="n">
        <x:v>2</x:v>
      </x:c>
      <x:c r="K1914" s="2" t="n">
        <x:v>1</x:v>
      </x:c>
      <x:c r="L1914" s="2" t="str">
        <x:v>Hibernating</x:v>
      </x:c>
    </x:row>
    <x:row r="1915" ht="22" customHeight="1">
      <x:c r="A1915" s="2"/>
      <x:c r="B1915" s="2" t="str">
        <x:v>14243</x:v>
      </x:c>
      <x:c r="C1915" s="2" t="str">
        <x:v>United Kingdom</x:v>
      </x:c>
      <x:c r="D1915" s="25" t="n">
        <x:v>40410.361805555556</x:v>
      </x:c>
      <x:c r="E1915" s="25" t="n">
        <x:v>40878.25833333333</x:v>
      </x:c>
      <x:c r="F1915" s="2" t="n">
        <x:v>9</x:v>
      </x:c>
      <x:c r="G1915" s="2" t="n">
        <x:v>17</x:v>
      </x:c>
      <x:c r="H1915" s="11" t="n">
        <x:v>7217.75</x:v>
      </x:c>
      <x:c r="I1915" s="2" t="n">
        <x:v>5</x:v>
      </x:c>
      <x:c r="J1915" s="2" t="n">
        <x:v>5</x:v>
      </x:c>
      <x:c r="K1915" s="2" t="n">
        <x:v>5</x:v>
      </x:c>
      <x:c r="L1915" s="2" t="str">
        <x:v>Champions</x:v>
      </x:c>
    </x:row>
    <x:row r="1916" ht="22" customHeight="1">
      <x:c r="A1916" s="2"/>
      <x:c r="B1916" s="2" t="str">
        <x:v>14244</x:v>
      </x:c>
      <x:c r="C1916" s="2" t="str">
        <x:v>United Kingdom</x:v>
      </x:c>
      <x:c r="D1916" s="25" t="n">
        <x:v>40226.27777777778</x:v>
      </x:c>
      <x:c r="E1916" s="25" t="n">
        <x:v>40226.27777777778</x:v>
      </x:c>
      <x:c r="F1916" s="2" t="n">
        <x:v>661</x:v>
      </x:c>
      <x:c r="G1916" s="2" t="n">
        <x:v>1</x:v>
      </x:c>
      <x:c r="H1916" s="11" t="n">
        <x:v>366.42</x:v>
      </x:c>
      <x:c r="I1916" s="2" t="n">
        <x:v>1</x:v>
      </x:c>
      <x:c r="J1916" s="2" t="n">
        <x:v>1</x:v>
      </x:c>
      <x:c r="K1916" s="2" t="n">
        <x:v>2</x:v>
      </x:c>
      <x:c r="L1916" s="2" t="str">
        <x:v>Hibernating</x:v>
      </x:c>
    </x:row>
    <x:row r="1917" ht="22" customHeight="1">
      <x:c r="A1917" s="2"/>
      <x:c r="B1917" s="2" t="str">
        <x:v>14245</x:v>
      </x:c>
      <x:c r="C1917" s="2" t="str">
        <x:v>United Kingdom</x:v>
      </x:c>
      <x:c r="D1917" s="25" t="n">
        <x:v>40623.236805555556</x:v>
      </x:c>
      <x:c r="E1917" s="25" t="n">
        <x:v>40667.15277777778</x:v>
      </x:c>
      <x:c r="F1917" s="2" t="n">
        <x:v>220</x:v>
      </x:c>
      <x:c r="G1917" s="2" t="n">
        <x:v>2</x:v>
      </x:c>
      <x:c r="H1917" s="11" t="n">
        <x:v>1693.45</x:v>
      </x:c>
      <x:c r="I1917" s="2" t="n">
        <x:v>2</x:v>
      </x:c>
      <x:c r="J1917" s="2" t="n">
        <x:v>2</x:v>
      </x:c>
      <x:c r="K1917" s="2" t="n">
        <x:v>4</x:v>
      </x:c>
      <x:c r="L1917" s="2" t="str">
        <x:v>Hibernating</x:v>
      </x:c>
    </x:row>
    <x:row r="1918" ht="22" customHeight="1">
      <x:c r="A1918" s="2"/>
      <x:c r="B1918" s="2" t="str">
        <x:v>14246</x:v>
      </x:c>
      <x:c r="C1918" s="2" t="str">
        <x:v>United Kingdom</x:v>
      </x:c>
      <x:c r="D1918" s="25" t="n">
        <x:v>40641.14236111111</x:v>
      </x:c>
      <x:c r="E1918" s="25" t="n">
        <x:v>40776.28472222222</x:v>
      </x:c>
      <x:c r="F1918" s="2" t="n">
        <x:v>111</x:v>
      </x:c>
      <x:c r="G1918" s="2" t="n">
        <x:v>3</x:v>
      </x:c>
      <x:c r="H1918" s="11" t="n">
        <x:v>1474.06</x:v>
      </x:c>
      <x:c r="I1918" s="2" t="n">
        <x:v>3</x:v>
      </x:c>
      <x:c r="J1918" s="2" t="n">
        <x:v>3</x:v>
      </x:c>
      <x:c r="K1918" s="2" t="n">
        <x:v>4</x:v>
      </x:c>
      <x:c r="L1918" s="2" t="str">
        <x:v>Loyal</x:v>
      </x:c>
    </x:row>
    <x:row r="1919" ht="22" customHeight="1">
      <x:c r="A1919" s="2"/>
      <x:c r="B1919" s="2" t="str">
        <x:v>14247</x:v>
      </x:c>
      <x:c r="C1919" s="2" t="str">
        <x:v>United Kingdom</x:v>
      </x:c>
      <x:c r="D1919" s="25" t="n">
        <x:v>40335.42152777778</x:v>
      </x:c>
      <x:c r="E1919" s="25" t="n">
        <x:v>40608.43125</x:v>
      </x:c>
      <x:c r="F1919" s="2" t="n">
        <x:v>279</x:v>
      </x:c>
      <x:c r="G1919" s="2" t="n">
        <x:v>5</x:v>
      </x:c>
      <x:c r="H1919" s="11" t="n">
        <x:v>772.66</x:v>
      </x:c>
      <x:c r="I1919" s="2" t="n">
        <x:v>2</x:v>
      </x:c>
      <x:c r="J1919" s="2" t="n">
        <x:v>4</x:v>
      </x:c>
      <x:c r="K1919" s="2" t="n">
        <x:v>3</x:v>
      </x:c>
      <x:c r="L1919" s="2" t="str">
        <x:v>At risk</x:v>
      </x:c>
    </x:row>
    <x:row r="1920" ht="22" customHeight="1">
      <x:c r="A1920" s="2"/>
      <x:c r="B1920" s="2" t="str">
        <x:v>14248</x:v>
      </x:c>
      <x:c r="C1920" s="2" t="str">
        <x:v>United Kingdom</x:v>
      </x:c>
      <x:c r="D1920" s="25" t="n">
        <x:v>40371.39375</x:v>
      </x:c>
      <x:c r="E1920" s="25" t="n">
        <x:v>40568.40625</x:v>
      </x:c>
      <x:c r="F1920" s="2" t="n">
        <x:v>319</x:v>
      </x:c>
      <x:c r="G1920" s="2" t="n">
        <x:v>3</x:v>
      </x:c>
      <x:c r="H1920" s="11" t="n">
        <x:v>1032.95</x:v>
      </x:c>
      <x:c r="I1920" s="2" t="n">
        <x:v>2</x:v>
      </x:c>
      <x:c r="J1920" s="2" t="n">
        <x:v>3</x:v>
      </x:c>
      <x:c r="K1920" s="2" t="n">
        <x:v>3</x:v>
      </x:c>
      <x:c r="L1920" s="2" t="str">
        <x:v>At risk</x:v>
      </x:c>
    </x:row>
    <x:row r="1921" ht="22" customHeight="1">
      <x:c r="A1921" s="2"/>
      <x:c r="B1921" s="2" t="str">
        <x:v>14249</x:v>
      </x:c>
      <x:c r="C1921" s="2" t="str">
        <x:v>United Kingdom</x:v>
      </x:c>
      <x:c r="D1921" s="25" t="n">
        <x:v>40207.38958333333</x:v>
      </x:c>
      <x:c r="E1921" s="25" t="n">
        <x:v>40476.31527777778</x:v>
      </x:c>
      <x:c r="F1921" s="2" t="n">
        <x:v>411</x:v>
      </x:c>
      <x:c r="G1921" s="2" t="n">
        <x:v>12</x:v>
      </x:c>
      <x:c r="H1921" s="11" t="n">
        <x:v>5625.461</x:v>
      </x:c>
      <x:c r="I1921" s="2" t="n">
        <x:v>2</x:v>
      </x:c>
      <x:c r="J1921" s="2" t="n">
        <x:v>5</x:v>
      </x:c>
      <x:c r="K1921" s="2" t="n">
        <x:v>5</x:v>
      </x:c>
      <x:c r="L1921" s="2" t="str">
        <x:v>At risk</x:v>
      </x:c>
    </x:row>
    <x:row r="1922" ht="22" customHeight="1">
      <x:c r="A1922" s="2"/>
      <x:c r="B1922" s="2" t="str">
        <x:v>14250</x:v>
      </x:c>
      <x:c r="C1922" s="2" t="str">
        <x:v>United Kingdom</x:v>
      </x:c>
      <x:c r="D1922" s="25" t="n">
        <x:v>40797.36388888889</x:v>
      </x:c>
      <x:c r="E1922" s="25" t="n">
        <x:v>40879.395833333336</x:v>
      </x:c>
      <x:c r="F1922" s="2" t="n">
        <x:v>8</x:v>
      </x:c>
      <x:c r="G1922" s="2" t="n">
        <x:v>3</x:v>
      </x:c>
      <x:c r="H1922" s="11" t="n">
        <x:v>1904.05</x:v>
      </x:c>
      <x:c r="I1922" s="2" t="n">
        <x:v>5</x:v>
      </x:c>
      <x:c r="J1922" s="2" t="n">
        <x:v>3</x:v>
      </x:c>
      <x:c r="K1922" s="2" t="n">
        <x:v>4</x:v>
      </x:c>
      <x:c r="L1922" s="2" t="str">
        <x:v>Loyal</x:v>
      </x:c>
    </x:row>
    <x:row r="1923" ht="22" customHeight="1">
      <x:c r="A1923" s="2"/>
      <x:c r="B1923" s="2" t="str">
        <x:v>14251</x:v>
      </x:c>
      <x:c r="C1923" s="2" t="str">
        <x:v>United Kingdom</x:v>
      </x:c>
      <x:c r="D1923" s="25" t="n">
        <x:v>40829.32361111111</x:v>
      </x:c>
      <x:c r="E1923" s="25" t="n">
        <x:v>40885.14722222222</x:v>
      </x:c>
      <x:c r="F1923" s="2" t="n">
        <x:v>2</x:v>
      </x:c>
      <x:c r="G1923" s="2" t="n">
        <x:v>5</x:v>
      </x:c>
      <x:c r="H1923" s="11" t="n">
        <x:v>2879.7</x:v>
      </x:c>
      <x:c r="I1923" s="2" t="n">
        <x:v>5</x:v>
      </x:c>
      <x:c r="J1923" s="2" t="n">
        <x:v>4</x:v>
      </x:c>
      <x:c r="K1923" s="2" t="n">
        <x:v>4</x:v>
      </x:c>
      <x:c r="L1923" s="2" t="str">
        <x:v>Champions</x:v>
      </x:c>
    </x:row>
    <x:row r="1924" ht="22" customHeight="1">
      <x:c r="A1924" s="2"/>
      <x:c r="B1924" s="2" t="str">
        <x:v>14252</x:v>
      </x:c>
      <x:c r="C1924" s="2" t="str">
        <x:v>United Kingdom</x:v>
      </x:c>
      <x:c r="D1924" s="25" t="n">
        <x:v>40505.35833333333</x:v>
      </x:c>
      <x:c r="E1924" s="25" t="n">
        <x:v>40505.35833333333</x:v>
      </x:c>
      <x:c r="F1924" s="2" t="n">
        <x:v>382</x:v>
      </x:c>
      <x:c r="G1924" s="2" t="n">
        <x:v>1</x:v>
      </x:c>
      <x:c r="H1924" s="11" t="n">
        <x:v>350.99</x:v>
      </x:c>
      <x:c r="I1924" s="2" t="n">
        <x:v>2</x:v>
      </x:c>
      <x:c r="J1924" s="2" t="n">
        <x:v>1</x:v>
      </x:c>
      <x:c r="K1924" s="2" t="n">
        <x:v>2</x:v>
      </x:c>
      <x:c r="L1924" s="2" t="str">
        <x:v>Hibernating</x:v>
      </x:c>
    </x:row>
    <x:row r="1925" ht="22" customHeight="1">
      <x:c r="A1925" s="2"/>
      <x:c r="B1925" s="2" t="str">
        <x:v>14253</x:v>
      </x:c>
      <x:c r="C1925" s="2" t="str">
        <x:v>United Kingdom</x:v>
      </x:c>
      <x:c r="D1925" s="25" t="n">
        <x:v>40263.42222222222</x:v>
      </x:c>
      <x:c r="E1925" s="25" t="n">
        <x:v>40393.413194444445</x:v>
      </x:c>
      <x:c r="F1925" s="2" t="n">
        <x:v>494</x:v>
      </x:c>
      <x:c r="G1925" s="2" t="n">
        <x:v>2</x:v>
      </x:c>
      <x:c r="H1925" s="11" t="n">
        <x:v>363.4</x:v>
      </x:c>
      <x:c r="I1925" s="2" t="n">
        <x:v>1</x:v>
      </x:c>
      <x:c r="J1925" s="2" t="n">
        <x:v>2</x:v>
      </x:c>
      <x:c r="K1925" s="2" t="n">
        <x:v>2</x:v>
      </x:c>
      <x:c r="L1925" s="2" t="str">
        <x:v>Hibernating</x:v>
      </x:c>
    </x:row>
    <x:row r="1926" ht="22" customHeight="1">
      <x:c r="A1926" s="2"/>
      <x:c r="B1926" s="2" t="str">
        <x:v>14254</x:v>
      </x:c>
      <x:c r="C1926" s="2" t="str">
        <x:v>United Kingdom</x:v>
      </x:c>
      <x:c r="D1926" s="25" t="n">
        <x:v>40454.28611111111</x:v>
      </x:c>
      <x:c r="E1926" s="25" t="n">
        <x:v>40454.28611111111</x:v>
      </x:c>
      <x:c r="F1926" s="2" t="n">
        <x:v>433</x:v>
      </x:c>
      <x:c r="G1926" s="2" t="n">
        <x:v>1</x:v>
      </x:c>
      <x:c r="H1926" s="11" t="n">
        <x:v>601.03</x:v>
      </x:c>
      <x:c r="I1926" s="2" t="n">
        <x:v>1</x:v>
      </x:c>
      <x:c r="J1926" s="2" t="n">
        <x:v>1</x:v>
      </x:c>
      <x:c r="K1926" s="2" t="n">
        <x:v>2</x:v>
      </x:c>
      <x:c r="L1926" s="2" t="str">
        <x:v>Hibernating</x:v>
      </x:c>
    </x:row>
    <x:row r="1927" ht="22" customHeight="1">
      <x:c r="A1927" s="2"/>
      <x:c r="B1927" s="2" t="str">
        <x:v>14255</x:v>
      </x:c>
      <x:c r="C1927" s="2" t="str">
        <x:v>United Kingdom</x:v>
      </x:c>
      <x:c r="D1927" s="25" t="n">
        <x:v>40340.45416666667</x:v>
      </x:c>
      <x:c r="E1927" s="25" t="n">
        <x:v>40340.45416666667</x:v>
      </x:c>
      <x:c r="F1927" s="2" t="n">
        <x:v>547</x:v>
      </x:c>
      <x:c r="G1927" s="2" t="n">
        <x:v>1</x:v>
      </x:c>
      <x:c r="H1927" s="11" t="n">
        <x:v>1000.63</x:v>
      </x:c>
      <x:c r="I1927" s="2" t="n">
        <x:v>1</x:v>
      </x:c>
      <x:c r="J1927" s="2" t="n">
        <x:v>1</x:v>
      </x:c>
      <x:c r="K1927" s="2" t="n">
        <x:v>3</x:v>
      </x:c>
      <x:c r="L1927" s="2" t="str">
        <x:v>Hibernating</x:v>
      </x:c>
    </x:row>
    <x:row r="1928" ht="22" customHeight="1">
      <x:c r="A1928" s="2"/>
      <x:c r="B1928" s="2" t="str">
        <x:v>14256</x:v>
      </x:c>
      <x:c r="C1928" s="2" t="str">
        <x:v>United Kingdom</x:v>
      </x:c>
      <x:c r="D1928" s="25" t="n">
        <x:v>40192.23263888889</x:v>
      </x:c>
      <x:c r="E1928" s="25" t="n">
        <x:v>40626.345138888886</x:v>
      </x:c>
      <x:c r="F1928" s="2" t="n">
        <x:v>261</x:v>
      </x:c>
      <x:c r="G1928" s="2" t="n">
        <x:v>5</x:v>
      </x:c>
      <x:c r="H1928" s="11" t="n">
        <x:v>2473.99</x:v>
      </x:c>
      <x:c r="I1928" s="2" t="n">
        <x:v>2</x:v>
      </x:c>
      <x:c r="J1928" s="2" t="n">
        <x:v>4</x:v>
      </x:c>
      <x:c r="K1928" s="2" t="n">
        <x:v>4</x:v>
      </x:c>
      <x:c r="L1928" s="2" t="str">
        <x:v>At risk</x:v>
      </x:c>
    </x:row>
    <x:row r="1929" ht="22" customHeight="1">
      <x:c r="A1929" s="2"/>
      <x:c r="B1929" s="2" t="str">
        <x:v>14257</x:v>
      </x:c>
      <x:c r="C1929" s="2" t="str">
        <x:v>United Kingdom</x:v>
      </x:c>
      <x:c r="D1929" s="25" t="n">
        <x:v>40238.441666666666</x:v>
      </x:c>
      <x:c r="E1929" s="25" t="n">
        <x:v>40822.495833333334</x:v>
      </x:c>
      <x:c r="F1929" s="2" t="n">
        <x:v>65</x:v>
      </x:c>
      <x:c r="G1929" s="2" t="n">
        <x:v>9</x:v>
      </x:c>
      <x:c r="H1929" s="11" t="n">
        <x:v>5954.45</x:v>
      </x:c>
      <x:c r="I1929" s="2" t="n">
        <x:v>3</x:v>
      </x:c>
      <x:c r="J1929" s="2" t="n">
        <x:v>5</x:v>
      </x:c>
      <x:c r="K1929" s="2" t="n">
        <x:v>5</x:v>
      </x:c>
      <x:c r="L1929" s="2" t="str">
        <x:v>Loyal</x:v>
      </x:c>
    </x:row>
    <x:row r="1930" ht="22" customHeight="1">
      <x:c r="A1930" s="2"/>
      <x:c r="B1930" s="2" t="str">
        <x:v>14258</x:v>
      </x:c>
      <x:c r="C1930" s="2" t="str">
        <x:v>United Kingdom</x:v>
      </x:c>
      <x:c r="D1930" s="25" t="n">
        <x:v>40151.15</x:v>
      </x:c>
      <x:c r="E1930" s="25" t="n">
        <x:v>40877.43541666667</x:v>
      </x:c>
      <x:c r="F1930" s="2" t="n">
        <x:v>10</x:v>
      </x:c>
      <x:c r="G1930" s="2" t="n">
        <x:v>25</x:v>
      </x:c>
      <x:c r="H1930" s="11" t="n">
        <x:v>32051.34</x:v>
      </x:c>
      <x:c r="I1930" s="2" t="n">
        <x:v>5</x:v>
      </x:c>
      <x:c r="J1930" s="2" t="n">
        <x:v>5</x:v>
      </x:c>
      <x:c r="K1930" s="2" t="n">
        <x:v>5</x:v>
      </x:c>
      <x:c r="L1930" s="2" t="str">
        <x:v>Champions</x:v>
      </x:c>
    </x:row>
    <x:row r="1931" ht="22" customHeight="1">
      <x:c r="A1931" s="2"/>
      <x:c r="B1931" s="2" t="str">
        <x:v>14259</x:v>
      </x:c>
      <x:c r="C1931" s="2" t="str">
        <x:v>United Kingdom</x:v>
      </x:c>
      <x:c r="D1931" s="25" t="n">
        <x:v>40745.23888888889</x:v>
      </x:c>
      <x:c r="E1931" s="25" t="n">
        <x:v>40745.23888888889</x:v>
      </x:c>
      <x:c r="F1931" s="2" t="n">
        <x:v>142</x:v>
      </x:c>
      <x:c r="G1931" s="2" t="n">
        <x:v>1</x:v>
      </x:c>
      <x:c r="H1931" s="11" t="n">
        <x:v>120</x:v>
      </x:c>
      <x:c r="I1931" s="2" t="n">
        <x:v>3</x:v>
      </x:c>
      <x:c r="J1931" s="2" t="n">
        <x:v>1</x:v>
      </x:c>
      <x:c r="K1931" s="2" t="n">
        <x:v>1</x:v>
      </x:c>
      <x:c r="L1931" s="2" t="str">
        <x:v>Developing</x:v>
      </x:c>
    </x:row>
    <x:row r="1932" ht="22" customHeight="1">
      <x:c r="A1932" s="2"/>
      <x:c r="B1932" s="2" t="str">
        <x:v>14260</x:v>
      </x:c>
      <x:c r="C1932" s="2" t="str">
        <x:v>United Kingdom</x:v>
      </x:c>
      <x:c r="D1932" s="25" t="n">
        <x:v>40338.26597222222</x:v>
      </x:c>
      <x:c r="E1932" s="25" t="n">
        <x:v>40415.413194444445</x:v>
      </x:c>
      <x:c r="F1932" s="2" t="n">
        <x:v>472</x:v>
      </x:c>
      <x:c r="G1932" s="2" t="n">
        <x:v>3</x:v>
      </x:c>
      <x:c r="H1932" s="11" t="n">
        <x:v>824.28</x:v>
      </x:c>
      <x:c r="I1932" s="2" t="n">
        <x:v>1</x:v>
      </x:c>
      <x:c r="J1932" s="2" t="n">
        <x:v>3</x:v>
      </x:c>
      <x:c r="K1932" s="2" t="n">
        <x:v>3</x:v>
      </x:c>
      <x:c r="L1932" s="2" t="str">
        <x:v>At risk</x:v>
      </x:c>
    </x:row>
    <x:row r="1933" ht="22" customHeight="1">
      <x:c r="A1933" s="2"/>
      <x:c r="B1933" s="2" t="str">
        <x:v>14261</x:v>
      </x:c>
      <x:c r="C1933" s="2" t="str">
        <x:v>United Kingdom</x:v>
      </x:c>
      <x:c r="D1933" s="25" t="n">
        <x:v>40808.24097222222</x:v>
      </x:c>
      <x:c r="E1933" s="25" t="n">
        <x:v>40836.21111111111</x:v>
      </x:c>
      <x:c r="F1933" s="2" t="n">
        <x:v>51</x:v>
      </x:c>
      <x:c r="G1933" s="2" t="n">
        <x:v>2</x:v>
      </x:c>
      <x:c r="H1933" s="11" t="n">
        <x:v>1163.45</x:v>
      </x:c>
      <x:c r="I1933" s="2" t="n">
        <x:v>4</x:v>
      </x:c>
      <x:c r="J1933" s="2" t="n">
        <x:v>2</x:v>
      </x:c>
      <x:c r="K1933" s="2" t="n">
        <x:v>3</x:v>
      </x:c>
      <x:c r="L1933" s="2" t="str">
        <x:v>Recent light buyers</x:v>
      </x:c>
    </x:row>
    <x:row r="1934" ht="22" customHeight="1">
      <x:c r="A1934" s="2"/>
      <x:c r="B1934" s="2" t="str">
        <x:v>14262</x:v>
      </x:c>
      <x:c r="C1934" s="2" t="str">
        <x:v>United Kingdom</x:v>
      </x:c>
      <x:c r="D1934" s="25" t="n">
        <x:v>40646.30763888889</x:v>
      </x:c>
      <x:c r="E1934" s="25" t="n">
        <x:v>40878.38680555556</x:v>
      </x:c>
      <x:c r="F1934" s="2" t="n">
        <x:v>9</x:v>
      </x:c>
      <x:c r="G1934" s="2" t="n">
        <x:v>8</x:v>
      </x:c>
      <x:c r="H1934" s="11" t="n">
        <x:v>2618.23</x:v>
      </x:c>
      <x:c r="I1934" s="2" t="n">
        <x:v>5</x:v>
      </x:c>
      <x:c r="J1934" s="2" t="n">
        <x:v>4</x:v>
      </x:c>
      <x:c r="K1934" s="2" t="n">
        <x:v>4</x:v>
      </x:c>
      <x:c r="L1934" s="2" t="str">
        <x:v>Champions</x:v>
      </x:c>
    </x:row>
    <x:row r="1935" ht="22" customHeight="1">
      <x:c r="A1935" s="2"/>
      <x:c r="B1935" s="2" t="str">
        <x:v>14263</x:v>
      </x:c>
      <x:c r="C1935" s="2" t="str">
        <x:v>United Kingdom</x:v>
      </x:c>
      <x:c r="D1935" s="25" t="n">
        <x:v>40463.38125</x:v>
      </x:c>
      <x:c r="E1935" s="25" t="n">
        <x:v>40463.38125</x:v>
      </x:c>
      <x:c r="F1935" s="2" t="n">
        <x:v>424</x:v>
      </x:c>
      <x:c r="G1935" s="2" t="n">
        <x:v>1</x:v>
      </x:c>
      <x:c r="H1935" s="11" t="n">
        <x:v>322.93</x:v>
      </x:c>
      <x:c r="I1935" s="2" t="n">
        <x:v>1</x:v>
      </x:c>
      <x:c r="J1935" s="2" t="n">
        <x:v>1</x:v>
      </x:c>
      <x:c r="K1935" s="2" t="n">
        <x:v>2</x:v>
      </x:c>
      <x:c r="L1935" s="2" t="str">
        <x:v>Hibernating</x:v>
      </x:c>
    </x:row>
    <x:row r="1936" ht="22" customHeight="1">
      <x:c r="A1936" s="2"/>
      <x:c r="B1936" s="2" t="str">
        <x:v>14264</x:v>
      </x:c>
      <x:c r="C1936" s="2" t="str">
        <x:v>United Kingdom</x:v>
      </x:c>
      <x:c r="D1936" s="25" t="n">
        <x:v>40275.347916666666</x:v>
      </x:c>
      <x:c r="E1936" s="25" t="n">
        <x:v>40732.22222222222</x:v>
      </x:c>
      <x:c r="F1936" s="2" t="n">
        <x:v>155</x:v>
      </x:c>
      <x:c r="G1936" s="2" t="n">
        <x:v>6</x:v>
      </x:c>
      <x:c r="H1936" s="11" t="n">
        <x:v>1517.36</x:v>
      </x:c>
      <x:c r="I1936" s="2" t="n">
        <x:v>3</x:v>
      </x:c>
      <x:c r="J1936" s="2" t="n">
        <x:v>4</x:v>
      </x:c>
      <x:c r="K1936" s="2" t="n">
        <x:v>4</x:v>
      </x:c>
      <x:c r="L1936" s="2" t="str">
        <x:v>Loyal</x:v>
      </x:c>
    </x:row>
    <x:row r="1937" ht="22" customHeight="1">
      <x:c r="A1937" s="2"/>
      <x:c r="B1937" s="2" t="str">
        <x:v>14265</x:v>
      </x:c>
      <x:c r="C1937" s="2" t="str">
        <x:v>Unspecified</x:v>
      </x:c>
      <x:c r="D1937" s="25" t="n">
        <x:v>40274.402083333334</x:v>
      </x:c>
      <x:c r="E1937" s="25" t="n">
        <x:v>40777.35555555556</x:v>
      </x:c>
      <x:c r="F1937" s="2" t="n">
        <x:v>110</x:v>
      </x:c>
      <x:c r="G1937" s="2" t="n">
        <x:v>4</x:v>
      </x:c>
      <x:c r="H1937" s="11" t="n">
        <x:v>1373.35</x:v>
      </x:c>
      <x:c r="I1937" s="2" t="n">
        <x:v>3</x:v>
      </x:c>
      <x:c r="J1937" s="2" t="n">
        <x:v>3</x:v>
      </x:c>
      <x:c r="K1937" s="2" t="n">
        <x:v>4</x:v>
      </x:c>
      <x:c r="L1937" s="2" t="str">
        <x:v>Loyal</x:v>
      </x:c>
    </x:row>
    <x:row r="1938" ht="22" customHeight="1">
      <x:c r="A1938" s="2"/>
      <x:c r="B1938" s="2" t="str">
        <x:v>14266</x:v>
      </x:c>
      <x:c r="C1938" s="2" t="str">
        <x:v>United Kingdom</x:v>
      </x:c>
      <x:c r="D1938" s="25" t="n">
        <x:v>40458.35555555556</x:v>
      </x:c>
      <x:c r="E1938" s="25" t="n">
        <x:v>40458.35555555556</x:v>
      </x:c>
      <x:c r="F1938" s="2" t="n">
        <x:v>429</x:v>
      </x:c>
      <x:c r="G1938" s="2" t="n">
        <x:v>1</x:v>
      </x:c>
      <x:c r="H1938" s="11" t="n">
        <x:v>40.56</x:v>
      </x:c>
      <x:c r="I1938" s="2" t="n">
        <x:v>1</x:v>
      </x:c>
      <x:c r="J1938" s="2" t="n">
        <x:v>1</x:v>
      </x:c>
      <x:c r="K1938" s="2" t="n">
        <x:v>1</x:v>
      </x:c>
      <x:c r="L1938" s="2" t="str">
        <x:v>Hibernating</x:v>
      </x:c>
    </x:row>
    <x:row r="1939" ht="22" customHeight="1">
      <x:c r="A1939" s="2"/>
      <x:c r="B1939" s="2" t="str">
        <x:v>14267</x:v>
      </x:c>
      <x:c r="C1939" s="2" t="str">
        <x:v>United Kingdom</x:v>
      </x:c>
      <x:c r="D1939" s="25" t="n">
        <x:v>40626.27638888889</x:v>
      </x:c>
      <x:c r="E1939" s="25" t="n">
        <x:v>40724.214583333334</x:v>
      </x:c>
      <x:c r="F1939" s="2" t="n">
        <x:v>163</x:v>
      </x:c>
      <x:c r="G1939" s="2" t="n">
        <x:v>3</x:v>
      </x:c>
      <x:c r="H1939" s="11" t="n">
        <x:v>1516.24</x:v>
      </x:c>
      <x:c r="I1939" s="2" t="n">
        <x:v>3</x:v>
      </x:c>
      <x:c r="J1939" s="2" t="n">
        <x:v>3</x:v>
      </x:c>
      <x:c r="K1939" s="2" t="n">
        <x:v>4</x:v>
      </x:c>
      <x:c r="L1939" s="2" t="str">
        <x:v>Loyal</x:v>
      </x:c>
    </x:row>
    <x:row r="1940" ht="22" customHeight="1">
      <x:c r="A1940" s="2"/>
      <x:c r="B1940" s="2" t="str">
        <x:v>14268</x:v>
      </x:c>
      <x:c r="C1940" s="2" t="str">
        <x:v>United Kingdom</x:v>
      </x:c>
      <x:c r="D1940" s="25" t="n">
        <x:v>40416.239583333336</x:v>
      </x:c>
      <x:c r="E1940" s="25" t="n">
        <x:v>40416.239583333336</x:v>
      </x:c>
      <x:c r="F1940" s="2" t="n">
        <x:v>471</x:v>
      </x:c>
      <x:c r="G1940" s="2" t="n">
        <x:v>1</x:v>
      </x:c>
      <x:c r="H1940" s="11" t="n">
        <x:v>354.85</x:v>
      </x:c>
      <x:c r="I1940" s="2" t="n">
        <x:v>1</x:v>
      </x:c>
      <x:c r="J1940" s="2" t="n">
        <x:v>1</x:v>
      </x:c>
      <x:c r="K1940" s="2" t="n">
        <x:v>2</x:v>
      </x:c>
      <x:c r="L1940" s="2" t="str">
        <x:v>Hibernating</x:v>
      </x:c>
    </x:row>
    <x:row r="1941" ht="22" customHeight="1">
      <x:c r="A1941" s="2"/>
      <x:c r="B1941" s="2" t="str">
        <x:v>14269</x:v>
      </x:c>
      <x:c r="C1941" s="2" t="str">
        <x:v>United Kingdom</x:v>
      </x:c>
      <x:c r="D1941" s="25" t="n">
        <x:v>40447.32847222222</x:v>
      </x:c>
      <x:c r="E1941" s="25" t="n">
        <x:v>40447.32847222222</x:v>
      </x:c>
      <x:c r="F1941" s="2" t="n">
        <x:v>440</x:v>
      </x:c>
      <x:c r="G1941" s="2" t="n">
        <x:v>1</x:v>
      </x:c>
      <x:c r="H1941" s="11" t="n">
        <x:v>295.73</x:v>
      </x:c>
      <x:c r="I1941" s="2" t="n">
        <x:v>1</x:v>
      </x:c>
      <x:c r="J1941" s="2" t="n">
        <x:v>1</x:v>
      </x:c>
      <x:c r="K1941" s="2" t="n">
        <x:v>2</x:v>
      </x:c>
      <x:c r="L1941" s="2" t="str">
        <x:v>Hibernating</x:v>
      </x:c>
    </x:row>
    <x:row r="1942" ht="22" customHeight="1">
      <x:c r="A1942" s="2"/>
      <x:c r="B1942" s="2" t="str">
        <x:v>14270</x:v>
      </x:c>
      <x:c r="C1942" s="2" t="str">
        <x:v>United Kingdom</x:v>
      </x:c>
      <x:c r="D1942" s="25" t="n">
        <x:v>40555.18958333333</x:v>
      </x:c>
      <x:c r="E1942" s="25" t="n">
        <x:v>40555.18958333333</x:v>
      </x:c>
      <x:c r="F1942" s="2" t="n">
        <x:v>332</x:v>
      </x:c>
      <x:c r="G1942" s="2" t="n">
        <x:v>1</x:v>
      </x:c>
      <x:c r="H1942" s="11" t="n">
        <x:v>492.65</x:v>
      </x:c>
      <x:c r="I1942" s="2" t="n">
        <x:v>2</x:v>
      </x:c>
      <x:c r="J1942" s="2" t="n">
        <x:v>1</x:v>
      </x:c>
      <x:c r="K1942" s="2" t="n">
        <x:v>2</x:v>
      </x:c>
      <x:c r="L1942" s="2" t="str">
        <x:v>Hibernating</x:v>
      </x:c>
    </x:row>
    <x:row r="1943" ht="22" customHeight="1">
      <x:c r="A1943" s="2"/>
      <x:c r="B1943" s="2" t="str">
        <x:v>14271</x:v>
      </x:c>
      <x:c r="C1943" s="2" t="str">
        <x:v>United Kingdom</x:v>
      </x:c>
      <x:c r="D1943" s="25" t="n">
        <x:v>40477.50069444445</x:v>
      </x:c>
      <x:c r="E1943" s="25" t="n">
        <x:v>40661.32430555556</x:v>
      </x:c>
      <x:c r="F1943" s="2" t="n">
        <x:v>226</x:v>
      </x:c>
      <x:c r="G1943" s="2" t="n">
        <x:v>2</x:v>
      </x:c>
      <x:c r="H1943" s="11" t="n">
        <x:v>219.13</x:v>
      </x:c>
      <x:c r="I1943" s="2" t="n">
        <x:v>2</x:v>
      </x:c>
      <x:c r="J1943" s="2" t="n">
        <x:v>2</x:v>
      </x:c>
      <x:c r="K1943" s="2" t="n">
        <x:v>1</x:v>
      </x:c>
      <x:c r="L1943" s="2" t="str">
        <x:v>Hibernating</x:v>
      </x:c>
    </x:row>
    <x:row r="1944" ht="22" customHeight="1">
      <x:c r="A1944" s="2"/>
      <x:c r="B1944" s="2" t="str">
        <x:v>14272</x:v>
      </x:c>
      <x:c r="C1944" s="2" t="str">
        <x:v>United Kingdom</x:v>
      </x:c>
      <x:c r="D1944" s="25" t="n">
        <x:v>40304.37569444445</x:v>
      </x:c>
      <x:c r="E1944" s="25" t="n">
        <x:v>40813.21388888889</x:v>
      </x:c>
      <x:c r="F1944" s="2" t="n">
        <x:v>74</x:v>
      </x:c>
      <x:c r="G1944" s="2" t="n">
        <x:v>4</x:v>
      </x:c>
      <x:c r="H1944" s="11" t="n">
        <x:v>920.81</x:v>
      </x:c>
      <x:c r="I1944" s="2" t="n">
        <x:v>3</x:v>
      </x:c>
      <x:c r="J1944" s="2" t="n">
        <x:v>3</x:v>
      </x:c>
      <x:c r="K1944" s="2" t="n">
        <x:v>3</x:v>
      </x:c>
      <x:c r="L1944" s="2" t="str">
        <x:v>Loyal</x:v>
      </x:c>
    </x:row>
    <x:row r="1945" ht="22" customHeight="1">
      <x:c r="A1945" s="2"/>
      <x:c r="B1945" s="2" t="str">
        <x:v>14273</x:v>
      </x:c>
      <x:c r="C1945" s="2" t="str">
        <x:v>United Kingdom</x:v>
      </x:c>
      <x:c r="D1945" s="25" t="n">
        <x:v>40644.35</x:v>
      </x:c>
      <x:c r="E1945" s="25" t="n">
        <x:v>40835.34722222222</x:v>
      </x:c>
      <x:c r="F1945" s="2" t="n">
        <x:v>52</x:v>
      </x:c>
      <x:c r="G1945" s="2" t="n">
        <x:v>4</x:v>
      </x:c>
      <x:c r="H1945" s="11" t="n">
        <x:v>559.97</x:v>
      </x:c>
      <x:c r="I1945" s="2" t="n">
        <x:v>4</x:v>
      </x:c>
      <x:c r="J1945" s="2" t="n">
        <x:v>3</x:v>
      </x:c>
      <x:c r="K1945" s="2" t="n">
        <x:v>2</x:v>
      </x:c>
      <x:c r="L1945" s="2" t="str">
        <x:v>Loyal</x:v>
      </x:c>
    </x:row>
    <x:row r="1946" ht="22" customHeight="1">
      <x:c r="A1946" s="2"/>
      <x:c r="B1946" s="2" t="str">
        <x:v>14274</x:v>
      </x:c>
      <x:c r="C1946" s="2" t="str">
        <x:v>United Kingdom</x:v>
      </x:c>
      <x:c r="D1946" s="25" t="n">
        <x:v>40200.32708333333</x:v>
      </x:c>
      <x:c r="E1946" s="25" t="n">
        <x:v>40200.32708333333</x:v>
      </x:c>
      <x:c r="F1946" s="2" t="n">
        <x:v>687</x:v>
      </x:c>
      <x:c r="G1946" s="2" t="n">
        <x:v>1</x:v>
      </x:c>
      <x:c r="H1946" s="11" t="n">
        <x:v>256.6</x:v>
      </x:c>
      <x:c r="I1946" s="2" t="n">
        <x:v>1</x:v>
      </x:c>
      <x:c r="J1946" s="2" t="n">
        <x:v>1</x:v>
      </x:c>
      <x:c r="K1946" s="2" t="n">
        <x:v>1</x:v>
      </x:c>
      <x:c r="L1946" s="2" t="str">
        <x:v>Hibernating</x:v>
      </x:c>
    </x:row>
    <x:row r="1947" ht="22" customHeight="1">
      <x:c r="A1947" s="2"/>
      <x:c r="B1947" s="2" t="str">
        <x:v>14275</x:v>
      </x:c>
      <x:c r="C1947" s="2" t="str">
        <x:v>United Kingdom</x:v>
      </x:c>
      <x:c r="D1947" s="25" t="n">
        <x:v>40279.313888888886</x:v>
      </x:c>
      <x:c r="E1947" s="25" t="n">
        <x:v>40491.17083333333</x:v>
      </x:c>
      <x:c r="F1947" s="2" t="n">
        <x:v>396</x:v>
      </x:c>
      <x:c r="G1947" s="2" t="n">
        <x:v>6</x:v>
      </x:c>
      <x:c r="H1947" s="11" t="n">
        <x:v>1189.38</x:v>
      </x:c>
      <x:c r="I1947" s="2" t="n">
        <x:v>2</x:v>
      </x:c>
      <x:c r="J1947" s="2" t="n">
        <x:v>4</x:v>
      </x:c>
      <x:c r="K1947" s="2" t="n">
        <x:v>3</x:v>
      </x:c>
      <x:c r="L1947" s="2" t="str">
        <x:v>At risk</x:v>
      </x:c>
    </x:row>
    <x:row r="1948" ht="22" customHeight="1">
      <x:c r="A1948" s="2"/>
      <x:c r="B1948" s="2" t="str">
        <x:v>14276</x:v>
      </x:c>
      <x:c r="C1948" s="2" t="str">
        <x:v>United Kingdom</x:v>
      </x:c>
      <x:c r="D1948" s="25" t="n">
        <x:v>40226.34027777778</x:v>
      </x:c>
      <x:c r="E1948" s="25" t="n">
        <x:v>40788.197916666664</x:v>
      </x:c>
      <x:c r="F1948" s="2" t="n">
        <x:v>99</x:v>
      </x:c>
      <x:c r="G1948" s="2" t="n">
        <x:v>7</x:v>
      </x:c>
      <x:c r="H1948" s="11" t="n">
        <x:v>2102.68</x:v>
      </x:c>
      <x:c r="I1948" s="2" t="n">
        <x:v>3</x:v>
      </x:c>
      <x:c r="J1948" s="2" t="n">
        <x:v>4</x:v>
      </x:c>
      <x:c r="K1948" s="2" t="n">
        <x:v>4</x:v>
      </x:c>
      <x:c r="L1948" s="2" t="str">
        <x:v>Loyal</x:v>
      </x:c>
    </x:row>
    <x:row r="1949" ht="22" customHeight="1">
      <x:c r="A1949" s="2"/>
      <x:c r="B1949" s="2" t="str">
        <x:v>14277</x:v>
      </x:c>
      <x:c r="C1949" s="2" t="str">
        <x:v>France</x:v>
      </x:c>
      <x:c r="D1949" s="25" t="n">
        <x:v>40160.44652777778</x:v>
      </x:c>
      <x:c r="E1949" s="25" t="n">
        <x:v>40871.41736111111</x:v>
      </x:c>
      <x:c r="F1949" s="2" t="n">
        <x:v>16</x:v>
      </x:c>
      <x:c r="G1949" s="2" t="n">
        <x:v>9</x:v>
      </x:c>
      <x:c r="H1949" s="11" t="n">
        <x:v>17225.81</x:v>
      </x:c>
      <x:c r="I1949" s="2" t="n">
        <x:v>5</x:v>
      </x:c>
      <x:c r="J1949" s="2" t="n">
        <x:v>5</x:v>
      </x:c>
      <x:c r="K1949" s="2" t="n">
        <x:v>5</x:v>
      </x:c>
      <x:c r="L1949" s="2" t="str">
        <x:v>Champions</x:v>
      </x:c>
    </x:row>
    <x:row r="1950" ht="22" customHeight="1">
      <x:c r="A1950" s="2"/>
      <x:c r="B1950" s="2" t="str">
        <x:v>14278</x:v>
      </x:c>
      <x:c r="C1950" s="2" t="str">
        <x:v>United Kingdom</x:v>
      </x:c>
      <x:c r="D1950" s="25" t="n">
        <x:v>40477.29652777778</x:v>
      </x:c>
      <x:c r="E1950" s="25" t="n">
        <x:v>40477.29652777778</x:v>
      </x:c>
      <x:c r="F1950" s="2" t="n">
        <x:v>410</x:v>
      </x:c>
      <x:c r="G1950" s="2" t="n">
        <x:v>1</x:v>
      </x:c>
      <x:c r="H1950" s="11" t="n">
        <x:v>205.83</x:v>
      </x:c>
      <x:c r="I1950" s="2" t="n">
        <x:v>2</x:v>
      </x:c>
      <x:c r="J1950" s="2" t="n">
        <x:v>1</x:v>
      </x:c>
      <x:c r="K1950" s="2" t="n">
        <x:v>1</x:v>
      </x:c>
      <x:c r="L1950" s="2" t="str">
        <x:v>Hibernating</x:v>
      </x:c>
    </x:row>
    <x:row r="1951" ht="22" customHeight="1">
      <x:c r="A1951" s="2"/>
      <x:c r="B1951" s="2" t="str">
        <x:v>14279</x:v>
      </x:c>
      <x:c r="C1951" s="2" t="str">
        <x:v>United Kingdom</x:v>
      </x:c>
      <x:c r="D1951" s="25" t="n">
        <x:v>40205.481944444444</x:v>
      </x:c>
      <x:c r="E1951" s="25" t="n">
        <x:v>40366.15416666667</x:v>
      </x:c>
      <x:c r="F1951" s="2" t="n">
        <x:v>521</x:v>
      </x:c>
      <x:c r="G1951" s="2" t="n">
        <x:v>2</x:v>
      </x:c>
      <x:c r="H1951" s="11" t="n">
        <x:v>191.86</x:v>
      </x:c>
      <x:c r="I1951" s="2" t="n">
        <x:v>1</x:v>
      </x:c>
      <x:c r="J1951" s="2" t="n">
        <x:v>2</x:v>
      </x:c>
      <x:c r="K1951" s="2" t="n">
        <x:v>1</x:v>
      </x:c>
      <x:c r="L1951" s="2" t="str">
        <x:v>Hibernating</x:v>
      </x:c>
    </x:row>
    <x:row r="1952" ht="22" customHeight="1">
      <x:c r="A1952" s="2"/>
      <x:c r="B1952" s="2" t="str">
        <x:v>14280</x:v>
      </x:c>
      <x:c r="C1952" s="2" t="str">
        <x:v>United Kingdom</x:v>
      </x:c>
      <x:c r="D1952" s="25" t="n">
        <x:v>40690.23402777778</x:v>
      </x:c>
      <x:c r="E1952" s="25" t="n">
        <x:v>40690.23402777778</x:v>
      </x:c>
      <x:c r="F1952" s="2" t="n">
        <x:v>197</x:v>
      </x:c>
      <x:c r="G1952" s="2" t="n">
        <x:v>1</x:v>
      </x:c>
      <x:c r="H1952" s="11" t="n">
        <x:v>134.04</x:v>
      </x:c>
      <x:c r="I1952" s="2" t="n">
        <x:v>2</x:v>
      </x:c>
      <x:c r="J1952" s="2" t="n">
        <x:v>1</x:v>
      </x:c>
      <x:c r="K1952" s="2" t="n">
        <x:v>1</x:v>
      </x:c>
      <x:c r="L1952" s="2" t="str">
        <x:v>Hibernating</x:v>
      </x:c>
    </x:row>
    <x:row r="1953" ht="22" customHeight="1">
      <x:c r="A1953" s="2"/>
      <x:c r="B1953" s="2" t="str">
        <x:v>14281</x:v>
      </x:c>
      <x:c r="C1953" s="2" t="str">
        <x:v>United Kingdom</x:v>
      </x:c>
      <x:c r="D1953" s="25" t="n">
        <x:v>40478.40625</x:v>
      </x:c>
      <x:c r="E1953" s="25" t="n">
        <x:v>40478.40625</x:v>
      </x:c>
      <x:c r="F1953" s="2" t="n">
        <x:v>409</x:v>
      </x:c>
      <x:c r="G1953" s="2" t="n">
        <x:v>1</x:v>
      </x:c>
      <x:c r="H1953" s="11" t="n">
        <x:v>245.15</x:v>
      </x:c>
      <x:c r="I1953" s="2" t="n">
        <x:v>2</x:v>
      </x:c>
      <x:c r="J1953" s="2" t="n">
        <x:v>1</x:v>
      </x:c>
      <x:c r="K1953" s="2" t="n">
        <x:v>1</x:v>
      </x:c>
      <x:c r="L1953" s="2" t="str">
        <x:v>Hibernating</x:v>
      </x:c>
    </x:row>
    <x:row r="1954" ht="22" customHeight="1">
      <x:c r="A1954" s="2"/>
      <x:c r="B1954" s="2" t="str">
        <x:v>14282</x:v>
      </x:c>
      <x:c r="C1954" s="2" t="str">
        <x:v>United Kingdom</x:v>
      </x:c>
      <x:c r="D1954" s="25" t="n">
        <x:v>40224.26527777778</x:v>
      </x:c>
      <x:c r="E1954" s="25" t="n">
        <x:v>40883.50277777778</x:v>
      </x:c>
      <x:c r="F1954" s="2" t="n">
        <x:v>4</x:v>
      </x:c>
      <x:c r="G1954" s="2" t="n">
        <x:v>25</x:v>
      </x:c>
      <x:c r="H1954" s="11" t="n">
        <x:v>7278.66</x:v>
      </x:c>
      <x:c r="I1954" s="2" t="n">
        <x:v>5</x:v>
      </x:c>
      <x:c r="J1954" s="2" t="n">
        <x:v>5</x:v>
      </x:c>
      <x:c r="K1954" s="2" t="n">
        <x:v>5</x:v>
      </x:c>
      <x:c r="L1954" s="2" t="str">
        <x:v>Champions</x:v>
      </x:c>
    </x:row>
    <x:row r="1955" ht="22" customHeight="1">
      <x:c r="A1955" s="2"/>
      <x:c r="B1955" s="2" t="str">
        <x:v>14283</x:v>
      </x:c>
      <x:c r="C1955" s="2" t="str">
        <x:v>United Kingdom</x:v>
      </x:c>
      <x:c r="D1955" s="25" t="n">
        <x:v>40317.30694444444</x:v>
      </x:c>
      <x:c r="E1955" s="25" t="n">
        <x:v>40423.40694444445</x:v>
      </x:c>
      <x:c r="F1955" s="2" t="n">
        <x:v>464</x:v>
      </x:c>
      <x:c r="G1955" s="2" t="n">
        <x:v>4</x:v>
      </x:c>
      <x:c r="H1955" s="11" t="n">
        <x:v>628.44</x:v>
      </x:c>
      <x:c r="I1955" s="2" t="n">
        <x:v>1</x:v>
      </x:c>
      <x:c r="J1955" s="2" t="n">
        <x:v>3</x:v>
      </x:c>
      <x:c r="K1955" s="2" t="n">
        <x:v>3</x:v>
      </x:c>
      <x:c r="L1955" s="2" t="str">
        <x:v>At risk</x:v>
      </x:c>
    </x:row>
    <x:row r="1956" ht="22" customHeight="1">
      <x:c r="A1956" s="2"/>
      <x:c r="B1956" s="2" t="str">
        <x:v>14284</x:v>
      </x:c>
      <x:c r="C1956" s="2" t="str">
        <x:v>United Kingdom</x:v>
      </x:c>
      <x:c r="D1956" s="25" t="n">
        <x:v>40233.29583333333</x:v>
      </x:c>
      <x:c r="E1956" s="25" t="n">
        <x:v>40856.13263888889</x:v>
      </x:c>
      <x:c r="F1956" s="2" t="n">
        <x:v>31</x:v>
      </x:c>
      <x:c r="G1956" s="2" t="n">
        <x:v>3</x:v>
      </x:c>
      <x:c r="H1956" s="11" t="n">
        <x:v>1299.65</x:v>
      </x:c>
      <x:c r="I1956" s="2" t="n">
        <x:v>4</x:v>
      </x:c>
      <x:c r="J1956" s="2" t="n">
        <x:v>3</x:v>
      </x:c>
      <x:c r="K1956" s="2" t="n">
        <x:v>4</x:v>
      </x:c>
      <x:c r="L1956" s="2" t="str">
        <x:v>Loyal</x:v>
      </x:c>
    </x:row>
    <x:row r="1957" ht="22" customHeight="1">
      <x:c r="A1957" s="2"/>
      <x:c r="B1957" s="2" t="str">
        <x:v>14285</x:v>
      </x:c>
      <x:c r="C1957" s="2" t="str">
        <x:v>United Kingdom</x:v>
      </x:c>
      <x:c r="D1957" s="25" t="n">
        <x:v>40155.38402777778</x:v>
      </x:c>
      <x:c r="E1957" s="25" t="n">
        <x:v>40865.40972222222</x:v>
      </x:c>
      <x:c r="F1957" s="2" t="n">
        <x:v>22</x:v>
      </x:c>
      <x:c r="G1957" s="2" t="n">
        <x:v>8</x:v>
      </x:c>
      <x:c r="H1957" s="11" t="n">
        <x:v>3284.42</x:v>
      </x:c>
      <x:c r="I1957" s="2" t="n">
        <x:v>4</x:v>
      </x:c>
      <x:c r="J1957" s="2" t="n">
        <x:v>4</x:v>
      </x:c>
      <x:c r="K1957" s="2" t="n">
        <x:v>5</x:v>
      </x:c>
      <x:c r="L1957" s="2" t="str">
        <x:v>Champions</x:v>
      </x:c>
    </x:row>
    <x:row r="1958" ht="22" customHeight="1">
      <x:c r="A1958" s="2"/>
      <x:c r="B1958" s="2" t="str">
        <x:v>14286</x:v>
      </x:c>
      <x:c r="C1958" s="2" t="str">
        <x:v>United Kingdom</x:v>
      </x:c>
      <x:c r="D1958" s="25" t="n">
        <x:v>40151.15277777778</x:v>
      </x:c>
      <x:c r="E1958" s="25" t="n">
        <x:v>40863.231944444444</x:v>
      </x:c>
      <x:c r="F1958" s="2" t="n">
        <x:v>24</x:v>
      </x:c>
      <x:c r="G1958" s="2" t="n">
        <x:v>7</x:v>
      </x:c>
      <x:c r="H1958" s="11" t="n">
        <x:v>8479.76</x:v>
      </x:c>
      <x:c r="I1958" s="2" t="n">
        <x:v>4</x:v>
      </x:c>
      <x:c r="J1958" s="2" t="n">
        <x:v>4</x:v>
      </x:c>
      <x:c r="K1958" s="2" t="n">
        <x:v>5</x:v>
      </x:c>
      <x:c r="L1958" s="2" t="str">
        <x:v>Champions</x:v>
      </x:c>
    </x:row>
    <x:row r="1959" ht="22" customHeight="1">
      <x:c r="A1959" s="2"/>
      <x:c r="B1959" s="2" t="str">
        <x:v>14287</x:v>
      </x:c>
      <x:c r="C1959" s="2" t="str">
        <x:v>United Kingdom</x:v>
      </x:c>
      <x:c r="D1959" s="25" t="n">
        <x:v>40688.27847222222</x:v>
      </x:c>
      <x:c r="E1959" s="25" t="n">
        <x:v>40878.350694444445</x:v>
      </x:c>
      <x:c r="F1959" s="2" t="n">
        <x:v>9</x:v>
      </x:c>
      <x:c r="G1959" s="2" t="n">
        <x:v>3</x:v>
      </x:c>
      <x:c r="H1959" s="11" t="n">
        <x:v>176.63</x:v>
      </x:c>
      <x:c r="I1959" s="2" t="n">
        <x:v>5</x:v>
      </x:c>
      <x:c r="J1959" s="2" t="n">
        <x:v>3</x:v>
      </x:c>
      <x:c r="K1959" s="2" t="n">
        <x:v>1</x:v>
      </x:c>
      <x:c r="L1959" s="2" t="str">
        <x:v>Loyal</x:v>
      </x:c>
    </x:row>
    <x:row r="1960" ht="22" customHeight="1">
      <x:c r="A1960" s="2"/>
      <x:c r="B1960" s="2" t="str">
        <x:v>14288</x:v>
      </x:c>
      <x:c r="C1960" s="2" t="str">
        <x:v>United Kingdom</x:v>
      </x:c>
      <x:c r="D1960" s="25" t="n">
        <x:v>40673.34861111111</x:v>
      </x:c>
      <x:c r="E1960" s="25" t="n">
        <x:v>40673.34861111111</x:v>
      </x:c>
      <x:c r="F1960" s="2" t="n">
        <x:v>214</x:v>
      </x:c>
      <x:c r="G1960" s="2" t="n">
        <x:v>1</x:v>
      </x:c>
      <x:c r="H1960" s="11" t="n">
        <x:v>426.6</x:v>
      </x:c>
      <x:c r="I1960" s="2" t="n">
        <x:v>2</x:v>
      </x:c>
      <x:c r="J1960" s="2" t="n">
        <x:v>1</x:v>
      </x:c>
      <x:c r="K1960" s="2" t="n">
        <x:v>2</x:v>
      </x:c>
      <x:c r="L1960" s="2" t="str">
        <x:v>Hibernating</x:v>
      </x:c>
    </x:row>
    <x:row r="1961" ht="22" customHeight="1">
      <x:c r="A1961" s="2"/>
      <x:c r="B1961" s="2" t="str">
        <x:v>14289</x:v>
      </x:c>
      <x:c r="C1961" s="2" t="str">
        <x:v>United Kingdom</x:v>
      </x:c>
      <x:c r="D1961" s="25" t="n">
        <x:v>40597.31458333333</x:v>
      </x:c>
      <x:c r="E1961" s="25" t="n">
        <x:v>40878.28055555555</x:v>
      </x:c>
      <x:c r="F1961" s="2" t="n">
        <x:v>9</x:v>
      </x:c>
      <x:c r="G1961" s="2" t="n">
        <x:v>6</x:v>
      </x:c>
      <x:c r="H1961" s="11" t="n">
        <x:v>911.26</x:v>
      </x:c>
      <x:c r="I1961" s="2" t="n">
        <x:v>5</x:v>
      </x:c>
      <x:c r="J1961" s="2" t="n">
        <x:v>4</x:v>
      </x:c>
      <x:c r="K1961" s="2" t="n">
        <x:v>3</x:v>
      </x:c>
      <x:c r="L1961" s="2" t="str">
        <x:v>Loyal</x:v>
      </x:c>
    </x:row>
    <x:row r="1962" ht="22" customHeight="1">
      <x:c r="A1962" s="2"/>
      <x:c r="B1962" s="2" t="str">
        <x:v>14290</x:v>
      </x:c>
      <x:c r="C1962" s="2" t="str">
        <x:v>United Kingdom</x:v>
      </x:c>
      <x:c r="D1962" s="25" t="n">
        <x:v>40155.28055555555</x:v>
      </x:c>
      <x:c r="E1962" s="25" t="n">
        <x:v>40875.376388888886</x:v>
      </x:c>
      <x:c r="F1962" s="2" t="n">
        <x:v>12</x:v>
      </x:c>
      <x:c r="G1962" s="2" t="n">
        <x:v>8</x:v>
      </x:c>
      <x:c r="H1962" s="11" t="n">
        <x:v>4516.56</x:v>
      </x:c>
      <x:c r="I1962" s="2" t="n">
        <x:v>5</x:v>
      </x:c>
      <x:c r="J1962" s="2" t="n">
        <x:v>4</x:v>
      </x:c>
      <x:c r="K1962" s="2" t="n">
        <x:v>5</x:v>
      </x:c>
      <x:c r="L1962" s="2" t="str">
        <x:v>Champions</x:v>
      </x:c>
    </x:row>
    <x:row r="1963" ht="22" customHeight="1">
      <x:c r="A1963" s="2"/>
      <x:c r="B1963" s="2" t="str">
        <x:v>14291</x:v>
      </x:c>
      <x:c r="C1963" s="2" t="str">
        <x:v>United Kingdom</x:v>
      </x:c>
      <x:c r="D1963" s="25" t="n">
        <x:v>40156.240277777775</x:v>
      </x:c>
      <x:c r="E1963" s="25" t="n">
        <x:v>40885.22638888889</x:v>
      </x:c>
      <x:c r="F1963" s="2" t="n">
        <x:v>2</x:v>
      </x:c>
      <x:c r="G1963" s="2" t="n">
        <x:v>23</x:v>
      </x:c>
      <x:c r="H1963" s="11" t="n">
        <x:v>7904.1</x:v>
      </x:c>
      <x:c r="I1963" s="2" t="n">
        <x:v>5</x:v>
      </x:c>
      <x:c r="J1963" s="2" t="n">
        <x:v>5</x:v>
      </x:c>
      <x:c r="K1963" s="2" t="n">
        <x:v>5</x:v>
      </x:c>
      <x:c r="L1963" s="2" t="str">
        <x:v>Champions</x:v>
      </x:c>
    </x:row>
    <x:row r="1964" ht="22" customHeight="1">
      <x:c r="A1964" s="2"/>
      <x:c r="B1964" s="2" t="str">
        <x:v>14292</x:v>
      </x:c>
      <x:c r="C1964" s="2" t="str">
        <x:v>United Kingdom</x:v>
      </x:c>
      <x:c r="D1964" s="25" t="n">
        <x:v>40256.256944444445</x:v>
      </x:c>
      <x:c r="E1964" s="25" t="n">
        <x:v>40879.28472222222</x:v>
      </x:c>
      <x:c r="F1964" s="2" t="n">
        <x:v>8</x:v>
      </x:c>
      <x:c r="G1964" s="2" t="n">
        <x:v>16</x:v>
      </x:c>
      <x:c r="H1964" s="11" t="n">
        <x:v>9226.25</x:v>
      </x:c>
      <x:c r="I1964" s="2" t="n">
        <x:v>5</x:v>
      </x:c>
      <x:c r="J1964" s="2" t="n">
        <x:v>5</x:v>
      </x:c>
      <x:c r="K1964" s="2" t="n">
        <x:v>5</x:v>
      </x:c>
      <x:c r="L1964" s="2" t="str">
        <x:v>Champions</x:v>
      </x:c>
    </x:row>
    <x:row r="1965" ht="22" customHeight="1">
      <x:c r="A1965" s="2"/>
      <x:c r="B1965" s="2" t="str">
        <x:v>14293</x:v>
      </x:c>
      <x:c r="C1965" s="2" t="str">
        <x:v>United Kingdom</x:v>
      </x:c>
      <x:c r="D1965" s="25" t="n">
        <x:v>40157.24791666667</x:v>
      </x:c>
      <x:c r="E1965" s="25" t="n">
        <x:v>40883.42847222222</x:v>
      </x:c>
      <x:c r="F1965" s="2" t="n">
        <x:v>4</x:v>
      </x:c>
      <x:c r="G1965" s="2" t="n">
        <x:v>9</x:v>
      </x:c>
      <x:c r="H1965" s="11" t="n">
        <x:v>2903.01</x:v>
      </x:c>
      <x:c r="I1965" s="2" t="n">
        <x:v>5</x:v>
      </x:c>
      <x:c r="J1965" s="2" t="n">
        <x:v>5</x:v>
      </x:c>
      <x:c r="K1965" s="2" t="n">
        <x:v>4</x:v>
      </x:c>
      <x:c r="L1965" s="2" t="str">
        <x:v>Champions</x:v>
      </x:c>
    </x:row>
    <x:row r="1966" ht="22" customHeight="1">
      <x:c r="A1966" s="2"/>
      <x:c r="B1966" s="2" t="str">
        <x:v>14294</x:v>
      </x:c>
      <x:c r="C1966" s="2" t="str">
        <x:v>United Kingdom</x:v>
      </x:c>
      <x:c r="D1966" s="25" t="n">
        <x:v>40479.475694444445</x:v>
      </x:c>
      <x:c r="E1966" s="25" t="n">
        <x:v>40479.475694444445</x:v>
      </x:c>
      <x:c r="F1966" s="2" t="n">
        <x:v>408</x:v>
      </x:c>
      <x:c r="G1966" s="2" t="n">
        <x:v>1</x:v>
      </x:c>
      <x:c r="H1966" s="11" t="n">
        <x:v>375.34</x:v>
      </x:c>
      <x:c r="I1966" s="2" t="n">
        <x:v>2</x:v>
      </x:c>
      <x:c r="J1966" s="2" t="n">
        <x:v>1</x:v>
      </x:c>
      <x:c r="K1966" s="2" t="n">
        <x:v>2</x:v>
      </x:c>
      <x:c r="L1966" s="2" t="str">
        <x:v>Hibernating</x:v>
      </x:c>
    </x:row>
    <x:row r="1967" ht="22" customHeight="1">
      <x:c r="A1967" s="2"/>
      <x:c r="B1967" s="2" t="str">
        <x:v>14295</x:v>
      </x:c>
      <x:c r="C1967" s="2" t="str">
        <x:v>United Kingdom</x:v>
      </x:c>
      <x:c r="D1967" s="25" t="n">
        <x:v>40155.200694444444</x:v>
      </x:c>
      <x:c r="E1967" s="25" t="n">
        <x:v>40846.45138888889</x:v>
      </x:c>
      <x:c r="F1967" s="2" t="n">
        <x:v>41</x:v>
      </x:c>
      <x:c r="G1967" s="2" t="n">
        <x:v>5</x:v>
      </x:c>
      <x:c r="H1967" s="11" t="n">
        <x:v>2362.91</x:v>
      </x:c>
      <x:c r="I1967" s="2" t="n">
        <x:v>4</x:v>
      </x:c>
      <x:c r="J1967" s="2" t="n">
        <x:v>4</x:v>
      </x:c>
      <x:c r="K1967" s="2" t="n">
        <x:v>4</x:v>
      </x:c>
      <x:c r="L1967" s="2" t="str">
        <x:v>Champions</x:v>
      </x:c>
    </x:row>
    <x:row r="1968" ht="22" customHeight="1">
      <x:c r="A1968" s="2"/>
      <x:c r="B1968" s="2" t="str">
        <x:v>14296</x:v>
      </x:c>
      <x:c r="C1968" s="2" t="str">
        <x:v>United Kingdom</x:v>
      </x:c>
      <x:c r="D1968" s="25" t="n">
        <x:v>40312.39861111111</x:v>
      </x:c>
      <x:c r="E1968" s="25" t="n">
        <x:v>40465.384722222225</x:v>
      </x:c>
      <x:c r="F1968" s="2" t="n">
        <x:v>422</x:v>
      </x:c>
      <x:c r="G1968" s="2" t="n">
        <x:v>2</x:v>
      </x:c>
      <x:c r="H1968" s="11" t="n">
        <x:v>456.4</x:v>
      </x:c>
      <x:c r="I1968" s="2" t="n">
        <x:v>1</x:v>
      </x:c>
      <x:c r="J1968" s="2" t="n">
        <x:v>2</x:v>
      </x:c>
      <x:c r="K1968" s="2" t="n">
        <x:v>2</x:v>
      </x:c>
      <x:c r="L1968" s="2" t="str">
        <x:v>Hibernating</x:v>
      </x:c>
    </x:row>
    <x:row r="1969" ht="22" customHeight="1">
      <x:c r="A1969" s="2"/>
      <x:c r="B1969" s="2" t="str">
        <x:v>14297</x:v>
      </x:c>
      <x:c r="C1969" s="2" t="str">
        <x:v>United Kingdom</x:v>
      </x:c>
      <x:c r="D1969" s="25" t="n">
        <x:v>40612.146527777775</x:v>
      </x:c>
      <x:c r="E1969" s="25" t="n">
        <x:v>40869.17083333333</x:v>
      </x:c>
      <x:c r="F1969" s="2" t="n">
        <x:v>18</x:v>
      </x:c>
      <x:c r="G1969" s="2" t="n">
        <x:v>4</x:v>
      </x:c>
      <x:c r="H1969" s="11" t="n">
        <x:v>1305.33</x:v>
      </x:c>
      <x:c r="I1969" s="2" t="n">
        <x:v>5</x:v>
      </x:c>
      <x:c r="J1969" s="2" t="n">
        <x:v>3</x:v>
      </x:c>
      <x:c r="K1969" s="2" t="n">
        <x:v>4</x:v>
      </x:c>
      <x:c r="L1969" s="2" t="str">
        <x:v>Loyal</x:v>
      </x:c>
    </x:row>
    <x:row r="1970" ht="22" customHeight="1">
      <x:c r="A1970" s="2"/>
      <x:c r="B1970" s="2" t="str">
        <x:v>14298</x:v>
      </x:c>
      <x:c r="C1970" s="2" t="str">
        <x:v>United Kingdom</x:v>
      </x:c>
      <x:c r="D1970" s="25" t="n">
        <x:v>40158.36736111111</x:v>
      </x:c>
      <x:c r="E1970" s="25" t="n">
        <x:v>40878.34166666667</x:v>
      </x:c>
      <x:c r="F1970" s="2" t="n">
        <x:v>9</x:v>
      </x:c>
      <x:c r="G1970" s="2" t="n">
        <x:v>82</x:v>
      </x:c>
      <x:c r="H1970" s="11" t="n">
        <x:v>91194.49</x:v>
      </x:c>
      <x:c r="I1970" s="2" t="n">
        <x:v>5</x:v>
      </x:c>
      <x:c r="J1970" s="2" t="n">
        <x:v>5</x:v>
      </x:c>
      <x:c r="K1970" s="2" t="n">
        <x:v>5</x:v>
      </x:c>
      <x:c r="L1970" s="2" t="str">
        <x:v>Champions</x:v>
      </x:c>
    </x:row>
    <x:row r="1971" ht="22" customHeight="1">
      <x:c r="A1971" s="2"/>
      <x:c r="B1971" s="2" t="str">
        <x:v>14299</x:v>
      </x:c>
      <x:c r="C1971" s="2" t="str">
        <x:v>United Kingdom</x:v>
      </x:c>
      <x:c r="D1971" s="25" t="n">
        <x:v>40149.248611111114</x:v>
      </x:c>
      <x:c r="E1971" s="25" t="n">
        <x:v>40878.461805555555</x:v>
      </x:c>
      <x:c r="F1971" s="2" t="n">
        <x:v>9</x:v>
      </x:c>
      <x:c r="G1971" s="2" t="n">
        <x:v>27</x:v>
      </x:c>
      <x:c r="H1971" s="11" t="n">
        <x:v>14070.25</x:v>
      </x:c>
      <x:c r="I1971" s="2" t="n">
        <x:v>5</x:v>
      </x:c>
      <x:c r="J1971" s="2" t="n">
        <x:v>5</x:v>
      </x:c>
      <x:c r="K1971" s="2" t="n">
        <x:v>5</x:v>
      </x:c>
      <x:c r="L1971" s="2" t="str">
        <x:v>Champions</x:v>
      </x:c>
    </x:row>
    <x:row r="1972" ht="22" customHeight="1">
      <x:c r="A1972" s="2"/>
      <x:c r="B1972" s="2" t="str">
        <x:v>14300</x:v>
      </x:c>
      <x:c r="C1972" s="2" t="str">
        <x:v>United Kingdom</x:v>
      </x:c>
      <x:c r="D1972" s="25" t="n">
        <x:v>40868.16458333333</x:v>
      </x:c>
      <x:c r="E1972" s="25" t="n">
        <x:v>40868.16458333333</x:v>
      </x:c>
      <x:c r="F1972" s="2" t="n">
        <x:v>19</x:v>
      </x:c>
      <x:c r="G1972" s="2" t="n">
        <x:v>1</x:v>
      </x:c>
      <x:c r="H1972" s="11" t="n">
        <x:v>43.2</x:v>
      </x:c>
      <x:c r="I1972" s="2" t="n">
        <x:v>5</x:v>
      </x:c>
      <x:c r="J1972" s="2" t="n">
        <x:v>1</x:v>
      </x:c>
      <x:c r="K1972" s="2" t="n">
        <x:v>1</x:v>
      </x:c>
      <x:c r="L1972" s="2" t="str">
        <x:v>Recent light buyers</x:v>
      </x:c>
    </x:row>
    <x:row r="1973" ht="22" customHeight="1">
      <x:c r="A1973" s="2"/>
      <x:c r="B1973" s="2" t="str">
        <x:v>14301</x:v>
      </x:c>
      <x:c r="C1973" s="2" t="str">
        <x:v>United Kingdom</x:v>
      </x:c>
      <x:c r="D1973" s="25" t="n">
        <x:v>40220.33819444444</x:v>
      </x:c>
      <x:c r="E1973" s="25" t="n">
        <x:v>40769.43958333333</x:v>
      </x:c>
      <x:c r="F1973" s="2" t="n">
        <x:v>118</x:v>
      </x:c>
      <x:c r="G1973" s="2" t="n">
        <x:v>4</x:v>
      </x:c>
      <x:c r="H1973" s="11" t="n">
        <x:v>1992.18</x:v>
      </x:c>
      <x:c r="I1973" s="2" t="n">
        <x:v>3</x:v>
      </x:c>
      <x:c r="J1973" s="2" t="n">
        <x:v>3</x:v>
      </x:c>
      <x:c r="K1973" s="2" t="n">
        <x:v>4</x:v>
      </x:c>
      <x:c r="L1973" s="2" t="str">
        <x:v>Loyal</x:v>
      </x:c>
    </x:row>
    <x:row r="1974" ht="22" customHeight="1">
      <x:c r="A1974" s="2"/>
      <x:c r="B1974" s="2" t="str">
        <x:v>14302</x:v>
      </x:c>
      <x:c r="C1974" s="2" t="str">
        <x:v>United Kingdom</x:v>
      </x:c>
      <x:c r="D1974" s="25" t="n">
        <x:v>40149.13611111111</x:v>
      </x:c>
      <x:c r="E1974" s="25" t="n">
        <x:v>40456.131944444445</x:v>
      </x:c>
      <x:c r="F1974" s="2" t="n">
        <x:v>431</x:v>
      </x:c>
      <x:c r="G1974" s="2" t="n">
        <x:v>3</x:v>
      </x:c>
      <x:c r="H1974" s="11" t="n">
        <x:v>742.9</x:v>
      </x:c>
      <x:c r="I1974" s="2" t="n">
        <x:v>1</x:v>
      </x:c>
      <x:c r="J1974" s="2" t="n">
        <x:v>3</x:v>
      </x:c>
      <x:c r="K1974" s="2" t="n">
        <x:v>3</x:v>
      </x:c>
      <x:c r="L1974" s="2" t="str">
        <x:v>At risk</x:v>
      </x:c>
    </x:row>
    <x:row r="1975" ht="22" customHeight="1">
      <x:c r="A1975" s="2"/>
      <x:c r="B1975" s="2" t="str">
        <x:v>14303</x:v>
      </x:c>
      <x:c r="C1975" s="2" t="str">
        <x:v>United Kingdom</x:v>
      </x:c>
      <x:c r="D1975" s="25" t="n">
        <x:v>40452.22986111111</x:v>
      </x:c>
      <x:c r="E1975" s="25" t="n">
        <x:v>40479.44236111111</x:v>
      </x:c>
      <x:c r="F1975" s="2" t="n">
        <x:v>408</x:v>
      </x:c>
      <x:c r="G1975" s="2" t="n">
        <x:v>2</x:v>
      </x:c>
      <x:c r="H1975" s="11" t="n">
        <x:v>277.94</x:v>
      </x:c>
      <x:c r="I1975" s="2" t="n">
        <x:v>2</x:v>
      </x:c>
      <x:c r="J1975" s="2" t="n">
        <x:v>2</x:v>
      </x:c>
      <x:c r="K1975" s="2" t="n">
        <x:v>1</x:v>
      </x:c>
      <x:c r="L1975" s="2" t="str">
        <x:v>Hibernating</x:v>
      </x:c>
    </x:row>
    <x:row r="1976" ht="22" customHeight="1">
      <x:c r="A1976" s="2"/>
      <x:c r="B1976" s="2" t="str">
        <x:v>14304</x:v>
      </x:c>
      <x:c r="C1976" s="2" t="str">
        <x:v>United Kingdom</x:v>
      </x:c>
      <x:c r="D1976" s="25" t="n">
        <x:v>40316.243055555555</x:v>
      </x:c>
      <x:c r="E1976" s="25" t="n">
        <x:v>40664.28472222222</x:v>
      </x:c>
      <x:c r="F1976" s="2" t="n">
        <x:v>223</x:v>
      </x:c>
      <x:c r="G1976" s="2" t="n">
        <x:v>3</x:v>
      </x:c>
      <x:c r="H1976" s="11" t="n">
        <x:v>1725.01</x:v>
      </x:c>
      <x:c r="I1976" s="2" t="n">
        <x:v>2</x:v>
      </x:c>
      <x:c r="J1976" s="2" t="n">
        <x:v>3</x:v>
      </x:c>
      <x:c r="K1976" s="2" t="n">
        <x:v>4</x:v>
      </x:c>
      <x:c r="L1976" s="2" t="str">
        <x:v>At risk</x:v>
      </x:c>
    </x:row>
    <x:row r="1977" ht="22" customHeight="1">
      <x:c r="A1977" s="2"/>
      <x:c r="B1977" s="2" t="str">
        <x:v>14305</x:v>
      </x:c>
      <x:c r="C1977" s="2" t="str">
        <x:v>United Kingdom</x:v>
      </x:c>
      <x:c r="D1977" s="25" t="n">
        <x:v>40751.384722222225</x:v>
      </x:c>
      <x:c r="E1977" s="25" t="n">
        <x:v>40815.43680555555</x:v>
      </x:c>
      <x:c r="F1977" s="2" t="n">
        <x:v>72</x:v>
      </x:c>
      <x:c r="G1977" s="2" t="n">
        <x:v>3</x:v>
      </x:c>
      <x:c r="H1977" s="11" t="n">
        <x:v>1858.96</x:v>
      </x:c>
      <x:c r="I1977" s="2" t="n">
        <x:v>3</x:v>
      </x:c>
      <x:c r="J1977" s="2" t="n">
        <x:v>3</x:v>
      </x:c>
      <x:c r="K1977" s="2" t="n">
        <x:v>4</x:v>
      </x:c>
      <x:c r="L1977" s="2" t="str">
        <x:v>Loyal</x:v>
      </x:c>
    </x:row>
    <x:row r="1978" ht="22" customHeight="1">
      <x:c r="A1978" s="2"/>
      <x:c r="B1978" s="2" t="str">
        <x:v>14306</x:v>
      </x:c>
      <x:c r="C1978" s="2" t="str">
        <x:v>United Kingdom</x:v>
      </x:c>
      <x:c r="D1978" s="25" t="n">
        <x:v>40209.3625</x:v>
      </x:c>
      <x:c r="E1978" s="25" t="n">
        <x:v>40835.34930555556</x:v>
      </x:c>
      <x:c r="F1978" s="2" t="n">
        <x:v>52</x:v>
      </x:c>
      <x:c r="G1978" s="2" t="n">
        <x:v>6</x:v>
      </x:c>
      <x:c r="H1978" s="11" t="n">
        <x:v>3151.4</x:v>
      </x:c>
      <x:c r="I1978" s="2" t="n">
        <x:v>4</x:v>
      </x:c>
      <x:c r="J1978" s="2" t="n">
        <x:v>4</x:v>
      </x:c>
      <x:c r="K1978" s="2" t="n">
        <x:v>5</x:v>
      </x:c>
      <x:c r="L1978" s="2" t="str">
        <x:v>Champions</x:v>
      </x:c>
    </x:row>
    <x:row r="1979" ht="22" customHeight="1">
      <x:c r="A1979" s="2"/>
      <x:c r="B1979" s="2" t="str">
        <x:v>14307</x:v>
      </x:c>
      <x:c r="C1979" s="2" t="str">
        <x:v>United Kingdom</x:v>
      </x:c>
      <x:c r="D1979" s="25" t="n">
        <x:v>40154.3375</x:v>
      </x:c>
      <x:c r="E1979" s="25" t="n">
        <x:v>40798.19305555556</x:v>
      </x:c>
      <x:c r="F1979" s="2" t="n">
        <x:v>89</x:v>
      </x:c>
      <x:c r="G1979" s="2" t="n">
        <x:v>10</x:v>
      </x:c>
      <x:c r="H1979" s="11" t="n">
        <x:v>4287.92</x:v>
      </x:c>
      <x:c r="I1979" s="2" t="n">
        <x:v>3</x:v>
      </x:c>
      <x:c r="J1979" s="2" t="n">
        <x:v>5</x:v>
      </x:c>
      <x:c r="K1979" s="2" t="n">
        <x:v>5</x:v>
      </x:c>
      <x:c r="L1979" s="2" t="str">
        <x:v>Loyal</x:v>
      </x:c>
    </x:row>
    <x:row r="1980" ht="22" customHeight="1">
      <x:c r="A1980" s="2"/>
      <x:c r="B1980" s="2" t="str">
        <x:v>14308</x:v>
      </x:c>
      <x:c r="C1980" s="2" t="str">
        <x:v>United Kingdom</x:v>
      </x:c>
      <x:c r="D1980" s="25" t="n">
        <x:v>40337.48541666667</x:v>
      </x:c>
      <x:c r="E1980" s="25" t="n">
        <x:v>40337.49166666667</x:v>
      </x:c>
      <x:c r="F1980" s="2" t="n">
        <x:v>550</x:v>
      </x:c>
      <x:c r="G1980" s="2" t="n">
        <x:v>2</x:v>
      </x:c>
      <x:c r="H1980" s="11" t="n">
        <x:v>1147.02</x:v>
      </x:c>
      <x:c r="I1980" s="2" t="n">
        <x:v>1</x:v>
      </x:c>
      <x:c r="J1980" s="2" t="n">
        <x:v>2</x:v>
      </x:c>
      <x:c r="K1980" s="2" t="n">
        <x:v>3</x:v>
      </x:c>
      <x:c r="L1980" s="2" t="str">
        <x:v>Hibernating</x:v>
      </x:c>
    </x:row>
    <x:row r="1981" ht="22" customHeight="1">
      <x:c r="A1981" s="2"/>
      <x:c r="B1981" s="2" t="str">
        <x:v>14309</x:v>
      </x:c>
      <x:c r="C1981" s="2" t="str">
        <x:v>United Kingdom</x:v>
      </x:c>
      <x:c r="D1981" s="25" t="n">
        <x:v>40336.225</x:v>
      </x:c>
      <x:c r="E1981" s="25" t="n">
        <x:v>40878.35625</x:v>
      </x:c>
      <x:c r="F1981" s="2" t="n">
        <x:v>9</x:v>
      </x:c>
      <x:c r="G1981" s="2" t="n">
        <x:v>11</x:v>
      </x:c>
      <x:c r="H1981" s="11" t="n">
        <x:v>3780.81</x:v>
      </x:c>
      <x:c r="I1981" s="2" t="n">
        <x:v>5</x:v>
      </x:c>
      <x:c r="J1981" s="2" t="n">
        <x:v>5</x:v>
      </x:c>
      <x:c r="K1981" s="2" t="n">
        <x:v>5</x:v>
      </x:c>
      <x:c r="L1981" s="2" t="str">
        <x:v>Champions</x:v>
      </x:c>
    </x:row>
    <x:row r="1982" ht="22" customHeight="1">
      <x:c r="A1982" s="2"/>
      <x:c r="B1982" s="2" t="str">
        <x:v>14310</x:v>
      </x:c>
      <x:c r="C1982" s="2" t="str">
        <x:v>United Kingdom</x:v>
      </x:c>
      <x:c r="D1982" s="25" t="n">
        <x:v>40454.31527777778</x:v>
      </x:c>
      <x:c r="E1982" s="25" t="n">
        <x:v>40454.31527777778</x:v>
      </x:c>
      <x:c r="F1982" s="2" t="n">
        <x:v>433</x:v>
      </x:c>
      <x:c r="G1982" s="2" t="n">
        <x:v>1</x:v>
      </x:c>
      <x:c r="H1982" s="11" t="n">
        <x:v>492.1</x:v>
      </x:c>
      <x:c r="I1982" s="2" t="n">
        <x:v>1</x:v>
      </x:c>
      <x:c r="J1982" s="2" t="n">
        <x:v>1</x:v>
      </x:c>
      <x:c r="K1982" s="2" t="n">
        <x:v>2</x:v>
      </x:c>
      <x:c r="L1982" s="2" t="str">
        <x:v>Hibernating</x:v>
      </x:c>
    </x:row>
    <x:row r="1983" ht="22" customHeight="1">
      <x:c r="A1983" s="2"/>
      <x:c r="B1983" s="2" t="str">
        <x:v>14311</x:v>
      </x:c>
      <x:c r="C1983" s="2" t="str">
        <x:v>United Kingdom</x:v>
      </x:c>
      <x:c r="D1983" s="25" t="n">
        <x:v>40319.22777777778</x:v>
      </x:c>
      <x:c r="E1983" s="25" t="n">
        <x:v>40644.21805555555</x:v>
      </x:c>
      <x:c r="F1983" s="2" t="n">
        <x:v>243</x:v>
      </x:c>
      <x:c r="G1983" s="2" t="n">
        <x:v>2</x:v>
      </x:c>
      <x:c r="H1983" s="11" t="n">
        <x:v>516.45</x:v>
      </x:c>
      <x:c r="I1983" s="2" t="n">
        <x:v>2</x:v>
      </x:c>
      <x:c r="J1983" s="2" t="n">
        <x:v>2</x:v>
      </x:c>
      <x:c r="K1983" s="2" t="n">
        <x:v>2</x:v>
      </x:c>
      <x:c r="L1983" s="2" t="str">
        <x:v>Hibernating</x:v>
      </x:c>
    </x:row>
    <x:row r="1984" ht="22" customHeight="1">
      <x:c r="A1984" s="2"/>
      <x:c r="B1984" s="2" t="str">
        <x:v>14312</x:v>
      </x:c>
      <x:c r="C1984" s="2" t="str">
        <x:v>United Kingdom</x:v>
      </x:c>
      <x:c r="D1984" s="25" t="n">
        <x:v>40382.42013888889</x:v>
      </x:c>
      <x:c r="E1984" s="25" t="n">
        <x:v>40840.19861111111</x:v>
      </x:c>
      <x:c r="F1984" s="2" t="n">
        <x:v>47</x:v>
      </x:c>
      <x:c r="G1984" s="2" t="n">
        <x:v>11</x:v>
      </x:c>
      <x:c r="H1984" s="11" t="n">
        <x:v>3090.29</x:v>
      </x:c>
      <x:c r="I1984" s="2" t="n">
        <x:v>4</x:v>
      </x:c>
      <x:c r="J1984" s="2" t="n">
        <x:v>5</x:v>
      </x:c>
      <x:c r="K1984" s="2" t="n">
        <x:v>5</x:v>
      </x:c>
      <x:c r="L1984" s="2" t="str">
        <x:v>Champions</x:v>
      </x:c>
    </x:row>
    <x:row r="1985" ht="22" customHeight="1">
      <x:c r="A1985" s="2"/>
      <x:c r="B1985" s="2" t="str">
        <x:v>14314</x:v>
      </x:c>
      <x:c r="C1985" s="2" t="str">
        <x:v>United Kingdom</x:v>
      </x:c>
      <x:c r="D1985" s="25" t="n">
        <x:v>40456.125</x:v>
      </x:c>
      <x:c r="E1985" s="25" t="n">
        <x:v>40780.23541666667</x:v>
      </x:c>
      <x:c r="F1985" s="2" t="n">
        <x:v>107</x:v>
      </x:c>
      <x:c r="G1985" s="2" t="n">
        <x:v>2</x:v>
      </x:c>
      <x:c r="H1985" s="11" t="n">
        <x:v>229.8</x:v>
      </x:c>
      <x:c r="I1985" s="2" t="n">
        <x:v>3</x:v>
      </x:c>
      <x:c r="J1985" s="2" t="n">
        <x:v>2</x:v>
      </x:c>
      <x:c r="K1985" s="2" t="n">
        <x:v>1</x:v>
      </x:c>
      <x:c r="L1985" s="2" t="str">
        <x:v>Developing</x:v>
      </x:c>
    </x:row>
    <x:row r="1986" ht="22" customHeight="1">
      <x:c r="A1986" s="2"/>
      <x:c r="B1986" s="2" t="str">
        <x:v>14315</x:v>
      </x:c>
      <x:c r="C1986" s="2" t="str">
        <x:v>United Kingdom</x:v>
      </x:c>
      <x:c r="D1986" s="25" t="n">
        <x:v>40252.325694444444</x:v>
      </x:c>
      <x:c r="E1986" s="25" t="n">
        <x:v>40842.29583333333</x:v>
      </x:c>
      <x:c r="F1986" s="2" t="n">
        <x:v>45</x:v>
      </x:c>
      <x:c r="G1986" s="2" t="n">
        <x:v>8</x:v>
      </x:c>
      <x:c r="H1986" s="11" t="n">
        <x:v>3197.82</x:v>
      </x:c>
      <x:c r="I1986" s="2" t="n">
        <x:v>4</x:v>
      </x:c>
      <x:c r="J1986" s="2" t="n">
        <x:v>4</x:v>
      </x:c>
      <x:c r="K1986" s="2" t="n">
        <x:v>5</x:v>
      </x:c>
      <x:c r="L1986" s="2" t="str">
        <x:v>Champions</x:v>
      </x:c>
    </x:row>
    <x:row r="1987" ht="22" customHeight="1">
      <x:c r="A1987" s="2"/>
      <x:c r="B1987" s="2" t="str">
        <x:v>14316</x:v>
      </x:c>
      <x:c r="C1987" s="2" t="str">
        <x:v>United Kingdom</x:v>
      </x:c>
      <x:c r="D1987" s="25" t="n">
        <x:v>40256.42916666667</x:v>
      </x:c>
      <x:c r="E1987" s="25" t="n">
        <x:v>40464.47986111111</x:v>
      </x:c>
      <x:c r="F1987" s="2" t="n">
        <x:v>423</x:v>
      </x:c>
      <x:c r="G1987" s="2" t="n">
        <x:v>5</x:v>
      </x:c>
      <x:c r="H1987" s="11" t="n">
        <x:v>1370.34</x:v>
      </x:c>
      <x:c r="I1987" s="2" t="n">
        <x:v>1</x:v>
      </x:c>
      <x:c r="J1987" s="2" t="n">
        <x:v>4</x:v>
      </x:c>
      <x:c r="K1987" s="2" t="n">
        <x:v>4</x:v>
      </x:c>
      <x:c r="L1987" s="2" t="str">
        <x:v>At risk</x:v>
      </x:c>
    </x:row>
    <x:row r="1988" ht="22" customHeight="1">
      <x:c r="A1988" s="2"/>
      <x:c r="B1988" s="2" t="str">
        <x:v>14317</x:v>
      </x:c>
      <x:c r="C1988" s="2" t="str">
        <x:v>United Kingdom</x:v>
      </x:c>
      <x:c r="D1988" s="25" t="n">
        <x:v>40822.23888888889</x:v>
      </x:c>
      <x:c r="E1988" s="25" t="n">
        <x:v>40822.23888888889</x:v>
      </x:c>
      <x:c r="F1988" s="2" t="n">
        <x:v>65</x:v>
      </x:c>
      <x:c r="G1988" s="2" t="n">
        <x:v>1</x:v>
      </x:c>
      <x:c r="H1988" s="11" t="n">
        <x:v>508.58</x:v>
      </x:c>
      <x:c r="I1988" s="2" t="n">
        <x:v>3</x:v>
      </x:c>
      <x:c r="J1988" s="2" t="n">
        <x:v>1</x:v>
      </x:c>
      <x:c r="K1988" s="2" t="n">
        <x:v>2</x:v>
      </x:c>
      <x:c r="L1988" s="2" t="str">
        <x:v>Developing</x:v>
      </x:c>
    </x:row>
    <x:row r="1989" ht="22" customHeight="1">
      <x:c r="A1989" s="2"/>
      <x:c r="B1989" s="2" t="str">
        <x:v>14318</x:v>
      </x:c>
      <x:c r="C1989" s="2" t="str">
        <x:v>United Kingdom</x:v>
      </x:c>
      <x:c r="D1989" s="25" t="n">
        <x:v>40426.438888888886</x:v>
      </x:c>
      <x:c r="E1989" s="25" t="n">
        <x:v>40426.438888888886</x:v>
      </x:c>
      <x:c r="F1989" s="2" t="n">
        <x:v>461</x:v>
      </x:c>
      <x:c r="G1989" s="2" t="n">
        <x:v>1</x:v>
      </x:c>
      <x:c r="H1989" s="11" t="n">
        <x:v>158.02</x:v>
      </x:c>
      <x:c r="I1989" s="2" t="n">
        <x:v>1</x:v>
      </x:c>
      <x:c r="J1989" s="2" t="n">
        <x:v>1</x:v>
      </x:c>
      <x:c r="K1989" s="2" t="n">
        <x:v>1</x:v>
      </x:c>
      <x:c r="L1989" s="2" t="str">
        <x:v>Hibernating</x:v>
      </x:c>
    </x:row>
    <x:row r="1990" ht="22" customHeight="1">
      <x:c r="A1990" s="2"/>
      <x:c r="B1990" s="2" t="str">
        <x:v>14319</x:v>
      </x:c>
      <x:c r="C1990" s="2" t="str">
        <x:v>United Kingdom</x:v>
      </x:c>
      <x:c r="D1990" s="25" t="n">
        <x:v>40462.35972222222</x:v>
      </x:c>
      <x:c r="E1990" s="25" t="n">
        <x:v>40462.35972222222</x:v>
      </x:c>
      <x:c r="F1990" s="2" t="n">
        <x:v>425</x:v>
      </x:c>
      <x:c r="G1990" s="2" t="n">
        <x:v>1</x:v>
      </x:c>
      <x:c r="H1990" s="11" t="n">
        <x:v>494.85</x:v>
      </x:c>
      <x:c r="I1990" s="2" t="n">
        <x:v>1</x:v>
      </x:c>
      <x:c r="J1990" s="2" t="n">
        <x:v>1</x:v>
      </x:c>
      <x:c r="K1990" s="2" t="n">
        <x:v>2</x:v>
      </x:c>
      <x:c r="L1990" s="2" t="str">
        <x:v>Hibernating</x:v>
      </x:c>
    </x:row>
    <x:row r="1991" ht="22" customHeight="1">
      <x:c r="A1991" s="2"/>
      <x:c r="B1991" s="2" t="str">
        <x:v>14320</x:v>
      </x:c>
      <x:c r="C1991" s="2" t="str">
        <x:v>United Kingdom</x:v>
      </x:c>
      <x:c r="D1991" s="25" t="n">
        <x:v>40199.28055555555</x:v>
      </x:c>
      <x:c r="E1991" s="25" t="n">
        <x:v>40680.183333333334</x:v>
      </x:c>
      <x:c r="F1991" s="2" t="n">
        <x:v>207</x:v>
      </x:c>
      <x:c r="G1991" s="2" t="n">
        <x:v>5</x:v>
      </x:c>
      <x:c r="H1991" s="11" t="n">
        <x:v>1346.75</x:v>
      </x:c>
      <x:c r="I1991" s="2" t="n">
        <x:v>2</x:v>
      </x:c>
      <x:c r="J1991" s="2" t="n">
        <x:v>4</x:v>
      </x:c>
      <x:c r="K1991" s="2" t="n">
        <x:v>4</x:v>
      </x:c>
      <x:c r="L1991" s="2" t="str">
        <x:v>At risk</x:v>
      </x:c>
    </x:row>
    <x:row r="1992" ht="22" customHeight="1">
      <x:c r="A1992" s="2"/>
      <x:c r="B1992" s="2" t="str">
        <x:v>14321</x:v>
      </x:c>
      <x:c r="C1992" s="2" t="str">
        <x:v>United Kingdom</x:v>
      </x:c>
      <x:c r="D1992" s="25" t="n">
        <x:v>40413.330555555556</x:v>
      </x:c>
      <x:c r="E1992" s="25" t="n">
        <x:v>40876.19930555556</x:v>
      </x:c>
      <x:c r="F1992" s="2" t="n">
        <x:v>11</x:v>
      </x:c>
      <x:c r="G1992" s="2" t="n">
        <x:v>7</x:v>
      </x:c>
      <x:c r="H1992" s="11" t="n">
        <x:v>2218.06</x:v>
      </x:c>
      <x:c r="I1992" s="2" t="n">
        <x:v>5</x:v>
      </x:c>
      <x:c r="J1992" s="2" t="n">
        <x:v>4</x:v>
      </x:c>
      <x:c r="K1992" s="2" t="n">
        <x:v>4</x:v>
      </x:c>
      <x:c r="L1992" s="2" t="str">
        <x:v>Champions</x:v>
      </x:c>
    </x:row>
    <x:row r="1993" ht="22" customHeight="1">
      <x:c r="A1993" s="2"/>
      <x:c r="B1993" s="2" t="str">
        <x:v>14322</x:v>
      </x:c>
      <x:c r="C1993" s="2" t="str">
        <x:v>United Kingdom</x:v>
      </x:c>
      <x:c r="D1993" s="25" t="n">
        <x:v>40227.15902777778</x:v>
      </x:c>
      <x:c r="E1993" s="25" t="n">
        <x:v>40457.42847222222</x:v>
      </x:c>
      <x:c r="F1993" s="2" t="n">
        <x:v>430</x:v>
      </x:c>
      <x:c r="G1993" s="2" t="n">
        <x:v>4</x:v>
      </x:c>
      <x:c r="H1993" s="11" t="n">
        <x:v>474.1</x:v>
      </x:c>
      <x:c r="I1993" s="2" t="n">
        <x:v>1</x:v>
      </x:c>
      <x:c r="J1993" s="2" t="n">
        <x:v>3</x:v>
      </x:c>
      <x:c r="K1993" s="2" t="n">
        <x:v>2</x:v>
      </x:c>
      <x:c r="L1993" s="2" t="str">
        <x:v>At risk</x:v>
      </x:c>
    </x:row>
    <x:row r="1994" ht="22" customHeight="1">
      <x:c r="A1994" s="2"/>
      <x:c r="B1994" s="2" t="str">
        <x:v>14323</x:v>
      </x:c>
      <x:c r="C1994" s="2" t="str">
        <x:v>United Kingdom</x:v>
      </x:c>
      <x:c r="D1994" s="25" t="n">
        <x:v>40648.28055555555</x:v>
      </x:c>
      <x:c r="E1994" s="25" t="n">
        <x:v>40772.27569444444</x:v>
      </x:c>
      <x:c r="F1994" s="2" t="n">
        <x:v>115</x:v>
      </x:c>
      <x:c r="G1994" s="2" t="n">
        <x:v>2</x:v>
      </x:c>
      <x:c r="H1994" s="11" t="n">
        <x:v>605.06</x:v>
      </x:c>
      <x:c r="I1994" s="2" t="n">
        <x:v>3</x:v>
      </x:c>
      <x:c r="J1994" s="2" t="n">
        <x:v>2</x:v>
      </x:c>
      <x:c r="K1994" s="2" t="n">
        <x:v>2</x:v>
      </x:c>
      <x:c r="L1994" s="2" t="str">
        <x:v>Developing</x:v>
      </x:c>
    </x:row>
    <x:row r="1995" ht="22" customHeight="1">
      <x:c r="A1995" s="2"/>
      <x:c r="B1995" s="2" t="str">
        <x:v>14324</x:v>
      </x:c>
      <x:c r="C1995" s="2" t="str">
        <x:v>United Kingdom</x:v>
      </x:c>
      <x:c r="D1995" s="25" t="n">
        <x:v>40193.35486111111</x:v>
      </x:c>
      <x:c r="E1995" s="25" t="n">
        <x:v>40477.28055555555</x:v>
      </x:c>
      <x:c r="F1995" s="2" t="n">
        <x:v>410</x:v>
      </x:c>
      <x:c r="G1995" s="2" t="n">
        <x:v>2</x:v>
      </x:c>
      <x:c r="H1995" s="11" t="n">
        <x:v>701.61</x:v>
      </x:c>
      <x:c r="I1995" s="2" t="n">
        <x:v>2</x:v>
      </x:c>
      <x:c r="J1995" s="2" t="n">
        <x:v>2</x:v>
      </x:c>
      <x:c r="K1995" s="2" t="n">
        <x:v>3</x:v>
      </x:c>
      <x:c r="L1995" s="2" t="str">
        <x:v>Hibernating</x:v>
      </x:c>
    </x:row>
    <x:row r="1996" ht="22" customHeight="1">
      <x:c r="A1996" s="2"/>
      <x:c r="B1996" s="2" t="str">
        <x:v>14325</x:v>
      </x:c>
      <x:c r="C1996" s="2" t="str">
        <x:v>United Kingdom</x:v>
      </x:c>
      <x:c r="D1996" s="25" t="n">
        <x:v>40317.180555555555</x:v>
      </x:c>
      <x:c r="E1996" s="25" t="n">
        <x:v>40317.180555555555</x:v>
      </x:c>
      <x:c r="F1996" s="2" t="n">
        <x:v>570</x:v>
      </x:c>
      <x:c r="G1996" s="2" t="n">
        <x:v>1</x:v>
      </x:c>
      <x:c r="H1996" s="11" t="n">
        <x:v>245.48</x:v>
      </x:c>
      <x:c r="I1996" s="2" t="n">
        <x:v>1</x:v>
      </x:c>
      <x:c r="J1996" s="2" t="n">
        <x:v>1</x:v>
      </x:c>
      <x:c r="K1996" s="2" t="n">
        <x:v>1</x:v>
      </x:c>
      <x:c r="L1996" s="2" t="str">
        <x:v>Hibernating</x:v>
      </x:c>
    </x:row>
    <x:row r="1997" ht="22" customHeight="1">
      <x:c r="A1997" s="2"/>
      <x:c r="B1997" s="2" t="str">
        <x:v>14326</x:v>
      </x:c>
      <x:c r="C1997" s="2" t="str">
        <x:v>United Kingdom</x:v>
      </x:c>
      <x:c r="D1997" s="25" t="n">
        <x:v>40354.29861111111</x:v>
      </x:c>
      <x:c r="E1997" s="25" t="n">
        <x:v>40644.419444444444</x:v>
      </x:c>
      <x:c r="F1997" s="2" t="n">
        <x:v>243</x:v>
      </x:c>
      <x:c r="G1997" s="2" t="n">
        <x:v>3</x:v>
      </x:c>
      <x:c r="H1997" s="11" t="n">
        <x:v>940.98</x:v>
      </x:c>
      <x:c r="I1997" s="2" t="n">
        <x:v>2</x:v>
      </x:c>
      <x:c r="J1997" s="2" t="n">
        <x:v>3</x:v>
      </x:c>
      <x:c r="K1997" s="2" t="n">
        <x:v>3</x:v>
      </x:c>
      <x:c r="L1997" s="2" t="str">
        <x:v>At risk</x:v>
      </x:c>
    </x:row>
    <x:row r="1998" ht="22" customHeight="1">
      <x:c r="A1998" s="2"/>
      <x:c r="B1998" s="2" t="str">
        <x:v>14327</x:v>
      </x:c>
      <x:c r="C1998" s="2" t="str">
        <x:v>United Kingdom</x:v>
      </x:c>
      <x:c r="D1998" s="25" t="n">
        <x:v>40186.37777777778</x:v>
      </x:c>
      <x:c r="E1998" s="25" t="n">
        <x:v>40723.373611111114</x:v>
      </x:c>
      <x:c r="F1998" s="2" t="n">
        <x:v>164</x:v>
      </x:c>
      <x:c r="G1998" s="2" t="n">
        <x:v>6</x:v>
      </x:c>
      <x:c r="H1998" s="11" t="n">
        <x:v>1894.93</x:v>
      </x:c>
      <x:c r="I1998" s="2" t="n">
        <x:v>3</x:v>
      </x:c>
      <x:c r="J1998" s="2" t="n">
        <x:v>4</x:v>
      </x:c>
      <x:c r="K1998" s="2" t="n">
        <x:v>4</x:v>
      </x:c>
      <x:c r="L1998" s="2" t="str">
        <x:v>Loyal</x:v>
      </x:c>
    </x:row>
    <x:row r="1999" ht="22" customHeight="1">
      <x:c r="A1999" s="2"/>
      <x:c r="B1999" s="2" t="str">
        <x:v>14328</x:v>
      </x:c>
      <x:c r="C1999" s="2" t="str">
        <x:v>United Kingdom</x:v>
      </x:c>
      <x:c r="D1999" s="25" t="n">
        <x:v>40448.459027777775</x:v>
      </x:c>
      <x:c r="E1999" s="25" t="n">
        <x:v>40448.459027777775</x:v>
      </x:c>
      <x:c r="F1999" s="2" t="n">
        <x:v>439</x:v>
      </x:c>
      <x:c r="G1999" s="2" t="n">
        <x:v>1</x:v>
      </x:c>
      <x:c r="H1999" s="11" t="n">
        <x:v>445.05</x:v>
      </x:c>
      <x:c r="I1999" s="2" t="n">
        <x:v>1</x:v>
      </x:c>
      <x:c r="J1999" s="2" t="n">
        <x:v>1</x:v>
      </x:c>
      <x:c r="K1999" s="2" t="n">
        <x:v>2</x:v>
      </x:c>
      <x:c r="L1999" s="2" t="str">
        <x:v>Hibernating</x:v>
      </x:c>
    </x:row>
    <x:row r="2000" ht="22" customHeight="1">
      <x:c r="A2000" s="2"/>
      <x:c r="B2000" s="2" t="str">
        <x:v>14329</x:v>
      </x:c>
      <x:c r="C2000" s="2" t="str">
        <x:v>United Kingdom</x:v>
      </x:c>
      <x:c r="D2000" s="25" t="n">
        <x:v>40163.43819444445</x:v>
      </x:c>
      <x:c r="E2000" s="25" t="n">
        <x:v>40869.45138888889</x:v>
      </x:c>
      <x:c r="F2000" s="2" t="n">
        <x:v>18</x:v>
      </x:c>
      <x:c r="G2000" s="2" t="n">
        <x:v>15</x:v>
      </x:c>
      <x:c r="H2000" s="11" t="n">
        <x:v>9927.22</x:v>
      </x:c>
      <x:c r="I2000" s="2" t="n">
        <x:v>5</x:v>
      </x:c>
      <x:c r="J2000" s="2" t="n">
        <x:v>5</x:v>
      </x:c>
      <x:c r="K2000" s="2" t="n">
        <x:v>5</x:v>
      </x:c>
      <x:c r="L2000" s="2" t="str">
        <x:v>Champions</x:v>
      </x:c>
    </x:row>
    <x:row r="2001" ht="22" customHeight="1">
      <x:c r="A2001" s="2"/>
      <x:c r="B2001" s="2" t="str">
        <x:v>14330</x:v>
      </x:c>
      <x:c r="C2001" s="2" t="str">
        <x:v>United Kingdom</x:v>
      </x:c>
      <x:c r="D2001" s="25" t="n">
        <x:v>40263.17361111111</x:v>
      </x:c>
      <x:c r="E2001" s="25" t="n">
        <x:v>40263.17361111111</x:v>
      </x:c>
      <x:c r="F2001" s="2" t="n">
        <x:v>624</x:v>
      </x:c>
      <x:c r="G2001" s="2" t="n">
        <x:v>1</x:v>
      </x:c>
      <x:c r="H2001" s="11" t="n">
        <x:v>200.63</x:v>
      </x:c>
      <x:c r="I2001" s="2" t="n">
        <x:v>1</x:v>
      </x:c>
      <x:c r="J2001" s="2" t="n">
        <x:v>1</x:v>
      </x:c>
      <x:c r="K2001" s="2" t="n">
        <x:v>1</x:v>
      </x:c>
      <x:c r="L2001" s="2" t="str">
        <x:v>Hibernating</x:v>
      </x:c>
    </x:row>
    <x:row r="2002" ht="22" customHeight="1">
      <x:c r="A2002" s="2"/>
      <x:c r="B2002" s="2" t="str">
        <x:v>14331</x:v>
      </x:c>
      <x:c r="C2002" s="2" t="str">
        <x:v>United Kingdom</x:v>
      </x:c>
      <x:c r="D2002" s="25" t="n">
        <x:v>40751.42638888889</x:v>
      </x:c>
      <x:c r="E2002" s="25" t="n">
        <x:v>40762.345138888886</x:v>
      </x:c>
      <x:c r="F2002" s="2" t="n">
        <x:v>125</x:v>
      </x:c>
      <x:c r="G2002" s="2" t="n">
        <x:v>2</x:v>
      </x:c>
      <x:c r="H2002" s="11" t="n">
        <x:v>462.66</x:v>
      </x:c>
      <x:c r="I2002" s="2" t="n">
        <x:v>3</x:v>
      </x:c>
      <x:c r="J2002" s="2" t="n">
        <x:v>2</x:v>
      </x:c>
      <x:c r="K2002" s="2" t="n">
        <x:v>2</x:v>
      </x:c>
      <x:c r="L2002" s="2" t="str">
        <x:v>Developing</x:v>
      </x:c>
    </x:row>
    <x:row r="2003" ht="22" customHeight="1">
      <x:c r="A2003" s="2"/>
      <x:c r="B2003" s="2" t="str">
        <x:v>14332</x:v>
      </x:c>
      <x:c r="C2003" s="2" t="str">
        <x:v>United Kingdom</x:v>
      </x:c>
      <x:c r="D2003" s="25" t="n">
        <x:v>40470.334027777775</x:v>
      </x:c>
      <x:c r="E2003" s="25" t="n">
        <x:v>40864.2875</x:v>
      </x:c>
      <x:c r="F2003" s="2" t="n">
        <x:v>23</x:v>
      </x:c>
      <x:c r="G2003" s="2" t="n">
        <x:v>5</x:v>
      </x:c>
      <x:c r="H2003" s="11" t="n">
        <x:v>1943.51</x:v>
      </x:c>
      <x:c r="I2003" s="2" t="n">
        <x:v>4</x:v>
      </x:c>
      <x:c r="J2003" s="2" t="n">
        <x:v>4</x:v>
      </x:c>
      <x:c r="K2003" s="2" t="n">
        <x:v>4</x:v>
      </x:c>
      <x:c r="L2003" s="2" t="str">
        <x:v>Champions</x:v>
      </x:c>
    </x:row>
    <x:row r="2004" ht="22" customHeight="1">
      <x:c r="A2004" s="2"/>
      <x:c r="B2004" s="2" t="str">
        <x:v>14333</x:v>
      </x:c>
      <x:c r="C2004" s="2" t="str">
        <x:v>United Kingdom</x:v>
      </x:c>
      <x:c r="D2004" s="25" t="n">
        <x:v>40819.23472222222</x:v>
      </x:c>
      <x:c r="E2004" s="25" t="n">
        <x:v>40819.23472222222</x:v>
      </x:c>
      <x:c r="F2004" s="2" t="n">
        <x:v>68</x:v>
      </x:c>
      <x:c r="G2004" s="2" t="n">
        <x:v>1</x:v>
      </x:c>
      <x:c r="H2004" s="11" t="n">
        <x:v>415.2</x:v>
      </x:c>
      <x:c r="I2004" s="2" t="n">
        <x:v>3</x:v>
      </x:c>
      <x:c r="J2004" s="2" t="n">
        <x:v>1</x:v>
      </x:c>
      <x:c r="K2004" s="2" t="n">
        <x:v>2</x:v>
      </x:c>
      <x:c r="L2004" s="2" t="str">
        <x:v>Developing</x:v>
      </x:c>
    </x:row>
    <x:row r="2005" ht="22" customHeight="1">
      <x:c r="A2005" s="2"/>
      <x:c r="B2005" s="2" t="str">
        <x:v>14334</x:v>
      </x:c>
      <x:c r="C2005" s="2" t="str">
        <x:v>United Kingdom</x:v>
      </x:c>
      <x:c r="D2005" s="25" t="n">
        <x:v>40318.21111111111</x:v>
      </x:c>
      <x:c r="E2005" s="25" t="n">
        <x:v>40870.209027777775</x:v>
      </x:c>
      <x:c r="F2005" s="2" t="n">
        <x:v>17</x:v>
      </x:c>
      <x:c r="G2005" s="2" t="n">
        <x:v>12</x:v>
      </x:c>
      <x:c r="H2005" s="11" t="n">
        <x:v>4318.48</x:v>
      </x:c>
      <x:c r="I2005" s="2" t="n">
        <x:v>5</x:v>
      </x:c>
      <x:c r="J2005" s="2" t="n">
        <x:v>5</x:v>
      </x:c>
      <x:c r="K2005" s="2" t="n">
        <x:v>5</x:v>
      </x:c>
      <x:c r="L2005" s="2" t="str">
        <x:v>Champions</x:v>
      </x:c>
    </x:row>
    <x:row r="2006" ht="22" customHeight="1">
      <x:c r="A2006" s="2"/>
      <x:c r="B2006" s="2" t="str">
        <x:v>14335</x:v>
      </x:c>
      <x:c r="C2006" s="2" t="str">
        <x:v>Germany</x:v>
      </x:c>
      <x:c r="D2006" s="25" t="n">
        <x:v>40790.33819444444</x:v>
      </x:c>
      <x:c r="E2006" s="25" t="n">
        <x:v>40870.361805555556</x:v>
      </x:c>
      <x:c r="F2006" s="2" t="n">
        <x:v>17</x:v>
      </x:c>
      <x:c r="G2006" s="2" t="n">
        <x:v>2</x:v>
      </x:c>
      <x:c r="H2006" s="11" t="n">
        <x:v>468.26</x:v>
      </x:c>
      <x:c r="I2006" s="2" t="n">
        <x:v>5</x:v>
      </x:c>
      <x:c r="J2006" s="2" t="n">
        <x:v>2</x:v>
      </x:c>
      <x:c r="K2006" s="2" t="n">
        <x:v>2</x:v>
      </x:c>
      <x:c r="L2006" s="2" t="str">
        <x:v>Recent light buyers</x:v>
      </x:c>
    </x:row>
    <x:row r="2007" ht="22" customHeight="1">
      <x:c r="A2007" s="2"/>
      <x:c r="B2007" s="2" t="str">
        <x:v>14336</x:v>
      </x:c>
      <x:c r="C2007" s="2" t="str">
        <x:v>United Kingdom</x:v>
      </x:c>
      <x:c r="D2007" s="25" t="n">
        <x:v>40610.49166666667</x:v>
      </x:c>
      <x:c r="E2007" s="25" t="n">
        <x:v>40870.27777777778</x:v>
      </x:c>
      <x:c r="F2007" s="2" t="n">
        <x:v>17</x:v>
      </x:c>
      <x:c r="G2007" s="2" t="n">
        <x:v>4</x:v>
      </x:c>
      <x:c r="H2007" s="11" t="n">
        <x:v>1614.91</x:v>
      </x:c>
      <x:c r="I2007" s="2" t="n">
        <x:v>5</x:v>
      </x:c>
      <x:c r="J2007" s="2" t="n">
        <x:v>3</x:v>
      </x:c>
      <x:c r="K2007" s="2" t="n">
        <x:v>4</x:v>
      </x:c>
      <x:c r="L2007" s="2" t="str">
        <x:v>Loyal</x:v>
      </x:c>
    </x:row>
    <x:row r="2008" ht="22" customHeight="1">
      <x:c r="A2008" s="2"/>
      <x:c r="B2008" s="2" t="str">
        <x:v>14338</x:v>
      </x:c>
      <x:c r="C2008" s="2" t="str">
        <x:v>United Kingdom</x:v>
      </x:c>
      <x:c r="D2008" s="25" t="n">
        <x:v>40350.23055555556</x:v>
      </x:c>
      <x:c r="E2008" s="25" t="n">
        <x:v>40725.38055555556</x:v>
      </x:c>
      <x:c r="F2008" s="2" t="n">
        <x:v>162</x:v>
      </x:c>
      <x:c r="G2008" s="2" t="n">
        <x:v>3</x:v>
      </x:c>
      <x:c r="H2008" s="11" t="n">
        <x:v>928.1</x:v>
      </x:c>
      <x:c r="I2008" s="2" t="n">
        <x:v>3</x:v>
      </x:c>
      <x:c r="J2008" s="2" t="n">
        <x:v>3</x:v>
      </x:c>
      <x:c r="K2008" s="2" t="n">
        <x:v>3</x:v>
      </x:c>
      <x:c r="L2008" s="2" t="str">
        <x:v>Loyal</x:v>
      </x:c>
    </x:row>
    <x:row r="2009" ht="22" customHeight="1">
      <x:c r="A2009" s="2"/>
      <x:c r="B2009" s="2" t="str">
        <x:v>14339</x:v>
      </x:c>
      <x:c r="C2009" s="2" t="str">
        <x:v>United Kingdom</x:v>
      </x:c>
      <x:c r="D2009" s="25" t="n">
        <x:v>40458.15972222222</x:v>
      </x:c>
      <x:c r="E2009" s="25" t="n">
        <x:v>40644.254166666666</x:v>
      </x:c>
      <x:c r="F2009" s="2" t="n">
        <x:v>243</x:v>
      </x:c>
      <x:c r="G2009" s="2" t="n">
        <x:v>2</x:v>
      </x:c>
      <x:c r="H2009" s="11" t="n">
        <x:v>620.27</x:v>
      </x:c>
      <x:c r="I2009" s="2" t="n">
        <x:v>2</x:v>
      </x:c>
      <x:c r="J2009" s="2" t="n">
        <x:v>2</x:v>
      </x:c>
      <x:c r="K2009" s="2" t="n">
        <x:v>3</x:v>
      </x:c>
      <x:c r="L2009" s="2" t="str">
        <x:v>Hibernating</x:v>
      </x:c>
    </x:row>
    <x:row r="2010" ht="22" customHeight="1">
      <x:c r="A2010" s="2"/>
      <x:c r="B2010" s="2" t="str">
        <x:v>14340</x:v>
      </x:c>
      <x:c r="C2010" s="2" t="str">
        <x:v>United Kingdom</x:v>
      </x:c>
      <x:c r="D2010" s="25" t="n">
        <x:v>40668.197222222225</x:v>
      </x:c>
      <x:c r="E2010" s="25" t="n">
        <x:v>40668.197222222225</x:v>
      </x:c>
      <x:c r="F2010" s="2" t="n">
        <x:v>219</x:v>
      </x:c>
      <x:c r="G2010" s="2" t="n">
        <x:v>1</x:v>
      </x:c>
      <x:c r="H2010" s="11" t="n">
        <x:v>134.7</x:v>
      </x:c>
      <x:c r="I2010" s="2" t="n">
        <x:v>2</x:v>
      </x:c>
      <x:c r="J2010" s="2" t="n">
        <x:v>1</x:v>
      </x:c>
      <x:c r="K2010" s="2" t="n">
        <x:v>1</x:v>
      </x:c>
      <x:c r="L2010" s="2" t="str">
        <x:v>Hibernating</x:v>
      </x:c>
    </x:row>
    <x:row r="2011" ht="22" customHeight="1">
      <x:c r="A2011" s="2"/>
      <x:c r="B2011" s="2" t="str">
        <x:v>14341</x:v>
      </x:c>
      <x:c r="C2011" s="2" t="str">
        <x:v>United Kingdom</x:v>
      </x:c>
      <x:c r="D2011" s="25" t="n">
        <x:v>40148.305555555555</x:v>
      </x:c>
      <x:c r="E2011" s="25" t="n">
        <x:v>40841.45</x:v>
      </x:c>
      <x:c r="F2011" s="2" t="n">
        <x:v>46</x:v>
      </x:c>
      <x:c r="G2011" s="2" t="n">
        <x:v>18</x:v>
      </x:c>
      <x:c r="H2011" s="11" t="n">
        <x:v>4467.32</x:v>
      </x:c>
      <x:c r="I2011" s="2" t="n">
        <x:v>4</x:v>
      </x:c>
      <x:c r="J2011" s="2" t="n">
        <x:v>5</x:v>
      </x:c>
      <x:c r="K2011" s="2" t="n">
        <x:v>5</x:v>
      </x:c>
      <x:c r="L2011" s="2" t="str">
        <x:v>Champions</x:v>
      </x:c>
    </x:row>
    <x:row r="2012" ht="22" customHeight="1">
      <x:c r="A2012" s="2"/>
      <x:c r="B2012" s="2" t="str">
        <x:v>14342</x:v>
      </x:c>
      <x:c r="C2012" s="2" t="str">
        <x:v>United Kingdom</x:v>
      </x:c>
      <x:c r="D2012" s="25" t="n">
        <x:v>40414.33541666667</x:v>
      </x:c>
      <x:c r="E2012" s="25" t="n">
        <x:v>40865.347916666666</x:v>
      </x:c>
      <x:c r="F2012" s="2" t="n">
        <x:v>22</x:v>
      </x:c>
      <x:c r="G2012" s="2" t="n">
        <x:v>6</x:v>
      </x:c>
      <x:c r="H2012" s="11" t="n">
        <x:v>918.44</x:v>
      </x:c>
      <x:c r="I2012" s="2" t="n">
        <x:v>4</x:v>
      </x:c>
      <x:c r="J2012" s="2" t="n">
        <x:v>4</x:v>
      </x:c>
      <x:c r="K2012" s="2" t="n">
        <x:v>3</x:v>
      </x:c>
      <x:c r="L2012" s="2" t="str">
        <x:v>Loyal</x:v>
      </x:c>
    </x:row>
    <x:row r="2013" ht="22" customHeight="1">
      <x:c r="A2013" s="2"/>
      <x:c r="B2013" s="2" t="str">
        <x:v>14343</x:v>
      </x:c>
      <x:c r="C2013" s="2" t="str">
        <x:v>United Kingdom</x:v>
      </x:c>
      <x:c r="D2013" s="25" t="n">
        <x:v>40196.49097222222</x:v>
      </x:c>
      <x:c r="E2013" s="25" t="n">
        <x:v>40465.336805555555</x:v>
      </x:c>
      <x:c r="F2013" s="2" t="n">
        <x:v>422</x:v>
      </x:c>
      <x:c r="G2013" s="2" t="n">
        <x:v>4</x:v>
      </x:c>
      <x:c r="H2013" s="11" t="n">
        <x:v>1088.91</x:v>
      </x:c>
      <x:c r="I2013" s="2" t="n">
        <x:v>1</x:v>
      </x:c>
      <x:c r="J2013" s="2" t="n">
        <x:v>3</x:v>
      </x:c>
      <x:c r="K2013" s="2" t="n">
        <x:v>3</x:v>
      </x:c>
      <x:c r="L2013" s="2" t="str">
        <x:v>At risk</x:v>
      </x:c>
    </x:row>
    <x:row r="2014" ht="22" customHeight="1">
      <x:c r="A2014" s="2"/>
      <x:c r="B2014" s="2" t="str">
        <x:v>14344</x:v>
      </x:c>
      <x:c r="C2014" s="2" t="str">
        <x:v>United Kingdom</x:v>
      </x:c>
      <x:c r="D2014" s="25" t="n">
        <x:v>40260.44930555556</x:v>
      </x:c>
      <x:c r="E2014" s="25" t="n">
        <x:v>40759.36875</x:v>
      </x:c>
      <x:c r="F2014" s="2" t="n">
        <x:v>128</x:v>
      </x:c>
      <x:c r="G2014" s="2" t="n">
        <x:v>20</x:v>
      </x:c>
      <x:c r="H2014" s="11" t="n">
        <x:v>2993.05</x:v>
      </x:c>
      <x:c r="I2014" s="2" t="n">
        <x:v>3</x:v>
      </x:c>
      <x:c r="J2014" s="2" t="n">
        <x:v>5</x:v>
      </x:c>
      <x:c r="K2014" s="2" t="n">
        <x:v>5</x:v>
      </x:c>
      <x:c r="L2014" s="2" t="str">
        <x:v>Loyal</x:v>
      </x:c>
    </x:row>
    <x:row r="2015" ht="22" customHeight="1">
      <x:c r="A2015" s="2"/>
      <x:c r="B2015" s="2" t="str">
        <x:v>14345</x:v>
      </x:c>
      <x:c r="C2015" s="2" t="str">
        <x:v>United Kingdom</x:v>
      </x:c>
      <x:c r="D2015" s="25" t="n">
        <x:v>40848.20208333333</x:v>
      </x:c>
      <x:c r="E2015" s="25" t="n">
        <x:v>40848.20208333333</x:v>
      </x:c>
      <x:c r="F2015" s="2" t="n">
        <x:v>39</x:v>
      </x:c>
      <x:c r="G2015" s="2" t="n">
        <x:v>1</x:v>
      </x:c>
      <x:c r="H2015" s="11" t="n">
        <x:v>108.98</x:v>
      </x:c>
      <x:c r="I2015" s="2" t="n">
        <x:v>4</x:v>
      </x:c>
      <x:c r="J2015" s="2" t="n">
        <x:v>1</x:v>
      </x:c>
      <x:c r="K2015" s="2" t="n">
        <x:v>1</x:v>
      </x:c>
      <x:c r="L2015" s="2" t="str">
        <x:v>Recent light buyers</x:v>
      </x:c>
    </x:row>
    <x:row r="2016" ht="22" customHeight="1">
      <x:c r="A2016" s="2"/>
      <x:c r="B2016" s="2" t="str">
        <x:v>14346</x:v>
      </x:c>
      <x:c r="C2016" s="2" t="str">
        <x:v>United Kingdom</x:v>
      </x:c>
      <x:c r="D2016" s="25" t="n">
        <x:v>40389.23888888889</x:v>
      </x:c>
      <x:c r="E2016" s="25" t="n">
        <x:v>40766.19930555556</x:v>
      </x:c>
      <x:c r="F2016" s="2" t="n">
        <x:v>121</x:v>
      </x:c>
      <x:c r="G2016" s="2" t="n">
        <x:v>5</x:v>
      </x:c>
      <x:c r="H2016" s="11" t="n">
        <x:v>2315.75</x:v>
      </x:c>
      <x:c r="I2016" s="2" t="n">
        <x:v>3</x:v>
      </x:c>
      <x:c r="J2016" s="2" t="n">
        <x:v>4</x:v>
      </x:c>
      <x:c r="K2016" s="2" t="n">
        <x:v>4</x:v>
      </x:c>
      <x:c r="L2016" s="2" t="str">
        <x:v>Loyal</x:v>
      </x:c>
    </x:row>
    <x:row r="2017" ht="22" customHeight="1">
      <x:c r="A2017" s="2"/>
      <x:c r="B2017" s="2" t="str">
        <x:v>14347</x:v>
      </x:c>
      <x:c r="C2017" s="2" t="str">
        <x:v>United Kingdom</x:v>
      </x:c>
      <x:c r="D2017" s="25" t="n">
        <x:v>40150.24236111111</x:v>
      </x:c>
      <x:c r="E2017" s="25" t="n">
        <x:v>40150.24236111111</x:v>
      </x:c>
      <x:c r="F2017" s="2" t="n">
        <x:v>737</x:v>
      </x:c>
      <x:c r="G2017" s="2" t="n">
        <x:v>1</x:v>
      </x:c>
      <x:c r="H2017" s="11" t="n">
        <x:v>82.6</x:v>
      </x:c>
      <x:c r="I2017" s="2" t="n">
        <x:v>1</x:v>
      </x:c>
      <x:c r="J2017" s="2" t="n">
        <x:v>1</x:v>
      </x:c>
      <x:c r="K2017" s="2" t="n">
        <x:v>1</x:v>
      </x:c>
      <x:c r="L2017" s="2" t="str">
        <x:v>Hibernating</x:v>
      </x:c>
    </x:row>
    <x:row r="2018" ht="22" customHeight="1">
      <x:c r="A2018" s="2"/>
      <x:c r="B2018" s="2" t="str">
        <x:v>14348</x:v>
      </x:c>
      <x:c r="C2018" s="2" t="str">
        <x:v>United Kingdom</x:v>
      </x:c>
      <x:c r="D2018" s="25" t="n">
        <x:v>40626.47430555556</x:v>
      </x:c>
      <x:c r="E2018" s="25" t="n">
        <x:v>40626.47430555556</x:v>
      </x:c>
      <x:c r="F2018" s="2" t="n">
        <x:v>261</x:v>
      </x:c>
      <x:c r="G2018" s="2" t="n">
        <x:v>1</x:v>
      </x:c>
      <x:c r="H2018" s="11" t="n">
        <x:v>409.57</x:v>
      </x:c>
      <x:c r="I2018" s="2" t="n">
        <x:v>2</x:v>
      </x:c>
      <x:c r="J2018" s="2" t="n">
        <x:v>1</x:v>
      </x:c>
      <x:c r="K2018" s="2" t="n">
        <x:v>2</x:v>
      </x:c>
      <x:c r="L2018" s="2" t="str">
        <x:v>Hibernating</x:v>
      </x:c>
    </x:row>
    <x:row r="2019" ht="22" customHeight="1">
      <x:c r="A2019" s="2"/>
      <x:c r="B2019" s="2" t="str">
        <x:v>14349</x:v>
      </x:c>
      <x:c r="C2019" s="2" t="str">
        <x:v>United Kingdom</x:v>
      </x:c>
      <x:c r="D2019" s="25" t="n">
        <x:v>40876.44375</x:v>
      </x:c>
      <x:c r="E2019" s="25" t="n">
        <x:v>40876.44375</x:v>
      </x:c>
      <x:c r="F2019" s="2" t="n">
        <x:v>11</x:v>
      </x:c>
      <x:c r="G2019" s="2" t="n">
        <x:v>1</x:v>
      </x:c>
      <x:c r="H2019" s="11" t="n">
        <x:v>133.5</x:v>
      </x:c>
      <x:c r="I2019" s="2" t="n">
        <x:v>5</x:v>
      </x:c>
      <x:c r="J2019" s="2" t="n">
        <x:v>1</x:v>
      </x:c>
      <x:c r="K2019" s="2" t="n">
        <x:v>1</x:v>
      </x:c>
      <x:c r="L2019" s="2" t="str">
        <x:v>Recent light buyers</x:v>
      </x:c>
    </x:row>
    <x:row r="2020" ht="22" customHeight="1">
      <x:c r="A2020" s="2"/>
      <x:c r="B2020" s="2" t="str">
        <x:v>14350</x:v>
      </x:c>
      <x:c r="C2020" s="2" t="str">
        <x:v>United Kingdom</x:v>
      </x:c>
      <x:c r="D2020" s="25" t="n">
        <x:v>40456.45277777778</x:v>
      </x:c>
      <x:c r="E2020" s="25" t="n">
        <x:v>40612.384722222225</x:v>
      </x:c>
      <x:c r="F2020" s="2" t="n">
        <x:v>275</x:v>
      </x:c>
      <x:c r="G2020" s="2" t="n">
        <x:v>3</x:v>
      </x:c>
      <x:c r="H2020" s="11" t="n">
        <x:v>972.03</x:v>
      </x:c>
      <x:c r="I2020" s="2" t="n">
        <x:v>2</x:v>
      </x:c>
      <x:c r="J2020" s="2" t="n">
        <x:v>3</x:v>
      </x:c>
      <x:c r="K2020" s="2" t="n">
        <x:v>3</x:v>
      </x:c>
      <x:c r="L2020" s="2" t="str">
        <x:v>At risk</x:v>
      </x:c>
    </x:row>
    <x:row r="2021" ht="22" customHeight="1">
      <x:c r="A2021" s="2"/>
      <x:c r="B2021" s="2" t="str">
        <x:v>14351</x:v>
      </x:c>
      <x:c r="C2021" s="2" t="str">
        <x:v>United Kingdom</x:v>
      </x:c>
      <x:c r="D2021" s="25" t="n">
        <x:v>40722.28888888889</x:v>
      </x:c>
      <x:c r="E2021" s="25" t="n">
        <x:v>40722.28888888889</x:v>
      </x:c>
      <x:c r="F2021" s="2" t="n">
        <x:v>165</x:v>
      </x:c>
      <x:c r="G2021" s="2" t="n">
        <x:v>1</x:v>
      </x:c>
      <x:c r="H2021" s="11" t="n">
        <x:v>51</x:v>
      </x:c>
      <x:c r="I2021" s="2" t="n">
        <x:v>3</x:v>
      </x:c>
      <x:c r="J2021" s="2" t="n">
        <x:v>1</x:v>
      </x:c>
      <x:c r="K2021" s="2" t="n">
        <x:v>1</x:v>
      </x:c>
      <x:c r="L2021" s="2" t="str">
        <x:v>Developing</x:v>
      </x:c>
    </x:row>
    <x:row r="2022" ht="22" customHeight="1">
      <x:c r="A2022" s="2"/>
      <x:c r="B2022" s="2" t="str">
        <x:v>14352</x:v>
      </x:c>
      <x:c r="C2022" s="2" t="str">
        <x:v>United Kingdom</x:v>
      </x:c>
      <x:c r="D2022" s="25" t="n">
        <x:v>40613.41527777778</x:v>
      </x:c>
      <x:c r="E2022" s="25" t="n">
        <x:v>40729.44513888889</x:v>
      </x:c>
      <x:c r="F2022" s="2" t="n">
        <x:v>158</x:v>
      </x:c>
      <x:c r="G2022" s="2" t="n">
        <x:v>4</x:v>
      </x:c>
      <x:c r="H2022" s="11" t="n">
        <x:v>1078.96</x:v>
      </x:c>
      <x:c r="I2022" s="2" t="n">
        <x:v>3</x:v>
      </x:c>
      <x:c r="J2022" s="2" t="n">
        <x:v>3</x:v>
      </x:c>
      <x:c r="K2022" s="2" t="n">
        <x:v>3</x:v>
      </x:c>
      <x:c r="L2022" s="2" t="str">
        <x:v>Loyal</x:v>
      </x:c>
    </x:row>
    <x:row r="2023" ht="22" customHeight="1">
      <x:c r="A2023" s="2"/>
      <x:c r="B2023" s="2" t="str">
        <x:v>14353</x:v>
      </x:c>
      <x:c r="C2023" s="2" t="str">
        <x:v>United Kingdom</x:v>
      </x:c>
      <x:c r="D2023" s="25" t="n">
        <x:v>40455.31805555556</x:v>
      </x:c>
      <x:c r="E2023" s="25" t="n">
        <x:v>40671.4625</x:v>
      </x:c>
      <x:c r="F2023" s="2" t="n">
        <x:v>216</x:v>
      </x:c>
      <x:c r="G2023" s="2" t="n">
        <x:v>3</x:v>
      </x:c>
      <x:c r="H2023" s="11" t="n">
        <x:v>376.5</x:v>
      </x:c>
      <x:c r="I2023" s="2" t="n">
        <x:v>2</x:v>
      </x:c>
      <x:c r="J2023" s="2" t="n">
        <x:v>3</x:v>
      </x:c>
      <x:c r="K2023" s="2" t="n">
        <x:v>2</x:v>
      </x:c>
      <x:c r="L2023" s="2" t="str">
        <x:v>At risk</x:v>
      </x:c>
    </x:row>
    <x:row r="2024" ht="22" customHeight="1">
      <x:c r="A2024" s="2"/>
      <x:c r="B2024" s="2" t="str">
        <x:v>14354</x:v>
      </x:c>
      <x:c r="C2024" s="2" t="str">
        <x:v>United Kingdom</x:v>
      </x:c>
      <x:c r="D2024" s="25" t="n">
        <x:v>40856.441666666666</x:v>
      </x:c>
      <x:c r="E2024" s="25" t="n">
        <x:v>40881.27222222222</x:v>
      </x:c>
      <x:c r="F2024" s="2" t="n">
        <x:v>6</x:v>
      </x:c>
      <x:c r="G2024" s="2" t="n">
        <x:v>2</x:v>
      </x:c>
      <x:c r="H2024" s="11" t="n">
        <x:v>163.62</x:v>
      </x:c>
      <x:c r="I2024" s="2" t="n">
        <x:v>5</x:v>
      </x:c>
      <x:c r="J2024" s="2" t="n">
        <x:v>2</x:v>
      </x:c>
      <x:c r="K2024" s="2" t="n">
        <x:v>1</x:v>
      </x:c>
      <x:c r="L2024" s="2" t="str">
        <x:v>Recent light buyers</x:v>
      </x:c>
    </x:row>
    <x:row r="2025" ht="22" customHeight="1">
      <x:c r="A2025" s="2"/>
      <x:c r="B2025" s="2" t="str">
        <x:v>14355</x:v>
      </x:c>
      <x:c r="C2025" s="2" t="str">
        <x:v>United Kingdom</x:v>
      </x:c>
      <x:c r="D2025" s="25" t="n">
        <x:v>40259.42222222222</x:v>
      </x:c>
      <x:c r="E2025" s="25" t="n">
        <x:v>40521.302777777775</x:v>
      </x:c>
      <x:c r="F2025" s="2" t="n">
        <x:v>366</x:v>
      </x:c>
      <x:c r="G2025" s="2" t="n">
        <x:v>3</x:v>
      </x:c>
      <x:c r="H2025" s="11" t="n">
        <x:v>840.05</x:v>
      </x:c>
      <x:c r="I2025" s="2" t="n">
        <x:v>2</x:v>
      </x:c>
      <x:c r="J2025" s="2" t="n">
        <x:v>3</x:v>
      </x:c>
      <x:c r="K2025" s="2" t="n">
        <x:v>3</x:v>
      </x:c>
      <x:c r="L2025" s="2" t="str">
        <x:v>At risk</x:v>
      </x:c>
    </x:row>
    <x:row r="2026" ht="22" customHeight="1">
      <x:c r="A2026" s="2"/>
      <x:c r="B2026" s="2" t="str">
        <x:v>14356</x:v>
      </x:c>
      <x:c r="C2026" s="2" t="str">
        <x:v>United Kingdom</x:v>
      </x:c>
      <x:c r="D2026" s="25" t="n">
        <x:v>40805.404861111114</x:v>
      </x:c>
      <x:c r="E2026" s="25" t="n">
        <x:v>40807.17916666667</x:v>
      </x:c>
      <x:c r="F2026" s="2" t="n">
        <x:v>80</x:v>
      </x:c>
      <x:c r="G2026" s="2" t="n">
        <x:v>2</x:v>
      </x:c>
      <x:c r="H2026" s="11" t="n">
        <x:v>701.23</x:v>
      </x:c>
      <x:c r="I2026" s="2" t="n">
        <x:v>3</x:v>
      </x:c>
      <x:c r="J2026" s="2" t="n">
        <x:v>2</x:v>
      </x:c>
      <x:c r="K2026" s="2" t="n">
        <x:v>3</x:v>
      </x:c>
      <x:c r="L2026" s="2" t="str">
        <x:v>Developing</x:v>
      </x:c>
    </x:row>
    <x:row r="2027" ht="22" customHeight="1">
      <x:c r="A2027" s="2"/>
      <x:c r="B2027" s="2" t="str">
        <x:v>14357</x:v>
      </x:c>
      <x:c r="C2027" s="2" t="str">
        <x:v>United Kingdom</x:v>
      </x:c>
      <x:c r="D2027" s="25" t="n">
        <x:v>40843.47430555556</x:v>
      </x:c>
      <x:c r="E2027" s="25" t="n">
        <x:v>40843.47430555556</x:v>
      </x:c>
      <x:c r="F2027" s="2" t="n">
        <x:v>44</x:v>
      </x:c>
      <x:c r="G2027" s="2" t="n">
        <x:v>1</x:v>
      </x:c>
      <x:c r="H2027" s="11" t="n">
        <x:v>225.77</x:v>
      </x:c>
      <x:c r="I2027" s="2" t="n">
        <x:v>4</x:v>
      </x:c>
      <x:c r="J2027" s="2" t="n">
        <x:v>1</x:v>
      </x:c>
      <x:c r="K2027" s="2" t="n">
        <x:v>1</x:v>
      </x:c>
      <x:c r="L2027" s="2" t="str">
        <x:v>Recent light buyers</x:v>
      </x:c>
    </x:row>
    <x:row r="2028" ht="22" customHeight="1">
      <x:c r="A2028" s="2"/>
      <x:c r="B2028" s="2" t="str">
        <x:v>14358</x:v>
      </x:c>
      <x:c r="C2028" s="2" t="str">
        <x:v>United Kingdom</x:v>
      </x:c>
      <x:c r="D2028" s="25" t="n">
        <x:v>40458.518055555556</x:v>
      </x:c>
      <x:c r="E2028" s="25" t="n">
        <x:v>40497.45208333333</x:v>
      </x:c>
      <x:c r="F2028" s="2" t="n">
        <x:v>390</x:v>
      </x:c>
      <x:c r="G2028" s="2" t="n">
        <x:v>2</x:v>
      </x:c>
      <x:c r="H2028" s="11" t="n">
        <x:v>400.06</x:v>
      </x:c>
      <x:c r="I2028" s="2" t="n">
        <x:v>2</x:v>
      </x:c>
      <x:c r="J2028" s="2" t="n">
        <x:v>2</x:v>
      </x:c>
      <x:c r="K2028" s="2" t="n">
        <x:v>2</x:v>
      </x:c>
      <x:c r="L2028" s="2" t="str">
        <x:v>Hibernating</x:v>
      </x:c>
    </x:row>
    <x:row r="2029" ht="22" customHeight="1">
      <x:c r="A2029" s="2"/>
      <x:c r="B2029" s="2" t="str">
        <x:v>14359</x:v>
      </x:c>
      <x:c r="C2029" s="2" t="str">
        <x:v>United Kingdom</x:v>
      </x:c>
      <x:c r="D2029" s="25" t="n">
        <x:v>40799.16875</x:v>
      </x:c>
      <x:c r="E2029" s="25" t="n">
        <x:v>40867.345138888886</x:v>
      </x:c>
      <x:c r="F2029" s="2" t="n">
        <x:v>20</x:v>
      </x:c>
      <x:c r="G2029" s="2" t="n">
        <x:v>3</x:v>
      </x:c>
      <x:c r="H2029" s="11" t="n">
        <x:v>912.18</x:v>
      </x:c>
      <x:c r="I2029" s="2" t="n">
        <x:v>5</x:v>
      </x:c>
      <x:c r="J2029" s="2" t="n">
        <x:v>3</x:v>
      </x:c>
      <x:c r="K2029" s="2" t="n">
        <x:v>3</x:v>
      </x:c>
      <x:c r="L2029" s="2" t="str">
        <x:v>Loyal</x:v>
      </x:c>
    </x:row>
    <x:row r="2030" ht="22" customHeight="1">
      <x:c r="A2030" s="2"/>
      <x:c r="B2030" s="2" t="str">
        <x:v>14360</x:v>
      </x:c>
      <x:c r="C2030" s="2" t="str">
        <x:v>United Kingdom</x:v>
      </x:c>
      <x:c r="D2030" s="25" t="n">
        <x:v>40792.29027777778</x:v>
      </x:c>
      <x:c r="E2030" s="25" t="n">
        <x:v>40855.175</x:v>
      </x:c>
      <x:c r="F2030" s="2" t="n">
        <x:v>32</x:v>
      </x:c>
      <x:c r="G2030" s="2" t="n">
        <x:v>4</x:v>
      </x:c>
      <x:c r="H2030" s="11" t="n">
        <x:v>2128.23</x:v>
      </x:c>
      <x:c r="I2030" s="2" t="n">
        <x:v>4</x:v>
      </x:c>
      <x:c r="J2030" s="2" t="n">
        <x:v>3</x:v>
      </x:c>
      <x:c r="K2030" s="2" t="n">
        <x:v>4</x:v>
      </x:c>
      <x:c r="L2030" s="2" t="str">
        <x:v>Loyal</x:v>
      </x:c>
    </x:row>
    <x:row r="2031" ht="22" customHeight="1">
      <x:c r="A2031" s="2"/>
      <x:c r="B2031" s="2" t="str">
        <x:v>14361</x:v>
      </x:c>
      <x:c r="C2031" s="2" t="str">
        <x:v>United Kingdom</x:v>
      </x:c>
      <x:c r="D2031" s="25" t="n">
        <x:v>40308.31180555555</x:v>
      </x:c>
      <x:c r="E2031" s="25" t="n">
        <x:v>40308.31180555555</x:v>
      </x:c>
      <x:c r="F2031" s="2" t="n">
        <x:v>579</x:v>
      </x:c>
      <x:c r="G2031" s="2" t="n">
        <x:v>1</x:v>
      </x:c>
      <x:c r="H2031" s="11" t="n">
        <x:v>214.71</x:v>
      </x:c>
      <x:c r="I2031" s="2" t="n">
        <x:v>1</x:v>
      </x:c>
      <x:c r="J2031" s="2" t="n">
        <x:v>1</x:v>
      </x:c>
      <x:c r="K2031" s="2" t="n">
        <x:v>1</x:v>
      </x:c>
      <x:c r="L2031" s="2" t="str">
        <x:v>Hibernating</x:v>
      </x:c>
    </x:row>
    <x:row r="2032" ht="22" customHeight="1">
      <x:c r="A2032" s="2"/>
      <x:c r="B2032" s="2" t="str">
        <x:v>14362</x:v>
      </x:c>
      <x:c r="C2032" s="2" t="str">
        <x:v>United Kingdom</x:v>
      </x:c>
      <x:c r="D2032" s="25" t="n">
        <x:v>40864.42222222222</x:v>
      </x:c>
      <x:c r="E2032" s="25" t="n">
        <x:v>40864.42222222222</x:v>
      </x:c>
      <x:c r="F2032" s="2" t="n">
        <x:v>23</x:v>
      </x:c>
      <x:c r="G2032" s="2" t="n">
        <x:v>1</x:v>
      </x:c>
      <x:c r="H2032" s="11" t="n">
        <x:v>161.2</x:v>
      </x:c>
      <x:c r="I2032" s="2" t="n">
        <x:v>4</x:v>
      </x:c>
      <x:c r="J2032" s="2" t="n">
        <x:v>1</x:v>
      </x:c>
      <x:c r="K2032" s="2" t="n">
        <x:v>1</x:v>
      </x:c>
      <x:c r="L2032" s="2" t="str">
        <x:v>Recent light buyers</x:v>
      </x:c>
    </x:row>
    <x:row r="2033" ht="22" customHeight="1">
      <x:c r="A2033" s="2"/>
      <x:c r="B2033" s="2" t="str">
        <x:v>14363</x:v>
      </x:c>
      <x:c r="C2033" s="2" t="str">
        <x:v>United Kingdom</x:v>
      </x:c>
      <x:c r="D2033" s="25" t="n">
        <x:v>40435.402083333334</x:v>
      </x:c>
      <x:c r="E2033" s="25" t="n">
        <x:v>40484.50069444445</x:v>
      </x:c>
      <x:c r="F2033" s="2" t="n">
        <x:v>403</x:v>
      </x:c>
      <x:c r="G2033" s="2" t="n">
        <x:v>2</x:v>
      </x:c>
      <x:c r="H2033" s="11" t="n">
        <x:v>227.47</x:v>
      </x:c>
      <x:c r="I2033" s="2" t="n">
        <x:v>2</x:v>
      </x:c>
      <x:c r="J2033" s="2" t="n">
        <x:v>2</x:v>
      </x:c>
      <x:c r="K2033" s="2" t="n">
        <x:v>1</x:v>
      </x:c>
      <x:c r="L2033" s="2" t="str">
        <x:v>Hibernating</x:v>
      </x:c>
    </x:row>
    <x:row r="2034" ht="22" customHeight="1">
      <x:c r="A2034" s="2"/>
      <x:c r="B2034" s="2" t="str">
        <x:v>14364</x:v>
      </x:c>
      <x:c r="C2034" s="2" t="str">
        <x:v>United Kingdom</x:v>
      </x:c>
      <x:c r="D2034" s="25" t="n">
        <x:v>40675.330555555556</x:v>
      </x:c>
      <x:c r="E2034" s="25" t="n">
        <x:v>40778.25069444445</x:v>
      </x:c>
      <x:c r="F2034" s="2" t="n">
        <x:v>109</x:v>
      </x:c>
      <x:c r="G2034" s="2" t="n">
        <x:v>8</x:v>
      </x:c>
      <x:c r="H2034" s="11" t="n">
        <x:v>3717.35</x:v>
      </x:c>
      <x:c r="I2034" s="2" t="n">
        <x:v>3</x:v>
      </x:c>
      <x:c r="J2034" s="2" t="n">
        <x:v>4</x:v>
      </x:c>
      <x:c r="K2034" s="2" t="n">
        <x:v>5</x:v>
      </x:c>
      <x:c r="L2034" s="2" t="str">
        <x:v>Loyal</x:v>
      </x:c>
    </x:row>
    <x:row r="2035" ht="22" customHeight="1">
      <x:c r="A2035" s="2"/>
      <x:c r="B2035" s="2" t="str">
        <x:v>14365</x:v>
      </x:c>
      <x:c r="C2035" s="2" t="str">
        <x:v>United Kingdom</x:v>
      </x:c>
      <x:c r="D2035" s="25" t="n">
        <x:v>40205.197222222225</x:v>
      </x:c>
      <x:c r="E2035" s="25" t="n">
        <x:v>40492.20277777778</x:v>
      </x:c>
      <x:c r="F2035" s="2" t="n">
        <x:v>395</x:v>
      </x:c>
      <x:c r="G2035" s="2" t="n">
        <x:v>2</x:v>
      </x:c>
      <x:c r="H2035" s="11" t="n">
        <x:v>634.68</x:v>
      </x:c>
      <x:c r="I2035" s="2" t="n">
        <x:v>2</x:v>
      </x:c>
      <x:c r="J2035" s="2" t="n">
        <x:v>2</x:v>
      </x:c>
      <x:c r="K2035" s="2" t="n">
        <x:v>3</x:v>
      </x:c>
      <x:c r="L2035" s="2" t="str">
        <x:v>Hibernating</x:v>
      </x:c>
    </x:row>
    <x:row r="2036" ht="22" customHeight="1">
      <x:c r="A2036" s="2"/>
      <x:c r="B2036" s="2" t="str">
        <x:v>14366</x:v>
      </x:c>
      <x:c r="C2036" s="2" t="str">
        <x:v>United Kingdom</x:v>
      </x:c>
      <x:c r="D2036" s="25" t="n">
        <x:v>40361.51597222222</x:v>
      </x:c>
      <x:c r="E2036" s="25" t="n">
        <x:v>40361.51597222222</x:v>
      </x:c>
      <x:c r="F2036" s="2" t="n">
        <x:v>526</x:v>
      </x:c>
      <x:c r="G2036" s="2" t="n">
        <x:v>1</x:v>
      </x:c>
      <x:c r="H2036" s="11" t="n">
        <x:v>136</x:v>
      </x:c>
      <x:c r="I2036" s="2" t="n">
        <x:v>1</x:v>
      </x:c>
      <x:c r="J2036" s="2" t="n">
        <x:v>1</x:v>
      </x:c>
      <x:c r="K2036" s="2" t="n">
        <x:v>1</x:v>
      </x:c>
      <x:c r="L2036" s="2" t="str">
        <x:v>Hibernating</x:v>
      </x:c>
    </x:row>
    <x:row r="2037" ht="22" customHeight="1">
      <x:c r="A2037" s="2"/>
      <x:c r="B2037" s="2" t="str">
        <x:v>14367</x:v>
      </x:c>
      <x:c r="C2037" s="2" t="str">
        <x:v>United Kingdom</x:v>
      </x:c>
      <x:c r="D2037" s="25" t="n">
        <x:v>40610.38333333333</x:v>
      </x:c>
      <x:c r="E2037" s="25" t="n">
        <x:v>40878.34652777778</x:v>
      </x:c>
      <x:c r="F2037" s="2" t="n">
        <x:v>9</x:v>
      </x:c>
      <x:c r="G2037" s="2" t="n">
        <x:v>16</x:v>
      </x:c>
      <x:c r="H2037" s="11" t="n">
        <x:v>9261.52</x:v>
      </x:c>
      <x:c r="I2037" s="2" t="n">
        <x:v>5</x:v>
      </x:c>
      <x:c r="J2037" s="2" t="n">
        <x:v>5</x:v>
      </x:c>
      <x:c r="K2037" s="2" t="n">
        <x:v>5</x:v>
      </x:c>
      <x:c r="L2037" s="2" t="str">
        <x:v>Champions</x:v>
      </x:c>
    </x:row>
    <x:row r="2038" ht="22" customHeight="1">
      <x:c r="A2038" s="2"/>
      <x:c r="B2038" s="2" t="str">
        <x:v>14368</x:v>
      </x:c>
      <x:c r="C2038" s="2" t="str">
        <x:v>United Kingdom</x:v>
      </x:c>
      <x:c r="D2038" s="25" t="n">
        <x:v>40567.20277777778</x:v>
      </x:c>
      <x:c r="E2038" s="25" t="n">
        <x:v>40567.20277777778</x:v>
      </x:c>
      <x:c r="F2038" s="2" t="n">
        <x:v>320</x:v>
      </x:c>
      <x:c r="G2038" s="2" t="n">
        <x:v>1</x:v>
      </x:c>
      <x:c r="H2038" s="11" t="n">
        <x:v>155</x:v>
      </x:c>
      <x:c r="I2038" s="2" t="n">
        <x:v>2</x:v>
      </x:c>
      <x:c r="J2038" s="2" t="n">
        <x:v>1</x:v>
      </x:c>
      <x:c r="K2038" s="2" t="n">
        <x:v>1</x:v>
      </x:c>
      <x:c r="L2038" s="2" t="str">
        <x:v>Hibernating</x:v>
      </x:c>
    </x:row>
    <x:row r="2039" ht="22" customHeight="1">
      <x:c r="A2039" s="2"/>
      <x:c r="B2039" s="2" t="str">
        <x:v>14369</x:v>
      </x:c>
      <x:c r="C2039" s="2" t="str">
        <x:v>United Kingdom</x:v>
      </x:c>
      <x:c r="D2039" s="25" t="n">
        <x:v>40225.22777777778</x:v>
      </x:c>
      <x:c r="E2039" s="25" t="n">
        <x:v>40244.44930555556</x:v>
      </x:c>
      <x:c r="F2039" s="2" t="n">
        <x:v>643</x:v>
      </x:c>
      <x:c r="G2039" s="2" t="n">
        <x:v>2</x:v>
      </x:c>
      <x:c r="H2039" s="11" t="n">
        <x:v>469.13</x:v>
      </x:c>
      <x:c r="I2039" s="2" t="n">
        <x:v>1</x:v>
      </x:c>
      <x:c r="J2039" s="2" t="n">
        <x:v>2</x:v>
      </x:c>
      <x:c r="K2039" s="2" t="n">
        <x:v>2</x:v>
      </x:c>
      <x:c r="L2039" s="2" t="str">
        <x:v>Hibernating</x:v>
      </x:c>
    </x:row>
    <x:row r="2040" ht="22" customHeight="1">
      <x:c r="A2040" s="2"/>
      <x:c r="B2040" s="2" t="str">
        <x:v>14370</x:v>
      </x:c>
      <x:c r="C2040" s="2" t="str">
        <x:v>United Kingdom</x:v>
      </x:c>
      <x:c r="D2040" s="25" t="n">
        <x:v>40210.149305555555</x:v>
      </x:c>
      <x:c r="E2040" s="25" t="n">
        <x:v>40436.24513888889</x:v>
      </x:c>
      <x:c r="F2040" s="2" t="n">
        <x:v>451</x:v>
      </x:c>
      <x:c r="G2040" s="2" t="n">
        <x:v>6</x:v>
      </x:c>
      <x:c r="H2040" s="11" t="n">
        <x:v>1175.78</x:v>
      </x:c>
      <x:c r="I2040" s="2" t="n">
        <x:v>1</x:v>
      </x:c>
      <x:c r="J2040" s="2" t="n">
        <x:v>4</x:v>
      </x:c>
      <x:c r="K2040" s="2" t="n">
        <x:v>3</x:v>
      </x:c>
      <x:c r="L2040" s="2" t="str">
        <x:v>At risk</x:v>
      </x:c>
    </x:row>
    <x:row r="2041" ht="22" customHeight="1">
      <x:c r="A2041" s="2"/>
      <x:c r="B2041" s="2" t="str">
        <x:v>14371</x:v>
      </x:c>
      <x:c r="C2041" s="2" t="str">
        <x:v>United Kingdom</x:v>
      </x:c>
      <x:c r="D2041" s="25" t="n">
        <x:v>40591.48263888889</x:v>
      </x:c>
      <x:c r="E2041" s="25" t="n">
        <x:v>40591.48263888889</x:v>
      </x:c>
      <x:c r="F2041" s="2" t="n">
        <x:v>296</x:v>
      </x:c>
      <x:c r="G2041" s="2" t="n">
        <x:v>1</x:v>
      </x:c>
      <x:c r="H2041" s="11" t="n">
        <x:v>100.5</x:v>
      </x:c>
      <x:c r="I2041" s="2" t="n">
        <x:v>2</x:v>
      </x:c>
      <x:c r="J2041" s="2" t="n">
        <x:v>1</x:v>
      </x:c>
      <x:c r="K2041" s="2" t="n">
        <x:v>1</x:v>
      </x:c>
      <x:c r="L2041" s="2" t="str">
        <x:v>Hibernating</x:v>
      </x:c>
    </x:row>
    <x:row r="2042" ht="22" customHeight="1">
      <x:c r="A2042" s="2"/>
      <x:c r="B2042" s="2" t="str">
        <x:v>14372</x:v>
      </x:c>
      <x:c r="C2042" s="2" t="str">
        <x:v>United Kingdom</x:v>
      </x:c>
      <x:c r="D2042" s="25" t="n">
        <x:v>40287.45625</x:v>
      </x:c>
      <x:c r="E2042" s="25" t="n">
        <x:v>40443.470138888886</x:v>
      </x:c>
      <x:c r="F2042" s="2" t="n">
        <x:v>444</x:v>
      </x:c>
      <x:c r="G2042" s="2" t="n">
        <x:v>2</x:v>
      </x:c>
      <x:c r="H2042" s="11" t="n">
        <x:v>860.08</x:v>
      </x:c>
      <x:c r="I2042" s="2" t="n">
        <x:v>1</x:v>
      </x:c>
      <x:c r="J2042" s="2" t="n">
        <x:v>2</x:v>
      </x:c>
      <x:c r="K2042" s="2" t="n">
        <x:v>3</x:v>
      </x:c>
      <x:c r="L2042" s="2" t="str">
        <x:v>Hibernating</x:v>
      </x:c>
    </x:row>
    <x:row r="2043" ht="22" customHeight="1">
      <x:c r="A2043" s="2"/>
      <x:c r="B2043" s="2" t="str">
        <x:v>14373</x:v>
      </x:c>
      <x:c r="C2043" s="2" t="str">
        <x:v>United Kingdom</x:v>
      </x:c>
      <x:c r="D2043" s="25" t="n">
        <x:v>40528.444444444445</x:v>
      </x:c>
      <x:c r="E2043" s="25" t="n">
        <x:v>40528.444444444445</x:v>
      </x:c>
      <x:c r="F2043" s="2" t="n">
        <x:v>359</x:v>
      </x:c>
      <x:c r="G2043" s="2" t="n">
        <x:v>1</x:v>
      </x:c>
      <x:c r="H2043" s="11" t="n">
        <x:v>76.55</x:v>
      </x:c>
      <x:c r="I2043" s="2" t="n">
        <x:v>2</x:v>
      </x:c>
      <x:c r="J2043" s="2" t="n">
        <x:v>1</x:v>
      </x:c>
      <x:c r="K2043" s="2" t="n">
        <x:v>1</x:v>
      </x:c>
      <x:c r="L2043" s="2" t="str">
        <x:v>Hibernating</x:v>
      </x:c>
    </x:row>
    <x:row r="2044" ht="22" customHeight="1">
      <x:c r="A2044" s="2"/>
      <x:c r="B2044" s="2" t="str">
        <x:v>14374</x:v>
      </x:c>
      <x:c r="C2044" s="2" t="str">
        <x:v>United Kingdom</x:v>
      </x:c>
      <x:c r="D2044" s="25" t="n">
        <x:v>40345.39236111111</x:v>
      </x:c>
      <x:c r="E2044" s="25" t="n">
        <x:v>40345.39236111111</x:v>
      </x:c>
      <x:c r="F2044" s="2" t="n">
        <x:v>542</x:v>
      </x:c>
      <x:c r="G2044" s="2" t="n">
        <x:v>1</x:v>
      </x:c>
      <x:c r="H2044" s="11" t="n">
        <x:v>108</x:v>
      </x:c>
      <x:c r="I2044" s="2" t="n">
        <x:v>1</x:v>
      </x:c>
      <x:c r="J2044" s="2" t="n">
        <x:v>1</x:v>
      </x:c>
      <x:c r="K2044" s="2" t="n">
        <x:v>1</x:v>
      </x:c>
      <x:c r="L2044" s="2" t="str">
        <x:v>Hibernating</x:v>
      </x:c>
    </x:row>
    <x:row r="2045" ht="22" customHeight="1">
      <x:c r="A2045" s="2"/>
      <x:c r="B2045" s="2" t="str">
        <x:v>14375</x:v>
      </x:c>
      <x:c r="C2045" s="2" t="str">
        <x:v>United Kingdom</x:v>
      </x:c>
      <x:c r="D2045" s="25" t="n">
        <x:v>40345.39861111111</x:v>
      </x:c>
      <x:c r="E2045" s="25" t="n">
        <x:v>40701.36388888889</x:v>
      </x:c>
      <x:c r="F2045" s="2" t="n">
        <x:v>186</x:v>
      </x:c>
      <x:c r="G2045" s="2" t="n">
        <x:v>3</x:v>
      </x:c>
      <x:c r="H2045" s="11" t="n">
        <x:v>1132.99</x:v>
      </x:c>
      <x:c r="I2045" s="2" t="n">
        <x:v>3</x:v>
      </x:c>
      <x:c r="J2045" s="2" t="n">
        <x:v>3</x:v>
      </x:c>
      <x:c r="K2045" s="2" t="n">
        <x:v>3</x:v>
      </x:c>
      <x:c r="L2045" s="2" t="str">
        <x:v>Loyal</x:v>
      </x:c>
    </x:row>
    <x:row r="2046" ht="22" customHeight="1">
      <x:c r="A2046" s="2"/>
      <x:c r="B2046" s="2" t="str">
        <x:v>14376</x:v>
      </x:c>
      <x:c r="C2046" s="2" t="str">
        <x:v>United Kingdom</x:v>
      </x:c>
      <x:c r="D2046" s="25" t="n">
        <x:v>40203.441666666666</x:v>
      </x:c>
      <x:c r="E2046" s="25" t="n">
        <x:v>40203.441666666666</x:v>
      </x:c>
      <x:c r="F2046" s="2" t="n">
        <x:v>684</x:v>
      </x:c>
      <x:c r="G2046" s="2" t="n">
        <x:v>1</x:v>
      </x:c>
      <x:c r="H2046" s="11" t="n">
        <x:v>215.46</x:v>
      </x:c>
      <x:c r="I2046" s="2" t="n">
        <x:v>1</x:v>
      </x:c>
      <x:c r="J2046" s="2" t="n">
        <x:v>1</x:v>
      </x:c>
      <x:c r="K2046" s="2" t="n">
        <x:v>1</x:v>
      </x:c>
      <x:c r="L2046" s="2" t="str">
        <x:v>Hibernating</x:v>
      </x:c>
    </x:row>
    <x:row r="2047" ht="22" customHeight="1">
      <x:c r="A2047" s="2"/>
      <x:c r="B2047" s="2" t="str">
        <x:v>14377</x:v>
      </x:c>
      <x:c r="C2047" s="2" t="str">
        <x:v>United Kingdom</x:v>
      </x:c>
      <x:c r="D2047" s="25" t="n">
        <x:v>40624.35972222222</x:v>
      </x:c>
      <x:c r="E2047" s="25" t="n">
        <x:v>40695.35555555556</x:v>
      </x:c>
      <x:c r="F2047" s="2" t="n">
        <x:v>192</x:v>
      </x:c>
      <x:c r="G2047" s="2" t="n">
        <x:v>2</x:v>
      </x:c>
      <x:c r="H2047" s="11" t="n">
        <x:v>617.05</x:v>
      </x:c>
      <x:c r="I2047" s="2" t="n">
        <x:v>2</x:v>
      </x:c>
      <x:c r="J2047" s="2" t="n">
        <x:v>2</x:v>
      </x:c>
      <x:c r="K2047" s="2" t="n">
        <x:v>3</x:v>
      </x:c>
      <x:c r="L2047" s="2" t="str">
        <x:v>Hibernating</x:v>
      </x:c>
    </x:row>
    <x:row r="2048" ht="22" customHeight="1">
      <x:c r="A2048" s="2"/>
      <x:c r="B2048" s="2" t="str">
        <x:v>14378</x:v>
      </x:c>
      <x:c r="C2048" s="2" t="str">
        <x:v>United Kingdom</x:v>
      </x:c>
      <x:c r="D2048" s="25" t="n">
        <x:v>40265.30694444444</x:v>
      </x:c>
      <x:c r="E2048" s="25" t="n">
        <x:v>40265.30694444444</x:v>
      </x:c>
      <x:c r="F2048" s="2" t="n">
        <x:v>622</x:v>
      </x:c>
      <x:c r="G2048" s="2" t="n">
        <x:v>1</x:v>
      </x:c>
      <x:c r="H2048" s="11" t="n">
        <x:v>131.25</x:v>
      </x:c>
      <x:c r="I2048" s="2" t="n">
        <x:v>1</x:v>
      </x:c>
      <x:c r="J2048" s="2" t="n">
        <x:v>1</x:v>
      </x:c>
      <x:c r="K2048" s="2" t="n">
        <x:v>1</x:v>
      </x:c>
      <x:c r="L2048" s="2" t="str">
        <x:v>Hibernating</x:v>
      </x:c>
    </x:row>
    <x:row r="2049" ht="22" customHeight="1">
      <x:c r="A2049" s="2"/>
      <x:c r="B2049" s="2" t="str">
        <x:v>14379</x:v>
      </x:c>
      <x:c r="C2049" s="2" t="str">
        <x:v>United Kingdom</x:v>
      </x:c>
      <x:c r="D2049" s="25" t="n">
        <x:v>40406.43819444445</x:v>
      </x:c>
      <x:c r="E2049" s="25" t="n">
        <x:v>40842.48819444444</x:v>
      </x:c>
      <x:c r="F2049" s="2" t="n">
        <x:v>45</x:v>
      </x:c>
      <x:c r="G2049" s="2" t="n">
        <x:v>4</x:v>
      </x:c>
      <x:c r="H2049" s="11" t="n">
        <x:v>1268.91</x:v>
      </x:c>
      <x:c r="I2049" s="2" t="n">
        <x:v>4</x:v>
      </x:c>
      <x:c r="J2049" s="2" t="n">
        <x:v>3</x:v>
      </x:c>
      <x:c r="K2049" s="2" t="n">
        <x:v>4</x:v>
      </x:c>
      <x:c r="L2049" s="2" t="str">
        <x:v>Loyal</x:v>
      </x:c>
    </x:row>
    <x:row r="2050" ht="22" customHeight="1">
      <x:c r="A2050" s="2"/>
      <x:c r="B2050" s="2" t="str">
        <x:v>14380</x:v>
      </x:c>
      <x:c r="C2050" s="2" t="str">
        <x:v>United Kingdom</x:v>
      </x:c>
      <x:c r="D2050" s="25" t="n">
        <x:v>40204.50763888889</x:v>
      </x:c>
      <x:c r="E2050" s="25" t="n">
        <x:v>40204.50763888889</x:v>
      </x:c>
      <x:c r="F2050" s="2" t="n">
        <x:v>683</x:v>
      </x:c>
      <x:c r="G2050" s="2" t="n">
        <x:v>1</x:v>
      </x:c>
      <x:c r="H2050" s="11" t="n">
        <x:v>48.96</x:v>
      </x:c>
      <x:c r="I2050" s="2" t="n">
        <x:v>1</x:v>
      </x:c>
      <x:c r="J2050" s="2" t="n">
        <x:v>1</x:v>
      </x:c>
      <x:c r="K2050" s="2" t="n">
        <x:v>1</x:v>
      </x:c>
      <x:c r="L2050" s="2" t="str">
        <x:v>Hibernating</x:v>
      </x:c>
    </x:row>
    <x:row r="2051" ht="22" customHeight="1">
      <x:c r="A2051" s="2"/>
      <x:c r="B2051" s="2" t="str">
        <x:v>14381</x:v>
      </x:c>
      <x:c r="C2051" s="2" t="str">
        <x:v>United Kingdom</x:v>
      </x:c>
      <x:c r="D2051" s="25" t="n">
        <x:v>40435.46875</x:v>
      </x:c>
      <x:c r="E2051" s="25" t="n">
        <x:v>40834.506944444445</x:v>
      </x:c>
      <x:c r="F2051" s="2" t="n">
        <x:v>53</x:v>
      </x:c>
      <x:c r="G2051" s="2" t="n">
        <x:v>2</x:v>
      </x:c>
      <x:c r="H2051" s="11" t="n">
        <x:v>631.34</x:v>
      </x:c>
      <x:c r="I2051" s="2" t="n">
        <x:v>4</x:v>
      </x:c>
      <x:c r="J2051" s="2" t="n">
        <x:v>2</x:v>
      </x:c>
      <x:c r="K2051" s="2" t="n">
        <x:v>3</x:v>
      </x:c>
      <x:c r="L2051" s="2" t="str">
        <x:v>Recent light buyers</x:v>
      </x:c>
    </x:row>
    <x:row r="2052" ht="22" customHeight="1">
      <x:c r="A2052" s="2"/>
      <x:c r="B2052" s="2" t="str">
        <x:v>14382</x:v>
      </x:c>
      <x:c r="C2052" s="2" t="str">
        <x:v>United Kingdom</x:v>
      </x:c>
      <x:c r="D2052" s="25" t="n">
        <x:v>40496.48055555556</x:v>
      </x:c>
      <x:c r="E2052" s="25" t="n">
        <x:v>40860.47083333333</x:v>
      </x:c>
      <x:c r="F2052" s="2" t="n">
        <x:v>27</x:v>
      </x:c>
      <x:c r="G2052" s="2" t="n">
        <x:v>2</x:v>
      </x:c>
      <x:c r="H2052" s="11" t="n">
        <x:v>1246.8</x:v>
      </x:c>
      <x:c r="I2052" s="2" t="n">
        <x:v>4</x:v>
      </x:c>
      <x:c r="J2052" s="2" t="n">
        <x:v>2</x:v>
      </x:c>
      <x:c r="K2052" s="2" t="n">
        <x:v>4</x:v>
      </x:c>
      <x:c r="L2052" s="2" t="str">
        <x:v>Recent light buyers</x:v>
      </x:c>
    </x:row>
    <x:row r="2053" ht="22" customHeight="1">
      <x:c r="A2053" s="2"/>
      <x:c r="B2053" s="2" t="str">
        <x:v>14383</x:v>
      </x:c>
      <x:c r="C2053" s="2" t="str">
        <x:v>United Kingdom</x:v>
      </x:c>
      <x:c r="D2053" s="25" t="n">
        <x:v>40723.22083333333</x:v>
      </x:c>
      <x:c r="E2053" s="25" t="n">
        <x:v>40848.45347222222</x:v>
      </x:c>
      <x:c r="F2053" s="2" t="n">
        <x:v>39</x:v>
      </x:c>
      <x:c r="G2053" s="2" t="n">
        <x:v>3</x:v>
      </x:c>
      <x:c r="H2053" s="11" t="n">
        <x:v>1247.69</x:v>
      </x:c>
      <x:c r="I2053" s="2" t="n">
        <x:v>4</x:v>
      </x:c>
      <x:c r="J2053" s="2" t="n">
        <x:v>3</x:v>
      </x:c>
      <x:c r="K2053" s="2" t="n">
        <x:v>4</x:v>
      </x:c>
      <x:c r="L2053" s="2" t="str">
        <x:v>Loyal</x:v>
      </x:c>
    </x:row>
    <x:row r="2054" ht="22" customHeight="1">
      <x:c r="A2054" s="2"/>
      <x:c r="B2054" s="2" t="str">
        <x:v>14384</x:v>
      </x:c>
      <x:c r="C2054" s="2" t="str">
        <x:v>United Kingdom</x:v>
      </x:c>
      <x:c r="D2054" s="25" t="n">
        <x:v>40386.20347222222</x:v>
      </x:c>
      <x:c r="E2054" s="25" t="n">
        <x:v>40386.20347222222</x:v>
      </x:c>
      <x:c r="F2054" s="2" t="n">
        <x:v>501</x:v>
      </x:c>
      <x:c r="G2054" s="2" t="n">
        <x:v>1</x:v>
      </x:c>
      <x:c r="H2054" s="11" t="n">
        <x:v>58.5</x:v>
      </x:c>
      <x:c r="I2054" s="2" t="n">
        <x:v>1</x:v>
      </x:c>
      <x:c r="J2054" s="2" t="n">
        <x:v>1</x:v>
      </x:c>
      <x:c r="K2054" s="2" t="n">
        <x:v>1</x:v>
      </x:c>
      <x:c r="L2054" s="2" t="str">
        <x:v>Hibernating</x:v>
      </x:c>
    </x:row>
    <x:row r="2055" ht="22" customHeight="1">
      <x:c r="A2055" s="2"/>
      <x:c r="B2055" s="2" t="str">
        <x:v>14385</x:v>
      </x:c>
      <x:c r="C2055" s="2" t="str">
        <x:v>United Kingdom</x:v>
      </x:c>
      <x:c r="D2055" s="25" t="n">
        <x:v>40863.288194444445</x:v>
      </x:c>
      <x:c r="E2055" s="25" t="n">
        <x:v>40877.441666666666</x:v>
      </x:c>
      <x:c r="F2055" s="2" t="n">
        <x:v>10</x:v>
      </x:c>
      <x:c r="G2055" s="2" t="n">
        <x:v>3</x:v>
      </x:c>
      <x:c r="H2055" s="11" t="n">
        <x:v>202.11</x:v>
      </x:c>
      <x:c r="I2055" s="2" t="n">
        <x:v>5</x:v>
      </x:c>
      <x:c r="J2055" s="2" t="n">
        <x:v>3</x:v>
      </x:c>
      <x:c r="K2055" s="2" t="n">
        <x:v>1</x:v>
      </x:c>
      <x:c r="L2055" s="2" t="str">
        <x:v>Loyal</x:v>
      </x:c>
    </x:row>
    <x:row r="2056" ht="22" customHeight="1">
      <x:c r="A2056" s="2"/>
      <x:c r="B2056" s="2" t="str">
        <x:v>14386</x:v>
      </x:c>
      <x:c r="C2056" s="2" t="str">
        <x:v>United Kingdom</x:v>
      </x:c>
      <x:c r="D2056" s="25" t="n">
        <x:v>40590.197916666664</x:v>
      </x:c>
      <x:c r="E2056" s="25" t="n">
        <x:v>40590.197916666664</x:v>
      </x:c>
      <x:c r="F2056" s="2" t="n">
        <x:v>297</x:v>
      </x:c>
      <x:c r="G2056" s="2" t="n">
        <x:v>1</x:v>
      </x:c>
      <x:c r="H2056" s="11" t="n">
        <x:v>142.4</x:v>
      </x:c>
      <x:c r="I2056" s="2" t="n">
        <x:v>2</x:v>
      </x:c>
      <x:c r="J2056" s="2" t="n">
        <x:v>1</x:v>
      </x:c>
      <x:c r="K2056" s="2" t="n">
        <x:v>1</x:v>
      </x:c>
      <x:c r="L2056" s="2" t="str">
        <x:v>Hibernating</x:v>
      </x:c>
    </x:row>
    <x:row r="2057" ht="22" customHeight="1">
      <x:c r="A2057" s="2"/>
      <x:c r="B2057" s="2" t="str">
        <x:v>14387</x:v>
      </x:c>
      <x:c r="C2057" s="2" t="str">
        <x:v>United Kingdom</x:v>
      </x:c>
      <x:c r="D2057" s="25" t="n">
        <x:v>40777.38402777778</x:v>
      </x:c>
      <x:c r="E2057" s="25" t="n">
        <x:v>40854.31180555555</x:v>
      </x:c>
      <x:c r="F2057" s="2" t="n">
        <x:v>33</x:v>
      </x:c>
      <x:c r="G2057" s="2" t="n">
        <x:v>3</x:v>
      </x:c>
      <x:c r="H2057" s="11" t="n">
        <x:v>1770.56</x:v>
      </x:c>
      <x:c r="I2057" s="2" t="n">
        <x:v>4</x:v>
      </x:c>
      <x:c r="J2057" s="2" t="n">
        <x:v>3</x:v>
      </x:c>
      <x:c r="K2057" s="2" t="n">
        <x:v>4</x:v>
      </x:c>
      <x:c r="L2057" s="2" t="str">
        <x:v>Loyal</x:v>
      </x:c>
    </x:row>
    <x:row r="2058" ht="22" customHeight="1">
      <x:c r="A2058" s="2"/>
      <x:c r="B2058" s="2" t="str">
        <x:v>14388</x:v>
      </x:c>
      <x:c r="C2058" s="2" t="str">
        <x:v>United Kingdom</x:v>
      </x:c>
      <x:c r="D2058" s="25" t="n">
        <x:v>40198.2875</x:v>
      </x:c>
      <x:c r="E2058" s="25" t="n">
        <x:v>40876.35555555556</x:v>
      </x:c>
      <x:c r="F2058" s="2" t="n">
        <x:v>11</x:v>
      </x:c>
      <x:c r="G2058" s="2" t="n">
        <x:v>16</x:v>
      </x:c>
      <x:c r="H2058" s="11" t="n">
        <x:v>6388.2</x:v>
      </x:c>
      <x:c r="I2058" s="2" t="n">
        <x:v>5</x:v>
      </x:c>
      <x:c r="J2058" s="2" t="n">
        <x:v>5</x:v>
      </x:c>
      <x:c r="K2058" s="2" t="n">
        <x:v>5</x:v>
      </x:c>
      <x:c r="L2058" s="2" t="str">
        <x:v>Champions</x:v>
      </x:c>
    </x:row>
    <x:row r="2059" ht="22" customHeight="1">
      <x:c r="A2059" s="2"/>
      <x:c r="B2059" s="2" t="str">
        <x:v>14389</x:v>
      </x:c>
      <x:c r="C2059" s="2" t="str">
        <x:v>United Kingdom</x:v>
      </x:c>
      <x:c r="D2059" s="25" t="n">
        <x:v>40296.41458333333</x:v>
      </x:c>
      <x:c r="E2059" s="25" t="n">
        <x:v>40821.42847222222</x:v>
      </x:c>
      <x:c r="F2059" s="2" t="n">
        <x:v>66</x:v>
      </x:c>
      <x:c r="G2059" s="2" t="n">
        <x:v>5</x:v>
      </x:c>
      <x:c r="H2059" s="11" t="n">
        <x:v>1898.01</x:v>
      </x:c>
      <x:c r="I2059" s="2" t="n">
        <x:v>3</x:v>
      </x:c>
      <x:c r="J2059" s="2" t="n">
        <x:v>4</x:v>
      </x:c>
      <x:c r="K2059" s="2" t="n">
        <x:v>4</x:v>
      </x:c>
      <x:c r="L2059" s="2" t="str">
        <x:v>Loyal</x:v>
      </x:c>
    </x:row>
    <x:row r="2060" ht="22" customHeight="1">
      <x:c r="A2060" s="2"/>
      <x:c r="B2060" s="2" t="str">
        <x:v>14390</x:v>
      </x:c>
      <x:c r="C2060" s="2" t="str">
        <x:v>United Kingdom</x:v>
      </x:c>
      <x:c r="D2060" s="25" t="n">
        <x:v>40461.395833333336</x:v>
      </x:c>
      <x:c r="E2060" s="25" t="n">
        <x:v>40876.36736111111</x:v>
      </x:c>
      <x:c r="F2060" s="2" t="n">
        <x:v>11</x:v>
      </x:c>
      <x:c r="G2060" s="2" t="n">
        <x:v>13</x:v>
      </x:c>
      <x:c r="H2060" s="11" t="n">
        <x:v>6176.13</x:v>
      </x:c>
      <x:c r="I2060" s="2" t="n">
        <x:v>5</x:v>
      </x:c>
      <x:c r="J2060" s="2" t="n">
        <x:v>5</x:v>
      </x:c>
      <x:c r="K2060" s="2" t="n">
        <x:v>5</x:v>
      </x:c>
      <x:c r="L2060" s="2" t="str">
        <x:v>Champions</x:v>
      </x:c>
    </x:row>
    <x:row r="2061" ht="22" customHeight="1">
      <x:c r="A2061" s="2"/>
      <x:c r="B2061" s="2" t="str">
        <x:v>14391</x:v>
      </x:c>
      <x:c r="C2061" s="2" t="str">
        <x:v>United Kingdom</x:v>
      </x:c>
      <x:c r="D2061" s="25" t="n">
        <x:v>40310.19583333333</x:v>
      </x:c>
      <x:c r="E2061" s="25" t="n">
        <x:v>40310.19583333333</x:v>
      </x:c>
      <x:c r="F2061" s="2" t="n">
        <x:v>577</x:v>
      </x:c>
      <x:c r="G2061" s="2" t="n">
        <x:v>1</x:v>
      </x:c>
      <x:c r="H2061" s="11" t="n">
        <x:v>135.6</x:v>
      </x:c>
      <x:c r="I2061" s="2" t="n">
        <x:v>1</x:v>
      </x:c>
      <x:c r="J2061" s="2" t="n">
        <x:v>1</x:v>
      </x:c>
      <x:c r="K2061" s="2" t="n">
        <x:v>1</x:v>
      </x:c>
      <x:c r="L2061" s="2" t="str">
        <x:v>Hibernating</x:v>
      </x:c>
    </x:row>
    <x:row r="2062" ht="22" customHeight="1">
      <x:c r="A2062" s="2"/>
      <x:c r="B2062" s="2" t="str">
        <x:v>14392</x:v>
      </x:c>
      <x:c r="C2062" s="2" t="str">
        <x:v>United Kingdom</x:v>
      </x:c>
      <x:c r="D2062" s="25" t="n">
        <x:v>40454.330555555556</x:v>
      </x:c>
      <x:c r="E2062" s="25" t="n">
        <x:v>40454.330555555556</x:v>
      </x:c>
      <x:c r="F2062" s="2" t="n">
        <x:v>433</x:v>
      </x:c>
      <x:c r="G2062" s="2" t="n">
        <x:v>1</x:v>
      </x:c>
      <x:c r="H2062" s="11" t="n">
        <x:v>266.4</x:v>
      </x:c>
      <x:c r="I2062" s="2" t="n">
        <x:v>1</x:v>
      </x:c>
      <x:c r="J2062" s="2" t="n">
        <x:v>1</x:v>
      </x:c>
      <x:c r="K2062" s="2" t="n">
        <x:v>1</x:v>
      </x:c>
      <x:c r="L2062" s="2" t="str">
        <x:v>Hibernating</x:v>
      </x:c>
    </x:row>
    <x:row r="2063" ht="22" customHeight="1">
      <x:c r="A2063" s="2"/>
      <x:c r="B2063" s="2" t="str">
        <x:v>14393</x:v>
      </x:c>
      <x:c r="C2063" s="2" t="str">
        <x:v>United Kingdom</x:v>
      </x:c>
      <x:c r="D2063" s="25" t="n">
        <x:v>40668.552777777775</x:v>
      </x:c>
      <x:c r="E2063" s="25" t="n">
        <x:v>40668.552777777775</x:v>
      </x:c>
      <x:c r="F2063" s="2" t="n">
        <x:v>219</x:v>
      </x:c>
      <x:c r="G2063" s="2" t="n">
        <x:v>1</x:v>
      </x:c>
      <x:c r="H2063" s="11" t="n">
        <x:v>67.95</x:v>
      </x:c>
      <x:c r="I2063" s="2" t="n">
        <x:v>2</x:v>
      </x:c>
      <x:c r="J2063" s="2" t="n">
        <x:v>1</x:v>
      </x:c>
      <x:c r="K2063" s="2" t="n">
        <x:v>1</x:v>
      </x:c>
      <x:c r="L2063" s="2" t="str">
        <x:v>Hibernating</x:v>
      </x:c>
    </x:row>
    <x:row r="2064" ht="22" customHeight="1">
      <x:c r="A2064" s="2"/>
      <x:c r="B2064" s="2" t="str">
        <x:v>14394</x:v>
      </x:c>
      <x:c r="C2064" s="2" t="str">
        <x:v>United Kingdom</x:v>
      </x:c>
      <x:c r="D2064" s="25" t="n">
        <x:v>40322.23819444444</x:v>
      </x:c>
      <x:c r="E2064" s="25" t="n">
        <x:v>40322.23819444444</x:v>
      </x:c>
      <x:c r="F2064" s="2" t="n">
        <x:v>565</x:v>
      </x:c>
      <x:c r="G2064" s="2" t="n">
        <x:v>1</x:v>
      </x:c>
      <x:c r="H2064" s="11" t="n">
        <x:v>93.8</x:v>
      </x:c>
      <x:c r="I2064" s="2" t="n">
        <x:v>1</x:v>
      </x:c>
      <x:c r="J2064" s="2" t="n">
        <x:v>1</x:v>
      </x:c>
      <x:c r="K2064" s="2" t="n">
        <x:v>1</x:v>
      </x:c>
      <x:c r="L2064" s="2" t="str">
        <x:v>Hibernating</x:v>
      </x:c>
    </x:row>
    <x:row r="2065" ht="22" customHeight="1">
      <x:c r="A2065" s="2"/>
      <x:c r="B2065" s="2" t="str">
        <x:v>14395</x:v>
      </x:c>
      <x:c r="C2065" s="2" t="str">
        <x:v>United Kingdom</x:v>
      </x:c>
      <x:c r="D2065" s="25" t="n">
        <x:v>40286.34166666667</x:v>
      </x:c>
      <x:c r="E2065" s="25" t="n">
        <x:v>40884.39861111111</x:v>
      </x:c>
      <x:c r="F2065" s="2" t="n">
        <x:v>3</x:v>
      </x:c>
      <x:c r="G2065" s="2" t="n">
        <x:v>20</x:v>
      </x:c>
      <x:c r="H2065" s="11" t="n">
        <x:v>7899.33</x:v>
      </x:c>
      <x:c r="I2065" s="2" t="n">
        <x:v>5</x:v>
      </x:c>
      <x:c r="J2065" s="2" t="n">
        <x:v>5</x:v>
      </x:c>
      <x:c r="K2065" s="2" t="n">
        <x:v>5</x:v>
      </x:c>
      <x:c r="L2065" s="2" t="str">
        <x:v>Champions</x:v>
      </x:c>
    </x:row>
    <x:row r="2066" ht="22" customHeight="1">
      <x:c r="A2066" s="2"/>
      <x:c r="B2066" s="2" t="str">
        <x:v>14396</x:v>
      </x:c>
      <x:c r="C2066" s="2" t="str">
        <x:v>United Kingdom</x:v>
      </x:c>
      <x:c r="D2066" s="25" t="n">
        <x:v>40149.38958333333</x:v>
      </x:c>
      <x:c r="E2066" s="25" t="n">
        <x:v>40821.464583333334</x:v>
      </x:c>
      <x:c r="F2066" s="2" t="n">
        <x:v>66</x:v>
      </x:c>
      <x:c r="G2066" s="2" t="n">
        <x:v>7</x:v>
      </x:c>
      <x:c r="H2066" s="11" t="n">
        <x:v>2011.58</x:v>
      </x:c>
      <x:c r="I2066" s="2" t="n">
        <x:v>3</x:v>
      </x:c>
      <x:c r="J2066" s="2" t="n">
        <x:v>4</x:v>
      </x:c>
      <x:c r="K2066" s="2" t="n">
        <x:v>4</x:v>
      </x:c>
      <x:c r="L2066" s="2" t="str">
        <x:v>Loyal</x:v>
      </x:c>
    </x:row>
    <x:row r="2067" ht="22" customHeight="1">
      <x:c r="A2067" s="2"/>
      <x:c r="B2067" s="2" t="str">
        <x:v>14397</x:v>
      </x:c>
      <x:c r="C2067" s="2" t="str">
        <x:v>United Kingdom</x:v>
      </x:c>
      <x:c r="D2067" s="25" t="n">
        <x:v>40673.30902777778</x:v>
      </x:c>
      <x:c r="E2067" s="25" t="n">
        <x:v>40884.18194444444</x:v>
      </x:c>
      <x:c r="F2067" s="2" t="n">
        <x:v>3</x:v>
      </x:c>
      <x:c r="G2067" s="2" t="n">
        <x:v>19</x:v>
      </x:c>
      <x:c r="H2067" s="11" t="n">
        <x:v>2612.96</x:v>
      </x:c>
      <x:c r="I2067" s="2" t="n">
        <x:v>5</x:v>
      </x:c>
      <x:c r="J2067" s="2" t="n">
        <x:v>5</x:v>
      </x:c>
      <x:c r="K2067" s="2" t="n">
        <x:v>4</x:v>
      </x:c>
      <x:c r="L2067" s="2" t="str">
        <x:v>Champions</x:v>
      </x:c>
    </x:row>
    <x:row r="2068" ht="22" customHeight="1">
      <x:c r="A2068" s="2"/>
      <x:c r="B2068" s="2" t="str">
        <x:v>14398</x:v>
      </x:c>
      <x:c r="C2068" s="2" t="str">
        <x:v>United Kingdom</x:v>
      </x:c>
      <x:c r="D2068" s="25" t="n">
        <x:v>40359.28958333333</x:v>
      </x:c>
      <x:c r="E2068" s="25" t="n">
        <x:v>40485.365277777775</x:v>
      </x:c>
      <x:c r="F2068" s="2" t="n">
        <x:v>402</x:v>
      </x:c>
      <x:c r="G2068" s="2" t="n">
        <x:v>2</x:v>
      </x:c>
      <x:c r="H2068" s="11" t="n">
        <x:v>707.79</x:v>
      </x:c>
      <x:c r="I2068" s="2" t="n">
        <x:v>2</x:v>
      </x:c>
      <x:c r="J2068" s="2" t="n">
        <x:v>2</x:v>
      </x:c>
      <x:c r="K2068" s="2" t="n">
        <x:v>3</x:v>
      </x:c>
      <x:c r="L2068" s="2" t="str">
        <x:v>Hibernating</x:v>
      </x:c>
    </x:row>
    <x:row r="2069" ht="22" customHeight="1">
      <x:c r="A2069" s="2"/>
      <x:c r="B2069" s="2" t="str">
        <x:v>14399</x:v>
      </x:c>
      <x:c r="C2069" s="2" t="str">
        <x:v>United Kingdom</x:v>
      </x:c>
      <x:c r="D2069" s="25" t="n">
        <x:v>40212.339583333334</x:v>
      </x:c>
      <x:c r="E2069" s="25" t="n">
        <x:v>40492.34930555556</x:v>
      </x:c>
      <x:c r="F2069" s="2" t="n">
        <x:v>395</x:v>
      </x:c>
      <x:c r="G2069" s="2" t="n">
        <x:v>8</x:v>
      </x:c>
      <x:c r="H2069" s="11" t="n">
        <x:v>2113.16</x:v>
      </x:c>
      <x:c r="I2069" s="2" t="n">
        <x:v>2</x:v>
      </x:c>
      <x:c r="J2069" s="2" t="n">
        <x:v>4</x:v>
      </x:c>
      <x:c r="K2069" s="2" t="n">
        <x:v>4</x:v>
      </x:c>
      <x:c r="L2069" s="2" t="str">
        <x:v>At risk</x:v>
      </x:c>
    </x:row>
    <x:row r="2070" ht="22" customHeight="1">
      <x:c r="A2070" s="2"/>
      <x:c r="B2070" s="2" t="str">
        <x:v>14400</x:v>
      </x:c>
      <x:c r="C2070" s="2" t="str">
        <x:v>United Kingdom</x:v>
      </x:c>
      <x:c r="D2070" s="25" t="n">
        <x:v>40255.299305555556</x:v>
      </x:c>
      <x:c r="E2070" s="25" t="n">
        <x:v>40737.45138888889</x:v>
      </x:c>
      <x:c r="F2070" s="2" t="n">
        <x:v>150</x:v>
      </x:c>
      <x:c r="G2070" s="2" t="n">
        <x:v>3</x:v>
      </x:c>
      <x:c r="H2070" s="11" t="n">
        <x:v>1732.47</x:v>
      </x:c>
      <x:c r="I2070" s="2" t="n">
        <x:v>3</x:v>
      </x:c>
      <x:c r="J2070" s="2" t="n">
        <x:v>3</x:v>
      </x:c>
      <x:c r="K2070" s="2" t="n">
        <x:v>4</x:v>
      </x:c>
      <x:c r="L2070" s="2" t="str">
        <x:v>Loyal</x:v>
      </x:c>
    </x:row>
    <x:row r="2071" ht="22" customHeight="1">
      <x:c r="A2071" s="2"/>
      <x:c r="B2071" s="2" t="str">
        <x:v>14401</x:v>
      </x:c>
      <x:c r="C2071" s="2" t="str">
        <x:v>United Kingdom</x:v>
      </x:c>
      <x:c r="D2071" s="25" t="n">
        <x:v>40161.34861111111</x:v>
      </x:c>
      <x:c r="E2071" s="25" t="n">
        <x:v>40882.354166666664</x:v>
      </x:c>
      <x:c r="F2071" s="2" t="n">
        <x:v>5</x:v>
      </x:c>
      <x:c r="G2071" s="2" t="n">
        <x:v>22</x:v>
      </x:c>
      <x:c r="H2071" s="11" t="n">
        <x:v>6795.9</x:v>
      </x:c>
      <x:c r="I2071" s="2" t="n">
        <x:v>5</x:v>
      </x:c>
      <x:c r="J2071" s="2" t="n">
        <x:v>5</x:v>
      </x:c>
      <x:c r="K2071" s="2" t="n">
        <x:v>5</x:v>
      </x:c>
      <x:c r="L2071" s="2" t="str">
        <x:v>Champions</x:v>
      </x:c>
    </x:row>
    <x:row r="2072" ht="22" customHeight="1">
      <x:c r="A2072" s="2"/>
      <x:c r="B2072" s="2" t="str">
        <x:v>14402</x:v>
      </x:c>
      <x:c r="C2072" s="2" t="str">
        <x:v>United Kingdom</x:v>
      </x:c>
      <x:c r="D2072" s="25" t="n">
        <x:v>40234.34722222222</x:v>
      </x:c>
      <x:c r="E2072" s="25" t="n">
        <x:v>40234.34722222222</x:v>
      </x:c>
      <x:c r="F2072" s="2" t="n">
        <x:v>653</x:v>
      </x:c>
      <x:c r="G2072" s="2" t="n">
        <x:v>1</x:v>
      </x:c>
      <x:c r="H2072" s="11" t="n">
        <x:v>285.6</x:v>
      </x:c>
      <x:c r="I2072" s="2" t="n">
        <x:v>1</x:v>
      </x:c>
      <x:c r="J2072" s="2" t="n">
        <x:v>1</x:v>
      </x:c>
      <x:c r="K2072" s="2" t="n">
        <x:v>1</x:v>
      </x:c>
      <x:c r="L2072" s="2" t="str">
        <x:v>Hibernating</x:v>
      </x:c>
    </x:row>
    <x:row r="2073" ht="22" customHeight="1">
      <x:c r="A2073" s="2"/>
      <x:c r="B2073" s="2" t="str">
        <x:v>14403</x:v>
      </x:c>
      <x:c r="C2073" s="2" t="str">
        <x:v>United Kingdom</x:v>
      </x:c>
      <x:c r="D2073" s="25" t="n">
        <x:v>40247.375</x:v>
      </x:c>
      <x:c r="E2073" s="25" t="n">
        <x:v>40756.33125</x:v>
      </x:c>
      <x:c r="F2073" s="2" t="n">
        <x:v>131</x:v>
      </x:c>
      <x:c r="G2073" s="2" t="n">
        <x:v>6</x:v>
      </x:c>
      <x:c r="H2073" s="11" t="n">
        <x:v>1880.51</x:v>
      </x:c>
      <x:c r="I2073" s="2" t="n">
        <x:v>3</x:v>
      </x:c>
      <x:c r="J2073" s="2" t="n">
        <x:v>4</x:v>
      </x:c>
      <x:c r="K2073" s="2" t="n">
        <x:v>4</x:v>
      </x:c>
      <x:c r="L2073" s="2" t="str">
        <x:v>Loyal</x:v>
      </x:c>
    </x:row>
    <x:row r="2074" ht="22" customHeight="1">
      <x:c r="A2074" s="2"/>
      <x:c r="B2074" s="2" t="str">
        <x:v>14404</x:v>
      </x:c>
      <x:c r="C2074" s="2" t="str">
        <x:v>United Kingdom</x:v>
      </x:c>
      <x:c r="D2074" s="25" t="n">
        <x:v>40167.40277777778</x:v>
      </x:c>
      <x:c r="E2074" s="25" t="n">
        <x:v>40853.3125</x:v>
      </x:c>
      <x:c r="F2074" s="2" t="n">
        <x:v>34</x:v>
      </x:c>
      <x:c r="G2074" s="2" t="n">
        <x:v>13</x:v>
      </x:c>
      <x:c r="H2074" s="11" t="n">
        <x:v>2765.63</x:v>
      </x:c>
      <x:c r="I2074" s="2" t="n">
        <x:v>4</x:v>
      </x:c>
      <x:c r="J2074" s="2" t="n">
        <x:v>5</x:v>
      </x:c>
      <x:c r="K2074" s="2" t="n">
        <x:v>4</x:v>
      </x:c>
      <x:c r="L2074" s="2" t="str">
        <x:v>Champions</x:v>
      </x:c>
    </x:row>
    <x:row r="2075" ht="22" customHeight="1">
      <x:c r="A2075" s="2"/>
      <x:c r="B2075" s="2" t="str">
        <x:v>14405</x:v>
      </x:c>
      <x:c r="C2075" s="2" t="str">
        <x:v>United Kingdom</x:v>
      </x:c>
      <x:c r="D2075" s="25" t="n">
        <x:v>40500.27777777778</x:v>
      </x:c>
      <x:c r="E2075" s="25" t="n">
        <x:v>40500.27777777778</x:v>
      </x:c>
      <x:c r="F2075" s="2" t="n">
        <x:v>387</x:v>
      </x:c>
      <x:c r="G2075" s="2" t="n">
        <x:v>1</x:v>
      </x:c>
      <x:c r="H2075" s="11" t="n">
        <x:v>195</x:v>
      </x:c>
      <x:c r="I2075" s="2" t="n">
        <x:v>2</x:v>
      </x:c>
      <x:c r="J2075" s="2" t="n">
        <x:v>1</x:v>
      </x:c>
      <x:c r="K2075" s="2" t="n">
        <x:v>1</x:v>
      </x:c>
      <x:c r="L2075" s="2" t="str">
        <x:v>Hibernating</x:v>
      </x:c>
    </x:row>
    <x:row r="2076" ht="22" customHeight="1">
      <x:c r="A2076" s="2"/>
      <x:c r="B2076" s="2" t="str">
        <x:v>14406</x:v>
      </x:c>
      <x:c r="C2076" s="2" t="str">
        <x:v>United Kingdom</x:v>
      </x:c>
      <x:c r="D2076" s="25" t="n">
        <x:v>40767.495833333334</x:v>
      </x:c>
      <x:c r="E2076" s="25" t="n">
        <x:v>40767.495833333334</x:v>
      </x:c>
      <x:c r="F2076" s="2" t="n">
        <x:v>120</x:v>
      </x:c>
      <x:c r="G2076" s="2" t="n">
        <x:v>1</x:v>
      </x:c>
      <x:c r="H2076" s="11" t="n">
        <x:v>156.75</x:v>
      </x:c>
      <x:c r="I2076" s="2" t="n">
        <x:v>3</x:v>
      </x:c>
      <x:c r="J2076" s="2" t="n">
        <x:v>1</x:v>
      </x:c>
      <x:c r="K2076" s="2" t="n">
        <x:v>1</x:v>
      </x:c>
      <x:c r="L2076" s="2" t="str">
        <x:v>Developing</x:v>
      </x:c>
    </x:row>
    <x:row r="2077" ht="22" customHeight="1">
      <x:c r="A2077" s="2"/>
      <x:c r="B2077" s="2" t="str">
        <x:v>14407</x:v>
      </x:c>
      <x:c r="C2077" s="2" t="str">
        <x:v>United Kingdom</x:v>
      </x:c>
      <x:c r="D2077" s="25" t="n">
        <x:v>40610.290972222225</x:v>
      </x:c>
      <x:c r="E2077" s="25" t="n">
        <x:v>40779.376388888886</x:v>
      </x:c>
      <x:c r="F2077" s="2" t="n">
        <x:v>108</x:v>
      </x:c>
      <x:c r="G2077" s="2" t="n">
        <x:v>6</x:v>
      </x:c>
      <x:c r="H2077" s="11" t="n">
        <x:v>2157.73</x:v>
      </x:c>
      <x:c r="I2077" s="2" t="n">
        <x:v>3</x:v>
      </x:c>
      <x:c r="J2077" s="2" t="n">
        <x:v>4</x:v>
      </x:c>
      <x:c r="K2077" s="2" t="n">
        <x:v>4</x:v>
      </x:c>
      <x:c r="L2077" s="2" t="str">
        <x:v>Loyal</x:v>
      </x:c>
    </x:row>
    <x:row r="2078" ht="22" customHeight="1">
      <x:c r="A2078" s="2"/>
      <x:c r="B2078" s="2" t="str">
        <x:v>14408</x:v>
      </x:c>
      <x:c r="C2078" s="2" t="str">
        <x:v>United Kingdom</x:v>
      </x:c>
      <x:c r="D2078" s="25" t="n">
        <x:v>40154.30416666667</x:v>
      </x:c>
      <x:c r="E2078" s="25" t="n">
        <x:v>40876.27847222222</x:v>
      </x:c>
      <x:c r="F2078" s="2" t="n">
        <x:v>11</x:v>
      </x:c>
      <x:c r="G2078" s="2" t="n">
        <x:v>11</x:v>
      </x:c>
      <x:c r="H2078" s="11" t="n">
        <x:v>4109.77</x:v>
      </x:c>
      <x:c r="I2078" s="2" t="n">
        <x:v>5</x:v>
      </x:c>
      <x:c r="J2078" s="2" t="n">
        <x:v>5</x:v>
      </x:c>
      <x:c r="K2078" s="2" t="n">
        <x:v>5</x:v>
      </x:c>
      <x:c r="L2078" s="2" t="str">
        <x:v>Champions</x:v>
      </x:c>
    </x:row>
    <x:row r="2079" ht="22" customHeight="1">
      <x:c r="A2079" s="2"/>
      <x:c r="B2079" s="2" t="str">
        <x:v>14409</x:v>
      </x:c>
      <x:c r="C2079" s="2" t="str">
        <x:v>United Kingdom</x:v>
      </x:c>
      <x:c r="D2079" s="25" t="n">
        <x:v>40319.489583333336</x:v>
      </x:c>
      <x:c r="E2079" s="25" t="n">
        <x:v>40815.55416666667</x:v>
      </x:c>
      <x:c r="F2079" s="2" t="n">
        <x:v>72</x:v>
      </x:c>
      <x:c r="G2079" s="2" t="n">
        <x:v>9</x:v>
      </x:c>
      <x:c r="H2079" s="11" t="n">
        <x:v>3427.29</x:v>
      </x:c>
      <x:c r="I2079" s="2" t="n">
        <x:v>3</x:v>
      </x:c>
      <x:c r="J2079" s="2" t="n">
        <x:v>5</x:v>
      </x:c>
      <x:c r="K2079" s="2" t="n">
        <x:v>5</x:v>
      </x:c>
      <x:c r="L2079" s="2" t="str">
        <x:v>Loyal</x:v>
      </x:c>
    </x:row>
    <x:row r="2080" ht="22" customHeight="1">
      <x:c r="A2080" s="2"/>
      <x:c r="B2080" s="2" t="str">
        <x:v>14410</x:v>
      </x:c>
      <x:c r="C2080" s="2" t="str">
        <x:v>United Kingdom</x:v>
      </x:c>
      <x:c r="D2080" s="25" t="n">
        <x:v>40449.44861111111</x:v>
      </x:c>
      <x:c r="E2080" s="25" t="n">
        <x:v>40794.42222222222</x:v>
      </x:c>
      <x:c r="F2080" s="2" t="n">
        <x:v>93</x:v>
      </x:c>
      <x:c r="G2080" s="2" t="n">
        <x:v>11</x:v>
      </x:c>
      <x:c r="H2080" s="11" t="n">
        <x:v>2651.14</x:v>
      </x:c>
      <x:c r="I2080" s="2" t="n">
        <x:v>3</x:v>
      </x:c>
      <x:c r="J2080" s="2" t="n">
        <x:v>5</x:v>
      </x:c>
      <x:c r="K2080" s="2" t="n">
        <x:v>4</x:v>
      </x:c>
      <x:c r="L2080" s="2" t="str">
        <x:v>Loyal</x:v>
      </x:c>
    </x:row>
    <x:row r="2081" ht="22" customHeight="1">
      <x:c r="A2081" s="2"/>
      <x:c r="B2081" s="2" t="str">
        <x:v>14411</x:v>
      </x:c>
      <x:c r="C2081" s="2" t="str">
        <x:v>United Kingdom</x:v>
      </x:c>
      <x:c r="D2081" s="25" t="n">
        <x:v>40576.24722222222</x:v>
      </x:c>
      <x:c r="E2081" s="25" t="n">
        <x:v>40576.24722222222</x:v>
      </x:c>
      <x:c r="F2081" s="2" t="n">
        <x:v>311</x:v>
      </x:c>
      <x:c r="G2081" s="2" t="n">
        <x:v>1</x:v>
      </x:c>
      <x:c r="H2081" s="11" t="n">
        <x:v>1063</x:v>
      </x:c>
      <x:c r="I2081" s="2" t="n">
        <x:v>2</x:v>
      </x:c>
      <x:c r="J2081" s="2" t="n">
        <x:v>1</x:v>
      </x:c>
      <x:c r="K2081" s="2" t="n">
        <x:v>3</x:v>
      </x:c>
      <x:c r="L2081" s="2" t="str">
        <x:v>Hibernating</x:v>
      </x:c>
    </x:row>
    <x:row r="2082" ht="22" customHeight="1">
      <x:c r="A2082" s="2"/>
      <x:c r="B2082" s="2" t="str">
        <x:v>14412</x:v>
      </x:c>
      <x:c r="C2082" s="2" t="str">
        <x:v>United Kingdom</x:v>
      </x:c>
      <x:c r="D2082" s="25" t="n">
        <x:v>40462.31458333333</x:v>
      </x:c>
      <x:c r="E2082" s="25" t="n">
        <x:v>40844.239583333336</x:v>
      </x:c>
      <x:c r="F2082" s="2" t="n">
        <x:v>43</x:v>
      </x:c>
      <x:c r="G2082" s="2" t="n">
        <x:v>3</x:v>
      </x:c>
      <x:c r="H2082" s="11" t="n">
        <x:v>1426.19</x:v>
      </x:c>
      <x:c r="I2082" s="2" t="n">
        <x:v>4</x:v>
      </x:c>
      <x:c r="J2082" s="2" t="n">
        <x:v>3</x:v>
      </x:c>
      <x:c r="K2082" s="2" t="n">
        <x:v>4</x:v>
      </x:c>
      <x:c r="L2082" s="2" t="str">
        <x:v>Loyal</x:v>
      </x:c>
    </x:row>
    <x:row r="2083" ht="22" customHeight="1">
      <x:c r="A2083" s="2"/>
      <x:c r="B2083" s="2" t="str">
        <x:v>14413</x:v>
      </x:c>
      <x:c r="C2083" s="2" t="str">
        <x:v>United Kingdom</x:v>
      </x:c>
      <x:c r="D2083" s="25" t="n">
        <x:v>40197.39375</x:v>
      </x:c>
      <x:c r="E2083" s="25" t="n">
        <x:v>40524.35902777778</x:v>
      </x:c>
      <x:c r="F2083" s="2" t="n">
        <x:v>363</x:v>
      </x:c>
      <x:c r="G2083" s="2" t="n">
        <x:v>4</x:v>
      </x:c>
      <x:c r="H2083" s="11" t="n">
        <x:v>770.37</x:v>
      </x:c>
      <x:c r="I2083" s="2" t="n">
        <x:v>2</x:v>
      </x:c>
      <x:c r="J2083" s="2" t="n">
        <x:v>3</x:v>
      </x:c>
      <x:c r="K2083" s="2" t="n">
        <x:v>3</x:v>
      </x:c>
      <x:c r="L2083" s="2" t="str">
        <x:v>At risk</x:v>
      </x:c>
    </x:row>
    <x:row r="2084" ht="22" customHeight="1">
      <x:c r="A2084" s="2"/>
      <x:c r="B2084" s="2" t="str">
        <x:v>14414</x:v>
      </x:c>
      <x:c r="C2084" s="2" t="str">
        <x:v>United Kingdom</x:v>
      </x:c>
      <x:c r="D2084" s="25" t="n">
        <x:v>40512.21666666667</x:v>
      </x:c>
      <x:c r="E2084" s="25" t="n">
        <x:v>40795.29791666667</x:v>
      </x:c>
      <x:c r="F2084" s="2" t="n">
        <x:v>92</x:v>
      </x:c>
      <x:c r="G2084" s="2" t="n">
        <x:v>8</x:v>
      </x:c>
      <x:c r="H2084" s="11" t="n">
        <x:v>2399.33</x:v>
      </x:c>
      <x:c r="I2084" s="2" t="n">
        <x:v>3</x:v>
      </x:c>
      <x:c r="J2084" s="2" t="n">
        <x:v>4</x:v>
      </x:c>
      <x:c r="K2084" s="2" t="n">
        <x:v>4</x:v>
      </x:c>
      <x:c r="L2084" s="2" t="str">
        <x:v>Loyal</x:v>
      </x:c>
    </x:row>
    <x:row r="2085" ht="22" customHeight="1">
      <x:c r="A2085" s="2"/>
      <x:c r="B2085" s="2" t="str">
        <x:v>14415</x:v>
      </x:c>
      <x:c r="C2085" s="2" t="str">
        <x:v>United Kingdom</x:v>
      </x:c>
      <x:c r="D2085" s="25" t="n">
        <x:v>40163.38055555556</x:v>
      </x:c>
      <x:c r="E2085" s="25" t="n">
        <x:v>40885.40138888889</x:v>
      </x:c>
      <x:c r="F2085" s="2" t="n">
        <x:v>2</x:v>
      </x:c>
      <x:c r="G2085" s="2" t="n">
        <x:v>23</x:v>
      </x:c>
      <x:c r="H2085" s="11" t="n">
        <x:v>12091.6</x:v>
      </x:c>
      <x:c r="I2085" s="2" t="n">
        <x:v>5</x:v>
      </x:c>
      <x:c r="J2085" s="2" t="n">
        <x:v>5</x:v>
      </x:c>
      <x:c r="K2085" s="2" t="n">
        <x:v>5</x:v>
      </x:c>
      <x:c r="L2085" s="2" t="str">
        <x:v>Champions</x:v>
      </x:c>
    </x:row>
    <x:row r="2086" ht="22" customHeight="1">
      <x:c r="A2086" s="2"/>
      <x:c r="B2086" s="2" t="str">
        <x:v>14416</x:v>
      </x:c>
      <x:c r="C2086" s="2" t="str">
        <x:v>United Kingdom</x:v>
      </x:c>
      <x:c r="D2086" s="25" t="n">
        <x:v>40844.42361111111</x:v>
      </x:c>
      <x:c r="E2086" s="25" t="n">
        <x:v>40864.43194444444</x:v>
      </x:c>
      <x:c r="F2086" s="2" t="n">
        <x:v>23</x:v>
      </x:c>
      <x:c r="G2086" s="2" t="n">
        <x:v>2</x:v>
      </x:c>
      <x:c r="H2086" s="11" t="n">
        <x:v>490.22</x:v>
      </x:c>
      <x:c r="I2086" s="2" t="n">
        <x:v>4</x:v>
      </x:c>
      <x:c r="J2086" s="2" t="n">
        <x:v>2</x:v>
      </x:c>
      <x:c r="K2086" s="2" t="n">
        <x:v>2</x:v>
      </x:c>
      <x:c r="L2086" s="2" t="str">
        <x:v>Recent light buyers</x:v>
      </x:c>
    </x:row>
    <x:row r="2087" ht="22" customHeight="1">
      <x:c r="A2087" s="2"/>
      <x:c r="B2087" s="2" t="str">
        <x:v>14417</x:v>
      </x:c>
      <x:c r="C2087" s="2" t="str">
        <x:v>United Kingdom</x:v>
      </x:c>
      <x:c r="D2087" s="25" t="n">
        <x:v>40499.24652777778</x:v>
      </x:c>
      <x:c r="E2087" s="25" t="n">
        <x:v>40499.24652777778</x:v>
      </x:c>
      <x:c r="F2087" s="2" t="n">
        <x:v>388</x:v>
      </x:c>
      <x:c r="G2087" s="2" t="n">
        <x:v>1</x:v>
      </x:c>
      <x:c r="H2087" s="11" t="n">
        <x:v>604.2</x:v>
      </x:c>
      <x:c r="I2087" s="2" t="n">
        <x:v>2</x:v>
      </x:c>
      <x:c r="J2087" s="2" t="n">
        <x:v>1</x:v>
      </x:c>
      <x:c r="K2087" s="2" t="n">
        <x:v>2</x:v>
      </x:c>
      <x:c r="L2087" s="2" t="str">
        <x:v>Hibernating</x:v>
      </x:c>
    </x:row>
    <x:row r="2088" ht="22" customHeight="1">
      <x:c r="A2088" s="2"/>
      <x:c r="B2088" s="2" t="str">
        <x:v>14418</x:v>
      </x:c>
      <x:c r="C2088" s="2" t="str">
        <x:v>United Kingdom</x:v>
      </x:c>
      <x:c r="D2088" s="25" t="n">
        <x:v>40778.5125</x:v>
      </x:c>
      <x:c r="E2088" s="25" t="n">
        <x:v>40883.277083333334</x:v>
      </x:c>
      <x:c r="F2088" s="2" t="n">
        <x:v>4</x:v>
      </x:c>
      <x:c r="G2088" s="2" t="n">
        <x:v>3</x:v>
      </x:c>
      <x:c r="H2088" s="11" t="n">
        <x:v>1937.25</x:v>
      </x:c>
      <x:c r="I2088" s="2" t="n">
        <x:v>5</x:v>
      </x:c>
      <x:c r="J2088" s="2" t="n">
        <x:v>3</x:v>
      </x:c>
      <x:c r="K2088" s="2" t="n">
        <x:v>4</x:v>
      </x:c>
      <x:c r="L2088" s="2" t="str">
        <x:v>Loyal</x:v>
      </x:c>
    </x:row>
    <x:row r="2089" ht="22" customHeight="1">
      <x:c r="A2089" s="2"/>
      <x:c r="B2089" s="2" t="str">
        <x:v>14419</x:v>
      </x:c>
      <x:c r="C2089" s="2" t="str">
        <x:v>United Kingdom</x:v>
      </x:c>
      <x:c r="D2089" s="25" t="n">
        <x:v>40504.25625</x:v>
      </x:c>
      <x:c r="E2089" s="25" t="n">
        <x:v>40876.26527777778</x:v>
      </x:c>
      <x:c r="F2089" s="2" t="n">
        <x:v>11</x:v>
      </x:c>
      <x:c r="G2089" s="2" t="n">
        <x:v>7</x:v>
      </x:c>
      <x:c r="H2089" s="11" t="n">
        <x:v>1260.91</x:v>
      </x:c>
      <x:c r="I2089" s="2" t="n">
        <x:v>5</x:v>
      </x:c>
      <x:c r="J2089" s="2" t="n">
        <x:v>4</x:v>
      </x:c>
      <x:c r="K2089" s="2" t="n">
        <x:v>4</x:v>
      </x:c>
      <x:c r="L2089" s="2" t="str">
        <x:v>Champions</x:v>
      </x:c>
    </x:row>
    <x:row r="2090" ht="22" customHeight="1">
      <x:c r="A2090" s="2"/>
      <x:c r="B2090" s="2" t="str">
        <x:v>14420</x:v>
      </x:c>
      <x:c r="C2090" s="2" t="str">
        <x:v>United Kingdom</x:v>
      </x:c>
      <x:c r="D2090" s="25" t="n">
        <x:v>40195.32013888889</x:v>
      </x:c>
      <x:c r="E2090" s="25" t="n">
        <x:v>40787.54652777778</x:v>
      </x:c>
      <x:c r="F2090" s="2" t="n">
        <x:v>100</x:v>
      </x:c>
      <x:c r="G2090" s="2" t="n">
        <x:v>4</x:v>
      </x:c>
      <x:c r="H2090" s="11" t="n">
        <x:v>1639.17</x:v>
      </x:c>
      <x:c r="I2090" s="2" t="n">
        <x:v>3</x:v>
      </x:c>
      <x:c r="J2090" s="2" t="n">
        <x:v>3</x:v>
      </x:c>
      <x:c r="K2090" s="2" t="n">
        <x:v>4</x:v>
      </x:c>
      <x:c r="L2090" s="2" t="str">
        <x:v>Loyal</x:v>
      </x:c>
    </x:row>
    <x:row r="2091" ht="22" customHeight="1">
      <x:c r="A2091" s="2"/>
      <x:c r="B2091" s="2" t="str">
        <x:v>14421</x:v>
      </x:c>
      <x:c r="C2091" s="2" t="str">
        <x:v>United Kingdom</x:v>
      </x:c>
      <x:c r="D2091" s="25" t="n">
        <x:v>40195.270833333336</x:v>
      </x:c>
      <x:c r="E2091" s="25" t="n">
        <x:v>40829.35</x:v>
      </x:c>
      <x:c r="F2091" s="2" t="n">
        <x:v>58</x:v>
      </x:c>
      <x:c r="G2091" s="2" t="n">
        <x:v>6</x:v>
      </x:c>
      <x:c r="H2091" s="11" t="n">
        <x:v>2469.37</x:v>
      </x:c>
      <x:c r="I2091" s="2" t="n">
        <x:v>4</x:v>
      </x:c>
      <x:c r="J2091" s="2" t="n">
        <x:v>4</x:v>
      </x:c>
      <x:c r="K2091" s="2" t="n">
        <x:v>4</x:v>
      </x:c>
      <x:c r="L2091" s="2" t="str">
        <x:v>Champions</x:v>
      </x:c>
    </x:row>
    <x:row r="2092" ht="22" customHeight="1">
      <x:c r="A2092" s="2"/>
      <x:c r="B2092" s="2" t="str">
        <x:v>14422</x:v>
      </x:c>
      <x:c r="C2092" s="2" t="str">
        <x:v>United Kingdom</x:v>
      </x:c>
      <x:c r="D2092" s="25" t="n">
        <x:v>40164.3</x:v>
      </x:c>
      <x:c r="E2092" s="25" t="n">
        <x:v>40886.268055555556</x:v>
      </x:c>
      <x:c r="F2092" s="2" t="n">
        <x:v>1</x:v>
      </x:c>
      <x:c r="G2092" s="2" t="n">
        <x:v>19</x:v>
      </x:c>
      <x:c r="H2092" s="11" t="n">
        <x:v>10271.52</x:v>
      </x:c>
      <x:c r="I2092" s="2" t="n">
        <x:v>5</x:v>
      </x:c>
      <x:c r="J2092" s="2" t="n">
        <x:v>5</x:v>
      </x:c>
      <x:c r="K2092" s="2" t="n">
        <x:v>5</x:v>
      </x:c>
      <x:c r="L2092" s="2" t="str">
        <x:v>Champions</x:v>
      </x:c>
    </x:row>
    <x:row r="2093" ht="22" customHeight="1">
      <x:c r="A2093" s="2"/>
      <x:c r="B2093" s="2" t="str">
        <x:v>14423</x:v>
      </x:c>
      <x:c r="C2093" s="2" t="str">
        <x:v>United Kingdom</x:v>
      </x:c>
      <x:c r="D2093" s="25" t="n">
        <x:v>40192.28402777778</x:v>
      </x:c>
      <x:c r="E2093" s="25" t="n">
        <x:v>40668.425</x:v>
      </x:c>
      <x:c r="F2093" s="2" t="n">
        <x:v>219</x:v>
      </x:c>
      <x:c r="G2093" s="2" t="n">
        <x:v>3</x:v>
      </x:c>
      <x:c r="H2093" s="11" t="n">
        <x:v>916.61</x:v>
      </x:c>
      <x:c r="I2093" s="2" t="n">
        <x:v>2</x:v>
      </x:c>
      <x:c r="J2093" s="2" t="n">
        <x:v>3</x:v>
      </x:c>
      <x:c r="K2093" s="2" t="n">
        <x:v>3</x:v>
      </x:c>
      <x:c r="L2093" s="2" t="str">
        <x:v>At risk</x:v>
      </x:c>
    </x:row>
    <x:row r="2094" ht="22" customHeight="1">
      <x:c r="A2094" s="2"/>
      <x:c r="B2094" s="2" t="str">
        <x:v>14424</x:v>
      </x:c>
      <x:c r="C2094" s="2" t="str">
        <x:v>United Kingdom</x:v>
      </x:c>
      <x:c r="D2094" s="25" t="n">
        <x:v>40869.28333333333</x:v>
      </x:c>
      <x:c r="E2094" s="25" t="n">
        <x:v>40869.28333333333</x:v>
      </x:c>
      <x:c r="F2094" s="2" t="n">
        <x:v>18</x:v>
      </x:c>
      <x:c r="G2094" s="2" t="n">
        <x:v>1</x:v>
      </x:c>
      <x:c r="H2094" s="11" t="n">
        <x:v>322.08</x:v>
      </x:c>
      <x:c r="I2094" s="2" t="n">
        <x:v>5</x:v>
      </x:c>
      <x:c r="J2094" s="2" t="n">
        <x:v>1</x:v>
      </x:c>
      <x:c r="K2094" s="2" t="n">
        <x:v>2</x:v>
      </x:c>
      <x:c r="L2094" s="2" t="str">
        <x:v>Recent light buyers</x:v>
      </x:c>
    </x:row>
    <x:row r="2095" ht="22" customHeight="1">
      <x:c r="A2095" s="2"/>
      <x:c r="B2095" s="2" t="str">
        <x:v>14425</x:v>
      </x:c>
      <x:c r="C2095" s="2" t="str">
        <x:v>United Kingdom</x:v>
      </x:c>
      <x:c r="D2095" s="25" t="n">
        <x:v>40149.271527777775</x:v>
      </x:c>
      <x:c r="E2095" s="25" t="n">
        <x:v>40452.225</x:v>
      </x:c>
      <x:c r="F2095" s="2" t="n">
        <x:v>435</x:v>
      </x:c>
      <x:c r="G2095" s="2" t="n">
        <x:v>3</x:v>
      </x:c>
      <x:c r="H2095" s="11" t="n">
        <x:v>661.39</x:v>
      </x:c>
      <x:c r="I2095" s="2" t="n">
        <x:v>1</x:v>
      </x:c>
      <x:c r="J2095" s="2" t="n">
        <x:v>3</x:v>
      </x:c>
      <x:c r="K2095" s="2" t="n">
        <x:v>3</x:v>
      </x:c>
      <x:c r="L2095" s="2" t="str">
        <x:v>At risk</x:v>
      </x:c>
    </x:row>
    <x:row r="2096" ht="22" customHeight="1">
      <x:c r="A2096" s="2"/>
      <x:c r="B2096" s="2" t="str">
        <x:v>14426</x:v>
      </x:c>
      <x:c r="C2096" s="2" t="str">
        <x:v>United Kingdom</x:v>
      </x:c>
      <x:c r="D2096" s="25" t="n">
        <x:v>40241.4</x:v>
      </x:c>
      <x:c r="E2096" s="25" t="n">
        <x:v>40863.30902777778</x:v>
      </x:c>
      <x:c r="F2096" s="2" t="n">
        <x:v>24</x:v>
      </x:c>
      <x:c r="G2096" s="2" t="n">
        <x:v>17</x:v>
      </x:c>
      <x:c r="H2096" s="11" t="n">
        <x:v>11727.94</x:v>
      </x:c>
      <x:c r="I2096" s="2" t="n">
        <x:v>4</x:v>
      </x:c>
      <x:c r="J2096" s="2" t="n">
        <x:v>5</x:v>
      </x:c>
      <x:c r="K2096" s="2" t="n">
        <x:v>5</x:v>
      </x:c>
      <x:c r="L2096" s="2" t="str">
        <x:v>Champions</x:v>
      </x:c>
    </x:row>
    <x:row r="2097" ht="22" customHeight="1">
      <x:c r="A2097" s="2"/>
      <x:c r="B2097" s="2" t="str">
        <x:v>14427</x:v>
      </x:c>
      <x:c r="C2097" s="2" t="str">
        <x:v>United Kingdom</x:v>
      </x:c>
      <x:c r="D2097" s="25" t="n">
        <x:v>40255.200694444444</x:v>
      </x:c>
      <x:c r="E2097" s="25" t="n">
        <x:v>40836.39097222222</x:v>
      </x:c>
      <x:c r="F2097" s="2" t="n">
        <x:v>51</x:v>
      </x:c>
      <x:c r="G2097" s="2" t="n">
        <x:v>4</x:v>
      </x:c>
      <x:c r="H2097" s="11" t="n">
        <x:v>1263.52</x:v>
      </x:c>
      <x:c r="I2097" s="2" t="n">
        <x:v>4</x:v>
      </x:c>
      <x:c r="J2097" s="2" t="n">
        <x:v>3</x:v>
      </x:c>
      <x:c r="K2097" s="2" t="n">
        <x:v>4</x:v>
      </x:c>
      <x:c r="L2097" s="2" t="str">
        <x:v>Loyal</x:v>
      </x:c>
    </x:row>
    <x:row r="2098" ht="22" customHeight="1">
      <x:c r="A2098" s="2"/>
      <x:c r="B2098" s="2" t="str">
        <x:v>14428</x:v>
      </x:c>
      <x:c r="C2098" s="2" t="str">
        <x:v>United Kingdom</x:v>
      </x:c>
      <x:c r="D2098" s="25" t="n">
        <x:v>40561.48541666667</x:v>
      </x:c>
      <x:c r="E2098" s="25" t="n">
        <x:v>40879.345138888886</x:v>
      </x:c>
      <x:c r="F2098" s="2" t="n">
        <x:v>8</x:v>
      </x:c>
      <x:c r="G2098" s="2" t="n">
        <x:v>5</x:v>
      </x:c>
      <x:c r="H2098" s="11" t="n">
        <x:v>1244.83</x:v>
      </x:c>
      <x:c r="I2098" s="2" t="n">
        <x:v>5</x:v>
      </x:c>
      <x:c r="J2098" s="2" t="n">
        <x:v>4</x:v>
      </x:c>
      <x:c r="K2098" s="2" t="n">
        <x:v>4</x:v>
      </x:c>
      <x:c r="L2098" s="2" t="str">
        <x:v>Champions</x:v>
      </x:c>
    </x:row>
    <x:row r="2099" ht="22" customHeight="1">
      <x:c r="A2099" s="2"/>
      <x:c r="B2099" s="2" t="str">
        <x:v>14429</x:v>
      </x:c>
      <x:c r="C2099" s="2" t="str">
        <x:v>United Kingdom</x:v>
      </x:c>
      <x:c r="D2099" s="25" t="n">
        <x:v>40483.21388888889</x:v>
      </x:c>
      <x:c r="E2099" s="25" t="n">
        <x:v>40483.21388888889</x:v>
      </x:c>
      <x:c r="F2099" s="2" t="n">
        <x:v>404</x:v>
      </x:c>
      <x:c r="G2099" s="2" t="n">
        <x:v>1</x:v>
      </x:c>
      <x:c r="H2099" s="11" t="n">
        <x:v>516.28</x:v>
      </x:c>
      <x:c r="I2099" s="2" t="n">
        <x:v>2</x:v>
      </x:c>
      <x:c r="J2099" s="2" t="n">
        <x:v>1</x:v>
      </x:c>
      <x:c r="K2099" s="2" t="n">
        <x:v>2</x:v>
      </x:c>
      <x:c r="L2099" s="2" t="str">
        <x:v>Hibernating</x:v>
      </x:c>
    </x:row>
    <x:row r="2100" ht="22" customHeight="1">
      <x:c r="A2100" s="2"/>
      <x:c r="B2100" s="2" t="str">
        <x:v>14430</x:v>
      </x:c>
      <x:c r="C2100" s="2" t="str">
        <x:v>United Kingdom</x:v>
      </x:c>
      <x:c r="D2100" s="25" t="n">
        <x:v>40279.45763888889</x:v>
      </x:c>
      <x:c r="E2100" s="25" t="n">
        <x:v>40375.274305555555</x:v>
      </x:c>
      <x:c r="F2100" s="2" t="n">
        <x:v>512</x:v>
      </x:c>
      <x:c r="G2100" s="2" t="n">
        <x:v>3</x:v>
      </x:c>
      <x:c r="H2100" s="11" t="n">
        <x:v>1220.9</x:v>
      </x:c>
      <x:c r="I2100" s="2" t="n">
        <x:v>1</x:v>
      </x:c>
      <x:c r="J2100" s="2" t="n">
        <x:v>3</x:v>
      </x:c>
      <x:c r="K2100" s="2" t="n">
        <x:v>3</x:v>
      </x:c>
      <x:c r="L2100" s="2" t="str">
        <x:v>At risk</x:v>
      </x:c>
    </x:row>
    <x:row r="2101" ht="22" customHeight="1">
      <x:c r="A2101" s="2"/>
      <x:c r="B2101" s="2" t="str">
        <x:v>14431</x:v>
      </x:c>
      <x:c r="C2101" s="2" t="str">
        <x:v>United Kingdom</x:v>
      </x:c>
      <x:c r="D2101" s="25" t="n">
        <x:v>40199.24236111111</x:v>
      </x:c>
      <x:c r="E2101" s="25" t="n">
        <x:v>40584.23611111111</x:v>
      </x:c>
      <x:c r="F2101" s="2" t="n">
        <x:v>303</x:v>
      </x:c>
      <x:c r="G2101" s="2" t="n">
        <x:v>4</x:v>
      </x:c>
      <x:c r="H2101" s="11" t="n">
        <x:v>2614.2</x:v>
      </x:c>
      <x:c r="I2101" s="2" t="n">
        <x:v>2</x:v>
      </x:c>
      <x:c r="J2101" s="2" t="n">
        <x:v>3</x:v>
      </x:c>
      <x:c r="K2101" s="2" t="n">
        <x:v>4</x:v>
      </x:c>
      <x:c r="L2101" s="2" t="str">
        <x:v>At risk</x:v>
      </x:c>
    </x:row>
    <x:row r="2102" ht="22" customHeight="1">
      <x:c r="A2102" s="2"/>
      <x:c r="B2102" s="2" t="str">
        <x:v>14432</x:v>
      </x:c>
      <x:c r="C2102" s="2" t="str">
        <x:v>United Kingdom</x:v>
      </x:c>
      <x:c r="D2102" s="25" t="n">
        <x:v>40797.38125</x:v>
      </x:c>
      <x:c r="E2102" s="25" t="n">
        <x:v>40877.12777777778</x:v>
      </x:c>
      <x:c r="F2102" s="2" t="n">
        <x:v>10</x:v>
      </x:c>
      <x:c r="G2102" s="2" t="n">
        <x:v>6</x:v>
      </x:c>
      <x:c r="H2102" s="11" t="n">
        <x:v>2255.51</x:v>
      </x:c>
      <x:c r="I2102" s="2" t="n">
        <x:v>5</x:v>
      </x:c>
      <x:c r="J2102" s="2" t="n">
        <x:v>4</x:v>
      </x:c>
      <x:c r="K2102" s="2" t="n">
        <x:v>4</x:v>
      </x:c>
      <x:c r="L2102" s="2" t="str">
        <x:v>Champions</x:v>
      </x:c>
    </x:row>
    <x:row r="2103" ht="22" customHeight="1">
      <x:c r="A2103" s="2"/>
      <x:c r="B2103" s="2" t="str">
        <x:v>14433</x:v>
      </x:c>
      <x:c r="C2103" s="2" t="str">
        <x:v>United Kingdom</x:v>
      </x:c>
      <x:c r="D2103" s="25" t="n">
        <x:v>40421.31597222222</x:v>
      </x:c>
      <x:c r="E2103" s="25" t="n">
        <x:v>40421.31597222222</x:v>
      </x:c>
      <x:c r="F2103" s="2" t="n">
        <x:v>466</x:v>
      </x:c>
      <x:c r="G2103" s="2" t="n">
        <x:v>1</x:v>
      </x:c>
      <x:c r="H2103" s="11" t="n">
        <x:v>289.6</x:v>
      </x:c>
      <x:c r="I2103" s="2" t="n">
        <x:v>1</x:v>
      </x:c>
      <x:c r="J2103" s="2" t="n">
        <x:v>1</x:v>
      </x:c>
      <x:c r="K2103" s="2" t="n">
        <x:v>2</x:v>
      </x:c>
      <x:c r="L2103" s="2" t="str">
        <x:v>Hibernating</x:v>
      </x:c>
    </x:row>
    <x:row r="2104" ht="22" customHeight="1">
      <x:c r="A2104" s="2"/>
      <x:c r="B2104" s="2" t="str">
        <x:v>14434</x:v>
      </x:c>
      <x:c r="C2104" s="2" t="str">
        <x:v>United Kingdom</x:v>
      </x:c>
      <x:c r="D2104" s="25" t="n">
        <x:v>40814.43819444445</x:v>
      </x:c>
      <x:c r="E2104" s="25" t="n">
        <x:v>40865.16388888889</x:v>
      </x:c>
      <x:c r="F2104" s="2" t="n">
        <x:v>22</x:v>
      </x:c>
      <x:c r="G2104" s="2" t="n">
        <x:v>6</x:v>
      </x:c>
      <x:c r="H2104" s="11" t="n">
        <x:v>1372.8</x:v>
      </x:c>
      <x:c r="I2104" s="2" t="n">
        <x:v>4</x:v>
      </x:c>
      <x:c r="J2104" s="2" t="n">
        <x:v>4</x:v>
      </x:c>
      <x:c r="K2104" s="2" t="n">
        <x:v>4</x:v>
      </x:c>
      <x:c r="L2104" s="2" t="str">
        <x:v>Champions</x:v>
      </x:c>
    </x:row>
    <x:row r="2105" ht="22" customHeight="1">
      <x:c r="A2105" s="2"/>
      <x:c r="B2105" s="2" t="str">
        <x:v>14435</x:v>
      </x:c>
      <x:c r="C2105" s="2" t="str">
        <x:v>United Kingdom</x:v>
      </x:c>
      <x:c r="D2105" s="25" t="n">
        <x:v>40385.31458333333</x:v>
      </x:c>
      <x:c r="E2105" s="25" t="n">
        <x:v>40385.31458333333</x:v>
      </x:c>
      <x:c r="F2105" s="2" t="n">
        <x:v>502</x:v>
      </x:c>
      <x:c r="G2105" s="2" t="n">
        <x:v>1</x:v>
      </x:c>
      <x:c r="H2105" s="11" t="n">
        <x:v>90.42</x:v>
      </x:c>
      <x:c r="I2105" s="2" t="n">
        <x:v>1</x:v>
      </x:c>
      <x:c r="J2105" s="2" t="n">
        <x:v>1</x:v>
      </x:c>
      <x:c r="K2105" s="2" t="n">
        <x:v>1</x:v>
      </x:c>
      <x:c r="L2105" s="2" t="str">
        <x:v>Hibernating</x:v>
      </x:c>
    </x:row>
    <x:row r="2106" ht="22" customHeight="1">
      <x:c r="A2106" s="2"/>
      <x:c r="B2106" s="2" t="str">
        <x:v>14436</x:v>
      </x:c>
      <x:c r="C2106" s="2" t="str">
        <x:v>United Kingdom</x:v>
      </x:c>
      <x:c r="D2106" s="25" t="n">
        <x:v>40333.27222222222</x:v>
      </x:c>
      <x:c r="E2106" s="25" t="n">
        <x:v>40788.217361111114</x:v>
      </x:c>
      <x:c r="F2106" s="2" t="n">
        <x:v>99</x:v>
      </x:c>
      <x:c r="G2106" s="2" t="n">
        <x:v>2</x:v>
      </x:c>
      <x:c r="H2106" s="11" t="n">
        <x:v>271.7</x:v>
      </x:c>
      <x:c r="I2106" s="2" t="n">
        <x:v>3</x:v>
      </x:c>
      <x:c r="J2106" s="2" t="n">
        <x:v>2</x:v>
      </x:c>
      <x:c r="K2106" s="2" t="n">
        <x:v>1</x:v>
      </x:c>
      <x:c r="L2106" s="2" t="str">
        <x:v>Developing</x:v>
      </x:c>
    </x:row>
    <x:row r="2107" ht="22" customHeight="1">
      <x:c r="A2107" s="2"/>
      <x:c r="B2107" s="2" t="str">
        <x:v>14437</x:v>
      </x:c>
      <x:c r="C2107" s="2" t="str">
        <x:v>United Kingdom</x:v>
      </x:c>
      <x:c r="D2107" s="25" t="n">
        <x:v>40303.305555555555</x:v>
      </x:c>
      <x:c r="E2107" s="25" t="n">
        <x:v>40521.18541666667</x:v>
      </x:c>
      <x:c r="F2107" s="2" t="n">
        <x:v>366</x:v>
      </x:c>
      <x:c r="G2107" s="2" t="n">
        <x:v>5</x:v>
      </x:c>
      <x:c r="H2107" s="11" t="n">
        <x:v>895.84</x:v>
      </x:c>
      <x:c r="I2107" s="2" t="n">
        <x:v>2</x:v>
      </x:c>
      <x:c r="J2107" s="2" t="n">
        <x:v>4</x:v>
      </x:c>
      <x:c r="K2107" s="2" t="n">
        <x:v>3</x:v>
      </x:c>
      <x:c r="L2107" s="2" t="str">
        <x:v>At risk</x:v>
      </x:c>
    </x:row>
    <x:row r="2108" ht="22" customHeight="1">
      <x:c r="A2108" s="2"/>
      <x:c r="B2108" s="2" t="str">
        <x:v>14438</x:v>
      </x:c>
      <x:c r="C2108" s="2" t="str">
        <x:v>United Kingdom</x:v>
      </x:c>
      <x:c r="D2108" s="25" t="n">
        <x:v>40580.41388888889</x:v>
      </x:c>
      <x:c r="E2108" s="25" t="n">
        <x:v>40580.41388888889</x:v>
      </x:c>
      <x:c r="F2108" s="2" t="n">
        <x:v>307</x:v>
      </x:c>
      <x:c r="G2108" s="2" t="n">
        <x:v>1</x:v>
      </x:c>
      <x:c r="H2108" s="11" t="n">
        <x:v>131.9</x:v>
      </x:c>
      <x:c r="I2108" s="2" t="n">
        <x:v>2</x:v>
      </x:c>
      <x:c r="J2108" s="2" t="n">
        <x:v>1</x:v>
      </x:c>
      <x:c r="K2108" s="2" t="n">
        <x:v>1</x:v>
      </x:c>
      <x:c r="L2108" s="2" t="str">
        <x:v>Hibernating</x:v>
      </x:c>
    </x:row>
    <x:row r="2109" ht="22" customHeight="1">
      <x:c r="A2109" s="2"/>
      <x:c r="B2109" s="2" t="str">
        <x:v>14439</x:v>
      </x:c>
      <x:c r="C2109" s="2" t="str">
        <x:v>Greece</x:v>
      </x:c>
      <x:c r="D2109" s="25" t="n">
        <x:v>40199.37569444445</x:v>
      </x:c>
      <x:c r="E2109" s="25" t="n">
        <x:v>40567.277083333334</x:v>
      </x:c>
      <x:c r="F2109" s="2" t="n">
        <x:v>320</x:v>
      </x:c>
      <x:c r="G2109" s="2" t="n">
        <x:v>5</x:v>
      </x:c>
      <x:c r="H2109" s="11" t="n">
        <x:v>9443.04</x:v>
      </x:c>
      <x:c r="I2109" s="2" t="n">
        <x:v>2</x:v>
      </x:c>
      <x:c r="J2109" s="2" t="n">
        <x:v>4</x:v>
      </x:c>
      <x:c r="K2109" s="2" t="n">
        <x:v>5</x:v>
      </x:c>
      <x:c r="L2109" s="2" t="str">
        <x:v>At risk</x:v>
      </x:c>
    </x:row>
    <x:row r="2110" ht="22" customHeight="1">
      <x:c r="A2110" s="2"/>
      <x:c r="B2110" s="2" t="str">
        <x:v>14440</x:v>
      </x:c>
      <x:c r="C2110" s="2" t="str">
        <x:v>United Kingdom</x:v>
      </x:c>
      <x:c r="D2110" s="25" t="n">
        <x:v>40149.30069444444</x:v>
      </x:c>
      <x:c r="E2110" s="25" t="n">
        <x:v>40878.44583333333</x:v>
      </x:c>
      <x:c r="F2110" s="2" t="n">
        <x:v>9</x:v>
      </x:c>
      <x:c r="G2110" s="2" t="n">
        <x:v>13</x:v>
      </x:c>
      <x:c r="H2110" s="11" t="n">
        <x:v>5982.03</x:v>
      </x:c>
      <x:c r="I2110" s="2" t="n">
        <x:v>5</x:v>
      </x:c>
      <x:c r="J2110" s="2" t="n">
        <x:v>5</x:v>
      </x:c>
      <x:c r="K2110" s="2" t="n">
        <x:v>5</x:v>
      </x:c>
      <x:c r="L2110" s="2" t="str">
        <x:v>Champions</x:v>
      </x:c>
    </x:row>
    <x:row r="2111" ht="22" customHeight="1">
      <x:c r="A2111" s="2"/>
      <x:c r="B2111" s="2" t="str">
        <x:v>14441</x:v>
      </x:c>
      <x:c r="C2111" s="2" t="str">
        <x:v>United Kingdom</x:v>
      </x:c>
      <x:c r="D2111" s="25" t="n">
        <x:v>40196.23611111111</x:v>
      </x:c>
      <x:c r="E2111" s="25" t="n">
        <x:v>40886.17152777778</x:v>
      </x:c>
      <x:c r="F2111" s="2" t="n">
        <x:v>1</x:v>
      </x:c>
      <x:c r="G2111" s="2" t="n">
        <x:v>11</x:v>
      </x:c>
      <x:c r="H2111" s="11" t="n">
        <x:v>4611.69</x:v>
      </x:c>
      <x:c r="I2111" s="2" t="n">
        <x:v>5</x:v>
      </x:c>
      <x:c r="J2111" s="2" t="n">
        <x:v>5</x:v>
      </x:c>
      <x:c r="K2111" s="2" t="n">
        <x:v>5</x:v>
      </x:c>
      <x:c r="L2111" s="2" t="str">
        <x:v>Champions</x:v>
      </x:c>
    </x:row>
    <x:row r="2112" ht="22" customHeight="1">
      <x:c r="A2112" s="2"/>
      <x:c r="B2112" s="2" t="str">
        <x:v>14442</x:v>
      </x:c>
      <x:c r="C2112" s="2" t="str">
        <x:v>Channel Islands</x:v>
      </x:c>
      <x:c r="D2112" s="25" t="n">
        <x:v>40196.33263888889</x:v>
      </x:c>
      <x:c r="E2112" s="25" t="n">
        <x:v>40682.275</x:v>
      </x:c>
      <x:c r="F2112" s="2" t="n">
        <x:v>205</x:v>
      </x:c>
      <x:c r="G2112" s="2" t="n">
        <x:v>7</x:v>
      </x:c>
      <x:c r="H2112" s="11" t="n">
        <x:v>5367.02</x:v>
      </x:c>
      <x:c r="I2112" s="2" t="n">
        <x:v>2</x:v>
      </x:c>
      <x:c r="J2112" s="2" t="n">
        <x:v>4</x:v>
      </x:c>
      <x:c r="K2112" s="2" t="n">
        <x:v>5</x:v>
      </x:c>
      <x:c r="L2112" s="2" t="str">
        <x:v>At risk</x:v>
      </x:c>
    </x:row>
    <x:row r="2113" ht="22" customHeight="1">
      <x:c r="A2113" s="2"/>
      <x:c r="B2113" s="2" t="str">
        <x:v>14443</x:v>
      </x:c>
      <x:c r="C2113" s="2" t="str">
        <x:v>United Kingdom</x:v>
      </x:c>
      <x:c r="D2113" s="25" t="n">
        <x:v>40507.3875</x:v>
      </x:c>
      <x:c r="E2113" s="25" t="n">
        <x:v>40833.21527777778</x:v>
      </x:c>
      <x:c r="F2113" s="2" t="n">
        <x:v>54</x:v>
      </x:c>
      <x:c r="G2113" s="2" t="n">
        <x:v>5</x:v>
      </x:c>
      <x:c r="H2113" s="11" t="n">
        <x:v>2082.97</x:v>
      </x:c>
      <x:c r="I2113" s="2" t="n">
        <x:v>4</x:v>
      </x:c>
      <x:c r="J2113" s="2" t="n">
        <x:v>4</x:v>
      </x:c>
      <x:c r="K2113" s="2" t="n">
        <x:v>4</x:v>
      </x:c>
      <x:c r="L2113" s="2" t="str">
        <x:v>Champions</x:v>
      </x:c>
    </x:row>
    <x:row r="2114" ht="22" customHeight="1">
      <x:c r="A2114" s="2"/>
      <x:c r="B2114" s="2" t="str">
        <x:v>14444</x:v>
      </x:c>
      <x:c r="C2114" s="2" t="str">
        <x:v>United Kingdom</x:v>
      </x:c>
      <x:c r="D2114" s="25" t="n">
        <x:v>40430.580555555556</x:v>
      </x:c>
      <x:c r="E2114" s="25" t="n">
        <x:v>40430.580555555556</x:v>
      </x:c>
      <x:c r="F2114" s="2" t="n">
        <x:v>457</x:v>
      </x:c>
      <x:c r="G2114" s="2" t="n">
        <x:v>1</x:v>
      </x:c>
      <x:c r="H2114" s="11" t="n">
        <x:v>132.04</x:v>
      </x:c>
      <x:c r="I2114" s="2" t="n">
        <x:v>1</x:v>
      </x:c>
      <x:c r="J2114" s="2" t="n">
        <x:v>1</x:v>
      </x:c>
      <x:c r="K2114" s="2" t="n">
        <x:v>1</x:v>
      </x:c>
      <x:c r="L2114" s="2" t="str">
        <x:v>Hibernating</x:v>
      </x:c>
    </x:row>
    <x:row r="2115" ht="22" customHeight="1">
      <x:c r="A2115" s="2"/>
      <x:c r="B2115" s="2" t="str">
        <x:v>14445</x:v>
      </x:c>
      <x:c r="C2115" s="2" t="str">
        <x:v>United Kingdom</x:v>
      </x:c>
      <x:c r="D2115" s="25" t="n">
        <x:v>40431.25625</x:v>
      </x:c>
      <x:c r="E2115" s="25" t="n">
        <x:v>40431.25625</x:v>
      </x:c>
      <x:c r="F2115" s="2" t="n">
        <x:v>456</x:v>
      </x:c>
      <x:c r="G2115" s="2" t="n">
        <x:v>1</x:v>
      </x:c>
      <x:c r="H2115" s="11" t="n">
        <x:v>221.65</x:v>
      </x:c>
      <x:c r="I2115" s="2" t="n">
        <x:v>1</x:v>
      </x:c>
      <x:c r="J2115" s="2" t="n">
        <x:v>1</x:v>
      </x:c>
      <x:c r="K2115" s="2" t="n">
        <x:v>1</x:v>
      </x:c>
      <x:c r="L2115" s="2" t="str">
        <x:v>Hibernating</x:v>
      </x:c>
    </x:row>
    <x:row r="2116" ht="22" customHeight="1">
      <x:c r="A2116" s="2"/>
      <x:c r="B2116" s="2" t="str">
        <x:v>14446</x:v>
      </x:c>
      <x:c r="C2116" s="2" t="str">
        <x:v>United Kingdom</x:v>
      </x:c>
      <x:c r="D2116" s="25" t="n">
        <x:v>40500.29722222222</x:v>
      </x:c>
      <x:c r="E2116" s="25" t="n">
        <x:v>40886.27361111111</x:v>
      </x:c>
      <x:c r="F2116" s="2" t="n">
        <x:v>1</x:v>
      </x:c>
      <x:c r="G2116" s="2" t="n">
        <x:v>5</x:v>
      </x:c>
      <x:c r="H2116" s="11" t="n">
        <x:v>1241.31</x:v>
      </x:c>
      <x:c r="I2116" s="2" t="n">
        <x:v>5</x:v>
      </x:c>
      <x:c r="J2116" s="2" t="n">
        <x:v>4</x:v>
      </x:c>
      <x:c r="K2116" s="2" t="n">
        <x:v>4</x:v>
      </x:c>
      <x:c r="L2116" s="2" t="str">
        <x:v>Champions</x:v>
      </x:c>
    </x:row>
    <x:row r="2117" ht="22" customHeight="1">
      <x:c r="A2117" s="2"/>
      <x:c r="B2117" s="2" t="str">
        <x:v>14447</x:v>
      </x:c>
      <x:c r="C2117" s="2" t="str">
        <x:v>United Kingdom</x:v>
      </x:c>
      <x:c r="D2117" s="25" t="n">
        <x:v>40486.35555555556</x:v>
      </x:c>
      <x:c r="E2117" s="25" t="n">
        <x:v>40868.14444444444</x:v>
      </x:c>
      <x:c r="F2117" s="2" t="n">
        <x:v>19</x:v>
      </x:c>
      <x:c r="G2117" s="2" t="n">
        <x:v>6</x:v>
      </x:c>
      <x:c r="H2117" s="11" t="n">
        <x:v>1711.73</x:v>
      </x:c>
      <x:c r="I2117" s="2" t="n">
        <x:v>5</x:v>
      </x:c>
      <x:c r="J2117" s="2" t="n">
        <x:v>4</x:v>
      </x:c>
      <x:c r="K2117" s="2" t="n">
        <x:v>4</x:v>
      </x:c>
      <x:c r="L2117" s="2" t="str">
        <x:v>Champions</x:v>
      </x:c>
    </x:row>
    <x:row r="2118" ht="22" customHeight="1">
      <x:c r="A2118" s="2"/>
      <x:c r="B2118" s="2" t="str">
        <x:v>14448</x:v>
      </x:c>
      <x:c r="C2118" s="2" t="str">
        <x:v>United Kingdom</x:v>
      </x:c>
      <x:c r="D2118" s="25" t="n">
        <x:v>40522.518055555556</x:v>
      </x:c>
      <x:c r="E2118" s="25" t="n">
        <x:v>40877.368055555555</x:v>
      </x:c>
      <x:c r="F2118" s="2" t="n">
        <x:v>10</x:v>
      </x:c>
      <x:c r="G2118" s="2" t="n">
        <x:v>2</x:v>
      </x:c>
      <x:c r="H2118" s="11" t="n">
        <x:v>375.35</x:v>
      </x:c>
      <x:c r="I2118" s="2" t="n">
        <x:v>5</x:v>
      </x:c>
      <x:c r="J2118" s="2" t="n">
        <x:v>2</x:v>
      </x:c>
      <x:c r="K2118" s="2" t="n">
        <x:v>2</x:v>
      </x:c>
      <x:c r="L2118" s="2" t="str">
        <x:v>Recent light buyers</x:v>
      </x:c>
    </x:row>
    <x:row r="2119" ht="22" customHeight="1">
      <x:c r="A2119" s="2"/>
      <x:c r="B2119" s="2" t="str">
        <x:v>14449</x:v>
      </x:c>
      <x:c r="C2119" s="2" t="str">
        <x:v>United Kingdom</x:v>
      </x:c>
      <x:c r="D2119" s="25" t="n">
        <x:v>40450.34375</x:v>
      </x:c>
      <x:c r="E2119" s="25" t="n">
        <x:v>40868.29583333333</x:v>
      </x:c>
      <x:c r="F2119" s="2" t="n">
        <x:v>19</x:v>
      </x:c>
      <x:c r="G2119" s="2" t="n">
        <x:v>8</x:v>
      </x:c>
      <x:c r="H2119" s="11" t="n">
        <x:v>2272.56</x:v>
      </x:c>
      <x:c r="I2119" s="2" t="n">
        <x:v>5</x:v>
      </x:c>
      <x:c r="J2119" s="2" t="n">
        <x:v>4</x:v>
      </x:c>
      <x:c r="K2119" s="2" t="n">
        <x:v>4</x:v>
      </x:c>
      <x:c r="L2119" s="2" t="str">
        <x:v>Champions</x:v>
      </x:c>
    </x:row>
    <x:row r="2120" ht="22" customHeight="1">
      <x:c r="A2120" s="2"/>
      <x:c r="B2120" s="2" t="str">
        <x:v>14450</x:v>
      </x:c>
      <x:c r="C2120" s="2" t="str">
        <x:v>United Kingdom</x:v>
      </x:c>
      <x:c r="D2120" s="25" t="n">
        <x:v>40276.29791666667</x:v>
      </x:c>
      <x:c r="E2120" s="25" t="n">
        <x:v>40706.240277777775</x:v>
      </x:c>
      <x:c r="F2120" s="2" t="n">
        <x:v>181</x:v>
      </x:c>
      <x:c r="G2120" s="2" t="n">
        <x:v>7</x:v>
      </x:c>
      <x:c r="H2120" s="11" t="n">
        <x:v>1128.44</x:v>
      </x:c>
      <x:c r="I2120" s="2" t="n">
        <x:v>3</x:v>
      </x:c>
      <x:c r="J2120" s="2" t="n">
        <x:v>4</x:v>
      </x:c>
      <x:c r="K2120" s="2" t="n">
        <x:v>3</x:v>
      </x:c>
      <x:c r="L2120" s="2" t="str">
        <x:v>Loyal</x:v>
      </x:c>
    </x:row>
    <x:row r="2121" ht="22" customHeight="1">
      <x:c r="A2121" s="2"/>
      <x:c r="B2121" s="2" t="str">
        <x:v>14451</x:v>
      </x:c>
      <x:c r="C2121" s="2" t="str">
        <x:v>United Kingdom</x:v>
      </x:c>
      <x:c r="D2121" s="25" t="n">
        <x:v>40195.23263888889</x:v>
      </x:c>
      <x:c r="E2121" s="25" t="n">
        <x:v>40826.35972222222</x:v>
      </x:c>
      <x:c r="F2121" s="2" t="n">
        <x:v>61</x:v>
      </x:c>
      <x:c r="G2121" s="2" t="n">
        <x:v>12</x:v>
      </x:c>
      <x:c r="H2121" s="11" t="n">
        <x:v>3308.77</x:v>
      </x:c>
      <x:c r="I2121" s="2" t="n">
        <x:v>3</x:v>
      </x:c>
      <x:c r="J2121" s="2" t="n">
        <x:v>5</x:v>
      </x:c>
      <x:c r="K2121" s="2" t="n">
        <x:v>5</x:v>
      </x:c>
      <x:c r="L2121" s="2" t="str">
        <x:v>Loyal</x:v>
      </x:c>
    </x:row>
    <x:row r="2122" ht="22" customHeight="1">
      <x:c r="A2122" s="2"/>
      <x:c r="B2122" s="2" t="str">
        <x:v>14452</x:v>
      </x:c>
      <x:c r="C2122" s="2" t="str">
        <x:v>United Kingdom</x:v>
      </x:c>
      <x:c r="D2122" s="25" t="n">
        <x:v>40365.342361111114</x:v>
      </x:c>
      <x:c r="E2122" s="25" t="n">
        <x:v>40876.29583333333</x:v>
      </x:c>
      <x:c r="F2122" s="2" t="n">
        <x:v>11</x:v>
      </x:c>
      <x:c r="G2122" s="2" t="n">
        <x:v>4</x:v>
      </x:c>
      <x:c r="H2122" s="11" t="n">
        <x:v>665.59</x:v>
      </x:c>
      <x:c r="I2122" s="2" t="n">
        <x:v>5</x:v>
      </x:c>
      <x:c r="J2122" s="2" t="n">
        <x:v>3</x:v>
      </x:c>
      <x:c r="K2122" s="2" t="n">
        <x:v>3</x:v>
      </x:c>
      <x:c r="L2122" s="2" t="str">
        <x:v>Loyal</x:v>
      </x:c>
    </x:row>
    <x:row r="2123" ht="22" customHeight="1">
      <x:c r="A2123" s="2"/>
      <x:c r="B2123" s="2" t="str">
        <x:v>14453</x:v>
      </x:c>
      <x:c r="C2123" s="2" t="str">
        <x:v>United Kingdom</x:v>
      </x:c>
      <x:c r="D2123" s="25" t="n">
        <x:v>40696.385416666664</x:v>
      </x:c>
      <x:c r="E2123" s="25" t="n">
        <x:v>40696.385416666664</x:v>
      </x:c>
      <x:c r="F2123" s="2" t="n">
        <x:v>191</x:v>
      </x:c>
      <x:c r="G2123" s="2" t="n">
        <x:v>1</x:v>
      </x:c>
      <x:c r="H2123" s="11" t="n">
        <x:v>119.93</x:v>
      </x:c>
      <x:c r="I2123" s="2" t="n">
        <x:v>2</x:v>
      </x:c>
      <x:c r="J2123" s="2" t="n">
        <x:v>1</x:v>
      </x:c>
      <x:c r="K2123" s="2" t="n">
        <x:v>1</x:v>
      </x:c>
      <x:c r="L2123" s="2" t="str">
        <x:v>Hibernating</x:v>
      </x:c>
    </x:row>
    <x:row r="2124" ht="22" customHeight="1">
      <x:c r="A2124" s="2"/>
      <x:c r="B2124" s="2" t="str">
        <x:v>14454</x:v>
      </x:c>
      <x:c r="C2124" s="2" t="str">
        <x:v>United Kingdom</x:v>
      </x:c>
      <x:c r="D2124" s="25" t="n">
        <x:v>40153.330555555556</x:v>
      </x:c>
      <x:c r="E2124" s="25" t="n">
        <x:v>40510.35138888889</x:v>
      </x:c>
      <x:c r="F2124" s="2" t="n">
        <x:v>377</x:v>
      </x:c>
      <x:c r="G2124" s="2" t="n">
        <x:v>5</x:v>
      </x:c>
      <x:c r="H2124" s="11" t="n">
        <x:v>977.3</x:v>
      </x:c>
      <x:c r="I2124" s="2" t="n">
        <x:v>2</x:v>
      </x:c>
      <x:c r="J2124" s="2" t="n">
        <x:v>4</x:v>
      </x:c>
      <x:c r="K2124" s="2" t="n">
        <x:v>3</x:v>
      </x:c>
      <x:c r="L2124" s="2" t="str">
        <x:v>At risk</x:v>
      </x:c>
    </x:row>
    <x:row r="2125" ht="22" customHeight="1">
      <x:c r="A2125" s="2"/>
      <x:c r="B2125" s="2" t="str">
        <x:v>14455</x:v>
      </x:c>
      <x:c r="C2125" s="2" t="str">
        <x:v>United Kingdom</x:v>
      </x:c>
      <x:c r="D2125" s="25" t="n">
        <x:v>40391.35138888889</x:v>
      </x:c>
      <x:c r="E2125" s="25" t="n">
        <x:v>40454.45</x:v>
      </x:c>
      <x:c r="F2125" s="2" t="n">
        <x:v>433</x:v>
      </x:c>
      <x:c r="G2125" s="2" t="n">
        <x:v>4</x:v>
      </x:c>
      <x:c r="H2125" s="11" t="n">
        <x:v>628.21</x:v>
      </x:c>
      <x:c r="I2125" s="2" t="n">
        <x:v>1</x:v>
      </x:c>
      <x:c r="J2125" s="2" t="n">
        <x:v>3</x:v>
      </x:c>
      <x:c r="K2125" s="2" t="n">
        <x:v>3</x:v>
      </x:c>
      <x:c r="L2125" s="2" t="str">
        <x:v>At risk</x:v>
      </x:c>
    </x:row>
    <x:row r="2126" ht="22" customHeight="1">
      <x:c r="A2126" s="2"/>
      <x:c r="B2126" s="2" t="str">
        <x:v>14456</x:v>
      </x:c>
      <x:c r="C2126" s="2" t="str">
        <x:v>United Kingdom</x:v>
      </x:c>
      <x:c r="D2126" s="25" t="n">
        <x:v>40744.3375</x:v>
      </x:c>
      <x:c r="E2126" s="25" t="n">
        <x:v>40881.37430555555</x:v>
      </x:c>
      <x:c r="F2126" s="2" t="n">
        <x:v>6</x:v>
      </x:c>
      <x:c r="G2126" s="2" t="n">
        <x:v>9</x:v>
      </x:c>
      <x:c r="H2126" s="11" t="n">
        <x:v>3062.4</x:v>
      </x:c>
      <x:c r="I2126" s="2" t="n">
        <x:v>5</x:v>
      </x:c>
      <x:c r="J2126" s="2" t="n">
        <x:v>5</x:v>
      </x:c>
      <x:c r="K2126" s="2" t="n">
        <x:v>5</x:v>
      </x:c>
      <x:c r="L2126" s="2" t="str">
        <x:v>Champions</x:v>
      </x:c>
    </x:row>
    <x:row r="2127" ht="22" customHeight="1">
      <x:c r="A2127" s="2"/>
      <x:c r="B2127" s="2" t="str">
        <x:v>14457</x:v>
      </x:c>
      <x:c r="C2127" s="2" t="str">
        <x:v>United Kingdom</x:v>
      </x:c>
      <x:c r="D2127" s="25" t="n">
        <x:v>40576.19375</x:v>
      </x:c>
      <x:c r="E2127" s="25" t="n">
        <x:v>40576.19375</x:v>
      </x:c>
      <x:c r="F2127" s="2" t="n">
        <x:v>311</x:v>
      </x:c>
      <x:c r="G2127" s="2" t="n">
        <x:v>1</x:v>
      </x:c>
      <x:c r="H2127" s="11" t="n">
        <x:v>113.64</x:v>
      </x:c>
      <x:c r="I2127" s="2" t="n">
        <x:v>2</x:v>
      </x:c>
      <x:c r="J2127" s="2" t="n">
        <x:v>1</x:v>
      </x:c>
      <x:c r="K2127" s="2" t="n">
        <x:v>1</x:v>
      </x:c>
      <x:c r="L2127" s="2" t="str">
        <x:v>Hibernating</x:v>
      </x:c>
    </x:row>
    <x:row r="2128" ht="22" customHeight="1">
      <x:c r="A2128" s="2"/>
      <x:c r="B2128" s="2" t="str">
        <x:v>14458</x:v>
      </x:c>
      <x:c r="C2128" s="2" t="str">
        <x:v>United Kingdom</x:v>
      </x:c>
      <x:c r="D2128" s="25" t="n">
        <x:v>40506.32152777778</x:v>
      </x:c>
      <x:c r="E2128" s="25" t="n">
        <x:v>40506.32152777778</x:v>
      </x:c>
      <x:c r="F2128" s="2" t="n">
        <x:v>381</x:v>
      </x:c>
      <x:c r="G2128" s="2" t="n">
        <x:v>1</x:v>
      </x:c>
      <x:c r="H2128" s="11" t="n">
        <x:v>237.42</x:v>
      </x:c>
      <x:c r="I2128" s="2" t="n">
        <x:v>2</x:v>
      </x:c>
      <x:c r="J2128" s="2" t="n">
        <x:v>1</x:v>
      </x:c>
      <x:c r="K2128" s="2" t="n">
        <x:v>1</x:v>
      </x:c>
      <x:c r="L2128" s="2" t="str">
        <x:v>Hibernating</x:v>
      </x:c>
    </x:row>
    <x:row r="2129" ht="22" customHeight="1">
      <x:c r="A2129" s="2"/>
      <x:c r="B2129" s="2" t="str">
        <x:v>14459</x:v>
      </x:c>
      <x:c r="C2129" s="2" t="str">
        <x:v>United Kingdom</x:v>
      </x:c>
      <x:c r="D2129" s="25" t="n">
        <x:v>40235.35138888889</x:v>
      </x:c>
      <x:c r="E2129" s="25" t="n">
        <x:v>40731.35763888889</x:v>
      </x:c>
      <x:c r="F2129" s="2" t="n">
        <x:v>156</x:v>
      </x:c>
      <x:c r="G2129" s="2" t="n">
        <x:v>2</x:v>
      </x:c>
      <x:c r="H2129" s="11" t="n">
        <x:v>5375.741</x:v>
      </x:c>
      <x:c r="I2129" s="2" t="n">
        <x:v>3</x:v>
      </x:c>
      <x:c r="J2129" s="2" t="n">
        <x:v>2</x:v>
      </x:c>
      <x:c r="K2129" s="2" t="n">
        <x:v>5</x:v>
      </x:c>
      <x:c r="L2129" s="2" t="str">
        <x:v>Developing</x:v>
      </x:c>
    </x:row>
    <x:row r="2130" ht="22" customHeight="1">
      <x:c r="A2130" s="2"/>
      <x:c r="B2130" s="2" t="str">
        <x:v>14460</x:v>
      </x:c>
      <x:c r="C2130" s="2" t="str">
        <x:v>United Kingdom</x:v>
      </x:c>
      <x:c r="D2130" s="25" t="n">
        <x:v>40162.5875</x:v>
      </x:c>
      <x:c r="E2130" s="25" t="n">
        <x:v>40776.388194444444</x:v>
      </x:c>
      <x:c r="F2130" s="2" t="n">
        <x:v>111</x:v>
      </x:c>
      <x:c r="G2130" s="2" t="n">
        <x:v>9</x:v>
      </x:c>
      <x:c r="H2130" s="11" t="n">
        <x:v>1093.5</x:v>
      </x:c>
      <x:c r="I2130" s="2" t="n">
        <x:v>3</x:v>
      </x:c>
      <x:c r="J2130" s="2" t="n">
        <x:v>5</x:v>
      </x:c>
      <x:c r="K2130" s="2" t="n">
        <x:v>3</x:v>
      </x:c>
      <x:c r="L2130" s="2" t="str">
        <x:v>Loyal</x:v>
      </x:c>
    </x:row>
    <x:row r="2131" ht="22" customHeight="1">
      <x:c r="A2131" s="2"/>
      <x:c r="B2131" s="2" t="str">
        <x:v>14461</x:v>
      </x:c>
      <x:c r="C2131" s="2" t="str">
        <x:v>United Kingdom</x:v>
      </x:c>
      <x:c r="D2131" s="25" t="n">
        <x:v>40196.325</x:v>
      </x:c>
      <x:c r="E2131" s="25" t="n">
        <x:v>40738.50763888889</x:v>
      </x:c>
      <x:c r="F2131" s="2" t="n">
        <x:v>149</x:v>
      </x:c>
      <x:c r="G2131" s="2" t="n">
        <x:v>13</x:v>
      </x:c>
      <x:c r="H2131" s="11" t="n">
        <x:v>6713.5</x:v>
      </x:c>
      <x:c r="I2131" s="2" t="n">
        <x:v>3</x:v>
      </x:c>
      <x:c r="J2131" s="2" t="n">
        <x:v>5</x:v>
      </x:c>
      <x:c r="K2131" s="2" t="n">
        <x:v>5</x:v>
      </x:c>
      <x:c r="L2131" s="2" t="str">
        <x:v>Loyal</x:v>
      </x:c>
    </x:row>
    <x:row r="2132" ht="22" customHeight="1">
      <x:c r="A2132" s="2"/>
      <x:c r="B2132" s="2" t="str">
        <x:v>14462</x:v>
      </x:c>
      <x:c r="C2132" s="2" t="str">
        <x:v>United Kingdom</x:v>
      </x:c>
      <x:c r="D2132" s="25" t="n">
        <x:v>40454.38402777778</x:v>
      </x:c>
      <x:c r="E2132" s="25" t="n">
        <x:v>40820.45486111111</x:v>
      </x:c>
      <x:c r="F2132" s="2" t="n">
        <x:v>67</x:v>
      </x:c>
      <x:c r="G2132" s="2" t="n">
        <x:v>12</x:v>
      </x:c>
      <x:c r="H2132" s="11" t="n">
        <x:v>2270.01</x:v>
      </x:c>
      <x:c r="I2132" s="2" t="n">
        <x:v>3</x:v>
      </x:c>
      <x:c r="J2132" s="2" t="n">
        <x:v>5</x:v>
      </x:c>
      <x:c r="K2132" s="2" t="n">
        <x:v>4</x:v>
      </x:c>
      <x:c r="L2132" s="2" t="str">
        <x:v>Loyal</x:v>
      </x:c>
    </x:row>
    <x:row r="2133" ht="22" customHeight="1">
      <x:c r="A2133" s="2"/>
      <x:c r="B2133" s="2" t="str">
        <x:v>14463</x:v>
      </x:c>
      <x:c r="C2133" s="2" t="str">
        <x:v>United Kingdom</x:v>
      </x:c>
      <x:c r="D2133" s="25" t="n">
        <x:v>40387.274305555555</x:v>
      </x:c>
      <x:c r="E2133" s="25" t="n">
        <x:v>40788.430555555555</x:v>
      </x:c>
      <x:c r="F2133" s="2" t="n">
        <x:v>99</x:v>
      </x:c>
      <x:c r="G2133" s="2" t="n">
        <x:v>4</x:v>
      </x:c>
      <x:c r="H2133" s="11" t="n">
        <x:v>786.57</x:v>
      </x:c>
      <x:c r="I2133" s="2" t="n">
        <x:v>3</x:v>
      </x:c>
      <x:c r="J2133" s="2" t="n">
        <x:v>3</x:v>
      </x:c>
      <x:c r="K2133" s="2" t="n">
        <x:v>3</x:v>
      </x:c>
      <x:c r="L2133" s="2" t="str">
        <x:v>Loyal</x:v>
      </x:c>
    </x:row>
    <x:row r="2134" ht="22" customHeight="1">
      <x:c r="A2134" s="2"/>
      <x:c r="B2134" s="2" t="str">
        <x:v>14464</x:v>
      </x:c>
      <x:c r="C2134" s="2" t="str">
        <x:v>United Kingdom</x:v>
      </x:c>
      <x:c r="D2134" s="25" t="n">
        <x:v>40259.430555555555</x:v>
      </x:c>
      <x:c r="E2134" s="25" t="n">
        <x:v>40318.541666666664</x:v>
      </x:c>
      <x:c r="F2134" s="2" t="n">
        <x:v>569</x:v>
      </x:c>
      <x:c r="G2134" s="2" t="n">
        <x:v>2</x:v>
      </x:c>
      <x:c r="H2134" s="11" t="n">
        <x:v>111</x:v>
      </x:c>
      <x:c r="I2134" s="2" t="n">
        <x:v>1</x:v>
      </x:c>
      <x:c r="J2134" s="2" t="n">
        <x:v>2</x:v>
      </x:c>
      <x:c r="K2134" s="2" t="n">
        <x:v>1</x:v>
      </x:c>
      <x:c r="L2134" s="2" t="str">
        <x:v>Hibernating</x:v>
      </x:c>
    </x:row>
    <x:row r="2135" ht="22" customHeight="1">
      <x:c r="A2135" s="2"/>
      <x:c r="B2135" s="2" t="str">
        <x:v>14465</x:v>
      </x:c>
      <x:c r="C2135" s="2" t="str">
        <x:v>United Kingdom</x:v>
      </x:c>
      <x:c r="D2135" s="25" t="n">
        <x:v>40185.41875</x:v>
      </x:c>
      <x:c r="E2135" s="25" t="n">
        <x:v>40640.31805555556</x:v>
      </x:c>
      <x:c r="F2135" s="2" t="n">
        <x:v>247</x:v>
      </x:c>
      <x:c r="G2135" s="2" t="n">
        <x:v>11</x:v>
      </x:c>
      <x:c r="H2135" s="11" t="n">
        <x:v>3946.03</x:v>
      </x:c>
      <x:c r="I2135" s="2" t="n">
        <x:v>2</x:v>
      </x:c>
      <x:c r="J2135" s="2" t="n">
        <x:v>5</x:v>
      </x:c>
      <x:c r="K2135" s="2" t="n">
        <x:v>5</x:v>
      </x:c>
      <x:c r="L2135" s="2" t="str">
        <x:v>At risk</x:v>
      </x:c>
    </x:row>
    <x:row r="2136" ht="22" customHeight="1">
      <x:c r="A2136" s="2"/>
      <x:c r="B2136" s="2" t="str">
        <x:v>14466</x:v>
      </x:c>
      <x:c r="C2136" s="2" t="str">
        <x:v>United Kingdom</x:v>
      </x:c>
      <x:c r="D2136" s="25" t="n">
        <x:v>40160.447222222225</x:v>
      </x:c>
      <x:c r="E2136" s="25" t="n">
        <x:v>40857.37986111111</x:v>
      </x:c>
      <x:c r="F2136" s="2" t="n">
        <x:v>30</x:v>
      </x:c>
      <x:c r="G2136" s="2" t="n">
        <x:v>13</x:v>
      </x:c>
      <x:c r="H2136" s="11" t="n">
        <x:v>4267.15</x:v>
      </x:c>
      <x:c r="I2136" s="2" t="n">
        <x:v>4</x:v>
      </x:c>
      <x:c r="J2136" s="2" t="n">
        <x:v>5</x:v>
      </x:c>
      <x:c r="K2136" s="2" t="n">
        <x:v>5</x:v>
      </x:c>
      <x:c r="L2136" s="2" t="str">
        <x:v>Champions</x:v>
      </x:c>
    </x:row>
    <x:row r="2137" ht="22" customHeight="1">
      <x:c r="A2137" s="2"/>
      <x:c r="B2137" s="2" t="str">
        <x:v>14467</x:v>
      </x:c>
      <x:c r="C2137" s="2" t="str">
        <x:v>United Kingdom</x:v>
      </x:c>
      <x:c r="D2137" s="25" t="n">
        <x:v>40149.322222222225</x:v>
      </x:c>
      <x:c r="E2137" s="25" t="n">
        <x:v>40869.325</x:v>
      </x:c>
      <x:c r="F2137" s="2" t="n">
        <x:v>18</x:v>
      </x:c>
      <x:c r="G2137" s="2" t="n">
        <x:v>12</x:v>
      </x:c>
      <x:c r="H2137" s="11" t="n">
        <x:v>2220.99</x:v>
      </x:c>
      <x:c r="I2137" s="2" t="n">
        <x:v>5</x:v>
      </x:c>
      <x:c r="J2137" s="2" t="n">
        <x:v>5</x:v>
      </x:c>
      <x:c r="K2137" s="2" t="n">
        <x:v>4</x:v>
      </x:c>
      <x:c r="L2137" s="2" t="str">
        <x:v>Champions</x:v>
      </x:c>
    </x:row>
    <x:row r="2138" ht="22" customHeight="1">
      <x:c r="A2138" s="2"/>
      <x:c r="B2138" s="2" t="str">
        <x:v>14468</x:v>
      </x:c>
      <x:c r="C2138" s="2" t="str">
        <x:v>United Kingdom</x:v>
      </x:c>
      <x:c r="D2138" s="25" t="n">
        <x:v>40153.30625</x:v>
      </x:c>
      <x:c r="E2138" s="25" t="n">
        <x:v>40153.30625</x:v>
      </x:c>
      <x:c r="F2138" s="2" t="n">
        <x:v>734</x:v>
      </x:c>
      <x:c r="G2138" s="2" t="n">
        <x:v>1</x:v>
      </x:c>
      <x:c r="H2138" s="11" t="n">
        <x:v>204.24</x:v>
      </x:c>
      <x:c r="I2138" s="2" t="n">
        <x:v>1</x:v>
      </x:c>
      <x:c r="J2138" s="2" t="n">
        <x:v>1</x:v>
      </x:c>
      <x:c r="K2138" s="2" t="n">
        <x:v>1</x:v>
      </x:c>
      <x:c r="L2138" s="2" t="str">
        <x:v>Hibernating</x:v>
      </x:c>
    </x:row>
    <x:row r="2139" ht="22" customHeight="1">
      <x:c r="A2139" s="2"/>
      <x:c r="B2139" s="2" t="str">
        <x:v>14469</x:v>
      </x:c>
      <x:c r="C2139" s="2" t="str">
        <x:v>United Kingdom</x:v>
      </x:c>
      <x:c r="D2139" s="25" t="n">
        <x:v>40207.25833333333</x:v>
      </x:c>
      <x:c r="E2139" s="25" t="n">
        <x:v>40470.395833333336</x:v>
      </x:c>
      <x:c r="F2139" s="2" t="n">
        <x:v>417</x:v>
      </x:c>
      <x:c r="G2139" s="2" t="n">
        <x:v>4</x:v>
      </x:c>
      <x:c r="H2139" s="11" t="n">
        <x:v>2112.21</x:v>
      </x:c>
      <x:c r="I2139" s="2" t="n">
        <x:v>1</x:v>
      </x:c>
      <x:c r="J2139" s="2" t="n">
        <x:v>3</x:v>
      </x:c>
      <x:c r="K2139" s="2" t="n">
        <x:v>4</x:v>
      </x:c>
      <x:c r="L2139" s="2" t="str">
        <x:v>At risk</x:v>
      </x:c>
    </x:row>
    <x:row r="2140" ht="22" customHeight="1">
      <x:c r="A2140" s="2"/>
      <x:c r="B2140" s="2" t="str">
        <x:v>14470</x:v>
      </x:c>
      <x:c r="C2140" s="2" t="str">
        <x:v>United Kingdom</x:v>
      </x:c>
      <x:c r="D2140" s="25" t="n">
        <x:v>40456.31875</x:v>
      </x:c>
      <x:c r="E2140" s="25" t="n">
        <x:v>40875.22986111111</x:v>
      </x:c>
      <x:c r="F2140" s="2" t="n">
        <x:v>12</x:v>
      </x:c>
      <x:c r="G2140" s="2" t="n">
        <x:v>3</x:v>
      </x:c>
      <x:c r="H2140" s="11" t="n">
        <x:v>712.04</x:v>
      </x:c>
      <x:c r="I2140" s="2" t="n">
        <x:v>5</x:v>
      </x:c>
      <x:c r="J2140" s="2" t="n">
        <x:v>3</x:v>
      </x:c>
      <x:c r="K2140" s="2" t="n">
        <x:v>3</x:v>
      </x:c>
      <x:c r="L2140" s="2" t="str">
        <x:v>Loyal</x:v>
      </x:c>
    </x:row>
    <x:row r="2141" ht="22" customHeight="1">
      <x:c r="A2141" s="2"/>
      <x:c r="B2141" s="2" t="str">
        <x:v>14471</x:v>
      </x:c>
      <x:c r="C2141" s="2" t="str">
        <x:v>United Kingdom</x:v>
      </x:c>
      <x:c r="D2141" s="25" t="n">
        <x:v>40154.30972222222</x:v>
      </x:c>
      <x:c r="E2141" s="25" t="n">
        <x:v>40295.50833333333</x:v>
      </x:c>
      <x:c r="F2141" s="2" t="n">
        <x:v>592</x:v>
      </x:c>
      <x:c r="G2141" s="2" t="n">
        <x:v>2</x:v>
      </x:c>
      <x:c r="H2141" s="11" t="n">
        <x:v>400.95</x:v>
      </x:c>
      <x:c r="I2141" s="2" t="n">
        <x:v>1</x:v>
      </x:c>
      <x:c r="J2141" s="2" t="n">
        <x:v>2</x:v>
      </x:c>
      <x:c r="K2141" s="2" t="n">
        <x:v>2</x:v>
      </x:c>
      <x:c r="L2141" s="2" t="str">
        <x:v>Hibernating</x:v>
      </x:c>
    </x:row>
    <x:row r="2142" ht="22" customHeight="1">
      <x:c r="A2142" s="2"/>
      <x:c r="B2142" s="2" t="str">
        <x:v>14472</x:v>
      </x:c>
      <x:c r="C2142" s="2" t="str">
        <x:v>United Kingdom</x:v>
      </x:c>
      <x:c r="D2142" s="25" t="n">
        <x:v>40197.339583333334</x:v>
      </x:c>
      <x:c r="E2142" s="25" t="n">
        <x:v>40783.25069444445</x:v>
      </x:c>
      <x:c r="F2142" s="2" t="n">
        <x:v>104</x:v>
      </x:c>
      <x:c r="G2142" s="2" t="n">
        <x:v>9</x:v>
      </x:c>
      <x:c r="H2142" s="11" t="n">
        <x:v>2228.22</x:v>
      </x:c>
      <x:c r="I2142" s="2" t="n">
        <x:v>3</x:v>
      </x:c>
      <x:c r="J2142" s="2" t="n">
        <x:v>5</x:v>
      </x:c>
      <x:c r="K2142" s="2" t="n">
        <x:v>4</x:v>
      </x:c>
      <x:c r="L2142" s="2" t="str">
        <x:v>Loyal</x:v>
      </x:c>
    </x:row>
    <x:row r="2143" ht="22" customHeight="1">
      <x:c r="A2143" s="2"/>
      <x:c r="B2143" s="2" t="str">
        <x:v>14473</x:v>
      </x:c>
      <x:c r="C2143" s="2" t="str">
        <x:v>United Kingdom</x:v>
      </x:c>
      <x:c r="D2143" s="25" t="n">
        <x:v>40604.37222222222</x:v>
      </x:c>
      <x:c r="E2143" s="25" t="n">
        <x:v>40812.42361111111</x:v>
      </x:c>
      <x:c r="F2143" s="2" t="n">
        <x:v>75</x:v>
      </x:c>
      <x:c r="G2143" s="2" t="n">
        <x:v>2</x:v>
      </x:c>
      <x:c r="H2143" s="11" t="n">
        <x:v>234.34</x:v>
      </x:c>
      <x:c r="I2143" s="2" t="n">
        <x:v>3</x:v>
      </x:c>
      <x:c r="J2143" s="2" t="n">
        <x:v>2</x:v>
      </x:c>
      <x:c r="K2143" s="2" t="n">
        <x:v>1</x:v>
      </x:c>
      <x:c r="L2143" s="2" t="str">
        <x:v>Developing</x:v>
      </x:c>
    </x:row>
    <x:row r="2144" ht="22" customHeight="1">
      <x:c r="A2144" s="2"/>
      <x:c r="B2144" s="2" t="str">
        <x:v>14474</x:v>
      </x:c>
      <x:c r="C2144" s="2" t="str">
        <x:v>United Kingdom</x:v>
      </x:c>
      <x:c r="D2144" s="25" t="n">
        <x:v>40307.3</x:v>
      </x:c>
      <x:c r="E2144" s="25" t="n">
        <x:v>40840.35138888889</x:v>
      </x:c>
      <x:c r="F2144" s="2" t="n">
        <x:v>47</x:v>
      </x:c>
      <x:c r="G2144" s="2" t="n">
        <x:v>2</x:v>
      </x:c>
      <x:c r="H2144" s="11" t="n">
        <x:v>1278.08</x:v>
      </x:c>
      <x:c r="I2144" s="2" t="n">
        <x:v>4</x:v>
      </x:c>
      <x:c r="J2144" s="2" t="n">
        <x:v>2</x:v>
      </x:c>
      <x:c r="K2144" s="2" t="n">
        <x:v>4</x:v>
      </x:c>
      <x:c r="L2144" s="2" t="str">
        <x:v>Recent light buyers</x:v>
      </x:c>
    </x:row>
    <x:row r="2145" ht="22" customHeight="1">
      <x:c r="A2145" s="2"/>
      <x:c r="B2145" s="2" t="str">
        <x:v>14475</x:v>
      </x:c>
      <x:c r="C2145" s="2" t="str">
        <x:v>United Kingdom</x:v>
      </x:c>
      <x:c r="D2145" s="25" t="n">
        <x:v>40478.180555555555</x:v>
      </x:c>
      <x:c r="E2145" s="25" t="n">
        <x:v>40815.240277777775</x:v>
      </x:c>
      <x:c r="F2145" s="2" t="n">
        <x:v>72</x:v>
      </x:c>
      <x:c r="G2145" s="2" t="n">
        <x:v>4</x:v>
      </x:c>
      <x:c r="H2145" s="11" t="n">
        <x:v>1151.15</x:v>
      </x:c>
      <x:c r="I2145" s="2" t="n">
        <x:v>3</x:v>
      </x:c>
      <x:c r="J2145" s="2" t="n">
        <x:v>3</x:v>
      </x:c>
      <x:c r="K2145" s="2" t="n">
        <x:v>3</x:v>
      </x:c>
      <x:c r="L2145" s="2" t="str">
        <x:v>Loyal</x:v>
      </x:c>
    </x:row>
    <x:row r="2146" ht="22" customHeight="1">
      <x:c r="A2146" s="2"/>
      <x:c r="B2146" s="2" t="str">
        <x:v>14476</x:v>
      </x:c>
      <x:c r="C2146" s="2" t="str">
        <x:v>United Kingdom</x:v>
      </x:c>
      <x:c r="D2146" s="25" t="n">
        <x:v>40629.44375</x:v>
      </x:c>
      <x:c r="E2146" s="25" t="n">
        <x:v>40629.44375</x:v>
      </x:c>
      <x:c r="F2146" s="2" t="n">
        <x:v>258</x:v>
      </x:c>
      <x:c r="G2146" s="2" t="n">
        <x:v>1</x:v>
      </x:c>
      <x:c r="H2146" s="11" t="n">
        <x:v>215.7</x:v>
      </x:c>
      <x:c r="I2146" s="2" t="n">
        <x:v>2</x:v>
      </x:c>
      <x:c r="J2146" s="2" t="n">
        <x:v>1</x:v>
      </x:c>
      <x:c r="K2146" s="2" t="n">
        <x:v>1</x:v>
      </x:c>
      <x:c r="L2146" s="2" t="str">
        <x:v>Hibernating</x:v>
      </x:c>
    </x:row>
    <x:row r="2147" ht="22" customHeight="1">
      <x:c r="A2147" s="2"/>
      <x:c r="B2147" s="2" t="str">
        <x:v>14477</x:v>
      </x:c>
      <x:c r="C2147" s="2" t="str">
        <x:v>United Kingdom</x:v>
      </x:c>
      <x:c r="D2147" s="25" t="n">
        <x:v>40182.44513888889</x:v>
      </x:c>
      <x:c r="E2147" s="25" t="n">
        <x:v>40867.25763888889</x:v>
      </x:c>
      <x:c r="F2147" s="2" t="n">
        <x:v>20</x:v>
      </x:c>
      <x:c r="G2147" s="2" t="n">
        <x:v>7</x:v>
      </x:c>
      <x:c r="H2147" s="11" t="n">
        <x:v>1969.6</x:v>
      </x:c>
      <x:c r="I2147" s="2" t="n">
        <x:v>5</x:v>
      </x:c>
      <x:c r="J2147" s="2" t="n">
        <x:v>4</x:v>
      </x:c>
      <x:c r="K2147" s="2" t="n">
        <x:v>4</x:v>
      </x:c>
      <x:c r="L2147" s="2" t="str">
        <x:v>Champions</x:v>
      </x:c>
    </x:row>
    <x:row r="2148" ht="22" customHeight="1">
      <x:c r="A2148" s="2"/>
      <x:c r="B2148" s="2" t="str">
        <x:v>14478</x:v>
      </x:c>
      <x:c r="C2148" s="2" t="str">
        <x:v>United Kingdom</x:v>
      </x:c>
      <x:c r="D2148" s="25" t="n">
        <x:v>40148.34722222222</x:v>
      </x:c>
      <x:c r="E2148" s="25" t="n">
        <x:v>40504.43680555555</x:v>
      </x:c>
      <x:c r="F2148" s="2" t="n">
        <x:v>383</x:v>
      </x:c>
      <x:c r="G2148" s="2" t="n">
        <x:v>4</x:v>
      </x:c>
      <x:c r="H2148" s="11" t="n">
        <x:v>1276.66</x:v>
      </x:c>
      <x:c r="I2148" s="2" t="n">
        <x:v>2</x:v>
      </x:c>
      <x:c r="J2148" s="2" t="n">
        <x:v>3</x:v>
      </x:c>
      <x:c r="K2148" s="2" t="n">
        <x:v>4</x:v>
      </x:c>
      <x:c r="L2148" s="2" t="str">
        <x:v>At risk</x:v>
      </x:c>
    </x:row>
    <x:row r="2149" ht="22" customHeight="1">
      <x:c r="A2149" s="2"/>
      <x:c r="B2149" s="2" t="str">
        <x:v>14479</x:v>
      </x:c>
      <x:c r="C2149" s="2" t="str">
        <x:v>United Kingdom</x:v>
      </x:c>
      <x:c r="D2149" s="25" t="n">
        <x:v>40153.36666666667</x:v>
      </x:c>
      <x:c r="E2149" s="25" t="n">
        <x:v>40633.17152777778</x:v>
      </x:c>
      <x:c r="F2149" s="2" t="n">
        <x:v>254</x:v>
      </x:c>
      <x:c r="G2149" s="2" t="n">
        <x:v>4</x:v>
      </x:c>
      <x:c r="H2149" s="11" t="n">
        <x:v>1124.71</x:v>
      </x:c>
      <x:c r="I2149" s="2" t="n">
        <x:v>2</x:v>
      </x:c>
      <x:c r="J2149" s="2" t="n">
        <x:v>3</x:v>
      </x:c>
      <x:c r="K2149" s="2" t="n">
        <x:v>3</x:v>
      </x:c>
      <x:c r="L2149" s="2" t="str">
        <x:v>At risk</x:v>
      </x:c>
    </x:row>
    <x:row r="2150" ht="22" customHeight="1">
      <x:c r="A2150" s="2"/>
      <x:c r="B2150" s="2" t="str">
        <x:v>14480</x:v>
      </x:c>
      <x:c r="C2150" s="2" t="str">
        <x:v>United Kingdom</x:v>
      </x:c>
      <x:c r="D2150" s="25" t="n">
        <x:v>40168.48055555556</x:v>
      </x:c>
      <x:c r="E2150" s="25" t="n">
        <x:v>40875.48263888889</x:v>
      </x:c>
      <x:c r="F2150" s="2" t="n">
        <x:v>12</x:v>
      </x:c>
      <x:c r="G2150" s="2" t="n">
        <x:v>4</x:v>
      </x:c>
      <x:c r="H2150" s="11" t="n">
        <x:v>1299.52</x:v>
      </x:c>
      <x:c r="I2150" s="2" t="n">
        <x:v>5</x:v>
      </x:c>
      <x:c r="J2150" s="2" t="n">
        <x:v>3</x:v>
      </x:c>
      <x:c r="K2150" s="2" t="n">
        <x:v>4</x:v>
      </x:c>
      <x:c r="L2150" s="2" t="str">
        <x:v>Loyal</x:v>
      </x:c>
    </x:row>
    <x:row r="2151" ht="22" customHeight="1">
      <x:c r="A2151" s="2"/>
      <x:c r="B2151" s="2" t="str">
        <x:v>14481</x:v>
      </x:c>
      <x:c r="C2151" s="2" t="str">
        <x:v>United Kingdom</x:v>
      </x:c>
      <x:c r="D2151" s="25" t="n">
        <x:v>40209.32152777778</x:v>
      </x:c>
      <x:c r="E2151" s="25" t="n">
        <x:v>40722.23472222222</x:v>
      </x:c>
      <x:c r="F2151" s="2" t="n">
        <x:v>165</x:v>
      </x:c>
      <x:c r="G2151" s="2" t="n">
        <x:v>5</x:v>
      </x:c>
      <x:c r="H2151" s="11" t="n">
        <x:v>2311.49</x:v>
      </x:c>
      <x:c r="I2151" s="2" t="n">
        <x:v>3</x:v>
      </x:c>
      <x:c r="J2151" s="2" t="n">
        <x:v>4</x:v>
      </x:c>
      <x:c r="K2151" s="2" t="n">
        <x:v>4</x:v>
      </x:c>
      <x:c r="L2151" s="2" t="str">
        <x:v>Loyal</x:v>
      </x:c>
    </x:row>
    <x:row r="2152" ht="22" customHeight="1">
      <x:c r="A2152" s="2"/>
      <x:c r="B2152" s="2" t="str">
        <x:v>14482</x:v>
      </x:c>
      <x:c r="C2152" s="2" t="str">
        <x:v>United Kingdom</x:v>
      </x:c>
      <x:c r="D2152" s="25" t="n">
        <x:v>40416.38402777778</x:v>
      </x:c>
      <x:c r="E2152" s="25" t="n">
        <x:v>40868.34305555555</x:v>
      </x:c>
      <x:c r="F2152" s="2" t="n">
        <x:v>19</x:v>
      </x:c>
      <x:c r="G2152" s="2" t="n">
        <x:v>12</x:v>
      </x:c>
      <x:c r="H2152" s="11" t="n">
        <x:v>4357.91</x:v>
      </x:c>
      <x:c r="I2152" s="2" t="n">
        <x:v>5</x:v>
      </x:c>
      <x:c r="J2152" s="2" t="n">
        <x:v>5</x:v>
      </x:c>
      <x:c r="K2152" s="2" t="n">
        <x:v>5</x:v>
      </x:c>
      <x:c r="L2152" s="2" t="str">
        <x:v>Champions</x:v>
      </x:c>
    </x:row>
    <x:row r="2153" ht="22" customHeight="1">
      <x:c r="A2153" s="2"/>
      <x:c r="B2153" s="2" t="str">
        <x:v>14483</x:v>
      </x:c>
      <x:c r="C2153" s="2" t="str">
        <x:v>United Kingdom</x:v>
      </x:c>
      <x:c r="D2153" s="25" t="n">
        <x:v>40150.21944444445</x:v>
      </x:c>
      <x:c r="E2153" s="25" t="n">
        <x:v>40605.22638888889</x:v>
      </x:c>
      <x:c r="F2153" s="2" t="n">
        <x:v>282</x:v>
      </x:c>
      <x:c r="G2153" s="2" t="n">
        <x:v>2</x:v>
      </x:c>
      <x:c r="H2153" s="11" t="n">
        <x:v>257.1</x:v>
      </x:c>
      <x:c r="I2153" s="2" t="n">
        <x:v>2</x:v>
      </x:c>
      <x:c r="J2153" s="2" t="n">
        <x:v>2</x:v>
      </x:c>
      <x:c r="K2153" s="2" t="n">
        <x:v>1</x:v>
      </x:c>
      <x:c r="L2153" s="2" t="str">
        <x:v>Hibernating</x:v>
      </x:c>
    </x:row>
    <x:row r="2154" ht="22" customHeight="1">
      <x:c r="A2154" s="2"/>
      <x:c r="B2154" s="2" t="str">
        <x:v>14484</x:v>
      </x:c>
      <x:c r="C2154" s="2" t="str">
        <x:v>United Kingdom</x:v>
      </x:c>
      <x:c r="D2154" s="25" t="n">
        <x:v>40164.24791666667</x:v>
      </x:c>
      <x:c r="E2154" s="25" t="n">
        <x:v>40836.38263888889</x:v>
      </x:c>
      <x:c r="F2154" s="2" t="n">
        <x:v>51</x:v>
      </x:c>
      <x:c r="G2154" s="2" t="n">
        <x:v>4</x:v>
      </x:c>
      <x:c r="H2154" s="11" t="n">
        <x:v>1070.98</x:v>
      </x:c>
      <x:c r="I2154" s="2" t="n">
        <x:v>4</x:v>
      </x:c>
      <x:c r="J2154" s="2" t="n">
        <x:v>3</x:v>
      </x:c>
      <x:c r="K2154" s="2" t="n">
        <x:v>3</x:v>
      </x:c>
      <x:c r="L2154" s="2" t="str">
        <x:v>Loyal</x:v>
      </x:c>
    </x:row>
    <x:row r="2155" ht="22" customHeight="1">
      <x:c r="A2155" s="2"/>
      <x:c r="B2155" s="2" t="str">
        <x:v>14485</x:v>
      </x:c>
      <x:c r="C2155" s="2" t="str">
        <x:v>United Kingdom</x:v>
      </x:c>
      <x:c r="D2155" s="25" t="n">
        <x:v>40848.30902777778</x:v>
      </x:c>
      <x:c r="E2155" s="25" t="n">
        <x:v>40848.30902777778</x:v>
      </x:c>
      <x:c r="F2155" s="2" t="n">
        <x:v>39</x:v>
      </x:c>
      <x:c r="G2155" s="2" t="n">
        <x:v>1</x:v>
      </x:c>
      <x:c r="H2155" s="11" t="n">
        <x:v>165.75</x:v>
      </x:c>
      <x:c r="I2155" s="2" t="n">
        <x:v>4</x:v>
      </x:c>
      <x:c r="J2155" s="2" t="n">
        <x:v>1</x:v>
      </x:c>
      <x:c r="K2155" s="2" t="n">
        <x:v>1</x:v>
      </x:c>
      <x:c r="L2155" s="2" t="str">
        <x:v>Recent light buyers</x:v>
      </x:c>
    </x:row>
    <x:row r="2156" ht="22" customHeight="1">
      <x:c r="A2156" s="2"/>
      <x:c r="B2156" s="2" t="str">
        <x:v>14486</x:v>
      </x:c>
      <x:c r="C2156" s="2" t="str">
        <x:v>United Kingdom</x:v>
      </x:c>
      <x:c r="D2156" s="25" t="n">
        <x:v>40333.229166666664</x:v>
      </x:c>
      <x:c r="E2156" s="25" t="n">
        <x:v>40375.19583333333</x:v>
      </x:c>
      <x:c r="F2156" s="2" t="n">
        <x:v>512</x:v>
      </x:c>
      <x:c r="G2156" s="2" t="n">
        <x:v>2</x:v>
      </x:c>
      <x:c r="H2156" s="11" t="n">
        <x:v>175.5</x:v>
      </x:c>
      <x:c r="I2156" s="2" t="n">
        <x:v>1</x:v>
      </x:c>
      <x:c r="J2156" s="2" t="n">
        <x:v>2</x:v>
      </x:c>
      <x:c r="K2156" s="2" t="n">
        <x:v>1</x:v>
      </x:c>
      <x:c r="L2156" s="2" t="str">
        <x:v>Hibernating</x:v>
      </x:c>
    </x:row>
    <x:row r="2157" ht="22" customHeight="1">
      <x:c r="A2157" s="2"/>
      <x:c r="B2157" s="2" t="str">
        <x:v>14487</x:v>
      </x:c>
      <x:c r="C2157" s="2" t="str">
        <x:v>United Kingdom</x:v>
      </x:c>
      <x:c r="D2157" s="25" t="n">
        <x:v>40507.35833333333</x:v>
      </x:c>
      <x:c r="E2157" s="25" t="n">
        <x:v>40860.30347222222</x:v>
      </x:c>
      <x:c r="F2157" s="2" t="n">
        <x:v>27</x:v>
      </x:c>
      <x:c r="G2157" s="2" t="n">
        <x:v>7</x:v>
      </x:c>
      <x:c r="H2157" s="11" t="n">
        <x:v>1328.51</x:v>
      </x:c>
      <x:c r="I2157" s="2" t="n">
        <x:v>4</x:v>
      </x:c>
      <x:c r="J2157" s="2" t="n">
        <x:v>4</x:v>
      </x:c>
      <x:c r="K2157" s="2" t="n">
        <x:v>4</x:v>
      </x:c>
      <x:c r="L2157" s="2" t="str">
        <x:v>Champions</x:v>
      </x:c>
    </x:row>
    <x:row r="2158" ht="22" customHeight="1">
      <x:c r="A2158" s="2"/>
      <x:c r="B2158" s="2" t="str">
        <x:v>14488</x:v>
      </x:c>
      <x:c r="C2158" s="2" t="str">
        <x:v>United Kingdom</x:v>
      </x:c>
      <x:c r="D2158" s="25" t="n">
        <x:v>40819.1875</x:v>
      </x:c>
      <x:c r="E2158" s="25" t="n">
        <x:v>40819.1875</x:v>
      </x:c>
      <x:c r="F2158" s="2" t="n">
        <x:v>68</x:v>
      </x:c>
      <x:c r="G2158" s="2" t="n">
        <x:v>1</x:v>
      </x:c>
      <x:c r="H2158" s="11" t="n">
        <x:v>1064.28</x:v>
      </x:c>
      <x:c r="I2158" s="2" t="n">
        <x:v>3</x:v>
      </x:c>
      <x:c r="J2158" s="2" t="n">
        <x:v>1</x:v>
      </x:c>
      <x:c r="K2158" s="2" t="n">
        <x:v>3</x:v>
      </x:c>
      <x:c r="L2158" s="2" t="str">
        <x:v>Developing</x:v>
      </x:c>
    </x:row>
    <x:row r="2159" ht="22" customHeight="1">
      <x:c r="A2159" s="2"/>
      <x:c r="B2159" s="2" t="str">
        <x:v>14489</x:v>
      </x:c>
      <x:c r="C2159" s="2" t="str">
        <x:v>United Kingdom</x:v>
      </x:c>
      <x:c r="D2159" s="25" t="n">
        <x:v>40274.20277777778</x:v>
      </x:c>
      <x:c r="E2159" s="25" t="n">
        <x:v>40679.410416666666</x:v>
      </x:c>
      <x:c r="F2159" s="2" t="n">
        <x:v>208</x:v>
      </x:c>
      <x:c r="G2159" s="2" t="n">
        <x:v>4</x:v>
      </x:c>
      <x:c r="H2159" s="11" t="n">
        <x:v>1574.93</x:v>
      </x:c>
      <x:c r="I2159" s="2" t="n">
        <x:v>2</x:v>
      </x:c>
      <x:c r="J2159" s="2" t="n">
        <x:v>3</x:v>
      </x:c>
      <x:c r="K2159" s="2" t="n">
        <x:v>4</x:v>
      </x:c>
      <x:c r="L2159" s="2" t="str">
        <x:v>At risk</x:v>
      </x:c>
    </x:row>
    <x:row r="2160" ht="22" customHeight="1">
      <x:c r="A2160" s="2"/>
      <x:c r="B2160" s="2" t="str">
        <x:v>14490</x:v>
      </x:c>
      <x:c r="C2160" s="2" t="str">
        <x:v>United Kingdom</x:v>
      </x:c>
      <x:c r="D2160" s="25" t="n">
        <x:v>40458.275</x:v>
      </x:c>
      <x:c r="E2160" s="25" t="n">
        <x:v>40480.419444444444</x:v>
      </x:c>
      <x:c r="F2160" s="2" t="n">
        <x:v>407</x:v>
      </x:c>
      <x:c r="G2160" s="2" t="n">
        <x:v>2</x:v>
      </x:c>
      <x:c r="H2160" s="11" t="n">
        <x:v>1273.47</x:v>
      </x:c>
      <x:c r="I2160" s="2" t="n">
        <x:v>2</x:v>
      </x:c>
      <x:c r="J2160" s="2" t="n">
        <x:v>2</x:v>
      </x:c>
      <x:c r="K2160" s="2" t="n">
        <x:v>4</x:v>
      </x:c>
      <x:c r="L2160" s="2" t="str">
        <x:v>Hibernating</x:v>
      </x:c>
    </x:row>
    <x:row r="2161" ht="22" customHeight="1">
      <x:c r="A2161" s="2"/>
      <x:c r="B2161" s="2" t="str">
        <x:v>14491</x:v>
      </x:c>
      <x:c r="C2161" s="2" t="str">
        <x:v>United Kingdom</x:v>
      </x:c>
      <x:c r="D2161" s="25" t="n">
        <x:v>40514.29861111111</x:v>
      </x:c>
      <x:c r="E2161" s="25" t="n">
        <x:v>40711.43194444444</x:v>
      </x:c>
      <x:c r="F2161" s="2" t="n">
        <x:v>176</x:v>
      </x:c>
      <x:c r="G2161" s="2" t="n">
        <x:v>2</x:v>
      </x:c>
      <x:c r="H2161" s="11" t="n">
        <x:v>340.93</x:v>
      </x:c>
      <x:c r="I2161" s="2" t="n">
        <x:v>3</x:v>
      </x:c>
      <x:c r="J2161" s="2" t="n">
        <x:v>2</x:v>
      </x:c>
      <x:c r="K2161" s="2" t="n">
        <x:v>2</x:v>
      </x:c>
      <x:c r="L2161" s="2" t="str">
        <x:v>Developing</x:v>
      </x:c>
    </x:row>
    <x:row r="2162" ht="22" customHeight="1">
      <x:c r="A2162" s="2"/>
      <x:c r="B2162" s="2" t="str">
        <x:v>14492</x:v>
      </x:c>
      <x:c r="C2162" s="2" t="str">
        <x:v>United Kingdom</x:v>
      </x:c>
      <x:c r="D2162" s="25" t="n">
        <x:v>40267.39097222222</x:v>
      </x:c>
      <x:c r="E2162" s="25" t="n">
        <x:v>40456.347916666666</x:v>
      </x:c>
      <x:c r="F2162" s="2" t="n">
        <x:v>431</x:v>
      </x:c>
      <x:c r="G2162" s="2" t="n">
        <x:v>7</x:v>
      </x:c>
      <x:c r="H2162" s="11" t="n">
        <x:v>1921.91</x:v>
      </x:c>
      <x:c r="I2162" s="2" t="n">
        <x:v>1</x:v>
      </x:c>
      <x:c r="J2162" s="2" t="n">
        <x:v>4</x:v>
      </x:c>
      <x:c r="K2162" s="2" t="n">
        <x:v>4</x:v>
      </x:c>
      <x:c r="L2162" s="2" t="str">
        <x:v>At risk</x:v>
      </x:c>
    </x:row>
    <x:row r="2163" ht="22" customHeight="1">
      <x:c r="A2163" s="2"/>
      <x:c r="B2163" s="2" t="str">
        <x:v>14493</x:v>
      </x:c>
      <x:c r="C2163" s="2" t="str">
        <x:v>United Kingdom</x:v>
      </x:c>
      <x:c r="D2163" s="25" t="n">
        <x:v>40245.14791666667</x:v>
      </x:c>
      <x:c r="E2163" s="25" t="n">
        <x:v>40879.46805555555</x:v>
      </x:c>
      <x:c r="F2163" s="2" t="n">
        <x:v>8</x:v>
      </x:c>
      <x:c r="G2163" s="2" t="n">
        <x:v>10</x:v>
      </x:c>
      <x:c r="H2163" s="11" t="n">
        <x:v>5130.15</x:v>
      </x:c>
      <x:c r="I2163" s="2" t="n">
        <x:v>5</x:v>
      </x:c>
      <x:c r="J2163" s="2" t="n">
        <x:v>5</x:v>
      </x:c>
      <x:c r="K2163" s="2" t="n">
        <x:v>5</x:v>
      </x:c>
      <x:c r="L2163" s="2" t="str">
        <x:v>Champions</x:v>
      </x:c>
    </x:row>
    <x:row r="2164" ht="22" customHeight="1">
      <x:c r="A2164" s="2"/>
      <x:c r="B2164" s="2" t="str">
        <x:v>14494</x:v>
      </x:c>
      <x:c r="C2164" s="2" t="str">
        <x:v>United Kingdom</x:v>
      </x:c>
      <x:c r="D2164" s="25" t="n">
        <x:v>40155.350694444445</x:v>
      </x:c>
      <x:c r="E2164" s="25" t="n">
        <x:v>40861.18125</x:v>
      </x:c>
      <x:c r="F2164" s="2" t="n">
        <x:v>26</x:v>
      </x:c>
      <x:c r="G2164" s="2" t="n">
        <x:v>3</x:v>
      </x:c>
      <x:c r="H2164" s="11" t="n">
        <x:v>401.46</x:v>
      </x:c>
      <x:c r="I2164" s="2" t="n">
        <x:v>4</x:v>
      </x:c>
      <x:c r="J2164" s="2" t="n">
        <x:v>3</x:v>
      </x:c>
      <x:c r="K2164" s="2" t="n">
        <x:v>2</x:v>
      </x:c>
      <x:c r="L2164" s="2" t="str">
        <x:v>Loyal</x:v>
      </x:c>
    </x:row>
    <x:row r="2165" ht="22" customHeight="1">
      <x:c r="A2165" s="2"/>
      <x:c r="B2165" s="2" t="str">
        <x:v>14495</x:v>
      </x:c>
      <x:c r="C2165" s="2" t="str">
        <x:v>United Kingdom</x:v>
      </x:c>
      <x:c r="D2165" s="25" t="n">
        <x:v>40227.15902777778</x:v>
      </x:c>
      <x:c r="E2165" s="25" t="n">
        <x:v>40836.311111111114</x:v>
      </x:c>
      <x:c r="F2165" s="2" t="n">
        <x:v>51</x:v>
      </x:c>
      <x:c r="G2165" s="2" t="n">
        <x:v>3</x:v>
      </x:c>
      <x:c r="H2165" s="11" t="n">
        <x:v>174.8</x:v>
      </x:c>
      <x:c r="I2165" s="2" t="n">
        <x:v>4</x:v>
      </x:c>
      <x:c r="J2165" s="2" t="n">
        <x:v>3</x:v>
      </x:c>
      <x:c r="K2165" s="2" t="n">
        <x:v>1</x:v>
      </x:c>
      <x:c r="L2165" s="2" t="str">
        <x:v>Loyal</x:v>
      </x:c>
    </x:row>
    <x:row r="2166" ht="22" customHeight="1">
      <x:c r="A2166" s="2"/>
      <x:c r="B2166" s="2" t="str">
        <x:v>14496</x:v>
      </x:c>
      <x:c r="C2166" s="2" t="str">
        <x:v>United Kingdom</x:v>
      </x:c>
      <x:c r="D2166" s="25" t="n">
        <x:v>40253.34375</x:v>
      </x:c>
      <x:c r="E2166" s="25" t="n">
        <x:v>40575.16736111111</x:v>
      </x:c>
      <x:c r="F2166" s="2" t="n">
        <x:v>312</x:v>
      </x:c>
      <x:c r="G2166" s="2" t="n">
        <x:v>7</x:v>
      </x:c>
      <x:c r="H2166" s="11" t="n">
        <x:v>2363.89</x:v>
      </x:c>
      <x:c r="I2166" s="2" t="n">
        <x:v>2</x:v>
      </x:c>
      <x:c r="J2166" s="2" t="n">
        <x:v>4</x:v>
      </x:c>
      <x:c r="K2166" s="2" t="n">
        <x:v>4</x:v>
      </x:c>
      <x:c r="L2166" s="2" t="str">
        <x:v>At risk</x:v>
      </x:c>
    </x:row>
    <x:row r="2167" ht="22" customHeight="1">
      <x:c r="A2167" s="2"/>
      <x:c r="B2167" s="2" t="str">
        <x:v>14497</x:v>
      </x:c>
      <x:c r="C2167" s="2" t="str">
        <x:v>United Kingdom</x:v>
      </x:c>
      <x:c r="D2167" s="25" t="n">
        <x:v>40213.20763888889</x:v>
      </x:c>
      <x:c r="E2167" s="25" t="n">
        <x:v>40577.50069444445</x:v>
      </x:c>
      <x:c r="F2167" s="2" t="n">
        <x:v>310</x:v>
      </x:c>
      <x:c r="G2167" s="2" t="n">
        <x:v>2</x:v>
      </x:c>
      <x:c r="H2167" s="11" t="n">
        <x:v>697.06</x:v>
      </x:c>
      <x:c r="I2167" s="2" t="n">
        <x:v>2</x:v>
      </x:c>
      <x:c r="J2167" s="2" t="n">
        <x:v>2</x:v>
      </x:c>
      <x:c r="K2167" s="2" t="n">
        <x:v>3</x:v>
      </x:c>
      <x:c r="L2167" s="2" t="str">
        <x:v>Hibernating</x:v>
      </x:c>
    </x:row>
    <x:row r="2168" ht="22" customHeight="1">
      <x:c r="A2168" s="2"/>
      <x:c r="B2168" s="2" t="str">
        <x:v>14498</x:v>
      </x:c>
      <x:c r="C2168" s="2" t="str">
        <x:v>United Kingdom</x:v>
      </x:c>
      <x:c r="D2168" s="25" t="n">
        <x:v>40336.461805555555</x:v>
      </x:c>
      <x:c r="E2168" s="25" t="n">
        <x:v>40844.29791666667</x:v>
      </x:c>
      <x:c r="F2168" s="2" t="n">
        <x:v>43</x:v>
      </x:c>
      <x:c r="G2168" s="2" t="n">
        <x:v>10</x:v>
      </x:c>
      <x:c r="H2168" s="11" t="n">
        <x:v>3911.27</x:v>
      </x:c>
      <x:c r="I2168" s="2" t="n">
        <x:v>4</x:v>
      </x:c>
      <x:c r="J2168" s="2" t="n">
        <x:v>5</x:v>
      </x:c>
      <x:c r="K2168" s="2" t="n">
        <x:v>5</x:v>
      </x:c>
      <x:c r="L2168" s="2" t="str">
        <x:v>Champions</x:v>
      </x:c>
    </x:row>
    <x:row r="2169" ht="22" customHeight="1">
      <x:c r="A2169" s="2"/>
      <x:c r="B2169" s="2" t="str">
        <x:v>14499</x:v>
      </x:c>
      <x:c r="C2169" s="2" t="str">
        <x:v>United Kingdom</x:v>
      </x:c>
      <x:c r="D2169" s="25" t="n">
        <x:v>40417.28958333333</x:v>
      </x:c>
      <x:c r="E2169" s="25" t="n">
        <x:v>40860.334027777775</x:v>
      </x:c>
      <x:c r="F2169" s="2" t="n">
        <x:v>27</x:v>
      </x:c>
      <x:c r="G2169" s="2" t="n">
        <x:v>7</x:v>
      </x:c>
      <x:c r="H2169" s="11" t="n">
        <x:v>2138.97</x:v>
      </x:c>
      <x:c r="I2169" s="2" t="n">
        <x:v>4</x:v>
      </x:c>
      <x:c r="J2169" s="2" t="n">
        <x:v>4</x:v>
      </x:c>
      <x:c r="K2169" s="2" t="n">
        <x:v>4</x:v>
      </x:c>
      <x:c r="L2169" s="2" t="str">
        <x:v>Champions</x:v>
      </x:c>
    </x:row>
    <x:row r="2170" ht="22" customHeight="1">
      <x:c r="A2170" s="2"/>
      <x:c r="B2170" s="2" t="str">
        <x:v>14500</x:v>
      </x:c>
      <x:c r="C2170" s="2" t="str">
        <x:v>United Kingdom</x:v>
      </x:c>
      <x:c r="D2170" s="25" t="n">
        <x:v>40697.21388888889</x:v>
      </x:c>
      <x:c r="E2170" s="25" t="n">
        <x:v>40798.489583333336</x:v>
      </x:c>
      <x:c r="F2170" s="2" t="n">
        <x:v>89</x:v>
      </x:c>
      <x:c r="G2170" s="2" t="n">
        <x:v>3</x:v>
      </x:c>
      <x:c r="H2170" s="11" t="n">
        <x:v>356.85</x:v>
      </x:c>
      <x:c r="I2170" s="2" t="n">
        <x:v>3</x:v>
      </x:c>
      <x:c r="J2170" s="2" t="n">
        <x:v>3</x:v>
      </x:c>
      <x:c r="K2170" s="2" t="n">
        <x:v>2</x:v>
      </x:c>
      <x:c r="L2170" s="2" t="str">
        <x:v>Loyal</x:v>
      </x:c>
    </x:row>
    <x:row r="2171" ht="22" customHeight="1">
      <x:c r="A2171" s="2"/>
      <x:c r="B2171" s="2" t="str">
        <x:v>14501</x:v>
      </x:c>
      <x:c r="C2171" s="2" t="str">
        <x:v>United Kingdom</x:v>
      </x:c>
      <x:c r="D2171" s="25" t="n">
        <x:v>40567.23819444444</x:v>
      </x:c>
      <x:c r="E2171" s="25" t="n">
        <x:v>40703.29305555556</x:v>
      </x:c>
      <x:c r="F2171" s="2" t="n">
        <x:v>184</x:v>
      </x:c>
      <x:c r="G2171" s="2" t="n">
        <x:v>2</x:v>
      </x:c>
      <x:c r="H2171" s="11" t="n">
        <x:v>251.21</x:v>
      </x:c>
      <x:c r="I2171" s="2" t="n">
        <x:v>3</x:v>
      </x:c>
      <x:c r="J2171" s="2" t="n">
        <x:v>2</x:v>
      </x:c>
      <x:c r="K2171" s="2" t="n">
        <x:v>1</x:v>
      </x:c>
      <x:c r="L2171" s="2" t="str">
        <x:v>Developing</x:v>
      </x:c>
    </x:row>
    <x:row r="2172" ht="22" customHeight="1">
      <x:c r="A2172" s="2"/>
      <x:c r="B2172" s="2" t="str">
        <x:v>14502</x:v>
      </x:c>
      <x:c r="C2172" s="2" t="str">
        <x:v>United Kingdom</x:v>
      </x:c>
      <x:c r="D2172" s="25" t="n">
        <x:v>40573.45277777778</x:v>
      </x:c>
      <x:c r="E2172" s="25" t="n">
        <x:v>40867.28472222222</x:v>
      </x:c>
      <x:c r="F2172" s="2" t="n">
        <x:v>20</x:v>
      </x:c>
      <x:c r="G2172" s="2" t="n">
        <x:v>11</x:v>
      </x:c>
      <x:c r="H2172" s="11" t="n">
        <x:v>2470.67</x:v>
      </x:c>
      <x:c r="I2172" s="2" t="n">
        <x:v>5</x:v>
      </x:c>
      <x:c r="J2172" s="2" t="n">
        <x:v>5</x:v>
      </x:c>
      <x:c r="K2172" s="2" t="n">
        <x:v>4</x:v>
      </x:c>
      <x:c r="L2172" s="2" t="str">
        <x:v>Champions</x:v>
      </x:c>
    </x:row>
    <x:row r="2173" ht="22" customHeight="1">
      <x:c r="A2173" s="2"/>
      <x:c r="B2173" s="2" t="str">
        <x:v>14503</x:v>
      </x:c>
      <x:c r="C2173" s="2" t="str">
        <x:v>United Kingdom</x:v>
      </x:c>
      <x:c r="D2173" s="25" t="n">
        <x:v>40708.208333333336</x:v>
      </x:c>
      <x:c r="E2173" s="25" t="n">
        <x:v>40883.354166666664</x:v>
      </x:c>
      <x:c r="F2173" s="2" t="n">
        <x:v>4</x:v>
      </x:c>
      <x:c r="G2173" s="2" t="n">
        <x:v>6</x:v>
      </x:c>
      <x:c r="H2173" s="11" t="n">
        <x:v>3543.26</x:v>
      </x:c>
      <x:c r="I2173" s="2" t="n">
        <x:v>5</x:v>
      </x:c>
      <x:c r="J2173" s="2" t="n">
        <x:v>4</x:v>
      </x:c>
      <x:c r="K2173" s="2" t="n">
        <x:v>5</x:v>
      </x:c>
      <x:c r="L2173" s="2" t="str">
        <x:v>Champions</x:v>
      </x:c>
    </x:row>
    <x:row r="2174" ht="22" customHeight="1">
      <x:c r="A2174" s="2"/>
      <x:c r="B2174" s="2" t="str">
        <x:v>14504</x:v>
      </x:c>
      <x:c r="C2174" s="2" t="str">
        <x:v>United Kingdom</x:v>
      </x:c>
      <x:c r="D2174" s="25" t="n">
        <x:v>40608.40138888889</x:v>
      </x:c>
      <x:c r="E2174" s="25" t="n">
        <x:v>40839.458333333336</x:v>
      </x:c>
      <x:c r="F2174" s="2" t="n">
        <x:v>48</x:v>
      </x:c>
      <x:c r="G2174" s="2" t="n">
        <x:v>4</x:v>
      </x:c>
      <x:c r="H2174" s="11" t="n">
        <x:v>673.26</x:v>
      </x:c>
      <x:c r="I2174" s="2" t="n">
        <x:v>4</x:v>
      </x:c>
      <x:c r="J2174" s="2" t="n">
        <x:v>3</x:v>
      </x:c>
      <x:c r="K2174" s="2" t="n">
        <x:v>3</x:v>
      </x:c>
      <x:c r="L2174" s="2" t="str">
        <x:v>Loyal</x:v>
      </x:c>
    </x:row>
    <x:row r="2175" ht="22" customHeight="1">
      <x:c r="A2175" s="2"/>
      <x:c r="B2175" s="2" t="str">
        <x:v>14505</x:v>
      </x:c>
      <x:c r="C2175" s="2" t="str">
        <x:v>United Kingdom</x:v>
      </x:c>
      <x:c r="D2175" s="25" t="n">
        <x:v>40156.40833333333</x:v>
      </x:c>
      <x:c r="E2175" s="25" t="n">
        <x:v>40869.447916666664</x:v>
      </x:c>
      <x:c r="F2175" s="2" t="n">
        <x:v>18</x:v>
      </x:c>
      <x:c r="G2175" s="2" t="n">
        <x:v>19</x:v>
      </x:c>
      <x:c r="H2175" s="11" t="n">
        <x:v>12001.84</x:v>
      </x:c>
      <x:c r="I2175" s="2" t="n">
        <x:v>5</x:v>
      </x:c>
      <x:c r="J2175" s="2" t="n">
        <x:v>5</x:v>
      </x:c>
      <x:c r="K2175" s="2" t="n">
        <x:v>5</x:v>
      </x:c>
      <x:c r="L2175" s="2" t="str">
        <x:v>Champions</x:v>
      </x:c>
    </x:row>
    <x:row r="2176" ht="22" customHeight="1">
      <x:c r="A2176" s="2"/>
      <x:c r="B2176" s="2" t="str">
        <x:v>14506</x:v>
      </x:c>
      <x:c r="C2176" s="2" t="str">
        <x:v>United Kingdom</x:v>
      </x:c>
      <x:c r="D2176" s="25" t="n">
        <x:v>40287.14375</x:v>
      </x:c>
      <x:c r="E2176" s="25" t="n">
        <x:v>40869.33472222222</x:v>
      </x:c>
      <x:c r="F2176" s="2" t="n">
        <x:v>18</x:v>
      </x:c>
      <x:c r="G2176" s="2" t="n">
        <x:v>7</x:v>
      </x:c>
      <x:c r="H2176" s="11" t="n">
        <x:v>3020.97</x:v>
      </x:c>
      <x:c r="I2176" s="2" t="n">
        <x:v>5</x:v>
      </x:c>
      <x:c r="J2176" s="2" t="n">
        <x:v>4</x:v>
      </x:c>
      <x:c r="K2176" s="2" t="n">
        <x:v>5</x:v>
      </x:c>
      <x:c r="L2176" s="2" t="str">
        <x:v>Champions</x:v>
      </x:c>
    </x:row>
    <x:row r="2177" ht="22" customHeight="1">
      <x:c r="A2177" s="2"/>
      <x:c r="B2177" s="2" t="str">
        <x:v>14507</x:v>
      </x:c>
      <x:c r="C2177" s="2" t="str">
        <x:v>United Kingdom</x:v>
      </x:c>
      <x:c r="D2177" s="25" t="n">
        <x:v>40157.50277777778</x:v>
      </x:c>
      <x:c r="E2177" s="25" t="n">
        <x:v>40863.30625</x:v>
      </x:c>
      <x:c r="F2177" s="2" t="n">
        <x:v>24</x:v>
      </x:c>
      <x:c r="G2177" s="2" t="n">
        <x:v>11</x:v>
      </x:c>
      <x:c r="H2177" s="11" t="n">
        <x:v>3284.43</x:v>
      </x:c>
      <x:c r="I2177" s="2" t="n">
        <x:v>4</x:v>
      </x:c>
      <x:c r="J2177" s="2" t="n">
        <x:v>5</x:v>
      </x:c>
      <x:c r="K2177" s="2" t="n">
        <x:v>5</x:v>
      </x:c>
      <x:c r="L2177" s="2" t="str">
        <x:v>Champions</x:v>
      </x:c>
    </x:row>
    <x:row r="2178" ht="22" customHeight="1">
      <x:c r="A2178" s="2"/>
      <x:c r="B2178" s="2" t="str">
        <x:v>14508</x:v>
      </x:c>
      <x:c r="C2178" s="2" t="str">
        <x:v>United Kingdom</x:v>
      </x:c>
      <x:c r="D2178" s="25" t="n">
        <x:v>40346.33472222222</x:v>
      </x:c>
      <x:c r="E2178" s="25" t="n">
        <x:v>40864.61666666667</x:v>
      </x:c>
      <x:c r="F2178" s="2" t="n">
        <x:v>23</x:v>
      </x:c>
      <x:c r="G2178" s="2" t="n">
        <x:v>5</x:v>
      </x:c>
      <x:c r="H2178" s="11" t="n">
        <x:v>874.94</x:v>
      </x:c>
      <x:c r="I2178" s="2" t="n">
        <x:v>4</x:v>
      </x:c>
      <x:c r="J2178" s="2" t="n">
        <x:v>4</x:v>
      </x:c>
      <x:c r="K2178" s="2" t="n">
        <x:v>3</x:v>
      </x:c>
      <x:c r="L2178" s="2" t="str">
        <x:v>Loyal</x:v>
      </x:c>
    </x:row>
    <x:row r="2179" ht="22" customHeight="1">
      <x:c r="A2179" s="2"/>
      <x:c r="B2179" s="2" t="str">
        <x:v>14509</x:v>
      </x:c>
      <x:c r="C2179" s="2" t="str">
        <x:v>United Kingdom</x:v>
      </x:c>
      <x:c r="D2179" s="25" t="n">
        <x:v>40352.347916666666</x:v>
      </x:c>
      <x:c r="E2179" s="25" t="n">
        <x:v>40352.347916666666</x:v>
      </x:c>
      <x:c r="F2179" s="2" t="n">
        <x:v>535</x:v>
      </x:c>
      <x:c r="G2179" s="2" t="n">
        <x:v>1</x:v>
      </x:c>
      <x:c r="H2179" s="11" t="n">
        <x:v>110.95</x:v>
      </x:c>
      <x:c r="I2179" s="2" t="n">
        <x:v>1</x:v>
      </x:c>
      <x:c r="J2179" s="2" t="n">
        <x:v>1</x:v>
      </x:c>
      <x:c r="K2179" s="2" t="n">
        <x:v>1</x:v>
      </x:c>
      <x:c r="L2179" s="2" t="str">
        <x:v>Hibernating</x:v>
      </x:c>
    </x:row>
    <x:row r="2180" ht="22" customHeight="1">
      <x:c r="A2180" s="2"/>
      <x:c r="B2180" s="2" t="str">
        <x:v>14510</x:v>
      </x:c>
      <x:c r="C2180" s="2" t="str">
        <x:v>United Kingdom</x:v>
      </x:c>
      <x:c r="D2180" s="25" t="n">
        <x:v>40450.35763888889</x:v>
      </x:c>
      <x:c r="E2180" s="25" t="n">
        <x:v>40511.32361111111</x:v>
      </x:c>
      <x:c r="F2180" s="2" t="n">
        <x:v>376</x:v>
      </x:c>
      <x:c r="G2180" s="2" t="n">
        <x:v>3</x:v>
      </x:c>
      <x:c r="H2180" s="11" t="n">
        <x:v>1007.28</x:v>
      </x:c>
      <x:c r="I2180" s="2" t="n">
        <x:v>2</x:v>
      </x:c>
      <x:c r="J2180" s="2" t="n">
        <x:v>3</x:v>
      </x:c>
      <x:c r="K2180" s="2" t="n">
        <x:v>3</x:v>
      </x:c>
      <x:c r="L2180" s="2" t="str">
        <x:v>At risk</x:v>
      </x:c>
    </x:row>
    <x:row r="2181" ht="22" customHeight="1">
      <x:c r="A2181" s="2"/>
      <x:c r="B2181" s="2" t="str">
        <x:v>14511</x:v>
      </x:c>
      <x:c r="C2181" s="2" t="str">
        <x:v>United Kingdom</x:v>
      </x:c>
      <x:c r="D2181" s="25" t="n">
        <x:v>40753.30069444444</x:v>
      </x:c>
      <x:c r="E2181" s="25" t="n">
        <x:v>40875.50347222222</x:v>
      </x:c>
      <x:c r="F2181" s="2" t="n">
        <x:v>12</x:v>
      </x:c>
      <x:c r="G2181" s="2" t="n">
        <x:v>5</x:v>
      </x:c>
      <x:c r="H2181" s="11" t="n">
        <x:v>1314.81</x:v>
      </x:c>
      <x:c r="I2181" s="2" t="n">
        <x:v>5</x:v>
      </x:c>
      <x:c r="J2181" s="2" t="n">
        <x:v>4</x:v>
      </x:c>
      <x:c r="K2181" s="2" t="n">
        <x:v>4</x:v>
      </x:c>
      <x:c r="L2181" s="2" t="str">
        <x:v>Champions</x:v>
      </x:c>
    </x:row>
    <x:row r="2182" ht="22" customHeight="1">
      <x:c r="A2182" s="2"/>
      <x:c r="B2182" s="2" t="str">
        <x:v>14512</x:v>
      </x:c>
      <x:c r="C2182" s="2" t="str">
        <x:v>United Kingdom</x:v>
      </x:c>
      <x:c r="D2182" s="25" t="n">
        <x:v>40154.36736111111</x:v>
      </x:c>
      <x:c r="E2182" s="25" t="n">
        <x:v>40699.31875</x:v>
      </x:c>
      <x:c r="F2182" s="2" t="n">
        <x:v>188</x:v>
      </x:c>
      <x:c r="G2182" s="2" t="n">
        <x:v>7</x:v>
      </x:c>
      <x:c r="H2182" s="11" t="n">
        <x:v>1223.47</x:v>
      </x:c>
      <x:c r="I2182" s="2" t="n">
        <x:v>3</x:v>
      </x:c>
      <x:c r="J2182" s="2" t="n">
        <x:v>4</x:v>
      </x:c>
      <x:c r="K2182" s="2" t="n">
        <x:v>3</x:v>
      </x:c>
      <x:c r="L2182" s="2" t="str">
        <x:v>Loyal</x:v>
      </x:c>
    </x:row>
    <x:row r="2183" ht="22" customHeight="1">
      <x:c r="A2183" s="2"/>
      <x:c r="B2183" s="2" t="str">
        <x:v>14513</x:v>
      </x:c>
      <x:c r="C2183" s="2" t="str">
        <x:v>United Kingdom</x:v>
      </x:c>
      <x:c r="D2183" s="25" t="n">
        <x:v>40318.53958333333</x:v>
      </x:c>
      <x:c r="E2183" s="25" t="n">
        <x:v>40786.26736111111</x:v>
      </x:c>
      <x:c r="F2183" s="2" t="n">
        <x:v>101</x:v>
      </x:c>
      <x:c r="G2183" s="2" t="n">
        <x:v>6</x:v>
      </x:c>
      <x:c r="H2183" s="11" t="n">
        <x:v>788.01</x:v>
      </x:c>
      <x:c r="I2183" s="2" t="n">
        <x:v>3</x:v>
      </x:c>
      <x:c r="J2183" s="2" t="n">
        <x:v>4</x:v>
      </x:c>
      <x:c r="K2183" s="2" t="n">
        <x:v>3</x:v>
      </x:c>
      <x:c r="L2183" s="2" t="str">
        <x:v>Loyal</x:v>
      </x:c>
    </x:row>
    <x:row r="2184" ht="22" customHeight="1">
      <x:c r="A2184" s="2"/>
      <x:c r="B2184" s="2" t="str">
        <x:v>14514</x:v>
      </x:c>
      <x:c r="C2184" s="2" t="str">
        <x:v>United Kingdom</x:v>
      </x:c>
      <x:c r="D2184" s="25" t="n">
        <x:v>40160.347916666666</x:v>
      </x:c>
      <x:c r="E2184" s="25" t="n">
        <x:v>40825.461805555555</x:v>
      </x:c>
      <x:c r="F2184" s="2" t="n">
        <x:v>62</x:v>
      </x:c>
      <x:c r="G2184" s="2" t="n">
        <x:v>9</x:v>
      </x:c>
      <x:c r="H2184" s="11" t="n">
        <x:v>4598.98</x:v>
      </x:c>
      <x:c r="I2184" s="2" t="n">
        <x:v>3</x:v>
      </x:c>
      <x:c r="J2184" s="2" t="n">
        <x:v>5</x:v>
      </x:c>
      <x:c r="K2184" s="2" t="n">
        <x:v>5</x:v>
      </x:c>
      <x:c r="L2184" s="2" t="str">
        <x:v>Loyal</x:v>
      </x:c>
    </x:row>
    <x:row r="2185" ht="22" customHeight="1">
      <x:c r="A2185" s="2"/>
      <x:c r="B2185" s="2" t="str">
        <x:v>14515</x:v>
      </x:c>
      <x:c r="C2185" s="2" t="str">
        <x:v>United Kingdom</x:v>
      </x:c>
      <x:c r="D2185" s="25" t="n">
        <x:v>40336.31736111111</x:v>
      </x:c>
      <x:c r="E2185" s="25" t="n">
        <x:v>40869.27569444444</x:v>
      </x:c>
      <x:c r="F2185" s="2" t="n">
        <x:v>18</x:v>
      </x:c>
      <x:c r="G2185" s="2" t="n">
        <x:v>12</x:v>
      </x:c>
      <x:c r="H2185" s="11" t="n">
        <x:v>3749.26</x:v>
      </x:c>
      <x:c r="I2185" s="2" t="n">
        <x:v>5</x:v>
      </x:c>
      <x:c r="J2185" s="2" t="n">
        <x:v>5</x:v>
      </x:c>
      <x:c r="K2185" s="2" t="n">
        <x:v>5</x:v>
      </x:c>
      <x:c r="L2185" s="2" t="str">
        <x:v>Champions</x:v>
      </x:c>
    </x:row>
    <x:row r="2186" ht="22" customHeight="1">
      <x:c r="A2186" s="2"/>
      <x:c r="B2186" s="2" t="str">
        <x:v>14516</x:v>
      </x:c>
      <x:c r="C2186" s="2" t="str">
        <x:v>United Kingdom</x:v>
      </x:c>
      <x:c r="D2186" s="25" t="n">
        <x:v>40370.37986111111</x:v>
      </x:c>
      <x:c r="E2186" s="25" t="n">
        <x:v>40370.37986111111</x:v>
      </x:c>
      <x:c r="F2186" s="2" t="n">
        <x:v>517</x:v>
      </x:c>
      <x:c r="G2186" s="2" t="n">
        <x:v>1</x:v>
      </x:c>
      <x:c r="H2186" s="11" t="n">
        <x:v>163.92</x:v>
      </x:c>
      <x:c r="I2186" s="2" t="n">
        <x:v>1</x:v>
      </x:c>
      <x:c r="J2186" s="2" t="n">
        <x:v>1</x:v>
      </x:c>
      <x:c r="K2186" s="2" t="n">
        <x:v>1</x:v>
      </x:c>
      <x:c r="L2186" s="2" t="str">
        <x:v>Hibernating</x:v>
      </x:c>
    </x:row>
    <x:row r="2187" ht="22" customHeight="1">
      <x:c r="A2187" s="2"/>
      <x:c r="B2187" s="2" t="str">
        <x:v>14517</x:v>
      </x:c>
      <x:c r="C2187" s="2" t="str">
        <x:v>United Kingdom</x:v>
      </x:c>
      <x:c r="D2187" s="25" t="n">
        <x:v>40745.27916666667</x:v>
      </x:c>
      <x:c r="E2187" s="25" t="n">
        <x:v>40853.38888888889</x:v>
      </x:c>
      <x:c r="F2187" s="2" t="n">
        <x:v>34</x:v>
      </x:c>
      <x:c r="G2187" s="2" t="n">
        <x:v>2</x:v>
      </x:c>
      <x:c r="H2187" s="11" t="n">
        <x:v>330.45</x:v>
      </x:c>
      <x:c r="I2187" s="2" t="n">
        <x:v>4</x:v>
      </x:c>
      <x:c r="J2187" s="2" t="n">
        <x:v>2</x:v>
      </x:c>
      <x:c r="K2187" s="2" t="n">
        <x:v>2</x:v>
      </x:c>
      <x:c r="L2187" s="2" t="str">
        <x:v>Recent light buyers</x:v>
      </x:c>
    </x:row>
    <x:row r="2188" ht="22" customHeight="1">
      <x:c r="A2188" s="2"/>
      <x:c r="B2188" s="2" t="str">
        <x:v>14518</x:v>
      </x:c>
      <x:c r="C2188" s="2" t="str">
        <x:v>United Kingdom</x:v>
      </x:c>
      <x:c r="D2188" s="25" t="n">
        <x:v>40822.404861111114</x:v>
      </x:c>
      <x:c r="E2188" s="25" t="n">
        <x:v>40822.404861111114</x:v>
      </x:c>
      <x:c r="F2188" s="2" t="n">
        <x:v>65</x:v>
      </x:c>
      <x:c r="G2188" s="2" t="n">
        <x:v>1</x:v>
      </x:c>
      <x:c r="H2188" s="11" t="n">
        <x:v>174.37</x:v>
      </x:c>
      <x:c r="I2188" s="2" t="n">
        <x:v>3</x:v>
      </x:c>
      <x:c r="J2188" s="2" t="n">
        <x:v>1</x:v>
      </x:c>
      <x:c r="K2188" s="2" t="n">
        <x:v>1</x:v>
      </x:c>
      <x:c r="L2188" s="2" t="str">
        <x:v>Developing</x:v>
      </x:c>
    </x:row>
    <x:row r="2189" ht="22" customHeight="1">
      <x:c r="A2189" s="2"/>
      <x:c r="B2189" s="2" t="str">
        <x:v>14519</x:v>
      </x:c>
      <x:c r="C2189" s="2" t="str">
        <x:v>United Kingdom</x:v>
      </x:c>
      <x:c r="D2189" s="25" t="n">
        <x:v>40158.23611111111</x:v>
      </x:c>
      <x:c r="E2189" s="25" t="n">
        <x:v>40203.2625</x:v>
      </x:c>
      <x:c r="F2189" s="2" t="n">
        <x:v>684</x:v>
      </x:c>
      <x:c r="G2189" s="2" t="n">
        <x:v>2</x:v>
      </x:c>
      <x:c r="H2189" s="11" t="n">
        <x:v>206.09</x:v>
      </x:c>
      <x:c r="I2189" s="2" t="n">
        <x:v>1</x:v>
      </x:c>
      <x:c r="J2189" s="2" t="n">
        <x:v>2</x:v>
      </x:c>
      <x:c r="K2189" s="2" t="n">
        <x:v>1</x:v>
      </x:c>
      <x:c r="L2189" s="2" t="str">
        <x:v>Hibernating</x:v>
      </x:c>
    </x:row>
    <x:row r="2190" ht="22" customHeight="1">
      <x:c r="A2190" s="2"/>
      <x:c r="B2190" s="2" t="str">
        <x:v>14520</x:v>
      </x:c>
      <x:c r="C2190" s="2" t="str">
        <x:v>United Kingdom</x:v>
      </x:c>
      <x:c r="D2190" s="25" t="n">
        <x:v>40596.177083333336</x:v>
      </x:c>
      <x:c r="E2190" s="25" t="n">
        <x:v>40885.19861111111</x:v>
      </x:c>
      <x:c r="F2190" s="2" t="n">
        <x:v>2</x:v>
      </x:c>
      <x:c r="G2190" s="2" t="n">
        <x:v>2</x:v>
      </x:c>
      <x:c r="H2190" s="11" t="n">
        <x:v>270.6</x:v>
      </x:c>
      <x:c r="I2190" s="2" t="n">
        <x:v>5</x:v>
      </x:c>
      <x:c r="J2190" s="2" t="n">
        <x:v>2</x:v>
      </x:c>
      <x:c r="K2190" s="2" t="n">
        <x:v>1</x:v>
      </x:c>
      <x:c r="L2190" s="2" t="str">
        <x:v>Recent light buyers</x:v>
      </x:c>
    </x:row>
    <x:row r="2191" ht="22" customHeight="1">
      <x:c r="A2191" s="2"/>
      <x:c r="B2191" s="2" t="str">
        <x:v>14521</x:v>
      </x:c>
      <x:c r="C2191" s="2" t="str">
        <x:v>United Kingdom</x:v>
      </x:c>
      <x:c r="D2191" s="25" t="n">
        <x:v>40395.48263888889</x:v>
      </x:c>
      <x:c r="E2191" s="25" t="n">
        <x:v>40395.48263888889</x:v>
      </x:c>
      <x:c r="F2191" s="2" t="n">
        <x:v>492</x:v>
      </x:c>
      <x:c r="G2191" s="2" t="n">
        <x:v>1</x:v>
      </x:c>
      <x:c r="H2191" s="11" t="n">
        <x:v>199.45</x:v>
      </x:c>
      <x:c r="I2191" s="2" t="n">
        <x:v>1</x:v>
      </x:c>
      <x:c r="J2191" s="2" t="n">
        <x:v>1</x:v>
      </x:c>
      <x:c r="K2191" s="2" t="n">
        <x:v>1</x:v>
      </x:c>
      <x:c r="L2191" s="2" t="str">
        <x:v>Hibernating</x:v>
      </x:c>
    </x:row>
    <x:row r="2192" ht="22" customHeight="1">
      <x:c r="A2192" s="2"/>
      <x:c r="B2192" s="2" t="str">
        <x:v>14522</x:v>
      </x:c>
      <x:c r="C2192" s="2" t="str">
        <x:v>United Kingdom</x:v>
      </x:c>
      <x:c r="D2192" s="25" t="n">
        <x:v>40202.37152777778</x:v>
      </x:c>
      <x:c r="E2192" s="25" t="n">
        <x:v>40862.35</x:v>
      </x:c>
      <x:c r="F2192" s="2" t="n">
        <x:v>25</x:v>
      </x:c>
      <x:c r="G2192" s="2" t="n">
        <x:v>8</x:v>
      </x:c>
      <x:c r="H2192" s="11" t="n">
        <x:v>1758.62</x:v>
      </x:c>
      <x:c r="I2192" s="2" t="n">
        <x:v>4</x:v>
      </x:c>
      <x:c r="J2192" s="2" t="n">
        <x:v>4</x:v>
      </x:c>
      <x:c r="K2192" s="2" t="n">
        <x:v>4</x:v>
      </x:c>
      <x:c r="L2192" s="2" t="str">
        <x:v>Champions</x:v>
      </x:c>
    </x:row>
    <x:row r="2193" ht="22" customHeight="1">
      <x:c r="A2193" s="2"/>
      <x:c r="B2193" s="2" t="str">
        <x:v>14523</x:v>
      </x:c>
      <x:c r="C2193" s="2" t="str">
        <x:v>United Kingdom</x:v>
      </x:c>
      <x:c r="D2193" s="25" t="n">
        <x:v>40778.342361111114</x:v>
      </x:c>
      <x:c r="E2193" s="25" t="n">
        <x:v>40778.342361111114</x:v>
      </x:c>
      <x:c r="F2193" s="2" t="n">
        <x:v>109</x:v>
      </x:c>
      <x:c r="G2193" s="2" t="n">
        <x:v>1</x:v>
      </x:c>
      <x:c r="H2193" s="11" t="n">
        <x:v>241.09</x:v>
      </x:c>
      <x:c r="I2193" s="2" t="n">
        <x:v>3</x:v>
      </x:c>
      <x:c r="J2193" s="2" t="n">
        <x:v>1</x:v>
      </x:c>
      <x:c r="K2193" s="2" t="n">
        <x:v>1</x:v>
      </x:c>
      <x:c r="L2193" s="2" t="str">
        <x:v>Developing</x:v>
      </x:c>
    </x:row>
    <x:row r="2194" ht="22" customHeight="1">
      <x:c r="A2194" s="2"/>
      <x:c r="B2194" s="2" t="str">
        <x:v>14524</x:v>
      </x:c>
      <x:c r="C2194" s="2" t="str">
        <x:v>United Kingdom</x:v>
      </x:c>
      <x:c r="D2194" s="25" t="n">
        <x:v>40470.28055555555</x:v>
      </x:c>
      <x:c r="E2194" s="25" t="n">
        <x:v>40855.31180555555</x:v>
      </x:c>
      <x:c r="F2194" s="2" t="n">
        <x:v>32</x:v>
      </x:c>
      <x:c r="G2194" s="2" t="n">
        <x:v>13</x:v>
      </x:c>
      <x:c r="H2194" s="11" t="n">
        <x:v>2933.71</x:v>
      </x:c>
      <x:c r="I2194" s="2" t="n">
        <x:v>4</x:v>
      </x:c>
      <x:c r="J2194" s="2" t="n">
        <x:v>5</x:v>
      </x:c>
      <x:c r="K2194" s="2" t="n">
        <x:v>5</x:v>
      </x:c>
      <x:c r="L2194" s="2" t="str">
        <x:v>Champions</x:v>
      </x:c>
    </x:row>
    <x:row r="2195" ht="22" customHeight="1">
      <x:c r="A2195" s="2"/>
      <x:c r="B2195" s="2" t="str">
        <x:v>14525</x:v>
      </x:c>
      <x:c r="C2195" s="2" t="str">
        <x:v>United Kingdom</x:v>
      </x:c>
      <x:c r="D2195" s="25" t="n">
        <x:v>40160.37569444445</x:v>
      </x:c>
      <x:c r="E2195" s="25" t="n">
        <x:v>40867.27569444444</x:v>
      </x:c>
      <x:c r="F2195" s="2" t="n">
        <x:v>20</x:v>
      </x:c>
      <x:c r="G2195" s="2" t="n">
        <x:v>17</x:v>
      </x:c>
      <x:c r="H2195" s="11" t="n">
        <x:v>8240.64</x:v>
      </x:c>
      <x:c r="I2195" s="2" t="n">
        <x:v>5</x:v>
      </x:c>
      <x:c r="J2195" s="2" t="n">
        <x:v>5</x:v>
      </x:c>
      <x:c r="K2195" s="2" t="n">
        <x:v>5</x:v>
      </x:c>
      <x:c r="L2195" s="2" t="str">
        <x:v>Champions</x:v>
      </x:c>
    </x:row>
    <x:row r="2196" ht="22" customHeight="1">
      <x:c r="A2196" s="2"/>
      <x:c r="B2196" s="2" t="str">
        <x:v>14526</x:v>
      </x:c>
      <x:c r="C2196" s="2" t="str">
        <x:v>United Kingdom</x:v>
      </x:c>
      <x:c r="D2196" s="25" t="n">
        <x:v>40497.35555555556</x:v>
      </x:c>
      <x:c r="E2196" s="25" t="n">
        <x:v>40497.35555555556</x:v>
      </x:c>
      <x:c r="F2196" s="2" t="n">
        <x:v>390</x:v>
      </x:c>
      <x:c r="G2196" s="2" t="n">
        <x:v>1</x:v>
      </x:c>
      <x:c r="H2196" s="11" t="n">
        <x:v>262.4</x:v>
      </x:c>
      <x:c r="I2196" s="2" t="n">
        <x:v>2</x:v>
      </x:c>
      <x:c r="J2196" s="2" t="n">
        <x:v>1</x:v>
      </x:c>
      <x:c r="K2196" s="2" t="n">
        <x:v>1</x:v>
      </x:c>
      <x:c r="L2196" s="2" t="str">
        <x:v>Hibernating</x:v>
      </x:c>
    </x:row>
    <x:row r="2197" ht="22" customHeight="1">
      <x:c r="A2197" s="2"/>
      <x:c r="B2197" s="2" t="str">
        <x:v>14527</x:v>
      </x:c>
      <x:c r="C2197" s="2" t="str">
        <x:v>United Kingdom</x:v>
      </x:c>
      <x:c r="D2197" s="25" t="n">
        <x:v>40149.29583333333</x:v>
      </x:c>
      <x:c r="E2197" s="25" t="n">
        <x:v>40884.30486111111</x:v>
      </x:c>
      <x:c r="F2197" s="2" t="n">
        <x:v>3</x:v>
      </x:c>
      <x:c r="G2197" s="2" t="n">
        <x:v>122</x:v>
      </x:c>
      <x:c r="H2197" s="11" t="n">
        <x:v>27274.97</x:v>
      </x:c>
      <x:c r="I2197" s="2" t="n">
        <x:v>5</x:v>
      </x:c>
      <x:c r="J2197" s="2" t="n">
        <x:v>5</x:v>
      </x:c>
      <x:c r="K2197" s="2" t="n">
        <x:v>5</x:v>
      </x:c>
      <x:c r="L2197" s="2" t="str">
        <x:v>Champions</x:v>
      </x:c>
    </x:row>
    <x:row r="2198" ht="22" customHeight="1">
      <x:c r="A2198" s="2"/>
      <x:c r="B2198" s="2" t="str">
        <x:v>14528</x:v>
      </x:c>
      <x:c r="C2198" s="2" t="str">
        <x:v>United Kingdom</x:v>
      </x:c>
      <x:c r="D2198" s="25" t="n">
        <x:v>40849.50625</x:v>
      </x:c>
      <x:c r="E2198" s="25" t="n">
        <x:v>40849.50625</x:v>
      </x:c>
      <x:c r="F2198" s="2" t="n">
        <x:v>38</x:v>
      </x:c>
      <x:c r="G2198" s="2" t="n">
        <x:v>1</x:v>
      </x:c>
      <x:c r="H2198" s="11" t="n">
        <x:v>364.22</x:v>
      </x:c>
      <x:c r="I2198" s="2" t="n">
        <x:v>4</x:v>
      </x:c>
      <x:c r="J2198" s="2" t="n">
        <x:v>1</x:v>
      </x:c>
      <x:c r="K2198" s="2" t="n">
        <x:v>2</x:v>
      </x:c>
      <x:c r="L2198" s="2" t="str">
        <x:v>Recent light buyers</x:v>
      </x:c>
    </x:row>
    <x:row r="2199" ht="22" customHeight="1">
      <x:c r="A2199" s="2"/>
      <x:c r="B2199" s="2" t="str">
        <x:v>14529</x:v>
      </x:c>
      <x:c r="C2199" s="2" t="str">
        <x:v>United Kingdom</x:v>
      </x:c>
      <x:c r="D2199" s="25" t="n">
        <x:v>40776.381944444445</x:v>
      </x:c>
      <x:c r="E2199" s="25" t="n">
        <x:v>40826.43541666667</x:v>
      </x:c>
      <x:c r="F2199" s="2" t="n">
        <x:v>61</x:v>
      </x:c>
      <x:c r="G2199" s="2" t="n">
        <x:v>3</x:v>
      </x:c>
      <x:c r="H2199" s="11" t="n">
        <x:v>620.04</x:v>
      </x:c>
      <x:c r="I2199" s="2" t="n">
        <x:v>3</x:v>
      </x:c>
      <x:c r="J2199" s="2" t="n">
        <x:v>3</x:v>
      </x:c>
      <x:c r="K2199" s="2" t="n">
        <x:v>3</x:v>
      </x:c>
      <x:c r="L2199" s="2" t="str">
        <x:v>Loyal</x:v>
      </x:c>
    </x:row>
    <x:row r="2200" ht="22" customHeight="1">
      <x:c r="A2200" s="2"/>
      <x:c r="B2200" s="2" t="str">
        <x:v>14530</x:v>
      </x:c>
      <x:c r="C2200" s="2" t="str">
        <x:v>United Kingdom</x:v>
      </x:c>
      <x:c r="D2200" s="25" t="n">
        <x:v>40199.26736111111</x:v>
      </x:c>
      <x:c r="E2200" s="25" t="n">
        <x:v>40861.23472222222</x:v>
      </x:c>
      <x:c r="F2200" s="2" t="n">
        <x:v>26</x:v>
      </x:c>
      <x:c r="G2200" s="2" t="n">
        <x:v>16</x:v>
      </x:c>
      <x:c r="H2200" s="11" t="n">
        <x:v>6197.4</x:v>
      </x:c>
      <x:c r="I2200" s="2" t="n">
        <x:v>4</x:v>
      </x:c>
      <x:c r="J2200" s="2" t="n">
        <x:v>5</x:v>
      </x:c>
      <x:c r="K2200" s="2" t="n">
        <x:v>5</x:v>
      </x:c>
      <x:c r="L2200" s="2" t="str">
        <x:v>Champions</x:v>
      </x:c>
    </x:row>
    <x:row r="2201" ht="22" customHeight="1">
      <x:c r="A2201" s="2"/>
      <x:c r="B2201" s="2" t="str">
        <x:v>14531</x:v>
      </x:c>
      <x:c r="C2201" s="2" t="str">
        <x:v>United Kingdom</x:v>
      </x:c>
      <x:c r="D2201" s="25" t="n">
        <x:v>40407.21944444445</x:v>
      </x:c>
      <x:c r="E2201" s="25" t="n">
        <x:v>40407.21944444445</x:v>
      </x:c>
      <x:c r="F2201" s="2" t="n">
        <x:v>480</x:v>
      </x:c>
      <x:c r="G2201" s="2" t="n">
        <x:v>1</x:v>
      </x:c>
      <x:c r="H2201" s="11" t="n">
        <x:v>376.34</x:v>
      </x:c>
      <x:c r="I2201" s="2" t="n">
        <x:v>1</x:v>
      </x:c>
      <x:c r="J2201" s="2" t="n">
        <x:v>1</x:v>
      </x:c>
      <x:c r="K2201" s="2" t="n">
        <x:v>2</x:v>
      </x:c>
      <x:c r="L2201" s="2" t="str">
        <x:v>Hibernating</x:v>
      </x:c>
    </x:row>
    <x:row r="2202" ht="22" customHeight="1">
      <x:c r="A2202" s="2"/>
      <x:c r="B2202" s="2" t="str">
        <x:v>14532</x:v>
      </x:c>
      <x:c r="C2202" s="2" t="str">
        <x:v>United Kingdom</x:v>
      </x:c>
      <x:c r="D2202" s="25" t="n">
        <x:v>40188.282638888886</x:v>
      </x:c>
      <x:c r="E2202" s="25" t="n">
        <x:v>40650.336805555555</x:v>
      </x:c>
      <x:c r="F2202" s="2" t="n">
        <x:v>237</x:v>
      </x:c>
      <x:c r="G2202" s="2" t="n">
        <x:v>11</x:v>
      </x:c>
      <x:c r="H2202" s="11" t="n">
        <x:v>3859.18</x:v>
      </x:c>
      <x:c r="I2202" s="2" t="n">
        <x:v>2</x:v>
      </x:c>
      <x:c r="J2202" s="2" t="n">
        <x:v>5</x:v>
      </x:c>
      <x:c r="K2202" s="2" t="n">
        <x:v>5</x:v>
      </x:c>
      <x:c r="L2202" s="2" t="str">
        <x:v>At risk</x:v>
      </x:c>
    </x:row>
    <x:row r="2203" ht="22" customHeight="1">
      <x:c r="A2203" s="2"/>
      <x:c r="B2203" s="2" t="str">
        <x:v>14533</x:v>
      </x:c>
      <x:c r="C2203" s="2" t="str">
        <x:v>United Kingdom</x:v>
      </x:c>
      <x:c r="D2203" s="25" t="n">
        <x:v>40276.30069444444</x:v>
      </x:c>
      <x:c r="E2203" s="25" t="n">
        <x:v>40862.29513888889</x:v>
      </x:c>
      <x:c r="F2203" s="2" t="n">
        <x:v>25</x:v>
      </x:c>
      <x:c r="G2203" s="2" t="n">
        <x:v>11</x:v>
      </x:c>
      <x:c r="H2203" s="11" t="n">
        <x:v>3466.37</x:v>
      </x:c>
      <x:c r="I2203" s="2" t="n">
        <x:v>4</x:v>
      </x:c>
      <x:c r="J2203" s="2" t="n">
        <x:v>5</x:v>
      </x:c>
      <x:c r="K2203" s="2" t="n">
        <x:v>5</x:v>
      </x:c>
      <x:c r="L2203" s="2" t="str">
        <x:v>Champions</x:v>
      </x:c>
    </x:row>
    <x:row r="2204" ht="22" customHeight="1">
      <x:c r="A2204" s="2"/>
      <x:c r="B2204" s="2" t="str">
        <x:v>14534</x:v>
      </x:c>
      <x:c r="C2204" s="2" t="str">
        <x:v>United Kingdom</x:v>
      </x:c>
      <x:c r="D2204" s="25" t="n">
        <x:v>40252.38611111111</x:v>
      </x:c>
      <x:c r="E2204" s="25" t="n">
        <x:v>40884.30486111111</x:v>
      </x:c>
      <x:c r="F2204" s="2" t="n">
        <x:v>3</x:v>
      </x:c>
      <x:c r="G2204" s="2" t="n">
        <x:v>26</x:v>
      </x:c>
      <x:c r="H2204" s="11" t="n">
        <x:v>6271.11</x:v>
      </x:c>
      <x:c r="I2204" s="2" t="n">
        <x:v>5</x:v>
      </x:c>
      <x:c r="J2204" s="2" t="n">
        <x:v>5</x:v>
      </x:c>
      <x:c r="K2204" s="2" t="n">
        <x:v>5</x:v>
      </x:c>
      <x:c r="L2204" s="2" t="str">
        <x:v>Champions</x:v>
      </x:c>
    </x:row>
    <x:row r="2205" ht="22" customHeight="1">
      <x:c r="A2205" s="2"/>
      <x:c r="B2205" s="2" t="str">
        <x:v>14535</x:v>
      </x:c>
      <x:c r="C2205" s="2" t="str">
        <x:v>United Kingdom</x:v>
      </x:c>
      <x:c r="D2205" s="25" t="n">
        <x:v>40233.41875</x:v>
      </x:c>
      <x:c r="E2205" s="25" t="n">
        <x:v>40826.44375</x:v>
      </x:c>
      <x:c r="F2205" s="2" t="n">
        <x:v>61</x:v>
      </x:c>
      <x:c r="G2205" s="2" t="n">
        <x:v>9</x:v>
      </x:c>
      <x:c r="H2205" s="11" t="n">
        <x:v>6030.73</x:v>
      </x:c>
      <x:c r="I2205" s="2" t="n">
        <x:v>3</x:v>
      </x:c>
      <x:c r="J2205" s="2" t="n">
        <x:v>5</x:v>
      </x:c>
      <x:c r="K2205" s="2" t="n">
        <x:v>5</x:v>
      </x:c>
      <x:c r="L2205" s="2" t="str">
        <x:v>Loyal</x:v>
      </x:c>
    </x:row>
    <x:row r="2206" ht="22" customHeight="1">
      <x:c r="A2206" s="2"/>
      <x:c r="B2206" s="2" t="str">
        <x:v>14536</x:v>
      </x:c>
      <x:c r="C2206" s="2" t="str">
        <x:v>United Kingdom</x:v>
      </x:c>
      <x:c r="D2206" s="25" t="n">
        <x:v>40627.30625</x:v>
      </x:c>
      <x:c r="E2206" s="25" t="n">
        <x:v>40627.30625</x:v>
      </x:c>
      <x:c r="F2206" s="2" t="n">
        <x:v>260</x:v>
      </x:c>
      <x:c r="G2206" s="2" t="n">
        <x:v>1</x:v>
      </x:c>
      <x:c r="H2206" s="11" t="n">
        <x:v>171.8</x:v>
      </x:c>
      <x:c r="I2206" s="2" t="n">
        <x:v>2</x:v>
      </x:c>
      <x:c r="J2206" s="2" t="n">
        <x:v>1</x:v>
      </x:c>
      <x:c r="K2206" s="2" t="n">
        <x:v>1</x:v>
      </x:c>
      <x:c r="L2206" s="2" t="str">
        <x:v>Hibernating</x:v>
      </x:c>
    </x:row>
    <x:row r="2207" ht="22" customHeight="1">
      <x:c r="A2207" s="2"/>
      <x:c r="B2207" s="2" t="str">
        <x:v>14537</x:v>
      </x:c>
      <x:c r="C2207" s="2" t="str">
        <x:v>United Kingdom</x:v>
      </x:c>
      <x:c r="D2207" s="25" t="n">
        <x:v>40263.36388888889</x:v>
      </x:c>
      <x:c r="E2207" s="25" t="n">
        <x:v>40829.245833333334</x:v>
      </x:c>
      <x:c r="F2207" s="2" t="n">
        <x:v>58</x:v>
      </x:c>
      <x:c r="G2207" s="2" t="n">
        <x:v>2</x:v>
      </x:c>
      <x:c r="H2207" s="11" t="n">
        <x:v>641.4</x:v>
      </x:c>
      <x:c r="I2207" s="2" t="n">
        <x:v>4</x:v>
      </x:c>
      <x:c r="J2207" s="2" t="n">
        <x:v>2</x:v>
      </x:c>
      <x:c r="K2207" s="2" t="n">
        <x:v>3</x:v>
      </x:c>
      <x:c r="L2207" s="2" t="str">
        <x:v>Recent light buyers</x:v>
      </x:c>
    </x:row>
    <x:row r="2208" ht="22" customHeight="1">
      <x:c r="A2208" s="2"/>
      <x:c r="B2208" s="2" t="str">
        <x:v>14538</x:v>
      </x:c>
      <x:c r="C2208" s="2" t="str">
        <x:v>United Kingdom</x:v>
      </x:c>
      <x:c r="D2208" s="25" t="n">
        <x:v>40203.44583333333</x:v>
      </x:c>
      <x:c r="E2208" s="25" t="n">
        <x:v>40822.22986111111</x:v>
      </x:c>
      <x:c r="F2208" s="2" t="n">
        <x:v>65</x:v>
      </x:c>
      <x:c r="G2208" s="2" t="n">
        <x:v>5</x:v>
      </x:c>
      <x:c r="H2208" s="11" t="n">
        <x:v>1370.84</x:v>
      </x:c>
      <x:c r="I2208" s="2" t="n">
        <x:v>3</x:v>
      </x:c>
      <x:c r="J2208" s="2" t="n">
        <x:v>4</x:v>
      </x:c>
      <x:c r="K2208" s="2" t="n">
        <x:v>4</x:v>
      </x:c>
      <x:c r="L2208" s="2" t="str">
        <x:v>Loyal</x:v>
      </x:c>
    </x:row>
    <x:row r="2209" ht="22" customHeight="1">
      <x:c r="A2209" s="2"/>
      <x:c r="B2209" s="2" t="str">
        <x:v>14539</x:v>
      </x:c>
      <x:c r="C2209" s="2" t="str">
        <x:v>United Kingdom</x:v>
      </x:c>
      <x:c r="D2209" s="25" t="n">
        <x:v>40842.29375</x:v>
      </x:c>
      <x:c r="E2209" s="25" t="n">
        <x:v>40871.20138888889</x:v>
      </x:c>
      <x:c r="F2209" s="2" t="n">
        <x:v>16</x:v>
      </x:c>
      <x:c r="G2209" s="2" t="n">
        <x:v>2</x:v>
      </x:c>
      <x:c r="H2209" s="11" t="n">
        <x:v>537.48</x:v>
      </x:c>
      <x:c r="I2209" s="2" t="n">
        <x:v>5</x:v>
      </x:c>
      <x:c r="J2209" s="2" t="n">
        <x:v>2</x:v>
      </x:c>
      <x:c r="K2209" s="2" t="n">
        <x:v>2</x:v>
      </x:c>
      <x:c r="L2209" s="2" t="str">
        <x:v>Recent light buyers</x:v>
      </x:c>
    </x:row>
    <x:row r="2210" ht="22" customHeight="1">
      <x:c r="A2210" s="2"/>
      <x:c r="B2210" s="2" t="str">
        <x:v>14540</x:v>
      </x:c>
      <x:c r="C2210" s="2" t="str">
        <x:v>United Kingdom</x:v>
      </x:c>
      <x:c r="D2210" s="25" t="n">
        <x:v>40154.333333333336</x:v>
      </x:c>
      <x:c r="E2210" s="25" t="n">
        <x:v>40877.21875</x:v>
      </x:c>
      <x:c r="F2210" s="2" t="n">
        <x:v>10</x:v>
      </x:c>
      <x:c r="G2210" s="2" t="n">
        <x:v>11</x:v>
      </x:c>
      <x:c r="H2210" s="11" t="n">
        <x:v>3795.34</x:v>
      </x:c>
      <x:c r="I2210" s="2" t="n">
        <x:v>5</x:v>
      </x:c>
      <x:c r="J2210" s="2" t="n">
        <x:v>5</x:v>
      </x:c>
      <x:c r="K2210" s="2" t="n">
        <x:v>5</x:v>
      </x:c>
      <x:c r="L2210" s="2" t="str">
        <x:v>Champions</x:v>
      </x:c>
    </x:row>
    <x:row r="2211" ht="22" customHeight="1">
      <x:c r="A2211" s="2"/>
      <x:c r="B2211" s="2" t="str">
        <x:v>14541</x:v>
      </x:c>
      <x:c r="C2211" s="2" t="str">
        <x:v>United Kingdom</x:v>
      </x:c>
      <x:c r="D2211" s="25" t="n">
        <x:v>40185.290972222225</x:v>
      </x:c>
      <x:c r="E2211" s="25" t="n">
        <x:v>40828.21388888889</x:v>
      </x:c>
      <x:c r="F2211" s="2" t="n">
        <x:v>59</x:v>
      </x:c>
      <x:c r="G2211" s="2" t="n">
        <x:v>14</x:v>
      </x:c>
      <x:c r="H2211" s="11" t="n">
        <x:v>2499.68</x:v>
      </x:c>
      <x:c r="I2211" s="2" t="n">
        <x:v>4</x:v>
      </x:c>
      <x:c r="J2211" s="2" t="n">
        <x:v>5</x:v>
      </x:c>
      <x:c r="K2211" s="2" t="n">
        <x:v>4</x:v>
      </x:c>
      <x:c r="L2211" s="2" t="str">
        <x:v>Champions</x:v>
      </x:c>
    </x:row>
    <x:row r="2212" ht="22" customHeight="1">
      <x:c r="A2212" s="2"/>
      <x:c r="B2212" s="2" t="str">
        <x:v>14542</x:v>
      </x:c>
      <x:c r="C2212" s="2" t="str">
        <x:v>United Kingdom</x:v>
      </x:c>
      <x:c r="D2212" s="25" t="n">
        <x:v>40701.138194444444</x:v>
      </x:c>
      <x:c r="E2212" s="25" t="n">
        <x:v>40701.138194444444</x:v>
      </x:c>
      <x:c r="F2212" s="2" t="n">
        <x:v>186</x:v>
      </x:c>
      <x:c r="G2212" s="2" t="n">
        <x:v>1</x:v>
      </x:c>
      <x:c r="H2212" s="11" t="n">
        <x:v>103.25</x:v>
      </x:c>
      <x:c r="I2212" s="2" t="n">
        <x:v>3</x:v>
      </x:c>
      <x:c r="J2212" s="2" t="n">
        <x:v>1</x:v>
      </x:c>
      <x:c r="K2212" s="2" t="n">
        <x:v>1</x:v>
      </x:c>
      <x:c r="L2212" s="2" t="str">
        <x:v>Developing</x:v>
      </x:c>
    </x:row>
    <x:row r="2213" ht="22" customHeight="1">
      <x:c r="A2213" s="2"/>
      <x:c r="B2213" s="2" t="str">
        <x:v>14543</x:v>
      </x:c>
      <x:c r="C2213" s="2" t="str">
        <x:v>United Kingdom</x:v>
      </x:c>
      <x:c r="D2213" s="25" t="n">
        <x:v>40148.36597222222</x:v>
      </x:c>
      <x:c r="E2213" s="25" t="n">
        <x:v>40858.322916666664</x:v>
      </x:c>
      <x:c r="F2213" s="2" t="n">
        <x:v>29</x:v>
      </x:c>
      <x:c r="G2213" s="2" t="n">
        <x:v>39</x:v>
      </x:c>
      <x:c r="H2213" s="11" t="n">
        <x:v>14906.77</x:v>
      </x:c>
      <x:c r="I2213" s="2" t="n">
        <x:v>4</x:v>
      </x:c>
      <x:c r="J2213" s="2" t="n">
        <x:v>5</x:v>
      </x:c>
      <x:c r="K2213" s="2" t="n">
        <x:v>5</x:v>
      </x:c>
      <x:c r="L2213" s="2" t="str">
        <x:v>Champions</x:v>
      </x:c>
    </x:row>
    <x:row r="2214" ht="22" customHeight="1">
      <x:c r="A2214" s="2"/>
      <x:c r="B2214" s="2" t="str">
        <x:v>14544</x:v>
      </x:c>
      <x:c r="C2214" s="2" t="str">
        <x:v>United Kingdom</x:v>
      </x:c>
      <x:c r="D2214" s="25" t="n">
        <x:v>40416.458333333336</x:v>
      </x:c>
      <x:c r="E2214" s="25" t="n">
        <x:v>40862.42083333333</x:v>
      </x:c>
      <x:c r="F2214" s="2" t="n">
        <x:v>25</x:v>
      </x:c>
      <x:c r="G2214" s="2" t="n">
        <x:v>3</x:v>
      </x:c>
      <x:c r="H2214" s="11" t="n">
        <x:v>2982.43</x:v>
      </x:c>
      <x:c r="I2214" s="2" t="n">
        <x:v>4</x:v>
      </x:c>
      <x:c r="J2214" s="2" t="n">
        <x:v>3</x:v>
      </x:c>
      <x:c r="K2214" s="2" t="n">
        <x:v>5</x:v>
      </x:c>
      <x:c r="L2214" s="2" t="str">
        <x:v>Loyal</x:v>
      </x:c>
    </x:row>
    <x:row r="2215" ht="22" customHeight="1">
      <x:c r="A2215" s="2"/>
      <x:c r="B2215" s="2" t="str">
        <x:v>14545</x:v>
      </x:c>
      <x:c r="C2215" s="2" t="str">
        <x:v>United Kingdom</x:v>
      </x:c>
      <x:c r="D2215" s="25" t="n">
        <x:v>40212.43263888889</x:v>
      </x:c>
      <x:c r="E2215" s="25" t="n">
        <x:v>40212.43263888889</x:v>
      </x:c>
      <x:c r="F2215" s="2" t="n">
        <x:v>675</x:v>
      </x:c>
      <x:c r="G2215" s="2" t="n">
        <x:v>1</x:v>
      </x:c>
      <x:c r="H2215" s="11" t="n">
        <x:v>349.25</x:v>
      </x:c>
      <x:c r="I2215" s="2" t="n">
        <x:v>1</x:v>
      </x:c>
      <x:c r="J2215" s="2" t="n">
        <x:v>1</x:v>
      </x:c>
      <x:c r="K2215" s="2" t="n">
        <x:v>2</x:v>
      </x:c>
      <x:c r="L2215" s="2" t="str">
        <x:v>Hibernating</x:v>
      </x:c>
    </x:row>
    <x:row r="2216" ht="22" customHeight="1">
      <x:c r="A2216" s="2"/>
      <x:c r="B2216" s="2" t="str">
        <x:v>14546</x:v>
      </x:c>
      <x:c r="C2216" s="2" t="str">
        <x:v>United Kingdom</x:v>
      </x:c>
      <x:c r="D2216" s="25" t="n">
        <x:v>40153.34027777778</x:v>
      </x:c>
      <x:c r="E2216" s="25" t="n">
        <x:v>40881.333333333336</x:v>
      </x:c>
      <x:c r="F2216" s="2" t="n">
        <x:v>6</x:v>
      </x:c>
      <x:c r="G2216" s="2" t="n">
        <x:v>11</x:v>
      </x:c>
      <x:c r="H2216" s="11" t="n">
        <x:v>5197.9</x:v>
      </x:c>
      <x:c r="I2216" s="2" t="n">
        <x:v>5</x:v>
      </x:c>
      <x:c r="J2216" s="2" t="n">
        <x:v>5</x:v>
      </x:c>
      <x:c r="K2216" s="2" t="n">
        <x:v>5</x:v>
      </x:c>
      <x:c r="L2216" s="2" t="str">
        <x:v>Champions</x:v>
      </x:c>
    </x:row>
    <x:row r="2217" ht="22" customHeight="1">
      <x:c r="A2217" s="2"/>
      <x:c r="B2217" s="2" t="str">
        <x:v>14547</x:v>
      </x:c>
      <x:c r="C2217" s="2" t="str">
        <x:v>United Kingdom</x:v>
      </x:c>
      <x:c r="D2217" s="25" t="n">
        <x:v>40832.399305555555</x:v>
      </x:c>
      <x:c r="E2217" s="25" t="n">
        <x:v>40883.254166666666</x:v>
      </x:c>
      <x:c r="F2217" s="2" t="n">
        <x:v>4</x:v>
      </x:c>
      <x:c r="G2217" s="2" t="n">
        <x:v>8</x:v>
      </x:c>
      <x:c r="H2217" s="11" t="n">
        <x:v>4007.54</x:v>
      </x:c>
      <x:c r="I2217" s="2" t="n">
        <x:v>5</x:v>
      </x:c>
      <x:c r="J2217" s="2" t="n">
        <x:v>4</x:v>
      </x:c>
      <x:c r="K2217" s="2" t="n">
        <x:v>5</x:v>
      </x:c>
      <x:c r="L2217" s="2" t="str">
        <x:v>Champions</x:v>
      </x:c>
    </x:row>
    <x:row r="2218" ht="22" customHeight="1">
      <x:c r="A2218" s="2"/>
      <x:c r="B2218" s="2" t="str">
        <x:v>14548</x:v>
      </x:c>
      <x:c r="C2218" s="2" t="str">
        <x:v>United Kingdom</x:v>
      </x:c>
      <x:c r="D2218" s="25" t="n">
        <x:v>40153.375</x:v>
      </x:c>
      <x:c r="E2218" s="25" t="n">
        <x:v>40736.30486111111</x:v>
      </x:c>
      <x:c r="F2218" s="2" t="n">
        <x:v>151</x:v>
      </x:c>
      <x:c r="G2218" s="2" t="n">
        <x:v>9</x:v>
      </x:c>
      <x:c r="H2218" s="11" t="n">
        <x:v>2627.49</x:v>
      </x:c>
      <x:c r="I2218" s="2" t="n">
        <x:v>3</x:v>
      </x:c>
      <x:c r="J2218" s="2" t="n">
        <x:v>5</x:v>
      </x:c>
      <x:c r="K2218" s="2" t="n">
        <x:v>4</x:v>
      </x:c>
      <x:c r="L2218" s="2" t="str">
        <x:v>Loyal</x:v>
      </x:c>
    </x:row>
    <x:row r="2219" ht="22" customHeight="1">
      <x:c r="A2219" s="2"/>
      <x:c r="B2219" s="2" t="str">
        <x:v>14549</x:v>
      </x:c>
      <x:c r="C2219" s="2" t="str">
        <x:v>United Kingdom</x:v>
      </x:c>
      <x:c r="D2219" s="25" t="n">
        <x:v>40149.379166666666</x:v>
      </x:c>
      <x:c r="E2219" s="25" t="n">
        <x:v>40575.36597222222</x:v>
      </x:c>
      <x:c r="F2219" s="2" t="n">
        <x:v>312</x:v>
      </x:c>
      <x:c r="G2219" s="2" t="n">
        <x:v>4</x:v>
      </x:c>
      <x:c r="H2219" s="11" t="n">
        <x:v>916.55</x:v>
      </x:c>
      <x:c r="I2219" s="2" t="n">
        <x:v>2</x:v>
      </x:c>
      <x:c r="J2219" s="2" t="n">
        <x:v>3</x:v>
      </x:c>
      <x:c r="K2219" s="2" t="n">
        <x:v>3</x:v>
      </x:c>
      <x:c r="L2219" s="2" t="str">
        <x:v>At risk</x:v>
      </x:c>
    </x:row>
    <x:row r="2220" ht="22" customHeight="1">
      <x:c r="A2220" s="2"/>
      <x:c r="B2220" s="2" t="str">
        <x:v>14550</x:v>
      </x:c>
      <x:c r="C2220" s="2" t="str">
        <x:v>United Kingdom</x:v>
      </x:c>
      <x:c r="D2220" s="25" t="n">
        <x:v>40403.29513888889</x:v>
      </x:c>
      <x:c r="E2220" s="25" t="n">
        <x:v>40876.3</x:v>
      </x:c>
      <x:c r="F2220" s="2" t="n">
        <x:v>11</x:v>
      </x:c>
      <x:c r="G2220" s="2" t="n">
        <x:v>4</x:v>
      </x:c>
      <x:c r="H2220" s="11" t="n">
        <x:v>1353.31</x:v>
      </x:c>
      <x:c r="I2220" s="2" t="n">
        <x:v>5</x:v>
      </x:c>
      <x:c r="J2220" s="2" t="n">
        <x:v>3</x:v>
      </x:c>
      <x:c r="K2220" s="2" t="n">
        <x:v>4</x:v>
      </x:c>
      <x:c r="L2220" s="2" t="str">
        <x:v>Loyal</x:v>
      </x:c>
    </x:row>
    <x:row r="2221" ht="22" customHeight="1">
      <x:c r="A2221" s="2"/>
      <x:c r="B2221" s="2" t="str">
        <x:v>14551</x:v>
      </x:c>
      <x:c r="C2221" s="2" t="str">
        <x:v>United Kingdom</x:v>
      </x:c>
      <x:c r="D2221" s="25" t="n">
        <x:v>40205.29583333333</x:v>
      </x:c>
      <x:c r="E2221" s="25" t="n">
        <x:v>40868.35833333333</x:v>
      </x:c>
      <x:c r="F2221" s="2" t="n">
        <x:v>19</x:v>
      </x:c>
      <x:c r="G2221" s="2" t="n">
        <x:v>7</x:v>
      </x:c>
      <x:c r="H2221" s="11" t="n">
        <x:v>880.04</x:v>
      </x:c>
      <x:c r="I2221" s="2" t="n">
        <x:v>5</x:v>
      </x:c>
      <x:c r="J2221" s="2" t="n">
        <x:v>4</x:v>
      </x:c>
      <x:c r="K2221" s="2" t="n">
        <x:v>3</x:v>
      </x:c>
      <x:c r="L2221" s="2" t="str">
        <x:v>Loyal</x:v>
      </x:c>
    </x:row>
    <x:row r="2222" ht="22" customHeight="1">
      <x:c r="A2222" s="2"/>
      <x:c r="B2222" s="2" t="str">
        <x:v>14552</x:v>
      </x:c>
      <x:c r="C2222" s="2" t="str">
        <x:v>United Kingdom</x:v>
      </x:c>
      <x:c r="D2222" s="25" t="n">
        <x:v>40294.36388888889</x:v>
      </x:c>
      <x:c r="E2222" s="25" t="n">
        <x:v>40735.325694444444</x:v>
      </x:c>
      <x:c r="F2222" s="2" t="n">
        <x:v>152</x:v>
      </x:c>
      <x:c r="G2222" s="2" t="n">
        <x:v>3</x:v>
      </x:c>
      <x:c r="H2222" s="11" t="n">
        <x:v>511.28</x:v>
      </x:c>
      <x:c r="I2222" s="2" t="n">
        <x:v>3</x:v>
      </x:c>
      <x:c r="J2222" s="2" t="n">
        <x:v>3</x:v>
      </x:c>
      <x:c r="K2222" s="2" t="n">
        <x:v>2</x:v>
      </x:c>
      <x:c r="L2222" s="2" t="str">
        <x:v>Loyal</x:v>
      </x:c>
    </x:row>
    <x:row r="2223" ht="22" customHeight="1">
      <x:c r="A2223" s="2"/>
      <x:c r="B2223" s="2" t="str">
        <x:v>14553</x:v>
      </x:c>
      <x:c r="C2223" s="2" t="str">
        <x:v>United Kingdom</x:v>
      </x:c>
      <x:c r="D2223" s="25" t="n">
        <x:v>40377.29652777778</x:v>
      </x:c>
      <x:c r="E2223" s="25" t="n">
        <x:v>40867.34722222222</x:v>
      </x:c>
      <x:c r="F2223" s="2" t="n">
        <x:v>20</x:v>
      </x:c>
      <x:c r="G2223" s="2" t="n">
        <x:v>9</x:v>
      </x:c>
      <x:c r="H2223" s="11" t="n">
        <x:v>1841.54</x:v>
      </x:c>
      <x:c r="I2223" s="2" t="n">
        <x:v>5</x:v>
      </x:c>
      <x:c r="J2223" s="2" t="n">
        <x:v>5</x:v>
      </x:c>
      <x:c r="K2223" s="2" t="n">
        <x:v>4</x:v>
      </x:c>
      <x:c r="L2223" s="2" t="str">
        <x:v>Champions</x:v>
      </x:c>
    </x:row>
    <x:row r="2224" ht="22" customHeight="1">
      <x:c r="A2224" s="2"/>
      <x:c r="B2224" s="2" t="str">
        <x:v>14554</x:v>
      </x:c>
      <x:c r="C2224" s="2" t="str">
        <x:v>United Kingdom</x:v>
      </x:c>
      <x:c r="D2224" s="25" t="n">
        <x:v>40834.33611111111</x:v>
      </x:c>
      <x:c r="E2224" s="25" t="n">
        <x:v>40876.48888888889</x:v>
      </x:c>
      <x:c r="F2224" s="2" t="n">
        <x:v>11</x:v>
      </x:c>
      <x:c r="G2224" s="2" t="n">
        <x:v>4</x:v>
      </x:c>
      <x:c r="H2224" s="11" t="n">
        <x:v>2381.04</x:v>
      </x:c>
      <x:c r="I2224" s="2" t="n">
        <x:v>5</x:v>
      </x:c>
      <x:c r="J2224" s="2" t="n">
        <x:v>3</x:v>
      </x:c>
      <x:c r="K2224" s="2" t="n">
        <x:v>4</x:v>
      </x:c>
      <x:c r="L2224" s="2" t="str">
        <x:v>Loyal</x:v>
      </x:c>
    </x:row>
    <x:row r="2225" ht="22" customHeight="1">
      <x:c r="A2225" s="2"/>
      <x:c r="B2225" s="2" t="str">
        <x:v>14555</x:v>
      </x:c>
      <x:c r="C2225" s="2" t="str">
        <x:v>United Kingdom</x:v>
      </x:c>
      <x:c r="D2225" s="25" t="n">
        <x:v>40165.277083333334</x:v>
      </x:c>
      <x:c r="E2225" s="25" t="n">
        <x:v>40829.475</x:v>
      </x:c>
      <x:c r="F2225" s="2" t="n">
        <x:v>58</x:v>
      </x:c>
      <x:c r="G2225" s="2" t="n">
        <x:v>6</x:v>
      </x:c>
      <x:c r="H2225" s="11" t="n">
        <x:v>2315.63</x:v>
      </x:c>
      <x:c r="I2225" s="2" t="n">
        <x:v>4</x:v>
      </x:c>
      <x:c r="J2225" s="2" t="n">
        <x:v>4</x:v>
      </x:c>
      <x:c r="K2225" s="2" t="n">
        <x:v>4</x:v>
      </x:c>
      <x:c r="L2225" s="2" t="str">
        <x:v>Champions</x:v>
      </x:c>
    </x:row>
    <x:row r="2226" ht="22" customHeight="1">
      <x:c r="A2226" s="2"/>
      <x:c r="B2226" s="2" t="str">
        <x:v>14556</x:v>
      </x:c>
      <x:c r="C2226" s="2" t="str">
        <x:v>United Kingdom</x:v>
      </x:c>
      <x:c r="D2226" s="25" t="n">
        <x:v>40198.28402777778</x:v>
      </x:c>
      <x:c r="E2226" s="25" t="n">
        <x:v>40290.41458333333</x:v>
      </x:c>
      <x:c r="F2226" s="2" t="n">
        <x:v>597</x:v>
      </x:c>
      <x:c r="G2226" s="2" t="n">
        <x:v>3</x:v>
      </x:c>
      <x:c r="H2226" s="11" t="n">
        <x:v>835.34</x:v>
      </x:c>
      <x:c r="I2226" s="2" t="n">
        <x:v>1</x:v>
      </x:c>
      <x:c r="J2226" s="2" t="n">
        <x:v>3</x:v>
      </x:c>
      <x:c r="K2226" s="2" t="n">
        <x:v>3</x:v>
      </x:c>
      <x:c r="L2226" s="2" t="str">
        <x:v>At risk</x:v>
      </x:c>
    </x:row>
    <x:row r="2227" ht="22" customHeight="1">
      <x:c r="A2227" s="2"/>
      <x:c r="B2227" s="2" t="str">
        <x:v>14557</x:v>
      </x:c>
      <x:c r="C2227" s="2" t="str">
        <x:v>United Kingdom</x:v>
      </x:c>
      <x:c r="D2227" s="25" t="n">
        <x:v>40801.45</x:v>
      </x:c>
      <x:c r="E2227" s="25" t="n">
        <x:v>40801.45</x:v>
      </x:c>
      <x:c r="F2227" s="2" t="n">
        <x:v>86</x:v>
      </x:c>
      <x:c r="G2227" s="2" t="n">
        <x:v>1</x:v>
      </x:c>
      <x:c r="H2227" s="11" t="n">
        <x:v>788.38</x:v>
      </x:c>
      <x:c r="I2227" s="2" t="n">
        <x:v>3</x:v>
      </x:c>
      <x:c r="J2227" s="2" t="n">
        <x:v>1</x:v>
      </x:c>
      <x:c r="K2227" s="2" t="n">
        <x:v>3</x:v>
      </x:c>
      <x:c r="L2227" s="2" t="str">
        <x:v>Developing</x:v>
      </x:c>
    </x:row>
    <x:row r="2228" ht="22" customHeight="1">
      <x:c r="A2228" s="2"/>
      <x:c r="B2228" s="2" t="str">
        <x:v>14558</x:v>
      </x:c>
      <x:c r="C2228" s="2" t="str">
        <x:v>United Kingdom</x:v>
      </x:c>
      <x:c r="D2228" s="25" t="n">
        <x:v>40155.236805555556</x:v>
      </x:c>
      <x:c r="E2228" s="25" t="n">
        <x:v>40232.32708333333</x:v>
      </x:c>
      <x:c r="F2228" s="2" t="n">
        <x:v>655</x:v>
      </x:c>
      <x:c r="G2228" s="2" t="n">
        <x:v>3</x:v>
      </x:c>
      <x:c r="H2228" s="11" t="n">
        <x:v>655.5</x:v>
      </x:c>
      <x:c r="I2228" s="2" t="n">
        <x:v>1</x:v>
      </x:c>
      <x:c r="J2228" s="2" t="n">
        <x:v>3</x:v>
      </x:c>
      <x:c r="K2228" s="2" t="n">
        <x:v>3</x:v>
      </x:c>
      <x:c r="L2228" s="2" t="str">
        <x:v>At risk</x:v>
      </x:c>
    </x:row>
    <x:row r="2229" ht="22" customHeight="1">
      <x:c r="A2229" s="2"/>
      <x:c r="B2229" s="2" t="str">
        <x:v>14559</x:v>
      </x:c>
      <x:c r="C2229" s="2" t="str">
        <x:v>United Kingdom</x:v>
      </x:c>
      <x:c r="D2229" s="25" t="n">
        <x:v>40496.461805555555</x:v>
      </x:c>
      <x:c r="E2229" s="25" t="n">
        <x:v>40496.461805555555</x:v>
      </x:c>
      <x:c r="F2229" s="2" t="n">
        <x:v>391</x:v>
      </x:c>
      <x:c r="G2229" s="2" t="n">
        <x:v>1</x:v>
      </x:c>
      <x:c r="H2229" s="11" t="n">
        <x:v>75.6</x:v>
      </x:c>
      <x:c r="I2229" s="2" t="n">
        <x:v>2</x:v>
      </x:c>
      <x:c r="J2229" s="2" t="n">
        <x:v>1</x:v>
      </x:c>
      <x:c r="K2229" s="2" t="n">
        <x:v>1</x:v>
      </x:c>
      <x:c r="L2229" s="2" t="str">
        <x:v>Hibernating</x:v>
      </x:c>
    </x:row>
    <x:row r="2230" ht="22" customHeight="1">
      <x:c r="A2230" s="2"/>
      <x:c r="B2230" s="2" t="str">
        <x:v>14560</x:v>
      </x:c>
      <x:c r="C2230" s="2" t="str">
        <x:v>United Kingdom</x:v>
      </x:c>
      <x:c r="D2230" s="25" t="n">
        <x:v>40149.21875</x:v>
      </x:c>
      <x:c r="E2230" s="25" t="n">
        <x:v>40879.43194444444</x:v>
      </x:c>
      <x:c r="F2230" s="2" t="n">
        <x:v>8</x:v>
      </x:c>
      <x:c r="G2230" s="2" t="n">
        <x:v>44</x:v>
      </x:c>
      <x:c r="H2230" s="11" t="n">
        <x:v>6114.03</x:v>
      </x:c>
      <x:c r="I2230" s="2" t="n">
        <x:v>5</x:v>
      </x:c>
      <x:c r="J2230" s="2" t="n">
        <x:v>5</x:v>
      </x:c>
      <x:c r="K2230" s="2" t="n">
        <x:v>5</x:v>
      </x:c>
      <x:c r="L2230" s="2" t="str">
        <x:v>Champions</x:v>
      </x:c>
    </x:row>
    <x:row r="2231" ht="22" customHeight="1">
      <x:c r="A2231" s="2"/>
      <x:c r="B2231" s="2" t="str">
        <x:v>14561</x:v>
      </x:c>
      <x:c r="C2231" s="2" t="str">
        <x:v>United Kingdom</x:v>
      </x:c>
      <x:c r="D2231" s="25" t="n">
        <x:v>40702.35138888889</x:v>
      </x:c>
      <x:c r="E2231" s="25" t="n">
        <x:v>40811.31875</x:v>
      </x:c>
      <x:c r="F2231" s="2" t="n">
        <x:v>76</x:v>
      </x:c>
      <x:c r="G2231" s="2" t="n">
        <x:v>3</x:v>
      </x:c>
      <x:c r="H2231" s="11" t="n">
        <x:v>1080.76</x:v>
      </x:c>
      <x:c r="I2231" s="2" t="n">
        <x:v>3</x:v>
      </x:c>
      <x:c r="J2231" s="2" t="n">
        <x:v>3</x:v>
      </x:c>
      <x:c r="K2231" s="2" t="n">
        <x:v>3</x:v>
      </x:c>
      <x:c r="L2231" s="2" t="str">
        <x:v>Loyal</x:v>
      </x:c>
    </x:row>
    <x:row r="2232" ht="22" customHeight="1">
      <x:c r="A2232" s="2"/>
      <x:c r="B2232" s="2" t="str">
        <x:v>14562</x:v>
      </x:c>
      <x:c r="C2232" s="2" t="str">
        <x:v>United Kingdom</x:v>
      </x:c>
      <x:c r="D2232" s="25" t="n">
        <x:v>40216.381944444445</x:v>
      </x:c>
      <x:c r="E2232" s="25" t="n">
        <x:v>40883.25347222222</x:v>
      </x:c>
      <x:c r="F2232" s="2" t="n">
        <x:v>4</x:v>
      </x:c>
      <x:c r="G2232" s="2" t="n">
        <x:v>26</x:v>
      </x:c>
      <x:c r="H2232" s="11" t="n">
        <x:v>6729.4</x:v>
      </x:c>
      <x:c r="I2232" s="2" t="n">
        <x:v>5</x:v>
      </x:c>
      <x:c r="J2232" s="2" t="n">
        <x:v>5</x:v>
      </x:c>
      <x:c r="K2232" s="2" t="n">
        <x:v>5</x:v>
      </x:c>
      <x:c r="L2232" s="2" t="str">
        <x:v>Champions</x:v>
      </x:c>
    </x:row>
    <x:row r="2233" ht="22" customHeight="1">
      <x:c r="A2233" s="2"/>
      <x:c r="B2233" s="2" t="str">
        <x:v>14563</x:v>
      </x:c>
      <x:c r="C2233" s="2" t="str">
        <x:v>United Kingdom</x:v>
      </x:c>
      <x:c r="D2233" s="25" t="n">
        <x:v>40294.32708333333</x:v>
      </x:c>
      <x:c r="E2233" s="25" t="n">
        <x:v>40377.29236111111</x:v>
      </x:c>
      <x:c r="F2233" s="2" t="n">
        <x:v>510</x:v>
      </x:c>
      <x:c r="G2233" s="2" t="n">
        <x:v>2</x:v>
      </x:c>
      <x:c r="H2233" s="11" t="n">
        <x:v>679.44</x:v>
      </x:c>
      <x:c r="I2233" s="2" t="n">
        <x:v>1</x:v>
      </x:c>
      <x:c r="J2233" s="2" t="n">
        <x:v>2</x:v>
      </x:c>
      <x:c r="K2233" s="2" t="n">
        <x:v>3</x:v>
      </x:c>
      <x:c r="L2233" s="2" t="str">
        <x:v>Hibernating</x:v>
      </x:c>
    </x:row>
    <x:row r="2234" ht="22" customHeight="1">
      <x:c r="A2234" s="2"/>
      <x:c r="B2234" s="2" t="str">
        <x:v>14564</x:v>
      </x:c>
      <x:c r="C2234" s="2" t="str">
        <x:v>Channel Islands</x:v>
      </x:c>
      <x:c r="D2234" s="25" t="n">
        <x:v>40151.18541666667</x:v>
      </x:c>
      <x:c r="E2234" s="25" t="n">
        <x:v>40452.16805555556</x:v>
      </x:c>
      <x:c r="F2234" s="2" t="n">
        <x:v>435</x:v>
      </x:c>
      <x:c r="G2234" s="2" t="n">
        <x:v>2</x:v>
      </x:c>
      <x:c r="H2234" s="11" t="n">
        <x:v>2605.62</x:v>
      </x:c>
      <x:c r="I2234" s="2" t="n">
        <x:v>1</x:v>
      </x:c>
      <x:c r="J2234" s="2" t="n">
        <x:v>2</x:v>
      </x:c>
      <x:c r="K2234" s="2" t="n">
        <x:v>4</x:v>
      </x:c>
      <x:c r="L2234" s="2" t="str">
        <x:v>Hibernating</x:v>
      </x:c>
    </x:row>
    <x:row r="2235" ht="22" customHeight="1">
      <x:c r="A2235" s="2"/>
      <x:c r="B2235" s="2" t="str">
        <x:v>14565</x:v>
      </x:c>
      <x:c r="C2235" s="2" t="str">
        <x:v>United Kingdom</x:v>
      </x:c>
      <x:c r="D2235" s="25" t="n">
        <x:v>40413.2</x:v>
      </x:c>
      <x:c r="E2235" s="25" t="n">
        <x:v>40791.17152777778</x:v>
      </x:c>
      <x:c r="F2235" s="2" t="n">
        <x:v>96</x:v>
      </x:c>
      <x:c r="G2235" s="2" t="n">
        <x:v>5</x:v>
      </x:c>
      <x:c r="H2235" s="11" t="n">
        <x:v>3859.22</x:v>
      </x:c>
      <x:c r="I2235" s="2" t="n">
        <x:v>3</x:v>
      </x:c>
      <x:c r="J2235" s="2" t="n">
        <x:v>4</x:v>
      </x:c>
      <x:c r="K2235" s="2" t="n">
        <x:v>5</x:v>
      </x:c>
      <x:c r="L2235" s="2" t="str">
        <x:v>Loyal</x:v>
      </x:c>
    </x:row>
    <x:row r="2236" ht="22" customHeight="1">
      <x:c r="A2236" s="2"/>
      <x:c r="B2236" s="2" t="str">
        <x:v>14566</x:v>
      </x:c>
      <x:c r="C2236" s="2" t="str">
        <x:v>Channel Islands</x:v>
      </x:c>
      <x:c r="D2236" s="25" t="n">
        <x:v>40353.231944444444</x:v>
      </x:c>
      <x:c r="E2236" s="25" t="n">
        <x:v>40776.25347222222</x:v>
      </x:c>
      <x:c r="F2236" s="2" t="n">
        <x:v>111</x:v>
      </x:c>
      <x:c r="G2236" s="2" t="n">
        <x:v>4</x:v>
      </x:c>
      <x:c r="H2236" s="11" t="n">
        <x:v>4092</x:v>
      </x:c>
      <x:c r="I2236" s="2" t="n">
        <x:v>3</x:v>
      </x:c>
      <x:c r="J2236" s="2" t="n">
        <x:v>3</x:v>
      </x:c>
      <x:c r="K2236" s="2" t="n">
        <x:v>5</x:v>
      </x:c>
      <x:c r="L2236" s="2" t="str">
        <x:v>Loyal</x:v>
      </x:c>
    </x:row>
    <x:row r="2237" ht="22" customHeight="1">
      <x:c r="A2237" s="2"/>
      <x:c r="B2237" s="2" t="str">
        <x:v>14567</x:v>
      </x:c>
      <x:c r="C2237" s="2" t="str">
        <x:v>United Kingdom</x:v>
      </x:c>
      <x:c r="D2237" s="25" t="n">
        <x:v>40756.36666666667</x:v>
      </x:c>
      <x:c r="E2237" s="25" t="n">
        <x:v>40830.222916666666</x:v>
      </x:c>
      <x:c r="F2237" s="2" t="n">
        <x:v>57</x:v>
      </x:c>
      <x:c r="G2237" s="2" t="n">
        <x:v>2</x:v>
      </x:c>
      <x:c r="H2237" s="11" t="n">
        <x:v>1530.36</x:v>
      </x:c>
      <x:c r="I2237" s="2" t="n">
        <x:v>4</x:v>
      </x:c>
      <x:c r="J2237" s="2" t="n">
        <x:v>2</x:v>
      </x:c>
      <x:c r="K2237" s="2" t="n">
        <x:v>4</x:v>
      </x:c>
      <x:c r="L2237" s="2" t="str">
        <x:v>Recent light buyers</x:v>
      </x:c>
    </x:row>
    <x:row r="2238" ht="22" customHeight="1">
      <x:c r="A2238" s="2"/>
      <x:c r="B2238" s="2" t="str">
        <x:v>14568</x:v>
      </x:c>
      <x:c r="C2238" s="2" t="str">
        <x:v>Channel Islands</x:v>
      </x:c>
      <x:c r="D2238" s="25" t="n">
        <x:v>40451.510416666664</x:v>
      </x:c>
      <x:c r="E2238" s="25" t="n">
        <x:v>40451.510416666664</x:v>
      </x:c>
      <x:c r="F2238" s="2" t="n">
        <x:v>436</x:v>
      </x:c>
      <x:c r="G2238" s="2" t="n">
        <x:v>1</x:v>
      </x:c>
      <x:c r="H2238" s="11" t="n">
        <x:v>919.7</x:v>
      </x:c>
      <x:c r="I2238" s="2" t="n">
        <x:v>1</x:v>
      </x:c>
      <x:c r="J2238" s="2" t="n">
        <x:v>1</x:v>
      </x:c>
      <x:c r="K2238" s="2" t="n">
        <x:v>3</x:v>
      </x:c>
      <x:c r="L2238" s="2" t="str">
        <x:v>Hibernating</x:v>
      </x:c>
    </x:row>
    <x:row r="2239" ht="22" customHeight="1">
      <x:c r="A2239" s="2"/>
      <x:c r="B2239" s="2" t="str">
        <x:v>14569</x:v>
      </x:c>
      <x:c r="C2239" s="2" t="str">
        <x:v>United Kingdom</x:v>
      </x:c>
      <x:c r="D2239" s="25" t="n">
        <x:v>40283.28402777778</x:v>
      </x:c>
      <x:c r="E2239" s="25" t="n">
        <x:v>40885.41527777778</x:v>
      </x:c>
      <x:c r="F2239" s="2" t="n">
        <x:v>2</x:v>
      </x:c>
      <x:c r="G2239" s="2" t="n">
        <x:v>4</x:v>
      </x:c>
      <x:c r="H2239" s="11" t="n">
        <x:v>598.98</x:v>
      </x:c>
      <x:c r="I2239" s="2" t="n">
        <x:v>5</x:v>
      </x:c>
      <x:c r="J2239" s="2" t="n">
        <x:v>3</x:v>
      </x:c>
      <x:c r="K2239" s="2" t="n">
        <x:v>2</x:v>
      </x:c>
      <x:c r="L2239" s="2" t="str">
        <x:v>Loyal</x:v>
      </x:c>
    </x:row>
    <x:row r="2240" ht="22" customHeight="1">
      <x:c r="A2240" s="2"/>
      <x:c r="B2240" s="2" t="str">
        <x:v>14570</x:v>
      </x:c>
      <x:c r="C2240" s="2" t="str">
        <x:v>United Kingdom</x:v>
      </x:c>
      <x:c r="D2240" s="25" t="n">
        <x:v>40443.33819444444</x:v>
      </x:c>
      <x:c r="E2240" s="25" t="n">
        <x:v>40606.248611111114</x:v>
      </x:c>
      <x:c r="F2240" s="2" t="n">
        <x:v>281</x:v>
      </x:c>
      <x:c r="G2240" s="2" t="n">
        <x:v>3</x:v>
      </x:c>
      <x:c r="H2240" s="11" t="n">
        <x:v>613.75</x:v>
      </x:c>
      <x:c r="I2240" s="2" t="n">
        <x:v>2</x:v>
      </x:c>
      <x:c r="J2240" s="2" t="n">
        <x:v>3</x:v>
      </x:c>
      <x:c r="K2240" s="2" t="n">
        <x:v>3</x:v>
      </x:c>
      <x:c r="L2240" s="2" t="str">
        <x:v>At risk</x:v>
      </x:c>
    </x:row>
    <x:row r="2241" ht="22" customHeight="1">
      <x:c r="A2241" s="2"/>
      <x:c r="B2241" s="2" t="str">
        <x:v>14571</x:v>
      </x:c>
      <x:c r="C2241" s="2" t="str">
        <x:v>United Kingdom</x:v>
      </x:c>
      <x:c r="D2241" s="25" t="n">
        <x:v>40461.42083333333</x:v>
      </x:c>
      <x:c r="E2241" s="25" t="n">
        <x:v>40461.42083333333</x:v>
      </x:c>
      <x:c r="F2241" s="2" t="n">
        <x:v>426</x:v>
      </x:c>
      <x:c r="G2241" s="2" t="n">
        <x:v>1</x:v>
      </x:c>
      <x:c r="H2241" s="11" t="n">
        <x:v>161.65</x:v>
      </x:c>
      <x:c r="I2241" s="2" t="n">
        <x:v>1</x:v>
      </x:c>
      <x:c r="J2241" s="2" t="n">
        <x:v>1</x:v>
      </x:c>
      <x:c r="K2241" s="2" t="n">
        <x:v>1</x:v>
      </x:c>
      <x:c r="L2241" s="2" t="str">
        <x:v>Hibernating</x:v>
      </x:c>
    </x:row>
    <x:row r="2242" ht="22" customHeight="1">
      <x:c r="A2242" s="2"/>
      <x:c r="B2242" s="2" t="str">
        <x:v>14572</x:v>
      </x:c>
      <x:c r="C2242" s="2" t="str">
        <x:v>United Kingdom</x:v>
      </x:c>
      <x:c r="D2242" s="25" t="n">
        <x:v>40265.36597222222</x:v>
      </x:c>
      <x:c r="E2242" s="25" t="n">
        <x:v>40883.40277777778</x:v>
      </x:c>
      <x:c r="F2242" s="2" t="n">
        <x:v>4</x:v>
      </x:c>
      <x:c r="G2242" s="2" t="n">
        <x:v>11</x:v>
      </x:c>
      <x:c r="H2242" s="11" t="n">
        <x:v>5615.18</x:v>
      </x:c>
      <x:c r="I2242" s="2" t="n">
        <x:v>5</x:v>
      </x:c>
      <x:c r="J2242" s="2" t="n">
        <x:v>5</x:v>
      </x:c>
      <x:c r="K2242" s="2" t="n">
        <x:v>5</x:v>
      </x:c>
      <x:c r="L2242" s="2" t="str">
        <x:v>Champions</x:v>
      </x:c>
    </x:row>
    <x:row r="2243" ht="22" customHeight="1">
      <x:c r="A2243" s="2"/>
      <x:c r="B2243" s="2" t="str">
        <x:v>14573</x:v>
      </x:c>
      <x:c r="C2243" s="2" t="str">
        <x:v>United Kingdom</x:v>
      </x:c>
      <x:c r="D2243" s="25" t="n">
        <x:v>40186.481944444444</x:v>
      </x:c>
      <x:c r="E2243" s="25" t="n">
        <x:v>40707.260416666664</x:v>
      </x:c>
      <x:c r="F2243" s="2" t="n">
        <x:v>180</x:v>
      </x:c>
      <x:c r="G2243" s="2" t="n">
        <x:v>13</x:v>
      </x:c>
      <x:c r="H2243" s="11" t="n">
        <x:v>2208.32</x:v>
      </x:c>
      <x:c r="I2243" s="2" t="n">
        <x:v>3</x:v>
      </x:c>
      <x:c r="J2243" s="2" t="n">
        <x:v>5</x:v>
      </x:c>
      <x:c r="K2243" s="2" t="n">
        <x:v>4</x:v>
      </x:c>
      <x:c r="L2243" s="2" t="str">
        <x:v>Loyal</x:v>
      </x:c>
    </x:row>
    <x:row r="2244" ht="22" customHeight="1">
      <x:c r="A2244" s="2"/>
      <x:c r="B2244" s="2" t="str">
        <x:v>14574</x:v>
      </x:c>
      <x:c r="C2244" s="2" t="str">
        <x:v>United Kingdom</x:v>
      </x:c>
      <x:c r="D2244" s="25" t="n">
        <x:v>40154.32083333333</x:v>
      </x:c>
      <x:c r="E2244" s="25" t="n">
        <x:v>40154.32083333333</x:v>
      </x:c>
      <x:c r="F2244" s="2" t="n">
        <x:v>733</x:v>
      </x:c>
      <x:c r="G2244" s="2" t="n">
        <x:v>1</x:v>
      </x:c>
      <x:c r="H2244" s="11" t="n">
        <x:v>143.7</x:v>
      </x:c>
      <x:c r="I2244" s="2" t="n">
        <x:v>1</x:v>
      </x:c>
      <x:c r="J2244" s="2" t="n">
        <x:v>1</x:v>
      </x:c>
      <x:c r="K2244" s="2" t="n">
        <x:v>1</x:v>
      </x:c>
      <x:c r="L2244" s="2" t="str">
        <x:v>Hibernating</x:v>
      </x:c>
    </x:row>
    <x:row r="2245" ht="22" customHeight="1">
      <x:c r="A2245" s="2"/>
      <x:c r="B2245" s="2" t="str">
        <x:v>14575</x:v>
      </x:c>
      <x:c r="C2245" s="2" t="str">
        <x:v>United Kingdom</x:v>
      </x:c>
      <x:c r="D2245" s="25" t="n">
        <x:v>40398.410416666666</x:v>
      </x:c>
      <x:c r="E2245" s="25" t="n">
        <x:v>40398.410416666666</x:v>
      </x:c>
      <x:c r="F2245" s="2" t="n">
        <x:v>489</x:v>
      </x:c>
      <x:c r="G2245" s="2" t="n">
        <x:v>1</x:v>
      </x:c>
      <x:c r="H2245" s="11" t="n">
        <x:v>460.71</x:v>
      </x:c>
      <x:c r="I2245" s="2" t="n">
        <x:v>1</x:v>
      </x:c>
      <x:c r="J2245" s="2" t="n">
        <x:v>1</x:v>
      </x:c>
      <x:c r="K2245" s="2" t="n">
        <x:v>2</x:v>
      </x:c>
      <x:c r="L2245" s="2" t="str">
        <x:v>Hibernating</x:v>
      </x:c>
    </x:row>
    <x:row r="2246" ht="22" customHeight="1">
      <x:c r="A2246" s="2"/>
      <x:c r="B2246" s="2" t="str">
        <x:v>14576</x:v>
      </x:c>
      <x:c r="C2246" s="2" t="str">
        <x:v>United Kingdom</x:v>
      </x:c>
      <x:c r="D2246" s="25" t="n">
        <x:v>40514.535416666666</x:v>
      </x:c>
      <x:c r="E2246" s="25" t="n">
        <x:v>40514.535416666666</x:v>
      </x:c>
      <x:c r="F2246" s="2" t="n">
        <x:v>373</x:v>
      </x:c>
      <x:c r="G2246" s="2" t="n">
        <x:v>1</x:v>
      </x:c>
      <x:c r="H2246" s="11" t="n">
        <x:v>35.4</x:v>
      </x:c>
      <x:c r="I2246" s="2" t="n">
        <x:v>2</x:v>
      </x:c>
      <x:c r="J2246" s="2" t="n">
        <x:v>1</x:v>
      </x:c>
      <x:c r="K2246" s="2" t="n">
        <x:v>1</x:v>
      </x:c>
      <x:c r="L2246" s="2" t="str">
        <x:v>Hibernating</x:v>
      </x:c>
    </x:row>
    <x:row r="2247" ht="22" customHeight="1">
      <x:c r="A2247" s="2"/>
      <x:c r="B2247" s="2" t="str">
        <x:v>14577</x:v>
      </x:c>
      <x:c r="C2247" s="2" t="str">
        <x:v>United Kingdom</x:v>
      </x:c>
      <x:c r="D2247" s="25" t="n">
        <x:v>40158.29791666667</x:v>
      </x:c>
      <x:c r="E2247" s="25" t="n">
        <x:v>40874.32430555556</x:v>
      </x:c>
      <x:c r="F2247" s="2" t="n">
        <x:v>13</x:v>
      </x:c>
      <x:c r="G2247" s="2" t="n">
        <x:v>7</x:v>
      </x:c>
      <x:c r="H2247" s="11" t="n">
        <x:v>1374.25</x:v>
      </x:c>
      <x:c r="I2247" s="2" t="n">
        <x:v>5</x:v>
      </x:c>
      <x:c r="J2247" s="2" t="n">
        <x:v>4</x:v>
      </x:c>
      <x:c r="K2247" s="2" t="n">
        <x:v>4</x:v>
      </x:c>
      <x:c r="L2247" s="2" t="str">
        <x:v>Champions</x:v>
      </x:c>
    </x:row>
    <x:row r="2248" ht="22" customHeight="1">
      <x:c r="A2248" s="2"/>
      <x:c r="B2248" s="2" t="str">
        <x:v>14578</x:v>
      </x:c>
      <x:c r="C2248" s="2" t="str">
        <x:v>United Kingdom</x:v>
      </x:c>
      <x:c r="D2248" s="25" t="n">
        <x:v>40883.5125</x:v>
      </x:c>
      <x:c r="E2248" s="25" t="n">
        <x:v>40883.5125</x:v>
      </x:c>
      <x:c r="F2248" s="2" t="n">
        <x:v>4</x:v>
      </x:c>
      <x:c r="G2248" s="2" t="n">
        <x:v>1</x:v>
      </x:c>
      <x:c r="H2248" s="11" t="n">
        <x:v>168.63</x:v>
      </x:c>
      <x:c r="I2248" s="2" t="n">
        <x:v>5</x:v>
      </x:c>
      <x:c r="J2248" s="2" t="n">
        <x:v>1</x:v>
      </x:c>
      <x:c r="K2248" s="2" t="n">
        <x:v>1</x:v>
      </x:c>
      <x:c r="L2248" s="2" t="str">
        <x:v>Recent light buyers</x:v>
      </x:c>
    </x:row>
    <x:row r="2249" ht="22" customHeight="1">
      <x:c r="A2249" s="2"/>
      <x:c r="B2249" s="2" t="str">
        <x:v>14579</x:v>
      </x:c>
      <x:c r="C2249" s="2" t="str">
        <x:v>United Kingdom</x:v>
      </x:c>
      <x:c r="D2249" s="25" t="n">
        <x:v>40454.4</x:v>
      </x:c>
      <x:c r="E2249" s="25" t="n">
        <x:v>40454.4</x:v>
      </x:c>
      <x:c r="F2249" s="2" t="n">
        <x:v>433</x:v>
      </x:c>
      <x:c r="G2249" s="2" t="n">
        <x:v>1</x:v>
      </x:c>
      <x:c r="H2249" s="11" t="n">
        <x:v>105.56</x:v>
      </x:c>
      <x:c r="I2249" s="2" t="n">
        <x:v>1</x:v>
      </x:c>
      <x:c r="J2249" s="2" t="n">
        <x:v>1</x:v>
      </x:c>
      <x:c r="K2249" s="2" t="n">
        <x:v>1</x:v>
      </x:c>
      <x:c r="L2249" s="2" t="str">
        <x:v>Hibernating</x:v>
      </x:c>
    </x:row>
    <x:row r="2250" ht="22" customHeight="1">
      <x:c r="A2250" s="2"/>
      <x:c r="B2250" s="2" t="str">
        <x:v>14580</x:v>
      </x:c>
      <x:c r="C2250" s="2" t="str">
        <x:v>United Kingdom</x:v>
      </x:c>
      <x:c r="D2250" s="25" t="n">
        <x:v>40368.430555555555</x:v>
      </x:c>
      <x:c r="E2250" s="25" t="n">
        <x:v>40368.430555555555</x:v>
      </x:c>
      <x:c r="F2250" s="2" t="n">
        <x:v>519</x:v>
      </x:c>
      <x:c r="G2250" s="2" t="n">
        <x:v>1</x:v>
      </x:c>
      <x:c r="H2250" s="11" t="n">
        <x:v>14.85</x:v>
      </x:c>
      <x:c r="I2250" s="2" t="n">
        <x:v>1</x:v>
      </x:c>
      <x:c r="J2250" s="2" t="n">
        <x:v>1</x:v>
      </x:c>
      <x:c r="K2250" s="2" t="n">
        <x:v>1</x:v>
      </x:c>
      <x:c r="L2250" s="2" t="str">
        <x:v>Hibernating</x:v>
      </x:c>
    </x:row>
    <x:row r="2251" ht="22" customHeight="1">
      <x:c r="A2251" s="2"/>
      <x:c r="B2251" s="2" t="str">
        <x:v>14581</x:v>
      </x:c>
      <x:c r="C2251" s="2" t="str">
        <x:v>United Kingdom</x:v>
      </x:c>
      <x:c r="D2251" s="25" t="n">
        <x:v>40342.45</x:v>
      </x:c>
      <x:c r="E2251" s="25" t="n">
        <x:v>40870.31875</x:v>
      </x:c>
      <x:c r="F2251" s="2" t="n">
        <x:v>17</x:v>
      </x:c>
      <x:c r="G2251" s="2" t="n">
        <x:v>2</x:v>
      </x:c>
      <x:c r="H2251" s="11" t="n">
        <x:v>433.8</x:v>
      </x:c>
      <x:c r="I2251" s="2" t="n">
        <x:v>5</x:v>
      </x:c>
      <x:c r="J2251" s="2" t="n">
        <x:v>2</x:v>
      </x:c>
      <x:c r="K2251" s="2" t="n">
        <x:v>2</x:v>
      </x:c>
      <x:c r="L2251" s="2" t="str">
        <x:v>Recent light buyers</x:v>
      </x:c>
    </x:row>
    <x:row r="2252" ht="22" customHeight="1">
      <x:c r="A2252" s="2"/>
      <x:c r="B2252" s="2" t="str">
        <x:v>14582</x:v>
      </x:c>
      <x:c r="C2252" s="2" t="str">
        <x:v>United Kingdom</x:v>
      </x:c>
      <x:c r="D2252" s="25" t="n">
        <x:v>40846.28888888889</x:v>
      </x:c>
      <x:c r="E2252" s="25" t="n">
        <x:v>40846.28888888889</x:v>
      </x:c>
      <x:c r="F2252" s="2" t="n">
        <x:v>41</x:v>
      </x:c>
      <x:c r="G2252" s="2" t="n">
        <x:v>1</x:v>
      </x:c>
      <x:c r="H2252" s="11" t="n">
        <x:v>114.11</x:v>
      </x:c>
      <x:c r="I2252" s="2" t="n">
        <x:v>4</x:v>
      </x:c>
      <x:c r="J2252" s="2" t="n">
        <x:v>1</x:v>
      </x:c>
      <x:c r="K2252" s="2" t="n">
        <x:v>1</x:v>
      </x:c>
      <x:c r="L2252" s="2" t="str">
        <x:v>Recent light buyers</x:v>
      </x:c>
    </x:row>
    <x:row r="2253" ht="22" customHeight="1">
      <x:c r="A2253" s="2"/>
      <x:c r="B2253" s="2" t="str">
        <x:v>14583</x:v>
      </x:c>
      <x:c r="C2253" s="2" t="str">
        <x:v>United Kingdom</x:v>
      </x:c>
      <x:c r="D2253" s="25" t="n">
        <x:v>40265.427777777775</x:v>
      </x:c>
      <x:c r="E2253" s="25" t="n">
        <x:v>40881.313888888886</x:v>
      </x:c>
      <x:c r="F2253" s="2" t="n">
        <x:v>6</x:v>
      </x:c>
      <x:c r="G2253" s="2" t="n">
        <x:v>8</x:v>
      </x:c>
      <x:c r="H2253" s="11" t="n">
        <x:v>1781.03</x:v>
      </x:c>
      <x:c r="I2253" s="2" t="n">
        <x:v>5</x:v>
      </x:c>
      <x:c r="J2253" s="2" t="n">
        <x:v>4</x:v>
      </x:c>
      <x:c r="K2253" s="2" t="n">
        <x:v>4</x:v>
      </x:c>
      <x:c r="L2253" s="2" t="str">
        <x:v>Champions</x:v>
      </x:c>
    </x:row>
    <x:row r="2254" ht="22" customHeight="1">
      <x:c r="A2254" s="2"/>
      <x:c r="B2254" s="2" t="str">
        <x:v>14584</x:v>
      </x:c>
      <x:c r="C2254" s="2" t="str">
        <x:v>United Kingdom</x:v>
      </x:c>
      <x:c r="D2254" s="25" t="n">
        <x:v>40226.37569444445</x:v>
      </x:c>
      <x:c r="E2254" s="25" t="n">
        <x:v>40717.56458333333</x:v>
      </x:c>
      <x:c r="F2254" s="2" t="n">
        <x:v>170</x:v>
      </x:c>
      <x:c r="G2254" s="2" t="n">
        <x:v>8</x:v>
      </x:c>
      <x:c r="H2254" s="11" t="n">
        <x:v>1747.91</x:v>
      </x:c>
      <x:c r="I2254" s="2" t="n">
        <x:v>3</x:v>
      </x:c>
      <x:c r="J2254" s="2" t="n">
        <x:v>4</x:v>
      </x:c>
      <x:c r="K2254" s="2" t="n">
        <x:v>4</x:v>
      </x:c>
      <x:c r="L2254" s="2" t="str">
        <x:v>Loyal</x:v>
      </x:c>
    </x:row>
    <x:row r="2255" ht="22" customHeight="1">
      <x:c r="A2255" s="2"/>
      <x:c r="B2255" s="2" t="str">
        <x:v>14585</x:v>
      </x:c>
      <x:c r="C2255" s="2" t="str">
        <x:v>United Kingdom</x:v>
      </x:c>
      <x:c r="D2255" s="25" t="n">
        <x:v>40470.30347222222</x:v>
      </x:c>
      <x:c r="E2255" s="25" t="n">
        <x:v>40836.39791666667</x:v>
      </x:c>
      <x:c r="F2255" s="2" t="n">
        <x:v>51</x:v>
      </x:c>
      <x:c r="G2255" s="2" t="n">
        <x:v>5</x:v>
      </x:c>
      <x:c r="H2255" s="11" t="n">
        <x:v>1143.27</x:v>
      </x:c>
      <x:c r="I2255" s="2" t="n">
        <x:v>4</x:v>
      </x:c>
      <x:c r="J2255" s="2" t="n">
        <x:v>4</x:v>
      </x:c>
      <x:c r="K2255" s="2" t="n">
        <x:v>3</x:v>
      </x:c>
      <x:c r="L2255" s="2" t="str">
        <x:v>Loyal</x:v>
      </x:c>
    </x:row>
    <x:row r="2256" ht="22" customHeight="1">
      <x:c r="A2256" s="2"/>
      <x:c r="B2256" s="2" t="str">
        <x:v>14586</x:v>
      </x:c>
      <x:c r="C2256" s="2" t="str">
        <x:v>United Kingdom</x:v>
      </x:c>
      <x:c r="D2256" s="25" t="n">
        <x:v>40610.21111111111</x:v>
      </x:c>
      <x:c r="E2256" s="25" t="n">
        <x:v>40610.21111111111</x:v>
      </x:c>
      <x:c r="F2256" s="2" t="n">
        <x:v>277</x:v>
      </x:c>
      <x:c r="G2256" s="2" t="n">
        <x:v>1</x:v>
      </x:c>
      <x:c r="H2256" s="11" t="n">
        <x:v>237.36</x:v>
      </x:c>
      <x:c r="I2256" s="2" t="n">
        <x:v>2</x:v>
      </x:c>
      <x:c r="J2256" s="2" t="n">
        <x:v>1</x:v>
      </x:c>
      <x:c r="K2256" s="2" t="n">
        <x:v>1</x:v>
      </x:c>
      <x:c r="L2256" s="2" t="str">
        <x:v>Hibernating</x:v>
      </x:c>
    </x:row>
    <x:row r="2257" ht="22" customHeight="1">
      <x:c r="A2257" s="2"/>
      <x:c r="B2257" s="2" t="str">
        <x:v>14587</x:v>
      </x:c>
      <x:c r="C2257" s="2" t="str">
        <x:v>United Kingdom</x:v>
      </x:c>
      <x:c r="D2257" s="25" t="n">
        <x:v>40555.34444444445</x:v>
      </x:c>
      <x:c r="E2257" s="25" t="n">
        <x:v>40868.27361111111</x:v>
      </x:c>
      <x:c r="F2257" s="2" t="n">
        <x:v>19</x:v>
      </x:c>
      <x:c r="G2257" s="2" t="n">
        <x:v>9</x:v>
      </x:c>
      <x:c r="H2257" s="11" t="n">
        <x:v>1601.14</x:v>
      </x:c>
      <x:c r="I2257" s="2" t="n">
        <x:v>5</x:v>
      </x:c>
      <x:c r="J2257" s="2" t="n">
        <x:v>5</x:v>
      </x:c>
      <x:c r="K2257" s="2" t="n">
        <x:v>4</x:v>
      </x:c>
      <x:c r="L2257" s="2" t="str">
        <x:v>Champions</x:v>
      </x:c>
    </x:row>
    <x:row r="2258" ht="22" customHeight="1">
      <x:c r="A2258" s="2"/>
      <x:c r="B2258" s="2" t="str">
        <x:v>14588</x:v>
      </x:c>
      <x:c r="C2258" s="2" t="str">
        <x:v>United Kingdom</x:v>
      </x:c>
      <x:c r="D2258" s="25" t="n">
        <x:v>40308.42222222222</x:v>
      </x:c>
      <x:c r="E2258" s="25" t="n">
        <x:v>40308.42222222222</x:v>
      </x:c>
      <x:c r="F2258" s="2" t="n">
        <x:v>579</x:v>
      </x:c>
      <x:c r="G2258" s="2" t="n">
        <x:v>1</x:v>
      </x:c>
      <x:c r="H2258" s="11" t="n">
        <x:v>135.39</x:v>
      </x:c>
      <x:c r="I2258" s="2" t="n">
        <x:v>1</x:v>
      </x:c>
      <x:c r="J2258" s="2" t="n">
        <x:v>1</x:v>
      </x:c>
      <x:c r="K2258" s="2" t="n">
        <x:v>1</x:v>
      </x:c>
      <x:c r="L2258" s="2" t="str">
        <x:v>Hibernating</x:v>
      </x:c>
    </x:row>
    <x:row r="2259" ht="22" customHeight="1">
      <x:c r="A2259" s="2"/>
      <x:c r="B2259" s="2" t="str">
        <x:v>14589</x:v>
      </x:c>
      <x:c r="C2259" s="2" t="str">
        <x:v>United Kingdom</x:v>
      </x:c>
      <x:c r="D2259" s="25" t="n">
        <x:v>40515.27916666667</x:v>
      </x:c>
      <x:c r="E2259" s="25" t="n">
        <x:v>40515.27916666667</x:v>
      </x:c>
      <x:c r="F2259" s="2" t="n">
        <x:v>372</x:v>
      </x:c>
      <x:c r="G2259" s="2" t="n">
        <x:v>1</x:v>
      </x:c>
      <x:c r="H2259" s="11" t="n">
        <x:v>39.75</x:v>
      </x:c>
      <x:c r="I2259" s="2" t="n">
        <x:v>2</x:v>
      </x:c>
      <x:c r="J2259" s="2" t="n">
        <x:v>1</x:v>
      </x:c>
      <x:c r="K2259" s="2" t="n">
        <x:v>1</x:v>
      </x:c>
      <x:c r="L2259" s="2" t="str">
        <x:v>Hibernating</x:v>
      </x:c>
    </x:row>
    <x:row r="2260" ht="22" customHeight="1">
      <x:c r="A2260" s="2"/>
      <x:c r="B2260" s="2" t="str">
        <x:v>14590</x:v>
      </x:c>
      <x:c r="C2260" s="2" t="str">
        <x:v>United Kingdom</x:v>
      </x:c>
      <x:c r="D2260" s="25" t="n">
        <x:v>40154.381944444445</x:v>
      </x:c>
      <x:c r="E2260" s="25" t="n">
        <x:v>40462.29583333333</x:v>
      </x:c>
      <x:c r="F2260" s="2" t="n">
        <x:v>425</x:v>
      </x:c>
      <x:c r="G2260" s="2" t="n">
        <x:v>20</x:v>
      </x:c>
      <x:c r="H2260" s="11" t="n">
        <x:v>3006.62</x:v>
      </x:c>
      <x:c r="I2260" s="2" t="n">
        <x:v>1</x:v>
      </x:c>
      <x:c r="J2260" s="2" t="n">
        <x:v>5</x:v>
      </x:c>
      <x:c r="K2260" s="2" t="n">
        <x:v>5</x:v>
      </x:c>
      <x:c r="L2260" s="2" t="str">
        <x:v>At risk</x:v>
      </x:c>
    </x:row>
    <x:row r="2261" ht="22" customHeight="1">
      <x:c r="A2261" s="2"/>
      <x:c r="B2261" s="2" t="str">
        <x:v>14591</x:v>
      </x:c>
      <x:c r="C2261" s="2" t="str">
        <x:v>United Kingdom</x:v>
      </x:c>
      <x:c r="D2261" s="25" t="n">
        <x:v>40673.38125</x:v>
      </x:c>
      <x:c r="E2261" s="25" t="n">
        <x:v>40871.37291666667</x:v>
      </x:c>
      <x:c r="F2261" s="2" t="n">
        <x:v>16</x:v>
      </x:c>
      <x:c r="G2261" s="2" t="n">
        <x:v>4</x:v>
      </x:c>
      <x:c r="H2261" s="11" t="n">
        <x:v>1447.14</x:v>
      </x:c>
      <x:c r="I2261" s="2" t="n">
        <x:v>5</x:v>
      </x:c>
      <x:c r="J2261" s="2" t="n">
        <x:v>3</x:v>
      </x:c>
      <x:c r="K2261" s="2" t="n">
        <x:v>4</x:v>
      </x:c>
      <x:c r="L2261" s="2" t="str">
        <x:v>Loyal</x:v>
      </x:c>
    </x:row>
    <x:row r="2262" ht="22" customHeight="1">
      <x:c r="A2262" s="2"/>
      <x:c r="B2262" s="2" t="str">
        <x:v>14592</x:v>
      </x:c>
      <x:c r="C2262" s="2" t="str">
        <x:v>United Kingdom</x:v>
      </x:c>
      <x:c r="D2262" s="25" t="n">
        <x:v>40822.54722222222</x:v>
      </x:c>
      <x:c r="E2262" s="25" t="n">
        <x:v>40851.48263888889</x:v>
      </x:c>
      <x:c r="F2262" s="2" t="n">
        <x:v>36</x:v>
      </x:c>
      <x:c r="G2262" s="2" t="n">
        <x:v>3</x:v>
      </x:c>
      <x:c r="H2262" s="11" t="n">
        <x:v>570.46</x:v>
      </x:c>
      <x:c r="I2262" s="2" t="n">
        <x:v>4</x:v>
      </x:c>
      <x:c r="J2262" s="2" t="n">
        <x:v>3</x:v>
      </x:c>
      <x:c r="K2262" s="2" t="n">
        <x:v>2</x:v>
      </x:c>
      <x:c r="L2262" s="2" t="str">
        <x:v>Loyal</x:v>
      </x:c>
    </x:row>
    <x:row r="2263" ht="22" customHeight="1">
      <x:c r="A2263" s="2"/>
      <x:c r="B2263" s="2" t="str">
        <x:v>14593</x:v>
      </x:c>
      <x:c r="C2263" s="2" t="str">
        <x:v>United Kingdom</x:v>
      </x:c>
      <x:c r="D2263" s="25" t="n">
        <x:v>40156.33125</x:v>
      </x:c>
      <x:c r="E2263" s="25" t="n">
        <x:v>40865.325</x:v>
      </x:c>
      <x:c r="F2263" s="2" t="n">
        <x:v>22</x:v>
      </x:c>
      <x:c r="G2263" s="2" t="n">
        <x:v>12</x:v>
      </x:c>
      <x:c r="H2263" s="11" t="n">
        <x:v>3712.01</x:v>
      </x:c>
      <x:c r="I2263" s="2" t="n">
        <x:v>4</x:v>
      </x:c>
      <x:c r="J2263" s="2" t="n">
        <x:v>5</x:v>
      </x:c>
      <x:c r="K2263" s="2" t="n">
        <x:v>5</x:v>
      </x:c>
      <x:c r="L2263" s="2" t="str">
        <x:v>Champions</x:v>
      </x:c>
    </x:row>
    <x:row r="2264" ht="22" customHeight="1">
      <x:c r="A2264" s="2"/>
      <x:c r="B2264" s="2" t="str">
        <x:v>14594</x:v>
      </x:c>
      <x:c r="C2264" s="2" t="str">
        <x:v>United Kingdom</x:v>
      </x:c>
      <x:c r="D2264" s="25" t="n">
        <x:v>40513.370833333334</x:v>
      </x:c>
      <x:c r="E2264" s="25" t="n">
        <x:v>40879.35277777778</x:v>
      </x:c>
      <x:c r="F2264" s="2" t="n">
        <x:v>8</x:v>
      </x:c>
      <x:c r="G2264" s="2" t="n">
        <x:v>2</x:v>
      </x:c>
      <x:c r="H2264" s="11" t="n">
        <x:v>379.83</x:v>
      </x:c>
      <x:c r="I2264" s="2" t="n">
        <x:v>5</x:v>
      </x:c>
      <x:c r="J2264" s="2" t="n">
        <x:v>2</x:v>
      </x:c>
      <x:c r="K2264" s="2" t="n">
        <x:v>2</x:v>
      </x:c>
      <x:c r="L2264" s="2" t="str">
        <x:v>Recent light buyers</x:v>
      </x:c>
    </x:row>
    <x:row r="2265" ht="22" customHeight="1">
      <x:c r="A2265" s="2"/>
      <x:c r="B2265" s="2" t="str">
        <x:v>14595</x:v>
      </x:c>
      <x:c r="C2265" s="2" t="str">
        <x:v>United Kingdom</x:v>
      </x:c>
      <x:c r="D2265" s="25" t="n">
        <x:v>40198.37430555555</x:v>
      </x:c>
      <x:c r="E2265" s="25" t="n">
        <x:v>40867.3</x:v>
      </x:c>
      <x:c r="F2265" s="2" t="n">
        <x:v>20</x:v>
      </x:c>
      <x:c r="G2265" s="2" t="n">
        <x:v>8</x:v>
      </x:c>
      <x:c r="H2265" s="11" t="n">
        <x:v>2164.45</x:v>
      </x:c>
      <x:c r="I2265" s="2" t="n">
        <x:v>5</x:v>
      </x:c>
      <x:c r="J2265" s="2" t="n">
        <x:v>4</x:v>
      </x:c>
      <x:c r="K2265" s="2" t="n">
        <x:v>4</x:v>
      </x:c>
      <x:c r="L2265" s="2" t="str">
        <x:v>Champions</x:v>
      </x:c>
    </x:row>
    <x:row r="2266" ht="22" customHeight="1">
      <x:c r="A2266" s="2"/>
      <x:c r="B2266" s="2" t="str">
        <x:v>14596</x:v>
      </x:c>
      <x:c r="C2266" s="2" t="str">
        <x:v>United Kingdom</x:v>
      </x:c>
      <x:c r="D2266" s="25" t="n">
        <x:v>40260.30069444444</x:v>
      </x:c>
      <x:c r="E2266" s="25" t="n">
        <x:v>40260.30069444444</x:v>
      </x:c>
      <x:c r="F2266" s="2" t="n">
        <x:v>627</x:v>
      </x:c>
      <x:c r="G2266" s="2" t="n">
        <x:v>1</x:v>
      </x:c>
      <x:c r="H2266" s="11" t="n">
        <x:v>229.47</x:v>
      </x:c>
      <x:c r="I2266" s="2" t="n">
        <x:v>1</x:v>
      </x:c>
      <x:c r="J2266" s="2" t="n">
        <x:v>1</x:v>
      </x:c>
      <x:c r="K2266" s="2" t="n">
        <x:v>1</x:v>
      </x:c>
      <x:c r="L2266" s="2" t="str">
        <x:v>Hibernating</x:v>
      </x:c>
    </x:row>
    <x:row r="2267" ht="22" customHeight="1">
      <x:c r="A2267" s="2"/>
      <x:c r="B2267" s="2" t="str">
        <x:v>14597</x:v>
      </x:c>
      <x:c r="C2267" s="2" t="str">
        <x:v>United Kingdom</x:v>
      </x:c>
      <x:c r="D2267" s="25" t="n">
        <x:v>40449.345138888886</x:v>
      </x:c>
      <x:c r="E2267" s="25" t="n">
        <x:v>40875.342361111114</x:v>
      </x:c>
      <x:c r="F2267" s="2" t="n">
        <x:v>12</x:v>
      </x:c>
      <x:c r="G2267" s="2" t="n">
        <x:v>6</x:v>
      </x:c>
      <x:c r="H2267" s="11" t="n">
        <x:v>2201.54</x:v>
      </x:c>
      <x:c r="I2267" s="2" t="n">
        <x:v>5</x:v>
      </x:c>
      <x:c r="J2267" s="2" t="n">
        <x:v>4</x:v>
      </x:c>
      <x:c r="K2267" s="2" t="n">
        <x:v>4</x:v>
      </x:c>
      <x:c r="L2267" s="2" t="str">
        <x:v>Champions</x:v>
      </x:c>
    </x:row>
    <x:row r="2268" ht="22" customHeight="1">
      <x:c r="A2268" s="2"/>
      <x:c r="B2268" s="2" t="str">
        <x:v>14598</x:v>
      </x:c>
      <x:c r="C2268" s="2" t="str">
        <x:v>United Kingdom</x:v>
      </x:c>
      <x:c r="D2268" s="25" t="n">
        <x:v>40317.33819444444</x:v>
      </x:c>
      <x:c r="E2268" s="25" t="n">
        <x:v>40842.34652777778</x:v>
      </x:c>
      <x:c r="F2268" s="2" t="n">
        <x:v>45</x:v>
      </x:c>
      <x:c r="G2268" s="2" t="n">
        <x:v>2</x:v>
      </x:c>
      <x:c r="H2268" s="11" t="n">
        <x:v>384.04</x:v>
      </x:c>
      <x:c r="I2268" s="2" t="n">
        <x:v>4</x:v>
      </x:c>
      <x:c r="J2268" s="2" t="n">
        <x:v>2</x:v>
      </x:c>
      <x:c r="K2268" s="2" t="n">
        <x:v>2</x:v>
      </x:c>
      <x:c r="L2268" s="2" t="str">
        <x:v>Recent light buyers</x:v>
      </x:c>
    </x:row>
    <x:row r="2269" ht="22" customHeight="1">
      <x:c r="A2269" s="2"/>
      <x:c r="B2269" s="2" t="str">
        <x:v>14599</x:v>
      </x:c>
      <x:c r="C2269" s="2" t="str">
        <x:v>United Kingdom</x:v>
      </x:c>
      <x:c r="D2269" s="25" t="n">
        <x:v>40377.45416666667</x:v>
      </x:c>
      <x:c r="E2269" s="25" t="n">
        <x:v>40496.40902777778</x:v>
      </x:c>
      <x:c r="F2269" s="2" t="n">
        <x:v>391</x:v>
      </x:c>
      <x:c r="G2269" s="2" t="n">
        <x:v>2</x:v>
      </x:c>
      <x:c r="H2269" s="11" t="n">
        <x:v>474.54</x:v>
      </x:c>
      <x:c r="I2269" s="2" t="n">
        <x:v>2</x:v>
      </x:c>
      <x:c r="J2269" s="2" t="n">
        <x:v>2</x:v>
      </x:c>
      <x:c r="K2269" s="2" t="n">
        <x:v>2</x:v>
      </x:c>
      <x:c r="L2269" s="2" t="str">
        <x:v>Hibernating</x:v>
      </x:c>
    </x:row>
    <x:row r="2270" ht="22" customHeight="1">
      <x:c r="A2270" s="2"/>
      <x:c r="B2270" s="2" t="str">
        <x:v>14600</x:v>
      </x:c>
      <x:c r="C2270" s="2" t="str">
        <x:v>United Kingdom</x:v>
      </x:c>
      <x:c r="D2270" s="25" t="n">
        <x:v>40493.455555555556</x:v>
      </x:c>
      <x:c r="E2270" s="25" t="n">
        <x:v>40581.2</x:v>
      </x:c>
      <x:c r="F2270" s="2" t="n">
        <x:v>306</x:v>
      </x:c>
      <x:c r="G2270" s="2" t="n">
        <x:v>2</x:v>
      </x:c>
      <x:c r="H2270" s="11" t="n">
        <x:v>865.17</x:v>
      </x:c>
      <x:c r="I2270" s="2" t="n">
        <x:v>2</x:v>
      </x:c>
      <x:c r="J2270" s="2" t="n">
        <x:v>2</x:v>
      </x:c>
      <x:c r="K2270" s="2" t="n">
        <x:v>3</x:v>
      </x:c>
      <x:c r="L2270" s="2" t="str">
        <x:v>Hibernating</x:v>
      </x:c>
    </x:row>
    <x:row r="2271" ht="22" customHeight="1">
      <x:c r="A2271" s="2"/>
      <x:c r="B2271" s="2" t="str">
        <x:v>14601</x:v>
      </x:c>
      <x:c r="C2271" s="2" t="str">
        <x:v>United Kingdom</x:v>
      </x:c>
      <x:c r="D2271" s="25" t="n">
        <x:v>40876.2</x:v>
      </x:c>
      <x:c r="E2271" s="25" t="n">
        <x:v>40876.2</x:v>
      </x:c>
      <x:c r="F2271" s="2" t="n">
        <x:v>11</x:v>
      </x:c>
      <x:c r="G2271" s="2" t="n">
        <x:v>1</x:v>
      </x:c>
      <x:c r="H2271" s="11" t="n">
        <x:v>213.96</x:v>
      </x:c>
      <x:c r="I2271" s="2" t="n">
        <x:v>5</x:v>
      </x:c>
      <x:c r="J2271" s="2" t="n">
        <x:v>1</x:v>
      </x:c>
      <x:c r="K2271" s="2" t="n">
        <x:v>1</x:v>
      </x:c>
      <x:c r="L2271" s="2" t="str">
        <x:v>Recent light buyers</x:v>
      </x:c>
    </x:row>
    <x:row r="2272" ht="22" customHeight="1">
      <x:c r="A2272" s="2"/>
      <x:c r="B2272" s="2" t="str">
        <x:v>14602</x:v>
      </x:c>
      <x:c r="C2272" s="2" t="str">
        <x:v>United Kingdom</x:v>
      </x:c>
      <x:c r="D2272" s="25" t="n">
        <x:v>40230.44930555556</x:v>
      </x:c>
      <x:c r="E2272" s="25" t="n">
        <x:v>40230.44930555556</x:v>
      </x:c>
      <x:c r="F2272" s="2" t="n">
        <x:v>657</x:v>
      </x:c>
      <x:c r="G2272" s="2" t="n">
        <x:v>1</x:v>
      </x:c>
      <x:c r="H2272" s="11" t="n">
        <x:v>205.36</x:v>
      </x:c>
      <x:c r="I2272" s="2" t="n">
        <x:v>1</x:v>
      </x:c>
      <x:c r="J2272" s="2" t="n">
        <x:v>1</x:v>
      </x:c>
      <x:c r="K2272" s="2" t="n">
        <x:v>1</x:v>
      </x:c>
      <x:c r="L2272" s="2" t="str">
        <x:v>Hibernating</x:v>
      </x:c>
    </x:row>
    <x:row r="2273" ht="22" customHeight="1">
      <x:c r="A2273" s="2"/>
      <x:c r="B2273" s="2" t="str">
        <x:v>14603</x:v>
      </x:c>
      <x:c r="C2273" s="2" t="str">
        <x:v>United Kingdom</x:v>
      </x:c>
      <x:c r="D2273" s="25" t="n">
        <x:v>40612.22708333333</x:v>
      </x:c>
      <x:c r="E2273" s="25" t="n">
        <x:v>40612.22708333333</x:v>
      </x:c>
      <x:c r="F2273" s="2" t="n">
        <x:v>275</x:v>
      </x:c>
      <x:c r="G2273" s="2" t="n">
        <x:v>1</x:v>
      </x:c>
      <x:c r="H2273" s="11" t="n">
        <x:v>660</x:v>
      </x:c>
      <x:c r="I2273" s="2" t="n">
        <x:v>2</x:v>
      </x:c>
      <x:c r="J2273" s="2" t="n">
        <x:v>1</x:v>
      </x:c>
      <x:c r="K2273" s="2" t="n">
        <x:v>3</x:v>
      </x:c>
      <x:c r="L2273" s="2" t="str">
        <x:v>Hibernating</x:v>
      </x:c>
    </x:row>
    <x:row r="2274" ht="22" customHeight="1">
      <x:c r="A2274" s="2"/>
      <x:c r="B2274" s="2" t="str">
        <x:v>14604</x:v>
      </x:c>
      <x:c r="C2274" s="2" t="str">
        <x:v>United Kingdom</x:v>
      </x:c>
      <x:c r="D2274" s="25" t="n">
        <x:v>40253.333333333336</x:v>
      </x:c>
      <x:c r="E2274" s="25" t="n">
        <x:v>40253.333333333336</x:v>
      </x:c>
      <x:c r="F2274" s="2" t="n">
        <x:v>634</x:v>
      </x:c>
      <x:c r="G2274" s="2" t="n">
        <x:v>1</x:v>
      </x:c>
      <x:c r="H2274" s="11" t="n">
        <x:v>143.86</x:v>
      </x:c>
      <x:c r="I2274" s="2" t="n">
        <x:v>1</x:v>
      </x:c>
      <x:c r="J2274" s="2" t="n">
        <x:v>1</x:v>
      </x:c>
      <x:c r="K2274" s="2" t="n">
        <x:v>1</x:v>
      </x:c>
      <x:c r="L2274" s="2" t="str">
        <x:v>Hibernating</x:v>
      </x:c>
    </x:row>
    <x:row r="2275" ht="22" customHeight="1">
      <x:c r="A2275" s="2"/>
      <x:c r="B2275" s="2" t="str">
        <x:v>14605</x:v>
      </x:c>
      <x:c r="C2275" s="2" t="str">
        <x:v>United Kingdom</x:v>
      </x:c>
      <x:c r="D2275" s="25" t="n">
        <x:v>40155.37430555555</x:v>
      </x:c>
      <x:c r="E2275" s="25" t="n">
        <x:v>40512.37986111111</x:v>
      </x:c>
      <x:c r="F2275" s="2" t="n">
        <x:v>375</x:v>
      </x:c>
      <x:c r="G2275" s="2" t="n">
        <x:v>4</x:v>
      </x:c>
      <x:c r="H2275" s="11" t="n">
        <x:v>937.16</x:v>
      </x:c>
      <x:c r="I2275" s="2" t="n">
        <x:v>2</x:v>
      </x:c>
      <x:c r="J2275" s="2" t="n">
        <x:v>3</x:v>
      </x:c>
      <x:c r="K2275" s="2" t="n">
        <x:v>3</x:v>
      </x:c>
      <x:c r="L2275" s="2" t="str">
        <x:v>At risk</x:v>
      </x:c>
    </x:row>
    <x:row r="2276" ht="22" customHeight="1">
      <x:c r="A2276" s="2"/>
      <x:c r="B2276" s="2" t="str">
        <x:v>14606</x:v>
      </x:c>
      <x:c r="C2276" s="2" t="str">
        <x:v>United Kingdom</x:v>
      </x:c>
      <x:c r="D2276" s="25" t="n">
        <x:v>40150.319444444445</x:v>
      </x:c>
      <x:c r="E2276" s="25" t="n">
        <x:v>40885.60277777778</x:v>
      </x:c>
      <x:c r="F2276" s="2" t="n">
        <x:v>2</x:v>
      </x:c>
      <x:c r="G2276" s="2" t="n">
        <x:v>192</x:v>
      </x:c>
      <x:c r="H2276" s="11" t="n">
        <x:v>30254.18</x:v>
      </x:c>
      <x:c r="I2276" s="2" t="n">
        <x:v>5</x:v>
      </x:c>
      <x:c r="J2276" s="2" t="n">
        <x:v>5</x:v>
      </x:c>
      <x:c r="K2276" s="2" t="n">
        <x:v>5</x:v>
      </x:c>
      <x:c r="L2276" s="2" t="str">
        <x:v>Champions</x:v>
      </x:c>
    </x:row>
    <x:row r="2277" ht="22" customHeight="1">
      <x:c r="A2277" s="2"/>
      <x:c r="B2277" s="2" t="str">
        <x:v>14607</x:v>
      </x:c>
      <x:c r="C2277" s="2" t="str">
        <x:v>United Kingdom</x:v>
      </x:c>
      <x:c r="D2277" s="25" t="n">
        <x:v>40162.26736111111</x:v>
      </x:c>
      <x:c r="E2277" s="25" t="n">
        <x:v>40871.23263888889</x:v>
      </x:c>
      <x:c r="F2277" s="2" t="n">
        <x:v>16</x:v>
      </x:c>
      <x:c r="G2277" s="2" t="n">
        <x:v>22</x:v>
      </x:c>
      <x:c r="H2277" s="11" t="n">
        <x:v>24137.63</x:v>
      </x:c>
      <x:c r="I2277" s="2" t="n">
        <x:v>5</x:v>
      </x:c>
      <x:c r="J2277" s="2" t="n">
        <x:v>5</x:v>
      </x:c>
      <x:c r="K2277" s="2" t="n">
        <x:v>5</x:v>
      </x:c>
      <x:c r="L2277" s="2" t="str">
        <x:v>Champions</x:v>
      </x:c>
    </x:row>
    <x:row r="2278" ht="22" customHeight="1">
      <x:c r="A2278" s="2"/>
      <x:c r="B2278" s="2" t="str">
        <x:v>14608</x:v>
      </x:c>
      <x:c r="C2278" s="2" t="str">
        <x:v>United Kingdom</x:v>
      </x:c>
      <x:c r="D2278" s="25" t="n">
        <x:v>40153.31527777778</x:v>
      </x:c>
      <x:c r="E2278" s="25" t="n">
        <x:v>40882.49444444444</x:v>
      </x:c>
      <x:c r="F2278" s="2" t="n">
        <x:v>5</x:v>
      </x:c>
      <x:c r="G2278" s="2" t="n">
        <x:v>11</x:v>
      </x:c>
      <x:c r="H2278" s="11" t="n">
        <x:v>3352.94</x:v>
      </x:c>
      <x:c r="I2278" s="2" t="n">
        <x:v>5</x:v>
      </x:c>
      <x:c r="J2278" s="2" t="n">
        <x:v>5</x:v>
      </x:c>
      <x:c r="K2278" s="2" t="n">
        <x:v>5</x:v>
      </x:c>
      <x:c r="L2278" s="2" t="str">
        <x:v>Champions</x:v>
      </x:c>
    </x:row>
    <x:row r="2279" ht="22" customHeight="1">
      <x:c r="A2279" s="2"/>
      <x:c r="B2279" s="2" t="str">
        <x:v>14609</x:v>
      </x:c>
      <x:c r="C2279" s="2" t="str">
        <x:v>United Kingdom</x:v>
      </x:c>
      <x:c r="D2279" s="25" t="n">
        <x:v>40218.2</x:v>
      </x:c>
      <x:c r="E2279" s="25" t="n">
        <x:v>40814.32916666667</x:v>
      </x:c>
      <x:c r="F2279" s="2" t="n">
        <x:v>73</x:v>
      </x:c>
      <x:c r="G2279" s="2" t="n">
        <x:v>10</x:v>
      </x:c>
      <x:c r="H2279" s="11" t="n">
        <x:v>1486.2</x:v>
      </x:c>
      <x:c r="I2279" s="2" t="n">
        <x:v>3</x:v>
      </x:c>
      <x:c r="J2279" s="2" t="n">
        <x:v>5</x:v>
      </x:c>
      <x:c r="K2279" s="2" t="n">
        <x:v>4</x:v>
      </x:c>
      <x:c r="L2279" s="2" t="str">
        <x:v>Loyal</x:v>
      </x:c>
    </x:row>
    <x:row r="2280" ht="22" customHeight="1">
      <x:c r="A2280" s="2"/>
      <x:c r="B2280" s="2" t="str">
        <x:v>14610</x:v>
      </x:c>
      <x:c r="C2280" s="2" t="str">
        <x:v>United Kingdom</x:v>
      </x:c>
      <x:c r="D2280" s="25" t="n">
        <x:v>40372.4625</x:v>
      </x:c>
      <x:c r="E2280" s="25" t="n">
        <x:v>40491.248611111114</x:v>
      </x:c>
      <x:c r="F2280" s="2" t="n">
        <x:v>396</x:v>
      </x:c>
      <x:c r="G2280" s="2" t="n">
        <x:v>2</x:v>
      </x:c>
      <x:c r="H2280" s="11" t="n">
        <x:v>24.35</x:v>
      </x:c>
      <x:c r="I2280" s="2" t="n">
        <x:v>2</x:v>
      </x:c>
      <x:c r="J2280" s="2" t="n">
        <x:v>2</x:v>
      </x:c>
      <x:c r="K2280" s="2" t="n">
        <x:v>1</x:v>
      </x:c>
      <x:c r="L2280" s="2" t="str">
        <x:v>Hibernating</x:v>
      </x:c>
    </x:row>
    <x:row r="2281" ht="22" customHeight="1">
      <x:c r="A2281" s="2"/>
      <x:c r="B2281" s="2" t="str">
        <x:v>14611</x:v>
      </x:c>
      <x:c r="C2281" s="2" t="str">
        <x:v>United Kingdom</x:v>
      </x:c>
      <x:c r="D2281" s="25" t="n">
        <x:v>40288.22152777778</x:v>
      </x:c>
      <x:c r="E2281" s="25" t="n">
        <x:v>40443.17986111111</x:v>
      </x:c>
      <x:c r="F2281" s="2" t="n">
        <x:v>444</x:v>
      </x:c>
      <x:c r="G2281" s="2" t="n">
        <x:v>2</x:v>
      </x:c>
      <x:c r="H2281" s="11" t="n">
        <x:v>604.33</x:v>
      </x:c>
      <x:c r="I2281" s="2" t="n">
        <x:v>1</x:v>
      </x:c>
      <x:c r="J2281" s="2" t="n">
        <x:v>2</x:v>
      </x:c>
      <x:c r="K2281" s="2" t="n">
        <x:v>2</x:v>
      </x:c>
      <x:c r="L2281" s="2" t="str">
        <x:v>Hibernating</x:v>
      </x:c>
    </x:row>
    <x:row r="2282" ht="22" customHeight="1">
      <x:c r="A2282" s="2"/>
      <x:c r="B2282" s="2" t="str">
        <x:v>14612</x:v>
      </x:c>
      <x:c r="C2282" s="2" t="str">
        <x:v>United Kingdom</x:v>
      </x:c>
      <x:c r="D2282" s="25" t="n">
        <x:v>40471.459027777775</x:v>
      </x:c>
      <x:c r="E2282" s="25" t="n">
        <x:v>40471.459027777775</x:v>
      </x:c>
      <x:c r="F2282" s="2" t="n">
        <x:v>416</x:v>
      </x:c>
      <x:c r="G2282" s="2" t="n">
        <x:v>1</x:v>
      </x:c>
      <x:c r="H2282" s="11" t="n">
        <x:v>877.7</x:v>
      </x:c>
      <x:c r="I2282" s="2" t="n">
        <x:v>1</x:v>
      </x:c>
      <x:c r="J2282" s="2" t="n">
        <x:v>1</x:v>
      </x:c>
      <x:c r="K2282" s="2" t="n">
        <x:v>3</x:v>
      </x:c>
      <x:c r="L2282" s="2" t="str">
        <x:v>Hibernating</x:v>
      </x:c>
    </x:row>
    <x:row r="2283" ht="22" customHeight="1">
      <x:c r="A2283" s="2"/>
      <x:c r="B2283" s="2" t="str">
        <x:v>14613</x:v>
      </x:c>
      <x:c r="C2283" s="2" t="str">
        <x:v>United Kingdom</x:v>
      </x:c>
      <x:c r="D2283" s="25" t="n">
        <x:v>40206.33472222222</x:v>
      </x:c>
      <x:c r="E2283" s="25" t="n">
        <x:v>40206.33472222222</x:v>
      </x:c>
      <x:c r="F2283" s="2" t="n">
        <x:v>681</x:v>
      </x:c>
      <x:c r="G2283" s="2" t="n">
        <x:v>1</x:v>
      </x:c>
      <x:c r="H2283" s="11" t="n">
        <x:v>76.32</x:v>
      </x:c>
      <x:c r="I2283" s="2" t="n">
        <x:v>1</x:v>
      </x:c>
      <x:c r="J2283" s="2" t="n">
        <x:v>1</x:v>
      </x:c>
      <x:c r="K2283" s="2" t="n">
        <x:v>1</x:v>
      </x:c>
      <x:c r="L2283" s="2" t="str">
        <x:v>Hibernating</x:v>
      </x:c>
    </x:row>
    <x:row r="2284" ht="22" customHeight="1">
      <x:c r="A2284" s="2"/>
      <x:c r="B2284" s="2" t="str">
        <x:v>14614</x:v>
      </x:c>
      <x:c r="C2284" s="2" t="str">
        <x:v>United Kingdom</x:v>
      </x:c>
      <x:c r="D2284" s="25" t="n">
        <x:v>40500.33611111111</x:v>
      </x:c>
      <x:c r="E2284" s="25" t="n">
        <x:v>40500.33611111111</x:v>
      </x:c>
      <x:c r="F2284" s="2" t="n">
        <x:v>387</x:v>
      </x:c>
      <x:c r="G2284" s="2" t="n">
        <x:v>1</x:v>
      </x:c>
      <x:c r="H2284" s="11" t="n">
        <x:v>295.13</x:v>
      </x:c>
      <x:c r="I2284" s="2" t="n">
        <x:v>2</x:v>
      </x:c>
      <x:c r="J2284" s="2" t="n">
        <x:v>1</x:v>
      </x:c>
      <x:c r="K2284" s="2" t="n">
        <x:v>2</x:v>
      </x:c>
      <x:c r="L2284" s="2" t="str">
        <x:v>Hibernating</x:v>
      </x:c>
    </x:row>
    <x:row r="2285" ht="22" customHeight="1">
      <x:c r="A2285" s="2"/>
      <x:c r="B2285" s="2" t="str">
        <x:v>14615</x:v>
      </x:c>
      <x:c r="C2285" s="2" t="str">
        <x:v>United Kingdom</x:v>
      </x:c>
      <x:c r="D2285" s="25" t="n">
        <x:v>40338.37430555555</x:v>
      </x:c>
      <x:c r="E2285" s="25" t="n">
        <x:v>40492.35833333333</x:v>
      </x:c>
      <x:c r="F2285" s="2" t="n">
        <x:v>395</x:v>
      </x:c>
      <x:c r="G2285" s="2" t="n">
        <x:v>5</x:v>
      </x:c>
      <x:c r="H2285" s="11" t="n">
        <x:v>951.76</x:v>
      </x:c>
      <x:c r="I2285" s="2" t="n">
        <x:v>2</x:v>
      </x:c>
      <x:c r="J2285" s="2" t="n">
        <x:v>4</x:v>
      </x:c>
      <x:c r="K2285" s="2" t="n">
        <x:v>3</x:v>
      </x:c>
      <x:c r="L2285" s="2" t="str">
        <x:v>At risk</x:v>
      </x:c>
    </x:row>
    <x:row r="2286" ht="22" customHeight="1">
      <x:c r="A2286" s="2"/>
      <x:c r="B2286" s="2" t="str">
        <x:v>14616</x:v>
      </x:c>
      <x:c r="C2286" s="2" t="str">
        <x:v>United Kingdom</x:v>
      </x:c>
      <x:c r="D2286" s="25" t="n">
        <x:v>40338.19583333333</x:v>
      </x:c>
      <x:c r="E2286" s="25" t="n">
        <x:v>40644.20416666667</x:v>
      </x:c>
      <x:c r="F2286" s="2" t="n">
        <x:v>243</x:v>
      </x:c>
      <x:c r="G2286" s="2" t="n">
        <x:v>5</x:v>
      </x:c>
      <x:c r="H2286" s="11" t="n">
        <x:v>527.78</x:v>
      </x:c>
      <x:c r="I2286" s="2" t="n">
        <x:v>2</x:v>
      </x:c>
      <x:c r="J2286" s="2" t="n">
        <x:v>4</x:v>
      </x:c>
      <x:c r="K2286" s="2" t="n">
        <x:v>2</x:v>
      </x:c>
      <x:c r="L2286" s="2" t="str">
        <x:v>At risk</x:v>
      </x:c>
    </x:row>
    <x:row r="2287" ht="22" customHeight="1">
      <x:c r="A2287" s="2"/>
      <x:c r="B2287" s="2" t="str">
        <x:v>14617</x:v>
      </x:c>
      <x:c r="C2287" s="2" t="str">
        <x:v>United Kingdom</x:v>
      </x:c>
      <x:c r="D2287" s="25" t="n">
        <x:v>40471.23611111111</x:v>
      </x:c>
      <x:c r="E2287" s="25" t="n">
        <x:v>40484.27847222222</x:v>
      </x:c>
      <x:c r="F2287" s="2" t="n">
        <x:v>403</x:v>
      </x:c>
      <x:c r="G2287" s="2" t="n">
        <x:v>2</x:v>
      </x:c>
      <x:c r="H2287" s="11" t="n">
        <x:v>190.47</x:v>
      </x:c>
      <x:c r="I2287" s="2" t="n">
        <x:v>2</x:v>
      </x:c>
      <x:c r="J2287" s="2" t="n">
        <x:v>2</x:v>
      </x:c>
      <x:c r="K2287" s="2" t="n">
        <x:v>1</x:v>
      </x:c>
      <x:c r="L2287" s="2" t="str">
        <x:v>Hibernating</x:v>
      </x:c>
    </x:row>
    <x:row r="2288" ht="22" customHeight="1">
      <x:c r="A2288" s="2"/>
      <x:c r="B2288" s="2" t="str">
        <x:v>14618</x:v>
      </x:c>
      <x:c r="C2288" s="2" t="str">
        <x:v>United Kingdom</x:v>
      </x:c>
      <x:c r="D2288" s="25" t="n">
        <x:v>40340.21597222222</x:v>
      </x:c>
      <x:c r="E2288" s="25" t="n">
        <x:v>40877.364583333336</x:v>
      </x:c>
      <x:c r="F2288" s="2" t="n">
        <x:v>10</x:v>
      </x:c>
      <x:c r="G2288" s="2" t="n">
        <x:v>7</x:v>
      </x:c>
      <x:c r="H2288" s="11" t="n">
        <x:v>1342.32</x:v>
      </x:c>
      <x:c r="I2288" s="2" t="n">
        <x:v>5</x:v>
      </x:c>
      <x:c r="J2288" s="2" t="n">
        <x:v>4</x:v>
      </x:c>
      <x:c r="K2288" s="2" t="n">
        <x:v>4</x:v>
      </x:c>
      <x:c r="L2288" s="2" t="str">
        <x:v>Champions</x:v>
      </x:c>
    </x:row>
    <x:row r="2289" ht="22" customHeight="1">
      <x:c r="A2289" s="2"/>
      <x:c r="B2289" s="2" t="str">
        <x:v>14619</x:v>
      </x:c>
      <x:c r="C2289" s="2" t="str">
        <x:v>United Kingdom</x:v>
      </x:c>
      <x:c r="D2289" s="25" t="n">
        <x:v>40345.40347222222</x:v>
      </x:c>
      <x:c r="E2289" s="25" t="n">
        <x:v>40641.10902777778</x:v>
      </x:c>
      <x:c r="F2289" s="2" t="n">
        <x:v>246</x:v>
      </x:c>
      <x:c r="G2289" s="2" t="n">
        <x:v>2</x:v>
      </x:c>
      <x:c r="H2289" s="11" t="n">
        <x:v>1291.24</x:v>
      </x:c>
      <x:c r="I2289" s="2" t="n">
        <x:v>2</x:v>
      </x:c>
      <x:c r="J2289" s="2" t="n">
        <x:v>2</x:v>
      </x:c>
      <x:c r="K2289" s="2" t="n">
        <x:v>4</x:v>
      </x:c>
      <x:c r="L2289" s="2" t="str">
        <x:v>Hibernating</x:v>
      </x:c>
    </x:row>
    <x:row r="2290" ht="22" customHeight="1">
      <x:c r="A2290" s="2"/>
      <x:c r="B2290" s="2" t="str">
        <x:v>14620</x:v>
      </x:c>
      <x:c r="C2290" s="2" t="str">
        <x:v>United Kingdom</x:v>
      </x:c>
      <x:c r="D2290" s="25" t="n">
        <x:v>40603.145833333336</x:v>
      </x:c>
      <x:c r="E2290" s="25" t="n">
        <x:v>40681.29027777778</x:v>
      </x:c>
      <x:c r="F2290" s="2" t="n">
        <x:v>206</x:v>
      </x:c>
      <x:c r="G2290" s="2" t="n">
        <x:v>2</x:v>
      </x:c>
      <x:c r="H2290" s="11" t="n">
        <x:v>412.78</x:v>
      </x:c>
      <x:c r="I2290" s="2" t="n">
        <x:v>2</x:v>
      </x:c>
      <x:c r="J2290" s="2" t="n">
        <x:v>2</x:v>
      </x:c>
      <x:c r="K2290" s="2" t="n">
        <x:v>2</x:v>
      </x:c>
      <x:c r="L2290" s="2" t="str">
        <x:v>Hibernating</x:v>
      </x:c>
    </x:row>
    <x:row r="2291" ht="22" customHeight="1">
      <x:c r="A2291" s="2"/>
      <x:c r="B2291" s="2" t="str">
        <x:v>14621</x:v>
      </x:c>
      <x:c r="C2291" s="2" t="str">
        <x:v>United Kingdom</x:v>
      </x:c>
      <x:c r="D2291" s="25" t="n">
        <x:v>40203.17222222222</x:v>
      </x:c>
      <x:c r="E2291" s="25" t="n">
        <x:v>40885.47361111111</x:v>
      </x:c>
      <x:c r="F2291" s="2" t="n">
        <x:v>2</x:v>
      </x:c>
      <x:c r="G2291" s="2" t="n">
        <x:v>9</x:v>
      </x:c>
      <x:c r="H2291" s="11" t="n">
        <x:v>3000.57</x:v>
      </x:c>
      <x:c r="I2291" s="2" t="n">
        <x:v>5</x:v>
      </x:c>
      <x:c r="J2291" s="2" t="n">
        <x:v>5</x:v>
      </x:c>
      <x:c r="K2291" s="2" t="n">
        <x:v>5</x:v>
      </x:c>
      <x:c r="L2291" s="2" t="str">
        <x:v>Champions</x:v>
      </x:c>
    </x:row>
    <x:row r="2292" ht="22" customHeight="1">
      <x:c r="A2292" s="2"/>
      <x:c r="B2292" s="2" t="str">
        <x:v>14622</x:v>
      </x:c>
      <x:c r="C2292" s="2" t="str">
        <x:v>United Kingdom</x:v>
      </x:c>
      <x:c r="D2292" s="25" t="n">
        <x:v>40702.32083333333</x:v>
      </x:c>
      <x:c r="E2292" s="25" t="n">
        <x:v>40702.32083333333</x:v>
      </x:c>
      <x:c r="F2292" s="2" t="n">
        <x:v>185</x:v>
      </x:c>
      <x:c r="G2292" s="2" t="n">
        <x:v>1</x:v>
      </x:c>
      <x:c r="H2292" s="11" t="n">
        <x:v>320.58</x:v>
      </x:c>
      <x:c r="I2292" s="2" t="n">
        <x:v>3</x:v>
      </x:c>
      <x:c r="J2292" s="2" t="n">
        <x:v>1</x:v>
      </x:c>
      <x:c r="K2292" s="2" t="n">
        <x:v>2</x:v>
      </x:c>
      <x:c r="L2292" s="2" t="str">
        <x:v>Developing</x:v>
      </x:c>
    </x:row>
    <x:row r="2293" ht="22" customHeight="1">
      <x:c r="A2293" s="2"/>
      <x:c r="B2293" s="2" t="str">
        <x:v>14623</x:v>
      </x:c>
      <x:c r="C2293" s="2" t="str">
        <x:v>United Kingdom</x:v>
      </x:c>
      <x:c r="D2293" s="25" t="n">
        <x:v>40284.50833333333</x:v>
      </x:c>
      <x:c r="E2293" s="25" t="n">
        <x:v>40854.37222222222</x:v>
      </x:c>
      <x:c r="F2293" s="2" t="n">
        <x:v>33</x:v>
      </x:c>
      <x:c r="G2293" s="2" t="n">
        <x:v>10</x:v>
      </x:c>
      <x:c r="H2293" s="11" t="n">
        <x:v>2059.58</x:v>
      </x:c>
      <x:c r="I2293" s="2" t="n">
        <x:v>4</x:v>
      </x:c>
      <x:c r="J2293" s="2" t="n">
        <x:v>5</x:v>
      </x:c>
      <x:c r="K2293" s="2" t="n">
        <x:v>4</x:v>
      </x:c>
      <x:c r="L2293" s="2" t="str">
        <x:v>Champions</x:v>
      </x:c>
    </x:row>
    <x:row r="2294" ht="22" customHeight="1">
      <x:c r="A2294" s="2"/>
      <x:c r="B2294" s="2" t="str">
        <x:v>14624</x:v>
      </x:c>
      <x:c r="C2294" s="2" t="str">
        <x:v>United Kingdom</x:v>
      </x:c>
      <x:c r="D2294" s="25" t="n">
        <x:v>40282.23888888889</x:v>
      </x:c>
      <x:c r="E2294" s="25" t="n">
        <x:v>40829.36388888889</x:v>
      </x:c>
      <x:c r="F2294" s="2" t="n">
        <x:v>58</x:v>
      </x:c>
      <x:c r="G2294" s="2" t="n">
        <x:v>6</x:v>
      </x:c>
      <x:c r="H2294" s="11" t="n">
        <x:v>814.07</x:v>
      </x:c>
      <x:c r="I2294" s="2" t="n">
        <x:v>4</x:v>
      </x:c>
      <x:c r="J2294" s="2" t="n">
        <x:v>4</x:v>
      </x:c>
      <x:c r="K2294" s="2" t="n">
        <x:v>3</x:v>
      </x:c>
      <x:c r="L2294" s="2" t="str">
        <x:v>Loyal</x:v>
      </x:c>
    </x:row>
    <x:row r="2295" ht="22" customHeight="1">
      <x:c r="A2295" s="2"/>
      <x:c r="B2295" s="2" t="str">
        <x:v>14625</x:v>
      </x:c>
      <x:c r="C2295" s="2" t="str">
        <x:v>United Kingdom</x:v>
      </x:c>
      <x:c r="D2295" s="25" t="n">
        <x:v>40163.34930555556</x:v>
      </x:c>
      <x:c r="E2295" s="25" t="n">
        <x:v>40690.438888888886</x:v>
      </x:c>
      <x:c r="F2295" s="2" t="n">
        <x:v>197</x:v>
      </x:c>
      <x:c r="G2295" s="2" t="n">
        <x:v>11</x:v>
      </x:c>
      <x:c r="H2295" s="11" t="n">
        <x:v>4497.88</x:v>
      </x:c>
      <x:c r="I2295" s="2" t="n">
        <x:v>2</x:v>
      </x:c>
      <x:c r="J2295" s="2" t="n">
        <x:v>5</x:v>
      </x:c>
      <x:c r="K2295" s="2" t="n">
        <x:v>5</x:v>
      </x:c>
      <x:c r="L2295" s="2" t="str">
        <x:v>At risk</x:v>
      </x:c>
    </x:row>
    <x:row r="2296" ht="22" customHeight="1">
      <x:c r="A2296" s="2"/>
      <x:c r="B2296" s="2" t="str">
        <x:v>14626</x:v>
      </x:c>
      <x:c r="C2296" s="2" t="str">
        <x:v>United Kingdom</x:v>
      </x:c>
      <x:c r="D2296" s="25" t="n">
        <x:v>40157.41458333333</x:v>
      </x:c>
      <x:c r="E2296" s="25" t="n">
        <x:v>40863.23402777778</x:v>
      </x:c>
      <x:c r="F2296" s="2" t="n">
        <x:v>24</x:v>
      </x:c>
      <x:c r="G2296" s="2" t="n">
        <x:v>11</x:v>
      </x:c>
      <x:c r="H2296" s="11" t="n">
        <x:v>5410.92</x:v>
      </x:c>
      <x:c r="I2296" s="2" t="n">
        <x:v>4</x:v>
      </x:c>
      <x:c r="J2296" s="2" t="n">
        <x:v>5</x:v>
      </x:c>
      <x:c r="K2296" s="2" t="n">
        <x:v>5</x:v>
      </x:c>
      <x:c r="L2296" s="2" t="str">
        <x:v>Champions</x:v>
      </x:c>
    </x:row>
    <x:row r="2297" ht="22" customHeight="1">
      <x:c r="A2297" s="2"/>
      <x:c r="B2297" s="2" t="str">
        <x:v>14627</x:v>
      </x:c>
      <x:c r="C2297" s="2" t="str">
        <x:v>United Kingdom</x:v>
      </x:c>
      <x:c r="D2297" s="25" t="n">
        <x:v>40507.48055555556</x:v>
      </x:c>
      <x:c r="E2297" s="25" t="n">
        <x:v>40507.48055555556</x:v>
      </x:c>
      <x:c r="F2297" s="2" t="n">
        <x:v>380</x:v>
      </x:c>
      <x:c r="G2297" s="2" t="n">
        <x:v>1</x:v>
      </x:c>
      <x:c r="H2297" s="11" t="n">
        <x:v>462.75</x:v>
      </x:c>
      <x:c r="I2297" s="2" t="n">
        <x:v>2</x:v>
      </x:c>
      <x:c r="J2297" s="2" t="n">
        <x:v>1</x:v>
      </x:c>
      <x:c r="K2297" s="2" t="n">
        <x:v>2</x:v>
      </x:c>
      <x:c r="L2297" s="2" t="str">
        <x:v>Hibernating</x:v>
      </x:c>
    </x:row>
    <x:row r="2298" ht="22" customHeight="1">
      <x:c r="A2298" s="2"/>
      <x:c r="B2298" s="2" t="str">
        <x:v>14628</x:v>
      </x:c>
      <x:c r="C2298" s="2" t="str">
        <x:v>United Kingdom</x:v>
      </x:c>
      <x:c r="D2298" s="25" t="n">
        <x:v>40203.40277777778</x:v>
      </x:c>
      <x:c r="E2298" s="25" t="n">
        <x:v>40795.41527777778</x:v>
      </x:c>
      <x:c r="F2298" s="2" t="n">
        <x:v>92</x:v>
      </x:c>
      <x:c r="G2298" s="2" t="n">
        <x:v>5</x:v>
      </x:c>
      <x:c r="H2298" s="11" t="n">
        <x:v>1998</x:v>
      </x:c>
      <x:c r="I2298" s="2" t="n">
        <x:v>3</x:v>
      </x:c>
      <x:c r="J2298" s="2" t="n">
        <x:v>4</x:v>
      </x:c>
      <x:c r="K2298" s="2" t="n">
        <x:v>4</x:v>
      </x:c>
      <x:c r="L2298" s="2" t="str">
        <x:v>Loyal</x:v>
      </x:c>
    </x:row>
    <x:row r="2299" ht="22" customHeight="1">
      <x:c r="A2299" s="2"/>
      <x:c r="B2299" s="2" t="str">
        <x:v>14629</x:v>
      </x:c>
      <x:c r="C2299" s="2" t="str">
        <x:v>United Kingdom</x:v>
      </x:c>
      <x:c r="D2299" s="25" t="n">
        <x:v>40839.467361111114</x:v>
      </x:c>
      <x:c r="E2299" s="25" t="n">
        <x:v>40882.49652777778</x:v>
      </x:c>
      <x:c r="F2299" s="2" t="n">
        <x:v>5</x:v>
      </x:c>
      <x:c r="G2299" s="2" t="n">
        <x:v>2</x:v>
      </x:c>
      <x:c r="H2299" s="11" t="n">
        <x:v>959.01</x:v>
      </x:c>
      <x:c r="I2299" s="2" t="n">
        <x:v>5</x:v>
      </x:c>
      <x:c r="J2299" s="2" t="n">
        <x:v>2</x:v>
      </x:c>
      <x:c r="K2299" s="2" t="n">
        <x:v>3</x:v>
      </x:c>
      <x:c r="L2299" s="2" t="str">
        <x:v>Recent light buyers</x:v>
      </x:c>
    </x:row>
    <x:row r="2300" ht="22" customHeight="1">
      <x:c r="A2300" s="2"/>
      <x:c r="B2300" s="2" t="str">
        <x:v>14630</x:v>
      </x:c>
      <x:c r="C2300" s="2" t="str">
        <x:v>United Kingdom</x:v>
      </x:c>
      <x:c r="D2300" s="25" t="n">
        <x:v>40402.48472222222</x:v>
      </x:c>
      <x:c r="E2300" s="25" t="n">
        <x:v>40402.48472222222</x:v>
      </x:c>
      <x:c r="F2300" s="2" t="n">
        <x:v>485</x:v>
      </x:c>
      <x:c r="G2300" s="2" t="n">
        <x:v>1</x:v>
      </x:c>
      <x:c r="H2300" s="11" t="n">
        <x:v>338.65</x:v>
      </x:c>
      <x:c r="I2300" s="2" t="n">
        <x:v>1</x:v>
      </x:c>
      <x:c r="J2300" s="2" t="n">
        <x:v>1</x:v>
      </x:c>
      <x:c r="K2300" s="2" t="n">
        <x:v>2</x:v>
      </x:c>
      <x:c r="L2300" s="2" t="str">
        <x:v>Hibernating</x:v>
      </x:c>
    </x:row>
    <x:row r="2301" ht="22" customHeight="1">
      <x:c r="A2301" s="2"/>
      <x:c r="B2301" s="2" t="str">
        <x:v>14631</x:v>
      </x:c>
      <x:c r="C2301" s="2" t="str">
        <x:v>United Kingdom</x:v>
      </x:c>
      <x:c r="D2301" s="25" t="n">
        <x:v>40399.40625</x:v>
      </x:c>
      <x:c r="E2301" s="25" t="n">
        <x:v>40836.26180555556</x:v>
      </x:c>
      <x:c r="F2301" s="2" t="n">
        <x:v>51</x:v>
      </x:c>
      <x:c r="G2301" s="2" t="n">
        <x:v>6</x:v>
      </x:c>
      <x:c r="H2301" s="11" t="n">
        <x:v>2025.69</x:v>
      </x:c>
      <x:c r="I2301" s="2" t="n">
        <x:v>4</x:v>
      </x:c>
      <x:c r="J2301" s="2" t="n">
        <x:v>4</x:v>
      </x:c>
      <x:c r="K2301" s="2" t="n">
        <x:v>4</x:v>
      </x:c>
      <x:c r="L2301" s="2" t="str">
        <x:v>Champions</x:v>
      </x:c>
    </x:row>
    <x:row r="2302" ht="22" customHeight="1">
      <x:c r="A2302" s="2"/>
      <x:c r="B2302" s="2" t="str">
        <x:v>14632</x:v>
      </x:c>
      <x:c r="C2302" s="2" t="str">
        <x:v>United Kingdom</x:v>
      </x:c>
      <x:c r="D2302" s="25" t="n">
        <x:v>40624.15902777778</x:v>
      </x:c>
      <x:c r="E2302" s="25" t="n">
        <x:v>40624.15902777778</x:v>
      </x:c>
      <x:c r="F2302" s="2" t="n">
        <x:v>263</x:v>
      </x:c>
      <x:c r="G2302" s="2" t="n">
        <x:v>1</x:v>
      </x:c>
      <x:c r="H2302" s="11" t="n">
        <x:v>114.56</x:v>
      </x:c>
      <x:c r="I2302" s="2" t="n">
        <x:v>2</x:v>
      </x:c>
      <x:c r="J2302" s="2" t="n">
        <x:v>1</x:v>
      </x:c>
      <x:c r="K2302" s="2" t="n">
        <x:v>1</x:v>
      </x:c>
      <x:c r="L2302" s="2" t="str">
        <x:v>Hibernating</x:v>
      </x:c>
    </x:row>
    <x:row r="2303" ht="22" customHeight="1">
      <x:c r="A2303" s="2"/>
      <x:c r="B2303" s="2" t="str">
        <x:v>14633</x:v>
      </x:c>
      <x:c r="C2303" s="2" t="str">
        <x:v>United Kingdom</x:v>
      </x:c>
      <x:c r="D2303" s="25" t="n">
        <x:v>40620.50486111111</x:v>
      </x:c>
      <x:c r="E2303" s="25" t="n">
        <x:v>40620.50486111111</x:v>
      </x:c>
      <x:c r="F2303" s="2" t="n">
        <x:v>267</x:v>
      </x:c>
      <x:c r="G2303" s="2" t="n">
        <x:v>1</x:v>
      </x:c>
      <x:c r="H2303" s="11" t="n">
        <x:v>344.9</x:v>
      </x:c>
      <x:c r="I2303" s="2" t="n">
        <x:v>2</x:v>
      </x:c>
      <x:c r="J2303" s="2" t="n">
        <x:v>1</x:v>
      </x:c>
      <x:c r="K2303" s="2" t="n">
        <x:v>2</x:v>
      </x:c>
      <x:c r="L2303" s="2" t="str">
        <x:v>Hibernating</x:v>
      </x:c>
    </x:row>
    <x:row r="2304" ht="22" customHeight="1">
      <x:c r="A2304" s="2"/>
      <x:c r="B2304" s="2" t="str">
        <x:v>14634</x:v>
      </x:c>
      <x:c r="C2304" s="2" t="str">
        <x:v>United Kingdom</x:v>
      </x:c>
      <x:c r="D2304" s="25" t="n">
        <x:v>40345.2</x:v>
      </x:c>
      <x:c r="E2304" s="25" t="n">
        <x:v>40449.23611111111</x:v>
      </x:c>
      <x:c r="F2304" s="2" t="n">
        <x:v>438</x:v>
      </x:c>
      <x:c r="G2304" s="2" t="n">
        <x:v>4</x:v>
      </x:c>
      <x:c r="H2304" s="11" t="n">
        <x:v>2124.46</x:v>
      </x:c>
      <x:c r="I2304" s="2" t="n">
        <x:v>1</x:v>
      </x:c>
      <x:c r="J2304" s="2" t="n">
        <x:v>3</x:v>
      </x:c>
      <x:c r="K2304" s="2" t="n">
        <x:v>4</x:v>
      </x:c>
      <x:c r="L2304" s="2" t="str">
        <x:v>At risk</x:v>
      </x:c>
    </x:row>
    <x:row r="2305" ht="22" customHeight="1">
      <x:c r="A2305" s="2"/>
      <x:c r="B2305" s="2" t="str">
        <x:v>14635</x:v>
      </x:c>
      <x:c r="C2305" s="2" t="str">
        <x:v>United Kingdom</x:v>
      </x:c>
      <x:c r="D2305" s="25" t="n">
        <x:v>40433.24097222222</x:v>
      </x:c>
      <x:c r="E2305" s="25" t="n">
        <x:v>40433.24097222222</x:v>
      </x:c>
      <x:c r="F2305" s="2" t="n">
        <x:v>454</x:v>
      </x:c>
      <x:c r="G2305" s="2" t="n">
        <x:v>1</x:v>
      </x:c>
      <x:c r="H2305" s="11" t="n">
        <x:v>215.22</x:v>
      </x:c>
      <x:c r="I2305" s="2" t="n">
        <x:v>1</x:v>
      </x:c>
      <x:c r="J2305" s="2" t="n">
        <x:v>1</x:v>
      </x:c>
      <x:c r="K2305" s="2" t="n">
        <x:v>1</x:v>
      </x:c>
      <x:c r="L2305" s="2" t="str">
        <x:v>Hibernating</x:v>
      </x:c>
    </x:row>
    <x:row r="2306" ht="22" customHeight="1">
      <x:c r="A2306" s="2"/>
      <x:c r="B2306" s="2" t="str">
        <x:v>14636</x:v>
      </x:c>
      <x:c r="C2306" s="2" t="str">
        <x:v>United Kingdom</x:v>
      </x:c>
      <x:c r="D2306" s="25" t="n">
        <x:v>40618.20277777778</x:v>
      </x:c>
      <x:c r="E2306" s="25" t="n">
        <x:v>40850.46666666667</x:v>
      </x:c>
      <x:c r="F2306" s="2" t="n">
        <x:v>37</x:v>
      </x:c>
      <x:c r="G2306" s="2" t="n">
        <x:v>2</x:v>
      </x:c>
      <x:c r="H2306" s="11" t="n">
        <x:v>609.85</x:v>
      </x:c>
      <x:c r="I2306" s="2" t="n">
        <x:v>4</x:v>
      </x:c>
      <x:c r="J2306" s="2" t="n">
        <x:v>2</x:v>
      </x:c>
      <x:c r="K2306" s="2" t="n">
        <x:v>2</x:v>
      </x:c>
      <x:c r="L2306" s="2" t="str">
        <x:v>Recent light buyers</x:v>
      </x:c>
    </x:row>
    <x:row r="2307" ht="22" customHeight="1">
      <x:c r="A2307" s="2"/>
      <x:c r="B2307" s="2" t="str">
        <x:v>14637</x:v>
      </x:c>
      <x:c r="C2307" s="2" t="str">
        <x:v>United Kingdom</x:v>
      </x:c>
      <x:c r="D2307" s="25" t="n">
        <x:v>40209.45277777778</x:v>
      </x:c>
      <x:c r="E2307" s="25" t="n">
        <x:v>40209.45277777778</x:v>
      </x:c>
      <x:c r="F2307" s="2" t="n">
        <x:v>678</x:v>
      </x:c>
      <x:c r="G2307" s="2" t="n">
        <x:v>1</x:v>
      </x:c>
      <x:c r="H2307" s="11" t="n">
        <x:v>106.68</x:v>
      </x:c>
      <x:c r="I2307" s="2" t="n">
        <x:v>1</x:v>
      </x:c>
      <x:c r="J2307" s="2" t="n">
        <x:v>1</x:v>
      </x:c>
      <x:c r="K2307" s="2" t="n">
        <x:v>1</x:v>
      </x:c>
      <x:c r="L2307" s="2" t="str">
        <x:v>Hibernating</x:v>
      </x:c>
    </x:row>
    <x:row r="2308" ht="22" customHeight="1">
      <x:c r="A2308" s="2"/>
      <x:c r="B2308" s="2" t="str">
        <x:v>14638</x:v>
      </x:c>
      <x:c r="C2308" s="2" t="str">
        <x:v>United Kingdom</x:v>
      </x:c>
      <x:c r="D2308" s="25" t="n">
        <x:v>40836.21527777778</x:v>
      </x:c>
      <x:c r="E2308" s="25" t="n">
        <x:v>40836.21527777778</x:v>
      </x:c>
      <x:c r="F2308" s="2" t="n">
        <x:v>51</x:v>
      </x:c>
      <x:c r="G2308" s="2" t="n">
        <x:v>1</x:v>
      </x:c>
      <x:c r="H2308" s="11" t="n">
        <x:v>443.6</x:v>
      </x:c>
      <x:c r="I2308" s="2" t="n">
        <x:v>4</x:v>
      </x:c>
      <x:c r="J2308" s="2" t="n">
        <x:v>1</x:v>
      </x:c>
      <x:c r="K2308" s="2" t="n">
        <x:v>2</x:v>
      </x:c>
      <x:c r="L2308" s="2" t="str">
        <x:v>Recent light buyers</x:v>
      </x:c>
    </x:row>
    <x:row r="2309" ht="22" customHeight="1">
      <x:c r="A2309" s="2"/>
      <x:c r="B2309" s="2" t="str">
        <x:v>14639</x:v>
      </x:c>
      <x:c r="C2309" s="2" t="str">
        <x:v>United Kingdom</x:v>
      </x:c>
      <x:c r="D2309" s="25" t="n">
        <x:v>40225.31597222222</x:v>
      </x:c>
      <x:c r="E2309" s="25" t="n">
        <x:v>40834.42083333333</x:v>
      </x:c>
      <x:c r="F2309" s="2" t="n">
        <x:v>53</x:v>
      </x:c>
      <x:c r="G2309" s="2" t="n">
        <x:v>9</x:v>
      </x:c>
      <x:c r="H2309" s="11" t="n">
        <x:v>4978.96</x:v>
      </x:c>
      <x:c r="I2309" s="2" t="n">
        <x:v>4</x:v>
      </x:c>
      <x:c r="J2309" s="2" t="n">
        <x:v>5</x:v>
      </x:c>
      <x:c r="K2309" s="2" t="n">
        <x:v>5</x:v>
      </x:c>
      <x:c r="L2309" s="2" t="str">
        <x:v>Champions</x:v>
      </x:c>
    </x:row>
    <x:row r="2310" ht="22" customHeight="1">
      <x:c r="A2310" s="2"/>
      <x:c r="B2310" s="2" t="str">
        <x:v>14640</x:v>
      </x:c>
      <x:c r="C2310" s="2" t="str">
        <x:v>United Kingdom</x:v>
      </x:c>
      <x:c r="D2310" s="25" t="n">
        <x:v>40200.447222222225</x:v>
      </x:c>
      <x:c r="E2310" s="25" t="n">
        <x:v>40862.33819444444</x:v>
      </x:c>
      <x:c r="F2310" s="2" t="n">
        <x:v>25</x:v>
      </x:c>
      <x:c r="G2310" s="2" t="n">
        <x:v>10</x:v>
      </x:c>
      <x:c r="H2310" s="11" t="n">
        <x:v>3667.06</x:v>
      </x:c>
      <x:c r="I2310" s="2" t="n">
        <x:v>4</x:v>
      </x:c>
      <x:c r="J2310" s="2" t="n">
        <x:v>5</x:v>
      </x:c>
      <x:c r="K2310" s="2" t="n">
        <x:v>5</x:v>
      </x:c>
      <x:c r="L2310" s="2" t="str">
        <x:v>Champions</x:v>
      </x:c>
    </x:row>
    <x:row r="2311" ht="22" customHeight="1">
      <x:c r="A2311" s="2"/>
      <x:c r="B2311" s="2" t="str">
        <x:v>14641</x:v>
      </x:c>
      <x:c r="C2311" s="2" t="str">
        <x:v>United Kingdom</x:v>
      </x:c>
      <x:c r="D2311" s="25" t="n">
        <x:v>40865.2375</x:v>
      </x:c>
      <x:c r="E2311" s="25" t="n">
        <x:v>40865.2375</x:v>
      </x:c>
      <x:c r="F2311" s="2" t="n">
        <x:v>22</x:v>
      </x:c>
      <x:c r="G2311" s="2" t="n">
        <x:v>1</x:v>
      </x:c>
      <x:c r="H2311" s="11" t="n">
        <x:v>110.46</x:v>
      </x:c>
      <x:c r="I2311" s="2" t="n">
        <x:v>4</x:v>
      </x:c>
      <x:c r="J2311" s="2" t="n">
        <x:v>1</x:v>
      </x:c>
      <x:c r="K2311" s="2" t="n">
        <x:v>1</x:v>
      </x:c>
      <x:c r="L2311" s="2" t="str">
        <x:v>Recent light buyers</x:v>
      </x:c>
    </x:row>
    <x:row r="2312" ht="22" customHeight="1">
      <x:c r="A2312" s="2"/>
      <x:c r="B2312" s="2" t="str">
        <x:v>14642</x:v>
      </x:c>
      <x:c r="C2312" s="2" t="str">
        <x:v>United Kingdom</x:v>
      </x:c>
      <x:c r="D2312" s="25" t="n">
        <x:v>40828.25555555556</x:v>
      </x:c>
      <x:c r="E2312" s="25" t="n">
        <x:v>40828.25555555556</x:v>
      </x:c>
      <x:c r="F2312" s="2" t="n">
        <x:v>59</x:v>
      </x:c>
      <x:c r="G2312" s="2" t="n">
        <x:v>1</x:v>
      </x:c>
      <x:c r="H2312" s="11" t="n">
        <x:v>96.12</x:v>
      </x:c>
      <x:c r="I2312" s="2" t="n">
        <x:v>4</x:v>
      </x:c>
      <x:c r="J2312" s="2" t="n">
        <x:v>1</x:v>
      </x:c>
      <x:c r="K2312" s="2" t="n">
        <x:v>1</x:v>
      </x:c>
      <x:c r="L2312" s="2" t="str">
        <x:v>Recent light buyers</x:v>
      </x:c>
    </x:row>
    <x:row r="2313" ht="22" customHeight="1">
      <x:c r="A2313" s="2"/>
      <x:c r="B2313" s="2" t="str">
        <x:v>14643</x:v>
      </x:c>
      <x:c r="C2313" s="2" t="str">
        <x:v>United Kingdom</x:v>
      </x:c>
      <x:c r="D2313" s="25" t="n">
        <x:v>40158.28611111111</x:v>
      </x:c>
      <x:c r="E2313" s="25" t="n">
        <x:v>40716.40347222222</x:v>
      </x:c>
      <x:c r="F2313" s="2" t="n">
        <x:v>171</x:v>
      </x:c>
      <x:c r="G2313" s="2" t="n">
        <x:v>5</x:v>
      </x:c>
      <x:c r="H2313" s="11" t="n">
        <x:v>1679.89</x:v>
      </x:c>
      <x:c r="I2313" s="2" t="n">
        <x:v>3</x:v>
      </x:c>
      <x:c r="J2313" s="2" t="n">
        <x:v>4</x:v>
      </x:c>
      <x:c r="K2313" s="2" t="n">
        <x:v>4</x:v>
      </x:c>
      <x:c r="L2313" s="2" t="str">
        <x:v>Loyal</x:v>
      </x:c>
    </x:row>
    <x:row r="2314" ht="22" customHeight="1">
      <x:c r="A2314" s="2"/>
      <x:c r="B2314" s="2" t="str">
        <x:v>14644</x:v>
      </x:c>
      <x:c r="C2314" s="2" t="str">
        <x:v>United Kingdom</x:v>
      </x:c>
      <x:c r="D2314" s="25" t="n">
        <x:v>40150.475</x:v>
      </x:c>
      <x:c r="E2314" s="25" t="n">
        <x:v>40819.145833333336</x:v>
      </x:c>
      <x:c r="F2314" s="2" t="n">
        <x:v>68</x:v>
      </x:c>
      <x:c r="G2314" s="2" t="n">
        <x:v>7</x:v>
      </x:c>
      <x:c r="H2314" s="11" t="n">
        <x:v>2247.72</x:v>
      </x:c>
      <x:c r="I2314" s="2" t="n">
        <x:v>3</x:v>
      </x:c>
      <x:c r="J2314" s="2" t="n">
        <x:v>4</x:v>
      </x:c>
      <x:c r="K2314" s="2" t="n">
        <x:v>4</x:v>
      </x:c>
      <x:c r="L2314" s="2" t="str">
        <x:v>Loyal</x:v>
      </x:c>
    </x:row>
    <x:row r="2315" ht="22" customHeight="1">
      <x:c r="A2315" s="2"/>
      <x:c r="B2315" s="2" t="str">
        <x:v>14645</x:v>
      </x:c>
      <x:c r="C2315" s="2" t="str">
        <x:v>United Kingdom</x:v>
      </x:c>
      <x:c r="D2315" s="25" t="n">
        <x:v>40252.27291666667</x:v>
      </x:c>
      <x:c r="E2315" s="25" t="n">
        <x:v>40730.177083333336</x:v>
      </x:c>
      <x:c r="F2315" s="2" t="n">
        <x:v>157</x:v>
      </x:c>
      <x:c r="G2315" s="2" t="n">
        <x:v>3</x:v>
      </x:c>
      <x:c r="H2315" s="11" t="n">
        <x:v>876.89</x:v>
      </x:c>
      <x:c r="I2315" s="2" t="n">
        <x:v>3</x:v>
      </x:c>
      <x:c r="J2315" s="2" t="n">
        <x:v>3</x:v>
      </x:c>
      <x:c r="K2315" s="2" t="n">
        <x:v>3</x:v>
      </x:c>
      <x:c r="L2315" s="2" t="str">
        <x:v>Loyal</x:v>
      </x:c>
    </x:row>
    <x:row r="2316" ht="22" customHeight="1">
      <x:c r="A2316" s="2"/>
      <x:c r="B2316" s="2" t="str">
        <x:v>14646</x:v>
      </x:c>
      <x:c r="C2316" s="2" t="str">
        <x:v>Netherlands</x:v>
      </x:c>
      <x:c r="D2316" s="25" t="n">
        <x:v>40149.49444444444</x:v>
      </x:c>
      <x:c r="E2316" s="25" t="n">
        <x:v>40885.3</x:v>
      </x:c>
      <x:c r="F2316" s="2" t="n">
        <x:v>2</x:v>
      </x:c>
      <x:c r="G2316" s="2" t="n">
        <x:v>151</x:v>
      </x:c>
      <x:c r="H2316" s="11" t="n">
        <x:v>528602.52</x:v>
      </x:c>
      <x:c r="I2316" s="2" t="n">
        <x:v>5</x:v>
      </x:c>
      <x:c r="J2316" s="2" t="n">
        <x:v>5</x:v>
      </x:c>
      <x:c r="K2316" s="2" t="n">
        <x:v>5</x:v>
      </x:c>
      <x:c r="L2316" s="2" t="str">
        <x:v>Champions</x:v>
      </x:c>
    </x:row>
    <x:row r="2317" ht="22" customHeight="1">
      <x:c r="A2317" s="2"/>
      <x:c r="B2317" s="2" t="str">
        <x:v>14647</x:v>
      </x:c>
      <x:c r="C2317" s="2" t="str">
        <x:v>United Kingdom</x:v>
      </x:c>
      <x:c r="D2317" s="25" t="n">
        <x:v>40363.35208333333</x:v>
      </x:c>
      <x:c r="E2317" s="25" t="n">
        <x:v>40685.36111111111</x:v>
      </x:c>
      <x:c r="F2317" s="2" t="n">
        <x:v>202</x:v>
      </x:c>
      <x:c r="G2317" s="2" t="n">
        <x:v>2</x:v>
      </x:c>
      <x:c r="H2317" s="11" t="n">
        <x:v>519.97</x:v>
      </x:c>
      <x:c r="I2317" s="2" t="n">
        <x:v>2</x:v>
      </x:c>
      <x:c r="J2317" s="2" t="n">
        <x:v>2</x:v>
      </x:c>
      <x:c r="K2317" s="2" t="n">
        <x:v>2</x:v>
      </x:c>
      <x:c r="L2317" s="2" t="str">
        <x:v>Hibernating</x:v>
      </x:c>
    </x:row>
    <x:row r="2318" ht="22" customHeight="1">
      <x:c r="A2318" s="2"/>
      <x:c r="B2318" s="2" t="str">
        <x:v>14648</x:v>
      </x:c>
      <x:c r="C2318" s="2" t="str">
        <x:v>United Kingdom</x:v>
      </x:c>
      <x:c r="D2318" s="25" t="n">
        <x:v>40157.37430555555</x:v>
      </x:c>
      <x:c r="E2318" s="25" t="n">
        <x:v>40470.34166666667</x:v>
      </x:c>
      <x:c r="F2318" s="2" t="n">
        <x:v>417</x:v>
      </x:c>
      <x:c r="G2318" s="2" t="n">
        <x:v>15</x:v>
      </x:c>
      <x:c r="H2318" s="11" t="n">
        <x:v>4546.86</x:v>
      </x:c>
      <x:c r="I2318" s="2" t="n">
        <x:v>1</x:v>
      </x:c>
      <x:c r="J2318" s="2" t="n">
        <x:v>5</x:v>
      </x:c>
      <x:c r="K2318" s="2" t="n">
        <x:v>5</x:v>
      </x:c>
      <x:c r="L2318" s="2" t="str">
        <x:v>At risk</x:v>
      </x:c>
    </x:row>
    <x:row r="2319" ht="22" customHeight="1">
      <x:c r="A2319" s="2"/>
      <x:c r="B2319" s="2" t="str">
        <x:v>14649</x:v>
      </x:c>
      <x:c r="C2319" s="2" t="str">
        <x:v>United Kingdom</x:v>
      </x:c>
      <x:c r="D2319" s="25" t="n">
        <x:v>40198.34027777778</x:v>
      </x:c>
      <x:c r="E2319" s="25" t="n">
        <x:v>40882.3125</x:v>
      </x:c>
      <x:c r="F2319" s="2" t="n">
        <x:v>5</x:v>
      </x:c>
      <x:c r="G2319" s="2" t="n">
        <x:v>9</x:v>
      </x:c>
      <x:c r="H2319" s="11" t="n">
        <x:v>3775.31</x:v>
      </x:c>
      <x:c r="I2319" s="2" t="n">
        <x:v>5</x:v>
      </x:c>
      <x:c r="J2319" s="2" t="n">
        <x:v>5</x:v>
      </x:c>
      <x:c r="K2319" s="2" t="n">
        <x:v>5</x:v>
      </x:c>
      <x:c r="L2319" s="2" t="str">
        <x:v>Champions</x:v>
      </x:c>
    </x:row>
    <x:row r="2320" ht="22" customHeight="1">
      <x:c r="A2320" s="2"/>
      <x:c r="B2320" s="2" t="str">
        <x:v>14650</x:v>
      </x:c>
      <x:c r="C2320" s="2" t="str">
        <x:v>United Kingdom</x:v>
      </x:c>
      <x:c r="D2320" s="25" t="n">
        <x:v>40297.64375</x:v>
      </x:c>
      <x:c r="E2320" s="25" t="n">
        <x:v>40297.64375</x:v>
      </x:c>
      <x:c r="F2320" s="2" t="n">
        <x:v>590</x:v>
      </x:c>
      <x:c r="G2320" s="2" t="n">
        <x:v>1</x:v>
      </x:c>
      <x:c r="H2320" s="11" t="n">
        <x:v>62.5</x:v>
      </x:c>
      <x:c r="I2320" s="2" t="n">
        <x:v>1</x:v>
      </x:c>
      <x:c r="J2320" s="2" t="n">
        <x:v>1</x:v>
      </x:c>
      <x:c r="K2320" s="2" t="n">
        <x:v>1</x:v>
      </x:c>
      <x:c r="L2320" s="2" t="str">
        <x:v>Hibernating</x:v>
      </x:c>
    </x:row>
    <x:row r="2321" ht="22" customHeight="1">
      <x:c r="A2321" s="2"/>
      <x:c r="B2321" s="2" t="str">
        <x:v>14651</x:v>
      </x:c>
      <x:c r="C2321" s="2" t="str">
        <x:v>United Kingdom</x:v>
      </x:c>
      <x:c r="D2321" s="25" t="n">
        <x:v>40255.277083333334</x:v>
      </x:c>
      <x:c r="E2321" s="25" t="n">
        <x:v>40819.45277777778</x:v>
      </x:c>
      <x:c r="F2321" s="2" t="n">
        <x:v>68</x:v>
      </x:c>
      <x:c r="G2321" s="2" t="n">
        <x:v>9</x:v>
      </x:c>
      <x:c r="H2321" s="11" t="n">
        <x:v>2034.12</x:v>
      </x:c>
      <x:c r="I2321" s="2" t="n">
        <x:v>3</x:v>
      </x:c>
      <x:c r="J2321" s="2" t="n">
        <x:v>5</x:v>
      </x:c>
      <x:c r="K2321" s="2" t="n">
        <x:v>4</x:v>
      </x:c>
      <x:c r="L2321" s="2" t="str">
        <x:v>Loyal</x:v>
      </x:c>
    </x:row>
    <x:row r="2322" ht="22" customHeight="1">
      <x:c r="A2322" s="2"/>
      <x:c r="B2322" s="2" t="str">
        <x:v>14652</x:v>
      </x:c>
      <x:c r="C2322" s="2" t="str">
        <x:v>United Kingdom</x:v>
      </x:c>
      <x:c r="D2322" s="25" t="n">
        <x:v>40809.38958333333</x:v>
      </x:c>
      <x:c r="E2322" s="25" t="n">
        <x:v>40809.38958333333</x:v>
      </x:c>
      <x:c r="F2322" s="2" t="n">
        <x:v>78</x:v>
      </x:c>
      <x:c r="G2322" s="2" t="n">
        <x:v>1</x:v>
      </x:c>
      <x:c r="H2322" s="11" t="n">
        <x:v>114.18</x:v>
      </x:c>
      <x:c r="I2322" s="2" t="n">
        <x:v>3</x:v>
      </x:c>
      <x:c r="J2322" s="2" t="n">
        <x:v>1</x:v>
      </x:c>
      <x:c r="K2322" s="2" t="n">
        <x:v>1</x:v>
      </x:c>
      <x:c r="L2322" s="2" t="str">
        <x:v>Developing</x:v>
      </x:c>
    </x:row>
    <x:row r="2323" ht="22" customHeight="1">
      <x:c r="A2323" s="2"/>
      <x:c r="B2323" s="2" t="str">
        <x:v>14653</x:v>
      </x:c>
      <x:c r="C2323" s="2" t="str">
        <x:v>United Kingdom</x:v>
      </x:c>
      <x:c r="D2323" s="25" t="n">
        <x:v>40149.285416666666</x:v>
      </x:c>
      <x:c r="E2323" s="25" t="n">
        <x:v>40885.364583333336</x:v>
      </x:c>
      <x:c r="F2323" s="2" t="n">
        <x:v>2</x:v>
      </x:c>
      <x:c r="G2323" s="2" t="n">
        <x:v>12</x:v>
      </x:c>
      <x:c r="H2323" s="11" t="n">
        <x:v>3614.54</x:v>
      </x:c>
      <x:c r="I2323" s="2" t="n">
        <x:v>5</x:v>
      </x:c>
      <x:c r="J2323" s="2" t="n">
        <x:v>5</x:v>
      </x:c>
      <x:c r="K2323" s="2" t="n">
        <x:v>5</x:v>
      </x:c>
      <x:c r="L2323" s="2" t="str">
        <x:v>Champions</x:v>
      </x:c>
    </x:row>
    <x:row r="2324" ht="22" customHeight="1">
      <x:c r="A2324" s="2"/>
      <x:c r="B2324" s="2" t="str">
        <x:v>14654</x:v>
      </x:c>
      <x:c r="C2324" s="2" t="str">
        <x:v>United Kingdom</x:v>
      </x:c>
      <x:c r="D2324" s="25" t="n">
        <x:v>40148.33125</x:v>
      </x:c>
      <x:c r="E2324" s="25" t="n">
        <x:v>40148.33125</x:v>
      </x:c>
      <x:c r="F2324" s="2" t="n">
        <x:v>739</x:v>
      </x:c>
      <x:c r="G2324" s="2" t="n">
        <x:v>1</x:v>
      </x:c>
      <x:c r="H2324" s="11" t="n">
        <x:v>246.86</x:v>
      </x:c>
      <x:c r="I2324" s="2" t="n">
        <x:v>1</x:v>
      </x:c>
      <x:c r="J2324" s="2" t="n">
        <x:v>1</x:v>
      </x:c>
      <x:c r="K2324" s="2" t="n">
        <x:v>1</x:v>
      </x:c>
      <x:c r="L2324" s="2" t="str">
        <x:v>Hibernating</x:v>
      </x:c>
    </x:row>
    <x:row r="2325" ht="22" customHeight="1">
      <x:c r="A2325" s="2"/>
      <x:c r="B2325" s="2" t="str">
        <x:v>14655</x:v>
      </x:c>
      <x:c r="C2325" s="2" t="str">
        <x:v>United Kingdom</x:v>
      </x:c>
      <x:c r="D2325" s="25" t="n">
        <x:v>40290.39513888889</x:v>
      </x:c>
      <x:c r="E2325" s="25" t="n">
        <x:v>40878.47777777778</x:v>
      </x:c>
      <x:c r="F2325" s="2" t="n">
        <x:v>9</x:v>
      </x:c>
      <x:c r="G2325" s="2" t="n">
        <x:v>7</x:v>
      </x:c>
      <x:c r="H2325" s="11" t="n">
        <x:v>3878.51</x:v>
      </x:c>
      <x:c r="I2325" s="2" t="n">
        <x:v>5</x:v>
      </x:c>
      <x:c r="J2325" s="2" t="n">
        <x:v>4</x:v>
      </x:c>
      <x:c r="K2325" s="2" t="n">
        <x:v>5</x:v>
      </x:c>
      <x:c r="L2325" s="2" t="str">
        <x:v>Champions</x:v>
      </x:c>
    </x:row>
    <x:row r="2326" ht="22" customHeight="1">
      <x:c r="A2326" s="2"/>
      <x:c r="B2326" s="2" t="str">
        <x:v>14656</x:v>
      </x:c>
      <x:c r="C2326" s="2" t="str">
        <x:v>United Kingdom</x:v>
      </x:c>
      <x:c r="D2326" s="25" t="n">
        <x:v>40283.29861111111</x:v>
      </x:c>
      <x:c r="E2326" s="25" t="n">
        <x:v>40717.36875</x:v>
      </x:c>
      <x:c r="F2326" s="2" t="n">
        <x:v>170</x:v>
      </x:c>
      <x:c r="G2326" s="2" t="n">
        <x:v>5</x:v>
      </x:c>
      <x:c r="H2326" s="11" t="n">
        <x:v>814.65</x:v>
      </x:c>
      <x:c r="I2326" s="2" t="n">
        <x:v>3</x:v>
      </x:c>
      <x:c r="J2326" s="2" t="n">
        <x:v>4</x:v>
      </x:c>
      <x:c r="K2326" s="2" t="n">
        <x:v>3</x:v>
      </x:c>
      <x:c r="L2326" s="2" t="str">
        <x:v>Loyal</x:v>
      </x:c>
    </x:row>
    <x:row r="2327" ht="22" customHeight="1">
      <x:c r="A2327" s="2"/>
      <x:c r="B2327" s="2" t="str">
        <x:v>14657</x:v>
      </x:c>
      <x:c r="C2327" s="2" t="str">
        <x:v>United Kingdom</x:v>
      </x:c>
      <x:c r="D2327" s="25" t="n">
        <x:v>40451.62291666667</x:v>
      </x:c>
      <x:c r="E2327" s="25" t="n">
        <x:v>40869.32430555556</x:v>
      </x:c>
      <x:c r="F2327" s="2" t="n">
        <x:v>18</x:v>
      </x:c>
      <x:c r="G2327" s="2" t="n">
        <x:v>6</x:v>
      </x:c>
      <x:c r="H2327" s="11" t="n">
        <x:v>1460.87</x:v>
      </x:c>
      <x:c r="I2327" s="2" t="n">
        <x:v>5</x:v>
      </x:c>
      <x:c r="J2327" s="2" t="n">
        <x:v>4</x:v>
      </x:c>
      <x:c r="K2327" s="2" t="n">
        <x:v>4</x:v>
      </x:c>
      <x:c r="L2327" s="2" t="str">
        <x:v>Champions</x:v>
      </x:c>
    </x:row>
    <x:row r="2328" ht="22" customHeight="1">
      <x:c r="A2328" s="2"/>
      <x:c r="B2328" s="2" t="str">
        <x:v>14658</x:v>
      </x:c>
      <x:c r="C2328" s="2" t="str">
        <x:v>United Kingdom</x:v>
      </x:c>
      <x:c r="D2328" s="25" t="n">
        <x:v>40769.44583333333</x:v>
      </x:c>
      <x:c r="E2328" s="25" t="n">
        <x:v>40881.44097222222</x:v>
      </x:c>
      <x:c r="F2328" s="2" t="n">
        <x:v>6</x:v>
      </x:c>
      <x:c r="G2328" s="2" t="n">
        <x:v>2</x:v>
      </x:c>
      <x:c r="H2328" s="11" t="n">
        <x:v>247.15</x:v>
      </x:c>
      <x:c r="I2328" s="2" t="n">
        <x:v>5</x:v>
      </x:c>
      <x:c r="J2328" s="2" t="n">
        <x:v>2</x:v>
      </x:c>
      <x:c r="K2328" s="2" t="n">
        <x:v>1</x:v>
      </x:c>
      <x:c r="L2328" s="2" t="str">
        <x:v>Recent light buyers</x:v>
      </x:c>
    </x:row>
    <x:row r="2329" ht="22" customHeight="1">
      <x:c r="A2329" s="2"/>
      <x:c r="B2329" s="2" t="str">
        <x:v>14659</x:v>
      </x:c>
      <x:c r="C2329" s="2" t="str">
        <x:v>United Kingdom</x:v>
      </x:c>
      <x:c r="D2329" s="25" t="n">
        <x:v>40571.32152777778</x:v>
      </x:c>
      <x:c r="E2329" s="25" t="n">
        <x:v>40878.30347222222</x:v>
      </x:c>
      <x:c r="F2329" s="2" t="n">
        <x:v>9</x:v>
      </x:c>
      <x:c r="G2329" s="2" t="n">
        <x:v>9</x:v>
      </x:c>
      <x:c r="H2329" s="11" t="n">
        <x:v>2529.93</x:v>
      </x:c>
      <x:c r="I2329" s="2" t="n">
        <x:v>5</x:v>
      </x:c>
      <x:c r="J2329" s="2" t="n">
        <x:v>5</x:v>
      </x:c>
      <x:c r="K2329" s="2" t="n">
        <x:v>4</x:v>
      </x:c>
      <x:c r="L2329" s="2" t="str">
        <x:v>Champions</x:v>
      </x:c>
    </x:row>
    <x:row r="2330" ht="22" customHeight="1">
      <x:c r="A2330" s="2"/>
      <x:c r="B2330" s="2" t="str">
        <x:v>14660</x:v>
      </x:c>
      <x:c r="C2330" s="2" t="str">
        <x:v>United Kingdom</x:v>
      </x:c>
      <x:c r="D2330" s="25" t="n">
        <x:v>40786.23611111111</x:v>
      </x:c>
      <x:c r="E2330" s="25" t="n">
        <x:v>40800.27361111111</x:v>
      </x:c>
      <x:c r="F2330" s="2" t="n">
        <x:v>87</x:v>
      </x:c>
      <x:c r="G2330" s="2" t="n">
        <x:v>2</x:v>
      </x:c>
      <x:c r="H2330" s="11" t="n">
        <x:v>285.74</x:v>
      </x:c>
      <x:c r="I2330" s="2" t="n">
        <x:v>3</x:v>
      </x:c>
      <x:c r="J2330" s="2" t="n">
        <x:v>2</x:v>
      </x:c>
      <x:c r="K2330" s="2" t="n">
        <x:v>1</x:v>
      </x:c>
      <x:c r="L2330" s="2" t="str">
        <x:v>Developing</x:v>
      </x:c>
    </x:row>
    <x:row r="2331" ht="22" customHeight="1">
      <x:c r="A2331" s="2"/>
      <x:c r="B2331" s="2" t="str">
        <x:v>14661</x:v>
      </x:c>
      <x:c r="C2331" s="2" t="str">
        <x:v>United Kingdom</x:v>
      </x:c>
      <x:c r="D2331" s="25" t="n">
        <x:v>40860.285416666666</x:v>
      </x:c>
      <x:c r="E2331" s="25" t="n">
        <x:v>40860.285416666666</x:v>
      </x:c>
      <x:c r="F2331" s="2" t="n">
        <x:v>27</x:v>
      </x:c>
      <x:c r="G2331" s="2" t="n">
        <x:v>1</x:v>
      </x:c>
      <x:c r="H2331" s="11" t="n">
        <x:v>107.95</x:v>
      </x:c>
      <x:c r="I2331" s="2" t="n">
        <x:v>4</x:v>
      </x:c>
      <x:c r="J2331" s="2" t="n">
        <x:v>1</x:v>
      </x:c>
      <x:c r="K2331" s="2" t="n">
        <x:v>1</x:v>
      </x:c>
      <x:c r="L2331" s="2" t="str">
        <x:v>Recent light buyers</x:v>
      </x:c>
    </x:row>
    <x:row r="2332" ht="22" customHeight="1">
      <x:c r="A2332" s="2"/>
      <x:c r="B2332" s="2" t="str">
        <x:v>14662</x:v>
      </x:c>
      <x:c r="C2332" s="2" t="str">
        <x:v>United Kingdom</x:v>
      </x:c>
      <x:c r="D2332" s="25" t="n">
        <x:v>40150.49097222222</x:v>
      </x:c>
      <x:c r="E2332" s="25" t="n">
        <x:v>40858.30069444444</x:v>
      </x:c>
      <x:c r="F2332" s="2" t="n">
        <x:v>29</x:v>
      </x:c>
      <x:c r="G2332" s="2" t="n">
        <x:v>7</x:v>
      </x:c>
      <x:c r="H2332" s="11" t="n">
        <x:v>1416.33</x:v>
      </x:c>
      <x:c r="I2332" s="2" t="n">
        <x:v>4</x:v>
      </x:c>
      <x:c r="J2332" s="2" t="n">
        <x:v>4</x:v>
      </x:c>
      <x:c r="K2332" s="2" t="n">
        <x:v>4</x:v>
      </x:c>
      <x:c r="L2332" s="2" t="str">
        <x:v>Champions</x:v>
      </x:c>
    </x:row>
    <x:row r="2333" ht="22" customHeight="1">
      <x:c r="A2333" s="2"/>
      <x:c r="B2333" s="2" t="str">
        <x:v>14663</x:v>
      </x:c>
      <x:c r="C2333" s="2" t="str">
        <x:v>United Kingdom</x:v>
      </x:c>
      <x:c r="D2333" s="25" t="n">
        <x:v>40456.34166666667</x:v>
      </x:c>
      <x:c r="E2333" s="25" t="n">
        <x:v>40456.347916666666</x:v>
      </x:c>
      <x:c r="F2333" s="2" t="n">
        <x:v>431</x:v>
      </x:c>
      <x:c r="G2333" s="2" t="n">
        <x:v>2</x:v>
      </x:c>
      <x:c r="H2333" s="11" t="n">
        <x:v>490.6</x:v>
      </x:c>
      <x:c r="I2333" s="2" t="n">
        <x:v>1</x:v>
      </x:c>
      <x:c r="J2333" s="2" t="n">
        <x:v>2</x:v>
      </x:c>
      <x:c r="K2333" s="2" t="n">
        <x:v>2</x:v>
      </x:c>
      <x:c r="L2333" s="2" t="str">
        <x:v>Hibernating</x:v>
      </x:c>
    </x:row>
    <x:row r="2334" ht="22" customHeight="1">
      <x:c r="A2334" s="2"/>
      <x:c r="B2334" s="2" t="str">
        <x:v>14664</x:v>
      </x:c>
      <x:c r="C2334" s="2" t="str">
        <x:v>United Kingdom</x:v>
      </x:c>
      <x:c r="D2334" s="25" t="n">
        <x:v>40853.41388888889</x:v>
      </x:c>
      <x:c r="E2334" s="25" t="n">
        <x:v>40867.24930555555</x:v>
      </x:c>
      <x:c r="F2334" s="2" t="n">
        <x:v>20</x:v>
      </x:c>
      <x:c r="G2334" s="2" t="n">
        <x:v>2</x:v>
      </x:c>
      <x:c r="H2334" s="11" t="n">
        <x:v>637.89</x:v>
      </x:c>
      <x:c r="I2334" s="2" t="n">
        <x:v>5</x:v>
      </x:c>
      <x:c r="J2334" s="2" t="n">
        <x:v>2</x:v>
      </x:c>
      <x:c r="K2334" s="2" t="n">
        <x:v>3</x:v>
      </x:c>
      <x:c r="L2334" s="2" t="str">
        <x:v>Recent light buyers</x:v>
      </x:c>
    </x:row>
    <x:row r="2335" ht="22" customHeight="1">
      <x:c r="A2335" s="2"/>
      <x:c r="B2335" s="2" t="str">
        <x:v>14665</x:v>
      </x:c>
      <x:c r="C2335" s="2" t="str">
        <x:v>United Kingdom</x:v>
      </x:c>
      <x:c r="D2335" s="25" t="n">
        <x:v>40294.26180555556</x:v>
      </x:c>
      <x:c r="E2335" s="25" t="n">
        <x:v>40826.17638888889</x:v>
      </x:c>
      <x:c r="F2335" s="2" t="n">
        <x:v>61</x:v>
      </x:c>
      <x:c r="G2335" s="2" t="n">
        <x:v>7</x:v>
      </x:c>
      <x:c r="H2335" s="11" t="n">
        <x:v>2749.65</x:v>
      </x:c>
      <x:c r="I2335" s="2" t="n">
        <x:v>3</x:v>
      </x:c>
      <x:c r="J2335" s="2" t="n">
        <x:v>4</x:v>
      </x:c>
      <x:c r="K2335" s="2" t="n">
        <x:v>4</x:v>
      </x:c>
      <x:c r="L2335" s="2" t="str">
        <x:v>Loyal</x:v>
      </x:c>
    </x:row>
    <x:row r="2336" ht="22" customHeight="1">
      <x:c r="A2336" s="2"/>
      <x:c r="B2336" s="2" t="str">
        <x:v>14666</x:v>
      </x:c>
      <x:c r="C2336" s="2" t="str">
        <x:v>United Kingdom</x:v>
      </x:c>
      <x:c r="D2336" s="25" t="n">
        <x:v>40862.33125</x:v>
      </x:c>
      <x:c r="E2336" s="25" t="n">
        <x:v>40862.33125</x:v>
      </x:c>
      <x:c r="F2336" s="2" t="n">
        <x:v>25</x:v>
      </x:c>
      <x:c r="G2336" s="2" t="n">
        <x:v>1</x:v>
      </x:c>
      <x:c r="H2336" s="11" t="n">
        <x:v>195.25</x:v>
      </x:c>
      <x:c r="I2336" s="2" t="n">
        <x:v>4</x:v>
      </x:c>
      <x:c r="J2336" s="2" t="n">
        <x:v>1</x:v>
      </x:c>
      <x:c r="K2336" s="2" t="n">
        <x:v>1</x:v>
      </x:c>
      <x:c r="L2336" s="2" t="str">
        <x:v>Recent light buyers</x:v>
      </x:c>
    </x:row>
    <x:row r="2337" ht="22" customHeight="1">
      <x:c r="A2337" s="2"/>
      <x:c r="B2337" s="2" t="str">
        <x:v>14667</x:v>
      </x:c>
      <x:c r="C2337" s="2" t="str">
        <x:v>United Kingdom</x:v>
      </x:c>
      <x:c r="D2337" s="25" t="n">
        <x:v>40149.31805555556</x:v>
      </x:c>
      <x:c r="E2337" s="25" t="n">
        <x:v>40876.270833333336</x:v>
      </x:c>
      <x:c r="F2337" s="2" t="n">
        <x:v>11</x:v>
      </x:c>
      <x:c r="G2337" s="2" t="n">
        <x:v>54</x:v>
      </x:c>
      <x:c r="H2337" s="11" t="n">
        <x:v>20729.43</x:v>
      </x:c>
      <x:c r="I2337" s="2" t="n">
        <x:v>5</x:v>
      </x:c>
      <x:c r="J2337" s="2" t="n">
        <x:v>5</x:v>
      </x:c>
      <x:c r="K2337" s="2" t="n">
        <x:v>5</x:v>
      </x:c>
      <x:c r="L2337" s="2" t="str">
        <x:v>Champions</x:v>
      </x:c>
    </x:row>
    <x:row r="2338" ht="22" customHeight="1">
      <x:c r="A2338" s="2"/>
      <x:c r="B2338" s="2" t="str">
        <x:v>14668</x:v>
      </x:c>
      <x:c r="C2338" s="2" t="str">
        <x:v>United Kingdom</x:v>
      </x:c>
      <x:c r="D2338" s="25" t="n">
        <x:v>40441.41875</x:v>
      </x:c>
      <x:c r="E2338" s="25" t="n">
        <x:v>40441.41875</x:v>
      </x:c>
      <x:c r="F2338" s="2" t="n">
        <x:v>446</x:v>
      </x:c>
      <x:c r="G2338" s="2" t="n">
        <x:v>1</x:v>
      </x:c>
      <x:c r="H2338" s="11" t="n">
        <x:v>111.63</x:v>
      </x:c>
      <x:c r="I2338" s="2" t="n">
        <x:v>1</x:v>
      </x:c>
      <x:c r="J2338" s="2" t="n">
        <x:v>1</x:v>
      </x:c>
      <x:c r="K2338" s="2" t="n">
        <x:v>1</x:v>
      </x:c>
      <x:c r="L2338" s="2" t="str">
        <x:v>Hibernating</x:v>
      </x:c>
    </x:row>
    <x:row r="2339" ht="22" customHeight="1">
      <x:c r="A2339" s="2"/>
      <x:c r="B2339" s="2" t="str">
        <x:v>14669</x:v>
      </x:c>
      <x:c r="C2339" s="2" t="str">
        <x:v>United Kingdom</x:v>
      </x:c>
      <x:c r="D2339" s="25" t="n">
        <x:v>40149.3375</x:v>
      </x:c>
      <x:c r="E2339" s="25" t="n">
        <x:v>40645.279861111114</x:v>
      </x:c>
      <x:c r="F2339" s="2" t="n">
        <x:v>242</x:v>
      </x:c>
      <x:c r="G2339" s="2" t="n">
        <x:v>7</x:v>
      </x:c>
      <x:c r="H2339" s="11" t="n">
        <x:v>3243.93</x:v>
      </x:c>
      <x:c r="I2339" s="2" t="n">
        <x:v>2</x:v>
      </x:c>
      <x:c r="J2339" s="2" t="n">
        <x:v>4</x:v>
      </x:c>
      <x:c r="K2339" s="2" t="n">
        <x:v>5</x:v>
      </x:c>
      <x:c r="L2339" s="2" t="str">
        <x:v>At risk</x:v>
      </x:c>
    </x:row>
    <x:row r="2340" ht="22" customHeight="1">
      <x:c r="A2340" s="2"/>
      <x:c r="B2340" s="2" t="str">
        <x:v>14670</x:v>
      </x:c>
      <x:c r="C2340" s="2" t="str">
        <x:v>United Kingdom</x:v>
      </x:c>
      <x:c r="D2340" s="25" t="n">
        <x:v>40154.37430555555</x:v>
      </x:c>
      <x:c r="E2340" s="25" t="n">
        <x:v>40606.38402777778</x:v>
      </x:c>
      <x:c r="F2340" s="2" t="n">
        <x:v>281</x:v>
      </x:c>
      <x:c r="G2340" s="2" t="n">
        <x:v>3</x:v>
      </x:c>
      <x:c r="H2340" s="11" t="n">
        <x:v>602</x:v>
      </x:c>
      <x:c r="I2340" s="2" t="n">
        <x:v>2</x:v>
      </x:c>
      <x:c r="J2340" s="2" t="n">
        <x:v>3</x:v>
      </x:c>
      <x:c r="K2340" s="2" t="n">
        <x:v>2</x:v>
      </x:c>
      <x:c r="L2340" s="2" t="str">
        <x:v>At risk</x:v>
      </x:c>
    </x:row>
    <x:row r="2341" ht="22" customHeight="1">
      <x:c r="A2341" s="2"/>
      <x:c r="B2341" s="2" t="str">
        <x:v>14671</x:v>
      </x:c>
      <x:c r="C2341" s="2" t="str">
        <x:v>United Kingdom</x:v>
      </x:c>
      <x:c r="D2341" s="25" t="n">
        <x:v>40318.55625</x:v>
      </x:c>
      <x:c r="E2341" s="25" t="n">
        <x:v>40337.36041666667</x:v>
      </x:c>
      <x:c r="F2341" s="2" t="n">
        <x:v>550</x:v>
      </x:c>
      <x:c r="G2341" s="2" t="n">
        <x:v>2</x:v>
      </x:c>
      <x:c r="H2341" s="11" t="n">
        <x:v>1127.45</x:v>
      </x:c>
      <x:c r="I2341" s="2" t="n">
        <x:v>1</x:v>
      </x:c>
      <x:c r="J2341" s="2" t="n">
        <x:v>2</x:v>
      </x:c>
      <x:c r="K2341" s="2" t="n">
        <x:v>3</x:v>
      </x:c>
      <x:c r="L2341" s="2" t="str">
        <x:v>Hibernating</x:v>
      </x:c>
    </x:row>
    <x:row r="2342" ht="22" customHeight="1">
      <x:c r="A2342" s="2"/>
      <x:c r="B2342" s="2" t="str">
        <x:v>14672</x:v>
      </x:c>
      <x:c r="C2342" s="2" t="str">
        <x:v>United Kingdom</x:v>
      </x:c>
      <x:c r="D2342" s="25" t="n">
        <x:v>40206.27291666667</x:v>
      </x:c>
      <x:c r="E2342" s="25" t="n">
        <x:v>40652.22152777778</x:v>
      </x:c>
      <x:c r="F2342" s="2" t="n">
        <x:v>235</x:v>
      </x:c>
      <x:c r="G2342" s="2" t="n">
        <x:v>4</x:v>
      </x:c>
      <x:c r="H2342" s="11" t="n">
        <x:v>1113.14</x:v>
      </x:c>
      <x:c r="I2342" s="2" t="n">
        <x:v>2</x:v>
      </x:c>
      <x:c r="J2342" s="2" t="n">
        <x:v>3</x:v>
      </x:c>
      <x:c r="K2342" s="2" t="n">
        <x:v>3</x:v>
      </x:c>
      <x:c r="L2342" s="2" t="str">
        <x:v>At risk</x:v>
      </x:c>
    </x:row>
    <x:row r="2343" ht="22" customHeight="1">
      <x:c r="A2343" s="2"/>
      <x:c r="B2343" s="2" t="str">
        <x:v>14673</x:v>
      </x:c>
      <x:c r="C2343" s="2" t="str">
        <x:v>United Kingdom</x:v>
      </x:c>
      <x:c r="D2343" s="25" t="n">
        <x:v>40477.21805555555</x:v>
      </x:c>
      <x:c r="E2343" s="25" t="n">
        <x:v>40883.396527777775</x:v>
      </x:c>
      <x:c r="F2343" s="2" t="n">
        <x:v>4</x:v>
      </x:c>
      <x:c r="G2343" s="2" t="n">
        <x:v>7</x:v>
      </x:c>
      <x:c r="H2343" s="11" t="n">
        <x:v>3037.32</x:v>
      </x:c>
      <x:c r="I2343" s="2" t="n">
        <x:v>5</x:v>
      </x:c>
      <x:c r="J2343" s="2" t="n">
        <x:v>4</x:v>
      </x:c>
      <x:c r="K2343" s="2" t="n">
        <x:v>5</x:v>
      </x:c>
      <x:c r="L2343" s="2" t="str">
        <x:v>Champions</x:v>
      </x:c>
    </x:row>
    <x:row r="2344" ht="22" customHeight="1">
      <x:c r="A2344" s="2"/>
      <x:c r="B2344" s="2" t="str">
        <x:v>14674</x:v>
      </x:c>
      <x:c r="C2344" s="2" t="str">
        <x:v>United Kingdom</x:v>
      </x:c>
      <x:c r="D2344" s="25" t="n">
        <x:v>40377.39236111111</x:v>
      </x:c>
      <x:c r="E2344" s="25" t="n">
        <x:v>40377.39236111111</x:v>
      </x:c>
      <x:c r="F2344" s="2" t="n">
        <x:v>510</x:v>
      </x:c>
      <x:c r="G2344" s="2" t="n">
        <x:v>1</x:v>
      </x:c>
      <x:c r="H2344" s="11" t="n">
        <x:v>173.66</x:v>
      </x:c>
      <x:c r="I2344" s="2" t="n">
        <x:v>1</x:v>
      </x:c>
      <x:c r="J2344" s="2" t="n">
        <x:v>1</x:v>
      </x:c>
      <x:c r="K2344" s="2" t="n">
        <x:v>1</x:v>
      </x:c>
      <x:c r="L2344" s="2" t="str">
        <x:v>Hibernating</x:v>
      </x:c>
    </x:row>
    <x:row r="2345" ht="22" customHeight="1">
      <x:c r="A2345" s="2"/>
      <x:c r="B2345" s="2" t="str">
        <x:v>14675</x:v>
      </x:c>
      <x:c r="C2345" s="2" t="str">
        <x:v>United Kingdom</x:v>
      </x:c>
      <x:c r="D2345" s="25" t="n">
        <x:v>40498.30694444444</x:v>
      </x:c>
      <x:c r="E2345" s="25" t="n">
        <x:v>40870.33194444444</x:v>
      </x:c>
      <x:c r="F2345" s="2" t="n">
        <x:v>17</x:v>
      </x:c>
      <x:c r="G2345" s="2" t="n">
        <x:v>2</x:v>
      </x:c>
      <x:c r="H2345" s="11" t="n">
        <x:v>1066.9</x:v>
      </x:c>
      <x:c r="I2345" s="2" t="n">
        <x:v>5</x:v>
      </x:c>
      <x:c r="J2345" s="2" t="n">
        <x:v>2</x:v>
      </x:c>
      <x:c r="K2345" s="2" t="n">
        <x:v>3</x:v>
      </x:c>
      <x:c r="L2345" s="2" t="str">
        <x:v>Recent light buyers</x:v>
      </x:c>
    </x:row>
    <x:row r="2346" ht="22" customHeight="1">
      <x:c r="A2346" s="2"/>
      <x:c r="B2346" s="2" t="str">
        <x:v>14676</x:v>
      </x:c>
      <x:c r="C2346" s="2" t="str">
        <x:v>United Kingdom</x:v>
      </x:c>
      <x:c r="D2346" s="25" t="n">
        <x:v>40247.1875</x:v>
      </x:c>
      <x:c r="E2346" s="25" t="n">
        <x:v>40855.353472222225</x:v>
      </x:c>
      <x:c r="F2346" s="2" t="n">
        <x:v>32</x:v>
      </x:c>
      <x:c r="G2346" s="2" t="n">
        <x:v>12</x:v>
      </x:c>
      <x:c r="H2346" s="11" t="n">
        <x:v>8356.79</x:v>
      </x:c>
      <x:c r="I2346" s="2" t="n">
        <x:v>4</x:v>
      </x:c>
      <x:c r="J2346" s="2" t="n">
        <x:v>5</x:v>
      </x:c>
      <x:c r="K2346" s="2" t="n">
        <x:v>5</x:v>
      </x:c>
      <x:c r="L2346" s="2" t="str">
        <x:v>Champions</x:v>
      </x:c>
    </x:row>
    <x:row r="2347" ht="22" customHeight="1">
      <x:c r="A2347" s="2"/>
      <x:c r="B2347" s="2" t="str">
        <x:v>14677</x:v>
      </x:c>
      <x:c r="C2347" s="2" t="str">
        <x:v>United Kingdom</x:v>
      </x:c>
      <x:c r="D2347" s="25" t="n">
        <x:v>40294.2</x:v>
      </x:c>
      <x:c r="E2347" s="25" t="n">
        <x:v>40294.2</x:v>
      </x:c>
      <x:c r="F2347" s="2" t="n">
        <x:v>593</x:v>
      </x:c>
      <x:c r="G2347" s="2" t="n">
        <x:v>1</x:v>
      </x:c>
      <x:c r="H2347" s="11" t="n">
        <x:v>184.91</x:v>
      </x:c>
      <x:c r="I2347" s="2" t="n">
        <x:v>1</x:v>
      </x:c>
      <x:c r="J2347" s="2" t="n">
        <x:v>1</x:v>
      </x:c>
      <x:c r="K2347" s="2" t="n">
        <x:v>1</x:v>
      </x:c>
      <x:c r="L2347" s="2" t="str">
        <x:v>Hibernating</x:v>
      </x:c>
    </x:row>
    <x:row r="2348" ht="22" customHeight="1">
      <x:c r="A2348" s="2"/>
      <x:c r="B2348" s="2" t="str">
        <x:v>14678</x:v>
      </x:c>
      <x:c r="C2348" s="2" t="str">
        <x:v>United Kingdom</x:v>
      </x:c>
      <x:c r="D2348" s="25" t="n">
        <x:v>40307.39722222222</x:v>
      </x:c>
      <x:c r="E2348" s="25" t="n">
        <x:v>40307.39722222222</x:v>
      </x:c>
      <x:c r="F2348" s="2" t="n">
        <x:v>580</x:v>
      </x:c>
      <x:c r="G2348" s="2" t="n">
        <x:v>1</x:v>
      </x:c>
      <x:c r="H2348" s="11" t="n">
        <x:v>403.39</x:v>
      </x:c>
      <x:c r="I2348" s="2" t="n">
        <x:v>1</x:v>
      </x:c>
      <x:c r="J2348" s="2" t="n">
        <x:v>1</x:v>
      </x:c>
      <x:c r="K2348" s="2" t="n">
        <x:v>2</x:v>
      </x:c>
      <x:c r="L2348" s="2" t="str">
        <x:v>Hibernating</x:v>
      </x:c>
    </x:row>
    <x:row r="2349" ht="22" customHeight="1">
      <x:c r="A2349" s="2"/>
      <x:c r="B2349" s="2" t="str">
        <x:v>14679</x:v>
      </x:c>
      <x:c r="C2349" s="2" t="str">
        <x:v>United Kingdom</x:v>
      </x:c>
      <x:c r="D2349" s="25" t="n">
        <x:v>40155.50902777778</x:v>
      </x:c>
      <x:c r="E2349" s="25" t="n">
        <x:v>40505.285416666666</x:v>
      </x:c>
      <x:c r="F2349" s="2" t="n">
        <x:v>382</x:v>
      </x:c>
      <x:c r="G2349" s="2" t="n">
        <x:v>3</x:v>
      </x:c>
      <x:c r="H2349" s="11" t="n">
        <x:v>1289.44</x:v>
      </x:c>
      <x:c r="I2349" s="2" t="n">
        <x:v>2</x:v>
      </x:c>
      <x:c r="J2349" s="2" t="n">
        <x:v>3</x:v>
      </x:c>
      <x:c r="K2349" s="2" t="n">
        <x:v>4</x:v>
      </x:c>
      <x:c r="L2349" s="2" t="str">
        <x:v>At risk</x:v>
      </x:c>
    </x:row>
    <x:row r="2350" ht="22" customHeight="1">
      <x:c r="A2350" s="2"/>
      <x:c r="B2350" s="2" t="str">
        <x:v>14680</x:v>
      </x:c>
      <x:c r="C2350" s="2" t="str">
        <x:v>United Kingdom</x:v>
      </x:c>
      <x:c r="D2350" s="25" t="n">
        <x:v>40151.316666666666</x:v>
      </x:c>
      <x:c r="E2350" s="25" t="n">
        <x:v>40861.49930555555</x:v>
      </x:c>
      <x:c r="F2350" s="2" t="n">
        <x:v>26</x:v>
      </x:c>
      <x:c r="G2350" s="2" t="n">
        <x:v>58</x:v>
      </x:c>
      <x:c r="H2350" s="11" t="n">
        <x:v>55731.89</x:v>
      </x:c>
      <x:c r="I2350" s="2" t="n">
        <x:v>4</x:v>
      </x:c>
      <x:c r="J2350" s="2" t="n">
        <x:v>5</x:v>
      </x:c>
      <x:c r="K2350" s="2" t="n">
        <x:v>5</x:v>
      </x:c>
      <x:c r="L2350" s="2" t="str">
        <x:v>Champions</x:v>
      </x:c>
    </x:row>
    <x:row r="2351" ht="22" customHeight="1">
      <x:c r="A2351" s="2"/>
      <x:c r="B2351" s="2" t="str">
        <x:v>14681</x:v>
      </x:c>
      <x:c r="C2351" s="2" t="str">
        <x:v>United Kingdom</x:v>
      </x:c>
      <x:c r="D2351" s="25" t="n">
        <x:v>40233.1625</x:v>
      </x:c>
      <x:c r="E2351" s="25" t="n">
        <x:v>40815.45277777778</x:v>
      </x:c>
      <x:c r="F2351" s="2" t="n">
        <x:v>72</x:v>
      </x:c>
      <x:c r="G2351" s="2" t="n">
        <x:v>6</x:v>
      </x:c>
      <x:c r="H2351" s="11" t="n">
        <x:v>875.15</x:v>
      </x:c>
      <x:c r="I2351" s="2" t="n">
        <x:v>3</x:v>
      </x:c>
      <x:c r="J2351" s="2" t="n">
        <x:v>4</x:v>
      </x:c>
      <x:c r="K2351" s="2" t="n">
        <x:v>3</x:v>
      </x:c>
      <x:c r="L2351" s="2" t="str">
        <x:v>Loyal</x:v>
      </x:c>
    </x:row>
    <x:row r="2352" ht="22" customHeight="1">
      <x:c r="A2352" s="2"/>
      <x:c r="B2352" s="2" t="str">
        <x:v>14682</x:v>
      </x:c>
      <x:c r="C2352" s="2" t="str">
        <x:v>United Kingdom</x:v>
      </x:c>
      <x:c r="D2352" s="25" t="n">
        <x:v>40214.407638888886</x:v>
      </x:c>
      <x:c r="E2352" s="25" t="n">
        <x:v>40699.3</x:v>
      </x:c>
      <x:c r="F2352" s="2" t="n">
        <x:v>188</x:v>
      </x:c>
      <x:c r="G2352" s="2" t="n">
        <x:v>6</x:v>
      </x:c>
      <x:c r="H2352" s="11" t="n">
        <x:v>1514.81</x:v>
      </x:c>
      <x:c r="I2352" s="2" t="n">
        <x:v>3</x:v>
      </x:c>
      <x:c r="J2352" s="2" t="n">
        <x:v>4</x:v>
      </x:c>
      <x:c r="K2352" s="2" t="n">
        <x:v>4</x:v>
      </x:c>
      <x:c r="L2352" s="2" t="str">
        <x:v>Loyal</x:v>
      </x:c>
    </x:row>
    <x:row r="2353" ht="22" customHeight="1">
      <x:c r="A2353" s="2"/>
      <x:c r="B2353" s="2" t="str">
        <x:v>14683</x:v>
      </x:c>
      <x:c r="C2353" s="2" t="str">
        <x:v>United Kingdom</x:v>
      </x:c>
      <x:c r="D2353" s="25" t="n">
        <x:v>40298.5125</x:v>
      </x:c>
      <x:c r="E2353" s="25" t="n">
        <x:v>40298.5125</x:v>
      </x:c>
      <x:c r="F2353" s="2" t="n">
        <x:v>589</x:v>
      </x:c>
      <x:c r="G2353" s="2" t="n">
        <x:v>1</x:v>
      </x:c>
      <x:c r="H2353" s="11" t="n">
        <x:v>146.56</x:v>
      </x:c>
      <x:c r="I2353" s="2" t="n">
        <x:v>1</x:v>
      </x:c>
      <x:c r="J2353" s="2" t="n">
        <x:v>1</x:v>
      </x:c>
      <x:c r="K2353" s="2" t="n">
        <x:v>1</x:v>
      </x:c>
      <x:c r="L2353" s="2" t="str">
        <x:v>Hibernating</x:v>
      </x:c>
    </x:row>
    <x:row r="2354" ht="22" customHeight="1">
      <x:c r="A2354" s="2"/>
      <x:c r="B2354" s="2" t="str">
        <x:v>14684</x:v>
      </x:c>
      <x:c r="C2354" s="2" t="str">
        <x:v>United Kingdom</x:v>
      </x:c>
      <x:c r="D2354" s="25" t="n">
        <x:v>40496.37986111111</x:v>
      </x:c>
      <x:c r="E2354" s="25" t="n">
        <x:v>40861.27291666667</x:v>
      </x:c>
      <x:c r="F2354" s="2" t="n">
        <x:v>26</x:v>
      </x:c>
      <x:c r="G2354" s="2" t="n">
        <x:v>6</x:v>
      </x:c>
      <x:c r="H2354" s="11" t="n">
        <x:v>1468.55</x:v>
      </x:c>
      <x:c r="I2354" s="2" t="n">
        <x:v>4</x:v>
      </x:c>
      <x:c r="J2354" s="2" t="n">
        <x:v>4</x:v>
      </x:c>
      <x:c r="K2354" s="2" t="n">
        <x:v>4</x:v>
      </x:c>
      <x:c r="L2354" s="2" t="str">
        <x:v>Champions</x:v>
      </x:c>
    </x:row>
    <x:row r="2355" ht="22" customHeight="1">
      <x:c r="A2355" s="2"/>
      <x:c r="B2355" s="2" t="str">
        <x:v>14685</x:v>
      </x:c>
      <x:c r="C2355" s="2" t="str">
        <x:v>United Kingdom</x:v>
      </x:c>
      <x:c r="D2355" s="25" t="n">
        <x:v>40160.27222222222</x:v>
      </x:c>
      <x:c r="E2355" s="25" t="n">
        <x:v>40310.33888888889</x:v>
      </x:c>
      <x:c r="F2355" s="2" t="n">
        <x:v>577</x:v>
      </x:c>
      <x:c r="G2355" s="2" t="n">
        <x:v>8</x:v>
      </x:c>
      <x:c r="H2355" s="11" t="n">
        <x:v>4619.79</x:v>
      </x:c>
      <x:c r="I2355" s="2" t="n">
        <x:v>1</x:v>
      </x:c>
      <x:c r="J2355" s="2" t="n">
        <x:v>4</x:v>
      </x:c>
      <x:c r="K2355" s="2" t="n">
        <x:v>5</x:v>
      </x:c>
      <x:c r="L2355" s="2" t="str">
        <x:v>At risk</x:v>
      </x:c>
    </x:row>
    <x:row r="2356" ht="22" customHeight="1">
      <x:c r="A2356" s="2"/>
      <x:c r="B2356" s="2" t="str">
        <x:v>14686</x:v>
      </x:c>
      <x:c r="C2356" s="2" t="str">
        <x:v>United Kingdom</x:v>
      </x:c>
      <x:c r="D2356" s="25" t="n">
        <x:v>40227.56180555555</x:v>
      </x:c>
      <x:c r="E2356" s="25" t="n">
        <x:v>40472.56319444445</x:v>
      </x:c>
      <x:c r="F2356" s="2" t="n">
        <x:v>415</x:v>
      </x:c>
      <x:c r="G2356" s="2" t="n">
        <x:v>5</x:v>
      </x:c>
      <x:c r="H2356" s="11" t="n">
        <x:v>885.83</x:v>
      </x:c>
      <x:c r="I2356" s="2" t="n">
        <x:v>1</x:v>
      </x:c>
      <x:c r="J2356" s="2" t="n">
        <x:v>4</x:v>
      </x:c>
      <x:c r="K2356" s="2" t="n">
        <x:v>3</x:v>
      </x:c>
      <x:c r="L2356" s="2" t="str">
        <x:v>At risk</x:v>
      </x:c>
    </x:row>
    <x:row r="2357" ht="22" customHeight="1">
      <x:c r="A2357" s="2"/>
      <x:c r="B2357" s="2" t="str">
        <x:v>14687</x:v>
      </x:c>
      <x:c r="C2357" s="2" t="str">
        <x:v>United Kingdom</x:v>
      </x:c>
      <x:c r="D2357" s="25" t="n">
        <x:v>40335.23333333333</x:v>
      </x:c>
      <x:c r="E2357" s="25" t="n">
        <x:v>40780.290972222225</x:v>
      </x:c>
      <x:c r="F2357" s="2" t="n">
        <x:v>107</x:v>
      </x:c>
      <x:c r="G2357" s="2" t="n">
        <x:v>3</x:v>
      </x:c>
      <x:c r="H2357" s="11" t="n">
        <x:v>1402.06</x:v>
      </x:c>
      <x:c r="I2357" s="2" t="n">
        <x:v>3</x:v>
      </x:c>
      <x:c r="J2357" s="2" t="n">
        <x:v>3</x:v>
      </x:c>
      <x:c r="K2357" s="2" t="n">
        <x:v>4</x:v>
      </x:c>
      <x:c r="L2357" s="2" t="str">
        <x:v>Loyal</x:v>
      </x:c>
    </x:row>
    <x:row r="2358" ht="22" customHeight="1">
      <x:c r="A2358" s="2"/>
      <x:c r="B2358" s="2" t="str">
        <x:v>14688</x:v>
      </x:c>
      <x:c r="C2358" s="2" t="str">
        <x:v>United Kingdom</x:v>
      </x:c>
      <x:c r="D2358" s="25" t="n">
        <x:v>40430.31597222222</x:v>
      </x:c>
      <x:c r="E2358" s="25" t="n">
        <x:v>40879.30972222222</x:v>
      </x:c>
      <x:c r="F2358" s="2" t="n">
        <x:v>8</x:v>
      </x:c>
      <x:c r="G2358" s="2" t="n">
        <x:v>28</x:v>
      </x:c>
      <x:c r="H2358" s="11" t="n">
        <x:v>7268.59</x:v>
      </x:c>
      <x:c r="I2358" s="2" t="n">
        <x:v>5</x:v>
      </x:c>
      <x:c r="J2358" s="2" t="n">
        <x:v>5</x:v>
      </x:c>
      <x:c r="K2358" s="2" t="n">
        <x:v>5</x:v>
      </x:c>
      <x:c r="L2358" s="2" t="str">
        <x:v>Champions</x:v>
      </x:c>
    </x:row>
    <x:row r="2359" ht="22" customHeight="1">
      <x:c r="A2359" s="2"/>
      <x:c r="B2359" s="2" t="str">
        <x:v>14689</x:v>
      </x:c>
      <x:c r="C2359" s="2" t="str">
        <x:v>United Kingdom</x:v>
      </x:c>
      <x:c r="D2359" s="25" t="n">
        <x:v>40678.26527777778</x:v>
      </x:c>
      <x:c r="E2359" s="25" t="n">
        <x:v>40678.26527777778</x:v>
      </x:c>
      <x:c r="F2359" s="2" t="n">
        <x:v>209</x:v>
      </x:c>
      <x:c r="G2359" s="2" t="n">
        <x:v>1</x:v>
      </x:c>
      <x:c r="H2359" s="11" t="n">
        <x:v>112.8</x:v>
      </x:c>
      <x:c r="I2359" s="2" t="n">
        <x:v>2</x:v>
      </x:c>
      <x:c r="J2359" s="2" t="n">
        <x:v>1</x:v>
      </x:c>
      <x:c r="K2359" s="2" t="n">
        <x:v>1</x:v>
      </x:c>
      <x:c r="L2359" s="2" t="str">
        <x:v>Hibernating</x:v>
      </x:c>
    </x:row>
    <x:row r="2360" ht="22" customHeight="1">
      <x:c r="A2360" s="2"/>
      <x:c r="B2360" s="2" t="str">
        <x:v>14690</x:v>
      </x:c>
      <x:c r="C2360" s="2" t="str">
        <x:v>United Kingdom</x:v>
      </x:c>
      <x:c r="D2360" s="25" t="n">
        <x:v>40476.305555555555</x:v>
      </x:c>
      <x:c r="E2360" s="25" t="n">
        <x:v>40842.44375</x:v>
      </x:c>
      <x:c r="F2360" s="2" t="n">
        <x:v>45</x:v>
      </x:c>
      <x:c r="G2360" s="2" t="n">
        <x:v>4</x:v>
      </x:c>
      <x:c r="H2360" s="11" t="n">
        <x:v>794.33</x:v>
      </x:c>
      <x:c r="I2360" s="2" t="n">
        <x:v>4</x:v>
      </x:c>
      <x:c r="J2360" s="2" t="n">
        <x:v>3</x:v>
      </x:c>
      <x:c r="K2360" s="2" t="n">
        <x:v>3</x:v>
      </x:c>
      <x:c r="L2360" s="2" t="str">
        <x:v>Loyal</x:v>
      </x:c>
    </x:row>
    <x:row r="2361" ht="22" customHeight="1">
      <x:c r="A2361" s="2"/>
      <x:c r="B2361" s="2" t="str">
        <x:v>14691</x:v>
      </x:c>
      <x:c r="C2361" s="2" t="str">
        <x:v>United Kingdom</x:v>
      </x:c>
      <x:c r="D2361" s="25" t="n">
        <x:v>40674.20486111111</x:v>
      </x:c>
      <x:c r="E2361" s="25" t="n">
        <x:v>40856.3125</x:v>
      </x:c>
      <x:c r="F2361" s="2" t="n">
        <x:v>31</x:v>
      </x:c>
      <x:c r="G2361" s="2" t="n">
        <x:v>5</x:v>
      </x:c>
      <x:c r="H2361" s="11" t="n">
        <x:v>2114.33</x:v>
      </x:c>
      <x:c r="I2361" s="2" t="n">
        <x:v>4</x:v>
      </x:c>
      <x:c r="J2361" s="2" t="n">
        <x:v>4</x:v>
      </x:c>
      <x:c r="K2361" s="2" t="n">
        <x:v>4</x:v>
      </x:c>
      <x:c r="L2361" s="2" t="str">
        <x:v>Champions</x:v>
      </x:c>
    </x:row>
    <x:row r="2362" ht="22" customHeight="1">
      <x:c r="A2362" s="2"/>
      <x:c r="B2362" s="2" t="str">
        <x:v>14692</x:v>
      </x:c>
      <x:c r="C2362" s="2" t="str">
        <x:v>United Kingdom</x:v>
      </x:c>
      <x:c r="D2362" s="25" t="n">
        <x:v>40269.37777777778</x:v>
      </x:c>
      <x:c r="E2362" s="25" t="n">
        <x:v>40749.42222222222</x:v>
      </x:c>
      <x:c r="F2362" s="2" t="n">
        <x:v>138</x:v>
      </x:c>
      <x:c r="G2362" s="2" t="n">
        <x:v>12</x:v>
      </x:c>
      <x:c r="H2362" s="11" t="n">
        <x:v>1745.09</x:v>
      </x:c>
      <x:c r="I2362" s="2" t="n">
        <x:v>3</x:v>
      </x:c>
      <x:c r="J2362" s="2" t="n">
        <x:v>5</x:v>
      </x:c>
      <x:c r="K2362" s="2" t="n">
        <x:v>4</x:v>
      </x:c>
      <x:c r="L2362" s="2" t="str">
        <x:v>Loyal</x:v>
      </x:c>
    </x:row>
    <x:row r="2363" ht="22" customHeight="1">
      <x:c r="A2363" s="2"/>
      <x:c r="B2363" s="2" t="str">
        <x:v>14693</x:v>
      </x:c>
      <x:c r="C2363" s="2" t="str">
        <x:v>United Kingdom</x:v>
      </x:c>
      <x:c r="D2363" s="25" t="n">
        <x:v>40361.14444444444</x:v>
      </x:c>
      <x:c r="E2363" s="25" t="n">
        <x:v>40622.32638888889</x:v>
      </x:c>
      <x:c r="F2363" s="2" t="n">
        <x:v>265</x:v>
      </x:c>
      <x:c r="G2363" s="2" t="n">
        <x:v>7</x:v>
      </x:c>
      <x:c r="H2363" s="11" t="n">
        <x:v>1165.36</x:v>
      </x:c>
      <x:c r="I2363" s="2" t="n">
        <x:v>2</x:v>
      </x:c>
      <x:c r="J2363" s="2" t="n">
        <x:v>4</x:v>
      </x:c>
      <x:c r="K2363" s="2" t="n">
        <x:v>3</x:v>
      </x:c>
      <x:c r="L2363" s="2" t="str">
        <x:v>At risk</x:v>
      </x:c>
    </x:row>
    <x:row r="2364" ht="22" customHeight="1">
      <x:c r="A2364" s="2"/>
      <x:c r="B2364" s="2" t="str">
        <x:v>14694</x:v>
      </x:c>
      <x:c r="C2364" s="2" t="str">
        <x:v>United Kingdom</x:v>
      </x:c>
      <x:c r="D2364" s="25" t="n">
        <x:v>40269.615277777775</x:v>
      </x:c>
      <x:c r="E2364" s="25" t="n">
        <x:v>40269.615277777775</x:v>
      </x:c>
      <x:c r="F2364" s="2" t="n">
        <x:v>618</x:v>
      </x:c>
      <x:c r="G2364" s="2" t="n">
        <x:v>1</x:v>
      </x:c>
      <x:c r="H2364" s="11" t="n">
        <x:v>244.31</x:v>
      </x:c>
      <x:c r="I2364" s="2" t="n">
        <x:v>1</x:v>
      </x:c>
      <x:c r="J2364" s="2" t="n">
        <x:v>1</x:v>
      </x:c>
      <x:c r="K2364" s="2" t="n">
        <x:v>1</x:v>
      </x:c>
      <x:c r="L2364" s="2" t="str">
        <x:v>Hibernating</x:v>
      </x:c>
    </x:row>
    <x:row r="2365" ht="22" customHeight="1">
      <x:c r="A2365" s="2"/>
      <x:c r="B2365" s="2" t="str">
        <x:v>14695</x:v>
      </x:c>
      <x:c r="C2365" s="2" t="str">
        <x:v>United Kingdom</x:v>
      </x:c>
      <x:c r="D2365" s="25" t="n">
        <x:v>40154.25347222222</x:v>
      </x:c>
      <x:c r="E2365" s="25" t="n">
        <x:v>40367.3875</x:v>
      </x:c>
      <x:c r="F2365" s="2" t="n">
        <x:v>520</x:v>
      </x:c>
      <x:c r="G2365" s="2" t="n">
        <x:v>3</x:v>
      </x:c>
      <x:c r="H2365" s="11" t="n">
        <x:v>1620.07</x:v>
      </x:c>
      <x:c r="I2365" s="2" t="n">
        <x:v>1</x:v>
      </x:c>
      <x:c r="J2365" s="2" t="n">
        <x:v>3</x:v>
      </x:c>
      <x:c r="K2365" s="2" t="n">
        <x:v>4</x:v>
      </x:c>
      <x:c r="L2365" s="2" t="str">
        <x:v>At risk</x:v>
      </x:c>
    </x:row>
    <x:row r="2366" ht="22" customHeight="1">
      <x:c r="A2366" s="2"/>
      <x:c r="B2366" s="2" t="str">
        <x:v>14696</x:v>
      </x:c>
      <x:c r="C2366" s="2" t="str">
        <x:v>United Kingdom</x:v>
      </x:c>
      <x:c r="D2366" s="25" t="n">
        <x:v>40465.279861111114</x:v>
      </x:c>
      <x:c r="E2366" s="25" t="n">
        <x:v>40882.36319444444</x:v>
      </x:c>
      <x:c r="F2366" s="2" t="n">
        <x:v>5</x:v>
      </x:c>
      <x:c r="G2366" s="2" t="n">
        <x:v>8</x:v>
      </x:c>
      <x:c r="H2366" s="11" t="n">
        <x:v>2473.28</x:v>
      </x:c>
      <x:c r="I2366" s="2" t="n">
        <x:v>5</x:v>
      </x:c>
      <x:c r="J2366" s="2" t="n">
        <x:v>4</x:v>
      </x:c>
      <x:c r="K2366" s="2" t="n">
        <x:v>4</x:v>
      </x:c>
      <x:c r="L2366" s="2" t="str">
        <x:v>Champions</x:v>
      </x:c>
    </x:row>
    <x:row r="2367" ht="22" customHeight="1">
      <x:c r="A2367" s="2"/>
      <x:c r="B2367" s="2" t="str">
        <x:v>14697</x:v>
      </x:c>
      <x:c r="C2367" s="2" t="str">
        <x:v>United Kingdom</x:v>
      </x:c>
      <x:c r="D2367" s="25" t="n">
        <x:v>40668.43680555555</x:v>
      </x:c>
      <x:c r="E2367" s="25" t="n">
        <x:v>40668.44375</x:v>
      </x:c>
      <x:c r="F2367" s="2" t="n">
        <x:v>219</x:v>
      </x:c>
      <x:c r="G2367" s="2" t="n">
        <x:v>2</x:v>
      </x:c>
      <x:c r="H2367" s="11" t="n">
        <x:v>188.61</x:v>
      </x:c>
      <x:c r="I2367" s="2" t="n">
        <x:v>2</x:v>
      </x:c>
      <x:c r="J2367" s="2" t="n">
        <x:v>2</x:v>
      </x:c>
      <x:c r="K2367" s="2" t="n">
        <x:v>1</x:v>
      </x:c>
      <x:c r="L2367" s="2" t="str">
        <x:v>Hibernating</x:v>
      </x:c>
    </x:row>
    <x:row r="2368" ht="22" customHeight="1">
      <x:c r="A2368" s="2"/>
      <x:c r="B2368" s="2" t="str">
        <x:v>14698</x:v>
      </x:c>
      <x:c r="C2368" s="2" t="str">
        <x:v>United Kingdom</x:v>
      </x:c>
      <x:c r="D2368" s="25" t="n">
        <x:v>40835.32916666667</x:v>
      </x:c>
      <x:c r="E2368" s="25" t="n">
        <x:v>40885.30972222222</x:v>
      </x:c>
      <x:c r="F2368" s="2" t="n">
        <x:v>2</x:v>
      </x:c>
      <x:c r="G2368" s="2" t="n">
        <x:v>5</x:v>
      </x:c>
      <x:c r="H2368" s="11" t="n">
        <x:v>1250.76</x:v>
      </x:c>
      <x:c r="I2368" s="2" t="n">
        <x:v>5</x:v>
      </x:c>
      <x:c r="J2368" s="2" t="n">
        <x:v>4</x:v>
      </x:c>
      <x:c r="K2368" s="2" t="n">
        <x:v>4</x:v>
      </x:c>
      <x:c r="L2368" s="2" t="str">
        <x:v>Champions</x:v>
      </x:c>
    </x:row>
    <x:row r="2369" ht="22" customHeight="1">
      <x:c r="A2369" s="2"/>
      <x:c r="B2369" s="2" t="str">
        <x:v>14699</x:v>
      </x:c>
      <x:c r="C2369" s="2" t="str">
        <x:v>United Kingdom</x:v>
      </x:c>
      <x:c r="D2369" s="25" t="n">
        <x:v>40361.294444444444</x:v>
      </x:c>
      <x:c r="E2369" s="25" t="n">
        <x:v>40672.4125</x:v>
      </x:c>
      <x:c r="F2369" s="2" t="n">
        <x:v>215</x:v>
      </x:c>
      <x:c r="G2369" s="2" t="n">
        <x:v>4</x:v>
      </x:c>
      <x:c r="H2369" s="11" t="n">
        <x:v>702.6</x:v>
      </x:c>
      <x:c r="I2369" s="2" t="n">
        <x:v>2</x:v>
      </x:c>
      <x:c r="J2369" s="2" t="n">
        <x:v>3</x:v>
      </x:c>
      <x:c r="K2369" s="2" t="n">
        <x:v>3</x:v>
      </x:c>
      <x:c r="L2369" s="2" t="str">
        <x:v>At risk</x:v>
      </x:c>
    </x:row>
    <x:row r="2370" ht="22" customHeight="1">
      <x:c r="A2370" s="2"/>
      <x:c r="B2370" s="2" t="str">
        <x:v>14700</x:v>
      </x:c>
      <x:c r="C2370" s="2" t="str">
        <x:v>United Kingdom</x:v>
      </x:c>
      <x:c r="D2370" s="25" t="n">
        <x:v>40401.30486111111</x:v>
      </x:c>
      <x:c r="E2370" s="25" t="n">
        <x:v>40854.40277777778</x:v>
      </x:c>
      <x:c r="F2370" s="2" t="n">
        <x:v>33</x:v>
      </x:c>
      <x:c r="G2370" s="2" t="n">
        <x:v>5</x:v>
      </x:c>
      <x:c r="H2370" s="11" t="n">
        <x:v>3116.26</x:v>
      </x:c>
      <x:c r="I2370" s="2" t="n">
        <x:v>4</x:v>
      </x:c>
      <x:c r="J2370" s="2" t="n">
        <x:v>4</x:v>
      </x:c>
      <x:c r="K2370" s="2" t="n">
        <x:v>5</x:v>
      </x:c>
      <x:c r="L2370" s="2" t="str">
        <x:v>Champions</x:v>
      </x:c>
    </x:row>
    <x:row r="2371" ht="22" customHeight="1">
      <x:c r="A2371" s="2"/>
      <x:c r="B2371" s="2" t="str">
        <x:v>14701</x:v>
      </x:c>
      <x:c r="C2371" s="2" t="str">
        <x:v>United Kingdom</x:v>
      </x:c>
      <x:c r="D2371" s="25" t="n">
        <x:v>40202.302083333336</x:v>
      </x:c>
      <x:c r="E2371" s="25" t="n">
        <x:v>40876.31805555556</x:v>
      </x:c>
      <x:c r="F2371" s="2" t="n">
        <x:v>11</x:v>
      </x:c>
      <x:c r="G2371" s="2" t="n">
        <x:v>15</x:v>
      </x:c>
      <x:c r="H2371" s="11" t="n">
        <x:v>4562.09</x:v>
      </x:c>
      <x:c r="I2371" s="2" t="n">
        <x:v>5</x:v>
      </x:c>
      <x:c r="J2371" s="2" t="n">
        <x:v>5</x:v>
      </x:c>
      <x:c r="K2371" s="2" t="n">
        <x:v>5</x:v>
      </x:c>
      <x:c r="L2371" s="2" t="str">
        <x:v>Champions</x:v>
      </x:c>
    </x:row>
    <x:row r="2372" ht="22" customHeight="1">
      <x:c r="A2372" s="2"/>
      <x:c r="B2372" s="2" t="str">
        <x:v>14702</x:v>
      </x:c>
      <x:c r="C2372" s="2" t="str">
        <x:v>United Kingdom</x:v>
      </x:c>
      <x:c r="D2372" s="25" t="n">
        <x:v>40157.64027777778</x:v>
      </x:c>
      <x:c r="E2372" s="25" t="n">
        <x:v>40885.603472222225</x:v>
      </x:c>
      <x:c r="F2372" s="2" t="n">
        <x:v>2</x:v>
      </x:c>
      <x:c r="G2372" s="2" t="n">
        <x:v>29</x:v>
      </x:c>
      <x:c r="H2372" s="11" t="n">
        <x:v>6435.52</x:v>
      </x:c>
      <x:c r="I2372" s="2" t="n">
        <x:v>5</x:v>
      </x:c>
      <x:c r="J2372" s="2" t="n">
        <x:v>5</x:v>
      </x:c>
      <x:c r="K2372" s="2" t="n">
        <x:v>5</x:v>
      </x:c>
      <x:c r="L2372" s="2" t="str">
        <x:v>Champions</x:v>
      </x:c>
    </x:row>
    <x:row r="2373" ht="22" customHeight="1">
      <x:c r="A2373" s="2"/>
      <x:c r="B2373" s="2" t="str">
        <x:v>14703</x:v>
      </x:c>
      <x:c r="C2373" s="2" t="str">
        <x:v>United Kingdom</x:v>
      </x:c>
      <x:c r="D2373" s="25" t="n">
        <x:v>40872.18263888889</x:v>
      </x:c>
      <x:c r="E2373" s="25" t="n">
        <x:v>40872.18263888889</x:v>
      </x:c>
      <x:c r="F2373" s="2" t="n">
        <x:v>15</x:v>
      </x:c>
      <x:c r="G2373" s="2" t="n">
        <x:v>1</x:v>
      </x:c>
      <x:c r="H2373" s="11" t="n">
        <x:v>318.17</x:v>
      </x:c>
      <x:c r="I2373" s="2" t="n">
        <x:v>5</x:v>
      </x:c>
      <x:c r="J2373" s="2" t="n">
        <x:v>1</x:v>
      </x:c>
      <x:c r="K2373" s="2" t="n">
        <x:v>2</x:v>
      </x:c>
      <x:c r="L2373" s="2" t="str">
        <x:v>Recent light buyers</x:v>
      </x:c>
    </x:row>
    <x:row r="2374" ht="22" customHeight="1">
      <x:c r="A2374" s="2"/>
      <x:c r="B2374" s="2" t="str">
        <x:v>14704</x:v>
      </x:c>
      <x:c r="C2374" s="2" t="str">
        <x:v>United Kingdom</x:v>
      </x:c>
      <x:c r="D2374" s="25" t="n">
        <x:v>40262.51458333333</x:v>
      </x:c>
      <x:c r="E2374" s="25" t="n">
        <x:v>40875.32708333333</x:v>
      </x:c>
      <x:c r="F2374" s="2" t="n">
        <x:v>12</x:v>
      </x:c>
      <x:c r="G2374" s="2" t="n">
        <x:v>11</x:v>
      </x:c>
      <x:c r="H2374" s="11" t="n">
        <x:v>1813.57</x:v>
      </x:c>
      <x:c r="I2374" s="2" t="n">
        <x:v>5</x:v>
      </x:c>
      <x:c r="J2374" s="2" t="n">
        <x:v>5</x:v>
      </x:c>
      <x:c r="K2374" s="2" t="n">
        <x:v>4</x:v>
      </x:c>
      <x:c r="L2374" s="2" t="str">
        <x:v>Champions</x:v>
      </x:c>
    </x:row>
    <x:row r="2375" ht="22" customHeight="1">
      <x:c r="A2375" s="2"/>
      <x:c r="B2375" s="2" t="str">
        <x:v>14705</x:v>
      </x:c>
      <x:c r="C2375" s="2" t="str">
        <x:v>United Kingdom</x:v>
      </x:c>
      <x:c r="D2375" s="25" t="n">
        <x:v>40688.31875</x:v>
      </x:c>
      <x:c r="E2375" s="25" t="n">
        <x:v>40688.31875</x:v>
      </x:c>
      <x:c r="F2375" s="2" t="n">
        <x:v>199</x:v>
      </x:c>
      <x:c r="G2375" s="2" t="n">
        <x:v>1</x:v>
      </x:c>
      <x:c r="H2375" s="11" t="n">
        <x:v>179</x:v>
      </x:c>
      <x:c r="I2375" s="2" t="n">
        <x:v>2</x:v>
      </x:c>
      <x:c r="J2375" s="2" t="n">
        <x:v>1</x:v>
      </x:c>
      <x:c r="K2375" s="2" t="n">
        <x:v>1</x:v>
      </x:c>
      <x:c r="L2375" s="2" t="str">
        <x:v>Hibernating</x:v>
      </x:c>
    </x:row>
    <x:row r="2376" ht="22" customHeight="1">
      <x:c r="A2376" s="2"/>
      <x:c r="B2376" s="2" t="str">
        <x:v>14706</x:v>
      </x:c>
      <x:c r="C2376" s="2" t="str">
        <x:v>United Kingdom</x:v>
      </x:c>
      <x:c r="D2376" s="25" t="n">
        <x:v>40268.25625</x:v>
      </x:c>
      <x:c r="E2376" s="25" t="n">
        <x:v>40268.25625</x:v>
      </x:c>
      <x:c r="F2376" s="2" t="n">
        <x:v>619</x:v>
      </x:c>
      <x:c r="G2376" s="2" t="n">
        <x:v>1</x:v>
      </x:c>
      <x:c r="H2376" s="11" t="n">
        <x:v>390.69</x:v>
      </x:c>
      <x:c r="I2376" s="2" t="n">
        <x:v>1</x:v>
      </x:c>
      <x:c r="J2376" s="2" t="n">
        <x:v>1</x:v>
      </x:c>
      <x:c r="K2376" s="2" t="n">
        <x:v>2</x:v>
      </x:c>
      <x:c r="L2376" s="2" t="str">
        <x:v>Hibernating</x:v>
      </x:c>
    </x:row>
    <x:row r="2377" ht="22" customHeight="1">
      <x:c r="A2377" s="2"/>
      <x:c r="B2377" s="2" t="str">
        <x:v>14707</x:v>
      </x:c>
      <x:c r="C2377" s="2" t="str">
        <x:v>United Kingdom</x:v>
      </x:c>
      <x:c r="D2377" s="25" t="n">
        <x:v>40310.25486111111</x:v>
      </x:c>
      <x:c r="E2377" s="25" t="n">
        <x:v>40451.27569444444</x:v>
      </x:c>
      <x:c r="F2377" s="2" t="n">
        <x:v>436</x:v>
      </x:c>
      <x:c r="G2377" s="2" t="n">
        <x:v>2</x:v>
      </x:c>
      <x:c r="H2377" s="11" t="n">
        <x:v>139.2</x:v>
      </x:c>
      <x:c r="I2377" s="2" t="n">
        <x:v>1</x:v>
      </x:c>
      <x:c r="J2377" s="2" t="n">
        <x:v>2</x:v>
      </x:c>
      <x:c r="K2377" s="2" t="n">
        <x:v>1</x:v>
      </x:c>
      <x:c r="L2377" s="2" t="str">
        <x:v>Hibernating</x:v>
      </x:c>
    </x:row>
    <x:row r="2378" ht="22" customHeight="1">
      <x:c r="A2378" s="2"/>
      <x:c r="B2378" s="2" t="str">
        <x:v>14708</x:v>
      </x:c>
      <x:c r="C2378" s="2" t="str">
        <x:v>United Kingdom</x:v>
      </x:c>
      <x:c r="D2378" s="25" t="n">
        <x:v>40431.22638888889</x:v>
      </x:c>
      <x:c r="E2378" s="25" t="n">
        <x:v>40884.13958333333</x:v>
      </x:c>
      <x:c r="F2378" s="2" t="n">
        <x:v>3</x:v>
      </x:c>
      <x:c r="G2378" s="2" t="n">
        <x:v>5</x:v>
      </x:c>
      <x:c r="H2378" s="11" t="n">
        <x:v>1793.22</x:v>
      </x:c>
      <x:c r="I2378" s="2" t="n">
        <x:v>5</x:v>
      </x:c>
      <x:c r="J2378" s="2" t="n">
        <x:v>4</x:v>
      </x:c>
      <x:c r="K2378" s="2" t="n">
        <x:v>4</x:v>
      </x:c>
      <x:c r="L2378" s="2" t="str">
        <x:v>Champions</x:v>
      </x:c>
    </x:row>
    <x:row r="2379" ht="22" customHeight="1">
      <x:c r="A2379" s="2"/>
      <x:c r="B2379" s="2" t="str">
        <x:v>14709</x:v>
      </x:c>
      <x:c r="C2379" s="2" t="str">
        <x:v>United Kingdom</x:v>
      </x:c>
      <x:c r="D2379" s="25" t="n">
        <x:v>40152.43472222222</x:v>
      </x:c>
      <x:c r="E2379" s="25" t="n">
        <x:v>40871.44513888889</x:v>
      </x:c>
      <x:c r="F2379" s="2" t="n">
        <x:v>16</x:v>
      </x:c>
      <x:c r="G2379" s="2" t="n">
        <x:v>25</x:v>
      </x:c>
      <x:c r="H2379" s="11" t="n">
        <x:v>8886.33</x:v>
      </x:c>
      <x:c r="I2379" s="2" t="n">
        <x:v>5</x:v>
      </x:c>
      <x:c r="J2379" s="2" t="n">
        <x:v>5</x:v>
      </x:c>
      <x:c r="K2379" s="2" t="n">
        <x:v>5</x:v>
      </x:c>
      <x:c r="L2379" s="2" t="str">
        <x:v>Champions</x:v>
      </x:c>
    </x:row>
    <x:row r="2380" ht="22" customHeight="1">
      <x:c r="A2380" s="2"/>
      <x:c r="B2380" s="2" t="str">
        <x:v>14710</x:v>
      </x:c>
      <x:c r="C2380" s="2" t="str">
        <x:v>United Kingdom</x:v>
      </x:c>
      <x:c r="D2380" s="25" t="n">
        <x:v>40150.50833333333</x:v>
      </x:c>
      <x:c r="E2380" s="25" t="n">
        <x:v>40872.41180555556</x:v>
      </x:c>
      <x:c r="F2380" s="2" t="n">
        <x:v>15</x:v>
      </x:c>
      <x:c r="G2380" s="2" t="n">
        <x:v>13</x:v>
      </x:c>
      <x:c r="H2380" s="11" t="n">
        <x:v>1922.59</x:v>
      </x:c>
      <x:c r="I2380" s="2" t="n">
        <x:v>5</x:v>
      </x:c>
      <x:c r="J2380" s="2" t="n">
        <x:v>5</x:v>
      </x:c>
      <x:c r="K2380" s="2" t="n">
        <x:v>4</x:v>
      </x:c>
      <x:c r="L2380" s="2" t="str">
        <x:v>Champions</x:v>
      </x:c>
    </x:row>
    <x:row r="2381" ht="22" customHeight="1">
      <x:c r="A2381" s="2"/>
      <x:c r="B2381" s="2" t="str">
        <x:v>14711</x:v>
      </x:c>
      <x:c r="C2381" s="2" t="str">
        <x:v>United Kingdom</x:v>
      </x:c>
      <x:c r="D2381" s="25" t="n">
        <x:v>40624.35555555556</x:v>
      </x:c>
      <x:c r="E2381" s="25" t="n">
        <x:v>40876.41527777778</x:v>
      </x:c>
      <x:c r="F2381" s="2" t="n">
        <x:v>11</x:v>
      </x:c>
      <x:c r="G2381" s="2" t="n">
        <x:v>11</x:v>
      </x:c>
      <x:c r="H2381" s="11" t="n">
        <x:v>2868.8</x:v>
      </x:c>
      <x:c r="I2381" s="2" t="n">
        <x:v>5</x:v>
      </x:c>
      <x:c r="J2381" s="2" t="n">
        <x:v>5</x:v>
      </x:c>
      <x:c r="K2381" s="2" t="n">
        <x:v>4</x:v>
      </x:c>
      <x:c r="L2381" s="2" t="str">
        <x:v>Champions</x:v>
      </x:c>
    </x:row>
    <x:row r="2382" ht="22" customHeight="1">
      <x:c r="A2382" s="2"/>
      <x:c r="B2382" s="2" t="str">
        <x:v>14712</x:v>
      </x:c>
      <x:c r="C2382" s="2" t="str">
        <x:v>United Kingdom</x:v>
      </x:c>
      <x:c r="D2382" s="25" t="n">
        <x:v>40468.40902777778</x:v>
      </x:c>
      <x:c r="E2382" s="25" t="n">
        <x:v>40857.33263888889</x:v>
      </x:c>
      <x:c r="F2382" s="2" t="n">
        <x:v>30</x:v>
      </x:c>
      <x:c r="G2382" s="2" t="n">
        <x:v>4</x:v>
      </x:c>
      <x:c r="H2382" s="11" t="n">
        <x:v>1328.07</x:v>
      </x:c>
      <x:c r="I2382" s="2" t="n">
        <x:v>4</x:v>
      </x:c>
      <x:c r="J2382" s="2" t="n">
        <x:v>3</x:v>
      </x:c>
      <x:c r="K2382" s="2" t="n">
        <x:v>4</x:v>
      </x:c>
      <x:c r="L2382" s="2" t="str">
        <x:v>Loyal</x:v>
      </x:c>
    </x:row>
    <x:row r="2383" ht="22" customHeight="1">
      <x:c r="A2383" s="2"/>
      <x:c r="B2383" s="2" t="str">
        <x:v>14713</x:v>
      </x:c>
      <x:c r="C2383" s="2" t="str">
        <x:v>United Kingdom</x:v>
      </x:c>
      <x:c r="D2383" s="25" t="n">
        <x:v>40150.59861111111</x:v>
      </x:c>
      <x:c r="E2383" s="25" t="n">
        <x:v>40877.47638888889</x:v>
      </x:c>
      <x:c r="F2383" s="2" t="n">
        <x:v>10</x:v>
      </x:c>
      <x:c r="G2383" s="2" t="n">
        <x:v>21</x:v>
      </x:c>
      <x:c r="H2383" s="11" t="n">
        <x:v>5119.92</x:v>
      </x:c>
      <x:c r="I2383" s="2" t="n">
        <x:v>5</x:v>
      </x:c>
      <x:c r="J2383" s="2" t="n">
        <x:v>5</x:v>
      </x:c>
      <x:c r="K2383" s="2" t="n">
        <x:v>5</x:v>
      </x:c>
      <x:c r="L2383" s="2" t="str">
        <x:v>Champions</x:v>
      </x:c>
    </x:row>
    <x:row r="2384" ht="22" customHeight="1">
      <x:c r="A2384" s="2"/>
      <x:c r="B2384" s="2" t="str">
        <x:v>14714</x:v>
      </x:c>
      <x:c r="C2384" s="2" t="str">
        <x:v>United Kingdom</x:v>
      </x:c>
      <x:c r="D2384" s="25" t="n">
        <x:v>40199.285416666666</x:v>
      </x:c>
      <x:c r="E2384" s="25" t="n">
        <x:v>40862.33819444444</x:v>
      </x:c>
      <x:c r="F2384" s="2" t="n">
        <x:v>25</x:v>
      </x:c>
      <x:c r="G2384" s="2" t="n">
        <x:v>4</x:v>
      </x:c>
      <x:c r="H2384" s="11" t="n">
        <x:v>906.24</x:v>
      </x:c>
      <x:c r="I2384" s="2" t="n">
        <x:v>4</x:v>
      </x:c>
      <x:c r="J2384" s="2" t="n">
        <x:v>3</x:v>
      </x:c>
      <x:c r="K2384" s="2" t="n">
        <x:v>3</x:v>
      </x:c>
      <x:c r="L2384" s="2" t="str">
        <x:v>Loyal</x:v>
      </x:c>
    </x:row>
    <x:row r="2385" ht="22" customHeight="1">
      <x:c r="A2385" s="2"/>
      <x:c r="B2385" s="2" t="str">
        <x:v>14715</x:v>
      </x:c>
      <x:c r="C2385" s="2" t="str">
        <x:v>United Kingdom</x:v>
      </x:c>
      <x:c r="D2385" s="25" t="n">
        <x:v>40197.30416666667</x:v>
      </x:c>
      <x:c r="E2385" s="25" t="n">
        <x:v>40862.29861111111</x:v>
      </x:c>
      <x:c r="F2385" s="2" t="n">
        <x:v>25</x:v>
      </x:c>
      <x:c r="G2385" s="2" t="n">
        <x:v>8</x:v>
      </x:c>
      <x:c r="H2385" s="11" t="n">
        <x:v>1840.45</x:v>
      </x:c>
      <x:c r="I2385" s="2" t="n">
        <x:v>4</x:v>
      </x:c>
      <x:c r="J2385" s="2" t="n">
        <x:v>4</x:v>
      </x:c>
      <x:c r="K2385" s="2" t="n">
        <x:v>4</x:v>
      </x:c>
      <x:c r="L2385" s="2" t="str">
        <x:v>Champions</x:v>
      </x:c>
    </x:row>
    <x:row r="2386" ht="22" customHeight="1">
      <x:c r="A2386" s="2"/>
      <x:c r="B2386" s="2" t="str">
        <x:v>14716</x:v>
      </x:c>
      <x:c r="C2386" s="2" t="str">
        <x:v>United Kingdom</x:v>
      </x:c>
      <x:c r="D2386" s="25" t="n">
        <x:v>40442.29652777778</x:v>
      </x:c>
      <x:c r="E2386" s="25" t="n">
        <x:v>40843.52013888889</x:v>
      </x:c>
      <x:c r="F2386" s="2" t="n">
        <x:v>44</x:v>
      </x:c>
      <x:c r="G2386" s="2" t="n">
        <x:v>3</x:v>
      </x:c>
      <x:c r="H2386" s="11" t="n">
        <x:v>565.45</x:v>
      </x:c>
      <x:c r="I2386" s="2" t="n">
        <x:v>4</x:v>
      </x:c>
      <x:c r="J2386" s="2" t="n">
        <x:v>3</x:v>
      </x:c>
      <x:c r="K2386" s="2" t="n">
        <x:v>2</x:v>
      </x:c>
      <x:c r="L2386" s="2" t="str">
        <x:v>Loyal</x:v>
      </x:c>
    </x:row>
    <x:row r="2387" ht="22" customHeight="1">
      <x:c r="A2387" s="2"/>
      <x:c r="B2387" s="2" t="str">
        <x:v>14717</x:v>
      </x:c>
      <x:c r="C2387" s="2" t="str">
        <x:v>United Kingdom</x:v>
      </x:c>
      <x:c r="D2387" s="25" t="n">
        <x:v>40153.336805555555</x:v>
      </x:c>
      <x:c r="E2387" s="25" t="n">
        <x:v>40153.336805555555</x:v>
      </x:c>
      <x:c r="F2387" s="2" t="n">
        <x:v>734</x:v>
      </x:c>
      <x:c r="G2387" s="2" t="n">
        <x:v>1</x:v>
      </x:c>
      <x:c r="H2387" s="11" t="n">
        <x:v>81.3</x:v>
      </x:c>
      <x:c r="I2387" s="2" t="n">
        <x:v>1</x:v>
      </x:c>
      <x:c r="J2387" s="2" t="n">
        <x:v>1</x:v>
      </x:c>
      <x:c r="K2387" s="2" t="n">
        <x:v>1</x:v>
      </x:c>
      <x:c r="L2387" s="2" t="str">
        <x:v>Hibernating</x:v>
      </x:c>
    </x:row>
    <x:row r="2388" ht="22" customHeight="1">
      <x:c r="A2388" s="2"/>
      <x:c r="B2388" s="2" t="str">
        <x:v>14718</x:v>
      </x:c>
      <x:c r="C2388" s="2" t="str">
        <x:v>United Kingdom</x:v>
      </x:c>
      <x:c r="D2388" s="25" t="n">
        <x:v>40476.33819444444</x:v>
      </x:c>
      <x:c r="E2388" s="25" t="n">
        <x:v>40476.33819444444</x:v>
      </x:c>
      <x:c r="F2388" s="2" t="n">
        <x:v>411</x:v>
      </x:c>
      <x:c r="G2388" s="2" t="n">
        <x:v>1</x:v>
      </x:c>
      <x:c r="H2388" s="11" t="n">
        <x:v>226.42</x:v>
      </x:c>
      <x:c r="I2388" s="2" t="n">
        <x:v>2</x:v>
      </x:c>
      <x:c r="J2388" s="2" t="n">
        <x:v>1</x:v>
      </x:c>
      <x:c r="K2388" s="2" t="n">
        <x:v>1</x:v>
      </x:c>
      <x:c r="L2388" s="2" t="str">
        <x:v>Hibernating</x:v>
      </x:c>
    </x:row>
    <x:row r="2389" ht="22" customHeight="1">
      <x:c r="A2389" s="2"/>
      <x:c r="B2389" s="2" t="str">
        <x:v>14719</x:v>
      </x:c>
      <x:c r="C2389" s="2" t="str">
        <x:v>United Kingdom</x:v>
      </x:c>
      <x:c r="D2389" s="25" t="n">
        <x:v>40637.38680555556</x:v>
      </x:c>
      <x:c r="E2389" s="25" t="n">
        <x:v>40885.32152777778</x:v>
      </x:c>
      <x:c r="F2389" s="2" t="n">
        <x:v>2</x:v>
      </x:c>
      <x:c r="G2389" s="2" t="n">
        <x:v>5</x:v>
      </x:c>
      <x:c r="H2389" s="11" t="n">
        <x:v>1602.13</x:v>
      </x:c>
      <x:c r="I2389" s="2" t="n">
        <x:v>5</x:v>
      </x:c>
      <x:c r="J2389" s="2" t="n">
        <x:v>4</x:v>
      </x:c>
      <x:c r="K2389" s="2" t="n">
        <x:v>4</x:v>
      </x:c>
      <x:c r="L2389" s="2" t="str">
        <x:v>Champions</x:v>
      </x:c>
    </x:row>
    <x:row r="2390" ht="22" customHeight="1">
      <x:c r="A2390" s="2"/>
      <x:c r="B2390" s="2" t="str">
        <x:v>14720</x:v>
      </x:c>
      <x:c r="C2390" s="2" t="str">
        <x:v>United Kingdom</x:v>
      </x:c>
      <x:c r="D2390" s="25" t="n">
        <x:v>40760.29583333333</x:v>
      </x:c>
      <x:c r="E2390" s="25" t="n">
        <x:v>40881.29305555556</x:v>
      </x:c>
      <x:c r="F2390" s="2" t="n">
        <x:v>6</x:v>
      </x:c>
      <x:c r="G2390" s="2" t="n">
        <x:v>3</x:v>
      </x:c>
      <x:c r="H2390" s="11" t="n">
        <x:v>663.81</x:v>
      </x:c>
      <x:c r="I2390" s="2" t="n">
        <x:v>5</x:v>
      </x:c>
      <x:c r="J2390" s="2" t="n">
        <x:v>3</x:v>
      </x:c>
      <x:c r="K2390" s="2" t="n">
        <x:v>3</x:v>
      </x:c>
      <x:c r="L2390" s="2" t="str">
        <x:v>Loyal</x:v>
      </x:c>
    </x:row>
    <x:row r="2391" ht="22" customHeight="1">
      <x:c r="A2391" s="2"/>
      <x:c r="B2391" s="2" t="str">
        <x:v>14721</x:v>
      </x:c>
      <x:c r="C2391" s="2" t="str">
        <x:v>United Kingdom</x:v>
      </x:c>
      <x:c r="D2391" s="25" t="n">
        <x:v>40507.33888888889</x:v>
      </x:c>
      <x:c r="E2391" s="25" t="n">
        <x:v>40507.33888888889</x:v>
      </x:c>
      <x:c r="F2391" s="2" t="n">
        <x:v>380</x:v>
      </x:c>
      <x:c r="G2391" s="2" t="n">
        <x:v>1</x:v>
      </x:c>
      <x:c r="H2391" s="11" t="n">
        <x:v>115.77</x:v>
      </x:c>
      <x:c r="I2391" s="2" t="n">
        <x:v>2</x:v>
      </x:c>
      <x:c r="J2391" s="2" t="n">
        <x:v>1</x:v>
      </x:c>
      <x:c r="K2391" s="2" t="n">
        <x:v>1</x:v>
      </x:c>
      <x:c r="L2391" s="2" t="str">
        <x:v>Hibernating</x:v>
      </x:c>
    </x:row>
    <x:row r="2392" ht="22" customHeight="1">
      <x:c r="A2392" s="2"/>
      <x:c r="B2392" s="2" t="str">
        <x:v>14722</x:v>
      </x:c>
      <x:c r="C2392" s="2" t="str">
        <x:v>United Kingdom</x:v>
      </x:c>
      <x:c r="D2392" s="25" t="n">
        <x:v>40400.35277777778</x:v>
      </x:c>
      <x:c r="E2392" s="25" t="n">
        <x:v>40739.41527777778</x:v>
      </x:c>
      <x:c r="F2392" s="2" t="n">
        <x:v>148</x:v>
      </x:c>
      <x:c r="G2392" s="2" t="n">
        <x:v>3</x:v>
      </x:c>
      <x:c r="H2392" s="11" t="n">
        <x:v>513.37</x:v>
      </x:c>
      <x:c r="I2392" s="2" t="n">
        <x:v>3</x:v>
      </x:c>
      <x:c r="J2392" s="2" t="n">
        <x:v>3</x:v>
      </x:c>
      <x:c r="K2392" s="2" t="n">
        <x:v>2</x:v>
      </x:c>
      <x:c r="L2392" s="2" t="str">
        <x:v>Loyal</x:v>
      </x:c>
    </x:row>
    <x:row r="2393" ht="22" customHeight="1">
      <x:c r="A2393" s="2"/>
      <x:c r="B2393" s="2" t="str">
        <x:v>14723</x:v>
      </x:c>
      <x:c r="C2393" s="2" t="str">
        <x:v>United Kingdom</x:v>
      </x:c>
      <x:c r="D2393" s="25" t="n">
        <x:v>40151.26527777778</x:v>
      </x:c>
      <x:c r="E2393" s="25" t="n">
        <x:v>40876.43263888889</x:v>
      </x:c>
      <x:c r="F2393" s="2" t="n">
        <x:v>11</x:v>
      </x:c>
      <x:c r="G2393" s="2" t="n">
        <x:v>11</x:v>
      </x:c>
      <x:c r="H2393" s="11" t="n">
        <x:v>1842.12</x:v>
      </x:c>
      <x:c r="I2393" s="2" t="n">
        <x:v>5</x:v>
      </x:c>
      <x:c r="J2393" s="2" t="n">
        <x:v>5</x:v>
      </x:c>
      <x:c r="K2393" s="2" t="n">
        <x:v>4</x:v>
      </x:c>
      <x:c r="L2393" s="2" t="str">
        <x:v>Champions</x:v>
      </x:c>
    </x:row>
    <x:row r="2394" ht="22" customHeight="1">
      <x:c r="A2394" s="2"/>
      <x:c r="B2394" s="2" t="str">
        <x:v>14724</x:v>
      </x:c>
      <x:c r="C2394" s="2" t="str">
        <x:v>United Kingdom</x:v>
      </x:c>
      <x:c r="D2394" s="25" t="n">
        <x:v>40296.35138888889</x:v>
      </x:c>
      <x:c r="E2394" s="25" t="n">
        <x:v>40296.35138888889</x:v>
      </x:c>
      <x:c r="F2394" s="2" t="n">
        <x:v>591</x:v>
      </x:c>
      <x:c r="G2394" s="2" t="n">
        <x:v>1</x:v>
      </x:c>
      <x:c r="H2394" s="11" t="n">
        <x:v>345.25</x:v>
      </x:c>
      <x:c r="I2394" s="2" t="n">
        <x:v>1</x:v>
      </x:c>
      <x:c r="J2394" s="2" t="n">
        <x:v>1</x:v>
      </x:c>
      <x:c r="K2394" s="2" t="n">
        <x:v>2</x:v>
      </x:c>
      <x:c r="L2394" s="2" t="str">
        <x:v>Hibernating</x:v>
      </x:c>
    </x:row>
    <x:row r="2395" ht="22" customHeight="1">
      <x:c r="A2395" s="2"/>
      <x:c r="B2395" s="2" t="str">
        <x:v>14725</x:v>
      </x:c>
      <x:c r="C2395" s="2" t="str">
        <x:v>United Kingdom</x:v>
      </x:c>
      <x:c r="D2395" s="25" t="n">
        <x:v>40352.27361111111</x:v>
      </x:c>
      <x:c r="E2395" s="25" t="n">
        <x:v>40862.32083333333</x:v>
      </x:c>
      <x:c r="F2395" s="2" t="n">
        <x:v>25</x:v>
      </x:c>
      <x:c r="G2395" s="2" t="n">
        <x:v>4</x:v>
      </x:c>
      <x:c r="H2395" s="11" t="n">
        <x:v>1315.24</x:v>
      </x:c>
      <x:c r="I2395" s="2" t="n">
        <x:v>4</x:v>
      </x:c>
      <x:c r="J2395" s="2" t="n">
        <x:v>3</x:v>
      </x:c>
      <x:c r="K2395" s="2" t="n">
        <x:v>4</x:v>
      </x:c>
      <x:c r="L2395" s="2" t="str">
        <x:v>Loyal</x:v>
      </x:c>
    </x:row>
    <x:row r="2396" ht="22" customHeight="1">
      <x:c r="A2396" s="2"/>
      <x:c r="B2396" s="2" t="str">
        <x:v>14726</x:v>
      </x:c>
      <x:c r="C2396" s="2" t="str">
        <x:v>United Kingdom</x:v>
      </x:c>
      <x:c r="D2396" s="25" t="n">
        <x:v>40232.31597222222</x:v>
      </x:c>
      <x:c r="E2396" s="25" t="n">
        <x:v>40232.31597222222</x:v>
      </x:c>
      <x:c r="F2396" s="2" t="n">
        <x:v>655</x:v>
      </x:c>
      <x:c r="G2396" s="2" t="n">
        <x:v>1</x:v>
      </x:c>
      <x:c r="H2396" s="11" t="n">
        <x:v>124.75</x:v>
      </x:c>
      <x:c r="I2396" s="2" t="n">
        <x:v>1</x:v>
      </x:c>
      <x:c r="J2396" s="2" t="n">
        <x:v>1</x:v>
      </x:c>
      <x:c r="K2396" s="2" t="n">
        <x:v>1</x:v>
      </x:c>
      <x:c r="L2396" s="2" t="str">
        <x:v>Hibernating</x:v>
      </x:c>
    </x:row>
    <x:row r="2397" ht="22" customHeight="1">
      <x:c r="A2397" s="2"/>
      <x:c r="B2397" s="2" t="str">
        <x:v>14727</x:v>
      </x:c>
      <x:c r="C2397" s="2" t="str">
        <x:v>United Kingdom</x:v>
      </x:c>
      <x:c r="D2397" s="25" t="n">
        <x:v>40340.34930555556</x:v>
      </x:c>
      <x:c r="E2397" s="25" t="n">
        <x:v>40612.40625</x:v>
      </x:c>
      <x:c r="F2397" s="2" t="n">
        <x:v>275</x:v>
      </x:c>
      <x:c r="G2397" s="2" t="n">
        <x:v>3</x:v>
      </x:c>
      <x:c r="H2397" s="11" t="n">
        <x:v>467.93</x:v>
      </x:c>
      <x:c r="I2397" s="2" t="n">
        <x:v>2</x:v>
      </x:c>
      <x:c r="J2397" s="2" t="n">
        <x:v>3</x:v>
      </x:c>
      <x:c r="K2397" s="2" t="n">
        <x:v>2</x:v>
      </x:c>
      <x:c r="L2397" s="2" t="str">
        <x:v>At risk</x:v>
      </x:c>
    </x:row>
    <x:row r="2398" ht="22" customHeight="1">
      <x:c r="A2398" s="2"/>
      <x:c r="B2398" s="2" t="str">
        <x:v>14728</x:v>
      </x:c>
      <x:c r="C2398" s="2" t="str">
        <x:v>United Kingdom</x:v>
      </x:c>
      <x:c r="D2398" s="25" t="n">
        <x:v>40473.45625</x:v>
      </x:c>
      <x:c r="E2398" s="25" t="n">
        <x:v>40473.45625</x:v>
      </x:c>
      <x:c r="F2398" s="2" t="n">
        <x:v>414</x:v>
      </x:c>
      <x:c r="G2398" s="2" t="n">
        <x:v>1</x:v>
      </x:c>
      <x:c r="H2398" s="11" t="n">
        <x:v>190.58</x:v>
      </x:c>
      <x:c r="I2398" s="2" t="n">
        <x:v>1</x:v>
      </x:c>
      <x:c r="J2398" s="2" t="n">
        <x:v>1</x:v>
      </x:c>
      <x:c r="K2398" s="2" t="n">
        <x:v>1</x:v>
      </x:c>
      <x:c r="L2398" s="2" t="str">
        <x:v>Hibernating</x:v>
      </x:c>
    </x:row>
    <x:row r="2399" ht="22" customHeight="1">
      <x:c r="A2399" s="2"/>
      <x:c r="B2399" s="2" t="str">
        <x:v>14729</x:v>
      </x:c>
      <x:c r="C2399" s="2" t="str">
        <x:v>United Kingdom</x:v>
      </x:c>
      <x:c r="D2399" s="25" t="n">
        <x:v>40261.354166666664</x:v>
      </x:c>
      <x:c r="E2399" s="25" t="n">
        <x:v>40513.32152777778</x:v>
      </x:c>
      <x:c r="F2399" s="2" t="n">
        <x:v>374</x:v>
      </x:c>
      <x:c r="G2399" s="2" t="n">
        <x:v>3</x:v>
      </x:c>
      <x:c r="H2399" s="11" t="n">
        <x:v>593.89</x:v>
      </x:c>
      <x:c r="I2399" s="2" t="n">
        <x:v>2</x:v>
      </x:c>
      <x:c r="J2399" s="2" t="n">
        <x:v>3</x:v>
      </x:c>
      <x:c r="K2399" s="2" t="n">
        <x:v>2</x:v>
      </x:c>
      <x:c r="L2399" s="2" t="str">
        <x:v>At risk</x:v>
      </x:c>
    </x:row>
    <x:row r="2400" ht="22" customHeight="1">
      <x:c r="A2400" s="2"/>
      <x:c r="B2400" s="2" t="str">
        <x:v>14730</x:v>
      </x:c>
      <x:c r="C2400" s="2" t="str">
        <x:v>United Kingdom</x:v>
      </x:c>
      <x:c r="D2400" s="25" t="n">
        <x:v>40610.325694444444</x:v>
      </x:c>
      <x:c r="E2400" s="25" t="n">
        <x:v>40885.402083333334</x:v>
      </x:c>
      <x:c r="F2400" s="2" t="n">
        <x:v>2</x:v>
      </x:c>
      <x:c r="G2400" s="2" t="n">
        <x:v>8</x:v>
      </x:c>
      <x:c r="H2400" s="11" t="n">
        <x:v>2005.06</x:v>
      </x:c>
      <x:c r="I2400" s="2" t="n">
        <x:v>5</x:v>
      </x:c>
      <x:c r="J2400" s="2" t="n">
        <x:v>4</x:v>
      </x:c>
      <x:c r="K2400" s="2" t="n">
        <x:v>4</x:v>
      </x:c>
      <x:c r="L2400" s="2" t="str">
        <x:v>Champions</x:v>
      </x:c>
    </x:row>
    <x:row r="2401" ht="22" customHeight="1">
      <x:c r="A2401" s="2"/>
      <x:c r="B2401" s="2" t="str">
        <x:v>14731</x:v>
      </x:c>
      <x:c r="C2401" s="2" t="str">
        <x:v>United Kingdom</x:v>
      </x:c>
      <x:c r="D2401" s="25" t="n">
        <x:v>40674.3375</x:v>
      </x:c>
      <x:c r="E2401" s="25" t="n">
        <x:v>40839.45416666667</x:v>
      </x:c>
      <x:c r="F2401" s="2" t="n">
        <x:v>48</x:v>
      </x:c>
      <x:c r="G2401" s="2" t="n">
        <x:v>3</x:v>
      </x:c>
      <x:c r="H2401" s="11" t="n">
        <x:v>380.02</x:v>
      </x:c>
      <x:c r="I2401" s="2" t="n">
        <x:v>4</x:v>
      </x:c>
      <x:c r="J2401" s="2" t="n">
        <x:v>3</x:v>
      </x:c>
      <x:c r="K2401" s="2" t="n">
        <x:v>2</x:v>
      </x:c>
      <x:c r="L2401" s="2" t="str">
        <x:v>Loyal</x:v>
      </x:c>
    </x:row>
    <x:row r="2402" ht="22" customHeight="1">
      <x:c r="A2402" s="2"/>
      <x:c r="B2402" s="2" t="str">
        <x:v>14732</x:v>
      </x:c>
      <x:c r="C2402" s="2" t="str">
        <x:v>United Kingdom</x:v>
      </x:c>
      <x:c r="D2402" s="25" t="n">
        <x:v>40156.24166666667</x:v>
      </x:c>
      <x:c r="E2402" s="25" t="n">
        <x:v>40878.39861111111</x:v>
      </x:c>
      <x:c r="F2402" s="2" t="n">
        <x:v>9</x:v>
      </x:c>
      <x:c r="G2402" s="2" t="n">
        <x:v>19</x:v>
      </x:c>
      <x:c r="H2402" s="11" t="n">
        <x:v>5517.07</x:v>
      </x:c>
      <x:c r="I2402" s="2" t="n">
        <x:v>5</x:v>
      </x:c>
      <x:c r="J2402" s="2" t="n">
        <x:v>5</x:v>
      </x:c>
      <x:c r="K2402" s="2" t="n">
        <x:v>5</x:v>
      </x:c>
      <x:c r="L2402" s="2" t="str">
        <x:v>Champions</x:v>
      </x:c>
    </x:row>
    <x:row r="2403" ht="22" customHeight="1">
      <x:c r="A2403" s="2"/>
      <x:c r="B2403" s="2" t="str">
        <x:v>14733</x:v>
      </x:c>
      <x:c r="C2403" s="2" t="str">
        <x:v>United Kingdom</x:v>
      </x:c>
      <x:c r="D2403" s="25" t="n">
        <x:v>40484.44583333333</x:v>
      </x:c>
      <x:c r="E2403" s="25" t="n">
        <x:v>40870.44375</x:v>
      </x:c>
      <x:c r="F2403" s="2" t="n">
        <x:v>17</x:v>
      </x:c>
      <x:c r="G2403" s="2" t="n">
        <x:v>15</x:v>
      </x:c>
      <x:c r="H2403" s="11" t="n">
        <x:v>14354.95</x:v>
      </x:c>
      <x:c r="I2403" s="2" t="n">
        <x:v>5</x:v>
      </x:c>
      <x:c r="J2403" s="2" t="n">
        <x:v>5</x:v>
      </x:c>
      <x:c r="K2403" s="2" t="n">
        <x:v>5</x:v>
      </x:c>
      <x:c r="L2403" s="2" t="str">
        <x:v>Champions</x:v>
      </x:c>
    </x:row>
    <x:row r="2404" ht="22" customHeight="1">
      <x:c r="A2404" s="2"/>
      <x:c r="B2404" s="2" t="str">
        <x:v>14734</x:v>
      </x:c>
      <x:c r="C2404" s="2" t="str">
        <x:v>United Kingdom</x:v>
      </x:c>
      <x:c r="D2404" s="25" t="n">
        <x:v>40335.427083333336</x:v>
      </x:c>
      <x:c r="E2404" s="25" t="n">
        <x:v>40461.294444444444</x:v>
      </x:c>
      <x:c r="F2404" s="2" t="n">
        <x:v>426</x:v>
      </x:c>
      <x:c r="G2404" s="2" t="n">
        <x:v>4</x:v>
      </x:c>
      <x:c r="H2404" s="11" t="n">
        <x:v>1056.42</x:v>
      </x:c>
      <x:c r="I2404" s="2" t="n">
        <x:v>1</x:v>
      </x:c>
      <x:c r="J2404" s="2" t="n">
        <x:v>3</x:v>
      </x:c>
      <x:c r="K2404" s="2" t="n">
        <x:v>3</x:v>
      </x:c>
      <x:c r="L2404" s="2" t="str">
        <x:v>At risk</x:v>
      </x:c>
    </x:row>
    <x:row r="2405" ht="22" customHeight="1">
      <x:c r="A2405" s="2"/>
      <x:c r="B2405" s="2" t="str">
        <x:v>14735</x:v>
      </x:c>
      <x:c r="C2405" s="2" t="str">
        <x:v>United Kingdom</x:v>
      </x:c>
      <x:c r="D2405" s="25" t="n">
        <x:v>40151.27222222222</x:v>
      </x:c>
      <x:c r="E2405" s="25" t="n">
        <x:v>40883.29791666667</x:v>
      </x:c>
      <x:c r="F2405" s="2" t="n">
        <x:v>4</x:v>
      </x:c>
      <x:c r="G2405" s="2" t="n">
        <x:v>56</x:v>
      </x:c>
      <x:c r="H2405" s="11" t="n">
        <x:v>12240.16</x:v>
      </x:c>
      <x:c r="I2405" s="2" t="n">
        <x:v>5</x:v>
      </x:c>
      <x:c r="J2405" s="2" t="n">
        <x:v>5</x:v>
      </x:c>
      <x:c r="K2405" s="2" t="n">
        <x:v>5</x:v>
      </x:c>
      <x:c r="L2405" s="2" t="str">
        <x:v>Champions</x:v>
      </x:c>
    </x:row>
    <x:row r="2406" ht="22" customHeight="1">
      <x:c r="A2406" s="2"/>
      <x:c r="B2406" s="2" t="str">
        <x:v>14736</x:v>
      </x:c>
      <x:c r="C2406" s="2" t="str">
        <x:v>United Kingdom</x:v>
      </x:c>
      <x:c r="D2406" s="25" t="n">
        <x:v>40401.42569444444</x:v>
      </x:c>
      <x:c r="E2406" s="25" t="n">
        <x:v>40401.43125</x:v>
      </x:c>
      <x:c r="F2406" s="2" t="n">
        <x:v>486</x:v>
      </x:c>
      <x:c r="G2406" s="2" t="n">
        <x:v>2</x:v>
      </x:c>
      <x:c r="H2406" s="11" t="n">
        <x:v>401.08</x:v>
      </x:c>
      <x:c r="I2406" s="2" t="n">
        <x:v>1</x:v>
      </x:c>
      <x:c r="J2406" s="2" t="n">
        <x:v>2</x:v>
      </x:c>
      <x:c r="K2406" s="2" t="n">
        <x:v>2</x:v>
      </x:c>
      <x:c r="L2406" s="2" t="str">
        <x:v>Hibernating</x:v>
      </x:c>
    </x:row>
    <x:row r="2407" ht="22" customHeight="1">
      <x:c r="A2407" s="2"/>
      <x:c r="B2407" s="2" t="str">
        <x:v>14737</x:v>
      </x:c>
      <x:c r="C2407" s="2" t="str">
        <x:v>United Kingdom</x:v>
      </x:c>
      <x:c r="D2407" s="25" t="n">
        <x:v>40486.27013888889</x:v>
      </x:c>
      <x:c r="E2407" s="25" t="n">
        <x:v>40883.21944444445</x:v>
      </x:c>
      <x:c r="F2407" s="2" t="n">
        <x:v>4</x:v>
      </x:c>
      <x:c r="G2407" s="2" t="n">
        <x:v>4</x:v>
      </x:c>
      <x:c r="H2407" s="11" t="n">
        <x:v>3554.17</x:v>
      </x:c>
      <x:c r="I2407" s="2" t="n">
        <x:v>5</x:v>
      </x:c>
      <x:c r="J2407" s="2" t="n">
        <x:v>3</x:v>
      </x:c>
      <x:c r="K2407" s="2" t="n">
        <x:v>5</x:v>
      </x:c>
      <x:c r="L2407" s="2" t="str">
        <x:v>Loyal</x:v>
      </x:c>
    </x:row>
    <x:row r="2408" ht="22" customHeight="1">
      <x:c r="A2408" s="2"/>
      <x:c r="B2408" s="2" t="str">
        <x:v>14738</x:v>
      </x:c>
      <x:c r="C2408" s="2" t="str">
        <x:v>United Kingdom</x:v>
      </x:c>
      <x:c r="D2408" s="25" t="n">
        <x:v>40154.222916666666</x:v>
      </x:c>
      <x:c r="E2408" s="25" t="n">
        <x:v>40844.16388888889</x:v>
      </x:c>
      <x:c r="F2408" s="2" t="n">
        <x:v>43</x:v>
      </x:c>
      <x:c r="G2408" s="2" t="n">
        <x:v>9</x:v>
      </x:c>
      <x:c r="H2408" s="11" t="n">
        <x:v>1821.9</x:v>
      </x:c>
      <x:c r="I2408" s="2" t="n">
        <x:v>4</x:v>
      </x:c>
      <x:c r="J2408" s="2" t="n">
        <x:v>5</x:v>
      </x:c>
      <x:c r="K2408" s="2" t="n">
        <x:v>4</x:v>
      </x:c>
      <x:c r="L2408" s="2" t="str">
        <x:v>Champions</x:v>
      </x:c>
    </x:row>
    <x:row r="2409" ht="22" customHeight="1">
      <x:c r="A2409" s="2"/>
      <x:c r="B2409" s="2" t="str">
        <x:v>14739</x:v>
      </x:c>
      <x:c r="C2409" s="2" t="str">
        <x:v>United Kingdom</x:v>
      </x:c>
      <x:c r="D2409" s="25" t="n">
        <x:v>40149.34930555556</x:v>
      </x:c>
      <x:c r="E2409" s="25" t="n">
        <x:v>40882.495833333334</x:v>
      </x:c>
      <x:c r="F2409" s="2" t="n">
        <x:v>5</x:v>
      </x:c>
      <x:c r="G2409" s="2" t="n">
        <x:v>25</x:v>
      </x:c>
      <x:c r="H2409" s="11" t="n">
        <x:v>11573.62</x:v>
      </x:c>
      <x:c r="I2409" s="2" t="n">
        <x:v>5</x:v>
      </x:c>
      <x:c r="J2409" s="2" t="n">
        <x:v>5</x:v>
      </x:c>
      <x:c r="K2409" s="2" t="n">
        <x:v>5</x:v>
      </x:c>
      <x:c r="L2409" s="2" t="str">
        <x:v>Champions</x:v>
      </x:c>
    </x:row>
    <x:row r="2410" ht="22" customHeight="1">
      <x:c r="A2410" s="2"/>
      <x:c r="B2410" s="2" t="str">
        <x:v>14740</x:v>
      </x:c>
      <x:c r="C2410" s="2" t="str">
        <x:v>United Kingdom</x:v>
      </x:c>
      <x:c r="D2410" s="25" t="n">
        <x:v>40234.27777777778</x:v>
      </x:c>
      <x:c r="E2410" s="25" t="n">
        <x:v>40689.55347222222</x:v>
      </x:c>
      <x:c r="F2410" s="2" t="n">
        <x:v>198</x:v>
      </x:c>
      <x:c r="G2410" s="2" t="n">
        <x:v>11</x:v>
      </x:c>
      <x:c r="H2410" s="11" t="n">
        <x:v>4161.06</x:v>
      </x:c>
      <x:c r="I2410" s="2" t="n">
        <x:v>2</x:v>
      </x:c>
      <x:c r="J2410" s="2" t="n">
        <x:v>5</x:v>
      </x:c>
      <x:c r="K2410" s="2" t="n">
        <x:v>5</x:v>
      </x:c>
      <x:c r="L2410" s="2" t="str">
        <x:v>At risk</x:v>
      </x:c>
    </x:row>
    <x:row r="2411" ht="22" customHeight="1">
      <x:c r="A2411" s="2"/>
      <x:c r="B2411" s="2" t="str">
        <x:v>14741</x:v>
      </x:c>
      <x:c r="C2411" s="2" t="str">
        <x:v>United Kingdom</x:v>
      </x:c>
      <x:c r="D2411" s="25" t="n">
        <x:v>40469.18958333333</x:v>
      </x:c>
      <x:c r="E2411" s="25" t="n">
        <x:v>40875.15833333333</x:v>
      </x:c>
      <x:c r="F2411" s="2" t="n">
        <x:v>12</x:v>
      </x:c>
      <x:c r="G2411" s="2" t="n">
        <x:v>7</x:v>
      </x:c>
      <x:c r="H2411" s="11" t="n">
        <x:v>1713.09</x:v>
      </x:c>
      <x:c r="I2411" s="2" t="n">
        <x:v>5</x:v>
      </x:c>
      <x:c r="J2411" s="2" t="n">
        <x:v>4</x:v>
      </x:c>
      <x:c r="K2411" s="2" t="n">
        <x:v>4</x:v>
      </x:c>
      <x:c r="L2411" s="2" t="str">
        <x:v>Champions</x:v>
      </x:c>
    </x:row>
    <x:row r="2412" ht="22" customHeight="1">
      <x:c r="A2412" s="2"/>
      <x:c r="B2412" s="2" t="str">
        <x:v>14742</x:v>
      </x:c>
      <x:c r="C2412" s="2" t="str">
        <x:v>United Kingdom</x:v>
      </x:c>
      <x:c r="D2412" s="25" t="n">
        <x:v>40451.37986111111</x:v>
      </x:c>
      <x:c r="E2412" s="25" t="n">
        <x:v>40451.37986111111</x:v>
      </x:c>
      <x:c r="F2412" s="2" t="n">
        <x:v>436</x:v>
      </x:c>
      <x:c r="G2412" s="2" t="n">
        <x:v>1</x:v>
      </x:c>
      <x:c r="H2412" s="11" t="n">
        <x:v>579.85</x:v>
      </x:c>
      <x:c r="I2412" s="2" t="n">
        <x:v>1</x:v>
      </x:c>
      <x:c r="J2412" s="2" t="n">
        <x:v>1</x:v>
      </x:c>
      <x:c r="K2412" s="2" t="n">
        <x:v>2</x:v>
      </x:c>
      <x:c r="L2412" s="2" t="str">
        <x:v>Hibernating</x:v>
      </x:c>
    </x:row>
    <x:row r="2413" ht="22" customHeight="1">
      <x:c r="A2413" s="2"/>
      <x:c r="B2413" s="2" t="str">
        <x:v>14743</x:v>
      </x:c>
      <x:c r="C2413" s="2" t="str">
        <x:v>United Kingdom</x:v>
      </x:c>
      <x:c r="D2413" s="25" t="n">
        <x:v>40294.22638888889</x:v>
      </x:c>
      <x:c r="E2413" s="25" t="n">
        <x:v>40294.22638888889</x:v>
      </x:c>
      <x:c r="F2413" s="2" t="n">
        <x:v>593</x:v>
      </x:c>
      <x:c r="G2413" s="2" t="n">
        <x:v>1</x:v>
      </x:c>
      <x:c r="H2413" s="11" t="n">
        <x:v>50.48</x:v>
      </x:c>
      <x:c r="I2413" s="2" t="n">
        <x:v>1</x:v>
      </x:c>
      <x:c r="J2413" s="2" t="n">
        <x:v>1</x:v>
      </x:c>
      <x:c r="K2413" s="2" t="n">
        <x:v>1</x:v>
      </x:c>
      <x:c r="L2413" s="2" t="str">
        <x:v>Hibernating</x:v>
      </x:c>
    </x:row>
    <x:row r="2414" ht="22" customHeight="1">
      <x:c r="A2414" s="2"/>
      <x:c r="B2414" s="2" t="str">
        <x:v>14744</x:v>
      </x:c>
      <x:c r="C2414" s="2" t="str">
        <x:v>United Kingdom</x:v>
      </x:c>
      <x:c r="D2414" s="25" t="n">
        <x:v>40316.379166666666</x:v>
      </x:c>
      <x:c r="E2414" s="25" t="n">
        <x:v>40870.32708333333</x:v>
      </x:c>
      <x:c r="F2414" s="2" t="n">
        <x:v>17</x:v>
      </x:c>
      <x:c r="G2414" s="2" t="n">
        <x:v>14</x:v>
      </x:c>
      <x:c r="H2414" s="11" t="n">
        <x:v>3660.08</x:v>
      </x:c>
      <x:c r="I2414" s="2" t="n">
        <x:v>5</x:v>
      </x:c>
      <x:c r="J2414" s="2" t="n">
        <x:v>5</x:v>
      </x:c>
      <x:c r="K2414" s="2" t="n">
        <x:v>5</x:v>
      </x:c>
      <x:c r="L2414" s="2" t="str">
        <x:v>Champions</x:v>
      </x:c>
    </x:row>
    <x:row r="2415" ht="22" customHeight="1">
      <x:c r="A2415" s="2"/>
      <x:c r="B2415" s="2" t="str">
        <x:v>14745</x:v>
      </x:c>
      <x:c r="C2415" s="2" t="str">
        <x:v>United Kingdom</x:v>
      </x:c>
      <x:c r="D2415" s="25" t="n">
        <x:v>40249.23125</x:v>
      </x:c>
      <x:c r="E2415" s="25" t="n">
        <x:v>40774.211805555555</x:v>
      </x:c>
      <x:c r="F2415" s="2" t="n">
        <x:v>113</x:v>
      </x:c>
      <x:c r="G2415" s="2" t="n">
        <x:v>12</x:v>
      </x:c>
      <x:c r="H2415" s="11" t="n">
        <x:v>2571.81</x:v>
      </x:c>
      <x:c r="I2415" s="2" t="n">
        <x:v>3</x:v>
      </x:c>
      <x:c r="J2415" s="2" t="n">
        <x:v>5</x:v>
      </x:c>
      <x:c r="K2415" s="2" t="n">
        <x:v>4</x:v>
      </x:c>
      <x:c r="L2415" s="2" t="str">
        <x:v>Loyal</x:v>
      </x:c>
    </x:row>
    <x:row r="2416" ht="22" customHeight="1">
      <x:c r="A2416" s="2"/>
      <x:c r="B2416" s="2" t="str">
        <x:v>14746</x:v>
      </x:c>
      <x:c r="C2416" s="2" t="str">
        <x:v>United Kingdom</x:v>
      </x:c>
      <x:c r="D2416" s="25" t="n">
        <x:v>40463.254166666666</x:v>
      </x:c>
      <x:c r="E2416" s="25" t="n">
        <x:v>40480.40555555555</x:v>
      </x:c>
      <x:c r="F2416" s="2" t="n">
        <x:v>407</x:v>
      </x:c>
      <x:c r="G2416" s="2" t="n">
        <x:v>4</x:v>
      </x:c>
      <x:c r="H2416" s="11" t="n">
        <x:v>593.5</x:v>
      </x:c>
      <x:c r="I2416" s="2" t="n">
        <x:v>2</x:v>
      </x:c>
      <x:c r="J2416" s="2" t="n">
        <x:v>3</x:v>
      </x:c>
      <x:c r="K2416" s="2" t="n">
        <x:v>2</x:v>
      </x:c>
      <x:c r="L2416" s="2" t="str">
        <x:v>At risk</x:v>
      </x:c>
    </x:row>
    <x:row r="2417" ht="22" customHeight="1">
      <x:c r="A2417" s="2"/>
      <x:c r="B2417" s="2" t="str">
        <x:v>14747</x:v>
      </x:c>
      <x:c r="C2417" s="2" t="str">
        <x:v>United Kingdom</x:v>
      </x:c>
      <x:c r="D2417" s="25" t="n">
        <x:v>40637.38125</x:v>
      </x:c>
      <x:c r="E2417" s="25" t="n">
        <x:v>40637.38125</x:v>
      </x:c>
      <x:c r="F2417" s="2" t="n">
        <x:v>250</x:v>
      </x:c>
      <x:c r="G2417" s="2" t="n">
        <x:v>1</x:v>
      </x:c>
      <x:c r="H2417" s="11" t="n">
        <x:v>328.2</x:v>
      </x:c>
      <x:c r="I2417" s="2" t="n">
        <x:v>2</x:v>
      </x:c>
      <x:c r="J2417" s="2" t="n">
        <x:v>1</x:v>
      </x:c>
      <x:c r="K2417" s="2" t="n">
        <x:v>2</x:v>
      </x:c>
      <x:c r="L2417" s="2" t="str">
        <x:v>Hibernating</x:v>
      </x:c>
    </x:row>
    <x:row r="2418" ht="22" customHeight="1">
      <x:c r="A2418" s="2"/>
      <x:c r="B2418" s="2" t="str">
        <x:v>14748</x:v>
      </x:c>
      <x:c r="C2418" s="2" t="str">
        <x:v>United Kingdom</x:v>
      </x:c>
      <x:c r="D2418" s="25" t="n">
        <x:v>40241.50555555556</x:v>
      </x:c>
      <x:c r="E2418" s="25" t="n">
        <x:v>40857.56458333333</x:v>
      </x:c>
      <x:c r="F2418" s="2" t="n">
        <x:v>30</x:v>
      </x:c>
      <x:c r="G2418" s="2" t="n">
        <x:v>10</x:v>
      </x:c>
      <x:c r="H2418" s="11" t="n">
        <x:v>2681.9</x:v>
      </x:c>
      <x:c r="I2418" s="2" t="n">
        <x:v>4</x:v>
      </x:c>
      <x:c r="J2418" s="2" t="n">
        <x:v>5</x:v>
      </x:c>
      <x:c r="K2418" s="2" t="n">
        <x:v>4</x:v>
      </x:c>
      <x:c r="L2418" s="2" t="str">
        <x:v>Champions</x:v>
      </x:c>
    </x:row>
    <x:row r="2419" ht="22" customHeight="1">
      <x:c r="A2419" s="2"/>
      <x:c r="B2419" s="2" t="str">
        <x:v>14749</x:v>
      </x:c>
      <x:c r="C2419" s="2" t="str">
        <x:v>United Kingdom</x:v>
      </x:c>
      <x:c r="D2419" s="25" t="n">
        <x:v>40407.316666666666</x:v>
      </x:c>
      <x:c r="E2419" s="25" t="n">
        <x:v>40407.316666666666</x:v>
      </x:c>
      <x:c r="F2419" s="2" t="n">
        <x:v>480</x:v>
      </x:c>
      <x:c r="G2419" s="2" t="n">
        <x:v>1</x:v>
      </x:c>
      <x:c r="H2419" s="11" t="n">
        <x:v>310.15</x:v>
      </x:c>
      <x:c r="I2419" s="2" t="n">
        <x:v>1</x:v>
      </x:c>
      <x:c r="J2419" s="2" t="n">
        <x:v>1</x:v>
      </x:c>
      <x:c r="K2419" s="2" t="n">
        <x:v>2</x:v>
      </x:c>
      <x:c r="L2419" s="2" t="str">
        <x:v>Hibernating</x:v>
      </x:c>
    </x:row>
    <x:row r="2420" ht="22" customHeight="1">
      <x:c r="A2420" s="2"/>
      <x:c r="B2420" s="2" t="str">
        <x:v>14750</x:v>
      </x:c>
      <x:c r="C2420" s="2" t="str">
        <x:v>United Kingdom</x:v>
      </x:c>
      <x:c r="D2420" s="25" t="n">
        <x:v>40150.53958333333</x:v>
      </x:c>
      <x:c r="E2420" s="25" t="n">
        <x:v>40150.53958333333</x:v>
      </x:c>
      <x:c r="F2420" s="2" t="n">
        <x:v>737</x:v>
      </x:c>
      <x:c r="G2420" s="2" t="n">
        <x:v>1</x:v>
      </x:c>
      <x:c r="H2420" s="11" t="n">
        <x:v>112.03</x:v>
      </x:c>
      <x:c r="I2420" s="2" t="n">
        <x:v>1</x:v>
      </x:c>
      <x:c r="J2420" s="2" t="n">
        <x:v>1</x:v>
      </x:c>
      <x:c r="K2420" s="2" t="n">
        <x:v>1</x:v>
      </x:c>
      <x:c r="L2420" s="2" t="str">
        <x:v>Hibernating</x:v>
      </x:c>
    </x:row>
    <x:row r="2421" ht="22" customHeight="1">
      <x:c r="A2421" s="2"/>
      <x:c r="B2421" s="2" t="str">
        <x:v>14751</x:v>
      </x:c>
      <x:c r="C2421" s="2" t="str">
        <x:v>United Kingdom</x:v>
      </x:c>
      <x:c r="D2421" s="25" t="n">
        <x:v>40160.38055555556</x:v>
      </x:c>
      <x:c r="E2421" s="25" t="n">
        <x:v>40202.35902777778</x:v>
      </x:c>
      <x:c r="F2421" s="2" t="n">
        <x:v>685</x:v>
      </x:c>
      <x:c r="G2421" s="2" t="n">
        <x:v>2</x:v>
      </x:c>
      <x:c r="H2421" s="11" t="n">
        <x:v>126.45</x:v>
      </x:c>
      <x:c r="I2421" s="2" t="n">
        <x:v>1</x:v>
      </x:c>
      <x:c r="J2421" s="2" t="n">
        <x:v>2</x:v>
      </x:c>
      <x:c r="K2421" s="2" t="n">
        <x:v>1</x:v>
      </x:c>
      <x:c r="L2421" s="2" t="str">
        <x:v>Hibernating</x:v>
      </x:c>
    </x:row>
    <x:row r="2422" ht="22" customHeight="1">
      <x:c r="A2422" s="2"/>
      <x:c r="B2422" s="2" t="str">
        <x:v>14752</x:v>
      </x:c>
      <x:c r="C2422" s="2" t="str">
        <x:v>United Kingdom</x:v>
      </x:c>
      <x:c r="D2422" s="25" t="n">
        <x:v>40843.288194444445</x:v>
      </x:c>
      <x:c r="E2422" s="25" t="n">
        <x:v>40843.288194444445</x:v>
      </x:c>
      <x:c r="F2422" s="2" t="n">
        <x:v>44</x:v>
      </x:c>
      <x:c r="G2422" s="2" t="n">
        <x:v>1</x:v>
      </x:c>
      <x:c r="H2422" s="11" t="n">
        <x:v>389.64</x:v>
      </x:c>
      <x:c r="I2422" s="2" t="n">
        <x:v>4</x:v>
      </x:c>
      <x:c r="J2422" s="2" t="n">
        <x:v>1</x:v>
      </x:c>
      <x:c r="K2422" s="2" t="n">
        <x:v>2</x:v>
      </x:c>
      <x:c r="L2422" s="2" t="str">
        <x:v>Recent light buyers</x:v>
      </x:c>
    </x:row>
    <x:row r="2423" ht="22" customHeight="1">
      <x:c r="A2423" s="2"/>
      <x:c r="B2423" s="2" t="str">
        <x:v>14753</x:v>
      </x:c>
      <x:c r="C2423" s="2" t="str">
        <x:v>United Kingdom</x:v>
      </x:c>
      <x:c r="D2423" s="25" t="n">
        <x:v>40426.25277777778</x:v>
      </x:c>
      <x:c r="E2423" s="25" t="n">
        <x:v>40799.40972222222</x:v>
      </x:c>
      <x:c r="F2423" s="2" t="n">
        <x:v>88</x:v>
      </x:c>
      <x:c r="G2423" s="2" t="n">
        <x:v>2</x:v>
      </x:c>
      <x:c r="H2423" s="11" t="n">
        <x:v>869.51</x:v>
      </x:c>
      <x:c r="I2423" s="2" t="n">
        <x:v>3</x:v>
      </x:c>
      <x:c r="J2423" s="2" t="n">
        <x:v>2</x:v>
      </x:c>
      <x:c r="K2423" s="2" t="n">
        <x:v>3</x:v>
      </x:c>
      <x:c r="L2423" s="2" t="str">
        <x:v>Developing</x:v>
      </x:c>
    </x:row>
    <x:row r="2424" ht="22" customHeight="1">
      <x:c r="A2424" s="2"/>
      <x:c r="B2424" s="2" t="str">
        <x:v>14754</x:v>
      </x:c>
      <x:c r="C2424" s="2" t="str">
        <x:v>United Kingdom</x:v>
      </x:c>
      <x:c r="D2424" s="25" t="n">
        <x:v>40196.25277777778</x:v>
      </x:c>
      <x:c r="E2424" s="25" t="n">
        <x:v>40842.29236111111</x:v>
      </x:c>
      <x:c r="F2424" s="2" t="n">
        <x:v>45</x:v>
      </x:c>
      <x:c r="G2424" s="2" t="n">
        <x:v>6</x:v>
      </x:c>
      <x:c r="H2424" s="11" t="n">
        <x:v>1550.48</x:v>
      </x:c>
      <x:c r="I2424" s="2" t="n">
        <x:v>4</x:v>
      </x:c>
      <x:c r="J2424" s="2" t="n">
        <x:v>4</x:v>
      </x:c>
      <x:c r="K2424" s="2" t="n">
        <x:v>4</x:v>
      </x:c>
      <x:c r="L2424" s="2" t="str">
        <x:v>Champions</x:v>
      </x:c>
    </x:row>
    <x:row r="2425" ht="22" customHeight="1">
      <x:c r="A2425" s="2"/>
      <x:c r="B2425" s="2" t="str">
        <x:v>14755</x:v>
      </x:c>
      <x:c r="C2425" s="2" t="str">
        <x:v>United Kingdom</x:v>
      </x:c>
      <x:c r="D2425" s="25" t="n">
        <x:v>40150.49375</x:v>
      </x:c>
      <x:c r="E2425" s="25" t="n">
        <x:v>40877.26666666667</x:v>
      </x:c>
      <x:c r="F2425" s="2" t="n">
        <x:v>10</x:v>
      </x:c>
      <x:c r="G2425" s="2" t="n">
        <x:v>25</x:v>
      </x:c>
      <x:c r="H2425" s="11" t="n">
        <x:v>9972.55</x:v>
      </x:c>
      <x:c r="I2425" s="2" t="n">
        <x:v>5</x:v>
      </x:c>
      <x:c r="J2425" s="2" t="n">
        <x:v>5</x:v>
      </x:c>
      <x:c r="K2425" s="2" t="n">
        <x:v>5</x:v>
      </x:c>
      <x:c r="L2425" s="2" t="str">
        <x:v>Champions</x:v>
      </x:c>
    </x:row>
    <x:row r="2426" ht="22" customHeight="1">
      <x:c r="A2426" s="2"/>
      <x:c r="B2426" s="2" t="str">
        <x:v>14756</x:v>
      </x:c>
      <x:c r="C2426" s="2" t="str">
        <x:v>United Kingdom</x:v>
      </x:c>
      <x:c r="D2426" s="25" t="n">
        <x:v>40462.28472222222</x:v>
      </x:c>
      <x:c r="E2426" s="25" t="n">
        <x:v>40871.55069444444</x:v>
      </x:c>
      <x:c r="F2426" s="2" t="n">
        <x:v>16</x:v>
      </x:c>
      <x:c r="G2426" s="2" t="n">
        <x:v>3</x:v>
      </x:c>
      <x:c r="H2426" s="11" t="n">
        <x:v>2653.76</x:v>
      </x:c>
      <x:c r="I2426" s="2" t="n">
        <x:v>5</x:v>
      </x:c>
      <x:c r="J2426" s="2" t="n">
        <x:v>3</x:v>
      </x:c>
      <x:c r="K2426" s="2" t="n">
        <x:v>4</x:v>
      </x:c>
      <x:c r="L2426" s="2" t="str">
        <x:v>Loyal</x:v>
      </x:c>
    </x:row>
    <x:row r="2427" ht="22" customHeight="1">
      <x:c r="A2427" s="2"/>
      <x:c r="B2427" s="2" t="str">
        <x:v>14757</x:v>
      </x:c>
      <x:c r="C2427" s="2" t="str">
        <x:v>United Kingdom</x:v>
      </x:c>
      <x:c r="D2427" s="25" t="n">
        <x:v>40811.4</x:v>
      </x:c>
      <x:c r="E2427" s="25" t="n">
        <x:v>40811.4</x:v>
      </x:c>
      <x:c r="F2427" s="2" t="n">
        <x:v>76</x:v>
      </x:c>
      <x:c r="G2427" s="2" t="n">
        <x:v>1</x:v>
      </x:c>
      <x:c r="H2427" s="11" t="n">
        <x:v>420.5</x:v>
      </x:c>
      <x:c r="I2427" s="2" t="n">
        <x:v>3</x:v>
      </x:c>
      <x:c r="J2427" s="2" t="n">
        <x:v>1</x:v>
      </x:c>
      <x:c r="K2427" s="2" t="n">
        <x:v>2</x:v>
      </x:c>
      <x:c r="L2427" s="2" t="str">
        <x:v>Developing</x:v>
      </x:c>
    </x:row>
    <x:row r="2428" ht="22" customHeight="1">
      <x:c r="A2428" s="2"/>
      <x:c r="B2428" s="2" t="str">
        <x:v>14758</x:v>
      </x:c>
      <x:c r="C2428" s="2" t="str">
        <x:v>United Kingdom</x:v>
      </x:c>
      <x:c r="D2428" s="25" t="n">
        <x:v>40276.14375</x:v>
      </x:c>
      <x:c r="E2428" s="25" t="n">
        <x:v>40742.13958333333</x:v>
      </x:c>
      <x:c r="F2428" s="2" t="n">
        <x:v>145</x:v>
      </x:c>
      <x:c r="G2428" s="2" t="n">
        <x:v>7</x:v>
      </x:c>
      <x:c r="H2428" s="11" t="n">
        <x:v>2864.97</x:v>
      </x:c>
      <x:c r="I2428" s="2" t="n">
        <x:v>3</x:v>
      </x:c>
      <x:c r="J2428" s="2" t="n">
        <x:v>4</x:v>
      </x:c>
      <x:c r="K2428" s="2" t="n">
        <x:v>4</x:v>
      </x:c>
      <x:c r="L2428" s="2" t="str">
        <x:v>Loyal</x:v>
      </x:c>
    </x:row>
    <x:row r="2429" ht="22" customHeight="1">
      <x:c r="A2429" s="2"/>
      <x:c r="B2429" s="2" t="str">
        <x:v>14759</x:v>
      </x:c>
      <x:c r="C2429" s="2" t="str">
        <x:v>United Kingdom</x:v>
      </x:c>
      <x:c r="D2429" s="25" t="n">
        <x:v>40654.24652777778</x:v>
      </x:c>
      <x:c r="E2429" s="25" t="n">
        <x:v>40882.29375</x:v>
      </x:c>
      <x:c r="F2429" s="2" t="n">
        <x:v>5</x:v>
      </x:c>
      <x:c r="G2429" s="2" t="n">
        <x:v>3</x:v>
      </x:c>
      <x:c r="H2429" s="11" t="n">
        <x:v>1625.97</x:v>
      </x:c>
      <x:c r="I2429" s="2" t="n">
        <x:v>5</x:v>
      </x:c>
      <x:c r="J2429" s="2" t="n">
        <x:v>3</x:v>
      </x:c>
      <x:c r="K2429" s="2" t="n">
        <x:v>4</x:v>
      </x:c>
      <x:c r="L2429" s="2" t="str">
        <x:v>Loyal</x:v>
      </x:c>
    </x:row>
    <x:row r="2430" ht="22" customHeight="1">
      <x:c r="A2430" s="2"/>
      <x:c r="B2430" s="2" t="str">
        <x:v>14760</x:v>
      </x:c>
      <x:c r="C2430" s="2" t="str">
        <x:v>United Kingdom</x:v>
      </x:c>
      <x:c r="D2430" s="25" t="n">
        <x:v>40589.47708333333</x:v>
      </x:c>
      <x:c r="E2430" s="25" t="n">
        <x:v>40589.47708333333</x:v>
      </x:c>
      <x:c r="F2430" s="2" t="n">
        <x:v>298</x:v>
      </x:c>
      <x:c r="G2430" s="2" t="n">
        <x:v>1</x:v>
      </x:c>
      <x:c r="H2430" s="11" t="n">
        <x:v>89.2</x:v>
      </x:c>
      <x:c r="I2430" s="2" t="n">
        <x:v>2</x:v>
      </x:c>
      <x:c r="J2430" s="2" t="n">
        <x:v>1</x:v>
      </x:c>
      <x:c r="K2430" s="2" t="n">
        <x:v>1</x:v>
      </x:c>
      <x:c r="L2430" s="2" t="str">
        <x:v>Hibernating</x:v>
      </x:c>
    </x:row>
    <x:row r="2431" ht="22" customHeight="1">
      <x:c r="A2431" s="2"/>
      <x:c r="B2431" s="2" t="str">
        <x:v>14761</x:v>
      </x:c>
      <x:c r="C2431" s="2" t="str">
        <x:v>United Kingdom</x:v>
      </x:c>
      <x:c r="D2431" s="25" t="n">
        <x:v>40442.39027777778</x:v>
      </x:c>
      <x:c r="E2431" s="25" t="n">
        <x:v>40828.29861111111</x:v>
      </x:c>
      <x:c r="F2431" s="2" t="n">
        <x:v>59</x:v>
      </x:c>
      <x:c r="G2431" s="2" t="n">
        <x:v>3</x:v>
      </x:c>
      <x:c r="H2431" s="11" t="n">
        <x:v>447.92</x:v>
      </x:c>
      <x:c r="I2431" s="2" t="n">
        <x:v>4</x:v>
      </x:c>
      <x:c r="J2431" s="2" t="n">
        <x:v>3</x:v>
      </x:c>
      <x:c r="K2431" s="2" t="n">
        <x:v>2</x:v>
      </x:c>
      <x:c r="L2431" s="2" t="str">
        <x:v>Loyal</x:v>
      </x:c>
    </x:row>
    <x:row r="2432" ht="22" customHeight="1">
      <x:c r="A2432" s="2"/>
      <x:c r="B2432" s="2" t="str">
        <x:v>14762</x:v>
      </x:c>
      <x:c r="C2432" s="2" t="str">
        <x:v>United Kingdom</x:v>
      </x:c>
      <x:c r="D2432" s="25" t="n">
        <x:v>40260.441666666666</x:v>
      </x:c>
      <x:c r="E2432" s="25" t="n">
        <x:v>40623.13888888889</x:v>
      </x:c>
      <x:c r="F2432" s="2" t="n">
        <x:v>264</x:v>
      </x:c>
      <x:c r="G2432" s="2" t="n">
        <x:v>2</x:v>
      </x:c>
      <x:c r="H2432" s="11" t="n">
        <x:v>417.57</x:v>
      </x:c>
      <x:c r="I2432" s="2" t="n">
        <x:v>2</x:v>
      </x:c>
      <x:c r="J2432" s="2" t="n">
        <x:v>2</x:v>
      </x:c>
      <x:c r="K2432" s="2" t="n">
        <x:v>2</x:v>
      </x:c>
      <x:c r="L2432" s="2" t="str">
        <x:v>Hibernating</x:v>
      </x:c>
    </x:row>
    <x:row r="2433" ht="22" customHeight="1">
      <x:c r="A2433" s="2"/>
      <x:c r="B2433" s="2" t="str">
        <x:v>14764</x:v>
      </x:c>
      <x:c r="C2433" s="2" t="str">
        <x:v>United Kingdom</x:v>
      </x:c>
      <x:c r="D2433" s="25" t="n">
        <x:v>40840.2875</x:v>
      </x:c>
      <x:c r="E2433" s="25" t="n">
        <x:v>40840.2875</x:v>
      </x:c>
      <x:c r="F2433" s="2" t="n">
        <x:v>47</x:v>
      </x:c>
      <x:c r="G2433" s="2" t="n">
        <x:v>1</x:v>
      </x:c>
      <x:c r="H2433" s="11" t="n">
        <x:v>278.3</x:v>
      </x:c>
      <x:c r="I2433" s="2" t="n">
        <x:v>4</x:v>
      </x:c>
      <x:c r="J2433" s="2" t="n">
        <x:v>1</x:v>
      </x:c>
      <x:c r="K2433" s="2" t="n">
        <x:v>1</x:v>
      </x:c>
      <x:c r="L2433" s="2" t="str">
        <x:v>Recent light buyers</x:v>
      </x:c>
    </x:row>
    <x:row r="2434" ht="22" customHeight="1">
      <x:c r="A2434" s="2"/>
      <x:c r="B2434" s="2" t="str">
        <x:v>14765</x:v>
      </x:c>
      <x:c r="C2434" s="2" t="str">
        <x:v>United Kingdom</x:v>
      </x:c>
      <x:c r="D2434" s="25" t="n">
        <x:v>40710.61736111111</x:v>
      </x:c>
      <x:c r="E2434" s="25" t="n">
        <x:v>40857.62013888889</x:v>
      </x:c>
      <x:c r="F2434" s="2" t="n">
        <x:v>30</x:v>
      </x:c>
      <x:c r="G2434" s="2" t="n">
        <x:v>3</x:v>
      </x:c>
      <x:c r="H2434" s="11" t="n">
        <x:v>254.11</x:v>
      </x:c>
      <x:c r="I2434" s="2" t="n">
        <x:v>4</x:v>
      </x:c>
      <x:c r="J2434" s="2" t="n">
        <x:v>3</x:v>
      </x:c>
      <x:c r="K2434" s="2" t="n">
        <x:v>1</x:v>
      </x:c>
      <x:c r="L2434" s="2" t="str">
        <x:v>Loyal</x:v>
      </x:c>
    </x:row>
    <x:row r="2435" ht="22" customHeight="1">
      <x:c r="A2435" s="2"/>
      <x:c r="B2435" s="2" t="str">
        <x:v>14766</x:v>
      </x:c>
      <x:c r="C2435" s="2" t="str">
        <x:v>United Kingdom</x:v>
      </x:c>
      <x:c r="D2435" s="25" t="n">
        <x:v>40335.25763888889</x:v>
      </x:c>
      <x:c r="E2435" s="25" t="n">
        <x:v>40878.461805555555</x:v>
      </x:c>
      <x:c r="F2435" s="2" t="n">
        <x:v>9</x:v>
      </x:c>
      <x:c r="G2435" s="2" t="n">
        <x:v>11</x:v>
      </x:c>
      <x:c r="H2435" s="11" t="n">
        <x:v>6375.73</x:v>
      </x:c>
      <x:c r="I2435" s="2" t="n">
        <x:v>5</x:v>
      </x:c>
      <x:c r="J2435" s="2" t="n">
        <x:v>5</x:v>
      </x:c>
      <x:c r="K2435" s="2" t="n">
        <x:v>5</x:v>
      </x:c>
      <x:c r="L2435" s="2" t="str">
        <x:v>Champions</x:v>
      </x:c>
    </x:row>
    <x:row r="2436" ht="22" customHeight="1">
      <x:c r="A2436" s="2"/>
      <x:c r="B2436" s="2" t="str">
        <x:v>14767</x:v>
      </x:c>
      <x:c r="C2436" s="2" t="str">
        <x:v>United Kingdom</x:v>
      </x:c>
      <x:c r="D2436" s="25" t="n">
        <x:v>40412.4125</x:v>
      </x:c>
      <x:c r="E2436" s="25" t="n">
        <x:v>40412.4125</x:v>
      </x:c>
      <x:c r="F2436" s="2" t="n">
        <x:v>475</x:v>
      </x:c>
      <x:c r="G2436" s="2" t="n">
        <x:v>1</x:v>
      </x:c>
      <x:c r="H2436" s="11" t="n">
        <x:v>382.81</x:v>
      </x:c>
      <x:c r="I2436" s="2" t="n">
        <x:v>1</x:v>
      </x:c>
      <x:c r="J2436" s="2" t="n">
        <x:v>1</x:v>
      </x:c>
      <x:c r="K2436" s="2" t="n">
        <x:v>2</x:v>
      </x:c>
      <x:c r="L2436" s="2" t="str">
        <x:v>Hibernating</x:v>
      </x:c>
    </x:row>
    <x:row r="2437" ht="22" customHeight="1">
      <x:c r="A2437" s="2"/>
      <x:c r="B2437" s="2" t="str">
        <x:v>14768</x:v>
      </x:c>
      <x:c r="C2437" s="2" t="str">
        <x:v>United Kingdom</x:v>
      </x:c>
      <x:c r="D2437" s="25" t="n">
        <x:v>40759.350694444445</x:v>
      </x:c>
      <x:c r="E2437" s="25" t="n">
        <x:v>40869.32916666667</x:v>
      </x:c>
      <x:c r="F2437" s="2" t="n">
        <x:v>18</x:v>
      </x:c>
      <x:c r="G2437" s="2" t="n">
        <x:v>2</x:v>
      </x:c>
      <x:c r="H2437" s="11" t="n">
        <x:v>192.6</x:v>
      </x:c>
      <x:c r="I2437" s="2" t="n">
        <x:v>5</x:v>
      </x:c>
      <x:c r="J2437" s="2" t="n">
        <x:v>2</x:v>
      </x:c>
      <x:c r="K2437" s="2" t="n">
        <x:v>1</x:v>
      </x:c>
      <x:c r="L2437" s="2" t="str">
        <x:v>Recent light buyers</x:v>
      </x:c>
    </x:row>
    <x:row r="2438" ht="22" customHeight="1">
      <x:c r="A2438" s="2"/>
      <x:c r="B2438" s="2" t="str">
        <x:v>14769</x:v>
      </x:c>
      <x:c r="C2438" s="2" t="str">
        <x:v>United Kingdom</x:v>
      </x:c>
      <x:c r="D2438" s="25" t="n">
        <x:v>40163.17847222222</x:v>
      </x:c>
      <x:c r="E2438" s="25" t="n">
        <x:v>40884.225</x:v>
      </x:c>
      <x:c r="F2438" s="2" t="n">
        <x:v>3</x:v>
      </x:c>
      <x:c r="G2438" s="2" t="n">
        <x:v>17</x:v>
      </x:c>
      <x:c r="H2438" s="11" t="n">
        <x:v>15771.88</x:v>
      </x:c>
      <x:c r="I2438" s="2" t="n">
        <x:v>5</x:v>
      </x:c>
      <x:c r="J2438" s="2" t="n">
        <x:v>5</x:v>
      </x:c>
      <x:c r="K2438" s="2" t="n">
        <x:v>5</x:v>
      </x:c>
      <x:c r="L2438" s="2" t="str">
        <x:v>Champions</x:v>
      </x:c>
    </x:row>
    <x:row r="2439" ht="22" customHeight="1">
      <x:c r="A2439" s="2"/>
      <x:c r="B2439" s="2" t="str">
        <x:v>14770</x:v>
      </x:c>
      <x:c r="C2439" s="2" t="str">
        <x:v>United Kingdom</x:v>
      </x:c>
      <x:c r="D2439" s="25" t="n">
        <x:v>40234.58194444444</x:v>
      </x:c>
      <x:c r="E2439" s="25" t="n">
        <x:v>40654.38958333333</x:v>
      </x:c>
      <x:c r="F2439" s="2" t="n">
        <x:v>233</x:v>
      </x:c>
      <x:c r="G2439" s="2" t="n">
        <x:v>8</x:v>
      </x:c>
      <x:c r="H2439" s="11" t="n">
        <x:v>3637.64</x:v>
      </x:c>
      <x:c r="I2439" s="2" t="n">
        <x:v>2</x:v>
      </x:c>
      <x:c r="J2439" s="2" t="n">
        <x:v>4</x:v>
      </x:c>
      <x:c r="K2439" s="2" t="n">
        <x:v>5</x:v>
      </x:c>
      <x:c r="L2439" s="2" t="str">
        <x:v>At risk</x:v>
      </x:c>
    </x:row>
    <x:row r="2440" ht="22" customHeight="1">
      <x:c r="A2440" s="2"/>
      <x:c r="B2440" s="2" t="str">
        <x:v>14771</x:v>
      </x:c>
      <x:c r="C2440" s="2" t="str">
        <x:v>United Kingdom</x:v>
      </x:c>
      <x:c r="D2440" s="25" t="n">
        <x:v>40150.197222222225</x:v>
      </x:c>
      <x:c r="E2440" s="25" t="n">
        <x:v>40265.32777777778</x:v>
      </x:c>
      <x:c r="F2440" s="2" t="n">
        <x:v>622</x:v>
      </x:c>
      <x:c r="G2440" s="2" t="n">
        <x:v>2</x:v>
      </x:c>
      <x:c r="H2440" s="11" t="n">
        <x:v>594.62</x:v>
      </x:c>
      <x:c r="I2440" s="2" t="n">
        <x:v>1</x:v>
      </x:c>
      <x:c r="J2440" s="2" t="n">
        <x:v>2</x:v>
      </x:c>
      <x:c r="K2440" s="2" t="n">
        <x:v>2</x:v>
      </x:c>
      <x:c r="L2440" s="2" t="str">
        <x:v>Hibernating</x:v>
      </x:c>
    </x:row>
    <x:row r="2441" ht="22" customHeight="1">
      <x:c r="A2441" s="2"/>
      <x:c r="B2441" s="2" t="str">
        <x:v>14772</x:v>
      </x:c>
      <x:c r="C2441" s="2" t="str">
        <x:v>United Kingdom</x:v>
      </x:c>
      <x:c r="D2441" s="25" t="n">
        <x:v>40774.419444444444</x:v>
      </x:c>
      <x:c r="E2441" s="25" t="n">
        <x:v>40774.419444444444</x:v>
      </x:c>
      <x:c r="F2441" s="2" t="n">
        <x:v>113</x:v>
      </x:c>
      <x:c r="G2441" s="2" t="n">
        <x:v>1</x:v>
      </x:c>
      <x:c r="H2441" s="11" t="n">
        <x:v>139.26</x:v>
      </x:c>
      <x:c r="I2441" s="2" t="n">
        <x:v>3</x:v>
      </x:c>
      <x:c r="J2441" s="2" t="n">
        <x:v>1</x:v>
      </x:c>
      <x:c r="K2441" s="2" t="n">
        <x:v>1</x:v>
      </x:c>
      <x:c r="L2441" s="2" t="str">
        <x:v>Developing</x:v>
      </x:c>
    </x:row>
    <x:row r="2442" ht="22" customHeight="1">
      <x:c r="A2442" s="2"/>
      <x:c r="B2442" s="2" t="str">
        <x:v>14773</x:v>
      </x:c>
      <x:c r="C2442" s="2" t="str">
        <x:v>United Kingdom</x:v>
      </x:c>
      <x:c r="D2442" s="25" t="n">
        <x:v>40294.228472222225</x:v>
      </x:c>
      <x:c r="E2442" s="25" t="n">
        <x:v>40294.228472222225</x:v>
      </x:c>
      <x:c r="F2442" s="2" t="n">
        <x:v>593</x:v>
      </x:c>
      <x:c r="G2442" s="2" t="n">
        <x:v>1</x:v>
      </x:c>
      <x:c r="H2442" s="11" t="n">
        <x:v>140.55</x:v>
      </x:c>
      <x:c r="I2442" s="2" t="n">
        <x:v>1</x:v>
      </x:c>
      <x:c r="J2442" s="2" t="n">
        <x:v>1</x:v>
      </x:c>
      <x:c r="K2442" s="2" t="n">
        <x:v>1</x:v>
      </x:c>
      <x:c r="L2442" s="2" t="str">
        <x:v>Hibernating</x:v>
      </x:c>
    </x:row>
    <x:row r="2443" ht="22" customHeight="1">
      <x:c r="A2443" s="2"/>
      <x:c r="B2443" s="2" t="str">
        <x:v>14774</x:v>
      </x:c>
      <x:c r="C2443" s="2" t="str">
        <x:v>United Kingdom</x:v>
      </x:c>
      <x:c r="D2443" s="25" t="n">
        <x:v>40358.30972222222</x:v>
      </x:c>
      <x:c r="E2443" s="25" t="n">
        <x:v>40358.30972222222</x:v>
      </x:c>
      <x:c r="F2443" s="2" t="n">
        <x:v>529</x:v>
      </x:c>
      <x:c r="G2443" s="2" t="n">
        <x:v>1</x:v>
      </x:c>
      <x:c r="H2443" s="11" t="n">
        <x:v>241.45</x:v>
      </x:c>
      <x:c r="I2443" s="2" t="n">
        <x:v>1</x:v>
      </x:c>
      <x:c r="J2443" s="2" t="n">
        <x:v>1</x:v>
      </x:c>
      <x:c r="K2443" s="2" t="n">
        <x:v>1</x:v>
      </x:c>
      <x:c r="L2443" s="2" t="str">
        <x:v>Hibernating</x:v>
      </x:c>
    </x:row>
    <x:row r="2444" ht="22" customHeight="1">
      <x:c r="A2444" s="2"/>
      <x:c r="B2444" s="2" t="str">
        <x:v>14775</x:v>
      </x:c>
      <x:c r="C2444" s="2" t="str">
        <x:v>United Kingdom</x:v>
      </x:c>
      <x:c r="D2444" s="25" t="n">
        <x:v>40514.48472222222</x:v>
      </x:c>
      <x:c r="E2444" s="25" t="n">
        <x:v>40828.43541666667</x:v>
      </x:c>
      <x:c r="F2444" s="2" t="n">
        <x:v>59</x:v>
      </x:c>
      <x:c r="G2444" s="2" t="n">
        <x:v>3</x:v>
      </x:c>
      <x:c r="H2444" s="11" t="n">
        <x:v>1011.9</x:v>
      </x:c>
      <x:c r="I2444" s="2" t="n">
        <x:v>4</x:v>
      </x:c>
      <x:c r="J2444" s="2" t="n">
        <x:v>3</x:v>
      </x:c>
      <x:c r="K2444" s="2" t="n">
        <x:v>3</x:v>
      </x:c>
      <x:c r="L2444" s="2" t="str">
        <x:v>Loyal</x:v>
      </x:c>
    </x:row>
    <x:row r="2445" ht="22" customHeight="1">
      <x:c r="A2445" s="2"/>
      <x:c r="B2445" s="2" t="str">
        <x:v>14776</x:v>
      </x:c>
      <x:c r="C2445" s="2" t="str">
        <x:v>United Kingdom</x:v>
      </x:c>
      <x:c r="D2445" s="25" t="n">
        <x:v>40440.38333333333</x:v>
      </x:c>
      <x:c r="E2445" s="25" t="n">
        <x:v>40835.44027777778</x:v>
      </x:c>
      <x:c r="F2445" s="2" t="n">
        <x:v>52</x:v>
      </x:c>
      <x:c r="G2445" s="2" t="n">
        <x:v>15</x:v>
      </x:c>
      <x:c r="H2445" s="11" t="n">
        <x:v>3708.3</x:v>
      </x:c>
      <x:c r="I2445" s="2" t="n">
        <x:v>4</x:v>
      </x:c>
      <x:c r="J2445" s="2" t="n">
        <x:v>5</x:v>
      </x:c>
      <x:c r="K2445" s="2" t="n">
        <x:v>5</x:v>
      </x:c>
      <x:c r="L2445" s="2" t="str">
        <x:v>Champions</x:v>
      </x:c>
    </x:row>
    <x:row r="2446" ht="22" customHeight="1">
      <x:c r="A2446" s="2"/>
      <x:c r="B2446" s="2" t="str">
        <x:v>14777</x:v>
      </x:c>
      <x:c r="C2446" s="2" t="str">
        <x:v>United Kingdom</x:v>
      </x:c>
      <x:c r="D2446" s="25" t="n">
        <x:v>40483.32638888889</x:v>
      </x:c>
      <x:c r="E2446" s="25" t="n">
        <x:v>40483.32638888889</x:v>
      </x:c>
      <x:c r="F2446" s="2" t="n">
        <x:v>404</x:v>
      </x:c>
      <x:c r="G2446" s="2" t="n">
        <x:v>1</x:v>
      </x:c>
      <x:c r="H2446" s="11" t="n">
        <x:v>307.56</x:v>
      </x:c>
      <x:c r="I2446" s="2" t="n">
        <x:v>2</x:v>
      </x:c>
      <x:c r="J2446" s="2" t="n">
        <x:v>1</x:v>
      </x:c>
      <x:c r="K2446" s="2" t="n">
        <x:v>2</x:v>
      </x:c>
      <x:c r="L2446" s="2" t="str">
        <x:v>Hibernating</x:v>
      </x:c>
    </x:row>
    <x:row r="2447" ht="22" customHeight="1">
      <x:c r="A2447" s="2"/>
      <x:c r="B2447" s="2" t="str">
        <x:v>14778</x:v>
      </x:c>
      <x:c r="C2447" s="2" t="str">
        <x:v>United Kingdom</x:v>
      </x:c>
      <x:c r="D2447" s="25" t="n">
        <x:v>40578.279861111114</x:v>
      </x:c>
      <x:c r="E2447" s="25" t="n">
        <x:v>40759.43263888889</x:v>
      </x:c>
      <x:c r="F2447" s="2" t="n">
        <x:v>128</x:v>
      </x:c>
      <x:c r="G2447" s="2" t="n">
        <x:v>2</x:v>
      </x:c>
      <x:c r="H2447" s="11" t="n">
        <x:v>730.86</x:v>
      </x:c>
      <x:c r="I2447" s="2" t="n">
        <x:v>3</x:v>
      </x:c>
      <x:c r="J2447" s="2" t="n">
        <x:v>2</x:v>
      </x:c>
      <x:c r="K2447" s="2" t="n">
        <x:v>3</x:v>
      </x:c>
      <x:c r="L2447" s="2" t="str">
        <x:v>Developing</x:v>
      </x:c>
    </x:row>
    <x:row r="2448" ht="22" customHeight="1">
      <x:c r="A2448" s="2"/>
      <x:c r="B2448" s="2" t="str">
        <x:v>14779</x:v>
      </x:c>
      <x:c r="C2448" s="2" t="str">
        <x:v>United Kingdom</x:v>
      </x:c>
      <x:c r="D2448" s="25" t="n">
        <x:v>40563.294444444444</x:v>
      </x:c>
      <x:c r="E2448" s="25" t="n">
        <x:v>40606.32083333333</x:v>
      </x:c>
      <x:c r="F2448" s="2" t="n">
        <x:v>281</x:v>
      </x:c>
      <x:c r="G2448" s="2" t="n">
        <x:v>3</x:v>
      </x:c>
      <x:c r="H2448" s="11" t="n">
        <x:v>386.15</x:v>
      </x:c>
      <x:c r="I2448" s="2" t="n">
        <x:v>2</x:v>
      </x:c>
      <x:c r="J2448" s="2" t="n">
        <x:v>3</x:v>
      </x:c>
      <x:c r="K2448" s="2" t="n">
        <x:v>2</x:v>
      </x:c>
      <x:c r="L2448" s="2" t="str">
        <x:v>At risk</x:v>
      </x:c>
    </x:row>
    <x:row r="2449" ht="22" customHeight="1">
      <x:c r="A2449" s="2"/>
      <x:c r="B2449" s="2" t="str">
        <x:v>14780</x:v>
      </x:c>
      <x:c r="C2449" s="2" t="str">
        <x:v>United Kingdom</x:v>
      </x:c>
      <x:c r="D2449" s="25" t="n">
        <x:v>40807.427083333336</x:v>
      </x:c>
      <x:c r="E2449" s="25" t="n">
        <x:v>40832.32361111111</x:v>
      </x:c>
      <x:c r="F2449" s="2" t="n">
        <x:v>55</x:v>
      </x:c>
      <x:c r="G2449" s="2" t="n">
        <x:v>2</x:v>
      </x:c>
      <x:c r="H2449" s="11" t="n">
        <x:v>447.68</x:v>
      </x:c>
      <x:c r="I2449" s="2" t="n">
        <x:v>4</x:v>
      </x:c>
      <x:c r="J2449" s="2" t="n">
        <x:v>2</x:v>
      </x:c>
      <x:c r="K2449" s="2" t="n">
        <x:v>2</x:v>
      </x:c>
      <x:c r="L2449" s="2" t="str">
        <x:v>Recent light buyers</x:v>
      </x:c>
    </x:row>
    <x:row r="2450" ht="22" customHeight="1">
      <x:c r="A2450" s="2"/>
      <x:c r="B2450" s="2" t="str">
        <x:v>14782</x:v>
      </x:c>
      <x:c r="C2450" s="2" t="str">
        <x:v>United Kingdom</x:v>
      </x:c>
      <x:c r="D2450" s="25" t="n">
        <x:v>40567.25833333333</x:v>
      </x:c>
      <x:c r="E2450" s="25" t="n">
        <x:v>40567.25833333333</x:v>
      </x:c>
      <x:c r="F2450" s="2" t="n">
        <x:v>320</x:v>
      </x:c>
      <x:c r="G2450" s="2" t="n">
        <x:v>1</x:v>
      </x:c>
      <x:c r="H2450" s="11" t="n">
        <x:v>200.1</x:v>
      </x:c>
      <x:c r="I2450" s="2" t="n">
        <x:v>2</x:v>
      </x:c>
      <x:c r="J2450" s="2" t="n">
        <x:v>1</x:v>
      </x:c>
      <x:c r="K2450" s="2" t="n">
        <x:v>1</x:v>
      </x:c>
      <x:c r="L2450" s="2" t="str">
        <x:v>Hibernating</x:v>
      </x:c>
    </x:row>
    <x:row r="2451" ht="22" customHeight="1">
      <x:c r="A2451" s="2"/>
      <x:c r="B2451" s="2" t="str">
        <x:v>14783</x:v>
      </x:c>
      <x:c r="C2451" s="2" t="str">
        <x:v>United Kingdom</x:v>
      </x:c>
      <x:c r="D2451" s="25" t="n">
        <x:v>40227.46944444445</x:v>
      </x:c>
      <x:c r="E2451" s="25" t="n">
        <x:v>40227.46944444445</x:v>
      </x:c>
      <x:c r="F2451" s="2" t="n">
        <x:v>660</x:v>
      </x:c>
      <x:c r="G2451" s="2" t="n">
        <x:v>1</x:v>
      </x:c>
      <x:c r="H2451" s="11" t="n">
        <x:v>307.3</x:v>
      </x:c>
      <x:c r="I2451" s="2" t="n">
        <x:v>1</x:v>
      </x:c>
      <x:c r="J2451" s="2" t="n">
        <x:v>1</x:v>
      </x:c>
      <x:c r="K2451" s="2" t="n">
        <x:v>2</x:v>
      </x:c>
      <x:c r="L2451" s="2" t="str">
        <x:v>Hibernating</x:v>
      </x:c>
    </x:row>
    <x:row r="2452" ht="22" customHeight="1">
      <x:c r="A2452" s="2"/>
      <x:c r="B2452" s="2" t="str">
        <x:v>14784</x:v>
      </x:c>
      <x:c r="C2452" s="2" t="str">
        <x:v>United Kingdom</x:v>
      </x:c>
      <x:c r="D2452" s="25" t="n">
        <x:v>40497.200694444444</x:v>
      </x:c>
      <x:c r="E2452" s="25" t="n">
        <x:v>40860.354166666664</x:v>
      </x:c>
      <x:c r="F2452" s="2" t="n">
        <x:v>27</x:v>
      </x:c>
      <x:c r="G2452" s="2" t="n">
        <x:v>3</x:v>
      </x:c>
      <x:c r="H2452" s="11" t="n">
        <x:v>449.93</x:v>
      </x:c>
      <x:c r="I2452" s="2" t="n">
        <x:v>4</x:v>
      </x:c>
      <x:c r="J2452" s="2" t="n">
        <x:v>3</x:v>
      </x:c>
      <x:c r="K2452" s="2" t="n">
        <x:v>2</x:v>
      </x:c>
      <x:c r="L2452" s="2" t="str">
        <x:v>Loyal</x:v>
      </x:c>
    </x:row>
    <x:row r="2453" ht="22" customHeight="1">
      <x:c r="A2453" s="2"/>
      <x:c r="B2453" s="2" t="str">
        <x:v>14785</x:v>
      </x:c>
      <x:c r="C2453" s="2" t="str">
        <x:v>United Kingdom</x:v>
      </x:c>
      <x:c r="D2453" s="25" t="n">
        <x:v>40871.36111111111</x:v>
      </x:c>
      <x:c r="E2453" s="25" t="n">
        <x:v>40876.347916666666</x:v>
      </x:c>
      <x:c r="F2453" s="2" t="n">
        <x:v>11</x:v>
      </x:c>
      <x:c r="G2453" s="2" t="n">
        <x:v>2</x:v>
      </x:c>
      <x:c r="H2453" s="11" t="n">
        <x:v>77.4</x:v>
      </x:c>
      <x:c r="I2453" s="2" t="n">
        <x:v>5</x:v>
      </x:c>
      <x:c r="J2453" s="2" t="n">
        <x:v>2</x:v>
      </x:c>
      <x:c r="K2453" s="2" t="n">
        <x:v>1</x:v>
      </x:c>
      <x:c r="L2453" s="2" t="str">
        <x:v>Recent light buyers</x:v>
      </x:c>
    </x:row>
    <x:row r="2454" ht="22" customHeight="1">
      <x:c r="A2454" s="2"/>
      <x:c r="B2454" s="2" t="str">
        <x:v>14786</x:v>
      </x:c>
      <x:c r="C2454" s="2" t="str">
        <x:v>United Kingdom</x:v>
      </x:c>
      <x:c r="D2454" s="25" t="n">
        <x:v>40336.3625</x:v>
      </x:c>
      <x:c r="E2454" s="25" t="n">
        <x:v>40336.3625</x:v>
      </x:c>
      <x:c r="F2454" s="2" t="n">
        <x:v>551</x:v>
      </x:c>
      <x:c r="G2454" s="2" t="n">
        <x:v>1</x:v>
      </x:c>
      <x:c r="H2454" s="11" t="n">
        <x:v>90.96</x:v>
      </x:c>
      <x:c r="I2454" s="2" t="n">
        <x:v>1</x:v>
      </x:c>
      <x:c r="J2454" s="2" t="n">
        <x:v>1</x:v>
      </x:c>
      <x:c r="K2454" s="2" t="n">
        <x:v>1</x:v>
      </x:c>
      <x:c r="L2454" s="2" t="str">
        <x:v>Hibernating</x:v>
      </x:c>
    </x:row>
    <x:row r="2455" ht="22" customHeight="1">
      <x:c r="A2455" s="2"/>
      <x:c r="B2455" s="2" t="str">
        <x:v>14787</x:v>
      </x:c>
      <x:c r="C2455" s="2" t="str">
        <x:v>United Kingdom</x:v>
      </x:c>
      <x:c r="D2455" s="25" t="n">
        <x:v>40415.40138888889</x:v>
      </x:c>
      <x:c r="E2455" s="25" t="n">
        <x:v>40415.40138888889</x:v>
      </x:c>
      <x:c r="F2455" s="2" t="n">
        <x:v>472</x:v>
      </x:c>
      <x:c r="G2455" s="2" t="n">
        <x:v>1</x:v>
      </x:c>
      <x:c r="H2455" s="11" t="n">
        <x:v>110.65</x:v>
      </x:c>
      <x:c r="I2455" s="2" t="n">
        <x:v>1</x:v>
      </x:c>
      <x:c r="J2455" s="2" t="n">
        <x:v>1</x:v>
      </x:c>
      <x:c r="K2455" s="2" t="n">
        <x:v>1</x:v>
      </x:c>
      <x:c r="L2455" s="2" t="str">
        <x:v>Hibernating</x:v>
      </x:c>
    </x:row>
    <x:row r="2456" ht="22" customHeight="1">
      <x:c r="A2456" s="2"/>
      <x:c r="B2456" s="2" t="str">
        <x:v>14788</x:v>
      </x:c>
      <x:c r="C2456" s="2" t="str">
        <x:v>United Kingdom</x:v>
      </x:c>
      <x:c r="D2456" s="25" t="n">
        <x:v>40290.552777777775</x:v>
      </x:c>
      <x:c r="E2456" s="25" t="n">
        <x:v>40879.504166666666</x:v>
      </x:c>
      <x:c r="F2456" s="2" t="n">
        <x:v>8</x:v>
      </x:c>
      <x:c r="G2456" s="2" t="n">
        <x:v>3</x:v>
      </x:c>
      <x:c r="H2456" s="11" t="n">
        <x:v>1156.32</x:v>
      </x:c>
      <x:c r="I2456" s="2" t="n">
        <x:v>5</x:v>
      </x:c>
      <x:c r="J2456" s="2" t="n">
        <x:v>3</x:v>
      </x:c>
      <x:c r="K2456" s="2" t="n">
        <x:v>3</x:v>
      </x:c>
      <x:c r="L2456" s="2" t="str">
        <x:v>Loyal</x:v>
      </x:c>
    </x:row>
    <x:row r="2457" ht="22" customHeight="1">
      <x:c r="A2457" s="2"/>
      <x:c r="B2457" s="2" t="str">
        <x:v>14789</x:v>
      </x:c>
      <x:c r="C2457" s="2" t="str">
        <x:v>United Kingdom</x:v>
      </x:c>
      <x:c r="D2457" s="25" t="n">
        <x:v>40858.165972222225</x:v>
      </x:c>
      <x:c r="E2457" s="25" t="n">
        <x:v>40858.165972222225</x:v>
      </x:c>
      <x:c r="F2457" s="2" t="n">
        <x:v>29</x:v>
      </x:c>
      <x:c r="G2457" s="2" t="n">
        <x:v>1</x:v>
      </x:c>
      <x:c r="H2457" s="11" t="n">
        <x:v>197.64</x:v>
      </x:c>
      <x:c r="I2457" s="2" t="n">
        <x:v>4</x:v>
      </x:c>
      <x:c r="J2457" s="2" t="n">
        <x:v>1</x:v>
      </x:c>
      <x:c r="K2457" s="2" t="n">
        <x:v>1</x:v>
      </x:c>
      <x:c r="L2457" s="2" t="str">
        <x:v>Recent light buyers</x:v>
      </x:c>
    </x:row>
    <x:row r="2458" ht="22" customHeight="1">
      <x:c r="A2458" s="2"/>
      <x:c r="B2458" s="2" t="str">
        <x:v>14790</x:v>
      </x:c>
      <x:c r="C2458" s="2" t="str">
        <x:v>United Kingdom</x:v>
      </x:c>
      <x:c r="D2458" s="25" t="n">
        <x:v>40158.40069444444</x:v>
      </x:c>
      <x:c r="E2458" s="25" t="n">
        <x:v>40870.186111111114</x:v>
      </x:c>
      <x:c r="F2458" s="2" t="n">
        <x:v>17</x:v>
      </x:c>
      <x:c r="G2458" s="2" t="n">
        <x:v>10</x:v>
      </x:c>
      <x:c r="H2458" s="11" t="n">
        <x:v>2526.62</x:v>
      </x:c>
      <x:c r="I2458" s="2" t="n">
        <x:v>5</x:v>
      </x:c>
      <x:c r="J2458" s="2" t="n">
        <x:v>5</x:v>
      </x:c>
      <x:c r="K2458" s="2" t="n">
        <x:v>4</x:v>
      </x:c>
      <x:c r="L2458" s="2" t="str">
        <x:v>Champions</x:v>
      </x:c>
    </x:row>
    <x:row r="2459" ht="22" customHeight="1">
      <x:c r="A2459" s="2"/>
      <x:c r="B2459" s="2" t="str">
        <x:v>14791</x:v>
      </x:c>
      <x:c r="C2459" s="2" t="str">
        <x:v>United Kingdom</x:v>
      </x:c>
      <x:c r="D2459" s="25" t="n">
        <x:v>40280.225</x:v>
      </x:c>
      <x:c r="E2459" s="25" t="n">
        <x:v>40280.225</x:v>
      </x:c>
      <x:c r="F2459" s="2" t="n">
        <x:v>607</x:v>
      </x:c>
      <x:c r="G2459" s="2" t="n">
        <x:v>1</x:v>
      </x:c>
      <x:c r="H2459" s="11" t="n">
        <x:v>303.63</x:v>
      </x:c>
      <x:c r="I2459" s="2" t="n">
        <x:v>1</x:v>
      </x:c>
      <x:c r="J2459" s="2" t="n">
        <x:v>1</x:v>
      </x:c>
      <x:c r="K2459" s="2" t="n">
        <x:v>2</x:v>
      </x:c>
      <x:c r="L2459" s="2" t="str">
        <x:v>Hibernating</x:v>
      </x:c>
    </x:row>
    <x:row r="2460" ht="22" customHeight="1">
      <x:c r="A2460" s="2"/>
      <x:c r="B2460" s="2" t="str">
        <x:v>14792</x:v>
      </x:c>
      <x:c r="C2460" s="2" t="str">
        <x:v>United Kingdom</x:v>
      </x:c>
      <x:c r="D2460" s="25" t="n">
        <x:v>40823.17986111111</x:v>
      </x:c>
      <x:c r="E2460" s="25" t="n">
        <x:v>40823.17986111111</x:v>
      </x:c>
      <x:c r="F2460" s="2" t="n">
        <x:v>64</x:v>
      </x:c>
      <x:c r="G2460" s="2" t="n">
        <x:v>1</x:v>
      </x:c>
      <x:c r="H2460" s="11" t="n">
        <x:v>6.2</x:v>
      </x:c>
      <x:c r="I2460" s="2" t="n">
        <x:v>3</x:v>
      </x:c>
      <x:c r="J2460" s="2" t="n">
        <x:v>1</x:v>
      </x:c>
      <x:c r="K2460" s="2" t="n">
        <x:v>1</x:v>
      </x:c>
      <x:c r="L2460" s="2" t="str">
        <x:v>Developing</x:v>
      </x:c>
    </x:row>
    <x:row r="2461" ht="22" customHeight="1">
      <x:c r="A2461" s="2"/>
      <x:c r="B2461" s="2" t="str">
        <x:v>14793</x:v>
      </x:c>
      <x:c r="C2461" s="2" t="str">
        <x:v>United Kingdom</x:v>
      </x:c>
      <x:c r="D2461" s="25" t="n">
        <x:v>40351.495833333334</x:v>
      </x:c>
      <x:c r="E2461" s="25" t="n">
        <x:v>40865.40972222222</x:v>
      </x:c>
      <x:c r="F2461" s="2" t="n">
        <x:v>22</x:v>
      </x:c>
      <x:c r="G2461" s="2" t="n">
        <x:v>2</x:v>
      </x:c>
      <x:c r="H2461" s="11" t="n">
        <x:v>625.9</x:v>
      </x:c>
      <x:c r="I2461" s="2" t="n">
        <x:v>4</x:v>
      </x:c>
      <x:c r="J2461" s="2" t="n">
        <x:v>2</x:v>
      </x:c>
      <x:c r="K2461" s="2" t="n">
        <x:v>3</x:v>
      </x:c>
      <x:c r="L2461" s="2" t="str">
        <x:v>Recent light buyers</x:v>
      </x:c>
    </x:row>
    <x:row r="2462" ht="22" customHeight="1">
      <x:c r="A2462" s="2"/>
      <x:c r="B2462" s="2" t="str">
        <x:v>14794</x:v>
      </x:c>
      <x:c r="C2462" s="2" t="str">
        <x:v>United Kingdom</x:v>
      </x:c>
      <x:c r="D2462" s="25" t="n">
        <x:v>40399.447222222225</x:v>
      </x:c>
      <x:c r="E2462" s="25" t="n">
        <x:v>40884.21597222222</x:v>
      </x:c>
      <x:c r="F2462" s="2" t="n">
        <x:v>3</x:v>
      </x:c>
      <x:c r="G2462" s="2" t="n">
        <x:v>10</x:v>
      </x:c>
      <x:c r="H2462" s="11" t="n">
        <x:v>1953.9</x:v>
      </x:c>
      <x:c r="I2462" s="2" t="n">
        <x:v>5</x:v>
      </x:c>
      <x:c r="J2462" s="2" t="n">
        <x:v>5</x:v>
      </x:c>
      <x:c r="K2462" s="2" t="n">
        <x:v>4</x:v>
      </x:c>
      <x:c r="L2462" s="2" t="str">
        <x:v>Champions</x:v>
      </x:c>
    </x:row>
    <x:row r="2463" ht="22" customHeight="1">
      <x:c r="A2463" s="2"/>
      <x:c r="B2463" s="2" t="str">
        <x:v>14795</x:v>
      </x:c>
      <x:c r="C2463" s="2" t="str">
        <x:v>United Kingdom</x:v>
      </x:c>
      <x:c r="D2463" s="25" t="n">
        <x:v>40720.33611111111</x:v>
      </x:c>
      <x:c r="E2463" s="25" t="n">
        <x:v>40720.33611111111</x:v>
      </x:c>
      <x:c r="F2463" s="2" t="n">
        <x:v>167</x:v>
      </x:c>
      <x:c r="G2463" s="2" t="n">
        <x:v>1</x:v>
      </x:c>
      <x:c r="H2463" s="11" t="n">
        <x:v>131.45</x:v>
      </x:c>
      <x:c r="I2463" s="2" t="n">
        <x:v>3</x:v>
      </x:c>
      <x:c r="J2463" s="2" t="n">
        <x:v>1</x:v>
      </x:c>
      <x:c r="K2463" s="2" t="n">
        <x:v>1</x:v>
      </x:c>
      <x:c r="L2463" s="2" t="str">
        <x:v>Developing</x:v>
      </x:c>
    </x:row>
    <x:row r="2464" ht="22" customHeight="1">
      <x:c r="A2464" s="2"/>
      <x:c r="B2464" s="2" t="str">
        <x:v>14796</x:v>
      </x:c>
      <x:c r="C2464" s="2" t="str">
        <x:v>United Kingdom</x:v>
      </x:c>
      <x:c r="D2464" s="25" t="n">
        <x:v>40161.42083333333</x:v>
      </x:c>
      <x:c r="E2464" s="25" t="n">
        <x:v>40885.43819444445</x:v>
      </x:c>
      <x:c r="F2464" s="2" t="n">
        <x:v>2</x:v>
      </x:c>
      <x:c r="G2464" s="2" t="n">
        <x:v>27</x:v>
      </x:c>
      <x:c r="H2464" s="11" t="n">
        <x:v>10218.43</x:v>
      </x:c>
      <x:c r="I2464" s="2" t="n">
        <x:v>5</x:v>
      </x:c>
      <x:c r="J2464" s="2" t="n">
        <x:v>5</x:v>
      </x:c>
      <x:c r="K2464" s="2" t="n">
        <x:v>5</x:v>
      </x:c>
      <x:c r="L2464" s="2" t="str">
        <x:v>Champions</x:v>
      </x:c>
    </x:row>
    <x:row r="2465" ht="22" customHeight="1">
      <x:c r="A2465" s="2"/>
      <x:c r="B2465" s="2" t="str">
        <x:v>14797</x:v>
      </x:c>
      <x:c r="C2465" s="2" t="str">
        <x:v>United Kingdom</x:v>
      </x:c>
      <x:c r="D2465" s="25" t="n">
        <x:v>40379.37986111111</x:v>
      </x:c>
      <x:c r="E2465" s="25" t="n">
        <x:v>40379.37986111111</x:v>
      </x:c>
      <x:c r="F2465" s="2" t="n">
        <x:v>508</x:v>
      </x:c>
      <x:c r="G2465" s="2" t="n">
        <x:v>1</x:v>
      </x:c>
      <x:c r="H2465" s="11" t="n">
        <x:v>300.31</x:v>
      </x:c>
      <x:c r="I2465" s="2" t="n">
        <x:v>1</x:v>
      </x:c>
      <x:c r="J2465" s="2" t="n">
        <x:v>1</x:v>
      </x:c>
      <x:c r="K2465" s="2" t="n">
        <x:v>2</x:v>
      </x:c>
      <x:c r="L2465" s="2" t="str">
        <x:v>Hibernating</x:v>
      </x:c>
    </x:row>
    <x:row r="2466" ht="22" customHeight="1">
      <x:c r="A2466" s="2"/>
      <x:c r="B2466" s="2" t="str">
        <x:v>14798</x:v>
      </x:c>
      <x:c r="C2466" s="2" t="str">
        <x:v>United Kingdom</x:v>
      </x:c>
      <x:c r="D2466" s="25" t="n">
        <x:v>40238.15138888889</x:v>
      </x:c>
      <x:c r="E2466" s="25" t="n">
        <x:v>40834.248611111114</x:v>
      </x:c>
      <x:c r="F2466" s="2" t="n">
        <x:v>53</x:v>
      </x:c>
      <x:c r="G2466" s="2" t="n">
        <x:v>8</x:v>
      </x:c>
      <x:c r="H2466" s="11" t="n">
        <x:v>724.31</x:v>
      </x:c>
      <x:c r="I2466" s="2" t="n">
        <x:v>4</x:v>
      </x:c>
      <x:c r="J2466" s="2" t="n">
        <x:v>4</x:v>
      </x:c>
      <x:c r="K2466" s="2" t="n">
        <x:v>3</x:v>
      </x:c>
      <x:c r="L2466" s="2" t="str">
        <x:v>Loyal</x:v>
      </x:c>
    </x:row>
    <x:row r="2467" ht="22" customHeight="1">
      <x:c r="A2467" s="2"/>
      <x:c r="B2467" s="2" t="str">
        <x:v>14799</x:v>
      </x:c>
      <x:c r="C2467" s="2" t="str">
        <x:v>United Kingdom</x:v>
      </x:c>
      <x:c r="D2467" s="25" t="n">
        <x:v>40149.2625</x:v>
      </x:c>
      <x:c r="E2467" s="25" t="n">
        <x:v>40835.46944444445</x:v>
      </x:c>
      <x:c r="F2467" s="2" t="n">
        <x:v>52</x:v>
      </x:c>
      <x:c r="G2467" s="2" t="n">
        <x:v>2</x:v>
      </x:c>
      <x:c r="H2467" s="11" t="n">
        <x:v>338.15</x:v>
      </x:c>
      <x:c r="I2467" s="2" t="n">
        <x:v>4</x:v>
      </x:c>
      <x:c r="J2467" s="2" t="n">
        <x:v>2</x:v>
      </x:c>
      <x:c r="K2467" s="2" t="n">
        <x:v>2</x:v>
      </x:c>
      <x:c r="L2467" s="2" t="str">
        <x:v>Recent light buyers</x:v>
      </x:c>
    </x:row>
    <x:row r="2468" ht="22" customHeight="1">
      <x:c r="A2468" s="2"/>
      <x:c r="B2468" s="2" t="str">
        <x:v>14800</x:v>
      </x:c>
      <x:c r="C2468" s="2" t="str">
        <x:v>United Kingdom</x:v>
      </x:c>
      <x:c r="D2468" s="25" t="n">
        <x:v>40451.40138888889</x:v>
      </x:c>
      <x:c r="E2468" s="25" t="n">
        <x:v>40839.32361111111</x:v>
      </x:c>
      <x:c r="F2468" s="2" t="n">
        <x:v>48</x:v>
      </x:c>
      <x:c r="G2468" s="2" t="n">
        <x:v>17</x:v>
      </x:c>
      <x:c r="H2468" s="11" t="n">
        <x:v>7218.48</x:v>
      </x:c>
      <x:c r="I2468" s="2" t="n">
        <x:v>4</x:v>
      </x:c>
      <x:c r="J2468" s="2" t="n">
        <x:v>5</x:v>
      </x:c>
      <x:c r="K2468" s="2" t="n">
        <x:v>5</x:v>
      </x:c>
      <x:c r="L2468" s="2" t="str">
        <x:v>Champions</x:v>
      </x:c>
    </x:row>
    <x:row r="2469" ht="22" customHeight="1">
      <x:c r="A2469" s="2"/>
      <x:c r="B2469" s="2" t="str">
        <x:v>14801</x:v>
      </x:c>
      <x:c r="C2469" s="2" t="str">
        <x:v>United Kingdom</x:v>
      </x:c>
      <x:c r="D2469" s="25" t="n">
        <x:v>40825.433333333334</x:v>
      </x:c>
      <x:c r="E2469" s="25" t="n">
        <x:v>40825.433333333334</x:v>
      </x:c>
      <x:c r="F2469" s="2" t="n">
        <x:v>62</x:v>
      </x:c>
      <x:c r="G2469" s="2" t="n">
        <x:v>1</x:v>
      </x:c>
      <x:c r="H2469" s="11" t="n">
        <x:v>193.14</x:v>
      </x:c>
      <x:c r="I2469" s="2" t="n">
        <x:v>3</x:v>
      </x:c>
      <x:c r="J2469" s="2" t="n">
        <x:v>1</x:v>
      </x:c>
      <x:c r="K2469" s="2" t="n">
        <x:v>1</x:v>
      </x:c>
      <x:c r="L2469" s="2" t="str">
        <x:v>Developing</x:v>
      </x:c>
    </x:row>
    <x:row r="2470" ht="22" customHeight="1">
      <x:c r="A2470" s="2"/>
      <x:c r="B2470" s="2" t="str">
        <x:v>14802</x:v>
      </x:c>
      <x:c r="C2470" s="2" t="str">
        <x:v>United Kingdom</x:v>
      </x:c>
      <x:c r="D2470" s="25" t="n">
        <x:v>40448.48055555556</x:v>
      </x:c>
      <x:c r="E2470" s="25" t="n">
        <x:v>40448.481944444444</x:v>
      </x:c>
      <x:c r="F2470" s="2" t="n">
        <x:v>439</x:v>
      </x:c>
      <x:c r="G2470" s="2" t="n">
        <x:v>2</x:v>
      </x:c>
      <x:c r="H2470" s="11" t="n">
        <x:v>1502.98</x:v>
      </x:c>
      <x:c r="I2470" s="2" t="n">
        <x:v>1</x:v>
      </x:c>
      <x:c r="J2470" s="2" t="n">
        <x:v>2</x:v>
      </x:c>
      <x:c r="K2470" s="2" t="n">
        <x:v>4</x:v>
      </x:c>
      <x:c r="L2470" s="2" t="str">
        <x:v>Hibernating</x:v>
      </x:c>
    </x:row>
    <x:row r="2471" ht="22" customHeight="1">
      <x:c r="A2471" s="2"/>
      <x:c r="B2471" s="2" t="str">
        <x:v>14803</x:v>
      </x:c>
      <x:c r="C2471" s="2" t="str">
        <x:v>United Kingdom</x:v>
      </x:c>
      <x:c r="D2471" s="25" t="n">
        <x:v>40594.347916666666</x:v>
      </x:c>
      <x:c r="E2471" s="25" t="n">
        <x:v>40724.373611111114</x:v>
      </x:c>
      <x:c r="F2471" s="2" t="n">
        <x:v>163</x:v>
      </x:c>
      <x:c r="G2471" s="2" t="n">
        <x:v>3</x:v>
      </x:c>
      <x:c r="H2471" s="11" t="n">
        <x:v>845.55</x:v>
      </x:c>
      <x:c r="I2471" s="2" t="n">
        <x:v>3</x:v>
      </x:c>
      <x:c r="J2471" s="2" t="n">
        <x:v>3</x:v>
      </x:c>
      <x:c r="K2471" s="2" t="n">
        <x:v>3</x:v>
      </x:c>
      <x:c r="L2471" s="2" t="str">
        <x:v>Loyal</x:v>
      </x:c>
    </x:row>
    <x:row r="2472" ht="22" customHeight="1">
      <x:c r="A2472" s="2"/>
      <x:c r="B2472" s="2" t="str">
        <x:v>14804</x:v>
      </x:c>
      <x:c r="C2472" s="2" t="str">
        <x:v>United Kingdom</x:v>
      </x:c>
      <x:c r="D2472" s="25" t="n">
        <x:v>40878.26388888889</x:v>
      </x:c>
      <x:c r="E2472" s="25" t="n">
        <x:v>40878.26388888889</x:v>
      </x:c>
      <x:c r="F2472" s="2" t="n">
        <x:v>9</x:v>
      </x:c>
      <x:c r="G2472" s="2" t="n">
        <x:v>1</x:v>
      </x:c>
      <x:c r="H2472" s="11" t="n">
        <x:v>353.27</x:v>
      </x:c>
      <x:c r="I2472" s="2" t="n">
        <x:v>5</x:v>
      </x:c>
      <x:c r="J2472" s="2" t="n">
        <x:v>1</x:v>
      </x:c>
      <x:c r="K2472" s="2" t="n">
        <x:v>2</x:v>
      </x:c>
      <x:c r="L2472" s="2" t="str">
        <x:v>Recent light buyers</x:v>
      </x:c>
    </x:row>
    <x:row r="2473" ht="22" customHeight="1">
      <x:c r="A2473" s="2"/>
      <x:c r="B2473" s="2" t="str">
        <x:v>14805</x:v>
      </x:c>
      <x:c r="C2473" s="2" t="str">
        <x:v>United Kingdom</x:v>
      </x:c>
      <x:c r="D2473" s="25" t="n">
        <x:v>40265.31527777778</x:v>
      </x:c>
      <x:c r="E2473" s="25" t="n">
        <x:v>40871.47222222222</x:v>
      </x:c>
      <x:c r="F2473" s="2" t="n">
        <x:v>16</x:v>
      </x:c>
      <x:c r="G2473" s="2" t="n">
        <x:v>7</x:v>
      </x:c>
      <x:c r="H2473" s="11" t="n">
        <x:v>1104.64</x:v>
      </x:c>
      <x:c r="I2473" s="2" t="n">
        <x:v>5</x:v>
      </x:c>
      <x:c r="J2473" s="2" t="n">
        <x:v>4</x:v>
      </x:c>
      <x:c r="K2473" s="2" t="n">
        <x:v>3</x:v>
      </x:c>
      <x:c r="L2473" s="2" t="str">
        <x:v>Loyal</x:v>
      </x:c>
    </x:row>
    <x:row r="2474" ht="22" customHeight="1">
      <x:c r="A2474" s="2"/>
      <x:c r="B2474" s="2" t="str">
        <x:v>14806</x:v>
      </x:c>
      <x:c r="C2474" s="2" t="str">
        <x:v>United Kingdom</x:v>
      </x:c>
      <x:c r="D2474" s="25" t="n">
        <x:v>40447.45138888889</x:v>
      </x:c>
      <x:c r="E2474" s="25" t="n">
        <x:v>40811.438888888886</x:v>
      </x:c>
      <x:c r="F2474" s="2" t="n">
        <x:v>76</x:v>
      </x:c>
      <x:c r="G2474" s="2" t="n">
        <x:v>2</x:v>
      </x:c>
      <x:c r="H2474" s="11" t="n">
        <x:v>303.43</x:v>
      </x:c>
      <x:c r="I2474" s="2" t="n">
        <x:v>3</x:v>
      </x:c>
      <x:c r="J2474" s="2" t="n">
        <x:v>2</x:v>
      </x:c>
      <x:c r="K2474" s="2" t="n">
        <x:v>2</x:v>
      </x:c>
      <x:c r="L2474" s="2" t="str">
        <x:v>Developing</x:v>
      </x:c>
    </x:row>
    <x:row r="2475" ht="22" customHeight="1">
      <x:c r="A2475" s="2"/>
      <x:c r="B2475" s="2" t="str">
        <x:v>14807</x:v>
      </x:c>
      <x:c r="C2475" s="2" t="str">
        <x:v>United Kingdom</x:v>
      </x:c>
      <x:c r="D2475" s="25" t="n">
        <x:v>40237.27291666667</x:v>
      </x:c>
      <x:c r="E2475" s="25" t="n">
        <x:v>40496.32430555556</x:v>
      </x:c>
      <x:c r="F2475" s="2" t="n">
        <x:v>391</x:v>
      </x:c>
      <x:c r="G2475" s="2" t="n">
        <x:v>2</x:v>
      </x:c>
      <x:c r="H2475" s="11" t="n">
        <x:v>519.29</x:v>
      </x:c>
      <x:c r="I2475" s="2" t="n">
        <x:v>2</x:v>
      </x:c>
      <x:c r="J2475" s="2" t="n">
        <x:v>2</x:v>
      </x:c>
      <x:c r="K2475" s="2" t="n">
        <x:v>2</x:v>
      </x:c>
      <x:c r="L2475" s="2" t="str">
        <x:v>Hibernating</x:v>
      </x:c>
    </x:row>
    <x:row r="2476" ht="22" customHeight="1">
      <x:c r="A2476" s="2"/>
      <x:c r="B2476" s="2" t="str">
        <x:v>14808</x:v>
      </x:c>
      <x:c r="C2476" s="2" t="str">
        <x:v>United Kingdom</x:v>
      </x:c>
      <x:c r="D2476" s="25" t="n">
        <x:v>40714.32847222222</x:v>
      </x:c>
      <x:c r="E2476" s="25" t="n">
        <x:v>40847.30625</x:v>
      </x:c>
      <x:c r="F2476" s="2" t="n">
        <x:v>40</x:v>
      </x:c>
      <x:c r="G2476" s="2" t="n">
        <x:v>8</x:v>
      </x:c>
      <x:c r="H2476" s="11" t="n">
        <x:v>2741.17</x:v>
      </x:c>
      <x:c r="I2476" s="2" t="n">
        <x:v>4</x:v>
      </x:c>
      <x:c r="J2476" s="2" t="n">
        <x:v>4</x:v>
      </x:c>
      <x:c r="K2476" s="2" t="n">
        <x:v>4</x:v>
      </x:c>
      <x:c r="L2476" s="2" t="str">
        <x:v>Champions</x:v>
      </x:c>
    </x:row>
    <x:row r="2477" ht="22" customHeight="1">
      <x:c r="A2477" s="2"/>
      <x:c r="B2477" s="2" t="str">
        <x:v>14809</x:v>
      </x:c>
      <x:c r="C2477" s="2" t="str">
        <x:v>United Kingdom</x:v>
      </x:c>
      <x:c r="D2477" s="25" t="n">
        <x:v>40265.44583333333</x:v>
      </x:c>
      <x:c r="E2477" s="25" t="n">
        <x:v>40265.447222222225</x:v>
      </x:c>
      <x:c r="F2477" s="2" t="n">
        <x:v>622</x:v>
      </x:c>
      <x:c r="G2477" s="2" t="n">
        <x:v>2</x:v>
      </x:c>
      <x:c r="H2477" s="11" t="n">
        <x:v>686.76</x:v>
      </x:c>
      <x:c r="I2477" s="2" t="n">
        <x:v>1</x:v>
      </x:c>
      <x:c r="J2477" s="2" t="n">
        <x:v>2</x:v>
      </x:c>
      <x:c r="K2477" s="2" t="n">
        <x:v>3</x:v>
      </x:c>
      <x:c r="L2477" s="2" t="str">
        <x:v>Hibernating</x:v>
      </x:c>
    </x:row>
    <x:row r="2478" ht="22" customHeight="1">
      <x:c r="A2478" s="2"/>
      <x:c r="B2478" s="2" t="str">
        <x:v>14810</x:v>
      </x:c>
      <x:c r="C2478" s="2" t="str">
        <x:v>United Kingdom</x:v>
      </x:c>
      <x:c r="D2478" s="25" t="n">
        <x:v>40457.34166666667</x:v>
      </x:c>
      <x:c r="E2478" s="25" t="n">
        <x:v>40846.263194444444</x:v>
      </x:c>
      <x:c r="F2478" s="2" t="n">
        <x:v>41</x:v>
      </x:c>
      <x:c r="G2478" s="2" t="n">
        <x:v>13</x:v>
      </x:c>
      <x:c r="H2478" s="11" t="n">
        <x:v>2356.58</x:v>
      </x:c>
      <x:c r="I2478" s="2" t="n">
        <x:v>4</x:v>
      </x:c>
      <x:c r="J2478" s="2" t="n">
        <x:v>5</x:v>
      </x:c>
      <x:c r="K2478" s="2" t="n">
        <x:v>4</x:v>
      </x:c>
      <x:c r="L2478" s="2" t="str">
        <x:v>Champions</x:v>
      </x:c>
    </x:row>
    <x:row r="2479" ht="22" customHeight="1">
      <x:c r="A2479" s="2"/>
      <x:c r="B2479" s="2" t="str">
        <x:v>14811</x:v>
      </x:c>
      <x:c r="C2479" s="2" t="str">
        <x:v>United Kingdom</x:v>
      </x:c>
      <x:c r="D2479" s="25" t="n">
        <x:v>40499.339583333334</x:v>
      </x:c>
      <x:c r="E2479" s="25" t="n">
        <x:v>40499.339583333334</x:v>
      </x:c>
      <x:c r="F2479" s="2" t="n">
        <x:v>388</x:v>
      </x:c>
      <x:c r="G2479" s="2" t="n">
        <x:v>1</x:v>
      </x:c>
      <x:c r="H2479" s="11" t="n">
        <x:v>170.5</x:v>
      </x:c>
      <x:c r="I2479" s="2" t="n">
        <x:v>2</x:v>
      </x:c>
      <x:c r="J2479" s="2" t="n">
        <x:v>1</x:v>
      </x:c>
      <x:c r="K2479" s="2" t="n">
        <x:v>1</x:v>
      </x:c>
      <x:c r="L2479" s="2" t="str">
        <x:v>Hibernating</x:v>
      </x:c>
    </x:row>
    <x:row r="2480" ht="22" customHeight="1">
      <x:c r="A2480" s="2"/>
      <x:c r="B2480" s="2" t="str">
        <x:v>14812</x:v>
      </x:c>
      <x:c r="C2480" s="2" t="str">
        <x:v>United Kingdom</x:v>
      </x:c>
      <x:c r="D2480" s="25" t="n">
        <x:v>40288.30069444444</x:v>
      </x:c>
      <x:c r="E2480" s="25" t="n">
        <x:v>40288.30069444444</x:v>
      </x:c>
      <x:c r="F2480" s="2" t="n">
        <x:v>599</x:v>
      </x:c>
      <x:c r="G2480" s="2" t="n">
        <x:v>1</x:v>
      </x:c>
      <x:c r="H2480" s="11" t="n">
        <x:v>185.8</x:v>
      </x:c>
      <x:c r="I2480" s="2" t="n">
        <x:v>1</x:v>
      </x:c>
      <x:c r="J2480" s="2" t="n">
        <x:v>1</x:v>
      </x:c>
      <x:c r="K2480" s="2" t="n">
        <x:v>1</x:v>
      </x:c>
      <x:c r="L2480" s="2" t="str">
        <x:v>Hibernating</x:v>
      </x:c>
    </x:row>
    <x:row r="2481" ht="22" customHeight="1">
      <x:c r="A2481" s="2"/>
      <x:c r="B2481" s="2" t="str">
        <x:v>14813</x:v>
      </x:c>
      <x:c r="C2481" s="2" t="str">
        <x:v>United Kingdom</x:v>
      </x:c>
      <x:c r="D2481" s="25" t="n">
        <x:v>40276.28402777778</x:v>
      </x:c>
      <x:c r="E2481" s="25" t="n">
        <x:v>40517.28958333333</x:v>
      </x:c>
      <x:c r="F2481" s="2" t="n">
        <x:v>370</x:v>
      </x:c>
      <x:c r="G2481" s="2" t="n">
        <x:v>4</x:v>
      </x:c>
      <x:c r="H2481" s="11" t="n">
        <x:v>935.44</x:v>
      </x:c>
      <x:c r="I2481" s="2" t="n">
        <x:v>2</x:v>
      </x:c>
      <x:c r="J2481" s="2" t="n">
        <x:v>3</x:v>
      </x:c>
      <x:c r="K2481" s="2" t="n">
        <x:v>3</x:v>
      </x:c>
      <x:c r="L2481" s="2" t="str">
        <x:v>At risk</x:v>
      </x:c>
    </x:row>
    <x:row r="2482" ht="22" customHeight="1">
      <x:c r="A2482" s="2"/>
      <x:c r="B2482" s="2" t="str">
        <x:v>14814</x:v>
      </x:c>
      <x:c r="C2482" s="2" t="str">
        <x:v>United Kingdom</x:v>
      </x:c>
      <x:c r="D2482" s="25" t="n">
        <x:v>40305.381944444445</x:v>
      </x:c>
      <x:c r="E2482" s="25" t="n">
        <x:v>40305.381944444445</x:v>
      </x:c>
      <x:c r="F2482" s="2" t="n">
        <x:v>582</x:v>
      </x:c>
      <x:c r="G2482" s="2" t="n">
        <x:v>1</x:v>
      </x:c>
      <x:c r="H2482" s="11" t="n">
        <x:v>160.46</x:v>
      </x:c>
      <x:c r="I2482" s="2" t="n">
        <x:v>1</x:v>
      </x:c>
      <x:c r="J2482" s="2" t="n">
        <x:v>1</x:v>
      </x:c>
      <x:c r="K2482" s="2" t="n">
        <x:v>1</x:v>
      </x:c>
      <x:c r="L2482" s="2" t="str">
        <x:v>Hibernating</x:v>
      </x:c>
    </x:row>
    <x:row r="2483" ht="22" customHeight="1">
      <x:c r="A2483" s="2"/>
      <x:c r="B2483" s="2" t="str">
        <x:v>14815</x:v>
      </x:c>
      <x:c r="C2483" s="2" t="str">
        <x:v>United Kingdom</x:v>
      </x:c>
      <x:c r="D2483" s="25" t="n">
        <x:v>40819.275</x:v>
      </x:c>
      <x:c r="E2483" s="25" t="n">
        <x:v>40850.275</x:v>
      </x:c>
      <x:c r="F2483" s="2" t="n">
        <x:v>37</x:v>
      </x:c>
      <x:c r="G2483" s="2" t="n">
        <x:v>2</x:v>
      </x:c>
      <x:c r="H2483" s="11" t="n">
        <x:v>778.5</x:v>
      </x:c>
      <x:c r="I2483" s="2" t="n">
        <x:v>4</x:v>
      </x:c>
      <x:c r="J2483" s="2" t="n">
        <x:v>2</x:v>
      </x:c>
      <x:c r="K2483" s="2" t="n">
        <x:v>3</x:v>
      </x:c>
      <x:c r="L2483" s="2" t="str">
        <x:v>Recent light buyers</x:v>
      </x:c>
    </x:row>
    <x:row r="2484" ht="22" customHeight="1">
      <x:c r="A2484" s="2"/>
      <x:c r="B2484" s="2" t="str">
        <x:v>14816</x:v>
      </x:c>
      <x:c r="C2484" s="2" t="str">
        <x:v>United Kingdom</x:v>
      </x:c>
      <x:c r="D2484" s="25" t="n">
        <x:v>40689.34444444445</x:v>
      </x:c>
      <x:c r="E2484" s="25" t="n">
        <x:v>40689.34444444445</x:v>
      </x:c>
      <x:c r="F2484" s="2" t="n">
        <x:v>198</x:v>
      </x:c>
      <x:c r="G2484" s="2" t="n">
        <x:v>1</x:v>
      </x:c>
      <x:c r="H2484" s="11" t="n">
        <x:v>271.85</x:v>
      </x:c>
      <x:c r="I2484" s="2" t="n">
        <x:v>2</x:v>
      </x:c>
      <x:c r="J2484" s="2" t="n">
        <x:v>1</x:v>
      </x:c>
      <x:c r="K2484" s="2" t="n">
        <x:v>1</x:v>
      </x:c>
      <x:c r="L2484" s="2" t="str">
        <x:v>Hibernating</x:v>
      </x:c>
    </x:row>
    <x:row r="2485" ht="22" customHeight="1">
      <x:c r="A2485" s="2"/>
      <x:c r="B2485" s="2" t="str">
        <x:v>14817</x:v>
      </x:c>
      <x:c r="C2485" s="2" t="str">
        <x:v>United Kingdom</x:v>
      </x:c>
      <x:c r="D2485" s="25" t="n">
        <x:v>40259.29861111111</x:v>
      </x:c>
      <x:c r="E2485" s="25" t="n">
        <x:v>40686.35763888889</x:v>
      </x:c>
      <x:c r="F2485" s="2" t="n">
        <x:v>201</x:v>
      </x:c>
      <x:c r="G2485" s="2" t="n">
        <x:v>7</x:v>
      </x:c>
      <x:c r="H2485" s="11" t="n">
        <x:v>3959.86</x:v>
      </x:c>
      <x:c r="I2485" s="2" t="n">
        <x:v>2</x:v>
      </x:c>
      <x:c r="J2485" s="2" t="n">
        <x:v>4</x:v>
      </x:c>
      <x:c r="K2485" s="2" t="n">
        <x:v>5</x:v>
      </x:c>
      <x:c r="L2485" s="2" t="str">
        <x:v>At risk</x:v>
      </x:c>
    </x:row>
    <x:row r="2486" ht="22" customHeight="1">
      <x:c r="A2486" s="2"/>
      <x:c r="B2486" s="2" t="str">
        <x:v>14818</x:v>
      </x:c>
      <x:c r="C2486" s="2" t="str">
        <x:v>United Kingdom</x:v>
      </x:c>
      <x:c r="D2486" s="25" t="n">
        <x:v>40239.325</x:v>
      </x:c>
      <x:c r="E2486" s="25" t="n">
        <x:v>40813.25069444445</x:v>
      </x:c>
      <x:c r="F2486" s="2" t="n">
        <x:v>74</x:v>
      </x:c>
      <x:c r="G2486" s="2" t="n">
        <x:v>6</x:v>
      </x:c>
      <x:c r="H2486" s="11" t="n">
        <x:v>1170.41</x:v>
      </x:c>
      <x:c r="I2486" s="2" t="n">
        <x:v>3</x:v>
      </x:c>
      <x:c r="J2486" s="2" t="n">
        <x:v>4</x:v>
      </x:c>
      <x:c r="K2486" s="2" t="n">
        <x:v>3</x:v>
      </x:c>
      <x:c r="L2486" s="2" t="str">
        <x:v>Loyal</x:v>
      </x:c>
    </x:row>
    <x:row r="2487" ht="22" customHeight="1">
      <x:c r="A2487" s="2"/>
      <x:c r="B2487" s="2" t="str">
        <x:v>14819</x:v>
      </x:c>
      <x:c r="C2487" s="2" t="str">
        <x:v>United Kingdom</x:v>
      </x:c>
      <x:c r="D2487" s="25" t="n">
        <x:v>40168.45416666667</x:v>
      </x:c>
      <x:c r="E2487" s="25" t="n">
        <x:v>40822.361805555556</x:v>
      </x:c>
      <x:c r="F2487" s="2" t="n">
        <x:v>65</x:v>
      </x:c>
      <x:c r="G2487" s="2" t="n">
        <x:v>4</x:v>
      </x:c>
      <x:c r="H2487" s="11" t="n">
        <x:v>470.16</x:v>
      </x:c>
      <x:c r="I2487" s="2" t="n">
        <x:v>3</x:v>
      </x:c>
      <x:c r="J2487" s="2" t="n">
        <x:v>3</x:v>
      </x:c>
      <x:c r="K2487" s="2" t="n">
        <x:v>2</x:v>
      </x:c>
      <x:c r="L2487" s="2" t="str">
        <x:v>Loyal</x:v>
      </x:c>
    </x:row>
    <x:row r="2488" ht="22" customHeight="1">
      <x:c r="A2488" s="2"/>
      <x:c r="B2488" s="2" t="str">
        <x:v>14820</x:v>
      </x:c>
      <x:c r="C2488" s="2" t="str">
        <x:v>United Kingdom</x:v>
      </x:c>
      <x:c r="D2488" s="25" t="n">
        <x:v>40209.325694444444</x:v>
      </x:c>
      <x:c r="E2488" s="25" t="n">
        <x:v>40865.44513888889</x:v>
      </x:c>
      <x:c r="F2488" s="2" t="n">
        <x:v>22</x:v>
      </x:c>
      <x:c r="G2488" s="2" t="n">
        <x:v>9</x:v>
      </x:c>
      <x:c r="H2488" s="11" t="n">
        <x:v>1274.76</x:v>
      </x:c>
      <x:c r="I2488" s="2" t="n">
        <x:v>4</x:v>
      </x:c>
      <x:c r="J2488" s="2" t="n">
        <x:v>5</x:v>
      </x:c>
      <x:c r="K2488" s="2" t="n">
        <x:v>4</x:v>
      </x:c>
      <x:c r="L2488" s="2" t="str">
        <x:v>Champions</x:v>
      </x:c>
    </x:row>
    <x:row r="2489" ht="22" customHeight="1">
      <x:c r="A2489" s="2"/>
      <x:c r="B2489" s="2" t="str">
        <x:v>14821</x:v>
      </x:c>
      <x:c r="C2489" s="2" t="str">
        <x:v>United Kingdom</x:v>
      </x:c>
      <x:c r="D2489" s="25" t="n">
        <x:v>40210.35625</x:v>
      </x:c>
      <x:c r="E2489" s="25" t="n">
        <x:v>40520.154861111114</x:v>
      </x:c>
      <x:c r="F2489" s="2" t="n">
        <x:v>367</x:v>
      </x:c>
      <x:c r="G2489" s="2" t="n">
        <x:v>7</x:v>
      </x:c>
      <x:c r="H2489" s="11" t="n">
        <x:v>1237.65</x:v>
      </x:c>
      <x:c r="I2489" s="2" t="n">
        <x:v>2</x:v>
      </x:c>
      <x:c r="J2489" s="2" t="n">
        <x:v>4</x:v>
      </x:c>
      <x:c r="K2489" s="2" t="n">
        <x:v>4</x:v>
      </x:c>
      <x:c r="L2489" s="2" t="str">
        <x:v>At risk</x:v>
      </x:c>
    </x:row>
    <x:row r="2490" ht="22" customHeight="1">
      <x:c r="A2490" s="2"/>
      <x:c r="B2490" s="2" t="str">
        <x:v>14822</x:v>
      </x:c>
      <x:c r="C2490" s="2" t="str">
        <x:v>United Kingdom</x:v>
      </x:c>
      <x:c r="D2490" s="25" t="n">
        <x:v>40401.32777777778</x:v>
      </x:c>
      <x:c r="E2490" s="25" t="n">
        <x:v>40401.32777777778</x:v>
      </x:c>
      <x:c r="F2490" s="2" t="n">
        <x:v>486</x:v>
      </x:c>
      <x:c r="G2490" s="2" t="n">
        <x:v>1</x:v>
      </x:c>
      <x:c r="H2490" s="11" t="n">
        <x:v>157.7</x:v>
      </x:c>
      <x:c r="I2490" s="2" t="n">
        <x:v>1</x:v>
      </x:c>
      <x:c r="J2490" s="2" t="n">
        <x:v>1</x:v>
      </x:c>
      <x:c r="K2490" s="2" t="n">
        <x:v>1</x:v>
      </x:c>
      <x:c r="L2490" s="2" t="str">
        <x:v>Hibernating</x:v>
      </x:c>
    </x:row>
    <x:row r="2491" ht="22" customHeight="1">
      <x:c r="A2491" s="2"/>
      <x:c r="B2491" s="2" t="str">
        <x:v>14823</x:v>
      </x:c>
      <x:c r="C2491" s="2" t="str">
        <x:v>United Kingdom</x:v>
      </x:c>
      <x:c r="D2491" s="25" t="n">
        <x:v>40692.325</x:v>
      </x:c>
      <x:c r="E2491" s="25" t="n">
        <x:v>40706.34166666667</x:v>
      </x:c>
      <x:c r="F2491" s="2" t="n">
        <x:v>181</x:v>
      </x:c>
      <x:c r="G2491" s="2" t="n">
        <x:v>3</x:v>
      </x:c>
      <x:c r="H2491" s="11" t="n">
        <x:v>321.43</x:v>
      </x:c>
      <x:c r="I2491" s="2" t="n">
        <x:v>3</x:v>
      </x:c>
      <x:c r="J2491" s="2" t="n">
        <x:v>3</x:v>
      </x:c>
      <x:c r="K2491" s="2" t="n">
        <x:v>2</x:v>
      </x:c>
      <x:c r="L2491" s="2" t="str">
        <x:v>Loyal</x:v>
      </x:c>
    </x:row>
    <x:row r="2492" ht="22" customHeight="1">
      <x:c r="A2492" s="2"/>
      <x:c r="B2492" s="2" t="str">
        <x:v>14824</x:v>
      </x:c>
      <x:c r="C2492" s="2" t="str">
        <x:v>United Kingdom</x:v>
      </x:c>
      <x:c r="D2492" s="25" t="n">
        <x:v>40249.33819444444</x:v>
      </x:c>
      <x:c r="E2492" s="25" t="n">
        <x:v>40876.38888888889</x:v>
      </x:c>
      <x:c r="F2492" s="2" t="n">
        <x:v>11</x:v>
      </x:c>
      <x:c r="G2492" s="2" t="n">
        <x:v>10</x:v>
      </x:c>
      <x:c r="H2492" s="11" t="n">
        <x:v>4022.91</x:v>
      </x:c>
      <x:c r="I2492" s="2" t="n">
        <x:v>5</x:v>
      </x:c>
      <x:c r="J2492" s="2" t="n">
        <x:v>5</x:v>
      </x:c>
      <x:c r="K2492" s="2" t="n">
        <x:v>5</x:v>
      </x:c>
      <x:c r="L2492" s="2" t="str">
        <x:v>Champions</x:v>
      </x:c>
    </x:row>
    <x:row r="2493" ht="22" customHeight="1">
      <x:c r="A2493" s="2"/>
      <x:c r="B2493" s="2" t="str">
        <x:v>14825</x:v>
      </x:c>
      <x:c r="C2493" s="2" t="str">
        <x:v>United Kingdom</x:v>
      </x:c>
      <x:c r="D2493" s="25" t="n">
        <x:v>40274.384722222225</x:v>
      </x:c>
      <x:c r="E2493" s="25" t="n">
        <x:v>40883.27638888889</x:v>
      </x:c>
      <x:c r="F2493" s="2" t="n">
        <x:v>4</x:v>
      </x:c>
      <x:c r="G2493" s="2" t="n">
        <x:v>24</x:v>
      </x:c>
      <x:c r="H2493" s="11" t="n">
        <x:v>4740.98</x:v>
      </x:c>
      <x:c r="I2493" s="2" t="n">
        <x:v>5</x:v>
      </x:c>
      <x:c r="J2493" s="2" t="n">
        <x:v>5</x:v>
      </x:c>
      <x:c r="K2493" s="2" t="n">
        <x:v>5</x:v>
      </x:c>
      <x:c r="L2493" s="2" t="str">
        <x:v>Champions</x:v>
      </x:c>
    </x:row>
    <x:row r="2494" ht="22" customHeight="1">
      <x:c r="A2494" s="2"/>
      <x:c r="B2494" s="2" t="str">
        <x:v>14826</x:v>
      </x:c>
      <x:c r="C2494" s="2" t="str">
        <x:v>United Kingdom</x:v>
      </x:c>
      <x:c r="D2494" s="25" t="n">
        <x:v>40191.33888888889</x:v>
      </x:c>
      <x:c r="E2494" s="25" t="n">
        <x:v>40305.166666666664</x:v>
      </x:c>
      <x:c r="F2494" s="2" t="n">
        <x:v>582</x:v>
      </x:c>
      <x:c r="G2494" s="2" t="n">
        <x:v>2</x:v>
      </x:c>
      <x:c r="H2494" s="11" t="n">
        <x:v>385.2</x:v>
      </x:c>
      <x:c r="I2494" s="2" t="n">
        <x:v>1</x:v>
      </x:c>
      <x:c r="J2494" s="2" t="n">
        <x:v>2</x:v>
      </x:c>
      <x:c r="K2494" s="2" t="n">
        <x:v>2</x:v>
      </x:c>
      <x:c r="L2494" s="2" t="str">
        <x:v>Hibernating</x:v>
      </x:c>
    </x:row>
    <x:row r="2495" ht="22" customHeight="1">
      <x:c r="A2495" s="2"/>
      <x:c r="B2495" s="2" t="str">
        <x:v>14828</x:v>
      </x:c>
      <x:c r="C2495" s="2" t="str">
        <x:v>United Kingdom</x:v>
      </x:c>
      <x:c r="D2495" s="25" t="n">
        <x:v>40154.263194444444</x:v>
      </x:c>
      <x:c r="E2495" s="25" t="n">
        <x:v>40690.21944444445</x:v>
      </x:c>
      <x:c r="F2495" s="2" t="n">
        <x:v>197</x:v>
      </x:c>
      <x:c r="G2495" s="2" t="n">
        <x:v>13</x:v>
      </x:c>
      <x:c r="H2495" s="11" t="n">
        <x:v>9839.46</x:v>
      </x:c>
      <x:c r="I2495" s="2" t="n">
        <x:v>2</x:v>
      </x:c>
      <x:c r="J2495" s="2" t="n">
        <x:v>5</x:v>
      </x:c>
      <x:c r="K2495" s="2" t="n">
        <x:v>5</x:v>
      </x:c>
      <x:c r="L2495" s="2" t="str">
        <x:v>At risk</x:v>
      </x:c>
    </x:row>
    <x:row r="2496" ht="22" customHeight="1">
      <x:c r="A2496" s="2"/>
      <x:c r="B2496" s="2" t="str">
        <x:v>14829</x:v>
      </x:c>
      <x:c r="C2496" s="2" t="str">
        <x:v>United Kingdom</x:v>
      </x:c>
      <x:c r="D2496" s="25" t="n">
        <x:v>40450.34305555555</x:v>
      </x:c>
      <x:c r="E2496" s="25" t="n">
        <x:v>40857.46944444445</x:v>
      </x:c>
      <x:c r="F2496" s="2" t="n">
        <x:v>30</x:v>
      </x:c>
      <x:c r="G2496" s="2" t="n">
        <x:v>7</x:v>
      </x:c>
      <x:c r="H2496" s="11" t="n">
        <x:v>1455.87</x:v>
      </x:c>
      <x:c r="I2496" s="2" t="n">
        <x:v>4</x:v>
      </x:c>
      <x:c r="J2496" s="2" t="n">
        <x:v>4</x:v>
      </x:c>
      <x:c r="K2496" s="2" t="n">
        <x:v>4</x:v>
      </x:c>
      <x:c r="L2496" s="2" t="str">
        <x:v>Champions</x:v>
      </x:c>
    </x:row>
    <x:row r="2497" ht="22" customHeight="1">
      <x:c r="A2497" s="2"/>
      <x:c r="B2497" s="2" t="str">
        <x:v>14830</x:v>
      </x:c>
      <x:c r="C2497" s="2" t="str">
        <x:v>United Kingdom</x:v>
      </x:c>
      <x:c r="D2497" s="25" t="n">
        <x:v>40833.39513888889</x:v>
      </x:c>
      <x:c r="E2497" s="25" t="n">
        <x:v>40833.39513888889</x:v>
      </x:c>
      <x:c r="F2497" s="2" t="n">
        <x:v>54</x:v>
      </x:c>
      <x:c r="G2497" s="2" t="n">
        <x:v>1</x:v>
      </x:c>
      <x:c r="H2497" s="11" t="n">
        <x:v>197.13</x:v>
      </x:c>
      <x:c r="I2497" s="2" t="n">
        <x:v>4</x:v>
      </x:c>
      <x:c r="J2497" s="2" t="n">
        <x:v>1</x:v>
      </x:c>
      <x:c r="K2497" s="2" t="n">
        <x:v>1</x:v>
      </x:c>
      <x:c r="L2497" s="2" t="str">
        <x:v>Recent light buyers</x:v>
      </x:c>
    </x:row>
    <x:row r="2498" ht="22" customHeight="1">
      <x:c r="A2498" s="2"/>
      <x:c r="B2498" s="2" t="str">
        <x:v>14831</x:v>
      </x:c>
      <x:c r="C2498" s="2" t="str">
        <x:v>United Kingdom</x:v>
      </x:c>
      <x:c r="D2498" s="25" t="n">
        <x:v>40149.18125</x:v>
      </x:c>
      <x:c r="E2498" s="25" t="n">
        <x:v>40206.396527777775</x:v>
      </x:c>
      <x:c r="F2498" s="2" t="n">
        <x:v>681</x:v>
      </x:c>
      <x:c r="G2498" s="2" t="n">
        <x:v>3</x:v>
      </x:c>
      <x:c r="H2498" s="11" t="n">
        <x:v>1676.57</x:v>
      </x:c>
      <x:c r="I2498" s="2" t="n">
        <x:v>1</x:v>
      </x:c>
      <x:c r="J2498" s="2" t="n">
        <x:v>3</x:v>
      </x:c>
      <x:c r="K2498" s="2" t="n">
        <x:v>4</x:v>
      </x:c>
      <x:c r="L2498" s="2" t="str">
        <x:v>At risk</x:v>
      </x:c>
    </x:row>
    <x:row r="2499" ht="22" customHeight="1">
      <x:c r="A2499" s="2"/>
      <x:c r="B2499" s="2" t="str">
        <x:v>14832</x:v>
      </x:c>
      <x:c r="C2499" s="2" t="str">
        <x:v>United Kingdom</x:v>
      </x:c>
      <x:c r="D2499" s="25" t="n">
        <x:v>40256.42638888889</x:v>
      </x:c>
      <x:c r="E2499" s="25" t="n">
        <x:v>40256.42638888889</x:v>
      </x:c>
      <x:c r="F2499" s="2" t="n">
        <x:v>631</x:v>
      </x:c>
      <x:c r="G2499" s="2" t="n">
        <x:v>1</x:v>
      </x:c>
      <x:c r="H2499" s="11" t="n">
        <x:v>322.69</x:v>
      </x:c>
      <x:c r="I2499" s="2" t="n">
        <x:v>1</x:v>
      </x:c>
      <x:c r="J2499" s="2" t="n">
        <x:v>1</x:v>
      </x:c>
      <x:c r="K2499" s="2" t="n">
        <x:v>2</x:v>
      </x:c>
      <x:c r="L2499" s="2" t="str">
        <x:v>Hibernating</x:v>
      </x:c>
    </x:row>
    <x:row r="2500" ht="22" customHeight="1">
      <x:c r="A2500" s="2"/>
      <x:c r="B2500" s="2" t="str">
        <x:v>14833</x:v>
      </x:c>
      <x:c r="C2500" s="2" t="str">
        <x:v>United Kingdom</x:v>
      </x:c>
      <x:c r="D2500" s="25" t="n">
        <x:v>40388.2125</x:v>
      </x:c>
      <x:c r="E2500" s="25" t="n">
        <x:v>40388.2125</x:v>
      </x:c>
      <x:c r="F2500" s="2" t="n">
        <x:v>499</x:v>
      </x:c>
      <x:c r="G2500" s="2" t="n">
        <x:v>1</x:v>
      </x:c>
      <x:c r="H2500" s="11" t="n">
        <x:v>94.8</x:v>
      </x:c>
      <x:c r="I2500" s="2" t="n">
        <x:v>1</x:v>
      </x:c>
      <x:c r="J2500" s="2" t="n">
        <x:v>1</x:v>
      </x:c>
      <x:c r="K2500" s="2" t="n">
        <x:v>1</x:v>
      </x:c>
      <x:c r="L2500" s="2" t="str">
        <x:v>Hibernating</x:v>
      </x:c>
    </x:row>
    <x:row r="2501" ht="22" customHeight="1">
      <x:c r="A2501" s="2"/>
      <x:c r="B2501" s="2" t="str">
        <x:v>14834</x:v>
      </x:c>
      <x:c r="C2501" s="2" t="str">
        <x:v>United Kingdom</x:v>
      </x:c>
      <x:c r="D2501" s="25" t="n">
        <x:v>40479.52569444444</x:v>
      </x:c>
      <x:c r="E2501" s="25" t="n">
        <x:v>40869.229166666664</x:v>
      </x:c>
      <x:c r="F2501" s="2" t="n">
        <x:v>18</x:v>
      </x:c>
      <x:c r="G2501" s="2" t="n">
        <x:v>7</x:v>
      </x:c>
      <x:c r="H2501" s="11" t="n">
        <x:v>2206.16</x:v>
      </x:c>
      <x:c r="I2501" s="2" t="n">
        <x:v>5</x:v>
      </x:c>
      <x:c r="J2501" s="2" t="n">
        <x:v>4</x:v>
      </x:c>
      <x:c r="K2501" s="2" t="n">
        <x:v>4</x:v>
      </x:c>
      <x:c r="L2501" s="2" t="str">
        <x:v>Champions</x:v>
      </x:c>
    </x:row>
    <x:row r="2502" ht="22" customHeight="1">
      <x:c r="A2502" s="2"/>
      <x:c r="B2502" s="2" t="str">
        <x:v>14835</x:v>
      </x:c>
      <x:c r="C2502" s="2" t="str">
        <x:v>United Kingdom</x:v>
      </x:c>
      <x:c r="D2502" s="25" t="n">
        <x:v>40269.606944444444</x:v>
      </x:c>
      <x:c r="E2502" s="25" t="n">
        <x:v>40358.21388888889</x:v>
      </x:c>
      <x:c r="F2502" s="2" t="n">
        <x:v>529</x:v>
      </x:c>
      <x:c r="G2502" s="2" t="n">
        <x:v>2</x:v>
      </x:c>
      <x:c r="H2502" s="11" t="n">
        <x:v>297</x:v>
      </x:c>
      <x:c r="I2502" s="2" t="n">
        <x:v>1</x:v>
      </x:c>
      <x:c r="J2502" s="2" t="n">
        <x:v>2</x:v>
      </x:c>
      <x:c r="K2502" s="2" t="n">
        <x:v>2</x:v>
      </x:c>
      <x:c r="L2502" s="2" t="str">
        <x:v>Hibernating</x:v>
      </x:c>
    </x:row>
    <x:row r="2503" ht="22" customHeight="1">
      <x:c r="A2503" s="2"/>
      <x:c r="B2503" s="2" t="str">
        <x:v>14836</x:v>
      </x:c>
      <x:c r="C2503" s="2" t="str">
        <x:v>United Kingdom</x:v>
      </x:c>
      <x:c r="D2503" s="25" t="n">
        <x:v>40856.35138888889</x:v>
      </x:c>
      <x:c r="E2503" s="25" t="n">
        <x:v>40876.489583333336</x:v>
      </x:c>
      <x:c r="F2503" s="2" t="n">
        <x:v>11</x:v>
      </x:c>
      <x:c r="G2503" s="2" t="n">
        <x:v>3</x:v>
      </x:c>
      <x:c r="H2503" s="11" t="n">
        <x:v>102.45</x:v>
      </x:c>
      <x:c r="I2503" s="2" t="n">
        <x:v>5</x:v>
      </x:c>
      <x:c r="J2503" s="2" t="n">
        <x:v>3</x:v>
      </x:c>
      <x:c r="K2503" s="2" t="n">
        <x:v>1</x:v>
      </x:c>
      <x:c r="L2503" s="2" t="str">
        <x:v>Loyal</x:v>
      </x:c>
    </x:row>
    <x:row r="2504" ht="22" customHeight="1">
      <x:c r="A2504" s="2"/>
      <x:c r="B2504" s="2" t="str">
        <x:v>14837</x:v>
      </x:c>
      <x:c r="C2504" s="2" t="str">
        <x:v>United Kingdom</x:v>
      </x:c>
      <x:c r="D2504" s="25" t="n">
        <x:v>40202.22222222222</x:v>
      </x:c>
      <x:c r="E2504" s="25" t="n">
        <x:v>40797.248611111114</x:v>
      </x:c>
      <x:c r="F2504" s="2" t="n">
        <x:v>90</x:v>
      </x:c>
      <x:c r="G2504" s="2" t="n">
        <x:v>9</x:v>
      </x:c>
      <x:c r="H2504" s="11" t="n">
        <x:v>3460.32</x:v>
      </x:c>
      <x:c r="I2504" s="2" t="n">
        <x:v>3</x:v>
      </x:c>
      <x:c r="J2504" s="2" t="n">
        <x:v>5</x:v>
      </x:c>
      <x:c r="K2504" s="2" t="n">
        <x:v>5</x:v>
      </x:c>
      <x:c r="L2504" s="2" t="str">
        <x:v>Loyal</x:v>
      </x:c>
    </x:row>
    <x:row r="2505" ht="22" customHeight="1">
      <x:c r="A2505" s="2"/>
      <x:c r="B2505" s="2" t="str">
        <x:v>14838</x:v>
      </x:c>
      <x:c r="C2505" s="2" t="str">
        <x:v>United Kingdom</x:v>
      </x:c>
      <x:c r="D2505" s="25" t="n">
        <x:v>40150.20277777778</x:v>
      </x:c>
      <x:c r="E2505" s="25" t="n">
        <x:v>40463.44861111111</x:v>
      </x:c>
      <x:c r="F2505" s="2" t="n">
        <x:v>424</x:v>
      </x:c>
      <x:c r="G2505" s="2" t="n">
        <x:v>2</x:v>
      </x:c>
      <x:c r="H2505" s="11" t="n">
        <x:v>773.67</x:v>
      </x:c>
      <x:c r="I2505" s="2" t="n">
        <x:v>1</x:v>
      </x:c>
      <x:c r="J2505" s="2" t="n">
        <x:v>2</x:v>
      </x:c>
      <x:c r="K2505" s="2" t="n">
        <x:v>3</x:v>
      </x:c>
      <x:c r="L2505" s="2" t="str">
        <x:v>Hibernating</x:v>
      </x:c>
    </x:row>
    <x:row r="2506" ht="22" customHeight="1">
      <x:c r="A2506" s="2"/>
      <x:c r="B2506" s="2" t="str">
        <x:v>14839</x:v>
      </x:c>
      <x:c r="C2506" s="2" t="str">
        <x:v>United Kingdom</x:v>
      </x:c>
      <x:c r="D2506" s="25" t="n">
        <x:v>40182.478472222225</x:v>
      </x:c>
      <x:c r="E2506" s="25" t="n">
        <x:v>40468.334027777775</x:v>
      </x:c>
      <x:c r="F2506" s="2" t="n">
        <x:v>419</x:v>
      </x:c>
      <x:c r="G2506" s="2" t="n">
        <x:v>3</x:v>
      </x:c>
      <x:c r="H2506" s="11" t="n">
        <x:v>915.28</x:v>
      </x:c>
      <x:c r="I2506" s="2" t="n">
        <x:v>1</x:v>
      </x:c>
      <x:c r="J2506" s="2" t="n">
        <x:v>3</x:v>
      </x:c>
      <x:c r="K2506" s="2" t="n">
        <x:v>3</x:v>
      </x:c>
      <x:c r="L2506" s="2" t="str">
        <x:v>At risk</x:v>
      </x:c>
    </x:row>
    <x:row r="2507" ht="22" customHeight="1">
      <x:c r="A2507" s="2"/>
      <x:c r="B2507" s="2" t="str">
        <x:v>14840</x:v>
      </x:c>
      <x:c r="C2507" s="2" t="str">
        <x:v>United Kingdom</x:v>
      </x:c>
      <x:c r="D2507" s="25" t="n">
        <x:v>40347.44583333333</x:v>
      </x:c>
      <x:c r="E2507" s="25" t="n">
        <x:v>40619.291666666664</x:v>
      </x:c>
      <x:c r="F2507" s="2" t="n">
        <x:v>268</x:v>
      </x:c>
      <x:c r="G2507" s="2" t="n">
        <x:v>2</x:v>
      </x:c>
      <x:c r="H2507" s="11" t="n">
        <x:v>362.71</x:v>
      </x:c>
      <x:c r="I2507" s="2" t="n">
        <x:v>2</x:v>
      </x:c>
      <x:c r="J2507" s="2" t="n">
        <x:v>2</x:v>
      </x:c>
      <x:c r="K2507" s="2" t="n">
        <x:v>2</x:v>
      </x:c>
      <x:c r="L2507" s="2" t="str">
        <x:v>Hibernating</x:v>
      </x:c>
    </x:row>
    <x:row r="2508" ht="22" customHeight="1">
      <x:c r="A2508" s="2"/>
      <x:c r="B2508" s="2" t="str">
        <x:v>14841</x:v>
      </x:c>
      <x:c r="C2508" s="2" t="str">
        <x:v>United Kingdom</x:v>
      </x:c>
      <x:c r="D2508" s="25" t="n">
        <x:v>40149.49236111111</x:v>
      </x:c>
      <x:c r="E2508" s="25" t="n">
        <x:v>40833.41875</x:v>
      </x:c>
      <x:c r="F2508" s="2" t="n">
        <x:v>54</x:v>
      </x:c>
      <x:c r="G2508" s="2" t="n">
        <x:v>14</x:v>
      </x:c>
      <x:c r="H2508" s="11" t="n">
        <x:v>7163</x:v>
      </x:c>
      <x:c r="I2508" s="2" t="n">
        <x:v>4</x:v>
      </x:c>
      <x:c r="J2508" s="2" t="n">
        <x:v>5</x:v>
      </x:c>
      <x:c r="K2508" s="2" t="n">
        <x:v>5</x:v>
      </x:c>
      <x:c r="L2508" s="2" t="str">
        <x:v>Champions</x:v>
      </x:c>
    </x:row>
    <x:row r="2509" ht="22" customHeight="1">
      <x:c r="A2509" s="2"/>
      <x:c r="B2509" s="2" t="str">
        <x:v>14842</x:v>
      </x:c>
      <x:c r="C2509" s="2" t="str">
        <x:v>United Kingdom</x:v>
      </x:c>
      <x:c r="D2509" s="25" t="n">
        <x:v>40578.438888888886</x:v>
      </x:c>
      <x:c r="E2509" s="25" t="n">
        <x:v>40843.31736111111</x:v>
      </x:c>
      <x:c r="F2509" s="2" t="n">
        <x:v>44</x:v>
      </x:c>
      <x:c r="G2509" s="2" t="n">
        <x:v>4</x:v>
      </x:c>
      <x:c r="H2509" s="11" t="n">
        <x:v>2824.69</x:v>
      </x:c>
      <x:c r="I2509" s="2" t="n">
        <x:v>4</x:v>
      </x:c>
      <x:c r="J2509" s="2" t="n">
        <x:v>3</x:v>
      </x:c>
      <x:c r="K2509" s="2" t="n">
        <x:v>4</x:v>
      </x:c>
      <x:c r="L2509" s="2" t="str">
        <x:v>Loyal</x:v>
      </x:c>
    </x:row>
    <x:row r="2510" ht="22" customHeight="1">
      <x:c r="A2510" s="2"/>
      <x:c r="B2510" s="2" t="str">
        <x:v>14843</x:v>
      </x:c>
      <x:c r="C2510" s="2" t="str">
        <x:v>United Kingdom</x:v>
      </x:c>
      <x:c r="D2510" s="25" t="n">
        <x:v>40450.31875</x:v>
      </x:c>
      <x:c r="E2510" s="25" t="n">
        <x:v>40450.31875</x:v>
      </x:c>
      <x:c r="F2510" s="2" t="n">
        <x:v>437</x:v>
      </x:c>
      <x:c r="G2510" s="2" t="n">
        <x:v>1</x:v>
      </x:c>
      <x:c r="H2510" s="11" t="n">
        <x:v>211.8</x:v>
      </x:c>
      <x:c r="I2510" s="2" t="n">
        <x:v>1</x:v>
      </x:c>
      <x:c r="J2510" s="2" t="n">
        <x:v>1</x:v>
      </x:c>
      <x:c r="K2510" s="2" t="n">
        <x:v>1</x:v>
      </x:c>
      <x:c r="L2510" s="2" t="str">
        <x:v>Hibernating</x:v>
      </x:c>
    </x:row>
    <x:row r="2511" ht="22" customHeight="1">
      <x:c r="A2511" s="2"/>
      <x:c r="B2511" s="2" t="str">
        <x:v>14844</x:v>
      </x:c>
      <x:c r="C2511" s="2" t="str">
        <x:v>United Kingdom</x:v>
      </x:c>
      <x:c r="D2511" s="25" t="n">
        <x:v>40280.32638888889</x:v>
      </x:c>
      <x:c r="E2511" s="25" t="n">
        <x:v>40823.236805555556</x:v>
      </x:c>
      <x:c r="F2511" s="2" t="n">
        <x:v>64</x:v>
      </x:c>
      <x:c r="G2511" s="2" t="n">
        <x:v>10</x:v>
      </x:c>
      <x:c r="H2511" s="11" t="n">
        <x:v>6702.43</x:v>
      </x:c>
      <x:c r="I2511" s="2" t="n">
        <x:v>3</x:v>
      </x:c>
      <x:c r="J2511" s="2" t="n">
        <x:v>5</x:v>
      </x:c>
      <x:c r="K2511" s="2" t="n">
        <x:v>5</x:v>
      </x:c>
      <x:c r="L2511" s="2" t="str">
        <x:v>Loyal</x:v>
      </x:c>
    </x:row>
    <x:row r="2512" ht="22" customHeight="1">
      <x:c r="A2512" s="2"/>
      <x:c r="B2512" s="2" t="str">
        <x:v>14845</x:v>
      </x:c>
      <x:c r="C2512" s="2" t="str">
        <x:v>United Kingdom</x:v>
      </x:c>
      <x:c r="D2512" s="25" t="n">
        <x:v>40287.22152777778</x:v>
      </x:c>
      <x:c r="E2512" s="25" t="n">
        <x:v>40287.22152777778</x:v>
      </x:c>
      <x:c r="F2512" s="2" t="n">
        <x:v>600</x:v>
      </x:c>
      <x:c r="G2512" s="2" t="n">
        <x:v>1</x:v>
      </x:c>
      <x:c r="H2512" s="11" t="n">
        <x:v>150</x:v>
      </x:c>
      <x:c r="I2512" s="2" t="n">
        <x:v>1</x:v>
      </x:c>
      <x:c r="J2512" s="2" t="n">
        <x:v>1</x:v>
      </x:c>
      <x:c r="K2512" s="2" t="n">
        <x:v>1</x:v>
      </x:c>
      <x:c r="L2512" s="2" t="str">
        <x:v>Hibernating</x:v>
      </x:c>
    </x:row>
    <x:row r="2513" ht="22" customHeight="1">
      <x:c r="A2513" s="2"/>
      <x:c r="B2513" s="2" t="str">
        <x:v>14846</x:v>
      </x:c>
      <x:c r="C2513" s="2" t="str">
        <x:v>United Kingdom</x:v>
      </x:c>
      <x:c r="D2513" s="25" t="n">
        <x:v>40459.50486111111</x:v>
      </x:c>
      <x:c r="E2513" s="25" t="n">
        <x:v>40459.50486111111</x:v>
      </x:c>
      <x:c r="F2513" s="2" t="n">
        <x:v>428</x:v>
      </x:c>
      <x:c r="G2513" s="2" t="n">
        <x:v>1</x:v>
      </x:c>
      <x:c r="H2513" s="11" t="n">
        <x:v>437.4</x:v>
      </x:c>
      <x:c r="I2513" s="2" t="n">
        <x:v>1</x:v>
      </x:c>
      <x:c r="J2513" s="2" t="n">
        <x:v>1</x:v>
      </x:c>
      <x:c r="K2513" s="2" t="n">
        <x:v>2</x:v>
      </x:c>
      <x:c r="L2513" s="2" t="str">
        <x:v>Hibernating</x:v>
      </x:c>
    </x:row>
    <x:row r="2514" ht="22" customHeight="1">
      <x:c r="A2514" s="2"/>
      <x:c r="B2514" s="2" t="str">
        <x:v>14847</x:v>
      </x:c>
      <x:c r="C2514" s="2" t="str">
        <x:v>United Kingdom</x:v>
      </x:c>
      <x:c r="D2514" s="25" t="n">
        <x:v>40322.31180555555</x:v>
      </x:c>
      <x:c r="E2514" s="25" t="n">
        <x:v>40738.24444444444</x:v>
      </x:c>
      <x:c r="F2514" s="2" t="n">
        <x:v>149</x:v>
      </x:c>
      <x:c r="G2514" s="2" t="n">
        <x:v>3</x:v>
      </x:c>
      <x:c r="H2514" s="11" t="n">
        <x:v>1348.95</x:v>
      </x:c>
      <x:c r="I2514" s="2" t="n">
        <x:v>3</x:v>
      </x:c>
      <x:c r="J2514" s="2" t="n">
        <x:v>3</x:v>
      </x:c>
      <x:c r="K2514" s="2" t="n">
        <x:v>4</x:v>
      </x:c>
      <x:c r="L2514" s="2" t="str">
        <x:v>Loyal</x:v>
      </x:c>
    </x:row>
    <x:row r="2515" ht="22" customHeight="1">
      <x:c r="A2515" s="2"/>
      <x:c r="B2515" s="2" t="str">
        <x:v>14848</x:v>
      </x:c>
      <x:c r="C2515" s="2" t="str">
        <x:v>United Kingdom</x:v>
      </x:c>
      <x:c r="D2515" s="25" t="n">
        <x:v>40482.30694444444</x:v>
      </x:c>
      <x:c r="E2515" s="25" t="n">
        <x:v>40482.30694444444</x:v>
      </x:c>
      <x:c r="F2515" s="2" t="n">
        <x:v>405</x:v>
      </x:c>
      <x:c r="G2515" s="2" t="n">
        <x:v>1</x:v>
      </x:c>
      <x:c r="H2515" s="11" t="n">
        <x:v>310.56</x:v>
      </x:c>
      <x:c r="I2515" s="2" t="n">
        <x:v>2</x:v>
      </x:c>
      <x:c r="J2515" s="2" t="n">
        <x:v>1</x:v>
      </x:c>
      <x:c r="K2515" s="2" t="n">
        <x:v>2</x:v>
      </x:c>
      <x:c r="L2515" s="2" t="str">
        <x:v>Hibernating</x:v>
      </x:c>
    </x:row>
    <x:row r="2516" ht="22" customHeight="1">
      <x:c r="A2516" s="2"/>
      <x:c r="B2516" s="2" t="str">
        <x:v>14849</x:v>
      </x:c>
      <x:c r="C2516" s="2" t="str">
        <x:v>United Kingdom</x:v>
      </x:c>
      <x:c r="D2516" s="25" t="n">
        <x:v>40188.27777777778</x:v>
      </x:c>
      <x:c r="E2516" s="25" t="n">
        <x:v>40865.248611111114</x:v>
      </x:c>
      <x:c r="F2516" s="2" t="n">
        <x:v>22</x:v>
      </x:c>
      <x:c r="G2516" s="2" t="n">
        <x:v>43</x:v>
      </x:c>
      <x:c r="H2516" s="11" t="n">
        <x:v>15407.61</x:v>
      </x:c>
      <x:c r="I2516" s="2" t="n">
        <x:v>4</x:v>
      </x:c>
      <x:c r="J2516" s="2" t="n">
        <x:v>5</x:v>
      </x:c>
      <x:c r="K2516" s="2" t="n">
        <x:v>5</x:v>
      </x:c>
      <x:c r="L2516" s="2" t="str">
        <x:v>Champions</x:v>
      </x:c>
    </x:row>
    <x:row r="2517" ht="22" customHeight="1">
      <x:c r="A2517" s="2"/>
      <x:c r="B2517" s="2" t="str">
        <x:v>14850</x:v>
      </x:c>
      <x:c r="C2517" s="2" t="str">
        <x:v>United Kingdom</x:v>
      </x:c>
      <x:c r="D2517" s="25" t="n">
        <x:v>40318.35277777778</x:v>
      </x:c>
      <x:c r="E2517" s="25" t="n">
        <x:v>40575.26458333333</x:v>
      </x:c>
      <x:c r="F2517" s="2" t="n">
        <x:v>312</x:v>
      </x:c>
      <x:c r="G2517" s="2" t="n">
        <x:v>7</x:v>
      </x:c>
      <x:c r="H2517" s="11" t="n">
        <x:v>1794.01</x:v>
      </x:c>
      <x:c r="I2517" s="2" t="n">
        <x:v>2</x:v>
      </x:c>
      <x:c r="J2517" s="2" t="n">
        <x:v>4</x:v>
      </x:c>
      <x:c r="K2517" s="2" t="n">
        <x:v>4</x:v>
      </x:c>
      <x:c r="L2517" s="2" t="str">
        <x:v>At risk</x:v>
      </x:c>
    </x:row>
    <x:row r="2518" ht="22" customHeight="1">
      <x:c r="A2518" s="2"/>
      <x:c r="B2518" s="2" t="str">
        <x:v>14851</x:v>
      </x:c>
      <x:c r="C2518" s="2" t="str">
        <x:v>United Kingdom</x:v>
      </x:c>
      <x:c r="D2518" s="25" t="n">
        <x:v>40256.28611111111</x:v>
      </x:c>
      <x:c r="E2518" s="25" t="n">
        <x:v>40863.38888888889</x:v>
      </x:c>
      <x:c r="F2518" s="2" t="n">
        <x:v>24</x:v>
      </x:c>
      <x:c r="G2518" s="2" t="n">
        <x:v>3</x:v>
      </x:c>
      <x:c r="H2518" s="11" t="n">
        <x:v>829.41</x:v>
      </x:c>
      <x:c r="I2518" s="2" t="n">
        <x:v>4</x:v>
      </x:c>
      <x:c r="J2518" s="2" t="n">
        <x:v>3</x:v>
      </x:c>
      <x:c r="K2518" s="2" t="n">
        <x:v>3</x:v>
      </x:c>
      <x:c r="L2518" s="2" t="str">
        <x:v>Loyal</x:v>
      </x:c>
    </x:row>
    <x:row r="2519" ht="22" customHeight="1">
      <x:c r="A2519" s="2"/>
      <x:c r="B2519" s="2" t="str">
        <x:v>14852</x:v>
      </x:c>
      <x:c r="C2519" s="2" t="str">
        <x:v>United Kingdom</x:v>
      </x:c>
      <x:c r="D2519" s="25" t="n">
        <x:v>40242.410416666666</x:v>
      </x:c>
      <x:c r="E2519" s="25" t="n">
        <x:v>40828.34722222222</x:v>
      </x:c>
      <x:c r="F2519" s="2" t="n">
        <x:v>59</x:v>
      </x:c>
      <x:c r="G2519" s="2" t="n">
        <x:v>18</x:v>
      </x:c>
      <x:c r="H2519" s="11" t="n">
        <x:v>6147.18</x:v>
      </x:c>
      <x:c r="I2519" s="2" t="n">
        <x:v>4</x:v>
      </x:c>
      <x:c r="J2519" s="2" t="n">
        <x:v>5</x:v>
      </x:c>
      <x:c r="K2519" s="2" t="n">
        <x:v>5</x:v>
      </x:c>
      <x:c r="L2519" s="2" t="str">
        <x:v>Champions</x:v>
      </x:c>
    </x:row>
    <x:row r="2520" ht="22" customHeight="1">
      <x:c r="A2520" s="2"/>
      <x:c r="B2520" s="2" t="str">
        <x:v>14853</x:v>
      </x:c>
      <x:c r="C2520" s="2" t="str">
        <x:v>United Kingdom</x:v>
      </x:c>
      <x:c r="D2520" s="25" t="n">
        <x:v>40281.18472222222</x:v>
      </x:c>
      <x:c r="E2520" s="25" t="n">
        <x:v>40862.49722222222</x:v>
      </x:c>
      <x:c r="F2520" s="2" t="n">
        <x:v>25</x:v>
      </x:c>
      <x:c r="G2520" s="2" t="n">
        <x:v>5</x:v>
      </x:c>
      <x:c r="H2520" s="11" t="n">
        <x:v>1376.87</x:v>
      </x:c>
      <x:c r="I2520" s="2" t="n">
        <x:v>4</x:v>
      </x:c>
      <x:c r="J2520" s="2" t="n">
        <x:v>4</x:v>
      </x:c>
      <x:c r="K2520" s="2" t="n">
        <x:v>4</x:v>
      </x:c>
      <x:c r="L2520" s="2" t="str">
        <x:v>Champions</x:v>
      </x:c>
    </x:row>
    <x:row r="2521" ht="22" customHeight="1">
      <x:c r="A2521" s="2"/>
      <x:c r="B2521" s="2" t="str">
        <x:v>14854</x:v>
      </x:c>
      <x:c r="C2521" s="2" t="str">
        <x:v>United Kingdom</x:v>
      </x:c>
      <x:c r="D2521" s="25" t="n">
        <x:v>40200.2</x:v>
      </x:c>
      <x:c r="E2521" s="25" t="n">
        <x:v>40808.5</x:v>
      </x:c>
      <x:c r="F2521" s="2" t="n">
        <x:v>79</x:v>
      </x:c>
      <x:c r="G2521" s="2" t="n">
        <x:v>11</x:v>
      </x:c>
      <x:c r="H2521" s="11" t="n">
        <x:v>4322.86</x:v>
      </x:c>
      <x:c r="I2521" s="2" t="n">
        <x:v>3</x:v>
      </x:c>
      <x:c r="J2521" s="2" t="n">
        <x:v>5</x:v>
      </x:c>
      <x:c r="K2521" s="2" t="n">
        <x:v>5</x:v>
      </x:c>
      <x:c r="L2521" s="2" t="str">
        <x:v>Loyal</x:v>
      </x:c>
    </x:row>
    <x:row r="2522" ht="22" customHeight="1">
      <x:c r="A2522" s="2"/>
      <x:c r="B2522" s="2" t="str">
        <x:v>14855</x:v>
      </x:c>
      <x:c r="C2522" s="2" t="str">
        <x:v>United Kingdom</x:v>
      </x:c>
      <x:c r="D2522" s="25" t="n">
        <x:v>40276.229166666664</x:v>
      </x:c>
      <x:c r="E2522" s="25" t="n">
        <x:v>40767.376388888886</x:v>
      </x:c>
      <x:c r="F2522" s="2" t="n">
        <x:v>120</x:v>
      </x:c>
      <x:c r="G2522" s="2" t="n">
        <x:v>7</x:v>
      </x:c>
      <x:c r="H2522" s="11" t="n">
        <x:v>6520.3</x:v>
      </x:c>
      <x:c r="I2522" s="2" t="n">
        <x:v>3</x:v>
      </x:c>
      <x:c r="J2522" s="2" t="n">
        <x:v>4</x:v>
      </x:c>
      <x:c r="K2522" s="2" t="n">
        <x:v>5</x:v>
      </x:c>
      <x:c r="L2522" s="2" t="str">
        <x:v>Loyal</x:v>
      </x:c>
    </x:row>
    <x:row r="2523" ht="22" customHeight="1">
      <x:c r="A2523" s="2"/>
      <x:c r="B2523" s="2" t="str">
        <x:v>14856</x:v>
      </x:c>
      <x:c r="C2523" s="2" t="str">
        <x:v>United Kingdom</x:v>
      </x:c>
      <x:c r="D2523" s="25" t="n">
        <x:v>40830.19097222222</x:v>
      </x:c>
      <x:c r="E2523" s="25" t="n">
        <x:v>40850.41180555556</x:v>
      </x:c>
      <x:c r="F2523" s="2" t="n">
        <x:v>37</x:v>
      </x:c>
      <x:c r="G2523" s="2" t="n">
        <x:v>3</x:v>
      </x:c>
      <x:c r="H2523" s="11" t="n">
        <x:v>1311.38</x:v>
      </x:c>
      <x:c r="I2523" s="2" t="n">
        <x:v>4</x:v>
      </x:c>
      <x:c r="J2523" s="2" t="n">
        <x:v>3</x:v>
      </x:c>
      <x:c r="K2523" s="2" t="n">
        <x:v>4</x:v>
      </x:c>
      <x:c r="L2523" s="2" t="str">
        <x:v>Loyal</x:v>
      </x:c>
    </x:row>
    <x:row r="2524" ht="22" customHeight="1">
      <x:c r="A2524" s="2"/>
      <x:c r="B2524" s="2" t="str">
        <x:v>14857</x:v>
      </x:c>
      <x:c r="C2524" s="2" t="str">
        <x:v>United Kingdom</x:v>
      </x:c>
      <x:c r="D2524" s="25" t="n">
        <x:v>40252.25</x:v>
      </x:c>
      <x:c r="E2524" s="25" t="n">
        <x:v>40827.18263888889</x:v>
      </x:c>
      <x:c r="F2524" s="2" t="n">
        <x:v>60</x:v>
      </x:c>
      <x:c r="G2524" s="2" t="n">
        <x:v>7</x:v>
      </x:c>
      <x:c r="H2524" s="11" t="n">
        <x:v>3651.851</x:v>
      </x:c>
      <x:c r="I2524" s="2" t="n">
        <x:v>3</x:v>
      </x:c>
      <x:c r="J2524" s="2" t="n">
        <x:v>4</x:v>
      </x:c>
      <x:c r="K2524" s="2" t="n">
        <x:v>5</x:v>
      </x:c>
      <x:c r="L2524" s="2" t="str">
        <x:v>Loyal</x:v>
      </x:c>
    </x:row>
    <x:row r="2525" ht="22" customHeight="1">
      <x:c r="A2525" s="2"/>
      <x:c r="B2525" s="2" t="str">
        <x:v>14858</x:v>
      </x:c>
      <x:c r="C2525" s="2" t="str">
        <x:v>United Kingdom</x:v>
      </x:c>
      <x:c r="D2525" s="25" t="n">
        <x:v>40381.24375</x:v>
      </x:c>
      <x:c r="E2525" s="25" t="n">
        <x:v>40381.24375</x:v>
      </x:c>
      <x:c r="F2525" s="2" t="n">
        <x:v>506</x:v>
      </x:c>
      <x:c r="G2525" s="2" t="n">
        <x:v>1</x:v>
      </x:c>
      <x:c r="H2525" s="11" t="n">
        <x:v>180.75</x:v>
      </x:c>
      <x:c r="I2525" s="2" t="n">
        <x:v>1</x:v>
      </x:c>
      <x:c r="J2525" s="2" t="n">
        <x:v>1</x:v>
      </x:c>
      <x:c r="K2525" s="2" t="n">
        <x:v>1</x:v>
      </x:c>
      <x:c r="L2525" s="2" t="str">
        <x:v>Hibernating</x:v>
      </x:c>
    </x:row>
    <x:row r="2526" ht="22" customHeight="1">
      <x:c r="A2526" s="2"/>
      <x:c r="B2526" s="2" t="str">
        <x:v>14859</x:v>
      </x:c>
      <x:c r="C2526" s="2" t="str">
        <x:v>United Kingdom</x:v>
      </x:c>
      <x:c r="D2526" s="25" t="n">
        <x:v>40332.22638888889</x:v>
      </x:c>
      <x:c r="E2526" s="25" t="n">
        <x:v>40874.2625</x:v>
      </x:c>
      <x:c r="F2526" s="2" t="n">
        <x:v>13</x:v>
      </x:c>
      <x:c r="G2526" s="2" t="n">
        <x:v>5</x:v>
      </x:c>
      <x:c r="H2526" s="11" t="n">
        <x:v>1705.64</x:v>
      </x:c>
      <x:c r="I2526" s="2" t="n">
        <x:v>5</x:v>
      </x:c>
      <x:c r="J2526" s="2" t="n">
        <x:v>4</x:v>
      </x:c>
      <x:c r="K2526" s="2" t="n">
        <x:v>4</x:v>
      </x:c>
      <x:c r="L2526" s="2" t="str">
        <x:v>Champions</x:v>
      </x:c>
    </x:row>
    <x:row r="2527" ht="22" customHeight="1">
      <x:c r="A2527" s="2"/>
      <x:c r="B2527" s="2" t="str">
        <x:v>14860</x:v>
      </x:c>
      <x:c r="C2527" s="2" t="str">
        <x:v>United Kingdom</x:v>
      </x:c>
      <x:c r="D2527" s="25" t="n">
        <x:v>40867.38680555556</x:v>
      </x:c>
      <x:c r="E2527" s="25" t="n">
        <x:v>40867.38680555556</x:v>
      </x:c>
      <x:c r="F2527" s="2" t="n">
        <x:v>20</x:v>
      </x:c>
      <x:c r="G2527" s="2" t="n">
        <x:v>1</x:v>
      </x:c>
      <x:c r="H2527" s="11" t="n">
        <x:v>170.32</x:v>
      </x:c>
      <x:c r="I2527" s="2" t="n">
        <x:v>5</x:v>
      </x:c>
      <x:c r="J2527" s="2" t="n">
        <x:v>1</x:v>
      </x:c>
      <x:c r="K2527" s="2" t="n">
        <x:v>1</x:v>
      </x:c>
      <x:c r="L2527" s="2" t="str">
        <x:v>Recent light buyers</x:v>
      </x:c>
    </x:row>
    <x:row r="2528" ht="22" customHeight="1">
      <x:c r="A2528" s="2"/>
      <x:c r="B2528" s="2" t="str">
        <x:v>14861</x:v>
      </x:c>
      <x:c r="C2528" s="2" t="str">
        <x:v>United Kingdom</x:v>
      </x:c>
      <x:c r="D2528" s="25" t="n">
        <x:v>40155.3</x:v>
      </x:c>
      <x:c r="E2528" s="25" t="n">
        <x:v>40834.32916666667</x:v>
      </x:c>
      <x:c r="F2528" s="2" t="n">
        <x:v>53</x:v>
      </x:c>
      <x:c r="G2528" s="2" t="n">
        <x:v>10</x:v>
      </x:c>
      <x:c r="H2528" s="11" t="n">
        <x:v>1380.73</x:v>
      </x:c>
      <x:c r="I2528" s="2" t="n">
        <x:v>4</x:v>
      </x:c>
      <x:c r="J2528" s="2" t="n">
        <x:v>5</x:v>
      </x:c>
      <x:c r="K2528" s="2" t="n">
        <x:v>4</x:v>
      </x:c>
      <x:c r="L2528" s="2" t="str">
        <x:v>Champions</x:v>
      </x:c>
    </x:row>
    <x:row r="2529" ht="22" customHeight="1">
      <x:c r="A2529" s="2"/>
      <x:c r="B2529" s="2" t="str">
        <x:v>14862</x:v>
      </x:c>
      <x:c r="C2529" s="2" t="str">
        <x:v>United Kingdom</x:v>
      </x:c>
      <x:c r="D2529" s="25" t="n">
        <x:v>40738.26388888889</x:v>
      </x:c>
      <x:c r="E2529" s="25" t="n">
        <x:v>40861.209027777775</x:v>
      </x:c>
      <x:c r="F2529" s="2" t="n">
        <x:v>26</x:v>
      </x:c>
      <x:c r="G2529" s="2" t="n">
        <x:v>2</x:v>
      </x:c>
      <x:c r="H2529" s="11" t="n">
        <x:v>841.2</x:v>
      </x:c>
      <x:c r="I2529" s="2" t="n">
        <x:v>4</x:v>
      </x:c>
      <x:c r="J2529" s="2" t="n">
        <x:v>2</x:v>
      </x:c>
      <x:c r="K2529" s="2" t="n">
        <x:v>3</x:v>
      </x:c>
      <x:c r="L2529" s="2" t="str">
        <x:v>Recent light buyers</x:v>
      </x:c>
    </x:row>
    <x:row r="2530" ht="22" customHeight="1">
      <x:c r="A2530" s="2"/>
      <x:c r="B2530" s="2" t="str">
        <x:v>14863</x:v>
      </x:c>
      <x:c r="C2530" s="2" t="str">
        <x:v>United Kingdom</x:v>
      </x:c>
      <x:c r="D2530" s="25" t="n">
        <x:v>40857.419444444444</x:v>
      </x:c>
      <x:c r="E2530" s="25" t="n">
        <x:v>40857.419444444444</x:v>
      </x:c>
      <x:c r="F2530" s="2" t="n">
        <x:v>30</x:v>
      </x:c>
      <x:c r="G2530" s="2" t="n">
        <x:v>1</x:v>
      </x:c>
      <x:c r="H2530" s="11" t="n">
        <x:v>266.76</x:v>
      </x:c>
      <x:c r="I2530" s="2" t="n">
        <x:v>4</x:v>
      </x:c>
      <x:c r="J2530" s="2" t="n">
        <x:v>1</x:v>
      </x:c>
      <x:c r="K2530" s="2" t="n">
        <x:v>1</x:v>
      </x:c>
      <x:c r="L2530" s="2" t="str">
        <x:v>Recent light buyers</x:v>
      </x:c>
    </x:row>
    <x:row r="2531" ht="22" customHeight="1">
      <x:c r="A2531" s="2"/>
      <x:c r="B2531" s="2" t="str">
        <x:v>14865</x:v>
      </x:c>
      <x:c r="C2531" s="2" t="str">
        <x:v>United Kingdom</x:v>
      </x:c>
      <x:c r="D2531" s="25" t="n">
        <x:v>40148.461805555555</x:v>
      </x:c>
      <x:c r="E2531" s="25" t="n">
        <x:v>40879.475694444445</x:v>
      </x:c>
      <x:c r="F2531" s="2" t="n">
        <x:v>8</x:v>
      </x:c>
      <x:c r="G2531" s="2" t="n">
        <x:v>4</x:v>
      </x:c>
      <x:c r="H2531" s="11" t="n">
        <x:v>92.52</x:v>
      </x:c>
      <x:c r="I2531" s="2" t="n">
        <x:v>5</x:v>
      </x:c>
      <x:c r="J2531" s="2" t="n">
        <x:v>3</x:v>
      </x:c>
      <x:c r="K2531" s="2" t="n">
        <x:v>1</x:v>
      </x:c>
      <x:c r="L2531" s="2" t="str">
        <x:v>Loyal</x:v>
      </x:c>
    </x:row>
    <x:row r="2532" ht="22" customHeight="1">
      <x:c r="A2532" s="2"/>
      <x:c r="B2532" s="2" t="str">
        <x:v>14866</x:v>
      </x:c>
      <x:c r="C2532" s="2" t="str">
        <x:v>United Kingdom</x:v>
      </x:c>
      <x:c r="D2532" s="25" t="n">
        <x:v>40416.2875</x:v>
      </x:c>
      <x:c r="E2532" s="25" t="n">
        <x:v>40876.28125</x:v>
      </x:c>
      <x:c r="F2532" s="2" t="n">
        <x:v>11</x:v>
      </x:c>
      <x:c r="G2532" s="2" t="n">
        <x:v>19</x:v>
      </x:c>
      <x:c r="H2532" s="11" t="n">
        <x:v>20746.54</x:v>
      </x:c>
      <x:c r="I2532" s="2" t="n">
        <x:v>5</x:v>
      </x:c>
      <x:c r="J2532" s="2" t="n">
        <x:v>5</x:v>
      </x:c>
      <x:c r="K2532" s="2" t="n">
        <x:v>5</x:v>
      </x:c>
      <x:c r="L2532" s="2" t="str">
        <x:v>Champions</x:v>
      </x:c>
    </x:row>
    <x:row r="2533" ht="22" customHeight="1">
      <x:c r="A2533" s="2"/>
      <x:c r="B2533" s="2" t="str">
        <x:v>14867</x:v>
      </x:c>
      <x:c r="C2533" s="2" t="str">
        <x:v>United Kingdom</x:v>
      </x:c>
      <x:c r="D2533" s="25" t="n">
        <x:v>40152.44930555556</x:v>
      </x:c>
      <x:c r="E2533" s="25" t="n">
        <x:v>40701.277083333334</x:v>
      </x:c>
      <x:c r="F2533" s="2" t="n">
        <x:v>186</x:v>
      </x:c>
      <x:c r="G2533" s="2" t="n">
        <x:v>16</x:v>
      </x:c>
      <x:c r="H2533" s="11" t="n">
        <x:v>2952.06</x:v>
      </x:c>
      <x:c r="I2533" s="2" t="n">
        <x:v>3</x:v>
      </x:c>
      <x:c r="J2533" s="2" t="n">
        <x:v>5</x:v>
      </x:c>
      <x:c r="K2533" s="2" t="n">
        <x:v>5</x:v>
      </x:c>
      <x:c r="L2533" s="2" t="str">
        <x:v>Loyal</x:v>
      </x:c>
    </x:row>
    <x:row r="2534" ht="22" customHeight="1">
      <x:c r="A2534" s="2"/>
      <x:c r="B2534" s="2" t="str">
        <x:v>14868</x:v>
      </x:c>
      <x:c r="C2534" s="2" t="str">
        <x:v>United Kingdom</x:v>
      </x:c>
      <x:c r="D2534" s="25" t="n">
        <x:v>40466.41111111111</x:v>
      </x:c>
      <x:c r="E2534" s="25" t="n">
        <x:v>40883.40902777778</x:v>
      </x:c>
      <x:c r="F2534" s="2" t="n">
        <x:v>4</x:v>
      </x:c>
      <x:c r="G2534" s="2" t="n">
        <x:v>12</x:v>
      </x:c>
      <x:c r="H2534" s="11" t="n">
        <x:v>4184.01</x:v>
      </x:c>
      <x:c r="I2534" s="2" t="n">
        <x:v>5</x:v>
      </x:c>
      <x:c r="J2534" s="2" t="n">
        <x:v>5</x:v>
      </x:c>
      <x:c r="K2534" s="2" t="n">
        <x:v>5</x:v>
      </x:c>
      <x:c r="L2534" s="2" t="str">
        <x:v>Champions</x:v>
      </x:c>
    </x:row>
    <x:row r="2535" ht="22" customHeight="1">
      <x:c r="A2535" s="2"/>
      <x:c r="B2535" s="2" t="str">
        <x:v>14869</x:v>
      </x:c>
      <x:c r="C2535" s="2" t="str">
        <x:v>United Kingdom</x:v>
      </x:c>
      <x:c r="D2535" s="25" t="n">
        <x:v>40163.279861111114</x:v>
      </x:c>
      <x:c r="E2535" s="25" t="n">
        <x:v>40878.316666666666</x:v>
      </x:c>
      <x:c r="F2535" s="2" t="n">
        <x:v>9</x:v>
      </x:c>
      <x:c r="G2535" s="2" t="n">
        <x:v>6</x:v>
      </x:c>
      <x:c r="H2535" s="11" t="n">
        <x:v>2804.24</x:v>
      </x:c>
      <x:c r="I2535" s="2" t="n">
        <x:v>5</x:v>
      </x:c>
      <x:c r="J2535" s="2" t="n">
        <x:v>4</x:v>
      </x:c>
      <x:c r="K2535" s="2" t="n">
        <x:v>4</x:v>
      </x:c>
      <x:c r="L2535" s="2" t="str">
        <x:v>Champions</x:v>
      </x:c>
    </x:row>
    <x:row r="2536" ht="22" customHeight="1">
      <x:c r="A2536" s="2"/>
      <x:c r="B2536" s="2" t="str">
        <x:v>14870</x:v>
      </x:c>
      <x:c r="C2536" s="2" t="str">
        <x:v>United Kingdom</x:v>
      </x:c>
      <x:c r="D2536" s="25" t="n">
        <x:v>40203.17013888889</x:v>
      </x:c>
      <x:c r="E2536" s="25" t="n">
        <x:v>40625.24375</x:v>
      </x:c>
      <x:c r="F2536" s="2" t="n">
        <x:v>262</x:v>
      </x:c>
      <x:c r="G2536" s="2" t="n">
        <x:v>6</x:v>
      </x:c>
      <x:c r="H2536" s="11" t="n">
        <x:v>1838.95</x:v>
      </x:c>
      <x:c r="I2536" s="2" t="n">
        <x:v>2</x:v>
      </x:c>
      <x:c r="J2536" s="2" t="n">
        <x:v>4</x:v>
      </x:c>
      <x:c r="K2536" s="2" t="n">
        <x:v>4</x:v>
      </x:c>
      <x:c r="L2536" s="2" t="str">
        <x:v>At risk</x:v>
      </x:c>
    </x:row>
    <x:row r="2537" ht="22" customHeight="1">
      <x:c r="A2537" s="2"/>
      <x:c r="B2537" s="2" t="str">
        <x:v>14871</x:v>
      </x:c>
      <x:c r="C2537" s="2" t="str">
        <x:v>United Kingdom</x:v>
      </x:c>
      <x:c r="D2537" s="25" t="n">
        <x:v>40148.28958333333</x:v>
      </x:c>
      <x:c r="E2537" s="25" t="n">
        <x:v>40883.3625</x:v>
      </x:c>
      <x:c r="F2537" s="2" t="n">
        <x:v>4</x:v>
      </x:c>
      <x:c r="G2537" s="2" t="n">
        <x:v>9</x:v>
      </x:c>
      <x:c r="H2537" s="11" t="n">
        <x:v>1258.97</x:v>
      </x:c>
      <x:c r="I2537" s="2" t="n">
        <x:v>5</x:v>
      </x:c>
      <x:c r="J2537" s="2" t="n">
        <x:v>5</x:v>
      </x:c>
      <x:c r="K2537" s="2" t="n">
        <x:v>4</x:v>
      </x:c>
      <x:c r="L2537" s="2" t="str">
        <x:v>Champions</x:v>
      </x:c>
    </x:row>
    <x:row r="2538" ht="22" customHeight="1">
      <x:c r="A2538" s="2"/>
      <x:c r="B2538" s="2" t="str">
        <x:v>14872</x:v>
      </x:c>
      <x:c r="C2538" s="2" t="str">
        <x:v>United Kingdom</x:v>
      </x:c>
      <x:c r="D2538" s="25" t="n">
        <x:v>40253.40347222222</x:v>
      </x:c>
      <x:c r="E2538" s="25" t="n">
        <x:v>40403.31527777778</x:v>
      </x:c>
      <x:c r="F2538" s="2" t="n">
        <x:v>484</x:v>
      </x:c>
      <x:c r="G2538" s="2" t="n">
        <x:v>3</x:v>
      </x:c>
      <x:c r="H2538" s="11" t="n">
        <x:v>816.6</x:v>
      </x:c>
      <x:c r="I2538" s="2" t="n">
        <x:v>1</x:v>
      </x:c>
      <x:c r="J2538" s="2" t="n">
        <x:v>3</x:v>
      </x:c>
      <x:c r="K2538" s="2" t="n">
        <x:v>3</x:v>
      </x:c>
      <x:c r="L2538" s="2" t="str">
        <x:v>At risk</x:v>
      </x:c>
    </x:row>
    <x:row r="2539" ht="22" customHeight="1">
      <x:c r="A2539" s="2"/>
      <x:c r="B2539" s="2" t="str">
        <x:v>14873</x:v>
      </x:c>
      <x:c r="C2539" s="2" t="str">
        <x:v>United Kingdom</x:v>
      </x:c>
      <x:c r="D2539" s="25" t="n">
        <x:v>40253.24375</x:v>
      </x:c>
      <x:c r="E2539" s="25" t="n">
        <x:v>40676.36944444444</x:v>
      </x:c>
      <x:c r="F2539" s="2" t="n">
        <x:v>211</x:v>
      </x:c>
      <x:c r="G2539" s="2" t="n">
        <x:v>2</x:v>
      </x:c>
      <x:c r="H2539" s="11" t="n">
        <x:v>854.13</x:v>
      </x:c>
      <x:c r="I2539" s="2" t="n">
        <x:v>2</x:v>
      </x:c>
      <x:c r="J2539" s="2" t="n">
        <x:v>2</x:v>
      </x:c>
      <x:c r="K2539" s="2" t="n">
        <x:v>3</x:v>
      </x:c>
      <x:c r="L2539" s="2" t="str">
        <x:v>Hibernating</x:v>
      </x:c>
    </x:row>
    <x:row r="2540" ht="22" customHeight="1">
      <x:c r="A2540" s="2"/>
      <x:c r="B2540" s="2" t="str">
        <x:v>14874</x:v>
      </x:c>
      <x:c r="C2540" s="2" t="str">
        <x:v>United Kingdom</x:v>
      </x:c>
      <x:c r="D2540" s="25" t="n">
        <x:v>40351.41527777778</x:v>
      </x:c>
      <x:c r="E2540" s="25" t="n">
        <x:v>40351.41527777778</x:v>
      </x:c>
      <x:c r="F2540" s="2" t="n">
        <x:v>536</x:v>
      </x:c>
      <x:c r="G2540" s="2" t="n">
        <x:v>1</x:v>
      </x:c>
      <x:c r="H2540" s="11" t="n">
        <x:v>116.18</x:v>
      </x:c>
      <x:c r="I2540" s="2" t="n">
        <x:v>1</x:v>
      </x:c>
      <x:c r="J2540" s="2" t="n">
        <x:v>1</x:v>
      </x:c>
      <x:c r="K2540" s="2" t="n">
        <x:v>1</x:v>
      </x:c>
      <x:c r="L2540" s="2" t="str">
        <x:v>Hibernating</x:v>
      </x:c>
    </x:row>
    <x:row r="2541" ht="22" customHeight="1">
      <x:c r="A2541" s="2"/>
      <x:c r="B2541" s="2" t="str">
        <x:v>14875</x:v>
      </x:c>
      <x:c r="C2541" s="2" t="str">
        <x:v>United Kingdom</x:v>
      </x:c>
      <x:c r="D2541" s="25" t="n">
        <x:v>40445.22777777778</x:v>
      </x:c>
      <x:c r="E2541" s="25" t="n">
        <x:v>40779.305555555555</x:v>
      </x:c>
      <x:c r="F2541" s="2" t="n">
        <x:v>108</x:v>
      </x:c>
      <x:c r="G2541" s="2" t="n">
        <x:v>3</x:v>
      </x:c>
      <x:c r="H2541" s="11" t="n">
        <x:v>2862.4</x:v>
      </x:c>
      <x:c r="I2541" s="2" t="n">
        <x:v>3</x:v>
      </x:c>
      <x:c r="J2541" s="2" t="n">
        <x:v>3</x:v>
      </x:c>
      <x:c r="K2541" s="2" t="n">
        <x:v>4</x:v>
      </x:c>
      <x:c r="L2541" s="2" t="str">
        <x:v>Loyal</x:v>
      </x:c>
    </x:row>
    <x:row r="2542" ht="22" customHeight="1">
      <x:c r="A2542" s="2"/>
      <x:c r="B2542" s="2" t="str">
        <x:v>14876</x:v>
      </x:c>
      <x:c r="C2542" s="2" t="str">
        <x:v>United Kingdom</x:v>
      </x:c>
      <x:c r="D2542" s="25" t="n">
        <x:v>40325.36736111111</x:v>
      </x:c>
      <x:c r="E2542" s="25" t="n">
        <x:v>40365.41458333333</x:v>
      </x:c>
      <x:c r="F2542" s="2" t="n">
        <x:v>522</x:v>
      </x:c>
      <x:c r="G2542" s="2" t="n">
        <x:v>2</x:v>
      </x:c>
      <x:c r="H2542" s="11" t="n">
        <x:v>256.7</x:v>
      </x:c>
      <x:c r="I2542" s="2" t="n">
        <x:v>1</x:v>
      </x:c>
      <x:c r="J2542" s="2" t="n">
        <x:v>2</x:v>
      </x:c>
      <x:c r="K2542" s="2" t="n">
        <x:v>1</x:v>
      </x:c>
      <x:c r="L2542" s="2" t="str">
        <x:v>Hibernating</x:v>
      </x:c>
    </x:row>
    <x:row r="2543" ht="22" customHeight="1">
      <x:c r="A2543" s="2"/>
      <x:c r="B2543" s="2" t="str">
        <x:v>14877</x:v>
      </x:c>
      <x:c r="C2543" s="2" t="str">
        <x:v>United Kingdom</x:v>
      </x:c>
      <x:c r="D2543" s="25" t="n">
        <x:v>40244.30902777778</x:v>
      </x:c>
      <x:c r="E2543" s="25" t="n">
        <x:v>40468.339583333334</x:v>
      </x:c>
      <x:c r="F2543" s="2" t="n">
        <x:v>419</x:v>
      </x:c>
      <x:c r="G2543" s="2" t="n">
        <x:v>2</x:v>
      </x:c>
      <x:c r="H2543" s="11" t="n">
        <x:v>437</x:v>
      </x:c>
      <x:c r="I2543" s="2" t="n">
        <x:v>1</x:v>
      </x:c>
      <x:c r="J2543" s="2" t="n">
        <x:v>2</x:v>
      </x:c>
      <x:c r="K2543" s="2" t="n">
        <x:v>2</x:v>
      </x:c>
      <x:c r="L2543" s="2" t="str">
        <x:v>Hibernating</x:v>
      </x:c>
    </x:row>
    <x:row r="2544" ht="22" customHeight="1">
      <x:c r="A2544" s="2"/>
      <x:c r="B2544" s="2" t="str">
        <x:v>14878</x:v>
      </x:c>
      <x:c r="C2544" s="2" t="str">
        <x:v>United Kingdom</x:v>
      </x:c>
      <x:c r="D2544" s="25" t="n">
        <x:v>40230.259722222225</x:v>
      </x:c>
      <x:c r="E2544" s="25" t="n">
        <x:v>40874.260416666664</x:v>
      </x:c>
      <x:c r="F2544" s="2" t="n">
        <x:v>13</x:v>
      </x:c>
      <x:c r="G2544" s="2" t="n">
        <x:v>25</x:v>
      </x:c>
      <x:c r="H2544" s="11" t="n">
        <x:v>4105.24</x:v>
      </x:c>
      <x:c r="I2544" s="2" t="n">
        <x:v>5</x:v>
      </x:c>
      <x:c r="J2544" s="2" t="n">
        <x:v>5</x:v>
      </x:c>
      <x:c r="K2544" s="2" t="n">
        <x:v>5</x:v>
      </x:c>
      <x:c r="L2544" s="2" t="str">
        <x:v>Champions</x:v>
      </x:c>
    </x:row>
    <x:row r="2545" ht="22" customHeight="1">
      <x:c r="A2545" s="2"/>
      <x:c r="B2545" s="2" t="str">
        <x:v>14879</x:v>
      </x:c>
      <x:c r="C2545" s="2" t="str">
        <x:v>United Kingdom</x:v>
      </x:c>
      <x:c r="D2545" s="25" t="n">
        <x:v>40202.274305555555</x:v>
      </x:c>
      <x:c r="E2545" s="25" t="n">
        <x:v>40202.274305555555</x:v>
      </x:c>
      <x:c r="F2545" s="2" t="n">
        <x:v>685</x:v>
      </x:c>
      <x:c r="G2545" s="2" t="n">
        <x:v>1</x:v>
      </x:c>
      <x:c r="H2545" s="11" t="n">
        <x:v>185.06</x:v>
      </x:c>
      <x:c r="I2545" s="2" t="n">
        <x:v>1</x:v>
      </x:c>
      <x:c r="J2545" s="2" t="n">
        <x:v>1</x:v>
      </x:c>
      <x:c r="K2545" s="2" t="n">
        <x:v>1</x:v>
      </x:c>
      <x:c r="L2545" s="2" t="str">
        <x:v>Hibernating</x:v>
      </x:c>
    </x:row>
    <x:row r="2546" ht="22" customHeight="1">
      <x:c r="A2546" s="2"/>
      <x:c r="B2546" s="2" t="str">
        <x:v>14880</x:v>
      </x:c>
      <x:c r="C2546" s="2" t="str">
        <x:v>United Kingdom</x:v>
      </x:c>
      <x:c r="D2546" s="25" t="n">
        <x:v>40598.31041666667</x:v>
      </x:c>
      <x:c r="E2546" s="25" t="n">
        <x:v>40809.3625</x:v>
      </x:c>
      <x:c r="F2546" s="2" t="n">
        <x:v>78</x:v>
      </x:c>
      <x:c r="G2546" s="2" t="n">
        <x:v>3</x:v>
      </x:c>
      <x:c r="H2546" s="11" t="n">
        <x:v>706.19</x:v>
      </x:c>
      <x:c r="I2546" s="2" t="n">
        <x:v>3</x:v>
      </x:c>
      <x:c r="J2546" s="2" t="n">
        <x:v>3</x:v>
      </x:c>
      <x:c r="K2546" s="2" t="n">
        <x:v>3</x:v>
      </x:c>
      <x:c r="L2546" s="2" t="str">
        <x:v>Loyal</x:v>
      </x:c>
    </x:row>
    <x:row r="2547" ht="22" customHeight="1">
      <x:c r="A2547" s="2"/>
      <x:c r="B2547" s="2" t="str">
        <x:v>14881</x:v>
      </x:c>
      <x:c r="C2547" s="2" t="str">
        <x:v>United Kingdom</x:v>
      </x:c>
      <x:c r="D2547" s="25" t="n">
        <x:v>40867.254166666666</x:v>
      </x:c>
      <x:c r="E2547" s="25" t="n">
        <x:v>40867.254166666666</x:v>
      </x:c>
      <x:c r="F2547" s="2" t="n">
        <x:v>20</x:v>
      </x:c>
      <x:c r="G2547" s="2" t="n">
        <x:v>1</x:v>
      </x:c>
      <x:c r="H2547" s="11" t="n">
        <x:v>255.4</x:v>
      </x:c>
      <x:c r="I2547" s="2" t="n">
        <x:v>5</x:v>
      </x:c>
      <x:c r="J2547" s="2" t="n">
        <x:v>1</x:v>
      </x:c>
      <x:c r="K2547" s="2" t="n">
        <x:v>1</x:v>
      </x:c>
      <x:c r="L2547" s="2" t="str">
        <x:v>Recent light buyers</x:v>
      </x:c>
    </x:row>
    <x:row r="2548" ht="22" customHeight="1">
      <x:c r="A2548" s="2"/>
      <x:c r="B2548" s="2" t="str">
        <x:v>14882</x:v>
      </x:c>
      <x:c r="C2548" s="2" t="str">
        <x:v>United Kingdom</x:v>
      </x:c>
      <x:c r="D2548" s="25" t="n">
        <x:v>40267.41805555556</x:v>
      </x:c>
      <x:c r="E2548" s="25" t="n">
        <x:v>40860.32430555556</x:v>
      </x:c>
      <x:c r="F2548" s="2" t="n">
        <x:v>27</x:v>
      </x:c>
      <x:c r="G2548" s="2" t="n">
        <x:v>14</x:v>
      </x:c>
      <x:c r="H2548" s="11" t="n">
        <x:v>3628.15</x:v>
      </x:c>
      <x:c r="I2548" s="2" t="n">
        <x:v>4</x:v>
      </x:c>
      <x:c r="J2548" s="2" t="n">
        <x:v>5</x:v>
      </x:c>
      <x:c r="K2548" s="2" t="n">
        <x:v>5</x:v>
      </x:c>
      <x:c r="L2548" s="2" t="str">
        <x:v>Champions</x:v>
      </x:c>
    </x:row>
    <x:row r="2549" ht="22" customHeight="1">
      <x:c r="A2549" s="2"/>
      <x:c r="B2549" s="2" t="str">
        <x:v>14883</x:v>
      </x:c>
      <x:c r="C2549" s="2" t="str">
        <x:v>United Kingdom</x:v>
      </x:c>
      <x:c r="D2549" s="25" t="n">
        <x:v>40675.200694444444</x:v>
      </x:c>
      <x:c r="E2549" s="25" t="n">
        <x:v>40868.22430555556</x:v>
      </x:c>
      <x:c r="F2549" s="2" t="n">
        <x:v>19</x:v>
      </x:c>
      <x:c r="G2549" s="2" t="n">
        <x:v>6</x:v>
      </x:c>
      <x:c r="H2549" s="11" t="n">
        <x:v>761.59</x:v>
      </x:c>
      <x:c r="I2549" s="2" t="n">
        <x:v>5</x:v>
      </x:c>
      <x:c r="J2549" s="2" t="n">
        <x:v>4</x:v>
      </x:c>
      <x:c r="K2549" s="2" t="n">
        <x:v>3</x:v>
      </x:c>
      <x:c r="L2549" s="2" t="str">
        <x:v>Loyal</x:v>
      </x:c>
    </x:row>
    <x:row r="2550" ht="22" customHeight="1">
      <x:c r="A2550" s="2"/>
      <x:c r="B2550" s="2" t="str">
        <x:v>14884</x:v>
      </x:c>
      <x:c r="C2550" s="2" t="str">
        <x:v>United Kingdom</x:v>
      </x:c>
      <x:c r="D2550" s="25" t="n">
        <x:v>40217.330555555556</x:v>
      </x:c>
      <x:c r="E2550" s="25" t="n">
        <x:v>40217.330555555556</x:v>
      </x:c>
      <x:c r="F2550" s="2" t="n">
        <x:v>670</x:v>
      </x:c>
      <x:c r="G2550" s="2" t="n">
        <x:v>1</x:v>
      </x:c>
      <x:c r="H2550" s="11" t="n">
        <x:v>120.6</x:v>
      </x:c>
      <x:c r="I2550" s="2" t="n">
        <x:v>1</x:v>
      </x:c>
      <x:c r="J2550" s="2" t="n">
        <x:v>1</x:v>
      </x:c>
      <x:c r="K2550" s="2" t="n">
        <x:v>1</x:v>
      </x:c>
      <x:c r="L2550" s="2" t="str">
        <x:v>Hibernating</x:v>
      </x:c>
    </x:row>
    <x:row r="2551" ht="22" customHeight="1">
      <x:c r="A2551" s="2"/>
      <x:c r="B2551" s="2" t="str">
        <x:v>14885</x:v>
      </x:c>
      <x:c r="C2551" s="2" t="str">
        <x:v>United Kingdom</x:v>
      </x:c>
      <x:c r="D2551" s="25" t="n">
        <x:v>40421.21597222222</x:v>
      </x:c>
      <x:c r="E2551" s="25" t="n">
        <x:v>40755.29513888889</x:v>
      </x:c>
      <x:c r="F2551" s="2" t="n">
        <x:v>132</x:v>
      </x:c>
      <x:c r="G2551" s="2" t="n">
        <x:v>3</x:v>
      </x:c>
      <x:c r="H2551" s="11" t="n">
        <x:v>1598.12</x:v>
      </x:c>
      <x:c r="I2551" s="2" t="n">
        <x:v>3</x:v>
      </x:c>
      <x:c r="J2551" s="2" t="n">
        <x:v>3</x:v>
      </x:c>
      <x:c r="K2551" s="2" t="n">
        <x:v>4</x:v>
      </x:c>
      <x:c r="L2551" s="2" t="str">
        <x:v>Loyal</x:v>
      </x:c>
    </x:row>
    <x:row r="2552" ht="22" customHeight="1">
      <x:c r="A2552" s="2"/>
      <x:c r="B2552" s="2" t="str">
        <x:v>14886</x:v>
      </x:c>
      <x:c r="C2552" s="2" t="str">
        <x:v>United Kingdom</x:v>
      </x:c>
      <x:c r="D2552" s="25" t="n">
        <x:v>40634.16388888889</x:v>
      </x:c>
      <x:c r="E2552" s="25" t="n">
        <x:v>40634.16388888889</x:v>
      </x:c>
      <x:c r="F2552" s="2" t="n">
        <x:v>253</x:v>
      </x:c>
      <x:c r="G2552" s="2" t="n">
        <x:v>1</x:v>
      </x:c>
      <x:c r="H2552" s="11" t="n">
        <x:v>364.8</x:v>
      </x:c>
      <x:c r="I2552" s="2" t="n">
        <x:v>2</x:v>
      </x:c>
      <x:c r="J2552" s="2" t="n">
        <x:v>1</x:v>
      </x:c>
      <x:c r="K2552" s="2" t="n">
        <x:v>2</x:v>
      </x:c>
      <x:c r="L2552" s="2" t="str">
        <x:v>Hibernating</x:v>
      </x:c>
    </x:row>
    <x:row r="2553" ht="22" customHeight="1">
      <x:c r="A2553" s="2"/>
      <x:c r="B2553" s="2" t="str">
        <x:v>14887</x:v>
      </x:c>
      <x:c r="C2553" s="2" t="str">
        <x:v>United Kingdom</x:v>
      </x:c>
      <x:c r="D2553" s="25" t="n">
        <x:v>40807.438888888886</x:v>
      </x:c>
      <x:c r="E2553" s="25" t="n">
        <x:v>40807.438888888886</x:v>
      </x:c>
      <x:c r="F2553" s="2" t="n">
        <x:v>80</x:v>
      </x:c>
      <x:c r="G2553" s="2" t="n">
        <x:v>1</x:v>
      </x:c>
      <x:c r="H2553" s="11" t="n">
        <x:v>1862</x:v>
      </x:c>
      <x:c r="I2553" s="2" t="n">
        <x:v>3</x:v>
      </x:c>
      <x:c r="J2553" s="2" t="n">
        <x:v>1</x:v>
      </x:c>
      <x:c r="K2553" s="2" t="n">
        <x:v>4</x:v>
      </x:c>
      <x:c r="L2553" s="2" t="str">
        <x:v>Developing</x:v>
      </x:c>
    </x:row>
    <x:row r="2554" ht="22" customHeight="1">
      <x:c r="A2554" s="2"/>
      <x:c r="B2554" s="2" t="str">
        <x:v>14888</x:v>
      </x:c>
      <x:c r="C2554" s="2" t="str">
        <x:v>United Kingdom</x:v>
      </x:c>
      <x:c r="D2554" s="25" t="n">
        <x:v>40679.41527777778</x:v>
      </x:c>
      <x:c r="E2554" s="25" t="n">
        <x:v>40679.41527777778</x:v>
      </x:c>
      <x:c r="F2554" s="2" t="n">
        <x:v>208</x:v>
      </x:c>
      <x:c r="G2554" s="2" t="n">
        <x:v>1</x:v>
      </x:c>
      <x:c r="H2554" s="11" t="n">
        <x:v>369.2</x:v>
      </x:c>
      <x:c r="I2554" s="2" t="n">
        <x:v>2</x:v>
      </x:c>
      <x:c r="J2554" s="2" t="n">
        <x:v>1</x:v>
      </x:c>
      <x:c r="K2554" s="2" t="n">
        <x:v>2</x:v>
      </x:c>
      <x:c r="L2554" s="2" t="str">
        <x:v>Hibernating</x:v>
      </x:c>
    </x:row>
    <x:row r="2555" ht="22" customHeight="1">
      <x:c r="A2555" s="2"/>
      <x:c r="B2555" s="2" t="str">
        <x:v>14889</x:v>
      </x:c>
      <x:c r="C2555" s="2" t="str">
        <x:v>United Kingdom</x:v>
      </x:c>
      <x:c r="D2555" s="25" t="n">
        <x:v>40550.42986111111</x:v>
      </x:c>
      <x:c r="E2555" s="25" t="n">
        <x:v>40550.42986111111</x:v>
      </x:c>
      <x:c r="F2555" s="2" t="n">
        <x:v>337</x:v>
      </x:c>
      <x:c r="G2555" s="2" t="n">
        <x:v>1</x:v>
      </x:c>
      <x:c r="H2555" s="11" t="n">
        <x:v>135.9</x:v>
      </x:c>
      <x:c r="I2555" s="2" t="n">
        <x:v>2</x:v>
      </x:c>
      <x:c r="J2555" s="2" t="n">
        <x:v>1</x:v>
      </x:c>
      <x:c r="K2555" s="2" t="n">
        <x:v>1</x:v>
      </x:c>
      <x:c r="L2555" s="2" t="str">
        <x:v>Hibernating</x:v>
      </x:c>
    </x:row>
    <x:row r="2556" ht="22" customHeight="1">
      <x:c r="A2556" s="2"/>
      <x:c r="B2556" s="2" t="str">
        <x:v>14890</x:v>
      </x:c>
      <x:c r="C2556" s="2" t="str">
        <x:v>United Kingdom</x:v>
      </x:c>
      <x:c r="D2556" s="25" t="n">
        <x:v>40227.166666666664</x:v>
      </x:c>
      <x:c r="E2556" s="25" t="n">
        <x:v>40633.28958333333</x:v>
      </x:c>
      <x:c r="F2556" s="2" t="n">
        <x:v>254</x:v>
      </x:c>
      <x:c r="G2556" s="2" t="n">
        <x:v>3</x:v>
      </x:c>
      <x:c r="H2556" s="11" t="n">
        <x:v>817.25</x:v>
      </x:c>
      <x:c r="I2556" s="2" t="n">
        <x:v>2</x:v>
      </x:c>
      <x:c r="J2556" s="2" t="n">
        <x:v>3</x:v>
      </x:c>
      <x:c r="K2556" s="2" t="n">
        <x:v>3</x:v>
      </x:c>
      <x:c r="L2556" s="2" t="str">
        <x:v>At risk</x:v>
      </x:c>
    </x:row>
    <x:row r="2557" ht="22" customHeight="1">
      <x:c r="A2557" s="2"/>
      <x:c r="B2557" s="2" t="str">
        <x:v>14891</x:v>
      </x:c>
      <x:c r="C2557" s="2" t="str">
        <x:v>United Kingdom</x:v>
      </x:c>
      <x:c r="D2557" s="25" t="n">
        <x:v>40450.32013888889</x:v>
      </x:c>
      <x:c r="E2557" s="25" t="n">
        <x:v>40738.54722222222</x:v>
      </x:c>
      <x:c r="F2557" s="2" t="n">
        <x:v>149</x:v>
      </x:c>
      <x:c r="G2557" s="2" t="n">
        <x:v>4</x:v>
      </x:c>
      <x:c r="H2557" s="11" t="n">
        <x:v>1106.73</x:v>
      </x:c>
      <x:c r="I2557" s="2" t="n">
        <x:v>3</x:v>
      </x:c>
      <x:c r="J2557" s="2" t="n">
        <x:v>3</x:v>
      </x:c>
      <x:c r="K2557" s="2" t="n">
        <x:v>3</x:v>
      </x:c>
      <x:c r="L2557" s="2" t="str">
        <x:v>Loyal</x:v>
      </x:c>
    </x:row>
    <x:row r="2558" ht="22" customHeight="1">
      <x:c r="A2558" s="2"/>
      <x:c r="B2558" s="2" t="str">
        <x:v>14892</x:v>
      </x:c>
      <x:c r="C2558" s="2" t="str">
        <x:v>United Kingdom</x:v>
      </x:c>
      <x:c r="D2558" s="25" t="n">
        <x:v>40196.16527777778</x:v>
      </x:c>
      <x:c r="E2558" s="25" t="n">
        <x:v>40196.16527777778</x:v>
      </x:c>
      <x:c r="F2558" s="2" t="n">
        <x:v>691</x:v>
      </x:c>
      <x:c r="G2558" s="2" t="n">
        <x:v>1</x:v>
      </x:c>
      <x:c r="H2558" s="11" t="n">
        <x:v>202.35</x:v>
      </x:c>
      <x:c r="I2558" s="2" t="n">
        <x:v>1</x:v>
      </x:c>
      <x:c r="J2558" s="2" t="n">
        <x:v>1</x:v>
      </x:c>
      <x:c r="K2558" s="2" t="n">
        <x:v>1</x:v>
      </x:c>
      <x:c r="L2558" s="2" t="str">
        <x:v>Hibernating</x:v>
      </x:c>
    </x:row>
    <x:row r="2559" ht="22" customHeight="1">
      <x:c r="A2559" s="2"/>
      <x:c r="B2559" s="2" t="str">
        <x:v>14893</x:v>
      </x:c>
      <x:c r="C2559" s="2" t="str">
        <x:v>United Kingdom</x:v>
      </x:c>
      <x:c r="D2559" s="25" t="n">
        <x:v>40269.16875</x:v>
      </x:c>
      <x:c r="E2559" s="25" t="n">
        <x:v>40877.31319444445</x:v>
      </x:c>
      <x:c r="F2559" s="2" t="n">
        <x:v>10</x:v>
      </x:c>
      <x:c r="G2559" s="2" t="n">
        <x:v>3</x:v>
      </x:c>
      <x:c r="H2559" s="11" t="n">
        <x:v>1809.61</x:v>
      </x:c>
      <x:c r="I2559" s="2" t="n">
        <x:v>5</x:v>
      </x:c>
      <x:c r="J2559" s="2" t="n">
        <x:v>3</x:v>
      </x:c>
      <x:c r="K2559" s="2" t="n">
        <x:v>4</x:v>
      </x:c>
      <x:c r="L2559" s="2" t="str">
        <x:v>Loyal</x:v>
      </x:c>
    </x:row>
    <x:row r="2560" ht="22" customHeight="1">
      <x:c r="A2560" s="2"/>
      <x:c r="B2560" s="2" t="str">
        <x:v>14894</x:v>
      </x:c>
      <x:c r="C2560" s="2" t="str">
        <x:v>United Kingdom</x:v>
      </x:c>
      <x:c r="D2560" s="25" t="n">
        <x:v>40149.2375</x:v>
      </x:c>
      <x:c r="E2560" s="25" t="n">
        <x:v>40801.36875</x:v>
      </x:c>
      <x:c r="F2560" s="2" t="n">
        <x:v>86</x:v>
      </x:c>
      <x:c r="G2560" s="2" t="n">
        <x:v>3</x:v>
      </x:c>
      <x:c r="H2560" s="11" t="n">
        <x:v>1492.81</x:v>
      </x:c>
      <x:c r="I2560" s="2" t="n">
        <x:v>3</x:v>
      </x:c>
      <x:c r="J2560" s="2" t="n">
        <x:v>3</x:v>
      </x:c>
      <x:c r="K2560" s="2" t="n">
        <x:v>4</x:v>
      </x:c>
      <x:c r="L2560" s="2" t="str">
        <x:v>Loyal</x:v>
      </x:c>
    </x:row>
    <x:row r="2561" ht="22" customHeight="1">
      <x:c r="A2561" s="2"/>
      <x:c r="B2561" s="2" t="str">
        <x:v>14895</x:v>
      </x:c>
      <x:c r="C2561" s="2" t="str">
        <x:v>United Kingdom</x:v>
      </x:c>
      <x:c r="D2561" s="25" t="n">
        <x:v>40157.39027777778</x:v>
      </x:c>
      <x:c r="E2561" s="25" t="n">
        <x:v>40879.18263888889</x:v>
      </x:c>
      <x:c r="F2561" s="2" t="n">
        <x:v>8</x:v>
      </x:c>
      <x:c r="G2561" s="2" t="n">
        <x:v>38</x:v>
      </x:c>
      <x:c r="H2561" s="11" t="n">
        <x:v>25119.54</x:v>
      </x:c>
      <x:c r="I2561" s="2" t="n">
        <x:v>5</x:v>
      </x:c>
      <x:c r="J2561" s="2" t="n">
        <x:v>5</x:v>
      </x:c>
      <x:c r="K2561" s="2" t="n">
        <x:v>5</x:v>
      </x:c>
      <x:c r="L2561" s="2" t="str">
        <x:v>Champions</x:v>
      </x:c>
    </x:row>
    <x:row r="2562" ht="22" customHeight="1">
      <x:c r="A2562" s="2"/>
      <x:c r="B2562" s="2" t="str">
        <x:v>14896</x:v>
      </x:c>
      <x:c r="C2562" s="2" t="str">
        <x:v>United Kingdom</x:v>
      </x:c>
      <x:c r="D2562" s="25" t="n">
        <x:v>40153.32083333333</x:v>
      </x:c>
      <x:c r="E2562" s="25" t="n">
        <x:v>40682.22222222222</x:v>
      </x:c>
      <x:c r="F2562" s="2" t="n">
        <x:v>205</x:v>
      </x:c>
      <x:c r="G2562" s="2" t="n">
        <x:v>8</x:v>
      </x:c>
      <x:c r="H2562" s="11" t="n">
        <x:v>1835.2</x:v>
      </x:c>
      <x:c r="I2562" s="2" t="n">
        <x:v>2</x:v>
      </x:c>
      <x:c r="J2562" s="2" t="n">
        <x:v>4</x:v>
      </x:c>
      <x:c r="K2562" s="2" t="n">
        <x:v>4</x:v>
      </x:c>
      <x:c r="L2562" s="2" t="str">
        <x:v>At risk</x:v>
      </x:c>
    </x:row>
    <x:row r="2563" ht="22" customHeight="1">
      <x:c r="A2563" s="2"/>
      <x:c r="B2563" s="2" t="str">
        <x:v>14897</x:v>
      </x:c>
      <x:c r="C2563" s="2" t="str">
        <x:v>United Kingdom</x:v>
      </x:c>
      <x:c r="D2563" s="25" t="n">
        <x:v>40162.50347222222</x:v>
      </x:c>
      <x:c r="E2563" s="25" t="n">
        <x:v>40879.23055555556</x:v>
      </x:c>
      <x:c r="F2563" s="2" t="n">
        <x:v>8</x:v>
      </x:c>
      <x:c r="G2563" s="2" t="n">
        <x:v>8</x:v>
      </x:c>
      <x:c r="H2563" s="11" t="n">
        <x:v>3140.54</x:v>
      </x:c>
      <x:c r="I2563" s="2" t="n">
        <x:v>5</x:v>
      </x:c>
      <x:c r="J2563" s="2" t="n">
        <x:v>4</x:v>
      </x:c>
      <x:c r="K2563" s="2" t="n">
        <x:v>5</x:v>
      </x:c>
      <x:c r="L2563" s="2" t="str">
        <x:v>Champions</x:v>
      </x:c>
    </x:row>
    <x:row r="2564" ht="22" customHeight="1">
      <x:c r="A2564" s="2"/>
      <x:c r="B2564" s="2" t="str">
        <x:v>14898</x:v>
      </x:c>
      <x:c r="C2564" s="2" t="str">
        <x:v>United Kingdom</x:v>
      </x:c>
      <x:c r="D2564" s="25" t="n">
        <x:v>40150.48611111111</x:v>
      </x:c>
      <x:c r="E2564" s="25" t="n">
        <x:v>40863.4125</x:v>
      </x:c>
      <x:c r="F2564" s="2" t="n">
        <x:v>24</x:v>
      </x:c>
      <x:c r="G2564" s="2" t="n">
        <x:v>14</x:v>
      </x:c>
      <x:c r="H2564" s="11" t="n">
        <x:v>3409.31</x:v>
      </x:c>
      <x:c r="I2564" s="2" t="n">
        <x:v>4</x:v>
      </x:c>
      <x:c r="J2564" s="2" t="n">
        <x:v>5</x:v>
      </x:c>
      <x:c r="K2564" s="2" t="n">
        <x:v>5</x:v>
      </x:c>
      <x:c r="L2564" s="2" t="str">
        <x:v>Champions</x:v>
      </x:c>
    </x:row>
    <x:row r="2565" ht="22" customHeight="1">
      <x:c r="A2565" s="2"/>
      <x:c r="B2565" s="2" t="str">
        <x:v>14899</x:v>
      </x:c>
      <x:c r="C2565" s="2" t="str">
        <x:v>United Kingdom</x:v>
      </x:c>
      <x:c r="D2565" s="25" t="n">
        <x:v>40491.430555555555</x:v>
      </x:c>
      <x:c r="E2565" s="25" t="n">
        <x:v>40491.430555555555</x:v>
      </x:c>
      <x:c r="F2565" s="2" t="n">
        <x:v>396</x:v>
      </x:c>
      <x:c r="G2565" s="2" t="n">
        <x:v>1</x:v>
      </x:c>
      <x:c r="H2565" s="11" t="n">
        <x:v>1384.88</x:v>
      </x:c>
      <x:c r="I2565" s="2" t="n">
        <x:v>2</x:v>
      </x:c>
      <x:c r="J2565" s="2" t="n">
        <x:v>1</x:v>
      </x:c>
      <x:c r="K2565" s="2" t="n">
        <x:v>4</x:v>
      </x:c>
      <x:c r="L2565" s="2" t="str">
        <x:v>Hibernating</x:v>
      </x:c>
    </x:row>
    <x:row r="2566" ht="22" customHeight="1">
      <x:c r="A2566" s="2"/>
      <x:c r="B2566" s="2" t="str">
        <x:v>14900</x:v>
      </x:c>
      <x:c r="C2566" s="2" t="str">
        <x:v>United Kingdom</x:v>
      </x:c>
      <x:c r="D2566" s="25" t="n">
        <x:v>40364.42291666667</x:v>
      </x:c>
      <x:c r="E2566" s="25" t="n">
        <x:v>40364.42291666667</x:v>
      </x:c>
      <x:c r="F2566" s="2" t="n">
        <x:v>523</x:v>
      </x:c>
      <x:c r="G2566" s="2" t="n">
        <x:v>1</x:v>
      </x:c>
      <x:c r="H2566" s="11" t="n">
        <x:v>13.92</x:v>
      </x:c>
      <x:c r="I2566" s="2" t="n">
        <x:v>1</x:v>
      </x:c>
      <x:c r="J2566" s="2" t="n">
        <x:v>1</x:v>
      </x:c>
      <x:c r="K2566" s="2" t="n">
        <x:v>1</x:v>
      </x:c>
      <x:c r="L2566" s="2" t="str">
        <x:v>Hibernating</x:v>
      </x:c>
    </x:row>
    <x:row r="2567" ht="22" customHeight="1">
      <x:c r="A2567" s="2"/>
      <x:c r="B2567" s="2" t="str">
        <x:v>14901</x:v>
      </x:c>
      <x:c r="C2567" s="2" t="str">
        <x:v>United Kingdom</x:v>
      </x:c>
      <x:c r="D2567" s="25" t="n">
        <x:v>40388.25763888889</x:v>
      </x:c>
      <x:c r="E2567" s="25" t="n">
        <x:v>40875.50625</x:v>
      </x:c>
      <x:c r="F2567" s="2" t="n">
        <x:v>12</x:v>
      </x:c>
      <x:c r="G2567" s="2" t="n">
        <x:v>12</x:v>
      </x:c>
      <x:c r="H2567" s="11" t="n">
        <x:v>1927.25</x:v>
      </x:c>
      <x:c r="I2567" s="2" t="n">
        <x:v>5</x:v>
      </x:c>
      <x:c r="J2567" s="2" t="n">
        <x:v>5</x:v>
      </x:c>
      <x:c r="K2567" s="2" t="n">
        <x:v>4</x:v>
      </x:c>
      <x:c r="L2567" s="2" t="str">
        <x:v>Champions</x:v>
      </x:c>
    </x:row>
    <x:row r="2568" ht="22" customHeight="1">
      <x:c r="A2568" s="2"/>
      <x:c r="B2568" s="2" t="str">
        <x:v>14902</x:v>
      </x:c>
      <x:c r="C2568" s="2" t="str">
        <x:v>United Kingdom</x:v>
      </x:c>
      <x:c r="D2568" s="25" t="n">
        <x:v>40333.31597222222</x:v>
      </x:c>
      <x:c r="E2568" s="25" t="n">
        <x:v>40861.231944444444</x:v>
      </x:c>
      <x:c r="F2568" s="2" t="n">
        <x:v>26</x:v>
      </x:c>
      <x:c r="G2568" s="2" t="n">
        <x:v>3</x:v>
      </x:c>
      <x:c r="H2568" s="11" t="n">
        <x:v>1035.62</x:v>
      </x:c>
      <x:c r="I2568" s="2" t="n">
        <x:v>4</x:v>
      </x:c>
      <x:c r="J2568" s="2" t="n">
        <x:v>3</x:v>
      </x:c>
      <x:c r="K2568" s="2" t="n">
        <x:v>3</x:v>
      </x:c>
      <x:c r="L2568" s="2" t="str">
        <x:v>Loyal</x:v>
      </x:c>
    </x:row>
    <x:row r="2569" ht="22" customHeight="1">
      <x:c r="A2569" s="2"/>
      <x:c r="B2569" s="2" t="str">
        <x:v>14903</x:v>
      </x:c>
      <x:c r="C2569" s="2" t="str">
        <x:v>United Kingdom</x:v>
      </x:c>
      <x:c r="D2569" s="25" t="n">
        <x:v>40608.28472222222</x:v>
      </x:c>
      <x:c r="E2569" s="25" t="n">
        <x:v>40865.46319444444</x:v>
      </x:c>
      <x:c r="F2569" s="2" t="n">
        <x:v>22</x:v>
      </x:c>
      <x:c r="G2569" s="2" t="n">
        <x:v>5</x:v>
      </x:c>
      <x:c r="H2569" s="11" t="n">
        <x:v>2810.63</x:v>
      </x:c>
      <x:c r="I2569" s="2" t="n">
        <x:v>4</x:v>
      </x:c>
      <x:c r="J2569" s="2" t="n">
        <x:v>4</x:v>
      </x:c>
      <x:c r="K2569" s="2" t="n">
        <x:v>4</x:v>
      </x:c>
      <x:c r="L2569" s="2" t="str">
        <x:v>Champions</x:v>
      </x:c>
    </x:row>
    <x:row r="2570" ht="22" customHeight="1">
      <x:c r="A2570" s="2"/>
      <x:c r="B2570" s="2" t="str">
        <x:v>14904</x:v>
      </x:c>
      <x:c r="C2570" s="2" t="str">
        <x:v>United Kingdom</x:v>
      </x:c>
      <x:c r="D2570" s="25" t="n">
        <x:v>40459.325</x:v>
      </x:c>
      <x:c r="E2570" s="25" t="n">
        <x:v>40884.32986111111</x:v>
      </x:c>
      <x:c r="F2570" s="2" t="n">
        <x:v>3</x:v>
      </x:c>
      <x:c r="G2570" s="2" t="n">
        <x:v>4</x:v>
      </x:c>
      <x:c r="H2570" s="11" t="n">
        <x:v>1640.64</x:v>
      </x:c>
      <x:c r="I2570" s="2" t="n">
        <x:v>5</x:v>
      </x:c>
      <x:c r="J2570" s="2" t="n">
        <x:v>3</x:v>
      </x:c>
      <x:c r="K2570" s="2" t="n">
        <x:v>4</x:v>
      </x:c>
      <x:c r="L2570" s="2" t="str">
        <x:v>Loyal</x:v>
      </x:c>
    </x:row>
    <x:row r="2571" ht="22" customHeight="1">
      <x:c r="A2571" s="2"/>
      <x:c r="B2571" s="2" t="str">
        <x:v>14905</x:v>
      </x:c>
      <x:c r="C2571" s="2" t="str">
        <x:v>United Kingdom</x:v>
      </x:c>
      <x:c r="D2571" s="25" t="n">
        <x:v>40150.4</x:v>
      </x:c>
      <x:c r="E2571" s="25" t="n">
        <x:v>40729.32013888889</x:v>
      </x:c>
      <x:c r="F2571" s="2" t="n">
        <x:v>158</x:v>
      </x:c>
      <x:c r="G2571" s="2" t="n">
        <x:v>8</x:v>
      </x:c>
      <x:c r="H2571" s="11" t="n">
        <x:v>1971.39</x:v>
      </x:c>
      <x:c r="I2571" s="2" t="n">
        <x:v>3</x:v>
      </x:c>
      <x:c r="J2571" s="2" t="n">
        <x:v>4</x:v>
      </x:c>
      <x:c r="K2571" s="2" t="n">
        <x:v>4</x:v>
      </x:c>
      <x:c r="L2571" s="2" t="str">
        <x:v>Loyal</x:v>
      </x:c>
    </x:row>
    <x:row r="2572" ht="22" customHeight="1">
      <x:c r="A2572" s="2"/>
      <x:c r="B2572" s="2" t="str">
        <x:v>14906</x:v>
      </x:c>
      <x:c r="C2572" s="2" t="str">
        <x:v>United Kingdom</x:v>
      </x:c>
      <x:c r="D2572" s="25" t="n">
        <x:v>40441.479166666664</x:v>
      </x:c>
      <x:c r="E2572" s="25" t="n">
        <x:v>40441.479166666664</x:v>
      </x:c>
      <x:c r="F2572" s="2" t="n">
        <x:v>446</x:v>
      </x:c>
      <x:c r="G2572" s="2" t="n">
        <x:v>1</x:v>
      </x:c>
      <x:c r="H2572" s="11" t="n">
        <x:v>68.44</x:v>
      </x:c>
      <x:c r="I2572" s="2" t="n">
        <x:v>1</x:v>
      </x:c>
      <x:c r="J2572" s="2" t="n">
        <x:v>1</x:v>
      </x:c>
      <x:c r="K2572" s="2" t="n">
        <x:v>1</x:v>
      </x:c>
      <x:c r="L2572" s="2" t="str">
        <x:v>Hibernating</x:v>
      </x:c>
    </x:row>
    <x:row r="2573" ht="22" customHeight="1">
      <x:c r="A2573" s="2"/>
      <x:c r="B2573" s="2" t="str">
        <x:v>14907</x:v>
      </x:c>
      <x:c r="C2573" s="2" t="str">
        <x:v>United Kingdom</x:v>
      </x:c>
      <x:c r="D2573" s="25" t="n">
        <x:v>40284.36111111111</x:v>
      </x:c>
      <x:c r="E2573" s="25" t="n">
        <x:v>40883.384722222225</x:v>
      </x:c>
      <x:c r="F2573" s="2" t="n">
        <x:v>4</x:v>
      </x:c>
      <x:c r="G2573" s="2" t="n">
        <x:v>16</x:v>
      </x:c>
      <x:c r="H2573" s="11" t="n">
        <x:v>5547.72</x:v>
      </x:c>
      <x:c r="I2573" s="2" t="n">
        <x:v>5</x:v>
      </x:c>
      <x:c r="J2573" s="2" t="n">
        <x:v>5</x:v>
      </x:c>
      <x:c r="K2573" s="2" t="n">
        <x:v>5</x:v>
      </x:c>
      <x:c r="L2573" s="2" t="str">
        <x:v>Champions</x:v>
      </x:c>
    </x:row>
    <x:row r="2574" ht="22" customHeight="1">
      <x:c r="A2574" s="2"/>
      <x:c r="B2574" s="2" t="str">
        <x:v>14908</x:v>
      </x:c>
      <x:c r="C2574" s="2" t="str">
        <x:v>United Kingdom</x:v>
      </x:c>
      <x:c r="D2574" s="25" t="n">
        <x:v>40423.48541666667</x:v>
      </x:c>
      <x:c r="E2574" s="25" t="n">
        <x:v>40812.330555555556</x:v>
      </x:c>
      <x:c r="F2574" s="2" t="n">
        <x:v>75</x:v>
      </x:c>
      <x:c r="G2574" s="2" t="n">
        <x:v>2</x:v>
      </x:c>
      <x:c r="H2574" s="11" t="n">
        <x:v>381.9</x:v>
      </x:c>
      <x:c r="I2574" s="2" t="n">
        <x:v>3</x:v>
      </x:c>
      <x:c r="J2574" s="2" t="n">
        <x:v>2</x:v>
      </x:c>
      <x:c r="K2574" s="2" t="n">
        <x:v>2</x:v>
      </x:c>
      <x:c r="L2574" s="2" t="str">
        <x:v>Developing</x:v>
      </x:c>
    </x:row>
    <x:row r="2575" ht="22" customHeight="1">
      <x:c r="A2575" s="2"/>
      <x:c r="B2575" s="2" t="str">
        <x:v>14909</x:v>
      </x:c>
      <x:c r="C2575" s="2" t="str">
        <x:v>United Kingdom</x:v>
      </x:c>
      <x:c r="D2575" s="25" t="n">
        <x:v>40223.44930555556</x:v>
      </x:c>
      <x:c r="E2575" s="25" t="n">
        <x:v>40449.49722222222</x:v>
      </x:c>
      <x:c r="F2575" s="2" t="n">
        <x:v>438</x:v>
      </x:c>
      <x:c r="G2575" s="2" t="n">
        <x:v>3</x:v>
      </x:c>
      <x:c r="H2575" s="11" t="n">
        <x:v>1404.68</x:v>
      </x:c>
      <x:c r="I2575" s="2" t="n">
        <x:v>1</x:v>
      </x:c>
      <x:c r="J2575" s="2" t="n">
        <x:v>3</x:v>
      </x:c>
      <x:c r="K2575" s="2" t="n">
        <x:v>4</x:v>
      </x:c>
      <x:c r="L2575" s="2" t="str">
        <x:v>At risk</x:v>
      </x:c>
    </x:row>
    <x:row r="2576" ht="22" customHeight="1">
      <x:c r="A2576" s="2"/>
      <x:c r="B2576" s="2" t="str">
        <x:v>14910</x:v>
      </x:c>
      <x:c r="C2576" s="2" t="str">
        <x:v>United Kingdom</x:v>
      </x:c>
      <x:c r="D2576" s="25" t="n">
        <x:v>40832.254166666666</x:v>
      </x:c>
      <x:c r="E2576" s="25" t="n">
        <x:v>40884.2125</x:v>
      </x:c>
      <x:c r="F2576" s="2" t="n">
        <x:v>3</x:v>
      </x:c>
      <x:c r="G2576" s="2" t="n">
        <x:v>4</x:v>
      </x:c>
      <x:c r="H2576" s="11" t="n">
        <x:v>434.35</x:v>
      </x:c>
      <x:c r="I2576" s="2" t="n">
        <x:v>5</x:v>
      </x:c>
      <x:c r="J2576" s="2" t="n">
        <x:v>3</x:v>
      </x:c>
      <x:c r="K2576" s="2" t="n">
        <x:v>2</x:v>
      </x:c>
      <x:c r="L2576" s="2" t="str">
        <x:v>Loyal</x:v>
      </x:c>
    </x:row>
    <x:row r="2577" ht="22" customHeight="1">
      <x:c r="A2577" s="2"/>
      <x:c r="B2577" s="2" t="str">
        <x:v>14911</x:v>
      </x:c>
      <x:c r="C2577" s="2" t="str">
        <x:v>EIRE</x:v>
      </x:c>
      <x:c r="D2577" s="25" t="n">
        <x:v>40148.27847222222</x:v>
      </x:c>
      <x:c r="E2577" s="25" t="n">
        <x:v>40885.45416666667</x:v>
      </x:c>
      <x:c r="F2577" s="2" t="n">
        <x:v>2</x:v>
      </x:c>
      <x:c r="G2577" s="2" t="n">
        <x:v>398</x:v>
      </x:c>
      <x:c r="H2577" s="11" t="n">
        <x:v>291561.05</x:v>
      </x:c>
      <x:c r="I2577" s="2" t="n">
        <x:v>5</x:v>
      </x:c>
      <x:c r="J2577" s="2" t="n">
        <x:v>5</x:v>
      </x:c>
      <x:c r="K2577" s="2" t="n">
        <x:v>5</x:v>
      </x:c>
      <x:c r="L2577" s="2" t="str">
        <x:v>Champions</x:v>
      </x:c>
    </x:row>
    <x:row r="2578" ht="22" customHeight="1">
      <x:c r="A2578" s="2"/>
      <x:c r="B2578" s="2" t="str">
        <x:v>14912</x:v>
      </x:c>
      <x:c r="C2578" s="2" t="str">
        <x:v>Italy</x:v>
      </x:c>
      <x:c r="D2578" s="25" t="n">
        <x:v>40204.478472222225</x:v>
      </x:c>
      <x:c r="E2578" s="25" t="n">
        <x:v>40870.180555555555</x:v>
      </x:c>
      <x:c r="F2578" s="2" t="n">
        <x:v>17</x:v>
      </x:c>
      <x:c r="G2578" s="2" t="n">
        <x:v>6</x:v>
      </x:c>
      <x:c r="H2578" s="11" t="n">
        <x:v>1889.25</x:v>
      </x:c>
      <x:c r="I2578" s="2" t="n">
        <x:v>5</x:v>
      </x:c>
      <x:c r="J2578" s="2" t="n">
        <x:v>4</x:v>
      </x:c>
      <x:c r="K2578" s="2" t="n">
        <x:v>4</x:v>
      </x:c>
      <x:c r="L2578" s="2" t="str">
        <x:v>Champions</x:v>
      </x:c>
    </x:row>
    <x:row r="2579" ht="22" customHeight="1">
      <x:c r="A2579" s="2"/>
      <x:c r="B2579" s="2" t="str">
        <x:v>14913</x:v>
      </x:c>
      <x:c r="C2579" s="2" t="str">
        <x:v>United Kingdom</x:v>
      </x:c>
      <x:c r="D2579" s="25" t="n">
        <x:v>40401.15277777778</x:v>
      </x:c>
      <x:c r="E2579" s="25" t="n">
        <x:v>40851.14513888889</x:v>
      </x:c>
      <x:c r="F2579" s="2" t="n">
        <x:v>36</x:v>
      </x:c>
      <x:c r="G2579" s="2" t="n">
        <x:v>8</x:v>
      </x:c>
      <x:c r="H2579" s="11" t="n">
        <x:v>4073.13</x:v>
      </x:c>
      <x:c r="I2579" s="2" t="n">
        <x:v>4</x:v>
      </x:c>
      <x:c r="J2579" s="2" t="n">
        <x:v>4</x:v>
      </x:c>
      <x:c r="K2579" s="2" t="n">
        <x:v>5</x:v>
      </x:c>
      <x:c r="L2579" s="2" t="str">
        <x:v>Champions</x:v>
      </x:c>
    </x:row>
    <x:row r="2580" ht="22" customHeight="1">
      <x:c r="A2580" s="2"/>
      <x:c r="B2580" s="2" t="str">
        <x:v>14915</x:v>
      </x:c>
      <x:c r="C2580" s="2" t="str">
        <x:v>United Kingdom</x:v>
      </x:c>
      <x:c r="D2580" s="25" t="n">
        <x:v>40150.220138888886</x:v>
      </x:c>
      <x:c r="E2580" s="25" t="n">
        <x:v>40795.356944444444</x:v>
      </x:c>
      <x:c r="F2580" s="2" t="n">
        <x:v>92</x:v>
      </x:c>
      <x:c r="G2580" s="2" t="n">
        <x:v>11</x:v>
      </x:c>
      <x:c r="H2580" s="11" t="n">
        <x:v>1811.25</x:v>
      </x:c>
      <x:c r="I2580" s="2" t="n">
        <x:v>3</x:v>
      </x:c>
      <x:c r="J2580" s="2" t="n">
        <x:v>5</x:v>
      </x:c>
      <x:c r="K2580" s="2" t="n">
        <x:v>4</x:v>
      </x:c>
      <x:c r="L2580" s="2" t="str">
        <x:v>Loyal</x:v>
      </x:c>
    </x:row>
    <x:row r="2581" ht="22" customHeight="1">
      <x:c r="A2581" s="2"/>
      <x:c r="B2581" s="2" t="str">
        <x:v>14916</x:v>
      </x:c>
      <x:c r="C2581" s="2" t="str">
        <x:v>United Kingdom</x:v>
      </x:c>
      <x:c r="D2581" s="25" t="n">
        <x:v>40269.24791666667</x:v>
      </x:c>
      <x:c r="E2581" s="25" t="n">
        <x:v>40816.180555555555</x:v>
      </x:c>
      <x:c r="F2581" s="2" t="n">
        <x:v>71</x:v>
      </x:c>
      <x:c r="G2581" s="2" t="n">
        <x:v>8</x:v>
      </x:c>
      <x:c r="H2581" s="11" t="n">
        <x:v>3042.95</x:v>
      </x:c>
      <x:c r="I2581" s="2" t="n">
        <x:v>3</x:v>
      </x:c>
      <x:c r="J2581" s="2" t="n">
        <x:v>4</x:v>
      </x:c>
      <x:c r="K2581" s="2" t="n">
        <x:v>5</x:v>
      </x:c>
      <x:c r="L2581" s="2" t="str">
        <x:v>Loyal</x:v>
      </x:c>
    </x:row>
    <x:row r="2582" ht="22" customHeight="1">
      <x:c r="A2582" s="2"/>
      <x:c r="B2582" s="2" t="str">
        <x:v>14917</x:v>
      </x:c>
      <x:c r="C2582" s="2" t="str">
        <x:v>United Kingdom</x:v>
      </x:c>
      <x:c r="D2582" s="25" t="n">
        <x:v>40290.197222222225</x:v>
      </x:c>
      <x:c r="E2582" s="25" t="n">
        <x:v>40290.26944444444</x:v>
      </x:c>
      <x:c r="F2582" s="2" t="n">
        <x:v>597</x:v>
      </x:c>
      <x:c r="G2582" s="2" t="n">
        <x:v>2</x:v>
      </x:c>
      <x:c r="H2582" s="11" t="n">
        <x:v>1123.75</x:v>
      </x:c>
      <x:c r="I2582" s="2" t="n">
        <x:v>1</x:v>
      </x:c>
      <x:c r="J2582" s="2" t="n">
        <x:v>2</x:v>
      </x:c>
      <x:c r="K2582" s="2" t="n">
        <x:v>3</x:v>
      </x:c>
      <x:c r="L2582" s="2" t="str">
        <x:v>Hibernating</x:v>
      </x:c>
    </x:row>
    <x:row r="2583" ht="22" customHeight="1">
      <x:c r="A2583" s="2"/>
      <x:c r="B2583" s="2" t="str">
        <x:v>14918</x:v>
      </x:c>
      <x:c r="C2583" s="2" t="str">
        <x:v>United Kingdom</x:v>
      </x:c>
      <x:c r="D2583" s="25" t="n">
        <x:v>40276.2625</x:v>
      </x:c>
      <x:c r="E2583" s="25" t="n">
        <x:v>40771.28472222222</x:v>
      </x:c>
      <x:c r="F2583" s="2" t="n">
        <x:v>116</x:v>
      </x:c>
      <x:c r="G2583" s="2" t="n">
        <x:v>9</x:v>
      </x:c>
      <x:c r="H2583" s="11" t="n">
        <x:v>5955.81</x:v>
      </x:c>
      <x:c r="I2583" s="2" t="n">
        <x:v>3</x:v>
      </x:c>
      <x:c r="J2583" s="2" t="n">
        <x:v>5</x:v>
      </x:c>
      <x:c r="K2583" s="2" t="n">
        <x:v>5</x:v>
      </x:c>
      <x:c r="L2583" s="2" t="str">
        <x:v>Loyal</x:v>
      </x:c>
    </x:row>
    <x:row r="2584" ht="22" customHeight="1">
      <x:c r="A2584" s="2"/>
      <x:c r="B2584" s="2" t="str">
        <x:v>14919</x:v>
      </x:c>
      <x:c r="C2584" s="2" t="str">
        <x:v>United Kingdom</x:v>
      </x:c>
      <x:c r="D2584" s="25" t="n">
        <x:v>40347.3375</x:v>
      </x:c>
      <x:c r="E2584" s="25" t="n">
        <x:v>40347.3375</x:v>
      </x:c>
      <x:c r="F2584" s="2" t="n">
        <x:v>540</x:v>
      </x:c>
      <x:c r="G2584" s="2" t="n">
        <x:v>1</x:v>
      </x:c>
      <x:c r="H2584" s="11" t="n">
        <x:v>359.35</x:v>
      </x:c>
      <x:c r="I2584" s="2" t="n">
        <x:v>1</x:v>
      </x:c>
      <x:c r="J2584" s="2" t="n">
        <x:v>1</x:v>
      </x:c>
      <x:c r="K2584" s="2" t="n">
        <x:v>2</x:v>
      </x:c>
      <x:c r="L2584" s="2" t="str">
        <x:v>Hibernating</x:v>
      </x:c>
    </x:row>
    <x:row r="2585" ht="22" customHeight="1">
      <x:c r="A2585" s="2"/>
      <x:c r="B2585" s="2" t="str">
        <x:v>14920</x:v>
      </x:c>
      <x:c r="C2585" s="2" t="str">
        <x:v>United Kingdom</x:v>
      </x:c>
      <x:c r="D2585" s="25" t="n">
        <x:v>40321.43402777778</x:v>
      </x:c>
      <x:c r="E2585" s="25" t="n">
        <x:v>40674.23055555556</x:v>
      </x:c>
      <x:c r="F2585" s="2" t="n">
        <x:v>213</x:v>
      </x:c>
      <x:c r="G2585" s="2" t="n">
        <x:v>3</x:v>
      </x:c>
      <x:c r="H2585" s="11" t="n">
        <x:v>1607.17</x:v>
      </x:c>
      <x:c r="I2585" s="2" t="n">
        <x:v>2</x:v>
      </x:c>
      <x:c r="J2585" s="2" t="n">
        <x:v>3</x:v>
      </x:c>
      <x:c r="K2585" s="2" t="n">
        <x:v>4</x:v>
      </x:c>
      <x:c r="L2585" s="2" t="str">
        <x:v>At risk</x:v>
      </x:c>
    </x:row>
    <x:row r="2586" ht="22" customHeight="1">
      <x:c r="A2586" s="2"/>
      <x:c r="B2586" s="2" t="str">
        <x:v>14921</x:v>
      </x:c>
      <x:c r="C2586" s="2" t="str">
        <x:v>United Kingdom</x:v>
      </x:c>
      <x:c r="D2586" s="25" t="n">
        <x:v>40685.32708333333</x:v>
      </x:c>
      <x:c r="E2586" s="25" t="n">
        <x:v>40856.345138888886</x:v>
      </x:c>
      <x:c r="F2586" s="2" t="n">
        <x:v>31</x:v>
      </x:c>
      <x:c r="G2586" s="2" t="n">
        <x:v>2</x:v>
      </x:c>
      <x:c r="H2586" s="11" t="n">
        <x:v>1316.07</x:v>
      </x:c>
      <x:c r="I2586" s="2" t="n">
        <x:v>4</x:v>
      </x:c>
      <x:c r="J2586" s="2" t="n">
        <x:v>2</x:v>
      </x:c>
      <x:c r="K2586" s="2" t="n">
        <x:v>4</x:v>
      </x:c>
      <x:c r="L2586" s="2" t="str">
        <x:v>Recent light buyers</x:v>
      </x:c>
    </x:row>
    <x:row r="2587" ht="22" customHeight="1">
      <x:c r="A2587" s="2"/>
      <x:c r="B2587" s="2" t="str">
        <x:v>14922</x:v>
      </x:c>
      <x:c r="C2587" s="2" t="str">
        <x:v>United Kingdom</x:v>
      </x:c>
      <x:c r="D2587" s="25" t="n">
        <x:v>40379.197916666664</x:v>
      </x:c>
      <x:c r="E2587" s="25" t="n">
        <x:v>40493.259722222225</x:v>
      </x:c>
      <x:c r="F2587" s="2" t="n">
        <x:v>394</x:v>
      </x:c>
      <x:c r="G2587" s="2" t="n">
        <x:v>2</x:v>
      </x:c>
      <x:c r="H2587" s="11" t="n">
        <x:v>843.74</x:v>
      </x:c>
      <x:c r="I2587" s="2" t="n">
        <x:v>2</x:v>
      </x:c>
      <x:c r="J2587" s="2" t="n">
        <x:v>2</x:v>
      </x:c>
      <x:c r="K2587" s="2" t="n">
        <x:v>3</x:v>
      </x:c>
      <x:c r="L2587" s="2" t="str">
        <x:v>Hibernating</x:v>
      </x:c>
    </x:row>
    <x:row r="2588" ht="22" customHeight="1">
      <x:c r="A2588" s="2"/>
      <x:c r="B2588" s="2" t="str">
        <x:v>14923</x:v>
      </x:c>
      <x:c r="C2588" s="2" t="str">
        <x:v>United Kingdom</x:v>
      </x:c>
      <x:c r="D2588" s="25" t="n">
        <x:v>40836.285416666666</x:v>
      </x:c>
      <x:c r="E2588" s="25" t="n">
        <x:v>40836.285416666666</x:v>
      </x:c>
      <x:c r="F2588" s="2" t="n">
        <x:v>51</x:v>
      </x:c>
      <x:c r="G2588" s="2" t="n">
        <x:v>1</x:v>
      </x:c>
      <x:c r="H2588" s="11" t="n">
        <x:v>749.1</x:v>
      </x:c>
      <x:c r="I2588" s="2" t="n">
        <x:v>4</x:v>
      </x:c>
      <x:c r="J2588" s="2" t="n">
        <x:v>1</x:v>
      </x:c>
      <x:c r="K2588" s="2" t="n">
        <x:v>3</x:v>
      </x:c>
      <x:c r="L2588" s="2" t="str">
        <x:v>Recent light buyers</x:v>
      </x:c>
    </x:row>
    <x:row r="2589" ht="22" customHeight="1">
      <x:c r="A2589" s="2"/>
      <x:c r="B2589" s="2" t="str">
        <x:v>14924</x:v>
      </x:c>
      <x:c r="C2589" s="2" t="str">
        <x:v>United Kingdom</x:v>
      </x:c>
      <x:c r="D2589" s="25" t="n">
        <x:v>40247.32708333333</x:v>
      </x:c>
      <x:c r="E2589" s="25" t="n">
        <x:v>40641.18402777778</x:v>
      </x:c>
      <x:c r="F2589" s="2" t="n">
        <x:v>246</x:v>
      </x:c>
      <x:c r="G2589" s="2" t="n">
        <x:v>3</x:v>
      </x:c>
      <x:c r="H2589" s="11" t="n">
        <x:v>931.01</x:v>
      </x:c>
      <x:c r="I2589" s="2" t="n">
        <x:v>2</x:v>
      </x:c>
      <x:c r="J2589" s="2" t="n">
        <x:v>3</x:v>
      </x:c>
      <x:c r="K2589" s="2" t="n">
        <x:v>3</x:v>
      </x:c>
      <x:c r="L2589" s="2" t="str">
        <x:v>At risk</x:v>
      </x:c>
    </x:row>
    <x:row r="2590" ht="22" customHeight="1">
      <x:c r="A2590" s="2"/>
      <x:c r="B2590" s="2" t="str">
        <x:v>14926</x:v>
      </x:c>
      <x:c r="C2590" s="2" t="str">
        <x:v>United Kingdom</x:v>
      </x:c>
      <x:c r="D2590" s="25" t="n">
        <x:v>40288.20763888889</x:v>
      </x:c>
      <x:c r="E2590" s="25" t="n">
        <x:v>40505.092361111114</x:v>
      </x:c>
      <x:c r="F2590" s="2" t="n">
        <x:v>382</x:v>
      </x:c>
      <x:c r="G2590" s="2" t="n">
        <x:v>2</x:v>
      </x:c>
      <x:c r="H2590" s="11" t="n">
        <x:v>359.4</x:v>
      </x:c>
      <x:c r="I2590" s="2" t="n">
        <x:v>2</x:v>
      </x:c>
      <x:c r="J2590" s="2" t="n">
        <x:v>2</x:v>
      </x:c>
      <x:c r="K2590" s="2" t="n">
        <x:v>2</x:v>
      </x:c>
      <x:c r="L2590" s="2" t="str">
        <x:v>Hibernating</x:v>
      </x:c>
    </x:row>
    <x:row r="2591" ht="22" customHeight="1">
      <x:c r="A2591" s="2"/>
      <x:c r="B2591" s="2" t="str">
        <x:v>14927</x:v>
      </x:c>
      <x:c r="C2591" s="2" t="str">
        <x:v>United Kingdom</x:v>
      </x:c>
      <x:c r="D2591" s="25" t="n">
        <x:v>40490.3125</x:v>
      </x:c>
      <x:c r="E2591" s="25" t="n">
        <x:v>40490.3125</x:v>
      </x:c>
      <x:c r="F2591" s="2" t="n">
        <x:v>397</x:v>
      </x:c>
      <x:c r="G2591" s="2" t="n">
        <x:v>1</x:v>
      </x:c>
      <x:c r="H2591" s="11" t="n">
        <x:v>308.2</x:v>
      </x:c>
      <x:c r="I2591" s="2" t="n">
        <x:v>2</x:v>
      </x:c>
      <x:c r="J2591" s="2" t="n">
        <x:v>1</x:v>
      </x:c>
      <x:c r="K2591" s="2" t="n">
        <x:v>2</x:v>
      </x:c>
      <x:c r="L2591" s="2" t="str">
        <x:v>Hibernating</x:v>
      </x:c>
    </x:row>
    <x:row r="2592" ht="22" customHeight="1">
      <x:c r="A2592" s="2"/>
      <x:c r="B2592" s="2" t="str">
        <x:v>14928</x:v>
      </x:c>
      <x:c r="C2592" s="2" t="str">
        <x:v>United Kingdom</x:v>
      </x:c>
      <x:c r="D2592" s="25" t="n">
        <x:v>40259.17638888889</x:v>
      </x:c>
      <x:c r="E2592" s="25" t="n">
        <x:v>40259.17638888889</x:v>
      </x:c>
      <x:c r="F2592" s="2" t="n">
        <x:v>628</x:v>
      </x:c>
      <x:c r="G2592" s="2" t="n">
        <x:v>1</x:v>
      </x:c>
      <x:c r="H2592" s="11" t="n">
        <x:v>223.91</x:v>
      </x:c>
      <x:c r="I2592" s="2" t="n">
        <x:v>1</x:v>
      </x:c>
      <x:c r="J2592" s="2" t="n">
        <x:v>1</x:v>
      </x:c>
      <x:c r="K2592" s="2" t="n">
        <x:v>1</x:v>
      </x:c>
      <x:c r="L2592" s="2" t="str">
        <x:v>Hibernating</x:v>
      </x:c>
    </x:row>
    <x:row r="2593" ht="22" customHeight="1">
      <x:c r="A2593" s="2"/>
      <x:c r="B2593" s="2" t="str">
        <x:v>14929</x:v>
      </x:c>
      <x:c r="C2593" s="2" t="str">
        <x:v>United Kingdom</x:v>
      </x:c>
      <x:c r="D2593" s="25" t="n">
        <x:v>40465.30694444444</x:v>
      </x:c>
      <x:c r="E2593" s="25" t="n">
        <x:v>40854.51458333333</x:v>
      </x:c>
      <x:c r="F2593" s="2" t="n">
        <x:v>33</x:v>
      </x:c>
      <x:c r="G2593" s="2" t="n">
        <x:v>2</x:v>
      </x:c>
      <x:c r="H2593" s="11" t="n">
        <x:v>836.69</x:v>
      </x:c>
      <x:c r="I2593" s="2" t="n">
        <x:v>4</x:v>
      </x:c>
      <x:c r="J2593" s="2" t="n">
        <x:v>2</x:v>
      </x:c>
      <x:c r="K2593" s="2" t="n">
        <x:v>3</x:v>
      </x:c>
      <x:c r="L2593" s="2" t="str">
        <x:v>Recent light buyers</x:v>
      </x:c>
    </x:row>
    <x:row r="2594" ht="22" customHeight="1">
      <x:c r="A2594" s="2"/>
      <x:c r="B2594" s="2" t="str">
        <x:v>14930</x:v>
      </x:c>
      <x:c r="C2594" s="2" t="str">
        <x:v>Channel Islands</x:v>
      </x:c>
      <x:c r="D2594" s="25" t="n">
        <x:v>40280.26527777778</x:v>
      </x:c>
      <x:c r="E2594" s="25" t="n">
        <x:v>40778.22986111111</x:v>
      </x:c>
      <x:c r="F2594" s="2" t="n">
        <x:v>109</x:v>
      </x:c>
      <x:c r="G2594" s="2" t="n">
        <x:v>6</x:v>
      </x:c>
      <x:c r="H2594" s="11" t="n">
        <x:v>5246.63</x:v>
      </x:c>
      <x:c r="I2594" s="2" t="n">
        <x:v>3</x:v>
      </x:c>
      <x:c r="J2594" s="2" t="n">
        <x:v>4</x:v>
      </x:c>
      <x:c r="K2594" s="2" t="n">
        <x:v>5</x:v>
      </x:c>
      <x:c r="L2594" s="2" t="str">
        <x:v>Loyal</x:v>
      </x:c>
    </x:row>
    <x:row r="2595" ht="22" customHeight="1">
      <x:c r="A2595" s="2"/>
      <x:c r="B2595" s="2" t="str">
        <x:v>14931</x:v>
      </x:c>
      <x:c r="C2595" s="2" t="str">
        <x:v>Channel Islands</x:v>
      </x:c>
      <x:c r="D2595" s="25" t="n">
        <x:v>40646.188888888886</x:v>
      </x:c>
      <x:c r="E2595" s="25" t="n">
        <x:v>40882.22152777778</x:v>
      </x:c>
      <x:c r="F2595" s="2" t="n">
        <x:v>5</x:v>
      </x:c>
      <x:c r="G2595" s="2" t="n">
        <x:v>5</x:v>
      </x:c>
      <x:c r="H2595" s="11" t="n">
        <x:v>1257.68</x:v>
      </x:c>
      <x:c r="I2595" s="2" t="n">
        <x:v>5</x:v>
      </x:c>
      <x:c r="J2595" s="2" t="n">
        <x:v>4</x:v>
      </x:c>
      <x:c r="K2595" s="2" t="n">
        <x:v>4</x:v>
      </x:c>
      <x:c r="L2595" s="2" t="str">
        <x:v>Champions</x:v>
      </x:c>
    </x:row>
    <x:row r="2596" ht="22" customHeight="1">
      <x:c r="A2596" s="2"/>
      <x:c r="B2596" s="2" t="str">
        <x:v>14932</x:v>
      </x:c>
      <x:c r="C2596" s="2" t="str">
        <x:v>Channel Islands</x:v>
      </x:c>
      <x:c r="D2596" s="25" t="n">
        <x:v>40501.177777777775</x:v>
      </x:c>
      <x:c r="E2596" s="25" t="n">
        <x:v>40521.28333333333</x:v>
      </x:c>
      <x:c r="F2596" s="2" t="n">
        <x:v>366</x:v>
      </x:c>
      <x:c r="G2596" s="2" t="n">
        <x:v>2</x:v>
      </x:c>
      <x:c r="H2596" s="11" t="n">
        <x:v>666.13</x:v>
      </x:c>
      <x:c r="I2596" s="2" t="n">
        <x:v>2</x:v>
      </x:c>
      <x:c r="J2596" s="2" t="n">
        <x:v>2</x:v>
      </x:c>
      <x:c r="K2596" s="2" t="n">
        <x:v>3</x:v>
      </x:c>
      <x:c r="L2596" s="2" t="str">
        <x:v>Hibernating</x:v>
      </x:c>
    </x:row>
    <x:row r="2597" ht="22" customHeight="1">
      <x:c r="A2597" s="2"/>
      <x:c r="B2597" s="2" t="str">
        <x:v>14933</x:v>
      </x:c>
      <x:c r="C2597" s="2" t="str">
        <x:v>Channel Islands</x:v>
      </x:c>
      <x:c r="D2597" s="25" t="n">
        <x:v>40442.52013888889</x:v>
      </x:c>
      <x:c r="E2597" s="25" t="n">
        <x:v>40443.24097222222</x:v>
      </x:c>
      <x:c r="F2597" s="2" t="n">
        <x:v>444</x:v>
      </x:c>
      <x:c r="G2597" s="2" t="n">
        <x:v>4</x:v>
      </x:c>
      <x:c r="H2597" s="11" t="n">
        <x:v>1770</x:v>
      </x:c>
      <x:c r="I2597" s="2" t="n">
        <x:v>1</x:v>
      </x:c>
      <x:c r="J2597" s="2" t="n">
        <x:v>3</x:v>
      </x:c>
      <x:c r="K2597" s="2" t="n">
        <x:v>4</x:v>
      </x:c>
      <x:c r="L2597" s="2" t="str">
        <x:v>At risk</x:v>
      </x:c>
    </x:row>
    <x:row r="2598" ht="22" customHeight="1">
      <x:c r="A2598" s="2"/>
      <x:c r="B2598" s="2" t="str">
        <x:v>14934</x:v>
      </x:c>
      <x:c r="C2598" s="2" t="str">
        <x:v>Channel Islands</x:v>
      </x:c>
      <x:c r="D2598" s="25" t="n">
        <x:v>40445.29722222222</x:v>
      </x:c>
      <x:c r="E2598" s="25" t="n">
        <x:v>40805.21527777778</x:v>
      </x:c>
      <x:c r="F2598" s="2" t="n">
        <x:v>82</x:v>
      </x:c>
      <x:c r="G2598" s="2" t="n">
        <x:v>5</x:v>
      </x:c>
      <x:c r="H2598" s="11" t="n">
        <x:v>3503.5</x:v>
      </x:c>
      <x:c r="I2598" s="2" t="n">
        <x:v>3</x:v>
      </x:c>
      <x:c r="J2598" s="2" t="n">
        <x:v>4</x:v>
      </x:c>
      <x:c r="K2598" s="2" t="n">
        <x:v>5</x:v>
      </x:c>
      <x:c r="L2598" s="2" t="str">
        <x:v>Loyal</x:v>
      </x:c>
    </x:row>
    <x:row r="2599" ht="22" customHeight="1">
      <x:c r="A2599" s="2"/>
      <x:c r="B2599" s="2" t="str">
        <x:v>14935</x:v>
      </x:c>
      <x:c r="C2599" s="2" t="str">
        <x:v>Channel Islands</x:v>
      </x:c>
      <x:c r="D2599" s="25" t="n">
        <x:v>40267.28333333333</x:v>
      </x:c>
      <x:c r="E2599" s="25" t="n">
        <x:v>40589.40555555555</x:v>
      </x:c>
      <x:c r="F2599" s="2" t="n">
        <x:v>298</x:v>
      </x:c>
      <x:c r="G2599" s="2" t="n">
        <x:v>2</x:v>
      </x:c>
      <x:c r="H2599" s="11" t="n">
        <x:v>2849.83</x:v>
      </x:c>
      <x:c r="I2599" s="2" t="n">
        <x:v>2</x:v>
      </x:c>
      <x:c r="J2599" s="2" t="n">
        <x:v>2</x:v>
      </x:c>
      <x:c r="K2599" s="2" t="n">
        <x:v>4</x:v>
      </x:c>
      <x:c r="L2599" s="2" t="str">
        <x:v>Hibernating</x:v>
      </x:c>
    </x:row>
    <x:row r="2600" ht="22" customHeight="1">
      <x:c r="A2600" s="2"/>
      <x:c r="B2600" s="2" t="str">
        <x:v>14936</x:v>
      </x:c>
      <x:c r="C2600" s="2" t="str">
        <x:v>Channel Islands</x:v>
      </x:c>
      <x:c r="D2600" s="25" t="n">
        <x:v>40303.30972222222</x:v>
      </x:c>
      <x:c r="E2600" s="25" t="n">
        <x:v>40853.229166666664</x:v>
      </x:c>
      <x:c r="F2600" s="2" t="n">
        <x:v>34</x:v>
      </x:c>
      <x:c r="G2600" s="2" t="n">
        <x:v>12</x:v>
      </x:c>
      <x:c r="H2600" s="11" t="n">
        <x:v>12410.81</x:v>
      </x:c>
      <x:c r="I2600" s="2" t="n">
        <x:v>4</x:v>
      </x:c>
      <x:c r="J2600" s="2" t="n">
        <x:v>5</x:v>
      </x:c>
      <x:c r="K2600" s="2" t="n">
        <x:v>5</x:v>
      </x:c>
      <x:c r="L2600" s="2" t="str">
        <x:v>Champions</x:v>
      </x:c>
    </x:row>
    <x:row r="2601" ht="22" customHeight="1">
      <x:c r="A2601" s="2"/>
      <x:c r="B2601" s="2" t="str">
        <x:v>14937</x:v>
      </x:c>
      <x:c r="C2601" s="2" t="str">
        <x:v>Channel Islands</x:v>
      </x:c>
      <x:c r="D2601" s="25" t="n">
        <x:v>40756.38611111111</x:v>
      </x:c>
      <x:c r="E2601" s="25" t="n">
        <x:v>40830.31180555555</x:v>
      </x:c>
      <x:c r="F2601" s="2" t="n">
        <x:v>57</x:v>
      </x:c>
      <x:c r="G2601" s="2" t="n">
        <x:v>3</x:v>
      </x:c>
      <x:c r="H2601" s="11" t="n">
        <x:v>1621.88</x:v>
      </x:c>
      <x:c r="I2601" s="2" t="n">
        <x:v>4</x:v>
      </x:c>
      <x:c r="J2601" s="2" t="n">
        <x:v>3</x:v>
      </x:c>
      <x:c r="K2601" s="2" t="n">
        <x:v>4</x:v>
      </x:c>
      <x:c r="L2601" s="2" t="str">
        <x:v>Loyal</x:v>
      </x:c>
    </x:row>
    <x:row r="2602" ht="22" customHeight="1">
      <x:c r="A2602" s="2"/>
      <x:c r="B2602" s="2" t="str">
        <x:v>14938</x:v>
      </x:c>
      <x:c r="C2602" s="2" t="str">
        <x:v>Channel Islands</x:v>
      </x:c>
      <x:c r="D2602" s="25" t="n">
        <x:v>40324.35763888889</x:v>
      </x:c>
      <x:c r="E2602" s="25" t="n">
        <x:v>40324.35972222222</x:v>
      </x:c>
      <x:c r="F2602" s="2" t="n">
        <x:v>563</x:v>
      </x:c>
      <x:c r="G2602" s="2" t="n">
        <x:v>2</x:v>
      </x:c>
      <x:c r="H2602" s="11" t="n">
        <x:v>2322.43</x:v>
      </x:c>
      <x:c r="I2602" s="2" t="n">
        <x:v>1</x:v>
      </x:c>
      <x:c r="J2602" s="2" t="n">
        <x:v>2</x:v>
      </x:c>
      <x:c r="K2602" s="2" t="n">
        <x:v>4</x:v>
      </x:c>
      <x:c r="L2602" s="2" t="str">
        <x:v>Hibernating</x:v>
      </x:c>
    </x:row>
    <x:row r="2603" ht="22" customHeight="1">
      <x:c r="A2603" s="2"/>
      <x:c r="B2603" s="2" t="str">
        <x:v>14940</x:v>
      </x:c>
      <x:c r="C2603" s="2" t="str">
        <x:v>United Kingdom</x:v>
      </x:c>
      <x:c r="D2603" s="25" t="n">
        <x:v>40153.44861111111</x:v>
      </x:c>
      <x:c r="E2603" s="25" t="n">
        <x:v>40469.24097222222</x:v>
      </x:c>
      <x:c r="F2603" s="2" t="n">
        <x:v>418</x:v>
      </x:c>
      <x:c r="G2603" s="2" t="n">
        <x:v>2</x:v>
      </x:c>
      <x:c r="H2603" s="11" t="n">
        <x:v>531.49</x:v>
      </x:c>
      <x:c r="I2603" s="2" t="n">
        <x:v>1</x:v>
      </x:c>
      <x:c r="J2603" s="2" t="n">
        <x:v>2</x:v>
      </x:c>
      <x:c r="K2603" s="2" t="n">
        <x:v>2</x:v>
      </x:c>
      <x:c r="L2603" s="2" t="str">
        <x:v>Hibernating</x:v>
      </x:c>
    </x:row>
    <x:row r="2604" ht="22" customHeight="1">
      <x:c r="A2604" s="2"/>
      <x:c r="B2604" s="2" t="str">
        <x:v>14941</x:v>
      </x:c>
      <x:c r="C2604" s="2" t="str">
        <x:v>United Kingdom</x:v>
      </x:c>
      <x:c r="D2604" s="25" t="n">
        <x:v>40308.270833333336</x:v>
      </x:c>
      <x:c r="E2604" s="25" t="n">
        <x:v>40308.270833333336</x:v>
      </x:c>
      <x:c r="F2604" s="2" t="n">
        <x:v>579</x:v>
      </x:c>
      <x:c r="G2604" s="2" t="n">
        <x:v>1</x:v>
      </x:c>
      <x:c r="H2604" s="11" t="n">
        <x:v>182.1</x:v>
      </x:c>
      <x:c r="I2604" s="2" t="n">
        <x:v>1</x:v>
      </x:c>
      <x:c r="J2604" s="2" t="n">
        <x:v>1</x:v>
      </x:c>
      <x:c r="K2604" s="2" t="n">
        <x:v>1</x:v>
      </x:c>
      <x:c r="L2604" s="2" t="str">
        <x:v>Hibernating</x:v>
      </x:c>
    </x:row>
    <x:row r="2605" ht="22" customHeight="1">
      <x:c r="A2605" s="2"/>
      <x:c r="B2605" s="2" t="str">
        <x:v>14942</x:v>
      </x:c>
      <x:c r="C2605" s="2" t="str">
        <x:v>United Kingdom</x:v>
      </x:c>
      <x:c r="D2605" s="25" t="n">
        <x:v>40157.23055555556</x:v>
      </x:c>
      <x:c r="E2605" s="25" t="n">
        <x:v>40485.24375</x:v>
      </x:c>
      <x:c r="F2605" s="2" t="n">
        <x:v>402</x:v>
      </x:c>
      <x:c r="G2605" s="2" t="n">
        <x:v>4</x:v>
      </x:c>
      <x:c r="H2605" s="11" t="n">
        <x:v>746.56</x:v>
      </x:c>
      <x:c r="I2605" s="2" t="n">
        <x:v>2</x:v>
      </x:c>
      <x:c r="J2605" s="2" t="n">
        <x:v>3</x:v>
      </x:c>
      <x:c r="K2605" s="2" t="n">
        <x:v>3</x:v>
      </x:c>
      <x:c r="L2605" s="2" t="str">
        <x:v>At risk</x:v>
      </x:c>
    </x:row>
    <x:row r="2606" ht="22" customHeight="1">
      <x:c r="A2606" s="2"/>
      <x:c r="B2606" s="2" t="str">
        <x:v>14943</x:v>
      </x:c>
      <x:c r="C2606" s="2" t="str">
        <x:v>United Kingdom</x:v>
      </x:c>
      <x:c r="D2606" s="25" t="n">
        <x:v>40223.46111111111</x:v>
      </x:c>
      <x:c r="E2606" s="25" t="n">
        <x:v>40223.46111111111</x:v>
      </x:c>
      <x:c r="F2606" s="2" t="n">
        <x:v>664</x:v>
      </x:c>
      <x:c r="G2606" s="2" t="n">
        <x:v>1</x:v>
      </x:c>
      <x:c r="H2606" s="11" t="n">
        <x:v>107.62</x:v>
      </x:c>
      <x:c r="I2606" s="2" t="n">
        <x:v>1</x:v>
      </x:c>
      <x:c r="J2606" s="2" t="n">
        <x:v>1</x:v>
      </x:c>
      <x:c r="K2606" s="2" t="n">
        <x:v>1</x:v>
      </x:c>
      <x:c r="L2606" s="2" t="str">
        <x:v>Hibernating</x:v>
      </x:c>
    </x:row>
    <x:row r="2607" ht="22" customHeight="1">
      <x:c r="A2607" s="2"/>
      <x:c r="B2607" s="2" t="str">
        <x:v>14944</x:v>
      </x:c>
      <x:c r="C2607" s="2" t="str">
        <x:v>United Kingdom</x:v>
      </x:c>
      <x:c r="D2607" s="25" t="n">
        <x:v>40226.157638888886</x:v>
      </x:c>
      <x:c r="E2607" s="25" t="n">
        <x:v>40857.17361111111</x:v>
      </x:c>
      <x:c r="F2607" s="2" t="n">
        <x:v>30</x:v>
      </x:c>
      <x:c r="G2607" s="2" t="n">
        <x:v>19</x:v>
      </x:c>
      <x:c r="H2607" s="11" t="n">
        <x:v>9784.67</x:v>
      </x:c>
      <x:c r="I2607" s="2" t="n">
        <x:v>4</x:v>
      </x:c>
      <x:c r="J2607" s="2" t="n">
        <x:v>5</x:v>
      </x:c>
      <x:c r="K2607" s="2" t="n">
        <x:v>5</x:v>
      </x:c>
      <x:c r="L2607" s="2" t="str">
        <x:v>Champions</x:v>
      </x:c>
    </x:row>
    <x:row r="2608" ht="22" customHeight="1">
      <x:c r="A2608" s="2"/>
      <x:c r="B2608" s="2" t="str">
        <x:v>14945</x:v>
      </x:c>
      <x:c r="C2608" s="2" t="str">
        <x:v>United Kingdom</x:v>
      </x:c>
      <x:c r="D2608" s="25" t="n">
        <x:v>40473.268055555556</x:v>
      </x:c>
      <x:c r="E2608" s="25" t="n">
        <x:v>40473.268055555556</x:v>
      </x:c>
      <x:c r="F2608" s="2" t="n">
        <x:v>414</x:v>
      </x:c>
      <x:c r="G2608" s="2" t="n">
        <x:v>1</x:v>
      </x:c>
      <x:c r="H2608" s="11" t="n">
        <x:v>179.4</x:v>
      </x:c>
      <x:c r="I2608" s="2" t="n">
        <x:v>1</x:v>
      </x:c>
      <x:c r="J2608" s="2" t="n">
        <x:v>1</x:v>
      </x:c>
      <x:c r="K2608" s="2" t="n">
        <x:v>1</x:v>
      </x:c>
      <x:c r="L2608" s="2" t="str">
        <x:v>Hibernating</x:v>
      </x:c>
    </x:row>
    <x:row r="2609" ht="22" customHeight="1">
      <x:c r="A2609" s="2"/>
      <x:c r="B2609" s="2" t="str">
        <x:v>14946</x:v>
      </x:c>
      <x:c r="C2609" s="2" t="str">
        <x:v>United Kingdom</x:v>
      </x:c>
      <x:c r="D2609" s="25" t="n">
        <x:v>40872.35625</x:v>
      </x:c>
      <x:c r="E2609" s="25" t="n">
        <x:v>40872.35625</x:v>
      </x:c>
      <x:c r="F2609" s="2" t="n">
        <x:v>15</x:v>
      </x:c>
      <x:c r="G2609" s="2" t="n">
        <x:v>1</x:v>
      </x:c>
      <x:c r="H2609" s="11" t="n">
        <x:v>100.9</x:v>
      </x:c>
      <x:c r="I2609" s="2" t="n">
        <x:v>5</x:v>
      </x:c>
      <x:c r="J2609" s="2" t="n">
        <x:v>1</x:v>
      </x:c>
      <x:c r="K2609" s="2" t="n">
        <x:v>1</x:v>
      </x:c>
      <x:c r="L2609" s="2" t="str">
        <x:v>Recent light buyers</x:v>
      </x:c>
    </x:row>
    <x:row r="2610" ht="22" customHeight="1">
      <x:c r="A2610" s="2"/>
      <x:c r="B2610" s="2" t="str">
        <x:v>14947</x:v>
      </x:c>
      <x:c r="C2610" s="2" t="str">
        <x:v>United Kingdom</x:v>
      </x:c>
      <x:c r="D2610" s="25" t="n">
        <x:v>40262.27013888889</x:v>
      </x:c>
      <x:c r="E2610" s="25" t="n">
        <x:v>40814.45</x:v>
      </x:c>
      <x:c r="F2610" s="2" t="n">
        <x:v>73</x:v>
      </x:c>
      <x:c r="G2610" s="2" t="n">
        <x:v>6</x:v>
      </x:c>
      <x:c r="H2610" s="11" t="n">
        <x:v>1049.79</x:v>
      </x:c>
      <x:c r="I2610" s="2" t="n">
        <x:v>3</x:v>
      </x:c>
      <x:c r="J2610" s="2" t="n">
        <x:v>4</x:v>
      </x:c>
      <x:c r="K2610" s="2" t="n">
        <x:v>3</x:v>
      </x:c>
      <x:c r="L2610" s="2" t="str">
        <x:v>Loyal</x:v>
      </x:c>
    </x:row>
    <x:row r="2611" ht="22" customHeight="1">
      <x:c r="A2611" s="2"/>
      <x:c r="B2611" s="2" t="str">
        <x:v>14948</x:v>
      </x:c>
      <x:c r="C2611" s="2" t="str">
        <x:v>United Kingdom</x:v>
      </x:c>
      <x:c r="D2611" s="25" t="n">
        <x:v>40667.41111111111</x:v>
      </x:c>
      <x:c r="E2611" s="25" t="n">
        <x:v>40863.51111111111</x:v>
      </x:c>
      <x:c r="F2611" s="2" t="n">
        <x:v>24</x:v>
      </x:c>
      <x:c r="G2611" s="2" t="n">
        <x:v>6</x:v>
      </x:c>
      <x:c r="H2611" s="11" t="n">
        <x:v>1101.97</x:v>
      </x:c>
      <x:c r="I2611" s="2" t="n">
        <x:v>4</x:v>
      </x:c>
      <x:c r="J2611" s="2" t="n">
        <x:v>4</x:v>
      </x:c>
      <x:c r="K2611" s="2" t="n">
        <x:v>3</x:v>
      </x:c>
      <x:c r="L2611" s="2" t="str">
        <x:v>Loyal</x:v>
      </x:c>
    </x:row>
    <x:row r="2612" ht="22" customHeight="1">
      <x:c r="A2612" s="2"/>
      <x:c r="B2612" s="2" t="str">
        <x:v>14949</x:v>
      </x:c>
      <x:c r="C2612" s="2" t="str">
        <x:v>United Kingdom</x:v>
      </x:c>
      <x:c r="D2612" s="25" t="n">
        <x:v>40165.436111111114</x:v>
      </x:c>
      <x:c r="E2612" s="25" t="n">
        <x:v>40417.44305555556</x:v>
      </x:c>
      <x:c r="F2612" s="2" t="n">
        <x:v>470</x:v>
      </x:c>
      <x:c r="G2612" s="2" t="n">
        <x:v>4</x:v>
      </x:c>
      <x:c r="H2612" s="11" t="n">
        <x:v>515</x:v>
      </x:c>
      <x:c r="I2612" s="2" t="n">
        <x:v>1</x:v>
      </x:c>
      <x:c r="J2612" s="2" t="n">
        <x:v>3</x:v>
      </x:c>
      <x:c r="K2612" s="2" t="n">
        <x:v>2</x:v>
      </x:c>
      <x:c r="L2612" s="2" t="str">
        <x:v>At risk</x:v>
      </x:c>
    </x:row>
    <x:row r="2613" ht="22" customHeight="1">
      <x:c r="A2613" s="2"/>
      <x:c r="B2613" s="2" t="str">
        <x:v>14950</x:v>
      </x:c>
      <x:c r="C2613" s="2" t="str">
        <x:v>United Kingdom</x:v>
      </x:c>
      <x:c r="D2613" s="25" t="n">
        <x:v>40867.36666666667</x:v>
      </x:c>
      <x:c r="E2613" s="25" t="n">
        <x:v>40867.36666666667</x:v>
      </x:c>
      <x:c r="F2613" s="2" t="n">
        <x:v>20</x:v>
      </x:c>
      <x:c r="G2613" s="2" t="n">
        <x:v>1</x:v>
      </x:c>
      <x:c r="H2613" s="11" t="n">
        <x:v>371.2</x:v>
      </x:c>
      <x:c r="I2613" s="2" t="n">
        <x:v>5</x:v>
      </x:c>
      <x:c r="J2613" s="2" t="n">
        <x:v>1</x:v>
      </x:c>
      <x:c r="K2613" s="2" t="n">
        <x:v>2</x:v>
      </x:c>
      <x:c r="L2613" s="2" t="str">
        <x:v>Recent light buyers</x:v>
      </x:c>
    </x:row>
    <x:row r="2614" ht="22" customHeight="1">
      <x:c r="A2614" s="2"/>
      <x:c r="B2614" s="2" t="str">
        <x:v>14951</x:v>
      </x:c>
      <x:c r="C2614" s="2" t="str">
        <x:v>United Kingdom</x:v>
      </x:c>
      <x:c r="D2614" s="25" t="n">
        <x:v>40807.427083333336</x:v>
      </x:c>
      <x:c r="E2614" s="25" t="n">
        <x:v>40807.427083333336</x:v>
      </x:c>
      <x:c r="F2614" s="2" t="n">
        <x:v>80</x:v>
      </x:c>
      <x:c r="G2614" s="2" t="n">
        <x:v>1</x:v>
      </x:c>
      <x:c r="H2614" s="11" t="n">
        <x:v>311.69</x:v>
      </x:c>
      <x:c r="I2614" s="2" t="n">
        <x:v>3</x:v>
      </x:c>
      <x:c r="J2614" s="2" t="n">
        <x:v>1</x:v>
      </x:c>
      <x:c r="K2614" s="2" t="n">
        <x:v>2</x:v>
      </x:c>
      <x:c r="L2614" s="2" t="str">
        <x:v>Developing</x:v>
      </x:c>
    </x:row>
    <x:row r="2615" ht="22" customHeight="1">
      <x:c r="A2615" s="2"/>
      <x:c r="B2615" s="2" t="str">
        <x:v>14952</x:v>
      </x:c>
      <x:c r="C2615" s="2" t="str">
        <x:v>United Kingdom</x:v>
      </x:c>
      <x:c r="D2615" s="25" t="n">
        <x:v>40150.44027777778</x:v>
      </x:c>
      <x:c r="E2615" s="25" t="n">
        <x:v>40827.23125</x:v>
      </x:c>
      <x:c r="F2615" s="2" t="n">
        <x:v>60</x:v>
      </x:c>
      <x:c r="G2615" s="2" t="n">
        <x:v>32</x:v>
      </x:c>
      <x:c r="H2615" s="11" t="n">
        <x:v>17629.35</x:v>
      </x:c>
      <x:c r="I2615" s="2" t="n">
        <x:v>3</x:v>
      </x:c>
      <x:c r="J2615" s="2" t="n">
        <x:v>5</x:v>
      </x:c>
      <x:c r="K2615" s="2" t="n">
        <x:v>5</x:v>
      </x:c>
      <x:c r="L2615" s="2" t="str">
        <x:v>Loyal</x:v>
      </x:c>
    </x:row>
    <x:row r="2616" ht="22" customHeight="1">
      <x:c r="A2616" s="2"/>
      <x:c r="B2616" s="2" t="str">
        <x:v>14953</x:v>
      </x:c>
      <x:c r="C2616" s="2" t="str">
        <x:v>United Kingdom</x:v>
      </x:c>
      <x:c r="D2616" s="25" t="n">
        <x:v>40451.302777777775</x:v>
      </x:c>
      <x:c r="E2616" s="25" t="n">
        <x:v>40861.415972222225</x:v>
      </x:c>
      <x:c r="F2616" s="2" t="n">
        <x:v>26</x:v>
      </x:c>
      <x:c r="G2616" s="2" t="n">
        <x:v>4</x:v>
      </x:c>
      <x:c r="H2616" s="11" t="n">
        <x:v>1013.77</x:v>
      </x:c>
      <x:c r="I2616" s="2" t="n">
        <x:v>4</x:v>
      </x:c>
      <x:c r="J2616" s="2" t="n">
        <x:v>3</x:v>
      </x:c>
      <x:c r="K2616" s="2" t="n">
        <x:v>3</x:v>
      </x:c>
      <x:c r="L2616" s="2" t="str">
        <x:v>Loyal</x:v>
      </x:c>
    </x:row>
    <x:row r="2617" ht="22" customHeight="1">
      <x:c r="A2617" s="2"/>
      <x:c r="B2617" s="2" t="str">
        <x:v>14954</x:v>
      </x:c>
      <x:c r="C2617" s="2" t="str">
        <x:v>United Kingdom</x:v>
      </x:c>
      <x:c r="D2617" s="25" t="n">
        <x:v>40183.48472222222</x:v>
      </x:c>
      <x:c r="E2617" s="25" t="n">
        <x:v>40874.395833333336</x:v>
      </x:c>
      <x:c r="F2617" s="2" t="n">
        <x:v>13</x:v>
      </x:c>
      <x:c r="G2617" s="2" t="n">
        <x:v>2</x:v>
      </x:c>
      <x:c r="H2617" s="11" t="n">
        <x:v>503.44</x:v>
      </x:c>
      <x:c r="I2617" s="2" t="n">
        <x:v>5</x:v>
      </x:c>
      <x:c r="J2617" s="2" t="n">
        <x:v>2</x:v>
      </x:c>
      <x:c r="K2617" s="2" t="n">
        <x:v>2</x:v>
      </x:c>
      <x:c r="L2617" s="2" t="str">
        <x:v>Recent light buyers</x:v>
      </x:c>
    </x:row>
    <x:row r="2618" ht="22" customHeight="1">
      <x:c r="A2618" s="2"/>
      <x:c r="B2618" s="2" t="str">
        <x:v>14955</x:v>
      </x:c>
      <x:c r="C2618" s="2" t="str">
        <x:v>United Kingdom</x:v>
      </x:c>
      <x:c r="D2618" s="25" t="n">
        <x:v>40154.274305555555</x:v>
      </x:c>
      <x:c r="E2618" s="25" t="n">
        <x:v>40154.274305555555</x:v>
      </x:c>
      <x:c r="F2618" s="2" t="n">
        <x:v>733</x:v>
      </x:c>
      <x:c r="G2618" s="2" t="n">
        <x:v>1</x:v>
      </x:c>
      <x:c r="H2618" s="11" t="n">
        <x:v>163.77</x:v>
      </x:c>
      <x:c r="I2618" s="2" t="n">
        <x:v>1</x:v>
      </x:c>
      <x:c r="J2618" s="2" t="n">
        <x:v>1</x:v>
      </x:c>
      <x:c r="K2618" s="2" t="n">
        <x:v>1</x:v>
      </x:c>
      <x:c r="L2618" s="2" t="str">
        <x:v>Hibernating</x:v>
      </x:c>
    </x:row>
    <x:row r="2619" ht="22" customHeight="1">
      <x:c r="A2619" s="2"/>
      <x:c r="B2619" s="2" t="str">
        <x:v>14956</x:v>
      </x:c>
      <x:c r="C2619" s="2" t="str">
        <x:v>United Kingdom</x:v>
      </x:c>
      <x:c r="D2619" s="25" t="n">
        <x:v>40465.48611111111</x:v>
      </x:c>
      <x:c r="E2619" s="25" t="n">
        <x:v>40465.48611111111</x:v>
      </x:c>
      <x:c r="F2619" s="2" t="n">
        <x:v>422</x:v>
      </x:c>
      <x:c r="G2619" s="2" t="n">
        <x:v>1</x:v>
      </x:c>
      <x:c r="H2619" s="11" t="n">
        <x:v>1325</x:v>
      </x:c>
      <x:c r="I2619" s="2" t="n">
        <x:v>1</x:v>
      </x:c>
      <x:c r="J2619" s="2" t="n">
        <x:v>1</x:v>
      </x:c>
      <x:c r="K2619" s="2" t="n">
        <x:v>4</x:v>
      </x:c>
      <x:c r="L2619" s="2" t="str">
        <x:v>Hibernating</x:v>
      </x:c>
    </x:row>
    <x:row r="2620" ht="22" customHeight="1">
      <x:c r="A2620" s="2"/>
      <x:c r="B2620" s="2" t="str">
        <x:v>14957</x:v>
      </x:c>
      <x:c r="C2620" s="2" t="str">
        <x:v>United Kingdom</x:v>
      </x:c>
      <x:c r="D2620" s="25" t="n">
        <x:v>40242.243055555555</x:v>
      </x:c>
      <x:c r="E2620" s="25" t="n">
        <x:v>40633.540972222225</x:v>
      </x:c>
      <x:c r="F2620" s="2" t="n">
        <x:v>254</x:v>
      </x:c>
      <x:c r="G2620" s="2" t="n">
        <x:v>2</x:v>
      </x:c>
      <x:c r="H2620" s="11" t="n">
        <x:v>333.29</x:v>
      </x:c>
      <x:c r="I2620" s="2" t="n">
        <x:v>2</x:v>
      </x:c>
      <x:c r="J2620" s="2" t="n">
        <x:v>2</x:v>
      </x:c>
      <x:c r="K2620" s="2" t="n">
        <x:v>2</x:v>
      </x:c>
      <x:c r="L2620" s="2" t="str">
        <x:v>Hibernating</x:v>
      </x:c>
    </x:row>
    <x:row r="2621" ht="22" customHeight="1">
      <x:c r="A2621" s="2"/>
      <x:c r="B2621" s="2" t="str">
        <x:v>14958</x:v>
      </x:c>
      <x:c r="C2621" s="2" t="str">
        <x:v>United Kingdom</x:v>
      </x:c>
      <x:c r="D2621" s="25" t="n">
        <x:v>40150.45972222222</x:v>
      </x:c>
      <x:c r="E2621" s="25" t="n">
        <x:v>40739.38888888889</x:v>
      </x:c>
      <x:c r="F2621" s="2" t="n">
        <x:v>148</x:v>
      </x:c>
      <x:c r="G2621" s="2" t="n">
        <x:v>6</x:v>
      </x:c>
      <x:c r="H2621" s="11" t="n">
        <x:v>957.94</x:v>
      </x:c>
      <x:c r="I2621" s="2" t="n">
        <x:v>3</x:v>
      </x:c>
      <x:c r="J2621" s="2" t="n">
        <x:v>4</x:v>
      </x:c>
      <x:c r="K2621" s="2" t="n">
        <x:v>3</x:v>
      </x:c>
      <x:c r="L2621" s="2" t="str">
        <x:v>Loyal</x:v>
      </x:c>
    </x:row>
    <x:row r="2622" ht="22" customHeight="1">
      <x:c r="A2622" s="2"/>
      <x:c r="B2622" s="2" t="str">
        <x:v>14959</x:v>
      </x:c>
      <x:c r="C2622" s="2" t="str">
        <x:v>United Kingdom</x:v>
      </x:c>
      <x:c r="D2622" s="25" t="n">
        <x:v>40590.333333333336</x:v>
      </x:c>
      <x:c r="E2622" s="25" t="n">
        <x:v>40822.55763888889</x:v>
      </x:c>
      <x:c r="F2622" s="2" t="n">
        <x:v>65</x:v>
      </x:c>
      <x:c r="G2622" s="2" t="n">
        <x:v>4</x:v>
      </x:c>
      <x:c r="H2622" s="11" t="n">
        <x:v>695.42</x:v>
      </x:c>
      <x:c r="I2622" s="2" t="n">
        <x:v>3</x:v>
      </x:c>
      <x:c r="J2622" s="2" t="n">
        <x:v>3</x:v>
      </x:c>
      <x:c r="K2622" s="2" t="n">
        <x:v>3</x:v>
      </x:c>
      <x:c r="L2622" s="2" t="str">
        <x:v>Loyal</x:v>
      </x:c>
    </x:row>
    <x:row r="2623" ht="22" customHeight="1">
      <x:c r="A2623" s="2"/>
      <x:c r="B2623" s="2" t="str">
        <x:v>14960</x:v>
      </x:c>
      <x:c r="C2623" s="2" t="str">
        <x:v>United Kingdom</x:v>
      </x:c>
      <x:c r="D2623" s="25" t="n">
        <x:v>40715.35972222222</x:v>
      </x:c>
      <x:c r="E2623" s="25" t="n">
        <x:v>40878.32916666667</x:v>
      </x:c>
      <x:c r="F2623" s="2" t="n">
        <x:v>9</x:v>
      </x:c>
      <x:c r="G2623" s="2" t="n">
        <x:v>2</x:v>
      </x:c>
      <x:c r="H2623" s="11" t="n">
        <x:v>221.27</x:v>
      </x:c>
      <x:c r="I2623" s="2" t="n">
        <x:v>5</x:v>
      </x:c>
      <x:c r="J2623" s="2" t="n">
        <x:v>2</x:v>
      </x:c>
      <x:c r="K2623" s="2" t="n">
        <x:v>1</x:v>
      </x:c>
      <x:c r="L2623" s="2" t="str">
        <x:v>Recent light buyers</x:v>
      </x:c>
    </x:row>
    <x:row r="2624" ht="22" customHeight="1">
      <x:c r="A2624" s="2"/>
      <x:c r="B2624" s="2" t="str">
        <x:v>14961</x:v>
      </x:c>
      <x:c r="C2624" s="2" t="str">
        <x:v>United Kingdom</x:v>
      </x:c>
      <x:c r="D2624" s="25" t="n">
        <x:v>40151.27222222222</x:v>
      </x:c>
      <x:c r="E2624" s="25" t="n">
        <x:v>40876.19583333333</x:v>
      </x:c>
      <x:c r="F2624" s="2" t="n">
        <x:v>11</x:v>
      </x:c>
      <x:c r="G2624" s="2" t="n">
        <x:v>22</x:v>
      </x:c>
      <x:c r="H2624" s="11" t="n">
        <x:v>16410.15</x:v>
      </x:c>
      <x:c r="I2624" s="2" t="n">
        <x:v>5</x:v>
      </x:c>
      <x:c r="J2624" s="2" t="n">
        <x:v>5</x:v>
      </x:c>
      <x:c r="K2624" s="2" t="n">
        <x:v>5</x:v>
      </x:c>
      <x:c r="L2624" s="2" t="str">
        <x:v>Champions</x:v>
      </x:c>
    </x:row>
    <x:row r="2625" ht="22" customHeight="1">
      <x:c r="A2625" s="2"/>
      <x:c r="B2625" s="2" t="str">
        <x:v>14962</x:v>
      </x:c>
      <x:c r="C2625" s="2" t="str">
        <x:v>United Kingdom</x:v>
      </x:c>
      <x:c r="D2625" s="25" t="n">
        <x:v>40302.41458333333</x:v>
      </x:c>
      <x:c r="E2625" s="25" t="n">
        <x:v>40616.19583333333</x:v>
      </x:c>
      <x:c r="F2625" s="2" t="n">
        <x:v>271</x:v>
      </x:c>
      <x:c r="G2625" s="2" t="n">
        <x:v>4</x:v>
      </x:c>
      <x:c r="H2625" s="11" t="n">
        <x:v>366.91</x:v>
      </x:c>
      <x:c r="I2625" s="2" t="n">
        <x:v>2</x:v>
      </x:c>
      <x:c r="J2625" s="2" t="n">
        <x:v>3</x:v>
      </x:c>
      <x:c r="K2625" s="2" t="n">
        <x:v>2</x:v>
      </x:c>
      <x:c r="L2625" s="2" t="str">
        <x:v>At risk</x:v>
      </x:c>
    </x:row>
    <x:row r="2626" ht="22" customHeight="1">
      <x:c r="A2626" s="2"/>
      <x:c r="B2626" s="2" t="str">
        <x:v>14963</x:v>
      </x:c>
      <x:c r="C2626" s="2" t="str">
        <x:v>United Kingdom</x:v>
      </x:c>
      <x:c r="D2626" s="25" t="n">
        <x:v>40361.32152777778</x:v>
      </x:c>
      <x:c r="E2626" s="25" t="n">
        <x:v>40877.302777777775</x:v>
      </x:c>
      <x:c r="F2626" s="2" t="n">
        <x:v>10</x:v>
      </x:c>
      <x:c r="G2626" s="2" t="n">
        <x:v>12</x:v>
      </x:c>
      <x:c r="H2626" s="11" t="n">
        <x:v>3164.48</x:v>
      </x:c>
      <x:c r="I2626" s="2" t="n">
        <x:v>5</x:v>
      </x:c>
      <x:c r="J2626" s="2" t="n">
        <x:v>5</x:v>
      </x:c>
      <x:c r="K2626" s="2" t="n">
        <x:v>5</x:v>
      </x:c>
      <x:c r="L2626" s="2" t="str">
        <x:v>Champions</x:v>
      </x:c>
    </x:row>
    <x:row r="2627" ht="22" customHeight="1">
      <x:c r="A2627" s="2"/>
      <x:c r="B2627" s="2" t="str">
        <x:v>14964</x:v>
      </x:c>
      <x:c r="C2627" s="2" t="str">
        <x:v>United Kingdom</x:v>
      </x:c>
      <x:c r="D2627" s="25" t="n">
        <x:v>40639.38402777778</x:v>
      </x:c>
      <x:c r="E2627" s="25" t="n">
        <x:v>40639.38402777778</x:v>
      </x:c>
      <x:c r="F2627" s="2" t="n">
        <x:v>248</x:v>
      </x:c>
      <x:c r="G2627" s="2" t="n">
        <x:v>1</x:v>
      </x:c>
      <x:c r="H2627" s="11" t="n">
        <x:v>206.21</x:v>
      </x:c>
      <x:c r="I2627" s="2" t="n">
        <x:v>2</x:v>
      </x:c>
      <x:c r="J2627" s="2" t="n">
        <x:v>1</x:v>
      </x:c>
      <x:c r="K2627" s="2" t="n">
        <x:v>1</x:v>
      </x:c>
      <x:c r="L2627" s="2" t="str">
        <x:v>Hibernating</x:v>
      </x:c>
    </x:row>
    <x:row r="2628" ht="22" customHeight="1">
      <x:c r="A2628" s="2"/>
      <x:c r="B2628" s="2" t="str">
        <x:v>14965</x:v>
      </x:c>
      <x:c r="C2628" s="2" t="str">
        <x:v>United Kingdom</x:v>
      </x:c>
      <x:c r="D2628" s="25" t="n">
        <x:v>40790.34375</x:v>
      </x:c>
      <x:c r="E2628" s="25" t="n">
        <x:v>40790.34722222222</x:v>
      </x:c>
      <x:c r="F2628" s="2" t="n">
        <x:v>97</x:v>
      </x:c>
      <x:c r="G2628" s="2" t="n">
        <x:v>2</x:v>
      </x:c>
      <x:c r="H2628" s="11" t="n">
        <x:v>599</x:v>
      </x:c>
      <x:c r="I2628" s="2" t="n">
        <x:v>3</x:v>
      </x:c>
      <x:c r="J2628" s="2" t="n">
        <x:v>2</x:v>
      </x:c>
      <x:c r="K2628" s="2" t="n">
        <x:v>2</x:v>
      </x:c>
      <x:c r="L2628" s="2" t="str">
        <x:v>Developing</x:v>
      </x:c>
    </x:row>
    <x:row r="2629" ht="22" customHeight="1">
      <x:c r="A2629" s="2"/>
      <x:c r="B2629" s="2" t="str">
        <x:v>14966</x:v>
      </x:c>
      <x:c r="C2629" s="2" t="str">
        <x:v>United Kingdom</x:v>
      </x:c>
      <x:c r="D2629" s="25" t="n">
        <x:v>40162.36666666667</x:v>
      </x:c>
      <x:c r="E2629" s="25" t="n">
        <x:v>40872.305555555555</x:v>
      </x:c>
      <x:c r="F2629" s="2" t="n">
        <x:v>15</x:v>
      </x:c>
      <x:c r="G2629" s="2" t="n">
        <x:v>6</x:v>
      </x:c>
      <x:c r="H2629" s="11" t="n">
        <x:v>1115.84</x:v>
      </x:c>
      <x:c r="I2629" s="2" t="n">
        <x:v>5</x:v>
      </x:c>
      <x:c r="J2629" s="2" t="n">
        <x:v>4</x:v>
      </x:c>
      <x:c r="K2629" s="2" t="n">
        <x:v>3</x:v>
      </x:c>
      <x:c r="L2629" s="2" t="str">
        <x:v>Loyal</x:v>
      </x:c>
    </x:row>
    <x:row r="2630" ht="22" customHeight="1">
      <x:c r="A2630" s="2"/>
      <x:c r="B2630" s="2" t="str">
        <x:v>14967</x:v>
      </x:c>
      <x:c r="C2630" s="2" t="str">
        <x:v>United Kingdom</x:v>
      </x:c>
      <x:c r="D2630" s="25" t="n">
        <x:v>40150.37986111111</x:v>
      </x:c>
      <x:c r="E2630" s="25" t="n">
        <x:v>40837.254166666666</x:v>
      </x:c>
      <x:c r="F2630" s="2" t="n">
        <x:v>50</x:v>
      </x:c>
      <x:c r="G2630" s="2" t="n">
        <x:v>6</x:v>
      </x:c>
      <x:c r="H2630" s="11" t="n">
        <x:v>1982.61</x:v>
      </x:c>
      <x:c r="I2630" s="2" t="n">
        <x:v>4</x:v>
      </x:c>
      <x:c r="J2630" s="2" t="n">
        <x:v>4</x:v>
      </x:c>
      <x:c r="K2630" s="2" t="n">
        <x:v>4</x:v>
      </x:c>
      <x:c r="L2630" s="2" t="str">
        <x:v>Champions</x:v>
      </x:c>
    </x:row>
    <x:row r="2631" ht="22" customHeight="1">
      <x:c r="A2631" s="2"/>
      <x:c r="B2631" s="2" t="str">
        <x:v>14968</x:v>
      </x:c>
      <x:c r="C2631" s="2" t="str">
        <x:v>United Kingdom</x:v>
      </x:c>
      <x:c r="D2631" s="25" t="n">
        <x:v>40428.35277777778</x:v>
      </x:c>
      <x:c r="E2631" s="25" t="n">
        <x:v>40856.373611111114</x:v>
      </x:c>
      <x:c r="F2631" s="2" t="n">
        <x:v>31</x:v>
      </x:c>
      <x:c r="G2631" s="2" t="n">
        <x:v>2</x:v>
      </x:c>
      <x:c r="H2631" s="11" t="n">
        <x:v>504.99</x:v>
      </x:c>
      <x:c r="I2631" s="2" t="n">
        <x:v>4</x:v>
      </x:c>
      <x:c r="J2631" s="2" t="n">
        <x:v>2</x:v>
      </x:c>
      <x:c r="K2631" s="2" t="n">
        <x:v>2</x:v>
      </x:c>
      <x:c r="L2631" s="2" t="str">
        <x:v>Recent light buyers</x:v>
      </x:c>
    </x:row>
    <x:row r="2632" ht="22" customHeight="1">
      <x:c r="A2632" s="2"/>
      <x:c r="B2632" s="2" t="str">
        <x:v>14969</x:v>
      </x:c>
      <x:c r="C2632" s="2" t="str">
        <x:v>United Kingdom</x:v>
      </x:c>
      <x:c r="D2632" s="25" t="n">
        <x:v>40183.32152777778</x:v>
      </x:c>
      <x:c r="E2632" s="25" t="n">
        <x:v>40183.32152777778</x:v>
      </x:c>
      <x:c r="F2632" s="2" t="n">
        <x:v>704</x:v>
      </x:c>
      <x:c r="G2632" s="2" t="n">
        <x:v>1</x:v>
      </x:c>
      <x:c r="H2632" s="11" t="n">
        <x:v>906.23</x:v>
      </x:c>
      <x:c r="I2632" s="2" t="n">
        <x:v>1</x:v>
      </x:c>
      <x:c r="J2632" s="2" t="n">
        <x:v>1</x:v>
      </x:c>
      <x:c r="K2632" s="2" t="n">
        <x:v>3</x:v>
      </x:c>
      <x:c r="L2632" s="2" t="str">
        <x:v>Hibernating</x:v>
      </x:c>
    </x:row>
    <x:row r="2633" ht="22" customHeight="1">
      <x:c r="A2633" s="2"/>
      <x:c r="B2633" s="2" t="str">
        <x:v>14970</x:v>
      </x:c>
      <x:c r="C2633" s="2" t="str">
        <x:v>United Kingdom</x:v>
      </x:c>
      <x:c r="D2633" s="25" t="n">
        <x:v>40223.35902777778</x:v>
      </x:c>
      <x:c r="E2633" s="25" t="n">
        <x:v>40818.36388888889</x:v>
      </x:c>
      <x:c r="F2633" s="2" t="n">
        <x:v>69</x:v>
      </x:c>
      <x:c r="G2633" s="2" t="n">
        <x:v>12</x:v>
      </x:c>
      <x:c r="H2633" s="11" t="n">
        <x:v>4919.35</x:v>
      </x:c>
      <x:c r="I2633" s="2" t="n">
        <x:v>3</x:v>
      </x:c>
      <x:c r="J2633" s="2" t="n">
        <x:v>5</x:v>
      </x:c>
      <x:c r="K2633" s="2" t="n">
        <x:v>5</x:v>
      </x:c>
      <x:c r="L2633" s="2" t="str">
        <x:v>Loyal</x:v>
      </x:c>
    </x:row>
    <x:row r="2634" ht="22" customHeight="1">
      <x:c r="A2634" s="2"/>
      <x:c r="B2634" s="2" t="str">
        <x:v>14971</x:v>
      </x:c>
      <x:c r="C2634" s="2" t="str">
        <x:v>United Kingdom</x:v>
      </x:c>
      <x:c r="D2634" s="25" t="n">
        <x:v>40843.35625</x:v>
      </x:c>
      <x:c r="E2634" s="25" t="n">
        <x:v>40851.50486111111</x:v>
      </x:c>
      <x:c r="F2634" s="2" t="n">
        <x:v>36</x:v>
      </x:c>
      <x:c r="G2634" s="2" t="n">
        <x:v>3</x:v>
      </x:c>
      <x:c r="H2634" s="11" t="n">
        <x:v>1116.57</x:v>
      </x:c>
      <x:c r="I2634" s="2" t="n">
        <x:v>4</x:v>
      </x:c>
      <x:c r="J2634" s="2" t="n">
        <x:v>3</x:v>
      </x:c>
      <x:c r="K2634" s="2" t="n">
        <x:v>3</x:v>
      </x:c>
      <x:c r="L2634" s="2" t="str">
        <x:v>Loyal</x:v>
      </x:c>
    </x:row>
    <x:row r="2635" ht="22" customHeight="1">
      <x:c r="A2635" s="2"/>
      <x:c r="B2635" s="2" t="str">
        <x:v>14972</x:v>
      </x:c>
      <x:c r="C2635" s="2" t="str">
        <x:v>United Kingdom</x:v>
      </x:c>
      <x:c r="D2635" s="25" t="n">
        <x:v>40505.470138888886</x:v>
      </x:c>
      <x:c r="E2635" s="25" t="n">
        <x:v>40758.4125</x:v>
      </x:c>
      <x:c r="F2635" s="2" t="n">
        <x:v>129</x:v>
      </x:c>
      <x:c r="G2635" s="2" t="n">
        <x:v>2</x:v>
      </x:c>
      <x:c r="H2635" s="11" t="n">
        <x:v>145.07</x:v>
      </x:c>
      <x:c r="I2635" s="2" t="n">
        <x:v>3</x:v>
      </x:c>
      <x:c r="J2635" s="2" t="n">
        <x:v>2</x:v>
      </x:c>
      <x:c r="K2635" s="2" t="n">
        <x:v>1</x:v>
      </x:c>
      <x:c r="L2635" s="2" t="str">
        <x:v>Developing</x:v>
      </x:c>
    </x:row>
    <x:row r="2636" ht="22" customHeight="1">
      <x:c r="A2636" s="2"/>
      <x:c r="B2636" s="2" t="str">
        <x:v>14973</x:v>
      </x:c>
      <x:c r="C2636" s="2" t="str">
        <x:v>United Kingdom</x:v>
      </x:c>
      <x:c r="D2636" s="25" t="n">
        <x:v>40661.30694444444</x:v>
      </x:c>
      <x:c r="E2636" s="25" t="n">
        <x:v>40779.45208333333</x:v>
      </x:c>
      <x:c r="F2636" s="2" t="n">
        <x:v>108</x:v>
      </x:c>
      <x:c r="G2636" s="2" t="n">
        <x:v>3</x:v>
      </x:c>
      <x:c r="H2636" s="11" t="n">
        <x:v>1314.45</x:v>
      </x:c>
      <x:c r="I2636" s="2" t="n">
        <x:v>3</x:v>
      </x:c>
      <x:c r="J2636" s="2" t="n">
        <x:v>3</x:v>
      </x:c>
      <x:c r="K2636" s="2" t="n">
        <x:v>4</x:v>
      </x:c>
      <x:c r="L2636" s="2" t="str">
        <x:v>Loyal</x:v>
      </x:c>
    </x:row>
    <x:row r="2637" ht="22" customHeight="1">
      <x:c r="A2637" s="2"/>
      <x:c r="B2637" s="2" t="str">
        <x:v>14974</x:v>
      </x:c>
      <x:c r="C2637" s="2" t="str">
        <x:v>United Kingdom</x:v>
      </x:c>
      <x:c r="D2637" s="25" t="n">
        <x:v>40849.334027777775</x:v>
      </x:c>
      <x:c r="E2637" s="25" t="n">
        <x:v>40849.334027777775</x:v>
      </x:c>
      <x:c r="F2637" s="2" t="n">
        <x:v>38</x:v>
      </x:c>
      <x:c r="G2637" s="2" t="n">
        <x:v>1</x:v>
      </x:c>
      <x:c r="H2637" s="11" t="n">
        <x:v>114.39</x:v>
      </x:c>
      <x:c r="I2637" s="2" t="n">
        <x:v>4</x:v>
      </x:c>
      <x:c r="J2637" s="2" t="n">
        <x:v>1</x:v>
      </x:c>
      <x:c r="K2637" s="2" t="n">
        <x:v>1</x:v>
      </x:c>
      <x:c r="L2637" s="2" t="str">
        <x:v>Recent light buyers</x:v>
      </x:c>
    </x:row>
    <x:row r="2638" ht="22" customHeight="1">
      <x:c r="A2638" s="2"/>
      <x:c r="B2638" s="2" t="str">
        <x:v>14975</x:v>
      </x:c>
      <x:c r="C2638" s="2" t="str">
        <x:v>United Kingdom</x:v>
      </x:c>
      <x:c r="D2638" s="25" t="n">
        <x:v>40465.38263888889</x:v>
      </x:c>
      <x:c r="E2638" s="25" t="n">
        <x:v>40829.38055555556</x:v>
      </x:c>
      <x:c r="F2638" s="2" t="n">
        <x:v>58</x:v>
      </x:c>
      <x:c r="G2638" s="2" t="n">
        <x:v>2</x:v>
      </x:c>
      <x:c r="H2638" s="11" t="n">
        <x:v>472.39</x:v>
      </x:c>
      <x:c r="I2638" s="2" t="n">
        <x:v>4</x:v>
      </x:c>
      <x:c r="J2638" s="2" t="n">
        <x:v>2</x:v>
      </x:c>
      <x:c r="K2638" s="2" t="n">
        <x:v>2</x:v>
      </x:c>
      <x:c r="L2638" s="2" t="str">
        <x:v>Recent light buyers</x:v>
      </x:c>
    </x:row>
    <x:row r="2639" ht="22" customHeight="1">
      <x:c r="A2639" s="2"/>
      <x:c r="B2639" s="2" t="str">
        <x:v>14976</x:v>
      </x:c>
      <x:c r="C2639" s="2" t="str">
        <x:v>United Kingdom</x:v>
      </x:c>
      <x:c r="D2639" s="25" t="n">
        <x:v>40560.25625</x:v>
      </x:c>
      <x:c r="E2639" s="25" t="n">
        <x:v>40829.48402777778</x:v>
      </x:c>
      <x:c r="F2639" s="2" t="n">
        <x:v>58</x:v>
      </x:c>
      <x:c r="G2639" s="2" t="n">
        <x:v>7</x:v>
      </x:c>
      <x:c r="H2639" s="11" t="n">
        <x:v>790.86</x:v>
      </x:c>
      <x:c r="I2639" s="2" t="n">
        <x:v>4</x:v>
      </x:c>
      <x:c r="J2639" s="2" t="n">
        <x:v>4</x:v>
      </x:c>
      <x:c r="K2639" s="2" t="n">
        <x:v>3</x:v>
      </x:c>
      <x:c r="L2639" s="2" t="str">
        <x:v>Loyal</x:v>
      </x:c>
    </x:row>
    <x:row r="2640" ht="22" customHeight="1">
      <x:c r="A2640" s="2"/>
      <x:c r="B2640" s="2" t="str">
        <x:v>14977</x:v>
      </x:c>
      <x:c r="C2640" s="2" t="str">
        <x:v>United Kingdom</x:v>
      </x:c>
      <x:c r="D2640" s="25" t="n">
        <x:v>40161.23402777778</x:v>
      </x:c>
      <x:c r="E2640" s="25" t="n">
        <x:v>40161.23402777778</x:v>
      </x:c>
      <x:c r="F2640" s="2" t="n">
        <x:v>726</x:v>
      </x:c>
      <x:c r="G2640" s="2" t="n">
        <x:v>1</x:v>
      </x:c>
      <x:c r="H2640" s="11" t="n">
        <x:v>31.93</x:v>
      </x:c>
      <x:c r="I2640" s="2" t="n">
        <x:v>1</x:v>
      </x:c>
      <x:c r="J2640" s="2" t="n">
        <x:v>1</x:v>
      </x:c>
      <x:c r="K2640" s="2" t="n">
        <x:v>1</x:v>
      </x:c>
      <x:c r="L2640" s="2" t="str">
        <x:v>Hibernating</x:v>
      </x:c>
    </x:row>
    <x:row r="2641" ht="22" customHeight="1">
      <x:c r="A2641" s="2"/>
      <x:c r="B2641" s="2" t="str">
        <x:v>14978</x:v>
      </x:c>
      <x:c r="C2641" s="2" t="str">
        <x:v>United Kingdom</x:v>
      </x:c>
      <x:c r="D2641" s="25" t="n">
        <x:v>40296.243055555555</x:v>
      </x:c>
      <x:c r="E2641" s="25" t="n">
        <x:v>40814.33819444444</x:v>
      </x:c>
      <x:c r="F2641" s="2" t="n">
        <x:v>73</x:v>
      </x:c>
      <x:c r="G2641" s="2" t="n">
        <x:v>10</x:v>
      </x:c>
      <x:c r="H2641" s="11" t="n">
        <x:v>3142.14</x:v>
      </x:c>
      <x:c r="I2641" s="2" t="n">
        <x:v>3</x:v>
      </x:c>
      <x:c r="J2641" s="2" t="n">
        <x:v>5</x:v>
      </x:c>
      <x:c r="K2641" s="2" t="n">
        <x:v>5</x:v>
      </x:c>
      <x:c r="L2641" s="2" t="str">
        <x:v>Loyal</x:v>
      </x:c>
    </x:row>
    <x:row r="2642" ht="22" customHeight="1">
      <x:c r="A2642" s="2"/>
      <x:c r="B2642" s="2" t="str">
        <x:v>14979</x:v>
      </x:c>
      <x:c r="C2642" s="2" t="str">
        <x:v>United Kingdom</x:v>
      </x:c>
      <x:c r="D2642" s="25" t="n">
        <x:v>40151.32916666667</x:v>
      </x:c>
      <x:c r="E2642" s="25" t="n">
        <x:v>40151.32916666667</x:v>
      </x:c>
      <x:c r="F2642" s="2" t="n">
        <x:v>736</x:v>
      </x:c>
      <x:c r="G2642" s="2" t="n">
        <x:v>1</x:v>
      </x:c>
      <x:c r="H2642" s="11" t="n">
        <x:v>439.46</x:v>
      </x:c>
      <x:c r="I2642" s="2" t="n">
        <x:v>1</x:v>
      </x:c>
      <x:c r="J2642" s="2" t="n">
        <x:v>1</x:v>
      </x:c>
      <x:c r="K2642" s="2" t="n">
        <x:v>2</x:v>
      </x:c>
      <x:c r="L2642" s="2" t="str">
        <x:v>Hibernating</x:v>
      </x:c>
    </x:row>
    <x:row r="2643" ht="22" customHeight="1">
      <x:c r="A2643" s="2"/>
      <x:c r="B2643" s="2" t="str">
        <x:v>14980</x:v>
      </x:c>
      <x:c r="C2643" s="2" t="str">
        <x:v>United Kingdom</x:v>
      </x:c>
      <x:c r="D2643" s="25" t="n">
        <x:v>40149.38125</x:v>
      </x:c>
      <x:c r="E2643" s="25" t="n">
        <x:v>40149.38125</x:v>
      </x:c>
      <x:c r="F2643" s="2" t="n">
        <x:v>738</x:v>
      </x:c>
      <x:c r="G2643" s="2" t="n">
        <x:v>1</x:v>
      </x:c>
      <x:c r="H2643" s="11" t="n">
        <x:v>150.68</x:v>
      </x:c>
      <x:c r="I2643" s="2" t="n">
        <x:v>1</x:v>
      </x:c>
      <x:c r="J2643" s="2" t="n">
        <x:v>1</x:v>
      </x:c>
      <x:c r="K2643" s="2" t="n">
        <x:v>1</x:v>
      </x:c>
      <x:c r="L2643" s="2" t="str">
        <x:v>Hibernating</x:v>
      </x:c>
    </x:row>
    <x:row r="2644" ht="22" customHeight="1">
      <x:c r="A2644" s="2"/>
      <x:c r="B2644" s="2" t="str">
        <x:v>14981</x:v>
      </x:c>
      <x:c r="C2644" s="2" t="str">
        <x:v>United Kingdom</x:v>
      </x:c>
      <x:c r="D2644" s="25" t="n">
        <x:v>40463.25277777778</x:v>
      </x:c>
      <x:c r="E2644" s="25" t="n">
        <x:v>40640.364583333336</x:v>
      </x:c>
      <x:c r="F2644" s="2" t="n">
        <x:v>247</x:v>
      </x:c>
      <x:c r="G2644" s="2" t="n">
        <x:v>2</x:v>
      </x:c>
      <x:c r="H2644" s="11" t="n">
        <x:v>372.92</x:v>
      </x:c>
      <x:c r="I2644" s="2" t="n">
        <x:v>2</x:v>
      </x:c>
      <x:c r="J2644" s="2" t="n">
        <x:v>2</x:v>
      </x:c>
      <x:c r="K2644" s="2" t="n">
        <x:v>2</x:v>
      </x:c>
      <x:c r="L2644" s="2" t="str">
        <x:v>Hibernating</x:v>
      </x:c>
    </x:row>
    <x:row r="2645" ht="22" customHeight="1">
      <x:c r="A2645" s="2"/>
      <x:c r="B2645" s="2" t="str">
        <x:v>14982</x:v>
      </x:c>
      <x:c r="C2645" s="2" t="str">
        <x:v>United Kingdom</x:v>
      </x:c>
      <x:c r="D2645" s="25" t="n">
        <x:v>40314.45277777778</x:v>
      </x:c>
      <x:c r="E2645" s="25" t="n">
        <x:v>40314.45277777778</x:v>
      </x:c>
      <x:c r="F2645" s="2" t="n">
        <x:v>573</x:v>
      </x:c>
      <x:c r="G2645" s="2" t="n">
        <x:v>1</x:v>
      </x:c>
      <x:c r="H2645" s="11" t="n">
        <x:v>237.78</x:v>
      </x:c>
      <x:c r="I2645" s="2" t="n">
        <x:v>1</x:v>
      </x:c>
      <x:c r="J2645" s="2" t="n">
        <x:v>1</x:v>
      </x:c>
      <x:c r="K2645" s="2" t="n">
        <x:v>1</x:v>
      </x:c>
      <x:c r="L2645" s="2" t="str">
        <x:v>Hibernating</x:v>
      </x:c>
    </x:row>
    <x:row r="2646" ht="22" customHeight="1">
      <x:c r="A2646" s="2"/>
      <x:c r="B2646" s="2" t="str">
        <x:v>14983</x:v>
      </x:c>
      <x:c r="C2646" s="2" t="str">
        <x:v>United Kingdom</x:v>
      </x:c>
      <x:c r="D2646" s="25" t="n">
        <x:v>40197.52222222222</x:v>
      </x:c>
      <x:c r="E2646" s="25" t="n">
        <x:v>40197.52222222222</x:v>
      </x:c>
      <x:c r="F2646" s="2" t="n">
        <x:v>690</x:v>
      </x:c>
      <x:c r="G2646" s="2" t="n">
        <x:v>1</x:v>
      </x:c>
      <x:c r="H2646" s="11" t="n">
        <x:v>183.2</x:v>
      </x:c>
      <x:c r="I2646" s="2" t="n">
        <x:v>1</x:v>
      </x:c>
      <x:c r="J2646" s="2" t="n">
        <x:v>1</x:v>
      </x:c>
      <x:c r="K2646" s="2" t="n">
        <x:v>1</x:v>
      </x:c>
      <x:c r="L2646" s="2" t="str">
        <x:v>Hibernating</x:v>
      </x:c>
    </x:row>
    <x:row r="2647" ht="22" customHeight="1">
      <x:c r="A2647" s="2"/>
      <x:c r="B2647" s="2" t="str">
        <x:v>14984</x:v>
      </x:c>
      <x:c r="C2647" s="2" t="str">
        <x:v>United Kingdom</x:v>
      </x:c>
      <x:c r="D2647" s="25" t="n">
        <x:v>40189.34861111111</x:v>
      </x:c>
      <x:c r="E2647" s="25" t="n">
        <x:v>40867.39444444444</x:v>
      </x:c>
      <x:c r="F2647" s="2" t="n">
        <x:v>20</x:v>
      </x:c>
      <x:c r="G2647" s="2" t="n">
        <x:v>6</x:v>
      </x:c>
      <x:c r="H2647" s="11" t="n">
        <x:v>1271.41</x:v>
      </x:c>
      <x:c r="I2647" s="2" t="n">
        <x:v>5</x:v>
      </x:c>
      <x:c r="J2647" s="2" t="n">
        <x:v>4</x:v>
      </x:c>
      <x:c r="K2647" s="2" t="n">
        <x:v>4</x:v>
      </x:c>
      <x:c r="L2647" s="2" t="str">
        <x:v>Champions</x:v>
      </x:c>
    </x:row>
    <x:row r="2648" ht="22" customHeight="1">
      <x:c r="A2648" s="2"/>
      <x:c r="B2648" s="2" t="str">
        <x:v>14985</x:v>
      </x:c>
      <x:c r="C2648" s="2" t="str">
        <x:v>United Kingdom</x:v>
      </x:c>
      <x:c r="D2648" s="25" t="n">
        <x:v>40528.61875</x:v>
      </x:c>
      <x:c r="E2648" s="25" t="n">
        <x:v>40688.39513888889</x:v>
      </x:c>
      <x:c r="F2648" s="2" t="n">
        <x:v>199</x:v>
      </x:c>
      <x:c r="G2648" s="2" t="n">
        <x:v>2</x:v>
      </x:c>
      <x:c r="H2648" s="11" t="n">
        <x:v>296.75</x:v>
      </x:c>
      <x:c r="I2648" s="2" t="n">
        <x:v>2</x:v>
      </x:c>
      <x:c r="J2648" s="2" t="n">
        <x:v>2</x:v>
      </x:c>
      <x:c r="K2648" s="2" t="n">
        <x:v>2</x:v>
      </x:c>
      <x:c r="L2648" s="2" t="str">
        <x:v>Hibernating</x:v>
      </x:c>
    </x:row>
    <x:row r="2649" ht="22" customHeight="1">
      <x:c r="A2649" s="2"/>
      <x:c r="B2649" s="2" t="str">
        <x:v>14986</x:v>
      </x:c>
      <x:c r="C2649" s="2" t="str">
        <x:v>United Kingdom</x:v>
      </x:c>
      <x:c r="D2649" s="25" t="n">
        <x:v>40202.45416666667</x:v>
      </x:c>
      <x:c r="E2649" s="25" t="n">
        <x:v>40510.43402777778</x:v>
      </x:c>
      <x:c r="F2649" s="2" t="n">
        <x:v>377</x:v>
      </x:c>
      <x:c r="G2649" s="2" t="n">
        <x:v>2</x:v>
      </x:c>
      <x:c r="H2649" s="11" t="n">
        <x:v>566.9</x:v>
      </x:c>
      <x:c r="I2649" s="2" t="n">
        <x:v>2</x:v>
      </x:c>
      <x:c r="J2649" s="2" t="n">
        <x:v>2</x:v>
      </x:c>
      <x:c r="K2649" s="2" t="n">
        <x:v>2</x:v>
      </x:c>
      <x:c r="L2649" s="2" t="str">
        <x:v>Hibernating</x:v>
      </x:c>
    </x:row>
    <x:row r="2650" ht="22" customHeight="1">
      <x:c r="A2650" s="2"/>
      <x:c r="B2650" s="2" t="str">
        <x:v>14987</x:v>
      </x:c>
      <x:c r="C2650" s="2" t="str">
        <x:v>United Kingdom</x:v>
      </x:c>
      <x:c r="D2650" s="25" t="n">
        <x:v>40149.41388888889</x:v>
      </x:c>
      <x:c r="E2650" s="25" t="n">
        <x:v>40871.20763888889</x:v>
      </x:c>
      <x:c r="F2650" s="2" t="n">
        <x:v>16</x:v>
      </x:c>
      <x:c r="G2650" s="2" t="n">
        <x:v>8</x:v>
      </x:c>
      <x:c r="H2650" s="11" t="n">
        <x:v>1550.65</x:v>
      </x:c>
      <x:c r="I2650" s="2" t="n">
        <x:v>5</x:v>
      </x:c>
      <x:c r="J2650" s="2" t="n">
        <x:v>4</x:v>
      </x:c>
      <x:c r="K2650" s="2" t="n">
        <x:v>4</x:v>
      </x:c>
      <x:c r="L2650" s="2" t="str">
        <x:v>Champions</x:v>
      </x:c>
    </x:row>
    <x:row r="2651" ht="22" customHeight="1">
      <x:c r="A2651" s="2"/>
      <x:c r="B2651" s="2" t="str">
        <x:v>14988</x:v>
      </x:c>
      <x:c r="C2651" s="2" t="str">
        <x:v>United Kingdom</x:v>
      </x:c>
      <x:c r="D2651" s="25" t="n">
        <x:v>40284.356944444444</x:v>
      </x:c>
      <x:c r="E2651" s="25" t="n">
        <x:v>40675.29513888889</x:v>
      </x:c>
      <x:c r="F2651" s="2" t="n">
        <x:v>212</x:v>
      </x:c>
      <x:c r="G2651" s="2" t="n">
        <x:v>7</x:v>
      </x:c>
      <x:c r="H2651" s="11" t="n">
        <x:v>2066.6</x:v>
      </x:c>
      <x:c r="I2651" s="2" t="n">
        <x:v>2</x:v>
      </x:c>
      <x:c r="J2651" s="2" t="n">
        <x:v>4</x:v>
      </x:c>
      <x:c r="K2651" s="2" t="n">
        <x:v>4</x:v>
      </x:c>
      <x:c r="L2651" s="2" t="str">
        <x:v>At risk</x:v>
      </x:c>
    </x:row>
    <x:row r="2652" ht="22" customHeight="1">
      <x:c r="A2652" s="2"/>
      <x:c r="B2652" s="2" t="str">
        <x:v>14989</x:v>
      </x:c>
      <x:c r="C2652" s="2" t="str">
        <x:v>United Kingdom</x:v>
      </x:c>
      <x:c r="D2652" s="25" t="n">
        <x:v>40225.23611111111</x:v>
      </x:c>
      <x:c r="E2652" s="25" t="n">
        <x:v>40225.23611111111</x:v>
      </x:c>
      <x:c r="F2652" s="2" t="n">
        <x:v>662</x:v>
      </x:c>
      <x:c r="G2652" s="2" t="n">
        <x:v>1</x:v>
      </x:c>
      <x:c r="H2652" s="11" t="n">
        <x:v>342.4</x:v>
      </x:c>
      <x:c r="I2652" s="2" t="n">
        <x:v>1</x:v>
      </x:c>
      <x:c r="J2652" s="2" t="n">
        <x:v>1</x:v>
      </x:c>
      <x:c r="K2652" s="2" t="n">
        <x:v>2</x:v>
      </x:c>
      <x:c r="L2652" s="2" t="str">
        <x:v>Hibernating</x:v>
      </x:c>
    </x:row>
    <x:row r="2653" ht="22" customHeight="1">
      <x:c r="A2653" s="2"/>
      <x:c r="B2653" s="2" t="str">
        <x:v>14990</x:v>
      </x:c>
      <x:c r="C2653" s="2" t="str">
        <x:v>United Kingdom</x:v>
      </x:c>
      <x:c r="D2653" s="25" t="n">
        <x:v>40156.35486111111</x:v>
      </x:c>
      <x:c r="E2653" s="25" t="n">
        <x:v>40274.370833333334</x:v>
      </x:c>
      <x:c r="F2653" s="2" t="n">
        <x:v>613</x:v>
      </x:c>
      <x:c r="G2653" s="2" t="n">
        <x:v>2</x:v>
      </x:c>
      <x:c r="H2653" s="11" t="n">
        <x:v>305.42</x:v>
      </x:c>
      <x:c r="I2653" s="2" t="n">
        <x:v>1</x:v>
      </x:c>
      <x:c r="J2653" s="2" t="n">
        <x:v>2</x:v>
      </x:c>
      <x:c r="K2653" s="2" t="n">
        <x:v>2</x:v>
      </x:c>
      <x:c r="L2653" s="2" t="str">
        <x:v>Hibernating</x:v>
      </x:c>
    </x:row>
    <x:row r="2654" ht="22" customHeight="1">
      <x:c r="A2654" s="2"/>
      <x:c r="B2654" s="2" t="str">
        <x:v>14991</x:v>
      </x:c>
      <x:c r="C2654" s="2" t="str">
        <x:v>United Kingdom</x:v>
      </x:c>
      <x:c r="D2654" s="25" t="n">
        <x:v>40456.334027777775</x:v>
      </x:c>
      <x:c r="E2654" s="25" t="n">
        <x:v>40456.334027777775</x:v>
      </x:c>
      <x:c r="F2654" s="2" t="n">
        <x:v>431</x:v>
      </x:c>
      <x:c r="G2654" s="2" t="n">
        <x:v>1</x:v>
      </x:c>
      <x:c r="H2654" s="11" t="n">
        <x:v>314.67</x:v>
      </x:c>
      <x:c r="I2654" s="2" t="n">
        <x:v>1</x:v>
      </x:c>
      <x:c r="J2654" s="2" t="n">
        <x:v>1</x:v>
      </x:c>
      <x:c r="K2654" s="2" t="n">
        <x:v>2</x:v>
      </x:c>
      <x:c r="L2654" s="2" t="str">
        <x:v>Hibernating</x:v>
      </x:c>
    </x:row>
    <x:row r="2655" ht="22" customHeight="1">
      <x:c r="A2655" s="2"/>
      <x:c r="B2655" s="2" t="str">
        <x:v>14992</x:v>
      </x:c>
      <x:c r="C2655" s="2" t="str">
        <x:v>United Kingdom</x:v>
      </x:c>
      <x:c r="D2655" s="25" t="n">
        <x:v>40444.53333333333</x:v>
      </x:c>
      <x:c r="E2655" s="25" t="n">
        <x:v>40444.53333333333</x:v>
      </x:c>
      <x:c r="F2655" s="2" t="n">
        <x:v>443</x:v>
      </x:c>
      <x:c r="G2655" s="2" t="n">
        <x:v>1</x:v>
      </x:c>
      <x:c r="H2655" s="11" t="n">
        <x:v>210.5</x:v>
      </x:c>
      <x:c r="I2655" s="2" t="n">
        <x:v>1</x:v>
      </x:c>
      <x:c r="J2655" s="2" t="n">
        <x:v>1</x:v>
      </x:c>
      <x:c r="K2655" s="2" t="n">
        <x:v>1</x:v>
      </x:c>
      <x:c r="L2655" s="2" t="str">
        <x:v>Hibernating</x:v>
      </x:c>
    </x:row>
    <x:row r="2656" ht="22" customHeight="1">
      <x:c r="A2656" s="2"/>
      <x:c r="B2656" s="2" t="str">
        <x:v>14993</x:v>
      </x:c>
      <x:c r="C2656" s="2" t="str">
        <x:v>United Kingdom</x:v>
      </x:c>
      <x:c r="D2656" s="25" t="n">
        <x:v>40323.32430555556</x:v>
      </x:c>
      <x:c r="E2656" s="25" t="n">
        <x:v>40323.32430555556</x:v>
      </x:c>
      <x:c r="F2656" s="2" t="n">
        <x:v>564</x:v>
      </x:c>
      <x:c r="G2656" s="2" t="n">
        <x:v>1</x:v>
      </x:c>
      <x:c r="H2656" s="11" t="n">
        <x:v>36.13</x:v>
      </x:c>
      <x:c r="I2656" s="2" t="n">
        <x:v>1</x:v>
      </x:c>
      <x:c r="J2656" s="2" t="n">
        <x:v>1</x:v>
      </x:c>
      <x:c r="K2656" s="2" t="n">
        <x:v>1</x:v>
      </x:c>
      <x:c r="L2656" s="2" t="str">
        <x:v>Hibernating</x:v>
      </x:c>
    </x:row>
    <x:row r="2657" ht="22" customHeight="1">
      <x:c r="A2657" s="2"/>
      <x:c r="B2657" s="2" t="str">
        <x:v>14994</x:v>
      </x:c>
      <x:c r="C2657" s="2" t="str">
        <x:v>United Kingdom</x:v>
      </x:c>
      <x:c r="D2657" s="25" t="n">
        <x:v>40263.38611111111</x:v>
      </x:c>
      <x:c r="E2657" s="25" t="n">
        <x:v>40504.33263888889</x:v>
      </x:c>
      <x:c r="F2657" s="2" t="n">
        <x:v>383</x:v>
      </x:c>
      <x:c r="G2657" s="2" t="n">
        <x:v>5</x:v>
      </x:c>
      <x:c r="H2657" s="11" t="n">
        <x:v>960.63</x:v>
      </x:c>
      <x:c r="I2657" s="2" t="n">
        <x:v>2</x:v>
      </x:c>
      <x:c r="J2657" s="2" t="n">
        <x:v>4</x:v>
      </x:c>
      <x:c r="K2657" s="2" t="n">
        <x:v>3</x:v>
      </x:c>
      <x:c r="L2657" s="2" t="str">
        <x:v>At risk</x:v>
      </x:c>
    </x:row>
    <x:row r="2658" ht="22" customHeight="1">
      <x:c r="A2658" s="2"/>
      <x:c r="B2658" s="2" t="str">
        <x:v>14995</x:v>
      </x:c>
      <x:c r="C2658" s="2" t="str">
        <x:v>United Kingdom</x:v>
      </x:c>
      <x:c r="D2658" s="25" t="n">
        <x:v>40606.34305555555</x:v>
      </x:c>
      <x:c r="E2658" s="25" t="n">
        <x:v>40848.277083333334</x:v>
      </x:c>
      <x:c r="F2658" s="2" t="n">
        <x:v>39</x:v>
      </x:c>
      <x:c r="G2658" s="2" t="n">
        <x:v>2</x:v>
      </x:c>
      <x:c r="H2658" s="11" t="n">
        <x:v>233.23</x:v>
      </x:c>
      <x:c r="I2658" s="2" t="n">
        <x:v>4</x:v>
      </x:c>
      <x:c r="J2658" s="2" t="n">
        <x:v>2</x:v>
      </x:c>
      <x:c r="K2658" s="2" t="n">
        <x:v>1</x:v>
      </x:c>
      <x:c r="L2658" s="2" t="str">
        <x:v>Recent light buyers</x:v>
      </x:c>
    </x:row>
    <x:row r="2659" ht="22" customHeight="1">
      <x:c r="A2659" s="2"/>
      <x:c r="B2659" s="2" t="str">
        <x:v>14996</x:v>
      </x:c>
      <x:c r="C2659" s="2" t="str">
        <x:v>United Kingdom</x:v>
      </x:c>
      <x:c r="D2659" s="25" t="n">
        <x:v>40405.361805555556</x:v>
      </x:c>
      <x:c r="E2659" s="25" t="n">
        <x:v>40405.36388888889</x:v>
      </x:c>
      <x:c r="F2659" s="2" t="n">
        <x:v>482</x:v>
      </x:c>
      <x:c r="G2659" s="2" t="n">
        <x:v>2</x:v>
      </x:c>
      <x:c r="H2659" s="11" t="n">
        <x:v>442.29</x:v>
      </x:c>
      <x:c r="I2659" s="2" t="n">
        <x:v>1</x:v>
      </x:c>
      <x:c r="J2659" s="2" t="n">
        <x:v>2</x:v>
      </x:c>
      <x:c r="K2659" s="2" t="n">
        <x:v>2</x:v>
      </x:c>
      <x:c r="L2659" s="2" t="str">
        <x:v>Hibernating</x:v>
      </x:c>
    </x:row>
    <x:row r="2660" ht="22" customHeight="1">
      <x:c r="A2660" s="2"/>
      <x:c r="B2660" s="2" t="str">
        <x:v>14997</x:v>
      </x:c>
      <x:c r="C2660" s="2" t="str">
        <x:v>United Kingdom</x:v>
      </x:c>
      <x:c r="D2660" s="25" t="n">
        <x:v>40231.299305555556</x:v>
      </x:c>
      <x:c r="E2660" s="25" t="n">
        <x:v>40840.35277777778</x:v>
      </x:c>
      <x:c r="F2660" s="2" t="n">
        <x:v>47</x:v>
      </x:c>
      <x:c r="G2660" s="2" t="n">
        <x:v>4</x:v>
      </x:c>
      <x:c r="H2660" s="11" t="n">
        <x:v>776.6</x:v>
      </x:c>
      <x:c r="I2660" s="2" t="n">
        <x:v>4</x:v>
      </x:c>
      <x:c r="J2660" s="2" t="n">
        <x:v>3</x:v>
      </x:c>
      <x:c r="K2660" s="2" t="n">
        <x:v>3</x:v>
      </x:c>
      <x:c r="L2660" s="2" t="str">
        <x:v>Loyal</x:v>
      </x:c>
    </x:row>
    <x:row r="2661" ht="22" customHeight="1">
      <x:c r="A2661" s="2"/>
      <x:c r="B2661" s="2" t="str">
        <x:v>14998</x:v>
      </x:c>
      <x:c r="C2661" s="2" t="str">
        <x:v>United Kingdom</x:v>
      </x:c>
      <x:c r="D2661" s="25" t="n">
        <x:v>40281.46319444444</x:v>
      </x:c>
      <x:c r="E2661" s="25" t="n">
        <x:v>40716.520833333336</x:v>
      </x:c>
      <x:c r="F2661" s="2" t="n">
        <x:v>171</x:v>
      </x:c>
      <x:c r="G2661" s="2" t="n">
        <x:v>4</x:v>
      </x:c>
      <x:c r="H2661" s="11" t="n">
        <x:v>770.73</x:v>
      </x:c>
      <x:c r="I2661" s="2" t="n">
        <x:v>3</x:v>
      </x:c>
      <x:c r="J2661" s="2" t="n">
        <x:v>3</x:v>
      </x:c>
      <x:c r="K2661" s="2" t="n">
        <x:v>3</x:v>
      </x:c>
      <x:c r="L2661" s="2" t="str">
        <x:v>Loyal</x:v>
      </x:c>
    </x:row>
    <x:row r="2662" ht="22" customHeight="1">
      <x:c r="A2662" s="2"/>
      <x:c r="B2662" s="2" t="str">
        <x:v>14999</x:v>
      </x:c>
      <x:c r="C2662" s="2" t="str">
        <x:v>United Kingdom</x:v>
      </x:c>
      <x:c r="D2662" s="25" t="n">
        <x:v>40294.24097222222</x:v>
      </x:c>
      <x:c r="E2662" s="25" t="n">
        <x:v>40294.24097222222</x:v>
      </x:c>
      <x:c r="F2662" s="2" t="n">
        <x:v>593</x:v>
      </x:c>
      <x:c r="G2662" s="2" t="n">
        <x:v>1</x:v>
      </x:c>
      <x:c r="H2662" s="11" t="n">
        <x:v>129.48</x:v>
      </x:c>
      <x:c r="I2662" s="2" t="n">
        <x:v>1</x:v>
      </x:c>
      <x:c r="J2662" s="2" t="n">
        <x:v>1</x:v>
      </x:c>
      <x:c r="K2662" s="2" t="n">
        <x:v>1</x:v>
      </x:c>
      <x:c r="L2662" s="2" t="str">
        <x:v>Hibernating</x:v>
      </x:c>
    </x:row>
    <x:row r="2663" ht="22" customHeight="1">
      <x:c r="A2663" s="2"/>
      <x:c r="B2663" s="2" t="str">
        <x:v>15000</x:v>
      </x:c>
      <x:c r="C2663" s="2" t="str">
        <x:v>United Kingdom</x:v>
      </x:c>
      <x:c r="D2663" s="25" t="n">
        <x:v>40839.27916666667</x:v>
      </x:c>
      <x:c r="E2663" s="25" t="n">
        <x:v>40839.27916666667</x:v>
      </x:c>
      <x:c r="F2663" s="2" t="n">
        <x:v>48</x:v>
      </x:c>
      <x:c r="G2663" s="2" t="n">
        <x:v>1</x:v>
      </x:c>
      <x:c r="H2663" s="11" t="n">
        <x:v>490.52</x:v>
      </x:c>
      <x:c r="I2663" s="2" t="n">
        <x:v>4</x:v>
      </x:c>
      <x:c r="J2663" s="2" t="n">
        <x:v>1</x:v>
      </x:c>
      <x:c r="K2663" s="2" t="n">
        <x:v>2</x:v>
      </x:c>
      <x:c r="L2663" s="2" t="str">
        <x:v>Recent light buyers</x:v>
      </x:c>
    </x:row>
    <x:row r="2664" ht="22" customHeight="1">
      <x:c r="A2664" s="2"/>
      <x:c r="B2664" s="2" t="str">
        <x:v>15001</x:v>
      </x:c>
      <x:c r="C2664" s="2" t="str">
        <x:v>United Kingdom</x:v>
      </x:c>
      <x:c r="D2664" s="25" t="n">
        <x:v>40492.35486111111</x:v>
      </x:c>
      <x:c r="E2664" s="25" t="n">
        <x:v>40492.36875</x:v>
      </x:c>
      <x:c r="F2664" s="2" t="n">
        <x:v>395</x:v>
      </x:c>
      <x:c r="G2664" s="2" t="n">
        <x:v>2</x:v>
      </x:c>
      <x:c r="H2664" s="11" t="n">
        <x:v>230.86</x:v>
      </x:c>
      <x:c r="I2664" s="2" t="n">
        <x:v>2</x:v>
      </x:c>
      <x:c r="J2664" s="2" t="n">
        <x:v>2</x:v>
      </x:c>
      <x:c r="K2664" s="2" t="n">
        <x:v>1</x:v>
      </x:c>
      <x:c r="L2664" s="2" t="str">
        <x:v>Hibernating</x:v>
      </x:c>
    </x:row>
    <x:row r="2665" ht="22" customHeight="1">
      <x:c r="A2665" s="2"/>
      <x:c r="B2665" s="2" t="str">
        <x:v>15002</x:v>
      </x:c>
      <x:c r="C2665" s="2" t="str">
        <x:v>United Kingdom</x:v>
      </x:c>
      <x:c r="D2665" s="25" t="n">
        <x:v>40190.27777777778</x:v>
      </x:c>
      <x:c r="E2665" s="25" t="n">
        <x:v>40771.23888888889</x:v>
      </x:c>
      <x:c r="F2665" s="2" t="n">
        <x:v>116</x:v>
      </x:c>
      <x:c r="G2665" s="2" t="n">
        <x:v>9</x:v>
      </x:c>
      <x:c r="H2665" s="11" t="n">
        <x:v>4185.63</x:v>
      </x:c>
      <x:c r="I2665" s="2" t="n">
        <x:v>3</x:v>
      </x:c>
      <x:c r="J2665" s="2" t="n">
        <x:v>5</x:v>
      </x:c>
      <x:c r="K2665" s="2" t="n">
        <x:v>5</x:v>
      </x:c>
      <x:c r="L2665" s="2" t="str">
        <x:v>Loyal</x:v>
      </x:c>
    </x:row>
    <x:row r="2666" ht="22" customHeight="1">
      <x:c r="A2666" s="2"/>
      <x:c r="B2666" s="2" t="str">
        <x:v>15003</x:v>
      </x:c>
      <x:c r="C2666" s="2" t="str">
        <x:v>United Kingdom</x:v>
      </x:c>
      <x:c r="D2666" s="25" t="n">
        <x:v>40204.33611111111</x:v>
      </x:c>
      <x:c r="E2666" s="25" t="n">
        <x:v>40413.447222222225</x:v>
      </x:c>
      <x:c r="F2666" s="2" t="n">
        <x:v>474</x:v>
      </x:c>
      <x:c r="G2666" s="2" t="n">
        <x:v>6</x:v>
      </x:c>
      <x:c r="H2666" s="11" t="n">
        <x:v>1060.7</x:v>
      </x:c>
      <x:c r="I2666" s="2" t="n">
        <x:v>1</x:v>
      </x:c>
      <x:c r="J2666" s="2" t="n">
        <x:v>4</x:v>
      </x:c>
      <x:c r="K2666" s="2" t="n">
        <x:v>3</x:v>
      </x:c>
      <x:c r="L2666" s="2" t="str">
        <x:v>At risk</x:v>
      </x:c>
    </x:row>
    <x:row r="2667" ht="22" customHeight="1">
      <x:c r="A2667" s="2"/>
      <x:c r="B2667" s="2" t="str">
        <x:v>15004</x:v>
      </x:c>
      <x:c r="C2667" s="2" t="str">
        <x:v>United Kingdom</x:v>
      </x:c>
      <x:c r="D2667" s="25" t="n">
        <x:v>40739.37847222222</x:v>
      </x:c>
      <x:c r="E2667" s="25" t="n">
        <x:v>40739.37847222222</x:v>
      </x:c>
      <x:c r="F2667" s="2" t="n">
        <x:v>148</x:v>
      </x:c>
      <x:c r="G2667" s="2" t="n">
        <x:v>1</x:v>
      </x:c>
      <x:c r="H2667" s="11" t="n">
        <x:v>1246.32</x:v>
      </x:c>
      <x:c r="I2667" s="2" t="n">
        <x:v>3</x:v>
      </x:c>
      <x:c r="J2667" s="2" t="n">
        <x:v>1</x:v>
      </x:c>
      <x:c r="K2667" s="2" t="n">
        <x:v>4</x:v>
      </x:c>
      <x:c r="L2667" s="2" t="str">
        <x:v>Developing</x:v>
      </x:c>
    </x:row>
    <x:row r="2668" ht="22" customHeight="1">
      <x:c r="A2668" s="2"/>
      <x:c r="B2668" s="2" t="str">
        <x:v>15005</x:v>
      </x:c>
      <x:c r="C2668" s="2" t="str">
        <x:v>United Kingdom</x:v>
      </x:c>
      <x:c r="D2668" s="25" t="n">
        <x:v>40148.388194444444</x:v>
      </x:c>
      <x:c r="E2668" s="25" t="n">
        <x:v>40871.30902777778</x:v>
      </x:c>
      <x:c r="F2668" s="2" t="n">
        <x:v>16</x:v>
      </x:c>
      <x:c r="G2668" s="2" t="n">
        <x:v>56</x:v>
      </x:c>
      <x:c r="H2668" s="11" t="n">
        <x:v>13883.7</x:v>
      </x:c>
      <x:c r="I2668" s="2" t="n">
        <x:v>5</x:v>
      </x:c>
      <x:c r="J2668" s="2" t="n">
        <x:v>5</x:v>
      </x:c>
      <x:c r="K2668" s="2" t="n">
        <x:v>5</x:v>
      </x:c>
      <x:c r="L2668" s="2" t="str">
        <x:v>Champions</x:v>
      </x:c>
    </x:row>
    <x:row r="2669" ht="22" customHeight="1">
      <x:c r="A2669" s="2"/>
      <x:c r="B2669" s="2" t="str">
        <x:v>15006</x:v>
      </x:c>
      <x:c r="C2669" s="2" t="str">
        <x:v>United Kingdom</x:v>
      </x:c>
      <x:c r="D2669" s="25" t="n">
        <x:v>40433.33541666667</x:v>
      </x:c>
      <x:c r="E2669" s="25" t="n">
        <x:v>40835.42222222222</x:v>
      </x:c>
      <x:c r="F2669" s="2" t="n">
        <x:v>52</x:v>
      </x:c>
      <x:c r="G2669" s="2" t="n">
        <x:v>2</x:v>
      </x:c>
      <x:c r="H2669" s="11" t="n">
        <x:v>825.14</x:v>
      </x:c>
      <x:c r="I2669" s="2" t="n">
        <x:v>4</x:v>
      </x:c>
      <x:c r="J2669" s="2" t="n">
        <x:v>2</x:v>
      </x:c>
      <x:c r="K2669" s="2" t="n">
        <x:v>3</x:v>
      </x:c>
      <x:c r="L2669" s="2" t="str">
        <x:v>Recent light buyers</x:v>
      </x:c>
    </x:row>
    <x:row r="2670" ht="22" customHeight="1">
      <x:c r="A2670" s="2"/>
      <x:c r="B2670" s="2" t="str">
        <x:v>15007</x:v>
      </x:c>
      <x:c r="C2670" s="2" t="str">
        <x:v>United Kingdom</x:v>
      </x:c>
      <x:c r="D2670" s="25" t="n">
        <x:v>40727.458333333336</x:v>
      </x:c>
      <x:c r="E2670" s="25" t="n">
        <x:v>40727.458333333336</x:v>
      </x:c>
      <x:c r="F2670" s="2" t="n">
        <x:v>160</x:v>
      </x:c>
      <x:c r="G2670" s="2" t="n">
        <x:v>1</x:v>
      </x:c>
      <x:c r="H2670" s="11" t="n">
        <x:v>156.91</x:v>
      </x:c>
      <x:c r="I2670" s="2" t="n">
        <x:v>3</x:v>
      </x:c>
      <x:c r="J2670" s="2" t="n">
        <x:v>1</x:v>
      </x:c>
      <x:c r="K2670" s="2" t="n">
        <x:v>1</x:v>
      </x:c>
      <x:c r="L2670" s="2" t="str">
        <x:v>Developing</x:v>
      </x:c>
    </x:row>
    <x:row r="2671" ht="22" customHeight="1">
      <x:c r="A2671" s="2"/>
      <x:c r="B2671" s="2" t="str">
        <x:v>15008</x:v>
      </x:c>
      <x:c r="C2671" s="2" t="str">
        <x:v>United Kingdom</x:v>
      </x:c>
      <x:c r="D2671" s="25" t="n">
        <x:v>40249.25902777778</x:v>
      </x:c>
      <x:c r="E2671" s="25" t="n">
        <x:v>40406.339583333334</x:v>
      </x:c>
      <x:c r="F2671" s="2" t="n">
        <x:v>481</x:v>
      </x:c>
      <x:c r="G2671" s="2" t="n">
        <x:v>2</x:v>
      </x:c>
      <x:c r="H2671" s="11" t="n">
        <x:v>360</x:v>
      </x:c>
      <x:c r="I2671" s="2" t="n">
        <x:v>1</x:v>
      </x:c>
      <x:c r="J2671" s="2" t="n">
        <x:v>2</x:v>
      </x:c>
      <x:c r="K2671" s="2" t="n">
        <x:v>2</x:v>
      </x:c>
      <x:c r="L2671" s="2" t="str">
        <x:v>Hibernating</x:v>
      </x:c>
    </x:row>
    <x:row r="2672" ht="22" customHeight="1">
      <x:c r="A2672" s="2"/>
      <x:c r="B2672" s="2" t="str">
        <x:v>15009</x:v>
      </x:c>
      <x:c r="C2672" s="2" t="str">
        <x:v>United Kingdom</x:v>
      </x:c>
      <x:c r="D2672" s="25" t="n">
        <x:v>40861.52777777778</x:v>
      </x:c>
      <x:c r="E2672" s="25" t="n">
        <x:v>40874.35763888889</x:v>
      </x:c>
      <x:c r="F2672" s="2" t="n">
        <x:v>13</x:v>
      </x:c>
      <x:c r="G2672" s="2" t="n">
        <x:v>3</x:v>
      </x:c>
      <x:c r="H2672" s="11" t="n">
        <x:v>1261.78</x:v>
      </x:c>
      <x:c r="I2672" s="2" t="n">
        <x:v>5</x:v>
      </x:c>
      <x:c r="J2672" s="2" t="n">
        <x:v>3</x:v>
      </x:c>
      <x:c r="K2672" s="2" t="n">
        <x:v>4</x:v>
      </x:c>
      <x:c r="L2672" s="2" t="str">
        <x:v>Loyal</x:v>
      </x:c>
    </x:row>
    <x:row r="2673" ht="22" customHeight="1">
      <x:c r="A2673" s="2"/>
      <x:c r="B2673" s="2" t="str">
        <x:v>15010</x:v>
      </x:c>
      <x:c r="C2673" s="2" t="str">
        <x:v>United Kingdom</x:v>
      </x:c>
      <x:c r="D2673" s="25" t="n">
        <x:v>40851.32083333333</x:v>
      </x:c>
      <x:c r="E2673" s="25" t="n">
        <x:v>40851.32083333333</x:v>
      </x:c>
      <x:c r="F2673" s="2" t="n">
        <x:v>36</x:v>
      </x:c>
      <x:c r="G2673" s="2" t="n">
        <x:v>1</x:v>
      </x:c>
      <x:c r="H2673" s="11" t="n">
        <x:v>308.94</x:v>
      </x:c>
      <x:c r="I2673" s="2" t="n">
        <x:v>4</x:v>
      </x:c>
      <x:c r="J2673" s="2" t="n">
        <x:v>1</x:v>
      </x:c>
      <x:c r="K2673" s="2" t="n">
        <x:v>2</x:v>
      </x:c>
      <x:c r="L2673" s="2" t="str">
        <x:v>Recent light buyers</x:v>
      </x:c>
    </x:row>
    <x:row r="2674" ht="22" customHeight="1">
      <x:c r="A2674" s="2"/>
      <x:c r="B2674" s="2" t="str">
        <x:v>15011</x:v>
      </x:c>
      <x:c r="C2674" s="2" t="str">
        <x:v>United Kingdom</x:v>
      </x:c>
      <x:c r="D2674" s="25" t="n">
        <x:v>40470.29513888889</x:v>
      </x:c>
      <x:c r="E2674" s="25" t="n">
        <x:v>40491.256944444445</x:v>
      </x:c>
      <x:c r="F2674" s="2" t="n">
        <x:v>396</x:v>
      </x:c>
      <x:c r="G2674" s="2" t="n">
        <x:v>2</x:v>
      </x:c>
      <x:c r="H2674" s="11" t="n">
        <x:v>416.6</x:v>
      </x:c>
      <x:c r="I2674" s="2" t="n">
        <x:v>2</x:v>
      </x:c>
      <x:c r="J2674" s="2" t="n">
        <x:v>2</x:v>
      </x:c>
      <x:c r="K2674" s="2" t="n">
        <x:v>2</x:v>
      </x:c>
      <x:c r="L2674" s="2" t="str">
        <x:v>Hibernating</x:v>
      </x:c>
    </x:row>
    <x:row r="2675" ht="22" customHeight="1">
      <x:c r="A2675" s="2"/>
      <x:c r="B2675" s="2" t="str">
        <x:v>15012</x:v>
      </x:c>
      <x:c r="C2675" s="2" t="str">
        <x:v>United Kingdom</x:v>
      </x:c>
      <x:c r="D2675" s="25" t="n">
        <x:v>40310.28402777778</x:v>
      </x:c>
      <x:c r="E2675" s="25" t="n">
        <x:v>40833.30694444444</x:v>
      </x:c>
      <x:c r="F2675" s="2" t="n">
        <x:v>54</x:v>
      </x:c>
      <x:c r="G2675" s="2" t="n">
        <x:v>3</x:v>
      </x:c>
      <x:c r="H2675" s="11" t="n">
        <x:v>669.56</x:v>
      </x:c>
      <x:c r="I2675" s="2" t="n">
        <x:v>4</x:v>
      </x:c>
      <x:c r="J2675" s="2" t="n">
        <x:v>3</x:v>
      </x:c>
      <x:c r="K2675" s="2" t="n">
        <x:v>3</x:v>
      </x:c>
      <x:c r="L2675" s="2" t="str">
        <x:v>Loyal</x:v>
      </x:c>
    </x:row>
    <x:row r="2676" ht="22" customHeight="1">
      <x:c r="A2676" s="2"/>
      <x:c r="B2676" s="2" t="str">
        <x:v>15013</x:v>
      </x:c>
      <x:c r="C2676" s="2" t="str">
        <x:v>United Kingdom</x:v>
      </x:c>
      <x:c r="D2676" s="25" t="n">
        <x:v>40209.302083333336</x:v>
      </x:c>
      <x:c r="E2676" s="25" t="n">
        <x:v>40399.29513888889</x:v>
      </x:c>
      <x:c r="F2676" s="2" t="n">
        <x:v>488</x:v>
      </x:c>
      <x:c r="G2676" s="2" t="n">
        <x:v>10</x:v>
      </x:c>
      <x:c r="H2676" s="11" t="n">
        <x:v>1641.3</x:v>
      </x:c>
      <x:c r="I2676" s="2" t="n">
        <x:v>1</x:v>
      </x:c>
      <x:c r="J2676" s="2" t="n">
        <x:v>5</x:v>
      </x:c>
      <x:c r="K2676" s="2" t="n">
        <x:v>4</x:v>
      </x:c>
      <x:c r="L2676" s="2" t="str">
        <x:v>At risk</x:v>
      </x:c>
    </x:row>
    <x:row r="2677" ht="22" customHeight="1">
      <x:c r="A2677" s="2"/>
      <x:c r="B2677" s="2" t="str">
        <x:v>15014</x:v>
      </x:c>
      <x:c r="C2677" s="2" t="str">
        <x:v>United Kingdom</x:v>
      </x:c>
      <x:c r="D2677" s="25" t="n">
        <x:v>40710.61111111111</x:v>
      </x:c>
      <x:c r="E2677" s="25" t="n">
        <x:v>40843.62986111111</x:v>
      </x:c>
      <x:c r="F2677" s="2" t="n">
        <x:v>44</x:v>
      </x:c>
      <x:c r="G2677" s="2" t="n">
        <x:v>2</x:v>
      </x:c>
      <x:c r="H2677" s="11" t="n">
        <x:v>260.17</x:v>
      </x:c>
      <x:c r="I2677" s="2" t="n">
        <x:v>4</x:v>
      </x:c>
      <x:c r="J2677" s="2" t="n">
        <x:v>2</x:v>
      </x:c>
      <x:c r="K2677" s="2" t="n">
        <x:v>1</x:v>
      </x:c>
      <x:c r="L2677" s="2" t="str">
        <x:v>Recent light buyers</x:v>
      </x:c>
    </x:row>
    <x:row r="2678" ht="22" customHeight="1">
      <x:c r="A2678" s="2"/>
      <x:c r="B2678" s="2" t="str">
        <x:v>15015</x:v>
      </x:c>
      <x:c r="C2678" s="2" t="str">
        <x:v>United Kingdom</x:v>
      </x:c>
      <x:c r="D2678" s="25" t="n">
        <x:v>40161.40694444445</x:v>
      </x:c>
      <x:c r="E2678" s="25" t="n">
        <x:v>40385.368055555555</x:v>
      </x:c>
      <x:c r="F2678" s="2" t="n">
        <x:v>502</x:v>
      </x:c>
      <x:c r="G2678" s="2" t="n">
        <x:v>13</x:v>
      </x:c>
      <x:c r="H2678" s="11" t="n">
        <x:v>2365.02</x:v>
      </x:c>
      <x:c r="I2678" s="2" t="n">
        <x:v>1</x:v>
      </x:c>
      <x:c r="J2678" s="2" t="n">
        <x:v>5</x:v>
      </x:c>
      <x:c r="K2678" s="2" t="n">
        <x:v>4</x:v>
      </x:c>
      <x:c r="L2678" s="2" t="str">
        <x:v>At risk</x:v>
      </x:c>
    </x:row>
    <x:row r="2679" ht="22" customHeight="1">
      <x:c r="A2679" s="2"/>
      <x:c r="B2679" s="2" t="str">
        <x:v>15016</x:v>
      </x:c>
      <x:c r="C2679" s="2" t="str">
        <x:v>United Kingdom</x:v>
      </x:c>
      <x:c r="D2679" s="25" t="n">
        <x:v>40343.3375</x:v>
      </x:c>
      <x:c r="E2679" s="25" t="n">
        <x:v>40714.29583333333</x:v>
      </x:c>
      <x:c r="F2679" s="2" t="n">
        <x:v>173</x:v>
      </x:c>
      <x:c r="G2679" s="2" t="n">
        <x:v>5</x:v>
      </x:c>
      <x:c r="H2679" s="11" t="n">
        <x:v>630.3</x:v>
      </x:c>
      <x:c r="I2679" s="2" t="n">
        <x:v>3</x:v>
      </x:c>
      <x:c r="J2679" s="2" t="n">
        <x:v>4</x:v>
      </x:c>
      <x:c r="K2679" s="2" t="n">
        <x:v>3</x:v>
      </x:c>
      <x:c r="L2679" s="2" t="str">
        <x:v>Loyal</x:v>
      </x:c>
    </x:row>
    <x:row r="2680" ht="22" customHeight="1">
      <x:c r="A2680" s="2"/>
      <x:c r="B2680" s="2" t="str">
        <x:v>15017</x:v>
      </x:c>
      <x:c r="C2680" s="2" t="str">
        <x:v>United Kingdom</x:v>
      </x:c>
      <x:c r="D2680" s="25" t="n">
        <x:v>40853.23125</x:v>
      </x:c>
      <x:c r="E2680" s="25" t="n">
        <x:v>40853.23125</x:v>
      </x:c>
      <x:c r="F2680" s="2" t="n">
        <x:v>34</x:v>
      </x:c>
      <x:c r="G2680" s="2" t="n">
        <x:v>1</x:v>
      </x:c>
      <x:c r="H2680" s="11" t="n">
        <x:v>125.58</x:v>
      </x:c>
      <x:c r="I2680" s="2" t="n">
        <x:v>4</x:v>
      </x:c>
      <x:c r="J2680" s="2" t="n">
        <x:v>1</x:v>
      </x:c>
      <x:c r="K2680" s="2" t="n">
        <x:v>1</x:v>
      </x:c>
      <x:c r="L2680" s="2" t="str">
        <x:v>Recent light buyers</x:v>
      </x:c>
    </x:row>
    <x:row r="2681" ht="22" customHeight="1">
      <x:c r="A2681" s="2"/>
      <x:c r="B2681" s="2" t="str">
        <x:v>15018</x:v>
      </x:c>
      <x:c r="C2681" s="2" t="str">
        <x:v>United Kingdom</x:v>
      </x:c>
      <x:c r="D2681" s="25" t="n">
        <x:v>40519.24097222222</x:v>
      </x:c>
      <x:c r="E2681" s="25" t="n">
        <x:v>40848.32430555556</x:v>
      </x:c>
      <x:c r="F2681" s="2" t="n">
        <x:v>39</x:v>
      </x:c>
      <x:c r="G2681" s="2" t="n">
        <x:v>3</x:v>
      </x:c>
      <x:c r="H2681" s="11" t="n">
        <x:v>496.21</x:v>
      </x:c>
      <x:c r="I2681" s="2" t="n">
        <x:v>4</x:v>
      </x:c>
      <x:c r="J2681" s="2" t="n">
        <x:v>3</x:v>
      </x:c>
      <x:c r="K2681" s="2" t="n">
        <x:v>2</x:v>
      </x:c>
      <x:c r="L2681" s="2" t="str">
        <x:v>Loyal</x:v>
      </x:c>
    </x:row>
    <x:row r="2682" ht="22" customHeight="1">
      <x:c r="A2682" s="2"/>
      <x:c r="B2682" s="2" t="str">
        <x:v>15019</x:v>
      </x:c>
      <x:c r="C2682" s="2" t="str">
        <x:v>United Kingdom</x:v>
      </x:c>
      <x:c r="D2682" s="25" t="n">
        <x:v>40620.31597222222</x:v>
      </x:c>
      <x:c r="E2682" s="25" t="n">
        <x:v>40620.31597222222</x:v>
      </x:c>
      <x:c r="F2682" s="2" t="n">
        <x:v>267</x:v>
      </x:c>
      <x:c r="G2682" s="2" t="n">
        <x:v>1</x:v>
      </x:c>
      <x:c r="H2682" s="11" t="n">
        <x:v>266</x:v>
      </x:c>
      <x:c r="I2682" s="2" t="n">
        <x:v>2</x:v>
      </x:c>
      <x:c r="J2682" s="2" t="n">
        <x:v>1</x:v>
      </x:c>
      <x:c r="K2682" s="2" t="n">
        <x:v>1</x:v>
      </x:c>
      <x:c r="L2682" s="2" t="str">
        <x:v>Hibernating</x:v>
      </x:c>
    </x:row>
    <x:row r="2683" ht="22" customHeight="1">
      <x:c r="A2683" s="2"/>
      <x:c r="B2683" s="2" t="str">
        <x:v>15020</x:v>
      </x:c>
      <x:c r="C2683" s="2" t="str">
        <x:v>United Kingdom</x:v>
      </x:c>
      <x:c r="D2683" s="25" t="n">
        <x:v>40507.353472222225</x:v>
      </x:c>
      <x:c r="E2683" s="25" t="n">
        <x:v>40507.353472222225</x:v>
      </x:c>
      <x:c r="F2683" s="2" t="n">
        <x:v>380</x:v>
      </x:c>
      <x:c r="G2683" s="2" t="n">
        <x:v>1</x:v>
      </x:c>
      <x:c r="H2683" s="11" t="n">
        <x:v>203.42</x:v>
      </x:c>
      <x:c r="I2683" s="2" t="n">
        <x:v>2</x:v>
      </x:c>
      <x:c r="J2683" s="2" t="n">
        <x:v>1</x:v>
      </x:c>
      <x:c r="K2683" s="2" t="n">
        <x:v>1</x:v>
      </x:c>
      <x:c r="L2683" s="2" t="str">
        <x:v>Hibernating</x:v>
      </x:c>
    </x:row>
    <x:row r="2684" ht="22" customHeight="1">
      <x:c r="A2684" s="2"/>
      <x:c r="B2684" s="2" t="str">
        <x:v>15021</x:v>
      </x:c>
      <x:c r="C2684" s="2" t="str">
        <x:v>United Kingdom</x:v>
      </x:c>
      <x:c r="D2684" s="25" t="n">
        <x:v>40388.48263888889</x:v>
      </x:c>
      <x:c r="E2684" s="25" t="n">
        <x:v>40878.28680555556</x:v>
      </x:c>
      <x:c r="F2684" s="2" t="n">
        <x:v>9</x:v>
      </x:c>
      <x:c r="G2684" s="2" t="n">
        <x:v>12</x:v>
      </x:c>
      <x:c r="H2684" s="11" t="n">
        <x:v>2578.19</x:v>
      </x:c>
      <x:c r="I2684" s="2" t="n">
        <x:v>5</x:v>
      </x:c>
      <x:c r="J2684" s="2" t="n">
        <x:v>5</x:v>
      </x:c>
      <x:c r="K2684" s="2" t="n">
        <x:v>4</x:v>
      </x:c>
      <x:c r="L2684" s="2" t="str">
        <x:v>Champions</x:v>
      </x:c>
    </x:row>
    <x:row r="2685" ht="22" customHeight="1">
      <x:c r="A2685" s="2"/>
      <x:c r="B2685" s="2" t="str">
        <x:v>15022</x:v>
      </x:c>
      <x:c r="C2685" s="2" t="str">
        <x:v>United Kingdom</x:v>
      </x:c>
      <x:c r="D2685" s="25" t="n">
        <x:v>40209.45972222222</x:v>
      </x:c>
      <x:c r="E2685" s="25" t="n">
        <x:v>40875.31597222222</x:v>
      </x:c>
      <x:c r="F2685" s="2" t="n">
        <x:v>12</x:v>
      </x:c>
      <x:c r="G2685" s="2" t="n">
        <x:v>5</x:v>
      </x:c>
      <x:c r="H2685" s="11" t="n">
        <x:v>1186.09</x:v>
      </x:c>
      <x:c r="I2685" s="2" t="n">
        <x:v>5</x:v>
      </x:c>
      <x:c r="J2685" s="2" t="n">
        <x:v>4</x:v>
      </x:c>
      <x:c r="K2685" s="2" t="n">
        <x:v>3</x:v>
      </x:c>
      <x:c r="L2685" s="2" t="str">
        <x:v>Loyal</x:v>
      </x:c>
    </x:row>
    <x:row r="2686" ht="22" customHeight="1">
      <x:c r="A2686" s="2"/>
      <x:c r="B2686" s="2" t="str">
        <x:v>15023</x:v>
      </x:c>
      <x:c r="C2686" s="2" t="str">
        <x:v>United Kingdom</x:v>
      </x:c>
      <x:c r="D2686" s="25" t="n">
        <x:v>40212.447916666664</x:v>
      </x:c>
      <x:c r="E2686" s="25" t="n">
        <x:v>40883.51597222222</x:v>
      </x:c>
      <x:c r="F2686" s="2" t="n">
        <x:v>4</x:v>
      </x:c>
      <x:c r="G2686" s="2" t="n">
        <x:v>20</x:v>
      </x:c>
      <x:c r="H2686" s="11" t="n">
        <x:v>11710.08</x:v>
      </x:c>
      <x:c r="I2686" s="2" t="n">
        <x:v>5</x:v>
      </x:c>
      <x:c r="J2686" s="2" t="n">
        <x:v>5</x:v>
      </x:c>
      <x:c r="K2686" s="2" t="n">
        <x:v>5</x:v>
      </x:c>
      <x:c r="L2686" s="2" t="str">
        <x:v>Champions</x:v>
      </x:c>
    </x:row>
    <x:row r="2687" ht="22" customHeight="1">
      <x:c r="A2687" s="2"/>
      <x:c r="B2687" s="2" t="str">
        <x:v>15024</x:v>
      </x:c>
      <x:c r="C2687" s="2" t="str">
        <x:v>United Kingdom</x:v>
      </x:c>
      <x:c r="D2687" s="25" t="n">
        <x:v>40462.46805555555</x:v>
      </x:c>
      <x:c r="E2687" s="25" t="n">
        <x:v>40877.29583333333</x:v>
      </x:c>
      <x:c r="F2687" s="2" t="n">
        <x:v>10</x:v>
      </x:c>
      <x:c r="G2687" s="2" t="n">
        <x:v>16</x:v>
      </x:c>
      <x:c r="H2687" s="11" t="n">
        <x:v>3584.29</x:v>
      </x:c>
      <x:c r="I2687" s="2" t="n">
        <x:v>5</x:v>
      </x:c>
      <x:c r="J2687" s="2" t="n">
        <x:v>5</x:v>
      </x:c>
      <x:c r="K2687" s="2" t="n">
        <x:v>5</x:v>
      </x:c>
      <x:c r="L2687" s="2" t="str">
        <x:v>Champions</x:v>
      </x:c>
    </x:row>
    <x:row r="2688" ht="22" customHeight="1">
      <x:c r="A2688" s="2"/>
      <x:c r="B2688" s="2" t="str">
        <x:v>15025</x:v>
      </x:c>
      <x:c r="C2688" s="2" t="str">
        <x:v>United Kingdom</x:v>
      </x:c>
      <x:c r="D2688" s="25" t="n">
        <x:v>40318.35277777778</x:v>
      </x:c>
      <x:c r="E2688" s="25" t="n">
        <x:v>40853.430555555555</x:v>
      </x:c>
      <x:c r="F2688" s="2" t="n">
        <x:v>34</x:v>
      </x:c>
      <x:c r="G2688" s="2" t="n">
        <x:v>2</x:v>
      </x:c>
      <x:c r="H2688" s="11" t="n">
        <x:v>1013.09</x:v>
      </x:c>
      <x:c r="I2688" s="2" t="n">
        <x:v>4</x:v>
      </x:c>
      <x:c r="J2688" s="2" t="n">
        <x:v>2</x:v>
      </x:c>
      <x:c r="K2688" s="2" t="n">
        <x:v>3</x:v>
      </x:c>
      <x:c r="L2688" s="2" t="str">
        <x:v>Recent light buyers</x:v>
      </x:c>
    </x:row>
    <x:row r="2689" ht="22" customHeight="1">
      <x:c r="A2689" s="2"/>
      <x:c r="B2689" s="2" t="str">
        <x:v>15026</x:v>
      </x:c>
      <x:c r="C2689" s="2" t="str">
        <x:v>United Kingdom</x:v>
      </x:c>
      <x:c r="D2689" s="25" t="n">
        <x:v>40438.36944444444</x:v>
      </x:c>
      <x:c r="E2689" s="25" t="n">
        <x:v>40806.36944444444</x:v>
      </x:c>
      <x:c r="F2689" s="2" t="n">
        <x:v>81</x:v>
      </x:c>
      <x:c r="G2689" s="2" t="n">
        <x:v>5</x:v>
      </x:c>
      <x:c r="H2689" s="11" t="n">
        <x:v>1061.61</x:v>
      </x:c>
      <x:c r="I2689" s="2" t="n">
        <x:v>3</x:v>
      </x:c>
      <x:c r="J2689" s="2" t="n">
        <x:v>4</x:v>
      </x:c>
      <x:c r="K2689" s="2" t="n">
        <x:v>3</x:v>
      </x:c>
      <x:c r="L2689" s="2" t="str">
        <x:v>Loyal</x:v>
      </x:c>
    </x:row>
    <x:row r="2690" ht="22" customHeight="1">
      <x:c r="A2690" s="2"/>
      <x:c r="B2690" s="2" t="str">
        <x:v>15027</x:v>
      </x:c>
      <x:c r="C2690" s="2" t="str">
        <x:v>United Kingdom</x:v>
      </x:c>
      <x:c r="D2690" s="25" t="n">
        <x:v>40262.402083333334</x:v>
      </x:c>
      <x:c r="E2690" s="25" t="n">
        <x:v>40856.21944444445</x:v>
      </x:c>
      <x:c r="F2690" s="2" t="n">
        <x:v>31</x:v>
      </x:c>
      <x:c r="G2690" s="2" t="n">
        <x:v>10</x:v>
      </x:c>
      <x:c r="H2690" s="11" t="n">
        <x:v>3195.6</x:v>
      </x:c>
      <x:c r="I2690" s="2" t="n">
        <x:v>4</x:v>
      </x:c>
      <x:c r="J2690" s="2" t="n">
        <x:v>5</x:v>
      </x:c>
      <x:c r="K2690" s="2" t="n">
        <x:v>5</x:v>
      </x:c>
      <x:c r="L2690" s="2" t="str">
        <x:v>Champions</x:v>
      </x:c>
    </x:row>
    <x:row r="2691" ht="22" customHeight="1">
      <x:c r="A2691" s="2"/>
      <x:c r="B2691" s="2" t="str">
        <x:v>15028</x:v>
      </x:c>
      <x:c r="C2691" s="2" t="str">
        <x:v>United Kingdom</x:v>
      </x:c>
      <x:c r="D2691" s="25" t="n">
        <x:v>40492.39722222222</x:v>
      </x:c>
      <x:c r="E2691" s="25" t="n">
        <x:v>40878.379166666666</x:v>
      </x:c>
      <x:c r="F2691" s="2" t="n">
        <x:v>9</x:v>
      </x:c>
      <x:c r="G2691" s="2" t="n">
        <x:v>6</x:v>
      </x:c>
      <x:c r="H2691" s="11" t="n">
        <x:v>971.74</x:v>
      </x:c>
      <x:c r="I2691" s="2" t="n">
        <x:v>5</x:v>
      </x:c>
      <x:c r="J2691" s="2" t="n">
        <x:v>4</x:v>
      </x:c>
      <x:c r="K2691" s="2" t="n">
        <x:v>3</x:v>
      </x:c>
      <x:c r="L2691" s="2" t="str">
        <x:v>Loyal</x:v>
      </x:c>
    </x:row>
    <x:row r="2692" ht="22" customHeight="1">
      <x:c r="A2692" s="2"/>
      <x:c r="B2692" s="2" t="str">
        <x:v>15029</x:v>
      </x:c>
      <x:c r="C2692" s="2" t="str">
        <x:v>United Kingdom</x:v>
      </x:c>
      <x:c r="D2692" s="25" t="n">
        <x:v>40267.302777777775</x:v>
      </x:c>
      <x:c r="E2692" s="25" t="n">
        <x:v>40267.302777777775</x:v>
      </x:c>
      <x:c r="F2692" s="2" t="n">
        <x:v>620</x:v>
      </x:c>
      <x:c r="G2692" s="2" t="n">
        <x:v>1</x:v>
      </x:c>
      <x:c r="H2692" s="11" t="n">
        <x:v>365.1</x:v>
      </x:c>
      <x:c r="I2692" s="2" t="n">
        <x:v>1</x:v>
      </x:c>
      <x:c r="J2692" s="2" t="n">
        <x:v>1</x:v>
      </x:c>
      <x:c r="K2692" s="2" t="n">
        <x:v>2</x:v>
      </x:c>
      <x:c r="L2692" s="2" t="str">
        <x:v>Hibernating</x:v>
      </x:c>
    </x:row>
    <x:row r="2693" ht="22" customHeight="1">
      <x:c r="A2693" s="2"/>
      <x:c r="B2693" s="2" t="str">
        <x:v>15030</x:v>
      </x:c>
      <x:c r="C2693" s="2" t="str">
        <x:v>United Kingdom</x:v>
      </x:c>
      <x:c r="D2693" s="25" t="n">
        <x:v>40241.506944444445</x:v>
      </x:c>
      <x:c r="E2693" s="25" t="n">
        <x:v>40815.243055555555</x:v>
      </x:c>
      <x:c r="F2693" s="2" t="n">
        <x:v>72</x:v>
      </x:c>
      <x:c r="G2693" s="2" t="n">
        <x:v>8</x:v>
      </x:c>
      <x:c r="H2693" s="11" t="n">
        <x:v>1979.91</x:v>
      </x:c>
      <x:c r="I2693" s="2" t="n">
        <x:v>3</x:v>
      </x:c>
      <x:c r="J2693" s="2" t="n">
        <x:v>4</x:v>
      </x:c>
      <x:c r="K2693" s="2" t="n">
        <x:v>4</x:v>
      </x:c>
      <x:c r="L2693" s="2" t="str">
        <x:v>Loyal</x:v>
      </x:c>
    </x:row>
    <x:row r="2694" ht="22" customHeight="1">
      <x:c r="A2694" s="2"/>
      <x:c r="B2694" s="2" t="str">
        <x:v>15031</x:v>
      </x:c>
      <x:c r="C2694" s="2" t="str">
        <x:v>United Kingdom</x:v>
      </x:c>
      <x:c r="D2694" s="25" t="n">
        <x:v>40155.35972222222</x:v>
      </x:c>
      <x:c r="E2694" s="25" t="n">
        <x:v>40882.388194444444</x:v>
      </x:c>
      <x:c r="F2694" s="2" t="n">
        <x:v>5</x:v>
      </x:c>
      <x:c r="G2694" s="2" t="n">
        <x:v>14</x:v>
      </x:c>
      <x:c r="H2694" s="11" t="n">
        <x:v>3156.58</x:v>
      </x:c>
      <x:c r="I2694" s="2" t="n">
        <x:v>5</x:v>
      </x:c>
      <x:c r="J2694" s="2" t="n">
        <x:v>5</x:v>
      </x:c>
      <x:c r="K2694" s="2" t="n">
        <x:v>5</x:v>
      </x:c>
      <x:c r="L2694" s="2" t="str">
        <x:v>Champions</x:v>
      </x:c>
    </x:row>
    <x:row r="2695" ht="22" customHeight="1">
      <x:c r="A2695" s="2"/>
      <x:c r="B2695" s="2" t="str">
        <x:v>15032</x:v>
      </x:c>
      <x:c r="C2695" s="2" t="str">
        <x:v>United Kingdom</x:v>
      </x:c>
      <x:c r="D2695" s="25" t="n">
        <x:v>40157.43541666667</x:v>
      </x:c>
      <x:c r="E2695" s="25" t="n">
        <x:v>40630.41875</x:v>
      </x:c>
      <x:c r="F2695" s="2" t="n">
        <x:v>257</x:v>
      </x:c>
      <x:c r="G2695" s="2" t="n">
        <x:v>8</x:v>
      </x:c>
      <x:c r="H2695" s="11" t="n">
        <x:v>11010.05</x:v>
      </x:c>
      <x:c r="I2695" s="2" t="n">
        <x:v>2</x:v>
      </x:c>
      <x:c r="J2695" s="2" t="n">
        <x:v>4</x:v>
      </x:c>
      <x:c r="K2695" s="2" t="n">
        <x:v>5</x:v>
      </x:c>
      <x:c r="L2695" s="2" t="str">
        <x:v>At risk</x:v>
      </x:c>
    </x:row>
    <x:row r="2696" ht="22" customHeight="1">
      <x:c r="A2696" s="2"/>
      <x:c r="B2696" s="2" t="str">
        <x:v>15033</x:v>
      </x:c>
      <x:c r="C2696" s="2" t="str">
        <x:v>United Kingdom</x:v>
      </x:c>
      <x:c r="D2696" s="25" t="n">
        <x:v>40557.35277777778</x:v>
      </x:c>
      <x:c r="E2696" s="25" t="n">
        <x:v>40882.319444444445</x:v>
      </x:c>
      <x:c r="F2696" s="2" t="n">
        <x:v>5</x:v>
      </x:c>
      <x:c r="G2696" s="2" t="n">
        <x:v>10</x:v>
      </x:c>
      <x:c r="H2696" s="11" t="n">
        <x:v>2586.67</x:v>
      </x:c>
      <x:c r="I2696" s="2" t="n">
        <x:v>5</x:v>
      </x:c>
      <x:c r="J2696" s="2" t="n">
        <x:v>5</x:v>
      </x:c>
      <x:c r="K2696" s="2" t="n">
        <x:v>4</x:v>
      </x:c>
      <x:c r="L2696" s="2" t="str">
        <x:v>Champions</x:v>
      </x:c>
    </x:row>
    <x:row r="2697" ht="22" customHeight="1">
      <x:c r="A2697" s="2"/>
      <x:c r="B2697" s="2" t="str">
        <x:v>15034</x:v>
      </x:c>
      <x:c r="C2697" s="2" t="str">
        <x:v>United Kingdom</x:v>
      </x:c>
      <x:c r="D2697" s="25" t="n">
        <x:v>40309.354166666664</x:v>
      </x:c>
      <x:c r="E2697" s="25" t="n">
        <x:v>40871.299305555556</x:v>
      </x:c>
      <x:c r="F2697" s="2" t="n">
        <x:v>16</x:v>
      </x:c>
      <x:c r="G2697" s="2" t="n">
        <x:v>14</x:v>
      </x:c>
      <x:c r="H2697" s="11" t="n">
        <x:v>8313.4</x:v>
      </x:c>
      <x:c r="I2697" s="2" t="n">
        <x:v>5</x:v>
      </x:c>
      <x:c r="J2697" s="2" t="n">
        <x:v>5</x:v>
      </x:c>
      <x:c r="K2697" s="2" t="n">
        <x:v>5</x:v>
      </x:c>
      <x:c r="L2697" s="2" t="str">
        <x:v>Champions</x:v>
      </x:c>
    </x:row>
    <x:row r="2698" ht="22" customHeight="1">
      <x:c r="A2698" s="2"/>
      <x:c r="B2698" s="2" t="str">
        <x:v>15035</x:v>
      </x:c>
      <x:c r="C2698" s="2" t="str">
        <x:v>United Kingdom</x:v>
      </x:c>
      <x:c r="D2698" s="25" t="n">
        <x:v>40797.25555555556</x:v>
      </x:c>
      <x:c r="E2698" s="25" t="n">
        <x:v>40797.25555555556</x:v>
      </x:c>
      <x:c r="F2698" s="2" t="n">
        <x:v>90</x:v>
      </x:c>
      <x:c r="G2698" s="2" t="n">
        <x:v>1</x:v>
      </x:c>
      <x:c r="H2698" s="11" t="n">
        <x:v>252.73</x:v>
      </x:c>
      <x:c r="I2698" s="2" t="n">
        <x:v>3</x:v>
      </x:c>
      <x:c r="J2698" s="2" t="n">
        <x:v>1</x:v>
      </x:c>
      <x:c r="K2698" s="2" t="n">
        <x:v>1</x:v>
      </x:c>
      <x:c r="L2698" s="2" t="str">
        <x:v>Developing</x:v>
      </x:c>
    </x:row>
    <x:row r="2699" ht="22" customHeight="1">
      <x:c r="A2699" s="2"/>
      <x:c r="B2699" s="2" t="str">
        <x:v>15036</x:v>
      </x:c>
      <x:c r="C2699" s="2" t="str">
        <x:v>United Kingdom</x:v>
      </x:c>
      <x:c r="D2699" s="25" t="n">
        <x:v>40707.30486111111</x:v>
      </x:c>
      <x:c r="E2699" s="25" t="n">
        <x:v>40814.44583333333</x:v>
      </x:c>
      <x:c r="F2699" s="2" t="n">
        <x:v>73</x:v>
      </x:c>
      <x:c r="G2699" s="2" t="n">
        <x:v>3</x:v>
      </x:c>
      <x:c r="H2699" s="11" t="n">
        <x:v>465.55</x:v>
      </x:c>
      <x:c r="I2699" s="2" t="n">
        <x:v>3</x:v>
      </x:c>
      <x:c r="J2699" s="2" t="n">
        <x:v>3</x:v>
      </x:c>
      <x:c r="K2699" s="2" t="n">
        <x:v>2</x:v>
      </x:c>
      <x:c r="L2699" s="2" t="str">
        <x:v>Loyal</x:v>
      </x:c>
    </x:row>
    <x:row r="2700" ht="22" customHeight="1">
      <x:c r="A2700" s="2"/>
      <x:c r="B2700" s="2" t="str">
        <x:v>15037</x:v>
      </x:c>
      <x:c r="C2700" s="2" t="str">
        <x:v>United Kingdom</x:v>
      </x:c>
      <x:c r="D2700" s="25" t="n">
        <x:v>40510.30138888889</x:v>
      </x:c>
      <x:c r="E2700" s="25" t="n">
        <x:v>40510.336805555555</x:v>
      </x:c>
      <x:c r="F2700" s="2" t="n">
        <x:v>377</x:v>
      </x:c>
      <x:c r="G2700" s="2" t="n">
        <x:v>2</x:v>
      </x:c>
      <x:c r="H2700" s="11" t="n">
        <x:v>402.51</x:v>
      </x:c>
      <x:c r="I2700" s="2" t="n">
        <x:v>2</x:v>
      </x:c>
      <x:c r="J2700" s="2" t="n">
        <x:v>2</x:v>
      </x:c>
      <x:c r="K2700" s="2" t="n">
        <x:v>2</x:v>
      </x:c>
      <x:c r="L2700" s="2" t="str">
        <x:v>Hibernating</x:v>
      </x:c>
    </x:row>
    <x:row r="2701" ht="22" customHeight="1">
      <x:c r="A2701" s="2"/>
      <x:c r="B2701" s="2" t="str">
        <x:v>15038</x:v>
      </x:c>
      <x:c r="C2701" s="2" t="str">
        <x:v>United Kingdom</x:v>
      </x:c>
      <x:c r="D2701" s="25" t="n">
        <x:v>40461.399305555555</x:v>
      </x:c>
      <x:c r="E2701" s="25" t="n">
        <x:v>40828.27291666667</x:v>
      </x:c>
      <x:c r="F2701" s="2" t="n">
        <x:v>59</x:v>
      </x:c>
      <x:c r="G2701" s="2" t="n">
        <x:v>9</x:v>
      </x:c>
      <x:c r="H2701" s="11" t="n">
        <x:v>1183.43</x:v>
      </x:c>
      <x:c r="I2701" s="2" t="n">
        <x:v>4</x:v>
      </x:c>
      <x:c r="J2701" s="2" t="n">
        <x:v>5</x:v>
      </x:c>
      <x:c r="K2701" s="2" t="n">
        <x:v>3</x:v>
      </x:c>
      <x:c r="L2701" s="2" t="str">
        <x:v>Loyal</x:v>
      </x:c>
    </x:row>
    <x:row r="2702" ht="22" customHeight="1">
      <x:c r="A2702" s="2"/>
      <x:c r="B2702" s="2" t="str">
        <x:v>15039</x:v>
      </x:c>
      <x:c r="C2702" s="2" t="str">
        <x:v>United Kingdom</x:v>
      </x:c>
      <x:c r="D2702" s="25" t="n">
        <x:v>40157.277083333334</x:v>
      </x:c>
      <x:c r="E2702" s="25" t="n">
        <x:v>40877.271527777775</x:v>
      </x:c>
      <x:c r="F2702" s="2" t="n">
        <x:v>10</x:v>
      </x:c>
      <x:c r="G2702" s="2" t="n">
        <x:v>93</x:v>
      </x:c>
      <x:c r="H2702" s="11" t="n">
        <x:v>39419.92</x:v>
      </x:c>
      <x:c r="I2702" s="2" t="n">
        <x:v>5</x:v>
      </x:c>
      <x:c r="J2702" s="2" t="n">
        <x:v>5</x:v>
      </x:c>
      <x:c r="K2702" s="2" t="n">
        <x:v>5</x:v>
      </x:c>
      <x:c r="L2702" s="2" t="str">
        <x:v>Champions</x:v>
      </x:c>
    </x:row>
    <x:row r="2703" ht="22" customHeight="1">
      <x:c r="A2703" s="2"/>
      <x:c r="B2703" s="2" t="str">
        <x:v>15040</x:v>
      </x:c>
      <x:c r="C2703" s="2" t="str">
        <x:v>United Kingdom</x:v>
      </x:c>
      <x:c r="D2703" s="25" t="n">
        <x:v>40345.27777777778</x:v>
      </x:c>
      <x:c r="E2703" s="25" t="n">
        <x:v>40345.27777777778</x:v>
      </x:c>
      <x:c r="F2703" s="2" t="n">
        <x:v>542</x:v>
      </x:c>
      <x:c r="G2703" s="2" t="n">
        <x:v>1</x:v>
      </x:c>
      <x:c r="H2703" s="11" t="n">
        <x:v>7.49</x:v>
      </x:c>
      <x:c r="I2703" s="2" t="n">
        <x:v>1</x:v>
      </x:c>
      <x:c r="J2703" s="2" t="n">
        <x:v>1</x:v>
      </x:c>
      <x:c r="K2703" s="2" t="n">
        <x:v>1</x:v>
      </x:c>
      <x:c r="L2703" s="2" t="str">
        <x:v>Hibernating</x:v>
      </x:c>
    </x:row>
    <x:row r="2704" ht="22" customHeight="1">
      <x:c r="A2704" s="2"/>
      <x:c r="B2704" s="2" t="str">
        <x:v>15041</x:v>
      </x:c>
      <x:c r="C2704" s="2" t="str">
        <x:v>United Kingdom</x:v>
      </x:c>
      <x:c r="D2704" s="25" t="n">
        <x:v>40442.34444444445</x:v>
      </x:c>
      <x:c r="E2704" s="25" t="n">
        <x:v>40716.46944444445</x:v>
      </x:c>
      <x:c r="F2704" s="2" t="n">
        <x:v>171</x:v>
      </x:c>
      <x:c r="G2704" s="2" t="n">
        <x:v>2</x:v>
      </x:c>
      <x:c r="H2704" s="11" t="n">
        <x:v>294.02</x:v>
      </x:c>
      <x:c r="I2704" s="2" t="n">
        <x:v>3</x:v>
      </x:c>
      <x:c r="J2704" s="2" t="n">
        <x:v>2</x:v>
      </x:c>
      <x:c r="K2704" s="2" t="n">
        <x:v>2</x:v>
      </x:c>
      <x:c r="L2704" s="2" t="str">
        <x:v>Developing</x:v>
      </x:c>
    </x:row>
    <x:row r="2705" ht="22" customHeight="1">
      <x:c r="A2705" s="2"/>
      <x:c r="B2705" s="2" t="str">
        <x:v>15042</x:v>
      </x:c>
      <x:c r="C2705" s="2" t="str">
        <x:v>United Kingdom</x:v>
      </x:c>
      <x:c r="D2705" s="25" t="n">
        <x:v>40291.37569444445</x:v>
      </x:c>
      <x:c r="E2705" s="25" t="n">
        <x:v>40687.475694444445</x:v>
      </x:c>
      <x:c r="F2705" s="2" t="n">
        <x:v>200</x:v>
      </x:c>
      <x:c r="G2705" s="2" t="n">
        <x:v>2</x:v>
      </x:c>
      <x:c r="H2705" s="11" t="n">
        <x:v>315.45</x:v>
      </x:c>
      <x:c r="I2705" s="2" t="n">
        <x:v>2</x:v>
      </x:c>
      <x:c r="J2705" s="2" t="n">
        <x:v>2</x:v>
      </x:c>
      <x:c r="K2705" s="2" t="n">
        <x:v>2</x:v>
      </x:c>
      <x:c r="L2705" s="2" t="str">
        <x:v>Hibernating</x:v>
      </x:c>
    </x:row>
    <x:row r="2706" ht="22" customHeight="1">
      <x:c r="A2706" s="2"/>
      <x:c r="B2706" s="2" t="str">
        <x:v>15043</x:v>
      </x:c>
      <x:c r="C2706" s="2" t="str">
        <x:v>United Kingdom</x:v>
      </x:c>
      <x:c r="D2706" s="25" t="n">
        <x:v>40353.45138888889</x:v>
      </x:c>
      <x:c r="E2706" s="25" t="n">
        <x:v>40855.393055555556</x:v>
      </x:c>
      <x:c r="F2706" s="2" t="n">
        <x:v>32</x:v>
      </x:c>
      <x:c r="G2706" s="2" t="n">
        <x:v>6</x:v>
      </x:c>
      <x:c r="H2706" s="11" t="n">
        <x:v>2873.8</x:v>
      </x:c>
      <x:c r="I2706" s="2" t="n">
        <x:v>4</x:v>
      </x:c>
      <x:c r="J2706" s="2" t="n">
        <x:v>4</x:v>
      </x:c>
      <x:c r="K2706" s="2" t="n">
        <x:v>4</x:v>
      </x:c>
      <x:c r="L2706" s="2" t="str">
        <x:v>Champions</x:v>
      </x:c>
    </x:row>
    <x:row r="2707" ht="22" customHeight="1">
      <x:c r="A2707" s="2"/>
      <x:c r="B2707" s="2" t="str">
        <x:v>15044</x:v>
      </x:c>
      <x:c r="C2707" s="2" t="str">
        <x:v>United Kingdom</x:v>
      </x:c>
      <x:c r="D2707" s="25" t="n">
        <x:v>40163.42569444444</x:v>
      </x:c>
      <x:c r="E2707" s="25" t="n">
        <x:v>40867.34722222222</x:v>
      </x:c>
      <x:c r="F2707" s="2" t="n">
        <x:v>20</x:v>
      </x:c>
      <x:c r="G2707" s="2" t="n">
        <x:v>35</x:v>
      </x:c>
      <x:c r="H2707" s="11" t="n">
        <x:v>16204.33</x:v>
      </x:c>
      <x:c r="I2707" s="2" t="n">
        <x:v>5</x:v>
      </x:c>
      <x:c r="J2707" s="2" t="n">
        <x:v>5</x:v>
      </x:c>
      <x:c r="K2707" s="2" t="n">
        <x:v>5</x:v>
      </x:c>
      <x:c r="L2707" s="2" t="str">
        <x:v>Champions</x:v>
      </x:c>
    </x:row>
    <x:row r="2708" ht="22" customHeight="1">
      <x:c r="A2708" s="2"/>
      <x:c r="B2708" s="2" t="str">
        <x:v>15045</x:v>
      </x:c>
      <x:c r="C2708" s="2" t="str">
        <x:v>United Kingdom</x:v>
      </x:c>
      <x:c r="D2708" s="25" t="n">
        <x:v>40629.28055555555</x:v>
      </x:c>
      <x:c r="E2708" s="25" t="n">
        <x:v>40735.27291666667</x:v>
      </x:c>
      <x:c r="F2708" s="2" t="n">
        <x:v>152</x:v>
      </x:c>
      <x:c r="G2708" s="2" t="n">
        <x:v>2</x:v>
      </x:c>
      <x:c r="H2708" s="11" t="n">
        <x:v>735.66</x:v>
      </x:c>
      <x:c r="I2708" s="2" t="n">
        <x:v>3</x:v>
      </x:c>
      <x:c r="J2708" s="2" t="n">
        <x:v>2</x:v>
      </x:c>
      <x:c r="K2708" s="2" t="n">
        <x:v>3</x:v>
      </x:c>
      <x:c r="L2708" s="2" t="str">
        <x:v>Developing</x:v>
      </x:c>
    </x:row>
    <x:row r="2709" ht="22" customHeight="1">
      <x:c r="A2709" s="2"/>
      <x:c r="B2709" s="2" t="str">
        <x:v>15046</x:v>
      </x:c>
      <x:c r="C2709" s="2" t="str">
        <x:v>United Kingdom</x:v>
      </x:c>
      <x:c r="D2709" s="25" t="n">
        <x:v>40192.39513888889</x:v>
      </x:c>
      <x:c r="E2709" s="25" t="n">
        <x:v>40877.45138888889</x:v>
      </x:c>
      <x:c r="F2709" s="2" t="n">
        <x:v>10</x:v>
      </x:c>
      <x:c r="G2709" s="2" t="n">
        <x:v>25</x:v>
      </x:c>
      <x:c r="H2709" s="11" t="n">
        <x:v>7812.39</x:v>
      </x:c>
      <x:c r="I2709" s="2" t="n">
        <x:v>5</x:v>
      </x:c>
      <x:c r="J2709" s="2" t="n">
        <x:v>5</x:v>
      </x:c>
      <x:c r="K2709" s="2" t="n">
        <x:v>5</x:v>
      </x:c>
      <x:c r="L2709" s="2" t="str">
        <x:v>Champions</x:v>
      </x:c>
    </x:row>
    <x:row r="2710" ht="22" customHeight="1">
      <x:c r="A2710" s="2"/>
      <x:c r="B2710" s="2" t="str">
        <x:v>15047</x:v>
      </x:c>
      <x:c r="C2710" s="2" t="str">
        <x:v>United Kingdom</x:v>
      </x:c>
      <x:c r="D2710" s="25" t="n">
        <x:v>40617.24236111111</x:v>
      </x:c>
      <x:c r="E2710" s="25" t="n">
        <x:v>40617.24236111111</x:v>
      </x:c>
      <x:c r="F2710" s="2" t="n">
        <x:v>270</x:v>
      </x:c>
      <x:c r="G2710" s="2" t="n">
        <x:v>1</x:v>
      </x:c>
      <x:c r="H2710" s="11" t="n">
        <x:v>343.62</x:v>
      </x:c>
      <x:c r="I2710" s="2" t="n">
        <x:v>2</x:v>
      </x:c>
      <x:c r="J2710" s="2" t="n">
        <x:v>1</x:v>
      </x:c>
      <x:c r="K2710" s="2" t="n">
        <x:v>2</x:v>
      </x:c>
      <x:c r="L2710" s="2" t="str">
        <x:v>Hibernating</x:v>
      </x:c>
    </x:row>
    <x:row r="2711" ht="22" customHeight="1">
      <x:c r="A2711" s="2"/>
      <x:c r="B2711" s="2" t="str">
        <x:v>15048</x:v>
      </x:c>
      <x:c r="C2711" s="2" t="str">
        <x:v>United Kingdom</x:v>
      </x:c>
      <x:c r="D2711" s="25" t="n">
        <x:v>40518.302083333336</x:v>
      </x:c>
      <x:c r="E2711" s="25" t="n">
        <x:v>40821.413194444445</x:v>
      </x:c>
      <x:c r="F2711" s="2" t="n">
        <x:v>66</x:v>
      </x:c>
      <x:c r="G2711" s="2" t="n">
        <x:v>4</x:v>
      </x:c>
      <x:c r="H2711" s="11" t="n">
        <x:v>384.05</x:v>
      </x:c>
      <x:c r="I2711" s="2" t="n">
        <x:v>3</x:v>
      </x:c>
      <x:c r="J2711" s="2" t="n">
        <x:v>3</x:v>
      </x:c>
      <x:c r="K2711" s="2" t="n">
        <x:v>2</x:v>
      </x:c>
      <x:c r="L2711" s="2" t="str">
        <x:v>Loyal</x:v>
      </x:c>
    </x:row>
    <x:row r="2712" ht="22" customHeight="1">
      <x:c r="A2712" s="2"/>
      <x:c r="B2712" s="2" t="str">
        <x:v>15049</x:v>
      </x:c>
      <x:c r="C2712" s="2" t="str">
        <x:v>United Kingdom</x:v>
      </x:c>
      <x:c r="D2712" s="25" t="n">
        <x:v>40613.30069444444</x:v>
      </x:c>
      <x:c r="E2712" s="25" t="n">
        <x:v>40613.30069444444</x:v>
      </x:c>
      <x:c r="F2712" s="2" t="n">
        <x:v>274</x:v>
      </x:c>
      <x:c r="G2712" s="2" t="n">
        <x:v>1</x:v>
      </x:c>
      <x:c r="H2712" s="11" t="n">
        <x:v>121.17</x:v>
      </x:c>
      <x:c r="I2712" s="2" t="n">
        <x:v>2</x:v>
      </x:c>
      <x:c r="J2712" s="2" t="n">
        <x:v>1</x:v>
      </x:c>
      <x:c r="K2712" s="2" t="n">
        <x:v>1</x:v>
      </x:c>
      <x:c r="L2712" s="2" t="str">
        <x:v>Hibernating</x:v>
      </x:c>
    </x:row>
    <x:row r="2713" ht="22" customHeight="1">
      <x:c r="A2713" s="2"/>
      <x:c r="B2713" s="2" t="str">
        <x:v>15050</x:v>
      </x:c>
      <x:c r="C2713" s="2" t="str">
        <x:v>United Kingdom</x:v>
      </x:c>
      <x:c r="D2713" s="25" t="n">
        <x:v>40406.291666666664</x:v>
      </x:c>
      <x:c r="E2713" s="25" t="n">
        <x:v>40861.470138888886</x:v>
      </x:c>
      <x:c r="F2713" s="2" t="n">
        <x:v>26</x:v>
      </x:c>
      <x:c r="G2713" s="2" t="n">
        <x:v>5</x:v>
      </x:c>
      <x:c r="H2713" s="11" t="n">
        <x:v>4193.79</x:v>
      </x:c>
      <x:c r="I2713" s="2" t="n">
        <x:v>4</x:v>
      </x:c>
      <x:c r="J2713" s="2" t="n">
        <x:v>4</x:v>
      </x:c>
      <x:c r="K2713" s="2" t="n">
        <x:v>5</x:v>
      </x:c>
      <x:c r="L2713" s="2" t="str">
        <x:v>Champions</x:v>
      </x:c>
    </x:row>
    <x:row r="2714" ht="22" customHeight="1">
      <x:c r="A2714" s="2"/>
      <x:c r="B2714" s="2" t="str">
        <x:v>15051</x:v>
      </x:c>
      <x:c r="C2714" s="2" t="str">
        <x:v>United Kingdom</x:v>
      </x:c>
      <x:c r="D2714" s="25" t="n">
        <x:v>40148.353472222225</x:v>
      </x:c>
      <x:c r="E2714" s="25" t="n">
        <x:v>40863.44305555556</x:v>
      </x:c>
      <x:c r="F2714" s="2" t="n">
        <x:v>24</x:v>
      </x:c>
      <x:c r="G2714" s="2" t="n">
        <x:v>9</x:v>
      </x:c>
      <x:c r="H2714" s="11" t="n">
        <x:v>3935.16</x:v>
      </x:c>
      <x:c r="I2714" s="2" t="n">
        <x:v>4</x:v>
      </x:c>
      <x:c r="J2714" s="2" t="n">
        <x:v>5</x:v>
      </x:c>
      <x:c r="K2714" s="2" t="n">
        <x:v>5</x:v>
      </x:c>
      <x:c r="L2714" s="2" t="str">
        <x:v>Champions</x:v>
      </x:c>
    </x:row>
    <x:row r="2715" ht="22" customHeight="1">
      <x:c r="A2715" s="2"/>
      <x:c r="B2715" s="2" t="str">
        <x:v>15052</x:v>
      </x:c>
      <x:c r="C2715" s="2" t="str">
        <x:v>United Kingdom</x:v>
      </x:c>
      <x:c r="D2715" s="25" t="n">
        <x:v>40567.45277777778</x:v>
      </x:c>
      <x:c r="E2715" s="25" t="n">
        <x:v>40567.45277777778</x:v>
      </x:c>
      <x:c r="F2715" s="2" t="n">
        <x:v>320</x:v>
      </x:c>
      <x:c r="G2715" s="2" t="n">
        <x:v>1</x:v>
      </x:c>
      <x:c r="H2715" s="11" t="n">
        <x:v>215.78</x:v>
      </x:c>
      <x:c r="I2715" s="2" t="n">
        <x:v>2</x:v>
      </x:c>
      <x:c r="J2715" s="2" t="n">
        <x:v>1</x:v>
      </x:c>
      <x:c r="K2715" s="2" t="n">
        <x:v>1</x:v>
      </x:c>
      <x:c r="L2715" s="2" t="str">
        <x:v>Hibernating</x:v>
      </x:c>
    </x:row>
    <x:row r="2716" ht="22" customHeight="1">
      <x:c r="A2716" s="2"/>
      <x:c r="B2716" s="2" t="str">
        <x:v>15053</x:v>
      </x:c>
      <x:c r="C2716" s="2" t="str">
        <x:v>United Kingdom</x:v>
      </x:c>
      <x:c r="D2716" s="25" t="n">
        <x:v>40605.29583333333</x:v>
      </x:c>
      <x:c r="E2716" s="25" t="n">
        <x:v>40882.29722222222</x:v>
      </x:c>
      <x:c r="F2716" s="2" t="n">
        <x:v>5</x:v>
      </x:c>
      <x:c r="G2716" s="2" t="n">
        <x:v>3</x:v>
      </x:c>
      <x:c r="H2716" s="11" t="n">
        <x:v>697.79</x:v>
      </x:c>
      <x:c r="I2716" s="2" t="n">
        <x:v>5</x:v>
      </x:c>
      <x:c r="J2716" s="2" t="n">
        <x:v>3</x:v>
      </x:c>
      <x:c r="K2716" s="2" t="n">
        <x:v>3</x:v>
      </x:c>
      <x:c r="L2716" s="2" t="str">
        <x:v>Loyal</x:v>
      </x:c>
    </x:row>
    <x:row r="2717" ht="22" customHeight="1">
      <x:c r="A2717" s="2"/>
      <x:c r="B2717" s="2" t="str">
        <x:v>15054</x:v>
      </x:c>
      <x:c r="C2717" s="2" t="str">
        <x:v>United Kingdom</x:v>
      </x:c>
      <x:c r="D2717" s="25" t="n">
        <x:v>40846.39791666667</x:v>
      </x:c>
      <x:c r="E2717" s="25" t="n">
        <x:v>40874.41805555556</x:v>
      </x:c>
      <x:c r="F2717" s="2" t="n">
        <x:v>13</x:v>
      </x:c>
      <x:c r="G2717" s="2" t="n">
        <x:v>2</x:v>
      </x:c>
      <x:c r="H2717" s="11" t="n">
        <x:v>302.1</x:v>
      </x:c>
      <x:c r="I2717" s="2" t="n">
        <x:v>5</x:v>
      </x:c>
      <x:c r="J2717" s="2" t="n">
        <x:v>2</x:v>
      </x:c>
      <x:c r="K2717" s="2" t="n">
        <x:v>2</x:v>
      </x:c>
      <x:c r="L2717" s="2" t="str">
        <x:v>Recent light buyers</x:v>
      </x:c>
    </x:row>
    <x:row r="2718" ht="22" customHeight="1">
      <x:c r="A2718" s="2"/>
      <x:c r="B2718" s="2" t="str">
        <x:v>15055</x:v>
      </x:c>
      <x:c r="C2718" s="2" t="str">
        <x:v>United Kingdom</x:v>
      </x:c>
      <x:c r="D2718" s="25" t="n">
        <x:v>40163.45</x:v>
      </x:c>
      <x:c r="E2718" s="25" t="n">
        <x:v>40412.254166666666</x:v>
      </x:c>
      <x:c r="F2718" s="2" t="n">
        <x:v>475</x:v>
      </x:c>
      <x:c r="G2718" s="2" t="n">
        <x:v>3</x:v>
      </x:c>
      <x:c r="H2718" s="11" t="n">
        <x:v>560.07</x:v>
      </x:c>
      <x:c r="I2718" s="2" t="n">
        <x:v>1</x:v>
      </x:c>
      <x:c r="J2718" s="2" t="n">
        <x:v>3</x:v>
      </x:c>
      <x:c r="K2718" s="2" t="n">
        <x:v>2</x:v>
      </x:c>
      <x:c r="L2718" s="2" t="str">
        <x:v>At risk</x:v>
      </x:c>
    </x:row>
    <x:row r="2719" ht="22" customHeight="1">
      <x:c r="A2719" s="2"/>
      <x:c r="B2719" s="2" t="str">
        <x:v>15056</x:v>
      </x:c>
      <x:c r="C2719" s="2" t="str">
        <x:v>United Kingdom</x:v>
      </x:c>
      <x:c r="D2719" s="25" t="n">
        <x:v>40366.45694444444</x:v>
      </x:c>
      <x:c r="E2719" s="25" t="n">
        <x:v>40366.45694444444</x:v>
      </x:c>
      <x:c r="F2719" s="2" t="n">
        <x:v>521</x:v>
      </x:c>
      <x:c r="G2719" s="2" t="n">
        <x:v>1</x:v>
      </x:c>
      <x:c r="H2719" s="11" t="n">
        <x:v>133.45</x:v>
      </x:c>
      <x:c r="I2719" s="2" t="n">
        <x:v>1</x:v>
      </x:c>
      <x:c r="J2719" s="2" t="n">
        <x:v>1</x:v>
      </x:c>
      <x:c r="K2719" s="2" t="n">
        <x:v>1</x:v>
      </x:c>
      <x:c r="L2719" s="2" t="str">
        <x:v>Hibernating</x:v>
      </x:c>
    </x:row>
    <x:row r="2720" ht="22" customHeight="1">
      <x:c r="A2720" s="2"/>
      <x:c r="B2720" s="2" t="str">
        <x:v>15057</x:v>
      </x:c>
      <x:c r="C2720" s="2" t="str">
        <x:v>United Kingdom</x:v>
      </x:c>
      <x:c r="D2720" s="25" t="n">
        <x:v>40152.43541666667</x:v>
      </x:c>
      <x:c r="E2720" s="25" t="n">
        <x:v>40611.42847222222</x:v>
      </x:c>
      <x:c r="F2720" s="2" t="n">
        <x:v>276</x:v>
      </x:c>
      <x:c r="G2720" s="2" t="n">
        <x:v>5</x:v>
      </x:c>
      <x:c r="H2720" s="11" t="n">
        <x:v>3255.96</x:v>
      </x:c>
      <x:c r="I2720" s="2" t="n">
        <x:v>2</x:v>
      </x:c>
      <x:c r="J2720" s="2" t="n">
        <x:v>4</x:v>
      </x:c>
      <x:c r="K2720" s="2" t="n">
        <x:v>5</x:v>
      </x:c>
      <x:c r="L2720" s="2" t="str">
        <x:v>At risk</x:v>
      </x:c>
    </x:row>
    <x:row r="2721" ht="22" customHeight="1">
      <x:c r="A2721" s="2"/>
      <x:c r="B2721" s="2" t="str">
        <x:v>15058</x:v>
      </x:c>
      <x:c r="C2721" s="2" t="str">
        <x:v>United Kingdom</x:v>
      </x:c>
      <x:c r="D2721" s="25" t="n">
        <x:v>40233.37986111111</x:v>
      </x:c>
      <x:c r="E2721" s="25" t="n">
        <x:v>40861.41458333333</x:v>
      </x:c>
      <x:c r="F2721" s="2" t="n">
        <x:v>26</x:v>
      </x:c>
      <x:c r="G2721" s="2" t="n">
        <x:v>16</x:v>
      </x:c>
      <x:c r="H2721" s="11" t="n">
        <x:v>3410.03</x:v>
      </x:c>
      <x:c r="I2721" s="2" t="n">
        <x:v>4</x:v>
      </x:c>
      <x:c r="J2721" s="2" t="n">
        <x:v>5</x:v>
      </x:c>
      <x:c r="K2721" s="2" t="n">
        <x:v>5</x:v>
      </x:c>
      <x:c r="L2721" s="2" t="str">
        <x:v>Champions</x:v>
      </x:c>
    </x:row>
    <x:row r="2722" ht="22" customHeight="1">
      <x:c r="A2722" s="2"/>
      <x:c r="B2722" s="2" t="str">
        <x:v>15059</x:v>
      </x:c>
      <x:c r="C2722" s="2" t="str">
        <x:v>United Kingdom</x:v>
      </x:c>
      <x:c r="D2722" s="25" t="n">
        <x:v>40153.30347222222</x:v>
      </x:c>
      <x:c r="E2722" s="25" t="n">
        <x:v>40846.274305555555</x:v>
      </x:c>
      <x:c r="F2722" s="2" t="n">
        <x:v>41</x:v>
      </x:c>
      <x:c r="G2722" s="2" t="n">
        <x:v>19</x:v>
      </x:c>
      <x:c r="H2722" s="11" t="n">
        <x:v>3523.57</x:v>
      </x:c>
      <x:c r="I2722" s="2" t="n">
        <x:v>4</x:v>
      </x:c>
      <x:c r="J2722" s="2" t="n">
        <x:v>5</x:v>
      </x:c>
      <x:c r="K2722" s="2" t="n">
        <x:v>5</x:v>
      </x:c>
      <x:c r="L2722" s="2" t="str">
        <x:v>Champions</x:v>
      </x:c>
    </x:row>
    <x:row r="2723" ht="22" customHeight="1">
      <x:c r="A2723" s="2"/>
      <x:c r="B2723" s="2" t="str">
        <x:v>15060</x:v>
      </x:c>
      <x:c r="C2723" s="2" t="str">
        <x:v>United Kingdom</x:v>
      </x:c>
      <x:c r="D2723" s="25" t="n">
        <x:v>40877.37708333333</x:v>
      </x:c>
      <x:c r="E2723" s="25" t="n">
        <x:v>40878.36597222222</x:v>
      </x:c>
      <x:c r="F2723" s="2" t="n">
        <x:v>9</x:v>
      </x:c>
      <x:c r="G2723" s="2" t="n">
        <x:v>4</x:v>
      </x:c>
      <x:c r="H2723" s="11" t="n">
        <x:v>303.09</x:v>
      </x:c>
      <x:c r="I2723" s="2" t="n">
        <x:v>5</x:v>
      </x:c>
      <x:c r="J2723" s="2" t="n">
        <x:v>3</x:v>
      </x:c>
      <x:c r="K2723" s="2" t="n">
        <x:v>2</x:v>
      </x:c>
      <x:c r="L2723" s="2" t="str">
        <x:v>Loyal</x:v>
      </x:c>
    </x:row>
    <x:row r="2724" ht="22" customHeight="1">
      <x:c r="A2724" s="2"/>
      <x:c r="B2724" s="2" t="str">
        <x:v>15061</x:v>
      </x:c>
      <x:c r="C2724" s="2" t="str">
        <x:v>United Kingdom</x:v>
      </x:c>
      <x:c r="D2724" s="25" t="n">
        <x:v>40148.30416666667</x:v>
      </x:c>
      <x:c r="E2724" s="25" t="n">
        <x:v>40883.29583333333</x:v>
      </x:c>
      <x:c r="F2724" s="2" t="n">
        <x:v>4</x:v>
      </x:c>
      <x:c r="G2724" s="2" t="n">
        <x:v>127</x:v>
      </x:c>
      <x:c r="H2724" s="11" t="n">
        <x:v>126389.02</x:v>
      </x:c>
      <x:c r="I2724" s="2" t="n">
        <x:v>5</x:v>
      </x:c>
      <x:c r="J2724" s="2" t="n">
        <x:v>5</x:v>
      </x:c>
      <x:c r="K2724" s="2" t="n">
        <x:v>5</x:v>
      </x:c>
      <x:c r="L2724" s="2" t="str">
        <x:v>Champions</x:v>
      </x:c>
    </x:row>
    <x:row r="2725" ht="22" customHeight="1">
      <x:c r="A2725" s="2"/>
      <x:c r="B2725" s="2" t="str">
        <x:v>15062</x:v>
      </x:c>
      <x:c r="C2725" s="2" t="str">
        <x:v>United Kingdom</x:v>
      </x:c>
      <x:c r="D2725" s="25" t="n">
        <x:v>40276.44513888889</x:v>
      </x:c>
      <x:c r="E2725" s="25" t="n">
        <x:v>40815.49375</x:v>
      </x:c>
      <x:c r="F2725" s="2" t="n">
        <x:v>72</x:v>
      </x:c>
      <x:c r="G2725" s="2" t="n">
        <x:v>8</x:v>
      </x:c>
      <x:c r="H2725" s="11" t="n">
        <x:v>2585.62</x:v>
      </x:c>
      <x:c r="I2725" s="2" t="n">
        <x:v>3</x:v>
      </x:c>
      <x:c r="J2725" s="2" t="n">
        <x:v>4</x:v>
      </x:c>
      <x:c r="K2725" s="2" t="n">
        <x:v>4</x:v>
      </x:c>
      <x:c r="L2725" s="2" t="str">
        <x:v>Loyal</x:v>
      </x:c>
    </x:row>
    <x:row r="2726" ht="22" customHeight="1">
      <x:c r="A2726" s="2"/>
      <x:c r="B2726" s="2" t="str">
        <x:v>15063</x:v>
      </x:c>
      <x:c r="C2726" s="2" t="str">
        <x:v>United Kingdom</x:v>
      </x:c>
      <x:c r="D2726" s="25" t="n">
        <x:v>40673.350694444445</x:v>
      </x:c>
      <x:c r="E2726" s="25" t="n">
        <x:v>40673.350694444445</x:v>
      </x:c>
      <x:c r="F2726" s="2" t="n">
        <x:v>214</x:v>
      </x:c>
      <x:c r="G2726" s="2" t="n">
        <x:v>1</x:v>
      </x:c>
      <x:c r="H2726" s="11" t="n">
        <x:v>370.8</x:v>
      </x:c>
      <x:c r="I2726" s="2" t="n">
        <x:v>2</x:v>
      </x:c>
      <x:c r="J2726" s="2" t="n">
        <x:v>1</x:v>
      </x:c>
      <x:c r="K2726" s="2" t="n">
        <x:v>2</x:v>
      </x:c>
      <x:c r="L2726" s="2" t="str">
        <x:v>Hibernating</x:v>
      </x:c>
    </x:row>
    <x:row r="2727" ht="22" customHeight="1">
      <x:c r="A2727" s="2"/>
      <x:c r="B2727" s="2" t="str">
        <x:v>15064</x:v>
      </x:c>
      <x:c r="C2727" s="2" t="str">
        <x:v>United Kingdom</x:v>
      </x:c>
      <x:c r="D2727" s="25" t="n">
        <x:v>40169.470138888886</x:v>
      </x:c>
      <x:c r="E2727" s="25" t="n">
        <x:v>40476.39722222222</x:v>
      </x:c>
      <x:c r="F2727" s="2" t="n">
        <x:v>411</x:v>
      </x:c>
      <x:c r="G2727" s="2" t="n">
        <x:v>4</x:v>
      </x:c>
      <x:c r="H2727" s="11" t="n">
        <x:v>1254.41</x:v>
      </x:c>
      <x:c r="I2727" s="2" t="n">
        <x:v>2</x:v>
      </x:c>
      <x:c r="J2727" s="2" t="n">
        <x:v>3</x:v>
      </x:c>
      <x:c r="K2727" s="2" t="n">
        <x:v>4</x:v>
      </x:c>
      <x:c r="L2727" s="2" t="str">
        <x:v>At risk</x:v>
      </x:c>
    </x:row>
    <x:row r="2728" ht="22" customHeight="1">
      <x:c r="A2728" s="2"/>
      <x:c r="B2728" s="2" t="str">
        <x:v>15065</x:v>
      </x:c>
      <x:c r="C2728" s="2" t="str">
        <x:v>United Kingdom</x:v>
      </x:c>
      <x:c r="D2728" s="25" t="n">
        <x:v>40476.17569444444</x:v>
      </x:c>
      <x:c r="E2728" s="25" t="n">
        <x:v>40849.197916666664</x:v>
      </x:c>
      <x:c r="F2728" s="2" t="n">
        <x:v>38</x:v>
      </x:c>
      <x:c r="G2728" s="2" t="n">
        <x:v>5</x:v>
      </x:c>
      <x:c r="H2728" s="11" t="n">
        <x:v>3326.86</x:v>
      </x:c>
      <x:c r="I2728" s="2" t="n">
        <x:v>4</x:v>
      </x:c>
      <x:c r="J2728" s="2" t="n">
        <x:v>4</x:v>
      </x:c>
      <x:c r="K2728" s="2" t="n">
        <x:v>5</x:v>
      </x:c>
      <x:c r="L2728" s="2" t="str">
        <x:v>Champions</x:v>
      </x:c>
    </x:row>
    <x:row r="2729" ht="22" customHeight="1">
      <x:c r="A2729" s="2"/>
      <x:c r="B2729" s="2" t="str">
        <x:v>15066</x:v>
      </x:c>
      <x:c r="C2729" s="2" t="str">
        <x:v>United Kingdom</x:v>
      </x:c>
      <x:c r="D2729" s="25" t="n">
        <x:v>40833.350694444445</x:v>
      </x:c>
      <x:c r="E2729" s="25" t="n">
        <x:v>40833.350694444445</x:v>
      </x:c>
      <x:c r="F2729" s="2" t="n">
        <x:v>54</x:v>
      </x:c>
      <x:c r="G2729" s="2" t="n">
        <x:v>1</x:v>
      </x:c>
      <x:c r="H2729" s="11" t="n">
        <x:v>893.59</x:v>
      </x:c>
      <x:c r="I2729" s="2" t="n">
        <x:v>4</x:v>
      </x:c>
      <x:c r="J2729" s="2" t="n">
        <x:v>1</x:v>
      </x:c>
      <x:c r="K2729" s="2" t="n">
        <x:v>3</x:v>
      </x:c>
      <x:c r="L2729" s="2" t="str">
        <x:v>Recent light buyers</x:v>
      </x:c>
    </x:row>
    <x:row r="2730" ht="22" customHeight="1">
      <x:c r="A2730" s="2"/>
      <x:c r="B2730" s="2" t="str">
        <x:v>15067</x:v>
      </x:c>
      <x:c r="C2730" s="2" t="str">
        <x:v>United Kingdom</x:v>
      </x:c>
      <x:c r="D2730" s="25" t="n">
        <x:v>40279.45416666667</x:v>
      </x:c>
      <x:c r="E2730" s="25" t="n">
        <x:v>40808.34722222222</x:v>
      </x:c>
      <x:c r="F2730" s="2" t="n">
        <x:v>79</x:v>
      </x:c>
      <x:c r="G2730" s="2" t="n">
        <x:v>5</x:v>
      </x:c>
      <x:c r="H2730" s="11" t="n">
        <x:v>3877.88</x:v>
      </x:c>
      <x:c r="I2730" s="2" t="n">
        <x:v>3</x:v>
      </x:c>
      <x:c r="J2730" s="2" t="n">
        <x:v>4</x:v>
      </x:c>
      <x:c r="K2730" s="2" t="n">
        <x:v>5</x:v>
      </x:c>
      <x:c r="L2730" s="2" t="str">
        <x:v>Loyal</x:v>
      </x:c>
    </x:row>
    <x:row r="2731" ht="22" customHeight="1">
      <x:c r="A2731" s="2"/>
      <x:c r="B2731" s="2" t="str">
        <x:v>15068</x:v>
      </x:c>
      <x:c r="C2731" s="2" t="str">
        <x:v>United Kingdom</x:v>
      </x:c>
      <x:c r="D2731" s="25" t="n">
        <x:v>40265.34583333333</x:v>
      </x:c>
      <x:c r="E2731" s="25" t="n">
        <x:v>40840.407638888886</x:v>
      </x:c>
      <x:c r="F2731" s="2" t="n">
        <x:v>47</x:v>
      </x:c>
      <x:c r="G2731" s="2" t="n">
        <x:v>4</x:v>
      </x:c>
      <x:c r="H2731" s="11" t="n">
        <x:v>1176.85</x:v>
      </x:c>
      <x:c r="I2731" s="2" t="n">
        <x:v>4</x:v>
      </x:c>
      <x:c r="J2731" s="2" t="n">
        <x:v>3</x:v>
      </x:c>
      <x:c r="K2731" s="2" t="n">
        <x:v>3</x:v>
      </x:c>
      <x:c r="L2731" s="2" t="str">
        <x:v>Loyal</x:v>
      </x:c>
    </x:row>
    <x:row r="2732" ht="22" customHeight="1">
      <x:c r="A2732" s="2"/>
      <x:c r="B2732" s="2" t="str">
        <x:v>15069</x:v>
      </x:c>
      <x:c r="C2732" s="2" t="str">
        <x:v>United Kingdom</x:v>
      </x:c>
      <x:c r="D2732" s="25" t="n">
        <x:v>40707.38611111111</x:v>
      </x:c>
      <x:c r="E2732" s="25" t="n">
        <x:v>40707.38611111111</x:v>
      </x:c>
      <x:c r="F2732" s="2" t="n">
        <x:v>180</x:v>
      </x:c>
      <x:c r="G2732" s="2" t="n">
        <x:v>1</x:v>
      </x:c>
      <x:c r="H2732" s="11" t="n">
        <x:v>1109.53</x:v>
      </x:c>
      <x:c r="I2732" s="2" t="n">
        <x:v>3</x:v>
      </x:c>
      <x:c r="J2732" s="2" t="n">
        <x:v>1</x:v>
      </x:c>
      <x:c r="K2732" s="2" t="n">
        <x:v>3</x:v>
      </x:c>
      <x:c r="L2732" s="2" t="str">
        <x:v>Developing</x:v>
      </x:c>
    </x:row>
    <x:row r="2733" ht="22" customHeight="1">
      <x:c r="A2733" s="2"/>
      <x:c r="B2733" s="2" t="str">
        <x:v>15070</x:v>
      </x:c>
      <x:c r="C2733" s="2" t="str">
        <x:v>United Kingdom</x:v>
      </x:c>
      <x:c r="D2733" s="25" t="n">
        <x:v>40162.36736111111</x:v>
      </x:c>
      <x:c r="E2733" s="25" t="n">
        <x:v>40514.26597222222</x:v>
      </x:c>
      <x:c r="F2733" s="2" t="n">
        <x:v>373</x:v>
      </x:c>
      <x:c r="G2733" s="2" t="n">
        <x:v>3</x:v>
      </x:c>
      <x:c r="H2733" s="11" t="n">
        <x:v>737.05</x:v>
      </x:c>
      <x:c r="I2733" s="2" t="n">
        <x:v>2</x:v>
      </x:c>
      <x:c r="J2733" s="2" t="n">
        <x:v>3</x:v>
      </x:c>
      <x:c r="K2733" s="2" t="n">
        <x:v>3</x:v>
      </x:c>
      <x:c r="L2733" s="2" t="str">
        <x:v>At risk</x:v>
      </x:c>
    </x:row>
    <x:row r="2734" ht="22" customHeight="1">
      <x:c r="A2734" s="2"/>
      <x:c r="B2734" s="2" t="str">
        <x:v>15071</x:v>
      </x:c>
      <x:c r="C2734" s="2" t="str">
        <x:v>United Kingdom</x:v>
      </x:c>
      <x:c r="D2734" s="25" t="n">
        <x:v>40316.322916666664</x:v>
      </x:c>
      <x:c r="E2734" s="25" t="n">
        <x:v>40793.279861111114</x:v>
      </x:c>
      <x:c r="F2734" s="2" t="n">
        <x:v>94</x:v>
      </x:c>
      <x:c r="G2734" s="2" t="n">
        <x:v>4</x:v>
      </x:c>
      <x:c r="H2734" s="11" t="n">
        <x:v>1455.56</x:v>
      </x:c>
      <x:c r="I2734" s="2" t="n">
        <x:v>3</x:v>
      </x:c>
      <x:c r="J2734" s="2" t="n">
        <x:v>3</x:v>
      </x:c>
      <x:c r="K2734" s="2" t="n">
        <x:v>4</x:v>
      </x:c>
      <x:c r="L2734" s="2" t="str">
        <x:v>Loyal</x:v>
      </x:c>
    </x:row>
    <x:row r="2735" ht="22" customHeight="1">
      <x:c r="A2735" s="2"/>
      <x:c r="B2735" s="2" t="str">
        <x:v>15072</x:v>
      </x:c>
      <x:c r="C2735" s="2" t="str">
        <x:v>United Kingdom</x:v>
      </x:c>
      <x:c r="D2735" s="25" t="n">
        <x:v>40407.44861111111</x:v>
      </x:c>
      <x:c r="E2735" s="25" t="n">
        <x:v>40407.44861111111</x:v>
      </x:c>
      <x:c r="F2735" s="2" t="n">
        <x:v>480</x:v>
      </x:c>
      <x:c r="G2735" s="2" t="n">
        <x:v>1</x:v>
      </x:c>
      <x:c r="H2735" s="11" t="n">
        <x:v>187.52</x:v>
      </x:c>
      <x:c r="I2735" s="2" t="n">
        <x:v>1</x:v>
      </x:c>
      <x:c r="J2735" s="2" t="n">
        <x:v>1</x:v>
      </x:c>
      <x:c r="K2735" s="2" t="n">
        <x:v>1</x:v>
      </x:c>
      <x:c r="L2735" s="2" t="str">
        <x:v>Hibernating</x:v>
      </x:c>
    </x:row>
    <x:row r="2736" ht="22" customHeight="1">
      <x:c r="A2736" s="2"/>
      <x:c r="B2736" s="2" t="str">
        <x:v>15073</x:v>
      </x:c>
      <x:c r="C2736" s="2" t="str">
        <x:v>United Kingdom</x:v>
      </x:c>
      <x:c r="D2736" s="25" t="n">
        <x:v>40205.15833333333</x:v>
      </x:c>
      <x:c r="E2736" s="25" t="n">
        <x:v>40877.23888888889</x:v>
      </x:c>
      <x:c r="F2736" s="2" t="n">
        <x:v>10</x:v>
      </x:c>
      <x:c r="G2736" s="2" t="n">
        <x:v>8</x:v>
      </x:c>
      <x:c r="H2736" s="11" t="n">
        <x:v>2788.02</x:v>
      </x:c>
      <x:c r="I2736" s="2" t="n">
        <x:v>5</x:v>
      </x:c>
      <x:c r="J2736" s="2" t="n">
        <x:v>4</x:v>
      </x:c>
      <x:c r="K2736" s="2" t="n">
        <x:v>4</x:v>
      </x:c>
      <x:c r="L2736" s="2" t="str">
        <x:v>Champions</x:v>
      </x:c>
    </x:row>
    <x:row r="2737" ht="22" customHeight="1">
      <x:c r="A2737" s="2"/>
      <x:c r="B2737" s="2" t="str">
        <x:v>15074</x:v>
      </x:c>
      <x:c r="C2737" s="2" t="str">
        <x:v>United Kingdom</x:v>
      </x:c>
      <x:c r="D2737" s="25" t="n">
        <x:v>40419.282638888886</x:v>
      </x:c>
      <x:c r="E2737" s="25" t="n">
        <x:v>40781.40625</x:v>
      </x:c>
      <x:c r="F2737" s="2" t="n">
        <x:v>106</x:v>
      </x:c>
      <x:c r="G2737" s="2" t="n">
        <x:v>3</x:v>
      </x:c>
      <x:c r="H2737" s="11" t="n">
        <x:v>1566.33</x:v>
      </x:c>
      <x:c r="I2737" s="2" t="n">
        <x:v>3</x:v>
      </x:c>
      <x:c r="J2737" s="2" t="n">
        <x:v>3</x:v>
      </x:c>
      <x:c r="K2737" s="2" t="n">
        <x:v>4</x:v>
      </x:c>
      <x:c r="L2737" s="2" t="str">
        <x:v>Loyal</x:v>
      </x:c>
    </x:row>
    <x:row r="2738" ht="22" customHeight="1">
      <x:c r="A2738" s="2"/>
      <x:c r="B2738" s="2" t="str">
        <x:v>15075</x:v>
      </x:c>
      <x:c r="C2738" s="2" t="str">
        <x:v>United Kingdom</x:v>
      </x:c>
      <x:c r="D2738" s="25" t="n">
        <x:v>40809.31041666667</x:v>
      </x:c>
      <x:c r="E2738" s="25" t="n">
        <x:v>40809.31041666667</x:v>
      </x:c>
      <x:c r="F2738" s="2" t="n">
        <x:v>78</x:v>
      </x:c>
      <x:c r="G2738" s="2" t="n">
        <x:v>1</x:v>
      </x:c>
      <x:c r="H2738" s="11" t="n">
        <x:v>773.03</x:v>
      </x:c>
      <x:c r="I2738" s="2" t="n">
        <x:v>3</x:v>
      </x:c>
      <x:c r="J2738" s="2" t="n">
        <x:v>1</x:v>
      </x:c>
      <x:c r="K2738" s="2" t="n">
        <x:v>3</x:v>
      </x:c>
      <x:c r="L2738" s="2" t="str">
        <x:v>Developing</x:v>
      </x:c>
    </x:row>
    <x:row r="2739" ht="22" customHeight="1">
      <x:c r="A2739" s="2"/>
      <x:c r="B2739" s="2" t="str">
        <x:v>15076</x:v>
      </x:c>
      <x:c r="C2739" s="2" t="str">
        <x:v>United Kingdom</x:v>
      </x:c>
      <x:c r="D2739" s="25" t="n">
        <x:v>40364.38263888889</x:v>
      </x:c>
      <x:c r="E2739" s="25" t="n">
        <x:v>40714.14097222222</x:v>
      </x:c>
      <x:c r="F2739" s="2" t="n">
        <x:v>173</x:v>
      </x:c>
      <x:c r="G2739" s="2" t="n">
        <x:v>3</x:v>
      </x:c>
      <x:c r="H2739" s="11" t="n">
        <x:v>1447.74</x:v>
      </x:c>
      <x:c r="I2739" s="2" t="n">
        <x:v>3</x:v>
      </x:c>
      <x:c r="J2739" s="2" t="n">
        <x:v>3</x:v>
      </x:c>
      <x:c r="K2739" s="2" t="n">
        <x:v>4</x:v>
      </x:c>
      <x:c r="L2739" s="2" t="str">
        <x:v>Loyal</x:v>
      </x:c>
    </x:row>
    <x:row r="2740" ht="22" customHeight="1">
      <x:c r="A2740" s="2"/>
      <x:c r="B2740" s="2" t="str">
        <x:v>15077</x:v>
      </x:c>
      <x:c r="C2740" s="2" t="str">
        <x:v>United Kingdom</x:v>
      </x:c>
      <x:c r="D2740" s="25" t="n">
        <x:v>40156.506944444445</x:v>
      </x:c>
      <x:c r="E2740" s="25" t="n">
        <x:v>40392.25902777778</x:v>
      </x:c>
      <x:c r="F2740" s="2" t="n">
        <x:v>495</x:v>
      </x:c>
      <x:c r="G2740" s="2" t="n">
        <x:v>2</x:v>
      </x:c>
      <x:c r="H2740" s="11" t="n">
        <x:v>2428.08</x:v>
      </x:c>
      <x:c r="I2740" s="2" t="n">
        <x:v>1</x:v>
      </x:c>
      <x:c r="J2740" s="2" t="n">
        <x:v>2</x:v>
      </x:c>
      <x:c r="K2740" s="2" t="n">
        <x:v>4</x:v>
      </x:c>
      <x:c r="L2740" s="2" t="str">
        <x:v>Hibernating</x:v>
      </x:c>
    </x:row>
    <x:row r="2741" ht="22" customHeight="1">
      <x:c r="A2741" s="2"/>
      <x:c r="B2741" s="2" t="str">
        <x:v>15078</x:v>
      </x:c>
      <x:c r="C2741" s="2" t="str">
        <x:v>United Kingdom</x:v>
      </x:c>
      <x:c r="D2741" s="25" t="n">
        <x:v>40151.29375</x:v>
      </x:c>
      <x:c r="E2741" s="25" t="n">
        <x:v>40879.44513888889</x:v>
      </x:c>
      <x:c r="F2741" s="2" t="n">
        <x:v>8</x:v>
      </x:c>
      <x:c r="G2741" s="2" t="n">
        <x:v>53</x:v>
      </x:c>
      <x:c r="H2741" s="11" t="n">
        <x:v>17286.73</x:v>
      </x:c>
      <x:c r="I2741" s="2" t="n">
        <x:v>5</x:v>
      </x:c>
      <x:c r="J2741" s="2" t="n">
        <x:v>5</x:v>
      </x:c>
      <x:c r="K2741" s="2" t="n">
        <x:v>5</x:v>
      </x:c>
      <x:c r="L2741" s="2" t="str">
        <x:v>Champions</x:v>
      </x:c>
    </x:row>
    <x:row r="2742" ht="22" customHeight="1">
      <x:c r="A2742" s="2"/>
      <x:c r="B2742" s="2" t="str">
        <x:v>15079</x:v>
      </x:c>
      <x:c r="C2742" s="2" t="str">
        <x:v>United Kingdom</x:v>
      </x:c>
      <x:c r="D2742" s="25" t="n">
        <x:v>40155.26527777778</x:v>
      </x:c>
      <x:c r="E2742" s="25" t="n">
        <x:v>40674.322916666664</x:v>
      </x:c>
      <x:c r="F2742" s="2" t="n">
        <x:v>213</x:v>
      </x:c>
      <x:c r="G2742" s="2" t="n">
        <x:v>11</x:v>
      </x:c>
      <x:c r="H2742" s="11" t="n">
        <x:v>3625.4</x:v>
      </x:c>
      <x:c r="I2742" s="2" t="n">
        <x:v>2</x:v>
      </x:c>
      <x:c r="J2742" s="2" t="n">
        <x:v>5</x:v>
      </x:c>
      <x:c r="K2742" s="2" t="n">
        <x:v>5</x:v>
      </x:c>
      <x:c r="L2742" s="2" t="str">
        <x:v>At risk</x:v>
      </x:c>
    </x:row>
    <x:row r="2743" ht="22" customHeight="1">
      <x:c r="A2743" s="2"/>
      <x:c r="B2743" s="2" t="str">
        <x:v>15080</x:v>
      </x:c>
      <x:c r="C2743" s="2" t="str">
        <x:v>United Kingdom</x:v>
      </x:c>
      <x:c r="D2743" s="25" t="n">
        <x:v>40385.21041666667</x:v>
      </x:c>
      <x:c r="E2743" s="25" t="n">
        <x:v>40459.28611111111</x:v>
      </x:c>
      <x:c r="F2743" s="2" t="n">
        <x:v>428</x:v>
      </x:c>
      <x:c r="G2743" s="2" t="n">
        <x:v>2</x:v>
      </x:c>
      <x:c r="H2743" s="11" t="n">
        <x:v>546.25</x:v>
      </x:c>
      <x:c r="I2743" s="2" t="n">
        <x:v>1</x:v>
      </x:c>
      <x:c r="J2743" s="2" t="n">
        <x:v>2</x:v>
      </x:c>
      <x:c r="K2743" s="2" t="n">
        <x:v>2</x:v>
      </x:c>
      <x:c r="L2743" s="2" t="str">
        <x:v>Hibernating</x:v>
      </x:c>
    </x:row>
    <x:row r="2744" ht="22" customHeight="1">
      <x:c r="A2744" s="2"/>
      <x:c r="B2744" s="2" t="str">
        <x:v>15081</x:v>
      </x:c>
      <x:c r="C2744" s="2" t="str">
        <x:v>United Kingdom</x:v>
      </x:c>
      <x:c r="D2744" s="25" t="n">
        <x:v>40351.225694444445</x:v>
      </x:c>
      <x:c r="E2744" s="25" t="n">
        <x:v>40864.50555555556</x:v>
      </x:c>
      <x:c r="F2744" s="2" t="n">
        <x:v>23</x:v>
      </x:c>
      <x:c r="G2744" s="2" t="n">
        <x:v>12</x:v>
      </x:c>
      <x:c r="H2744" s="11" t="n">
        <x:v>1854.57</x:v>
      </x:c>
      <x:c r="I2744" s="2" t="n">
        <x:v>4</x:v>
      </x:c>
      <x:c r="J2744" s="2" t="n">
        <x:v>5</x:v>
      </x:c>
      <x:c r="K2744" s="2" t="n">
        <x:v>4</x:v>
      </x:c>
      <x:c r="L2744" s="2" t="str">
        <x:v>Champions</x:v>
      </x:c>
    </x:row>
    <x:row r="2745" ht="22" customHeight="1">
      <x:c r="A2745" s="2"/>
      <x:c r="B2745" s="2" t="str">
        <x:v>15082</x:v>
      </x:c>
      <x:c r="C2745" s="2" t="str">
        <x:v>United Kingdom</x:v>
      </x:c>
      <x:c r="D2745" s="25" t="n">
        <x:v>40218.22430555556</x:v>
      </x:c>
      <x:c r="E2745" s="25" t="n">
        <x:v>40218.22430555556</x:v>
      </x:c>
      <x:c r="F2745" s="2" t="n">
        <x:v>669</x:v>
      </x:c>
      <x:c r="G2745" s="2" t="n">
        <x:v>1</x:v>
      </x:c>
      <x:c r="H2745" s="11" t="n">
        <x:v>93.35</x:v>
      </x:c>
      <x:c r="I2745" s="2" t="n">
        <x:v>1</x:v>
      </x:c>
      <x:c r="J2745" s="2" t="n">
        <x:v>1</x:v>
      </x:c>
      <x:c r="K2745" s="2" t="n">
        <x:v>1</x:v>
      </x:c>
      <x:c r="L2745" s="2" t="str">
        <x:v>Hibernating</x:v>
      </x:c>
    </x:row>
    <x:row r="2746" ht="22" customHeight="1">
      <x:c r="A2746" s="2"/>
      <x:c r="B2746" s="2" t="str">
        <x:v>15083</x:v>
      </x:c>
      <x:c r="C2746" s="2" t="str">
        <x:v>United Kingdom</x:v>
      </x:c>
      <x:c r="D2746" s="25" t="n">
        <x:v>40630.30416666667</x:v>
      </x:c>
      <x:c r="E2746" s="25" t="n">
        <x:v>40630.30416666667</x:v>
      </x:c>
      <x:c r="F2746" s="2" t="n">
        <x:v>257</x:v>
      </x:c>
      <x:c r="G2746" s="2" t="n">
        <x:v>1</x:v>
      </x:c>
      <x:c r="H2746" s="11" t="n">
        <x:v>88.2</x:v>
      </x:c>
      <x:c r="I2746" s="2" t="n">
        <x:v>2</x:v>
      </x:c>
      <x:c r="J2746" s="2" t="n">
        <x:v>1</x:v>
      </x:c>
      <x:c r="K2746" s="2" t="n">
        <x:v>1</x:v>
      </x:c>
      <x:c r="L2746" s="2" t="str">
        <x:v>Hibernating</x:v>
      </x:c>
    </x:row>
    <x:row r="2747" ht="22" customHeight="1">
      <x:c r="A2747" s="2"/>
      <x:c r="B2747" s="2" t="str">
        <x:v>15084</x:v>
      </x:c>
      <x:c r="C2747" s="2" t="str">
        <x:v>United Kingdom</x:v>
      </x:c>
      <x:c r="D2747" s="25" t="n">
        <x:v>40241.239583333336</x:v>
      </x:c>
      <x:c r="E2747" s="25" t="n">
        <x:v>40507.29027777778</x:v>
      </x:c>
      <x:c r="F2747" s="2" t="n">
        <x:v>380</x:v>
      </x:c>
      <x:c r="G2747" s="2" t="n">
        <x:v>2</x:v>
      </x:c>
      <x:c r="H2747" s="11" t="n">
        <x:v>965.2</x:v>
      </x:c>
      <x:c r="I2747" s="2" t="n">
        <x:v>2</x:v>
      </x:c>
      <x:c r="J2747" s="2" t="n">
        <x:v>2</x:v>
      </x:c>
      <x:c r="K2747" s="2" t="n">
        <x:v>3</x:v>
      </x:c>
      <x:c r="L2747" s="2" t="str">
        <x:v>Hibernating</x:v>
      </x:c>
    </x:row>
    <x:row r="2748" ht="22" customHeight="1">
      <x:c r="A2748" s="2"/>
      <x:c r="B2748" s="2" t="str">
        <x:v>15085</x:v>
      </x:c>
      <x:c r="C2748" s="2" t="str">
        <x:v>United Kingdom</x:v>
      </x:c>
      <x:c r="D2748" s="25" t="n">
        <x:v>40157.282638888886</x:v>
      </x:c>
      <x:c r="E2748" s="25" t="n">
        <x:v>40157.282638888886</x:v>
      </x:c>
      <x:c r="F2748" s="2" t="n">
        <x:v>730</x:v>
      </x:c>
      <x:c r="G2748" s="2" t="n">
        <x:v>1</x:v>
      </x:c>
      <x:c r="H2748" s="11" t="n">
        <x:v>347.54</x:v>
      </x:c>
      <x:c r="I2748" s="2" t="n">
        <x:v>1</x:v>
      </x:c>
      <x:c r="J2748" s="2" t="n">
        <x:v>1</x:v>
      </x:c>
      <x:c r="K2748" s="2" t="n">
        <x:v>2</x:v>
      </x:c>
      <x:c r="L2748" s="2" t="str">
        <x:v>Hibernating</x:v>
      </x:c>
    </x:row>
    <x:row r="2749" ht="22" customHeight="1">
      <x:c r="A2749" s="2"/>
      <x:c r="B2749" s="2" t="str">
        <x:v>15086</x:v>
      </x:c>
      <x:c r="C2749" s="2" t="str">
        <x:v>United Kingdom</x:v>
      </x:c>
      <x:c r="D2749" s="25" t="n">
        <x:v>40261.37222222222</x:v>
      </x:c>
      <x:c r="E2749" s="25" t="n">
        <x:v>40322.31041666667</x:v>
      </x:c>
      <x:c r="F2749" s="2" t="n">
        <x:v>565</x:v>
      </x:c>
      <x:c r="G2749" s="2" t="n">
        <x:v>2</x:v>
      </x:c>
      <x:c r="H2749" s="11" t="n">
        <x:v>218.53</x:v>
      </x:c>
      <x:c r="I2749" s="2" t="n">
        <x:v>1</x:v>
      </x:c>
      <x:c r="J2749" s="2" t="n">
        <x:v>2</x:v>
      </x:c>
      <x:c r="K2749" s="2" t="n">
        <x:v>1</x:v>
      </x:c>
      <x:c r="L2749" s="2" t="str">
        <x:v>Hibernating</x:v>
      </x:c>
    </x:row>
    <x:row r="2750" ht="22" customHeight="1">
      <x:c r="A2750" s="2"/>
      <x:c r="B2750" s="2" t="str">
        <x:v>15087</x:v>
      </x:c>
      <x:c r="C2750" s="2" t="str">
        <x:v>United Kingdom</x:v>
      </x:c>
      <x:c r="D2750" s="25" t="n">
        <x:v>40605.231944444444</x:v>
      </x:c>
      <x:c r="E2750" s="25" t="n">
        <x:v>40605.231944444444</x:v>
      </x:c>
      <x:c r="F2750" s="2" t="n">
        <x:v>282</x:v>
      </x:c>
      <x:c r="G2750" s="2" t="n">
        <x:v>1</x:v>
      </x:c>
      <x:c r="H2750" s="11" t="n">
        <x:v>306.94</x:v>
      </x:c>
      <x:c r="I2750" s="2" t="n">
        <x:v>2</x:v>
      </x:c>
      <x:c r="J2750" s="2" t="n">
        <x:v>1</x:v>
      </x:c>
      <x:c r="K2750" s="2" t="n">
        <x:v>2</x:v>
      </x:c>
      <x:c r="L2750" s="2" t="str">
        <x:v>Hibernating</x:v>
      </x:c>
    </x:row>
    <x:row r="2751" ht="22" customHeight="1">
      <x:c r="A2751" s="2"/>
      <x:c r="B2751" s="2" t="str">
        <x:v>15088</x:v>
      </x:c>
      <x:c r="C2751" s="2" t="str">
        <x:v>United Kingdom</x:v>
      </x:c>
      <x:c r="D2751" s="25" t="n">
        <x:v>40819.37847222222</x:v>
      </x:c>
      <x:c r="E2751" s="25" t="n">
        <x:v>40865.34305555555</x:v>
      </x:c>
      <x:c r="F2751" s="2" t="n">
        <x:v>22</x:v>
      </x:c>
      <x:c r="G2751" s="2" t="n">
        <x:v>2</x:v>
      </x:c>
      <x:c r="H2751" s="11" t="n">
        <x:v>1160.07</x:v>
      </x:c>
      <x:c r="I2751" s="2" t="n">
        <x:v>4</x:v>
      </x:c>
      <x:c r="J2751" s="2" t="n">
        <x:v>2</x:v>
      </x:c>
      <x:c r="K2751" s="2" t="n">
        <x:v>3</x:v>
      </x:c>
      <x:c r="L2751" s="2" t="str">
        <x:v>Recent light buyers</x:v>
      </x:c>
    </x:row>
    <x:row r="2752" ht="22" customHeight="1">
      <x:c r="A2752" s="2"/>
      <x:c r="B2752" s="2" t="str">
        <x:v>15089</x:v>
      </x:c>
      <x:c r="C2752" s="2" t="str">
        <x:v>United Kingdom</x:v>
      </x:c>
      <x:c r="D2752" s="25" t="n">
        <x:v>40758.384722222225</x:v>
      </x:c>
      <x:c r="E2752" s="25" t="n">
        <x:v>40876.47986111111</x:v>
      </x:c>
      <x:c r="F2752" s="2" t="n">
        <x:v>11</x:v>
      </x:c>
      <x:c r="G2752" s="2" t="n">
        <x:v>6</x:v>
      </x:c>
      <x:c r="H2752" s="11" t="n">
        <x:v>2420.84</x:v>
      </x:c>
      <x:c r="I2752" s="2" t="n">
        <x:v>5</x:v>
      </x:c>
      <x:c r="J2752" s="2" t="n">
        <x:v>4</x:v>
      </x:c>
      <x:c r="K2752" s="2" t="n">
        <x:v>4</x:v>
      </x:c>
      <x:c r="L2752" s="2" t="str">
        <x:v>Champions</x:v>
      </x:c>
    </x:row>
    <x:row r="2753" ht="22" customHeight="1">
      <x:c r="A2753" s="2"/>
      <x:c r="B2753" s="2" t="str">
        <x:v>15090</x:v>
      </x:c>
      <x:c r="C2753" s="2" t="str">
        <x:v>United Kingdom</x:v>
      </x:c>
      <x:c r="D2753" s="25" t="n">
        <x:v>40578.37708333333</x:v>
      </x:c>
      <x:c r="E2753" s="25" t="n">
        <x:v>40578.37708333333</x:v>
      </x:c>
      <x:c r="F2753" s="2" t="n">
        <x:v>309</x:v>
      </x:c>
      <x:c r="G2753" s="2" t="n">
        <x:v>1</x:v>
      </x:c>
      <x:c r="H2753" s="11" t="n">
        <x:v>381.32</x:v>
      </x:c>
      <x:c r="I2753" s="2" t="n">
        <x:v>2</x:v>
      </x:c>
      <x:c r="J2753" s="2" t="n">
        <x:v>1</x:v>
      </x:c>
      <x:c r="K2753" s="2" t="n">
        <x:v>2</x:v>
      </x:c>
      <x:c r="L2753" s="2" t="str">
        <x:v>Hibernating</x:v>
      </x:c>
    </x:row>
    <x:row r="2754" ht="22" customHeight="1">
      <x:c r="A2754" s="2"/>
      <x:c r="B2754" s="2" t="str">
        <x:v>15091</x:v>
      </x:c>
      <x:c r="C2754" s="2" t="str">
        <x:v>United Kingdom</x:v>
      </x:c>
      <x:c r="D2754" s="25" t="n">
        <x:v>40212.28194444445</x:v>
      </x:c>
      <x:c r="E2754" s="25" t="n">
        <x:v>40819.32430555556</x:v>
      </x:c>
      <x:c r="F2754" s="2" t="n">
        <x:v>68</x:v>
      </x:c>
      <x:c r="G2754" s="2" t="n">
        <x:v>3</x:v>
      </x:c>
      <x:c r="H2754" s="11" t="n">
        <x:v>1046.61</x:v>
      </x:c>
      <x:c r="I2754" s="2" t="n">
        <x:v>3</x:v>
      </x:c>
      <x:c r="J2754" s="2" t="n">
        <x:v>3</x:v>
      </x:c>
      <x:c r="K2754" s="2" t="n">
        <x:v>3</x:v>
      </x:c>
      <x:c r="L2754" s="2" t="str">
        <x:v>Loyal</x:v>
      </x:c>
    </x:row>
    <x:row r="2755" ht="22" customHeight="1">
      <x:c r="A2755" s="2"/>
      <x:c r="B2755" s="2" t="str">
        <x:v>15092</x:v>
      </x:c>
      <x:c r="C2755" s="2" t="str">
        <x:v>United Kingdom</x:v>
      </x:c>
      <x:c r="D2755" s="25" t="n">
        <x:v>40424.31458333333</x:v>
      </x:c>
      <x:c r="E2755" s="25" t="n">
        <x:v>40671.381944444445</x:v>
      </x:c>
      <x:c r="F2755" s="2" t="n">
        <x:v>216</x:v>
      </x:c>
      <x:c r="G2755" s="2" t="n">
        <x:v>3</x:v>
      </x:c>
      <x:c r="H2755" s="11" t="n">
        <x:v>776.46</x:v>
      </x:c>
      <x:c r="I2755" s="2" t="n">
        <x:v>2</x:v>
      </x:c>
      <x:c r="J2755" s="2" t="n">
        <x:v>3</x:v>
      </x:c>
      <x:c r="K2755" s="2" t="n">
        <x:v>3</x:v>
      </x:c>
      <x:c r="L2755" s="2" t="str">
        <x:v>At risk</x:v>
      </x:c>
    </x:row>
    <x:row r="2756" ht="22" customHeight="1">
      <x:c r="A2756" s="2"/>
      <x:c r="B2756" s="2" t="str">
        <x:v>15093</x:v>
      </x:c>
      <x:c r="C2756" s="2" t="str">
        <x:v>United Kingdom</x:v>
      </x:c>
      <x:c r="D2756" s="25" t="n">
        <x:v>40155.32361111111</x:v>
      </x:c>
      <x:c r="E2756" s="25" t="n">
        <x:v>40868.339583333334</x:v>
      </x:c>
      <x:c r="F2756" s="2" t="n">
        <x:v>19</x:v>
      </x:c>
      <x:c r="G2756" s="2" t="n">
        <x:v>23</x:v>
      </x:c>
      <x:c r="H2756" s="11" t="n">
        <x:v>13702.38</x:v>
      </x:c>
      <x:c r="I2756" s="2" t="n">
        <x:v>5</x:v>
      </x:c>
      <x:c r="J2756" s="2" t="n">
        <x:v>5</x:v>
      </x:c>
      <x:c r="K2756" s="2" t="n">
        <x:v>5</x:v>
      </x:c>
      <x:c r="L2756" s="2" t="str">
        <x:v>Champions</x:v>
      </x:c>
    </x:row>
    <x:row r="2757" ht="22" customHeight="1">
      <x:c r="A2757" s="2"/>
      <x:c r="B2757" s="2" t="str">
        <x:v>15094</x:v>
      </x:c>
      <x:c r="C2757" s="2" t="str">
        <x:v>United Kingdom</x:v>
      </x:c>
      <x:c r="D2757" s="25" t="n">
        <x:v>40242.330555555556</x:v>
      </x:c>
      <x:c r="E2757" s="25" t="n">
        <x:v>40423.49652777778</x:v>
      </x:c>
      <x:c r="F2757" s="2" t="n">
        <x:v>464</x:v>
      </x:c>
      <x:c r="G2757" s="2" t="n">
        <x:v>2</x:v>
      </x:c>
      <x:c r="H2757" s="11" t="n">
        <x:v>83</x:v>
      </x:c>
      <x:c r="I2757" s="2" t="n">
        <x:v>1</x:v>
      </x:c>
      <x:c r="J2757" s="2" t="n">
        <x:v>2</x:v>
      </x:c>
      <x:c r="K2757" s="2" t="n">
        <x:v>1</x:v>
      </x:c>
      <x:c r="L2757" s="2" t="str">
        <x:v>Hibernating</x:v>
      </x:c>
    </x:row>
    <x:row r="2758" ht="22" customHeight="1">
      <x:c r="A2758" s="2"/>
      <x:c r="B2758" s="2" t="str">
        <x:v>15095</x:v>
      </x:c>
      <x:c r="C2758" s="2" t="str">
        <x:v>United Kingdom</x:v>
      </x:c>
      <x:c r="D2758" s="25" t="n">
        <x:v>40199.19236111111</x:v>
      </x:c>
      <x:c r="E2758" s="25" t="n">
        <x:v>40783.29236111111</x:v>
      </x:c>
      <x:c r="F2758" s="2" t="n">
        <x:v>104</x:v>
      </x:c>
      <x:c r="G2758" s="2" t="n">
        <x:v>10</x:v>
      </x:c>
      <x:c r="H2758" s="11" t="n">
        <x:v>3141.64</x:v>
      </x:c>
      <x:c r="I2758" s="2" t="n">
        <x:v>3</x:v>
      </x:c>
      <x:c r="J2758" s="2" t="n">
        <x:v>5</x:v>
      </x:c>
      <x:c r="K2758" s="2" t="n">
        <x:v>5</x:v>
      </x:c>
      <x:c r="L2758" s="2" t="str">
        <x:v>Loyal</x:v>
      </x:c>
    </x:row>
    <x:row r="2759" ht="22" customHeight="1">
      <x:c r="A2759" s="2"/>
      <x:c r="B2759" s="2" t="str">
        <x:v>15096</x:v>
      </x:c>
      <x:c r="C2759" s="2" t="str">
        <x:v>United Kingdom</x:v>
      </x:c>
      <x:c r="D2759" s="25" t="n">
        <x:v>40844.22708333333</x:v>
      </x:c>
      <x:c r="E2759" s="25" t="n">
        <x:v>40844.22708333333</x:v>
      </x:c>
      <x:c r="F2759" s="2" t="n">
        <x:v>43</x:v>
      </x:c>
      <x:c r="G2759" s="2" t="n">
        <x:v>1</x:v>
      </x:c>
      <x:c r="H2759" s="11" t="n">
        <x:v>219.39</x:v>
      </x:c>
      <x:c r="I2759" s="2" t="n">
        <x:v>4</x:v>
      </x:c>
      <x:c r="J2759" s="2" t="n">
        <x:v>1</x:v>
      </x:c>
      <x:c r="K2759" s="2" t="n">
        <x:v>1</x:v>
      </x:c>
      <x:c r="L2759" s="2" t="str">
        <x:v>Recent light buyers</x:v>
      </x:c>
    </x:row>
    <x:row r="2760" ht="22" customHeight="1">
      <x:c r="A2760" s="2"/>
      <x:c r="B2760" s="2" t="str">
        <x:v>15097</x:v>
      </x:c>
      <x:c r="C2760" s="2" t="str">
        <x:v>United Kingdom</x:v>
      </x:c>
      <x:c r="D2760" s="25" t="n">
        <x:v>40303.39027777778</x:v>
      </x:c>
      <x:c r="E2760" s="25" t="n">
        <x:v>40882.37708333333</x:v>
      </x:c>
      <x:c r="F2760" s="2" t="n">
        <x:v>5</x:v>
      </x:c>
      <x:c r="G2760" s="2" t="n">
        <x:v>3</x:v>
      </x:c>
      <x:c r="H2760" s="11" t="n">
        <x:v>908.35</x:v>
      </x:c>
      <x:c r="I2760" s="2" t="n">
        <x:v>5</x:v>
      </x:c>
      <x:c r="J2760" s="2" t="n">
        <x:v>3</x:v>
      </x:c>
      <x:c r="K2760" s="2" t="n">
        <x:v>3</x:v>
      </x:c>
      <x:c r="L2760" s="2" t="str">
        <x:v>Loyal</x:v>
      </x:c>
    </x:row>
    <x:row r="2761" ht="22" customHeight="1">
      <x:c r="A2761" s="2"/>
      <x:c r="B2761" s="2" t="str">
        <x:v>15098</x:v>
      </x:c>
      <x:c r="C2761" s="2" t="str">
        <x:v>United Kingdom</x:v>
      </x:c>
      <x:c r="D2761" s="25" t="n">
        <x:v>40704.43194444444</x:v>
      </x:c>
      <x:c r="E2761" s="25" t="n">
        <x:v>40704.43958333333</x:v>
      </x:c>
      <x:c r="F2761" s="2" t="n">
        <x:v>183</x:v>
      </x:c>
      <x:c r="G2761" s="2" t="n">
        <x:v>3</x:v>
      </x:c>
      <x:c r="H2761" s="11" t="n">
        <x:v>39916.5</x:v>
      </x:c>
      <x:c r="I2761" s="2" t="n">
        <x:v>3</x:v>
      </x:c>
      <x:c r="J2761" s="2" t="n">
        <x:v>3</x:v>
      </x:c>
      <x:c r="K2761" s="2" t="n">
        <x:v>5</x:v>
      </x:c>
      <x:c r="L2761" s="2" t="str">
        <x:v>Loyal</x:v>
      </x:c>
    </x:row>
    <x:row r="2762" ht="22" customHeight="1">
      <x:c r="A2762" s="2"/>
      <x:c r="B2762" s="2" t="str">
        <x:v>15099</x:v>
      </x:c>
      <x:c r="C2762" s="2" t="str">
        <x:v>United Kingdom</x:v>
      </x:c>
      <x:c r="D2762" s="25" t="n">
        <x:v>40802.342361111114</x:v>
      </x:c>
      <x:c r="E2762" s="25" t="n">
        <x:v>40802.342361111114</x:v>
      </x:c>
      <x:c r="F2762" s="2" t="n">
        <x:v>85</x:v>
      </x:c>
      <x:c r="G2762" s="2" t="n">
        <x:v>1</x:v>
      </x:c>
      <x:c r="H2762" s="11" t="n">
        <x:v>410.48</x:v>
      </x:c>
      <x:c r="I2762" s="2" t="n">
        <x:v>3</x:v>
      </x:c>
      <x:c r="J2762" s="2" t="n">
        <x:v>1</x:v>
      </x:c>
      <x:c r="K2762" s="2" t="n">
        <x:v>2</x:v>
      </x:c>
      <x:c r="L2762" s="2" t="str">
        <x:v>Developing</x:v>
      </x:c>
    </x:row>
    <x:row r="2763" ht="22" customHeight="1">
      <x:c r="A2763" s="2"/>
      <x:c r="B2763" s="2" t="str">
        <x:v>15100</x:v>
      </x:c>
      <x:c r="C2763" s="2" t="str">
        <x:v>United Kingdom</x:v>
      </x:c>
      <x:c r="D2763" s="25" t="n">
        <x:v>40185.39791666667</x:v>
      </x:c>
      <x:c r="E2763" s="25" t="n">
        <x:v>40553.23263888889</x:v>
      </x:c>
      <x:c r="F2763" s="2" t="n">
        <x:v>334</x:v>
      </x:c>
      <x:c r="G2763" s="2" t="n">
        <x:v>7</x:v>
      </x:c>
      <x:c r="H2763" s="11" t="n">
        <x:v>2193.9</x:v>
      </x:c>
      <x:c r="I2763" s="2" t="n">
        <x:v>2</x:v>
      </x:c>
      <x:c r="J2763" s="2" t="n">
        <x:v>4</x:v>
      </x:c>
      <x:c r="K2763" s="2" t="n">
        <x:v>4</x:v>
      </x:c>
      <x:c r="L2763" s="2" t="str">
        <x:v>At risk</x:v>
      </x:c>
    </x:row>
    <x:row r="2764" ht="22" customHeight="1">
      <x:c r="A2764" s="2"/>
      <x:c r="B2764" s="2" t="str">
        <x:v>15101</x:v>
      </x:c>
      <x:c r="C2764" s="2" t="str">
        <x:v>United Kingdom</x:v>
      </x:c>
      <x:c r="D2764" s="25" t="n">
        <x:v>40296.416666666664</x:v>
      </x:c>
      <x:c r="E2764" s="25" t="n">
        <x:v>40878.22083333333</x:v>
      </x:c>
      <x:c r="F2764" s="2" t="n">
        <x:v>9</x:v>
      </x:c>
      <x:c r="G2764" s="2" t="n">
        <x:v>6</x:v>
      </x:c>
      <x:c r="H2764" s="11" t="n">
        <x:v>1477.94</x:v>
      </x:c>
      <x:c r="I2764" s="2" t="n">
        <x:v>5</x:v>
      </x:c>
      <x:c r="J2764" s="2" t="n">
        <x:v>4</x:v>
      </x:c>
      <x:c r="K2764" s="2" t="n">
        <x:v>4</x:v>
      </x:c>
      <x:c r="L2764" s="2" t="str">
        <x:v>Champions</x:v>
      </x:c>
    </x:row>
    <x:row r="2765" ht="22" customHeight="1">
      <x:c r="A2765" s="2"/>
      <x:c r="B2765" s="2" t="str">
        <x:v>15102</x:v>
      </x:c>
      <x:c r="C2765" s="2" t="str">
        <x:v>United Kingdom</x:v>
      </x:c>
      <x:c r="D2765" s="25" t="n">
        <x:v>40340.21944444445</x:v>
      </x:c>
      <x:c r="E2765" s="25" t="n">
        <x:v>40356.302777777775</x:v>
      </x:c>
      <x:c r="F2765" s="2" t="n">
        <x:v>531</x:v>
      </x:c>
      <x:c r="G2765" s="2" t="n">
        <x:v>2</x:v>
      </x:c>
      <x:c r="H2765" s="11" t="n">
        <x:v>554.67</x:v>
      </x:c>
      <x:c r="I2765" s="2" t="n">
        <x:v>1</x:v>
      </x:c>
      <x:c r="J2765" s="2" t="n">
        <x:v>2</x:v>
      </x:c>
      <x:c r="K2765" s="2" t="n">
        <x:v>2</x:v>
      </x:c>
      <x:c r="L2765" s="2" t="str">
        <x:v>Hibernating</x:v>
      </x:c>
    </x:row>
    <x:row r="2766" ht="22" customHeight="1">
      <x:c r="A2766" s="2"/>
      <x:c r="B2766" s="2" t="str">
        <x:v>15103</x:v>
      </x:c>
      <x:c r="C2766" s="2" t="str">
        <x:v>United Kingdom</x:v>
      </x:c>
      <x:c r="D2766" s="25" t="n">
        <x:v>40800.370833333334</x:v>
      </x:c>
      <x:c r="E2766" s="25" t="n">
        <x:v>40855.41180555556</x:v>
      </x:c>
      <x:c r="F2766" s="2" t="n">
        <x:v>32</x:v>
      </x:c>
      <x:c r="G2766" s="2" t="n">
        <x:v>2</x:v>
      </x:c>
      <x:c r="H2766" s="11" t="n">
        <x:v>703.36</x:v>
      </x:c>
      <x:c r="I2766" s="2" t="n">
        <x:v>4</x:v>
      </x:c>
      <x:c r="J2766" s="2" t="n">
        <x:v>2</x:v>
      </x:c>
      <x:c r="K2766" s="2" t="n">
        <x:v>3</x:v>
      </x:c>
      <x:c r="L2766" s="2" t="str">
        <x:v>Recent light buyers</x:v>
      </x:c>
    </x:row>
    <x:row r="2767" ht="22" customHeight="1">
      <x:c r="A2767" s="2"/>
      <x:c r="B2767" s="2" t="str">
        <x:v>15104</x:v>
      </x:c>
      <x:c r="C2767" s="2" t="str">
        <x:v>United Kingdom</x:v>
      </x:c>
      <x:c r="D2767" s="25" t="n">
        <x:v>40604.38611111111</x:v>
      </x:c>
      <x:c r="E2767" s="25" t="n">
        <x:v>40690.31180555555</x:v>
      </x:c>
      <x:c r="F2767" s="2" t="n">
        <x:v>197</x:v>
      </x:c>
      <x:c r="G2767" s="2" t="n">
        <x:v>2</x:v>
      </x:c>
      <x:c r="H2767" s="11" t="n">
        <x:v>1027.44</x:v>
      </x:c>
      <x:c r="I2767" s="2" t="n">
        <x:v>2</x:v>
      </x:c>
      <x:c r="J2767" s="2" t="n">
        <x:v>2</x:v>
      </x:c>
      <x:c r="K2767" s="2" t="n">
        <x:v>3</x:v>
      </x:c>
      <x:c r="L2767" s="2" t="str">
        <x:v>Hibernating</x:v>
      </x:c>
    </x:row>
    <x:row r="2768" ht="22" customHeight="1">
      <x:c r="A2768" s="2"/>
      <x:c r="B2768" s="2" t="str">
        <x:v>15105</x:v>
      </x:c>
      <x:c r="C2768" s="2" t="str">
        <x:v>United Kingdom</x:v>
      </x:c>
      <x:c r="D2768" s="25" t="n">
        <x:v>40260.30416666667</x:v>
      </x:c>
      <x:c r="E2768" s="25" t="n">
        <x:v>40868.495833333334</x:v>
      </x:c>
      <x:c r="F2768" s="2" t="n">
        <x:v>19</x:v>
      </x:c>
      <x:c r="G2768" s="2" t="n">
        <x:v>9</x:v>
      </x:c>
      <x:c r="H2768" s="11" t="n">
        <x:v>3094.91</x:v>
      </x:c>
      <x:c r="I2768" s="2" t="n">
        <x:v>5</x:v>
      </x:c>
      <x:c r="J2768" s="2" t="n">
        <x:v>5</x:v>
      </x:c>
      <x:c r="K2768" s="2" t="n">
        <x:v>5</x:v>
      </x:c>
      <x:c r="L2768" s="2" t="str">
        <x:v>Champions</x:v>
      </x:c>
    </x:row>
    <x:row r="2769" ht="22" customHeight="1">
      <x:c r="A2769" s="2"/>
      <x:c r="B2769" s="2" t="str">
        <x:v>15106</x:v>
      </x:c>
      <x:c r="C2769" s="2" t="str">
        <x:v>United Kingdom</x:v>
      </x:c>
      <x:c r="D2769" s="25" t="n">
        <x:v>40617.32777777778</x:v>
      </x:c>
      <x:c r="E2769" s="25" t="n">
        <x:v>40869.177777777775</x:v>
      </x:c>
      <x:c r="F2769" s="2" t="n">
        <x:v>18</x:v>
      </x:c>
      <x:c r="G2769" s="2" t="n">
        <x:v>5</x:v>
      </x:c>
      <x:c r="H2769" s="11" t="n">
        <x:v>1422.52</x:v>
      </x:c>
      <x:c r="I2769" s="2" t="n">
        <x:v>5</x:v>
      </x:c>
      <x:c r="J2769" s="2" t="n">
        <x:v>4</x:v>
      </x:c>
      <x:c r="K2769" s="2" t="n">
        <x:v>4</x:v>
      </x:c>
      <x:c r="L2769" s="2" t="str">
        <x:v>Champions</x:v>
      </x:c>
    </x:row>
    <x:row r="2770" ht="22" customHeight="1">
      <x:c r="A2770" s="2"/>
      <x:c r="B2770" s="2" t="str">
        <x:v>15107</x:v>
      </x:c>
      <x:c r="C2770" s="2" t="str">
        <x:v>United Kingdom</x:v>
      </x:c>
      <x:c r="D2770" s="25" t="n">
        <x:v>40435.24097222222</x:v>
      </x:c>
      <x:c r="E2770" s="25" t="n">
        <x:v>40575.40694444445</x:v>
      </x:c>
      <x:c r="F2770" s="2" t="n">
        <x:v>312</x:v>
      </x:c>
      <x:c r="G2770" s="2" t="n">
        <x:v>9</x:v>
      </x:c>
      <x:c r="H2770" s="11" t="n">
        <x:v>824.35</x:v>
      </x:c>
      <x:c r="I2770" s="2" t="n">
        <x:v>2</x:v>
      </x:c>
      <x:c r="J2770" s="2" t="n">
        <x:v>5</x:v>
      </x:c>
      <x:c r="K2770" s="2" t="n">
        <x:v>3</x:v>
      </x:c>
      <x:c r="L2770" s="2" t="str">
        <x:v>At risk</x:v>
      </x:c>
    </x:row>
    <x:row r="2771" ht="22" customHeight="1">
      <x:c r="A2771" s="2"/>
      <x:c r="B2771" s="2" t="str">
        <x:v>15108</x:v>
      </x:c>
      <x:c r="C2771" s="2" t="str">
        <x:v>European Community</x:v>
      </x:c>
      <x:c r="D2771" s="25" t="n">
        <x:v>40659.245833333334</x:v>
      </x:c>
      <x:c r="E2771" s="25" t="n">
        <x:v>40745.225</x:v>
      </x:c>
      <x:c r="F2771" s="2" t="n">
        <x:v>142</x:v>
      </x:c>
      <x:c r="G2771" s="2" t="n">
        <x:v>4</x:v>
      </x:c>
      <x:c r="H2771" s="11" t="n">
        <x:v>1300.25</x:v>
      </x:c>
      <x:c r="I2771" s="2" t="n">
        <x:v>3</x:v>
      </x:c>
      <x:c r="J2771" s="2" t="n">
        <x:v>3</x:v>
      </x:c>
      <x:c r="K2771" s="2" t="n">
        <x:v>4</x:v>
      </x:c>
      <x:c r="L2771" s="2" t="str">
        <x:v>Loyal</x:v>
      </x:c>
    </x:row>
    <x:row r="2772" ht="22" customHeight="1">
      <x:c r="A2772" s="2"/>
      <x:c r="B2772" s="2" t="str">
        <x:v>15109</x:v>
      </x:c>
      <x:c r="C2772" s="2" t="str">
        <x:v>United Kingdom</x:v>
      </x:c>
      <x:c r="D2772" s="25" t="n">
        <x:v>40151.31458333333</x:v>
      </x:c>
      <x:c r="E2772" s="25" t="n">
        <x:v>40641.20694444444</x:v>
      </x:c>
      <x:c r="F2772" s="2" t="n">
        <x:v>246</x:v>
      </x:c>
      <x:c r="G2772" s="2" t="n">
        <x:v>3</x:v>
      </x:c>
      <x:c r="H2772" s="11" t="n">
        <x:v>983.1</x:v>
      </x:c>
      <x:c r="I2772" s="2" t="n">
        <x:v>2</x:v>
      </x:c>
      <x:c r="J2772" s="2" t="n">
        <x:v>3</x:v>
      </x:c>
      <x:c r="K2772" s="2" t="n">
        <x:v>3</x:v>
      </x:c>
      <x:c r="L2772" s="2" t="str">
        <x:v>At risk</x:v>
      </x:c>
    </x:row>
    <x:row r="2773" ht="22" customHeight="1">
      <x:c r="A2773" s="2"/>
      <x:c r="B2773" s="2" t="str">
        <x:v>15110</x:v>
      </x:c>
      <x:c r="C2773" s="2" t="str">
        <x:v>United Kingdom</x:v>
      </x:c>
      <x:c r="D2773" s="25" t="n">
        <x:v>40401.450694444444</x:v>
      </x:c>
      <x:c r="E2773" s="25" t="n">
        <x:v>40863.26111111111</x:v>
      </x:c>
      <x:c r="F2773" s="2" t="n">
        <x:v>24</x:v>
      </x:c>
      <x:c r="G2773" s="2" t="n">
        <x:v>6</x:v>
      </x:c>
      <x:c r="H2773" s="11" t="n">
        <x:v>1505.85</x:v>
      </x:c>
      <x:c r="I2773" s="2" t="n">
        <x:v>4</x:v>
      </x:c>
      <x:c r="J2773" s="2" t="n">
        <x:v>4</x:v>
      </x:c>
      <x:c r="K2773" s="2" t="n">
        <x:v>4</x:v>
      </x:c>
      <x:c r="L2773" s="2" t="str">
        <x:v>Champions</x:v>
      </x:c>
    </x:row>
    <x:row r="2774" ht="22" customHeight="1">
      <x:c r="A2774" s="2"/>
      <x:c r="B2774" s="2" t="str">
        <x:v>15111</x:v>
      </x:c>
      <x:c r="C2774" s="2" t="str">
        <x:v>United Kingdom</x:v>
      </x:c>
      <x:c r="D2774" s="25" t="n">
        <x:v>40294.34166666667</x:v>
      </x:c>
      <x:c r="E2774" s="25" t="n">
        <x:v>40857.498611111114</x:v>
      </x:c>
      <x:c r="F2774" s="2" t="n">
        <x:v>30</x:v>
      </x:c>
      <x:c r="G2774" s="2" t="n">
        <x:v>5</x:v>
      </x:c>
      <x:c r="H2774" s="11" t="n">
        <x:v>2442.37</x:v>
      </x:c>
      <x:c r="I2774" s="2" t="n">
        <x:v>4</x:v>
      </x:c>
      <x:c r="J2774" s="2" t="n">
        <x:v>4</x:v>
      </x:c>
      <x:c r="K2774" s="2" t="n">
        <x:v>4</x:v>
      </x:c>
      <x:c r="L2774" s="2" t="str">
        <x:v>Champions</x:v>
      </x:c>
    </x:row>
    <x:row r="2775" ht="22" customHeight="1">
      <x:c r="A2775" s="2"/>
      <x:c r="B2775" s="2" t="str">
        <x:v>15112</x:v>
      </x:c>
      <x:c r="C2775" s="2" t="str">
        <x:v>United Kingdom</x:v>
      </x:c>
      <x:c r="D2775" s="25" t="n">
        <x:v>40275.38680555556</x:v>
      </x:c>
      <x:c r="E2775" s="25" t="n">
        <x:v>40275.38680555556</x:v>
      </x:c>
      <x:c r="F2775" s="2" t="n">
        <x:v>612</x:v>
      </x:c>
      <x:c r="G2775" s="2" t="n">
        <x:v>1</x:v>
      </x:c>
      <x:c r="H2775" s="11" t="n">
        <x:v>209.4</x:v>
      </x:c>
      <x:c r="I2775" s="2" t="n">
        <x:v>1</x:v>
      </x:c>
      <x:c r="J2775" s="2" t="n">
        <x:v>1</x:v>
      </x:c>
      <x:c r="K2775" s="2" t="n">
        <x:v>1</x:v>
      </x:c>
      <x:c r="L2775" s="2" t="str">
        <x:v>Hibernating</x:v>
      </x:c>
    </x:row>
    <x:row r="2776" ht="22" customHeight="1">
      <x:c r="A2776" s="2"/>
      <x:c r="B2776" s="2" t="str">
        <x:v>15113</x:v>
      </x:c>
      <x:c r="C2776" s="2" t="str">
        <x:v>United Kingdom</x:v>
      </x:c>
      <x:c r="D2776" s="25" t="n">
        <x:v>40832.43541666667</x:v>
      </x:c>
      <x:c r="E2776" s="25" t="n">
        <x:v>40877.14097222222</x:v>
      </x:c>
      <x:c r="F2776" s="2" t="n">
        <x:v>10</x:v>
      </x:c>
      <x:c r="G2776" s="2" t="n">
        <x:v>3</x:v>
      </x:c>
      <x:c r="H2776" s="11" t="n">
        <x:v>3609.33</x:v>
      </x:c>
      <x:c r="I2776" s="2" t="n">
        <x:v>5</x:v>
      </x:c>
      <x:c r="J2776" s="2" t="n">
        <x:v>3</x:v>
      </x:c>
      <x:c r="K2776" s="2" t="n">
        <x:v>5</x:v>
      </x:c>
      <x:c r="L2776" s="2" t="str">
        <x:v>Loyal</x:v>
      </x:c>
    </x:row>
    <x:row r="2777" ht="22" customHeight="1">
      <x:c r="A2777" s="2"/>
      <x:c r="B2777" s="2" t="str">
        <x:v>15114</x:v>
      </x:c>
      <x:c r="C2777" s="2" t="str">
        <x:v>United Kingdom</x:v>
      </x:c>
      <x:c r="D2777" s="25" t="n">
        <x:v>40465.48888888889</x:v>
      </x:c>
      <x:c r="E2777" s="25" t="n">
        <x:v>40856.42013888889</x:v>
      </x:c>
      <x:c r="F2777" s="2" t="n">
        <x:v>31</x:v>
      </x:c>
      <x:c r="G2777" s="2" t="n">
        <x:v>12</x:v>
      </x:c>
      <x:c r="H2777" s="11" t="n">
        <x:v>3400.12</x:v>
      </x:c>
      <x:c r="I2777" s="2" t="n">
        <x:v>4</x:v>
      </x:c>
      <x:c r="J2777" s="2" t="n">
        <x:v>5</x:v>
      </x:c>
      <x:c r="K2777" s="2" t="n">
        <x:v>5</x:v>
      </x:c>
      <x:c r="L2777" s="2" t="str">
        <x:v>Champions</x:v>
      </x:c>
    </x:row>
    <x:row r="2778" ht="22" customHeight="1">
      <x:c r="A2778" s="2"/>
      <x:c r="B2778" s="2" t="str">
        <x:v>15115</x:v>
      </x:c>
      <x:c r="C2778" s="2" t="str">
        <x:v>United Kingdom</x:v>
      </x:c>
      <x:c r="D2778" s="25" t="n">
        <x:v>40154.26388888889</x:v>
      </x:c>
      <x:c r="E2778" s="25" t="n">
        <x:v>40868.415972222225</x:v>
      </x:c>
      <x:c r="F2778" s="2" t="n">
        <x:v>19</x:v>
      </x:c>
      <x:c r="G2778" s="2" t="n">
        <x:v>2</x:v>
      </x:c>
      <x:c r="H2778" s="11" t="n">
        <x:v>531.85</x:v>
      </x:c>
      <x:c r="I2778" s="2" t="n">
        <x:v>5</x:v>
      </x:c>
      <x:c r="J2778" s="2" t="n">
        <x:v>2</x:v>
      </x:c>
      <x:c r="K2778" s="2" t="n">
        <x:v>2</x:v>
      </x:c>
      <x:c r="L2778" s="2" t="str">
        <x:v>Recent light buyers</x:v>
      </x:c>
    </x:row>
    <x:row r="2779" ht="22" customHeight="1">
      <x:c r="A2779" s="2"/>
      <x:c r="B2779" s="2" t="str">
        <x:v>15116</x:v>
      </x:c>
      <x:c r="C2779" s="2" t="str">
        <x:v>United Kingdom</x:v>
      </x:c>
      <x:c r="D2779" s="25" t="n">
        <x:v>40682.15972222222</x:v>
      </x:c>
      <x:c r="E2779" s="25" t="n">
        <x:v>40869.30902777778</x:v>
      </x:c>
      <x:c r="F2779" s="2" t="n">
        <x:v>18</x:v>
      </x:c>
      <x:c r="G2779" s="2" t="n">
        <x:v>4</x:v>
      </x:c>
      <x:c r="H2779" s="11" t="n">
        <x:v>1352.75</x:v>
      </x:c>
      <x:c r="I2779" s="2" t="n">
        <x:v>5</x:v>
      </x:c>
      <x:c r="J2779" s="2" t="n">
        <x:v>3</x:v>
      </x:c>
      <x:c r="K2779" s="2" t="n">
        <x:v>4</x:v>
      </x:c>
      <x:c r="L2779" s="2" t="str">
        <x:v>Loyal</x:v>
      </x:c>
    </x:row>
    <x:row r="2780" ht="22" customHeight="1">
      <x:c r="A2780" s="2"/>
      <x:c r="B2780" s="2" t="str">
        <x:v>15117</x:v>
      </x:c>
      <x:c r="C2780" s="2" t="str">
        <x:v>United Kingdom</x:v>
      </x:c>
      <x:c r="D2780" s="25" t="n">
        <x:v>40252.36041666667</x:v>
      </x:c>
      <x:c r="E2780" s="25" t="n">
        <x:v>40872.13333333333</x:v>
      </x:c>
      <x:c r="F2780" s="2" t="n">
        <x:v>15</x:v>
      </x:c>
      <x:c r="G2780" s="2" t="n">
        <x:v>8</x:v>
      </x:c>
      <x:c r="H2780" s="11" t="n">
        <x:v>2485.97</x:v>
      </x:c>
      <x:c r="I2780" s="2" t="n">
        <x:v>5</x:v>
      </x:c>
      <x:c r="J2780" s="2" t="n">
        <x:v>4</x:v>
      </x:c>
      <x:c r="K2780" s="2" t="n">
        <x:v>4</x:v>
      </x:c>
      <x:c r="L2780" s="2" t="str">
        <x:v>Champions</x:v>
      </x:c>
    </x:row>
    <x:row r="2781" ht="22" customHeight="1">
      <x:c r="A2781" s="2"/>
      <x:c r="B2781" s="2" t="str">
        <x:v>15118</x:v>
      </x:c>
      <x:c r="C2781" s="2" t="str">
        <x:v>United Kingdom</x:v>
      </x:c>
      <x:c r="D2781" s="25" t="n">
        <x:v>40752.4125</x:v>
      </x:c>
      <x:c r="E2781" s="25" t="n">
        <x:v>40752.4125</x:v>
      </x:c>
      <x:c r="F2781" s="2" t="n">
        <x:v>135</x:v>
      </x:c>
      <x:c r="G2781" s="2" t="n">
        <x:v>1</x:v>
      </x:c>
      <x:c r="H2781" s="11" t="n">
        <x:v>244.8</x:v>
      </x:c>
      <x:c r="I2781" s="2" t="n">
        <x:v>3</x:v>
      </x:c>
      <x:c r="J2781" s="2" t="n">
        <x:v>1</x:v>
      </x:c>
      <x:c r="K2781" s="2" t="n">
        <x:v>1</x:v>
      </x:c>
      <x:c r="L2781" s="2" t="str">
        <x:v>Developing</x:v>
      </x:c>
    </x:row>
    <x:row r="2782" ht="22" customHeight="1">
      <x:c r="A2782" s="2"/>
      <x:c r="B2782" s="2" t="str">
        <x:v>15119</x:v>
      </x:c>
      <x:c r="C2782" s="2" t="str">
        <x:v>United Kingdom</x:v>
      </x:c>
      <x:c r="D2782" s="25" t="n">
        <x:v>40641.17222222222</x:v>
      </x:c>
      <x:c r="E2782" s="25" t="n">
        <x:v>40641.17222222222</x:v>
      </x:c>
      <x:c r="F2782" s="2" t="n">
        <x:v>246</x:v>
      </x:c>
      <x:c r="G2782" s="2" t="n">
        <x:v>1</x:v>
      </x:c>
      <x:c r="H2782" s="11" t="n">
        <x:v>266.4</x:v>
      </x:c>
      <x:c r="I2782" s="2" t="n">
        <x:v>2</x:v>
      </x:c>
      <x:c r="J2782" s="2" t="n">
        <x:v>1</x:v>
      </x:c>
      <x:c r="K2782" s="2" t="n">
        <x:v>1</x:v>
      </x:c>
      <x:c r="L2782" s="2" t="str">
        <x:v>Hibernating</x:v>
      </x:c>
    </x:row>
    <x:row r="2783" ht="22" customHeight="1">
      <x:c r="A2783" s="2"/>
      <x:c r="B2783" s="2" t="str">
        <x:v>15120</x:v>
      </x:c>
      <x:c r="C2783" s="2" t="str">
        <x:v>United Kingdom</x:v>
      </x:c>
      <x:c r="D2783" s="25" t="n">
        <x:v>40753.2</x:v>
      </x:c>
      <x:c r="E2783" s="25" t="n">
        <x:v>40753.2</x:v>
      </x:c>
      <x:c r="F2783" s="2" t="n">
        <x:v>134</x:v>
      </x:c>
      <x:c r="G2783" s="2" t="n">
        <x:v>1</x:v>
      </x:c>
      <x:c r="H2783" s="11" t="n">
        <x:v>358.82</x:v>
      </x:c>
      <x:c r="I2783" s="2" t="n">
        <x:v>3</x:v>
      </x:c>
      <x:c r="J2783" s="2" t="n">
        <x:v>1</x:v>
      </x:c>
      <x:c r="K2783" s="2" t="n">
        <x:v>2</x:v>
      </x:c>
      <x:c r="L2783" s="2" t="str">
        <x:v>Developing</x:v>
      </x:c>
    </x:row>
    <x:row r="2784" ht="22" customHeight="1">
      <x:c r="A2784" s="2"/>
      <x:c r="B2784" s="2" t="str">
        <x:v>15121</x:v>
      </x:c>
      <x:c r="C2784" s="2" t="str">
        <x:v>United Kingdom</x:v>
      </x:c>
      <x:c r="D2784" s="25" t="n">
        <x:v>40598.32013888889</x:v>
      </x:c>
      <x:c r="E2784" s="25" t="n">
        <x:v>40836.410416666666</x:v>
      </x:c>
      <x:c r="F2784" s="2" t="n">
        <x:v>51</x:v>
      </x:c>
      <x:c r="G2784" s="2" t="n">
        <x:v>2</x:v>
      </x:c>
      <x:c r="H2784" s="11" t="n">
        <x:v>457.72</x:v>
      </x:c>
      <x:c r="I2784" s="2" t="n">
        <x:v>4</x:v>
      </x:c>
      <x:c r="J2784" s="2" t="n">
        <x:v>2</x:v>
      </x:c>
      <x:c r="K2784" s="2" t="n">
        <x:v>2</x:v>
      </x:c>
      <x:c r="L2784" s="2" t="str">
        <x:v>Recent light buyers</x:v>
      </x:c>
    </x:row>
    <x:row r="2785" ht="22" customHeight="1">
      <x:c r="A2785" s="2"/>
      <x:c r="B2785" s="2" t="str">
        <x:v>15122</x:v>
      </x:c>
      <x:c r="C2785" s="2" t="str">
        <x:v>United Kingdom</x:v>
      </x:c>
      <x:c r="D2785" s="25" t="n">
        <x:v>40267.37847222222</x:v>
      </x:c>
      <x:c r="E2785" s="25" t="n">
        <x:v>40772.49166666667</x:v>
      </x:c>
      <x:c r="F2785" s="2" t="n">
        <x:v>115</x:v>
      </x:c>
      <x:c r="G2785" s="2" t="n">
        <x:v>11</x:v>
      </x:c>
      <x:c r="H2785" s="11" t="n">
        <x:v>4497.47</x:v>
      </x:c>
      <x:c r="I2785" s="2" t="n">
        <x:v>3</x:v>
      </x:c>
      <x:c r="J2785" s="2" t="n">
        <x:v>5</x:v>
      </x:c>
      <x:c r="K2785" s="2" t="n">
        <x:v>5</x:v>
      </x:c>
      <x:c r="L2785" s="2" t="str">
        <x:v>Loyal</x:v>
      </x:c>
    </x:row>
    <x:row r="2786" ht="22" customHeight="1">
      <x:c r="A2786" s="2"/>
      <x:c r="B2786" s="2" t="str">
        <x:v>15123</x:v>
      </x:c>
      <x:c r="C2786" s="2" t="str">
        <x:v>United Kingdom</x:v>
      </x:c>
      <x:c r="D2786" s="25" t="n">
        <x:v>40253.200694444444</x:v>
      </x:c>
      <x:c r="E2786" s="25" t="n">
        <x:v>40879.34166666667</x:v>
      </x:c>
      <x:c r="F2786" s="2" t="n">
        <x:v>8</x:v>
      </x:c>
      <x:c r="G2786" s="2" t="n">
        <x:v>5</x:v>
      </x:c>
      <x:c r="H2786" s="11" t="n">
        <x:v>4656.17</x:v>
      </x:c>
      <x:c r="I2786" s="2" t="n">
        <x:v>5</x:v>
      </x:c>
      <x:c r="J2786" s="2" t="n">
        <x:v>4</x:v>
      </x:c>
      <x:c r="K2786" s="2" t="n">
        <x:v>5</x:v>
      </x:c>
      <x:c r="L2786" s="2" t="str">
        <x:v>Champions</x:v>
      </x:c>
    </x:row>
    <x:row r="2787" ht="22" customHeight="1">
      <x:c r="A2787" s="2"/>
      <x:c r="B2787" s="2" t="str">
        <x:v>15124</x:v>
      </x:c>
      <x:c r="C2787" s="2" t="str">
        <x:v>United Kingdom</x:v>
      </x:c>
      <x:c r="D2787" s="25" t="n">
        <x:v>40235.24236111111</x:v>
      </x:c>
      <x:c r="E2787" s="25" t="n">
        <x:v>40864.214583333334</x:v>
      </x:c>
      <x:c r="F2787" s="2" t="n">
        <x:v>23</x:v>
      </x:c>
      <x:c r="G2787" s="2" t="n">
        <x:v>4</x:v>
      </x:c>
      <x:c r="H2787" s="11" t="n">
        <x:v>450.82</x:v>
      </x:c>
      <x:c r="I2787" s="2" t="n">
        <x:v>4</x:v>
      </x:c>
      <x:c r="J2787" s="2" t="n">
        <x:v>3</x:v>
      </x:c>
      <x:c r="K2787" s="2" t="n">
        <x:v>2</x:v>
      </x:c>
      <x:c r="L2787" s="2" t="str">
        <x:v>Loyal</x:v>
      </x:c>
    </x:row>
    <x:row r="2788" ht="22" customHeight="1">
      <x:c r="A2788" s="2"/>
      <x:c r="B2788" s="2" t="str">
        <x:v>15125</x:v>
      </x:c>
      <x:c r="C2788" s="2" t="str">
        <x:v>United Kingdom</x:v>
      </x:c>
      <x:c r="D2788" s="25" t="n">
        <x:v>40268.353472222225</x:v>
      </x:c>
      <x:c r="E2788" s="25" t="n">
        <x:v>40861.37291666667</x:v>
      </x:c>
      <x:c r="F2788" s="2" t="n">
        <x:v>26</x:v>
      </x:c>
      <x:c r="G2788" s="2" t="n">
        <x:v>24</x:v>
      </x:c>
      <x:c r="H2788" s="11" t="n">
        <x:v>17024.87</x:v>
      </x:c>
      <x:c r="I2788" s="2" t="n">
        <x:v>4</x:v>
      </x:c>
      <x:c r="J2788" s="2" t="n">
        <x:v>5</x:v>
      </x:c>
      <x:c r="K2788" s="2" t="n">
        <x:v>5</x:v>
      </x:c>
      <x:c r="L2788" s="2" t="str">
        <x:v>Champions</x:v>
      </x:c>
    </x:row>
    <x:row r="2789" ht="22" customHeight="1">
      <x:c r="A2789" s="2"/>
      <x:c r="B2789" s="2" t="str">
        <x:v>15126</x:v>
      </x:c>
      <x:c r="C2789" s="2" t="str">
        <x:v>United Kingdom</x:v>
      </x:c>
      <x:c r="D2789" s="25" t="n">
        <x:v>40199.50625</x:v>
      </x:c>
      <x:c r="E2789" s="25" t="n">
        <x:v>40350.31319444445</x:v>
      </x:c>
      <x:c r="F2789" s="2" t="n">
        <x:v>537</x:v>
      </x:c>
      <x:c r="G2789" s="2" t="n">
        <x:v>2</x:v>
      </x:c>
      <x:c r="H2789" s="11" t="n">
        <x:v>449.49</x:v>
      </x:c>
      <x:c r="I2789" s="2" t="n">
        <x:v>1</x:v>
      </x:c>
      <x:c r="J2789" s="2" t="n">
        <x:v>2</x:v>
      </x:c>
      <x:c r="K2789" s="2" t="n">
        <x:v>2</x:v>
      </x:c>
      <x:c r="L2789" s="2" t="str">
        <x:v>Hibernating</x:v>
      </x:c>
    </x:row>
    <x:row r="2790" ht="22" customHeight="1">
      <x:c r="A2790" s="2"/>
      <x:c r="B2790" s="2" t="str">
        <x:v>15127</x:v>
      </x:c>
      <x:c r="C2790" s="2" t="str">
        <x:v>United Kingdom</x:v>
      </x:c>
      <x:c r="D2790" s="25" t="n">
        <x:v>40367.21319444444</x:v>
      </x:c>
      <x:c r="E2790" s="25" t="n">
        <x:v>40821.229166666664</x:v>
      </x:c>
      <x:c r="F2790" s="2" t="n">
        <x:v>66</x:v>
      </x:c>
      <x:c r="G2790" s="2" t="n">
        <x:v>2</x:v>
      </x:c>
      <x:c r="H2790" s="11" t="n">
        <x:v>711.5</x:v>
      </x:c>
      <x:c r="I2790" s="2" t="n">
        <x:v>3</x:v>
      </x:c>
      <x:c r="J2790" s="2" t="n">
        <x:v>2</x:v>
      </x:c>
      <x:c r="K2790" s="2" t="n">
        <x:v>3</x:v>
      </x:c>
      <x:c r="L2790" s="2" t="str">
        <x:v>Developing</x:v>
      </x:c>
    </x:row>
    <x:row r="2791" ht="22" customHeight="1">
      <x:c r="A2791" s="2"/>
      <x:c r="B2791" s="2" t="str">
        <x:v>15128</x:v>
      </x:c>
      <x:c r="C2791" s="2" t="str">
        <x:v>United Kingdom</x:v>
      </x:c>
      <x:c r="D2791" s="25" t="n">
        <x:v>40456.490277777775</x:v>
      </x:c>
      <x:c r="E2791" s="25" t="n">
        <x:v>40826.370833333334</x:v>
      </x:c>
      <x:c r="F2791" s="2" t="n">
        <x:v>61</x:v>
      </x:c>
      <x:c r="G2791" s="2" t="n">
        <x:v>5</x:v>
      </x:c>
      <x:c r="H2791" s="11" t="n">
        <x:v>1783.68</x:v>
      </x:c>
      <x:c r="I2791" s="2" t="n">
        <x:v>3</x:v>
      </x:c>
      <x:c r="J2791" s="2" t="n">
        <x:v>4</x:v>
      </x:c>
      <x:c r="K2791" s="2" t="n">
        <x:v>4</x:v>
      </x:c>
      <x:c r="L2791" s="2" t="str">
        <x:v>Loyal</x:v>
      </x:c>
    </x:row>
    <x:row r="2792" ht="22" customHeight="1">
      <x:c r="A2792" s="2"/>
      <x:c r="B2792" s="2" t="str">
        <x:v>15129</x:v>
      </x:c>
      <x:c r="C2792" s="2" t="str">
        <x:v>United Kingdom</x:v>
      </x:c>
      <x:c r="D2792" s="25" t="n">
        <x:v>40276.510416666664</x:v>
      </x:c>
      <x:c r="E2792" s="25" t="n">
        <x:v>40836.40277777778</x:v>
      </x:c>
      <x:c r="F2792" s="2" t="n">
        <x:v>51</x:v>
      </x:c>
      <x:c r="G2792" s="2" t="n">
        <x:v>23</x:v>
      </x:c>
      <x:c r="H2792" s="11" t="n">
        <x:v>6860.18</x:v>
      </x:c>
      <x:c r="I2792" s="2" t="n">
        <x:v>4</x:v>
      </x:c>
      <x:c r="J2792" s="2" t="n">
        <x:v>5</x:v>
      </x:c>
      <x:c r="K2792" s="2" t="n">
        <x:v>5</x:v>
      </x:c>
      <x:c r="L2792" s="2" t="str">
        <x:v>Champions</x:v>
      </x:c>
    </x:row>
    <x:row r="2793" ht="22" customHeight="1">
      <x:c r="A2793" s="2"/>
      <x:c r="B2793" s="2" t="str">
        <x:v>15130</x:v>
      </x:c>
      <x:c r="C2793" s="2" t="str">
        <x:v>United Kingdom</x:v>
      </x:c>
      <x:c r="D2793" s="25" t="n">
        <x:v>40717.21875</x:v>
      </x:c>
      <x:c r="E2793" s="25" t="n">
        <x:v>40717.21875</x:v>
      </x:c>
      <x:c r="F2793" s="2" t="n">
        <x:v>170</x:v>
      </x:c>
      <x:c r="G2793" s="2" t="n">
        <x:v>1</x:v>
      </x:c>
      <x:c r="H2793" s="11" t="n">
        <x:v>330.11</x:v>
      </x:c>
      <x:c r="I2793" s="2" t="n">
        <x:v>3</x:v>
      </x:c>
      <x:c r="J2793" s="2" t="n">
        <x:v>1</x:v>
      </x:c>
      <x:c r="K2793" s="2" t="n">
        <x:v>2</x:v>
      </x:c>
      <x:c r="L2793" s="2" t="str">
        <x:v>Developing</x:v>
      </x:c>
    </x:row>
    <x:row r="2794" ht="22" customHeight="1">
      <x:c r="A2794" s="2"/>
      <x:c r="B2794" s="2" t="str">
        <x:v>15131</x:v>
      </x:c>
      <x:c r="C2794" s="2" t="str">
        <x:v>United Kingdom</x:v>
      </x:c>
      <x:c r="D2794" s="25" t="n">
        <x:v>40492.29652777778</x:v>
      </x:c>
      <x:c r="E2794" s="25" t="n">
        <x:v>40492.29652777778</x:v>
      </x:c>
      <x:c r="F2794" s="2" t="n">
        <x:v>395</x:v>
      </x:c>
      <x:c r="G2794" s="2" t="n">
        <x:v>1</x:v>
      </x:c>
      <x:c r="H2794" s="11" t="n">
        <x:v>80.28</x:v>
      </x:c>
      <x:c r="I2794" s="2" t="n">
        <x:v>2</x:v>
      </x:c>
      <x:c r="J2794" s="2" t="n">
        <x:v>1</x:v>
      </x:c>
      <x:c r="K2794" s="2" t="n">
        <x:v>1</x:v>
      </x:c>
      <x:c r="L2794" s="2" t="str">
        <x:v>Hibernating</x:v>
      </x:c>
    </x:row>
    <x:row r="2795" ht="22" customHeight="1">
      <x:c r="A2795" s="2"/>
      <x:c r="B2795" s="2" t="str">
        <x:v>15132</x:v>
      </x:c>
      <x:c r="C2795" s="2" t="str">
        <x:v>United Kingdom</x:v>
      </x:c>
      <x:c r="D2795" s="25" t="n">
        <x:v>40624.29305555556</x:v>
      </x:c>
      <x:c r="E2795" s="25" t="n">
        <x:v>40868.506944444445</x:v>
      </x:c>
      <x:c r="F2795" s="2" t="n">
        <x:v>19</x:v>
      </x:c>
      <x:c r="G2795" s="2" t="n">
        <x:v>5</x:v>
      </x:c>
      <x:c r="H2795" s="11" t="n">
        <x:v>977.93</x:v>
      </x:c>
      <x:c r="I2795" s="2" t="n">
        <x:v>5</x:v>
      </x:c>
      <x:c r="J2795" s="2" t="n">
        <x:v>4</x:v>
      </x:c>
      <x:c r="K2795" s="2" t="n">
        <x:v>3</x:v>
      </x:c>
      <x:c r="L2795" s="2" t="str">
        <x:v>Loyal</x:v>
      </x:c>
    </x:row>
    <x:row r="2796" ht="22" customHeight="1">
      <x:c r="A2796" s="2"/>
      <x:c r="B2796" s="2" t="str">
        <x:v>15133</x:v>
      </x:c>
      <x:c r="C2796" s="2" t="str">
        <x:v>United Kingdom</x:v>
      </x:c>
      <x:c r="D2796" s="25" t="n">
        <x:v>40366.31319444445</x:v>
      </x:c>
      <x:c r="E2796" s="25" t="n">
        <x:v>40759.23888888889</x:v>
      </x:c>
      <x:c r="F2796" s="2" t="n">
        <x:v>128</x:v>
      </x:c>
      <x:c r="G2796" s="2" t="n">
        <x:v>5</x:v>
      </x:c>
      <x:c r="H2796" s="11" t="n">
        <x:v>1806.9</x:v>
      </x:c>
      <x:c r="I2796" s="2" t="n">
        <x:v>3</x:v>
      </x:c>
      <x:c r="J2796" s="2" t="n">
        <x:v>4</x:v>
      </x:c>
      <x:c r="K2796" s="2" t="n">
        <x:v>4</x:v>
      </x:c>
      <x:c r="L2796" s="2" t="str">
        <x:v>Loyal</x:v>
      </x:c>
    </x:row>
    <x:row r="2797" ht="22" customHeight="1">
      <x:c r="A2797" s="2"/>
      <x:c r="B2797" s="2" t="str">
        <x:v>15134</x:v>
      </x:c>
      <x:c r="C2797" s="2" t="str">
        <x:v>United Kingdom</x:v>
      </x:c>
      <x:c r="D2797" s="25" t="n">
        <x:v>40464.322222222225</x:v>
      </x:c>
      <x:c r="E2797" s="25" t="n">
        <x:v>40872.163194444445</x:v>
      </x:c>
      <x:c r="F2797" s="2" t="n">
        <x:v>15</x:v>
      </x:c>
      <x:c r="G2797" s="2" t="n">
        <x:v>10</x:v>
      </x:c>
      <x:c r="H2797" s="11" t="n">
        <x:v>1596.29</x:v>
      </x:c>
      <x:c r="I2797" s="2" t="n">
        <x:v>5</x:v>
      </x:c>
      <x:c r="J2797" s="2" t="n">
        <x:v>5</x:v>
      </x:c>
      <x:c r="K2797" s="2" t="n">
        <x:v>4</x:v>
      </x:c>
      <x:c r="L2797" s="2" t="str">
        <x:v>Champions</x:v>
      </x:c>
    </x:row>
    <x:row r="2798" ht="22" customHeight="1">
      <x:c r="A2798" s="2"/>
      <x:c r="B2798" s="2" t="str">
        <x:v>15135</x:v>
      </x:c>
      <x:c r="C2798" s="2" t="str">
        <x:v>United Kingdom</x:v>
      </x:c>
      <x:c r="D2798" s="25" t="n">
        <x:v>40330.35625</x:v>
      </x:c>
      <x:c r="E2798" s="25" t="n">
        <x:v>40647.59444444445</x:v>
      </x:c>
      <x:c r="F2798" s="2" t="n">
        <x:v>240</x:v>
      </x:c>
      <x:c r="G2798" s="2" t="n">
        <x:v>2</x:v>
      </x:c>
      <x:c r="H2798" s="11" t="n">
        <x:v>305.68</x:v>
      </x:c>
      <x:c r="I2798" s="2" t="n">
        <x:v>2</x:v>
      </x:c>
      <x:c r="J2798" s="2" t="n">
        <x:v>2</x:v>
      </x:c>
      <x:c r="K2798" s="2" t="n">
        <x:v>2</x:v>
      </x:c>
      <x:c r="L2798" s="2" t="str">
        <x:v>Hibernating</x:v>
      </x:c>
    </x:row>
    <x:row r="2799" ht="22" customHeight="1">
      <x:c r="A2799" s="2"/>
      <x:c r="B2799" s="2" t="str">
        <x:v>15136</x:v>
      </x:c>
      <x:c r="C2799" s="2" t="str">
        <x:v>United Kingdom</x:v>
      </x:c>
      <x:c r="D2799" s="25" t="n">
        <x:v>40790.461805555555</x:v>
      </x:c>
      <x:c r="E2799" s="25" t="n">
        <x:v>40884.30972222222</x:v>
      </x:c>
      <x:c r="F2799" s="2" t="n">
        <x:v>3</x:v>
      </x:c>
      <x:c r="G2799" s="2" t="n">
        <x:v>4</x:v>
      </x:c>
      <x:c r="H2799" s="11" t="n">
        <x:v>1286.7</x:v>
      </x:c>
      <x:c r="I2799" s="2" t="n">
        <x:v>5</x:v>
      </x:c>
      <x:c r="J2799" s="2" t="n">
        <x:v>3</x:v>
      </x:c>
      <x:c r="K2799" s="2" t="n">
        <x:v>4</x:v>
      </x:c>
      <x:c r="L2799" s="2" t="str">
        <x:v>Loyal</x:v>
      </x:c>
    </x:row>
    <x:row r="2800" ht="22" customHeight="1">
      <x:c r="A2800" s="2"/>
      <x:c r="B2800" s="2" t="str">
        <x:v>15137</x:v>
      </x:c>
      <x:c r="C2800" s="2" t="str">
        <x:v>United Kingdom</x:v>
      </x:c>
      <x:c r="D2800" s="25" t="n">
        <x:v>40206.447916666664</x:v>
      </x:c>
      <x:c r="E2800" s="25" t="n">
        <x:v>40366.19513888889</x:v>
      </x:c>
      <x:c r="F2800" s="2" t="n">
        <x:v>521</x:v>
      </x:c>
      <x:c r="G2800" s="2" t="n">
        <x:v>2</x:v>
      </x:c>
      <x:c r="H2800" s="11" t="n">
        <x:v>823.4</x:v>
      </x:c>
      <x:c r="I2800" s="2" t="n">
        <x:v>1</x:v>
      </x:c>
      <x:c r="J2800" s="2" t="n">
        <x:v>2</x:v>
      </x:c>
      <x:c r="K2800" s="2" t="n">
        <x:v>3</x:v>
      </x:c>
      <x:c r="L2800" s="2" t="str">
        <x:v>Hibernating</x:v>
      </x:c>
    </x:row>
    <x:row r="2801" ht="22" customHeight="1">
      <x:c r="A2801" s="2"/>
      <x:c r="B2801" s="2" t="str">
        <x:v>15138</x:v>
      </x:c>
      <x:c r="C2801" s="2" t="str">
        <x:v>United Kingdom</x:v>
      </x:c>
      <x:c r="D2801" s="25" t="n">
        <x:v>40493.177777777775</x:v>
      </x:c>
      <x:c r="E2801" s="25" t="n">
        <x:v>40493.177777777775</x:v>
      </x:c>
      <x:c r="F2801" s="2" t="n">
        <x:v>394</x:v>
      </x:c>
      <x:c r="G2801" s="2" t="n">
        <x:v>1</x:v>
      </x:c>
      <x:c r="H2801" s="11" t="n">
        <x:v>502.52</x:v>
      </x:c>
      <x:c r="I2801" s="2" t="n">
        <x:v>2</x:v>
      </x:c>
      <x:c r="J2801" s="2" t="n">
        <x:v>1</x:v>
      </x:c>
      <x:c r="K2801" s="2" t="n">
        <x:v>2</x:v>
      </x:c>
      <x:c r="L2801" s="2" t="str">
        <x:v>Hibernating</x:v>
      </x:c>
    </x:row>
    <x:row r="2802" ht="22" customHeight="1">
      <x:c r="A2802" s="2"/>
      <x:c r="B2802" s="2" t="str">
        <x:v>15139</x:v>
      </x:c>
      <x:c r="C2802" s="2" t="str">
        <x:v>United Kingdom</x:v>
      </x:c>
      <x:c r="D2802" s="25" t="n">
        <x:v>40550.322222222225</x:v>
      </x:c>
      <x:c r="E2802" s="25" t="n">
        <x:v>40647.277083333334</x:v>
      </x:c>
      <x:c r="F2802" s="2" t="n">
        <x:v>240</x:v>
      </x:c>
      <x:c r="G2802" s="2" t="n">
        <x:v>2</x:v>
      </x:c>
      <x:c r="H2802" s="11" t="n">
        <x:v>178.96</x:v>
      </x:c>
      <x:c r="I2802" s="2" t="n">
        <x:v>2</x:v>
      </x:c>
      <x:c r="J2802" s="2" t="n">
        <x:v>2</x:v>
      </x:c>
      <x:c r="K2802" s="2" t="n">
        <x:v>1</x:v>
      </x:c>
      <x:c r="L2802" s="2" t="str">
        <x:v>Hibernating</x:v>
      </x:c>
    </x:row>
    <x:row r="2803" ht="22" customHeight="1">
      <x:c r="A2803" s="2"/>
      <x:c r="B2803" s="2" t="str">
        <x:v>15140</x:v>
      </x:c>
      <x:c r="C2803" s="2" t="str">
        <x:v>United Kingdom</x:v>
      </x:c>
      <x:c r="D2803" s="25" t="n">
        <x:v>40444.33819444444</x:v>
      </x:c>
      <x:c r="E2803" s="25" t="n">
        <x:v>40834.37986111111</x:v>
      </x:c>
      <x:c r="F2803" s="2" t="n">
        <x:v>53</x:v>
      </x:c>
      <x:c r="G2803" s="2" t="n">
        <x:v>8</x:v>
      </x:c>
      <x:c r="H2803" s="11" t="n">
        <x:v>3243.69</x:v>
      </x:c>
      <x:c r="I2803" s="2" t="n">
        <x:v>4</x:v>
      </x:c>
      <x:c r="J2803" s="2" t="n">
        <x:v>4</x:v>
      </x:c>
      <x:c r="K2803" s="2" t="n">
        <x:v>5</x:v>
      </x:c>
      <x:c r="L2803" s="2" t="str">
        <x:v>Champions</x:v>
      </x:c>
    </x:row>
    <x:row r="2804" ht="22" customHeight="1">
      <x:c r="A2804" s="2"/>
      <x:c r="B2804" s="2" t="str">
        <x:v>15141</x:v>
      </x:c>
      <x:c r="C2804" s="2" t="str">
        <x:v>United Kingdom</x:v>
      </x:c>
      <x:c r="D2804" s="25" t="n">
        <x:v>40265.45694444444</x:v>
      </x:c>
      <x:c r="E2804" s="25" t="n">
        <x:v>40429.27291666667</x:v>
      </x:c>
      <x:c r="F2804" s="2" t="n">
        <x:v>458</x:v>
      </x:c>
      <x:c r="G2804" s="2" t="n">
        <x:v>7</x:v>
      </x:c>
      <x:c r="H2804" s="11" t="n">
        <x:v>1388.47</x:v>
      </x:c>
      <x:c r="I2804" s="2" t="n">
        <x:v>1</x:v>
      </x:c>
      <x:c r="J2804" s="2" t="n">
        <x:v>4</x:v>
      </x:c>
      <x:c r="K2804" s="2" t="n">
        <x:v>4</x:v>
      </x:c>
      <x:c r="L2804" s="2" t="str">
        <x:v>At risk</x:v>
      </x:c>
    </x:row>
    <x:row r="2805" ht="22" customHeight="1">
      <x:c r="A2805" s="2"/>
      <x:c r="B2805" s="2" t="str">
        <x:v>15142</x:v>
      </x:c>
      <x:c r="C2805" s="2" t="str">
        <x:v>United Kingdom</x:v>
      </x:c>
      <x:c r="D2805" s="25" t="n">
        <x:v>40386.17013888889</x:v>
      </x:c>
      <x:c r="E2805" s="25" t="n">
        <x:v>40840.32708333333</x:v>
      </x:c>
      <x:c r="F2805" s="2" t="n">
        <x:v>47</x:v>
      </x:c>
      <x:c r="G2805" s="2" t="n">
        <x:v>6</x:v>
      </x:c>
      <x:c r="H2805" s="11" t="n">
        <x:v>2619.92</x:v>
      </x:c>
      <x:c r="I2805" s="2" t="n">
        <x:v>4</x:v>
      </x:c>
      <x:c r="J2805" s="2" t="n">
        <x:v>4</x:v>
      </x:c>
      <x:c r="K2805" s="2" t="n">
        <x:v>4</x:v>
      </x:c>
      <x:c r="L2805" s="2" t="str">
        <x:v>Champions</x:v>
      </x:c>
    </x:row>
    <x:row r="2806" ht="22" customHeight="1">
      <x:c r="A2806" s="2"/>
      <x:c r="B2806" s="2" t="str">
        <x:v>15143</x:v>
      </x:c>
      <x:c r="C2806" s="2" t="str">
        <x:v>United Kingdom</x:v>
      </x:c>
      <x:c r="D2806" s="25" t="n">
        <x:v>40454.373611111114</x:v>
      </x:c>
      <x:c r="E2806" s="25" t="n">
        <x:v>40661.29375</x:v>
      </x:c>
      <x:c r="F2806" s="2" t="n">
        <x:v>226</x:v>
      </x:c>
      <x:c r="G2806" s="2" t="n">
        <x:v>2</x:v>
      </x:c>
      <x:c r="H2806" s="11" t="n">
        <x:v>563.63</x:v>
      </x:c>
      <x:c r="I2806" s="2" t="n">
        <x:v>2</x:v>
      </x:c>
      <x:c r="J2806" s="2" t="n">
        <x:v>2</x:v>
      </x:c>
      <x:c r="K2806" s="2" t="n">
        <x:v>2</x:v>
      </x:c>
      <x:c r="L2806" s="2" t="str">
        <x:v>Hibernating</x:v>
      </x:c>
    </x:row>
    <x:row r="2807" ht="22" customHeight="1">
      <x:c r="A2807" s="2"/>
      <x:c r="B2807" s="2" t="str">
        <x:v>15144</x:v>
      </x:c>
      <x:c r="C2807" s="2" t="str">
        <x:v>United Kingdom</x:v>
      </x:c>
      <x:c r="D2807" s="25" t="n">
        <x:v>40160.274305555555</x:v>
      </x:c>
      <x:c r="E2807" s="25" t="n">
        <x:v>40878.425</x:v>
      </x:c>
      <x:c r="F2807" s="2" t="n">
        <x:v>9</x:v>
      </x:c>
      <x:c r="G2807" s="2" t="n">
        <x:v>29</x:v>
      </x:c>
      <x:c r="H2807" s="11" t="n">
        <x:v>12160.31</x:v>
      </x:c>
      <x:c r="I2807" s="2" t="n">
        <x:v>5</x:v>
      </x:c>
      <x:c r="J2807" s="2" t="n">
        <x:v>5</x:v>
      </x:c>
      <x:c r="K2807" s="2" t="n">
        <x:v>5</x:v>
      </x:c>
      <x:c r="L2807" s="2" t="str">
        <x:v>Champions</x:v>
      </x:c>
    </x:row>
    <x:row r="2808" ht="22" customHeight="1">
      <x:c r="A2808" s="2"/>
      <x:c r="B2808" s="2" t="str">
        <x:v>15145</x:v>
      </x:c>
      <x:c r="C2808" s="2" t="str">
        <x:v>United Kingdom</x:v>
      </x:c>
      <x:c r="D2808" s="25" t="n">
        <x:v>40638.430555555555</x:v>
      </x:c>
      <x:c r="E2808" s="25" t="n">
        <x:v>40882.51458333333</x:v>
      </x:c>
      <x:c r="F2808" s="2" t="n">
        <x:v>5</x:v>
      </x:c>
      <x:c r="G2808" s="2" t="n">
        <x:v>4</x:v>
      </x:c>
      <x:c r="H2808" s="11" t="n">
        <x:v>1194.73</x:v>
      </x:c>
      <x:c r="I2808" s="2" t="n">
        <x:v>5</x:v>
      </x:c>
      <x:c r="J2808" s="2" t="n">
        <x:v>3</x:v>
      </x:c>
      <x:c r="K2808" s="2" t="n">
        <x:v>3</x:v>
      </x:c>
      <x:c r="L2808" s="2" t="str">
        <x:v>Loyal</x:v>
      </x:c>
    </x:row>
    <x:row r="2809" ht="22" customHeight="1">
      <x:c r="A2809" s="2"/>
      <x:c r="B2809" s="2" t="str">
        <x:v>15146</x:v>
      </x:c>
      <x:c r="C2809" s="2" t="str">
        <x:v>United Kingdom</x:v>
      </x:c>
      <x:c r="D2809" s="25" t="n">
        <x:v>40595.33819444444</x:v>
      </x:c>
      <x:c r="E2809" s="25" t="n">
        <x:v>40722.29791666667</x:v>
      </x:c>
      <x:c r="F2809" s="2" t="n">
        <x:v>165</x:v>
      </x:c>
      <x:c r="G2809" s="2" t="n">
        <x:v>2</x:v>
      </x:c>
      <x:c r="H2809" s="11" t="n">
        <x:v>1327.16</x:v>
      </x:c>
      <x:c r="I2809" s="2" t="n">
        <x:v>3</x:v>
      </x:c>
      <x:c r="J2809" s="2" t="n">
        <x:v>2</x:v>
      </x:c>
      <x:c r="K2809" s="2" t="n">
        <x:v>4</x:v>
      </x:c>
      <x:c r="L2809" s="2" t="str">
        <x:v>Developing</x:v>
      </x:c>
    </x:row>
    <x:row r="2810" ht="22" customHeight="1">
      <x:c r="A2810" s="2"/>
      <x:c r="B2810" s="2" t="str">
        <x:v>15147</x:v>
      </x:c>
      <x:c r="C2810" s="2" t="str">
        <x:v>United Kingdom</x:v>
      </x:c>
      <x:c r="D2810" s="25" t="n">
        <x:v>40646.45625</x:v>
      </x:c>
      <x:c r="E2810" s="25" t="n">
        <x:v>40646.45625</x:v>
      </x:c>
      <x:c r="F2810" s="2" t="n">
        <x:v>241</x:v>
      </x:c>
      <x:c r="G2810" s="2" t="n">
        <x:v>1</x:v>
      </x:c>
      <x:c r="H2810" s="11" t="n">
        <x:v>623.5</x:v>
      </x:c>
      <x:c r="I2810" s="2" t="n">
        <x:v>2</x:v>
      </x:c>
      <x:c r="J2810" s="2" t="n">
        <x:v>1</x:v>
      </x:c>
      <x:c r="K2810" s="2" t="n">
        <x:v>3</x:v>
      </x:c>
      <x:c r="L2810" s="2" t="str">
        <x:v>Hibernating</x:v>
      </x:c>
    </x:row>
    <x:row r="2811" ht="22" customHeight="1">
      <x:c r="A2811" s="2"/>
      <x:c r="B2811" s="2" t="str">
        <x:v>15148</x:v>
      </x:c>
      <x:c r="C2811" s="2" t="str">
        <x:v>United Kingdom</x:v>
      </x:c>
      <x:c r="D2811" s="25" t="n">
        <x:v>40876.13958333333</x:v>
      </x:c>
      <x:c r="E2811" s="25" t="n">
        <x:v>40876.13958333333</x:v>
      </x:c>
      <x:c r="F2811" s="2" t="n">
        <x:v>11</x:v>
      </x:c>
      <x:c r="G2811" s="2" t="n">
        <x:v>1</x:v>
      </x:c>
      <x:c r="H2811" s="11" t="n">
        <x:v>301.29</x:v>
      </x:c>
      <x:c r="I2811" s="2" t="n">
        <x:v>5</x:v>
      </x:c>
      <x:c r="J2811" s="2" t="n">
        <x:v>1</x:v>
      </x:c>
      <x:c r="K2811" s="2" t="n">
        <x:v>2</x:v>
      </x:c>
      <x:c r="L2811" s="2" t="str">
        <x:v>Recent light buyers</x:v>
      </x:c>
    </x:row>
    <x:row r="2812" ht="22" customHeight="1">
      <x:c r="A2812" s="2"/>
      <x:c r="B2812" s="2" t="str">
        <x:v>15149</x:v>
      </x:c>
      <x:c r="C2812" s="2" t="str">
        <x:v>United Kingdom</x:v>
      </x:c>
      <x:c r="D2812" s="25" t="n">
        <x:v>40237.25902777778</x:v>
      </x:c>
      <x:c r="E2812" s="25" t="n">
        <x:v>40753.248611111114</x:v>
      </x:c>
      <x:c r="F2812" s="2" t="n">
        <x:v>134</x:v>
      </x:c>
      <x:c r="G2812" s="2" t="n">
        <x:v>5</x:v>
      </x:c>
      <x:c r="H2812" s="11" t="n">
        <x:v>1554.61</x:v>
      </x:c>
      <x:c r="I2812" s="2" t="n">
        <x:v>3</x:v>
      </x:c>
      <x:c r="J2812" s="2" t="n">
        <x:v>4</x:v>
      </x:c>
      <x:c r="K2812" s="2" t="n">
        <x:v>4</x:v>
      </x:c>
      <x:c r="L2812" s="2" t="str">
        <x:v>Loyal</x:v>
      </x:c>
    </x:row>
    <x:row r="2813" ht="22" customHeight="1">
      <x:c r="A2813" s="2"/>
      <x:c r="B2813" s="2" t="str">
        <x:v>15150</x:v>
      </x:c>
      <x:c r="C2813" s="2" t="str">
        <x:v>United Kingdom</x:v>
      </x:c>
      <x:c r="D2813" s="25" t="n">
        <x:v>40343.29236111111</x:v>
      </x:c>
      <x:c r="E2813" s="25" t="n">
        <x:v>40869.32777777778</x:v>
      </x:c>
      <x:c r="F2813" s="2" t="n">
        <x:v>18</x:v>
      </x:c>
      <x:c r="G2813" s="2" t="n">
        <x:v>13</x:v>
      </x:c>
      <x:c r="H2813" s="11" t="n">
        <x:v>9001.08</x:v>
      </x:c>
      <x:c r="I2813" s="2" t="n">
        <x:v>5</x:v>
      </x:c>
      <x:c r="J2813" s="2" t="n">
        <x:v>5</x:v>
      </x:c>
      <x:c r="K2813" s="2" t="n">
        <x:v>5</x:v>
      </x:c>
      <x:c r="L2813" s="2" t="str">
        <x:v>Champions</x:v>
      </x:c>
    </x:row>
    <x:row r="2814" ht="22" customHeight="1">
      <x:c r="A2814" s="2"/>
      <x:c r="B2814" s="2" t="str">
        <x:v>15151</x:v>
      </x:c>
      <x:c r="C2814" s="2" t="str">
        <x:v>United Kingdom</x:v>
      </x:c>
      <x:c r="D2814" s="25" t="n">
        <x:v>40377.30486111111</x:v>
      </x:c>
      <x:c r="E2814" s="25" t="n">
        <x:v>40463.48402777778</x:v>
      </x:c>
      <x:c r="F2814" s="2" t="n">
        <x:v>424</x:v>
      </x:c>
      <x:c r="G2814" s="2" t="n">
        <x:v>2</x:v>
      </x:c>
      <x:c r="H2814" s="11" t="n">
        <x:v>2085.61</x:v>
      </x:c>
      <x:c r="I2814" s="2" t="n">
        <x:v>1</x:v>
      </x:c>
      <x:c r="J2814" s="2" t="n">
        <x:v>2</x:v>
      </x:c>
      <x:c r="K2814" s="2" t="n">
        <x:v>4</x:v>
      </x:c>
      <x:c r="L2814" s="2" t="str">
        <x:v>Hibernating</x:v>
      </x:c>
    </x:row>
    <x:row r="2815" ht="22" customHeight="1">
      <x:c r="A2815" s="2"/>
      <x:c r="B2815" s="2" t="str">
        <x:v>15152</x:v>
      </x:c>
      <x:c r="C2815" s="2" t="str">
        <x:v>United Kingdom</x:v>
      </x:c>
      <x:c r="D2815" s="25" t="n">
        <x:v>40185.427083333336</x:v>
      </x:c>
      <x:c r="E2815" s="25" t="n">
        <x:v>40877.313888888886</x:v>
      </x:c>
      <x:c r="F2815" s="2" t="n">
        <x:v>10</x:v>
      </x:c>
      <x:c r="G2815" s="2" t="n">
        <x:v>14</x:v>
      </x:c>
      <x:c r="H2815" s="11" t="n">
        <x:v>5263.83</x:v>
      </x:c>
      <x:c r="I2815" s="2" t="n">
        <x:v>5</x:v>
      </x:c>
      <x:c r="J2815" s="2" t="n">
        <x:v>5</x:v>
      </x:c>
      <x:c r="K2815" s="2" t="n">
        <x:v>5</x:v>
      </x:c>
      <x:c r="L2815" s="2" t="str">
        <x:v>Champions</x:v>
      </x:c>
    </x:row>
    <x:row r="2816" ht="22" customHeight="1">
      <x:c r="A2816" s="2"/>
      <x:c r="B2816" s="2" t="str">
        <x:v>15153</x:v>
      </x:c>
      <x:c r="C2816" s="2" t="str">
        <x:v>United Kingdom</x:v>
      </x:c>
      <x:c r="D2816" s="25" t="n">
        <x:v>40855.50625</x:v>
      </x:c>
      <x:c r="E2816" s="25" t="n">
        <x:v>40855.50625</x:v>
      </x:c>
      <x:c r="F2816" s="2" t="n">
        <x:v>32</x:v>
      </x:c>
      <x:c r="G2816" s="2" t="n">
        <x:v>1</x:v>
      </x:c>
      <x:c r="H2816" s="11" t="n">
        <x:v>329.25</x:v>
      </x:c>
      <x:c r="I2816" s="2" t="n">
        <x:v>4</x:v>
      </x:c>
      <x:c r="J2816" s="2" t="n">
        <x:v>1</x:v>
      </x:c>
      <x:c r="K2816" s="2" t="n">
        <x:v>2</x:v>
      </x:c>
      <x:c r="L2816" s="2" t="str">
        <x:v>Recent light buyers</x:v>
      </x:c>
    </x:row>
    <x:row r="2817" ht="22" customHeight="1">
      <x:c r="A2817" s="2"/>
      <x:c r="B2817" s="2" t="str">
        <x:v>15154</x:v>
      </x:c>
      <x:c r="C2817" s="2" t="str">
        <x:v>United Kingdom</x:v>
      </x:c>
      <x:c r="D2817" s="25" t="n">
        <x:v>40408.52847222222</x:v>
      </x:c>
      <x:c r="E2817" s="25" t="n">
        <x:v>40811.461805555555</x:v>
      </x:c>
      <x:c r="F2817" s="2" t="n">
        <x:v>76</x:v>
      </x:c>
      <x:c r="G2817" s="2" t="n">
        <x:v>3</x:v>
      </x:c>
      <x:c r="H2817" s="11" t="n">
        <x:v>1388.41</x:v>
      </x:c>
      <x:c r="I2817" s="2" t="n">
        <x:v>3</x:v>
      </x:c>
      <x:c r="J2817" s="2" t="n">
        <x:v>3</x:v>
      </x:c>
      <x:c r="K2817" s="2" t="n">
        <x:v>4</x:v>
      </x:c>
      <x:c r="L2817" s="2" t="str">
        <x:v>Loyal</x:v>
      </x:c>
    </x:row>
    <x:row r="2818" ht="22" customHeight="1">
      <x:c r="A2818" s="2"/>
      <x:c r="B2818" s="2" t="str">
        <x:v>15155</x:v>
      </x:c>
      <x:c r="C2818" s="2" t="str">
        <x:v>United Kingdom</x:v>
      </x:c>
      <x:c r="D2818" s="25" t="n">
        <x:v>40503.33263888889</x:v>
      </x:c>
      <x:c r="E2818" s="25" t="n">
        <x:v>40503.33263888889</x:v>
      </x:c>
      <x:c r="F2818" s="2" t="n">
        <x:v>384</x:v>
      </x:c>
      <x:c r="G2818" s="2" t="n">
        <x:v>1</x:v>
      </x:c>
      <x:c r="H2818" s="11" t="n">
        <x:v>383.97</x:v>
      </x:c>
      <x:c r="I2818" s="2" t="n">
        <x:v>2</x:v>
      </x:c>
      <x:c r="J2818" s="2" t="n">
        <x:v>1</x:v>
      </x:c>
      <x:c r="K2818" s="2" t="n">
        <x:v>2</x:v>
      </x:c>
      <x:c r="L2818" s="2" t="str">
        <x:v>Hibernating</x:v>
      </x:c>
    </x:row>
    <x:row r="2819" ht="22" customHeight="1">
      <x:c r="A2819" s="2"/>
      <x:c r="B2819" s="2" t="str">
        <x:v>15156</x:v>
      </x:c>
      <x:c r="C2819" s="2" t="str">
        <x:v>United Kingdom</x:v>
      </x:c>
      <x:c r="D2819" s="25" t="n">
        <x:v>40853.32013888889</x:v>
      </x:c>
      <x:c r="E2819" s="25" t="n">
        <x:v>40885.55694444444</x:v>
      </x:c>
      <x:c r="F2819" s="2" t="n">
        <x:v>2</x:v>
      </x:c>
      <x:c r="G2819" s="2" t="n">
        <x:v>3</x:v>
      </x:c>
      <x:c r="H2819" s="11" t="n">
        <x:v>961.49</x:v>
      </x:c>
      <x:c r="I2819" s="2" t="n">
        <x:v>5</x:v>
      </x:c>
      <x:c r="J2819" s="2" t="n">
        <x:v>3</x:v>
      </x:c>
      <x:c r="K2819" s="2" t="n">
        <x:v>3</x:v>
      </x:c>
      <x:c r="L2819" s="2" t="str">
        <x:v>Loyal</x:v>
      </x:c>
    </x:row>
    <x:row r="2820" ht="22" customHeight="1">
      <x:c r="A2820" s="2"/>
      <x:c r="B2820" s="2" t="str">
        <x:v>15157</x:v>
      </x:c>
      <x:c r="C2820" s="2" t="str">
        <x:v>United Kingdom</x:v>
      </x:c>
      <x:c r="D2820" s="25" t="n">
        <x:v>40157.40555555555</x:v>
      </x:c>
      <x:c r="E2820" s="25" t="n">
        <x:v>40883.26944444444</x:v>
      </x:c>
      <x:c r="F2820" s="2" t="n">
        <x:v>4</x:v>
      </x:c>
      <x:c r="G2820" s="2" t="n">
        <x:v>5</x:v>
      </x:c>
      <x:c r="H2820" s="11" t="n">
        <x:v>2654.11</x:v>
      </x:c>
      <x:c r="I2820" s="2" t="n">
        <x:v>5</x:v>
      </x:c>
      <x:c r="J2820" s="2" t="n">
        <x:v>4</x:v>
      </x:c>
      <x:c r="K2820" s="2" t="n">
        <x:v>4</x:v>
      </x:c>
      <x:c r="L2820" s="2" t="str">
        <x:v>Champions</x:v>
      </x:c>
    </x:row>
    <x:row r="2821" ht="22" customHeight="1">
      <x:c r="A2821" s="2"/>
      <x:c r="B2821" s="2" t="str">
        <x:v>15158</x:v>
      </x:c>
      <x:c r="C2821" s="2" t="str">
        <x:v>United Kingdom</x:v>
      </x:c>
      <x:c r="D2821" s="25" t="n">
        <x:v>40485.365277777775</x:v>
      </x:c>
      <x:c r="E2821" s="25" t="n">
        <x:v>40841.37013888889</x:v>
      </x:c>
      <x:c r="F2821" s="2" t="n">
        <x:v>46</x:v>
      </x:c>
      <x:c r="G2821" s="2" t="n">
        <x:v>2</x:v>
      </x:c>
      <x:c r="H2821" s="11" t="n">
        <x:v>606.02</x:v>
      </x:c>
      <x:c r="I2821" s="2" t="n">
        <x:v>4</x:v>
      </x:c>
      <x:c r="J2821" s="2" t="n">
        <x:v>2</x:v>
      </x:c>
      <x:c r="K2821" s="2" t="n">
        <x:v>2</x:v>
      </x:c>
      <x:c r="L2821" s="2" t="str">
        <x:v>Recent light buyers</x:v>
      </x:c>
    </x:row>
    <x:row r="2822" ht="22" customHeight="1">
      <x:c r="A2822" s="2"/>
      <x:c r="B2822" s="2" t="str">
        <x:v>15159</x:v>
      </x:c>
      <x:c r="C2822" s="2" t="str">
        <x:v>United Kingdom</x:v>
      </x:c>
      <x:c r="D2822" s="25" t="n">
        <x:v>40455.18819444445</x:v>
      </x:c>
      <x:c r="E2822" s="25" t="n">
        <x:v>40885.29513888889</x:v>
      </x:c>
      <x:c r="F2822" s="2" t="n">
        <x:v>2</x:v>
      </x:c>
      <x:c r="G2822" s="2" t="n">
        <x:v>34</x:v>
      </x:c>
      <x:c r="H2822" s="11" t="n">
        <x:v>22116.73</x:v>
      </x:c>
      <x:c r="I2822" s="2" t="n">
        <x:v>5</x:v>
      </x:c>
      <x:c r="J2822" s="2" t="n">
        <x:v>5</x:v>
      </x:c>
      <x:c r="K2822" s="2" t="n">
        <x:v>5</x:v>
      </x:c>
      <x:c r="L2822" s="2" t="str">
        <x:v>Champions</x:v>
      </x:c>
    </x:row>
    <x:row r="2823" ht="22" customHeight="1">
      <x:c r="A2823" s="2"/>
      <x:c r="B2823" s="2" t="str">
        <x:v>15160</x:v>
      </x:c>
      <x:c r="C2823" s="2" t="str">
        <x:v>United Kingdom</x:v>
      </x:c>
      <x:c r="D2823" s="25" t="n">
        <x:v>40465.43472222222</x:v>
      </x:c>
      <x:c r="E2823" s="25" t="n">
        <x:v>40529.385416666664</x:v>
      </x:c>
      <x:c r="F2823" s="2" t="n">
        <x:v>358</x:v>
      </x:c>
      <x:c r="G2823" s="2" t="n">
        <x:v>4</x:v>
      </x:c>
      <x:c r="H2823" s="11" t="n">
        <x:v>589.27</x:v>
      </x:c>
      <x:c r="I2823" s="2" t="n">
        <x:v>2</x:v>
      </x:c>
      <x:c r="J2823" s="2" t="n">
        <x:v>3</x:v>
      </x:c>
      <x:c r="K2823" s="2" t="n">
        <x:v>2</x:v>
      </x:c>
      <x:c r="L2823" s="2" t="str">
        <x:v>At risk</x:v>
      </x:c>
    </x:row>
    <x:row r="2824" ht="22" customHeight="1">
      <x:c r="A2824" s="2"/>
      <x:c r="B2824" s="2" t="str">
        <x:v>15161</x:v>
      </x:c>
      <x:c r="C2824" s="2" t="str">
        <x:v>United Kingdom</x:v>
      </x:c>
      <x:c r="D2824" s="25" t="n">
        <x:v>40498.46388888889</x:v>
      </x:c>
      <x:c r="E2824" s="25" t="n">
        <x:v>40498.46388888889</x:v>
      </x:c>
      <x:c r="F2824" s="2" t="n">
        <x:v>389</x:v>
      </x:c>
      <x:c r="G2824" s="2" t="n">
        <x:v>1</x:v>
      </x:c>
      <x:c r="H2824" s="11" t="n">
        <x:v>119.92</x:v>
      </x:c>
      <x:c r="I2824" s="2" t="n">
        <x:v>2</x:v>
      </x:c>
      <x:c r="J2824" s="2" t="n">
        <x:v>1</x:v>
      </x:c>
      <x:c r="K2824" s="2" t="n">
        <x:v>1</x:v>
      </x:c>
      <x:c r="L2824" s="2" t="str">
        <x:v>Hibernating</x:v>
      </x:c>
    </x:row>
    <x:row r="2825" ht="22" customHeight="1">
      <x:c r="A2825" s="2"/>
      <x:c r="B2825" s="2" t="str">
        <x:v>15162</x:v>
      </x:c>
      <x:c r="C2825" s="2" t="str">
        <x:v>United Kingdom</x:v>
      </x:c>
      <x:c r="D2825" s="25" t="n">
        <x:v>40155.34305555555</x:v>
      </x:c>
      <x:c r="E2825" s="25" t="n">
        <x:v>40155.34305555555</x:v>
      </x:c>
      <x:c r="F2825" s="2" t="n">
        <x:v>732</x:v>
      </x:c>
      <x:c r="G2825" s="2" t="n">
        <x:v>1</x:v>
      </x:c>
      <x:c r="H2825" s="11" t="n">
        <x:v>312.9</x:v>
      </x:c>
      <x:c r="I2825" s="2" t="n">
        <x:v>1</x:v>
      </x:c>
      <x:c r="J2825" s="2" t="n">
        <x:v>1</x:v>
      </x:c>
      <x:c r="K2825" s="2" t="n">
        <x:v>2</x:v>
      </x:c>
      <x:c r="L2825" s="2" t="str">
        <x:v>Hibernating</x:v>
      </x:c>
    </x:row>
    <x:row r="2826" ht="22" customHeight="1">
      <x:c r="A2826" s="2"/>
      <x:c r="B2826" s="2" t="str">
        <x:v>15163</x:v>
      </x:c>
      <x:c r="C2826" s="2" t="str">
        <x:v>United Kingdom</x:v>
      </x:c>
      <x:c r="D2826" s="25" t="n">
        <x:v>40694.43194444444</x:v>
      </x:c>
      <x:c r="E2826" s="25" t="n">
        <x:v>40868.34027777778</x:v>
      </x:c>
      <x:c r="F2826" s="2" t="n">
        <x:v>19</x:v>
      </x:c>
      <x:c r="G2826" s="2" t="n">
        <x:v>2</x:v>
      </x:c>
      <x:c r="H2826" s="11" t="n">
        <x:v>304.47</x:v>
      </x:c>
      <x:c r="I2826" s="2" t="n">
        <x:v>5</x:v>
      </x:c>
      <x:c r="J2826" s="2" t="n">
        <x:v>2</x:v>
      </x:c>
      <x:c r="K2826" s="2" t="n">
        <x:v>2</x:v>
      </x:c>
      <x:c r="L2826" s="2" t="str">
        <x:v>Recent light buyers</x:v>
      </x:c>
    </x:row>
    <x:row r="2827" ht="22" customHeight="1">
      <x:c r="A2827" s="2"/>
      <x:c r="B2827" s="2" t="str">
        <x:v>15164</x:v>
      </x:c>
      <x:c r="C2827" s="2" t="str">
        <x:v>United Kingdom</x:v>
      </x:c>
      <x:c r="D2827" s="25" t="n">
        <x:v>40196.356944444444</x:v>
      </x:c>
      <x:c r="E2827" s="25" t="n">
        <x:v>40818.29513888889</x:v>
      </x:c>
      <x:c r="F2827" s="2" t="n">
        <x:v>69</x:v>
      </x:c>
      <x:c r="G2827" s="2" t="n">
        <x:v>9</x:v>
      </x:c>
      <x:c r="H2827" s="11" t="n">
        <x:v>2068.92</x:v>
      </x:c>
      <x:c r="I2827" s="2" t="n">
        <x:v>3</x:v>
      </x:c>
      <x:c r="J2827" s="2" t="n">
        <x:v>5</x:v>
      </x:c>
      <x:c r="K2827" s="2" t="n">
        <x:v>4</x:v>
      </x:c>
      <x:c r="L2827" s="2" t="str">
        <x:v>Loyal</x:v>
      </x:c>
    </x:row>
    <x:row r="2828" ht="22" customHeight="1">
      <x:c r="A2828" s="2"/>
      <x:c r="B2828" s="2" t="str">
        <x:v>15165</x:v>
      </x:c>
      <x:c r="C2828" s="2" t="str">
        <x:v>United Kingdom</x:v>
      </x:c>
      <x:c r="D2828" s="25" t="n">
        <x:v>40513.37708333333</x:v>
      </x:c>
      <x:c r="E2828" s="25" t="n">
        <x:v>40513.37708333333</x:v>
      </x:c>
      <x:c r="F2828" s="2" t="n">
        <x:v>374</x:v>
      </x:c>
      <x:c r="G2828" s="2" t="n">
        <x:v>1</x:v>
      </x:c>
      <x:c r="H2828" s="11" t="n">
        <x:v>487.75</x:v>
      </x:c>
      <x:c r="I2828" s="2" t="n">
        <x:v>2</x:v>
      </x:c>
      <x:c r="J2828" s="2" t="n">
        <x:v>1</x:v>
      </x:c>
      <x:c r="K2828" s="2" t="n">
        <x:v>2</x:v>
      </x:c>
      <x:c r="L2828" s="2" t="str">
        <x:v>Hibernating</x:v>
      </x:c>
    </x:row>
    <x:row r="2829" ht="22" customHeight="1">
      <x:c r="A2829" s="2"/>
      <x:c r="B2829" s="2" t="str">
        <x:v>15166</x:v>
      </x:c>
      <x:c r="C2829" s="2" t="str">
        <x:v>United Kingdom</x:v>
      </x:c>
      <x:c r="D2829" s="25" t="n">
        <x:v>40419.31319444445</x:v>
      </x:c>
      <x:c r="E2829" s="25" t="n">
        <x:v>40419.31319444445</x:v>
      </x:c>
      <x:c r="F2829" s="2" t="n">
        <x:v>468</x:v>
      </x:c>
      <x:c r="G2829" s="2" t="n">
        <x:v>1</x:v>
      </x:c>
      <x:c r="H2829" s="11" t="n">
        <x:v>167.16</x:v>
      </x:c>
      <x:c r="I2829" s="2" t="n">
        <x:v>1</x:v>
      </x:c>
      <x:c r="J2829" s="2" t="n">
        <x:v>1</x:v>
      </x:c>
      <x:c r="K2829" s="2" t="n">
        <x:v>1</x:v>
      </x:c>
      <x:c r="L2829" s="2" t="str">
        <x:v>Hibernating</x:v>
      </x:c>
    </x:row>
    <x:row r="2830" ht="22" customHeight="1">
      <x:c r="A2830" s="2"/>
      <x:c r="B2830" s="2" t="str">
        <x:v>15167</x:v>
      </x:c>
      <x:c r="C2830" s="2" t="str">
        <x:v>United Kingdom</x:v>
      </x:c>
      <x:c r="D2830" s="25" t="n">
        <x:v>40213.38402777778</x:v>
      </x:c>
      <x:c r="E2830" s="25" t="n">
        <x:v>40566.32013888889</x:v>
      </x:c>
      <x:c r="F2830" s="2" t="n">
        <x:v>321</x:v>
      </x:c>
      <x:c r="G2830" s="2" t="n">
        <x:v>5</x:v>
      </x:c>
      <x:c r="H2830" s="11" t="n">
        <x:v>1659.67</x:v>
      </x:c>
      <x:c r="I2830" s="2" t="n">
        <x:v>2</x:v>
      </x:c>
      <x:c r="J2830" s="2" t="n">
        <x:v>4</x:v>
      </x:c>
      <x:c r="K2830" s="2" t="n">
        <x:v>4</x:v>
      </x:c>
      <x:c r="L2830" s="2" t="str">
        <x:v>At risk</x:v>
      </x:c>
    </x:row>
    <x:row r="2831" ht="22" customHeight="1">
      <x:c r="A2831" s="2"/>
      <x:c r="B2831" s="2" t="str">
        <x:v>15168</x:v>
      </x:c>
      <x:c r="C2831" s="2" t="str">
        <x:v>United Kingdom</x:v>
      </x:c>
      <x:c r="D2831" s="25" t="n">
        <x:v>40861.268055555556</x:v>
      </x:c>
      <x:c r="E2831" s="25" t="n">
        <x:v>40861.268055555556</x:v>
      </x:c>
      <x:c r="F2831" s="2" t="n">
        <x:v>26</x:v>
      </x:c>
      <x:c r="G2831" s="2" t="n">
        <x:v>1</x:v>
      </x:c>
      <x:c r="H2831" s="11" t="n">
        <x:v>106.56</x:v>
      </x:c>
      <x:c r="I2831" s="2" t="n">
        <x:v>4</x:v>
      </x:c>
      <x:c r="J2831" s="2" t="n">
        <x:v>1</x:v>
      </x:c>
      <x:c r="K2831" s="2" t="n">
        <x:v>1</x:v>
      </x:c>
      <x:c r="L2831" s="2" t="str">
        <x:v>Recent light buyers</x:v>
      </x:c>
    </x:row>
    <x:row r="2832" ht="22" customHeight="1">
      <x:c r="A2832" s="2"/>
      <x:c r="B2832" s="2" t="str">
        <x:v>15169</x:v>
      </x:c>
      <x:c r="C2832" s="2" t="str">
        <x:v>United Kingdom</x:v>
      </x:c>
      <x:c r="D2832" s="25" t="n">
        <x:v>40160.26111111111</x:v>
      </x:c>
      <x:c r="E2832" s="25" t="n">
        <x:v>40504.33611111111</x:v>
      </x:c>
      <x:c r="F2832" s="2" t="n">
        <x:v>383</x:v>
      </x:c>
      <x:c r="G2832" s="2" t="n">
        <x:v>2</x:v>
      </x:c>
      <x:c r="H2832" s="11" t="n">
        <x:v>569.22</x:v>
      </x:c>
      <x:c r="I2832" s="2" t="n">
        <x:v>2</x:v>
      </x:c>
      <x:c r="J2832" s="2" t="n">
        <x:v>2</x:v>
      </x:c>
      <x:c r="K2832" s="2" t="n">
        <x:v>2</x:v>
      </x:c>
      <x:c r="L2832" s="2" t="str">
        <x:v>Hibernating</x:v>
      </x:c>
    </x:row>
    <x:row r="2833" ht="22" customHeight="1">
      <x:c r="A2833" s="2"/>
      <x:c r="B2833" s="2" t="str">
        <x:v>15170</x:v>
      </x:c>
      <x:c r="C2833" s="2" t="str">
        <x:v>United Kingdom</x:v>
      </x:c>
      <x:c r="D2833" s="25" t="n">
        <x:v>40480.231944444444</x:v>
      </x:c>
      <x:c r="E2833" s="25" t="n">
        <x:v>40480.231944444444</x:v>
      </x:c>
      <x:c r="F2833" s="2" t="n">
        <x:v>407</x:v>
      </x:c>
      <x:c r="G2833" s="2" t="n">
        <x:v>1</x:v>
      </x:c>
      <x:c r="H2833" s="11" t="n">
        <x:v>81.15</x:v>
      </x:c>
      <x:c r="I2833" s="2" t="n">
        <x:v>2</x:v>
      </x:c>
      <x:c r="J2833" s="2" t="n">
        <x:v>1</x:v>
      </x:c>
      <x:c r="K2833" s="2" t="n">
        <x:v>1</x:v>
      </x:c>
      <x:c r="L2833" s="2" t="str">
        <x:v>Hibernating</x:v>
      </x:c>
    </x:row>
    <x:row r="2834" ht="22" customHeight="1">
      <x:c r="A2834" s="2"/>
      <x:c r="B2834" s="2" t="str">
        <x:v>15171</x:v>
      </x:c>
      <x:c r="C2834" s="2" t="str">
        <x:v>United Kingdom</x:v>
      </x:c>
      <x:c r="D2834" s="25" t="n">
        <x:v>40555.441666666666</x:v>
      </x:c>
      <x:c r="E2834" s="25" t="n">
        <x:v>40555.441666666666</x:v>
      </x:c>
      <x:c r="F2834" s="2" t="n">
        <x:v>332</x:v>
      </x:c>
      <x:c r="G2834" s="2" t="n">
        <x:v>1</x:v>
      </x:c>
      <x:c r="H2834" s="11" t="n">
        <x:v>1289.5</x:v>
      </x:c>
      <x:c r="I2834" s="2" t="n">
        <x:v>2</x:v>
      </x:c>
      <x:c r="J2834" s="2" t="n">
        <x:v>1</x:v>
      </x:c>
      <x:c r="K2834" s="2" t="n">
        <x:v>4</x:v>
      </x:c>
      <x:c r="L2834" s="2" t="str">
        <x:v>Hibernating</x:v>
      </x:c>
    </x:row>
    <x:row r="2835" ht="22" customHeight="1">
      <x:c r="A2835" s="2"/>
      <x:c r="B2835" s="2" t="str">
        <x:v>15172</x:v>
      </x:c>
      <x:c r="C2835" s="2" t="str">
        <x:v>United Kingdom</x:v>
      </x:c>
      <x:c r="D2835" s="25" t="n">
        <x:v>40650.28888888889</x:v>
      </x:c>
      <x:c r="E2835" s="25" t="n">
        <x:v>40878.285416666666</x:v>
      </x:c>
      <x:c r="F2835" s="2" t="n">
        <x:v>9</x:v>
      </x:c>
      <x:c r="G2835" s="2" t="n">
        <x:v>5</x:v>
      </x:c>
      <x:c r="H2835" s="11" t="n">
        <x:v>1624.05</x:v>
      </x:c>
      <x:c r="I2835" s="2" t="n">
        <x:v>5</x:v>
      </x:c>
      <x:c r="J2835" s="2" t="n">
        <x:v>4</x:v>
      </x:c>
      <x:c r="K2835" s="2" t="n">
        <x:v>4</x:v>
      </x:c>
      <x:c r="L2835" s="2" t="str">
        <x:v>Champions</x:v>
      </x:c>
    </x:row>
    <x:row r="2836" ht="22" customHeight="1">
      <x:c r="A2836" s="2"/>
      <x:c r="B2836" s="2" t="str">
        <x:v>15173</x:v>
      </x:c>
      <x:c r="C2836" s="2" t="str">
        <x:v>United Kingdom</x:v>
      </x:c>
      <x:c r="D2836" s="25" t="n">
        <x:v>40269.30972222222</x:v>
      </x:c>
      <x:c r="E2836" s="25" t="n">
        <x:v>40506.222916666666</x:v>
      </x:c>
      <x:c r="F2836" s="2" t="n">
        <x:v>381</x:v>
      </x:c>
      <x:c r="G2836" s="2" t="n">
        <x:v>7</x:v>
      </x:c>
      <x:c r="H2836" s="11" t="n">
        <x:v>1494.6</x:v>
      </x:c>
      <x:c r="I2836" s="2" t="n">
        <x:v>2</x:v>
      </x:c>
      <x:c r="J2836" s="2" t="n">
        <x:v>4</x:v>
      </x:c>
      <x:c r="K2836" s="2" t="n">
        <x:v>4</x:v>
      </x:c>
      <x:c r="L2836" s="2" t="str">
        <x:v>At risk</x:v>
      </x:c>
    </x:row>
    <x:row r="2837" ht="22" customHeight="1">
      <x:c r="A2837" s="2"/>
      <x:c r="B2837" s="2" t="str">
        <x:v>15174</x:v>
      </x:c>
      <x:c r="C2837" s="2" t="str">
        <x:v>United Kingdom</x:v>
      </x:c>
      <x:c r="D2837" s="25" t="n">
        <x:v>40476.194444444445</x:v>
      </x:c>
      <x:c r="E2837" s="25" t="n">
        <x:v>40564.17083333333</x:v>
      </x:c>
      <x:c r="F2837" s="2" t="n">
        <x:v>323</x:v>
      </x:c>
      <x:c r="G2837" s="2" t="n">
        <x:v>2</x:v>
      </x:c>
      <x:c r="H2837" s="11" t="n">
        <x:v>481.46</x:v>
      </x:c>
      <x:c r="I2837" s="2" t="n">
        <x:v>2</x:v>
      </x:c>
      <x:c r="J2837" s="2" t="n">
        <x:v>2</x:v>
      </x:c>
      <x:c r="K2837" s="2" t="n">
        <x:v>2</x:v>
      </x:c>
      <x:c r="L2837" s="2" t="str">
        <x:v>Hibernating</x:v>
      </x:c>
    </x:row>
    <x:row r="2838" ht="22" customHeight="1">
      <x:c r="A2838" s="2"/>
      <x:c r="B2838" s="2" t="str">
        <x:v>15175</x:v>
      </x:c>
      <x:c r="C2838" s="2" t="str">
        <x:v>United Kingdom</x:v>
      </x:c>
      <x:c r="D2838" s="25" t="n">
        <x:v>40815.271527777775</x:v>
      </x:c>
      <x:c r="E2838" s="25" t="n">
        <x:v>40815.271527777775</x:v>
      </x:c>
      <x:c r="F2838" s="2" t="n">
        <x:v>72</x:v>
      </x:c>
      <x:c r="G2838" s="2" t="n">
        <x:v>1</x:v>
      </x:c>
      <x:c r="H2838" s="11" t="n">
        <x:v>224.14</x:v>
      </x:c>
      <x:c r="I2838" s="2" t="n">
        <x:v>3</x:v>
      </x:c>
      <x:c r="J2838" s="2" t="n">
        <x:v>1</x:v>
      </x:c>
      <x:c r="K2838" s="2" t="n">
        <x:v>1</x:v>
      </x:c>
      <x:c r="L2838" s="2" t="str">
        <x:v>Developing</x:v>
      </x:c>
    </x:row>
    <x:row r="2839" ht="22" customHeight="1">
      <x:c r="A2839" s="2"/>
      <x:c r="B2839" s="2" t="str">
        <x:v>15176</x:v>
      </x:c>
      <x:c r="C2839" s="2" t="str">
        <x:v>United Kingdom</x:v>
      </x:c>
      <x:c r="D2839" s="25" t="n">
        <x:v>40219.23333333333</x:v>
      </x:c>
      <x:c r="E2839" s="25" t="n">
        <x:v>40219.23333333333</x:v>
      </x:c>
      <x:c r="F2839" s="2" t="n">
        <x:v>668</x:v>
      </x:c>
      <x:c r="G2839" s="2" t="n">
        <x:v>1</x:v>
      </x:c>
      <x:c r="H2839" s="11" t="n">
        <x:v>988.04</x:v>
      </x:c>
      <x:c r="I2839" s="2" t="n">
        <x:v>1</x:v>
      </x:c>
      <x:c r="J2839" s="2" t="n">
        <x:v>1</x:v>
      </x:c>
      <x:c r="K2839" s="2" t="n">
        <x:v>3</x:v>
      </x:c>
      <x:c r="L2839" s="2" t="str">
        <x:v>Hibernating</x:v>
      </x:c>
    </x:row>
    <x:row r="2840" ht="22" customHeight="1">
      <x:c r="A2840" s="2"/>
      <x:c r="B2840" s="2" t="str">
        <x:v>15177</x:v>
      </x:c>
      <x:c r="C2840" s="2" t="str">
        <x:v>United Kingdom</x:v>
      </x:c>
      <x:c r="D2840" s="25" t="n">
        <x:v>40461.325</x:v>
      </x:c>
      <x:c r="E2840" s="25" t="n">
        <x:v>40461.325</x:v>
      </x:c>
      <x:c r="F2840" s="2" t="n">
        <x:v>426</x:v>
      </x:c>
      <x:c r="G2840" s="2" t="n">
        <x:v>1</x:v>
      </x:c>
      <x:c r="H2840" s="11" t="n">
        <x:v>948.93</x:v>
      </x:c>
      <x:c r="I2840" s="2" t="n">
        <x:v>1</x:v>
      </x:c>
      <x:c r="J2840" s="2" t="n">
        <x:v>1</x:v>
      </x:c>
      <x:c r="K2840" s="2" t="n">
        <x:v>3</x:v>
      </x:c>
      <x:c r="L2840" s="2" t="str">
        <x:v>Hibernating</x:v>
      </x:c>
    </x:row>
    <x:row r="2841" ht="22" customHeight="1">
      <x:c r="A2841" s="2"/>
      <x:c r="B2841" s="2" t="str">
        <x:v>15178</x:v>
      </x:c>
      <x:c r="C2841" s="2" t="str">
        <x:v>United Kingdom</x:v>
      </x:c>
      <x:c r="D2841" s="25" t="n">
        <x:v>40626.425</x:v>
      </x:c>
      <x:c r="E2841" s="25" t="n">
        <x:v>40626.425</x:v>
      </x:c>
      <x:c r="F2841" s="2" t="n">
        <x:v>261</x:v>
      </x:c>
      <x:c r="G2841" s="2" t="n">
        <x:v>1</x:v>
      </x:c>
      <x:c r="H2841" s="11" t="n">
        <x:v>40.5</x:v>
      </x:c>
      <x:c r="I2841" s="2" t="n">
        <x:v>2</x:v>
      </x:c>
      <x:c r="J2841" s="2" t="n">
        <x:v>1</x:v>
      </x:c>
      <x:c r="K2841" s="2" t="n">
        <x:v>1</x:v>
      </x:c>
      <x:c r="L2841" s="2" t="str">
        <x:v>Hibernating</x:v>
      </x:c>
    </x:row>
    <x:row r="2842" ht="22" customHeight="1">
      <x:c r="A2842" s="2"/>
      <x:c r="B2842" s="2" t="str">
        <x:v>15179</x:v>
      </x:c>
      <x:c r="C2842" s="2" t="str">
        <x:v>United Kingdom</x:v>
      </x:c>
      <x:c r="D2842" s="25" t="n">
        <x:v>40150.31041666667</x:v>
      </x:c>
      <x:c r="E2842" s="25" t="n">
        <x:v>40868.32847222222</x:v>
      </x:c>
      <x:c r="F2842" s="2" t="n">
        <x:v>19</x:v>
      </x:c>
      <x:c r="G2842" s="2" t="n">
        <x:v>13</x:v>
      </x:c>
      <x:c r="H2842" s="11" t="n">
        <x:v>7491.92</x:v>
      </x:c>
      <x:c r="I2842" s="2" t="n">
        <x:v>5</x:v>
      </x:c>
      <x:c r="J2842" s="2" t="n">
        <x:v>5</x:v>
      </x:c>
      <x:c r="K2842" s="2" t="n">
        <x:v>5</x:v>
      </x:c>
      <x:c r="L2842" s="2" t="str">
        <x:v>Champions</x:v>
      </x:c>
    </x:row>
    <x:row r="2843" ht="22" customHeight="1">
      <x:c r="A2843" s="2"/>
      <x:c r="B2843" s="2" t="str">
        <x:v>15180</x:v>
      </x:c>
      <x:c r="C2843" s="2" t="str">
        <x:v>United Kingdom</x:v>
      </x:c>
      <x:c r="D2843" s="25" t="n">
        <x:v>40297.43541666667</x:v>
      </x:c>
      <x:c r="E2843" s="25" t="n">
        <x:v>40519.41458333333</x:v>
      </x:c>
      <x:c r="F2843" s="2" t="n">
        <x:v>368</x:v>
      </x:c>
      <x:c r="G2843" s="2" t="n">
        <x:v>3</x:v>
      </x:c>
      <x:c r="H2843" s="11" t="n">
        <x:v>816.93</x:v>
      </x:c>
      <x:c r="I2843" s="2" t="n">
        <x:v>2</x:v>
      </x:c>
      <x:c r="J2843" s="2" t="n">
        <x:v>3</x:v>
      </x:c>
      <x:c r="K2843" s="2" t="n">
        <x:v>3</x:v>
      </x:c>
      <x:c r="L2843" s="2" t="str">
        <x:v>At risk</x:v>
      </x:c>
    </x:row>
    <x:row r="2844" ht="22" customHeight="1">
      <x:c r="A2844" s="2"/>
      <x:c r="B2844" s="2" t="str">
        <x:v>15181</x:v>
      </x:c>
      <x:c r="C2844" s="2" t="str">
        <x:v>United Kingdom</x:v>
      </x:c>
      <x:c r="D2844" s="25" t="n">
        <x:v>40155.58472222222</x:v>
      </x:c>
      <x:c r="E2844" s="25" t="n">
        <x:v>40820.373611111114</x:v>
      </x:c>
      <x:c r="F2844" s="2" t="n">
        <x:v>67</x:v>
      </x:c>
      <x:c r="G2844" s="2" t="n">
        <x:v>5</x:v>
      </x:c>
      <x:c r="H2844" s="11" t="n">
        <x:v>1200.2</x:v>
      </x:c>
      <x:c r="I2844" s="2" t="n">
        <x:v>3</x:v>
      </x:c>
      <x:c r="J2844" s="2" t="n">
        <x:v>4</x:v>
      </x:c>
      <x:c r="K2844" s="2" t="n">
        <x:v>3</x:v>
      </x:c>
      <x:c r="L2844" s="2" t="str">
        <x:v>Loyal</x:v>
      </x:c>
    </x:row>
    <x:row r="2845" ht="22" customHeight="1">
      <x:c r="A2845" s="2"/>
      <x:c r="B2845" s="2" t="str">
        <x:v>15182</x:v>
      </x:c>
      <x:c r="C2845" s="2" t="str">
        <x:v>United Kingdom</x:v>
      </x:c>
      <x:c r="D2845" s="25" t="n">
        <x:v>40230.29375</x:v>
      </x:c>
      <x:c r="E2845" s="25" t="n">
        <x:v>40732.35902777778</x:v>
      </x:c>
      <x:c r="F2845" s="2" t="n">
        <x:v>155</x:v>
      </x:c>
      <x:c r="G2845" s="2" t="n">
        <x:v>11</x:v>
      </x:c>
      <x:c r="H2845" s="11" t="n">
        <x:v>2998.952</x:v>
      </x:c>
      <x:c r="I2845" s="2" t="n">
        <x:v>3</x:v>
      </x:c>
      <x:c r="J2845" s="2" t="n">
        <x:v>5</x:v>
      </x:c>
      <x:c r="K2845" s="2" t="n">
        <x:v>5</x:v>
      </x:c>
      <x:c r="L2845" s="2" t="str">
        <x:v>Loyal</x:v>
      </x:c>
    </x:row>
    <x:row r="2846" ht="22" customHeight="1">
      <x:c r="A2846" s="2"/>
      <x:c r="B2846" s="2" t="str">
        <x:v>15183</x:v>
      </x:c>
      <x:c r="C2846" s="2" t="str">
        <x:v>United Kingdom</x:v>
      </x:c>
      <x:c r="D2846" s="25" t="n">
        <x:v>40302.271527777775</x:v>
      </x:c>
      <x:c r="E2846" s="25" t="n">
        <x:v>40339.23819444444</x:v>
      </x:c>
      <x:c r="F2846" s="2" t="n">
        <x:v>548</x:v>
      </x:c>
      <x:c r="G2846" s="2" t="n">
        <x:v>3</x:v>
      </x:c>
      <x:c r="H2846" s="11" t="n">
        <x:v>639.93</x:v>
      </x:c>
      <x:c r="I2846" s="2" t="n">
        <x:v>1</x:v>
      </x:c>
      <x:c r="J2846" s="2" t="n">
        <x:v>3</x:v>
      </x:c>
      <x:c r="K2846" s="2" t="n">
        <x:v>3</x:v>
      </x:c>
      <x:c r="L2846" s="2" t="str">
        <x:v>At risk</x:v>
      </x:c>
    </x:row>
    <x:row r="2847" ht="22" customHeight="1">
      <x:c r="A2847" s="2"/>
      <x:c r="B2847" s="2" t="str">
        <x:v>15184</x:v>
      </x:c>
      <x:c r="C2847" s="2" t="str">
        <x:v>United Kingdom</x:v>
      </x:c>
      <x:c r="D2847" s="25" t="n">
        <x:v>40163.29583333333</x:v>
      </x:c>
      <x:c r="E2847" s="25" t="n">
        <x:v>40857.361805555556</x:v>
      </x:c>
      <x:c r="F2847" s="2" t="n">
        <x:v>30</x:v>
      </x:c>
      <x:c r="G2847" s="2" t="n">
        <x:v>4</x:v>
      </x:c>
      <x:c r="H2847" s="11" t="n">
        <x:v>689.95</x:v>
      </x:c>
      <x:c r="I2847" s="2" t="n">
        <x:v>4</x:v>
      </x:c>
      <x:c r="J2847" s="2" t="n">
        <x:v>3</x:v>
      </x:c>
      <x:c r="K2847" s="2" t="n">
        <x:v>3</x:v>
      </x:c>
      <x:c r="L2847" s="2" t="str">
        <x:v>Loyal</x:v>
      </x:c>
    </x:row>
    <x:row r="2848" ht="22" customHeight="1">
      <x:c r="A2848" s="2"/>
      <x:c r="B2848" s="2" t="str">
        <x:v>15185</x:v>
      </x:c>
      <x:c r="C2848" s="2" t="str">
        <x:v>United Kingdom</x:v>
      </x:c>
      <x:c r="D2848" s="25" t="n">
        <x:v>40816.379166666666</x:v>
      </x:c>
      <x:c r="E2848" s="25" t="n">
        <x:v>40816.379166666666</x:v>
      </x:c>
      <x:c r="F2848" s="2" t="n">
        <x:v>71</x:v>
      </x:c>
      <x:c r="G2848" s="2" t="n">
        <x:v>1</x:v>
      </x:c>
      <x:c r="H2848" s="11" t="n">
        <x:v>310.62</x:v>
      </x:c>
      <x:c r="I2848" s="2" t="n">
        <x:v>3</x:v>
      </x:c>
      <x:c r="J2848" s="2" t="n">
        <x:v>1</x:v>
      </x:c>
      <x:c r="K2848" s="2" t="n">
        <x:v>2</x:v>
      </x:c>
      <x:c r="L2848" s="2" t="str">
        <x:v>Developing</x:v>
      </x:c>
    </x:row>
    <x:row r="2849" ht="22" customHeight="1">
      <x:c r="A2849" s="2"/>
      <x:c r="B2849" s="2" t="str">
        <x:v>15186</x:v>
      </x:c>
      <x:c r="C2849" s="2" t="str">
        <x:v>United Kingdom</x:v>
      </x:c>
      <x:c r="D2849" s="25" t="n">
        <x:v>40190.21805555555</x:v>
      </x:c>
      <x:c r="E2849" s="25" t="n">
        <x:v>40872.41527777778</x:v>
      </x:c>
      <x:c r="F2849" s="2" t="n">
        <x:v>15</x:v>
      </x:c>
      <x:c r="G2849" s="2" t="n">
        <x:v>5</x:v>
      </x:c>
      <x:c r="H2849" s="11" t="n">
        <x:v>1403.2</x:v>
      </x:c>
      <x:c r="I2849" s="2" t="n">
        <x:v>5</x:v>
      </x:c>
      <x:c r="J2849" s="2" t="n">
        <x:v>4</x:v>
      </x:c>
      <x:c r="K2849" s="2" t="n">
        <x:v>4</x:v>
      </x:c>
      <x:c r="L2849" s="2" t="str">
        <x:v>Champions</x:v>
      </x:c>
    </x:row>
    <x:row r="2850" ht="22" customHeight="1">
      <x:c r="A2850" s="2"/>
      <x:c r="B2850" s="2" t="str">
        <x:v>15187</x:v>
      </x:c>
      <x:c r="C2850" s="2" t="str">
        <x:v>United Kingdom</x:v>
      </x:c>
      <x:c r="D2850" s="25" t="n">
        <x:v>40674.36736111111</x:v>
      </x:c>
      <x:c r="E2850" s="25" t="n">
        <x:v>40885.28888888889</x:v>
      </x:c>
      <x:c r="F2850" s="2" t="n">
        <x:v>2</x:v>
      </x:c>
      <x:c r="G2850" s="2" t="n">
        <x:v>16</x:v>
      </x:c>
      <x:c r="H2850" s="11" t="n">
        <x:v>4777.18</x:v>
      </x:c>
      <x:c r="I2850" s="2" t="n">
        <x:v>5</x:v>
      </x:c>
      <x:c r="J2850" s="2" t="n">
        <x:v>5</x:v>
      </x:c>
      <x:c r="K2850" s="2" t="n">
        <x:v>5</x:v>
      </x:c>
      <x:c r="L2850" s="2" t="str">
        <x:v>Champions</x:v>
      </x:c>
    </x:row>
    <x:row r="2851" ht="22" customHeight="1">
      <x:c r="A2851" s="2"/>
      <x:c r="B2851" s="2" t="str">
        <x:v>15188</x:v>
      </x:c>
      <x:c r="C2851" s="2" t="str">
        <x:v>United Kingdom</x:v>
      </x:c>
      <x:c r="D2851" s="25" t="n">
        <x:v>40161.354166666664</x:v>
      </x:c>
      <x:c r="E2851" s="25" t="n">
        <x:v>40161.354166666664</x:v>
      </x:c>
      <x:c r="F2851" s="2" t="n">
        <x:v>726</x:v>
      </x:c>
      <x:c r="G2851" s="2" t="n">
        <x:v>1</x:v>
      </x:c>
      <x:c r="H2851" s="11" t="n">
        <x:v>310.43</x:v>
      </x:c>
      <x:c r="I2851" s="2" t="n">
        <x:v>1</x:v>
      </x:c>
      <x:c r="J2851" s="2" t="n">
        <x:v>1</x:v>
      </x:c>
      <x:c r="K2851" s="2" t="n">
        <x:v>2</x:v>
      </x:c>
      <x:c r="L2851" s="2" t="str">
        <x:v>Hibernating</x:v>
      </x:c>
    </x:row>
    <x:row r="2852" ht="22" customHeight="1">
      <x:c r="A2852" s="2"/>
      <x:c r="B2852" s="2" t="str">
        <x:v>15189</x:v>
      </x:c>
      <x:c r="C2852" s="2" t="str">
        <x:v>United Kingdom</x:v>
      </x:c>
      <x:c r="D2852" s="25" t="n">
        <x:v>40377.35902777778</x:v>
      </x:c>
      <x:c r="E2852" s="25" t="n">
        <x:v>40885.34861111111</x:v>
      </x:c>
      <x:c r="F2852" s="2" t="n">
        <x:v>2</x:v>
      </x:c>
      <x:c r="G2852" s="2" t="n">
        <x:v>46</x:v>
      </x:c>
      <x:c r="H2852" s="11" t="n">
        <x:v>17524.38</x:v>
      </x:c>
      <x:c r="I2852" s="2" t="n">
        <x:v>5</x:v>
      </x:c>
      <x:c r="J2852" s="2" t="n">
        <x:v>5</x:v>
      </x:c>
      <x:c r="K2852" s="2" t="n">
        <x:v>5</x:v>
      </x:c>
      <x:c r="L2852" s="2" t="str">
        <x:v>Champions</x:v>
      </x:c>
    </x:row>
    <x:row r="2853" ht="22" customHeight="1">
      <x:c r="A2853" s="2"/>
      <x:c r="B2853" s="2" t="str">
        <x:v>15190</x:v>
      </x:c>
      <x:c r="C2853" s="2" t="str">
        <x:v>United Kingdom</x:v>
      </x:c>
      <x:c r="D2853" s="25" t="n">
        <x:v>40452.339583333334</x:v>
      </x:c>
      <x:c r="E2853" s="25" t="n">
        <x:v>40452.339583333334</x:v>
      </x:c>
      <x:c r="F2853" s="2" t="n">
        <x:v>435</x:v>
      </x:c>
      <x:c r="G2853" s="2" t="n">
        <x:v>1</x:v>
      </x:c>
      <x:c r="H2853" s="11" t="n">
        <x:v>834.44</x:v>
      </x:c>
      <x:c r="I2853" s="2" t="n">
        <x:v>1</x:v>
      </x:c>
      <x:c r="J2853" s="2" t="n">
        <x:v>1</x:v>
      </x:c>
      <x:c r="K2853" s="2" t="n">
        <x:v>3</x:v>
      </x:c>
      <x:c r="L2853" s="2" t="str">
        <x:v>Hibernating</x:v>
      </x:c>
    </x:row>
    <x:row r="2854" ht="22" customHeight="1">
      <x:c r="A2854" s="2"/>
      <x:c r="B2854" s="2" t="str">
        <x:v>15191</x:v>
      </x:c>
      <x:c r="C2854" s="2" t="str">
        <x:v>United Kingdom</x:v>
      </x:c>
      <x:c r="D2854" s="25" t="n">
        <x:v>40198.31597222222</x:v>
      </x:c>
      <x:c r="E2854" s="25" t="n">
        <x:v>40423.44236111111</x:v>
      </x:c>
      <x:c r="F2854" s="2" t="n">
        <x:v>464</x:v>
      </x:c>
      <x:c r="G2854" s="2" t="n">
        <x:v>3</x:v>
      </x:c>
      <x:c r="H2854" s="11" t="n">
        <x:v>588.05</x:v>
      </x:c>
      <x:c r="I2854" s="2" t="n">
        <x:v>1</x:v>
      </x:c>
      <x:c r="J2854" s="2" t="n">
        <x:v>3</x:v>
      </x:c>
      <x:c r="K2854" s="2" t="n">
        <x:v>2</x:v>
      </x:c>
      <x:c r="L2854" s="2" t="str">
        <x:v>At risk</x:v>
      </x:c>
    </x:row>
    <x:row r="2855" ht="22" customHeight="1">
      <x:c r="A2855" s="2"/>
      <x:c r="B2855" s="2" t="str">
        <x:v>15192</x:v>
      </x:c>
      <x:c r="C2855" s="2" t="str">
        <x:v>United Kingdom</x:v>
      </x:c>
      <x:c r="D2855" s="25" t="n">
        <x:v>40207.217361111114</x:v>
      </x:c>
      <x:c r="E2855" s="25" t="n">
        <x:v>40767.27847222222</x:v>
      </x:c>
      <x:c r="F2855" s="2" t="n">
        <x:v>120</x:v>
      </x:c>
      <x:c r="G2855" s="2" t="n">
        <x:v>5</x:v>
      </x:c>
      <x:c r="H2855" s="11" t="n">
        <x:v>1666.39</x:v>
      </x:c>
      <x:c r="I2855" s="2" t="n">
        <x:v>3</x:v>
      </x:c>
      <x:c r="J2855" s="2" t="n">
        <x:v>4</x:v>
      </x:c>
      <x:c r="K2855" s="2" t="n">
        <x:v>4</x:v>
      </x:c>
      <x:c r="L2855" s="2" t="str">
        <x:v>Loyal</x:v>
      </x:c>
    </x:row>
    <x:row r="2856" ht="22" customHeight="1">
      <x:c r="A2856" s="2"/>
      <x:c r="B2856" s="2" t="str">
        <x:v>15193</x:v>
      </x:c>
      <x:c r="C2856" s="2" t="str">
        <x:v>United Kingdom</x:v>
      </x:c>
      <x:c r="D2856" s="25" t="n">
        <x:v>40826.14097222222</x:v>
      </x:c>
      <x:c r="E2856" s="25" t="n">
        <x:v>40826.14097222222</x:v>
      </x:c>
      <x:c r="F2856" s="2" t="n">
        <x:v>61</x:v>
      </x:c>
      <x:c r="G2856" s="2" t="n">
        <x:v>1</x:v>
      </x:c>
      <x:c r="H2856" s="11" t="n">
        <x:v>499.32</x:v>
      </x:c>
      <x:c r="I2856" s="2" t="n">
        <x:v>3</x:v>
      </x:c>
      <x:c r="J2856" s="2" t="n">
        <x:v>1</x:v>
      </x:c>
      <x:c r="K2856" s="2" t="n">
        <x:v>2</x:v>
      </x:c>
      <x:c r="L2856" s="2" t="str">
        <x:v>Developing</x:v>
      </x:c>
    </x:row>
    <x:row r="2857" ht="22" customHeight="1">
      <x:c r="A2857" s="2"/>
      <x:c r="B2857" s="2" t="str">
        <x:v>15194</x:v>
      </x:c>
      <x:c r="C2857" s="2" t="str">
        <x:v>United Kingdom</x:v>
      </x:c>
      <x:c r="D2857" s="25" t="n">
        <x:v>40150.23402777778</x:v>
      </x:c>
      <x:c r="E2857" s="25" t="n">
        <x:v>40883.42361111111</x:v>
      </x:c>
      <x:c r="F2857" s="2" t="n">
        <x:v>4</x:v>
      </x:c>
      <x:c r="G2857" s="2" t="n">
        <x:v>28</x:v>
      </x:c>
      <x:c r="H2857" s="11" t="n">
        <x:v>12021.53</x:v>
      </x:c>
      <x:c r="I2857" s="2" t="n">
        <x:v>5</x:v>
      </x:c>
      <x:c r="J2857" s="2" t="n">
        <x:v>5</x:v>
      </x:c>
      <x:c r="K2857" s="2" t="n">
        <x:v>5</x:v>
      </x:c>
      <x:c r="L2857" s="2" t="str">
        <x:v>Champions</x:v>
      </x:c>
    </x:row>
    <x:row r="2858" ht="22" customHeight="1">
      <x:c r="A2858" s="2"/>
      <x:c r="B2858" s="2" t="str">
        <x:v>15195</x:v>
      </x:c>
      <x:c r="C2858" s="2" t="str">
        <x:v>United Kingdom</x:v>
      </x:c>
      <x:c r="D2858" s="25" t="n">
        <x:v>40884.305555555555</x:v>
      </x:c>
      <x:c r="E2858" s="25" t="n">
        <x:v>40884.305555555555</x:v>
      </x:c>
      <x:c r="F2858" s="2" t="n">
        <x:v>3</x:v>
      </x:c>
      <x:c r="G2858" s="2" t="n">
        <x:v>1</x:v>
      </x:c>
      <x:c r="H2858" s="11" t="n">
        <x:v>3861</x:v>
      </x:c>
      <x:c r="I2858" s="2" t="n">
        <x:v>5</x:v>
      </x:c>
      <x:c r="J2858" s="2" t="n">
        <x:v>1</x:v>
      </x:c>
      <x:c r="K2858" s="2" t="n">
        <x:v>5</x:v>
      </x:c>
      <x:c r="L2858" s="2" t="str">
        <x:v>Recent light buyers</x:v>
      </x:c>
    </x:row>
    <x:row r="2859" ht="22" customHeight="1">
      <x:c r="A2859" s="2"/>
      <x:c r="B2859" s="2" t="str">
        <x:v>15196</x:v>
      </x:c>
      <x:c r="C2859" s="2" t="str">
        <x:v>United Kingdom</x:v>
      </x:c>
      <x:c r="D2859" s="25" t="n">
        <x:v>40160.259722222225</x:v>
      </x:c>
      <x:c r="E2859" s="25" t="n">
        <x:v>40454.243055555555</x:v>
      </x:c>
      <x:c r="F2859" s="2" t="n">
        <x:v>433</x:v>
      </x:c>
      <x:c r="G2859" s="2" t="n">
        <x:v>2</x:v>
      </x:c>
      <x:c r="H2859" s="11" t="n">
        <x:v>316.25</x:v>
      </x:c>
      <x:c r="I2859" s="2" t="n">
        <x:v>1</x:v>
      </x:c>
      <x:c r="J2859" s="2" t="n">
        <x:v>2</x:v>
      </x:c>
      <x:c r="K2859" s="2" t="n">
        <x:v>2</x:v>
      </x:c>
      <x:c r="L2859" s="2" t="str">
        <x:v>Hibernating</x:v>
      </x:c>
    </x:row>
    <x:row r="2860" ht="22" customHeight="1">
      <x:c r="A2860" s="2"/>
      <x:c r="B2860" s="2" t="str">
        <x:v>15197</x:v>
      </x:c>
      <x:c r="C2860" s="2" t="str">
        <x:v>United Kingdom</x:v>
      </x:c>
      <x:c r="D2860" s="25" t="n">
        <x:v>40158.330555555556</x:v>
      </x:c>
      <x:c r="E2860" s="25" t="n">
        <x:v>40876.208333333336</x:v>
      </x:c>
      <x:c r="F2860" s="2" t="n">
        <x:v>11</x:v>
      </x:c>
      <x:c r="G2860" s="2" t="n">
        <x:v>6</x:v>
      </x:c>
      <x:c r="H2860" s="11" t="n">
        <x:v>1877.51</x:v>
      </x:c>
      <x:c r="I2860" s="2" t="n">
        <x:v>5</x:v>
      </x:c>
      <x:c r="J2860" s="2" t="n">
        <x:v>4</x:v>
      </x:c>
      <x:c r="K2860" s="2" t="n">
        <x:v>4</x:v>
      </x:c>
      <x:c r="L2860" s="2" t="str">
        <x:v>Champions</x:v>
      </x:c>
    </x:row>
    <x:row r="2861" ht="22" customHeight="1">
      <x:c r="A2861" s="2"/>
      <x:c r="B2861" s="2" t="str">
        <x:v>15198</x:v>
      </x:c>
      <x:c r="C2861" s="2" t="str">
        <x:v>United Kingdom</x:v>
      </x:c>
      <x:c r="D2861" s="25" t="n">
        <x:v>40197.209027777775</x:v>
      </x:c>
      <x:c r="E2861" s="25" t="n">
        <x:v>40794.40416666667</x:v>
      </x:c>
      <x:c r="F2861" s="2" t="n">
        <x:v>93</x:v>
      </x:c>
      <x:c r="G2861" s="2" t="n">
        <x:v>5</x:v>
      </x:c>
      <x:c r="H2861" s="11" t="n">
        <x:v>571.35</x:v>
      </x:c>
      <x:c r="I2861" s="2" t="n">
        <x:v>3</x:v>
      </x:c>
      <x:c r="J2861" s="2" t="n">
        <x:v>4</x:v>
      </x:c>
      <x:c r="K2861" s="2" t="n">
        <x:v>2</x:v>
      </x:c>
      <x:c r="L2861" s="2" t="str">
        <x:v>Loyal</x:v>
      </x:c>
    </x:row>
    <x:row r="2862" ht="22" customHeight="1">
      <x:c r="A2862" s="2"/>
      <x:c r="B2862" s="2" t="str">
        <x:v>15199</x:v>
      </x:c>
      <x:c r="C2862" s="2" t="str">
        <x:v>United Kingdom</x:v>
      </x:c>
      <x:c r="D2862" s="25" t="n">
        <x:v>40311.21805555555</x:v>
      </x:c>
      <x:c r="E2862" s="25" t="n">
        <x:v>40827.425</x:v>
      </x:c>
      <x:c r="F2862" s="2" t="n">
        <x:v>60</x:v>
      </x:c>
      <x:c r="G2862" s="2" t="n">
        <x:v>10</x:v>
      </x:c>
      <x:c r="H2862" s="11" t="n">
        <x:v>3122.4</x:v>
      </x:c>
      <x:c r="I2862" s="2" t="n">
        <x:v>3</x:v>
      </x:c>
      <x:c r="J2862" s="2" t="n">
        <x:v>5</x:v>
      </x:c>
      <x:c r="K2862" s="2" t="n">
        <x:v>5</x:v>
      </x:c>
      <x:c r="L2862" s="2" t="str">
        <x:v>Loyal</x:v>
      </x:c>
    </x:row>
    <x:row r="2863" ht="22" customHeight="1">
      <x:c r="A2863" s="2"/>
      <x:c r="B2863" s="2" t="str">
        <x:v>15200</x:v>
      </x:c>
      <x:c r="C2863" s="2" t="str">
        <x:v>United Kingdom</x:v>
      </x:c>
      <x:c r="D2863" s="25" t="n">
        <x:v>40392.19305555556</x:v>
      </x:c>
      <x:c r="E2863" s="25" t="n">
        <x:v>40392.19305555556</x:v>
      </x:c>
      <x:c r="F2863" s="2" t="n">
        <x:v>495</x:v>
      </x:c>
      <x:c r="G2863" s="2" t="n">
        <x:v>1</x:v>
      </x:c>
      <x:c r="H2863" s="11" t="n">
        <x:v>549.05</x:v>
      </x:c>
      <x:c r="I2863" s="2" t="n">
        <x:v>1</x:v>
      </x:c>
      <x:c r="J2863" s="2" t="n">
        <x:v>1</x:v>
      </x:c>
      <x:c r="K2863" s="2" t="n">
        <x:v>2</x:v>
      </x:c>
      <x:c r="L2863" s="2" t="str">
        <x:v>Hibernating</x:v>
      </x:c>
    </x:row>
    <x:row r="2864" ht="22" customHeight="1">
      <x:c r="A2864" s="2"/>
      <x:c r="B2864" s="2" t="str">
        <x:v>15201</x:v>
      </x:c>
      <x:c r="C2864" s="2" t="str">
        <x:v>United Kingdom</x:v>
      </x:c>
      <x:c r="D2864" s="25" t="n">
        <x:v>40275.40972222222</x:v>
      </x:c>
      <x:c r="E2864" s="25" t="n">
        <x:v>40799.41180555556</x:v>
      </x:c>
      <x:c r="F2864" s="2" t="n">
        <x:v>88</x:v>
      </x:c>
      <x:c r="G2864" s="2" t="n">
        <x:v>7</x:v>
      </x:c>
      <x:c r="H2864" s="11" t="n">
        <x:v>1842.95</x:v>
      </x:c>
      <x:c r="I2864" s="2" t="n">
        <x:v>3</x:v>
      </x:c>
      <x:c r="J2864" s="2" t="n">
        <x:v>4</x:v>
      </x:c>
      <x:c r="K2864" s="2" t="n">
        <x:v>4</x:v>
      </x:c>
      <x:c r="L2864" s="2" t="str">
        <x:v>Loyal</x:v>
      </x:c>
    </x:row>
    <x:row r="2865" ht="22" customHeight="1">
      <x:c r="A2865" s="2"/>
      <x:c r="B2865" s="2" t="str">
        <x:v>15202</x:v>
      </x:c>
      <x:c r="C2865" s="2" t="str">
        <x:v>United Kingdom</x:v>
      </x:c>
      <x:c r="D2865" s="25" t="n">
        <x:v>40466.31875</x:v>
      </x:c>
      <x:c r="E2865" s="25" t="n">
        <x:v>40466.336805555555</x:v>
      </x:c>
      <x:c r="F2865" s="2" t="n">
        <x:v>421</x:v>
      </x:c>
      <x:c r="G2865" s="2" t="n">
        <x:v>3</x:v>
      </x:c>
      <x:c r="H2865" s="11" t="n">
        <x:v>6001.49</x:v>
      </x:c>
      <x:c r="I2865" s="2" t="n">
        <x:v>1</x:v>
      </x:c>
      <x:c r="J2865" s="2" t="n">
        <x:v>3</x:v>
      </x:c>
      <x:c r="K2865" s="2" t="n">
        <x:v>5</x:v>
      </x:c>
      <x:c r="L2865" s="2" t="str">
        <x:v>At risk</x:v>
      </x:c>
    </x:row>
    <x:row r="2866" ht="22" customHeight="1">
      <x:c r="A2866" s="2"/>
      <x:c r="B2866" s="2" t="str">
        <x:v>15203</x:v>
      </x:c>
      <x:c r="C2866" s="2" t="str">
        <x:v>United Kingdom</x:v>
      </x:c>
      <x:c r="D2866" s="25" t="n">
        <x:v>40155.54583333333</x:v>
      </x:c>
      <x:c r="E2866" s="25" t="n">
        <x:v>40861.13611111111</x:v>
      </x:c>
      <x:c r="F2866" s="2" t="n">
        <x:v>26</x:v>
      </x:c>
      <x:c r="G2866" s="2" t="n">
        <x:v>15</x:v>
      </x:c>
      <x:c r="H2866" s="11" t="n">
        <x:v>4400.18</x:v>
      </x:c>
      <x:c r="I2866" s="2" t="n">
        <x:v>4</x:v>
      </x:c>
      <x:c r="J2866" s="2" t="n">
        <x:v>5</x:v>
      </x:c>
      <x:c r="K2866" s="2" t="n">
        <x:v>5</x:v>
      </x:c>
      <x:c r="L2866" s="2" t="str">
        <x:v>Champions</x:v>
      </x:c>
    </x:row>
    <x:row r="2867" ht="22" customHeight="1">
      <x:c r="A2867" s="2"/>
      <x:c r="B2867" s="2" t="str">
        <x:v>15204</x:v>
      </x:c>
      <x:c r="C2867" s="2" t="str">
        <x:v>United Kingdom</x:v>
      </x:c>
      <x:c r="D2867" s="25" t="n">
        <x:v>40529.36736111111</x:v>
      </x:c>
      <x:c r="E2867" s="25" t="n">
        <x:v>40529.36736111111</x:v>
      </x:c>
      <x:c r="F2867" s="2" t="n">
        <x:v>358</x:v>
      </x:c>
      <x:c r="G2867" s="2" t="n">
        <x:v>1</x:v>
      </x:c>
      <x:c r="H2867" s="11" t="n">
        <x:v>316.58</x:v>
      </x:c>
      <x:c r="I2867" s="2" t="n">
        <x:v>2</x:v>
      </x:c>
      <x:c r="J2867" s="2" t="n">
        <x:v>1</x:v>
      </x:c>
      <x:c r="K2867" s="2" t="n">
        <x:v>2</x:v>
      </x:c>
      <x:c r="L2867" s="2" t="str">
        <x:v>Hibernating</x:v>
      </x:c>
    </x:row>
    <x:row r="2868" ht="22" customHeight="1">
      <x:c r="A2868" s="2"/>
      <x:c r="B2868" s="2" t="str">
        <x:v>15205</x:v>
      </x:c>
      <x:c r="C2868" s="2" t="str">
        <x:v>United Kingdom</x:v>
      </x:c>
      <x:c r="D2868" s="25" t="n">
        <x:v>40759.46319444444</x:v>
      </x:c>
      <x:c r="E2868" s="25" t="n">
        <x:v>40801.60833333333</x:v>
      </x:c>
      <x:c r="F2868" s="2" t="n">
        <x:v>86</x:v>
      </x:c>
      <x:c r="G2868" s="2" t="n">
        <x:v>2</x:v>
      </x:c>
      <x:c r="H2868" s="11" t="n">
        <x:v>653.24</x:v>
      </x:c>
      <x:c r="I2868" s="2" t="n">
        <x:v>3</x:v>
      </x:c>
      <x:c r="J2868" s="2" t="n">
        <x:v>2</x:v>
      </x:c>
      <x:c r="K2868" s="2" t="n">
        <x:v>3</x:v>
      </x:c>
      <x:c r="L2868" s="2" t="str">
        <x:v>Developing</x:v>
      </x:c>
    </x:row>
    <x:row r="2869" ht="22" customHeight="1">
      <x:c r="A2869" s="2"/>
      <x:c r="B2869" s="2" t="str">
        <x:v>15206</x:v>
      </x:c>
      <x:c r="C2869" s="2" t="str">
        <x:v>United Kingdom</x:v>
      </x:c>
      <x:c r="D2869" s="25" t="n">
        <x:v>40611.165972222225</x:v>
      </x:c>
      <x:c r="E2869" s="25" t="n">
        <x:v>40876.361805555556</x:v>
      </x:c>
      <x:c r="F2869" s="2" t="n">
        <x:v>11</x:v>
      </x:c>
      <x:c r="G2869" s="2" t="n">
        <x:v>4</x:v>
      </x:c>
      <x:c r="H2869" s="11" t="n">
        <x:v>420.3</x:v>
      </x:c>
      <x:c r="I2869" s="2" t="n">
        <x:v>5</x:v>
      </x:c>
      <x:c r="J2869" s="2" t="n">
        <x:v>3</x:v>
      </x:c>
      <x:c r="K2869" s="2" t="n">
        <x:v>2</x:v>
      </x:c>
      <x:c r="L2869" s="2" t="str">
        <x:v>Loyal</x:v>
      </x:c>
    </x:row>
    <x:row r="2870" ht="22" customHeight="1">
      <x:c r="A2870" s="2"/>
      <x:c r="B2870" s="2" t="str">
        <x:v>15207</x:v>
      </x:c>
      <x:c r="C2870" s="2" t="str">
        <x:v>United Kingdom</x:v>
      </x:c>
      <x:c r="D2870" s="25" t="n">
        <x:v>40339.52013888889</x:v>
      </x:c>
      <x:c r="E2870" s="25" t="n">
        <x:v>40470.353472222225</x:v>
      </x:c>
      <x:c r="F2870" s="2" t="n">
        <x:v>417</x:v>
      </x:c>
      <x:c r="G2870" s="2" t="n">
        <x:v>3</x:v>
      </x:c>
      <x:c r="H2870" s="11" t="n">
        <x:v>683.92</x:v>
      </x:c>
      <x:c r="I2870" s="2" t="n">
        <x:v>1</x:v>
      </x:c>
      <x:c r="J2870" s="2" t="n">
        <x:v>3</x:v>
      </x:c>
      <x:c r="K2870" s="2" t="n">
        <x:v>3</x:v>
      </x:c>
      <x:c r="L2870" s="2" t="str">
        <x:v>At risk</x:v>
      </x:c>
    </x:row>
    <x:row r="2871" ht="22" customHeight="1">
      <x:c r="A2871" s="2"/>
      <x:c r="B2871" s="2" t="str">
        <x:v>15208</x:v>
      </x:c>
      <x:c r="C2871" s="2" t="str">
        <x:v>United Kingdom</x:v>
      </x:c>
      <x:c r="D2871" s="25" t="n">
        <x:v>40463.30347222222</x:v>
      </x:c>
      <x:c r="E2871" s="25" t="n">
        <x:v>40885.51666666667</x:v>
      </x:c>
      <x:c r="F2871" s="2" t="n">
        <x:v>2</x:v>
      </x:c>
      <x:c r="G2871" s="2" t="n">
        <x:v>6</x:v>
      </x:c>
      <x:c r="H2871" s="11" t="n">
        <x:v>970.52</x:v>
      </x:c>
      <x:c r="I2871" s="2" t="n">
        <x:v>5</x:v>
      </x:c>
      <x:c r="J2871" s="2" t="n">
        <x:v>4</x:v>
      </x:c>
      <x:c r="K2871" s="2" t="n">
        <x:v>3</x:v>
      </x:c>
      <x:c r="L2871" s="2" t="str">
        <x:v>Loyal</x:v>
      </x:c>
    </x:row>
    <x:row r="2872" ht="22" customHeight="1">
      <x:c r="A2872" s="2"/>
      <x:c r="B2872" s="2" t="str">
        <x:v>15209</x:v>
      </x:c>
      <x:c r="C2872" s="2" t="str">
        <x:v>United Kingdom</x:v>
      </x:c>
      <x:c r="D2872" s="25" t="n">
        <x:v>40156.518055555556</x:v>
      </x:c>
      <x:c r="E2872" s="25" t="n">
        <x:v>40156.518055555556</x:v>
      </x:c>
      <x:c r="F2872" s="2" t="n">
        <x:v>731</x:v>
      </x:c>
      <x:c r="G2872" s="2" t="n">
        <x:v>1</x:v>
      </x:c>
      <x:c r="H2872" s="11" t="n">
        <x:v>178.98</x:v>
      </x:c>
      <x:c r="I2872" s="2" t="n">
        <x:v>1</x:v>
      </x:c>
      <x:c r="J2872" s="2" t="n">
        <x:v>1</x:v>
      </x:c>
      <x:c r="K2872" s="2" t="n">
        <x:v>1</x:v>
      </x:c>
      <x:c r="L2872" s="2" t="str">
        <x:v>Hibernating</x:v>
      </x:c>
    </x:row>
    <x:row r="2873" ht="22" customHeight="1">
      <x:c r="A2873" s="2"/>
      <x:c r="B2873" s="2" t="str">
        <x:v>15210</x:v>
      </x:c>
      <x:c r="C2873" s="2" t="str">
        <x:v>United Kingdom</x:v>
      </x:c>
      <x:c r="D2873" s="25" t="n">
        <x:v>40311.40416666667</x:v>
      </x:c>
      <x:c r="E2873" s="25" t="n">
        <x:v>40661.46597222222</x:v>
      </x:c>
      <x:c r="F2873" s="2" t="n">
        <x:v>226</x:v>
      </x:c>
      <x:c r="G2873" s="2" t="n">
        <x:v>3</x:v>
      </x:c>
      <x:c r="H2873" s="11" t="n">
        <x:v>1176.19</x:v>
      </x:c>
      <x:c r="I2873" s="2" t="n">
        <x:v>2</x:v>
      </x:c>
      <x:c r="J2873" s="2" t="n">
        <x:v>3</x:v>
      </x:c>
      <x:c r="K2873" s="2" t="n">
        <x:v>3</x:v>
      </x:c>
      <x:c r="L2873" s="2" t="str">
        <x:v>At risk</x:v>
      </x:c>
    </x:row>
    <x:row r="2874" ht="22" customHeight="1">
      <x:c r="A2874" s="2"/>
      <x:c r="B2874" s="2" t="str">
        <x:v>15211</x:v>
      </x:c>
      <x:c r="C2874" s="2" t="str">
        <x:v>United Kingdom</x:v>
      </x:c>
      <x:c r="D2874" s="25" t="n">
        <x:v>40521.46388888889</x:v>
      </x:c>
      <x:c r="E2874" s="25" t="n">
        <x:v>40826.35486111111</x:v>
      </x:c>
      <x:c r="F2874" s="2" t="n">
        <x:v>61</x:v>
      </x:c>
      <x:c r="G2874" s="2" t="n">
        <x:v>2</x:v>
      </x:c>
      <x:c r="H2874" s="11" t="n">
        <x:v>894.41</x:v>
      </x:c>
      <x:c r="I2874" s="2" t="n">
        <x:v>3</x:v>
      </x:c>
      <x:c r="J2874" s="2" t="n">
        <x:v>2</x:v>
      </x:c>
      <x:c r="K2874" s="2" t="n">
        <x:v>3</x:v>
      </x:c>
      <x:c r="L2874" s="2" t="str">
        <x:v>Developing</x:v>
      </x:c>
    </x:row>
    <x:row r="2875" ht="22" customHeight="1">
      <x:c r="A2875" s="2"/>
      <x:c r="B2875" s="2" t="str">
        <x:v>15212</x:v>
      </x:c>
      <x:c r="C2875" s="2" t="str">
        <x:v>United Kingdom</x:v>
      </x:c>
      <x:c r="D2875" s="25" t="n">
        <x:v>40510.239583333336</x:v>
      </x:c>
      <x:c r="E2875" s="25" t="n">
        <x:v>40645.364583333336</x:v>
      </x:c>
      <x:c r="F2875" s="2" t="n">
        <x:v>242</x:v>
      </x:c>
      <x:c r="G2875" s="2" t="n">
        <x:v>2</x:v>
      </x:c>
      <x:c r="H2875" s="11" t="n">
        <x:v>208.28</x:v>
      </x:c>
      <x:c r="I2875" s="2" t="n">
        <x:v>2</x:v>
      </x:c>
      <x:c r="J2875" s="2" t="n">
        <x:v>2</x:v>
      </x:c>
      <x:c r="K2875" s="2" t="n">
        <x:v>1</x:v>
      </x:c>
      <x:c r="L2875" s="2" t="str">
        <x:v>Hibernating</x:v>
      </x:c>
    </x:row>
    <x:row r="2876" ht="22" customHeight="1">
      <x:c r="A2876" s="2"/>
      <x:c r="B2876" s="2" t="str">
        <x:v>15213</x:v>
      </x:c>
      <x:c r="C2876" s="2" t="str">
        <x:v>United Kingdom</x:v>
      </x:c>
      <x:c r="D2876" s="25" t="n">
        <x:v>40557.25347222222</x:v>
      </x:c>
      <x:c r="E2876" s="25" t="n">
        <x:v>40568.30625</x:v>
      </x:c>
      <x:c r="F2876" s="2" t="n">
        <x:v>319</x:v>
      </x:c>
      <x:c r="G2876" s="2" t="n">
        <x:v>2</x:v>
      </x:c>
      <x:c r="H2876" s="11" t="n">
        <x:v>328.35</x:v>
      </x:c>
      <x:c r="I2876" s="2" t="n">
        <x:v>2</x:v>
      </x:c>
      <x:c r="J2876" s="2" t="n">
        <x:v>2</x:v>
      </x:c>
      <x:c r="K2876" s="2" t="n">
        <x:v>2</x:v>
      </x:c>
      <x:c r="L2876" s="2" t="str">
        <x:v>Hibernating</x:v>
      </x:c>
    </x:row>
    <x:row r="2877" ht="22" customHeight="1">
      <x:c r="A2877" s="2"/>
      <x:c r="B2877" s="2" t="str">
        <x:v>15214</x:v>
      </x:c>
      <x:c r="C2877" s="2" t="str">
        <x:v>United Kingdom</x:v>
      </x:c>
      <x:c r="D2877" s="25" t="n">
        <x:v>40644.19861111111</x:v>
      </x:c>
      <x:c r="E2877" s="25" t="n">
        <x:v>40885.29652777778</x:v>
      </x:c>
      <x:c r="F2877" s="2" t="n">
        <x:v>2</x:v>
      </x:c>
      <x:c r="G2877" s="2" t="n">
        <x:v>8</x:v>
      </x:c>
      <x:c r="H2877" s="11" t="n">
        <x:v>1661.44</x:v>
      </x:c>
      <x:c r="I2877" s="2" t="n">
        <x:v>5</x:v>
      </x:c>
      <x:c r="J2877" s="2" t="n">
        <x:v>4</x:v>
      </x:c>
      <x:c r="K2877" s="2" t="n">
        <x:v>4</x:v>
      </x:c>
      <x:c r="L2877" s="2" t="str">
        <x:v>Champions</x:v>
      </x:c>
    </x:row>
    <x:row r="2878" ht="22" customHeight="1">
      <x:c r="A2878" s="2"/>
      <x:c r="B2878" s="2" t="str">
        <x:v>15215</x:v>
      </x:c>
      <x:c r="C2878" s="2" t="str">
        <x:v>United Kingdom</x:v>
      </x:c>
      <x:c r="D2878" s="25" t="n">
        <x:v>40274.26458333333</x:v>
      </x:c>
      <x:c r="E2878" s="25" t="n">
        <x:v>40840.27847222222</x:v>
      </x:c>
      <x:c r="F2878" s="2" t="n">
        <x:v>47</x:v>
      </x:c>
      <x:c r="G2878" s="2" t="n">
        <x:v>7</x:v>
      </x:c>
      <x:c r="H2878" s="11" t="n">
        <x:v>2422.43</x:v>
      </x:c>
      <x:c r="I2878" s="2" t="n">
        <x:v>4</x:v>
      </x:c>
      <x:c r="J2878" s="2" t="n">
        <x:v>4</x:v>
      </x:c>
      <x:c r="K2878" s="2" t="n">
        <x:v>4</x:v>
      </x:c>
      <x:c r="L2878" s="2" t="str">
        <x:v>Champions</x:v>
      </x:c>
    </x:row>
    <x:row r="2879" ht="22" customHeight="1">
      <x:c r="A2879" s="2"/>
      <x:c r="B2879" s="2" t="str">
        <x:v>15216</x:v>
      </x:c>
      <x:c r="C2879" s="2" t="str">
        <x:v>United Kingdom</x:v>
      </x:c>
      <x:c r="D2879" s="25" t="n">
        <x:v>40268.20277777778</x:v>
      </x:c>
      <x:c r="E2879" s="25" t="n">
        <x:v>40799.27847222222</x:v>
      </x:c>
      <x:c r="F2879" s="2" t="n">
        <x:v>88</x:v>
      </x:c>
      <x:c r="G2879" s="2" t="n">
        <x:v>2</x:v>
      </x:c>
      <x:c r="H2879" s="11" t="n">
        <x:v>486.09</x:v>
      </x:c>
      <x:c r="I2879" s="2" t="n">
        <x:v>3</x:v>
      </x:c>
      <x:c r="J2879" s="2" t="n">
        <x:v>2</x:v>
      </x:c>
      <x:c r="K2879" s="2" t="n">
        <x:v>2</x:v>
      </x:c>
      <x:c r="L2879" s="2" t="str">
        <x:v>Developing</x:v>
      </x:c>
    </x:row>
    <x:row r="2880" ht="22" customHeight="1">
      <x:c r="A2880" s="2"/>
      <x:c r="B2880" s="2" t="str">
        <x:v>15217</x:v>
      </x:c>
      <x:c r="C2880" s="2" t="str">
        <x:v>United Kingdom</x:v>
      </x:c>
      <x:c r="D2880" s="25" t="n">
        <x:v>40323.36875</x:v>
      </x:c>
      <x:c r="E2880" s="25" t="n">
        <x:v>40323.36875</x:v>
      </x:c>
      <x:c r="F2880" s="2" t="n">
        <x:v>564</x:v>
      </x:c>
      <x:c r="G2880" s="2" t="n">
        <x:v>1</x:v>
      </x:c>
      <x:c r="H2880" s="11" t="n">
        <x:v>426.24</x:v>
      </x:c>
      <x:c r="I2880" s="2" t="n">
        <x:v>1</x:v>
      </x:c>
      <x:c r="J2880" s="2" t="n">
        <x:v>1</x:v>
      </x:c>
      <x:c r="K2880" s="2" t="n">
        <x:v>2</x:v>
      </x:c>
      <x:c r="L2880" s="2" t="str">
        <x:v>Hibernating</x:v>
      </x:c>
    </x:row>
    <x:row r="2881" ht="22" customHeight="1">
      <x:c r="A2881" s="2"/>
      <x:c r="B2881" s="2" t="str">
        <x:v>15218</x:v>
      </x:c>
      <x:c r="C2881" s="2" t="str">
        <x:v>United Kingdom</x:v>
      </x:c>
      <x:c r="D2881" s="25" t="n">
        <x:v>40204.27291666667</x:v>
      </x:c>
      <x:c r="E2881" s="25" t="n">
        <x:v>40876.28333333333</x:v>
      </x:c>
      <x:c r="F2881" s="2" t="n">
        <x:v>11</x:v>
      </x:c>
      <x:c r="G2881" s="2" t="n">
        <x:v>22</x:v>
      </x:c>
      <x:c r="H2881" s="11" t="n">
        <x:v>11516.57</x:v>
      </x:c>
      <x:c r="I2881" s="2" t="n">
        <x:v>5</x:v>
      </x:c>
      <x:c r="J2881" s="2" t="n">
        <x:v>5</x:v>
      </x:c>
      <x:c r="K2881" s="2" t="n">
        <x:v>5</x:v>
      </x:c>
      <x:c r="L2881" s="2" t="str">
        <x:v>Champions</x:v>
      </x:c>
    </x:row>
    <x:row r="2882" ht="22" customHeight="1">
      <x:c r="A2882" s="2"/>
      <x:c r="B2882" s="2" t="str">
        <x:v>15219</x:v>
      </x:c>
      <x:c r="C2882" s="2" t="str">
        <x:v>United Kingdom</x:v>
      </x:c>
      <x:c r="D2882" s="25" t="n">
        <x:v>40238.27291666667</x:v>
      </x:c>
      <x:c r="E2882" s="25" t="n">
        <x:v>40710.49791666667</x:v>
      </x:c>
      <x:c r="F2882" s="2" t="n">
        <x:v>177</x:v>
      </x:c>
      <x:c r="G2882" s="2" t="n">
        <x:v>2</x:v>
      </x:c>
      <x:c r="H2882" s="11" t="n">
        <x:v>685.45</x:v>
      </x:c>
      <x:c r="I2882" s="2" t="n">
        <x:v>3</x:v>
      </x:c>
      <x:c r="J2882" s="2" t="n">
        <x:v>2</x:v>
      </x:c>
      <x:c r="K2882" s="2" t="n">
        <x:v>3</x:v>
      </x:c>
      <x:c r="L2882" s="2" t="str">
        <x:v>Developing</x:v>
      </x:c>
    </x:row>
    <x:row r="2883" ht="22" customHeight="1">
      <x:c r="A2883" s="2"/>
      <x:c r="B2883" s="2" t="str">
        <x:v>15220</x:v>
      </x:c>
      <x:c r="C2883" s="2" t="str">
        <x:v>United Kingdom</x:v>
      </x:c>
      <x:c r="D2883" s="25" t="n">
        <x:v>40606.225</x:v>
      </x:c>
      <x:c r="E2883" s="25" t="n">
        <x:v>40835.31875</x:v>
      </x:c>
      <x:c r="F2883" s="2" t="n">
        <x:v>52</x:v>
      </x:c>
      <x:c r="G2883" s="2" t="n">
        <x:v>6</x:v>
      </x:c>
      <x:c r="H2883" s="11" t="n">
        <x:v>1778.96</x:v>
      </x:c>
      <x:c r="I2883" s="2" t="n">
        <x:v>4</x:v>
      </x:c>
      <x:c r="J2883" s="2" t="n">
        <x:v>4</x:v>
      </x:c>
      <x:c r="K2883" s="2" t="n">
        <x:v>4</x:v>
      </x:c>
      <x:c r="L2883" s="2" t="str">
        <x:v>Champions</x:v>
      </x:c>
    </x:row>
    <x:row r="2884" ht="22" customHeight="1">
      <x:c r="A2884" s="2"/>
      <x:c r="B2884" s="2" t="str">
        <x:v>15221</x:v>
      </x:c>
      <x:c r="C2884" s="2" t="str">
        <x:v>United Kingdom</x:v>
      </x:c>
      <x:c r="D2884" s="25" t="n">
        <x:v>40249.23611111111</x:v>
      </x:c>
      <x:c r="E2884" s="25" t="n">
        <x:v>40520.33888888889</x:v>
      </x:c>
      <x:c r="F2884" s="2" t="n">
        <x:v>367</x:v>
      </x:c>
      <x:c r="G2884" s="2" t="n">
        <x:v>4</x:v>
      </x:c>
      <x:c r="H2884" s="11" t="n">
        <x:v>2062.2</x:v>
      </x:c>
      <x:c r="I2884" s="2" t="n">
        <x:v>2</x:v>
      </x:c>
      <x:c r="J2884" s="2" t="n">
        <x:v>3</x:v>
      </x:c>
      <x:c r="K2884" s="2" t="n">
        <x:v>4</x:v>
      </x:c>
      <x:c r="L2884" s="2" t="str">
        <x:v>At risk</x:v>
      </x:c>
    </x:row>
    <x:row r="2885" ht="22" customHeight="1">
      <x:c r="A2885" s="2"/>
      <x:c r="B2885" s="2" t="str">
        <x:v>15222</x:v>
      </x:c>
      <x:c r="C2885" s="2" t="str">
        <x:v>United Kingdom</x:v>
      </x:c>
      <x:c r="D2885" s="25" t="n">
        <x:v>40163.36736111111</x:v>
      </x:c>
      <x:c r="E2885" s="25" t="n">
        <x:v>40568.12708333333</x:v>
      </x:c>
      <x:c r="F2885" s="2" t="n">
        <x:v>319</x:v>
      </x:c>
      <x:c r="G2885" s="2" t="n">
        <x:v>11</x:v>
      </x:c>
      <x:c r="H2885" s="11" t="n">
        <x:v>3550.91</x:v>
      </x:c>
      <x:c r="I2885" s="2" t="n">
        <x:v>2</x:v>
      </x:c>
      <x:c r="J2885" s="2" t="n">
        <x:v>5</x:v>
      </x:c>
      <x:c r="K2885" s="2" t="n">
        <x:v>5</x:v>
      </x:c>
      <x:c r="L2885" s="2" t="str">
        <x:v>At risk</x:v>
      </x:c>
    </x:row>
    <x:row r="2886" ht="22" customHeight="1">
      <x:c r="A2886" s="2"/>
      <x:c r="B2886" s="2" t="str">
        <x:v>15223</x:v>
      </x:c>
      <x:c r="C2886" s="2" t="str">
        <x:v>United Kingdom</x:v>
      </x:c>
      <x:c r="D2886" s="25" t="n">
        <x:v>40152.263194444444</x:v>
      </x:c>
      <x:c r="E2886" s="25" t="n">
        <x:v>40661.271527777775</x:v>
      </x:c>
      <x:c r="F2886" s="2" t="n">
        <x:v>226</x:v>
      </x:c>
      <x:c r="G2886" s="2" t="n">
        <x:v>5</x:v>
      </x:c>
      <x:c r="H2886" s="11" t="n">
        <x:v>1417.95</x:v>
      </x:c>
      <x:c r="I2886" s="2" t="n">
        <x:v>2</x:v>
      </x:c>
      <x:c r="J2886" s="2" t="n">
        <x:v>4</x:v>
      </x:c>
      <x:c r="K2886" s="2" t="n">
        <x:v>4</x:v>
      </x:c>
      <x:c r="L2886" s="2" t="str">
        <x:v>At risk</x:v>
      </x:c>
    </x:row>
    <x:row r="2887" ht="22" customHeight="1">
      <x:c r="A2887" s="2"/>
      <x:c r="B2887" s="2" t="str">
        <x:v>15224</x:v>
      </x:c>
      <x:c r="C2887" s="2" t="str">
        <x:v>United Kingdom</x:v>
      </x:c>
      <x:c r="D2887" s="25" t="n">
        <x:v>40193.46805555555</x:v>
      </x:c>
      <x:c r="E2887" s="25" t="n">
        <x:v>40528.41805555556</x:v>
      </x:c>
      <x:c r="F2887" s="2" t="n">
        <x:v>359</x:v>
      </x:c>
      <x:c r="G2887" s="2" t="n">
        <x:v>5</x:v>
      </x:c>
      <x:c r="H2887" s="11" t="n">
        <x:v>871.36</x:v>
      </x:c>
      <x:c r="I2887" s="2" t="n">
        <x:v>2</x:v>
      </x:c>
      <x:c r="J2887" s="2" t="n">
        <x:v>4</x:v>
      </x:c>
      <x:c r="K2887" s="2" t="n">
        <x:v>3</x:v>
      </x:c>
      <x:c r="L2887" s="2" t="str">
        <x:v>At risk</x:v>
      </x:c>
    </x:row>
    <x:row r="2888" ht="22" customHeight="1">
      <x:c r="A2888" s="2"/>
      <x:c r="B2888" s="2" t="str">
        <x:v>15225</x:v>
      </x:c>
      <x:c r="C2888" s="2" t="str">
        <x:v>United Kingdom</x:v>
      </x:c>
      <x:c r="D2888" s="25" t="n">
        <x:v>40652.410416666666</x:v>
      </x:c>
      <x:c r="E2888" s="25" t="n">
        <x:v>40652.410416666666</x:v>
      </x:c>
      <x:c r="F2888" s="2" t="n">
        <x:v>235</x:v>
      </x:c>
      <x:c r="G2888" s="2" t="n">
        <x:v>1</x:v>
      </x:c>
      <x:c r="H2888" s="11" t="n">
        <x:v>409.4</x:v>
      </x:c>
      <x:c r="I2888" s="2" t="n">
        <x:v>2</x:v>
      </x:c>
      <x:c r="J2888" s="2" t="n">
        <x:v>1</x:v>
      </x:c>
      <x:c r="K2888" s="2" t="n">
        <x:v>2</x:v>
      </x:c>
      <x:c r="L2888" s="2" t="str">
        <x:v>Hibernating</x:v>
      </x:c>
    </x:row>
    <x:row r="2889" ht="22" customHeight="1">
      <x:c r="A2889" s="2"/>
      <x:c r="B2889" s="2" t="str">
        <x:v>15226</x:v>
      </x:c>
      <x:c r="C2889" s="2" t="str">
        <x:v>United Kingdom</x:v>
      </x:c>
      <x:c r="D2889" s="25" t="n">
        <x:v>40576.27847222222</x:v>
      </x:c>
      <x:c r="E2889" s="25" t="n">
        <x:v>40576.27847222222</x:v>
      </x:c>
      <x:c r="F2889" s="2" t="n">
        <x:v>311</x:v>
      </x:c>
      <x:c r="G2889" s="2" t="n">
        <x:v>1</x:v>
      </x:c>
      <x:c r="H2889" s="11" t="n">
        <x:v>154.41</x:v>
      </x:c>
      <x:c r="I2889" s="2" t="n">
        <x:v>2</x:v>
      </x:c>
      <x:c r="J2889" s="2" t="n">
        <x:v>1</x:v>
      </x:c>
      <x:c r="K2889" s="2" t="n">
        <x:v>1</x:v>
      </x:c>
      <x:c r="L2889" s="2" t="str">
        <x:v>Hibernating</x:v>
      </x:c>
    </x:row>
    <x:row r="2890" ht="22" customHeight="1">
      <x:c r="A2890" s="2"/>
      <x:c r="B2890" s="2" t="str">
        <x:v>15227</x:v>
      </x:c>
      <x:c r="C2890" s="2" t="str">
        <x:v>United Kingdom</x:v>
      </x:c>
      <x:c r="D2890" s="25" t="n">
        <x:v>40253.14097222222</x:v>
      </x:c>
      <x:c r="E2890" s="25" t="n">
        <x:v>40850.290972222225</x:v>
      </x:c>
      <x:c r="F2890" s="2" t="n">
        <x:v>37</x:v>
      </x:c>
      <x:c r="G2890" s="2" t="n">
        <x:v>9</x:v>
      </x:c>
      <x:c r="H2890" s="11" t="n">
        <x:v>2488.49</x:v>
      </x:c>
      <x:c r="I2890" s="2" t="n">
        <x:v>4</x:v>
      </x:c>
      <x:c r="J2890" s="2" t="n">
        <x:v>5</x:v>
      </x:c>
      <x:c r="K2890" s="2" t="n">
        <x:v>4</x:v>
      </x:c>
      <x:c r="L2890" s="2" t="str">
        <x:v>Champions</x:v>
      </x:c>
    </x:row>
    <x:row r="2891" ht="22" customHeight="1">
      <x:c r="A2891" s="2"/>
      <x:c r="B2891" s="2" t="str">
        <x:v>15228</x:v>
      </x:c>
      <x:c r="C2891" s="2" t="str">
        <x:v>United Kingdom</x:v>
      </x:c>
      <x:c r="D2891" s="25" t="n">
        <x:v>40387.222916666666</x:v>
      </x:c>
      <x:c r="E2891" s="25" t="n">
        <x:v>40820.37222222222</x:v>
      </x:c>
      <x:c r="F2891" s="2" t="n">
        <x:v>67</x:v>
      </x:c>
      <x:c r="G2891" s="2" t="n">
        <x:v>6</x:v>
      </x:c>
      <x:c r="H2891" s="11" t="n">
        <x:v>5580.27</x:v>
      </x:c>
      <x:c r="I2891" s="2" t="n">
        <x:v>3</x:v>
      </x:c>
      <x:c r="J2891" s="2" t="n">
        <x:v>4</x:v>
      </x:c>
      <x:c r="K2891" s="2" t="n">
        <x:v>5</x:v>
      </x:c>
      <x:c r="L2891" s="2" t="str">
        <x:v>Loyal</x:v>
      </x:c>
    </x:row>
    <x:row r="2892" ht="22" customHeight="1">
      <x:c r="A2892" s="2"/>
      <x:c r="B2892" s="2" t="str">
        <x:v>15229</x:v>
      </x:c>
      <x:c r="C2892" s="2" t="str">
        <x:v>United Kingdom</x:v>
      </x:c>
      <x:c r="D2892" s="25" t="n">
        <x:v>40300.368055555555</x:v>
      </x:c>
      <x:c r="E2892" s="25" t="n">
        <x:v>40300.368055555555</x:v>
      </x:c>
      <x:c r="F2892" s="2" t="n">
        <x:v>587</x:v>
      </x:c>
      <x:c r="G2892" s="2" t="n">
        <x:v>1</x:v>
      </x:c>
      <x:c r="H2892" s="11" t="n">
        <x:v>160.5</x:v>
      </x:c>
      <x:c r="I2892" s="2" t="n">
        <x:v>1</x:v>
      </x:c>
      <x:c r="J2892" s="2" t="n">
        <x:v>1</x:v>
      </x:c>
      <x:c r="K2892" s="2" t="n">
        <x:v>1</x:v>
      </x:c>
      <x:c r="L2892" s="2" t="str">
        <x:v>Hibernating</x:v>
      </x:c>
    </x:row>
    <x:row r="2893" ht="22" customHeight="1">
      <x:c r="A2893" s="2"/>
      <x:c r="B2893" s="2" t="str">
        <x:v>15230</x:v>
      </x:c>
      <x:c r="C2893" s="2" t="str">
        <x:v>United Kingdom</x:v>
      </x:c>
      <x:c r="D2893" s="25" t="n">
        <x:v>40646.25277777778</x:v>
      </x:c>
      <x:c r="E2893" s="25" t="n">
        <x:v>40647.402083333334</x:v>
      </x:c>
      <x:c r="F2893" s="2" t="n">
        <x:v>240</x:v>
      </x:c>
      <x:c r="G2893" s="2" t="n">
        <x:v>2</x:v>
      </x:c>
      <x:c r="H2893" s="11" t="n">
        <x:v>429.6</x:v>
      </x:c>
      <x:c r="I2893" s="2" t="n">
        <x:v>2</x:v>
      </x:c>
      <x:c r="J2893" s="2" t="n">
        <x:v>2</x:v>
      </x:c>
      <x:c r="K2893" s="2" t="n">
        <x:v>2</x:v>
      </x:c>
      <x:c r="L2893" s="2" t="str">
        <x:v>Hibernating</x:v>
      </x:c>
    </x:row>
    <x:row r="2894" ht="22" customHeight="1">
      <x:c r="A2894" s="2"/>
      <x:c r="B2894" s="2" t="str">
        <x:v>15231</x:v>
      </x:c>
      <x:c r="C2894" s="2" t="str">
        <x:v>United Kingdom</x:v>
      </x:c>
      <x:c r="D2894" s="25" t="n">
        <x:v>40265.425</x:v>
      </x:c>
      <x:c r="E2894" s="25" t="n">
        <x:v>40265.425</x:v>
      </x:c>
      <x:c r="F2894" s="2" t="n">
        <x:v>622</x:v>
      </x:c>
      <x:c r="G2894" s="2" t="n">
        <x:v>1</x:v>
      </x:c>
      <x:c r="H2894" s="11" t="n">
        <x:v>250.26</x:v>
      </x:c>
      <x:c r="I2894" s="2" t="n">
        <x:v>1</x:v>
      </x:c>
      <x:c r="J2894" s="2" t="n">
        <x:v>1</x:v>
      </x:c>
      <x:c r="K2894" s="2" t="n">
        <x:v>1</x:v>
      </x:c>
      <x:c r="L2894" s="2" t="str">
        <x:v>Hibernating</x:v>
      </x:c>
    </x:row>
    <x:row r="2895" ht="22" customHeight="1">
      <x:c r="A2895" s="2"/>
      <x:c r="B2895" s="2" t="str">
        <x:v>15232</x:v>
      </x:c>
      <x:c r="C2895" s="2" t="str">
        <x:v>United Kingdom</x:v>
      </x:c>
      <x:c r="D2895" s="25" t="n">
        <x:v>40746.30625</x:v>
      </x:c>
      <x:c r="E2895" s="25" t="n">
        <x:v>40773.47708333333</x:v>
      </x:c>
      <x:c r="F2895" s="2" t="n">
        <x:v>114</x:v>
      </x:c>
      <x:c r="G2895" s="2" t="n">
        <x:v>2</x:v>
      </x:c>
      <x:c r="H2895" s="11" t="n">
        <x:v>612.06</x:v>
      </x:c>
      <x:c r="I2895" s="2" t="n">
        <x:v>3</x:v>
      </x:c>
      <x:c r="J2895" s="2" t="n">
        <x:v>2</x:v>
      </x:c>
      <x:c r="K2895" s="2" t="n">
        <x:v>2</x:v>
      </x:c>
      <x:c r="L2895" s="2" t="str">
        <x:v>Developing</x:v>
      </x:c>
    </x:row>
    <x:row r="2896" ht="22" customHeight="1">
      <x:c r="A2896" s="2"/>
      <x:c r="B2896" s="2" t="str">
        <x:v>15233</x:v>
      </x:c>
      <x:c r="C2896" s="2" t="str">
        <x:v>United Kingdom</x:v>
      </x:c>
      <x:c r="D2896" s="25" t="n">
        <x:v>40485.35833333333</x:v>
      </x:c>
      <x:c r="E2896" s="25" t="n">
        <x:v>40485.35833333333</x:v>
      </x:c>
      <x:c r="F2896" s="2" t="n">
        <x:v>402</x:v>
      </x:c>
      <x:c r="G2896" s="2" t="n">
        <x:v>1</x:v>
      </x:c>
      <x:c r="H2896" s="11" t="n">
        <x:v>59.4</x:v>
      </x:c>
      <x:c r="I2896" s="2" t="n">
        <x:v>2</x:v>
      </x:c>
      <x:c r="J2896" s="2" t="n">
        <x:v>1</x:v>
      </x:c>
      <x:c r="K2896" s="2" t="n">
        <x:v>1</x:v>
      </x:c>
      <x:c r="L2896" s="2" t="str">
        <x:v>Hibernating</x:v>
      </x:c>
    </x:row>
    <x:row r="2897" ht="22" customHeight="1">
      <x:c r="A2897" s="2"/>
      <x:c r="B2897" s="2" t="str">
        <x:v>15234</x:v>
      </x:c>
      <x:c r="C2897" s="2" t="str">
        <x:v>United Kingdom</x:v>
      </x:c>
      <x:c r="D2897" s="25" t="n">
        <x:v>40610.16180555556</x:v>
      </x:c>
      <x:c r="E2897" s="25" t="n">
        <x:v>40610.16180555556</x:v>
      </x:c>
      <x:c r="F2897" s="2" t="n">
        <x:v>277</x:v>
      </x:c>
      <x:c r="G2897" s="2" t="n">
        <x:v>1</x:v>
      </x:c>
      <x:c r="H2897" s="11" t="n">
        <x:v>197</x:v>
      </x:c>
      <x:c r="I2897" s="2" t="n">
        <x:v>2</x:v>
      </x:c>
      <x:c r="J2897" s="2" t="n">
        <x:v>1</x:v>
      </x:c>
      <x:c r="K2897" s="2" t="n">
        <x:v>1</x:v>
      </x:c>
      <x:c r="L2897" s="2" t="str">
        <x:v>Hibernating</x:v>
      </x:c>
    </x:row>
    <x:row r="2898" ht="22" customHeight="1">
      <x:c r="A2898" s="2"/>
      <x:c r="B2898" s="2" t="str">
        <x:v>15235</x:v>
      </x:c>
      <x:c r="C2898" s="2" t="str">
        <x:v>United Kingdom</x:v>
      </x:c>
      <x:c r="D2898" s="25" t="n">
        <x:v>40498.325</x:v>
      </x:c>
      <x:c r="E2898" s="25" t="n">
        <x:v>40669.197222222225</x:v>
      </x:c>
      <x:c r="F2898" s="2" t="n">
        <x:v>218</x:v>
      </x:c>
      <x:c r="G2898" s="2" t="n">
        <x:v>16</x:v>
      </x:c>
      <x:c r="H2898" s="11" t="n">
        <x:v>2772.76</x:v>
      </x:c>
      <x:c r="I2898" s="2" t="n">
        <x:v>2</x:v>
      </x:c>
      <x:c r="J2898" s="2" t="n">
        <x:v>5</x:v>
      </x:c>
      <x:c r="K2898" s="2" t="n">
        <x:v>4</x:v>
      </x:c>
      <x:c r="L2898" s="2" t="str">
        <x:v>At risk</x:v>
      </x:c>
    </x:row>
    <x:row r="2899" ht="22" customHeight="1">
      <x:c r="A2899" s="2"/>
      <x:c r="B2899" s="2" t="str">
        <x:v>15236</x:v>
      </x:c>
      <x:c r="C2899" s="2" t="str">
        <x:v>United Kingdom</x:v>
      </x:c>
      <x:c r="D2899" s="25" t="n">
        <x:v>40588.24444444444</x:v>
      </x:c>
      <x:c r="E2899" s="25" t="n">
        <x:v>40588.24444444444</x:v>
      </x:c>
      <x:c r="F2899" s="2" t="n">
        <x:v>299</x:v>
      </x:c>
      <x:c r="G2899" s="2" t="n">
        <x:v>1</x:v>
      </x:c>
      <x:c r="H2899" s="11" t="n">
        <x:v>321.05</x:v>
      </x:c>
      <x:c r="I2899" s="2" t="n">
        <x:v>2</x:v>
      </x:c>
      <x:c r="J2899" s="2" t="n">
        <x:v>1</x:v>
      </x:c>
      <x:c r="K2899" s="2" t="n">
        <x:v>2</x:v>
      </x:c>
      <x:c r="L2899" s="2" t="str">
        <x:v>Hibernating</x:v>
      </x:c>
    </x:row>
    <x:row r="2900" ht="22" customHeight="1">
      <x:c r="A2900" s="2"/>
      <x:c r="B2900" s="2" t="str">
        <x:v>15237</x:v>
      </x:c>
      <x:c r="C2900" s="2" t="str">
        <x:v>United Kingdom</x:v>
      </x:c>
      <x:c r="D2900" s="25" t="n">
        <x:v>40659.419444444444</x:v>
      </x:c>
      <x:c r="E2900" s="25" t="n">
        <x:v>40885.19861111111</x:v>
      </x:c>
      <x:c r="F2900" s="2" t="n">
        <x:v>2</x:v>
      </x:c>
      <x:c r="G2900" s="2" t="n">
        <x:v>4</x:v>
      </x:c>
      <x:c r="H2900" s="11" t="n">
        <x:v>1412.32</x:v>
      </x:c>
      <x:c r="I2900" s="2" t="n">
        <x:v>5</x:v>
      </x:c>
      <x:c r="J2900" s="2" t="n">
        <x:v>3</x:v>
      </x:c>
      <x:c r="K2900" s="2" t="n">
        <x:v>4</x:v>
      </x:c>
      <x:c r="L2900" s="2" t="str">
        <x:v>Loyal</x:v>
      </x:c>
    </x:row>
    <x:row r="2901" ht="22" customHeight="1">
      <x:c r="A2901" s="2"/>
      <x:c r="B2901" s="2" t="str">
        <x:v>15238</x:v>
      </x:c>
      <x:c r="C2901" s="2" t="str">
        <x:v>United Kingdom</x:v>
      </x:c>
      <x:c r="D2901" s="25" t="n">
        <x:v>40702.458333333336</x:v>
      </x:c>
      <x:c r="E2901" s="25" t="n">
        <x:v>40857.39444444444</x:v>
      </x:c>
      <x:c r="F2901" s="2" t="n">
        <x:v>30</x:v>
      </x:c>
      <x:c r="G2901" s="2" t="n">
        <x:v>3</x:v>
      </x:c>
      <x:c r="H2901" s="11" t="n">
        <x:v>1071.99</x:v>
      </x:c>
      <x:c r="I2901" s="2" t="n">
        <x:v>4</x:v>
      </x:c>
      <x:c r="J2901" s="2" t="n">
        <x:v>3</x:v>
      </x:c>
      <x:c r="K2901" s="2" t="n">
        <x:v>3</x:v>
      </x:c>
      <x:c r="L2901" s="2" t="str">
        <x:v>Loyal</x:v>
      </x:c>
    </x:row>
    <x:row r="2902" ht="22" customHeight="1">
      <x:c r="A2902" s="2"/>
      <x:c r="B2902" s="2" t="str">
        <x:v>15239</x:v>
      </x:c>
      <x:c r="C2902" s="2" t="str">
        <x:v>United Kingdom</x:v>
      </x:c>
      <x:c r="D2902" s="25" t="n">
        <x:v>40808.20347222222</x:v>
      </x:c>
      <x:c r="E2902" s="25" t="n">
        <x:v>40876.384722222225</x:v>
      </x:c>
      <x:c r="F2902" s="2" t="n">
        <x:v>11</x:v>
      </x:c>
      <x:c r="G2902" s="2" t="n">
        <x:v>2</x:v>
      </x:c>
      <x:c r="H2902" s="11" t="n">
        <x:v>780.59</x:v>
      </x:c>
      <x:c r="I2902" s="2" t="n">
        <x:v>5</x:v>
      </x:c>
      <x:c r="J2902" s="2" t="n">
        <x:v>2</x:v>
      </x:c>
      <x:c r="K2902" s="2" t="n">
        <x:v>3</x:v>
      </x:c>
      <x:c r="L2902" s="2" t="str">
        <x:v>Recent light buyers</x:v>
      </x:c>
    </x:row>
    <x:row r="2903" ht="22" customHeight="1">
      <x:c r="A2903" s="2"/>
      <x:c r="B2903" s="2" t="str">
        <x:v>15240</x:v>
      </x:c>
      <x:c r="C2903" s="2" t="str">
        <x:v>United Kingdom</x:v>
      </x:c>
      <x:c r="D2903" s="25" t="n">
        <x:v>40152.41458333333</x:v>
      </x:c>
      <x:c r="E2903" s="25" t="n">
        <x:v>40842.20138888889</x:v>
      </x:c>
      <x:c r="F2903" s="2" t="n">
        <x:v>45</x:v>
      </x:c>
      <x:c r="G2903" s="2" t="n">
        <x:v>12</x:v>
      </x:c>
      <x:c r="H2903" s="11" t="n">
        <x:v>4459.98</x:v>
      </x:c>
      <x:c r="I2903" s="2" t="n">
        <x:v>4</x:v>
      </x:c>
      <x:c r="J2903" s="2" t="n">
        <x:v>5</x:v>
      </x:c>
      <x:c r="K2903" s="2" t="n">
        <x:v>5</x:v>
      </x:c>
      <x:c r="L2903" s="2" t="str">
        <x:v>Champions</x:v>
      </x:c>
    </x:row>
    <x:row r="2904" ht="22" customHeight="1">
      <x:c r="A2904" s="2"/>
      <x:c r="B2904" s="2" t="str">
        <x:v>15241</x:v>
      </x:c>
      <x:c r="C2904" s="2" t="str">
        <x:v>United Kingdom</x:v>
      </x:c>
      <x:c r="D2904" s="25" t="n">
        <x:v>40232.37430555555</x:v>
      </x:c>
      <x:c r="E2904" s="25" t="n">
        <x:v>40820.17013888889</x:v>
      </x:c>
      <x:c r="F2904" s="2" t="n">
        <x:v>67</x:v>
      </x:c>
      <x:c r="G2904" s="2" t="n">
        <x:v>11</x:v>
      </x:c>
      <x:c r="H2904" s="11" t="n">
        <x:v>3050.16</x:v>
      </x:c>
      <x:c r="I2904" s="2" t="n">
        <x:v>3</x:v>
      </x:c>
      <x:c r="J2904" s="2" t="n">
        <x:v>5</x:v>
      </x:c>
      <x:c r="K2904" s="2" t="n">
        <x:v>5</x:v>
      </x:c>
      <x:c r="L2904" s="2" t="str">
        <x:v>Loyal</x:v>
      </x:c>
    </x:row>
    <x:row r="2905" ht="22" customHeight="1">
      <x:c r="A2905" s="2"/>
      <x:c r="B2905" s="2" t="str">
        <x:v>15242</x:v>
      </x:c>
      <x:c r="C2905" s="2" t="str">
        <x:v>United Kingdom</x:v>
      </x:c>
      <x:c r="D2905" s="25" t="n">
        <x:v>40464.43958333333</x:v>
      </x:c>
      <x:c r="E2905" s="25" t="n">
        <x:v>40464.43958333333</x:v>
      </x:c>
      <x:c r="F2905" s="2" t="n">
        <x:v>423</x:v>
      </x:c>
      <x:c r="G2905" s="2" t="n">
        <x:v>1</x:v>
      </x:c>
      <x:c r="H2905" s="11" t="n">
        <x:v>302.04</x:v>
      </x:c>
      <x:c r="I2905" s="2" t="n">
        <x:v>1</x:v>
      </x:c>
      <x:c r="J2905" s="2" t="n">
        <x:v>1</x:v>
      </x:c>
      <x:c r="K2905" s="2" t="n">
        <x:v>2</x:v>
      </x:c>
      <x:c r="L2905" s="2" t="str">
        <x:v>Hibernating</x:v>
      </x:c>
    </x:row>
    <x:row r="2906" ht="22" customHeight="1">
      <x:c r="A2906" s="2"/>
      <x:c r="B2906" s="2" t="str">
        <x:v>15243</x:v>
      </x:c>
      <x:c r="C2906" s="2" t="str">
        <x:v>United Kingdom</x:v>
      </x:c>
      <x:c r="D2906" s="25" t="n">
        <x:v>40451.51944444444</x:v>
      </x:c>
      <x:c r="E2906" s="25" t="n">
        <x:v>40812.38333333333</x:v>
      </x:c>
      <x:c r="F2906" s="2" t="n">
        <x:v>75</x:v>
      </x:c>
      <x:c r="G2906" s="2" t="n">
        <x:v>2</x:v>
      </x:c>
      <x:c r="H2906" s="11" t="n">
        <x:v>927.28</x:v>
      </x:c>
      <x:c r="I2906" s="2" t="n">
        <x:v>3</x:v>
      </x:c>
      <x:c r="J2906" s="2" t="n">
        <x:v>2</x:v>
      </x:c>
      <x:c r="K2906" s="2" t="n">
        <x:v>3</x:v>
      </x:c>
      <x:c r="L2906" s="2" t="str">
        <x:v>Developing</x:v>
      </x:c>
    </x:row>
    <x:row r="2907" ht="22" customHeight="1">
      <x:c r="A2907" s="2"/>
      <x:c r="B2907" s="2" t="str">
        <x:v>15244</x:v>
      </x:c>
      <x:c r="C2907" s="2" t="str">
        <x:v>United Kingdom</x:v>
      </x:c>
      <x:c r="D2907" s="25" t="n">
        <x:v>40220.40833333333</x:v>
      </x:c>
      <x:c r="E2907" s="25" t="n">
        <x:v>40821.34652777778</x:v>
      </x:c>
      <x:c r="F2907" s="2" t="n">
        <x:v>66</x:v>
      </x:c>
      <x:c r="G2907" s="2" t="n">
        <x:v>3</x:v>
      </x:c>
      <x:c r="H2907" s="11" t="n">
        <x:v>912.08</x:v>
      </x:c>
      <x:c r="I2907" s="2" t="n">
        <x:v>3</x:v>
      </x:c>
      <x:c r="J2907" s="2" t="n">
        <x:v>3</x:v>
      </x:c>
      <x:c r="K2907" s="2" t="n">
        <x:v>3</x:v>
      </x:c>
      <x:c r="L2907" s="2" t="str">
        <x:v>Loyal</x:v>
      </x:c>
    </x:row>
    <x:row r="2908" ht="22" customHeight="1">
      <x:c r="A2908" s="2"/>
      <x:c r="B2908" s="2" t="str">
        <x:v>15245</x:v>
      </x:c>
      <x:c r="C2908" s="2" t="str">
        <x:v>United Kingdom</x:v>
      </x:c>
      <x:c r="D2908" s="25" t="n">
        <x:v>40291.39097222222</x:v>
      </x:c>
      <x:c r="E2908" s="25" t="n">
        <x:v>40752.580555555556</x:v>
      </x:c>
      <x:c r="F2908" s="2" t="n">
        <x:v>135</x:v>
      </x:c>
      <x:c r="G2908" s="2" t="n">
        <x:v>8</x:v>
      </x:c>
      <x:c r="H2908" s="11" t="n">
        <x:v>4610.84</x:v>
      </x:c>
      <x:c r="I2908" s="2" t="n">
        <x:v>3</x:v>
      </x:c>
      <x:c r="J2908" s="2" t="n">
        <x:v>4</x:v>
      </x:c>
      <x:c r="K2908" s="2" t="n">
        <x:v>5</x:v>
      </x:c>
      <x:c r="L2908" s="2" t="str">
        <x:v>Loyal</x:v>
      </x:c>
    </x:row>
    <x:row r="2909" ht="22" customHeight="1">
      <x:c r="A2909" s="2"/>
      <x:c r="B2909" s="2" t="str">
        <x:v>15246</x:v>
      </x:c>
      <x:c r="C2909" s="2" t="str">
        <x:v>United Kingdom</x:v>
      </x:c>
      <x:c r="D2909" s="25" t="n">
        <x:v>40331.26944444444</x:v>
      </x:c>
      <x:c r="E2909" s="25" t="n">
        <x:v>40648.40625</x:v>
      </x:c>
      <x:c r="F2909" s="2" t="n">
        <x:v>239</x:v>
      </x:c>
      <x:c r="G2909" s="2" t="n">
        <x:v>3</x:v>
      </x:c>
      <x:c r="H2909" s="11" t="n">
        <x:v>780.4</x:v>
      </x:c>
      <x:c r="I2909" s="2" t="n">
        <x:v>2</x:v>
      </x:c>
      <x:c r="J2909" s="2" t="n">
        <x:v>3</x:v>
      </x:c>
      <x:c r="K2909" s="2" t="n">
        <x:v>3</x:v>
      </x:c>
      <x:c r="L2909" s="2" t="str">
        <x:v>At risk</x:v>
      </x:c>
    </x:row>
    <x:row r="2910" ht="22" customHeight="1">
      <x:c r="A2910" s="2"/>
      <x:c r="B2910" s="2" t="str">
        <x:v>15247</x:v>
      </x:c>
      <x:c r="C2910" s="2" t="str">
        <x:v>United Kingdom</x:v>
      </x:c>
      <x:c r="D2910" s="25" t="n">
        <x:v>40349.38055555556</x:v>
      </x:c>
      <x:c r="E2910" s="25" t="n">
        <x:v>40764.32777777778</x:v>
      </x:c>
      <x:c r="F2910" s="2" t="n">
        <x:v>123</x:v>
      </x:c>
      <x:c r="G2910" s="2" t="n">
        <x:v>3</x:v>
      </x:c>
      <x:c r="H2910" s="11" t="n">
        <x:v>976.06</x:v>
      </x:c>
      <x:c r="I2910" s="2" t="n">
        <x:v>3</x:v>
      </x:c>
      <x:c r="J2910" s="2" t="n">
        <x:v>3</x:v>
      </x:c>
      <x:c r="K2910" s="2" t="n">
        <x:v>3</x:v>
      </x:c>
      <x:c r="L2910" s="2" t="str">
        <x:v>Loyal</x:v>
      </x:c>
    </x:row>
    <x:row r="2911" ht="22" customHeight="1">
      <x:c r="A2911" s="2"/>
      <x:c r="B2911" s="2" t="str">
        <x:v>15248</x:v>
      </x:c>
      <x:c r="C2911" s="2" t="str">
        <x:v>United Kingdom</x:v>
      </x:c>
      <x:c r="D2911" s="25" t="n">
        <x:v>40352.39861111111</x:v>
      </x:c>
      <x:c r="E2911" s="25" t="n">
        <x:v>40475.339583333334</x:v>
      </x:c>
      <x:c r="F2911" s="2" t="n">
        <x:v>412</x:v>
      </x:c>
      <x:c r="G2911" s="2" t="n">
        <x:v>3</x:v>
      </x:c>
      <x:c r="H2911" s="11" t="n">
        <x:v>1893.93</x:v>
      </x:c>
      <x:c r="I2911" s="2" t="n">
        <x:v>1</x:v>
      </x:c>
      <x:c r="J2911" s="2" t="n">
        <x:v>3</x:v>
      </x:c>
      <x:c r="K2911" s="2" t="n">
        <x:v>4</x:v>
      </x:c>
      <x:c r="L2911" s="2" t="str">
        <x:v>At risk</x:v>
      </x:c>
    </x:row>
    <x:row r="2912" ht="22" customHeight="1">
      <x:c r="A2912" s="2"/>
      <x:c r="B2912" s="2" t="str">
        <x:v>15249</x:v>
      </x:c>
      <x:c r="C2912" s="2" t="str">
        <x:v>United Kingdom</x:v>
      </x:c>
      <x:c r="D2912" s="25" t="n">
        <x:v>40263.410416666666</x:v>
      </x:c>
      <x:c r="E2912" s="25" t="n">
        <x:v>40855.28125</x:v>
      </x:c>
      <x:c r="F2912" s="2" t="n">
        <x:v>32</x:v>
      </x:c>
      <x:c r="G2912" s="2" t="n">
        <x:v>18</x:v>
      </x:c>
      <x:c r="H2912" s="11" t="n">
        <x:v>9266</x:v>
      </x:c>
      <x:c r="I2912" s="2" t="n">
        <x:v>4</x:v>
      </x:c>
      <x:c r="J2912" s="2" t="n">
        <x:v>5</x:v>
      </x:c>
      <x:c r="K2912" s="2" t="n">
        <x:v>5</x:v>
      </x:c>
      <x:c r="L2912" s="2" t="str">
        <x:v>Champions</x:v>
      </x:c>
    </x:row>
    <x:row r="2913" ht="22" customHeight="1">
      <x:c r="A2913" s="2"/>
      <x:c r="B2913" s="2" t="str">
        <x:v>15250</x:v>
      </x:c>
      <x:c r="C2913" s="2" t="str">
        <x:v>United Kingdom</x:v>
      </x:c>
      <x:c r="D2913" s="25" t="n">
        <x:v>40246.10763888889</x:v>
      </x:c>
      <x:c r="E2913" s="25" t="n">
        <x:v>40246.10763888889</x:v>
      </x:c>
      <x:c r="F2913" s="2" t="n">
        <x:v>641</x:v>
      </x:c>
      <x:c r="G2913" s="2" t="n">
        <x:v>1</x:v>
      </x:c>
      <x:c r="H2913" s="11" t="n">
        <x:v>60</x:v>
      </x:c>
      <x:c r="I2913" s="2" t="n">
        <x:v>1</x:v>
      </x:c>
      <x:c r="J2913" s="2" t="n">
        <x:v>1</x:v>
      </x:c>
      <x:c r="K2913" s="2" t="n">
        <x:v>1</x:v>
      </x:c>
      <x:c r="L2913" s="2" t="str">
        <x:v>Hibernating</x:v>
      </x:c>
    </x:row>
    <x:row r="2914" ht="22" customHeight="1">
      <x:c r="A2914" s="2"/>
      <x:c r="B2914" s="2" t="str">
        <x:v>15251</x:v>
      </x:c>
      <x:c r="C2914" s="2" t="str">
        <x:v>United Kingdom</x:v>
      </x:c>
      <x:c r="D2914" s="25" t="n">
        <x:v>40207.32083333333</x:v>
      </x:c>
      <x:c r="E2914" s="25" t="n">
        <x:v>40877.41805555556</x:v>
      </x:c>
      <x:c r="F2914" s="2" t="n">
        <x:v>10</x:v>
      </x:c>
      <x:c r="G2914" s="2" t="n">
        <x:v>21</x:v>
      </x:c>
      <x:c r="H2914" s="11" t="n">
        <x:v>20324.54</x:v>
      </x:c>
      <x:c r="I2914" s="2" t="n">
        <x:v>5</x:v>
      </x:c>
      <x:c r="J2914" s="2" t="n">
        <x:v>5</x:v>
      </x:c>
      <x:c r="K2914" s="2" t="n">
        <x:v>5</x:v>
      </x:c>
      <x:c r="L2914" s="2" t="str">
        <x:v>Champions</x:v>
      </x:c>
    </x:row>
    <x:row r="2915" ht="22" customHeight="1">
      <x:c r="A2915" s="2"/>
      <x:c r="B2915" s="2" t="str">
        <x:v>15252</x:v>
      </x:c>
      <x:c r="C2915" s="2" t="str">
        <x:v>United Kingdom</x:v>
      </x:c>
      <x:c r="D2915" s="25" t="n">
        <x:v>40275.225</x:v>
      </x:c>
      <x:c r="E2915" s="25" t="n">
        <x:v>40850.354166666664</x:v>
      </x:c>
      <x:c r="F2915" s="2" t="n">
        <x:v>37</x:v>
      </x:c>
      <x:c r="G2915" s="2" t="n">
        <x:v>5</x:v>
      </x:c>
      <x:c r="H2915" s="11" t="n">
        <x:v>2103.41</x:v>
      </x:c>
      <x:c r="I2915" s="2" t="n">
        <x:v>4</x:v>
      </x:c>
      <x:c r="J2915" s="2" t="n">
        <x:v>4</x:v>
      </x:c>
      <x:c r="K2915" s="2" t="n">
        <x:v>4</x:v>
      </x:c>
      <x:c r="L2915" s="2" t="str">
        <x:v>Champions</x:v>
      </x:c>
    </x:row>
    <x:row r="2916" ht="22" customHeight="1">
      <x:c r="A2916" s="2"/>
      <x:c r="B2916" s="2" t="str">
        <x:v>15253</x:v>
      </x:c>
      <x:c r="C2916" s="2" t="str">
        <x:v>United Kingdom</x:v>
      </x:c>
      <x:c r="D2916" s="25" t="n">
        <x:v>40300.26180555556</x:v>
      </x:c>
      <x:c r="E2916" s="25" t="n">
        <x:v>40870.47361111111</x:v>
      </x:c>
      <x:c r="F2916" s="2" t="n">
        <x:v>17</x:v>
      </x:c>
      <x:c r="G2916" s="2" t="n">
        <x:v>8</x:v>
      </x:c>
      <x:c r="H2916" s="11" t="n">
        <x:v>2055.09</x:v>
      </x:c>
      <x:c r="I2916" s="2" t="n">
        <x:v>5</x:v>
      </x:c>
      <x:c r="J2916" s="2" t="n">
        <x:v>4</x:v>
      </x:c>
      <x:c r="K2916" s="2" t="n">
        <x:v>4</x:v>
      </x:c>
      <x:c r="L2916" s="2" t="str">
        <x:v>Champions</x:v>
      </x:c>
    </x:row>
    <x:row r="2917" ht="22" customHeight="1">
      <x:c r="A2917" s="2"/>
      <x:c r="B2917" s="2" t="str">
        <x:v>15254</x:v>
      </x:c>
      <x:c r="C2917" s="2" t="str">
        <x:v>United Kingdom</x:v>
      </x:c>
      <x:c r="D2917" s="25" t="n">
        <x:v>40326.21388888889</x:v>
      </x:c>
      <x:c r="E2917" s="25" t="n">
        <x:v>40759.419444444444</x:v>
      </x:c>
      <x:c r="F2917" s="2" t="n">
        <x:v>128</x:v>
      </x:c>
      <x:c r="G2917" s="2" t="n">
        <x:v>3</x:v>
      </x:c>
      <x:c r="H2917" s="11" t="n">
        <x:v>1088.35</x:v>
      </x:c>
      <x:c r="I2917" s="2" t="n">
        <x:v>3</x:v>
      </x:c>
      <x:c r="J2917" s="2" t="n">
        <x:v>3</x:v>
      </x:c>
      <x:c r="K2917" s="2" t="n">
        <x:v>3</x:v>
      </x:c>
      <x:c r="L2917" s="2" t="str">
        <x:v>Loyal</x:v>
      </x:c>
    </x:row>
    <x:row r="2918" ht="22" customHeight="1">
      <x:c r="A2918" s="2"/>
      <x:c r="B2918" s="2" t="str">
        <x:v>15255</x:v>
      </x:c>
      <x:c r="C2918" s="2" t="str">
        <x:v>United Kingdom</x:v>
      </x:c>
      <x:c r="D2918" s="25" t="n">
        <x:v>40150.17361111111</x:v>
      </x:c>
      <x:c r="E2918" s="25" t="n">
        <x:v>40820.32152777778</x:v>
      </x:c>
      <x:c r="F2918" s="2" t="n">
        <x:v>67</x:v>
      </x:c>
      <x:c r="G2918" s="2" t="n">
        <x:v>9</x:v>
      </x:c>
      <x:c r="H2918" s="11" t="n">
        <x:v>3729.42</x:v>
      </x:c>
      <x:c r="I2918" s="2" t="n">
        <x:v>3</x:v>
      </x:c>
      <x:c r="J2918" s="2" t="n">
        <x:v>5</x:v>
      </x:c>
      <x:c r="K2918" s="2" t="n">
        <x:v>5</x:v>
      </x:c>
      <x:c r="L2918" s="2" t="str">
        <x:v>Loyal</x:v>
      </x:c>
    </x:row>
    <x:row r="2919" ht="22" customHeight="1">
      <x:c r="A2919" s="2"/>
      <x:c r="B2919" s="2" t="str">
        <x:v>15256</x:v>
      </x:c>
      <x:c r="C2919" s="2" t="str">
        <x:v>United Kingdom</x:v>
      </x:c>
      <x:c r="D2919" s="25" t="n">
        <x:v>40325.27847222222</x:v>
      </x:c>
      <x:c r="E2919" s="25" t="n">
        <x:v>40738.282638888886</x:v>
      </x:c>
      <x:c r="F2919" s="2" t="n">
        <x:v>149</x:v>
      </x:c>
      <x:c r="G2919" s="2" t="n">
        <x:v>2</x:v>
      </x:c>
      <x:c r="H2919" s="11" t="n">
        <x:v>170.4</x:v>
      </x:c>
      <x:c r="I2919" s="2" t="n">
        <x:v>3</x:v>
      </x:c>
      <x:c r="J2919" s="2" t="n">
        <x:v>2</x:v>
      </x:c>
      <x:c r="K2919" s="2" t="n">
        <x:v>1</x:v>
      </x:c>
      <x:c r="L2919" s="2" t="str">
        <x:v>Developing</x:v>
      </x:c>
    </x:row>
    <x:row r="2920" ht="22" customHeight="1">
      <x:c r="A2920" s="2"/>
      <x:c r="B2920" s="2" t="str">
        <x:v>15257</x:v>
      </x:c>
      <x:c r="C2920" s="2" t="str">
        <x:v>United Kingdom</x:v>
      </x:c>
      <x:c r="D2920" s="25" t="n">
        <x:v>40472.37708333333</x:v>
      </x:c>
      <x:c r="E2920" s="25" t="n">
        <x:v>40603.33194444444</x:v>
      </x:c>
      <x:c r="F2920" s="2" t="n">
        <x:v>284</x:v>
      </x:c>
      <x:c r="G2920" s="2" t="n">
        <x:v>2</x:v>
      </x:c>
      <x:c r="H2920" s="11" t="n">
        <x:v>685.9</x:v>
      </x:c>
      <x:c r="I2920" s="2" t="n">
        <x:v>2</x:v>
      </x:c>
      <x:c r="J2920" s="2" t="n">
        <x:v>2</x:v>
      </x:c>
      <x:c r="K2920" s="2" t="n">
        <x:v>3</x:v>
      </x:c>
      <x:c r="L2920" s="2" t="str">
        <x:v>Hibernating</x:v>
      </x:c>
    </x:row>
    <x:row r="2921" ht="22" customHeight="1">
      <x:c r="A2921" s="2"/>
      <x:c r="B2921" s="2" t="str">
        <x:v>15258</x:v>
      </x:c>
      <x:c r="C2921" s="2" t="str">
        <x:v>United Kingdom</x:v>
      </x:c>
      <x:c r="D2921" s="25" t="n">
        <x:v>40669.38611111111</x:v>
      </x:c>
      <x:c r="E2921" s="25" t="n">
        <x:v>40718.3125</x:v>
      </x:c>
      <x:c r="F2921" s="2" t="n">
        <x:v>169</x:v>
      </x:c>
      <x:c r="G2921" s="2" t="n">
        <x:v>2</x:v>
      </x:c>
      <x:c r="H2921" s="11" t="n">
        <x:v>623.16</x:v>
      </x:c>
      <x:c r="I2921" s="2" t="n">
        <x:v>3</x:v>
      </x:c>
      <x:c r="J2921" s="2" t="n">
        <x:v>2</x:v>
      </x:c>
      <x:c r="K2921" s="2" t="n">
        <x:v>3</x:v>
      </x:c>
      <x:c r="L2921" s="2" t="str">
        <x:v>Developing</x:v>
      </x:c>
    </x:row>
    <x:row r="2922" ht="22" customHeight="1">
      <x:c r="A2922" s="2"/>
      <x:c r="B2922" s="2" t="str">
        <x:v>15259</x:v>
      </x:c>
      <x:c r="C2922" s="2" t="str">
        <x:v>United Kingdom</x:v>
      </x:c>
      <x:c r="D2922" s="25" t="n">
        <x:v>40204.19513888889</x:v>
      </x:c>
      <x:c r="E2922" s="25" t="n">
        <x:v>40374.157638888886</x:v>
      </x:c>
      <x:c r="F2922" s="2" t="n">
        <x:v>513</x:v>
      </x:c>
      <x:c r="G2922" s="2" t="n">
        <x:v>4</x:v>
      </x:c>
      <x:c r="H2922" s="11" t="n">
        <x:v>1182.38</x:v>
      </x:c>
      <x:c r="I2922" s="2" t="n">
        <x:v>1</x:v>
      </x:c>
      <x:c r="J2922" s="2" t="n">
        <x:v>3</x:v>
      </x:c>
      <x:c r="K2922" s="2" t="n">
        <x:v>3</x:v>
      </x:c>
      <x:c r="L2922" s="2" t="str">
        <x:v>At risk</x:v>
      </x:c>
    </x:row>
    <x:row r="2923" ht="22" customHeight="1">
      <x:c r="A2923" s="2"/>
      <x:c r="B2923" s="2" t="str">
        <x:v>15260</x:v>
      </x:c>
      <x:c r="C2923" s="2" t="str">
        <x:v>United Kingdom</x:v>
      </x:c>
      <x:c r="D2923" s="25" t="n">
        <x:v>40153.28125</x:v>
      </x:c>
      <x:c r="E2923" s="25" t="n">
        <x:v>40786.37152777778</x:v>
      </x:c>
      <x:c r="F2923" s="2" t="n">
        <x:v>101</x:v>
      </x:c>
      <x:c r="G2923" s="2" t="n">
        <x:v>25</x:v>
      </x:c>
      <x:c r="H2923" s="11" t="n">
        <x:v>8767.73</x:v>
      </x:c>
      <x:c r="I2923" s="2" t="n">
        <x:v>3</x:v>
      </x:c>
      <x:c r="J2923" s="2" t="n">
        <x:v>5</x:v>
      </x:c>
      <x:c r="K2923" s="2" t="n">
        <x:v>5</x:v>
      </x:c>
      <x:c r="L2923" s="2" t="str">
        <x:v>Loyal</x:v>
      </x:c>
    </x:row>
    <x:row r="2924" ht="22" customHeight="1">
      <x:c r="A2924" s="2"/>
      <x:c r="B2924" s="2" t="str">
        <x:v>15261</x:v>
      </x:c>
      <x:c r="C2924" s="2" t="str">
        <x:v>United Kingdom</x:v>
      </x:c>
      <x:c r="D2924" s="25" t="n">
        <x:v>40452.290972222225</x:v>
      </x:c>
      <x:c r="E2924" s="25" t="n">
        <x:v>40751.430555555555</x:v>
      </x:c>
      <x:c r="F2924" s="2" t="n">
        <x:v>136</x:v>
      </x:c>
      <x:c r="G2924" s="2" t="n">
        <x:v>4</x:v>
      </x:c>
      <x:c r="H2924" s="11" t="n">
        <x:v>1508</x:v>
      </x:c>
      <x:c r="I2924" s="2" t="n">
        <x:v>3</x:v>
      </x:c>
      <x:c r="J2924" s="2" t="n">
        <x:v>3</x:v>
      </x:c>
      <x:c r="K2924" s="2" t="n">
        <x:v>4</x:v>
      </x:c>
      <x:c r="L2924" s="2" t="str">
        <x:v>Loyal</x:v>
      </x:c>
    </x:row>
    <x:row r="2925" ht="22" customHeight="1">
      <x:c r="A2925" s="2"/>
      <x:c r="B2925" s="2" t="str">
        <x:v>15262</x:v>
      </x:c>
      <x:c r="C2925" s="2" t="str">
        <x:v>United Kingdom</x:v>
      </x:c>
      <x:c r="D2925" s="25" t="n">
        <x:v>40398.45486111111</x:v>
      </x:c>
      <x:c r="E2925" s="25" t="n">
        <x:v>40563.302777777775</x:v>
      </x:c>
      <x:c r="F2925" s="2" t="n">
        <x:v>324</x:v>
      </x:c>
      <x:c r="G2925" s="2" t="n">
        <x:v>3</x:v>
      </x:c>
      <x:c r="H2925" s="11" t="n">
        <x:v>418.82</x:v>
      </x:c>
      <x:c r="I2925" s="2" t="n">
        <x:v>2</x:v>
      </x:c>
      <x:c r="J2925" s="2" t="n">
        <x:v>3</x:v>
      </x:c>
      <x:c r="K2925" s="2" t="n">
        <x:v>2</x:v>
      </x:c>
      <x:c r="L2925" s="2" t="str">
        <x:v>At risk</x:v>
      </x:c>
    </x:row>
    <x:row r="2926" ht="22" customHeight="1">
      <x:c r="A2926" s="2"/>
      <x:c r="B2926" s="2" t="str">
        <x:v>15263</x:v>
      </x:c>
      <x:c r="C2926" s="2" t="str">
        <x:v>United Kingdom</x:v>
      </x:c>
      <x:c r="D2926" s="25" t="n">
        <x:v>40780.22638888889</x:v>
      </x:c>
      <x:c r="E2926" s="25" t="n">
        <x:v>40780.22638888889</x:v>
      </x:c>
      <x:c r="F2926" s="2" t="n">
        <x:v>107</x:v>
      </x:c>
      <x:c r="G2926" s="2" t="n">
        <x:v>1</x:v>
      </x:c>
      <x:c r="H2926" s="11" t="n">
        <x:v>156.51</x:v>
      </x:c>
      <x:c r="I2926" s="2" t="n">
        <x:v>3</x:v>
      </x:c>
      <x:c r="J2926" s="2" t="n">
        <x:v>1</x:v>
      </x:c>
      <x:c r="K2926" s="2" t="n">
        <x:v>1</x:v>
      </x:c>
      <x:c r="L2926" s="2" t="str">
        <x:v>Developing</x:v>
      </x:c>
    </x:row>
    <x:row r="2927" ht="22" customHeight="1">
      <x:c r="A2927" s="2"/>
      <x:c r="B2927" s="2" t="str">
        <x:v>15264</x:v>
      </x:c>
      <x:c r="C2927" s="2" t="str">
        <x:v>United Kingdom</x:v>
      </x:c>
      <x:c r="D2927" s="25" t="n">
        <x:v>40356.353472222225</x:v>
      </x:c>
      <x:c r="E2927" s="25" t="n">
        <x:v>40822.36736111111</x:v>
      </x:c>
      <x:c r="F2927" s="2" t="n">
        <x:v>65</x:v>
      </x:c>
      <x:c r="G2927" s="2" t="n">
        <x:v>2</x:v>
      </x:c>
      <x:c r="H2927" s="11" t="n">
        <x:v>848.4</x:v>
      </x:c>
      <x:c r="I2927" s="2" t="n">
        <x:v>3</x:v>
      </x:c>
      <x:c r="J2927" s="2" t="n">
        <x:v>2</x:v>
      </x:c>
      <x:c r="K2927" s="2" t="n">
        <x:v>3</x:v>
      </x:c>
      <x:c r="L2927" s="2" t="str">
        <x:v>Developing</x:v>
      </x:c>
    </x:row>
    <x:row r="2928" ht="22" customHeight="1">
      <x:c r="A2928" s="2"/>
      <x:c r="B2928" s="2" t="str">
        <x:v>15265</x:v>
      </x:c>
      <x:c r="C2928" s="2" t="str">
        <x:v>United Kingdom</x:v>
      </x:c>
      <x:c r="D2928" s="25" t="n">
        <x:v>40148.50555555556</x:v>
      </x:c>
      <x:c r="E2928" s="25" t="n">
        <x:v>40735.40694444445</x:v>
      </x:c>
      <x:c r="F2928" s="2" t="n">
        <x:v>152</x:v>
      </x:c>
      <x:c r="G2928" s="2" t="n">
        <x:v>4</x:v>
      </x:c>
      <x:c r="H2928" s="11" t="n">
        <x:v>3345.64</x:v>
      </x:c>
      <x:c r="I2928" s="2" t="n">
        <x:v>3</x:v>
      </x:c>
      <x:c r="J2928" s="2" t="n">
        <x:v>3</x:v>
      </x:c>
      <x:c r="K2928" s="2" t="n">
        <x:v>5</x:v>
      </x:c>
      <x:c r="L2928" s="2" t="str">
        <x:v>Loyal</x:v>
      </x:c>
    </x:row>
    <x:row r="2929" ht="22" customHeight="1">
      <x:c r="A2929" s="2"/>
      <x:c r="B2929" s="2" t="str">
        <x:v>15266</x:v>
      </x:c>
      <x:c r="C2929" s="2" t="str">
        <x:v>United Kingdom</x:v>
      </x:c>
      <x:c r="D2929" s="25" t="n">
        <x:v>40185.30486111111</x:v>
      </x:c>
      <x:c r="E2929" s="25" t="n">
        <x:v>40548.36111111111</x:v>
      </x:c>
      <x:c r="F2929" s="2" t="n">
        <x:v>339</x:v>
      </x:c>
      <x:c r="G2929" s="2" t="n">
        <x:v>5</x:v>
      </x:c>
      <x:c r="H2929" s="11" t="n">
        <x:v>852.21</x:v>
      </x:c>
      <x:c r="I2929" s="2" t="n">
        <x:v>2</x:v>
      </x:c>
      <x:c r="J2929" s="2" t="n">
        <x:v>4</x:v>
      </x:c>
      <x:c r="K2929" s="2" t="n">
        <x:v>3</x:v>
      </x:c>
      <x:c r="L2929" s="2" t="str">
        <x:v>At risk</x:v>
      </x:c>
    </x:row>
    <x:row r="2930" ht="22" customHeight="1">
      <x:c r="A2930" s="2"/>
      <x:c r="B2930" s="2" t="str">
        <x:v>15267</x:v>
      </x:c>
      <x:c r="C2930" s="2" t="str">
        <x:v>United Kingdom</x:v>
      </x:c>
      <x:c r="D2930" s="25" t="n">
        <x:v>40704.225</x:v>
      </x:c>
      <x:c r="E2930" s="25" t="n">
        <x:v>40864.45763888889</x:v>
      </x:c>
      <x:c r="F2930" s="2" t="n">
        <x:v>23</x:v>
      </x:c>
      <x:c r="G2930" s="2" t="n">
        <x:v>5</x:v>
      </x:c>
      <x:c r="H2930" s="11" t="n">
        <x:v>1717.36</x:v>
      </x:c>
      <x:c r="I2930" s="2" t="n">
        <x:v>4</x:v>
      </x:c>
      <x:c r="J2930" s="2" t="n">
        <x:v>4</x:v>
      </x:c>
      <x:c r="K2930" s="2" t="n">
        <x:v>4</x:v>
      </x:c>
      <x:c r="L2930" s="2" t="str">
        <x:v>Champions</x:v>
      </x:c>
    </x:row>
    <x:row r="2931" ht="22" customHeight="1">
      <x:c r="A2931" s="2"/>
      <x:c r="B2931" s="2" t="str">
        <x:v>15268</x:v>
      </x:c>
      <x:c r="C2931" s="2" t="str">
        <x:v>United Kingdom</x:v>
      </x:c>
      <x:c r="D2931" s="25" t="n">
        <x:v>40281.26875</x:v>
      </x:c>
      <x:c r="E2931" s="25" t="n">
        <x:v>40408.23125</x:v>
      </x:c>
      <x:c r="F2931" s="2" t="n">
        <x:v>479</x:v>
      </x:c>
      <x:c r="G2931" s="2" t="n">
        <x:v>3</x:v>
      </x:c>
      <x:c r="H2931" s="11" t="n">
        <x:v>961.9</x:v>
      </x:c>
      <x:c r="I2931" s="2" t="n">
        <x:v>1</x:v>
      </x:c>
      <x:c r="J2931" s="2" t="n">
        <x:v>3</x:v>
      </x:c>
      <x:c r="K2931" s="2" t="n">
        <x:v>3</x:v>
      </x:c>
      <x:c r="L2931" s="2" t="str">
        <x:v>At risk</x:v>
      </x:c>
    </x:row>
    <x:row r="2932" ht="22" customHeight="1">
      <x:c r="A2932" s="2"/>
      <x:c r="B2932" s="2" t="str">
        <x:v>15269</x:v>
      </x:c>
      <x:c r="C2932" s="2" t="str">
        <x:v>United Kingdom</x:v>
      </x:c>
      <x:c r="D2932" s="25" t="n">
        <x:v>40496.33194444444</x:v>
      </x:c>
      <x:c r="E2932" s="25" t="n">
        <x:v>40863.188888888886</x:v>
      </x:c>
      <x:c r="F2932" s="2" t="n">
        <x:v>24</x:v>
      </x:c>
      <x:c r="G2932" s="2" t="n">
        <x:v>3</x:v>
      </x:c>
      <x:c r="H2932" s="11" t="n">
        <x:v>1225.36</x:v>
      </x:c>
      <x:c r="I2932" s="2" t="n">
        <x:v>4</x:v>
      </x:c>
      <x:c r="J2932" s="2" t="n">
        <x:v>3</x:v>
      </x:c>
      <x:c r="K2932" s="2" t="n">
        <x:v>3</x:v>
      </x:c>
      <x:c r="L2932" s="2" t="str">
        <x:v>Loyal</x:v>
      </x:c>
    </x:row>
    <x:row r="2933" ht="22" customHeight="1">
      <x:c r="A2933" s="2"/>
      <x:c r="B2933" s="2" t="str">
        <x:v>15270</x:v>
      </x:c>
      <x:c r="C2933" s="2" t="str">
        <x:v>United Kingdom</x:v>
      </x:c>
      <x:c r="D2933" s="25" t="n">
        <x:v>40164.41805555556</x:v>
      </x:c>
      <x:c r="E2933" s="25" t="n">
        <x:v>40871.183333333334</x:v>
      </x:c>
      <x:c r="F2933" s="2" t="n">
        <x:v>16</x:v>
      </x:c>
      <x:c r="G2933" s="2" t="n">
        <x:v>21</x:v>
      </x:c>
      <x:c r="H2933" s="11" t="n">
        <x:v>8524.86</x:v>
      </x:c>
      <x:c r="I2933" s="2" t="n">
        <x:v>5</x:v>
      </x:c>
      <x:c r="J2933" s="2" t="n">
        <x:v>5</x:v>
      </x:c>
      <x:c r="K2933" s="2" t="n">
        <x:v>5</x:v>
      </x:c>
      <x:c r="L2933" s="2" t="str">
        <x:v>Champions</x:v>
      </x:c>
    </x:row>
    <x:row r="2934" ht="22" customHeight="1">
      <x:c r="A2934" s="2"/>
      <x:c r="B2934" s="2" t="str">
        <x:v>15271</x:v>
      </x:c>
      <x:c r="C2934" s="2" t="str">
        <x:v>United Kingdom</x:v>
      </x:c>
      <x:c r="D2934" s="25" t="n">
        <x:v>40395.41458333333</x:v>
      </x:c>
      <x:c r="E2934" s="25" t="n">
        <x:v>40879.38263888889</x:v>
      </x:c>
      <x:c r="F2934" s="2" t="n">
        <x:v>8</x:v>
      </x:c>
      <x:c r="G2934" s="2" t="n">
        <x:v>24</x:v>
      </x:c>
      <x:c r="H2934" s="11" t="n">
        <x:v>4597.79</x:v>
      </x:c>
      <x:c r="I2934" s="2" t="n">
        <x:v>5</x:v>
      </x:c>
      <x:c r="J2934" s="2" t="n">
        <x:v>5</x:v>
      </x:c>
      <x:c r="K2934" s="2" t="n">
        <x:v>5</x:v>
      </x:c>
      <x:c r="L2934" s="2" t="str">
        <x:v>Champions</x:v>
      </x:c>
    </x:row>
    <x:row r="2935" ht="22" customHeight="1">
      <x:c r="A2935" s="2"/>
      <x:c r="B2935" s="2" t="str">
        <x:v>15272</x:v>
      </x:c>
      <x:c r="C2935" s="2" t="str">
        <x:v>United Kingdom</x:v>
      </x:c>
      <x:c r="D2935" s="25" t="n">
        <x:v>40223.36041666667</x:v>
      </x:c>
      <x:c r="E2935" s="25" t="n">
        <x:v>40829.33263888889</x:v>
      </x:c>
      <x:c r="F2935" s="2" t="n">
        <x:v>58</x:v>
      </x:c>
      <x:c r="G2935" s="2" t="n">
        <x:v>6</x:v>
      </x:c>
      <x:c r="H2935" s="11" t="n">
        <x:v>2085.48</x:v>
      </x:c>
      <x:c r="I2935" s="2" t="n">
        <x:v>4</x:v>
      </x:c>
      <x:c r="J2935" s="2" t="n">
        <x:v>4</x:v>
      </x:c>
      <x:c r="K2935" s="2" t="n">
        <x:v>4</x:v>
      </x:c>
      <x:c r="L2935" s="2" t="str">
        <x:v>Champions</x:v>
      </x:c>
    </x:row>
    <x:row r="2936" ht="22" customHeight="1">
      <x:c r="A2936" s="2"/>
      <x:c r="B2936" s="2" t="str">
        <x:v>15273</x:v>
      </x:c>
      <x:c r="C2936" s="2" t="str">
        <x:v>United Kingdom</x:v>
      </x:c>
      <x:c r="D2936" s="25" t="n">
        <x:v>40287.271527777775</x:v>
      </x:c>
      <x:c r="E2936" s="25" t="n">
        <x:v>40287.271527777775</x:v>
      </x:c>
      <x:c r="F2936" s="2" t="n">
        <x:v>600</x:v>
      </x:c>
      <x:c r="G2936" s="2" t="n">
        <x:v>1</x:v>
      </x:c>
      <x:c r="H2936" s="11" t="n">
        <x:v>228.96</x:v>
      </x:c>
      <x:c r="I2936" s="2" t="n">
        <x:v>1</x:v>
      </x:c>
      <x:c r="J2936" s="2" t="n">
        <x:v>1</x:v>
      </x:c>
      <x:c r="K2936" s="2" t="n">
        <x:v>1</x:v>
      </x:c>
      <x:c r="L2936" s="2" t="str">
        <x:v>Hibernating</x:v>
      </x:c>
    </x:row>
    <x:row r="2937" ht="22" customHeight="1">
      <x:c r="A2937" s="2"/>
      <x:c r="B2937" s="2" t="str">
        <x:v>15274</x:v>
      </x:c>
      <x:c r="C2937" s="2" t="str">
        <x:v>United Kingdom</x:v>
      </x:c>
      <x:c r="D2937" s="25" t="n">
        <x:v>40868.38680555556</x:v>
      </x:c>
      <x:c r="E2937" s="25" t="n">
        <x:v>40882.49791666667</x:v>
      </x:c>
      <x:c r="F2937" s="2" t="n">
        <x:v>5</x:v>
      </x:c>
      <x:c r="G2937" s="2" t="n">
        <x:v>2</x:v>
      </x:c>
      <x:c r="H2937" s="11" t="n">
        <x:v>716.57</x:v>
      </x:c>
      <x:c r="I2937" s="2" t="n">
        <x:v>5</x:v>
      </x:c>
      <x:c r="J2937" s="2" t="n">
        <x:v>2</x:v>
      </x:c>
      <x:c r="K2937" s="2" t="n">
        <x:v>3</x:v>
      </x:c>
      <x:c r="L2937" s="2" t="str">
        <x:v>Recent light buyers</x:v>
      </x:c>
    </x:row>
    <x:row r="2938" ht="22" customHeight="1">
      <x:c r="A2938" s="2"/>
      <x:c r="B2938" s="2" t="str">
        <x:v>15275</x:v>
      </x:c>
      <x:c r="C2938" s="2" t="str">
        <x:v>United Kingdom</x:v>
      </x:c>
      <x:c r="D2938" s="25" t="n">
        <x:v>40849.26388888889</x:v>
      </x:c>
      <x:c r="E2938" s="25" t="n">
        <x:v>40849.26388888889</x:v>
      </x:c>
      <x:c r="F2938" s="2" t="n">
        <x:v>38</x:v>
      </x:c>
      <x:c r="G2938" s="2" t="n">
        <x:v>1</x:v>
      </x:c>
      <x:c r="H2938" s="11" t="n">
        <x:v>615.14</x:v>
      </x:c>
      <x:c r="I2938" s="2" t="n">
        <x:v>4</x:v>
      </x:c>
      <x:c r="J2938" s="2" t="n">
        <x:v>1</x:v>
      </x:c>
      <x:c r="K2938" s="2" t="n">
        <x:v>3</x:v>
      </x:c>
      <x:c r="L2938" s="2" t="str">
        <x:v>Recent light buyers</x:v>
      </x:c>
    </x:row>
    <x:row r="2939" ht="22" customHeight="1">
      <x:c r="A2939" s="2"/>
      <x:c r="B2939" s="2" t="str">
        <x:v>15276</x:v>
      </x:c>
      <x:c r="C2939" s="2" t="str">
        <x:v>United Kingdom</x:v>
      </x:c>
      <x:c r="D2939" s="25" t="n">
        <x:v>40452.308333333334</x:v>
      </x:c>
      <x:c r="E2939" s="25" t="n">
        <x:v>40820.48541666667</x:v>
      </x:c>
      <x:c r="F2939" s="2" t="n">
        <x:v>67</x:v>
      </x:c>
      <x:c r="G2939" s="2" t="n">
        <x:v>4</x:v>
      </x:c>
      <x:c r="H2939" s="11" t="n">
        <x:v>649.53</x:v>
      </x:c>
      <x:c r="I2939" s="2" t="n">
        <x:v>3</x:v>
      </x:c>
      <x:c r="J2939" s="2" t="n">
        <x:v>3</x:v>
      </x:c>
      <x:c r="K2939" s="2" t="n">
        <x:v>3</x:v>
      </x:c>
      <x:c r="L2939" s="2" t="str">
        <x:v>Loyal</x:v>
      </x:c>
    </x:row>
    <x:row r="2940" ht="22" customHeight="1">
      <x:c r="A2940" s="2"/>
      <x:c r="B2940" s="2" t="str">
        <x:v>15277</x:v>
      </x:c>
      <x:c r="C2940" s="2" t="str">
        <x:v>United Kingdom</x:v>
      </x:c>
      <x:c r="D2940" s="25" t="n">
        <x:v>40461.45972222222</x:v>
      </x:c>
      <x:c r="E2940" s="25" t="n">
        <x:v>40840.21388888889</x:v>
      </x:c>
      <x:c r="F2940" s="2" t="n">
        <x:v>47</x:v>
      </x:c>
      <x:c r="G2940" s="2" t="n">
        <x:v>2</x:v>
      </x:c>
      <x:c r="H2940" s="11" t="n">
        <x:v>476.34</x:v>
      </x:c>
      <x:c r="I2940" s="2" t="n">
        <x:v>4</x:v>
      </x:c>
      <x:c r="J2940" s="2" t="n">
        <x:v>2</x:v>
      </x:c>
      <x:c r="K2940" s="2" t="n">
        <x:v>2</x:v>
      </x:c>
      <x:c r="L2940" s="2" t="str">
        <x:v>Recent light buyers</x:v>
      </x:c>
    </x:row>
    <x:row r="2941" ht="22" customHeight="1">
      <x:c r="A2941" s="2"/>
      <x:c r="B2941" s="2" t="str">
        <x:v>15278</x:v>
      </x:c>
      <x:c r="C2941" s="2" t="str">
        <x:v>United Kingdom</x:v>
      </x:c>
      <x:c r="D2941" s="25" t="n">
        <x:v>40221.41180555556</x:v>
      </x:c>
      <x:c r="E2941" s="25" t="n">
        <x:v>40325.21041666667</x:v>
      </x:c>
      <x:c r="F2941" s="2" t="n">
        <x:v>562</x:v>
      </x:c>
      <x:c r="G2941" s="2" t="n">
        <x:v>4</x:v>
      </x:c>
      <x:c r="H2941" s="11" t="n">
        <x:v>496.16</x:v>
      </x:c>
      <x:c r="I2941" s="2" t="n">
        <x:v>1</x:v>
      </x:c>
      <x:c r="J2941" s="2" t="n">
        <x:v>3</x:v>
      </x:c>
      <x:c r="K2941" s="2" t="n">
        <x:v>2</x:v>
      </x:c>
      <x:c r="L2941" s="2" t="str">
        <x:v>At risk</x:v>
      </x:c>
    </x:row>
    <x:row r="2942" ht="22" customHeight="1">
      <x:c r="A2942" s="2"/>
      <x:c r="B2942" s="2" t="str">
        <x:v>15279</x:v>
      </x:c>
      <x:c r="C2942" s="2" t="str">
        <x:v>United Kingdom</x:v>
      </x:c>
      <x:c r="D2942" s="25" t="n">
        <x:v>40211.21875</x:v>
      </x:c>
      <x:c r="E2942" s="25" t="n">
        <x:v>40532.24166666667</x:v>
      </x:c>
      <x:c r="F2942" s="2" t="n">
        <x:v>355</x:v>
      </x:c>
      <x:c r="G2942" s="2" t="n">
        <x:v>5</x:v>
      </x:c>
      <x:c r="H2942" s="11" t="n">
        <x:v>1580.54</x:v>
      </x:c>
      <x:c r="I2942" s="2" t="n">
        <x:v>2</x:v>
      </x:c>
      <x:c r="J2942" s="2" t="n">
        <x:v>4</x:v>
      </x:c>
      <x:c r="K2942" s="2" t="n">
        <x:v>4</x:v>
      </x:c>
      <x:c r="L2942" s="2" t="str">
        <x:v>At risk</x:v>
      </x:c>
    </x:row>
    <x:row r="2943" ht="22" customHeight="1">
      <x:c r="A2943" s="2"/>
      <x:c r="B2943" s="2" t="str">
        <x:v>15280</x:v>
      </x:c>
      <x:c r="C2943" s="2" t="str">
        <x:v>United Kingdom</x:v>
      </x:c>
      <x:c r="D2943" s="25" t="n">
        <x:v>40315.38680555556</x:v>
      </x:c>
      <x:c r="E2943" s="25" t="n">
        <x:v>40714.509722222225</x:v>
      </x:c>
      <x:c r="F2943" s="2" t="n">
        <x:v>173</x:v>
      </x:c>
      <x:c r="G2943" s="2" t="n">
        <x:v>3</x:v>
      </x:c>
      <x:c r="H2943" s="11" t="n">
        <x:v>406.22</x:v>
      </x:c>
      <x:c r="I2943" s="2" t="n">
        <x:v>3</x:v>
      </x:c>
      <x:c r="J2943" s="2" t="n">
        <x:v>3</x:v>
      </x:c>
      <x:c r="K2943" s="2" t="n">
        <x:v>2</x:v>
      </x:c>
      <x:c r="L2943" s="2" t="str">
        <x:v>Loyal</x:v>
      </x:c>
    </x:row>
    <x:row r="2944" ht="22" customHeight="1">
      <x:c r="A2944" s="2"/>
      <x:c r="B2944" s="2" t="str">
        <x:v>15281</x:v>
      </x:c>
      <x:c r="C2944" s="2" t="str">
        <x:v>United Kingdom</x:v>
      </x:c>
      <x:c r="D2944" s="25" t="n">
        <x:v>40459.30138888889</x:v>
      </x:c>
      <x:c r="E2944" s="25" t="n">
        <x:v>40828.17361111111</x:v>
      </x:c>
      <x:c r="F2944" s="2" t="n">
        <x:v>59</x:v>
      </x:c>
      <x:c r="G2944" s="2" t="n">
        <x:v>16</x:v>
      </x:c>
      <x:c r="H2944" s="11" t="n">
        <x:v>8543.57</x:v>
      </x:c>
      <x:c r="I2944" s="2" t="n">
        <x:v>4</x:v>
      </x:c>
      <x:c r="J2944" s="2" t="n">
        <x:v>5</x:v>
      </x:c>
      <x:c r="K2944" s="2" t="n">
        <x:v>5</x:v>
      </x:c>
      <x:c r="L2944" s="2" t="str">
        <x:v>Champions</x:v>
      </x:c>
    </x:row>
    <x:row r="2945" ht="22" customHeight="1">
      <x:c r="A2945" s="2"/>
      <x:c r="B2945" s="2" t="str">
        <x:v>15282</x:v>
      </x:c>
      <x:c r="C2945" s="2" t="str">
        <x:v>United Kingdom</x:v>
      </x:c>
      <x:c r="D2945" s="25" t="n">
        <x:v>40316.47708333333</x:v>
      </x:c>
      <x:c r="E2945" s="25" t="n">
        <x:v>40316.47708333333</x:v>
      </x:c>
      <x:c r="F2945" s="2" t="n">
        <x:v>571</x:v>
      </x:c>
      <x:c r="G2945" s="2" t="n">
        <x:v>1</x:v>
      </x:c>
      <x:c r="H2945" s="11" t="n">
        <x:v>348.59</x:v>
      </x:c>
      <x:c r="I2945" s="2" t="n">
        <x:v>1</x:v>
      </x:c>
      <x:c r="J2945" s="2" t="n">
        <x:v>1</x:v>
      </x:c>
      <x:c r="K2945" s="2" t="n">
        <x:v>2</x:v>
      </x:c>
      <x:c r="L2945" s="2" t="str">
        <x:v>Hibernating</x:v>
      </x:c>
    </x:row>
    <x:row r="2946" ht="22" customHeight="1">
      <x:c r="A2946" s="2"/>
      <x:c r="B2946" s="2" t="str">
        <x:v>15283</x:v>
      </x:c>
      <x:c r="C2946" s="2" t="str">
        <x:v>United Kingdom</x:v>
      </x:c>
      <x:c r="D2946" s="25" t="n">
        <x:v>40368.44861111111</x:v>
      </x:c>
      <x:c r="E2946" s="25" t="n">
        <x:v>40496.4125</x:v>
      </x:c>
      <x:c r="F2946" s="2" t="n">
        <x:v>391</x:v>
      </x:c>
      <x:c r="G2946" s="2" t="n">
        <x:v>3</x:v>
      </x:c>
      <x:c r="H2946" s="11" t="n">
        <x:v>148.33</x:v>
      </x:c>
      <x:c r="I2946" s="2" t="n">
        <x:v>2</x:v>
      </x:c>
      <x:c r="J2946" s="2" t="n">
        <x:v>3</x:v>
      </x:c>
      <x:c r="K2946" s="2" t="n">
        <x:v>1</x:v>
      </x:c>
      <x:c r="L2946" s="2" t="str">
        <x:v>At risk</x:v>
      </x:c>
    </x:row>
    <x:row r="2947" ht="22" customHeight="1">
      <x:c r="A2947" s="2"/>
      <x:c r="B2947" s="2" t="str">
        <x:v>15284</x:v>
      </x:c>
      <x:c r="C2947" s="2" t="str">
        <x:v>United Kingdom</x:v>
      </x:c>
      <x:c r="D2947" s="25" t="n">
        <x:v>40386.350694444445</x:v>
      </x:c>
      <x:c r="E2947" s="25" t="n">
        <x:v>40386.350694444445</x:v>
      </x:c>
      <x:c r="F2947" s="2" t="n">
        <x:v>501</x:v>
      </x:c>
      <x:c r="G2947" s="2" t="n">
        <x:v>1</x:v>
      </x:c>
      <x:c r="H2947" s="11" t="n">
        <x:v>24.75</x:v>
      </x:c>
      <x:c r="I2947" s="2" t="n">
        <x:v>1</x:v>
      </x:c>
      <x:c r="J2947" s="2" t="n">
        <x:v>1</x:v>
      </x:c>
      <x:c r="K2947" s="2" t="n">
        <x:v>1</x:v>
      </x:c>
      <x:c r="L2947" s="2" t="str">
        <x:v>Hibernating</x:v>
      </x:c>
    </x:row>
    <x:row r="2948" ht="22" customHeight="1">
      <x:c r="A2948" s="2"/>
      <x:c r="B2948" s="2" t="str">
        <x:v>15285</x:v>
      </x:c>
      <x:c r="C2948" s="2" t="str">
        <x:v>United Kingdom</x:v>
      </x:c>
      <x:c r="D2948" s="25" t="n">
        <x:v>40479.19861111111</x:v>
      </x:c>
      <x:c r="E2948" s="25" t="n">
        <x:v>40479.19861111111</x:v>
      </x:c>
      <x:c r="F2948" s="2" t="n">
        <x:v>408</x:v>
      </x:c>
      <x:c r="G2948" s="2" t="n">
        <x:v>1</x:v>
      </x:c>
      <x:c r="H2948" s="11" t="n">
        <x:v>94.92</x:v>
      </x:c>
      <x:c r="I2948" s="2" t="n">
        <x:v>2</x:v>
      </x:c>
      <x:c r="J2948" s="2" t="n">
        <x:v>1</x:v>
      </x:c>
      <x:c r="K2948" s="2" t="n">
        <x:v>1</x:v>
      </x:c>
      <x:c r="L2948" s="2" t="str">
        <x:v>Hibernating</x:v>
      </x:c>
    </x:row>
    <x:row r="2949" ht="22" customHeight="1">
      <x:c r="A2949" s="2"/>
      <x:c r="B2949" s="2" t="str">
        <x:v>15286</x:v>
      </x:c>
      <x:c r="C2949" s="2" t="str">
        <x:v>United Kingdom</x:v>
      </x:c>
      <x:c r="D2949" s="25" t="n">
        <x:v>40837.25555555556</x:v>
      </x:c>
      <x:c r="E2949" s="25" t="n">
        <x:v>40837.25555555556</x:v>
      </x:c>
      <x:c r="F2949" s="2" t="n">
        <x:v>50</x:v>
      </x:c>
      <x:c r="G2949" s="2" t="n">
        <x:v>1</x:v>
      </x:c>
      <x:c r="H2949" s="11" t="n">
        <x:v>240.55</x:v>
      </x:c>
      <x:c r="I2949" s="2" t="n">
        <x:v>4</x:v>
      </x:c>
      <x:c r="J2949" s="2" t="n">
        <x:v>1</x:v>
      </x:c>
      <x:c r="K2949" s="2" t="n">
        <x:v>1</x:v>
      </x:c>
      <x:c r="L2949" s="2" t="str">
        <x:v>Recent light buyers</x:v>
      </x:c>
    </x:row>
    <x:row r="2950" ht="22" customHeight="1">
      <x:c r="A2950" s="2"/>
      <x:c r="B2950" s="2" t="str">
        <x:v>15287</x:v>
      </x:c>
      <x:c r="C2950" s="2" t="str">
        <x:v>United Kingdom</x:v>
      </x:c>
      <x:c r="D2950" s="25" t="n">
        <x:v>40149.30069444444</x:v>
      </x:c>
      <x:c r="E2950" s="25" t="n">
        <x:v>40864.44027777778</x:v>
      </x:c>
      <x:c r="F2950" s="2" t="n">
        <x:v>23</x:v>
      </x:c>
      <x:c r="G2950" s="2" t="n">
        <x:v>5</x:v>
      </x:c>
      <x:c r="H2950" s="11" t="n">
        <x:v>856.03</x:v>
      </x:c>
      <x:c r="I2950" s="2" t="n">
        <x:v>4</x:v>
      </x:c>
      <x:c r="J2950" s="2" t="n">
        <x:v>4</x:v>
      </x:c>
      <x:c r="K2950" s="2" t="n">
        <x:v>3</x:v>
      </x:c>
      <x:c r="L2950" s="2" t="str">
        <x:v>Loyal</x:v>
      </x:c>
    </x:row>
    <x:row r="2951" ht="22" customHeight="1">
      <x:c r="A2951" s="2"/>
      <x:c r="B2951" s="2" t="str">
        <x:v>15288</x:v>
      </x:c>
      <x:c r="C2951" s="2" t="str">
        <x:v>United Kingdom</x:v>
      </x:c>
      <x:c r="D2951" s="25" t="n">
        <x:v>40221.43541666667</x:v>
      </x:c>
      <x:c r="E2951" s="25" t="n">
        <x:v>40843.498611111114</x:v>
      </x:c>
      <x:c r="F2951" s="2" t="n">
        <x:v>44</x:v>
      </x:c>
      <x:c r="G2951" s="2" t="n">
        <x:v>10</x:v>
      </x:c>
      <x:c r="H2951" s="11" t="n">
        <x:v>3717.48</x:v>
      </x:c>
      <x:c r="I2951" s="2" t="n">
        <x:v>4</x:v>
      </x:c>
      <x:c r="J2951" s="2" t="n">
        <x:v>5</x:v>
      </x:c>
      <x:c r="K2951" s="2" t="n">
        <x:v>5</x:v>
      </x:c>
      <x:c r="L2951" s="2" t="str">
        <x:v>Champions</x:v>
      </x:c>
    </x:row>
    <x:row r="2952" ht="22" customHeight="1">
      <x:c r="A2952" s="2"/>
      <x:c r="B2952" s="2" t="str">
        <x:v>15289</x:v>
      </x:c>
      <x:c r="C2952" s="2" t="str">
        <x:v>United Kingdom</x:v>
      </x:c>
      <x:c r="D2952" s="25" t="n">
        <x:v>40265.28125</x:v>
      </x:c>
      <x:c r="E2952" s="25" t="n">
        <x:v>40857.36736111111</x:v>
      </x:c>
      <x:c r="F2952" s="2" t="n">
        <x:v>30</x:v>
      </x:c>
      <x:c r="G2952" s="2" t="n">
        <x:v>5</x:v>
      </x:c>
      <x:c r="H2952" s="11" t="n">
        <x:v>1593.09</x:v>
      </x:c>
      <x:c r="I2952" s="2" t="n">
        <x:v>4</x:v>
      </x:c>
      <x:c r="J2952" s="2" t="n">
        <x:v>4</x:v>
      </x:c>
      <x:c r="K2952" s="2" t="n">
        <x:v>4</x:v>
      </x:c>
      <x:c r="L2952" s="2" t="str">
        <x:v>Champions</x:v>
      </x:c>
    </x:row>
    <x:row r="2953" ht="22" customHeight="1">
      <x:c r="A2953" s="2"/>
      <x:c r="B2953" s="2" t="str">
        <x:v>15290</x:v>
      </x:c>
      <x:c r="C2953" s="2" t="str">
        <x:v>United Kingdom</x:v>
      </x:c>
      <x:c r="D2953" s="25" t="n">
        <x:v>40233.21875</x:v>
      </x:c>
      <x:c r="E2953" s="25" t="n">
        <x:v>40882.277083333334</x:v>
      </x:c>
      <x:c r="F2953" s="2" t="n">
        <x:v>5</x:v>
      </x:c>
      <x:c r="G2953" s="2" t="n">
        <x:v>26</x:v>
      </x:c>
      <x:c r="H2953" s="11" t="n">
        <x:v>10496.28</x:v>
      </x:c>
      <x:c r="I2953" s="2" t="n">
        <x:v>5</x:v>
      </x:c>
      <x:c r="J2953" s="2" t="n">
        <x:v>5</x:v>
      </x:c>
      <x:c r="K2953" s="2" t="n">
        <x:v>5</x:v>
      </x:c>
      <x:c r="L2953" s="2" t="str">
        <x:v>Champions</x:v>
      </x:c>
    </x:row>
    <x:row r="2954" ht="22" customHeight="1">
      <x:c r="A2954" s="2"/>
      <x:c r="B2954" s="2" t="str">
        <x:v>15291</x:v>
      </x:c>
      <x:c r="C2954" s="2" t="str">
        <x:v>United Kingdom</x:v>
      </x:c>
      <x:c r="D2954" s="25" t="n">
        <x:v>40150.25625</x:v>
      </x:c>
      <x:c r="E2954" s="25" t="n">
        <x:v>40861.251388888886</x:v>
      </x:c>
      <x:c r="F2954" s="2" t="n">
        <x:v>26</x:v>
      </x:c>
      <x:c r="G2954" s="2" t="n">
        <x:v>40</x:v>
      </x:c>
      <x:c r="H2954" s="11" t="n">
        <x:v>13517.76</x:v>
      </x:c>
      <x:c r="I2954" s="2" t="n">
        <x:v>4</x:v>
      </x:c>
      <x:c r="J2954" s="2" t="n">
        <x:v>5</x:v>
      </x:c>
      <x:c r="K2954" s="2" t="n">
        <x:v>5</x:v>
      </x:c>
      <x:c r="L2954" s="2" t="str">
        <x:v>Champions</x:v>
      </x:c>
    </x:row>
    <x:row r="2955" ht="22" customHeight="1">
      <x:c r="A2955" s="2"/>
      <x:c r="B2955" s="2" t="str">
        <x:v>15292</x:v>
      </x:c>
      <x:c r="C2955" s="2" t="str">
        <x:v>United Kingdom</x:v>
      </x:c>
      <x:c r="D2955" s="25" t="n">
        <x:v>40685.416666666664</x:v>
      </x:c>
      <x:c r="E2955" s="25" t="n">
        <x:v>40685.416666666664</x:v>
      </x:c>
      <x:c r="F2955" s="2" t="n">
        <x:v>202</x:v>
      </x:c>
      <x:c r="G2955" s="2" t="n">
        <x:v>1</x:v>
      </x:c>
      <x:c r="H2955" s="11" t="n">
        <x:v>180.94</x:v>
      </x:c>
      <x:c r="I2955" s="2" t="n">
        <x:v>2</x:v>
      </x:c>
      <x:c r="J2955" s="2" t="n">
        <x:v>1</x:v>
      </x:c>
      <x:c r="K2955" s="2" t="n">
        <x:v>1</x:v>
      </x:c>
      <x:c r="L2955" s="2" t="str">
        <x:v>Hibernating</x:v>
      </x:c>
    </x:row>
    <x:row r="2956" ht="22" customHeight="1">
      <x:c r="A2956" s="2"/>
      <x:c r="B2956" s="2" t="str">
        <x:v>15293</x:v>
      </x:c>
      <x:c r="C2956" s="2" t="str">
        <x:v>United Kingdom</x:v>
      </x:c>
      <x:c r="D2956" s="25" t="n">
        <x:v>40221.2875</x:v>
      </x:c>
      <x:c r="E2956" s="25" t="n">
        <x:v>40221.2875</x:v>
      </x:c>
      <x:c r="F2956" s="2" t="n">
        <x:v>666</x:v>
      </x:c>
      <x:c r="G2956" s="2" t="n">
        <x:v>1</x:v>
      </x:c>
      <x:c r="H2956" s="11" t="n">
        <x:v>247.5</x:v>
      </x:c>
      <x:c r="I2956" s="2" t="n">
        <x:v>1</x:v>
      </x:c>
      <x:c r="J2956" s="2" t="n">
        <x:v>1</x:v>
      </x:c>
      <x:c r="K2956" s="2" t="n">
        <x:v>1</x:v>
      </x:c>
      <x:c r="L2956" s="2" t="str">
        <x:v>Hibernating</x:v>
      </x:c>
    </x:row>
    <x:row r="2957" ht="22" customHeight="1">
      <x:c r="A2957" s="2"/>
      <x:c r="B2957" s="2" t="str">
        <x:v>15294</x:v>
      </x:c>
      <x:c r="C2957" s="2" t="str">
        <x:v>United Kingdom</x:v>
      </x:c>
      <x:c r="D2957" s="25" t="n">
        <x:v>40476.28125</x:v>
      </x:c>
      <x:c r="E2957" s="25" t="n">
        <x:v>40476.28125</x:v>
      </x:c>
      <x:c r="F2957" s="2" t="n">
        <x:v>411</x:v>
      </x:c>
      <x:c r="G2957" s="2" t="n">
        <x:v>1</x:v>
      </x:c>
      <x:c r="H2957" s="11" t="n">
        <x:v>233.35</x:v>
      </x:c>
      <x:c r="I2957" s="2" t="n">
        <x:v>2</x:v>
      </x:c>
      <x:c r="J2957" s="2" t="n">
        <x:v>1</x:v>
      </x:c>
      <x:c r="K2957" s="2" t="n">
        <x:v>1</x:v>
      </x:c>
      <x:c r="L2957" s="2" t="str">
        <x:v>Hibernating</x:v>
      </x:c>
    </x:row>
    <x:row r="2958" ht="22" customHeight="1">
      <x:c r="A2958" s="2"/>
      <x:c r="B2958" s="2" t="str">
        <x:v>15295</x:v>
      </x:c>
      <x:c r="C2958" s="2" t="str">
        <x:v>United Kingdom</x:v>
      </x:c>
      <x:c r="D2958" s="25" t="n">
        <x:v>40232.33541666667</x:v>
      </x:c>
      <x:c r="E2958" s="25" t="n">
        <x:v>40232.33541666667</x:v>
      </x:c>
      <x:c r="F2958" s="2" t="n">
        <x:v>655</x:v>
      </x:c>
      <x:c r="G2958" s="2" t="n">
        <x:v>1</x:v>
      </x:c>
      <x:c r="H2958" s="11" t="n">
        <x:v>217.24</x:v>
      </x:c>
      <x:c r="I2958" s="2" t="n">
        <x:v>1</x:v>
      </x:c>
      <x:c r="J2958" s="2" t="n">
        <x:v>1</x:v>
      </x:c>
      <x:c r="K2958" s="2" t="n">
        <x:v>1</x:v>
      </x:c>
      <x:c r="L2958" s="2" t="str">
        <x:v>Hibernating</x:v>
      </x:c>
    </x:row>
    <x:row r="2959" ht="22" customHeight="1">
      <x:c r="A2959" s="2"/>
      <x:c r="B2959" s="2" t="str">
        <x:v>15296</x:v>
      </x:c>
      <x:c r="C2959" s="2" t="str">
        <x:v>United Kingdom</x:v>
      </x:c>
      <x:c r="D2959" s="25" t="n">
        <x:v>40199.36666666667</x:v>
      </x:c>
      <x:c r="E2959" s="25" t="n">
        <x:v>40836.282638888886</x:v>
      </x:c>
      <x:c r="F2959" s="2" t="n">
        <x:v>51</x:v>
      </x:c>
      <x:c r="G2959" s="2" t="n">
        <x:v>12</x:v>
      </x:c>
      <x:c r="H2959" s="11" t="n">
        <x:v>10342.83</x:v>
      </x:c>
      <x:c r="I2959" s="2" t="n">
        <x:v>4</x:v>
      </x:c>
      <x:c r="J2959" s="2" t="n">
        <x:v>5</x:v>
      </x:c>
      <x:c r="K2959" s="2" t="n">
        <x:v>5</x:v>
      </x:c>
      <x:c r="L2959" s="2" t="str">
        <x:v>Champions</x:v>
      </x:c>
    </x:row>
    <x:row r="2960" ht="22" customHeight="1">
      <x:c r="A2960" s="2"/>
      <x:c r="B2960" s="2" t="str">
        <x:v>15297</x:v>
      </x:c>
      <x:c r="C2960" s="2" t="str">
        <x:v>United Kingdom</x:v>
      </x:c>
      <x:c r="D2960" s="25" t="n">
        <x:v>40823.19583333333</x:v>
      </x:c>
      <x:c r="E2960" s="25" t="n">
        <x:v>40876.48055555556</x:v>
      </x:c>
      <x:c r="F2960" s="2" t="n">
        <x:v>11</x:v>
      </x:c>
      <x:c r="G2960" s="2" t="n">
        <x:v>3</x:v>
      </x:c>
      <x:c r="H2960" s="11" t="n">
        <x:v>641.94</x:v>
      </x:c>
      <x:c r="I2960" s="2" t="n">
        <x:v>5</x:v>
      </x:c>
      <x:c r="J2960" s="2" t="n">
        <x:v>3</x:v>
      </x:c>
      <x:c r="K2960" s="2" t="n">
        <x:v>3</x:v>
      </x:c>
      <x:c r="L2960" s="2" t="str">
        <x:v>Loyal</x:v>
      </x:c>
    </x:row>
    <x:row r="2961" ht="22" customHeight="1">
      <x:c r="A2961" s="2"/>
      <x:c r="B2961" s="2" t="str">
        <x:v>15298</x:v>
      </x:c>
      <x:c r="C2961" s="2" t="str">
        <x:v>United Kingdom</x:v>
      </x:c>
      <x:c r="D2961" s="25" t="n">
        <x:v>40155.50277777778</x:v>
      </x:c>
      <x:c r="E2961" s="25" t="n">
        <x:v>40884.51180555556</x:v>
      </x:c>
      <x:c r="F2961" s="2" t="n">
        <x:v>3</x:v>
      </x:c>
      <x:c r="G2961" s="2" t="n">
        <x:v>23</x:v>
      </x:c>
      <x:c r="H2961" s="11" t="n">
        <x:v>9061.77</x:v>
      </x:c>
      <x:c r="I2961" s="2" t="n">
        <x:v>5</x:v>
      </x:c>
      <x:c r="J2961" s="2" t="n">
        <x:v>5</x:v>
      </x:c>
      <x:c r="K2961" s="2" t="n">
        <x:v>5</x:v>
      </x:c>
      <x:c r="L2961" s="2" t="str">
        <x:v>Champions</x:v>
      </x:c>
    </x:row>
    <x:row r="2962" ht="22" customHeight="1">
      <x:c r="A2962" s="2"/>
      <x:c r="B2962" s="2" t="str">
        <x:v>15299</x:v>
      </x:c>
      <x:c r="C2962" s="2" t="str">
        <x:v>United Kingdom</x:v>
      </x:c>
      <x:c r="D2962" s="25" t="n">
        <x:v>40190.27361111111</x:v>
      </x:c>
      <x:c r="E2962" s="25" t="n">
        <x:v>40819.388194444444</x:v>
      </x:c>
      <x:c r="F2962" s="2" t="n">
        <x:v>68</x:v>
      </x:c>
      <x:c r="G2962" s="2" t="n">
        <x:v>10</x:v>
      </x:c>
      <x:c r="H2962" s="11" t="n">
        <x:v>6156.53</x:v>
      </x:c>
      <x:c r="I2962" s="2" t="n">
        <x:v>3</x:v>
      </x:c>
      <x:c r="J2962" s="2" t="n">
        <x:v>5</x:v>
      </x:c>
      <x:c r="K2962" s="2" t="n">
        <x:v>5</x:v>
      </x:c>
      <x:c r="L2962" s="2" t="str">
        <x:v>Loyal</x:v>
      </x:c>
    </x:row>
    <x:row r="2963" ht="22" customHeight="1">
      <x:c r="A2963" s="2"/>
      <x:c r="B2963" s="2" t="str">
        <x:v>15300</x:v>
      </x:c>
      <x:c r="C2963" s="2" t="str">
        <x:v>United Kingdom</x:v>
      </x:c>
      <x:c r="D2963" s="25" t="n">
        <x:v>40822.50555555556</x:v>
      </x:c>
      <x:c r="E2963" s="25" t="n">
        <x:v>40822.50555555556</x:v>
      </x:c>
      <x:c r="F2963" s="2" t="n">
        <x:v>65</x:v>
      </x:c>
      <x:c r="G2963" s="2" t="n">
        <x:v>1</x:v>
      </x:c>
      <x:c r="H2963" s="11" t="n">
        <x:v>496.44</x:v>
      </x:c>
      <x:c r="I2963" s="2" t="n">
        <x:v>3</x:v>
      </x:c>
      <x:c r="J2963" s="2" t="n">
        <x:v>1</x:v>
      </x:c>
      <x:c r="K2963" s="2" t="n">
        <x:v>2</x:v>
      </x:c>
      <x:c r="L2963" s="2" t="str">
        <x:v>Developing</x:v>
      </x:c>
    </x:row>
    <x:row r="2964" ht="22" customHeight="1">
      <x:c r="A2964" s="2"/>
      <x:c r="B2964" s="2" t="str">
        <x:v>15301</x:v>
      </x:c>
      <x:c r="C2964" s="2" t="str">
        <x:v>United Kingdom</x:v>
      </x:c>
      <x:c r="D2964" s="25" t="n">
        <x:v>40436.44513888889</x:v>
      </x:c>
      <x:c r="E2964" s="25" t="n">
        <x:v>40836.20625</x:v>
      </x:c>
      <x:c r="F2964" s="2" t="n">
        <x:v>51</x:v>
      </x:c>
      <x:c r="G2964" s="2" t="n">
        <x:v>17</x:v>
      </x:c>
      <x:c r="H2964" s="11" t="n">
        <x:v>6930.07</x:v>
      </x:c>
      <x:c r="I2964" s="2" t="n">
        <x:v>4</x:v>
      </x:c>
      <x:c r="J2964" s="2" t="n">
        <x:v>5</x:v>
      </x:c>
      <x:c r="K2964" s="2" t="n">
        <x:v>5</x:v>
      </x:c>
      <x:c r="L2964" s="2" t="str">
        <x:v>Champions</x:v>
      </x:c>
    </x:row>
    <x:row r="2965" ht="22" customHeight="1">
      <x:c r="A2965" s="2"/>
      <x:c r="B2965" s="2" t="str">
        <x:v>15302</x:v>
      </x:c>
      <x:c r="C2965" s="2" t="str">
        <x:v>United Kingdom</x:v>
      </x:c>
      <x:c r="D2965" s="25" t="n">
        <x:v>40156.34097222222</x:v>
      </x:c>
      <x:c r="E2965" s="25" t="n">
        <x:v>40156.34097222222</x:v>
      </x:c>
      <x:c r="F2965" s="2" t="n">
        <x:v>731</x:v>
      </x:c>
      <x:c r="G2965" s="2" t="n">
        <x:v>1</x:v>
      </x:c>
      <x:c r="H2965" s="11" t="n">
        <x:v>308</x:v>
      </x:c>
      <x:c r="I2965" s="2" t="n">
        <x:v>1</x:v>
      </x:c>
      <x:c r="J2965" s="2" t="n">
        <x:v>1</x:v>
      </x:c>
      <x:c r="K2965" s="2" t="n">
        <x:v>2</x:v>
      </x:c>
      <x:c r="L2965" s="2" t="str">
        <x:v>Hibernating</x:v>
      </x:c>
    </x:row>
    <x:row r="2966" ht="22" customHeight="1">
      <x:c r="A2966" s="2"/>
      <x:c r="B2966" s="2" t="str">
        <x:v>15303</x:v>
      </x:c>
      <x:c r="C2966" s="2" t="str">
        <x:v>United Kingdom</x:v>
      </x:c>
      <x:c r="D2966" s="25" t="n">
        <x:v>40203.19583333333</x:v>
      </x:c>
      <x:c r="E2966" s="25" t="n">
        <x:v>40596.37430555555</x:v>
      </x:c>
      <x:c r="F2966" s="2" t="n">
        <x:v>291</x:v>
      </x:c>
      <x:c r="G2966" s="2" t="n">
        <x:v>3</x:v>
      </x:c>
      <x:c r="H2966" s="11" t="n">
        <x:v>1224.18</x:v>
      </x:c>
      <x:c r="I2966" s="2" t="n">
        <x:v>2</x:v>
      </x:c>
      <x:c r="J2966" s="2" t="n">
        <x:v>3</x:v>
      </x:c>
      <x:c r="K2966" s="2" t="n">
        <x:v>3</x:v>
      </x:c>
      <x:c r="L2966" s="2" t="str">
        <x:v>At risk</x:v>
      </x:c>
    </x:row>
    <x:row r="2967" ht="22" customHeight="1">
      <x:c r="A2967" s="2"/>
      <x:c r="B2967" s="2" t="str">
        <x:v>15304</x:v>
      </x:c>
      <x:c r="C2967" s="2" t="str">
        <x:v>United Kingdom</x:v>
      </x:c>
      <x:c r="D2967" s="25" t="n">
        <x:v>40465.225</x:v>
      </x:c>
      <x:c r="E2967" s="25" t="n">
        <x:v>40826.22430555556</x:v>
      </x:c>
      <x:c r="F2967" s="2" t="n">
        <x:v>61</x:v>
      </x:c>
      <x:c r="G2967" s="2" t="n">
        <x:v>9</x:v>
      </x:c>
      <x:c r="H2967" s="11" t="n">
        <x:v>796.4</x:v>
      </x:c>
      <x:c r="I2967" s="2" t="n">
        <x:v>3</x:v>
      </x:c>
      <x:c r="J2967" s="2" t="n">
        <x:v>5</x:v>
      </x:c>
      <x:c r="K2967" s="2" t="n">
        <x:v>3</x:v>
      </x:c>
      <x:c r="L2967" s="2" t="str">
        <x:v>Loyal</x:v>
      </x:c>
    </x:row>
    <x:row r="2968" ht="22" customHeight="1">
      <x:c r="A2968" s="2"/>
      <x:c r="B2968" s="2" t="str">
        <x:v>15305</x:v>
      </x:c>
      <x:c r="C2968" s="2" t="str">
        <x:v>United Kingdom</x:v>
      </x:c>
      <x:c r="D2968" s="25" t="n">
        <x:v>40331.368055555555</x:v>
      </x:c>
      <x:c r="E2968" s="25" t="n">
        <x:v>40331.368055555555</x:v>
      </x:c>
      <x:c r="F2968" s="2" t="n">
        <x:v>556</x:v>
      </x:c>
      <x:c r="G2968" s="2" t="n">
        <x:v>1</x:v>
      </x:c>
      <x:c r="H2968" s="11" t="n">
        <x:v>93.6</x:v>
      </x:c>
      <x:c r="I2968" s="2" t="n">
        <x:v>1</x:v>
      </x:c>
      <x:c r="J2968" s="2" t="n">
        <x:v>1</x:v>
      </x:c>
      <x:c r="K2968" s="2" t="n">
        <x:v>1</x:v>
      </x:c>
      <x:c r="L2968" s="2" t="str">
        <x:v>Hibernating</x:v>
      </x:c>
    </x:row>
    <x:row r="2969" ht="22" customHeight="1">
      <x:c r="A2969" s="2"/>
      <x:c r="B2969" s="2" t="str">
        <x:v>15306</x:v>
      </x:c>
      <x:c r="C2969" s="2" t="str">
        <x:v>United Kingdom</x:v>
      </x:c>
      <x:c r="D2969" s="25" t="n">
        <x:v>40227.50833333333</x:v>
      </x:c>
      <x:c r="E2969" s="25" t="n">
        <x:v>40822.330555555556</x:v>
      </x:c>
      <x:c r="F2969" s="2" t="n">
        <x:v>65</x:v>
      </x:c>
      <x:c r="G2969" s="2" t="n">
        <x:v>9</x:v>
      </x:c>
      <x:c r="H2969" s="11" t="n">
        <x:v>3484.73</x:v>
      </x:c>
      <x:c r="I2969" s="2" t="n">
        <x:v>3</x:v>
      </x:c>
      <x:c r="J2969" s="2" t="n">
        <x:v>5</x:v>
      </x:c>
      <x:c r="K2969" s="2" t="n">
        <x:v>5</x:v>
      </x:c>
      <x:c r="L2969" s="2" t="str">
        <x:v>Loyal</x:v>
      </x:c>
    </x:row>
    <x:row r="2970" ht="22" customHeight="1">
      <x:c r="A2970" s="2"/>
      <x:c r="B2970" s="2" t="str">
        <x:v>15307</x:v>
      </x:c>
      <x:c r="C2970" s="2" t="str">
        <x:v>United Kingdom</x:v>
      </x:c>
      <x:c r="D2970" s="25" t="n">
        <x:v>40791.27638888889</x:v>
      </x:c>
      <x:c r="E2970" s="25" t="n">
        <x:v>40791.27638888889</x:v>
      </x:c>
      <x:c r="F2970" s="2" t="n">
        <x:v>96</x:v>
      </x:c>
      <x:c r="G2970" s="2" t="n">
        <x:v>1</x:v>
      </x:c>
      <x:c r="H2970" s="11" t="n">
        <x:v>205.3</x:v>
      </x:c>
      <x:c r="I2970" s="2" t="n">
        <x:v>3</x:v>
      </x:c>
      <x:c r="J2970" s="2" t="n">
        <x:v>1</x:v>
      </x:c>
      <x:c r="K2970" s="2" t="n">
        <x:v>1</x:v>
      </x:c>
      <x:c r="L2970" s="2" t="str">
        <x:v>Developing</x:v>
      </x:c>
    </x:row>
    <x:row r="2971" ht="22" customHeight="1">
      <x:c r="A2971" s="2"/>
      <x:c r="B2971" s="2" t="str">
        <x:v>15308</x:v>
      </x:c>
      <x:c r="C2971" s="2" t="str">
        <x:v>United Kingdom</x:v>
      </x:c>
      <x:c r="D2971" s="25" t="n">
        <x:v>40612.33888888889</x:v>
      </x:c>
      <x:c r="E2971" s="25" t="n">
        <x:v>40612.33888888889</x:v>
      </x:c>
      <x:c r="F2971" s="2" t="n">
        <x:v>275</x:v>
      </x:c>
      <x:c r="G2971" s="2" t="n">
        <x:v>1</x:v>
      </x:c>
      <x:c r="H2971" s="11" t="n">
        <x:v>310.47</x:v>
      </x:c>
      <x:c r="I2971" s="2" t="n">
        <x:v>2</x:v>
      </x:c>
      <x:c r="J2971" s="2" t="n">
        <x:v>1</x:v>
      </x:c>
      <x:c r="K2971" s="2" t="n">
        <x:v>2</x:v>
      </x:c>
      <x:c r="L2971" s="2" t="str">
        <x:v>Hibernating</x:v>
      </x:c>
    </x:row>
    <x:row r="2972" ht="22" customHeight="1">
      <x:c r="A2972" s="2"/>
      <x:c r="B2972" s="2" t="str">
        <x:v>15309</x:v>
      </x:c>
      <x:c r="C2972" s="2" t="str">
        <x:v>United Kingdom</x:v>
      </x:c>
      <x:c r="D2972" s="25" t="n">
        <x:v>40151.334027777775</x:v>
      </x:c>
      <x:c r="E2972" s="25" t="n">
        <x:v>40276.25763888889</x:v>
      </x:c>
      <x:c r="F2972" s="2" t="n">
        <x:v>611</x:v>
      </x:c>
      <x:c r="G2972" s="2" t="n">
        <x:v>4</x:v>
      </x:c>
      <x:c r="H2972" s="11" t="n">
        <x:v>797.96</x:v>
      </x:c>
      <x:c r="I2972" s="2" t="n">
        <x:v>1</x:v>
      </x:c>
      <x:c r="J2972" s="2" t="n">
        <x:v>3</x:v>
      </x:c>
      <x:c r="K2972" s="2" t="n">
        <x:v>3</x:v>
      </x:c>
      <x:c r="L2972" s="2" t="str">
        <x:v>At risk</x:v>
      </x:c>
    </x:row>
    <x:row r="2973" ht="22" customHeight="1">
      <x:c r="A2973" s="2"/>
      <x:c r="B2973" s="2" t="str">
        <x:v>15310</x:v>
      </x:c>
      <x:c r="C2973" s="2" t="str">
        <x:v>United Kingdom</x:v>
      </x:c>
      <x:c r="D2973" s="25" t="n">
        <x:v>40408.27638888889</x:v>
      </x:c>
      <x:c r="E2973" s="25" t="n">
        <x:v>40408.27638888889</x:v>
      </x:c>
      <x:c r="F2973" s="2" t="n">
        <x:v>479</x:v>
      </x:c>
      <x:c r="G2973" s="2" t="n">
        <x:v>1</x:v>
      </x:c>
      <x:c r="H2973" s="11" t="n">
        <x:v>1634.64</x:v>
      </x:c>
      <x:c r="I2973" s="2" t="n">
        <x:v>1</x:v>
      </x:c>
      <x:c r="J2973" s="2" t="n">
        <x:v>1</x:v>
      </x:c>
      <x:c r="K2973" s="2" t="n">
        <x:v>4</x:v>
      </x:c>
      <x:c r="L2973" s="2" t="str">
        <x:v>Hibernating</x:v>
      </x:c>
    </x:row>
    <x:row r="2974" ht="22" customHeight="1">
      <x:c r="A2974" s="2"/>
      <x:c r="B2974" s="2" t="str">
        <x:v>15311</x:v>
      </x:c>
      <x:c r="C2974" s="2" t="str">
        <x:v>United Kingdom</x:v>
      </x:c>
      <x:c r="D2974" s="25" t="n">
        <x:v>40148.26458333333</x:v>
      </x:c>
      <x:c r="E2974" s="25" t="n">
        <x:v>40886.291666666664</x:v>
      </x:c>
      <x:c r="F2974" s="2" t="n">
        <x:v>1</x:v>
      </x:c>
      <x:c r="G2974" s="2" t="n">
        <x:v>208</x:v>
      </x:c>
      <x:c r="H2974" s="11" t="n">
        <x:v>115147.09</x:v>
      </x:c>
      <x:c r="I2974" s="2" t="n">
        <x:v>5</x:v>
      </x:c>
      <x:c r="J2974" s="2" t="n">
        <x:v>5</x:v>
      </x:c>
      <x:c r="K2974" s="2" t="n">
        <x:v>5</x:v>
      </x:c>
      <x:c r="L2974" s="2" t="str">
        <x:v>Champions</x:v>
      </x:c>
    </x:row>
    <x:row r="2975" ht="22" customHeight="1">
      <x:c r="A2975" s="2"/>
      <x:c r="B2975" s="2" t="str">
        <x:v>15312</x:v>
      </x:c>
      <x:c r="C2975" s="2" t="str">
        <x:v>United Kingdom</x:v>
      </x:c>
      <x:c r="D2975" s="25" t="n">
        <x:v>40163.18263888889</x:v>
      </x:c>
      <x:c r="E2975" s="25" t="n">
        <x:v>40811.34027777778</x:v>
      </x:c>
      <x:c r="F2975" s="2" t="n">
        <x:v>76</x:v>
      </x:c>
      <x:c r="G2975" s="2" t="n">
        <x:v>12</x:v>
      </x:c>
      <x:c r="H2975" s="11" t="n">
        <x:v>2930.19</x:v>
      </x:c>
      <x:c r="I2975" s="2" t="n">
        <x:v>3</x:v>
      </x:c>
      <x:c r="J2975" s="2" t="n">
        <x:v>5</x:v>
      </x:c>
      <x:c r="K2975" s="2" t="n">
        <x:v>5</x:v>
      </x:c>
      <x:c r="L2975" s="2" t="str">
        <x:v>Loyal</x:v>
      </x:c>
    </x:row>
    <x:row r="2976" ht="22" customHeight="1">
      <x:c r="A2976" s="2"/>
      <x:c r="B2976" s="2" t="str">
        <x:v>15313</x:v>
      </x:c>
      <x:c r="C2976" s="2" t="str">
        <x:v>United Kingdom</x:v>
      </x:c>
      <x:c r="D2976" s="25" t="n">
        <x:v>40776.45972222222</x:v>
      </x:c>
      <x:c r="E2976" s="25" t="n">
        <x:v>40776.45972222222</x:v>
      </x:c>
      <x:c r="F2976" s="2" t="n">
        <x:v>111</x:v>
      </x:c>
      <x:c r="G2976" s="2" t="n">
        <x:v>1</x:v>
      </x:c>
      <x:c r="H2976" s="11" t="n">
        <x:v>52</x:v>
      </x:c>
      <x:c r="I2976" s="2" t="n">
        <x:v>3</x:v>
      </x:c>
      <x:c r="J2976" s="2" t="n">
        <x:v>1</x:v>
      </x:c>
      <x:c r="K2976" s="2" t="n">
        <x:v>1</x:v>
      </x:c>
      <x:c r="L2976" s="2" t="str">
        <x:v>Developing</x:v>
      </x:c>
    </x:row>
    <x:row r="2977" ht="22" customHeight="1">
      <x:c r="A2977" s="2"/>
      <x:c r="B2977" s="2" t="str">
        <x:v>15314</x:v>
      </x:c>
      <x:c r="C2977" s="2" t="str">
        <x:v>United Kingdom</x:v>
      </x:c>
      <x:c r="D2977" s="25" t="n">
        <x:v>40458.44513888889</x:v>
      </x:c>
      <x:c r="E2977" s="25" t="n">
        <x:v>40687.402083333334</x:v>
      </x:c>
      <x:c r="F2977" s="2" t="n">
        <x:v>200</x:v>
      </x:c>
      <x:c r="G2977" s="2" t="n">
        <x:v>3</x:v>
      </x:c>
      <x:c r="H2977" s="11" t="n">
        <x:v>820.45</x:v>
      </x:c>
      <x:c r="I2977" s="2" t="n">
        <x:v>2</x:v>
      </x:c>
      <x:c r="J2977" s="2" t="n">
        <x:v>3</x:v>
      </x:c>
      <x:c r="K2977" s="2" t="n">
        <x:v>3</x:v>
      </x:c>
      <x:c r="L2977" s="2" t="str">
        <x:v>At risk</x:v>
      </x:c>
    </x:row>
    <x:row r="2978" ht="22" customHeight="1">
      <x:c r="A2978" s="2"/>
      <x:c r="B2978" s="2" t="str">
        <x:v>15315</x:v>
      </x:c>
      <x:c r="C2978" s="2" t="str">
        <x:v>United Kingdom</x:v>
      </x:c>
      <x:c r="D2978" s="25" t="n">
        <x:v>40770.42847222222</x:v>
      </x:c>
      <x:c r="E2978" s="25" t="n">
        <x:v>40822.32708333333</x:v>
      </x:c>
      <x:c r="F2978" s="2" t="n">
        <x:v>65</x:v>
      </x:c>
      <x:c r="G2978" s="2" t="n">
        <x:v>2</x:v>
      </x:c>
      <x:c r="H2978" s="11" t="n">
        <x:v>570.5</x:v>
      </x:c>
      <x:c r="I2978" s="2" t="n">
        <x:v>3</x:v>
      </x:c>
      <x:c r="J2978" s="2" t="n">
        <x:v>2</x:v>
      </x:c>
      <x:c r="K2978" s="2" t="n">
        <x:v>2</x:v>
      </x:c>
      <x:c r="L2978" s="2" t="str">
        <x:v>Developing</x:v>
      </x:c>
    </x:row>
    <x:row r="2979" ht="22" customHeight="1">
      <x:c r="A2979" s="2"/>
      <x:c r="B2979" s="2" t="str">
        <x:v>15316</x:v>
      </x:c>
      <x:c r="C2979" s="2" t="str">
        <x:v>United Kingdom</x:v>
      </x:c>
      <x:c r="D2979" s="25" t="n">
        <x:v>40560.27361111111</x:v>
      </x:c>
      <x:c r="E2979" s="25" t="n">
        <x:v>40560.27361111111</x:v>
      </x:c>
      <x:c r="F2979" s="2" t="n">
        <x:v>327</x:v>
      </x:c>
      <x:c r="G2979" s="2" t="n">
        <x:v>1</x:v>
      </x:c>
      <x:c r="H2979" s="11" t="n">
        <x:v>165</x:v>
      </x:c>
      <x:c r="I2979" s="2" t="n">
        <x:v>2</x:v>
      </x:c>
      <x:c r="J2979" s="2" t="n">
        <x:v>1</x:v>
      </x:c>
      <x:c r="K2979" s="2" t="n">
        <x:v>1</x:v>
      </x:c>
      <x:c r="L2979" s="2" t="str">
        <x:v>Hibernating</x:v>
      </x:c>
    </x:row>
    <x:row r="2980" ht="22" customHeight="1">
      <x:c r="A2980" s="2"/>
      <x:c r="B2980" s="2" t="str">
        <x:v>15317</x:v>
      </x:c>
      <x:c r="C2980" s="2" t="str">
        <x:v>United Kingdom</x:v>
      </x:c>
      <x:c r="D2980" s="25" t="n">
        <x:v>40209.45486111111</x:v>
      </x:c>
      <x:c r="E2980" s="25" t="n">
        <x:v>40209.45486111111</x:v>
      </x:c>
      <x:c r="F2980" s="2" t="n">
        <x:v>678</x:v>
      </x:c>
      <x:c r="G2980" s="2" t="n">
        <x:v>1</x:v>
      </x:c>
      <x:c r="H2980" s="11" t="n">
        <x:v>129.75</x:v>
      </x:c>
      <x:c r="I2980" s="2" t="n">
        <x:v>1</x:v>
      </x:c>
      <x:c r="J2980" s="2" t="n">
        <x:v>1</x:v>
      </x:c>
      <x:c r="K2980" s="2" t="n">
        <x:v>1</x:v>
      </x:c>
      <x:c r="L2980" s="2" t="str">
        <x:v>Hibernating</x:v>
      </x:c>
    </x:row>
    <x:row r="2981" ht="22" customHeight="1">
      <x:c r="A2981" s="2"/>
      <x:c r="B2981" s="2" t="str">
        <x:v>15318</x:v>
      </x:c>
      <x:c r="C2981" s="2" t="str">
        <x:v>United Kingdom</x:v>
      </x:c>
      <x:c r="D2981" s="25" t="n">
        <x:v>40883.270833333336</x:v>
      </x:c>
      <x:c r="E2981" s="25" t="n">
        <x:v>40883.270833333336</x:v>
      </x:c>
      <x:c r="F2981" s="2" t="n">
        <x:v>4</x:v>
      </x:c>
      <x:c r="G2981" s="2" t="n">
        <x:v>1</x:v>
      </x:c>
      <x:c r="H2981" s="11" t="n">
        <x:v>312.62</x:v>
      </x:c>
      <x:c r="I2981" s="2" t="n">
        <x:v>5</x:v>
      </x:c>
      <x:c r="J2981" s="2" t="n">
        <x:v>1</x:v>
      </x:c>
      <x:c r="K2981" s="2" t="n">
        <x:v>2</x:v>
      </x:c>
      <x:c r="L2981" s="2" t="str">
        <x:v>Recent light buyers</x:v>
      </x:c>
    </x:row>
    <x:row r="2982" ht="22" customHeight="1">
      <x:c r="A2982" s="2"/>
      <x:c r="B2982" s="2" t="str">
        <x:v>15319</x:v>
      </x:c>
      <x:c r="C2982" s="2" t="str">
        <x:v>United Kingdom</x:v>
      </x:c>
      <x:c r="D2982" s="25" t="n">
        <x:v>40603.325</x:v>
      </x:c>
      <x:c r="E2982" s="25" t="n">
        <x:v>40603.325</x:v>
      </x:c>
      <x:c r="F2982" s="2" t="n">
        <x:v>284</x:v>
      </x:c>
      <x:c r="G2982" s="2" t="n">
        <x:v>1</x:v>
      </x:c>
      <x:c r="H2982" s="11" t="n">
        <x:v>204.5</x:v>
      </x:c>
      <x:c r="I2982" s="2" t="n">
        <x:v>2</x:v>
      </x:c>
      <x:c r="J2982" s="2" t="n">
        <x:v>1</x:v>
      </x:c>
      <x:c r="K2982" s="2" t="n">
        <x:v>1</x:v>
      </x:c>
      <x:c r="L2982" s="2" t="str">
        <x:v>Hibernating</x:v>
      </x:c>
    </x:row>
    <x:row r="2983" ht="22" customHeight="1">
      <x:c r="A2983" s="2"/>
      <x:c r="B2983" s="2" t="str">
        <x:v>15320</x:v>
      </x:c>
      <x:c r="C2983" s="2" t="str">
        <x:v>United Kingdom</x:v>
      </x:c>
      <x:c r="D2983" s="25" t="n">
        <x:v>40842.35208333333</x:v>
      </x:c>
      <x:c r="E2983" s="25" t="n">
        <x:v>40842.35208333333</x:v>
      </x:c>
      <x:c r="F2983" s="2" t="n">
        <x:v>45</x:v>
      </x:c>
      <x:c r="G2983" s="2" t="n">
        <x:v>1</x:v>
      </x:c>
      <x:c r="H2983" s="11" t="n">
        <x:v>267.13</x:v>
      </x:c>
      <x:c r="I2983" s="2" t="n">
        <x:v>4</x:v>
      </x:c>
      <x:c r="J2983" s="2" t="n">
        <x:v>1</x:v>
      </x:c>
      <x:c r="K2983" s="2" t="n">
        <x:v>1</x:v>
      </x:c>
      <x:c r="L2983" s="2" t="str">
        <x:v>Recent light buyers</x:v>
      </x:c>
    </x:row>
    <x:row r="2984" ht="22" customHeight="1">
      <x:c r="A2984" s="2"/>
      <x:c r="B2984" s="2" t="str">
        <x:v>15321</x:v>
      </x:c>
      <x:c r="C2984" s="2" t="str">
        <x:v>United Kingdom</x:v>
      </x:c>
      <x:c r="D2984" s="25" t="n">
        <x:v>40212.19930555556</x:v>
      </x:c>
      <x:c r="E2984" s="25" t="n">
        <x:v>40816.194444444445</x:v>
      </x:c>
      <x:c r="F2984" s="2" t="n">
        <x:v>71</x:v>
      </x:c>
      <x:c r="G2984" s="2" t="n">
        <x:v>12</x:v>
      </x:c>
      <x:c r="H2984" s="11" t="n">
        <x:v>6709.73</x:v>
      </x:c>
      <x:c r="I2984" s="2" t="n">
        <x:v>3</x:v>
      </x:c>
      <x:c r="J2984" s="2" t="n">
        <x:v>5</x:v>
      </x:c>
      <x:c r="K2984" s="2" t="n">
        <x:v>5</x:v>
      </x:c>
      <x:c r="L2984" s="2" t="str">
        <x:v>Loyal</x:v>
      </x:c>
    </x:row>
    <x:row r="2985" ht="22" customHeight="1">
      <x:c r="A2985" s="2"/>
      <x:c r="B2985" s="2" t="str">
        <x:v>15322</x:v>
      </x:c>
      <x:c r="C2985" s="2" t="str">
        <x:v>United Kingdom</x:v>
      </x:c>
      <x:c r="D2985" s="25" t="n">
        <x:v>40410.34027777778</x:v>
      </x:c>
      <x:c r="E2985" s="25" t="n">
        <x:v>40801.19027777778</x:v>
      </x:c>
      <x:c r="F2985" s="2" t="n">
        <x:v>86</x:v>
      </x:c>
      <x:c r="G2985" s="2" t="n">
        <x:v>2</x:v>
      </x:c>
      <x:c r="H2985" s="11" t="n">
        <x:v>1390.86</x:v>
      </x:c>
      <x:c r="I2985" s="2" t="n">
        <x:v>3</x:v>
      </x:c>
      <x:c r="J2985" s="2" t="n">
        <x:v>2</x:v>
      </x:c>
      <x:c r="K2985" s="2" t="n">
        <x:v>4</x:v>
      </x:c>
      <x:c r="L2985" s="2" t="str">
        <x:v>Developing</x:v>
      </x:c>
    </x:row>
    <x:row r="2986" ht="22" customHeight="1">
      <x:c r="A2986" s="2"/>
      <x:c r="B2986" s="2" t="str">
        <x:v>15323</x:v>
      </x:c>
      <x:c r="C2986" s="2" t="str">
        <x:v>United Kingdom</x:v>
      </x:c>
      <x:c r="D2986" s="25" t="n">
        <x:v>40225.18125</x:v>
      </x:c>
      <x:c r="E2986" s="25" t="n">
        <x:v>40324.209027777775</x:v>
      </x:c>
      <x:c r="F2986" s="2" t="n">
        <x:v>563</x:v>
      </x:c>
      <x:c r="G2986" s="2" t="n">
        <x:v>3</x:v>
      </x:c>
      <x:c r="H2986" s="11" t="n">
        <x:v>434.6</x:v>
      </x:c>
      <x:c r="I2986" s="2" t="n">
        <x:v>1</x:v>
      </x:c>
      <x:c r="J2986" s="2" t="n">
        <x:v>3</x:v>
      </x:c>
      <x:c r="K2986" s="2" t="n">
        <x:v>2</x:v>
      </x:c>
      <x:c r="L2986" s="2" t="str">
        <x:v>At risk</x:v>
      </x:c>
    </x:row>
    <x:row r="2987" ht="22" customHeight="1">
      <x:c r="A2987" s="2"/>
      <x:c r="B2987" s="2" t="str">
        <x:v>15324</x:v>
      </x:c>
      <x:c r="C2987" s="2" t="str">
        <x:v>United Kingdom</x:v>
      </x:c>
      <x:c r="D2987" s="25" t="n">
        <x:v>40185.40069444444</x:v>
      </x:c>
      <x:c r="E2987" s="25" t="n">
        <x:v>40185.40069444444</x:v>
      </x:c>
      <x:c r="F2987" s="2" t="n">
        <x:v>702</x:v>
      </x:c>
      <x:c r="G2987" s="2" t="n">
        <x:v>1</x:v>
      </x:c>
      <x:c r="H2987" s="11" t="n">
        <x:v>140.22</x:v>
      </x:c>
      <x:c r="I2987" s="2" t="n">
        <x:v>1</x:v>
      </x:c>
      <x:c r="J2987" s="2" t="n">
        <x:v>1</x:v>
      </x:c>
      <x:c r="K2987" s="2" t="n">
        <x:v>1</x:v>
      </x:c>
      <x:c r="L2987" s="2" t="str">
        <x:v>Hibernating</x:v>
      </x:c>
    </x:row>
    <x:row r="2988" ht="22" customHeight="1">
      <x:c r="A2988" s="2"/>
      <x:c r="B2988" s="2" t="str">
        <x:v>15325</x:v>
      </x:c>
      <x:c r="C2988" s="2" t="str">
        <x:v>United Kingdom</x:v>
      </x:c>
      <x:c r="D2988" s="25" t="n">
        <x:v>40225.354166666664</x:v>
      </x:c>
      <x:c r="E2988" s="25" t="n">
        <x:v>40783.288194444445</x:v>
      </x:c>
      <x:c r="F2988" s="2" t="n">
        <x:v>104</x:v>
      </x:c>
      <x:c r="G2988" s="2" t="n">
        <x:v>8</x:v>
      </x:c>
      <x:c r="H2988" s="11" t="n">
        <x:v>1602.01</x:v>
      </x:c>
      <x:c r="I2988" s="2" t="n">
        <x:v>3</x:v>
      </x:c>
      <x:c r="J2988" s="2" t="n">
        <x:v>4</x:v>
      </x:c>
      <x:c r="K2988" s="2" t="n">
        <x:v>4</x:v>
      </x:c>
      <x:c r="L2988" s="2" t="str">
        <x:v>Loyal</x:v>
      </x:c>
    </x:row>
    <x:row r="2989" ht="22" customHeight="1">
      <x:c r="A2989" s="2"/>
      <x:c r="B2989" s="2" t="str">
        <x:v>15326</x:v>
      </x:c>
      <x:c r="C2989" s="2" t="str">
        <x:v>United Kingdom</x:v>
      </x:c>
      <x:c r="D2989" s="25" t="n">
        <x:v>40148.34652777778</x:v>
      </x:c>
      <x:c r="E2989" s="25" t="n">
        <x:v>40553.27638888889</x:v>
      </x:c>
      <x:c r="F2989" s="2" t="n">
        <x:v>334</x:v>
      </x:c>
      <x:c r="G2989" s="2" t="n">
        <x:v>5</x:v>
      </x:c>
      <x:c r="H2989" s="11" t="n">
        <x:v>1700.52</x:v>
      </x:c>
      <x:c r="I2989" s="2" t="n">
        <x:v>2</x:v>
      </x:c>
      <x:c r="J2989" s="2" t="n">
        <x:v>4</x:v>
      </x:c>
      <x:c r="K2989" s="2" t="n">
        <x:v>4</x:v>
      </x:c>
      <x:c r="L2989" s="2" t="str">
        <x:v>At risk</x:v>
      </x:c>
    </x:row>
    <x:row r="2990" ht="22" customHeight="1">
      <x:c r="A2990" s="2"/>
      <x:c r="B2990" s="2" t="str">
        <x:v>15327</x:v>
      </x:c>
      <x:c r="C2990" s="2" t="str">
        <x:v>United Kingdom</x:v>
      </x:c>
      <x:c r="D2990" s="25" t="n">
        <x:v>40834.288194444445</x:v>
      </x:c>
      <x:c r="E2990" s="25" t="n">
        <x:v>40834.288194444445</x:v>
      </x:c>
      <x:c r="F2990" s="2" t="n">
        <x:v>53</x:v>
      </x:c>
      <x:c r="G2990" s="2" t="n">
        <x:v>1</x:v>
      </x:c>
      <x:c r="H2990" s="11" t="n">
        <x:v>208.75</x:v>
      </x:c>
      <x:c r="I2990" s="2" t="n">
        <x:v>4</x:v>
      </x:c>
      <x:c r="J2990" s="2" t="n">
        <x:v>1</x:v>
      </x:c>
      <x:c r="K2990" s="2" t="n">
        <x:v>1</x:v>
      </x:c>
      <x:c r="L2990" s="2" t="str">
        <x:v>Recent light buyers</x:v>
      </x:c>
    </x:row>
    <x:row r="2991" ht="22" customHeight="1">
      <x:c r="A2991" s="2"/>
      <x:c r="B2991" s="2" t="str">
        <x:v>15328</x:v>
      </x:c>
      <x:c r="C2991" s="2" t="str">
        <x:v>United Kingdom</x:v>
      </x:c>
      <x:c r="D2991" s="25" t="n">
        <x:v>40479.17013888889</x:v>
      </x:c>
      <x:c r="E2991" s="25" t="n">
        <x:v>40479.17013888889</x:v>
      </x:c>
      <x:c r="F2991" s="2" t="n">
        <x:v>408</x:v>
      </x:c>
      <x:c r="G2991" s="2" t="n">
        <x:v>1</x:v>
      </x:c>
      <x:c r="H2991" s="11" t="n">
        <x:v>107.24</x:v>
      </x:c>
      <x:c r="I2991" s="2" t="n">
        <x:v>2</x:v>
      </x:c>
      <x:c r="J2991" s="2" t="n">
        <x:v>1</x:v>
      </x:c>
      <x:c r="K2991" s="2" t="n">
        <x:v>1</x:v>
      </x:c>
      <x:c r="L2991" s="2" t="str">
        <x:v>Hibernating</x:v>
      </x:c>
    </x:row>
    <x:row r="2992" ht="22" customHeight="1">
      <x:c r="A2992" s="2"/>
      <x:c r="B2992" s="2" t="str">
        <x:v>15329</x:v>
      </x:c>
      <x:c r="C2992" s="2" t="str">
        <x:v>United Kingdom</x:v>
      </x:c>
      <x:c r="D2992" s="25" t="n">
        <x:v>40161.30416666667</x:v>
      </x:c>
      <x:c r="E2992" s="25" t="n">
        <x:v>40847.441666666666</x:v>
      </x:c>
      <x:c r="F2992" s="2" t="n">
        <x:v>40</x:v>
      </x:c>
      <x:c r="G2992" s="2" t="n">
        <x:v>11</x:v>
      </x:c>
      <x:c r="H2992" s="11" t="n">
        <x:v>2984.33</x:v>
      </x:c>
      <x:c r="I2992" s="2" t="n">
        <x:v>4</x:v>
      </x:c>
      <x:c r="J2992" s="2" t="n">
        <x:v>5</x:v>
      </x:c>
      <x:c r="K2992" s="2" t="n">
        <x:v>5</x:v>
      </x:c>
      <x:c r="L2992" s="2" t="str">
        <x:v>Champions</x:v>
      </x:c>
    </x:row>
    <x:row r="2993" ht="22" customHeight="1">
      <x:c r="A2993" s="2"/>
      <x:c r="B2993" s="2" t="str">
        <x:v>15330</x:v>
      </x:c>
      <x:c r="C2993" s="2" t="str">
        <x:v>United Kingdom</x:v>
      </x:c>
      <x:c r="D2993" s="25" t="n">
        <x:v>40826.3125</x:v>
      </x:c>
      <x:c r="E2993" s="25" t="n">
        <x:v>40854.53472222222</x:v>
      </x:c>
      <x:c r="F2993" s="2" t="n">
        <x:v>33</x:v>
      </x:c>
      <x:c r="G2993" s="2" t="n">
        <x:v>2</x:v>
      </x:c>
      <x:c r="H2993" s="11" t="n">
        <x:v>714.96</x:v>
      </x:c>
      <x:c r="I2993" s="2" t="n">
        <x:v>4</x:v>
      </x:c>
      <x:c r="J2993" s="2" t="n">
        <x:v>2</x:v>
      </x:c>
      <x:c r="K2993" s="2" t="n">
        <x:v>3</x:v>
      </x:c>
      <x:c r="L2993" s="2" t="str">
        <x:v>Recent light buyers</x:v>
      </x:c>
    </x:row>
    <x:row r="2994" ht="22" customHeight="1">
      <x:c r="A2994" s="2"/>
      <x:c r="B2994" s="2" t="str">
        <x:v>15331</x:v>
      </x:c>
      <x:c r="C2994" s="2" t="str">
        <x:v>United Kingdom</x:v>
      </x:c>
      <x:c r="D2994" s="25" t="n">
        <x:v>40277.393055555556</x:v>
      </x:c>
      <x:c r="E2994" s="25" t="n">
        <x:v>40387.19583333333</x:v>
      </x:c>
      <x:c r="F2994" s="2" t="n">
        <x:v>500</x:v>
      </x:c>
      <x:c r="G2994" s="2" t="n">
        <x:v>3</x:v>
      </x:c>
      <x:c r="H2994" s="11" t="n">
        <x:v>767.91</x:v>
      </x:c>
      <x:c r="I2994" s="2" t="n">
        <x:v>1</x:v>
      </x:c>
      <x:c r="J2994" s="2" t="n">
        <x:v>3</x:v>
      </x:c>
      <x:c r="K2994" s="2" t="n">
        <x:v>3</x:v>
      </x:c>
      <x:c r="L2994" s="2" t="str">
        <x:v>At risk</x:v>
      </x:c>
    </x:row>
    <x:row r="2995" ht="22" customHeight="1">
      <x:c r="A2995" s="2"/>
      <x:c r="B2995" s="2" t="str">
        <x:v>15332</x:v>
      </x:c>
      <x:c r="C2995" s="2" t="str">
        <x:v>Lithuania</x:v>
      </x:c>
      <x:c r="D2995" s="25" t="n">
        <x:v>40373.334027777775</x:v>
      </x:c>
      <x:c r="E2995" s="25" t="n">
        <x:v>40520.404861111114</x:v>
      </x:c>
      <x:c r="F2995" s="2" t="n">
        <x:v>367</x:v>
      </x:c>
      <x:c r="G2995" s="2" t="n">
        <x:v>6</x:v>
      </x:c>
      <x:c r="H2995" s="11" t="n">
        <x:v>4892.68</x:v>
      </x:c>
      <x:c r="I2995" s="2" t="n">
        <x:v>2</x:v>
      </x:c>
      <x:c r="J2995" s="2" t="n">
        <x:v>4</x:v>
      </x:c>
      <x:c r="K2995" s="2" t="n">
        <x:v>5</x:v>
      </x:c>
      <x:c r="L2995" s="2" t="str">
        <x:v>At risk</x:v>
      </x:c>
    </x:row>
    <x:row r="2996" ht="22" customHeight="1">
      <x:c r="A2996" s="2"/>
      <x:c r="B2996" s="2" t="str">
        <x:v>15333</x:v>
      </x:c>
      <x:c r="C2996" s="2" t="str">
        <x:v>United Kingdom</x:v>
      </x:c>
      <x:c r="D2996" s="25" t="n">
        <x:v>40678.35208333333</x:v>
      </x:c>
      <x:c r="E2996" s="25" t="n">
        <x:v>40678.35208333333</x:v>
      </x:c>
      <x:c r="F2996" s="2" t="n">
        <x:v>209</x:v>
      </x:c>
      <x:c r="G2996" s="2" t="n">
        <x:v>1</x:v>
      </x:c>
      <x:c r="H2996" s="11" t="n">
        <x:v>1028.56</x:v>
      </x:c>
      <x:c r="I2996" s="2" t="n">
        <x:v>2</x:v>
      </x:c>
      <x:c r="J2996" s="2" t="n">
        <x:v>1</x:v>
      </x:c>
      <x:c r="K2996" s="2" t="n">
        <x:v>3</x:v>
      </x:c>
      <x:c r="L2996" s="2" t="str">
        <x:v>Hibernating</x:v>
      </x:c>
    </x:row>
    <x:row r="2997" ht="22" customHeight="1">
      <x:c r="A2997" s="2"/>
      <x:c r="B2997" s="2" t="str">
        <x:v>15334</x:v>
      </x:c>
      <x:c r="C2997" s="2" t="str">
        <x:v>United Kingdom</x:v>
      </x:c>
      <x:c r="D2997" s="25" t="n">
        <x:v>40713.36875</x:v>
      </x:c>
      <x:c r="E2997" s="25" t="n">
        <x:v>40730.26527777778</x:v>
      </x:c>
      <x:c r="F2997" s="2" t="n">
        <x:v>157</x:v>
      </x:c>
      <x:c r="G2997" s="2" t="n">
        <x:v>3</x:v>
      </x:c>
      <x:c r="H2997" s="11" t="n">
        <x:v>351.67</x:v>
      </x:c>
      <x:c r="I2997" s="2" t="n">
        <x:v>3</x:v>
      </x:c>
      <x:c r="J2997" s="2" t="n">
        <x:v>3</x:v>
      </x:c>
      <x:c r="K2997" s="2" t="n">
        <x:v>2</x:v>
      </x:c>
      <x:c r="L2997" s="2" t="str">
        <x:v>Loyal</x:v>
      </x:c>
    </x:row>
    <x:row r="2998" ht="22" customHeight="1">
      <x:c r="A2998" s="2"/>
      <x:c r="B2998" s="2" t="str">
        <x:v>15335</x:v>
      </x:c>
      <x:c r="C2998" s="2" t="str">
        <x:v>United Kingdom</x:v>
      </x:c>
      <x:c r="D2998" s="25" t="n">
        <x:v>40833.32638888889</x:v>
      </x:c>
      <x:c r="E2998" s="25" t="n">
        <x:v>40833.32638888889</x:v>
      </x:c>
      <x:c r="F2998" s="2" t="n">
        <x:v>54</x:v>
      </x:c>
      <x:c r="G2998" s="2" t="n">
        <x:v>1</x:v>
      </x:c>
      <x:c r="H2998" s="11" t="n">
        <x:v>173.97</x:v>
      </x:c>
      <x:c r="I2998" s="2" t="n">
        <x:v>4</x:v>
      </x:c>
      <x:c r="J2998" s="2" t="n">
        <x:v>1</x:v>
      </x:c>
      <x:c r="K2998" s="2" t="n">
        <x:v>1</x:v>
      </x:c>
      <x:c r="L2998" s="2" t="str">
        <x:v>Recent light buyers</x:v>
      </x:c>
    </x:row>
    <x:row r="2999" ht="22" customHeight="1">
      <x:c r="A2999" s="2"/>
      <x:c r="B2999" s="2" t="str">
        <x:v>15336</x:v>
      </x:c>
      <x:c r="C2999" s="2" t="str">
        <x:v>United Kingdom</x:v>
      </x:c>
      <x:c r="D2999" s="25" t="n">
        <x:v>40485.31875</x:v>
      </x:c>
      <x:c r="E2999" s="25" t="n">
        <x:v>40485.31875</x:v>
      </x:c>
      <x:c r="F2999" s="2" t="n">
        <x:v>402</x:v>
      </x:c>
      <x:c r="G2999" s="2" t="n">
        <x:v>1</x:v>
      </x:c>
      <x:c r="H2999" s="11" t="n">
        <x:v>240.5</x:v>
      </x:c>
      <x:c r="I2999" s="2" t="n">
        <x:v>2</x:v>
      </x:c>
      <x:c r="J2999" s="2" t="n">
        <x:v>1</x:v>
      </x:c>
      <x:c r="K2999" s="2" t="n">
        <x:v>1</x:v>
      </x:c>
      <x:c r="L2999" s="2" t="str">
        <x:v>Hibernating</x:v>
      </x:c>
    </x:row>
    <x:row r="3000" ht="22" customHeight="1">
      <x:c r="A3000" s="2"/>
      <x:c r="B3000" s="2" t="str">
        <x:v>15337</x:v>
      </x:c>
      <x:c r="C3000" s="2" t="str">
        <x:v>United Kingdom</x:v>
      </x:c>
      <x:c r="D3000" s="25" t="n">
        <x:v>40475.43680555555</x:v>
      </x:c>
      <x:c r="E3000" s="25" t="n">
        <x:v>40475.43680555555</x:v>
      </x:c>
      <x:c r="F3000" s="2" t="n">
        <x:v>412</x:v>
      </x:c>
      <x:c r="G3000" s="2" t="n">
        <x:v>1</x:v>
      </x:c>
      <x:c r="H3000" s="11" t="n">
        <x:v>373.02</x:v>
      </x:c>
      <x:c r="I3000" s="2" t="n">
        <x:v>1</x:v>
      </x:c>
      <x:c r="J3000" s="2" t="n">
        <x:v>1</x:v>
      </x:c>
      <x:c r="K3000" s="2" t="n">
        <x:v>2</x:v>
      </x:c>
      <x:c r="L3000" s="2" t="str">
        <x:v>Hibernating</x:v>
      </x:c>
    </x:row>
    <x:row r="3001" ht="22" customHeight="1">
      <x:c r="A3001" s="2"/>
      <x:c r="B3001" s="2" t="str">
        <x:v>15338</x:v>
      </x:c>
      <x:c r="C3001" s="2" t="str">
        <x:v>United Kingdom</x:v>
      </x:c>
      <x:c r="D3001" s="25" t="n">
        <x:v>40209.39236111111</x:v>
      </x:c>
      <x:c r="E3001" s="25" t="n">
        <x:v>40209.39236111111</x:v>
      </x:c>
      <x:c r="F3001" s="2" t="n">
        <x:v>678</x:v>
      </x:c>
      <x:c r="G3001" s="2" t="n">
        <x:v>1</x:v>
      </x:c>
      <x:c r="H3001" s="11" t="n">
        <x:v>283.43</x:v>
      </x:c>
      <x:c r="I3001" s="2" t="n">
        <x:v>1</x:v>
      </x:c>
      <x:c r="J3001" s="2" t="n">
        <x:v>1</x:v>
      </x:c>
      <x:c r="K3001" s="2" t="n">
        <x:v>1</x:v>
      </x:c>
      <x:c r="L3001" s="2" t="str">
        <x:v>Hibernating</x:v>
      </x:c>
    </x:row>
    <x:row r="3002" ht="22" customHeight="1">
      <x:c r="A3002" s="2"/>
      <x:c r="B3002" s="2" t="str">
        <x:v>15339</x:v>
      </x:c>
      <x:c r="C3002" s="2" t="str">
        <x:v>United Kingdom</x:v>
      </x:c>
      <x:c r="D3002" s="25" t="n">
        <x:v>40217.35972222222</x:v>
      </x:c>
      <x:c r="E3002" s="25" t="n">
        <x:v>40820.32708333333</x:v>
      </x:c>
      <x:c r="F3002" s="2" t="n">
        <x:v>67</x:v>
      </x:c>
      <x:c r="G3002" s="2" t="n">
        <x:v>7</x:v>
      </x:c>
      <x:c r="H3002" s="11" t="n">
        <x:v>1827.84</x:v>
      </x:c>
      <x:c r="I3002" s="2" t="n">
        <x:v>3</x:v>
      </x:c>
      <x:c r="J3002" s="2" t="n">
        <x:v>4</x:v>
      </x:c>
      <x:c r="K3002" s="2" t="n">
        <x:v>4</x:v>
      </x:c>
      <x:c r="L3002" s="2" t="str">
        <x:v>Loyal</x:v>
      </x:c>
    </x:row>
    <x:row r="3003" ht="22" customHeight="1">
      <x:c r="A3003" s="2"/>
      <x:c r="B3003" s="2" t="str">
        <x:v>15340</x:v>
      </x:c>
      <x:c r="C3003" s="2" t="str">
        <x:v>United Kingdom</x:v>
      </x:c>
      <x:c r="D3003" s="25" t="n">
        <x:v>40325.22708333333</x:v>
      </x:c>
      <x:c r="E3003" s="25" t="n">
        <x:v>40325.22708333333</x:v>
      </x:c>
      <x:c r="F3003" s="2" t="n">
        <x:v>562</x:v>
      </x:c>
      <x:c r="G3003" s="2" t="n">
        <x:v>1</x:v>
      </x:c>
      <x:c r="H3003" s="11" t="n">
        <x:v>105.5</x:v>
      </x:c>
      <x:c r="I3003" s="2" t="n">
        <x:v>1</x:v>
      </x:c>
      <x:c r="J3003" s="2" t="n">
        <x:v>1</x:v>
      </x:c>
      <x:c r="K3003" s="2" t="n">
        <x:v>1</x:v>
      </x:c>
      <x:c r="L3003" s="2" t="str">
        <x:v>Hibernating</x:v>
      </x:c>
    </x:row>
    <x:row r="3004" ht="22" customHeight="1">
      <x:c r="A3004" s="2"/>
      <x:c r="B3004" s="2" t="str">
        <x:v>15341</x:v>
      </x:c>
      <x:c r="C3004" s="2" t="str">
        <x:v>United Kingdom</x:v>
      </x:c>
      <x:c r="D3004" s="25" t="n">
        <x:v>40437.486805555556</x:v>
      </x:c>
      <x:c r="E3004" s="25" t="n">
        <x:v>40806.194444444445</x:v>
      </x:c>
      <x:c r="F3004" s="2" t="n">
        <x:v>81</x:v>
      </x:c>
      <x:c r="G3004" s="2" t="n">
        <x:v>2</x:v>
      </x:c>
      <x:c r="H3004" s="11" t="n">
        <x:v>2402.72</x:v>
      </x:c>
      <x:c r="I3004" s="2" t="n">
        <x:v>3</x:v>
      </x:c>
      <x:c r="J3004" s="2" t="n">
        <x:v>2</x:v>
      </x:c>
      <x:c r="K3004" s="2" t="n">
        <x:v>4</x:v>
      </x:c>
      <x:c r="L3004" s="2" t="str">
        <x:v>Developing</x:v>
      </x:c>
    </x:row>
    <x:row r="3005" ht="22" customHeight="1">
      <x:c r="A3005" s="2"/>
      <x:c r="B3005" s="2" t="str">
        <x:v>15342</x:v>
      </x:c>
      <x:c r="C3005" s="2" t="str">
        <x:v>United Kingdom</x:v>
      </x:c>
      <x:c r="D3005" s="25" t="n">
        <x:v>40757.22152777778</x:v>
      </x:c>
      <x:c r="E3005" s="25" t="n">
        <x:v>40757.22152777778</x:v>
      </x:c>
      <x:c r="F3005" s="2" t="n">
        <x:v>130</x:v>
      </x:c>
      <x:c r="G3005" s="2" t="n">
        <x:v>1</x:v>
      </x:c>
      <x:c r="H3005" s="11" t="n">
        <x:v>406.09</x:v>
      </x:c>
      <x:c r="I3005" s="2" t="n">
        <x:v>3</x:v>
      </x:c>
      <x:c r="J3005" s="2" t="n">
        <x:v>1</x:v>
      </x:c>
      <x:c r="K3005" s="2" t="n">
        <x:v>2</x:v>
      </x:c>
      <x:c r="L3005" s="2" t="str">
        <x:v>Developing</x:v>
      </x:c>
    </x:row>
    <x:row r="3006" ht="22" customHeight="1">
      <x:c r="A3006" s="2"/>
      <x:c r="B3006" s="2" t="str">
        <x:v>15343</x:v>
      </x:c>
      <x:c r="C3006" s="2" t="str">
        <x:v>United Kingdom</x:v>
      </x:c>
      <x:c r="D3006" s="25" t="n">
        <x:v>40799.37152777778</x:v>
      </x:c>
      <x:c r="E3006" s="25" t="n">
        <x:v>40799.37152777778</x:v>
      </x:c>
      <x:c r="F3006" s="2" t="n">
        <x:v>88</x:v>
      </x:c>
      <x:c r="G3006" s="2" t="n">
        <x:v>1</x:v>
      </x:c>
      <x:c r="H3006" s="11" t="n">
        <x:v>364.5</x:v>
      </x:c>
      <x:c r="I3006" s="2" t="n">
        <x:v>3</x:v>
      </x:c>
      <x:c r="J3006" s="2" t="n">
        <x:v>1</x:v>
      </x:c>
      <x:c r="K3006" s="2" t="n">
        <x:v>2</x:v>
      </x:c>
      <x:c r="L3006" s="2" t="str">
        <x:v>Developing</x:v>
      </x:c>
    </x:row>
    <x:row r="3007" ht="22" customHeight="1">
      <x:c r="A3007" s="2"/>
      <x:c r="B3007" s="2" t="str">
        <x:v>15344</x:v>
      </x:c>
      <x:c r="C3007" s="2" t="str">
        <x:v>United Kingdom</x:v>
      </x:c>
      <x:c r="D3007" s="25" t="n">
        <x:v>40812.40833333333</x:v>
      </x:c>
      <x:c r="E3007" s="25" t="n">
        <x:v>40886.239583333336</x:v>
      </x:c>
      <x:c r="F3007" s="2" t="n">
        <x:v>1</x:v>
      </x:c>
      <x:c r="G3007" s="2" t="n">
        <x:v>3</x:v>
      </x:c>
      <x:c r="H3007" s="11" t="n">
        <x:v>563.94</x:v>
      </x:c>
      <x:c r="I3007" s="2" t="n">
        <x:v>5</x:v>
      </x:c>
      <x:c r="J3007" s="2" t="n">
        <x:v>3</x:v>
      </x:c>
      <x:c r="K3007" s="2" t="n">
        <x:v>2</x:v>
      </x:c>
      <x:c r="L3007" s="2" t="str">
        <x:v>Loyal</x:v>
      </x:c>
    </x:row>
    <x:row r="3008" ht="22" customHeight="1">
      <x:c r="A3008" s="2"/>
      <x:c r="B3008" s="2" t="str">
        <x:v>15345</x:v>
      </x:c>
      <x:c r="C3008" s="2" t="str">
        <x:v>United Kingdom</x:v>
      </x:c>
      <x:c r="D3008" s="25" t="n">
        <x:v>40841.26944444444</x:v>
      </x:c>
      <x:c r="E3008" s="25" t="n">
        <x:v>40841.26944444444</x:v>
      </x:c>
      <x:c r="F3008" s="2" t="n">
        <x:v>46</x:v>
      </x:c>
      <x:c r="G3008" s="2" t="n">
        <x:v>1</x:v>
      </x:c>
      <x:c r="H3008" s="11" t="n">
        <x:v>393.54</x:v>
      </x:c>
      <x:c r="I3008" s="2" t="n">
        <x:v>4</x:v>
      </x:c>
      <x:c r="J3008" s="2" t="n">
        <x:v>1</x:v>
      </x:c>
      <x:c r="K3008" s="2" t="n">
        <x:v>2</x:v>
      </x:c>
      <x:c r="L3008" s="2" t="str">
        <x:v>Recent light buyers</x:v>
      </x:c>
    </x:row>
    <x:row r="3009" ht="22" customHeight="1">
      <x:c r="A3009" s="2"/>
      <x:c r="B3009" s="2" t="str">
        <x:v>15346</x:v>
      </x:c>
      <x:c r="C3009" s="2" t="str">
        <x:v>United Kingdom</x:v>
      </x:c>
      <x:c r="D3009" s="25" t="n">
        <x:v>40455.424305555556</x:v>
      </x:c>
      <x:c r="E3009" s="25" t="n">
        <x:v>40554.2625</x:v>
      </x:c>
      <x:c r="F3009" s="2" t="n">
        <x:v>333</x:v>
      </x:c>
      <x:c r="G3009" s="2" t="n">
        <x:v>3</x:v>
      </x:c>
      <x:c r="H3009" s="11" t="n">
        <x:v>596.12</x:v>
      </x:c>
      <x:c r="I3009" s="2" t="n">
        <x:v>2</x:v>
      </x:c>
      <x:c r="J3009" s="2" t="n">
        <x:v>3</x:v>
      </x:c>
      <x:c r="K3009" s="2" t="n">
        <x:v>2</x:v>
      </x:c>
      <x:c r="L3009" s="2" t="str">
        <x:v>At risk</x:v>
      </x:c>
    </x:row>
    <x:row r="3010" ht="22" customHeight="1">
      <x:c r="A3010" s="2"/>
      <x:c r="B3010" s="2" t="str">
        <x:v>15347</x:v>
      </x:c>
      <x:c r="C3010" s="2" t="str">
        <x:v>United Kingdom</x:v>
      </x:c>
      <x:c r="D3010" s="25" t="n">
        <x:v>40449.32638888889</x:v>
      </x:c>
      <x:c r="E3010" s="25" t="n">
        <x:v>40520.43402777778</x:v>
      </x:c>
      <x:c r="F3010" s="2" t="n">
        <x:v>367</x:v>
      </x:c>
      <x:c r="G3010" s="2" t="n">
        <x:v>4</x:v>
      </x:c>
      <x:c r="H3010" s="11" t="n">
        <x:v>1162</x:v>
      </x:c>
      <x:c r="I3010" s="2" t="n">
        <x:v>2</x:v>
      </x:c>
      <x:c r="J3010" s="2" t="n">
        <x:v>3</x:v>
      </x:c>
      <x:c r="K3010" s="2" t="n">
        <x:v>3</x:v>
      </x:c>
      <x:c r="L3010" s="2" t="str">
        <x:v>At risk</x:v>
      </x:c>
    </x:row>
    <x:row r="3011" ht="22" customHeight="1">
      <x:c r="A3011" s="2"/>
      <x:c r="B3011" s="2" t="str">
        <x:v>15348</x:v>
      </x:c>
      <x:c r="C3011" s="2" t="str">
        <x:v>United Kingdom</x:v>
      </x:c>
      <x:c r="D3011" s="25" t="n">
        <x:v>40814.345138888886</x:v>
      </x:c>
      <x:c r="E3011" s="25" t="n">
        <x:v>40814.345138888886</x:v>
      </x:c>
      <x:c r="F3011" s="2" t="n">
        <x:v>73</x:v>
      </x:c>
      <x:c r="G3011" s="2" t="n">
        <x:v>1</x:v>
      </x:c>
      <x:c r="H3011" s="11" t="n">
        <x:v>158.04</x:v>
      </x:c>
      <x:c r="I3011" s="2" t="n">
        <x:v>3</x:v>
      </x:c>
      <x:c r="J3011" s="2" t="n">
        <x:v>1</x:v>
      </x:c>
      <x:c r="K3011" s="2" t="n">
        <x:v>1</x:v>
      </x:c>
      <x:c r="L3011" s="2" t="str">
        <x:v>Developing</x:v>
      </x:c>
    </x:row>
    <x:row r="3012" ht="22" customHeight="1">
      <x:c r="A3012" s="2"/>
      <x:c r="B3012" s="2" t="str">
        <x:v>15349</x:v>
      </x:c>
      <x:c r="C3012" s="2" t="str">
        <x:v>United Kingdom</x:v>
      </x:c>
      <x:c r="D3012" s="25" t="n">
        <x:v>40699.44861111111</x:v>
      </x:c>
      <x:c r="E3012" s="25" t="n">
        <x:v>40728.4625</x:v>
      </x:c>
      <x:c r="F3012" s="2" t="n">
        <x:v>159</x:v>
      </x:c>
      <x:c r="G3012" s="2" t="n">
        <x:v>2</x:v>
      </x:c>
      <x:c r="H3012" s="11" t="n">
        <x:v>473.81</x:v>
      </x:c>
      <x:c r="I3012" s="2" t="n">
        <x:v>3</x:v>
      </x:c>
      <x:c r="J3012" s="2" t="n">
        <x:v>2</x:v>
      </x:c>
      <x:c r="K3012" s="2" t="n">
        <x:v>2</x:v>
      </x:c>
      <x:c r="L3012" s="2" t="str">
        <x:v>Developing</x:v>
      </x:c>
    </x:row>
    <x:row r="3013" ht="22" customHeight="1">
      <x:c r="A3013" s="2"/>
      <x:c r="B3013" s="2" t="str">
        <x:v>15350</x:v>
      </x:c>
      <x:c r="C3013" s="2" t="str">
        <x:v>United Kingdom</x:v>
      </x:c>
      <x:c r="D3013" s="25" t="n">
        <x:v>40503.42638888889</x:v>
      </x:c>
      <x:c r="E3013" s="25" t="n">
        <x:v>40513.35625</x:v>
      </x:c>
      <x:c r="F3013" s="2" t="n">
        <x:v>374</x:v>
      </x:c>
      <x:c r="G3013" s="2" t="n">
        <x:v>2</x:v>
      </x:c>
      <x:c r="H3013" s="11" t="n">
        <x:v>547.6</x:v>
      </x:c>
      <x:c r="I3013" s="2" t="n">
        <x:v>2</x:v>
      </x:c>
      <x:c r="J3013" s="2" t="n">
        <x:v>2</x:v>
      </x:c>
      <x:c r="K3013" s="2" t="n">
        <x:v>2</x:v>
      </x:c>
      <x:c r="L3013" s="2" t="str">
        <x:v>Hibernating</x:v>
      </x:c>
    </x:row>
    <x:row r="3014" ht="22" customHeight="1">
      <x:c r="A3014" s="2"/>
      <x:c r="B3014" s="2" t="str">
        <x:v>15351</x:v>
      </x:c>
      <x:c r="C3014" s="2" t="str">
        <x:v>United Kingdom</x:v>
      </x:c>
      <x:c r="D3014" s="25" t="n">
        <x:v>40454.30416666667</x:v>
      </x:c>
      <x:c r="E3014" s="25" t="n">
        <x:v>40874.32777777778</x:v>
      </x:c>
      <x:c r="F3014" s="2" t="n">
        <x:v>13</x:v>
      </x:c>
      <x:c r="G3014" s="2" t="n">
        <x:v>10</x:v>
      </x:c>
      <x:c r="H3014" s="11" t="n">
        <x:v>3463.62</x:v>
      </x:c>
      <x:c r="I3014" s="2" t="n">
        <x:v>5</x:v>
      </x:c>
      <x:c r="J3014" s="2" t="n">
        <x:v>5</x:v>
      </x:c>
      <x:c r="K3014" s="2" t="n">
        <x:v>5</x:v>
      </x:c>
      <x:c r="L3014" s="2" t="str">
        <x:v>Champions</x:v>
      </x:c>
    </x:row>
    <x:row r="3015" ht="22" customHeight="1">
      <x:c r="A3015" s="2"/>
      <x:c r="B3015" s="2" t="str">
        <x:v>15352</x:v>
      </x:c>
      <x:c r="C3015" s="2" t="str">
        <x:v>United Kingdom</x:v>
      </x:c>
      <x:c r="D3015" s="25" t="n">
        <x:v>40338.26944444444</x:v>
      </x:c>
      <x:c r="E3015" s="25" t="n">
        <x:v>40338.26944444444</x:v>
      </x:c>
      <x:c r="F3015" s="2" t="n">
        <x:v>549</x:v>
      </x:c>
      <x:c r="G3015" s="2" t="n">
        <x:v>1</x:v>
      </x:c>
      <x:c r="H3015" s="11" t="n">
        <x:v>114.95</x:v>
      </x:c>
      <x:c r="I3015" s="2" t="n">
        <x:v>1</x:v>
      </x:c>
      <x:c r="J3015" s="2" t="n">
        <x:v>1</x:v>
      </x:c>
      <x:c r="K3015" s="2" t="n">
        <x:v>1</x:v>
      </x:c>
      <x:c r="L3015" s="2" t="str">
        <x:v>Hibernating</x:v>
      </x:c>
    </x:row>
    <x:row r="3016" ht="22" customHeight="1">
      <x:c r="A3016" s="2"/>
      <x:c r="B3016" s="2" t="str">
        <x:v>15353</x:v>
      </x:c>
      <x:c r="C3016" s="2" t="str">
        <x:v>United Kingdom</x:v>
      </x:c>
      <x:c r="D3016" s="25" t="n">
        <x:v>40149.27291666667</x:v>
      </x:c>
      <x:c r="E3016" s="25" t="n">
        <x:v>40632.302083333336</x:v>
      </x:c>
      <x:c r="F3016" s="2" t="n">
        <x:v>255</x:v>
      </x:c>
      <x:c r="G3016" s="2" t="n">
        <x:v>7</x:v>
      </x:c>
      <x:c r="H3016" s="11" t="n">
        <x:v>2864.3</x:v>
      </x:c>
      <x:c r="I3016" s="2" t="n">
        <x:v>2</x:v>
      </x:c>
      <x:c r="J3016" s="2" t="n">
        <x:v>4</x:v>
      </x:c>
      <x:c r="K3016" s="2" t="n">
        <x:v>4</x:v>
      </x:c>
      <x:c r="L3016" s="2" t="str">
        <x:v>At risk</x:v>
      </x:c>
    </x:row>
    <x:row r="3017" ht="22" customHeight="1">
      <x:c r="A3017" s="2"/>
      <x:c r="B3017" s="2" t="str">
        <x:v>15354</x:v>
      </x:c>
      <x:c r="C3017" s="2" t="str">
        <x:v>United Kingdom</x:v>
      </x:c>
      <x:c r="D3017" s="25" t="n">
        <x:v>40283.470138888886</x:v>
      </x:c>
      <x:c r="E3017" s="25" t="n">
        <x:v>40283.475</x:v>
      </x:c>
      <x:c r="F3017" s="2" t="n">
        <x:v>604</x:v>
      </x:c>
      <x:c r="G3017" s="2" t="n">
        <x:v>3</x:v>
      </x:c>
      <x:c r="H3017" s="11" t="n">
        <x:v>284.4</x:v>
      </x:c>
      <x:c r="I3017" s="2" t="n">
        <x:v>1</x:v>
      </x:c>
      <x:c r="J3017" s="2" t="n">
        <x:v>3</x:v>
      </x:c>
      <x:c r="K3017" s="2" t="n">
        <x:v>1</x:v>
      </x:c>
      <x:c r="L3017" s="2" t="str">
        <x:v>At risk</x:v>
      </x:c>
    </x:row>
    <x:row r="3018" ht="22" customHeight="1">
      <x:c r="A3018" s="2"/>
      <x:c r="B3018" s="2" t="str">
        <x:v>15355</x:v>
      </x:c>
      <x:c r="C3018" s="2" t="str">
        <x:v>United Kingdom</x:v>
      </x:c>
      <x:c r="D3018" s="25" t="n">
        <x:v>40833.43194444444</x:v>
      </x:c>
      <x:c r="E3018" s="25" t="n">
        <x:v>40857.36388888889</x:v>
      </x:c>
      <x:c r="F3018" s="2" t="n">
        <x:v>30</x:v>
      </x:c>
      <x:c r="G3018" s="2" t="n">
        <x:v>2</x:v>
      </x:c>
      <x:c r="H3018" s="11" t="n">
        <x:v>277.05</x:v>
      </x:c>
      <x:c r="I3018" s="2" t="n">
        <x:v>4</x:v>
      </x:c>
      <x:c r="J3018" s="2" t="n">
        <x:v>2</x:v>
      </x:c>
      <x:c r="K3018" s="2" t="n">
        <x:v>1</x:v>
      </x:c>
      <x:c r="L3018" s="2" t="str">
        <x:v>Recent light buyers</x:v>
      </x:c>
    </x:row>
    <x:row r="3019" ht="22" customHeight="1">
      <x:c r="A3019" s="2"/>
      <x:c r="B3019" s="2" t="str">
        <x:v>15356</x:v>
      </x:c>
      <x:c r="C3019" s="2" t="str">
        <x:v>United Kingdom</x:v>
      </x:c>
      <x:c r="D3019" s="25" t="n">
        <x:v>40464.34166666667</x:v>
      </x:c>
      <x:c r="E3019" s="25" t="n">
        <x:v>40855.34097222222</x:v>
      </x:c>
      <x:c r="F3019" s="2" t="n">
        <x:v>32</x:v>
      </x:c>
      <x:c r="G3019" s="2" t="n">
        <x:v>13</x:v>
      </x:c>
      <x:c r="H3019" s="11" t="n">
        <x:v>3314.73</x:v>
      </x:c>
      <x:c r="I3019" s="2" t="n">
        <x:v>4</x:v>
      </x:c>
      <x:c r="J3019" s="2" t="n">
        <x:v>5</x:v>
      </x:c>
      <x:c r="K3019" s="2" t="n">
        <x:v>5</x:v>
      </x:c>
      <x:c r="L3019" s="2" t="str">
        <x:v>Champions</x:v>
      </x:c>
    </x:row>
    <x:row r="3020" ht="22" customHeight="1">
      <x:c r="A3020" s="2"/>
      <x:c r="B3020" s="2" t="str">
        <x:v>15358</x:v>
      </x:c>
      <x:c r="C3020" s="2" t="str">
        <x:v>United Kingdom</x:v>
      </x:c>
      <x:c r="D3020" s="25" t="n">
        <x:v>40154.30486111111</x:v>
      </x:c>
      <x:c r="E3020" s="25" t="n">
        <x:v>40882.169444444444</x:v>
      </x:c>
      <x:c r="F3020" s="2" t="n">
        <x:v>5</x:v>
      </x:c>
      <x:c r="G3020" s="2" t="n">
        <x:v>42</x:v>
      </x:c>
      <x:c r="H3020" s="11" t="n">
        <x:v>16425.86</x:v>
      </x:c>
      <x:c r="I3020" s="2" t="n">
        <x:v>5</x:v>
      </x:c>
      <x:c r="J3020" s="2" t="n">
        <x:v>5</x:v>
      </x:c>
      <x:c r="K3020" s="2" t="n">
        <x:v>5</x:v>
      </x:c>
      <x:c r="L3020" s="2" t="str">
        <x:v>Champions</x:v>
      </x:c>
    </x:row>
    <x:row r="3021" ht="22" customHeight="1">
      <x:c r="A3021" s="2"/>
      <x:c r="B3021" s="2" t="str">
        <x:v>15359</x:v>
      </x:c>
      <x:c r="C3021" s="2" t="str">
        <x:v>United Kingdom</x:v>
      </x:c>
      <x:c r="D3021" s="25" t="n">
        <x:v>40193.270833333336</x:v>
      </x:c>
      <x:c r="E3021" s="25" t="n">
        <x:v>40224.24097222222</x:v>
      </x:c>
      <x:c r="F3021" s="2" t="n">
        <x:v>663</x:v>
      </x:c>
      <x:c r="G3021" s="2" t="n">
        <x:v>8</x:v>
      </x:c>
      <x:c r="H3021" s="11" t="n">
        <x:v>181.35</x:v>
      </x:c>
      <x:c r="I3021" s="2" t="n">
        <x:v>1</x:v>
      </x:c>
      <x:c r="J3021" s="2" t="n">
        <x:v>4</x:v>
      </x:c>
      <x:c r="K3021" s="2" t="n">
        <x:v>1</x:v>
      </x:c>
      <x:c r="L3021" s="2" t="str">
        <x:v>At risk</x:v>
      </x:c>
    </x:row>
    <x:row r="3022" ht="22" customHeight="1">
      <x:c r="A3022" s="2"/>
      <x:c r="B3022" s="2" t="str">
        <x:v>15360</x:v>
      </x:c>
      <x:c r="C3022" s="2" t="str">
        <x:v>United Kingdom</x:v>
      </x:c>
      <x:c r="D3022" s="25" t="n">
        <x:v>40847.19097222222</x:v>
      </x:c>
      <x:c r="E3022" s="25" t="n">
        <x:v>40847.19097222222</x:v>
      </x:c>
      <x:c r="F3022" s="2" t="n">
        <x:v>40</x:v>
      </x:c>
      <x:c r="G3022" s="2" t="n">
        <x:v>1</x:v>
      </x:c>
      <x:c r="H3022" s="11" t="n">
        <x:v>427.93</x:v>
      </x:c>
      <x:c r="I3022" s="2" t="n">
        <x:v>4</x:v>
      </x:c>
      <x:c r="J3022" s="2" t="n">
        <x:v>1</x:v>
      </x:c>
      <x:c r="K3022" s="2" t="n">
        <x:v>2</x:v>
      </x:c>
      <x:c r="L3022" s="2" t="str">
        <x:v>Recent light buyers</x:v>
      </x:c>
    </x:row>
    <x:row r="3023" ht="22" customHeight="1">
      <x:c r="A3023" s="2"/>
      <x:c r="B3023" s="2" t="str">
        <x:v>15361</x:v>
      </x:c>
      <x:c r="C3023" s="2" t="str">
        <x:v>United Kingdom</x:v>
      </x:c>
      <x:c r="D3023" s="25" t="n">
        <x:v>40343.35208333333</x:v>
      </x:c>
      <x:c r="E3023" s="25" t="n">
        <x:v>40525.20277777778</x:v>
      </x:c>
      <x:c r="F3023" s="2" t="n">
        <x:v>362</x:v>
      </x:c>
      <x:c r="G3023" s="2" t="n">
        <x:v>4</x:v>
      </x:c>
      <x:c r="H3023" s="11" t="n">
        <x:v>689.07</x:v>
      </x:c>
      <x:c r="I3023" s="2" t="n">
        <x:v>2</x:v>
      </x:c>
      <x:c r="J3023" s="2" t="n">
        <x:v>3</x:v>
      </x:c>
      <x:c r="K3023" s="2" t="n">
        <x:v>3</x:v>
      </x:c>
      <x:c r="L3023" s="2" t="str">
        <x:v>At risk</x:v>
      </x:c>
    </x:row>
    <x:row r="3024" ht="22" customHeight="1">
      <x:c r="A3024" s="2"/>
      <x:c r="B3024" s="2" t="str">
        <x:v>15362</x:v>
      </x:c>
      <x:c r="C3024" s="2" t="str">
        <x:v>United Kingdom</x:v>
      </x:c>
      <x:c r="D3024" s="25" t="n">
        <x:v>40148.17222222222</x:v>
      </x:c>
      <x:c r="E3024" s="25" t="n">
        <x:v>40438.23402777778</x:v>
      </x:c>
      <x:c r="F3024" s="2" t="n">
        <x:v>449</x:v>
      </x:c>
      <x:c r="G3024" s="2" t="n">
        <x:v>2</x:v>
      </x:c>
      <x:c r="H3024" s="11" t="n">
        <x:v>613.08</x:v>
      </x:c>
      <x:c r="I3024" s="2" t="n">
        <x:v>1</x:v>
      </x:c>
      <x:c r="J3024" s="2" t="n">
        <x:v>2</x:v>
      </x:c>
      <x:c r="K3024" s="2" t="n">
        <x:v>3</x:v>
      </x:c>
      <x:c r="L3024" s="2" t="str">
        <x:v>Hibernating</x:v>
      </x:c>
    </x:row>
    <x:row r="3025" ht="22" customHeight="1">
      <x:c r="A3025" s="2"/>
      <x:c r="B3025" s="2" t="str">
        <x:v>15363</x:v>
      </x:c>
      <x:c r="C3025" s="2" t="str">
        <x:v>United Kingdom</x:v>
      </x:c>
      <x:c r="D3025" s="25" t="n">
        <x:v>40394.15347222222</x:v>
      </x:c>
      <x:c r="E3025" s="25" t="n">
        <x:v>40514.311111111114</x:v>
      </x:c>
      <x:c r="F3025" s="2" t="n">
        <x:v>373</x:v>
      </x:c>
      <x:c r="G3025" s="2" t="n">
        <x:v>2</x:v>
      </x:c>
      <x:c r="H3025" s="11" t="n">
        <x:v>678.11</x:v>
      </x:c>
      <x:c r="I3025" s="2" t="n">
        <x:v>2</x:v>
      </x:c>
      <x:c r="J3025" s="2" t="n">
        <x:v>2</x:v>
      </x:c>
      <x:c r="K3025" s="2" t="n">
        <x:v>3</x:v>
      </x:c>
      <x:c r="L3025" s="2" t="str">
        <x:v>Hibernating</x:v>
      </x:c>
    </x:row>
    <x:row r="3026" ht="22" customHeight="1">
      <x:c r="A3026" s="2"/>
      <x:c r="B3026" s="2" t="str">
        <x:v>15364</x:v>
      </x:c>
      <x:c r="C3026" s="2" t="str">
        <x:v>United Kingdom</x:v>
      </x:c>
      <x:c r="D3026" s="25" t="n">
        <x:v>40632.36041666667</x:v>
      </x:c>
      <x:c r="E3026" s="25" t="n">
        <x:v>40791.19861111111</x:v>
      </x:c>
      <x:c r="F3026" s="2" t="n">
        <x:v>96</x:v>
      </x:c>
      <x:c r="G3026" s="2" t="n">
        <x:v>2</x:v>
      </x:c>
      <x:c r="H3026" s="11" t="n">
        <x:v>913.19</x:v>
      </x:c>
      <x:c r="I3026" s="2" t="n">
        <x:v>3</x:v>
      </x:c>
      <x:c r="J3026" s="2" t="n">
        <x:v>2</x:v>
      </x:c>
      <x:c r="K3026" s="2" t="n">
        <x:v>3</x:v>
      </x:c>
      <x:c r="L3026" s="2" t="str">
        <x:v>Developing</x:v>
      </x:c>
    </x:row>
    <x:row r="3027" ht="22" customHeight="1">
      <x:c r="A3027" s="2"/>
      <x:c r="B3027" s="2" t="str">
        <x:v>15365</x:v>
      </x:c>
      <x:c r="C3027" s="2" t="str">
        <x:v>United Kingdom</x:v>
      </x:c>
      <x:c r="D3027" s="25" t="n">
        <x:v>40213.48819444444</x:v>
      </x:c>
      <x:c r="E3027" s="25" t="n">
        <x:v>40861.14513888889</x:v>
      </x:c>
      <x:c r="F3027" s="2" t="n">
        <x:v>26</x:v>
      </x:c>
      <x:c r="G3027" s="2" t="n">
        <x:v>13</x:v>
      </x:c>
      <x:c r="H3027" s="11" t="n">
        <x:v>4557.13</x:v>
      </x:c>
      <x:c r="I3027" s="2" t="n">
        <x:v>4</x:v>
      </x:c>
      <x:c r="J3027" s="2" t="n">
        <x:v>5</x:v>
      </x:c>
      <x:c r="K3027" s="2" t="n">
        <x:v>5</x:v>
      </x:c>
      <x:c r="L3027" s="2" t="str">
        <x:v>Champions</x:v>
      </x:c>
    </x:row>
    <x:row r="3028" ht="22" customHeight="1">
      <x:c r="A3028" s="2"/>
      <x:c r="B3028" s="2" t="str">
        <x:v>15366</x:v>
      </x:c>
      <x:c r="C3028" s="2" t="str">
        <x:v>United Kingdom</x:v>
      </x:c>
      <x:c r="D3028" s="25" t="n">
        <x:v>40235.21527777778</x:v>
      </x:c>
      <x:c r="E3028" s="25" t="n">
        <x:v>40811.41736111111</x:v>
      </x:c>
      <x:c r="F3028" s="2" t="n">
        <x:v>76</x:v>
      </x:c>
      <x:c r="G3028" s="2" t="n">
        <x:v>7</x:v>
      </x:c>
      <x:c r="H3028" s="11" t="n">
        <x:v>2389.08</x:v>
      </x:c>
      <x:c r="I3028" s="2" t="n">
        <x:v>3</x:v>
      </x:c>
      <x:c r="J3028" s="2" t="n">
        <x:v>4</x:v>
      </x:c>
      <x:c r="K3028" s="2" t="n">
        <x:v>4</x:v>
      </x:c>
      <x:c r="L3028" s="2" t="str">
        <x:v>Loyal</x:v>
      </x:c>
    </x:row>
    <x:row r="3029" ht="22" customHeight="1">
      <x:c r="A3029" s="2"/>
      <x:c r="B3029" s="2" t="str">
        <x:v>15367</x:v>
      </x:c>
      <x:c r="C3029" s="2" t="str">
        <x:v>United Kingdom</x:v>
      </x:c>
      <x:c r="D3029" s="25" t="n">
        <x:v>40157.38888888889</x:v>
      </x:c>
      <x:c r="E3029" s="25" t="n">
        <x:v>40829.38402777778</x:v>
      </x:c>
      <x:c r="F3029" s="2" t="n">
        <x:v>58</x:v>
      </x:c>
      <x:c r="G3029" s="2" t="n">
        <x:v>11</x:v>
      </x:c>
      <x:c r="H3029" s="11" t="n">
        <x:v>5081.33</x:v>
      </x:c>
      <x:c r="I3029" s="2" t="n">
        <x:v>4</x:v>
      </x:c>
      <x:c r="J3029" s="2" t="n">
        <x:v>5</x:v>
      </x:c>
      <x:c r="K3029" s="2" t="n">
        <x:v>5</x:v>
      </x:c>
      <x:c r="L3029" s="2" t="str">
        <x:v>Champions</x:v>
      </x:c>
    </x:row>
    <x:row r="3030" ht="22" customHeight="1">
      <x:c r="A3030" s="2"/>
      <x:c r="B3030" s="2" t="str">
        <x:v>15368</x:v>
      </x:c>
      <x:c r="C3030" s="2" t="str">
        <x:v>United Kingdom</x:v>
      </x:c>
      <x:c r="D3030" s="25" t="n">
        <x:v>40492.45277777778</x:v>
      </x:c>
      <x:c r="E3030" s="25" t="n">
        <x:v>40865.40416666667</x:v>
      </x:c>
      <x:c r="F3030" s="2" t="n">
        <x:v>22</x:v>
      </x:c>
      <x:c r="G3030" s="2" t="n">
        <x:v>2</x:v>
      </x:c>
      <x:c r="H3030" s="11" t="n">
        <x:v>722.74</x:v>
      </x:c>
      <x:c r="I3030" s="2" t="n">
        <x:v>4</x:v>
      </x:c>
      <x:c r="J3030" s="2" t="n">
        <x:v>2</x:v>
      </x:c>
      <x:c r="K3030" s="2" t="n">
        <x:v>3</x:v>
      </x:c>
      <x:c r="L3030" s="2" t="str">
        <x:v>Recent light buyers</x:v>
      </x:c>
    </x:row>
    <x:row r="3031" ht="22" customHeight="1">
      <x:c r="A3031" s="2"/>
      <x:c r="B3031" s="2" t="str">
        <x:v>15369</x:v>
      </x:c>
      <x:c r="C3031" s="2" t="str">
        <x:v>United Kingdom</x:v>
      </x:c>
      <x:c r="D3031" s="25" t="n">
        <x:v>40155.11319444444</x:v>
      </x:c>
      <x:c r="E3031" s="25" t="n">
        <x:v>40394.370833333334</x:v>
      </x:c>
      <x:c r="F3031" s="2" t="n">
        <x:v>493</x:v>
      </x:c>
      <x:c r="G3031" s="2" t="n">
        <x:v>11</x:v>
      </x:c>
      <x:c r="H3031" s="11" t="n">
        <x:v>6251.26</x:v>
      </x:c>
      <x:c r="I3031" s="2" t="n">
        <x:v>1</x:v>
      </x:c>
      <x:c r="J3031" s="2" t="n">
        <x:v>5</x:v>
      </x:c>
      <x:c r="K3031" s="2" t="n">
        <x:v>5</x:v>
      </x:c>
      <x:c r="L3031" s="2" t="str">
        <x:v>At risk</x:v>
      </x:c>
    </x:row>
    <x:row r="3032" ht="22" customHeight="1">
      <x:c r="A3032" s="2"/>
      <x:c r="B3032" s="2" t="str">
        <x:v>15370</x:v>
      </x:c>
      <x:c r="C3032" s="2" t="str">
        <x:v>United Kingdom</x:v>
      </x:c>
      <x:c r="D3032" s="25" t="n">
        <x:v>40476.29722222222</x:v>
      </x:c>
      <x:c r="E3032" s="25" t="n">
        <x:v>40846.248611111114</x:v>
      </x:c>
      <x:c r="F3032" s="2" t="n">
        <x:v>41</x:v>
      </x:c>
      <x:c r="G3032" s="2" t="n">
        <x:v>8</x:v>
      </x:c>
      <x:c r="H3032" s="11" t="n">
        <x:v>3739.01</x:v>
      </x:c>
      <x:c r="I3032" s="2" t="n">
        <x:v>4</x:v>
      </x:c>
      <x:c r="J3032" s="2" t="n">
        <x:v>4</x:v>
      </x:c>
      <x:c r="K3032" s="2" t="n">
        <x:v>5</x:v>
      </x:c>
      <x:c r="L3032" s="2" t="str">
        <x:v>Champions</x:v>
      </x:c>
    </x:row>
    <x:row r="3033" ht="22" customHeight="1">
      <x:c r="A3033" s="2"/>
      <x:c r="B3033" s="2" t="str">
        <x:v>15371</x:v>
      </x:c>
      <x:c r="C3033" s="2" t="str">
        <x:v>United Kingdom</x:v>
      </x:c>
      <x:c r="D3033" s="25" t="n">
        <x:v>40224.34305555555</x:v>
      </x:c>
      <x:c r="E3033" s="25" t="n">
        <x:v>40224.34305555555</x:v>
      </x:c>
      <x:c r="F3033" s="2" t="n">
        <x:v>663</x:v>
      </x:c>
      <x:c r="G3033" s="2" t="n">
        <x:v>1</x:v>
      </x:c>
      <x:c r="H3033" s="11" t="n">
        <x:v>59.4</x:v>
      </x:c>
      <x:c r="I3033" s="2" t="n">
        <x:v>1</x:v>
      </x:c>
      <x:c r="J3033" s="2" t="n">
        <x:v>1</x:v>
      </x:c>
      <x:c r="K3033" s="2" t="n">
        <x:v>1</x:v>
      </x:c>
      <x:c r="L3033" s="2" t="str">
        <x:v>Hibernating</x:v>
      </x:c>
    </x:row>
    <x:row r="3034" ht="22" customHeight="1">
      <x:c r="A3034" s="2"/>
      <x:c r="B3034" s="2" t="str">
        <x:v>15372</x:v>
      </x:c>
      <x:c r="C3034" s="2" t="str">
        <x:v>United Kingdom</x:v>
      </x:c>
      <x:c r="D3034" s="25" t="n">
        <x:v>40223.26666666667</x:v>
      </x:c>
      <x:c r="E3034" s="25" t="n">
        <x:v>40749.48541666667</x:v>
      </x:c>
      <x:c r="F3034" s="2" t="n">
        <x:v>138</x:v>
      </x:c>
      <x:c r="G3034" s="2" t="n">
        <x:v>8</x:v>
      </x:c>
      <x:c r="H3034" s="11" t="n">
        <x:v>6017.06</x:v>
      </x:c>
      <x:c r="I3034" s="2" t="n">
        <x:v>3</x:v>
      </x:c>
      <x:c r="J3034" s="2" t="n">
        <x:v>4</x:v>
      </x:c>
      <x:c r="K3034" s="2" t="n">
        <x:v>5</x:v>
      </x:c>
      <x:c r="L3034" s="2" t="str">
        <x:v>Loyal</x:v>
      </x:c>
    </x:row>
    <x:row r="3035" ht="22" customHeight="1">
      <x:c r="A3035" s="2"/>
      <x:c r="B3035" s="2" t="str">
        <x:v>15373</x:v>
      </x:c>
      <x:c r="C3035" s="2" t="str">
        <x:v>United Kingdom</x:v>
      </x:c>
      <x:c r="D3035" s="25" t="n">
        <x:v>40300.28958333333</x:v>
      </x:c>
      <x:c r="E3035" s="25" t="n">
        <x:v>40878.42013888889</x:v>
      </x:c>
      <x:c r="F3035" s="2" t="n">
        <x:v>9</x:v>
      </x:c>
      <x:c r="G3035" s="2" t="n">
        <x:v>17</x:v>
      </x:c>
      <x:c r="H3035" s="11" t="n">
        <x:v>3087.09</x:v>
      </x:c>
      <x:c r="I3035" s="2" t="n">
        <x:v>5</x:v>
      </x:c>
      <x:c r="J3035" s="2" t="n">
        <x:v>5</x:v>
      </x:c>
      <x:c r="K3035" s="2" t="n">
        <x:v>5</x:v>
      </x:c>
      <x:c r="L3035" s="2" t="str">
        <x:v>Champions</x:v>
      </x:c>
    </x:row>
    <x:row r="3036" ht="22" customHeight="1">
      <x:c r="A3036" s="2"/>
      <x:c r="B3036" s="2" t="str">
        <x:v>15374</x:v>
      </x:c>
      <x:c r="C3036" s="2" t="str">
        <x:v>United Kingdom</x:v>
      </x:c>
      <x:c r="D3036" s="25" t="n">
        <x:v>40262.29375</x:v>
      </x:c>
      <x:c r="E3036" s="25" t="n">
        <x:v>40758.20763888889</x:v>
      </x:c>
      <x:c r="F3036" s="2" t="n">
        <x:v>129</x:v>
      </x:c>
      <x:c r="G3036" s="2" t="n">
        <x:v>2</x:v>
      </x:c>
      <x:c r="H3036" s="11" t="n">
        <x:v>307.32</x:v>
      </x:c>
      <x:c r="I3036" s="2" t="n">
        <x:v>3</x:v>
      </x:c>
      <x:c r="J3036" s="2" t="n">
        <x:v>2</x:v>
      </x:c>
      <x:c r="K3036" s="2" t="n">
        <x:v>2</x:v>
      </x:c>
      <x:c r="L3036" s="2" t="str">
        <x:v>Developing</x:v>
      </x:c>
    </x:row>
    <x:row r="3037" ht="22" customHeight="1">
      <x:c r="A3037" s="2"/>
      <x:c r="B3037" s="2" t="str">
        <x:v>15375</x:v>
      </x:c>
      <x:c r="C3037" s="2" t="str">
        <x:v>United Kingdom</x:v>
      </x:c>
      <x:c r="D3037" s="25" t="n">
        <x:v>40196.44305555556</x:v>
      </x:c>
      <x:c r="E3037" s="25" t="n">
        <x:v>40196.44305555556</x:v>
      </x:c>
      <x:c r="F3037" s="2" t="n">
        <x:v>691</x:v>
      </x:c>
      <x:c r="G3037" s="2" t="n">
        <x:v>1</x:v>
      </x:c>
      <x:c r="H3037" s="11" t="n">
        <x:v>60.96</x:v>
      </x:c>
      <x:c r="I3037" s="2" t="n">
        <x:v>1</x:v>
      </x:c>
      <x:c r="J3037" s="2" t="n">
        <x:v>1</x:v>
      </x:c>
      <x:c r="K3037" s="2" t="n">
        <x:v>1</x:v>
      </x:c>
      <x:c r="L3037" s="2" t="str">
        <x:v>Hibernating</x:v>
      </x:c>
    </x:row>
    <x:row r="3038" ht="22" customHeight="1">
      <x:c r="A3038" s="2"/>
      <x:c r="B3038" s="2" t="str">
        <x:v>15376</x:v>
      </x:c>
      <x:c r="C3038" s="2" t="str">
        <x:v>United Kingdom</x:v>
      </x:c>
      <x:c r="D3038" s="25" t="n">
        <x:v>40664.364583333336</x:v>
      </x:c>
      <x:c r="E3038" s="25" t="n">
        <x:v>40846.419444444444</x:v>
      </x:c>
      <x:c r="F3038" s="2" t="n">
        <x:v>41</x:v>
      </x:c>
      <x:c r="G3038" s="2" t="n">
        <x:v>3</x:v>
      </x:c>
      <x:c r="H3038" s="11" t="n">
        <x:v>1233.36</x:v>
      </x:c>
      <x:c r="I3038" s="2" t="n">
        <x:v>4</x:v>
      </x:c>
      <x:c r="J3038" s="2" t="n">
        <x:v>3</x:v>
      </x:c>
      <x:c r="K3038" s="2" t="n">
        <x:v>4</x:v>
      </x:c>
      <x:c r="L3038" s="2" t="str">
        <x:v>Loyal</x:v>
      </x:c>
    </x:row>
    <x:row r="3039" ht="22" customHeight="1">
      <x:c r="A3039" s="2"/>
      <x:c r="B3039" s="2" t="str">
        <x:v>15377</x:v>
      </x:c>
      <x:c r="C3039" s="2" t="str">
        <x:v>United Kingdom</x:v>
      </x:c>
      <x:c r="D3039" s="25" t="n">
        <x:v>40471.27916666667</x:v>
      </x:c>
      <x:c r="E3039" s="25" t="n">
        <x:v>40504.163194444445</x:v>
      </x:c>
      <x:c r="F3039" s="2" t="n">
        <x:v>383</x:v>
      </x:c>
      <x:c r="G3039" s="2" t="n">
        <x:v>4</x:v>
      </x:c>
      <x:c r="H3039" s="11" t="n">
        <x:v>1211.75</x:v>
      </x:c>
      <x:c r="I3039" s="2" t="n">
        <x:v>2</x:v>
      </x:c>
      <x:c r="J3039" s="2" t="n">
        <x:v>3</x:v>
      </x:c>
      <x:c r="K3039" s="2" t="n">
        <x:v>3</x:v>
      </x:c>
      <x:c r="L3039" s="2" t="str">
        <x:v>At risk</x:v>
      </x:c>
    </x:row>
    <x:row r="3040" ht="22" customHeight="1">
      <x:c r="A3040" s="2"/>
      <x:c r="B3040" s="2" t="str">
        <x:v>15378</x:v>
      </x:c>
      <x:c r="C3040" s="2" t="str">
        <x:v>United Kingdom</x:v>
      </x:c>
      <x:c r="D3040" s="25" t="n">
        <x:v>40385.157638888886</x:v>
      </x:c>
      <x:c r="E3040" s="25" t="n">
        <x:v>40424.270833333336</x:v>
      </x:c>
      <x:c r="F3040" s="2" t="n">
        <x:v>463</x:v>
      </x:c>
      <x:c r="G3040" s="2" t="n">
        <x:v>2</x:v>
      </x:c>
      <x:c r="H3040" s="11" t="n">
        <x:v>246.5</x:v>
      </x:c>
      <x:c r="I3040" s="2" t="n">
        <x:v>1</x:v>
      </x:c>
      <x:c r="J3040" s="2" t="n">
        <x:v>2</x:v>
      </x:c>
      <x:c r="K3040" s="2" t="n">
        <x:v>1</x:v>
      </x:c>
      <x:c r="L3040" s="2" t="str">
        <x:v>Hibernating</x:v>
      </x:c>
    </x:row>
    <x:row r="3041" ht="22" customHeight="1">
      <x:c r="A3041" s="2"/>
      <x:c r="B3041" s="2" t="str">
        <x:v>15379</x:v>
      </x:c>
      <x:c r="C3041" s="2" t="str">
        <x:v>United Kingdom</x:v>
      </x:c>
      <x:c r="D3041" s="25" t="n">
        <x:v>40486.290972222225</x:v>
      </x:c>
      <x:c r="E3041" s="25" t="n">
        <x:v>40717.342361111114</x:v>
      </x:c>
      <x:c r="F3041" s="2" t="n">
        <x:v>170</x:v>
      </x:c>
      <x:c r="G3041" s="2" t="n">
        <x:v>8</x:v>
      </x:c>
      <x:c r="H3041" s="11" t="n">
        <x:v>4877.84</x:v>
      </x:c>
      <x:c r="I3041" s="2" t="n">
        <x:v>3</x:v>
      </x:c>
      <x:c r="J3041" s="2" t="n">
        <x:v>4</x:v>
      </x:c>
      <x:c r="K3041" s="2" t="n">
        <x:v>5</x:v>
      </x:c>
      <x:c r="L3041" s="2" t="str">
        <x:v>Loyal</x:v>
      </x:c>
    </x:row>
    <x:row r="3042" ht="22" customHeight="1">
      <x:c r="A3042" s="2"/>
      <x:c r="B3042" s="2" t="str">
        <x:v>15380</x:v>
      </x:c>
      <x:c r="C3042" s="2" t="str">
        <x:v>United Kingdom</x:v>
      </x:c>
      <x:c r="D3042" s="25" t="n">
        <x:v>40148.368055555555</x:v>
      </x:c>
      <x:c r="E3042" s="25" t="n">
        <x:v>40878.30069444444</x:v>
      </x:c>
      <x:c r="F3042" s="2" t="n">
        <x:v>9</x:v>
      </x:c>
      <x:c r="G3042" s="2" t="n">
        <x:v>11</x:v>
      </x:c>
      <x:c r="H3042" s="11" t="n">
        <x:v>3248.96</x:v>
      </x:c>
      <x:c r="I3042" s="2" t="n">
        <x:v>5</x:v>
      </x:c>
      <x:c r="J3042" s="2" t="n">
        <x:v>5</x:v>
      </x:c>
      <x:c r="K3042" s="2" t="n">
        <x:v>5</x:v>
      </x:c>
      <x:c r="L3042" s="2" t="str">
        <x:v>Champions</x:v>
      </x:c>
    </x:row>
    <x:row r="3043" ht="22" customHeight="1">
      <x:c r="A3043" s="2"/>
      <x:c r="B3043" s="2" t="str">
        <x:v>15381</x:v>
      </x:c>
      <x:c r="C3043" s="2" t="str">
        <x:v>United Kingdom</x:v>
      </x:c>
      <x:c r="D3043" s="25" t="n">
        <x:v>40303.399305555555</x:v>
      </x:c>
      <x:c r="E3043" s="25" t="n">
        <x:v>40673.288194444445</x:v>
      </x:c>
      <x:c r="F3043" s="2" t="n">
        <x:v>214</x:v>
      </x:c>
      <x:c r="G3043" s="2" t="n">
        <x:v>5</x:v>
      </x:c>
      <x:c r="H3043" s="11" t="n">
        <x:v>1890.57</x:v>
      </x:c>
      <x:c r="I3043" s="2" t="n">
        <x:v>2</x:v>
      </x:c>
      <x:c r="J3043" s="2" t="n">
        <x:v>4</x:v>
      </x:c>
      <x:c r="K3043" s="2" t="n">
        <x:v>4</x:v>
      </x:c>
      <x:c r="L3043" s="2" t="str">
        <x:v>At risk</x:v>
      </x:c>
    </x:row>
    <x:row r="3044" ht="22" customHeight="1">
      <x:c r="A3044" s="2"/>
      <x:c r="B3044" s="2" t="str">
        <x:v>15382</x:v>
      </x:c>
      <x:c r="C3044" s="2" t="str">
        <x:v>United Kingdom</x:v>
      </x:c>
      <x:c r="D3044" s="25" t="n">
        <x:v>40151.38402777778</x:v>
      </x:c>
      <x:c r="E3044" s="25" t="n">
        <x:v>40872.248611111114</x:v>
      </x:c>
      <x:c r="F3044" s="2" t="n">
        <x:v>15</x:v>
      </x:c>
      <x:c r="G3044" s="2" t="n">
        <x:v>12</x:v>
      </x:c>
      <x:c r="H3044" s="11" t="n">
        <x:v>13733.55</x:v>
      </x:c>
      <x:c r="I3044" s="2" t="n">
        <x:v>5</x:v>
      </x:c>
      <x:c r="J3044" s="2" t="n">
        <x:v>5</x:v>
      </x:c>
      <x:c r="K3044" s="2" t="n">
        <x:v>5</x:v>
      </x:c>
      <x:c r="L3044" s="2" t="str">
        <x:v>Champions</x:v>
      </x:c>
    </x:row>
    <x:row r="3045" ht="22" customHeight="1">
      <x:c r="A3045" s="2"/>
      <x:c r="B3045" s="2" t="str">
        <x:v>15384</x:v>
      </x:c>
      <x:c r="C3045" s="2" t="str">
        <x:v>United Kingdom</x:v>
      </x:c>
      <x:c r="D3045" s="25" t="n">
        <x:v>40294.31805555556</x:v>
      </x:c>
      <x:c r="E3045" s="25" t="n">
        <x:v>40717.24791666667</x:v>
      </x:c>
      <x:c r="F3045" s="2" t="n">
        <x:v>170</x:v>
      </x:c>
      <x:c r="G3045" s="2" t="n">
        <x:v>4</x:v>
      </x:c>
      <x:c r="H3045" s="11" t="n">
        <x:v>2027.79</x:v>
      </x:c>
      <x:c r="I3045" s="2" t="n">
        <x:v>3</x:v>
      </x:c>
      <x:c r="J3045" s="2" t="n">
        <x:v>3</x:v>
      </x:c>
      <x:c r="K3045" s="2" t="n">
        <x:v>4</x:v>
      </x:c>
      <x:c r="L3045" s="2" t="str">
        <x:v>Loyal</x:v>
      </x:c>
    </x:row>
    <x:row r="3046" ht="22" customHeight="1">
      <x:c r="A3046" s="2"/>
      <x:c r="B3046" s="2" t="str">
        <x:v>15385</x:v>
      </x:c>
      <x:c r="C3046" s="2" t="str">
        <x:v>United Kingdom</x:v>
      </x:c>
      <x:c r="D3046" s="25" t="n">
        <x:v>40209.33472222222</x:v>
      </x:c>
      <x:c r="E3046" s="25" t="n">
        <x:v>40846.424305555556</x:v>
      </x:c>
      <x:c r="F3046" s="2" t="n">
        <x:v>41</x:v>
      </x:c>
      <x:c r="G3046" s="2" t="n">
        <x:v>3</x:v>
      </x:c>
      <x:c r="H3046" s="11" t="n">
        <x:v>942.08</x:v>
      </x:c>
      <x:c r="I3046" s="2" t="n">
        <x:v>4</x:v>
      </x:c>
      <x:c r="J3046" s="2" t="n">
        <x:v>3</x:v>
      </x:c>
      <x:c r="K3046" s="2" t="n">
        <x:v>3</x:v>
      </x:c>
      <x:c r="L3046" s="2" t="str">
        <x:v>Loyal</x:v>
      </x:c>
    </x:row>
    <x:row r="3047" ht="22" customHeight="1">
      <x:c r="A3047" s="2"/>
      <x:c r="B3047" s="2" t="str">
        <x:v>15386</x:v>
      </x:c>
      <x:c r="C3047" s="2" t="str">
        <x:v>United Kingdom</x:v>
      </x:c>
      <x:c r="D3047" s="25" t="n">
        <x:v>40700.36597222222</x:v>
      </x:c>
      <x:c r="E3047" s="25" t="n">
        <x:v>40700.36597222222</x:v>
      </x:c>
      <x:c r="F3047" s="2" t="n">
        <x:v>187</x:v>
      </x:c>
      <x:c r="G3047" s="2" t="n">
        <x:v>1</x:v>
      </x:c>
      <x:c r="H3047" s="11" t="n">
        <x:v>394.14</x:v>
      </x:c>
      <x:c r="I3047" s="2" t="n">
        <x:v>3</x:v>
      </x:c>
      <x:c r="J3047" s="2" t="n">
        <x:v>1</x:v>
      </x:c>
      <x:c r="K3047" s="2" t="n">
        <x:v>2</x:v>
      </x:c>
      <x:c r="L3047" s="2" t="str">
        <x:v>Developing</x:v>
      </x:c>
    </x:row>
    <x:row r="3048" ht="22" customHeight="1">
      <x:c r="A3048" s="2"/>
      <x:c r="B3048" s="2" t="str">
        <x:v>15387</x:v>
      </x:c>
      <x:c r="C3048" s="2" t="str">
        <x:v>United Kingdom</x:v>
      </x:c>
      <x:c r="D3048" s="25" t="n">
        <x:v>40394.461805555555</x:v>
      </x:c>
      <x:c r="E3048" s="25" t="n">
        <x:v>40394.461805555555</x:v>
      </x:c>
      <x:c r="F3048" s="2" t="n">
        <x:v>493</x:v>
      </x:c>
      <x:c r="G3048" s="2" t="n">
        <x:v>1</x:v>
      </x:c>
      <x:c r="H3048" s="11" t="n">
        <x:v>468.65</x:v>
      </x:c>
      <x:c r="I3048" s="2" t="n">
        <x:v>1</x:v>
      </x:c>
      <x:c r="J3048" s="2" t="n">
        <x:v>1</x:v>
      </x:c>
      <x:c r="K3048" s="2" t="n">
        <x:v>2</x:v>
      </x:c>
      <x:c r="L3048" s="2" t="str">
        <x:v>Hibernating</x:v>
      </x:c>
    </x:row>
    <x:row r="3049" ht="22" customHeight="1">
      <x:c r="A3049" s="2"/>
      <x:c r="B3049" s="2" t="str">
        <x:v>15388</x:v>
      </x:c>
      <x:c r="C3049" s="2" t="str">
        <x:v>Canada</x:v>
      </x:c>
      <x:c r="D3049" s="25" t="n">
        <x:v>40616.37013888889</x:v>
      </x:c>
      <x:c r="E3049" s="25" t="n">
        <x:v>40616.37013888889</x:v>
      </x:c>
      <x:c r="F3049" s="2" t="n">
        <x:v>271</x:v>
      </x:c>
      <x:c r="G3049" s="2" t="n">
        <x:v>1</x:v>
      </x:c>
      <x:c r="H3049" s="11" t="n">
        <x:v>140.54</x:v>
      </x:c>
      <x:c r="I3049" s="2" t="n">
        <x:v>2</x:v>
      </x:c>
      <x:c r="J3049" s="2" t="n">
        <x:v>1</x:v>
      </x:c>
      <x:c r="K3049" s="2" t="n">
        <x:v>1</x:v>
      </x:c>
      <x:c r="L3049" s="2" t="str">
        <x:v>Hibernating</x:v>
      </x:c>
    </x:row>
    <x:row r="3050" ht="22" customHeight="1">
      <x:c r="A3050" s="2"/>
      <x:c r="B3050" s="2" t="str">
        <x:v>15389</x:v>
      </x:c>
      <x:c r="C3050" s="2" t="str">
        <x:v>United Kingdom</x:v>
      </x:c>
      <x:c r="D3050" s="25" t="n">
        <x:v>40205.322222222225</x:v>
      </x:c>
      <x:c r="E3050" s="25" t="n">
        <x:v>40714.47083333333</x:v>
      </x:c>
      <x:c r="F3050" s="2" t="n">
        <x:v>173</x:v>
      </x:c>
      <x:c r="G3050" s="2" t="n">
        <x:v>5</x:v>
      </x:c>
      <x:c r="H3050" s="11" t="n">
        <x:v>2733.8</x:v>
      </x:c>
      <x:c r="I3050" s="2" t="n">
        <x:v>3</x:v>
      </x:c>
      <x:c r="J3050" s="2" t="n">
        <x:v>4</x:v>
      </x:c>
      <x:c r="K3050" s="2" t="n">
        <x:v>4</x:v>
      </x:c>
      <x:c r="L3050" s="2" t="str">
        <x:v>Loyal</x:v>
      </x:c>
    </x:row>
    <x:row r="3051" ht="22" customHeight="1">
      <x:c r="A3051" s="2"/>
      <x:c r="B3051" s="2" t="str">
        <x:v>15390</x:v>
      </x:c>
      <x:c r="C3051" s="2" t="str">
        <x:v>Canada</x:v>
      </x:c>
      <x:c r="D3051" s="25" t="n">
        <x:v>40477.51597222222</x:v>
      </x:c>
      <x:c r="E3051" s="25" t="n">
        <x:v>40490.42986111111</x:v>
      </x:c>
      <x:c r="F3051" s="2" t="n">
        <x:v>397</x:v>
      </x:c>
      <x:c r="G3051" s="2" t="n">
        <x:v>2</x:v>
      </x:c>
      <x:c r="H3051" s="11" t="n">
        <x:v>1216.66</x:v>
      </x:c>
      <x:c r="I3051" s="2" t="n">
        <x:v>2</x:v>
      </x:c>
      <x:c r="J3051" s="2" t="n">
        <x:v>2</x:v>
      </x:c>
      <x:c r="K3051" s="2" t="n">
        <x:v>3</x:v>
      </x:c>
      <x:c r="L3051" s="2" t="str">
        <x:v>Hibernating</x:v>
      </x:c>
    </x:row>
    <x:row r="3052" ht="22" customHeight="1">
      <x:c r="A3052" s="2"/>
      <x:c r="B3052" s="2" t="str">
        <x:v>15391</x:v>
      </x:c>
      <x:c r="C3052" s="2" t="str">
        <x:v>United Kingdom</x:v>
      </x:c>
      <x:c r="D3052" s="25" t="n">
        <x:v>40302.419444444444</x:v>
      </x:c>
      <x:c r="E3052" s="25" t="n">
        <x:v>40302.419444444444</x:v>
      </x:c>
      <x:c r="F3052" s="2" t="n">
        <x:v>585</x:v>
      </x:c>
      <x:c r="G3052" s="2" t="n">
        <x:v>1</x:v>
      </x:c>
      <x:c r="H3052" s="11" t="n">
        <x:v>289.87</x:v>
      </x:c>
      <x:c r="I3052" s="2" t="n">
        <x:v>1</x:v>
      </x:c>
      <x:c r="J3052" s="2" t="n">
        <x:v>1</x:v>
      </x:c>
      <x:c r="K3052" s="2" t="n">
        <x:v>2</x:v>
      </x:c>
      <x:c r="L3052" s="2" t="str">
        <x:v>Hibernating</x:v>
      </x:c>
    </x:row>
    <x:row r="3053" ht="22" customHeight="1">
      <x:c r="A3053" s="2"/>
      <x:c r="B3053" s="2" t="str">
        <x:v>15392</x:v>
      </x:c>
      <x:c r="C3053" s="2" t="str">
        <x:v>United Kingdom</x:v>
      </x:c>
      <x:c r="D3053" s="25" t="n">
        <x:v>40455.32638888889</x:v>
      </x:c>
      <x:c r="E3053" s="25" t="n">
        <x:v>40882.25069444445</x:v>
      </x:c>
      <x:c r="F3053" s="2" t="n">
        <x:v>5</x:v>
      </x:c>
      <x:c r="G3053" s="2" t="n">
        <x:v>7</x:v>
      </x:c>
      <x:c r="H3053" s="11" t="n">
        <x:v>2911.62</x:v>
      </x:c>
      <x:c r="I3053" s="2" t="n">
        <x:v>5</x:v>
      </x:c>
      <x:c r="J3053" s="2" t="n">
        <x:v>4</x:v>
      </x:c>
      <x:c r="K3053" s="2" t="n">
        <x:v>4</x:v>
      </x:c>
      <x:c r="L3053" s="2" t="str">
        <x:v>Champions</x:v>
      </x:c>
    </x:row>
    <x:row r="3054" ht="22" customHeight="1">
      <x:c r="A3054" s="2"/>
      <x:c r="B3054" s="2" t="str">
        <x:v>15393</x:v>
      </x:c>
      <x:c r="C3054" s="2" t="str">
        <x:v>United Kingdom</x:v>
      </x:c>
      <x:c r="D3054" s="25" t="n">
        <x:v>40162.53888888889</x:v>
      </x:c>
      <x:c r="E3054" s="25" t="n">
        <x:v>40870.49166666667</x:v>
      </x:c>
      <x:c r="F3054" s="2" t="n">
        <x:v>17</x:v>
      </x:c>
      <x:c r="G3054" s="2" t="n">
        <x:v>5</x:v>
      </x:c>
      <x:c r="H3054" s="11" t="n">
        <x:v>891.34</x:v>
      </x:c>
      <x:c r="I3054" s="2" t="n">
        <x:v>5</x:v>
      </x:c>
      <x:c r="J3054" s="2" t="n">
        <x:v>4</x:v>
      </x:c>
      <x:c r="K3054" s="2" t="n">
        <x:v>3</x:v>
      </x:c>
      <x:c r="L3054" s="2" t="str">
        <x:v>Loyal</x:v>
      </x:c>
    </x:row>
    <x:row r="3055" ht="22" customHeight="1">
      <x:c r="A3055" s="2"/>
      <x:c r="B3055" s="2" t="str">
        <x:v>15394</x:v>
      </x:c>
      <x:c r="C3055" s="2" t="str">
        <x:v>United Kingdom</x:v>
      </x:c>
      <x:c r="D3055" s="25" t="n">
        <x:v>40162.586805555555</x:v>
      </x:c>
      <x:c r="E3055" s="25" t="n">
        <x:v>40877.28402777778</x:v>
      </x:c>
      <x:c r="F3055" s="2" t="n">
        <x:v>10</x:v>
      </x:c>
      <x:c r="G3055" s="2" t="n">
        <x:v>11</x:v>
      </x:c>
      <x:c r="H3055" s="11" t="n">
        <x:v>5286.8</x:v>
      </x:c>
      <x:c r="I3055" s="2" t="n">
        <x:v>5</x:v>
      </x:c>
      <x:c r="J3055" s="2" t="n">
        <x:v>5</x:v>
      </x:c>
      <x:c r="K3055" s="2" t="n">
        <x:v>5</x:v>
      </x:c>
      <x:c r="L3055" s="2" t="str">
        <x:v>Champions</x:v>
      </x:c>
    </x:row>
    <x:row r="3056" ht="22" customHeight="1">
      <x:c r="A3056" s="2"/>
      <x:c r="B3056" s="2" t="str">
        <x:v>15395</x:v>
      </x:c>
      <x:c r="C3056" s="2" t="str">
        <x:v>United Kingdom</x:v>
      </x:c>
      <x:c r="D3056" s="25" t="n">
        <x:v>40561.319444444445</x:v>
      </x:c>
      <x:c r="E3056" s="25" t="n">
        <x:v>40561.319444444445</x:v>
      </x:c>
      <x:c r="F3056" s="2" t="n">
        <x:v>326</x:v>
      </x:c>
      <x:c r="G3056" s="2" t="n">
        <x:v>1</x:v>
      </x:c>
      <x:c r="H3056" s="11" t="n">
        <x:v>107.45</x:v>
      </x:c>
      <x:c r="I3056" s="2" t="n">
        <x:v>2</x:v>
      </x:c>
      <x:c r="J3056" s="2" t="n">
        <x:v>1</x:v>
      </x:c>
      <x:c r="K3056" s="2" t="n">
        <x:v>1</x:v>
      </x:c>
      <x:c r="L3056" s="2" t="str">
        <x:v>Hibernating</x:v>
      </x:c>
    </x:row>
    <x:row r="3057" ht="22" customHeight="1">
      <x:c r="A3057" s="2"/>
      <x:c r="B3057" s="2" t="str">
        <x:v>15396</x:v>
      </x:c>
      <x:c r="C3057" s="2" t="str">
        <x:v>United Kingdom</x:v>
      </x:c>
      <x:c r="D3057" s="25" t="n">
        <x:v>40303.169444444444</x:v>
      </x:c>
      <x:c r="E3057" s="25" t="n">
        <x:v>40774.24722222222</x:v>
      </x:c>
      <x:c r="F3057" s="2" t="n">
        <x:v>113</x:v>
      </x:c>
      <x:c r="G3057" s="2" t="n">
        <x:v>2</x:v>
      </x:c>
      <x:c r="H3057" s="11" t="n">
        <x:v>796.38</x:v>
      </x:c>
      <x:c r="I3057" s="2" t="n">
        <x:v>3</x:v>
      </x:c>
      <x:c r="J3057" s="2" t="n">
        <x:v>2</x:v>
      </x:c>
      <x:c r="K3057" s="2" t="n">
        <x:v>3</x:v>
      </x:c>
      <x:c r="L3057" s="2" t="str">
        <x:v>Developing</x:v>
      </x:c>
    </x:row>
    <x:row r="3058" ht="22" customHeight="1">
      <x:c r="A3058" s="2"/>
      <x:c r="B3058" s="2" t="str">
        <x:v>15397</x:v>
      </x:c>
      <x:c r="C3058" s="2" t="str">
        <x:v>United Kingdom</x:v>
      </x:c>
      <x:c r="D3058" s="25" t="n">
        <x:v>40597.18402777778</x:v>
      </x:c>
      <x:c r="E3058" s="25" t="n">
        <x:v>40597.18402777778</x:v>
      </x:c>
      <x:c r="F3058" s="2" t="n">
        <x:v>290</x:v>
      </x:c>
      <x:c r="G3058" s="2" t="n">
        <x:v>1</x:v>
      </x:c>
      <x:c r="H3058" s="11" t="n">
        <x:v>94</x:v>
      </x:c>
      <x:c r="I3058" s="2" t="n">
        <x:v>2</x:v>
      </x:c>
      <x:c r="J3058" s="2" t="n">
        <x:v>1</x:v>
      </x:c>
      <x:c r="K3058" s="2" t="n">
        <x:v>1</x:v>
      </x:c>
      <x:c r="L3058" s="2" t="str">
        <x:v>Hibernating</x:v>
      </x:c>
    </x:row>
    <x:row r="3059" ht="22" customHeight="1">
      <x:c r="A3059" s="2"/>
      <x:c r="B3059" s="2" t="str">
        <x:v>15398</x:v>
      </x:c>
      <x:c r="C3059" s="2" t="str">
        <x:v>United Kingdom</x:v>
      </x:c>
      <x:c r="D3059" s="25" t="n">
        <x:v>40808.41388888889</x:v>
      </x:c>
      <x:c r="E3059" s="25" t="n">
        <x:v>40870.49097222222</x:v>
      </x:c>
      <x:c r="F3059" s="2" t="n">
        <x:v>17</x:v>
      </x:c>
      <x:c r="G3059" s="2" t="n">
        <x:v>2</x:v>
      </x:c>
      <x:c r="H3059" s="11" t="n">
        <x:v>1345.53</x:v>
      </x:c>
      <x:c r="I3059" s="2" t="n">
        <x:v>5</x:v>
      </x:c>
      <x:c r="J3059" s="2" t="n">
        <x:v>2</x:v>
      </x:c>
      <x:c r="K3059" s="2" t="n">
        <x:v>4</x:v>
      </x:c>
      <x:c r="L3059" s="2" t="str">
        <x:v>Recent light buyers</x:v>
      </x:c>
    </x:row>
    <x:row r="3060" ht="22" customHeight="1">
      <x:c r="A3060" s="2"/>
      <x:c r="B3060" s="2" t="str">
        <x:v>15399</x:v>
      </x:c>
      <x:c r="C3060" s="2" t="str">
        <x:v>United Kingdom</x:v>
      </x:c>
      <x:c r="D3060" s="25" t="n">
        <x:v>40807.45625</x:v>
      </x:c>
      <x:c r="E3060" s="25" t="n">
        <x:v>40885.33611111111</x:v>
      </x:c>
      <x:c r="F3060" s="2" t="n">
        <x:v>2</x:v>
      </x:c>
      <x:c r="G3060" s="2" t="n">
        <x:v>3</x:v>
      </x:c>
      <x:c r="H3060" s="11" t="n">
        <x:v>815.77</x:v>
      </x:c>
      <x:c r="I3060" s="2" t="n">
        <x:v>5</x:v>
      </x:c>
      <x:c r="J3060" s="2" t="n">
        <x:v>3</x:v>
      </x:c>
      <x:c r="K3060" s="2" t="n">
        <x:v>3</x:v>
      </x:c>
      <x:c r="L3060" s="2" t="str">
        <x:v>Loyal</x:v>
      </x:c>
    </x:row>
    <x:row r="3061" ht="22" customHeight="1">
      <x:c r="A3061" s="2"/>
      <x:c r="B3061" s="2" t="str">
        <x:v>15400</x:v>
      </x:c>
      <x:c r="C3061" s="2" t="str">
        <x:v>United Kingdom</x:v>
      </x:c>
      <x:c r="D3061" s="25" t="n">
        <x:v>40326.14791666667</x:v>
      </x:c>
      <x:c r="E3061" s="25" t="n">
        <x:v>40794.37291666667</x:v>
      </x:c>
      <x:c r="F3061" s="2" t="n">
        <x:v>93</x:v>
      </x:c>
      <x:c r="G3061" s="2" t="n">
        <x:v>8</x:v>
      </x:c>
      <x:c r="H3061" s="11" t="n">
        <x:v>1302.3</x:v>
      </x:c>
      <x:c r="I3061" s="2" t="n">
        <x:v>3</x:v>
      </x:c>
      <x:c r="J3061" s="2" t="n">
        <x:v>4</x:v>
      </x:c>
      <x:c r="K3061" s="2" t="n">
        <x:v>4</x:v>
      </x:c>
      <x:c r="L3061" s="2" t="str">
        <x:v>Loyal</x:v>
      </x:c>
    </x:row>
    <x:row r="3062" ht="22" customHeight="1">
      <x:c r="A3062" s="2"/>
      <x:c r="B3062" s="2" t="str">
        <x:v>15401</x:v>
      </x:c>
      <x:c r="C3062" s="2" t="str">
        <x:v>United Kingdom</x:v>
      </x:c>
      <x:c r="D3062" s="25" t="n">
        <x:v>40318.24722222222</x:v>
      </x:c>
      <x:c r="E3062" s="25" t="n">
        <x:v>40434.3625</x:v>
      </x:c>
      <x:c r="F3062" s="2" t="n">
        <x:v>453</x:v>
      </x:c>
      <x:c r="G3062" s="2" t="n">
        <x:v>2</x:v>
      </x:c>
      <x:c r="H3062" s="11" t="n">
        <x:v>216.95</x:v>
      </x:c>
      <x:c r="I3062" s="2" t="n">
        <x:v>1</x:v>
      </x:c>
      <x:c r="J3062" s="2" t="n">
        <x:v>2</x:v>
      </x:c>
      <x:c r="K3062" s="2" t="n">
        <x:v>1</x:v>
      </x:c>
      <x:c r="L3062" s="2" t="str">
        <x:v>Hibernating</x:v>
      </x:c>
    </x:row>
    <x:row r="3063" ht="22" customHeight="1">
      <x:c r="A3063" s="2"/>
      <x:c r="B3063" s="2" t="str">
        <x:v>15402</x:v>
      </x:c>
      <x:c r="C3063" s="2" t="str">
        <x:v>United Kingdom</x:v>
      </x:c>
      <x:c r="D3063" s="25" t="n">
        <x:v>40295.3</x:v>
      </x:c>
      <x:c r="E3063" s="25" t="n">
        <x:v>40738.30347222222</x:v>
      </x:c>
      <x:c r="F3063" s="2" t="n">
        <x:v>149</x:v>
      </x:c>
      <x:c r="G3063" s="2" t="n">
        <x:v>6</x:v>
      </x:c>
      <x:c r="H3063" s="11" t="n">
        <x:v>1830.54</x:v>
      </x:c>
      <x:c r="I3063" s="2" t="n">
        <x:v>3</x:v>
      </x:c>
      <x:c r="J3063" s="2" t="n">
        <x:v>4</x:v>
      </x:c>
      <x:c r="K3063" s="2" t="n">
        <x:v>4</x:v>
      </x:c>
      <x:c r="L3063" s="2" t="str">
        <x:v>Loyal</x:v>
      </x:c>
    </x:row>
    <x:row r="3064" ht="22" customHeight="1">
      <x:c r="A3064" s="2"/>
      <x:c r="B3064" s="2" t="str">
        <x:v>15403</x:v>
      </x:c>
      <x:c r="C3064" s="2" t="str">
        <x:v>United Kingdom</x:v>
      </x:c>
      <x:c r="D3064" s="25" t="n">
        <x:v>40156.322916666664</x:v>
      </x:c>
      <x:c r="E3064" s="25" t="n">
        <x:v>40395.30625</x:v>
      </x:c>
      <x:c r="F3064" s="2" t="n">
        <x:v>492</x:v>
      </x:c>
      <x:c r="G3064" s="2" t="n">
        <x:v>2</x:v>
      </x:c>
      <x:c r="H3064" s="11" t="n">
        <x:v>170.88</x:v>
      </x:c>
      <x:c r="I3064" s="2" t="n">
        <x:v>1</x:v>
      </x:c>
      <x:c r="J3064" s="2" t="n">
        <x:v>2</x:v>
      </x:c>
      <x:c r="K3064" s="2" t="n">
        <x:v>1</x:v>
      </x:c>
      <x:c r="L3064" s="2" t="str">
        <x:v>Hibernating</x:v>
      </x:c>
    </x:row>
    <x:row r="3065" ht="22" customHeight="1">
      <x:c r="A3065" s="2"/>
      <x:c r="B3065" s="2" t="str">
        <x:v>15404</x:v>
      </x:c>
      <x:c r="C3065" s="2" t="str">
        <x:v>United Kingdom</x:v>
      </x:c>
      <x:c r="D3065" s="25" t="n">
        <x:v>40511.25208333333</x:v>
      </x:c>
      <x:c r="E3065" s="25" t="n">
        <x:v>40511.25208333333</x:v>
      </x:c>
      <x:c r="F3065" s="2" t="n">
        <x:v>376</x:v>
      </x:c>
      <x:c r="G3065" s="2" t="n">
        <x:v>1</x:v>
      </x:c>
      <x:c r="H3065" s="11" t="n">
        <x:v>257.06</x:v>
      </x:c>
      <x:c r="I3065" s="2" t="n">
        <x:v>2</x:v>
      </x:c>
      <x:c r="J3065" s="2" t="n">
        <x:v>1</x:v>
      </x:c>
      <x:c r="K3065" s="2" t="n">
        <x:v>1</x:v>
      </x:c>
      <x:c r="L3065" s="2" t="str">
        <x:v>Hibernating</x:v>
      </x:c>
    </x:row>
    <x:row r="3066" ht="22" customHeight="1">
      <x:c r="A3066" s="2"/>
      <x:c r="B3066" s="2" t="str">
        <x:v>15405</x:v>
      </x:c>
      <x:c r="C3066" s="2" t="str">
        <x:v>United Kingdom</x:v>
      </x:c>
      <x:c r="D3066" s="25" t="n">
        <x:v>40310.455555555556</x:v>
      </x:c>
      <x:c r="E3066" s="25" t="n">
        <x:v>40697.40555555555</x:v>
      </x:c>
      <x:c r="F3066" s="2" t="n">
        <x:v>190</x:v>
      </x:c>
      <x:c r="G3066" s="2" t="n">
        <x:v>2</x:v>
      </x:c>
      <x:c r="H3066" s="11" t="n">
        <x:v>659.84</x:v>
      </x:c>
      <x:c r="I3066" s="2" t="n">
        <x:v>3</x:v>
      </x:c>
      <x:c r="J3066" s="2" t="n">
        <x:v>2</x:v>
      </x:c>
      <x:c r="K3066" s="2" t="n">
        <x:v>3</x:v>
      </x:c>
      <x:c r="L3066" s="2" t="str">
        <x:v>Developing</x:v>
      </x:c>
    </x:row>
    <x:row r="3067" ht="22" customHeight="1">
      <x:c r="A3067" s="2"/>
      <x:c r="B3067" s="2" t="str">
        <x:v>15406</x:v>
      </x:c>
      <x:c r="C3067" s="2" t="str">
        <x:v>United Kingdom</x:v>
      </x:c>
      <x:c r="D3067" s="25" t="n">
        <x:v>40433.3375</x:v>
      </x:c>
      <x:c r="E3067" s="25" t="n">
        <x:v>40855.34861111111</x:v>
      </x:c>
      <x:c r="F3067" s="2" t="n">
        <x:v>32</x:v>
      </x:c>
      <x:c r="G3067" s="2" t="n">
        <x:v>4</x:v>
      </x:c>
      <x:c r="H3067" s="11" t="n">
        <x:v>975.87</x:v>
      </x:c>
      <x:c r="I3067" s="2" t="n">
        <x:v>4</x:v>
      </x:c>
      <x:c r="J3067" s="2" t="n">
        <x:v>3</x:v>
      </x:c>
      <x:c r="K3067" s="2" t="n">
        <x:v>3</x:v>
      </x:c>
      <x:c r="L3067" s="2" t="str">
        <x:v>Loyal</x:v>
      </x:c>
    </x:row>
    <x:row r="3068" ht="22" customHeight="1">
      <x:c r="A3068" s="2"/>
      <x:c r="B3068" s="2" t="str">
        <x:v>15407</x:v>
      </x:c>
      <x:c r="C3068" s="2" t="str">
        <x:v>United Kingdom</x:v>
      </x:c>
      <x:c r="D3068" s="25" t="n">
        <x:v>40581.34583333333</x:v>
      </x:c>
      <x:c r="E3068" s="25" t="n">
        <x:v>40853.288194444445</x:v>
      </x:c>
      <x:c r="F3068" s="2" t="n">
        <x:v>34</x:v>
      </x:c>
      <x:c r="G3068" s="2" t="n">
        <x:v>4</x:v>
      </x:c>
      <x:c r="H3068" s="11" t="n">
        <x:v>1056.44</x:v>
      </x:c>
      <x:c r="I3068" s="2" t="n">
        <x:v>4</x:v>
      </x:c>
      <x:c r="J3068" s="2" t="n">
        <x:v>3</x:v>
      </x:c>
      <x:c r="K3068" s="2" t="n">
        <x:v>3</x:v>
      </x:c>
      <x:c r="L3068" s="2" t="str">
        <x:v>Loyal</x:v>
      </x:c>
    </x:row>
    <x:row r="3069" ht="22" customHeight="1">
      <x:c r="A3069" s="2"/>
      <x:c r="B3069" s="2" t="str">
        <x:v>15408</x:v>
      </x:c>
      <x:c r="C3069" s="2" t="str">
        <x:v>United Kingdom</x:v>
      </x:c>
      <x:c r="D3069" s="25" t="n">
        <x:v>40622.41805555556</x:v>
      </x:c>
      <x:c r="E3069" s="25" t="n">
        <x:v>40622.41805555556</x:v>
      </x:c>
      <x:c r="F3069" s="2" t="n">
        <x:v>265</x:v>
      </x:c>
      <x:c r="G3069" s="2" t="n">
        <x:v>1</x:v>
      </x:c>
      <x:c r="H3069" s="11" t="n">
        <x:v>267.18</x:v>
      </x:c>
      <x:c r="I3069" s="2" t="n">
        <x:v>2</x:v>
      </x:c>
      <x:c r="J3069" s="2" t="n">
        <x:v>1</x:v>
      </x:c>
      <x:c r="K3069" s="2" t="n">
        <x:v>1</x:v>
      </x:c>
      <x:c r="L3069" s="2" t="str">
        <x:v>Hibernating</x:v>
      </x:c>
    </x:row>
    <x:row r="3070" ht="22" customHeight="1">
      <x:c r="A3070" s="2"/>
      <x:c r="B3070" s="2" t="str">
        <x:v>15409</x:v>
      </x:c>
      <x:c r="C3070" s="2" t="str">
        <x:v>United Kingdom</x:v>
      </x:c>
      <x:c r="D3070" s="25" t="n">
        <x:v>40165.44097222222</x:v>
      </x:c>
      <x:c r="E3070" s="25" t="n">
        <x:v>40165.44097222222</x:v>
      </x:c>
      <x:c r="F3070" s="2" t="n">
        <x:v>722</x:v>
      </x:c>
      <x:c r="G3070" s="2" t="n">
        <x:v>1</x:v>
      </x:c>
      <x:c r="H3070" s="11" t="n">
        <x:v>131.25</x:v>
      </x:c>
      <x:c r="I3070" s="2" t="n">
        <x:v>1</x:v>
      </x:c>
      <x:c r="J3070" s="2" t="n">
        <x:v>1</x:v>
      </x:c>
      <x:c r="K3070" s="2" t="n">
        <x:v>1</x:v>
      </x:c>
      <x:c r="L3070" s="2" t="str">
        <x:v>Hibernating</x:v>
      </x:c>
    </x:row>
    <x:row r="3071" ht="22" customHeight="1">
      <x:c r="A3071" s="2"/>
      <x:c r="B3071" s="2" t="str">
        <x:v>15410</x:v>
      </x:c>
      <x:c r="C3071" s="2" t="str">
        <x:v>United Kingdom</x:v>
      </x:c>
      <x:c r="D3071" s="25" t="n">
        <x:v>40287.16458333333</x:v>
      </x:c>
      <x:c r="E3071" s="25" t="n">
        <x:v>40802.407638888886</x:v>
      </x:c>
      <x:c r="F3071" s="2" t="n">
        <x:v>85</x:v>
      </x:c>
      <x:c r="G3071" s="2" t="n">
        <x:v>10</x:v>
      </x:c>
      <x:c r="H3071" s="11" t="n">
        <x:v>4685.72</x:v>
      </x:c>
      <x:c r="I3071" s="2" t="n">
        <x:v>3</x:v>
      </x:c>
      <x:c r="J3071" s="2" t="n">
        <x:v>5</x:v>
      </x:c>
      <x:c r="K3071" s="2" t="n">
        <x:v>5</x:v>
      </x:c>
      <x:c r="L3071" s="2" t="str">
        <x:v>Loyal</x:v>
      </x:c>
    </x:row>
    <x:row r="3072" ht="22" customHeight="1">
      <x:c r="A3072" s="2"/>
      <x:c r="B3072" s="2" t="str">
        <x:v>15411</x:v>
      </x:c>
      <x:c r="C3072" s="2" t="str">
        <x:v>United Kingdom</x:v>
      </x:c>
      <x:c r="D3072" s="25" t="n">
        <x:v>40704.3125</x:v>
      </x:c>
      <x:c r="E3072" s="25" t="n">
        <x:v>40860.42986111111</x:v>
      </x:c>
      <x:c r="F3072" s="2" t="n">
        <x:v>27</x:v>
      </x:c>
      <x:c r="G3072" s="2" t="n">
        <x:v>4</x:v>
      </x:c>
      <x:c r="H3072" s="11" t="n">
        <x:v>1358.88</x:v>
      </x:c>
      <x:c r="I3072" s="2" t="n">
        <x:v>4</x:v>
      </x:c>
      <x:c r="J3072" s="2" t="n">
        <x:v>3</x:v>
      </x:c>
      <x:c r="K3072" s="2" t="n">
        <x:v>4</x:v>
      </x:c>
      <x:c r="L3072" s="2" t="str">
        <x:v>Loyal</x:v>
      </x:c>
    </x:row>
    <x:row r="3073" ht="22" customHeight="1">
      <x:c r="A3073" s="2"/>
      <x:c r="B3073" s="2" t="str">
        <x:v>15412</x:v>
      </x:c>
      <x:c r="C3073" s="2" t="str">
        <x:v>United Kingdom</x:v>
      </x:c>
      <x:c r="D3073" s="25" t="n">
        <x:v>40715.433333333334</x:v>
      </x:c>
      <x:c r="E3073" s="25" t="n">
        <x:v>40715.433333333334</x:v>
      </x:c>
      <x:c r="F3073" s="2" t="n">
        <x:v>172</x:v>
      </x:c>
      <x:c r="G3073" s="2" t="n">
        <x:v>1</x:v>
      </x:c>
      <x:c r="H3073" s="11" t="n">
        <x:v>190.53</x:v>
      </x:c>
      <x:c r="I3073" s="2" t="n">
        <x:v>3</x:v>
      </x:c>
      <x:c r="J3073" s="2" t="n">
        <x:v>1</x:v>
      </x:c>
      <x:c r="K3073" s="2" t="n">
        <x:v>1</x:v>
      </x:c>
      <x:c r="L3073" s="2" t="str">
        <x:v>Developing</x:v>
      </x:c>
    </x:row>
    <x:row r="3074" ht="22" customHeight="1">
      <x:c r="A3074" s="2"/>
      <x:c r="B3074" s="2" t="str">
        <x:v>15413</x:v>
      </x:c>
      <x:c r="C3074" s="2" t="str">
        <x:v>United Kingdom</x:v>
      </x:c>
      <x:c r="D3074" s="25" t="n">
        <x:v>40148.22083333333</x:v>
      </x:c>
      <x:c r="E3074" s="25" t="n">
        <x:v>40195.27291666667</x:v>
      </x:c>
      <x:c r="F3074" s="2" t="n">
        <x:v>692</x:v>
      </x:c>
      <x:c r="G3074" s="2" t="n">
        <x:v>5</x:v>
      </x:c>
      <x:c r="H3074" s="11" t="n">
        <x:v>6798.72</x:v>
      </x:c>
      <x:c r="I3074" s="2" t="n">
        <x:v>1</x:v>
      </x:c>
      <x:c r="J3074" s="2" t="n">
        <x:v>4</x:v>
      </x:c>
      <x:c r="K3074" s="2" t="n">
        <x:v>5</x:v>
      </x:c>
      <x:c r="L3074" s="2" t="str">
        <x:v>At risk</x:v>
      </x:c>
    </x:row>
    <x:row r="3075" ht="22" customHeight="1">
      <x:c r="A3075" s="2"/>
      <x:c r="B3075" s="2" t="str">
        <x:v>15414</x:v>
      </x:c>
      <x:c r="C3075" s="2" t="str">
        <x:v>United Kingdom</x:v>
      </x:c>
      <x:c r="D3075" s="25" t="n">
        <x:v>40644.364583333336</x:v>
      </x:c>
      <x:c r="E3075" s="25" t="n">
        <x:v>40877.20138888889</x:v>
      </x:c>
      <x:c r="F3075" s="2" t="n">
        <x:v>10</x:v>
      </x:c>
      <x:c r="G3075" s="2" t="n">
        <x:v>3</x:v>
      </x:c>
      <x:c r="H3075" s="11" t="n">
        <x:v>774.9</x:v>
      </x:c>
      <x:c r="I3075" s="2" t="n">
        <x:v>5</x:v>
      </x:c>
      <x:c r="J3075" s="2" t="n">
        <x:v>3</x:v>
      </x:c>
      <x:c r="K3075" s="2" t="n">
        <x:v>3</x:v>
      </x:c>
      <x:c r="L3075" s="2" t="str">
        <x:v>Loyal</x:v>
      </x:c>
    </x:row>
    <x:row r="3076" ht="22" customHeight="1">
      <x:c r="A3076" s="2"/>
      <x:c r="B3076" s="2" t="str">
        <x:v>15415</x:v>
      </x:c>
      <x:c r="C3076" s="2" t="str">
        <x:v>United Kingdom</x:v>
      </x:c>
      <x:c r="D3076" s="25" t="n">
        <x:v>40573.38402777778</x:v>
      </x:c>
      <x:c r="E3076" s="25" t="n">
        <x:v>40573.38402777778</x:v>
      </x:c>
      <x:c r="F3076" s="2" t="n">
        <x:v>314</x:v>
      </x:c>
      <x:c r="G3076" s="2" t="n">
        <x:v>1</x:v>
      </x:c>
      <x:c r="H3076" s="11" t="n">
        <x:v>572.81</x:v>
      </x:c>
      <x:c r="I3076" s="2" t="n">
        <x:v>2</x:v>
      </x:c>
      <x:c r="J3076" s="2" t="n">
        <x:v>1</x:v>
      </x:c>
      <x:c r="K3076" s="2" t="n">
        <x:v>2</x:v>
      </x:c>
      <x:c r="L3076" s="2" t="str">
        <x:v>Hibernating</x:v>
      </x:c>
    </x:row>
    <x:row r="3077" ht="22" customHeight="1">
      <x:c r="A3077" s="2"/>
      <x:c r="B3077" s="2" t="str">
        <x:v>15416</x:v>
      </x:c>
      <x:c r="C3077" s="2" t="str">
        <x:v>United Kingdom</x:v>
      </x:c>
      <x:c r="D3077" s="25" t="n">
        <x:v>40210.288194444445</x:v>
      </x:c>
      <x:c r="E3077" s="25" t="n">
        <x:v>40822.19305555556</x:v>
      </x:c>
      <x:c r="F3077" s="2" t="n">
        <x:v>65</x:v>
      </x:c>
      <x:c r="G3077" s="2" t="n">
        <x:v>7</x:v>
      </x:c>
      <x:c r="H3077" s="11" t="n">
        <x:v>4572.82</x:v>
      </x:c>
      <x:c r="I3077" s="2" t="n">
        <x:v>3</x:v>
      </x:c>
      <x:c r="J3077" s="2" t="n">
        <x:v>4</x:v>
      </x:c>
      <x:c r="K3077" s="2" t="n">
        <x:v>5</x:v>
      </x:c>
      <x:c r="L3077" s="2" t="str">
        <x:v>Loyal</x:v>
      </x:c>
    </x:row>
    <x:row r="3078" ht="22" customHeight="1">
      <x:c r="A3078" s="2"/>
      <x:c r="B3078" s="2" t="str">
        <x:v>15417</x:v>
      </x:c>
      <x:c r="C3078" s="2" t="str">
        <x:v>United Kingdom</x:v>
      </x:c>
      <x:c r="D3078" s="25" t="n">
        <x:v>40801.43472222222</x:v>
      </x:c>
      <x:c r="E3078" s="25" t="n">
        <x:v>40801.43472222222</x:v>
      </x:c>
      <x:c r="F3078" s="2" t="n">
        <x:v>86</x:v>
      </x:c>
      <x:c r="G3078" s="2" t="n">
        <x:v>1</x:v>
      </x:c>
      <x:c r="H3078" s="11" t="n">
        <x:v>508.8</x:v>
      </x:c>
      <x:c r="I3078" s="2" t="n">
        <x:v>3</x:v>
      </x:c>
      <x:c r="J3078" s="2" t="n">
        <x:v>1</x:v>
      </x:c>
      <x:c r="K3078" s="2" t="n">
        <x:v>2</x:v>
      </x:c>
      <x:c r="L3078" s="2" t="str">
        <x:v>Developing</x:v>
      </x:c>
    </x:row>
    <x:row r="3079" ht="22" customHeight="1">
      <x:c r="A3079" s="2"/>
      <x:c r="B3079" s="2" t="str">
        <x:v>15418</x:v>
      </x:c>
      <x:c r="C3079" s="2" t="str">
        <x:v>United Kingdom</x:v>
      </x:c>
      <x:c r="D3079" s="25" t="n">
        <x:v>40300.271527777775</x:v>
      </x:c>
      <x:c r="E3079" s="25" t="n">
        <x:v>40461.35972222222</x:v>
      </x:c>
      <x:c r="F3079" s="2" t="n">
        <x:v>426</x:v>
      </x:c>
      <x:c r="G3079" s="2" t="n">
        <x:v>2</x:v>
      </x:c>
      <x:c r="H3079" s="11" t="n">
        <x:v>452.32</x:v>
      </x:c>
      <x:c r="I3079" s="2" t="n">
        <x:v>1</x:v>
      </x:c>
      <x:c r="J3079" s="2" t="n">
        <x:v>2</x:v>
      </x:c>
      <x:c r="K3079" s="2" t="n">
        <x:v>2</x:v>
      </x:c>
      <x:c r="L3079" s="2" t="str">
        <x:v>Hibernating</x:v>
      </x:c>
    </x:row>
    <x:row r="3080" ht="22" customHeight="1">
      <x:c r="A3080" s="2"/>
      <x:c r="B3080" s="2" t="str">
        <x:v>15419</x:v>
      </x:c>
      <x:c r="C3080" s="2" t="str">
        <x:v>United Kingdom</x:v>
      </x:c>
      <x:c r="D3080" s="25" t="n">
        <x:v>40862.18263888889</x:v>
      </x:c>
      <x:c r="E3080" s="25" t="n">
        <x:v>40862.18263888889</x:v>
      </x:c>
      <x:c r="F3080" s="2" t="n">
        <x:v>25</x:v>
      </x:c>
      <x:c r="G3080" s="2" t="n">
        <x:v>1</x:v>
      </x:c>
      <x:c r="H3080" s="11" t="n">
        <x:v>135.86</x:v>
      </x:c>
      <x:c r="I3080" s="2" t="n">
        <x:v>4</x:v>
      </x:c>
      <x:c r="J3080" s="2" t="n">
        <x:v>1</x:v>
      </x:c>
      <x:c r="K3080" s="2" t="n">
        <x:v>1</x:v>
      </x:c>
      <x:c r="L3080" s="2" t="str">
        <x:v>Recent light buyers</x:v>
      </x:c>
    </x:row>
    <x:row r="3081" ht="22" customHeight="1">
      <x:c r="A3081" s="2"/>
      <x:c r="B3081" s="2" t="str">
        <x:v>15420</x:v>
      </x:c>
      <x:c r="C3081" s="2" t="str">
        <x:v>United Kingdom</x:v>
      </x:c>
      <x:c r="D3081" s="25" t="n">
        <x:v>40152.353472222225</x:v>
      </x:c>
      <x:c r="E3081" s="25" t="n">
        <x:v>40452.44861111111</x:v>
      </x:c>
      <x:c r="F3081" s="2" t="n">
        <x:v>435</x:v>
      </x:c>
      <x:c r="G3081" s="2" t="n">
        <x:v>6</x:v>
      </x:c>
      <x:c r="H3081" s="11" t="n">
        <x:v>743</x:v>
      </x:c>
      <x:c r="I3081" s="2" t="n">
        <x:v>1</x:v>
      </x:c>
      <x:c r="J3081" s="2" t="n">
        <x:v>4</x:v>
      </x:c>
      <x:c r="K3081" s="2" t="n">
        <x:v>3</x:v>
      </x:c>
      <x:c r="L3081" s="2" t="str">
        <x:v>At risk</x:v>
      </x:c>
    </x:row>
    <x:row r="3082" ht="22" customHeight="1">
      <x:c r="A3082" s="2"/>
      <x:c r="B3082" s="2" t="str">
        <x:v>15421</x:v>
      </x:c>
      <x:c r="C3082" s="2" t="str">
        <x:v>United Kingdom</x:v>
      </x:c>
      <x:c r="D3082" s="25" t="n">
        <x:v>40154.42361111111</x:v>
      </x:c>
      <x:c r="E3082" s="25" t="n">
        <x:v>40828.180555555555</x:v>
      </x:c>
      <x:c r="F3082" s="2" t="n">
        <x:v>59</x:v>
      </x:c>
      <x:c r="G3082" s="2" t="n">
        <x:v>10</x:v>
      </x:c>
      <x:c r="H3082" s="11" t="n">
        <x:v>3805.34</x:v>
      </x:c>
      <x:c r="I3082" s="2" t="n">
        <x:v>4</x:v>
      </x:c>
      <x:c r="J3082" s="2" t="n">
        <x:v>5</x:v>
      </x:c>
      <x:c r="K3082" s="2" t="n">
        <x:v>5</x:v>
      </x:c>
      <x:c r="L3082" s="2" t="str">
        <x:v>Champions</x:v>
      </x:c>
    </x:row>
    <x:row r="3083" ht="22" customHeight="1">
      <x:c r="A3083" s="2"/>
      <x:c r="B3083" s="2" t="str">
        <x:v>15422</x:v>
      </x:c>
      <x:c r="C3083" s="2" t="str">
        <x:v>United Kingdom</x:v>
      </x:c>
      <x:c r="D3083" s="25" t="n">
        <x:v>40216.28611111111</x:v>
      </x:c>
      <x:c r="E3083" s="25" t="n">
        <x:v>40563.470138888886</x:v>
      </x:c>
      <x:c r="F3083" s="2" t="n">
        <x:v>324</x:v>
      </x:c>
      <x:c r="G3083" s="2" t="n">
        <x:v>7</x:v>
      </x:c>
      <x:c r="H3083" s="11" t="n">
        <x:v>1619.97</x:v>
      </x:c>
      <x:c r="I3083" s="2" t="n">
        <x:v>2</x:v>
      </x:c>
      <x:c r="J3083" s="2" t="n">
        <x:v>4</x:v>
      </x:c>
      <x:c r="K3083" s="2" t="n">
        <x:v>4</x:v>
      </x:c>
      <x:c r="L3083" s="2" t="str">
        <x:v>At risk</x:v>
      </x:c>
    </x:row>
    <x:row r="3084" ht="22" customHeight="1">
      <x:c r="A3084" s="2"/>
      <x:c r="B3084" s="2" t="str">
        <x:v>15423</x:v>
      </x:c>
      <x:c r="C3084" s="2" t="str">
        <x:v>United Kingdom</x:v>
      </x:c>
      <x:c r="D3084" s="25" t="n">
        <x:v>40265.3625</x:v>
      </x:c>
      <x:c r="E3084" s="25" t="n">
        <x:v>40848.37569444445</x:v>
      </x:c>
      <x:c r="F3084" s="2" t="n">
        <x:v>39</x:v>
      </x:c>
      <x:c r="G3084" s="2" t="n">
        <x:v>3</x:v>
      </x:c>
      <x:c r="H3084" s="11" t="n">
        <x:v>266.89</x:v>
      </x:c>
      <x:c r="I3084" s="2" t="n">
        <x:v>4</x:v>
      </x:c>
      <x:c r="J3084" s="2" t="n">
        <x:v>3</x:v>
      </x:c>
      <x:c r="K3084" s="2" t="n">
        <x:v>1</x:v>
      </x:c>
      <x:c r="L3084" s="2" t="str">
        <x:v>Loyal</x:v>
      </x:c>
    </x:row>
    <x:row r="3085" ht="22" customHeight="1">
      <x:c r="A3085" s="2"/>
      <x:c r="B3085" s="2" t="str">
        <x:v>15424</x:v>
      </x:c>
      <x:c r="C3085" s="2" t="str">
        <x:v>United Kingdom</x:v>
      </x:c>
      <x:c r="D3085" s="25" t="n">
        <x:v>40423.51180555556</x:v>
      </x:c>
      <x:c r="E3085" s="25" t="n">
        <x:v>40632.33472222222</x:v>
      </x:c>
      <x:c r="F3085" s="2" t="n">
        <x:v>255</x:v>
      </x:c>
      <x:c r="G3085" s="2" t="n">
        <x:v>3</x:v>
      </x:c>
      <x:c r="H3085" s="11" t="n">
        <x:v>597.78</x:v>
      </x:c>
      <x:c r="I3085" s="2" t="n">
        <x:v>2</x:v>
      </x:c>
      <x:c r="J3085" s="2" t="n">
        <x:v>3</x:v>
      </x:c>
      <x:c r="K3085" s="2" t="n">
        <x:v>2</x:v>
      </x:c>
      <x:c r="L3085" s="2" t="str">
        <x:v>At risk</x:v>
      </x:c>
    </x:row>
    <x:row r="3086" ht="22" customHeight="1">
      <x:c r="A3086" s="2"/>
      <x:c r="B3086" s="2" t="str">
        <x:v>15425</x:v>
      </x:c>
      <x:c r="C3086" s="2" t="str">
        <x:v>United Kingdom</x:v>
      </x:c>
      <x:c r="D3086" s="25" t="n">
        <x:v>40223.316666666666</x:v>
      </x:c>
      <x:c r="E3086" s="25" t="n">
        <x:v>40486.55069444444</x:v>
      </x:c>
      <x:c r="F3086" s="2" t="n">
        <x:v>401</x:v>
      </x:c>
      <x:c r="G3086" s="2" t="n">
        <x:v>4</x:v>
      </x:c>
      <x:c r="H3086" s="11" t="n">
        <x:v>1944.57</x:v>
      </x:c>
      <x:c r="I3086" s="2" t="n">
        <x:v>2</x:v>
      </x:c>
      <x:c r="J3086" s="2" t="n">
        <x:v>3</x:v>
      </x:c>
      <x:c r="K3086" s="2" t="n">
        <x:v>4</x:v>
      </x:c>
      <x:c r="L3086" s="2" t="str">
        <x:v>At risk</x:v>
      </x:c>
    </x:row>
    <x:row r="3087" ht="22" customHeight="1">
      <x:c r="A3087" s="2"/>
      <x:c r="B3087" s="2" t="str">
        <x:v>15426</x:v>
      </x:c>
      <x:c r="C3087" s="2" t="str">
        <x:v>United Kingdom</x:v>
      </x:c>
      <x:c r="D3087" s="25" t="n">
        <x:v>40300.42361111111</x:v>
      </x:c>
      <x:c r="E3087" s="25" t="n">
        <x:v>40867.441666666666</x:v>
      </x:c>
      <x:c r="F3087" s="2" t="n">
        <x:v>20</x:v>
      </x:c>
      <x:c r="G3087" s="2" t="n">
        <x:v>9</x:v>
      </x:c>
      <x:c r="H3087" s="11" t="n">
        <x:v>2203.97</x:v>
      </x:c>
      <x:c r="I3087" s="2" t="n">
        <x:v>5</x:v>
      </x:c>
      <x:c r="J3087" s="2" t="n">
        <x:v>5</x:v>
      </x:c>
      <x:c r="K3087" s="2" t="n">
        <x:v>4</x:v>
      </x:c>
      <x:c r="L3087" s="2" t="str">
        <x:v>Champions</x:v>
      </x:c>
    </x:row>
    <x:row r="3088" ht="22" customHeight="1">
      <x:c r="A3088" s="2"/>
      <x:c r="B3088" s="2" t="str">
        <x:v>15427</x:v>
      </x:c>
      <x:c r="C3088" s="2" t="str">
        <x:v>United Kingdom</x:v>
      </x:c>
      <x:c r="D3088" s="25" t="n">
        <x:v>40839.407638888886</x:v>
      </x:c>
      <x:c r="E3088" s="25" t="n">
        <x:v>40853.39513888889</x:v>
      </x:c>
      <x:c r="F3088" s="2" t="n">
        <x:v>34</x:v>
      </x:c>
      <x:c r="G3088" s="2" t="n">
        <x:v>3</x:v>
      </x:c>
      <x:c r="H3088" s="11" t="n">
        <x:v>1483.14</x:v>
      </x:c>
      <x:c r="I3088" s="2" t="n">
        <x:v>4</x:v>
      </x:c>
      <x:c r="J3088" s="2" t="n">
        <x:v>3</x:v>
      </x:c>
      <x:c r="K3088" s="2" t="n">
        <x:v>4</x:v>
      </x:c>
      <x:c r="L3088" s="2" t="str">
        <x:v>Loyal</x:v>
      </x:c>
    </x:row>
    <x:row r="3089" ht="22" customHeight="1">
      <x:c r="A3089" s="2"/>
      <x:c r="B3089" s="2" t="str">
        <x:v>15428</x:v>
      </x:c>
      <x:c r="C3089" s="2" t="str">
        <x:v>United Kingdom</x:v>
      </x:c>
      <x:c r="D3089" s="25" t="n">
        <x:v>40164.53194444445</x:v>
      </x:c>
      <x:c r="E3089" s="25" t="n">
        <x:v>40871.495833333334</x:v>
      </x:c>
      <x:c r="F3089" s="2" t="n">
        <x:v>16</x:v>
      </x:c>
      <x:c r="G3089" s="2" t="n">
        <x:v>4</x:v>
      </x:c>
      <x:c r="H3089" s="11" t="n">
        <x:v>762.75</x:v>
      </x:c>
      <x:c r="I3089" s="2" t="n">
        <x:v>5</x:v>
      </x:c>
      <x:c r="J3089" s="2" t="n">
        <x:v>3</x:v>
      </x:c>
      <x:c r="K3089" s="2" t="n">
        <x:v>3</x:v>
      </x:c>
      <x:c r="L3089" s="2" t="str">
        <x:v>Loyal</x:v>
      </x:c>
    </x:row>
    <x:row r="3090" ht="22" customHeight="1">
      <x:c r="A3090" s="2"/>
      <x:c r="B3090" s="2" t="str">
        <x:v>15429</x:v>
      </x:c>
      <x:c r="C3090" s="2" t="str">
        <x:v>United Kingdom</x:v>
      </x:c>
      <x:c r="D3090" s="25" t="n">
        <x:v>40811.3625</x:v>
      </x:c>
      <x:c r="E3090" s="25" t="n">
        <x:v>40860.311111111114</x:v>
      </x:c>
      <x:c r="F3090" s="2" t="n">
        <x:v>27</x:v>
      </x:c>
      <x:c r="G3090" s="2" t="n">
        <x:v>2</x:v>
      </x:c>
      <x:c r="H3090" s="11" t="n">
        <x:v>397.35</x:v>
      </x:c>
      <x:c r="I3090" s="2" t="n">
        <x:v>4</x:v>
      </x:c>
      <x:c r="J3090" s="2" t="n">
        <x:v>2</x:v>
      </x:c>
      <x:c r="K3090" s="2" t="n">
        <x:v>2</x:v>
      </x:c>
      <x:c r="L3090" s="2" t="str">
        <x:v>Recent light buyers</x:v>
      </x:c>
    </x:row>
    <x:row r="3091" ht="22" customHeight="1">
      <x:c r="A3091" s="2"/>
      <x:c r="B3091" s="2" t="str">
        <x:v>15430</x:v>
      </x:c>
      <x:c r="C3091" s="2" t="str">
        <x:v>United Kingdom</x:v>
      </x:c>
      <x:c r="D3091" s="25" t="n">
        <x:v>40358.419444444444</x:v>
      </x:c>
      <x:c r="E3091" s="25" t="n">
        <x:v>40419.2375</x:v>
      </x:c>
      <x:c r="F3091" s="2" t="n">
        <x:v>468</x:v>
      </x:c>
      <x:c r="G3091" s="2" t="n">
        <x:v>2</x:v>
      </x:c>
      <x:c r="H3091" s="11" t="n">
        <x:v>954.75</x:v>
      </x:c>
      <x:c r="I3091" s="2" t="n">
        <x:v>1</x:v>
      </x:c>
      <x:c r="J3091" s="2" t="n">
        <x:v>2</x:v>
      </x:c>
      <x:c r="K3091" s="2" t="n">
        <x:v>3</x:v>
      </x:c>
      <x:c r="L3091" s="2" t="str">
        <x:v>Hibernating</x:v>
      </x:c>
    </x:row>
    <x:row r="3092" ht="22" customHeight="1">
      <x:c r="A3092" s="2"/>
      <x:c r="B3092" s="2" t="str">
        <x:v>15431</x:v>
      </x:c>
      <x:c r="C3092" s="2" t="str">
        <x:v>United Kingdom</x:v>
      </x:c>
      <x:c r="D3092" s="25" t="n">
        <x:v>40384.322222222225</x:v>
      </x:c>
      <x:c r="E3092" s="25" t="n">
        <x:v>40384.322222222225</x:v>
      </x:c>
      <x:c r="F3092" s="2" t="n">
        <x:v>503</x:v>
      </x:c>
      <x:c r="G3092" s="2" t="n">
        <x:v>1</x:v>
      </x:c>
      <x:c r="H3092" s="11" t="n">
        <x:v>153.24</x:v>
      </x:c>
      <x:c r="I3092" s="2" t="n">
        <x:v>1</x:v>
      </x:c>
      <x:c r="J3092" s="2" t="n">
        <x:v>1</x:v>
      </x:c>
      <x:c r="K3092" s="2" t="n">
        <x:v>1</x:v>
      </x:c>
      <x:c r="L3092" s="2" t="str">
        <x:v>Hibernating</x:v>
      </x:c>
    </x:row>
    <x:row r="3093" ht="22" customHeight="1">
      <x:c r="A3093" s="2"/>
      <x:c r="B3093" s="2" t="str">
        <x:v>15432</x:v>
      </x:c>
      <x:c r="C3093" s="2" t="str">
        <x:v>United Kingdom</x:v>
      </x:c>
      <x:c r="D3093" s="25" t="n">
        <x:v>40345.39861111111</x:v>
      </x:c>
      <x:c r="E3093" s="25" t="n">
        <x:v>40863.479166666664</x:v>
      </x:c>
      <x:c r="F3093" s="2" t="n">
        <x:v>24</x:v>
      </x:c>
      <x:c r="G3093" s="2" t="n">
        <x:v>2</x:v>
      </x:c>
      <x:c r="H3093" s="11" t="n">
        <x:v>320.76</x:v>
      </x:c>
      <x:c r="I3093" s="2" t="n">
        <x:v>4</x:v>
      </x:c>
      <x:c r="J3093" s="2" t="n">
        <x:v>2</x:v>
      </x:c>
      <x:c r="K3093" s="2" t="n">
        <x:v>2</x:v>
      </x:c>
      <x:c r="L3093" s="2" t="str">
        <x:v>Recent light buyers</x:v>
      </x:c>
    </x:row>
    <x:row r="3094" ht="22" customHeight="1">
      <x:c r="A3094" s="2"/>
      <x:c r="B3094" s="2" t="str">
        <x:v>15433</x:v>
      </x:c>
      <x:c r="C3094" s="2" t="str">
        <x:v>United Kingdom</x:v>
      </x:c>
      <x:c r="D3094" s="25" t="n">
        <x:v>40619.38333333333</x:v>
      </x:c>
      <x:c r="E3094" s="25" t="n">
        <x:v>40673.239583333336</x:v>
      </x:c>
      <x:c r="F3094" s="2" t="n">
        <x:v>214</x:v>
      </x:c>
      <x:c r="G3094" s="2" t="n">
        <x:v>2</x:v>
      </x:c>
      <x:c r="H3094" s="11" t="n">
        <x:v>533.3</x:v>
      </x:c>
      <x:c r="I3094" s="2" t="n">
        <x:v>2</x:v>
      </x:c>
      <x:c r="J3094" s="2" t="n">
        <x:v>2</x:v>
      </x:c>
      <x:c r="K3094" s="2" t="n">
        <x:v>2</x:v>
      </x:c>
      <x:c r="L3094" s="2" t="str">
        <x:v>Hibernating</x:v>
      </x:c>
    </x:row>
    <x:row r="3095" ht="22" customHeight="1">
      <x:c r="A3095" s="2"/>
      <x:c r="B3095" s="2" t="str">
        <x:v>15434</x:v>
      </x:c>
      <x:c r="C3095" s="2" t="str">
        <x:v>United Kingdom</x:v>
      </x:c>
      <x:c r="D3095" s="25" t="n">
        <x:v>40202.44097222222</x:v>
      </x:c>
      <x:c r="E3095" s="25" t="n">
        <x:v>40878.35625</x:v>
      </x:c>
      <x:c r="F3095" s="2" t="n">
        <x:v>9</x:v>
      </x:c>
      <x:c r="G3095" s="2" t="n">
        <x:v>11</x:v>
      </x:c>
      <x:c r="H3095" s="11" t="n">
        <x:v>2567.06</x:v>
      </x:c>
      <x:c r="I3095" s="2" t="n">
        <x:v>5</x:v>
      </x:c>
      <x:c r="J3095" s="2" t="n">
        <x:v>5</x:v>
      </x:c>
      <x:c r="K3095" s="2" t="n">
        <x:v>4</x:v>
      </x:c>
      <x:c r="L3095" s="2" t="str">
        <x:v>Champions</x:v>
      </x:c>
    </x:row>
    <x:row r="3096" ht="22" customHeight="1">
      <x:c r="A3096" s="2"/>
      <x:c r="B3096" s="2" t="str">
        <x:v>15435</x:v>
      </x:c>
      <x:c r="C3096" s="2" t="str">
        <x:v>United Kingdom</x:v>
      </x:c>
      <x:c r="D3096" s="25" t="n">
        <x:v>40864.48541666667</x:v>
      </x:c>
      <x:c r="E3096" s="25" t="n">
        <x:v>40864.48541666667</x:v>
      </x:c>
      <x:c r="F3096" s="2" t="n">
        <x:v>23</x:v>
      </x:c>
      <x:c r="G3096" s="2" t="n">
        <x:v>1</x:v>
      </x:c>
      <x:c r="H3096" s="11" t="n">
        <x:v>149.29</x:v>
      </x:c>
      <x:c r="I3096" s="2" t="n">
        <x:v>4</x:v>
      </x:c>
      <x:c r="J3096" s="2" t="n">
        <x:v>1</x:v>
      </x:c>
      <x:c r="K3096" s="2" t="n">
        <x:v>1</x:v>
      </x:c>
      <x:c r="L3096" s="2" t="str">
        <x:v>Recent light buyers</x:v>
      </x:c>
    </x:row>
    <x:row r="3097" ht="22" customHeight="1">
      <x:c r="A3097" s="2"/>
      <x:c r="B3097" s="2" t="str">
        <x:v>15436</x:v>
      </x:c>
      <x:c r="C3097" s="2" t="str">
        <x:v>United Kingdom</x:v>
      </x:c>
      <x:c r="D3097" s="25" t="n">
        <x:v>40652.49444444444</x:v>
      </x:c>
      <x:c r="E3097" s="25" t="n">
        <x:v>40874.461805555555</x:v>
      </x:c>
      <x:c r="F3097" s="2" t="n">
        <x:v>13</x:v>
      </x:c>
      <x:c r="G3097" s="2" t="n">
        <x:v>3</x:v>
      </x:c>
      <x:c r="H3097" s="11" t="n">
        <x:v>1122.53</x:v>
      </x:c>
      <x:c r="I3097" s="2" t="n">
        <x:v>5</x:v>
      </x:c>
      <x:c r="J3097" s="2" t="n">
        <x:v>3</x:v>
      </x:c>
      <x:c r="K3097" s="2" t="n">
        <x:v>3</x:v>
      </x:c>
      <x:c r="L3097" s="2" t="str">
        <x:v>Loyal</x:v>
      </x:c>
    </x:row>
    <x:row r="3098" ht="22" customHeight="1">
      <x:c r="A3098" s="2"/>
      <x:c r="B3098" s="2" t="str">
        <x:v>15437</x:v>
      </x:c>
      <x:c r="C3098" s="2" t="str">
        <x:v>United Kingdom</x:v>
      </x:c>
      <x:c r="D3098" s="25" t="n">
        <x:v>40246.239583333336</x:v>
      </x:c>
      <x:c r="E3098" s="25" t="n">
        <x:v>40624.34097222222</x:v>
      </x:c>
      <x:c r="F3098" s="2" t="n">
        <x:v>263</x:v>
      </x:c>
      <x:c r="G3098" s="2" t="n">
        <x:v>2</x:v>
      </x:c>
      <x:c r="H3098" s="11" t="n">
        <x:v>393.45</x:v>
      </x:c>
      <x:c r="I3098" s="2" t="n">
        <x:v>2</x:v>
      </x:c>
      <x:c r="J3098" s="2" t="n">
        <x:v>2</x:v>
      </x:c>
      <x:c r="K3098" s="2" t="n">
        <x:v>2</x:v>
      </x:c>
      <x:c r="L3098" s="2" t="str">
        <x:v>Hibernating</x:v>
      </x:c>
    </x:row>
    <x:row r="3099" ht="22" customHeight="1">
      <x:c r="A3099" s="2"/>
      <x:c r="B3099" s="2" t="str">
        <x:v>15438</x:v>
      </x:c>
      <x:c r="C3099" s="2" t="str">
        <x:v>United Kingdom</x:v>
      </x:c>
      <x:c r="D3099" s="25" t="n">
        <x:v>40755.388194444444</x:v>
      </x:c>
      <x:c r="E3099" s="25" t="n">
        <x:v>40755.388194444444</x:v>
      </x:c>
      <x:c r="F3099" s="2" t="n">
        <x:v>132</x:v>
      </x:c>
      <x:c r="G3099" s="2" t="n">
        <x:v>1</x:v>
      </x:c>
      <x:c r="H3099" s="11" t="n">
        <x:v>156.58</x:v>
      </x:c>
      <x:c r="I3099" s="2" t="n">
        <x:v>3</x:v>
      </x:c>
      <x:c r="J3099" s="2" t="n">
        <x:v>1</x:v>
      </x:c>
      <x:c r="K3099" s="2" t="n">
        <x:v>1</x:v>
      </x:c>
      <x:c r="L3099" s="2" t="str">
        <x:v>Developing</x:v>
      </x:c>
    </x:row>
    <x:row r="3100" ht="22" customHeight="1">
      <x:c r="A3100" s="2"/>
      <x:c r="B3100" s="2" t="str">
        <x:v>15439</x:v>
      </x:c>
      <x:c r="C3100" s="2" t="str">
        <x:v>United Kingdom</x:v>
      </x:c>
      <x:c r="D3100" s="25" t="n">
        <x:v>40233.29513888889</x:v>
      </x:c>
      <x:c r="E3100" s="25" t="n">
        <x:v>40482.23472222222</x:v>
      </x:c>
      <x:c r="F3100" s="2" t="n">
        <x:v>405</x:v>
      </x:c>
      <x:c r="G3100" s="2" t="n">
        <x:v>4</x:v>
      </x:c>
      <x:c r="H3100" s="11" t="n">
        <x:v>1269.05</x:v>
      </x:c>
      <x:c r="I3100" s="2" t="n">
        <x:v>2</x:v>
      </x:c>
      <x:c r="J3100" s="2" t="n">
        <x:v>3</x:v>
      </x:c>
      <x:c r="K3100" s="2" t="n">
        <x:v>4</x:v>
      </x:c>
      <x:c r="L3100" s="2" t="str">
        <x:v>At risk</x:v>
      </x:c>
    </x:row>
    <x:row r="3101" ht="22" customHeight="1">
      <x:c r="A3101" s="2"/>
      <x:c r="B3101" s="2" t="str">
        <x:v>15440</x:v>
      </x:c>
      <x:c r="C3101" s="2" t="str">
        <x:v>United Kingdom</x:v>
      </x:c>
      <x:c r="D3101" s="25" t="n">
        <x:v>40678.270833333336</x:v>
      </x:c>
      <x:c r="E3101" s="25" t="n">
        <x:v>40832.302777777775</x:v>
      </x:c>
      <x:c r="F3101" s="2" t="n">
        <x:v>55</x:v>
      </x:c>
      <x:c r="G3101" s="2" t="n">
        <x:v>3</x:v>
      </x:c>
      <x:c r="H3101" s="11" t="n">
        <x:v>383.68</x:v>
      </x:c>
      <x:c r="I3101" s="2" t="n">
        <x:v>4</x:v>
      </x:c>
      <x:c r="J3101" s="2" t="n">
        <x:v>3</x:v>
      </x:c>
      <x:c r="K3101" s="2" t="n">
        <x:v>2</x:v>
      </x:c>
      <x:c r="L3101" s="2" t="str">
        <x:v>Loyal</x:v>
      </x:c>
    </x:row>
    <x:row r="3102" ht="22" customHeight="1">
      <x:c r="A3102" s="2"/>
      <x:c r="B3102" s="2" t="str">
        <x:v>15441</x:v>
      </x:c>
      <x:c r="C3102" s="2" t="str">
        <x:v>United Kingdom</x:v>
      </x:c>
      <x:c r="D3102" s="25" t="n">
        <x:v>40156.413194444445</x:v>
      </x:c>
      <x:c r="E3102" s="25" t="n">
        <x:v>40490.45138888889</x:v>
      </x:c>
      <x:c r="F3102" s="2" t="n">
        <x:v>397</x:v>
      </x:c>
      <x:c r="G3102" s="2" t="n">
        <x:v>3</x:v>
      </x:c>
      <x:c r="H3102" s="11" t="n">
        <x:v>1254.21</x:v>
      </x:c>
      <x:c r="I3102" s="2" t="n">
        <x:v>2</x:v>
      </x:c>
      <x:c r="J3102" s="2" t="n">
        <x:v>3</x:v>
      </x:c>
      <x:c r="K3102" s="2" t="n">
        <x:v>4</x:v>
      </x:c>
      <x:c r="L3102" s="2" t="str">
        <x:v>At risk</x:v>
      </x:c>
    </x:row>
    <x:row r="3103" ht="22" customHeight="1">
      <x:c r="A3103" s="2"/>
      <x:c r="B3103" s="2" t="str">
        <x:v>15442</x:v>
      </x:c>
      <x:c r="C3103" s="2" t="str">
        <x:v>United Kingdom</x:v>
      </x:c>
      <x:c r="D3103" s="25" t="n">
        <x:v>40638.308333333334</x:v>
      </x:c>
      <x:c r="E3103" s="25" t="n">
        <x:v>40638.308333333334</x:v>
      </x:c>
      <x:c r="F3103" s="2" t="n">
        <x:v>249</x:v>
      </x:c>
      <x:c r="G3103" s="2" t="n">
        <x:v>1</x:v>
      </x:c>
      <x:c r="H3103" s="11" t="n">
        <x:v>594</x:v>
      </x:c>
      <x:c r="I3103" s="2" t="n">
        <x:v>2</x:v>
      </x:c>
      <x:c r="J3103" s="2" t="n">
        <x:v>1</x:v>
      </x:c>
      <x:c r="K3103" s="2" t="n">
        <x:v>2</x:v>
      </x:c>
      <x:c r="L3103" s="2" t="str">
        <x:v>Hibernating</x:v>
      </x:c>
    </x:row>
    <x:row r="3104" ht="22" customHeight="1">
      <x:c r="A3104" s="2"/>
      <x:c r="B3104" s="2" t="str">
        <x:v>15443</x:v>
      </x:c>
      <x:c r="C3104" s="2" t="str">
        <x:v>United Kingdom</x:v>
      </x:c>
      <x:c r="D3104" s="25" t="n">
        <x:v>40244.29861111111</x:v>
      </x:c>
      <x:c r="E3104" s="25" t="n">
        <x:v>40885.23611111111</x:v>
      </x:c>
      <x:c r="F3104" s="2" t="n">
        <x:v>2</x:v>
      </x:c>
      <x:c r="G3104" s="2" t="n">
        <x:v>14</x:v>
      </x:c>
      <x:c r="H3104" s="11" t="n">
        <x:v>5175.93</x:v>
      </x:c>
      <x:c r="I3104" s="2" t="n">
        <x:v>5</x:v>
      </x:c>
      <x:c r="J3104" s="2" t="n">
        <x:v>5</x:v>
      </x:c>
      <x:c r="K3104" s="2" t="n">
        <x:v>5</x:v>
      </x:c>
      <x:c r="L3104" s="2" t="str">
        <x:v>Champions</x:v>
      </x:c>
    </x:row>
    <x:row r="3105" ht="22" customHeight="1">
      <x:c r="A3105" s="2"/>
      <x:c r="B3105" s="2" t="str">
        <x:v>15444</x:v>
      </x:c>
      <x:c r="C3105" s="2" t="str">
        <x:v>United Kingdom</x:v>
      </x:c>
      <x:c r="D3105" s="25" t="n">
        <x:v>40846.46666666667</x:v>
      </x:c>
      <x:c r="E3105" s="25" t="n">
        <x:v>40877.52569444444</x:v>
      </x:c>
      <x:c r="F3105" s="2" t="n">
        <x:v>10</x:v>
      </x:c>
      <x:c r="G3105" s="2" t="n">
        <x:v>2</x:v>
      </x:c>
      <x:c r="H3105" s="11" t="n">
        <x:v>1418.26</x:v>
      </x:c>
      <x:c r="I3105" s="2" t="n">
        <x:v>5</x:v>
      </x:c>
      <x:c r="J3105" s="2" t="n">
        <x:v>2</x:v>
      </x:c>
      <x:c r="K3105" s="2" t="n">
        <x:v>4</x:v>
      </x:c>
      <x:c r="L3105" s="2" t="str">
        <x:v>Recent light buyers</x:v>
      </x:c>
    </x:row>
    <x:row r="3106" ht="22" customHeight="1">
      <x:c r="A3106" s="2"/>
      <x:c r="B3106" s="2" t="str">
        <x:v>15445</x:v>
      </x:c>
      <x:c r="C3106" s="2" t="str">
        <x:v>United Kingdom</x:v>
      </x:c>
      <x:c r="D3106" s="25" t="n">
        <x:v>40296.416666666664</x:v>
      </x:c>
      <x:c r="E3106" s="25" t="n">
        <x:v>40622.42083333333</x:v>
      </x:c>
      <x:c r="F3106" s="2" t="n">
        <x:v>265</x:v>
      </x:c>
      <x:c r="G3106" s="2" t="n">
        <x:v>2</x:v>
      </x:c>
      <x:c r="H3106" s="11" t="n">
        <x:v>284.5</x:v>
      </x:c>
      <x:c r="I3106" s="2" t="n">
        <x:v>2</x:v>
      </x:c>
      <x:c r="J3106" s="2" t="n">
        <x:v>2</x:v>
      </x:c>
      <x:c r="K3106" s="2" t="n">
        <x:v>1</x:v>
      </x:c>
      <x:c r="L3106" s="2" t="str">
        <x:v>Hibernating</x:v>
      </x:c>
    </x:row>
    <x:row r="3107" ht="22" customHeight="1">
      <x:c r="A3107" s="2"/>
      <x:c r="B3107" s="2" t="str">
        <x:v>15446</x:v>
      </x:c>
      <x:c r="C3107" s="2" t="str">
        <x:v>United Kingdom</x:v>
      </x:c>
      <x:c r="D3107" s="25" t="n">
        <x:v>40160.37013888889</x:v>
      </x:c>
      <x:c r="E3107" s="25" t="n">
        <x:v>40510.290972222225</x:v>
      </x:c>
      <x:c r="F3107" s="2" t="n">
        <x:v>377</x:v>
      </x:c>
      <x:c r="G3107" s="2" t="n">
        <x:v>3</x:v>
      </x:c>
      <x:c r="H3107" s="11" t="n">
        <x:v>406.95</x:v>
      </x:c>
      <x:c r="I3107" s="2" t="n">
        <x:v>2</x:v>
      </x:c>
      <x:c r="J3107" s="2" t="n">
        <x:v>3</x:v>
      </x:c>
      <x:c r="K3107" s="2" t="n">
        <x:v>2</x:v>
      </x:c>
      <x:c r="L3107" s="2" t="str">
        <x:v>At risk</x:v>
      </x:c>
    </x:row>
    <x:row r="3108" ht="22" customHeight="1">
      <x:c r="A3108" s="2"/>
      <x:c r="B3108" s="2" t="str">
        <x:v>15447</x:v>
      </x:c>
      <x:c r="C3108" s="2" t="str">
        <x:v>United Kingdom</x:v>
      </x:c>
      <x:c r="D3108" s="25" t="n">
        <x:v>40261.40277777778</x:v>
      </x:c>
      <x:c r="E3108" s="25" t="n">
        <x:v>40556.268055555556</x:v>
      </x:c>
      <x:c r="F3108" s="2" t="n">
        <x:v>331</x:v>
      </x:c>
      <x:c r="G3108" s="2" t="n">
        <x:v>5</x:v>
      </x:c>
      <x:c r="H3108" s="11" t="n">
        <x:v>492.88</x:v>
      </x:c>
      <x:c r="I3108" s="2" t="n">
        <x:v>2</x:v>
      </x:c>
      <x:c r="J3108" s="2" t="n">
        <x:v>4</x:v>
      </x:c>
      <x:c r="K3108" s="2" t="n">
        <x:v>2</x:v>
      </x:c>
      <x:c r="L3108" s="2" t="str">
        <x:v>At risk</x:v>
      </x:c>
    </x:row>
    <x:row r="3109" ht="22" customHeight="1">
      <x:c r="A3109" s="2"/>
      <x:c r="B3109" s="2" t="str">
        <x:v>15448</x:v>
      </x:c>
      <x:c r="C3109" s="2" t="str">
        <x:v>United Kingdom</x:v>
      </x:c>
      <x:c r="D3109" s="25" t="n">
        <x:v>40212.353472222225</x:v>
      </x:c>
      <x:c r="E3109" s="25" t="n">
        <x:v>40574.2375</x:v>
      </x:c>
      <x:c r="F3109" s="2" t="n">
        <x:v>313</x:v>
      </x:c>
      <x:c r="G3109" s="2" t="n">
        <x:v>2</x:v>
      </x:c>
      <x:c r="H3109" s="11" t="n">
        <x:v>788.81</x:v>
      </x:c>
      <x:c r="I3109" s="2" t="n">
        <x:v>2</x:v>
      </x:c>
      <x:c r="J3109" s="2" t="n">
        <x:v>2</x:v>
      </x:c>
      <x:c r="K3109" s="2" t="n">
        <x:v>3</x:v>
      </x:c>
      <x:c r="L3109" s="2" t="str">
        <x:v>Hibernating</x:v>
      </x:c>
    </x:row>
    <x:row r="3110" ht="22" customHeight="1">
      <x:c r="A3110" s="2"/>
      <x:c r="B3110" s="2" t="str">
        <x:v>15449</x:v>
      </x:c>
      <x:c r="C3110" s="2" t="str">
        <x:v>United Kingdom</x:v>
      </x:c>
      <x:c r="D3110" s="25" t="n">
        <x:v>40625.23819444444</x:v>
      </x:c>
      <x:c r="E3110" s="25" t="n">
        <x:v>40860.41805555556</x:v>
      </x:c>
      <x:c r="F3110" s="2" t="n">
        <x:v>27</x:v>
      </x:c>
      <x:c r="G3110" s="2" t="n">
        <x:v>3</x:v>
      </x:c>
      <x:c r="H3110" s="11" t="n">
        <x:v>974.52</x:v>
      </x:c>
      <x:c r="I3110" s="2" t="n">
        <x:v>4</x:v>
      </x:c>
      <x:c r="J3110" s="2" t="n">
        <x:v>3</x:v>
      </x:c>
      <x:c r="K3110" s="2" t="n">
        <x:v>3</x:v>
      </x:c>
      <x:c r="L3110" s="2" t="str">
        <x:v>Loyal</x:v>
      </x:c>
    </x:row>
    <x:row r="3111" ht="22" customHeight="1">
      <x:c r="A3111" s="2"/>
      <x:c r="B3111" s="2" t="str">
        <x:v>15450</x:v>
      </x:c>
      <x:c r="C3111" s="2" t="str">
        <x:v>United Kingdom</x:v>
      </x:c>
      <x:c r="D3111" s="25" t="n">
        <x:v>40856.50763888889</x:v>
      </x:c>
      <x:c r="E3111" s="25" t="n">
        <x:v>40856.50763888889</x:v>
      </x:c>
      <x:c r="F3111" s="2" t="n">
        <x:v>31</x:v>
      </x:c>
      <x:c r="G3111" s="2" t="n">
        <x:v>1</x:v>
      </x:c>
      <x:c r="H3111" s="11" t="n">
        <x:v>429.84</x:v>
      </x:c>
      <x:c r="I3111" s="2" t="n">
        <x:v>4</x:v>
      </x:c>
      <x:c r="J3111" s="2" t="n">
        <x:v>1</x:v>
      </x:c>
      <x:c r="K3111" s="2" t="n">
        <x:v>2</x:v>
      </x:c>
      <x:c r="L3111" s="2" t="str">
        <x:v>Recent light buyers</x:v>
      </x:c>
    </x:row>
    <x:row r="3112" ht="22" customHeight="1">
      <x:c r="A3112" s="2"/>
      <x:c r="B3112" s="2" t="str">
        <x:v>15451</x:v>
      </x:c>
      <x:c r="C3112" s="2" t="str">
        <x:v>United Kingdom</x:v>
      </x:c>
      <x:c r="D3112" s="25" t="n">
        <x:v>40287.38055555556</x:v>
      </x:c>
      <x:c r="E3112" s="25" t="n">
        <x:v>40452.36111111111</x:v>
      </x:c>
      <x:c r="F3112" s="2" t="n">
        <x:v>435</x:v>
      </x:c>
      <x:c r="G3112" s="2" t="n">
        <x:v>2</x:v>
      </x:c>
      <x:c r="H3112" s="11" t="n">
        <x:v>233.21</x:v>
      </x:c>
      <x:c r="I3112" s="2" t="n">
        <x:v>1</x:v>
      </x:c>
      <x:c r="J3112" s="2" t="n">
        <x:v>2</x:v>
      </x:c>
      <x:c r="K3112" s="2" t="n">
        <x:v>1</x:v>
      </x:c>
      <x:c r="L3112" s="2" t="str">
        <x:v>Hibernating</x:v>
      </x:c>
    </x:row>
    <x:row r="3113" ht="22" customHeight="1">
      <x:c r="A3113" s="2"/>
      <x:c r="B3113" s="2" t="str">
        <x:v>15452</x:v>
      </x:c>
      <x:c r="C3113" s="2" t="str">
        <x:v>United Kingdom</x:v>
      </x:c>
      <x:c r="D3113" s="25" t="n">
        <x:v>40375.39097222222</x:v>
      </x:c>
      <x:c r="E3113" s="25" t="n">
        <x:v>40857.30069444444</x:v>
      </x:c>
      <x:c r="F3113" s="2" t="n">
        <x:v>30</x:v>
      </x:c>
      <x:c r="G3113" s="2" t="n">
        <x:v>6</x:v>
      </x:c>
      <x:c r="H3113" s="11" t="n">
        <x:v>1799.11</x:v>
      </x:c>
      <x:c r="I3113" s="2" t="n">
        <x:v>4</x:v>
      </x:c>
      <x:c r="J3113" s="2" t="n">
        <x:v>4</x:v>
      </x:c>
      <x:c r="K3113" s="2" t="n">
        <x:v>4</x:v>
      </x:c>
      <x:c r="L3113" s="2" t="str">
        <x:v>Champions</x:v>
      </x:c>
    </x:row>
    <x:row r="3114" ht="22" customHeight="1">
      <x:c r="A3114" s="2"/>
      <x:c r="B3114" s="2" t="str">
        <x:v>15453</x:v>
      </x:c>
      <x:c r="C3114" s="2" t="str">
        <x:v>United Kingdom</x:v>
      </x:c>
      <x:c r="D3114" s="25" t="n">
        <x:v>40699.31736111111</x:v>
      </x:c>
      <x:c r="E3114" s="25" t="n">
        <x:v>40885.24930555555</x:v>
      </x:c>
      <x:c r="F3114" s="2" t="n">
        <x:v>2</x:v>
      </x:c>
      <x:c r="G3114" s="2" t="n">
        <x:v>7</x:v>
      </x:c>
      <x:c r="H3114" s="11" t="n">
        <x:v>1388.37</x:v>
      </x:c>
      <x:c r="I3114" s="2" t="n">
        <x:v>5</x:v>
      </x:c>
      <x:c r="J3114" s="2" t="n">
        <x:v>4</x:v>
      </x:c>
      <x:c r="K3114" s="2" t="n">
        <x:v>4</x:v>
      </x:c>
      <x:c r="L3114" s="2" t="str">
        <x:v>Champions</x:v>
      </x:c>
    </x:row>
    <x:row r="3115" ht="22" customHeight="1">
      <x:c r="A3115" s="2"/>
      <x:c r="B3115" s="2" t="str">
        <x:v>15454</x:v>
      </x:c>
      <x:c r="C3115" s="2" t="str">
        <x:v>United Kingdom</x:v>
      </x:c>
      <x:c r="D3115" s="25" t="n">
        <x:v>40268.34375</x:v>
      </x:c>
      <x:c r="E3115" s="25" t="n">
        <x:v>40524.38958333333</x:v>
      </x:c>
      <x:c r="F3115" s="2" t="n">
        <x:v>363</x:v>
      </x:c>
      <x:c r="G3115" s="2" t="n">
        <x:v>2</x:v>
      </x:c>
      <x:c r="H3115" s="11" t="n">
        <x:v>307.69</x:v>
      </x:c>
      <x:c r="I3115" s="2" t="n">
        <x:v>2</x:v>
      </x:c>
      <x:c r="J3115" s="2" t="n">
        <x:v>2</x:v>
      </x:c>
      <x:c r="K3115" s="2" t="n">
        <x:v>2</x:v>
      </x:c>
      <x:c r="L3115" s="2" t="str">
        <x:v>Hibernating</x:v>
      </x:c>
    </x:row>
    <x:row r="3116" ht="22" customHeight="1">
      <x:c r="A3116" s="2"/>
      <x:c r="B3116" s="2" t="str">
        <x:v>15455</x:v>
      </x:c>
      <x:c r="C3116" s="2" t="str">
        <x:v>United Kingdom</x:v>
      </x:c>
      <x:c r="D3116" s="25" t="n">
        <x:v>40289.32152777778</x:v>
      </x:c>
      <x:c r="E3116" s="25" t="n">
        <x:v>40289.32152777778</x:v>
      </x:c>
      <x:c r="F3116" s="2" t="n">
        <x:v>598</x:v>
      </x:c>
      <x:c r="G3116" s="2" t="n">
        <x:v>1</x:v>
      </x:c>
      <x:c r="H3116" s="11" t="n">
        <x:v>38.25</x:v>
      </x:c>
      <x:c r="I3116" s="2" t="n">
        <x:v>1</x:v>
      </x:c>
      <x:c r="J3116" s="2" t="n">
        <x:v>1</x:v>
      </x:c>
      <x:c r="K3116" s="2" t="n">
        <x:v>1</x:v>
      </x:c>
      <x:c r="L3116" s="2" t="str">
        <x:v>Hibernating</x:v>
      </x:c>
    </x:row>
    <x:row r="3117" ht="22" customHeight="1">
      <x:c r="A3117" s="2"/>
      <x:c r="B3117" s="2" t="str">
        <x:v>15456</x:v>
      </x:c>
      <x:c r="C3117" s="2" t="str">
        <x:v>United Kingdom</x:v>
      </x:c>
      <x:c r="D3117" s="25" t="n">
        <x:v>40155.32916666667</x:v>
      </x:c>
      <x:c r="E3117" s="25" t="n">
        <x:v>40603.36875</x:v>
      </x:c>
      <x:c r="F3117" s="2" t="n">
        <x:v>284</x:v>
      </x:c>
      <x:c r="G3117" s="2" t="n">
        <x:v>10</x:v>
      </x:c>
      <x:c r="H3117" s="11" t="n">
        <x:v>2119.27</x:v>
      </x:c>
      <x:c r="I3117" s="2" t="n">
        <x:v>2</x:v>
      </x:c>
      <x:c r="J3117" s="2" t="n">
        <x:v>5</x:v>
      </x:c>
      <x:c r="K3117" s="2" t="n">
        <x:v>4</x:v>
      </x:c>
      <x:c r="L3117" s="2" t="str">
        <x:v>At risk</x:v>
      </x:c>
    </x:row>
    <x:row r="3118" ht="22" customHeight="1">
      <x:c r="A3118" s="2"/>
      <x:c r="B3118" s="2" t="str">
        <x:v>15457</x:v>
      </x:c>
      <x:c r="C3118" s="2" t="str">
        <x:v>United Kingdom</x:v>
      </x:c>
      <x:c r="D3118" s="25" t="n">
        <x:v>40624.43819444445</x:v>
      </x:c>
      <x:c r="E3118" s="25" t="n">
        <x:v>40624.43819444445</x:v>
      </x:c>
      <x:c r="F3118" s="2" t="n">
        <x:v>263</x:v>
      </x:c>
      <x:c r="G3118" s="2" t="n">
        <x:v>1</x:v>
      </x:c>
      <x:c r="H3118" s="11" t="n">
        <x:v>237.07</x:v>
      </x:c>
      <x:c r="I3118" s="2" t="n">
        <x:v>2</x:v>
      </x:c>
      <x:c r="J3118" s="2" t="n">
        <x:v>1</x:v>
      </x:c>
      <x:c r="K3118" s="2" t="n">
        <x:v>1</x:v>
      </x:c>
      <x:c r="L3118" s="2" t="str">
        <x:v>Hibernating</x:v>
      </x:c>
    </x:row>
    <x:row r="3119" ht="22" customHeight="1">
      <x:c r="A3119" s="2"/>
      <x:c r="B3119" s="2" t="str">
        <x:v>15458</x:v>
      </x:c>
      <x:c r="C3119" s="2" t="str">
        <x:v>United Kingdom</x:v>
      </x:c>
      <x:c r="D3119" s="25" t="n">
        <x:v>40484.618055555555</x:v>
      </x:c>
      <x:c r="E3119" s="25" t="n">
        <x:v>40861.33888888889</x:v>
      </x:c>
      <x:c r="F3119" s="2" t="n">
        <x:v>26</x:v>
      </x:c>
      <x:c r="G3119" s="2" t="n">
        <x:v>2</x:v>
      </x:c>
      <x:c r="H3119" s="11" t="n">
        <x:v>370.44</x:v>
      </x:c>
      <x:c r="I3119" s="2" t="n">
        <x:v>4</x:v>
      </x:c>
      <x:c r="J3119" s="2" t="n">
        <x:v>2</x:v>
      </x:c>
      <x:c r="K3119" s="2" t="n">
        <x:v>2</x:v>
      </x:c>
      <x:c r="L3119" s="2" t="str">
        <x:v>Recent light buyers</x:v>
      </x:c>
    </x:row>
    <x:row r="3120" ht="22" customHeight="1">
      <x:c r="A3120" s="2"/>
      <x:c r="B3120" s="2" t="str">
        <x:v>15459</x:v>
      </x:c>
      <x:c r="C3120" s="2" t="str">
        <x:v>United Kingdom</x:v>
      </x:c>
      <x:c r="D3120" s="25" t="n">
        <x:v>40389.396527777775</x:v>
      </x:c>
      <x:c r="E3120" s="25" t="n">
        <x:v>40469.43402777778</x:v>
      </x:c>
      <x:c r="F3120" s="2" t="n">
        <x:v>418</x:v>
      </x:c>
      <x:c r="G3120" s="2" t="n">
        <x:v>2</x:v>
      </x:c>
      <x:c r="H3120" s="11" t="n">
        <x:v>202.83</x:v>
      </x:c>
      <x:c r="I3120" s="2" t="n">
        <x:v>1</x:v>
      </x:c>
      <x:c r="J3120" s="2" t="n">
        <x:v>2</x:v>
      </x:c>
      <x:c r="K3120" s="2" t="n">
        <x:v>1</x:v>
      </x:c>
      <x:c r="L3120" s="2" t="str">
        <x:v>Hibernating</x:v>
      </x:c>
    </x:row>
    <x:row r="3121" ht="22" customHeight="1">
      <x:c r="A3121" s="2"/>
      <x:c r="B3121" s="2" t="str">
        <x:v>15460</x:v>
      </x:c>
      <x:c r="C3121" s="2" t="str">
        <x:v>United Kingdom</x:v>
      </x:c>
      <x:c r="D3121" s="25" t="n">
        <x:v>40532.46388888889</x:v>
      </x:c>
      <x:c r="E3121" s="25" t="n">
        <x:v>40532.46388888889</x:v>
      </x:c>
      <x:c r="F3121" s="2" t="n">
        <x:v>355</x:v>
      </x:c>
      <x:c r="G3121" s="2" t="n">
        <x:v>1</x:v>
      </x:c>
      <x:c r="H3121" s="11" t="n">
        <x:v>216.76</x:v>
      </x:c>
      <x:c r="I3121" s="2" t="n">
        <x:v>2</x:v>
      </x:c>
      <x:c r="J3121" s="2" t="n">
        <x:v>1</x:v>
      </x:c>
      <x:c r="K3121" s="2" t="n">
        <x:v>1</x:v>
      </x:c>
      <x:c r="L3121" s="2" t="str">
        <x:v>Hibernating</x:v>
      </x:c>
    </x:row>
    <x:row r="3122" ht="22" customHeight="1">
      <x:c r="A3122" s="2"/>
      <x:c r="B3122" s="2" t="str">
        <x:v>15461</x:v>
      </x:c>
      <x:c r="C3122" s="2" t="str">
        <x:v>United Kingdom</x:v>
      </x:c>
      <x:c r="D3122" s="25" t="n">
        <x:v>40255.319444444445</x:v>
      </x:c>
      <x:c r="E3122" s="25" t="n">
        <x:v>40426.31319444445</x:v>
      </x:c>
      <x:c r="F3122" s="2" t="n">
        <x:v>461</x:v>
      </x:c>
      <x:c r="G3122" s="2" t="n">
        <x:v>2</x:v>
      </x:c>
      <x:c r="H3122" s="11" t="n">
        <x:v>429.7</x:v>
      </x:c>
      <x:c r="I3122" s="2" t="n">
        <x:v>1</x:v>
      </x:c>
      <x:c r="J3122" s="2" t="n">
        <x:v>2</x:v>
      </x:c>
      <x:c r="K3122" s="2" t="n">
        <x:v>2</x:v>
      </x:c>
      <x:c r="L3122" s="2" t="str">
        <x:v>Hibernating</x:v>
      </x:c>
    </x:row>
    <x:row r="3123" ht="22" customHeight="1">
      <x:c r="A3123" s="2"/>
      <x:c r="B3123" s="2" t="str">
        <x:v>15462</x:v>
      </x:c>
      <x:c r="C3123" s="2" t="str">
        <x:v>United Kingdom</x:v>
      </x:c>
      <x:c r="D3123" s="25" t="n">
        <x:v>40441.22430555556</x:v>
      </x:c>
      <x:c r="E3123" s="25" t="n">
        <x:v>40792.34097222222</x:v>
      </x:c>
      <x:c r="F3123" s="2" t="n">
        <x:v>95</x:v>
      </x:c>
      <x:c r="G3123" s="2" t="n">
        <x:v>4</x:v>
      </x:c>
      <x:c r="H3123" s="11" t="n">
        <x:v>737.05</x:v>
      </x:c>
      <x:c r="I3123" s="2" t="n">
        <x:v>3</x:v>
      </x:c>
      <x:c r="J3123" s="2" t="n">
        <x:v>3</x:v>
      </x:c>
      <x:c r="K3123" s="2" t="n">
        <x:v>3</x:v>
      </x:c>
      <x:c r="L3123" s="2" t="str">
        <x:v>Loyal</x:v>
      </x:c>
    </x:row>
    <x:row r="3124" ht="22" customHeight="1">
      <x:c r="A3124" s="2"/>
      <x:c r="B3124" s="2" t="str">
        <x:v>15463</x:v>
      </x:c>
      <x:c r="C3124" s="2" t="str">
        <x:v>United Kingdom</x:v>
      </x:c>
      <x:c r="D3124" s="25" t="n">
        <x:v>40857.33125</x:v>
      </x:c>
      <x:c r="E3124" s="25" t="n">
        <x:v>40857.33125</x:v>
      </x:c>
      <x:c r="F3124" s="2" t="n">
        <x:v>30</x:v>
      </x:c>
      <x:c r="G3124" s="2" t="n">
        <x:v>1</x:v>
      </x:c>
      <x:c r="H3124" s="11" t="n">
        <x:v>126.14</x:v>
      </x:c>
      <x:c r="I3124" s="2" t="n">
        <x:v>4</x:v>
      </x:c>
      <x:c r="J3124" s="2" t="n">
        <x:v>1</x:v>
      </x:c>
      <x:c r="K3124" s="2" t="n">
        <x:v>1</x:v>
      </x:c>
      <x:c r="L3124" s="2" t="str">
        <x:v>Recent light buyers</x:v>
      </x:c>
    </x:row>
    <x:row r="3125" ht="22" customHeight="1">
      <x:c r="A3125" s="2"/>
      <x:c r="B3125" s="2" t="str">
        <x:v>15464</x:v>
      </x:c>
      <x:c r="C3125" s="2" t="str">
        <x:v>United Kingdom</x:v>
      </x:c>
      <x:c r="D3125" s="25" t="n">
        <x:v>40548.455555555556</x:v>
      </x:c>
      <x:c r="E3125" s="25" t="n">
        <x:v>40548.455555555556</x:v>
      </x:c>
      <x:c r="F3125" s="2" t="n">
        <x:v>339</x:v>
      </x:c>
      <x:c r="G3125" s="2" t="n">
        <x:v>1</x:v>
      </x:c>
      <x:c r="H3125" s="11" t="n">
        <x:v>1048.85</x:v>
      </x:c>
      <x:c r="I3125" s="2" t="n">
        <x:v>2</x:v>
      </x:c>
      <x:c r="J3125" s="2" t="n">
        <x:v>1</x:v>
      </x:c>
      <x:c r="K3125" s="2" t="n">
        <x:v>3</x:v>
      </x:c>
      <x:c r="L3125" s="2" t="str">
        <x:v>Hibernating</x:v>
      </x:c>
    </x:row>
    <x:row r="3126" ht="22" customHeight="1">
      <x:c r="A3126" s="2"/>
      <x:c r="B3126" s="2" t="str">
        <x:v>15465</x:v>
      </x:c>
      <x:c r="C3126" s="2" t="str">
        <x:v>United Kingdom</x:v>
      </x:c>
      <x:c r="D3126" s="25" t="n">
        <x:v>40157.19583333333</x:v>
      </x:c>
      <x:c r="E3126" s="25" t="n">
        <x:v>40867.21597222222</x:v>
      </x:c>
      <x:c r="F3126" s="2" t="n">
        <x:v>20</x:v>
      </x:c>
      <x:c r="G3126" s="2" t="n">
        <x:v>32</x:v>
      </x:c>
      <x:c r="H3126" s="11" t="n">
        <x:v>12119.9</x:v>
      </x:c>
      <x:c r="I3126" s="2" t="n">
        <x:v>5</x:v>
      </x:c>
      <x:c r="J3126" s="2" t="n">
        <x:v>5</x:v>
      </x:c>
      <x:c r="K3126" s="2" t="n">
        <x:v>5</x:v>
      </x:c>
      <x:c r="L3126" s="2" t="str">
        <x:v>Champions</x:v>
      </x:c>
    </x:row>
    <x:row r="3127" ht="22" customHeight="1">
      <x:c r="A3127" s="2"/>
      <x:c r="B3127" s="2" t="str">
        <x:v>15466</x:v>
      </x:c>
      <x:c r="C3127" s="2" t="str">
        <x:v>United Kingdom</x:v>
      </x:c>
      <x:c r="D3127" s="25" t="n">
        <x:v>40150.311111111114</x:v>
      </x:c>
      <x:c r="E3127" s="25" t="n">
        <x:v>40801.38055555556</x:v>
      </x:c>
      <x:c r="F3127" s="2" t="n">
        <x:v>86</x:v>
      </x:c>
      <x:c r="G3127" s="2" t="n">
        <x:v>4</x:v>
      </x:c>
      <x:c r="H3127" s="11" t="n">
        <x:v>1571.01</x:v>
      </x:c>
      <x:c r="I3127" s="2" t="n">
        <x:v>3</x:v>
      </x:c>
      <x:c r="J3127" s="2" t="n">
        <x:v>3</x:v>
      </x:c>
      <x:c r="K3127" s="2" t="n">
        <x:v>4</x:v>
      </x:c>
      <x:c r="L3127" s="2" t="str">
        <x:v>Loyal</x:v>
      </x:c>
    </x:row>
    <x:row r="3128" ht="22" customHeight="1">
      <x:c r="A3128" s="2"/>
      <x:c r="B3128" s="2" t="str">
        <x:v>15467</x:v>
      </x:c>
      <x:c r="C3128" s="2" t="str">
        <x:v>United Kingdom</x:v>
      </x:c>
      <x:c r="D3128" s="25" t="n">
        <x:v>40734.40416666667</x:v>
      </x:c>
      <x:c r="E3128" s="25" t="n">
        <x:v>40877.38680555556</x:v>
      </x:c>
      <x:c r="F3128" s="2" t="n">
        <x:v>10</x:v>
      </x:c>
      <x:c r="G3128" s="2" t="n">
        <x:v>3</x:v>
      </x:c>
      <x:c r="H3128" s="11" t="n">
        <x:v>524.88</x:v>
      </x:c>
      <x:c r="I3128" s="2" t="n">
        <x:v>5</x:v>
      </x:c>
      <x:c r="J3128" s="2" t="n">
        <x:v>3</x:v>
      </x:c>
      <x:c r="K3128" s="2" t="n">
        <x:v>2</x:v>
      </x:c>
      <x:c r="L3128" s="2" t="str">
        <x:v>Loyal</x:v>
      </x:c>
    </x:row>
    <x:row r="3129" ht="22" customHeight="1">
      <x:c r="A3129" s="2"/>
      <x:c r="B3129" s="2" t="str">
        <x:v>15468</x:v>
      </x:c>
      <x:c r="C3129" s="2" t="str">
        <x:v>United Kingdom</x:v>
      </x:c>
      <x:c r="D3129" s="25" t="n">
        <x:v>40494.19375</x:v>
      </x:c>
      <x:c r="E3129" s="25" t="n">
        <x:v>40835.36736111111</x:v>
      </x:c>
      <x:c r="F3129" s="2" t="n">
        <x:v>52</x:v>
      </x:c>
      <x:c r="G3129" s="2" t="n">
        <x:v>3</x:v>
      </x:c>
      <x:c r="H3129" s="11" t="n">
        <x:v>1430.48</x:v>
      </x:c>
      <x:c r="I3129" s="2" t="n">
        <x:v>4</x:v>
      </x:c>
      <x:c r="J3129" s="2" t="n">
        <x:v>3</x:v>
      </x:c>
      <x:c r="K3129" s="2" t="n">
        <x:v>4</x:v>
      </x:c>
      <x:c r="L3129" s="2" t="str">
        <x:v>Loyal</x:v>
      </x:c>
    </x:row>
    <x:row r="3130" ht="22" customHeight="1">
      <x:c r="A3130" s="2"/>
      <x:c r="B3130" s="2" t="str">
        <x:v>15469</x:v>
      </x:c>
      <x:c r="C3130" s="2" t="str">
        <x:v>United Kingdom</x:v>
      </x:c>
      <x:c r="D3130" s="25" t="n">
        <x:v>40448.214583333334</x:v>
      </x:c>
      <x:c r="E3130" s="25" t="n">
        <x:v>40836.472916666666</x:v>
      </x:c>
      <x:c r="F3130" s="2" t="n">
        <x:v>51</x:v>
      </x:c>
      <x:c r="G3130" s="2" t="n">
        <x:v>3</x:v>
      </x:c>
      <x:c r="H3130" s="11" t="n">
        <x:v>874.25</x:v>
      </x:c>
      <x:c r="I3130" s="2" t="n">
        <x:v>4</x:v>
      </x:c>
      <x:c r="J3130" s="2" t="n">
        <x:v>3</x:v>
      </x:c>
      <x:c r="K3130" s="2" t="n">
        <x:v>3</x:v>
      </x:c>
      <x:c r="L3130" s="2" t="str">
        <x:v>Loyal</x:v>
      </x:c>
    </x:row>
    <x:row r="3131" ht="22" customHeight="1">
      <x:c r="A3131" s="2"/>
      <x:c r="B3131" s="2" t="str">
        <x:v>15470</x:v>
      </x:c>
      <x:c r="C3131" s="2" t="str">
        <x:v>United Kingdom</x:v>
      </x:c>
      <x:c r="D3131" s="25" t="n">
        <x:v>40311.19097222222</x:v>
      </x:c>
      <x:c r="E3131" s="25" t="n">
        <x:v>40311.19097222222</x:v>
      </x:c>
      <x:c r="F3131" s="2" t="n">
        <x:v>576</x:v>
      </x:c>
      <x:c r="G3131" s="2" t="n">
        <x:v>1</x:v>
      </x:c>
      <x:c r="H3131" s="11" t="n">
        <x:v>63.42</x:v>
      </x:c>
      <x:c r="I3131" s="2" t="n">
        <x:v>1</x:v>
      </x:c>
      <x:c r="J3131" s="2" t="n">
        <x:v>1</x:v>
      </x:c>
      <x:c r="K3131" s="2" t="n">
        <x:v>1</x:v>
      </x:c>
      <x:c r="L3131" s="2" t="str">
        <x:v>Hibernating</x:v>
      </x:c>
    </x:row>
    <x:row r="3132" ht="22" customHeight="1">
      <x:c r="A3132" s="2"/>
      <x:c r="B3132" s="2" t="str">
        <x:v>15471</x:v>
      </x:c>
      <x:c r="C3132" s="2" t="str">
        <x:v>United Kingdom</x:v>
      </x:c>
      <x:c r="D3132" s="25" t="n">
        <x:v>40336.30347222222</x:v>
      </x:c>
      <x:c r="E3132" s="25" t="n">
        <x:v>40884.38333333333</x:v>
      </x:c>
      <x:c r="F3132" s="2" t="n">
        <x:v>3</x:v>
      </x:c>
      <x:c r="G3132" s="2" t="n">
        <x:v>3</x:v>
      </x:c>
      <x:c r="H3132" s="11" t="n">
        <x:v>1316.56</x:v>
      </x:c>
      <x:c r="I3132" s="2" t="n">
        <x:v>5</x:v>
      </x:c>
      <x:c r="J3132" s="2" t="n">
        <x:v>3</x:v>
      </x:c>
      <x:c r="K3132" s="2" t="n">
        <x:v>4</x:v>
      </x:c>
      <x:c r="L3132" s="2" t="str">
        <x:v>Loyal</x:v>
      </x:c>
    </x:row>
    <x:row r="3133" ht="22" customHeight="1">
      <x:c r="A3133" s="2"/>
      <x:c r="B3133" s="2" t="str">
        <x:v>15472</x:v>
      </x:c>
      <x:c r="C3133" s="2" t="str">
        <x:v>United Kingdom</x:v>
      </x:c>
      <x:c r="D3133" s="25" t="n">
        <x:v>40773.42847222222</x:v>
      </x:c>
      <x:c r="E3133" s="25" t="n">
        <x:v>40773.42847222222</x:v>
      </x:c>
      <x:c r="F3133" s="2" t="n">
        <x:v>114</x:v>
      </x:c>
      <x:c r="G3133" s="2" t="n">
        <x:v>1</x:v>
      </x:c>
      <x:c r="H3133" s="11" t="n">
        <x:v>371.56</x:v>
      </x:c>
      <x:c r="I3133" s="2" t="n">
        <x:v>3</x:v>
      </x:c>
      <x:c r="J3133" s="2" t="n">
        <x:v>1</x:v>
      </x:c>
      <x:c r="K3133" s="2" t="n">
        <x:v>2</x:v>
      </x:c>
      <x:c r="L3133" s="2" t="str">
        <x:v>Developing</x:v>
      </x:c>
    </x:row>
    <x:row r="3134" ht="22" customHeight="1">
      <x:c r="A3134" s="2"/>
      <x:c r="B3134" s="2" t="str">
        <x:v>15473</x:v>
      </x:c>
      <x:c r="C3134" s="2" t="str">
        <x:v>United Kingdom</x:v>
      </x:c>
      <x:c r="D3134" s="25" t="n">
        <x:v>40442.17638888889</x:v>
      </x:c>
      <x:c r="E3134" s="25" t="n">
        <x:v>40872.427083333336</x:v>
      </x:c>
      <x:c r="F3134" s="2" t="n">
        <x:v>15</x:v>
      </x:c>
      <x:c r="G3134" s="2" t="n">
        <x:v>8</x:v>
      </x:c>
      <x:c r="H3134" s="11" t="n">
        <x:v>2046</x:v>
      </x:c>
      <x:c r="I3134" s="2" t="n">
        <x:v>5</x:v>
      </x:c>
      <x:c r="J3134" s="2" t="n">
        <x:v>4</x:v>
      </x:c>
      <x:c r="K3134" s="2" t="n">
        <x:v>4</x:v>
      </x:c>
      <x:c r="L3134" s="2" t="str">
        <x:v>Champions</x:v>
      </x:c>
    </x:row>
    <x:row r="3135" ht="22" customHeight="1">
      <x:c r="A3135" s="2"/>
      <x:c r="B3135" s="2" t="str">
        <x:v>15474</x:v>
      </x:c>
      <x:c r="C3135" s="2" t="str">
        <x:v>United Kingdom</x:v>
      </x:c>
      <x:c r="D3135" s="25" t="n">
        <x:v>40291.259722222225</x:v>
      </x:c>
      <x:c r="E3135" s="25" t="n">
        <x:v>40291.259722222225</x:v>
      </x:c>
      <x:c r="F3135" s="2" t="n">
        <x:v>596</x:v>
      </x:c>
      <x:c r="G3135" s="2" t="n">
        <x:v>1</x:v>
      </x:c>
      <x:c r="H3135" s="11" t="n">
        <x:v>163.1</x:v>
      </x:c>
      <x:c r="I3135" s="2" t="n">
        <x:v>1</x:v>
      </x:c>
      <x:c r="J3135" s="2" t="n">
        <x:v>1</x:v>
      </x:c>
      <x:c r="K3135" s="2" t="n">
        <x:v>1</x:v>
      </x:c>
      <x:c r="L3135" s="2" t="str">
        <x:v>Hibernating</x:v>
      </x:c>
    </x:row>
    <x:row r="3136" ht="22" customHeight="1">
      <x:c r="A3136" s="2"/>
      <x:c r="B3136" s="2" t="str">
        <x:v>15475</x:v>
      </x:c>
      <x:c r="C3136" s="2" t="str">
        <x:v>United Kingdom</x:v>
      </x:c>
      <x:c r="D3136" s="25" t="n">
        <x:v>40809.430555555555</x:v>
      </x:c>
      <x:c r="E3136" s="25" t="n">
        <x:v>40809.430555555555</x:v>
      </x:c>
      <x:c r="F3136" s="2" t="n">
        <x:v>78</x:v>
      </x:c>
      <x:c r="G3136" s="2" t="n">
        <x:v>1</x:v>
      </x:c>
      <x:c r="H3136" s="11" t="n">
        <x:v>454.11</x:v>
      </x:c>
      <x:c r="I3136" s="2" t="n">
        <x:v>3</x:v>
      </x:c>
      <x:c r="J3136" s="2" t="n">
        <x:v>1</x:v>
      </x:c>
      <x:c r="K3136" s="2" t="n">
        <x:v>2</x:v>
      </x:c>
      <x:c r="L3136" s="2" t="str">
        <x:v>Developing</x:v>
      </x:c>
    </x:row>
    <x:row r="3137" ht="22" customHeight="1">
      <x:c r="A3137" s="2"/>
      <x:c r="B3137" s="2" t="str">
        <x:v>15476</x:v>
      </x:c>
      <x:c r="C3137" s="2" t="str">
        <x:v>United Kingdom</x:v>
      </x:c>
      <x:c r="D3137" s="25" t="n">
        <x:v>40444.375</x:v>
      </x:c>
      <x:c r="E3137" s="25" t="n">
        <x:v>40506.42847222222</x:v>
      </x:c>
      <x:c r="F3137" s="2" t="n">
        <x:v>381</x:v>
      </x:c>
      <x:c r="G3137" s="2" t="n">
        <x:v>4</x:v>
      </x:c>
      <x:c r="H3137" s="11" t="n">
        <x:v>2209.98</x:v>
      </x:c>
      <x:c r="I3137" s="2" t="n">
        <x:v>2</x:v>
      </x:c>
      <x:c r="J3137" s="2" t="n">
        <x:v>3</x:v>
      </x:c>
      <x:c r="K3137" s="2" t="n">
        <x:v>4</x:v>
      </x:c>
      <x:c r="L3137" s="2" t="str">
        <x:v>At risk</x:v>
      </x:c>
    </x:row>
    <x:row r="3138" ht="22" customHeight="1">
      <x:c r="A3138" s="2"/>
      <x:c r="B3138" s="2" t="str">
        <x:v>15477</x:v>
      </x:c>
      <x:c r="C3138" s="2" t="str">
        <x:v>United Kingdom</x:v>
      </x:c>
      <x:c r="D3138" s="25" t="n">
        <x:v>40237.23402777778</x:v>
      </x:c>
      <x:c r="E3138" s="25" t="n">
        <x:v>40237.23402777778</x:v>
      </x:c>
      <x:c r="F3138" s="2" t="n">
        <x:v>650</x:v>
      </x:c>
      <x:c r="G3138" s="2" t="n">
        <x:v>1</x:v>
      </x:c>
      <x:c r="H3138" s="11" t="n">
        <x:v>368.4</x:v>
      </x:c>
      <x:c r="I3138" s="2" t="n">
        <x:v>1</x:v>
      </x:c>
      <x:c r="J3138" s="2" t="n">
        <x:v>1</x:v>
      </x:c>
      <x:c r="K3138" s="2" t="n">
        <x:v>2</x:v>
      </x:c>
      <x:c r="L3138" s="2" t="str">
        <x:v>Hibernating</x:v>
      </x:c>
    </x:row>
    <x:row r="3139" ht="22" customHeight="1">
      <x:c r="A3139" s="2"/>
      <x:c r="B3139" s="2" t="str">
        <x:v>15478</x:v>
      </x:c>
      <x:c r="C3139" s="2" t="str">
        <x:v>United Kingdom</x:v>
      </x:c>
      <x:c r="D3139" s="25" t="n">
        <x:v>40311.575694444444</x:v>
      </x:c>
      <x:c r="E3139" s="25" t="n">
        <x:v>40846.388194444444</x:v>
      </x:c>
      <x:c r="F3139" s="2" t="n">
        <x:v>41</x:v>
      </x:c>
      <x:c r="G3139" s="2" t="n">
        <x:v>3</x:v>
      </x:c>
      <x:c r="H3139" s="11" t="n">
        <x:v>2024.98</x:v>
      </x:c>
      <x:c r="I3139" s="2" t="n">
        <x:v>4</x:v>
      </x:c>
      <x:c r="J3139" s="2" t="n">
        <x:v>3</x:v>
      </x:c>
      <x:c r="K3139" s="2" t="n">
        <x:v>4</x:v>
      </x:c>
      <x:c r="L3139" s="2" t="str">
        <x:v>Loyal</x:v>
      </x:c>
    </x:row>
    <x:row r="3140" ht="22" customHeight="1">
      <x:c r="A3140" s="2"/>
      <x:c r="B3140" s="2" t="str">
        <x:v>15479</x:v>
      </x:c>
      <x:c r="C3140" s="2" t="str">
        <x:v>United Kingdom</x:v>
      </x:c>
      <x:c r="D3140" s="25" t="n">
        <x:v>40153.42222222222</x:v>
      </x:c>
      <x:c r="E3140" s="25" t="n">
        <x:v>40153.42222222222</x:v>
      </x:c>
      <x:c r="F3140" s="2" t="n">
        <x:v>734</x:v>
      </x:c>
      <x:c r="G3140" s="2" t="n">
        <x:v>1</x:v>
      </x:c>
      <x:c r="H3140" s="11" t="n">
        <x:v>147.4</x:v>
      </x:c>
      <x:c r="I3140" s="2" t="n">
        <x:v>1</x:v>
      </x:c>
      <x:c r="J3140" s="2" t="n">
        <x:v>1</x:v>
      </x:c>
      <x:c r="K3140" s="2" t="n">
        <x:v>1</x:v>
      </x:c>
      <x:c r="L3140" s="2" t="str">
        <x:v>Hibernating</x:v>
      </x:c>
    </x:row>
    <x:row r="3141" ht="22" customHeight="1">
      <x:c r="A3141" s="2"/>
      <x:c r="B3141" s="2" t="str">
        <x:v>15480</x:v>
      </x:c>
      <x:c r="C3141" s="2" t="str">
        <x:v>Malta</x:v>
      </x:c>
      <x:c r="D3141" s="25" t="n">
        <x:v>40210.41111111111</x:v>
      </x:c>
      <x:c r="E3141" s="25" t="n">
        <x:v>40770.39722222222</x:v>
      </x:c>
      <x:c r="F3141" s="2" t="n">
        <x:v>117</x:v>
      </x:c>
      <x:c r="G3141" s="2" t="n">
        <x:v>5</x:v>
      </x:c>
      <x:c r="H3141" s="11" t="n">
        <x:v>6279</x:v>
      </x:c>
      <x:c r="I3141" s="2" t="n">
        <x:v>3</x:v>
      </x:c>
      <x:c r="J3141" s="2" t="n">
        <x:v>4</x:v>
      </x:c>
      <x:c r="K3141" s="2" t="n">
        <x:v>5</x:v>
      </x:c>
      <x:c r="L3141" s="2" t="str">
        <x:v>Loyal</x:v>
      </x:c>
    </x:row>
    <x:row r="3142" ht="22" customHeight="1">
      <x:c r="A3142" s="2"/>
      <x:c r="B3142" s="2" t="str">
        <x:v>15481</x:v>
      </x:c>
      <x:c r="C3142" s="2" t="str">
        <x:v>Norway</x:v>
      </x:c>
      <x:c r="D3142" s="25" t="n">
        <x:v>40485.41111111111</x:v>
      </x:c>
      <x:c r="E3142" s="25" t="n">
        <x:v>40485.41111111111</x:v>
      </x:c>
      <x:c r="F3142" s="2" t="n">
        <x:v>402</x:v>
      </x:c>
      <x:c r="G3142" s="2" t="n">
        <x:v>1</x:v>
      </x:c>
      <x:c r="H3142" s="11" t="n">
        <x:v>1993.34</x:v>
      </x:c>
      <x:c r="I3142" s="2" t="n">
        <x:v>2</x:v>
      </x:c>
      <x:c r="J3142" s="2" t="n">
        <x:v>1</x:v>
      </x:c>
      <x:c r="K3142" s="2" t="n">
        <x:v>4</x:v>
      </x:c>
      <x:c r="L3142" s="2" t="str">
        <x:v>Hibernating</x:v>
      </x:c>
    </x:row>
    <x:row r="3143" ht="22" customHeight="1">
      <x:c r="A3143" s="2"/>
      <x:c r="B3143" s="2" t="str">
        <x:v>15482</x:v>
      </x:c>
      <x:c r="C3143" s="2" t="str">
        <x:v>United Kingdom</x:v>
      </x:c>
      <x:c r="D3143" s="25" t="n">
        <x:v>40149.49930555555</x:v>
      </x:c>
      <x:c r="E3143" s="25" t="n">
        <x:v>40871.240277777775</x:v>
      </x:c>
      <x:c r="F3143" s="2" t="n">
        <x:v>16</x:v>
      </x:c>
      <x:c r="G3143" s="2" t="n">
        <x:v>19</x:v>
      </x:c>
      <x:c r="H3143" s="11" t="n">
        <x:v>14592.56</x:v>
      </x:c>
      <x:c r="I3143" s="2" t="n">
        <x:v>5</x:v>
      </x:c>
      <x:c r="J3143" s="2" t="n">
        <x:v>5</x:v>
      </x:c>
      <x:c r="K3143" s="2" t="n">
        <x:v>5</x:v>
      </x:c>
      <x:c r="L3143" s="2" t="str">
        <x:v>Champions</x:v>
      </x:c>
    </x:row>
    <x:row r="3144" ht="22" customHeight="1">
      <x:c r="A3144" s="2"/>
      <x:c r="B3144" s="2" t="str">
        <x:v>15483</x:v>
      </x:c>
      <x:c r="C3144" s="2" t="str">
        <x:v>United Kingdom</x:v>
      </x:c>
      <x:c r="D3144" s="25" t="n">
        <x:v>40202.44583333333</x:v>
      </x:c>
      <x:c r="E3144" s="25" t="n">
        <x:v>40725.33819444444</x:v>
      </x:c>
      <x:c r="F3144" s="2" t="n">
        <x:v>162</x:v>
      </x:c>
      <x:c r="G3144" s="2" t="n">
        <x:v>10</x:v>
      </x:c>
      <x:c r="H3144" s="11" t="n">
        <x:v>862.2</x:v>
      </x:c>
      <x:c r="I3144" s="2" t="n">
        <x:v>3</x:v>
      </x:c>
      <x:c r="J3144" s="2" t="n">
        <x:v>5</x:v>
      </x:c>
      <x:c r="K3144" s="2" t="n">
        <x:v>3</x:v>
      </x:c>
      <x:c r="L3144" s="2" t="str">
        <x:v>Loyal</x:v>
      </x:c>
    </x:row>
    <x:row r="3145" ht="22" customHeight="1">
      <x:c r="A3145" s="2"/>
      <x:c r="B3145" s="2" t="str">
        <x:v>15484</x:v>
      </x:c>
      <x:c r="C3145" s="2" t="str">
        <x:v>United Kingdom</x:v>
      </x:c>
      <x:c r="D3145" s="25" t="n">
        <x:v>40152.42916666667</x:v>
      </x:c>
      <x:c r="E3145" s="25" t="n">
        <x:v>40885.41875</x:v>
      </x:c>
      <x:c r="F3145" s="2" t="n">
        <x:v>2</x:v>
      </x:c>
      <x:c r="G3145" s="2" t="n">
        <x:v>6</x:v>
      </x:c>
      <x:c r="H3145" s="11" t="n">
        <x:v>4656</x:v>
      </x:c>
      <x:c r="I3145" s="2" t="n">
        <x:v>5</x:v>
      </x:c>
      <x:c r="J3145" s="2" t="n">
        <x:v>4</x:v>
      </x:c>
      <x:c r="K3145" s="2" t="n">
        <x:v>5</x:v>
      </x:c>
      <x:c r="L3145" s="2" t="str">
        <x:v>Champions</x:v>
      </x:c>
    </x:row>
    <x:row r="3146" ht="22" customHeight="1">
      <x:c r="A3146" s="2"/>
      <x:c r="B3146" s="2" t="str">
        <x:v>15485</x:v>
      </x:c>
      <x:c r="C3146" s="2" t="str">
        <x:v>United Kingdom</x:v>
      </x:c>
      <x:c r="D3146" s="25" t="n">
        <x:v>40148.521527777775</x:v>
      </x:c>
      <x:c r="E3146" s="25" t="n">
        <x:v>40856.396527777775</x:v>
      </x:c>
      <x:c r="F3146" s="2" t="n">
        <x:v>31</x:v>
      </x:c>
      <x:c r="G3146" s="2" t="n">
        <x:v>7</x:v>
      </x:c>
      <x:c r="H3146" s="11" t="n">
        <x:v>4821.42</x:v>
      </x:c>
      <x:c r="I3146" s="2" t="n">
        <x:v>4</x:v>
      </x:c>
      <x:c r="J3146" s="2" t="n">
        <x:v>4</x:v>
      </x:c>
      <x:c r="K3146" s="2" t="n">
        <x:v>5</x:v>
      </x:c>
      <x:c r="L3146" s="2" t="str">
        <x:v>Champions</x:v>
      </x:c>
    </x:row>
    <x:row r="3147" ht="22" customHeight="1">
      <x:c r="A3147" s="2"/>
      <x:c r="B3147" s="2" t="str">
        <x:v>15486</x:v>
      </x:c>
      <x:c r="C3147" s="2" t="str">
        <x:v>United Kingdom</x:v>
      </x:c>
      <x:c r="D3147" s="25" t="n">
        <x:v>40359.34375</x:v>
      </x:c>
      <x:c r="E3147" s="25" t="n">
        <x:v>40359.34375</x:v>
      </x:c>
      <x:c r="F3147" s="2" t="n">
        <x:v>528</x:v>
      </x:c>
      <x:c r="G3147" s="2" t="n">
        <x:v>1</x:v>
      </x:c>
      <x:c r="H3147" s="11" t="n">
        <x:v>102</x:v>
      </x:c>
      <x:c r="I3147" s="2" t="n">
        <x:v>1</x:v>
      </x:c>
      <x:c r="J3147" s="2" t="n">
        <x:v>1</x:v>
      </x:c>
      <x:c r="K3147" s="2" t="n">
        <x:v>1</x:v>
      </x:c>
      <x:c r="L3147" s="2" t="str">
        <x:v>Hibernating</x:v>
      </x:c>
    </x:row>
    <x:row r="3148" ht="22" customHeight="1">
      <x:c r="A3148" s="2"/>
      <x:c r="B3148" s="2" t="str">
        <x:v>15487</x:v>
      </x:c>
      <x:c r="C3148" s="2" t="str">
        <x:v>United Kingdom</x:v>
      </x:c>
      <x:c r="D3148" s="25" t="n">
        <x:v>40207.29652777778</x:v>
      </x:c>
      <x:c r="E3148" s="25" t="n">
        <x:v>40207.29652777778</x:v>
      </x:c>
      <x:c r="F3148" s="2" t="n">
        <x:v>680</x:v>
      </x:c>
      <x:c r="G3148" s="2" t="n">
        <x:v>1</x:v>
      </x:c>
      <x:c r="H3148" s="11" t="n">
        <x:v>231.32</x:v>
      </x:c>
      <x:c r="I3148" s="2" t="n">
        <x:v>1</x:v>
      </x:c>
      <x:c r="J3148" s="2" t="n">
        <x:v>1</x:v>
      </x:c>
      <x:c r="K3148" s="2" t="n">
        <x:v>1</x:v>
      </x:c>
      <x:c r="L3148" s="2" t="str">
        <x:v>Hibernating</x:v>
      </x:c>
    </x:row>
    <x:row r="3149" ht="22" customHeight="1">
      <x:c r="A3149" s="2"/>
      <x:c r="B3149" s="2" t="str">
        <x:v>15488</x:v>
      </x:c>
      <x:c r="C3149" s="2" t="str">
        <x:v>United Kingdom</x:v>
      </x:c>
      <x:c r="D3149" s="25" t="n">
        <x:v>40303.33541666667</x:v>
      </x:c>
      <x:c r="E3149" s="25" t="n">
        <x:v>40794.21597222222</x:v>
      </x:c>
      <x:c r="F3149" s="2" t="n">
        <x:v>93</x:v>
      </x:c>
      <x:c r="G3149" s="2" t="n">
        <x:v>5</x:v>
      </x:c>
      <x:c r="H3149" s="11" t="n">
        <x:v>431.92</x:v>
      </x:c>
      <x:c r="I3149" s="2" t="n">
        <x:v>3</x:v>
      </x:c>
      <x:c r="J3149" s="2" t="n">
        <x:v>4</x:v>
      </x:c>
      <x:c r="K3149" s="2" t="n">
        <x:v>2</x:v>
      </x:c>
      <x:c r="L3149" s="2" t="str">
        <x:v>Loyal</x:v>
      </x:c>
    </x:row>
    <x:row r="3150" ht="22" customHeight="1">
      <x:c r="A3150" s="2"/>
      <x:c r="B3150" s="2" t="str">
        <x:v>15489</x:v>
      </x:c>
      <x:c r="C3150" s="2" t="str">
        <x:v>United Kingdom</x:v>
      </x:c>
      <x:c r="D3150" s="25" t="n">
        <x:v>40193.498611111114</x:v>
      </x:c>
      <x:c r="E3150" s="25" t="n">
        <x:v>40864.16180555556</x:v>
      </x:c>
      <x:c r="F3150" s="2" t="n">
        <x:v>23</x:v>
      </x:c>
      <x:c r="G3150" s="2" t="n">
        <x:v>8</x:v>
      </x:c>
      <x:c r="H3150" s="11" t="n">
        <x:v>2419.61</x:v>
      </x:c>
      <x:c r="I3150" s="2" t="n">
        <x:v>4</x:v>
      </x:c>
      <x:c r="J3150" s="2" t="n">
        <x:v>4</x:v>
      </x:c>
      <x:c r="K3150" s="2" t="n">
        <x:v>4</x:v>
      </x:c>
      <x:c r="L3150" s="2" t="str">
        <x:v>Champions</x:v>
      </x:c>
    </x:row>
    <x:row r="3151" ht="22" customHeight="1">
      <x:c r="A3151" s="2"/>
      <x:c r="B3151" s="2" t="str">
        <x:v>15490</x:v>
      </x:c>
      <x:c r="C3151" s="2" t="str">
        <x:v>United Kingdom</x:v>
      </x:c>
      <x:c r="D3151" s="25" t="n">
        <x:v>40456.34097222222</x:v>
      </x:c>
      <x:c r="E3151" s="25" t="n">
        <x:v>40456.34097222222</x:v>
      </x:c>
      <x:c r="F3151" s="2" t="n">
        <x:v>431</x:v>
      </x:c>
      <x:c r="G3151" s="2" t="n">
        <x:v>1</x:v>
      </x:c>
      <x:c r="H3151" s="11" t="n">
        <x:v>217.6</x:v>
      </x:c>
      <x:c r="I3151" s="2" t="n">
        <x:v>1</x:v>
      </x:c>
      <x:c r="J3151" s="2" t="n">
        <x:v>1</x:v>
      </x:c>
      <x:c r="K3151" s="2" t="n">
        <x:v>1</x:v>
      </x:c>
      <x:c r="L3151" s="2" t="str">
        <x:v>Hibernating</x:v>
      </x:c>
    </x:row>
    <x:row r="3152" ht="22" customHeight="1">
      <x:c r="A3152" s="2"/>
      <x:c r="B3152" s="2" t="str">
        <x:v>15491</x:v>
      </x:c>
      <x:c r="C3152" s="2" t="str">
        <x:v>United Kingdom</x:v>
      </x:c>
      <x:c r="D3152" s="25" t="n">
        <x:v>40651.21111111111</x:v>
      </x:c>
      <x:c r="E3152" s="25" t="n">
        <x:v>40791.455555555556</x:v>
      </x:c>
      <x:c r="F3152" s="2" t="n">
        <x:v>96</x:v>
      </x:c>
      <x:c r="G3152" s="2" t="n">
        <x:v>6</x:v>
      </x:c>
      <x:c r="H3152" s="11" t="n">
        <x:v>3100.09</x:v>
      </x:c>
      <x:c r="I3152" s="2" t="n">
        <x:v>3</x:v>
      </x:c>
      <x:c r="J3152" s="2" t="n">
        <x:v>4</x:v>
      </x:c>
      <x:c r="K3152" s="2" t="n">
        <x:v>5</x:v>
      </x:c>
      <x:c r="L3152" s="2" t="str">
        <x:v>Loyal</x:v>
      </x:c>
    </x:row>
    <x:row r="3153" ht="22" customHeight="1">
      <x:c r="A3153" s="2"/>
      <x:c r="B3153" s="2" t="str">
        <x:v>15492</x:v>
      </x:c>
      <x:c r="C3153" s="2" t="str">
        <x:v>United Kingdom</x:v>
      </x:c>
      <x:c r="D3153" s="25" t="n">
        <x:v>40812.376388888886</x:v>
      </x:c>
      <x:c r="E3153" s="25" t="n">
        <x:v>40858.41180555556</x:v>
      </x:c>
      <x:c r="F3153" s="2" t="n">
        <x:v>29</x:v>
      </x:c>
      <x:c r="G3153" s="2" t="n">
        <x:v>2</x:v>
      </x:c>
      <x:c r="H3153" s="11" t="n">
        <x:v>659.46</x:v>
      </x:c>
      <x:c r="I3153" s="2" t="n">
        <x:v>4</x:v>
      </x:c>
      <x:c r="J3153" s="2" t="n">
        <x:v>2</x:v>
      </x:c>
      <x:c r="K3153" s="2" t="n">
        <x:v>3</x:v>
      </x:c>
      <x:c r="L3153" s="2" t="str">
        <x:v>Recent light buyers</x:v>
      </x:c>
    </x:row>
    <x:row r="3154" ht="22" customHeight="1">
      <x:c r="A3154" s="2"/>
      <x:c r="B3154" s="2" t="str">
        <x:v>15493</x:v>
      </x:c>
      <x:c r="C3154" s="2" t="str">
        <x:v>United Kingdom</x:v>
      </x:c>
      <x:c r="D3154" s="25" t="n">
        <x:v>40232.259722222225</x:v>
      </x:c>
      <x:c r="E3154" s="25" t="n">
        <x:v>40854.294444444444</x:v>
      </x:c>
      <x:c r="F3154" s="2" t="n">
        <x:v>33</x:v>
      </x:c>
      <x:c r="G3154" s="2" t="n">
        <x:v>9</x:v>
      </x:c>
      <x:c r="H3154" s="11" t="n">
        <x:v>4314.98</x:v>
      </x:c>
      <x:c r="I3154" s="2" t="n">
        <x:v>4</x:v>
      </x:c>
      <x:c r="J3154" s="2" t="n">
        <x:v>5</x:v>
      </x:c>
      <x:c r="K3154" s="2" t="n">
        <x:v>5</x:v>
      </x:c>
      <x:c r="L3154" s="2" t="str">
        <x:v>Champions</x:v>
      </x:c>
    </x:row>
    <x:row r="3155" ht="22" customHeight="1">
      <x:c r="A3155" s="2"/>
      <x:c r="B3155" s="2" t="str">
        <x:v>15494</x:v>
      </x:c>
      <x:c r="C3155" s="2" t="str">
        <x:v>United Kingdom</x:v>
      </x:c>
      <x:c r="D3155" s="25" t="n">
        <x:v>40157.63611111111</x:v>
      </x:c>
      <x:c r="E3155" s="25" t="n">
        <x:v>40865.410416666666</x:v>
      </x:c>
      <x:c r="F3155" s="2" t="n">
        <x:v>22</x:v>
      </x:c>
      <x:c r="G3155" s="2" t="n">
        <x:v>5</x:v>
      </x:c>
      <x:c r="H3155" s="11" t="n">
        <x:v>3780.05</x:v>
      </x:c>
      <x:c r="I3155" s="2" t="n">
        <x:v>4</x:v>
      </x:c>
      <x:c r="J3155" s="2" t="n">
        <x:v>4</x:v>
      </x:c>
      <x:c r="K3155" s="2" t="n">
        <x:v>5</x:v>
      </x:c>
      <x:c r="L3155" s="2" t="str">
        <x:v>Champions</x:v>
      </x:c>
    </x:row>
    <x:row r="3156" ht="22" customHeight="1">
      <x:c r="A3156" s="2"/>
      <x:c r="B3156" s="2" t="str">
        <x:v>15495</x:v>
      </x:c>
      <x:c r="C3156" s="2" t="str">
        <x:v>United Kingdom</x:v>
      </x:c>
      <x:c r="D3156" s="25" t="n">
        <x:v>40507.365277777775</x:v>
      </x:c>
      <x:c r="E3156" s="25" t="n">
        <x:v>40507.365277777775</x:v>
      </x:c>
      <x:c r="F3156" s="2" t="n">
        <x:v>380</x:v>
      </x:c>
      <x:c r="G3156" s="2" t="n">
        <x:v>1</x:v>
      </x:c>
      <x:c r="H3156" s="11" t="n">
        <x:v>246.5</x:v>
      </x:c>
      <x:c r="I3156" s="2" t="n">
        <x:v>2</x:v>
      </x:c>
      <x:c r="J3156" s="2" t="n">
        <x:v>1</x:v>
      </x:c>
      <x:c r="K3156" s="2" t="n">
        <x:v>1</x:v>
      </x:c>
      <x:c r="L3156" s="2" t="str">
        <x:v>Hibernating</x:v>
      </x:c>
    </x:row>
    <x:row r="3157" ht="22" customHeight="1">
      <x:c r="A3157" s="2"/>
      <x:c r="B3157" s="2" t="str">
        <x:v>15496</x:v>
      </x:c>
      <x:c r="C3157" s="2" t="str">
        <x:v>United Kingdom</x:v>
      </x:c>
      <x:c r="D3157" s="25" t="n">
        <x:v>40255.34444444445</x:v>
      </x:c>
      <x:c r="E3157" s="25" t="n">
        <x:v>40255.34444444445</x:v>
      </x:c>
      <x:c r="F3157" s="2" t="n">
        <x:v>632</x:v>
      </x:c>
      <x:c r="G3157" s="2" t="n">
        <x:v>1</x:v>
      </x:c>
      <x:c r="H3157" s="11" t="n">
        <x:v>146.14</x:v>
      </x:c>
      <x:c r="I3157" s="2" t="n">
        <x:v>1</x:v>
      </x:c>
      <x:c r="J3157" s="2" t="n">
        <x:v>1</x:v>
      </x:c>
      <x:c r="K3157" s="2" t="n">
        <x:v>1</x:v>
      </x:c>
      <x:c r="L3157" s="2" t="str">
        <x:v>Hibernating</x:v>
      </x:c>
    </x:row>
    <x:row r="3158" ht="22" customHeight="1">
      <x:c r="A3158" s="2"/>
      <x:c r="B3158" s="2" t="str">
        <x:v>15497</x:v>
      </x:c>
      <x:c r="C3158" s="2" t="str">
        <x:v>United Kingdom</x:v>
      </x:c>
      <x:c r="D3158" s="25" t="n">
        <x:v>40165.42222222222</x:v>
      </x:c>
      <x:c r="E3158" s="25" t="n">
        <x:v>40869.285416666666</x:v>
      </x:c>
      <x:c r="F3158" s="2" t="n">
        <x:v>18</x:v>
      </x:c>
      <x:c r="G3158" s="2" t="n">
        <x:v>9</x:v>
      </x:c>
      <x:c r="H3158" s="11" t="n">
        <x:v>8657.39</x:v>
      </x:c>
      <x:c r="I3158" s="2" t="n">
        <x:v>5</x:v>
      </x:c>
      <x:c r="J3158" s="2" t="n">
        <x:v>5</x:v>
      </x:c>
      <x:c r="K3158" s="2" t="n">
        <x:v>5</x:v>
      </x:c>
      <x:c r="L3158" s="2" t="str">
        <x:v>Champions</x:v>
      </x:c>
    </x:row>
    <x:row r="3159" ht="22" customHeight="1">
      <x:c r="A3159" s="2"/>
      <x:c r="B3159" s="2" t="str">
        <x:v>15498</x:v>
      </x:c>
      <x:c r="C3159" s="2" t="str">
        <x:v>United Kingdom</x:v>
      </x:c>
      <x:c r="D3159" s="25" t="n">
        <x:v>40163.51875</x:v>
      </x:c>
      <x:c r="E3159" s="25" t="n">
        <x:v>40884.325</x:v>
      </x:c>
      <x:c r="F3159" s="2" t="n">
        <x:v>3</x:v>
      </x:c>
      <x:c r="G3159" s="2" t="n">
        <x:v>44</x:v>
      </x:c>
      <x:c r="H3159" s="11" t="n">
        <x:v>25062.86</x:v>
      </x:c>
      <x:c r="I3159" s="2" t="n">
        <x:v>5</x:v>
      </x:c>
      <x:c r="J3159" s="2" t="n">
        <x:v>5</x:v>
      </x:c>
      <x:c r="K3159" s="2" t="n">
        <x:v>5</x:v>
      </x:c>
      <x:c r="L3159" s="2" t="str">
        <x:v>Champions</x:v>
      </x:c>
    </x:row>
    <x:row r="3160" ht="22" customHeight="1">
      <x:c r="A3160" s="2"/>
      <x:c r="B3160" s="2" t="str">
        <x:v>15499</x:v>
      </x:c>
      <x:c r="C3160" s="2" t="str">
        <x:v>United Kingdom</x:v>
      </x:c>
      <x:c r="D3160" s="25" t="n">
        <x:v>40163.30347222222</x:v>
      </x:c>
      <x:c r="E3160" s="25" t="n">
        <x:v>40163.30347222222</x:v>
      </x:c>
      <x:c r="F3160" s="2" t="n">
        <x:v>724</x:v>
      </x:c>
      <x:c r="G3160" s="2" t="n">
        <x:v>1</x:v>
      </x:c>
      <x:c r="H3160" s="11" t="n">
        <x:v>161.6</x:v>
      </x:c>
      <x:c r="I3160" s="2" t="n">
        <x:v>1</x:v>
      </x:c>
      <x:c r="J3160" s="2" t="n">
        <x:v>1</x:v>
      </x:c>
      <x:c r="K3160" s="2" t="n">
        <x:v>1</x:v>
      </x:c>
      <x:c r="L3160" s="2" t="str">
        <x:v>Hibernating</x:v>
      </x:c>
    </x:row>
    <x:row r="3161" ht="22" customHeight="1">
      <x:c r="A3161" s="2"/>
      <x:c r="B3161" s="2" t="str">
        <x:v>15500</x:v>
      </x:c>
      <x:c r="C3161" s="2" t="str">
        <x:v>United Kingdom</x:v>
      </x:c>
      <x:c r="D3161" s="25" t="n">
        <x:v>40805.36597222222</x:v>
      </x:c>
      <x:c r="E3161" s="25" t="n">
        <x:v>40878.36597222222</x:v>
      </x:c>
      <x:c r="F3161" s="2" t="n">
        <x:v>9</x:v>
      </x:c>
      <x:c r="G3161" s="2" t="n">
        <x:v>4</x:v>
      </x:c>
      <x:c r="H3161" s="11" t="n">
        <x:v>1131.56</x:v>
      </x:c>
      <x:c r="I3161" s="2" t="n">
        <x:v>5</x:v>
      </x:c>
      <x:c r="J3161" s="2" t="n">
        <x:v>3</x:v>
      </x:c>
      <x:c r="K3161" s="2" t="n">
        <x:v>3</x:v>
      </x:c>
      <x:c r="L3161" s="2" t="str">
        <x:v>Loyal</x:v>
      </x:c>
    </x:row>
    <x:row r="3162" ht="22" customHeight="1">
      <x:c r="A3162" s="2"/>
      <x:c r="B3162" s="2" t="str">
        <x:v>15501</x:v>
      </x:c>
      <x:c r="C3162" s="2" t="str">
        <x:v>United Kingdom</x:v>
      </x:c>
      <x:c r="D3162" s="25" t="n">
        <x:v>40471.32430555556</x:v>
      </x:c>
      <x:c r="E3162" s="25" t="n">
        <x:v>40482.260416666664</x:v>
      </x:c>
      <x:c r="F3162" s="2" t="n">
        <x:v>405</x:v>
      </x:c>
      <x:c r="G3162" s="2" t="n">
        <x:v>2</x:v>
      </x:c>
      <x:c r="H3162" s="11" t="n">
        <x:v>402.5</x:v>
      </x:c>
      <x:c r="I3162" s="2" t="n">
        <x:v>2</x:v>
      </x:c>
      <x:c r="J3162" s="2" t="n">
        <x:v>2</x:v>
      </x:c>
      <x:c r="K3162" s="2" t="n">
        <x:v>2</x:v>
      </x:c>
      <x:c r="L3162" s="2" t="str">
        <x:v>Hibernating</x:v>
      </x:c>
    </x:row>
    <x:row r="3163" ht="22" customHeight="1">
      <x:c r="A3163" s="2"/>
      <x:c r="B3163" s="2" t="str">
        <x:v>15502</x:v>
      </x:c>
      <x:c r="C3163" s="2" t="str">
        <x:v>United Kingdom</x:v>
      </x:c>
      <x:c r="D3163" s="25" t="n">
        <x:v>40332.25833333333</x:v>
      </x:c>
      <x:c r="E3163" s="25" t="n">
        <x:v>40871.325</x:v>
      </x:c>
      <x:c r="F3163" s="2" t="n">
        <x:v>16</x:v>
      </x:c>
      <x:c r="G3163" s="2" t="n">
        <x:v>14</x:v>
      </x:c>
      <x:c r="H3163" s="11" t="n">
        <x:v>13064.07</x:v>
      </x:c>
      <x:c r="I3163" s="2" t="n">
        <x:v>5</x:v>
      </x:c>
      <x:c r="J3163" s="2" t="n">
        <x:v>5</x:v>
      </x:c>
      <x:c r="K3163" s="2" t="n">
        <x:v>5</x:v>
      </x:c>
      <x:c r="L3163" s="2" t="str">
        <x:v>Champions</x:v>
      </x:c>
    </x:row>
    <x:row r="3164" ht="22" customHeight="1">
      <x:c r="A3164" s="2"/>
      <x:c r="B3164" s="2" t="str">
        <x:v>15503</x:v>
      </x:c>
      <x:c r="C3164" s="2" t="str">
        <x:v>United Kingdom</x:v>
      </x:c>
      <x:c r="D3164" s="25" t="n">
        <x:v>40160.27361111111</x:v>
      </x:c>
      <x:c r="E3164" s="25" t="n">
        <x:v>40524.24791666667</x:v>
      </x:c>
      <x:c r="F3164" s="2" t="n">
        <x:v>363</x:v>
      </x:c>
      <x:c r="G3164" s="2" t="n">
        <x:v>2</x:v>
      </x:c>
      <x:c r="H3164" s="11" t="n">
        <x:v>267.15</x:v>
      </x:c>
      <x:c r="I3164" s="2" t="n">
        <x:v>2</x:v>
      </x:c>
      <x:c r="J3164" s="2" t="n">
        <x:v>2</x:v>
      </x:c>
      <x:c r="K3164" s="2" t="n">
        <x:v>1</x:v>
      </x:c>
      <x:c r="L3164" s="2" t="str">
        <x:v>Hibernating</x:v>
      </x:c>
    </x:row>
    <x:row r="3165" ht="22" customHeight="1">
      <x:c r="A3165" s="2"/>
      <x:c r="B3165" s="2" t="str">
        <x:v>15504</x:v>
      </x:c>
      <x:c r="C3165" s="2" t="str">
        <x:v>United Kingdom</x:v>
      </x:c>
      <x:c r="D3165" s="25" t="n">
        <x:v>40221.31527777778</x:v>
      </x:c>
      <x:c r="E3165" s="25" t="n">
        <x:v>40805.364583333336</x:v>
      </x:c>
      <x:c r="F3165" s="2" t="n">
        <x:v>82</x:v>
      </x:c>
      <x:c r="G3165" s="2" t="n">
        <x:v>4</x:v>
      </x:c>
      <x:c r="H3165" s="11" t="n">
        <x:v>423.85</x:v>
      </x:c>
      <x:c r="I3165" s="2" t="n">
        <x:v>3</x:v>
      </x:c>
      <x:c r="J3165" s="2" t="n">
        <x:v>3</x:v>
      </x:c>
      <x:c r="K3165" s="2" t="n">
        <x:v>2</x:v>
      </x:c>
      <x:c r="L3165" s="2" t="str">
        <x:v>Loyal</x:v>
      </x:c>
    </x:row>
    <x:row r="3166" ht="22" customHeight="1">
      <x:c r="A3166" s="2"/>
      <x:c r="B3166" s="2" t="str">
        <x:v>15505</x:v>
      </x:c>
      <x:c r="C3166" s="2" t="str">
        <x:v>United Kingdom</x:v>
      </x:c>
      <x:c r="D3166" s="25" t="n">
        <x:v>40731.35625</x:v>
      </x:c>
      <x:c r="E3166" s="25" t="n">
        <x:v>40834.12222222222</x:v>
      </x:c>
      <x:c r="F3166" s="2" t="n">
        <x:v>53</x:v>
      </x:c>
      <x:c r="G3166" s="2" t="n">
        <x:v>5</x:v>
      </x:c>
      <x:c r="H3166" s="11" t="n">
        <x:v>3610.96</x:v>
      </x:c>
      <x:c r="I3166" s="2" t="n">
        <x:v>4</x:v>
      </x:c>
      <x:c r="J3166" s="2" t="n">
        <x:v>4</x:v>
      </x:c>
      <x:c r="K3166" s="2" t="n">
        <x:v>5</x:v>
      </x:c>
      <x:c r="L3166" s="2" t="str">
        <x:v>Champions</x:v>
      </x:c>
    </x:row>
    <x:row r="3167" ht="22" customHeight="1">
      <x:c r="A3167" s="2"/>
      <x:c r="B3167" s="2" t="str">
        <x:v>15506</x:v>
      </x:c>
      <x:c r="C3167" s="2" t="str">
        <x:v>United Kingdom</x:v>
      </x:c>
      <x:c r="D3167" s="25" t="n">
        <x:v>40409.31805555556</x:v>
      </x:c>
      <x:c r="E3167" s="25" t="n">
        <x:v>40864.299305555556</x:v>
      </x:c>
      <x:c r="F3167" s="2" t="n">
        <x:v>23</x:v>
      </x:c>
      <x:c r="G3167" s="2" t="n">
        <x:v>6</x:v>
      </x:c>
      <x:c r="H3167" s="11" t="n">
        <x:v>2040.03</x:v>
      </x:c>
      <x:c r="I3167" s="2" t="n">
        <x:v>4</x:v>
      </x:c>
      <x:c r="J3167" s="2" t="n">
        <x:v>4</x:v>
      </x:c>
      <x:c r="K3167" s="2" t="n">
        <x:v>4</x:v>
      </x:c>
      <x:c r="L3167" s="2" t="str">
        <x:v>Champions</x:v>
      </x:c>
    </x:row>
    <x:row r="3168" ht="22" customHeight="1">
      <x:c r="A3168" s="2"/>
      <x:c r="B3168" s="2" t="str">
        <x:v>15507</x:v>
      </x:c>
      <x:c r="C3168" s="2" t="str">
        <x:v>United Kingdom</x:v>
      </x:c>
      <x:c r="D3168" s="25" t="n">
        <x:v>40715.263194444444</x:v>
      </x:c>
      <x:c r="E3168" s="25" t="n">
        <x:v>40715.263194444444</x:v>
      </x:c>
      <x:c r="F3168" s="2" t="n">
        <x:v>172</x:v>
      </x:c>
      <x:c r="G3168" s="2" t="n">
        <x:v>1</x:v>
      </x:c>
      <x:c r="H3168" s="11" t="n">
        <x:v>492.36</x:v>
      </x:c>
      <x:c r="I3168" s="2" t="n">
        <x:v>3</x:v>
      </x:c>
      <x:c r="J3168" s="2" t="n">
        <x:v>1</x:v>
      </x:c>
      <x:c r="K3168" s="2" t="n">
        <x:v>2</x:v>
      </x:c>
      <x:c r="L3168" s="2" t="str">
        <x:v>Developing</x:v>
      </x:c>
    </x:row>
    <x:row r="3169" ht="22" customHeight="1">
      <x:c r="A3169" s="2"/>
      <x:c r="B3169" s="2" t="str">
        <x:v>15508</x:v>
      </x:c>
      <x:c r="C3169" s="2" t="str">
        <x:v>United Kingdom</x:v>
      </x:c>
      <x:c r="D3169" s="25" t="n">
        <x:v>40651.43819444445</x:v>
      </x:c>
      <x:c r="E3169" s="25" t="n">
        <x:v>40697.44652777778</x:v>
      </x:c>
      <x:c r="F3169" s="2" t="n">
        <x:v>190</x:v>
      </x:c>
      <x:c r="G3169" s="2" t="n">
        <x:v>6</x:v>
      </x:c>
      <x:c r="H3169" s="11" t="n">
        <x:v>1000.27</x:v>
      </x:c>
      <x:c r="I3169" s="2" t="n">
        <x:v>3</x:v>
      </x:c>
      <x:c r="J3169" s="2" t="n">
        <x:v>4</x:v>
      </x:c>
      <x:c r="K3169" s="2" t="n">
        <x:v>3</x:v>
      </x:c>
      <x:c r="L3169" s="2" t="str">
        <x:v>Loyal</x:v>
      </x:c>
    </x:row>
    <x:row r="3170" ht="22" customHeight="1">
      <x:c r="A3170" s="2"/>
      <x:c r="B3170" s="2" t="str">
        <x:v>15509</x:v>
      </x:c>
      <x:c r="C3170" s="2" t="str">
        <x:v>United Kingdom</x:v>
      </x:c>
      <x:c r="D3170" s="25" t="n">
        <x:v>40506.40833333333</x:v>
      </x:c>
      <x:c r="E3170" s="25" t="n">
        <x:v>40506.40833333333</x:v>
      </x:c>
      <x:c r="F3170" s="2" t="n">
        <x:v>381</x:v>
      </x:c>
      <x:c r="G3170" s="2" t="n">
        <x:v>1</x:v>
      </x:c>
      <x:c r="H3170" s="11" t="n">
        <x:v>166.51</x:v>
      </x:c>
      <x:c r="I3170" s="2" t="n">
        <x:v>2</x:v>
      </x:c>
      <x:c r="J3170" s="2" t="n">
        <x:v>1</x:v>
      </x:c>
      <x:c r="K3170" s="2" t="n">
        <x:v>1</x:v>
      </x:c>
      <x:c r="L3170" s="2" t="str">
        <x:v>Hibernating</x:v>
      </x:c>
    </x:row>
    <x:row r="3171" ht="22" customHeight="1">
      <x:c r="A3171" s="2"/>
      <x:c r="B3171" s="2" t="str">
        <x:v>15510</x:v>
      </x:c>
      <x:c r="C3171" s="2" t="str">
        <x:v>United Kingdom</x:v>
      </x:c>
      <x:c r="D3171" s="25" t="n">
        <x:v>40556.29861111111</x:v>
      </x:c>
      <x:c r="E3171" s="25" t="n">
        <x:v>40556.29861111111</x:v>
      </x:c>
      <x:c r="F3171" s="2" t="n">
        <x:v>331</x:v>
      </x:c>
      <x:c r="G3171" s="2" t="n">
        <x:v>1</x:v>
      </x:c>
      <x:c r="H3171" s="11" t="n">
        <x:v>250</x:v>
      </x:c>
      <x:c r="I3171" s="2" t="n">
        <x:v>2</x:v>
      </x:c>
      <x:c r="J3171" s="2" t="n">
        <x:v>1</x:v>
      </x:c>
      <x:c r="K3171" s="2" t="n">
        <x:v>1</x:v>
      </x:c>
      <x:c r="L3171" s="2" t="str">
        <x:v>Hibernating</x:v>
      </x:c>
    </x:row>
    <x:row r="3172" ht="22" customHeight="1">
      <x:c r="A3172" s="2"/>
      <x:c r="B3172" s="2" t="str">
        <x:v>15511</x:v>
      </x:c>
      <x:c r="C3172" s="2" t="str">
        <x:v>United Kingdom</x:v>
      </x:c>
      <x:c r="D3172" s="25" t="n">
        <x:v>40801.42013888889</x:v>
      </x:c>
      <x:c r="E3172" s="25" t="n">
        <x:v>40875.19652777778</x:v>
      </x:c>
      <x:c r="F3172" s="2" t="n">
        <x:v>12</x:v>
      </x:c>
      <x:c r="G3172" s="2" t="n">
        <x:v>5</x:v>
      </x:c>
      <x:c r="H3172" s="11" t="n">
        <x:v>909.23</x:v>
      </x:c>
      <x:c r="I3172" s="2" t="n">
        <x:v>5</x:v>
      </x:c>
      <x:c r="J3172" s="2" t="n">
        <x:v>4</x:v>
      </x:c>
      <x:c r="K3172" s="2" t="n">
        <x:v>3</x:v>
      </x:c>
      <x:c r="L3172" s="2" t="str">
        <x:v>Loyal</x:v>
      </x:c>
    </x:row>
    <x:row r="3173" ht="22" customHeight="1">
      <x:c r="A3173" s="2"/>
      <x:c r="B3173" s="2" t="str">
        <x:v>15512</x:v>
      </x:c>
      <x:c r="C3173" s="2" t="str">
        <x:v>United Kingdom</x:v>
      </x:c>
      <x:c r="D3173" s="25" t="n">
        <x:v>40210.34930555556</x:v>
      </x:c>
      <x:c r="E3173" s="25" t="n">
        <x:v>40731.22222222222</x:v>
      </x:c>
      <x:c r="F3173" s="2" t="n">
        <x:v>156</x:v>
      </x:c>
      <x:c r="G3173" s="2" t="n">
        <x:v>4</x:v>
      </x:c>
      <x:c r="H3173" s="11" t="n">
        <x:v>331.58</x:v>
      </x:c>
      <x:c r="I3173" s="2" t="n">
        <x:v>3</x:v>
      </x:c>
      <x:c r="J3173" s="2" t="n">
        <x:v>3</x:v>
      </x:c>
      <x:c r="K3173" s="2" t="n">
        <x:v>2</x:v>
      </x:c>
      <x:c r="L3173" s="2" t="str">
        <x:v>Loyal</x:v>
      </x:c>
    </x:row>
    <x:row r="3174" ht="22" customHeight="1">
      <x:c r="A3174" s="2"/>
      <x:c r="B3174" s="2" t="str">
        <x:v>15513</x:v>
      </x:c>
      <x:c r="C3174" s="2" t="str">
        <x:v>United Kingdom</x:v>
      </x:c>
      <x:c r="D3174" s="25" t="n">
        <x:v>40191.415972222225</x:v>
      </x:c>
      <x:c r="E3174" s="25" t="n">
        <x:v>40853.4</x:v>
      </x:c>
      <x:c r="F3174" s="2" t="n">
        <x:v>34</x:v>
      </x:c>
      <x:c r="G3174" s="2" t="n">
        <x:v>35</x:v>
      </x:c>
      <x:c r="H3174" s="11" t="n">
        <x:v>26437.05</x:v>
      </x:c>
      <x:c r="I3174" s="2" t="n">
        <x:v>4</x:v>
      </x:c>
      <x:c r="J3174" s="2" t="n">
        <x:v>5</x:v>
      </x:c>
      <x:c r="K3174" s="2" t="n">
        <x:v>5</x:v>
      </x:c>
      <x:c r="L3174" s="2" t="str">
        <x:v>Champions</x:v>
      </x:c>
    </x:row>
    <x:row r="3175" ht="22" customHeight="1">
      <x:c r="A3175" s="2"/>
      <x:c r="B3175" s="2" t="str">
        <x:v>15514</x:v>
      </x:c>
      <x:c r="C3175" s="2" t="str">
        <x:v>United Kingdom</x:v>
      </x:c>
      <x:c r="D3175" s="25" t="n">
        <x:v>40151.48402777778</x:v>
      </x:c>
      <x:c r="E3175" s="25" t="n">
        <x:v>40874.40277777778</x:v>
      </x:c>
      <x:c r="F3175" s="2" t="n">
        <x:v>13</x:v>
      </x:c>
      <x:c r="G3175" s="2" t="n">
        <x:v>18</x:v>
      </x:c>
      <x:c r="H3175" s="11" t="n">
        <x:v>6598.55</x:v>
      </x:c>
      <x:c r="I3175" s="2" t="n">
        <x:v>5</x:v>
      </x:c>
      <x:c r="J3175" s="2" t="n">
        <x:v>5</x:v>
      </x:c>
      <x:c r="K3175" s="2" t="n">
        <x:v>5</x:v>
      </x:c>
      <x:c r="L3175" s="2" t="str">
        <x:v>Champions</x:v>
      </x:c>
    </x:row>
    <x:row r="3176" ht="22" customHeight="1">
      <x:c r="A3176" s="2"/>
      <x:c r="B3176" s="2" t="str">
        <x:v>15515</x:v>
      </x:c>
      <x:c r="C3176" s="2" t="str">
        <x:v>United Kingdom</x:v>
      </x:c>
      <x:c r="D3176" s="25" t="n">
        <x:v>40499.36041666667</x:v>
      </x:c>
      <x:c r="E3176" s="25" t="n">
        <x:v>40499.36041666667</x:v>
      </x:c>
      <x:c r="F3176" s="2" t="n">
        <x:v>388</x:v>
      </x:c>
      <x:c r="G3176" s="2" t="n">
        <x:v>1</x:v>
      </x:c>
      <x:c r="H3176" s="11" t="n">
        <x:v>171.81</x:v>
      </x:c>
      <x:c r="I3176" s="2" t="n">
        <x:v>2</x:v>
      </x:c>
      <x:c r="J3176" s="2" t="n">
        <x:v>1</x:v>
      </x:c>
      <x:c r="K3176" s="2" t="n">
        <x:v>1</x:v>
      </x:c>
      <x:c r="L3176" s="2" t="str">
        <x:v>Hibernating</x:v>
      </x:c>
    </x:row>
    <x:row r="3177" ht="22" customHeight="1">
      <x:c r="A3177" s="2"/>
      <x:c r="B3177" s="2" t="str">
        <x:v>15516</x:v>
      </x:c>
      <x:c r="C3177" s="2" t="str">
        <x:v>United Kingdom</x:v>
      </x:c>
      <x:c r="D3177" s="25" t="n">
        <x:v>40840.27291666667</x:v>
      </x:c>
      <x:c r="E3177" s="25" t="n">
        <x:v>40842.24375</x:v>
      </x:c>
      <x:c r="F3177" s="2" t="n">
        <x:v>45</x:v>
      </x:c>
      <x:c r="G3177" s="2" t="n">
        <x:v>3</x:v>
      </x:c>
      <x:c r="H3177" s="11" t="n">
        <x:v>62.43</x:v>
      </x:c>
      <x:c r="I3177" s="2" t="n">
        <x:v>4</x:v>
      </x:c>
      <x:c r="J3177" s="2" t="n">
        <x:v>3</x:v>
      </x:c>
      <x:c r="K3177" s="2" t="n">
        <x:v>1</x:v>
      </x:c>
      <x:c r="L3177" s="2" t="str">
        <x:v>Loyal</x:v>
      </x:c>
    </x:row>
    <x:row r="3178" ht="22" customHeight="1">
      <x:c r="A3178" s="2"/>
      <x:c r="B3178" s="2" t="str">
        <x:v>15517</x:v>
      </x:c>
      <x:c r="C3178" s="2" t="str">
        <x:v>United Kingdom</x:v>
      </x:c>
      <x:c r="D3178" s="25" t="n">
        <x:v>40653.376388888886</x:v>
      </x:c>
      <x:c r="E3178" s="25" t="n">
        <x:v>40653.376388888886</x:v>
      </x:c>
      <x:c r="F3178" s="2" t="n">
        <x:v>234</x:v>
      </x:c>
      <x:c r="G3178" s="2" t="n">
        <x:v>1</x:v>
      </x:c>
      <x:c r="H3178" s="11" t="n">
        <x:v>267.03</x:v>
      </x:c>
      <x:c r="I3178" s="2" t="n">
        <x:v>2</x:v>
      </x:c>
      <x:c r="J3178" s="2" t="n">
        <x:v>1</x:v>
      </x:c>
      <x:c r="K3178" s="2" t="n">
        <x:v>1</x:v>
      </x:c>
      <x:c r="L3178" s="2" t="str">
        <x:v>Hibernating</x:v>
      </x:c>
    </x:row>
    <x:row r="3179" ht="22" customHeight="1">
      <x:c r="A3179" s="2"/>
      <x:c r="B3179" s="2" t="str">
        <x:v>15518</x:v>
      </x:c>
      <x:c r="C3179" s="2" t="str">
        <x:v>United Kingdom</x:v>
      </x:c>
      <x:c r="D3179" s="25" t="n">
        <x:v>40167.30625</x:v>
      </x:c>
      <x:c r="E3179" s="25" t="n">
        <x:v>40822.336805555555</x:v>
      </x:c>
      <x:c r="F3179" s="2" t="n">
        <x:v>65</x:v>
      </x:c>
      <x:c r="G3179" s="2" t="n">
        <x:v>15</x:v>
      </x:c>
      <x:c r="H3179" s="11" t="n">
        <x:v>4218.94</x:v>
      </x:c>
      <x:c r="I3179" s="2" t="n">
        <x:v>3</x:v>
      </x:c>
      <x:c r="J3179" s="2" t="n">
        <x:v>5</x:v>
      </x:c>
      <x:c r="K3179" s="2" t="n">
        <x:v>5</x:v>
      </x:c>
      <x:c r="L3179" s="2" t="str">
        <x:v>Loyal</x:v>
      </x:c>
    </x:row>
    <x:row r="3180" ht="22" customHeight="1">
      <x:c r="A3180" s="2"/>
      <x:c r="B3180" s="2" t="str">
        <x:v>15519</x:v>
      </x:c>
      <x:c r="C3180" s="2" t="str">
        <x:v>United Kingdom</x:v>
      </x:c>
      <x:c r="D3180" s="25" t="n">
        <x:v>40440.37291666667</x:v>
      </x:c>
      <x:c r="E3180" s="25" t="n">
        <x:v>40503.399305555555</x:v>
      </x:c>
      <x:c r="F3180" s="2" t="n">
        <x:v>384</x:v>
      </x:c>
      <x:c r="G3180" s="2" t="n">
        <x:v>2</x:v>
      </x:c>
      <x:c r="H3180" s="11" t="n">
        <x:v>344.61</x:v>
      </x:c>
      <x:c r="I3180" s="2" t="n">
        <x:v>2</x:v>
      </x:c>
      <x:c r="J3180" s="2" t="n">
        <x:v>2</x:v>
      </x:c>
      <x:c r="K3180" s="2" t="n">
        <x:v>2</x:v>
      </x:c>
      <x:c r="L3180" s="2" t="str">
        <x:v>Hibernating</x:v>
      </x:c>
    </x:row>
    <x:row r="3181" ht="22" customHeight="1">
      <x:c r="A3181" s="2"/>
      <x:c r="B3181" s="2" t="str">
        <x:v>15520</x:v>
      </x:c>
      <x:c r="C3181" s="2" t="str">
        <x:v>United Kingdom</x:v>
      </x:c>
      <x:c r="D3181" s="25" t="n">
        <x:v>40885.248611111114</x:v>
      </x:c>
      <x:c r="E3181" s="25" t="n">
        <x:v>40885.248611111114</x:v>
      </x:c>
      <x:c r="F3181" s="2" t="n">
        <x:v>2</x:v>
      </x:c>
      <x:c r="G3181" s="2" t="n">
        <x:v>1</x:v>
      </x:c>
      <x:c r="H3181" s="11" t="n">
        <x:v>343.5</x:v>
      </x:c>
      <x:c r="I3181" s="2" t="n">
        <x:v>5</x:v>
      </x:c>
      <x:c r="J3181" s="2" t="n">
        <x:v>1</x:v>
      </x:c>
      <x:c r="K3181" s="2" t="n">
        <x:v>2</x:v>
      </x:c>
      <x:c r="L3181" s="2" t="str">
        <x:v>Recent light buyers</x:v>
      </x:c>
    </x:row>
    <x:row r="3182" ht="22" customHeight="1">
      <x:c r="A3182" s="2"/>
      <x:c r="B3182" s="2" t="str">
        <x:v>15521</x:v>
      </x:c>
      <x:c r="C3182" s="2" t="str">
        <x:v>United Kingdom</x:v>
      </x:c>
      <x:c r="D3182" s="25" t="n">
        <x:v>40183.22152777778</x:v>
      </x:c>
      <x:c r="E3182" s="25" t="n">
        <x:v>40846.3625</x:v>
      </x:c>
      <x:c r="F3182" s="2" t="n">
        <x:v>41</x:v>
      </x:c>
      <x:c r="G3182" s="2" t="n">
        <x:v>16</x:v>
      </x:c>
      <x:c r="H3182" s="11" t="n">
        <x:v>7106.69</x:v>
      </x:c>
      <x:c r="I3182" s="2" t="n">
        <x:v>4</x:v>
      </x:c>
      <x:c r="J3182" s="2" t="n">
        <x:v>5</x:v>
      </x:c>
      <x:c r="K3182" s="2" t="n">
        <x:v>5</x:v>
      </x:c>
      <x:c r="L3182" s="2" t="str">
        <x:v>Champions</x:v>
      </x:c>
    </x:row>
    <x:row r="3183" ht="22" customHeight="1">
      <x:c r="A3183" s="2"/>
      <x:c r="B3183" s="2" t="str">
        <x:v>15522</x:v>
      </x:c>
      <x:c r="C3183" s="2" t="str">
        <x:v>United Kingdom</x:v>
      </x:c>
      <x:c r="D3183" s="25" t="n">
        <x:v>40799.30972222222</x:v>
      </x:c>
      <x:c r="E3183" s="25" t="n">
        <x:v>40854.268055555556</x:v>
      </x:c>
      <x:c r="F3183" s="2" t="n">
        <x:v>33</x:v>
      </x:c>
      <x:c r="G3183" s="2" t="n">
        <x:v>2</x:v>
      </x:c>
      <x:c r="H3183" s="11" t="n">
        <x:v>398.84</x:v>
      </x:c>
      <x:c r="I3183" s="2" t="n">
        <x:v>4</x:v>
      </x:c>
      <x:c r="J3183" s="2" t="n">
        <x:v>2</x:v>
      </x:c>
      <x:c r="K3183" s="2" t="n">
        <x:v>2</x:v>
      </x:c>
      <x:c r="L3183" s="2" t="str">
        <x:v>Recent light buyers</x:v>
      </x:c>
    </x:row>
    <x:row r="3184" ht="22" customHeight="1">
      <x:c r="A3184" s="2"/>
      <x:c r="B3184" s="2" t="str">
        <x:v>15523</x:v>
      </x:c>
      <x:c r="C3184" s="2" t="str">
        <x:v>United Kingdom</x:v>
      </x:c>
      <x:c r="D3184" s="25" t="n">
        <x:v>40149.427777777775</x:v>
      </x:c>
      <x:c r="E3184" s="25" t="n">
        <x:v>40802.478472222225</x:v>
      </x:c>
      <x:c r="F3184" s="2" t="n">
        <x:v>85</x:v>
      </x:c>
      <x:c r="G3184" s="2" t="n">
        <x:v>16</x:v>
      </x:c>
      <x:c r="H3184" s="11" t="n">
        <x:v>17359.99</x:v>
      </x:c>
      <x:c r="I3184" s="2" t="n">
        <x:v>3</x:v>
      </x:c>
      <x:c r="J3184" s="2" t="n">
        <x:v>5</x:v>
      </x:c>
      <x:c r="K3184" s="2" t="n">
        <x:v>5</x:v>
      </x:c>
      <x:c r="L3184" s="2" t="str">
        <x:v>Loyal</x:v>
      </x:c>
    </x:row>
    <x:row r="3185" ht="22" customHeight="1">
      <x:c r="A3185" s="2"/>
      <x:c r="B3185" s="2" t="str">
        <x:v>15524</x:v>
      </x:c>
      <x:c r="C3185" s="2" t="str">
        <x:v>United Kingdom</x:v>
      </x:c>
      <x:c r="D3185" s="25" t="n">
        <x:v>40280.17986111111</x:v>
      </x:c>
      <x:c r="E3185" s="25" t="n">
        <x:v>40862.29791666667</x:v>
      </x:c>
      <x:c r="F3185" s="2" t="n">
        <x:v>25</x:v>
      </x:c>
      <x:c r="G3185" s="2" t="n">
        <x:v>2</x:v>
      </x:c>
      <x:c r="H3185" s="11" t="n">
        <x:v>591.4</x:v>
      </x:c>
      <x:c r="I3185" s="2" t="n">
        <x:v>4</x:v>
      </x:c>
      <x:c r="J3185" s="2" t="n">
        <x:v>2</x:v>
      </x:c>
      <x:c r="K3185" s="2" t="n">
        <x:v>2</x:v>
      </x:c>
      <x:c r="L3185" s="2" t="str">
        <x:v>Recent light buyers</x:v>
      </x:c>
    </x:row>
    <x:row r="3186" ht="22" customHeight="1">
      <x:c r="A3186" s="2"/>
      <x:c r="B3186" s="2" t="str">
        <x:v>15525</x:v>
      </x:c>
      <x:c r="C3186" s="2" t="str">
        <x:v>United Kingdom</x:v>
      </x:c>
      <x:c r="D3186" s="25" t="n">
        <x:v>40504.29861111111</x:v>
      </x:c>
      <x:c r="E3186" s="25" t="n">
        <x:v>40884.404861111114</x:v>
      </x:c>
      <x:c r="F3186" s="2" t="n">
        <x:v>3</x:v>
      </x:c>
      <x:c r="G3186" s="2" t="n">
        <x:v>4</x:v>
      </x:c>
      <x:c r="H3186" s="11" t="n">
        <x:v>981.77</x:v>
      </x:c>
      <x:c r="I3186" s="2" t="n">
        <x:v>5</x:v>
      </x:c>
      <x:c r="J3186" s="2" t="n">
        <x:v>3</x:v>
      </x:c>
      <x:c r="K3186" s="2" t="n">
        <x:v>3</x:v>
      </x:c>
      <x:c r="L3186" s="2" t="str">
        <x:v>Loyal</x:v>
      </x:c>
    </x:row>
    <x:row r="3187" ht="22" customHeight="1">
      <x:c r="A3187" s="2"/>
      <x:c r="B3187" s="2" t="str">
        <x:v>15526</x:v>
      </x:c>
      <x:c r="C3187" s="2" t="str">
        <x:v>United Kingdom</x:v>
      </x:c>
      <x:c r="D3187" s="25" t="n">
        <x:v>40853.41736111111</x:v>
      </x:c>
      <x:c r="E3187" s="25" t="n">
        <x:v>40853.419444444444</x:v>
      </x:c>
      <x:c r="F3187" s="2" t="n">
        <x:v>34</x:v>
      </x:c>
      <x:c r="G3187" s="2" t="n">
        <x:v>2</x:v>
      </x:c>
      <x:c r="H3187" s="11" t="n">
        <x:v>148.44</x:v>
      </x:c>
      <x:c r="I3187" s="2" t="n">
        <x:v>4</x:v>
      </x:c>
      <x:c r="J3187" s="2" t="n">
        <x:v>2</x:v>
      </x:c>
      <x:c r="K3187" s="2" t="n">
        <x:v>1</x:v>
      </x:c>
      <x:c r="L3187" s="2" t="str">
        <x:v>Recent light buyers</x:v>
      </x:c>
    </x:row>
    <x:row r="3188" ht="22" customHeight="1">
      <x:c r="A3188" s="2"/>
      <x:c r="B3188" s="2" t="str">
        <x:v>15527</x:v>
      </x:c>
      <x:c r="C3188" s="2" t="str">
        <x:v>United Kingdom</x:v>
      </x:c>
      <x:c r="D3188" s="25" t="n">
        <x:v>40162.521527777775</x:v>
      </x:c>
      <x:c r="E3188" s="25" t="n">
        <x:v>40868.30347222222</x:v>
      </x:c>
      <x:c r="F3188" s="2" t="n">
        <x:v>19</x:v>
      </x:c>
      <x:c r="G3188" s="2" t="n">
        <x:v>23</x:v>
      </x:c>
      <x:c r="H3188" s="11" t="n">
        <x:v>5575.64</x:v>
      </x:c>
      <x:c r="I3188" s="2" t="n">
        <x:v>5</x:v>
      </x:c>
      <x:c r="J3188" s="2" t="n">
        <x:v>5</x:v>
      </x:c>
      <x:c r="K3188" s="2" t="n">
        <x:v>5</x:v>
      </x:c>
      <x:c r="L3188" s="2" t="str">
        <x:v>Champions</x:v>
      </x:c>
    </x:row>
    <x:row r="3189" ht="22" customHeight="1">
      <x:c r="A3189" s="2"/>
      <x:c r="B3189" s="2" t="str">
        <x:v>15528</x:v>
      </x:c>
      <x:c r="C3189" s="2" t="str">
        <x:v>United Kingdom</x:v>
      </x:c>
      <x:c r="D3189" s="25" t="n">
        <x:v>40632.46805555555</x:v>
      </x:c>
      <x:c r="E3189" s="25" t="n">
        <x:v>40632.46805555555</x:v>
      </x:c>
      <x:c r="F3189" s="2" t="n">
        <x:v>255</x:v>
      </x:c>
      <x:c r="G3189" s="2" t="n">
        <x:v>1</x:v>
      </x:c>
      <x:c r="H3189" s="11" t="n">
        <x:v>229.33</x:v>
      </x:c>
      <x:c r="I3189" s="2" t="n">
        <x:v>2</x:v>
      </x:c>
      <x:c r="J3189" s="2" t="n">
        <x:v>1</x:v>
      </x:c>
      <x:c r="K3189" s="2" t="n">
        <x:v>1</x:v>
      </x:c>
      <x:c r="L3189" s="2" t="str">
        <x:v>Hibernating</x:v>
      </x:c>
    </x:row>
    <x:row r="3190" ht="22" customHeight="1">
      <x:c r="A3190" s="2"/>
      <x:c r="B3190" s="2" t="str">
        <x:v>15529</x:v>
      </x:c>
      <x:c r="C3190" s="2" t="str">
        <x:v>United Kingdom</x:v>
      </x:c>
      <x:c r="D3190" s="25" t="n">
        <x:v>40492.393055555556</x:v>
      </x:c>
      <x:c r="E3190" s="25" t="n">
        <x:v>40864.27013888889</x:v>
      </x:c>
      <x:c r="F3190" s="2" t="n">
        <x:v>23</x:v>
      </x:c>
      <x:c r="G3190" s="2" t="n">
        <x:v>12</x:v>
      </x:c>
      <x:c r="H3190" s="11" t="n">
        <x:v>4816.29</x:v>
      </x:c>
      <x:c r="I3190" s="2" t="n">
        <x:v>4</x:v>
      </x:c>
      <x:c r="J3190" s="2" t="n">
        <x:v>5</x:v>
      </x:c>
      <x:c r="K3190" s="2" t="n">
        <x:v>5</x:v>
      </x:c>
      <x:c r="L3190" s="2" t="str">
        <x:v>Champions</x:v>
      </x:c>
    </x:row>
    <x:row r="3191" ht="22" customHeight="1">
      <x:c r="A3191" s="2"/>
      <x:c r="B3191" s="2" t="str">
        <x:v>15530</x:v>
      </x:c>
      <x:c r="C3191" s="2" t="str">
        <x:v>United Kingdom</x:v>
      </x:c>
      <x:c r="D3191" s="25" t="n">
        <x:v>40374.256944444445</x:v>
      </x:c>
      <x:c r="E3191" s="25" t="n">
        <x:v>40865.30902777778</x:v>
      </x:c>
      <x:c r="F3191" s="2" t="n">
        <x:v>22</x:v>
      </x:c>
      <x:c r="G3191" s="2" t="n">
        <x:v>5</x:v>
      </x:c>
      <x:c r="H3191" s="11" t="n">
        <x:v>1813.72</x:v>
      </x:c>
      <x:c r="I3191" s="2" t="n">
        <x:v>4</x:v>
      </x:c>
      <x:c r="J3191" s="2" t="n">
        <x:v>4</x:v>
      </x:c>
      <x:c r="K3191" s="2" t="n">
        <x:v>4</x:v>
      </x:c>
      <x:c r="L3191" s="2" t="str">
        <x:v>Champions</x:v>
      </x:c>
    </x:row>
    <x:row r="3192" ht="22" customHeight="1">
      <x:c r="A3192" s="2"/>
      <x:c r="B3192" s="2" t="str">
        <x:v>15531</x:v>
      </x:c>
      <x:c r="C3192" s="2" t="str">
        <x:v>United Kingdom</x:v>
      </x:c>
      <x:c r="D3192" s="25" t="n">
        <x:v>40856.532638888886</x:v>
      </x:c>
      <x:c r="E3192" s="25" t="n">
        <x:v>40878.57152777778</x:v>
      </x:c>
      <x:c r="F3192" s="2" t="n">
        <x:v>9</x:v>
      </x:c>
      <x:c r="G3192" s="2" t="n">
        <x:v>2</x:v>
      </x:c>
      <x:c r="H3192" s="11" t="n">
        <x:v>2007.44</x:v>
      </x:c>
      <x:c r="I3192" s="2" t="n">
        <x:v>5</x:v>
      </x:c>
      <x:c r="J3192" s="2" t="n">
        <x:v>2</x:v>
      </x:c>
      <x:c r="K3192" s="2" t="n">
        <x:v>4</x:v>
      </x:c>
      <x:c r="L3192" s="2" t="str">
        <x:v>Recent light buyers</x:v>
      </x:c>
    </x:row>
    <x:row r="3193" ht="22" customHeight="1">
      <x:c r="A3193" s="2"/>
      <x:c r="B3193" s="2" t="str">
        <x:v>15532</x:v>
      </x:c>
      <x:c r="C3193" s="2" t="str">
        <x:v>United Kingdom</x:v>
      </x:c>
      <x:c r="D3193" s="25" t="n">
        <x:v>40337.41111111111</x:v>
      </x:c>
      <x:c r="E3193" s="25" t="n">
        <x:v>40861.410416666666</x:v>
      </x:c>
      <x:c r="F3193" s="2" t="n">
        <x:v>26</x:v>
      </x:c>
      <x:c r="G3193" s="2" t="n">
        <x:v>10</x:v>
      </x:c>
      <x:c r="H3193" s="11" t="n">
        <x:v>3771.9</x:v>
      </x:c>
      <x:c r="I3193" s="2" t="n">
        <x:v>4</x:v>
      </x:c>
      <x:c r="J3193" s="2" t="n">
        <x:v>5</x:v>
      </x:c>
      <x:c r="K3193" s="2" t="n">
        <x:v>5</x:v>
      </x:c>
      <x:c r="L3193" s="2" t="str">
        <x:v>Champions</x:v>
      </x:c>
    </x:row>
    <x:row r="3194" ht="22" customHeight="1">
      <x:c r="A3194" s="2"/>
      <x:c r="B3194" s="2" t="str">
        <x:v>15533</x:v>
      </x:c>
      <x:c r="C3194" s="2" t="str">
        <x:v>United Kingdom</x:v>
      </x:c>
      <x:c r="D3194" s="25" t="n">
        <x:v>40797.44513888889</x:v>
      </x:c>
      <x:c r="E3194" s="25" t="n">
        <x:v>40867.44097222222</x:v>
      </x:c>
      <x:c r="F3194" s="2" t="n">
        <x:v>20</x:v>
      </x:c>
      <x:c r="G3194" s="2" t="n">
        <x:v>3</x:v>
      </x:c>
      <x:c r="H3194" s="11" t="n">
        <x:v>807.57</x:v>
      </x:c>
      <x:c r="I3194" s="2" t="n">
        <x:v>5</x:v>
      </x:c>
      <x:c r="J3194" s="2" t="n">
        <x:v>3</x:v>
      </x:c>
      <x:c r="K3194" s="2" t="n">
        <x:v>3</x:v>
      </x:c>
      <x:c r="L3194" s="2" t="str">
        <x:v>Loyal</x:v>
      </x:c>
    </x:row>
    <x:row r="3195" ht="22" customHeight="1">
      <x:c r="A3195" s="2"/>
      <x:c r="B3195" s="2" t="str">
        <x:v>15534</x:v>
      </x:c>
      <x:c r="C3195" s="2" t="str">
        <x:v>United Kingdom</x:v>
      </x:c>
      <x:c r="D3195" s="25" t="n">
        <x:v>40161.325</x:v>
      </x:c>
      <x:c r="E3195" s="25" t="n">
        <x:v>40161.325</x:v>
      </x:c>
      <x:c r="F3195" s="2" t="n">
        <x:v>726</x:v>
      </x:c>
      <x:c r="G3195" s="2" t="n">
        <x:v>1</x:v>
      </x:c>
      <x:c r="H3195" s="11" t="n">
        <x:v>162.25</x:v>
      </x:c>
      <x:c r="I3195" s="2" t="n">
        <x:v>1</x:v>
      </x:c>
      <x:c r="J3195" s="2" t="n">
        <x:v>1</x:v>
      </x:c>
      <x:c r="K3195" s="2" t="n">
        <x:v>1</x:v>
      </x:c>
      <x:c r="L3195" s="2" t="str">
        <x:v>Hibernating</x:v>
      </x:c>
    </x:row>
    <x:row r="3196" ht="22" customHeight="1">
      <x:c r="A3196" s="2"/>
      <x:c r="B3196" s="2" t="str">
        <x:v>15535</x:v>
      </x:c>
      <x:c r="C3196" s="2" t="str">
        <x:v>United Kingdom</x:v>
      </x:c>
      <x:c r="D3196" s="25" t="n">
        <x:v>40437.62777777778</x:v>
      </x:c>
      <x:c r="E3196" s="25" t="n">
        <x:v>40713.45972222222</x:v>
      </x:c>
      <x:c r="F3196" s="2" t="n">
        <x:v>174</x:v>
      </x:c>
      <x:c r="G3196" s="2" t="n">
        <x:v>6</x:v>
      </x:c>
      <x:c r="H3196" s="11" t="n">
        <x:v>1087.82</x:v>
      </x:c>
      <x:c r="I3196" s="2" t="n">
        <x:v>3</x:v>
      </x:c>
      <x:c r="J3196" s="2" t="n">
        <x:v>4</x:v>
      </x:c>
      <x:c r="K3196" s="2" t="n">
        <x:v>3</x:v>
      </x:c>
      <x:c r="L3196" s="2" t="str">
        <x:v>Loyal</x:v>
      </x:c>
    </x:row>
    <x:row r="3197" ht="22" customHeight="1">
      <x:c r="A3197" s="2"/>
      <x:c r="B3197" s="2" t="str">
        <x:v>15536</x:v>
      </x:c>
      <x:c r="C3197" s="2" t="str">
        <x:v>United Kingdom</x:v>
      </x:c>
      <x:c r="D3197" s="25" t="n">
        <x:v>40477.47986111111</x:v>
      </x:c>
      <x:c r="E3197" s="25" t="n">
        <x:v>40477.47986111111</x:v>
      </x:c>
      <x:c r="F3197" s="2" t="n">
        <x:v>410</x:v>
      </x:c>
      <x:c r="G3197" s="2" t="n">
        <x:v>1</x:v>
      </x:c>
      <x:c r="H3197" s="11" t="n">
        <x:v>259.09</x:v>
      </x:c>
      <x:c r="I3197" s="2" t="n">
        <x:v>2</x:v>
      </x:c>
      <x:c r="J3197" s="2" t="n">
        <x:v>1</x:v>
      </x:c>
      <x:c r="K3197" s="2" t="n">
        <x:v>1</x:v>
      </x:c>
      <x:c r="L3197" s="2" t="str">
        <x:v>Hibernating</x:v>
      </x:c>
    </x:row>
    <x:row r="3198" ht="22" customHeight="1">
      <x:c r="A3198" s="2"/>
      <x:c r="B3198" s="2" t="str">
        <x:v>15537</x:v>
      </x:c>
      <x:c r="C3198" s="2" t="str">
        <x:v>United Kingdom</x:v>
      </x:c>
      <x:c r="D3198" s="25" t="n">
        <x:v>40723.34027777778</x:v>
      </x:c>
      <x:c r="E3198" s="25" t="n">
        <x:v>40723.34027777778</x:v>
      </x:c>
      <x:c r="F3198" s="2" t="n">
        <x:v>164</x:v>
      </x:c>
      <x:c r="G3198" s="2" t="n">
        <x:v>1</x:v>
      </x:c>
      <x:c r="H3198" s="11" t="n">
        <x:v>110.92</x:v>
      </x:c>
      <x:c r="I3198" s="2" t="n">
        <x:v>3</x:v>
      </x:c>
      <x:c r="J3198" s="2" t="n">
        <x:v>1</x:v>
      </x:c>
      <x:c r="K3198" s="2" t="n">
        <x:v>1</x:v>
      </x:c>
      <x:c r="L3198" s="2" t="str">
        <x:v>Developing</x:v>
      </x:c>
    </x:row>
    <x:row r="3199" ht="22" customHeight="1">
      <x:c r="A3199" s="2"/>
      <x:c r="B3199" s="2" t="str">
        <x:v>15538</x:v>
      </x:c>
      <x:c r="C3199" s="2" t="str">
        <x:v>United Kingdom</x:v>
      </x:c>
      <x:c r="D3199" s="25" t="n">
        <x:v>40223.31805555556</x:v>
      </x:c>
      <x:c r="E3199" s="25" t="n">
        <x:v>40349.24236111111</x:v>
      </x:c>
      <x:c r="F3199" s="2" t="n">
        <x:v>538</x:v>
      </x:c>
      <x:c r="G3199" s="2" t="n">
        <x:v>6</x:v>
      </x:c>
      <x:c r="H3199" s="11" t="n">
        <x:v>3358.4</x:v>
      </x:c>
      <x:c r="I3199" s="2" t="n">
        <x:v>1</x:v>
      </x:c>
      <x:c r="J3199" s="2" t="n">
        <x:v>4</x:v>
      </x:c>
      <x:c r="K3199" s="2" t="n">
        <x:v>5</x:v>
      </x:c>
      <x:c r="L3199" s="2" t="str">
        <x:v>At risk</x:v>
      </x:c>
    </x:row>
    <x:row r="3200" ht="22" customHeight="1">
      <x:c r="A3200" s="2"/>
      <x:c r="B3200" s="2" t="str">
        <x:v>15539</x:v>
      </x:c>
      <x:c r="C3200" s="2" t="str">
        <x:v>United Kingdom</x:v>
      </x:c>
      <x:c r="D3200" s="25" t="n">
        <x:v>40879.35833333333</x:v>
      </x:c>
      <x:c r="E3200" s="25" t="n">
        <x:v>40879.35833333333</x:v>
      </x:c>
      <x:c r="F3200" s="2" t="n">
        <x:v>8</x:v>
      </x:c>
      <x:c r="G3200" s="2" t="n">
        <x:v>1</x:v>
      </x:c>
      <x:c r="H3200" s="11" t="n">
        <x:v>538.46</x:v>
      </x:c>
      <x:c r="I3200" s="2" t="n">
        <x:v>5</x:v>
      </x:c>
      <x:c r="J3200" s="2" t="n">
        <x:v>1</x:v>
      </x:c>
      <x:c r="K3200" s="2" t="n">
        <x:v>2</x:v>
      </x:c>
      <x:c r="L3200" s="2" t="str">
        <x:v>Recent light buyers</x:v>
      </x:c>
    </x:row>
    <x:row r="3201" ht="22" customHeight="1">
      <x:c r="A3201" s="2"/>
      <x:c r="B3201" s="2" t="str">
        <x:v>15540</x:v>
      </x:c>
      <x:c r="C3201" s="2" t="str">
        <x:v>United Kingdom</x:v>
      </x:c>
      <x:c r="D3201" s="25" t="n">
        <x:v>40511.256944444445</x:v>
      </x:c>
      <x:c r="E3201" s="25" t="n">
        <x:v>40875.36875</x:v>
      </x:c>
      <x:c r="F3201" s="2" t="n">
        <x:v>12</x:v>
      </x:c>
      <x:c r="G3201" s="2" t="n">
        <x:v>2</x:v>
      </x:c>
      <x:c r="H3201" s="11" t="n">
        <x:v>460.68</x:v>
      </x:c>
      <x:c r="I3201" s="2" t="n">
        <x:v>5</x:v>
      </x:c>
      <x:c r="J3201" s="2" t="n">
        <x:v>2</x:v>
      </x:c>
      <x:c r="K3201" s="2" t="n">
        <x:v>2</x:v>
      </x:c>
      <x:c r="L3201" s="2" t="str">
        <x:v>Recent light buyers</x:v>
      </x:c>
    </x:row>
    <x:row r="3202" ht="22" customHeight="1">
      <x:c r="A3202" s="2"/>
      <x:c r="B3202" s="2" t="str">
        <x:v>15541</x:v>
      </x:c>
      <x:c r="C3202" s="2" t="str">
        <x:v>United Kingdom</x:v>
      </x:c>
      <x:c r="D3202" s="25" t="n">
        <x:v>40772.41527777778</x:v>
      </x:c>
      <x:c r="E3202" s="25" t="n">
        <x:v>40772.41527777778</x:v>
      </x:c>
      <x:c r="F3202" s="2" t="n">
        <x:v>115</x:v>
      </x:c>
      <x:c r="G3202" s="2" t="n">
        <x:v>1</x:v>
      </x:c>
      <x:c r="H3202" s="11" t="n">
        <x:v>85.13</x:v>
      </x:c>
      <x:c r="I3202" s="2" t="n">
        <x:v>3</x:v>
      </x:c>
      <x:c r="J3202" s="2" t="n">
        <x:v>1</x:v>
      </x:c>
      <x:c r="K3202" s="2" t="n">
        <x:v>1</x:v>
      </x:c>
      <x:c r="L3202" s="2" t="str">
        <x:v>Developing</x:v>
      </x:c>
    </x:row>
    <x:row r="3203" ht="22" customHeight="1">
      <x:c r="A3203" s="2"/>
      <x:c r="B3203" s="2" t="str">
        <x:v>15542</x:v>
      </x:c>
      <x:c r="C3203" s="2" t="str">
        <x:v>United Kingdom</x:v>
      </x:c>
      <x:c r="D3203" s="25" t="n">
        <x:v>40149.28680555556</x:v>
      </x:c>
      <x:c r="E3203" s="25" t="n">
        <x:v>40374.35555555556</x:v>
      </x:c>
      <x:c r="F3203" s="2" t="n">
        <x:v>513</x:v>
      </x:c>
      <x:c r="G3203" s="2" t="n">
        <x:v>3</x:v>
      </x:c>
      <x:c r="H3203" s="11" t="n">
        <x:v>918.45</x:v>
      </x:c>
      <x:c r="I3203" s="2" t="n">
        <x:v>1</x:v>
      </x:c>
      <x:c r="J3203" s="2" t="n">
        <x:v>3</x:v>
      </x:c>
      <x:c r="K3203" s="2" t="n">
        <x:v>3</x:v>
      </x:c>
      <x:c r="L3203" s="2" t="str">
        <x:v>At risk</x:v>
      </x:c>
    </x:row>
    <x:row r="3204" ht="22" customHeight="1">
      <x:c r="A3204" s="2"/>
      <x:c r="B3204" s="2" t="str">
        <x:v>15543</x:v>
      </x:c>
      <x:c r="C3204" s="2" t="str">
        <x:v>United Kingdom</x:v>
      </x:c>
      <x:c r="D3204" s="25" t="n">
        <x:v>40427.26944444444</x:v>
      </x:c>
      <x:c r="E3204" s="25" t="n">
        <x:v>40598.43472222222</x:v>
      </x:c>
      <x:c r="F3204" s="2" t="n">
        <x:v>289</x:v>
      </x:c>
      <x:c r="G3204" s="2" t="n">
        <x:v>2</x:v>
      </x:c>
      <x:c r="H3204" s="11" t="n">
        <x:v>242.84</x:v>
      </x:c>
      <x:c r="I3204" s="2" t="n">
        <x:v>2</x:v>
      </x:c>
      <x:c r="J3204" s="2" t="n">
        <x:v>2</x:v>
      </x:c>
      <x:c r="K3204" s="2" t="n">
        <x:v>1</x:v>
      </x:c>
      <x:c r="L3204" s="2" t="str">
        <x:v>Hibernating</x:v>
      </x:c>
    </x:row>
    <x:row r="3205" ht="22" customHeight="1">
      <x:c r="A3205" s="2"/>
      <x:c r="B3205" s="2" t="str">
        <x:v>15544</x:v>
      </x:c>
      <x:c r="C3205" s="2" t="str">
        <x:v>United Kingdom</x:v>
      </x:c>
      <x:c r="D3205" s="25" t="n">
        <x:v>40206.402083333334</x:v>
      </x:c>
      <x:c r="E3205" s="25" t="n">
        <x:v>40877.48819444444</x:v>
      </x:c>
      <x:c r="F3205" s="2" t="n">
        <x:v>10</x:v>
      </x:c>
      <x:c r="G3205" s="2" t="n">
        <x:v>20</x:v>
      </x:c>
      <x:c r="H3205" s="11" t="n">
        <x:v>7807.89</x:v>
      </x:c>
      <x:c r="I3205" s="2" t="n">
        <x:v>5</x:v>
      </x:c>
      <x:c r="J3205" s="2" t="n">
        <x:v>5</x:v>
      </x:c>
      <x:c r="K3205" s="2" t="n">
        <x:v>5</x:v>
      </x:c>
      <x:c r="L3205" s="2" t="str">
        <x:v>Champions</x:v>
      </x:c>
    </x:row>
    <x:row r="3206" ht="22" customHeight="1">
      <x:c r="A3206" s="2"/>
      <x:c r="B3206" s="2" t="str">
        <x:v>15545</x:v>
      </x:c>
      <x:c r="C3206" s="2" t="str">
        <x:v>United Kingdom</x:v>
      </x:c>
      <x:c r="D3206" s="25" t="n">
        <x:v>40515.51944444444</x:v>
      </x:c>
      <x:c r="E3206" s="25" t="n">
        <x:v>40832.35</x:v>
      </x:c>
      <x:c r="F3206" s="2" t="n">
        <x:v>55</x:v>
      </x:c>
      <x:c r="G3206" s="2" t="n">
        <x:v>2</x:v>
      </x:c>
      <x:c r="H3206" s="11" t="n">
        <x:v>292.72</x:v>
      </x:c>
      <x:c r="I3206" s="2" t="n">
        <x:v>4</x:v>
      </x:c>
      <x:c r="J3206" s="2" t="n">
        <x:v>2</x:v>
      </x:c>
      <x:c r="K3206" s="2" t="n">
        <x:v>2</x:v>
      </x:c>
      <x:c r="L3206" s="2" t="str">
        <x:v>Recent light buyers</x:v>
      </x:c>
    </x:row>
    <x:row r="3207" ht="22" customHeight="1">
      <x:c r="A3207" s="2"/>
      <x:c r="B3207" s="2" t="str">
        <x:v>15546</x:v>
      </x:c>
      <x:c r="C3207" s="2" t="str">
        <x:v>United Kingdom</x:v>
      </x:c>
      <x:c r="D3207" s="25" t="n">
        <x:v>40280.28125</x:v>
      </x:c>
      <x:c r="E3207" s="25" t="n">
        <x:v>40280.285416666666</x:v>
      </x:c>
      <x:c r="F3207" s="2" t="n">
        <x:v>607</x:v>
      </x:c>
      <x:c r="G3207" s="2" t="n">
        <x:v>2</x:v>
      </x:c>
      <x:c r="H3207" s="11" t="n">
        <x:v>1079.1</x:v>
      </x:c>
      <x:c r="I3207" s="2" t="n">
        <x:v>1</x:v>
      </x:c>
      <x:c r="J3207" s="2" t="n">
        <x:v>2</x:v>
      </x:c>
      <x:c r="K3207" s="2" t="n">
        <x:v>3</x:v>
      </x:c>
      <x:c r="L3207" s="2" t="str">
        <x:v>Hibernating</x:v>
      </x:c>
    </x:row>
    <x:row r="3208" ht="22" customHeight="1">
      <x:c r="A3208" s="2"/>
      <x:c r="B3208" s="2" t="str">
        <x:v>15547</x:v>
      </x:c>
      <x:c r="C3208" s="2" t="str">
        <x:v>United Kingdom</x:v>
      </x:c>
      <x:c r="D3208" s="25" t="n">
        <x:v>40153.36111111111</x:v>
      </x:c>
      <x:c r="E3208" s="25" t="n">
        <x:v>40879.32777777778</x:v>
      </x:c>
      <x:c r="F3208" s="2" t="n">
        <x:v>8</x:v>
      </x:c>
      <x:c r="G3208" s="2" t="n">
        <x:v>26</x:v>
      </x:c>
      <x:c r="H3208" s="11" t="n">
        <x:v>10154.39</x:v>
      </x:c>
      <x:c r="I3208" s="2" t="n">
        <x:v>5</x:v>
      </x:c>
      <x:c r="J3208" s="2" t="n">
        <x:v>5</x:v>
      </x:c>
      <x:c r="K3208" s="2" t="n">
        <x:v>5</x:v>
      </x:c>
      <x:c r="L3208" s="2" t="str">
        <x:v>Champions</x:v>
      </x:c>
    </x:row>
    <x:row r="3209" ht="22" customHeight="1">
      <x:c r="A3209" s="2"/>
      <x:c r="B3209" s="2" t="str">
        <x:v>15548</x:v>
      </x:c>
      <x:c r="C3209" s="2" t="str">
        <x:v>United Kingdom</x:v>
      </x:c>
      <x:c r="D3209" s="25" t="n">
        <x:v>40291.305555555555</x:v>
      </x:c>
      <x:c r="E3209" s="25" t="n">
        <x:v>40291.305555555555</x:v>
      </x:c>
      <x:c r="F3209" s="2" t="n">
        <x:v>596</x:v>
      </x:c>
      <x:c r="G3209" s="2" t="n">
        <x:v>1</x:v>
      </x:c>
      <x:c r="H3209" s="11" t="n">
        <x:v>158.09</x:v>
      </x:c>
      <x:c r="I3209" s="2" t="n">
        <x:v>1</x:v>
      </x:c>
      <x:c r="J3209" s="2" t="n">
        <x:v>1</x:v>
      </x:c>
      <x:c r="K3209" s="2" t="n">
        <x:v>1</x:v>
      </x:c>
      <x:c r="L3209" s="2" t="str">
        <x:v>Hibernating</x:v>
      </x:c>
    </x:row>
    <x:row r="3210" ht="22" customHeight="1">
      <x:c r="A3210" s="2"/>
      <x:c r="B3210" s="2" t="str">
        <x:v>15549</x:v>
      </x:c>
      <x:c r="C3210" s="2" t="str">
        <x:v>United Kingdom</x:v>
      </x:c>
      <x:c r="D3210" s="25" t="n">
        <x:v>40189.34444444445</x:v>
      </x:c>
      <x:c r="E3210" s="25" t="n">
        <x:v>40809.47361111111</x:v>
      </x:c>
      <x:c r="F3210" s="2" t="n">
        <x:v>78</x:v>
      </x:c>
      <x:c r="G3210" s="2" t="n">
        <x:v>8</x:v>
      </x:c>
      <x:c r="H3210" s="11" t="n">
        <x:v>2345.96</x:v>
      </x:c>
      <x:c r="I3210" s="2" t="n">
        <x:v>3</x:v>
      </x:c>
      <x:c r="J3210" s="2" t="n">
        <x:v>4</x:v>
      </x:c>
      <x:c r="K3210" s="2" t="n">
        <x:v>4</x:v>
      </x:c>
      <x:c r="L3210" s="2" t="str">
        <x:v>Loyal</x:v>
      </x:c>
    </x:row>
    <x:row r="3211" ht="22" customHeight="1">
      <x:c r="A3211" s="2"/>
      <x:c r="B3211" s="2" t="str">
        <x:v>15550</x:v>
      </x:c>
      <x:c r="C3211" s="2" t="str">
        <x:v>United Kingdom</x:v>
      </x:c>
      <x:c r="D3211" s="25" t="n">
        <x:v>40150.427083333336</x:v>
      </x:c>
      <x:c r="E3211" s="25" t="n">
        <x:v>40882.44305555556</x:v>
      </x:c>
      <x:c r="F3211" s="2" t="n">
        <x:v>5</x:v>
      </x:c>
      <x:c r="G3211" s="2" t="n">
        <x:v>12</x:v>
      </x:c>
      <x:c r="H3211" s="11" t="n">
        <x:v>2218.8</x:v>
      </x:c>
      <x:c r="I3211" s="2" t="n">
        <x:v>5</x:v>
      </x:c>
      <x:c r="J3211" s="2" t="n">
        <x:v>5</x:v>
      </x:c>
      <x:c r="K3211" s="2" t="n">
        <x:v>4</x:v>
      </x:c>
      <x:c r="L3211" s="2" t="str">
        <x:v>Champions</x:v>
      </x:c>
    </x:row>
    <x:row r="3212" ht="22" customHeight="1">
      <x:c r="A3212" s="2"/>
      <x:c r="B3212" s="2" t="str">
        <x:v>15551</x:v>
      </x:c>
      <x:c r="C3212" s="2" t="str">
        <x:v>United Kingdom</x:v>
      </x:c>
      <x:c r="D3212" s="25" t="n">
        <x:v>40336.42013888889</x:v>
      </x:c>
      <x:c r="E3212" s="25" t="n">
        <x:v>40850.31736111111</x:v>
      </x:c>
      <x:c r="F3212" s="2" t="n">
        <x:v>37</x:v>
      </x:c>
      <x:c r="G3212" s="2" t="n">
        <x:v>7</x:v>
      </x:c>
      <x:c r="H3212" s="11" t="n">
        <x:v>1710.08</x:v>
      </x:c>
      <x:c r="I3212" s="2" t="n">
        <x:v>4</x:v>
      </x:c>
      <x:c r="J3212" s="2" t="n">
        <x:v>4</x:v>
      </x:c>
      <x:c r="K3212" s="2" t="n">
        <x:v>4</x:v>
      </x:c>
      <x:c r="L3212" s="2" t="str">
        <x:v>Champions</x:v>
      </x:c>
    </x:row>
    <x:row r="3213" ht="22" customHeight="1">
      <x:c r="A3213" s="2"/>
      <x:c r="B3213" s="2" t="str">
        <x:v>15552</x:v>
      </x:c>
      <x:c r="C3213" s="2" t="str">
        <x:v>United Kingdom</x:v>
      </x:c>
      <x:c r="D3213" s="25" t="n">
        <x:v>40263.470138888886</x:v>
      </x:c>
      <x:c r="E3213" s="25" t="n">
        <x:v>40669.407638888886</x:v>
      </x:c>
      <x:c r="F3213" s="2" t="n">
        <x:v>218</x:v>
      </x:c>
      <x:c r="G3213" s="2" t="n">
        <x:v>2</x:v>
      </x:c>
      <x:c r="H3213" s="11" t="n">
        <x:v>252.52</x:v>
      </x:c>
      <x:c r="I3213" s="2" t="n">
        <x:v>2</x:v>
      </x:c>
      <x:c r="J3213" s="2" t="n">
        <x:v>2</x:v>
      </x:c>
      <x:c r="K3213" s="2" t="n">
        <x:v>1</x:v>
      </x:c>
      <x:c r="L3213" s="2" t="str">
        <x:v>Hibernating</x:v>
      </x:c>
    </x:row>
    <x:row r="3214" ht="22" customHeight="1">
      <x:c r="A3214" s="2"/>
      <x:c r="B3214" s="2" t="str">
        <x:v>15553</x:v>
      </x:c>
      <x:c r="C3214" s="2" t="str">
        <x:v>United Kingdom</x:v>
      </x:c>
      <x:c r="D3214" s="25" t="n">
        <x:v>40826.376388888886</x:v>
      </x:c>
      <x:c r="E3214" s="25" t="n">
        <x:v>40826.376388888886</x:v>
      </x:c>
      <x:c r="F3214" s="2" t="n">
        <x:v>61</x:v>
      </x:c>
      <x:c r="G3214" s="2" t="n">
        <x:v>1</x:v>
      </x:c>
      <x:c r="H3214" s="11" t="n">
        <x:v>437.23</x:v>
      </x:c>
      <x:c r="I3214" s="2" t="n">
        <x:v>3</x:v>
      </x:c>
      <x:c r="J3214" s="2" t="n">
        <x:v>1</x:v>
      </x:c>
      <x:c r="K3214" s="2" t="n">
        <x:v>2</x:v>
      </x:c>
      <x:c r="L3214" s="2" t="str">
        <x:v>Developing</x:v>
      </x:c>
    </x:row>
    <x:row r="3215" ht="22" customHeight="1">
      <x:c r="A3215" s="2"/>
      <x:c r="B3215" s="2" t="str">
        <x:v>15554</x:v>
      </x:c>
      <x:c r="C3215" s="2" t="str">
        <x:v>United Kingdom</x:v>
      </x:c>
      <x:c r="D3215" s="25" t="n">
        <x:v>40609.166666666664</x:v>
      </x:c>
      <x:c r="E3215" s="25" t="n">
        <x:v>40609.166666666664</x:v>
      </x:c>
      <x:c r="F3215" s="2" t="n">
        <x:v>278</x:v>
      </x:c>
      <x:c r="G3215" s="2" t="n">
        <x:v>1</x:v>
      </x:c>
      <x:c r="H3215" s="11" t="n">
        <x:v>217.2</x:v>
      </x:c>
      <x:c r="I3215" s="2" t="n">
        <x:v>2</x:v>
      </x:c>
      <x:c r="J3215" s="2" t="n">
        <x:v>1</x:v>
      </x:c>
      <x:c r="K3215" s="2" t="n">
        <x:v>1</x:v>
      </x:c>
      <x:c r="L3215" s="2" t="str">
        <x:v>Hibernating</x:v>
      </x:c>
    </x:row>
    <x:row r="3216" ht="22" customHeight="1">
      <x:c r="A3216" s="2"/>
      <x:c r="B3216" s="2" t="str">
        <x:v>15555</x:v>
      </x:c>
      <x:c r="C3216" s="2" t="str">
        <x:v>United Kingdom</x:v>
      </x:c>
      <x:c r="D3216" s="25" t="n">
        <x:v>40153.29027777778</x:v>
      </x:c>
      <x:c r="E3216" s="25" t="n">
        <x:v>40874.47152777778</x:v>
      </x:c>
      <x:c r="F3216" s="2" t="n">
        <x:v>13</x:v>
      </x:c>
      <x:c r="G3216" s="2" t="n">
        <x:v>36</x:v>
      </x:c>
      <x:c r="H3216" s="11" t="n">
        <x:v>11293.57</x:v>
      </x:c>
      <x:c r="I3216" s="2" t="n">
        <x:v>5</x:v>
      </x:c>
      <x:c r="J3216" s="2" t="n">
        <x:v>5</x:v>
      </x:c>
      <x:c r="K3216" s="2" t="n">
        <x:v>5</x:v>
      </x:c>
      <x:c r="L3216" s="2" t="str">
        <x:v>Champions</x:v>
      </x:c>
    </x:row>
    <x:row r="3217" ht="22" customHeight="1">
      <x:c r="A3217" s="2"/>
      <x:c r="B3217" s="2" t="str">
        <x:v>15556</x:v>
      </x:c>
      <x:c r="C3217" s="2" t="str">
        <x:v>United Kingdom</x:v>
      </x:c>
      <x:c r="D3217" s="25" t="n">
        <x:v>40862.46388888889</x:v>
      </x:c>
      <x:c r="E3217" s="25" t="n">
        <x:v>40862.46388888889</x:v>
      </x:c>
      <x:c r="F3217" s="2" t="n">
        <x:v>25</x:v>
      </x:c>
      <x:c r="G3217" s="2" t="n">
        <x:v>1</x:v>
      </x:c>
      <x:c r="H3217" s="11" t="n">
        <x:v>279.77</x:v>
      </x:c>
      <x:c r="I3217" s="2" t="n">
        <x:v>4</x:v>
      </x:c>
      <x:c r="J3217" s="2" t="n">
        <x:v>1</x:v>
      </x:c>
      <x:c r="K3217" s="2" t="n">
        <x:v>1</x:v>
      </x:c>
      <x:c r="L3217" s="2" t="str">
        <x:v>Recent light buyers</x:v>
      </x:c>
    </x:row>
    <x:row r="3218" ht="22" customHeight="1">
      <x:c r="A3218" s="2"/>
      <x:c r="B3218" s="2" t="str">
        <x:v>15557</x:v>
      </x:c>
      <x:c r="C3218" s="2" t="str">
        <x:v>United Kingdom</x:v>
      </x:c>
      <x:c r="D3218" s="25" t="n">
        <x:v>40858.32361111111</x:v>
      </x:c>
      <x:c r="E3218" s="25" t="n">
        <x:v>40858.32361111111</x:v>
      </x:c>
      <x:c r="F3218" s="2" t="n">
        <x:v>29</x:v>
      </x:c>
      <x:c r="G3218" s="2" t="n">
        <x:v>1</x:v>
      </x:c>
      <x:c r="H3218" s="11" t="n">
        <x:v>473.65</x:v>
      </x:c>
      <x:c r="I3218" s="2" t="n">
        <x:v>4</x:v>
      </x:c>
      <x:c r="J3218" s="2" t="n">
        <x:v>1</x:v>
      </x:c>
      <x:c r="K3218" s="2" t="n">
        <x:v>2</x:v>
      </x:c>
      <x:c r="L3218" s="2" t="str">
        <x:v>Recent light buyers</x:v>
      </x:c>
    </x:row>
    <x:row r="3219" ht="22" customHeight="1">
      <x:c r="A3219" s="2"/>
      <x:c r="B3219" s="2" t="str">
        <x:v>15558</x:v>
      </x:c>
      <x:c r="C3219" s="2" t="str">
        <x:v>United Kingdom</x:v>
      </x:c>
      <x:c r="D3219" s="25" t="n">
        <x:v>40247.43402777778</x:v>
      </x:c>
      <x:c r="E3219" s="25" t="n">
        <x:v>40247.43402777778</x:v>
      </x:c>
      <x:c r="F3219" s="2" t="n">
        <x:v>640</x:v>
      </x:c>
      <x:c r="G3219" s="2" t="n">
        <x:v>1</x:v>
      </x:c>
      <x:c r="H3219" s="11" t="n">
        <x:v>214.13</x:v>
      </x:c>
      <x:c r="I3219" s="2" t="n">
        <x:v>1</x:v>
      </x:c>
      <x:c r="J3219" s="2" t="n">
        <x:v>1</x:v>
      </x:c>
      <x:c r="K3219" s="2" t="n">
        <x:v>1</x:v>
      </x:c>
      <x:c r="L3219" s="2" t="str">
        <x:v>Hibernating</x:v>
      </x:c>
    </x:row>
    <x:row r="3220" ht="22" customHeight="1">
      <x:c r="A3220" s="2"/>
      <x:c r="B3220" s="2" t="str">
        <x:v>15559</x:v>
      </x:c>
      <x:c r="C3220" s="2" t="str">
        <x:v>United Kingdom</x:v>
      </x:c>
      <x:c r="D3220" s="25" t="n">
        <x:v>40318.379166666666</x:v>
      </x:c>
      <x:c r="E3220" s="25" t="n">
        <x:v>40318.379166666666</x:v>
      </x:c>
      <x:c r="F3220" s="2" t="n">
        <x:v>569</x:v>
      </x:c>
      <x:c r="G3220" s="2" t="n">
        <x:v>1</x:v>
      </x:c>
      <x:c r="H3220" s="11" t="n">
        <x:v>1109.4</x:v>
      </x:c>
      <x:c r="I3220" s="2" t="n">
        <x:v>1</x:v>
      </x:c>
      <x:c r="J3220" s="2" t="n">
        <x:v>1</x:v>
      </x:c>
      <x:c r="K3220" s="2" t="n">
        <x:v>3</x:v>
      </x:c>
      <x:c r="L3220" s="2" t="str">
        <x:v>Hibernating</x:v>
      </x:c>
    </x:row>
    <x:row r="3221" ht="22" customHeight="1">
      <x:c r="A3221" s="2"/>
      <x:c r="B3221" s="2" t="str">
        <x:v>15560</x:v>
      </x:c>
      <x:c r="C3221" s="2" t="str">
        <x:v>United Kingdom</x:v>
      </x:c>
      <x:c r="D3221" s="25" t="n">
        <x:v>40489.21805555555</x:v>
      </x:c>
      <x:c r="E3221" s="25" t="n">
        <x:v>40489.21875</x:v>
      </x:c>
      <x:c r="F3221" s="2" t="n">
        <x:v>398</x:v>
      </x:c>
      <x:c r="G3221" s="2" t="n">
        <x:v>2</x:v>
      </x:c>
      <x:c r="H3221" s="11" t="n">
        <x:v>153.52</x:v>
      </x:c>
      <x:c r="I3221" s="2" t="n">
        <x:v>2</x:v>
      </x:c>
      <x:c r="J3221" s="2" t="n">
        <x:v>2</x:v>
      </x:c>
      <x:c r="K3221" s="2" t="n">
        <x:v>1</x:v>
      </x:c>
      <x:c r="L3221" s="2" t="str">
        <x:v>Hibernating</x:v>
      </x:c>
    </x:row>
    <x:row r="3222" ht="22" customHeight="1">
      <x:c r="A3222" s="2"/>
      <x:c r="B3222" s="2" t="str">
        <x:v>15561</x:v>
      </x:c>
      <x:c r="C3222" s="2" t="str">
        <x:v>United Kingdom</x:v>
      </x:c>
      <x:c r="D3222" s="25" t="n">
        <x:v>40223.30694444444</x:v>
      </x:c>
      <x:c r="E3222" s="25" t="n">
        <x:v>40875.25486111111</x:v>
      </x:c>
      <x:c r="F3222" s="2" t="n">
        <x:v>12</x:v>
      </x:c>
      <x:c r="G3222" s="2" t="n">
        <x:v>8</x:v>
      </x:c>
      <x:c r="H3222" s="11" t="n">
        <x:v>1934.39</x:v>
      </x:c>
      <x:c r="I3222" s="2" t="n">
        <x:v>5</x:v>
      </x:c>
      <x:c r="J3222" s="2" t="n">
        <x:v>4</x:v>
      </x:c>
      <x:c r="K3222" s="2" t="n">
        <x:v>4</x:v>
      </x:c>
      <x:c r="L3222" s="2" t="str">
        <x:v>Champions</x:v>
      </x:c>
    </x:row>
    <x:row r="3223" ht="22" customHeight="1">
      <x:c r="A3223" s="2"/>
      <x:c r="B3223" s="2" t="str">
        <x:v>15562</x:v>
      </x:c>
      <x:c r="C3223" s="2" t="str">
        <x:v>United Kingdom</x:v>
      </x:c>
      <x:c r="D3223" s="25" t="n">
        <x:v>40160.42847222222</x:v>
      </x:c>
      <x:c r="E3223" s="25" t="n">
        <x:v>40535.20486111111</x:v>
      </x:c>
      <x:c r="F3223" s="2" t="n">
        <x:v>352</x:v>
      </x:c>
      <x:c r="G3223" s="2" t="n">
        <x:v>3</x:v>
      </x:c>
      <x:c r="H3223" s="11" t="n">
        <x:v>673.38</x:v>
      </x:c>
      <x:c r="I3223" s="2" t="n">
        <x:v>2</x:v>
      </x:c>
      <x:c r="J3223" s="2" t="n">
        <x:v>3</x:v>
      </x:c>
      <x:c r="K3223" s="2" t="n">
        <x:v>3</x:v>
      </x:c>
      <x:c r="L3223" s="2" t="str">
        <x:v>At risk</x:v>
      </x:c>
    </x:row>
    <x:row r="3224" ht="22" customHeight="1">
      <x:c r="A3224" s="2"/>
      <x:c r="B3224" s="2" t="str">
        <x:v>15563</x:v>
      </x:c>
      <x:c r="C3224" s="2" t="str">
        <x:v>United Kingdom</x:v>
      </x:c>
      <x:c r="D3224" s="25" t="n">
        <x:v>40206.275</x:v>
      </x:c>
      <x:c r="E3224" s="25" t="n">
        <x:v>40864.40972222222</x:v>
      </x:c>
      <x:c r="F3224" s="2" t="n">
        <x:v>23</x:v>
      </x:c>
      <x:c r="G3224" s="2" t="n">
        <x:v>7</x:v>
      </x:c>
      <x:c r="H3224" s="11" t="n">
        <x:v>2867</x:v>
      </x:c>
      <x:c r="I3224" s="2" t="n">
        <x:v>4</x:v>
      </x:c>
      <x:c r="J3224" s="2" t="n">
        <x:v>4</x:v>
      </x:c>
      <x:c r="K3224" s="2" t="n">
        <x:v>4</x:v>
      </x:c>
      <x:c r="L3224" s="2" t="str">
        <x:v>Champions</x:v>
      </x:c>
    </x:row>
    <x:row r="3225" ht="22" customHeight="1">
      <x:c r="A3225" s="2"/>
      <x:c r="B3225" s="2" t="str">
        <x:v>15564</x:v>
      </x:c>
      <x:c r="C3225" s="2" t="str">
        <x:v>United Kingdom</x:v>
      </x:c>
      <x:c r="D3225" s="25" t="n">
        <x:v>40210.45694444444</x:v>
      </x:c>
      <x:c r="E3225" s="25" t="n">
        <x:v>40423.45277777778</x:v>
      </x:c>
      <x:c r="F3225" s="2" t="n">
        <x:v>464</x:v>
      </x:c>
      <x:c r="G3225" s="2" t="n">
        <x:v>2</x:v>
      </x:c>
      <x:c r="H3225" s="11" t="n">
        <x:v>70.74</x:v>
      </x:c>
      <x:c r="I3225" s="2" t="n">
        <x:v>1</x:v>
      </x:c>
      <x:c r="J3225" s="2" t="n">
        <x:v>2</x:v>
      </x:c>
      <x:c r="K3225" s="2" t="n">
        <x:v>1</x:v>
      </x:c>
      <x:c r="L3225" s="2" t="str">
        <x:v>Hibernating</x:v>
      </x:c>
    </x:row>
    <x:row r="3226" ht="22" customHeight="1">
      <x:c r="A3226" s="2"/>
      <x:c r="B3226" s="2" t="str">
        <x:v>15565</x:v>
      </x:c>
      <x:c r="C3226" s="2" t="str">
        <x:v>United Kingdom</x:v>
      </x:c>
      <x:c r="D3226" s="25" t="n">
        <x:v>40816.23888888889</x:v>
      </x:c>
      <x:c r="E3226" s="25" t="n">
        <x:v>40836.39791666667</x:v>
      </x:c>
      <x:c r="F3226" s="2" t="n">
        <x:v>51</x:v>
      </x:c>
      <x:c r="G3226" s="2" t="n">
        <x:v>2</x:v>
      </x:c>
      <x:c r="H3226" s="11" t="n">
        <x:v>173.16</x:v>
      </x:c>
      <x:c r="I3226" s="2" t="n">
        <x:v>4</x:v>
      </x:c>
      <x:c r="J3226" s="2" t="n">
        <x:v>2</x:v>
      </x:c>
      <x:c r="K3226" s="2" t="n">
        <x:v>1</x:v>
      </x:c>
      <x:c r="L3226" s="2" t="str">
        <x:v>Recent light buyers</x:v>
      </x:c>
    </x:row>
    <x:row r="3227" ht="22" customHeight="1">
      <x:c r="A3227" s="2"/>
      <x:c r="B3227" s="2" t="str">
        <x:v>15566</x:v>
      </x:c>
      <x:c r="C3227" s="2" t="str">
        <x:v>United Kingdom</x:v>
      </x:c>
      <x:c r="D3227" s="25" t="n">
        <x:v>40162.41180555556</x:v>
      </x:c>
      <x:c r="E3227" s="25" t="n">
        <x:v>40494.299305555556</x:v>
      </x:c>
      <x:c r="F3227" s="2" t="n">
        <x:v>393</x:v>
      </x:c>
      <x:c r="G3227" s="2" t="n">
        <x:v>2</x:v>
      </x:c>
      <x:c r="H3227" s="11" t="n">
        <x:v>227.87</x:v>
      </x:c>
      <x:c r="I3227" s="2" t="n">
        <x:v>2</x:v>
      </x:c>
      <x:c r="J3227" s="2" t="n">
        <x:v>2</x:v>
      </x:c>
      <x:c r="K3227" s="2" t="n">
        <x:v>1</x:v>
      </x:c>
      <x:c r="L3227" s="2" t="str">
        <x:v>Hibernating</x:v>
      </x:c>
    </x:row>
    <x:row r="3228" ht="22" customHeight="1">
      <x:c r="A3228" s="2"/>
      <x:c r="B3228" s="2" t="str">
        <x:v>15567</x:v>
      </x:c>
      <x:c r="C3228" s="2" t="str">
        <x:v>United Kingdom</x:v>
      </x:c>
      <x:c r="D3228" s="25" t="n">
        <x:v>40868.24166666667</x:v>
      </x:c>
      <x:c r="E3228" s="25" t="n">
        <x:v>40868.24166666667</x:v>
      </x:c>
      <x:c r="F3228" s="2" t="n">
        <x:v>19</x:v>
      </x:c>
      <x:c r="G3228" s="2" t="n">
        <x:v>1</x:v>
      </x:c>
      <x:c r="H3228" s="11" t="n">
        <x:v>186.01</x:v>
      </x:c>
      <x:c r="I3228" s="2" t="n">
        <x:v>5</x:v>
      </x:c>
      <x:c r="J3228" s="2" t="n">
        <x:v>1</x:v>
      </x:c>
      <x:c r="K3228" s="2" t="n">
        <x:v>1</x:v>
      </x:c>
      <x:c r="L3228" s="2" t="str">
        <x:v>Recent light buyers</x:v>
      </x:c>
    </x:row>
    <x:row r="3229" ht="22" customHeight="1">
      <x:c r="A3229" s="2"/>
      <x:c r="B3229" s="2" t="str">
        <x:v>15568</x:v>
      </x:c>
      <x:c r="C3229" s="2" t="str">
        <x:v>United Kingdom</x:v>
      </x:c>
      <x:c r="D3229" s="25" t="n">
        <x:v>40813.40069444444</x:v>
      </x:c>
      <x:c r="E3229" s="25" t="n">
        <x:v>40884.26875</x:v>
      </x:c>
      <x:c r="F3229" s="2" t="n">
        <x:v>3</x:v>
      </x:c>
      <x:c r="G3229" s="2" t="n">
        <x:v>3</x:v>
      </x:c>
      <x:c r="H3229" s="11" t="n">
        <x:v>758.29</x:v>
      </x:c>
      <x:c r="I3229" s="2" t="n">
        <x:v>5</x:v>
      </x:c>
      <x:c r="J3229" s="2" t="n">
        <x:v>3</x:v>
      </x:c>
      <x:c r="K3229" s="2" t="n">
        <x:v>3</x:v>
      </x:c>
      <x:c r="L3229" s="2" t="str">
        <x:v>Loyal</x:v>
      </x:c>
    </x:row>
    <x:row r="3230" ht="22" customHeight="1">
      <x:c r="A3230" s="2"/>
      <x:c r="B3230" s="2" t="str">
        <x:v>15569</x:v>
      </x:c>
      <x:c r="C3230" s="2" t="str">
        <x:v>United Kingdom</x:v>
      </x:c>
      <x:c r="D3230" s="25" t="n">
        <x:v>40237.24652777778</x:v>
      </x:c>
      <x:c r="E3230" s="25" t="n">
        <x:v>40783.21875</x:v>
      </x:c>
      <x:c r="F3230" s="2" t="n">
        <x:v>104</x:v>
      </x:c>
      <x:c r="G3230" s="2" t="n">
        <x:v>10</x:v>
      </x:c>
      <x:c r="H3230" s="11" t="n">
        <x:v>3586.35</x:v>
      </x:c>
      <x:c r="I3230" s="2" t="n">
        <x:v>3</x:v>
      </x:c>
      <x:c r="J3230" s="2" t="n">
        <x:v>5</x:v>
      </x:c>
      <x:c r="K3230" s="2" t="n">
        <x:v>5</x:v>
      </x:c>
      <x:c r="L3230" s="2" t="str">
        <x:v>Loyal</x:v>
      </x:c>
    </x:row>
    <x:row r="3231" ht="22" customHeight="1">
      <x:c r="A3231" s="2"/>
      <x:c r="B3231" s="2" t="str">
        <x:v>15570</x:v>
      </x:c>
      <x:c r="C3231" s="2" t="str">
        <x:v>United Kingdom</x:v>
      </x:c>
      <x:c r="D3231" s="25" t="n">
        <x:v>40265.37777777778</x:v>
      </x:c>
      <x:c r="E3231" s="25" t="n">
        <x:v>40879.407638888886</x:v>
      </x:c>
      <x:c r="F3231" s="2" t="n">
        <x:v>8</x:v>
      </x:c>
      <x:c r="G3231" s="2" t="n">
        <x:v>25</x:v>
      </x:c>
      <x:c r="H3231" s="11" t="n">
        <x:v>8793.39</x:v>
      </x:c>
      <x:c r="I3231" s="2" t="n">
        <x:v>5</x:v>
      </x:c>
      <x:c r="J3231" s="2" t="n">
        <x:v>5</x:v>
      </x:c>
      <x:c r="K3231" s="2" t="n">
        <x:v>5</x:v>
      </x:c>
      <x:c r="L3231" s="2" t="str">
        <x:v>Champions</x:v>
      </x:c>
    </x:row>
    <x:row r="3232" ht="22" customHeight="1">
      <x:c r="A3232" s="2"/>
      <x:c r="B3232" s="2" t="str">
        <x:v>15571</x:v>
      </x:c>
      <x:c r="C3232" s="2" t="str">
        <x:v>United Kingdom</x:v>
      </x:c>
      <x:c r="D3232" s="25" t="n">
        <x:v>40153.29861111111</x:v>
      </x:c>
      <x:c r="E3232" s="25" t="n">
        <x:v>40875.20972222222</x:v>
      </x:c>
      <x:c r="F3232" s="2" t="n">
        <x:v>12</x:v>
      </x:c>
      <x:c r="G3232" s="2" t="n">
        <x:v>14</x:v>
      </x:c>
      <x:c r="H3232" s="11" t="n">
        <x:v>4051.63</x:v>
      </x:c>
      <x:c r="I3232" s="2" t="n">
        <x:v>5</x:v>
      </x:c>
      <x:c r="J3232" s="2" t="n">
        <x:v>5</x:v>
      </x:c>
      <x:c r="K3232" s="2" t="n">
        <x:v>5</x:v>
      </x:c>
      <x:c r="L3232" s="2" t="str">
        <x:v>Champions</x:v>
      </x:c>
    </x:row>
    <x:row r="3233" ht="22" customHeight="1">
      <x:c r="A3233" s="2"/>
      <x:c r="B3233" s="2" t="str">
        <x:v>15572</x:v>
      </x:c>
      <x:c r="C3233" s="2" t="str">
        <x:v>United Kingdom</x:v>
      </x:c>
      <x:c r="D3233" s="25" t="n">
        <x:v>40282.40138888889</x:v>
      </x:c>
      <x:c r="E3233" s="25" t="n">
        <x:v>40882.214583333334</x:v>
      </x:c>
      <x:c r="F3233" s="2" t="n">
        <x:v>5</x:v>
      </x:c>
      <x:c r="G3233" s="2" t="n">
        <x:v>10</x:v>
      </x:c>
      <x:c r="H3233" s="11" t="n">
        <x:v>4068.67</x:v>
      </x:c>
      <x:c r="I3233" s="2" t="n">
        <x:v>5</x:v>
      </x:c>
      <x:c r="J3233" s="2" t="n">
        <x:v>5</x:v>
      </x:c>
      <x:c r="K3233" s="2" t="n">
        <x:v>5</x:v>
      </x:c>
      <x:c r="L3233" s="2" t="str">
        <x:v>Champions</x:v>
      </x:c>
    </x:row>
    <x:row r="3234" ht="22" customHeight="1">
      <x:c r="A3234" s="2"/>
      <x:c r="B3234" s="2" t="str">
        <x:v>15573</x:v>
      </x:c>
      <x:c r="C3234" s="2" t="str">
        <x:v>United Kingdom</x:v>
      </x:c>
      <x:c r="D3234" s="25" t="n">
        <x:v>40157.388194444444</x:v>
      </x:c>
      <x:c r="E3234" s="25" t="n">
        <x:v>40855.27638888889</x:v>
      </x:c>
      <x:c r="F3234" s="2" t="n">
        <x:v>32</x:v>
      </x:c>
      <x:c r="G3234" s="2" t="n">
        <x:v>5</x:v>
      </x:c>
      <x:c r="H3234" s="11" t="n">
        <x:v>1207.18</x:v>
      </x:c>
      <x:c r="I3234" s="2" t="n">
        <x:v>4</x:v>
      </x:c>
      <x:c r="J3234" s="2" t="n">
        <x:v>4</x:v>
      </x:c>
      <x:c r="K3234" s="2" t="n">
        <x:v>3</x:v>
      </x:c>
      <x:c r="L3234" s="2" t="str">
        <x:v>Loyal</x:v>
      </x:c>
    </x:row>
    <x:row r="3235" ht="22" customHeight="1">
      <x:c r="A3235" s="2"/>
      <x:c r="B3235" s="2" t="str">
        <x:v>15574</x:v>
      </x:c>
      <x:c r="C3235" s="2" t="str">
        <x:v>United Kingdom</x:v>
      </x:c>
      <x:c r="D3235" s="25" t="n">
        <x:v>40422.40069444444</x:v>
      </x:c>
      <x:c r="E3235" s="25" t="n">
        <x:v>40709.29236111111</x:v>
      </x:c>
      <x:c r="F3235" s="2" t="n">
        <x:v>178</x:v>
      </x:c>
      <x:c r="G3235" s="2" t="n">
        <x:v>6</x:v>
      </x:c>
      <x:c r="H3235" s="11" t="n">
        <x:v>1143.05</x:v>
      </x:c>
      <x:c r="I3235" s="2" t="n">
        <x:v>3</x:v>
      </x:c>
      <x:c r="J3235" s="2" t="n">
        <x:v>4</x:v>
      </x:c>
      <x:c r="K3235" s="2" t="n">
        <x:v>3</x:v>
      </x:c>
      <x:c r="L3235" s="2" t="str">
        <x:v>Loyal</x:v>
      </x:c>
    </x:row>
    <x:row r="3236" ht="22" customHeight="1">
      <x:c r="A3236" s="2"/>
      <x:c r="B3236" s="2" t="str">
        <x:v>15575</x:v>
      </x:c>
      <x:c r="C3236" s="2" t="str">
        <x:v>United Kingdom</x:v>
      </x:c>
      <x:c r="D3236" s="25" t="n">
        <x:v>40267.32638888889</x:v>
      </x:c>
      <x:c r="E3236" s="25" t="n">
        <x:v>40267.32638888889</x:v>
      </x:c>
      <x:c r="F3236" s="2" t="n">
        <x:v>620</x:v>
      </x:c>
      <x:c r="G3236" s="2" t="n">
        <x:v>1</x:v>
      </x:c>
      <x:c r="H3236" s="11" t="n">
        <x:v>30.1</x:v>
      </x:c>
      <x:c r="I3236" s="2" t="n">
        <x:v>1</x:v>
      </x:c>
      <x:c r="J3236" s="2" t="n">
        <x:v>1</x:v>
      </x:c>
      <x:c r="K3236" s="2" t="n">
        <x:v>1</x:v>
      </x:c>
      <x:c r="L3236" s="2" t="str">
        <x:v>Hibernating</x:v>
      </x:c>
    </x:row>
    <x:row r="3237" ht="22" customHeight="1">
      <x:c r="A3237" s="2"/>
      <x:c r="B3237" s="2" t="str">
        <x:v>15576</x:v>
      </x:c>
      <x:c r="C3237" s="2" t="str">
        <x:v>United Kingdom</x:v>
      </x:c>
      <x:c r="D3237" s="25" t="n">
        <x:v>40849.29375</x:v>
      </x:c>
      <x:c r="E3237" s="25" t="n">
        <x:v>40849.29375</x:v>
      </x:c>
      <x:c r="F3237" s="2" t="n">
        <x:v>38</x:v>
      </x:c>
      <x:c r="G3237" s="2" t="n">
        <x:v>1</x:v>
      </x:c>
      <x:c r="H3237" s="11" t="n">
        <x:v>940.67</x:v>
      </x:c>
      <x:c r="I3237" s="2" t="n">
        <x:v>4</x:v>
      </x:c>
      <x:c r="J3237" s="2" t="n">
        <x:v>1</x:v>
      </x:c>
      <x:c r="K3237" s="2" t="n">
        <x:v>3</x:v>
      </x:c>
      <x:c r="L3237" s="2" t="str">
        <x:v>Recent light buyers</x:v>
      </x:c>
    </x:row>
    <x:row r="3238" ht="22" customHeight="1">
      <x:c r="A3238" s="2"/>
      <x:c r="B3238" s="2" t="str">
        <x:v>15577</x:v>
      </x:c>
      <x:c r="C3238" s="2" t="str">
        <x:v>United Kingdom</x:v>
      </x:c>
      <x:c r="D3238" s="25" t="n">
        <x:v>40160.470138888886</x:v>
      </x:c>
      <x:c r="E3238" s="25" t="n">
        <x:v>40735.50208333333</x:v>
      </x:c>
      <x:c r="F3238" s="2" t="n">
        <x:v>152</x:v>
      </x:c>
      <x:c r="G3238" s="2" t="n">
        <x:v>5</x:v>
      </x:c>
      <x:c r="H3238" s="11" t="n">
        <x:v>397.98</x:v>
      </x:c>
      <x:c r="I3238" s="2" t="n">
        <x:v>3</x:v>
      </x:c>
      <x:c r="J3238" s="2" t="n">
        <x:v>4</x:v>
      </x:c>
      <x:c r="K3238" s="2" t="n">
        <x:v>2</x:v>
      </x:c>
      <x:c r="L3238" s="2" t="str">
        <x:v>Loyal</x:v>
      </x:c>
    </x:row>
    <x:row r="3239" ht="22" customHeight="1">
      <x:c r="A3239" s="2"/>
      <x:c r="B3239" s="2" t="str">
        <x:v>15578</x:v>
      </x:c>
      <x:c r="C3239" s="2" t="str">
        <x:v>United Kingdom</x:v>
      </x:c>
      <x:c r="D3239" s="25" t="n">
        <x:v>40724.33541666667</x:v>
      </x:c>
      <x:c r="E3239" s="25" t="n">
        <x:v>40724.33541666667</x:v>
      </x:c>
      <x:c r="F3239" s="2" t="n">
        <x:v>163</x:v>
      </x:c>
      <x:c r="G3239" s="2" t="n">
        <x:v>1</x:v>
      </x:c>
      <x:c r="H3239" s="11" t="n">
        <x:v>127.1</x:v>
      </x:c>
      <x:c r="I3239" s="2" t="n">
        <x:v>3</x:v>
      </x:c>
      <x:c r="J3239" s="2" t="n">
        <x:v>1</x:v>
      </x:c>
      <x:c r="K3239" s="2" t="n">
        <x:v>1</x:v>
      </x:c>
      <x:c r="L3239" s="2" t="str">
        <x:v>Developing</x:v>
      </x:c>
    </x:row>
    <x:row r="3240" ht="22" customHeight="1">
      <x:c r="A3240" s="2"/>
      <x:c r="B3240" s="2" t="str">
        <x:v>15579</x:v>
      </x:c>
      <x:c r="C3240" s="2" t="str">
        <x:v>United Kingdom</x:v>
      </x:c>
      <x:c r="D3240" s="25" t="n">
        <x:v>40454.40069444444</x:v>
      </x:c>
      <x:c r="E3240" s="25" t="n">
        <x:v>40818.322916666664</x:v>
      </x:c>
      <x:c r="F3240" s="2" t="n">
        <x:v>69</x:v>
      </x:c>
      <x:c r="G3240" s="2" t="n">
        <x:v>5</x:v>
      </x:c>
      <x:c r="H3240" s="11" t="n">
        <x:v>1302.5</x:v>
      </x:c>
      <x:c r="I3240" s="2" t="n">
        <x:v>3</x:v>
      </x:c>
      <x:c r="J3240" s="2" t="n">
        <x:v>4</x:v>
      </x:c>
      <x:c r="K3240" s="2" t="n">
        <x:v>4</x:v>
      </x:c>
      <x:c r="L3240" s="2" t="str">
        <x:v>Loyal</x:v>
      </x:c>
    </x:row>
    <x:row r="3241" ht="22" customHeight="1">
      <x:c r="A3241" s="2"/>
      <x:c r="B3241" s="2" t="str">
        <x:v>15580</x:v>
      </x:c>
      <x:c r="C3241" s="2" t="str">
        <x:v>United Kingdom</x:v>
      </x:c>
      <x:c r="D3241" s="25" t="n">
        <x:v>40216.26458333333</x:v>
      </x:c>
      <x:c r="E3241" s="25" t="n">
        <x:v>40510.25</x:v>
      </x:c>
      <x:c r="F3241" s="2" t="n">
        <x:v>377</x:v>
      </x:c>
      <x:c r="G3241" s="2" t="n">
        <x:v>8</x:v>
      </x:c>
      <x:c r="H3241" s="11" t="n">
        <x:v>1381.19</x:v>
      </x:c>
      <x:c r="I3241" s="2" t="n">
        <x:v>2</x:v>
      </x:c>
      <x:c r="J3241" s="2" t="n">
        <x:v>4</x:v>
      </x:c>
      <x:c r="K3241" s="2" t="n">
        <x:v>4</x:v>
      </x:c>
      <x:c r="L3241" s="2" t="str">
        <x:v>At risk</x:v>
      </x:c>
    </x:row>
    <x:row r="3242" ht="22" customHeight="1">
      <x:c r="A3242" s="2"/>
      <x:c r="B3242" s="2" t="str">
        <x:v>15581</x:v>
      </x:c>
      <x:c r="C3242" s="2" t="str">
        <x:v>United Kingdom</x:v>
      </x:c>
      <x:c r="D3242" s="25" t="n">
        <x:v>40149.30486111111</x:v>
      </x:c>
      <x:c r="E3242" s="25" t="n">
        <x:v>40766.19305555556</x:v>
      </x:c>
      <x:c r="F3242" s="2" t="n">
        <x:v>121</x:v>
      </x:c>
      <x:c r="G3242" s="2" t="n">
        <x:v>38</x:v>
      </x:c>
      <x:c r="H3242" s="11" t="n">
        <x:v>7522.25</x:v>
      </x:c>
      <x:c r="I3242" s="2" t="n">
        <x:v>3</x:v>
      </x:c>
      <x:c r="J3242" s="2" t="n">
        <x:v>5</x:v>
      </x:c>
      <x:c r="K3242" s="2" t="n">
        <x:v>5</x:v>
      </x:c>
      <x:c r="L3242" s="2" t="str">
        <x:v>Loyal</x:v>
      </x:c>
    </x:row>
    <x:row r="3243" ht="22" customHeight="1">
      <x:c r="A3243" s="2"/>
      <x:c r="B3243" s="2" t="str">
        <x:v>15582</x:v>
      </x:c>
      <x:c r="C3243" s="2" t="str">
        <x:v>United Kingdom</x:v>
      </x:c>
      <x:c r="D3243" s="25" t="n">
        <x:v>40666.35833333333</x:v>
      </x:c>
      <x:c r="E3243" s="25" t="n">
        <x:v>40862.20486111111</x:v>
      </x:c>
      <x:c r="F3243" s="2" t="n">
        <x:v>25</x:v>
      </x:c>
      <x:c r="G3243" s="2" t="n">
        <x:v>3</x:v>
      </x:c>
      <x:c r="H3243" s="11" t="n">
        <x:v>682.91</x:v>
      </x:c>
      <x:c r="I3243" s="2" t="n">
        <x:v>4</x:v>
      </x:c>
      <x:c r="J3243" s="2" t="n">
        <x:v>3</x:v>
      </x:c>
      <x:c r="K3243" s="2" t="n">
        <x:v>3</x:v>
      </x:c>
      <x:c r="L3243" s="2" t="str">
        <x:v>Loyal</x:v>
      </x:c>
    </x:row>
    <x:row r="3244" ht="22" customHeight="1">
      <x:c r="A3244" s="2"/>
      <x:c r="B3244" s="2" t="str">
        <x:v>15583</x:v>
      </x:c>
      <x:c r="C3244" s="2" t="str">
        <x:v>United Kingdom</x:v>
      </x:c>
      <x:c r="D3244" s="25" t="n">
        <x:v>40510.419444444444</x:v>
      </x:c>
      <x:c r="E3244" s="25" t="n">
        <x:v>40510.419444444444</x:v>
      </x:c>
      <x:c r="F3244" s="2" t="n">
        <x:v>377</x:v>
      </x:c>
      <x:c r="G3244" s="2" t="n">
        <x:v>1</x:v>
      </x:c>
      <x:c r="H3244" s="11" t="n">
        <x:v>107.86</x:v>
      </x:c>
      <x:c r="I3244" s="2" t="n">
        <x:v>2</x:v>
      </x:c>
      <x:c r="J3244" s="2" t="n">
        <x:v>1</x:v>
      </x:c>
      <x:c r="K3244" s="2" t="n">
        <x:v>1</x:v>
      </x:c>
      <x:c r="L3244" s="2" t="str">
        <x:v>Hibernating</x:v>
      </x:c>
    </x:row>
    <x:row r="3245" ht="22" customHeight="1">
      <x:c r="A3245" s="2"/>
      <x:c r="B3245" s="2" t="str">
        <x:v>15584</x:v>
      </x:c>
      <x:c r="C3245" s="2" t="str">
        <x:v>United Kingdom</x:v>
      </x:c>
      <x:c r="D3245" s="25" t="n">
        <x:v>40216.302777777775</x:v>
      </x:c>
      <x:c r="E3245" s="25" t="n">
        <x:v>40863.24652777778</x:v>
      </x:c>
      <x:c r="F3245" s="2" t="n">
        <x:v>24</x:v>
      </x:c>
      <x:c r="G3245" s="2" t="n">
        <x:v>6</x:v>
      </x:c>
      <x:c r="H3245" s="11" t="n">
        <x:v>1277.5</x:v>
      </x:c>
      <x:c r="I3245" s="2" t="n">
        <x:v>4</x:v>
      </x:c>
      <x:c r="J3245" s="2" t="n">
        <x:v>4</x:v>
      </x:c>
      <x:c r="K3245" s="2" t="n">
        <x:v>4</x:v>
      </x:c>
      <x:c r="L3245" s="2" t="str">
        <x:v>Champions</x:v>
      </x:c>
    </x:row>
    <x:row r="3246" ht="22" customHeight="1">
      <x:c r="A3246" s="2"/>
      <x:c r="B3246" s="2" t="str">
        <x:v>15585</x:v>
      </x:c>
      <x:c r="C3246" s="2" t="str">
        <x:v>United Kingdom</x:v>
      </x:c>
      <x:c r="D3246" s="25" t="n">
        <x:v>40710.15138888889</x:v>
      </x:c>
      <x:c r="E3246" s="25" t="n">
        <x:v>40710.15138888889</x:v>
      </x:c>
      <x:c r="F3246" s="2" t="n">
        <x:v>177</x:v>
      </x:c>
      <x:c r="G3246" s="2" t="n">
        <x:v>1</x:v>
      </x:c>
      <x:c r="H3246" s="11" t="n">
        <x:v>455.3</x:v>
      </x:c>
      <x:c r="I3246" s="2" t="n">
        <x:v>3</x:v>
      </x:c>
      <x:c r="J3246" s="2" t="n">
        <x:v>1</x:v>
      </x:c>
      <x:c r="K3246" s="2" t="n">
        <x:v>2</x:v>
      </x:c>
      <x:c r="L3246" s="2" t="str">
        <x:v>Developing</x:v>
      </x:c>
    </x:row>
    <x:row r="3247" ht="22" customHeight="1">
      <x:c r="A3247" s="2"/>
      <x:c r="B3247" s="2" t="str">
        <x:v>15586</x:v>
      </x:c>
      <x:c r="C3247" s="2" t="str">
        <x:v>United Kingdom</x:v>
      </x:c>
      <x:c r="D3247" s="25" t="n">
        <x:v>40186.20972222222</x:v>
      </x:c>
      <x:c r="E3247" s="25" t="n">
        <x:v>40294.25</x:v>
      </x:c>
      <x:c r="F3247" s="2" t="n">
        <x:v>593</x:v>
      </x:c>
      <x:c r="G3247" s="2" t="n">
        <x:v>3</x:v>
      </x:c>
      <x:c r="H3247" s="11" t="n">
        <x:v>1139.1</x:v>
      </x:c>
      <x:c r="I3247" s="2" t="n">
        <x:v>1</x:v>
      </x:c>
      <x:c r="J3247" s="2" t="n">
        <x:v>3</x:v>
      </x:c>
      <x:c r="K3247" s="2" t="n">
        <x:v>3</x:v>
      </x:c>
      <x:c r="L3247" s="2" t="str">
        <x:v>At risk</x:v>
      </x:c>
    </x:row>
    <x:row r="3248" ht="22" customHeight="1">
      <x:c r="A3248" s="2"/>
      <x:c r="B3248" s="2" t="str">
        <x:v>15587</x:v>
      </x:c>
      <x:c r="C3248" s="2" t="str">
        <x:v>United Kingdom</x:v>
      </x:c>
      <x:c r="D3248" s="25" t="n">
        <x:v>40395.15555555555</x:v>
      </x:c>
      <x:c r="E3248" s="25" t="n">
        <x:v>40836.35902777778</x:v>
      </x:c>
      <x:c r="F3248" s="2" t="n">
        <x:v>51</x:v>
      </x:c>
      <x:c r="G3248" s="2" t="n">
        <x:v>7</x:v>
      </x:c>
      <x:c r="H3248" s="11" t="n">
        <x:v>1522.08</x:v>
      </x:c>
      <x:c r="I3248" s="2" t="n">
        <x:v>4</x:v>
      </x:c>
      <x:c r="J3248" s="2" t="n">
        <x:v>4</x:v>
      </x:c>
      <x:c r="K3248" s="2" t="n">
        <x:v>4</x:v>
      </x:c>
      <x:c r="L3248" s="2" t="str">
        <x:v>Champions</x:v>
      </x:c>
    </x:row>
    <x:row r="3249" ht="22" customHeight="1">
      <x:c r="A3249" s="2"/>
      <x:c r="B3249" s="2" t="str">
        <x:v>15588</x:v>
      </x:c>
      <x:c r="C3249" s="2" t="str">
        <x:v>United Kingdom</x:v>
      </x:c>
      <x:c r="D3249" s="25" t="n">
        <x:v>40209.30486111111</x:v>
      </x:c>
      <x:c r="E3249" s="25" t="n">
        <x:v>40209.30486111111</x:v>
      </x:c>
      <x:c r="F3249" s="2" t="n">
        <x:v>678</x:v>
      </x:c>
      <x:c r="G3249" s="2" t="n">
        <x:v>1</x:v>
      </x:c>
      <x:c r="H3249" s="11" t="n">
        <x:v>579.6</x:v>
      </x:c>
      <x:c r="I3249" s="2" t="n">
        <x:v>1</x:v>
      </x:c>
      <x:c r="J3249" s="2" t="n">
        <x:v>1</x:v>
      </x:c>
      <x:c r="K3249" s="2" t="n">
        <x:v>2</x:v>
      </x:c>
      <x:c r="L3249" s="2" t="str">
        <x:v>Hibernating</x:v>
      </x:c>
    </x:row>
    <x:row r="3250" ht="22" customHeight="1">
      <x:c r="A3250" s="2"/>
      <x:c r="B3250" s="2" t="str">
        <x:v>15589</x:v>
      </x:c>
      <x:c r="C3250" s="2" t="str">
        <x:v>United Kingdom</x:v>
      </x:c>
      <x:c r="D3250" s="25" t="n">
        <x:v>40576.240277777775</x:v>
      </x:c>
      <x:c r="E3250" s="25" t="n">
        <x:v>40631.20416666667</x:v>
      </x:c>
      <x:c r="F3250" s="2" t="n">
        <x:v>256</x:v>
      </x:c>
      <x:c r="G3250" s="2" t="n">
        <x:v>3</x:v>
      </x:c>
      <x:c r="H3250" s="11" t="n">
        <x:v>478.53</x:v>
      </x:c>
      <x:c r="I3250" s="2" t="n">
        <x:v>2</x:v>
      </x:c>
      <x:c r="J3250" s="2" t="n">
        <x:v>3</x:v>
      </x:c>
      <x:c r="K3250" s="2" t="n">
        <x:v>2</x:v>
      </x:c>
      <x:c r="L3250" s="2" t="str">
        <x:v>At risk</x:v>
      </x:c>
    </x:row>
    <x:row r="3251" ht="22" customHeight="1">
      <x:c r="A3251" s="2"/>
      <x:c r="B3251" s="2" t="str">
        <x:v>15590</x:v>
      </x:c>
      <x:c r="C3251" s="2" t="str">
        <x:v>United Kingdom</x:v>
      </x:c>
      <x:c r="D3251" s="25" t="n">
        <x:v>40280.214583333334</x:v>
      </x:c>
      <x:c r="E3251" s="25" t="n">
        <x:v>40504.40902777778</x:v>
      </x:c>
      <x:c r="F3251" s="2" t="n">
        <x:v>383</x:v>
      </x:c>
      <x:c r="G3251" s="2" t="n">
        <x:v>5</x:v>
      </x:c>
      <x:c r="H3251" s="11" t="n">
        <x:v>1496.6</x:v>
      </x:c>
      <x:c r="I3251" s="2" t="n">
        <x:v>2</x:v>
      </x:c>
      <x:c r="J3251" s="2" t="n">
        <x:v>4</x:v>
      </x:c>
      <x:c r="K3251" s="2" t="n">
        <x:v>4</x:v>
      </x:c>
      <x:c r="L3251" s="2" t="str">
        <x:v>At risk</x:v>
      </x:c>
    </x:row>
    <x:row r="3252" ht="22" customHeight="1">
      <x:c r="A3252" s="2"/>
      <x:c r="B3252" s="2" t="str">
        <x:v>15591</x:v>
      </x:c>
      <x:c r="C3252" s="2" t="str">
        <x:v>United Kingdom</x:v>
      </x:c>
      <x:c r="D3252" s="25" t="n">
        <x:v>40213.180555555555</x:v>
      </x:c>
      <x:c r="E3252" s="25" t="n">
        <x:v>40304.18263888889</x:v>
      </x:c>
      <x:c r="F3252" s="2" t="n">
        <x:v>583</x:v>
      </x:c>
      <x:c r="G3252" s="2" t="n">
        <x:v>3</x:v>
      </x:c>
      <x:c r="H3252" s="11" t="n">
        <x:v>217.9</x:v>
      </x:c>
      <x:c r="I3252" s="2" t="n">
        <x:v>1</x:v>
      </x:c>
      <x:c r="J3252" s="2" t="n">
        <x:v>3</x:v>
      </x:c>
      <x:c r="K3252" s="2" t="n">
        <x:v>1</x:v>
      </x:c>
      <x:c r="L3252" s="2" t="str">
        <x:v>At risk</x:v>
      </x:c>
    </x:row>
    <x:row r="3253" ht="22" customHeight="1">
      <x:c r="A3253" s="2"/>
      <x:c r="B3253" s="2" t="str">
        <x:v>15592</x:v>
      </x:c>
      <x:c r="C3253" s="2" t="str">
        <x:v>United Kingdom</x:v>
      </x:c>
      <x:c r="D3253" s="25" t="n">
        <x:v>40840.165972222225</x:v>
      </x:c>
      <x:c r="E3253" s="25" t="n">
        <x:v>40840.165972222225</x:v>
      </x:c>
      <x:c r="F3253" s="2" t="n">
        <x:v>47</x:v>
      </x:c>
      <x:c r="G3253" s="2" t="n">
        <x:v>1</x:v>
      </x:c>
      <x:c r="H3253" s="11" t="n">
        <x:v>388.58</x:v>
      </x:c>
      <x:c r="I3253" s="2" t="n">
        <x:v>4</x:v>
      </x:c>
      <x:c r="J3253" s="2" t="n">
        <x:v>1</x:v>
      </x:c>
      <x:c r="K3253" s="2" t="n">
        <x:v>2</x:v>
      </x:c>
      <x:c r="L3253" s="2" t="str">
        <x:v>Recent light buyers</x:v>
      </x:c>
    </x:row>
    <x:row r="3254" ht="22" customHeight="1">
      <x:c r="A3254" s="2"/>
      <x:c r="B3254" s="2" t="str">
        <x:v>15593</x:v>
      </x:c>
      <x:c r="C3254" s="2" t="str">
        <x:v>United Kingdom</x:v>
      </x:c>
      <x:c r="D3254" s="25" t="n">
        <x:v>40816.28194444445</x:v>
      </x:c>
      <x:c r="E3254" s="25" t="n">
        <x:v>40816.28194444445</x:v>
      </x:c>
      <x:c r="F3254" s="2" t="n">
        <x:v>71</x:v>
      </x:c>
      <x:c r="G3254" s="2" t="n">
        <x:v>1</x:v>
      </x:c>
      <x:c r="H3254" s="11" t="n">
        <x:v>199.8</x:v>
      </x:c>
      <x:c r="I3254" s="2" t="n">
        <x:v>3</x:v>
      </x:c>
      <x:c r="J3254" s="2" t="n">
        <x:v>1</x:v>
      </x:c>
      <x:c r="K3254" s="2" t="n">
        <x:v>1</x:v>
      </x:c>
      <x:c r="L3254" s="2" t="str">
        <x:v>Developing</x:v>
      </x:c>
    </x:row>
    <x:row r="3255" ht="22" customHeight="1">
      <x:c r="A3255" s="2"/>
      <x:c r="B3255" s="2" t="str">
        <x:v>15594</x:v>
      </x:c>
      <x:c r="C3255" s="2" t="str">
        <x:v>United Kingdom</x:v>
      </x:c>
      <x:c r="D3255" s="25" t="n">
        <x:v>40652.21388888889</x:v>
      </x:c>
      <x:c r="E3255" s="25" t="n">
        <x:v>40871.16180555556</x:v>
      </x:c>
      <x:c r="F3255" s="2" t="n">
        <x:v>16</x:v>
      </x:c>
      <x:c r="G3255" s="2" t="n">
        <x:v>5</x:v>
      </x:c>
      <x:c r="H3255" s="11" t="n">
        <x:v>1771.78</x:v>
      </x:c>
      <x:c r="I3255" s="2" t="n">
        <x:v>5</x:v>
      </x:c>
      <x:c r="J3255" s="2" t="n">
        <x:v>4</x:v>
      </x:c>
      <x:c r="K3255" s="2" t="n">
        <x:v>4</x:v>
      </x:c>
      <x:c r="L3255" s="2" t="str">
        <x:v>Champions</x:v>
      </x:c>
    </x:row>
    <x:row r="3256" ht="22" customHeight="1">
      <x:c r="A3256" s="2"/>
      <x:c r="B3256" s="2" t="str">
        <x:v>15595</x:v>
      </x:c>
      <x:c r="C3256" s="2" t="str">
        <x:v>United Kingdom</x:v>
      </x:c>
      <x:c r="D3256" s="25" t="n">
        <x:v>40399.31041666667</x:v>
      </x:c>
      <x:c r="E3256" s="25" t="n">
        <x:v>40399.31041666667</x:v>
      </x:c>
      <x:c r="F3256" s="2" t="n">
        <x:v>488</x:v>
      </x:c>
      <x:c r="G3256" s="2" t="n">
        <x:v>1</x:v>
      </x:c>
      <x:c r="H3256" s="11" t="n">
        <x:v>357.6</x:v>
      </x:c>
      <x:c r="I3256" s="2" t="n">
        <x:v>1</x:v>
      </x:c>
      <x:c r="J3256" s="2" t="n">
        <x:v>1</x:v>
      </x:c>
      <x:c r="K3256" s="2" t="n">
        <x:v>2</x:v>
      </x:c>
      <x:c r="L3256" s="2" t="str">
        <x:v>Hibernating</x:v>
      </x:c>
    </x:row>
    <x:row r="3257" ht="22" customHeight="1">
      <x:c r="A3257" s="2"/>
      <x:c r="B3257" s="2" t="str">
        <x:v>15596</x:v>
      </x:c>
      <x:c r="C3257" s="2" t="str">
        <x:v>United Kingdom</x:v>
      </x:c>
      <x:c r="D3257" s="25" t="n">
        <x:v>40387.28194444445</x:v>
      </x:c>
      <x:c r="E3257" s="25" t="n">
        <x:v>40786.24652777778</x:v>
      </x:c>
      <x:c r="F3257" s="2" t="n">
        <x:v>101</x:v>
      </x:c>
      <x:c r="G3257" s="2" t="n">
        <x:v>9</x:v>
      </x:c>
      <x:c r="H3257" s="11" t="n">
        <x:v>2727.72</x:v>
      </x:c>
      <x:c r="I3257" s="2" t="n">
        <x:v>3</x:v>
      </x:c>
      <x:c r="J3257" s="2" t="n">
        <x:v>5</x:v>
      </x:c>
      <x:c r="K3257" s="2" t="n">
        <x:v>4</x:v>
      </x:c>
      <x:c r="L3257" s="2" t="str">
        <x:v>Loyal</x:v>
      </x:c>
    </x:row>
    <x:row r="3258" ht="22" customHeight="1">
      <x:c r="A3258" s="2"/>
      <x:c r="B3258" s="2" t="str">
        <x:v>15597</x:v>
      </x:c>
      <x:c r="C3258" s="2" t="str">
        <x:v>United Kingdom</x:v>
      </x:c>
      <x:c r="D3258" s="25" t="n">
        <x:v>40311.34027777778</x:v>
      </x:c>
      <x:c r="E3258" s="25" t="n">
        <x:v>40851.35138888889</x:v>
      </x:c>
      <x:c r="F3258" s="2" t="n">
        <x:v>36</x:v>
      </x:c>
      <x:c r="G3258" s="2" t="n">
        <x:v>2</x:v>
      </x:c>
      <x:c r="H3258" s="11" t="n">
        <x:v>563.37</x:v>
      </x:c>
      <x:c r="I3258" s="2" t="n">
        <x:v>4</x:v>
      </x:c>
      <x:c r="J3258" s="2" t="n">
        <x:v>2</x:v>
      </x:c>
      <x:c r="K3258" s="2" t="n">
        <x:v>2</x:v>
      </x:c>
      <x:c r="L3258" s="2" t="str">
        <x:v>Recent light buyers</x:v>
      </x:c>
    </x:row>
    <x:row r="3259" ht="22" customHeight="1">
      <x:c r="A3259" s="2"/>
      <x:c r="B3259" s="2" t="str">
        <x:v>15598</x:v>
      </x:c>
      <x:c r="C3259" s="2" t="str">
        <x:v>United Kingdom</x:v>
      </x:c>
      <x:c r="D3259" s="25" t="n">
        <x:v>40459.180555555555</x:v>
      </x:c>
      <x:c r="E3259" s="25" t="n">
        <x:v>40833.46111111111</x:v>
      </x:c>
      <x:c r="F3259" s="2" t="n">
        <x:v>54</x:v>
      </x:c>
      <x:c r="G3259" s="2" t="n">
        <x:v>2</x:v>
      </x:c>
      <x:c r="H3259" s="11" t="n">
        <x:v>548.02</x:v>
      </x:c>
      <x:c r="I3259" s="2" t="n">
        <x:v>4</x:v>
      </x:c>
      <x:c r="J3259" s="2" t="n">
        <x:v>2</x:v>
      </x:c>
      <x:c r="K3259" s="2" t="n">
        <x:v>2</x:v>
      </x:c>
      <x:c r="L3259" s="2" t="str">
        <x:v>Recent light buyers</x:v>
      </x:c>
    </x:row>
    <x:row r="3260" ht="22" customHeight="1">
      <x:c r="A3260" s="2"/>
      <x:c r="B3260" s="2" t="str">
        <x:v>15599</x:v>
      </x:c>
      <x:c r="C3260" s="2" t="str">
        <x:v>United Kingdom</x:v>
      </x:c>
      <x:c r="D3260" s="25" t="n">
        <x:v>40441.21875</x:v>
      </x:c>
      <x:c r="E3260" s="25" t="n">
        <x:v>40860.28055555555</x:v>
      </x:c>
      <x:c r="F3260" s="2" t="n">
        <x:v>27</x:v>
      </x:c>
      <x:c r="G3260" s="2" t="n">
        <x:v>3</x:v>
      </x:c>
      <x:c r="H3260" s="11" t="n">
        <x:v>1250.06</x:v>
      </x:c>
      <x:c r="I3260" s="2" t="n">
        <x:v>4</x:v>
      </x:c>
      <x:c r="J3260" s="2" t="n">
        <x:v>3</x:v>
      </x:c>
      <x:c r="K3260" s="2" t="n">
        <x:v>4</x:v>
      </x:c>
      <x:c r="L3260" s="2" t="str">
        <x:v>Loyal</x:v>
      </x:c>
    </x:row>
    <x:row r="3261" ht="22" customHeight="1">
      <x:c r="A3261" s="2"/>
      <x:c r="B3261" s="2" t="str">
        <x:v>15600</x:v>
      </x:c>
      <x:c r="C3261" s="2" t="str">
        <x:v>United Kingdom</x:v>
      </x:c>
      <x:c r="D3261" s="25" t="n">
        <x:v>40293.28472222222</x:v>
      </x:c>
      <x:c r="E3261" s="25" t="n">
        <x:v>40458.395833333336</x:v>
      </x:c>
      <x:c r="F3261" s="2" t="n">
        <x:v>429</x:v>
      </x:c>
      <x:c r="G3261" s="2" t="n">
        <x:v>4</x:v>
      </x:c>
      <x:c r="H3261" s="11" t="n">
        <x:v>1199.31</x:v>
      </x:c>
      <x:c r="I3261" s="2" t="n">
        <x:v>1</x:v>
      </x:c>
      <x:c r="J3261" s="2" t="n">
        <x:v>3</x:v>
      </x:c>
      <x:c r="K3261" s="2" t="n">
        <x:v>3</x:v>
      </x:c>
      <x:c r="L3261" s="2" t="str">
        <x:v>At risk</x:v>
      </x:c>
    </x:row>
    <x:row r="3262" ht="22" customHeight="1">
      <x:c r="A3262" s="2"/>
      <x:c r="B3262" s="2" t="str">
        <x:v>15601</x:v>
      </x:c>
      <x:c r="C3262" s="2" t="str">
        <x:v>United Kingdom</x:v>
      </x:c>
      <x:c r="D3262" s="25" t="n">
        <x:v>40148.41180555556</x:v>
      </x:c>
      <x:c r="E3262" s="25" t="n">
        <x:v>40875.427083333336</x:v>
      </x:c>
      <x:c r="F3262" s="2" t="n">
        <x:v>12</x:v>
      </x:c>
      <x:c r="G3262" s="2" t="n">
        <x:v>30</x:v>
      </x:c>
      <x:c r="H3262" s="11" t="n">
        <x:v>14191.74</x:v>
      </x:c>
      <x:c r="I3262" s="2" t="n">
        <x:v>5</x:v>
      </x:c>
      <x:c r="J3262" s="2" t="n">
        <x:v>5</x:v>
      </x:c>
      <x:c r="K3262" s="2" t="n">
        <x:v>5</x:v>
      </x:c>
      <x:c r="L3262" s="2" t="str">
        <x:v>Champions</x:v>
      </x:c>
    </x:row>
    <x:row r="3263" ht="22" customHeight="1">
      <x:c r="A3263" s="2"/>
      <x:c r="B3263" s="2" t="str">
        <x:v>15602</x:v>
      </x:c>
      <x:c r="C3263" s="2" t="str">
        <x:v>United Kingdom</x:v>
      </x:c>
      <x:c r="D3263" s="25" t="n">
        <x:v>40149.19097222222</x:v>
      </x:c>
      <x:c r="E3263" s="25" t="n">
        <x:v>40878.384722222225</x:v>
      </x:c>
      <x:c r="F3263" s="2" t="n">
        <x:v>9</x:v>
      </x:c>
      <x:c r="G3263" s="2" t="n">
        <x:v>16</x:v>
      </x:c>
      <x:c r="H3263" s="11" t="n">
        <x:v>3137.96</x:v>
      </x:c>
      <x:c r="I3263" s="2" t="n">
        <x:v>5</x:v>
      </x:c>
      <x:c r="J3263" s="2" t="n">
        <x:v>5</x:v>
      </x:c>
      <x:c r="K3263" s="2" t="n">
        <x:v>5</x:v>
      </x:c>
      <x:c r="L3263" s="2" t="str">
        <x:v>Champions</x:v>
      </x:c>
    </x:row>
    <x:row r="3264" ht="22" customHeight="1">
      <x:c r="A3264" s="2"/>
      <x:c r="B3264" s="2" t="str">
        <x:v>15603</x:v>
      </x:c>
      <x:c r="C3264" s="2" t="str">
        <x:v>United Kingdom</x:v>
      </x:c>
      <x:c r="D3264" s="25" t="n">
        <x:v>40238.45972222222</x:v>
      </x:c>
      <x:c r="E3264" s="25" t="n">
        <x:v>40808.21111111111</x:v>
      </x:c>
      <x:c r="F3264" s="2" t="n">
        <x:v>79</x:v>
      </x:c>
      <x:c r="G3264" s="2" t="n">
        <x:v>2</x:v>
      </x:c>
      <x:c r="H3264" s="11" t="n">
        <x:v>88.48</x:v>
      </x:c>
      <x:c r="I3264" s="2" t="n">
        <x:v>3</x:v>
      </x:c>
      <x:c r="J3264" s="2" t="n">
        <x:v>2</x:v>
      </x:c>
      <x:c r="K3264" s="2" t="n">
        <x:v>1</x:v>
      </x:c>
      <x:c r="L3264" s="2" t="str">
        <x:v>Developing</x:v>
      </x:c>
    </x:row>
    <x:row r="3265" ht="22" customHeight="1">
      <x:c r="A3265" s="2"/>
      <x:c r="B3265" s="2" t="str">
        <x:v>15604</x:v>
      </x:c>
      <x:c r="C3265" s="2" t="str">
        <x:v>United Kingdom</x:v>
      </x:c>
      <x:c r="D3265" s="25" t="n">
        <x:v>40834.407638888886</x:v>
      </x:c>
      <x:c r="E3265" s="25" t="n">
        <x:v>40834.407638888886</x:v>
      </x:c>
      <x:c r="F3265" s="2" t="n">
        <x:v>53</x:v>
      </x:c>
      <x:c r="G3265" s="2" t="n">
        <x:v>1</x:v>
      </x:c>
      <x:c r="H3265" s="11" t="n">
        <x:v>216.39</x:v>
      </x:c>
      <x:c r="I3265" s="2" t="n">
        <x:v>4</x:v>
      </x:c>
      <x:c r="J3265" s="2" t="n">
        <x:v>1</x:v>
      </x:c>
      <x:c r="K3265" s="2" t="n">
        <x:v>1</x:v>
      </x:c>
      <x:c r="L3265" s="2" t="str">
        <x:v>Recent light buyers</x:v>
      </x:c>
    </x:row>
    <x:row r="3266" ht="22" customHeight="1">
      <x:c r="A3266" s="2"/>
      <x:c r="B3266" s="2" t="str">
        <x:v>15605</x:v>
      </x:c>
      <x:c r="C3266" s="2" t="str">
        <x:v>United Kingdom</x:v>
      </x:c>
      <x:c r="D3266" s="25" t="n">
        <x:v>40192.37708333333</x:v>
      </x:c>
      <x:c r="E3266" s="25" t="n">
        <x:v>40850.38680555556</x:v>
      </x:c>
      <x:c r="F3266" s="2" t="n">
        <x:v>37</x:v>
      </x:c>
      <x:c r="G3266" s="2" t="n">
        <x:v>9</x:v>
      </x:c>
      <x:c r="H3266" s="11" t="n">
        <x:v>1741.95</x:v>
      </x:c>
      <x:c r="I3266" s="2" t="n">
        <x:v>4</x:v>
      </x:c>
      <x:c r="J3266" s="2" t="n">
        <x:v>5</x:v>
      </x:c>
      <x:c r="K3266" s="2" t="n">
        <x:v>4</x:v>
      </x:c>
      <x:c r="L3266" s="2" t="str">
        <x:v>Champions</x:v>
      </x:c>
    </x:row>
    <x:row r="3267" ht="22" customHeight="1">
      <x:c r="A3267" s="2"/>
      <x:c r="B3267" s="2" t="str">
        <x:v>15606</x:v>
      </x:c>
      <x:c r="C3267" s="2" t="str">
        <x:v>United Kingdom</x:v>
      </x:c>
      <x:c r="D3267" s="25" t="n">
        <x:v>40239.40833333333</x:v>
      </x:c>
      <x:c r="E3267" s="25" t="n">
        <x:v>40825.44930555556</x:v>
      </x:c>
      <x:c r="F3267" s="2" t="n">
        <x:v>62</x:v>
      </x:c>
      <x:c r="G3267" s="2" t="n">
        <x:v>17</x:v>
      </x:c>
      <x:c r="H3267" s="11" t="n">
        <x:v>5230.99</x:v>
      </x:c>
      <x:c r="I3267" s="2" t="n">
        <x:v>3</x:v>
      </x:c>
      <x:c r="J3267" s="2" t="n">
        <x:v>5</x:v>
      </x:c>
      <x:c r="K3267" s="2" t="n">
        <x:v>5</x:v>
      </x:c>
      <x:c r="L3267" s="2" t="str">
        <x:v>Loyal</x:v>
      </x:c>
    </x:row>
    <x:row r="3268" ht="22" customHeight="1">
      <x:c r="A3268" s="2"/>
      <x:c r="B3268" s="2" t="str">
        <x:v>15607</x:v>
      </x:c>
      <x:c r="C3268" s="2" t="str">
        <x:v>United Kingdom</x:v>
      </x:c>
      <x:c r="D3268" s="25" t="n">
        <x:v>40186.302777777775</x:v>
      </x:c>
      <x:c r="E3268" s="25" t="n">
        <x:v>40550.322222222225</x:v>
      </x:c>
      <x:c r="F3268" s="2" t="n">
        <x:v>337</x:v>
      </x:c>
      <x:c r="G3268" s="2" t="n">
        <x:v>9</x:v>
      </x:c>
      <x:c r="H3268" s="11" t="n">
        <x:v>1708.97</x:v>
      </x:c>
      <x:c r="I3268" s="2" t="n">
        <x:v>2</x:v>
      </x:c>
      <x:c r="J3268" s="2" t="n">
        <x:v>5</x:v>
      </x:c>
      <x:c r="K3268" s="2" t="n">
        <x:v>4</x:v>
      </x:c>
      <x:c r="L3268" s="2" t="str">
        <x:v>At risk</x:v>
      </x:c>
    </x:row>
    <x:row r="3269" ht="22" customHeight="1">
      <x:c r="A3269" s="2"/>
      <x:c r="B3269" s="2" t="str">
        <x:v>15608</x:v>
      </x:c>
      <x:c r="C3269" s="2" t="str">
        <x:v>United Kingdom</x:v>
      </x:c>
      <x:c r="D3269" s="25" t="n">
        <x:v>40471.21527777778</x:v>
      </x:c>
      <x:c r="E3269" s="25" t="n">
        <x:v>40858.34722222222</x:v>
      </x:c>
      <x:c r="F3269" s="2" t="n">
        <x:v>29</x:v>
      </x:c>
      <x:c r="G3269" s="2" t="n">
        <x:v>5</x:v>
      </x:c>
      <x:c r="H3269" s="11" t="n">
        <x:v>1785.98</x:v>
      </x:c>
      <x:c r="I3269" s="2" t="n">
        <x:v>4</x:v>
      </x:c>
      <x:c r="J3269" s="2" t="n">
        <x:v>4</x:v>
      </x:c>
      <x:c r="K3269" s="2" t="n">
        <x:v>4</x:v>
      </x:c>
      <x:c r="L3269" s="2" t="str">
        <x:v>Champions</x:v>
      </x:c>
    </x:row>
    <x:row r="3270" ht="22" customHeight="1">
      <x:c r="A3270" s="2"/>
      <x:c r="B3270" s="2" t="str">
        <x:v>15609</x:v>
      </x:c>
      <x:c r="C3270" s="2" t="str">
        <x:v>United Kingdom</x:v>
      </x:c>
      <x:c r="D3270" s="25" t="n">
        <x:v>40702.333333333336</x:v>
      </x:c>
      <x:c r="E3270" s="25" t="n">
        <x:v>40702.333333333336</x:v>
      </x:c>
      <x:c r="F3270" s="2" t="n">
        <x:v>185</x:v>
      </x:c>
      <x:c r="G3270" s="2" t="n">
        <x:v>1</x:v>
      </x:c>
      <x:c r="H3270" s="11" t="n">
        <x:v>298.48</x:v>
      </x:c>
      <x:c r="I3270" s="2" t="n">
        <x:v>3</x:v>
      </x:c>
      <x:c r="J3270" s="2" t="n">
        <x:v>1</x:v>
      </x:c>
      <x:c r="K3270" s="2" t="n">
        <x:v>2</x:v>
      </x:c>
      <x:c r="L3270" s="2" t="str">
        <x:v>Developing</x:v>
      </x:c>
    </x:row>
    <x:row r="3271" ht="22" customHeight="1">
      <x:c r="A3271" s="2"/>
      <x:c r="B3271" s="2" t="str">
        <x:v>15610</x:v>
      </x:c>
      <x:c r="C3271" s="2" t="str">
        <x:v>United Kingdom</x:v>
      </x:c>
      <x:c r="D3271" s="25" t="n">
        <x:v>40835.23333333333</x:v>
      </x:c>
      <x:c r="E3271" s="25" t="n">
        <x:v>40835.23333333333</x:v>
      </x:c>
      <x:c r="F3271" s="2" t="n">
        <x:v>52</x:v>
      </x:c>
      <x:c r="G3271" s="2" t="n">
        <x:v>1</x:v>
      </x:c>
      <x:c r="H3271" s="11" t="n">
        <x:v>112.46</x:v>
      </x:c>
      <x:c r="I3271" s="2" t="n">
        <x:v>4</x:v>
      </x:c>
      <x:c r="J3271" s="2" t="n">
        <x:v>1</x:v>
      </x:c>
      <x:c r="K3271" s="2" t="n">
        <x:v>1</x:v>
      </x:c>
      <x:c r="L3271" s="2" t="str">
        <x:v>Recent light buyers</x:v>
      </x:c>
    </x:row>
    <x:row r="3272" ht="22" customHeight="1">
      <x:c r="A3272" s="2"/>
      <x:c r="B3272" s="2" t="str">
        <x:v>15611</x:v>
      </x:c>
      <x:c r="C3272" s="2" t="str">
        <x:v>United Kingdom</x:v>
      </x:c>
      <x:c r="D3272" s="25" t="n">
        <x:v>40203.40972222222</x:v>
      </x:c>
      <x:c r="E3272" s="25" t="n">
        <x:v>40877.316666666666</x:v>
      </x:c>
      <x:c r="F3272" s="2" t="n">
        <x:v>10</x:v>
      </x:c>
      <x:c r="G3272" s="2" t="n">
        <x:v>26</x:v>
      </x:c>
      <x:c r="H3272" s="11" t="n">
        <x:v>2997.28</x:v>
      </x:c>
      <x:c r="I3272" s="2" t="n">
        <x:v>5</x:v>
      </x:c>
      <x:c r="J3272" s="2" t="n">
        <x:v>5</x:v>
      </x:c>
      <x:c r="K3272" s="2" t="n">
        <x:v>5</x:v>
      </x:c>
      <x:c r="L3272" s="2" t="str">
        <x:v>Champions</x:v>
      </x:c>
    </x:row>
    <x:row r="3273" ht="22" customHeight="1">
      <x:c r="A3273" s="2"/>
      <x:c r="B3273" s="2" t="str">
        <x:v>15612</x:v>
      </x:c>
      <x:c r="C3273" s="2" t="str">
        <x:v>United Kingdom</x:v>
      </x:c>
      <x:c r="D3273" s="25" t="n">
        <x:v>40825.325694444444</x:v>
      </x:c>
      <x:c r="E3273" s="25" t="n">
        <x:v>40850.41111111111</x:v>
      </x:c>
      <x:c r="F3273" s="2" t="n">
        <x:v>37</x:v>
      </x:c>
      <x:c r="G3273" s="2" t="n">
        <x:v>2</x:v>
      </x:c>
      <x:c r="H3273" s="11" t="n">
        <x:v>195.15</x:v>
      </x:c>
      <x:c r="I3273" s="2" t="n">
        <x:v>4</x:v>
      </x:c>
      <x:c r="J3273" s="2" t="n">
        <x:v>2</x:v>
      </x:c>
      <x:c r="K3273" s="2" t="n">
        <x:v>1</x:v>
      </x:c>
      <x:c r="L3273" s="2" t="str">
        <x:v>Recent light buyers</x:v>
      </x:c>
    </x:row>
    <x:row r="3274" ht="22" customHeight="1">
      <x:c r="A3274" s="2"/>
      <x:c r="B3274" s="2" t="str">
        <x:v>15613</x:v>
      </x:c>
      <x:c r="C3274" s="2" t="str">
        <x:v>United Kingdom</x:v>
      </x:c>
      <x:c r="D3274" s="25" t="n">
        <x:v>40276.32708333333</x:v>
      </x:c>
      <x:c r="E3274" s="25" t="n">
        <x:v>40276.32708333333</x:v>
      </x:c>
      <x:c r="F3274" s="2" t="n">
        <x:v>611</x:v>
      </x:c>
      <x:c r="G3274" s="2" t="n">
        <x:v>1</x:v>
      </x:c>
      <x:c r="H3274" s="11" t="n">
        <x:v>433.72</x:v>
      </x:c>
      <x:c r="I3274" s="2" t="n">
        <x:v>1</x:v>
      </x:c>
      <x:c r="J3274" s="2" t="n">
        <x:v>1</x:v>
      </x:c>
      <x:c r="K3274" s="2" t="n">
        <x:v>2</x:v>
      </x:c>
      <x:c r="L3274" s="2" t="str">
        <x:v>Hibernating</x:v>
      </x:c>
    </x:row>
    <x:row r="3275" ht="22" customHeight="1">
      <x:c r="A3275" s="2"/>
      <x:c r="B3275" s="2" t="str">
        <x:v>15614</x:v>
      </x:c>
      <x:c r="C3275" s="2" t="str">
        <x:v>United Kingdom</x:v>
      </x:c>
      <x:c r="D3275" s="25" t="n">
        <x:v>40260.25902777778</x:v>
      </x:c>
      <x:c r="E3275" s="25" t="n">
        <x:v>40449.240277777775</x:v>
      </x:c>
      <x:c r="F3275" s="2" t="n">
        <x:v>438</x:v>
      </x:c>
      <x:c r="G3275" s="2" t="n">
        <x:v>4</x:v>
      </x:c>
      <x:c r="H3275" s="11" t="n">
        <x:v>3147.36</x:v>
      </x:c>
      <x:c r="I3275" s="2" t="n">
        <x:v>1</x:v>
      </x:c>
      <x:c r="J3275" s="2" t="n">
        <x:v>3</x:v>
      </x:c>
      <x:c r="K3275" s="2" t="n">
        <x:v>5</x:v>
      </x:c>
      <x:c r="L3275" s="2" t="str">
        <x:v>At risk</x:v>
      </x:c>
    </x:row>
    <x:row r="3276" ht="22" customHeight="1">
      <x:c r="A3276" s="2"/>
      <x:c r="B3276" s="2" t="str">
        <x:v>15615</x:v>
      </x:c>
      <x:c r="C3276" s="2" t="str">
        <x:v>United Kingdom</x:v>
      </x:c>
      <x:c r="D3276" s="25" t="n">
        <x:v>40149.436111111114</x:v>
      </x:c>
      <x:c r="E3276" s="25" t="n">
        <x:v>40876.40416666667</x:v>
      </x:c>
      <x:c r="F3276" s="2" t="n">
        <x:v>11</x:v>
      </x:c>
      <x:c r="G3276" s="2" t="n">
        <x:v>47</x:v>
      </x:c>
      <x:c r="H3276" s="11" t="n">
        <x:v>21373.97</x:v>
      </x:c>
      <x:c r="I3276" s="2" t="n">
        <x:v>5</x:v>
      </x:c>
      <x:c r="J3276" s="2" t="n">
        <x:v>5</x:v>
      </x:c>
      <x:c r="K3276" s="2" t="n">
        <x:v>5</x:v>
      </x:c>
      <x:c r="L3276" s="2" t="str">
        <x:v>Champions</x:v>
      </x:c>
    </x:row>
    <x:row r="3277" ht="22" customHeight="1">
      <x:c r="A3277" s="2"/>
      <x:c r="B3277" s="2" t="str">
        <x:v>15616</x:v>
      </x:c>
      <x:c r="C3277" s="2" t="str">
        <x:v>United Kingdom</x:v>
      </x:c>
      <x:c r="D3277" s="25" t="n">
        <x:v>40448.34027777778</x:v>
      </x:c>
      <x:c r="E3277" s="25" t="n">
        <x:v>40448.34027777778</x:v>
      </x:c>
      <x:c r="F3277" s="2" t="n">
        <x:v>439</x:v>
      </x:c>
      <x:c r="G3277" s="2" t="n">
        <x:v>1</x:v>
      </x:c>
      <x:c r="H3277" s="11" t="n">
        <x:v>317.11</x:v>
      </x:c>
      <x:c r="I3277" s="2" t="n">
        <x:v>1</x:v>
      </x:c>
      <x:c r="J3277" s="2" t="n">
        <x:v>1</x:v>
      </x:c>
      <x:c r="K3277" s="2" t="n">
        <x:v>2</x:v>
      </x:c>
      <x:c r="L3277" s="2" t="str">
        <x:v>Hibernating</x:v>
      </x:c>
    </x:row>
    <x:row r="3278" ht="22" customHeight="1">
      <x:c r="A3278" s="2"/>
      <x:c r="B3278" s="2" t="str">
        <x:v>15617</x:v>
      </x:c>
      <x:c r="C3278" s="2" t="str">
        <x:v>United Kingdom</x:v>
      </x:c>
      <x:c r="D3278" s="25" t="n">
        <x:v>40379.34444444445</x:v>
      </x:c>
      <x:c r="E3278" s="25" t="n">
        <x:v>40490.46319444444</x:v>
      </x:c>
      <x:c r="F3278" s="2" t="n">
        <x:v>397</x:v>
      </x:c>
      <x:c r="G3278" s="2" t="n">
        <x:v>3</x:v>
      </x:c>
      <x:c r="H3278" s="11" t="n">
        <x:v>828.55</x:v>
      </x:c>
      <x:c r="I3278" s="2" t="n">
        <x:v>2</x:v>
      </x:c>
      <x:c r="J3278" s="2" t="n">
        <x:v>3</x:v>
      </x:c>
      <x:c r="K3278" s="2" t="n">
        <x:v>3</x:v>
      </x:c>
      <x:c r="L3278" s="2" t="str">
        <x:v>At risk</x:v>
      </x:c>
    </x:row>
    <x:row r="3279" ht="22" customHeight="1">
      <x:c r="A3279" s="2"/>
      <x:c r="B3279" s="2" t="str">
        <x:v>15618</x:v>
      </x:c>
      <x:c r="C3279" s="2" t="str">
        <x:v>United Kingdom</x:v>
      </x:c>
      <x:c r="D3279" s="25" t="n">
        <x:v>40750.217361111114</x:v>
      </x:c>
      <x:c r="E3279" s="25" t="n">
        <x:v>40854.14861111111</x:v>
      </x:c>
      <x:c r="F3279" s="2" t="n">
        <x:v>33</x:v>
      </x:c>
      <x:c r="G3279" s="2" t="n">
        <x:v>4</x:v>
      </x:c>
      <x:c r="H3279" s="11" t="n">
        <x:v>776.851</x:v>
      </x:c>
      <x:c r="I3279" s="2" t="n">
        <x:v>4</x:v>
      </x:c>
      <x:c r="J3279" s="2" t="n">
        <x:v>3</x:v>
      </x:c>
      <x:c r="K3279" s="2" t="n">
        <x:v>3</x:v>
      </x:c>
      <x:c r="L3279" s="2" t="str">
        <x:v>Loyal</x:v>
      </x:c>
    </x:row>
    <x:row r="3280" ht="22" customHeight="1">
      <x:c r="A3280" s="2"/>
      <x:c r="B3280" s="2" t="str">
        <x:v>15619</x:v>
      </x:c>
      <x:c r="C3280" s="2" t="str">
        <x:v>United Kingdom</x:v>
      </x:c>
      <x:c r="D3280" s="25" t="n">
        <x:v>40876.134722222225</x:v>
      </x:c>
      <x:c r="E3280" s="25" t="n">
        <x:v>40876.134722222225</x:v>
      </x:c>
      <x:c r="F3280" s="2" t="n">
        <x:v>11</x:v>
      </x:c>
      <x:c r="G3280" s="2" t="n">
        <x:v>1</x:v>
      </x:c>
      <x:c r="H3280" s="11" t="n">
        <x:v>336.4</x:v>
      </x:c>
      <x:c r="I3280" s="2" t="n">
        <x:v>5</x:v>
      </x:c>
      <x:c r="J3280" s="2" t="n">
        <x:v>1</x:v>
      </x:c>
      <x:c r="K3280" s="2" t="n">
        <x:v>2</x:v>
      </x:c>
      <x:c r="L3280" s="2" t="str">
        <x:v>Recent light buyers</x:v>
      </x:c>
    </x:row>
    <x:row r="3281" ht="22" customHeight="1">
      <x:c r="A3281" s="2"/>
      <x:c r="B3281" s="2" t="str">
        <x:v>15620</x:v>
      </x:c>
      <x:c r="C3281" s="2" t="str">
        <x:v>United Kingdom</x:v>
      </x:c>
      <x:c r="D3281" s="25" t="n">
        <x:v>40477.27222222222</x:v>
      </x:c>
      <x:c r="E3281" s="25" t="n">
        <x:v>40830.32013888889</x:v>
      </x:c>
      <x:c r="F3281" s="2" t="n">
        <x:v>57</x:v>
      </x:c>
      <x:c r="G3281" s="2" t="n">
        <x:v>4</x:v>
      </x:c>
      <x:c r="H3281" s="11" t="n">
        <x:v>1942.36</x:v>
      </x:c>
      <x:c r="I3281" s="2" t="n">
        <x:v>4</x:v>
      </x:c>
      <x:c r="J3281" s="2" t="n">
        <x:v>3</x:v>
      </x:c>
      <x:c r="K3281" s="2" t="n">
        <x:v>4</x:v>
      </x:c>
      <x:c r="L3281" s="2" t="str">
        <x:v>Loyal</x:v>
      </x:c>
    </x:row>
    <x:row r="3282" ht="22" customHeight="1">
      <x:c r="A3282" s="2"/>
      <x:c r="B3282" s="2" t="str">
        <x:v>15621</x:v>
      </x:c>
      <x:c r="C3282" s="2" t="str">
        <x:v>United Kingdom</x:v>
      </x:c>
      <x:c r="D3282" s="25" t="n">
        <x:v>40865.28402777778</x:v>
      </x:c>
      <x:c r="E3282" s="25" t="n">
        <x:v>40882.37569444445</x:v>
      </x:c>
      <x:c r="F3282" s="2" t="n">
        <x:v>5</x:v>
      </x:c>
      <x:c r="G3282" s="2" t="n">
        <x:v>4</x:v>
      </x:c>
      <x:c r="H3282" s="11" t="n">
        <x:v>1293.03</x:v>
      </x:c>
      <x:c r="I3282" s="2" t="n">
        <x:v>5</x:v>
      </x:c>
      <x:c r="J3282" s="2" t="n">
        <x:v>3</x:v>
      </x:c>
      <x:c r="K3282" s="2" t="n">
        <x:v>4</x:v>
      </x:c>
      <x:c r="L3282" s="2" t="str">
        <x:v>Loyal</x:v>
      </x:c>
    </x:row>
    <x:row r="3283" ht="22" customHeight="1">
      <x:c r="A3283" s="2"/>
      <x:c r="B3283" s="2" t="str">
        <x:v>15622</x:v>
      </x:c>
      <x:c r="C3283" s="2" t="str">
        <x:v>United Kingdom</x:v>
      </x:c>
      <x:c r="D3283" s="25" t="n">
        <x:v>40241.228472222225</x:v>
      </x:c>
      <x:c r="E3283" s="25" t="n">
        <x:v>40843.48888888889</x:v>
      </x:c>
      <x:c r="F3283" s="2" t="n">
        <x:v>44</x:v>
      </x:c>
      <x:c r="G3283" s="2" t="n">
        <x:v>17</x:v>
      </x:c>
      <x:c r="H3283" s="11" t="n">
        <x:v>7852.61</x:v>
      </x:c>
      <x:c r="I3283" s="2" t="n">
        <x:v>4</x:v>
      </x:c>
      <x:c r="J3283" s="2" t="n">
        <x:v>5</x:v>
      </x:c>
      <x:c r="K3283" s="2" t="n">
        <x:v>5</x:v>
      </x:c>
      <x:c r="L3283" s="2" t="str">
        <x:v>Champions</x:v>
      </x:c>
    </x:row>
    <x:row r="3284" ht="22" customHeight="1">
      <x:c r="A3284" s="2"/>
      <x:c r="B3284" s="2" t="str">
        <x:v>15623</x:v>
      </x:c>
      <x:c r="C3284" s="2" t="str">
        <x:v>United Kingdom</x:v>
      </x:c>
      <x:c r="D3284" s="25" t="n">
        <x:v>40157.40694444445</x:v>
      </x:c>
      <x:c r="E3284" s="25" t="n">
        <x:v>40745.518055555556</x:v>
      </x:c>
      <x:c r="F3284" s="2" t="n">
        <x:v>142</x:v>
      </x:c>
      <x:c r="G3284" s="2" t="n">
        <x:v>8</x:v>
      </x:c>
      <x:c r="H3284" s="11" t="n">
        <x:v>2437.05</x:v>
      </x:c>
      <x:c r="I3284" s="2" t="n">
        <x:v>3</x:v>
      </x:c>
      <x:c r="J3284" s="2" t="n">
        <x:v>4</x:v>
      </x:c>
      <x:c r="K3284" s="2" t="n">
        <x:v>4</x:v>
      </x:c>
      <x:c r="L3284" s="2" t="str">
        <x:v>Loyal</x:v>
      </x:c>
    </x:row>
    <x:row r="3285" ht="22" customHeight="1">
      <x:c r="A3285" s="2"/>
      <x:c r="B3285" s="2" t="str">
        <x:v>15624</x:v>
      </x:c>
      <x:c r="C3285" s="2" t="str">
        <x:v>United Kingdom</x:v>
      </x:c>
      <x:c r="D3285" s="25" t="n">
        <x:v>40630.35555555556</x:v>
      </x:c>
      <x:c r="E3285" s="25" t="n">
        <x:v>40770.27638888889</x:v>
      </x:c>
      <x:c r="F3285" s="2" t="n">
        <x:v>117</x:v>
      </x:c>
      <x:c r="G3285" s="2" t="n">
        <x:v>4</x:v>
      </x:c>
      <x:c r="H3285" s="11" t="n">
        <x:v>588.13</x:v>
      </x:c>
      <x:c r="I3285" s="2" t="n">
        <x:v>3</x:v>
      </x:c>
      <x:c r="J3285" s="2" t="n">
        <x:v>3</x:v>
      </x:c>
      <x:c r="K3285" s="2" t="n">
        <x:v>2</x:v>
      </x:c>
      <x:c r="L3285" s="2" t="str">
        <x:v>Loyal</x:v>
      </x:c>
    </x:row>
    <x:row r="3286" ht="22" customHeight="1">
      <x:c r="A3286" s="2"/>
      <x:c r="B3286" s="2" t="str">
        <x:v>15625</x:v>
      </x:c>
      <x:c r="C3286" s="2" t="str">
        <x:v>United Kingdom</x:v>
      </x:c>
      <x:c r="D3286" s="25" t="n">
        <x:v>40344.43263888889</x:v>
      </x:c>
      <x:c r="E3286" s="25" t="n">
        <x:v>40783.222916666666</x:v>
      </x:c>
      <x:c r="F3286" s="2" t="n">
        <x:v>104</x:v>
      </x:c>
      <x:c r="G3286" s="2" t="n">
        <x:v>9</x:v>
      </x:c>
      <x:c r="H3286" s="11" t="n">
        <x:v>3236.4</x:v>
      </x:c>
      <x:c r="I3286" s="2" t="n">
        <x:v>3</x:v>
      </x:c>
      <x:c r="J3286" s="2" t="n">
        <x:v>5</x:v>
      </x:c>
      <x:c r="K3286" s="2" t="n">
        <x:v>5</x:v>
      </x:c>
      <x:c r="L3286" s="2" t="str">
        <x:v>Loyal</x:v>
      </x:c>
    </x:row>
    <x:row r="3287" ht="22" customHeight="1">
      <x:c r="A3287" s="2"/>
      <x:c r="B3287" s="2" t="str">
        <x:v>15626</x:v>
      </x:c>
      <x:c r="C3287" s="2" t="str">
        <x:v>United Kingdom</x:v>
      </x:c>
      <x:c r="D3287" s="25" t="n">
        <x:v>40465.51111111111</x:v>
      </x:c>
      <x:c r="E3287" s="25" t="n">
        <x:v>40812.21041666667</x:v>
      </x:c>
      <x:c r="F3287" s="2" t="n">
        <x:v>75</x:v>
      </x:c>
      <x:c r="G3287" s="2" t="n">
        <x:v>3</x:v>
      </x:c>
      <x:c r="H3287" s="11" t="n">
        <x:v>1067.52</x:v>
      </x:c>
      <x:c r="I3287" s="2" t="n">
        <x:v>3</x:v>
      </x:c>
      <x:c r="J3287" s="2" t="n">
        <x:v>3</x:v>
      </x:c>
      <x:c r="K3287" s="2" t="n">
        <x:v>3</x:v>
      </x:c>
      <x:c r="L3287" s="2" t="str">
        <x:v>Loyal</x:v>
      </x:c>
    </x:row>
    <x:row r="3288" ht="22" customHeight="1">
      <x:c r="A3288" s="2"/>
      <x:c r="B3288" s="2" t="str">
        <x:v>15627</x:v>
      </x:c>
      <x:c r="C3288" s="2" t="str">
        <x:v>United Kingdom</x:v>
      </x:c>
      <x:c r="D3288" s="25" t="n">
        <x:v>40364.28888888889</x:v>
      </x:c>
      <x:c r="E3288" s="25" t="n">
        <x:v>40429.384722222225</x:v>
      </x:c>
      <x:c r="F3288" s="2" t="n">
        <x:v>458</x:v>
      </x:c>
      <x:c r="G3288" s="2" t="n">
        <x:v>2</x:v>
      </x:c>
      <x:c r="H3288" s="11" t="n">
        <x:v>566.9</x:v>
      </x:c>
      <x:c r="I3288" s="2" t="n">
        <x:v>1</x:v>
      </x:c>
      <x:c r="J3288" s="2" t="n">
        <x:v>2</x:v>
      </x:c>
      <x:c r="K3288" s="2" t="n">
        <x:v>2</x:v>
      </x:c>
      <x:c r="L3288" s="2" t="str">
        <x:v>Hibernating</x:v>
      </x:c>
    </x:row>
    <x:row r="3289" ht="22" customHeight="1">
      <x:c r="A3289" s="2"/>
      <x:c r="B3289" s="2" t="str">
        <x:v>15628</x:v>
      </x:c>
      <x:c r="C3289" s="2" t="str">
        <x:v>United Kingdom</x:v>
      </x:c>
      <x:c r="D3289" s="25" t="n">
        <x:v>40160.36041666667</x:v>
      </x:c>
      <x:c r="E3289" s="25" t="n">
        <x:v>40882.225</x:v>
      </x:c>
      <x:c r="F3289" s="2" t="n">
        <x:v>5</x:v>
      </x:c>
      <x:c r="G3289" s="2" t="n">
        <x:v>17</x:v>
      </x:c>
      <x:c r="H3289" s="11" t="n">
        <x:v>5333.08</x:v>
      </x:c>
      <x:c r="I3289" s="2" t="n">
        <x:v>5</x:v>
      </x:c>
      <x:c r="J3289" s="2" t="n">
        <x:v>5</x:v>
      </x:c>
      <x:c r="K3289" s="2" t="n">
        <x:v>5</x:v>
      </x:c>
      <x:c r="L3289" s="2" t="str">
        <x:v>Champions</x:v>
      </x:c>
    </x:row>
    <x:row r="3290" ht="22" customHeight="1">
      <x:c r="A3290" s="2"/>
      <x:c r="B3290" s="2" t="str">
        <x:v>15629</x:v>
      </x:c>
      <x:c r="C3290" s="2" t="str">
        <x:v>United Kingdom</x:v>
      </x:c>
      <x:c r="D3290" s="25" t="n">
        <x:v>40354.277083333334</x:v>
      </x:c>
      <x:c r="E3290" s="25" t="n">
        <x:v>40436.365277777775</x:v>
      </x:c>
      <x:c r="F3290" s="2" t="n">
        <x:v>451</x:v>
      </x:c>
      <x:c r="G3290" s="2" t="n">
        <x:v>4</x:v>
      </x:c>
      <x:c r="H3290" s="11" t="n">
        <x:v>2240.9</x:v>
      </x:c>
      <x:c r="I3290" s="2" t="n">
        <x:v>1</x:v>
      </x:c>
      <x:c r="J3290" s="2" t="n">
        <x:v>3</x:v>
      </x:c>
      <x:c r="K3290" s="2" t="n">
        <x:v>4</x:v>
      </x:c>
      <x:c r="L3290" s="2" t="str">
        <x:v>At risk</x:v>
      </x:c>
    </x:row>
    <x:row r="3291" ht="22" customHeight="1">
      <x:c r="A3291" s="2"/>
      <x:c r="B3291" s="2" t="str">
        <x:v>15630</x:v>
      </x:c>
      <x:c r="C3291" s="2" t="str">
        <x:v>United Kingdom</x:v>
      </x:c>
      <x:c r="D3291" s="25" t="n">
        <x:v>40242.395833333336</x:v>
      </x:c>
      <x:c r="E3291" s="25" t="n">
        <x:v>40841.441666666666</x:v>
      </x:c>
      <x:c r="F3291" s="2" t="n">
        <x:v>46</x:v>
      </x:c>
      <x:c r="G3291" s="2" t="n">
        <x:v>3</x:v>
      </x:c>
      <x:c r="H3291" s="11" t="n">
        <x:v>1481.4</x:v>
      </x:c>
      <x:c r="I3291" s="2" t="n">
        <x:v>4</x:v>
      </x:c>
      <x:c r="J3291" s="2" t="n">
        <x:v>3</x:v>
      </x:c>
      <x:c r="K3291" s="2" t="n">
        <x:v>4</x:v>
      </x:c>
      <x:c r="L3291" s="2" t="str">
        <x:v>Loyal</x:v>
      </x:c>
    </x:row>
    <x:row r="3292" ht="22" customHeight="1">
      <x:c r="A3292" s="2"/>
      <x:c r="B3292" s="2" t="str">
        <x:v>15631</x:v>
      </x:c>
      <x:c r="C3292" s="2" t="str">
        <x:v>United Kingdom</x:v>
      </x:c>
      <x:c r="D3292" s="25" t="n">
        <x:v>40244.41111111111</x:v>
      </x:c>
      <x:c r="E3292" s="25" t="n">
        <x:v>40244.41111111111</x:v>
      </x:c>
      <x:c r="F3292" s="2" t="n">
        <x:v>643</x:v>
      </x:c>
      <x:c r="G3292" s="2" t="n">
        <x:v>1</x:v>
      </x:c>
      <x:c r="H3292" s="11" t="n">
        <x:v>596.67</x:v>
      </x:c>
      <x:c r="I3292" s="2" t="n">
        <x:v>1</x:v>
      </x:c>
      <x:c r="J3292" s="2" t="n">
        <x:v>1</x:v>
      </x:c>
      <x:c r="K3292" s="2" t="n">
        <x:v>2</x:v>
      </x:c>
      <x:c r="L3292" s="2" t="str">
        <x:v>Hibernating</x:v>
      </x:c>
    </x:row>
    <x:row r="3293" ht="22" customHeight="1">
      <x:c r="A3293" s="2"/>
      <x:c r="B3293" s="2" t="str">
        <x:v>15632</x:v>
      </x:c>
      <x:c r="C3293" s="2" t="str">
        <x:v>United Kingdom</x:v>
      </x:c>
      <x:c r="D3293" s="25" t="n">
        <x:v>40612.14513888889</x:v>
      </x:c>
      <x:c r="E3293" s="25" t="n">
        <x:v>40871.20208333333</x:v>
      </x:c>
      <x:c r="F3293" s="2" t="n">
        <x:v>16</x:v>
      </x:c>
      <x:c r="G3293" s="2" t="n">
        <x:v>8</x:v>
      </x:c>
      <x:c r="H3293" s="11" t="n">
        <x:v>3285.31</x:v>
      </x:c>
      <x:c r="I3293" s="2" t="n">
        <x:v>5</x:v>
      </x:c>
      <x:c r="J3293" s="2" t="n">
        <x:v>4</x:v>
      </x:c>
      <x:c r="K3293" s="2" t="n">
        <x:v>5</x:v>
      </x:c>
      <x:c r="L3293" s="2" t="str">
        <x:v>Champions</x:v>
      </x:c>
    </x:row>
    <x:row r="3294" ht="22" customHeight="1">
      <x:c r="A3294" s="2"/>
      <x:c r="B3294" s="2" t="str">
        <x:v>15633</x:v>
      </x:c>
      <x:c r="C3294" s="2" t="str">
        <x:v>United Kingdom</x:v>
      </x:c>
      <x:c r="D3294" s="25" t="n">
        <x:v>40155.535416666666</x:v>
      </x:c>
      <x:c r="E3294" s="25" t="n">
        <x:v>40377.370833333334</x:v>
      </x:c>
      <x:c r="F3294" s="2" t="n">
        <x:v>510</x:v>
      </x:c>
      <x:c r="G3294" s="2" t="n">
        <x:v>13</x:v>
      </x:c>
      <x:c r="H3294" s="11" t="n">
        <x:v>4352.46</x:v>
      </x:c>
      <x:c r="I3294" s="2" t="n">
        <x:v>1</x:v>
      </x:c>
      <x:c r="J3294" s="2" t="n">
        <x:v>5</x:v>
      </x:c>
      <x:c r="K3294" s="2" t="n">
        <x:v>5</x:v>
      </x:c>
      <x:c r="L3294" s="2" t="str">
        <x:v>At risk</x:v>
      </x:c>
    </x:row>
    <x:row r="3295" ht="22" customHeight="1">
      <x:c r="A3295" s="2"/>
      <x:c r="B3295" s="2" t="str">
        <x:v>15634</x:v>
      </x:c>
      <x:c r="C3295" s="2" t="str">
        <x:v>United Kingdom</x:v>
      </x:c>
      <x:c r="D3295" s="25" t="n">
        <x:v>40503.4375</x:v>
      </x:c>
      <x:c r="E3295" s="25" t="n">
        <x:v>40869.47777777778</x:v>
      </x:c>
      <x:c r="F3295" s="2" t="n">
        <x:v>18</x:v>
      </x:c>
      <x:c r="G3295" s="2" t="n">
        <x:v>2</x:v>
      </x:c>
      <x:c r="H3295" s="11" t="n">
        <x:v>554.65</x:v>
      </x:c>
      <x:c r="I3295" s="2" t="n">
        <x:v>5</x:v>
      </x:c>
      <x:c r="J3295" s="2" t="n">
        <x:v>2</x:v>
      </x:c>
      <x:c r="K3295" s="2" t="n">
        <x:v>2</x:v>
      </x:c>
      <x:c r="L3295" s="2" t="str">
        <x:v>Recent light buyers</x:v>
      </x:c>
    </x:row>
    <x:row r="3296" ht="22" customHeight="1">
      <x:c r="A3296" s="2"/>
      <x:c r="B3296" s="2" t="str">
        <x:v>15635</x:v>
      </x:c>
      <x:c r="C3296" s="2" t="str">
        <x:v>United Kingdom</x:v>
      </x:c>
      <x:c r="D3296" s="25" t="n">
        <x:v>40491.16527777778</x:v>
      </x:c>
      <x:c r="E3296" s="25" t="n">
        <x:v>40491.16527777778</x:v>
      </x:c>
      <x:c r="F3296" s="2" t="n">
        <x:v>396</x:v>
      </x:c>
      <x:c r="G3296" s="2" t="n">
        <x:v>1</x:v>
      </x:c>
      <x:c r="H3296" s="11" t="n">
        <x:v>100.35</x:v>
      </x:c>
      <x:c r="I3296" s="2" t="n">
        <x:v>2</x:v>
      </x:c>
      <x:c r="J3296" s="2" t="n">
        <x:v>1</x:v>
      </x:c>
      <x:c r="K3296" s="2" t="n">
        <x:v>1</x:v>
      </x:c>
      <x:c r="L3296" s="2" t="str">
        <x:v>Hibernating</x:v>
      </x:c>
    </x:row>
    <x:row r="3297" ht="22" customHeight="1">
      <x:c r="A3297" s="2"/>
      <x:c r="B3297" s="2" t="str">
        <x:v>15636</x:v>
      </x:c>
      <x:c r="C3297" s="2" t="str">
        <x:v>United Kingdom</x:v>
      </x:c>
      <x:c r="D3297" s="25" t="n">
        <x:v>40317.27569444444</x:v>
      </x:c>
      <x:c r="E3297" s="25" t="n">
        <x:v>40797.26180555556</x:v>
      </x:c>
      <x:c r="F3297" s="2" t="n">
        <x:v>90</x:v>
      </x:c>
      <x:c r="G3297" s="2" t="n">
        <x:v>4</x:v>
      </x:c>
      <x:c r="H3297" s="11" t="n">
        <x:v>1444.58</x:v>
      </x:c>
      <x:c r="I3297" s="2" t="n">
        <x:v>3</x:v>
      </x:c>
      <x:c r="J3297" s="2" t="n">
        <x:v>3</x:v>
      </x:c>
      <x:c r="K3297" s="2" t="n">
        <x:v>4</x:v>
      </x:c>
      <x:c r="L3297" s="2" t="str">
        <x:v>Loyal</x:v>
      </x:c>
    </x:row>
    <x:row r="3298" ht="22" customHeight="1">
      <x:c r="A3298" s="2"/>
      <x:c r="B3298" s="2" t="str">
        <x:v>15637</x:v>
      </x:c>
      <x:c r="C3298" s="2" t="str">
        <x:v>United Kingdom</x:v>
      </x:c>
      <x:c r="D3298" s="25" t="n">
        <x:v>40162.5375</x:v>
      </x:c>
      <x:c r="E3298" s="25" t="n">
        <x:v>40834.14444444444</x:v>
      </x:c>
      <x:c r="F3298" s="2" t="n">
        <x:v>53</x:v>
      </x:c>
      <x:c r="G3298" s="2" t="n">
        <x:v>5</x:v>
      </x:c>
      <x:c r="H3298" s="11" t="n">
        <x:v>797.59</x:v>
      </x:c>
      <x:c r="I3298" s="2" t="n">
        <x:v>4</x:v>
      </x:c>
      <x:c r="J3298" s="2" t="n">
        <x:v>4</x:v>
      </x:c>
      <x:c r="K3298" s="2" t="n">
        <x:v>3</x:v>
      </x:c>
      <x:c r="L3298" s="2" t="str">
        <x:v>Loyal</x:v>
      </x:c>
    </x:row>
    <x:row r="3299" ht="22" customHeight="1">
      <x:c r="A3299" s="2"/>
      <x:c r="B3299" s="2" t="str">
        <x:v>15638</x:v>
      </x:c>
      <x:c r="C3299" s="2" t="str">
        <x:v>United Kingdom</x:v>
      </x:c>
      <x:c r="D3299" s="25" t="n">
        <x:v>40276.40069444444</x:v>
      </x:c>
      <x:c r="E3299" s="25" t="n">
        <x:v>40508.28611111111</x:v>
      </x:c>
      <x:c r="F3299" s="2" t="n">
        <x:v>379</x:v>
      </x:c>
      <x:c r="G3299" s="2" t="n">
        <x:v>6</x:v>
      </x:c>
      <x:c r="H3299" s="11" t="n">
        <x:v>2265.2</x:v>
      </x:c>
      <x:c r="I3299" s="2" t="n">
        <x:v>2</x:v>
      </x:c>
      <x:c r="J3299" s="2" t="n">
        <x:v>4</x:v>
      </x:c>
      <x:c r="K3299" s="2" t="n">
        <x:v>4</x:v>
      </x:c>
      <x:c r="L3299" s="2" t="str">
        <x:v>At risk</x:v>
      </x:c>
    </x:row>
    <x:row r="3300" ht="22" customHeight="1">
      <x:c r="A3300" s="2"/>
      <x:c r="B3300" s="2" t="str">
        <x:v>15639</x:v>
      </x:c>
      <x:c r="C3300" s="2" t="str">
        <x:v>United Kingdom</x:v>
      </x:c>
      <x:c r="D3300" s="25" t="n">
        <x:v>40281.34097222222</x:v>
      </x:c>
      <x:c r="E3300" s="25" t="n">
        <x:v>40752.395833333336</x:v>
      </x:c>
      <x:c r="F3300" s="2" t="n">
        <x:v>135</x:v>
      </x:c>
      <x:c r="G3300" s="2" t="n">
        <x:v>3</x:v>
      </x:c>
      <x:c r="H3300" s="11" t="n">
        <x:v>1065.08</x:v>
      </x:c>
      <x:c r="I3300" s="2" t="n">
        <x:v>3</x:v>
      </x:c>
      <x:c r="J3300" s="2" t="n">
        <x:v>3</x:v>
      </x:c>
      <x:c r="K3300" s="2" t="n">
        <x:v>3</x:v>
      </x:c>
      <x:c r="L3300" s="2" t="str">
        <x:v>Loyal</x:v>
      </x:c>
    </x:row>
    <x:row r="3301" ht="22" customHeight="1">
      <x:c r="A3301" s="2"/>
      <x:c r="B3301" s="2" t="str">
        <x:v>15640</x:v>
      </x:c>
      <x:c r="C3301" s="2" t="str">
        <x:v>United Kingdom</x:v>
      </x:c>
      <x:c r="D3301" s="25" t="n">
        <x:v>40161.48333333333</x:v>
      </x:c>
      <x:c r="E3301" s="25" t="n">
        <x:v>40882.399305555555</x:v>
      </x:c>
      <x:c r="F3301" s="2" t="n">
        <x:v>5</x:v>
      </x:c>
      <x:c r="G3301" s="2" t="n">
        <x:v>29</x:v>
      </x:c>
      <x:c r="H3301" s="11" t="n">
        <x:v>23623.86</x:v>
      </x:c>
      <x:c r="I3301" s="2" t="n">
        <x:v>5</x:v>
      </x:c>
      <x:c r="J3301" s="2" t="n">
        <x:v>5</x:v>
      </x:c>
      <x:c r="K3301" s="2" t="n">
        <x:v>5</x:v>
      </x:c>
      <x:c r="L3301" s="2" t="str">
        <x:v>Champions</x:v>
      </x:c>
    </x:row>
    <x:row r="3302" ht="22" customHeight="1">
      <x:c r="A3302" s="2"/>
      <x:c r="B3302" s="2" t="str">
        <x:v>15641</x:v>
      </x:c>
      <x:c r="C3302" s="2" t="str">
        <x:v>United Kingdom</x:v>
      </x:c>
      <x:c r="D3302" s="25" t="n">
        <x:v>40153.43819444445</x:v>
      </x:c>
      <x:c r="E3302" s="25" t="n">
        <x:v>40781.37777777778</x:v>
      </x:c>
      <x:c r="F3302" s="2" t="n">
        <x:v>106</x:v>
      </x:c>
      <x:c r="G3302" s="2" t="n">
        <x:v>12</x:v>
      </x:c>
      <x:c r="H3302" s="11" t="n">
        <x:v>5345.55</x:v>
      </x:c>
      <x:c r="I3302" s="2" t="n">
        <x:v>3</x:v>
      </x:c>
      <x:c r="J3302" s="2" t="n">
        <x:v>5</x:v>
      </x:c>
      <x:c r="K3302" s="2" t="n">
        <x:v>5</x:v>
      </x:c>
      <x:c r="L3302" s="2" t="str">
        <x:v>Loyal</x:v>
      </x:c>
    </x:row>
    <x:row r="3303" ht="22" customHeight="1">
      <x:c r="A3303" s="2"/>
      <x:c r="B3303" s="2" t="str">
        <x:v>15642</x:v>
      </x:c>
      <x:c r="C3303" s="2" t="str">
        <x:v>United Kingdom</x:v>
      </x:c>
      <x:c r="D3303" s="25" t="n">
        <x:v>40157.285416666666</x:v>
      </x:c>
      <x:c r="E3303" s="25" t="n">
        <x:v>40157.285416666666</x:v>
      </x:c>
      <x:c r="F3303" s="2" t="n">
        <x:v>730</x:v>
      </x:c>
      <x:c r="G3303" s="2" t="n">
        <x:v>1</x:v>
      </x:c>
      <x:c r="H3303" s="11" t="n">
        <x:v>105.78</x:v>
      </x:c>
      <x:c r="I3303" s="2" t="n">
        <x:v>1</x:v>
      </x:c>
      <x:c r="J3303" s="2" t="n">
        <x:v>1</x:v>
      </x:c>
      <x:c r="K3303" s="2" t="n">
        <x:v>1</x:v>
      </x:c>
      <x:c r="L3303" s="2" t="str">
        <x:v>Hibernating</x:v>
      </x:c>
    </x:row>
    <x:row r="3304" ht="22" customHeight="1">
      <x:c r="A3304" s="2"/>
      <x:c r="B3304" s="2" t="str">
        <x:v>15643</x:v>
      </x:c>
      <x:c r="C3304" s="2" t="str">
        <x:v>United Kingdom</x:v>
      </x:c>
      <x:c r="D3304" s="25" t="n">
        <x:v>40604.39861111111</x:v>
      </x:c>
      <x:c r="E3304" s="25" t="n">
        <x:v>40695.10972222222</x:v>
      </x:c>
      <x:c r="F3304" s="2" t="n">
        <x:v>192</x:v>
      </x:c>
      <x:c r="G3304" s="2" t="n">
        <x:v>3</x:v>
      </x:c>
      <x:c r="H3304" s="11" t="n">
        <x:v>664</x:v>
      </x:c>
      <x:c r="I3304" s="2" t="n">
        <x:v>2</x:v>
      </x:c>
      <x:c r="J3304" s="2" t="n">
        <x:v>3</x:v>
      </x:c>
      <x:c r="K3304" s="2" t="n">
        <x:v>3</x:v>
      </x:c>
      <x:c r="L3304" s="2" t="str">
        <x:v>At risk</x:v>
      </x:c>
    </x:row>
    <x:row r="3305" ht="22" customHeight="1">
      <x:c r="A3305" s="2"/>
      <x:c r="B3305" s="2" t="str">
        <x:v>15644</x:v>
      </x:c>
      <x:c r="C3305" s="2" t="str">
        <x:v>United Kingdom</x:v>
      </x:c>
      <x:c r="D3305" s="25" t="n">
        <x:v>40625.44236111111</x:v>
      </x:c>
      <x:c r="E3305" s="25" t="n">
        <x:v>40720.4125</x:v>
      </x:c>
      <x:c r="F3305" s="2" t="n">
        <x:v>167</x:v>
      </x:c>
      <x:c r="G3305" s="2" t="n">
        <x:v>4</x:v>
      </x:c>
      <x:c r="H3305" s="11" t="n">
        <x:v>813</x:v>
      </x:c>
      <x:c r="I3305" s="2" t="n">
        <x:v>3</x:v>
      </x:c>
      <x:c r="J3305" s="2" t="n">
        <x:v>3</x:v>
      </x:c>
      <x:c r="K3305" s="2" t="n">
        <x:v>3</x:v>
      </x:c>
      <x:c r="L3305" s="2" t="str">
        <x:v>Loyal</x:v>
      </x:c>
    </x:row>
    <x:row r="3306" ht="22" customHeight="1">
      <x:c r="A3306" s="2"/>
      <x:c r="B3306" s="2" t="str">
        <x:v>15645</x:v>
      </x:c>
      <x:c r="C3306" s="2" t="str">
        <x:v>United Kingdom</x:v>
      </x:c>
      <x:c r="D3306" s="25" t="n">
        <x:v>40461.32708333333</x:v>
      </x:c>
      <x:c r="E3306" s="25" t="n">
        <x:v>40868.288194444445</x:v>
      </x:c>
      <x:c r="F3306" s="2" t="n">
        <x:v>19</x:v>
      </x:c>
      <x:c r="G3306" s="2" t="n">
        <x:v>3</x:v>
      </x:c>
      <x:c r="H3306" s="11" t="n">
        <x:v>1055.17</x:v>
      </x:c>
      <x:c r="I3306" s="2" t="n">
        <x:v>5</x:v>
      </x:c>
      <x:c r="J3306" s="2" t="n">
        <x:v>3</x:v>
      </x:c>
      <x:c r="K3306" s="2" t="n">
        <x:v>3</x:v>
      </x:c>
      <x:c r="L3306" s="2" t="str">
        <x:v>Loyal</x:v>
      </x:c>
    </x:row>
    <x:row r="3307" ht="22" customHeight="1">
      <x:c r="A3307" s="2"/>
      <x:c r="B3307" s="2" t="str">
        <x:v>15646</x:v>
      </x:c>
      <x:c r="C3307" s="2" t="str">
        <x:v>United Kingdom</x:v>
      </x:c>
      <x:c r="D3307" s="25" t="n">
        <x:v>40476.3375</x:v>
      </x:c>
      <x:c r="E3307" s="25" t="n">
        <x:v>40729.20347222222</x:v>
      </x:c>
      <x:c r="F3307" s="2" t="n">
        <x:v>158</x:v>
      </x:c>
      <x:c r="G3307" s="2" t="n">
        <x:v>5</x:v>
      </x:c>
      <x:c r="H3307" s="11" t="n">
        <x:v>784.81</x:v>
      </x:c>
      <x:c r="I3307" s="2" t="n">
        <x:v>3</x:v>
      </x:c>
      <x:c r="J3307" s="2" t="n">
        <x:v>4</x:v>
      </x:c>
      <x:c r="K3307" s="2" t="n">
        <x:v>3</x:v>
      </x:c>
      <x:c r="L3307" s="2" t="str">
        <x:v>Loyal</x:v>
      </x:c>
    </x:row>
    <x:row r="3308" ht="22" customHeight="1">
      <x:c r="A3308" s="2"/>
      <x:c r="B3308" s="2" t="str">
        <x:v>15647</x:v>
      </x:c>
      <x:c r="C3308" s="2" t="str">
        <x:v>United Kingdom</x:v>
      </x:c>
      <x:c r="D3308" s="25" t="n">
        <x:v>40471.42291666667</x:v>
      </x:c>
      <x:c r="E3308" s="25" t="n">
        <x:v>40471.42291666667</x:v>
      </x:c>
      <x:c r="F3308" s="2" t="n">
        <x:v>416</x:v>
      </x:c>
      <x:c r="G3308" s="2" t="n">
        <x:v>1</x:v>
      </x:c>
      <x:c r="H3308" s="11" t="n">
        <x:v>169</x:v>
      </x:c>
      <x:c r="I3308" s="2" t="n">
        <x:v>1</x:v>
      </x:c>
      <x:c r="J3308" s="2" t="n">
        <x:v>1</x:v>
      </x:c>
      <x:c r="K3308" s="2" t="n">
        <x:v>1</x:v>
      </x:c>
      <x:c r="L3308" s="2" t="str">
        <x:v>Hibernating</x:v>
      </x:c>
    </x:row>
    <x:row r="3309" ht="22" customHeight="1">
      <x:c r="A3309" s="2"/>
      <x:c r="B3309" s="2" t="str">
        <x:v>15648</x:v>
      </x:c>
      <x:c r="C3309" s="2" t="str">
        <x:v>United Kingdom</x:v>
      </x:c>
      <x:c r="D3309" s="25" t="n">
        <x:v>40619.58263888889</x:v>
      </x:c>
      <x:c r="E3309" s="25" t="n">
        <x:v>40682.45347222222</x:v>
      </x:c>
      <x:c r="F3309" s="2" t="n">
        <x:v>205</x:v>
      </x:c>
      <x:c r="G3309" s="2" t="n">
        <x:v>2</x:v>
      </x:c>
      <x:c r="H3309" s="11" t="n">
        <x:v>657.35</x:v>
      </x:c>
      <x:c r="I3309" s="2" t="n">
        <x:v>2</x:v>
      </x:c>
      <x:c r="J3309" s="2" t="n">
        <x:v>2</x:v>
      </x:c>
      <x:c r="K3309" s="2" t="n">
        <x:v>3</x:v>
      </x:c>
      <x:c r="L3309" s="2" t="str">
        <x:v>Hibernating</x:v>
      </x:c>
    </x:row>
    <x:row r="3310" ht="22" customHeight="1">
      <x:c r="A3310" s="2"/>
      <x:c r="B3310" s="2" t="str">
        <x:v>15649</x:v>
      </x:c>
      <x:c r="C3310" s="2" t="str">
        <x:v>United Kingdom</x:v>
      </x:c>
      <x:c r="D3310" s="25" t="n">
        <x:v>40499.47361111111</x:v>
      </x:c>
      <x:c r="E3310" s="25" t="n">
        <x:v>40550.356944444444</x:v>
      </x:c>
      <x:c r="F3310" s="2" t="n">
        <x:v>337</x:v>
      </x:c>
      <x:c r="G3310" s="2" t="n">
        <x:v>4</x:v>
      </x:c>
      <x:c r="H3310" s="11" t="n">
        <x:v>1660.35</x:v>
      </x:c>
      <x:c r="I3310" s="2" t="n">
        <x:v>2</x:v>
      </x:c>
      <x:c r="J3310" s="2" t="n">
        <x:v>3</x:v>
      </x:c>
      <x:c r="K3310" s="2" t="n">
        <x:v>4</x:v>
      </x:c>
      <x:c r="L3310" s="2" t="str">
        <x:v>At risk</x:v>
      </x:c>
    </x:row>
    <x:row r="3311" ht="22" customHeight="1">
      <x:c r="A3311" s="2"/>
      <x:c r="B3311" s="2" t="str">
        <x:v>15650</x:v>
      </x:c>
      <x:c r="C3311" s="2" t="str">
        <x:v>United Kingdom</x:v>
      </x:c>
      <x:c r="D3311" s="25" t="n">
        <x:v>40258.28194444445</x:v>
      </x:c>
      <x:c r="E3311" s="25" t="n">
        <x:v>40365.236805555556</x:v>
      </x:c>
      <x:c r="F3311" s="2" t="n">
        <x:v>522</x:v>
      </x:c>
      <x:c r="G3311" s="2" t="n">
        <x:v>2</x:v>
      </x:c>
      <x:c r="H3311" s="11" t="n">
        <x:v>553.88</x:v>
      </x:c>
      <x:c r="I3311" s="2" t="n">
        <x:v>1</x:v>
      </x:c>
      <x:c r="J3311" s="2" t="n">
        <x:v>2</x:v>
      </x:c>
      <x:c r="K3311" s="2" t="n">
        <x:v>2</x:v>
      </x:c>
      <x:c r="L3311" s="2" t="str">
        <x:v>Hibernating</x:v>
      </x:c>
    </x:row>
    <x:row r="3312" ht="22" customHeight="1">
      <x:c r="A3312" s="2"/>
      <x:c r="B3312" s="2" t="str">
        <x:v>15651</x:v>
      </x:c>
      <x:c r="C3312" s="2" t="str">
        <x:v>United Kingdom</x:v>
      </x:c>
      <x:c r="D3312" s="25" t="n">
        <x:v>40290.35138888889</x:v>
      </x:c>
      <x:c r="E3312" s="25" t="n">
        <x:v>40850.15347222222</x:v>
      </x:c>
      <x:c r="F3312" s="2" t="n">
        <x:v>37</x:v>
      </x:c>
      <x:c r="G3312" s="2" t="n">
        <x:v>5</x:v>
      </x:c>
      <x:c r="H3312" s="11" t="n">
        <x:v>1259.06</x:v>
      </x:c>
      <x:c r="I3312" s="2" t="n">
        <x:v>4</x:v>
      </x:c>
      <x:c r="J3312" s="2" t="n">
        <x:v>4</x:v>
      </x:c>
      <x:c r="K3312" s="2" t="n">
        <x:v>4</x:v>
      </x:c>
      <x:c r="L3312" s="2" t="str">
        <x:v>Champions</x:v>
      </x:c>
    </x:row>
    <x:row r="3313" ht="22" customHeight="1">
      <x:c r="A3313" s="2"/>
      <x:c r="B3313" s="2" t="str">
        <x:v>15652</x:v>
      </x:c>
      <x:c r="C3313" s="2" t="str">
        <x:v>United Kingdom</x:v>
      </x:c>
      <x:c r="D3313" s="25" t="n">
        <x:v>40401.498611111114</x:v>
      </x:c>
      <x:c r="E3313" s="25" t="n">
        <x:v>40795.39027777778</x:v>
      </x:c>
      <x:c r="F3313" s="2" t="n">
        <x:v>92</x:v>
      </x:c>
      <x:c r="G3313" s="2" t="n">
        <x:v>5</x:v>
      </x:c>
      <x:c r="H3313" s="11" t="n">
        <x:v>1420.34</x:v>
      </x:c>
      <x:c r="I3313" s="2" t="n">
        <x:v>3</x:v>
      </x:c>
      <x:c r="J3313" s="2" t="n">
        <x:v>4</x:v>
      </x:c>
      <x:c r="K3313" s="2" t="n">
        <x:v>4</x:v>
      </x:c>
      <x:c r="L3313" s="2" t="str">
        <x:v>Loyal</x:v>
      </x:c>
    </x:row>
    <x:row r="3314" ht="22" customHeight="1">
      <x:c r="A3314" s="2"/>
      <x:c r="B3314" s="2" t="str">
        <x:v>15653</x:v>
      </x:c>
      <x:c r="C3314" s="2" t="str">
        <x:v>United Kingdom</x:v>
      </x:c>
      <x:c r="D3314" s="25" t="n">
        <x:v>40771.20138888889</x:v>
      </x:c>
      <x:c r="E3314" s="25" t="n">
        <x:v>40794.24236111111</x:v>
      </x:c>
      <x:c r="F3314" s="2" t="n">
        <x:v>93</x:v>
      </x:c>
      <x:c r="G3314" s="2" t="n">
        <x:v>2</x:v>
      </x:c>
      <x:c r="H3314" s="11" t="n">
        <x:v>877.44</x:v>
      </x:c>
      <x:c r="I3314" s="2" t="n">
        <x:v>3</x:v>
      </x:c>
      <x:c r="J3314" s="2" t="n">
        <x:v>2</x:v>
      </x:c>
      <x:c r="K3314" s="2" t="n">
        <x:v>3</x:v>
      </x:c>
      <x:c r="L3314" s="2" t="str">
        <x:v>Developing</x:v>
      </x:c>
    </x:row>
    <x:row r="3315" ht="22" customHeight="1">
      <x:c r="A3315" s="2"/>
      <x:c r="B3315" s="2" t="str">
        <x:v>15654</x:v>
      </x:c>
      <x:c r="C3315" s="2" t="str">
        <x:v>United Kingdom</x:v>
      </x:c>
      <x:c r="D3315" s="25" t="n">
        <x:v>40860.427083333336</x:v>
      </x:c>
      <x:c r="E3315" s="25" t="n">
        <x:v>40877.33888888889</x:v>
      </x:c>
      <x:c r="F3315" s="2" t="n">
        <x:v>10</x:v>
      </x:c>
      <x:c r="G3315" s="2" t="n">
        <x:v>2</x:v>
      </x:c>
      <x:c r="H3315" s="11" t="n">
        <x:v>922.53</x:v>
      </x:c>
      <x:c r="I3315" s="2" t="n">
        <x:v>5</x:v>
      </x:c>
      <x:c r="J3315" s="2" t="n">
        <x:v>2</x:v>
      </x:c>
      <x:c r="K3315" s="2" t="n">
        <x:v>3</x:v>
      </x:c>
      <x:c r="L3315" s="2" t="str">
        <x:v>Recent light buyers</x:v>
      </x:c>
    </x:row>
    <x:row r="3316" ht="22" customHeight="1">
      <x:c r="A3316" s="2"/>
      <x:c r="B3316" s="2" t="str">
        <x:v>15655</x:v>
      </x:c>
      <x:c r="C3316" s="2" t="str">
        <x:v>United Kingdom</x:v>
      </x:c>
      <x:c r="D3316" s="25" t="n">
        <x:v>40643.43402777778</x:v>
      </x:c>
      <x:c r="E3316" s="25" t="n">
        <x:v>40643.43402777778</x:v>
      </x:c>
      <x:c r="F3316" s="2" t="n">
        <x:v>244</x:v>
      </x:c>
      <x:c r="G3316" s="2" t="n">
        <x:v>1</x:v>
      </x:c>
      <x:c r="H3316" s="11" t="n">
        <x:v>560.67</x:v>
      </x:c>
      <x:c r="I3316" s="2" t="n">
        <x:v>2</x:v>
      </x:c>
      <x:c r="J3316" s="2" t="n">
        <x:v>1</x:v>
      </x:c>
      <x:c r="K3316" s="2" t="n">
        <x:v>2</x:v>
      </x:c>
      <x:c r="L3316" s="2" t="str">
        <x:v>Hibernating</x:v>
      </x:c>
    </x:row>
    <x:row r="3317" ht="22" customHeight="1">
      <x:c r="A3317" s="2"/>
      <x:c r="B3317" s="2" t="str">
        <x:v>15656</x:v>
      </x:c>
      <x:c r="C3317" s="2" t="str">
        <x:v>United Kingdom</x:v>
      </x:c>
      <x:c r="D3317" s="25" t="n">
        <x:v>40602.438888888886</x:v>
      </x:c>
      <x:c r="E3317" s="25" t="n">
        <x:v>40841.41388888889</x:v>
      </x:c>
      <x:c r="F3317" s="2" t="n">
        <x:v>46</x:v>
      </x:c>
      <x:c r="G3317" s="2" t="n">
        <x:v>4</x:v>
      </x:c>
      <x:c r="H3317" s="11" t="n">
        <x:v>748.5</x:v>
      </x:c>
      <x:c r="I3317" s="2" t="n">
        <x:v>4</x:v>
      </x:c>
      <x:c r="J3317" s="2" t="n">
        <x:v>3</x:v>
      </x:c>
      <x:c r="K3317" s="2" t="n">
        <x:v>3</x:v>
      </x:c>
      <x:c r="L3317" s="2" t="str">
        <x:v>Loyal</x:v>
      </x:c>
    </x:row>
    <x:row r="3318" ht="22" customHeight="1">
      <x:c r="A3318" s="2"/>
      <x:c r="B3318" s="2" t="str">
        <x:v>15657</x:v>
      </x:c>
      <x:c r="C3318" s="2" t="str">
        <x:v>United Kingdom</x:v>
      </x:c>
      <x:c r="D3318" s="25" t="n">
        <x:v>40864.30486111111</x:v>
      </x:c>
      <x:c r="E3318" s="25" t="n">
        <x:v>40864.30486111111</x:v>
      </x:c>
      <x:c r="F3318" s="2" t="n">
        <x:v>23</x:v>
      </x:c>
      <x:c r="G3318" s="2" t="n">
        <x:v>1</x:v>
      </x:c>
      <x:c r="H3318" s="11" t="n">
        <x:v>30</x:v>
      </x:c>
      <x:c r="I3318" s="2" t="n">
        <x:v>4</x:v>
      </x:c>
      <x:c r="J3318" s="2" t="n">
        <x:v>1</x:v>
      </x:c>
      <x:c r="K3318" s="2" t="n">
        <x:v>1</x:v>
      </x:c>
      <x:c r="L3318" s="2" t="str">
        <x:v>Recent light buyers</x:v>
      </x:c>
    </x:row>
    <x:row r="3319" ht="22" customHeight="1">
      <x:c r="A3319" s="2"/>
      <x:c r="B3319" s="2" t="str">
        <x:v>15658</x:v>
      </x:c>
      <x:c r="C3319" s="2" t="str">
        <x:v>United Kingdom</x:v>
      </x:c>
      <x:c r="D3319" s="25" t="n">
        <x:v>40150.263194444444</x:v>
      </x:c>
      <x:c r="E3319" s="25" t="n">
        <x:v>40696.43194444444</x:v>
      </x:c>
      <x:c r="F3319" s="2" t="n">
        <x:v>191</x:v>
      </x:c>
      <x:c r="G3319" s="2" t="n">
        <x:v>8</x:v>
      </x:c>
      <x:c r="H3319" s="11" t="n">
        <x:v>2117.27</x:v>
      </x:c>
      <x:c r="I3319" s="2" t="n">
        <x:v>2</x:v>
      </x:c>
      <x:c r="J3319" s="2" t="n">
        <x:v>4</x:v>
      </x:c>
      <x:c r="K3319" s="2" t="n">
        <x:v>4</x:v>
      </x:c>
      <x:c r="L3319" s="2" t="str">
        <x:v>At risk</x:v>
      </x:c>
    </x:row>
    <x:row r="3320" ht="22" customHeight="1">
      <x:c r="A3320" s="2"/>
      <x:c r="B3320" s="2" t="str">
        <x:v>15659</x:v>
      </x:c>
      <x:c r="C3320" s="2" t="str">
        <x:v>United Kingdom</x:v>
      </x:c>
      <x:c r="D3320" s="25" t="n">
        <x:v>40233.35555555556</x:v>
      </x:c>
      <x:c r="E3320" s="25" t="n">
        <x:v>40843.18263888889</x:v>
      </x:c>
      <x:c r="F3320" s="2" t="n">
        <x:v>44</x:v>
      </x:c>
      <x:c r="G3320" s="2" t="n">
        <x:v>3</x:v>
      </x:c>
      <x:c r="H3320" s="11" t="n">
        <x:v>532.49</x:v>
      </x:c>
      <x:c r="I3320" s="2" t="n">
        <x:v>4</x:v>
      </x:c>
      <x:c r="J3320" s="2" t="n">
        <x:v>3</x:v>
      </x:c>
      <x:c r="K3320" s="2" t="n">
        <x:v>2</x:v>
      </x:c>
      <x:c r="L3320" s="2" t="str">
        <x:v>Loyal</x:v>
      </x:c>
    </x:row>
    <x:row r="3321" ht="22" customHeight="1">
      <x:c r="A3321" s="2"/>
      <x:c r="B3321" s="2" t="str">
        <x:v>15660</x:v>
      </x:c>
      <x:c r="C3321" s="2" t="str">
        <x:v>United Kingdom</x:v>
      </x:c>
      <x:c r="D3321" s="25" t="n">
        <x:v>40214.459027777775</x:v>
      </x:c>
      <x:c r="E3321" s="25" t="n">
        <x:v>40861.498611111114</x:v>
      </x:c>
      <x:c r="F3321" s="2" t="n">
        <x:v>26</x:v>
      </x:c>
      <x:c r="G3321" s="2" t="n">
        <x:v>15</x:v>
      </x:c>
      <x:c r="H3321" s="11" t="n">
        <x:v>2603.69</x:v>
      </x:c>
      <x:c r="I3321" s="2" t="n">
        <x:v>4</x:v>
      </x:c>
      <x:c r="J3321" s="2" t="n">
        <x:v>5</x:v>
      </x:c>
      <x:c r="K3321" s="2" t="n">
        <x:v>4</x:v>
      </x:c>
      <x:c r="L3321" s="2" t="str">
        <x:v>Champions</x:v>
      </x:c>
    </x:row>
    <x:row r="3322" ht="22" customHeight="1">
      <x:c r="A3322" s="2"/>
      <x:c r="B3322" s="2" t="str">
        <x:v>15661</x:v>
      </x:c>
      <x:c r="C3322" s="2" t="str">
        <x:v>United Kingdom</x:v>
      </x:c>
      <x:c r="D3322" s="25" t="n">
        <x:v>40308.12430555555</x:v>
      </x:c>
      <x:c r="E3322" s="25" t="n">
        <x:v>40569.37222222222</x:v>
      </x:c>
      <x:c r="F3322" s="2" t="n">
        <x:v>318</x:v>
      </x:c>
      <x:c r="G3322" s="2" t="n">
        <x:v>8</x:v>
      </x:c>
      <x:c r="H3322" s="11" t="n">
        <x:v>1215.95</x:v>
      </x:c>
      <x:c r="I3322" s="2" t="n">
        <x:v>2</x:v>
      </x:c>
      <x:c r="J3322" s="2" t="n">
        <x:v>4</x:v>
      </x:c>
      <x:c r="K3322" s="2" t="n">
        <x:v>3</x:v>
      </x:c>
      <x:c r="L3322" s="2" t="str">
        <x:v>At risk</x:v>
      </x:c>
    </x:row>
    <x:row r="3323" ht="22" customHeight="1">
      <x:c r="A3323" s="2"/>
      <x:c r="B3323" s="2" t="str">
        <x:v>15662</x:v>
      </x:c>
      <x:c r="C3323" s="2" t="str">
        <x:v>United Kingdom</x:v>
      </x:c>
      <x:c r="D3323" s="25" t="n">
        <x:v>40148.36736111111</x:v>
      </x:c>
      <x:c r="E3323" s="25" t="n">
        <x:v>40225.49097222222</x:v>
      </x:c>
      <x:c r="F3323" s="2" t="n">
        <x:v>662</x:v>
      </x:c>
      <x:c r="G3323" s="2" t="n">
        <x:v>2</x:v>
      </x:c>
      <x:c r="H3323" s="11" t="n">
        <x:v>283.73</x:v>
      </x:c>
      <x:c r="I3323" s="2" t="n">
        <x:v>1</x:v>
      </x:c>
      <x:c r="J3323" s="2" t="n">
        <x:v>2</x:v>
      </x:c>
      <x:c r="K3323" s="2" t="n">
        <x:v>1</x:v>
      </x:c>
      <x:c r="L3323" s="2" t="str">
        <x:v>Hibernating</x:v>
      </x:c>
    </x:row>
    <x:row r="3324" ht="22" customHeight="1">
      <x:c r="A3324" s="2"/>
      <x:c r="B3324" s="2" t="str">
        <x:v>15663</x:v>
      </x:c>
      <x:c r="C3324" s="2" t="str">
        <x:v>United Kingdom</x:v>
      </x:c>
      <x:c r="D3324" s="25" t="n">
        <x:v>40780.45138888889</x:v>
      </x:c>
      <x:c r="E3324" s="25" t="n">
        <x:v>40780.45138888889</x:v>
      </x:c>
      <x:c r="F3324" s="2" t="n">
        <x:v>107</x:v>
      </x:c>
      <x:c r="G3324" s="2" t="n">
        <x:v>1</x:v>
      </x:c>
      <x:c r="H3324" s="11" t="n">
        <x:v>138.14</x:v>
      </x:c>
      <x:c r="I3324" s="2" t="n">
        <x:v>3</x:v>
      </x:c>
      <x:c r="J3324" s="2" t="n">
        <x:v>1</x:v>
      </x:c>
      <x:c r="K3324" s="2" t="n">
        <x:v>1</x:v>
      </x:c>
      <x:c r="L3324" s="2" t="str">
        <x:v>Developing</x:v>
      </x:c>
    </x:row>
    <x:row r="3325" ht="22" customHeight="1">
      <x:c r="A3325" s="2"/>
      <x:c r="B3325" s="2" t="str">
        <x:v>15664</x:v>
      </x:c>
      <x:c r="C3325" s="2" t="str">
        <x:v>United Kingdom</x:v>
      </x:c>
      <x:c r="D3325" s="25" t="n">
        <x:v>40237.32638888889</x:v>
      </x:c>
      <x:c r="E3325" s="25" t="n">
        <x:v>40836.24791666667</x:v>
      </x:c>
      <x:c r="F3325" s="2" t="n">
        <x:v>51</x:v>
      </x:c>
      <x:c r="G3325" s="2" t="n">
        <x:v>4</x:v>
      </x:c>
      <x:c r="H3325" s="11" t="n">
        <x:v>1254.03</x:v>
      </x:c>
      <x:c r="I3325" s="2" t="n">
        <x:v>4</x:v>
      </x:c>
      <x:c r="J3325" s="2" t="n">
        <x:v>3</x:v>
      </x:c>
      <x:c r="K3325" s="2" t="n">
        <x:v>4</x:v>
      </x:c>
      <x:c r="L3325" s="2" t="str">
        <x:v>Loyal</x:v>
      </x:c>
    </x:row>
    <x:row r="3326" ht="22" customHeight="1">
      <x:c r="A3326" s="2"/>
      <x:c r="B3326" s="2" t="str">
        <x:v>15665</x:v>
      </x:c>
      <x:c r="C3326" s="2" t="str">
        <x:v>United Kingdom</x:v>
      </x:c>
      <x:c r="D3326" s="25" t="n">
        <x:v>40251.42152777778</x:v>
      </x:c>
      <x:c r="E3326" s="25" t="n">
        <x:v>40718.41458333333</x:v>
      </x:c>
      <x:c r="F3326" s="2" t="n">
        <x:v>169</x:v>
      </x:c>
      <x:c r="G3326" s="2" t="n">
        <x:v>5</x:v>
      </x:c>
      <x:c r="H3326" s="11" t="n">
        <x:v>4015.12</x:v>
      </x:c>
      <x:c r="I3326" s="2" t="n">
        <x:v>3</x:v>
      </x:c>
      <x:c r="J3326" s="2" t="n">
        <x:v>4</x:v>
      </x:c>
      <x:c r="K3326" s="2" t="n">
        <x:v>5</x:v>
      </x:c>
      <x:c r="L3326" s="2" t="str">
        <x:v>Loyal</x:v>
      </x:c>
    </x:row>
    <x:row r="3327" ht="22" customHeight="1">
      <x:c r="A3327" s="2"/>
      <x:c r="B3327" s="2" t="str">
        <x:v>15666</x:v>
      </x:c>
      <x:c r="C3327" s="2" t="str">
        <x:v>United Kingdom</x:v>
      </x:c>
      <x:c r="D3327" s="25" t="n">
        <x:v>40391.44513888889</x:v>
      </x:c>
      <x:c r="E3327" s="25" t="n">
        <x:v>40414.46805555555</x:v>
      </x:c>
      <x:c r="F3327" s="2" t="n">
        <x:v>473</x:v>
      </x:c>
      <x:c r="G3327" s="2" t="n">
        <x:v>2</x:v>
      </x:c>
      <x:c r="H3327" s="11" t="n">
        <x:v>632.94</x:v>
      </x:c>
      <x:c r="I3327" s="2" t="n">
        <x:v>1</x:v>
      </x:c>
      <x:c r="J3327" s="2" t="n">
        <x:v>2</x:v>
      </x:c>
      <x:c r="K3327" s="2" t="n">
        <x:v>3</x:v>
      </x:c>
      <x:c r="L3327" s="2" t="str">
        <x:v>Hibernating</x:v>
      </x:c>
    </x:row>
    <x:row r="3328" ht="22" customHeight="1">
      <x:c r="A3328" s="2"/>
      <x:c r="B3328" s="2" t="str">
        <x:v>15667</x:v>
      </x:c>
      <x:c r="C3328" s="2" t="str">
        <x:v>United Kingdom</x:v>
      </x:c>
      <x:c r="D3328" s="25" t="n">
        <x:v>40847.24722222222</x:v>
      </x:c>
      <x:c r="E3328" s="25" t="n">
        <x:v>40847.24722222222</x:v>
      </x:c>
      <x:c r="F3328" s="2" t="n">
        <x:v>40</x:v>
      </x:c>
      <x:c r="G3328" s="2" t="n">
        <x:v>1</x:v>
      </x:c>
      <x:c r="H3328" s="11" t="n">
        <x:v>301.32</x:v>
      </x:c>
      <x:c r="I3328" s="2" t="n">
        <x:v>4</x:v>
      </x:c>
      <x:c r="J3328" s="2" t="n">
        <x:v>1</x:v>
      </x:c>
      <x:c r="K3328" s="2" t="n">
        <x:v>2</x:v>
      </x:c>
      <x:c r="L3328" s="2" t="str">
        <x:v>Recent light buyers</x:v>
      </x:c>
    </x:row>
    <x:row r="3329" ht="22" customHeight="1">
      <x:c r="A3329" s="2"/>
      <x:c r="B3329" s="2" t="str">
        <x:v>15668</x:v>
      </x:c>
      <x:c r="C3329" s="2" t="str">
        <x:v>United Kingdom</x:v>
      </x:c>
      <x:c r="D3329" s="25" t="n">
        <x:v>40669.23541666667</x:v>
      </x:c>
      <x:c r="E3329" s="25" t="n">
        <x:v>40669.23541666667</x:v>
      </x:c>
      <x:c r="F3329" s="2" t="n">
        <x:v>218</x:v>
      </x:c>
      <x:c r="G3329" s="2" t="n">
        <x:v>1</x:v>
      </x:c>
      <x:c r="H3329" s="11" t="n">
        <x:v>76.32</x:v>
      </x:c>
      <x:c r="I3329" s="2" t="n">
        <x:v>2</x:v>
      </x:c>
      <x:c r="J3329" s="2" t="n">
        <x:v>1</x:v>
      </x:c>
      <x:c r="K3329" s="2" t="n">
        <x:v>1</x:v>
      </x:c>
      <x:c r="L3329" s="2" t="str">
        <x:v>Hibernating</x:v>
      </x:c>
    </x:row>
    <x:row r="3330" ht="22" customHeight="1">
      <x:c r="A3330" s="2"/>
      <x:c r="B3330" s="2" t="str">
        <x:v>15669</x:v>
      </x:c>
      <x:c r="C3330" s="2" t="str">
        <x:v>United Kingdom</x:v>
      </x:c>
      <x:c r="D3330" s="25" t="n">
        <x:v>40623.17569444444</x:v>
      </x:c>
      <x:c r="E3330" s="25" t="n">
        <x:v>40846.46041666667</x:v>
      </x:c>
      <x:c r="F3330" s="2" t="n">
        <x:v>41</x:v>
      </x:c>
      <x:c r="G3330" s="2" t="n">
        <x:v>4</x:v>
      </x:c>
      <x:c r="H3330" s="11" t="n">
        <x:v>684.34</x:v>
      </x:c>
      <x:c r="I3330" s="2" t="n">
        <x:v>4</x:v>
      </x:c>
      <x:c r="J3330" s="2" t="n">
        <x:v>3</x:v>
      </x:c>
      <x:c r="K3330" s="2" t="n">
        <x:v>3</x:v>
      </x:c>
      <x:c r="L3330" s="2" t="str">
        <x:v>Loyal</x:v>
      </x:c>
    </x:row>
    <x:row r="3331" ht="22" customHeight="1">
      <x:c r="A3331" s="2"/>
      <x:c r="B3331" s="2" t="str">
        <x:v>15670</x:v>
      </x:c>
      <x:c r="C3331" s="2" t="str">
        <x:v>United Kingdom</x:v>
      </x:c>
      <x:c r="D3331" s="25" t="n">
        <x:v>40330.44027777778</x:v>
      </x:c>
      <x:c r="E3331" s="25" t="n">
        <x:v>40590.243055555555</x:v>
      </x:c>
      <x:c r="F3331" s="2" t="n">
        <x:v>297</x:v>
      </x:c>
      <x:c r="G3331" s="2" t="n">
        <x:v>2</x:v>
      </x:c>
      <x:c r="H3331" s="11" t="n">
        <x:v>325.2</x:v>
      </x:c>
      <x:c r="I3331" s="2" t="n">
        <x:v>2</x:v>
      </x:c>
      <x:c r="J3331" s="2" t="n">
        <x:v>2</x:v>
      </x:c>
      <x:c r="K3331" s="2" t="n">
        <x:v>2</x:v>
      </x:c>
      <x:c r="L3331" s="2" t="str">
        <x:v>Hibernating</x:v>
      </x:c>
    </x:row>
    <x:row r="3332" ht="22" customHeight="1">
      <x:c r="A3332" s="2"/>
      <x:c r="B3332" s="2" t="str">
        <x:v>15671</x:v>
      </x:c>
      <x:c r="C3332" s="2" t="str">
        <x:v>United Kingdom</x:v>
      </x:c>
      <x:c r="D3332" s="25" t="n">
        <x:v>40616.19236111111</x:v>
      </x:c>
      <x:c r="E3332" s="25" t="n">
        <x:v>40868.32152777778</x:v>
      </x:c>
      <x:c r="F3332" s="2" t="n">
        <x:v>19</x:v>
      </x:c>
      <x:c r="G3332" s="2" t="n">
        <x:v>7</x:v>
      </x:c>
      <x:c r="H3332" s="11" t="n">
        <x:v>2657.13</x:v>
      </x:c>
      <x:c r="I3332" s="2" t="n">
        <x:v>5</x:v>
      </x:c>
      <x:c r="J3332" s="2" t="n">
        <x:v>4</x:v>
      </x:c>
      <x:c r="K3332" s="2" t="n">
        <x:v>4</x:v>
      </x:c>
      <x:c r="L3332" s="2" t="str">
        <x:v>Champions</x:v>
      </x:c>
    </x:row>
    <x:row r="3333" ht="22" customHeight="1">
      <x:c r="A3333" s="2"/>
      <x:c r="B3333" s="2" t="str">
        <x:v>15672</x:v>
      </x:c>
      <x:c r="C3333" s="2" t="str">
        <x:v>United Kingdom</x:v>
      </x:c>
      <x:c r="D3333" s="25" t="n">
        <x:v>40161.49444444444</x:v>
      </x:c>
      <x:c r="E3333" s="25" t="n">
        <x:v>40161.49444444444</x:v>
      </x:c>
      <x:c r="F3333" s="2" t="n">
        <x:v>726</x:v>
      </x:c>
      <x:c r="G3333" s="2" t="n">
        <x:v>1</x:v>
      </x:c>
      <x:c r="H3333" s="11" t="n">
        <x:v>45.3</x:v>
      </x:c>
      <x:c r="I3333" s="2" t="n">
        <x:v>1</x:v>
      </x:c>
      <x:c r="J3333" s="2" t="n">
        <x:v>1</x:v>
      </x:c>
      <x:c r="K3333" s="2" t="n">
        <x:v>1</x:v>
      </x:c>
      <x:c r="L3333" s="2" t="str">
        <x:v>Hibernating</x:v>
      </x:c>
    </x:row>
    <x:row r="3334" ht="22" customHeight="1">
      <x:c r="A3334" s="2"/>
      <x:c r="B3334" s="2" t="str">
        <x:v>15673</x:v>
      </x:c>
      <x:c r="C3334" s="2" t="str">
        <x:v>United Kingdom</x:v>
      </x:c>
      <x:c r="D3334" s="25" t="n">
        <x:v>40231.39444444444</x:v>
      </x:c>
      <x:c r="E3334" s="25" t="n">
        <x:v>40798.46666666667</x:v>
      </x:c>
      <x:c r="F3334" s="2" t="n">
        <x:v>89</x:v>
      </x:c>
      <x:c r="G3334" s="2" t="n">
        <x:v>9</x:v>
      </x:c>
      <x:c r="H3334" s="11" t="n">
        <x:v>6414.79</x:v>
      </x:c>
      <x:c r="I3334" s="2" t="n">
        <x:v>3</x:v>
      </x:c>
      <x:c r="J3334" s="2" t="n">
        <x:v>5</x:v>
      </x:c>
      <x:c r="K3334" s="2" t="n">
        <x:v>5</x:v>
      </x:c>
      <x:c r="L3334" s="2" t="str">
        <x:v>Loyal</x:v>
      </x:c>
    </x:row>
    <x:row r="3335" ht="22" customHeight="1">
      <x:c r="A3335" s="2"/>
      <x:c r="B3335" s="2" t="str">
        <x:v>15674</x:v>
      </x:c>
      <x:c r="C3335" s="2" t="str">
        <x:v>United Kingdom</x:v>
      </x:c>
      <x:c r="D3335" s="25" t="n">
        <x:v>40155.50555555556</x:v>
      </x:c>
      <x:c r="E3335" s="25" t="n">
        <x:v>40813.42847222222</x:v>
      </x:c>
      <x:c r="F3335" s="2" t="n">
        <x:v>74</x:v>
      </x:c>
      <x:c r="G3335" s="2" t="n">
        <x:v>13</x:v>
      </x:c>
      <x:c r="H3335" s="11" t="n">
        <x:v>6948.23</x:v>
      </x:c>
      <x:c r="I3335" s="2" t="n">
        <x:v>3</x:v>
      </x:c>
      <x:c r="J3335" s="2" t="n">
        <x:v>5</x:v>
      </x:c>
      <x:c r="K3335" s="2" t="n">
        <x:v>5</x:v>
      </x:c>
      <x:c r="L3335" s="2" t="str">
        <x:v>Loyal</x:v>
      </x:c>
    </x:row>
    <x:row r="3336" ht="22" customHeight="1">
      <x:c r="A3336" s="2"/>
      <x:c r="B3336" s="2" t="str">
        <x:v>15675</x:v>
      </x:c>
      <x:c r="C3336" s="2" t="str">
        <x:v>United Kingdom</x:v>
      </x:c>
      <x:c r="D3336" s="25" t="n">
        <x:v>40482.384722222225</x:v>
      </x:c>
      <x:c r="E3336" s="25" t="n">
        <x:v>40805.36666666667</x:v>
      </x:c>
      <x:c r="F3336" s="2" t="n">
        <x:v>82</x:v>
      </x:c>
      <x:c r="G3336" s="2" t="n">
        <x:v>4</x:v>
      </x:c>
      <x:c r="H3336" s="11" t="n">
        <x:v>542.04</x:v>
      </x:c>
      <x:c r="I3336" s="2" t="n">
        <x:v>3</x:v>
      </x:c>
      <x:c r="J3336" s="2" t="n">
        <x:v>3</x:v>
      </x:c>
      <x:c r="K3336" s="2" t="n">
        <x:v>2</x:v>
      </x:c>
      <x:c r="L3336" s="2" t="str">
        <x:v>Loyal</x:v>
      </x:c>
    </x:row>
    <x:row r="3337" ht="22" customHeight="1">
      <x:c r="A3337" s="2"/>
      <x:c r="B3337" s="2" t="str">
        <x:v>15676</x:v>
      </x:c>
      <x:c r="C3337" s="2" t="str">
        <x:v>United Kingdom</x:v>
      </x:c>
      <x:c r="D3337" s="25" t="n">
        <x:v>40603.22152777778</x:v>
      </x:c>
      <x:c r="E3337" s="25" t="n">
        <x:v>40868.319444444445</x:v>
      </x:c>
      <x:c r="F3337" s="2" t="n">
        <x:v>19</x:v>
      </x:c>
      <x:c r="G3337" s="2" t="n">
        <x:v>3</x:v>
      </x:c>
      <x:c r="H3337" s="11" t="n">
        <x:v>3435.76</x:v>
      </x:c>
      <x:c r="I3337" s="2" t="n">
        <x:v>5</x:v>
      </x:c>
      <x:c r="J3337" s="2" t="n">
        <x:v>3</x:v>
      </x:c>
      <x:c r="K3337" s="2" t="n">
        <x:v>5</x:v>
      </x:c>
      <x:c r="L3337" s="2" t="str">
        <x:v>Loyal</x:v>
      </x:c>
    </x:row>
    <x:row r="3338" ht="22" customHeight="1">
      <x:c r="A3338" s="2"/>
      <x:c r="B3338" s="2" t="str">
        <x:v>15677</x:v>
      </x:c>
      <x:c r="C3338" s="2" t="str">
        <x:v>United Kingdom</x:v>
      </x:c>
      <x:c r="D3338" s="25" t="n">
        <x:v>40423.29722222222</x:v>
      </x:c>
      <x:c r="E3338" s="25" t="n">
        <x:v>40837.441666666666</x:v>
      </x:c>
      <x:c r="F3338" s="2" t="n">
        <x:v>50</x:v>
      </x:c>
      <x:c r="G3338" s="2" t="n">
        <x:v>3</x:v>
      </x:c>
      <x:c r="H3338" s="11" t="n">
        <x:v>1305.63</x:v>
      </x:c>
      <x:c r="I3338" s="2" t="n">
        <x:v>4</x:v>
      </x:c>
      <x:c r="J3338" s="2" t="n">
        <x:v>3</x:v>
      </x:c>
      <x:c r="K3338" s="2" t="n">
        <x:v>4</x:v>
      </x:c>
      <x:c r="L3338" s="2" t="str">
        <x:v>Loyal</x:v>
      </x:c>
    </x:row>
    <x:row r="3339" ht="22" customHeight="1">
      <x:c r="A3339" s="2"/>
      <x:c r="B3339" s="2" t="str">
        <x:v>15678</x:v>
      </x:c>
      <x:c r="C3339" s="2" t="str">
        <x:v>United Kingdom</x:v>
      </x:c>
      <x:c r="D3339" s="25" t="n">
        <x:v>40364.325694444444</x:v>
      </x:c>
      <x:c r="E3339" s="25" t="n">
        <x:v>40834.18402777778</x:v>
      </x:c>
      <x:c r="F3339" s="2" t="n">
        <x:v>53</x:v>
      </x:c>
      <x:c r="G3339" s="2" t="n">
        <x:v>3</x:v>
      </x:c>
      <x:c r="H3339" s="11" t="n">
        <x:v>1893.89</x:v>
      </x:c>
      <x:c r="I3339" s="2" t="n">
        <x:v>4</x:v>
      </x:c>
      <x:c r="J3339" s="2" t="n">
        <x:v>3</x:v>
      </x:c>
      <x:c r="K3339" s="2" t="n">
        <x:v>4</x:v>
      </x:c>
      <x:c r="L3339" s="2" t="str">
        <x:v>Loyal</x:v>
      </x:c>
    </x:row>
    <x:row r="3340" ht="22" customHeight="1">
      <x:c r="A3340" s="2"/>
      <x:c r="B3340" s="2" t="str">
        <x:v>15679</x:v>
      </x:c>
      <x:c r="C3340" s="2" t="str">
        <x:v>United Kingdom</x:v>
      </x:c>
      <x:c r="D3340" s="25" t="n">
        <x:v>40704.14166666667</x:v>
      </x:c>
      <x:c r="E3340" s="25" t="n">
        <x:v>40862.47152777778</x:v>
      </x:c>
      <x:c r="F3340" s="2" t="n">
        <x:v>25</x:v>
      </x:c>
      <x:c r="G3340" s="2" t="n">
        <x:v>4</x:v>
      </x:c>
      <x:c r="H3340" s="11" t="n">
        <x:v>781.28</x:v>
      </x:c>
      <x:c r="I3340" s="2" t="n">
        <x:v>4</x:v>
      </x:c>
      <x:c r="J3340" s="2" t="n">
        <x:v>3</x:v>
      </x:c>
      <x:c r="K3340" s="2" t="n">
        <x:v>3</x:v>
      </x:c>
      <x:c r="L3340" s="2" t="str">
        <x:v>Loyal</x:v>
      </x:c>
    </x:row>
    <x:row r="3341" ht="22" customHeight="1">
      <x:c r="A3341" s="2"/>
      <x:c r="B3341" s="2" t="str">
        <x:v>15680</x:v>
      </x:c>
      <x:c r="C3341" s="2" t="str">
        <x:v>United Kingdom</x:v>
      </x:c>
      <x:c r="D3341" s="25" t="n">
        <x:v>40149.302083333336</x:v>
      </x:c>
      <x:c r="E3341" s="25" t="n">
        <x:v>40877.365277777775</x:v>
      </x:c>
      <x:c r="F3341" s="2" t="n">
        <x:v>10</x:v>
      </x:c>
      <x:c r="G3341" s="2" t="n">
        <x:v>10</x:v>
      </x:c>
      <x:c r="H3341" s="11" t="n">
        <x:v>4028.69</x:v>
      </x:c>
      <x:c r="I3341" s="2" t="n">
        <x:v>5</x:v>
      </x:c>
      <x:c r="J3341" s="2" t="n">
        <x:v>5</x:v>
      </x:c>
      <x:c r="K3341" s="2" t="n">
        <x:v>5</x:v>
      </x:c>
      <x:c r="L3341" s="2" t="str">
        <x:v>Champions</x:v>
      </x:c>
    </x:row>
    <x:row r="3342" ht="22" customHeight="1">
      <x:c r="A3342" s="2"/>
      <x:c r="B3342" s="2" t="str">
        <x:v>15681</x:v>
      </x:c>
      <x:c r="C3342" s="2" t="str">
        <x:v>United Kingdom</x:v>
      </x:c>
      <x:c r="D3342" s="25" t="n">
        <x:v>40322.3875</x:v>
      </x:c>
      <x:c r="E3342" s="25" t="n">
        <x:v>40861.479166666664</x:v>
      </x:c>
      <x:c r="F3342" s="2" t="n">
        <x:v>26</x:v>
      </x:c>
      <x:c r="G3342" s="2" t="n">
        <x:v>14</x:v>
      </x:c>
      <x:c r="H3342" s="11" t="n">
        <x:v>2989.7</x:v>
      </x:c>
      <x:c r="I3342" s="2" t="n">
        <x:v>4</x:v>
      </x:c>
      <x:c r="J3342" s="2" t="n">
        <x:v>5</x:v>
      </x:c>
      <x:c r="K3342" s="2" t="n">
        <x:v>5</x:v>
      </x:c>
      <x:c r="L3342" s="2" t="str">
        <x:v>Champions</x:v>
      </x:c>
    </x:row>
    <x:row r="3343" ht="22" customHeight="1">
      <x:c r="A3343" s="2"/>
      <x:c r="B3343" s="2" t="str">
        <x:v>15682</x:v>
      </x:c>
      <x:c r="C3343" s="2" t="str">
        <x:v>United Kingdom</x:v>
      </x:c>
      <x:c r="D3343" s="25" t="n">
        <x:v>40199.40069444444</x:v>
      </x:c>
      <x:c r="E3343" s="25" t="n">
        <x:v>40287.4375</x:v>
      </x:c>
      <x:c r="F3343" s="2" t="n">
        <x:v>600</x:v>
      </x:c>
      <x:c r="G3343" s="2" t="n">
        <x:v>2</x:v>
      </x:c>
      <x:c r="H3343" s="11" t="n">
        <x:v>318.24</x:v>
      </x:c>
      <x:c r="I3343" s="2" t="n">
        <x:v>1</x:v>
      </x:c>
      <x:c r="J3343" s="2" t="n">
        <x:v>2</x:v>
      </x:c>
      <x:c r="K3343" s="2" t="n">
        <x:v>2</x:v>
      </x:c>
      <x:c r="L3343" s="2" t="str">
        <x:v>Hibernating</x:v>
      </x:c>
    </x:row>
    <x:row r="3344" ht="22" customHeight="1">
      <x:c r="A3344" s="2"/>
      <x:c r="B3344" s="2" t="str">
        <x:v>15683</x:v>
      </x:c>
      <x:c r="C3344" s="2" t="str">
        <x:v>United Kingdom</x:v>
      </x:c>
      <x:c r="D3344" s="25" t="n">
        <x:v>40413.29236111111</x:v>
      </x:c>
      <x:c r="E3344" s="25" t="n">
        <x:v>40769.330555555556</x:v>
      </x:c>
      <x:c r="F3344" s="2" t="n">
        <x:v>118</x:v>
      </x:c>
      <x:c r="G3344" s="2" t="n">
        <x:v>2</x:v>
      </x:c>
      <x:c r="H3344" s="11" t="n">
        <x:v>524.54</x:v>
      </x:c>
      <x:c r="I3344" s="2" t="n">
        <x:v>3</x:v>
      </x:c>
      <x:c r="J3344" s="2" t="n">
        <x:v>2</x:v>
      </x:c>
      <x:c r="K3344" s="2" t="n">
        <x:v>2</x:v>
      </x:c>
      <x:c r="L3344" s="2" t="str">
        <x:v>Developing</x:v>
      </x:c>
    </x:row>
    <x:row r="3345" ht="22" customHeight="1">
      <x:c r="A3345" s="2"/>
      <x:c r="B3345" s="2" t="str">
        <x:v>15684</x:v>
      </x:c>
      <x:c r="C3345" s="2" t="str">
        <x:v>United Kingdom</x:v>
      </x:c>
      <x:c r="D3345" s="25" t="n">
        <x:v>40151.467361111114</x:v>
      </x:c>
      <x:c r="E3345" s="25" t="n">
        <x:v>40339.57708333333</x:v>
      </x:c>
      <x:c r="F3345" s="2" t="n">
        <x:v>548</x:v>
      </x:c>
      <x:c r="G3345" s="2" t="n">
        <x:v>3</x:v>
      </x:c>
      <x:c r="H3345" s="11" t="n">
        <x:v>173.95</x:v>
      </x:c>
      <x:c r="I3345" s="2" t="n">
        <x:v>1</x:v>
      </x:c>
      <x:c r="J3345" s="2" t="n">
        <x:v>3</x:v>
      </x:c>
      <x:c r="K3345" s="2" t="n">
        <x:v>1</x:v>
      </x:c>
      <x:c r="L3345" s="2" t="str">
        <x:v>At risk</x:v>
      </x:c>
    </x:row>
    <x:row r="3346" ht="22" customHeight="1">
      <x:c r="A3346" s="2"/>
      <x:c r="B3346" s="2" t="str">
        <x:v>15685</x:v>
      </x:c>
      <x:c r="C3346" s="2" t="str">
        <x:v>United Kingdom</x:v>
      </x:c>
      <x:c r="D3346" s="25" t="n">
        <x:v>40436.36319444444</x:v>
      </x:c>
      <x:c r="E3346" s="25" t="n">
        <x:v>40436.36319444444</x:v>
      </x:c>
      <x:c r="F3346" s="2" t="n">
        <x:v>451</x:v>
      </x:c>
      <x:c r="G3346" s="2" t="n">
        <x:v>1</x:v>
      </x:c>
      <x:c r="H3346" s="11" t="n">
        <x:v>55.98</x:v>
      </x:c>
      <x:c r="I3346" s="2" t="n">
        <x:v>1</x:v>
      </x:c>
      <x:c r="J3346" s="2" t="n">
        <x:v>1</x:v>
      </x:c>
      <x:c r="K3346" s="2" t="n">
        <x:v>1</x:v>
      </x:c>
      <x:c r="L3346" s="2" t="str">
        <x:v>Hibernating</x:v>
      </x:c>
    </x:row>
    <x:row r="3347" ht="22" customHeight="1">
      <x:c r="A3347" s="2"/>
      <x:c r="B3347" s="2" t="str">
        <x:v>15686</x:v>
      </x:c>
      <x:c r="C3347" s="2" t="str">
        <x:v>United Kingdom</x:v>
      </x:c>
      <x:c r="D3347" s="25" t="n">
        <x:v>40466.368055555555</x:v>
      </x:c>
      <x:c r="E3347" s="25" t="n">
        <x:v>40466.368055555555</x:v>
      </x:c>
      <x:c r="F3347" s="2" t="n">
        <x:v>421</x:v>
      </x:c>
      <x:c r="G3347" s="2" t="n">
        <x:v>1</x:v>
      </x:c>
      <x:c r="H3347" s="11" t="n">
        <x:v>90</x:v>
      </x:c>
      <x:c r="I3347" s="2" t="n">
        <x:v>1</x:v>
      </x:c>
      <x:c r="J3347" s="2" t="n">
        <x:v>1</x:v>
      </x:c>
      <x:c r="K3347" s="2" t="n">
        <x:v>1</x:v>
      </x:c>
      <x:c r="L3347" s="2" t="str">
        <x:v>Hibernating</x:v>
      </x:c>
    </x:row>
    <x:row r="3348" ht="22" customHeight="1">
      <x:c r="A3348" s="2"/>
      <x:c r="B3348" s="2" t="str">
        <x:v>15687</x:v>
      </x:c>
      <x:c r="C3348" s="2" t="str">
        <x:v>United Kingdom</x:v>
      </x:c>
      <x:c r="D3348" s="25" t="n">
        <x:v>40556.42569444444</x:v>
      </x:c>
      <x:c r="E3348" s="25" t="n">
        <x:v>40878.14791666667</x:v>
      </x:c>
      <x:c r="F3348" s="2" t="n">
        <x:v>9</x:v>
      </x:c>
      <x:c r="G3348" s="2" t="n">
        <x:v>9</x:v>
      </x:c>
      <x:c r="H3348" s="11" t="n">
        <x:v>2993.1</x:v>
      </x:c>
      <x:c r="I3348" s="2" t="n">
        <x:v>5</x:v>
      </x:c>
      <x:c r="J3348" s="2" t="n">
        <x:v>5</x:v>
      </x:c>
      <x:c r="K3348" s="2" t="n">
        <x:v>5</x:v>
      </x:c>
      <x:c r="L3348" s="2" t="str">
        <x:v>Champions</x:v>
      </x:c>
    </x:row>
    <x:row r="3349" ht="22" customHeight="1">
      <x:c r="A3349" s="2"/>
      <x:c r="B3349" s="2" t="str">
        <x:v>15688</x:v>
      </x:c>
      <x:c r="C3349" s="2" t="str">
        <x:v>United Kingdom</x:v>
      </x:c>
      <x:c r="D3349" s="25" t="n">
        <x:v>40468.29583333333</x:v>
      </x:c>
      <x:c r="E3349" s="25" t="n">
        <x:v>40468.29583333333</x:v>
      </x:c>
      <x:c r="F3349" s="2" t="n">
        <x:v>419</x:v>
      </x:c>
      <x:c r="G3349" s="2" t="n">
        <x:v>1</x:v>
      </x:c>
      <x:c r="H3349" s="11" t="n">
        <x:v>190.57</x:v>
      </x:c>
      <x:c r="I3349" s="2" t="n">
        <x:v>1</x:v>
      </x:c>
      <x:c r="J3349" s="2" t="n">
        <x:v>1</x:v>
      </x:c>
      <x:c r="K3349" s="2" t="n">
        <x:v>1</x:v>
      </x:c>
      <x:c r="L3349" s="2" t="str">
        <x:v>Hibernating</x:v>
      </x:c>
    </x:row>
    <x:row r="3350" ht="22" customHeight="1">
      <x:c r="A3350" s="2"/>
      <x:c r="B3350" s="2" t="str">
        <x:v>15689</x:v>
      </x:c>
      <x:c r="C3350" s="2" t="str">
        <x:v>United Kingdom</x:v>
      </x:c>
      <x:c r="D3350" s="25" t="n">
        <x:v>40269.20347222222</x:v>
      </x:c>
      <x:c r="E3350" s="25" t="n">
        <x:v>40767.19236111111</x:v>
      </x:c>
      <x:c r="F3350" s="2" t="n">
        <x:v>120</x:v>
      </x:c>
      <x:c r="G3350" s="2" t="n">
        <x:v>3</x:v>
      </x:c>
      <x:c r="H3350" s="11" t="n">
        <x:v>521.03</x:v>
      </x:c>
      <x:c r="I3350" s="2" t="n">
        <x:v>3</x:v>
      </x:c>
      <x:c r="J3350" s="2" t="n">
        <x:v>3</x:v>
      </x:c>
      <x:c r="K3350" s="2" t="n">
        <x:v>2</x:v>
      </x:c>
      <x:c r="L3350" s="2" t="str">
        <x:v>Loyal</x:v>
      </x:c>
    </x:row>
    <x:row r="3351" ht="22" customHeight="1">
      <x:c r="A3351" s="2"/>
      <x:c r="B3351" s="2" t="str">
        <x:v>15690</x:v>
      </x:c>
      <x:c r="C3351" s="2" t="str">
        <x:v>United Kingdom</x:v>
      </x:c>
      <x:c r="D3351" s="25" t="n">
        <x:v>40786.27777777778</x:v>
      </x:c>
      <x:c r="E3351" s="25" t="n">
        <x:v>40882.45763888889</x:v>
      </x:c>
      <x:c r="F3351" s="2" t="n">
        <x:v>5</x:v>
      </x:c>
      <x:c r="G3351" s="2" t="n">
        <x:v>2</x:v>
      </x:c>
      <x:c r="H3351" s="11" t="n">
        <x:v>239.76</x:v>
      </x:c>
      <x:c r="I3351" s="2" t="n">
        <x:v>5</x:v>
      </x:c>
      <x:c r="J3351" s="2" t="n">
        <x:v>2</x:v>
      </x:c>
      <x:c r="K3351" s="2" t="n">
        <x:v>1</x:v>
      </x:c>
      <x:c r="L3351" s="2" t="str">
        <x:v>Recent light buyers</x:v>
      </x:c>
    </x:row>
    <x:row r="3352" ht="22" customHeight="1">
      <x:c r="A3352" s="2"/>
      <x:c r="B3352" s="2" t="str">
        <x:v>15691</x:v>
      </x:c>
      <x:c r="C3352" s="2" t="str">
        <x:v>United Kingdom</x:v>
      </x:c>
      <x:c r="D3352" s="25" t="n">
        <x:v>40153.459027777775</x:v>
      </x:c>
      <x:c r="E3352" s="25" t="n">
        <x:v>40634.42569444444</x:v>
      </x:c>
      <x:c r="F3352" s="2" t="n">
        <x:v>253</x:v>
      </x:c>
      <x:c r="G3352" s="2" t="n">
        <x:v>4</x:v>
      </x:c>
      <x:c r="H3352" s="11" t="n">
        <x:v>571.3</x:v>
      </x:c>
      <x:c r="I3352" s="2" t="n">
        <x:v>2</x:v>
      </x:c>
      <x:c r="J3352" s="2" t="n">
        <x:v>3</x:v>
      </x:c>
      <x:c r="K3352" s="2" t="n">
        <x:v>2</x:v>
      </x:c>
      <x:c r="L3352" s="2" t="str">
        <x:v>At risk</x:v>
      </x:c>
    </x:row>
    <x:row r="3353" ht="22" customHeight="1">
      <x:c r="A3353" s="2"/>
      <x:c r="B3353" s="2" t="str">
        <x:v>15692</x:v>
      </x:c>
      <x:c r="C3353" s="2" t="str">
        <x:v>United Kingdom</x:v>
      </x:c>
      <x:c r="D3353" s="25" t="n">
        <x:v>40858.38333333333</x:v>
      </x:c>
      <x:c r="E3353" s="25" t="n">
        <x:v>40858.38333333333</x:v>
      </x:c>
      <x:c r="F3353" s="2" t="n">
        <x:v>29</x:v>
      </x:c>
      <x:c r="G3353" s="2" t="n">
        <x:v>1</x:v>
      </x:c>
      <x:c r="H3353" s="11" t="n">
        <x:v>191.04</x:v>
      </x:c>
      <x:c r="I3353" s="2" t="n">
        <x:v>4</x:v>
      </x:c>
      <x:c r="J3353" s="2" t="n">
        <x:v>1</x:v>
      </x:c>
      <x:c r="K3353" s="2" t="n">
        <x:v>1</x:v>
      </x:c>
      <x:c r="L3353" s="2" t="str">
        <x:v>Recent light buyers</x:v>
      </x:c>
    </x:row>
    <x:row r="3354" ht="22" customHeight="1">
      <x:c r="A3354" s="2"/>
      <x:c r="B3354" s="2" t="str">
        <x:v>15693</x:v>
      </x:c>
      <x:c r="C3354" s="2" t="str">
        <x:v>United Kingdom</x:v>
      </x:c>
      <x:c r="D3354" s="25" t="n">
        <x:v>40227.40069444444</x:v>
      </x:c>
      <x:c r="E3354" s="25" t="n">
        <x:v>40227.40069444444</x:v>
      </x:c>
      <x:c r="F3354" s="2" t="n">
        <x:v>660</x:v>
      </x:c>
      <x:c r="G3354" s="2" t="n">
        <x:v>1</x:v>
      </x:c>
      <x:c r="H3354" s="11" t="n">
        <x:v>37.5</x:v>
      </x:c>
      <x:c r="I3354" s="2" t="n">
        <x:v>1</x:v>
      </x:c>
      <x:c r="J3354" s="2" t="n">
        <x:v>1</x:v>
      </x:c>
      <x:c r="K3354" s="2" t="n">
        <x:v>1</x:v>
      </x:c>
      <x:c r="L3354" s="2" t="str">
        <x:v>Hibernating</x:v>
      </x:c>
    </x:row>
    <x:row r="3355" ht="22" customHeight="1">
      <x:c r="A3355" s="2"/>
      <x:c r="B3355" s="2" t="str">
        <x:v>15694</x:v>
      </x:c>
      <x:c r="C3355" s="2" t="str">
        <x:v>United Kingdom</x:v>
      </x:c>
      <x:c r="D3355" s="25" t="n">
        <x:v>40154.44652777778</x:v>
      </x:c>
      <x:c r="E3355" s="25" t="n">
        <x:v>40886.197222222225</x:v>
      </x:c>
      <x:c r="F3355" s="2" t="n">
        <x:v>1</x:v>
      </x:c>
      <x:c r="G3355" s="2" t="n">
        <x:v>24</x:v>
      </x:c>
      <x:c r="H3355" s="11" t="n">
        <x:v>9978.48</x:v>
      </x:c>
      <x:c r="I3355" s="2" t="n">
        <x:v>5</x:v>
      </x:c>
      <x:c r="J3355" s="2" t="n">
        <x:v>5</x:v>
      </x:c>
      <x:c r="K3355" s="2" t="n">
        <x:v>5</x:v>
      </x:c>
      <x:c r="L3355" s="2" t="str">
        <x:v>Champions</x:v>
      </x:c>
    </x:row>
    <x:row r="3356" ht="22" customHeight="1">
      <x:c r="A3356" s="2"/>
      <x:c r="B3356" s="2" t="str">
        <x:v>15695</x:v>
      </x:c>
      <x:c r="C3356" s="2" t="str">
        <x:v>United Kingdom</x:v>
      </x:c>
      <x:c r="D3356" s="25" t="n">
        <x:v>40205.24722222222</x:v>
      </x:c>
      <x:c r="E3356" s="25" t="n">
        <x:v>40620.14722222222</x:v>
      </x:c>
      <x:c r="F3356" s="2" t="n">
        <x:v>267</x:v>
      </x:c>
      <x:c r="G3356" s="2" t="n">
        <x:v>4</x:v>
      </x:c>
      <x:c r="H3356" s="11" t="n">
        <x:v>1131.04</x:v>
      </x:c>
      <x:c r="I3356" s="2" t="n">
        <x:v>2</x:v>
      </x:c>
      <x:c r="J3356" s="2" t="n">
        <x:v>3</x:v>
      </x:c>
      <x:c r="K3356" s="2" t="n">
        <x:v>3</x:v>
      </x:c>
      <x:c r="L3356" s="2" t="str">
        <x:v>At risk</x:v>
      </x:c>
    </x:row>
    <x:row r="3357" ht="22" customHeight="1">
      <x:c r="A3357" s="2"/>
      <x:c r="B3357" s="2" t="str">
        <x:v>15696</x:v>
      </x:c>
      <x:c r="C3357" s="2" t="str">
        <x:v>United Kingdom</x:v>
      </x:c>
      <x:c r="D3357" s="25" t="n">
        <x:v>40202.4</x:v>
      </x:c>
      <x:c r="E3357" s="25" t="n">
        <x:v>40853.376388888886</x:v>
      </x:c>
      <x:c r="F3357" s="2" t="n">
        <x:v>34</x:v>
      </x:c>
      <x:c r="G3357" s="2" t="n">
        <x:v>13</x:v>
      </x:c>
      <x:c r="H3357" s="11" t="n">
        <x:v>3906.57</x:v>
      </x:c>
      <x:c r="I3357" s="2" t="n">
        <x:v>4</x:v>
      </x:c>
      <x:c r="J3357" s="2" t="n">
        <x:v>5</x:v>
      </x:c>
      <x:c r="K3357" s="2" t="n">
        <x:v>5</x:v>
      </x:c>
      <x:c r="L3357" s="2" t="str">
        <x:v>Champions</x:v>
      </x:c>
    </x:row>
    <x:row r="3358" ht="22" customHeight="1">
      <x:c r="A3358" s="2"/>
      <x:c r="B3358" s="2" t="str">
        <x:v>15697</x:v>
      </x:c>
      <x:c r="C3358" s="2" t="str">
        <x:v>United Kingdom</x:v>
      </x:c>
      <x:c r="D3358" s="25" t="n">
        <x:v>40197.17361111111</x:v>
      </x:c>
      <x:c r="E3358" s="25" t="n">
        <x:v>40197.17361111111</x:v>
      </x:c>
      <x:c r="F3358" s="2" t="n">
        <x:v>690</x:v>
      </x:c>
      <x:c r="G3358" s="2" t="n">
        <x:v>1</x:v>
      </x:c>
      <x:c r="H3358" s="11" t="n">
        <x:v>246.75</x:v>
      </x:c>
      <x:c r="I3358" s="2" t="n">
        <x:v>1</x:v>
      </x:c>
      <x:c r="J3358" s="2" t="n">
        <x:v>1</x:v>
      </x:c>
      <x:c r="K3358" s="2" t="n">
        <x:v>1</x:v>
      </x:c>
      <x:c r="L3358" s="2" t="str">
        <x:v>Hibernating</x:v>
      </x:c>
    </x:row>
    <x:row r="3359" ht="22" customHeight="1">
      <x:c r="A3359" s="2"/>
      <x:c r="B3359" s="2" t="str">
        <x:v>15698</x:v>
      </x:c>
      <x:c r="C3359" s="2" t="str">
        <x:v>United Kingdom</x:v>
      </x:c>
      <x:c r="D3359" s="25" t="n">
        <x:v>40262.52638888889</x:v>
      </x:c>
      <x:c r="E3359" s="25" t="n">
        <x:v>40262.52638888889</x:v>
      </x:c>
      <x:c r="F3359" s="2" t="n">
        <x:v>625</x:v>
      </x:c>
      <x:c r="G3359" s="2" t="n">
        <x:v>1</x:v>
      </x:c>
      <x:c r="H3359" s="11" t="n">
        <x:v>46.2</x:v>
      </x:c>
      <x:c r="I3359" s="2" t="n">
        <x:v>1</x:v>
      </x:c>
      <x:c r="J3359" s="2" t="n">
        <x:v>1</x:v>
      </x:c>
      <x:c r="K3359" s="2" t="n">
        <x:v>1</x:v>
      </x:c>
      <x:c r="L3359" s="2" t="str">
        <x:v>Hibernating</x:v>
      </x:c>
    </x:row>
    <x:row r="3360" ht="22" customHeight="1">
      <x:c r="A3360" s="2"/>
      <x:c r="B3360" s="2" t="str">
        <x:v>15699</x:v>
      </x:c>
      <x:c r="C3360" s="2" t="str">
        <x:v>United Kingdom</x:v>
      </x:c>
      <x:c r="D3360" s="25" t="n">
        <x:v>40869.143055555556</x:v>
      </x:c>
      <x:c r="E3360" s="25" t="n">
        <x:v>40869.143055555556</x:v>
      </x:c>
      <x:c r="F3360" s="2" t="n">
        <x:v>18</x:v>
      </x:c>
      <x:c r="G3360" s="2" t="n">
        <x:v>1</x:v>
      </x:c>
      <x:c r="H3360" s="11" t="n">
        <x:v>309.65</x:v>
      </x:c>
      <x:c r="I3360" s="2" t="n">
        <x:v>5</x:v>
      </x:c>
      <x:c r="J3360" s="2" t="n">
        <x:v>1</x:v>
      </x:c>
      <x:c r="K3360" s="2" t="n">
        <x:v>2</x:v>
      </x:c>
      <x:c r="L3360" s="2" t="str">
        <x:v>Recent light buyers</x:v>
      </x:c>
    </x:row>
    <x:row r="3361" ht="22" customHeight="1">
      <x:c r="A3361" s="2"/>
      <x:c r="B3361" s="2" t="str">
        <x:v>15700</x:v>
      </x:c>
      <x:c r="C3361" s="2" t="str">
        <x:v>United Kingdom</x:v>
      </x:c>
      <x:c r="D3361" s="25" t="n">
        <x:v>40713.441666666666</x:v>
      </x:c>
      <x:c r="E3361" s="25" t="n">
        <x:v>40714.49513888889</x:v>
      </x:c>
      <x:c r="F3361" s="2" t="n">
        <x:v>173</x:v>
      </x:c>
      <x:c r="G3361" s="2" t="n">
        <x:v>2</x:v>
      </x:c>
      <x:c r="H3361" s="11" t="n">
        <x:v>696.68</x:v>
      </x:c>
      <x:c r="I3361" s="2" t="n">
        <x:v>3</x:v>
      </x:c>
      <x:c r="J3361" s="2" t="n">
        <x:v>2</x:v>
      </x:c>
      <x:c r="K3361" s="2" t="n">
        <x:v>3</x:v>
      </x:c>
      <x:c r="L3361" s="2" t="str">
        <x:v>Developing</x:v>
      </x:c>
    </x:row>
    <x:row r="3362" ht="22" customHeight="1">
      <x:c r="A3362" s="2"/>
      <x:c r="B3362" s="2" t="str">
        <x:v>15701</x:v>
      </x:c>
      <x:c r="C3362" s="2" t="str">
        <x:v>United Kingdom</x:v>
      </x:c>
      <x:c r="D3362" s="25" t="n">
        <x:v>40776.316666666666</x:v>
      </x:c>
      <x:c r="E3362" s="25" t="n">
        <x:v>40884.402083333334</x:v>
      </x:c>
      <x:c r="F3362" s="2" t="n">
        <x:v>3</x:v>
      </x:c>
      <x:c r="G3362" s="2" t="n">
        <x:v>4</x:v>
      </x:c>
      <x:c r="H3362" s="11" t="n">
        <x:v>1542.14</x:v>
      </x:c>
      <x:c r="I3362" s="2" t="n">
        <x:v>5</x:v>
      </x:c>
      <x:c r="J3362" s="2" t="n">
        <x:v>3</x:v>
      </x:c>
      <x:c r="K3362" s="2" t="n">
        <x:v>4</x:v>
      </x:c>
      <x:c r="L3362" s="2" t="str">
        <x:v>Loyal</x:v>
      </x:c>
    </x:row>
    <x:row r="3363" ht="22" customHeight="1">
      <x:c r="A3363" s="2"/>
      <x:c r="B3363" s="2" t="str">
        <x:v>15702</x:v>
      </x:c>
      <x:c r="C3363" s="2" t="str">
        <x:v>Nigeria</x:v>
      </x:c>
      <x:c r="D3363" s="25" t="n">
        <x:v>40204.51597222222</x:v>
      </x:c>
      <x:c r="E3363" s="25" t="n">
        <x:v>40410.40972222222</x:v>
      </x:c>
      <x:c r="F3363" s="2" t="n">
        <x:v>477</x:v>
      </x:c>
      <x:c r="G3363" s="2" t="n">
        <x:v>2</x:v>
      </x:c>
      <x:c r="H3363" s="11" t="n">
        <x:v>140.39</x:v>
      </x:c>
      <x:c r="I3363" s="2" t="n">
        <x:v>1</x:v>
      </x:c>
      <x:c r="J3363" s="2" t="n">
        <x:v>2</x:v>
      </x:c>
      <x:c r="K3363" s="2" t="n">
        <x:v>1</x:v>
      </x:c>
      <x:c r="L3363" s="2" t="str">
        <x:v>Hibernating</x:v>
      </x:c>
    </x:row>
    <x:row r="3364" ht="22" customHeight="1">
      <x:c r="A3364" s="2"/>
      <x:c r="B3364" s="2" t="str">
        <x:v>15703</x:v>
      </x:c>
      <x:c r="C3364" s="2" t="str">
        <x:v>United Kingdom</x:v>
      </x:c>
      <x:c r="D3364" s="25" t="n">
        <x:v>40622.24375</x:v>
      </x:c>
      <x:c r="E3364" s="25" t="n">
        <x:v>40622.24375</x:v>
      </x:c>
      <x:c r="F3364" s="2" t="n">
        <x:v>265</x:v>
      </x:c>
      <x:c r="G3364" s="2" t="n">
        <x:v>1</x:v>
      </x:c>
      <x:c r="H3364" s="11" t="n">
        <x:v>211.5</x:v>
      </x:c>
      <x:c r="I3364" s="2" t="n">
        <x:v>2</x:v>
      </x:c>
      <x:c r="J3364" s="2" t="n">
        <x:v>1</x:v>
      </x:c>
      <x:c r="K3364" s="2" t="n">
        <x:v>1</x:v>
      </x:c>
      <x:c r="L3364" s="2" t="str">
        <x:v>Hibernating</x:v>
      </x:c>
    </x:row>
    <x:row r="3365" ht="22" customHeight="1">
      <x:c r="A3365" s="2"/>
      <x:c r="B3365" s="2" t="str">
        <x:v>15704</x:v>
      </x:c>
      <x:c r="C3365" s="2" t="str">
        <x:v>United Kingdom</x:v>
      </x:c>
      <x:c r="D3365" s="25" t="n">
        <x:v>40303.410416666666</x:v>
      </x:c>
      <x:c r="E3365" s="25" t="n">
        <x:v>40746.35763888889</x:v>
      </x:c>
      <x:c r="F3365" s="2" t="n">
        <x:v>141</x:v>
      </x:c>
      <x:c r="G3365" s="2" t="n">
        <x:v>6</x:v>
      </x:c>
      <x:c r="H3365" s="11" t="n">
        <x:v>3817.96</x:v>
      </x:c>
      <x:c r="I3365" s="2" t="n">
        <x:v>3</x:v>
      </x:c>
      <x:c r="J3365" s="2" t="n">
        <x:v>4</x:v>
      </x:c>
      <x:c r="K3365" s="2" t="n">
        <x:v>5</x:v>
      </x:c>
      <x:c r="L3365" s="2" t="str">
        <x:v>Loyal</x:v>
      </x:c>
    </x:row>
    <x:row r="3366" ht="22" customHeight="1">
      <x:c r="A3366" s="2"/>
      <x:c r="B3366" s="2" t="str">
        <x:v>15705</x:v>
      </x:c>
      <x:c r="C3366" s="2" t="str">
        <x:v>United Kingdom</x:v>
      </x:c>
      <x:c r="D3366" s="25" t="n">
        <x:v>40685.44236111111</x:v>
      </x:c>
      <x:c r="E3366" s="25" t="n">
        <x:v>40685.44236111111</x:v>
      </x:c>
      <x:c r="F3366" s="2" t="n">
        <x:v>202</x:v>
      </x:c>
      <x:c r="G3366" s="2" t="n">
        <x:v>1</x:v>
      </x:c>
      <x:c r="H3366" s="11" t="n">
        <x:v>143.1</x:v>
      </x:c>
      <x:c r="I3366" s="2" t="n">
        <x:v>2</x:v>
      </x:c>
      <x:c r="J3366" s="2" t="n">
        <x:v>1</x:v>
      </x:c>
      <x:c r="K3366" s="2" t="n">
        <x:v>1</x:v>
      </x:c>
      <x:c r="L3366" s="2" t="str">
        <x:v>Hibernating</x:v>
      </x:c>
    </x:row>
    <x:row r="3367" ht="22" customHeight="1">
      <x:c r="A3367" s="2"/>
      <x:c r="B3367" s="2" t="str">
        <x:v>15706</x:v>
      </x:c>
      <x:c r="C3367" s="2" t="str">
        <x:v>United Kingdom</x:v>
      </x:c>
      <x:c r="D3367" s="25" t="n">
        <x:v>40770.39722222222</x:v>
      </x:c>
      <x:c r="E3367" s="25" t="n">
        <x:v>40823.214583333334</x:v>
      </x:c>
      <x:c r="F3367" s="2" t="n">
        <x:v>64</x:v>
      </x:c>
      <x:c r="G3367" s="2" t="n">
        <x:v>4</x:v>
      </x:c>
      <x:c r="H3367" s="11" t="n">
        <x:v>1060.56</x:v>
      </x:c>
      <x:c r="I3367" s="2" t="n">
        <x:v>3</x:v>
      </x:c>
      <x:c r="J3367" s="2" t="n">
        <x:v>3</x:v>
      </x:c>
      <x:c r="K3367" s="2" t="n">
        <x:v>3</x:v>
      </x:c>
      <x:c r="L3367" s="2" t="str">
        <x:v>Loyal</x:v>
      </x:c>
    </x:row>
    <x:row r="3368" ht="22" customHeight="1">
      <x:c r="A3368" s="2"/>
      <x:c r="B3368" s="2" t="str">
        <x:v>15707</x:v>
      </x:c>
      <x:c r="C3368" s="2" t="str">
        <x:v>United Kingdom</x:v>
      </x:c>
      <x:c r="D3368" s="25" t="n">
        <x:v>40800.388194444444</x:v>
      </x:c>
      <x:c r="E3368" s="25" t="n">
        <x:v>40851.399305555555</x:v>
      </x:c>
      <x:c r="F3368" s="2" t="n">
        <x:v>36</x:v>
      </x:c>
      <x:c r="G3368" s="2" t="n">
        <x:v>4</x:v>
      </x:c>
      <x:c r="H3368" s="11" t="n">
        <x:v>945.58</x:v>
      </x:c>
      <x:c r="I3368" s="2" t="n">
        <x:v>4</x:v>
      </x:c>
      <x:c r="J3368" s="2" t="n">
        <x:v>3</x:v>
      </x:c>
      <x:c r="K3368" s="2" t="n">
        <x:v>3</x:v>
      </x:c>
      <x:c r="L3368" s="2" t="str">
        <x:v>Loyal</x:v>
      </x:c>
    </x:row>
    <x:row r="3369" ht="22" customHeight="1">
      <x:c r="A3369" s="2"/>
      <x:c r="B3369" s="2" t="str">
        <x:v>15708</x:v>
      </x:c>
      <x:c r="C3369" s="2" t="str">
        <x:v>United Kingdom</x:v>
      </x:c>
      <x:c r="D3369" s="25" t="n">
        <x:v>40461.27291666667</x:v>
      </x:c>
      <x:c r="E3369" s="25" t="n">
        <x:v>40846.245833333334</x:v>
      </x:c>
      <x:c r="F3369" s="2" t="n">
        <x:v>41</x:v>
      </x:c>
      <x:c r="G3369" s="2" t="n">
        <x:v>9</x:v>
      </x:c>
      <x:c r="H3369" s="11" t="n">
        <x:v>4028.04</x:v>
      </x:c>
      <x:c r="I3369" s="2" t="n">
        <x:v>4</x:v>
      </x:c>
      <x:c r="J3369" s="2" t="n">
        <x:v>5</x:v>
      </x:c>
      <x:c r="K3369" s="2" t="n">
        <x:v>5</x:v>
      </x:c>
      <x:c r="L3369" s="2" t="str">
        <x:v>Champions</x:v>
      </x:c>
    </x:row>
    <x:row r="3370" ht="22" customHeight="1">
      <x:c r="A3370" s="2"/>
      <x:c r="B3370" s="2" t="str">
        <x:v>15709</x:v>
      </x:c>
      <x:c r="C3370" s="2" t="str">
        <x:v>United Kingdom</x:v>
      </x:c>
      <x:c r="D3370" s="25" t="n">
        <x:v>40297.56319444445</x:v>
      </x:c>
      <x:c r="E3370" s="25" t="n">
        <x:v>40603.23472222222</x:v>
      </x:c>
      <x:c r="F3370" s="2" t="n">
        <x:v>284</x:v>
      </x:c>
      <x:c r="G3370" s="2" t="n">
        <x:v>2</x:v>
      </x:c>
      <x:c r="H3370" s="11" t="n">
        <x:v>327.85</x:v>
      </x:c>
      <x:c r="I3370" s="2" t="n">
        <x:v>2</x:v>
      </x:c>
      <x:c r="J3370" s="2" t="n">
        <x:v>2</x:v>
      </x:c>
      <x:c r="K3370" s="2" t="n">
        <x:v>2</x:v>
      </x:c>
      <x:c r="L3370" s="2" t="str">
        <x:v>Hibernating</x:v>
      </x:c>
    </x:row>
    <x:row r="3371" ht="22" customHeight="1">
      <x:c r="A3371" s="2"/>
      <x:c r="B3371" s="2" t="str">
        <x:v>15710</x:v>
      </x:c>
      <x:c r="C3371" s="2" t="str">
        <x:v>United Kingdom</x:v>
      </x:c>
      <x:c r="D3371" s="25" t="n">
        <x:v>40469.50347222222</x:v>
      </x:c>
      <x:c r="E3371" s="25" t="n">
        <x:v>40469.50347222222</x:v>
      </x:c>
      <x:c r="F3371" s="2" t="n">
        <x:v>418</x:v>
      </x:c>
      <x:c r="G3371" s="2" t="n">
        <x:v>1</x:v>
      </x:c>
      <x:c r="H3371" s="11" t="n">
        <x:v>898.87</x:v>
      </x:c>
      <x:c r="I3371" s="2" t="n">
        <x:v>1</x:v>
      </x:c>
      <x:c r="J3371" s="2" t="n">
        <x:v>1</x:v>
      </x:c>
      <x:c r="K3371" s="2" t="n">
        <x:v>3</x:v>
      </x:c>
      <x:c r="L3371" s="2" t="str">
        <x:v>Hibernating</x:v>
      </x:c>
    </x:row>
    <x:row r="3372" ht="22" customHeight="1">
      <x:c r="A3372" s="2"/>
      <x:c r="B3372" s="2" t="str">
        <x:v>15711</x:v>
      </x:c>
      <x:c r="C3372" s="2" t="str">
        <x:v>United Kingdom</x:v>
      </x:c>
      <x:c r="D3372" s="25" t="n">
        <x:v>40202.30069444444</x:v>
      </x:c>
      <x:c r="E3372" s="25" t="n">
        <x:v>40330.30138888889</x:v>
      </x:c>
      <x:c r="F3372" s="2" t="n">
        <x:v>557</x:v>
      </x:c>
      <x:c r="G3372" s="2" t="n">
        <x:v>2</x:v>
      </x:c>
      <x:c r="H3372" s="11" t="n">
        <x:v>420.25</x:v>
      </x:c>
      <x:c r="I3372" s="2" t="n">
        <x:v>1</x:v>
      </x:c>
      <x:c r="J3372" s="2" t="n">
        <x:v>2</x:v>
      </x:c>
      <x:c r="K3372" s="2" t="n">
        <x:v>2</x:v>
      </x:c>
      <x:c r="L3372" s="2" t="str">
        <x:v>Hibernating</x:v>
      </x:c>
    </x:row>
    <x:row r="3373" ht="22" customHeight="1">
      <x:c r="A3373" s="2"/>
      <x:c r="B3373" s="2" t="str">
        <x:v>15712</x:v>
      </x:c>
      <x:c r="C3373" s="2" t="str">
        <x:v>United Kingdom</x:v>
      </x:c>
      <x:c r="D3373" s="25" t="n">
        <x:v>40148.26180555556</x:v>
      </x:c>
      <x:c r="E3373" s="25" t="n">
        <x:v>40877.38125</x:v>
      </x:c>
      <x:c r="F3373" s="2" t="n">
        <x:v>10</x:v>
      </x:c>
      <x:c r="G3373" s="2" t="n">
        <x:v>12</x:v>
      </x:c>
      <x:c r="H3373" s="11" t="n">
        <x:v>3472.41</x:v>
      </x:c>
      <x:c r="I3373" s="2" t="n">
        <x:v>5</x:v>
      </x:c>
      <x:c r="J3373" s="2" t="n">
        <x:v>5</x:v>
      </x:c>
      <x:c r="K3373" s="2" t="n">
        <x:v>5</x:v>
      </x:c>
      <x:c r="L3373" s="2" t="str">
        <x:v>Champions</x:v>
      </x:c>
    </x:row>
    <x:row r="3374" ht="22" customHeight="1">
      <x:c r="A3374" s="2"/>
      <x:c r="B3374" s="2" t="str">
        <x:v>15713</x:v>
      </x:c>
      <x:c r="C3374" s="2" t="str">
        <x:v>United Kingdom</x:v>
      </x:c>
      <x:c r="D3374" s="25" t="n">
        <x:v>40163.19513888889</x:v>
      </x:c>
      <x:c r="E3374" s="25" t="n">
        <x:v>40743.356944444444</x:v>
      </x:c>
      <x:c r="F3374" s="2" t="n">
        <x:v>144</x:v>
      </x:c>
      <x:c r="G3374" s="2" t="n">
        <x:v>4</x:v>
      </x:c>
      <x:c r="H3374" s="11" t="n">
        <x:v>839.64</x:v>
      </x:c>
      <x:c r="I3374" s="2" t="n">
        <x:v>3</x:v>
      </x:c>
      <x:c r="J3374" s="2" t="n">
        <x:v>3</x:v>
      </x:c>
      <x:c r="K3374" s="2" t="n">
        <x:v>3</x:v>
      </x:c>
      <x:c r="L3374" s="2" t="str">
        <x:v>Loyal</x:v>
      </x:c>
    </x:row>
    <x:row r="3375" ht="22" customHeight="1">
      <x:c r="A3375" s="2"/>
      <x:c r="B3375" s="2" t="str">
        <x:v>15714</x:v>
      </x:c>
      <x:c r="C3375" s="2" t="str">
        <x:v>United Kingdom</x:v>
      </x:c>
      <x:c r="D3375" s="25" t="n">
        <x:v>40331.29722222222</x:v>
      </x:c>
      <x:c r="E3375" s="25" t="n">
        <x:v>40875.268055555556</x:v>
      </x:c>
      <x:c r="F3375" s="2" t="n">
        <x:v>12</x:v>
      </x:c>
      <x:c r="G3375" s="2" t="n">
        <x:v>5</x:v>
      </x:c>
      <x:c r="H3375" s="11" t="n">
        <x:v>784.81</x:v>
      </x:c>
      <x:c r="I3375" s="2" t="n">
        <x:v>5</x:v>
      </x:c>
      <x:c r="J3375" s="2" t="n">
        <x:v>4</x:v>
      </x:c>
      <x:c r="K3375" s="2" t="n">
        <x:v>3</x:v>
      </x:c>
      <x:c r="L3375" s="2" t="str">
        <x:v>Loyal</x:v>
      </x:c>
    </x:row>
    <x:row r="3376" ht="22" customHeight="1">
      <x:c r="A3376" s="2"/>
      <x:c r="B3376" s="2" t="str">
        <x:v>15715</x:v>
      </x:c>
      <x:c r="C3376" s="2" t="str">
        <x:v>United Kingdom</x:v>
      </x:c>
      <x:c r="D3376" s="25" t="n">
        <x:v>40267.30347222222</x:v>
      </x:c>
      <x:c r="E3376" s="25" t="n">
        <x:v>40331.205555555556</x:v>
      </x:c>
      <x:c r="F3376" s="2" t="n">
        <x:v>556</x:v>
      </x:c>
      <x:c r="G3376" s="2" t="n">
        <x:v>5</x:v>
      </x:c>
      <x:c r="H3376" s="11" t="n">
        <x:v>658.02</x:v>
      </x:c>
      <x:c r="I3376" s="2" t="n">
        <x:v>1</x:v>
      </x:c>
      <x:c r="J3376" s="2" t="n">
        <x:v>4</x:v>
      </x:c>
      <x:c r="K3376" s="2" t="n">
        <x:v>3</x:v>
      </x:c>
      <x:c r="L3376" s="2" t="str">
        <x:v>At risk</x:v>
      </x:c>
    </x:row>
    <x:row r="3377" ht="22" customHeight="1">
      <x:c r="A3377" s="2"/>
      <x:c r="B3377" s="2" t="str">
        <x:v>15716</x:v>
      </x:c>
      <x:c r="C3377" s="2" t="str">
        <x:v>United Kingdom</x:v>
      </x:c>
      <x:c r="D3377" s="25" t="n">
        <x:v>40154.32083333333</x:v>
      </x:c>
      <x:c r="E3377" s="25" t="n">
        <x:v>40741.290972222225</x:v>
      </x:c>
      <x:c r="F3377" s="2" t="n">
        <x:v>146</x:v>
      </x:c>
      <x:c r="G3377" s="2" t="n">
        <x:v>11</x:v>
      </x:c>
      <x:c r="H3377" s="11" t="n">
        <x:v>2509.71</x:v>
      </x:c>
      <x:c r="I3377" s="2" t="n">
        <x:v>3</x:v>
      </x:c>
      <x:c r="J3377" s="2" t="n">
        <x:v>5</x:v>
      </x:c>
      <x:c r="K3377" s="2" t="n">
        <x:v>4</x:v>
      </x:c>
      <x:c r="L3377" s="2" t="str">
        <x:v>Loyal</x:v>
      </x:c>
    </x:row>
    <x:row r="3378" ht="22" customHeight="1">
      <x:c r="A3378" s="2"/>
      <x:c r="B3378" s="2" t="str">
        <x:v>15717</x:v>
      </x:c>
      <x:c r="C3378" s="2" t="str">
        <x:v>United Kingdom</x:v>
      </x:c>
      <x:c r="D3378" s="25" t="n">
        <x:v>40294.236805555556</x:v>
      </x:c>
      <x:c r="E3378" s="25" t="n">
        <x:v>40652.347916666666</x:v>
      </x:c>
      <x:c r="F3378" s="2" t="n">
        <x:v>235</x:v>
      </x:c>
      <x:c r="G3378" s="2" t="n">
        <x:v>5</x:v>
      </x:c>
      <x:c r="H3378" s="11" t="n">
        <x:v>607</x:v>
      </x:c>
      <x:c r="I3378" s="2" t="n">
        <x:v>2</x:v>
      </x:c>
      <x:c r="J3378" s="2" t="n">
        <x:v>4</x:v>
      </x:c>
      <x:c r="K3378" s="2" t="n">
        <x:v>2</x:v>
      </x:c>
      <x:c r="L3378" s="2" t="str">
        <x:v>At risk</x:v>
      </x:c>
    </x:row>
    <x:row r="3379" ht="22" customHeight="1">
      <x:c r="A3379" s="2"/>
      <x:c r="B3379" s="2" t="str">
        <x:v>15718</x:v>
      </x:c>
      <x:c r="C3379" s="2" t="str">
        <x:v>United Kingdom</x:v>
      </x:c>
      <x:c r="D3379" s="25" t="n">
        <x:v>40346.47222222222</x:v>
      </x:c>
      <x:c r="E3379" s="25" t="n">
        <x:v>40346.47222222222</x:v>
      </x:c>
      <x:c r="F3379" s="2" t="n">
        <x:v>541</x:v>
      </x:c>
      <x:c r="G3379" s="2" t="n">
        <x:v>1</x:v>
      </x:c>
      <x:c r="H3379" s="11" t="n">
        <x:v>293.79</x:v>
      </x:c>
      <x:c r="I3379" s="2" t="n">
        <x:v>1</x:v>
      </x:c>
      <x:c r="J3379" s="2" t="n">
        <x:v>1</x:v>
      </x:c>
      <x:c r="K3379" s="2" t="n">
        <x:v>2</x:v>
      </x:c>
      <x:c r="L3379" s="2" t="str">
        <x:v>Hibernating</x:v>
      </x:c>
    </x:row>
    <x:row r="3380" ht="22" customHeight="1">
      <x:c r="A3380" s="2"/>
      <x:c r="B3380" s="2" t="str">
        <x:v>15719</x:v>
      </x:c>
      <x:c r="C3380" s="2" t="str">
        <x:v>United Kingdom</x:v>
      </x:c>
      <x:c r="D3380" s="25" t="n">
        <x:v>40148.32430555556</x:v>
      </x:c>
      <x:c r="E3380" s="25" t="n">
        <x:v>40854.31180555555</x:v>
      </x:c>
      <x:c r="F3380" s="2" t="n">
        <x:v>33</x:v>
      </x:c>
      <x:c r="G3380" s="2" t="n">
        <x:v>31</x:v>
      </x:c>
      <x:c r="H3380" s="11" t="n">
        <x:v>10223.06</x:v>
      </x:c>
      <x:c r="I3380" s="2" t="n">
        <x:v>4</x:v>
      </x:c>
      <x:c r="J3380" s="2" t="n">
        <x:v>5</x:v>
      </x:c>
      <x:c r="K3380" s="2" t="n">
        <x:v>5</x:v>
      </x:c>
      <x:c r="L3380" s="2" t="str">
        <x:v>Champions</x:v>
      </x:c>
    </x:row>
    <x:row r="3381" ht="22" customHeight="1">
      <x:c r="A3381" s="2"/>
      <x:c r="B3381" s="2" t="str">
        <x:v>15720</x:v>
      </x:c>
      <x:c r="C3381" s="2" t="str">
        <x:v>United Kingdom</x:v>
      </x:c>
      <x:c r="D3381" s="25" t="n">
        <x:v>40336.444444444445</x:v>
      </x:c>
      <x:c r="E3381" s="25" t="n">
        <x:v>40862.40833333333</x:v>
      </x:c>
      <x:c r="F3381" s="2" t="n">
        <x:v>25</x:v>
      </x:c>
      <x:c r="G3381" s="2" t="n">
        <x:v>2</x:v>
      </x:c>
      <x:c r="H3381" s="11" t="n">
        <x:v>741.92</x:v>
      </x:c>
      <x:c r="I3381" s="2" t="n">
        <x:v>4</x:v>
      </x:c>
      <x:c r="J3381" s="2" t="n">
        <x:v>2</x:v>
      </x:c>
      <x:c r="K3381" s="2" t="n">
        <x:v>3</x:v>
      </x:c>
      <x:c r="L3381" s="2" t="str">
        <x:v>Recent light buyers</x:v>
      </x:c>
    </x:row>
    <x:row r="3382" ht="22" customHeight="1">
      <x:c r="A3382" s="2"/>
      <x:c r="B3382" s="2" t="str">
        <x:v>15721</x:v>
      </x:c>
      <x:c r="C3382" s="2" t="str">
        <x:v>United Kingdom</x:v>
      </x:c>
      <x:c r="D3382" s="25" t="n">
        <x:v>40875.30138888889</x:v>
      </x:c>
      <x:c r="E3382" s="25" t="n">
        <x:v>40875.30138888889</x:v>
      </x:c>
      <x:c r="F3382" s="2" t="n">
        <x:v>12</x:v>
      </x:c>
      <x:c r="G3382" s="2" t="n">
        <x:v>1</x:v>
      </x:c>
      <x:c r="H3382" s="11" t="n">
        <x:v>507.08</x:v>
      </x:c>
      <x:c r="I3382" s="2" t="n">
        <x:v>5</x:v>
      </x:c>
      <x:c r="J3382" s="2" t="n">
        <x:v>1</x:v>
      </x:c>
      <x:c r="K3382" s="2" t="n">
        <x:v>2</x:v>
      </x:c>
      <x:c r="L3382" s="2" t="str">
        <x:v>Recent light buyers</x:v>
      </x:c>
    </x:row>
    <x:row r="3383" ht="22" customHeight="1">
      <x:c r="A3383" s="2"/>
      <x:c r="B3383" s="2" t="str">
        <x:v>15722</x:v>
      </x:c>
      <x:c r="C3383" s="2" t="str">
        <x:v>United Kingdom</x:v>
      </x:c>
      <x:c r="D3383" s="25" t="n">
        <x:v>40246.42013888889</x:v>
      </x:c>
      <x:c r="E3383" s="25" t="n">
        <x:v>40851.279861111114</x:v>
      </x:c>
      <x:c r="F3383" s="2" t="n">
        <x:v>36</x:v>
      </x:c>
      <x:c r="G3383" s="2" t="n">
        <x:v>11</x:v>
      </x:c>
      <x:c r="H3383" s="11" t="n">
        <x:v>5258.1</x:v>
      </x:c>
      <x:c r="I3383" s="2" t="n">
        <x:v>4</x:v>
      </x:c>
      <x:c r="J3383" s="2" t="n">
        <x:v>5</x:v>
      </x:c>
      <x:c r="K3383" s="2" t="n">
        <x:v>5</x:v>
      </x:c>
      <x:c r="L3383" s="2" t="str">
        <x:v>Champions</x:v>
      </x:c>
    </x:row>
    <x:row r="3384" ht="22" customHeight="1">
      <x:c r="A3384" s="2"/>
      <x:c r="B3384" s="2" t="str">
        <x:v>15723</x:v>
      </x:c>
      <x:c r="C3384" s="2" t="str">
        <x:v>United Kingdom</x:v>
      </x:c>
      <x:c r="D3384" s="25" t="n">
        <x:v>40312.32986111111</x:v>
      </x:c>
      <x:c r="E3384" s="25" t="n">
        <x:v>40522.25833333333</x:v>
      </x:c>
      <x:c r="F3384" s="2" t="n">
        <x:v>365</x:v>
      </x:c>
      <x:c r="G3384" s="2" t="n">
        <x:v>4</x:v>
      </x:c>
      <x:c r="H3384" s="11" t="n">
        <x:v>947.65</x:v>
      </x:c>
      <x:c r="I3384" s="2" t="n">
        <x:v>2</x:v>
      </x:c>
      <x:c r="J3384" s="2" t="n">
        <x:v>3</x:v>
      </x:c>
      <x:c r="K3384" s="2" t="n">
        <x:v>3</x:v>
      </x:c>
      <x:c r="L3384" s="2" t="str">
        <x:v>At risk</x:v>
      </x:c>
    </x:row>
    <x:row r="3385" ht="22" customHeight="1">
      <x:c r="A3385" s="2"/>
      <x:c r="B3385" s="2" t="str">
        <x:v>15724</x:v>
      </x:c>
      <x:c r="C3385" s="2" t="str">
        <x:v>United Kingdom</x:v>
      </x:c>
      <x:c r="D3385" s="25" t="n">
        <x:v>40486.22361111111</x:v>
      </x:c>
      <x:c r="E3385" s="25" t="n">
        <x:v>40685.40277777778</x:v>
      </x:c>
      <x:c r="F3385" s="2" t="n">
        <x:v>202</x:v>
      </x:c>
      <x:c r="G3385" s="2" t="n">
        <x:v>3</x:v>
      </x:c>
      <x:c r="H3385" s="11" t="n">
        <x:v>310.85</x:v>
      </x:c>
      <x:c r="I3385" s="2" t="n">
        <x:v>2</x:v>
      </x:c>
      <x:c r="J3385" s="2" t="n">
        <x:v>3</x:v>
      </x:c>
      <x:c r="K3385" s="2" t="n">
        <x:v>2</x:v>
      </x:c>
      <x:c r="L3385" s="2" t="str">
        <x:v>At risk</x:v>
      </x:c>
    </x:row>
    <x:row r="3386" ht="22" customHeight="1">
      <x:c r="A3386" s="2"/>
      <x:c r="B3386" s="2" t="str">
        <x:v>15725</x:v>
      </x:c>
      <x:c r="C3386" s="2" t="str">
        <x:v>United Kingdom</x:v>
      </x:c>
      <x:c r="D3386" s="25" t="n">
        <x:v>40871.410416666666</x:v>
      </x:c>
      <x:c r="E3386" s="25" t="n">
        <x:v>40871.410416666666</x:v>
      </x:c>
      <x:c r="F3386" s="2" t="n">
        <x:v>16</x:v>
      </x:c>
      <x:c r="G3386" s="2" t="n">
        <x:v>1</x:v>
      </x:c>
      <x:c r="H3386" s="11" t="n">
        <x:v>415.25</x:v>
      </x:c>
      <x:c r="I3386" s="2" t="n">
        <x:v>5</x:v>
      </x:c>
      <x:c r="J3386" s="2" t="n">
        <x:v>1</x:v>
      </x:c>
      <x:c r="K3386" s="2" t="n">
        <x:v>2</x:v>
      </x:c>
      <x:c r="L3386" s="2" t="str">
        <x:v>Recent light buyers</x:v>
      </x:c>
    </x:row>
    <x:row r="3387" ht="22" customHeight="1">
      <x:c r="A3387" s="2"/>
      <x:c r="B3387" s="2" t="str">
        <x:v>15726</x:v>
      </x:c>
      <x:c r="C3387" s="2" t="str">
        <x:v>United Kingdom</x:v>
      </x:c>
      <x:c r="D3387" s="25" t="n">
        <x:v>40496.46666666667</x:v>
      </x:c>
      <x:c r="E3387" s="25" t="n">
        <x:v>40496.46666666667</x:v>
      </x:c>
      <x:c r="F3387" s="2" t="n">
        <x:v>391</x:v>
      </x:c>
      <x:c r="G3387" s="2" t="n">
        <x:v>1</x:v>
      </x:c>
      <x:c r="H3387" s="11" t="n">
        <x:v>321.91</x:v>
      </x:c>
      <x:c r="I3387" s="2" t="n">
        <x:v>2</x:v>
      </x:c>
      <x:c r="J3387" s="2" t="n">
        <x:v>1</x:v>
      </x:c>
      <x:c r="K3387" s="2" t="n">
        <x:v>2</x:v>
      </x:c>
      <x:c r="L3387" s="2" t="str">
        <x:v>Hibernating</x:v>
      </x:c>
    </x:row>
    <x:row r="3388" ht="22" customHeight="1">
      <x:c r="A3388" s="2"/>
      <x:c r="B3388" s="2" t="str">
        <x:v>15727</x:v>
      </x:c>
      <x:c r="C3388" s="2" t="str">
        <x:v>United Kingdom</x:v>
      </x:c>
      <x:c r="D3388" s="25" t="n">
        <x:v>40202.3</x:v>
      </x:c>
      <x:c r="E3388" s="25" t="n">
        <x:v>40870.316666666666</x:v>
      </x:c>
      <x:c r="F3388" s="2" t="n">
        <x:v>17</x:v>
      </x:c>
      <x:c r="G3388" s="2" t="n">
        <x:v>15</x:v>
      </x:c>
      <x:c r="H3388" s="11" t="n">
        <x:v>9445.51</x:v>
      </x:c>
      <x:c r="I3388" s="2" t="n">
        <x:v>5</x:v>
      </x:c>
      <x:c r="J3388" s="2" t="n">
        <x:v>5</x:v>
      </x:c>
      <x:c r="K3388" s="2" t="n">
        <x:v>5</x:v>
      </x:c>
      <x:c r="L3388" s="2" t="str">
        <x:v>Champions</x:v>
      </x:c>
    </x:row>
    <x:row r="3389" ht="22" customHeight="1">
      <x:c r="A3389" s="2"/>
      <x:c r="B3389" s="2" t="str">
        <x:v>15728</x:v>
      </x:c>
      <x:c r="C3389" s="2" t="str">
        <x:v>United Kingdom</x:v>
      </x:c>
      <x:c r="D3389" s="25" t="n">
        <x:v>40442.40694444445</x:v>
      </x:c>
      <x:c r="E3389" s="25" t="n">
        <x:v>40507.23541666667</x:v>
      </x:c>
      <x:c r="F3389" s="2" t="n">
        <x:v>380</x:v>
      </x:c>
      <x:c r="G3389" s="2" t="n">
        <x:v>2</x:v>
      </x:c>
      <x:c r="H3389" s="11" t="n">
        <x:v>544.6</x:v>
      </x:c>
      <x:c r="I3389" s="2" t="n">
        <x:v>2</x:v>
      </x:c>
      <x:c r="J3389" s="2" t="n">
        <x:v>2</x:v>
      </x:c>
      <x:c r="K3389" s="2" t="n">
        <x:v>2</x:v>
      </x:c>
      <x:c r="L3389" s="2" t="str">
        <x:v>Hibernating</x:v>
      </x:c>
    </x:row>
    <x:row r="3390" ht="22" customHeight="1">
      <x:c r="A3390" s="2"/>
      <x:c r="B3390" s="2" t="str">
        <x:v>15729</x:v>
      </x:c>
      <x:c r="C3390" s="2" t="str">
        <x:v>United Kingdom</x:v>
      </x:c>
      <x:c r="D3390" s="25" t="n">
        <x:v>40483.36388888889</x:v>
      </x:c>
      <x:c r="E3390" s="25" t="n">
        <x:v>40674.316666666666</x:v>
      </x:c>
      <x:c r="F3390" s="2" t="n">
        <x:v>213</x:v>
      </x:c>
      <x:c r="G3390" s="2" t="n">
        <x:v>3</x:v>
      </x:c>
      <x:c r="H3390" s="11" t="n">
        <x:v>192.55</x:v>
      </x:c>
      <x:c r="I3390" s="2" t="n">
        <x:v>2</x:v>
      </x:c>
      <x:c r="J3390" s="2" t="n">
        <x:v>3</x:v>
      </x:c>
      <x:c r="K3390" s="2" t="n">
        <x:v>1</x:v>
      </x:c>
      <x:c r="L3390" s="2" t="str">
        <x:v>At risk</x:v>
      </x:c>
    </x:row>
    <x:row r="3391" ht="22" customHeight="1">
      <x:c r="A3391" s="2"/>
      <x:c r="B3391" s="2" t="str">
        <x:v>15730</x:v>
      </x:c>
      <x:c r="C3391" s="2" t="str">
        <x:v>United Kingdom</x:v>
      </x:c>
      <x:c r="D3391" s="25" t="n">
        <x:v>40455.385416666664</x:v>
      </x:c>
      <x:c r="E3391" s="25" t="n">
        <x:v>40821.31319444445</x:v>
      </x:c>
      <x:c r="F3391" s="2" t="n">
        <x:v>66</x:v>
      </x:c>
      <x:c r="G3391" s="2" t="n">
        <x:v>5</x:v>
      </x:c>
      <x:c r="H3391" s="11" t="n">
        <x:v>1726.58</x:v>
      </x:c>
      <x:c r="I3391" s="2" t="n">
        <x:v>3</x:v>
      </x:c>
      <x:c r="J3391" s="2" t="n">
        <x:v>4</x:v>
      </x:c>
      <x:c r="K3391" s="2" t="n">
        <x:v>4</x:v>
      </x:c>
      <x:c r="L3391" s="2" t="str">
        <x:v>Loyal</x:v>
      </x:c>
    </x:row>
    <x:row r="3392" ht="22" customHeight="1">
      <x:c r="A3392" s="2"/>
      <x:c r="B3392" s="2" t="str">
        <x:v>15731</x:v>
      </x:c>
      <x:c r="C3392" s="2" t="str">
        <x:v>United Kingdom</x:v>
      </x:c>
      <x:c r="D3392" s="25" t="n">
        <x:v>40333.21527777778</x:v>
      </x:c>
      <x:c r="E3392" s="25" t="n">
        <x:v>40333.21527777778</x:v>
      </x:c>
      <x:c r="F3392" s="2" t="n">
        <x:v>554</x:v>
      </x:c>
      <x:c r="G3392" s="2" t="n">
        <x:v>1</x:v>
      </x:c>
      <x:c r="H3392" s="11" t="n">
        <x:v>125.3</x:v>
      </x:c>
      <x:c r="I3392" s="2" t="n">
        <x:v>1</x:v>
      </x:c>
      <x:c r="J3392" s="2" t="n">
        <x:v>1</x:v>
      </x:c>
      <x:c r="K3392" s="2" t="n">
        <x:v>1</x:v>
      </x:c>
      <x:c r="L3392" s="2" t="str">
        <x:v>Hibernating</x:v>
      </x:c>
    </x:row>
    <x:row r="3393" ht="22" customHeight="1">
      <x:c r="A3393" s="2"/>
      <x:c r="B3393" s="2" t="str">
        <x:v>15732</x:v>
      </x:c>
      <x:c r="C3393" s="2" t="str">
        <x:v>United Kingdom</x:v>
      </x:c>
      <x:c r="D3393" s="25" t="n">
        <x:v>40213.21527777778</x:v>
      </x:c>
      <x:c r="E3393" s="25" t="n">
        <x:v>40674.39166666667</x:v>
      </x:c>
      <x:c r="F3393" s="2" t="n">
        <x:v>213</x:v>
      </x:c>
      <x:c r="G3393" s="2" t="n">
        <x:v>10</x:v>
      </x:c>
      <x:c r="H3393" s="11" t="n">
        <x:v>1543.97</x:v>
      </x:c>
      <x:c r="I3393" s="2" t="n">
        <x:v>2</x:v>
      </x:c>
      <x:c r="J3393" s="2" t="n">
        <x:v>5</x:v>
      </x:c>
      <x:c r="K3393" s="2" t="n">
        <x:v>4</x:v>
      </x:c>
      <x:c r="L3393" s="2" t="str">
        <x:v>At risk</x:v>
      </x:c>
    </x:row>
    <x:row r="3394" ht="22" customHeight="1">
      <x:c r="A3394" s="2"/>
      <x:c r="B3394" s="2" t="str">
        <x:v>15733</x:v>
      </x:c>
      <x:c r="C3394" s="2" t="str">
        <x:v>United Kingdom</x:v>
      </x:c>
      <x:c r="D3394" s="25" t="n">
        <x:v>40604.17013888889</x:v>
      </x:c>
      <x:c r="E3394" s="25" t="n">
        <x:v>40604.17013888889</x:v>
      </x:c>
      <x:c r="F3394" s="2" t="n">
        <x:v>283</x:v>
      </x:c>
      <x:c r="G3394" s="2" t="n">
        <x:v>1</x:v>
      </x:c>
      <x:c r="H3394" s="11" t="n">
        <x:v>162.3</x:v>
      </x:c>
      <x:c r="I3394" s="2" t="n">
        <x:v>2</x:v>
      </x:c>
      <x:c r="J3394" s="2" t="n">
        <x:v>1</x:v>
      </x:c>
      <x:c r="K3394" s="2" t="n">
        <x:v>1</x:v>
      </x:c>
      <x:c r="L3394" s="2" t="str">
        <x:v>Hibernating</x:v>
      </x:c>
    </x:row>
    <x:row r="3395" ht="22" customHeight="1">
      <x:c r="A3395" s="2"/>
      <x:c r="B3395" s="2" t="str">
        <x:v>15734</x:v>
      </x:c>
      <x:c r="C3395" s="2" t="str">
        <x:v>United Kingdom</x:v>
      </x:c>
      <x:c r="D3395" s="25" t="n">
        <x:v>40339.39236111111</x:v>
      </x:c>
      <x:c r="E3395" s="25" t="n">
        <x:v>40772.243055555555</x:v>
      </x:c>
      <x:c r="F3395" s="2" t="n">
        <x:v>115</x:v>
      </x:c>
      <x:c r="G3395" s="2" t="n">
        <x:v>4</x:v>
      </x:c>
      <x:c r="H3395" s="11" t="n">
        <x:v>2263.3</x:v>
      </x:c>
      <x:c r="I3395" s="2" t="n">
        <x:v>3</x:v>
      </x:c>
      <x:c r="J3395" s="2" t="n">
        <x:v>3</x:v>
      </x:c>
      <x:c r="K3395" s="2" t="n">
        <x:v>4</x:v>
      </x:c>
      <x:c r="L3395" s="2" t="str">
        <x:v>Loyal</x:v>
      </x:c>
    </x:row>
    <x:row r="3396" ht="22" customHeight="1">
      <x:c r="A3396" s="2"/>
      <x:c r="B3396" s="2" t="str">
        <x:v>15735</x:v>
      </x:c>
      <x:c r="C3396" s="2" t="str">
        <x:v>United Kingdom</x:v>
      </x:c>
      <x:c r="D3396" s="25" t="n">
        <x:v>40465.35972222222</x:v>
      </x:c>
      <x:c r="E3396" s="25" t="n">
        <x:v>40465.35972222222</x:v>
      </x:c>
      <x:c r="F3396" s="2" t="n">
        <x:v>422</x:v>
      </x:c>
      <x:c r="G3396" s="2" t="n">
        <x:v>1</x:v>
      </x:c>
      <x:c r="H3396" s="11" t="n">
        <x:v>327.68</x:v>
      </x:c>
      <x:c r="I3396" s="2" t="n">
        <x:v>1</x:v>
      </x:c>
      <x:c r="J3396" s="2" t="n">
        <x:v>1</x:v>
      </x:c>
      <x:c r="K3396" s="2" t="n">
        <x:v>2</x:v>
      </x:c>
      <x:c r="L3396" s="2" t="str">
        <x:v>Hibernating</x:v>
      </x:c>
    </x:row>
    <x:row r="3397" ht="22" customHeight="1">
      <x:c r="A3397" s="2"/>
      <x:c r="B3397" s="2" t="str">
        <x:v>15736</x:v>
      </x:c>
      <x:c r="C3397" s="2" t="str">
        <x:v>United Kingdom</x:v>
      </x:c>
      <x:c r="D3397" s="25" t="n">
        <x:v>40451.388194444444</x:v>
      </x:c>
      <x:c r="E3397" s="25" t="n">
        <x:v>40451.38888888889</x:v>
      </x:c>
      <x:c r="F3397" s="2" t="n">
        <x:v>436</x:v>
      </x:c>
      <x:c r="G3397" s="2" t="n">
        <x:v>2</x:v>
      </x:c>
      <x:c r="H3397" s="11" t="n">
        <x:v>1815.72</x:v>
      </x:c>
      <x:c r="I3397" s="2" t="n">
        <x:v>1</x:v>
      </x:c>
      <x:c r="J3397" s="2" t="n">
        <x:v>2</x:v>
      </x:c>
      <x:c r="K3397" s="2" t="n">
        <x:v>4</x:v>
      </x:c>
      <x:c r="L3397" s="2" t="str">
        <x:v>Hibernating</x:v>
      </x:c>
    </x:row>
    <x:row r="3398" ht="22" customHeight="1">
      <x:c r="A3398" s="2"/>
      <x:c r="B3398" s="2" t="str">
        <x:v>15737</x:v>
      </x:c>
      <x:c r="C3398" s="2" t="str">
        <x:v>United Kingdom</x:v>
      </x:c>
      <x:c r="D3398" s="25" t="n">
        <x:v>40644.209027777775</x:v>
      </x:c>
      <x:c r="E3398" s="25" t="n">
        <x:v>40872.26458333333</x:v>
      </x:c>
      <x:c r="F3398" s="2" t="n">
        <x:v>15</x:v>
      </x:c>
      <x:c r="G3398" s="2" t="n">
        <x:v>8</x:v>
      </x:c>
      <x:c r="H3398" s="11" t="n">
        <x:v>1205.12</x:v>
      </x:c>
      <x:c r="I3398" s="2" t="n">
        <x:v>5</x:v>
      </x:c>
      <x:c r="J3398" s="2" t="n">
        <x:v>4</x:v>
      </x:c>
      <x:c r="K3398" s="2" t="n">
        <x:v>3</x:v>
      </x:c>
      <x:c r="L3398" s="2" t="str">
        <x:v>Loyal</x:v>
      </x:c>
    </x:row>
    <x:row r="3399" ht="22" customHeight="1">
      <x:c r="A3399" s="2"/>
      <x:c r="B3399" s="2" t="str">
        <x:v>15738</x:v>
      </x:c>
      <x:c r="C3399" s="2" t="str">
        <x:v>United Kingdom</x:v>
      </x:c>
      <x:c r="D3399" s="25" t="n">
        <x:v>40157.45277777778</x:v>
      </x:c>
      <x:c r="E3399" s="25" t="n">
        <x:v>40868.143055555556</x:v>
      </x:c>
      <x:c r="F3399" s="2" t="n">
        <x:v>19</x:v>
      </x:c>
      <x:c r="G3399" s="2" t="n">
        <x:v>41</x:v>
      </x:c>
      <x:c r="H3399" s="11" t="n">
        <x:v>13043.32</x:v>
      </x:c>
      <x:c r="I3399" s="2" t="n">
        <x:v>5</x:v>
      </x:c>
      <x:c r="J3399" s="2" t="n">
        <x:v>5</x:v>
      </x:c>
      <x:c r="K3399" s="2" t="n">
        <x:v>5</x:v>
      </x:c>
      <x:c r="L3399" s="2" t="str">
        <x:v>Champions</x:v>
      </x:c>
    </x:row>
    <x:row r="3400" ht="22" customHeight="1">
      <x:c r="A3400" s="2"/>
      <x:c r="B3400" s="2" t="str">
        <x:v>15739</x:v>
      </x:c>
      <x:c r="C3400" s="2" t="str">
        <x:v>United Kingdom</x:v>
      </x:c>
      <x:c r="D3400" s="25" t="n">
        <x:v>40820.3625</x:v>
      </x:c>
      <x:c r="E3400" s="25" t="n">
        <x:v>40820.3625</x:v>
      </x:c>
      <x:c r="F3400" s="2" t="n">
        <x:v>67</x:v>
      </x:c>
      <x:c r="G3400" s="2" t="n">
        <x:v>1</x:v>
      </x:c>
      <x:c r="H3400" s="11" t="n">
        <x:v>449.12</x:v>
      </x:c>
      <x:c r="I3400" s="2" t="n">
        <x:v>3</x:v>
      </x:c>
      <x:c r="J3400" s="2" t="n">
        <x:v>1</x:v>
      </x:c>
      <x:c r="K3400" s="2" t="n">
        <x:v>2</x:v>
      </x:c>
      <x:c r="L3400" s="2" t="str">
        <x:v>Developing</x:v>
      </x:c>
    </x:row>
    <x:row r="3401" ht="22" customHeight="1">
      <x:c r="A3401" s="2"/>
      <x:c r="B3401" s="2" t="str">
        <x:v>15740</x:v>
      </x:c>
      <x:c r="C3401" s="2" t="str">
        <x:v>United Kingdom</x:v>
      </x:c>
      <x:c r="D3401" s="25" t="n">
        <x:v>40837.39513888889</x:v>
      </x:c>
      <x:c r="E3401" s="25" t="n">
        <x:v>40837.39513888889</x:v>
      </x:c>
      <x:c r="F3401" s="2" t="n">
        <x:v>50</x:v>
      </x:c>
      <x:c r="G3401" s="2" t="n">
        <x:v>1</x:v>
      </x:c>
      <x:c r="H3401" s="11" t="n">
        <x:v>154.88</x:v>
      </x:c>
      <x:c r="I3401" s="2" t="n">
        <x:v>4</x:v>
      </x:c>
      <x:c r="J3401" s="2" t="n">
        <x:v>1</x:v>
      </x:c>
      <x:c r="K3401" s="2" t="n">
        <x:v>1</x:v>
      </x:c>
      <x:c r="L3401" s="2" t="str">
        <x:v>Recent light buyers</x:v>
      </x:c>
    </x:row>
    <x:row r="3402" ht="22" customHeight="1">
      <x:c r="A3402" s="2"/>
      <x:c r="B3402" s="2" t="str">
        <x:v>15741</x:v>
      </x:c>
      <x:c r="C3402" s="2" t="str">
        <x:v>United Kingdom</x:v>
      </x:c>
      <x:c r="D3402" s="25" t="n">
        <x:v>40268.288194444445</x:v>
      </x:c>
      <x:c r="E3402" s="25" t="n">
        <x:v>40428.472916666666</x:v>
      </x:c>
      <x:c r="F3402" s="2" t="n">
        <x:v>459</x:v>
      </x:c>
      <x:c r="G3402" s="2" t="n">
        <x:v>2</x:v>
      </x:c>
      <x:c r="H3402" s="11" t="n">
        <x:v>208.62</x:v>
      </x:c>
      <x:c r="I3402" s="2" t="n">
        <x:v>1</x:v>
      </x:c>
      <x:c r="J3402" s="2" t="n">
        <x:v>2</x:v>
      </x:c>
      <x:c r="K3402" s="2" t="n">
        <x:v>1</x:v>
      </x:c>
      <x:c r="L3402" s="2" t="str">
        <x:v>Hibernating</x:v>
      </x:c>
    </x:row>
    <x:row r="3403" ht="22" customHeight="1">
      <x:c r="A3403" s="2"/>
      <x:c r="B3403" s="2" t="str">
        <x:v>15742</x:v>
      </x:c>
      <x:c r="C3403" s="2" t="str">
        <x:v>United Kingdom</x:v>
      </x:c>
      <x:c r="D3403" s="25" t="n">
        <x:v>40267.43402777778</x:v>
      </x:c>
      <x:c r="E3403" s="25" t="n">
        <x:v>40267.43402777778</x:v>
      </x:c>
      <x:c r="F3403" s="2" t="n">
        <x:v>620</x:v>
      </x:c>
      <x:c r="G3403" s="2" t="n">
        <x:v>1</x:v>
      </x:c>
      <x:c r="H3403" s="11" t="n">
        <x:v>156.87</x:v>
      </x:c>
      <x:c r="I3403" s="2" t="n">
        <x:v>1</x:v>
      </x:c>
      <x:c r="J3403" s="2" t="n">
        <x:v>1</x:v>
      </x:c>
      <x:c r="K3403" s="2" t="n">
        <x:v>1</x:v>
      </x:c>
      <x:c r="L3403" s="2" t="str">
        <x:v>Hibernating</x:v>
      </x:c>
    </x:row>
    <x:row r="3404" ht="22" customHeight="1">
      <x:c r="A3404" s="2"/>
      <x:c r="B3404" s="2" t="str">
        <x:v>15743</x:v>
      </x:c>
      <x:c r="C3404" s="2" t="str">
        <x:v>United Kingdom</x:v>
      </x:c>
      <x:c r="D3404" s="25" t="n">
        <x:v>40702.21805555555</x:v>
      </x:c>
      <x:c r="E3404" s="25" t="n">
        <x:v>40870.513194444444</x:v>
      </x:c>
      <x:c r="F3404" s="2" t="n">
        <x:v>17</x:v>
      </x:c>
      <x:c r="G3404" s="2" t="n">
        <x:v>4</x:v>
      </x:c>
      <x:c r="H3404" s="11" t="n">
        <x:v>784.46</x:v>
      </x:c>
      <x:c r="I3404" s="2" t="n">
        <x:v>5</x:v>
      </x:c>
      <x:c r="J3404" s="2" t="n">
        <x:v>3</x:v>
      </x:c>
      <x:c r="K3404" s="2" t="n">
        <x:v>3</x:v>
      </x:c>
      <x:c r="L3404" s="2" t="str">
        <x:v>Loyal</x:v>
      </x:c>
    </x:row>
    <x:row r="3405" ht="22" customHeight="1">
      <x:c r="A3405" s="2"/>
      <x:c r="B3405" s="2" t="str">
        <x:v>15744</x:v>
      </x:c>
      <x:c r="C3405" s="2" t="str">
        <x:v>United Kingdom</x:v>
      </x:c>
      <x:c r="D3405" s="25" t="n">
        <x:v>40809.20277777778</x:v>
      </x:c>
      <x:c r="E3405" s="25" t="n">
        <x:v>40809.20277777778</x:v>
      </x:c>
      <x:c r="F3405" s="2" t="n">
        <x:v>78</x:v>
      </x:c>
      <x:c r="G3405" s="2" t="n">
        <x:v>1</x:v>
      </x:c>
      <x:c r="H3405" s="11" t="n">
        <x:v>34.8</x:v>
      </x:c>
      <x:c r="I3405" s="2" t="n">
        <x:v>3</x:v>
      </x:c>
      <x:c r="J3405" s="2" t="n">
        <x:v>1</x:v>
      </x:c>
      <x:c r="K3405" s="2" t="n">
        <x:v>1</x:v>
      </x:c>
      <x:c r="L3405" s="2" t="str">
        <x:v>Developing</x:v>
      </x:c>
    </x:row>
    <x:row r="3406" ht="22" customHeight="1">
      <x:c r="A3406" s="2"/>
      <x:c r="B3406" s="2" t="str">
        <x:v>15745</x:v>
      </x:c>
      <x:c r="C3406" s="2" t="str">
        <x:v>United Kingdom</x:v>
      </x:c>
      <x:c r="D3406" s="25" t="n">
        <x:v>40650.33611111111</x:v>
      </x:c>
      <x:c r="E3406" s="25" t="n">
        <x:v>40867.364583333336</x:v>
      </x:c>
      <x:c r="F3406" s="2" t="n">
        <x:v>20</x:v>
      </x:c>
      <x:c r="G3406" s="2" t="n">
        <x:v>4</x:v>
      </x:c>
      <x:c r="H3406" s="11" t="n">
        <x:v>1094.59</x:v>
      </x:c>
      <x:c r="I3406" s="2" t="n">
        <x:v>5</x:v>
      </x:c>
      <x:c r="J3406" s="2" t="n">
        <x:v>3</x:v>
      </x:c>
      <x:c r="K3406" s="2" t="n">
        <x:v>3</x:v>
      </x:c>
      <x:c r="L3406" s="2" t="str">
        <x:v>Loyal</x:v>
      </x:c>
    </x:row>
    <x:row r="3407" ht="22" customHeight="1">
      <x:c r="A3407" s="2"/>
      <x:c r="B3407" s="2" t="str">
        <x:v>15746</x:v>
      </x:c>
      <x:c r="C3407" s="2" t="str">
        <x:v>United Kingdom</x:v>
      </x:c>
      <x:c r="D3407" s="25" t="n">
        <x:v>40752.43125</x:v>
      </x:c>
      <x:c r="E3407" s="25" t="n">
        <x:v>40752.43125</x:v>
      </x:c>
      <x:c r="F3407" s="2" t="n">
        <x:v>135</x:v>
      </x:c>
      <x:c r="G3407" s="2" t="n">
        <x:v>1</x:v>
      </x:c>
      <x:c r="H3407" s="11" t="n">
        <x:v>196.88</x:v>
      </x:c>
      <x:c r="I3407" s="2" t="n">
        <x:v>3</x:v>
      </x:c>
      <x:c r="J3407" s="2" t="n">
        <x:v>1</x:v>
      </x:c>
      <x:c r="K3407" s="2" t="n">
        <x:v>1</x:v>
      </x:c>
      <x:c r="L3407" s="2" t="str">
        <x:v>Developing</x:v>
      </x:c>
    </x:row>
    <x:row r="3408" ht="22" customHeight="1">
      <x:c r="A3408" s="2"/>
      <x:c r="B3408" s="2" t="str">
        <x:v>15747</x:v>
      </x:c>
      <x:c r="C3408" s="2" t="str">
        <x:v>United Kingdom</x:v>
      </x:c>
      <x:c r="D3408" s="25" t="n">
        <x:v>40196.26458333333</x:v>
      </x:c>
      <x:c r="E3408" s="25" t="n">
        <x:v>40874.30972222222</x:v>
      </x:c>
      <x:c r="F3408" s="2" t="n">
        <x:v>13</x:v>
      </x:c>
      <x:c r="G3408" s="2" t="n">
        <x:v>9</x:v>
      </x:c>
      <x:c r="H3408" s="11" t="n">
        <x:v>2562.61</x:v>
      </x:c>
      <x:c r="I3408" s="2" t="n">
        <x:v>5</x:v>
      </x:c>
      <x:c r="J3408" s="2" t="n">
        <x:v>5</x:v>
      </x:c>
      <x:c r="K3408" s="2" t="n">
        <x:v>4</x:v>
      </x:c>
      <x:c r="L3408" s="2" t="str">
        <x:v>Champions</x:v>
      </x:c>
    </x:row>
    <x:row r="3409" ht="22" customHeight="1">
      <x:c r="A3409" s="2"/>
      <x:c r="B3409" s="2" t="str">
        <x:v>15748</x:v>
      </x:c>
      <x:c r="C3409" s="2" t="str">
        <x:v>United Kingdom</x:v>
      </x:c>
      <x:c r="D3409" s="25" t="n">
        <x:v>40437.49444444444</x:v>
      </x:c>
      <x:c r="E3409" s="25" t="n">
        <x:v>40846.32708333333</x:v>
      </x:c>
      <x:c r="F3409" s="2" t="n">
        <x:v>41</x:v>
      </x:c>
      <x:c r="G3409" s="2" t="n">
        <x:v>3</x:v>
      </x:c>
      <x:c r="H3409" s="11" t="n">
        <x:v>614.76</x:v>
      </x:c>
      <x:c r="I3409" s="2" t="n">
        <x:v>4</x:v>
      </x:c>
      <x:c r="J3409" s="2" t="n">
        <x:v>3</x:v>
      </x:c>
      <x:c r="K3409" s="2" t="n">
        <x:v>3</x:v>
      </x:c>
      <x:c r="L3409" s="2" t="str">
        <x:v>Loyal</x:v>
      </x:c>
    </x:row>
    <x:row r="3410" ht="22" customHeight="1">
      <x:c r="A3410" s="2"/>
      <x:c r="B3410" s="2" t="str">
        <x:v>15749</x:v>
      </x:c>
      <x:c r="C3410" s="2" t="str">
        <x:v>United Kingdom</x:v>
      </x:c>
      <x:c r="D3410" s="25" t="n">
        <x:v>40554.32986111111</x:v>
      </x:c>
      <x:c r="E3410" s="25" t="n">
        <x:v>40651.34722222222</x:v>
      </x:c>
      <x:c r="F3410" s="2" t="n">
        <x:v>236</x:v>
      </x:c>
      <x:c r="G3410" s="2" t="n">
        <x:v>3</x:v>
      </x:c>
      <x:c r="H3410" s="11" t="n">
        <x:v>44534.3</x:v>
      </x:c>
      <x:c r="I3410" s="2" t="n">
        <x:v>2</x:v>
      </x:c>
      <x:c r="J3410" s="2" t="n">
        <x:v>3</x:v>
      </x:c>
      <x:c r="K3410" s="2" t="n">
        <x:v>5</x:v>
      </x:c>
      <x:c r="L3410" s="2" t="str">
        <x:v>At risk</x:v>
      </x:c>
    </x:row>
    <x:row r="3411" ht="22" customHeight="1">
      <x:c r="A3411" s="2"/>
      <x:c r="B3411" s="2" t="str">
        <x:v>15750</x:v>
      </x:c>
      <x:c r="C3411" s="2" t="str">
        <x:v>United Kingdom</x:v>
      </x:c>
      <x:c r="D3411" s="25" t="n">
        <x:v>40148.513194444444</x:v>
      </x:c>
      <x:c r="E3411" s="25" t="n">
        <x:v>40884.31527777778</x:v>
      </x:c>
      <x:c r="F3411" s="2" t="n">
        <x:v>3</x:v>
      </x:c>
      <x:c r="G3411" s="2" t="n">
        <x:v>18</x:v>
      </x:c>
      <x:c r="H3411" s="11" t="n">
        <x:v>6456.671</x:v>
      </x:c>
      <x:c r="I3411" s="2" t="n">
        <x:v>5</x:v>
      </x:c>
      <x:c r="J3411" s="2" t="n">
        <x:v>5</x:v>
      </x:c>
      <x:c r="K3411" s="2" t="n">
        <x:v>5</x:v>
      </x:c>
      <x:c r="L3411" s="2" t="str">
        <x:v>Champions</x:v>
      </x:c>
    </x:row>
    <x:row r="3412" ht="22" customHeight="1">
      <x:c r="A3412" s="2"/>
      <x:c r="B3412" s="2" t="str">
        <x:v>15751</x:v>
      </x:c>
      <x:c r="C3412" s="2" t="str">
        <x:v>United Kingdom</x:v>
      </x:c>
      <x:c r="D3412" s="25" t="n">
        <x:v>40153.33888888889</x:v>
      </x:c>
      <x:c r="E3412" s="25" t="n">
        <x:v>40426.322222222225</x:v>
      </x:c>
      <x:c r="F3412" s="2" t="n">
        <x:v>461</x:v>
      </x:c>
      <x:c r="G3412" s="2" t="n">
        <x:v>11</x:v>
      </x:c>
      <x:c r="H3412" s="11" t="n">
        <x:v>1380.44</x:v>
      </x:c>
      <x:c r="I3412" s="2" t="n">
        <x:v>1</x:v>
      </x:c>
      <x:c r="J3412" s="2" t="n">
        <x:v>5</x:v>
      </x:c>
      <x:c r="K3412" s="2" t="n">
        <x:v>4</x:v>
      </x:c>
      <x:c r="L3412" s="2" t="str">
        <x:v>At risk</x:v>
      </x:c>
    </x:row>
    <x:row r="3413" ht="22" customHeight="1">
      <x:c r="A3413" s="2"/>
      <x:c r="B3413" s="2" t="str">
        <x:v>15752</x:v>
      </x:c>
      <x:c r="C3413" s="2" t="str">
        <x:v>United Kingdom</x:v>
      </x:c>
      <x:c r="D3413" s="25" t="n">
        <x:v>40429.28888888889</x:v>
      </x:c>
      <x:c r="E3413" s="25" t="n">
        <x:v>40847.27569444444</x:v>
      </x:c>
      <x:c r="F3413" s="2" t="n">
        <x:v>40</x:v>
      </x:c>
      <x:c r="G3413" s="2" t="n">
        <x:v>9</x:v>
      </x:c>
      <x:c r="H3413" s="11" t="n">
        <x:v>3947.89</x:v>
      </x:c>
      <x:c r="I3413" s="2" t="n">
        <x:v>4</x:v>
      </x:c>
      <x:c r="J3413" s="2" t="n">
        <x:v>5</x:v>
      </x:c>
      <x:c r="K3413" s="2" t="n">
        <x:v>5</x:v>
      </x:c>
      <x:c r="L3413" s="2" t="str">
        <x:v>Champions</x:v>
      </x:c>
    </x:row>
    <x:row r="3414" ht="22" customHeight="1">
      <x:c r="A3414" s="2"/>
      <x:c r="B3414" s="2" t="str">
        <x:v>15753</x:v>
      </x:c>
      <x:c r="C3414" s="2" t="str">
        <x:v>United Kingdom</x:v>
      </x:c>
      <x:c r="D3414" s="25" t="n">
        <x:v>40582.32013888889</x:v>
      </x:c>
      <x:c r="E3414" s="25" t="n">
        <x:v>40582.32013888889</x:v>
      </x:c>
      <x:c r="F3414" s="2" t="n">
        <x:v>305</x:v>
      </x:c>
      <x:c r="G3414" s="2" t="n">
        <x:v>1</x:v>
      </x:c>
      <x:c r="H3414" s="11" t="n">
        <x:v>79.2</x:v>
      </x:c>
      <x:c r="I3414" s="2" t="n">
        <x:v>2</x:v>
      </x:c>
      <x:c r="J3414" s="2" t="n">
        <x:v>1</x:v>
      </x:c>
      <x:c r="K3414" s="2" t="n">
        <x:v>1</x:v>
      </x:c>
      <x:c r="L3414" s="2" t="str">
        <x:v>Hibernating</x:v>
      </x:c>
    </x:row>
    <x:row r="3415" ht="22" customHeight="1">
      <x:c r="A3415" s="2"/>
      <x:c r="B3415" s="2" t="str">
        <x:v>15754</x:v>
      </x:c>
      <x:c r="C3415" s="2" t="str">
        <x:v>United Kingdom</x:v>
      </x:c>
      <x:c r="D3415" s="25" t="n">
        <x:v>40231.35486111111</x:v>
      </x:c>
      <x:c r="E3415" s="25" t="n">
        <x:v>40835.40277777778</x:v>
      </x:c>
      <x:c r="F3415" s="2" t="n">
        <x:v>52</x:v>
      </x:c>
      <x:c r="G3415" s="2" t="n">
        <x:v>9</x:v>
      </x:c>
      <x:c r="H3415" s="11" t="n">
        <x:v>3037.61</x:v>
      </x:c>
      <x:c r="I3415" s="2" t="n">
        <x:v>4</x:v>
      </x:c>
      <x:c r="J3415" s="2" t="n">
        <x:v>5</x:v>
      </x:c>
      <x:c r="K3415" s="2" t="n">
        <x:v>5</x:v>
      </x:c>
      <x:c r="L3415" s="2" t="str">
        <x:v>Champions</x:v>
      </x:c>
    </x:row>
    <x:row r="3416" ht="22" customHeight="1">
      <x:c r="A3416" s="2"/>
      <x:c r="B3416" s="2" t="str">
        <x:v>15755</x:v>
      </x:c>
      <x:c r="C3416" s="2" t="str">
        <x:v>United Kingdom</x:v>
      </x:c>
      <x:c r="D3416" s="25" t="n">
        <x:v>40151.14166666667</x:v>
      </x:c>
      <x:c r="E3416" s="25" t="n">
        <x:v>40876.41458333333</x:v>
      </x:c>
      <x:c r="F3416" s="2" t="n">
        <x:v>11</x:v>
      </x:c>
      <x:c r="G3416" s="2" t="n">
        <x:v>17</x:v>
      </x:c>
      <x:c r="H3416" s="11" t="n">
        <x:v>5993.12</x:v>
      </x:c>
      <x:c r="I3416" s="2" t="n">
        <x:v>5</x:v>
      </x:c>
      <x:c r="J3416" s="2" t="n">
        <x:v>5</x:v>
      </x:c>
      <x:c r="K3416" s="2" t="n">
        <x:v>5</x:v>
      </x:c>
      <x:c r="L3416" s="2" t="str">
        <x:v>Champions</x:v>
      </x:c>
    </x:row>
    <x:row r="3417" ht="22" customHeight="1">
      <x:c r="A3417" s="2"/>
      <x:c r="B3417" s="2" t="str">
        <x:v>15756</x:v>
      </x:c>
      <x:c r="C3417" s="2" t="str">
        <x:v>United Kingdom</x:v>
      </x:c>
      <x:c r="D3417" s="25" t="n">
        <x:v>40637.375</x:v>
      </x:c>
      <x:c r="E3417" s="25" t="n">
        <x:v>40825.354166666664</x:v>
      </x:c>
      <x:c r="F3417" s="2" t="n">
        <x:v>62</x:v>
      </x:c>
      <x:c r="G3417" s="2" t="n">
        <x:v>4</x:v>
      </x:c>
      <x:c r="H3417" s="11" t="n">
        <x:v>532.96</x:v>
      </x:c>
      <x:c r="I3417" s="2" t="n">
        <x:v>3</x:v>
      </x:c>
      <x:c r="J3417" s="2" t="n">
        <x:v>3</x:v>
      </x:c>
      <x:c r="K3417" s="2" t="n">
        <x:v>2</x:v>
      </x:c>
      <x:c r="L3417" s="2" t="str">
        <x:v>Loyal</x:v>
      </x:c>
    </x:row>
    <x:row r="3418" ht="22" customHeight="1">
      <x:c r="A3418" s="2"/>
      <x:c r="B3418" s="2" t="str">
        <x:v>15757</x:v>
      </x:c>
      <x:c r="C3418" s="2" t="str">
        <x:v>United Kingdom</x:v>
      </x:c>
      <x:c r="D3418" s="25" t="n">
        <x:v>40339.36597222222</x:v>
      </x:c>
      <x:c r="E3418" s="25" t="n">
        <x:v>40821.30138888889</x:v>
      </x:c>
      <x:c r="F3418" s="2" t="n">
        <x:v>66</x:v>
      </x:c>
      <x:c r="G3418" s="2" t="n">
        <x:v>6</x:v>
      </x:c>
      <x:c r="H3418" s="11" t="n">
        <x:v>2940.36</x:v>
      </x:c>
      <x:c r="I3418" s="2" t="n">
        <x:v>3</x:v>
      </x:c>
      <x:c r="J3418" s="2" t="n">
        <x:v>4</x:v>
      </x:c>
      <x:c r="K3418" s="2" t="n">
        <x:v>5</x:v>
      </x:c>
      <x:c r="L3418" s="2" t="str">
        <x:v>Loyal</x:v>
      </x:c>
    </x:row>
    <x:row r="3419" ht="22" customHeight="1">
      <x:c r="A3419" s="2"/>
      <x:c r="B3419" s="2" t="str">
        <x:v>15758</x:v>
      </x:c>
      <x:c r="C3419" s="2" t="str">
        <x:v>United Kingdom</x:v>
      </x:c>
      <x:c r="D3419" s="25" t="n">
        <x:v>40862.24166666667</x:v>
      </x:c>
      <x:c r="E3419" s="25" t="n">
        <x:v>40862.24166666667</x:v>
      </x:c>
      <x:c r="F3419" s="2" t="n">
        <x:v>25</x:v>
      </x:c>
      <x:c r="G3419" s="2" t="n">
        <x:v>1</x:v>
      </x:c>
      <x:c r="H3419" s="11" t="n">
        <x:v>205.25</x:v>
      </x:c>
      <x:c r="I3419" s="2" t="n">
        <x:v>4</x:v>
      </x:c>
      <x:c r="J3419" s="2" t="n">
        <x:v>1</x:v>
      </x:c>
      <x:c r="K3419" s="2" t="n">
        <x:v>1</x:v>
      </x:c>
      <x:c r="L3419" s="2" t="str">
        <x:v>Recent light buyers</x:v>
      </x:c>
    </x:row>
    <x:row r="3420" ht="22" customHeight="1">
      <x:c r="A3420" s="2"/>
      <x:c r="B3420" s="2" t="str">
        <x:v>15759</x:v>
      </x:c>
      <x:c r="C3420" s="2" t="str">
        <x:v>United Kingdom</x:v>
      </x:c>
      <x:c r="D3420" s="25" t="n">
        <x:v>40149.21388888889</x:v>
      </x:c>
      <x:c r="E3420" s="25" t="n">
        <x:v>40668.42569444444</x:v>
      </x:c>
      <x:c r="F3420" s="2" t="n">
        <x:v>219</x:v>
      </x:c>
      <x:c r="G3420" s="2" t="n">
        <x:v>7</x:v>
      </x:c>
      <x:c r="H3420" s="11" t="n">
        <x:v>830.93</x:v>
      </x:c>
      <x:c r="I3420" s="2" t="n">
        <x:v>2</x:v>
      </x:c>
      <x:c r="J3420" s="2" t="n">
        <x:v>4</x:v>
      </x:c>
      <x:c r="K3420" s="2" t="n">
        <x:v>3</x:v>
      </x:c>
      <x:c r="L3420" s="2" t="str">
        <x:v>At risk</x:v>
      </x:c>
    </x:row>
    <x:row r="3421" ht="22" customHeight="1">
      <x:c r="A3421" s="2"/>
      <x:c r="B3421" s="2" t="str">
        <x:v>15760</x:v>
      </x:c>
      <x:c r="C3421" s="2" t="str">
        <x:v>Norway</x:v>
      </x:c>
      <x:c r="D3421" s="25" t="n">
        <x:v>40256.274305555555</x:v>
      </x:c>
      <x:c r="E3421" s="25" t="n">
        <x:v>40256.28125</x:v>
      </x:c>
      <x:c r="F3421" s="2" t="n">
        <x:v>631</x:v>
      </x:c>
      <x:c r="G3421" s="2" t="n">
        <x:v>2</x:v>
      </x:c>
      <x:c r="H3421" s="11" t="n">
        <x:v>13916.34</x:v>
      </x:c>
      <x:c r="I3421" s="2" t="n">
        <x:v>1</x:v>
      </x:c>
      <x:c r="J3421" s="2" t="n">
        <x:v>2</x:v>
      </x:c>
      <x:c r="K3421" s="2" t="n">
        <x:v>5</x:v>
      </x:c>
      <x:c r="L3421" s="2" t="str">
        <x:v>Hibernating</x:v>
      </x:c>
    </x:row>
    <x:row r="3422" ht="22" customHeight="1">
      <x:c r="A3422" s="2"/>
      <x:c r="B3422" s="2" t="str">
        <x:v>15761</x:v>
      </x:c>
      <x:c r="C3422" s="2" t="str">
        <x:v>United Kingdom</x:v>
      </x:c>
      <x:c r="D3422" s="25" t="n">
        <x:v>40444.18958333333</x:v>
      </x:c>
      <x:c r="E3422" s="25" t="n">
        <x:v>40444.18958333333</x:v>
      </x:c>
      <x:c r="F3422" s="2" t="n">
        <x:v>443</x:v>
      </x:c>
      <x:c r="G3422" s="2" t="n">
        <x:v>1</x:v>
      </x:c>
      <x:c r="H3422" s="11" t="n">
        <x:v>143.05</x:v>
      </x:c>
      <x:c r="I3422" s="2" t="n">
        <x:v>1</x:v>
      </x:c>
      <x:c r="J3422" s="2" t="n">
        <x:v>1</x:v>
      </x:c>
      <x:c r="K3422" s="2" t="n">
        <x:v>1</x:v>
      </x:c>
      <x:c r="L3422" s="2" t="str">
        <x:v>Hibernating</x:v>
      </x:c>
    </x:row>
    <x:row r="3423" ht="22" customHeight="1">
      <x:c r="A3423" s="2"/>
      <x:c r="B3423" s="2" t="str">
        <x:v>15762</x:v>
      </x:c>
      <x:c r="C3423" s="2" t="str">
        <x:v>United Kingdom</x:v>
      </x:c>
      <x:c r="D3423" s="25" t="n">
        <x:v>40809.42847222222</x:v>
      </x:c>
      <x:c r="E3423" s="25" t="n">
        <x:v>40821.46875</x:v>
      </x:c>
      <x:c r="F3423" s="2" t="n">
        <x:v>66</x:v>
      </x:c>
      <x:c r="G3423" s="2" t="n">
        <x:v>2</x:v>
      </x:c>
      <x:c r="H3423" s="11" t="n">
        <x:v>583.75</x:v>
      </x:c>
      <x:c r="I3423" s="2" t="n">
        <x:v>3</x:v>
      </x:c>
      <x:c r="J3423" s="2" t="n">
        <x:v>2</x:v>
      </x:c>
      <x:c r="K3423" s="2" t="n">
        <x:v>2</x:v>
      </x:c>
      <x:c r="L3423" s="2" t="str">
        <x:v>Developing</x:v>
      </x:c>
    </x:row>
    <x:row r="3424" ht="22" customHeight="1">
      <x:c r="A3424" s="2"/>
      <x:c r="B3424" s="2" t="str">
        <x:v>15763</x:v>
      </x:c>
      <x:c r="C3424" s="2" t="str">
        <x:v>United Kingdom</x:v>
      </x:c>
      <x:c r="D3424" s="25" t="n">
        <x:v>40809.29861111111</x:v>
      </x:c>
      <x:c r="E3424" s="25" t="n">
        <x:v>40855.197222222225</x:v>
      </x:c>
      <x:c r="F3424" s="2" t="n">
        <x:v>32</x:v>
      </x:c>
      <x:c r="G3424" s="2" t="n">
        <x:v>2</x:v>
      </x:c>
      <x:c r="H3424" s="11" t="n">
        <x:v>1086.92</x:v>
      </x:c>
      <x:c r="I3424" s="2" t="n">
        <x:v>4</x:v>
      </x:c>
      <x:c r="J3424" s="2" t="n">
        <x:v>2</x:v>
      </x:c>
      <x:c r="K3424" s="2" t="n">
        <x:v>3</x:v>
      </x:c>
      <x:c r="L3424" s="2" t="str">
        <x:v>Recent light buyers</x:v>
      </x:c>
    </x:row>
    <x:row r="3425" ht="22" customHeight="1">
      <x:c r="A3425" s="2"/>
      <x:c r="B3425" s="2" t="str">
        <x:v>15764</x:v>
      </x:c>
      <x:c r="C3425" s="2" t="str">
        <x:v>United Kingdom</x:v>
      </x:c>
      <x:c r="D3425" s="25" t="n">
        <x:v>40408.373611111114</x:v>
      </x:c>
      <x:c r="E3425" s="25" t="n">
        <x:v>40798.54027777778</x:v>
      </x:c>
      <x:c r="F3425" s="2" t="n">
        <x:v>89</x:v>
      </x:c>
      <x:c r="G3425" s="2" t="n">
        <x:v>8</x:v>
      </x:c>
      <x:c r="H3425" s="11" t="n">
        <x:v>4503.08</x:v>
      </x:c>
      <x:c r="I3425" s="2" t="n">
        <x:v>3</x:v>
      </x:c>
      <x:c r="J3425" s="2" t="n">
        <x:v>4</x:v>
      </x:c>
      <x:c r="K3425" s="2" t="n">
        <x:v>5</x:v>
      </x:c>
      <x:c r="L3425" s="2" t="str">
        <x:v>Loyal</x:v>
      </x:c>
    </x:row>
    <x:row r="3426" ht="22" customHeight="1">
      <x:c r="A3426" s="2"/>
      <x:c r="B3426" s="2" t="str">
        <x:v>15765</x:v>
      </x:c>
      <x:c r="C3426" s="2" t="str">
        <x:v>United Kingdom</x:v>
      </x:c>
      <x:c r="D3426" s="25" t="n">
        <x:v>40220.225694444445</x:v>
      </x:c>
      <x:c r="E3426" s="25" t="n">
        <x:v>40220.225694444445</x:v>
      </x:c>
      <x:c r="F3426" s="2" t="n">
        <x:v>667</x:v>
      </x:c>
      <x:c r="G3426" s="2" t="n">
        <x:v>1</x:v>
      </x:c>
      <x:c r="H3426" s="11" t="n">
        <x:v>370.63</x:v>
      </x:c>
      <x:c r="I3426" s="2" t="n">
        <x:v>1</x:v>
      </x:c>
      <x:c r="J3426" s="2" t="n">
        <x:v>1</x:v>
      </x:c>
      <x:c r="K3426" s="2" t="n">
        <x:v>2</x:v>
      </x:c>
      <x:c r="L3426" s="2" t="str">
        <x:v>Hibernating</x:v>
      </x:c>
    </x:row>
    <x:row r="3427" ht="22" customHeight="1">
      <x:c r="A3427" s="2"/>
      <x:c r="B3427" s="2" t="str">
        <x:v>15766</x:v>
      </x:c>
      <x:c r="C3427" s="2" t="str">
        <x:v>United Kingdom</x:v>
      </x:c>
      <x:c r="D3427" s="25" t="n">
        <x:v>40204.45486111111</x:v>
      </x:c>
      <x:c r="E3427" s="25" t="n">
        <x:v>40822.50208333333</x:v>
      </x:c>
      <x:c r="F3427" s="2" t="n">
        <x:v>65</x:v>
      </x:c>
      <x:c r="G3427" s="2" t="n">
        <x:v>3</x:v>
      </x:c>
      <x:c r="H3427" s="11" t="n">
        <x:v>831.06</x:v>
      </x:c>
      <x:c r="I3427" s="2" t="n">
        <x:v>3</x:v>
      </x:c>
      <x:c r="J3427" s="2" t="n">
        <x:v>3</x:v>
      </x:c>
      <x:c r="K3427" s="2" t="n">
        <x:v>3</x:v>
      </x:c>
      <x:c r="L3427" s="2" t="str">
        <x:v>Loyal</x:v>
      </x:c>
    </x:row>
    <x:row r="3428" ht="22" customHeight="1">
      <x:c r="A3428" s="2"/>
      <x:c r="B3428" s="2" t="str">
        <x:v>15768</x:v>
      </x:c>
      <x:c r="C3428" s="2" t="str">
        <x:v>United Kingdom</x:v>
      </x:c>
      <x:c r="D3428" s="25" t="n">
        <x:v>40150.29861111111</x:v>
      </x:c>
      <x:c r="E3428" s="25" t="n">
        <x:v>40771.24166666667</x:v>
      </x:c>
      <x:c r="F3428" s="2" t="n">
        <x:v>116</x:v>
      </x:c>
      <x:c r="G3428" s="2" t="n">
        <x:v>34</x:v>
      </x:c>
      <x:c r="H3428" s="11" t="n">
        <x:v>15601.09</x:v>
      </x:c>
      <x:c r="I3428" s="2" t="n">
        <x:v>3</x:v>
      </x:c>
      <x:c r="J3428" s="2" t="n">
        <x:v>5</x:v>
      </x:c>
      <x:c r="K3428" s="2" t="n">
        <x:v>5</x:v>
      </x:c>
      <x:c r="L3428" s="2" t="str">
        <x:v>Loyal</x:v>
      </x:c>
    </x:row>
    <x:row r="3429" ht="22" customHeight="1">
      <x:c r="A3429" s="2"/>
      <x:c r="B3429" s="2" t="str">
        <x:v>15769</x:v>
      </x:c>
      <x:c r="C3429" s="2" t="str">
        <x:v>United Kingdom</x:v>
      </x:c>
      <x:c r="D3429" s="25" t="n">
        <x:v>40158.20694444444</x:v>
      </x:c>
      <x:c r="E3429" s="25" t="n">
        <x:v>40879.36944444444</x:v>
      </x:c>
      <x:c r="F3429" s="2" t="n">
        <x:v>8</x:v>
      </x:c>
      <x:c r="G3429" s="2" t="n">
        <x:v>46</x:v>
      </x:c>
      <x:c r="H3429" s="11" t="n">
        <x:v>88612.52</x:v>
      </x:c>
      <x:c r="I3429" s="2" t="n">
        <x:v>5</x:v>
      </x:c>
      <x:c r="J3429" s="2" t="n">
        <x:v>5</x:v>
      </x:c>
      <x:c r="K3429" s="2" t="n">
        <x:v>5</x:v>
      </x:c>
      <x:c r="L3429" s="2" t="str">
        <x:v>Champions</x:v>
      </x:c>
    </x:row>
    <x:row r="3430" ht="22" customHeight="1">
      <x:c r="A3430" s="2"/>
      <x:c r="B3430" s="2" t="str">
        <x:v>15770</x:v>
      </x:c>
      <x:c r="C3430" s="2" t="str">
        <x:v>United Kingdom</x:v>
      </x:c>
      <x:c r="D3430" s="25" t="n">
        <x:v>40274.282638888886</x:v>
      </x:c>
      <x:c r="E3430" s="25" t="n">
        <x:v>40274.282638888886</x:v>
      </x:c>
      <x:c r="F3430" s="2" t="n">
        <x:v>613</x:v>
      </x:c>
      <x:c r="G3430" s="2" t="n">
        <x:v>1</x:v>
      </x:c>
      <x:c r="H3430" s="11" t="n">
        <x:v>321.45</x:v>
      </x:c>
      <x:c r="I3430" s="2" t="n">
        <x:v>1</x:v>
      </x:c>
      <x:c r="J3430" s="2" t="n">
        <x:v>1</x:v>
      </x:c>
      <x:c r="K3430" s="2" t="n">
        <x:v>2</x:v>
      </x:c>
      <x:c r="L3430" s="2" t="str">
        <x:v>Hibernating</x:v>
      </x:c>
    </x:row>
    <x:row r="3431" ht="22" customHeight="1">
      <x:c r="A3431" s="2"/>
      <x:c r="B3431" s="2" t="str">
        <x:v>15771</x:v>
      </x:c>
      <x:c r="C3431" s="2" t="str">
        <x:v>United Kingdom</x:v>
      </x:c>
      <x:c r="D3431" s="25" t="n">
        <x:v>40193.30138888889</x:v>
      </x:c>
      <x:c r="E3431" s="25" t="n">
        <x:v>40282.37222222222</x:v>
      </x:c>
      <x:c r="F3431" s="2" t="n">
        <x:v>605</x:v>
      </x:c>
      <x:c r="G3431" s="2" t="n">
        <x:v>3</x:v>
      </x:c>
      <x:c r="H3431" s="11" t="n">
        <x:v>1006.54</x:v>
      </x:c>
      <x:c r="I3431" s="2" t="n">
        <x:v>1</x:v>
      </x:c>
      <x:c r="J3431" s="2" t="n">
        <x:v>3</x:v>
      </x:c>
      <x:c r="K3431" s="2" t="n">
        <x:v>3</x:v>
      </x:c>
      <x:c r="L3431" s="2" t="str">
        <x:v>At risk</x:v>
      </x:c>
    </x:row>
    <x:row r="3432" ht="22" customHeight="1">
      <x:c r="A3432" s="2"/>
      <x:c r="B3432" s="2" t="str">
        <x:v>15772</x:v>
      </x:c>
      <x:c r="C3432" s="2" t="str">
        <x:v>United Kingdom</x:v>
      </x:c>
      <x:c r="D3432" s="25" t="n">
        <x:v>40468.35625</x:v>
      </x:c>
      <x:c r="E3432" s="25" t="n">
        <x:v>40468.35625</x:v>
      </x:c>
      <x:c r="F3432" s="2" t="n">
        <x:v>419</x:v>
      </x:c>
      <x:c r="G3432" s="2" t="n">
        <x:v>1</x:v>
      </x:c>
      <x:c r="H3432" s="11" t="n">
        <x:v>280.88</x:v>
      </x:c>
      <x:c r="I3432" s="2" t="n">
        <x:v>1</x:v>
      </x:c>
      <x:c r="J3432" s="2" t="n">
        <x:v>1</x:v>
      </x:c>
      <x:c r="K3432" s="2" t="n">
        <x:v>1</x:v>
      </x:c>
      <x:c r="L3432" s="2" t="str">
        <x:v>Hibernating</x:v>
      </x:c>
    </x:row>
    <x:row r="3433" ht="22" customHeight="1">
      <x:c r="A3433" s="2"/>
      <x:c r="B3433" s="2" t="str">
        <x:v>15773</x:v>
      </x:c>
      <x:c r="C3433" s="2" t="str">
        <x:v>United Kingdom</x:v>
      </x:c>
      <x:c r="D3433" s="25" t="n">
        <x:v>40477.43541666667</x:v>
      </x:c>
      <x:c r="E3433" s="25" t="n">
        <x:v>40881.325</x:v>
      </x:c>
      <x:c r="F3433" s="2" t="n">
        <x:v>6</x:v>
      </x:c>
      <x:c r="G3433" s="2" t="n">
        <x:v>2</x:v>
      </x:c>
      <x:c r="H3433" s="11" t="n">
        <x:v>774.52</x:v>
      </x:c>
      <x:c r="I3433" s="2" t="n">
        <x:v>5</x:v>
      </x:c>
      <x:c r="J3433" s="2" t="n">
        <x:v>2</x:v>
      </x:c>
      <x:c r="K3433" s="2" t="n">
        <x:v>3</x:v>
      </x:c>
      <x:c r="L3433" s="2" t="str">
        <x:v>Recent light buyers</x:v>
      </x:c>
    </x:row>
    <x:row r="3434" ht="22" customHeight="1">
      <x:c r="A3434" s="2"/>
      <x:c r="B3434" s="2" t="str">
        <x:v>15774</x:v>
      </x:c>
      <x:c r="C3434" s="2" t="str">
        <x:v>United Kingdom</x:v>
      </x:c>
      <x:c r="D3434" s="25" t="n">
        <x:v>40230.33125</x:v>
      </x:c>
      <x:c r="E3434" s="25" t="n">
        <x:v>40818.294444444444</x:v>
      </x:c>
      <x:c r="F3434" s="2" t="n">
        <x:v>69</x:v>
      </x:c>
      <x:c r="G3434" s="2" t="n">
        <x:v>6</x:v>
      </x:c>
      <x:c r="H3434" s="11" t="n">
        <x:v>1329.94</x:v>
      </x:c>
      <x:c r="I3434" s="2" t="n">
        <x:v>3</x:v>
      </x:c>
      <x:c r="J3434" s="2" t="n">
        <x:v>4</x:v>
      </x:c>
      <x:c r="K3434" s="2" t="n">
        <x:v>4</x:v>
      </x:c>
      <x:c r="L3434" s="2" t="str">
        <x:v>Loyal</x:v>
      </x:c>
    </x:row>
    <x:row r="3435" ht="22" customHeight="1">
      <x:c r="A3435" s="2"/>
      <x:c r="B3435" s="2" t="str">
        <x:v>15775</x:v>
      </x:c>
      <x:c r="C3435" s="2" t="str">
        <x:v>United Kingdom</x:v>
      </x:c>
      <x:c r="D3435" s="25" t="n">
        <x:v>40255.10555555556</x:v>
      </x:c>
      <x:c r="E3435" s="25" t="n">
        <x:v>40641.330555555556</x:v>
      </x:c>
      <x:c r="F3435" s="2" t="n">
        <x:v>246</x:v>
      </x:c>
      <x:c r="G3435" s="2" t="n">
        <x:v>2</x:v>
      </x:c>
      <x:c r="H3435" s="11" t="n">
        <x:v>150.5</x:v>
      </x:c>
      <x:c r="I3435" s="2" t="n">
        <x:v>2</x:v>
      </x:c>
      <x:c r="J3435" s="2" t="n">
        <x:v>2</x:v>
      </x:c>
      <x:c r="K3435" s="2" t="n">
        <x:v>1</x:v>
      </x:c>
      <x:c r="L3435" s="2" t="str">
        <x:v>Hibernating</x:v>
      </x:c>
    </x:row>
    <x:row r="3436" ht="22" customHeight="1">
      <x:c r="A3436" s="2"/>
      <x:c r="B3436" s="2" t="str">
        <x:v>15776</x:v>
      </x:c>
      <x:c r="C3436" s="2" t="str">
        <x:v>United Kingdom</x:v>
      </x:c>
      <x:c r="D3436" s="25" t="n">
        <x:v>40753.365277777775</x:v>
      </x:c>
      <x:c r="E3436" s="25" t="n">
        <x:v>40753.365277777775</x:v>
      </x:c>
      <x:c r="F3436" s="2" t="n">
        <x:v>134</x:v>
      </x:c>
      <x:c r="G3436" s="2" t="n">
        <x:v>1</x:v>
      </x:c>
      <x:c r="H3436" s="11" t="n">
        <x:v>241.62</x:v>
      </x:c>
      <x:c r="I3436" s="2" t="n">
        <x:v>3</x:v>
      </x:c>
      <x:c r="J3436" s="2" t="n">
        <x:v>1</x:v>
      </x:c>
      <x:c r="K3436" s="2" t="n">
        <x:v>1</x:v>
      </x:c>
      <x:c r="L3436" s="2" t="str">
        <x:v>Developing</x:v>
      </x:c>
    </x:row>
    <x:row r="3437" ht="22" customHeight="1">
      <x:c r="A3437" s="2"/>
      <x:c r="B3437" s="2" t="str">
        <x:v>15777</x:v>
      </x:c>
      <x:c r="C3437" s="2" t="str">
        <x:v>United Kingdom</x:v>
      </x:c>
      <x:c r="D3437" s="25" t="n">
        <x:v>40318.23402777778</x:v>
      </x:c>
      <x:c r="E3437" s="25" t="n">
        <x:v>40645.48819444444</x:v>
      </x:c>
      <x:c r="F3437" s="2" t="n">
        <x:v>242</x:v>
      </x:c>
      <x:c r="G3437" s="2" t="n">
        <x:v>7</x:v>
      </x:c>
      <x:c r="H3437" s="11" t="n">
        <x:v>1762.61</x:v>
      </x:c>
      <x:c r="I3437" s="2" t="n">
        <x:v>2</x:v>
      </x:c>
      <x:c r="J3437" s="2" t="n">
        <x:v>4</x:v>
      </x:c>
      <x:c r="K3437" s="2" t="n">
        <x:v>4</x:v>
      </x:c>
      <x:c r="L3437" s="2" t="str">
        <x:v>At risk</x:v>
      </x:c>
    </x:row>
    <x:row r="3438" ht="22" customHeight="1">
      <x:c r="A3438" s="2"/>
      <x:c r="B3438" s="2" t="str">
        <x:v>15778</x:v>
      </x:c>
      <x:c r="C3438" s="2" t="str">
        <x:v>United Kingdom</x:v>
      </x:c>
      <x:c r="D3438" s="25" t="n">
        <x:v>40455.42361111111</x:v>
      </x:c>
      <x:c r="E3438" s="25" t="n">
        <x:v>40455.42361111111</x:v>
      </x:c>
      <x:c r="F3438" s="2" t="n">
        <x:v>432</x:v>
      </x:c>
      <x:c r="G3438" s="2" t="n">
        <x:v>1</x:v>
      </x:c>
      <x:c r="H3438" s="11" t="n">
        <x:v>307.95</x:v>
      </x:c>
      <x:c r="I3438" s="2" t="n">
        <x:v>1</x:v>
      </x:c>
      <x:c r="J3438" s="2" t="n">
        <x:v>1</x:v>
      </x:c>
      <x:c r="K3438" s="2" t="n">
        <x:v>2</x:v>
      </x:c>
      <x:c r="L3438" s="2" t="str">
        <x:v>Hibernating</x:v>
      </x:c>
    </x:row>
    <x:row r="3439" ht="22" customHeight="1">
      <x:c r="A3439" s="2"/>
      <x:c r="B3439" s="2" t="str">
        <x:v>15779</x:v>
      </x:c>
      <x:c r="C3439" s="2" t="str">
        <x:v>United Kingdom</x:v>
      </x:c>
      <x:c r="D3439" s="25" t="n">
        <x:v>40354.45486111111</x:v>
      </x:c>
      <x:c r="E3439" s="25" t="n">
        <x:v>40423.48611111111</x:v>
      </x:c>
      <x:c r="F3439" s="2" t="n">
        <x:v>464</x:v>
      </x:c>
      <x:c r="G3439" s="2" t="n">
        <x:v>2</x:v>
      </x:c>
      <x:c r="H3439" s="11" t="n">
        <x:v>124.08</x:v>
      </x:c>
      <x:c r="I3439" s="2" t="n">
        <x:v>1</x:v>
      </x:c>
      <x:c r="J3439" s="2" t="n">
        <x:v>2</x:v>
      </x:c>
      <x:c r="K3439" s="2" t="n">
        <x:v>1</x:v>
      </x:c>
      <x:c r="L3439" s="2" t="str">
        <x:v>Hibernating</x:v>
      </x:c>
    </x:row>
    <x:row r="3440" ht="22" customHeight="1">
      <x:c r="A3440" s="2"/>
      <x:c r="B3440" s="2" t="str">
        <x:v>15780</x:v>
      </x:c>
      <x:c r="C3440" s="2" t="str">
        <x:v>United Kingdom</x:v>
      </x:c>
      <x:c r="D3440" s="25" t="n">
        <x:v>40529.279861111114</x:v>
      </x:c>
      <x:c r="E3440" s="25" t="n">
        <x:v>40703.29236111111</x:v>
      </x:c>
      <x:c r="F3440" s="2" t="n">
        <x:v>184</x:v>
      </x:c>
      <x:c r="G3440" s="2" t="n">
        <x:v>3</x:v>
      </x:c>
      <x:c r="H3440" s="11" t="n">
        <x:v>475.28</x:v>
      </x:c>
      <x:c r="I3440" s="2" t="n">
        <x:v>3</x:v>
      </x:c>
      <x:c r="J3440" s="2" t="n">
        <x:v>3</x:v>
      </x:c>
      <x:c r="K3440" s="2" t="n">
        <x:v>2</x:v>
      </x:c>
      <x:c r="L3440" s="2" t="str">
        <x:v>Loyal</x:v>
      </x:c>
    </x:row>
    <x:row r="3441" ht="22" customHeight="1">
      <x:c r="A3441" s="2"/>
      <x:c r="B3441" s="2" t="str">
        <x:v>15781</x:v>
      </x:c>
      <x:c r="C3441" s="2" t="str">
        <x:v>United Kingdom</x:v>
      </x:c>
      <x:c r="D3441" s="25" t="n">
        <x:v>40581.177083333336</x:v>
      </x:c>
      <x:c r="E3441" s="25" t="n">
        <x:v>40861.41458333333</x:v>
      </x:c>
      <x:c r="F3441" s="2" t="n">
        <x:v>26</x:v>
      </x:c>
      <x:c r="G3441" s="2" t="n">
        <x:v>3</x:v>
      </x:c>
      <x:c r="H3441" s="11" t="n">
        <x:v>345.46</x:v>
      </x:c>
      <x:c r="I3441" s="2" t="n">
        <x:v>4</x:v>
      </x:c>
      <x:c r="J3441" s="2" t="n">
        <x:v>3</x:v>
      </x:c>
      <x:c r="K3441" s="2" t="n">
        <x:v>2</x:v>
      </x:c>
      <x:c r="L3441" s="2" t="str">
        <x:v>Loyal</x:v>
      </x:c>
    </x:row>
    <x:row r="3442" ht="22" customHeight="1">
      <x:c r="A3442" s="2"/>
      <x:c r="B3442" s="2" t="str">
        <x:v>15782</x:v>
      </x:c>
      <x:c r="C3442" s="2" t="str">
        <x:v>United Kingdom</x:v>
      </x:c>
      <x:c r="D3442" s="25" t="n">
        <x:v>40456.44652777778</x:v>
      </x:c>
      <x:c r="E3442" s="25" t="n">
        <x:v>40877.24236111111</x:v>
      </x:c>
      <x:c r="F3442" s="2" t="n">
        <x:v>10</x:v>
      </x:c>
      <x:c r="G3442" s="2" t="n">
        <x:v>4</x:v>
      </x:c>
      <x:c r="H3442" s="11" t="n">
        <x:v>4014.1</x:v>
      </x:c>
      <x:c r="I3442" s="2" t="n">
        <x:v>5</x:v>
      </x:c>
      <x:c r="J3442" s="2" t="n">
        <x:v>3</x:v>
      </x:c>
      <x:c r="K3442" s="2" t="n">
        <x:v>5</x:v>
      </x:c>
      <x:c r="L3442" s="2" t="str">
        <x:v>Loyal</x:v>
      </x:c>
    </x:row>
    <x:row r="3443" ht="22" customHeight="1">
      <x:c r="A3443" s="2"/>
      <x:c r="B3443" s="2" t="str">
        <x:v>15783</x:v>
      </x:c>
      <x:c r="C3443" s="2" t="str">
        <x:v>United Kingdom</x:v>
      </x:c>
      <x:c r="D3443" s="25" t="n">
        <x:v>40876.20138888889</x:v>
      </x:c>
      <x:c r="E3443" s="25" t="n">
        <x:v>40876.20138888889</x:v>
      </x:c>
      <x:c r="F3443" s="2" t="n">
        <x:v>11</x:v>
      </x:c>
      <x:c r="G3443" s="2" t="n">
        <x:v>1</x:v>
      </x:c>
      <x:c r="H3443" s="11" t="n">
        <x:v>246.3</x:v>
      </x:c>
      <x:c r="I3443" s="2" t="n">
        <x:v>5</x:v>
      </x:c>
      <x:c r="J3443" s="2" t="n">
        <x:v>1</x:v>
      </x:c>
      <x:c r="K3443" s="2" t="n">
        <x:v>1</x:v>
      </x:c>
      <x:c r="L3443" s="2" t="str">
        <x:v>Recent light buyers</x:v>
      </x:c>
    </x:row>
    <x:row r="3444" ht="22" customHeight="1">
      <x:c r="A3444" s="2"/>
      <x:c r="B3444" s="2" t="str">
        <x:v>15784</x:v>
      </x:c>
      <x:c r="C3444" s="2" t="str">
        <x:v>United Kingdom</x:v>
      </x:c>
      <x:c r="D3444" s="25" t="n">
        <x:v>40214.40416666667</x:v>
      </x:c>
      <x:c r="E3444" s="25" t="n">
        <x:v>40419.23472222222</x:v>
      </x:c>
      <x:c r="F3444" s="2" t="n">
        <x:v>468</x:v>
      </x:c>
      <x:c r="G3444" s="2" t="n">
        <x:v>2</x:v>
      </x:c>
      <x:c r="H3444" s="11" t="n">
        <x:v>848.33</x:v>
      </x:c>
      <x:c r="I3444" s="2" t="n">
        <x:v>1</x:v>
      </x:c>
      <x:c r="J3444" s="2" t="n">
        <x:v>2</x:v>
      </x:c>
      <x:c r="K3444" s="2" t="n">
        <x:v>3</x:v>
      </x:c>
      <x:c r="L3444" s="2" t="str">
        <x:v>Hibernating</x:v>
      </x:c>
    </x:row>
    <x:row r="3445" ht="22" customHeight="1">
      <x:c r="A3445" s="2"/>
      <x:c r="B3445" s="2" t="str">
        <x:v>15785</x:v>
      </x:c>
      <x:c r="C3445" s="2" t="str">
        <x:v>United Kingdom</x:v>
      </x:c>
      <x:c r="D3445" s="25" t="n">
        <x:v>40162.47777777778</x:v>
      </x:c>
      <x:c r="E3445" s="25" t="n">
        <x:v>40854.27291666667</x:v>
      </x:c>
      <x:c r="F3445" s="2" t="n">
        <x:v>33</x:v>
      </x:c>
      <x:c r="G3445" s="2" t="n">
        <x:v>16</x:v>
      </x:c>
      <x:c r="H3445" s="11" t="n">
        <x:v>5969.93</x:v>
      </x:c>
      <x:c r="I3445" s="2" t="n">
        <x:v>4</x:v>
      </x:c>
      <x:c r="J3445" s="2" t="n">
        <x:v>5</x:v>
      </x:c>
      <x:c r="K3445" s="2" t="n">
        <x:v>5</x:v>
      </x:c>
      <x:c r="L3445" s="2" t="str">
        <x:v>Champions</x:v>
      </x:c>
    </x:row>
    <x:row r="3446" ht="22" customHeight="1">
      <x:c r="A3446" s="2"/>
      <x:c r="B3446" s="2" t="str">
        <x:v>15786</x:v>
      </x:c>
      <x:c r="C3446" s="2" t="str">
        <x:v>United Kingdom</x:v>
      </x:c>
      <x:c r="D3446" s="25" t="n">
        <x:v>40350.217361111114</x:v>
      </x:c>
      <x:c r="E3446" s="25" t="n">
        <x:v>40840.38402777778</x:v>
      </x:c>
      <x:c r="F3446" s="2" t="n">
        <x:v>47</x:v>
      </x:c>
      <x:c r="G3446" s="2" t="n">
        <x:v>5</x:v>
      </x:c>
      <x:c r="H3446" s="11" t="n">
        <x:v>8514.82</x:v>
      </x:c>
      <x:c r="I3446" s="2" t="n">
        <x:v>4</x:v>
      </x:c>
      <x:c r="J3446" s="2" t="n">
        <x:v>4</x:v>
      </x:c>
      <x:c r="K3446" s="2" t="n">
        <x:v>5</x:v>
      </x:c>
      <x:c r="L3446" s="2" t="str">
        <x:v>Champions</x:v>
      </x:c>
    </x:row>
    <x:row r="3447" ht="22" customHeight="1">
      <x:c r="A3447" s="2"/>
      <x:c r="B3447" s="2" t="str">
        <x:v>15787</x:v>
      </x:c>
      <x:c r="C3447" s="2" t="str">
        <x:v>United Kingdom</x:v>
      </x:c>
      <x:c r="D3447" s="25" t="n">
        <x:v>40825.34097222222</x:v>
      </x:c>
      <x:c r="E3447" s="25" t="n">
        <x:v>40860.413194444445</x:v>
      </x:c>
      <x:c r="F3447" s="2" t="n">
        <x:v>27</x:v>
      </x:c>
      <x:c r="G3447" s="2" t="n">
        <x:v>3</x:v>
      </x:c>
      <x:c r="H3447" s="11" t="n">
        <x:v>948.05</x:v>
      </x:c>
      <x:c r="I3447" s="2" t="n">
        <x:v>4</x:v>
      </x:c>
      <x:c r="J3447" s="2" t="n">
        <x:v>3</x:v>
      </x:c>
      <x:c r="K3447" s="2" t="n">
        <x:v>3</x:v>
      </x:c>
      <x:c r="L3447" s="2" t="str">
        <x:v>Loyal</x:v>
      </x:c>
    </x:row>
    <x:row r="3448" ht="22" customHeight="1">
      <x:c r="A3448" s="2"/>
      <x:c r="B3448" s="2" t="str">
        <x:v>15788</x:v>
      </x:c>
      <x:c r="C3448" s="2" t="str">
        <x:v>United Kingdom</x:v>
      </x:c>
      <x:c r="D3448" s="25" t="n">
        <x:v>40378.325</x:v>
      </x:c>
      <x:c r="E3448" s="25" t="n">
        <x:v>40378.325</x:v>
      </x:c>
      <x:c r="F3448" s="2" t="n">
        <x:v>509</x:v>
      </x:c>
      <x:c r="G3448" s="2" t="n">
        <x:v>1</x:v>
      </x:c>
      <x:c r="H3448" s="11" t="n">
        <x:v>221.83</x:v>
      </x:c>
      <x:c r="I3448" s="2" t="n">
        <x:v>1</x:v>
      </x:c>
      <x:c r="J3448" s="2" t="n">
        <x:v>1</x:v>
      </x:c>
      <x:c r="K3448" s="2" t="n">
        <x:v>1</x:v>
      </x:c>
      <x:c r="L3448" s="2" t="str">
        <x:v>Hibernating</x:v>
      </x:c>
    </x:row>
    <x:row r="3449" ht="22" customHeight="1">
      <x:c r="A3449" s="2"/>
      <x:c r="B3449" s="2" t="str">
        <x:v>15789</x:v>
      </x:c>
      <x:c r="C3449" s="2" t="str">
        <x:v>United Kingdom</x:v>
      </x:c>
      <x:c r="D3449" s="25" t="n">
        <x:v>40263.26458333333</x:v>
      </x:c>
      <x:c r="E3449" s="25" t="n">
        <x:v>40528.399305555555</x:v>
      </x:c>
      <x:c r="F3449" s="2" t="n">
        <x:v>359</x:v>
      </x:c>
      <x:c r="G3449" s="2" t="n">
        <x:v>6</x:v>
      </x:c>
      <x:c r="H3449" s="11" t="n">
        <x:v>1962.01</x:v>
      </x:c>
      <x:c r="I3449" s="2" t="n">
        <x:v>2</x:v>
      </x:c>
      <x:c r="J3449" s="2" t="n">
        <x:v>4</x:v>
      </x:c>
      <x:c r="K3449" s="2" t="n">
        <x:v>4</x:v>
      </x:c>
      <x:c r="L3449" s="2" t="str">
        <x:v>At risk</x:v>
      </x:c>
    </x:row>
    <x:row r="3450" ht="22" customHeight="1">
      <x:c r="A3450" s="2"/>
      <x:c r="B3450" s="2" t="str">
        <x:v>15790</x:v>
      </x:c>
      <x:c r="C3450" s="2" t="str">
        <x:v>United Kingdom</x:v>
      </x:c>
      <x:c r="D3450" s="25" t="n">
        <x:v>40876.41180555556</x:v>
      </x:c>
      <x:c r="E3450" s="25" t="n">
        <x:v>40876.41180555556</x:v>
      </x:c>
      <x:c r="F3450" s="2" t="n">
        <x:v>11</x:v>
      </x:c>
      <x:c r="G3450" s="2" t="n">
        <x:v>1</x:v>
      </x:c>
      <x:c r="H3450" s="11" t="n">
        <x:v>220.85</x:v>
      </x:c>
      <x:c r="I3450" s="2" t="n">
        <x:v>5</x:v>
      </x:c>
      <x:c r="J3450" s="2" t="n">
        <x:v>1</x:v>
      </x:c>
      <x:c r="K3450" s="2" t="n">
        <x:v>1</x:v>
      </x:c>
      <x:c r="L3450" s="2" t="str">
        <x:v>Recent light buyers</x:v>
      </x:c>
    </x:row>
    <x:row r="3451" ht="22" customHeight="1">
      <x:c r="A3451" s="2"/>
      <x:c r="B3451" s="2" t="str">
        <x:v>15791</x:v>
      </x:c>
      <x:c r="C3451" s="2" t="str">
        <x:v>United Kingdom</x:v>
      </x:c>
      <x:c r="D3451" s="25" t="n">
        <x:v>40245.19513888889</x:v>
      </x:c>
      <x:c r="E3451" s="25" t="n">
        <x:v>40843.21805555555</x:v>
      </x:c>
      <x:c r="F3451" s="2" t="n">
        <x:v>44</x:v>
      </x:c>
      <x:c r="G3451" s="2" t="n">
        <x:v>5</x:v>
      </x:c>
      <x:c r="H3451" s="11" t="n">
        <x:v>3608.34</x:v>
      </x:c>
      <x:c r="I3451" s="2" t="n">
        <x:v>4</x:v>
      </x:c>
      <x:c r="J3451" s="2" t="n">
        <x:v>4</x:v>
      </x:c>
      <x:c r="K3451" s="2" t="n">
        <x:v>5</x:v>
      </x:c>
      <x:c r="L3451" s="2" t="str">
        <x:v>Champions</x:v>
      </x:c>
    </x:row>
    <x:row r="3452" ht="22" customHeight="1">
      <x:c r="A3452" s="2"/>
      <x:c r="B3452" s="2" t="str">
        <x:v>15792</x:v>
      </x:c>
      <x:c r="C3452" s="2" t="str">
        <x:v>United Kingdom</x:v>
      </x:c>
      <x:c r="D3452" s="25" t="n">
        <x:v>40268.19583333333</x:v>
      </x:c>
      <x:c r="E3452" s="25" t="n">
        <x:v>40487.13958333333</x:v>
      </x:c>
      <x:c r="F3452" s="2" t="n">
        <x:v>400</x:v>
      </x:c>
      <x:c r="G3452" s="2" t="n">
        <x:v>2</x:v>
      </x:c>
      <x:c r="H3452" s="11" t="n">
        <x:v>933.84</x:v>
      </x:c>
      <x:c r="I3452" s="2" t="n">
        <x:v>2</x:v>
      </x:c>
      <x:c r="J3452" s="2" t="n">
        <x:v>2</x:v>
      </x:c>
      <x:c r="K3452" s="2" t="n">
        <x:v>3</x:v>
      </x:c>
      <x:c r="L3452" s="2" t="str">
        <x:v>Hibernating</x:v>
      </x:c>
    </x:row>
    <x:row r="3453" ht="22" customHeight="1">
      <x:c r="A3453" s="2"/>
      <x:c r="B3453" s="2" t="str">
        <x:v>15793</x:v>
      </x:c>
      <x:c r="C3453" s="2" t="str">
        <x:v>United Kingdom</x:v>
      </x:c>
      <x:c r="D3453" s="25" t="n">
        <x:v>40148.32916666667</x:v>
      </x:c>
      <x:c r="E3453" s="25" t="n">
        <x:v>40872.18819444445</x:v>
      </x:c>
      <x:c r="F3453" s="2" t="n">
        <x:v>15</x:v>
      </x:c>
      <x:c r="G3453" s="2" t="n">
        <x:v>8</x:v>
      </x:c>
      <x:c r="H3453" s="11" t="n">
        <x:v>2399.57</x:v>
      </x:c>
      <x:c r="I3453" s="2" t="n">
        <x:v>5</x:v>
      </x:c>
      <x:c r="J3453" s="2" t="n">
        <x:v>4</x:v>
      </x:c>
      <x:c r="K3453" s="2" t="n">
        <x:v>4</x:v>
      </x:c>
      <x:c r="L3453" s="2" t="str">
        <x:v>Champions</x:v>
      </x:c>
    </x:row>
    <x:row r="3454" ht="22" customHeight="1">
      <x:c r="A3454" s="2"/>
      <x:c r="B3454" s="2" t="str">
        <x:v>15794</x:v>
      </x:c>
      <x:c r="C3454" s="2" t="str">
        <x:v>United Kingdom</x:v>
      </x:c>
      <x:c r="D3454" s="25" t="n">
        <x:v>40149.42361111111</x:v>
      </x:c>
      <x:c r="E3454" s="25" t="n">
        <x:v>40150.33611111111</x:v>
      </x:c>
      <x:c r="F3454" s="2" t="n">
        <x:v>737</x:v>
      </x:c>
      <x:c r="G3454" s="2" t="n">
        <x:v>2</x:v>
      </x:c>
      <x:c r="H3454" s="11" t="n">
        <x:v>777</x:v>
      </x:c>
      <x:c r="I3454" s="2" t="n">
        <x:v>1</x:v>
      </x:c>
      <x:c r="J3454" s="2" t="n">
        <x:v>2</x:v>
      </x:c>
      <x:c r="K3454" s="2" t="n">
        <x:v>3</x:v>
      </x:c>
      <x:c r="L3454" s="2" t="str">
        <x:v>Hibernating</x:v>
      </x:c>
    </x:row>
    <x:row r="3455" ht="22" customHeight="1">
      <x:c r="A3455" s="2"/>
      <x:c r="B3455" s="2" t="str">
        <x:v>15795</x:v>
      </x:c>
      <x:c r="C3455" s="2" t="str">
        <x:v>United Kingdom</x:v>
      </x:c>
      <x:c r="D3455" s="25" t="n">
        <x:v>40196.271527777775</x:v>
      </x:c>
      <x:c r="E3455" s="25" t="n">
        <x:v>40737.23819444444</x:v>
      </x:c>
      <x:c r="F3455" s="2" t="n">
        <x:v>150</x:v>
      </x:c>
      <x:c r="G3455" s="2" t="n">
        <x:v>8</x:v>
      </x:c>
      <x:c r="H3455" s="11" t="n">
        <x:v>1979.87</x:v>
      </x:c>
      <x:c r="I3455" s="2" t="n">
        <x:v>3</x:v>
      </x:c>
      <x:c r="J3455" s="2" t="n">
        <x:v>4</x:v>
      </x:c>
      <x:c r="K3455" s="2" t="n">
        <x:v>4</x:v>
      </x:c>
      <x:c r="L3455" s="2" t="str">
        <x:v>Loyal</x:v>
      </x:c>
    </x:row>
    <x:row r="3456" ht="22" customHeight="1">
      <x:c r="A3456" s="2"/>
      <x:c r="B3456" s="2" t="str">
        <x:v>15796</x:v>
      </x:c>
      <x:c r="C3456" s="2" t="str">
        <x:v>United Kingdom</x:v>
      </x:c>
      <x:c r="D3456" s="25" t="n">
        <x:v>40268.34027777778</x:v>
      </x:c>
      <x:c r="E3456" s="25" t="n">
        <x:v>40885.62152777778</x:v>
      </x:c>
      <x:c r="F3456" s="2" t="n">
        <x:v>2</x:v>
      </x:c>
      <x:c r="G3456" s="2" t="n">
        <x:v>17</x:v>
      </x:c>
      <x:c r="H3456" s="11" t="n">
        <x:v>5175.83</x:v>
      </x:c>
      <x:c r="I3456" s="2" t="n">
        <x:v>5</x:v>
      </x:c>
      <x:c r="J3456" s="2" t="n">
        <x:v>5</x:v>
      </x:c>
      <x:c r="K3456" s="2" t="n">
        <x:v>5</x:v>
      </x:c>
      <x:c r="L3456" s="2" t="str">
        <x:v>Champions</x:v>
      </x:c>
    </x:row>
    <x:row r="3457" ht="22" customHeight="1">
      <x:c r="A3457" s="2"/>
      <x:c r="B3457" s="2" t="str">
        <x:v>15797</x:v>
      </x:c>
      <x:c r="C3457" s="2" t="str">
        <x:v>United Kingdom</x:v>
      </x:c>
      <x:c r="D3457" s="25" t="n">
        <x:v>40205.34166666667</x:v>
      </x:c>
      <x:c r="E3457" s="25" t="n">
        <x:v>40773.50277777778</x:v>
      </x:c>
      <x:c r="F3457" s="2" t="n">
        <x:v>114</x:v>
      </x:c>
      <x:c r="G3457" s="2" t="n">
        <x:v>6</x:v>
      </x:c>
      <x:c r="H3457" s="11" t="n">
        <x:v>2821.08</x:v>
      </x:c>
      <x:c r="I3457" s="2" t="n">
        <x:v>3</x:v>
      </x:c>
      <x:c r="J3457" s="2" t="n">
        <x:v>4</x:v>
      </x:c>
      <x:c r="K3457" s="2" t="n">
        <x:v>4</x:v>
      </x:c>
      <x:c r="L3457" s="2" t="str">
        <x:v>Loyal</x:v>
      </x:c>
    </x:row>
    <x:row r="3458" ht="22" customHeight="1">
      <x:c r="A3458" s="2"/>
      <x:c r="B3458" s="2" t="str">
        <x:v>15798</x:v>
      </x:c>
      <x:c r="C3458" s="2" t="str">
        <x:v>United Kingdom</x:v>
      </x:c>
      <x:c r="D3458" s="25" t="n">
        <x:v>40205.288194444445</x:v>
      </x:c>
      <x:c r="E3458" s="25" t="n">
        <x:v>40394.17569444444</x:v>
      </x:c>
      <x:c r="F3458" s="2" t="n">
        <x:v>493</x:v>
      </x:c>
      <x:c r="G3458" s="2" t="n">
        <x:v>3</x:v>
      </x:c>
      <x:c r="H3458" s="11" t="n">
        <x:v>1535.37</x:v>
      </x:c>
      <x:c r="I3458" s="2" t="n">
        <x:v>1</x:v>
      </x:c>
      <x:c r="J3458" s="2" t="n">
        <x:v>3</x:v>
      </x:c>
      <x:c r="K3458" s="2" t="n">
        <x:v>4</x:v>
      </x:c>
      <x:c r="L3458" s="2" t="str">
        <x:v>At risk</x:v>
      </x:c>
    </x:row>
    <x:row r="3459" ht="22" customHeight="1">
      <x:c r="A3459" s="2"/>
      <x:c r="B3459" s="2" t="str">
        <x:v>15799</x:v>
      </x:c>
      <x:c r="C3459" s="2" t="str">
        <x:v>United Kingdom</x:v>
      </x:c>
      <x:c r="D3459" s="25" t="n">
        <x:v>40468.393055555556</x:v>
      </x:c>
      <x:c r="E3459" s="25" t="n">
        <x:v>40811.32361111111</x:v>
      </x:c>
      <x:c r="F3459" s="2" t="n">
        <x:v>76</x:v>
      </x:c>
      <x:c r="G3459" s="2" t="n">
        <x:v>4</x:v>
      </x:c>
      <x:c r="H3459" s="11" t="n">
        <x:v>1424.29</x:v>
      </x:c>
      <x:c r="I3459" s="2" t="n">
        <x:v>3</x:v>
      </x:c>
      <x:c r="J3459" s="2" t="n">
        <x:v>3</x:v>
      </x:c>
      <x:c r="K3459" s="2" t="n">
        <x:v>4</x:v>
      </x:c>
      <x:c r="L3459" s="2" t="str">
        <x:v>Loyal</x:v>
      </x:c>
    </x:row>
    <x:row r="3460" ht="22" customHeight="1">
      <x:c r="A3460" s="2"/>
      <x:c r="B3460" s="2" t="str">
        <x:v>15800</x:v>
      </x:c>
      <x:c r="C3460" s="2" t="str">
        <x:v>United Kingdom</x:v>
      </x:c>
      <x:c r="D3460" s="25" t="n">
        <x:v>40268.345138888886</x:v>
      </x:c>
      <x:c r="E3460" s="25" t="n">
        <x:v>40779.39097222222</x:v>
      </x:c>
      <x:c r="F3460" s="2" t="n">
        <x:v>108</x:v>
      </x:c>
      <x:c r="G3460" s="2" t="n">
        <x:v>7</x:v>
      </x:c>
      <x:c r="H3460" s="11" t="n">
        <x:v>1242.58</x:v>
      </x:c>
      <x:c r="I3460" s="2" t="n">
        <x:v>3</x:v>
      </x:c>
      <x:c r="J3460" s="2" t="n">
        <x:v>4</x:v>
      </x:c>
      <x:c r="K3460" s="2" t="n">
        <x:v>4</x:v>
      </x:c>
      <x:c r="L3460" s="2" t="str">
        <x:v>Loyal</x:v>
      </x:c>
    </x:row>
    <x:row r="3461" ht="22" customHeight="1">
      <x:c r="A3461" s="2"/>
      <x:c r="B3461" s="2" t="str">
        <x:v>15801</x:v>
      </x:c>
      <x:c r="C3461" s="2" t="str">
        <x:v>United Kingdom</x:v>
      </x:c>
      <x:c r="D3461" s="25" t="n">
        <x:v>40777.20347222222</x:v>
      </x:c>
      <x:c r="E3461" s="25" t="n">
        <x:v>40840.36944444444</x:v>
      </x:c>
      <x:c r="F3461" s="2" t="n">
        <x:v>47</x:v>
      </x:c>
      <x:c r="G3461" s="2" t="n">
        <x:v>3</x:v>
      </x:c>
      <x:c r="H3461" s="11" t="n">
        <x:v>1063.95</x:v>
      </x:c>
      <x:c r="I3461" s="2" t="n">
        <x:v>4</x:v>
      </x:c>
      <x:c r="J3461" s="2" t="n">
        <x:v>3</x:v>
      </x:c>
      <x:c r="K3461" s="2" t="n">
        <x:v>3</x:v>
      </x:c>
      <x:c r="L3461" s="2" t="str">
        <x:v>Loyal</x:v>
      </x:c>
    </x:row>
    <x:row r="3462" ht="22" customHeight="1">
      <x:c r="A3462" s="2"/>
      <x:c r="B3462" s="2" t="str">
        <x:v>15802</x:v>
      </x:c>
      <x:c r="C3462" s="2" t="str">
        <x:v>United Kingdom</x:v>
      </x:c>
      <x:c r="D3462" s="25" t="n">
        <x:v>40744.27638888889</x:v>
      </x:c>
      <x:c r="E3462" s="25" t="n">
        <x:v>40744.27638888889</x:v>
      </x:c>
      <x:c r="F3462" s="2" t="n">
        <x:v>143</x:v>
      </x:c>
      <x:c r="G3462" s="2" t="n">
        <x:v>1</x:v>
      </x:c>
      <x:c r="H3462" s="11" t="n">
        <x:v>451.42</x:v>
      </x:c>
      <x:c r="I3462" s="2" t="n">
        <x:v>3</x:v>
      </x:c>
      <x:c r="J3462" s="2" t="n">
        <x:v>1</x:v>
      </x:c>
      <x:c r="K3462" s="2" t="n">
        <x:v>2</x:v>
      </x:c>
      <x:c r="L3462" s="2" t="str">
        <x:v>Developing</x:v>
      </x:c>
    </x:row>
    <x:row r="3463" ht="22" customHeight="1">
      <x:c r="A3463" s="2"/>
      <x:c r="B3463" s="2" t="str">
        <x:v>15803</x:v>
      </x:c>
      <x:c r="C3463" s="2" t="str">
        <x:v>United Kingdom</x:v>
      </x:c>
      <x:c r="D3463" s="25" t="n">
        <x:v>40210.478472222225</x:v>
      </x:c>
      <x:c r="E3463" s="25" t="n">
        <x:v>40835.41388888889</x:v>
      </x:c>
      <x:c r="F3463" s="2" t="n">
        <x:v>52</x:v>
      </x:c>
      <x:c r="G3463" s="2" t="n">
        <x:v>4</x:v>
      </x:c>
      <x:c r="H3463" s="11" t="n">
        <x:v>1929.66</x:v>
      </x:c>
      <x:c r="I3463" s="2" t="n">
        <x:v>4</x:v>
      </x:c>
      <x:c r="J3463" s="2" t="n">
        <x:v>3</x:v>
      </x:c>
      <x:c r="K3463" s="2" t="n">
        <x:v>4</x:v>
      </x:c>
      <x:c r="L3463" s="2" t="str">
        <x:v>Loyal</x:v>
      </x:c>
    </x:row>
    <x:row r="3464" ht="22" customHeight="1">
      <x:c r="A3464" s="2"/>
      <x:c r="B3464" s="2" t="str">
        <x:v>15804</x:v>
      </x:c>
      <x:c r="C3464" s="2" t="str">
        <x:v>United Kingdom</x:v>
      </x:c>
      <x:c r="D3464" s="25" t="n">
        <x:v>40688.21666666667</x:v>
      </x:c>
      <x:c r="E3464" s="25" t="n">
        <x:v>40886.31319444445</x:v>
      </x:c>
      <x:c r="F3464" s="2" t="n">
        <x:v>1</x:v>
      </x:c>
      <x:c r="G3464" s="2" t="n">
        <x:v>13</x:v>
      </x:c>
      <x:c r="H3464" s="11" t="n">
        <x:v>4206.39</x:v>
      </x:c>
      <x:c r="I3464" s="2" t="n">
        <x:v>5</x:v>
      </x:c>
      <x:c r="J3464" s="2" t="n">
        <x:v>5</x:v>
      </x:c>
      <x:c r="K3464" s="2" t="n">
        <x:v>5</x:v>
      </x:c>
      <x:c r="L3464" s="2" t="str">
        <x:v>Champions</x:v>
      </x:c>
    </x:row>
    <x:row r="3465" ht="22" customHeight="1">
      <x:c r="A3465" s="2"/>
      <x:c r="B3465" s="2" t="str">
        <x:v>15805</x:v>
      </x:c>
      <x:c r="C3465" s="2" t="str">
        <x:v>United Kingdom</x:v>
      </x:c>
      <x:c r="D3465" s="25" t="n">
        <x:v>40157.33125</x:v>
      </x:c>
      <x:c r="E3465" s="25" t="n">
        <x:v>40863.48055555556</x:v>
      </x:c>
      <x:c r="F3465" s="2" t="n">
        <x:v>24</x:v>
      </x:c>
      <x:c r="G3465" s="2" t="n">
        <x:v>30</x:v>
      </x:c>
      <x:c r="H3465" s="11" t="n">
        <x:v>10189.23</x:v>
      </x:c>
      <x:c r="I3465" s="2" t="n">
        <x:v>4</x:v>
      </x:c>
      <x:c r="J3465" s="2" t="n">
        <x:v>5</x:v>
      </x:c>
      <x:c r="K3465" s="2" t="n">
        <x:v>5</x:v>
      </x:c>
      <x:c r="L3465" s="2" t="str">
        <x:v>Champions</x:v>
      </x:c>
    </x:row>
    <x:row r="3466" ht="22" customHeight="1">
      <x:c r="A3466" s="2"/>
      <x:c r="B3466" s="2" t="str">
        <x:v>15806</x:v>
      </x:c>
      <x:c r="C3466" s="2" t="str">
        <x:v>United Kingdom</x:v>
      </x:c>
      <x:c r="D3466" s="25" t="n">
        <x:v>40610.183333333334</x:v>
      </x:c>
      <x:c r="E3466" s="25" t="n">
        <x:v>40840.399305555555</x:v>
      </x:c>
      <x:c r="F3466" s="2" t="n">
        <x:v>47</x:v>
      </x:c>
      <x:c r="G3466" s="2" t="n">
        <x:v>3</x:v>
      </x:c>
      <x:c r="H3466" s="11" t="n">
        <x:v>784.58</x:v>
      </x:c>
      <x:c r="I3466" s="2" t="n">
        <x:v>4</x:v>
      </x:c>
      <x:c r="J3466" s="2" t="n">
        <x:v>3</x:v>
      </x:c>
      <x:c r="K3466" s="2" t="n">
        <x:v>3</x:v>
      </x:c>
      <x:c r="L3466" s="2" t="str">
        <x:v>Loyal</x:v>
      </x:c>
    </x:row>
    <x:row r="3467" ht="22" customHeight="1">
      <x:c r="A3467" s="2"/>
      <x:c r="B3467" s="2" t="str">
        <x:v>15807</x:v>
      </x:c>
      <x:c r="C3467" s="2" t="str">
        <x:v>United Kingdom</x:v>
      </x:c>
      <x:c r="D3467" s="25" t="n">
        <x:v>40220.438888888886</x:v>
      </x:c>
      <x:c r="E3467" s="25" t="n">
        <x:v>40836.381944444445</x:v>
      </x:c>
      <x:c r="F3467" s="2" t="n">
        <x:v>51</x:v>
      </x:c>
      <x:c r="G3467" s="2" t="n">
        <x:v>5</x:v>
      </x:c>
      <x:c r="H3467" s="11" t="n">
        <x:v>1817.52</x:v>
      </x:c>
      <x:c r="I3467" s="2" t="n">
        <x:v>4</x:v>
      </x:c>
      <x:c r="J3467" s="2" t="n">
        <x:v>4</x:v>
      </x:c>
      <x:c r="K3467" s="2" t="n">
        <x:v>4</x:v>
      </x:c>
      <x:c r="L3467" s="2" t="str">
        <x:v>Champions</x:v>
      </x:c>
    </x:row>
    <x:row r="3468" ht="22" customHeight="1">
      <x:c r="A3468" s="2"/>
      <x:c r="B3468" s="2" t="str">
        <x:v>15808</x:v>
      </x:c>
      <x:c r="C3468" s="2" t="str">
        <x:v>United Kingdom</x:v>
      </x:c>
      <x:c r="D3468" s="25" t="n">
        <x:v>40148.479166666664</x:v>
      </x:c>
      <x:c r="E3468" s="25" t="n">
        <x:v>40580.39791666667</x:v>
      </x:c>
      <x:c r="F3468" s="2" t="n">
        <x:v>307</x:v>
      </x:c>
      <x:c r="G3468" s="2" t="n">
        <x:v>21</x:v>
      </x:c>
      <x:c r="H3468" s="11" t="n">
        <x:v>17388.48</x:v>
      </x:c>
      <x:c r="I3468" s="2" t="n">
        <x:v>2</x:v>
      </x:c>
      <x:c r="J3468" s="2" t="n">
        <x:v>5</x:v>
      </x:c>
      <x:c r="K3468" s="2" t="n">
        <x:v>5</x:v>
      </x:c>
      <x:c r="L3468" s="2" t="str">
        <x:v>At risk</x:v>
      </x:c>
    </x:row>
    <x:row r="3469" ht="22" customHeight="1">
      <x:c r="A3469" s="2"/>
      <x:c r="B3469" s="2" t="str">
        <x:v>15809</x:v>
      </x:c>
      <x:c r="C3469" s="2" t="str">
        <x:v>United Kingdom</x:v>
      </x:c>
      <x:c r="D3469" s="25" t="n">
        <x:v>40351.39097222222</x:v>
      </x:c>
      <x:c r="E3469" s="25" t="n">
        <x:v>40850.48611111111</x:v>
      </x:c>
      <x:c r="F3469" s="2" t="n">
        <x:v>37</x:v>
      </x:c>
      <x:c r="G3469" s="2" t="n">
        <x:v>7</x:v>
      </x:c>
      <x:c r="H3469" s="11" t="n">
        <x:v>1274.44</x:v>
      </x:c>
      <x:c r="I3469" s="2" t="n">
        <x:v>4</x:v>
      </x:c>
      <x:c r="J3469" s="2" t="n">
        <x:v>4</x:v>
      </x:c>
      <x:c r="K3469" s="2" t="n">
        <x:v>4</x:v>
      </x:c>
      <x:c r="L3469" s="2" t="str">
        <x:v>Champions</x:v>
      </x:c>
    </x:row>
    <x:row r="3470" ht="22" customHeight="1">
      <x:c r="A3470" s="2"/>
      <x:c r="B3470" s="2" t="str">
        <x:v>15810</x:v>
      </x:c>
      <x:c r="C3470" s="2" t="str">
        <x:v>United Kingdom</x:v>
      </x:c>
      <x:c r="D3470" s="25" t="n">
        <x:v>40213.55416666667</x:v>
      </x:c>
      <x:c r="E3470" s="25" t="n">
        <x:v>40808.19305555556</x:v>
      </x:c>
      <x:c r="F3470" s="2" t="n">
        <x:v>79</x:v>
      </x:c>
      <x:c r="G3470" s="2" t="n">
        <x:v>8</x:v>
      </x:c>
      <x:c r="H3470" s="11" t="n">
        <x:v>2999.04</x:v>
      </x:c>
      <x:c r="I3470" s="2" t="n">
        <x:v>3</x:v>
      </x:c>
      <x:c r="J3470" s="2" t="n">
        <x:v>4</x:v>
      </x:c>
      <x:c r="K3470" s="2" t="n">
        <x:v>5</x:v>
      </x:c>
      <x:c r="L3470" s="2" t="str">
        <x:v>Loyal</x:v>
      </x:c>
    </x:row>
    <x:row r="3471" ht="22" customHeight="1">
      <x:c r="A3471" s="2"/>
      <x:c r="B3471" s="2" t="str">
        <x:v>15811</x:v>
      </x:c>
      <x:c r="C3471" s="2" t="str">
        <x:v>United Kingdom</x:v>
      </x:c>
      <x:c r="D3471" s="25" t="n">
        <x:v>40498.490277777775</x:v>
      </x:c>
      <x:c r="E3471" s="25" t="n">
        <x:v>40864.43819444445</x:v>
      </x:c>
      <x:c r="F3471" s="2" t="n">
        <x:v>23</x:v>
      </x:c>
      <x:c r="G3471" s="2" t="n">
        <x:v>7</x:v>
      </x:c>
      <x:c r="H3471" s="11" t="n">
        <x:v>3600.67</x:v>
      </x:c>
      <x:c r="I3471" s="2" t="n">
        <x:v>4</x:v>
      </x:c>
      <x:c r="J3471" s="2" t="n">
        <x:v>4</x:v>
      </x:c>
      <x:c r="K3471" s="2" t="n">
        <x:v>5</x:v>
      </x:c>
      <x:c r="L3471" s="2" t="str">
        <x:v>Champions</x:v>
      </x:c>
    </x:row>
    <x:row r="3472" ht="22" customHeight="1">
      <x:c r="A3472" s="2"/>
      <x:c r="B3472" s="2" t="str">
        <x:v>15812</x:v>
      </x:c>
      <x:c r="C3472" s="2" t="str">
        <x:v>United Kingdom</x:v>
      </x:c>
      <x:c r="D3472" s="25" t="n">
        <x:v>40162.36111111111</x:v>
      </x:c>
      <x:c r="E3472" s="25" t="n">
        <x:v>40779.388194444444</x:v>
      </x:c>
      <x:c r="F3472" s="2" t="n">
        <x:v>108</x:v>
      </x:c>
      <x:c r="G3472" s="2" t="n">
        <x:v>12</x:v>
      </x:c>
      <x:c r="H3472" s="11" t="n">
        <x:v>5201.47</x:v>
      </x:c>
      <x:c r="I3472" s="2" t="n">
        <x:v>3</x:v>
      </x:c>
      <x:c r="J3472" s="2" t="n">
        <x:v>5</x:v>
      </x:c>
      <x:c r="K3472" s="2" t="n">
        <x:v>5</x:v>
      </x:c>
      <x:c r="L3472" s="2" t="str">
        <x:v>Loyal</x:v>
      </x:c>
    </x:row>
    <x:row r="3473" ht="22" customHeight="1">
      <x:c r="A3473" s="2"/>
      <x:c r="B3473" s="2" t="str">
        <x:v>15813</x:v>
      </x:c>
      <x:c r="C3473" s="2" t="str">
        <x:v>United Kingdom</x:v>
      </x:c>
      <x:c r="D3473" s="25" t="n">
        <x:v>40647.17291666667</x:v>
      </x:c>
      <x:c r="E3473" s="25" t="n">
        <x:v>40679.13402777778</x:v>
      </x:c>
      <x:c r="F3473" s="2" t="n">
        <x:v>208</x:v>
      </x:c>
      <x:c r="G3473" s="2" t="n">
        <x:v>2</x:v>
      </x:c>
      <x:c r="H3473" s="11" t="n">
        <x:v>1303.91</x:v>
      </x:c>
      <x:c r="I3473" s="2" t="n">
        <x:v>2</x:v>
      </x:c>
      <x:c r="J3473" s="2" t="n">
        <x:v>2</x:v>
      </x:c>
      <x:c r="K3473" s="2" t="n">
        <x:v>4</x:v>
      </x:c>
      <x:c r="L3473" s="2" t="str">
        <x:v>Hibernating</x:v>
      </x:c>
    </x:row>
    <x:row r="3474" ht="22" customHeight="1">
      <x:c r="A3474" s="2"/>
      <x:c r="B3474" s="2" t="str">
        <x:v>15814</x:v>
      </x:c>
      <x:c r="C3474" s="2" t="str">
        <x:v>United Kingdom</x:v>
      </x:c>
      <x:c r="D3474" s="25" t="n">
        <x:v>40283.396527777775</x:v>
      </x:c>
      <x:c r="E3474" s="25" t="n">
        <x:v>40870.13680555556</x:v>
      </x:c>
      <x:c r="F3474" s="2" t="n">
        <x:v>17</x:v>
      </x:c>
      <x:c r="G3474" s="2" t="n">
        <x:v>6</x:v>
      </x:c>
      <x:c r="H3474" s="11" t="n">
        <x:v>2634.44</x:v>
      </x:c>
      <x:c r="I3474" s="2" t="n">
        <x:v>5</x:v>
      </x:c>
      <x:c r="J3474" s="2" t="n">
        <x:v>4</x:v>
      </x:c>
      <x:c r="K3474" s="2" t="n">
        <x:v>4</x:v>
      </x:c>
      <x:c r="L3474" s="2" t="str">
        <x:v>Champions</x:v>
      </x:c>
    </x:row>
    <x:row r="3475" ht="22" customHeight="1">
      <x:c r="A3475" s="2"/>
      <x:c r="B3475" s="2" t="str">
        <x:v>15815</x:v>
      </x:c>
      <x:c r="C3475" s="2" t="str">
        <x:v>United Kingdom</x:v>
      </x:c>
      <x:c r="D3475" s="25" t="n">
        <x:v>40627.154861111114</x:v>
      </x:c>
      <x:c r="E3475" s="25" t="n">
        <x:v>40823.32083333333</x:v>
      </x:c>
      <x:c r="F3475" s="2" t="n">
        <x:v>64</x:v>
      </x:c>
      <x:c r="G3475" s="2" t="n">
        <x:v>5</x:v>
      </x:c>
      <x:c r="H3475" s="11" t="n">
        <x:v>2100.6</x:v>
      </x:c>
      <x:c r="I3475" s="2" t="n">
        <x:v>3</x:v>
      </x:c>
      <x:c r="J3475" s="2" t="n">
        <x:v>4</x:v>
      </x:c>
      <x:c r="K3475" s="2" t="n">
        <x:v>4</x:v>
      </x:c>
      <x:c r="L3475" s="2" t="str">
        <x:v>Loyal</x:v>
      </x:c>
    </x:row>
    <x:row r="3476" ht="22" customHeight="1">
      <x:c r="A3476" s="2"/>
      <x:c r="B3476" s="2" t="str">
        <x:v>15816</x:v>
      </x:c>
      <x:c r="C3476" s="2" t="str">
        <x:v>United Kingdom</x:v>
      </x:c>
      <x:c r="D3476" s="25" t="n">
        <x:v>40344.32916666667</x:v>
      </x:c>
      <x:c r="E3476" s="25" t="n">
        <x:v>40344.35833333333</x:v>
      </x:c>
      <x:c r="F3476" s="2" t="n">
        <x:v>543</x:v>
      </x:c>
      <x:c r="G3476" s="2" t="n">
        <x:v>2</x:v>
      </x:c>
      <x:c r="H3476" s="11" t="n">
        <x:v>144.15</x:v>
      </x:c>
      <x:c r="I3476" s="2" t="n">
        <x:v>1</x:v>
      </x:c>
      <x:c r="J3476" s="2" t="n">
        <x:v>2</x:v>
      </x:c>
      <x:c r="K3476" s="2" t="n">
        <x:v>1</x:v>
      </x:c>
      <x:c r="L3476" s="2" t="str">
        <x:v>Hibernating</x:v>
      </x:c>
    </x:row>
    <x:row r="3477" ht="22" customHeight="1">
      <x:c r="A3477" s="2"/>
      <x:c r="B3477" s="2" t="str">
        <x:v>15817</x:v>
      </x:c>
      <x:c r="C3477" s="2" t="str">
        <x:v>United Kingdom</x:v>
      </x:c>
      <x:c r="D3477" s="25" t="n">
        <x:v>40343.35486111111</x:v>
      </x:c>
      <x:c r="E3477" s="25" t="n">
        <x:v>40466.25486111111</x:v>
      </x:c>
      <x:c r="F3477" s="2" t="n">
        <x:v>421</x:v>
      </x:c>
      <x:c r="G3477" s="2" t="n">
        <x:v>3</x:v>
      </x:c>
      <x:c r="H3477" s="11" t="n">
        <x:v>2766.4</x:v>
      </x:c>
      <x:c r="I3477" s="2" t="n">
        <x:v>1</x:v>
      </x:c>
      <x:c r="J3477" s="2" t="n">
        <x:v>3</x:v>
      </x:c>
      <x:c r="K3477" s="2" t="n">
        <x:v>4</x:v>
      </x:c>
      <x:c r="L3477" s="2" t="str">
        <x:v>At risk</x:v>
      </x:c>
    </x:row>
    <x:row r="3478" ht="22" customHeight="1">
      <x:c r="A3478" s="2"/>
      <x:c r="B3478" s="2" t="str">
        <x:v>15818</x:v>
      </x:c>
      <x:c r="C3478" s="2" t="str">
        <x:v>United Kingdom</x:v>
      </x:c>
      <x:c r="D3478" s="25" t="n">
        <x:v>40298.33194444444</x:v>
      </x:c>
      <x:c r="E3478" s="25" t="n">
        <x:v>40298.33194444444</x:v>
      </x:c>
      <x:c r="F3478" s="2" t="n">
        <x:v>589</x:v>
      </x:c>
      <x:c r="G3478" s="2" t="n">
        <x:v>1</x:v>
      </x:c>
      <x:c r="H3478" s="11" t="n">
        <x:v>340.5</x:v>
      </x:c>
      <x:c r="I3478" s="2" t="n">
        <x:v>1</x:v>
      </x:c>
      <x:c r="J3478" s="2" t="n">
        <x:v>1</x:v>
      </x:c>
      <x:c r="K3478" s="2" t="n">
        <x:v>2</x:v>
      </x:c>
      <x:c r="L3478" s="2" t="str">
        <x:v>Hibernating</x:v>
      </x:c>
    </x:row>
    <x:row r="3479" ht="22" customHeight="1">
      <x:c r="A3479" s="2"/>
      <x:c r="B3479" s="2" t="str">
        <x:v>15819</x:v>
      </x:c>
      <x:c r="C3479" s="2" t="str">
        <x:v>United Kingdom</x:v>
      </x:c>
      <x:c r="D3479" s="25" t="n">
        <x:v>40255.25555555556</x:v>
      </x:c>
      <x:c r="E3479" s="25" t="n">
        <x:v>40837.40972222222</x:v>
      </x:c>
      <x:c r="F3479" s="2" t="n">
        <x:v>50</x:v>
      </x:c>
      <x:c r="G3479" s="2" t="n">
        <x:v>10</x:v>
      </x:c>
      <x:c r="H3479" s="11" t="n">
        <x:v>3934.79</x:v>
      </x:c>
      <x:c r="I3479" s="2" t="n">
        <x:v>4</x:v>
      </x:c>
      <x:c r="J3479" s="2" t="n">
        <x:v>5</x:v>
      </x:c>
      <x:c r="K3479" s="2" t="n">
        <x:v>5</x:v>
      </x:c>
      <x:c r="L3479" s="2" t="str">
        <x:v>Champions</x:v>
      </x:c>
    </x:row>
    <x:row r="3480" ht="22" customHeight="1">
      <x:c r="A3480" s="2"/>
      <x:c r="B3480" s="2" t="str">
        <x:v>15820</x:v>
      </x:c>
      <x:c r="C3480" s="2" t="str">
        <x:v>United Kingdom</x:v>
      </x:c>
      <x:c r="D3480" s="25" t="n">
        <x:v>40567.291666666664</x:v>
      </x:c>
      <x:c r="E3480" s="25" t="n">
        <x:v>40567.291666666664</x:v>
      </x:c>
      <x:c r="F3480" s="2" t="n">
        <x:v>320</x:v>
      </x:c>
      <x:c r="G3480" s="2" t="n">
        <x:v>1</x:v>
      </x:c>
      <x:c r="H3480" s="11" t="n">
        <x:v>206.98</x:v>
      </x:c>
      <x:c r="I3480" s="2" t="n">
        <x:v>2</x:v>
      </x:c>
      <x:c r="J3480" s="2" t="n">
        <x:v>1</x:v>
      </x:c>
      <x:c r="K3480" s="2" t="n">
        <x:v>1</x:v>
      </x:c>
      <x:c r="L3480" s="2" t="str">
        <x:v>Hibernating</x:v>
      </x:c>
    </x:row>
    <x:row r="3481" ht="22" customHeight="1">
      <x:c r="A3481" s="2"/>
      <x:c r="B3481" s="2" t="str">
        <x:v>15821</x:v>
      </x:c>
      <x:c r="C3481" s="2" t="str">
        <x:v>United Kingdom</x:v>
      </x:c>
      <x:c r="D3481" s="25" t="n">
        <x:v>40825.35277777778</x:v>
      </x:c>
      <x:c r="E3481" s="25" t="n">
        <x:v>40842.45</x:v>
      </x:c>
      <x:c r="F3481" s="2" t="n">
        <x:v>45</x:v>
      </x:c>
      <x:c r="G3481" s="2" t="n">
        <x:v>2</x:v>
      </x:c>
      <x:c r="H3481" s="11" t="n">
        <x:v>570.96</x:v>
      </x:c>
      <x:c r="I3481" s="2" t="n">
        <x:v>4</x:v>
      </x:c>
      <x:c r="J3481" s="2" t="n">
        <x:v>2</x:v>
      </x:c>
      <x:c r="K3481" s="2" t="n">
        <x:v>2</x:v>
      </x:c>
      <x:c r="L3481" s="2" t="str">
        <x:v>Recent light buyers</x:v>
      </x:c>
    </x:row>
    <x:row r="3482" ht="22" customHeight="1">
      <x:c r="A3482" s="2"/>
      <x:c r="B3482" s="2" t="str">
        <x:v>15822</x:v>
      </x:c>
      <x:c r="C3482" s="2" t="str">
        <x:v>United Kingdom</x:v>
      </x:c>
      <x:c r="D3482" s="25" t="n">
        <x:v>40153.425</x:v>
      </x:c>
      <x:c r="E3482" s="25" t="n">
        <x:v>40883.40972222222</x:v>
      </x:c>
      <x:c r="F3482" s="2" t="n">
        <x:v>4</x:v>
      </x:c>
      <x:c r="G3482" s="2" t="n">
        <x:v>6</x:v>
      </x:c>
      <x:c r="H3482" s="11" t="n">
        <x:v>1840.06</x:v>
      </x:c>
      <x:c r="I3482" s="2" t="n">
        <x:v>5</x:v>
      </x:c>
      <x:c r="J3482" s="2" t="n">
        <x:v>4</x:v>
      </x:c>
      <x:c r="K3482" s="2" t="n">
        <x:v>4</x:v>
      </x:c>
      <x:c r="L3482" s="2" t="str">
        <x:v>Champions</x:v>
      </x:c>
    </x:row>
    <x:row r="3483" ht="22" customHeight="1">
      <x:c r="A3483" s="2"/>
      <x:c r="B3483" s="2" t="str">
        <x:v>15823</x:v>
      </x:c>
      <x:c r="C3483" s="2" t="str">
        <x:v>United Kingdom</x:v>
      </x:c>
      <x:c r="D3483" s="25" t="n">
        <x:v>40155.425</x:v>
      </x:c>
      <x:c r="E3483" s="25" t="n">
        <x:v>40514.42222222222</x:v>
      </x:c>
      <x:c r="F3483" s="2" t="n">
        <x:v>373</x:v>
      </x:c>
      <x:c r="G3483" s="2" t="n">
        <x:v>3</x:v>
      </x:c>
      <x:c r="H3483" s="11" t="n">
        <x:v>3882.17</x:v>
      </x:c>
      <x:c r="I3483" s="2" t="n">
        <x:v>2</x:v>
      </x:c>
      <x:c r="J3483" s="2" t="n">
        <x:v>3</x:v>
      </x:c>
      <x:c r="K3483" s="2" t="n">
        <x:v>5</x:v>
      </x:c>
      <x:c r="L3483" s="2" t="str">
        <x:v>At risk</x:v>
      </x:c>
    </x:row>
    <x:row r="3484" ht="22" customHeight="1">
      <x:c r="A3484" s="2"/>
      <x:c r="B3484" s="2" t="str">
        <x:v>15824</x:v>
      </x:c>
      <x:c r="C3484" s="2" t="str">
        <x:v>United Kingdom</x:v>
      </x:c>
      <x:c r="D3484" s="25" t="n">
        <x:v>40354.42361111111</x:v>
      </x:c>
      <x:c r="E3484" s="25" t="n">
        <x:v>40433.34722222222</x:v>
      </x:c>
      <x:c r="F3484" s="2" t="n">
        <x:v>454</x:v>
      </x:c>
      <x:c r="G3484" s="2" t="n">
        <x:v>2</x:v>
      </x:c>
      <x:c r="H3484" s="11" t="n">
        <x:v>890.94</x:v>
      </x:c>
      <x:c r="I3484" s="2" t="n">
        <x:v>1</x:v>
      </x:c>
      <x:c r="J3484" s="2" t="n">
        <x:v>2</x:v>
      </x:c>
      <x:c r="K3484" s="2" t="n">
        <x:v>3</x:v>
      </x:c>
      <x:c r="L3484" s="2" t="str">
        <x:v>Hibernating</x:v>
      </x:c>
    </x:row>
    <x:row r="3485" ht="22" customHeight="1">
      <x:c r="A3485" s="2"/>
      <x:c r="B3485" s="2" t="str">
        <x:v>15825</x:v>
      </x:c>
      <x:c r="C3485" s="2" t="str">
        <x:v>United Kingdom</x:v>
      </x:c>
      <x:c r="D3485" s="25" t="n">
        <x:v>40714.35208333333</x:v>
      </x:c>
      <x:c r="E3485" s="25" t="n">
        <x:v>40714.35208333333</x:v>
      </x:c>
      <x:c r="F3485" s="2" t="n">
        <x:v>173</x:v>
      </x:c>
      <x:c r="G3485" s="2" t="n">
        <x:v>1</x:v>
      </x:c>
      <x:c r="H3485" s="11" t="n">
        <x:v>532.94</x:v>
      </x:c>
      <x:c r="I3485" s="2" t="n">
        <x:v>3</x:v>
      </x:c>
      <x:c r="J3485" s="2" t="n">
        <x:v>1</x:v>
      </x:c>
      <x:c r="K3485" s="2" t="n">
        <x:v>2</x:v>
      </x:c>
      <x:c r="L3485" s="2" t="str">
        <x:v>Developing</x:v>
      </x:c>
    </x:row>
    <x:row r="3486" ht="22" customHeight="1">
      <x:c r="A3486" s="2"/>
      <x:c r="B3486" s="2" t="str">
        <x:v>15826</x:v>
      </x:c>
      <x:c r="C3486" s="2" t="str">
        <x:v>United Kingdom</x:v>
      </x:c>
      <x:c r="D3486" s="25" t="n">
        <x:v>40318.5</x:v>
      </x:c>
      <x:c r="E3486" s="25" t="n">
        <x:v>40830.461805555555</x:v>
      </x:c>
      <x:c r="F3486" s="2" t="n">
        <x:v>57</x:v>
      </x:c>
      <x:c r="G3486" s="2" t="n">
        <x:v>4</x:v>
      </x:c>
      <x:c r="H3486" s="11" t="n">
        <x:v>2598.28</x:v>
      </x:c>
      <x:c r="I3486" s="2" t="n">
        <x:v>4</x:v>
      </x:c>
      <x:c r="J3486" s="2" t="n">
        <x:v>3</x:v>
      </x:c>
      <x:c r="K3486" s="2" t="n">
        <x:v>4</x:v>
      </x:c>
      <x:c r="L3486" s="2" t="str">
        <x:v>Loyal</x:v>
      </x:c>
    </x:row>
    <x:row r="3487" ht="22" customHeight="1">
      <x:c r="A3487" s="2"/>
      <x:c r="B3487" s="2" t="str">
        <x:v>15827</x:v>
      </x:c>
      <x:c r="C3487" s="2" t="str">
        <x:v>United Kingdom</x:v>
      </x:c>
      <x:c r="D3487" s="25" t="n">
        <x:v>40186.26736111111</x:v>
      </x:c>
      <x:c r="E3487" s="25" t="n">
        <x:v>40813.44097222222</x:v>
      </x:c>
      <x:c r="F3487" s="2" t="n">
        <x:v>74</x:v>
      </x:c>
      <x:c r="G3487" s="2" t="n">
        <x:v>28</x:v>
      </x:c>
      <x:c r="H3487" s="11" t="n">
        <x:v>3603.14</x:v>
      </x:c>
      <x:c r="I3487" s="2" t="n">
        <x:v>3</x:v>
      </x:c>
      <x:c r="J3487" s="2" t="n">
        <x:v>5</x:v>
      </x:c>
      <x:c r="K3487" s="2" t="n">
        <x:v>5</x:v>
      </x:c>
      <x:c r="L3487" s="2" t="str">
        <x:v>Loyal</x:v>
      </x:c>
    </x:row>
    <x:row r="3488" ht="22" customHeight="1">
      <x:c r="A3488" s="2"/>
      <x:c r="B3488" s="2" t="str">
        <x:v>15828</x:v>
      </x:c>
      <x:c r="C3488" s="2" t="str">
        <x:v>United Kingdom</x:v>
      </x:c>
      <x:c r="D3488" s="25" t="n">
        <x:v>40511.486805555556</x:v>
      </x:c>
      <x:c r="E3488" s="25" t="n">
        <x:v>40511.486805555556</x:v>
      </x:c>
      <x:c r="F3488" s="2" t="n">
        <x:v>376</x:v>
      </x:c>
      <x:c r="G3488" s="2" t="n">
        <x:v>1</x:v>
      </x:c>
      <x:c r="H3488" s="11" t="n">
        <x:v>1108.82</x:v>
      </x:c>
      <x:c r="I3488" s="2" t="n">
        <x:v>2</x:v>
      </x:c>
      <x:c r="J3488" s="2" t="n">
        <x:v>1</x:v>
      </x:c>
      <x:c r="K3488" s="2" t="n">
        <x:v>3</x:v>
      </x:c>
      <x:c r="L3488" s="2" t="str">
        <x:v>Hibernating</x:v>
      </x:c>
    </x:row>
    <x:row r="3489" ht="22" customHeight="1">
      <x:c r="A3489" s="2"/>
      <x:c r="B3489" s="2" t="str">
        <x:v>15829</x:v>
      </x:c>
      <x:c r="C3489" s="2" t="str">
        <x:v>United Kingdom</x:v>
      </x:c>
      <x:c r="D3489" s="25" t="n">
        <x:v>40746.22430555556</x:v>
      </x:c>
      <x:c r="E3489" s="25" t="n">
        <x:v>40787.489583333336</x:v>
      </x:c>
      <x:c r="F3489" s="2" t="n">
        <x:v>100</x:v>
      </x:c>
      <x:c r="G3489" s="2" t="n">
        <x:v>2</x:v>
      </x:c>
      <x:c r="H3489" s="11" t="n">
        <x:v>636.14</x:v>
      </x:c>
      <x:c r="I3489" s="2" t="n">
        <x:v>3</x:v>
      </x:c>
      <x:c r="J3489" s="2" t="n">
        <x:v>2</x:v>
      </x:c>
      <x:c r="K3489" s="2" t="n">
        <x:v>3</x:v>
      </x:c>
      <x:c r="L3489" s="2" t="str">
        <x:v>Developing</x:v>
      </x:c>
    </x:row>
    <x:row r="3490" ht="22" customHeight="1">
      <x:c r="A3490" s="2"/>
      <x:c r="B3490" s="2" t="str">
        <x:v>15830</x:v>
      </x:c>
      <x:c r="C3490" s="2" t="str">
        <x:v>United Kingdom</x:v>
      </x:c>
      <x:c r="D3490" s="25" t="n">
        <x:v>40849.23611111111</x:v>
      </x:c>
      <x:c r="E3490" s="25" t="n">
        <x:v>40849.23611111111</x:v>
      </x:c>
      <x:c r="F3490" s="2" t="n">
        <x:v>38</x:v>
      </x:c>
      <x:c r="G3490" s="2" t="n">
        <x:v>1</x:v>
      </x:c>
      <x:c r="H3490" s="11" t="n">
        <x:v>576</x:v>
      </x:c>
      <x:c r="I3490" s="2" t="n">
        <x:v>4</x:v>
      </x:c>
      <x:c r="J3490" s="2" t="n">
        <x:v>1</x:v>
      </x:c>
      <x:c r="K3490" s="2" t="n">
        <x:v>2</x:v>
      </x:c>
      <x:c r="L3490" s="2" t="str">
        <x:v>Recent light buyers</x:v>
      </x:c>
    </x:row>
    <x:row r="3491" ht="22" customHeight="1">
      <x:c r="A3491" s="2"/>
      <x:c r="B3491" s="2" t="str">
        <x:v>15831</x:v>
      </x:c>
      <x:c r="C3491" s="2" t="str">
        <x:v>United Kingdom</x:v>
      </x:c>
      <x:c r="D3491" s="25" t="n">
        <x:v>40562.41111111111</x:v>
      </x:c>
      <x:c r="E3491" s="25" t="n">
        <x:v>40828.34305555555</x:v>
      </x:c>
      <x:c r="F3491" s="2" t="n">
        <x:v>59</x:v>
      </x:c>
      <x:c r="G3491" s="2" t="n">
        <x:v>3</x:v>
      </x:c>
      <x:c r="H3491" s="11" t="n">
        <x:v>801.76</x:v>
      </x:c>
      <x:c r="I3491" s="2" t="n">
        <x:v>4</x:v>
      </x:c>
      <x:c r="J3491" s="2" t="n">
        <x:v>3</x:v>
      </x:c>
      <x:c r="K3491" s="2" t="n">
        <x:v>3</x:v>
      </x:c>
      <x:c r="L3491" s="2" t="str">
        <x:v>Loyal</x:v>
      </x:c>
    </x:row>
    <x:row r="3492" ht="22" customHeight="1">
      <x:c r="A3492" s="2"/>
      <x:c r="B3492" s="2" t="str">
        <x:v>15832</x:v>
      </x:c>
      <x:c r="C3492" s="2" t="str">
        <x:v>United Kingdom</x:v>
      </x:c>
      <x:c r="D3492" s="25" t="n">
        <x:v>40632.43680555555</x:v>
      </x:c>
      <x:c r="E3492" s="25" t="n">
        <x:v>40632.43680555555</x:v>
      </x:c>
      <x:c r="F3492" s="2" t="n">
        <x:v>255</x:v>
      </x:c>
      <x:c r="G3492" s="2" t="n">
        <x:v>1</x:v>
      </x:c>
      <x:c r="H3492" s="11" t="n">
        <x:v>836.79</x:v>
      </x:c>
      <x:c r="I3492" s="2" t="n">
        <x:v>2</x:v>
      </x:c>
      <x:c r="J3492" s="2" t="n">
        <x:v>1</x:v>
      </x:c>
      <x:c r="K3492" s="2" t="n">
        <x:v>3</x:v>
      </x:c>
      <x:c r="L3492" s="2" t="str">
        <x:v>Hibernating</x:v>
      </x:c>
    </x:row>
    <x:row r="3493" ht="22" customHeight="1">
      <x:c r="A3493" s="2"/>
      <x:c r="B3493" s="2" t="str">
        <x:v>15833</x:v>
      </x:c>
      <x:c r="C3493" s="2" t="str">
        <x:v>United Kingdom</x:v>
      </x:c>
      <x:c r="D3493" s="25" t="n">
        <x:v>40149.290972222225</x:v>
      </x:c>
      <x:c r="E3493" s="25" t="n">
        <x:v>40149.290972222225</x:v>
      </x:c>
      <x:c r="F3493" s="2" t="n">
        <x:v>738</x:v>
      </x:c>
      <x:c r="G3493" s="2" t="n">
        <x:v>1</x:v>
      </x:c>
      <x:c r="H3493" s="11" t="n">
        <x:v>80.4</x:v>
      </x:c>
      <x:c r="I3493" s="2" t="n">
        <x:v>1</x:v>
      </x:c>
      <x:c r="J3493" s="2" t="n">
        <x:v>1</x:v>
      </x:c>
      <x:c r="K3493" s="2" t="n">
        <x:v>1</x:v>
      </x:c>
      <x:c r="L3493" s="2" t="str">
        <x:v>Hibernating</x:v>
      </x:c>
    </x:row>
    <x:row r="3494" ht="22" customHeight="1">
      <x:c r="A3494" s="2"/>
      <x:c r="B3494" s="2" t="str">
        <x:v>15834</x:v>
      </x:c>
      <x:c r="C3494" s="2" t="str">
        <x:v>United Kingdom</x:v>
      </x:c>
      <x:c r="D3494" s="25" t="n">
        <x:v>40462.37847222222</x:v>
      </x:c>
      <x:c r="E3494" s="25" t="n">
        <x:v>40816.40347222222</x:v>
      </x:c>
      <x:c r="F3494" s="2" t="n">
        <x:v>71</x:v>
      </x:c>
      <x:c r="G3494" s="2" t="n">
        <x:v>7</x:v>
      </x:c>
      <x:c r="H3494" s="11" t="n">
        <x:v>3772.99</x:v>
      </x:c>
      <x:c r="I3494" s="2" t="n">
        <x:v>3</x:v>
      </x:c>
      <x:c r="J3494" s="2" t="n">
        <x:v>4</x:v>
      </x:c>
      <x:c r="K3494" s="2" t="n">
        <x:v>5</x:v>
      </x:c>
      <x:c r="L3494" s="2" t="str">
        <x:v>Loyal</x:v>
      </x:c>
    </x:row>
    <x:row r="3495" ht="22" customHeight="1">
      <x:c r="A3495" s="2"/>
      <x:c r="B3495" s="2" t="str">
        <x:v>15835</x:v>
      </x:c>
      <x:c r="C3495" s="2" t="str">
        <x:v>United Kingdom</x:v>
      </x:c>
      <x:c r="D3495" s="25" t="n">
        <x:v>40556.23263888889</x:v>
      </x:c>
      <x:c r="E3495" s="25" t="n">
        <x:v>40842.44930555556</x:v>
      </x:c>
      <x:c r="F3495" s="2" t="n">
        <x:v>45</x:v>
      </x:c>
      <x:c r="G3495" s="2" t="n">
        <x:v>4</x:v>
      </x:c>
      <x:c r="H3495" s="11" t="n">
        <x:v>954.09</x:v>
      </x:c>
      <x:c r="I3495" s="2" t="n">
        <x:v>4</x:v>
      </x:c>
      <x:c r="J3495" s="2" t="n">
        <x:v>3</x:v>
      </x:c>
      <x:c r="K3495" s="2" t="n">
        <x:v>3</x:v>
      </x:c>
      <x:c r="L3495" s="2" t="str">
        <x:v>Loyal</x:v>
      </x:c>
    </x:row>
    <x:row r="3496" ht="22" customHeight="1">
      <x:c r="A3496" s="2"/>
      <x:c r="B3496" s="2" t="str">
        <x:v>15836</x:v>
      </x:c>
      <x:c r="C3496" s="2" t="str">
        <x:v>United Kingdom</x:v>
      </x:c>
      <x:c r="D3496" s="25" t="n">
        <x:v>40836.50902777778</x:v>
      </x:c>
      <x:c r="E3496" s="25" t="n">
        <x:v>40836.50902777778</x:v>
      </x:c>
      <x:c r="F3496" s="2" t="n">
        <x:v>51</x:v>
      </x:c>
      <x:c r="G3496" s="2" t="n">
        <x:v>1</x:v>
      </x:c>
      <x:c r="H3496" s="11" t="n">
        <x:v>137.37</x:v>
      </x:c>
      <x:c r="I3496" s="2" t="n">
        <x:v>4</x:v>
      </x:c>
      <x:c r="J3496" s="2" t="n">
        <x:v>1</x:v>
      </x:c>
      <x:c r="K3496" s="2" t="n">
        <x:v>1</x:v>
      </x:c>
      <x:c r="L3496" s="2" t="str">
        <x:v>Recent light buyers</x:v>
      </x:c>
    </x:row>
    <x:row r="3497" ht="22" customHeight="1">
      <x:c r="A3497" s="2"/>
      <x:c r="B3497" s="2" t="str">
        <x:v>15837</x:v>
      </x:c>
      <x:c r="C3497" s="2" t="str">
        <x:v>United Kingdom</x:v>
      </x:c>
      <x:c r="D3497" s="25" t="n">
        <x:v>40401.21944444445</x:v>
      </x:c>
      <x:c r="E3497" s="25" t="n">
        <x:v>40822.16736111111</x:v>
      </x:c>
      <x:c r="F3497" s="2" t="n">
        <x:v>65</x:v>
      </x:c>
      <x:c r="G3497" s="2" t="n">
        <x:v>2</x:v>
      </x:c>
      <x:c r="H3497" s="11" t="n">
        <x:v>777.01</x:v>
      </x:c>
      <x:c r="I3497" s="2" t="n">
        <x:v>3</x:v>
      </x:c>
      <x:c r="J3497" s="2" t="n">
        <x:v>2</x:v>
      </x:c>
      <x:c r="K3497" s="2" t="n">
        <x:v>3</x:v>
      </x:c>
      <x:c r="L3497" s="2" t="str">
        <x:v>Developing</x:v>
      </x:c>
    </x:row>
    <x:row r="3498" ht="22" customHeight="1">
      <x:c r="A3498" s="2"/>
      <x:c r="B3498" s="2" t="str">
        <x:v>15838</x:v>
      </x:c>
      <x:c r="C3498" s="2" t="str">
        <x:v>United Kingdom</x:v>
      </x:c>
      <x:c r="D3498" s="25" t="n">
        <x:v>40162.20208333333</x:v>
      </x:c>
      <x:c r="E3498" s="25" t="n">
        <x:v>40875.375</x:v>
      </x:c>
      <x:c r="F3498" s="2" t="n">
        <x:v>12</x:v>
      </x:c>
      <x:c r="G3498" s="2" t="n">
        <x:v>34</x:v>
      </x:c>
      <x:c r="H3498" s="11" t="n">
        <x:v>73205.5</x:v>
      </x:c>
      <x:c r="I3498" s="2" t="n">
        <x:v>5</x:v>
      </x:c>
      <x:c r="J3498" s="2" t="n">
        <x:v>5</x:v>
      </x:c>
      <x:c r="K3498" s="2" t="n">
        <x:v>5</x:v>
      </x:c>
      <x:c r="L3498" s="2" t="str">
        <x:v>Champions</x:v>
      </x:c>
    </x:row>
    <x:row r="3499" ht="22" customHeight="1">
      <x:c r="A3499" s="2"/>
      <x:c r="B3499" s="2" t="str">
        <x:v>15839</x:v>
      </x:c>
      <x:c r="C3499" s="2" t="str">
        <x:v>United Kingdom</x:v>
      </x:c>
      <x:c r="D3499" s="25" t="n">
        <x:v>40738.48263888889</x:v>
      </x:c>
      <x:c r="E3499" s="25" t="n">
        <x:v>40853.370833333334</x:v>
      </x:c>
      <x:c r="F3499" s="2" t="n">
        <x:v>34</x:v>
      </x:c>
      <x:c r="G3499" s="2" t="n">
        <x:v>3</x:v>
      </x:c>
      <x:c r="H3499" s="11" t="n">
        <x:v>1048.49</x:v>
      </x:c>
      <x:c r="I3499" s="2" t="n">
        <x:v>4</x:v>
      </x:c>
      <x:c r="J3499" s="2" t="n">
        <x:v>3</x:v>
      </x:c>
      <x:c r="K3499" s="2" t="n">
        <x:v>3</x:v>
      </x:c>
      <x:c r="L3499" s="2" t="str">
        <x:v>Loyal</x:v>
      </x:c>
    </x:row>
    <x:row r="3500" ht="22" customHeight="1">
      <x:c r="A3500" s="2"/>
      <x:c r="B3500" s="2" t="str">
        <x:v>15840</x:v>
      </x:c>
      <x:c r="C3500" s="2" t="str">
        <x:v>United Kingdom</x:v>
      </x:c>
      <x:c r="D3500" s="25" t="n">
        <x:v>40714.27916666667</x:v>
      </x:c>
      <x:c r="E3500" s="25" t="n">
        <x:v>40828.17222222222</x:v>
      </x:c>
      <x:c r="F3500" s="2" t="n">
        <x:v>59</x:v>
      </x:c>
      <x:c r="G3500" s="2" t="n">
        <x:v>2</x:v>
      </x:c>
      <x:c r="H3500" s="11" t="n">
        <x:v>355.56</x:v>
      </x:c>
      <x:c r="I3500" s="2" t="n">
        <x:v>4</x:v>
      </x:c>
      <x:c r="J3500" s="2" t="n">
        <x:v>2</x:v>
      </x:c>
      <x:c r="K3500" s="2" t="n">
        <x:v>2</x:v>
      </x:c>
      <x:c r="L3500" s="2" t="str">
        <x:v>Recent light buyers</x:v>
      </x:c>
    </x:row>
    <x:row r="3501" ht="22" customHeight="1">
      <x:c r="A3501" s="2"/>
      <x:c r="B3501" s="2" t="str">
        <x:v>15841</x:v>
      </x:c>
      <x:c r="C3501" s="2" t="str">
        <x:v>United Kingdom</x:v>
      </x:c>
      <x:c r="D3501" s="25" t="n">
        <x:v>40157.14513888889</x:v>
      </x:c>
      <x:c r="E3501" s="25" t="n">
        <x:v>40814.302083333336</x:v>
      </x:c>
      <x:c r="F3501" s="2" t="n">
        <x:v>73</x:v>
      </x:c>
      <x:c r="G3501" s="2" t="n">
        <x:v>9</x:v>
      </x:c>
      <x:c r="H3501" s="11" t="n">
        <x:v>2742.41</x:v>
      </x:c>
      <x:c r="I3501" s="2" t="n">
        <x:v>3</x:v>
      </x:c>
      <x:c r="J3501" s="2" t="n">
        <x:v>5</x:v>
      </x:c>
      <x:c r="K3501" s="2" t="n">
        <x:v>4</x:v>
      </x:c>
      <x:c r="L3501" s="2" t="str">
        <x:v>Loyal</x:v>
      </x:c>
    </x:row>
    <x:row r="3502" ht="22" customHeight="1">
      <x:c r="A3502" s="2"/>
      <x:c r="B3502" s="2" t="str">
        <x:v>15842</x:v>
      </x:c>
      <x:c r="C3502" s="2" t="str">
        <x:v>United Kingdom</x:v>
      </x:c>
      <x:c r="D3502" s="25" t="n">
        <x:v>40359.17083333333</x:v>
      </x:c>
      <x:c r="E3502" s="25" t="n">
        <x:v>40493.38055555556</x:v>
      </x:c>
      <x:c r="F3502" s="2" t="n">
        <x:v>394</x:v>
      </x:c>
      <x:c r="G3502" s="2" t="n">
        <x:v>2</x:v>
      </x:c>
      <x:c r="H3502" s="11" t="n">
        <x:v>548.8</x:v>
      </x:c>
      <x:c r="I3502" s="2" t="n">
        <x:v>2</x:v>
      </x:c>
      <x:c r="J3502" s="2" t="n">
        <x:v>2</x:v>
      </x:c>
      <x:c r="K3502" s="2" t="n">
        <x:v>2</x:v>
      </x:c>
      <x:c r="L3502" s="2" t="str">
        <x:v>Hibernating</x:v>
      </x:c>
    </x:row>
    <x:row r="3503" ht="22" customHeight="1">
      <x:c r="A3503" s="2"/>
      <x:c r="B3503" s="2" t="str">
        <x:v>15843</x:v>
      </x:c>
      <x:c r="C3503" s="2" t="str">
        <x:v>United Kingdom</x:v>
      </x:c>
      <x:c r="D3503" s="25" t="n">
        <x:v>40583.22152777778</x:v>
      </x:c>
      <x:c r="E3503" s="25" t="n">
        <x:v>40583.22152777778</x:v>
      </x:c>
      <x:c r="F3503" s="2" t="n">
        <x:v>304</x:v>
      </x:c>
      <x:c r="G3503" s="2" t="n">
        <x:v>1</x:v>
      </x:c>
      <x:c r="H3503" s="11" t="n">
        <x:v>118.95</x:v>
      </x:c>
      <x:c r="I3503" s="2" t="n">
        <x:v>2</x:v>
      </x:c>
      <x:c r="J3503" s="2" t="n">
        <x:v>1</x:v>
      </x:c>
      <x:c r="K3503" s="2" t="n">
        <x:v>1</x:v>
      </x:c>
      <x:c r="L3503" s="2" t="str">
        <x:v>Hibernating</x:v>
      </x:c>
    </x:row>
    <x:row r="3504" ht="22" customHeight="1">
      <x:c r="A3504" s="2"/>
      <x:c r="B3504" s="2" t="str">
        <x:v>15844</x:v>
      </x:c>
      <x:c r="C3504" s="2" t="str">
        <x:v>United Kingdom</x:v>
      </x:c>
      <x:c r="D3504" s="25" t="n">
        <x:v>40840.42986111111</x:v>
      </x:c>
      <x:c r="E3504" s="25" t="n">
        <x:v>40840.42986111111</x:v>
      </x:c>
      <x:c r="F3504" s="2" t="n">
        <x:v>47</x:v>
      </x:c>
      <x:c r="G3504" s="2" t="n">
        <x:v>1</x:v>
      </x:c>
      <x:c r="H3504" s="11" t="n">
        <x:v>130.74</x:v>
      </x:c>
      <x:c r="I3504" s="2" t="n">
        <x:v>4</x:v>
      </x:c>
      <x:c r="J3504" s="2" t="n">
        <x:v>1</x:v>
      </x:c>
      <x:c r="K3504" s="2" t="n">
        <x:v>1</x:v>
      </x:c>
      <x:c r="L3504" s="2" t="str">
        <x:v>Recent light buyers</x:v>
      </x:c>
    </x:row>
    <x:row r="3505" ht="22" customHeight="1">
      <x:c r="A3505" s="2"/>
      <x:c r="B3505" s="2" t="str">
        <x:v>15845</x:v>
      </x:c>
      <x:c r="C3505" s="2" t="str">
        <x:v>United Kingdom</x:v>
      </x:c>
      <x:c r="D3505" s="25" t="n">
        <x:v>40204.40555555555</x:v>
      </x:c>
      <x:c r="E3505" s="25" t="n">
        <x:v>40869.19583333333</x:v>
      </x:c>
      <x:c r="F3505" s="2" t="n">
        <x:v>18</x:v>
      </x:c>
      <x:c r="G3505" s="2" t="n">
        <x:v>11</x:v>
      </x:c>
      <x:c r="H3505" s="11" t="n">
        <x:v>4426.28</x:v>
      </x:c>
      <x:c r="I3505" s="2" t="n">
        <x:v>5</x:v>
      </x:c>
      <x:c r="J3505" s="2" t="n">
        <x:v>5</x:v>
      </x:c>
      <x:c r="K3505" s="2" t="n">
        <x:v>5</x:v>
      </x:c>
      <x:c r="L3505" s="2" t="str">
        <x:v>Champions</x:v>
      </x:c>
    </x:row>
    <x:row r="3506" ht="22" customHeight="1">
      <x:c r="A3506" s="2"/>
      <x:c r="B3506" s="2" t="str">
        <x:v>15846</x:v>
      </x:c>
      <x:c r="C3506" s="2" t="str">
        <x:v>United Kingdom</x:v>
      </x:c>
      <x:c r="D3506" s="25" t="n">
        <x:v>40501.40277777778</x:v>
      </x:c>
      <x:c r="E3506" s="25" t="n">
        <x:v>40501.40277777778</x:v>
      </x:c>
      <x:c r="F3506" s="2" t="n">
        <x:v>386</x:v>
      </x:c>
      <x:c r="G3506" s="2" t="n">
        <x:v>1</x:v>
      </x:c>
      <x:c r="H3506" s="11" t="n">
        <x:v>107.01</x:v>
      </x:c>
      <x:c r="I3506" s="2" t="n">
        <x:v>2</x:v>
      </x:c>
      <x:c r="J3506" s="2" t="n">
        <x:v>1</x:v>
      </x:c>
      <x:c r="K3506" s="2" t="n">
        <x:v>1</x:v>
      </x:c>
      <x:c r="L3506" s="2" t="str">
        <x:v>Hibernating</x:v>
      </x:c>
    </x:row>
    <x:row r="3507" ht="22" customHeight="1">
      <x:c r="A3507" s="2"/>
      <x:c r="B3507" s="2" t="str">
        <x:v>15847</x:v>
      </x:c>
      <x:c r="C3507" s="2" t="str">
        <x:v>United Kingdom</x:v>
      </x:c>
      <x:c r="D3507" s="25" t="n">
        <x:v>40245.157638888886</x:v>
      </x:c>
      <x:c r="E3507" s="25" t="n">
        <x:v>40848.40347222222</x:v>
      </x:c>
      <x:c r="F3507" s="2" t="n">
        <x:v>39</x:v>
      </x:c>
      <x:c r="G3507" s="2" t="n">
        <x:v>5</x:v>
      </x:c>
      <x:c r="H3507" s="11" t="n">
        <x:v>822.57</x:v>
      </x:c>
      <x:c r="I3507" s="2" t="n">
        <x:v>4</x:v>
      </x:c>
      <x:c r="J3507" s="2" t="n">
        <x:v>4</x:v>
      </x:c>
      <x:c r="K3507" s="2" t="n">
        <x:v>3</x:v>
      </x:c>
      <x:c r="L3507" s="2" t="str">
        <x:v>Loyal</x:v>
      </x:c>
    </x:row>
    <x:row r="3508" ht="22" customHeight="1">
      <x:c r="A3508" s="2"/>
      <x:c r="B3508" s="2" t="str">
        <x:v>15848</x:v>
      </x:c>
      <x:c r="C3508" s="2" t="str">
        <x:v>United Kingdom</x:v>
      </x:c>
      <x:c r="D3508" s="25" t="n">
        <x:v>40265.245833333334</x:v>
      </x:c>
      <x:c r="E3508" s="25" t="n">
        <x:v>40265.245833333334</x:v>
      </x:c>
      <x:c r="F3508" s="2" t="n">
        <x:v>622</x:v>
      </x:c>
      <x:c r="G3508" s="2" t="n">
        <x:v>1</x:v>
      </x:c>
      <x:c r="H3508" s="11" t="n">
        <x:v>139.94</x:v>
      </x:c>
      <x:c r="I3508" s="2" t="n">
        <x:v>1</x:v>
      </x:c>
      <x:c r="J3508" s="2" t="n">
        <x:v>1</x:v>
      </x:c>
      <x:c r="K3508" s="2" t="n">
        <x:v>1</x:v>
      </x:c>
      <x:c r="L3508" s="2" t="str">
        <x:v>Hibernating</x:v>
      </x:c>
    </x:row>
    <x:row r="3509" ht="22" customHeight="1">
      <x:c r="A3509" s="2"/>
      <x:c r="B3509" s="2" t="str">
        <x:v>15850</x:v>
      </x:c>
      <x:c r="C3509" s="2" t="str">
        <x:v>United Kingdom</x:v>
      </x:c>
      <x:c r="D3509" s="25" t="n">
        <x:v>40160.35208333333</x:v>
      </x:c>
      <x:c r="E3509" s="25" t="n">
        <x:v>40867.384722222225</x:v>
      </x:c>
      <x:c r="F3509" s="2" t="n">
        <x:v>20</x:v>
      </x:c>
      <x:c r="G3509" s="2" t="n">
        <x:v>6</x:v>
      </x:c>
      <x:c r="H3509" s="11" t="n">
        <x:v>1058.72</x:v>
      </x:c>
      <x:c r="I3509" s="2" t="n">
        <x:v>5</x:v>
      </x:c>
      <x:c r="J3509" s="2" t="n">
        <x:v>4</x:v>
      </x:c>
      <x:c r="K3509" s="2" t="n">
        <x:v>3</x:v>
      </x:c>
      <x:c r="L3509" s="2" t="str">
        <x:v>Loyal</x:v>
      </x:c>
    </x:row>
    <x:row r="3510" ht="22" customHeight="1">
      <x:c r="A3510" s="2"/>
      <x:c r="B3510" s="2" t="str">
        <x:v>15851</x:v>
      </x:c>
      <x:c r="C3510" s="2" t="str">
        <x:v>United Kingdom</x:v>
      </x:c>
      <x:c r="D3510" s="25" t="n">
        <x:v>40360.31527777778</x:v>
      </x:c>
      <x:c r="E3510" s="25" t="n">
        <x:v>40360.31527777778</x:v>
      </x:c>
      <x:c r="F3510" s="2" t="n">
        <x:v>527</x:v>
      </x:c>
      <x:c r="G3510" s="2" t="n">
        <x:v>1</x:v>
      </x:c>
      <x:c r="H3510" s="11" t="n">
        <x:v>109.73</x:v>
      </x:c>
      <x:c r="I3510" s="2" t="n">
        <x:v>1</x:v>
      </x:c>
      <x:c r="J3510" s="2" t="n">
        <x:v>1</x:v>
      </x:c>
      <x:c r="K3510" s="2" t="n">
        <x:v>1</x:v>
      </x:c>
      <x:c r="L3510" s="2" t="str">
        <x:v>Hibernating</x:v>
      </x:c>
    </x:row>
    <x:row r="3511" ht="22" customHeight="1">
      <x:c r="A3511" s="2"/>
      <x:c r="B3511" s="2" t="str">
        <x:v>15852</x:v>
      </x:c>
      <x:c r="C3511" s="2" t="str">
        <x:v>United Kingdom</x:v>
      </x:c>
      <x:c r="D3511" s="25" t="n">
        <x:v>40360.21944444445</x:v>
      </x:c>
      <x:c r="E3511" s="25" t="n">
        <x:v>40700.26527777778</x:v>
      </x:c>
      <x:c r="F3511" s="2" t="n">
        <x:v>187</x:v>
      </x:c>
      <x:c r="G3511" s="2" t="n">
        <x:v>3</x:v>
      </x:c>
      <x:c r="H3511" s="11" t="n">
        <x:v>257.26</x:v>
      </x:c>
      <x:c r="I3511" s="2" t="n">
        <x:v>3</x:v>
      </x:c>
      <x:c r="J3511" s="2" t="n">
        <x:v>3</x:v>
      </x:c>
      <x:c r="K3511" s="2" t="n">
        <x:v>1</x:v>
      </x:c>
      <x:c r="L3511" s="2" t="str">
        <x:v>Loyal</x:v>
      </x:c>
    </x:row>
    <x:row r="3512" ht="22" customHeight="1">
      <x:c r="A3512" s="2"/>
      <x:c r="B3512" s="2" t="str">
        <x:v>15853</x:v>
      </x:c>
      <x:c r="C3512" s="2" t="str">
        <x:v>United Kingdom</x:v>
      </x:c>
      <x:c r="D3512" s="25" t="n">
        <x:v>40835.23472222222</x:v>
      </x:c>
      <x:c r="E3512" s="25" t="n">
        <x:v>40835.23472222222</x:v>
      </x:c>
      <x:c r="F3512" s="2" t="n">
        <x:v>52</x:v>
      </x:c>
      <x:c r="G3512" s="2" t="n">
        <x:v>1</x:v>
      </x:c>
      <x:c r="H3512" s="11" t="n">
        <x:v>110.8</x:v>
      </x:c>
      <x:c r="I3512" s="2" t="n">
        <x:v>4</x:v>
      </x:c>
      <x:c r="J3512" s="2" t="n">
        <x:v>1</x:v>
      </x:c>
      <x:c r="K3512" s="2" t="n">
        <x:v>1</x:v>
      </x:c>
      <x:c r="L3512" s="2" t="str">
        <x:v>Recent light buyers</x:v>
      </x:c>
    </x:row>
    <x:row r="3513" ht="22" customHeight="1">
      <x:c r="A3513" s="2"/>
      <x:c r="B3513" s="2" t="str">
        <x:v>15854</x:v>
      </x:c>
      <x:c r="C3513" s="2" t="str">
        <x:v>United Kingdom</x:v>
      </x:c>
      <x:c r="D3513" s="25" t="n">
        <x:v>40157.29722222222</x:v>
      </x:c>
      <x:c r="E3513" s="25" t="n">
        <x:v>40882.36041666667</x:v>
      </x:c>
      <x:c r="F3513" s="2" t="n">
        <x:v>5</x:v>
      </x:c>
      <x:c r="G3513" s="2" t="n">
        <x:v>21</x:v>
      </x:c>
      <x:c r="H3513" s="11" t="n">
        <x:v>5583.81</x:v>
      </x:c>
      <x:c r="I3513" s="2" t="n">
        <x:v>5</x:v>
      </x:c>
      <x:c r="J3513" s="2" t="n">
        <x:v>5</x:v>
      </x:c>
      <x:c r="K3513" s="2" t="n">
        <x:v>5</x:v>
      </x:c>
      <x:c r="L3513" s="2" t="str">
        <x:v>Champions</x:v>
      </x:c>
    </x:row>
    <x:row r="3514" ht="22" customHeight="1">
      <x:c r="A3514" s="2"/>
      <x:c r="B3514" s="2" t="str">
        <x:v>15855</x:v>
      </x:c>
      <x:c r="C3514" s="2" t="str">
        <x:v>United Kingdom</x:v>
      </x:c>
      <x:c r="D3514" s="25" t="n">
        <x:v>40410.510416666664</x:v>
      </x:c>
      <x:c r="E3514" s="25" t="n">
        <x:v>40750.22222222222</x:v>
      </x:c>
      <x:c r="F3514" s="2" t="n">
        <x:v>137</x:v>
      </x:c>
      <x:c r="G3514" s="2" t="n">
        <x:v>6</x:v>
      </x:c>
      <x:c r="H3514" s="11" t="n">
        <x:v>1052.72</x:v>
      </x:c>
      <x:c r="I3514" s="2" t="n">
        <x:v>3</x:v>
      </x:c>
      <x:c r="J3514" s="2" t="n">
        <x:v>4</x:v>
      </x:c>
      <x:c r="K3514" s="2" t="n">
        <x:v>3</x:v>
      </x:c>
      <x:c r="L3514" s="2" t="str">
        <x:v>Loyal</x:v>
      </x:c>
    </x:row>
    <x:row r="3515" ht="22" customHeight="1">
      <x:c r="A3515" s="2"/>
      <x:c r="B3515" s="2" t="str">
        <x:v>15856</x:v>
      </x:c>
      <x:c r="C3515" s="2" t="str">
        <x:v>United Kingdom</x:v>
      </x:c>
      <x:c r="D3515" s="25" t="n">
        <x:v>40150.376388888886</x:v>
      </x:c>
      <x:c r="E3515" s="25" t="n">
        <x:v>40882.50625</x:v>
      </x:c>
      <x:c r="F3515" s="2" t="n">
        <x:v>5</x:v>
      </x:c>
      <x:c r="G3515" s="2" t="n">
        <x:v>52</x:v>
      </x:c>
      <x:c r="H3515" s="11" t="n">
        <x:v>32649.02</x:v>
      </x:c>
      <x:c r="I3515" s="2" t="n">
        <x:v>5</x:v>
      </x:c>
      <x:c r="J3515" s="2" t="n">
        <x:v>5</x:v>
      </x:c>
      <x:c r="K3515" s="2" t="n">
        <x:v>5</x:v>
      </x:c>
      <x:c r="L3515" s="2" t="str">
        <x:v>Champions</x:v>
      </x:c>
    </x:row>
    <x:row r="3516" ht="22" customHeight="1">
      <x:c r="A3516" s="2"/>
      <x:c r="B3516" s="2" t="str">
        <x:v>15857</x:v>
      </x:c>
      <x:c r="C3516" s="2" t="str">
        <x:v>United Kingdom</x:v>
      </x:c>
      <x:c r="D3516" s="25" t="n">
        <x:v>40456.48819444444</x:v>
      </x:c>
      <x:c r="E3516" s="25" t="n">
        <x:v>40868.30416666667</x:v>
      </x:c>
      <x:c r="F3516" s="2" t="n">
        <x:v>19</x:v>
      </x:c>
      <x:c r="G3516" s="2" t="n">
        <x:v>2</x:v>
      </x:c>
      <x:c r="H3516" s="11" t="n">
        <x:v>570.48</x:v>
      </x:c>
      <x:c r="I3516" s="2" t="n">
        <x:v>5</x:v>
      </x:c>
      <x:c r="J3516" s="2" t="n">
        <x:v>2</x:v>
      </x:c>
      <x:c r="K3516" s="2" t="n">
        <x:v>2</x:v>
      </x:c>
      <x:c r="L3516" s="2" t="str">
        <x:v>Recent light buyers</x:v>
      </x:c>
    </x:row>
    <x:row r="3517" ht="22" customHeight="1">
      <x:c r="A3517" s="2"/>
      <x:c r="B3517" s="2" t="str">
        <x:v>15858</x:v>
      </x:c>
      <x:c r="C3517" s="2" t="str">
        <x:v>United Kingdom</x:v>
      </x:c>
      <x:c r="D3517" s="25" t="n">
        <x:v>40157.27916666667</x:v>
      </x:c>
      <x:c r="E3517" s="25" t="n">
        <x:v>40871.325</x:v>
      </x:c>
      <x:c r="F3517" s="2" t="n">
        <x:v>16</x:v>
      </x:c>
      <x:c r="G3517" s="2" t="n">
        <x:v>13</x:v>
      </x:c>
      <x:c r="H3517" s="11" t="n">
        <x:v>3576.44</x:v>
      </x:c>
      <x:c r="I3517" s="2" t="n">
        <x:v>5</x:v>
      </x:c>
      <x:c r="J3517" s="2" t="n">
        <x:v>5</x:v>
      </x:c>
      <x:c r="K3517" s="2" t="n">
        <x:v>5</x:v>
      </x:c>
      <x:c r="L3517" s="2" t="str">
        <x:v>Champions</x:v>
      </x:c>
    </x:row>
    <x:row r="3518" ht="22" customHeight="1">
      <x:c r="A3518" s="2"/>
      <x:c r="B3518" s="2" t="str">
        <x:v>15859</x:v>
      </x:c>
      <x:c r="C3518" s="2" t="str">
        <x:v>United Kingdom</x:v>
      </x:c>
      <x:c r="D3518" s="25" t="n">
        <x:v>40454.32777777778</x:v>
      </x:c>
      <x:c r="E3518" s="25" t="n">
        <x:v>40454.32777777778</x:v>
      </x:c>
      <x:c r="F3518" s="2" t="n">
        <x:v>433</x:v>
      </x:c>
      <x:c r="G3518" s="2" t="n">
        <x:v>1</x:v>
      </x:c>
      <x:c r="H3518" s="11" t="n">
        <x:v>438.46</x:v>
      </x:c>
      <x:c r="I3518" s="2" t="n">
        <x:v>1</x:v>
      </x:c>
      <x:c r="J3518" s="2" t="n">
        <x:v>1</x:v>
      </x:c>
      <x:c r="K3518" s="2" t="n">
        <x:v>2</x:v>
      </x:c>
      <x:c r="L3518" s="2" t="str">
        <x:v>Hibernating</x:v>
      </x:c>
    </x:row>
    <x:row r="3519" ht="22" customHeight="1">
      <x:c r="A3519" s="2"/>
      <x:c r="B3519" s="2" t="str">
        <x:v>15860</x:v>
      </x:c>
      <x:c r="C3519" s="2" t="str">
        <x:v>United Kingdom</x:v>
      </x:c>
      <x:c r="D3519" s="25" t="n">
        <x:v>40153.31319444445</x:v>
      </x:c>
      <x:c r="E3519" s="25" t="n">
        <x:v>40846.26736111111</x:v>
      </x:c>
      <x:c r="F3519" s="2" t="n">
        <x:v>41</x:v>
      </x:c>
      <x:c r="G3519" s="2" t="n">
        <x:v>17</x:v>
      </x:c>
      <x:c r="H3519" s="11" t="n">
        <x:v>2402.55</x:v>
      </x:c>
      <x:c r="I3519" s="2" t="n">
        <x:v>4</x:v>
      </x:c>
      <x:c r="J3519" s="2" t="n">
        <x:v>5</x:v>
      </x:c>
      <x:c r="K3519" s="2" t="n">
        <x:v>4</x:v>
      </x:c>
      <x:c r="L3519" s="2" t="str">
        <x:v>Champions</x:v>
      </x:c>
    </x:row>
    <x:row r="3520" ht="22" customHeight="1">
      <x:c r="A3520" s="2"/>
      <x:c r="B3520" s="2" t="str">
        <x:v>15861</x:v>
      </x:c>
      <x:c r="C3520" s="2" t="str">
        <x:v>United Kingdom</x:v>
      </x:c>
      <x:c r="D3520" s="25" t="n">
        <x:v>40206.611805555556</x:v>
      </x:c>
      <x:c r="E3520" s="25" t="n">
        <x:v>40874.45763888889</x:v>
      </x:c>
      <x:c r="F3520" s="2" t="n">
        <x:v>13</x:v>
      </x:c>
      <x:c r="G3520" s="2" t="n">
        <x:v>12</x:v>
      </x:c>
      <x:c r="H3520" s="11" t="n">
        <x:v>4401.79</x:v>
      </x:c>
      <x:c r="I3520" s="2" t="n">
        <x:v>5</x:v>
      </x:c>
      <x:c r="J3520" s="2" t="n">
        <x:v>5</x:v>
      </x:c>
      <x:c r="K3520" s="2" t="n">
        <x:v>5</x:v>
      </x:c>
      <x:c r="L3520" s="2" t="str">
        <x:v>Champions</x:v>
      </x:c>
    </x:row>
    <x:row r="3521" ht="22" customHeight="1">
      <x:c r="A3521" s="2"/>
      <x:c r="B3521" s="2" t="str">
        <x:v>15862</x:v>
      </x:c>
      <x:c r="C3521" s="2" t="str">
        <x:v>United Kingdom</x:v>
      </x:c>
      <x:c r="D3521" s="25" t="n">
        <x:v>40164.27291666667</x:v>
      </x:c>
      <x:c r="E3521" s="25" t="n">
        <x:v>40878.35277777778</x:v>
      </x:c>
      <x:c r="F3521" s="2" t="n">
        <x:v>9</x:v>
      </x:c>
      <x:c r="G3521" s="2" t="n">
        <x:v>13</x:v>
      </x:c>
      <x:c r="H3521" s="11" t="n">
        <x:v>2574.06</x:v>
      </x:c>
      <x:c r="I3521" s="2" t="n">
        <x:v>5</x:v>
      </x:c>
      <x:c r="J3521" s="2" t="n">
        <x:v>5</x:v>
      </x:c>
      <x:c r="K3521" s="2" t="n">
        <x:v>4</x:v>
      </x:c>
      <x:c r="L3521" s="2" t="str">
        <x:v>Champions</x:v>
      </x:c>
    </x:row>
    <x:row r="3522" ht="22" customHeight="1">
      <x:c r="A3522" s="2"/>
      <x:c r="B3522" s="2" t="str">
        <x:v>15863</x:v>
      </x:c>
      <x:c r="C3522" s="2" t="str">
        <x:v>United Kingdom</x:v>
      </x:c>
      <x:c r="D3522" s="25" t="n">
        <x:v>40164.22222222222</x:v>
      </x:c>
      <x:c r="E3522" s="25" t="n">
        <x:v>40861.325694444444</x:v>
      </x:c>
      <x:c r="F3522" s="2" t="n">
        <x:v>26</x:v>
      </x:c>
      <x:c r="G3522" s="2" t="n">
        <x:v>5</x:v>
      </x:c>
      <x:c r="H3522" s="11" t="n">
        <x:v>358.7</x:v>
      </x:c>
      <x:c r="I3522" s="2" t="n">
        <x:v>4</x:v>
      </x:c>
      <x:c r="J3522" s="2" t="n">
        <x:v>4</x:v>
      </x:c>
      <x:c r="K3522" s="2" t="n">
        <x:v>2</x:v>
      </x:c>
      <x:c r="L3522" s="2" t="str">
        <x:v>Loyal</x:v>
      </x:c>
    </x:row>
    <x:row r="3523" ht="22" customHeight="1">
      <x:c r="A3523" s="2"/>
      <x:c r="B3523" s="2" t="str">
        <x:v>15864</x:v>
      </x:c>
      <x:c r="C3523" s="2" t="str">
        <x:v>United Kingdom</x:v>
      </x:c>
      <x:c r="D3523" s="25" t="n">
        <x:v>40505.41805555556</x:v>
      </x:c>
      <x:c r="E3523" s="25" t="n">
        <x:v>40864.35555555556</x:v>
      </x:c>
      <x:c r="F3523" s="2" t="n">
        <x:v>23</x:v>
      </x:c>
      <x:c r="G3523" s="2" t="n">
        <x:v>7</x:v>
      </x:c>
      <x:c r="H3523" s="11" t="n">
        <x:v>2180.76</x:v>
      </x:c>
      <x:c r="I3523" s="2" t="n">
        <x:v>4</x:v>
      </x:c>
      <x:c r="J3523" s="2" t="n">
        <x:v>4</x:v>
      </x:c>
      <x:c r="K3523" s="2" t="n">
        <x:v>4</x:v>
      </x:c>
      <x:c r="L3523" s="2" t="str">
        <x:v>Champions</x:v>
      </x:c>
    </x:row>
    <x:row r="3524" ht="22" customHeight="1">
      <x:c r="A3524" s="2"/>
      <x:c r="B3524" s="2" t="str">
        <x:v>15865</x:v>
      </x:c>
      <x:c r="C3524" s="2" t="str">
        <x:v>United Kingdom</x:v>
      </x:c>
      <x:c r="D3524" s="25" t="n">
        <x:v>40183.373611111114</x:v>
      </x:c>
      <x:c r="E3524" s="25" t="n">
        <x:v>40846.32152777778</x:v>
      </x:c>
      <x:c r="F3524" s="2" t="n">
        <x:v>41</x:v>
      </x:c>
      <x:c r="G3524" s="2" t="n">
        <x:v>5</x:v>
      </x:c>
      <x:c r="H3524" s="11" t="n">
        <x:v>2248.92</x:v>
      </x:c>
      <x:c r="I3524" s="2" t="n">
        <x:v>4</x:v>
      </x:c>
      <x:c r="J3524" s="2" t="n">
        <x:v>4</x:v>
      </x:c>
      <x:c r="K3524" s="2" t="n">
        <x:v>4</x:v>
      </x:c>
      <x:c r="L3524" s="2" t="str">
        <x:v>Champions</x:v>
      </x:c>
    </x:row>
    <x:row r="3525" ht="22" customHeight="1">
      <x:c r="A3525" s="2"/>
      <x:c r="B3525" s="2" t="str">
        <x:v>15866</x:v>
      </x:c>
      <x:c r="C3525" s="2" t="str">
        <x:v>United Kingdom</x:v>
      </x:c>
      <x:c r="D3525" s="25" t="n">
        <x:v>40785.38125</x:v>
      </x:c>
      <x:c r="E3525" s="25" t="n">
        <x:v>40785.38125</x:v>
      </x:c>
      <x:c r="F3525" s="2" t="n">
        <x:v>102</x:v>
      </x:c>
      <x:c r="G3525" s="2" t="n">
        <x:v>1</x:v>
      </x:c>
      <x:c r="H3525" s="11" t="n">
        <x:v>230.53</x:v>
      </x:c>
      <x:c r="I3525" s="2" t="n">
        <x:v>3</x:v>
      </x:c>
      <x:c r="J3525" s="2" t="n">
        <x:v>1</x:v>
      </x:c>
      <x:c r="K3525" s="2" t="n">
        <x:v>1</x:v>
      </x:c>
      <x:c r="L3525" s="2" t="str">
        <x:v>Developing</x:v>
      </x:c>
    </x:row>
    <x:row r="3526" ht="22" customHeight="1">
      <x:c r="A3526" s="2"/>
      <x:c r="B3526" s="2" t="str">
        <x:v>15867</x:v>
      </x:c>
      <x:c r="C3526" s="2" t="str">
        <x:v>United Kingdom</x:v>
      </x:c>
      <x:c r="D3526" s="25" t="n">
        <x:v>40161.427777777775</x:v>
      </x:c>
      <x:c r="E3526" s="25" t="n">
        <x:v>40881.35555555556</x:v>
      </x:c>
      <x:c r="F3526" s="2" t="n">
        <x:v>6</x:v>
      </x:c>
      <x:c r="G3526" s="2" t="n">
        <x:v>31</x:v>
      </x:c>
      <x:c r="H3526" s="11" t="n">
        <x:v>8951.05</x:v>
      </x:c>
      <x:c r="I3526" s="2" t="n">
        <x:v>5</x:v>
      </x:c>
      <x:c r="J3526" s="2" t="n">
        <x:v>5</x:v>
      </x:c>
      <x:c r="K3526" s="2" t="n">
        <x:v>5</x:v>
      </x:c>
      <x:c r="L3526" s="2" t="str">
        <x:v>Champions</x:v>
      </x:c>
    </x:row>
    <x:row r="3527" ht="22" customHeight="1">
      <x:c r="A3527" s="2"/>
      <x:c r="B3527" s="2" t="str">
        <x:v>15868</x:v>
      </x:c>
      <x:c r="C3527" s="2" t="str">
        <x:v>United Kingdom</x:v>
      </x:c>
      <x:c r="D3527" s="25" t="n">
        <x:v>40303.38263888889</x:v>
      </x:c>
      <x:c r="E3527" s="25" t="n">
        <x:v>40303.38263888889</x:v>
      </x:c>
      <x:c r="F3527" s="2" t="n">
        <x:v>584</x:v>
      </x:c>
      <x:c r="G3527" s="2" t="n">
        <x:v>1</x:v>
      </x:c>
      <x:c r="H3527" s="11" t="n">
        <x:v>94.53</x:v>
      </x:c>
      <x:c r="I3527" s="2" t="n">
        <x:v>1</x:v>
      </x:c>
      <x:c r="J3527" s="2" t="n">
        <x:v>1</x:v>
      </x:c>
      <x:c r="K3527" s="2" t="n">
        <x:v>1</x:v>
      </x:c>
      <x:c r="L3527" s="2" t="str">
        <x:v>Hibernating</x:v>
      </x:c>
    </x:row>
    <x:row r="3528" ht="22" customHeight="1">
      <x:c r="A3528" s="2"/>
      <x:c r="B3528" s="2" t="str">
        <x:v>15869</x:v>
      </x:c>
      <x:c r="C3528" s="2" t="str">
        <x:v>United Kingdom</x:v>
      </x:c>
      <x:c r="D3528" s="25" t="n">
        <x:v>40260.493055555555</x:v>
      </x:c>
      <x:c r="E3528" s="25" t="n">
        <x:v>40609.51597222222</x:v>
      </x:c>
      <x:c r="F3528" s="2" t="n">
        <x:v>278</x:v>
      </x:c>
      <x:c r="G3528" s="2" t="n">
        <x:v>3</x:v>
      </x:c>
      <x:c r="H3528" s="11" t="n">
        <x:v>323.66</x:v>
      </x:c>
      <x:c r="I3528" s="2" t="n">
        <x:v>2</x:v>
      </x:c>
      <x:c r="J3528" s="2" t="n">
        <x:v>3</x:v>
      </x:c>
      <x:c r="K3528" s="2" t="n">
        <x:v>2</x:v>
      </x:c>
      <x:c r="L3528" s="2" t="str">
        <x:v>At risk</x:v>
      </x:c>
    </x:row>
    <x:row r="3529" ht="22" customHeight="1">
      <x:c r="A3529" s="2"/>
      <x:c r="B3529" s="2" t="str">
        <x:v>15870</x:v>
      </x:c>
      <x:c r="C3529" s="2" t="str">
        <x:v>United Kingdom</x:v>
      </x:c>
      <x:c r="D3529" s="25" t="n">
        <x:v>40440.47361111111</x:v>
      </x:c>
      <x:c r="E3529" s="25" t="n">
        <x:v>40854.248611111114</x:v>
      </x:c>
      <x:c r="F3529" s="2" t="n">
        <x:v>33</x:v>
      </x:c>
      <x:c r="G3529" s="2" t="n">
        <x:v>4</x:v>
      </x:c>
      <x:c r="H3529" s="11" t="n">
        <x:v>862.61</x:v>
      </x:c>
      <x:c r="I3529" s="2" t="n">
        <x:v>4</x:v>
      </x:c>
      <x:c r="J3529" s="2" t="n">
        <x:v>3</x:v>
      </x:c>
      <x:c r="K3529" s="2" t="n">
        <x:v>3</x:v>
      </x:c>
      <x:c r="L3529" s="2" t="str">
        <x:v>Loyal</x:v>
      </x:c>
    </x:row>
    <x:row r="3530" ht="22" customHeight="1">
      <x:c r="A3530" s="2"/>
      <x:c r="B3530" s="2" t="str">
        <x:v>15871</x:v>
      </x:c>
      <x:c r="C3530" s="2" t="str">
        <x:v>United Kingdom</x:v>
      </x:c>
      <x:c r="D3530" s="25" t="n">
        <x:v>40449.38611111111</x:v>
      </x:c>
      <x:c r="E3530" s="25" t="n">
        <x:v>40449.38611111111</x:v>
      </x:c>
      <x:c r="F3530" s="2" t="n">
        <x:v>438</x:v>
      </x:c>
      <x:c r="G3530" s="2" t="n">
        <x:v>1</x:v>
      </x:c>
      <x:c r="H3530" s="11" t="n">
        <x:v>33.1</x:v>
      </x:c>
      <x:c r="I3530" s="2" t="n">
        <x:v>1</x:v>
      </x:c>
      <x:c r="J3530" s="2" t="n">
        <x:v>1</x:v>
      </x:c>
      <x:c r="K3530" s="2" t="n">
        <x:v>1</x:v>
      </x:c>
      <x:c r="L3530" s="2" t="str">
        <x:v>Hibernating</x:v>
      </x:c>
    </x:row>
    <x:row r="3531" ht="22" customHeight="1">
      <x:c r="A3531" s="2"/>
      <x:c r="B3531" s="2" t="str">
        <x:v>15872</x:v>
      </x:c>
      <x:c r="C3531" s="2" t="str">
        <x:v>United Kingdom</x:v>
      </x:c>
      <x:c r="D3531" s="25" t="n">
        <x:v>40336.41180555556</x:v>
      </x:c>
      <x:c r="E3531" s="25" t="n">
        <x:v>40872.288194444445</x:v>
      </x:c>
      <x:c r="F3531" s="2" t="n">
        <x:v>15</x:v>
      </x:c>
      <x:c r="G3531" s="2" t="n">
        <x:v>4</x:v>
      </x:c>
      <x:c r="H3531" s="11" t="n">
        <x:v>795.68</x:v>
      </x:c>
      <x:c r="I3531" s="2" t="n">
        <x:v>5</x:v>
      </x:c>
      <x:c r="J3531" s="2" t="n">
        <x:v>3</x:v>
      </x:c>
      <x:c r="K3531" s="2" t="n">
        <x:v>3</x:v>
      </x:c>
      <x:c r="L3531" s="2" t="str">
        <x:v>Loyal</x:v>
      </x:c>
    </x:row>
    <x:row r="3532" ht="22" customHeight="1">
      <x:c r="A3532" s="2"/>
      <x:c r="B3532" s="2" t="str">
        <x:v>15873</x:v>
      </x:c>
      <x:c r="C3532" s="2" t="str">
        <x:v>United Kingdom</x:v>
      </x:c>
      <x:c r="D3532" s="25" t="n">
        <x:v>40386.29027777778</x:v>
      </x:c>
      <x:c r="E3532" s="25" t="n">
        <x:v>40387.32013888889</x:v>
      </x:c>
      <x:c r="F3532" s="2" t="n">
        <x:v>500</x:v>
      </x:c>
      <x:c r="G3532" s="2" t="n">
        <x:v>4</x:v>
      </x:c>
      <x:c r="H3532" s="11" t="n">
        <x:v>313.92</x:v>
      </x:c>
      <x:c r="I3532" s="2" t="n">
        <x:v>1</x:v>
      </x:c>
      <x:c r="J3532" s="2" t="n">
        <x:v>3</x:v>
      </x:c>
      <x:c r="K3532" s="2" t="n">
        <x:v>2</x:v>
      </x:c>
      <x:c r="L3532" s="2" t="str">
        <x:v>At risk</x:v>
      </x:c>
    </x:row>
    <x:row r="3533" ht="22" customHeight="1">
      <x:c r="A3533" s="2"/>
      <x:c r="B3533" s="2" t="str">
        <x:v>15874</x:v>
      </x:c>
      <x:c r="C3533" s="2" t="str">
        <x:v>United Kingdom</x:v>
      </x:c>
      <x:c r="D3533" s="25" t="n">
        <x:v>40185.37222222222</x:v>
      </x:c>
      <x:c r="E3533" s="25" t="n">
        <x:v>40823.31319444445</x:v>
      </x:c>
      <x:c r="F3533" s="2" t="n">
        <x:v>64</x:v>
      </x:c>
      <x:c r="G3533" s="2" t="n">
        <x:v>21</x:v>
      </x:c>
      <x:c r="H3533" s="11" t="n">
        <x:v>11284.76</x:v>
      </x:c>
      <x:c r="I3533" s="2" t="n">
        <x:v>3</x:v>
      </x:c>
      <x:c r="J3533" s="2" t="n">
        <x:v>5</x:v>
      </x:c>
      <x:c r="K3533" s="2" t="n">
        <x:v>5</x:v>
      </x:c>
      <x:c r="L3533" s="2" t="str">
        <x:v>Loyal</x:v>
      </x:c>
    </x:row>
    <x:row r="3534" ht="22" customHeight="1">
      <x:c r="A3534" s="2"/>
      <x:c r="B3534" s="2" t="str">
        <x:v>15875</x:v>
      </x:c>
      <x:c r="C3534" s="2" t="str">
        <x:v>United Kingdom</x:v>
      </x:c>
      <x:c r="D3534" s="25" t="n">
        <x:v>40240.49375</x:v>
      </x:c>
      <x:c r="E3534" s="25" t="n">
        <x:v>40240.49375</x:v>
      </x:c>
      <x:c r="F3534" s="2" t="n">
        <x:v>647</x:v>
      </x:c>
      <x:c r="G3534" s="2" t="n">
        <x:v>1</x:v>
      </x:c>
      <x:c r="H3534" s="11" t="n">
        <x:v>111.72</x:v>
      </x:c>
      <x:c r="I3534" s="2" t="n">
        <x:v>1</x:v>
      </x:c>
      <x:c r="J3534" s="2" t="n">
        <x:v>1</x:v>
      </x:c>
      <x:c r="K3534" s="2" t="n">
        <x:v>1</x:v>
      </x:c>
      <x:c r="L3534" s="2" t="str">
        <x:v>Hibernating</x:v>
      </x:c>
    </x:row>
    <x:row r="3535" ht="22" customHeight="1">
      <x:c r="A3535" s="2"/>
      <x:c r="B3535" s="2" t="str">
        <x:v>15876</x:v>
      </x:c>
      <x:c r="C3535" s="2" t="str">
        <x:v>United Kingdom</x:v>
      </x:c>
      <x:c r="D3535" s="25" t="n">
        <x:v>40438.43472222222</x:v>
      </x:c>
      <x:c r="E3535" s="25" t="n">
        <x:v>40477.58194444444</x:v>
      </x:c>
      <x:c r="F3535" s="2" t="n">
        <x:v>410</x:v>
      </x:c>
      <x:c r="G3535" s="2" t="n">
        <x:v>2</x:v>
      </x:c>
      <x:c r="H3535" s="11" t="n">
        <x:v>1449.14</x:v>
      </x:c>
      <x:c r="I3535" s="2" t="n">
        <x:v>2</x:v>
      </x:c>
      <x:c r="J3535" s="2" t="n">
        <x:v>2</x:v>
      </x:c>
      <x:c r="K3535" s="2" t="n">
        <x:v>4</x:v>
      </x:c>
      <x:c r="L3535" s="2" t="str">
        <x:v>Hibernating</x:v>
      </x:c>
    </x:row>
    <x:row r="3536" ht="22" customHeight="1">
      <x:c r="A3536" s="2"/>
      <x:c r="B3536" s="2" t="str">
        <x:v>15877</x:v>
      </x:c>
      <x:c r="C3536" s="2" t="str">
        <x:v>United Kingdom</x:v>
      </x:c>
      <x:c r="D3536" s="25" t="n">
        <x:v>40869.2625</x:v>
      </x:c>
      <x:c r="E3536" s="25" t="n">
        <x:v>40885.28680555556</x:v>
      </x:c>
      <x:c r="F3536" s="2" t="n">
        <x:v>2</x:v>
      </x:c>
      <x:c r="G3536" s="2" t="n">
        <x:v>2</x:v>
      </x:c>
      <x:c r="H3536" s="11" t="n">
        <x:v>493.28</x:v>
      </x:c>
      <x:c r="I3536" s="2" t="n">
        <x:v>5</x:v>
      </x:c>
      <x:c r="J3536" s="2" t="n">
        <x:v>2</x:v>
      </x:c>
      <x:c r="K3536" s="2" t="n">
        <x:v>2</x:v>
      </x:c>
      <x:c r="L3536" s="2" t="str">
        <x:v>Recent light buyers</x:v>
      </x:c>
    </x:row>
    <x:row r="3537" ht="22" customHeight="1">
      <x:c r="A3537" s="2"/>
      <x:c r="B3537" s="2" t="str">
        <x:v>15878</x:v>
      </x:c>
      <x:c r="C3537" s="2" t="str">
        <x:v>United Kingdom</x:v>
      </x:c>
      <x:c r="D3537" s="25" t="n">
        <x:v>40153.311111111114</x:v>
      </x:c>
      <x:c r="E3537" s="25" t="n">
        <x:v>40325.30347222222</x:v>
      </x:c>
      <x:c r="F3537" s="2" t="n">
        <x:v>562</x:v>
      </x:c>
      <x:c r="G3537" s="2" t="n">
        <x:v>2</x:v>
      </x:c>
      <x:c r="H3537" s="11" t="n">
        <x:v>330.77</x:v>
      </x:c>
      <x:c r="I3537" s="2" t="n">
        <x:v>1</x:v>
      </x:c>
      <x:c r="J3537" s="2" t="n">
        <x:v>2</x:v>
      </x:c>
      <x:c r="K3537" s="2" t="n">
        <x:v>2</x:v>
      </x:c>
      <x:c r="L3537" s="2" t="str">
        <x:v>Hibernating</x:v>
      </x:c>
    </x:row>
    <x:row r="3538" ht="22" customHeight="1">
      <x:c r="A3538" s="2"/>
      <x:c r="B3538" s="2" t="str">
        <x:v>15879</x:v>
      </x:c>
      <x:c r="C3538" s="2" t="str">
        <x:v>United Kingdom</x:v>
      </x:c>
      <x:c r="D3538" s="25" t="n">
        <x:v>40164.620833333334</x:v>
      </x:c>
      <x:c r="E3538" s="25" t="n">
        <x:v>40482.472916666666</x:v>
      </x:c>
      <x:c r="F3538" s="2" t="n">
        <x:v>405</x:v>
      </x:c>
      <x:c r="G3538" s="2" t="n">
        <x:v>4</x:v>
      </x:c>
      <x:c r="H3538" s="11" t="n">
        <x:v>1157.3</x:v>
      </x:c>
      <x:c r="I3538" s="2" t="n">
        <x:v>2</x:v>
      </x:c>
      <x:c r="J3538" s="2" t="n">
        <x:v>3</x:v>
      </x:c>
      <x:c r="K3538" s="2" t="n">
        <x:v>3</x:v>
      </x:c>
      <x:c r="L3538" s="2" t="str">
        <x:v>At risk</x:v>
      </x:c>
    </x:row>
    <x:row r="3539" ht="22" customHeight="1">
      <x:c r="A3539" s="2"/>
      <x:c r="B3539" s="2" t="str">
        <x:v>15880</x:v>
      </x:c>
      <x:c r="C3539" s="2" t="str">
        <x:v>United Kingdom</x:v>
      </x:c>
      <x:c r="D3539" s="25" t="n">
        <x:v>40517.333333333336</x:v>
      </x:c>
      <x:c r="E3539" s="25" t="n">
        <x:v>40517.333333333336</x:v>
      </x:c>
      <x:c r="F3539" s="2" t="n">
        <x:v>370</x:v>
      </x:c>
      <x:c r="G3539" s="2" t="n">
        <x:v>1</x:v>
      </x:c>
      <x:c r="H3539" s="11" t="n">
        <x:v>343.28</x:v>
      </x:c>
      <x:c r="I3539" s="2" t="n">
        <x:v>2</x:v>
      </x:c>
      <x:c r="J3539" s="2" t="n">
        <x:v>1</x:v>
      </x:c>
      <x:c r="K3539" s="2" t="n">
        <x:v>2</x:v>
      </x:c>
      <x:c r="L3539" s="2" t="str">
        <x:v>Hibernating</x:v>
      </x:c>
    </x:row>
    <x:row r="3540" ht="22" customHeight="1">
      <x:c r="A3540" s="2"/>
      <x:c r="B3540" s="2" t="str">
        <x:v>15881</x:v>
      </x:c>
      <x:c r="C3540" s="2" t="str">
        <x:v>United Kingdom</x:v>
      </x:c>
      <x:c r="D3540" s="25" t="n">
        <x:v>40522.35555555556</x:v>
      </x:c>
      <x:c r="E3540" s="25" t="n">
        <x:v>40574.49930555555</x:v>
      </x:c>
      <x:c r="F3540" s="2" t="n">
        <x:v>313</x:v>
      </x:c>
      <x:c r="G3540" s="2" t="n">
        <x:v>5</x:v>
      </x:c>
      <x:c r="H3540" s="11" t="n">
        <x:v>501.39</x:v>
      </x:c>
      <x:c r="I3540" s="2" t="n">
        <x:v>2</x:v>
      </x:c>
      <x:c r="J3540" s="2" t="n">
        <x:v>4</x:v>
      </x:c>
      <x:c r="K3540" s="2" t="n">
        <x:v>2</x:v>
      </x:c>
      <x:c r="L3540" s="2" t="str">
        <x:v>At risk</x:v>
      </x:c>
    </x:row>
    <x:row r="3541" ht="22" customHeight="1">
      <x:c r="A3541" s="2"/>
      <x:c r="B3541" s="2" t="str">
        <x:v>15882</x:v>
      </x:c>
      <x:c r="C3541" s="2" t="str">
        <x:v>United Kingdom</x:v>
      </x:c>
      <x:c r="D3541" s="25" t="n">
        <x:v>40157.43958333333</x:v>
      </x:c>
      <x:c r="E3541" s="25" t="n">
        <x:v>40688.274305555555</x:v>
      </x:c>
      <x:c r="F3541" s="2" t="n">
        <x:v>199</x:v>
      </x:c>
      <x:c r="G3541" s="2" t="n">
        <x:v>8</x:v>
      </x:c>
      <x:c r="H3541" s="11" t="n">
        <x:v>1124.66</x:v>
      </x:c>
      <x:c r="I3541" s="2" t="n">
        <x:v>2</x:v>
      </x:c>
      <x:c r="J3541" s="2" t="n">
        <x:v>4</x:v>
      </x:c>
      <x:c r="K3541" s="2" t="n">
        <x:v>3</x:v>
      </x:c>
      <x:c r="L3541" s="2" t="str">
        <x:v>At risk</x:v>
      </x:c>
    </x:row>
    <x:row r="3542" ht="22" customHeight="1">
      <x:c r="A3542" s="2"/>
      <x:c r="B3542" s="2" t="str">
        <x:v>15883</x:v>
      </x:c>
      <x:c r="C3542" s="2" t="str">
        <x:v>United Kingdom</x:v>
      </x:c>
      <x:c r="D3542" s="25" t="n">
        <x:v>40853.40972222222</x:v>
      </x:c>
      <x:c r="E3542" s="25" t="n">
        <x:v>40884.50347222222</x:v>
      </x:c>
      <x:c r="F3542" s="2" t="n">
        <x:v>3</x:v>
      </x:c>
      <x:c r="G3542" s="2" t="n">
        <x:v>2</x:v>
      </x:c>
      <x:c r="H3542" s="11" t="n">
        <x:v>396.48</x:v>
      </x:c>
      <x:c r="I3542" s="2" t="n">
        <x:v>5</x:v>
      </x:c>
      <x:c r="J3542" s="2" t="n">
        <x:v>2</x:v>
      </x:c>
      <x:c r="K3542" s="2" t="n">
        <x:v>2</x:v>
      </x:c>
      <x:c r="L3542" s="2" t="str">
        <x:v>Recent light buyers</x:v>
      </x:c>
    </x:row>
    <x:row r="3543" ht="22" customHeight="1">
      <x:c r="A3543" s="2"/>
      <x:c r="B3543" s="2" t="str">
        <x:v>15884</x:v>
      </x:c>
      <x:c r="C3543" s="2" t="str">
        <x:v>United Kingdom</x:v>
      </x:c>
      <x:c r="D3543" s="25" t="n">
        <x:v>40150.55763888889</x:v>
      </x:c>
      <x:c r="E3543" s="25" t="n">
        <x:v>40454.45486111111</x:v>
      </x:c>
      <x:c r="F3543" s="2" t="n">
        <x:v>433</x:v>
      </x:c>
      <x:c r="G3543" s="2" t="n">
        <x:v>2</x:v>
      </x:c>
      <x:c r="H3543" s="11" t="n">
        <x:v>249.7</x:v>
      </x:c>
      <x:c r="I3543" s="2" t="n">
        <x:v>1</x:v>
      </x:c>
      <x:c r="J3543" s="2" t="n">
        <x:v>2</x:v>
      </x:c>
      <x:c r="K3543" s="2" t="n">
        <x:v>1</x:v>
      </x:c>
      <x:c r="L3543" s="2" t="str">
        <x:v>Hibernating</x:v>
      </x:c>
    </x:row>
    <x:row r="3544" ht="22" customHeight="1">
      <x:c r="A3544" s="2"/>
      <x:c r="B3544" s="2" t="str">
        <x:v>15885</x:v>
      </x:c>
      <x:c r="C3544" s="2" t="str">
        <x:v>United Kingdom</x:v>
      </x:c>
      <x:c r="D3544" s="25" t="n">
        <x:v>40199.32430555556</x:v>
      </x:c>
      <x:c r="E3544" s="25" t="n">
        <x:v>40794.23819444444</x:v>
      </x:c>
      <x:c r="F3544" s="2" t="n">
        <x:v>93</x:v>
      </x:c>
      <x:c r="G3544" s="2" t="n">
        <x:v>15</x:v>
      </x:c>
      <x:c r="H3544" s="11" t="n">
        <x:v>1951.82</x:v>
      </x:c>
      <x:c r="I3544" s="2" t="n">
        <x:v>3</x:v>
      </x:c>
      <x:c r="J3544" s="2" t="n">
        <x:v>5</x:v>
      </x:c>
      <x:c r="K3544" s="2" t="n">
        <x:v>4</x:v>
      </x:c>
      <x:c r="L3544" s="2" t="str">
        <x:v>Loyal</x:v>
      </x:c>
    </x:row>
    <x:row r="3545" ht="22" customHeight="1">
      <x:c r="A3545" s="2"/>
      <x:c r="B3545" s="2" t="str">
        <x:v>15886</x:v>
      </x:c>
      <x:c r="C3545" s="2" t="str">
        <x:v>United Kingdom</x:v>
      </x:c>
      <x:c r="D3545" s="25" t="n">
        <x:v>40288.41875</x:v>
      </x:c>
      <x:c r="E3545" s="25" t="n">
        <x:v>40826.39236111111</x:v>
      </x:c>
      <x:c r="F3545" s="2" t="n">
        <x:v>61</x:v>
      </x:c>
      <x:c r="G3545" s="2" t="n">
        <x:v>4</x:v>
      </x:c>
      <x:c r="H3545" s="11" t="n">
        <x:v>1052.87</x:v>
      </x:c>
      <x:c r="I3545" s="2" t="n">
        <x:v>3</x:v>
      </x:c>
      <x:c r="J3545" s="2" t="n">
        <x:v>3</x:v>
      </x:c>
      <x:c r="K3545" s="2" t="n">
        <x:v>3</x:v>
      </x:c>
      <x:c r="L3545" s="2" t="str">
        <x:v>Loyal</x:v>
      </x:c>
    </x:row>
    <x:row r="3546" ht="22" customHeight="1">
      <x:c r="A3546" s="2"/>
      <x:c r="B3546" s="2" t="str">
        <x:v>15887</x:v>
      </x:c>
      <x:c r="C3546" s="2" t="str">
        <x:v>United Kingdom</x:v>
      </x:c>
      <x:c r="D3546" s="25" t="n">
        <x:v>40331.28680555556</x:v>
      </x:c>
      <x:c r="E3546" s="25" t="n">
        <x:v>40480.15</x:v>
      </x:c>
      <x:c r="F3546" s="2" t="n">
        <x:v>407</x:v>
      </x:c>
      <x:c r="G3546" s="2" t="n">
        <x:v>3</x:v>
      </x:c>
      <x:c r="H3546" s="11" t="n">
        <x:v>1027.15</x:v>
      </x:c>
      <x:c r="I3546" s="2" t="n">
        <x:v>2</x:v>
      </x:c>
      <x:c r="J3546" s="2" t="n">
        <x:v>3</x:v>
      </x:c>
      <x:c r="K3546" s="2" t="n">
        <x:v>3</x:v>
      </x:c>
      <x:c r="L3546" s="2" t="str">
        <x:v>At risk</x:v>
      </x:c>
    </x:row>
    <x:row r="3547" ht="22" customHeight="1">
      <x:c r="A3547" s="2"/>
      <x:c r="B3547" s="2" t="str">
        <x:v>15888</x:v>
      </x:c>
      <x:c r="C3547" s="2" t="str">
        <x:v>United Kingdom</x:v>
      </x:c>
      <x:c r="D3547" s="25" t="n">
        <x:v>40360.285416666666</x:v>
      </x:c>
      <x:c r="E3547" s="25" t="n">
        <x:v>40806.3125</x:v>
      </x:c>
      <x:c r="F3547" s="2" t="n">
        <x:v>81</x:v>
      </x:c>
      <x:c r="G3547" s="2" t="n">
        <x:v>3</x:v>
      </x:c>
      <x:c r="H3547" s="11" t="n">
        <x:v>429.16</x:v>
      </x:c>
      <x:c r="I3547" s="2" t="n">
        <x:v>3</x:v>
      </x:c>
      <x:c r="J3547" s="2" t="n">
        <x:v>3</x:v>
      </x:c>
      <x:c r="K3547" s="2" t="n">
        <x:v>2</x:v>
      </x:c>
      <x:c r="L3547" s="2" t="str">
        <x:v>Loyal</x:v>
      </x:c>
    </x:row>
    <x:row r="3548" ht="22" customHeight="1">
      <x:c r="A3548" s="2"/>
      <x:c r="B3548" s="2" t="str">
        <x:v>15889</x:v>
      </x:c>
      <x:c r="C3548" s="2" t="str">
        <x:v>United Kingdom</x:v>
      </x:c>
      <x:c r="D3548" s="25" t="n">
        <x:v>40157.30625</x:v>
      </x:c>
      <x:c r="E3548" s="25" t="n">
        <x:v>40730.256944444445</x:v>
      </x:c>
      <x:c r="F3548" s="2" t="n">
        <x:v>157</x:v>
      </x:c>
      <x:c r="G3548" s="2" t="n">
        <x:v>8</x:v>
      </x:c>
      <x:c r="H3548" s="11" t="n">
        <x:v>1508.36</x:v>
      </x:c>
      <x:c r="I3548" s="2" t="n">
        <x:v>3</x:v>
      </x:c>
      <x:c r="J3548" s="2" t="n">
        <x:v>4</x:v>
      </x:c>
      <x:c r="K3548" s="2" t="n">
        <x:v>4</x:v>
      </x:c>
      <x:c r="L3548" s="2" t="str">
        <x:v>Loyal</x:v>
      </x:c>
    </x:row>
    <x:row r="3549" ht="22" customHeight="1">
      <x:c r="A3549" s="2"/>
      <x:c r="B3549" s="2" t="str">
        <x:v>15890</x:v>
      </x:c>
      <x:c r="C3549" s="2" t="str">
        <x:v>United Kingdom</x:v>
      </x:c>
      <x:c r="D3549" s="25" t="n">
        <x:v>40282.154861111114</x:v>
      </x:c>
      <x:c r="E3549" s="25" t="n">
        <x:v>40492.32361111111</x:v>
      </x:c>
      <x:c r="F3549" s="2" t="n">
        <x:v>395</x:v>
      </x:c>
      <x:c r="G3549" s="2" t="n">
        <x:v>5</x:v>
      </x:c>
      <x:c r="H3549" s="11" t="n">
        <x:v>535.65</x:v>
      </x:c>
      <x:c r="I3549" s="2" t="n">
        <x:v>2</x:v>
      </x:c>
      <x:c r="J3549" s="2" t="n">
        <x:v>4</x:v>
      </x:c>
      <x:c r="K3549" s="2" t="n">
        <x:v>2</x:v>
      </x:c>
      <x:c r="L3549" s="2" t="str">
        <x:v>At risk</x:v>
      </x:c>
    </x:row>
    <x:row r="3550" ht="22" customHeight="1">
      <x:c r="A3550" s="2"/>
      <x:c r="B3550" s="2" t="str">
        <x:v>15891</x:v>
      </x:c>
      <x:c r="C3550" s="2" t="str">
        <x:v>United Kingdom</x:v>
      </x:c>
      <x:c r="D3550" s="25" t="n">
        <x:v>40660.31597222222</x:v>
      </x:c>
      <x:c r="E3550" s="25" t="n">
        <x:v>40660.31597222222</x:v>
      </x:c>
      <x:c r="F3550" s="2" t="n">
        <x:v>227</x:v>
      </x:c>
      <x:c r="G3550" s="2" t="n">
        <x:v>1</x:v>
      </x:c>
      <x:c r="H3550" s="11" t="n">
        <x:v>524.52</x:v>
      </x:c>
      <x:c r="I3550" s="2" t="n">
        <x:v>2</x:v>
      </x:c>
      <x:c r="J3550" s="2" t="n">
        <x:v>1</x:v>
      </x:c>
      <x:c r="K3550" s="2" t="n">
        <x:v>2</x:v>
      </x:c>
      <x:c r="L3550" s="2" t="str">
        <x:v>Hibernating</x:v>
      </x:c>
    </x:row>
    <x:row r="3551" ht="22" customHeight="1">
      <x:c r="A3551" s="2"/>
      <x:c r="B3551" s="2" t="str">
        <x:v>15892</x:v>
      </x:c>
      <x:c r="C3551" s="2" t="str">
        <x:v>United Kingdom</x:v>
      </x:c>
      <x:c r="D3551" s="25" t="n">
        <x:v>40217.47430555556</x:v>
      </x:c>
      <x:c r="E3551" s="25" t="n">
        <x:v>40217.47430555556</x:v>
      </x:c>
      <x:c r="F3551" s="2" t="n">
        <x:v>670</x:v>
      </x:c>
      <x:c r="G3551" s="2" t="n">
        <x:v>1</x:v>
      </x:c>
      <x:c r="H3551" s="11" t="n">
        <x:v>128.2</x:v>
      </x:c>
      <x:c r="I3551" s="2" t="n">
        <x:v>1</x:v>
      </x:c>
      <x:c r="J3551" s="2" t="n">
        <x:v>1</x:v>
      </x:c>
      <x:c r="K3551" s="2" t="n">
        <x:v>1</x:v>
      </x:c>
      <x:c r="L3551" s="2" t="str">
        <x:v>Hibernating</x:v>
      </x:c>
    </x:row>
    <x:row r="3552" ht="22" customHeight="1">
      <x:c r="A3552" s="2"/>
      <x:c r="B3552" s="2" t="str">
        <x:v>15893</x:v>
      </x:c>
      <x:c r="C3552" s="2" t="str">
        <x:v>United Kingdom</x:v>
      </x:c>
      <x:c r="D3552" s="25" t="n">
        <x:v>40405.25833333333</x:v>
      </x:c>
      <x:c r="E3552" s="25" t="n">
        <x:v>40405.25833333333</x:v>
      </x:c>
      <x:c r="F3552" s="2" t="n">
        <x:v>482</x:v>
      </x:c>
      <x:c r="G3552" s="2" t="n">
        <x:v>1</x:v>
      </x:c>
      <x:c r="H3552" s="11" t="n">
        <x:v>305.28</x:v>
      </x:c>
      <x:c r="I3552" s="2" t="n">
        <x:v>1</x:v>
      </x:c>
      <x:c r="J3552" s="2" t="n">
        <x:v>1</x:v>
      </x:c>
      <x:c r="K3552" s="2" t="n">
        <x:v>2</x:v>
      </x:c>
      <x:c r="L3552" s="2" t="str">
        <x:v>Hibernating</x:v>
      </x:c>
    </x:row>
    <x:row r="3553" ht="22" customHeight="1">
      <x:c r="A3553" s="2"/>
      <x:c r="B3553" s="2" t="str">
        <x:v>15894</x:v>
      </x:c>
      <x:c r="C3553" s="2" t="str">
        <x:v>United Kingdom</x:v>
      </x:c>
      <x:c r="D3553" s="25" t="n">
        <x:v>40517.379166666666</x:v>
      </x:c>
      <x:c r="E3553" s="25" t="n">
        <x:v>40633.368055555555</x:v>
      </x:c>
      <x:c r="F3553" s="2" t="n">
        <x:v>254</x:v>
      </x:c>
      <x:c r="G3553" s="2" t="n">
        <x:v>2</x:v>
      </x:c>
      <x:c r="H3553" s="11" t="n">
        <x:v>263.55</x:v>
      </x:c>
      <x:c r="I3553" s="2" t="n">
        <x:v>2</x:v>
      </x:c>
      <x:c r="J3553" s="2" t="n">
        <x:v>2</x:v>
      </x:c>
      <x:c r="K3553" s="2" t="n">
        <x:v>1</x:v>
      </x:c>
      <x:c r="L3553" s="2" t="str">
        <x:v>Hibernating</x:v>
      </x:c>
    </x:row>
    <x:row r="3554" ht="22" customHeight="1">
      <x:c r="A3554" s="2"/>
      <x:c r="B3554" s="2" t="str">
        <x:v>15895</x:v>
      </x:c>
      <x:c r="C3554" s="2" t="str">
        <x:v>United Kingdom</x:v>
      </x:c>
      <x:c r="D3554" s="25" t="n">
        <x:v>40737.22708333333</x:v>
      </x:c>
      <x:c r="E3554" s="25" t="n">
        <x:v>40737.22708333333</x:v>
      </x:c>
      <x:c r="F3554" s="2" t="n">
        <x:v>150</x:v>
      </x:c>
      <x:c r="G3554" s="2" t="n">
        <x:v>1</x:v>
      </x:c>
      <x:c r="H3554" s="11" t="n">
        <x:v>179.17</x:v>
      </x:c>
      <x:c r="I3554" s="2" t="n">
        <x:v>3</x:v>
      </x:c>
      <x:c r="J3554" s="2" t="n">
        <x:v>1</x:v>
      </x:c>
      <x:c r="K3554" s="2" t="n">
        <x:v>1</x:v>
      </x:c>
      <x:c r="L3554" s="2" t="str">
        <x:v>Developing</x:v>
      </x:c>
    </x:row>
    <x:row r="3555" ht="22" customHeight="1">
      <x:c r="A3555" s="2"/>
      <x:c r="B3555" s="2" t="str">
        <x:v>15897</x:v>
      </x:c>
      <x:c r="C3555" s="2" t="str">
        <x:v>United Kingdom</x:v>
      </x:c>
      <x:c r="D3555" s="25" t="n">
        <x:v>40692.35555555556</x:v>
      </x:c>
      <x:c r="E3555" s="25" t="n">
        <x:v>40692.368055555555</x:v>
      </x:c>
      <x:c r="F3555" s="2" t="n">
        <x:v>195</x:v>
      </x:c>
      <x:c r="G3555" s="2" t="n">
        <x:v>2</x:v>
      </x:c>
      <x:c r="H3555" s="11" t="n">
        <x:v>222.05</x:v>
      </x:c>
      <x:c r="I3555" s="2" t="n">
        <x:v>2</x:v>
      </x:c>
      <x:c r="J3555" s="2" t="n">
        <x:v>2</x:v>
      </x:c>
      <x:c r="K3555" s="2" t="n">
        <x:v>1</x:v>
      </x:c>
      <x:c r="L3555" s="2" t="str">
        <x:v>Hibernating</x:v>
      </x:c>
    </x:row>
    <x:row r="3556" ht="22" customHeight="1">
      <x:c r="A3556" s="2"/>
      <x:c r="B3556" s="2" t="str">
        <x:v>15898</x:v>
      </x:c>
      <x:c r="C3556" s="2" t="str">
        <x:v>United Kingdom</x:v>
      </x:c>
      <x:c r="D3556" s="25" t="n">
        <x:v>40158.46597222222</x:v>
      </x:c>
      <x:c r="E3556" s="25" t="n">
        <x:v>40885.43263888889</x:v>
      </x:c>
      <x:c r="F3556" s="2" t="n">
        <x:v>2</x:v>
      </x:c>
      <x:c r="G3556" s="2" t="n">
        <x:v>25</x:v>
      </x:c>
      <x:c r="H3556" s="11" t="n">
        <x:v>5074.62</x:v>
      </x:c>
      <x:c r="I3556" s="2" t="n">
        <x:v>5</x:v>
      </x:c>
      <x:c r="J3556" s="2" t="n">
        <x:v>5</x:v>
      </x:c>
      <x:c r="K3556" s="2" t="n">
        <x:v>5</x:v>
      </x:c>
      <x:c r="L3556" s="2" t="str">
        <x:v>Champions</x:v>
      </x:c>
    </x:row>
    <x:row r="3557" ht="22" customHeight="1">
      <x:c r="A3557" s="2"/>
      <x:c r="B3557" s="2" t="str">
        <x:v>15899</x:v>
      </x:c>
      <x:c r="C3557" s="2" t="str">
        <x:v>United Kingdom</x:v>
      </x:c>
      <x:c r="D3557" s="25" t="n">
        <x:v>40518.23333333333</x:v>
      </x:c>
      <x:c r="E3557" s="25" t="n">
        <x:v>40518.23333333333</x:v>
      </x:c>
      <x:c r="F3557" s="2" t="n">
        <x:v>369</x:v>
      </x:c>
      <x:c r="G3557" s="2" t="n">
        <x:v>1</x:v>
      </x:c>
      <x:c r="H3557" s="11" t="n">
        <x:v>56.25</x:v>
      </x:c>
      <x:c r="I3557" s="2" t="n">
        <x:v>2</x:v>
      </x:c>
      <x:c r="J3557" s="2" t="n">
        <x:v>1</x:v>
      </x:c>
      <x:c r="K3557" s="2" t="n">
        <x:v>1</x:v>
      </x:c>
      <x:c r="L3557" s="2" t="str">
        <x:v>Hibernating</x:v>
      </x:c>
    </x:row>
    <x:row r="3558" ht="22" customHeight="1">
      <x:c r="A3558" s="2"/>
      <x:c r="B3558" s="2" t="str">
        <x:v>15900</x:v>
      </x:c>
      <x:c r="C3558" s="2" t="str">
        <x:v>United Kingdom</x:v>
      </x:c>
      <x:c r="D3558" s="25" t="n">
        <x:v>40324.26875</x:v>
      </x:c>
      <x:c r="E3558" s="25" t="n">
        <x:v>40863.30486111111</x:v>
      </x:c>
      <x:c r="F3558" s="2" t="n">
        <x:v>24</x:v>
      </x:c>
      <x:c r="G3558" s="2" t="n">
        <x:v>4</x:v>
      </x:c>
      <x:c r="H3558" s="11" t="n">
        <x:v>900.4</x:v>
      </x:c>
      <x:c r="I3558" s="2" t="n">
        <x:v>4</x:v>
      </x:c>
      <x:c r="J3558" s="2" t="n">
        <x:v>3</x:v>
      </x:c>
      <x:c r="K3558" s="2" t="n">
        <x:v>3</x:v>
      </x:c>
      <x:c r="L3558" s="2" t="str">
        <x:v>Loyal</x:v>
      </x:c>
    </x:row>
    <x:row r="3559" ht="22" customHeight="1">
      <x:c r="A3559" s="2"/>
      <x:c r="B3559" s="2" t="str">
        <x:v>15901</x:v>
      </x:c>
      <x:c r="C3559" s="2" t="str">
        <x:v>United Kingdom</x:v>
      </x:c>
      <x:c r="D3559" s="25" t="n">
        <x:v>40343.31875</x:v>
      </x:c>
      <x:c r="E3559" s="25" t="n">
        <x:v>40870.32152777778</x:v>
      </x:c>
      <x:c r="F3559" s="2" t="n">
        <x:v>17</x:v>
      </x:c>
      <x:c r="G3559" s="2" t="n">
        <x:v>7</x:v>
      </x:c>
      <x:c r="H3559" s="11" t="n">
        <x:v>703.22</x:v>
      </x:c>
      <x:c r="I3559" s="2" t="n">
        <x:v>5</x:v>
      </x:c>
      <x:c r="J3559" s="2" t="n">
        <x:v>4</x:v>
      </x:c>
      <x:c r="K3559" s="2" t="n">
        <x:v>3</x:v>
      </x:c>
      <x:c r="L3559" s="2" t="str">
        <x:v>Loyal</x:v>
      </x:c>
    </x:row>
    <x:row r="3560" ht="22" customHeight="1">
      <x:c r="A3560" s="2"/>
      <x:c r="B3560" s="2" t="str">
        <x:v>15902</x:v>
      </x:c>
      <x:c r="C3560" s="2" t="str">
        <x:v>United Kingdom</x:v>
      </x:c>
      <x:c r="D3560" s="25" t="n">
        <x:v>40506.49791666667</x:v>
      </x:c>
      <x:c r="E3560" s="25" t="n">
        <x:v>40506.49791666667</x:v>
      </x:c>
      <x:c r="F3560" s="2" t="n">
        <x:v>381</x:v>
      </x:c>
      <x:c r="G3560" s="2" t="n">
        <x:v>1</x:v>
      </x:c>
      <x:c r="H3560" s="11" t="n">
        <x:v>145.01</x:v>
      </x:c>
      <x:c r="I3560" s="2" t="n">
        <x:v>2</x:v>
      </x:c>
      <x:c r="J3560" s="2" t="n">
        <x:v>1</x:v>
      </x:c>
      <x:c r="K3560" s="2" t="n">
        <x:v>1</x:v>
      </x:c>
      <x:c r="L3560" s="2" t="str">
        <x:v>Hibernating</x:v>
      </x:c>
    </x:row>
    <x:row r="3561" ht="22" customHeight="1">
      <x:c r="A3561" s="2"/>
      <x:c r="B3561" s="2" t="str">
        <x:v>15903</x:v>
      </x:c>
      <x:c r="C3561" s="2" t="str">
        <x:v>United Kingdom</x:v>
      </x:c>
      <x:c r="D3561" s="25" t="n">
        <x:v>40192.24791666667</x:v>
      </x:c>
      <x:c r="E3561" s="25" t="n">
        <x:v>40877.13055555556</x:v>
      </x:c>
      <x:c r="F3561" s="2" t="n">
        <x:v>10</x:v>
      </x:c>
      <x:c r="G3561" s="2" t="n">
        <x:v>12</x:v>
      </x:c>
      <x:c r="H3561" s="11" t="n">
        <x:v>8939.84</x:v>
      </x:c>
      <x:c r="I3561" s="2" t="n">
        <x:v>5</x:v>
      </x:c>
      <x:c r="J3561" s="2" t="n">
        <x:v>5</x:v>
      </x:c>
      <x:c r="K3561" s="2" t="n">
        <x:v>5</x:v>
      </x:c>
      <x:c r="L3561" s="2" t="str">
        <x:v>Champions</x:v>
      </x:c>
    </x:row>
    <x:row r="3562" ht="22" customHeight="1">
      <x:c r="A3562" s="2"/>
      <x:c r="B3562" s="2" t="str">
        <x:v>15904</x:v>
      </x:c>
      <x:c r="C3562" s="2" t="str">
        <x:v>United Kingdom</x:v>
      </x:c>
      <x:c r="D3562" s="25" t="n">
        <x:v>40878.40972222222</x:v>
      </x:c>
      <x:c r="E3562" s="25" t="n">
        <x:v>40878.40972222222</x:v>
      </x:c>
      <x:c r="F3562" s="2" t="n">
        <x:v>9</x:v>
      </x:c>
      <x:c r="G3562" s="2" t="n">
        <x:v>1</x:v>
      </x:c>
      <x:c r="H3562" s="11" t="n">
        <x:v>164.68</x:v>
      </x:c>
      <x:c r="I3562" s="2" t="n">
        <x:v>5</x:v>
      </x:c>
      <x:c r="J3562" s="2" t="n">
        <x:v>1</x:v>
      </x:c>
      <x:c r="K3562" s="2" t="n">
        <x:v>1</x:v>
      </x:c>
      <x:c r="L3562" s="2" t="str">
        <x:v>Recent light buyers</x:v>
      </x:c>
    </x:row>
    <x:row r="3563" ht="22" customHeight="1">
      <x:c r="A3563" s="2"/>
      <x:c r="B3563" s="2" t="str">
        <x:v>15905</x:v>
      </x:c>
      <x:c r="C3563" s="2" t="str">
        <x:v>United Kingdom</x:v>
      </x:c>
      <x:c r="D3563" s="25" t="n">
        <x:v>40343.458333333336</x:v>
      </x:c>
      <x:c r="E3563" s="25" t="n">
        <x:v>40343.458333333336</x:v>
      </x:c>
      <x:c r="F3563" s="2" t="n">
        <x:v>544</x:v>
      </x:c>
      <x:c r="G3563" s="2" t="n">
        <x:v>1</x:v>
      </x:c>
      <x:c r="H3563" s="11" t="n">
        <x:v>114.69</x:v>
      </x:c>
      <x:c r="I3563" s="2" t="n">
        <x:v>1</x:v>
      </x:c>
      <x:c r="J3563" s="2" t="n">
        <x:v>1</x:v>
      </x:c>
      <x:c r="K3563" s="2" t="n">
        <x:v>1</x:v>
      </x:c>
      <x:c r="L3563" s="2" t="str">
        <x:v>Hibernating</x:v>
      </x:c>
    </x:row>
    <x:row r="3564" ht="22" customHeight="1">
      <x:c r="A3564" s="2"/>
      <x:c r="B3564" s="2" t="str">
        <x:v>15906</x:v>
      </x:c>
      <x:c r="C3564" s="2" t="str">
        <x:v>United Kingdom</x:v>
      </x:c>
      <x:c r="D3564" s="25" t="n">
        <x:v>40436.30347222222</x:v>
      </x:c>
      <x:c r="E3564" s="25" t="n">
        <x:v>40867.308333333334</x:v>
      </x:c>
      <x:c r="F3564" s="2" t="n">
        <x:v>20</x:v>
      </x:c>
      <x:c r="G3564" s="2" t="n">
        <x:v>10</x:v>
      </x:c>
      <x:c r="H3564" s="11" t="n">
        <x:v>2555.64</x:v>
      </x:c>
      <x:c r="I3564" s="2" t="n">
        <x:v>5</x:v>
      </x:c>
      <x:c r="J3564" s="2" t="n">
        <x:v>5</x:v>
      </x:c>
      <x:c r="K3564" s="2" t="n">
        <x:v>4</x:v>
      </x:c>
      <x:c r="L3564" s="2" t="str">
        <x:v>Champions</x:v>
      </x:c>
    </x:row>
    <x:row r="3565" ht="22" customHeight="1">
      <x:c r="A3565" s="2"/>
      <x:c r="B3565" s="2" t="str">
        <x:v>15907</x:v>
      </x:c>
      <x:c r="C3565" s="2" t="str">
        <x:v>United Kingdom</x:v>
      </x:c>
      <x:c r="D3565" s="25" t="n">
        <x:v>40676.334027777775</x:v>
      </x:c>
      <x:c r="E3565" s="25" t="n">
        <x:v>40883.30625</x:v>
      </x:c>
      <x:c r="F3565" s="2" t="n">
        <x:v>4</x:v>
      </x:c>
      <x:c r="G3565" s="2" t="n">
        <x:v>3</x:v>
      </x:c>
      <x:c r="H3565" s="11" t="n">
        <x:v>967.45</x:v>
      </x:c>
      <x:c r="I3565" s="2" t="n">
        <x:v>5</x:v>
      </x:c>
      <x:c r="J3565" s="2" t="n">
        <x:v>3</x:v>
      </x:c>
      <x:c r="K3565" s="2" t="n">
        <x:v>3</x:v>
      </x:c>
      <x:c r="L3565" s="2" t="str">
        <x:v>Loyal</x:v>
      </x:c>
    </x:row>
    <x:row r="3566" ht="22" customHeight="1">
      <x:c r="A3566" s="2"/>
      <x:c r="B3566" s="2" t="str">
        <x:v>15908</x:v>
      </x:c>
      <x:c r="C3566" s="2" t="str">
        <x:v>United Kingdom</x:v>
      </x:c>
      <x:c r="D3566" s="25" t="n">
        <x:v>40374.597916666666</x:v>
      </x:c>
      <x:c r="E3566" s="25" t="n">
        <x:v>40396.28888888889</x:v>
      </x:c>
      <x:c r="F3566" s="2" t="n">
        <x:v>491</x:v>
      </x:c>
      <x:c r="G3566" s="2" t="n">
        <x:v>2</x:v>
      </x:c>
      <x:c r="H3566" s="11" t="n">
        <x:v>764.57</x:v>
      </x:c>
      <x:c r="I3566" s="2" t="n">
        <x:v>1</x:v>
      </x:c>
      <x:c r="J3566" s="2" t="n">
        <x:v>2</x:v>
      </x:c>
      <x:c r="K3566" s="2" t="n">
        <x:v>3</x:v>
      </x:c>
      <x:c r="L3566" s="2" t="str">
        <x:v>Hibernating</x:v>
      </x:c>
    </x:row>
    <x:row r="3567" ht="22" customHeight="1">
      <x:c r="A3567" s="2"/>
      <x:c r="B3567" s="2" t="str">
        <x:v>15909</x:v>
      </x:c>
      <x:c r="C3567" s="2" t="str">
        <x:v>United Kingdom</x:v>
      </x:c>
      <x:c r="D3567" s="25" t="n">
        <x:v>40713.23472222222</x:v>
      </x:c>
      <x:c r="E3567" s="25" t="n">
        <x:v>40713.23472222222</x:v>
      </x:c>
      <x:c r="F3567" s="2" t="n">
        <x:v>174</x:v>
      </x:c>
      <x:c r="G3567" s="2" t="n">
        <x:v>1</x:v>
      </x:c>
      <x:c r="H3567" s="11" t="n">
        <x:v>191.94</x:v>
      </x:c>
      <x:c r="I3567" s="2" t="n">
        <x:v>3</x:v>
      </x:c>
      <x:c r="J3567" s="2" t="n">
        <x:v>1</x:v>
      </x:c>
      <x:c r="K3567" s="2" t="n">
        <x:v>1</x:v>
      </x:c>
      <x:c r="L3567" s="2" t="str">
        <x:v>Developing</x:v>
      </x:c>
    </x:row>
    <x:row r="3568" ht="22" customHeight="1">
      <x:c r="A3568" s="2"/>
      <x:c r="B3568" s="2" t="str">
        <x:v>15910</x:v>
      </x:c>
      <x:c r="C3568" s="2" t="str">
        <x:v>United Kingdom</x:v>
      </x:c>
      <x:c r="D3568" s="25" t="n">
        <x:v>40199.285416666666</x:v>
      </x:c>
      <x:c r="E3568" s="25" t="n">
        <x:v>40886.24375</x:v>
      </x:c>
      <x:c r="F3568" s="2" t="n">
        <x:v>1</x:v>
      </x:c>
      <x:c r="G3568" s="2" t="n">
        <x:v>15</x:v>
      </x:c>
      <x:c r="H3568" s="11" t="n">
        <x:v>2681.8</x:v>
      </x:c>
      <x:c r="I3568" s="2" t="n">
        <x:v>5</x:v>
      </x:c>
      <x:c r="J3568" s="2" t="n">
        <x:v>5</x:v>
      </x:c>
      <x:c r="K3568" s="2" t="n">
        <x:v>4</x:v>
      </x:c>
      <x:c r="L3568" s="2" t="str">
        <x:v>Champions</x:v>
      </x:c>
    </x:row>
    <x:row r="3569" ht="22" customHeight="1">
      <x:c r="A3569" s="2"/>
      <x:c r="B3569" s="2" t="str">
        <x:v>15911</x:v>
      </x:c>
      <x:c r="C3569" s="2" t="str">
        <x:v>United Kingdom</x:v>
      </x:c>
      <x:c r="D3569" s="25" t="n">
        <x:v>40156.35138888889</x:v>
      </x:c>
      <x:c r="E3569" s="25" t="n">
        <x:v>40263.29583333333</x:v>
      </x:c>
      <x:c r="F3569" s="2" t="n">
        <x:v>624</x:v>
      </x:c>
      <x:c r="G3569" s="2" t="n">
        <x:v>8</x:v>
      </x:c>
      <x:c r="H3569" s="11" t="n">
        <x:v>1702.34</x:v>
      </x:c>
      <x:c r="I3569" s="2" t="n">
        <x:v>1</x:v>
      </x:c>
      <x:c r="J3569" s="2" t="n">
        <x:v>4</x:v>
      </x:c>
      <x:c r="K3569" s="2" t="n">
        <x:v>4</x:v>
      </x:c>
      <x:c r="L3569" s="2" t="str">
        <x:v>At risk</x:v>
      </x:c>
    </x:row>
    <x:row r="3570" ht="22" customHeight="1">
      <x:c r="A3570" s="2"/>
      <x:c r="B3570" s="2" t="str">
        <x:v>15912</x:v>
      </x:c>
      <x:c r="C3570" s="2" t="str">
        <x:v>United Kingdom</x:v>
      </x:c>
      <x:c r="D3570" s="25" t="n">
        <x:v>40157.33194444444</x:v>
      </x:c>
      <x:c r="E3570" s="25" t="n">
        <x:v>40708.39513888889</x:v>
      </x:c>
      <x:c r="F3570" s="2" t="n">
        <x:v>179</x:v>
      </x:c>
      <x:c r="G3570" s="2" t="n">
        <x:v>9</x:v>
      </x:c>
      <x:c r="H3570" s="11" t="n">
        <x:v>1074.7</x:v>
      </x:c>
      <x:c r="I3570" s="2" t="n">
        <x:v>3</x:v>
      </x:c>
      <x:c r="J3570" s="2" t="n">
        <x:v>5</x:v>
      </x:c>
      <x:c r="K3570" s="2" t="n">
        <x:v>3</x:v>
      </x:c>
      <x:c r="L3570" s="2" t="str">
        <x:v>Loyal</x:v>
      </x:c>
    </x:row>
    <x:row r="3571" ht="22" customHeight="1">
      <x:c r="A3571" s="2"/>
      <x:c r="B3571" s="2" t="str">
        <x:v>15913</x:v>
      </x:c>
      <x:c r="C3571" s="2" t="str">
        <x:v>United Kingdom</x:v>
      </x:c>
      <x:c r="D3571" s="25" t="n">
        <x:v>40352.47986111111</x:v>
      </x:c>
      <x:c r="E3571" s="25" t="n">
        <x:v>40352.47986111111</x:v>
      </x:c>
      <x:c r="F3571" s="2" t="n">
        <x:v>535</x:v>
      </x:c>
      <x:c r="G3571" s="2" t="n">
        <x:v>1</x:v>
      </x:c>
      <x:c r="H3571" s="11" t="n">
        <x:v>6.3</x:v>
      </x:c>
      <x:c r="I3571" s="2" t="n">
        <x:v>1</x:v>
      </x:c>
      <x:c r="J3571" s="2" t="n">
        <x:v>1</x:v>
      </x:c>
      <x:c r="K3571" s="2" t="n">
        <x:v>1</x:v>
      </x:c>
      <x:c r="L3571" s="2" t="str">
        <x:v>Hibernating</x:v>
      </x:c>
    </x:row>
    <x:row r="3572" ht="22" customHeight="1">
      <x:c r="A3572" s="2"/>
      <x:c r="B3572" s="2" t="str">
        <x:v>15914</x:v>
      </x:c>
      <x:c r="C3572" s="2" t="str">
        <x:v>United Kingdom</x:v>
      </x:c>
      <x:c r="D3572" s="25" t="n">
        <x:v>40508.464583333334</x:v>
      </x:c>
      <x:c r="E3572" s="25" t="n">
        <x:v>40508.46527777778</x:v>
      </x:c>
      <x:c r="F3572" s="2" t="n">
        <x:v>379</x:v>
      </x:c>
      <x:c r="G3572" s="2" t="n">
        <x:v>2</x:v>
      </x:c>
      <x:c r="H3572" s="11" t="n">
        <x:v>205.99</x:v>
      </x:c>
      <x:c r="I3572" s="2" t="n">
        <x:v>2</x:v>
      </x:c>
      <x:c r="J3572" s="2" t="n">
        <x:v>2</x:v>
      </x:c>
      <x:c r="K3572" s="2" t="n">
        <x:v>1</x:v>
      </x:c>
      <x:c r="L3572" s="2" t="str">
        <x:v>Hibernating</x:v>
      </x:c>
    </x:row>
    <x:row r="3573" ht="22" customHeight="1">
      <x:c r="A3573" s="2"/>
      <x:c r="B3573" s="2" t="str">
        <x:v>15915</x:v>
      </x:c>
      <x:c r="C3573" s="2" t="str">
        <x:v>United Kingdom</x:v>
      </x:c>
      <x:c r="D3573" s="25" t="n">
        <x:v>40485.25902777778</x:v>
      </x:c>
      <x:c r="E3573" s="25" t="n">
        <x:v>40485.25902777778</x:v>
      </x:c>
      <x:c r="F3573" s="2" t="n">
        <x:v>402</x:v>
      </x:c>
      <x:c r="G3573" s="2" t="n">
        <x:v>1</x:v>
      </x:c>
      <x:c r="H3573" s="11" t="n">
        <x:v>429.21</x:v>
      </x:c>
      <x:c r="I3573" s="2" t="n">
        <x:v>2</x:v>
      </x:c>
      <x:c r="J3573" s="2" t="n">
        <x:v>1</x:v>
      </x:c>
      <x:c r="K3573" s="2" t="n">
        <x:v>2</x:v>
      </x:c>
      <x:c r="L3573" s="2" t="str">
        <x:v>Hibernating</x:v>
      </x:c>
    </x:row>
    <x:row r="3574" ht="22" customHeight="1">
      <x:c r="A3574" s="2"/>
      <x:c r="B3574" s="2" t="str">
        <x:v>15916</x:v>
      </x:c>
      <x:c r="C3574" s="2" t="str">
        <x:v>United Kingdom</x:v>
      </x:c>
      <x:c r="D3574" s="25" t="n">
        <x:v>40157.472916666666</x:v>
      </x:c>
      <x:c r="E3574" s="25" t="n">
        <x:v>40870.365277777775</x:v>
      </x:c>
      <x:c r="F3574" s="2" t="n">
        <x:v>17</x:v>
      </x:c>
      <x:c r="G3574" s="2" t="n">
        <x:v>13</x:v>
      </x:c>
      <x:c r="H3574" s="11" t="n">
        <x:v>3194.72</x:v>
      </x:c>
      <x:c r="I3574" s="2" t="n">
        <x:v>5</x:v>
      </x:c>
      <x:c r="J3574" s="2" t="n">
        <x:v>5</x:v>
      </x:c>
      <x:c r="K3574" s="2" t="n">
        <x:v>5</x:v>
      </x:c>
      <x:c r="L3574" s="2" t="str">
        <x:v>Champions</x:v>
      </x:c>
    </x:row>
    <x:row r="3575" ht="22" customHeight="1">
      <x:c r="A3575" s="2"/>
      <x:c r="B3575" s="2" t="str">
        <x:v>15917</x:v>
      </x:c>
      <x:c r="C3575" s="2" t="str">
        <x:v>United Kingdom</x:v>
      </x:c>
      <x:c r="D3575" s="25" t="n">
        <x:v>40149.413194444445</x:v>
      </x:c>
      <x:c r="E3575" s="25" t="n">
        <x:v>40639.23611111111</x:v>
      </x:c>
      <x:c r="F3575" s="2" t="n">
        <x:v>248</x:v>
      </x:c>
      <x:c r="G3575" s="2" t="n">
        <x:v>5</x:v>
      </x:c>
      <x:c r="H3575" s="11" t="n">
        <x:v>560.63</x:v>
      </x:c>
      <x:c r="I3575" s="2" t="n">
        <x:v>2</x:v>
      </x:c>
      <x:c r="J3575" s="2" t="n">
        <x:v>4</x:v>
      </x:c>
      <x:c r="K3575" s="2" t="n">
        <x:v>2</x:v>
      </x:c>
      <x:c r="L3575" s="2" t="str">
        <x:v>At risk</x:v>
      </x:c>
    </x:row>
    <x:row r="3576" ht="22" customHeight="1">
      <x:c r="A3576" s="2"/>
      <x:c r="B3576" s="2" t="str">
        <x:v>15918</x:v>
      </x:c>
      <x:c r="C3576" s="2" t="str">
        <x:v>United Kingdom</x:v>
      </x:c>
      <x:c r="D3576" s="25" t="n">
        <x:v>40255.27777777778</x:v>
      </x:c>
      <x:c r="E3576" s="25" t="n">
        <x:v>40696.27916666667</x:v>
      </x:c>
      <x:c r="F3576" s="2" t="n">
        <x:v>191</x:v>
      </x:c>
      <x:c r="G3576" s="2" t="n">
        <x:v>3</x:v>
      </x:c>
      <x:c r="H3576" s="11" t="n">
        <x:v>582.88</x:v>
      </x:c>
      <x:c r="I3576" s="2" t="n">
        <x:v>2</x:v>
      </x:c>
      <x:c r="J3576" s="2" t="n">
        <x:v>3</x:v>
      </x:c>
      <x:c r="K3576" s="2" t="n">
        <x:v>2</x:v>
      </x:c>
      <x:c r="L3576" s="2" t="str">
        <x:v>At risk</x:v>
      </x:c>
    </x:row>
    <x:row r="3577" ht="22" customHeight="1">
      <x:c r="A3577" s="2"/>
      <x:c r="B3577" s="2" t="str">
        <x:v>15919</x:v>
      </x:c>
      <x:c r="C3577" s="2" t="str">
        <x:v>United Kingdom</x:v>
      </x:c>
      <x:c r="D3577" s="25" t="n">
        <x:v>40518.268055555556</x:v>
      </x:c>
      <x:c r="E3577" s="25" t="n">
        <x:v>40867.26944444444</x:v>
      </x:c>
      <x:c r="F3577" s="2" t="n">
        <x:v>20</x:v>
      </x:c>
      <x:c r="G3577" s="2" t="n">
        <x:v>2</x:v>
      </x:c>
      <x:c r="H3577" s="11" t="n">
        <x:v>639.89</x:v>
      </x:c>
      <x:c r="I3577" s="2" t="n">
        <x:v>5</x:v>
      </x:c>
      <x:c r="J3577" s="2" t="n">
        <x:v>2</x:v>
      </x:c>
      <x:c r="K3577" s="2" t="n">
        <x:v>3</x:v>
      </x:c>
      <x:c r="L3577" s="2" t="str">
        <x:v>Recent light buyers</x:v>
      </x:c>
    </x:row>
    <x:row r="3578" ht="22" customHeight="1">
      <x:c r="A3578" s="2"/>
      <x:c r="B3578" s="2" t="str">
        <x:v>15920</x:v>
      </x:c>
      <x:c r="C3578" s="2" t="str">
        <x:v>United Kingdom</x:v>
      </x:c>
      <x:c r="D3578" s="25" t="n">
        <x:v>40161.339583333334</x:v>
      </x:c>
      <x:c r="E3578" s="25" t="n">
        <x:v>40732.43819444445</x:v>
      </x:c>
      <x:c r="F3578" s="2" t="n">
        <x:v>155</x:v>
      </x:c>
      <x:c r="G3578" s="2" t="n">
        <x:v>9</x:v>
      </x:c>
      <x:c r="H3578" s="11" t="n">
        <x:v>571.64</x:v>
      </x:c>
      <x:c r="I3578" s="2" t="n">
        <x:v>3</x:v>
      </x:c>
      <x:c r="J3578" s="2" t="n">
        <x:v>5</x:v>
      </x:c>
      <x:c r="K3578" s="2" t="n">
        <x:v>2</x:v>
      </x:c>
      <x:c r="L3578" s="2" t="str">
        <x:v>Loyal</x:v>
      </x:c>
    </x:row>
    <x:row r="3579" ht="22" customHeight="1">
      <x:c r="A3579" s="2"/>
      <x:c r="B3579" s="2" t="str">
        <x:v>15921</x:v>
      </x:c>
      <x:c r="C3579" s="2" t="str">
        <x:v>United Kingdom</x:v>
      </x:c>
      <x:c r="D3579" s="25" t="n">
        <x:v>40246.25208333333</x:v>
      </x:c>
      <x:c r="E3579" s="25" t="n">
        <x:v>40714.25208333333</x:v>
      </x:c>
      <x:c r="F3579" s="2" t="n">
        <x:v>173</x:v>
      </x:c>
      <x:c r="G3579" s="2" t="n">
        <x:v>4</x:v>
      </x:c>
      <x:c r="H3579" s="11" t="n">
        <x:v>802.11</x:v>
      </x:c>
      <x:c r="I3579" s="2" t="n">
        <x:v>3</x:v>
      </x:c>
      <x:c r="J3579" s="2" t="n">
        <x:v>3</x:v>
      </x:c>
      <x:c r="K3579" s="2" t="n">
        <x:v>3</x:v>
      </x:c>
      <x:c r="L3579" s="2" t="str">
        <x:v>Loyal</x:v>
      </x:c>
    </x:row>
    <x:row r="3580" ht="22" customHeight="1">
      <x:c r="A3580" s="2"/>
      <x:c r="B3580" s="2" t="str">
        <x:v>15922</x:v>
      </x:c>
      <x:c r="C3580" s="2" t="str">
        <x:v>United Kingdom</x:v>
      </x:c>
      <x:c r="D3580" s="25" t="n">
        <x:v>40513.36875</x:v>
      </x:c>
      <x:c r="E3580" s="25" t="n">
        <x:v>40513.36875</x:v>
      </x:c>
      <x:c r="F3580" s="2" t="n">
        <x:v>374</x:v>
      </x:c>
      <x:c r="G3580" s="2" t="n">
        <x:v>1</x:v>
      </x:c>
      <x:c r="H3580" s="11" t="n">
        <x:v>369.5</x:v>
      </x:c>
      <x:c r="I3580" s="2" t="n">
        <x:v>2</x:v>
      </x:c>
      <x:c r="J3580" s="2" t="n">
        <x:v>1</x:v>
      </x:c>
      <x:c r="K3580" s="2" t="n">
        <x:v>2</x:v>
      </x:c>
      <x:c r="L3580" s="2" t="str">
        <x:v>Hibernating</x:v>
      </x:c>
    </x:row>
    <x:row r="3581" ht="22" customHeight="1">
      <x:c r="A3581" s="2"/>
      <x:c r="B3581" s="2" t="str">
        <x:v>15923</x:v>
      </x:c>
      <x:c r="C3581" s="2" t="str">
        <x:v>United Kingdom</x:v>
      </x:c>
      <x:c r="D3581" s="25" t="n">
        <x:v>40514.302777777775</x:v>
      </x:c>
      <x:c r="E3581" s="25" t="n">
        <x:v>40514.302777777775</x:v>
      </x:c>
      <x:c r="F3581" s="2" t="n">
        <x:v>373</x:v>
      </x:c>
      <x:c r="G3581" s="2" t="n">
        <x:v>1</x:v>
      </x:c>
      <x:c r="H3581" s="11" t="n">
        <x:v>127.08</x:v>
      </x:c>
      <x:c r="I3581" s="2" t="n">
        <x:v>2</x:v>
      </x:c>
      <x:c r="J3581" s="2" t="n">
        <x:v>1</x:v>
      </x:c>
      <x:c r="K3581" s="2" t="n">
        <x:v>1</x:v>
      </x:c>
      <x:c r="L3581" s="2" t="str">
        <x:v>Hibernating</x:v>
      </x:c>
    </x:row>
    <x:row r="3582" ht="22" customHeight="1">
      <x:c r="A3582" s="2"/>
      <x:c r="B3582" s="2" t="str">
        <x:v>15924</x:v>
      </x:c>
      <x:c r="C3582" s="2" t="str">
        <x:v>United Kingdom</x:v>
      </x:c>
      <x:c r="D3582" s="25" t="n">
        <x:v>40155.416666666664</x:v>
      </x:c>
      <x:c r="E3582" s="25" t="n">
        <x:v>40155.416666666664</x:v>
      </x:c>
      <x:c r="F3582" s="2" t="n">
        <x:v>732</x:v>
      </x:c>
      <x:c r="G3582" s="2" t="n">
        <x:v>1</x:v>
      </x:c>
      <x:c r="H3582" s="11" t="n">
        <x:v>102.82</x:v>
      </x:c>
      <x:c r="I3582" s="2" t="n">
        <x:v>1</x:v>
      </x:c>
      <x:c r="J3582" s="2" t="n">
        <x:v>1</x:v>
      </x:c>
      <x:c r="K3582" s="2" t="n">
        <x:v>1</x:v>
      </x:c>
      <x:c r="L3582" s="2" t="str">
        <x:v>Hibernating</x:v>
      </x:c>
    </x:row>
    <x:row r="3583" ht="22" customHeight="1">
      <x:c r="A3583" s="2"/>
      <x:c r="B3583" s="2" t="str">
        <x:v>15925</x:v>
      </x:c>
      <x:c r="C3583" s="2" t="str">
        <x:v>United Kingdom</x:v>
      </x:c>
      <x:c r="D3583" s="25" t="n">
        <x:v>40692.44097222222</x:v>
      </x:c>
      <x:c r="E3583" s="25" t="n">
        <x:v>40692.44097222222</x:v>
      </x:c>
      <x:c r="F3583" s="2" t="n">
        <x:v>195</x:v>
      </x:c>
      <x:c r="G3583" s="2" t="n">
        <x:v>1</x:v>
      </x:c>
      <x:c r="H3583" s="11" t="n">
        <x:v>207.15</x:v>
      </x:c>
      <x:c r="I3583" s="2" t="n">
        <x:v>2</x:v>
      </x:c>
      <x:c r="J3583" s="2" t="n">
        <x:v>1</x:v>
      </x:c>
      <x:c r="K3583" s="2" t="n">
        <x:v>1</x:v>
      </x:c>
      <x:c r="L3583" s="2" t="str">
        <x:v>Hibernating</x:v>
      </x:c>
    </x:row>
    <x:row r="3584" ht="22" customHeight="1">
      <x:c r="A3584" s="2"/>
      <x:c r="B3584" s="2" t="str">
        <x:v>15926</x:v>
      </x:c>
      <x:c r="C3584" s="2" t="str">
        <x:v>United Kingdom</x:v>
      </x:c>
      <x:c r="D3584" s="25" t="n">
        <x:v>40344.43263888889</x:v>
      </x:c>
      <x:c r="E3584" s="25" t="n">
        <x:v>40344.43263888889</x:v>
      </x:c>
      <x:c r="F3584" s="2" t="n">
        <x:v>543</x:v>
      </x:c>
      <x:c r="G3584" s="2" t="n">
        <x:v>1</x:v>
      </x:c>
      <x:c r="H3584" s="11" t="n">
        <x:v>134.44</x:v>
      </x:c>
      <x:c r="I3584" s="2" t="n">
        <x:v>1</x:v>
      </x:c>
      <x:c r="J3584" s="2" t="n">
        <x:v>1</x:v>
      </x:c>
      <x:c r="K3584" s="2" t="n">
        <x:v>1</x:v>
      </x:c>
      <x:c r="L3584" s="2" t="str">
        <x:v>Hibernating</x:v>
      </x:c>
    </x:row>
    <x:row r="3585" ht="22" customHeight="1">
      <x:c r="A3585" s="2"/>
      <x:c r="B3585" s="2" t="str">
        <x:v>15927</x:v>
      </x:c>
      <x:c r="C3585" s="2" t="str">
        <x:v>United Kingdom</x:v>
      </x:c>
      <x:c r="D3585" s="25" t="n">
        <x:v>40239.350694444445</x:v>
      </x:c>
      <x:c r="E3585" s="25" t="n">
        <x:v>40239.350694444445</x:v>
      </x:c>
      <x:c r="F3585" s="2" t="n">
        <x:v>648</x:v>
      </x:c>
      <x:c r="G3585" s="2" t="n">
        <x:v>1</x:v>
      </x:c>
      <x:c r="H3585" s="11" t="n">
        <x:v>123.39</x:v>
      </x:c>
      <x:c r="I3585" s="2" t="n">
        <x:v>1</x:v>
      </x:c>
      <x:c r="J3585" s="2" t="n">
        <x:v>1</x:v>
      </x:c>
      <x:c r="K3585" s="2" t="n">
        <x:v>1</x:v>
      </x:c>
      <x:c r="L3585" s="2" t="str">
        <x:v>Hibernating</x:v>
      </x:c>
    </x:row>
    <x:row r="3586" ht="22" customHeight="1">
      <x:c r="A3586" s="2"/>
      <x:c r="B3586" s="2" t="str">
        <x:v>15928</x:v>
      </x:c>
      <x:c r="C3586" s="2" t="str">
        <x:v>United Kingdom</x:v>
      </x:c>
      <x:c r="D3586" s="25" t="n">
        <x:v>40230.427777777775</x:v>
      </x:c>
      <x:c r="E3586" s="25" t="n">
        <x:v>40230.427777777775</x:v>
      </x:c>
      <x:c r="F3586" s="2" t="n">
        <x:v>657</x:v>
      </x:c>
      <x:c r="G3586" s="2" t="n">
        <x:v>1</x:v>
      </x:c>
      <x:c r="H3586" s="11" t="n">
        <x:v>293.53</x:v>
      </x:c>
      <x:c r="I3586" s="2" t="n">
        <x:v>1</x:v>
      </x:c>
      <x:c r="J3586" s="2" t="n">
        <x:v>1</x:v>
      </x:c>
      <x:c r="K3586" s="2" t="n">
        <x:v>2</x:v>
      </x:c>
      <x:c r="L3586" s="2" t="str">
        <x:v>Hibernating</x:v>
      </x:c>
    </x:row>
    <x:row r="3587" ht="22" customHeight="1">
      <x:c r="A3587" s="2"/>
      <x:c r="B3587" s="2" t="str">
        <x:v>15929</x:v>
      </x:c>
      <x:c r="C3587" s="2" t="str">
        <x:v>United Kingdom</x:v>
      </x:c>
      <x:c r="D3587" s="25" t="n">
        <x:v>40242.41388888889</x:v>
      </x:c>
      <x:c r="E3587" s="25" t="n">
        <x:v>40242.41388888889</x:v>
      </x:c>
      <x:c r="F3587" s="2" t="n">
        <x:v>645</x:v>
      </x:c>
      <x:c r="G3587" s="2" t="n">
        <x:v>1</x:v>
      </x:c>
      <x:c r="H3587" s="11" t="n">
        <x:v>594</x:v>
      </x:c>
      <x:c r="I3587" s="2" t="n">
        <x:v>1</x:v>
      </x:c>
      <x:c r="J3587" s="2" t="n">
        <x:v>1</x:v>
      </x:c>
      <x:c r="K3587" s="2" t="n">
        <x:v>2</x:v>
      </x:c>
      <x:c r="L3587" s="2" t="str">
        <x:v>Hibernating</x:v>
      </x:c>
    </x:row>
    <x:row r="3588" ht="22" customHeight="1">
      <x:c r="A3588" s="2"/>
      <x:c r="B3588" s="2" t="str">
        <x:v>15930</x:v>
      </x:c>
      <x:c r="C3588" s="2" t="str">
        <x:v>United Kingdom</x:v>
      </x:c>
      <x:c r="D3588" s="25" t="n">
        <x:v>40819.41111111111</x:v>
      </x:c>
      <x:c r="E3588" s="25" t="n">
        <x:v>40819.41111111111</x:v>
      </x:c>
      <x:c r="F3588" s="2" t="n">
        <x:v>68</x:v>
      </x:c>
      <x:c r="G3588" s="2" t="n">
        <x:v>1</x:v>
      </x:c>
      <x:c r="H3588" s="11" t="n">
        <x:v>426.63</x:v>
      </x:c>
      <x:c r="I3588" s="2" t="n">
        <x:v>3</x:v>
      </x:c>
      <x:c r="J3588" s="2" t="n">
        <x:v>1</x:v>
      </x:c>
      <x:c r="K3588" s="2" t="n">
        <x:v>2</x:v>
      </x:c>
      <x:c r="L3588" s="2" t="str">
        <x:v>Developing</x:v>
      </x:c>
    </x:row>
    <x:row r="3589" ht="22" customHeight="1">
      <x:c r="A3589" s="2"/>
      <x:c r="B3589" s="2" t="str">
        <x:v>15931</x:v>
      </x:c>
      <x:c r="C3589" s="2" t="str">
        <x:v>United Kingdom</x:v>
      </x:c>
      <x:c r="D3589" s="25" t="n">
        <x:v>40458.490277777775</x:v>
      </x:c>
      <x:c r="E3589" s="25" t="n">
        <x:v>40458.490277777775</x:v>
      </x:c>
      <x:c r="F3589" s="2" t="n">
        <x:v>429</x:v>
      </x:c>
      <x:c r="G3589" s="2" t="n">
        <x:v>1</x:v>
      </x:c>
      <x:c r="H3589" s="11" t="n">
        <x:v>239.9</x:v>
      </x:c>
      <x:c r="I3589" s="2" t="n">
        <x:v>1</x:v>
      </x:c>
      <x:c r="J3589" s="2" t="n">
        <x:v>1</x:v>
      </x:c>
      <x:c r="K3589" s="2" t="n">
        <x:v>1</x:v>
      </x:c>
      <x:c r="L3589" s="2" t="str">
        <x:v>Hibernating</x:v>
      </x:c>
    </x:row>
    <x:row r="3590" ht="22" customHeight="1">
      <x:c r="A3590" s="2"/>
      <x:c r="B3590" s="2" t="str">
        <x:v>15932</x:v>
      </x:c>
      <x:c r="C3590" s="2" t="str">
        <x:v>United Kingdom</x:v>
      </x:c>
      <x:c r="D3590" s="25" t="n">
        <x:v>40597.40972222222</x:v>
      </x:c>
      <x:c r="E3590" s="25" t="n">
        <x:v>40882.50902777778</x:v>
      </x:c>
      <x:c r="F3590" s="2" t="n">
        <x:v>5</x:v>
      </x:c>
      <x:c r="G3590" s="2" t="n">
        <x:v>8</x:v>
      </x:c>
      <x:c r="H3590" s="11" t="n">
        <x:v>2495.87</x:v>
      </x:c>
      <x:c r="I3590" s="2" t="n">
        <x:v>5</x:v>
      </x:c>
      <x:c r="J3590" s="2" t="n">
        <x:v>4</x:v>
      </x:c>
      <x:c r="K3590" s="2" t="n">
        <x:v>4</x:v>
      </x:c>
      <x:c r="L3590" s="2" t="str">
        <x:v>Champions</x:v>
      </x:c>
    </x:row>
    <x:row r="3591" ht="22" customHeight="1">
      <x:c r="A3591" s="2"/>
      <x:c r="B3591" s="2" t="str">
        <x:v>15933</x:v>
      </x:c>
      <x:c r="C3591" s="2" t="str">
        <x:v>United Kingdom</x:v>
      </x:c>
      <x:c r="D3591" s="25" t="n">
        <x:v>40800.29513888889</x:v>
      </x:c>
      <x:c r="E3591" s="25" t="n">
        <x:v>40865.34305555555</x:v>
      </x:c>
      <x:c r="F3591" s="2" t="n">
        <x:v>22</x:v>
      </x:c>
      <x:c r="G3591" s="2" t="n">
        <x:v>3</x:v>
      </x:c>
      <x:c r="H3591" s="11" t="n">
        <x:v>1107.46</x:v>
      </x:c>
      <x:c r="I3591" s="2" t="n">
        <x:v>4</x:v>
      </x:c>
      <x:c r="J3591" s="2" t="n">
        <x:v>3</x:v>
      </x:c>
      <x:c r="K3591" s="2" t="n">
        <x:v>3</x:v>
      </x:c>
      <x:c r="L3591" s="2" t="str">
        <x:v>Loyal</x:v>
      </x:c>
    </x:row>
    <x:row r="3592" ht="22" customHeight="1">
      <x:c r="A3592" s="2"/>
      <x:c r="B3592" s="2" t="str">
        <x:v>15934</x:v>
      </x:c>
      <x:c r="C3592" s="2" t="str">
        <x:v>United Kingdom</x:v>
      </x:c>
      <x:c r="D3592" s="25" t="n">
        <x:v>40457.29722222222</x:v>
      </x:c>
      <x:c r="E3592" s="25" t="n">
        <x:v>40469.217361111114</x:v>
      </x:c>
      <x:c r="F3592" s="2" t="n">
        <x:v>418</x:v>
      </x:c>
      <x:c r="G3592" s="2" t="n">
        <x:v>2</x:v>
      </x:c>
      <x:c r="H3592" s="11" t="n">
        <x:v>2190.66</x:v>
      </x:c>
      <x:c r="I3592" s="2" t="n">
        <x:v>1</x:v>
      </x:c>
      <x:c r="J3592" s="2" t="n">
        <x:v>2</x:v>
      </x:c>
      <x:c r="K3592" s="2" t="n">
        <x:v>4</x:v>
      </x:c>
      <x:c r="L3592" s="2" t="str">
        <x:v>Hibernating</x:v>
      </x:c>
    </x:row>
    <x:row r="3593" ht="22" customHeight="1">
      <x:c r="A3593" s="2"/>
      <x:c r="B3593" s="2" t="str">
        <x:v>15935</x:v>
      </x:c>
      <x:c r="C3593" s="2" t="str">
        <x:v>United Kingdom</x:v>
      </x:c>
      <x:c r="D3593" s="25" t="n">
        <x:v>40645.19097222222</x:v>
      </x:c>
      <x:c r="E3593" s="25" t="n">
        <x:v>40647.35208333333</x:v>
      </x:c>
      <x:c r="F3593" s="2" t="n">
        <x:v>240</x:v>
      </x:c>
      <x:c r="G3593" s="2" t="n">
        <x:v>2</x:v>
      </x:c>
      <x:c r="H3593" s="11" t="n">
        <x:v>416.86</x:v>
      </x:c>
      <x:c r="I3593" s="2" t="n">
        <x:v>2</x:v>
      </x:c>
      <x:c r="J3593" s="2" t="n">
        <x:v>2</x:v>
      </x:c>
      <x:c r="K3593" s="2" t="n">
        <x:v>2</x:v>
      </x:c>
      <x:c r="L3593" s="2" t="str">
        <x:v>Hibernating</x:v>
      </x:c>
    </x:row>
    <x:row r="3594" ht="22" customHeight="1">
      <x:c r="A3594" s="2"/>
      <x:c r="B3594" s="2" t="str">
        <x:v>15936</x:v>
      </x:c>
      <x:c r="C3594" s="2" t="str">
        <x:v>United Kingdom</x:v>
      </x:c>
      <x:c r="D3594" s="25" t="n">
        <x:v>40419.27916666667</x:v>
      </x:c>
      <x:c r="E3594" s="25" t="n">
        <x:v>40507.48541666667</x:v>
      </x:c>
      <x:c r="F3594" s="2" t="n">
        <x:v>380</x:v>
      </x:c>
      <x:c r="G3594" s="2" t="n">
        <x:v>2</x:v>
      </x:c>
      <x:c r="H3594" s="11" t="n">
        <x:v>282.79</x:v>
      </x:c>
      <x:c r="I3594" s="2" t="n">
        <x:v>2</x:v>
      </x:c>
      <x:c r="J3594" s="2" t="n">
        <x:v>2</x:v>
      </x:c>
      <x:c r="K3594" s="2" t="n">
        <x:v>1</x:v>
      </x:c>
      <x:c r="L3594" s="2" t="str">
        <x:v>Hibernating</x:v>
      </x:c>
    </x:row>
    <x:row r="3595" ht="22" customHeight="1">
      <x:c r="A3595" s="2"/>
      <x:c r="B3595" s="2" t="str">
        <x:v>15937</x:v>
      </x:c>
      <x:c r="C3595" s="2" t="str">
        <x:v>United Kingdom</x:v>
      </x:c>
      <x:c r="D3595" s="25" t="n">
        <x:v>40822.45</x:v>
      </x:c>
      <x:c r="E3595" s="25" t="n">
        <x:v>40822.45</x:v>
      </x:c>
      <x:c r="F3595" s="2" t="n">
        <x:v>65</x:v>
      </x:c>
      <x:c r="G3595" s="2" t="n">
        <x:v>1</x:v>
      </x:c>
      <x:c r="H3595" s="11" t="n">
        <x:v>145.35</x:v>
      </x:c>
      <x:c r="I3595" s="2" t="n">
        <x:v>3</x:v>
      </x:c>
      <x:c r="J3595" s="2" t="n">
        <x:v>1</x:v>
      </x:c>
      <x:c r="K3595" s="2" t="n">
        <x:v>1</x:v>
      </x:c>
      <x:c r="L3595" s="2" t="str">
        <x:v>Developing</x:v>
      </x:c>
    </x:row>
    <x:row r="3596" ht="22" customHeight="1">
      <x:c r="A3596" s="2"/>
      <x:c r="B3596" s="2" t="str">
        <x:v>15938</x:v>
      </x:c>
      <x:c r="C3596" s="2" t="str">
        <x:v>United Kingdom</x:v>
      </x:c>
      <x:c r="D3596" s="25" t="n">
        <x:v>40330.19583333333</x:v>
      </x:c>
      <x:c r="E3596" s="25" t="n">
        <x:v>40774.330555555556</x:v>
      </x:c>
      <x:c r="F3596" s="2" t="n">
        <x:v>113</x:v>
      </x:c>
      <x:c r="G3596" s="2" t="n">
        <x:v>9</x:v>
      </x:c>
      <x:c r="H3596" s="11" t="n">
        <x:v>734.81</x:v>
      </x:c>
      <x:c r="I3596" s="2" t="n">
        <x:v>3</x:v>
      </x:c>
      <x:c r="J3596" s="2" t="n">
        <x:v>5</x:v>
      </x:c>
      <x:c r="K3596" s="2" t="n">
        <x:v>3</x:v>
      </x:c>
      <x:c r="L3596" s="2" t="str">
        <x:v>Loyal</x:v>
      </x:c>
    </x:row>
    <x:row r="3597" ht="22" customHeight="1">
      <x:c r="A3597" s="2"/>
      <x:c r="B3597" s="2" t="str">
        <x:v>15939</x:v>
      </x:c>
      <x:c r="C3597" s="2" t="str">
        <x:v>United Kingdom</x:v>
      </x:c>
      <x:c r="D3597" s="25" t="n">
        <x:v>40512.29652777778</x:v>
      </x:c>
      <x:c r="E3597" s="25" t="n">
        <x:v>40797.270833333336</x:v>
      </x:c>
      <x:c r="F3597" s="2" t="n">
        <x:v>90</x:v>
      </x:c>
      <x:c r="G3597" s="2" t="n">
        <x:v>16</x:v>
      </x:c>
      <x:c r="H3597" s="11" t="n">
        <x:v>9060.39</x:v>
      </x:c>
      <x:c r="I3597" s="2" t="n">
        <x:v>3</x:v>
      </x:c>
      <x:c r="J3597" s="2" t="n">
        <x:v>5</x:v>
      </x:c>
      <x:c r="K3597" s="2" t="n">
        <x:v>5</x:v>
      </x:c>
      <x:c r="L3597" s="2" t="str">
        <x:v>Loyal</x:v>
      </x:c>
    </x:row>
    <x:row r="3598" ht="22" customHeight="1">
      <x:c r="A3598" s="2"/>
      <x:c r="B3598" s="2" t="str">
        <x:v>15940</x:v>
      </x:c>
      <x:c r="C3598" s="2" t="str">
        <x:v>United Kingdom</x:v>
      </x:c>
      <x:c r="D3598" s="25" t="n">
        <x:v>40575.47083333333</x:v>
      </x:c>
      <x:c r="E3598" s="25" t="n">
        <x:v>40575.47083333333</x:v>
      </x:c>
      <x:c r="F3598" s="2" t="n">
        <x:v>312</x:v>
      </x:c>
      <x:c r="G3598" s="2" t="n">
        <x:v>1</x:v>
      </x:c>
      <x:c r="H3598" s="11" t="n">
        <x:v>35.8</x:v>
      </x:c>
      <x:c r="I3598" s="2" t="n">
        <x:v>2</x:v>
      </x:c>
      <x:c r="J3598" s="2" t="n">
        <x:v>1</x:v>
      </x:c>
      <x:c r="K3598" s="2" t="n">
        <x:v>1</x:v>
      </x:c>
      <x:c r="L3598" s="2" t="str">
        <x:v>Hibernating</x:v>
      </x:c>
    </x:row>
    <x:row r="3599" ht="22" customHeight="1">
      <x:c r="A3599" s="2"/>
      <x:c r="B3599" s="2" t="str">
        <x:v>15941</x:v>
      </x:c>
      <x:c r="C3599" s="2" t="str">
        <x:v>United Kingdom</x:v>
      </x:c>
      <x:c r="D3599" s="25" t="n">
        <x:v>40249.40625</x:v>
      </x:c>
      <x:c r="E3599" s="25" t="n">
        <x:v>40249.40625</x:v>
      </x:c>
      <x:c r="F3599" s="2" t="n">
        <x:v>638</x:v>
      </x:c>
      <x:c r="G3599" s="2" t="n">
        <x:v>1</x:v>
      </x:c>
      <x:c r="H3599" s="11" t="n">
        <x:v>405</x:v>
      </x:c>
      <x:c r="I3599" s="2" t="n">
        <x:v>1</x:v>
      </x:c>
      <x:c r="J3599" s="2" t="n">
        <x:v>1</x:v>
      </x:c>
      <x:c r="K3599" s="2" t="n">
        <x:v>2</x:v>
      </x:c>
      <x:c r="L3599" s="2" t="str">
        <x:v>Hibernating</x:v>
      </x:c>
    </x:row>
    <x:row r="3600" ht="22" customHeight="1">
      <x:c r="A3600" s="2"/>
      <x:c r="B3600" s="2" t="str">
        <x:v>15942</x:v>
      </x:c>
      <x:c r="C3600" s="2" t="str">
        <x:v>United Kingdom</x:v>
      </x:c>
      <x:c r="D3600" s="25" t="n">
        <x:v>40753.16736111111</x:v>
      </x:c>
      <x:c r="E3600" s="25" t="n">
        <x:v>40753.16736111111</x:v>
      </x:c>
      <x:c r="F3600" s="2" t="n">
        <x:v>134</x:v>
      </x:c>
      <x:c r="G3600" s="2" t="n">
        <x:v>1</x:v>
      </x:c>
      <x:c r="H3600" s="11" t="n">
        <x:v>337.44</x:v>
      </x:c>
      <x:c r="I3600" s="2" t="n">
        <x:v>3</x:v>
      </x:c>
      <x:c r="J3600" s="2" t="n">
        <x:v>1</x:v>
      </x:c>
      <x:c r="K3600" s="2" t="n">
        <x:v>2</x:v>
      </x:c>
      <x:c r="L3600" s="2" t="str">
        <x:v>Developing</x:v>
      </x:c>
    </x:row>
    <x:row r="3601" ht="22" customHeight="1">
      <x:c r="A3601" s="2"/>
      <x:c r="B3601" s="2" t="str">
        <x:v>15943</x:v>
      </x:c>
      <x:c r="C3601" s="2" t="str">
        <x:v>United Kingdom</x:v>
      </x:c>
      <x:c r="D3601" s="25" t="n">
        <x:v>40209.25277777778</x:v>
      </x:c>
      <x:c r="E3601" s="25" t="n">
        <x:v>40237.325694444444</x:v>
      </x:c>
      <x:c r="F3601" s="2" t="n">
        <x:v>650</x:v>
      </x:c>
      <x:c r="G3601" s="2" t="n">
        <x:v>2</x:v>
      </x:c>
      <x:c r="H3601" s="11" t="n">
        <x:v>271.29</x:v>
      </x:c>
      <x:c r="I3601" s="2" t="n">
        <x:v>1</x:v>
      </x:c>
      <x:c r="J3601" s="2" t="n">
        <x:v>2</x:v>
      </x:c>
      <x:c r="K3601" s="2" t="n">
        <x:v>1</x:v>
      </x:c>
      <x:c r="L3601" s="2" t="str">
        <x:v>Hibernating</x:v>
      </x:c>
    </x:row>
    <x:row r="3602" ht="22" customHeight="1">
      <x:c r="A3602" s="2"/>
      <x:c r="B3602" s="2" t="str">
        <x:v>15944</x:v>
      </x:c>
      <x:c r="C3602" s="2" t="str">
        <x:v>United Kingdom</x:v>
      </x:c>
      <x:c r="D3602" s="25" t="n">
        <x:v>40160.33125</x:v>
      </x:c>
      <x:c r="E3602" s="25" t="n">
        <x:v>40610.23125</x:v>
      </x:c>
      <x:c r="F3602" s="2" t="n">
        <x:v>277</x:v>
      </x:c>
      <x:c r="G3602" s="2" t="n">
        <x:v>4</x:v>
      </x:c>
      <x:c r="H3602" s="11" t="n">
        <x:v>2164.24</x:v>
      </x:c>
      <x:c r="I3602" s="2" t="n">
        <x:v>2</x:v>
      </x:c>
      <x:c r="J3602" s="2" t="n">
        <x:v>3</x:v>
      </x:c>
      <x:c r="K3602" s="2" t="n">
        <x:v>4</x:v>
      </x:c>
      <x:c r="L3602" s="2" t="str">
        <x:v>At risk</x:v>
      </x:c>
    </x:row>
    <x:row r="3603" ht="22" customHeight="1">
      <x:c r="A3603" s="2"/>
      <x:c r="B3603" s="2" t="str">
        <x:v>15945</x:v>
      </x:c>
      <x:c r="C3603" s="2" t="str">
        <x:v>United Kingdom</x:v>
      </x:c>
      <x:c r="D3603" s="25" t="n">
        <x:v>40148.36597222222</x:v>
      </x:c>
      <x:c r="E3603" s="25" t="n">
        <x:v>40521.34305555555</x:v>
      </x:c>
      <x:c r="F3603" s="2" t="n">
        <x:v>366</x:v>
      </x:c>
      <x:c r="G3603" s="2" t="n">
        <x:v>4</x:v>
      </x:c>
      <x:c r="H3603" s="11" t="n">
        <x:v>646.27</x:v>
      </x:c>
      <x:c r="I3603" s="2" t="n">
        <x:v>2</x:v>
      </x:c>
      <x:c r="J3603" s="2" t="n">
        <x:v>3</x:v>
      </x:c>
      <x:c r="K3603" s="2" t="n">
        <x:v>3</x:v>
      </x:c>
      <x:c r="L3603" s="2" t="str">
        <x:v>At risk</x:v>
      </x:c>
    </x:row>
    <x:row r="3604" ht="22" customHeight="1">
      <x:c r="A3604" s="2"/>
      <x:c r="B3604" s="2" t="str">
        <x:v>15946</x:v>
      </x:c>
      <x:c r="C3604" s="2" t="str">
        <x:v>United Kingdom</x:v>
      </x:c>
      <x:c r="D3604" s="25" t="n">
        <x:v>40253.24236111111</x:v>
      </x:c>
      <x:c r="E3604" s="25" t="n">
        <x:v>40384.30416666667</x:v>
      </x:c>
      <x:c r="F3604" s="2" t="n">
        <x:v>503</x:v>
      </x:c>
      <x:c r="G3604" s="2" t="n">
        <x:v>3</x:v>
      </x:c>
      <x:c r="H3604" s="11" t="n">
        <x:v>2304.18</x:v>
      </x:c>
      <x:c r="I3604" s="2" t="n">
        <x:v>1</x:v>
      </x:c>
      <x:c r="J3604" s="2" t="n">
        <x:v>3</x:v>
      </x:c>
      <x:c r="K3604" s="2" t="n">
        <x:v>4</x:v>
      </x:c>
      <x:c r="L3604" s="2" t="str">
        <x:v>At risk</x:v>
      </x:c>
    </x:row>
    <x:row r="3605" ht="22" customHeight="1">
      <x:c r="A3605" s="2"/>
      <x:c r="B3605" s="2" t="str">
        <x:v>15947</x:v>
      </x:c>
      <x:c r="C3605" s="2" t="str">
        <x:v>United Kingdom</x:v>
      </x:c>
      <x:c r="D3605" s="25" t="n">
        <x:v>40804.240277777775</x:v>
      </x:c>
      <x:c r="E3605" s="25" t="n">
        <x:v>40804.240277777775</x:v>
      </x:c>
      <x:c r="F3605" s="2" t="n">
        <x:v>83</x:v>
      </x:c>
      <x:c r="G3605" s="2" t="n">
        <x:v>1</x:v>
      </x:c>
      <x:c r="H3605" s="11" t="n">
        <x:v>1708.24</x:v>
      </x:c>
      <x:c r="I3605" s="2" t="n">
        <x:v>3</x:v>
      </x:c>
      <x:c r="J3605" s="2" t="n">
        <x:v>1</x:v>
      </x:c>
      <x:c r="K3605" s="2" t="n">
        <x:v>4</x:v>
      </x:c>
      <x:c r="L3605" s="2" t="str">
        <x:v>Developing</x:v>
      </x:c>
    </x:row>
    <x:row r="3606" ht="22" customHeight="1">
      <x:c r="A3606" s="2"/>
      <x:c r="B3606" s="2" t="str">
        <x:v>15948</x:v>
      </x:c>
      <x:c r="C3606" s="2" t="str">
        <x:v>United Kingdom</x:v>
      </x:c>
      <x:c r="D3606" s="25" t="n">
        <x:v>40462.302777777775</x:v>
      </x:c>
      <x:c r="E3606" s="25" t="n">
        <x:v>40878.438888888886</x:v>
      </x:c>
      <x:c r="F3606" s="2" t="n">
        <x:v>9</x:v>
      </x:c>
      <x:c r="G3606" s="2" t="n">
        <x:v>3</x:v>
      </x:c>
      <x:c r="H3606" s="11" t="n">
        <x:v>1509.09</x:v>
      </x:c>
      <x:c r="I3606" s="2" t="n">
        <x:v>5</x:v>
      </x:c>
      <x:c r="J3606" s="2" t="n">
        <x:v>3</x:v>
      </x:c>
      <x:c r="K3606" s="2" t="n">
        <x:v>4</x:v>
      </x:c>
      <x:c r="L3606" s="2" t="str">
        <x:v>Loyal</x:v>
      </x:c>
    </x:row>
    <x:row r="3607" ht="22" customHeight="1">
      <x:c r="A3607" s="2"/>
      <x:c r="B3607" s="2" t="str">
        <x:v>15949</x:v>
      </x:c>
      <x:c r="C3607" s="2" t="str">
        <x:v>United Kingdom</x:v>
      </x:c>
      <x:c r="D3607" s="25" t="n">
        <x:v>40815.52361111111</x:v>
      </x:c>
      <x:c r="E3607" s="25" t="n">
        <x:v>40870.17291666667</x:v>
      </x:c>
      <x:c r="F3607" s="2" t="n">
        <x:v>17</x:v>
      </x:c>
      <x:c r="G3607" s="2" t="n">
        <x:v>2</x:v>
      </x:c>
      <x:c r="H3607" s="11" t="n">
        <x:v>364.72</x:v>
      </x:c>
      <x:c r="I3607" s="2" t="n">
        <x:v>5</x:v>
      </x:c>
      <x:c r="J3607" s="2" t="n">
        <x:v>2</x:v>
      </x:c>
      <x:c r="K3607" s="2" t="n">
        <x:v>2</x:v>
      </x:c>
      <x:c r="L3607" s="2" t="str">
        <x:v>Recent light buyers</x:v>
      </x:c>
    </x:row>
    <x:row r="3608" ht="22" customHeight="1">
      <x:c r="A3608" s="2"/>
      <x:c r="B3608" s="2" t="str">
        <x:v>15950</x:v>
      </x:c>
      <x:c r="C3608" s="2" t="str">
        <x:v>United Kingdom</x:v>
      </x:c>
      <x:c r="D3608" s="25" t="n">
        <x:v>40204.277083333334</x:v>
      </x:c>
      <x:c r="E3608" s="25" t="n">
        <x:v>40855.25625</x:v>
      </x:c>
      <x:c r="F3608" s="2" t="n">
        <x:v>32</x:v>
      </x:c>
      <x:c r="G3608" s="2" t="n">
        <x:v>10</x:v>
      </x:c>
      <x:c r="H3608" s="11" t="n">
        <x:v>7180.71</x:v>
      </x:c>
      <x:c r="I3608" s="2" t="n">
        <x:v>4</x:v>
      </x:c>
      <x:c r="J3608" s="2" t="n">
        <x:v>5</x:v>
      </x:c>
      <x:c r="K3608" s="2" t="n">
        <x:v>5</x:v>
      </x:c>
      <x:c r="L3608" s="2" t="str">
        <x:v>Champions</x:v>
      </x:c>
    </x:row>
    <x:row r="3609" ht="22" customHeight="1">
      <x:c r="A3609" s="2"/>
      <x:c r="B3609" s="2" t="str">
        <x:v>15951</x:v>
      </x:c>
      <x:c r="C3609" s="2" t="str">
        <x:v>United Kingdom</x:v>
      </x:c>
      <x:c r="D3609" s="25" t="n">
        <x:v>40505.555555555555</x:v>
      </x:c>
      <x:c r="E3609" s="25" t="n">
        <x:v>40878.14861111111</x:v>
      </x:c>
      <x:c r="F3609" s="2" t="n">
        <x:v>9</x:v>
      </x:c>
      <x:c r="G3609" s="2" t="n">
        <x:v>3</x:v>
      </x:c>
      <x:c r="H3609" s="11" t="n">
        <x:v>1013.17</x:v>
      </x:c>
      <x:c r="I3609" s="2" t="n">
        <x:v>5</x:v>
      </x:c>
      <x:c r="J3609" s="2" t="n">
        <x:v>3</x:v>
      </x:c>
      <x:c r="K3609" s="2" t="n">
        <x:v>3</x:v>
      </x:c>
      <x:c r="L3609" s="2" t="str">
        <x:v>Loyal</x:v>
      </x:c>
    </x:row>
    <x:row r="3610" ht="22" customHeight="1">
      <x:c r="A3610" s="2"/>
      <x:c r="B3610" s="2" t="str">
        <x:v>15952</x:v>
      </x:c>
      <x:c r="C3610" s="2" t="str">
        <x:v>United Kingdom</x:v>
      </x:c>
      <x:c r="D3610" s="25" t="n">
        <x:v>40661.32986111111</x:v>
      </x:c>
      <x:c r="E3610" s="25" t="n">
        <x:v>40853.2625</x:v>
      </x:c>
      <x:c r="F3610" s="2" t="n">
        <x:v>34</x:v>
      </x:c>
      <x:c r="G3610" s="2" t="n">
        <x:v>4</x:v>
      </x:c>
      <x:c r="H3610" s="11" t="n">
        <x:v>806.57</x:v>
      </x:c>
      <x:c r="I3610" s="2" t="n">
        <x:v>4</x:v>
      </x:c>
      <x:c r="J3610" s="2" t="n">
        <x:v>3</x:v>
      </x:c>
      <x:c r="K3610" s="2" t="n">
        <x:v>3</x:v>
      </x:c>
      <x:c r="L3610" s="2" t="str">
        <x:v>Loyal</x:v>
      </x:c>
    </x:row>
    <x:row r="3611" ht="22" customHeight="1">
      <x:c r="A3611" s="2"/>
      <x:c r="B3611" s="2" t="str">
        <x:v>15953</x:v>
      </x:c>
      <x:c r="C3611" s="2" t="str">
        <x:v>United Kingdom</x:v>
      </x:c>
      <x:c r="D3611" s="25" t="n">
        <x:v>40150.375</x:v>
      </x:c>
      <x:c r="E3611" s="25" t="n">
        <x:v>40871.438888888886</x:v>
      </x:c>
      <x:c r="F3611" s="2" t="n">
        <x:v>16</x:v>
      </x:c>
      <x:c r="G3611" s="2" t="n">
        <x:v>18</x:v>
      </x:c>
      <x:c r="H3611" s="11" t="n">
        <x:v>3459.71</x:v>
      </x:c>
      <x:c r="I3611" s="2" t="n">
        <x:v>5</x:v>
      </x:c>
      <x:c r="J3611" s="2" t="n">
        <x:v>5</x:v>
      </x:c>
      <x:c r="K3611" s="2" t="n">
        <x:v>5</x:v>
      </x:c>
      <x:c r="L3611" s="2" t="str">
        <x:v>Champions</x:v>
      </x:c>
    </x:row>
    <x:row r="3612" ht="22" customHeight="1">
      <x:c r="A3612" s="2"/>
      <x:c r="B3612" s="2" t="str">
        <x:v>15954</x:v>
      </x:c>
      <x:c r="C3612" s="2" t="str">
        <x:v>United Kingdom</x:v>
      </x:c>
      <x:c r="D3612" s="25" t="n">
        <x:v>40297.35763888889</x:v>
      </x:c>
      <x:c r="E3612" s="25" t="n">
        <x:v>40297.35763888889</x:v>
      </x:c>
      <x:c r="F3612" s="2" t="n">
        <x:v>590</x:v>
      </x:c>
      <x:c r="G3612" s="2" t="n">
        <x:v>1</x:v>
      </x:c>
      <x:c r="H3612" s="11" t="n">
        <x:v>190.75</x:v>
      </x:c>
      <x:c r="I3612" s="2" t="n">
        <x:v>1</x:v>
      </x:c>
      <x:c r="J3612" s="2" t="n">
        <x:v>1</x:v>
      </x:c>
      <x:c r="K3612" s="2" t="n">
        <x:v>1</x:v>
      </x:c>
      <x:c r="L3612" s="2" t="str">
        <x:v>Hibernating</x:v>
      </x:c>
    </x:row>
    <x:row r="3613" ht="22" customHeight="1">
      <x:c r="A3613" s="2"/>
      <x:c r="B3613" s="2" t="str">
        <x:v>15955</x:v>
      </x:c>
      <x:c r="C3613" s="2" t="str">
        <x:v>United Kingdom</x:v>
      </x:c>
      <x:c r="D3613" s="25" t="n">
        <x:v>40232.48333333333</x:v>
      </x:c>
      <x:c r="E3613" s="25" t="n">
        <x:v>40862.385416666664</x:v>
      </x:c>
      <x:c r="F3613" s="2" t="n">
        <x:v>25</x:v>
      </x:c>
      <x:c r="G3613" s="2" t="n">
        <x:v>22</x:v>
      </x:c>
      <x:c r="H3613" s="11" t="n">
        <x:v>8085.98</x:v>
      </x:c>
      <x:c r="I3613" s="2" t="n">
        <x:v>4</x:v>
      </x:c>
      <x:c r="J3613" s="2" t="n">
        <x:v>5</x:v>
      </x:c>
      <x:c r="K3613" s="2" t="n">
        <x:v>5</x:v>
      </x:c>
      <x:c r="L3613" s="2" t="str">
        <x:v>Champions</x:v>
      </x:c>
    </x:row>
    <x:row r="3614" ht="22" customHeight="1">
      <x:c r="A3614" s="2"/>
      <x:c r="B3614" s="2" t="str">
        <x:v>15956</x:v>
      </x:c>
      <x:c r="C3614" s="2" t="str">
        <x:v>United Kingdom</x:v>
      </x:c>
      <x:c r="D3614" s="25" t="n">
        <x:v>40160.26111111111</x:v>
      </x:c>
      <x:c r="E3614" s="25" t="n">
        <x:v>40335.3375</x:v>
      </x:c>
      <x:c r="F3614" s="2" t="n">
        <x:v>552</x:v>
      </x:c>
      <x:c r="G3614" s="2" t="n">
        <x:v>2</x:v>
      </x:c>
      <x:c r="H3614" s="11" t="n">
        <x:v>617.6</x:v>
      </x:c>
      <x:c r="I3614" s="2" t="n">
        <x:v>1</x:v>
      </x:c>
      <x:c r="J3614" s="2" t="n">
        <x:v>2</x:v>
      </x:c>
      <x:c r="K3614" s="2" t="n">
        <x:v>3</x:v>
      </x:c>
      <x:c r="L3614" s="2" t="str">
        <x:v>Hibernating</x:v>
      </x:c>
    </x:row>
    <x:row r="3615" ht="22" customHeight="1">
      <x:c r="A3615" s="2"/>
      <x:c r="B3615" s="2" t="str">
        <x:v>15957</x:v>
      </x:c>
      <x:c r="C3615" s="2" t="str">
        <x:v>United Kingdom</x:v>
      </x:c>
      <x:c r="D3615" s="25" t="n">
        <x:v>40466.299305555556</x:v>
      </x:c>
      <x:c r="E3615" s="25" t="n">
        <x:v>40855.30138888889</x:v>
      </x:c>
      <x:c r="F3615" s="2" t="n">
        <x:v>32</x:v>
      </x:c>
      <x:c r="G3615" s="2" t="n">
        <x:v>3</x:v>
      </x:c>
      <x:c r="H3615" s="11" t="n">
        <x:v>930.1</x:v>
      </x:c>
      <x:c r="I3615" s="2" t="n">
        <x:v>4</x:v>
      </x:c>
      <x:c r="J3615" s="2" t="n">
        <x:v>3</x:v>
      </x:c>
      <x:c r="K3615" s="2" t="n">
        <x:v>3</x:v>
      </x:c>
      <x:c r="L3615" s="2" t="str">
        <x:v>Loyal</x:v>
      </x:c>
    </x:row>
    <x:row r="3616" ht="22" customHeight="1">
      <x:c r="A3616" s="2"/>
      <x:c r="B3616" s="2" t="str">
        <x:v>15958</x:v>
      </x:c>
      <x:c r="C3616" s="2" t="str">
        <x:v>United Kingdom</x:v>
      </x:c>
      <x:c r="D3616" s="25" t="n">
        <x:v>40336.24930555555</x:v>
      </x:c>
      <x:c r="E3616" s="25" t="n">
        <x:v>40812.361805555556</x:v>
      </x:c>
      <x:c r="F3616" s="2" t="n">
        <x:v>75</x:v>
      </x:c>
      <x:c r="G3616" s="2" t="n">
        <x:v>4</x:v>
      </x:c>
      <x:c r="H3616" s="11" t="n">
        <x:v>492.99</x:v>
      </x:c>
      <x:c r="I3616" s="2" t="n">
        <x:v>3</x:v>
      </x:c>
      <x:c r="J3616" s="2" t="n">
        <x:v>3</x:v>
      </x:c>
      <x:c r="K3616" s="2" t="n">
        <x:v>2</x:v>
      </x:c>
      <x:c r="L3616" s="2" t="str">
        <x:v>Loyal</x:v>
      </x:c>
    </x:row>
    <x:row r="3617" ht="22" customHeight="1">
      <x:c r="A3617" s="2"/>
      <x:c r="B3617" s="2" t="str">
        <x:v>15959</x:v>
      </x:c>
      <x:c r="C3617" s="2" t="str">
        <x:v>United Kingdom</x:v>
      </x:c>
      <x:c r="D3617" s="25" t="n">
        <x:v>40204.47152777778</x:v>
      </x:c>
      <x:c r="E3617" s="25" t="n">
        <x:v>40204.48472222222</x:v>
      </x:c>
      <x:c r="F3617" s="2" t="n">
        <x:v>683</x:v>
      </x:c>
      <x:c r="G3617" s="2" t="n">
        <x:v>3</x:v>
      </x:c>
      <x:c r="H3617" s="11" t="n">
        <x:v>579.49</x:v>
      </x:c>
      <x:c r="I3617" s="2" t="n">
        <x:v>1</x:v>
      </x:c>
      <x:c r="J3617" s="2" t="n">
        <x:v>3</x:v>
      </x:c>
      <x:c r="K3617" s="2" t="n">
        <x:v>2</x:v>
      </x:c>
      <x:c r="L3617" s="2" t="str">
        <x:v>At risk</x:v>
      </x:c>
    </x:row>
    <x:row r="3618" ht="22" customHeight="1">
      <x:c r="A3618" s="2"/>
      <x:c r="B3618" s="2" t="str">
        <x:v>15960</x:v>
      </x:c>
      <x:c r="C3618" s="2" t="str">
        <x:v>United Kingdom</x:v>
      </x:c>
      <x:c r="D3618" s="25" t="n">
        <x:v>40451.45138888889</x:v>
      </x:c>
      <x:c r="E3618" s="25" t="n">
        <x:v>40512.45625</x:v>
      </x:c>
      <x:c r="F3618" s="2" t="n">
        <x:v>375</x:v>
      </x:c>
      <x:c r="G3618" s="2" t="n">
        <x:v>4</x:v>
      </x:c>
      <x:c r="H3618" s="11" t="n">
        <x:v>410.95</x:v>
      </x:c>
      <x:c r="I3618" s="2" t="n">
        <x:v>2</x:v>
      </x:c>
      <x:c r="J3618" s="2" t="n">
        <x:v>3</x:v>
      </x:c>
      <x:c r="K3618" s="2" t="n">
        <x:v>2</x:v>
      </x:c>
      <x:c r="L3618" s="2" t="str">
        <x:v>At risk</x:v>
      </x:c>
    </x:row>
    <x:row r="3619" ht="22" customHeight="1">
      <x:c r="A3619" s="2"/>
      <x:c r="B3619" s="2" t="str">
        <x:v>15961</x:v>
      </x:c>
      <x:c r="C3619" s="2" t="str">
        <x:v>United Kingdom</x:v>
      </x:c>
      <x:c r="D3619" s="25" t="n">
        <x:v>40507.45763888889</x:v>
      </x:c>
      <x:c r="E3619" s="25" t="n">
        <x:v>40507.45763888889</x:v>
      </x:c>
      <x:c r="F3619" s="2" t="n">
        <x:v>380</x:v>
      </x:c>
      <x:c r="G3619" s="2" t="n">
        <x:v>1</x:v>
      </x:c>
      <x:c r="H3619" s="11" t="n">
        <x:v>451.29</x:v>
      </x:c>
      <x:c r="I3619" s="2" t="n">
        <x:v>2</x:v>
      </x:c>
      <x:c r="J3619" s="2" t="n">
        <x:v>1</x:v>
      </x:c>
      <x:c r="K3619" s="2" t="n">
        <x:v>2</x:v>
      </x:c>
      <x:c r="L3619" s="2" t="str">
        <x:v>Hibernating</x:v>
      </x:c>
    </x:row>
    <x:row r="3620" ht="22" customHeight="1">
      <x:c r="A3620" s="2"/>
      <x:c r="B3620" s="2" t="str">
        <x:v>15962</x:v>
      </x:c>
      <x:c r="C3620" s="2" t="str">
        <x:v>United Kingdom</x:v>
      </x:c>
      <x:c r="D3620" s="25" t="n">
        <x:v>40437.36666666667</x:v>
      </x:c>
      <x:c r="E3620" s="25" t="n">
        <x:v>40437.36666666667</x:v>
      </x:c>
      <x:c r="F3620" s="2" t="n">
        <x:v>450</x:v>
      </x:c>
      <x:c r="G3620" s="2" t="n">
        <x:v>1</x:v>
      </x:c>
      <x:c r="H3620" s="11" t="n">
        <x:v>295.83</x:v>
      </x:c>
      <x:c r="I3620" s="2" t="n">
        <x:v>1</x:v>
      </x:c>
      <x:c r="J3620" s="2" t="n">
        <x:v>1</x:v>
      </x:c>
      <x:c r="K3620" s="2" t="n">
        <x:v>2</x:v>
      </x:c>
      <x:c r="L3620" s="2" t="str">
        <x:v>Hibernating</x:v>
      </x:c>
    </x:row>
    <x:row r="3621" ht="22" customHeight="1">
      <x:c r="A3621" s="2"/>
      <x:c r="B3621" s="2" t="str">
        <x:v>15963</x:v>
      </x:c>
      <x:c r="C3621" s="2" t="str">
        <x:v>United Kingdom</x:v>
      </x:c>
      <x:c r="D3621" s="25" t="n">
        <x:v>40841.336805555555</x:v>
      </x:c>
      <x:c r="E3621" s="25" t="n">
        <x:v>40867.27291666667</x:v>
      </x:c>
      <x:c r="F3621" s="2" t="n">
        <x:v>20</x:v>
      </x:c>
      <x:c r="G3621" s="2" t="n">
        <x:v>2</x:v>
      </x:c>
      <x:c r="H3621" s="11" t="n">
        <x:v>470.76</x:v>
      </x:c>
      <x:c r="I3621" s="2" t="n">
        <x:v>5</x:v>
      </x:c>
      <x:c r="J3621" s="2" t="n">
        <x:v>2</x:v>
      </x:c>
      <x:c r="K3621" s="2" t="n">
        <x:v>2</x:v>
      </x:c>
      <x:c r="L3621" s="2" t="str">
        <x:v>Recent light buyers</x:v>
      </x:c>
    </x:row>
    <x:row r="3622" ht="22" customHeight="1">
      <x:c r="A3622" s="2"/>
      <x:c r="B3622" s="2" t="str">
        <x:v>15964</x:v>
      </x:c>
      <x:c r="C3622" s="2" t="str">
        <x:v>United Kingdom</x:v>
      </x:c>
      <x:c r="D3622" s="25" t="n">
        <x:v>40223.4375</x:v>
      </x:c>
      <x:c r="E3622" s="25" t="n">
        <x:v>40223.4375</x:v>
      </x:c>
      <x:c r="F3622" s="2" t="n">
        <x:v>664</x:v>
      </x:c>
      <x:c r="G3622" s="2" t="n">
        <x:v>1</x:v>
      </x:c>
      <x:c r="H3622" s="11" t="n">
        <x:v>272.96</x:v>
      </x:c>
      <x:c r="I3622" s="2" t="n">
        <x:v>1</x:v>
      </x:c>
      <x:c r="J3622" s="2" t="n">
        <x:v>1</x:v>
      </x:c>
      <x:c r="K3622" s="2" t="n">
        <x:v>1</x:v>
      </x:c>
      <x:c r="L3622" s="2" t="str">
        <x:v>Hibernating</x:v>
      </x:c>
    </x:row>
    <x:row r="3623" ht="22" customHeight="1">
      <x:c r="A3623" s="2"/>
      <x:c r="B3623" s="2" t="str">
        <x:v>15965</x:v>
      </x:c>
      <x:c r="C3623" s="2" t="str">
        <x:v>United Kingdom</x:v>
      </x:c>
      <x:c r="D3623" s="25" t="n">
        <x:v>40150.28125</x:v>
      </x:c>
      <x:c r="E3623" s="25" t="n">
        <x:v>40869.48888888889</x:v>
      </x:c>
      <x:c r="F3623" s="2" t="n">
        <x:v>18</x:v>
      </x:c>
      <x:c r="G3623" s="2" t="n">
        <x:v>13</x:v>
      </x:c>
      <x:c r="H3623" s="11" t="n">
        <x:v>2856.9</x:v>
      </x:c>
      <x:c r="I3623" s="2" t="n">
        <x:v>5</x:v>
      </x:c>
      <x:c r="J3623" s="2" t="n">
        <x:v>5</x:v>
      </x:c>
      <x:c r="K3623" s="2" t="n">
        <x:v>4</x:v>
      </x:c>
      <x:c r="L3623" s="2" t="str">
        <x:v>Champions</x:v>
      </x:c>
    </x:row>
    <x:row r="3624" ht="22" customHeight="1">
      <x:c r="A3624" s="2"/>
      <x:c r="B3624" s="2" t="str">
        <x:v>15966</x:v>
      </x:c>
      <x:c r="C3624" s="2" t="str">
        <x:v>United Kingdom</x:v>
      </x:c>
      <x:c r="D3624" s="25" t="n">
        <x:v>40436.23888888889</x:v>
      </x:c>
      <x:c r="E3624" s="25" t="n">
        <x:v>40436.23888888889</x:v>
      </x:c>
      <x:c r="F3624" s="2" t="n">
        <x:v>451</x:v>
      </x:c>
      <x:c r="G3624" s="2" t="n">
        <x:v>1</x:v>
      </x:c>
      <x:c r="H3624" s="11" t="n">
        <x:v>426.53</x:v>
      </x:c>
      <x:c r="I3624" s="2" t="n">
        <x:v>1</x:v>
      </x:c>
      <x:c r="J3624" s="2" t="n">
        <x:v>1</x:v>
      </x:c>
      <x:c r="K3624" s="2" t="n">
        <x:v>2</x:v>
      </x:c>
      <x:c r="L3624" s="2" t="str">
        <x:v>Hibernating</x:v>
      </x:c>
    </x:row>
    <x:row r="3625" ht="22" customHeight="1">
      <x:c r="A3625" s="2"/>
      <x:c r="B3625" s="2" t="str">
        <x:v>15967</x:v>
      </x:c>
      <x:c r="C3625" s="2" t="str">
        <x:v>United Kingdom</x:v>
      </x:c>
      <x:c r="D3625" s="25" t="n">
        <x:v>40148.353472222225</x:v>
      </x:c>
      <x:c r="E3625" s="25" t="n">
        <x:v>40863.44513888889</x:v>
      </x:c>
      <x:c r="F3625" s="2" t="n">
        <x:v>24</x:v>
      </x:c>
      <x:c r="G3625" s="2" t="n">
        <x:v>12</x:v>
      </x:c>
      <x:c r="H3625" s="11" t="n">
        <x:v>3041.6</x:v>
      </x:c>
      <x:c r="I3625" s="2" t="n">
        <x:v>4</x:v>
      </x:c>
      <x:c r="J3625" s="2" t="n">
        <x:v>5</x:v>
      </x:c>
      <x:c r="K3625" s="2" t="n">
        <x:v>5</x:v>
      </x:c>
      <x:c r="L3625" s="2" t="str">
        <x:v>Champions</x:v>
      </x:c>
    </x:row>
    <x:row r="3626" ht="22" customHeight="1">
      <x:c r="A3626" s="2"/>
      <x:c r="B3626" s="2" t="str">
        <x:v>15968</x:v>
      </x:c>
      <x:c r="C3626" s="2" t="str">
        <x:v>United Kingdom</x:v>
      </x:c>
      <x:c r="D3626" s="25" t="n">
        <x:v>40498.33611111111</x:v>
      </x:c>
      <x:c r="E3626" s="25" t="n">
        <x:v>40498.33611111111</x:v>
      </x:c>
      <x:c r="F3626" s="2" t="n">
        <x:v>389</x:v>
      </x:c>
      <x:c r="G3626" s="2" t="n">
        <x:v>1</x:v>
      </x:c>
      <x:c r="H3626" s="11" t="n">
        <x:v>418.05</x:v>
      </x:c>
      <x:c r="I3626" s="2" t="n">
        <x:v>2</x:v>
      </x:c>
      <x:c r="J3626" s="2" t="n">
        <x:v>1</x:v>
      </x:c>
      <x:c r="K3626" s="2" t="n">
        <x:v>2</x:v>
      </x:c>
      <x:c r="L3626" s="2" t="str">
        <x:v>Hibernating</x:v>
      </x:c>
    </x:row>
    <x:row r="3627" ht="22" customHeight="1">
      <x:c r="A3627" s="2"/>
      <x:c r="B3627" s="2" t="str">
        <x:v>15969</x:v>
      </x:c>
      <x:c r="C3627" s="2" t="str">
        <x:v>United Kingdom</x:v>
      </x:c>
      <x:c r="D3627" s="25" t="n">
        <x:v>40364.34027777778</x:v>
      </x:c>
      <x:c r="E3627" s="25" t="n">
        <x:v>40884.254166666666</x:v>
      </x:c>
      <x:c r="F3627" s="2" t="n">
        <x:v>3</x:v>
      </x:c>
      <x:c r="G3627" s="2" t="n">
        <x:v>5</x:v>
      </x:c>
      <x:c r="H3627" s="11" t="n">
        <x:v>1127.05</x:v>
      </x:c>
      <x:c r="I3627" s="2" t="n">
        <x:v>5</x:v>
      </x:c>
      <x:c r="J3627" s="2" t="n">
        <x:v>4</x:v>
      </x:c>
      <x:c r="K3627" s="2" t="n">
        <x:v>3</x:v>
      </x:c>
      <x:c r="L3627" s="2" t="str">
        <x:v>Loyal</x:v>
      </x:c>
    </x:row>
    <x:row r="3628" ht="22" customHeight="1">
      <x:c r="A3628" s="2"/>
      <x:c r="B3628" s="2" t="str">
        <x:v>15970</x:v>
      </x:c>
      <x:c r="C3628" s="2" t="str">
        <x:v>United Kingdom</x:v>
      </x:c>
      <x:c r="D3628" s="25" t="n">
        <x:v>40288.270833333336</x:v>
      </x:c>
      <x:c r="E3628" s="25" t="n">
        <x:v>40583.29722222222</x:v>
      </x:c>
      <x:c r="F3628" s="2" t="n">
        <x:v>304</x:v>
      </x:c>
      <x:c r="G3628" s="2" t="n">
        <x:v>2</x:v>
      </x:c>
      <x:c r="H3628" s="11" t="n">
        <x:v>1017.32</x:v>
      </x:c>
      <x:c r="I3628" s="2" t="n">
        <x:v>2</x:v>
      </x:c>
      <x:c r="J3628" s="2" t="n">
        <x:v>2</x:v>
      </x:c>
      <x:c r="K3628" s="2" t="n">
        <x:v>3</x:v>
      </x:c>
      <x:c r="L3628" s="2" t="str">
        <x:v>Hibernating</x:v>
      </x:c>
    </x:row>
    <x:row r="3629" ht="22" customHeight="1">
      <x:c r="A3629" s="2"/>
      <x:c r="B3629" s="2" t="str">
        <x:v>15971</x:v>
      </x:c>
      <x:c r="C3629" s="2" t="str">
        <x:v>United Kingdom</x:v>
      </x:c>
      <x:c r="D3629" s="25" t="n">
        <x:v>40155.19861111111</x:v>
      </x:c>
      <x:c r="E3629" s="25" t="n">
        <x:v>40869.32638888889</x:v>
      </x:c>
      <x:c r="F3629" s="2" t="n">
        <x:v>18</x:v>
      </x:c>
      <x:c r="G3629" s="2" t="n">
        <x:v>18</x:v>
      </x:c>
      <x:c r="H3629" s="11" t="n">
        <x:v>5902.83</x:v>
      </x:c>
      <x:c r="I3629" s="2" t="n">
        <x:v>5</x:v>
      </x:c>
      <x:c r="J3629" s="2" t="n">
        <x:v>5</x:v>
      </x:c>
      <x:c r="K3629" s="2" t="n">
        <x:v>5</x:v>
      </x:c>
      <x:c r="L3629" s="2" t="str">
        <x:v>Champions</x:v>
      </x:c>
    </x:row>
    <x:row r="3630" ht="22" customHeight="1">
      <x:c r="A3630" s="2"/>
      <x:c r="B3630" s="2" t="str">
        <x:v>15972</x:v>
      </x:c>
      <x:c r="C3630" s="2" t="str">
        <x:v>United Kingdom</x:v>
      </x:c>
      <x:c r="D3630" s="25" t="n">
        <x:v>40286.379166666666</x:v>
      </x:c>
      <x:c r="E3630" s="25" t="n">
        <x:v>40430.34722222222</x:v>
      </x:c>
      <x:c r="F3630" s="2" t="n">
        <x:v>457</x:v>
      </x:c>
      <x:c r="G3630" s="2" t="n">
        <x:v>5</x:v>
      </x:c>
      <x:c r="H3630" s="11" t="n">
        <x:v>1810.27</x:v>
      </x:c>
      <x:c r="I3630" s="2" t="n">
        <x:v>1</x:v>
      </x:c>
      <x:c r="J3630" s="2" t="n">
        <x:v>4</x:v>
      </x:c>
      <x:c r="K3630" s="2" t="n">
        <x:v>4</x:v>
      </x:c>
      <x:c r="L3630" s="2" t="str">
        <x:v>At risk</x:v>
      </x:c>
    </x:row>
    <x:row r="3631" ht="22" customHeight="1">
      <x:c r="A3631" s="2"/>
      <x:c r="B3631" s="2" t="str">
        <x:v>15973</x:v>
      </x:c>
      <x:c r="C3631" s="2" t="str">
        <x:v>United Kingdom</x:v>
      </x:c>
      <x:c r="D3631" s="25" t="n">
        <x:v>40457.416666666664</x:v>
      </x:c>
      <x:c r="E3631" s="25" t="n">
        <x:v>40520.27916666667</x:v>
      </x:c>
      <x:c r="F3631" s="2" t="n">
        <x:v>367</x:v>
      </x:c>
      <x:c r="G3631" s="2" t="n">
        <x:v>3</x:v>
      </x:c>
      <x:c r="H3631" s="11" t="n">
        <x:v>680.62</x:v>
      </x:c>
      <x:c r="I3631" s="2" t="n">
        <x:v>2</x:v>
      </x:c>
      <x:c r="J3631" s="2" t="n">
        <x:v>3</x:v>
      </x:c>
      <x:c r="K3631" s="2" t="n">
        <x:v>3</x:v>
      </x:c>
      <x:c r="L3631" s="2" t="str">
        <x:v>At risk</x:v>
      </x:c>
    </x:row>
    <x:row r="3632" ht="22" customHeight="1">
      <x:c r="A3632" s="2"/>
      <x:c r="B3632" s="2" t="str">
        <x:v>15974</x:v>
      </x:c>
      <x:c r="C3632" s="2" t="str">
        <x:v>United Kingdom</x:v>
      </x:c>
      <x:c r="D3632" s="25" t="n">
        <x:v>40598.21527777778</x:v>
      </x:c>
      <x:c r="E3632" s="25" t="n">
        <x:v>40847.342361111114</x:v>
      </x:c>
      <x:c r="F3632" s="2" t="n">
        <x:v>40</x:v>
      </x:c>
      <x:c r="G3632" s="2" t="n">
        <x:v>7</x:v>
      </x:c>
      <x:c r="H3632" s="11" t="n">
        <x:v>3442.15</x:v>
      </x:c>
      <x:c r="I3632" s="2" t="n">
        <x:v>4</x:v>
      </x:c>
      <x:c r="J3632" s="2" t="n">
        <x:v>4</x:v>
      </x:c>
      <x:c r="K3632" s="2" t="n">
        <x:v>5</x:v>
      </x:c>
      <x:c r="L3632" s="2" t="str">
        <x:v>Champions</x:v>
      </x:c>
    </x:row>
    <x:row r="3633" ht="22" customHeight="1">
      <x:c r="A3633" s="2"/>
      <x:c r="B3633" s="2" t="str">
        <x:v>15975</x:v>
      </x:c>
      <x:c r="C3633" s="2" t="str">
        <x:v>United Kingdom</x:v>
      </x:c>
      <x:c r="D3633" s="25" t="n">
        <x:v>40802.35625</x:v>
      </x:c>
      <x:c r="E3633" s="25" t="n">
        <x:v>40802.35625</x:v>
      </x:c>
      <x:c r="F3633" s="2" t="n">
        <x:v>85</x:v>
      </x:c>
      <x:c r="G3633" s="2" t="n">
        <x:v>1</x:v>
      </x:c>
      <x:c r="H3633" s="11" t="n">
        <x:v>371.01</x:v>
      </x:c>
      <x:c r="I3633" s="2" t="n">
        <x:v>3</x:v>
      </x:c>
      <x:c r="J3633" s="2" t="n">
        <x:v>1</x:v>
      </x:c>
      <x:c r="K3633" s="2" t="n">
        <x:v>2</x:v>
      </x:c>
      <x:c r="L3633" s="2" t="str">
        <x:v>Developing</x:v>
      </x:c>
    </x:row>
    <x:row r="3634" ht="22" customHeight="1">
      <x:c r="A3634" s="2"/>
      <x:c r="B3634" s="2" t="str">
        <x:v>15976</x:v>
      </x:c>
      <x:c r="C3634" s="2" t="str">
        <x:v>United Kingdom</x:v>
      </x:c>
      <x:c r="D3634" s="25" t="n">
        <x:v>40335.37569444445</x:v>
      </x:c>
      <x:c r="E3634" s="25" t="n">
        <x:v>40721.333333333336</x:v>
      </x:c>
      <x:c r="F3634" s="2" t="n">
        <x:v>166</x:v>
      </x:c>
      <x:c r="G3634" s="2" t="n">
        <x:v>6</x:v>
      </x:c>
      <x:c r="H3634" s="11" t="n">
        <x:v>1746.64</x:v>
      </x:c>
      <x:c r="I3634" s="2" t="n">
        <x:v>3</x:v>
      </x:c>
      <x:c r="J3634" s="2" t="n">
        <x:v>4</x:v>
      </x:c>
      <x:c r="K3634" s="2" t="n">
        <x:v>4</x:v>
      </x:c>
      <x:c r="L3634" s="2" t="str">
        <x:v>Loyal</x:v>
      </x:c>
    </x:row>
    <x:row r="3635" ht="22" customHeight="1">
      <x:c r="A3635" s="2"/>
      <x:c r="B3635" s="2" t="str">
        <x:v>15977</x:v>
      </x:c>
      <x:c r="C3635" s="2" t="str">
        <x:v>United Kingdom</x:v>
      </x:c>
      <x:c r="D3635" s="25" t="n">
        <x:v>40847.475</x:v>
      </x:c>
      <x:c r="E3635" s="25" t="n">
        <x:v>40869.353472222225</x:v>
      </x:c>
      <x:c r="F3635" s="2" t="n">
        <x:v>18</x:v>
      </x:c>
      <x:c r="G3635" s="2" t="n">
        <x:v>2</x:v>
      </x:c>
      <x:c r="H3635" s="11" t="n">
        <x:v>1054.73</x:v>
      </x:c>
      <x:c r="I3635" s="2" t="n">
        <x:v>5</x:v>
      </x:c>
      <x:c r="J3635" s="2" t="n">
        <x:v>2</x:v>
      </x:c>
      <x:c r="K3635" s="2" t="n">
        <x:v>3</x:v>
      </x:c>
      <x:c r="L3635" s="2" t="str">
        <x:v>Recent light buyers</x:v>
      </x:c>
    </x:row>
    <x:row r="3636" ht="22" customHeight="1">
      <x:c r="A3636" s="2"/>
      <x:c r="B3636" s="2" t="str">
        <x:v>15978</x:v>
      </x:c>
      <x:c r="C3636" s="2" t="str">
        <x:v>United Kingdom</x:v>
      </x:c>
      <x:c r="D3636" s="25" t="n">
        <x:v>40242.402083333334</x:v>
      </x:c>
      <x:c r="E3636" s="25" t="n">
        <x:v>40809.43125</x:v>
      </x:c>
      <x:c r="F3636" s="2" t="n">
        <x:v>78</x:v>
      </x:c>
      <x:c r="G3636" s="2" t="n">
        <x:v>3</x:v>
      </x:c>
      <x:c r="H3636" s="11" t="n">
        <x:v>3279.42</x:v>
      </x:c>
      <x:c r="I3636" s="2" t="n">
        <x:v>3</x:v>
      </x:c>
      <x:c r="J3636" s="2" t="n">
        <x:v>3</x:v>
      </x:c>
      <x:c r="K3636" s="2" t="n">
        <x:v>5</x:v>
      </x:c>
      <x:c r="L3636" s="2" t="str">
        <x:v>Loyal</x:v>
      </x:c>
    </x:row>
    <x:row r="3637" ht="22" customHeight="1">
      <x:c r="A3637" s="2"/>
      <x:c r="B3637" s="2" t="str">
        <x:v>15979</x:v>
      </x:c>
      <x:c r="C3637" s="2" t="str">
        <x:v>United Kingdom</x:v>
      </x:c>
      <x:c r="D3637" s="25" t="n">
        <x:v>40284.274305555555</x:v>
      </x:c>
      <x:c r="E3637" s="25" t="n">
        <x:v>40284.274305555555</x:v>
      </x:c>
      <x:c r="F3637" s="2" t="n">
        <x:v>603</x:v>
      </x:c>
      <x:c r="G3637" s="2" t="n">
        <x:v>1</x:v>
      </x:c>
      <x:c r="H3637" s="11" t="n">
        <x:v>329.22</x:v>
      </x:c>
      <x:c r="I3637" s="2" t="n">
        <x:v>1</x:v>
      </x:c>
      <x:c r="J3637" s="2" t="n">
        <x:v>1</x:v>
      </x:c>
      <x:c r="K3637" s="2" t="n">
        <x:v>2</x:v>
      </x:c>
      <x:c r="L3637" s="2" t="str">
        <x:v>Hibernating</x:v>
      </x:c>
    </x:row>
    <x:row r="3638" ht="22" customHeight="1">
      <x:c r="A3638" s="2"/>
      <x:c r="B3638" s="2" t="str">
        <x:v>15980</x:v>
      </x:c>
      <x:c r="C3638" s="2" t="str">
        <x:v>United Kingdom</x:v>
      </x:c>
      <x:c r="D3638" s="25" t="n">
        <x:v>40330.40277777778</x:v>
      </x:c>
      <x:c r="E3638" s="25" t="n">
        <x:v>40798.19513888889</x:v>
      </x:c>
      <x:c r="F3638" s="2" t="n">
        <x:v>89</x:v>
      </x:c>
      <x:c r="G3638" s="2" t="n">
        <x:v>7</x:v>
      </x:c>
      <x:c r="H3638" s="11" t="n">
        <x:v>6593.68</x:v>
      </x:c>
      <x:c r="I3638" s="2" t="n">
        <x:v>3</x:v>
      </x:c>
      <x:c r="J3638" s="2" t="n">
        <x:v>4</x:v>
      </x:c>
      <x:c r="K3638" s="2" t="n">
        <x:v>5</x:v>
      </x:c>
      <x:c r="L3638" s="2" t="str">
        <x:v>Loyal</x:v>
      </x:c>
    </x:row>
    <x:row r="3639" ht="22" customHeight="1">
      <x:c r="A3639" s="2"/>
      <x:c r="B3639" s="2" t="str">
        <x:v>15981</x:v>
      </x:c>
      <x:c r="C3639" s="2" t="str">
        <x:v>United Kingdom</x:v>
      </x:c>
      <x:c r="D3639" s="25" t="n">
        <x:v>40266.21319444444</x:v>
      </x:c>
      <x:c r="E3639" s="25" t="n">
        <x:v>40862.125</x:v>
      </x:c>
      <x:c r="F3639" s="2" t="n">
        <x:v>25</x:v>
      </x:c>
      <x:c r="G3639" s="2" t="n">
        <x:v>21</x:v>
      </x:c>
      <x:c r="H3639" s="11" t="n">
        <x:v>9362.77</x:v>
      </x:c>
      <x:c r="I3639" s="2" t="n">
        <x:v>4</x:v>
      </x:c>
      <x:c r="J3639" s="2" t="n">
        <x:v>5</x:v>
      </x:c>
      <x:c r="K3639" s="2" t="n">
        <x:v>5</x:v>
      </x:c>
      <x:c r="L3639" s="2" t="str">
        <x:v>Champions</x:v>
      </x:c>
    </x:row>
    <x:row r="3640" ht="22" customHeight="1">
      <x:c r="A3640" s="2"/>
      <x:c r="B3640" s="2" t="str">
        <x:v>15982</x:v>
      </x:c>
      <x:c r="C3640" s="2" t="str">
        <x:v>United Kingdom</x:v>
      </x:c>
      <x:c r="D3640" s="25" t="n">
        <x:v>40281.44930555556</x:v>
      </x:c>
      <x:c r="E3640" s="25" t="n">
        <x:v>40281.44930555556</x:v>
      </x:c>
      <x:c r="F3640" s="2" t="n">
        <x:v>606</x:v>
      </x:c>
      <x:c r="G3640" s="2" t="n">
        <x:v>1</x:v>
      </x:c>
      <x:c r="H3640" s="11" t="n">
        <x:v>324.51</x:v>
      </x:c>
      <x:c r="I3640" s="2" t="n">
        <x:v>1</x:v>
      </x:c>
      <x:c r="J3640" s="2" t="n">
        <x:v>1</x:v>
      </x:c>
      <x:c r="K3640" s="2" t="n">
        <x:v>2</x:v>
      </x:c>
      <x:c r="L3640" s="2" t="str">
        <x:v>Hibernating</x:v>
      </x:c>
    </x:row>
    <x:row r="3641" ht="22" customHeight="1">
      <x:c r="A3641" s="2"/>
      <x:c r="B3641" s="2" t="str">
        <x:v>15983</x:v>
      </x:c>
      <x:c r="C3641" s="2" t="str">
        <x:v>United Kingdom</x:v>
      </x:c>
      <x:c r="D3641" s="25" t="n">
        <x:v>40153.32777777778</x:v>
      </x:c>
      <x:c r="E3641" s="25" t="n">
        <x:v>40864.52361111111</x:v>
      </x:c>
      <x:c r="F3641" s="2" t="n">
        <x:v>23</x:v>
      </x:c>
      <x:c r="G3641" s="2" t="n">
        <x:v>8</x:v>
      </x:c>
      <x:c r="H3641" s="11" t="n">
        <x:v>3135.27</x:v>
      </x:c>
      <x:c r="I3641" s="2" t="n">
        <x:v>4</x:v>
      </x:c>
      <x:c r="J3641" s="2" t="n">
        <x:v>4</x:v>
      </x:c>
      <x:c r="K3641" s="2" t="n">
        <x:v>5</x:v>
      </x:c>
      <x:c r="L3641" s="2" t="str">
        <x:v>Champions</x:v>
      </x:c>
    </x:row>
    <x:row r="3642" ht="22" customHeight="1">
      <x:c r="A3642" s="2"/>
      <x:c r="B3642" s="2" t="str">
        <x:v>15984</x:v>
      </x:c>
      <x:c r="C3642" s="2" t="str">
        <x:v>United Kingdom</x:v>
      </x:c>
      <x:c r="D3642" s="25" t="n">
        <x:v>40148.35972222222</x:v>
      </x:c>
      <x:c r="E3642" s="25" t="n">
        <x:v>40884.302777777775</x:v>
      </x:c>
      <x:c r="F3642" s="2" t="n">
        <x:v>3</x:v>
      </x:c>
      <x:c r="G3642" s="2" t="n">
        <x:v>30</x:v>
      </x:c>
      <x:c r="H3642" s="11" t="n">
        <x:v>8636.62</x:v>
      </x:c>
      <x:c r="I3642" s="2" t="n">
        <x:v>5</x:v>
      </x:c>
      <x:c r="J3642" s="2" t="n">
        <x:v>5</x:v>
      </x:c>
      <x:c r="K3642" s="2" t="n">
        <x:v>5</x:v>
      </x:c>
      <x:c r="L3642" s="2" t="str">
        <x:v>Champions</x:v>
      </x:c>
    </x:row>
    <x:row r="3643" ht="22" customHeight="1">
      <x:c r="A3643" s="2"/>
      <x:c r="B3643" s="2" t="str">
        <x:v>15985</x:v>
      </x:c>
      <x:c r="C3643" s="2" t="str">
        <x:v>United Kingdom</x:v>
      </x:c>
      <x:c r="D3643" s="25" t="n">
        <x:v>40325.45208333333</x:v>
      </x:c>
      <x:c r="E3643" s="25" t="n">
        <x:v>40763.47986111111</x:v>
      </x:c>
      <x:c r="F3643" s="2" t="n">
        <x:v>124</x:v>
      </x:c>
      <x:c r="G3643" s="2" t="n">
        <x:v>7</x:v>
      </x:c>
      <x:c r="H3643" s="11" t="n">
        <x:v>2715.28</x:v>
      </x:c>
      <x:c r="I3643" s="2" t="n">
        <x:v>3</x:v>
      </x:c>
      <x:c r="J3643" s="2" t="n">
        <x:v>4</x:v>
      </x:c>
      <x:c r="K3643" s="2" t="n">
        <x:v>4</x:v>
      </x:c>
      <x:c r="L3643" s="2" t="str">
        <x:v>Loyal</x:v>
      </x:c>
    </x:row>
    <x:row r="3644" ht="22" customHeight="1">
      <x:c r="A3644" s="2"/>
      <x:c r="B3644" s="2" t="str">
        <x:v>15986</x:v>
      </x:c>
      <x:c r="C3644" s="2" t="str">
        <x:v>United Kingdom</x:v>
      </x:c>
      <x:c r="D3644" s="25" t="n">
        <x:v>40505.20972222222</x:v>
      </x:c>
      <x:c r="E3644" s="25" t="n">
        <x:v>40856.42847222222</x:v>
      </x:c>
      <x:c r="F3644" s="2" t="n">
        <x:v>31</x:v>
      </x:c>
      <x:c r="G3644" s="2" t="n">
        <x:v>2</x:v>
      </x:c>
      <x:c r="H3644" s="11" t="n">
        <x:v>354.42</x:v>
      </x:c>
      <x:c r="I3644" s="2" t="n">
        <x:v>4</x:v>
      </x:c>
      <x:c r="J3644" s="2" t="n">
        <x:v>2</x:v>
      </x:c>
      <x:c r="K3644" s="2" t="n">
        <x:v>2</x:v>
      </x:c>
      <x:c r="L3644" s="2" t="str">
        <x:v>Recent light buyers</x:v>
      </x:c>
    </x:row>
    <x:row r="3645" ht="22" customHeight="1">
      <x:c r="A3645" s="2"/>
      <x:c r="B3645" s="2" t="str">
        <x:v>15987</x:v>
      </x:c>
      <x:c r="C3645" s="2" t="str">
        <x:v>United Kingdom</x:v>
      </x:c>
      <x:c r="D3645" s="25" t="n">
        <x:v>40507.330555555556</x:v>
      </x:c>
      <x:c r="E3645" s="25" t="n">
        <x:v>40874.44305555556</x:v>
      </x:c>
      <x:c r="F3645" s="2" t="n">
        <x:v>13</x:v>
      </x:c>
      <x:c r="G3645" s="2" t="n">
        <x:v>8</x:v>
      </x:c>
      <x:c r="H3645" s="11" t="n">
        <x:v>1568.65</x:v>
      </x:c>
      <x:c r="I3645" s="2" t="n">
        <x:v>5</x:v>
      </x:c>
      <x:c r="J3645" s="2" t="n">
        <x:v>4</x:v>
      </x:c>
      <x:c r="K3645" s="2" t="n">
        <x:v>4</x:v>
      </x:c>
      <x:c r="L3645" s="2" t="str">
        <x:v>Champions</x:v>
      </x:c>
    </x:row>
    <x:row r="3646" ht="22" customHeight="1">
      <x:c r="A3646" s="2"/>
      <x:c r="B3646" s="2" t="str">
        <x:v>15988</x:v>
      </x:c>
      <x:c r="C3646" s="2" t="str">
        <x:v>United Kingdom</x:v>
      </x:c>
      <x:c r="D3646" s="25" t="n">
        <x:v>40230.275</x:v>
      </x:c>
      <x:c r="E3646" s="25" t="n">
        <x:v>40867.34930555556</x:v>
      </x:c>
      <x:c r="F3646" s="2" t="n">
        <x:v>20</x:v>
      </x:c>
      <x:c r="G3646" s="2" t="n">
        <x:v>3</x:v>
      </x:c>
      <x:c r="H3646" s="11" t="n">
        <x:v>770.09</x:v>
      </x:c>
      <x:c r="I3646" s="2" t="n">
        <x:v>5</x:v>
      </x:c>
      <x:c r="J3646" s="2" t="n">
        <x:v>3</x:v>
      </x:c>
      <x:c r="K3646" s="2" t="n">
        <x:v>3</x:v>
      </x:c>
      <x:c r="L3646" s="2" t="str">
        <x:v>Loyal</x:v>
      </x:c>
    </x:row>
    <x:row r="3647" ht="22" customHeight="1">
      <x:c r="A3647" s="2"/>
      <x:c r="B3647" s="2" t="str">
        <x:v>15989</x:v>
      </x:c>
      <x:c r="C3647" s="2" t="str">
        <x:v>United Kingdom</x:v>
      </x:c>
      <x:c r="D3647" s="25" t="n">
        <x:v>40149.45208333333</x:v>
      </x:c>
      <x:c r="E3647" s="25" t="n">
        <x:v>40511.29375</x:v>
      </x:c>
      <x:c r="F3647" s="2" t="n">
        <x:v>376</x:v>
      </x:c>
      <x:c r="G3647" s="2" t="n">
        <x:v>2</x:v>
      </x:c>
      <x:c r="H3647" s="11" t="n">
        <x:v>372.51</x:v>
      </x:c>
      <x:c r="I3647" s="2" t="n">
        <x:v>2</x:v>
      </x:c>
      <x:c r="J3647" s="2" t="n">
        <x:v>2</x:v>
      </x:c>
      <x:c r="K3647" s="2" t="n">
        <x:v>2</x:v>
      </x:c>
      <x:c r="L3647" s="2" t="str">
        <x:v>Hibernating</x:v>
      </x:c>
    </x:row>
    <x:row r="3648" ht="22" customHeight="1">
      <x:c r="A3648" s="2"/>
      <x:c r="B3648" s="2" t="str">
        <x:v>15990</x:v>
      </x:c>
      <x:c r="C3648" s="2" t="str">
        <x:v>United Kingdom</x:v>
      </x:c>
      <x:c r="D3648" s="25" t="n">
        <x:v>40237.3125</x:v>
      </x:c>
      <x:c r="E3648" s="25" t="n">
        <x:v>40842.45694444444</x:v>
      </x:c>
      <x:c r="F3648" s="2" t="n">
        <x:v>45</x:v>
      </x:c>
      <x:c r="G3648" s="2" t="n">
        <x:v>7</x:v>
      </x:c>
      <x:c r="H3648" s="11" t="n">
        <x:v>2010.05</x:v>
      </x:c>
      <x:c r="I3648" s="2" t="n">
        <x:v>4</x:v>
      </x:c>
      <x:c r="J3648" s="2" t="n">
        <x:v>4</x:v>
      </x:c>
      <x:c r="K3648" s="2" t="n">
        <x:v>4</x:v>
      </x:c>
      <x:c r="L3648" s="2" t="str">
        <x:v>Champions</x:v>
      </x:c>
    </x:row>
    <x:row r="3649" ht="22" customHeight="1">
      <x:c r="A3649" s="2"/>
      <x:c r="B3649" s="2" t="str">
        <x:v>15991</x:v>
      </x:c>
      <x:c r="C3649" s="2" t="str">
        <x:v>United Kingdom</x:v>
      </x:c>
      <x:c r="D3649" s="25" t="n">
        <x:v>40352.45138888889</x:v>
      </x:c>
      <x:c r="E3649" s="25" t="n">
        <x:v>40352.45138888889</x:v>
      </x:c>
      <x:c r="F3649" s="2" t="n">
        <x:v>535</x:v>
      </x:c>
      <x:c r="G3649" s="2" t="n">
        <x:v>1</x:v>
      </x:c>
      <x:c r="H3649" s="11" t="n">
        <x:v>150.55</x:v>
      </x:c>
      <x:c r="I3649" s="2" t="n">
        <x:v>1</x:v>
      </x:c>
      <x:c r="J3649" s="2" t="n">
        <x:v>1</x:v>
      </x:c>
      <x:c r="K3649" s="2" t="n">
        <x:v>1</x:v>
      </x:c>
      <x:c r="L3649" s="2" t="str">
        <x:v>Hibernating</x:v>
      </x:c>
    </x:row>
    <x:row r="3650" ht="22" customHeight="1">
      <x:c r="A3650" s="2"/>
      <x:c r="B3650" s="2" t="str">
        <x:v>15992</x:v>
      </x:c>
      <x:c r="C3650" s="2" t="str">
        <x:v>United Kingdom</x:v>
      </x:c>
      <x:c r="D3650" s="25" t="n">
        <x:v>40433.28611111111</x:v>
      </x:c>
      <x:c r="E3650" s="25" t="n">
        <x:v>40883.25</x:v>
      </x:c>
      <x:c r="F3650" s="2" t="n">
        <x:v>4</x:v>
      </x:c>
      <x:c r="G3650" s="2" t="n">
        <x:v>3</x:v>
      </x:c>
      <x:c r="H3650" s="11" t="n">
        <x:v>896.6</x:v>
      </x:c>
      <x:c r="I3650" s="2" t="n">
        <x:v>5</x:v>
      </x:c>
      <x:c r="J3650" s="2" t="n">
        <x:v>3</x:v>
      </x:c>
      <x:c r="K3650" s="2" t="n">
        <x:v>3</x:v>
      </x:c>
      <x:c r="L3650" s="2" t="str">
        <x:v>Loyal</x:v>
      </x:c>
    </x:row>
    <x:row r="3651" ht="22" customHeight="1">
      <x:c r="A3651" s="2"/>
      <x:c r="B3651" s="2" t="str">
        <x:v>15993</x:v>
      </x:c>
      <x:c r="C3651" s="2" t="str">
        <x:v>United Kingdom</x:v>
      </x:c>
      <x:c r="D3651" s="25" t="n">
        <x:v>40842.472916666666</x:v>
      </x:c>
      <x:c r="E3651" s="25" t="n">
        <x:v>40878.239583333336</x:v>
      </x:c>
      <x:c r="F3651" s="2" t="n">
        <x:v>9</x:v>
      </x:c>
      <x:c r="G3651" s="2" t="n">
        <x:v>7</x:v>
      </x:c>
      <x:c r="H3651" s="11" t="n">
        <x:v>2797.57</x:v>
      </x:c>
      <x:c r="I3651" s="2" t="n">
        <x:v>5</x:v>
      </x:c>
      <x:c r="J3651" s="2" t="n">
        <x:v>4</x:v>
      </x:c>
      <x:c r="K3651" s="2" t="n">
        <x:v>4</x:v>
      </x:c>
      <x:c r="L3651" s="2" t="str">
        <x:v>Champions</x:v>
      </x:c>
    </x:row>
    <x:row r="3652" ht="22" customHeight="1">
      <x:c r="A3652" s="2"/>
      <x:c r="B3652" s="2" t="str">
        <x:v>15994</x:v>
      </x:c>
      <x:c r="C3652" s="2" t="str">
        <x:v>United Kingdom</x:v>
      </x:c>
      <x:c r="D3652" s="25" t="n">
        <x:v>40251.288194444445</x:v>
      </x:c>
      <x:c r="E3652" s="25" t="n">
        <x:v>40832.311111111114</x:v>
      </x:c>
      <x:c r="F3652" s="2" t="n">
        <x:v>55</x:v>
      </x:c>
      <x:c r="G3652" s="2" t="n">
        <x:v>3</x:v>
      </x:c>
      <x:c r="H3652" s="11" t="n">
        <x:v>1202.18</x:v>
      </x:c>
      <x:c r="I3652" s="2" t="n">
        <x:v>4</x:v>
      </x:c>
      <x:c r="J3652" s="2" t="n">
        <x:v>3</x:v>
      </x:c>
      <x:c r="K3652" s="2" t="n">
        <x:v>3</x:v>
      </x:c>
      <x:c r="L3652" s="2" t="str">
        <x:v>Loyal</x:v>
      </x:c>
    </x:row>
    <x:row r="3653" ht="22" customHeight="1">
      <x:c r="A3653" s="2"/>
      <x:c r="B3653" s="2" t="str">
        <x:v>15995</x:v>
      </x:c>
      <x:c r="C3653" s="2" t="str">
        <x:v>United Kingdom</x:v>
      </x:c>
      <x:c r="D3653" s="25" t="n">
        <x:v>40472.37291666667</x:v>
      </x:c>
      <x:c r="E3653" s="25" t="n">
        <x:v>40472.37291666667</x:v>
      </x:c>
      <x:c r="F3653" s="2" t="n">
        <x:v>415</x:v>
      </x:c>
      <x:c r="G3653" s="2" t="n">
        <x:v>1</x:v>
      </x:c>
      <x:c r="H3653" s="11" t="n">
        <x:v>696.19</x:v>
      </x:c>
      <x:c r="I3653" s="2" t="n">
        <x:v>1</x:v>
      </x:c>
      <x:c r="J3653" s="2" t="n">
        <x:v>1</x:v>
      </x:c>
      <x:c r="K3653" s="2" t="n">
        <x:v>3</x:v>
      </x:c>
      <x:c r="L3653" s="2" t="str">
        <x:v>Hibernating</x:v>
      </x:c>
    </x:row>
    <x:row r="3654" ht="22" customHeight="1">
      <x:c r="A3654" s="2"/>
      <x:c r="B3654" s="2" t="str">
        <x:v>15996</x:v>
      </x:c>
      <x:c r="C3654" s="2" t="str">
        <x:v>United Kingdom</x:v>
      </x:c>
      <x:c r="D3654" s="25" t="n">
        <x:v>40489.450694444444</x:v>
      </x:c>
      <x:c r="E3654" s="25" t="n">
        <x:v>40798.42638888889</x:v>
      </x:c>
      <x:c r="F3654" s="2" t="n">
        <x:v>89</x:v>
      </x:c>
      <x:c r="G3654" s="2" t="n">
        <x:v>7</x:v>
      </x:c>
      <x:c r="H3654" s="11" t="n">
        <x:v>1423.65</x:v>
      </x:c>
      <x:c r="I3654" s="2" t="n">
        <x:v>3</x:v>
      </x:c>
      <x:c r="J3654" s="2" t="n">
        <x:v>4</x:v>
      </x:c>
      <x:c r="K3654" s="2" t="n">
        <x:v>4</x:v>
      </x:c>
      <x:c r="L3654" s="2" t="str">
        <x:v>Loyal</x:v>
      </x:c>
    </x:row>
    <x:row r="3655" ht="22" customHeight="1">
      <x:c r="A3655" s="2"/>
      <x:c r="B3655" s="2" t="str">
        <x:v>15998</x:v>
      </x:c>
      <x:c r="C3655" s="2" t="str">
        <x:v>United Kingdom</x:v>
      </x:c>
      <x:c r="D3655" s="25" t="n">
        <x:v>40148.28125</x:v>
      </x:c>
      <x:c r="E3655" s="25" t="n">
        <x:v>40850.322916666664</x:v>
      </x:c>
      <x:c r="F3655" s="2" t="n">
        <x:v>37</x:v>
      </x:c>
      <x:c r="G3655" s="2" t="n">
        <x:v>16</x:v>
      </x:c>
      <x:c r="H3655" s="11" t="n">
        <x:v>8308.34</x:v>
      </x:c>
      <x:c r="I3655" s="2" t="n">
        <x:v>4</x:v>
      </x:c>
      <x:c r="J3655" s="2" t="n">
        <x:v>5</x:v>
      </x:c>
      <x:c r="K3655" s="2" t="n">
        <x:v>5</x:v>
      </x:c>
      <x:c r="L3655" s="2" t="str">
        <x:v>Champions</x:v>
      </x:c>
    </x:row>
    <x:row r="3656" ht="22" customHeight="1">
      <x:c r="A3656" s="2"/>
      <x:c r="B3656" s="2" t="str">
        <x:v>15999</x:v>
      </x:c>
      <x:c r="C3656" s="2" t="str">
        <x:v>United Kingdom</x:v>
      </x:c>
      <x:c r="D3656" s="25" t="n">
        <x:v>40151.31319444445</x:v>
      </x:c>
      <x:c r="E3656" s="25" t="n">
        <x:v>40151.31319444445</x:v>
      </x:c>
      <x:c r="F3656" s="2" t="n">
        <x:v>736</x:v>
      </x:c>
      <x:c r="G3656" s="2" t="n">
        <x:v>1</x:v>
      </x:c>
      <x:c r="H3656" s="11" t="n">
        <x:v>20.4</x:v>
      </x:c>
      <x:c r="I3656" s="2" t="n">
        <x:v>1</x:v>
      </x:c>
      <x:c r="J3656" s="2" t="n">
        <x:v>1</x:v>
      </x:c>
      <x:c r="K3656" s="2" t="n">
        <x:v>1</x:v>
      </x:c>
      <x:c r="L3656" s="2" t="str">
        <x:v>Hibernating</x:v>
      </x:c>
    </x:row>
    <x:row r="3657" ht="22" customHeight="1">
      <x:c r="A3657" s="2"/>
      <x:c r="B3657" s="2" t="str">
        <x:v>16000</x:v>
      </x:c>
      <x:c r="C3657" s="2" t="str">
        <x:v>United Kingdom</x:v>
      </x:c>
      <x:c r="D3657" s="25" t="n">
        <x:v>40884.30138888889</x:v>
      </x:c>
      <x:c r="E3657" s="25" t="n">
        <x:v>40884.30347222222</x:v>
      </x:c>
      <x:c r="F3657" s="2" t="n">
        <x:v>3</x:v>
      </x:c>
      <x:c r="G3657" s="2" t="n">
        <x:v>3</x:v>
      </x:c>
      <x:c r="H3657" s="11" t="n">
        <x:v>12393.7</x:v>
      </x:c>
      <x:c r="I3657" s="2" t="n">
        <x:v>5</x:v>
      </x:c>
      <x:c r="J3657" s="2" t="n">
        <x:v>3</x:v>
      </x:c>
      <x:c r="K3657" s="2" t="n">
        <x:v>5</x:v>
      </x:c>
      <x:c r="L3657" s="2" t="str">
        <x:v>Loyal</x:v>
      </x:c>
    </x:row>
    <x:row r="3658" ht="22" customHeight="1">
      <x:c r="A3658" s="2"/>
      <x:c r="B3658" s="2" t="str">
        <x:v>16001</x:v>
      </x:c>
      <x:c r="C3658" s="2" t="str">
        <x:v>United Kingdom</x:v>
      </x:c>
      <x:c r="D3658" s="25" t="n">
        <x:v>40505.506944444445</x:v>
      </x:c>
      <x:c r="E3658" s="25" t="n">
        <x:v>40505.506944444445</x:v>
      </x:c>
      <x:c r="F3658" s="2" t="n">
        <x:v>382</x:v>
      </x:c>
      <x:c r="G3658" s="2" t="n">
        <x:v>1</x:v>
      </x:c>
      <x:c r="H3658" s="11" t="n">
        <x:v>583.39</x:v>
      </x:c>
      <x:c r="I3658" s="2" t="n">
        <x:v>2</x:v>
      </x:c>
      <x:c r="J3658" s="2" t="n">
        <x:v>1</x:v>
      </x:c>
      <x:c r="K3658" s="2" t="n">
        <x:v>2</x:v>
      </x:c>
      <x:c r="L3658" s="2" t="str">
        <x:v>Hibernating</x:v>
      </x:c>
    </x:row>
    <x:row r="3659" ht="22" customHeight="1">
      <x:c r="A3659" s="2"/>
      <x:c r="B3659" s="2" t="str">
        <x:v>16002</x:v>
      </x:c>
      <x:c r="C3659" s="2" t="str">
        <x:v>United Kingdom</x:v>
      </x:c>
      <x:c r="D3659" s="25" t="n">
        <x:v>40261.33888888889</x:v>
      </x:c>
      <x:c r="E3659" s="25" t="n">
        <x:v>40261.33888888889</x:v>
      </x:c>
      <x:c r="F3659" s="2" t="n">
        <x:v>626</x:v>
      </x:c>
      <x:c r="G3659" s="2" t="n">
        <x:v>1</x:v>
      </x:c>
      <x:c r="H3659" s="11" t="n">
        <x:v>169.21</x:v>
      </x:c>
      <x:c r="I3659" s="2" t="n">
        <x:v>1</x:v>
      </x:c>
      <x:c r="J3659" s="2" t="n">
        <x:v>1</x:v>
      </x:c>
      <x:c r="K3659" s="2" t="n">
        <x:v>1</x:v>
      </x:c>
      <x:c r="L3659" s="2" t="str">
        <x:v>Hibernating</x:v>
      </x:c>
    </x:row>
    <x:row r="3660" ht="22" customHeight="1">
      <x:c r="A3660" s="2"/>
      <x:c r="B3660" s="2" t="str">
        <x:v>16003</x:v>
      </x:c>
      <x:c r="C3660" s="2" t="str">
        <x:v>United Kingdom</x:v>
      </x:c>
      <x:c r="D3660" s="25" t="n">
        <x:v>40150.57708333333</x:v>
      </x:c>
      <x:c r="E3660" s="25" t="n">
        <x:v>40857.20625</x:v>
      </x:c>
      <x:c r="F3660" s="2" t="n">
        <x:v>30</x:v>
      </x:c>
      <x:c r="G3660" s="2" t="n">
        <x:v>10</x:v>
      </x:c>
      <x:c r="H3660" s="11" t="n">
        <x:v>5613.83</x:v>
      </x:c>
      <x:c r="I3660" s="2" t="n">
        <x:v>4</x:v>
      </x:c>
      <x:c r="J3660" s="2" t="n">
        <x:v>5</x:v>
      </x:c>
      <x:c r="K3660" s="2" t="n">
        <x:v>5</x:v>
      </x:c>
      <x:c r="L3660" s="2" t="str">
        <x:v>Champions</x:v>
      </x:c>
    </x:row>
    <x:row r="3661" ht="22" customHeight="1">
      <x:c r="A3661" s="2"/>
      <x:c r="B3661" s="2" t="str">
        <x:v>16004</x:v>
      </x:c>
      <x:c r="C3661" s="2" t="str">
        <x:v>United Kingdom</x:v>
      </x:c>
      <x:c r="D3661" s="25" t="n">
        <x:v>40203.37222222222</x:v>
      </x:c>
      <x:c r="E3661" s="25" t="n">
        <x:v>40412.28333333333</x:v>
      </x:c>
      <x:c r="F3661" s="2" t="n">
        <x:v>475</x:v>
      </x:c>
      <x:c r="G3661" s="2" t="n">
        <x:v>5</x:v>
      </x:c>
      <x:c r="H3661" s="11" t="n">
        <x:v>2146.39</x:v>
      </x:c>
      <x:c r="I3661" s="2" t="n">
        <x:v>1</x:v>
      </x:c>
      <x:c r="J3661" s="2" t="n">
        <x:v>4</x:v>
      </x:c>
      <x:c r="K3661" s="2" t="n">
        <x:v>4</x:v>
      </x:c>
      <x:c r="L3661" s="2" t="str">
        <x:v>At risk</x:v>
      </x:c>
    </x:row>
    <x:row r="3662" ht="22" customHeight="1">
      <x:c r="A3662" s="2"/>
      <x:c r="B3662" s="2" t="str">
        <x:v>16005</x:v>
      </x:c>
      <x:c r="C3662" s="2" t="str">
        <x:v>United Kingdom</x:v>
      </x:c>
      <x:c r="D3662" s="25" t="n">
        <x:v>40436.347916666666</x:v>
      </x:c>
      <x:c r="E3662" s="25" t="n">
        <x:v>40874.36597222222</x:v>
      </x:c>
      <x:c r="F3662" s="2" t="n">
        <x:v>13</x:v>
      </x:c>
      <x:c r="G3662" s="2" t="n">
        <x:v>10</x:v>
      </x:c>
      <x:c r="H3662" s="11" t="n">
        <x:v>2436.22</x:v>
      </x:c>
      <x:c r="I3662" s="2" t="n">
        <x:v>5</x:v>
      </x:c>
      <x:c r="J3662" s="2" t="n">
        <x:v>5</x:v>
      </x:c>
      <x:c r="K3662" s="2" t="n">
        <x:v>4</x:v>
      </x:c>
      <x:c r="L3662" s="2" t="str">
        <x:v>Champions</x:v>
      </x:c>
    </x:row>
    <x:row r="3663" ht="22" customHeight="1">
      <x:c r="A3663" s="2"/>
      <x:c r="B3663" s="2" t="str">
        <x:v>16006</x:v>
      </x:c>
      <x:c r="C3663" s="2" t="str">
        <x:v>United Kingdom</x:v>
      </x:c>
      <x:c r="D3663" s="25" t="n">
        <x:v>40499.29375</x:v>
      </x:c>
      <x:c r="E3663" s="25" t="n">
        <x:v>40675.34166666667</x:v>
      </x:c>
      <x:c r="F3663" s="2" t="n">
        <x:v>212</x:v>
      </x:c>
      <x:c r="G3663" s="2" t="n">
        <x:v>2</x:v>
      </x:c>
      <x:c r="H3663" s="11" t="n">
        <x:v>347.17</x:v>
      </x:c>
      <x:c r="I3663" s="2" t="n">
        <x:v>2</x:v>
      </x:c>
      <x:c r="J3663" s="2" t="n">
        <x:v>2</x:v>
      </x:c>
      <x:c r="K3663" s="2" t="n">
        <x:v>2</x:v>
      </x:c>
      <x:c r="L3663" s="2" t="str">
        <x:v>Hibernating</x:v>
      </x:c>
    </x:row>
    <x:row r="3664" ht="22" customHeight="1">
      <x:c r="A3664" s="2"/>
      <x:c r="B3664" s="2" t="str">
        <x:v>16007</x:v>
      </x:c>
      <x:c r="C3664" s="2" t="str">
        <x:v>United Kingdom</x:v>
      </x:c>
      <x:c r="D3664" s="25" t="n">
        <x:v>40343.34583333333</x:v>
      </x:c>
      <x:c r="E3664" s="25" t="n">
        <x:v>40839.25347222222</x:v>
      </x:c>
      <x:c r="F3664" s="2" t="n">
        <x:v>48</x:v>
      </x:c>
      <x:c r="G3664" s="2" t="n">
        <x:v>7</x:v>
      </x:c>
      <x:c r="H3664" s="11" t="n">
        <x:v>3075.14</x:v>
      </x:c>
      <x:c r="I3664" s="2" t="n">
        <x:v>4</x:v>
      </x:c>
      <x:c r="J3664" s="2" t="n">
        <x:v>4</x:v>
      </x:c>
      <x:c r="K3664" s="2" t="n">
        <x:v>5</x:v>
      </x:c>
      <x:c r="L3664" s="2" t="str">
        <x:v>Champions</x:v>
      </x:c>
    </x:row>
    <x:row r="3665" ht="22" customHeight="1">
      <x:c r="A3665" s="2"/>
      <x:c r="B3665" s="2" t="str">
        <x:v>16008</x:v>
      </x:c>
      <x:c r="C3665" s="2" t="str">
        <x:v>United Kingdom</x:v>
      </x:c>
      <x:c r="D3665" s="25" t="n">
        <x:v>40256.25486111111</x:v>
      </x:c>
      <x:c r="E3665" s="25" t="n">
        <x:v>40863.23055555556</x:v>
      </x:c>
      <x:c r="F3665" s="2" t="n">
        <x:v>24</x:v>
      </x:c>
      <x:c r="G3665" s="2" t="n">
        <x:v>15</x:v>
      </x:c>
      <x:c r="H3665" s="11" t="n">
        <x:v>5384.13</x:v>
      </x:c>
      <x:c r="I3665" s="2" t="n">
        <x:v>4</x:v>
      </x:c>
      <x:c r="J3665" s="2" t="n">
        <x:v>5</x:v>
      </x:c>
      <x:c r="K3665" s="2" t="n">
        <x:v>5</x:v>
      </x:c>
      <x:c r="L3665" s="2" t="str">
        <x:v>Champions</x:v>
      </x:c>
    </x:row>
    <x:row r="3666" ht="22" customHeight="1">
      <x:c r="A3666" s="2"/>
      <x:c r="B3666" s="2" t="str">
        <x:v>16009</x:v>
      </x:c>
      <x:c r="C3666" s="2" t="str">
        <x:v>United Kingdom</x:v>
      </x:c>
      <x:c r="D3666" s="25" t="n">
        <x:v>40727.268055555556</x:v>
      </x:c>
      <x:c r="E3666" s="25" t="n">
        <x:v>40864.49375</x:v>
      </x:c>
      <x:c r="F3666" s="2" t="n">
        <x:v>23</x:v>
      </x:c>
      <x:c r="G3666" s="2" t="n">
        <x:v>4</x:v>
      </x:c>
      <x:c r="H3666" s="11" t="n">
        <x:v>992.71</x:v>
      </x:c>
      <x:c r="I3666" s="2" t="n">
        <x:v>4</x:v>
      </x:c>
      <x:c r="J3666" s="2" t="n">
        <x:v>3</x:v>
      </x:c>
      <x:c r="K3666" s="2" t="n">
        <x:v>3</x:v>
      </x:c>
      <x:c r="L3666" s="2" t="str">
        <x:v>Loyal</x:v>
      </x:c>
    </x:row>
    <x:row r="3667" ht="22" customHeight="1">
      <x:c r="A3667" s="2"/>
      <x:c r="B3667" s="2" t="str">
        <x:v>16010</x:v>
      </x:c>
      <x:c r="C3667" s="2" t="str">
        <x:v>United Kingdom</x:v>
      </x:c>
      <x:c r="D3667" s="25" t="n">
        <x:v>40475.245833333334</x:v>
      </x:c>
      <x:c r="E3667" s="25" t="n">
        <x:v>40641.21805555555</x:v>
      </x:c>
      <x:c r="F3667" s="2" t="n">
        <x:v>246</x:v>
      </x:c>
      <x:c r="G3667" s="2" t="n">
        <x:v>11</x:v>
      </x:c>
      <x:c r="H3667" s="11" t="n">
        <x:v>1724.06</x:v>
      </x:c>
      <x:c r="I3667" s="2" t="n">
        <x:v>2</x:v>
      </x:c>
      <x:c r="J3667" s="2" t="n">
        <x:v>5</x:v>
      </x:c>
      <x:c r="K3667" s="2" t="n">
        <x:v>4</x:v>
      </x:c>
      <x:c r="L3667" s="2" t="str">
        <x:v>At risk</x:v>
      </x:c>
    </x:row>
    <x:row r="3668" ht="22" customHeight="1">
      <x:c r="A3668" s="2"/>
      <x:c r="B3668" s="2" t="str">
        <x:v>16011</x:v>
      </x:c>
      <x:c r="C3668" s="2" t="str">
        <x:v>United Kingdom</x:v>
      </x:c>
      <x:c r="D3668" s="25" t="n">
        <x:v>40148.29305555556</x:v>
      </x:c>
      <x:c r="E3668" s="25" t="n">
        <x:v>40878.47986111111</x:v>
      </x:c>
      <x:c r="F3668" s="2" t="n">
        <x:v>9</x:v>
      </x:c>
      <x:c r="G3668" s="2" t="n">
        <x:v>29</x:v>
      </x:c>
      <x:c r="H3668" s="11" t="n">
        <x:v>5642.51</x:v>
      </x:c>
      <x:c r="I3668" s="2" t="n">
        <x:v>5</x:v>
      </x:c>
      <x:c r="J3668" s="2" t="n">
        <x:v>5</x:v>
      </x:c>
      <x:c r="K3668" s="2" t="n">
        <x:v>5</x:v>
      </x:c>
      <x:c r="L3668" s="2" t="str">
        <x:v>Champions</x:v>
      </x:c>
    </x:row>
    <x:row r="3669" ht="22" customHeight="1">
      <x:c r="A3669" s="2"/>
      <x:c r="B3669" s="2" t="str">
        <x:v>16012</x:v>
      </x:c>
      <x:c r="C3669" s="2" t="str">
        <x:v>United Kingdom</x:v>
      </x:c>
      <x:c r="D3669" s="25" t="n">
        <x:v>40357.277083333334</x:v>
      </x:c>
      <x:c r="E3669" s="25" t="n">
        <x:v>40851.350694444445</x:v>
      </x:c>
      <x:c r="F3669" s="2" t="n">
        <x:v>36</x:v>
      </x:c>
      <x:c r="G3669" s="2" t="n">
        <x:v>5</x:v>
      </x:c>
      <x:c r="H3669" s="11" t="n">
        <x:v>2989.79</x:v>
      </x:c>
      <x:c r="I3669" s="2" t="n">
        <x:v>4</x:v>
      </x:c>
      <x:c r="J3669" s="2" t="n">
        <x:v>4</x:v>
      </x:c>
      <x:c r="K3669" s="2" t="n">
        <x:v>5</x:v>
      </x:c>
      <x:c r="L3669" s="2" t="str">
        <x:v>Champions</x:v>
      </x:c>
    </x:row>
    <x:row r="3670" ht="22" customHeight="1">
      <x:c r="A3670" s="2"/>
      <x:c r="B3670" s="2" t="str">
        <x:v>16013</x:v>
      </x:c>
      <x:c r="C3670" s="2" t="str">
        <x:v>United Kingdom</x:v>
      </x:c>
      <x:c r="D3670" s="25" t="n">
        <x:v>40155.225</x:v>
      </x:c>
      <x:c r="E3670" s="25" t="n">
        <x:v>40883.23333333333</x:v>
      </x:c>
      <x:c r="F3670" s="2" t="n">
        <x:v>4</x:v>
      </x:c>
      <x:c r="G3670" s="2" t="n">
        <x:v>84</x:v>
      </x:c>
      <x:c r="H3670" s="11" t="n">
        <x:v>56384.44</x:v>
      </x:c>
      <x:c r="I3670" s="2" t="n">
        <x:v>5</x:v>
      </x:c>
      <x:c r="J3670" s="2" t="n">
        <x:v>5</x:v>
      </x:c>
      <x:c r="K3670" s="2" t="n">
        <x:v>5</x:v>
      </x:c>
      <x:c r="L3670" s="2" t="str">
        <x:v>Champions</x:v>
      </x:c>
    </x:row>
    <x:row r="3671" ht="22" customHeight="1">
      <x:c r="A3671" s="2"/>
      <x:c r="B3671" s="2" t="str">
        <x:v>16014</x:v>
      </x:c>
      <x:c r="C3671" s="2" t="str">
        <x:v>United Kingdom</x:v>
      </x:c>
      <x:c r="D3671" s="25" t="n">
        <x:v>40209.32152777778</x:v>
      </x:c>
      <x:c r="E3671" s="25" t="n">
        <x:v>40849.294444444444</x:v>
      </x:c>
      <x:c r="F3671" s="2" t="n">
        <x:v>38</x:v>
      </x:c>
      <x:c r="G3671" s="2" t="n">
        <x:v>5</x:v>
      </x:c>
      <x:c r="H3671" s="11" t="n">
        <x:v>1130.27</x:v>
      </x:c>
      <x:c r="I3671" s="2" t="n">
        <x:v>4</x:v>
      </x:c>
      <x:c r="J3671" s="2" t="n">
        <x:v>4</x:v>
      </x:c>
      <x:c r="K3671" s="2" t="n">
        <x:v>3</x:v>
      </x:c>
      <x:c r="L3671" s="2" t="str">
        <x:v>Loyal</x:v>
      </x:c>
    </x:row>
    <x:row r="3672" ht="22" customHeight="1">
      <x:c r="A3672" s="2"/>
      <x:c r="B3672" s="2" t="str">
        <x:v>16015</x:v>
      </x:c>
      <x:c r="C3672" s="2" t="str">
        <x:v>United Kingdom</x:v>
      </x:c>
      <x:c r="D3672" s="25" t="n">
        <x:v>40837.330555555556</x:v>
      </x:c>
      <x:c r="E3672" s="25" t="n">
        <x:v>40883.248611111114</x:v>
      </x:c>
      <x:c r="F3672" s="2" t="n">
        <x:v>4</x:v>
      </x:c>
      <x:c r="G3672" s="2" t="n">
        <x:v>3</x:v>
      </x:c>
      <x:c r="H3672" s="11" t="n">
        <x:v>705.39</x:v>
      </x:c>
      <x:c r="I3672" s="2" t="n">
        <x:v>5</x:v>
      </x:c>
      <x:c r="J3672" s="2" t="n">
        <x:v>3</x:v>
      </x:c>
      <x:c r="K3672" s="2" t="n">
        <x:v>3</x:v>
      </x:c>
      <x:c r="L3672" s="2" t="str">
        <x:v>Loyal</x:v>
      </x:c>
    </x:row>
    <x:row r="3673" ht="22" customHeight="1">
      <x:c r="A3673" s="2"/>
      <x:c r="B3673" s="2" t="str">
        <x:v>16016</x:v>
      </x:c>
      <x:c r="C3673" s="2" t="str">
        <x:v>United Kingdom</x:v>
      </x:c>
      <x:c r="D3673" s="25" t="n">
        <x:v>40484.35208333333</x:v>
      </x:c>
      <x:c r="E3673" s="25" t="n">
        <x:v>40883.399305555555</x:v>
      </x:c>
      <x:c r="F3673" s="2" t="n">
        <x:v>4</x:v>
      </x:c>
      <x:c r="G3673" s="2" t="n">
        <x:v>11</x:v>
      </x:c>
      <x:c r="H3673" s="11" t="n">
        <x:v>2151.67</x:v>
      </x:c>
      <x:c r="I3673" s="2" t="n">
        <x:v>5</x:v>
      </x:c>
      <x:c r="J3673" s="2" t="n">
        <x:v>5</x:v>
      </x:c>
      <x:c r="K3673" s="2" t="n">
        <x:v>4</x:v>
      </x:c>
      <x:c r="L3673" s="2" t="str">
        <x:v>Champions</x:v>
      </x:c>
    </x:row>
    <x:row r="3674" ht="22" customHeight="1">
      <x:c r="A3674" s="2"/>
      <x:c r="B3674" s="2" t="str">
        <x:v>16017</x:v>
      </x:c>
      <x:c r="C3674" s="2" t="str">
        <x:v>United Kingdom</x:v>
      </x:c>
      <x:c r="D3674" s="25" t="n">
        <x:v>40183.29583333333</x:v>
      </x:c>
      <x:c r="E3674" s="25" t="n">
        <x:v>40839.330555555556</x:v>
      </x:c>
      <x:c r="F3674" s="2" t="n">
        <x:v>48</x:v>
      </x:c>
      <x:c r="G3674" s="2" t="n">
        <x:v>5</x:v>
      </x:c>
      <x:c r="H3674" s="11" t="n">
        <x:v>1553.83</x:v>
      </x:c>
      <x:c r="I3674" s="2" t="n">
        <x:v>4</x:v>
      </x:c>
      <x:c r="J3674" s="2" t="n">
        <x:v>4</x:v>
      </x:c>
      <x:c r="K3674" s="2" t="n">
        <x:v>4</x:v>
      </x:c>
      <x:c r="L3674" s="2" t="str">
        <x:v>Champions</x:v>
      </x:c>
    </x:row>
    <x:row r="3675" ht="22" customHeight="1">
      <x:c r="A3675" s="2"/>
      <x:c r="B3675" s="2" t="str">
        <x:v>16018</x:v>
      </x:c>
      <x:c r="C3675" s="2" t="str">
        <x:v>United Kingdom</x:v>
      </x:c>
      <x:c r="D3675" s="25" t="n">
        <x:v>40154.37291666667</x:v>
      </x:c>
      <x:c r="E3675" s="25" t="n">
        <x:v>40847.38402777778</x:v>
      </x:c>
      <x:c r="F3675" s="2" t="n">
        <x:v>40</x:v>
      </x:c>
      <x:c r="G3675" s="2" t="n">
        <x:v>4</x:v>
      </x:c>
      <x:c r="H3675" s="11" t="n">
        <x:v>698.13</x:v>
      </x:c>
      <x:c r="I3675" s="2" t="n">
        <x:v>4</x:v>
      </x:c>
      <x:c r="J3675" s="2" t="n">
        <x:v>3</x:v>
      </x:c>
      <x:c r="K3675" s="2" t="n">
        <x:v>3</x:v>
      </x:c>
      <x:c r="L3675" s="2" t="str">
        <x:v>Loyal</x:v>
      </x:c>
    </x:row>
    <x:row r="3676" ht="22" customHeight="1">
      <x:c r="A3676" s="2"/>
      <x:c r="B3676" s="2" t="str">
        <x:v>16019</x:v>
      </x:c>
      <x:c r="C3676" s="2" t="str">
        <x:v>United Kingdom</x:v>
      </x:c>
      <x:c r="D3676" s="25" t="n">
        <x:v>40161.38333333333</x:v>
      </x:c>
      <x:c r="E3676" s="25" t="n">
        <x:v>40840.285416666666</x:v>
      </x:c>
      <x:c r="F3676" s="2" t="n">
        <x:v>47</x:v>
      </x:c>
      <x:c r="G3676" s="2" t="n">
        <x:v>27</x:v>
      </x:c>
      <x:c r="H3676" s="11" t="n">
        <x:v>17465.85</x:v>
      </x:c>
      <x:c r="I3676" s="2" t="n">
        <x:v>4</x:v>
      </x:c>
      <x:c r="J3676" s="2" t="n">
        <x:v>5</x:v>
      </x:c>
      <x:c r="K3676" s="2" t="n">
        <x:v>5</x:v>
      </x:c>
      <x:c r="L3676" s="2" t="str">
        <x:v>Champions</x:v>
      </x:c>
    </x:row>
    <x:row r="3677" ht="22" customHeight="1">
      <x:c r="A3677" s="2"/>
      <x:c r="B3677" s="2" t="str">
        <x:v>16020</x:v>
      </x:c>
      <x:c r="C3677" s="2" t="str">
        <x:v>United Kingdom</x:v>
      </x:c>
      <x:c r="D3677" s="25" t="n">
        <x:v>40821.370833333334</x:v>
      </x:c>
      <x:c r="E3677" s="25" t="n">
        <x:v>40870.2625</x:v>
      </x:c>
      <x:c r="F3677" s="2" t="n">
        <x:v>17</x:v>
      </x:c>
      <x:c r="G3677" s="2" t="n">
        <x:v>3</x:v>
      </x:c>
      <x:c r="H3677" s="11" t="n">
        <x:v>851.01</x:v>
      </x:c>
      <x:c r="I3677" s="2" t="n">
        <x:v>5</x:v>
      </x:c>
      <x:c r="J3677" s="2" t="n">
        <x:v>3</x:v>
      </x:c>
      <x:c r="K3677" s="2" t="n">
        <x:v>3</x:v>
      </x:c>
      <x:c r="L3677" s="2" t="str">
        <x:v>Loyal</x:v>
      </x:c>
    </x:row>
    <x:row r="3678" ht="22" customHeight="1">
      <x:c r="A3678" s="2"/>
      <x:c r="B3678" s="2" t="str">
        <x:v>16021</x:v>
      </x:c>
      <x:c r="C3678" s="2" t="str">
        <x:v>United Kingdom</x:v>
      </x:c>
      <x:c r="D3678" s="25" t="n">
        <x:v>40342.25347222222</x:v>
      </x:c>
      <x:c r="E3678" s="25" t="n">
        <x:v>40491.40833333333</x:v>
      </x:c>
      <x:c r="F3678" s="2" t="n">
        <x:v>396</x:v>
      </x:c>
      <x:c r="G3678" s="2" t="n">
        <x:v>2</x:v>
      </x:c>
      <x:c r="H3678" s="11" t="n">
        <x:v>532.25</x:v>
      </x:c>
      <x:c r="I3678" s="2" t="n">
        <x:v>2</x:v>
      </x:c>
      <x:c r="J3678" s="2" t="n">
        <x:v>2</x:v>
      </x:c>
      <x:c r="K3678" s="2" t="n">
        <x:v>2</x:v>
      </x:c>
      <x:c r="L3678" s="2" t="str">
        <x:v>Hibernating</x:v>
      </x:c>
    </x:row>
    <x:row r="3679" ht="22" customHeight="1">
      <x:c r="A3679" s="2"/>
      <x:c r="B3679" s="2" t="str">
        <x:v>16022</x:v>
      </x:c>
      <x:c r="C3679" s="2" t="str">
        <x:v>United Kingdom</x:v>
      </x:c>
      <x:c r="D3679" s="25" t="n">
        <x:v>40626.34444444445</x:v>
      </x:c>
      <x:c r="E3679" s="25" t="n">
        <x:v>40626.34444444445</x:v>
      </x:c>
      <x:c r="F3679" s="2" t="n">
        <x:v>261</x:v>
      </x:c>
      <x:c r="G3679" s="2" t="n">
        <x:v>1</x:v>
      </x:c>
      <x:c r="H3679" s="11" t="n">
        <x:v>628.28</x:v>
      </x:c>
      <x:c r="I3679" s="2" t="n">
        <x:v>2</x:v>
      </x:c>
      <x:c r="J3679" s="2" t="n">
        <x:v>1</x:v>
      </x:c>
      <x:c r="K3679" s="2" t="n">
        <x:v>3</x:v>
      </x:c>
      <x:c r="L3679" s="2" t="str">
        <x:v>Hibernating</x:v>
      </x:c>
    </x:row>
    <x:row r="3680" ht="22" customHeight="1">
      <x:c r="A3680" s="2"/>
      <x:c r="B3680" s="2" t="str">
        <x:v>16023</x:v>
      </x:c>
      <x:c r="C3680" s="2" t="str">
        <x:v>United Kingdom</x:v>
      </x:c>
      <x:c r="D3680" s="25" t="n">
        <x:v>40620.35555555556</x:v>
      </x:c>
      <x:c r="E3680" s="25" t="n">
        <x:v>40840.481944444444</x:v>
      </x:c>
      <x:c r="F3680" s="2" t="n">
        <x:v>47</x:v>
      </x:c>
      <x:c r="G3680" s="2" t="n">
        <x:v>3</x:v>
      </x:c>
      <x:c r="H3680" s="11" t="n">
        <x:v>719.81</x:v>
      </x:c>
      <x:c r="I3680" s="2" t="n">
        <x:v>4</x:v>
      </x:c>
      <x:c r="J3680" s="2" t="n">
        <x:v>3</x:v>
      </x:c>
      <x:c r="K3680" s="2" t="n">
        <x:v>3</x:v>
      </x:c>
      <x:c r="L3680" s="2" t="str">
        <x:v>Loyal</x:v>
      </x:c>
    </x:row>
    <x:row r="3681" ht="22" customHeight="1">
      <x:c r="A3681" s="2"/>
      <x:c r="B3681" s="2" t="str">
        <x:v>16024</x:v>
      </x:c>
      <x:c r="C3681" s="2" t="str">
        <x:v>United Kingdom</x:v>
      </x:c>
      <x:c r="D3681" s="25" t="n">
        <x:v>40475.27777777778</x:v>
      </x:c>
      <x:c r="E3681" s="25" t="n">
        <x:v>40874.35138888889</x:v>
      </x:c>
      <x:c r="F3681" s="2" t="n">
        <x:v>13</x:v>
      </x:c>
      <x:c r="G3681" s="2" t="n">
        <x:v>3</x:v>
      </x:c>
      <x:c r="H3681" s="11" t="n">
        <x:v>484.2</x:v>
      </x:c>
      <x:c r="I3681" s="2" t="n">
        <x:v>5</x:v>
      </x:c>
      <x:c r="J3681" s="2" t="n">
        <x:v>3</x:v>
      </x:c>
      <x:c r="K3681" s="2" t="n">
        <x:v>2</x:v>
      </x:c>
      <x:c r="L3681" s="2" t="str">
        <x:v>Loyal</x:v>
      </x:c>
    </x:row>
    <x:row r="3682" ht="22" customHeight="1">
      <x:c r="A3682" s="2"/>
      <x:c r="B3682" s="2" t="str">
        <x:v>16025</x:v>
      </x:c>
      <x:c r="C3682" s="2" t="str">
        <x:v>United Kingdom</x:v>
      </x:c>
      <x:c r="D3682" s="25" t="n">
        <x:v>40857.28125</x:v>
      </x:c>
      <x:c r="E3682" s="25" t="n">
        <x:v>40857.28125</x:v>
      </x:c>
      <x:c r="F3682" s="2" t="n">
        <x:v>30</x:v>
      </x:c>
      <x:c r="G3682" s="2" t="n">
        <x:v>1</x:v>
      </x:c>
      <x:c r="H3682" s="11" t="n">
        <x:v>439.66</x:v>
      </x:c>
      <x:c r="I3682" s="2" t="n">
        <x:v>4</x:v>
      </x:c>
      <x:c r="J3682" s="2" t="n">
        <x:v>1</x:v>
      </x:c>
      <x:c r="K3682" s="2" t="n">
        <x:v>2</x:v>
      </x:c>
      <x:c r="L3682" s="2" t="str">
        <x:v>Recent light buyers</x:v>
      </x:c>
    </x:row>
    <x:row r="3683" ht="22" customHeight="1">
      <x:c r="A3683" s="2"/>
      <x:c r="B3683" s="2" t="str">
        <x:v>16026</x:v>
      </x:c>
      <x:c r="C3683" s="2" t="str">
        <x:v>United Kingdom</x:v>
      </x:c>
      <x:c r="D3683" s="25" t="n">
        <x:v>40843.37013888889</x:v>
      </x:c>
      <x:c r="E3683" s="25" t="n">
        <x:v>40843.37013888889</x:v>
      </x:c>
      <x:c r="F3683" s="2" t="n">
        <x:v>44</x:v>
      </x:c>
      <x:c r="G3683" s="2" t="n">
        <x:v>1</x:v>
      </x:c>
      <x:c r="H3683" s="11" t="n">
        <x:v>236.09</x:v>
      </x:c>
      <x:c r="I3683" s="2" t="n">
        <x:v>4</x:v>
      </x:c>
      <x:c r="J3683" s="2" t="n">
        <x:v>1</x:v>
      </x:c>
      <x:c r="K3683" s="2" t="n">
        <x:v>1</x:v>
      </x:c>
      <x:c r="L3683" s="2" t="str">
        <x:v>Recent light buyers</x:v>
      </x:c>
    </x:row>
    <x:row r="3684" ht="22" customHeight="1">
      <x:c r="A3684" s="2"/>
      <x:c r="B3684" s="2" t="str">
        <x:v>16027</x:v>
      </x:c>
      <x:c r="C3684" s="2" t="str">
        <x:v>United Kingdom</x:v>
      </x:c>
      <x:c r="D3684" s="25" t="n">
        <x:v>40186.347916666666</x:v>
      </x:c>
      <x:c r="E3684" s="25" t="n">
        <x:v>40795.24097222222</x:v>
      </x:c>
      <x:c r="F3684" s="2" t="n">
        <x:v>92</x:v>
      </x:c>
      <x:c r="G3684" s="2" t="n">
        <x:v>15</x:v>
      </x:c>
      <x:c r="H3684" s="11" t="n">
        <x:v>2048.36</x:v>
      </x:c>
      <x:c r="I3684" s="2" t="n">
        <x:v>3</x:v>
      </x:c>
      <x:c r="J3684" s="2" t="n">
        <x:v>5</x:v>
      </x:c>
      <x:c r="K3684" s="2" t="n">
        <x:v>4</x:v>
      </x:c>
      <x:c r="L3684" s="2" t="str">
        <x:v>Loyal</x:v>
      </x:c>
    </x:row>
    <x:row r="3685" ht="22" customHeight="1">
      <x:c r="A3685" s="2"/>
      <x:c r="B3685" s="2" t="str">
        <x:v>16028</x:v>
      </x:c>
      <x:c r="C3685" s="2" t="str">
        <x:v>United Kingdom</x:v>
      </x:c>
      <x:c r="D3685" s="25" t="n">
        <x:v>40291.28125</x:v>
      </x:c>
      <x:c r="E3685" s="25" t="n">
        <x:v>40291.28125</x:v>
      </x:c>
      <x:c r="F3685" s="2" t="n">
        <x:v>596</x:v>
      </x:c>
      <x:c r="G3685" s="2" t="n">
        <x:v>1</x:v>
      </x:c>
      <x:c r="H3685" s="11" t="n">
        <x:v>82.2</x:v>
      </x:c>
      <x:c r="I3685" s="2" t="n">
        <x:v>1</x:v>
      </x:c>
      <x:c r="J3685" s="2" t="n">
        <x:v>1</x:v>
      </x:c>
      <x:c r="K3685" s="2" t="n">
        <x:v>1</x:v>
      </x:c>
      <x:c r="L3685" s="2" t="str">
        <x:v>Hibernating</x:v>
      </x:c>
    </x:row>
    <x:row r="3686" ht="22" customHeight="1">
      <x:c r="A3686" s="2"/>
      <x:c r="B3686" s="2" t="str">
        <x:v>16029</x:v>
      </x:c>
      <x:c r="C3686" s="2" t="str">
        <x:v>United Kingdom</x:v>
      </x:c>
      <x:c r="D3686" s="25" t="n">
        <x:v>40155.26597222222</x:v>
      </x:c>
      <x:c r="E3686" s="25" t="n">
        <x:v>40848.22708333333</x:v>
      </x:c>
      <x:c r="F3686" s="2" t="n">
        <x:v>39</x:v>
      </x:c>
      <x:c r="G3686" s="2" t="n">
        <x:v>107</x:v>
      </x:c>
      <x:c r="H3686" s="11" t="n">
        <x:v>117937.62</x:v>
      </x:c>
      <x:c r="I3686" s="2" t="n">
        <x:v>4</x:v>
      </x:c>
      <x:c r="J3686" s="2" t="n">
        <x:v>5</x:v>
      </x:c>
      <x:c r="K3686" s="2" t="n">
        <x:v>5</x:v>
      </x:c>
      <x:c r="L3686" s="2" t="str">
        <x:v>Champions</x:v>
      </x:c>
    </x:row>
    <x:row r="3687" ht="22" customHeight="1">
      <x:c r="A3687" s="2"/>
      <x:c r="B3687" s="2" t="str">
        <x:v>16030</x:v>
      </x:c>
      <x:c r="C3687" s="2" t="str">
        <x:v>United Kingdom</x:v>
      </x:c>
      <x:c r="D3687" s="25" t="n">
        <x:v>40577.26944444444</x:v>
      </x:c>
      <x:c r="E3687" s="25" t="n">
        <x:v>40577.26944444444</x:v>
      </x:c>
      <x:c r="F3687" s="2" t="n">
        <x:v>310</x:v>
      </x:c>
      <x:c r="G3687" s="2" t="n">
        <x:v>1</x:v>
      </x:c>
      <x:c r="H3687" s="11" t="n">
        <x:v>331.24</x:v>
      </x:c>
      <x:c r="I3687" s="2" t="n">
        <x:v>2</x:v>
      </x:c>
      <x:c r="J3687" s="2" t="n">
        <x:v>1</x:v>
      </x:c>
      <x:c r="K3687" s="2" t="n">
        <x:v>2</x:v>
      </x:c>
      <x:c r="L3687" s="2" t="str">
        <x:v>Hibernating</x:v>
      </x:c>
    </x:row>
    <x:row r="3688" ht="22" customHeight="1">
      <x:c r="A3688" s="2"/>
      <x:c r="B3688" s="2" t="str">
        <x:v>16031</x:v>
      </x:c>
      <x:c r="C3688" s="2" t="str">
        <x:v>United Kingdom</x:v>
      </x:c>
      <x:c r="D3688" s="25" t="n">
        <x:v>40639.39097222222</x:v>
      </x:c>
      <x:c r="E3688" s="25" t="n">
        <x:v>40794.33819444444</x:v>
      </x:c>
      <x:c r="F3688" s="2" t="n">
        <x:v>93</x:v>
      </x:c>
      <x:c r="G3688" s="2" t="n">
        <x:v>2</x:v>
      </x:c>
      <x:c r="H3688" s="11" t="n">
        <x:v>548.94</x:v>
      </x:c>
      <x:c r="I3688" s="2" t="n">
        <x:v>3</x:v>
      </x:c>
      <x:c r="J3688" s="2" t="n">
        <x:v>2</x:v>
      </x:c>
      <x:c r="K3688" s="2" t="n">
        <x:v>2</x:v>
      </x:c>
      <x:c r="L3688" s="2" t="str">
        <x:v>Developing</x:v>
      </x:c>
    </x:row>
    <x:row r="3689" ht="22" customHeight="1">
      <x:c r="A3689" s="2"/>
      <x:c r="B3689" s="2" t="str">
        <x:v>16032</x:v>
      </x:c>
      <x:c r="C3689" s="2" t="str">
        <x:v>United Kingdom</x:v>
      </x:c>
      <x:c r="D3689" s="25" t="n">
        <x:v>40363.35486111111</x:v>
      </x:c>
      <x:c r="E3689" s="25" t="n">
        <x:v>40430.541666666664</x:v>
      </x:c>
      <x:c r="F3689" s="2" t="n">
        <x:v>457</x:v>
      </x:c>
      <x:c r="G3689" s="2" t="n">
        <x:v>6</x:v>
      </x:c>
      <x:c r="H3689" s="11" t="n">
        <x:v>1970.45</x:v>
      </x:c>
      <x:c r="I3689" s="2" t="n">
        <x:v>1</x:v>
      </x:c>
      <x:c r="J3689" s="2" t="n">
        <x:v>4</x:v>
      </x:c>
      <x:c r="K3689" s="2" t="n">
        <x:v>4</x:v>
      </x:c>
      <x:c r="L3689" s="2" t="str">
        <x:v>At risk</x:v>
      </x:c>
    </x:row>
    <x:row r="3690" ht="22" customHeight="1">
      <x:c r="A3690" s="2"/>
      <x:c r="B3690" s="2" t="str">
        <x:v>16033</x:v>
      </x:c>
      <x:c r="C3690" s="2" t="str">
        <x:v>United Kingdom</x:v>
      </x:c>
      <x:c r="D3690" s="25" t="n">
        <x:v>40401.48888888889</x:v>
      </x:c>
      <x:c r="E3690" s="25" t="n">
        <x:v>40881.322222222225</x:v>
      </x:c>
      <x:c r="F3690" s="2" t="n">
        <x:v>6</x:v>
      </x:c>
      <x:c r="G3690" s="2" t="n">
        <x:v>27</x:v>
      </x:c>
      <x:c r="H3690" s="11" t="n">
        <x:v>10680.49</x:v>
      </x:c>
      <x:c r="I3690" s="2" t="n">
        <x:v>5</x:v>
      </x:c>
      <x:c r="J3690" s="2" t="n">
        <x:v>5</x:v>
      </x:c>
      <x:c r="K3690" s="2" t="n">
        <x:v>5</x:v>
      </x:c>
      <x:c r="L3690" s="2" t="str">
        <x:v>Champions</x:v>
      </x:c>
    </x:row>
    <x:row r="3691" ht="22" customHeight="1">
      <x:c r="A3691" s="2"/>
      <x:c r="B3691" s="2" t="str">
        <x:v>16034</x:v>
      </x:c>
      <x:c r="C3691" s="2" t="str">
        <x:v>United Kingdom</x:v>
      </x:c>
      <x:c r="D3691" s="25" t="n">
        <x:v>40477.333333333336</x:v>
      </x:c>
      <x:c r="E3691" s="25" t="n">
        <x:v>40690.470138888886</x:v>
      </x:c>
      <x:c r="F3691" s="2" t="n">
        <x:v>197</x:v>
      </x:c>
      <x:c r="G3691" s="2" t="n">
        <x:v>6</x:v>
      </x:c>
      <x:c r="H3691" s="11" t="n">
        <x:v>928.72</x:v>
      </x:c>
      <x:c r="I3691" s="2" t="n">
        <x:v>2</x:v>
      </x:c>
      <x:c r="J3691" s="2" t="n">
        <x:v>4</x:v>
      </x:c>
      <x:c r="K3691" s="2" t="n">
        <x:v>3</x:v>
      </x:c>
      <x:c r="L3691" s="2" t="str">
        <x:v>At risk</x:v>
      </x:c>
    </x:row>
    <x:row r="3692" ht="22" customHeight="1">
      <x:c r="A3692" s="2"/>
      <x:c r="B3692" s="2" t="str">
        <x:v>16035</x:v>
      </x:c>
      <x:c r="C3692" s="2" t="str">
        <x:v>United Kingdom</x:v>
      </x:c>
      <x:c r="D3692" s="25" t="n">
        <x:v>40326.42291666667</x:v>
      </x:c>
      <x:c r="E3692" s="25" t="n">
        <x:v>40326.42291666667</x:v>
      </x:c>
      <x:c r="F3692" s="2" t="n">
        <x:v>561</x:v>
      </x:c>
      <x:c r="G3692" s="2" t="n">
        <x:v>1</x:v>
      </x:c>
      <x:c r="H3692" s="11" t="n">
        <x:v>217.73</x:v>
      </x:c>
      <x:c r="I3692" s="2" t="n">
        <x:v>1</x:v>
      </x:c>
      <x:c r="J3692" s="2" t="n">
        <x:v>1</x:v>
      </x:c>
      <x:c r="K3692" s="2" t="n">
        <x:v>1</x:v>
      </x:c>
      <x:c r="L3692" s="2" t="str">
        <x:v>Hibernating</x:v>
      </x:c>
    </x:row>
    <x:row r="3693" ht="22" customHeight="1">
      <x:c r="A3693" s="2"/>
      <x:c r="B3693" s="2" t="str">
        <x:v>16036</x:v>
      </x:c>
      <x:c r="C3693" s="2" t="str">
        <x:v>United Kingdom</x:v>
      </x:c>
      <x:c r="D3693" s="25" t="n">
        <x:v>40266.407638888886</x:v>
      </x:c>
      <x:c r="E3693" s="25" t="n">
        <x:v>40799.41180555556</x:v>
      </x:c>
      <x:c r="F3693" s="2" t="n">
        <x:v>88</x:v>
      </x:c>
      <x:c r="G3693" s="2" t="n">
        <x:v>4</x:v>
      </x:c>
      <x:c r="H3693" s="11" t="n">
        <x:v>2556.84</x:v>
      </x:c>
      <x:c r="I3693" s="2" t="n">
        <x:v>3</x:v>
      </x:c>
      <x:c r="J3693" s="2" t="n">
        <x:v>3</x:v>
      </x:c>
      <x:c r="K3693" s="2" t="n">
        <x:v>4</x:v>
      </x:c>
      <x:c r="L3693" s="2" t="str">
        <x:v>Loyal</x:v>
      </x:c>
    </x:row>
    <x:row r="3694" ht="22" customHeight="1">
      <x:c r="A3694" s="2"/>
      <x:c r="B3694" s="2" t="str">
        <x:v>16037</x:v>
      </x:c>
      <x:c r="C3694" s="2" t="str">
        <x:v>United Kingdom</x:v>
      </x:c>
      <x:c r="D3694" s="25" t="n">
        <x:v>40238.31319444445</x:v>
      </x:c>
      <x:c r="E3694" s="25" t="n">
        <x:v>40617.17569444444</x:v>
      </x:c>
      <x:c r="F3694" s="2" t="n">
        <x:v>270</x:v>
      </x:c>
      <x:c r="G3694" s="2" t="n">
        <x:v>5</x:v>
      </x:c>
      <x:c r="H3694" s="11" t="n">
        <x:v>1509.34</x:v>
      </x:c>
      <x:c r="I3694" s="2" t="n">
        <x:v>2</x:v>
      </x:c>
      <x:c r="J3694" s="2" t="n">
        <x:v>4</x:v>
      </x:c>
      <x:c r="K3694" s="2" t="n">
        <x:v>4</x:v>
      </x:c>
      <x:c r="L3694" s="2" t="str">
        <x:v>At risk</x:v>
      </x:c>
    </x:row>
    <x:row r="3695" ht="22" customHeight="1">
      <x:c r="A3695" s="2"/>
      <x:c r="B3695" s="2" t="str">
        <x:v>16038</x:v>
      </x:c>
      <x:c r="C3695" s="2" t="str">
        <x:v>United Kingdom</x:v>
      </x:c>
      <x:c r="D3695" s="25" t="n">
        <x:v>40685.27013888889</x:v>
      </x:c>
      <x:c r="E3695" s="25" t="n">
        <x:v>40879.319444444445</x:v>
      </x:c>
      <x:c r="F3695" s="2" t="n">
        <x:v>8</x:v>
      </x:c>
      <x:c r="G3695" s="2" t="n">
        <x:v>3</x:v>
      </x:c>
      <x:c r="H3695" s="11" t="n">
        <x:v>471.78</x:v>
      </x:c>
      <x:c r="I3695" s="2" t="n">
        <x:v>5</x:v>
      </x:c>
      <x:c r="J3695" s="2" t="n">
        <x:v>3</x:v>
      </x:c>
      <x:c r="K3695" s="2" t="n">
        <x:v>2</x:v>
      </x:c>
      <x:c r="L3695" s="2" t="str">
        <x:v>Loyal</x:v>
      </x:c>
    </x:row>
    <x:row r="3696" ht="22" customHeight="1">
      <x:c r="A3696" s="2"/>
      <x:c r="B3696" s="2" t="str">
        <x:v>16039</x:v>
      </x:c>
      <x:c r="C3696" s="2" t="str">
        <x:v>United Kingdom</x:v>
      </x:c>
      <x:c r="D3696" s="25" t="n">
        <x:v>40258.42847222222</x:v>
      </x:c>
      <x:c r="E3696" s="25" t="n">
        <x:v>40463.23888888889</x:v>
      </x:c>
      <x:c r="F3696" s="2" t="n">
        <x:v>424</x:v>
      </x:c>
      <x:c r="G3696" s="2" t="n">
        <x:v>2</x:v>
      </x:c>
      <x:c r="H3696" s="11" t="n">
        <x:v>456.4</x:v>
      </x:c>
      <x:c r="I3696" s="2" t="n">
        <x:v>1</x:v>
      </x:c>
      <x:c r="J3696" s="2" t="n">
        <x:v>2</x:v>
      </x:c>
      <x:c r="K3696" s="2" t="n">
        <x:v>2</x:v>
      </x:c>
      <x:c r="L3696" s="2" t="str">
        <x:v>Hibernating</x:v>
      </x:c>
    </x:row>
    <x:row r="3697" ht="22" customHeight="1">
      <x:c r="A3697" s="2"/>
      <x:c r="B3697" s="2" t="str">
        <x:v>16040</x:v>
      </x:c>
      <x:c r="C3697" s="2" t="str">
        <x:v>United Kingdom</x:v>
      </x:c>
      <x:c r="D3697" s="25" t="n">
        <x:v>40277.21666666667</x:v>
      </x:c>
      <x:c r="E3697" s="25" t="n">
        <x:v>40821.36597222222</x:v>
      </x:c>
      <x:c r="F3697" s="2" t="n">
        <x:v>66</x:v>
      </x:c>
      <x:c r="G3697" s="2" t="n">
        <x:v>7</x:v>
      </x:c>
      <x:c r="H3697" s="11" t="n">
        <x:v>2416.9</x:v>
      </x:c>
      <x:c r="I3697" s="2" t="n">
        <x:v>3</x:v>
      </x:c>
      <x:c r="J3697" s="2" t="n">
        <x:v>4</x:v>
      </x:c>
      <x:c r="K3697" s="2" t="n">
        <x:v>4</x:v>
      </x:c>
      <x:c r="L3697" s="2" t="str">
        <x:v>Loyal</x:v>
      </x:c>
    </x:row>
    <x:row r="3698" ht="22" customHeight="1">
      <x:c r="A3698" s="2"/>
      <x:c r="B3698" s="2" t="str">
        <x:v>16041</x:v>
      </x:c>
      <x:c r="C3698" s="2" t="str">
        <x:v>United Kingdom</x:v>
      </x:c>
      <x:c r="D3698" s="25" t="n">
        <x:v>40745.47708333333</x:v>
      </x:c>
      <x:c r="E3698" s="25" t="n">
        <x:v>40856.30902777778</x:v>
      </x:c>
      <x:c r="F3698" s="2" t="n">
        <x:v>31</x:v>
      </x:c>
      <x:c r="G3698" s="2" t="n">
        <x:v>3</x:v>
      </x:c>
      <x:c r="H3698" s="11" t="n">
        <x:v>3166.4</x:v>
      </x:c>
      <x:c r="I3698" s="2" t="n">
        <x:v>4</x:v>
      </x:c>
      <x:c r="J3698" s="2" t="n">
        <x:v>3</x:v>
      </x:c>
      <x:c r="K3698" s="2" t="n">
        <x:v>5</x:v>
      </x:c>
      <x:c r="L3698" s="2" t="str">
        <x:v>Loyal</x:v>
      </x:c>
    </x:row>
    <x:row r="3699" ht="22" customHeight="1">
      <x:c r="A3699" s="2"/>
      <x:c r="B3699" s="2" t="str">
        <x:v>16042</x:v>
      </x:c>
      <x:c r="C3699" s="2" t="str">
        <x:v>United Kingdom</x:v>
      </x:c>
      <x:c r="D3699" s="25" t="n">
        <x:v>40433.291666666664</x:v>
      </x:c>
      <x:c r="E3699" s="25" t="n">
        <x:v>40864.53472222222</x:v>
      </x:c>
      <x:c r="F3699" s="2" t="n">
        <x:v>23</x:v>
      </x:c>
      <x:c r="G3699" s="2" t="n">
        <x:v>8</x:v>
      </x:c>
      <x:c r="H3699" s="11" t="n">
        <x:v>2265.12</x:v>
      </x:c>
      <x:c r="I3699" s="2" t="n">
        <x:v>4</x:v>
      </x:c>
      <x:c r="J3699" s="2" t="n">
        <x:v>4</x:v>
      </x:c>
      <x:c r="K3699" s="2" t="n">
        <x:v>4</x:v>
      </x:c>
      <x:c r="L3699" s="2" t="str">
        <x:v>Champions</x:v>
      </x:c>
    </x:row>
    <x:row r="3700" ht="22" customHeight="1">
      <x:c r="A3700" s="2"/>
      <x:c r="B3700" s="2" t="str">
        <x:v>16043</x:v>
      </x:c>
      <x:c r="C3700" s="2" t="str">
        <x:v>United Kingdom</x:v>
      </x:c>
      <x:c r="D3700" s="25" t="n">
        <x:v>40405.268055555556</x:v>
      </x:c>
      <x:c r="E3700" s="25" t="n">
        <x:v>40849.32638888889</x:v>
      </x:c>
      <x:c r="F3700" s="2" t="n">
        <x:v>38</x:v>
      </x:c>
      <x:c r="G3700" s="2" t="n">
        <x:v>8</x:v>
      </x:c>
      <x:c r="H3700" s="11" t="n">
        <x:v>1856.59</x:v>
      </x:c>
      <x:c r="I3700" s="2" t="n">
        <x:v>4</x:v>
      </x:c>
      <x:c r="J3700" s="2" t="n">
        <x:v>4</x:v>
      </x:c>
      <x:c r="K3700" s="2" t="n">
        <x:v>4</x:v>
      </x:c>
      <x:c r="L3700" s="2" t="str">
        <x:v>Champions</x:v>
      </x:c>
    </x:row>
    <x:row r="3701" ht="22" customHeight="1">
      <x:c r="A3701" s="2"/>
      <x:c r="B3701" s="2" t="str">
        <x:v>16044</x:v>
      </x:c>
      <x:c r="C3701" s="2" t="str">
        <x:v>United Kingdom</x:v>
      </x:c>
      <x:c r="D3701" s="25" t="n">
        <x:v>40451.55</x:v>
      </x:c>
      <x:c r="E3701" s="25" t="n">
        <x:v>40451.55</x:v>
      </x:c>
      <x:c r="F3701" s="2" t="n">
        <x:v>436</x:v>
      </x:c>
      <x:c r="G3701" s="2" t="n">
        <x:v>1</x:v>
      </x:c>
      <x:c r="H3701" s="11" t="n">
        <x:v>340.84</x:v>
      </x:c>
      <x:c r="I3701" s="2" t="n">
        <x:v>1</x:v>
      </x:c>
      <x:c r="J3701" s="2" t="n">
        <x:v>1</x:v>
      </x:c>
      <x:c r="K3701" s="2" t="n">
        <x:v>2</x:v>
      </x:c>
      <x:c r="L3701" s="2" t="str">
        <x:v>Hibernating</x:v>
      </x:c>
    </x:row>
    <x:row r="3702" ht="22" customHeight="1">
      <x:c r="A3702" s="2"/>
      <x:c r="B3702" s="2" t="str">
        <x:v>16045</x:v>
      </x:c>
      <x:c r="C3702" s="2" t="str">
        <x:v>United Kingdom</x:v>
      </x:c>
      <x:c r="D3702" s="25" t="n">
        <x:v>40388.32638888889</x:v>
      </x:c>
      <x:c r="E3702" s="25" t="n">
        <x:v>40767.32013888889</x:v>
      </x:c>
      <x:c r="F3702" s="2" t="n">
        <x:v>120</x:v>
      </x:c>
      <x:c r="G3702" s="2" t="n">
        <x:v>8</x:v>
      </x:c>
      <x:c r="H3702" s="11" t="n">
        <x:v>3434.93</x:v>
      </x:c>
      <x:c r="I3702" s="2" t="n">
        <x:v>3</x:v>
      </x:c>
      <x:c r="J3702" s="2" t="n">
        <x:v>4</x:v>
      </x:c>
      <x:c r="K3702" s="2" t="n">
        <x:v>5</x:v>
      </x:c>
      <x:c r="L3702" s="2" t="str">
        <x:v>Loyal</x:v>
      </x:c>
    </x:row>
    <x:row r="3703" ht="22" customHeight="1">
      <x:c r="A3703" s="2"/>
      <x:c r="B3703" s="2" t="str">
        <x:v>16046</x:v>
      </x:c>
      <x:c r="C3703" s="2" t="str">
        <x:v>United Kingdom</x:v>
      </x:c>
      <x:c r="D3703" s="25" t="n">
        <x:v>40324.34583333333</x:v>
      </x:c>
      <x:c r="E3703" s="25" t="n">
        <x:v>40324.34583333333</x:v>
      </x:c>
      <x:c r="F3703" s="2" t="n">
        <x:v>563</x:v>
      </x:c>
      <x:c r="G3703" s="2" t="n">
        <x:v>1</x:v>
      </x:c>
      <x:c r="H3703" s="11" t="n">
        <x:v>235.78</x:v>
      </x:c>
      <x:c r="I3703" s="2" t="n">
        <x:v>1</x:v>
      </x:c>
      <x:c r="J3703" s="2" t="n">
        <x:v>1</x:v>
      </x:c>
      <x:c r="K3703" s="2" t="n">
        <x:v>1</x:v>
      </x:c>
      <x:c r="L3703" s="2" t="str">
        <x:v>Hibernating</x:v>
      </x:c>
    </x:row>
    <x:row r="3704" ht="22" customHeight="1">
      <x:c r="A3704" s="2"/>
      <x:c r="B3704" s="2" t="str">
        <x:v>16047</x:v>
      </x:c>
      <x:c r="C3704" s="2" t="str">
        <x:v>EIRE</x:v>
      </x:c>
      <x:c r="D3704" s="25" t="n">
        <x:v>40204.481944444444</x:v>
      </x:c>
      <x:c r="E3704" s="25" t="n">
        <x:v>40204.481944444444</x:v>
      </x:c>
      <x:c r="F3704" s="2" t="n">
        <x:v>683</x:v>
      </x:c>
      <x:c r="G3704" s="2" t="n">
        <x:v>1</x:v>
      </x:c>
      <x:c r="H3704" s="11" t="n">
        <x:v>107.14</x:v>
      </x:c>
      <x:c r="I3704" s="2" t="n">
        <x:v>1</x:v>
      </x:c>
      <x:c r="J3704" s="2" t="n">
        <x:v>1</x:v>
      </x:c>
      <x:c r="K3704" s="2" t="n">
        <x:v>1</x:v>
      </x:c>
      <x:c r="L3704" s="2" t="str">
        <x:v>Hibernating</x:v>
      </x:c>
    </x:row>
    <x:row r="3705" ht="22" customHeight="1">
      <x:c r="A3705" s="2"/>
      <x:c r="B3705" s="2" t="str">
        <x:v>16048</x:v>
      </x:c>
      <x:c r="C3705" s="2" t="str">
        <x:v>United Kingdom</x:v>
      </x:c>
      <x:c r="D3705" s="25" t="n">
        <x:v>40337.316666666666</x:v>
      </x:c>
      <x:c r="E3705" s="25" t="n">
        <x:v>40513.436111111114</x:v>
      </x:c>
      <x:c r="F3705" s="2" t="n">
        <x:v>374</x:v>
      </x:c>
      <x:c r="G3705" s="2" t="n">
        <x:v>4</x:v>
      </x:c>
      <x:c r="H3705" s="11" t="n">
        <x:v>818.79</x:v>
      </x:c>
      <x:c r="I3705" s="2" t="n">
        <x:v>2</x:v>
      </x:c>
      <x:c r="J3705" s="2" t="n">
        <x:v>3</x:v>
      </x:c>
      <x:c r="K3705" s="2" t="n">
        <x:v>3</x:v>
      </x:c>
      <x:c r="L3705" s="2" t="str">
        <x:v>At risk</x:v>
      </x:c>
    </x:row>
    <x:row r="3706" ht="22" customHeight="1">
      <x:c r="A3706" s="2"/>
      <x:c r="B3706" s="2" t="str">
        <x:v>16049</x:v>
      </x:c>
      <x:c r="C3706" s="2" t="str">
        <x:v>United Kingdom</x:v>
      </x:c>
      <x:c r="D3706" s="25" t="n">
        <x:v>40370.37013888889</x:v>
      </x:c>
      <x:c r="E3706" s="25" t="n">
        <x:v>40846.34652777778</x:v>
      </x:c>
      <x:c r="F3706" s="2" t="n">
        <x:v>41</x:v>
      </x:c>
      <x:c r="G3706" s="2" t="n">
        <x:v>6</x:v>
      </x:c>
      <x:c r="H3706" s="11" t="n">
        <x:v>1899.68</x:v>
      </x:c>
      <x:c r="I3706" s="2" t="n">
        <x:v>4</x:v>
      </x:c>
      <x:c r="J3706" s="2" t="n">
        <x:v>4</x:v>
      </x:c>
      <x:c r="K3706" s="2" t="n">
        <x:v>4</x:v>
      </x:c>
      <x:c r="L3706" s="2" t="str">
        <x:v>Champions</x:v>
      </x:c>
    </x:row>
    <x:row r="3707" ht="22" customHeight="1">
      <x:c r="A3707" s="2"/>
      <x:c r="B3707" s="2" t="str">
        <x:v>16050</x:v>
      </x:c>
      <x:c r="C3707" s="2" t="str">
        <x:v>United Kingdom</x:v>
      </x:c>
      <x:c r="D3707" s="25" t="n">
        <x:v>40485.45486111111</x:v>
      </x:c>
      <x:c r="E3707" s="25" t="n">
        <x:v>40713.28055555555</x:v>
      </x:c>
      <x:c r="F3707" s="2" t="n">
        <x:v>174</x:v>
      </x:c>
      <x:c r="G3707" s="2" t="n">
        <x:v>3</x:v>
      </x:c>
      <x:c r="H3707" s="11" t="n">
        <x:v>300.7</x:v>
      </x:c>
      <x:c r="I3707" s="2" t="n">
        <x:v>3</x:v>
      </x:c>
      <x:c r="J3707" s="2" t="n">
        <x:v>3</x:v>
      </x:c>
      <x:c r="K3707" s="2" t="n">
        <x:v>2</x:v>
      </x:c>
      <x:c r="L3707" s="2" t="str">
        <x:v>Loyal</x:v>
      </x:c>
    </x:row>
    <x:row r="3708" ht="22" customHeight="1">
      <x:c r="A3708" s="2"/>
      <x:c r="B3708" s="2" t="str">
        <x:v>16051</x:v>
      </x:c>
      <x:c r="C3708" s="2" t="str">
        <x:v>United Kingdom</x:v>
      </x:c>
      <x:c r="D3708" s="25" t="n">
        <x:v>40205.19305555556</x:v>
      </x:c>
      <x:c r="E3708" s="25" t="n">
        <x:v>40205.19305555556</x:v>
      </x:c>
      <x:c r="F3708" s="2" t="n">
        <x:v>682</x:v>
      </x:c>
      <x:c r="G3708" s="2" t="n">
        <x:v>1</x:v>
      </x:c>
      <x:c r="H3708" s="11" t="n">
        <x:v>188.44</x:v>
      </x:c>
      <x:c r="I3708" s="2" t="n">
        <x:v>1</x:v>
      </x:c>
      <x:c r="J3708" s="2" t="n">
        <x:v>1</x:v>
      </x:c>
      <x:c r="K3708" s="2" t="n">
        <x:v>1</x:v>
      </x:c>
      <x:c r="L3708" s="2" t="str">
        <x:v>Hibernating</x:v>
      </x:c>
    </x:row>
    <x:row r="3709" ht="22" customHeight="1">
      <x:c r="A3709" s="2"/>
      <x:c r="B3709" s="2" t="str">
        <x:v>16052</x:v>
      </x:c>
      <x:c r="C3709" s="2" t="str">
        <x:v>United Kingdom</x:v>
      </x:c>
      <x:c r="D3709" s="25" t="n">
        <x:v>40832.42569444444</x:v>
      </x:c>
      <x:c r="E3709" s="25" t="n">
        <x:v>40832.42569444444</x:v>
      </x:c>
      <x:c r="F3709" s="2" t="n">
        <x:v>55</x:v>
      </x:c>
      <x:c r="G3709" s="2" t="n">
        <x:v>1</x:v>
      </x:c>
      <x:c r="H3709" s="11" t="n">
        <x:v>362.06</x:v>
      </x:c>
      <x:c r="I3709" s="2" t="n">
        <x:v>4</x:v>
      </x:c>
      <x:c r="J3709" s="2" t="n">
        <x:v>1</x:v>
      </x:c>
      <x:c r="K3709" s="2" t="n">
        <x:v>2</x:v>
      </x:c>
      <x:c r="L3709" s="2" t="str">
        <x:v>Recent light buyers</x:v>
      </x:c>
    </x:row>
    <x:row r="3710" ht="22" customHeight="1">
      <x:c r="A3710" s="2"/>
      <x:c r="B3710" s="2" t="str">
        <x:v>16053</x:v>
      </x:c>
      <x:c r="C3710" s="2" t="str">
        <x:v>United Kingdom</x:v>
      </x:c>
      <x:c r="D3710" s="25" t="n">
        <x:v>40276.25763888889</x:v>
      </x:c>
      <x:c r="E3710" s="25" t="n">
        <x:v>40854.26458333333</x:v>
      </x:c>
      <x:c r="F3710" s="2" t="n">
        <x:v>33</x:v>
      </x:c>
      <x:c r="G3710" s="2" t="n">
        <x:v>6</x:v>
      </x:c>
      <x:c r="H3710" s="11" t="n">
        <x:v>3634.84</x:v>
      </x:c>
      <x:c r="I3710" s="2" t="n">
        <x:v>4</x:v>
      </x:c>
      <x:c r="J3710" s="2" t="n">
        <x:v>4</x:v>
      </x:c>
      <x:c r="K3710" s="2" t="n">
        <x:v>5</x:v>
      </x:c>
      <x:c r="L3710" s="2" t="str">
        <x:v>Champions</x:v>
      </x:c>
    </x:row>
    <x:row r="3711" ht="22" customHeight="1">
      <x:c r="A3711" s="2"/>
      <x:c r="B3711" s="2" t="str">
        <x:v>16054</x:v>
      </x:c>
      <x:c r="C3711" s="2" t="str">
        <x:v>United Kingdom</x:v>
      </x:c>
      <x:c r="D3711" s="25" t="n">
        <x:v>40269.56736111111</x:v>
      </x:c>
      <x:c r="E3711" s="25" t="n">
        <x:v>40741.33888888889</x:v>
      </x:c>
      <x:c r="F3711" s="2" t="n">
        <x:v>146</x:v>
      </x:c>
      <x:c r="G3711" s="2" t="n">
        <x:v>4</x:v>
      </x:c>
      <x:c r="H3711" s="11" t="n">
        <x:v>2111.88</x:v>
      </x:c>
      <x:c r="I3711" s="2" t="n">
        <x:v>3</x:v>
      </x:c>
      <x:c r="J3711" s="2" t="n">
        <x:v>3</x:v>
      </x:c>
      <x:c r="K3711" s="2" t="n">
        <x:v>4</x:v>
      </x:c>
      <x:c r="L3711" s="2" t="str">
        <x:v>Loyal</x:v>
      </x:c>
    </x:row>
    <x:row r="3712" ht="22" customHeight="1">
      <x:c r="A3712" s="2"/>
      <x:c r="B3712" s="2" t="str">
        <x:v>16055</x:v>
      </x:c>
      <x:c r="C3712" s="2" t="str">
        <x:v>United Kingdom</x:v>
      </x:c>
      <x:c r="D3712" s="25" t="n">
        <x:v>40666.18472222222</x:v>
      </x:c>
      <x:c r="E3712" s="25" t="n">
        <x:v>40666.18472222222</x:v>
      </x:c>
      <x:c r="F3712" s="2" t="n">
        <x:v>221</x:v>
      </x:c>
      <x:c r="G3712" s="2" t="n">
        <x:v>1</x:v>
      </x:c>
      <x:c r="H3712" s="11" t="n">
        <x:v>134.8</x:v>
      </x:c>
      <x:c r="I3712" s="2" t="n">
        <x:v>2</x:v>
      </x:c>
      <x:c r="J3712" s="2" t="n">
        <x:v>1</x:v>
      </x:c>
      <x:c r="K3712" s="2" t="n">
        <x:v>1</x:v>
      </x:c>
      <x:c r="L3712" s="2" t="str">
        <x:v>Hibernating</x:v>
      </x:c>
    </x:row>
    <x:row r="3713" ht="22" customHeight="1">
      <x:c r="A3713" s="2"/>
      <x:c r="B3713" s="2" t="str">
        <x:v>16056</x:v>
      </x:c>
      <x:c r="C3713" s="2" t="str">
        <x:v>United Kingdom</x:v>
      </x:c>
      <x:c r="D3713" s="25" t="n">
        <x:v>40841.42986111111</x:v>
      </x:c>
      <x:c r="E3713" s="25" t="n">
        <x:v>40841.42986111111</x:v>
      </x:c>
      <x:c r="F3713" s="2" t="n">
        <x:v>46</x:v>
      </x:c>
      <x:c r="G3713" s="2" t="n">
        <x:v>1</x:v>
      </x:c>
      <x:c r="H3713" s="11" t="n">
        <x:v>664.85</x:v>
      </x:c>
      <x:c r="I3713" s="2" t="n">
        <x:v>4</x:v>
      </x:c>
      <x:c r="J3713" s="2" t="n">
        <x:v>1</x:v>
      </x:c>
      <x:c r="K3713" s="2" t="n">
        <x:v>3</x:v>
      </x:c>
      <x:c r="L3713" s="2" t="str">
        <x:v>Recent light buyers</x:v>
      </x:c>
    </x:row>
    <x:row r="3714" ht="22" customHeight="1">
      <x:c r="A3714" s="2"/>
      <x:c r="B3714" s="2" t="str">
        <x:v>16057</x:v>
      </x:c>
      <x:c r="C3714" s="2" t="str">
        <x:v>United Kingdom</x:v>
      </x:c>
      <x:c r="D3714" s="25" t="n">
        <x:v>40185.50763888889</x:v>
      </x:c>
      <x:c r="E3714" s="25" t="n">
        <x:v>40870.43263888889</x:v>
      </x:c>
      <x:c r="F3714" s="2" t="n">
        <x:v>17</x:v>
      </x:c>
      <x:c r="G3714" s="2" t="n">
        <x:v>10</x:v>
      </x:c>
      <x:c r="H3714" s="11" t="n">
        <x:v>3854.85</x:v>
      </x:c>
      <x:c r="I3714" s="2" t="n">
        <x:v>5</x:v>
      </x:c>
      <x:c r="J3714" s="2" t="n">
        <x:v>5</x:v>
      </x:c>
      <x:c r="K3714" s="2" t="n">
        <x:v>5</x:v>
      </x:c>
      <x:c r="L3714" s="2" t="str">
        <x:v>Champions</x:v>
      </x:c>
    </x:row>
    <x:row r="3715" ht="22" customHeight="1">
      <x:c r="A3715" s="2"/>
      <x:c r="B3715" s="2" t="str">
        <x:v>16058</x:v>
      </x:c>
      <x:c r="C3715" s="2" t="str">
        <x:v>United Kingdom</x:v>
      </x:c>
      <x:c r="D3715" s="25" t="n">
        <x:v>40480.49166666667</x:v>
      </x:c>
      <x:c r="E3715" s="25" t="n">
        <x:v>40480.49166666667</x:v>
      </x:c>
      <x:c r="F3715" s="2" t="n">
        <x:v>407</x:v>
      </x:c>
      <x:c r="G3715" s="2" t="n">
        <x:v>1</x:v>
      </x:c>
      <x:c r="H3715" s="11" t="n">
        <x:v>62.7</x:v>
      </x:c>
      <x:c r="I3715" s="2" t="n">
        <x:v>2</x:v>
      </x:c>
      <x:c r="J3715" s="2" t="n">
        <x:v>1</x:v>
      </x:c>
      <x:c r="K3715" s="2" t="n">
        <x:v>1</x:v>
      </x:c>
      <x:c r="L3715" s="2" t="str">
        <x:v>Hibernating</x:v>
      </x:c>
    </x:row>
    <x:row r="3716" ht="22" customHeight="1">
      <x:c r="A3716" s="2"/>
      <x:c r="B3716" s="2" t="str">
        <x:v>16059</x:v>
      </x:c>
      <x:c r="C3716" s="2" t="str">
        <x:v>United Kingdom</x:v>
      </x:c>
      <x:c r="D3716" s="25" t="n">
        <x:v>40317.33611111111</x:v>
      </x:c>
      <x:c r="E3716" s="25" t="n">
        <x:v>40821.205555555556</x:v>
      </x:c>
      <x:c r="F3716" s="2" t="n">
        <x:v>66</x:v>
      </x:c>
      <x:c r="G3716" s="2" t="n">
        <x:v>12</x:v>
      </x:c>
      <x:c r="H3716" s="11" t="n">
        <x:v>3099.52</x:v>
      </x:c>
      <x:c r="I3716" s="2" t="n">
        <x:v>3</x:v>
      </x:c>
      <x:c r="J3716" s="2" t="n">
        <x:v>5</x:v>
      </x:c>
      <x:c r="K3716" s="2" t="n">
        <x:v>5</x:v>
      </x:c>
      <x:c r="L3716" s="2" t="str">
        <x:v>Loyal</x:v>
      </x:c>
    </x:row>
    <x:row r="3717" ht="22" customHeight="1">
      <x:c r="A3717" s="2"/>
      <x:c r="B3717" s="2" t="str">
        <x:v>16060</x:v>
      </x:c>
      <x:c r="C3717" s="2" t="str">
        <x:v>United Kingdom</x:v>
      </x:c>
      <x:c r="D3717" s="25" t="n">
        <x:v>40392.43472222222</x:v>
      </x:c>
      <x:c r="E3717" s="25" t="n">
        <x:v>40486.29861111111</x:v>
      </x:c>
      <x:c r="F3717" s="2" t="n">
        <x:v>401</x:v>
      </x:c>
      <x:c r="G3717" s="2" t="n">
        <x:v>3</x:v>
      </x:c>
      <x:c r="H3717" s="11" t="n">
        <x:v>541.95</x:v>
      </x:c>
      <x:c r="I3717" s="2" t="n">
        <x:v>2</x:v>
      </x:c>
      <x:c r="J3717" s="2" t="n">
        <x:v>3</x:v>
      </x:c>
      <x:c r="K3717" s="2" t="n">
        <x:v>2</x:v>
      </x:c>
      <x:c r="L3717" s="2" t="str">
        <x:v>At risk</x:v>
      </x:c>
    </x:row>
    <x:row r="3718" ht="22" customHeight="1">
      <x:c r="A3718" s="2"/>
      <x:c r="B3718" s="2" t="str">
        <x:v>16061</x:v>
      </x:c>
      <x:c r="C3718" s="2" t="str">
        <x:v>United Kingdom</x:v>
      </x:c>
      <x:c r="D3718" s="25" t="n">
        <x:v>40455.43680555555</x:v>
      </x:c>
      <x:c r="E3718" s="25" t="n">
        <x:v>40455.43680555555</x:v>
      </x:c>
      <x:c r="F3718" s="2" t="n">
        <x:v>432</x:v>
      </x:c>
      <x:c r="G3718" s="2" t="n">
        <x:v>1</x:v>
      </x:c>
      <x:c r="H3718" s="11" t="n">
        <x:v>89.65</x:v>
      </x:c>
      <x:c r="I3718" s="2" t="n">
        <x:v>1</x:v>
      </x:c>
      <x:c r="J3718" s="2" t="n">
        <x:v>1</x:v>
      </x:c>
      <x:c r="K3718" s="2" t="n">
        <x:v>1</x:v>
      </x:c>
      <x:c r="L3718" s="2" t="str">
        <x:v>Hibernating</x:v>
      </x:c>
    </x:row>
    <x:row r="3719" ht="22" customHeight="1">
      <x:c r="A3719" s="2"/>
      <x:c r="B3719" s="2" t="str">
        <x:v>16062</x:v>
      </x:c>
      <x:c r="C3719" s="2" t="str">
        <x:v>United Kingdom</x:v>
      </x:c>
      <x:c r="D3719" s="25" t="n">
        <x:v>40350.35555555556</x:v>
      </x:c>
      <x:c r="E3719" s="25" t="n">
        <x:v>40877.302083333336</x:v>
      </x:c>
      <x:c r="F3719" s="2" t="n">
        <x:v>10</x:v>
      </x:c>
      <x:c r="G3719" s="2" t="n">
        <x:v>8</x:v>
      </x:c>
      <x:c r="H3719" s="11" t="n">
        <x:v>2863.45</x:v>
      </x:c>
      <x:c r="I3719" s="2" t="n">
        <x:v>5</x:v>
      </x:c>
      <x:c r="J3719" s="2" t="n">
        <x:v>4</x:v>
      </x:c>
      <x:c r="K3719" s="2" t="n">
        <x:v>4</x:v>
      </x:c>
      <x:c r="L3719" s="2" t="str">
        <x:v>Champions</x:v>
      </x:c>
    </x:row>
    <x:row r="3720" ht="22" customHeight="1">
      <x:c r="A3720" s="2"/>
      <x:c r="B3720" s="2" t="str">
        <x:v>16063</x:v>
      </x:c>
      <x:c r="C3720" s="2" t="str">
        <x:v>United Kingdom</x:v>
      </x:c>
      <x:c r="D3720" s="25" t="n">
        <x:v>40626.413194444445</x:v>
      </x:c>
      <x:c r="E3720" s="25" t="n">
        <x:v>40626.41388888889</x:v>
      </x:c>
      <x:c r="F3720" s="2" t="n">
        <x:v>261</x:v>
      </x:c>
      <x:c r="G3720" s="2" t="n">
        <x:v>1</x:v>
      </x:c>
      <x:c r="H3720" s="11" t="n">
        <x:v>335.32</x:v>
      </x:c>
      <x:c r="I3720" s="2" t="n">
        <x:v>2</x:v>
      </x:c>
      <x:c r="J3720" s="2" t="n">
        <x:v>1</x:v>
      </x:c>
      <x:c r="K3720" s="2" t="n">
        <x:v>2</x:v>
      </x:c>
      <x:c r="L3720" s="2" t="str">
        <x:v>Hibernating</x:v>
      </x:c>
    </x:row>
    <x:row r="3721" ht="22" customHeight="1">
      <x:c r="A3721" s="2"/>
      <x:c r="B3721" s="2" t="str">
        <x:v>16064</x:v>
      </x:c>
      <x:c r="C3721" s="2" t="str">
        <x:v>United Kingdom</x:v>
      </x:c>
      <x:c r="D3721" s="25" t="n">
        <x:v>40161.46597222222</x:v>
      </x:c>
      <x:c r="E3721" s="25" t="n">
        <x:v>40161.46597222222</x:v>
      </x:c>
      <x:c r="F3721" s="2" t="n">
        <x:v>726</x:v>
      </x:c>
      <x:c r="G3721" s="2" t="n">
        <x:v>1</x:v>
      </x:c>
      <x:c r="H3721" s="11" t="n">
        <x:v>111</x:v>
      </x:c>
      <x:c r="I3721" s="2" t="n">
        <x:v>1</x:v>
      </x:c>
      <x:c r="J3721" s="2" t="n">
        <x:v>1</x:v>
      </x:c>
      <x:c r="K3721" s="2" t="n">
        <x:v>1</x:v>
      </x:c>
      <x:c r="L3721" s="2" t="str">
        <x:v>Hibernating</x:v>
      </x:c>
    </x:row>
    <x:row r="3722" ht="22" customHeight="1">
      <x:c r="A3722" s="2"/>
      <x:c r="B3722" s="2" t="str">
        <x:v>16065</x:v>
      </x:c>
      <x:c r="C3722" s="2" t="str">
        <x:v>United Kingdom</x:v>
      </x:c>
      <x:c r="D3722" s="25" t="n">
        <x:v>40423.35208333333</x:v>
      </x:c>
      <x:c r="E3722" s="25" t="n">
        <x:v>40521.33541666667</x:v>
      </x:c>
      <x:c r="F3722" s="2" t="n">
        <x:v>366</x:v>
      </x:c>
      <x:c r="G3722" s="2" t="n">
        <x:v>8</x:v>
      </x:c>
      <x:c r="H3722" s="11" t="n">
        <x:v>2010.53</x:v>
      </x:c>
      <x:c r="I3722" s="2" t="n">
        <x:v>2</x:v>
      </x:c>
      <x:c r="J3722" s="2" t="n">
        <x:v>4</x:v>
      </x:c>
      <x:c r="K3722" s="2" t="n">
        <x:v>4</x:v>
      </x:c>
      <x:c r="L3722" s="2" t="str">
        <x:v>At risk</x:v>
      </x:c>
    </x:row>
    <x:row r="3723" ht="22" customHeight="1">
      <x:c r="A3723" s="2"/>
      <x:c r="B3723" s="2" t="str">
        <x:v>16066</x:v>
      </x:c>
      <x:c r="C3723" s="2" t="str">
        <x:v>United Kingdom</x:v>
      </x:c>
      <x:c r="D3723" s="25" t="n">
        <x:v>40762.39791666667</x:v>
      </x:c>
      <x:c r="E3723" s="25" t="n">
        <x:v>40870.2875</x:v>
      </x:c>
      <x:c r="F3723" s="2" t="n">
        <x:v>17</x:v>
      </x:c>
      <x:c r="G3723" s="2" t="n">
        <x:v>5</x:v>
      </x:c>
      <x:c r="H3723" s="11" t="n">
        <x:v>1521.87</x:v>
      </x:c>
      <x:c r="I3723" s="2" t="n">
        <x:v>5</x:v>
      </x:c>
      <x:c r="J3723" s="2" t="n">
        <x:v>4</x:v>
      </x:c>
      <x:c r="K3723" s="2" t="n">
        <x:v>4</x:v>
      </x:c>
      <x:c r="L3723" s="2" t="str">
        <x:v>Champions</x:v>
      </x:c>
    </x:row>
    <x:row r="3724" ht="22" customHeight="1">
      <x:c r="A3724" s="2"/>
      <x:c r="B3724" s="2" t="str">
        <x:v>16067</x:v>
      </x:c>
      <x:c r="C3724" s="2" t="str">
        <x:v>United Kingdom</x:v>
      </x:c>
      <x:c r="D3724" s="25" t="n">
        <x:v>40211.54236111111</x:v>
      </x:c>
      <x:c r="E3724" s="25" t="n">
        <x:v>40324.31458333333</x:v>
      </x:c>
      <x:c r="F3724" s="2" t="n">
        <x:v>563</x:v>
      </x:c>
      <x:c r="G3724" s="2" t="n">
        <x:v>3</x:v>
      </x:c>
      <x:c r="H3724" s="11" t="n">
        <x:v>3395.29</x:v>
      </x:c>
      <x:c r="I3724" s="2" t="n">
        <x:v>1</x:v>
      </x:c>
      <x:c r="J3724" s="2" t="n">
        <x:v>3</x:v>
      </x:c>
      <x:c r="K3724" s="2" t="n">
        <x:v>5</x:v>
      </x:c>
      <x:c r="L3724" s="2" t="str">
        <x:v>At risk</x:v>
      </x:c>
    </x:row>
    <x:row r="3725" ht="22" customHeight="1">
      <x:c r="A3725" s="2"/>
      <x:c r="B3725" s="2" t="str">
        <x:v>16068</x:v>
      </x:c>
      <x:c r="C3725" s="2" t="str">
        <x:v>United Kingdom</x:v>
      </x:c>
      <x:c r="D3725" s="25" t="n">
        <x:v>40293.28611111111</x:v>
      </x:c>
      <x:c r="E3725" s="25" t="n">
        <x:v>40293.28611111111</x:v>
      </x:c>
      <x:c r="F3725" s="2" t="n">
        <x:v>594</x:v>
      </x:c>
      <x:c r="G3725" s="2" t="n">
        <x:v>1</x:v>
      </x:c>
      <x:c r="H3725" s="11" t="n">
        <x:v>122.93</x:v>
      </x:c>
      <x:c r="I3725" s="2" t="n">
        <x:v>1</x:v>
      </x:c>
      <x:c r="J3725" s="2" t="n">
        <x:v>1</x:v>
      </x:c>
      <x:c r="K3725" s="2" t="n">
        <x:v>1</x:v>
      </x:c>
      <x:c r="L3725" s="2" t="str">
        <x:v>Hibernating</x:v>
      </x:c>
    </x:row>
    <x:row r="3726" ht="22" customHeight="1">
      <x:c r="A3726" s="2"/>
      <x:c r="B3726" s="2" t="str">
        <x:v>16069</x:v>
      </x:c>
      <x:c r="C3726" s="2" t="str">
        <x:v>United Kingdom</x:v>
      </x:c>
      <x:c r="D3726" s="25" t="n">
        <x:v>40469.23055555556</x:v>
      </x:c>
      <x:c r="E3726" s="25" t="n">
        <x:v>40469.23055555556</x:v>
      </x:c>
      <x:c r="F3726" s="2" t="n">
        <x:v>418</x:v>
      </x:c>
      <x:c r="G3726" s="2" t="n">
        <x:v>1</x:v>
      </x:c>
      <x:c r="H3726" s="11" t="n">
        <x:v>457.7</x:v>
      </x:c>
      <x:c r="I3726" s="2" t="n">
        <x:v>1</x:v>
      </x:c>
      <x:c r="J3726" s="2" t="n">
        <x:v>1</x:v>
      </x:c>
      <x:c r="K3726" s="2" t="n">
        <x:v>2</x:v>
      </x:c>
      <x:c r="L3726" s="2" t="str">
        <x:v>Hibernating</x:v>
      </x:c>
    </x:row>
    <x:row r="3727" ht="22" customHeight="1">
      <x:c r="A3727" s="2"/>
      <x:c r="B3727" s="2" t="str">
        <x:v>16070</x:v>
      </x:c>
      <x:c r="C3727" s="2" t="str">
        <x:v>United Kingdom</x:v>
      </x:c>
      <x:c r="D3727" s="25" t="n">
        <x:v>40854.48333333333</x:v>
      </x:c>
      <x:c r="E3727" s="25" t="n">
        <x:v>40864.45138888889</x:v>
      </x:c>
      <x:c r="F3727" s="2" t="n">
        <x:v>23</x:v>
      </x:c>
      <x:c r="G3727" s="2" t="n">
        <x:v>2</x:v>
      </x:c>
      <x:c r="H3727" s="11" t="n">
        <x:v>852.15</x:v>
      </x:c>
      <x:c r="I3727" s="2" t="n">
        <x:v>4</x:v>
      </x:c>
      <x:c r="J3727" s="2" t="n">
        <x:v>2</x:v>
      </x:c>
      <x:c r="K3727" s="2" t="n">
        <x:v>3</x:v>
      </x:c>
      <x:c r="L3727" s="2" t="str">
        <x:v>Recent light buyers</x:v>
      </x:c>
    </x:row>
    <x:row r="3728" ht="22" customHeight="1">
      <x:c r="A3728" s="2"/>
      <x:c r="B3728" s="2" t="str">
        <x:v>16071</x:v>
      </x:c>
      <x:c r="C3728" s="2" t="str">
        <x:v>United Kingdom</x:v>
      </x:c>
      <x:c r="D3728" s="25" t="n">
        <x:v>40231.40833333333</x:v>
      </x:c>
      <x:c r="E3728" s="25" t="n">
        <x:v>40842.259722222225</x:v>
      </x:c>
      <x:c r="F3728" s="2" t="n">
        <x:v>45</x:v>
      </x:c>
      <x:c r="G3728" s="2" t="n">
        <x:v>4</x:v>
      </x:c>
      <x:c r="H3728" s="11" t="n">
        <x:v>1076.8</x:v>
      </x:c>
      <x:c r="I3728" s="2" t="n">
        <x:v>4</x:v>
      </x:c>
      <x:c r="J3728" s="2" t="n">
        <x:v>3</x:v>
      </x:c>
      <x:c r="K3728" s="2" t="n">
        <x:v>3</x:v>
      </x:c>
      <x:c r="L3728" s="2" t="str">
        <x:v>Loyal</x:v>
      </x:c>
    </x:row>
    <x:row r="3729" ht="22" customHeight="1">
      <x:c r="A3729" s="2"/>
      <x:c r="B3729" s="2" t="str">
        <x:v>16072</x:v>
      </x:c>
      <x:c r="C3729" s="2" t="str">
        <x:v>United Kingdom</x:v>
      </x:c>
      <x:c r="D3729" s="25" t="n">
        <x:v>40337.49097222222</x:v>
      </x:c>
      <x:c r="E3729" s="25" t="n">
        <x:v>40598.39722222222</x:v>
      </x:c>
      <x:c r="F3729" s="2" t="n">
        <x:v>289</x:v>
      </x:c>
      <x:c r="G3729" s="2" t="n">
        <x:v>4</x:v>
      </x:c>
      <x:c r="H3729" s="11" t="n">
        <x:v>4328.89</x:v>
      </x:c>
      <x:c r="I3729" s="2" t="n">
        <x:v>2</x:v>
      </x:c>
      <x:c r="J3729" s="2" t="n">
        <x:v>3</x:v>
      </x:c>
      <x:c r="K3729" s="2" t="n">
        <x:v>5</x:v>
      </x:c>
      <x:c r="L3729" s="2" t="str">
        <x:v>At risk</x:v>
      </x:c>
    </x:row>
    <x:row r="3730" ht="22" customHeight="1">
      <x:c r="A3730" s="2"/>
      <x:c r="B3730" s="2" t="str">
        <x:v>16073</x:v>
      </x:c>
      <x:c r="C3730" s="2" t="str">
        <x:v>United Kingdom</x:v>
      </x:c>
      <x:c r="D3730" s="25" t="n">
        <x:v>40589.44513888889</x:v>
      </x:c>
      <x:c r="E3730" s="25" t="n">
        <x:v>40589.44513888889</x:v>
      </x:c>
      <x:c r="F3730" s="2" t="n">
        <x:v>298</x:v>
      </x:c>
      <x:c r="G3730" s="2" t="n">
        <x:v>1</x:v>
      </x:c>
      <x:c r="H3730" s="11" t="n">
        <x:v>122.4</x:v>
      </x:c>
      <x:c r="I3730" s="2" t="n">
        <x:v>2</x:v>
      </x:c>
      <x:c r="J3730" s="2" t="n">
        <x:v>1</x:v>
      </x:c>
      <x:c r="K3730" s="2" t="n">
        <x:v>1</x:v>
      </x:c>
      <x:c r="L3730" s="2" t="str">
        <x:v>Hibernating</x:v>
      </x:c>
    </x:row>
    <x:row r="3731" ht="22" customHeight="1">
      <x:c r="A3731" s="2"/>
      <x:c r="B3731" s="2" t="str">
        <x:v>16074</x:v>
      </x:c>
      <x:c r="C3731" s="2" t="str">
        <x:v>United Kingdom</x:v>
      </x:c>
      <x:c r="D3731" s="25" t="n">
        <x:v>40496.34652777778</x:v>
      </x:c>
      <x:c r="E3731" s="25" t="n">
        <x:v>40496.34652777778</x:v>
      </x:c>
      <x:c r="F3731" s="2" t="n">
        <x:v>391</x:v>
      </x:c>
      <x:c r="G3731" s="2" t="n">
        <x:v>1</x:v>
      </x:c>
      <x:c r="H3731" s="11" t="n">
        <x:v>265.25</x:v>
      </x:c>
      <x:c r="I3731" s="2" t="n">
        <x:v>2</x:v>
      </x:c>
      <x:c r="J3731" s="2" t="n">
        <x:v>1</x:v>
      </x:c>
      <x:c r="K3731" s="2" t="n">
        <x:v>1</x:v>
      </x:c>
      <x:c r="L3731" s="2" t="str">
        <x:v>Hibernating</x:v>
      </x:c>
    </x:row>
    <x:row r="3732" ht="22" customHeight="1">
      <x:c r="A3732" s="2"/>
      <x:c r="B3732" s="2" t="str">
        <x:v>16075</x:v>
      </x:c>
      <x:c r="C3732" s="2" t="str">
        <x:v>United Kingdom</x:v>
      </x:c>
      <x:c r="D3732" s="25" t="n">
        <x:v>40322.45625</x:v>
      </x:c>
      <x:c r="E3732" s="25" t="n">
        <x:v>40384.271527777775</x:v>
      </x:c>
      <x:c r="F3732" s="2" t="n">
        <x:v>503</x:v>
      </x:c>
      <x:c r="G3732" s="2" t="n">
        <x:v>2</x:v>
      </x:c>
      <x:c r="H3732" s="11" t="n">
        <x:v>736.93</x:v>
      </x:c>
      <x:c r="I3732" s="2" t="n">
        <x:v>1</x:v>
      </x:c>
      <x:c r="J3732" s="2" t="n">
        <x:v>2</x:v>
      </x:c>
      <x:c r="K3732" s="2" t="n">
        <x:v>3</x:v>
      </x:c>
      <x:c r="L3732" s="2" t="str">
        <x:v>Hibernating</x:v>
      </x:c>
    </x:row>
    <x:row r="3733" ht="22" customHeight="1">
      <x:c r="A3733" s="2"/>
      <x:c r="B3733" s="2" t="str">
        <x:v>16076</x:v>
      </x:c>
      <x:c r="C3733" s="2" t="str">
        <x:v>United Kingdom</x:v>
      </x:c>
      <x:c r="D3733" s="25" t="n">
        <x:v>40678.31319444445</x:v>
      </x:c>
      <x:c r="E3733" s="25" t="n">
        <x:v>40883.415972222225</x:v>
      </x:c>
      <x:c r="F3733" s="2" t="n">
        <x:v>4</x:v>
      </x:c>
      <x:c r="G3733" s="2" t="n">
        <x:v>10</x:v>
      </x:c>
      <x:c r="H3733" s="11" t="n">
        <x:v>2234.73</x:v>
      </x:c>
      <x:c r="I3733" s="2" t="n">
        <x:v>5</x:v>
      </x:c>
      <x:c r="J3733" s="2" t="n">
        <x:v>5</x:v>
      </x:c>
      <x:c r="K3733" s="2" t="n">
        <x:v>4</x:v>
      </x:c>
      <x:c r="L3733" s="2" t="str">
        <x:v>Champions</x:v>
      </x:c>
    </x:row>
    <x:row r="3734" ht="22" customHeight="1">
      <x:c r="A3734" s="2"/>
      <x:c r="B3734" s="2" t="str">
        <x:v>16077</x:v>
      </x:c>
      <x:c r="C3734" s="2" t="str">
        <x:v>United Kingdom</x:v>
      </x:c>
      <x:c r="D3734" s="25" t="n">
        <x:v>40261.2375</x:v>
      </x:c>
      <x:c r="E3734" s="25" t="n">
        <x:v>40261.2375</x:v>
      </x:c>
      <x:c r="F3734" s="2" t="n">
        <x:v>626</x:v>
      </x:c>
      <x:c r="G3734" s="2" t="n">
        <x:v>1</x:v>
      </x:c>
      <x:c r="H3734" s="11" t="n">
        <x:v>2300.4</x:v>
      </x:c>
      <x:c r="I3734" s="2" t="n">
        <x:v>1</x:v>
      </x:c>
      <x:c r="J3734" s="2" t="n">
        <x:v>1</x:v>
      </x:c>
      <x:c r="K3734" s="2" t="n">
        <x:v>4</x:v>
      </x:c>
      <x:c r="L3734" s="2" t="str">
        <x:v>Hibernating</x:v>
      </x:c>
    </x:row>
    <x:row r="3735" ht="22" customHeight="1">
      <x:c r="A3735" s="2"/>
      <x:c r="B3735" s="2" t="str">
        <x:v>16078</x:v>
      </x:c>
      <x:c r="C3735" s="2" t="str">
        <x:v>United Kingdom</x:v>
      </x:c>
      <x:c r="D3735" s="25" t="n">
        <x:v>40217.353472222225</x:v>
      </x:c>
      <x:c r="E3735" s="25" t="n">
        <x:v>40603.19930555556</x:v>
      </x:c>
      <x:c r="F3735" s="2" t="n">
        <x:v>284</x:v>
      </x:c>
      <x:c r="G3735" s="2" t="n">
        <x:v>2</x:v>
      </x:c>
      <x:c r="H3735" s="11" t="n">
        <x:v>362.99</x:v>
      </x:c>
      <x:c r="I3735" s="2" t="n">
        <x:v>2</x:v>
      </x:c>
      <x:c r="J3735" s="2" t="n">
        <x:v>2</x:v>
      </x:c>
      <x:c r="K3735" s="2" t="n">
        <x:v>2</x:v>
      </x:c>
      <x:c r="L3735" s="2" t="str">
        <x:v>Hibernating</x:v>
      </x:c>
    </x:row>
    <x:row r="3736" ht="22" customHeight="1">
      <x:c r="A3736" s="2"/>
      <x:c r="B3736" s="2" t="str">
        <x:v>16079</x:v>
      </x:c>
      <x:c r="C3736" s="2" t="str">
        <x:v>United Kingdom</x:v>
      </x:c>
      <x:c r="D3736" s="25" t="n">
        <x:v>40846.3375</x:v>
      </x:c>
      <x:c r="E3736" s="25" t="n">
        <x:v>40870.325</x:v>
      </x:c>
      <x:c r="F3736" s="2" t="n">
        <x:v>17</x:v>
      </x:c>
      <x:c r="G3736" s="2" t="n">
        <x:v>3</x:v>
      </x:c>
      <x:c r="H3736" s="11" t="n">
        <x:v>1352</x:v>
      </x:c>
      <x:c r="I3736" s="2" t="n">
        <x:v>5</x:v>
      </x:c>
      <x:c r="J3736" s="2" t="n">
        <x:v>3</x:v>
      </x:c>
      <x:c r="K3736" s="2" t="n">
        <x:v>4</x:v>
      </x:c>
      <x:c r="L3736" s="2" t="str">
        <x:v>Loyal</x:v>
      </x:c>
    </x:row>
    <x:row r="3737" ht="22" customHeight="1">
      <x:c r="A3737" s="2"/>
      <x:c r="B3737" s="2" t="str">
        <x:v>16080</x:v>
      </x:c>
      <x:c r="C3737" s="2" t="str">
        <x:v>United Kingdom</x:v>
      </x:c>
      <x:c r="D3737" s="25" t="n">
        <x:v>40436.388194444444</x:v>
      </x:c>
      <x:c r="E3737" s="25" t="n">
        <x:v>40805.2375</x:v>
      </x:c>
      <x:c r="F3737" s="2" t="n">
        <x:v>82</x:v>
      </x:c>
      <x:c r="G3737" s="2" t="n">
        <x:v>4</x:v>
      </x:c>
      <x:c r="H3737" s="11" t="n">
        <x:v>602.56</x:v>
      </x:c>
      <x:c r="I3737" s="2" t="n">
        <x:v>3</x:v>
      </x:c>
      <x:c r="J3737" s="2" t="n">
        <x:v>3</x:v>
      </x:c>
      <x:c r="K3737" s="2" t="n">
        <x:v>2</x:v>
      </x:c>
      <x:c r="L3737" s="2" t="str">
        <x:v>Loyal</x:v>
      </x:c>
    </x:row>
    <x:row r="3738" ht="22" customHeight="1">
      <x:c r="A3738" s="2"/>
      <x:c r="B3738" s="2" t="str">
        <x:v>16081</x:v>
      </x:c>
      <x:c r="C3738" s="2" t="str">
        <x:v>United Kingdom</x:v>
      </x:c>
      <x:c r="D3738" s="25" t="n">
        <x:v>40212.32361111111</x:v>
      </x:c>
      <x:c r="E3738" s="25" t="n">
        <x:v>40830.3375</x:v>
      </x:c>
      <x:c r="F3738" s="2" t="n">
        <x:v>57</x:v>
      </x:c>
      <x:c r="G3738" s="2" t="n">
        <x:v>8</x:v>
      </x:c>
      <x:c r="H3738" s="11" t="n">
        <x:v>4302.58</x:v>
      </x:c>
      <x:c r="I3738" s="2" t="n">
        <x:v>4</x:v>
      </x:c>
      <x:c r="J3738" s="2" t="n">
        <x:v>4</x:v>
      </x:c>
      <x:c r="K3738" s="2" t="n">
        <x:v>5</x:v>
      </x:c>
      <x:c r="L3738" s="2" t="str">
        <x:v>Champions</x:v>
      </x:c>
    </x:row>
    <x:row r="3739" ht="22" customHeight="1">
      <x:c r="A3739" s="2"/>
      <x:c r="B3739" s="2" t="str">
        <x:v>16082</x:v>
      </x:c>
      <x:c r="C3739" s="2" t="str">
        <x:v>United Kingdom</x:v>
      </x:c>
      <x:c r="D3739" s="25" t="n">
        <x:v>40216.427777777775</x:v>
      </x:c>
      <x:c r="E3739" s="25" t="n">
        <x:v>40216.427777777775</x:v>
      </x:c>
      <x:c r="F3739" s="2" t="n">
        <x:v>671</x:v>
      </x:c>
      <x:c r="G3739" s="2" t="n">
        <x:v>1</x:v>
      </x:c>
      <x:c r="H3739" s="11" t="n">
        <x:v>106.75</x:v>
      </x:c>
      <x:c r="I3739" s="2" t="n">
        <x:v>1</x:v>
      </x:c>
      <x:c r="J3739" s="2" t="n">
        <x:v>1</x:v>
      </x:c>
      <x:c r="K3739" s="2" t="n">
        <x:v>1</x:v>
      </x:c>
      <x:c r="L3739" s="2" t="str">
        <x:v>Hibernating</x:v>
      </x:c>
    </x:row>
    <x:row r="3740" ht="22" customHeight="1">
      <x:c r="A3740" s="2"/>
      <x:c r="B3740" s="2" t="str">
        <x:v>16083</x:v>
      </x:c>
      <x:c r="C3740" s="2" t="str">
        <x:v>United Kingdom</x:v>
      </x:c>
      <x:c r="D3740" s="25" t="n">
        <x:v>40498.28680555556</x:v>
      </x:c>
      <x:c r="E3740" s="25" t="n">
        <x:v>40786.24097222222</x:v>
      </x:c>
      <x:c r="F3740" s="2" t="n">
        <x:v>101</x:v>
      </x:c>
      <x:c r="G3740" s="2" t="n">
        <x:v>4</x:v>
      </x:c>
      <x:c r="H3740" s="11" t="n">
        <x:v>2351.42</x:v>
      </x:c>
      <x:c r="I3740" s="2" t="n">
        <x:v>3</x:v>
      </x:c>
      <x:c r="J3740" s="2" t="n">
        <x:v>3</x:v>
      </x:c>
      <x:c r="K3740" s="2" t="n">
        <x:v>4</x:v>
      </x:c>
      <x:c r="L3740" s="2" t="str">
        <x:v>Loyal</x:v>
      </x:c>
    </x:row>
    <x:row r="3741" ht="22" customHeight="1">
      <x:c r="A3741" s="2"/>
      <x:c r="B3741" s="2" t="str">
        <x:v>16084</x:v>
      </x:c>
      <x:c r="C3741" s="2" t="str">
        <x:v>United Kingdom</x:v>
      </x:c>
      <x:c r="D3741" s="25" t="n">
        <x:v>40587.461805555555</x:v>
      </x:c>
      <x:c r="E3741" s="25" t="n">
        <x:v>40587.461805555555</x:v>
      </x:c>
      <x:c r="F3741" s="2" t="n">
        <x:v>300</x:v>
      </x:c>
      <x:c r="G3741" s="2" t="n">
        <x:v>1</x:v>
      </x:c>
      <x:c r="H3741" s="11" t="n">
        <x:v>436.18</x:v>
      </x:c>
      <x:c r="I3741" s="2" t="n">
        <x:v>2</x:v>
      </x:c>
      <x:c r="J3741" s="2" t="n">
        <x:v>1</x:v>
      </x:c>
      <x:c r="K3741" s="2" t="n">
        <x:v>2</x:v>
      </x:c>
      <x:c r="L3741" s="2" t="str">
        <x:v>Hibernating</x:v>
      </x:c>
    </x:row>
    <x:row r="3742" ht="22" customHeight="1">
      <x:c r="A3742" s="2"/>
      <x:c r="B3742" s="2" t="str">
        <x:v>16085</x:v>
      </x:c>
      <x:c r="C3742" s="2" t="str">
        <x:v>United Kingdom</x:v>
      </x:c>
      <x:c r="D3742" s="25" t="n">
        <x:v>40198.37708333333</x:v>
      </x:c>
      <x:c r="E3742" s="25" t="n">
        <x:v>40863.35</x:v>
      </x:c>
      <x:c r="F3742" s="2" t="n">
        <x:v>24</x:v>
      </x:c>
      <x:c r="G3742" s="2" t="n">
        <x:v>12</x:v>
      </x:c>
      <x:c r="H3742" s="11" t="n">
        <x:v>2343.53</x:v>
      </x:c>
      <x:c r="I3742" s="2" t="n">
        <x:v>4</x:v>
      </x:c>
      <x:c r="J3742" s="2" t="n">
        <x:v>5</x:v>
      </x:c>
      <x:c r="K3742" s="2" t="n">
        <x:v>4</x:v>
      </x:c>
      <x:c r="L3742" s="2" t="str">
        <x:v>Champions</x:v>
      </x:c>
    </x:row>
    <x:row r="3743" ht="22" customHeight="1">
      <x:c r="A3743" s="2"/>
      <x:c r="B3743" s="2" t="str">
        <x:v>16086</x:v>
      </x:c>
      <x:c r="C3743" s="2" t="str">
        <x:v>United Kingdom</x:v>
      </x:c>
      <x:c r="D3743" s="25" t="n">
        <x:v>40149.34722222222</x:v>
      </x:c>
      <x:c r="E3743" s="25" t="n">
        <x:v>40827.339583333334</x:v>
      </x:c>
      <x:c r="F3743" s="2" t="n">
        <x:v>60</x:v>
      </x:c>
      <x:c r="G3743" s="2" t="n">
        <x:v>10</x:v>
      </x:c>
      <x:c r="H3743" s="11" t="n">
        <x:v>2687.73</x:v>
      </x:c>
      <x:c r="I3743" s="2" t="n">
        <x:v>3</x:v>
      </x:c>
      <x:c r="J3743" s="2" t="n">
        <x:v>5</x:v>
      </x:c>
      <x:c r="K3743" s="2" t="n">
        <x:v>4</x:v>
      </x:c>
      <x:c r="L3743" s="2" t="str">
        <x:v>Loyal</x:v>
      </x:c>
    </x:row>
    <x:row r="3744" ht="22" customHeight="1">
      <x:c r="A3744" s="2"/>
      <x:c r="B3744" s="2" t="str">
        <x:v>16087</x:v>
      </x:c>
      <x:c r="C3744" s="2" t="str">
        <x:v>United Kingdom</x:v>
      </x:c>
      <x:c r="D3744" s="25" t="n">
        <x:v>40197.3125</x:v>
      </x:c>
      <x:c r="E3744" s="25" t="n">
        <x:v>40497.48888888889</x:v>
      </x:c>
      <x:c r="F3744" s="2" t="n">
        <x:v>390</x:v>
      </x:c>
      <x:c r="G3744" s="2" t="n">
        <x:v>5</x:v>
      </x:c>
      <x:c r="H3744" s="11" t="n">
        <x:v>1739.92</x:v>
      </x:c>
      <x:c r="I3744" s="2" t="n">
        <x:v>2</x:v>
      </x:c>
      <x:c r="J3744" s="2" t="n">
        <x:v>4</x:v>
      </x:c>
      <x:c r="K3744" s="2" t="n">
        <x:v>4</x:v>
      </x:c>
      <x:c r="L3744" s="2" t="str">
        <x:v>At risk</x:v>
      </x:c>
    </x:row>
    <x:row r="3745" ht="22" customHeight="1">
      <x:c r="A3745" s="2"/>
      <x:c r="B3745" s="2" t="str">
        <x:v>16088</x:v>
      </x:c>
      <x:c r="C3745" s="2" t="str">
        <x:v>United Kingdom</x:v>
      </x:c>
      <x:c r="D3745" s="25" t="n">
        <x:v>40295.24722222222</x:v>
      </x:c>
      <x:c r="E3745" s="25" t="n">
        <x:v>40311.21944444445</x:v>
      </x:c>
      <x:c r="F3745" s="2" t="n">
        <x:v>576</x:v>
      </x:c>
      <x:c r="G3745" s="2" t="n">
        <x:v>2</x:v>
      </x:c>
      <x:c r="H3745" s="11" t="n">
        <x:v>1437.43</x:v>
      </x:c>
      <x:c r="I3745" s="2" t="n">
        <x:v>1</x:v>
      </x:c>
      <x:c r="J3745" s="2" t="n">
        <x:v>2</x:v>
      </x:c>
      <x:c r="K3745" s="2" t="n">
        <x:v>4</x:v>
      </x:c>
      <x:c r="L3745" s="2" t="str">
        <x:v>Hibernating</x:v>
      </x:c>
    </x:row>
    <x:row r="3746" ht="22" customHeight="1">
      <x:c r="A3746" s="2"/>
      <x:c r="B3746" s="2" t="str">
        <x:v>16089</x:v>
      </x:c>
      <x:c r="C3746" s="2" t="str">
        <x:v>United Kingdom</x:v>
      </x:c>
      <x:c r="D3746" s="25" t="n">
        <x:v>40377.45208333333</x:v>
      </x:c>
      <x:c r="E3746" s="25" t="n">
        <x:v>40500.36875</x:v>
      </x:c>
      <x:c r="F3746" s="2" t="n">
        <x:v>387</x:v>
      </x:c>
      <x:c r="G3746" s="2" t="n">
        <x:v>2</x:v>
      </x:c>
      <x:c r="H3746" s="11" t="n">
        <x:v>271.44</x:v>
      </x:c>
      <x:c r="I3746" s="2" t="n">
        <x:v>2</x:v>
      </x:c>
      <x:c r="J3746" s="2" t="n">
        <x:v>2</x:v>
      </x:c>
      <x:c r="K3746" s="2" t="n">
        <x:v>1</x:v>
      </x:c>
      <x:c r="L3746" s="2" t="str">
        <x:v>Hibernating</x:v>
      </x:c>
    </x:row>
    <x:row r="3747" ht="22" customHeight="1">
      <x:c r="A3747" s="2"/>
      <x:c r="B3747" s="2" t="str">
        <x:v>16090</x:v>
      </x:c>
      <x:c r="C3747" s="2" t="str">
        <x:v>United Kingdom</x:v>
      </x:c>
      <x:c r="D3747" s="25" t="n">
        <x:v>40262.336805555555</x:v>
      </x:c>
      <x:c r="E3747" s="25" t="n">
        <x:v>40262.336805555555</x:v>
      </x:c>
      <x:c r="F3747" s="2" t="n">
        <x:v>625</x:v>
      </x:c>
      <x:c r="G3747" s="2" t="n">
        <x:v>1</x:v>
      </x:c>
      <x:c r="H3747" s="11" t="n">
        <x:v>205.91</x:v>
      </x:c>
      <x:c r="I3747" s="2" t="n">
        <x:v>1</x:v>
      </x:c>
      <x:c r="J3747" s="2" t="n">
        <x:v>1</x:v>
      </x:c>
      <x:c r="K3747" s="2" t="n">
        <x:v>1</x:v>
      </x:c>
      <x:c r="L3747" s="2" t="str">
        <x:v>Hibernating</x:v>
      </x:c>
    </x:row>
    <x:row r="3748" ht="22" customHeight="1">
      <x:c r="A3748" s="2"/>
      <x:c r="B3748" s="2" t="str">
        <x:v>16091</x:v>
      </x:c>
      <x:c r="C3748" s="2" t="str">
        <x:v>United Kingdom</x:v>
      </x:c>
      <x:c r="D3748" s="25" t="n">
        <x:v>40688.17916666667</x:v>
      </x:c>
      <x:c r="E3748" s="25" t="n">
        <x:v>40732.15625</x:v>
      </x:c>
      <x:c r="F3748" s="2" t="n">
        <x:v>155</x:v>
      </x:c>
      <x:c r="G3748" s="2" t="n">
        <x:v>2</x:v>
      </x:c>
      <x:c r="H3748" s="11" t="n">
        <x:v>315.06</x:v>
      </x:c>
      <x:c r="I3748" s="2" t="n">
        <x:v>3</x:v>
      </x:c>
      <x:c r="J3748" s="2" t="n">
        <x:v>2</x:v>
      </x:c>
      <x:c r="K3748" s="2" t="n">
        <x:v>2</x:v>
      </x:c>
      <x:c r="L3748" s="2" t="str">
        <x:v>Developing</x:v>
      </x:c>
    </x:row>
    <x:row r="3749" ht="22" customHeight="1">
      <x:c r="A3749" s="2"/>
      <x:c r="B3749" s="2" t="str">
        <x:v>16092</x:v>
      </x:c>
      <x:c r="C3749" s="2" t="str">
        <x:v>United Kingdom</x:v>
      </x:c>
      <x:c r="D3749" s="25" t="n">
        <x:v>40307.46527777778</x:v>
      </x:c>
      <x:c r="E3749" s="25" t="n">
        <x:v>40772.240277777775</x:v>
      </x:c>
      <x:c r="F3749" s="2" t="n">
        <x:v>115</x:v>
      </x:c>
      <x:c r="G3749" s="2" t="n">
        <x:v>6</x:v>
      </x:c>
      <x:c r="H3749" s="11" t="n">
        <x:v>1587.94</x:v>
      </x:c>
      <x:c r="I3749" s="2" t="n">
        <x:v>3</x:v>
      </x:c>
      <x:c r="J3749" s="2" t="n">
        <x:v>4</x:v>
      </x:c>
      <x:c r="K3749" s="2" t="n">
        <x:v>4</x:v>
      </x:c>
      <x:c r="L3749" s="2" t="str">
        <x:v>Loyal</x:v>
      </x:c>
    </x:row>
    <x:row r="3750" ht="22" customHeight="1">
      <x:c r="A3750" s="2"/>
      <x:c r="B3750" s="2" t="str">
        <x:v>16093</x:v>
      </x:c>
      <x:c r="C3750" s="2" t="str">
        <x:v>United Kingdom</x:v>
      </x:c>
      <x:c r="D3750" s="25" t="n">
        <x:v>40780.25625</x:v>
      </x:c>
      <x:c r="E3750" s="25" t="n">
        <x:v>40780.25625</x:v>
      </x:c>
      <x:c r="F3750" s="2" t="n">
        <x:v>107</x:v>
      </x:c>
      <x:c r="G3750" s="2" t="n">
        <x:v>1</x:v>
      </x:c>
      <x:c r="H3750" s="11" t="n">
        <x:v>17</x:v>
      </x:c>
      <x:c r="I3750" s="2" t="n">
        <x:v>3</x:v>
      </x:c>
      <x:c r="J3750" s="2" t="n">
        <x:v>1</x:v>
      </x:c>
      <x:c r="K3750" s="2" t="n">
        <x:v>1</x:v>
      </x:c>
      <x:c r="L3750" s="2" t="str">
        <x:v>Developing</x:v>
      </x:c>
    </x:row>
    <x:row r="3751" ht="22" customHeight="1">
      <x:c r="A3751" s="2"/>
      <x:c r="B3751" s="2" t="str">
        <x:v>16094</x:v>
      </x:c>
      <x:c r="C3751" s="2" t="str">
        <x:v>United Kingdom</x:v>
      </x:c>
      <x:c r="D3751" s="25" t="n">
        <x:v>40284.375</x:v>
      </x:c>
      <x:c r="E3751" s="25" t="n">
        <x:v>40875.322916666664</x:v>
      </x:c>
      <x:c r="F3751" s="2" t="n">
        <x:v>12</x:v>
      </x:c>
      <x:c r="G3751" s="2" t="n">
        <x:v>11</x:v>
      </x:c>
      <x:c r="H3751" s="11" t="n">
        <x:v>3695.56</x:v>
      </x:c>
      <x:c r="I3751" s="2" t="n">
        <x:v>5</x:v>
      </x:c>
      <x:c r="J3751" s="2" t="n">
        <x:v>5</x:v>
      </x:c>
      <x:c r="K3751" s="2" t="n">
        <x:v>5</x:v>
      </x:c>
      <x:c r="L3751" s="2" t="str">
        <x:v>Champions</x:v>
      </x:c>
    </x:row>
    <x:row r="3752" ht="22" customHeight="1">
      <x:c r="A3752" s="2"/>
      <x:c r="B3752" s="2" t="str">
        <x:v>16095</x:v>
      </x:c>
      <x:c r="C3752" s="2" t="str">
        <x:v>United Kingdom</x:v>
      </x:c>
      <x:c r="D3752" s="25" t="n">
        <x:v>40430.495833333334</x:v>
      </x:c>
      <x:c r="E3752" s="25" t="n">
        <x:v>40430.495833333334</x:v>
      </x:c>
      <x:c r="F3752" s="2" t="n">
        <x:v>457</x:v>
      </x:c>
      <x:c r="G3752" s="2" t="n">
        <x:v>1</x:v>
      </x:c>
      <x:c r="H3752" s="11" t="n">
        <x:v>447.05</x:v>
      </x:c>
      <x:c r="I3752" s="2" t="n">
        <x:v>1</x:v>
      </x:c>
      <x:c r="J3752" s="2" t="n">
        <x:v>1</x:v>
      </x:c>
      <x:c r="K3752" s="2" t="n">
        <x:v>2</x:v>
      </x:c>
      <x:c r="L3752" s="2" t="str">
        <x:v>Hibernating</x:v>
      </x:c>
    </x:row>
    <x:row r="3753" ht="22" customHeight="1">
      <x:c r="A3753" s="2"/>
      <x:c r="B3753" s="2" t="str">
        <x:v>16096</x:v>
      </x:c>
      <x:c r="C3753" s="2" t="str">
        <x:v>United Kingdom</x:v>
      </x:c>
      <x:c r="D3753" s="25" t="n">
        <x:v>40241.447222222225</x:v>
      </x:c>
      <x:c r="E3753" s="25" t="n">
        <x:v>40622.35972222222</x:v>
      </x:c>
      <x:c r="F3753" s="2" t="n">
        <x:v>265</x:v>
      </x:c>
      <x:c r="G3753" s="2" t="n">
        <x:v>4</x:v>
      </x:c>
      <x:c r="H3753" s="11" t="n">
        <x:v>1584.97</x:v>
      </x:c>
      <x:c r="I3753" s="2" t="n">
        <x:v>2</x:v>
      </x:c>
      <x:c r="J3753" s="2" t="n">
        <x:v>3</x:v>
      </x:c>
      <x:c r="K3753" s="2" t="n">
        <x:v>4</x:v>
      </x:c>
      <x:c r="L3753" s="2" t="str">
        <x:v>At risk</x:v>
      </x:c>
    </x:row>
    <x:row r="3754" ht="22" customHeight="1">
      <x:c r="A3754" s="2"/>
      <x:c r="B3754" s="2" t="str">
        <x:v>16097</x:v>
      </x:c>
      <x:c r="C3754" s="2" t="str">
        <x:v>United Kingdom</x:v>
      </x:c>
      <x:c r="D3754" s="25" t="n">
        <x:v>40646.36597222222</x:v>
      </x:c>
      <x:c r="E3754" s="25" t="n">
        <x:v>40646.36597222222</x:v>
      </x:c>
      <x:c r="F3754" s="2" t="n">
        <x:v>241</x:v>
      </x:c>
      <x:c r="G3754" s="2" t="n">
        <x:v>1</x:v>
      </x:c>
      <x:c r="H3754" s="11" t="n">
        <x:v>185.05</x:v>
      </x:c>
      <x:c r="I3754" s="2" t="n">
        <x:v>2</x:v>
      </x:c>
      <x:c r="J3754" s="2" t="n">
        <x:v>1</x:v>
      </x:c>
      <x:c r="K3754" s="2" t="n">
        <x:v>1</x:v>
      </x:c>
      <x:c r="L3754" s="2" t="str">
        <x:v>Hibernating</x:v>
      </x:c>
    </x:row>
    <x:row r="3755" ht="22" customHeight="1">
      <x:c r="A3755" s="2"/>
      <x:c r="B3755" s="2" t="str">
        <x:v>16098</x:v>
      </x:c>
      <x:c r="C3755" s="2" t="str">
        <x:v>United Kingdom</x:v>
      </x:c>
      <x:c r="D3755" s="25" t="n">
        <x:v>40162.194444444445</x:v>
      </x:c>
      <x:c r="E3755" s="25" t="n">
        <x:v>40799.20763888889</x:v>
      </x:c>
      <x:c r="F3755" s="2" t="n">
        <x:v>88</x:v>
      </x:c>
      <x:c r="G3755" s="2" t="n">
        <x:v>14</x:v>
      </x:c>
      <x:c r="H3755" s="11" t="n">
        <x:v>4017.5</x:v>
      </x:c>
      <x:c r="I3755" s="2" t="n">
        <x:v>3</x:v>
      </x:c>
      <x:c r="J3755" s="2" t="n">
        <x:v>5</x:v>
      </x:c>
      <x:c r="K3755" s="2" t="n">
        <x:v>5</x:v>
      </x:c>
      <x:c r="L3755" s="2" t="str">
        <x:v>Loyal</x:v>
      </x:c>
    </x:row>
    <x:row r="3756" ht="22" customHeight="1">
      <x:c r="A3756" s="2"/>
      <x:c r="B3756" s="2" t="str">
        <x:v>16099</x:v>
      </x:c>
      <x:c r="C3756" s="2" t="str">
        <x:v>United Kingdom</x:v>
      </x:c>
      <x:c r="D3756" s="25" t="n">
        <x:v>40240.25902777778</x:v>
      </x:c>
      <x:c r="E3756" s="25" t="n">
        <x:v>40836.342361111114</x:v>
      </x:c>
      <x:c r="F3756" s="2" t="n">
        <x:v>51</x:v>
      </x:c>
      <x:c r="G3756" s="2" t="n">
        <x:v>7</x:v>
      </x:c>
      <x:c r="H3756" s="11" t="n">
        <x:v>1573.2</x:v>
      </x:c>
      <x:c r="I3756" s="2" t="n">
        <x:v>4</x:v>
      </x:c>
      <x:c r="J3756" s="2" t="n">
        <x:v>4</x:v>
      </x:c>
      <x:c r="K3756" s="2" t="n">
        <x:v>4</x:v>
      </x:c>
      <x:c r="L3756" s="2" t="str">
        <x:v>Champions</x:v>
      </x:c>
    </x:row>
    <x:row r="3757" ht="22" customHeight="1">
      <x:c r="A3757" s="2"/>
      <x:c r="B3757" s="2" t="str">
        <x:v>16100</x:v>
      </x:c>
      <x:c r="C3757" s="2" t="str">
        <x:v>United Kingdom</x:v>
      </x:c>
      <x:c r="D3757" s="25" t="n">
        <x:v>40424.277083333334</x:v>
      </x:c>
      <x:c r="E3757" s="25" t="n">
        <x:v>40424.277083333334</x:v>
      </x:c>
      <x:c r="F3757" s="2" t="n">
        <x:v>463</x:v>
      </x:c>
      <x:c r="G3757" s="2" t="n">
        <x:v>1</x:v>
      </x:c>
      <x:c r="H3757" s="11" t="n">
        <x:v>582.64</x:v>
      </x:c>
      <x:c r="I3757" s="2" t="n">
        <x:v>1</x:v>
      </x:c>
      <x:c r="J3757" s="2" t="n">
        <x:v>1</x:v>
      </x:c>
      <x:c r="K3757" s="2" t="n">
        <x:v>2</x:v>
      </x:c>
      <x:c r="L3757" s="2" t="str">
        <x:v>Hibernating</x:v>
      </x:c>
    </x:row>
    <x:row r="3758" ht="22" customHeight="1">
      <x:c r="A3758" s="2"/>
      <x:c r="B3758" s="2" t="str">
        <x:v>16101</x:v>
      </x:c>
      <x:c r="C3758" s="2" t="str">
        <x:v>United Kingdom</x:v>
      </x:c>
      <x:c r="D3758" s="25" t="n">
        <x:v>40325.32638888889</x:v>
      </x:c>
      <x:c r="E3758" s="25" t="n">
        <x:v>40816.22083333333</x:v>
      </x:c>
      <x:c r="F3758" s="2" t="n">
        <x:v>71</x:v>
      </x:c>
      <x:c r="G3758" s="2" t="n">
        <x:v>4</x:v>
      </x:c>
      <x:c r="H3758" s="11" t="n">
        <x:v>3229.16</x:v>
      </x:c>
      <x:c r="I3758" s="2" t="n">
        <x:v>3</x:v>
      </x:c>
      <x:c r="J3758" s="2" t="n">
        <x:v>3</x:v>
      </x:c>
      <x:c r="K3758" s="2" t="n">
        <x:v>5</x:v>
      </x:c>
      <x:c r="L3758" s="2" t="str">
        <x:v>Loyal</x:v>
      </x:c>
    </x:row>
    <x:row r="3759" ht="22" customHeight="1">
      <x:c r="A3759" s="2"/>
      <x:c r="B3759" s="2" t="str">
        <x:v>16102</x:v>
      </x:c>
      <x:c r="C3759" s="2" t="str">
        <x:v>United Kingdom</x:v>
      </x:c>
      <x:c r="D3759" s="25" t="n">
        <x:v>40758.32638888889</x:v>
      </x:c>
      <x:c r="E3759" s="25" t="n">
        <x:v>40844.34652777778</x:v>
      </x:c>
      <x:c r="F3759" s="2" t="n">
        <x:v>43</x:v>
      </x:c>
      <x:c r="G3759" s="2" t="n">
        <x:v>3</x:v>
      </x:c>
      <x:c r="H3759" s="11" t="n">
        <x:v>1842.14</x:v>
      </x:c>
      <x:c r="I3759" s="2" t="n">
        <x:v>4</x:v>
      </x:c>
      <x:c r="J3759" s="2" t="n">
        <x:v>3</x:v>
      </x:c>
      <x:c r="K3759" s="2" t="n">
        <x:v>4</x:v>
      </x:c>
      <x:c r="L3759" s="2" t="str">
        <x:v>Loyal</x:v>
      </x:c>
    </x:row>
    <x:row r="3760" ht="22" customHeight="1">
      <x:c r="A3760" s="2"/>
      <x:c r="B3760" s="2" t="str">
        <x:v>16103</x:v>
      </x:c>
      <x:c r="C3760" s="2" t="str">
        <x:v>United Kingdom</x:v>
      </x:c>
      <x:c r="D3760" s="25" t="n">
        <x:v>40186.29722222222</x:v>
      </x:c>
      <x:c r="E3760" s="25" t="n">
        <x:v>40879.38611111111</x:v>
      </x:c>
      <x:c r="F3760" s="2" t="n">
        <x:v>8</x:v>
      </x:c>
      <x:c r="G3760" s="2" t="n">
        <x:v>22</x:v>
      </x:c>
      <x:c r="H3760" s="11" t="n">
        <x:v>6191.71</x:v>
      </x:c>
      <x:c r="I3760" s="2" t="n">
        <x:v>5</x:v>
      </x:c>
      <x:c r="J3760" s="2" t="n">
        <x:v>5</x:v>
      </x:c>
      <x:c r="K3760" s="2" t="n">
        <x:v>5</x:v>
      </x:c>
      <x:c r="L3760" s="2" t="str">
        <x:v>Champions</x:v>
      </x:c>
    </x:row>
    <x:row r="3761" ht="22" customHeight="1">
      <x:c r="A3761" s="2"/>
      <x:c r="B3761" s="2" t="str">
        <x:v>16104</x:v>
      </x:c>
      <x:c r="C3761" s="2" t="str">
        <x:v>United Kingdom</x:v>
      </x:c>
      <x:c r="D3761" s="25" t="n">
        <x:v>40153.236805555556</x:v>
      </x:c>
      <x:c r="E3761" s="25" t="n">
        <x:v>40825.22430555556</x:v>
      </x:c>
      <x:c r="F3761" s="2" t="n">
        <x:v>62</x:v>
      </x:c>
      <x:c r="G3761" s="2" t="n">
        <x:v>9</x:v>
      </x:c>
      <x:c r="H3761" s="11" t="n">
        <x:v>2778.61</x:v>
      </x:c>
      <x:c r="I3761" s="2" t="n">
        <x:v>3</x:v>
      </x:c>
      <x:c r="J3761" s="2" t="n">
        <x:v>5</x:v>
      </x:c>
      <x:c r="K3761" s="2" t="n">
        <x:v>4</x:v>
      </x:c>
      <x:c r="L3761" s="2" t="str">
        <x:v>Loyal</x:v>
      </x:c>
    </x:row>
    <x:row r="3762" ht="22" customHeight="1">
      <x:c r="A3762" s="2"/>
      <x:c r="B3762" s="2" t="str">
        <x:v>16105</x:v>
      </x:c>
      <x:c r="C3762" s="2" t="str">
        <x:v>United Kingdom</x:v>
      </x:c>
      <x:c r="D3762" s="25" t="n">
        <x:v>40282.35208333333</x:v>
      </x:c>
      <x:c r="E3762" s="25" t="n">
        <x:v>40638.217361111114</x:v>
      </x:c>
      <x:c r="F3762" s="2" t="n">
        <x:v>249</x:v>
      </x:c>
      <x:c r="G3762" s="2" t="n">
        <x:v>5</x:v>
      </x:c>
      <x:c r="H3762" s="11" t="n">
        <x:v>2386.19</x:v>
      </x:c>
      <x:c r="I3762" s="2" t="n">
        <x:v>2</x:v>
      </x:c>
      <x:c r="J3762" s="2" t="n">
        <x:v>4</x:v>
      </x:c>
      <x:c r="K3762" s="2" t="n">
        <x:v>4</x:v>
      </x:c>
      <x:c r="L3762" s="2" t="str">
        <x:v>At risk</x:v>
      </x:c>
    </x:row>
    <x:row r="3763" ht="22" customHeight="1">
      <x:c r="A3763" s="2"/>
      <x:c r="B3763" s="2" t="str">
        <x:v>16106</x:v>
      </x:c>
      <x:c r="C3763" s="2" t="str">
        <x:v>United Kingdom</x:v>
      </x:c>
      <x:c r="D3763" s="25" t="n">
        <x:v>40821.23402777778</x:v>
      </x:c>
      <x:c r="E3763" s="25" t="n">
        <x:v>40821.23402777778</x:v>
      </x:c>
      <x:c r="F3763" s="2" t="n">
        <x:v>66</x:v>
      </x:c>
      <x:c r="G3763" s="2" t="n">
        <x:v>1</x:v>
      </x:c>
      <x:c r="H3763" s="11" t="n">
        <x:v>108.38</x:v>
      </x:c>
      <x:c r="I3763" s="2" t="n">
        <x:v>3</x:v>
      </x:c>
      <x:c r="J3763" s="2" t="n">
        <x:v>1</x:v>
      </x:c>
      <x:c r="K3763" s="2" t="n">
        <x:v>1</x:v>
      </x:c>
      <x:c r="L3763" s="2" t="str">
        <x:v>Developing</x:v>
      </x:c>
    </x:row>
    <x:row r="3764" ht="22" customHeight="1">
      <x:c r="A3764" s="2"/>
      <x:c r="B3764" s="2" t="str">
        <x:v>16107</x:v>
      </x:c>
      <x:c r="C3764" s="2" t="str">
        <x:v>United Kingdom</x:v>
      </x:c>
      <x:c r="D3764" s="25" t="n">
        <x:v>40703.57083333333</x:v>
      </x:c>
      <x:c r="E3764" s="25" t="n">
        <x:v>40869.194444444445</x:v>
      </x:c>
      <x:c r="F3764" s="2" t="n">
        <x:v>18</x:v>
      </x:c>
      <x:c r="G3764" s="2" t="n">
        <x:v>7</x:v>
      </x:c>
      <x:c r="H3764" s="11" t="n">
        <x:v>3204.16</x:v>
      </x:c>
      <x:c r="I3764" s="2" t="n">
        <x:v>5</x:v>
      </x:c>
      <x:c r="J3764" s="2" t="n">
        <x:v>4</x:v>
      </x:c>
      <x:c r="K3764" s="2" t="n">
        <x:v>5</x:v>
      </x:c>
      <x:c r="L3764" s="2" t="str">
        <x:v>Champions</x:v>
      </x:c>
    </x:row>
    <x:row r="3765" ht="22" customHeight="1">
      <x:c r="A3765" s="2"/>
      <x:c r="B3765" s="2" t="str">
        <x:v>16108</x:v>
      </x:c>
      <x:c r="C3765" s="2" t="str">
        <x:v>United Kingdom</x:v>
      </x:c>
      <x:c r="D3765" s="25" t="n">
        <x:v>40255.384722222225</x:v>
      </x:c>
      <x:c r="E3765" s="25" t="n">
        <x:v>40802.28333333333</x:v>
      </x:c>
      <x:c r="F3765" s="2" t="n">
        <x:v>85</x:v>
      </x:c>
      <x:c r="G3765" s="2" t="n">
        <x:v>4</x:v>
      </x:c>
      <x:c r="H3765" s="11" t="n">
        <x:v>2235.92</x:v>
      </x:c>
      <x:c r="I3765" s="2" t="n">
        <x:v>3</x:v>
      </x:c>
      <x:c r="J3765" s="2" t="n">
        <x:v>3</x:v>
      </x:c>
      <x:c r="K3765" s="2" t="n">
        <x:v>4</x:v>
      </x:c>
      <x:c r="L3765" s="2" t="str">
        <x:v>Loyal</x:v>
      </x:c>
    </x:row>
    <x:row r="3766" ht="22" customHeight="1">
      <x:c r="A3766" s="2"/>
      <x:c r="B3766" s="2" t="str">
        <x:v>16109</x:v>
      </x:c>
      <x:c r="C3766" s="2" t="str">
        <x:v>United Kingdom</x:v>
      </x:c>
      <x:c r="D3766" s="25" t="n">
        <x:v>40188.23402777778</x:v>
      </x:c>
      <x:c r="E3766" s="25" t="n">
        <x:v>40668.17847222222</x:v>
      </x:c>
      <x:c r="F3766" s="2" t="n">
        <x:v>219</x:v>
      </x:c>
      <x:c r="G3766" s="2" t="n">
        <x:v>3</x:v>
      </x:c>
      <x:c r="H3766" s="11" t="n">
        <x:v>939.48</x:v>
      </x:c>
      <x:c r="I3766" s="2" t="n">
        <x:v>2</x:v>
      </x:c>
      <x:c r="J3766" s="2" t="n">
        <x:v>3</x:v>
      </x:c>
      <x:c r="K3766" s="2" t="n">
        <x:v>3</x:v>
      </x:c>
      <x:c r="L3766" s="2" t="str">
        <x:v>At risk</x:v>
      </x:c>
    </x:row>
    <x:row r="3767" ht="22" customHeight="1">
      <x:c r="A3767" s="2"/>
      <x:c r="B3767" s="2" t="str">
        <x:v>16110</x:v>
      </x:c>
      <x:c r="C3767" s="2" t="str">
        <x:v>United Kingdom</x:v>
      </x:c>
      <x:c r="D3767" s="25" t="n">
        <x:v>40364.33611111111</x:v>
      </x:c>
      <x:c r="E3767" s="25" t="n">
        <x:v>40841.399305555555</x:v>
      </x:c>
      <x:c r="F3767" s="2" t="n">
        <x:v>46</x:v>
      </x:c>
      <x:c r="G3767" s="2" t="n">
        <x:v>4</x:v>
      </x:c>
      <x:c r="H3767" s="11" t="n">
        <x:v>1819.27</x:v>
      </x:c>
      <x:c r="I3767" s="2" t="n">
        <x:v>4</x:v>
      </x:c>
      <x:c r="J3767" s="2" t="n">
        <x:v>3</x:v>
      </x:c>
      <x:c r="K3767" s="2" t="n">
        <x:v>4</x:v>
      </x:c>
      <x:c r="L3767" s="2" t="str">
        <x:v>Loyal</x:v>
      </x:c>
    </x:row>
    <x:row r="3768" ht="22" customHeight="1">
      <x:c r="A3768" s="2"/>
      <x:c r="B3768" s="2" t="str">
        <x:v>16111</x:v>
      </x:c>
      <x:c r="C3768" s="2" t="str">
        <x:v>United Kingdom</x:v>
      </x:c>
      <x:c r="D3768" s="25" t="n">
        <x:v>40458.61875</x:v>
      </x:c>
      <x:c r="E3768" s="25" t="n">
        <x:v>40458.61875</x:v>
      </x:c>
      <x:c r="F3768" s="2" t="n">
        <x:v>429</x:v>
      </x:c>
      <x:c r="G3768" s="2" t="n">
        <x:v>1</x:v>
      </x:c>
      <x:c r="H3768" s="11" t="n">
        <x:v>562.48</x:v>
      </x:c>
      <x:c r="I3768" s="2" t="n">
        <x:v>1</x:v>
      </x:c>
      <x:c r="J3768" s="2" t="n">
        <x:v>1</x:v>
      </x:c>
      <x:c r="K3768" s="2" t="n">
        <x:v>2</x:v>
      </x:c>
      <x:c r="L3768" s="2" t="str">
        <x:v>Hibernating</x:v>
      </x:c>
    </x:row>
    <x:row r="3769" ht="22" customHeight="1">
      <x:c r="A3769" s="2"/>
      <x:c r="B3769" s="2" t="str">
        <x:v>16112</x:v>
      </x:c>
      <x:c r="C3769" s="2" t="str">
        <x:v>United Kingdom</x:v>
      </x:c>
      <x:c r="D3769" s="25" t="n">
        <x:v>40548.282638888886</x:v>
      </x:c>
      <x:c r="E3769" s="25" t="n">
        <x:v>40743.39444444444</x:v>
      </x:c>
      <x:c r="F3769" s="2" t="n">
        <x:v>144</x:v>
      </x:c>
      <x:c r="G3769" s="2" t="n">
        <x:v>4</x:v>
      </x:c>
      <x:c r="H3769" s="11" t="n">
        <x:v>195.74</x:v>
      </x:c>
      <x:c r="I3769" s="2" t="n">
        <x:v>3</x:v>
      </x:c>
      <x:c r="J3769" s="2" t="n">
        <x:v>3</x:v>
      </x:c>
      <x:c r="K3769" s="2" t="n">
        <x:v>1</x:v>
      </x:c>
      <x:c r="L3769" s="2" t="str">
        <x:v>Loyal</x:v>
      </x:c>
    </x:row>
    <x:row r="3770" ht="22" customHeight="1">
      <x:c r="A3770" s="2"/>
      <x:c r="B3770" s="2" t="str">
        <x:v>16113</x:v>
      </x:c>
      <x:c r="C3770" s="2" t="str">
        <x:v>United Kingdom</x:v>
      </x:c>
      <x:c r="D3770" s="25" t="n">
        <x:v>40703.46944444445</x:v>
      </x:c>
      <x:c r="E3770" s="25" t="n">
        <x:v>40703.46944444445</x:v>
      </x:c>
      <x:c r="F3770" s="2" t="n">
        <x:v>184</x:v>
      </x:c>
      <x:c r="G3770" s="2" t="n">
        <x:v>1</x:v>
      </x:c>
      <x:c r="H3770" s="11" t="n">
        <x:v>161.38</x:v>
      </x:c>
      <x:c r="I3770" s="2" t="n">
        <x:v>3</x:v>
      </x:c>
      <x:c r="J3770" s="2" t="n">
        <x:v>1</x:v>
      </x:c>
      <x:c r="K3770" s="2" t="n">
        <x:v>1</x:v>
      </x:c>
      <x:c r="L3770" s="2" t="str">
        <x:v>Developing</x:v>
      </x:c>
    </x:row>
    <x:row r="3771" ht="22" customHeight="1">
      <x:c r="A3771" s="2"/>
      <x:c r="B3771" s="2" t="str">
        <x:v>16114</x:v>
      </x:c>
      <x:c r="C3771" s="2" t="str">
        <x:v>United Kingdom</x:v>
      </x:c>
      <x:c r="D3771" s="25" t="n">
        <x:v>40716.217361111114</x:v>
      </x:c>
      <x:c r="E3771" s="25" t="n">
        <x:v>40716.217361111114</x:v>
      </x:c>
      <x:c r="F3771" s="2" t="n">
        <x:v>171</x:v>
      </x:c>
      <x:c r="G3771" s="2" t="n">
        <x:v>1</x:v>
      </x:c>
      <x:c r="H3771" s="11" t="n">
        <x:v>135.75</x:v>
      </x:c>
      <x:c r="I3771" s="2" t="n">
        <x:v>3</x:v>
      </x:c>
      <x:c r="J3771" s="2" t="n">
        <x:v>1</x:v>
      </x:c>
      <x:c r="K3771" s="2" t="n">
        <x:v>1</x:v>
      </x:c>
      <x:c r="L3771" s="2" t="str">
        <x:v>Developing</x:v>
      </x:c>
    </x:row>
    <x:row r="3772" ht="22" customHeight="1">
      <x:c r="A3772" s="2"/>
      <x:c r="B3772" s="2" t="str">
        <x:v>16115</x:v>
      </x:c>
      <x:c r="C3772" s="2" t="str">
        <x:v>United Kingdom</x:v>
      </x:c>
      <x:c r="D3772" s="25" t="n">
        <x:v>40312.290972222225</x:v>
      </x:c>
      <x:c r="E3772" s="25" t="n">
        <x:v>40877.27222222222</x:v>
      </x:c>
      <x:c r="F3772" s="2" t="n">
        <x:v>10</x:v>
      </x:c>
      <x:c r="G3772" s="2" t="n">
        <x:v>12</x:v>
      </x:c>
      <x:c r="H3772" s="11" t="n">
        <x:v>2575.14</x:v>
      </x:c>
      <x:c r="I3772" s="2" t="n">
        <x:v>5</x:v>
      </x:c>
      <x:c r="J3772" s="2" t="n">
        <x:v>5</x:v>
      </x:c>
      <x:c r="K3772" s="2" t="n">
        <x:v>4</x:v>
      </x:c>
      <x:c r="L3772" s="2" t="str">
        <x:v>Champions</x:v>
      </x:c>
    </x:row>
    <x:row r="3773" ht="22" customHeight="1">
      <x:c r="A3773" s="2"/>
      <x:c r="B3773" s="2" t="str">
        <x:v>16116</x:v>
      </x:c>
      <x:c r="C3773" s="2" t="str">
        <x:v>United Kingdom</x:v>
      </x:c>
      <x:c r="D3773" s="25" t="n">
        <x:v>40675.29236111111</x:v>
      </x:c>
      <x:c r="E3773" s="25" t="n">
        <x:v>40675.29236111111</x:v>
      </x:c>
      <x:c r="F3773" s="2" t="n">
        <x:v>212</x:v>
      </x:c>
      <x:c r="G3773" s="2" t="n">
        <x:v>1</x:v>
      </x:c>
      <x:c r="H3773" s="11" t="n">
        <x:v>612.78</x:v>
      </x:c>
      <x:c r="I3773" s="2" t="n">
        <x:v>2</x:v>
      </x:c>
      <x:c r="J3773" s="2" t="n">
        <x:v>1</x:v>
      </x:c>
      <x:c r="K3773" s="2" t="n">
        <x:v>3</x:v>
      </x:c>
      <x:c r="L3773" s="2" t="str">
        <x:v>Hibernating</x:v>
      </x:c>
    </x:row>
    <x:row r="3774" ht="22" customHeight="1">
      <x:c r="A3774" s="2"/>
      <x:c r="B3774" s="2" t="str">
        <x:v>16117</x:v>
      </x:c>
      <x:c r="C3774" s="2" t="str">
        <x:v>United Kingdom</x:v>
      </x:c>
      <x:c r="D3774" s="25" t="n">
        <x:v>40295.28472222222</x:v>
      </x:c>
      <x:c r="E3774" s="25" t="n">
        <x:v>40697.27916666667</x:v>
      </x:c>
      <x:c r="F3774" s="2" t="n">
        <x:v>190</x:v>
      </x:c>
      <x:c r="G3774" s="2" t="n">
        <x:v>3</x:v>
      </x:c>
      <x:c r="H3774" s="11" t="n">
        <x:v>654.4</x:v>
      </x:c>
      <x:c r="I3774" s="2" t="n">
        <x:v>3</x:v>
      </x:c>
      <x:c r="J3774" s="2" t="n">
        <x:v>3</x:v>
      </x:c>
      <x:c r="K3774" s="2" t="n">
        <x:v>3</x:v>
      </x:c>
      <x:c r="L3774" s="2" t="str">
        <x:v>Loyal</x:v>
      </x:c>
    </x:row>
    <x:row r="3775" ht="22" customHeight="1">
      <x:c r="A3775" s="2"/>
      <x:c r="B3775" s="2" t="str">
        <x:v>16118</x:v>
      </x:c>
      <x:c r="C3775" s="2" t="str">
        <x:v>United Kingdom</x:v>
      </x:c>
      <x:c r="D3775" s="25" t="n">
        <x:v>40234.194444444445</x:v>
      </x:c>
      <x:c r="E3775" s="25" t="n">
        <x:v>40234.194444444445</x:v>
      </x:c>
      <x:c r="F3775" s="2" t="n">
        <x:v>653</x:v>
      </x:c>
      <x:c r="G3775" s="2" t="n">
        <x:v>1</x:v>
      </x:c>
      <x:c r="H3775" s="11" t="n">
        <x:v>4376.25</x:v>
      </x:c>
      <x:c r="I3775" s="2" t="n">
        <x:v>1</x:v>
      </x:c>
      <x:c r="J3775" s="2" t="n">
        <x:v>1</x:v>
      </x:c>
      <x:c r="K3775" s="2" t="n">
        <x:v>5</x:v>
      </x:c>
      <x:c r="L3775" s="2" t="str">
        <x:v>Hibernating</x:v>
      </x:c>
    </x:row>
    <x:row r="3776" ht="22" customHeight="1">
      <x:c r="A3776" s="2"/>
      <x:c r="B3776" s="2" t="str">
        <x:v>16119</x:v>
      </x:c>
      <x:c r="C3776" s="2" t="str">
        <x:v>United Kingdom</x:v>
      </x:c>
      <x:c r="D3776" s="25" t="n">
        <x:v>40163.28888888889</x:v>
      </x:c>
      <x:c r="E3776" s="25" t="n">
        <x:v>40878.424305555556</x:v>
      </x:c>
      <x:c r="F3776" s="2" t="n">
        <x:v>9</x:v>
      </x:c>
      <x:c r="G3776" s="2" t="n">
        <x:v>8</x:v>
      </x:c>
      <x:c r="H3776" s="11" t="n">
        <x:v>1720.81</x:v>
      </x:c>
      <x:c r="I3776" s="2" t="n">
        <x:v>5</x:v>
      </x:c>
      <x:c r="J3776" s="2" t="n">
        <x:v>4</x:v>
      </x:c>
      <x:c r="K3776" s="2" t="n">
        <x:v>4</x:v>
      </x:c>
      <x:c r="L3776" s="2" t="str">
        <x:v>Champions</x:v>
      </x:c>
    </x:row>
    <x:row r="3777" ht="22" customHeight="1">
      <x:c r="A3777" s="2"/>
      <x:c r="B3777" s="2" t="str">
        <x:v>16120</x:v>
      </x:c>
      <x:c r="C3777" s="2" t="str">
        <x:v>United Kingdom</x:v>
      </x:c>
      <x:c r="D3777" s="25" t="n">
        <x:v>40464.42152777778</x:v>
      </x:c>
      <x:c r="E3777" s="25" t="n">
        <x:v>40827.39027777778</x:v>
      </x:c>
      <x:c r="F3777" s="2" t="n">
        <x:v>60</x:v>
      </x:c>
      <x:c r="G3777" s="2" t="n">
        <x:v>6</x:v>
      </x:c>
      <x:c r="H3777" s="11" t="n">
        <x:v>3056.91</x:v>
      </x:c>
      <x:c r="I3777" s="2" t="n">
        <x:v>3</x:v>
      </x:c>
      <x:c r="J3777" s="2" t="n">
        <x:v>4</x:v>
      </x:c>
      <x:c r="K3777" s="2" t="n">
        <x:v>5</x:v>
      </x:c>
      <x:c r="L3777" s="2" t="str">
        <x:v>Loyal</x:v>
      </x:c>
    </x:row>
    <x:row r="3778" ht="22" customHeight="1">
      <x:c r="A3778" s="2"/>
      <x:c r="B3778" s="2" t="str">
        <x:v>16121</x:v>
      </x:c>
      <x:c r="C3778" s="2" t="str">
        <x:v>United Kingdom</x:v>
      </x:c>
      <x:c r="D3778" s="25" t="n">
        <x:v>40321.24444444444</x:v>
      </x:c>
      <x:c r="E3778" s="25" t="n">
        <x:v>40829.33263888889</x:v>
      </x:c>
      <x:c r="F3778" s="2" t="n">
        <x:v>58</x:v>
      </x:c>
      <x:c r="G3778" s="2" t="n">
        <x:v>5</x:v>
      </x:c>
      <x:c r="H3778" s="11" t="n">
        <x:v>1477.09</x:v>
      </x:c>
      <x:c r="I3778" s="2" t="n">
        <x:v>4</x:v>
      </x:c>
      <x:c r="J3778" s="2" t="n">
        <x:v>4</x:v>
      </x:c>
      <x:c r="K3778" s="2" t="n">
        <x:v>4</x:v>
      </x:c>
      <x:c r="L3778" s="2" t="str">
        <x:v>Champions</x:v>
      </x:c>
    </x:row>
    <x:row r="3779" ht="22" customHeight="1">
      <x:c r="A3779" s="2"/>
      <x:c r="B3779" s="2" t="str">
        <x:v>16122</x:v>
      </x:c>
      <x:c r="C3779" s="2" t="str">
        <x:v>United Kingdom</x:v>
      </x:c>
      <x:c r="D3779" s="25" t="n">
        <x:v>40461.43472222222</x:v>
      </x:c>
      <x:c r="E3779" s="25" t="n">
        <x:v>40813.44027777778</x:v>
      </x:c>
      <x:c r="F3779" s="2" t="n">
        <x:v>74</x:v>
      </x:c>
      <x:c r="G3779" s="2" t="n">
        <x:v>6</x:v>
      </x:c>
      <x:c r="H3779" s="11" t="n">
        <x:v>895.62</x:v>
      </x:c>
      <x:c r="I3779" s="2" t="n">
        <x:v>3</x:v>
      </x:c>
      <x:c r="J3779" s="2" t="n">
        <x:v>4</x:v>
      </x:c>
      <x:c r="K3779" s="2" t="n">
        <x:v>3</x:v>
      </x:c>
      <x:c r="L3779" s="2" t="str">
        <x:v>Loyal</x:v>
      </x:c>
    </x:row>
    <x:row r="3780" ht="22" customHeight="1">
      <x:c r="A3780" s="2"/>
      <x:c r="B3780" s="2" t="str">
        <x:v>16123</x:v>
      </x:c>
      <x:c r="C3780" s="2" t="str">
        <x:v>United Kingdom</x:v>
      </x:c>
      <x:c r="D3780" s="25" t="n">
        <x:v>40835.17916666667</x:v>
      </x:c>
      <x:c r="E3780" s="25" t="n">
        <x:v>40835.17916666667</x:v>
      </x:c>
      <x:c r="F3780" s="2" t="n">
        <x:v>52</x:v>
      </x:c>
      <x:c r="G3780" s="2" t="n">
        <x:v>1</x:v>
      </x:c>
      <x:c r="H3780" s="11" t="n">
        <x:v>307.78</x:v>
      </x:c>
      <x:c r="I3780" s="2" t="n">
        <x:v>4</x:v>
      </x:c>
      <x:c r="J3780" s="2" t="n">
        <x:v>1</x:v>
      </x:c>
      <x:c r="K3780" s="2" t="n">
        <x:v>2</x:v>
      </x:c>
      <x:c r="L3780" s="2" t="str">
        <x:v>Recent light buyers</x:v>
      </x:c>
    </x:row>
    <x:row r="3781" ht="22" customHeight="1">
      <x:c r="A3781" s="2"/>
      <x:c r="B3781" s="2" t="str">
        <x:v>16124</x:v>
      </x:c>
      <x:c r="C3781" s="2" t="str">
        <x:v>United Kingdom</x:v>
      </x:c>
      <x:c r="D3781" s="25" t="n">
        <x:v>40154.23125</x:v>
      </x:c>
      <x:c r="E3781" s="25" t="n">
        <x:v>40569.40625</x:v>
      </x:c>
      <x:c r="F3781" s="2" t="n">
        <x:v>318</x:v>
      </x:c>
      <x:c r="G3781" s="2" t="n">
        <x:v>4</x:v>
      </x:c>
      <x:c r="H3781" s="11" t="n">
        <x:v>1772.49</x:v>
      </x:c>
      <x:c r="I3781" s="2" t="n">
        <x:v>2</x:v>
      </x:c>
      <x:c r="J3781" s="2" t="n">
        <x:v>3</x:v>
      </x:c>
      <x:c r="K3781" s="2" t="n">
        <x:v>4</x:v>
      </x:c>
      <x:c r="L3781" s="2" t="str">
        <x:v>At risk</x:v>
      </x:c>
    </x:row>
    <x:row r="3782" ht="22" customHeight="1">
      <x:c r="A3782" s="2"/>
      <x:c r="B3782" s="2" t="str">
        <x:v>16125</x:v>
      </x:c>
      <x:c r="C3782" s="2" t="str">
        <x:v>United Kingdom</x:v>
      </x:c>
      <x:c r="D3782" s="25" t="n">
        <x:v>40161.44305555556</x:v>
      </x:c>
      <x:c r="E3782" s="25" t="n">
        <x:v>40519.45</x:v>
      </x:c>
      <x:c r="F3782" s="2" t="n">
        <x:v>368</x:v>
      </x:c>
      <x:c r="G3782" s="2" t="n">
        <x:v>14</x:v>
      </x:c>
      <x:c r="H3782" s="11" t="n">
        <x:v>4298.3</x:v>
      </x:c>
      <x:c r="I3782" s="2" t="n">
        <x:v>2</x:v>
      </x:c>
      <x:c r="J3782" s="2" t="n">
        <x:v>5</x:v>
      </x:c>
      <x:c r="K3782" s="2" t="n">
        <x:v>5</x:v>
      </x:c>
      <x:c r="L3782" s="2" t="str">
        <x:v>At risk</x:v>
      </x:c>
    </x:row>
    <x:row r="3783" ht="22" customHeight="1">
      <x:c r="A3783" s="2"/>
      <x:c r="B3783" s="2" t="str">
        <x:v>16126</x:v>
      </x:c>
      <x:c r="C3783" s="2" t="str">
        <x:v>United Kingdom</x:v>
      </x:c>
      <x:c r="D3783" s="25" t="n">
        <x:v>40149.356944444444</x:v>
      </x:c>
      <x:c r="E3783" s="25" t="n">
        <x:v>40857.46041666667</x:v>
      </x:c>
      <x:c r="F3783" s="2" t="n">
        <x:v>30</x:v>
      </x:c>
      <x:c r="G3783" s="2" t="n">
        <x:v>15</x:v>
      </x:c>
      <x:c r="H3783" s="11" t="n">
        <x:v>14646.8</x:v>
      </x:c>
      <x:c r="I3783" s="2" t="n">
        <x:v>4</x:v>
      </x:c>
      <x:c r="J3783" s="2" t="n">
        <x:v>5</x:v>
      </x:c>
      <x:c r="K3783" s="2" t="n">
        <x:v>5</x:v>
      </x:c>
      <x:c r="L3783" s="2" t="str">
        <x:v>Champions</x:v>
      </x:c>
    </x:row>
    <x:row r="3784" ht="22" customHeight="1">
      <x:c r="A3784" s="2"/>
      <x:c r="B3784" s="2" t="str">
        <x:v>16127</x:v>
      </x:c>
      <x:c r="C3784" s="2" t="str">
        <x:v>United Kingdom</x:v>
      </x:c>
      <x:c r="D3784" s="25" t="n">
        <x:v>40160.30486111111</x:v>
      </x:c>
      <x:c r="E3784" s="25" t="n">
        <x:v>40847.373611111114</x:v>
      </x:c>
      <x:c r="F3784" s="2" t="n">
        <x:v>40</x:v>
      </x:c>
      <x:c r="G3784" s="2" t="n">
        <x:v>2</x:v>
      </x:c>
      <x:c r="H3784" s="11" t="n">
        <x:v>801.31</x:v>
      </x:c>
      <x:c r="I3784" s="2" t="n">
        <x:v>4</x:v>
      </x:c>
      <x:c r="J3784" s="2" t="n">
        <x:v>2</x:v>
      </x:c>
      <x:c r="K3784" s="2" t="n">
        <x:v>3</x:v>
      </x:c>
      <x:c r="L3784" s="2" t="str">
        <x:v>Recent light buyers</x:v>
      </x:c>
    </x:row>
    <x:row r="3785" ht="22" customHeight="1">
      <x:c r="A3785" s="2"/>
      <x:c r="B3785" s="2" t="str">
        <x:v>16128</x:v>
      </x:c>
      <x:c r="C3785" s="2" t="str">
        <x:v>United Kingdom</x:v>
      </x:c>
      <x:c r="D3785" s="25" t="n">
        <x:v>40375.479166666664</x:v>
      </x:c>
      <x:c r="E3785" s="25" t="n">
        <x:v>40869.259722222225</x:v>
      </x:c>
      <x:c r="F3785" s="2" t="n">
        <x:v>18</x:v>
      </x:c>
      <x:c r="G3785" s="2" t="n">
        <x:v>11</x:v>
      </x:c>
      <x:c r="H3785" s="11" t="n">
        <x:v>3801.05</x:v>
      </x:c>
      <x:c r="I3785" s="2" t="n">
        <x:v>5</x:v>
      </x:c>
      <x:c r="J3785" s="2" t="n">
        <x:v>5</x:v>
      </x:c>
      <x:c r="K3785" s="2" t="n">
        <x:v>5</x:v>
      </x:c>
      <x:c r="L3785" s="2" t="str">
        <x:v>Champions</x:v>
      </x:c>
    </x:row>
    <x:row r="3786" ht="22" customHeight="1">
      <x:c r="A3786" s="2"/>
      <x:c r="B3786" s="2" t="str">
        <x:v>16129</x:v>
      </x:c>
      <x:c r="C3786" s="2" t="str">
        <x:v>United Kingdom</x:v>
      </x:c>
      <x:c r="D3786" s="25" t="n">
        <x:v>40379.313888888886</x:v>
      </x:c>
      <x:c r="E3786" s="25" t="n">
        <x:v>40479.39513888889</x:v>
      </x:c>
      <x:c r="F3786" s="2" t="n">
        <x:v>408</x:v>
      </x:c>
      <x:c r="G3786" s="2" t="n">
        <x:v>3</x:v>
      </x:c>
      <x:c r="H3786" s="11" t="n">
        <x:v>1396.05</x:v>
      </x:c>
      <x:c r="I3786" s="2" t="n">
        <x:v>2</x:v>
      </x:c>
      <x:c r="J3786" s="2" t="n">
        <x:v>3</x:v>
      </x:c>
      <x:c r="K3786" s="2" t="n">
        <x:v>4</x:v>
      </x:c>
      <x:c r="L3786" s="2" t="str">
        <x:v>At risk</x:v>
      </x:c>
    </x:row>
    <x:row r="3787" ht="22" customHeight="1">
      <x:c r="A3787" s="2"/>
      <x:c r="B3787" s="2" t="str">
        <x:v>16130</x:v>
      </x:c>
      <x:c r="C3787" s="2" t="str">
        <x:v>United Kingdom</x:v>
      </x:c>
      <x:c r="D3787" s="25" t="n">
        <x:v>40269.373611111114</x:v>
      </x:c>
      <x:c r="E3787" s="25" t="n">
        <x:v>40464.42638888889</x:v>
      </x:c>
      <x:c r="F3787" s="2" t="n">
        <x:v>423</x:v>
      </x:c>
      <x:c r="G3787" s="2" t="n">
        <x:v>4</x:v>
      </x:c>
      <x:c r="H3787" s="11" t="n">
        <x:v>987.48</x:v>
      </x:c>
      <x:c r="I3787" s="2" t="n">
        <x:v>1</x:v>
      </x:c>
      <x:c r="J3787" s="2" t="n">
        <x:v>3</x:v>
      </x:c>
      <x:c r="K3787" s="2" t="n">
        <x:v>3</x:v>
      </x:c>
      <x:c r="L3787" s="2" t="str">
        <x:v>At risk</x:v>
      </x:c>
    </x:row>
    <x:row r="3788" ht="22" customHeight="1">
      <x:c r="A3788" s="2"/>
      <x:c r="B3788" s="2" t="str">
        <x:v>16131</x:v>
      </x:c>
      <x:c r="C3788" s="2" t="str">
        <x:v>United Kingdom</x:v>
      </x:c>
      <x:c r="D3788" s="25" t="n">
        <x:v>40149.214583333334</x:v>
      </x:c>
      <x:c r="E3788" s="25" t="n">
        <x:v>40835.28680555556</x:v>
      </x:c>
      <x:c r="F3788" s="2" t="n">
        <x:v>52</x:v>
      </x:c>
      <x:c r="G3788" s="2" t="n">
        <x:v>12</x:v>
      </x:c>
      <x:c r="H3788" s="11" t="n">
        <x:v>9957.42</x:v>
      </x:c>
      <x:c r="I3788" s="2" t="n">
        <x:v>4</x:v>
      </x:c>
      <x:c r="J3788" s="2" t="n">
        <x:v>5</x:v>
      </x:c>
      <x:c r="K3788" s="2" t="n">
        <x:v>5</x:v>
      </x:c>
      <x:c r="L3788" s="2" t="str">
        <x:v>Champions</x:v>
      </x:c>
    </x:row>
    <x:row r="3789" ht="22" customHeight="1">
      <x:c r="A3789" s="2"/>
      <x:c r="B3789" s="2" t="str">
        <x:v>16132</x:v>
      </x:c>
      <x:c r="C3789" s="2" t="str">
        <x:v>United Kingdom</x:v>
      </x:c>
      <x:c r="D3789" s="25" t="n">
        <x:v>40259.225694444445</x:v>
      </x:c>
      <x:c r="E3789" s="25" t="n">
        <x:v>40342.36736111111</x:v>
      </x:c>
      <x:c r="F3789" s="2" t="n">
        <x:v>545</x:v>
      </x:c>
      <x:c r="G3789" s="2" t="n">
        <x:v>2</x:v>
      </x:c>
      <x:c r="H3789" s="11" t="n">
        <x:v>664.2</x:v>
      </x:c>
      <x:c r="I3789" s="2" t="n">
        <x:v>1</x:v>
      </x:c>
      <x:c r="J3789" s="2" t="n">
        <x:v>2</x:v>
      </x:c>
      <x:c r="K3789" s="2" t="n">
        <x:v>3</x:v>
      </x:c>
      <x:c r="L3789" s="2" t="str">
        <x:v>Hibernating</x:v>
      </x:c>
    </x:row>
    <x:row r="3790" ht="22" customHeight="1">
      <x:c r="A3790" s="2"/>
      <x:c r="B3790" s="2" t="str">
        <x:v>16133</x:v>
      </x:c>
      <x:c r="C3790" s="2" t="str">
        <x:v>United Kingdom</x:v>
      </x:c>
      <x:c r="D3790" s="25" t="n">
        <x:v>40268.30625</x:v>
      </x:c>
      <x:c r="E3790" s="25" t="n">
        <x:v>40883.26666666667</x:v>
      </x:c>
      <x:c r="F3790" s="2" t="n">
        <x:v>4</x:v>
      </x:c>
      <x:c r="G3790" s="2" t="n">
        <x:v>56</x:v>
      </x:c>
      <x:c r="H3790" s="11" t="n">
        <x:v>22992.26</x:v>
      </x:c>
      <x:c r="I3790" s="2" t="n">
        <x:v>5</x:v>
      </x:c>
      <x:c r="J3790" s="2" t="n">
        <x:v>5</x:v>
      </x:c>
      <x:c r="K3790" s="2" t="n">
        <x:v>5</x:v>
      </x:c>
      <x:c r="L3790" s="2" t="str">
        <x:v>Champions</x:v>
      </x:c>
    </x:row>
    <x:row r="3791" ht="22" customHeight="1">
      <x:c r="A3791" s="2"/>
      <x:c r="B3791" s="2" t="str">
        <x:v>16134</x:v>
      </x:c>
      <x:c r="C3791" s="2" t="str">
        <x:v>United Kingdom</x:v>
      </x:c>
      <x:c r="D3791" s="25" t="n">
        <x:v>40346.2</x:v>
      </x:c>
      <x:c r="E3791" s="25" t="n">
        <x:v>40865.211805555555</x:v>
      </x:c>
      <x:c r="F3791" s="2" t="n">
        <x:v>22</x:v>
      </x:c>
      <x:c r="G3791" s="2" t="n">
        <x:v>5</x:v>
      </x:c>
      <x:c r="H3791" s="11" t="n">
        <x:v>2145.34</x:v>
      </x:c>
      <x:c r="I3791" s="2" t="n">
        <x:v>4</x:v>
      </x:c>
      <x:c r="J3791" s="2" t="n">
        <x:v>4</x:v>
      </x:c>
      <x:c r="K3791" s="2" t="n">
        <x:v>4</x:v>
      </x:c>
      <x:c r="L3791" s="2" t="str">
        <x:v>Champions</x:v>
      </x:c>
    </x:row>
    <x:row r="3792" ht="22" customHeight="1">
      <x:c r="A3792" s="2"/>
      <x:c r="B3792" s="2" t="str">
        <x:v>16135</x:v>
      </x:c>
      <x:c r="C3792" s="2" t="str">
        <x:v>United Kingdom</x:v>
      </x:c>
      <x:c r="D3792" s="25" t="n">
        <x:v>40303.19097222222</x:v>
      </x:c>
      <x:c r="E3792" s="25" t="n">
        <x:v>40624.3125</x:v>
      </x:c>
      <x:c r="F3792" s="2" t="n">
        <x:v>263</x:v>
      </x:c>
      <x:c r="G3792" s="2" t="n">
        <x:v>2</x:v>
      </x:c>
      <x:c r="H3792" s="11" t="n">
        <x:v>819.45</x:v>
      </x:c>
      <x:c r="I3792" s="2" t="n">
        <x:v>2</x:v>
      </x:c>
      <x:c r="J3792" s="2" t="n">
        <x:v>2</x:v>
      </x:c>
      <x:c r="K3792" s="2" t="n">
        <x:v>3</x:v>
      </x:c>
      <x:c r="L3792" s="2" t="str">
        <x:v>Hibernating</x:v>
      </x:c>
    </x:row>
    <x:row r="3793" ht="22" customHeight="1">
      <x:c r="A3793" s="2"/>
      <x:c r="B3793" s="2" t="str">
        <x:v>16136</x:v>
      </x:c>
      <x:c r="C3793" s="2" t="str">
        <x:v>United Kingdom</x:v>
      </x:c>
      <x:c r="D3793" s="25" t="n">
        <x:v>40223.325694444444</x:v>
      </x:c>
      <x:c r="E3793" s="25" t="n">
        <x:v>40827.17361111111</x:v>
      </x:c>
      <x:c r="F3793" s="2" t="n">
        <x:v>60</x:v>
      </x:c>
      <x:c r="G3793" s="2" t="n">
        <x:v>4</x:v>
      </x:c>
      <x:c r="H3793" s="11" t="n">
        <x:v>946.8</x:v>
      </x:c>
      <x:c r="I3793" s="2" t="n">
        <x:v>3</x:v>
      </x:c>
      <x:c r="J3793" s="2" t="n">
        <x:v>3</x:v>
      </x:c>
      <x:c r="K3793" s="2" t="n">
        <x:v>3</x:v>
      </x:c>
      <x:c r="L3793" s="2" t="str">
        <x:v>Loyal</x:v>
      </x:c>
    </x:row>
    <x:row r="3794" ht="22" customHeight="1">
      <x:c r="A3794" s="2"/>
      <x:c r="B3794" s="2" t="str">
        <x:v>16137</x:v>
      </x:c>
      <x:c r="C3794" s="2" t="str">
        <x:v>United Kingdom</x:v>
      </x:c>
      <x:c r="D3794" s="25" t="n">
        <x:v>40206.419444444444</x:v>
      </x:c>
      <x:c r="E3794" s="25" t="n">
        <x:v>40206.419444444444</x:v>
      </x:c>
      <x:c r="F3794" s="2" t="n">
        <x:v>681</x:v>
      </x:c>
      <x:c r="G3794" s="2" t="n">
        <x:v>1</x:v>
      </x:c>
      <x:c r="H3794" s="11" t="n">
        <x:v>422.7</x:v>
      </x:c>
      <x:c r="I3794" s="2" t="n">
        <x:v>1</x:v>
      </x:c>
      <x:c r="J3794" s="2" t="n">
        <x:v>1</x:v>
      </x:c>
      <x:c r="K3794" s="2" t="n">
        <x:v>2</x:v>
      </x:c>
      <x:c r="L3794" s="2" t="str">
        <x:v>Hibernating</x:v>
      </x:c>
    </x:row>
    <x:row r="3795" ht="22" customHeight="1">
      <x:c r="A3795" s="2"/>
      <x:c r="B3795" s="2" t="str">
        <x:v>16138</x:v>
      </x:c>
      <x:c r="C3795" s="2" t="str">
        <x:v>United Kingdom</x:v>
      </x:c>
      <x:c r="D3795" s="25" t="n">
        <x:v>40296.20208333333</x:v>
      </x:c>
      <x:c r="E3795" s="25" t="n">
        <x:v>40508.30069444444</x:v>
      </x:c>
      <x:c r="F3795" s="2" t="n">
        <x:v>379</x:v>
      </x:c>
      <x:c r="G3795" s="2" t="n">
        <x:v>3</x:v>
      </x:c>
      <x:c r="H3795" s="11" t="n">
        <x:v>910.35</x:v>
      </x:c>
      <x:c r="I3795" s="2" t="n">
        <x:v>2</x:v>
      </x:c>
      <x:c r="J3795" s="2" t="n">
        <x:v>3</x:v>
      </x:c>
      <x:c r="K3795" s="2" t="n">
        <x:v>3</x:v>
      </x:c>
      <x:c r="L3795" s="2" t="str">
        <x:v>At risk</x:v>
      </x:c>
    </x:row>
    <x:row r="3796" ht="22" customHeight="1">
      <x:c r="A3796" s="2"/>
      <x:c r="B3796" s="2" t="str">
        <x:v>16139</x:v>
      </x:c>
      <x:c r="C3796" s="2" t="str">
        <x:v>United Kingdom</x:v>
      </x:c>
      <x:c r="D3796" s="25" t="n">
        <x:v>40150.36875</x:v>
      </x:c>
      <x:c r="E3796" s="25" t="n">
        <x:v>40868.15069444444</x:v>
      </x:c>
      <x:c r="F3796" s="2" t="n">
        <x:v>19</x:v>
      </x:c>
      <x:c r="G3796" s="2" t="n">
        <x:v>5</x:v>
      </x:c>
      <x:c r="H3796" s="11" t="n">
        <x:v>1111.15</x:v>
      </x:c>
      <x:c r="I3796" s="2" t="n">
        <x:v>5</x:v>
      </x:c>
      <x:c r="J3796" s="2" t="n">
        <x:v>4</x:v>
      </x:c>
      <x:c r="K3796" s="2" t="n">
        <x:v>3</x:v>
      </x:c>
      <x:c r="L3796" s="2" t="str">
        <x:v>Loyal</x:v>
      </x:c>
    </x:row>
    <x:row r="3797" ht="22" customHeight="1">
      <x:c r="A3797" s="2"/>
      <x:c r="B3797" s="2" t="str">
        <x:v>16140</x:v>
      </x:c>
      <x:c r="C3797" s="2" t="str">
        <x:v>United Kingdom</x:v>
      </x:c>
      <x:c r="D3797" s="25" t="n">
        <x:v>40445.29375</x:v>
      </x:c>
      <x:c r="E3797" s="25" t="n">
        <x:v>40821.302083333336</x:v>
      </x:c>
      <x:c r="F3797" s="2" t="n">
        <x:v>66</x:v>
      </x:c>
      <x:c r="G3797" s="2" t="n">
        <x:v>3</x:v>
      </x:c>
      <x:c r="H3797" s="11" t="n">
        <x:v>1433.46</x:v>
      </x:c>
      <x:c r="I3797" s="2" t="n">
        <x:v>3</x:v>
      </x:c>
      <x:c r="J3797" s="2" t="n">
        <x:v>3</x:v>
      </x:c>
      <x:c r="K3797" s="2" t="n">
        <x:v>4</x:v>
      </x:c>
      <x:c r="L3797" s="2" t="str">
        <x:v>Loyal</x:v>
      </x:c>
    </x:row>
    <x:row r="3798" ht="22" customHeight="1">
      <x:c r="A3798" s="2"/>
      <x:c r="B3798" s="2" t="str">
        <x:v>16141</x:v>
      </x:c>
      <x:c r="C3798" s="2" t="str">
        <x:v>United Kingdom</x:v>
      </x:c>
      <x:c r="D3798" s="25" t="n">
        <x:v>40469.38333333333</x:v>
      </x:c>
      <x:c r="E3798" s="25" t="n">
        <x:v>40798.34097222222</x:v>
      </x:c>
      <x:c r="F3798" s="2" t="n">
        <x:v>89</x:v>
      </x:c>
      <x:c r="G3798" s="2" t="n">
        <x:v>2</x:v>
      </x:c>
      <x:c r="H3798" s="11" t="n">
        <x:v>955.94</x:v>
      </x:c>
      <x:c r="I3798" s="2" t="n">
        <x:v>3</x:v>
      </x:c>
      <x:c r="J3798" s="2" t="n">
        <x:v>2</x:v>
      </x:c>
      <x:c r="K3798" s="2" t="n">
        <x:v>3</x:v>
      </x:c>
      <x:c r="L3798" s="2" t="str">
        <x:v>Developing</x:v>
      </x:c>
    </x:row>
    <x:row r="3799" ht="22" customHeight="1">
      <x:c r="A3799" s="2"/>
      <x:c r="B3799" s="2" t="str">
        <x:v>16142</x:v>
      </x:c>
      <x:c r="C3799" s="2" t="str">
        <x:v>United Kingdom</x:v>
      </x:c>
      <x:c r="D3799" s="25" t="n">
        <x:v>40637.21944444445</x:v>
      </x:c>
      <x:c r="E3799" s="25" t="n">
        <x:v>40637.21944444445</x:v>
      </x:c>
      <x:c r="F3799" s="2" t="n">
        <x:v>250</x:v>
      </x:c>
      <x:c r="G3799" s="2" t="n">
        <x:v>1</x:v>
      </x:c>
      <x:c r="H3799" s="11" t="n">
        <x:v>535.34</x:v>
      </x:c>
      <x:c r="I3799" s="2" t="n">
        <x:v>2</x:v>
      </x:c>
      <x:c r="J3799" s="2" t="n">
        <x:v>1</x:v>
      </x:c>
      <x:c r="K3799" s="2" t="n">
        <x:v>2</x:v>
      </x:c>
      <x:c r="L3799" s="2" t="str">
        <x:v>Hibernating</x:v>
      </x:c>
    </x:row>
    <x:row r="3800" ht="22" customHeight="1">
      <x:c r="A3800" s="2"/>
      <x:c r="B3800" s="2" t="str">
        <x:v>16143</x:v>
      </x:c>
      <x:c r="C3800" s="2" t="str">
        <x:v>United Kingdom</x:v>
      </x:c>
      <x:c r="D3800" s="25" t="n">
        <x:v>40157.197222222225</x:v>
      </x:c>
      <x:c r="E3800" s="25" t="n">
        <x:v>40883.38402777778</x:v>
      </x:c>
      <x:c r="F3800" s="2" t="n">
        <x:v>4</x:v>
      </x:c>
      <x:c r="G3800" s="2" t="n">
        <x:v>12</x:v>
      </x:c>
      <x:c r="H3800" s="11" t="n">
        <x:v>4555.08</x:v>
      </x:c>
      <x:c r="I3800" s="2" t="n">
        <x:v>5</x:v>
      </x:c>
      <x:c r="J3800" s="2" t="n">
        <x:v>5</x:v>
      </x:c>
      <x:c r="K3800" s="2" t="n">
        <x:v>5</x:v>
      </x:c>
      <x:c r="L3800" s="2" t="str">
        <x:v>Champions</x:v>
      </x:c>
    </x:row>
    <x:row r="3801" ht="22" customHeight="1">
      <x:c r="A3801" s="2"/>
      <x:c r="B3801" s="2" t="str">
        <x:v>16144</x:v>
      </x:c>
      <x:c r="C3801" s="2" t="str">
        <x:v>United Kingdom</x:v>
      </x:c>
      <x:c r="D3801" s="25" t="n">
        <x:v>40640.214583333334</x:v>
      </x:c>
      <x:c r="E3801" s="25" t="n">
        <x:v>40640.214583333334</x:v>
      </x:c>
      <x:c r="F3801" s="2" t="n">
        <x:v>247</x:v>
      </x:c>
      <x:c r="G3801" s="2" t="n">
        <x:v>1</x:v>
      </x:c>
      <x:c r="H3801" s="11" t="n">
        <x:v>175.2</x:v>
      </x:c>
      <x:c r="I3801" s="2" t="n">
        <x:v>2</x:v>
      </x:c>
      <x:c r="J3801" s="2" t="n">
        <x:v>1</x:v>
      </x:c>
      <x:c r="K3801" s="2" t="n">
        <x:v>1</x:v>
      </x:c>
      <x:c r="L3801" s="2" t="str">
        <x:v>Hibernating</x:v>
      </x:c>
    </x:row>
    <x:row r="3802" ht="22" customHeight="1">
      <x:c r="A3802" s="2"/>
      <x:c r="B3802" s="2" t="str">
        <x:v>16145</x:v>
      </x:c>
      <x:c r="C3802" s="2" t="str">
        <x:v>United Kingdom</x:v>
      </x:c>
      <x:c r="D3802" s="25" t="n">
        <x:v>40302.35486111111</x:v>
      </x:c>
      <x:c r="E3802" s="25" t="n">
        <x:v>40878.23125</x:v>
      </x:c>
      <x:c r="F3802" s="2" t="n">
        <x:v>9</x:v>
      </x:c>
      <x:c r="G3802" s="2" t="n">
        <x:v>19</x:v>
      </x:c>
      <x:c r="H3802" s="11" t="n">
        <x:v>6805.44</x:v>
      </x:c>
      <x:c r="I3802" s="2" t="n">
        <x:v>5</x:v>
      </x:c>
      <x:c r="J3802" s="2" t="n">
        <x:v>5</x:v>
      </x:c>
      <x:c r="K3802" s="2" t="n">
        <x:v>5</x:v>
      </x:c>
      <x:c r="L3802" s="2" t="str">
        <x:v>Champions</x:v>
      </x:c>
    </x:row>
    <x:row r="3803" ht="22" customHeight="1">
      <x:c r="A3803" s="2"/>
      <x:c r="B3803" s="2" t="str">
        <x:v>16146</x:v>
      </x:c>
      <x:c r="C3803" s="2" t="str">
        <x:v>United Kingdom</x:v>
      </x:c>
      <x:c r="D3803" s="25" t="n">
        <x:v>40438.240277777775</x:v>
      </x:c>
      <x:c r="E3803" s="25" t="n">
        <x:v>40729.38888888889</x:v>
      </x:c>
      <x:c r="F3803" s="2" t="n">
        <x:v>158</x:v>
      </x:c>
      <x:c r="G3803" s="2" t="n">
        <x:v>4</x:v>
      </x:c>
      <x:c r="H3803" s="11" t="n">
        <x:v>946.38</x:v>
      </x:c>
      <x:c r="I3803" s="2" t="n">
        <x:v>3</x:v>
      </x:c>
      <x:c r="J3803" s="2" t="n">
        <x:v>3</x:v>
      </x:c>
      <x:c r="K3803" s="2" t="n">
        <x:v>3</x:v>
      </x:c>
      <x:c r="L3803" s="2" t="str">
        <x:v>Loyal</x:v>
      </x:c>
    </x:row>
    <x:row r="3804" ht="22" customHeight="1">
      <x:c r="A3804" s="2"/>
      <x:c r="B3804" s="2" t="str">
        <x:v>16147</x:v>
      </x:c>
      <x:c r="C3804" s="2" t="str">
        <x:v>United Kingdom</x:v>
      </x:c>
      <x:c r="D3804" s="25" t="n">
        <x:v>40214.30972222222</x:v>
      </x:c>
      <x:c r="E3804" s="25" t="n">
        <x:v>40753.20625</x:v>
      </x:c>
      <x:c r="F3804" s="2" t="n">
        <x:v>134</x:v>
      </x:c>
      <x:c r="G3804" s="2" t="n">
        <x:v>5</x:v>
      </x:c>
      <x:c r="H3804" s="11" t="n">
        <x:v>2398.91</x:v>
      </x:c>
      <x:c r="I3804" s="2" t="n">
        <x:v>3</x:v>
      </x:c>
      <x:c r="J3804" s="2" t="n">
        <x:v>4</x:v>
      </x:c>
      <x:c r="K3804" s="2" t="n">
        <x:v>4</x:v>
      </x:c>
      <x:c r="L3804" s="2" t="str">
        <x:v>Loyal</x:v>
      </x:c>
    </x:row>
    <x:row r="3805" ht="22" customHeight="1">
      <x:c r="A3805" s="2"/>
      <x:c r="B3805" s="2" t="str">
        <x:v>16148</x:v>
      </x:c>
      <x:c r="C3805" s="2" t="str">
        <x:v>United Kingdom</x:v>
      </x:c>
      <x:c r="D3805" s="25" t="n">
        <x:v>40450.21666666667</x:v>
      </x:c>
      <x:c r="E3805" s="25" t="n">
        <x:v>40590.37569444445</x:v>
      </x:c>
      <x:c r="F3805" s="2" t="n">
        <x:v>297</x:v>
      </x:c>
      <x:c r="G3805" s="2" t="n">
        <x:v>2</x:v>
      </x:c>
      <x:c r="H3805" s="11" t="n">
        <x:v>386.62</x:v>
      </x:c>
      <x:c r="I3805" s="2" t="n">
        <x:v>2</x:v>
      </x:c>
      <x:c r="J3805" s="2" t="n">
        <x:v>2</x:v>
      </x:c>
      <x:c r="K3805" s="2" t="n">
        <x:v>2</x:v>
      </x:c>
      <x:c r="L3805" s="2" t="str">
        <x:v>Hibernating</x:v>
      </x:c>
    </x:row>
    <x:row r="3806" ht="22" customHeight="1">
      <x:c r="A3806" s="2"/>
      <x:c r="B3806" s="2" t="str">
        <x:v>16149</x:v>
      </x:c>
      <x:c r="C3806" s="2" t="str">
        <x:v>United Kingdom</x:v>
      </x:c>
      <x:c r="D3806" s="25" t="n">
        <x:v>40457.45416666667</x:v>
      </x:c>
      <x:c r="E3806" s="25" t="n">
        <x:v>40882.27013888889</x:v>
      </x:c>
      <x:c r="F3806" s="2" t="n">
        <x:v>5</x:v>
      </x:c>
      <x:c r="G3806" s="2" t="n">
        <x:v>3</x:v>
      </x:c>
      <x:c r="H3806" s="11" t="n">
        <x:v>422.22</x:v>
      </x:c>
      <x:c r="I3806" s="2" t="n">
        <x:v>5</x:v>
      </x:c>
      <x:c r="J3806" s="2" t="n">
        <x:v>3</x:v>
      </x:c>
      <x:c r="K3806" s="2" t="n">
        <x:v>2</x:v>
      </x:c>
      <x:c r="L3806" s="2" t="str">
        <x:v>Loyal</x:v>
      </x:c>
    </x:row>
    <x:row r="3807" ht="22" customHeight="1">
      <x:c r="A3807" s="2"/>
      <x:c r="B3807" s="2" t="str">
        <x:v>16150</x:v>
      </x:c>
      <x:c r="C3807" s="2" t="str">
        <x:v>United Kingdom</x:v>
      </x:c>
      <x:c r="D3807" s="25" t="n">
        <x:v>40164.43958333333</x:v>
      </x:c>
      <x:c r="E3807" s="25" t="n">
        <x:v>40844.31875</x:v>
      </x:c>
      <x:c r="F3807" s="2" t="n">
        <x:v>43</x:v>
      </x:c>
      <x:c r="G3807" s="2" t="n">
        <x:v>10</x:v>
      </x:c>
      <x:c r="H3807" s="11" t="n">
        <x:v>4002.17</x:v>
      </x:c>
      <x:c r="I3807" s="2" t="n">
        <x:v>4</x:v>
      </x:c>
      <x:c r="J3807" s="2" t="n">
        <x:v>5</x:v>
      </x:c>
      <x:c r="K3807" s="2" t="n">
        <x:v>5</x:v>
      </x:c>
      <x:c r="L3807" s="2" t="str">
        <x:v>Champions</x:v>
      </x:c>
    </x:row>
    <x:row r="3808" ht="22" customHeight="1">
      <x:c r="A3808" s="2"/>
      <x:c r="B3808" s="2" t="str">
        <x:v>16152</x:v>
      </x:c>
      <x:c r="C3808" s="2" t="str">
        <x:v>United Kingdom</x:v>
      </x:c>
      <x:c r="D3808" s="25" t="n">
        <x:v>40618.19930555556</x:v>
      </x:c>
      <x:c r="E3808" s="25" t="n">
        <x:v>40618.19930555556</x:v>
      </x:c>
      <x:c r="F3808" s="2" t="n">
        <x:v>269</x:v>
      </x:c>
      <x:c r="G3808" s="2" t="n">
        <x:v>1</x:v>
      </x:c>
      <x:c r="H3808" s="11" t="n">
        <x:v>1829.04</x:v>
      </x:c>
      <x:c r="I3808" s="2" t="n">
        <x:v>2</x:v>
      </x:c>
      <x:c r="J3808" s="2" t="n">
        <x:v>1</x:v>
      </x:c>
      <x:c r="K3808" s="2" t="n">
        <x:v>4</x:v>
      </x:c>
      <x:c r="L3808" s="2" t="str">
        <x:v>Hibernating</x:v>
      </x:c>
    </x:row>
    <x:row r="3809" ht="22" customHeight="1">
      <x:c r="A3809" s="2"/>
      <x:c r="B3809" s="2" t="str">
        <x:v>16153</x:v>
      </x:c>
      <x:c r="C3809" s="2" t="str">
        <x:v>United Kingdom</x:v>
      </x:c>
      <x:c r="D3809" s="25" t="n">
        <x:v>40324.32013888889</x:v>
      </x:c>
      <x:c r="E3809" s="25" t="n">
        <x:v>40837.243055555555</x:v>
      </x:c>
      <x:c r="F3809" s="2" t="n">
        <x:v>50</x:v>
      </x:c>
      <x:c r="G3809" s="2" t="n">
        <x:v>11</x:v>
      </x:c>
      <x:c r="H3809" s="11" t="n">
        <x:v>5133.49</x:v>
      </x:c>
      <x:c r="I3809" s="2" t="n">
        <x:v>4</x:v>
      </x:c>
      <x:c r="J3809" s="2" t="n">
        <x:v>5</x:v>
      </x:c>
      <x:c r="K3809" s="2" t="n">
        <x:v>5</x:v>
      </x:c>
      <x:c r="L3809" s="2" t="str">
        <x:v>Champions</x:v>
      </x:c>
    </x:row>
    <x:row r="3810" ht="22" customHeight="1">
      <x:c r="A3810" s="2"/>
      <x:c r="B3810" s="2" t="str">
        <x:v>16155</x:v>
      </x:c>
      <x:c r="C3810" s="2" t="str">
        <x:v>United Kingdom</x:v>
      </x:c>
      <x:c r="D3810" s="25" t="n">
        <x:v>40347.26597222222</x:v>
      </x:c>
      <x:c r="E3810" s="25" t="n">
        <x:v>40505.29375</x:v>
      </x:c>
      <x:c r="F3810" s="2" t="n">
        <x:v>382</x:v>
      </x:c>
      <x:c r="G3810" s="2" t="n">
        <x:v>5</x:v>
      </x:c>
      <x:c r="H3810" s="11" t="n">
        <x:v>796.9</x:v>
      </x:c>
      <x:c r="I3810" s="2" t="n">
        <x:v>2</x:v>
      </x:c>
      <x:c r="J3810" s="2" t="n">
        <x:v>4</x:v>
      </x:c>
      <x:c r="K3810" s="2" t="n">
        <x:v>3</x:v>
      </x:c>
      <x:c r="L3810" s="2" t="str">
        <x:v>At risk</x:v>
      </x:c>
    </x:row>
    <x:row r="3811" ht="22" customHeight="1">
      <x:c r="A3811" s="2"/>
      <x:c r="B3811" s="2" t="str">
        <x:v>16156</x:v>
      </x:c>
      <x:c r="C3811" s="2" t="str">
        <x:v>United Kingdom</x:v>
      </x:c>
      <x:c r="D3811" s="25" t="n">
        <x:v>40149.504166666666</x:v>
      </x:c>
      <x:c r="E3811" s="25" t="n">
        <x:v>40878.32083333333</x:v>
      </x:c>
      <x:c r="F3811" s="2" t="n">
        <x:v>9</x:v>
      </x:c>
      <x:c r="G3811" s="2" t="n">
        <x:v>20</x:v>
      </x:c>
      <x:c r="H3811" s="11" t="n">
        <x:v>6218.18</x:v>
      </x:c>
      <x:c r="I3811" s="2" t="n">
        <x:v>5</x:v>
      </x:c>
      <x:c r="J3811" s="2" t="n">
        <x:v>5</x:v>
      </x:c>
      <x:c r="K3811" s="2" t="n">
        <x:v>5</x:v>
      </x:c>
      <x:c r="L3811" s="2" t="str">
        <x:v>Champions</x:v>
      </x:c>
    </x:row>
    <x:row r="3812" ht="22" customHeight="1">
      <x:c r="A3812" s="2"/>
      <x:c r="B3812" s="2" t="str">
        <x:v>16157</x:v>
      </x:c>
      <x:c r="C3812" s="2" t="str">
        <x:v>United Kingdom</x:v>
      </x:c>
      <x:c r="D3812" s="25" t="n">
        <x:v>40814.28333333333</x:v>
      </x:c>
      <x:c r="E3812" s="25" t="n">
        <x:v>40871.27847222222</x:v>
      </x:c>
      <x:c r="F3812" s="2" t="n">
        <x:v>16</x:v>
      </x:c>
      <x:c r="G3812" s="2" t="n">
        <x:v>3</x:v>
      </x:c>
      <x:c r="H3812" s="11" t="n">
        <x:v>656.69</x:v>
      </x:c>
      <x:c r="I3812" s="2" t="n">
        <x:v>5</x:v>
      </x:c>
      <x:c r="J3812" s="2" t="n">
        <x:v>3</x:v>
      </x:c>
      <x:c r="K3812" s="2" t="n">
        <x:v>3</x:v>
      </x:c>
      <x:c r="L3812" s="2" t="str">
        <x:v>Loyal</x:v>
      </x:c>
    </x:row>
    <x:row r="3813" ht="22" customHeight="1">
      <x:c r="A3813" s="2"/>
      <x:c r="B3813" s="2" t="str">
        <x:v>16158</x:v>
      </x:c>
      <x:c r="C3813" s="2" t="str">
        <x:v>United Kingdom</x:v>
      </x:c>
      <x:c r="D3813" s="25" t="n">
        <x:v>40152.416666666664</x:v>
      </x:c>
      <x:c r="E3813" s="25" t="n">
        <x:v>40364.37152777778</x:v>
      </x:c>
      <x:c r="F3813" s="2" t="n">
        <x:v>523</x:v>
      </x:c>
      <x:c r="G3813" s="2" t="n">
        <x:v>9</x:v>
      </x:c>
      <x:c r="H3813" s="11" t="n">
        <x:v>628.32</x:v>
      </x:c>
      <x:c r="I3813" s="2" t="n">
        <x:v>1</x:v>
      </x:c>
      <x:c r="J3813" s="2" t="n">
        <x:v>5</x:v>
      </x:c>
      <x:c r="K3813" s="2" t="n">
        <x:v>3</x:v>
      </x:c>
      <x:c r="L3813" s="2" t="str">
        <x:v>At risk</x:v>
      </x:c>
    </x:row>
    <x:row r="3814" ht="22" customHeight="1">
      <x:c r="A3814" s="2"/>
      <x:c r="B3814" s="2" t="str">
        <x:v>16159</x:v>
      </x:c>
      <x:c r="C3814" s="2" t="str">
        <x:v>United Kingdom</x:v>
      </x:c>
      <x:c r="D3814" s="25" t="n">
        <x:v>40150.285416666666</x:v>
      </x:c>
      <x:c r="E3814" s="25" t="n">
        <x:v>40605.31041666667</x:v>
      </x:c>
      <x:c r="F3814" s="2" t="n">
        <x:v>282</x:v>
      </x:c>
      <x:c r="G3814" s="2" t="n">
        <x:v>4</x:v>
      </x:c>
      <x:c r="H3814" s="11" t="n">
        <x:v>1232.79</x:v>
      </x:c>
      <x:c r="I3814" s="2" t="n">
        <x:v>2</x:v>
      </x:c>
      <x:c r="J3814" s="2" t="n">
        <x:v>3</x:v>
      </x:c>
      <x:c r="K3814" s="2" t="n">
        <x:v>4</x:v>
      </x:c>
      <x:c r="L3814" s="2" t="str">
        <x:v>At risk</x:v>
      </x:c>
    </x:row>
    <x:row r="3815" ht="22" customHeight="1">
      <x:c r="A3815" s="2"/>
      <x:c r="B3815" s="2" t="str">
        <x:v>16160</x:v>
      </x:c>
      <x:c r="C3815" s="2" t="str">
        <x:v>United Kingdom</x:v>
      </x:c>
      <x:c r="D3815" s="25" t="n">
        <x:v>40801.24513888889</x:v>
      </x:c>
      <x:c r="E3815" s="25" t="n">
        <x:v>40821.388194444444</x:v>
      </x:c>
      <x:c r="F3815" s="2" t="n">
        <x:v>66</x:v>
      </x:c>
      <x:c r="G3815" s="2" t="n">
        <x:v>2</x:v>
      </x:c>
      <x:c r="H3815" s="11" t="n">
        <x:v>1025.44</x:v>
      </x:c>
      <x:c r="I3815" s="2" t="n">
        <x:v>3</x:v>
      </x:c>
      <x:c r="J3815" s="2" t="n">
        <x:v>2</x:v>
      </x:c>
      <x:c r="K3815" s="2" t="n">
        <x:v>3</x:v>
      </x:c>
      <x:c r="L3815" s="2" t="str">
        <x:v>Developing</x:v>
      </x:c>
    </x:row>
    <x:row r="3816" ht="22" customHeight="1">
      <x:c r="A3816" s="2"/>
      <x:c r="B3816" s="2" t="str">
        <x:v>16161</x:v>
      </x:c>
      <x:c r="C3816" s="2" t="str">
        <x:v>United Kingdom</x:v>
      </x:c>
      <x:c r="D3816" s="25" t="n">
        <x:v>40217.254166666666</x:v>
      </x:c>
      <x:c r="E3816" s="25" t="n">
        <x:v>40885.29861111111</x:v>
      </x:c>
      <x:c r="F3816" s="2" t="n">
        <x:v>2</x:v>
      </x:c>
      <x:c r="G3816" s="2" t="n">
        <x:v>43</x:v>
      </x:c>
      <x:c r="H3816" s="11" t="n">
        <x:v>12667.6</x:v>
      </x:c>
      <x:c r="I3816" s="2" t="n">
        <x:v>5</x:v>
      </x:c>
      <x:c r="J3816" s="2" t="n">
        <x:v>5</x:v>
      </x:c>
      <x:c r="K3816" s="2" t="n">
        <x:v>5</x:v>
      </x:c>
      <x:c r="L3816" s="2" t="str">
        <x:v>Champions</x:v>
      </x:c>
    </x:row>
    <x:row r="3817" ht="22" customHeight="1">
      <x:c r="A3817" s="2"/>
      <x:c r="B3817" s="2" t="str">
        <x:v>16162</x:v>
      </x:c>
      <x:c r="C3817" s="2" t="str">
        <x:v>United Kingdom</x:v>
      </x:c>
      <x:c r="D3817" s="25" t="n">
        <x:v>40634.41875</x:v>
      </x:c>
      <x:c r="E3817" s="25" t="n">
        <x:v>40634.41875</x:v>
      </x:c>
      <x:c r="F3817" s="2" t="n">
        <x:v>253</x:v>
      </x:c>
      <x:c r="G3817" s="2" t="n">
        <x:v>1</x:v>
      </x:c>
      <x:c r="H3817" s="11" t="n">
        <x:v>37.4</x:v>
      </x:c>
      <x:c r="I3817" s="2" t="n">
        <x:v>2</x:v>
      </x:c>
      <x:c r="J3817" s="2" t="n">
        <x:v>1</x:v>
      </x:c>
      <x:c r="K3817" s="2" t="n">
        <x:v>1</x:v>
      </x:c>
      <x:c r="L3817" s="2" t="str">
        <x:v>Hibernating</x:v>
      </x:c>
    </x:row>
    <x:row r="3818" ht="22" customHeight="1">
      <x:c r="A3818" s="2"/>
      <x:c r="B3818" s="2" t="str">
        <x:v>16163</x:v>
      </x:c>
      <x:c r="C3818" s="2" t="str">
        <x:v>United Kingdom</x:v>
      </x:c>
      <x:c r="D3818" s="25" t="n">
        <x:v>40149.208333333336</x:v>
      </x:c>
      <x:c r="E3818" s="25" t="n">
        <x:v>40654.427083333336</x:v>
      </x:c>
      <x:c r="F3818" s="2" t="n">
        <x:v>233</x:v>
      </x:c>
      <x:c r="G3818" s="2" t="n">
        <x:v>6</x:v>
      </x:c>
      <x:c r="H3818" s="11" t="n">
        <x:v>2407.98</x:v>
      </x:c>
      <x:c r="I3818" s="2" t="n">
        <x:v>2</x:v>
      </x:c>
      <x:c r="J3818" s="2" t="n">
        <x:v>4</x:v>
      </x:c>
      <x:c r="K3818" s="2" t="n">
        <x:v>4</x:v>
      </x:c>
      <x:c r="L3818" s="2" t="str">
        <x:v>At risk</x:v>
      </x:c>
    </x:row>
    <x:row r="3819" ht="22" customHeight="1">
      <x:c r="A3819" s="2"/>
      <x:c r="B3819" s="2" t="str">
        <x:v>16164</x:v>
      </x:c>
      <x:c r="C3819" s="2" t="str">
        <x:v>United Kingdom</x:v>
      </x:c>
      <x:c r="D3819" s="25" t="n">
        <x:v>40844.175</x:v>
      </x:c>
      <x:c r="E3819" s="25" t="n">
        <x:v>40869.419444444444</x:v>
      </x:c>
      <x:c r="F3819" s="2" t="n">
        <x:v>18</x:v>
      </x:c>
      <x:c r="G3819" s="2" t="n">
        <x:v>3</x:v>
      </x:c>
      <x:c r="H3819" s="11" t="n">
        <x:v>822.48</x:v>
      </x:c>
      <x:c r="I3819" s="2" t="n">
        <x:v>5</x:v>
      </x:c>
      <x:c r="J3819" s="2" t="n">
        <x:v>3</x:v>
      </x:c>
      <x:c r="K3819" s="2" t="n">
        <x:v>3</x:v>
      </x:c>
      <x:c r="L3819" s="2" t="str">
        <x:v>Loyal</x:v>
      </x:c>
    </x:row>
    <x:row r="3820" ht="22" customHeight="1">
      <x:c r="A3820" s="2"/>
      <x:c r="B3820" s="2" t="str">
        <x:v>16165</x:v>
      </x:c>
      <x:c r="C3820" s="2" t="str">
        <x:v>United Kingdom</x:v>
      </x:c>
      <x:c r="D3820" s="25" t="n">
        <x:v>40381.38680555556</x:v>
      </x:c>
      <x:c r="E3820" s="25" t="n">
        <x:v>40381.38680555556</x:v>
      </x:c>
      <x:c r="F3820" s="2" t="n">
        <x:v>506</x:v>
      </x:c>
      <x:c r="G3820" s="2" t="n">
        <x:v>1</x:v>
      </x:c>
      <x:c r="H3820" s="11" t="n">
        <x:v>79.9</x:v>
      </x:c>
      <x:c r="I3820" s="2" t="n">
        <x:v>1</x:v>
      </x:c>
      <x:c r="J3820" s="2" t="n">
        <x:v>1</x:v>
      </x:c>
      <x:c r="K3820" s="2" t="n">
        <x:v>1</x:v>
      </x:c>
      <x:c r="L3820" s="2" t="str">
        <x:v>Hibernating</x:v>
      </x:c>
    </x:row>
    <x:row r="3821" ht="22" customHeight="1">
      <x:c r="A3821" s="2"/>
      <x:c r="B3821" s="2" t="str">
        <x:v>16166</x:v>
      </x:c>
      <x:c r="C3821" s="2" t="str">
        <x:v>United Kingdom</x:v>
      </x:c>
      <x:c r="D3821" s="25" t="n">
        <x:v>40195.38611111111</x:v>
      </x:c>
      <x:c r="E3821" s="25" t="n">
        <x:v>40458.447222222225</x:v>
      </x:c>
      <x:c r="F3821" s="2" t="n">
        <x:v>429</x:v>
      </x:c>
      <x:c r="G3821" s="2" t="n">
        <x:v>2</x:v>
      </x:c>
      <x:c r="H3821" s="11" t="n">
        <x:v>435.83</x:v>
      </x:c>
      <x:c r="I3821" s="2" t="n">
        <x:v>1</x:v>
      </x:c>
      <x:c r="J3821" s="2" t="n">
        <x:v>2</x:v>
      </x:c>
      <x:c r="K3821" s="2" t="n">
        <x:v>2</x:v>
      </x:c>
      <x:c r="L3821" s="2" t="str">
        <x:v>Hibernating</x:v>
      </x:c>
    </x:row>
    <x:row r="3822" ht="22" customHeight="1">
      <x:c r="A3822" s="2"/>
      <x:c r="B3822" s="2" t="str">
        <x:v>16167</x:v>
      </x:c>
      <x:c r="C3822" s="2" t="str">
        <x:v>United Kingdom</x:v>
      </x:c>
      <x:c r="D3822" s="25" t="n">
        <x:v>40148.240277777775</x:v>
      </x:c>
      <x:c r="E3822" s="25" t="n">
        <x:v>40472.43958333333</x:v>
      </x:c>
      <x:c r="F3822" s="2" t="n">
        <x:v>415</x:v>
      </x:c>
      <x:c r="G3822" s="2" t="n">
        <x:v>5</x:v>
      </x:c>
      <x:c r="H3822" s="11" t="n">
        <x:v>1386.12</x:v>
      </x:c>
      <x:c r="I3822" s="2" t="n">
        <x:v>1</x:v>
      </x:c>
      <x:c r="J3822" s="2" t="n">
        <x:v>4</x:v>
      </x:c>
      <x:c r="K3822" s="2" t="n">
        <x:v>4</x:v>
      </x:c>
      <x:c r="L3822" s="2" t="str">
        <x:v>At risk</x:v>
      </x:c>
    </x:row>
    <x:row r="3823" ht="22" customHeight="1">
      <x:c r="A3823" s="2"/>
      <x:c r="B3823" s="2" t="str">
        <x:v>16168</x:v>
      </x:c>
      <x:c r="C3823" s="2" t="str">
        <x:v>United Kingdom</x:v>
      </x:c>
      <x:c r="D3823" s="25" t="n">
        <x:v>40150.31805555556</x:v>
      </x:c>
      <x:c r="E3823" s="25" t="n">
        <x:v>40876.322916666664</x:v>
      </x:c>
      <x:c r="F3823" s="2" t="n">
        <x:v>11</x:v>
      </x:c>
      <x:c r="G3823" s="2" t="n">
        <x:v>66</x:v>
      </x:c>
      <x:c r="H3823" s="11" t="n">
        <x:v>10360.67</x:v>
      </x:c>
      <x:c r="I3823" s="2" t="n">
        <x:v>5</x:v>
      </x:c>
      <x:c r="J3823" s="2" t="n">
        <x:v>5</x:v>
      </x:c>
      <x:c r="K3823" s="2" t="n">
        <x:v>5</x:v>
      </x:c>
      <x:c r="L3823" s="2" t="str">
        <x:v>Champions</x:v>
      </x:c>
    </x:row>
    <x:row r="3824" ht="22" customHeight="1">
      <x:c r="A3824" s="2"/>
      <x:c r="B3824" s="2" t="str">
        <x:v>16169</x:v>
      </x:c>
      <x:c r="C3824" s="2" t="str">
        <x:v>United Kingdom</x:v>
      </x:c>
      <x:c r="D3824" s="25" t="n">
        <x:v>40811.27291666667</x:v>
      </x:c>
      <x:c r="E3824" s="25" t="n">
        <x:v>40878.436111111114</x:v>
      </x:c>
      <x:c r="F3824" s="2" t="n">
        <x:v>9</x:v>
      </x:c>
      <x:c r="G3824" s="2" t="n">
        <x:v>4</x:v>
      </x:c>
      <x:c r="H3824" s="11" t="n">
        <x:v>1822.97</x:v>
      </x:c>
      <x:c r="I3824" s="2" t="n">
        <x:v>5</x:v>
      </x:c>
      <x:c r="J3824" s="2" t="n">
        <x:v>3</x:v>
      </x:c>
      <x:c r="K3824" s="2" t="n">
        <x:v>4</x:v>
      </x:c>
      <x:c r="L3824" s="2" t="str">
        <x:v>Loyal</x:v>
      </x:c>
    </x:row>
    <x:row r="3825" ht="22" customHeight="1">
      <x:c r="A3825" s="2"/>
      <x:c r="B3825" s="2" t="str">
        <x:v>16170</x:v>
      </x:c>
      <x:c r="C3825" s="2" t="str">
        <x:v>United Kingdom</x:v>
      </x:c>
      <x:c r="D3825" s="25" t="n">
        <x:v>40227.368055555555</x:v>
      </x:c>
      <x:c r="E3825" s="25" t="n">
        <x:v>40836.13958333333</x:v>
      </x:c>
      <x:c r="F3825" s="2" t="n">
        <x:v>51</x:v>
      </x:c>
      <x:c r="G3825" s="2" t="n">
        <x:v>20</x:v>
      </x:c>
      <x:c r="H3825" s="11" t="n">
        <x:v>6869</x:v>
      </x:c>
      <x:c r="I3825" s="2" t="n">
        <x:v>4</x:v>
      </x:c>
      <x:c r="J3825" s="2" t="n">
        <x:v>5</x:v>
      </x:c>
      <x:c r="K3825" s="2" t="n">
        <x:v>5</x:v>
      </x:c>
      <x:c r="L3825" s="2" t="str">
        <x:v>Champions</x:v>
      </x:c>
    </x:row>
    <x:row r="3826" ht="22" customHeight="1">
      <x:c r="A3826" s="2"/>
      <x:c r="B3826" s="2" t="str">
        <x:v>16171</x:v>
      </x:c>
      <x:c r="C3826" s="2" t="str">
        <x:v>United Kingdom</x:v>
      </x:c>
      <x:c r="D3826" s="25" t="n">
        <x:v>40827.410416666666</x:v>
      </x:c>
      <x:c r="E3826" s="25" t="n">
        <x:v>40827.410416666666</x:v>
      </x:c>
      <x:c r="F3826" s="2" t="n">
        <x:v>60</x:v>
      </x:c>
      <x:c r="G3826" s="2" t="n">
        <x:v>1</x:v>
      </x:c>
      <x:c r="H3826" s="11" t="n">
        <x:v>73.2</x:v>
      </x:c>
      <x:c r="I3826" s="2" t="n">
        <x:v>3</x:v>
      </x:c>
      <x:c r="J3826" s="2" t="n">
        <x:v>1</x:v>
      </x:c>
      <x:c r="K3826" s="2" t="n">
        <x:v>1</x:v>
      </x:c>
      <x:c r="L3826" s="2" t="str">
        <x:v>Developing</x:v>
      </x:c>
    </x:row>
    <x:row r="3827" ht="22" customHeight="1">
      <x:c r="A3827" s="2"/>
      <x:c r="B3827" s="2" t="str">
        <x:v>16172</x:v>
      </x:c>
      <x:c r="C3827" s="2" t="str">
        <x:v>United Kingdom</x:v>
      </x:c>
      <x:c r="D3827" s="25" t="n">
        <x:v>40373.44027777778</x:v>
      </x:c>
      <x:c r="E3827" s="25" t="n">
        <x:v>40791.34861111111</x:v>
      </x:c>
      <x:c r="F3827" s="2" t="n">
        <x:v>96</x:v>
      </x:c>
      <x:c r="G3827" s="2" t="n">
        <x:v>8</x:v>
      </x:c>
      <x:c r="H3827" s="11" t="n">
        <x:v>1884.55</x:v>
      </x:c>
      <x:c r="I3827" s="2" t="n">
        <x:v>3</x:v>
      </x:c>
      <x:c r="J3827" s="2" t="n">
        <x:v>4</x:v>
      </x:c>
      <x:c r="K3827" s="2" t="n">
        <x:v>4</x:v>
      </x:c>
      <x:c r="L3827" s="2" t="str">
        <x:v>Loyal</x:v>
      </x:c>
    </x:row>
    <x:row r="3828" ht="22" customHeight="1">
      <x:c r="A3828" s="2"/>
      <x:c r="B3828" s="2" t="str">
        <x:v>16173</x:v>
      </x:c>
      <x:c r="C3828" s="2" t="str">
        <x:v>United Kingdom</x:v>
      </x:c>
      <x:c r="D3828" s="25" t="n">
        <x:v>40788.43263888889</x:v>
      </x:c>
      <x:c r="E3828" s="25" t="n">
        <x:v>40871.24513888889</x:v>
      </x:c>
      <x:c r="F3828" s="2" t="n">
        <x:v>16</x:v>
      </x:c>
      <x:c r="G3828" s="2" t="n">
        <x:v>6</x:v>
      </x:c>
      <x:c r="H3828" s="11" t="n">
        <x:v>1418.32</x:v>
      </x:c>
      <x:c r="I3828" s="2" t="n">
        <x:v>5</x:v>
      </x:c>
      <x:c r="J3828" s="2" t="n">
        <x:v>4</x:v>
      </x:c>
      <x:c r="K3828" s="2" t="n">
        <x:v>4</x:v>
      </x:c>
      <x:c r="L3828" s="2" t="str">
        <x:v>Champions</x:v>
      </x:c>
    </x:row>
    <x:row r="3829" ht="22" customHeight="1">
      <x:c r="A3829" s="2"/>
      <x:c r="B3829" s="2" t="str">
        <x:v>16174</x:v>
      </x:c>
      <x:c r="C3829" s="2" t="str">
        <x:v>United Kingdom</x:v>
      </x:c>
      <x:c r="D3829" s="25" t="n">
        <x:v>40283.425</x:v>
      </x:c>
      <x:c r="E3829" s="25" t="n">
        <x:v>40760.35138888889</x:v>
      </x:c>
      <x:c r="F3829" s="2" t="n">
        <x:v>127</x:v>
      </x:c>
      <x:c r="G3829" s="2" t="n">
        <x:v>7</x:v>
      </x:c>
      <x:c r="H3829" s="11" t="n">
        <x:v>2246.75</x:v>
      </x:c>
      <x:c r="I3829" s="2" t="n">
        <x:v>3</x:v>
      </x:c>
      <x:c r="J3829" s="2" t="n">
        <x:v>4</x:v>
      </x:c>
      <x:c r="K3829" s="2" t="n">
        <x:v>4</x:v>
      </x:c>
      <x:c r="L3829" s="2" t="str">
        <x:v>Loyal</x:v>
      </x:c>
    </x:row>
    <x:row r="3830" ht="22" customHeight="1">
      <x:c r="A3830" s="2"/>
      <x:c r="B3830" s="2" t="str">
        <x:v>16175</x:v>
      </x:c>
      <x:c r="C3830" s="2" t="str">
        <x:v>United Kingdom</x:v>
      </x:c>
      <x:c r="D3830" s="25" t="n">
        <x:v>40323.29236111111</x:v>
      </x:c>
      <x:c r="E3830" s="25" t="n">
        <x:v>40792.39722222222</x:v>
      </x:c>
      <x:c r="F3830" s="2" t="n">
        <x:v>95</x:v>
      </x:c>
      <x:c r="G3830" s="2" t="n">
        <x:v>7</x:v>
      </x:c>
      <x:c r="H3830" s="11" t="n">
        <x:v>1836.44</x:v>
      </x:c>
      <x:c r="I3830" s="2" t="n">
        <x:v>3</x:v>
      </x:c>
      <x:c r="J3830" s="2" t="n">
        <x:v>4</x:v>
      </x:c>
      <x:c r="K3830" s="2" t="n">
        <x:v>4</x:v>
      </x:c>
      <x:c r="L3830" s="2" t="str">
        <x:v>Loyal</x:v>
      </x:c>
    </x:row>
    <x:row r="3831" ht="22" customHeight="1">
      <x:c r="A3831" s="2"/>
      <x:c r="B3831" s="2" t="str">
        <x:v>16176</x:v>
      </x:c>
      <x:c r="C3831" s="2" t="str">
        <x:v>United Kingdom</x:v>
      </x:c>
      <x:c r="D3831" s="25" t="n">
        <x:v>40266.41111111111</x:v>
      </x:c>
      <x:c r="E3831" s="25" t="n">
        <x:v>40465.370833333334</x:v>
      </x:c>
      <x:c r="F3831" s="2" t="n">
        <x:v>422</x:v>
      </x:c>
      <x:c r="G3831" s="2" t="n">
        <x:v>4</x:v>
      </x:c>
      <x:c r="H3831" s="11" t="n">
        <x:v>2052.69</x:v>
      </x:c>
      <x:c r="I3831" s="2" t="n">
        <x:v>1</x:v>
      </x:c>
      <x:c r="J3831" s="2" t="n">
        <x:v>3</x:v>
      </x:c>
      <x:c r="K3831" s="2" t="n">
        <x:v>4</x:v>
      </x:c>
      <x:c r="L3831" s="2" t="str">
        <x:v>At risk</x:v>
      </x:c>
    </x:row>
    <x:row r="3832" ht="22" customHeight="1">
      <x:c r="A3832" s="2"/>
      <x:c r="B3832" s="2" t="str">
        <x:v>16177</x:v>
      </x:c>
      <x:c r="C3832" s="2" t="str">
        <x:v>United Kingdom</x:v>
      </x:c>
      <x:c r="D3832" s="25" t="n">
        <x:v>40239.37708333333</x:v>
      </x:c>
      <x:c r="E3832" s="25" t="n">
        <x:v>40836.33125</x:v>
      </x:c>
      <x:c r="F3832" s="2" t="n">
        <x:v>51</x:v>
      </x:c>
      <x:c r="G3832" s="2" t="n">
        <x:v>8</x:v>
      </x:c>
      <x:c r="H3832" s="11" t="n">
        <x:v>2247.31</x:v>
      </x:c>
      <x:c r="I3832" s="2" t="n">
        <x:v>4</x:v>
      </x:c>
      <x:c r="J3832" s="2" t="n">
        <x:v>4</x:v>
      </x:c>
      <x:c r="K3832" s="2" t="n">
        <x:v>4</x:v>
      </x:c>
      <x:c r="L3832" s="2" t="str">
        <x:v>Champions</x:v>
      </x:c>
    </x:row>
    <x:row r="3833" ht="22" customHeight="1">
      <x:c r="A3833" s="2"/>
      <x:c r="B3833" s="2" t="str">
        <x:v>16178</x:v>
      </x:c>
      <x:c r="C3833" s="2" t="str">
        <x:v>United Kingdom</x:v>
      </x:c>
      <x:c r="D3833" s="25" t="n">
        <x:v>40485.40694444445</x:v>
      </x:c>
      <x:c r="E3833" s="25" t="n">
        <x:v>40748.461805555555</x:v>
      </x:c>
      <x:c r="F3833" s="2" t="n">
        <x:v>139</x:v>
      </x:c>
      <x:c r="G3833" s="2" t="n">
        <x:v>2</x:v>
      </x:c>
      <x:c r="H3833" s="11" t="n">
        <x:v>612.6</x:v>
      </x:c>
      <x:c r="I3833" s="2" t="n">
        <x:v>3</x:v>
      </x:c>
      <x:c r="J3833" s="2" t="n">
        <x:v>2</x:v>
      </x:c>
      <x:c r="K3833" s="2" t="n">
        <x:v>3</x:v>
      </x:c>
      <x:c r="L3833" s="2" t="str">
        <x:v>Developing</x:v>
      </x:c>
    </x:row>
    <x:row r="3834" ht="22" customHeight="1">
      <x:c r="A3834" s="2"/>
      <x:c r="B3834" s="2" t="str">
        <x:v>16179</x:v>
      </x:c>
      <x:c r="C3834" s="2" t="str">
        <x:v>United Kingdom</x:v>
      </x:c>
      <x:c r="D3834" s="25" t="n">
        <x:v>40826.19513888889</x:v>
      </x:c>
      <x:c r="E3834" s="25" t="n">
        <x:v>40826.19513888889</x:v>
      </x:c>
      <x:c r="F3834" s="2" t="n">
        <x:v>61</x:v>
      </x:c>
      <x:c r="G3834" s="2" t="n">
        <x:v>1</x:v>
      </x:c>
      <x:c r="H3834" s="11" t="n">
        <x:v>215.83</x:v>
      </x:c>
      <x:c r="I3834" s="2" t="n">
        <x:v>3</x:v>
      </x:c>
      <x:c r="J3834" s="2" t="n">
        <x:v>1</x:v>
      </x:c>
      <x:c r="K3834" s="2" t="n">
        <x:v>1</x:v>
      </x:c>
      <x:c r="L3834" s="2" t="str">
        <x:v>Developing</x:v>
      </x:c>
    </x:row>
    <x:row r="3835" ht="22" customHeight="1">
      <x:c r="A3835" s="2"/>
      <x:c r="B3835" s="2" t="str">
        <x:v>16180</x:v>
      </x:c>
      <x:c r="C3835" s="2" t="str">
        <x:v>United Kingdom</x:v>
      </x:c>
      <x:c r="D3835" s="25" t="n">
        <x:v>40352.34652777778</x:v>
      </x:c>
      <x:c r="E3835" s="25" t="n">
        <x:v>40786.47777777778</x:v>
      </x:c>
      <x:c r="F3835" s="2" t="n">
        <x:v>101</x:v>
      </x:c>
      <x:c r="G3835" s="2" t="n">
        <x:v>13</x:v>
      </x:c>
      <x:c r="H3835" s="11" t="n">
        <x:v>16249.87</x:v>
      </x:c>
      <x:c r="I3835" s="2" t="n">
        <x:v>3</x:v>
      </x:c>
      <x:c r="J3835" s="2" t="n">
        <x:v>5</x:v>
      </x:c>
      <x:c r="K3835" s="2" t="n">
        <x:v>5</x:v>
      </x:c>
      <x:c r="L3835" s="2" t="str">
        <x:v>Loyal</x:v>
      </x:c>
    </x:row>
    <x:row r="3836" ht="22" customHeight="1">
      <x:c r="A3836" s="2"/>
      <x:c r="B3836" s="2" t="str">
        <x:v>16181</x:v>
      </x:c>
      <x:c r="C3836" s="2" t="str">
        <x:v>United Kingdom</x:v>
      </x:c>
      <x:c r="D3836" s="25" t="n">
        <x:v>40813.35972222222</x:v>
      </x:c>
      <x:c r="E3836" s="25" t="n">
        <x:v>40813.35972222222</x:v>
      </x:c>
      <x:c r="F3836" s="2" t="n">
        <x:v>74</x:v>
      </x:c>
      <x:c r="G3836" s="2" t="n">
        <x:v>1</x:v>
      </x:c>
      <x:c r="H3836" s="11" t="n">
        <x:v>305.54</x:v>
      </x:c>
      <x:c r="I3836" s="2" t="n">
        <x:v>3</x:v>
      </x:c>
      <x:c r="J3836" s="2" t="n">
        <x:v>1</x:v>
      </x:c>
      <x:c r="K3836" s="2" t="n">
        <x:v>2</x:v>
      </x:c>
      <x:c r="L3836" s="2" t="str">
        <x:v>Developing</x:v>
      </x:c>
    </x:row>
    <x:row r="3837" ht="22" customHeight="1">
      <x:c r="A3837" s="2"/>
      <x:c r="B3837" s="2" t="str">
        <x:v>16182</x:v>
      </x:c>
      <x:c r="C3837" s="2" t="str">
        <x:v>United Kingdom</x:v>
      </x:c>
      <x:c r="D3837" s="25" t="n">
        <x:v>40246.19027777778</x:v>
      </x:c>
      <x:c r="E3837" s="25" t="n">
        <x:v>40814.34930555556</x:v>
      </x:c>
      <x:c r="F3837" s="2" t="n">
        <x:v>73</x:v>
      </x:c>
      <x:c r="G3837" s="2" t="n">
        <x:v>9</x:v>
      </x:c>
      <x:c r="H3837" s="11" t="n">
        <x:v>9971.65</x:v>
      </x:c>
      <x:c r="I3837" s="2" t="n">
        <x:v>3</x:v>
      </x:c>
      <x:c r="J3837" s="2" t="n">
        <x:v>5</x:v>
      </x:c>
      <x:c r="K3837" s="2" t="n">
        <x:v>5</x:v>
      </x:c>
      <x:c r="L3837" s="2" t="str">
        <x:v>Loyal</x:v>
      </x:c>
    </x:row>
    <x:row r="3838" ht="22" customHeight="1">
      <x:c r="A3838" s="2"/>
      <x:c r="B3838" s="2" t="str">
        <x:v>16183</x:v>
      </x:c>
      <x:c r="C3838" s="2" t="str">
        <x:v>United Kingdom</x:v>
      </x:c>
      <x:c r="D3838" s="25" t="n">
        <x:v>40479.404861111114</x:v>
      </x:c>
      <x:c r="E3838" s="25" t="n">
        <x:v>40819.415972222225</x:v>
      </x:c>
      <x:c r="F3838" s="2" t="n">
        <x:v>68</x:v>
      </x:c>
      <x:c r="G3838" s="2" t="n">
        <x:v>4</x:v>
      </x:c>
      <x:c r="H3838" s="11" t="n">
        <x:v>1077.81</x:v>
      </x:c>
      <x:c r="I3838" s="2" t="n">
        <x:v>3</x:v>
      </x:c>
      <x:c r="J3838" s="2" t="n">
        <x:v>3</x:v>
      </x:c>
      <x:c r="K3838" s="2" t="n">
        <x:v>3</x:v>
      </x:c>
      <x:c r="L3838" s="2" t="str">
        <x:v>Loyal</x:v>
      </x:c>
    </x:row>
    <x:row r="3839" ht="22" customHeight="1">
      <x:c r="A3839" s="2"/>
      <x:c r="B3839" s="2" t="str">
        <x:v>16184</x:v>
      </x:c>
      <x:c r="C3839" s="2" t="str">
        <x:v>United Kingdom</x:v>
      </x:c>
      <x:c r="D3839" s="25" t="n">
        <x:v>40675.35625</x:v>
      </x:c>
      <x:c r="E3839" s="25" t="n">
        <x:v>40822.529861111114</x:v>
      </x:c>
      <x:c r="F3839" s="2" t="n">
        <x:v>65</x:v>
      </x:c>
      <x:c r="G3839" s="2" t="n">
        <x:v>6</x:v>
      </x:c>
      <x:c r="H3839" s="11" t="n">
        <x:v>1158.79</x:v>
      </x:c>
      <x:c r="I3839" s="2" t="n">
        <x:v>3</x:v>
      </x:c>
      <x:c r="J3839" s="2" t="n">
        <x:v>4</x:v>
      </x:c>
      <x:c r="K3839" s="2" t="n">
        <x:v>3</x:v>
      </x:c>
      <x:c r="L3839" s="2" t="str">
        <x:v>Loyal</x:v>
      </x:c>
    </x:row>
    <x:row r="3840" ht="22" customHeight="1">
      <x:c r="A3840" s="2"/>
      <x:c r="B3840" s="2" t="str">
        <x:v>16185</x:v>
      </x:c>
      <x:c r="C3840" s="2" t="str">
        <x:v>United Kingdom</x:v>
      </x:c>
      <x:c r="D3840" s="25" t="n">
        <x:v>40322.25277777778</x:v>
      </x:c>
      <x:c r="E3840" s="25" t="n">
        <x:v>40870.19513888889</x:v>
      </x:c>
      <x:c r="F3840" s="2" t="n">
        <x:v>17</x:v>
      </x:c>
      <x:c r="G3840" s="2" t="n">
        <x:v>3</x:v>
      </x:c>
      <x:c r="H3840" s="11" t="n">
        <x:v>644.72</x:v>
      </x:c>
      <x:c r="I3840" s="2" t="n">
        <x:v>5</x:v>
      </x:c>
      <x:c r="J3840" s="2" t="n">
        <x:v>3</x:v>
      </x:c>
      <x:c r="K3840" s="2" t="n">
        <x:v>3</x:v>
      </x:c>
      <x:c r="L3840" s="2" t="str">
        <x:v>Loyal</x:v>
      </x:c>
    </x:row>
    <x:row r="3841" ht="22" customHeight="1">
      <x:c r="A3841" s="2"/>
      <x:c r="B3841" s="2" t="str">
        <x:v>16186</x:v>
      </x:c>
      <x:c r="C3841" s="2" t="str">
        <x:v>United Kingdom</x:v>
      </x:c>
      <x:c r="D3841" s="25" t="n">
        <x:v>40156.441666666666</x:v>
      </x:c>
      <x:c r="E3841" s="25" t="n">
        <x:v>40864.32152777778</x:v>
      </x:c>
      <x:c r="F3841" s="2" t="n">
        <x:v>23</x:v>
      </x:c>
      <x:c r="G3841" s="2" t="n">
        <x:v>26</x:v>
      </x:c>
      <x:c r="H3841" s="11" t="n">
        <x:v>8718.43</x:v>
      </x:c>
      <x:c r="I3841" s="2" t="n">
        <x:v>4</x:v>
      </x:c>
      <x:c r="J3841" s="2" t="n">
        <x:v>5</x:v>
      </x:c>
      <x:c r="K3841" s="2" t="n">
        <x:v>5</x:v>
      </x:c>
      <x:c r="L3841" s="2" t="str">
        <x:v>Champions</x:v>
      </x:c>
    </x:row>
    <x:row r="3842" ht="22" customHeight="1">
      <x:c r="A3842" s="2"/>
      <x:c r="B3842" s="2" t="str">
        <x:v>16187</x:v>
      </x:c>
      <x:c r="C3842" s="2" t="str">
        <x:v>United Kingdom</x:v>
      </x:c>
      <x:c r="D3842" s="25" t="n">
        <x:v>40602.356944444444</x:v>
      </x:c>
      <x:c r="E3842" s="25" t="n">
        <x:v>40855.20138888889</x:v>
      </x:c>
      <x:c r="F3842" s="2" t="n">
        <x:v>32</x:v>
      </x:c>
      <x:c r="G3842" s="2" t="n">
        <x:v>15</x:v>
      </x:c>
      <x:c r="H3842" s="11" t="n">
        <x:v>6911.44</x:v>
      </x:c>
      <x:c r="I3842" s="2" t="n">
        <x:v>4</x:v>
      </x:c>
      <x:c r="J3842" s="2" t="n">
        <x:v>5</x:v>
      </x:c>
      <x:c r="K3842" s="2" t="n">
        <x:v>5</x:v>
      </x:c>
      <x:c r="L3842" s="2" t="str">
        <x:v>Champions</x:v>
      </x:c>
    </x:row>
    <x:row r="3843" ht="22" customHeight="1">
      <x:c r="A3843" s="2"/>
      <x:c r="B3843" s="2" t="str">
        <x:v>16188</x:v>
      </x:c>
      <x:c r="C3843" s="2" t="str">
        <x:v>United Kingdom</x:v>
      </x:c>
      <x:c r="D3843" s="25" t="n">
        <x:v>40478.28472222222</x:v>
      </x:c>
      <x:c r="E3843" s="25" t="n">
        <x:v>40842.30486111111</x:v>
      </x:c>
      <x:c r="F3843" s="2" t="n">
        <x:v>45</x:v>
      </x:c>
      <x:c r="G3843" s="2" t="n">
        <x:v>5</x:v>
      </x:c>
      <x:c r="H3843" s="11" t="n">
        <x:v>1087.66</x:v>
      </x:c>
      <x:c r="I3843" s="2" t="n">
        <x:v>4</x:v>
      </x:c>
      <x:c r="J3843" s="2" t="n">
        <x:v>4</x:v>
      </x:c>
      <x:c r="K3843" s="2" t="n">
        <x:v>3</x:v>
      </x:c>
      <x:c r="L3843" s="2" t="str">
        <x:v>Loyal</x:v>
      </x:c>
    </x:row>
    <x:row r="3844" ht="22" customHeight="1">
      <x:c r="A3844" s="2"/>
      <x:c r="B3844" s="2" t="str">
        <x:v>16189</x:v>
      </x:c>
      <x:c r="C3844" s="2" t="str">
        <x:v>United Kingdom</x:v>
      </x:c>
      <x:c r="D3844" s="25" t="n">
        <x:v>40801.43125</x:v>
      </x:c>
      <x:c r="E3844" s="25" t="n">
        <x:v>40871.282638888886</x:v>
      </x:c>
      <x:c r="F3844" s="2" t="n">
        <x:v>16</x:v>
      </x:c>
      <x:c r="G3844" s="2" t="n">
        <x:v>2</x:v>
      </x:c>
      <x:c r="H3844" s="11" t="n">
        <x:v>215.48</x:v>
      </x:c>
      <x:c r="I3844" s="2" t="n">
        <x:v>5</x:v>
      </x:c>
      <x:c r="J3844" s="2" t="n">
        <x:v>2</x:v>
      </x:c>
      <x:c r="K3844" s="2" t="n">
        <x:v>1</x:v>
      </x:c>
      <x:c r="L3844" s="2" t="str">
        <x:v>Recent light buyers</x:v>
      </x:c>
    </x:row>
    <x:row r="3845" ht="22" customHeight="1">
      <x:c r="A3845" s="2"/>
      <x:c r="B3845" s="2" t="str">
        <x:v>16190</x:v>
      </x:c>
      <x:c r="C3845" s="2" t="str">
        <x:v>United Kingdom</x:v>
      </x:c>
      <x:c r="D3845" s="25" t="n">
        <x:v>40161.290972222225</x:v>
      </x:c>
      <x:c r="E3845" s="25" t="n">
        <x:v>40846.45763888889</x:v>
      </x:c>
      <x:c r="F3845" s="2" t="n">
        <x:v>41</x:v>
      </x:c>
      <x:c r="G3845" s="2" t="n">
        <x:v>8</x:v>
      </x:c>
      <x:c r="H3845" s="11" t="n">
        <x:v>2723.55</x:v>
      </x:c>
      <x:c r="I3845" s="2" t="n">
        <x:v>4</x:v>
      </x:c>
      <x:c r="J3845" s="2" t="n">
        <x:v>4</x:v>
      </x:c>
      <x:c r="K3845" s="2" t="n">
        <x:v>4</x:v>
      </x:c>
      <x:c r="L3845" s="2" t="str">
        <x:v>Champions</x:v>
      </x:c>
    </x:row>
    <x:row r="3846" ht="22" customHeight="1">
      <x:c r="A3846" s="2"/>
      <x:c r="B3846" s="2" t="str">
        <x:v>16191</x:v>
      </x:c>
      <x:c r="C3846" s="2" t="str">
        <x:v>United Kingdom</x:v>
      </x:c>
      <x:c r="D3846" s="25" t="n">
        <x:v>40158.308333333334</x:v>
      </x:c>
      <x:c r="E3846" s="25" t="n">
        <x:v>40884.268055555556</x:v>
      </x:c>
      <x:c r="F3846" s="2" t="n">
        <x:v>3</x:v>
      </x:c>
      <x:c r="G3846" s="2" t="n">
        <x:v>24</x:v>
      </x:c>
      <x:c r="H3846" s="11" t="n">
        <x:v>15688.02</x:v>
      </x:c>
      <x:c r="I3846" s="2" t="n">
        <x:v>5</x:v>
      </x:c>
      <x:c r="J3846" s="2" t="n">
        <x:v>5</x:v>
      </x:c>
      <x:c r="K3846" s="2" t="n">
        <x:v>5</x:v>
      </x:c>
      <x:c r="L3846" s="2" t="str">
        <x:v>Champions</x:v>
      </x:c>
    </x:row>
    <x:row r="3847" ht="22" customHeight="1">
      <x:c r="A3847" s="2"/>
      <x:c r="B3847" s="2" t="str">
        <x:v>16192</x:v>
      </x:c>
      <x:c r="C3847" s="2" t="str">
        <x:v>United Kingdom</x:v>
      </x:c>
      <x:c r="D3847" s="25" t="n">
        <x:v>40151.311111111114</x:v>
      </x:c>
      <x:c r="E3847" s="25" t="n">
        <x:v>40151.311111111114</x:v>
      </x:c>
      <x:c r="F3847" s="2" t="n">
        <x:v>736</x:v>
      </x:c>
      <x:c r="G3847" s="2" t="n">
        <x:v>1</x:v>
      </x:c>
      <x:c r="H3847" s="11" t="n">
        <x:v>351.3</x:v>
      </x:c>
      <x:c r="I3847" s="2" t="n">
        <x:v>1</x:v>
      </x:c>
      <x:c r="J3847" s="2" t="n">
        <x:v>1</x:v>
      </x:c>
      <x:c r="K3847" s="2" t="n">
        <x:v>2</x:v>
      </x:c>
      <x:c r="L3847" s="2" t="str">
        <x:v>Hibernating</x:v>
      </x:c>
    </x:row>
    <x:row r="3848" ht="22" customHeight="1">
      <x:c r="A3848" s="2"/>
      <x:c r="B3848" s="2" t="str">
        <x:v>16193</x:v>
      </x:c>
      <x:c r="C3848" s="2" t="str">
        <x:v>United Kingdom</x:v>
      </x:c>
      <x:c r="D3848" s="25" t="n">
        <x:v>40476.225694444445</x:v>
      </x:c>
      <x:c r="E3848" s="25" t="n">
        <x:v>40650.28125</x:v>
      </x:c>
      <x:c r="F3848" s="2" t="n">
        <x:v>237</x:v>
      </x:c>
      <x:c r="G3848" s="2" t="n">
        <x:v>2</x:v>
      </x:c>
      <x:c r="H3848" s="11" t="n">
        <x:v>630.43</x:v>
      </x:c>
      <x:c r="I3848" s="2" t="n">
        <x:v>2</x:v>
      </x:c>
      <x:c r="J3848" s="2" t="n">
        <x:v>2</x:v>
      </x:c>
      <x:c r="K3848" s="2" t="n">
        <x:v>3</x:v>
      </x:c>
      <x:c r="L3848" s="2" t="str">
        <x:v>Hibernating</x:v>
      </x:c>
    </x:row>
    <x:row r="3849" ht="22" customHeight="1">
      <x:c r="A3849" s="2"/>
      <x:c r="B3849" s="2" t="str">
        <x:v>16194</x:v>
      </x:c>
      <x:c r="C3849" s="2" t="str">
        <x:v>United Kingdom</x:v>
      </x:c>
      <x:c r="D3849" s="25" t="n">
        <x:v>40511.35277777778</x:v>
      </x:c>
      <x:c r="E3849" s="25" t="n">
        <x:v>40511.35277777778</x:v>
      </x:c>
      <x:c r="F3849" s="2" t="n">
        <x:v>376</x:v>
      </x:c>
      <x:c r="G3849" s="2" t="n">
        <x:v>1</x:v>
      </x:c>
      <x:c r="H3849" s="11" t="n">
        <x:v>308.6</x:v>
      </x:c>
      <x:c r="I3849" s="2" t="n">
        <x:v>2</x:v>
      </x:c>
      <x:c r="J3849" s="2" t="n">
        <x:v>1</x:v>
      </x:c>
      <x:c r="K3849" s="2" t="n">
        <x:v>2</x:v>
      </x:c>
      <x:c r="L3849" s="2" t="str">
        <x:v>Hibernating</x:v>
      </x:c>
    </x:row>
    <x:row r="3850" ht="22" customHeight="1">
      <x:c r="A3850" s="2"/>
      <x:c r="B3850" s="2" t="str">
        <x:v>16195</x:v>
      </x:c>
      <x:c r="C3850" s="2" t="str">
        <x:v>United Kingdom</x:v>
      </x:c>
      <x:c r="D3850" s="25" t="n">
        <x:v>40163.38125</x:v>
      </x:c>
      <x:c r="E3850" s="25" t="n">
        <x:v>40163.38125</x:v>
      </x:c>
      <x:c r="F3850" s="2" t="n">
        <x:v>724</x:v>
      </x:c>
      <x:c r="G3850" s="2" t="n">
        <x:v>1</x:v>
      </x:c>
      <x:c r="H3850" s="11" t="n">
        <x:v>323.25</x:v>
      </x:c>
      <x:c r="I3850" s="2" t="n">
        <x:v>1</x:v>
      </x:c>
      <x:c r="J3850" s="2" t="n">
        <x:v>1</x:v>
      </x:c>
      <x:c r="K3850" s="2" t="n">
        <x:v>2</x:v>
      </x:c>
      <x:c r="L3850" s="2" t="str">
        <x:v>Hibernating</x:v>
      </x:c>
    </x:row>
    <x:row r="3851" ht="22" customHeight="1">
      <x:c r="A3851" s="2"/>
      <x:c r="B3851" s="2" t="str">
        <x:v>16196</x:v>
      </x:c>
      <x:c r="C3851" s="2" t="str">
        <x:v>United Kingdom</x:v>
      </x:c>
      <x:c r="D3851" s="25" t="n">
        <x:v>40398.27777777778</x:v>
      </x:c>
      <x:c r="E3851" s="25" t="n">
        <x:v>40398.27777777778</x:v>
      </x:c>
      <x:c r="F3851" s="2" t="n">
        <x:v>489</x:v>
      </x:c>
      <x:c r="G3851" s="2" t="n">
        <x:v>1</x:v>
      </x:c>
      <x:c r="H3851" s="11" t="n">
        <x:v>93.3</x:v>
      </x:c>
      <x:c r="I3851" s="2" t="n">
        <x:v>1</x:v>
      </x:c>
      <x:c r="J3851" s="2" t="n">
        <x:v>1</x:v>
      </x:c>
      <x:c r="K3851" s="2" t="n">
        <x:v>1</x:v>
      </x:c>
      <x:c r="L3851" s="2" t="str">
        <x:v>Hibernating</x:v>
      </x:c>
    </x:row>
    <x:row r="3852" ht="22" customHeight="1">
      <x:c r="A3852" s="2"/>
      <x:c r="B3852" s="2" t="str">
        <x:v>16197</x:v>
      </x:c>
      <x:c r="C3852" s="2" t="str">
        <x:v>United Kingdom</x:v>
      </x:c>
      <x:c r="D3852" s="25" t="n">
        <x:v>40163.28055555555</x:v>
      </x:c>
      <x:c r="E3852" s="25" t="n">
        <x:v>40417.330555555556</x:v>
      </x:c>
      <x:c r="F3852" s="2" t="n">
        <x:v>470</x:v>
      </x:c>
      <x:c r="G3852" s="2" t="n">
        <x:v>9</x:v>
      </x:c>
      <x:c r="H3852" s="11" t="n">
        <x:v>2016.71</x:v>
      </x:c>
      <x:c r="I3852" s="2" t="n">
        <x:v>1</x:v>
      </x:c>
      <x:c r="J3852" s="2" t="n">
        <x:v>5</x:v>
      </x:c>
      <x:c r="K3852" s="2" t="n">
        <x:v>4</x:v>
      </x:c>
      <x:c r="L3852" s="2" t="str">
        <x:v>At risk</x:v>
      </x:c>
    </x:row>
    <x:row r="3853" ht="22" customHeight="1">
      <x:c r="A3853" s="2"/>
      <x:c r="B3853" s="2" t="str">
        <x:v>16198</x:v>
      </x:c>
      <x:c r="C3853" s="2" t="str">
        <x:v>United Kingdom</x:v>
      </x:c>
      <x:c r="D3853" s="25" t="n">
        <x:v>40449.37430555555</x:v>
      </x:c>
      <x:c r="E3853" s="25" t="n">
        <x:v>40811.41527777778</x:v>
      </x:c>
      <x:c r="F3853" s="2" t="n">
        <x:v>76</x:v>
      </x:c>
      <x:c r="G3853" s="2" t="n">
        <x:v>2</x:v>
      </x:c>
      <x:c r="H3853" s="11" t="n">
        <x:v>1030.041</x:v>
      </x:c>
      <x:c r="I3853" s="2" t="n">
        <x:v>3</x:v>
      </x:c>
      <x:c r="J3853" s="2" t="n">
        <x:v>2</x:v>
      </x:c>
      <x:c r="K3853" s="2" t="n">
        <x:v>3</x:v>
      </x:c>
      <x:c r="L3853" s="2" t="str">
        <x:v>Developing</x:v>
      </x:c>
    </x:row>
    <x:row r="3854" ht="22" customHeight="1">
      <x:c r="A3854" s="2"/>
      <x:c r="B3854" s="2" t="str">
        <x:v>16199</x:v>
      </x:c>
      <x:c r="C3854" s="2" t="str">
        <x:v>United Kingdom</x:v>
      </x:c>
      <x:c r="D3854" s="25" t="n">
        <x:v>40255.57430555556</x:v>
      </x:c>
      <x:c r="E3854" s="25" t="n">
        <x:v>40494.32986111111</x:v>
      </x:c>
      <x:c r="F3854" s="2" t="n">
        <x:v>393</x:v>
      </x:c>
      <x:c r="G3854" s="2" t="n">
        <x:v>7</x:v>
      </x:c>
      <x:c r="H3854" s="11" t="n">
        <x:v>942.75</x:v>
      </x:c>
      <x:c r="I3854" s="2" t="n">
        <x:v>2</x:v>
      </x:c>
      <x:c r="J3854" s="2" t="n">
        <x:v>4</x:v>
      </x:c>
      <x:c r="K3854" s="2" t="n">
        <x:v>3</x:v>
      </x:c>
      <x:c r="L3854" s="2" t="str">
        <x:v>At risk</x:v>
      </x:c>
    </x:row>
    <x:row r="3855" ht="22" customHeight="1">
      <x:c r="A3855" s="2"/>
      <x:c r="B3855" s="2" t="str">
        <x:v>16200</x:v>
      </x:c>
      <x:c r="C3855" s="2" t="str">
        <x:v>United Kingdom</x:v>
      </x:c>
      <x:c r="D3855" s="25" t="n">
        <x:v>40149.419444444444</x:v>
      </x:c>
      <x:c r="E3855" s="25" t="n">
        <x:v>40882.40277777778</x:v>
      </x:c>
      <x:c r="F3855" s="2" t="n">
        <x:v>5</x:v>
      </x:c>
      <x:c r="G3855" s="2" t="n">
        <x:v>12</x:v>
      </x:c>
      <x:c r="H3855" s="11" t="n">
        <x:v>5643.45</x:v>
      </x:c>
      <x:c r="I3855" s="2" t="n">
        <x:v>5</x:v>
      </x:c>
      <x:c r="J3855" s="2" t="n">
        <x:v>5</x:v>
      </x:c>
      <x:c r="K3855" s="2" t="n">
        <x:v>5</x:v>
      </x:c>
      <x:c r="L3855" s="2" t="str">
        <x:v>Champions</x:v>
      </x:c>
    </x:row>
    <x:row r="3856" ht="22" customHeight="1">
      <x:c r="A3856" s="2"/>
      <x:c r="B3856" s="2" t="str">
        <x:v>16201</x:v>
      </x:c>
      <x:c r="C3856" s="2" t="str">
        <x:v>United Kingdom</x:v>
      </x:c>
      <x:c r="D3856" s="25" t="n">
        <x:v>40471.291666666664</x:v>
      </x:c>
      <x:c r="E3856" s="25" t="n">
        <x:v>40883.45972222222</x:v>
      </x:c>
      <x:c r="F3856" s="2" t="n">
        <x:v>4</x:v>
      </x:c>
      <x:c r="G3856" s="2" t="n">
        <x:v>5</x:v>
      </x:c>
      <x:c r="H3856" s="11" t="n">
        <x:v>2112.12</x:v>
      </x:c>
      <x:c r="I3856" s="2" t="n">
        <x:v>5</x:v>
      </x:c>
      <x:c r="J3856" s="2" t="n">
        <x:v>4</x:v>
      </x:c>
      <x:c r="K3856" s="2" t="n">
        <x:v>4</x:v>
      </x:c>
      <x:c r="L3856" s="2" t="str">
        <x:v>Champions</x:v>
      </x:c>
    </x:row>
    <x:row r="3857" ht="22" customHeight="1">
      <x:c r="A3857" s="2"/>
      <x:c r="B3857" s="2" t="str">
        <x:v>16202</x:v>
      </x:c>
      <x:c r="C3857" s="2" t="str">
        <x:v>United Kingdom</x:v>
      </x:c>
      <x:c r="D3857" s="25" t="n">
        <x:v>40149.24166666667</x:v>
      </x:c>
      <x:c r="E3857" s="25" t="n">
        <x:v>40526.23819444444</x:v>
      </x:c>
      <x:c r="F3857" s="2" t="n">
        <x:v>361</x:v>
      </x:c>
      <x:c r="G3857" s="2" t="n">
        <x:v>9</x:v>
      </x:c>
      <x:c r="H3857" s="11" t="n">
        <x:v>2501.99</x:v>
      </x:c>
      <x:c r="I3857" s="2" t="n">
        <x:v>2</x:v>
      </x:c>
      <x:c r="J3857" s="2" t="n">
        <x:v>5</x:v>
      </x:c>
      <x:c r="K3857" s="2" t="n">
        <x:v>4</x:v>
      </x:c>
      <x:c r="L3857" s="2" t="str">
        <x:v>At risk</x:v>
      </x:c>
    </x:row>
    <x:row r="3858" ht="22" customHeight="1">
      <x:c r="A3858" s="2"/>
      <x:c r="B3858" s="2" t="str">
        <x:v>16203</x:v>
      </x:c>
      <x:c r="C3858" s="2" t="str">
        <x:v>United Kingdom</x:v>
      </x:c>
      <x:c r="D3858" s="25" t="n">
        <x:v>40382.339583333334</x:v>
      </x:c>
      <x:c r="E3858" s="25" t="n">
        <x:v>40828.31319444445</x:v>
      </x:c>
      <x:c r="F3858" s="2" t="n">
        <x:v>59</x:v>
      </x:c>
      <x:c r="G3858" s="2" t="n">
        <x:v>6</x:v>
      </x:c>
      <x:c r="H3858" s="11" t="n">
        <x:v>943.84</x:v>
      </x:c>
      <x:c r="I3858" s="2" t="n">
        <x:v>4</x:v>
      </x:c>
      <x:c r="J3858" s="2" t="n">
        <x:v>4</x:v>
      </x:c>
      <x:c r="K3858" s="2" t="n">
        <x:v>3</x:v>
      </x:c>
      <x:c r="L3858" s="2" t="str">
        <x:v>Loyal</x:v>
      </x:c>
    </x:row>
    <x:row r="3859" ht="22" customHeight="1">
      <x:c r="A3859" s="2"/>
      <x:c r="B3859" s="2" t="str">
        <x:v>16204</x:v>
      </x:c>
      <x:c r="C3859" s="2" t="str">
        <x:v>United Kingdom</x:v>
      </x:c>
      <x:c r="D3859" s="25" t="n">
        <x:v>40155.53055555555</x:v>
      </x:c>
      <x:c r="E3859" s="25" t="n">
        <x:v>40863.36111111111</x:v>
      </x:c>
      <x:c r="F3859" s="2" t="n">
        <x:v>24</x:v>
      </x:c>
      <x:c r="G3859" s="2" t="n">
        <x:v>3</x:v>
      </x:c>
      <x:c r="H3859" s="11" t="n">
        <x:v>944.24</x:v>
      </x:c>
      <x:c r="I3859" s="2" t="n">
        <x:v>4</x:v>
      </x:c>
      <x:c r="J3859" s="2" t="n">
        <x:v>3</x:v>
      </x:c>
      <x:c r="K3859" s="2" t="n">
        <x:v>3</x:v>
      </x:c>
      <x:c r="L3859" s="2" t="str">
        <x:v>Loyal</x:v>
      </x:c>
    </x:row>
    <x:row r="3860" ht="22" customHeight="1">
      <x:c r="A3860" s="2"/>
      <x:c r="B3860" s="2" t="str">
        <x:v>16205</x:v>
      </x:c>
      <x:c r="C3860" s="2" t="str">
        <x:v>United Kingdom</x:v>
      </x:c>
      <x:c r="D3860" s="25" t="n">
        <x:v>40344.29027777778</x:v>
      </x:c>
      <x:c r="E3860" s="25" t="n">
        <x:v>40856.188888888886</x:v>
      </x:c>
      <x:c r="F3860" s="2" t="n">
        <x:v>31</x:v>
      </x:c>
      <x:c r="G3860" s="2" t="n">
        <x:v>7</x:v>
      </x:c>
      <x:c r="H3860" s="11" t="n">
        <x:v>1830.61</x:v>
      </x:c>
      <x:c r="I3860" s="2" t="n">
        <x:v>4</x:v>
      </x:c>
      <x:c r="J3860" s="2" t="n">
        <x:v>4</x:v>
      </x:c>
      <x:c r="K3860" s="2" t="n">
        <x:v>4</x:v>
      </x:c>
      <x:c r="L3860" s="2" t="str">
        <x:v>Champions</x:v>
      </x:c>
    </x:row>
    <x:row r="3861" ht="22" customHeight="1">
      <x:c r="A3861" s="2"/>
      <x:c r="B3861" s="2" t="str">
        <x:v>16206</x:v>
      </x:c>
      <x:c r="C3861" s="2" t="str">
        <x:v>United Kingdom</x:v>
      </x:c>
      <x:c r="D3861" s="25" t="n">
        <x:v>40202.43402777778</x:v>
      </x:c>
      <x:c r="E3861" s="25" t="n">
        <x:v>40832.236805555556</x:v>
      </x:c>
      <x:c r="F3861" s="2" t="n">
        <x:v>55</x:v>
      </x:c>
      <x:c r="G3861" s="2" t="n">
        <x:v>13</x:v>
      </x:c>
      <x:c r="H3861" s="11" t="n">
        <x:v>2602.32</x:v>
      </x:c>
      <x:c r="I3861" s="2" t="n">
        <x:v>4</x:v>
      </x:c>
      <x:c r="J3861" s="2" t="n">
        <x:v>5</x:v>
      </x:c>
      <x:c r="K3861" s="2" t="n">
        <x:v>4</x:v>
      </x:c>
      <x:c r="L3861" s="2" t="str">
        <x:v>Champions</x:v>
      </x:c>
    </x:row>
    <x:row r="3862" ht="22" customHeight="1">
      <x:c r="A3862" s="2"/>
      <x:c r="B3862" s="2" t="str">
        <x:v>16207</x:v>
      </x:c>
      <x:c r="C3862" s="2" t="str">
        <x:v>United Kingdom</x:v>
      </x:c>
      <x:c r="D3862" s="25" t="n">
        <x:v>40861.36875</x:v>
      </x:c>
      <x:c r="E3862" s="25" t="n">
        <x:v>40861.36875</x:v>
      </x:c>
      <x:c r="F3862" s="2" t="n">
        <x:v>26</x:v>
      </x:c>
      <x:c r="G3862" s="2" t="n">
        <x:v>1</x:v>
      </x:c>
      <x:c r="H3862" s="11" t="n">
        <x:v>394.38</x:v>
      </x:c>
      <x:c r="I3862" s="2" t="n">
        <x:v>4</x:v>
      </x:c>
      <x:c r="J3862" s="2" t="n">
        <x:v>1</x:v>
      </x:c>
      <x:c r="K3862" s="2" t="n">
        <x:v>2</x:v>
      </x:c>
      <x:c r="L3862" s="2" t="str">
        <x:v>Recent light buyers</x:v>
      </x:c>
    </x:row>
    <x:row r="3863" ht="22" customHeight="1">
      <x:c r="A3863" s="2"/>
      <x:c r="B3863" s="2" t="str">
        <x:v>16208</x:v>
      </x:c>
      <x:c r="C3863" s="2" t="str">
        <x:v>United Kingdom</x:v>
      </x:c>
      <x:c r="D3863" s="25" t="n">
        <x:v>40233.39166666667</x:v>
      </x:c>
      <x:c r="E3863" s="25" t="n">
        <x:v>40842.275</x:v>
      </x:c>
      <x:c r="F3863" s="2" t="n">
        <x:v>45</x:v>
      </x:c>
      <x:c r="G3863" s="2" t="n">
        <x:v>10</x:v>
      </x:c>
      <x:c r="H3863" s="11" t="n">
        <x:v>3440.45</x:v>
      </x:c>
      <x:c r="I3863" s="2" t="n">
        <x:v>4</x:v>
      </x:c>
      <x:c r="J3863" s="2" t="n">
        <x:v>5</x:v>
      </x:c>
      <x:c r="K3863" s="2" t="n">
        <x:v>5</x:v>
      </x:c>
      <x:c r="L3863" s="2" t="str">
        <x:v>Champions</x:v>
      </x:c>
    </x:row>
    <x:row r="3864" ht="22" customHeight="1">
      <x:c r="A3864" s="2"/>
      <x:c r="B3864" s="2" t="str">
        <x:v>16209</x:v>
      </x:c>
      <x:c r="C3864" s="2" t="str">
        <x:v>United Kingdom</x:v>
      </x:c>
      <x:c r="D3864" s="25" t="n">
        <x:v>40340.29027777778</x:v>
      </x:c>
      <x:c r="E3864" s="25" t="n">
        <x:v>40798.29027777778</x:v>
      </x:c>
      <x:c r="F3864" s="2" t="n">
        <x:v>89</x:v>
      </x:c>
      <x:c r="G3864" s="2" t="n">
        <x:v>9</x:v>
      </x:c>
      <x:c r="H3864" s="11" t="n">
        <x:v>4146.78</x:v>
      </x:c>
      <x:c r="I3864" s="2" t="n">
        <x:v>3</x:v>
      </x:c>
      <x:c r="J3864" s="2" t="n">
        <x:v>5</x:v>
      </x:c>
      <x:c r="K3864" s="2" t="n">
        <x:v>5</x:v>
      </x:c>
      <x:c r="L3864" s="2" t="str">
        <x:v>Loyal</x:v>
      </x:c>
    </x:row>
    <x:row r="3865" ht="22" customHeight="1">
      <x:c r="A3865" s="2"/>
      <x:c r="B3865" s="2" t="str">
        <x:v>16210</x:v>
      </x:c>
      <x:c r="C3865" s="2" t="str">
        <x:v>United Kingdom</x:v>
      </x:c>
      <x:c r="D3865" s="25" t="n">
        <x:v>40149.32916666667</x:v>
      </x:c>
      <x:c r="E3865" s="25" t="n">
        <x:v>40885.316666666666</x:v>
      </x:c>
      <x:c r="F3865" s="2" t="n">
        <x:v>2</x:v>
      </x:c>
      <x:c r="G3865" s="2" t="n">
        <x:v>35</x:v>
      </x:c>
      <x:c r="H3865" s="11" t="n">
        <x:v>33750.97</x:v>
      </x:c>
      <x:c r="I3865" s="2" t="n">
        <x:v>5</x:v>
      </x:c>
      <x:c r="J3865" s="2" t="n">
        <x:v>5</x:v>
      </x:c>
      <x:c r="K3865" s="2" t="n">
        <x:v>5</x:v>
      </x:c>
      <x:c r="L3865" s="2" t="str">
        <x:v>Champions</x:v>
      </x:c>
    </x:row>
    <x:row r="3866" ht="22" customHeight="1">
      <x:c r="A3866" s="2"/>
      <x:c r="B3866" s="2" t="str">
        <x:v>16211</x:v>
      </x:c>
      <x:c r="C3866" s="2" t="str">
        <x:v>United Kingdom</x:v>
      </x:c>
      <x:c r="D3866" s="25" t="n">
        <x:v>40448.433333333334</x:v>
      </x:c>
      <x:c r="E3866" s="25" t="n">
        <x:v>40798.299305555556</x:v>
      </x:c>
      <x:c r="F3866" s="2" t="n">
        <x:v>89</x:v>
      </x:c>
      <x:c r="G3866" s="2" t="n">
        <x:v>3</x:v>
      </x:c>
      <x:c r="H3866" s="11" t="n">
        <x:v>1090.59</x:v>
      </x:c>
      <x:c r="I3866" s="2" t="n">
        <x:v>3</x:v>
      </x:c>
      <x:c r="J3866" s="2" t="n">
        <x:v>3</x:v>
      </x:c>
      <x:c r="K3866" s="2" t="n">
        <x:v>3</x:v>
      </x:c>
      <x:c r="L3866" s="2" t="str">
        <x:v>Loyal</x:v>
      </x:c>
    </x:row>
    <x:row r="3867" ht="22" customHeight="1">
      <x:c r="A3867" s="2"/>
      <x:c r="B3867" s="2" t="str">
        <x:v>16212</x:v>
      </x:c>
      <x:c r="C3867" s="2" t="str">
        <x:v>United Kingdom</x:v>
      </x:c>
      <x:c r="D3867" s="25" t="n">
        <x:v>40216.43472222222</x:v>
      </x:c>
      <x:c r="E3867" s="25" t="n">
        <x:v>40867.333333333336</x:v>
      </x:c>
      <x:c r="F3867" s="2" t="n">
        <x:v>20</x:v>
      </x:c>
      <x:c r="G3867" s="2" t="n">
        <x:v>4</x:v>
      </x:c>
      <x:c r="H3867" s="11" t="n">
        <x:v>1293.71</x:v>
      </x:c>
      <x:c r="I3867" s="2" t="n">
        <x:v>5</x:v>
      </x:c>
      <x:c r="J3867" s="2" t="n">
        <x:v>3</x:v>
      </x:c>
      <x:c r="K3867" s="2" t="n">
        <x:v>4</x:v>
      </x:c>
      <x:c r="L3867" s="2" t="str">
        <x:v>Loyal</x:v>
      </x:c>
    </x:row>
    <x:row r="3868" ht="22" customHeight="1">
      <x:c r="A3868" s="2"/>
      <x:c r="B3868" s="2" t="str">
        <x:v>16213</x:v>
      </x:c>
      <x:c r="C3868" s="2" t="str">
        <x:v>United Kingdom</x:v>
      </x:c>
      <x:c r="D3868" s="25" t="n">
        <x:v>40808.21041666667</x:v>
      </x:c>
      <x:c r="E3868" s="25" t="n">
        <x:v>40808.21041666667</x:v>
      </x:c>
      <x:c r="F3868" s="2" t="n">
        <x:v>79</x:v>
      </x:c>
      <x:c r="G3868" s="2" t="n">
        <x:v>1</x:v>
      </x:c>
      <x:c r="H3868" s="11" t="n">
        <x:v>159</x:v>
      </x:c>
      <x:c r="I3868" s="2" t="n">
        <x:v>3</x:v>
      </x:c>
      <x:c r="J3868" s="2" t="n">
        <x:v>1</x:v>
      </x:c>
      <x:c r="K3868" s="2" t="n">
        <x:v>1</x:v>
      </x:c>
      <x:c r="L3868" s="2" t="str">
        <x:v>Developing</x:v>
      </x:c>
    </x:row>
    <x:row r="3869" ht="22" customHeight="1">
      <x:c r="A3869" s="2"/>
      <x:c r="B3869" s="2" t="str">
        <x:v>16214</x:v>
      </x:c>
      <x:c r="C3869" s="2" t="str">
        <x:v>United Kingdom</x:v>
      </x:c>
      <x:c r="D3869" s="25" t="n">
        <x:v>40451.37291666667</x:v>
      </x:c>
      <x:c r="E3869" s="25" t="n">
        <x:v>40716.270833333336</x:v>
      </x:c>
      <x:c r="F3869" s="2" t="n">
        <x:v>171</x:v>
      </x:c>
      <x:c r="G3869" s="2" t="n">
        <x:v>4</x:v>
      </x:c>
      <x:c r="H3869" s="11" t="n">
        <x:v>2038.25</x:v>
      </x:c>
      <x:c r="I3869" s="2" t="n">
        <x:v>3</x:v>
      </x:c>
      <x:c r="J3869" s="2" t="n">
        <x:v>3</x:v>
      </x:c>
      <x:c r="K3869" s="2" t="n">
        <x:v>4</x:v>
      </x:c>
      <x:c r="L3869" s="2" t="str">
        <x:v>Loyal</x:v>
      </x:c>
    </x:row>
    <x:row r="3870" ht="22" customHeight="1">
      <x:c r="A3870" s="2"/>
      <x:c r="B3870" s="2" t="str">
        <x:v>16215</x:v>
      </x:c>
      <x:c r="C3870" s="2" t="str">
        <x:v>United Kingdom</x:v>
      </x:c>
      <x:c r="D3870" s="25" t="n">
        <x:v>40806.22083333333</x:v>
      </x:c>
      <x:c r="E3870" s="25" t="n">
        <x:v>40806.22083333333</x:v>
      </x:c>
      <x:c r="F3870" s="2" t="n">
        <x:v>81</x:v>
      </x:c>
      <x:c r="G3870" s="2" t="n">
        <x:v>1</x:v>
      </x:c>
      <x:c r="H3870" s="11" t="n">
        <x:v>242.35</x:v>
      </x:c>
      <x:c r="I3870" s="2" t="n">
        <x:v>3</x:v>
      </x:c>
      <x:c r="J3870" s="2" t="n">
        <x:v>1</x:v>
      </x:c>
      <x:c r="K3870" s="2" t="n">
        <x:v>1</x:v>
      </x:c>
      <x:c r="L3870" s="2" t="str">
        <x:v>Developing</x:v>
      </x:c>
    </x:row>
    <x:row r="3871" ht="22" customHeight="1">
      <x:c r="A3871" s="2"/>
      <x:c r="B3871" s="2" t="str">
        <x:v>16216</x:v>
      </x:c>
      <x:c r="C3871" s="2" t="str">
        <x:v>United Kingdom</x:v>
      </x:c>
      <x:c r="D3871" s="25" t="n">
        <x:v>40619.44027777778</x:v>
      </x:c>
      <x:c r="E3871" s="25" t="n">
        <x:v>40619.44027777778</x:v>
      </x:c>
      <x:c r="F3871" s="2" t="n">
        <x:v>268</x:v>
      </x:c>
      <x:c r="G3871" s="2" t="n">
        <x:v>1</x:v>
      </x:c>
      <x:c r="H3871" s="11" t="n">
        <x:v>914.93</x:v>
      </x:c>
      <x:c r="I3871" s="2" t="n">
        <x:v>2</x:v>
      </x:c>
      <x:c r="J3871" s="2" t="n">
        <x:v>1</x:v>
      </x:c>
      <x:c r="K3871" s="2" t="n">
        <x:v>3</x:v>
      </x:c>
      <x:c r="L3871" s="2" t="str">
        <x:v>Hibernating</x:v>
      </x:c>
    </x:row>
    <x:row r="3872" ht="22" customHeight="1">
      <x:c r="A3872" s="2"/>
      <x:c r="B3872" s="2" t="str">
        <x:v>16217</x:v>
      </x:c>
      <x:c r="C3872" s="2" t="str">
        <x:v>United Kingdom</x:v>
      </x:c>
      <x:c r="D3872" s="25" t="n">
        <x:v>40604.436111111114</x:v>
      </x:c>
      <x:c r="E3872" s="25" t="n">
        <x:v>40651.35486111111</x:v>
      </x:c>
      <x:c r="F3872" s="2" t="n">
        <x:v>236</x:v>
      </x:c>
      <x:c r="G3872" s="2" t="n">
        <x:v>2</x:v>
      </x:c>
      <x:c r="H3872" s="11" t="n">
        <x:v>304.25</x:v>
      </x:c>
      <x:c r="I3872" s="2" t="n">
        <x:v>2</x:v>
      </x:c>
      <x:c r="J3872" s="2" t="n">
        <x:v>2</x:v>
      </x:c>
      <x:c r="K3872" s="2" t="n">
        <x:v>2</x:v>
      </x:c>
      <x:c r="L3872" s="2" t="str">
        <x:v>Hibernating</x:v>
      </x:c>
    </x:row>
    <x:row r="3873" ht="22" customHeight="1">
      <x:c r="A3873" s="2"/>
      <x:c r="B3873" s="2" t="str">
        <x:v>16218</x:v>
      </x:c>
      <x:c r="C3873" s="2" t="str">
        <x:v>United Kingdom</x:v>
      </x:c>
      <x:c r="D3873" s="25" t="n">
        <x:v>40325.464583333334</x:v>
      </x:c>
      <x:c r="E3873" s="25" t="n">
        <x:v>40857.20763888889</x:v>
      </x:c>
      <x:c r="F3873" s="2" t="n">
        <x:v>30</x:v>
      </x:c>
      <x:c r="G3873" s="2" t="n">
        <x:v>13</x:v>
      </x:c>
      <x:c r="H3873" s="11" t="n">
        <x:v>3968.67</x:v>
      </x:c>
      <x:c r="I3873" s="2" t="n">
        <x:v>4</x:v>
      </x:c>
      <x:c r="J3873" s="2" t="n">
        <x:v>5</x:v>
      </x:c>
      <x:c r="K3873" s="2" t="n">
        <x:v>5</x:v>
      </x:c>
      <x:c r="L3873" s="2" t="str">
        <x:v>Champions</x:v>
      </x:c>
    </x:row>
    <x:row r="3874" ht="22" customHeight="1">
      <x:c r="A3874" s="2"/>
      <x:c r="B3874" s="2" t="str">
        <x:v>16219</x:v>
      </x:c>
      <x:c r="C3874" s="2" t="str">
        <x:v>United Kingdom</x:v>
      </x:c>
      <x:c r="D3874" s="25" t="n">
        <x:v>40386.28055555555</x:v>
      </x:c>
      <x:c r="E3874" s="25" t="n">
        <x:v>40386.28055555555</x:v>
      </x:c>
      <x:c r="F3874" s="2" t="n">
        <x:v>501</x:v>
      </x:c>
      <x:c r="G3874" s="2" t="n">
        <x:v>1</x:v>
      </x:c>
      <x:c r="H3874" s="11" t="n">
        <x:v>40.8</x:v>
      </x:c>
      <x:c r="I3874" s="2" t="n">
        <x:v>1</x:v>
      </x:c>
      <x:c r="J3874" s="2" t="n">
        <x:v>1</x:v>
      </x:c>
      <x:c r="K3874" s="2" t="n">
        <x:v>1</x:v>
      </x:c>
      <x:c r="L3874" s="2" t="str">
        <x:v>Hibernating</x:v>
      </x:c>
    </x:row>
    <x:row r="3875" ht="22" customHeight="1">
      <x:c r="A3875" s="2"/>
      <x:c r="B3875" s="2" t="str">
        <x:v>16221</x:v>
      </x:c>
      <x:c r="C3875" s="2" t="str">
        <x:v>United Kingdom</x:v>
      </x:c>
      <x:c r="D3875" s="25" t="n">
        <x:v>40400.35555555556</x:v>
      </x:c>
      <x:c r="E3875" s="25" t="n">
        <x:v>40850.279861111114</x:v>
      </x:c>
      <x:c r="F3875" s="2" t="n">
        <x:v>37</x:v>
      </x:c>
      <x:c r="G3875" s="2" t="n">
        <x:v>9</x:v>
      </x:c>
      <x:c r="H3875" s="11" t="n">
        <x:v>2068.77</x:v>
      </x:c>
      <x:c r="I3875" s="2" t="n">
        <x:v>4</x:v>
      </x:c>
      <x:c r="J3875" s="2" t="n">
        <x:v>5</x:v>
      </x:c>
      <x:c r="K3875" s="2" t="n">
        <x:v>4</x:v>
      </x:c>
      <x:c r="L3875" s="2" t="str">
        <x:v>Champions</x:v>
      </x:c>
    </x:row>
    <x:row r="3876" ht="22" customHeight="1">
      <x:c r="A3876" s="2"/>
      <x:c r="B3876" s="2" t="str">
        <x:v>16222</x:v>
      </x:c>
      <x:c r="C3876" s="2" t="str">
        <x:v>United Kingdom</x:v>
      </x:c>
      <x:c r="D3876" s="25" t="n">
        <x:v>40165.396527777775</x:v>
      </x:c>
      <x:c r="E3876" s="25" t="n">
        <x:v>40568.35972222222</x:v>
      </x:c>
      <x:c r="F3876" s="2" t="n">
        <x:v>319</x:v>
      </x:c>
      <x:c r="G3876" s="2" t="n">
        <x:v>2</x:v>
      </x:c>
      <x:c r="H3876" s="11" t="n">
        <x:v>1345.22</x:v>
      </x:c>
      <x:c r="I3876" s="2" t="n">
        <x:v>2</x:v>
      </x:c>
      <x:c r="J3876" s="2" t="n">
        <x:v>2</x:v>
      </x:c>
      <x:c r="K3876" s="2" t="n">
        <x:v>4</x:v>
      </x:c>
      <x:c r="L3876" s="2" t="str">
        <x:v>Hibernating</x:v>
      </x:c>
    </x:row>
    <x:row r="3877" ht="22" customHeight="1">
      <x:c r="A3877" s="2"/>
      <x:c r="B3877" s="2" t="str">
        <x:v>16223</x:v>
      </x:c>
      <x:c r="C3877" s="2" t="str">
        <x:v>United Kingdom</x:v>
      </x:c>
      <x:c r="D3877" s="25" t="n">
        <x:v>40491.29652777778</x:v>
      </x:c>
      <x:c r="E3877" s="25" t="n">
        <x:v>40512.28472222222</x:v>
      </x:c>
      <x:c r="F3877" s="2" t="n">
        <x:v>375</x:v>
      </x:c>
      <x:c r="G3877" s="2" t="n">
        <x:v>2</x:v>
      </x:c>
      <x:c r="H3877" s="11" t="n">
        <x:v>1102.35</x:v>
      </x:c>
      <x:c r="I3877" s="2" t="n">
        <x:v>2</x:v>
      </x:c>
      <x:c r="J3877" s="2" t="n">
        <x:v>2</x:v>
      </x:c>
      <x:c r="K3877" s="2" t="n">
        <x:v>3</x:v>
      </x:c>
      <x:c r="L3877" s="2" t="str">
        <x:v>Hibernating</x:v>
      </x:c>
    </x:row>
    <x:row r="3878" ht="22" customHeight="1">
      <x:c r="A3878" s="2"/>
      <x:c r="B3878" s="2" t="str">
        <x:v>16224</x:v>
      </x:c>
      <x:c r="C3878" s="2" t="str">
        <x:v>United Kingdom</x:v>
      </x:c>
      <x:c r="D3878" s="25" t="n">
        <x:v>40499.34305555555</x:v>
      </x:c>
      <x:c r="E3878" s="25" t="n">
        <x:v>40829.535416666666</x:v>
      </x:c>
      <x:c r="F3878" s="2" t="n">
        <x:v>58</x:v>
      </x:c>
      <x:c r="G3878" s="2" t="n">
        <x:v>5</x:v>
      </x:c>
      <x:c r="H3878" s="11" t="n">
        <x:v>1616.54</x:v>
      </x:c>
      <x:c r="I3878" s="2" t="n">
        <x:v>4</x:v>
      </x:c>
      <x:c r="J3878" s="2" t="n">
        <x:v>4</x:v>
      </x:c>
      <x:c r="K3878" s="2" t="n">
        <x:v>4</x:v>
      </x:c>
      <x:c r="L3878" s="2" t="str">
        <x:v>Champions</x:v>
      </x:c>
    </x:row>
    <x:row r="3879" ht="22" customHeight="1">
      <x:c r="A3879" s="2"/>
      <x:c r="B3879" s="2" t="str">
        <x:v>16225</x:v>
      </x:c>
      <x:c r="C3879" s="2" t="str">
        <x:v>United Kingdom</x:v>
      </x:c>
      <x:c r="D3879" s="25" t="n">
        <x:v>40216.32013888889</x:v>
      </x:c>
      <x:c r="E3879" s="25" t="n">
        <x:v>40842.145833333336</x:v>
      </x:c>
      <x:c r="F3879" s="2" t="n">
        <x:v>45</x:v>
      </x:c>
      <x:c r="G3879" s="2" t="n">
        <x:v>15</x:v>
      </x:c>
      <x:c r="H3879" s="11" t="n">
        <x:v>2867.41</x:v>
      </x:c>
      <x:c r="I3879" s="2" t="n">
        <x:v>4</x:v>
      </x:c>
      <x:c r="J3879" s="2" t="n">
        <x:v>5</x:v>
      </x:c>
      <x:c r="K3879" s="2" t="n">
        <x:v>4</x:v>
      </x:c>
      <x:c r="L3879" s="2" t="str">
        <x:v>Champions</x:v>
      </x:c>
    </x:row>
    <x:row r="3880" ht="22" customHeight="1">
      <x:c r="A3880" s="2"/>
      <x:c r="B3880" s="2" t="str">
        <x:v>16226</x:v>
      </x:c>
      <x:c r="C3880" s="2" t="str">
        <x:v>United Kingdom</x:v>
      </x:c>
      <x:c r="D3880" s="25" t="n">
        <x:v>40473.263194444444</x:v>
      </x:c>
      <x:c r="E3880" s="25" t="n">
        <x:v>40683.40347222222</x:v>
      </x:c>
      <x:c r="F3880" s="2" t="n">
        <x:v>204</x:v>
      </x:c>
      <x:c r="G3880" s="2" t="n">
        <x:v>5</x:v>
      </x:c>
      <x:c r="H3880" s="11" t="n">
        <x:v>672.17</x:v>
      </x:c>
      <x:c r="I3880" s="2" t="n">
        <x:v>2</x:v>
      </x:c>
      <x:c r="J3880" s="2" t="n">
        <x:v>4</x:v>
      </x:c>
      <x:c r="K3880" s="2" t="n">
        <x:v>3</x:v>
      </x:c>
      <x:c r="L3880" s="2" t="str">
        <x:v>At risk</x:v>
      </x:c>
    </x:row>
    <x:row r="3881" ht="22" customHeight="1">
      <x:c r="A3881" s="2"/>
      <x:c r="B3881" s="2" t="str">
        <x:v>16227</x:v>
      </x:c>
      <x:c r="C3881" s="2" t="str">
        <x:v>United Kingdom</x:v>
      </x:c>
      <x:c r="D3881" s="25" t="n">
        <x:v>40351.35277777778</x:v>
      </x:c>
      <x:c r="E3881" s="25" t="n">
        <x:v>40661.35625</x:v>
      </x:c>
      <x:c r="F3881" s="2" t="n">
        <x:v>226</x:v>
      </x:c>
      <x:c r="G3881" s="2" t="n">
        <x:v>3</x:v>
      </x:c>
      <x:c r="H3881" s="11" t="n">
        <x:v>1027.22</x:v>
      </x:c>
      <x:c r="I3881" s="2" t="n">
        <x:v>2</x:v>
      </x:c>
      <x:c r="J3881" s="2" t="n">
        <x:v>3</x:v>
      </x:c>
      <x:c r="K3881" s="2" t="n">
        <x:v>3</x:v>
      </x:c>
      <x:c r="L3881" s="2" t="str">
        <x:v>At risk</x:v>
      </x:c>
    </x:row>
    <x:row r="3882" ht="22" customHeight="1">
      <x:c r="A3882" s="2"/>
      <x:c r="B3882" s="2" t="str">
        <x:v>16228</x:v>
      </x:c>
      <x:c r="C3882" s="2" t="str">
        <x:v>United Kingdom</x:v>
      </x:c>
      <x:c r="D3882" s="25" t="n">
        <x:v>40486.57916666667</x:v>
      </x:c>
      <x:c r="E3882" s="25" t="n">
        <x:v>40501.38888888889</x:v>
      </x:c>
      <x:c r="F3882" s="2" t="n">
        <x:v>386</x:v>
      </x:c>
      <x:c r="G3882" s="2" t="n">
        <x:v>3</x:v>
      </x:c>
      <x:c r="H3882" s="11" t="n">
        <x:v>890.81</x:v>
      </x:c>
      <x:c r="I3882" s="2" t="n">
        <x:v>2</x:v>
      </x:c>
      <x:c r="J3882" s="2" t="n">
        <x:v>3</x:v>
      </x:c>
      <x:c r="K3882" s="2" t="n">
        <x:v>3</x:v>
      </x:c>
      <x:c r="L3882" s="2" t="str">
        <x:v>At risk</x:v>
      </x:c>
    </x:row>
    <x:row r="3883" ht="22" customHeight="1">
      <x:c r="A3883" s="2"/>
      <x:c r="B3883" s="2" t="str">
        <x:v>16229</x:v>
      </x:c>
      <x:c r="C3883" s="2" t="str">
        <x:v>United Kingdom</x:v>
      </x:c>
      <x:c r="D3883" s="25" t="n">
        <x:v>40322.33263888889</x:v>
      </x:c>
      <x:c r="E3883" s="25" t="n">
        <x:v>40799.51111111111</x:v>
      </x:c>
      <x:c r="F3883" s="2" t="n">
        <x:v>88</x:v>
      </x:c>
      <x:c r="G3883" s="2" t="n">
        <x:v>6</x:v>
      </x:c>
      <x:c r="H3883" s="11" t="n">
        <x:v>2867.86</x:v>
      </x:c>
      <x:c r="I3883" s="2" t="n">
        <x:v>3</x:v>
      </x:c>
      <x:c r="J3883" s="2" t="n">
        <x:v>4</x:v>
      </x:c>
      <x:c r="K3883" s="2" t="n">
        <x:v>4</x:v>
      </x:c>
      <x:c r="L3883" s="2" t="str">
        <x:v>Loyal</x:v>
      </x:c>
    </x:row>
    <x:row r="3884" ht="22" customHeight="1">
      <x:c r="A3884" s="2"/>
      <x:c r="B3884" s="2" t="str">
        <x:v>16230</x:v>
      </x:c>
      <x:c r="C3884" s="2" t="str">
        <x:v>United Kingdom</x:v>
      </x:c>
      <x:c r="D3884" s="25" t="n">
        <x:v>40666.425</x:v>
      </x:c>
      <x:c r="E3884" s="25" t="n">
        <x:v>40697.2125</x:v>
      </x:c>
      <x:c r="F3884" s="2" t="n">
        <x:v>190</x:v>
      </x:c>
      <x:c r="G3884" s="2" t="n">
        <x:v>2</x:v>
      </x:c>
      <x:c r="H3884" s="11" t="n">
        <x:v>542.03</x:v>
      </x:c>
      <x:c r="I3884" s="2" t="n">
        <x:v>3</x:v>
      </x:c>
      <x:c r="J3884" s="2" t="n">
        <x:v>2</x:v>
      </x:c>
      <x:c r="K3884" s="2" t="n">
        <x:v>2</x:v>
      </x:c>
      <x:c r="L3884" s="2" t="str">
        <x:v>Developing</x:v>
      </x:c>
    </x:row>
    <x:row r="3885" ht="22" customHeight="1">
      <x:c r="A3885" s="2"/>
      <x:c r="B3885" s="2" t="str">
        <x:v>16231</x:v>
      </x:c>
      <x:c r="C3885" s="2" t="str">
        <x:v>United Kingdom</x:v>
      </x:c>
      <x:c r="D3885" s="25" t="n">
        <x:v>40289.29583333333</x:v>
      </x:c>
      <x:c r="E3885" s="25" t="n">
        <x:v>40507.416666666664</x:v>
      </x:c>
      <x:c r="F3885" s="2" t="n">
        <x:v>380</x:v>
      </x:c>
      <x:c r="G3885" s="2" t="n">
        <x:v>4</x:v>
      </x:c>
      <x:c r="H3885" s="11" t="n">
        <x:v>1078.22</x:v>
      </x:c>
      <x:c r="I3885" s="2" t="n">
        <x:v>2</x:v>
      </x:c>
      <x:c r="J3885" s="2" t="n">
        <x:v>3</x:v>
      </x:c>
      <x:c r="K3885" s="2" t="n">
        <x:v>3</x:v>
      </x:c>
      <x:c r="L3885" s="2" t="str">
        <x:v>At risk</x:v>
      </x:c>
    </x:row>
    <x:row r="3886" ht="22" customHeight="1">
      <x:c r="A3886" s="2"/>
      <x:c r="B3886" s="2" t="str">
        <x:v>16232</x:v>
      </x:c>
      <x:c r="C3886" s="2" t="str">
        <x:v>United Kingdom</x:v>
      </x:c>
      <x:c r="D3886" s="25" t="n">
        <x:v>40336.37777777778</x:v>
      </x:c>
      <x:c r="E3886" s="25" t="n">
        <x:v>40843.302777777775</x:v>
      </x:c>
      <x:c r="F3886" s="2" t="n">
        <x:v>44</x:v>
      </x:c>
      <x:c r="G3886" s="2" t="n">
        <x:v>7</x:v>
      </x:c>
      <x:c r="H3886" s="11" t="n">
        <x:v>2712.97</x:v>
      </x:c>
      <x:c r="I3886" s="2" t="n">
        <x:v>4</x:v>
      </x:c>
      <x:c r="J3886" s="2" t="n">
        <x:v>4</x:v>
      </x:c>
      <x:c r="K3886" s="2" t="n">
        <x:v>4</x:v>
      </x:c>
      <x:c r="L3886" s="2" t="str">
        <x:v>Champions</x:v>
      </x:c>
    </x:row>
    <x:row r="3887" ht="22" customHeight="1">
      <x:c r="A3887" s="2"/>
      <x:c r="B3887" s="2" t="str">
        <x:v>16233</x:v>
      </x:c>
      <x:c r="C3887" s="2" t="str">
        <x:v>United Kingdom</x:v>
      </x:c>
      <x:c r="D3887" s="25" t="n">
        <x:v>40149.34930555556</x:v>
      </x:c>
      <x:c r="E3887" s="25" t="n">
        <x:v>40815.51875</x:v>
      </x:c>
      <x:c r="F3887" s="2" t="n">
        <x:v>72</x:v>
      </x:c>
      <x:c r="G3887" s="2" t="n">
        <x:v>9</x:v>
      </x:c>
      <x:c r="H3887" s="11" t="n">
        <x:v>1818.31</x:v>
      </x:c>
      <x:c r="I3887" s="2" t="n">
        <x:v>3</x:v>
      </x:c>
      <x:c r="J3887" s="2" t="n">
        <x:v>5</x:v>
      </x:c>
      <x:c r="K3887" s="2" t="n">
        <x:v>4</x:v>
      </x:c>
      <x:c r="L3887" s="2" t="str">
        <x:v>Loyal</x:v>
      </x:c>
    </x:row>
    <x:row r="3888" ht="22" customHeight="1">
      <x:c r="A3888" s="2"/>
      <x:c r="B3888" s="2" t="str">
        <x:v>16234</x:v>
      </x:c>
      <x:c r="C3888" s="2" t="str">
        <x:v>United Kingdom</x:v>
      </x:c>
      <x:c r="D3888" s="25" t="n">
        <x:v>40325.23541666667</x:v>
      </x:c>
      <x:c r="E3888" s="25" t="n">
        <x:v>40410.39791666667</x:v>
      </x:c>
      <x:c r="F3888" s="2" t="n">
        <x:v>477</x:v>
      </x:c>
      <x:c r="G3888" s="2" t="n">
        <x:v>3</x:v>
      </x:c>
      <x:c r="H3888" s="11" t="n">
        <x:v>333.18</x:v>
      </x:c>
      <x:c r="I3888" s="2" t="n">
        <x:v>1</x:v>
      </x:c>
      <x:c r="J3888" s="2" t="n">
        <x:v>3</x:v>
      </x:c>
      <x:c r="K3888" s="2" t="n">
        <x:v>2</x:v>
      </x:c>
      <x:c r="L3888" s="2" t="str">
        <x:v>At risk</x:v>
      </x:c>
    </x:row>
    <x:row r="3889" ht="22" customHeight="1">
      <x:c r="A3889" s="2"/>
      <x:c r="B3889" s="2" t="str">
        <x:v>16235</x:v>
      </x:c>
      <x:c r="C3889" s="2" t="str">
        <x:v>United Kingdom</x:v>
      </x:c>
      <x:c r="D3889" s="25" t="n">
        <x:v>40416.29861111111</x:v>
      </x:c>
      <x:c r="E3889" s="25" t="n">
        <x:v>40846.24722222222</x:v>
      </x:c>
      <x:c r="F3889" s="2" t="n">
        <x:v>41</x:v>
      </x:c>
      <x:c r="G3889" s="2" t="n">
        <x:v>9</x:v>
      </x:c>
      <x:c r="H3889" s="11" t="n">
        <x:v>2053.71</x:v>
      </x:c>
      <x:c r="I3889" s="2" t="n">
        <x:v>4</x:v>
      </x:c>
      <x:c r="J3889" s="2" t="n">
        <x:v>5</x:v>
      </x:c>
      <x:c r="K3889" s="2" t="n">
        <x:v>4</x:v>
      </x:c>
      <x:c r="L3889" s="2" t="str">
        <x:v>Champions</x:v>
      </x:c>
    </x:row>
    <x:row r="3890" ht="22" customHeight="1">
      <x:c r="A3890" s="2"/>
      <x:c r="B3890" s="2" t="str">
        <x:v>16236</x:v>
      </x:c>
      <x:c r="C3890" s="2" t="str">
        <x:v>United Kingdom</x:v>
      </x:c>
      <x:c r="D3890" s="25" t="n">
        <x:v>40808.381944444445</x:v>
      </x:c>
      <x:c r="E3890" s="25" t="n">
        <x:v>40808.381944444445</x:v>
      </x:c>
      <x:c r="F3890" s="2" t="n">
        <x:v>79</x:v>
      </x:c>
      <x:c r="G3890" s="2" t="n">
        <x:v>1</x:v>
      </x:c>
      <x:c r="H3890" s="11" t="n">
        <x:v>432.2</x:v>
      </x:c>
      <x:c r="I3890" s="2" t="n">
        <x:v>3</x:v>
      </x:c>
      <x:c r="J3890" s="2" t="n">
        <x:v>1</x:v>
      </x:c>
      <x:c r="K3890" s="2" t="n">
        <x:v>2</x:v>
      </x:c>
      <x:c r="L3890" s="2" t="str">
        <x:v>Developing</x:v>
      </x:c>
    </x:row>
    <x:row r="3891" ht="22" customHeight="1">
      <x:c r="A3891" s="2"/>
      <x:c r="B3891" s="2" t="str">
        <x:v>16237</x:v>
      </x:c>
      <x:c r="C3891" s="2" t="str">
        <x:v>United Kingdom</x:v>
      </x:c>
      <x:c r="D3891" s="25" t="n">
        <x:v>40449.501388888886</x:v>
      </x:c>
      <x:c r="E3891" s="25" t="n">
        <x:v>40449.501388888886</x:v>
      </x:c>
      <x:c r="F3891" s="2" t="n">
        <x:v>438</x:v>
      </x:c>
      <x:c r="G3891" s="2" t="n">
        <x:v>1</x:v>
      </x:c>
      <x:c r="H3891" s="11" t="n">
        <x:v>136.65</x:v>
      </x:c>
      <x:c r="I3891" s="2" t="n">
        <x:v>1</x:v>
      </x:c>
      <x:c r="J3891" s="2" t="n">
        <x:v>1</x:v>
      </x:c>
      <x:c r="K3891" s="2" t="n">
        <x:v>1</x:v>
      </x:c>
      <x:c r="L3891" s="2" t="str">
        <x:v>Hibernating</x:v>
      </x:c>
    </x:row>
    <x:row r="3892" ht="22" customHeight="1">
      <x:c r="A3892" s="2"/>
      <x:c r="B3892" s="2" t="str">
        <x:v>16238</x:v>
      </x:c>
      <x:c r="C3892" s="2" t="str">
        <x:v>United Kingdom</x:v>
      </x:c>
      <x:c r="D3892" s="25" t="n">
        <x:v>40464.316666666666</x:v>
      </x:c>
      <x:c r="E3892" s="25" t="n">
        <x:v>40464.316666666666</x:v>
      </x:c>
      <x:c r="F3892" s="2" t="n">
        <x:v>423</x:v>
      </x:c>
      <x:c r="G3892" s="2" t="n">
        <x:v>1</x:v>
      </x:c>
      <x:c r="H3892" s="11" t="n">
        <x:v>63.66</x:v>
      </x:c>
      <x:c r="I3892" s="2" t="n">
        <x:v>1</x:v>
      </x:c>
      <x:c r="J3892" s="2" t="n">
        <x:v>1</x:v>
      </x:c>
      <x:c r="K3892" s="2" t="n">
        <x:v>1</x:v>
      </x:c>
      <x:c r="L3892" s="2" t="str">
        <x:v>Hibernating</x:v>
      </x:c>
    </x:row>
    <x:row r="3893" ht="22" customHeight="1">
      <x:c r="A3893" s="2"/>
      <x:c r="B3893" s="2" t="str">
        <x:v>16239</x:v>
      </x:c>
      <x:c r="C3893" s="2" t="str">
        <x:v>United Kingdom</x:v>
      </x:c>
      <x:c r="D3893" s="25" t="n">
        <x:v>40423.595138888886</x:v>
      </x:c>
      <x:c r="E3893" s="25" t="n">
        <x:v>40830.14513888889</x:v>
      </x:c>
      <x:c r="F3893" s="2" t="n">
        <x:v>57</x:v>
      </x:c>
      <x:c r="G3893" s="2" t="n">
        <x:v>6</x:v>
      </x:c>
      <x:c r="H3893" s="11" t="n">
        <x:v>1492.2</x:v>
      </x:c>
      <x:c r="I3893" s="2" t="n">
        <x:v>4</x:v>
      </x:c>
      <x:c r="J3893" s="2" t="n">
        <x:v>4</x:v>
      </x:c>
      <x:c r="K3893" s="2" t="n">
        <x:v>4</x:v>
      </x:c>
      <x:c r="L3893" s="2" t="str">
        <x:v>Champions</x:v>
      </x:c>
    </x:row>
    <x:row r="3894" ht="22" customHeight="1">
      <x:c r="A3894" s="2"/>
      <x:c r="B3894" s="2" t="str">
        <x:v>16240</x:v>
      </x:c>
      <x:c r="C3894" s="2" t="str">
        <x:v>United Kingdom</x:v>
      </x:c>
      <x:c r="D3894" s="25" t="n">
        <x:v>40809.36388888889</x:v>
      </x:c>
      <x:c r="E3894" s="25" t="n">
        <x:v>40862.395833333336</x:v>
      </x:c>
      <x:c r="F3894" s="2" t="n">
        <x:v>25</x:v>
      </x:c>
      <x:c r="G3894" s="2" t="n">
        <x:v>2</x:v>
      </x:c>
      <x:c r="H3894" s="11" t="n">
        <x:v>3718.8</x:v>
      </x:c>
      <x:c r="I3894" s="2" t="n">
        <x:v>4</x:v>
      </x:c>
      <x:c r="J3894" s="2" t="n">
        <x:v>2</x:v>
      </x:c>
      <x:c r="K3894" s="2" t="n">
        <x:v>5</x:v>
      </x:c>
      <x:c r="L3894" s="2" t="str">
        <x:v>Recent light buyers</x:v>
      </x:c>
    </x:row>
    <x:row r="3895" ht="22" customHeight="1">
      <x:c r="A3895" s="2"/>
      <x:c r="B3895" s="2" t="str">
        <x:v>16241</x:v>
      </x:c>
      <x:c r="C3895" s="2" t="str">
        <x:v>United Kingdom</x:v>
      </x:c>
      <x:c r="D3895" s="25" t="n">
        <x:v>40476.36111111111</x:v>
      </x:c>
      <x:c r="E3895" s="25" t="n">
        <x:v>40877.25555555556</x:v>
      </x:c>
      <x:c r="F3895" s="2" t="n">
        <x:v>10</x:v>
      </x:c>
      <x:c r="G3895" s="2" t="n">
        <x:v>16</x:v>
      </x:c>
      <x:c r="H3895" s="11" t="n">
        <x:v>4051.66</x:v>
      </x:c>
      <x:c r="I3895" s="2" t="n">
        <x:v>5</x:v>
      </x:c>
      <x:c r="J3895" s="2" t="n">
        <x:v>5</x:v>
      </x:c>
      <x:c r="K3895" s="2" t="n">
        <x:v>5</x:v>
      </x:c>
      <x:c r="L3895" s="2" t="str">
        <x:v>Champions</x:v>
      </x:c>
    </x:row>
    <x:row r="3896" ht="22" customHeight="1">
      <x:c r="A3896" s="2"/>
      <x:c r="B3896" s="2" t="str">
        <x:v>16242</x:v>
      </x:c>
      <x:c r="C3896" s="2" t="str">
        <x:v>United Kingdom</x:v>
      </x:c>
      <x:c r="D3896" s="25" t="n">
        <x:v>40252.45972222222</x:v>
      </x:c>
      <x:c r="E3896" s="25" t="n">
        <x:v>40878.425</x:v>
      </x:c>
      <x:c r="F3896" s="2" t="n">
        <x:v>9</x:v>
      </x:c>
      <x:c r="G3896" s="2" t="n">
        <x:v>14</x:v>
      </x:c>
      <x:c r="H3896" s="11" t="n">
        <x:v>7474.4</x:v>
      </x:c>
      <x:c r="I3896" s="2" t="n">
        <x:v>5</x:v>
      </x:c>
      <x:c r="J3896" s="2" t="n">
        <x:v>5</x:v>
      </x:c>
      <x:c r="K3896" s="2" t="n">
        <x:v>5</x:v>
      </x:c>
      <x:c r="L3896" s="2" t="str">
        <x:v>Champions</x:v>
      </x:c>
    </x:row>
    <x:row r="3897" ht="22" customHeight="1">
      <x:c r="A3897" s="2"/>
      <x:c r="B3897" s="2" t="str">
        <x:v>16243</x:v>
      </x:c>
      <x:c r="C3897" s="2" t="str">
        <x:v>United Kingdom</x:v>
      </x:c>
      <x:c r="D3897" s="25" t="n">
        <x:v>40832.29791666667</x:v>
      </x:c>
      <x:c r="E3897" s="25" t="n">
        <x:v>40853.313888888886</x:v>
      </x:c>
      <x:c r="F3897" s="2" t="n">
        <x:v>34</x:v>
      </x:c>
      <x:c r="G3897" s="2" t="n">
        <x:v>2</x:v>
      </x:c>
      <x:c r="H3897" s="11" t="n">
        <x:v>409.1</x:v>
      </x:c>
      <x:c r="I3897" s="2" t="n">
        <x:v>4</x:v>
      </x:c>
      <x:c r="J3897" s="2" t="n">
        <x:v>2</x:v>
      </x:c>
      <x:c r="K3897" s="2" t="n">
        <x:v>2</x:v>
      </x:c>
      <x:c r="L3897" s="2" t="str">
        <x:v>Recent light buyers</x:v>
      </x:c>
    </x:row>
    <x:row r="3898" ht="22" customHeight="1">
      <x:c r="A3898" s="2"/>
      <x:c r="B3898" s="2" t="str">
        <x:v>16244</x:v>
      </x:c>
      <x:c r="C3898" s="2" t="str">
        <x:v>United Kingdom</x:v>
      </x:c>
      <x:c r="D3898" s="25" t="n">
        <x:v>40514.27847222222</x:v>
      </x:c>
      <x:c r="E3898" s="25" t="n">
        <x:v>40675.22083333333</x:v>
      </x:c>
      <x:c r="F3898" s="2" t="n">
        <x:v>212</x:v>
      </x:c>
      <x:c r="G3898" s="2" t="n">
        <x:v>2</x:v>
      </x:c>
      <x:c r="H3898" s="11" t="n">
        <x:v>1522.75</x:v>
      </x:c>
      <x:c r="I3898" s="2" t="n">
        <x:v>2</x:v>
      </x:c>
      <x:c r="J3898" s="2" t="n">
        <x:v>2</x:v>
      </x:c>
      <x:c r="K3898" s="2" t="n">
        <x:v>4</x:v>
      </x:c>
      <x:c r="L3898" s="2" t="str">
        <x:v>Hibernating</x:v>
      </x:c>
    </x:row>
    <x:row r="3899" ht="22" customHeight="1">
      <x:c r="A3899" s="2"/>
      <x:c r="B3899" s="2" t="str">
        <x:v>16245</x:v>
      </x:c>
      <x:c r="C3899" s="2" t="str">
        <x:v>United Kingdom</x:v>
      </x:c>
      <x:c r="D3899" s="25" t="n">
        <x:v>40630.1875</x:v>
      </x:c>
      <x:c r="E3899" s="25" t="n">
        <x:v>40863.21805555555</x:v>
      </x:c>
      <x:c r="F3899" s="2" t="n">
        <x:v>24</x:v>
      </x:c>
      <x:c r="G3899" s="2" t="n">
        <x:v>3</x:v>
      </x:c>
      <x:c r="H3899" s="11" t="n">
        <x:v>1413.66</x:v>
      </x:c>
      <x:c r="I3899" s="2" t="n">
        <x:v>4</x:v>
      </x:c>
      <x:c r="J3899" s="2" t="n">
        <x:v>3</x:v>
      </x:c>
      <x:c r="K3899" s="2" t="n">
        <x:v>4</x:v>
      </x:c>
      <x:c r="L3899" s="2" t="str">
        <x:v>Loyal</x:v>
      </x:c>
    </x:row>
    <x:row r="3900" ht="22" customHeight="1">
      <x:c r="A3900" s="2"/>
      <x:c r="B3900" s="2" t="str">
        <x:v>16246</x:v>
      </x:c>
      <x:c r="C3900" s="2" t="str">
        <x:v>United Kingdom</x:v>
      </x:c>
      <x:c r="D3900" s="25" t="n">
        <x:v>40217.313888888886</x:v>
      </x:c>
      <x:c r="E3900" s="25" t="n">
        <x:v>40427.294444444444</x:v>
      </x:c>
      <x:c r="F3900" s="2" t="n">
        <x:v>460</x:v>
      </x:c>
      <x:c r="G3900" s="2" t="n">
        <x:v>2</x:v>
      </x:c>
      <x:c r="H3900" s="11" t="n">
        <x:v>827.25</x:v>
      </x:c>
      <x:c r="I3900" s="2" t="n">
        <x:v>1</x:v>
      </x:c>
      <x:c r="J3900" s="2" t="n">
        <x:v>2</x:v>
      </x:c>
      <x:c r="K3900" s="2" t="n">
        <x:v>3</x:v>
      </x:c>
      <x:c r="L3900" s="2" t="str">
        <x:v>Hibernating</x:v>
      </x:c>
    </x:row>
    <x:row r="3901" ht="22" customHeight="1">
      <x:c r="A3901" s="2"/>
      <x:c r="B3901" s="2" t="str">
        <x:v>16247</x:v>
      </x:c>
      <x:c r="C3901" s="2" t="str">
        <x:v>United Kingdom</x:v>
      </x:c>
      <x:c r="D3901" s="25" t="n">
        <x:v>40716.39097222222</x:v>
      </x:c>
      <x:c r="E3901" s="25" t="n">
        <x:v>40716.39097222222</x:v>
      </x:c>
      <x:c r="F3901" s="2" t="n">
        <x:v>171</x:v>
      </x:c>
      <x:c r="G3901" s="2" t="n">
        <x:v>1</x:v>
      </x:c>
      <x:c r="H3901" s="11" t="n">
        <x:v>114.56</x:v>
      </x:c>
      <x:c r="I3901" s="2" t="n">
        <x:v>3</x:v>
      </x:c>
      <x:c r="J3901" s="2" t="n">
        <x:v>1</x:v>
      </x:c>
      <x:c r="K3901" s="2" t="n">
        <x:v>1</x:v>
      </x:c>
      <x:c r="L3901" s="2" t="str">
        <x:v>Developing</x:v>
      </x:c>
    </x:row>
    <x:row r="3902" ht="22" customHeight="1">
      <x:c r="A3902" s="2"/>
      <x:c r="B3902" s="2" t="str">
        <x:v>16248</x:v>
      </x:c>
      <x:c r="C3902" s="2" t="str">
        <x:v>United Kingdom</x:v>
      </x:c>
      <x:c r="D3902" s="25" t="n">
        <x:v>40825.27222222222</x:v>
      </x:c>
      <x:c r="E3902" s="25" t="n">
        <x:v>40825.27222222222</x:v>
      </x:c>
      <x:c r="F3902" s="2" t="n">
        <x:v>62</x:v>
      </x:c>
      <x:c r="G3902" s="2" t="n">
        <x:v>1</x:v>
      </x:c>
      <x:c r="H3902" s="11" t="n">
        <x:v>152.94</x:v>
      </x:c>
      <x:c r="I3902" s="2" t="n">
        <x:v>3</x:v>
      </x:c>
      <x:c r="J3902" s="2" t="n">
        <x:v>1</x:v>
      </x:c>
      <x:c r="K3902" s="2" t="n">
        <x:v>1</x:v>
      </x:c>
      <x:c r="L3902" s="2" t="str">
        <x:v>Developing</x:v>
      </x:c>
    </x:row>
    <x:row r="3903" ht="22" customHeight="1">
      <x:c r="A3903" s="2"/>
      <x:c r="B3903" s="2" t="str">
        <x:v>16249</x:v>
      </x:c>
      <x:c r="C3903" s="2" t="str">
        <x:v>United Kingdom</x:v>
      </x:c>
      <x:c r="D3903" s="25" t="n">
        <x:v>40647.368055555555</x:v>
      </x:c>
      <x:c r="E3903" s="25" t="n">
        <x:v>40834.21319444444</x:v>
      </x:c>
      <x:c r="F3903" s="2" t="n">
        <x:v>53</x:v>
      </x:c>
      <x:c r="G3903" s="2" t="n">
        <x:v>5</x:v>
      </x:c>
      <x:c r="H3903" s="11" t="n">
        <x:v>1800.07</x:v>
      </x:c>
      <x:c r="I3903" s="2" t="n">
        <x:v>4</x:v>
      </x:c>
      <x:c r="J3903" s="2" t="n">
        <x:v>4</x:v>
      </x:c>
      <x:c r="K3903" s="2" t="n">
        <x:v>4</x:v>
      </x:c>
      <x:c r="L3903" s="2" t="str">
        <x:v>Champions</x:v>
      </x:c>
    </x:row>
    <x:row r="3904" ht="22" customHeight="1">
      <x:c r="A3904" s="2"/>
      <x:c r="B3904" s="2" t="str">
        <x:v>16250</x:v>
      </x:c>
      <x:c r="C3904" s="2" t="str">
        <x:v>United Kingdom</x:v>
      </x:c>
      <x:c r="D3904" s="25" t="n">
        <x:v>40500.23819444444</x:v>
      </x:c>
      <x:c r="E3904" s="25" t="n">
        <x:v>40625.42152777778</x:v>
      </x:c>
      <x:c r="F3904" s="2" t="n">
        <x:v>262</x:v>
      </x:c>
      <x:c r="G3904" s="2" t="n">
        <x:v>3</x:v>
      </x:c>
      <x:c r="H3904" s="11" t="n">
        <x:v>565.24</x:v>
      </x:c>
      <x:c r="I3904" s="2" t="n">
        <x:v>2</x:v>
      </x:c>
      <x:c r="J3904" s="2" t="n">
        <x:v>3</x:v>
      </x:c>
      <x:c r="K3904" s="2" t="n">
        <x:v>2</x:v>
      </x:c>
      <x:c r="L3904" s="2" t="str">
        <x:v>At risk</x:v>
      </x:c>
    </x:row>
    <x:row r="3905" ht="22" customHeight="1">
      <x:c r="A3905" s="2"/>
      <x:c r="B3905" s="2" t="str">
        <x:v>16251</x:v>
      </x:c>
      <x:c r="C3905" s="2" t="str">
        <x:v>United Kingdom</x:v>
      </x:c>
      <x:c r="D3905" s="25" t="n">
        <x:v>40374.413194444445</x:v>
      </x:c>
      <x:c r="E3905" s="25" t="n">
        <x:v>40374.413194444445</x:v>
      </x:c>
      <x:c r="F3905" s="2" t="n">
        <x:v>513</x:v>
      </x:c>
      <x:c r="G3905" s="2" t="n">
        <x:v>1</x:v>
      </x:c>
      <x:c r="H3905" s="11" t="n">
        <x:v>128.31</x:v>
      </x:c>
      <x:c r="I3905" s="2" t="n">
        <x:v>1</x:v>
      </x:c>
      <x:c r="J3905" s="2" t="n">
        <x:v>1</x:v>
      </x:c>
      <x:c r="K3905" s="2" t="n">
        <x:v>1</x:v>
      </x:c>
      <x:c r="L3905" s="2" t="str">
        <x:v>Hibernating</x:v>
      </x:c>
    </x:row>
    <x:row r="3906" ht="22" customHeight="1">
      <x:c r="A3906" s="2"/>
      <x:c r="B3906" s="2" t="str">
        <x:v>16252</x:v>
      </x:c>
      <x:c r="C3906" s="2" t="str">
        <x:v>United Kingdom</x:v>
      </x:c>
      <x:c r="D3906" s="25" t="n">
        <x:v>40504.28958333333</x:v>
      </x:c>
      <x:c r="E3906" s="25" t="n">
        <x:v>40504.28958333333</x:v>
      </x:c>
      <x:c r="F3906" s="2" t="n">
        <x:v>383</x:v>
      </x:c>
      <x:c r="G3906" s="2" t="n">
        <x:v>1</x:v>
      </x:c>
      <x:c r="H3906" s="11" t="n">
        <x:v>295.09</x:v>
      </x:c>
      <x:c r="I3906" s="2" t="n">
        <x:v>2</x:v>
      </x:c>
      <x:c r="J3906" s="2" t="n">
        <x:v>1</x:v>
      </x:c>
      <x:c r="K3906" s="2" t="n">
        <x:v>2</x:v>
      </x:c>
      <x:c r="L3906" s="2" t="str">
        <x:v>Hibernating</x:v>
      </x:c>
    </x:row>
    <x:row r="3907" ht="22" customHeight="1">
      <x:c r="A3907" s="2"/>
      <x:c r="B3907" s="2" t="str">
        <x:v>16253</x:v>
      </x:c>
      <x:c r="C3907" s="2" t="str">
        <x:v>United Kingdom</x:v>
      </x:c>
      <x:c r="D3907" s="25" t="n">
        <x:v>40155.51666666667</x:v>
      </x:c>
      <x:c r="E3907" s="25" t="n">
        <x:v>40820.17291666667</x:v>
      </x:c>
      <x:c r="F3907" s="2" t="n">
        <x:v>67</x:v>
      </x:c>
      <x:c r="G3907" s="2" t="n">
        <x:v>7</x:v>
      </x:c>
      <x:c r="H3907" s="11" t="n">
        <x:v>7310.15</x:v>
      </x:c>
      <x:c r="I3907" s="2" t="n">
        <x:v>3</x:v>
      </x:c>
      <x:c r="J3907" s="2" t="n">
        <x:v>4</x:v>
      </x:c>
      <x:c r="K3907" s="2" t="n">
        <x:v>5</x:v>
      </x:c>
      <x:c r="L3907" s="2" t="str">
        <x:v>Loyal</x:v>
      </x:c>
    </x:row>
    <x:row r="3908" ht="22" customHeight="1">
      <x:c r="A3908" s="2"/>
      <x:c r="B3908" s="2" t="str">
        <x:v>16254</x:v>
      </x:c>
      <x:c r="C3908" s="2" t="str">
        <x:v>United Kingdom</x:v>
      </x:c>
      <x:c r="D3908" s="25" t="n">
        <x:v>40254.44652777778</x:v>
      </x:c>
      <x:c r="E3908" s="25" t="n">
        <x:v>40508.34861111111</x:v>
      </x:c>
      <x:c r="F3908" s="2" t="n">
        <x:v>379</x:v>
      </x:c>
      <x:c r="G3908" s="2" t="n">
        <x:v>3</x:v>
      </x:c>
      <x:c r="H3908" s="11" t="n">
        <x:v>985.14</x:v>
      </x:c>
      <x:c r="I3908" s="2" t="n">
        <x:v>2</x:v>
      </x:c>
      <x:c r="J3908" s="2" t="n">
        <x:v>3</x:v>
      </x:c>
      <x:c r="K3908" s="2" t="n">
        <x:v>3</x:v>
      </x:c>
      <x:c r="L3908" s="2" t="str">
        <x:v>At risk</x:v>
      </x:c>
    </x:row>
    <x:row r="3909" ht="22" customHeight="1">
      <x:c r="A3909" s="2"/>
      <x:c r="B3909" s="2" t="str">
        <x:v>16255</x:v>
      </x:c>
      <x:c r="C3909" s="2" t="str">
        <x:v>United Kingdom</x:v>
      </x:c>
      <x:c r="D3909" s="25" t="n">
        <x:v>40202.30625</x:v>
      </x:c>
      <x:c r="E3909" s="25" t="n">
        <x:v>40870.319444444445</x:v>
      </x:c>
      <x:c r="F3909" s="2" t="n">
        <x:v>17</x:v>
      </x:c>
      <x:c r="G3909" s="2" t="n">
        <x:v>15</x:v>
      </x:c>
      <x:c r="H3909" s="11" t="n">
        <x:v>4532.55</x:v>
      </x:c>
      <x:c r="I3909" s="2" t="n">
        <x:v>5</x:v>
      </x:c>
      <x:c r="J3909" s="2" t="n">
        <x:v>5</x:v>
      </x:c>
      <x:c r="K3909" s="2" t="n">
        <x:v>5</x:v>
      </x:c>
      <x:c r="L3909" s="2" t="str">
        <x:v>Champions</x:v>
      </x:c>
    </x:row>
    <x:row r="3910" ht="22" customHeight="1">
      <x:c r="A3910" s="2"/>
      <x:c r="B3910" s="2" t="str">
        <x:v>16256</x:v>
      </x:c>
      <x:c r="C3910" s="2" t="str">
        <x:v>United Kingdom</x:v>
      </x:c>
      <x:c r="D3910" s="25" t="n">
        <x:v>40289.231944444444</x:v>
      </x:c>
      <x:c r="E3910" s="25" t="n">
        <x:v>40620.30416666667</x:v>
      </x:c>
      <x:c r="F3910" s="2" t="n">
        <x:v>267</x:v>
      </x:c>
      <x:c r="G3910" s="2" t="n">
        <x:v>3</x:v>
      </x:c>
      <x:c r="H3910" s="11" t="n">
        <x:v>1629.37</x:v>
      </x:c>
      <x:c r="I3910" s="2" t="n">
        <x:v>2</x:v>
      </x:c>
      <x:c r="J3910" s="2" t="n">
        <x:v>3</x:v>
      </x:c>
      <x:c r="K3910" s="2" t="n">
        <x:v>4</x:v>
      </x:c>
      <x:c r="L3910" s="2" t="str">
        <x:v>At risk</x:v>
      </x:c>
    </x:row>
    <x:row r="3911" ht="22" customHeight="1">
      <x:c r="A3911" s="2"/>
      <x:c r="B3911" s="2" t="str">
        <x:v>16257</x:v>
      </x:c>
      <x:c r="C3911" s="2" t="str">
        <x:v>United Kingdom</x:v>
      </x:c>
      <x:c r="D3911" s="25" t="n">
        <x:v>40710.21597222222</x:v>
      </x:c>
      <x:c r="E3911" s="25" t="n">
        <x:v>40710.21597222222</x:v>
      </x:c>
      <x:c r="F3911" s="2" t="n">
        <x:v>177</x:v>
      </x:c>
      <x:c r="G3911" s="2" t="n">
        <x:v>1</x:v>
      </x:c>
      <x:c r="H3911" s="11" t="n">
        <x:v>46.95</x:v>
      </x:c>
      <x:c r="I3911" s="2" t="n">
        <x:v>3</x:v>
      </x:c>
      <x:c r="J3911" s="2" t="n">
        <x:v>1</x:v>
      </x:c>
      <x:c r="K3911" s="2" t="n">
        <x:v>1</x:v>
      </x:c>
      <x:c r="L3911" s="2" t="str">
        <x:v>Developing</x:v>
      </x:c>
    </x:row>
    <x:row r="3912" ht="22" customHeight="1">
      <x:c r="A3912" s="2"/>
      <x:c r="B3912" s="2" t="str">
        <x:v>16258</x:v>
      </x:c>
      <x:c r="C3912" s="2" t="str">
        <x:v>United Kingdom</x:v>
      </x:c>
      <x:c r="D3912" s="25" t="n">
        <x:v>40247.388194444444</x:v>
      </x:c>
      <x:c r="E3912" s="25" t="n">
        <x:v>40841.354166666664</x:v>
      </x:c>
      <x:c r="F3912" s="2" t="n">
        <x:v>46</x:v>
      </x:c>
      <x:c r="G3912" s="2" t="n">
        <x:v>15</x:v>
      </x:c>
      <x:c r="H3912" s="11" t="n">
        <x:v>11942.52</x:v>
      </x:c>
      <x:c r="I3912" s="2" t="n">
        <x:v>4</x:v>
      </x:c>
      <x:c r="J3912" s="2" t="n">
        <x:v>5</x:v>
      </x:c>
      <x:c r="K3912" s="2" t="n">
        <x:v>5</x:v>
      </x:c>
      <x:c r="L3912" s="2" t="str">
        <x:v>Champions</x:v>
      </x:c>
    </x:row>
    <x:row r="3913" ht="22" customHeight="1">
      <x:c r="A3913" s="2"/>
      <x:c r="B3913" s="2" t="str">
        <x:v>16259</x:v>
      </x:c>
      <x:c r="C3913" s="2" t="str">
        <x:v>United Kingdom</x:v>
      </x:c>
      <x:c r="D3913" s="25" t="n">
        <x:v>40281.49791666667</x:v>
      </x:c>
      <x:c r="E3913" s="25" t="n">
        <x:v>40476.39375</x:v>
      </x:c>
      <x:c r="F3913" s="2" t="n">
        <x:v>411</x:v>
      </x:c>
      <x:c r="G3913" s="2" t="n">
        <x:v>3</x:v>
      </x:c>
      <x:c r="H3913" s="11" t="n">
        <x:v>361.94</x:v>
      </x:c>
      <x:c r="I3913" s="2" t="n">
        <x:v>2</x:v>
      </x:c>
      <x:c r="J3913" s="2" t="n">
        <x:v>3</x:v>
      </x:c>
      <x:c r="K3913" s="2" t="n">
        <x:v>2</x:v>
      </x:c>
      <x:c r="L3913" s="2" t="str">
        <x:v>At risk</x:v>
      </x:c>
    </x:row>
    <x:row r="3914" ht="22" customHeight="1">
      <x:c r="A3914" s="2"/>
      <x:c r="B3914" s="2" t="str">
        <x:v>16260</x:v>
      </x:c>
      <x:c r="C3914" s="2" t="str">
        <x:v>United Kingdom</x:v>
      </x:c>
      <x:c r="D3914" s="25" t="n">
        <x:v>40836.194444444445</x:v>
      </x:c>
      <x:c r="E3914" s="25" t="n">
        <x:v>40836.194444444445</x:v>
      </x:c>
      <x:c r="F3914" s="2" t="n">
        <x:v>51</x:v>
      </x:c>
      <x:c r="G3914" s="2" t="n">
        <x:v>1</x:v>
      </x:c>
      <x:c r="H3914" s="11" t="n">
        <x:v>1035.45</x:v>
      </x:c>
      <x:c r="I3914" s="2" t="n">
        <x:v>4</x:v>
      </x:c>
      <x:c r="J3914" s="2" t="n">
        <x:v>1</x:v>
      </x:c>
      <x:c r="K3914" s="2" t="n">
        <x:v>3</x:v>
      </x:c>
      <x:c r="L3914" s="2" t="str">
        <x:v>Recent light buyers</x:v>
      </x:c>
    </x:row>
    <x:row r="3915" ht="22" customHeight="1">
      <x:c r="A3915" s="2"/>
      <x:c r="B3915" s="2" t="str">
        <x:v>16261</x:v>
      </x:c>
      <x:c r="C3915" s="2" t="str">
        <x:v>United Kingdom</x:v>
      </x:c>
      <x:c r="D3915" s="25" t="n">
        <x:v>40444.48611111111</x:v>
      </x:c>
      <x:c r="E3915" s="25" t="n">
        <x:v>40869.51597222222</x:v>
      </x:c>
      <x:c r="F3915" s="2" t="n">
        <x:v>18</x:v>
      </x:c>
      <x:c r="G3915" s="2" t="n">
        <x:v>6</x:v>
      </x:c>
      <x:c r="H3915" s="11" t="n">
        <x:v>1059.45</x:v>
      </x:c>
      <x:c r="I3915" s="2" t="n">
        <x:v>5</x:v>
      </x:c>
      <x:c r="J3915" s="2" t="n">
        <x:v>4</x:v>
      </x:c>
      <x:c r="K3915" s="2" t="n">
        <x:v>3</x:v>
      </x:c>
      <x:c r="L3915" s="2" t="str">
        <x:v>Loyal</x:v>
      </x:c>
    </x:row>
    <x:row r="3916" ht="22" customHeight="1">
      <x:c r="A3916" s="2"/>
      <x:c r="B3916" s="2" t="str">
        <x:v>16262</x:v>
      </x:c>
      <x:c r="C3916" s="2" t="str">
        <x:v>United Kingdom</x:v>
      </x:c>
      <x:c r="D3916" s="25" t="n">
        <x:v>40508.34861111111</x:v>
      </x:c>
      <x:c r="E3916" s="25" t="n">
        <x:v>40508.34861111111</x:v>
      </x:c>
      <x:c r="F3916" s="2" t="n">
        <x:v>379</x:v>
      </x:c>
      <x:c r="G3916" s="2" t="n">
        <x:v>1</x:v>
      </x:c>
      <x:c r="H3916" s="11" t="n">
        <x:v>755.15</x:v>
      </x:c>
      <x:c r="I3916" s="2" t="n">
        <x:v>2</x:v>
      </x:c>
      <x:c r="J3916" s="2" t="n">
        <x:v>1</x:v>
      </x:c>
      <x:c r="K3916" s="2" t="n">
        <x:v>3</x:v>
      </x:c>
      <x:c r="L3916" s="2" t="str">
        <x:v>Hibernating</x:v>
      </x:c>
    </x:row>
    <x:row r="3917" ht="22" customHeight="1">
      <x:c r="A3917" s="2"/>
      <x:c r="B3917" s="2" t="str">
        <x:v>16263</x:v>
      </x:c>
      <x:c r="C3917" s="2" t="str">
        <x:v>United Kingdom</x:v>
      </x:c>
      <x:c r="D3917" s="25" t="n">
        <x:v>40463.41111111111</x:v>
      </x:c>
      <x:c r="E3917" s="25" t="n">
        <x:v>40463.41111111111</x:v>
      </x:c>
      <x:c r="F3917" s="2" t="n">
        <x:v>424</x:v>
      </x:c>
      <x:c r="G3917" s="2" t="n">
        <x:v>1</x:v>
      </x:c>
      <x:c r="H3917" s="11" t="n">
        <x:v>351.01</x:v>
      </x:c>
      <x:c r="I3917" s="2" t="n">
        <x:v>1</x:v>
      </x:c>
      <x:c r="J3917" s="2" t="n">
        <x:v>1</x:v>
      </x:c>
      <x:c r="K3917" s="2" t="n">
        <x:v>2</x:v>
      </x:c>
      <x:c r="L3917" s="2" t="str">
        <x:v>Hibernating</x:v>
      </x:c>
    </x:row>
    <x:row r="3918" ht="22" customHeight="1">
      <x:c r="A3918" s="2"/>
      <x:c r="B3918" s="2" t="str">
        <x:v>16264</x:v>
      </x:c>
      <x:c r="C3918" s="2" t="str">
        <x:v>United Kingdom</x:v>
      </x:c>
      <x:c r="D3918" s="25" t="n">
        <x:v>40440.46805555555</x:v>
      </x:c>
      <x:c r="E3918" s="25" t="n">
        <x:v>40448.416666666664</x:v>
      </x:c>
      <x:c r="F3918" s="2" t="n">
        <x:v>439</x:v>
      </x:c>
      <x:c r="G3918" s="2" t="n">
        <x:v>2</x:v>
      </x:c>
      <x:c r="H3918" s="11" t="n">
        <x:v>837.53</x:v>
      </x:c>
      <x:c r="I3918" s="2" t="n">
        <x:v>1</x:v>
      </x:c>
      <x:c r="J3918" s="2" t="n">
        <x:v>2</x:v>
      </x:c>
      <x:c r="K3918" s="2" t="n">
        <x:v>3</x:v>
      </x:c>
      <x:c r="L3918" s="2" t="str">
        <x:v>Hibernating</x:v>
      </x:c>
    </x:row>
    <x:row r="3919" ht="22" customHeight="1">
      <x:c r="A3919" s="2"/>
      <x:c r="B3919" s="2" t="str">
        <x:v>16265</x:v>
      </x:c>
      <x:c r="C3919" s="2" t="str">
        <x:v>United Kingdom</x:v>
      </x:c>
      <x:c r="D3919" s="25" t="n">
        <x:v>40479.42916666667</x:v>
      </x:c>
      <x:c r="E3919" s="25" t="n">
        <x:v>40877.486805555556</x:v>
      </x:c>
      <x:c r="F3919" s="2" t="n">
        <x:v>10</x:v>
      </x:c>
      <x:c r="G3919" s="2" t="n">
        <x:v>12</x:v>
      </x:c>
      <x:c r="H3919" s="11" t="n">
        <x:v>6935.17</x:v>
      </x:c>
      <x:c r="I3919" s="2" t="n">
        <x:v>5</x:v>
      </x:c>
      <x:c r="J3919" s="2" t="n">
        <x:v>5</x:v>
      </x:c>
      <x:c r="K3919" s="2" t="n">
        <x:v>5</x:v>
      </x:c>
      <x:c r="L3919" s="2" t="str">
        <x:v>Champions</x:v>
      </x:c>
    </x:row>
    <x:row r="3920" ht="22" customHeight="1">
      <x:c r="A3920" s="2"/>
      <x:c r="B3920" s="2" t="str">
        <x:v>16266</x:v>
      </x:c>
      <x:c r="C3920" s="2" t="str">
        <x:v>United Kingdom</x:v>
      </x:c>
      <x:c r="D3920" s="25" t="n">
        <x:v>40213.472916666666</x:v>
      </x:c>
      <x:c r="E3920" s="25" t="n">
        <x:v>40813.29722222222</x:v>
      </x:c>
      <x:c r="F3920" s="2" t="n">
        <x:v>74</x:v>
      </x:c>
      <x:c r="G3920" s="2" t="n">
        <x:v>14</x:v>
      </x:c>
      <x:c r="H3920" s="11" t="n">
        <x:v>1757.95</x:v>
      </x:c>
      <x:c r="I3920" s="2" t="n">
        <x:v>3</x:v>
      </x:c>
      <x:c r="J3920" s="2" t="n">
        <x:v>5</x:v>
      </x:c>
      <x:c r="K3920" s="2" t="n">
        <x:v>4</x:v>
      </x:c>
      <x:c r="L3920" s="2" t="str">
        <x:v>Loyal</x:v>
      </x:c>
    </x:row>
    <x:row r="3921" ht="22" customHeight="1">
      <x:c r="A3921" s="2"/>
      <x:c r="B3921" s="2" t="str">
        <x:v>16267</x:v>
      </x:c>
      <x:c r="C3921" s="2" t="str">
        <x:v>United Kingdom</x:v>
      </x:c>
      <x:c r="D3921" s="25" t="n">
        <x:v>40295.381944444445</x:v>
      </x:c>
      <x:c r="E3921" s="25" t="n">
        <x:v>40295.381944444445</x:v>
      </x:c>
      <x:c r="F3921" s="2" t="n">
        <x:v>592</x:v>
      </x:c>
      <x:c r="G3921" s="2" t="n">
        <x:v>1</x:v>
      </x:c>
      <x:c r="H3921" s="11" t="n">
        <x:v>186.66</x:v>
      </x:c>
      <x:c r="I3921" s="2" t="n">
        <x:v>1</x:v>
      </x:c>
      <x:c r="J3921" s="2" t="n">
        <x:v>1</x:v>
      </x:c>
      <x:c r="K3921" s="2" t="n">
        <x:v>1</x:v>
      </x:c>
      <x:c r="L3921" s="2" t="str">
        <x:v>Hibernating</x:v>
      </x:c>
    </x:row>
    <x:row r="3922" ht="22" customHeight="1">
      <x:c r="A3922" s="2"/>
      <x:c r="B3922" s="2" t="str">
        <x:v>16268</x:v>
      </x:c>
      <x:c r="C3922" s="2" t="str">
        <x:v>United Kingdom</x:v>
      </x:c>
      <x:c r="D3922" s="25" t="n">
        <x:v>40815.5625</x:v>
      </x:c>
      <x:c r="E3922" s="25" t="n">
        <x:v>40815.5625</x:v>
      </x:c>
      <x:c r="F3922" s="2" t="n">
        <x:v>72</x:v>
      </x:c>
      <x:c r="G3922" s="2" t="n">
        <x:v>2</x:v>
      </x:c>
      <x:c r="H3922" s="11" t="n">
        <x:v>667.65</x:v>
      </x:c>
      <x:c r="I3922" s="2" t="n">
        <x:v>3</x:v>
      </x:c>
      <x:c r="J3922" s="2" t="n">
        <x:v>2</x:v>
      </x:c>
      <x:c r="K3922" s="2" t="n">
        <x:v>3</x:v>
      </x:c>
      <x:c r="L3922" s="2" t="str">
        <x:v>Developing</x:v>
      </x:c>
    </x:row>
    <x:row r="3923" ht="22" customHeight="1">
      <x:c r="A3923" s="2"/>
      <x:c r="B3923" s="2" t="str">
        <x:v>16269</x:v>
      </x:c>
      <x:c r="C3923" s="2" t="str">
        <x:v>United Kingdom</x:v>
      </x:c>
      <x:c r="D3923" s="25" t="n">
        <x:v>40449.28472222222</x:v>
      </x:c>
      <x:c r="E3923" s="25" t="n">
        <x:v>40449.28472222222</x:v>
      </x:c>
      <x:c r="F3923" s="2" t="n">
        <x:v>438</x:v>
      </x:c>
      <x:c r="G3923" s="2" t="n">
        <x:v>1</x:v>
      </x:c>
      <x:c r="H3923" s="11" t="n">
        <x:v>717.57</x:v>
      </x:c>
      <x:c r="I3923" s="2" t="n">
        <x:v>1</x:v>
      </x:c>
      <x:c r="J3923" s="2" t="n">
        <x:v>1</x:v>
      </x:c>
      <x:c r="K3923" s="2" t="n">
        <x:v>3</x:v>
      </x:c>
      <x:c r="L3923" s="2" t="str">
        <x:v>Hibernating</x:v>
      </x:c>
    </x:row>
    <x:row r="3924" ht="22" customHeight="1">
      <x:c r="A3924" s="2"/>
      <x:c r="B3924" s="2" t="str">
        <x:v>16270</x:v>
      </x:c>
      <x:c r="C3924" s="2" t="str">
        <x:v>United Kingdom</x:v>
      </x:c>
      <x:c r="D3924" s="25" t="n">
        <x:v>40533.393055555556</x:v>
      </x:c>
      <x:c r="E3924" s="25" t="n">
        <x:v>40533.393055555556</x:v>
      </x:c>
      <x:c r="F3924" s="2" t="n">
        <x:v>354</x:v>
      </x:c>
      <x:c r="G3924" s="2" t="n">
        <x:v>1</x:v>
      </x:c>
      <x:c r="H3924" s="11" t="n">
        <x:v>1141.24</x:v>
      </x:c>
      <x:c r="I3924" s="2" t="n">
        <x:v>2</x:v>
      </x:c>
      <x:c r="J3924" s="2" t="n">
        <x:v>1</x:v>
      </x:c>
      <x:c r="K3924" s="2" t="n">
        <x:v>3</x:v>
      </x:c>
      <x:c r="L3924" s="2" t="str">
        <x:v>Hibernating</x:v>
      </x:c>
    </x:row>
    <x:row r="3925" ht="22" customHeight="1">
      <x:c r="A3925" s="2"/>
      <x:c r="B3925" s="2" t="str">
        <x:v>16271</x:v>
      </x:c>
      <x:c r="C3925" s="2" t="str">
        <x:v>United Kingdom</x:v>
      </x:c>
      <x:c r="D3925" s="25" t="n">
        <x:v>40244.29375</x:v>
      </x:c>
      <x:c r="E3925" s="25" t="n">
        <x:v>40884.322916666664</x:v>
      </x:c>
      <x:c r="F3925" s="2" t="n">
        <x:v>3</x:v>
      </x:c>
      <x:c r="G3925" s="2" t="n">
        <x:v>10</x:v>
      </x:c>
      <x:c r="H3925" s="11" t="n">
        <x:v>3463.02</x:v>
      </x:c>
      <x:c r="I3925" s="2" t="n">
        <x:v>5</x:v>
      </x:c>
      <x:c r="J3925" s="2" t="n">
        <x:v>5</x:v>
      </x:c>
      <x:c r="K3925" s="2" t="n">
        <x:v>5</x:v>
      </x:c>
      <x:c r="L3925" s="2" t="str">
        <x:v>Champions</x:v>
      </x:c>
    </x:row>
    <x:row r="3926" ht="22" customHeight="1">
      <x:c r="A3926" s="2"/>
      <x:c r="B3926" s="2" t="str">
        <x:v>16272</x:v>
      </x:c>
      <x:c r="C3926" s="2" t="str">
        <x:v>United Kingdom</x:v>
      </x:c>
      <x:c r="D3926" s="25" t="n">
        <x:v>40770.24513888889</x:v>
      </x:c>
      <x:c r="E3926" s="25" t="n">
        <x:v>40770.245833333334</x:v>
      </x:c>
      <x:c r="F3926" s="2" t="n">
        <x:v>117</x:v>
      </x:c>
      <x:c r="G3926" s="2" t="n">
        <x:v>1</x:v>
      </x:c>
      <x:c r="H3926" s="11" t="n">
        <x:v>411.7</x:v>
      </x:c>
      <x:c r="I3926" s="2" t="n">
        <x:v>3</x:v>
      </x:c>
      <x:c r="J3926" s="2" t="n">
        <x:v>1</x:v>
      </x:c>
      <x:c r="K3926" s="2" t="n">
        <x:v>2</x:v>
      </x:c>
      <x:c r="L3926" s="2" t="str">
        <x:v>Developing</x:v>
      </x:c>
    </x:row>
    <x:row r="3927" ht="22" customHeight="1">
      <x:c r="A3927" s="2"/>
      <x:c r="B3927" s="2" t="str">
        <x:v>16273</x:v>
      </x:c>
      <x:c r="C3927" s="2" t="str">
        <x:v>United Kingdom</x:v>
      </x:c>
      <x:c r="D3927" s="25" t="n">
        <x:v>40230.45972222222</x:v>
      </x:c>
      <x:c r="E3927" s="25" t="n">
        <x:v>40238.35</x:v>
      </x:c>
      <x:c r="F3927" s="2" t="n">
        <x:v>649</x:v>
      </x:c>
      <x:c r="G3927" s="2" t="n">
        <x:v>2</x:v>
      </x:c>
      <x:c r="H3927" s="11" t="n">
        <x:v>336.04</x:v>
      </x:c>
      <x:c r="I3927" s="2" t="n">
        <x:v>1</x:v>
      </x:c>
      <x:c r="J3927" s="2" t="n">
        <x:v>2</x:v>
      </x:c>
      <x:c r="K3927" s="2" t="n">
        <x:v>2</x:v>
      </x:c>
      <x:c r="L3927" s="2" t="str">
        <x:v>Hibernating</x:v>
      </x:c>
    </x:row>
    <x:row r="3928" ht="22" customHeight="1">
      <x:c r="A3928" s="2"/>
      <x:c r="B3928" s="2" t="str">
        <x:v>16274</x:v>
      </x:c>
      <x:c r="C3928" s="2" t="str">
        <x:v>United Kingdom</x:v>
      </x:c>
      <x:c r="D3928" s="25" t="n">
        <x:v>40513.44097222222</x:v>
      </x:c>
      <x:c r="E3928" s="25" t="n">
        <x:v>40513.44097222222</x:v>
      </x:c>
      <x:c r="F3928" s="2" t="n">
        <x:v>374</x:v>
      </x:c>
      <x:c r="G3928" s="2" t="n">
        <x:v>1</x:v>
      </x:c>
      <x:c r="H3928" s="11" t="n">
        <x:v>357.95</x:v>
      </x:c>
      <x:c r="I3928" s="2" t="n">
        <x:v>2</x:v>
      </x:c>
      <x:c r="J3928" s="2" t="n">
        <x:v>1</x:v>
      </x:c>
      <x:c r="K3928" s="2" t="n">
        <x:v>2</x:v>
      </x:c>
      <x:c r="L3928" s="2" t="str">
        <x:v>Hibernating</x:v>
      </x:c>
    </x:row>
    <x:row r="3929" ht="22" customHeight="1">
      <x:c r="A3929" s="2"/>
      <x:c r="B3929" s="2" t="str">
        <x:v>16275</x:v>
      </x:c>
      <x:c r="C3929" s="2" t="str">
        <x:v>United Kingdom</x:v>
      </x:c>
      <x:c r="D3929" s="25" t="n">
        <x:v>40245.40347222222</x:v>
      </x:c>
      <x:c r="E3929" s="25" t="n">
        <x:v>40690.32013888889</x:v>
      </x:c>
      <x:c r="F3929" s="2" t="n">
        <x:v>197</x:v>
      </x:c>
      <x:c r="G3929" s="2" t="n">
        <x:v>3</x:v>
      </x:c>
      <x:c r="H3929" s="11" t="n">
        <x:v>2151.11</x:v>
      </x:c>
      <x:c r="I3929" s="2" t="n">
        <x:v>2</x:v>
      </x:c>
      <x:c r="J3929" s="2" t="n">
        <x:v>3</x:v>
      </x:c>
      <x:c r="K3929" s="2" t="n">
        <x:v>4</x:v>
      </x:c>
      <x:c r="L3929" s="2" t="str">
        <x:v>At risk</x:v>
      </x:c>
    </x:row>
    <x:row r="3930" ht="22" customHeight="1">
      <x:c r="A3930" s="2"/>
      <x:c r="B3930" s="2" t="str">
        <x:v>16276</x:v>
      </x:c>
      <x:c r="C3930" s="2" t="str">
        <x:v>United Kingdom</x:v>
      </x:c>
      <x:c r="D3930" s="25" t="n">
        <x:v>40279.29305555556</x:v>
      </x:c>
      <x:c r="E3930" s="25" t="n">
        <x:v>40710.19027777778</x:v>
      </x:c>
      <x:c r="F3930" s="2" t="n">
        <x:v>177</x:v>
      </x:c>
      <x:c r="G3930" s="2" t="n">
        <x:v>3</x:v>
      </x:c>
      <x:c r="H3930" s="11" t="n">
        <x:v>2629.39</x:v>
      </x:c>
      <x:c r="I3930" s="2" t="n">
        <x:v>3</x:v>
      </x:c>
      <x:c r="J3930" s="2" t="n">
        <x:v>3</x:v>
      </x:c>
      <x:c r="K3930" s="2" t="n">
        <x:v>4</x:v>
      </x:c>
      <x:c r="L3930" s="2" t="str">
        <x:v>Loyal</x:v>
      </x:c>
    </x:row>
    <x:row r="3931" ht="22" customHeight="1">
      <x:c r="A3931" s="2"/>
      <x:c r="B3931" s="2" t="str">
        <x:v>16277</x:v>
      </x:c>
      <x:c r="C3931" s="2" t="str">
        <x:v>United Kingdom</x:v>
      </x:c>
      <x:c r="D3931" s="25" t="n">
        <x:v>40153.26875</x:v>
      </x:c>
      <x:c r="E3931" s="25" t="n">
        <x:v>40153.26875</x:v>
      </x:c>
      <x:c r="F3931" s="2" t="n">
        <x:v>734</x:v>
      </x:c>
      <x:c r="G3931" s="2" t="n">
        <x:v>1</x:v>
      </x:c>
      <x:c r="H3931" s="11" t="n">
        <x:v>188.69</x:v>
      </x:c>
      <x:c r="I3931" s="2" t="n">
        <x:v>1</x:v>
      </x:c>
      <x:c r="J3931" s="2" t="n">
        <x:v>1</x:v>
      </x:c>
      <x:c r="K3931" s="2" t="n">
        <x:v>1</x:v>
      </x:c>
      <x:c r="L3931" s="2" t="str">
        <x:v>Hibernating</x:v>
      </x:c>
    </x:row>
    <x:row r="3932" ht="22" customHeight="1">
      <x:c r="A3932" s="2"/>
      <x:c r="B3932" s="2" t="str">
        <x:v>16278</x:v>
      </x:c>
      <x:c r="C3932" s="2" t="str">
        <x:v>United Kingdom</x:v>
      </x:c>
      <x:c r="D3932" s="25" t="n">
        <x:v>40387.444444444445</x:v>
      </x:c>
      <x:c r="E3932" s="25" t="n">
        <x:v>40786.50833333333</x:v>
      </x:c>
      <x:c r="F3932" s="2" t="n">
        <x:v>101</x:v>
      </x:c>
      <x:c r="G3932" s="2" t="n">
        <x:v>3</x:v>
      </x:c>
      <x:c r="H3932" s="11" t="n">
        <x:v>1117.84</x:v>
      </x:c>
      <x:c r="I3932" s="2" t="n">
        <x:v>3</x:v>
      </x:c>
      <x:c r="J3932" s="2" t="n">
        <x:v>3</x:v>
      </x:c>
      <x:c r="K3932" s="2" t="n">
        <x:v>3</x:v>
      </x:c>
      <x:c r="L3932" s="2" t="str">
        <x:v>Loyal</x:v>
      </x:c>
    </x:row>
    <x:row r="3933" ht="22" customHeight="1">
      <x:c r="A3933" s="2"/>
      <x:c r="B3933" s="2" t="str">
        <x:v>16279</x:v>
      </x:c>
      <x:c r="C3933" s="2" t="str">
        <x:v>United Kingdom</x:v>
      </x:c>
      <x:c r="D3933" s="25" t="n">
        <x:v>40290.38125</x:v>
      </x:c>
      <x:c r="E3933" s="25" t="n">
        <x:v>40865.416666666664</x:v>
      </x:c>
      <x:c r="F3933" s="2" t="n">
        <x:v>22</x:v>
      </x:c>
      <x:c r="G3933" s="2" t="n">
        <x:v>9</x:v>
      </x:c>
      <x:c r="H3933" s="11" t="n">
        <x:v>5705.08</x:v>
      </x:c>
      <x:c r="I3933" s="2" t="n">
        <x:v>4</x:v>
      </x:c>
      <x:c r="J3933" s="2" t="n">
        <x:v>5</x:v>
      </x:c>
      <x:c r="K3933" s="2" t="n">
        <x:v>5</x:v>
      </x:c>
      <x:c r="L3933" s="2" t="str">
        <x:v>Champions</x:v>
      </x:c>
    </x:row>
    <x:row r="3934" ht="22" customHeight="1">
      <x:c r="A3934" s="2"/>
      <x:c r="B3934" s="2" t="str">
        <x:v>16280</x:v>
      </x:c>
      <x:c r="C3934" s="2" t="str">
        <x:v>United Kingdom</x:v>
      </x:c>
      <x:c r="D3934" s="25" t="n">
        <x:v>40161.450694444444</x:v>
      </x:c>
      <x:c r="E3934" s="25" t="n">
        <x:v>40161.450694444444</x:v>
      </x:c>
      <x:c r="F3934" s="2" t="n">
        <x:v>726</x:v>
      </x:c>
      <x:c r="G3934" s="2" t="n">
        <x:v>1</x:v>
      </x:c>
      <x:c r="H3934" s="11" t="n">
        <x:v>238.05</x:v>
      </x:c>
      <x:c r="I3934" s="2" t="n">
        <x:v>1</x:v>
      </x:c>
      <x:c r="J3934" s="2" t="n">
        <x:v>1</x:v>
      </x:c>
      <x:c r="K3934" s="2" t="n">
        <x:v>1</x:v>
      </x:c>
      <x:c r="L3934" s="2" t="str">
        <x:v>Hibernating</x:v>
      </x:c>
    </x:row>
    <x:row r="3935" ht="22" customHeight="1">
      <x:c r="A3935" s="2"/>
      <x:c r="B3935" s="2" t="str">
        <x:v>16281</x:v>
      </x:c>
      <x:c r="C3935" s="2" t="str">
        <x:v>United Kingdom</x:v>
      </x:c>
      <x:c r="D3935" s="25" t="n">
        <x:v>40204.361805555556</x:v>
      </x:c>
      <x:c r="E3935" s="25" t="n">
        <x:v>40814.41458333333</x:v>
      </x:c>
      <x:c r="F3935" s="2" t="n">
        <x:v>73</x:v>
      </x:c>
      <x:c r="G3935" s="2" t="n">
        <x:v>3</x:v>
      </x:c>
      <x:c r="H3935" s="11" t="n">
        <x:v>3424.02</x:v>
      </x:c>
      <x:c r="I3935" s="2" t="n">
        <x:v>3</x:v>
      </x:c>
      <x:c r="J3935" s="2" t="n">
        <x:v>3</x:v>
      </x:c>
      <x:c r="K3935" s="2" t="n">
        <x:v>5</x:v>
      </x:c>
      <x:c r="L3935" s="2" t="str">
        <x:v>Loyal</x:v>
      </x:c>
    </x:row>
    <x:row r="3936" ht="22" customHeight="1">
      <x:c r="A3936" s="2"/>
      <x:c r="B3936" s="2" t="str">
        <x:v>16282</x:v>
      </x:c>
      <x:c r="C3936" s="2" t="str">
        <x:v>United Kingdom</x:v>
      </x:c>
      <x:c r="D3936" s="25" t="n">
        <x:v>40168.28611111111</x:v>
      </x:c>
      <x:c r="E3936" s="25" t="n">
        <x:v>40547.27916666667</x:v>
      </x:c>
      <x:c r="F3936" s="2" t="n">
        <x:v>340</x:v>
      </x:c>
      <x:c r="G3936" s="2" t="n">
        <x:v>3</x:v>
      </x:c>
      <x:c r="H3936" s="11" t="n">
        <x:v>1307.58</x:v>
      </x:c>
      <x:c r="I3936" s="2" t="n">
        <x:v>2</x:v>
      </x:c>
      <x:c r="J3936" s="2" t="n">
        <x:v>3</x:v>
      </x:c>
      <x:c r="K3936" s="2" t="n">
        <x:v>4</x:v>
      </x:c>
      <x:c r="L3936" s="2" t="str">
        <x:v>At risk</x:v>
      </x:c>
    </x:row>
    <x:row r="3937" ht="22" customHeight="1">
      <x:c r="A3937" s="2"/>
      <x:c r="B3937" s="2" t="str">
        <x:v>16283</x:v>
      </x:c>
      <x:c r="C3937" s="2" t="str">
        <x:v>United Kingdom</x:v>
      </x:c>
      <x:c r="D3937" s="25" t="n">
        <x:v>40237.38333333333</x:v>
      </x:c>
      <x:c r="E3937" s="25" t="n">
        <x:v>40881.29722222222</x:v>
      </x:c>
      <x:c r="F3937" s="2" t="n">
        <x:v>6</x:v>
      </x:c>
      <x:c r="G3937" s="2" t="n">
        <x:v>8</x:v>
      </x:c>
      <x:c r="H3937" s="11" t="n">
        <x:v>4403.82</x:v>
      </x:c>
      <x:c r="I3937" s="2" t="n">
        <x:v>5</x:v>
      </x:c>
      <x:c r="J3937" s="2" t="n">
        <x:v>4</x:v>
      </x:c>
      <x:c r="K3937" s="2" t="n">
        <x:v>5</x:v>
      </x:c>
      <x:c r="L3937" s="2" t="str">
        <x:v>Champions</x:v>
      </x:c>
    </x:row>
    <x:row r="3938" ht="22" customHeight="1">
      <x:c r="A3938" s="2"/>
      <x:c r="B3938" s="2" t="str">
        <x:v>16284</x:v>
      </x:c>
      <x:c r="C3938" s="2" t="str">
        <x:v>United Kingdom</x:v>
      </x:c>
      <x:c r="D3938" s="25" t="n">
        <x:v>40493.35208333333</x:v>
      </x:c>
      <x:c r="E3938" s="25" t="n">
        <x:v>40855.46666666667</x:v>
      </x:c>
      <x:c r="F3938" s="2" t="n">
        <x:v>32</x:v>
      </x:c>
      <x:c r="G3938" s="2" t="n">
        <x:v>3</x:v>
      </x:c>
      <x:c r="H3938" s="11" t="n">
        <x:v>1029.77</x:v>
      </x:c>
      <x:c r="I3938" s="2" t="n">
        <x:v>4</x:v>
      </x:c>
      <x:c r="J3938" s="2" t="n">
        <x:v>3</x:v>
      </x:c>
      <x:c r="K3938" s="2" t="n">
        <x:v>3</x:v>
      </x:c>
      <x:c r="L3938" s="2" t="str">
        <x:v>Loyal</x:v>
      </x:c>
    </x:row>
    <x:row r="3939" ht="22" customHeight="1">
      <x:c r="A3939" s="2"/>
      <x:c r="B3939" s="2" t="str">
        <x:v>16285</x:v>
      </x:c>
      <x:c r="C3939" s="2" t="str">
        <x:v>United Kingdom</x:v>
      </x:c>
      <x:c r="D3939" s="25" t="n">
        <x:v>40240.46041666667</x:v>
      </x:c>
      <x:c r="E3939" s="25" t="n">
        <x:v>40240.46041666667</x:v>
      </x:c>
      <x:c r="F3939" s="2" t="n">
        <x:v>647</x:v>
      </x:c>
      <x:c r="G3939" s="2" t="n">
        <x:v>1</x:v>
      </x:c>
      <x:c r="H3939" s="11" t="n">
        <x:v>176.9</x:v>
      </x:c>
      <x:c r="I3939" s="2" t="n">
        <x:v>1</x:v>
      </x:c>
      <x:c r="J3939" s="2" t="n">
        <x:v>1</x:v>
      </x:c>
      <x:c r="K3939" s="2" t="n">
        <x:v>1</x:v>
      </x:c>
      <x:c r="L3939" s="2" t="str">
        <x:v>Hibernating</x:v>
      </x:c>
    </x:row>
    <x:row r="3940" ht="22" customHeight="1">
      <x:c r="A3940" s="2"/>
      <x:c r="B3940" s="2" t="str">
        <x:v>16286</x:v>
      </x:c>
      <x:c r="C3940" s="2" t="str">
        <x:v>United Kingdom</x:v>
      </x:c>
      <x:c r="D3940" s="25" t="n">
        <x:v>40263.20694444444</x:v>
      </x:c>
      <x:c r="E3940" s="25" t="n">
        <x:v>40409.40833333333</x:v>
      </x:c>
      <x:c r="F3940" s="2" t="n">
        <x:v>478</x:v>
      </x:c>
      <x:c r="G3940" s="2" t="n">
        <x:v>2</x:v>
      </x:c>
      <x:c r="H3940" s="11" t="n">
        <x:v>328.95</x:v>
      </x:c>
      <x:c r="I3940" s="2" t="n">
        <x:v>1</x:v>
      </x:c>
      <x:c r="J3940" s="2" t="n">
        <x:v>2</x:v>
      </x:c>
      <x:c r="K3940" s="2" t="n">
        <x:v>2</x:v>
      </x:c>
      <x:c r="L3940" s="2" t="str">
        <x:v>Hibernating</x:v>
      </x:c>
    </x:row>
    <x:row r="3941" ht="22" customHeight="1">
      <x:c r="A3941" s="2"/>
      <x:c r="B3941" s="2" t="str">
        <x:v>16287</x:v>
      </x:c>
      <x:c r="C3941" s="2" t="str">
        <x:v>United Kingdom</x:v>
      </x:c>
      <x:c r="D3941" s="25" t="n">
        <x:v>40197.19861111111</x:v>
      </x:c>
      <x:c r="E3941" s="25" t="n">
        <x:v>40717.17222222222</x:v>
      </x:c>
      <x:c r="F3941" s="2" t="n">
        <x:v>170</x:v>
      </x:c>
      <x:c r="G3941" s="2" t="n">
        <x:v>5</x:v>
      </x:c>
      <x:c r="H3941" s="11" t="n">
        <x:v>1006.98</x:v>
      </x:c>
      <x:c r="I3941" s="2" t="n">
        <x:v>3</x:v>
      </x:c>
      <x:c r="J3941" s="2" t="n">
        <x:v>4</x:v>
      </x:c>
      <x:c r="K3941" s="2" t="n">
        <x:v>3</x:v>
      </x:c>
      <x:c r="L3941" s="2" t="str">
        <x:v>Loyal</x:v>
      </x:c>
    </x:row>
    <x:row r="3942" ht="22" customHeight="1">
      <x:c r="A3942" s="2"/>
      <x:c r="B3942" s="2" t="str">
        <x:v>16288</x:v>
      </x:c>
      <x:c r="C3942" s="2" t="str">
        <x:v>United Kingdom</x:v>
      </x:c>
      <x:c r="D3942" s="25" t="n">
        <x:v>40416.40625</x:v>
      </x:c>
      <x:c r="E3942" s="25" t="n">
        <x:v>40416.40625</x:v>
      </x:c>
      <x:c r="F3942" s="2" t="n">
        <x:v>471</x:v>
      </x:c>
      <x:c r="G3942" s="2" t="n">
        <x:v>1</x:v>
      </x:c>
      <x:c r="H3942" s="11" t="n">
        <x:v>129.85</x:v>
      </x:c>
      <x:c r="I3942" s="2" t="n">
        <x:v>1</x:v>
      </x:c>
      <x:c r="J3942" s="2" t="n">
        <x:v>1</x:v>
      </x:c>
      <x:c r="K3942" s="2" t="n">
        <x:v>1</x:v>
      </x:c>
      <x:c r="L3942" s="2" t="str">
        <x:v>Hibernating</x:v>
      </x:c>
    </x:row>
    <x:row r="3943" ht="22" customHeight="1">
      <x:c r="A3943" s="2"/>
      <x:c r="B3943" s="2" t="str">
        <x:v>16289</x:v>
      </x:c>
      <x:c r="C3943" s="2" t="str">
        <x:v>United Kingdom</x:v>
      </x:c>
      <x:c r="D3943" s="25" t="n">
        <x:v>40424.376388888886</x:v>
      </x:c>
      <x:c r="E3943" s="25" t="n">
        <x:v>40424.376388888886</x:v>
      </x:c>
      <x:c r="F3943" s="2" t="n">
        <x:v>463</x:v>
      </x:c>
      <x:c r="G3943" s="2" t="n">
        <x:v>1</x:v>
      </x:c>
      <x:c r="H3943" s="11" t="n">
        <x:v>136.31</x:v>
      </x:c>
      <x:c r="I3943" s="2" t="n">
        <x:v>1</x:v>
      </x:c>
      <x:c r="J3943" s="2" t="n">
        <x:v>1</x:v>
      </x:c>
      <x:c r="K3943" s="2" t="n">
        <x:v>1</x:v>
      </x:c>
      <x:c r="L3943" s="2" t="str">
        <x:v>Hibernating</x:v>
      </x:c>
    </x:row>
    <x:row r="3944" ht="22" customHeight="1">
      <x:c r="A3944" s="2"/>
      <x:c r="B3944" s="2" t="str">
        <x:v>16290</x:v>
      </x:c>
      <x:c r="C3944" s="2" t="str">
        <x:v>United Kingdom</x:v>
      </x:c>
      <x:c r="D3944" s="25" t="n">
        <x:v>40321.28194444445</x:v>
      </x:c>
      <x:c r="E3944" s="25" t="n">
        <x:v>40422.28611111111</x:v>
      </x:c>
      <x:c r="F3944" s="2" t="n">
        <x:v>465</x:v>
      </x:c>
      <x:c r="G3944" s="2" t="n">
        <x:v>4</x:v>
      </x:c>
      <x:c r="H3944" s="11" t="n">
        <x:v>2069.3</x:v>
      </x:c>
      <x:c r="I3944" s="2" t="n">
        <x:v>1</x:v>
      </x:c>
      <x:c r="J3944" s="2" t="n">
        <x:v>3</x:v>
      </x:c>
      <x:c r="K3944" s="2" t="n">
        <x:v>4</x:v>
      </x:c>
      <x:c r="L3944" s="2" t="str">
        <x:v>At risk</x:v>
      </x:c>
    </x:row>
    <x:row r="3945" ht="22" customHeight="1">
      <x:c r="A3945" s="2"/>
      <x:c r="B3945" s="2" t="str">
        <x:v>16291</x:v>
      </x:c>
      <x:c r="C3945" s="2" t="str">
        <x:v>Portugal</x:v>
      </x:c>
      <x:c r="D3945" s="25" t="n">
        <x:v>40204.47638888889</x:v>
      </x:c>
      <x:c r="E3945" s="25" t="n">
        <x:v>40204.47638888889</x:v>
      </x:c>
      <x:c r="F3945" s="2" t="n">
        <x:v>683</x:v>
      </x:c>
      <x:c r="G3945" s="2" t="n">
        <x:v>1</x:v>
      </x:c>
      <x:c r="H3945" s="11" t="n">
        <x:v>117.72</x:v>
      </x:c>
      <x:c r="I3945" s="2" t="n">
        <x:v>1</x:v>
      </x:c>
      <x:c r="J3945" s="2" t="n">
        <x:v>1</x:v>
      </x:c>
      <x:c r="K3945" s="2" t="n">
        <x:v>1</x:v>
      </x:c>
      <x:c r="L3945" s="2" t="str">
        <x:v>Hibernating</x:v>
      </x:c>
    </x:row>
    <x:row r="3946" ht="22" customHeight="1">
      <x:c r="A3946" s="2"/>
      <x:c r="B3946" s="2" t="str">
        <x:v>16292</x:v>
      </x:c>
      <x:c r="C3946" s="2" t="str">
        <x:v>United Kingdom</x:v>
      </x:c>
      <x:c r="D3946" s="25" t="n">
        <x:v>40282.353472222225</x:v>
      </x:c>
      <x:c r="E3946" s="25" t="n">
        <x:v>40765.308333333334</x:v>
      </x:c>
      <x:c r="F3946" s="2" t="n">
        <x:v>122</x:v>
      </x:c>
      <x:c r="G3946" s="2" t="n">
        <x:v>5</x:v>
      </x:c>
      <x:c r="H3946" s="11" t="n">
        <x:v>1253.76</x:v>
      </x:c>
      <x:c r="I3946" s="2" t="n">
        <x:v>3</x:v>
      </x:c>
      <x:c r="J3946" s="2" t="n">
        <x:v>4</x:v>
      </x:c>
      <x:c r="K3946" s="2" t="n">
        <x:v>4</x:v>
      </x:c>
      <x:c r="L3946" s="2" t="str">
        <x:v>Loyal</x:v>
      </x:c>
    </x:row>
    <x:row r="3947" ht="22" customHeight="1">
      <x:c r="A3947" s="2"/>
      <x:c r="B3947" s="2" t="str">
        <x:v>16293</x:v>
      </x:c>
      <x:c r="C3947" s="2" t="str">
        <x:v>United Kingdom</x:v>
      </x:c>
      <x:c r="D3947" s="25" t="n">
        <x:v>40158.20694444444</x:v>
      </x:c>
      <x:c r="E3947" s="25" t="n">
        <x:v>40865.20694444444</x:v>
      </x:c>
      <x:c r="F3947" s="2" t="n">
        <x:v>22</x:v>
      </x:c>
      <x:c r="G3947" s="2" t="n">
        <x:v>15</x:v>
      </x:c>
      <x:c r="H3947" s="11" t="n">
        <x:v>4279.2</x:v>
      </x:c>
      <x:c r="I3947" s="2" t="n">
        <x:v>4</x:v>
      </x:c>
      <x:c r="J3947" s="2" t="n">
        <x:v>5</x:v>
      </x:c>
      <x:c r="K3947" s="2" t="n">
        <x:v>5</x:v>
      </x:c>
      <x:c r="L3947" s="2" t="str">
        <x:v>Champions</x:v>
      </x:c>
    </x:row>
    <x:row r="3948" ht="22" customHeight="1">
      <x:c r="A3948" s="2"/>
      <x:c r="B3948" s="2" t="str">
        <x:v>16294</x:v>
      </x:c>
      <x:c r="C3948" s="2" t="str">
        <x:v>United Kingdom</x:v>
      </x:c>
      <x:c r="D3948" s="25" t="n">
        <x:v>40410.29236111111</x:v>
      </x:c>
      <x:c r="E3948" s="25" t="n">
        <x:v>40410.29236111111</x:v>
      </x:c>
      <x:c r="F3948" s="2" t="n">
        <x:v>477</x:v>
      </x:c>
      <x:c r="G3948" s="2" t="n">
        <x:v>1</x:v>
      </x:c>
      <x:c r="H3948" s="11" t="n">
        <x:v>126.05</x:v>
      </x:c>
      <x:c r="I3948" s="2" t="n">
        <x:v>1</x:v>
      </x:c>
      <x:c r="J3948" s="2" t="n">
        <x:v>1</x:v>
      </x:c>
      <x:c r="K3948" s="2" t="n">
        <x:v>1</x:v>
      </x:c>
      <x:c r="L3948" s="2" t="str">
        <x:v>Hibernating</x:v>
      </x:c>
    </x:row>
    <x:row r="3949" ht="22" customHeight="1">
      <x:c r="A3949" s="2"/>
      <x:c r="B3949" s="2" t="str">
        <x:v>16295</x:v>
      </x:c>
      <x:c r="C3949" s="2" t="str">
        <x:v>United Kingdom</x:v>
      </x:c>
      <x:c r="D3949" s="25" t="n">
        <x:v>40822.239583333336</x:v>
      </x:c>
      <x:c r="E3949" s="25" t="n">
        <x:v>40877.13680555556</x:v>
      </x:c>
      <x:c r="F3949" s="2" t="n">
        <x:v>10</x:v>
      </x:c>
      <x:c r="G3949" s="2" t="n">
        <x:v>4</x:v>
      </x:c>
      <x:c r="H3949" s="11" t="n">
        <x:v>1328.55</x:v>
      </x:c>
      <x:c r="I3949" s="2" t="n">
        <x:v>5</x:v>
      </x:c>
      <x:c r="J3949" s="2" t="n">
        <x:v>3</x:v>
      </x:c>
      <x:c r="K3949" s="2" t="n">
        <x:v>4</x:v>
      </x:c>
      <x:c r="L3949" s="2" t="str">
        <x:v>Loyal</x:v>
      </x:c>
    </x:row>
    <x:row r="3950" ht="22" customHeight="1">
      <x:c r="A3950" s="2"/>
      <x:c r="B3950" s="2" t="str">
        <x:v>16296</x:v>
      </x:c>
      <x:c r="C3950" s="2" t="str">
        <x:v>United Kingdom</x:v>
      </x:c>
      <x:c r="D3950" s="25" t="n">
        <x:v>40165.29375</x:v>
      </x:c>
      <x:c r="E3950" s="25" t="n">
        <x:v>40260.34097222222</x:v>
      </x:c>
      <x:c r="F3950" s="2" t="n">
        <x:v>627</x:v>
      </x:c>
      <x:c r="G3950" s="2" t="n">
        <x:v>4</x:v>
      </x:c>
      <x:c r="H3950" s="11" t="n">
        <x:v>1313.67</x:v>
      </x:c>
      <x:c r="I3950" s="2" t="n">
        <x:v>1</x:v>
      </x:c>
      <x:c r="J3950" s="2" t="n">
        <x:v>3</x:v>
      </x:c>
      <x:c r="K3950" s="2" t="n">
        <x:v>4</x:v>
      </x:c>
      <x:c r="L3950" s="2" t="str">
        <x:v>At risk</x:v>
      </x:c>
    </x:row>
    <x:row r="3951" ht="22" customHeight="1">
      <x:c r="A3951" s="2"/>
      <x:c r="B3951" s="2" t="str">
        <x:v>16297</x:v>
      </x:c>
      <x:c r="C3951" s="2" t="str">
        <x:v>United Kingdom</x:v>
      </x:c>
      <x:c r="D3951" s="25" t="n">
        <x:v>40618.14513888889</x:v>
      </x:c>
      <x:c r="E3951" s="25" t="n">
        <x:v>40618.14513888889</x:v>
      </x:c>
      <x:c r="F3951" s="2" t="n">
        <x:v>269</x:v>
      </x:c>
      <x:c r="G3951" s="2" t="n">
        <x:v>1</x:v>
      </x:c>
      <x:c r="H3951" s="11" t="n">
        <x:v>301.9</x:v>
      </x:c>
      <x:c r="I3951" s="2" t="n">
        <x:v>2</x:v>
      </x:c>
      <x:c r="J3951" s="2" t="n">
        <x:v>1</x:v>
      </x:c>
      <x:c r="K3951" s="2" t="n">
        <x:v>2</x:v>
      </x:c>
      <x:c r="L3951" s="2" t="str">
        <x:v>Hibernating</x:v>
      </x:c>
    </x:row>
    <x:row r="3952" ht="22" customHeight="1">
      <x:c r="A3952" s="2"/>
      <x:c r="B3952" s="2" t="str">
        <x:v>16298</x:v>
      </x:c>
      <x:c r="C3952" s="2" t="str">
        <x:v>United Kingdom</x:v>
      </x:c>
      <x:c r="D3952" s="25" t="n">
        <x:v>40444.43263888889</x:v>
      </x:c>
      <x:c r="E3952" s="25" t="n">
        <x:v>40864.290972222225</x:v>
      </x:c>
      <x:c r="F3952" s="2" t="n">
        <x:v>23</x:v>
      </x:c>
      <x:c r="G3952" s="2" t="n">
        <x:v>7</x:v>
      </x:c>
      <x:c r="H3952" s="11" t="n">
        <x:v>1085.7</x:v>
      </x:c>
      <x:c r="I3952" s="2" t="n">
        <x:v>4</x:v>
      </x:c>
      <x:c r="J3952" s="2" t="n">
        <x:v>4</x:v>
      </x:c>
      <x:c r="K3952" s="2" t="n">
        <x:v>3</x:v>
      </x:c>
      <x:c r="L3952" s="2" t="str">
        <x:v>Loyal</x:v>
      </x:c>
    </x:row>
    <x:row r="3953" ht="22" customHeight="1">
      <x:c r="A3953" s="2"/>
      <x:c r="B3953" s="2" t="str">
        <x:v>16299</x:v>
      </x:c>
      <x:c r="C3953" s="2" t="str">
        <x:v>United Kingdom</x:v>
      </x:c>
      <x:c r="D3953" s="25" t="n">
        <x:v>40409.53194444445</x:v>
      </x:c>
      <x:c r="E3953" s="25" t="n">
        <x:v>40409.53194444445</x:v>
      </x:c>
      <x:c r="F3953" s="2" t="n">
        <x:v>478</x:v>
      </x:c>
      <x:c r="G3953" s="2" t="n">
        <x:v>1</x:v>
      </x:c>
      <x:c r="H3953" s="11" t="n">
        <x:v>193.65</x:v>
      </x:c>
      <x:c r="I3953" s="2" t="n">
        <x:v>1</x:v>
      </x:c>
      <x:c r="J3953" s="2" t="n">
        <x:v>1</x:v>
      </x:c>
      <x:c r="K3953" s="2" t="n">
        <x:v>1</x:v>
      </x:c>
      <x:c r="L3953" s="2" t="str">
        <x:v>Hibernating</x:v>
      </x:c>
    </x:row>
    <x:row r="3954" ht="22" customHeight="1">
      <x:c r="A3954" s="2"/>
      <x:c r="B3954" s="2" t="str">
        <x:v>16300</x:v>
      </x:c>
      <x:c r="C3954" s="2" t="str">
        <x:v>United Kingdom</x:v>
      </x:c>
      <x:c r="D3954" s="25" t="n">
        <x:v>40211.27777777778</x:v>
      </x:c>
      <x:c r="E3954" s="25" t="n">
        <x:v>40456.34305555555</x:v>
      </x:c>
      <x:c r="F3954" s="2" t="n">
        <x:v>431</x:v>
      </x:c>
      <x:c r="G3954" s="2" t="n">
        <x:v>3</x:v>
      </x:c>
      <x:c r="H3954" s="11" t="n">
        <x:v>1392.43</x:v>
      </x:c>
      <x:c r="I3954" s="2" t="n">
        <x:v>1</x:v>
      </x:c>
      <x:c r="J3954" s="2" t="n">
        <x:v>3</x:v>
      </x:c>
      <x:c r="K3954" s="2" t="n">
        <x:v>4</x:v>
      </x:c>
      <x:c r="L3954" s="2" t="str">
        <x:v>At risk</x:v>
      </x:c>
    </x:row>
    <x:row r="3955" ht="22" customHeight="1">
      <x:c r="A3955" s="2"/>
      <x:c r="B3955" s="2" t="str">
        <x:v>16301</x:v>
      </x:c>
      <x:c r="C3955" s="2" t="str">
        <x:v>United Kingdom</x:v>
      </x:c>
      <x:c r="D3955" s="25" t="n">
        <x:v>40150.22222222222</x:v>
      </x:c>
      <x:c r="E3955" s="25" t="n">
        <x:v>40150.22222222222</x:v>
      </x:c>
      <x:c r="F3955" s="2" t="n">
        <x:v>737</x:v>
      </x:c>
      <x:c r="G3955" s="2" t="n">
        <x:v>1</x:v>
      </x:c>
      <x:c r="H3955" s="11" t="n">
        <x:v>107.33</x:v>
      </x:c>
      <x:c r="I3955" s="2" t="n">
        <x:v>1</x:v>
      </x:c>
      <x:c r="J3955" s="2" t="n">
        <x:v>1</x:v>
      </x:c>
      <x:c r="K3955" s="2" t="n">
        <x:v>1</x:v>
      </x:c>
      <x:c r="L3955" s="2" t="str">
        <x:v>Hibernating</x:v>
      </x:c>
    </x:row>
    <x:row r="3956" ht="22" customHeight="1">
      <x:c r="A3956" s="2"/>
      <x:c r="B3956" s="2" t="str">
        <x:v>16302</x:v>
      </x:c>
      <x:c r="C3956" s="2" t="str">
        <x:v>United Kingdom</x:v>
      </x:c>
      <x:c r="D3956" s="25" t="n">
        <x:v>40760.197222222225</x:v>
      </x:c>
      <x:c r="E3956" s="25" t="n">
        <x:v>40760.197222222225</x:v>
      </x:c>
      <x:c r="F3956" s="2" t="n">
        <x:v>127</x:v>
      </x:c>
      <x:c r="G3956" s="2" t="n">
        <x:v>1</x:v>
      </x:c>
      <x:c r="H3956" s="11" t="n">
        <x:v>233.22</x:v>
      </x:c>
      <x:c r="I3956" s="2" t="n">
        <x:v>3</x:v>
      </x:c>
      <x:c r="J3956" s="2" t="n">
        <x:v>1</x:v>
      </x:c>
      <x:c r="K3956" s="2" t="n">
        <x:v>1</x:v>
      </x:c>
      <x:c r="L3956" s="2" t="str">
        <x:v>Developing</x:v>
      </x:c>
    </x:row>
    <x:row r="3957" ht="22" customHeight="1">
      <x:c r="A3957" s="2"/>
      <x:c r="B3957" s="2" t="str">
        <x:v>16303</x:v>
      </x:c>
      <x:c r="C3957" s="2" t="str">
        <x:v>United Kingdom</x:v>
      </x:c>
      <x:c r="D3957" s="25" t="n">
        <x:v>40255.38333333333</x:v>
      </x:c>
      <x:c r="E3957" s="25" t="n">
        <x:v>40861.24236111111</x:v>
      </x:c>
      <x:c r="F3957" s="2" t="n">
        <x:v>26</x:v>
      </x:c>
      <x:c r="G3957" s="2" t="n">
        <x:v>7</x:v>
      </x:c>
      <x:c r="H3957" s="11" t="n">
        <x:v>7928.27</x:v>
      </x:c>
      <x:c r="I3957" s="2" t="n">
        <x:v>4</x:v>
      </x:c>
      <x:c r="J3957" s="2" t="n">
        <x:v>4</x:v>
      </x:c>
      <x:c r="K3957" s="2" t="n">
        <x:v>5</x:v>
      </x:c>
      <x:c r="L3957" s="2" t="str">
        <x:v>Champions</x:v>
      </x:c>
    </x:row>
    <x:row r="3958" ht="22" customHeight="1">
      <x:c r="A3958" s="2"/>
      <x:c r="B3958" s="2" t="str">
        <x:v>16304</x:v>
      </x:c>
      <x:c r="C3958" s="2" t="str">
        <x:v>United Kingdom</x:v>
      </x:c>
      <x:c r="D3958" s="25" t="n">
        <x:v>40192.145833333336</x:v>
      </x:c>
      <x:c r="E3958" s="25" t="n">
        <x:v>40192.145833333336</x:v>
      </x:c>
      <x:c r="F3958" s="2" t="n">
        <x:v>695</x:v>
      </x:c>
      <x:c r="G3958" s="2" t="n">
        <x:v>1</x:v>
      </x:c>
      <x:c r="H3958" s="11" t="n">
        <x:v>381.66</x:v>
      </x:c>
      <x:c r="I3958" s="2" t="n">
        <x:v>1</x:v>
      </x:c>
      <x:c r="J3958" s="2" t="n">
        <x:v>1</x:v>
      </x:c>
      <x:c r="K3958" s="2" t="n">
        <x:v>2</x:v>
      </x:c>
      <x:c r="L3958" s="2" t="str">
        <x:v>Hibernating</x:v>
      </x:c>
    </x:row>
    <x:row r="3959" ht="22" customHeight="1">
      <x:c r="A3959" s="2"/>
      <x:c r="B3959" s="2" t="str">
        <x:v>16305</x:v>
      </x:c>
      <x:c r="C3959" s="2" t="str">
        <x:v>United Kingdom</x:v>
      </x:c>
      <x:c r="D3959" s="25" t="n">
        <x:v>40748.30416666667</x:v>
      </x:c>
      <x:c r="E3959" s="25" t="n">
        <x:v>40748.30416666667</x:v>
      </x:c>
      <x:c r="F3959" s="2" t="n">
        <x:v>139</x:v>
      </x:c>
      <x:c r="G3959" s="2" t="n">
        <x:v>1</x:v>
      </x:c>
      <x:c r="H3959" s="11" t="n">
        <x:v>361.22</x:v>
      </x:c>
      <x:c r="I3959" s="2" t="n">
        <x:v>3</x:v>
      </x:c>
      <x:c r="J3959" s="2" t="n">
        <x:v>1</x:v>
      </x:c>
      <x:c r="K3959" s="2" t="n">
        <x:v>2</x:v>
      </x:c>
      <x:c r="L3959" s="2" t="str">
        <x:v>Developing</x:v>
      </x:c>
    </x:row>
    <x:row r="3960" ht="22" customHeight="1">
      <x:c r="A3960" s="2"/>
      <x:c r="B3960" s="2" t="str">
        <x:v>16306</x:v>
      </x:c>
      <x:c r="C3960" s="2" t="str">
        <x:v>United Kingdom</x:v>
      </x:c>
      <x:c r="D3960" s="25" t="n">
        <x:v>40452.191666666666</x:v>
      </x:c>
      <x:c r="E3960" s="25" t="n">
        <x:v>40673.3</x:v>
      </x:c>
      <x:c r="F3960" s="2" t="n">
        <x:v>214</x:v>
      </x:c>
      <x:c r="G3960" s="2" t="n">
        <x:v>7</x:v>
      </x:c>
      <x:c r="H3960" s="11" t="n">
        <x:v>1124.72</x:v>
      </x:c>
      <x:c r="I3960" s="2" t="n">
        <x:v>2</x:v>
      </x:c>
      <x:c r="J3960" s="2" t="n">
        <x:v>4</x:v>
      </x:c>
      <x:c r="K3960" s="2" t="n">
        <x:v>3</x:v>
      </x:c>
      <x:c r="L3960" s="2" t="str">
        <x:v>At risk</x:v>
      </x:c>
    </x:row>
    <x:row r="3961" ht="22" customHeight="1">
      <x:c r="A3961" s="2"/>
      <x:c r="B3961" s="2" t="str">
        <x:v>16307</x:v>
      </x:c>
      <x:c r="C3961" s="2" t="str">
        <x:v>United Kingdom</x:v>
      </x:c>
      <x:c r="D3961" s="25" t="n">
        <x:v>40309.40277777778</x:v>
      </x:c>
      <x:c r="E3961" s="25" t="n">
        <x:v>40457.396527777775</x:v>
      </x:c>
      <x:c r="F3961" s="2" t="n">
        <x:v>430</x:v>
      </x:c>
      <x:c r="G3961" s="2" t="n">
        <x:v>3</x:v>
      </x:c>
      <x:c r="H3961" s="11" t="n">
        <x:v>1194.92</x:v>
      </x:c>
      <x:c r="I3961" s="2" t="n">
        <x:v>1</x:v>
      </x:c>
      <x:c r="J3961" s="2" t="n">
        <x:v>3</x:v>
      </x:c>
      <x:c r="K3961" s="2" t="n">
        <x:v>3</x:v>
      </x:c>
      <x:c r="L3961" s="2" t="str">
        <x:v>At risk</x:v>
      </x:c>
    </x:row>
    <x:row r="3962" ht="22" customHeight="1">
      <x:c r="A3962" s="2"/>
      <x:c r="B3962" s="2" t="str">
        <x:v>16308</x:v>
      </x:c>
      <x:c r="C3962" s="2" t="str">
        <x:v>United Kingdom</x:v>
      </x:c>
      <x:c r="D3962" s="25" t="n">
        <x:v>40162.45</x:v>
      </x:c>
      <x:c r="E3962" s="25" t="n">
        <x:v>40849.26666666667</x:v>
      </x:c>
      <x:c r="F3962" s="2" t="n">
        <x:v>38</x:v>
      </x:c>
      <x:c r="G3962" s="2" t="n">
        <x:v>7</x:v>
      </x:c>
      <x:c r="H3962" s="11" t="n">
        <x:v>5120</x:v>
      </x:c>
      <x:c r="I3962" s="2" t="n">
        <x:v>4</x:v>
      </x:c>
      <x:c r="J3962" s="2" t="n">
        <x:v>4</x:v>
      </x:c>
      <x:c r="K3962" s="2" t="n">
        <x:v>5</x:v>
      </x:c>
      <x:c r="L3962" s="2" t="str">
        <x:v>Champions</x:v>
      </x:c>
    </x:row>
    <x:row r="3963" ht="22" customHeight="1">
      <x:c r="A3963" s="2"/>
      <x:c r="B3963" s="2" t="str">
        <x:v>16309</x:v>
      </x:c>
      <x:c r="C3963" s="2" t="str">
        <x:v>United Kingdom</x:v>
      </x:c>
      <x:c r="D3963" s="25" t="n">
        <x:v>40646.28194444445</x:v>
      </x:c>
      <x:c r="E3963" s="25" t="n">
        <x:v>40780.44097222222</x:v>
      </x:c>
      <x:c r="F3963" s="2" t="n">
        <x:v>107</x:v>
      </x:c>
      <x:c r="G3963" s="2" t="n">
        <x:v>2</x:v>
      </x:c>
      <x:c r="H3963" s="11" t="n">
        <x:v>706.57</x:v>
      </x:c>
      <x:c r="I3963" s="2" t="n">
        <x:v>3</x:v>
      </x:c>
      <x:c r="J3963" s="2" t="n">
        <x:v>2</x:v>
      </x:c>
      <x:c r="K3963" s="2" t="n">
        <x:v>3</x:v>
      </x:c>
      <x:c r="L3963" s="2" t="str">
        <x:v>Developing</x:v>
      </x:c>
    </x:row>
    <x:row r="3964" ht="22" customHeight="1">
      <x:c r="A3964" s="2"/>
      <x:c r="B3964" s="2" t="str">
        <x:v>16310</x:v>
      </x:c>
      <x:c r="C3964" s="2" t="str">
        <x:v>United Kingdom</x:v>
      </x:c>
      <x:c r="D3964" s="25" t="n">
        <x:v>40244.44513888889</x:v>
      </x:c>
      <x:c r="E3964" s="25" t="n">
        <x:v>40472.407638888886</x:v>
      </x:c>
      <x:c r="F3964" s="2" t="n">
        <x:v>415</x:v>
      </x:c>
      <x:c r="G3964" s="2" t="n">
        <x:v>2</x:v>
      </x:c>
      <x:c r="H3964" s="11" t="n">
        <x:v>460.08</x:v>
      </x:c>
      <x:c r="I3964" s="2" t="n">
        <x:v>1</x:v>
      </x:c>
      <x:c r="J3964" s="2" t="n">
        <x:v>2</x:v>
      </x:c>
      <x:c r="K3964" s="2" t="n">
        <x:v>2</x:v>
      </x:c>
      <x:c r="L3964" s="2" t="str">
        <x:v>Hibernating</x:v>
      </x:c>
    </x:row>
    <x:row r="3965" ht="22" customHeight="1">
      <x:c r="A3965" s="2"/>
      <x:c r="B3965" s="2" t="str">
        <x:v>16311</x:v>
      </x:c>
      <x:c r="C3965" s="2" t="str">
        <x:v>United Kingdom</x:v>
      </x:c>
      <x:c r="D3965" s="25" t="n">
        <x:v>40837.342361111114</x:v>
      </x:c>
      <x:c r="E3965" s="25" t="n">
        <x:v>40869.1625</x:v>
      </x:c>
      <x:c r="F3965" s="2" t="n">
        <x:v>18</x:v>
      </x:c>
      <x:c r="G3965" s="2" t="n">
        <x:v>2</x:v>
      </x:c>
      <x:c r="H3965" s="11" t="n">
        <x:v>616.26</x:v>
      </x:c>
      <x:c r="I3965" s="2" t="n">
        <x:v>5</x:v>
      </x:c>
      <x:c r="J3965" s="2" t="n">
        <x:v>2</x:v>
      </x:c>
      <x:c r="K3965" s="2" t="n">
        <x:v>3</x:v>
      </x:c>
      <x:c r="L3965" s="2" t="str">
        <x:v>Recent light buyers</x:v>
      </x:c>
    </x:row>
    <x:row r="3966" ht="22" customHeight="1">
      <x:c r="A3966" s="2"/>
      <x:c r="B3966" s="2" t="str">
        <x:v>16312</x:v>
      </x:c>
      <x:c r="C3966" s="2" t="str">
        <x:v>United Kingdom</x:v>
      </x:c>
      <x:c r="D3966" s="25" t="n">
        <x:v>40454.385416666664</x:v>
      </x:c>
      <x:c r="E3966" s="25" t="n">
        <x:v>40454.385416666664</x:v>
      </x:c>
      <x:c r="F3966" s="2" t="n">
        <x:v>433</x:v>
      </x:c>
      <x:c r="G3966" s="2" t="n">
        <x:v>1</x:v>
      </x:c>
      <x:c r="H3966" s="11" t="n">
        <x:v>171.15</x:v>
      </x:c>
      <x:c r="I3966" s="2" t="n">
        <x:v>1</x:v>
      </x:c>
      <x:c r="J3966" s="2" t="n">
        <x:v>1</x:v>
      </x:c>
      <x:c r="K3966" s="2" t="n">
        <x:v>1</x:v>
      </x:c>
      <x:c r="L3966" s="2" t="str">
        <x:v>Hibernating</x:v>
      </x:c>
    </x:row>
    <x:row r="3967" ht="22" customHeight="1">
      <x:c r="A3967" s="2"/>
      <x:c r="B3967" s="2" t="str">
        <x:v>16313</x:v>
      </x:c>
      <x:c r="C3967" s="2" t="str">
        <x:v>United Kingdom</x:v>
      </x:c>
      <x:c r="D3967" s="25" t="n">
        <x:v>40837.169444444444</x:v>
      </x:c>
      <x:c r="E3967" s="25" t="n">
        <x:v>40883.33472222222</x:v>
      </x:c>
      <x:c r="F3967" s="2" t="n">
        <x:v>4</x:v>
      </x:c>
      <x:c r="G3967" s="2" t="n">
        <x:v>2</x:v>
      </x:c>
      <x:c r="H3967" s="11" t="n">
        <x:v>274.15</x:v>
      </x:c>
      <x:c r="I3967" s="2" t="n">
        <x:v>5</x:v>
      </x:c>
      <x:c r="J3967" s="2" t="n">
        <x:v>2</x:v>
      </x:c>
      <x:c r="K3967" s="2" t="n">
        <x:v>1</x:v>
      </x:c>
      <x:c r="L3967" s="2" t="str">
        <x:v>Recent light buyers</x:v>
      </x:c>
    </x:row>
    <x:row r="3968" ht="22" customHeight="1">
      <x:c r="A3968" s="2"/>
      <x:c r="B3968" s="2" t="str">
        <x:v>16314</x:v>
      </x:c>
      <x:c r="C3968" s="2" t="str">
        <x:v>United Kingdom</x:v>
      </x:c>
      <x:c r="D3968" s="25" t="n">
        <x:v>40414.28611111111</x:v>
      </x:c>
      <x:c r="E3968" s="25" t="n">
        <x:v>40497.29583333333</x:v>
      </x:c>
      <x:c r="F3968" s="2" t="n">
        <x:v>390</x:v>
      </x:c>
      <x:c r="G3968" s="2" t="n">
        <x:v>3</x:v>
      </x:c>
      <x:c r="H3968" s="11" t="n">
        <x:v>1491.4</x:v>
      </x:c>
      <x:c r="I3968" s="2" t="n">
        <x:v>2</x:v>
      </x:c>
      <x:c r="J3968" s="2" t="n">
        <x:v>3</x:v>
      </x:c>
      <x:c r="K3968" s="2" t="n">
        <x:v>4</x:v>
      </x:c>
      <x:c r="L3968" s="2" t="str">
        <x:v>At risk</x:v>
      </x:c>
    </x:row>
    <x:row r="3969" ht="22" customHeight="1">
      <x:c r="A3969" s="2"/>
      <x:c r="B3969" s="2" t="str">
        <x:v>16315</x:v>
      </x:c>
      <x:c r="C3969" s="2" t="str">
        <x:v>United Kingdom</x:v>
      </x:c>
      <x:c r="D3969" s="25" t="n">
        <x:v>40350.37013888889</x:v>
      </x:c>
      <x:c r="E3969" s="25" t="n">
        <x:v>40556.28958333333</x:v>
      </x:c>
      <x:c r="F3969" s="2" t="n">
        <x:v>331</x:v>
      </x:c>
      <x:c r="G3969" s="2" t="n">
        <x:v>2</x:v>
      </x:c>
      <x:c r="H3969" s="11" t="n">
        <x:v>402.71</x:v>
      </x:c>
      <x:c r="I3969" s="2" t="n">
        <x:v>2</x:v>
      </x:c>
      <x:c r="J3969" s="2" t="n">
        <x:v>2</x:v>
      </x:c>
      <x:c r="K3969" s="2" t="n">
        <x:v>2</x:v>
      </x:c>
      <x:c r="L3969" s="2" t="str">
        <x:v>Hibernating</x:v>
      </x:c>
    </x:row>
    <x:row r="3970" ht="22" customHeight="1">
      <x:c r="A3970" s="2"/>
      <x:c r="B3970" s="2" t="str">
        <x:v>16316</x:v>
      </x:c>
      <x:c r="C3970" s="2" t="str">
        <x:v>United Kingdom</x:v>
      </x:c>
      <x:c r="D3970" s="25" t="n">
        <x:v>40393.40138888889</x:v>
      </x:c>
      <x:c r="E3970" s="25" t="n">
        <x:v>40822.36666666667</x:v>
      </x:c>
      <x:c r="F3970" s="2" t="n">
        <x:v>65</x:v>
      </x:c>
      <x:c r="G3970" s="2" t="n">
        <x:v>13</x:v>
      </x:c>
      <x:c r="H3970" s="11" t="n">
        <x:v>5744.91</x:v>
      </x:c>
      <x:c r="I3970" s="2" t="n">
        <x:v>3</x:v>
      </x:c>
      <x:c r="J3970" s="2" t="n">
        <x:v>5</x:v>
      </x:c>
      <x:c r="K3970" s="2" t="n">
        <x:v>5</x:v>
      </x:c>
      <x:c r="L3970" s="2" t="str">
        <x:v>Loyal</x:v>
      </x:c>
    </x:row>
    <x:row r="3971" ht="22" customHeight="1">
      <x:c r="A3971" s="2"/>
      <x:c r="B3971" s="2" t="str">
        <x:v>16317</x:v>
      </x:c>
      <x:c r="C3971" s="2" t="str">
        <x:v>United Kingdom</x:v>
      </x:c>
      <x:c r="D3971" s="25" t="n">
        <x:v>40302.220138888886</x:v>
      </x:c>
      <x:c r="E3971" s="25" t="n">
        <x:v>40767.32361111111</x:v>
      </x:c>
      <x:c r="F3971" s="2" t="n">
        <x:v>120</x:v>
      </x:c>
      <x:c r="G3971" s="2" t="n">
        <x:v>5</x:v>
      </x:c>
      <x:c r="H3971" s="11" t="n">
        <x:v>2192.51</x:v>
      </x:c>
      <x:c r="I3971" s="2" t="n">
        <x:v>3</x:v>
      </x:c>
      <x:c r="J3971" s="2" t="n">
        <x:v>4</x:v>
      </x:c>
      <x:c r="K3971" s="2" t="n">
        <x:v>4</x:v>
      </x:c>
      <x:c r="L3971" s="2" t="str">
        <x:v>Loyal</x:v>
      </x:c>
    </x:row>
    <x:row r="3972" ht="22" customHeight="1">
      <x:c r="A3972" s="2"/>
      <x:c r="B3972" s="2" t="str">
        <x:v>16318</x:v>
      </x:c>
      <x:c r="C3972" s="2" t="str">
        <x:v>United Kingdom</x:v>
      </x:c>
      <x:c r="D3972" s="25" t="n">
        <x:v>40851.336805555555</x:v>
      </x:c>
      <x:c r="E3972" s="25" t="n">
        <x:v>40851.336805555555</x:v>
      </x:c>
      <x:c r="F3972" s="2" t="n">
        <x:v>36</x:v>
      </x:c>
      <x:c r="G3972" s="2" t="n">
        <x:v>1</x:v>
      </x:c>
      <x:c r="H3972" s="11" t="n">
        <x:v>328.15</x:v>
      </x:c>
      <x:c r="I3972" s="2" t="n">
        <x:v>4</x:v>
      </x:c>
      <x:c r="J3972" s="2" t="n">
        <x:v>1</x:v>
      </x:c>
      <x:c r="K3972" s="2" t="n">
        <x:v>2</x:v>
      </x:c>
      <x:c r="L3972" s="2" t="str">
        <x:v>Recent light buyers</x:v>
      </x:c>
    </x:row>
    <x:row r="3973" ht="22" customHeight="1">
      <x:c r="A3973" s="2"/>
      <x:c r="B3973" s="2" t="str">
        <x:v>16319</x:v>
      </x:c>
      <x:c r="C3973" s="2" t="str">
        <x:v>United Kingdom</x:v>
      </x:c>
      <x:c r="D3973" s="25" t="n">
        <x:v>40669.26875</x:v>
      </x:c>
      <x:c r="E3973" s="25" t="n">
        <x:v>40669.26875</x:v>
      </x:c>
      <x:c r="F3973" s="2" t="n">
        <x:v>218</x:v>
      </x:c>
      <x:c r="G3973" s="2" t="n">
        <x:v>1</x:v>
      </x:c>
      <x:c r="H3973" s="11" t="n">
        <x:v>404.4</x:v>
      </x:c>
      <x:c r="I3973" s="2" t="n">
        <x:v>2</x:v>
      </x:c>
      <x:c r="J3973" s="2" t="n">
        <x:v>1</x:v>
      </x:c>
      <x:c r="K3973" s="2" t="n">
        <x:v>2</x:v>
      </x:c>
      <x:c r="L3973" s="2" t="str">
        <x:v>Hibernating</x:v>
      </x:c>
    </x:row>
    <x:row r="3974" ht="22" customHeight="1">
      <x:c r="A3974" s="2"/>
      <x:c r="B3974" s="2" t="str">
        <x:v>16320</x:v>
      </x:c>
      <x:c r="C3974" s="2" t="str">
        <x:v>Unspecified</x:v>
      </x:c>
      <x:c r="D3974" s="25" t="n">
        <x:v>40205.353472222225</x:v>
      </x:c>
      <x:c r="E3974" s="25" t="n">
        <x:v>40714.43402777778</x:v>
      </x:c>
      <x:c r="F3974" s="2" t="n">
        <x:v>173</x:v>
      </x:c>
      <x:c r="G3974" s="2" t="n">
        <x:v>6</x:v>
      </x:c>
      <x:c r="H3974" s="11" t="n">
        <x:v>5628.99</x:v>
      </x:c>
      <x:c r="I3974" s="2" t="n">
        <x:v>3</x:v>
      </x:c>
      <x:c r="J3974" s="2" t="n">
        <x:v>4</x:v>
      </x:c>
      <x:c r="K3974" s="2" t="n">
        <x:v>5</x:v>
      </x:c>
      <x:c r="L3974" s="2" t="str">
        <x:v>Loyal</x:v>
      </x:c>
    </x:row>
    <x:row r="3975" ht="22" customHeight="1">
      <x:c r="A3975" s="2"/>
      <x:c r="B3975" s="2" t="str">
        <x:v>16321</x:v>
      </x:c>
      <x:c r="C3975" s="2" t="str">
        <x:v>Australia</x:v>
      </x:c>
      <x:c r="D3975" s="25" t="n">
        <x:v>40148.23333333333</x:v>
      </x:c>
      <x:c r="E3975" s="25" t="n">
        <x:v>40814.413194444445</x:v>
      </x:c>
      <x:c r="F3975" s="2" t="n">
        <x:v>73</x:v>
      </x:c>
      <x:c r="G3975" s="2" t="n">
        <x:v>7</x:v>
      </x:c>
      <x:c r="H3975" s="11" t="n">
        <x:v>604.55</x:v>
      </x:c>
      <x:c r="I3975" s="2" t="n">
        <x:v>3</x:v>
      </x:c>
      <x:c r="J3975" s="2" t="n">
        <x:v>4</x:v>
      </x:c>
      <x:c r="K3975" s="2" t="n">
        <x:v>2</x:v>
      </x:c>
      <x:c r="L3975" s="2" t="str">
        <x:v>Loyal</x:v>
      </x:c>
    </x:row>
    <x:row r="3976" ht="22" customHeight="1">
      <x:c r="A3976" s="2"/>
      <x:c r="B3976" s="2" t="str">
        <x:v>16322</x:v>
      </x:c>
      <x:c r="C3976" s="2" t="str">
        <x:v>United Kingdom</x:v>
      </x:c>
      <x:c r="D3976" s="25" t="n">
        <x:v>40850.39791666667</x:v>
      </x:c>
      <x:c r="E3976" s="25" t="n">
        <x:v>40885.44513888889</x:v>
      </x:c>
      <x:c r="F3976" s="2" t="n">
        <x:v>2</x:v>
      </x:c>
      <x:c r="G3976" s="2" t="n">
        <x:v>2</x:v>
      </x:c>
      <x:c r="H3976" s="11" t="n">
        <x:v>326.75</x:v>
      </x:c>
      <x:c r="I3976" s="2" t="n">
        <x:v>5</x:v>
      </x:c>
      <x:c r="J3976" s="2" t="n">
        <x:v>2</x:v>
      </x:c>
      <x:c r="K3976" s="2" t="n">
        <x:v>2</x:v>
      </x:c>
      <x:c r="L3976" s="2" t="str">
        <x:v>Recent light buyers</x:v>
      </x:c>
    </x:row>
    <x:row r="3977" ht="22" customHeight="1">
      <x:c r="A3977" s="2"/>
      <x:c r="B3977" s="2" t="str">
        <x:v>16323</x:v>
      </x:c>
      <x:c r="C3977" s="2" t="str">
        <x:v>United Kingdom</x:v>
      </x:c>
      <x:c r="D3977" s="25" t="n">
        <x:v>40309.2</x:v>
      </x:c>
      <x:c r="E3977" s="25" t="n">
        <x:v>40690.40833333333</x:v>
      </x:c>
      <x:c r="F3977" s="2" t="n">
        <x:v>197</x:v>
      </x:c>
      <x:c r="G3977" s="2" t="n">
        <x:v>2</x:v>
      </x:c>
      <x:c r="H3977" s="11" t="n">
        <x:v>353.66</x:v>
      </x:c>
      <x:c r="I3977" s="2" t="n">
        <x:v>2</x:v>
      </x:c>
      <x:c r="J3977" s="2" t="n">
        <x:v>2</x:v>
      </x:c>
      <x:c r="K3977" s="2" t="n">
        <x:v>2</x:v>
      </x:c>
      <x:c r="L3977" s="2" t="str">
        <x:v>Hibernating</x:v>
      </x:c>
    </x:row>
    <x:row r="3978" ht="22" customHeight="1">
      <x:c r="A3978" s="2"/>
      <x:c r="B3978" s="2" t="str">
        <x:v>16324</x:v>
      </x:c>
      <x:c r="C3978" s="2" t="str">
        <x:v>United Kingdom</x:v>
      </x:c>
      <x:c r="D3978" s="25" t="n">
        <x:v>40709.393055555556</x:v>
      </x:c>
      <x:c r="E3978" s="25" t="n">
        <x:v>40758.33194444444</x:v>
      </x:c>
      <x:c r="F3978" s="2" t="n">
        <x:v>129</x:v>
      </x:c>
      <x:c r="G3978" s="2" t="n">
        <x:v>3</x:v>
      </x:c>
      <x:c r="H3978" s="11" t="n">
        <x:v>428.68</x:v>
      </x:c>
      <x:c r="I3978" s="2" t="n">
        <x:v>3</x:v>
      </x:c>
      <x:c r="J3978" s="2" t="n">
        <x:v>3</x:v>
      </x:c>
      <x:c r="K3978" s="2" t="n">
        <x:v>2</x:v>
      </x:c>
      <x:c r="L3978" s="2" t="str">
        <x:v>Loyal</x:v>
      </x:c>
    </x:row>
    <x:row r="3979" ht="22" customHeight="1">
      <x:c r="A3979" s="2"/>
      <x:c r="B3979" s="2" t="str">
        <x:v>16325</x:v>
      </x:c>
      <x:c r="C3979" s="2" t="str">
        <x:v>United Kingdom</x:v>
      </x:c>
      <x:c r="D3979" s="25" t="n">
        <x:v>40151.347916666666</x:v>
      </x:c>
      <x:c r="E3979" s="25" t="n">
        <x:v>40840.15833333333</x:v>
      </x:c>
      <x:c r="F3979" s="2" t="n">
        <x:v>47</x:v>
      </x:c>
      <x:c r="G3979" s="2" t="n">
        <x:v>12</x:v>
      </x:c>
      <x:c r="H3979" s="11" t="n">
        <x:v>3597.5</x:v>
      </x:c>
      <x:c r="I3979" s="2" t="n">
        <x:v>4</x:v>
      </x:c>
      <x:c r="J3979" s="2" t="n">
        <x:v>5</x:v>
      </x:c>
      <x:c r="K3979" s="2" t="n">
        <x:v>5</x:v>
      </x:c>
      <x:c r="L3979" s="2" t="str">
        <x:v>Champions</x:v>
      </x:c>
    </x:row>
    <x:row r="3980" ht="22" customHeight="1">
      <x:c r="A3980" s="2"/>
      <x:c r="B3980" s="2" t="str">
        <x:v>16326</x:v>
      </x:c>
      <x:c r="C3980" s="2" t="str">
        <x:v>United Kingdom</x:v>
      </x:c>
      <x:c r="D3980" s="25" t="n">
        <x:v>40206.34930555556</x:v>
      </x:c>
      <x:c r="E3980" s="25" t="n">
        <x:v>40881.21597222222</x:v>
      </x:c>
      <x:c r="F3980" s="2" t="n">
        <x:v>6</x:v>
      </x:c>
      <x:c r="G3980" s="2" t="n">
        <x:v>24</x:v>
      </x:c>
      <x:c r="H3980" s="11" t="n">
        <x:v>4826.99</x:v>
      </x:c>
      <x:c r="I3980" s="2" t="n">
        <x:v>5</x:v>
      </x:c>
      <x:c r="J3980" s="2" t="n">
        <x:v>5</x:v>
      </x:c>
      <x:c r="K3980" s="2" t="n">
        <x:v>5</x:v>
      </x:c>
      <x:c r="L3980" s="2" t="str">
        <x:v>Champions</x:v>
      </x:c>
    </x:row>
    <x:row r="3981" ht="22" customHeight="1">
      <x:c r="A3981" s="2"/>
      <x:c r="B3981" s="2" t="str">
        <x:v>16327</x:v>
      </x:c>
      <x:c r="C3981" s="2" t="str">
        <x:v>United Kingdom</x:v>
      </x:c>
      <x:c r="D3981" s="25" t="n">
        <x:v>40161.3375</x:v>
      </x:c>
      <x:c r="E3981" s="25" t="n">
        <x:v>40872.34930555556</x:v>
      </x:c>
      <x:c r="F3981" s="2" t="n">
        <x:v>15</x:v>
      </x:c>
      <x:c r="G3981" s="2" t="n">
        <x:v>16</x:v>
      </x:c>
      <x:c r="H3981" s="11" t="n">
        <x:v>10195.74</x:v>
      </x:c>
      <x:c r="I3981" s="2" t="n">
        <x:v>5</x:v>
      </x:c>
      <x:c r="J3981" s="2" t="n">
        <x:v>5</x:v>
      </x:c>
      <x:c r="K3981" s="2" t="n">
        <x:v>5</x:v>
      </x:c>
      <x:c r="L3981" s="2" t="str">
        <x:v>Champions</x:v>
      </x:c>
    </x:row>
    <x:row r="3982" ht="22" customHeight="1">
      <x:c r="A3982" s="2"/>
      <x:c r="B3982" s="2" t="str">
        <x:v>16328</x:v>
      </x:c>
      <x:c r="C3982" s="2" t="str">
        <x:v>United Kingdom</x:v>
      </x:c>
      <x:c r="D3982" s="25" t="n">
        <x:v>40323.376388888886</x:v>
      </x:c>
      <x:c r="E3982" s="25" t="n">
        <x:v>40323.376388888886</x:v>
      </x:c>
      <x:c r="F3982" s="2" t="n">
        <x:v>564</x:v>
      </x:c>
      <x:c r="G3982" s="2" t="n">
        <x:v>1</x:v>
      </x:c>
      <x:c r="H3982" s="11" t="n">
        <x:v>310.83</x:v>
      </x:c>
      <x:c r="I3982" s="2" t="n">
        <x:v>1</x:v>
      </x:c>
      <x:c r="J3982" s="2" t="n">
        <x:v>1</x:v>
      </x:c>
      <x:c r="K3982" s="2" t="n">
        <x:v>2</x:v>
      </x:c>
      <x:c r="L3982" s="2" t="str">
        <x:v>Hibernating</x:v>
      </x:c>
    </x:row>
    <x:row r="3983" ht="22" customHeight="1">
      <x:c r="A3983" s="2"/>
      <x:c r="B3983" s="2" t="str">
        <x:v>16329</x:v>
      </x:c>
      <x:c r="C3983" s="2" t="str">
        <x:v>United Kingdom</x:v>
      </x:c>
      <x:c r="D3983" s="25" t="n">
        <x:v>40148.27361111111</x:v>
      </x:c>
      <x:c r="E3983" s="25" t="n">
        <x:v>40459.322222222225</x:v>
      </x:c>
      <x:c r="F3983" s="2" t="n">
        <x:v>428</x:v>
      </x:c>
      <x:c r="G3983" s="2" t="n">
        <x:v>4</x:v>
      </x:c>
      <x:c r="H3983" s="11" t="n">
        <x:v>1703.07</x:v>
      </x:c>
      <x:c r="I3983" s="2" t="n">
        <x:v>1</x:v>
      </x:c>
      <x:c r="J3983" s="2" t="n">
        <x:v>3</x:v>
      </x:c>
      <x:c r="K3983" s="2" t="n">
        <x:v>4</x:v>
      </x:c>
      <x:c r="L3983" s="2" t="str">
        <x:v>At risk</x:v>
      </x:c>
    </x:row>
    <x:row r="3984" ht="22" customHeight="1">
      <x:c r="A3984" s="2"/>
      <x:c r="B3984" s="2" t="str">
        <x:v>16330</x:v>
      </x:c>
      <x:c r="C3984" s="2" t="str">
        <x:v>United Kingdom</x:v>
      </x:c>
      <x:c r="D3984" s="25" t="n">
        <x:v>40224.316666666666</x:v>
      </x:c>
      <x:c r="E3984" s="25" t="n">
        <x:v>40869.308333333334</x:v>
      </x:c>
      <x:c r="F3984" s="2" t="n">
        <x:v>18</x:v>
      </x:c>
      <x:c r="G3984" s="2" t="n">
        <x:v>7</x:v>
      </x:c>
      <x:c r="H3984" s="11" t="n">
        <x:v>634.33</x:v>
      </x:c>
      <x:c r="I3984" s="2" t="n">
        <x:v>5</x:v>
      </x:c>
      <x:c r="J3984" s="2" t="n">
        <x:v>4</x:v>
      </x:c>
      <x:c r="K3984" s="2" t="n">
        <x:v>3</x:v>
      </x:c>
      <x:c r="L3984" s="2" t="str">
        <x:v>Loyal</x:v>
      </x:c>
    </x:row>
    <x:row r="3985" ht="22" customHeight="1">
      <x:c r="A3985" s="2"/>
      <x:c r="B3985" s="2" t="str">
        <x:v>16331</x:v>
      </x:c>
      <x:c r="C3985" s="2" t="str">
        <x:v>United Kingdom</x:v>
      </x:c>
      <x:c r="D3985" s="25" t="n">
        <x:v>40244.24652777778</x:v>
      </x:c>
      <x:c r="E3985" s="25" t="n">
        <x:v>40454.36597222222</x:v>
      </x:c>
      <x:c r="F3985" s="2" t="n">
        <x:v>433</x:v>
      </x:c>
      <x:c r="G3985" s="2" t="n">
        <x:v>6</x:v>
      </x:c>
      <x:c r="H3985" s="11" t="n">
        <x:v>2037.7</x:v>
      </x:c>
      <x:c r="I3985" s="2" t="n">
        <x:v>1</x:v>
      </x:c>
      <x:c r="J3985" s="2" t="n">
        <x:v>4</x:v>
      </x:c>
      <x:c r="K3985" s="2" t="n">
        <x:v>4</x:v>
      </x:c>
      <x:c r="L3985" s="2" t="str">
        <x:v>At risk</x:v>
      </x:c>
    </x:row>
    <x:row r="3986" ht="22" customHeight="1">
      <x:c r="A3986" s="2"/>
      <x:c r="B3986" s="2" t="str">
        <x:v>16332</x:v>
      </x:c>
      <x:c r="C3986" s="2" t="str">
        <x:v>United Kingdom</x:v>
      </x:c>
      <x:c r="D3986" s="25" t="n">
        <x:v>40297.361805555556</x:v>
      </x:c>
      <x:c r="E3986" s="25" t="n">
        <x:v>40858.39027777778</x:v>
      </x:c>
      <x:c r="F3986" s="2" t="n">
        <x:v>29</x:v>
      </x:c>
      <x:c r="G3986" s="2" t="n">
        <x:v>11</x:v>
      </x:c>
      <x:c r="H3986" s="11" t="n">
        <x:v>2010.41</x:v>
      </x:c>
      <x:c r="I3986" s="2" t="n">
        <x:v>4</x:v>
      </x:c>
      <x:c r="J3986" s="2" t="n">
        <x:v>5</x:v>
      </x:c>
      <x:c r="K3986" s="2" t="n">
        <x:v>4</x:v>
      </x:c>
      <x:c r="L3986" s="2" t="str">
        <x:v>Champions</x:v>
      </x:c>
    </x:row>
    <x:row r="3987" ht="22" customHeight="1">
      <x:c r="A3987" s="2"/>
      <x:c r="B3987" s="2" t="str">
        <x:v>16333</x:v>
      </x:c>
      <x:c r="C3987" s="2" t="str">
        <x:v>United Kingdom</x:v>
      </x:c>
      <x:c r="D3987" s="25" t="n">
        <x:v>40577.243055555555</x:v>
      </x:c>
      <x:c r="E3987" s="25" t="n">
        <x:v>40879.30486111111</x:v>
      </x:c>
      <x:c r="F3987" s="2" t="n">
        <x:v>8</x:v>
      </x:c>
      <x:c r="G3987" s="2" t="n">
        <x:v>22</x:v>
      </x:c>
      <x:c r="H3987" s="11" t="n">
        <x:v>26626.8</x:v>
      </x:c>
      <x:c r="I3987" s="2" t="n">
        <x:v>5</x:v>
      </x:c>
      <x:c r="J3987" s="2" t="n">
        <x:v>5</x:v>
      </x:c>
      <x:c r="K3987" s="2" t="n">
        <x:v>5</x:v>
      </x:c>
      <x:c r="L3987" s="2" t="str">
        <x:v>Champions</x:v>
      </x:c>
    </x:row>
    <x:row r="3988" ht="22" customHeight="1">
      <x:c r="A3988" s="2"/>
      <x:c r="B3988" s="2" t="str">
        <x:v>16334</x:v>
      </x:c>
      <x:c r="C3988" s="2" t="str">
        <x:v>United Kingdom</x:v>
      </x:c>
      <x:c r="D3988" s="25" t="n">
        <x:v>40394.48472222222</x:v>
      </x:c>
      <x:c r="E3988" s="25" t="n">
        <x:v>40394.48472222222</x:v>
      </x:c>
      <x:c r="F3988" s="2" t="n">
        <x:v>493</x:v>
      </x:c>
      <x:c r="G3988" s="2" t="n">
        <x:v>1</x:v>
      </x:c>
      <x:c r="H3988" s="11" t="n">
        <x:v>277.48</x:v>
      </x:c>
      <x:c r="I3988" s="2" t="n">
        <x:v>1</x:v>
      </x:c>
      <x:c r="J3988" s="2" t="n">
        <x:v>1</x:v>
      </x:c>
      <x:c r="K3988" s="2" t="n">
        <x:v>1</x:v>
      </x:c>
      <x:c r="L3988" s="2" t="str">
        <x:v>Hibernating</x:v>
      </x:c>
    </x:row>
    <x:row r="3989" ht="22" customHeight="1">
      <x:c r="A3989" s="2"/>
      <x:c r="B3989" s="2" t="str">
        <x:v>16335</x:v>
      </x:c>
      <x:c r="C3989" s="2" t="str">
        <x:v>United Kingdom</x:v>
      </x:c>
      <x:c r="D3989" s="25" t="n">
        <x:v>40151.22083333333</x:v>
      </x:c>
      <x:c r="E3989" s="25" t="n">
        <x:v>40335.274305555555</x:v>
      </x:c>
      <x:c r="F3989" s="2" t="n">
        <x:v>552</x:v>
      </x:c>
      <x:c r="G3989" s="2" t="n">
        <x:v>7</x:v>
      </x:c>
      <x:c r="H3989" s="11" t="n">
        <x:v>2774</x:v>
      </x:c>
      <x:c r="I3989" s="2" t="n">
        <x:v>1</x:v>
      </x:c>
      <x:c r="J3989" s="2" t="n">
        <x:v>4</x:v>
      </x:c>
      <x:c r="K3989" s="2" t="n">
        <x:v>4</x:v>
      </x:c>
      <x:c r="L3989" s="2" t="str">
        <x:v>At risk</x:v>
      </x:c>
    </x:row>
    <x:row r="3990" ht="22" customHeight="1">
      <x:c r="A3990" s="2"/>
      <x:c r="B3990" s="2" t="str">
        <x:v>16336</x:v>
      </x:c>
      <x:c r="C3990" s="2" t="str">
        <x:v>United Kingdom</x:v>
      </x:c>
      <x:c r="D3990" s="25" t="n">
        <x:v>40255.12847222222</x:v>
      </x:c>
      <x:c r="E3990" s="25" t="n">
        <x:v>40466.313888888886</x:v>
      </x:c>
      <x:c r="F3990" s="2" t="n">
        <x:v>421</x:v>
      </x:c>
      <x:c r="G3990" s="2" t="n">
        <x:v>4</x:v>
      </x:c>
      <x:c r="H3990" s="11" t="n">
        <x:v>3517.69</x:v>
      </x:c>
      <x:c r="I3990" s="2" t="n">
        <x:v>1</x:v>
      </x:c>
      <x:c r="J3990" s="2" t="n">
        <x:v>3</x:v>
      </x:c>
      <x:c r="K3990" s="2" t="n">
        <x:v>5</x:v>
      </x:c>
      <x:c r="L3990" s="2" t="str">
        <x:v>At risk</x:v>
      </x:c>
    </x:row>
    <x:row r="3991" ht="22" customHeight="1">
      <x:c r="A3991" s="2"/>
      <x:c r="B3991" s="2" t="str">
        <x:v>16337</x:v>
      </x:c>
      <x:c r="C3991" s="2" t="str">
        <x:v>United Kingdom</x:v>
      </x:c>
      <x:c r="D3991" s="25" t="n">
        <x:v>40850.21041666667</x:v>
      </x:c>
      <x:c r="E3991" s="25" t="n">
        <x:v>40850.21041666667</x:v>
      </x:c>
      <x:c r="F3991" s="2" t="n">
        <x:v>37</x:v>
      </x:c>
      <x:c r="G3991" s="2" t="n">
        <x:v>1</x:v>
      </x:c>
      <x:c r="H3991" s="11" t="n">
        <x:v>151.05</x:v>
      </x:c>
      <x:c r="I3991" s="2" t="n">
        <x:v>4</x:v>
      </x:c>
      <x:c r="J3991" s="2" t="n">
        <x:v>1</x:v>
      </x:c>
      <x:c r="K3991" s="2" t="n">
        <x:v>1</x:v>
      </x:c>
      <x:c r="L3991" s="2" t="str">
        <x:v>Recent light buyers</x:v>
      </x:c>
    </x:row>
    <x:row r="3992" ht="22" customHeight="1">
      <x:c r="A3992" s="2"/>
      <x:c r="B3992" s="2" t="str">
        <x:v>16338</x:v>
      </x:c>
      <x:c r="C3992" s="2" t="str">
        <x:v>United Kingdom</x:v>
      </x:c>
      <x:c r="D3992" s="25" t="n">
        <x:v>40729.37222222222</x:v>
      </x:c>
      <x:c r="E3992" s="25" t="n">
        <x:v>40729.37222222222</x:v>
      </x:c>
      <x:c r="F3992" s="2" t="n">
        <x:v>158</x:v>
      </x:c>
      <x:c r="G3992" s="2" t="n">
        <x:v>1</x:v>
      </x:c>
      <x:c r="H3992" s="11" t="n">
        <x:v>214.8</x:v>
      </x:c>
      <x:c r="I3992" s="2" t="n">
        <x:v>3</x:v>
      </x:c>
      <x:c r="J3992" s="2" t="n">
        <x:v>1</x:v>
      </x:c>
      <x:c r="K3992" s="2" t="n">
        <x:v>1</x:v>
      </x:c>
      <x:c r="L3992" s="2" t="str">
        <x:v>Developing</x:v>
      </x:c>
    </x:row>
    <x:row r="3993" ht="22" customHeight="1">
      <x:c r="A3993" s="2"/>
      <x:c r="B3993" s="2" t="str">
        <x:v>16339</x:v>
      </x:c>
      <x:c r="C3993" s="2" t="str">
        <x:v>United Kingdom</x:v>
      </x:c>
      <x:c r="D3993" s="25" t="n">
        <x:v>40602.361805555556</x:v>
      </x:c>
      <x:c r="E3993" s="25" t="n">
        <x:v>40602.361805555556</x:v>
      </x:c>
      <x:c r="F3993" s="2" t="n">
        <x:v>285</x:v>
      </x:c>
      <x:c r="G3993" s="2" t="n">
        <x:v>1</x:v>
      </x:c>
      <x:c r="H3993" s="11" t="n">
        <x:v>109.95</x:v>
      </x:c>
      <x:c r="I3993" s="2" t="n">
        <x:v>2</x:v>
      </x:c>
      <x:c r="J3993" s="2" t="n">
        <x:v>1</x:v>
      </x:c>
      <x:c r="K3993" s="2" t="n">
        <x:v>1</x:v>
      </x:c>
      <x:c r="L3993" s="2" t="str">
        <x:v>Hibernating</x:v>
      </x:c>
    </x:row>
    <x:row r="3994" ht="22" customHeight="1">
      <x:c r="A3994" s="2"/>
      <x:c r="B3994" s="2" t="str">
        <x:v>16340</x:v>
      </x:c>
      <x:c r="C3994" s="2" t="str">
        <x:v>United Kingdom</x:v>
      </x:c>
      <x:c r="D3994" s="25" t="n">
        <x:v>40335.35138888889</x:v>
      </x:c>
      <x:c r="E3994" s="25" t="n">
        <x:v>40779.41180555556</x:v>
      </x:c>
      <x:c r="F3994" s="2" t="n">
        <x:v>108</x:v>
      </x:c>
      <x:c r="G3994" s="2" t="n">
        <x:v>3</x:v>
      </x:c>
      <x:c r="H3994" s="11" t="n">
        <x:v>1526.06</x:v>
      </x:c>
      <x:c r="I3994" s="2" t="n">
        <x:v>3</x:v>
      </x:c>
      <x:c r="J3994" s="2" t="n">
        <x:v>3</x:v>
      </x:c>
      <x:c r="K3994" s="2" t="n">
        <x:v>4</x:v>
      </x:c>
      <x:c r="L3994" s="2" t="str">
        <x:v>Loyal</x:v>
      </x:c>
    </x:row>
    <x:row r="3995" ht="22" customHeight="1">
      <x:c r="A3995" s="2"/>
      <x:c r="B3995" s="2" t="str">
        <x:v>16341</x:v>
      </x:c>
      <x:c r="C3995" s="2" t="str">
        <x:v>United Kingdom</x:v>
      </x:c>
      <x:c r="D3995" s="25" t="n">
        <x:v>40277.229166666664</x:v>
      </x:c>
      <x:c r="E3995" s="25" t="n">
        <x:v>40862.175</x:v>
      </x:c>
      <x:c r="F3995" s="2" t="n">
        <x:v>25</x:v>
      </x:c>
      <x:c r="G3995" s="2" t="n">
        <x:v>7</x:v>
      </x:c>
      <x:c r="H3995" s="11" t="n">
        <x:v>3850.79</x:v>
      </x:c>
      <x:c r="I3995" s="2" t="n">
        <x:v>4</x:v>
      </x:c>
      <x:c r="J3995" s="2" t="n">
        <x:v>4</x:v>
      </x:c>
      <x:c r="K3995" s="2" t="n">
        <x:v>5</x:v>
      </x:c>
      <x:c r="L3995" s="2" t="str">
        <x:v>Champions</x:v>
      </x:c>
    </x:row>
    <x:row r="3996" ht="22" customHeight="1">
      <x:c r="A3996" s="2"/>
      <x:c r="B3996" s="2" t="str">
        <x:v>16342</x:v>
      </x:c>
      <x:c r="C3996" s="2" t="str">
        <x:v>United Kingdom</x:v>
      </x:c>
      <x:c r="D3996" s="25" t="n">
        <x:v>40707.21527777778</x:v>
      </x:c>
      <x:c r="E3996" s="25" t="n">
        <x:v>40811.4</x:v>
      </x:c>
      <x:c r="F3996" s="2" t="n">
        <x:v>76</x:v>
      </x:c>
      <x:c r="G3996" s="2" t="n">
        <x:v>4</x:v>
      </x:c>
      <x:c r="H3996" s="11" t="n">
        <x:v>322.41</x:v>
      </x:c>
      <x:c r="I3996" s="2" t="n">
        <x:v>3</x:v>
      </x:c>
      <x:c r="J3996" s="2" t="n">
        <x:v>3</x:v>
      </x:c>
      <x:c r="K3996" s="2" t="n">
        <x:v>2</x:v>
      </x:c>
      <x:c r="L3996" s="2" t="str">
        <x:v>Loyal</x:v>
      </x:c>
    </x:row>
    <x:row r="3997" ht="22" customHeight="1">
      <x:c r="A3997" s="2"/>
      <x:c r="B3997" s="2" t="str">
        <x:v>16343</x:v>
      </x:c>
      <x:c r="C3997" s="2" t="str">
        <x:v>United Kingdom</x:v>
      </x:c>
      <x:c r="D3997" s="25" t="n">
        <x:v>40479.385416666664</x:v>
      </x:c>
      <x:c r="E3997" s="25" t="n">
        <x:v>40870.53125</x:v>
      </x:c>
      <x:c r="F3997" s="2" t="n">
        <x:v>17</x:v>
      </x:c>
      <x:c r="G3997" s="2" t="n">
        <x:v>3</x:v>
      </x:c>
      <x:c r="H3997" s="11" t="n">
        <x:v>687.07</x:v>
      </x:c>
      <x:c r="I3997" s="2" t="n">
        <x:v>5</x:v>
      </x:c>
      <x:c r="J3997" s="2" t="n">
        <x:v>3</x:v>
      </x:c>
      <x:c r="K3997" s="2" t="n">
        <x:v>3</x:v>
      </x:c>
      <x:c r="L3997" s="2" t="str">
        <x:v>Loyal</x:v>
      </x:c>
    </x:row>
    <x:row r="3998" ht="22" customHeight="1">
      <x:c r="A3998" s="2"/>
      <x:c r="B3998" s="2" t="str">
        <x:v>16344</x:v>
      </x:c>
      <x:c r="C3998" s="2" t="str">
        <x:v>United Kingdom</x:v>
      </x:c>
      <x:c r="D3998" s="25" t="n">
        <x:v>40218.302777777775</x:v>
      </x:c>
      <x:c r="E3998" s="25" t="n">
        <x:v>40728.45138888889</x:v>
      </x:c>
      <x:c r="F3998" s="2" t="n">
        <x:v>159</x:v>
      </x:c>
      <x:c r="G3998" s="2" t="n">
        <x:v>4</x:v>
      </x:c>
      <x:c r="H3998" s="11" t="n">
        <x:v>842.42</x:v>
      </x:c>
      <x:c r="I3998" s="2" t="n">
        <x:v>3</x:v>
      </x:c>
      <x:c r="J3998" s="2" t="n">
        <x:v>3</x:v>
      </x:c>
      <x:c r="K3998" s="2" t="n">
        <x:v>3</x:v>
      </x:c>
      <x:c r="L3998" s="2" t="str">
        <x:v>Loyal</x:v>
      </x:c>
    </x:row>
    <x:row r="3999" ht="22" customHeight="1">
      <x:c r="A3999" s="2"/>
      <x:c r="B3999" s="2" t="str">
        <x:v>16345</x:v>
      </x:c>
      <x:c r="C3999" s="2" t="str">
        <x:v>United Kingdom</x:v>
      </x:c>
      <x:c r="D3999" s="25" t="n">
        <x:v>40403.50902777778</x:v>
      </x:c>
      <x:c r="E3999" s="25" t="n">
        <x:v>40842.46041666667</x:v>
      </x:c>
      <x:c r="F3999" s="2" t="n">
        <x:v>45</x:v>
      </x:c>
      <x:c r="G3999" s="2" t="n">
        <x:v>2</x:v>
      </x:c>
      <x:c r="H3999" s="11" t="n">
        <x:v>1198.74</x:v>
      </x:c>
      <x:c r="I3999" s="2" t="n">
        <x:v>4</x:v>
      </x:c>
      <x:c r="J3999" s="2" t="n">
        <x:v>2</x:v>
      </x:c>
      <x:c r="K3999" s="2" t="n">
        <x:v>3</x:v>
      </x:c>
      <x:c r="L3999" s="2" t="str">
        <x:v>Recent light buyers</x:v>
      </x:c>
    </x:row>
    <x:row r="4000" ht="22" customHeight="1">
      <x:c r="A4000" s="2"/>
      <x:c r="B4000" s="2" t="str">
        <x:v>16346</x:v>
      </x:c>
      <x:c r="C4000" s="2" t="str">
        <x:v>United Kingdom</x:v>
      </x:c>
      <x:c r="D4000" s="25" t="n">
        <x:v>40501.45486111111</x:v>
      </x:c>
      <x:c r="E4000" s="25" t="n">
        <x:v>40501.45486111111</x:v>
      </x:c>
      <x:c r="F4000" s="2" t="n">
        <x:v>386</x:v>
      </x:c>
      <x:c r="G4000" s="2" t="n">
        <x:v>1</x:v>
      </x:c>
      <x:c r="H4000" s="11" t="n">
        <x:v>224.51</x:v>
      </x:c>
      <x:c r="I4000" s="2" t="n">
        <x:v>2</x:v>
      </x:c>
      <x:c r="J4000" s="2" t="n">
        <x:v>1</x:v>
      </x:c>
      <x:c r="K4000" s="2" t="n">
        <x:v>1</x:v>
      </x:c>
      <x:c r="L4000" s="2" t="str">
        <x:v>Hibernating</x:v>
      </x:c>
    </x:row>
    <x:row r="4001" ht="22" customHeight="1">
      <x:c r="A4001" s="2"/>
      <x:c r="B4001" s="2" t="str">
        <x:v>16347</x:v>
      </x:c>
      <x:c r="C4001" s="2" t="str">
        <x:v>United Kingdom</x:v>
      </x:c>
      <x:c r="D4001" s="25" t="n">
        <x:v>40249.32013888889</x:v>
      </x:c>
      <x:c r="E4001" s="25" t="n">
        <x:v>40875.34305555555</x:v>
      </x:c>
      <x:c r="F4001" s="2" t="n">
        <x:v>12</x:v>
      </x:c>
      <x:c r="G4001" s="2" t="n">
        <x:v>11</x:v>
      </x:c>
      <x:c r="H4001" s="11" t="n">
        <x:v>3509.41</x:v>
      </x:c>
      <x:c r="I4001" s="2" t="n">
        <x:v>5</x:v>
      </x:c>
      <x:c r="J4001" s="2" t="n">
        <x:v>5</x:v>
      </x:c>
      <x:c r="K4001" s="2" t="n">
        <x:v>5</x:v>
      </x:c>
      <x:c r="L4001" s="2" t="str">
        <x:v>Champions</x:v>
      </x:c>
    </x:row>
    <x:row r="4002" ht="22" customHeight="1">
      <x:c r="A4002" s="2"/>
      <x:c r="B4002" s="2" t="str">
        <x:v>16348</x:v>
      </x:c>
      <x:c r="C4002" s="2" t="str">
        <x:v>United Kingdom</x:v>
      </x:c>
      <x:c r="D4002" s="25" t="n">
        <x:v>40456.37291666667</x:v>
      </x:c>
      <x:c r="E4002" s="25" t="n">
        <x:v>40854.447222222225</x:v>
      </x:c>
      <x:c r="F4002" s="2" t="n">
        <x:v>33</x:v>
      </x:c>
      <x:c r="G4002" s="2" t="n">
        <x:v>8</x:v>
      </x:c>
      <x:c r="H4002" s="11" t="n">
        <x:v>1798.22</x:v>
      </x:c>
      <x:c r="I4002" s="2" t="n">
        <x:v>4</x:v>
      </x:c>
      <x:c r="J4002" s="2" t="n">
        <x:v>4</x:v>
      </x:c>
      <x:c r="K4002" s="2" t="n">
        <x:v>4</x:v>
      </x:c>
      <x:c r="L4002" s="2" t="str">
        <x:v>Champions</x:v>
      </x:c>
    </x:row>
    <x:row r="4003" ht="22" customHeight="1">
      <x:c r="A4003" s="2"/>
      <x:c r="B4003" s="2" t="str">
        <x:v>16349</x:v>
      </x:c>
      <x:c r="C4003" s="2" t="str">
        <x:v>United Kingdom</x:v>
      </x:c>
      <x:c r="D4003" s="25" t="n">
        <x:v>40596.319444444445</x:v>
      </x:c>
      <x:c r="E4003" s="25" t="n">
        <x:v>40596.319444444445</x:v>
      </x:c>
      <x:c r="F4003" s="2" t="n">
        <x:v>291</x:v>
      </x:c>
      <x:c r="G4003" s="2" t="n">
        <x:v>1</x:v>
      </x:c>
      <x:c r="H4003" s="11" t="n">
        <x:v>53.5</x:v>
      </x:c>
      <x:c r="I4003" s="2" t="n">
        <x:v>2</x:v>
      </x:c>
      <x:c r="J4003" s="2" t="n">
        <x:v>1</x:v>
      </x:c>
      <x:c r="K4003" s="2" t="n">
        <x:v>1</x:v>
      </x:c>
      <x:c r="L4003" s="2" t="str">
        <x:v>Hibernating</x:v>
      </x:c>
    </x:row>
    <x:row r="4004" ht="22" customHeight="1">
      <x:c r="A4004" s="2"/>
      <x:c r="B4004" s="2" t="str">
        <x:v>16350</x:v>
      </x:c>
      <x:c r="C4004" s="2" t="str">
        <x:v>United Kingdom</x:v>
      </x:c>
      <x:c r="D4004" s="25" t="n">
        <x:v>40458.48125</x:v>
      </x:c>
      <x:c r="E4004" s="25" t="n">
        <x:v>40865.45347222222</x:v>
      </x:c>
      <x:c r="F4004" s="2" t="n">
        <x:v>22</x:v>
      </x:c>
      <x:c r="G4004" s="2" t="n">
        <x:v>9</x:v>
      </x:c>
      <x:c r="H4004" s="11" t="n">
        <x:v>2253.89</x:v>
      </x:c>
      <x:c r="I4004" s="2" t="n">
        <x:v>4</x:v>
      </x:c>
      <x:c r="J4004" s="2" t="n">
        <x:v>5</x:v>
      </x:c>
      <x:c r="K4004" s="2" t="n">
        <x:v>4</x:v>
      </x:c>
      <x:c r="L4004" s="2" t="str">
        <x:v>Champions</x:v>
      </x:c>
    </x:row>
    <x:row r="4005" ht="22" customHeight="1">
      <x:c r="A4005" s="2"/>
      <x:c r="B4005" s="2" t="str">
        <x:v>16351</x:v>
      </x:c>
      <x:c r="C4005" s="2" t="str">
        <x:v>United Kingdom</x:v>
      </x:c>
      <x:c r="D4005" s="25" t="n">
        <x:v>40151.46666666667</x:v>
      </x:c>
      <x:c r="E4005" s="25" t="n">
        <x:v>40554.22638888889</x:v>
      </x:c>
      <x:c r="F4005" s="2" t="n">
        <x:v>333</x:v>
      </x:c>
      <x:c r="G4005" s="2" t="n">
        <x:v>13</x:v>
      </x:c>
      <x:c r="H4005" s="11" t="n">
        <x:v>3330.03</x:v>
      </x:c>
      <x:c r="I4005" s="2" t="n">
        <x:v>2</x:v>
      </x:c>
      <x:c r="J4005" s="2" t="n">
        <x:v>5</x:v>
      </x:c>
      <x:c r="K4005" s="2" t="n">
        <x:v>5</x:v>
      </x:c>
      <x:c r="L4005" s="2" t="str">
        <x:v>At risk</x:v>
      </x:c>
    </x:row>
    <x:row r="4006" ht="22" customHeight="1">
      <x:c r="A4006" s="2"/>
      <x:c r="B4006" s="2" t="str">
        <x:v>16352</x:v>
      </x:c>
      <x:c r="C4006" s="2" t="str">
        <x:v>United Kingdom</x:v>
      </x:c>
      <x:c r="D4006" s="25" t="n">
        <x:v>40849.15555555555</x:v>
      </x:c>
      <x:c r="E4006" s="25" t="n">
        <x:v>40869.23055555556</x:v>
      </x:c>
      <x:c r="F4006" s="2" t="n">
        <x:v>18</x:v>
      </x:c>
      <x:c r="G4006" s="2" t="n">
        <x:v>2</x:v>
      </x:c>
      <x:c r="H4006" s="11" t="n">
        <x:v>494.44</x:v>
      </x:c>
      <x:c r="I4006" s="2" t="n">
        <x:v>5</x:v>
      </x:c>
      <x:c r="J4006" s="2" t="n">
        <x:v>2</x:v>
      </x:c>
      <x:c r="K4006" s="2" t="n">
        <x:v>2</x:v>
      </x:c>
      <x:c r="L4006" s="2" t="str">
        <x:v>Recent light buyers</x:v>
      </x:c>
    </x:row>
    <x:row r="4007" ht="22" customHeight="1">
      <x:c r="A4007" s="2"/>
      <x:c r="B4007" s="2" t="str">
        <x:v>16353</x:v>
      </x:c>
      <x:c r="C4007" s="2" t="str">
        <x:v>United Kingdom</x:v>
      </x:c>
      <x:c r="D4007" s="25" t="n">
        <x:v>40154.37152777778</x:v>
      </x:c>
      <x:c r="E4007" s="25" t="n">
        <x:v>40883.30763888889</x:v>
      </x:c>
      <x:c r="F4007" s="2" t="n">
        <x:v>4</x:v>
      </x:c>
      <x:c r="G4007" s="2" t="n">
        <x:v>38</x:v>
      </x:c>
      <x:c r="H4007" s="11" t="n">
        <x:v>9795.46</x:v>
      </x:c>
      <x:c r="I4007" s="2" t="n">
        <x:v>5</x:v>
      </x:c>
      <x:c r="J4007" s="2" t="n">
        <x:v>5</x:v>
      </x:c>
      <x:c r="K4007" s="2" t="n">
        <x:v>5</x:v>
      </x:c>
      <x:c r="L4007" s="2" t="str">
        <x:v>Champions</x:v>
      </x:c>
    </x:row>
    <x:row r="4008" ht="22" customHeight="1">
      <x:c r="A4008" s="2"/>
      <x:c r="B4008" s="2" t="str">
        <x:v>16354</x:v>
      </x:c>
      <x:c r="C4008" s="2" t="str">
        <x:v>United Kingdom</x:v>
      </x:c>
      <x:c r="D4008" s="25" t="n">
        <x:v>40295.35625</x:v>
      </x:c>
      <x:c r="E4008" s="25" t="n">
        <x:v>40823.39444444444</x:v>
      </x:c>
      <x:c r="F4008" s="2" t="n">
        <x:v>64</x:v>
      </x:c>
      <x:c r="G4008" s="2" t="n">
        <x:v>5</x:v>
      </x:c>
      <x:c r="H4008" s="11" t="n">
        <x:v>1129.51</x:v>
      </x:c>
      <x:c r="I4008" s="2" t="n">
        <x:v>3</x:v>
      </x:c>
      <x:c r="J4008" s="2" t="n">
        <x:v>4</x:v>
      </x:c>
      <x:c r="K4008" s="2" t="n">
        <x:v>3</x:v>
      </x:c>
      <x:c r="L4008" s="2" t="str">
        <x:v>Loyal</x:v>
      </x:c>
    </x:row>
    <x:row r="4009" ht="22" customHeight="1">
      <x:c r="A4009" s="2"/>
      <x:c r="B4009" s="2" t="str">
        <x:v>16355</x:v>
      </x:c>
      <x:c r="C4009" s="2" t="str">
        <x:v>United Kingdom</x:v>
      </x:c>
      <x:c r="D4009" s="25" t="n">
        <x:v>40511.38958333333</x:v>
      </x:c>
      <x:c r="E4009" s="25" t="n">
        <x:v>40511.38958333333</x:v>
      </x:c>
      <x:c r="F4009" s="2" t="n">
        <x:v>376</x:v>
      </x:c>
      <x:c r="G4009" s="2" t="n">
        <x:v>1</x:v>
      </x:c>
      <x:c r="H4009" s="11" t="n">
        <x:v>416.35</x:v>
      </x:c>
      <x:c r="I4009" s="2" t="n">
        <x:v>2</x:v>
      </x:c>
      <x:c r="J4009" s="2" t="n">
        <x:v>1</x:v>
      </x:c>
      <x:c r="K4009" s="2" t="n">
        <x:v>2</x:v>
      </x:c>
      <x:c r="L4009" s="2" t="str">
        <x:v>Hibernating</x:v>
      </x:c>
    </x:row>
    <x:row r="4010" ht="22" customHeight="1">
      <x:c r="A4010" s="2"/>
      <x:c r="B4010" s="2" t="str">
        <x:v>16356</x:v>
      </x:c>
      <x:c r="C4010" s="2" t="str">
        <x:v>United Kingdom</x:v>
      </x:c>
      <x:c r="D4010" s="25" t="n">
        <x:v>40335.268055555556</x:v>
      </x:c>
      <x:c r="E4010" s="25" t="n">
        <x:v>40689.285416666666</x:v>
      </x:c>
      <x:c r="F4010" s="2" t="n">
        <x:v>198</x:v>
      </x:c>
      <x:c r="G4010" s="2" t="n">
        <x:v>6</x:v>
      </x:c>
      <x:c r="H4010" s="11" t="n">
        <x:v>415.87</x:v>
      </x:c>
      <x:c r="I4010" s="2" t="n">
        <x:v>2</x:v>
      </x:c>
      <x:c r="J4010" s="2" t="n">
        <x:v>4</x:v>
      </x:c>
      <x:c r="K4010" s="2" t="n">
        <x:v>2</x:v>
      </x:c>
      <x:c r="L4010" s="2" t="str">
        <x:v>At risk</x:v>
      </x:c>
    </x:row>
    <x:row r="4011" ht="22" customHeight="1">
      <x:c r="A4011" s="2"/>
      <x:c r="B4011" s="2" t="str">
        <x:v>16357</x:v>
      </x:c>
      <x:c r="C4011" s="2" t="str">
        <x:v>United Kingdom</x:v>
      </x:c>
      <x:c r="D4011" s="25" t="n">
        <x:v>40505.57777777778</x:v>
      </x:c>
      <x:c r="E4011" s="25" t="n">
        <x:v>40853.46111111111</x:v>
      </x:c>
      <x:c r="F4011" s="2" t="n">
        <x:v>34</x:v>
      </x:c>
      <x:c r="G4011" s="2" t="n">
        <x:v>4</x:v>
      </x:c>
      <x:c r="H4011" s="11" t="n">
        <x:v>868.37</x:v>
      </x:c>
      <x:c r="I4011" s="2" t="n">
        <x:v>4</x:v>
      </x:c>
      <x:c r="J4011" s="2" t="n">
        <x:v>3</x:v>
      </x:c>
      <x:c r="K4011" s="2" t="n">
        <x:v>3</x:v>
      </x:c>
      <x:c r="L4011" s="2" t="str">
        <x:v>Loyal</x:v>
      </x:c>
    </x:row>
    <x:row r="4012" ht="22" customHeight="1">
      <x:c r="A4012" s="2"/>
      <x:c r="B4012" s="2" t="str">
        <x:v>16358</x:v>
      </x:c>
      <x:c r="C4012" s="2" t="str">
        <x:v>United Kingdom</x:v>
      </x:c>
      <x:c r="D4012" s="25" t="n">
        <x:v>40492.275</x:v>
      </x:c>
      <x:c r="E4012" s="25" t="n">
        <x:v>40885.42291666667</x:v>
      </x:c>
      <x:c r="F4012" s="2" t="n">
        <x:v>2</x:v>
      </x:c>
      <x:c r="G4012" s="2" t="n">
        <x:v>5</x:v>
      </x:c>
      <x:c r="H4012" s="11" t="n">
        <x:v>2919.65</x:v>
      </x:c>
      <x:c r="I4012" s="2" t="n">
        <x:v>5</x:v>
      </x:c>
      <x:c r="J4012" s="2" t="n">
        <x:v>4</x:v>
      </x:c>
      <x:c r="K4012" s="2" t="n">
        <x:v>5</x:v>
      </x:c>
      <x:c r="L4012" s="2" t="str">
        <x:v>Champions</x:v>
      </x:c>
    </x:row>
    <x:row r="4013" ht="22" customHeight="1">
      <x:c r="A4013" s="2"/>
      <x:c r="B4013" s="2" t="str">
        <x:v>16359</x:v>
      </x:c>
      <x:c r="C4013" s="2" t="str">
        <x:v>United Kingdom</x:v>
      </x:c>
      <x:c r="D4013" s="25" t="n">
        <x:v>40225.23541666667</x:v>
      </x:c>
      <x:c r="E4013" s="25" t="n">
        <x:v>40879.50277777778</x:v>
      </x:c>
      <x:c r="F4013" s="2" t="n">
        <x:v>8</x:v>
      </x:c>
      <x:c r="G4013" s="2" t="n">
        <x:v>16</x:v>
      </x:c>
      <x:c r="H4013" s="11" t="n">
        <x:v>2697.75</x:v>
      </x:c>
      <x:c r="I4013" s="2" t="n">
        <x:v>5</x:v>
      </x:c>
      <x:c r="J4013" s="2" t="n">
        <x:v>5</x:v>
      </x:c>
      <x:c r="K4013" s="2" t="n">
        <x:v>4</x:v>
      </x:c>
      <x:c r="L4013" s="2" t="str">
        <x:v>Champions</x:v>
      </x:c>
    </x:row>
    <x:row r="4014" ht="22" customHeight="1">
      <x:c r="A4014" s="2"/>
      <x:c r="B4014" s="2" t="str">
        <x:v>16360</x:v>
      </x:c>
      <x:c r="C4014" s="2" t="str">
        <x:v>United Kingdom</x:v>
      </x:c>
      <x:c r="D4014" s="25" t="n">
        <x:v>40798.368055555555</x:v>
      </x:c>
      <x:c r="E4014" s="25" t="n">
        <x:v>40882.302777777775</x:v>
      </x:c>
      <x:c r="F4014" s="2" t="n">
        <x:v>5</x:v>
      </x:c>
      <x:c r="G4014" s="2" t="n">
        <x:v>6</x:v>
      </x:c>
      <x:c r="H4014" s="11" t="n">
        <x:v>3512.53</x:v>
      </x:c>
      <x:c r="I4014" s="2" t="n">
        <x:v>5</x:v>
      </x:c>
      <x:c r="J4014" s="2" t="n">
        <x:v>4</x:v>
      </x:c>
      <x:c r="K4014" s="2" t="n">
        <x:v>5</x:v>
      </x:c>
      <x:c r="L4014" s="2" t="str">
        <x:v>Champions</x:v>
      </x:c>
    </x:row>
    <x:row r="4015" ht="22" customHeight="1">
      <x:c r="A4015" s="2"/>
      <x:c r="B4015" s="2" t="str">
        <x:v>16361</x:v>
      </x:c>
      <x:c r="C4015" s="2" t="str">
        <x:v>United Kingdom</x:v>
      </x:c>
      <x:c r="D4015" s="25" t="n">
        <x:v>40815.342361111114</x:v>
      </x:c>
      <x:c r="E4015" s="25" t="n">
        <x:v>40877.313888888886</x:v>
      </x:c>
      <x:c r="F4015" s="2" t="n">
        <x:v>10</x:v>
      </x:c>
      <x:c r="G4015" s="2" t="n">
        <x:v>4</x:v>
      </x:c>
      <x:c r="H4015" s="11" t="n">
        <x:v>896.66</x:v>
      </x:c>
      <x:c r="I4015" s="2" t="n">
        <x:v>5</x:v>
      </x:c>
      <x:c r="J4015" s="2" t="n">
        <x:v>3</x:v>
      </x:c>
      <x:c r="K4015" s="2" t="n">
        <x:v>3</x:v>
      </x:c>
      <x:c r="L4015" s="2" t="str">
        <x:v>Loyal</x:v>
      </x:c>
    </x:row>
    <x:row r="4016" ht="22" customHeight="1">
      <x:c r="A4016" s="2"/>
      <x:c r="B4016" s="2" t="str">
        <x:v>16362</x:v>
      </x:c>
      <x:c r="C4016" s="2" t="str">
        <x:v>United Kingdom</x:v>
      </x:c>
      <x:c r="D4016" s="25" t="n">
        <x:v>40449.183333333334</x:v>
      </x:c>
      <x:c r="E4016" s="25" t="n">
        <x:v>40854.334027777775</x:v>
      </x:c>
      <x:c r="F4016" s="2" t="n">
        <x:v>33</x:v>
      </x:c>
      <x:c r="G4016" s="2" t="n">
        <x:v>6</x:v>
      </x:c>
      <x:c r="H4016" s="11" t="n">
        <x:v>946.94</x:v>
      </x:c>
      <x:c r="I4016" s="2" t="n">
        <x:v>4</x:v>
      </x:c>
      <x:c r="J4016" s="2" t="n">
        <x:v>4</x:v>
      </x:c>
      <x:c r="K4016" s="2" t="n">
        <x:v>3</x:v>
      </x:c>
      <x:c r="L4016" s="2" t="str">
        <x:v>Loyal</x:v>
      </x:c>
    </x:row>
    <x:row r="4017" ht="22" customHeight="1">
      <x:c r="A4017" s="2"/>
      <x:c r="B4017" s="2" t="str">
        <x:v>16363</x:v>
      </x:c>
      <x:c r="C4017" s="2" t="str">
        <x:v>United Kingdom</x:v>
      </x:c>
      <x:c r="D4017" s="25" t="n">
        <x:v>40833.384722222225</x:v>
      </x:c>
      <x:c r="E4017" s="25" t="n">
        <x:v>40833.384722222225</x:v>
      </x:c>
      <x:c r="F4017" s="2" t="n">
        <x:v>54</x:v>
      </x:c>
      <x:c r="G4017" s="2" t="n">
        <x:v>1</x:v>
      </x:c>
      <x:c r="H4017" s="11" t="n">
        <x:v>109.36</x:v>
      </x:c>
      <x:c r="I4017" s="2" t="n">
        <x:v>4</x:v>
      </x:c>
      <x:c r="J4017" s="2" t="n">
        <x:v>1</x:v>
      </x:c>
      <x:c r="K4017" s="2" t="n">
        <x:v>1</x:v>
      </x:c>
      <x:c r="L4017" s="2" t="str">
        <x:v>Recent light buyers</x:v>
      </x:c>
    </x:row>
    <x:row r="4018" ht="22" customHeight="1">
      <x:c r="A4018" s="2"/>
      <x:c r="B4018" s="2" t="str">
        <x:v>16364</x:v>
      </x:c>
      <x:c r="C4018" s="2" t="str">
        <x:v>United Kingdom</x:v>
      </x:c>
      <x:c r="D4018" s="25" t="n">
        <x:v>40749.399305555555</x:v>
      </x:c>
      <x:c r="E4018" s="25" t="n">
        <x:v>40875.26875</x:v>
      </x:c>
      <x:c r="F4018" s="2" t="n">
        <x:v>12</x:v>
      </x:c>
      <x:c r="G4018" s="2" t="n">
        <x:v>2</x:v>
      </x:c>
      <x:c r="H4018" s="11" t="n">
        <x:v>707.04</x:v>
      </x:c>
      <x:c r="I4018" s="2" t="n">
        <x:v>5</x:v>
      </x:c>
      <x:c r="J4018" s="2" t="n">
        <x:v>2</x:v>
      </x:c>
      <x:c r="K4018" s="2" t="n">
        <x:v>3</x:v>
      </x:c>
      <x:c r="L4018" s="2" t="str">
        <x:v>Recent light buyers</x:v>
      </x:c>
    </x:row>
    <x:row r="4019" ht="22" customHeight="1">
      <x:c r="A4019" s="2"/>
      <x:c r="B4019" s="2" t="str">
        <x:v>16365</x:v>
      </x:c>
      <x:c r="C4019" s="2" t="str">
        <x:v>United Kingdom</x:v>
      </x:c>
      <x:c r="D4019" s="25" t="n">
        <x:v>40158.32013888889</x:v>
      </x:c>
      <x:c r="E4019" s="25" t="n">
        <x:v>40869.26666666667</x:v>
      </x:c>
      <x:c r="F4019" s="2" t="n">
        <x:v>18</x:v>
      </x:c>
      <x:c r="G4019" s="2" t="n">
        <x:v>15</x:v>
      </x:c>
      <x:c r="H4019" s="11" t="n">
        <x:v>3167.34</x:v>
      </x:c>
      <x:c r="I4019" s="2" t="n">
        <x:v>5</x:v>
      </x:c>
      <x:c r="J4019" s="2" t="n">
        <x:v>5</x:v>
      </x:c>
      <x:c r="K4019" s="2" t="n">
        <x:v>5</x:v>
      </x:c>
      <x:c r="L4019" s="2" t="str">
        <x:v>Champions</x:v>
      </x:c>
    </x:row>
    <x:row r="4020" ht="22" customHeight="1">
      <x:c r="A4020" s="2"/>
      <x:c r="B4020" s="2" t="str">
        <x:v>16366</x:v>
      </x:c>
      <x:c r="C4020" s="2" t="str">
        <x:v>United Kingdom</x:v>
      </x:c>
      <x:c r="D4020" s="25" t="n">
        <x:v>40163.23541666667</x:v>
      </x:c>
      <x:c r="E4020" s="25" t="n">
        <x:v>40868.138194444444</x:v>
      </x:c>
      <x:c r="F4020" s="2" t="n">
        <x:v>19</x:v>
      </x:c>
      <x:c r="G4020" s="2" t="n">
        <x:v>4</x:v>
      </x:c>
      <x:c r="H4020" s="11" t="n">
        <x:v>1548.13</x:v>
      </x:c>
      <x:c r="I4020" s="2" t="n">
        <x:v>5</x:v>
      </x:c>
      <x:c r="J4020" s="2" t="n">
        <x:v>3</x:v>
      </x:c>
      <x:c r="K4020" s="2" t="n">
        <x:v>4</x:v>
      </x:c>
      <x:c r="L4020" s="2" t="str">
        <x:v>Loyal</x:v>
      </x:c>
    </x:row>
    <x:row r="4021" ht="22" customHeight="1">
      <x:c r="A4021" s="2"/>
      <x:c r="B4021" s="2" t="str">
        <x:v>16367</x:v>
      </x:c>
      <x:c r="C4021" s="2" t="str">
        <x:v>United Kingdom</x:v>
      </x:c>
      <x:c r="D4021" s="25" t="n">
        <x:v>40503.34930555556</x:v>
      </x:c>
      <x:c r="E4021" s="25" t="n">
        <x:v>40849.342361111114</x:v>
      </x:c>
      <x:c r="F4021" s="2" t="n">
        <x:v>38</x:v>
      </x:c>
      <x:c r="G4021" s="2" t="n">
        <x:v>3</x:v>
      </x:c>
      <x:c r="H4021" s="11" t="n">
        <x:v>1362.4</x:v>
      </x:c>
      <x:c r="I4021" s="2" t="n">
        <x:v>4</x:v>
      </x:c>
      <x:c r="J4021" s="2" t="n">
        <x:v>3</x:v>
      </x:c>
      <x:c r="K4021" s="2" t="n">
        <x:v>4</x:v>
      </x:c>
      <x:c r="L4021" s="2" t="str">
        <x:v>Loyal</x:v>
      </x:c>
    </x:row>
    <x:row r="4022" ht="22" customHeight="1">
      <x:c r="A4022" s="2"/>
      <x:c r="B4022" s="2" t="str">
        <x:v>16368</x:v>
      </x:c>
      <x:c r="C4022" s="2" t="str">
        <x:v>United Kingdom</x:v>
      </x:c>
      <x:c r="D4022" s="25" t="n">
        <x:v>40451.270833333336</x:v>
      </x:c>
      <x:c r="E4022" s="25" t="n">
        <x:v>40884.34166666667</x:v>
      </x:c>
      <x:c r="F4022" s="2" t="n">
        <x:v>3</x:v>
      </x:c>
      <x:c r="G4022" s="2" t="n">
        <x:v>3</x:v>
      </x:c>
      <x:c r="H4022" s="11" t="n">
        <x:v>640.21</x:v>
      </x:c>
      <x:c r="I4022" s="2" t="n">
        <x:v>5</x:v>
      </x:c>
      <x:c r="J4022" s="2" t="n">
        <x:v>3</x:v>
      </x:c>
      <x:c r="K4022" s="2" t="n">
        <x:v>3</x:v>
      </x:c>
      <x:c r="L4022" s="2" t="str">
        <x:v>Loyal</x:v>
      </x:c>
    </x:row>
    <x:row r="4023" ht="22" customHeight="1">
      <x:c r="A4023" s="2"/>
      <x:c r="B4023" s="2" t="str">
        <x:v>16369</x:v>
      </x:c>
      <x:c r="C4023" s="2" t="str">
        <x:v>United Kingdom</x:v>
      </x:c>
      <x:c r="D4023" s="25" t="n">
        <x:v>40275.49444444444</x:v>
      </x:c>
      <x:c r="E4023" s="25" t="n">
        <x:v>40868.475694444445</x:v>
      </x:c>
      <x:c r="F4023" s="2" t="n">
        <x:v>19</x:v>
      </x:c>
      <x:c r="G4023" s="2" t="n">
        <x:v>7</x:v>
      </x:c>
      <x:c r="H4023" s="11" t="n">
        <x:v>2664.81</x:v>
      </x:c>
      <x:c r="I4023" s="2" t="n">
        <x:v>5</x:v>
      </x:c>
      <x:c r="J4023" s="2" t="n">
        <x:v>4</x:v>
      </x:c>
      <x:c r="K4023" s="2" t="n">
        <x:v>4</x:v>
      </x:c>
      <x:c r="L4023" s="2" t="str">
        <x:v>Champions</x:v>
      </x:c>
    </x:row>
    <x:row r="4024" ht="22" customHeight="1">
      <x:c r="A4024" s="2"/>
      <x:c r="B4024" s="2" t="str">
        <x:v>16370</x:v>
      </x:c>
      <x:c r="C4024" s="2" t="str">
        <x:v>United Kingdom</x:v>
      </x:c>
      <x:c r="D4024" s="25" t="n">
        <x:v>40661.48611111111</x:v>
      </x:c>
      <x:c r="E4024" s="25" t="n">
        <x:v>40804.45486111111</x:v>
      </x:c>
      <x:c r="F4024" s="2" t="n">
        <x:v>83</x:v>
      </x:c>
      <x:c r="G4024" s="2" t="n">
        <x:v>4</x:v>
      </x:c>
      <x:c r="H4024" s="11" t="n">
        <x:v>1320.56</x:v>
      </x:c>
      <x:c r="I4024" s="2" t="n">
        <x:v>3</x:v>
      </x:c>
      <x:c r="J4024" s="2" t="n">
        <x:v>3</x:v>
      </x:c>
      <x:c r="K4024" s="2" t="n">
        <x:v>4</x:v>
      </x:c>
      <x:c r="L4024" s="2" t="str">
        <x:v>Loyal</x:v>
      </x:c>
    </x:row>
    <x:row r="4025" ht="22" customHeight="1">
      <x:c r="A4025" s="2"/>
      <x:c r="B4025" s="2" t="str">
        <x:v>16371</x:v>
      </x:c>
      <x:c r="C4025" s="2" t="str">
        <x:v>United Kingdom</x:v>
      </x:c>
      <x:c r="D4025" s="25" t="n">
        <x:v>40438.29791666667</x:v>
      </x:c>
      <x:c r="E4025" s="25" t="n">
        <x:v>40438.29791666667</x:v>
      </x:c>
      <x:c r="F4025" s="2" t="n">
        <x:v>449</x:v>
      </x:c>
      <x:c r="G4025" s="2" t="n">
        <x:v>1</x:v>
      </x:c>
      <x:c r="H4025" s="11" t="n">
        <x:v>157.2</x:v>
      </x:c>
      <x:c r="I4025" s="2" t="n">
        <x:v>1</x:v>
      </x:c>
      <x:c r="J4025" s="2" t="n">
        <x:v>1</x:v>
      </x:c>
      <x:c r="K4025" s="2" t="n">
        <x:v>1</x:v>
      </x:c>
      <x:c r="L4025" s="2" t="str">
        <x:v>Hibernating</x:v>
      </x:c>
    </x:row>
    <x:row r="4026" ht="22" customHeight="1">
      <x:c r="A4026" s="2"/>
      <x:c r="B4026" s="2" t="str">
        <x:v>16372</x:v>
      </x:c>
      <x:c r="C4026" s="2" t="str">
        <x:v>United Kingdom</x:v>
      </x:c>
      <x:c r="D4026" s="25" t="n">
        <x:v>40279.430555555555</x:v>
      </x:c>
      <x:c r="E4026" s="25" t="n">
        <x:v>40853.33888888889</x:v>
      </x:c>
      <x:c r="F4026" s="2" t="n">
        <x:v>34</x:v>
      </x:c>
      <x:c r="G4026" s="2" t="n">
        <x:v>5</x:v>
      </x:c>
      <x:c r="H4026" s="11" t="n">
        <x:v>1328.61</x:v>
      </x:c>
      <x:c r="I4026" s="2" t="n">
        <x:v>4</x:v>
      </x:c>
      <x:c r="J4026" s="2" t="n">
        <x:v>4</x:v>
      </x:c>
      <x:c r="K4026" s="2" t="n">
        <x:v>4</x:v>
      </x:c>
      <x:c r="L4026" s="2" t="str">
        <x:v>Champions</x:v>
      </x:c>
    </x:row>
    <x:row r="4027" ht="22" customHeight="1">
      <x:c r="A4027" s="2"/>
      <x:c r="B4027" s="2" t="str">
        <x:v>16373</x:v>
      </x:c>
      <x:c r="C4027" s="2" t="str">
        <x:v>United Kingdom</x:v>
      </x:c>
      <x:c r="D4027" s="25" t="n">
        <x:v>40475.34027777778</x:v>
      </x:c>
      <x:c r="E4027" s="25" t="n">
        <x:v>40504.45138888889</x:v>
      </x:c>
      <x:c r="F4027" s="2" t="n">
        <x:v>383</x:v>
      </x:c>
      <x:c r="G4027" s="2" t="n">
        <x:v>2</x:v>
      </x:c>
      <x:c r="H4027" s="11" t="n">
        <x:v>309.49</x:v>
      </x:c>
      <x:c r="I4027" s="2" t="n">
        <x:v>2</x:v>
      </x:c>
      <x:c r="J4027" s="2" t="n">
        <x:v>2</x:v>
      </x:c>
      <x:c r="K4027" s="2" t="n">
        <x:v>2</x:v>
      </x:c>
      <x:c r="L4027" s="2" t="str">
        <x:v>Hibernating</x:v>
      </x:c>
    </x:row>
    <x:row r="4028" ht="22" customHeight="1">
      <x:c r="A4028" s="2"/>
      <x:c r="B4028" s="2" t="str">
        <x:v>16374</x:v>
      </x:c>
      <x:c r="C4028" s="2" t="str">
        <x:v>United Kingdom</x:v>
      </x:c>
      <x:c r="D4028" s="25" t="n">
        <x:v>40298.34027777778</x:v>
      </x:c>
      <x:c r="E4028" s="25" t="n">
        <x:v>40820.43125</x:v>
      </x:c>
      <x:c r="F4028" s="2" t="n">
        <x:v>67</x:v>
      </x:c>
      <x:c r="G4028" s="2" t="n">
        <x:v>5</x:v>
      </x:c>
      <x:c r="H4028" s="11" t="n">
        <x:v>1771.45</x:v>
      </x:c>
      <x:c r="I4028" s="2" t="n">
        <x:v>3</x:v>
      </x:c>
      <x:c r="J4028" s="2" t="n">
        <x:v>4</x:v>
      </x:c>
      <x:c r="K4028" s="2" t="n">
        <x:v>4</x:v>
      </x:c>
      <x:c r="L4028" s="2" t="str">
        <x:v>Loyal</x:v>
      </x:c>
    </x:row>
    <x:row r="4029" ht="22" customHeight="1">
      <x:c r="A4029" s="2"/>
      <x:c r="B4029" s="2" t="str">
        <x:v>16375</x:v>
      </x:c>
      <x:c r="C4029" s="2" t="str">
        <x:v>United Kingdom</x:v>
      </x:c>
      <x:c r="D4029" s="25" t="n">
        <x:v>40416.38333333333</x:v>
      </x:c>
      <x:c r="E4029" s="25" t="n">
        <x:v>40416.39236111111</x:v>
      </x:c>
      <x:c r="F4029" s="2" t="n">
        <x:v>471</x:v>
      </x:c>
      <x:c r="G4029" s="2" t="n">
        <x:v>2</x:v>
      </x:c>
      <x:c r="H4029" s="11" t="n">
        <x:v>104</x:v>
      </x:c>
      <x:c r="I4029" s="2" t="n">
        <x:v>1</x:v>
      </x:c>
      <x:c r="J4029" s="2" t="n">
        <x:v>2</x:v>
      </x:c>
      <x:c r="K4029" s="2" t="n">
        <x:v>1</x:v>
      </x:c>
      <x:c r="L4029" s="2" t="str">
        <x:v>Hibernating</x:v>
      </x:c>
    </x:row>
    <x:row r="4030" ht="22" customHeight="1">
      <x:c r="A4030" s="2"/>
      <x:c r="B4030" s="2" t="str">
        <x:v>16376</x:v>
      </x:c>
      <x:c r="C4030" s="2" t="str">
        <x:v>United Kingdom</x:v>
      </x:c>
      <x:c r="D4030" s="25" t="n">
        <x:v>40869.49097222222</x:v>
      </x:c>
      <x:c r="E4030" s="25" t="n">
        <x:v>40878.27638888889</x:v>
      </x:c>
      <x:c r="F4030" s="2" t="n">
        <x:v>9</x:v>
      </x:c>
      <x:c r="G4030" s="2" t="n">
        <x:v>2</x:v>
      </x:c>
      <x:c r="H4030" s="11" t="n">
        <x:v>987.01</x:v>
      </x:c>
      <x:c r="I4030" s="2" t="n">
        <x:v>5</x:v>
      </x:c>
      <x:c r="J4030" s="2" t="n">
        <x:v>2</x:v>
      </x:c>
      <x:c r="K4030" s="2" t="n">
        <x:v>3</x:v>
      </x:c>
      <x:c r="L4030" s="2" t="str">
        <x:v>Recent light buyers</x:v>
      </x:c>
    </x:row>
    <x:row r="4031" ht="22" customHeight="1">
      <x:c r="A4031" s="2"/>
      <x:c r="B4031" s="2" t="str">
        <x:v>16377</x:v>
      </x:c>
      <x:c r="C4031" s="2" t="str">
        <x:v>United Kingdom</x:v>
      </x:c>
      <x:c r="D4031" s="25" t="n">
        <x:v>40269.23333333333</x:v>
      </x:c>
      <x:c r="E4031" s="25" t="n">
        <x:v>40619.44513888889</x:v>
      </x:c>
      <x:c r="F4031" s="2" t="n">
        <x:v>268</x:v>
      </x:c>
      <x:c r="G4031" s="2" t="n">
        <x:v>2</x:v>
      </x:c>
      <x:c r="H4031" s="11" t="n">
        <x:v>1308.48</x:v>
      </x:c>
      <x:c r="I4031" s="2" t="n">
        <x:v>2</x:v>
      </x:c>
      <x:c r="J4031" s="2" t="n">
        <x:v>2</x:v>
      </x:c>
      <x:c r="K4031" s="2" t="n">
        <x:v>4</x:v>
      </x:c>
      <x:c r="L4031" s="2" t="str">
        <x:v>Hibernating</x:v>
      </x:c>
    </x:row>
    <x:row r="4032" ht="22" customHeight="1">
      <x:c r="A4032" s="2"/>
      <x:c r="B4032" s="2" t="str">
        <x:v>16378</x:v>
      </x:c>
      <x:c r="C4032" s="2" t="str">
        <x:v>United Kingdom</x:v>
      </x:c>
      <x:c r="D4032" s="25" t="n">
        <x:v>40576.32083333333</x:v>
      </x:c>
      <x:c r="E4032" s="25" t="n">
        <x:v>40639.42152777778</x:v>
      </x:c>
      <x:c r="F4032" s="2" t="n">
        <x:v>248</x:v>
      </x:c>
      <x:c r="G4032" s="2" t="n">
        <x:v>3</x:v>
      </x:c>
      <x:c r="H4032" s="11" t="n">
        <x:v>362.95</x:v>
      </x:c>
      <x:c r="I4032" s="2" t="n">
        <x:v>2</x:v>
      </x:c>
      <x:c r="J4032" s="2" t="n">
        <x:v>3</x:v>
      </x:c>
      <x:c r="K4032" s="2" t="n">
        <x:v>2</x:v>
      </x:c>
      <x:c r="L4032" s="2" t="str">
        <x:v>At risk</x:v>
      </x:c>
    </x:row>
    <x:row r="4033" ht="22" customHeight="1">
      <x:c r="A4033" s="2"/>
      <x:c r="B4033" s="2" t="str">
        <x:v>16379</x:v>
      </x:c>
      <x:c r="C4033" s="2" t="str">
        <x:v>United Kingdom</x:v>
      </x:c>
      <x:c r="D4033" s="25" t="n">
        <x:v>40808.18958333333</x:v>
      </x:c>
      <x:c r="E4033" s="25" t="n">
        <x:v>40882.44305555556</x:v>
      </x:c>
      <x:c r="F4033" s="2" t="n">
        <x:v>5</x:v>
      </x:c>
      <x:c r="G4033" s="2" t="n">
        <x:v>4</x:v>
      </x:c>
      <x:c r="H4033" s="11" t="n">
        <x:v>2157.4</x:v>
      </x:c>
      <x:c r="I4033" s="2" t="n">
        <x:v>5</x:v>
      </x:c>
      <x:c r="J4033" s="2" t="n">
        <x:v>3</x:v>
      </x:c>
      <x:c r="K4033" s="2" t="n">
        <x:v>4</x:v>
      </x:c>
      <x:c r="L4033" s="2" t="str">
        <x:v>Loyal</x:v>
      </x:c>
    </x:row>
    <x:row r="4034" ht="22" customHeight="1">
      <x:c r="A4034" s="2"/>
      <x:c r="B4034" s="2" t="str">
        <x:v>16380</x:v>
      </x:c>
      <x:c r="C4034" s="2" t="str">
        <x:v>United Kingdom</x:v>
      </x:c>
      <x:c r="D4034" s="25" t="n">
        <x:v>40825.444444444445</x:v>
      </x:c>
      <x:c r="E4034" s="25" t="n">
        <x:v>40825.444444444445</x:v>
      </x:c>
      <x:c r="F4034" s="2" t="n">
        <x:v>62</x:v>
      </x:c>
      <x:c r="G4034" s="2" t="n">
        <x:v>1</x:v>
      </x:c>
      <x:c r="H4034" s="11" t="n">
        <x:v>1780.59</x:v>
      </x:c>
      <x:c r="I4034" s="2" t="n">
        <x:v>3</x:v>
      </x:c>
      <x:c r="J4034" s="2" t="n">
        <x:v>1</x:v>
      </x:c>
      <x:c r="K4034" s="2" t="n">
        <x:v>4</x:v>
      </x:c>
      <x:c r="L4034" s="2" t="str">
        <x:v>Developing</x:v>
      </x:c>
    </x:row>
    <x:row r="4035" ht="22" customHeight="1">
      <x:c r="A4035" s="2"/>
      <x:c r="B4035" s="2" t="str">
        <x:v>16381</x:v>
      </x:c>
      <x:c r="C4035" s="2" t="str">
        <x:v>United Kingdom</x:v>
      </x:c>
      <x:c r="D4035" s="25" t="n">
        <x:v>40468.3375</x:v>
      </x:c>
      <x:c r="E4035" s="25" t="n">
        <x:v>40491.205555555556</x:v>
      </x:c>
      <x:c r="F4035" s="2" t="n">
        <x:v>396</x:v>
      </x:c>
      <x:c r="G4035" s="2" t="n">
        <x:v>2</x:v>
      </x:c>
      <x:c r="H4035" s="11" t="n">
        <x:v>258.7</x:v>
      </x:c>
      <x:c r="I4035" s="2" t="n">
        <x:v>2</x:v>
      </x:c>
      <x:c r="J4035" s="2" t="n">
        <x:v>2</x:v>
      </x:c>
      <x:c r="K4035" s="2" t="n">
        <x:v>1</x:v>
      </x:c>
      <x:c r="L4035" s="2" t="str">
        <x:v>Hibernating</x:v>
      </x:c>
    </x:row>
    <x:row r="4036" ht="22" customHeight="1">
      <x:c r="A4036" s="2"/>
      <x:c r="B4036" s="2" t="str">
        <x:v>16382</x:v>
      </x:c>
      <x:c r="C4036" s="2" t="str">
        <x:v>United Kingdom</x:v>
      </x:c>
      <x:c r="D4036" s="25" t="n">
        <x:v>40336.32083333333</x:v>
      </x:c>
      <x:c r="E4036" s="25" t="n">
        <x:v>40478.47430555556</x:v>
      </x:c>
      <x:c r="F4036" s="2" t="n">
        <x:v>409</x:v>
      </x:c>
      <x:c r="G4036" s="2" t="n">
        <x:v>2</x:v>
      </x:c>
      <x:c r="H4036" s="11" t="n">
        <x:v>353.1</x:v>
      </x:c>
      <x:c r="I4036" s="2" t="n">
        <x:v>2</x:v>
      </x:c>
      <x:c r="J4036" s="2" t="n">
        <x:v>2</x:v>
      </x:c>
      <x:c r="K4036" s="2" t="n">
        <x:v>2</x:v>
      </x:c>
      <x:c r="L4036" s="2" t="str">
        <x:v>Hibernating</x:v>
      </x:c>
    </x:row>
    <x:row r="4037" ht="22" customHeight="1">
      <x:c r="A4037" s="2"/>
      <x:c r="B4037" s="2" t="str">
        <x:v>16383</x:v>
      </x:c>
      <x:c r="C4037" s="2" t="str">
        <x:v>United Kingdom</x:v>
      </x:c>
      <x:c r="D4037" s="25" t="n">
        <x:v>40213.34583333333</x:v>
      </x:c>
      <x:c r="E4037" s="25" t="n">
        <x:v>40812.322916666664</x:v>
      </x:c>
      <x:c r="F4037" s="2" t="n">
        <x:v>75</x:v>
      </x:c>
      <x:c r="G4037" s="2" t="n">
        <x:v>7</x:v>
      </x:c>
      <x:c r="H4037" s="11" t="n">
        <x:v>2974.84</x:v>
      </x:c>
      <x:c r="I4037" s="2" t="n">
        <x:v>3</x:v>
      </x:c>
      <x:c r="J4037" s="2" t="n">
        <x:v>4</x:v>
      </x:c>
      <x:c r="K4037" s="2" t="n">
        <x:v>5</x:v>
      </x:c>
      <x:c r="L4037" s="2" t="str">
        <x:v>Loyal</x:v>
      </x:c>
    </x:row>
    <x:row r="4038" ht="22" customHeight="1">
      <x:c r="A4038" s="2"/>
      <x:c r="B4038" s="2" t="str">
        <x:v>16384</x:v>
      </x:c>
      <x:c r="C4038" s="2" t="str">
        <x:v>United Kingdom</x:v>
      </x:c>
      <x:c r="D4038" s="25" t="n">
        <x:v>40296.37569444445</x:v>
      </x:c>
      <x:c r="E4038" s="25" t="n">
        <x:v>40797.263194444444</x:v>
      </x:c>
      <x:c r="F4038" s="2" t="n">
        <x:v>90</x:v>
      </x:c>
      <x:c r="G4038" s="2" t="n">
        <x:v>4</x:v>
      </x:c>
      <x:c r="H4038" s="11" t="n">
        <x:v>1358.95</x:v>
      </x:c>
      <x:c r="I4038" s="2" t="n">
        <x:v>3</x:v>
      </x:c>
      <x:c r="J4038" s="2" t="n">
        <x:v>3</x:v>
      </x:c>
      <x:c r="K4038" s="2" t="n">
        <x:v>4</x:v>
      </x:c>
      <x:c r="L4038" s="2" t="str">
        <x:v>Loyal</x:v>
      </x:c>
    </x:row>
    <x:row r="4039" ht="22" customHeight="1">
      <x:c r="A4039" s="2"/>
      <x:c r="B4039" s="2" t="str">
        <x:v>16385</x:v>
      </x:c>
      <x:c r="C4039" s="2" t="str">
        <x:v>United Kingdom</x:v>
      </x:c>
      <x:c r="D4039" s="25" t="n">
        <x:v>40255.322916666664</x:v>
      </x:c>
      <x:c r="E4039" s="25" t="n">
        <x:v>40826.34166666667</x:v>
      </x:c>
      <x:c r="F4039" s="2" t="n">
        <x:v>61</x:v>
      </x:c>
      <x:c r="G4039" s="2" t="n">
        <x:v>5</x:v>
      </x:c>
      <x:c r="H4039" s="11" t="n">
        <x:v>882.38</x:v>
      </x:c>
      <x:c r="I4039" s="2" t="n">
        <x:v>3</x:v>
      </x:c>
      <x:c r="J4039" s="2" t="n">
        <x:v>4</x:v>
      </x:c>
      <x:c r="K4039" s="2" t="n">
        <x:v>3</x:v>
      </x:c>
      <x:c r="L4039" s="2" t="str">
        <x:v>Loyal</x:v>
      </x:c>
    </x:row>
    <x:row r="4040" ht="22" customHeight="1">
      <x:c r="A4040" s="2"/>
      <x:c r="B4040" s="2" t="str">
        <x:v>16386</x:v>
      </x:c>
      <x:c r="C4040" s="2" t="str">
        <x:v>United Kingdom</x:v>
      </x:c>
      <x:c r="D4040" s="25" t="n">
        <x:v>40499.263194444444</x:v>
      </x:c>
      <x:c r="E4040" s="25" t="n">
        <x:v>40858.311111111114</x:v>
      </x:c>
      <x:c r="F4040" s="2" t="n">
        <x:v>29</x:v>
      </x:c>
      <x:c r="G4040" s="2" t="n">
        <x:v>3</x:v>
      </x:c>
      <x:c r="H4040" s="11" t="n">
        <x:v>1102.59</x:v>
      </x:c>
      <x:c r="I4040" s="2" t="n">
        <x:v>4</x:v>
      </x:c>
      <x:c r="J4040" s="2" t="n">
        <x:v>3</x:v>
      </x:c>
      <x:c r="K4040" s="2" t="n">
        <x:v>3</x:v>
      </x:c>
      <x:c r="L4040" s="2" t="str">
        <x:v>Loyal</x:v>
      </x:c>
    </x:row>
    <x:row r="4041" ht="22" customHeight="1">
      <x:c r="A4041" s="2"/>
      <x:c r="B4041" s="2" t="str">
        <x:v>16387</x:v>
      </x:c>
      <x:c r="C4041" s="2" t="str">
        <x:v>United Kingdom</x:v>
      </x:c>
      <x:c r="D4041" s="25" t="n">
        <x:v>40248.30694444444</x:v>
      </x:c>
      <x:c r="E4041" s="25" t="n">
        <x:v>40564.27361111111</x:v>
      </x:c>
      <x:c r="F4041" s="2" t="n">
        <x:v>323</x:v>
      </x:c>
      <x:c r="G4041" s="2" t="n">
        <x:v>5</x:v>
      </x:c>
      <x:c r="H4041" s="11" t="n">
        <x:v>918.55</x:v>
      </x:c>
      <x:c r="I4041" s="2" t="n">
        <x:v>2</x:v>
      </x:c>
      <x:c r="J4041" s="2" t="n">
        <x:v>4</x:v>
      </x:c>
      <x:c r="K4041" s="2" t="n">
        <x:v>3</x:v>
      </x:c>
      <x:c r="L4041" s="2" t="str">
        <x:v>At risk</x:v>
      </x:c>
    </x:row>
    <x:row r="4042" ht="22" customHeight="1">
      <x:c r="A4042" s="2"/>
      <x:c r="B4042" s="2" t="str">
        <x:v>16388</x:v>
      </x:c>
      <x:c r="C4042" s="2" t="str">
        <x:v>United Kingdom</x:v>
      </x:c>
      <x:c r="D4042" s="25" t="n">
        <x:v>40233.22222222222</x:v>
      </x:c>
      <x:c r="E4042" s="25" t="n">
        <x:v>40233.22222222222</x:v>
      </x:c>
      <x:c r="F4042" s="2" t="n">
        <x:v>654</x:v>
      </x:c>
      <x:c r="G4042" s="2" t="n">
        <x:v>1</x:v>
      </x:c>
      <x:c r="H4042" s="11" t="n">
        <x:v>186.05</x:v>
      </x:c>
      <x:c r="I4042" s="2" t="n">
        <x:v>1</x:v>
      </x:c>
      <x:c r="J4042" s="2" t="n">
        <x:v>1</x:v>
      </x:c>
      <x:c r="K4042" s="2" t="n">
        <x:v>1</x:v>
      </x:c>
      <x:c r="L4042" s="2" t="str">
        <x:v>Hibernating</x:v>
      </x:c>
    </x:row>
    <x:row r="4043" ht="22" customHeight="1">
      <x:c r="A4043" s="2"/>
      <x:c r="B4043" s="2" t="str">
        <x:v>16389</x:v>
      </x:c>
      <x:c r="C4043" s="2" t="str">
        <x:v>United Kingdom</x:v>
      </x:c>
      <x:c r="D4043" s="25" t="n">
        <x:v>40603.44930555556</x:v>
      </x:c>
      <x:c r="E4043" s="25" t="n">
        <x:v>40833.40347222222</x:v>
      </x:c>
      <x:c r="F4043" s="2" t="n">
        <x:v>54</x:v>
      </x:c>
      <x:c r="G4043" s="2" t="n">
        <x:v>4</x:v>
      </x:c>
      <x:c r="H4043" s="11" t="n">
        <x:v>1382.07</x:v>
      </x:c>
      <x:c r="I4043" s="2" t="n">
        <x:v>4</x:v>
      </x:c>
      <x:c r="J4043" s="2" t="n">
        <x:v>3</x:v>
      </x:c>
      <x:c r="K4043" s="2" t="n">
        <x:v>4</x:v>
      </x:c>
      <x:c r="L4043" s="2" t="str">
        <x:v>Loyal</x:v>
      </x:c>
    </x:row>
    <x:row r="4044" ht="22" customHeight="1">
      <x:c r="A4044" s="2"/>
      <x:c r="B4044" s="2" t="str">
        <x:v>16390</x:v>
      </x:c>
      <x:c r="C4044" s="2" t="str">
        <x:v>United Kingdom</x:v>
      </x:c>
      <x:c r="D4044" s="25" t="n">
        <x:v>40207.43402777778</x:v>
      </x:c>
      <x:c r="E4044" s="25" t="n">
        <x:v>40350.21597222222</x:v>
      </x:c>
      <x:c r="F4044" s="2" t="n">
        <x:v>537</x:v>
      </x:c>
      <x:c r="G4044" s="2" t="n">
        <x:v>3</x:v>
      </x:c>
      <x:c r="H4044" s="11" t="n">
        <x:v>467.5</x:v>
      </x:c>
      <x:c r="I4044" s="2" t="n">
        <x:v>1</x:v>
      </x:c>
      <x:c r="J4044" s="2" t="n">
        <x:v>3</x:v>
      </x:c>
      <x:c r="K4044" s="2" t="n">
        <x:v>2</x:v>
      </x:c>
      <x:c r="L4044" s="2" t="str">
        <x:v>At risk</x:v>
      </x:c>
    </x:row>
    <x:row r="4045" ht="22" customHeight="1">
      <x:c r="A4045" s="2"/>
      <x:c r="B4045" s="2" t="str">
        <x:v>16391</x:v>
      </x:c>
      <x:c r="C4045" s="2" t="str">
        <x:v>United Kingdom</x:v>
      </x:c>
      <x:c r="D4045" s="25" t="n">
        <x:v>40325.26875</x:v>
      </x:c>
      <x:c r="E4045" s="25" t="n">
        <x:v>40486.31041666667</x:v>
      </x:c>
      <x:c r="F4045" s="2" t="n">
        <x:v>401</x:v>
      </x:c>
      <x:c r="G4045" s="2" t="n">
        <x:v>4</x:v>
      </x:c>
      <x:c r="H4045" s="11" t="n">
        <x:v>1103.61</x:v>
      </x:c>
      <x:c r="I4045" s="2" t="n">
        <x:v>2</x:v>
      </x:c>
      <x:c r="J4045" s="2" t="n">
        <x:v>3</x:v>
      </x:c>
      <x:c r="K4045" s="2" t="n">
        <x:v>3</x:v>
      </x:c>
      <x:c r="L4045" s="2" t="str">
        <x:v>At risk</x:v>
      </x:c>
    </x:row>
    <x:row r="4046" ht="22" customHeight="1">
      <x:c r="A4046" s="2"/>
      <x:c r="B4046" s="2" t="str">
        <x:v>16392</x:v>
      </x:c>
      <x:c r="C4046" s="2" t="str">
        <x:v>United Kingdom</x:v>
      </x:c>
      <x:c r="D4046" s="25" t="n">
        <x:v>40325.26180555556</x:v>
      </x:c>
      <x:c r="E4046" s="25" t="n">
        <x:v>40617.299305555556</x:v>
      </x:c>
      <x:c r="F4046" s="2" t="n">
        <x:v>270</x:v>
      </x:c>
      <x:c r="G4046" s="2" t="n">
        <x:v>3</x:v>
      </x:c>
      <x:c r="H4046" s="11" t="n">
        <x:v>763.05</x:v>
      </x:c>
      <x:c r="I4046" s="2" t="n">
        <x:v>2</x:v>
      </x:c>
      <x:c r="J4046" s="2" t="n">
        <x:v>3</x:v>
      </x:c>
      <x:c r="K4046" s="2" t="n">
        <x:v>3</x:v>
      </x:c>
      <x:c r="L4046" s="2" t="str">
        <x:v>At risk</x:v>
      </x:c>
    </x:row>
    <x:row r="4047" ht="22" customHeight="1">
      <x:c r="A4047" s="2"/>
      <x:c r="B4047" s="2" t="str">
        <x:v>16393</x:v>
      </x:c>
      <x:c r="C4047" s="2" t="str">
        <x:v>United Kingdom</x:v>
      </x:c>
      <x:c r="D4047" s="25" t="n">
        <x:v>40148.30069444444</x:v>
      </x:c>
      <x:c r="E4047" s="25" t="n">
        <x:v>40884.32708333333</x:v>
      </x:c>
      <x:c r="F4047" s="2" t="n">
        <x:v>3</x:v>
      </x:c>
      <x:c r="G4047" s="2" t="n">
        <x:v>23</x:v>
      </x:c>
      <x:c r="H4047" s="11" t="n">
        <x:v>5376.86</x:v>
      </x:c>
      <x:c r="I4047" s="2" t="n">
        <x:v>5</x:v>
      </x:c>
      <x:c r="J4047" s="2" t="n">
        <x:v>5</x:v>
      </x:c>
      <x:c r="K4047" s="2" t="n">
        <x:v>5</x:v>
      </x:c>
      <x:c r="L4047" s="2" t="str">
        <x:v>Champions</x:v>
      </x:c>
    </x:row>
    <x:row r="4048" ht="22" customHeight="1">
      <x:c r="A4048" s="2"/>
      <x:c r="B4048" s="2" t="str">
        <x:v>16394</x:v>
      </x:c>
      <x:c r="C4048" s="2" t="str">
        <x:v>United Kingdom</x:v>
      </x:c>
      <x:c r="D4048" s="25" t="n">
        <x:v>40597.248611111114</x:v>
      </x:c>
      <x:c r="E4048" s="25" t="n">
        <x:v>40830.2</x:v>
      </x:c>
      <x:c r="F4048" s="2" t="n">
        <x:v>57</x:v>
      </x:c>
      <x:c r="G4048" s="2" t="n">
        <x:v>5</x:v>
      </x:c>
      <x:c r="H4048" s="11" t="n">
        <x:v>1555.34</x:v>
      </x:c>
      <x:c r="I4048" s="2" t="n">
        <x:v>4</x:v>
      </x:c>
      <x:c r="J4048" s="2" t="n">
        <x:v>4</x:v>
      </x:c>
      <x:c r="K4048" s="2" t="n">
        <x:v>4</x:v>
      </x:c>
      <x:c r="L4048" s="2" t="str">
        <x:v>Champions</x:v>
      </x:c>
    </x:row>
    <x:row r="4049" ht="22" customHeight="1">
      <x:c r="A4049" s="2"/>
      <x:c r="B4049" s="2" t="str">
        <x:v>16395</x:v>
      </x:c>
      <x:c r="C4049" s="2" t="str">
        <x:v>United Kingdom</x:v>
      </x:c>
      <x:c r="D4049" s="25" t="n">
        <x:v>40153.30972222222</x:v>
      </x:c>
      <x:c r="E4049" s="25" t="n">
        <x:v>40826.32638888889</x:v>
      </x:c>
      <x:c r="F4049" s="2" t="n">
        <x:v>61</x:v>
      </x:c>
      <x:c r="G4049" s="2" t="n">
        <x:v>14</x:v>
      </x:c>
      <x:c r="H4049" s="11" t="n">
        <x:v>3537.85</x:v>
      </x:c>
      <x:c r="I4049" s="2" t="n">
        <x:v>3</x:v>
      </x:c>
      <x:c r="J4049" s="2" t="n">
        <x:v>5</x:v>
      </x:c>
      <x:c r="K4049" s="2" t="n">
        <x:v>5</x:v>
      </x:c>
      <x:c r="L4049" s="2" t="str">
        <x:v>Loyal</x:v>
      </x:c>
    </x:row>
    <x:row r="4050" ht="22" customHeight="1">
      <x:c r="A4050" s="2"/>
      <x:c r="B4050" s="2" t="str">
        <x:v>16396</x:v>
      </x:c>
      <x:c r="C4050" s="2" t="str">
        <x:v>United Kingdom</x:v>
      </x:c>
      <x:c r="D4050" s="25" t="n">
        <x:v>40410.38680555556</x:v>
      </x:c>
      <x:c r="E4050" s="25" t="n">
        <x:v>40410.38680555556</x:v>
      </x:c>
      <x:c r="F4050" s="2" t="n">
        <x:v>477</x:v>
      </x:c>
      <x:c r="G4050" s="2" t="n">
        <x:v>1</x:v>
      </x:c>
      <x:c r="H4050" s="11" t="n">
        <x:v>137.8</x:v>
      </x:c>
      <x:c r="I4050" s="2" t="n">
        <x:v>1</x:v>
      </x:c>
      <x:c r="J4050" s="2" t="n">
        <x:v>1</x:v>
      </x:c>
      <x:c r="K4050" s="2" t="n">
        <x:v>1</x:v>
      </x:c>
      <x:c r="L4050" s="2" t="str">
        <x:v>Hibernating</x:v>
      </x:c>
    </x:row>
    <x:row r="4051" ht="22" customHeight="1">
      <x:c r="A4051" s="2"/>
      <x:c r="B4051" s="2" t="str">
        <x:v>16397</x:v>
      </x:c>
      <x:c r="C4051" s="2" t="str">
        <x:v>United Kingdom</x:v>
      </x:c>
      <x:c r="D4051" s="25" t="n">
        <x:v>40258.441666666666</x:v>
      </x:c>
      <x:c r="E4051" s="25" t="n">
        <x:v>40258.441666666666</x:v>
      </x:c>
      <x:c r="F4051" s="2" t="n">
        <x:v>629</x:v>
      </x:c>
      <x:c r="G4051" s="2" t="n">
        <x:v>1</x:v>
      </x:c>
      <x:c r="H4051" s="11" t="n">
        <x:v>127.88</x:v>
      </x:c>
      <x:c r="I4051" s="2" t="n">
        <x:v>1</x:v>
      </x:c>
      <x:c r="J4051" s="2" t="n">
        <x:v>1</x:v>
      </x:c>
      <x:c r="K4051" s="2" t="n">
        <x:v>1</x:v>
      </x:c>
      <x:c r="L4051" s="2" t="str">
        <x:v>Hibernating</x:v>
      </x:c>
    </x:row>
    <x:row r="4052" ht="22" customHeight="1">
      <x:c r="A4052" s="2"/>
      <x:c r="B4052" s="2" t="str">
        <x:v>16398</x:v>
      </x:c>
      <x:c r="C4052" s="2" t="str">
        <x:v>United Kingdom</x:v>
      </x:c>
      <x:c r="D4052" s="25" t="n">
        <x:v>40633.19305555556</x:v>
      </x:c>
      <x:c r="E4052" s="25" t="n">
        <x:v>40732.427777777775</x:v>
      </x:c>
      <x:c r="F4052" s="2" t="n">
        <x:v>155</x:v>
      </x:c>
      <x:c r="G4052" s="2" t="n">
        <x:v>2</x:v>
      </x:c>
      <x:c r="H4052" s="11" t="n">
        <x:v>1705.8</x:v>
      </x:c>
      <x:c r="I4052" s="2" t="n">
        <x:v>3</x:v>
      </x:c>
      <x:c r="J4052" s="2" t="n">
        <x:v>2</x:v>
      </x:c>
      <x:c r="K4052" s="2" t="n">
        <x:v>4</x:v>
      </x:c>
      <x:c r="L4052" s="2" t="str">
        <x:v>Developing</x:v>
      </x:c>
    </x:row>
    <x:row r="4053" ht="22" customHeight="1">
      <x:c r="A4053" s="2"/>
      <x:c r="B4053" s="2" t="str">
        <x:v>16399</x:v>
      </x:c>
      <x:c r="C4053" s="2" t="str">
        <x:v>United Kingdom</x:v>
      </x:c>
      <x:c r="D4053" s="25" t="n">
        <x:v>40497.41875</x:v>
      </x:c>
      <x:c r="E4053" s="25" t="n">
        <x:v>40867.46666666667</x:v>
      </x:c>
      <x:c r="F4053" s="2" t="n">
        <x:v>20</x:v>
      </x:c>
      <x:c r="G4053" s="2" t="n">
        <x:v>3</x:v>
      </x:c>
      <x:c r="H4053" s="11" t="n">
        <x:v>641.82</x:v>
      </x:c>
      <x:c r="I4053" s="2" t="n">
        <x:v>5</x:v>
      </x:c>
      <x:c r="J4053" s="2" t="n">
        <x:v>3</x:v>
      </x:c>
      <x:c r="K4053" s="2" t="n">
        <x:v>3</x:v>
      </x:c>
      <x:c r="L4053" s="2" t="str">
        <x:v>Loyal</x:v>
      </x:c>
    </x:row>
    <x:row r="4054" ht="22" customHeight="1">
      <x:c r="A4054" s="2"/>
      <x:c r="B4054" s="2" t="str">
        <x:v>16400</x:v>
      </x:c>
      <x:c r="C4054" s="2" t="str">
        <x:v>United Kingdom</x:v>
      </x:c>
      <x:c r="D4054" s="25" t="n">
        <x:v>40155.31805555556</x:v>
      </x:c>
      <x:c r="E4054" s="25" t="n">
        <x:v>40792.31041666667</x:v>
      </x:c>
      <x:c r="F4054" s="2" t="n">
        <x:v>95</x:v>
      </x:c>
      <x:c r="G4054" s="2" t="n">
        <x:v>9</x:v>
      </x:c>
      <x:c r="H4054" s="11" t="n">
        <x:v>3159.44</x:v>
      </x:c>
      <x:c r="I4054" s="2" t="n">
        <x:v>3</x:v>
      </x:c>
      <x:c r="J4054" s="2" t="n">
        <x:v>5</x:v>
      </x:c>
      <x:c r="K4054" s="2" t="n">
        <x:v>5</x:v>
      </x:c>
      <x:c r="L4054" s="2" t="str">
        <x:v>Loyal</x:v>
      </x:c>
    </x:row>
    <x:row r="4055" ht="22" customHeight="1">
      <x:c r="A4055" s="2"/>
      <x:c r="B4055" s="2" t="str">
        <x:v>16401</x:v>
      </x:c>
      <x:c r="C4055" s="2" t="str">
        <x:v>United Kingdom</x:v>
      </x:c>
      <x:c r="D4055" s="25" t="n">
        <x:v>40331.342361111114</x:v>
      </x:c>
      <x:c r="E4055" s="25" t="n">
        <x:v>40885.552083333336</x:v>
      </x:c>
      <x:c r="F4055" s="2" t="n">
        <x:v>2</x:v>
      </x:c>
      <x:c r="G4055" s="2" t="n">
        <x:v>23</x:v>
      </x:c>
      <x:c r="H4055" s="11" t="n">
        <x:v>6849.15</x:v>
      </x:c>
      <x:c r="I4055" s="2" t="n">
        <x:v>5</x:v>
      </x:c>
      <x:c r="J4055" s="2" t="n">
        <x:v>5</x:v>
      </x:c>
      <x:c r="K4055" s="2" t="n">
        <x:v>5</x:v>
      </x:c>
      <x:c r="L4055" s="2" t="str">
        <x:v>Champions</x:v>
      </x:c>
    </x:row>
    <x:row r="4056" ht="22" customHeight="1">
      <x:c r="A4056" s="2"/>
      <x:c r="B4056" s="2" t="str">
        <x:v>16402</x:v>
      </x:c>
      <x:c r="C4056" s="2" t="str">
        <x:v>United Kingdom</x:v>
      </x:c>
      <x:c r="D4056" s="25" t="n">
        <x:v>40517.3625</x:v>
      </x:c>
      <x:c r="E4056" s="25" t="n">
        <x:v>40622.30902777778</x:v>
      </x:c>
      <x:c r="F4056" s="2" t="n">
        <x:v>265</x:v>
      </x:c>
      <x:c r="G4056" s="2" t="n">
        <x:v>2</x:v>
      </x:c>
      <x:c r="H4056" s="11" t="n">
        <x:v>299.6</x:v>
      </x:c>
      <x:c r="I4056" s="2" t="n">
        <x:v>2</x:v>
      </x:c>
      <x:c r="J4056" s="2" t="n">
        <x:v>2</x:v>
      </x:c>
      <x:c r="K4056" s="2" t="n">
        <x:v>2</x:v>
      </x:c>
      <x:c r="L4056" s="2" t="str">
        <x:v>Hibernating</x:v>
      </x:c>
    </x:row>
    <x:row r="4057" ht="22" customHeight="1">
      <x:c r="A4057" s="2"/>
      <x:c r="B4057" s="2" t="str">
        <x:v>16403</x:v>
      </x:c>
      <x:c r="C4057" s="2" t="str">
        <x:v>United Kingdom</x:v>
      </x:c>
      <x:c r="D4057" s="25" t="n">
        <x:v>40574.36041666667</x:v>
      </x:c>
      <x:c r="E4057" s="25" t="n">
        <x:v>40574.36041666667</x:v>
      </x:c>
      <x:c r="F4057" s="2" t="n">
        <x:v>313</x:v>
      </x:c>
      <x:c r="G4057" s="2" t="n">
        <x:v>1</x:v>
      </x:c>
      <x:c r="H4057" s="11" t="n">
        <x:v>177.5</x:v>
      </x:c>
      <x:c r="I4057" s="2" t="n">
        <x:v>2</x:v>
      </x:c>
      <x:c r="J4057" s="2" t="n">
        <x:v>1</x:v>
      </x:c>
      <x:c r="K4057" s="2" t="n">
        <x:v>1</x:v>
      </x:c>
      <x:c r="L4057" s="2" t="str">
        <x:v>Hibernating</x:v>
      </x:c>
    </x:row>
    <x:row r="4058" ht="22" customHeight="1">
      <x:c r="A4058" s="2"/>
      <x:c r="B4058" s="2" t="str">
        <x:v>16404</x:v>
      </x:c>
      <x:c r="C4058" s="2" t="str">
        <x:v>United Kingdom</x:v>
      </x:c>
      <x:c r="D4058" s="25" t="n">
        <x:v>40816.413194444445</x:v>
      </x:c>
      <x:c r="E4058" s="25" t="n">
        <x:v>40816.413194444445</x:v>
      </x:c>
      <x:c r="F4058" s="2" t="n">
        <x:v>71</x:v>
      </x:c>
      <x:c r="G4058" s="2" t="n">
        <x:v>1</x:v>
      </x:c>
      <x:c r="H4058" s="11" t="n">
        <x:v>443.05</x:v>
      </x:c>
      <x:c r="I4058" s="2" t="n">
        <x:v>3</x:v>
      </x:c>
      <x:c r="J4058" s="2" t="n">
        <x:v>1</x:v>
      </x:c>
      <x:c r="K4058" s="2" t="n">
        <x:v>2</x:v>
      </x:c>
      <x:c r="L4058" s="2" t="str">
        <x:v>Developing</x:v>
      </x:c>
    </x:row>
    <x:row r="4059" ht="22" customHeight="1">
      <x:c r="A4059" s="2"/>
      <x:c r="B4059" s="2" t="str">
        <x:v>16405</x:v>
      </x:c>
      <x:c r="C4059" s="2" t="str">
        <x:v>United Kingdom</x:v>
      </x:c>
      <x:c r="D4059" s="25" t="n">
        <x:v>40576.50555555556</x:v>
      </x:c>
      <x:c r="E4059" s="25" t="n">
        <x:v>40584.433333333334</x:v>
      </x:c>
      <x:c r="F4059" s="2" t="n">
        <x:v>303</x:v>
      </x:c>
      <x:c r="G4059" s="2" t="n">
        <x:v>2</x:v>
      </x:c>
      <x:c r="H4059" s="11" t="n">
        <x:v>167.25</x:v>
      </x:c>
      <x:c r="I4059" s="2" t="n">
        <x:v>2</x:v>
      </x:c>
      <x:c r="J4059" s="2" t="n">
        <x:v>2</x:v>
      </x:c>
      <x:c r="K4059" s="2" t="n">
        <x:v>1</x:v>
      </x:c>
      <x:c r="L4059" s="2" t="str">
        <x:v>Hibernating</x:v>
      </x:c>
    </x:row>
    <x:row r="4060" ht="22" customHeight="1">
      <x:c r="A4060" s="2"/>
      <x:c r="B4060" s="2" t="str">
        <x:v>16406</x:v>
      </x:c>
      <x:c r="C4060" s="2" t="str">
        <x:v>United Kingdom</x:v>
      </x:c>
      <x:c r="D4060" s="25" t="n">
        <x:v>40233.285416666666</x:v>
      </x:c>
      <x:c r="E4060" s="25" t="n">
        <x:v>40868.28958333333</x:v>
      </x:c>
      <x:c r="F4060" s="2" t="n">
        <x:v>19</x:v>
      </x:c>
      <x:c r="G4060" s="2" t="n">
        <x:v>3</x:v>
      </x:c>
      <x:c r="H4060" s="11" t="n">
        <x:v>552.68</x:v>
      </x:c>
      <x:c r="I4060" s="2" t="n">
        <x:v>5</x:v>
      </x:c>
      <x:c r="J4060" s="2" t="n">
        <x:v>3</x:v>
      </x:c>
      <x:c r="K4060" s="2" t="n">
        <x:v>2</x:v>
      </x:c>
      <x:c r="L4060" s="2" t="str">
        <x:v>Loyal</x:v>
      </x:c>
    </x:row>
    <x:row r="4061" ht="22" customHeight="1">
      <x:c r="A4061" s="2"/>
      <x:c r="B4061" s="2" t="str">
        <x:v>16407</x:v>
      </x:c>
      <x:c r="C4061" s="2" t="str">
        <x:v>United Kingdom</x:v>
      </x:c>
      <x:c r="D4061" s="25" t="n">
        <x:v>40454.37222222222</x:v>
      </x:c>
      <x:c r="E4061" s="25" t="n">
        <x:v>40874.25347222222</x:v>
      </x:c>
      <x:c r="F4061" s="2" t="n">
        <x:v>13</x:v>
      </x:c>
      <x:c r="G4061" s="2" t="n">
        <x:v>14</x:v>
      </x:c>
      <x:c r="H4061" s="11" t="n">
        <x:v>2821.65</x:v>
      </x:c>
      <x:c r="I4061" s="2" t="n">
        <x:v>5</x:v>
      </x:c>
      <x:c r="J4061" s="2" t="n">
        <x:v>5</x:v>
      </x:c>
      <x:c r="K4061" s="2" t="n">
        <x:v>4</x:v>
      </x:c>
      <x:c r="L4061" s="2" t="str">
        <x:v>Champions</x:v>
      </x:c>
    </x:row>
    <x:row r="4062" ht="22" customHeight="1">
      <x:c r="A4062" s="2"/>
      <x:c r="B4062" s="2" t="str">
        <x:v>16408</x:v>
      </x:c>
      <x:c r="C4062" s="2" t="str">
        <x:v>United Kingdom</x:v>
      </x:c>
      <x:c r="D4062" s="25" t="n">
        <x:v>40295.38055555556</x:v>
      </x:c>
      <x:c r="E4062" s="25" t="n">
        <x:v>40295.38055555556</x:v>
      </x:c>
      <x:c r="F4062" s="2" t="n">
        <x:v>592</x:v>
      </x:c>
      <x:c r="G4062" s="2" t="n">
        <x:v>1</x:v>
      </x:c>
      <x:c r="H4062" s="11" t="n">
        <x:v>231.93</x:v>
      </x:c>
      <x:c r="I4062" s="2" t="n">
        <x:v>1</x:v>
      </x:c>
      <x:c r="J4062" s="2" t="n">
        <x:v>1</x:v>
      </x:c>
      <x:c r="K4062" s="2" t="n">
        <x:v>1</x:v>
      </x:c>
      <x:c r="L4062" s="2" t="str">
        <x:v>Hibernating</x:v>
      </x:c>
    </x:row>
    <x:row r="4063" ht="22" customHeight="1">
      <x:c r="A4063" s="2"/>
      <x:c r="B4063" s="2" t="str">
        <x:v>16409</x:v>
      </x:c>
      <x:c r="C4063" s="2" t="str">
        <x:v>United Kingdom</x:v>
      </x:c>
      <x:c r="D4063" s="25" t="n">
        <x:v>40160.44305555556</x:v>
      </x:c>
      <x:c r="E4063" s="25" t="n">
        <x:v>40850.489583333336</x:v>
      </x:c>
      <x:c r="F4063" s="2" t="n">
        <x:v>37</x:v>
      </x:c>
      <x:c r="G4063" s="2" t="n">
        <x:v>12</x:v>
      </x:c>
      <x:c r="H4063" s="11" t="n">
        <x:v>5709.04</x:v>
      </x:c>
      <x:c r="I4063" s="2" t="n">
        <x:v>4</x:v>
      </x:c>
      <x:c r="J4063" s="2" t="n">
        <x:v>5</x:v>
      </x:c>
      <x:c r="K4063" s="2" t="n">
        <x:v>5</x:v>
      </x:c>
      <x:c r="L4063" s="2" t="str">
        <x:v>Champions</x:v>
      </x:c>
    </x:row>
    <x:row r="4064" ht="22" customHeight="1">
      <x:c r="A4064" s="2"/>
      <x:c r="B4064" s="2" t="str">
        <x:v>16410</x:v>
      </x:c>
      <x:c r="C4064" s="2" t="str">
        <x:v>United Kingdom</x:v>
      </x:c>
      <x:c r="D4064" s="25" t="n">
        <x:v>40152.410416666666</x:v>
      </x:c>
      <x:c r="E4064" s="25" t="n">
        <x:v>40152.410416666666</x:v>
      </x:c>
      <x:c r="F4064" s="2" t="n">
        <x:v>735</x:v>
      </x:c>
      <x:c r="G4064" s="2" t="n">
        <x:v>1</x:v>
      </x:c>
      <x:c r="H4064" s="11" t="n">
        <x:v>130.32</x:v>
      </x:c>
      <x:c r="I4064" s="2" t="n">
        <x:v>1</x:v>
      </x:c>
      <x:c r="J4064" s="2" t="n">
        <x:v>1</x:v>
      </x:c>
      <x:c r="K4064" s="2" t="n">
        <x:v>1</x:v>
      </x:c>
      <x:c r="L4064" s="2" t="str">
        <x:v>Hibernating</x:v>
      </x:c>
    </x:row>
    <x:row r="4065" ht="22" customHeight="1">
      <x:c r="A4065" s="2"/>
      <x:c r="B4065" s="2" t="str">
        <x:v>16411</x:v>
      </x:c>
      <x:c r="C4065" s="2" t="str">
        <x:v>United Kingdom</x:v>
      </x:c>
      <x:c r="D4065" s="25" t="n">
        <x:v>40458.42291666667</x:v>
      </x:c>
      <x:c r="E4065" s="25" t="n">
        <x:v>40867.34930555556</x:v>
      </x:c>
      <x:c r="F4065" s="2" t="n">
        <x:v>20</x:v>
      </x:c>
      <x:c r="G4065" s="2" t="n">
        <x:v>4</x:v>
      </x:c>
      <x:c r="H4065" s="11" t="n">
        <x:v>778.69</x:v>
      </x:c>
      <x:c r="I4065" s="2" t="n">
        <x:v>5</x:v>
      </x:c>
      <x:c r="J4065" s="2" t="n">
        <x:v>3</x:v>
      </x:c>
      <x:c r="K4065" s="2" t="n">
        <x:v>3</x:v>
      </x:c>
      <x:c r="L4065" s="2" t="str">
        <x:v>Loyal</x:v>
      </x:c>
    </x:row>
    <x:row r="4066" ht="22" customHeight="1">
      <x:c r="A4066" s="2"/>
      <x:c r="B4066" s="2" t="str">
        <x:v>16412</x:v>
      </x:c>
      <x:c r="C4066" s="2" t="str">
        <x:v>United Kingdom</x:v>
      </x:c>
      <x:c r="D4066" s="25" t="n">
        <x:v>40213.365277777775</x:v>
      </x:c>
      <x:c r="E4066" s="25" t="n">
        <x:v>40833.31597222222</x:v>
      </x:c>
      <x:c r="F4066" s="2" t="n">
        <x:v>54</x:v>
      </x:c>
      <x:c r="G4066" s="2" t="n">
        <x:v>5</x:v>
      </x:c>
      <x:c r="H4066" s="11" t="n">
        <x:v>647.23</x:v>
      </x:c>
      <x:c r="I4066" s="2" t="n">
        <x:v>4</x:v>
      </x:c>
      <x:c r="J4066" s="2" t="n">
        <x:v>4</x:v>
      </x:c>
      <x:c r="K4066" s="2" t="n">
        <x:v>3</x:v>
      </x:c>
      <x:c r="L4066" s="2" t="str">
        <x:v>Loyal</x:v>
      </x:c>
    </x:row>
    <x:row r="4067" ht="22" customHeight="1">
      <x:c r="A4067" s="2"/>
      <x:c r="B4067" s="2" t="str">
        <x:v>16413</x:v>
      </x:c>
      <x:c r="C4067" s="2" t="str">
        <x:v>United Kingdom</x:v>
      </x:c>
      <x:c r="D4067" s="25" t="n">
        <x:v>40511.325694444444</x:v>
      </x:c>
      <x:c r="E4067" s="25" t="n">
        <x:v>40830.29722222222</x:v>
      </x:c>
      <x:c r="F4067" s="2" t="n">
        <x:v>57</x:v>
      </x:c>
      <x:c r="G4067" s="2" t="n">
        <x:v>2</x:v>
      </x:c>
      <x:c r="H4067" s="11" t="n">
        <x:v>528.98</x:v>
      </x:c>
      <x:c r="I4067" s="2" t="n">
        <x:v>4</x:v>
      </x:c>
      <x:c r="J4067" s="2" t="n">
        <x:v>2</x:v>
      </x:c>
      <x:c r="K4067" s="2" t="n">
        <x:v>2</x:v>
      </x:c>
      <x:c r="L4067" s="2" t="str">
        <x:v>Recent light buyers</x:v>
      </x:c>
    </x:row>
    <x:row r="4068" ht="22" customHeight="1">
      <x:c r="A4068" s="2"/>
      <x:c r="B4068" s="2" t="str">
        <x:v>16414</x:v>
      </x:c>
      <x:c r="C4068" s="2" t="str">
        <x:v>United Kingdom</x:v>
      </x:c>
      <x:c r="D4068" s="25" t="n">
        <x:v>40192.222916666666</x:v>
      </x:c>
      <x:c r="E4068" s="25" t="n">
        <x:v>40865.19583333333</x:v>
      </x:c>
      <x:c r="F4068" s="2" t="n">
        <x:v>22</x:v>
      </x:c>
      <x:c r="G4068" s="2" t="n">
        <x:v>5</x:v>
      </x:c>
      <x:c r="H4068" s="11" t="n">
        <x:v>559.71</x:v>
      </x:c>
      <x:c r="I4068" s="2" t="n">
        <x:v>4</x:v>
      </x:c>
      <x:c r="J4068" s="2" t="n">
        <x:v>4</x:v>
      </x:c>
      <x:c r="K4068" s="2" t="n">
        <x:v>2</x:v>
      </x:c>
      <x:c r="L4068" s="2" t="str">
        <x:v>Loyal</x:v>
      </x:c>
    </x:row>
    <x:row r="4069" ht="22" customHeight="1">
      <x:c r="A4069" s="2"/>
      <x:c r="B4069" s="2" t="str">
        <x:v>16415</x:v>
      </x:c>
      <x:c r="C4069" s="2" t="str">
        <x:v>United Kingdom</x:v>
      </x:c>
      <x:c r="D4069" s="25" t="n">
        <x:v>40210.3125</x:v>
      </x:c>
      <x:c r="E4069" s="25" t="n">
        <x:v>40842.35763888889</x:v>
      </x:c>
      <x:c r="F4069" s="2" t="n">
        <x:v>45</x:v>
      </x:c>
      <x:c r="G4069" s="2" t="n">
        <x:v>3</x:v>
      </x:c>
      <x:c r="H4069" s="11" t="n">
        <x:v>719.44</x:v>
      </x:c>
      <x:c r="I4069" s="2" t="n">
        <x:v>4</x:v>
      </x:c>
      <x:c r="J4069" s="2" t="n">
        <x:v>3</x:v>
      </x:c>
      <x:c r="K4069" s="2" t="n">
        <x:v>3</x:v>
      </x:c>
      <x:c r="L4069" s="2" t="str">
        <x:v>Loyal</x:v>
      </x:c>
    </x:row>
    <x:row r="4070" ht="22" customHeight="1">
      <x:c r="A4070" s="2"/>
      <x:c r="B4070" s="2" t="str">
        <x:v>16416</x:v>
      </x:c>
      <x:c r="C4070" s="2" t="str">
        <x:v>United Kingdom</x:v>
      </x:c>
      <x:c r="D4070" s="25" t="n">
        <x:v>40232.291666666664</x:v>
      </x:c>
      <x:c r="E4070" s="25" t="n">
        <x:v>40860.32638888889</x:v>
      </x:c>
      <x:c r="F4070" s="2" t="n">
        <x:v>27</x:v>
      </x:c>
      <x:c r="G4070" s="2" t="n">
        <x:v>9</x:v>
      </x:c>
      <x:c r="H4070" s="11" t="n">
        <x:v>2972.88</x:v>
      </x:c>
      <x:c r="I4070" s="2" t="n">
        <x:v>4</x:v>
      </x:c>
      <x:c r="J4070" s="2" t="n">
        <x:v>5</x:v>
      </x:c>
      <x:c r="K4070" s="2" t="n">
        <x:v>5</x:v>
      </x:c>
      <x:c r="L4070" s="2" t="str">
        <x:v>Champions</x:v>
      </x:c>
    </x:row>
    <x:row r="4071" ht="22" customHeight="1">
      <x:c r="A4071" s="2"/>
      <x:c r="B4071" s="2" t="str">
        <x:v>16417</x:v>
      </x:c>
      <x:c r="C4071" s="2" t="str">
        <x:v>United Kingdom</x:v>
      </x:c>
      <x:c r="D4071" s="25" t="n">
        <x:v>40394.17222222222</x:v>
      </x:c>
      <x:c r="E4071" s="25" t="n">
        <x:v>40394.17222222222</x:v>
      </x:c>
      <x:c r="F4071" s="2" t="n">
        <x:v>493</x:v>
      </x:c>
      <x:c r="G4071" s="2" t="n">
        <x:v>1</x:v>
      </x:c>
      <x:c r="H4071" s="11" t="n">
        <x:v>35.7</x:v>
      </x:c>
      <x:c r="I4071" s="2" t="n">
        <x:v>1</x:v>
      </x:c>
      <x:c r="J4071" s="2" t="n">
        <x:v>1</x:v>
      </x:c>
      <x:c r="K4071" s="2" t="n">
        <x:v>1</x:v>
      </x:c>
      <x:c r="L4071" s="2" t="str">
        <x:v>Hibernating</x:v>
      </x:c>
    </x:row>
    <x:row r="4072" ht="22" customHeight="1">
      <x:c r="A4072" s="2"/>
      <x:c r="B4072" s="2" t="str">
        <x:v>16418</x:v>
      </x:c>
      <x:c r="C4072" s="2" t="str">
        <x:v>United Kingdom</x:v>
      </x:c>
      <x:c r="D4072" s="25" t="n">
        <x:v>40464.31319444445</x:v>
      </x:c>
      <x:c r="E4072" s="25" t="n">
        <x:v>40842.31875</x:v>
      </x:c>
      <x:c r="F4072" s="2" t="n">
        <x:v>45</x:v>
      </x:c>
      <x:c r="G4072" s="2" t="n">
        <x:v>5</x:v>
      </x:c>
      <x:c r="H4072" s="11" t="n">
        <x:v>1101.94</x:v>
      </x:c>
      <x:c r="I4072" s="2" t="n">
        <x:v>4</x:v>
      </x:c>
      <x:c r="J4072" s="2" t="n">
        <x:v>4</x:v>
      </x:c>
      <x:c r="K4072" s="2" t="n">
        <x:v>3</x:v>
      </x:c>
      <x:c r="L4072" s="2" t="str">
        <x:v>Loyal</x:v>
      </x:c>
    </x:row>
    <x:row r="4073" ht="22" customHeight="1">
      <x:c r="A4073" s="2"/>
      <x:c r="B4073" s="2" t="str">
        <x:v>16419</x:v>
      </x:c>
      <x:c r="C4073" s="2" t="str">
        <x:v>United Kingdom</x:v>
      </x:c>
      <x:c r="D4073" s="25" t="n">
        <x:v>40218.35138888889</x:v>
      </x:c>
      <x:c r="E4073" s="25" t="n">
        <x:v>40774.31458333333</x:v>
      </x:c>
      <x:c r="F4073" s="2" t="n">
        <x:v>113</x:v>
      </x:c>
      <x:c r="G4073" s="2" t="n">
        <x:v>8</x:v>
      </x:c>
      <x:c r="H4073" s="11" t="n">
        <x:v>1487.42</x:v>
      </x:c>
      <x:c r="I4073" s="2" t="n">
        <x:v>3</x:v>
      </x:c>
      <x:c r="J4073" s="2" t="n">
        <x:v>4</x:v>
      </x:c>
      <x:c r="K4073" s="2" t="n">
        <x:v>4</x:v>
      </x:c>
      <x:c r="L4073" s="2" t="str">
        <x:v>Loyal</x:v>
      </x:c>
    </x:row>
    <x:row r="4074" ht="22" customHeight="1">
      <x:c r="A4074" s="2"/>
      <x:c r="B4074" s="2" t="str">
        <x:v>16420</x:v>
      </x:c>
      <x:c r="C4074" s="2" t="str">
        <x:v>United Kingdom</x:v>
      </x:c>
      <x:c r="D4074" s="25" t="n">
        <x:v>40490.427083333336</x:v>
      </x:c>
      <x:c r="E4074" s="25" t="n">
        <x:v>40490.427083333336</x:v>
      </x:c>
      <x:c r="F4074" s="2" t="n">
        <x:v>397</x:v>
      </x:c>
      <x:c r="G4074" s="2" t="n">
        <x:v>1</x:v>
      </x:c>
      <x:c r="H4074" s="11" t="n">
        <x:v>75</x:v>
      </x:c>
      <x:c r="I4074" s="2" t="n">
        <x:v>2</x:v>
      </x:c>
      <x:c r="J4074" s="2" t="n">
        <x:v>1</x:v>
      </x:c>
      <x:c r="K4074" s="2" t="n">
        <x:v>1</x:v>
      </x:c>
      <x:c r="L4074" s="2" t="str">
        <x:v>Hibernating</x:v>
      </x:c>
    </x:row>
    <x:row r="4075" ht="22" customHeight="1">
      <x:c r="A4075" s="2"/>
      <x:c r="B4075" s="2" t="str">
        <x:v>16421</x:v>
      </x:c>
      <x:c r="C4075" s="2" t="str">
        <x:v>United Kingdom</x:v>
      </x:c>
      <x:c r="D4075" s="25" t="n">
        <x:v>40417.29305555556</x:v>
      </x:c>
      <x:c r="E4075" s="25" t="n">
        <x:v>40510.35486111111</x:v>
      </x:c>
      <x:c r="F4075" s="2" t="n">
        <x:v>377</x:v>
      </x:c>
      <x:c r="G4075" s="2" t="n">
        <x:v>3</x:v>
      </x:c>
      <x:c r="H4075" s="11" t="n">
        <x:v>526.27</x:v>
      </x:c>
      <x:c r="I4075" s="2" t="n">
        <x:v>2</x:v>
      </x:c>
      <x:c r="J4075" s="2" t="n">
        <x:v>3</x:v>
      </x:c>
      <x:c r="K4075" s="2" t="n">
        <x:v>2</x:v>
      </x:c>
      <x:c r="L4075" s="2" t="str">
        <x:v>At risk</x:v>
      </x:c>
    </x:row>
    <x:row r="4076" ht="22" customHeight="1">
      <x:c r="A4076" s="2"/>
      <x:c r="B4076" s="2" t="str">
        <x:v>16422</x:v>
      </x:c>
      <x:c r="C4076" s="2" t="str">
        <x:v>United Kingdom</x:v>
      </x:c>
      <x:c r="D4076" s="25" t="n">
        <x:v>40190.28958333333</x:v>
      </x:c>
      <x:c r="E4076" s="25" t="n">
        <x:v>40869.375</x:v>
      </x:c>
      <x:c r="F4076" s="2" t="n">
        <x:v>18</x:v>
      </x:c>
      <x:c r="G4076" s="2" t="n">
        <x:v>109</x:v>
      </x:c>
      <x:c r="H4076" s="11" t="n">
        <x:v>61983.27</x:v>
      </x:c>
      <x:c r="I4076" s="2" t="n">
        <x:v>5</x:v>
      </x:c>
      <x:c r="J4076" s="2" t="n">
        <x:v>5</x:v>
      </x:c>
      <x:c r="K4076" s="2" t="n">
        <x:v>5</x:v>
      </x:c>
      <x:c r="L4076" s="2" t="str">
        <x:v>Champions</x:v>
      </x:c>
    </x:row>
    <x:row r="4077" ht="22" customHeight="1">
      <x:c r="A4077" s="2"/>
      <x:c r="B4077" s="2" t="str">
        <x:v>16423</x:v>
      </x:c>
      <x:c r="C4077" s="2" t="str">
        <x:v>United Kingdom</x:v>
      </x:c>
      <x:c r="D4077" s="25" t="n">
        <x:v>40862.18125</x:v>
      </x:c>
      <x:c r="E4077" s="25" t="n">
        <x:v>40862.18125</x:v>
      </x:c>
      <x:c r="F4077" s="2" t="n">
        <x:v>25</x:v>
      </x:c>
      <x:c r="G4077" s="2" t="n">
        <x:v>1</x:v>
      </x:c>
      <x:c r="H4077" s="11" t="n">
        <x:v>346.12</x:v>
      </x:c>
      <x:c r="I4077" s="2" t="n">
        <x:v>4</x:v>
      </x:c>
      <x:c r="J4077" s="2" t="n">
        <x:v>1</x:v>
      </x:c>
      <x:c r="K4077" s="2" t="n">
        <x:v>2</x:v>
      </x:c>
      <x:c r="L4077" s="2" t="str">
        <x:v>Recent light buyers</x:v>
      </x:c>
    </x:row>
    <x:row r="4078" ht="22" customHeight="1">
      <x:c r="A4078" s="2"/>
      <x:c r="B4078" s="2" t="str">
        <x:v>16424</x:v>
      </x:c>
      <x:c r="C4078" s="2" t="str">
        <x:v>United Kingdom</x:v>
      </x:c>
      <x:c r="D4078" s="25" t="n">
        <x:v>40504.26666666667</x:v>
      </x:c>
      <x:c r="E4078" s="25" t="n">
        <x:v>40695.36111111111</x:v>
      </x:c>
      <x:c r="F4078" s="2" t="n">
        <x:v>192</x:v>
      </x:c>
      <x:c r="G4078" s="2" t="n">
        <x:v>2</x:v>
      </x:c>
      <x:c r="H4078" s="11" t="n">
        <x:v>443.06</x:v>
      </x:c>
      <x:c r="I4078" s="2" t="n">
        <x:v>2</x:v>
      </x:c>
      <x:c r="J4078" s="2" t="n">
        <x:v>2</x:v>
      </x:c>
      <x:c r="K4078" s="2" t="n">
        <x:v>2</x:v>
      </x:c>
      <x:c r="L4078" s="2" t="str">
        <x:v>Hibernating</x:v>
      </x:c>
    </x:row>
    <x:row r="4079" ht="22" customHeight="1">
      <x:c r="A4079" s="2"/>
      <x:c r="B4079" s="2" t="str">
        <x:v>16425</x:v>
      </x:c>
      <x:c r="C4079" s="2" t="str">
        <x:v>United Kingdom</x:v>
      </x:c>
      <x:c r="D4079" s="25" t="n">
        <x:v>40584.395833333336</x:v>
      </x:c>
      <x:c r="E4079" s="25" t="n">
        <x:v>40584.395833333336</x:v>
      </x:c>
      <x:c r="F4079" s="2" t="n">
        <x:v>303</x:v>
      </x:c>
      <x:c r="G4079" s="2" t="n">
        <x:v>1</x:v>
      </x:c>
      <x:c r="H4079" s="11" t="n">
        <x:v>302.7</x:v>
      </x:c>
      <x:c r="I4079" s="2" t="n">
        <x:v>2</x:v>
      </x:c>
      <x:c r="J4079" s="2" t="n">
        <x:v>1</x:v>
      </x:c>
      <x:c r="K4079" s="2" t="n">
        <x:v>2</x:v>
      </x:c>
      <x:c r="L4079" s="2" t="str">
        <x:v>Hibernating</x:v>
      </x:c>
    </x:row>
    <x:row r="4080" ht="22" customHeight="1">
      <x:c r="A4080" s="2"/>
      <x:c r="B4080" s="2" t="str">
        <x:v>16426</x:v>
      </x:c>
      <x:c r="C4080" s="2" t="str">
        <x:v>United Kingdom</x:v>
      </x:c>
      <x:c r="D4080" s="25" t="n">
        <x:v>40610.447916666664</x:v>
      </x:c>
      <x:c r="E4080" s="25" t="n">
        <x:v>40884.37569444445</x:v>
      </x:c>
      <x:c r="F4080" s="2" t="n">
        <x:v>3</x:v>
      </x:c>
      <x:c r="G4080" s="2" t="n">
        <x:v>10</x:v>
      </x:c>
      <x:c r="H4080" s="11" t="n">
        <x:v>1908.25</x:v>
      </x:c>
      <x:c r="I4080" s="2" t="n">
        <x:v>5</x:v>
      </x:c>
      <x:c r="J4080" s="2" t="n">
        <x:v>5</x:v>
      </x:c>
      <x:c r="K4080" s="2" t="n">
        <x:v>4</x:v>
      </x:c>
      <x:c r="L4080" s="2" t="str">
        <x:v>Champions</x:v>
      </x:c>
    </x:row>
    <x:row r="4081" ht="22" customHeight="1">
      <x:c r="A4081" s="2"/>
      <x:c r="B4081" s="2" t="str">
        <x:v>16427</x:v>
      </x:c>
      <x:c r="C4081" s="2" t="str">
        <x:v>United Kingdom</x:v>
      </x:c>
      <x:c r="D4081" s="25" t="n">
        <x:v>40602.42916666667</x:v>
      </x:c>
      <x:c r="E4081" s="25" t="n">
        <x:v>40623.506944444445</x:v>
      </x:c>
      <x:c r="F4081" s="2" t="n">
        <x:v>264</x:v>
      </x:c>
      <x:c r="G4081" s="2" t="n">
        <x:v>2</x:v>
      </x:c>
      <x:c r="H4081" s="11" t="n">
        <x:v>241.06</x:v>
      </x:c>
      <x:c r="I4081" s="2" t="n">
        <x:v>2</x:v>
      </x:c>
      <x:c r="J4081" s="2" t="n">
        <x:v>2</x:v>
      </x:c>
      <x:c r="K4081" s="2" t="n">
        <x:v>1</x:v>
      </x:c>
      <x:c r="L4081" s="2" t="str">
        <x:v>Hibernating</x:v>
      </x:c>
    </x:row>
    <x:row r="4082" ht="22" customHeight="1">
      <x:c r="A4082" s="2"/>
      <x:c r="B4082" s="2" t="str">
        <x:v>16428</x:v>
      </x:c>
      <x:c r="C4082" s="2" t="str">
        <x:v>United Kingdom</x:v>
      </x:c>
      <x:c r="D4082" s="25" t="n">
        <x:v>40389.29861111111</x:v>
      </x:c>
      <x:c r="E4082" s="25" t="n">
        <x:v>40473.30694444444</x:v>
      </x:c>
      <x:c r="F4082" s="2" t="n">
        <x:v>414</x:v>
      </x:c>
      <x:c r="G4082" s="2" t="n">
        <x:v>3</x:v>
      </x:c>
      <x:c r="H4082" s="11" t="n">
        <x:v>660.28</x:v>
      </x:c>
      <x:c r="I4082" s="2" t="n">
        <x:v>1</x:v>
      </x:c>
      <x:c r="J4082" s="2" t="n">
        <x:v>3</x:v>
      </x:c>
      <x:c r="K4082" s="2" t="n">
        <x:v>3</x:v>
      </x:c>
      <x:c r="L4082" s="2" t="str">
        <x:v>At risk</x:v>
      </x:c>
    </x:row>
    <x:row r="4083" ht="22" customHeight="1">
      <x:c r="A4083" s="2"/>
      <x:c r="B4083" s="2" t="str">
        <x:v>16429</x:v>
      </x:c>
      <x:c r="C4083" s="2" t="str">
        <x:v>United Kingdom</x:v>
      </x:c>
      <x:c r="D4083" s="25" t="n">
        <x:v>40780.370833333334</x:v>
      </x:c>
      <x:c r="E4083" s="25" t="n">
        <x:v>40780.370833333334</x:v>
      </x:c>
      <x:c r="F4083" s="2" t="n">
        <x:v>107</x:v>
      </x:c>
      <x:c r="G4083" s="2" t="n">
        <x:v>1</x:v>
      </x:c>
      <x:c r="H4083" s="11" t="n">
        <x:v>284.55</x:v>
      </x:c>
      <x:c r="I4083" s="2" t="n">
        <x:v>3</x:v>
      </x:c>
      <x:c r="J4083" s="2" t="n">
        <x:v>1</x:v>
      </x:c>
      <x:c r="K4083" s="2" t="n">
        <x:v>1</x:v>
      </x:c>
      <x:c r="L4083" s="2" t="str">
        <x:v>Developing</x:v>
      </x:c>
    </x:row>
    <x:row r="4084" ht="22" customHeight="1">
      <x:c r="A4084" s="2"/>
      <x:c r="B4084" s="2" t="str">
        <x:v>16430</x:v>
      </x:c>
      <x:c r="C4084" s="2" t="str">
        <x:v>United Kingdom</x:v>
      </x:c>
      <x:c r="D4084" s="25" t="n">
        <x:v>40205.322916666664</x:v>
      </x:c>
      <x:c r="E4084" s="25" t="n">
        <x:v>40829.407638888886</x:v>
      </x:c>
      <x:c r="F4084" s="2" t="n">
        <x:v>58</x:v>
      </x:c>
      <x:c r="G4084" s="2" t="n">
        <x:v>7</x:v>
      </x:c>
      <x:c r="H4084" s="11" t="n">
        <x:v>1117.94</x:v>
      </x:c>
      <x:c r="I4084" s="2" t="n">
        <x:v>4</x:v>
      </x:c>
      <x:c r="J4084" s="2" t="n">
        <x:v>4</x:v>
      </x:c>
      <x:c r="K4084" s="2" t="n">
        <x:v>3</x:v>
      </x:c>
      <x:c r="L4084" s="2" t="str">
        <x:v>Loyal</x:v>
      </x:c>
    </x:row>
    <x:row r="4085" ht="22" customHeight="1">
      <x:c r="A4085" s="2"/>
      <x:c r="B4085" s="2" t="str">
        <x:v>16431</x:v>
      </x:c>
      <x:c r="C4085" s="2" t="str">
        <x:v>United Kingdom</x:v>
      </x:c>
      <x:c r="D4085" s="25" t="n">
        <x:v>40589.376388888886</x:v>
      </x:c>
      <x:c r="E4085" s="25" t="n">
        <x:v>40673.38125</x:v>
      </x:c>
      <x:c r="F4085" s="2" t="n">
        <x:v>214</x:v>
      </x:c>
      <x:c r="G4085" s="2" t="n">
        <x:v>3</x:v>
      </x:c>
      <x:c r="H4085" s="11" t="n">
        <x:v>642.81</x:v>
      </x:c>
      <x:c r="I4085" s="2" t="n">
        <x:v>2</x:v>
      </x:c>
      <x:c r="J4085" s="2" t="n">
        <x:v>3</x:v>
      </x:c>
      <x:c r="K4085" s="2" t="n">
        <x:v>3</x:v>
      </x:c>
      <x:c r="L4085" s="2" t="str">
        <x:v>At risk</x:v>
      </x:c>
    </x:row>
    <x:row r="4086" ht="22" customHeight="1">
      <x:c r="A4086" s="2"/>
      <x:c r="B4086" s="2" t="str">
        <x:v>16432</x:v>
      </x:c>
      <x:c r="C4086" s="2" t="str">
        <x:v>United Kingdom</x:v>
      </x:c>
      <x:c r="D4086" s="25" t="n">
        <x:v>40822.37430555555</x:v>
      </x:c>
      <x:c r="E4086" s="25" t="n">
        <x:v>40822.37430555555</x:v>
      </x:c>
      <x:c r="F4086" s="2" t="n">
        <x:v>65</x:v>
      </x:c>
      <x:c r="G4086" s="2" t="n">
        <x:v>1</x:v>
      </x:c>
      <x:c r="H4086" s="11" t="n">
        <x:v>287.4</x:v>
      </x:c>
      <x:c r="I4086" s="2" t="n">
        <x:v>3</x:v>
      </x:c>
      <x:c r="J4086" s="2" t="n">
        <x:v>1</x:v>
      </x:c>
      <x:c r="K4086" s="2" t="n">
        <x:v>2</x:v>
      </x:c>
      <x:c r="L4086" s="2" t="str">
        <x:v>Developing</x:v>
      </x:c>
    </x:row>
    <x:row r="4087" ht="22" customHeight="1">
      <x:c r="A4087" s="2"/>
      <x:c r="B4087" s="2" t="str">
        <x:v>16433</x:v>
      </x:c>
      <x:c r="C4087" s="2" t="str">
        <x:v>United Kingdom</x:v>
      </x:c>
      <x:c r="D4087" s="25" t="n">
        <x:v>40478.30972222222</x:v>
      </x:c>
      <x:c r="E4087" s="25" t="n">
        <x:v>40858.38125</x:v>
      </x:c>
      <x:c r="F4087" s="2" t="n">
        <x:v>29</x:v>
      </x:c>
      <x:c r="G4087" s="2" t="n">
        <x:v>2</x:v>
      </x:c>
      <x:c r="H4087" s="11" t="n">
        <x:v>384.52</x:v>
      </x:c>
      <x:c r="I4087" s="2" t="n">
        <x:v>4</x:v>
      </x:c>
      <x:c r="J4087" s="2" t="n">
        <x:v>2</x:v>
      </x:c>
      <x:c r="K4087" s="2" t="n">
        <x:v>2</x:v>
      </x:c>
      <x:c r="L4087" s="2" t="str">
        <x:v>Recent light buyers</x:v>
      </x:c>
    </x:row>
    <x:row r="4088" ht="22" customHeight="1">
      <x:c r="A4088" s="2"/>
      <x:c r="B4088" s="2" t="str">
        <x:v>16434</x:v>
      </x:c>
      <x:c r="C4088" s="2" t="str">
        <x:v>United Kingdom</x:v>
      </x:c>
      <x:c r="D4088" s="25" t="n">
        <x:v>40195.410416666666</x:v>
      </x:c>
      <x:c r="E4088" s="25" t="n">
        <x:v>40857.39444444444</x:v>
      </x:c>
      <x:c r="F4088" s="2" t="n">
        <x:v>30</x:v>
      </x:c>
      <x:c r="G4088" s="2" t="n">
        <x:v>12</x:v>
      </x:c>
      <x:c r="H4088" s="11" t="n">
        <x:v>2741.74</x:v>
      </x:c>
      <x:c r="I4088" s="2" t="n">
        <x:v>4</x:v>
      </x:c>
      <x:c r="J4088" s="2" t="n">
        <x:v>5</x:v>
      </x:c>
      <x:c r="K4088" s="2" t="n">
        <x:v>4</x:v>
      </x:c>
      <x:c r="L4088" s="2" t="str">
        <x:v>Champions</x:v>
      </x:c>
    </x:row>
    <x:row r="4089" ht="22" customHeight="1">
      <x:c r="A4089" s="2"/>
      <x:c r="B4089" s="2" t="str">
        <x:v>16435</x:v>
      </x:c>
      <x:c r="C4089" s="2" t="str">
        <x:v>United Kingdom</x:v>
      </x:c>
      <x:c r="D4089" s="25" t="n">
        <x:v>40372.353472222225</x:v>
      </x:c>
      <x:c r="E4089" s="25" t="n">
        <x:v>40374.55694444444</x:v>
      </x:c>
      <x:c r="F4089" s="2" t="n">
        <x:v>513</x:v>
      </x:c>
      <x:c r="G4089" s="2" t="n">
        <x:v>3</x:v>
      </x:c>
      <x:c r="H4089" s="11" t="n">
        <x:v>1011.57</x:v>
      </x:c>
      <x:c r="I4089" s="2" t="n">
        <x:v>1</x:v>
      </x:c>
      <x:c r="J4089" s="2" t="n">
        <x:v>3</x:v>
      </x:c>
      <x:c r="K4089" s="2" t="n">
        <x:v>3</x:v>
      </x:c>
      <x:c r="L4089" s="2" t="str">
        <x:v>At risk</x:v>
      </x:c>
    </x:row>
    <x:row r="4090" ht="22" customHeight="1">
      <x:c r="A4090" s="2"/>
      <x:c r="B4090" s="2" t="str">
        <x:v>16436</x:v>
      </x:c>
      <x:c r="C4090" s="2" t="str">
        <x:v>United Kingdom</x:v>
      </x:c>
      <x:c r="D4090" s="25" t="n">
        <x:v>40153.45972222222</x:v>
      </x:c>
      <x:c r="E4090" s="25" t="n">
        <x:v>40218.34652777778</x:v>
      </x:c>
      <x:c r="F4090" s="2" t="n">
        <x:v>669</x:v>
      </x:c>
      <x:c r="G4090" s="2" t="n">
        <x:v>3</x:v>
      </x:c>
      <x:c r="H4090" s="11" t="n">
        <x:v>329.34</x:v>
      </x:c>
      <x:c r="I4090" s="2" t="n">
        <x:v>1</x:v>
      </x:c>
      <x:c r="J4090" s="2" t="n">
        <x:v>3</x:v>
      </x:c>
      <x:c r="K4090" s="2" t="n">
        <x:v>2</x:v>
      </x:c>
      <x:c r="L4090" s="2" t="str">
        <x:v>At risk</x:v>
      </x:c>
    </x:row>
    <x:row r="4091" ht="22" customHeight="1">
      <x:c r="A4091" s="2"/>
      <x:c r="B4091" s="2" t="str">
        <x:v>16437</x:v>
      </x:c>
      <x:c r="C4091" s="2" t="str">
        <x:v>United Kingdom</x:v>
      </x:c>
      <x:c r="D4091" s="25" t="n">
        <x:v>40457.31527777778</x:v>
      </x:c>
      <x:c r="E4091" s="25" t="n">
        <x:v>40505.49930555555</x:v>
      </x:c>
      <x:c r="F4091" s="2" t="n">
        <x:v>382</x:v>
      </x:c>
      <x:c r="G4091" s="2" t="n">
        <x:v>2</x:v>
      </x:c>
      <x:c r="H4091" s="11" t="n">
        <x:v>301.25</x:v>
      </x:c>
      <x:c r="I4091" s="2" t="n">
        <x:v>2</x:v>
      </x:c>
      <x:c r="J4091" s="2" t="n">
        <x:v>2</x:v>
      </x:c>
      <x:c r="K4091" s="2" t="n">
        <x:v>2</x:v>
      </x:c>
      <x:c r="L4091" s="2" t="str">
        <x:v>Hibernating</x:v>
      </x:c>
    </x:row>
    <x:row r="4092" ht="22" customHeight="1">
      <x:c r="A4092" s="2"/>
      <x:c r="B4092" s="2" t="str">
        <x:v>16438</x:v>
      </x:c>
      <x:c r="C4092" s="2" t="str">
        <x:v>United Kingdom</x:v>
      </x:c>
      <x:c r="D4092" s="25" t="n">
        <x:v>40804.35486111111</x:v>
      </x:c>
      <x:c r="E4092" s="25" t="n">
        <x:v>40881.24375</x:v>
      </x:c>
      <x:c r="F4092" s="2" t="n">
        <x:v>6</x:v>
      </x:c>
      <x:c r="G4092" s="2" t="n">
        <x:v>5</x:v>
      </x:c>
      <x:c r="H4092" s="11" t="n">
        <x:v>798.35</x:v>
      </x:c>
      <x:c r="I4092" s="2" t="n">
        <x:v>5</x:v>
      </x:c>
      <x:c r="J4092" s="2" t="n">
        <x:v>4</x:v>
      </x:c>
      <x:c r="K4092" s="2" t="n">
        <x:v>3</x:v>
      </x:c>
      <x:c r="L4092" s="2" t="str">
        <x:v>Loyal</x:v>
      </x:c>
    </x:row>
    <x:row r="4093" ht="22" customHeight="1">
      <x:c r="A4093" s="2"/>
      <x:c r="B4093" s="2" t="str">
        <x:v>16439</x:v>
      </x:c>
      <x:c r="C4093" s="2" t="str">
        <x:v>United Kingdom</x:v>
      </x:c>
      <x:c r="D4093" s="25" t="n">
        <x:v>40164.39027777778</x:v>
      </x:c>
      <x:c r="E4093" s="25" t="n">
        <x:v>40164.39027777778</x:v>
      </x:c>
      <x:c r="F4093" s="2" t="n">
        <x:v>723</x:v>
      </x:c>
      <x:c r="G4093" s="2" t="n">
        <x:v>1</x:v>
      </x:c>
      <x:c r="H4093" s="11" t="n">
        <x:v>310.7</x:v>
      </x:c>
      <x:c r="I4093" s="2" t="n">
        <x:v>1</x:v>
      </x:c>
      <x:c r="J4093" s="2" t="n">
        <x:v>1</x:v>
      </x:c>
      <x:c r="K4093" s="2" t="n">
        <x:v>2</x:v>
      </x:c>
      <x:c r="L4093" s="2" t="str">
        <x:v>Hibernating</x:v>
      </x:c>
    </x:row>
    <x:row r="4094" ht="22" customHeight="1">
      <x:c r="A4094" s="2"/>
      <x:c r="B4094" s="2" t="str">
        <x:v>16440</x:v>
      </x:c>
      <x:c r="C4094" s="2" t="str">
        <x:v>United Kingdom</x:v>
      </x:c>
      <x:c r="D4094" s="25" t="n">
        <x:v>40393.27222222222</x:v>
      </x:c>
      <x:c r="E4094" s="25" t="n">
        <x:v>40879.29305555556</x:v>
      </x:c>
      <x:c r="F4094" s="2" t="n">
        <x:v>8</x:v>
      </x:c>
      <x:c r="G4094" s="2" t="n">
        <x:v>6</x:v>
      </x:c>
      <x:c r="H4094" s="11" t="n">
        <x:v>3856.97</x:v>
      </x:c>
      <x:c r="I4094" s="2" t="n">
        <x:v>5</x:v>
      </x:c>
      <x:c r="J4094" s="2" t="n">
        <x:v>4</x:v>
      </x:c>
      <x:c r="K4094" s="2" t="n">
        <x:v>5</x:v>
      </x:c>
      <x:c r="L4094" s="2" t="str">
        <x:v>Champions</x:v>
      </x:c>
    </x:row>
    <x:row r="4095" ht="22" customHeight="1">
      <x:c r="A4095" s="2"/>
      <x:c r="B4095" s="2" t="str">
        <x:v>16441</x:v>
      </x:c>
      <x:c r="C4095" s="2" t="str">
        <x:v>United Kingdom</x:v>
      </x:c>
      <x:c r="D4095" s="25" t="n">
        <x:v>40259.541666666664</x:v>
      </x:c>
      <x:c r="E4095" s="25" t="n">
        <x:v>40819.53333333333</x:v>
      </x:c>
      <x:c r="F4095" s="2" t="n">
        <x:v>68</x:v>
      </x:c>
      <x:c r="G4095" s="2" t="n">
        <x:v>5</x:v>
      </x:c>
      <x:c r="H4095" s="11" t="n">
        <x:v>1034.43</x:v>
      </x:c>
      <x:c r="I4095" s="2" t="n">
        <x:v>3</x:v>
      </x:c>
      <x:c r="J4095" s="2" t="n">
        <x:v>4</x:v>
      </x:c>
      <x:c r="K4095" s="2" t="n">
        <x:v>3</x:v>
      </x:c>
      <x:c r="L4095" s="2" t="str">
        <x:v>Loyal</x:v>
      </x:c>
    </x:row>
    <x:row r="4096" ht="22" customHeight="1">
      <x:c r="A4096" s="2"/>
      <x:c r="B4096" s="2" t="str">
        <x:v>16442</x:v>
      </x:c>
      <x:c r="C4096" s="2" t="str">
        <x:v>United Kingdom</x:v>
      </x:c>
      <x:c r="D4096" s="25" t="n">
        <x:v>40160.25347222222</x:v>
      </x:c>
      <x:c r="E4096" s="25" t="n">
        <x:v>40885.279861111114</x:v>
      </x:c>
      <x:c r="F4096" s="2" t="n">
        <x:v>2</x:v>
      </x:c>
      <x:c r="G4096" s="2" t="n">
        <x:v>5</x:v>
      </x:c>
      <x:c r="H4096" s="11" t="n">
        <x:v>899.47</x:v>
      </x:c>
      <x:c r="I4096" s="2" t="n">
        <x:v>5</x:v>
      </x:c>
      <x:c r="J4096" s="2" t="n">
        <x:v>4</x:v>
      </x:c>
      <x:c r="K4096" s="2" t="n">
        <x:v>3</x:v>
      </x:c>
      <x:c r="L4096" s="2" t="str">
        <x:v>Loyal</x:v>
      </x:c>
    </x:row>
    <x:row r="4097" ht="22" customHeight="1">
      <x:c r="A4097" s="2"/>
      <x:c r="B4097" s="2" t="str">
        <x:v>16443</x:v>
      </x:c>
      <x:c r="C4097" s="2" t="str">
        <x:v>United Kingdom</x:v>
      </x:c>
      <x:c r="D4097" s="25" t="n">
        <x:v>40366.28958333333</x:v>
      </x:c>
      <x:c r="E4097" s="25" t="n">
        <x:v>40366.28958333333</x:v>
      </x:c>
      <x:c r="F4097" s="2" t="n">
        <x:v>521</x:v>
      </x:c>
      <x:c r="G4097" s="2" t="n">
        <x:v>1</x:v>
      </x:c>
      <x:c r="H4097" s="11" t="n">
        <x:v>162.24</x:v>
      </x:c>
      <x:c r="I4097" s="2" t="n">
        <x:v>1</x:v>
      </x:c>
      <x:c r="J4097" s="2" t="n">
        <x:v>1</x:v>
      </x:c>
      <x:c r="K4097" s="2" t="n">
        <x:v>1</x:v>
      </x:c>
      <x:c r="L4097" s="2" t="str">
        <x:v>Hibernating</x:v>
      </x:c>
    </x:row>
    <x:row r="4098" ht="22" customHeight="1">
      <x:c r="A4098" s="2"/>
      <x:c r="B4098" s="2" t="str">
        <x:v>16444</x:v>
      </x:c>
      <x:c r="C4098" s="2" t="str">
        <x:v>United Kingdom</x:v>
      </x:c>
      <x:c r="D4098" s="25" t="n">
        <x:v>40261.379166666666</x:v>
      </x:c>
      <x:c r="E4098" s="25" t="n">
        <x:v>40840.368055555555</x:v>
      </x:c>
      <x:c r="F4098" s="2" t="n">
        <x:v>47</x:v>
      </x:c>
      <x:c r="G4098" s="2" t="n">
        <x:v>17</x:v>
      </x:c>
      <x:c r="H4098" s="11" t="n">
        <x:v>3656.58</x:v>
      </x:c>
      <x:c r="I4098" s="2" t="n">
        <x:v>4</x:v>
      </x:c>
      <x:c r="J4098" s="2" t="n">
        <x:v>5</x:v>
      </x:c>
      <x:c r="K4098" s="2" t="n">
        <x:v>5</x:v>
      </x:c>
      <x:c r="L4098" s="2" t="str">
        <x:v>Champions</x:v>
      </x:c>
    </x:row>
    <x:row r="4099" ht="22" customHeight="1">
      <x:c r="A4099" s="2"/>
      <x:c r="B4099" s="2" t="str">
        <x:v>16445</x:v>
      </x:c>
      <x:c r="C4099" s="2" t="str">
        <x:v>United Kingdom</x:v>
      </x:c>
      <x:c r="D4099" s="25" t="n">
        <x:v>40475.31875</x:v>
      </x:c>
      <x:c r="E4099" s="25" t="n">
        <x:v>40853.313888888886</x:v>
      </x:c>
      <x:c r="F4099" s="2" t="n">
        <x:v>34</x:v>
      </x:c>
      <x:c r="G4099" s="2" t="n">
        <x:v>4</x:v>
      </x:c>
      <x:c r="H4099" s="11" t="n">
        <x:v>602.73</x:v>
      </x:c>
      <x:c r="I4099" s="2" t="n">
        <x:v>4</x:v>
      </x:c>
      <x:c r="J4099" s="2" t="n">
        <x:v>3</x:v>
      </x:c>
      <x:c r="K4099" s="2" t="n">
        <x:v>2</x:v>
      </x:c>
      <x:c r="L4099" s="2" t="str">
        <x:v>Loyal</x:v>
      </x:c>
    </x:row>
    <x:row r="4100" ht="22" customHeight="1">
      <x:c r="A4100" s="2"/>
      <x:c r="B4100" s="2" t="str">
        <x:v>16446</x:v>
      </x:c>
      <x:c r="C4100" s="2" t="str">
        <x:v>United Kingdom</x:v>
      </x:c>
      <x:c r="D4100" s="25" t="n">
        <x:v>40681.20277777778</x:v>
      </x:c>
      <x:c r="E4100" s="25" t="n">
        <x:v>40886.177083333336</x:v>
      </x:c>
      <x:c r="F4100" s="2" t="n">
        <x:v>1</x:v>
      </x:c>
      <x:c r="G4100" s="2" t="n">
        <x:v>2</x:v>
      </x:c>
      <x:c r="H4100" s="11" t="n">
        <x:v>168472.5</x:v>
      </x:c>
      <x:c r="I4100" s="2" t="n">
        <x:v>5</x:v>
      </x:c>
      <x:c r="J4100" s="2" t="n">
        <x:v>2</x:v>
      </x:c>
      <x:c r="K4100" s="2" t="n">
        <x:v>5</x:v>
      </x:c>
      <x:c r="L4100" s="2" t="str">
        <x:v>Recent light buyers</x:v>
      </x:c>
    </x:row>
    <x:row r="4101" ht="22" customHeight="1">
      <x:c r="A4101" s="2"/>
      <x:c r="B4101" s="2" t="str">
        <x:v>16447</x:v>
      </x:c>
      <x:c r="C4101" s="2" t="str">
        <x:v>United Kingdom</x:v>
      </x:c>
      <x:c r="D4101" s="25" t="n">
        <x:v>40226.38125</x:v>
      </x:c>
      <x:c r="E4101" s="25" t="n">
        <x:v>40751.322916666664</x:v>
      </x:c>
      <x:c r="F4101" s="2" t="n">
        <x:v>136</x:v>
      </x:c>
      <x:c r="G4101" s="2" t="n">
        <x:v>3</x:v>
      </x:c>
      <x:c r="H4101" s="11" t="n">
        <x:v>775.14</x:v>
      </x:c>
      <x:c r="I4101" s="2" t="n">
        <x:v>3</x:v>
      </x:c>
      <x:c r="J4101" s="2" t="n">
        <x:v>3</x:v>
      </x:c>
      <x:c r="K4101" s="2" t="n">
        <x:v>3</x:v>
      </x:c>
      <x:c r="L4101" s="2" t="str">
        <x:v>Loyal</x:v>
      </x:c>
    </x:row>
    <x:row r="4102" ht="22" customHeight="1">
      <x:c r="A4102" s="2"/>
      <x:c r="B4102" s="2" t="str">
        <x:v>16448</x:v>
      </x:c>
      <x:c r="C4102" s="2" t="str">
        <x:v>United Kingdom</x:v>
      </x:c>
      <x:c r="D4102" s="25" t="n">
        <x:v>40415.498611111114</x:v>
      </x:c>
      <x:c r="E4102" s="25" t="n">
        <x:v>40688.47777777778</x:v>
      </x:c>
      <x:c r="F4102" s="2" t="n">
        <x:v>199</x:v>
      </x:c>
      <x:c r="G4102" s="2" t="n">
        <x:v>2</x:v>
      </x:c>
      <x:c r="H4102" s="11" t="n">
        <x:v>367.87</x:v>
      </x:c>
      <x:c r="I4102" s="2" t="n">
        <x:v>2</x:v>
      </x:c>
      <x:c r="J4102" s="2" t="n">
        <x:v>2</x:v>
      </x:c>
      <x:c r="K4102" s="2" t="n">
        <x:v>2</x:v>
      </x:c>
      <x:c r="L4102" s="2" t="str">
        <x:v>Hibernating</x:v>
      </x:c>
    </x:row>
    <x:row r="4103" ht="22" customHeight="1">
      <x:c r="A4103" s="2"/>
      <x:c r="B4103" s="2" t="str">
        <x:v>16449</x:v>
      </x:c>
      <x:c r="C4103" s="2" t="str">
        <x:v>United Kingdom</x:v>
      </x:c>
      <x:c r="D4103" s="25" t="n">
        <x:v>40606.302083333336</x:v>
      </x:c>
      <x:c r="E4103" s="25" t="n">
        <x:v>40689.225694444445</x:v>
      </x:c>
      <x:c r="F4103" s="2" t="n">
        <x:v>198</x:v>
      </x:c>
      <x:c r="G4103" s="2" t="n">
        <x:v>2</x:v>
      </x:c>
      <x:c r="H4103" s="11" t="n">
        <x:v>707.69</x:v>
      </x:c>
      <x:c r="I4103" s="2" t="n">
        <x:v>2</x:v>
      </x:c>
      <x:c r="J4103" s="2" t="n">
        <x:v>2</x:v>
      </x:c>
      <x:c r="K4103" s="2" t="n">
        <x:v>3</x:v>
      </x:c>
      <x:c r="L4103" s="2" t="str">
        <x:v>Hibernating</x:v>
      </x:c>
    </x:row>
    <x:row r="4104" ht="22" customHeight="1">
      <x:c r="A4104" s="2"/>
      <x:c r="B4104" s="2" t="str">
        <x:v>16450</x:v>
      </x:c>
      <x:c r="C4104" s="2" t="str">
        <x:v>United Kingdom</x:v>
      </x:c>
      <x:c r="D4104" s="25" t="n">
        <x:v>40230.44861111111</x:v>
      </x:c>
      <x:c r="E4104" s="25" t="n">
        <x:v>40737.282638888886</x:v>
      </x:c>
      <x:c r="F4104" s="2" t="n">
        <x:v>150</x:v>
      </x:c>
      <x:c r="G4104" s="2" t="n">
        <x:v>3</x:v>
      </x:c>
      <x:c r="H4104" s="11" t="n">
        <x:v>1505.73</x:v>
      </x:c>
      <x:c r="I4104" s="2" t="n">
        <x:v>3</x:v>
      </x:c>
      <x:c r="J4104" s="2" t="n">
        <x:v>3</x:v>
      </x:c>
      <x:c r="K4104" s="2" t="n">
        <x:v>4</x:v>
      </x:c>
      <x:c r="L4104" s="2" t="str">
        <x:v>Loyal</x:v>
      </x:c>
    </x:row>
    <x:row r="4105" ht="22" customHeight="1">
      <x:c r="A4105" s="2"/>
      <x:c r="B4105" s="2" t="str">
        <x:v>16451</x:v>
      </x:c>
      <x:c r="C4105" s="2" t="str">
        <x:v>United Kingdom</x:v>
      </x:c>
      <x:c r="D4105" s="25" t="n">
        <x:v>40151.424305555556</x:v>
      </x:c>
      <x:c r="E4105" s="25" t="n">
        <x:v>40799.17847222222</x:v>
      </x:c>
      <x:c r="F4105" s="2" t="n">
        <x:v>88</x:v>
      </x:c>
      <x:c r="G4105" s="2" t="n">
        <x:v>3</x:v>
      </x:c>
      <x:c r="H4105" s="11" t="n">
        <x:v>1013.15</x:v>
      </x:c>
      <x:c r="I4105" s="2" t="n">
        <x:v>3</x:v>
      </x:c>
      <x:c r="J4105" s="2" t="n">
        <x:v>3</x:v>
      </x:c>
      <x:c r="K4105" s="2" t="n">
        <x:v>3</x:v>
      </x:c>
      <x:c r="L4105" s="2" t="str">
        <x:v>Loyal</x:v>
      </x:c>
    </x:row>
    <x:row r="4106" ht="22" customHeight="1">
      <x:c r="A4106" s="2"/>
      <x:c r="B4106" s="2" t="str">
        <x:v>16452</x:v>
      </x:c>
      <x:c r="C4106" s="2" t="str">
        <x:v>United Kingdom</x:v>
      </x:c>
      <x:c r="D4106" s="25" t="n">
        <x:v>40193.30694444444</x:v>
      </x:c>
      <x:c r="E4106" s="25" t="n">
        <x:v>40256.31875</x:v>
      </x:c>
      <x:c r="F4106" s="2" t="n">
        <x:v>631</x:v>
      </x:c>
      <x:c r="G4106" s="2" t="n">
        <x:v>2</x:v>
      </x:c>
      <x:c r="H4106" s="11" t="n">
        <x:v>332.17</x:v>
      </x:c>
      <x:c r="I4106" s="2" t="n">
        <x:v>1</x:v>
      </x:c>
      <x:c r="J4106" s="2" t="n">
        <x:v>2</x:v>
      </x:c>
      <x:c r="K4106" s="2" t="n">
        <x:v>2</x:v>
      </x:c>
      <x:c r="L4106" s="2" t="str">
        <x:v>Hibernating</x:v>
      </x:c>
    </x:row>
    <x:row r="4107" ht="22" customHeight="1">
      <x:c r="A4107" s="2"/>
      <x:c r="B4107" s="2" t="str">
        <x:v>16453</x:v>
      </x:c>
      <x:c r="C4107" s="2" t="str">
        <x:v>United Kingdom</x:v>
      </x:c>
      <x:c r="D4107" s="25" t="n">
        <x:v>40338.34375</x:v>
      </x:c>
      <x:c r="E4107" s="25" t="n">
        <x:v>40356.32361111111</x:v>
      </x:c>
      <x:c r="F4107" s="2" t="n">
        <x:v>531</x:v>
      </x:c>
      <x:c r="G4107" s="2" t="n">
        <x:v>2</x:v>
      </x:c>
      <x:c r="H4107" s="11" t="n">
        <x:v>251.71</x:v>
      </x:c>
      <x:c r="I4107" s="2" t="n">
        <x:v>1</x:v>
      </x:c>
      <x:c r="J4107" s="2" t="n">
        <x:v>2</x:v>
      </x:c>
      <x:c r="K4107" s="2" t="n">
        <x:v>1</x:v>
      </x:c>
      <x:c r="L4107" s="2" t="str">
        <x:v>Hibernating</x:v>
      </x:c>
    </x:row>
    <x:row r="4108" ht="22" customHeight="1">
      <x:c r="A4108" s="2"/>
      <x:c r="B4108" s="2" t="str">
        <x:v>16454</x:v>
      </x:c>
      <x:c r="C4108" s="2" t="str">
        <x:v>United Kingdom</x:v>
      </x:c>
      <x:c r="D4108" s="25" t="n">
        <x:v>40275.45416666667</x:v>
      </x:c>
      <x:c r="E4108" s="25" t="n">
        <x:v>40842.27777777778</x:v>
      </x:c>
      <x:c r="F4108" s="2" t="n">
        <x:v>45</x:v>
      </x:c>
      <x:c r="G4108" s="2" t="n">
        <x:v>4</x:v>
      </x:c>
      <x:c r="H4108" s="11" t="n">
        <x:v>30.95</x:v>
      </x:c>
      <x:c r="I4108" s="2" t="n">
        <x:v>4</x:v>
      </x:c>
      <x:c r="J4108" s="2" t="n">
        <x:v>3</x:v>
      </x:c>
      <x:c r="K4108" s="2" t="n">
        <x:v>1</x:v>
      </x:c>
      <x:c r="L4108" s="2" t="str">
        <x:v>Loyal</x:v>
      </x:c>
    </x:row>
    <x:row r="4109" ht="22" customHeight="1">
      <x:c r="A4109" s="2"/>
      <x:c r="B4109" s="2" t="str">
        <x:v>16455</x:v>
      </x:c>
      <x:c r="C4109" s="2" t="str">
        <x:v>United Kingdom</x:v>
      </x:c>
      <x:c r="D4109" s="25" t="n">
        <x:v>40267.22986111111</x:v>
      </x:c>
      <x:c r="E4109" s="25" t="n">
        <x:v>40823.30347222222</x:v>
      </x:c>
      <x:c r="F4109" s="2" t="n">
        <x:v>64</x:v>
      </x:c>
      <x:c r="G4109" s="2" t="n">
        <x:v>11</x:v>
      </x:c>
      <x:c r="H4109" s="11" t="n">
        <x:v>4003.07</x:v>
      </x:c>
      <x:c r="I4109" s="2" t="n">
        <x:v>3</x:v>
      </x:c>
      <x:c r="J4109" s="2" t="n">
        <x:v>5</x:v>
      </x:c>
      <x:c r="K4109" s="2" t="n">
        <x:v>5</x:v>
      </x:c>
      <x:c r="L4109" s="2" t="str">
        <x:v>Loyal</x:v>
      </x:c>
    </x:row>
    <x:row r="4110" ht="22" customHeight="1">
      <x:c r="A4110" s="2"/>
      <x:c r="B4110" s="2" t="str">
        <x:v>16456</x:v>
      </x:c>
      <x:c r="C4110" s="2" t="str">
        <x:v>United Kingdom</x:v>
      </x:c>
      <x:c r="D4110" s="25" t="n">
        <x:v>40266.26111111111</x:v>
      </x:c>
      <x:c r="E4110" s="25" t="n">
        <x:v>40787.368055555555</x:v>
      </x:c>
      <x:c r="F4110" s="2" t="n">
        <x:v>100</x:v>
      </x:c>
      <x:c r="G4110" s="2" t="n">
        <x:v>13</x:v>
      </x:c>
      <x:c r="H4110" s="11" t="n">
        <x:v>6075.51</x:v>
      </x:c>
      <x:c r="I4110" s="2" t="n">
        <x:v>3</x:v>
      </x:c>
      <x:c r="J4110" s="2" t="n">
        <x:v>5</x:v>
      </x:c>
      <x:c r="K4110" s="2" t="n">
        <x:v>5</x:v>
      </x:c>
      <x:c r="L4110" s="2" t="str">
        <x:v>Loyal</x:v>
      </x:c>
    </x:row>
    <x:row r="4111" ht="22" customHeight="1">
      <x:c r="A4111" s="2"/>
      <x:c r="B4111" s="2" t="str">
        <x:v>16457</x:v>
      </x:c>
      <x:c r="C4111" s="2" t="str">
        <x:v>United Kingdom</x:v>
      </x:c>
      <x:c r="D4111" s="25" t="n">
        <x:v>40668.34652777778</x:v>
      </x:c>
      <x:c r="E4111" s="25" t="n">
        <x:v>40668.34652777778</x:v>
      </x:c>
      <x:c r="F4111" s="2" t="n">
        <x:v>219</x:v>
      </x:c>
      <x:c r="G4111" s="2" t="n">
        <x:v>1</x:v>
      </x:c>
      <x:c r="H4111" s="11" t="n">
        <x:v>208.36</x:v>
      </x:c>
      <x:c r="I4111" s="2" t="n">
        <x:v>2</x:v>
      </x:c>
      <x:c r="J4111" s="2" t="n">
        <x:v>1</x:v>
      </x:c>
      <x:c r="K4111" s="2" t="n">
        <x:v>1</x:v>
      </x:c>
      <x:c r="L4111" s="2" t="str">
        <x:v>Hibernating</x:v>
      </x:c>
    </x:row>
    <x:row r="4112" ht="22" customHeight="1">
      <x:c r="A4112" s="2"/>
      <x:c r="B4112" s="2" t="str">
        <x:v>16458</x:v>
      </x:c>
      <x:c r="C4112" s="2" t="str">
        <x:v>United Kingdom</x:v>
      </x:c>
      <x:c r="D4112" s="25" t="n">
        <x:v>40324.40138888889</x:v>
      </x:c>
      <x:c r="E4112" s="25" t="n">
        <x:v>40884.19027777778</x:v>
      </x:c>
      <x:c r="F4112" s="2" t="n">
        <x:v>3</x:v>
      </x:c>
      <x:c r="G4112" s="2" t="n">
        <x:v>30</x:v>
      </x:c>
      <x:c r="H4112" s="11" t="n">
        <x:v>5715.34</x:v>
      </x:c>
      <x:c r="I4112" s="2" t="n">
        <x:v>5</x:v>
      </x:c>
      <x:c r="J4112" s="2" t="n">
        <x:v>5</x:v>
      </x:c>
      <x:c r="K4112" s="2" t="n">
        <x:v>5</x:v>
      </x:c>
      <x:c r="L4112" s="2" t="str">
        <x:v>Champions</x:v>
      </x:c>
    </x:row>
    <x:row r="4113" ht="22" customHeight="1">
      <x:c r="A4113" s="2"/>
      <x:c r="B4113" s="2" t="str">
        <x:v>16459</x:v>
      </x:c>
      <x:c r="C4113" s="2" t="str">
        <x:v>United Kingdom</x:v>
      </x:c>
      <x:c r="D4113" s="25" t="n">
        <x:v>40157.32083333333</x:v>
      </x:c>
      <x:c r="E4113" s="25" t="n">
        <x:v>40157.32083333333</x:v>
      </x:c>
      <x:c r="F4113" s="2" t="n">
        <x:v>730</x:v>
      </x:c>
      <x:c r="G4113" s="2" t="n">
        <x:v>1</x:v>
      </x:c>
      <x:c r="H4113" s="11" t="n">
        <x:v>71.79</x:v>
      </x:c>
      <x:c r="I4113" s="2" t="n">
        <x:v>1</x:v>
      </x:c>
      <x:c r="J4113" s="2" t="n">
        <x:v>1</x:v>
      </x:c>
      <x:c r="K4113" s="2" t="n">
        <x:v>1</x:v>
      </x:c>
      <x:c r="L4113" s="2" t="str">
        <x:v>Hibernating</x:v>
      </x:c>
    </x:row>
    <x:row r="4114" ht="22" customHeight="1">
      <x:c r="A4114" s="2"/>
      <x:c r="B4114" s="2" t="str">
        <x:v>16460</x:v>
      </x:c>
      <x:c r="C4114" s="2" t="str">
        <x:v>United Kingdom</x:v>
      </x:c>
      <x:c r="D4114" s="25" t="n">
        <x:v>40805.21875</x:v>
      </x:c>
      <x:c r="E4114" s="25" t="n">
        <x:v>40858.365277777775</x:v>
      </x:c>
      <x:c r="F4114" s="2" t="n">
        <x:v>29</x:v>
      </x:c>
      <x:c r="G4114" s="2" t="n">
        <x:v>3</x:v>
      </x:c>
      <x:c r="H4114" s="11" t="n">
        <x:v>814.72</x:v>
      </x:c>
      <x:c r="I4114" s="2" t="n">
        <x:v>4</x:v>
      </x:c>
      <x:c r="J4114" s="2" t="n">
        <x:v>3</x:v>
      </x:c>
      <x:c r="K4114" s="2" t="n">
        <x:v>3</x:v>
      </x:c>
      <x:c r="L4114" s="2" t="str">
        <x:v>Loyal</x:v>
      </x:c>
    </x:row>
    <x:row r="4115" ht="22" customHeight="1">
      <x:c r="A4115" s="2"/>
      <x:c r="B4115" s="2" t="str">
        <x:v>16461</x:v>
      </x:c>
      <x:c r="C4115" s="2" t="str">
        <x:v>United Kingdom</x:v>
      </x:c>
      <x:c r="D4115" s="25" t="n">
        <x:v>40240.37291666667</x:v>
      </x:c>
      <x:c r="E4115" s="25" t="n">
        <x:v>40709.29652777778</x:v>
      </x:c>
      <x:c r="F4115" s="2" t="n">
        <x:v>178</x:v>
      </x:c>
      <x:c r="G4115" s="2" t="n">
        <x:v>3</x:v>
      </x:c>
      <x:c r="H4115" s="11" t="n">
        <x:v>1615.22</x:v>
      </x:c>
      <x:c r="I4115" s="2" t="n">
        <x:v>3</x:v>
      </x:c>
      <x:c r="J4115" s="2" t="n">
        <x:v>3</x:v>
      </x:c>
      <x:c r="K4115" s="2" t="n">
        <x:v>4</x:v>
      </x:c>
      <x:c r="L4115" s="2" t="str">
        <x:v>Loyal</x:v>
      </x:c>
    </x:row>
    <x:row r="4116" ht="22" customHeight="1">
      <x:c r="A4116" s="2"/>
      <x:c r="B4116" s="2" t="str">
        <x:v>16462</x:v>
      </x:c>
      <x:c r="C4116" s="2" t="str">
        <x:v>United Kingdom</x:v>
      </x:c>
      <x:c r="D4116" s="25" t="n">
        <x:v>40603.16527777778</x:v>
      </x:c>
      <x:c r="E4116" s="25" t="n">
        <x:v>40813.225</x:v>
      </x:c>
      <x:c r="F4116" s="2" t="n">
        <x:v>74</x:v>
      </x:c>
      <x:c r="G4116" s="2" t="n">
        <x:v>3</x:v>
      </x:c>
      <x:c r="H4116" s="11" t="n">
        <x:v>136</x:v>
      </x:c>
      <x:c r="I4116" s="2" t="n">
        <x:v>3</x:v>
      </x:c>
      <x:c r="J4116" s="2" t="n">
        <x:v>3</x:v>
      </x:c>
      <x:c r="K4116" s="2" t="n">
        <x:v>1</x:v>
      </x:c>
      <x:c r="L4116" s="2" t="str">
        <x:v>Loyal</x:v>
      </x:c>
    </x:row>
    <x:row r="4117" ht="22" customHeight="1">
      <x:c r="A4117" s="2"/>
      <x:c r="B4117" s="2" t="str">
        <x:v>16463</x:v>
      </x:c>
      <x:c r="C4117" s="2" t="str">
        <x:v>United Kingdom</x:v>
      </x:c>
      <x:c r="D4117" s="25" t="n">
        <x:v>40682.40625</x:v>
      </x:c>
      <x:c r="E4117" s="25" t="n">
        <x:v>40865.37569444445</x:v>
      </x:c>
      <x:c r="F4117" s="2" t="n">
        <x:v>22</x:v>
      </x:c>
      <x:c r="G4117" s="2" t="n">
        <x:v>4</x:v>
      </x:c>
      <x:c r="H4117" s="11" t="n">
        <x:v>1422.4</x:v>
      </x:c>
      <x:c r="I4117" s="2" t="n">
        <x:v>4</x:v>
      </x:c>
      <x:c r="J4117" s="2" t="n">
        <x:v>3</x:v>
      </x:c>
      <x:c r="K4117" s="2" t="n">
        <x:v>4</x:v>
      </x:c>
      <x:c r="L4117" s="2" t="str">
        <x:v>Loyal</x:v>
      </x:c>
    </x:row>
    <x:row r="4118" ht="22" customHeight="1">
      <x:c r="A4118" s="2"/>
      <x:c r="B4118" s="2" t="str">
        <x:v>16464</x:v>
      </x:c>
      <x:c r="C4118" s="2" t="str">
        <x:v>United Kingdom</x:v>
      </x:c>
      <x:c r="D4118" s="25" t="n">
        <x:v>40744.37013888889</x:v>
      </x:c>
      <x:c r="E4118" s="25" t="n">
        <x:v>40867.299305555556</x:v>
      </x:c>
      <x:c r="F4118" s="2" t="n">
        <x:v>20</x:v>
      </x:c>
      <x:c r="G4118" s="2" t="n">
        <x:v>3</x:v>
      </x:c>
      <x:c r="H4118" s="11" t="n">
        <x:v>1314.68</x:v>
      </x:c>
      <x:c r="I4118" s="2" t="n">
        <x:v>5</x:v>
      </x:c>
      <x:c r="J4118" s="2" t="n">
        <x:v>3</x:v>
      </x:c>
      <x:c r="K4118" s="2" t="n">
        <x:v>4</x:v>
      </x:c>
      <x:c r="L4118" s="2" t="str">
        <x:v>Loyal</x:v>
      </x:c>
    </x:row>
    <x:row r="4119" ht="22" customHeight="1">
      <x:c r="A4119" s="2"/>
      <x:c r="B4119" s="2" t="str">
        <x:v>16465</x:v>
      </x:c>
      <x:c r="C4119" s="2" t="str">
        <x:v>United Kingdom</x:v>
      </x:c>
      <x:c r="D4119" s="25" t="n">
        <x:v>40442.240277777775</x:v>
      </x:c>
      <x:c r="E4119" s="25" t="n">
        <x:v>40466.18541666667</x:v>
      </x:c>
      <x:c r="F4119" s="2" t="n">
        <x:v>421</x:v>
      </x:c>
      <x:c r="G4119" s="2" t="n">
        <x:v>2</x:v>
      </x:c>
      <x:c r="H4119" s="11" t="n">
        <x:v>746.24</x:v>
      </x:c>
      <x:c r="I4119" s="2" t="n">
        <x:v>1</x:v>
      </x:c>
      <x:c r="J4119" s="2" t="n">
        <x:v>2</x:v>
      </x:c>
      <x:c r="K4119" s="2" t="n">
        <x:v>3</x:v>
      </x:c>
      <x:c r="L4119" s="2" t="str">
        <x:v>Hibernating</x:v>
      </x:c>
    </x:row>
    <x:row r="4120" ht="22" customHeight="1">
      <x:c r="A4120" s="2"/>
      <x:c r="B4120" s="2" t="str">
        <x:v>16466</x:v>
      </x:c>
      <x:c r="C4120" s="2" t="str">
        <x:v>United Kingdom</x:v>
      </x:c>
      <x:c r="D4120" s="25" t="n">
        <x:v>40244.396527777775</x:v>
      </x:c>
      <x:c r="E4120" s="25" t="n">
        <x:v>40853.274305555555</x:v>
      </x:c>
      <x:c r="F4120" s="2" t="n">
        <x:v>34</x:v>
      </x:c>
      <x:c r="G4120" s="2" t="n">
        <x:v>15</x:v>
      </x:c>
      <x:c r="H4120" s="11" t="n">
        <x:v>3838.59</x:v>
      </x:c>
      <x:c r="I4120" s="2" t="n">
        <x:v>4</x:v>
      </x:c>
      <x:c r="J4120" s="2" t="n">
        <x:v>5</x:v>
      </x:c>
      <x:c r="K4120" s="2" t="n">
        <x:v>5</x:v>
      </x:c>
      <x:c r="L4120" s="2" t="str">
        <x:v>Champions</x:v>
      </x:c>
    </x:row>
    <x:row r="4121" ht="22" customHeight="1">
      <x:c r="A4121" s="2"/>
      <x:c r="B4121" s="2" t="str">
        <x:v>16467</x:v>
      </x:c>
      <x:c r="C4121" s="2" t="str">
        <x:v>United Kingdom</x:v>
      </x:c>
      <x:c r="D4121" s="25" t="n">
        <x:v>40149.290972222225</x:v>
      </x:c>
      <x:c r="E4121" s="25" t="n">
        <x:v>40378.28402777778</x:v>
      </x:c>
      <x:c r="F4121" s="2" t="n">
        <x:v>509</x:v>
      </x:c>
      <x:c r="G4121" s="2" t="n">
        <x:v>7</x:v>
      </x:c>
      <x:c r="H4121" s="11" t="n">
        <x:v>2869.16</x:v>
      </x:c>
      <x:c r="I4121" s="2" t="n">
        <x:v>1</x:v>
      </x:c>
      <x:c r="J4121" s="2" t="n">
        <x:v>4</x:v>
      </x:c>
      <x:c r="K4121" s="2" t="n">
        <x:v>4</x:v>
      </x:c>
      <x:c r="L4121" s="2" t="str">
        <x:v>At risk</x:v>
      </x:c>
    </x:row>
    <x:row r="4122" ht="22" customHeight="1">
      <x:c r="A4122" s="2"/>
      <x:c r="B4122" s="2" t="str">
        <x:v>16468</x:v>
      </x:c>
      <x:c r="C4122" s="2" t="str">
        <x:v>United Kingdom</x:v>
      </x:c>
      <x:c r="D4122" s="25" t="n">
        <x:v>40405.34027777778</x:v>
      </x:c>
      <x:c r="E4122" s="25" t="n">
        <x:v>40812.38402777778</x:v>
      </x:c>
      <x:c r="F4122" s="2" t="n">
        <x:v>75</x:v>
      </x:c>
      <x:c r="G4122" s="2" t="n">
        <x:v>3</x:v>
      </x:c>
      <x:c r="H4122" s="11" t="n">
        <x:v>787.52</x:v>
      </x:c>
      <x:c r="I4122" s="2" t="n">
        <x:v>3</x:v>
      </x:c>
      <x:c r="J4122" s="2" t="n">
        <x:v>3</x:v>
      </x:c>
      <x:c r="K4122" s="2" t="n">
        <x:v>3</x:v>
      </x:c>
      <x:c r="L4122" s="2" t="str">
        <x:v>Loyal</x:v>
      </x:c>
    </x:row>
    <x:row r="4123" ht="22" customHeight="1">
      <x:c r="A4123" s="2"/>
      <x:c r="B4123" s="2" t="str">
        <x:v>16469</x:v>
      </x:c>
      <x:c r="C4123" s="2" t="str">
        <x:v>United Kingdom</x:v>
      </x:c>
      <x:c r="D4123" s="25" t="n">
        <x:v>40372.345138888886</x:v>
      </x:c>
      <x:c r="E4123" s="25" t="n">
        <x:v>40863.30902777778</x:v>
      </x:c>
      <x:c r="F4123" s="2" t="n">
        <x:v>24</x:v>
      </x:c>
      <x:c r="G4123" s="2" t="n">
        <x:v>5</x:v>
      </x:c>
      <x:c r="H4123" s="11" t="n">
        <x:v>828.91</x:v>
      </x:c>
      <x:c r="I4123" s="2" t="n">
        <x:v>4</x:v>
      </x:c>
      <x:c r="J4123" s="2" t="n">
        <x:v>4</x:v>
      </x:c>
      <x:c r="K4123" s="2" t="n">
        <x:v>3</x:v>
      </x:c>
      <x:c r="L4123" s="2" t="str">
        <x:v>Loyal</x:v>
      </x:c>
    </x:row>
    <x:row r="4124" ht="22" customHeight="1">
      <x:c r="A4124" s="2"/>
      <x:c r="B4124" s="2" t="str">
        <x:v>16470</x:v>
      </x:c>
      <x:c r="C4124" s="2" t="str">
        <x:v>United Kingdom</x:v>
      </x:c>
      <x:c r="D4124" s="25" t="n">
        <x:v>40158.30625</x:v>
      </x:c>
      <x:c r="E4124" s="25" t="n">
        <x:v>40835.299305555556</x:v>
      </x:c>
      <x:c r="F4124" s="2" t="n">
        <x:v>52</x:v>
      </x:c>
      <x:c r="G4124" s="2" t="n">
        <x:v>11</x:v>
      </x:c>
      <x:c r="H4124" s="11" t="n">
        <x:v>2458.6</x:v>
      </x:c>
      <x:c r="I4124" s="2" t="n">
        <x:v>4</x:v>
      </x:c>
      <x:c r="J4124" s="2" t="n">
        <x:v>5</x:v>
      </x:c>
      <x:c r="K4124" s="2" t="n">
        <x:v>4</x:v>
      </x:c>
      <x:c r="L4124" s="2" t="str">
        <x:v>Champions</x:v>
      </x:c>
    </x:row>
    <x:row r="4125" ht="22" customHeight="1">
      <x:c r="A4125" s="2"/>
      <x:c r="B4125" s="2" t="str">
        <x:v>16471</x:v>
      </x:c>
      <x:c r="C4125" s="2" t="str">
        <x:v>United Kingdom</x:v>
      </x:c>
      <x:c r="D4125" s="25" t="n">
        <x:v>40234.21319444444</x:v>
      </x:c>
      <x:c r="E4125" s="25" t="n">
        <x:v>40612.19513888889</x:v>
      </x:c>
      <x:c r="F4125" s="2" t="n">
        <x:v>275</x:v>
      </x:c>
      <x:c r="G4125" s="2" t="n">
        <x:v>4</x:v>
      </x:c>
      <x:c r="H4125" s="11" t="n">
        <x:v>1189.98</x:v>
      </x:c>
      <x:c r="I4125" s="2" t="n">
        <x:v>2</x:v>
      </x:c>
      <x:c r="J4125" s="2" t="n">
        <x:v>3</x:v>
      </x:c>
      <x:c r="K4125" s="2" t="n">
        <x:v>3</x:v>
      </x:c>
      <x:c r="L4125" s="2" t="str">
        <x:v>At risk</x:v>
      </x:c>
    </x:row>
    <x:row r="4126" ht="22" customHeight="1">
      <x:c r="A4126" s="2"/>
      <x:c r="B4126" s="2" t="str">
        <x:v>16472</x:v>
      </x:c>
      <x:c r="C4126" s="2" t="str">
        <x:v>United Kingdom</x:v>
      </x:c>
      <x:c r="D4126" s="25" t="n">
        <x:v>40289.28333333333</x:v>
      </x:c>
      <x:c r="E4126" s="25" t="n">
        <x:v>40452.37222222222</x:v>
      </x:c>
      <x:c r="F4126" s="2" t="n">
        <x:v>435</x:v>
      </x:c>
      <x:c r="G4126" s="2" t="n">
        <x:v>2</x:v>
      </x:c>
      <x:c r="H4126" s="11" t="n">
        <x:v>789.6</x:v>
      </x:c>
      <x:c r="I4126" s="2" t="n">
        <x:v>1</x:v>
      </x:c>
      <x:c r="J4126" s="2" t="n">
        <x:v>2</x:v>
      </x:c>
      <x:c r="K4126" s="2" t="n">
        <x:v>3</x:v>
      </x:c>
      <x:c r="L4126" s="2" t="str">
        <x:v>Hibernating</x:v>
      </x:c>
    </x:row>
    <x:row r="4127" ht="22" customHeight="1">
      <x:c r="A4127" s="2"/>
      <x:c r="B4127" s="2" t="str">
        <x:v>16473</x:v>
      </x:c>
      <x:c r="C4127" s="2" t="str">
        <x:v>United Kingdom</x:v>
      </x:c>
      <x:c r="D4127" s="25" t="n">
        <x:v>40512.478472222225</x:v>
      </x:c>
      <x:c r="E4127" s="25" t="n">
        <x:v>40722.17361111111</x:v>
      </x:c>
      <x:c r="F4127" s="2" t="n">
        <x:v>165</x:v>
      </x:c>
      <x:c r="G4127" s="2" t="n">
        <x:v>4</x:v>
      </x:c>
      <x:c r="H4127" s="11" t="n">
        <x:v>470.83</x:v>
      </x:c>
      <x:c r="I4127" s="2" t="n">
        <x:v>3</x:v>
      </x:c>
      <x:c r="J4127" s="2" t="n">
        <x:v>3</x:v>
      </x:c>
      <x:c r="K4127" s="2" t="n">
        <x:v>2</x:v>
      </x:c>
      <x:c r="L4127" s="2" t="str">
        <x:v>Loyal</x:v>
      </x:c>
    </x:row>
    <x:row r="4128" ht="22" customHeight="1">
      <x:c r="A4128" s="2"/>
      <x:c r="B4128" s="2" t="str">
        <x:v>16474</x:v>
      </x:c>
      <x:c r="C4128" s="2" t="str">
        <x:v>United Kingdom</x:v>
      </x:c>
      <x:c r="D4128" s="25" t="n">
        <x:v>40741.410416666666</x:v>
      </x:c>
      <x:c r="E4128" s="25" t="n">
        <x:v>40879.33472222222</x:v>
      </x:c>
      <x:c r="F4128" s="2" t="n">
        <x:v>8</x:v>
      </x:c>
      <x:c r="G4128" s="2" t="n">
        <x:v>7</x:v>
      </x:c>
      <x:c r="H4128" s="11" t="n">
        <x:v>1871.5</x:v>
      </x:c>
      <x:c r="I4128" s="2" t="n">
        <x:v>5</x:v>
      </x:c>
      <x:c r="J4128" s="2" t="n">
        <x:v>4</x:v>
      </x:c>
      <x:c r="K4128" s="2" t="n">
        <x:v>4</x:v>
      </x:c>
      <x:c r="L4128" s="2" t="str">
        <x:v>Champions</x:v>
      </x:c>
    </x:row>
    <x:row r="4129" ht="22" customHeight="1">
      <x:c r="A4129" s="2"/>
      <x:c r="B4129" s="2" t="str">
        <x:v>16475</x:v>
      </x:c>
      <x:c r="C4129" s="2" t="str">
        <x:v>United Kingdom</x:v>
      </x:c>
      <x:c r="D4129" s="25" t="n">
        <x:v>40613.19375</x:v>
      </x:c>
      <x:c r="E4129" s="25" t="n">
        <x:v>40798.40069444444</x:v>
      </x:c>
      <x:c r="F4129" s="2" t="n">
        <x:v>89</x:v>
      </x:c>
      <x:c r="G4129" s="2" t="n">
        <x:v>4</x:v>
      </x:c>
      <x:c r="H4129" s="11" t="n">
        <x:v>544.3</x:v>
      </x:c>
      <x:c r="I4129" s="2" t="n">
        <x:v>3</x:v>
      </x:c>
      <x:c r="J4129" s="2" t="n">
        <x:v>3</x:v>
      </x:c>
      <x:c r="K4129" s="2" t="n">
        <x:v>2</x:v>
      </x:c>
      <x:c r="L4129" s="2" t="str">
        <x:v>Loyal</x:v>
      </x:c>
    </x:row>
    <x:row r="4130" ht="22" customHeight="1">
      <x:c r="A4130" s="2"/>
      <x:c r="B4130" s="2" t="str">
        <x:v>16476</x:v>
      </x:c>
      <x:c r="C4130" s="2" t="str">
        <x:v>United Kingdom</x:v>
      </x:c>
      <x:c r="D4130" s="25" t="n">
        <x:v>40455.228472222225</x:v>
      </x:c>
      <x:c r="E4130" s="25" t="n">
        <x:v>40455.228472222225</x:v>
      </x:c>
      <x:c r="F4130" s="2" t="n">
        <x:v>432</x:v>
      </x:c>
      <x:c r="G4130" s="2" t="n">
        <x:v>1</x:v>
      </x:c>
      <x:c r="H4130" s="11" t="n">
        <x:v>350.35</x:v>
      </x:c>
      <x:c r="I4130" s="2" t="n">
        <x:v>1</x:v>
      </x:c>
      <x:c r="J4130" s="2" t="n">
        <x:v>1</x:v>
      </x:c>
      <x:c r="K4130" s="2" t="n">
        <x:v>2</x:v>
      </x:c>
      <x:c r="L4130" s="2" t="str">
        <x:v>Hibernating</x:v>
      </x:c>
    </x:row>
    <x:row r="4131" ht="22" customHeight="1">
      <x:c r="A4131" s="2"/>
      <x:c r="B4131" s="2" t="str">
        <x:v>16477</x:v>
      </x:c>
      <x:c r="C4131" s="2" t="str">
        <x:v>United Kingdom</x:v>
      </x:c>
      <x:c r="D4131" s="25" t="n">
        <x:v>40402.19652777778</x:v>
      </x:c>
      <x:c r="E4131" s="25" t="n">
        <x:v>40823.197222222225</x:v>
      </x:c>
      <x:c r="F4131" s="2" t="n">
        <x:v>64</x:v>
      </x:c>
      <x:c r="G4131" s="2" t="n">
        <x:v>11</x:v>
      </x:c>
      <x:c r="H4131" s="11" t="n">
        <x:v>4094.37</x:v>
      </x:c>
      <x:c r="I4131" s="2" t="n">
        <x:v>3</x:v>
      </x:c>
      <x:c r="J4131" s="2" t="n">
        <x:v>5</x:v>
      </x:c>
      <x:c r="K4131" s="2" t="n">
        <x:v>5</x:v>
      </x:c>
      <x:c r="L4131" s="2" t="str">
        <x:v>Loyal</x:v>
      </x:c>
    </x:row>
    <x:row r="4132" ht="22" customHeight="1">
      <x:c r="A4132" s="2"/>
      <x:c r="B4132" s="2" t="str">
        <x:v>16478</x:v>
      </x:c>
      <x:c r="C4132" s="2" t="str">
        <x:v>United Kingdom</x:v>
      </x:c>
      <x:c r="D4132" s="25" t="n">
        <x:v>40821.29305555556</x:v>
      </x:c>
      <x:c r="E4132" s="25" t="n">
        <x:v>40861.45208333333</x:v>
      </x:c>
      <x:c r="F4132" s="2" t="n">
        <x:v>26</x:v>
      </x:c>
      <x:c r="G4132" s="2" t="n">
        <x:v>3</x:v>
      </x:c>
      <x:c r="H4132" s="11" t="n">
        <x:v>331</x:v>
      </x:c>
      <x:c r="I4132" s="2" t="n">
        <x:v>4</x:v>
      </x:c>
      <x:c r="J4132" s="2" t="n">
        <x:v>3</x:v>
      </x:c>
      <x:c r="K4132" s="2" t="n">
        <x:v>2</x:v>
      </x:c>
      <x:c r="L4132" s="2" t="str">
        <x:v>Loyal</x:v>
      </x:c>
    </x:row>
    <x:row r="4133" ht="22" customHeight="1">
      <x:c r="A4133" s="2"/>
      <x:c r="B4133" s="2" t="str">
        <x:v>16479</x:v>
      </x:c>
      <x:c r="C4133" s="2" t="str">
        <x:v>United Kingdom</x:v>
      </x:c>
      <x:c r="D4133" s="25" t="n">
        <x:v>40876.33611111111</x:v>
      </x:c>
      <x:c r="E4133" s="25" t="n">
        <x:v>40876.36111111111</x:v>
      </x:c>
      <x:c r="F4133" s="2" t="n">
        <x:v>11</x:v>
      </x:c>
      <x:c r="G4133" s="2" t="n">
        <x:v>2</x:v>
      </x:c>
      <x:c r="H4133" s="11" t="n">
        <x:v>300.83</x:v>
      </x:c>
      <x:c r="I4133" s="2" t="n">
        <x:v>5</x:v>
      </x:c>
      <x:c r="J4133" s="2" t="n">
        <x:v>2</x:v>
      </x:c>
      <x:c r="K4133" s="2" t="n">
        <x:v>2</x:v>
      </x:c>
      <x:c r="L4133" s="2" t="str">
        <x:v>Recent light buyers</x:v>
      </x:c>
    </x:row>
    <x:row r="4134" ht="22" customHeight="1">
      <x:c r="A4134" s="2"/>
      <x:c r="B4134" s="2" t="str">
        <x:v>16480</x:v>
      </x:c>
      <x:c r="C4134" s="2" t="str">
        <x:v>United Kingdom</x:v>
      </x:c>
      <x:c r="D4134" s="25" t="n">
        <x:v>40811.27777777778</x:v>
      </x:c>
      <x:c r="E4134" s="25" t="n">
        <x:v>40811.27777777778</x:v>
      </x:c>
      <x:c r="F4134" s="2" t="n">
        <x:v>76</x:v>
      </x:c>
      <x:c r="G4134" s="2" t="n">
        <x:v>1</x:v>
      </x:c>
      <x:c r="H4134" s="11" t="n">
        <x:v>769.29</x:v>
      </x:c>
      <x:c r="I4134" s="2" t="n">
        <x:v>3</x:v>
      </x:c>
      <x:c r="J4134" s="2" t="n">
        <x:v>1</x:v>
      </x:c>
      <x:c r="K4134" s="2" t="n">
        <x:v>3</x:v>
      </x:c>
      <x:c r="L4134" s="2" t="str">
        <x:v>Developing</x:v>
      </x:c>
    </x:row>
    <x:row r="4135" ht="22" customHeight="1">
      <x:c r="A4135" s="2"/>
      <x:c r="B4135" s="2" t="str">
        <x:v>16481</x:v>
      </x:c>
      <x:c r="C4135" s="2" t="str">
        <x:v>United Kingdom</x:v>
      </x:c>
      <x:c r="D4135" s="25" t="n">
        <x:v>40204.339583333334</x:v>
      </x:c>
      <x:c r="E4135" s="25" t="n">
        <x:v>40204.339583333334</x:v>
      </x:c>
      <x:c r="F4135" s="2" t="n">
        <x:v>683</x:v>
      </x:c>
      <x:c r="G4135" s="2" t="n">
        <x:v>1</x:v>
      </x:c>
      <x:c r="H4135" s="11" t="n">
        <x:v>453.38</x:v>
      </x:c>
      <x:c r="I4135" s="2" t="n">
        <x:v>1</x:v>
      </x:c>
      <x:c r="J4135" s="2" t="n">
        <x:v>1</x:v>
      </x:c>
      <x:c r="K4135" s="2" t="n">
        <x:v>2</x:v>
      </x:c>
      <x:c r="L4135" s="2" t="str">
        <x:v>Hibernating</x:v>
      </x:c>
    </x:row>
    <x:row r="4136" ht="22" customHeight="1">
      <x:c r="A4136" s="2"/>
      <x:c r="B4136" s="2" t="str">
        <x:v>16482</x:v>
      </x:c>
      <x:c r="C4136" s="2" t="str">
        <x:v>United Kingdom</x:v>
      </x:c>
      <x:c r="D4136" s="25" t="n">
        <x:v>40871.31458333333</x:v>
      </x:c>
      <x:c r="E4136" s="25" t="n">
        <x:v>40871.31458333333</x:v>
      </x:c>
      <x:c r="F4136" s="2" t="n">
        <x:v>16</x:v>
      </x:c>
      <x:c r="G4136" s="2" t="n">
        <x:v>1</x:v>
      </x:c>
      <x:c r="H4136" s="11" t="n">
        <x:v>220.62</x:v>
      </x:c>
      <x:c r="I4136" s="2" t="n">
        <x:v>5</x:v>
      </x:c>
      <x:c r="J4136" s="2" t="n">
        <x:v>1</x:v>
      </x:c>
      <x:c r="K4136" s="2" t="n">
        <x:v>1</x:v>
      </x:c>
      <x:c r="L4136" s="2" t="str">
        <x:v>Recent light buyers</x:v>
      </x:c>
    </x:row>
    <x:row r="4137" ht="22" customHeight="1">
      <x:c r="A4137" s="2"/>
      <x:c r="B4137" s="2" t="str">
        <x:v>16483</x:v>
      </x:c>
      <x:c r="C4137" s="2" t="str">
        <x:v>United Kingdom</x:v>
      </x:c>
      <x:c r="D4137" s="25" t="n">
        <x:v>40694.33888888889</x:v>
      </x:c>
      <x:c r="E4137" s="25" t="n">
        <x:v>40694.33888888889</x:v>
      </x:c>
      <x:c r="F4137" s="2" t="n">
        <x:v>193</x:v>
      </x:c>
      <x:c r="G4137" s="2" t="n">
        <x:v>1</x:v>
      </x:c>
      <x:c r="H4137" s="11" t="n">
        <x:v>139.35</x:v>
      </x:c>
      <x:c r="I4137" s="2" t="n">
        <x:v>2</x:v>
      </x:c>
      <x:c r="J4137" s="2" t="n">
        <x:v>1</x:v>
      </x:c>
      <x:c r="K4137" s="2" t="n">
        <x:v>1</x:v>
      </x:c>
      <x:c r="L4137" s="2" t="str">
        <x:v>Hibernating</x:v>
      </x:c>
    </x:row>
    <x:row r="4138" ht="22" customHeight="1">
      <x:c r="A4138" s="2"/>
      <x:c r="B4138" s="2" t="str">
        <x:v>16484</x:v>
      </x:c>
      <x:c r="C4138" s="2" t="str">
        <x:v>United Kingdom</x:v>
      </x:c>
      <x:c r="D4138" s="25" t="n">
        <x:v>40696.23541666667</x:v>
      </x:c>
      <x:c r="E4138" s="25" t="n">
        <x:v>40713.29583333333</x:v>
      </x:c>
      <x:c r="F4138" s="2" t="n">
        <x:v>174</x:v>
      </x:c>
      <x:c r="G4138" s="2" t="n">
        <x:v>2</x:v>
      </x:c>
      <x:c r="H4138" s="11" t="n">
        <x:v>404.3</x:v>
      </x:c>
      <x:c r="I4138" s="2" t="n">
        <x:v>3</x:v>
      </x:c>
      <x:c r="J4138" s="2" t="n">
        <x:v>2</x:v>
      </x:c>
      <x:c r="K4138" s="2" t="n">
        <x:v>2</x:v>
      </x:c>
      <x:c r="L4138" s="2" t="str">
        <x:v>Developing</x:v>
      </x:c>
    </x:row>
    <x:row r="4139" ht="22" customHeight="1">
      <x:c r="A4139" s="2"/>
      <x:c r="B4139" s="2" t="str">
        <x:v>16485</x:v>
      </x:c>
      <x:c r="C4139" s="2" t="str">
        <x:v>United Kingdom</x:v>
      </x:c>
      <x:c r="D4139" s="25" t="n">
        <x:v>40153.311111111114</x:v>
      </x:c>
      <x:c r="E4139" s="25" t="n">
        <x:v>40809.45138888889</x:v>
      </x:c>
      <x:c r="F4139" s="2" t="n">
        <x:v>78</x:v>
      </x:c>
      <x:c r="G4139" s="2" t="n">
        <x:v>5</x:v>
      </x:c>
      <x:c r="H4139" s="11" t="n">
        <x:v>2294.68</x:v>
      </x:c>
      <x:c r="I4139" s="2" t="n">
        <x:v>3</x:v>
      </x:c>
      <x:c r="J4139" s="2" t="n">
        <x:v>4</x:v>
      </x:c>
      <x:c r="K4139" s="2" t="n">
        <x:v>4</x:v>
      </x:c>
      <x:c r="L4139" s="2" t="str">
        <x:v>Loyal</x:v>
      </x:c>
    </x:row>
    <x:row r="4140" ht="22" customHeight="1">
      <x:c r="A4140" s="2"/>
      <x:c r="B4140" s="2" t="str">
        <x:v>16486</x:v>
      </x:c>
      <x:c r="C4140" s="2" t="str">
        <x:v>United Kingdom</x:v>
      </x:c>
      <x:c r="D4140" s="25" t="n">
        <x:v>40349.302777777775</x:v>
      </x:c>
      <x:c r="E4140" s="25" t="n">
        <x:v>40349.302777777775</x:v>
      </x:c>
      <x:c r="F4140" s="2" t="n">
        <x:v>538</x:v>
      </x:c>
      <x:c r="G4140" s="2" t="n">
        <x:v>1</x:v>
      </x:c>
      <x:c r="H4140" s="11" t="n">
        <x:v>134.36</x:v>
      </x:c>
      <x:c r="I4140" s="2" t="n">
        <x:v>1</x:v>
      </x:c>
      <x:c r="J4140" s="2" t="n">
        <x:v>1</x:v>
      </x:c>
      <x:c r="K4140" s="2" t="n">
        <x:v>1</x:v>
      </x:c>
      <x:c r="L4140" s="2" t="str">
        <x:v>Hibernating</x:v>
      </x:c>
    </x:row>
    <x:row r="4141" ht="22" customHeight="1">
      <x:c r="A4141" s="2"/>
      <x:c r="B4141" s="2" t="str">
        <x:v>16487</x:v>
      </x:c>
      <x:c r="C4141" s="2" t="str">
        <x:v>United Kingdom</x:v>
      </x:c>
      <x:c r="D4141" s="25" t="n">
        <x:v>40227.525</x:v>
      </x:c>
      <x:c r="E4141" s="25" t="n">
        <x:v>40309.35972222222</x:v>
      </x:c>
      <x:c r="F4141" s="2" t="n">
        <x:v>578</x:v>
      </x:c>
      <x:c r="G4141" s="2" t="n">
        <x:v>2</x:v>
      </x:c>
      <x:c r="H4141" s="11" t="n">
        <x:v>209.4</x:v>
      </x:c>
      <x:c r="I4141" s="2" t="n">
        <x:v>1</x:v>
      </x:c>
      <x:c r="J4141" s="2" t="n">
        <x:v>2</x:v>
      </x:c>
      <x:c r="K4141" s="2" t="n">
        <x:v>1</x:v>
      </x:c>
      <x:c r="L4141" s="2" t="str">
        <x:v>Hibernating</x:v>
      </x:c>
    </x:row>
    <x:row r="4142" ht="22" customHeight="1">
      <x:c r="A4142" s="2"/>
      <x:c r="B4142" s="2" t="str">
        <x:v>16488</x:v>
      </x:c>
      <x:c r="C4142" s="2" t="str">
        <x:v>United Kingdom</x:v>
      </x:c>
      <x:c r="D4142" s="25" t="n">
        <x:v>40738.28194444445</x:v>
      </x:c>
      <x:c r="E4142" s="25" t="n">
        <x:v>40853.3625</x:v>
      </x:c>
      <x:c r="F4142" s="2" t="n">
        <x:v>34</x:v>
      </x:c>
      <x:c r="G4142" s="2" t="n">
        <x:v>3</x:v>
      </x:c>
      <x:c r="H4142" s="11" t="n">
        <x:v>498.8</x:v>
      </x:c>
      <x:c r="I4142" s="2" t="n">
        <x:v>4</x:v>
      </x:c>
      <x:c r="J4142" s="2" t="n">
        <x:v>3</x:v>
      </x:c>
      <x:c r="K4142" s="2" t="n">
        <x:v>2</x:v>
      </x:c>
      <x:c r="L4142" s="2" t="str">
        <x:v>Loyal</x:v>
      </x:c>
    </x:row>
    <x:row r="4143" ht="22" customHeight="1">
      <x:c r="A4143" s="2"/>
      <x:c r="B4143" s="2" t="str">
        <x:v>16489</x:v>
      </x:c>
      <x:c r="C4143" s="2" t="str">
        <x:v>United Kingdom</x:v>
      </x:c>
      <x:c r="D4143" s="25" t="n">
        <x:v>40450.41805555556</x:v>
      </x:c>
      <x:c r="E4143" s="25" t="n">
        <x:v>40506.40277777778</x:v>
      </x:c>
      <x:c r="F4143" s="2" t="n">
        <x:v>381</x:v>
      </x:c>
      <x:c r="G4143" s="2" t="n">
        <x:v>2</x:v>
      </x:c>
      <x:c r="H4143" s="11" t="n">
        <x:v>303.7</x:v>
      </x:c>
      <x:c r="I4143" s="2" t="n">
        <x:v>2</x:v>
      </x:c>
      <x:c r="J4143" s="2" t="n">
        <x:v>2</x:v>
      </x:c>
      <x:c r="K4143" s="2" t="n">
        <x:v>2</x:v>
      </x:c>
      <x:c r="L4143" s="2" t="str">
        <x:v>Hibernating</x:v>
      </x:c>
    </x:row>
    <x:row r="4144" ht="22" customHeight="1">
      <x:c r="A4144" s="2"/>
      <x:c r="B4144" s="2" t="str">
        <x:v>16490</x:v>
      </x:c>
      <x:c r="C4144" s="2" t="str">
        <x:v>United Kingdom</x:v>
      </x:c>
      <x:c r="D4144" s="25" t="n">
        <x:v>40450.479166666664</x:v>
      </x:c>
      <x:c r="E4144" s="25" t="n">
        <x:v>40450.479166666664</x:v>
      </x:c>
      <x:c r="F4144" s="2" t="n">
        <x:v>437</x:v>
      </x:c>
      <x:c r="G4144" s="2" t="n">
        <x:v>1</x:v>
      </x:c>
      <x:c r="H4144" s="11" t="n">
        <x:v>205.41</x:v>
      </x:c>
      <x:c r="I4144" s="2" t="n">
        <x:v>1</x:v>
      </x:c>
      <x:c r="J4144" s="2" t="n">
        <x:v>1</x:v>
      </x:c>
      <x:c r="K4144" s="2" t="n">
        <x:v>1</x:v>
      </x:c>
      <x:c r="L4144" s="2" t="str">
        <x:v>Hibernating</x:v>
      </x:c>
    </x:row>
    <x:row r="4145" ht="22" customHeight="1">
      <x:c r="A4145" s="2"/>
      <x:c r="B4145" s="2" t="str">
        <x:v>16491</x:v>
      </x:c>
      <x:c r="C4145" s="2" t="str">
        <x:v>United Kingdom</x:v>
      </x:c>
      <x:c r="D4145" s="25" t="n">
        <x:v>40473.44583333333</x:v>
      </x:c>
      <x:c r="E4145" s="25" t="n">
        <x:v>40840.22083333333</x:v>
      </x:c>
      <x:c r="F4145" s="2" t="n">
        <x:v>47</x:v>
      </x:c>
      <x:c r="G4145" s="2" t="n">
        <x:v>2</x:v>
      </x:c>
      <x:c r="H4145" s="11" t="n">
        <x:v>1533.16</x:v>
      </x:c>
      <x:c r="I4145" s="2" t="n">
        <x:v>4</x:v>
      </x:c>
      <x:c r="J4145" s="2" t="n">
        <x:v>2</x:v>
      </x:c>
      <x:c r="K4145" s="2" t="n">
        <x:v>4</x:v>
      </x:c>
      <x:c r="L4145" s="2" t="str">
        <x:v>Recent light buyers</x:v>
      </x:c>
    </x:row>
    <x:row r="4146" ht="22" customHeight="1">
      <x:c r="A4146" s="2"/>
      <x:c r="B4146" s="2" t="str">
        <x:v>16492</x:v>
      </x:c>
      <x:c r="C4146" s="2" t="str">
        <x:v>United Kingdom</x:v>
      </x:c>
      <x:c r="D4146" s="25" t="n">
        <x:v>40346.13888888889</x:v>
      </x:c>
      <x:c r="E4146" s="25" t="n">
        <x:v>40346.13888888889</x:v>
      </x:c>
      <x:c r="F4146" s="2" t="n">
        <x:v>541</x:v>
      </x:c>
      <x:c r="G4146" s="2" t="n">
        <x:v>1</x:v>
      </x:c>
      <x:c r="H4146" s="11" t="n">
        <x:v>385.56</x:v>
      </x:c>
      <x:c r="I4146" s="2" t="n">
        <x:v>1</x:v>
      </x:c>
      <x:c r="J4146" s="2" t="n">
        <x:v>1</x:v>
      </x:c>
      <x:c r="K4146" s="2" t="n">
        <x:v>2</x:v>
      </x:c>
      <x:c r="L4146" s="2" t="str">
        <x:v>Hibernating</x:v>
      </x:c>
    </x:row>
    <x:row r="4147" ht="22" customHeight="1">
      <x:c r="A4147" s="2"/>
      <x:c r="B4147" s="2" t="str">
        <x:v>16493</x:v>
      </x:c>
      <x:c r="C4147" s="2" t="str">
        <x:v>United Kingdom</x:v>
      </x:c>
      <x:c r="D4147" s="25" t="n">
        <x:v>40263.336805555555</x:v>
      </x:c>
      <x:c r="E4147" s="25" t="n">
        <x:v>40807.256944444445</x:v>
      </x:c>
      <x:c r="F4147" s="2" t="n">
        <x:v>80</x:v>
      </x:c>
      <x:c r="G4147" s="2" t="n">
        <x:v>7</x:v>
      </x:c>
      <x:c r="H4147" s="11" t="n">
        <x:v>2132.09</x:v>
      </x:c>
      <x:c r="I4147" s="2" t="n">
        <x:v>3</x:v>
      </x:c>
      <x:c r="J4147" s="2" t="n">
        <x:v>4</x:v>
      </x:c>
      <x:c r="K4147" s="2" t="n">
        <x:v>4</x:v>
      </x:c>
      <x:c r="L4147" s="2" t="str">
        <x:v>Loyal</x:v>
      </x:c>
    </x:row>
    <x:row r="4148" ht="22" customHeight="1">
      <x:c r="A4148" s="2"/>
      <x:c r="B4148" s="2" t="str">
        <x:v>16494</x:v>
      </x:c>
      <x:c r="C4148" s="2" t="str">
        <x:v>United Kingdom</x:v>
      </x:c>
      <x:c r="D4148" s="25" t="n">
        <x:v>40590.325694444444</x:v>
      </x:c>
      <x:c r="E4148" s="25" t="n">
        <x:v>40590.325694444444</x:v>
      </x:c>
      <x:c r="F4148" s="2" t="n">
        <x:v>297</x:v>
      </x:c>
      <x:c r="G4148" s="2" t="n">
        <x:v>1</x:v>
      </x:c>
      <x:c r="H4148" s="11" t="n">
        <x:v>826.53</x:v>
      </x:c>
      <x:c r="I4148" s="2" t="n">
        <x:v>2</x:v>
      </x:c>
      <x:c r="J4148" s="2" t="n">
        <x:v>1</x:v>
      </x:c>
      <x:c r="K4148" s="2" t="n">
        <x:v>3</x:v>
      </x:c>
      <x:c r="L4148" s="2" t="str">
        <x:v>Hibernating</x:v>
      </x:c>
    </x:row>
    <x:row r="4149" ht="22" customHeight="1">
      <x:c r="A4149" s="2"/>
      <x:c r="B4149" s="2" t="str">
        <x:v>16495</x:v>
      </x:c>
      <x:c r="C4149" s="2" t="str">
        <x:v>United Kingdom</x:v>
      </x:c>
      <x:c r="D4149" s="25" t="n">
        <x:v>40610.48472222222</x:v>
      </x:c>
      <x:c r="E4149" s="25" t="n">
        <x:v>40883.34722222222</x:v>
      </x:c>
      <x:c r="F4149" s="2" t="n">
        <x:v>4</x:v>
      </x:c>
      <x:c r="G4149" s="2" t="n">
        <x:v>3</x:v>
      </x:c>
      <x:c r="H4149" s="11" t="n">
        <x:v>684.41</x:v>
      </x:c>
      <x:c r="I4149" s="2" t="n">
        <x:v>5</x:v>
      </x:c>
      <x:c r="J4149" s="2" t="n">
        <x:v>3</x:v>
      </x:c>
      <x:c r="K4149" s="2" t="n">
        <x:v>3</x:v>
      </x:c>
      <x:c r="L4149" s="2" t="str">
        <x:v>Loyal</x:v>
      </x:c>
    </x:row>
    <x:row r="4150" ht="22" customHeight="1">
      <x:c r="A4150" s="2"/>
      <x:c r="B4150" s="2" t="str">
        <x:v>16496</x:v>
      </x:c>
      <x:c r="C4150" s="2" t="str">
        <x:v>United Kingdom</x:v>
      </x:c>
      <x:c r="D4150" s="25" t="n">
        <x:v>40377.3625</x:v>
      </x:c>
      <x:c r="E4150" s="25" t="n">
        <x:v>40878.22986111111</x:v>
      </x:c>
      <x:c r="F4150" s="2" t="n">
        <x:v>9</x:v>
      </x:c>
      <x:c r="G4150" s="2" t="n">
        <x:v>6</x:v>
      </x:c>
      <x:c r="H4150" s="11" t="n">
        <x:v>2330.77</x:v>
      </x:c>
      <x:c r="I4150" s="2" t="n">
        <x:v>5</x:v>
      </x:c>
      <x:c r="J4150" s="2" t="n">
        <x:v>4</x:v>
      </x:c>
      <x:c r="K4150" s="2" t="n">
        <x:v>4</x:v>
      </x:c>
      <x:c r="L4150" s="2" t="str">
        <x:v>Champions</x:v>
      </x:c>
    </x:row>
    <x:row r="4151" ht="22" customHeight="1">
      <x:c r="A4151" s="2"/>
      <x:c r="B4151" s="2" t="str">
        <x:v>16497</x:v>
      </x:c>
      <x:c r="C4151" s="2" t="str">
        <x:v>United Kingdom</x:v>
      </x:c>
      <x:c r="D4151" s="25" t="n">
        <x:v>40150.38263888889</x:v>
      </x:c>
      <x:c r="E4151" s="25" t="n">
        <x:v>40837.24652777778</x:v>
      </x:c>
      <x:c r="F4151" s="2" t="n">
        <x:v>50</x:v>
      </x:c>
      <x:c r="G4151" s="2" t="n">
        <x:v>23</x:v>
      </x:c>
      <x:c r="H4151" s="11" t="n">
        <x:v>6695.28</x:v>
      </x:c>
      <x:c r="I4151" s="2" t="n">
        <x:v>4</x:v>
      </x:c>
      <x:c r="J4151" s="2" t="n">
        <x:v>5</x:v>
      </x:c>
      <x:c r="K4151" s="2" t="n">
        <x:v>5</x:v>
      </x:c>
      <x:c r="L4151" s="2" t="str">
        <x:v>Champions</x:v>
      </x:c>
    </x:row>
    <x:row r="4152" ht="22" customHeight="1">
      <x:c r="A4152" s="2"/>
      <x:c r="B4152" s="2" t="str">
        <x:v>16498</x:v>
      </x:c>
      <x:c r="C4152" s="2" t="str">
        <x:v>United Kingdom</x:v>
      </x:c>
      <x:c r="D4152" s="25" t="n">
        <x:v>40724.61944444444</x:v>
      </x:c>
      <x:c r="E4152" s="25" t="n">
        <x:v>40725.42152777778</x:v>
      </x:c>
      <x:c r="F4152" s="2" t="n">
        <x:v>162</x:v>
      </x:c>
      <x:c r="G4152" s="2" t="n">
        <x:v>2</x:v>
      </x:c>
      <x:c r="H4152" s="11" t="n">
        <x:v>100.97</x:v>
      </x:c>
      <x:c r="I4152" s="2" t="n">
        <x:v>3</x:v>
      </x:c>
      <x:c r="J4152" s="2" t="n">
        <x:v>2</x:v>
      </x:c>
      <x:c r="K4152" s="2" t="n">
        <x:v>1</x:v>
      </x:c>
      <x:c r="L4152" s="2" t="str">
        <x:v>Developing</x:v>
      </x:c>
    </x:row>
    <x:row r="4153" ht="22" customHeight="1">
      <x:c r="A4153" s="2"/>
      <x:c r="B4153" s="2" t="str">
        <x:v>16499</x:v>
      </x:c>
      <x:c r="C4153" s="2" t="str">
        <x:v>United Kingdom</x:v>
      </x:c>
      <x:c r="D4153" s="25" t="n">
        <x:v>40340.30694444444</x:v>
      </x:c>
      <x:c r="E4153" s="25" t="n">
        <x:v>40526.35486111111</x:v>
      </x:c>
      <x:c r="F4153" s="2" t="n">
        <x:v>361</x:v>
      </x:c>
      <x:c r="G4153" s="2" t="n">
        <x:v>8</x:v>
      </x:c>
      <x:c r="H4153" s="11" t="n">
        <x:v>2578.34</x:v>
      </x:c>
      <x:c r="I4153" s="2" t="n">
        <x:v>2</x:v>
      </x:c>
      <x:c r="J4153" s="2" t="n">
        <x:v>4</x:v>
      </x:c>
      <x:c r="K4153" s="2" t="n">
        <x:v>4</x:v>
      </x:c>
      <x:c r="L4153" s="2" t="str">
        <x:v>At risk</x:v>
      </x:c>
    </x:row>
    <x:row r="4154" ht="22" customHeight="1">
      <x:c r="A4154" s="2"/>
      <x:c r="B4154" s="2" t="str">
        <x:v>16500</x:v>
      </x:c>
      <x:c r="C4154" s="2" t="str">
        <x:v>United Kingdom</x:v>
      </x:c>
      <x:c r="D4154" s="25" t="n">
        <x:v>40343.4125</x:v>
      </x:c>
      <x:c r="E4154" s="25" t="n">
        <x:v>40882.294444444444</x:v>
      </x:c>
      <x:c r="F4154" s="2" t="n">
        <x:v>5</x:v>
      </x:c>
      <x:c r="G4154" s="2" t="n">
        <x:v>9</x:v>
      </x:c>
      <x:c r="H4154" s="11" t="n">
        <x:v>843.91</x:v>
      </x:c>
      <x:c r="I4154" s="2" t="n">
        <x:v>5</x:v>
      </x:c>
      <x:c r="J4154" s="2" t="n">
        <x:v>5</x:v>
      </x:c>
      <x:c r="K4154" s="2" t="n">
        <x:v>3</x:v>
      </x:c>
      <x:c r="L4154" s="2" t="str">
        <x:v>Loyal</x:v>
      </x:c>
    </x:row>
    <x:row r="4155" ht="22" customHeight="1">
      <x:c r="A4155" s="2"/>
      <x:c r="B4155" s="2" t="str">
        <x:v>16501</x:v>
      </x:c>
      <x:c r="C4155" s="2" t="str">
        <x:v>United Kingdom</x:v>
      </x:c>
      <x:c r="D4155" s="25" t="n">
        <x:v>40503.381944444445</x:v>
      </x:c>
      <x:c r="E4155" s="25" t="n">
        <x:v>40503.381944444445</x:v>
      </x:c>
      <x:c r="F4155" s="2" t="n">
        <x:v>384</x:v>
      </x:c>
      <x:c r="G4155" s="2" t="n">
        <x:v>1</x:v>
      </x:c>
      <x:c r="H4155" s="11" t="n">
        <x:v>1237.23</x:v>
      </x:c>
      <x:c r="I4155" s="2" t="n">
        <x:v>2</x:v>
      </x:c>
      <x:c r="J4155" s="2" t="n">
        <x:v>1</x:v>
      </x:c>
      <x:c r="K4155" s="2" t="n">
        <x:v>4</x:v>
      </x:c>
      <x:c r="L4155" s="2" t="str">
        <x:v>Hibernating</x:v>
      </x:c>
    </x:row>
    <x:row r="4156" ht="22" customHeight="1">
      <x:c r="A4156" s="2"/>
      <x:c r="B4156" s="2" t="str">
        <x:v>16502</x:v>
      </x:c>
      <x:c r="C4156" s="2" t="str">
        <x:v>United Kingdom</x:v>
      </x:c>
      <x:c r="D4156" s="25" t="n">
        <x:v>40266.36041666667</x:v>
      </x:c>
      <x:c r="E4156" s="25" t="n">
        <x:v>40266.36388888889</x:v>
      </x:c>
      <x:c r="F4156" s="2" t="n">
        <x:v>621</x:v>
      </x:c>
      <x:c r="G4156" s="2" t="n">
        <x:v>2</x:v>
      </x:c>
      <x:c r="H4156" s="11" t="n">
        <x:v>266.5</x:v>
      </x:c>
      <x:c r="I4156" s="2" t="n">
        <x:v>1</x:v>
      </x:c>
      <x:c r="J4156" s="2" t="n">
        <x:v>2</x:v>
      </x:c>
      <x:c r="K4156" s="2" t="n">
        <x:v>1</x:v>
      </x:c>
      <x:c r="L4156" s="2" t="str">
        <x:v>Hibernating</x:v>
      </x:c>
    </x:row>
    <x:row r="4157" ht="22" customHeight="1">
      <x:c r="A4157" s="2"/>
      <x:c r="B4157" s="2" t="str">
        <x:v>16503</x:v>
      </x:c>
      <x:c r="C4157" s="2" t="str">
        <x:v>United Kingdom</x:v>
      </x:c>
      <x:c r="D4157" s="25" t="n">
        <x:v>40350.37986111111</x:v>
      </x:c>
      <x:c r="E4157" s="25" t="n">
        <x:v>40780.28194444445</x:v>
      </x:c>
      <x:c r="F4157" s="2" t="n">
        <x:v>107</x:v>
      </x:c>
      <x:c r="G4157" s="2" t="n">
        <x:v>11</x:v>
      </x:c>
      <x:c r="H4157" s="11" t="n">
        <x:v>3614.34</x:v>
      </x:c>
      <x:c r="I4157" s="2" t="n">
        <x:v>3</x:v>
      </x:c>
      <x:c r="J4157" s="2" t="n">
        <x:v>5</x:v>
      </x:c>
      <x:c r="K4157" s="2" t="n">
        <x:v>5</x:v>
      </x:c>
      <x:c r="L4157" s="2" t="str">
        <x:v>Loyal</x:v>
      </x:c>
    </x:row>
    <x:row r="4158" ht="22" customHeight="1">
      <x:c r="A4158" s="2"/>
      <x:c r="B4158" s="2" t="str">
        <x:v>16504</x:v>
      </x:c>
      <x:c r="C4158" s="2" t="str">
        <x:v>United Kingdom</x:v>
      </x:c>
      <x:c r="D4158" s="25" t="n">
        <x:v>40861.42916666667</x:v>
      </x:c>
      <x:c r="E4158" s="25" t="n">
        <x:v>40861.42916666667</x:v>
      </x:c>
      <x:c r="F4158" s="2" t="n">
        <x:v>26</x:v>
      </x:c>
      <x:c r="G4158" s="2" t="n">
        <x:v>1</x:v>
      </x:c>
      <x:c r="H4158" s="11" t="n">
        <x:v>484.38</x:v>
      </x:c>
      <x:c r="I4158" s="2" t="n">
        <x:v>4</x:v>
      </x:c>
      <x:c r="J4158" s="2" t="n">
        <x:v>1</x:v>
      </x:c>
      <x:c r="K4158" s="2" t="n">
        <x:v>2</x:v>
      </x:c>
      <x:c r="L4158" s="2" t="str">
        <x:v>Recent light buyers</x:v>
      </x:c>
    </x:row>
    <x:row r="4159" ht="22" customHeight="1">
      <x:c r="A4159" s="2"/>
      <x:c r="B4159" s="2" t="str">
        <x:v>16505</x:v>
      </x:c>
      <x:c r="C4159" s="2" t="str">
        <x:v>United Kingdom</x:v>
      </x:c>
      <x:c r="D4159" s="25" t="n">
        <x:v>40855.30138888889</x:v>
      </x:c>
      <x:c r="E4159" s="25" t="n">
        <x:v>40855.30138888889</x:v>
      </x:c>
      <x:c r="F4159" s="2" t="n">
        <x:v>32</x:v>
      </x:c>
      <x:c r="G4159" s="2" t="n">
        <x:v>1</x:v>
      </x:c>
      <x:c r="H4159" s="11" t="n">
        <x:v>777.6</x:v>
      </x:c>
      <x:c r="I4159" s="2" t="n">
        <x:v>4</x:v>
      </x:c>
      <x:c r="J4159" s="2" t="n">
        <x:v>1</x:v>
      </x:c>
      <x:c r="K4159" s="2" t="n">
        <x:v>3</x:v>
      </x:c>
      <x:c r="L4159" s="2" t="str">
        <x:v>Recent light buyers</x:v>
      </x:c>
    </x:row>
    <x:row r="4160" ht="22" customHeight="1">
      <x:c r="A4160" s="2"/>
      <x:c r="B4160" s="2" t="str">
        <x:v>16506</x:v>
      </x:c>
      <x:c r="C4160" s="2" t="str">
        <x:v>United Kingdom</x:v>
      </x:c>
      <x:c r="D4160" s="25" t="n">
        <x:v>40846.45138888889</x:v>
      </x:c>
      <x:c r="E4160" s="25" t="n">
        <x:v>40867.30347222222</x:v>
      </x:c>
      <x:c r="F4160" s="2" t="n">
        <x:v>20</x:v>
      </x:c>
      <x:c r="G4160" s="2" t="n">
        <x:v>2</x:v>
      </x:c>
      <x:c r="H4160" s="11" t="n">
        <x:v>90.3</x:v>
      </x:c>
      <x:c r="I4160" s="2" t="n">
        <x:v>5</x:v>
      </x:c>
      <x:c r="J4160" s="2" t="n">
        <x:v>2</x:v>
      </x:c>
      <x:c r="K4160" s="2" t="n">
        <x:v>1</x:v>
      </x:c>
      <x:c r="L4160" s="2" t="str">
        <x:v>Recent light buyers</x:v>
      </x:c>
    </x:row>
    <x:row r="4161" ht="22" customHeight="1">
      <x:c r="A4161" s="2"/>
      <x:c r="B4161" s="2" t="str">
        <x:v>16507</x:v>
      </x:c>
      <x:c r="C4161" s="2" t="str">
        <x:v>United Kingdom</x:v>
      </x:c>
      <x:c r="D4161" s="25" t="n">
        <x:v>40314.330555555556</x:v>
      </x:c>
      <x:c r="E4161" s="25" t="n">
        <x:v>40314.330555555556</x:v>
      </x:c>
      <x:c r="F4161" s="2" t="n">
        <x:v>573</x:v>
      </x:c>
      <x:c r="G4161" s="2" t="n">
        <x:v>1</x:v>
      </x:c>
      <x:c r="H4161" s="11" t="n">
        <x:v>152.76</x:v>
      </x:c>
      <x:c r="I4161" s="2" t="n">
        <x:v>1</x:v>
      </x:c>
      <x:c r="J4161" s="2" t="n">
        <x:v>1</x:v>
      </x:c>
      <x:c r="K4161" s="2" t="n">
        <x:v>1</x:v>
      </x:c>
      <x:c r="L4161" s="2" t="str">
        <x:v>Hibernating</x:v>
      </x:c>
    </x:row>
    <x:row r="4162" ht="22" customHeight="1">
      <x:c r="A4162" s="2"/>
      <x:c r="B4162" s="2" t="str">
        <x:v>16508</x:v>
      </x:c>
      <x:c r="C4162" s="2" t="str">
        <x:v>United Kingdom</x:v>
      </x:c>
      <x:c r="D4162" s="25" t="n">
        <x:v>40256.361805555556</x:v>
      </x:c>
      <x:c r="E4162" s="25" t="n">
        <x:v>40256.361805555556</x:v>
      </x:c>
      <x:c r="F4162" s="2" t="n">
        <x:v>631</x:v>
      </x:c>
      <x:c r="G4162" s="2" t="n">
        <x:v>1</x:v>
      </x:c>
      <x:c r="H4162" s="11" t="n">
        <x:v>248.8</x:v>
      </x:c>
      <x:c r="I4162" s="2" t="n">
        <x:v>1</x:v>
      </x:c>
      <x:c r="J4162" s="2" t="n">
        <x:v>1</x:v>
      </x:c>
      <x:c r="K4162" s="2" t="n">
        <x:v>1</x:v>
      </x:c>
      <x:c r="L4162" s="2" t="str">
        <x:v>Hibernating</x:v>
      </x:c>
    </x:row>
    <x:row r="4163" ht="22" customHeight="1">
      <x:c r="A4163" s="2"/>
      <x:c r="B4163" s="2" t="str">
        <x:v>16509</x:v>
      </x:c>
      <x:c r="C4163" s="2" t="str">
        <x:v>United Kingdom</x:v>
      </x:c>
      <x:c r="D4163" s="25" t="n">
        <x:v>40590.18402777778</x:v>
      </x:c>
      <x:c r="E4163" s="25" t="n">
        <x:v>40590.18402777778</x:v>
      </x:c>
      <x:c r="F4163" s="2" t="n">
        <x:v>297</x:v>
      </x:c>
      <x:c r="G4163" s="2" t="n">
        <x:v>1</x:v>
      </x:c>
      <x:c r="H4163" s="11" t="n">
        <x:v>363.7</x:v>
      </x:c>
      <x:c r="I4163" s="2" t="n">
        <x:v>2</x:v>
      </x:c>
      <x:c r="J4163" s="2" t="n">
        <x:v>1</x:v>
      </x:c>
      <x:c r="K4163" s="2" t="n">
        <x:v>2</x:v>
      </x:c>
      <x:c r="L4163" s="2" t="str">
        <x:v>Hibernating</x:v>
      </x:c>
    </x:row>
    <x:row r="4164" ht="22" customHeight="1">
      <x:c r="A4164" s="2"/>
      <x:c r="B4164" s="2" t="str">
        <x:v>16510</x:v>
      </x:c>
      <x:c r="C4164" s="2" t="str">
        <x:v>United Kingdom</x:v>
      </x:c>
      <x:c r="D4164" s="25" t="n">
        <x:v>40195.3125</x:v>
      </x:c>
      <x:c r="E4164" s="25" t="n">
        <x:v>40514.36041666667</x:v>
      </x:c>
      <x:c r="F4164" s="2" t="n">
        <x:v>373</x:v>
      </x:c>
      <x:c r="G4164" s="2" t="n">
        <x:v>6</x:v>
      </x:c>
      <x:c r="H4164" s="11" t="n">
        <x:v>1851.9</x:v>
      </x:c>
      <x:c r="I4164" s="2" t="n">
        <x:v>2</x:v>
      </x:c>
      <x:c r="J4164" s="2" t="n">
        <x:v>4</x:v>
      </x:c>
      <x:c r="K4164" s="2" t="n">
        <x:v>4</x:v>
      </x:c>
      <x:c r="L4164" s="2" t="str">
        <x:v>At risk</x:v>
      </x:c>
    </x:row>
    <x:row r="4165" ht="22" customHeight="1">
      <x:c r="A4165" s="2"/>
      <x:c r="B4165" s="2" t="str">
        <x:v>16511</x:v>
      </x:c>
      <x:c r="C4165" s="2" t="str">
        <x:v>United Kingdom</x:v>
      </x:c>
      <x:c r="D4165" s="25" t="n">
        <x:v>40238.30625</x:v>
      </x:c>
      <x:c r="E4165" s="25" t="n">
        <x:v>40865.236805555556</x:v>
      </x:c>
      <x:c r="F4165" s="2" t="n">
        <x:v>22</x:v>
      </x:c>
      <x:c r="G4165" s="2" t="n">
        <x:v>6</x:v>
      </x:c>
      <x:c r="H4165" s="11" t="n">
        <x:v>1819.02</x:v>
      </x:c>
      <x:c r="I4165" s="2" t="n">
        <x:v>4</x:v>
      </x:c>
      <x:c r="J4165" s="2" t="n">
        <x:v>4</x:v>
      </x:c>
      <x:c r="K4165" s="2" t="n">
        <x:v>4</x:v>
      </x:c>
      <x:c r="L4165" s="2" t="str">
        <x:v>Champions</x:v>
      </x:c>
    </x:row>
    <x:row r="4166" ht="22" customHeight="1">
      <x:c r="A4166" s="2"/>
      <x:c r="B4166" s="2" t="str">
        <x:v>16513</x:v>
      </x:c>
      <x:c r="C4166" s="2" t="str">
        <x:v>United Kingdom</x:v>
      </x:c>
      <x:c r="D4166" s="25" t="n">
        <x:v>40843.41388888889</x:v>
      </x:c>
      <x:c r="E4166" s="25" t="n">
        <x:v>40882.22083333333</x:v>
      </x:c>
      <x:c r="F4166" s="2" t="n">
        <x:v>5</x:v>
      </x:c>
      <x:c r="G4166" s="2" t="n">
        <x:v>4</x:v>
      </x:c>
      <x:c r="H4166" s="11" t="n">
        <x:v>874.59</x:v>
      </x:c>
      <x:c r="I4166" s="2" t="n">
        <x:v>5</x:v>
      </x:c>
      <x:c r="J4166" s="2" t="n">
        <x:v>3</x:v>
      </x:c>
      <x:c r="K4166" s="2" t="n">
        <x:v>3</x:v>
      </x:c>
      <x:c r="L4166" s="2" t="str">
        <x:v>Loyal</x:v>
      </x:c>
    </x:row>
    <x:row r="4167" ht="22" customHeight="1">
      <x:c r="A4167" s="2"/>
      <x:c r="B4167" s="2" t="str">
        <x:v>16515</x:v>
      </x:c>
      <x:c r="C4167" s="2" t="str">
        <x:v>United Kingdom</x:v>
      </x:c>
      <x:c r="D4167" s="25" t="n">
        <x:v>40346.30347222222</x:v>
      </x:c>
      <x:c r="E4167" s="25" t="n">
        <x:v>40834.34027777778</x:v>
      </x:c>
      <x:c r="F4167" s="2" t="n">
        <x:v>53</x:v>
      </x:c>
      <x:c r="G4167" s="2" t="n">
        <x:v>10</x:v>
      </x:c>
      <x:c r="H4167" s="11" t="n">
        <x:v>3216.3</x:v>
      </x:c>
      <x:c r="I4167" s="2" t="n">
        <x:v>4</x:v>
      </x:c>
      <x:c r="J4167" s="2" t="n">
        <x:v>5</x:v>
      </x:c>
      <x:c r="K4167" s="2" t="n">
        <x:v>5</x:v>
      </x:c>
      <x:c r="L4167" s="2" t="str">
        <x:v>Champions</x:v>
      </x:c>
    </x:row>
    <x:row r="4168" ht="22" customHeight="1">
      <x:c r="A4168" s="2"/>
      <x:c r="B4168" s="2" t="str">
        <x:v>16516</x:v>
      </x:c>
      <x:c r="C4168" s="2" t="str">
        <x:v>United Kingdom</x:v>
      </x:c>
      <x:c r="D4168" s="25" t="n">
        <x:v>40856.415972222225</x:v>
      </x:c>
      <x:c r="E4168" s="25" t="n">
        <x:v>40856.415972222225</x:v>
      </x:c>
      <x:c r="F4168" s="2" t="n">
        <x:v>31</x:v>
      </x:c>
      <x:c r="G4168" s="2" t="n">
        <x:v>1</x:v>
      </x:c>
      <x:c r="H4168" s="11" t="n">
        <x:v>101.7</x:v>
      </x:c>
      <x:c r="I4168" s="2" t="n">
        <x:v>4</x:v>
      </x:c>
      <x:c r="J4168" s="2" t="n">
        <x:v>1</x:v>
      </x:c>
      <x:c r="K4168" s="2" t="n">
        <x:v>1</x:v>
      </x:c>
      <x:c r="L4168" s="2" t="str">
        <x:v>Recent light buyers</x:v>
      </x:c>
    </x:row>
    <x:row r="4169" ht="22" customHeight="1">
      <x:c r="A4169" s="2"/>
      <x:c r="B4169" s="2" t="str">
        <x:v>16517</x:v>
      </x:c>
      <x:c r="C4169" s="2" t="str">
        <x:v>United Kingdom</x:v>
      </x:c>
      <x:c r="D4169" s="25" t="n">
        <x:v>40609.368055555555</x:v>
      </x:c>
      <x:c r="E4169" s="25" t="n">
        <x:v>40609.368055555555</x:v>
      </x:c>
      <x:c r="F4169" s="2" t="n">
        <x:v>278</x:v>
      </x:c>
      <x:c r="G4169" s="2" t="n">
        <x:v>1</x:v>
      </x:c>
      <x:c r="H4169" s="11" t="n">
        <x:v>162.7</x:v>
      </x:c>
      <x:c r="I4169" s="2" t="n">
        <x:v>2</x:v>
      </x:c>
      <x:c r="J4169" s="2" t="n">
        <x:v>1</x:v>
      </x:c>
      <x:c r="K4169" s="2" t="n">
        <x:v>1</x:v>
      </x:c>
      <x:c r="L4169" s="2" t="str">
        <x:v>Hibernating</x:v>
      </x:c>
    </x:row>
    <x:row r="4170" ht="22" customHeight="1">
      <x:c r="A4170" s="2"/>
      <x:c r="B4170" s="2" t="str">
        <x:v>16518</x:v>
      </x:c>
      <x:c r="C4170" s="2" t="str">
        <x:v>United Kingdom</x:v>
      </x:c>
      <x:c r="D4170" s="25" t="n">
        <x:v>40330.35486111111</x:v>
      </x:c>
      <x:c r="E4170" s="25" t="n">
        <x:v>40825.419444444444</x:v>
      </x:c>
      <x:c r="F4170" s="2" t="n">
        <x:v>62</x:v>
      </x:c>
      <x:c r="G4170" s="2" t="n">
        <x:v>4</x:v>
      </x:c>
      <x:c r="H4170" s="11" t="n">
        <x:v>959.37</x:v>
      </x:c>
      <x:c r="I4170" s="2" t="n">
        <x:v>3</x:v>
      </x:c>
      <x:c r="J4170" s="2" t="n">
        <x:v>3</x:v>
      </x:c>
      <x:c r="K4170" s="2" t="n">
        <x:v>3</x:v>
      </x:c>
      <x:c r="L4170" s="2" t="str">
        <x:v>Loyal</x:v>
      </x:c>
    </x:row>
    <x:row r="4171" ht="22" customHeight="1">
      <x:c r="A4171" s="2"/>
      <x:c r="B4171" s="2" t="str">
        <x:v>16519</x:v>
      </x:c>
      <x:c r="C4171" s="2" t="str">
        <x:v>United Kingdom</x:v>
      </x:c>
      <x:c r="D4171" s="25" t="n">
        <x:v>40238.36875</x:v>
      </x:c>
      <x:c r="E4171" s="25" t="n">
        <x:v>40861.44513888889</x:v>
      </x:c>
      <x:c r="F4171" s="2" t="n">
        <x:v>26</x:v>
      </x:c>
      <x:c r="G4171" s="2" t="n">
        <x:v>4</x:v>
      </x:c>
      <x:c r="H4171" s="11" t="n">
        <x:v>452.56</x:v>
      </x:c>
      <x:c r="I4171" s="2" t="n">
        <x:v>4</x:v>
      </x:c>
      <x:c r="J4171" s="2" t="n">
        <x:v>3</x:v>
      </x:c>
      <x:c r="K4171" s="2" t="n">
        <x:v>2</x:v>
      </x:c>
      <x:c r="L4171" s="2" t="str">
        <x:v>Loyal</x:v>
      </x:c>
    </x:row>
    <x:row r="4172" ht="22" customHeight="1">
      <x:c r="A4172" s="2"/>
      <x:c r="B4172" s="2" t="str">
        <x:v>16520</x:v>
      </x:c>
      <x:c r="C4172" s="2" t="str">
        <x:v>United Kingdom</x:v>
      </x:c>
      <x:c r="D4172" s="25" t="n">
        <x:v>40239.493055555555</x:v>
      </x:c>
      <x:c r="E4172" s="25" t="n">
        <x:v>40700.35</x:v>
      </x:c>
      <x:c r="F4172" s="2" t="n">
        <x:v>187</x:v>
      </x:c>
      <x:c r="G4172" s="2" t="n">
        <x:v>6</x:v>
      </x:c>
      <x:c r="H4172" s="11" t="n">
        <x:v>2156.86</x:v>
      </x:c>
      <x:c r="I4172" s="2" t="n">
        <x:v>3</x:v>
      </x:c>
      <x:c r="J4172" s="2" t="n">
        <x:v>4</x:v>
      </x:c>
      <x:c r="K4172" s="2" t="n">
        <x:v>4</x:v>
      </x:c>
      <x:c r="L4172" s="2" t="str">
        <x:v>Loyal</x:v>
      </x:c>
    </x:row>
    <x:row r="4173" ht="22" customHeight="1">
      <x:c r="A4173" s="2"/>
      <x:c r="B4173" s="2" t="str">
        <x:v>16521</x:v>
      </x:c>
      <x:c r="C4173" s="2" t="str">
        <x:v>United Kingdom</x:v>
      </x:c>
      <x:c r="D4173" s="25" t="n">
        <x:v>40238.34861111111</x:v>
      </x:c>
      <x:c r="E4173" s="25" t="n">
        <x:v>40471.339583333334</x:v>
      </x:c>
      <x:c r="F4173" s="2" t="n">
        <x:v>416</x:v>
      </x:c>
      <x:c r="G4173" s="2" t="n">
        <x:v>3</x:v>
      </x:c>
      <x:c r="H4173" s="11" t="n">
        <x:v>1148.01</x:v>
      </x:c>
      <x:c r="I4173" s="2" t="n">
        <x:v>1</x:v>
      </x:c>
      <x:c r="J4173" s="2" t="n">
        <x:v>3</x:v>
      </x:c>
      <x:c r="K4173" s="2" t="n">
        <x:v>3</x:v>
      </x:c>
      <x:c r="L4173" s="2" t="str">
        <x:v>At risk</x:v>
      </x:c>
    </x:row>
    <x:row r="4174" ht="22" customHeight="1">
      <x:c r="A4174" s="2"/>
      <x:c r="B4174" s="2" t="str">
        <x:v>16522</x:v>
      </x:c>
      <x:c r="C4174" s="2" t="str">
        <x:v>United Kingdom</x:v>
      </x:c>
      <x:c r="D4174" s="25" t="n">
        <x:v>40436.35555555556</x:v>
      </x:c>
      <x:c r="E4174" s="25" t="n">
        <x:v>40451.245833333334</x:v>
      </x:c>
      <x:c r="F4174" s="2" t="n">
        <x:v>436</x:v>
      </x:c>
      <x:c r="G4174" s="2" t="n">
        <x:v>2</x:v>
      </x:c>
      <x:c r="H4174" s="11" t="n">
        <x:v>433.36</x:v>
      </x:c>
      <x:c r="I4174" s="2" t="n">
        <x:v>1</x:v>
      </x:c>
      <x:c r="J4174" s="2" t="n">
        <x:v>2</x:v>
      </x:c>
      <x:c r="K4174" s="2" t="n">
        <x:v>2</x:v>
      </x:c>
      <x:c r="L4174" s="2" t="str">
        <x:v>Hibernating</x:v>
      </x:c>
    </x:row>
    <x:row r="4175" ht="22" customHeight="1">
      <x:c r="A4175" s="2"/>
      <x:c r="B4175" s="2" t="str">
        <x:v>16523</x:v>
      </x:c>
      <x:c r="C4175" s="2" t="str">
        <x:v>United Kingdom</x:v>
      </x:c>
      <x:c r="D4175" s="25" t="n">
        <x:v>40202.34305555555</x:v>
      </x:c>
      <x:c r="E4175" s="25" t="n">
        <x:v>40885.17083333333</x:v>
      </x:c>
      <x:c r="F4175" s="2" t="n">
        <x:v>2</x:v>
      </x:c>
      <x:c r="G4175" s="2" t="n">
        <x:v>28</x:v>
      </x:c>
      <x:c r="H4175" s="11" t="n">
        <x:v>11916.33</x:v>
      </x:c>
      <x:c r="I4175" s="2" t="n">
        <x:v>5</x:v>
      </x:c>
      <x:c r="J4175" s="2" t="n">
        <x:v>5</x:v>
      </x:c>
      <x:c r="K4175" s="2" t="n">
        <x:v>5</x:v>
      </x:c>
      <x:c r="L4175" s="2" t="str">
        <x:v>Champions</x:v>
      </x:c>
    </x:row>
    <x:row r="4176" ht="22" customHeight="1">
      <x:c r="A4176" s="2"/>
      <x:c r="B4176" s="2" t="str">
        <x:v>16524</x:v>
      </x:c>
      <x:c r="C4176" s="2" t="str">
        <x:v>United Kingdom</x:v>
      </x:c>
      <x:c r="D4176" s="25" t="n">
        <x:v>40195.34444444445</x:v>
      </x:c>
      <x:c r="E4176" s="25" t="n">
        <x:v>40440.35902777778</x:v>
      </x:c>
      <x:c r="F4176" s="2" t="n">
        <x:v>447</x:v>
      </x:c>
      <x:c r="G4176" s="2" t="n">
        <x:v>2</x:v>
      </x:c>
      <x:c r="H4176" s="11" t="n">
        <x:v>308.14</x:v>
      </x:c>
      <x:c r="I4176" s="2" t="n">
        <x:v>1</x:v>
      </x:c>
      <x:c r="J4176" s="2" t="n">
        <x:v>2</x:v>
      </x:c>
      <x:c r="K4176" s="2" t="n">
        <x:v>2</x:v>
      </x:c>
      <x:c r="L4176" s="2" t="str">
        <x:v>Hibernating</x:v>
      </x:c>
    </x:row>
    <x:row r="4177" ht="22" customHeight="1">
      <x:c r="A4177" s="2"/>
      <x:c r="B4177" s="2" t="str">
        <x:v>16525</x:v>
      </x:c>
      <x:c r="C4177" s="2" t="str">
        <x:v>United Kingdom</x:v>
      </x:c>
      <x:c r="D4177" s="25" t="n">
        <x:v>40149.37013888889</x:v>
      </x:c>
      <x:c r="E4177" s="25" t="n">
        <x:v>40884.42152777778</x:v>
      </x:c>
      <x:c r="F4177" s="2" t="n">
        <x:v>3</x:v>
      </x:c>
      <x:c r="G4177" s="2" t="n">
        <x:v>48</x:v>
      </x:c>
      <x:c r="H4177" s="11" t="n">
        <x:v>24171.2</x:v>
      </x:c>
      <x:c r="I4177" s="2" t="n">
        <x:v>5</x:v>
      </x:c>
      <x:c r="J4177" s="2" t="n">
        <x:v>5</x:v>
      </x:c>
      <x:c r="K4177" s="2" t="n">
        <x:v>5</x:v>
      </x:c>
      <x:c r="L4177" s="2" t="str">
        <x:v>Champions</x:v>
      </x:c>
    </x:row>
    <x:row r="4178" ht="22" customHeight="1">
      <x:c r="A4178" s="2"/>
      <x:c r="B4178" s="2" t="str">
        <x:v>16526</x:v>
      </x:c>
      <x:c r="C4178" s="2" t="str">
        <x:v>United Kingdom</x:v>
      </x:c>
      <x:c r="D4178" s="25" t="n">
        <x:v>40302.481944444444</x:v>
      </x:c>
      <x:c r="E4178" s="25" t="n">
        <x:v>40715.29305555556</x:v>
      </x:c>
      <x:c r="F4178" s="2" t="n">
        <x:v>172</x:v>
      </x:c>
      <x:c r="G4178" s="2" t="n">
        <x:v>2</x:v>
      </x:c>
      <x:c r="H4178" s="11" t="n">
        <x:v>717.21</x:v>
      </x:c>
      <x:c r="I4178" s="2" t="n">
        <x:v>3</x:v>
      </x:c>
      <x:c r="J4178" s="2" t="n">
        <x:v>2</x:v>
      </x:c>
      <x:c r="K4178" s="2" t="n">
        <x:v>3</x:v>
      </x:c>
      <x:c r="L4178" s="2" t="str">
        <x:v>Developing</x:v>
      </x:c>
    </x:row>
    <x:row r="4179" ht="22" customHeight="1">
      <x:c r="A4179" s="2"/>
      <x:c r="B4179" s="2" t="str">
        <x:v>16527</x:v>
      </x:c>
      <x:c r="C4179" s="2" t="str">
        <x:v>United Kingdom</x:v>
      </x:c>
      <x:c r="D4179" s="25" t="n">
        <x:v>40462.350694444445</x:v>
      </x:c>
      <x:c r="E4179" s="25" t="n">
        <x:v>40805.472916666666</x:v>
      </x:c>
      <x:c r="F4179" s="2" t="n">
        <x:v>82</x:v>
      </x:c>
      <x:c r="G4179" s="2" t="n">
        <x:v>2</x:v>
      </x:c>
      <x:c r="H4179" s="11" t="n">
        <x:v>1272.44</x:v>
      </x:c>
      <x:c r="I4179" s="2" t="n">
        <x:v>3</x:v>
      </x:c>
      <x:c r="J4179" s="2" t="n">
        <x:v>2</x:v>
      </x:c>
      <x:c r="K4179" s="2" t="n">
        <x:v>4</x:v>
      </x:c>
      <x:c r="L4179" s="2" t="str">
        <x:v>Developing</x:v>
      </x:c>
    </x:row>
    <x:row r="4180" ht="22" customHeight="1">
      <x:c r="A4180" s="2"/>
      <x:c r="B4180" s="2" t="str">
        <x:v>16528</x:v>
      </x:c>
      <x:c r="C4180" s="2" t="str">
        <x:v>United Kingdom</x:v>
      </x:c>
      <x:c r="D4180" s="25" t="n">
        <x:v>40883.322916666664</x:v>
      </x:c>
      <x:c r="E4180" s="25" t="n">
        <x:v>40883.322916666664</x:v>
      </x:c>
      <x:c r="F4180" s="2" t="n">
        <x:v>4</x:v>
      </x:c>
      <x:c r="G4180" s="2" t="n">
        <x:v>1</x:v>
      </x:c>
      <x:c r="H4180" s="11" t="n">
        <x:v>244.41</x:v>
      </x:c>
      <x:c r="I4180" s="2" t="n">
        <x:v>5</x:v>
      </x:c>
      <x:c r="J4180" s="2" t="n">
        <x:v>1</x:v>
      </x:c>
      <x:c r="K4180" s="2" t="n">
        <x:v>1</x:v>
      </x:c>
      <x:c r="L4180" s="2" t="str">
        <x:v>Recent light buyers</x:v>
      </x:c>
    </x:row>
    <x:row r="4181" ht="22" customHeight="1">
      <x:c r="A4181" s="2"/>
      <x:c r="B4181" s="2" t="str">
        <x:v>16529</x:v>
      </x:c>
      <x:c r="C4181" s="2" t="str">
        <x:v>United Kingdom</x:v>
      </x:c>
      <x:c r="D4181" s="25" t="n">
        <x:v>40356.353472222225</x:v>
      </x:c>
      <x:c r="E4181" s="25" t="n">
        <x:v>40696.51597222222</x:v>
      </x:c>
      <x:c r="F4181" s="2" t="n">
        <x:v>191</x:v>
      </x:c>
      <x:c r="G4181" s="2" t="n">
        <x:v>4</x:v>
      </x:c>
      <x:c r="H4181" s="11" t="n">
        <x:v>2012</x:v>
      </x:c>
      <x:c r="I4181" s="2" t="n">
        <x:v>2</x:v>
      </x:c>
      <x:c r="J4181" s="2" t="n">
        <x:v>3</x:v>
      </x:c>
      <x:c r="K4181" s="2" t="n">
        <x:v>4</x:v>
      </x:c>
      <x:c r="L4181" s="2" t="str">
        <x:v>At risk</x:v>
      </x:c>
    </x:row>
    <x:row r="4182" ht="22" customHeight="1">
      <x:c r="A4182" s="2"/>
      <x:c r="B4182" s="2" t="str">
        <x:v>16530</x:v>
      </x:c>
      <x:c r="C4182" s="2" t="str">
        <x:v>United Kingdom</x:v>
      </x:c>
      <x:c r="D4182" s="25" t="n">
        <x:v>40218.4375</x:v>
      </x:c>
      <x:c r="E4182" s="25" t="n">
        <x:v>40218.4375</x:v>
      </x:c>
      <x:c r="F4182" s="2" t="n">
        <x:v>669</x:v>
      </x:c>
      <x:c r="G4182" s="2" t="n">
        <x:v>1</x:v>
      </x:c>
      <x:c r="H4182" s="11" t="n">
        <x:v>48.35</x:v>
      </x:c>
      <x:c r="I4182" s="2" t="n">
        <x:v>1</x:v>
      </x:c>
      <x:c r="J4182" s="2" t="n">
        <x:v>1</x:v>
      </x:c>
      <x:c r="K4182" s="2" t="n">
        <x:v>1</x:v>
      </x:c>
      <x:c r="L4182" s="2" t="str">
        <x:v>Hibernating</x:v>
      </x:c>
    </x:row>
    <x:row r="4183" ht="22" customHeight="1">
      <x:c r="A4183" s="2"/>
      <x:c r="B4183" s="2" t="str">
        <x:v>16531</x:v>
      </x:c>
      <x:c r="C4183" s="2" t="str">
        <x:v>United Kingdom</x:v>
      </x:c>
      <x:c r="D4183" s="25" t="n">
        <x:v>40445.200694444444</x:v>
      </x:c>
      <x:c r="E4183" s="25" t="n">
        <x:v>40864.478472222225</x:v>
      </x:c>
      <x:c r="F4183" s="2" t="n">
        <x:v>23</x:v>
      </x:c>
      <x:c r="G4183" s="2" t="n">
        <x:v>11</x:v>
      </x:c>
      <x:c r="H4183" s="11" t="n">
        <x:v>2298.33</x:v>
      </x:c>
      <x:c r="I4183" s="2" t="n">
        <x:v>4</x:v>
      </x:c>
      <x:c r="J4183" s="2" t="n">
        <x:v>5</x:v>
      </x:c>
      <x:c r="K4183" s="2" t="n">
        <x:v>4</x:v>
      </x:c>
      <x:c r="L4183" s="2" t="str">
        <x:v>Champions</x:v>
      </x:c>
    </x:row>
    <x:row r="4184" ht="22" customHeight="1">
      <x:c r="A4184" s="2"/>
      <x:c r="B4184" s="2" t="str">
        <x:v>16532</x:v>
      </x:c>
      <x:c r="C4184" s="2" t="str">
        <x:v>United Kingdom</x:v>
      </x:c>
      <x:c r="D4184" s="25" t="n">
        <x:v>40266.22638888889</x:v>
      </x:c>
      <x:c r="E4184" s="25" t="n">
        <x:v>40869.25555555556</x:v>
      </x:c>
      <x:c r="F4184" s="2" t="n">
        <x:v>18</x:v>
      </x:c>
      <x:c r="G4184" s="2" t="n">
        <x:v>5</x:v>
      </x:c>
      <x:c r="H4184" s="11" t="n">
        <x:v>8756.64</x:v>
      </x:c>
      <x:c r="I4184" s="2" t="n">
        <x:v>5</x:v>
      </x:c>
      <x:c r="J4184" s="2" t="n">
        <x:v>4</x:v>
      </x:c>
      <x:c r="K4184" s="2" t="n">
        <x:v>5</x:v>
      </x:c>
      <x:c r="L4184" s="2" t="str">
        <x:v>Champions</x:v>
      </x:c>
    </x:row>
    <x:row r="4185" ht="22" customHeight="1">
      <x:c r="A4185" s="2"/>
      <x:c r="B4185" s="2" t="str">
        <x:v>16533</x:v>
      </x:c>
      <x:c r="C4185" s="2" t="str">
        <x:v>United Kingdom</x:v>
      </x:c>
      <x:c r="D4185" s="25" t="n">
        <x:v>40818.42152777778</x:v>
      </x:c>
      <x:c r="E4185" s="25" t="n">
        <x:v>40867.33888888889</x:v>
      </x:c>
      <x:c r="F4185" s="2" t="n">
        <x:v>20</x:v>
      </x:c>
      <x:c r="G4185" s="2" t="n">
        <x:v>3</x:v>
      </x:c>
      <x:c r="H4185" s="11" t="n">
        <x:v>1095.56</x:v>
      </x:c>
      <x:c r="I4185" s="2" t="n">
        <x:v>5</x:v>
      </x:c>
      <x:c r="J4185" s="2" t="n">
        <x:v>3</x:v>
      </x:c>
      <x:c r="K4185" s="2" t="n">
        <x:v>3</x:v>
      </x:c>
      <x:c r="L4185" s="2" t="str">
        <x:v>Loyal</x:v>
      </x:c>
    </x:row>
    <x:row r="4186" ht="22" customHeight="1">
      <x:c r="A4186" s="2"/>
      <x:c r="B4186" s="2" t="str">
        <x:v>16534</x:v>
      </x:c>
      <x:c r="C4186" s="2" t="str">
        <x:v>United Kingdom</x:v>
      </x:c>
      <x:c r="D4186" s="25" t="n">
        <x:v>40244.44930555556</x:v>
      </x:c>
      <x:c r="E4186" s="25" t="n">
        <x:v>40244.44930555556</x:v>
      </x:c>
      <x:c r="F4186" s="2" t="n">
        <x:v>643</x:v>
      </x:c>
      <x:c r="G4186" s="2" t="n">
        <x:v>1</x:v>
      </x:c>
      <x:c r="H4186" s="11" t="n">
        <x:v>635.9</x:v>
      </x:c>
      <x:c r="I4186" s="2" t="n">
        <x:v>1</x:v>
      </x:c>
      <x:c r="J4186" s="2" t="n">
        <x:v>1</x:v>
      </x:c>
      <x:c r="K4186" s="2" t="n">
        <x:v>3</x:v>
      </x:c>
      <x:c r="L4186" s="2" t="str">
        <x:v>Hibernating</x:v>
      </x:c>
    </x:row>
    <x:row r="4187" ht="22" customHeight="1">
      <x:c r="A4187" s="2"/>
      <x:c r="B4187" s="2" t="str">
        <x:v>16535</x:v>
      </x:c>
      <x:c r="C4187" s="2" t="str">
        <x:v>United Kingdom</x:v>
      </x:c>
      <x:c r="D4187" s="25" t="n">
        <x:v>40206.43472222222</x:v>
      </x:c>
      <x:c r="E4187" s="25" t="n">
        <x:v>40881.42916666667</x:v>
      </x:c>
      <x:c r="F4187" s="2" t="n">
        <x:v>6</x:v>
      </x:c>
      <x:c r="G4187" s="2" t="n">
        <x:v>3</x:v>
      </x:c>
      <x:c r="H4187" s="11" t="n">
        <x:v>1001.59</x:v>
      </x:c>
      <x:c r="I4187" s="2" t="n">
        <x:v>5</x:v>
      </x:c>
      <x:c r="J4187" s="2" t="n">
        <x:v>3</x:v>
      </x:c>
      <x:c r="K4187" s="2" t="n">
        <x:v>3</x:v>
      </x:c>
      <x:c r="L4187" s="2" t="str">
        <x:v>Loyal</x:v>
      </x:c>
    </x:row>
    <x:row r="4188" ht="22" customHeight="1">
      <x:c r="A4188" s="2"/>
      <x:c r="B4188" s="2" t="str">
        <x:v>16536</x:v>
      </x:c>
      <x:c r="C4188" s="2" t="str">
        <x:v>United Kingdom</x:v>
      </x:c>
      <x:c r="D4188" s="25" t="n">
        <x:v>40776.45416666667</x:v>
      </x:c>
      <x:c r="E4188" s="25" t="n">
        <x:v>40776.45416666667</x:v>
      </x:c>
      <x:c r="F4188" s="2" t="n">
        <x:v>111</x:v>
      </x:c>
      <x:c r="G4188" s="2" t="n">
        <x:v>1</x:v>
      </x:c>
      <x:c r="H4188" s="11" t="n">
        <x:v>548.97</x:v>
      </x:c>
      <x:c r="I4188" s="2" t="n">
        <x:v>3</x:v>
      </x:c>
      <x:c r="J4188" s="2" t="n">
        <x:v>1</x:v>
      </x:c>
      <x:c r="K4188" s="2" t="n">
        <x:v>2</x:v>
      </x:c>
      <x:c r="L4188" s="2" t="str">
        <x:v>Developing</x:v>
      </x:c>
    </x:row>
    <x:row r="4189" ht="22" customHeight="1">
      <x:c r="A4189" s="2"/>
      <x:c r="B4189" s="2" t="str">
        <x:v>16537</x:v>
      </x:c>
      <x:c r="C4189" s="2" t="str">
        <x:v>United Kingdom</x:v>
      </x:c>
      <x:c r="D4189" s="25" t="n">
        <x:v>40245.361805555556</x:v>
      </x:c>
      <x:c r="E4189" s="25" t="n">
        <x:v>40245.361805555556</x:v>
      </x:c>
      <x:c r="F4189" s="2" t="n">
        <x:v>642</x:v>
      </x:c>
      <x:c r="G4189" s="2" t="n">
        <x:v>1</x:v>
      </x:c>
      <x:c r="H4189" s="11" t="n">
        <x:v>23.35</x:v>
      </x:c>
      <x:c r="I4189" s="2" t="n">
        <x:v>1</x:v>
      </x:c>
      <x:c r="J4189" s="2" t="n">
        <x:v>1</x:v>
      </x:c>
      <x:c r="K4189" s="2" t="n">
        <x:v>1</x:v>
      </x:c>
      <x:c r="L4189" s="2" t="str">
        <x:v>Hibernating</x:v>
      </x:c>
    </x:row>
    <x:row r="4190" ht="22" customHeight="1">
      <x:c r="A4190" s="2"/>
      <x:c r="B4190" s="2" t="str">
        <x:v>16538</x:v>
      </x:c>
      <x:c r="C4190" s="2" t="str">
        <x:v>United Kingdom</x:v>
      </x:c>
      <x:c r="D4190" s="25" t="n">
        <x:v>40291.475694444445</x:v>
      </x:c>
      <x:c r="E4190" s="25" t="n">
        <x:v>40345.49930555555</x:v>
      </x:c>
      <x:c r="F4190" s="2" t="n">
        <x:v>542</x:v>
      </x:c>
      <x:c r="G4190" s="2" t="n">
        <x:v>3</x:v>
      </x:c>
      <x:c r="H4190" s="11" t="n">
        <x:v>399.62</x:v>
      </x:c>
      <x:c r="I4190" s="2" t="n">
        <x:v>1</x:v>
      </x:c>
      <x:c r="J4190" s="2" t="n">
        <x:v>3</x:v>
      </x:c>
      <x:c r="K4190" s="2" t="n">
        <x:v>2</x:v>
      </x:c>
      <x:c r="L4190" s="2" t="str">
        <x:v>At risk</x:v>
      </x:c>
    </x:row>
    <x:row r="4191" ht="22" customHeight="1">
      <x:c r="A4191" s="2"/>
      <x:c r="B4191" s="2" t="str">
        <x:v>16539</x:v>
      </x:c>
      <x:c r="C4191" s="2" t="str">
        <x:v>United Kingdom</x:v>
      </x:c>
      <x:c r="D4191" s="25" t="n">
        <x:v>40354.433333333334</x:v>
      </x:c>
      <x:c r="E4191" s="25" t="n">
        <x:v>40884.15347222222</x:v>
      </x:c>
      <x:c r="F4191" s="2" t="n">
        <x:v>3</x:v>
      </x:c>
      <x:c r="G4191" s="2" t="n">
        <x:v>10</x:v>
      </x:c>
      <x:c r="H4191" s="11" t="n">
        <x:v>3289.66</x:v>
      </x:c>
      <x:c r="I4191" s="2" t="n">
        <x:v>5</x:v>
      </x:c>
      <x:c r="J4191" s="2" t="n">
        <x:v>5</x:v>
      </x:c>
      <x:c r="K4191" s="2" t="n">
        <x:v>5</x:v>
      </x:c>
      <x:c r="L4191" s="2" t="str">
        <x:v>Champions</x:v>
      </x:c>
    </x:row>
    <x:row r="4192" ht="22" customHeight="1">
      <x:c r="A4192" s="2"/>
      <x:c r="B4192" s="2" t="str">
        <x:v>16540</x:v>
      </x:c>
      <x:c r="C4192" s="2" t="str">
        <x:v>United Kingdom</x:v>
      </x:c>
      <x:c r="D4192" s="25" t="n">
        <x:v>40472.51527777778</x:v>
      </x:c>
      <x:c r="E4192" s="25" t="n">
        <x:v>40472.51527777778</x:v>
      </x:c>
      <x:c r="F4192" s="2" t="n">
        <x:v>415</x:v>
      </x:c>
      <x:c r="G4192" s="2" t="n">
        <x:v>1</x:v>
      </x:c>
      <x:c r="H4192" s="11" t="n">
        <x:v>226.7</x:v>
      </x:c>
      <x:c r="I4192" s="2" t="n">
        <x:v>1</x:v>
      </x:c>
      <x:c r="J4192" s="2" t="n">
        <x:v>1</x:v>
      </x:c>
      <x:c r="K4192" s="2" t="n">
        <x:v>1</x:v>
      </x:c>
      <x:c r="L4192" s="2" t="str">
        <x:v>Hibernating</x:v>
      </x:c>
    </x:row>
    <x:row r="4193" ht="22" customHeight="1">
      <x:c r="A4193" s="2"/>
      <x:c r="B4193" s="2" t="str">
        <x:v>16541</x:v>
      </x:c>
      <x:c r="C4193" s="2" t="str">
        <x:v>United Kingdom</x:v>
      </x:c>
      <x:c r="D4193" s="25" t="n">
        <x:v>40151.34861111111</x:v>
      </x:c>
      <x:c r="E4193" s="25" t="n">
        <x:v>40151.34861111111</x:v>
      </x:c>
      <x:c r="F4193" s="2" t="n">
        <x:v>736</x:v>
      </x:c>
      <x:c r="G4193" s="2" t="n">
        <x:v>1</x:v>
      </x:c>
      <x:c r="H4193" s="11" t="n">
        <x:v>424.03</x:v>
      </x:c>
      <x:c r="I4193" s="2" t="n">
        <x:v>1</x:v>
      </x:c>
      <x:c r="J4193" s="2" t="n">
        <x:v>1</x:v>
      </x:c>
      <x:c r="K4193" s="2" t="n">
        <x:v>2</x:v>
      </x:c>
      <x:c r="L4193" s="2" t="str">
        <x:v>Hibernating</x:v>
      </x:c>
    </x:row>
    <x:row r="4194" ht="22" customHeight="1">
      <x:c r="A4194" s="2"/>
      <x:c r="B4194" s="2" t="str">
        <x:v>16542</x:v>
      </x:c>
      <x:c r="C4194" s="2" t="str">
        <x:v>United Kingdom</x:v>
      </x:c>
      <x:c r="D4194" s="25" t="n">
        <x:v>40485.40555555555</x:v>
      </x:c>
      <x:c r="E4194" s="25" t="n">
        <x:v>40833.24097222222</x:v>
      </x:c>
      <x:c r="F4194" s="2" t="n">
        <x:v>54</x:v>
      </x:c>
      <x:c r="G4194" s="2" t="n">
        <x:v>2</x:v>
      </x:c>
      <x:c r="H4194" s="11" t="n">
        <x:v>257.32</x:v>
      </x:c>
      <x:c r="I4194" s="2" t="n">
        <x:v>4</x:v>
      </x:c>
      <x:c r="J4194" s="2" t="n">
        <x:v>2</x:v>
      </x:c>
      <x:c r="K4194" s="2" t="n">
        <x:v>1</x:v>
      </x:c>
      <x:c r="L4194" s="2" t="str">
        <x:v>Recent light buyers</x:v>
      </x:c>
    </x:row>
    <x:row r="4195" ht="22" customHeight="1">
      <x:c r="A4195" s="2"/>
      <x:c r="B4195" s="2" t="str">
        <x:v>16543</x:v>
      </x:c>
      <x:c r="C4195" s="2" t="str">
        <x:v>United Kingdom</x:v>
      </x:c>
      <x:c r="D4195" s="25" t="n">
        <x:v>40295.27638888889</x:v>
      </x:c>
      <x:c r="E4195" s="25" t="n">
        <x:v>40295.27638888889</x:v>
      </x:c>
      <x:c r="F4195" s="2" t="n">
        <x:v>592</x:v>
      </x:c>
      <x:c r="G4195" s="2" t="n">
        <x:v>1</x:v>
      </x:c>
      <x:c r="H4195" s="11" t="n">
        <x:v>292.21</x:v>
      </x:c>
      <x:c r="I4195" s="2" t="n">
        <x:v>1</x:v>
      </x:c>
      <x:c r="J4195" s="2" t="n">
        <x:v>1</x:v>
      </x:c>
      <x:c r="K4195" s="2" t="n">
        <x:v>2</x:v>
      </x:c>
      <x:c r="L4195" s="2" t="str">
        <x:v>Hibernating</x:v>
      </x:c>
    </x:row>
    <x:row r="4196" ht="22" customHeight="1">
      <x:c r="A4196" s="2"/>
      <x:c r="B4196" s="2" t="str">
        <x:v>16544</x:v>
      </x:c>
      <x:c r="C4196" s="2" t="str">
        <x:v>United Kingdom</x:v>
      </x:c>
      <x:c r="D4196" s="25" t="n">
        <x:v>40224.34722222222</x:v>
      </x:c>
      <x:c r="E4196" s="25" t="n">
        <x:v>40367.25763888889</x:v>
      </x:c>
      <x:c r="F4196" s="2" t="n">
        <x:v>520</x:v>
      </x:c>
      <x:c r="G4196" s="2" t="n">
        <x:v>4</x:v>
      </x:c>
      <x:c r="H4196" s="11" t="n">
        <x:v>376.7</x:v>
      </x:c>
      <x:c r="I4196" s="2" t="n">
        <x:v>1</x:v>
      </x:c>
      <x:c r="J4196" s="2" t="n">
        <x:v>3</x:v>
      </x:c>
      <x:c r="K4196" s="2" t="n">
        <x:v>2</x:v>
      </x:c>
      <x:c r="L4196" s="2" t="str">
        <x:v>At risk</x:v>
      </x:c>
    </x:row>
    <x:row r="4197" ht="22" customHeight="1">
      <x:c r="A4197" s="2"/>
      <x:c r="B4197" s="2" t="str">
        <x:v>16545</x:v>
      </x:c>
      <x:c r="C4197" s="2" t="str">
        <x:v>United Kingdom</x:v>
      </x:c>
      <x:c r="D4197" s="25" t="n">
        <x:v>40511.23541666667</x:v>
      </x:c>
      <x:c r="E4197" s="25" t="n">
        <x:v>40722.23402777778</x:v>
      </x:c>
      <x:c r="F4197" s="2" t="n">
        <x:v>165</x:v>
      </x:c>
      <x:c r="G4197" s="2" t="n">
        <x:v>2</x:v>
      </x:c>
      <x:c r="H4197" s="11" t="n">
        <x:v>689.82</x:v>
      </x:c>
      <x:c r="I4197" s="2" t="n">
        <x:v>3</x:v>
      </x:c>
      <x:c r="J4197" s="2" t="n">
        <x:v>2</x:v>
      </x:c>
      <x:c r="K4197" s="2" t="n">
        <x:v>3</x:v>
      </x:c>
      <x:c r="L4197" s="2" t="str">
        <x:v>Developing</x:v>
      </x:c>
    </x:row>
    <x:row r="4198" ht="22" customHeight="1">
      <x:c r="A4198" s="2"/>
      <x:c r="B4198" s="2" t="str">
        <x:v>16546</x:v>
      </x:c>
      <x:c r="C4198" s="2" t="str">
        <x:v>United Kingdom</x:v>
      </x:c>
      <x:c r="D4198" s="25" t="n">
        <x:v>40444.44652777778</x:v>
      </x:c>
      <x:c r="E4198" s="25" t="n">
        <x:v>40596.26388888889</x:v>
      </x:c>
      <x:c r="F4198" s="2" t="n">
        <x:v>291</x:v>
      </x:c>
      <x:c r="G4198" s="2" t="n">
        <x:v>5</x:v>
      </x:c>
      <x:c r="H4198" s="11" t="n">
        <x:v>5307.07</x:v>
      </x:c>
      <x:c r="I4198" s="2" t="n">
        <x:v>2</x:v>
      </x:c>
      <x:c r="J4198" s="2" t="n">
        <x:v>4</x:v>
      </x:c>
      <x:c r="K4198" s="2" t="n">
        <x:v>5</x:v>
      </x:c>
      <x:c r="L4198" s="2" t="str">
        <x:v>At risk</x:v>
      </x:c>
    </x:row>
    <x:row r="4199" ht="22" customHeight="1">
      <x:c r="A4199" s="2"/>
      <x:c r="B4199" s="2" t="str">
        <x:v>16547</x:v>
      </x:c>
      <x:c r="C4199" s="2" t="str">
        <x:v>United Kingdom</x:v>
      </x:c>
      <x:c r="D4199" s="25" t="n">
        <x:v>40340.33472222222</x:v>
      </x:c>
      <x:c r="E4199" s="25" t="n">
        <x:v>40340.33472222222</x:v>
      </x:c>
      <x:c r="F4199" s="2" t="n">
        <x:v>547</x:v>
      </x:c>
      <x:c r="G4199" s="2" t="n">
        <x:v>1</x:v>
      </x:c>
      <x:c r="H4199" s="11" t="n">
        <x:v>111.71</x:v>
      </x:c>
      <x:c r="I4199" s="2" t="n">
        <x:v>1</x:v>
      </x:c>
      <x:c r="J4199" s="2" t="n">
        <x:v>1</x:v>
      </x:c>
      <x:c r="K4199" s="2" t="n">
        <x:v>1</x:v>
      </x:c>
      <x:c r="L4199" s="2" t="str">
        <x:v>Hibernating</x:v>
      </x:c>
    </x:row>
    <x:row r="4200" ht="22" customHeight="1">
      <x:c r="A4200" s="2"/>
      <x:c r="B4200" s="2" t="str">
        <x:v>16548</x:v>
      </x:c>
      <x:c r="C4200" s="2" t="str">
        <x:v>United Kingdom</x:v>
      </x:c>
      <x:c r="D4200" s="25" t="n">
        <x:v>40287.46875</x:v>
      </x:c>
      <x:c r="E4200" s="25" t="n">
        <x:v>40287.46875</x:v>
      </x:c>
      <x:c r="F4200" s="2" t="n">
        <x:v>600</x:v>
      </x:c>
      <x:c r="G4200" s="2" t="n">
        <x:v>1</x:v>
      </x:c>
      <x:c r="H4200" s="11" t="n">
        <x:v>30.15</x:v>
      </x:c>
      <x:c r="I4200" s="2" t="n">
        <x:v>1</x:v>
      </x:c>
      <x:c r="J4200" s="2" t="n">
        <x:v>1</x:v>
      </x:c>
      <x:c r="K4200" s="2" t="n">
        <x:v>1</x:v>
      </x:c>
      <x:c r="L4200" s="2" t="str">
        <x:v>Hibernating</x:v>
      </x:c>
    </x:row>
    <x:row r="4201" ht="22" customHeight="1">
      <x:c r="A4201" s="2"/>
      <x:c r="B4201" s="2" t="str">
        <x:v>16549</x:v>
      </x:c>
      <x:c r="C4201" s="2" t="str">
        <x:v>United Kingdom</x:v>
      </x:c>
      <x:c r="D4201" s="25" t="n">
        <x:v>40265.447916666664</x:v>
      </x:c>
      <x:c r="E4201" s="25" t="n">
        <x:v>40876.42083333333</x:v>
      </x:c>
      <x:c r="F4201" s="2" t="n">
        <x:v>11</x:v>
      </x:c>
      <x:c r="G4201" s="2" t="n">
        <x:v>34</x:v>
      </x:c>
      <x:c r="H4201" s="11" t="n">
        <x:v>13182.19</x:v>
      </x:c>
      <x:c r="I4201" s="2" t="n">
        <x:v>5</x:v>
      </x:c>
      <x:c r="J4201" s="2" t="n">
        <x:v>5</x:v>
      </x:c>
      <x:c r="K4201" s="2" t="n">
        <x:v>5</x:v>
      </x:c>
      <x:c r="L4201" s="2" t="str">
        <x:v>Champions</x:v>
      </x:c>
    </x:row>
    <x:row r="4202" ht="22" customHeight="1">
      <x:c r="A4202" s="2"/>
      <x:c r="B4202" s="2" t="str">
        <x:v>16550</x:v>
      </x:c>
      <x:c r="C4202" s="2" t="str">
        <x:v>United Kingdom</x:v>
      </x:c>
      <x:c r="D4202" s="25" t="n">
        <x:v>40149.26666666667</x:v>
      </x:c>
      <x:c r="E4202" s="25" t="n">
        <x:v>40778.25833333333</x:v>
      </x:c>
      <x:c r="F4202" s="2" t="n">
        <x:v>109</x:v>
      </x:c>
      <x:c r="G4202" s="2" t="n">
        <x:v>18</x:v>
      </x:c>
      <x:c r="H4202" s="11" t="n">
        <x:v>8880.47</x:v>
      </x:c>
      <x:c r="I4202" s="2" t="n">
        <x:v>3</x:v>
      </x:c>
      <x:c r="J4202" s="2" t="n">
        <x:v>5</x:v>
      </x:c>
      <x:c r="K4202" s="2" t="n">
        <x:v>5</x:v>
      </x:c>
      <x:c r="L4202" s="2" t="str">
        <x:v>Loyal</x:v>
      </x:c>
    </x:row>
    <x:row r="4203" ht="22" customHeight="1">
      <x:c r="A4203" s="2"/>
      <x:c r="B4203" s="2" t="str">
        <x:v>16551</x:v>
      </x:c>
      <x:c r="C4203" s="2" t="str">
        <x:v>United Kingdom</x:v>
      </x:c>
      <x:c r="D4203" s="25" t="n">
        <x:v>40160.46666666667</x:v>
      </x:c>
      <x:c r="E4203" s="25" t="n">
        <x:v>40791.19305555556</x:v>
      </x:c>
      <x:c r="F4203" s="2" t="n">
        <x:v>96</x:v>
      </x:c>
      <x:c r="G4203" s="2" t="n">
        <x:v>7</x:v>
      </x:c>
      <x:c r="H4203" s="11" t="n">
        <x:v>2237.12</x:v>
      </x:c>
      <x:c r="I4203" s="2" t="n">
        <x:v>3</x:v>
      </x:c>
      <x:c r="J4203" s="2" t="n">
        <x:v>4</x:v>
      </x:c>
      <x:c r="K4203" s="2" t="n">
        <x:v>4</x:v>
      </x:c>
      <x:c r="L4203" s="2" t="str">
        <x:v>Loyal</x:v>
      </x:c>
    </x:row>
    <x:row r="4204" ht="22" customHeight="1">
      <x:c r="A4204" s="2"/>
      <x:c r="B4204" s="2" t="str">
        <x:v>16552</x:v>
      </x:c>
      <x:c r="C4204" s="2" t="str">
        <x:v>United Kingdom</x:v>
      </x:c>
      <x:c r="D4204" s="25" t="n">
        <x:v>40513.316666666666</x:v>
      </x:c>
      <x:c r="E4204" s="25" t="n">
        <x:v>40644.21111111111</x:v>
      </x:c>
      <x:c r="F4204" s="2" t="n">
        <x:v>243</x:v>
      </x:c>
      <x:c r="G4204" s="2" t="n">
        <x:v>2</x:v>
      </x:c>
      <x:c r="H4204" s="11" t="n">
        <x:v>379.73</x:v>
      </x:c>
      <x:c r="I4204" s="2" t="n">
        <x:v>2</x:v>
      </x:c>
      <x:c r="J4204" s="2" t="n">
        <x:v>2</x:v>
      </x:c>
      <x:c r="K4204" s="2" t="n">
        <x:v>2</x:v>
      </x:c>
      <x:c r="L4204" s="2" t="str">
        <x:v>Hibernating</x:v>
      </x:c>
    </x:row>
    <x:row r="4205" ht="22" customHeight="1">
      <x:c r="A4205" s="2"/>
      <x:c r="B4205" s="2" t="str">
        <x:v>16553</x:v>
      </x:c>
      <x:c r="C4205" s="2" t="str">
        <x:v>United Kingdom</x:v>
      </x:c>
      <x:c r="D4205" s="25" t="n">
        <x:v>40220.57361111111</x:v>
      </x:c>
      <x:c r="E4205" s="25" t="n">
        <x:v>40723.44583333333</x:v>
      </x:c>
      <x:c r="F4205" s="2" t="n">
        <x:v>164</x:v>
      </x:c>
      <x:c r="G4205" s="2" t="n">
        <x:v>33</x:v>
      </x:c>
      <x:c r="H4205" s="11" t="n">
        <x:v>16644.01</x:v>
      </x:c>
      <x:c r="I4205" s="2" t="n">
        <x:v>3</x:v>
      </x:c>
      <x:c r="J4205" s="2" t="n">
        <x:v>5</x:v>
      </x:c>
      <x:c r="K4205" s="2" t="n">
        <x:v>5</x:v>
      </x:c>
      <x:c r="L4205" s="2" t="str">
        <x:v>Loyal</x:v>
      </x:c>
    </x:row>
    <x:row r="4206" ht="22" customHeight="1">
      <x:c r="A4206" s="2"/>
      <x:c r="B4206" s="2" t="str">
        <x:v>16554</x:v>
      </x:c>
      <x:c r="C4206" s="2" t="str">
        <x:v>United Kingdom</x:v>
      </x:c>
      <x:c r="D4206" s="25" t="n">
        <x:v>40162.19583333333</x:v>
      </x:c>
      <x:c r="E4206" s="25" t="n">
        <x:v>40844.410416666666</x:v>
      </x:c>
      <x:c r="F4206" s="2" t="n">
        <x:v>43</x:v>
      </x:c>
      <x:c r="G4206" s="2" t="n">
        <x:v>8</x:v>
      </x:c>
      <x:c r="H4206" s="11" t="n">
        <x:v>2841.72</x:v>
      </x:c>
      <x:c r="I4206" s="2" t="n">
        <x:v>4</x:v>
      </x:c>
      <x:c r="J4206" s="2" t="n">
        <x:v>4</x:v>
      </x:c>
      <x:c r="K4206" s="2" t="n">
        <x:v>4</x:v>
      </x:c>
      <x:c r="L4206" s="2" t="str">
        <x:v>Champions</x:v>
      </x:c>
    </x:row>
    <x:row r="4207" ht="22" customHeight="1">
      <x:c r="A4207" s="2"/>
      <x:c r="B4207" s="2" t="str">
        <x:v>16555</x:v>
      </x:c>
      <x:c r="C4207" s="2" t="str">
        <x:v>United Kingdom</x:v>
      </x:c>
      <x:c r="D4207" s="25" t="n">
        <x:v>40381.36041666667</x:v>
      </x:c>
      <x:c r="E4207" s="25" t="n">
        <x:v>40851.396527777775</x:v>
      </x:c>
      <x:c r="F4207" s="2" t="n">
        <x:v>36</x:v>
      </x:c>
      <x:c r="G4207" s="2" t="n">
        <x:v>6</x:v>
      </x:c>
      <x:c r="H4207" s="11" t="n">
        <x:v>1915.68</x:v>
      </x:c>
      <x:c r="I4207" s="2" t="n">
        <x:v>4</x:v>
      </x:c>
      <x:c r="J4207" s="2" t="n">
        <x:v>4</x:v>
      </x:c>
      <x:c r="K4207" s="2" t="n">
        <x:v>4</x:v>
      </x:c>
      <x:c r="L4207" s="2" t="str">
        <x:v>Champions</x:v>
      </x:c>
    </x:row>
    <x:row r="4208" ht="22" customHeight="1">
      <x:c r="A4208" s="2"/>
      <x:c r="B4208" s="2" t="str">
        <x:v>16556</x:v>
      </x:c>
      <x:c r="C4208" s="2" t="str">
        <x:v>United Kingdom</x:v>
      </x:c>
      <x:c r="D4208" s="25" t="n">
        <x:v>40154.24375</x:v>
      </x:c>
      <x:c r="E4208" s="25" t="n">
        <x:v>40820.275</x:v>
      </x:c>
      <x:c r="F4208" s="2" t="n">
        <x:v>67</x:v>
      </x:c>
      <x:c r="G4208" s="2" t="n">
        <x:v>17</x:v>
      </x:c>
      <x:c r="H4208" s="11" t="n">
        <x:v>8012.58</x:v>
      </x:c>
      <x:c r="I4208" s="2" t="n">
        <x:v>3</x:v>
      </x:c>
      <x:c r="J4208" s="2" t="n">
        <x:v>5</x:v>
      </x:c>
      <x:c r="K4208" s="2" t="n">
        <x:v>5</x:v>
      </x:c>
      <x:c r="L4208" s="2" t="str">
        <x:v>Loyal</x:v>
      </x:c>
    </x:row>
    <x:row r="4209" ht="22" customHeight="1">
      <x:c r="A4209" s="2"/>
      <x:c r="B4209" s="2" t="str">
        <x:v>16557</x:v>
      </x:c>
      <x:c r="C4209" s="2" t="str">
        <x:v>United Kingdom</x:v>
      </x:c>
      <x:c r="D4209" s="25" t="n">
        <x:v>40749.35277777778</x:v>
      </x:c>
      <x:c r="E4209" s="25" t="n">
        <x:v>40862.37777777778</x:v>
      </x:c>
      <x:c r="F4209" s="2" t="n">
        <x:v>25</x:v>
      </x:c>
      <x:c r="G4209" s="2" t="n">
        <x:v>2</x:v>
      </x:c>
      <x:c r="H4209" s="11" t="n">
        <x:v>281.85</x:v>
      </x:c>
      <x:c r="I4209" s="2" t="n">
        <x:v>4</x:v>
      </x:c>
      <x:c r="J4209" s="2" t="n">
        <x:v>2</x:v>
      </x:c>
      <x:c r="K4209" s="2" t="n">
        <x:v>1</x:v>
      </x:c>
      <x:c r="L4209" s="2" t="str">
        <x:v>Recent light buyers</x:v>
      </x:c>
    </x:row>
    <x:row r="4210" ht="22" customHeight="1">
      <x:c r="A4210" s="2"/>
      <x:c r="B4210" s="2" t="str">
        <x:v>16558</x:v>
      </x:c>
      <x:c r="C4210" s="2" t="str">
        <x:v>United Kingdom</x:v>
      </x:c>
      <x:c r="D4210" s="25" t="n">
        <x:v>40150.549305555556</x:v>
      </x:c>
      <x:c r="E4210" s="25" t="n">
        <x:v>40886.22222222222</x:v>
      </x:c>
      <x:c r="F4210" s="2" t="n">
        <x:v>1</x:v>
      </x:c>
      <x:c r="G4210" s="2" t="n">
        <x:v>38</x:v>
      </x:c>
      <x:c r="H4210" s="11" t="n">
        <x:v>13304.11</x:v>
      </x:c>
      <x:c r="I4210" s="2" t="n">
        <x:v>5</x:v>
      </x:c>
      <x:c r="J4210" s="2" t="n">
        <x:v>5</x:v>
      </x:c>
      <x:c r="K4210" s="2" t="n">
        <x:v>5</x:v>
      </x:c>
      <x:c r="L4210" s="2" t="str">
        <x:v>Champions</x:v>
      </x:c>
    </x:row>
    <x:row r="4211" ht="22" customHeight="1">
      <x:c r="A4211" s="2"/>
      <x:c r="B4211" s="2" t="str">
        <x:v>16559</x:v>
      </x:c>
      <x:c r="C4211" s="2" t="str">
        <x:v>United Kingdom</x:v>
      </x:c>
      <x:c r="D4211" s="25" t="n">
        <x:v>40489.36944444444</x:v>
      </x:c>
      <x:c r="E4211" s="25" t="n">
        <x:v>40489.36944444444</x:v>
      </x:c>
      <x:c r="F4211" s="2" t="n">
        <x:v>398</x:v>
      </x:c>
      <x:c r="G4211" s="2" t="n">
        <x:v>1</x:v>
      </x:c>
      <x:c r="H4211" s="11" t="n">
        <x:v>185.2</x:v>
      </x:c>
      <x:c r="I4211" s="2" t="n">
        <x:v>2</x:v>
      </x:c>
      <x:c r="J4211" s="2" t="n">
        <x:v>1</x:v>
      </x:c>
      <x:c r="K4211" s="2" t="n">
        <x:v>1</x:v>
      </x:c>
      <x:c r="L4211" s="2" t="str">
        <x:v>Hibernating</x:v>
      </x:c>
    </x:row>
    <x:row r="4212" ht="22" customHeight="1">
      <x:c r="A4212" s="2"/>
      <x:c r="B4212" s="2" t="str">
        <x:v>16560</x:v>
      </x:c>
      <x:c r="C4212" s="2" t="str">
        <x:v>United Kingdom</x:v>
      </x:c>
      <x:c r="D4212" s="25" t="n">
        <x:v>40155.29513888889</x:v>
      </x:c>
      <x:c r="E4212" s="25" t="n">
        <x:v>40860.23263888889</x:v>
      </x:c>
      <x:c r="F4212" s="2" t="n">
        <x:v>27</x:v>
      </x:c>
      <x:c r="G4212" s="2" t="n">
        <x:v>8</x:v>
      </x:c>
      <x:c r="H4212" s="11" t="n">
        <x:v>3048.38</x:v>
      </x:c>
      <x:c r="I4212" s="2" t="n">
        <x:v>4</x:v>
      </x:c>
      <x:c r="J4212" s="2" t="n">
        <x:v>4</x:v>
      </x:c>
      <x:c r="K4212" s="2" t="n">
        <x:v>5</x:v>
      </x:c>
      <x:c r="L4212" s="2" t="str">
        <x:v>Champions</x:v>
      </x:c>
    </x:row>
    <x:row r="4213" ht="22" customHeight="1">
      <x:c r="A4213" s="2"/>
      <x:c r="B4213" s="2" t="str">
        <x:v>16561</x:v>
      </x:c>
      <x:c r="C4213" s="2" t="str">
        <x:v>United Kingdom</x:v>
      </x:c>
      <x:c r="D4213" s="25" t="n">
        <x:v>40827.20347222222</x:v>
      </x:c>
      <x:c r="E4213" s="25" t="n">
        <x:v>40881.28472222222</x:v>
      </x:c>
      <x:c r="F4213" s="2" t="n">
        <x:v>6</x:v>
      </x:c>
      <x:c r="G4213" s="2" t="n">
        <x:v>2</x:v>
      </x:c>
      <x:c r="H4213" s="11" t="n">
        <x:v>511.12</x:v>
      </x:c>
      <x:c r="I4213" s="2" t="n">
        <x:v>5</x:v>
      </x:c>
      <x:c r="J4213" s="2" t="n">
        <x:v>2</x:v>
      </x:c>
      <x:c r="K4213" s="2" t="n">
        <x:v>2</x:v>
      </x:c>
      <x:c r="L4213" s="2" t="str">
        <x:v>Recent light buyers</x:v>
      </x:c>
    </x:row>
    <x:row r="4214" ht="22" customHeight="1">
      <x:c r="A4214" s="2"/>
      <x:c r="B4214" s="2" t="str">
        <x:v>16562</x:v>
      </x:c>
      <x:c r="C4214" s="2" t="str">
        <x:v>United Kingdom</x:v>
      </x:c>
      <x:c r="D4214" s="25" t="n">
        <x:v>40410.28125</x:v>
      </x:c>
      <x:c r="E4214" s="25" t="n">
        <x:v>40410.28125</x:v>
      </x:c>
      <x:c r="F4214" s="2" t="n">
        <x:v>477</x:v>
      </x:c>
      <x:c r="G4214" s="2" t="n">
        <x:v>1</x:v>
      </x:c>
      <x:c r="H4214" s="11" t="n">
        <x:v>223.86</x:v>
      </x:c>
      <x:c r="I4214" s="2" t="n">
        <x:v>1</x:v>
      </x:c>
      <x:c r="J4214" s="2" t="n">
        <x:v>1</x:v>
      </x:c>
      <x:c r="K4214" s="2" t="n">
        <x:v>1</x:v>
      </x:c>
      <x:c r="L4214" s="2" t="str">
        <x:v>Hibernating</x:v>
      </x:c>
    </x:row>
    <x:row r="4215" ht="22" customHeight="1">
      <x:c r="A4215" s="2"/>
      <x:c r="B4215" s="2" t="str">
        <x:v>16563</x:v>
      </x:c>
      <x:c r="C4215" s="2" t="str">
        <x:v>United Kingdom</x:v>
      </x:c>
      <x:c r="D4215" s="25" t="n">
        <x:v>40148.56597222222</x:v>
      </x:c>
      <x:c r="E4215" s="25" t="n">
        <x:v>40833.285416666666</x:v>
      </x:c>
      <x:c r="F4215" s="2" t="n">
        <x:v>54</x:v>
      </x:c>
      <x:c r="G4215" s="2" t="n">
        <x:v>6</x:v>
      </x:c>
      <x:c r="H4215" s="11" t="n">
        <x:v>4422.76</x:v>
      </x:c>
      <x:c r="I4215" s="2" t="n">
        <x:v>4</x:v>
      </x:c>
      <x:c r="J4215" s="2" t="n">
        <x:v>4</x:v>
      </x:c>
      <x:c r="K4215" s="2" t="n">
        <x:v>5</x:v>
      </x:c>
      <x:c r="L4215" s="2" t="str">
        <x:v>Champions</x:v>
      </x:c>
    </x:row>
    <x:row r="4216" ht="22" customHeight="1">
      <x:c r="A4216" s="2"/>
      <x:c r="B4216" s="2" t="str">
        <x:v>16564</x:v>
      </x:c>
      <x:c r="C4216" s="2" t="str">
        <x:v>United Kingdom</x:v>
      </x:c>
      <x:c r="D4216" s="25" t="n">
        <x:v>40317.40347222222</x:v>
      </x:c>
      <x:c r="E4216" s="25" t="n">
        <x:v>40317.40347222222</x:v>
      </x:c>
      <x:c r="F4216" s="2" t="n">
        <x:v>570</x:v>
      </x:c>
      <x:c r="G4216" s="2" t="n">
        <x:v>1</x:v>
      </x:c>
      <x:c r="H4216" s="11" t="n">
        <x:v>87.8</x:v>
      </x:c>
      <x:c r="I4216" s="2" t="n">
        <x:v>1</x:v>
      </x:c>
      <x:c r="J4216" s="2" t="n">
        <x:v>1</x:v>
      </x:c>
      <x:c r="K4216" s="2" t="n">
        <x:v>1</x:v>
      </x:c>
      <x:c r="L4216" s="2" t="str">
        <x:v>Hibernating</x:v>
      </x:c>
    </x:row>
    <x:row r="4217" ht="22" customHeight="1">
      <x:c r="A4217" s="2"/>
      <x:c r="B4217" s="2" t="str">
        <x:v>16565</x:v>
      </x:c>
      <x:c r="C4217" s="2" t="str">
        <x:v>United Kingdom</x:v>
      </x:c>
      <x:c r="D4217" s="25" t="n">
        <x:v>40331.32430555556</x:v>
      </x:c>
      <x:c r="E4217" s="25" t="n">
        <x:v>40522.43125</x:v>
      </x:c>
      <x:c r="F4217" s="2" t="n">
        <x:v>365</x:v>
      </x:c>
      <x:c r="G4217" s="2" t="n">
        <x:v>4</x:v>
      </x:c>
      <x:c r="H4217" s="11" t="n">
        <x:v>773.05</x:v>
      </x:c>
      <x:c r="I4217" s="2" t="n">
        <x:v>2</x:v>
      </x:c>
      <x:c r="J4217" s="2" t="n">
        <x:v>3</x:v>
      </x:c>
      <x:c r="K4217" s="2" t="n">
        <x:v>3</x:v>
      </x:c>
      <x:c r="L4217" s="2" t="str">
        <x:v>At risk</x:v>
      </x:c>
    </x:row>
    <x:row r="4218" ht="22" customHeight="1">
      <x:c r="A4218" s="2"/>
      <x:c r="B4218" s="2" t="str">
        <x:v>16566</x:v>
      </x:c>
      <x:c r="C4218" s="2" t="str">
        <x:v>United Kingdom</x:v>
      </x:c>
      <x:c r="D4218" s="25" t="n">
        <x:v>40594.228472222225</x:v>
      </x:c>
      <x:c r="E4218" s="25" t="n">
        <x:v>40871.481944444444</x:v>
      </x:c>
      <x:c r="F4218" s="2" t="n">
        <x:v>16</x:v>
      </x:c>
      <x:c r="G4218" s="2" t="n">
        <x:v>5</x:v>
      </x:c>
      <x:c r="H4218" s="11" t="n">
        <x:v>614.66</x:v>
      </x:c>
      <x:c r="I4218" s="2" t="n">
        <x:v>5</x:v>
      </x:c>
      <x:c r="J4218" s="2" t="n">
        <x:v>4</x:v>
      </x:c>
      <x:c r="K4218" s="2" t="n">
        <x:v>3</x:v>
      </x:c>
      <x:c r="L4218" s="2" t="str">
        <x:v>Loyal</x:v>
      </x:c>
    </x:row>
    <x:row r="4219" ht="22" customHeight="1">
      <x:c r="A4219" s="2"/>
      <x:c r="B4219" s="2" t="str">
        <x:v>16567</x:v>
      </x:c>
      <x:c r="C4219" s="2" t="str">
        <x:v>United Kingdom</x:v>
      </x:c>
      <x:c r="D4219" s="25" t="n">
        <x:v>40550.18819444445</x:v>
      </x:c>
      <x:c r="E4219" s="25" t="n">
        <x:v>40692.37291666667</x:v>
      </x:c>
      <x:c r="F4219" s="2" t="n">
        <x:v>195</x:v>
      </x:c>
      <x:c r="G4219" s="2" t="n">
        <x:v>2</x:v>
      </x:c>
      <x:c r="H4219" s="11" t="n">
        <x:v>865.6</x:v>
      </x:c>
      <x:c r="I4219" s="2" t="n">
        <x:v>2</x:v>
      </x:c>
      <x:c r="J4219" s="2" t="n">
        <x:v>2</x:v>
      </x:c>
      <x:c r="K4219" s="2" t="n">
        <x:v>3</x:v>
      </x:c>
      <x:c r="L4219" s="2" t="str">
        <x:v>Hibernating</x:v>
      </x:c>
    </x:row>
    <x:row r="4220" ht="22" customHeight="1">
      <x:c r="A4220" s="2"/>
      <x:c r="B4220" s="2" t="str">
        <x:v>16568</x:v>
      </x:c>
      <x:c r="C4220" s="2" t="str">
        <x:v>United Kingdom</x:v>
      </x:c>
      <x:c r="D4220" s="25" t="n">
        <x:v>40245.410416666666</x:v>
      </x:c>
      <x:c r="E4220" s="25" t="n">
        <x:v>40459.245833333334</x:v>
      </x:c>
      <x:c r="F4220" s="2" t="n">
        <x:v>428</x:v>
      </x:c>
      <x:c r="G4220" s="2" t="n">
        <x:v>2</x:v>
      </x:c>
      <x:c r="H4220" s="11" t="n">
        <x:v>1020.9</x:v>
      </x:c>
      <x:c r="I4220" s="2" t="n">
        <x:v>1</x:v>
      </x:c>
      <x:c r="J4220" s="2" t="n">
        <x:v>2</x:v>
      </x:c>
      <x:c r="K4220" s="2" t="n">
        <x:v>3</x:v>
      </x:c>
      <x:c r="L4220" s="2" t="str">
        <x:v>Hibernating</x:v>
      </x:c>
    </x:row>
    <x:row r="4221" ht="22" customHeight="1">
      <x:c r="A4221" s="2"/>
      <x:c r="B4221" s="2" t="str">
        <x:v>16569</x:v>
      </x:c>
      <x:c r="C4221" s="2" t="str">
        <x:v>United Kingdom</x:v>
      </x:c>
      <x:c r="D4221" s="25" t="n">
        <x:v>40163.42013888889</x:v>
      </x:c>
      <x:c r="E4221" s="25" t="n">
        <x:v>40883.438888888886</x:v>
      </x:c>
      <x:c r="F4221" s="2" t="n">
        <x:v>4</x:v>
      </x:c>
      <x:c r="G4221" s="2" t="n">
        <x:v>5</x:v>
      </x:c>
      <x:c r="H4221" s="11" t="n">
        <x:v>1455.23</x:v>
      </x:c>
      <x:c r="I4221" s="2" t="n">
        <x:v>5</x:v>
      </x:c>
      <x:c r="J4221" s="2" t="n">
        <x:v>4</x:v>
      </x:c>
      <x:c r="K4221" s="2" t="n">
        <x:v>4</x:v>
      </x:c>
      <x:c r="L4221" s="2" t="str">
        <x:v>Champions</x:v>
      </x:c>
    </x:row>
    <x:row r="4222" ht="22" customHeight="1">
      <x:c r="A4222" s="2"/>
      <x:c r="B4222" s="2" t="str">
        <x:v>16570</x:v>
      </x:c>
      <x:c r="C4222" s="2" t="str">
        <x:v>United Kingdom</x:v>
      </x:c>
      <x:c r="D4222" s="25" t="n">
        <x:v>40267.188888888886</x:v>
      </x:c>
      <x:c r="E4222" s="25" t="n">
        <x:v>40871.501388888886</x:v>
      </x:c>
      <x:c r="F4222" s="2" t="n">
        <x:v>16</x:v>
      </x:c>
      <x:c r="G4222" s="2" t="n">
        <x:v>20</x:v>
      </x:c>
      <x:c r="H4222" s="11" t="n">
        <x:v>7434.31</x:v>
      </x:c>
      <x:c r="I4222" s="2" t="n">
        <x:v>5</x:v>
      </x:c>
      <x:c r="J4222" s="2" t="n">
        <x:v>5</x:v>
      </x:c>
      <x:c r="K4222" s="2" t="n">
        <x:v>5</x:v>
      </x:c>
      <x:c r="L4222" s="2" t="str">
        <x:v>Champions</x:v>
      </x:c>
    </x:row>
    <x:row r="4223" ht="22" customHeight="1">
      <x:c r="A4223" s="2"/>
      <x:c r="B4223" s="2" t="str">
        <x:v>16571</x:v>
      </x:c>
      <x:c r="C4223" s="2" t="str">
        <x:v>United Kingdom</x:v>
      </x:c>
      <x:c r="D4223" s="25" t="n">
        <x:v>40255.175</x:v>
      </x:c>
      <x:c r="E4223" s="25" t="n">
        <x:v>40860.28194444445</x:v>
      </x:c>
      <x:c r="F4223" s="2" t="n">
        <x:v>27</x:v>
      </x:c>
      <x:c r="G4223" s="2" t="n">
        <x:v>10</x:v>
      </x:c>
      <x:c r="H4223" s="11" t="n">
        <x:v>4248.74</x:v>
      </x:c>
      <x:c r="I4223" s="2" t="n">
        <x:v>4</x:v>
      </x:c>
      <x:c r="J4223" s="2" t="n">
        <x:v>5</x:v>
      </x:c>
      <x:c r="K4223" s="2" t="n">
        <x:v>5</x:v>
      </x:c>
      <x:c r="L4223" s="2" t="str">
        <x:v>Champions</x:v>
      </x:c>
    </x:row>
    <x:row r="4224" ht="22" customHeight="1">
      <x:c r="A4224" s="2"/>
      <x:c r="B4224" s="2" t="str">
        <x:v>16572</x:v>
      </x:c>
      <x:c r="C4224" s="2" t="str">
        <x:v>United Kingdom</x:v>
      </x:c>
      <x:c r="D4224" s="25" t="n">
        <x:v>40611.294444444444</x:v>
      </x:c>
      <x:c r="E4224" s="25" t="n">
        <x:v>40759.481944444444</x:v>
      </x:c>
      <x:c r="F4224" s="2" t="n">
        <x:v>128</x:v>
      </x:c>
      <x:c r="G4224" s="2" t="n">
        <x:v>3</x:v>
      </x:c>
      <x:c r="H4224" s="11" t="n">
        <x:v>1009.6</x:v>
      </x:c>
      <x:c r="I4224" s="2" t="n">
        <x:v>3</x:v>
      </x:c>
      <x:c r="J4224" s="2" t="n">
        <x:v>3</x:v>
      </x:c>
      <x:c r="K4224" s="2" t="n">
        <x:v>3</x:v>
      </x:c>
      <x:c r="L4224" s="2" t="str">
        <x:v>Loyal</x:v>
      </x:c>
    </x:row>
    <x:row r="4225" ht="22" customHeight="1">
      <x:c r="A4225" s="2"/>
      <x:c r="B4225" s="2" t="str">
        <x:v>16573</x:v>
      </x:c>
      <x:c r="C4225" s="2" t="str">
        <x:v>United Kingdom</x:v>
      </x:c>
      <x:c r="D4225" s="25" t="n">
        <x:v>40596.42638888889</x:v>
      </x:c>
      <x:c r="E4225" s="25" t="n">
        <x:v>40802.17569444444</x:v>
      </x:c>
      <x:c r="F4225" s="2" t="n">
        <x:v>85</x:v>
      </x:c>
      <x:c r="G4225" s="2" t="n">
        <x:v>2</x:v>
      </x:c>
      <x:c r="H4225" s="11" t="n">
        <x:v>663.61</x:v>
      </x:c>
      <x:c r="I4225" s="2" t="n">
        <x:v>3</x:v>
      </x:c>
      <x:c r="J4225" s="2" t="n">
        <x:v>2</x:v>
      </x:c>
      <x:c r="K4225" s="2" t="n">
        <x:v>3</x:v>
      </x:c>
      <x:c r="L4225" s="2" t="str">
        <x:v>Developing</x:v>
      </x:c>
    </x:row>
    <x:row r="4226" ht="22" customHeight="1">
      <x:c r="A4226" s="2"/>
      <x:c r="B4226" s="2" t="str">
        <x:v>16574</x:v>
      </x:c>
      <x:c r="C4226" s="2" t="str">
        <x:v>United Kingdom</x:v>
      </x:c>
      <x:c r="D4226" s="25" t="n">
        <x:v>40228.28194444445</x:v>
      </x:c>
      <x:c r="E4226" s="25" t="n">
        <x:v>40815.36041666667</x:v>
      </x:c>
      <x:c r="F4226" s="2" t="n">
        <x:v>72</x:v>
      </x:c>
      <x:c r="G4226" s="2" t="n">
        <x:v>3</x:v>
      </x:c>
      <x:c r="H4226" s="11" t="n">
        <x:v>1301.78</x:v>
      </x:c>
      <x:c r="I4226" s="2" t="n">
        <x:v>3</x:v>
      </x:c>
      <x:c r="J4226" s="2" t="n">
        <x:v>3</x:v>
      </x:c>
      <x:c r="K4226" s="2" t="n">
        <x:v>4</x:v>
      </x:c>
      <x:c r="L4226" s="2" t="str">
        <x:v>Loyal</x:v>
      </x:c>
    </x:row>
    <x:row r="4227" ht="22" customHeight="1">
      <x:c r="A4227" s="2"/>
      <x:c r="B4227" s="2" t="str">
        <x:v>16576</x:v>
      </x:c>
      <x:c r="C4227" s="2" t="str">
        <x:v>United Kingdom</x:v>
      </x:c>
      <x:c r="D4227" s="25" t="n">
        <x:v>40365.2375</x:v>
      </x:c>
      <x:c r="E4227" s="25" t="n">
        <x:v>40466.35902777778</x:v>
      </x:c>
      <x:c r="F4227" s="2" t="n">
        <x:v>421</x:v>
      </x:c>
      <x:c r="G4227" s="2" t="n">
        <x:v>2</x:v>
      </x:c>
      <x:c r="H4227" s="11" t="n">
        <x:v>540.87</x:v>
      </x:c>
      <x:c r="I4227" s="2" t="n">
        <x:v>1</x:v>
      </x:c>
      <x:c r="J4227" s="2" t="n">
        <x:v>2</x:v>
      </x:c>
      <x:c r="K4227" s="2" t="n">
        <x:v>2</x:v>
      </x:c>
      <x:c r="L4227" s="2" t="str">
        <x:v>Hibernating</x:v>
      </x:c>
    </x:row>
    <x:row r="4228" ht="22" customHeight="1">
      <x:c r="A4228" s="2"/>
      <x:c r="B4228" s="2" t="str">
        <x:v>16577</x:v>
      </x:c>
      <x:c r="C4228" s="2" t="str">
        <x:v>United Kingdom</x:v>
      </x:c>
      <x:c r="D4228" s="25" t="n">
        <x:v>40220.197916666664</x:v>
      </x:c>
      <x:c r="E4228" s="25" t="n">
        <x:v>40220.197916666664</x:v>
      </x:c>
      <x:c r="F4228" s="2" t="n">
        <x:v>667</x:v>
      </x:c>
      <x:c r="G4228" s="2" t="n">
        <x:v>1</x:v>
      </x:c>
      <x:c r="H4228" s="11" t="n">
        <x:v>380</x:v>
      </x:c>
      <x:c r="I4228" s="2" t="n">
        <x:v>1</x:v>
      </x:c>
      <x:c r="J4228" s="2" t="n">
        <x:v>1</x:v>
      </x:c>
      <x:c r="K4228" s="2" t="n">
        <x:v>2</x:v>
      </x:c>
      <x:c r="L4228" s="2" t="str">
        <x:v>Hibernating</x:v>
      </x:c>
    </x:row>
    <x:row r="4229" ht="22" customHeight="1">
      <x:c r="A4229" s="2"/>
      <x:c r="B4229" s="2" t="str">
        <x:v>16578</x:v>
      </x:c>
      <x:c r="C4229" s="2" t="str">
        <x:v>United Kingdom</x:v>
      </x:c>
      <x:c r="D4229" s="25" t="n">
        <x:v>40260.424305555556</x:v>
      </x:c>
      <x:c r="E4229" s="25" t="n">
        <x:v>40260.424305555556</x:v>
      </x:c>
      <x:c r="F4229" s="2" t="n">
        <x:v>627</x:v>
      </x:c>
      <x:c r="G4229" s="2" t="n">
        <x:v>1</x:v>
      </x:c>
      <x:c r="H4229" s="11" t="n">
        <x:v>156.6</x:v>
      </x:c>
      <x:c r="I4229" s="2" t="n">
        <x:v>1</x:v>
      </x:c>
      <x:c r="J4229" s="2" t="n">
        <x:v>1</x:v>
      </x:c>
      <x:c r="K4229" s="2" t="n">
        <x:v>1</x:v>
      </x:c>
      <x:c r="L4229" s="2" t="str">
        <x:v>Hibernating</x:v>
      </x:c>
    </x:row>
    <x:row r="4230" ht="22" customHeight="1">
      <x:c r="A4230" s="2"/>
      <x:c r="B4230" s="2" t="str">
        <x:v>16579</x:v>
      </x:c>
      <x:c r="C4230" s="2" t="str">
        <x:v>United Kingdom</x:v>
      </x:c>
      <x:c r="D4230" s="25" t="n">
        <x:v>40461.29027777778</x:v>
      </x:c>
      <x:c r="E4230" s="25" t="n">
        <x:v>40461.29027777778</x:v>
      </x:c>
      <x:c r="F4230" s="2" t="n">
        <x:v>426</x:v>
      </x:c>
      <x:c r="G4230" s="2" t="n">
        <x:v>1</x:v>
      </x:c>
      <x:c r="H4230" s="11" t="n">
        <x:v>295.05</x:v>
      </x:c>
      <x:c r="I4230" s="2" t="n">
        <x:v>1</x:v>
      </x:c>
      <x:c r="J4230" s="2" t="n">
        <x:v>1</x:v>
      </x:c>
      <x:c r="K4230" s="2" t="n">
        <x:v>2</x:v>
      </x:c>
      <x:c r="L4230" s="2" t="str">
        <x:v>Hibernating</x:v>
      </x:c>
    </x:row>
    <x:row r="4231" ht="22" customHeight="1">
      <x:c r="A4231" s="2"/>
      <x:c r="B4231" s="2" t="str">
        <x:v>16581</x:v>
      </x:c>
      <x:c r="C4231" s="2" t="str">
        <x:v>United Kingdom</x:v>
      </x:c>
      <x:c r="D4231" s="25" t="n">
        <x:v>40704.211805555555</x:v>
      </x:c>
      <x:c r="E4231" s="25" t="n">
        <x:v>40704.211805555555</x:v>
      </x:c>
      <x:c r="F4231" s="2" t="n">
        <x:v>183</x:v>
      </x:c>
      <x:c r="G4231" s="2" t="n">
        <x:v>1</x:v>
      </x:c>
      <x:c r="H4231" s="11" t="n">
        <x:v>105.84</x:v>
      </x:c>
      <x:c r="I4231" s="2" t="n">
        <x:v>3</x:v>
      </x:c>
      <x:c r="J4231" s="2" t="n">
        <x:v>1</x:v>
      </x:c>
      <x:c r="K4231" s="2" t="n">
        <x:v>1</x:v>
      </x:c>
      <x:c r="L4231" s="2" t="str">
        <x:v>Developing</x:v>
      </x:c>
    </x:row>
    <x:row r="4232" ht="22" customHeight="1">
      <x:c r="A4232" s="2"/>
      <x:c r="B4232" s="2" t="str">
        <x:v>16582</x:v>
      </x:c>
      <x:c r="C4232" s="2" t="str">
        <x:v>United Kingdom</x:v>
      </x:c>
      <x:c r="D4232" s="25" t="n">
        <x:v>40773.501388888886</x:v>
      </x:c>
      <x:c r="E4232" s="25" t="n">
        <x:v>40773.501388888886</x:v>
      </x:c>
      <x:c r="F4232" s="2" t="n">
        <x:v>114</x:v>
      </x:c>
      <x:c r="G4232" s="2" t="n">
        <x:v>1</x:v>
      </x:c>
      <x:c r="H4232" s="11" t="n">
        <x:v>313.62</x:v>
      </x:c>
      <x:c r="I4232" s="2" t="n">
        <x:v>3</x:v>
      </x:c>
      <x:c r="J4232" s="2" t="n">
        <x:v>1</x:v>
      </x:c>
      <x:c r="K4232" s="2" t="n">
        <x:v>2</x:v>
      </x:c>
      <x:c r="L4232" s="2" t="str">
        <x:v>Developing</x:v>
      </x:c>
    </x:row>
    <x:row r="4233" ht="22" customHeight="1">
      <x:c r="A4233" s="2"/>
      <x:c r="B4233" s="2" t="str">
        <x:v>16583</x:v>
      </x:c>
      <x:c r="C4233" s="2" t="str">
        <x:v>United Kingdom</x:v>
      </x:c>
      <x:c r="D4233" s="25" t="n">
        <x:v>40213.30416666667</x:v>
      </x:c>
      <x:c r="E4233" s="25" t="n">
        <x:v>40513.29375</x:v>
      </x:c>
      <x:c r="F4233" s="2" t="n">
        <x:v>374</x:v>
      </x:c>
      <x:c r="G4233" s="2" t="n">
        <x:v>2</x:v>
      </x:c>
      <x:c r="H4233" s="11" t="n">
        <x:v>297.95</x:v>
      </x:c>
      <x:c r="I4233" s="2" t="n">
        <x:v>2</x:v>
      </x:c>
      <x:c r="J4233" s="2" t="n">
        <x:v>2</x:v>
      </x:c>
      <x:c r="K4233" s="2" t="n">
        <x:v>2</x:v>
      </x:c>
      <x:c r="L4233" s="2" t="str">
        <x:v>Hibernating</x:v>
      </x:c>
    </x:row>
    <x:row r="4234" ht="22" customHeight="1">
      <x:c r="A4234" s="2"/>
      <x:c r="B4234" s="2" t="str">
        <x:v>16584</x:v>
      </x:c>
      <x:c r="C4234" s="2" t="str">
        <x:v>United Kingdom</x:v>
      </x:c>
      <x:c r="D4234" s="25" t="n">
        <x:v>40225.236805555556</x:v>
      </x:c>
      <x:c r="E4234" s="25" t="n">
        <x:v>40806.364583333336</x:v>
      </x:c>
      <x:c r="F4234" s="2" t="n">
        <x:v>81</x:v>
      </x:c>
      <x:c r="G4234" s="2" t="n">
        <x:v>5</x:v>
      </x:c>
      <x:c r="H4234" s="11" t="n">
        <x:v>3163.67</x:v>
      </x:c>
      <x:c r="I4234" s="2" t="n">
        <x:v>3</x:v>
      </x:c>
      <x:c r="J4234" s="2" t="n">
        <x:v>4</x:v>
      </x:c>
      <x:c r="K4234" s="2" t="n">
        <x:v>5</x:v>
      </x:c>
      <x:c r="L4234" s="2" t="str">
        <x:v>Loyal</x:v>
      </x:c>
    </x:row>
    <x:row r="4235" ht="22" customHeight="1">
      <x:c r="A4235" s="2"/>
      <x:c r="B4235" s="2" t="str">
        <x:v>16585</x:v>
      </x:c>
      <x:c r="C4235" s="2" t="str">
        <x:v>United Kingdom</x:v>
      </x:c>
      <x:c r="D4235" s="25" t="n">
        <x:v>40191.35486111111</x:v>
      </x:c>
      <x:c r="E4235" s="25" t="n">
        <x:v>40293.231944444444</x:v>
      </x:c>
      <x:c r="F4235" s="2" t="n">
        <x:v>594</x:v>
      </x:c>
      <x:c r="G4235" s="2" t="n">
        <x:v>2</x:v>
      </x:c>
      <x:c r="H4235" s="11" t="n">
        <x:v>341.59</x:v>
      </x:c>
      <x:c r="I4235" s="2" t="n">
        <x:v>1</x:v>
      </x:c>
      <x:c r="J4235" s="2" t="n">
        <x:v>2</x:v>
      </x:c>
      <x:c r="K4235" s="2" t="n">
        <x:v>2</x:v>
      </x:c>
      <x:c r="L4235" s="2" t="str">
        <x:v>Hibernating</x:v>
      </x:c>
    </x:row>
    <x:row r="4236" ht="22" customHeight="1">
      <x:c r="A4236" s="2"/>
      <x:c r="B4236" s="2" t="str">
        <x:v>16586</x:v>
      </x:c>
      <x:c r="C4236" s="2" t="str">
        <x:v>United Kingdom</x:v>
      </x:c>
      <x:c r="D4236" s="25" t="n">
        <x:v>40251.26666666667</x:v>
      </x:c>
      <x:c r="E4236" s="25" t="n">
        <x:v>40638.188888888886</x:v>
      </x:c>
      <x:c r="F4236" s="2" t="n">
        <x:v>249</x:v>
      </x:c>
      <x:c r="G4236" s="2" t="n">
        <x:v>3</x:v>
      </x:c>
      <x:c r="H4236" s="11" t="n">
        <x:v>1462.78</x:v>
      </x:c>
      <x:c r="I4236" s="2" t="n">
        <x:v>2</x:v>
      </x:c>
      <x:c r="J4236" s="2" t="n">
        <x:v>3</x:v>
      </x:c>
      <x:c r="K4236" s="2" t="n">
        <x:v>4</x:v>
      </x:c>
      <x:c r="L4236" s="2" t="str">
        <x:v>At risk</x:v>
      </x:c>
    </x:row>
    <x:row r="4237" ht="22" customHeight="1">
      <x:c r="A4237" s="2"/>
      <x:c r="B4237" s="2" t="str">
        <x:v>16587</x:v>
      </x:c>
      <x:c r="C4237" s="2" t="str">
        <x:v>United Kingdom</x:v>
      </x:c>
      <x:c r="D4237" s="25" t="n">
        <x:v>40654.45208333333</x:v>
      </x:c>
      <x:c r="E4237" s="25" t="n">
        <x:v>40654.45208333333</x:v>
      </x:c>
      <x:c r="F4237" s="2" t="n">
        <x:v>233</x:v>
      </x:c>
      <x:c r="G4237" s="2" t="n">
        <x:v>1</x:v>
      </x:c>
      <x:c r="H4237" s="11" t="n">
        <x:v>225.15</x:v>
      </x:c>
      <x:c r="I4237" s="2" t="n">
        <x:v>2</x:v>
      </x:c>
      <x:c r="J4237" s="2" t="n">
        <x:v>1</x:v>
      </x:c>
      <x:c r="K4237" s="2" t="n">
        <x:v>1</x:v>
      </x:c>
      <x:c r="L4237" s="2" t="str">
        <x:v>Hibernating</x:v>
      </x:c>
    </x:row>
    <x:row r="4238" ht="22" customHeight="1">
      <x:c r="A4238" s="2"/>
      <x:c r="B4238" s="2" t="str">
        <x:v>16588</x:v>
      </x:c>
      <x:c r="C4238" s="2" t="str">
        <x:v>United Kingdom</x:v>
      </x:c>
      <x:c r="D4238" s="25" t="n">
        <x:v>40312.36319444444</x:v>
      </x:c>
      <x:c r="E4238" s="25" t="n">
        <x:v>40500.53888888889</x:v>
      </x:c>
      <x:c r="F4238" s="2" t="n">
        <x:v>387</x:v>
      </x:c>
      <x:c r="G4238" s="2" t="n">
        <x:v>4</x:v>
      </x:c>
      <x:c r="H4238" s="11" t="n">
        <x:v>1361.28</x:v>
      </x:c>
      <x:c r="I4238" s="2" t="n">
        <x:v>2</x:v>
      </x:c>
      <x:c r="J4238" s="2" t="n">
        <x:v>3</x:v>
      </x:c>
      <x:c r="K4238" s="2" t="n">
        <x:v>4</x:v>
      </x:c>
      <x:c r="L4238" s="2" t="str">
        <x:v>At risk</x:v>
      </x:c>
    </x:row>
    <x:row r="4239" ht="22" customHeight="1">
      <x:c r="A4239" s="2"/>
      <x:c r="B4239" s="2" t="str">
        <x:v>16589</x:v>
      </x:c>
      <x:c r="C4239" s="2" t="str">
        <x:v>United Kingdom</x:v>
      </x:c>
      <x:c r="D4239" s="25" t="n">
        <x:v>40436.41388888889</x:v>
      </x:c>
      <x:c r="E4239" s="25" t="n">
        <x:v>40815.40972222222</x:v>
      </x:c>
      <x:c r="F4239" s="2" t="n">
        <x:v>72</x:v>
      </x:c>
      <x:c r="G4239" s="2" t="n">
        <x:v>4</x:v>
      </x:c>
      <x:c r="H4239" s="11" t="n">
        <x:v>612.36</x:v>
      </x:c>
      <x:c r="I4239" s="2" t="n">
        <x:v>3</x:v>
      </x:c>
      <x:c r="J4239" s="2" t="n">
        <x:v>3</x:v>
      </x:c>
      <x:c r="K4239" s="2" t="n">
        <x:v>3</x:v>
      </x:c>
      <x:c r="L4239" s="2" t="str">
        <x:v>Loyal</x:v>
      </x:c>
    </x:row>
    <x:row r="4240" ht="22" customHeight="1">
      <x:c r="A4240" s="2"/>
      <x:c r="B4240" s="2" t="str">
        <x:v>16590</x:v>
      </x:c>
      <x:c r="C4240" s="2" t="str">
        <x:v>United Kingdom</x:v>
      </x:c>
      <x:c r="D4240" s="25" t="n">
        <x:v>40472.29791666667</x:v>
      </x:c>
      <x:c r="E4240" s="25" t="n">
        <x:v>40486.17083333333</x:v>
      </x:c>
      <x:c r="F4240" s="2" t="n">
        <x:v>401</x:v>
      </x:c>
      <x:c r="G4240" s="2" t="n">
        <x:v>2</x:v>
      </x:c>
      <x:c r="H4240" s="11" t="n">
        <x:v>605.9</x:v>
      </x:c>
      <x:c r="I4240" s="2" t="n">
        <x:v>2</x:v>
      </x:c>
      <x:c r="J4240" s="2" t="n">
        <x:v>2</x:v>
      </x:c>
      <x:c r="K4240" s="2" t="n">
        <x:v>2</x:v>
      </x:c>
      <x:c r="L4240" s="2" t="str">
        <x:v>Hibernating</x:v>
      </x:c>
    </x:row>
    <x:row r="4241" ht="22" customHeight="1">
      <x:c r="A4241" s="2"/>
      <x:c r="B4241" s="2" t="str">
        <x:v>16591</x:v>
      </x:c>
      <x:c r="C4241" s="2" t="str">
        <x:v>United Kingdom</x:v>
      </x:c>
      <x:c r="D4241" s="25" t="n">
        <x:v>40818.23819444444</x:v>
      </x:c>
      <x:c r="E4241" s="25" t="n">
        <x:v>40818.23819444444</x:v>
      </x:c>
      <x:c r="F4241" s="2" t="n">
        <x:v>69</x:v>
      </x:c>
      <x:c r="G4241" s="2" t="n">
        <x:v>1</x:v>
      </x:c>
      <x:c r="H4241" s="11" t="n">
        <x:v>213.5</x:v>
      </x:c>
      <x:c r="I4241" s="2" t="n">
        <x:v>3</x:v>
      </x:c>
      <x:c r="J4241" s="2" t="n">
        <x:v>1</x:v>
      </x:c>
      <x:c r="K4241" s="2" t="n">
        <x:v>1</x:v>
      </x:c>
      <x:c r="L4241" s="2" t="str">
        <x:v>Developing</x:v>
      </x:c>
    </x:row>
    <x:row r="4242" ht="22" customHeight="1">
      <x:c r="A4242" s="2"/>
      <x:c r="B4242" s="2" t="str">
        <x:v>16592</x:v>
      </x:c>
      <x:c r="C4242" s="2" t="str">
        <x:v>United Kingdom</x:v>
      </x:c>
      <x:c r="D4242" s="25" t="n">
        <x:v>40165.45625</x:v>
      </x:c>
      <x:c r="E4242" s="25" t="n">
        <x:v>40882.36736111111</x:v>
      </x:c>
      <x:c r="F4242" s="2" t="n">
        <x:v>5</x:v>
      </x:c>
      <x:c r="G4242" s="2" t="n">
        <x:v>28</x:v>
      </x:c>
      <x:c r="H4242" s="11" t="n">
        <x:v>7807.91</x:v>
      </x:c>
      <x:c r="I4242" s="2" t="n">
        <x:v>5</x:v>
      </x:c>
      <x:c r="J4242" s="2" t="n">
        <x:v>5</x:v>
      </x:c>
      <x:c r="K4242" s="2" t="n">
        <x:v>5</x:v>
      </x:c>
      <x:c r="L4242" s="2" t="str">
        <x:v>Champions</x:v>
      </x:c>
    </x:row>
    <x:row r="4243" ht="22" customHeight="1">
      <x:c r="A4243" s="2"/>
      <x:c r="B4243" s="2" t="str">
        <x:v>16593</x:v>
      </x:c>
      <x:c r="C4243" s="2" t="str">
        <x:v>United Kingdom</x:v>
      </x:c>
      <x:c r="D4243" s="25" t="n">
        <x:v>40152.23888888889</x:v>
      </x:c>
      <x:c r="E4243" s="25" t="n">
        <x:v>40836.32013888889</x:v>
      </x:c>
      <x:c r="F4243" s="2" t="n">
        <x:v>51</x:v>
      </x:c>
      <x:c r="G4243" s="2" t="n">
        <x:v>8</x:v>
      </x:c>
      <x:c r="H4243" s="11" t="n">
        <x:v>1071.14</x:v>
      </x:c>
      <x:c r="I4243" s="2" t="n">
        <x:v>4</x:v>
      </x:c>
      <x:c r="J4243" s="2" t="n">
        <x:v>4</x:v>
      </x:c>
      <x:c r="K4243" s="2" t="n">
        <x:v>3</x:v>
      </x:c>
      <x:c r="L4243" s="2" t="str">
        <x:v>Loyal</x:v>
      </x:c>
    </x:row>
    <x:row r="4244" ht="22" customHeight="1">
      <x:c r="A4244" s="2"/>
      <x:c r="B4244" s="2" t="str">
        <x:v>16594</x:v>
      </x:c>
      <x:c r="C4244" s="2" t="str">
        <x:v>United Kingdom</x:v>
      </x:c>
      <x:c r="D4244" s="25" t="n">
        <x:v>40811.38055555556</x:v>
      </x:c>
      <x:c r="E4244" s="25" t="n">
        <x:v>40811.38055555556</x:v>
      </x:c>
      <x:c r="F4244" s="2" t="n">
        <x:v>76</x:v>
      </x:c>
      <x:c r="G4244" s="2" t="n">
        <x:v>1</x:v>
      </x:c>
      <x:c r="H4244" s="11" t="n">
        <x:v>181.09</x:v>
      </x:c>
      <x:c r="I4244" s="2" t="n">
        <x:v>3</x:v>
      </x:c>
      <x:c r="J4244" s="2" t="n">
        <x:v>1</x:v>
      </x:c>
      <x:c r="K4244" s="2" t="n">
        <x:v>1</x:v>
      </x:c>
      <x:c r="L4244" s="2" t="str">
        <x:v>Developing</x:v>
      </x:c>
    </x:row>
    <x:row r="4245" ht="22" customHeight="1">
      <x:c r="A4245" s="2"/>
      <x:c r="B4245" s="2" t="str">
        <x:v>16595</x:v>
      </x:c>
      <x:c r="C4245" s="2" t="str">
        <x:v>United Kingdom</x:v>
      </x:c>
      <x:c r="D4245" s="25" t="n">
        <x:v>40195.3</x:v>
      </x:c>
      <x:c r="E4245" s="25" t="n">
        <x:v>40825.34375</x:v>
      </x:c>
      <x:c r="F4245" s="2" t="n">
        <x:v>62</x:v>
      </x:c>
      <x:c r="G4245" s="2" t="n">
        <x:v>5</x:v>
      </x:c>
      <x:c r="H4245" s="11" t="n">
        <x:v>1810.18</x:v>
      </x:c>
      <x:c r="I4245" s="2" t="n">
        <x:v>3</x:v>
      </x:c>
      <x:c r="J4245" s="2" t="n">
        <x:v>4</x:v>
      </x:c>
      <x:c r="K4245" s="2" t="n">
        <x:v>4</x:v>
      </x:c>
      <x:c r="L4245" s="2" t="str">
        <x:v>Loyal</x:v>
      </x:c>
    </x:row>
    <x:row r="4246" ht="22" customHeight="1">
      <x:c r="A4246" s="2"/>
      <x:c r="B4246" s="2" t="str">
        <x:v>16596</x:v>
      </x:c>
      <x:c r="C4246" s="2" t="str">
        <x:v>United Kingdom</x:v>
      </x:c>
      <x:c r="D4246" s="25" t="n">
        <x:v>40157.339583333334</x:v>
      </x:c>
      <x:c r="E4246" s="25" t="n">
        <x:v>40871.20972222222</x:v>
      </x:c>
      <x:c r="F4246" s="2" t="n">
        <x:v>16</x:v>
      </x:c>
      <x:c r="G4246" s="2" t="n">
        <x:v>4</x:v>
      </x:c>
      <x:c r="H4246" s="11" t="n">
        <x:v>458.98</x:v>
      </x:c>
      <x:c r="I4246" s="2" t="n">
        <x:v>5</x:v>
      </x:c>
      <x:c r="J4246" s="2" t="n">
        <x:v>3</x:v>
      </x:c>
      <x:c r="K4246" s="2" t="n">
        <x:v>2</x:v>
      </x:c>
      <x:c r="L4246" s="2" t="str">
        <x:v>Loyal</x:v>
      </x:c>
    </x:row>
    <x:row r="4247" ht="22" customHeight="1">
      <x:c r="A4247" s="2"/>
      <x:c r="B4247" s="2" t="str">
        <x:v>16597</x:v>
      </x:c>
      <x:c r="C4247" s="2" t="str">
        <x:v>United Kingdom</x:v>
      </x:c>
      <x:c r="D4247" s="25" t="n">
        <x:v>40882.447222222225</x:v>
      </x:c>
      <x:c r="E4247" s="25" t="n">
        <x:v>40882.447222222225</x:v>
      </x:c>
      <x:c r="F4247" s="2" t="n">
        <x:v>5</x:v>
      </x:c>
      <x:c r="G4247" s="2" t="n">
        <x:v>1</x:v>
      </x:c>
      <x:c r="H4247" s="11" t="n">
        <x:v>90.04</x:v>
      </x:c>
      <x:c r="I4247" s="2" t="n">
        <x:v>5</x:v>
      </x:c>
      <x:c r="J4247" s="2" t="n">
        <x:v>1</x:v>
      </x:c>
      <x:c r="K4247" s="2" t="n">
        <x:v>1</x:v>
      </x:c>
      <x:c r="L4247" s="2" t="str">
        <x:v>Recent light buyers</x:v>
      </x:c>
    </x:row>
    <x:row r="4248" ht="22" customHeight="1">
      <x:c r="A4248" s="2"/>
      <x:c r="B4248" s="2" t="str">
        <x:v>16598</x:v>
      </x:c>
      <x:c r="C4248" s="2" t="str">
        <x:v>United Kingdom</x:v>
      </x:c>
      <x:c r="D4248" s="25" t="n">
        <x:v>40601.27916666667</x:v>
      </x:c>
      <x:c r="E4248" s="25" t="n">
        <x:v>40601.27916666667</x:v>
      </x:c>
      <x:c r="F4248" s="2" t="n">
        <x:v>286</x:v>
      </x:c>
      <x:c r="G4248" s="2" t="n">
        <x:v>1</x:v>
      </x:c>
      <x:c r="H4248" s="11" t="n">
        <x:v>145.05</x:v>
      </x:c>
      <x:c r="I4248" s="2" t="n">
        <x:v>2</x:v>
      </x:c>
      <x:c r="J4248" s="2" t="n">
        <x:v>1</x:v>
      </x:c>
      <x:c r="K4248" s="2" t="n">
        <x:v>1</x:v>
      </x:c>
      <x:c r="L4248" s="2" t="str">
        <x:v>Hibernating</x:v>
      </x:c>
    </x:row>
    <x:row r="4249" ht="22" customHeight="1">
      <x:c r="A4249" s="2"/>
      <x:c r="B4249" s="2" t="str">
        <x:v>16599</x:v>
      </x:c>
      <x:c r="C4249" s="2" t="str">
        <x:v>United Kingdom</x:v>
      </x:c>
      <x:c r="D4249" s="25" t="n">
        <x:v>40501.322916666664</x:v>
      </x:c>
      <x:c r="E4249" s="25" t="n">
        <x:v>40501.322916666664</x:v>
      </x:c>
      <x:c r="F4249" s="2" t="n">
        <x:v>386</x:v>
      </x:c>
      <x:c r="G4249" s="2" t="n">
        <x:v>1</x:v>
      </x:c>
      <x:c r="H4249" s="11" t="n">
        <x:v>172.8</x:v>
      </x:c>
      <x:c r="I4249" s="2" t="n">
        <x:v>2</x:v>
      </x:c>
      <x:c r="J4249" s="2" t="n">
        <x:v>1</x:v>
      </x:c>
      <x:c r="K4249" s="2" t="n">
        <x:v>1</x:v>
      </x:c>
      <x:c r="L4249" s="2" t="str">
        <x:v>Hibernating</x:v>
      </x:c>
    </x:row>
    <x:row r="4250" ht="22" customHeight="1">
      <x:c r="A4250" s="2"/>
      <x:c r="B4250" s="2" t="str">
        <x:v>16600</x:v>
      </x:c>
      <x:c r="C4250" s="2" t="str">
        <x:v>United Kingdom</x:v>
      </x:c>
      <x:c r="D4250" s="25" t="n">
        <x:v>40165.33263888889</x:v>
      </x:c>
      <x:c r="E4250" s="25" t="n">
        <x:v>40882.458333333336</x:v>
      </x:c>
      <x:c r="F4250" s="2" t="n">
        <x:v>5</x:v>
      </x:c>
      <x:c r="G4250" s="2" t="n">
        <x:v>13</x:v>
      </x:c>
      <x:c r="H4250" s="11" t="n">
        <x:v>2153.41</x:v>
      </x:c>
      <x:c r="I4250" s="2" t="n">
        <x:v>5</x:v>
      </x:c>
      <x:c r="J4250" s="2" t="n">
        <x:v>5</x:v>
      </x:c>
      <x:c r="K4250" s="2" t="n">
        <x:v>4</x:v>
      </x:c>
      <x:c r="L4250" s="2" t="str">
        <x:v>Champions</x:v>
      </x:c>
    </x:row>
    <x:row r="4251" ht="22" customHeight="1">
      <x:c r="A4251" s="2"/>
      <x:c r="B4251" s="2" t="str">
        <x:v>16601</x:v>
      </x:c>
      <x:c r="C4251" s="2" t="str">
        <x:v>United Kingdom</x:v>
      </x:c>
      <x:c r="D4251" s="25" t="n">
        <x:v>40263.36041666667</x:v>
      </x:c>
      <x:c r="E4251" s="25" t="n">
        <x:v>40846.25625</x:v>
      </x:c>
      <x:c r="F4251" s="2" t="n">
        <x:v>41</x:v>
      </x:c>
      <x:c r="G4251" s="2" t="n">
        <x:v>3</x:v>
      </x:c>
      <x:c r="H4251" s="11" t="n">
        <x:v>684.25</x:v>
      </x:c>
      <x:c r="I4251" s="2" t="n">
        <x:v>4</x:v>
      </x:c>
      <x:c r="J4251" s="2" t="n">
        <x:v>3</x:v>
      </x:c>
      <x:c r="K4251" s="2" t="n">
        <x:v>3</x:v>
      </x:c>
      <x:c r="L4251" s="2" t="str">
        <x:v>Loyal</x:v>
      </x:c>
    </x:row>
    <x:row r="4252" ht="22" customHeight="1">
      <x:c r="A4252" s="2"/>
      <x:c r="B4252" s="2" t="str">
        <x:v>16602</x:v>
      </x:c>
      <x:c r="C4252" s="2" t="str">
        <x:v>United Kingdom</x:v>
      </x:c>
      <x:c r="D4252" s="25" t="n">
        <x:v>40498.17569444444</x:v>
      </x:c>
      <x:c r="E4252" s="25" t="n">
        <x:v>40850.45416666667</x:v>
      </x:c>
      <x:c r="F4252" s="2" t="n">
        <x:v>37</x:v>
      </x:c>
      <x:c r="G4252" s="2" t="n">
        <x:v>2</x:v>
      </x:c>
      <x:c r="H4252" s="11" t="n">
        <x:v>763.33</x:v>
      </x:c>
      <x:c r="I4252" s="2" t="n">
        <x:v>4</x:v>
      </x:c>
      <x:c r="J4252" s="2" t="n">
        <x:v>2</x:v>
      </x:c>
      <x:c r="K4252" s="2" t="n">
        <x:v>3</x:v>
      </x:c>
      <x:c r="L4252" s="2" t="str">
        <x:v>Recent light buyers</x:v>
      </x:c>
    </x:row>
    <x:row r="4253" ht="22" customHeight="1">
      <x:c r="A4253" s="2"/>
      <x:c r="B4253" s="2" t="str">
        <x:v>16603</x:v>
      </x:c>
      <x:c r="C4253" s="2" t="str">
        <x:v>United Kingdom</x:v>
      </x:c>
      <x:c r="D4253" s="25" t="n">
        <x:v>40795.33472222222</x:v>
      </x:c>
      <x:c r="E4253" s="25" t="n">
        <x:v>40812.2125</x:v>
      </x:c>
      <x:c r="F4253" s="2" t="n">
        <x:v>75</x:v>
      </x:c>
      <x:c r="G4253" s="2" t="n">
        <x:v>2</x:v>
      </x:c>
      <x:c r="H4253" s="11" t="n">
        <x:v>482.47</x:v>
      </x:c>
      <x:c r="I4253" s="2" t="n">
        <x:v>3</x:v>
      </x:c>
      <x:c r="J4253" s="2" t="n">
        <x:v>2</x:v>
      </x:c>
      <x:c r="K4253" s="2" t="n">
        <x:v>2</x:v>
      </x:c>
      <x:c r="L4253" s="2" t="str">
        <x:v>Developing</x:v>
      </x:c>
    </x:row>
    <x:row r="4254" ht="22" customHeight="1">
      <x:c r="A4254" s="2"/>
      <x:c r="B4254" s="2" t="str">
        <x:v>16604</x:v>
      </x:c>
      <x:c r="C4254" s="2" t="str">
        <x:v>United Kingdom</x:v>
      </x:c>
      <x:c r="D4254" s="25" t="n">
        <x:v>40318.481944444444</x:v>
      </x:c>
      <x:c r="E4254" s="25" t="n">
        <x:v>40324.17361111111</x:v>
      </x:c>
      <x:c r="F4254" s="2" t="n">
        <x:v>563</x:v>
      </x:c>
      <x:c r="G4254" s="2" t="n">
        <x:v>2</x:v>
      </x:c>
      <x:c r="H4254" s="11" t="n">
        <x:v>432.45</x:v>
      </x:c>
      <x:c r="I4254" s="2" t="n">
        <x:v>1</x:v>
      </x:c>
      <x:c r="J4254" s="2" t="n">
        <x:v>2</x:v>
      </x:c>
      <x:c r="K4254" s="2" t="n">
        <x:v>2</x:v>
      </x:c>
      <x:c r="L4254" s="2" t="str">
        <x:v>Hibernating</x:v>
      </x:c>
    </x:row>
    <x:row r="4255" ht="22" customHeight="1">
      <x:c r="A4255" s="2"/>
      <x:c r="B4255" s="2" t="str">
        <x:v>16605</x:v>
      </x:c>
      <x:c r="C4255" s="2" t="str">
        <x:v>United Kingdom</x:v>
      </x:c>
      <x:c r="D4255" s="25" t="n">
        <x:v>40162.58541666667</x:v>
      </x:c>
      <x:c r="E4255" s="25" t="n">
        <x:v>40162.58541666667</x:v>
      </x:c>
      <x:c r="F4255" s="2" t="n">
        <x:v>725</x:v>
      </x:c>
      <x:c r="G4255" s="2" t="n">
        <x:v>1</x:v>
      </x:c>
      <x:c r="H4255" s="11" t="n">
        <x:v>60.48</x:v>
      </x:c>
      <x:c r="I4255" s="2" t="n">
        <x:v>1</x:v>
      </x:c>
      <x:c r="J4255" s="2" t="n">
        <x:v>1</x:v>
      </x:c>
      <x:c r="K4255" s="2" t="n">
        <x:v>1</x:v>
      </x:c>
      <x:c r="L4255" s="2" t="str">
        <x:v>Hibernating</x:v>
      </x:c>
    </x:row>
    <x:row r="4256" ht="22" customHeight="1">
      <x:c r="A4256" s="2"/>
      <x:c r="B4256" s="2" t="str">
        <x:v>16606</x:v>
      </x:c>
      <x:c r="C4256" s="2" t="str">
        <x:v>United Kingdom</x:v>
      </x:c>
      <x:c r="D4256" s="25" t="n">
        <x:v>40452.347916666666</x:v>
      </x:c>
      <x:c r="E4256" s="25" t="n">
        <x:v>40482.37291666667</x:v>
      </x:c>
      <x:c r="F4256" s="2" t="n">
        <x:v>405</x:v>
      </x:c>
      <x:c r="G4256" s="2" t="n">
        <x:v>2</x:v>
      </x:c>
      <x:c r="H4256" s="11" t="n">
        <x:v>357.66</x:v>
      </x:c>
      <x:c r="I4256" s="2" t="n">
        <x:v>2</x:v>
      </x:c>
      <x:c r="J4256" s="2" t="n">
        <x:v>2</x:v>
      </x:c>
      <x:c r="K4256" s="2" t="n">
        <x:v>2</x:v>
      </x:c>
      <x:c r="L4256" s="2" t="str">
        <x:v>Hibernating</x:v>
      </x:c>
    </x:row>
    <x:row r="4257" ht="22" customHeight="1">
      <x:c r="A4257" s="2"/>
      <x:c r="B4257" s="2" t="str">
        <x:v>16607</x:v>
      </x:c>
      <x:c r="C4257" s="2" t="str">
        <x:v>United Kingdom</x:v>
      </x:c>
      <x:c r="D4257" s="25" t="n">
        <x:v>40297.37569444445</x:v>
      </x:c>
      <x:c r="E4257" s="25" t="n">
        <x:v>40869.225</x:v>
      </x:c>
      <x:c r="F4257" s="2" t="n">
        <x:v>18</x:v>
      </x:c>
      <x:c r="G4257" s="2" t="n">
        <x:v>25</x:v>
      </x:c>
      <x:c r="H4257" s="11" t="n">
        <x:v>5706.87</x:v>
      </x:c>
      <x:c r="I4257" s="2" t="n">
        <x:v>5</x:v>
      </x:c>
      <x:c r="J4257" s="2" t="n">
        <x:v>5</x:v>
      </x:c>
      <x:c r="K4257" s="2" t="n">
        <x:v>5</x:v>
      </x:c>
      <x:c r="L4257" s="2" t="str">
        <x:v>Champions</x:v>
      </x:c>
    </x:row>
    <x:row r="4258" ht="22" customHeight="1">
      <x:c r="A4258" s="2"/>
      <x:c r="B4258" s="2" t="str">
        <x:v>16608</x:v>
      </x:c>
      <x:c r="C4258" s="2" t="str">
        <x:v>United Kingdom</x:v>
      </x:c>
      <x:c r="D4258" s="25" t="n">
        <x:v>40223.28958333333</x:v>
      </x:c>
      <x:c r="E4258" s="25" t="n">
        <x:v>40433.28055555555</x:v>
      </x:c>
      <x:c r="F4258" s="2" t="n">
        <x:v>454</x:v>
      </x:c>
      <x:c r="G4258" s="2" t="n">
        <x:v>2</x:v>
      </x:c>
      <x:c r="H4258" s="11" t="n">
        <x:v>1288.72</x:v>
      </x:c>
      <x:c r="I4258" s="2" t="n">
        <x:v>1</x:v>
      </x:c>
      <x:c r="J4258" s="2" t="n">
        <x:v>2</x:v>
      </x:c>
      <x:c r="K4258" s="2" t="n">
        <x:v>4</x:v>
      </x:c>
      <x:c r="L4258" s="2" t="str">
        <x:v>Hibernating</x:v>
      </x:c>
    </x:row>
    <x:row r="4259" ht="22" customHeight="1">
      <x:c r="A4259" s="2"/>
      <x:c r="B4259" s="2" t="str">
        <x:v>16609</x:v>
      </x:c>
      <x:c r="C4259" s="2" t="str">
        <x:v>United Kingdom</x:v>
      </x:c>
      <x:c r="D4259" s="25" t="n">
        <x:v>40634.21597222222</x:v>
      </x:c>
      <x:c r="E4259" s="25" t="n">
        <x:v>40871.35555555556</x:v>
      </x:c>
      <x:c r="F4259" s="2" t="n">
        <x:v>16</x:v>
      </x:c>
      <x:c r="G4259" s="2" t="n">
        <x:v>7</x:v>
      </x:c>
      <x:c r="H4259" s="11" t="n">
        <x:v>5493.46</x:v>
      </x:c>
      <x:c r="I4259" s="2" t="n">
        <x:v>5</x:v>
      </x:c>
      <x:c r="J4259" s="2" t="n">
        <x:v>4</x:v>
      </x:c>
      <x:c r="K4259" s="2" t="n">
        <x:v>5</x:v>
      </x:c>
      <x:c r="L4259" s="2" t="str">
        <x:v>Champions</x:v>
      </x:c>
    </x:row>
    <x:row r="4260" ht="22" customHeight="1">
      <x:c r="A4260" s="2"/>
      <x:c r="B4260" s="2" t="str">
        <x:v>16610</x:v>
      </x:c>
      <x:c r="C4260" s="2" t="str">
        <x:v>United Kingdom</x:v>
      </x:c>
      <x:c r="D4260" s="25" t="n">
        <x:v>40667.342361111114</x:v>
      </x:c>
      <x:c r="E4260" s="25" t="n">
        <x:v>40667.342361111114</x:v>
      </x:c>
      <x:c r="F4260" s="2" t="n">
        <x:v>220</x:v>
      </x:c>
      <x:c r="G4260" s="2" t="n">
        <x:v>1</x:v>
      </x:c>
      <x:c r="H4260" s="11" t="n">
        <x:v>75.66</x:v>
      </x:c>
      <x:c r="I4260" s="2" t="n">
        <x:v>2</x:v>
      </x:c>
      <x:c r="J4260" s="2" t="n">
        <x:v>1</x:v>
      </x:c>
      <x:c r="K4260" s="2" t="n">
        <x:v>1</x:v>
      </x:c>
      <x:c r="L4260" s="2" t="str">
        <x:v>Hibernating</x:v>
      </x:c>
    </x:row>
    <x:row r="4261" ht="22" customHeight="1">
      <x:c r="A4261" s="2"/>
      <x:c r="B4261" s="2" t="str">
        <x:v>16611</x:v>
      </x:c>
      <x:c r="C4261" s="2" t="str">
        <x:v>United Kingdom</x:v>
      </x:c>
      <x:c r="D4261" s="25" t="n">
        <x:v>40247.46319444444</x:v>
      </x:c>
      <x:c r="E4261" s="25" t="n">
        <x:v>40700.44861111111</x:v>
      </x:c>
      <x:c r="F4261" s="2" t="n">
        <x:v>187</x:v>
      </x:c>
      <x:c r="G4261" s="2" t="n">
        <x:v>6</x:v>
      </x:c>
      <x:c r="H4261" s="11" t="n">
        <x:v>1785.13</x:v>
      </x:c>
      <x:c r="I4261" s="2" t="n">
        <x:v>3</x:v>
      </x:c>
      <x:c r="J4261" s="2" t="n">
        <x:v>4</x:v>
      </x:c>
      <x:c r="K4261" s="2" t="n">
        <x:v>4</x:v>
      </x:c>
      <x:c r="L4261" s="2" t="str">
        <x:v>Loyal</x:v>
      </x:c>
    </x:row>
    <x:row r="4262" ht="22" customHeight="1">
      <x:c r="A4262" s="2"/>
      <x:c r="B4262" s="2" t="str">
        <x:v>16612</x:v>
      </x:c>
      <x:c r="C4262" s="2" t="str">
        <x:v>United Kingdom</x:v>
      </x:c>
      <x:c r="D4262" s="25" t="n">
        <x:v>40150.45416666667</x:v>
      </x:c>
      <x:c r="E4262" s="25" t="n">
        <x:v>40854.10972222222</x:v>
      </x:c>
      <x:c r="F4262" s="2" t="n">
        <x:v>33</x:v>
      </x:c>
      <x:c r="G4262" s="2" t="n">
        <x:v>9</x:v>
      </x:c>
      <x:c r="H4262" s="11" t="n">
        <x:v>3245.43</x:v>
      </x:c>
      <x:c r="I4262" s="2" t="n">
        <x:v>4</x:v>
      </x:c>
      <x:c r="J4262" s="2" t="n">
        <x:v>5</x:v>
      </x:c>
      <x:c r="K4262" s="2" t="n">
        <x:v>5</x:v>
      </x:c>
      <x:c r="L4262" s="2" t="str">
        <x:v>Champions</x:v>
      </x:c>
    </x:row>
    <x:row r="4263" ht="22" customHeight="1">
      <x:c r="A4263" s="2"/>
      <x:c r="B4263" s="2" t="str">
        <x:v>16613</x:v>
      </x:c>
      <x:c r="C4263" s="2" t="str">
        <x:v>United Kingdom</x:v>
      </x:c>
      <x:c r="D4263" s="25" t="n">
        <x:v>40816.45277777778</x:v>
      </x:c>
      <x:c r="E4263" s="25" t="n">
        <x:v>40816.45277777778</x:v>
      </x:c>
      <x:c r="F4263" s="2" t="n">
        <x:v>71</x:v>
      </x:c>
      <x:c r="G4263" s="2" t="n">
        <x:v>1</x:v>
      </x:c>
      <x:c r="H4263" s="11" t="n">
        <x:v>618.59</x:v>
      </x:c>
      <x:c r="I4263" s="2" t="n">
        <x:v>3</x:v>
      </x:c>
      <x:c r="J4263" s="2" t="n">
        <x:v>1</x:v>
      </x:c>
      <x:c r="K4263" s="2" t="n">
        <x:v>3</x:v>
      </x:c>
      <x:c r="L4263" s="2" t="str">
        <x:v>Developing</x:v>
      </x:c>
    </x:row>
    <x:row r="4264" ht="22" customHeight="1">
      <x:c r="A4264" s="2"/>
      <x:c r="B4264" s="2" t="str">
        <x:v>16614</x:v>
      </x:c>
      <x:c r="C4264" s="2" t="str">
        <x:v>United Kingdom</x:v>
      </x:c>
      <x:c r="D4264" s="25" t="n">
        <x:v>40308.42916666667</x:v>
      </x:c>
      <x:c r="E4264" s="25" t="n">
        <x:v>40704.275</x:v>
      </x:c>
      <x:c r="F4264" s="2" t="n">
        <x:v>183</x:v>
      </x:c>
      <x:c r="G4264" s="2" t="n">
        <x:v>3</x:v>
      </x:c>
      <x:c r="H4264" s="11" t="n">
        <x:v>1179.79</x:v>
      </x:c>
      <x:c r="I4264" s="2" t="n">
        <x:v>3</x:v>
      </x:c>
      <x:c r="J4264" s="2" t="n">
        <x:v>3</x:v>
      </x:c>
      <x:c r="K4264" s="2" t="n">
        <x:v>3</x:v>
      </x:c>
      <x:c r="L4264" s="2" t="str">
        <x:v>Loyal</x:v>
      </x:c>
    </x:row>
    <x:row r="4265" ht="22" customHeight="1">
      <x:c r="A4265" s="2"/>
      <x:c r="B4265" s="2" t="str">
        <x:v>16615</x:v>
      </x:c>
      <x:c r="C4265" s="2" t="str">
        <x:v>United Kingdom</x:v>
      </x:c>
      <x:c r="D4265" s="25" t="n">
        <x:v>40260.42569444444</x:v>
      </x:c>
      <x:c r="E4265" s="25" t="n">
        <x:v>40260.42569444444</x:v>
      </x:c>
      <x:c r="F4265" s="2" t="n">
        <x:v>627</x:v>
      </x:c>
      <x:c r="G4265" s="2" t="n">
        <x:v>1</x:v>
      </x:c>
      <x:c r="H4265" s="11" t="n">
        <x:v>291.5</x:v>
      </x:c>
      <x:c r="I4265" s="2" t="n">
        <x:v>1</x:v>
      </x:c>
      <x:c r="J4265" s="2" t="n">
        <x:v>1</x:v>
      </x:c>
      <x:c r="K4265" s="2" t="n">
        <x:v>2</x:v>
      </x:c>
      <x:c r="L4265" s="2" t="str">
        <x:v>Hibernating</x:v>
      </x:c>
    </x:row>
    <x:row r="4266" ht="22" customHeight="1">
      <x:c r="A4266" s="2"/>
      <x:c r="B4266" s="2" t="str">
        <x:v>16616</x:v>
      </x:c>
      <x:c r="C4266" s="2" t="str">
        <x:v>United Kingdom</x:v>
      </x:c>
      <x:c r="D4266" s="25" t="n">
        <x:v>40729.35972222222</x:v>
      </x:c>
      <x:c r="E4266" s="25" t="n">
        <x:v>40871.47986111111</x:v>
      </x:c>
      <x:c r="F4266" s="2" t="n">
        <x:v>16</x:v>
      </x:c>
      <x:c r="G4266" s="2" t="n">
        <x:v>2</x:v>
      </x:c>
      <x:c r="H4266" s="11" t="n">
        <x:v>500.42</x:v>
      </x:c>
      <x:c r="I4266" s="2" t="n">
        <x:v>5</x:v>
      </x:c>
      <x:c r="J4266" s="2" t="n">
        <x:v>2</x:v>
      </x:c>
      <x:c r="K4266" s="2" t="n">
        <x:v>2</x:v>
      </x:c>
      <x:c r="L4266" s="2" t="str">
        <x:v>Recent light buyers</x:v>
      </x:c>
    </x:row>
    <x:row r="4267" ht="22" customHeight="1">
      <x:c r="A4267" s="2"/>
      <x:c r="B4267" s="2" t="str">
        <x:v>16617</x:v>
      </x:c>
      <x:c r="C4267" s="2" t="str">
        <x:v>United Kingdom</x:v>
      </x:c>
      <x:c r="D4267" s="25" t="n">
        <x:v>40651.23263888889</x:v>
      </x:c>
      <x:c r="E4267" s="25" t="n">
        <x:v>40651.23263888889</x:v>
      </x:c>
      <x:c r="F4267" s="2" t="n">
        <x:v>236</x:v>
      </x:c>
      <x:c r="G4267" s="2" t="n">
        <x:v>1</x:v>
      </x:c>
      <x:c r="H4267" s="11" t="n">
        <x:v>151.85</x:v>
      </x:c>
      <x:c r="I4267" s="2" t="n">
        <x:v>2</x:v>
      </x:c>
      <x:c r="J4267" s="2" t="n">
        <x:v>1</x:v>
      </x:c>
      <x:c r="K4267" s="2" t="n">
        <x:v>1</x:v>
      </x:c>
      <x:c r="L4267" s="2" t="str">
        <x:v>Hibernating</x:v>
      </x:c>
    </x:row>
    <x:row r="4268" ht="22" customHeight="1">
      <x:c r="A4268" s="2"/>
      <x:c r="B4268" s="2" t="str">
        <x:v>16618</x:v>
      </x:c>
      <x:c r="C4268" s="2" t="str">
        <x:v>United Kingdom</x:v>
      </x:c>
      <x:c r="D4268" s="25" t="n">
        <x:v>40564.288194444445</x:v>
      </x:c>
      <x:c r="E4268" s="25" t="n">
        <x:v>40855.36944444444</x:v>
      </x:c>
      <x:c r="F4268" s="2" t="n">
        <x:v>32</x:v>
      </x:c>
      <x:c r="G4268" s="2" t="n">
        <x:v>5</x:v>
      </x:c>
      <x:c r="H4268" s="11" t="n">
        <x:v>2647.59</x:v>
      </x:c>
      <x:c r="I4268" s="2" t="n">
        <x:v>4</x:v>
      </x:c>
      <x:c r="J4268" s="2" t="n">
        <x:v>4</x:v>
      </x:c>
      <x:c r="K4268" s="2" t="n">
        <x:v>4</x:v>
      </x:c>
      <x:c r="L4268" s="2" t="str">
        <x:v>Champions</x:v>
      </x:c>
    </x:row>
    <x:row r="4269" ht="22" customHeight="1">
      <x:c r="A4269" s="2"/>
      <x:c r="B4269" s="2" t="str">
        <x:v>16619</x:v>
      </x:c>
      <x:c r="C4269" s="2" t="str">
        <x:v>United Kingdom</x:v>
      </x:c>
      <x:c r="D4269" s="25" t="n">
        <x:v>40231.29513888889</x:v>
      </x:c>
      <x:c r="E4269" s="25" t="n">
        <x:v>40623.1375</x:v>
      </x:c>
      <x:c r="F4269" s="2" t="n">
        <x:v>264</x:v>
      </x:c>
      <x:c r="G4269" s="2" t="n">
        <x:v>4</x:v>
      </x:c>
      <x:c r="H4269" s="11" t="n">
        <x:v>1938.33</x:v>
      </x:c>
      <x:c r="I4269" s="2" t="n">
        <x:v>2</x:v>
      </x:c>
      <x:c r="J4269" s="2" t="n">
        <x:v>3</x:v>
      </x:c>
      <x:c r="K4269" s="2" t="n">
        <x:v>4</x:v>
      </x:c>
      <x:c r="L4269" s="2" t="str">
        <x:v>At risk</x:v>
      </x:c>
    </x:row>
    <x:row r="4270" ht="22" customHeight="1">
      <x:c r="A4270" s="2"/>
      <x:c r="B4270" s="2" t="str">
        <x:v>16620</x:v>
      </x:c>
      <x:c r="C4270" s="2" t="str">
        <x:v>United Kingdom</x:v>
      </x:c>
      <x:c r="D4270" s="25" t="n">
        <x:v>40148.399305555555</x:v>
      </x:c>
      <x:c r="E4270" s="25" t="n">
        <x:v>40883.30486111111</x:v>
      </x:c>
      <x:c r="F4270" s="2" t="n">
        <x:v>4</x:v>
      </x:c>
      <x:c r="G4270" s="2" t="n">
        <x:v>6</x:v>
      </x:c>
      <x:c r="H4270" s="11" t="n">
        <x:v>1758.93</x:v>
      </x:c>
      <x:c r="I4270" s="2" t="n">
        <x:v>5</x:v>
      </x:c>
      <x:c r="J4270" s="2" t="n">
        <x:v>4</x:v>
      </x:c>
      <x:c r="K4270" s="2" t="n">
        <x:v>4</x:v>
      </x:c>
      <x:c r="L4270" s="2" t="str">
        <x:v>Champions</x:v>
      </x:c>
    </x:row>
    <x:row r="4271" ht="22" customHeight="1">
      <x:c r="A4271" s="2"/>
      <x:c r="B4271" s="2" t="str">
        <x:v>16621</x:v>
      </x:c>
      <x:c r="C4271" s="2" t="str">
        <x:v>United Kingdom</x:v>
      </x:c>
      <x:c r="D4271" s="25" t="n">
        <x:v>40609.27222222222</x:v>
      </x:c>
      <x:c r="E4271" s="25" t="n">
        <x:v>40835.27638888889</x:v>
      </x:c>
      <x:c r="F4271" s="2" t="n">
        <x:v>52</x:v>
      </x:c>
      <x:c r="G4271" s="2" t="n">
        <x:v>4</x:v>
      </x:c>
      <x:c r="H4271" s="11" t="n">
        <x:v>813.48</x:v>
      </x:c>
      <x:c r="I4271" s="2" t="n">
        <x:v>4</x:v>
      </x:c>
      <x:c r="J4271" s="2" t="n">
        <x:v>3</x:v>
      </x:c>
      <x:c r="K4271" s="2" t="n">
        <x:v>3</x:v>
      </x:c>
      <x:c r="L4271" s="2" t="str">
        <x:v>Loyal</x:v>
      </x:c>
    </x:row>
    <x:row r="4272" ht="22" customHeight="1">
      <x:c r="A4272" s="2"/>
      <x:c r="B4272" s="2" t="str">
        <x:v>16622</x:v>
      </x:c>
      <x:c r="C4272" s="2" t="str">
        <x:v>United Kingdom</x:v>
      </x:c>
      <x:c r="D4272" s="25" t="n">
        <x:v>40343.23888888889</x:v>
      </x:c>
      <x:c r="E4272" s="25" t="n">
        <x:v>40343.23888888889</x:v>
      </x:c>
      <x:c r="F4272" s="2" t="n">
        <x:v>544</x:v>
      </x:c>
      <x:c r="G4272" s="2" t="n">
        <x:v>1</x:v>
      </x:c>
      <x:c r="H4272" s="11" t="n">
        <x:v>225.4</x:v>
      </x:c>
      <x:c r="I4272" s="2" t="n">
        <x:v>1</x:v>
      </x:c>
      <x:c r="J4272" s="2" t="n">
        <x:v>1</x:v>
      </x:c>
      <x:c r="K4272" s="2" t="n">
        <x:v>1</x:v>
      </x:c>
      <x:c r="L4272" s="2" t="str">
        <x:v>Hibernating</x:v>
      </x:c>
    </x:row>
    <x:row r="4273" ht="22" customHeight="1">
      <x:c r="A4273" s="2"/>
      <x:c r="B4273" s="2" t="str">
        <x:v>16623</x:v>
      </x:c>
      <x:c r="C4273" s="2" t="str">
        <x:v>United Kingdom</x:v>
      </x:c>
      <x:c r="D4273" s="25" t="n">
        <x:v>40294.37777777778</x:v>
      </x:c>
      <x:c r="E4273" s="25" t="n">
        <x:v>40641.214583333334</x:v>
      </x:c>
      <x:c r="F4273" s="2" t="n">
        <x:v>246</x:v>
      </x:c>
      <x:c r="G4273" s="2" t="n">
        <x:v>4</x:v>
      </x:c>
      <x:c r="H4273" s="11" t="n">
        <x:v>1015.24</x:v>
      </x:c>
      <x:c r="I4273" s="2" t="n">
        <x:v>2</x:v>
      </x:c>
      <x:c r="J4273" s="2" t="n">
        <x:v>3</x:v>
      </x:c>
      <x:c r="K4273" s="2" t="n">
        <x:v>3</x:v>
      </x:c>
      <x:c r="L4273" s="2" t="str">
        <x:v>At risk</x:v>
      </x:c>
    </x:row>
    <x:row r="4274" ht="22" customHeight="1">
      <x:c r="A4274" s="2"/>
      <x:c r="B4274" s="2" t="str">
        <x:v>16624</x:v>
      </x:c>
      <x:c r="C4274" s="2" t="str">
        <x:v>United Kingdom</x:v>
      </x:c>
      <x:c r="D4274" s="25" t="n">
        <x:v>40689.38888888889</x:v>
      </x:c>
      <x:c r="E4274" s="25" t="n">
        <x:v>40806.31875</x:v>
      </x:c>
      <x:c r="F4274" s="2" t="n">
        <x:v>81</x:v>
      </x:c>
      <x:c r="G4274" s="2" t="n">
        <x:v>2</x:v>
      </x:c>
      <x:c r="H4274" s="11" t="n">
        <x:v>810.57</x:v>
      </x:c>
      <x:c r="I4274" s="2" t="n">
        <x:v>3</x:v>
      </x:c>
      <x:c r="J4274" s="2" t="n">
        <x:v>2</x:v>
      </x:c>
      <x:c r="K4274" s="2" t="n">
        <x:v>3</x:v>
      </x:c>
      <x:c r="L4274" s="2" t="str">
        <x:v>Developing</x:v>
      </x:c>
    </x:row>
    <x:row r="4275" ht="22" customHeight="1">
      <x:c r="A4275" s="2"/>
      <x:c r="B4275" s="2" t="str">
        <x:v>16625</x:v>
      </x:c>
      <x:c r="C4275" s="2" t="str">
        <x:v>United Kingdom</x:v>
      </x:c>
      <x:c r="D4275" s="25" t="n">
        <x:v>40343.28888888889</x:v>
      </x:c>
      <x:c r="E4275" s="25" t="n">
        <x:v>40612.32638888889</x:v>
      </x:c>
      <x:c r="F4275" s="2" t="n">
        <x:v>275</x:v>
      </x:c>
      <x:c r="G4275" s="2" t="n">
        <x:v>5</x:v>
      </x:c>
      <x:c r="H4275" s="11" t="n">
        <x:v>1654.03</x:v>
      </x:c>
      <x:c r="I4275" s="2" t="n">
        <x:v>2</x:v>
      </x:c>
      <x:c r="J4275" s="2" t="n">
        <x:v>4</x:v>
      </x:c>
      <x:c r="K4275" s="2" t="n">
        <x:v>4</x:v>
      </x:c>
      <x:c r="L4275" s="2" t="str">
        <x:v>At risk</x:v>
      </x:c>
    </x:row>
    <x:row r="4276" ht="22" customHeight="1">
      <x:c r="A4276" s="2"/>
      <x:c r="B4276" s="2" t="str">
        <x:v>16626</x:v>
      </x:c>
      <x:c r="C4276" s="2" t="str">
        <x:v>United Kingdom</x:v>
      </x:c>
      <x:c r="D4276" s="25" t="n">
        <x:v>40620.31041666667</x:v>
      </x:c>
      <x:c r="E4276" s="25" t="n">
        <x:v>40886.28888888889</x:v>
      </x:c>
      <x:c r="F4276" s="2" t="n">
        <x:v>1</x:v>
      </x:c>
      <x:c r="G4276" s="2" t="n">
        <x:v>17</x:v>
      </x:c>
      <x:c r="H4276" s="11" t="n">
        <x:v>4413.1</x:v>
      </x:c>
      <x:c r="I4276" s="2" t="n">
        <x:v>5</x:v>
      </x:c>
      <x:c r="J4276" s="2" t="n">
        <x:v>5</x:v>
      </x:c>
      <x:c r="K4276" s="2" t="n">
        <x:v>5</x:v>
      </x:c>
      <x:c r="L4276" s="2" t="str">
        <x:v>Champions</x:v>
      </x:c>
    </x:row>
    <x:row r="4277" ht="22" customHeight="1">
      <x:c r="A4277" s="2"/>
      <x:c r="B4277" s="2" t="str">
        <x:v>16627</x:v>
      </x:c>
      <x:c r="C4277" s="2" t="str">
        <x:v>United Kingdom</x:v>
      </x:c>
      <x:c r="D4277" s="25" t="n">
        <x:v>40807.40138888889</x:v>
      </x:c>
      <x:c r="E4277" s="25" t="n">
        <x:v>40807.40138888889</x:v>
      </x:c>
      <x:c r="F4277" s="2" t="n">
        <x:v>80</x:v>
      </x:c>
      <x:c r="G4277" s="2" t="n">
        <x:v>1</x:v>
      </x:c>
      <x:c r="H4277" s="11" t="n">
        <x:v>322.8</x:v>
      </x:c>
      <x:c r="I4277" s="2" t="n">
        <x:v>3</x:v>
      </x:c>
      <x:c r="J4277" s="2" t="n">
        <x:v>1</x:v>
      </x:c>
      <x:c r="K4277" s="2" t="n">
        <x:v>2</x:v>
      </x:c>
      <x:c r="L4277" s="2" t="str">
        <x:v>Developing</x:v>
      </x:c>
    </x:row>
    <x:row r="4278" ht="22" customHeight="1">
      <x:c r="A4278" s="2"/>
      <x:c r="B4278" s="2" t="str">
        <x:v>16628</x:v>
      </x:c>
      <x:c r="C4278" s="2" t="str">
        <x:v>United Kingdom</x:v>
      </x:c>
      <x:c r="D4278" s="25" t="n">
        <x:v>40245.308333333334</x:v>
      </x:c>
      <x:c r="E4278" s="25" t="n">
        <x:v>40857.322916666664</x:v>
      </x:c>
      <x:c r="F4278" s="2" t="n">
        <x:v>30</x:v>
      </x:c>
      <x:c r="G4278" s="2" t="n">
        <x:v>7</x:v>
      </x:c>
      <x:c r="H4278" s="11" t="n">
        <x:v>2318.1</x:v>
      </x:c>
      <x:c r="I4278" s="2" t="n">
        <x:v>4</x:v>
      </x:c>
      <x:c r="J4278" s="2" t="n">
        <x:v>4</x:v>
      </x:c>
      <x:c r="K4278" s="2" t="n">
        <x:v>4</x:v>
      </x:c>
      <x:c r="L4278" s="2" t="str">
        <x:v>Champions</x:v>
      </x:c>
    </x:row>
    <x:row r="4279" ht="22" customHeight="1">
      <x:c r="A4279" s="2"/>
      <x:c r="B4279" s="2" t="str">
        <x:v>16629</x:v>
      </x:c>
      <x:c r="C4279" s="2" t="str">
        <x:v>United Kingdom</x:v>
      </x:c>
      <x:c r="D4279" s="25" t="n">
        <x:v>40790.46666666667</x:v>
      </x:c>
      <x:c r="E4279" s="25" t="n">
        <x:v>40813.231944444444</x:v>
      </x:c>
      <x:c r="F4279" s="2" t="n">
        <x:v>74</x:v>
      </x:c>
      <x:c r="G4279" s="2" t="n">
        <x:v>2</x:v>
      </x:c>
      <x:c r="H4279" s="11" t="n">
        <x:v>417.73</x:v>
      </x:c>
      <x:c r="I4279" s="2" t="n">
        <x:v>3</x:v>
      </x:c>
      <x:c r="J4279" s="2" t="n">
        <x:v>2</x:v>
      </x:c>
      <x:c r="K4279" s="2" t="n">
        <x:v>2</x:v>
      </x:c>
      <x:c r="L4279" s="2" t="str">
        <x:v>Developing</x:v>
      </x:c>
    </x:row>
    <x:row r="4280" ht="22" customHeight="1">
      <x:c r="A4280" s="2"/>
      <x:c r="B4280" s="2" t="str">
        <x:v>16630</x:v>
      </x:c>
      <x:c r="C4280" s="2" t="str">
        <x:v>United Kingdom</x:v>
      </x:c>
      <x:c r="D4280" s="25" t="n">
        <x:v>40479.395833333336</x:v>
      </x:c>
      <x:c r="E4280" s="25" t="n">
        <x:v>40479.395833333336</x:v>
      </x:c>
      <x:c r="F4280" s="2" t="n">
        <x:v>408</x:v>
      </x:c>
      <x:c r="G4280" s="2" t="n">
        <x:v>1</x:v>
      </x:c>
      <x:c r="H4280" s="11" t="n">
        <x:v>106.8</x:v>
      </x:c>
      <x:c r="I4280" s="2" t="n">
        <x:v>2</x:v>
      </x:c>
      <x:c r="J4280" s="2" t="n">
        <x:v>1</x:v>
      </x:c>
      <x:c r="K4280" s="2" t="n">
        <x:v>1</x:v>
      </x:c>
      <x:c r="L4280" s="2" t="str">
        <x:v>Hibernating</x:v>
      </x:c>
    </x:row>
    <x:row r="4281" ht="22" customHeight="1">
      <x:c r="A4281" s="2"/>
      <x:c r="B4281" s="2" t="str">
        <x:v>16631</x:v>
      </x:c>
      <x:c r="C4281" s="2" t="str">
        <x:v>United Kingdom</x:v>
      </x:c>
      <x:c r="D4281" s="25" t="n">
        <x:v>40235.24236111111</x:v>
      </x:c>
      <x:c r="E4281" s="25" t="n">
        <x:v>40405.26388888889</x:v>
      </x:c>
      <x:c r="F4281" s="2" t="n">
        <x:v>482</x:v>
      </x:c>
      <x:c r="G4281" s="2" t="n">
        <x:v>7</x:v>
      </x:c>
      <x:c r="H4281" s="11" t="n">
        <x:v>1892.52</x:v>
      </x:c>
      <x:c r="I4281" s="2" t="n">
        <x:v>1</x:v>
      </x:c>
      <x:c r="J4281" s="2" t="n">
        <x:v>4</x:v>
      </x:c>
      <x:c r="K4281" s="2" t="n">
        <x:v>4</x:v>
      </x:c>
      <x:c r="L4281" s="2" t="str">
        <x:v>At risk</x:v>
      </x:c>
    </x:row>
    <x:row r="4282" ht="22" customHeight="1">
      <x:c r="A4282" s="2"/>
      <x:c r="B4282" s="2" t="str">
        <x:v>16632</x:v>
      </x:c>
      <x:c r="C4282" s="2" t="str">
        <x:v>United Kingdom</x:v>
      </x:c>
      <x:c r="D4282" s="25" t="n">
        <x:v>40305.490277777775</x:v>
      </x:c>
      <x:c r="E4282" s="25" t="n">
        <x:v>40401.277083333334</x:v>
      </x:c>
      <x:c r="F4282" s="2" t="n">
        <x:v>486</x:v>
      </x:c>
      <x:c r="G4282" s="2" t="n">
        <x:v>2</x:v>
      </x:c>
      <x:c r="H4282" s="11" t="n">
        <x:v>406.4</x:v>
      </x:c>
      <x:c r="I4282" s="2" t="n">
        <x:v>1</x:v>
      </x:c>
      <x:c r="J4282" s="2" t="n">
        <x:v>2</x:v>
      </x:c>
      <x:c r="K4282" s="2" t="n">
        <x:v>2</x:v>
      </x:c>
      <x:c r="L4282" s="2" t="str">
        <x:v>Hibernating</x:v>
      </x:c>
    </x:row>
    <x:row r="4283" ht="22" customHeight="1">
      <x:c r="A4283" s="2"/>
      <x:c r="B4283" s="2" t="str">
        <x:v>16633</x:v>
      </x:c>
      <x:c r="C4283" s="2" t="str">
        <x:v>United Kingdom</x:v>
      </x:c>
      <x:c r="D4283" s="25" t="n">
        <x:v>40652.4</x:v>
      </x:c>
      <x:c r="E4283" s="25" t="n">
        <x:v>40869.361805555556</x:v>
      </x:c>
      <x:c r="F4283" s="2" t="n">
        <x:v>18</x:v>
      </x:c>
      <x:c r="G4283" s="2" t="n">
        <x:v>6</x:v>
      </x:c>
      <x:c r="H4283" s="11" t="n">
        <x:v>2883.1</x:v>
      </x:c>
      <x:c r="I4283" s="2" t="n">
        <x:v>5</x:v>
      </x:c>
      <x:c r="J4283" s="2" t="n">
        <x:v>4</x:v>
      </x:c>
      <x:c r="K4283" s="2" t="n">
        <x:v>4</x:v>
      </x:c>
      <x:c r="L4283" s="2" t="str">
        <x:v>Champions</x:v>
      </x:c>
    </x:row>
    <x:row r="4284" ht="22" customHeight="1">
      <x:c r="A4284" s="2"/>
      <x:c r="B4284" s="2" t="str">
        <x:v>16634</x:v>
      </x:c>
      <x:c r="C4284" s="2" t="str">
        <x:v>United Kingdom</x:v>
      </x:c>
      <x:c r="D4284" s="25" t="n">
        <x:v>40199.1875</x:v>
      </x:c>
      <x:c r="E4284" s="25" t="n">
        <x:v>40664.29791666667</x:v>
      </x:c>
      <x:c r="F4284" s="2" t="n">
        <x:v>223</x:v>
      </x:c>
      <x:c r="G4284" s="2" t="n">
        <x:v>6</x:v>
      </x:c>
      <x:c r="H4284" s="11" t="n">
        <x:v>1649.81</x:v>
      </x:c>
      <x:c r="I4284" s="2" t="n">
        <x:v>2</x:v>
      </x:c>
      <x:c r="J4284" s="2" t="n">
        <x:v>4</x:v>
      </x:c>
      <x:c r="K4284" s="2" t="n">
        <x:v>4</x:v>
      </x:c>
      <x:c r="L4284" s="2" t="str">
        <x:v>At risk</x:v>
      </x:c>
    </x:row>
    <x:row r="4285" ht="22" customHeight="1">
      <x:c r="A4285" s="2"/>
      <x:c r="B4285" s="2" t="str">
        <x:v>16635</x:v>
      </x:c>
      <x:c r="C4285" s="2" t="str">
        <x:v>United Kingdom</x:v>
      </x:c>
      <x:c r="D4285" s="25" t="n">
        <x:v>40480.19513888889</x:v>
      </x:c>
      <x:c r="E4285" s="25" t="n">
        <x:v>40480.19513888889</x:v>
      </x:c>
      <x:c r="F4285" s="2" t="n">
        <x:v>407</x:v>
      </x:c>
      <x:c r="G4285" s="2" t="n">
        <x:v>1</x:v>
      </x:c>
      <x:c r="H4285" s="11" t="n">
        <x:v>473</x:v>
      </x:c>
      <x:c r="I4285" s="2" t="n">
        <x:v>2</x:v>
      </x:c>
      <x:c r="J4285" s="2" t="n">
        <x:v>1</x:v>
      </x:c>
      <x:c r="K4285" s="2" t="n">
        <x:v>2</x:v>
      </x:c>
      <x:c r="L4285" s="2" t="str">
        <x:v>Hibernating</x:v>
      </x:c>
    </x:row>
    <x:row r="4286" ht="22" customHeight="1">
      <x:c r="A4286" s="2"/>
      <x:c r="B4286" s="2" t="str">
        <x:v>16636</x:v>
      </x:c>
      <x:c r="C4286" s="2" t="str">
        <x:v>United Kingdom</x:v>
      </x:c>
      <x:c r="D4286" s="25" t="n">
        <x:v>40240.379166666666</x:v>
      </x:c>
      <x:c r="E4286" s="25" t="n">
        <x:v>40448.342361111114</x:v>
      </x:c>
      <x:c r="F4286" s="2" t="n">
        <x:v>439</x:v>
      </x:c>
      <x:c r="G4286" s="2" t="n">
        <x:v>4</x:v>
      </x:c>
      <x:c r="H4286" s="11" t="n">
        <x:v>3802.04</x:v>
      </x:c>
      <x:c r="I4286" s="2" t="n">
        <x:v>1</x:v>
      </x:c>
      <x:c r="J4286" s="2" t="n">
        <x:v>3</x:v>
      </x:c>
      <x:c r="K4286" s="2" t="n">
        <x:v>5</x:v>
      </x:c>
      <x:c r="L4286" s="2" t="str">
        <x:v>At risk</x:v>
      </x:c>
    </x:row>
    <x:row r="4287" ht="22" customHeight="1">
      <x:c r="A4287" s="2"/>
      <x:c r="B4287" s="2" t="str">
        <x:v>16637</x:v>
      </x:c>
      <x:c r="C4287" s="2" t="str">
        <x:v>United Kingdom</x:v>
      </x:c>
      <x:c r="D4287" s="25" t="n">
        <x:v>40661.22222222222</x:v>
      </x:c>
      <x:c r="E4287" s="25" t="n">
        <x:v>40854.345138888886</x:v>
      </x:c>
      <x:c r="F4287" s="2" t="n">
        <x:v>33</x:v>
      </x:c>
      <x:c r="G4287" s="2" t="n">
        <x:v>4</x:v>
      </x:c>
      <x:c r="H4287" s="11" t="n">
        <x:v>1154.47</x:v>
      </x:c>
      <x:c r="I4287" s="2" t="n">
        <x:v>4</x:v>
      </x:c>
      <x:c r="J4287" s="2" t="n">
        <x:v>3</x:v>
      </x:c>
      <x:c r="K4287" s="2" t="n">
        <x:v>3</x:v>
      </x:c>
      <x:c r="L4287" s="2" t="str">
        <x:v>Loyal</x:v>
      </x:c>
    </x:row>
    <x:row r="4288" ht="22" customHeight="1">
      <x:c r="A4288" s="2"/>
      <x:c r="B4288" s="2" t="str">
        <x:v>16638</x:v>
      </x:c>
      <x:c r="C4288" s="2" t="str">
        <x:v>United Kingdom</x:v>
      </x:c>
      <x:c r="D4288" s="25" t="n">
        <x:v>40408.35625</x:v>
      </x:c>
      <x:c r="E4288" s="25" t="n">
        <x:v>40864.25625</x:v>
      </x:c>
      <x:c r="F4288" s="2" t="n">
        <x:v>23</x:v>
      </x:c>
      <x:c r="G4288" s="2" t="n">
        <x:v>15</x:v>
      </x:c>
      <x:c r="H4288" s="11" t="n">
        <x:v>2380.13</x:v>
      </x:c>
      <x:c r="I4288" s="2" t="n">
        <x:v>4</x:v>
      </x:c>
      <x:c r="J4288" s="2" t="n">
        <x:v>5</x:v>
      </x:c>
      <x:c r="K4288" s="2" t="n">
        <x:v>4</x:v>
      </x:c>
      <x:c r="L4288" s="2" t="str">
        <x:v>Champions</x:v>
      </x:c>
    </x:row>
    <x:row r="4289" ht="22" customHeight="1">
      <x:c r="A4289" s="2"/>
      <x:c r="B4289" s="2" t="str">
        <x:v>16639</x:v>
      </x:c>
      <x:c r="C4289" s="2" t="str">
        <x:v>United Kingdom</x:v>
      </x:c>
      <x:c r="D4289" s="25" t="n">
        <x:v>40477.55763888889</x:v>
      </x:c>
      <x:c r="E4289" s="25" t="n">
        <x:v>40855.34722222222</x:v>
      </x:c>
      <x:c r="F4289" s="2" t="n">
        <x:v>32</x:v>
      </x:c>
      <x:c r="G4289" s="2" t="n">
        <x:v>4</x:v>
      </x:c>
      <x:c r="H4289" s="11" t="n">
        <x:v>1747.98</x:v>
      </x:c>
      <x:c r="I4289" s="2" t="n">
        <x:v>4</x:v>
      </x:c>
      <x:c r="J4289" s="2" t="n">
        <x:v>3</x:v>
      </x:c>
      <x:c r="K4289" s="2" t="n">
        <x:v>4</x:v>
      </x:c>
      <x:c r="L4289" s="2" t="str">
        <x:v>Loyal</x:v>
      </x:c>
    </x:row>
    <x:row r="4290" ht="22" customHeight="1">
      <x:c r="A4290" s="2"/>
      <x:c r="B4290" s="2" t="str">
        <x:v>16640</x:v>
      </x:c>
      <x:c r="C4290" s="2" t="str">
        <x:v>United Kingdom</x:v>
      </x:c>
      <x:c r="D4290" s="25" t="n">
        <x:v>40489.24166666667</x:v>
      </x:c>
      <x:c r="E4290" s="25" t="n">
        <x:v>40489.24166666667</x:v>
      </x:c>
      <x:c r="F4290" s="2" t="n">
        <x:v>398</x:v>
      </x:c>
      <x:c r="G4290" s="2" t="n">
        <x:v>1</x:v>
      </x:c>
      <x:c r="H4290" s="11" t="n">
        <x:v>179.4</x:v>
      </x:c>
      <x:c r="I4290" s="2" t="n">
        <x:v>2</x:v>
      </x:c>
      <x:c r="J4290" s="2" t="n">
        <x:v>1</x:v>
      </x:c>
      <x:c r="K4290" s="2" t="n">
        <x:v>1</x:v>
      </x:c>
      <x:c r="L4290" s="2" t="str">
        <x:v>Hibernating</x:v>
      </x:c>
    </x:row>
    <x:row r="4291" ht="22" customHeight="1">
      <x:c r="A4291" s="2"/>
      <x:c r="B4291" s="2" t="str">
        <x:v>16641</x:v>
      </x:c>
      <x:c r="C4291" s="2" t="str">
        <x:v>United Kingdom</x:v>
      </x:c>
      <x:c r="D4291" s="25" t="n">
        <x:v>40185.30694444444</x:v>
      </x:c>
      <x:c r="E4291" s="25" t="n">
        <x:v>40781.325694444444</x:v>
      </x:c>
      <x:c r="F4291" s="2" t="n">
        <x:v>106</x:v>
      </x:c>
      <x:c r="G4291" s="2" t="n">
        <x:v>2</x:v>
      </x:c>
      <x:c r="H4291" s="11" t="n">
        <x:v>554.5</x:v>
      </x:c>
      <x:c r="I4291" s="2" t="n">
        <x:v>3</x:v>
      </x:c>
      <x:c r="J4291" s="2" t="n">
        <x:v>2</x:v>
      </x:c>
      <x:c r="K4291" s="2" t="n">
        <x:v>2</x:v>
      </x:c>
      <x:c r="L4291" s="2" t="str">
        <x:v>Developing</x:v>
      </x:c>
    </x:row>
    <x:row r="4292" ht="22" customHeight="1">
      <x:c r="A4292" s="2"/>
      <x:c r="B4292" s="2" t="str">
        <x:v>16642</x:v>
      </x:c>
      <x:c r="C4292" s="2" t="str">
        <x:v>United Kingdom</x:v>
      </x:c>
      <x:c r="D4292" s="25" t="n">
        <x:v>40471.39027777778</x:v>
      </x:c>
      <x:c r="E4292" s="25" t="n">
        <x:v>40882.271527777775</x:v>
      </x:c>
      <x:c r="F4292" s="2" t="n">
        <x:v>5</x:v>
      </x:c>
      <x:c r="G4292" s="2" t="n">
        <x:v>3</x:v>
      </x:c>
      <x:c r="H4292" s="11" t="n">
        <x:v>1077.45</x:v>
      </x:c>
      <x:c r="I4292" s="2" t="n">
        <x:v>5</x:v>
      </x:c>
      <x:c r="J4292" s="2" t="n">
        <x:v>3</x:v>
      </x:c>
      <x:c r="K4292" s="2" t="n">
        <x:v>3</x:v>
      </x:c>
      <x:c r="L4292" s="2" t="str">
        <x:v>Loyal</x:v>
      </x:c>
    </x:row>
    <x:row r="4293" ht="22" customHeight="1">
      <x:c r="A4293" s="2"/>
      <x:c r="B4293" s="2" t="str">
        <x:v>16643</x:v>
      </x:c>
      <x:c r="C4293" s="2" t="str">
        <x:v>United Kingdom</x:v>
      </x:c>
      <x:c r="D4293" s="25" t="n">
        <x:v>40464.19930555556</x:v>
      </x:c>
      <x:c r="E4293" s="25" t="n">
        <x:v>40641.14166666667</x:v>
      </x:c>
      <x:c r="F4293" s="2" t="n">
        <x:v>246</x:v>
      </x:c>
      <x:c r="G4293" s="2" t="n">
        <x:v>2</x:v>
      </x:c>
      <x:c r="H4293" s="11" t="n">
        <x:v>923.11</x:v>
      </x:c>
      <x:c r="I4293" s="2" t="n">
        <x:v>2</x:v>
      </x:c>
      <x:c r="J4293" s="2" t="n">
        <x:v>2</x:v>
      </x:c>
      <x:c r="K4293" s="2" t="n">
        <x:v>3</x:v>
      </x:c>
      <x:c r="L4293" s="2" t="str">
        <x:v>Hibernating</x:v>
      </x:c>
    </x:row>
    <x:row r="4294" ht="22" customHeight="1">
      <x:c r="A4294" s="2"/>
      <x:c r="B4294" s="2" t="str">
        <x:v>16644</x:v>
      </x:c>
      <x:c r="C4294" s="2" t="str">
        <x:v>United Kingdom</x:v>
      </x:c>
      <x:c r="D4294" s="25" t="n">
        <x:v>40674.32847222222</x:v>
      </x:c>
      <x:c r="E4294" s="25" t="n">
        <x:v>40709.31875</x:v>
      </x:c>
      <x:c r="F4294" s="2" t="n">
        <x:v>178</x:v>
      </x:c>
      <x:c r="G4294" s="2" t="n">
        <x:v>2</x:v>
      </x:c>
      <x:c r="H4294" s="11" t="n">
        <x:v>833.78</x:v>
      </x:c>
      <x:c r="I4294" s="2" t="n">
        <x:v>3</x:v>
      </x:c>
      <x:c r="J4294" s="2" t="n">
        <x:v>2</x:v>
      </x:c>
      <x:c r="K4294" s="2" t="n">
        <x:v>3</x:v>
      </x:c>
      <x:c r="L4294" s="2" t="str">
        <x:v>Developing</x:v>
      </x:c>
    </x:row>
    <x:row r="4295" ht="22" customHeight="1">
      <x:c r="A4295" s="2"/>
      <x:c r="B4295" s="2" t="str">
        <x:v>16645</x:v>
      </x:c>
      <x:c r="C4295" s="2" t="str">
        <x:v>United Kingdom</x:v>
      </x:c>
      <x:c r="D4295" s="25" t="n">
        <x:v>40151.200694444444</x:v>
      </x:c>
      <x:c r="E4295" s="25" t="n">
        <x:v>40151.200694444444</x:v>
      </x:c>
      <x:c r="F4295" s="2" t="n">
        <x:v>736</x:v>
      </x:c>
      <x:c r="G4295" s="2" t="n">
        <x:v>1</x:v>
      </x:c>
      <x:c r="H4295" s="11" t="n">
        <x:v>160.39</x:v>
      </x:c>
      <x:c r="I4295" s="2" t="n">
        <x:v>1</x:v>
      </x:c>
      <x:c r="J4295" s="2" t="n">
        <x:v>1</x:v>
      </x:c>
      <x:c r="K4295" s="2" t="n">
        <x:v>1</x:v>
      </x:c>
      <x:c r="L4295" s="2" t="str">
        <x:v>Hibernating</x:v>
      </x:c>
    </x:row>
    <x:row r="4296" ht="22" customHeight="1">
      <x:c r="A4296" s="2"/>
      <x:c r="B4296" s="2" t="str">
        <x:v>16646</x:v>
      </x:c>
      <x:c r="C4296" s="2" t="str">
        <x:v>United Kingdom</x:v>
      </x:c>
      <x:c r="D4296" s="25" t="n">
        <x:v>40437.35277777778</x:v>
      </x:c>
      <x:c r="E4296" s="25" t="n">
        <x:v>40437.35277777778</x:v>
      </x:c>
      <x:c r="F4296" s="2" t="n">
        <x:v>450</x:v>
      </x:c>
      <x:c r="G4296" s="2" t="n">
        <x:v>1</x:v>
      </x:c>
      <x:c r="H4296" s="11" t="n">
        <x:v>678.8</x:v>
      </x:c>
      <x:c r="I4296" s="2" t="n">
        <x:v>1</x:v>
      </x:c>
      <x:c r="J4296" s="2" t="n">
        <x:v>1</x:v>
      </x:c>
      <x:c r="K4296" s="2" t="n">
        <x:v>3</x:v>
      </x:c>
      <x:c r="L4296" s="2" t="str">
        <x:v>Hibernating</x:v>
      </x:c>
    </x:row>
    <x:row r="4297" ht="22" customHeight="1">
      <x:c r="A4297" s="2"/>
      <x:c r="B4297" s="2" t="str">
        <x:v>16647</x:v>
      </x:c>
      <x:c r="C4297" s="2" t="str">
        <x:v>United Kingdom</x:v>
      </x:c>
      <x:c r="D4297" s="25" t="n">
        <x:v>40342.45277777778</x:v>
      </x:c>
      <x:c r="E4297" s="25" t="n">
        <x:v>40717.282638888886</x:v>
      </x:c>
      <x:c r="F4297" s="2" t="n">
        <x:v>170</x:v>
      </x:c>
      <x:c r="G4297" s="2" t="n">
        <x:v>4</x:v>
      </x:c>
      <x:c r="H4297" s="11" t="n">
        <x:v>541.9</x:v>
      </x:c>
      <x:c r="I4297" s="2" t="n">
        <x:v>3</x:v>
      </x:c>
      <x:c r="J4297" s="2" t="n">
        <x:v>3</x:v>
      </x:c>
      <x:c r="K4297" s="2" t="n">
        <x:v>2</x:v>
      </x:c>
      <x:c r="L4297" s="2" t="str">
        <x:v>Loyal</x:v>
      </x:c>
    </x:row>
    <x:row r="4298" ht="22" customHeight="1">
      <x:c r="A4298" s="2"/>
      <x:c r="B4298" s="2" t="str">
        <x:v>16648</x:v>
      </x:c>
      <x:c r="C4298" s="2" t="str">
        <x:v>United Kingdom</x:v>
      </x:c>
      <x:c r="D4298" s="25" t="n">
        <x:v>40296.41527777778</x:v>
      </x:c>
      <x:c r="E4298" s="25" t="n">
        <x:v>40844.16527777778</x:v>
      </x:c>
      <x:c r="F4298" s="2" t="n">
        <x:v>43</x:v>
      </x:c>
      <x:c r="G4298" s="2" t="n">
        <x:v>3</x:v>
      </x:c>
      <x:c r="H4298" s="11" t="n">
        <x:v>672.8</x:v>
      </x:c>
      <x:c r="I4298" s="2" t="n">
        <x:v>4</x:v>
      </x:c>
      <x:c r="J4298" s="2" t="n">
        <x:v>3</x:v>
      </x:c>
      <x:c r="K4298" s="2" t="n">
        <x:v>3</x:v>
      </x:c>
      <x:c r="L4298" s="2" t="str">
        <x:v>Loyal</x:v>
      </x:c>
    </x:row>
    <x:row r="4299" ht="22" customHeight="1">
      <x:c r="A4299" s="2"/>
      <x:c r="B4299" s="2" t="str">
        <x:v>16649</x:v>
      </x:c>
      <x:c r="C4299" s="2" t="str">
        <x:v>United Kingdom</x:v>
      </x:c>
      <x:c r="D4299" s="25" t="n">
        <x:v>40366.44513888889</x:v>
      </x:c>
      <x:c r="E4299" s="25" t="n">
        <x:v>40366.44513888889</x:v>
      </x:c>
      <x:c r="F4299" s="2" t="n">
        <x:v>521</x:v>
      </x:c>
      <x:c r="G4299" s="2" t="n">
        <x:v>1</x:v>
      </x:c>
      <x:c r="H4299" s="11" t="n">
        <x:v>306.58</x:v>
      </x:c>
      <x:c r="I4299" s="2" t="n">
        <x:v>1</x:v>
      </x:c>
      <x:c r="J4299" s="2" t="n">
        <x:v>1</x:v>
      </x:c>
      <x:c r="K4299" s="2" t="n">
        <x:v>2</x:v>
      </x:c>
      <x:c r="L4299" s="2" t="str">
        <x:v>Hibernating</x:v>
      </x:c>
    </x:row>
    <x:row r="4300" ht="22" customHeight="1">
      <x:c r="A4300" s="2"/>
      <x:c r="B4300" s="2" t="str">
        <x:v>16650</x:v>
      </x:c>
      <x:c r="C4300" s="2" t="str">
        <x:v>United Kingdom</x:v>
      </x:c>
      <x:c r="D4300" s="25" t="n">
        <x:v>40367.3875</x:v>
      </x:c>
      <x:c r="E4300" s="25" t="n">
        <x:v>40815.20208333333</x:v>
      </x:c>
      <x:c r="F4300" s="2" t="n">
        <x:v>72</x:v>
      </x:c>
      <x:c r="G4300" s="2" t="n">
        <x:v>7</x:v>
      </x:c>
      <x:c r="H4300" s="11" t="n">
        <x:v>1916.11</x:v>
      </x:c>
      <x:c r="I4300" s="2" t="n">
        <x:v>3</x:v>
      </x:c>
      <x:c r="J4300" s="2" t="n">
        <x:v>4</x:v>
      </x:c>
      <x:c r="K4300" s="2" t="n">
        <x:v>4</x:v>
      </x:c>
      <x:c r="L4300" s="2" t="str">
        <x:v>Loyal</x:v>
      </x:c>
    </x:row>
    <x:row r="4301" ht="22" customHeight="1">
      <x:c r="A4301" s="2"/>
      <x:c r="B4301" s="2" t="str">
        <x:v>16651</x:v>
      </x:c>
      <x:c r="C4301" s="2" t="str">
        <x:v>United Kingdom</x:v>
      </x:c>
      <x:c r="D4301" s="25" t="n">
        <x:v>40300.28194444445</x:v>
      </x:c>
      <x:c r="E4301" s="25" t="n">
        <x:v>40300.28194444445</x:v>
      </x:c>
      <x:c r="F4301" s="2" t="n">
        <x:v>587</x:v>
      </x:c>
      <x:c r="G4301" s="2" t="n">
        <x:v>1</x:v>
      </x:c>
      <x:c r="H4301" s="11" t="n">
        <x:v>136.2</x:v>
      </x:c>
      <x:c r="I4301" s="2" t="n">
        <x:v>1</x:v>
      </x:c>
      <x:c r="J4301" s="2" t="n">
        <x:v>1</x:v>
      </x:c>
      <x:c r="K4301" s="2" t="n">
        <x:v>1</x:v>
      </x:c>
      <x:c r="L4301" s="2" t="str">
        <x:v>Hibernating</x:v>
      </x:c>
    </x:row>
    <x:row r="4302" ht="22" customHeight="1">
      <x:c r="A4302" s="2"/>
      <x:c r="B4302" s="2" t="str">
        <x:v>16652</x:v>
      </x:c>
      <x:c r="C4302" s="2" t="str">
        <x:v>United Kingdom</x:v>
      </x:c>
      <x:c r="D4302" s="25" t="n">
        <x:v>40254.22361111111</x:v>
      </x:c>
      <x:c r="E4302" s="25" t="n">
        <x:v>40828.19305555556</x:v>
      </x:c>
      <x:c r="F4302" s="2" t="n">
        <x:v>59</x:v>
      </x:c>
      <x:c r="G4302" s="2" t="n">
        <x:v>16</x:v>
      </x:c>
      <x:c r="H4302" s="11" t="n">
        <x:v>17550.39</x:v>
      </x:c>
      <x:c r="I4302" s="2" t="n">
        <x:v>4</x:v>
      </x:c>
      <x:c r="J4302" s="2" t="n">
        <x:v>5</x:v>
      </x:c>
      <x:c r="K4302" s="2" t="n">
        <x:v>5</x:v>
      </x:c>
      <x:c r="L4302" s="2" t="str">
        <x:v>Champions</x:v>
      </x:c>
    </x:row>
    <x:row r="4303" ht="22" customHeight="1">
      <x:c r="A4303" s="2"/>
      <x:c r="B4303" s="2" t="str">
        <x:v>16653</x:v>
      </x:c>
      <x:c r="C4303" s="2" t="str">
        <x:v>United Kingdom</x:v>
      </x:c>
      <x:c r="D4303" s="25" t="n">
        <x:v>40815.35972222222</x:v>
      </x:c>
      <x:c r="E4303" s="25" t="n">
        <x:v>40870.410416666666</x:v>
      </x:c>
      <x:c r="F4303" s="2" t="n">
        <x:v>17</x:v>
      </x:c>
      <x:c r="G4303" s="2" t="n">
        <x:v>2</x:v>
      </x:c>
      <x:c r="H4303" s="11" t="n">
        <x:v>1212.66</x:v>
      </x:c>
      <x:c r="I4303" s="2" t="n">
        <x:v>5</x:v>
      </x:c>
      <x:c r="J4303" s="2" t="n">
        <x:v>2</x:v>
      </x:c>
      <x:c r="K4303" s="2" t="n">
        <x:v>3</x:v>
      </x:c>
      <x:c r="L4303" s="2" t="str">
        <x:v>Recent light buyers</x:v>
      </x:c>
    </x:row>
    <x:row r="4304" ht="22" customHeight="1">
      <x:c r="A4304" s="2"/>
      <x:c r="B4304" s="2" t="str">
        <x:v>16654</x:v>
      </x:c>
      <x:c r="C4304" s="2" t="str">
        <x:v>United Kingdom</x:v>
      </x:c>
      <x:c r="D4304" s="25" t="n">
        <x:v>40274.353472222225</x:v>
      </x:c>
      <x:c r="E4304" s="25" t="n">
        <x:v>40745.43263888889</x:v>
      </x:c>
      <x:c r="F4304" s="2" t="n">
        <x:v>142</x:v>
      </x:c>
      <x:c r="G4304" s="2" t="n">
        <x:v>8</x:v>
      </x:c>
      <x:c r="H4304" s="11" t="n">
        <x:v>1484.07</x:v>
      </x:c>
      <x:c r="I4304" s="2" t="n">
        <x:v>3</x:v>
      </x:c>
      <x:c r="J4304" s="2" t="n">
        <x:v>4</x:v>
      </x:c>
      <x:c r="K4304" s="2" t="n">
        <x:v>4</x:v>
      </x:c>
      <x:c r="L4304" s="2" t="str">
        <x:v>Loyal</x:v>
      </x:c>
    </x:row>
    <x:row r="4305" ht="22" customHeight="1">
      <x:c r="A4305" s="2"/>
      <x:c r="B4305" s="2" t="str">
        <x:v>16655</x:v>
      </x:c>
      <x:c r="C4305" s="2" t="str">
        <x:v>United Kingdom</x:v>
      </x:c>
      <x:c r="D4305" s="25" t="n">
        <x:v>40209.444444444445</x:v>
      </x:c>
      <x:c r="E4305" s="25" t="n">
        <x:v>40869.26736111111</x:v>
      </x:c>
      <x:c r="F4305" s="2" t="n">
        <x:v>18</x:v>
      </x:c>
      <x:c r="G4305" s="2" t="n">
        <x:v>13</x:v>
      </x:c>
      <x:c r="H4305" s="11" t="n">
        <x:v>6548.37</x:v>
      </x:c>
      <x:c r="I4305" s="2" t="n">
        <x:v>5</x:v>
      </x:c>
      <x:c r="J4305" s="2" t="n">
        <x:v>5</x:v>
      </x:c>
      <x:c r="K4305" s="2" t="n">
        <x:v>5</x:v>
      </x:c>
      <x:c r="L4305" s="2" t="str">
        <x:v>Champions</x:v>
      </x:c>
    </x:row>
    <x:row r="4306" ht="22" customHeight="1">
      <x:c r="A4306" s="2"/>
      <x:c r="B4306" s="2" t="str">
        <x:v>16656</x:v>
      </x:c>
      <x:c r="C4306" s="2" t="str">
        <x:v>United Kingdom</x:v>
      </x:c>
      <x:c r="D4306" s="25" t="n">
        <x:v>40151.33263888889</x:v>
      </x:c>
      <x:c r="E4306" s="25" t="n">
        <x:v>40864.404861111114</x:v>
      </x:c>
      <x:c r="F4306" s="2" t="n">
        <x:v>23</x:v>
      </x:c>
      <x:c r="G4306" s="2" t="n">
        <x:v>30</x:v>
      </x:c>
      <x:c r="H4306" s="11" t="n">
        <x:v>16833.17</x:v>
      </x:c>
      <x:c r="I4306" s="2" t="n">
        <x:v>4</x:v>
      </x:c>
      <x:c r="J4306" s="2" t="n">
        <x:v>5</x:v>
      </x:c>
      <x:c r="K4306" s="2" t="n">
        <x:v>5</x:v>
      </x:c>
      <x:c r="L4306" s="2" t="str">
        <x:v>Champions</x:v>
      </x:c>
    </x:row>
    <x:row r="4307" ht="22" customHeight="1">
      <x:c r="A4307" s="2"/>
      <x:c r="B4307" s="2" t="str">
        <x:v>16657</x:v>
      </x:c>
      <x:c r="C4307" s="2" t="str">
        <x:v>United Kingdom</x:v>
      </x:c>
      <x:c r="D4307" s="25" t="n">
        <x:v>40632.29305555556</x:v>
      </x:c>
      <x:c r="E4307" s="25" t="n">
        <x:v>40877.28333333333</x:v>
      </x:c>
      <x:c r="F4307" s="2" t="n">
        <x:v>10</x:v>
      </x:c>
      <x:c r="G4307" s="2" t="n">
        <x:v>4</x:v>
      </x:c>
      <x:c r="H4307" s="11" t="n">
        <x:v>933.62</x:v>
      </x:c>
      <x:c r="I4307" s="2" t="n">
        <x:v>5</x:v>
      </x:c>
      <x:c r="J4307" s="2" t="n">
        <x:v>3</x:v>
      </x:c>
      <x:c r="K4307" s="2" t="n">
        <x:v>3</x:v>
      </x:c>
      <x:c r="L4307" s="2" t="str">
        <x:v>Loyal</x:v>
      </x:c>
    </x:row>
    <x:row r="4308" ht="22" customHeight="1">
      <x:c r="A4308" s="2"/>
      <x:c r="B4308" s="2" t="str">
        <x:v>16658</x:v>
      </x:c>
      <x:c r="C4308" s="2" t="str">
        <x:v>United Kingdom</x:v>
      </x:c>
      <x:c r="D4308" s="25" t="n">
        <x:v>40267.475</x:v>
      </x:c>
      <x:c r="E4308" s="25" t="n">
        <x:v>40518.36597222222</x:v>
      </x:c>
      <x:c r="F4308" s="2" t="n">
        <x:v>369</x:v>
      </x:c>
      <x:c r="G4308" s="2" t="n">
        <x:v>6</x:v>
      </x:c>
      <x:c r="H4308" s="11" t="n">
        <x:v>690.83</x:v>
      </x:c>
      <x:c r="I4308" s="2" t="n">
        <x:v>2</x:v>
      </x:c>
      <x:c r="J4308" s="2" t="n">
        <x:v>4</x:v>
      </x:c>
      <x:c r="K4308" s="2" t="n">
        <x:v>3</x:v>
      </x:c>
      <x:c r="L4308" s="2" t="str">
        <x:v>At risk</x:v>
      </x:c>
    </x:row>
    <x:row r="4309" ht="22" customHeight="1">
      <x:c r="A4309" s="2"/>
      <x:c r="B4309" s="2" t="str">
        <x:v>16659</x:v>
      </x:c>
      <x:c r="C4309" s="2" t="str">
        <x:v>United Kingdom</x:v>
      </x:c>
      <x:c r="D4309" s="25" t="n">
        <x:v>40697.41875</x:v>
      </x:c>
      <x:c r="E4309" s="25" t="n">
        <x:v>40697.41875</x:v>
      </x:c>
      <x:c r="F4309" s="2" t="n">
        <x:v>190</x:v>
      </x:c>
      <x:c r="G4309" s="2" t="n">
        <x:v>1</x:v>
      </x:c>
      <x:c r="H4309" s="11" t="n">
        <x:v>39.12</x:v>
      </x:c>
      <x:c r="I4309" s="2" t="n">
        <x:v>3</x:v>
      </x:c>
      <x:c r="J4309" s="2" t="n">
        <x:v>1</x:v>
      </x:c>
      <x:c r="K4309" s="2" t="n">
        <x:v>1</x:v>
      </x:c>
      <x:c r="L4309" s="2" t="str">
        <x:v>Developing</x:v>
      </x:c>
    </x:row>
    <x:row r="4310" ht="22" customHeight="1">
      <x:c r="A4310" s="2"/>
      <x:c r="B4310" s="2" t="str">
        <x:v>16660</x:v>
      </x:c>
      <x:c r="C4310" s="2" t="str">
        <x:v>United Kingdom</x:v>
      </x:c>
      <x:c r="D4310" s="25" t="n">
        <x:v>40192.25625</x:v>
      </x:c>
      <x:c r="E4310" s="25" t="n">
        <x:v>40870.41180555556</x:v>
      </x:c>
      <x:c r="F4310" s="2" t="n">
        <x:v>17</x:v>
      </x:c>
      <x:c r="G4310" s="2" t="n">
        <x:v>7</x:v>
      </x:c>
      <x:c r="H4310" s="11" t="n">
        <x:v>1879.55</x:v>
      </x:c>
      <x:c r="I4310" s="2" t="n">
        <x:v>5</x:v>
      </x:c>
      <x:c r="J4310" s="2" t="n">
        <x:v>4</x:v>
      </x:c>
      <x:c r="K4310" s="2" t="n">
        <x:v>4</x:v>
      </x:c>
      <x:c r="L4310" s="2" t="str">
        <x:v>Champions</x:v>
      </x:c>
    </x:row>
    <x:row r="4311" ht="22" customHeight="1">
      <x:c r="A4311" s="2"/>
      <x:c r="B4311" s="2" t="str">
        <x:v>16661</x:v>
      </x:c>
      <x:c r="C4311" s="2" t="str">
        <x:v>United Kingdom</x:v>
      </x:c>
      <x:c r="D4311" s="25" t="n">
        <x:v>40164.44375</x:v>
      </x:c>
      <x:c r="E4311" s="25" t="n">
        <x:v>40346.433333333334</x:v>
      </x:c>
      <x:c r="F4311" s="2" t="n">
        <x:v>541</x:v>
      </x:c>
      <x:c r="G4311" s="2" t="n">
        <x:v>4</x:v>
      </x:c>
      <x:c r="H4311" s="11" t="n">
        <x:v>986.63</x:v>
      </x:c>
      <x:c r="I4311" s="2" t="n">
        <x:v>1</x:v>
      </x:c>
      <x:c r="J4311" s="2" t="n">
        <x:v>3</x:v>
      </x:c>
      <x:c r="K4311" s="2" t="n">
        <x:v>3</x:v>
      </x:c>
      <x:c r="L4311" s="2" t="str">
        <x:v>At risk</x:v>
      </x:c>
    </x:row>
    <x:row r="4312" ht="22" customHeight="1">
      <x:c r="A4312" s="2"/>
      <x:c r="B4312" s="2" t="str">
        <x:v>16662</x:v>
      </x:c>
      <x:c r="C4312" s="2" t="str">
        <x:v>United Kingdom</x:v>
      </x:c>
      <x:c r="D4312" s="25" t="n">
        <x:v>40492.49722222222</x:v>
      </x:c>
      <x:c r="E4312" s="25" t="n">
        <x:v>40492.49722222222</x:v>
      </x:c>
      <x:c r="F4312" s="2" t="n">
        <x:v>395</x:v>
      </x:c>
      <x:c r="G4312" s="2" t="n">
        <x:v>1</x:v>
      </x:c>
      <x:c r="H4312" s="11" t="n">
        <x:v>163.8</x:v>
      </x:c>
      <x:c r="I4312" s="2" t="n">
        <x:v>2</x:v>
      </x:c>
      <x:c r="J4312" s="2" t="n">
        <x:v>1</x:v>
      </x:c>
      <x:c r="K4312" s="2" t="n">
        <x:v>1</x:v>
      </x:c>
      <x:c r="L4312" s="2" t="str">
        <x:v>Hibernating</x:v>
      </x:c>
    </x:row>
    <x:row r="4313" ht="22" customHeight="1">
      <x:c r="A4313" s="2"/>
      <x:c r="B4313" s="2" t="str">
        <x:v>16663</x:v>
      </x:c>
      <x:c r="C4313" s="2" t="str">
        <x:v>United Kingdom</x:v>
      </x:c>
      <x:c r="D4313" s="25" t="n">
        <x:v>40157.34166666667</x:v>
      </x:c>
      <x:c r="E4313" s="25" t="n">
        <x:v>40157.34166666667</x:v>
      </x:c>
      <x:c r="F4313" s="2" t="n">
        <x:v>730</x:v>
      </x:c>
      <x:c r="G4313" s="2" t="n">
        <x:v>1</x:v>
      </x:c>
      <x:c r="H4313" s="11" t="n">
        <x:v>165</x:v>
      </x:c>
      <x:c r="I4313" s="2" t="n">
        <x:v>1</x:v>
      </x:c>
      <x:c r="J4313" s="2" t="n">
        <x:v>1</x:v>
      </x:c>
      <x:c r="K4313" s="2" t="n">
        <x:v>1</x:v>
      </x:c>
      <x:c r="L4313" s="2" t="str">
        <x:v>Hibernating</x:v>
      </x:c>
    </x:row>
    <x:row r="4314" ht="22" customHeight="1">
      <x:c r="A4314" s="2"/>
      <x:c r="B4314" s="2" t="str">
        <x:v>16664</x:v>
      </x:c>
      <x:c r="C4314" s="2" t="str">
        <x:v>United Kingdom</x:v>
      </x:c>
      <x:c r="D4314" s="25" t="n">
        <x:v>40317.50763888889</x:v>
      </x:c>
      <x:c r="E4314" s="25" t="n">
        <x:v>40317.50763888889</x:v>
      </x:c>
      <x:c r="F4314" s="2" t="n">
        <x:v>570</x:v>
      </x:c>
      <x:c r="G4314" s="2" t="n">
        <x:v>1</x:v>
      </x:c>
      <x:c r="H4314" s="11" t="n">
        <x:v>109.2</x:v>
      </x:c>
      <x:c r="I4314" s="2" t="n">
        <x:v>1</x:v>
      </x:c>
      <x:c r="J4314" s="2" t="n">
        <x:v>1</x:v>
      </x:c>
      <x:c r="K4314" s="2" t="n">
        <x:v>1</x:v>
      </x:c>
      <x:c r="L4314" s="2" t="str">
        <x:v>Hibernating</x:v>
      </x:c>
    </x:row>
    <x:row r="4315" ht="22" customHeight="1">
      <x:c r="A4315" s="2"/>
      <x:c r="B4315" s="2" t="str">
        <x:v>16665</x:v>
      </x:c>
      <x:c r="C4315" s="2" t="str">
        <x:v>United Kingdom</x:v>
      </x:c>
      <x:c r="D4315" s="25" t="n">
        <x:v>40524.37708333333</x:v>
      </x:c>
      <x:c r="E4315" s="25" t="n">
        <x:v>40524.37708333333</x:v>
      </x:c>
      <x:c r="F4315" s="2" t="n">
        <x:v>363</x:v>
      </x:c>
      <x:c r="G4315" s="2" t="n">
        <x:v>1</x:v>
      </x:c>
      <x:c r="H4315" s="11" t="n">
        <x:v>135.4</x:v>
      </x:c>
      <x:c r="I4315" s="2" t="n">
        <x:v>2</x:v>
      </x:c>
      <x:c r="J4315" s="2" t="n">
        <x:v>1</x:v>
      </x:c>
      <x:c r="K4315" s="2" t="n">
        <x:v>1</x:v>
      </x:c>
      <x:c r="L4315" s="2" t="str">
        <x:v>Hibernating</x:v>
      </x:c>
    </x:row>
    <x:row r="4316" ht="22" customHeight="1">
      <x:c r="A4316" s="2"/>
      <x:c r="B4316" s="2" t="str">
        <x:v>16666</x:v>
      </x:c>
      <x:c r="C4316" s="2" t="str">
        <x:v>United Kingdom</x:v>
      </x:c>
      <x:c r="D4316" s="25" t="n">
        <x:v>40265.42569444444</x:v>
      </x:c>
      <x:c r="E4316" s="25" t="n">
        <x:v>40867.37569444445</x:v>
      </x:c>
      <x:c r="F4316" s="2" t="n">
        <x:v>20</x:v>
      </x:c>
      <x:c r="G4316" s="2" t="n">
        <x:v>2</x:v>
      </x:c>
      <x:c r="H4316" s="11" t="n">
        <x:v>225.94</x:v>
      </x:c>
      <x:c r="I4316" s="2" t="n">
        <x:v>5</x:v>
      </x:c>
      <x:c r="J4316" s="2" t="n">
        <x:v>2</x:v>
      </x:c>
      <x:c r="K4316" s="2" t="n">
        <x:v>1</x:v>
      </x:c>
      <x:c r="L4316" s="2" t="str">
        <x:v>Recent light buyers</x:v>
      </x:c>
    </x:row>
    <x:row r="4317" ht="22" customHeight="1">
      <x:c r="A4317" s="2"/>
      <x:c r="B4317" s="2" t="str">
        <x:v>16667</x:v>
      </x:c>
      <x:c r="C4317" s="2" t="str">
        <x:v>United Kingdom</x:v>
      </x:c>
      <x:c r="D4317" s="25" t="n">
        <x:v>40602.33125</x:v>
      </x:c>
      <x:c r="E4317" s="25" t="n">
        <x:v>40818.43472222222</x:v>
      </x:c>
      <x:c r="F4317" s="2" t="n">
        <x:v>69</x:v>
      </x:c>
      <x:c r="G4317" s="2" t="n">
        <x:v>2</x:v>
      </x:c>
      <x:c r="H4317" s="11" t="n">
        <x:v>570.13</x:v>
      </x:c>
      <x:c r="I4317" s="2" t="n">
        <x:v>3</x:v>
      </x:c>
      <x:c r="J4317" s="2" t="n">
        <x:v>2</x:v>
      </x:c>
      <x:c r="K4317" s="2" t="n">
        <x:v>2</x:v>
      </x:c>
      <x:c r="L4317" s="2" t="str">
        <x:v>Developing</x:v>
      </x:c>
    </x:row>
    <x:row r="4318" ht="22" customHeight="1">
      <x:c r="A4318" s="2"/>
      <x:c r="B4318" s="2" t="str">
        <x:v>16668</x:v>
      </x:c>
      <x:c r="C4318" s="2" t="str">
        <x:v>United Kingdom</x:v>
      </x:c>
      <x:c r="D4318" s="25" t="n">
        <x:v>40255.55902777778</x:v>
      </x:c>
      <x:c r="E4318" s="25" t="n">
        <x:v>40871.529861111114</x:v>
      </x:c>
      <x:c r="F4318" s="2" t="n">
        <x:v>16</x:v>
      </x:c>
      <x:c r="G4318" s="2" t="n">
        <x:v>13</x:v>
      </x:c>
      <x:c r="H4318" s="11" t="n">
        <x:v>862.42</x:v>
      </x:c>
      <x:c r="I4318" s="2" t="n">
        <x:v>5</x:v>
      </x:c>
      <x:c r="J4318" s="2" t="n">
        <x:v>5</x:v>
      </x:c>
      <x:c r="K4318" s="2" t="n">
        <x:v>3</x:v>
      </x:c>
      <x:c r="L4318" s="2" t="str">
        <x:v>Loyal</x:v>
      </x:c>
    </x:row>
    <x:row r="4319" ht="22" customHeight="1">
      <x:c r="A4319" s="2"/>
      <x:c r="B4319" s="2" t="str">
        <x:v>16669</x:v>
      </x:c>
      <x:c r="C4319" s="2" t="str">
        <x:v>United Kingdom</x:v>
      </x:c>
      <x:c r="D4319" s="25" t="n">
        <x:v>40808.38402777778</x:v>
      </x:c>
      <x:c r="E4319" s="25" t="n">
        <x:v>40863.30972222222</x:v>
      </x:c>
      <x:c r="F4319" s="2" t="n">
        <x:v>24</x:v>
      </x:c>
      <x:c r="G4319" s="2" t="n">
        <x:v>3</x:v>
      </x:c>
      <x:c r="H4319" s="11" t="n">
        <x:v>1374.87</x:v>
      </x:c>
      <x:c r="I4319" s="2" t="n">
        <x:v>4</x:v>
      </x:c>
      <x:c r="J4319" s="2" t="n">
        <x:v>3</x:v>
      </x:c>
      <x:c r="K4319" s="2" t="n">
        <x:v>4</x:v>
      </x:c>
      <x:c r="L4319" s="2" t="str">
        <x:v>Loyal</x:v>
      </x:c>
    </x:row>
    <x:row r="4320" ht="22" customHeight="1">
      <x:c r="A4320" s="2"/>
      <x:c r="B4320" s="2" t="str">
        <x:v>16670</x:v>
      </x:c>
      <x:c r="C4320" s="2" t="str">
        <x:v>United Kingdom</x:v>
      </x:c>
      <x:c r="D4320" s="25" t="n">
        <x:v>40157.436111111114</x:v>
      </x:c>
      <x:c r="E4320" s="25" t="n">
        <x:v>40870.19027777778</x:v>
      </x:c>
      <x:c r="F4320" s="2" t="n">
        <x:v>17</x:v>
      </x:c>
      <x:c r="G4320" s="2" t="n">
        <x:v>20</x:v>
      </x:c>
      <x:c r="H4320" s="11" t="n">
        <x:v>8030.15</x:v>
      </x:c>
      <x:c r="I4320" s="2" t="n">
        <x:v>5</x:v>
      </x:c>
      <x:c r="J4320" s="2" t="n">
        <x:v>5</x:v>
      </x:c>
      <x:c r="K4320" s="2" t="n">
        <x:v>5</x:v>
      </x:c>
      <x:c r="L4320" s="2" t="str">
        <x:v>Champions</x:v>
      </x:c>
    </x:row>
    <x:row r="4321" ht="22" customHeight="1">
      <x:c r="A4321" s="2"/>
      <x:c r="B4321" s="2" t="str">
        <x:v>16671</x:v>
      </x:c>
      <x:c r="C4321" s="2" t="str">
        <x:v>United Kingdom</x:v>
      </x:c>
      <x:c r="D4321" s="25" t="n">
        <x:v>40722.26388888889</x:v>
      </x:c>
      <x:c r="E4321" s="25" t="n">
        <x:v>40858.36111111111</x:v>
      </x:c>
      <x:c r="F4321" s="2" t="n">
        <x:v>29</x:v>
      </x:c>
      <x:c r="G4321" s="2" t="n">
        <x:v>3</x:v>
      </x:c>
      <x:c r="H4321" s="11" t="n">
        <x:v>1692.27</x:v>
      </x:c>
      <x:c r="I4321" s="2" t="n">
        <x:v>4</x:v>
      </x:c>
      <x:c r="J4321" s="2" t="n">
        <x:v>3</x:v>
      </x:c>
      <x:c r="K4321" s="2" t="n">
        <x:v>4</x:v>
      </x:c>
      <x:c r="L4321" s="2" t="str">
        <x:v>Loyal</x:v>
      </x:c>
    </x:row>
    <x:row r="4322" ht="22" customHeight="1">
      <x:c r="A4322" s="2"/>
      <x:c r="B4322" s="2" t="str">
        <x:v>16672</x:v>
      </x:c>
      <x:c r="C4322" s="2" t="str">
        <x:v>United Kingdom</x:v>
      </x:c>
      <x:c r="D4322" s="25" t="n">
        <x:v>40620.21875</x:v>
      </x:c>
      <x:c r="E4322" s="25" t="n">
        <x:v>40884.478472222225</x:v>
      </x:c>
      <x:c r="F4322" s="2" t="n">
        <x:v>3</x:v>
      </x:c>
      <x:c r="G4322" s="2" t="n">
        <x:v>20</x:v>
      </x:c>
      <x:c r="H4322" s="11" t="n">
        <x:v>8134.94</x:v>
      </x:c>
      <x:c r="I4322" s="2" t="n">
        <x:v>5</x:v>
      </x:c>
      <x:c r="J4322" s="2" t="n">
        <x:v>5</x:v>
      </x:c>
      <x:c r="K4322" s="2" t="n">
        <x:v>5</x:v>
      </x:c>
      <x:c r="L4322" s="2" t="str">
        <x:v>Champions</x:v>
      </x:c>
    </x:row>
    <x:row r="4323" ht="22" customHeight="1">
      <x:c r="A4323" s="2"/>
      <x:c r="B4323" s="2" t="str">
        <x:v>16673</x:v>
      </x:c>
      <x:c r="C4323" s="2" t="str">
        <x:v>United Kingdom</x:v>
      </x:c>
      <x:c r="D4323" s="25" t="n">
        <x:v>40207.39027777778</x:v>
      </x:c>
      <x:c r="E4323" s="25" t="n">
        <x:v>40207.39027777778</x:v>
      </x:c>
      <x:c r="F4323" s="2" t="n">
        <x:v>680</x:v>
      </x:c>
      <x:c r="G4323" s="2" t="n">
        <x:v>1</x:v>
      </x:c>
      <x:c r="H4323" s="11" t="n">
        <x:v>188.83</x:v>
      </x:c>
      <x:c r="I4323" s="2" t="n">
        <x:v>1</x:v>
      </x:c>
      <x:c r="J4323" s="2" t="n">
        <x:v>1</x:v>
      </x:c>
      <x:c r="K4323" s="2" t="n">
        <x:v>1</x:v>
      </x:c>
      <x:c r="L4323" s="2" t="str">
        <x:v>Hibernating</x:v>
      </x:c>
    </x:row>
    <x:row r="4324" ht="22" customHeight="1">
      <x:c r="A4324" s="2"/>
      <x:c r="B4324" s="2" t="str">
        <x:v>16674</x:v>
      </x:c>
      <x:c r="C4324" s="2" t="str">
        <x:v>United Kingdom</x:v>
      </x:c>
      <x:c r="D4324" s="25" t="n">
        <x:v>40788.37430555555</x:v>
      </x:c>
      <x:c r="E4324" s="25" t="n">
        <x:v>40832.271527777775</x:v>
      </x:c>
      <x:c r="F4324" s="2" t="n">
        <x:v>55</x:v>
      </x:c>
      <x:c r="G4324" s="2" t="n">
        <x:v>2</x:v>
      </x:c>
      <x:c r="H4324" s="11" t="n">
        <x:v>319.61</x:v>
      </x:c>
      <x:c r="I4324" s="2" t="n">
        <x:v>4</x:v>
      </x:c>
      <x:c r="J4324" s="2" t="n">
        <x:v>2</x:v>
      </x:c>
      <x:c r="K4324" s="2" t="n">
        <x:v>2</x:v>
      </x:c>
      <x:c r="L4324" s="2" t="str">
        <x:v>Recent light buyers</x:v>
      </x:c>
    </x:row>
    <x:row r="4325" ht="22" customHeight="1">
      <x:c r="A4325" s="2"/>
      <x:c r="B4325" s="2" t="str">
        <x:v>16675</x:v>
      </x:c>
      <x:c r="C4325" s="2" t="str">
        <x:v>United Kingdom</x:v>
      </x:c>
      <x:c r="D4325" s="25" t="n">
        <x:v>40408.34097222222</x:v>
      </x:c>
      <x:c r="E4325" s="25" t="n">
        <x:v>40445.302083333336</x:v>
      </x:c>
      <x:c r="F4325" s="2" t="n">
        <x:v>442</x:v>
      </x:c>
      <x:c r="G4325" s="2" t="n">
        <x:v>2</x:v>
      </x:c>
      <x:c r="H4325" s="11" t="n">
        <x:v>608.86</x:v>
      </x:c>
      <x:c r="I4325" s="2" t="n">
        <x:v>1</x:v>
      </x:c>
      <x:c r="J4325" s="2" t="n">
        <x:v>2</x:v>
      </x:c>
      <x:c r="K4325" s="2" t="n">
        <x:v>2</x:v>
      </x:c>
      <x:c r="L4325" s="2" t="str">
        <x:v>Hibernating</x:v>
      </x:c>
    </x:row>
    <x:row r="4326" ht="22" customHeight="1">
      <x:c r="A4326" s="2"/>
      <x:c r="B4326" s="2" t="str">
        <x:v>16676</x:v>
      </x:c>
      <x:c r="C4326" s="2" t="str">
        <x:v>United Kingdom</x:v>
      </x:c>
      <x:c r="D4326" s="25" t="n">
        <x:v>40468.33819444444</x:v>
      </x:c>
      <x:c r="E4326" s="25" t="n">
        <x:v>40853.29236111111</x:v>
      </x:c>
      <x:c r="F4326" s="2" t="n">
        <x:v>34</x:v>
      </x:c>
      <x:c r="G4326" s="2" t="n">
        <x:v>6</x:v>
      </x:c>
      <x:c r="H4326" s="11" t="n">
        <x:v>2361.9</x:v>
      </x:c>
      <x:c r="I4326" s="2" t="n">
        <x:v>4</x:v>
      </x:c>
      <x:c r="J4326" s="2" t="n">
        <x:v>4</x:v>
      </x:c>
      <x:c r="K4326" s="2" t="n">
        <x:v>4</x:v>
      </x:c>
      <x:c r="L4326" s="2" t="str">
        <x:v>Champions</x:v>
      </x:c>
    </x:row>
    <x:row r="4327" ht="22" customHeight="1">
      <x:c r="A4327" s="2"/>
      <x:c r="B4327" s="2" t="str">
        <x:v>16677</x:v>
      </x:c>
      <x:c r="C4327" s="2" t="str">
        <x:v>United Kingdom</x:v>
      </x:c>
      <x:c r="D4327" s="25" t="n">
        <x:v>40234.46597222222</x:v>
      </x:c>
      <x:c r="E4327" s="25" t="n">
        <x:v>40475.41180555556</x:v>
      </x:c>
      <x:c r="F4327" s="2" t="n">
        <x:v>412</x:v>
      </x:c>
      <x:c r="G4327" s="2" t="n">
        <x:v>2</x:v>
      </x:c>
      <x:c r="H4327" s="11" t="n">
        <x:v>880.62</x:v>
      </x:c>
      <x:c r="I4327" s="2" t="n">
        <x:v>1</x:v>
      </x:c>
      <x:c r="J4327" s="2" t="n">
        <x:v>2</x:v>
      </x:c>
      <x:c r="K4327" s="2" t="n">
        <x:v>3</x:v>
      </x:c>
      <x:c r="L4327" s="2" t="str">
        <x:v>Hibernating</x:v>
      </x:c>
    </x:row>
    <x:row r="4328" ht="22" customHeight="1">
      <x:c r="A4328" s="2"/>
      <x:c r="B4328" s="2" t="str">
        <x:v>16678</x:v>
      </x:c>
      <x:c r="C4328" s="2" t="str">
        <x:v>United Kingdom</x:v>
      </x:c>
      <x:c r="D4328" s="25" t="n">
        <x:v>40604.183333333334</x:v>
      </x:c>
      <x:c r="E4328" s="25" t="n">
        <x:v>40884.30347222222</x:v>
      </x:c>
      <x:c r="F4328" s="2" t="n">
        <x:v>3</x:v>
      </x:c>
      <x:c r="G4328" s="2" t="n">
        <x:v>12</x:v>
      </x:c>
      <x:c r="H4328" s="11" t="n">
        <x:v>3109.99</x:v>
      </x:c>
      <x:c r="I4328" s="2" t="n">
        <x:v>5</x:v>
      </x:c>
      <x:c r="J4328" s="2" t="n">
        <x:v>5</x:v>
      </x:c>
      <x:c r="K4328" s="2" t="n">
        <x:v>5</x:v>
      </x:c>
      <x:c r="L4328" s="2" t="str">
        <x:v>Champions</x:v>
      </x:c>
    </x:row>
    <x:row r="4329" ht="22" customHeight="1">
      <x:c r="A4329" s="2"/>
      <x:c r="B4329" s="2" t="str">
        <x:v>16679</x:v>
      </x:c>
      <x:c r="C4329" s="2" t="str">
        <x:v>United Kingdom</x:v>
      </x:c>
      <x:c r="D4329" s="25" t="n">
        <x:v>40339.56597222222</x:v>
      </x:c>
      <x:c r="E4329" s="25" t="n">
        <x:v>40520.36875</x:v>
      </x:c>
      <x:c r="F4329" s="2" t="n">
        <x:v>367</x:v>
      </x:c>
      <x:c r="G4329" s="2" t="n">
        <x:v>3</x:v>
      </x:c>
      <x:c r="H4329" s="11" t="n">
        <x:v>663.31</x:v>
      </x:c>
      <x:c r="I4329" s="2" t="n">
        <x:v>2</x:v>
      </x:c>
      <x:c r="J4329" s="2" t="n">
        <x:v>3</x:v>
      </x:c>
      <x:c r="K4329" s="2" t="n">
        <x:v>3</x:v>
      </x:c>
      <x:c r="L4329" s="2" t="str">
        <x:v>At risk</x:v>
      </x:c>
    </x:row>
    <x:row r="4330" ht="22" customHeight="1">
      <x:c r="A4330" s="2"/>
      <x:c r="B4330" s="2" t="str">
        <x:v>16680</x:v>
      </x:c>
      <x:c r="C4330" s="2" t="str">
        <x:v>United Kingdom</x:v>
      </x:c>
      <x:c r="D4330" s="25" t="n">
        <x:v>40352.1875</x:v>
      </x:c>
      <x:c r="E4330" s="25" t="n">
        <x:v>40843.524305555555</x:v>
      </x:c>
      <x:c r="F4330" s="2" t="n">
        <x:v>44</x:v>
      </x:c>
      <x:c r="G4330" s="2" t="n">
        <x:v>3</x:v>
      </x:c>
      <x:c r="H4330" s="11" t="n">
        <x:v>821.45</x:v>
      </x:c>
      <x:c r="I4330" s="2" t="n">
        <x:v>4</x:v>
      </x:c>
      <x:c r="J4330" s="2" t="n">
        <x:v>3</x:v>
      </x:c>
      <x:c r="K4330" s="2" t="n">
        <x:v>3</x:v>
      </x:c>
      <x:c r="L4330" s="2" t="str">
        <x:v>Loyal</x:v>
      </x:c>
    </x:row>
    <x:row r="4331" ht="22" customHeight="1">
      <x:c r="A4331" s="2"/>
      <x:c r="B4331" s="2" t="str">
        <x:v>16681</x:v>
      </x:c>
      <x:c r="C4331" s="2" t="str">
        <x:v>United Kingdom</x:v>
      </x:c>
      <x:c r="D4331" s="25" t="n">
        <x:v>40245.381944444445</x:v>
      </x:c>
      <x:c r="E4331" s="25" t="n">
        <x:v>40814.25763888889</x:v>
      </x:c>
      <x:c r="F4331" s="2" t="n">
        <x:v>73</x:v>
      </x:c>
      <x:c r="G4331" s="2" t="n">
        <x:v>7</x:v>
      </x:c>
      <x:c r="H4331" s="11" t="n">
        <x:v>1921.84</x:v>
      </x:c>
      <x:c r="I4331" s="2" t="n">
        <x:v>3</x:v>
      </x:c>
      <x:c r="J4331" s="2" t="n">
        <x:v>4</x:v>
      </x:c>
      <x:c r="K4331" s="2" t="n">
        <x:v>4</x:v>
      </x:c>
      <x:c r="L4331" s="2" t="str">
        <x:v>Loyal</x:v>
      </x:c>
    </x:row>
    <x:row r="4332" ht="22" customHeight="1">
      <x:c r="A4332" s="2"/>
      <x:c r="B4332" s="2" t="str">
        <x:v>16682</x:v>
      </x:c>
      <x:c r="C4332" s="2" t="str">
        <x:v>United Kingdom</x:v>
      </x:c>
      <x:c r="D4332" s="25" t="n">
        <x:v>40699.251388888886</x:v>
      </x:c>
      <x:c r="E4332" s="25" t="n">
        <x:v>40882.30069444444</x:v>
      </x:c>
      <x:c r="F4332" s="2" t="n">
        <x:v>5</x:v>
      </x:c>
      <x:c r="G4332" s="2" t="n">
        <x:v>5</x:v>
      </x:c>
      <x:c r="H4332" s="11" t="n">
        <x:v>1028</x:v>
      </x:c>
      <x:c r="I4332" s="2" t="n">
        <x:v>5</x:v>
      </x:c>
      <x:c r="J4332" s="2" t="n">
        <x:v>4</x:v>
      </x:c>
      <x:c r="K4332" s="2" t="n">
        <x:v>3</x:v>
      </x:c>
      <x:c r="L4332" s="2" t="str">
        <x:v>Loyal</x:v>
      </x:c>
    </x:row>
    <x:row r="4333" ht="22" customHeight="1">
      <x:c r="A4333" s="2"/>
      <x:c r="B4333" s="2" t="str">
        <x:v>16683</x:v>
      </x:c>
      <x:c r="C4333" s="2" t="str">
        <x:v>United Kingdom</x:v>
      </x:c>
      <x:c r="D4333" s="25" t="n">
        <x:v>40353.23333333333</x:v>
      </x:c>
      <x:c r="E4333" s="25" t="n">
        <x:v>40353.23333333333</x:v>
      </x:c>
      <x:c r="F4333" s="2" t="n">
        <x:v>534</x:v>
      </x:c>
      <x:c r="G4333" s="2" t="n">
        <x:v>1</x:v>
      </x:c>
      <x:c r="H4333" s="11" t="n">
        <x:v>320.25</x:v>
      </x:c>
      <x:c r="I4333" s="2" t="n">
        <x:v>1</x:v>
      </x:c>
      <x:c r="J4333" s="2" t="n">
        <x:v>1</x:v>
      </x:c>
      <x:c r="K4333" s="2" t="n">
        <x:v>2</x:v>
      </x:c>
      <x:c r="L4333" s="2" t="str">
        <x:v>Hibernating</x:v>
      </x:c>
    </x:row>
    <x:row r="4334" ht="22" customHeight="1">
      <x:c r="A4334" s="2"/>
      <x:c r="B4334" s="2" t="str">
        <x:v>16684</x:v>
      </x:c>
      <x:c r="C4334" s="2" t="str">
        <x:v>United Kingdom</x:v>
      </x:c>
      <x:c r="D4334" s="25" t="n">
        <x:v>40154.330555555556</x:v>
      </x:c>
      <x:c r="E4334" s="25" t="n">
        <x:v>40882.379166666666</x:v>
      </x:c>
      <x:c r="F4334" s="2" t="n">
        <x:v>5</x:v>
      </x:c>
      <x:c r="G4334" s="2" t="n">
        <x:v>55</x:v>
      </x:c>
      <x:c r="H4334" s="11" t="n">
        <x:v>147142.77</x:v>
      </x:c>
      <x:c r="I4334" s="2" t="n">
        <x:v>5</x:v>
      </x:c>
      <x:c r="J4334" s="2" t="n">
        <x:v>5</x:v>
      </x:c>
      <x:c r="K4334" s="2" t="n">
        <x:v>5</x:v>
      </x:c>
      <x:c r="L4334" s="2" t="str">
        <x:v>Champions</x:v>
      </x:c>
    </x:row>
    <x:row r="4335" ht="22" customHeight="1">
      <x:c r="A4335" s="2"/>
      <x:c r="B4335" s="2" t="str">
        <x:v>16685</x:v>
      </x:c>
      <x:c r="C4335" s="2" t="str">
        <x:v>United Kingdom</x:v>
      </x:c>
      <x:c r="D4335" s="25" t="n">
        <x:v>40825.36388888889</x:v>
      </x:c>
      <x:c r="E4335" s="25" t="n">
        <x:v>40825.373611111114</x:v>
      </x:c>
      <x:c r="F4335" s="2" t="n">
        <x:v>62</x:v>
      </x:c>
      <x:c r="G4335" s="2" t="n">
        <x:v>2</x:v>
      </x:c>
      <x:c r="H4335" s="11" t="n">
        <x:v>324.24</x:v>
      </x:c>
      <x:c r="I4335" s="2" t="n">
        <x:v>3</x:v>
      </x:c>
      <x:c r="J4335" s="2" t="n">
        <x:v>2</x:v>
      </x:c>
      <x:c r="K4335" s="2" t="n">
        <x:v>2</x:v>
      </x:c>
      <x:c r="L4335" s="2" t="str">
        <x:v>Developing</x:v>
      </x:c>
    </x:row>
    <x:row r="4336" ht="22" customHeight="1">
      <x:c r="A4336" s="2"/>
      <x:c r="B4336" s="2" t="str">
        <x:v>16686</x:v>
      </x:c>
      <x:c r="C4336" s="2" t="str">
        <x:v>United Kingdom</x:v>
      </x:c>
      <x:c r="D4336" s="25" t="n">
        <x:v>40153.45</x:v>
      </x:c>
      <x:c r="E4336" s="25" t="n">
        <x:v>40839.36736111111</x:v>
      </x:c>
      <x:c r="F4336" s="2" t="n">
        <x:v>48</x:v>
      </x:c>
      <x:c r="G4336" s="2" t="n">
        <x:v>16</x:v>
      </x:c>
      <x:c r="H4336" s="11" t="n">
        <x:v>5070.92</x:v>
      </x:c>
      <x:c r="I4336" s="2" t="n">
        <x:v>4</x:v>
      </x:c>
      <x:c r="J4336" s="2" t="n">
        <x:v>5</x:v>
      </x:c>
      <x:c r="K4336" s="2" t="n">
        <x:v>5</x:v>
      </x:c>
      <x:c r="L4336" s="2" t="str">
        <x:v>Champions</x:v>
      </x:c>
    </x:row>
    <x:row r="4337" ht="22" customHeight="1">
      <x:c r="A4337" s="2"/>
      <x:c r="B4337" s="2" t="str">
        <x:v>16687</x:v>
      </x:c>
      <x:c r="C4337" s="2" t="str">
        <x:v>United Kingdom</x:v>
      </x:c>
      <x:c r="D4337" s="25" t="n">
        <x:v>40496.28194444445</x:v>
      </x:c>
      <x:c r="E4337" s="25" t="n">
        <x:v>40496.28194444445</x:v>
      </x:c>
      <x:c r="F4337" s="2" t="n">
        <x:v>391</x:v>
      </x:c>
      <x:c r="G4337" s="2" t="n">
        <x:v>1</x:v>
      </x:c>
      <x:c r="H4337" s="11" t="n">
        <x:v>157.63</x:v>
      </x:c>
      <x:c r="I4337" s="2" t="n">
        <x:v>2</x:v>
      </x:c>
      <x:c r="J4337" s="2" t="n">
        <x:v>1</x:v>
      </x:c>
      <x:c r="K4337" s="2" t="n">
        <x:v>1</x:v>
      </x:c>
      <x:c r="L4337" s="2" t="str">
        <x:v>Hibernating</x:v>
      </x:c>
    </x:row>
    <x:row r="4338" ht="22" customHeight="1">
      <x:c r="A4338" s="2"/>
      <x:c r="B4338" s="2" t="str">
        <x:v>16688</x:v>
      </x:c>
      <x:c r="C4338" s="2" t="str">
        <x:v>United Kingdom</x:v>
      </x:c>
      <x:c r="D4338" s="25" t="n">
        <x:v>40826.30763888889</x:v>
      </x:c>
      <x:c r="E4338" s="25" t="n">
        <x:v>40885.433333333334</x:v>
      </x:c>
      <x:c r="F4338" s="2" t="n">
        <x:v>2</x:v>
      </x:c>
      <x:c r="G4338" s="2" t="n">
        <x:v>4</x:v>
      </x:c>
      <x:c r="H4338" s="11" t="n">
        <x:v>1260.86</x:v>
      </x:c>
      <x:c r="I4338" s="2" t="n">
        <x:v>5</x:v>
      </x:c>
      <x:c r="J4338" s="2" t="n">
        <x:v>3</x:v>
      </x:c>
      <x:c r="K4338" s="2" t="n">
        <x:v>4</x:v>
      </x:c>
      <x:c r="L4338" s="2" t="str">
        <x:v>Loyal</x:v>
      </x:c>
    </x:row>
    <x:row r="4339" ht="22" customHeight="1">
      <x:c r="A4339" s="2"/>
      <x:c r="B4339" s="2" t="str">
        <x:v>16689</x:v>
      </x:c>
      <x:c r="C4339" s="2" t="str">
        <x:v>United Kingdom</x:v>
      </x:c>
      <x:c r="D4339" s="25" t="n">
        <x:v>40804.353472222225</x:v>
      </x:c>
      <x:c r="E4339" s="25" t="n">
        <x:v>40811.277083333334</x:v>
      </x:c>
      <x:c r="F4339" s="2" t="n">
        <x:v>76</x:v>
      </x:c>
      <x:c r="G4339" s="2" t="n">
        <x:v>2</x:v>
      </x:c>
      <x:c r="H4339" s="11" t="n">
        <x:v>422.6</x:v>
      </x:c>
      <x:c r="I4339" s="2" t="n">
        <x:v>3</x:v>
      </x:c>
      <x:c r="J4339" s="2" t="n">
        <x:v>2</x:v>
      </x:c>
      <x:c r="K4339" s="2" t="n">
        <x:v>2</x:v>
      </x:c>
      <x:c r="L4339" s="2" t="str">
        <x:v>Developing</x:v>
      </x:c>
    </x:row>
    <x:row r="4340" ht="22" customHeight="1">
      <x:c r="A4340" s="2"/>
      <x:c r="B4340" s="2" t="str">
        <x:v>16690</x:v>
      </x:c>
      <x:c r="C4340" s="2" t="str">
        <x:v>United Kingdom</x:v>
      </x:c>
      <x:c r="D4340" s="25" t="n">
        <x:v>40435.416666666664</x:v>
      </x:c>
      <x:c r="E4340" s="25" t="n">
        <x:v>40814.41805555556</x:v>
      </x:c>
      <x:c r="F4340" s="2" t="n">
        <x:v>73</x:v>
      </x:c>
      <x:c r="G4340" s="2" t="n">
        <x:v>4</x:v>
      </x:c>
      <x:c r="H4340" s="11" t="n">
        <x:v>353.03</x:v>
      </x:c>
      <x:c r="I4340" s="2" t="n">
        <x:v>3</x:v>
      </x:c>
      <x:c r="J4340" s="2" t="n">
        <x:v>3</x:v>
      </x:c>
      <x:c r="K4340" s="2" t="n">
        <x:v>2</x:v>
      </x:c>
      <x:c r="L4340" s="2" t="str">
        <x:v>Loyal</x:v>
      </x:c>
    </x:row>
    <x:row r="4341" ht="22" customHeight="1">
      <x:c r="A4341" s="2"/>
      <x:c r="B4341" s="2" t="str">
        <x:v>16691</x:v>
      </x:c>
      <x:c r="C4341" s="2" t="str">
        <x:v>United Kingdom</x:v>
      </x:c>
      <x:c r="D4341" s="25" t="n">
        <x:v>40325.413194444445</x:v>
      </x:c>
      <x:c r="E4341" s="25" t="n">
        <x:v>40468.41875</x:v>
      </x:c>
      <x:c r="F4341" s="2" t="n">
        <x:v>419</x:v>
      </x:c>
      <x:c r="G4341" s="2" t="n">
        <x:v>2</x:v>
      </x:c>
      <x:c r="H4341" s="11" t="n">
        <x:v>178.83</x:v>
      </x:c>
      <x:c r="I4341" s="2" t="n">
        <x:v>1</x:v>
      </x:c>
      <x:c r="J4341" s="2" t="n">
        <x:v>2</x:v>
      </x:c>
      <x:c r="K4341" s="2" t="n">
        <x:v>1</x:v>
      </x:c>
      <x:c r="L4341" s="2" t="str">
        <x:v>Hibernating</x:v>
      </x:c>
    </x:row>
    <x:row r="4342" ht="22" customHeight="1">
      <x:c r="A4342" s="2"/>
      <x:c r="B4342" s="2" t="str">
        <x:v>16692</x:v>
      </x:c>
      <x:c r="C4342" s="2" t="str">
        <x:v>United Kingdom</x:v>
      </x:c>
      <x:c r="D4342" s="25" t="n">
        <x:v>40445.271527777775</x:v>
      </x:c>
      <x:c r="E4342" s="25" t="n">
        <x:v>40630.40694444445</x:v>
      </x:c>
      <x:c r="F4342" s="2" t="n">
        <x:v>257</x:v>
      </x:c>
      <x:c r="G4342" s="2" t="n">
        <x:v>4</x:v>
      </x:c>
      <x:c r="H4342" s="11" t="n">
        <x:v>1914.7</x:v>
      </x:c>
      <x:c r="I4342" s="2" t="n">
        <x:v>2</x:v>
      </x:c>
      <x:c r="J4342" s="2" t="n">
        <x:v>3</x:v>
      </x:c>
      <x:c r="K4342" s="2" t="n">
        <x:v>4</x:v>
      </x:c>
      <x:c r="L4342" s="2" t="str">
        <x:v>At risk</x:v>
      </x:c>
    </x:row>
    <x:row r="4343" ht="22" customHeight="1">
      <x:c r="A4343" s="2"/>
      <x:c r="B4343" s="2" t="str">
        <x:v>16693</x:v>
      </x:c>
      <x:c r="C4343" s="2" t="str">
        <x:v>United Kingdom</x:v>
      </x:c>
      <x:c r="D4343" s="25" t="n">
        <x:v>40230.32083333333</x:v>
      </x:c>
      <x:c r="E4343" s="25" t="n">
        <x:v>40818.256944444445</x:v>
      </x:c>
      <x:c r="F4343" s="2" t="n">
        <x:v>69</x:v>
      </x:c>
      <x:c r="G4343" s="2" t="n">
        <x:v>5</x:v>
      </x:c>
      <x:c r="H4343" s="11" t="n">
        <x:v>1199.46</x:v>
      </x:c>
      <x:c r="I4343" s="2" t="n">
        <x:v>3</x:v>
      </x:c>
      <x:c r="J4343" s="2" t="n">
        <x:v>4</x:v>
      </x:c>
      <x:c r="K4343" s="2" t="n">
        <x:v>3</x:v>
      </x:c>
      <x:c r="L4343" s="2" t="str">
        <x:v>Loyal</x:v>
      </x:c>
    </x:row>
    <x:row r="4344" ht="22" customHeight="1">
      <x:c r="A4344" s="2"/>
      <x:c r="B4344" s="2" t="str">
        <x:v>16694</x:v>
      </x:c>
      <x:c r="C4344" s="2" t="str">
        <x:v>United Kingdom</x:v>
      </x:c>
      <x:c r="D4344" s="25" t="n">
        <x:v>40163.447916666664</x:v>
      </x:c>
      <x:c r="E4344" s="25" t="n">
        <x:v>40163.447916666664</x:v>
      </x:c>
      <x:c r="F4344" s="2" t="n">
        <x:v>724</x:v>
      </x:c>
      <x:c r="G4344" s="2" t="n">
        <x:v>1</x:v>
      </x:c>
      <x:c r="H4344" s="11" t="n">
        <x:v>98.3</x:v>
      </x:c>
      <x:c r="I4344" s="2" t="n">
        <x:v>1</x:v>
      </x:c>
      <x:c r="J4344" s="2" t="n">
        <x:v>1</x:v>
      </x:c>
      <x:c r="K4344" s="2" t="n">
        <x:v>1</x:v>
      </x:c>
      <x:c r="L4344" s="2" t="str">
        <x:v>Hibernating</x:v>
      </x:c>
    </x:row>
    <x:row r="4345" ht="22" customHeight="1">
      <x:c r="A4345" s="2"/>
      <x:c r="B4345" s="2" t="str">
        <x:v>16695</x:v>
      </x:c>
      <x:c r="C4345" s="2" t="str">
        <x:v>United Kingdom</x:v>
      </x:c>
      <x:c r="D4345" s="25" t="n">
        <x:v>40325.308333333334</x:v>
      </x:c>
      <x:c r="E4345" s="25" t="n">
        <x:v>40325.316666666666</x:v>
      </x:c>
      <x:c r="F4345" s="2" t="n">
        <x:v>562</x:v>
      </x:c>
      <x:c r="G4345" s="2" t="n">
        <x:v>2</x:v>
      </x:c>
      <x:c r="H4345" s="11" t="n">
        <x:v>193.15</x:v>
      </x:c>
      <x:c r="I4345" s="2" t="n">
        <x:v>1</x:v>
      </x:c>
      <x:c r="J4345" s="2" t="n">
        <x:v>2</x:v>
      </x:c>
      <x:c r="K4345" s="2" t="n">
        <x:v>1</x:v>
      </x:c>
      <x:c r="L4345" s="2" t="str">
        <x:v>Hibernating</x:v>
      </x:c>
    </x:row>
    <x:row r="4346" ht="22" customHeight="1">
      <x:c r="A4346" s="2"/>
      <x:c r="B4346" s="2" t="str">
        <x:v>16696</x:v>
      </x:c>
      <x:c r="C4346" s="2" t="str">
        <x:v>United Kingdom</x:v>
      </x:c>
      <x:c r="D4346" s="25" t="n">
        <x:v>40638.430555555555</x:v>
      </x:c>
      <x:c r="E4346" s="25" t="n">
        <x:v>40751.39097222222</x:v>
      </x:c>
      <x:c r="F4346" s="2" t="n">
        <x:v>136</x:v>
      </x:c>
      <x:c r="G4346" s="2" t="n">
        <x:v>4</x:v>
      </x:c>
      <x:c r="H4346" s="11" t="n">
        <x:v>657.9</x:v>
      </x:c>
      <x:c r="I4346" s="2" t="n">
        <x:v>3</x:v>
      </x:c>
      <x:c r="J4346" s="2" t="n">
        <x:v>3</x:v>
      </x:c>
      <x:c r="K4346" s="2" t="n">
        <x:v>3</x:v>
      </x:c>
      <x:c r="L4346" s="2" t="str">
        <x:v>Loyal</x:v>
      </x:c>
    </x:row>
    <x:row r="4347" ht="22" customHeight="1">
      <x:c r="A4347" s="2"/>
      <x:c r="B4347" s="2" t="str">
        <x:v>16697</x:v>
      </x:c>
      <x:c r="C4347" s="2" t="str">
        <x:v>United Kingdom</x:v>
      </x:c>
      <x:c r="D4347" s="25" t="n">
        <x:v>40645.50833333333</x:v>
      </x:c>
      <x:c r="E4347" s="25" t="n">
        <x:v>40645.50833333333</x:v>
      </x:c>
      <x:c r="F4347" s="2" t="n">
        <x:v>242</x:v>
      </x:c>
      <x:c r="G4347" s="2" t="n">
        <x:v>1</x:v>
      </x:c>
      <x:c r="H4347" s="11" t="n">
        <x:v>112.75</x:v>
      </x:c>
      <x:c r="I4347" s="2" t="n">
        <x:v>2</x:v>
      </x:c>
      <x:c r="J4347" s="2" t="n">
        <x:v>1</x:v>
      </x:c>
      <x:c r="K4347" s="2" t="n">
        <x:v>1</x:v>
      </x:c>
      <x:c r="L4347" s="2" t="str">
        <x:v>Hibernating</x:v>
      </x:c>
    </x:row>
    <x:row r="4348" ht="22" customHeight="1">
      <x:c r="A4348" s="2"/>
      <x:c r="B4348" s="2" t="str">
        <x:v>16698</x:v>
      </x:c>
      <x:c r="C4348" s="2" t="str">
        <x:v>United Kingdom</x:v>
      </x:c>
      <x:c r="D4348" s="25" t="n">
        <x:v>40633.35625</x:v>
      </x:c>
      <x:c r="E4348" s="25" t="n">
        <x:v>40660.24444444444</x:v>
      </x:c>
      <x:c r="F4348" s="2" t="n">
        <x:v>227</x:v>
      </x:c>
      <x:c r="G4348" s="2" t="n">
        <x:v>2</x:v>
      </x:c>
      <x:c r="H4348" s="11" t="n">
        <x:v>1998</x:v>
      </x:c>
      <x:c r="I4348" s="2" t="n">
        <x:v>2</x:v>
      </x:c>
      <x:c r="J4348" s="2" t="n">
        <x:v>2</x:v>
      </x:c>
      <x:c r="K4348" s="2" t="n">
        <x:v>4</x:v>
      </x:c>
      <x:c r="L4348" s="2" t="str">
        <x:v>Hibernating</x:v>
      </x:c>
    </x:row>
    <x:row r="4349" ht="22" customHeight="1">
      <x:c r="A4349" s="2"/>
      <x:c r="B4349" s="2" t="str">
        <x:v>16699</x:v>
      </x:c>
      <x:c r="C4349" s="2" t="str">
        <x:v>United Kingdom</x:v>
      </x:c>
      <x:c r="D4349" s="25" t="n">
        <x:v>40151.35486111111</x:v>
      </x:c>
      <x:c r="E4349" s="25" t="n">
        <x:v>40506.40138888889</x:v>
      </x:c>
      <x:c r="F4349" s="2" t="n">
        <x:v>381</x:v>
      </x:c>
      <x:c r="G4349" s="2" t="n">
        <x:v>7</x:v>
      </x:c>
      <x:c r="H4349" s="11" t="n">
        <x:v>994.6</x:v>
      </x:c>
      <x:c r="I4349" s="2" t="n">
        <x:v>2</x:v>
      </x:c>
      <x:c r="J4349" s="2" t="n">
        <x:v>4</x:v>
      </x:c>
      <x:c r="K4349" s="2" t="n">
        <x:v>3</x:v>
      </x:c>
      <x:c r="L4349" s="2" t="str">
        <x:v>At risk</x:v>
      </x:c>
    </x:row>
    <x:row r="4350" ht="22" customHeight="1">
      <x:c r="A4350" s="2"/>
      <x:c r="B4350" s="2" t="str">
        <x:v>16700</x:v>
      </x:c>
      <x:c r="C4350" s="2" t="str">
        <x:v>United Kingdom</x:v>
      </x:c>
      <x:c r="D4350" s="25" t="n">
        <x:v>40149.24375</x:v>
      </x:c>
      <x:c r="E4350" s="25" t="n">
        <x:v>40878.25</x:v>
      </x:c>
      <x:c r="F4350" s="2" t="n">
        <x:v>9</x:v>
      </x:c>
      <x:c r="G4350" s="2" t="n">
        <x:v>25</x:v>
      </x:c>
      <x:c r="H4350" s="11" t="n">
        <x:v>8830.77</x:v>
      </x:c>
      <x:c r="I4350" s="2" t="n">
        <x:v>5</x:v>
      </x:c>
      <x:c r="J4350" s="2" t="n">
        <x:v>5</x:v>
      </x:c>
      <x:c r="K4350" s="2" t="n">
        <x:v>5</x:v>
      </x:c>
      <x:c r="L4350" s="2" t="str">
        <x:v>Champions</x:v>
      </x:c>
    </x:row>
    <x:row r="4351" ht="22" customHeight="1">
      <x:c r="A4351" s="2"/>
      <x:c r="B4351" s="2" t="str">
        <x:v>16701</x:v>
      </x:c>
      <x:c r="C4351" s="2" t="str">
        <x:v>United Kingdom</x:v>
      </x:c>
      <x:c r="D4351" s="25" t="n">
        <x:v>40148.59652777778</x:v>
      </x:c>
      <x:c r="E4351" s="25" t="n">
        <x:v>40878.256944444445</x:v>
      </x:c>
      <x:c r="F4351" s="2" t="n">
        <x:v>9</x:v>
      </x:c>
      <x:c r="G4351" s="2" t="n">
        <x:v>26</x:v>
      </x:c>
      <x:c r="H4351" s="11" t="n">
        <x:v>9916.73</x:v>
      </x:c>
      <x:c r="I4351" s="2" t="n">
        <x:v>5</x:v>
      </x:c>
      <x:c r="J4351" s="2" t="n">
        <x:v>5</x:v>
      </x:c>
      <x:c r="K4351" s="2" t="n">
        <x:v>5</x:v>
      </x:c>
      <x:c r="L4351" s="2" t="str">
        <x:v>Champions</x:v>
      </x:c>
    </x:row>
    <x:row r="4352" ht="22" customHeight="1">
      <x:c r="A4352" s="2"/>
      <x:c r="B4352" s="2" t="str">
        <x:v>16702</x:v>
      </x:c>
      <x:c r="C4352" s="2" t="str">
        <x:v>United Kingdom</x:v>
      </x:c>
      <x:c r="D4352" s="25" t="n">
        <x:v>40154.48611111111</x:v>
      </x:c>
      <x:c r="E4352" s="25" t="n">
        <x:v>40471.381944444445</x:v>
      </x:c>
      <x:c r="F4352" s="2" t="n">
        <x:v>416</x:v>
      </x:c>
      <x:c r="G4352" s="2" t="n">
        <x:v>4</x:v>
      </x:c>
      <x:c r="H4352" s="11" t="n">
        <x:v>1110.83</x:v>
      </x:c>
      <x:c r="I4352" s="2" t="n">
        <x:v>1</x:v>
      </x:c>
      <x:c r="J4352" s="2" t="n">
        <x:v>3</x:v>
      </x:c>
      <x:c r="K4352" s="2" t="n">
        <x:v>3</x:v>
      </x:c>
      <x:c r="L4352" s="2" t="str">
        <x:v>At risk</x:v>
      </x:c>
    </x:row>
    <x:row r="4353" ht="22" customHeight="1">
      <x:c r="A4353" s="2"/>
      <x:c r="B4353" s="2" t="str">
        <x:v>16704</x:v>
      </x:c>
      <x:c r="C4353" s="2" t="str">
        <x:v>United Kingdom</x:v>
      </x:c>
      <x:c r="D4353" s="25" t="n">
        <x:v>40214.384722222225</x:v>
      </x:c>
      <x:c r="E4353" s="25" t="n">
        <x:v>40268.376388888886</x:v>
      </x:c>
      <x:c r="F4353" s="2" t="n">
        <x:v>619</x:v>
      </x:c>
      <x:c r="G4353" s="2" t="n">
        <x:v>2</x:v>
      </x:c>
      <x:c r="H4353" s="11" t="n">
        <x:v>695.66</x:v>
      </x:c>
      <x:c r="I4353" s="2" t="n">
        <x:v>1</x:v>
      </x:c>
      <x:c r="J4353" s="2" t="n">
        <x:v>2</x:v>
      </x:c>
      <x:c r="K4353" s="2" t="n">
        <x:v>3</x:v>
      </x:c>
      <x:c r="L4353" s="2" t="str">
        <x:v>Hibernating</x:v>
      </x:c>
    </x:row>
    <x:row r="4354" ht="22" customHeight="1">
      <x:c r="A4354" s="2"/>
      <x:c r="B4354" s="2" t="str">
        <x:v>16705</x:v>
      </x:c>
      <x:c r="C4354" s="2" t="str">
        <x:v>United Kingdom</x:v>
      </x:c>
      <x:c r="D4354" s="25" t="n">
        <x:v>40156.356944444444</x:v>
      </x:c>
      <x:c r="E4354" s="25" t="n">
        <x:v>40886.29722222222</x:v>
      </x:c>
      <x:c r="F4354" s="2" t="n">
        <x:v>1</x:v>
      </x:c>
      <x:c r="G4354" s="2" t="n">
        <x:v>42</x:v>
      </x:c>
      <x:c r="H4354" s="11" t="n">
        <x:v>43515.051</x:v>
      </x:c>
      <x:c r="I4354" s="2" t="n">
        <x:v>5</x:v>
      </x:c>
      <x:c r="J4354" s="2" t="n">
        <x:v>5</x:v>
      </x:c>
      <x:c r="K4354" s="2" t="n">
        <x:v>5</x:v>
      </x:c>
      <x:c r="L4354" s="2" t="str">
        <x:v>Champions</x:v>
      </x:c>
    </x:row>
    <x:row r="4355" ht="22" customHeight="1">
      <x:c r="A4355" s="2"/>
      <x:c r="B4355" s="2" t="str">
        <x:v>16706</x:v>
      </x:c>
      <x:c r="C4355" s="2" t="str">
        <x:v>United Kingdom</x:v>
      </x:c>
      <x:c r="D4355" s="25" t="n">
        <x:v>40772.45347222222</x:v>
      </x:c>
      <x:c r="E4355" s="25" t="n">
        <x:v>40849.368055555555</x:v>
      </x:c>
      <x:c r="F4355" s="2" t="n">
        <x:v>38</x:v>
      </x:c>
      <x:c r="G4355" s="2" t="n">
        <x:v>3</x:v>
      </x:c>
      <x:c r="H4355" s="11" t="n">
        <x:v>531.35</x:v>
      </x:c>
      <x:c r="I4355" s="2" t="n">
        <x:v>4</x:v>
      </x:c>
      <x:c r="J4355" s="2" t="n">
        <x:v>3</x:v>
      </x:c>
      <x:c r="K4355" s="2" t="n">
        <x:v>2</x:v>
      </x:c>
      <x:c r="L4355" s="2" t="str">
        <x:v>Loyal</x:v>
      </x:c>
    </x:row>
    <x:row r="4356" ht="22" customHeight="1">
      <x:c r="A4356" s="2"/>
      <x:c r="B4356" s="2" t="str">
        <x:v>16707</x:v>
      </x:c>
      <x:c r="C4356" s="2" t="str">
        <x:v>United Kingdom</x:v>
      </x:c>
      <x:c r="D4356" s="25" t="n">
        <x:v>40246.427777777775</x:v>
      </x:c>
      <x:c r="E4356" s="25" t="n">
        <x:v>40486.402083333334</x:v>
      </x:c>
      <x:c r="F4356" s="2" t="n">
        <x:v>401</x:v>
      </x:c>
      <x:c r="G4356" s="2" t="n">
        <x:v>4</x:v>
      </x:c>
      <x:c r="H4356" s="11" t="n">
        <x:v>551.11</x:v>
      </x:c>
      <x:c r="I4356" s="2" t="n">
        <x:v>2</x:v>
      </x:c>
      <x:c r="J4356" s="2" t="n">
        <x:v>3</x:v>
      </x:c>
      <x:c r="K4356" s="2" t="n">
        <x:v>2</x:v>
      </x:c>
      <x:c r="L4356" s="2" t="str">
        <x:v>At risk</x:v>
      </x:c>
    </x:row>
    <x:row r="4357" ht="22" customHeight="1">
      <x:c r="A4357" s="2"/>
      <x:c r="B4357" s="2" t="str">
        <x:v>16708</x:v>
      </x:c>
      <x:c r="C4357" s="2" t="str">
        <x:v>United Kingdom</x:v>
      </x:c>
      <x:c r="D4357" s="25" t="n">
        <x:v>40841.305555555555</x:v>
      </x:c>
      <x:c r="E4357" s="25" t="n">
        <x:v>40841.305555555555</x:v>
      </x:c>
      <x:c r="F4357" s="2" t="n">
        <x:v>46</x:v>
      </x:c>
      <x:c r="G4357" s="2" t="n">
        <x:v>1</x:v>
      </x:c>
      <x:c r="H4357" s="11" t="n">
        <x:v>656.63</x:v>
      </x:c>
      <x:c r="I4357" s="2" t="n">
        <x:v>4</x:v>
      </x:c>
      <x:c r="J4357" s="2" t="n">
        <x:v>1</x:v>
      </x:c>
      <x:c r="K4357" s="2" t="n">
        <x:v>3</x:v>
      </x:c>
      <x:c r="L4357" s="2" t="str">
        <x:v>Recent light buyers</x:v>
      </x:c>
    </x:row>
    <x:row r="4358" ht="22" customHeight="1">
      <x:c r="A4358" s="2"/>
      <x:c r="B4358" s="2" t="str">
        <x:v>16709</x:v>
      </x:c>
      <x:c r="C4358" s="2" t="str">
        <x:v>United Kingdom</x:v>
      </x:c>
      <x:c r="D4358" s="25" t="n">
        <x:v>40156.34444444445</x:v>
      </x:c>
      <x:c r="E4358" s="25" t="n">
        <x:v>40802.24722222222</x:v>
      </x:c>
      <x:c r="F4358" s="2" t="n">
        <x:v>85</x:v>
      </x:c>
      <x:c r="G4358" s="2" t="n">
        <x:v>14</x:v>
      </x:c>
      <x:c r="H4358" s="11" t="n">
        <x:v>9087.46</x:v>
      </x:c>
      <x:c r="I4358" s="2" t="n">
        <x:v>3</x:v>
      </x:c>
      <x:c r="J4358" s="2" t="n">
        <x:v>5</x:v>
      </x:c>
      <x:c r="K4358" s="2" t="n">
        <x:v>5</x:v>
      </x:c>
      <x:c r="L4358" s="2" t="str">
        <x:v>Loyal</x:v>
      </x:c>
    </x:row>
    <x:row r="4359" ht="22" customHeight="1">
      <x:c r="A4359" s="2"/>
      <x:c r="B4359" s="2" t="str">
        <x:v>16710</x:v>
      </x:c>
      <x:c r="C4359" s="2" t="str">
        <x:v>United Kingdom</x:v>
      </x:c>
      <x:c r="D4359" s="25" t="n">
        <x:v>40151.361805555556</x:v>
      </x:c>
      <x:c r="E4359" s="25" t="n">
        <x:v>40867.40972222222</x:v>
      </x:c>
      <x:c r="F4359" s="2" t="n">
        <x:v>20</x:v>
      </x:c>
      <x:c r="G4359" s="2" t="n">
        <x:v>22</x:v>
      </x:c>
      <x:c r="H4359" s="11" t="n">
        <x:v>5973.62</x:v>
      </x:c>
      <x:c r="I4359" s="2" t="n">
        <x:v>5</x:v>
      </x:c>
      <x:c r="J4359" s="2" t="n">
        <x:v>5</x:v>
      </x:c>
      <x:c r="K4359" s="2" t="n">
        <x:v>5</x:v>
      </x:c>
      <x:c r="L4359" s="2" t="str">
        <x:v>Champions</x:v>
      </x:c>
    </x:row>
    <x:row r="4360" ht="22" customHeight="1">
      <x:c r="A4360" s="2"/>
      <x:c r="B4360" s="2" t="str">
        <x:v>16711</x:v>
      </x:c>
      <x:c r="C4360" s="2" t="str">
        <x:v>United Kingdom</x:v>
      </x:c>
      <x:c r="D4360" s="25" t="n">
        <x:v>40149.34861111111</x:v>
      </x:c>
      <x:c r="E4360" s="25" t="n">
        <x:v>40883.48055555556</x:v>
      </x:c>
      <x:c r="F4360" s="2" t="n">
        <x:v>4</x:v>
      </x:c>
      <x:c r="G4360" s="2" t="n">
        <x:v>9</x:v>
      </x:c>
      <x:c r="H4360" s="11" t="n">
        <x:v>2868.48</x:v>
      </x:c>
      <x:c r="I4360" s="2" t="n">
        <x:v>5</x:v>
      </x:c>
      <x:c r="J4360" s="2" t="n">
        <x:v>5</x:v>
      </x:c>
      <x:c r="K4360" s="2" t="n">
        <x:v>4</x:v>
      </x:c>
      <x:c r="L4360" s="2" t="str">
        <x:v>Champions</x:v>
      </x:c>
    </x:row>
    <x:row r="4361" ht="22" customHeight="1">
      <x:c r="A4361" s="2"/>
      <x:c r="B4361" s="2" t="str">
        <x:v>16712</x:v>
      </x:c>
      <x:c r="C4361" s="2" t="str">
        <x:v>United Kingdom</x:v>
      </x:c>
      <x:c r="D4361" s="25" t="n">
        <x:v>40485.447916666664</x:v>
      </x:c>
      <x:c r="E4361" s="25" t="n">
        <x:v>40877.36666666667</x:v>
      </x:c>
      <x:c r="F4361" s="2" t="n">
        <x:v>10</x:v>
      </x:c>
      <x:c r="G4361" s="2" t="n">
        <x:v>13</x:v>
      </x:c>
      <x:c r="H4361" s="11" t="n">
        <x:v>4266.99</x:v>
      </x:c>
      <x:c r="I4361" s="2" t="n">
        <x:v>5</x:v>
      </x:c>
      <x:c r="J4361" s="2" t="n">
        <x:v>5</x:v>
      </x:c>
      <x:c r="K4361" s="2" t="n">
        <x:v>5</x:v>
      </x:c>
      <x:c r="L4361" s="2" t="str">
        <x:v>Champions</x:v>
      </x:c>
    </x:row>
    <x:row r="4362" ht="22" customHeight="1">
      <x:c r="A4362" s="2"/>
      <x:c r="B4362" s="2" t="str">
        <x:v>16713</x:v>
      </x:c>
      <x:c r="C4362" s="2" t="str">
        <x:v>United Kingdom</x:v>
      </x:c>
      <x:c r="D4362" s="25" t="n">
        <x:v>40162.325694444444</x:v>
      </x:c>
      <x:c r="E4362" s="25" t="n">
        <x:v>40868.316666666666</x:v>
      </x:c>
      <x:c r="F4362" s="2" t="n">
        <x:v>19</x:v>
      </x:c>
      <x:c r="G4362" s="2" t="n">
        <x:v>32</x:v>
      </x:c>
      <x:c r="H4362" s="11" t="n">
        <x:v>14146.26</x:v>
      </x:c>
      <x:c r="I4362" s="2" t="n">
        <x:v>5</x:v>
      </x:c>
      <x:c r="J4362" s="2" t="n">
        <x:v>5</x:v>
      </x:c>
      <x:c r="K4362" s="2" t="n">
        <x:v>5</x:v>
      </x:c>
      <x:c r="L4362" s="2" t="str">
        <x:v>Champions</x:v>
      </x:c>
    </x:row>
    <x:row r="4363" ht="22" customHeight="1">
      <x:c r="A4363" s="2"/>
      <x:c r="B4363" s="2" t="str">
        <x:v>16714</x:v>
      </x:c>
      <x:c r="C4363" s="2" t="str">
        <x:v>United Kingdom</x:v>
      </x:c>
      <x:c r="D4363" s="25" t="n">
        <x:v>40216.26180555556</x:v>
      </x:c>
      <x:c r="E4363" s="25" t="n">
        <x:v>40668.25625</x:v>
      </x:c>
      <x:c r="F4363" s="2" t="n">
        <x:v>219</x:v>
      </x:c>
      <x:c r="G4363" s="2" t="n">
        <x:v>4</x:v>
      </x:c>
      <x:c r="H4363" s="11" t="n">
        <x:v>1529.8</x:v>
      </x:c>
      <x:c r="I4363" s="2" t="n">
        <x:v>2</x:v>
      </x:c>
      <x:c r="J4363" s="2" t="n">
        <x:v>3</x:v>
      </x:c>
      <x:c r="K4363" s="2" t="n">
        <x:v>4</x:v>
      </x:c>
      <x:c r="L4363" s="2" t="str">
        <x:v>At risk</x:v>
      </x:c>
    </x:row>
    <x:row r="4364" ht="22" customHeight="1">
      <x:c r="A4364" s="2"/>
      <x:c r="B4364" s="2" t="str">
        <x:v>16715</x:v>
      </x:c>
      <x:c r="C4364" s="2" t="str">
        <x:v>United Kingdom</x:v>
      </x:c>
      <x:c r="D4364" s="25" t="n">
        <x:v>40324.31597222222</x:v>
      </x:c>
      <x:c r="E4364" s="25" t="n">
        <x:v>40808.552083333336</x:v>
      </x:c>
      <x:c r="F4364" s="2" t="n">
        <x:v>79</x:v>
      </x:c>
      <x:c r="G4364" s="2" t="n">
        <x:v>2</x:v>
      </x:c>
      <x:c r="H4364" s="11" t="n">
        <x:v>625.52</x:v>
      </x:c>
      <x:c r="I4364" s="2" t="n">
        <x:v>3</x:v>
      </x:c>
      <x:c r="J4364" s="2" t="n">
        <x:v>2</x:v>
      </x:c>
      <x:c r="K4364" s="2" t="n">
        <x:v>3</x:v>
      </x:c>
      <x:c r="L4364" s="2" t="str">
        <x:v>Developing</x:v>
      </x:c>
    </x:row>
    <x:row r="4365" ht="22" customHeight="1">
      <x:c r="A4365" s="2"/>
      <x:c r="B4365" s="2" t="str">
        <x:v>16716</x:v>
      </x:c>
      <x:c r="C4365" s="2" t="str">
        <x:v>United Kingdom</x:v>
      </x:c>
      <x:c r="D4365" s="25" t="n">
        <x:v>40256.25347222222</x:v>
      </x:c>
      <x:c r="E4365" s="25" t="n">
        <x:v>40620.21041666667</x:v>
      </x:c>
      <x:c r="F4365" s="2" t="n">
        <x:v>267</x:v>
      </x:c>
      <x:c r="G4365" s="2" t="n">
        <x:v>3</x:v>
      </x:c>
      <x:c r="H4365" s="11" t="n">
        <x:v>2149.68</x:v>
      </x:c>
      <x:c r="I4365" s="2" t="n">
        <x:v>2</x:v>
      </x:c>
      <x:c r="J4365" s="2" t="n">
        <x:v>3</x:v>
      </x:c>
      <x:c r="K4365" s="2" t="n">
        <x:v>4</x:v>
      </x:c>
      <x:c r="L4365" s="2" t="str">
        <x:v>At risk</x:v>
      </x:c>
    </x:row>
    <x:row r="4366" ht="22" customHeight="1">
      <x:c r="A4366" s="2"/>
      <x:c r="B4366" s="2" t="str">
        <x:v>16717</x:v>
      </x:c>
      <x:c r="C4366" s="2" t="str">
        <x:v>United Kingdom</x:v>
      </x:c>
      <x:c r="D4366" s="25" t="n">
        <x:v>40154.45486111111</x:v>
      </x:c>
      <x:c r="E4366" s="25" t="n">
        <x:v>40863.302777777775</x:v>
      </x:c>
      <x:c r="F4366" s="2" t="n">
        <x:v>24</x:v>
      </x:c>
      <x:c r="G4366" s="2" t="n">
        <x:v>14</x:v>
      </x:c>
      <x:c r="H4366" s="11" t="n">
        <x:v>6678.98</x:v>
      </x:c>
      <x:c r="I4366" s="2" t="n">
        <x:v>4</x:v>
      </x:c>
      <x:c r="J4366" s="2" t="n">
        <x:v>5</x:v>
      </x:c>
      <x:c r="K4366" s="2" t="n">
        <x:v>5</x:v>
      </x:c>
      <x:c r="L4366" s="2" t="str">
        <x:v>Champions</x:v>
      </x:c>
    </x:row>
    <x:row r="4367" ht="22" customHeight="1">
      <x:c r="A4367" s="2"/>
      <x:c r="B4367" s="2" t="str">
        <x:v>16718</x:v>
      </x:c>
      <x:c r="C4367" s="2" t="str">
        <x:v>United Kingdom</x:v>
      </x:c>
      <x:c r="D4367" s="25" t="n">
        <x:v>40153.33819444444</x:v>
      </x:c>
      <x:c r="E4367" s="25" t="n">
        <x:v>40517.33541666667</x:v>
      </x:c>
      <x:c r="F4367" s="2" t="n">
        <x:v>370</x:v>
      </x:c>
      <x:c r="G4367" s="2" t="n">
        <x:v>5</x:v>
      </x:c>
      <x:c r="H4367" s="11" t="n">
        <x:v>3023.78</x:v>
      </x:c>
      <x:c r="I4367" s="2" t="n">
        <x:v>2</x:v>
      </x:c>
      <x:c r="J4367" s="2" t="n">
        <x:v>4</x:v>
      </x:c>
      <x:c r="K4367" s="2" t="n">
        <x:v>5</x:v>
      </x:c>
      <x:c r="L4367" s="2" t="str">
        <x:v>At risk</x:v>
      </x:c>
    </x:row>
    <x:row r="4368" ht="22" customHeight="1">
      <x:c r="A4368" s="2"/>
      <x:c r="B4368" s="2" t="str">
        <x:v>16719</x:v>
      </x:c>
      <x:c r="C4368" s="2" t="str">
        <x:v>United Kingdom</x:v>
      </x:c>
      <x:c r="D4368" s="25" t="n">
        <x:v>40160.24930555555</x:v>
      </x:c>
      <x:c r="E4368" s="25" t="n">
        <x:v>40872.18541666667</x:v>
      </x:c>
      <x:c r="F4368" s="2" t="n">
        <x:v>15</x:v>
      </x:c>
      <x:c r="G4368" s="2" t="n">
        <x:v>14</x:v>
      </x:c>
      <x:c r="H4368" s="11" t="n">
        <x:v>3542.57</x:v>
      </x:c>
      <x:c r="I4368" s="2" t="n">
        <x:v>5</x:v>
      </x:c>
      <x:c r="J4368" s="2" t="n">
        <x:v>5</x:v>
      </x:c>
      <x:c r="K4368" s="2" t="n">
        <x:v>5</x:v>
      </x:c>
      <x:c r="L4368" s="2" t="str">
        <x:v>Champions</x:v>
      </x:c>
    </x:row>
    <x:row r="4369" ht="22" customHeight="1">
      <x:c r="A4369" s="2"/>
      <x:c r="B4369" s="2" t="str">
        <x:v>16720</x:v>
      </x:c>
      <x:c r="C4369" s="2" t="str">
        <x:v>United Kingdom</x:v>
      </x:c>
      <x:c r="D4369" s="25" t="n">
        <x:v>40164.5375</x:v>
      </x:c>
      <x:c r="E4369" s="25" t="n">
        <x:v>40860.47361111111</x:v>
      </x:c>
      <x:c r="F4369" s="2" t="n">
        <x:v>27</x:v>
      </x:c>
      <x:c r="G4369" s="2" t="n">
        <x:v>3</x:v>
      </x:c>
      <x:c r="H4369" s="11" t="n">
        <x:v>795.48</x:v>
      </x:c>
      <x:c r="I4369" s="2" t="n">
        <x:v>4</x:v>
      </x:c>
      <x:c r="J4369" s="2" t="n">
        <x:v>3</x:v>
      </x:c>
      <x:c r="K4369" s="2" t="n">
        <x:v>3</x:v>
      </x:c>
      <x:c r="L4369" s="2" t="str">
        <x:v>Loyal</x:v>
      </x:c>
    </x:row>
    <x:row r="4370" ht="22" customHeight="1">
      <x:c r="A4370" s="2"/>
      <x:c r="B4370" s="2" t="str">
        <x:v>16721</x:v>
      </x:c>
      <x:c r="C4370" s="2" t="str">
        <x:v>United Kingdom</x:v>
      </x:c>
      <x:c r="D4370" s="25" t="n">
        <x:v>40624.46388888889</x:v>
      </x:c>
      <x:c r="E4370" s="25" t="n">
        <x:v>40624.46388888889</x:v>
      </x:c>
      <x:c r="F4370" s="2" t="n">
        <x:v>263</x:v>
      </x:c>
      <x:c r="G4370" s="2" t="n">
        <x:v>1</x:v>
      </x:c>
      <x:c r="H4370" s="11" t="n">
        <x:v>292.47</x:v>
      </x:c>
      <x:c r="I4370" s="2" t="n">
        <x:v>2</x:v>
      </x:c>
      <x:c r="J4370" s="2" t="n">
        <x:v>1</x:v>
      </x:c>
      <x:c r="K4370" s="2" t="n">
        <x:v>2</x:v>
      </x:c>
      <x:c r="L4370" s="2" t="str">
        <x:v>Hibernating</x:v>
      </x:c>
    </x:row>
    <x:row r="4371" ht="22" customHeight="1">
      <x:c r="A4371" s="2"/>
      <x:c r="B4371" s="2" t="str">
        <x:v>16722</x:v>
      </x:c>
      <x:c r="C4371" s="2" t="str">
        <x:v>United Kingdom</x:v>
      </x:c>
      <x:c r="D4371" s="25" t="n">
        <x:v>40150.59930555556</x:v>
      </x:c>
      <x:c r="E4371" s="25" t="n">
        <x:v>40869.35277777778</x:v>
      </x:c>
      <x:c r="F4371" s="2" t="n">
        <x:v>18</x:v>
      </x:c>
      <x:c r="G4371" s="2" t="n">
        <x:v>22</x:v>
      </x:c>
      <x:c r="H4371" s="11" t="n">
        <x:v>8189.56</x:v>
      </x:c>
      <x:c r="I4371" s="2" t="n">
        <x:v>5</x:v>
      </x:c>
      <x:c r="J4371" s="2" t="n">
        <x:v>5</x:v>
      </x:c>
      <x:c r="K4371" s="2" t="n">
        <x:v>5</x:v>
      </x:c>
      <x:c r="L4371" s="2" t="str">
        <x:v>Champions</x:v>
      </x:c>
    </x:row>
    <x:row r="4372" ht="22" customHeight="1">
      <x:c r="A4372" s="2"/>
      <x:c r="B4372" s="2" t="str">
        <x:v>16723</x:v>
      </x:c>
      <x:c r="C4372" s="2" t="str">
        <x:v>United Kingdom</x:v>
      </x:c>
      <x:c r="D4372" s="25" t="n">
        <x:v>40151.34930555556</x:v>
      </x:c>
      <x:c r="E4372" s="25" t="n">
        <x:v>40795.334027777775</x:v>
      </x:c>
      <x:c r="F4372" s="2" t="n">
        <x:v>92</x:v>
      </x:c>
      <x:c r="G4372" s="2" t="n">
        <x:v>4</x:v>
      </x:c>
      <x:c r="H4372" s="11" t="n">
        <x:v>1301.63</x:v>
      </x:c>
      <x:c r="I4372" s="2" t="n">
        <x:v>3</x:v>
      </x:c>
      <x:c r="J4372" s="2" t="n">
        <x:v>3</x:v>
      </x:c>
      <x:c r="K4372" s="2" t="n">
        <x:v>4</x:v>
      </x:c>
      <x:c r="L4372" s="2" t="str">
        <x:v>Loyal</x:v>
      </x:c>
    </x:row>
    <x:row r="4373" ht="22" customHeight="1">
      <x:c r="A4373" s="2"/>
      <x:c r="B4373" s="2" t="str">
        <x:v>16724</x:v>
      </x:c>
      <x:c r="C4373" s="2" t="str">
        <x:v>United Kingdom</x:v>
      </x:c>
      <x:c r="D4373" s="25" t="n">
        <x:v>40482.27777777778</x:v>
      </x:c>
      <x:c r="E4373" s="25" t="n">
        <x:v>40482.27777777778</x:v>
      </x:c>
      <x:c r="F4373" s="2" t="n">
        <x:v>405</x:v>
      </x:c>
      <x:c r="G4373" s="2" t="n">
        <x:v>1</x:v>
      </x:c>
      <x:c r="H4373" s="11" t="n">
        <x:v>147.35</x:v>
      </x:c>
      <x:c r="I4373" s="2" t="n">
        <x:v>2</x:v>
      </x:c>
      <x:c r="J4373" s="2" t="n">
        <x:v>1</x:v>
      </x:c>
      <x:c r="K4373" s="2" t="n">
        <x:v>1</x:v>
      </x:c>
      <x:c r="L4373" s="2" t="str">
        <x:v>Hibernating</x:v>
      </x:c>
    </x:row>
    <x:row r="4374" ht="22" customHeight="1">
      <x:c r="A4374" s="2"/>
      <x:c r="B4374" s="2" t="str">
        <x:v>16725</x:v>
      </x:c>
      <x:c r="C4374" s="2" t="str">
        <x:v>United Kingdom</x:v>
      </x:c>
      <x:c r="D4374" s="25" t="n">
        <x:v>40160.45416666667</x:v>
      </x:c>
      <x:c r="E4374" s="25" t="n">
        <x:v>40584.49444444444</x:v>
      </x:c>
      <x:c r="F4374" s="2" t="n">
        <x:v>303</x:v>
      </x:c>
      <x:c r="G4374" s="2" t="n">
        <x:v>14</x:v>
      </x:c>
      <x:c r="H4374" s="11" t="n">
        <x:v>1759.96</x:v>
      </x:c>
      <x:c r="I4374" s="2" t="n">
        <x:v>2</x:v>
      </x:c>
      <x:c r="J4374" s="2" t="n">
        <x:v>5</x:v>
      </x:c>
      <x:c r="K4374" s="2" t="n">
        <x:v>4</x:v>
      </x:c>
      <x:c r="L4374" s="2" t="str">
        <x:v>At risk</x:v>
      </x:c>
    </x:row>
    <x:row r="4375" ht="22" customHeight="1">
      <x:c r="A4375" s="2"/>
      <x:c r="B4375" s="2" t="str">
        <x:v>16726</x:v>
      </x:c>
      <x:c r="C4375" s="2" t="str">
        <x:v>United Kingdom</x:v>
      </x:c>
      <x:c r="D4375" s="25" t="n">
        <x:v>40475.464583333334</x:v>
      </x:c>
      <x:c r="E4375" s="25" t="n">
        <x:v>40860.41180555556</x:v>
      </x:c>
      <x:c r="F4375" s="2" t="n">
        <x:v>27</x:v>
      </x:c>
      <x:c r="G4375" s="2" t="n">
        <x:v>7</x:v>
      </x:c>
      <x:c r="H4375" s="11" t="n">
        <x:v>2088.41</x:v>
      </x:c>
      <x:c r="I4375" s="2" t="n">
        <x:v>4</x:v>
      </x:c>
      <x:c r="J4375" s="2" t="n">
        <x:v>4</x:v>
      </x:c>
      <x:c r="K4375" s="2" t="n">
        <x:v>4</x:v>
      </x:c>
      <x:c r="L4375" s="2" t="str">
        <x:v>Champions</x:v>
      </x:c>
    </x:row>
    <x:row r="4376" ht="22" customHeight="1">
      <x:c r="A4376" s="2"/>
      <x:c r="B4376" s="2" t="str">
        <x:v>16727</x:v>
      </x:c>
      <x:c r="C4376" s="2" t="str">
        <x:v>United Kingdom</x:v>
      </x:c>
      <x:c r="D4376" s="25" t="n">
        <x:v>40198.24166666667</x:v>
      </x:c>
      <x:c r="E4376" s="25" t="n">
        <x:v>40522.36666666667</x:v>
      </x:c>
      <x:c r="F4376" s="2" t="n">
        <x:v>365</x:v>
      </x:c>
      <x:c r="G4376" s="2" t="n">
        <x:v>4</x:v>
      </x:c>
      <x:c r="H4376" s="11" t="n">
        <x:v>1437.42</x:v>
      </x:c>
      <x:c r="I4376" s="2" t="n">
        <x:v>2</x:v>
      </x:c>
      <x:c r="J4376" s="2" t="n">
        <x:v>3</x:v>
      </x:c>
      <x:c r="K4376" s="2" t="n">
        <x:v>4</x:v>
      </x:c>
      <x:c r="L4376" s="2" t="str">
        <x:v>At risk</x:v>
      </x:c>
    </x:row>
    <x:row r="4377" ht="22" customHeight="1">
      <x:c r="A4377" s="2"/>
      <x:c r="B4377" s="2" t="str">
        <x:v>16728</x:v>
      </x:c>
      <x:c r="C4377" s="2" t="str">
        <x:v>United Kingdom</x:v>
      </x:c>
      <x:c r="D4377" s="25" t="n">
        <x:v>40622.35277777778</x:v>
      </x:c>
      <x:c r="E4377" s="25" t="n">
        <x:v>40840.4</x:v>
      </x:c>
      <x:c r="F4377" s="2" t="n">
        <x:v>47</x:v>
      </x:c>
      <x:c r="G4377" s="2" t="n">
        <x:v>4</x:v>
      </x:c>
      <x:c r="H4377" s="11" t="n">
        <x:v>1054.67</x:v>
      </x:c>
      <x:c r="I4377" s="2" t="n">
        <x:v>4</x:v>
      </x:c>
      <x:c r="J4377" s="2" t="n">
        <x:v>3</x:v>
      </x:c>
      <x:c r="K4377" s="2" t="n">
        <x:v>3</x:v>
      </x:c>
      <x:c r="L4377" s="2" t="str">
        <x:v>Loyal</x:v>
      </x:c>
    </x:row>
    <x:row r="4378" ht="22" customHeight="1">
      <x:c r="A4378" s="2"/>
      <x:c r="B4378" s="2" t="str">
        <x:v>16729</x:v>
      </x:c>
      <x:c r="C4378" s="2" t="str">
        <x:v>United Kingdom</x:v>
      </x:c>
      <x:c r="D4378" s="25" t="n">
        <x:v>40645.39027777778</x:v>
      </x:c>
      <x:c r="E4378" s="25" t="n">
        <x:v>40848.39513888889</x:v>
      </x:c>
      <x:c r="F4378" s="2" t="n">
        <x:v>39</x:v>
      </x:c>
      <x:c r="G4378" s="2" t="n">
        <x:v>21</x:v>
      </x:c>
      <x:c r="H4378" s="11" t="n">
        <x:v>7239.92</x:v>
      </x:c>
      <x:c r="I4378" s="2" t="n">
        <x:v>4</x:v>
      </x:c>
      <x:c r="J4378" s="2" t="n">
        <x:v>5</x:v>
      </x:c>
      <x:c r="K4378" s="2" t="n">
        <x:v>5</x:v>
      </x:c>
      <x:c r="L4378" s="2" t="str">
        <x:v>Champions</x:v>
      </x:c>
    </x:row>
    <x:row r="4379" ht="22" customHeight="1">
      <x:c r="A4379" s="2"/>
      <x:c r="B4379" s="2" t="str">
        <x:v>16730</x:v>
      </x:c>
      <x:c r="C4379" s="2" t="str">
        <x:v>United Kingdom</x:v>
      </x:c>
      <x:c r="D4379" s="25" t="n">
        <x:v>40567.37569444445</x:v>
      </x:c>
      <x:c r="E4379" s="25" t="n">
        <x:v>40834.38263888889</x:v>
      </x:c>
      <x:c r="F4379" s="2" t="n">
        <x:v>53</x:v>
      </x:c>
      <x:c r="G4379" s="2" t="n">
        <x:v>3</x:v>
      </x:c>
      <x:c r="H4379" s="11" t="n">
        <x:v>743.11</x:v>
      </x:c>
      <x:c r="I4379" s="2" t="n">
        <x:v>4</x:v>
      </x:c>
      <x:c r="J4379" s="2" t="n">
        <x:v>3</x:v>
      </x:c>
      <x:c r="K4379" s="2" t="n">
        <x:v>3</x:v>
      </x:c>
      <x:c r="L4379" s="2" t="str">
        <x:v>Loyal</x:v>
      </x:c>
    </x:row>
    <x:row r="4380" ht="22" customHeight="1">
      <x:c r="A4380" s="2"/>
      <x:c r="B4380" s="2" t="str">
        <x:v>16731</x:v>
      </x:c>
      <x:c r="C4380" s="2" t="str">
        <x:v>United Kingdom</x:v>
      </x:c>
      <x:c r="D4380" s="25" t="n">
        <x:v>40238.42013888889</x:v>
      </x:c>
      <x:c r="E4380" s="25" t="n">
        <x:v>40238.42013888889</x:v>
      </x:c>
      <x:c r="F4380" s="2" t="n">
        <x:v>649</x:v>
      </x:c>
      <x:c r="G4380" s="2" t="n">
        <x:v>1</x:v>
      </x:c>
      <x:c r="H4380" s="11" t="n">
        <x:v>174.05</x:v>
      </x:c>
      <x:c r="I4380" s="2" t="n">
        <x:v>1</x:v>
      </x:c>
      <x:c r="J4380" s="2" t="n">
        <x:v>1</x:v>
      </x:c>
      <x:c r="K4380" s="2" t="n">
        <x:v>1</x:v>
      </x:c>
      <x:c r="L4380" s="2" t="str">
        <x:v>Hibernating</x:v>
      </x:c>
    </x:row>
    <x:row r="4381" ht="22" customHeight="1">
      <x:c r="A4381" s="2"/>
      <x:c r="B4381" s="2" t="str">
        <x:v>16732</x:v>
      </x:c>
      <x:c r="C4381" s="2" t="str">
        <x:v>United Kingdom</x:v>
      </x:c>
      <x:c r="D4381" s="25" t="n">
        <x:v>40155.33611111111</x:v>
      </x:c>
      <x:c r="E4381" s="25" t="n">
        <x:v>40855.20416666667</x:v>
      </x:c>
      <x:c r="F4381" s="2" t="n">
        <x:v>32</x:v>
      </x:c>
      <x:c r="G4381" s="2" t="n">
        <x:v>4</x:v>
      </x:c>
      <x:c r="H4381" s="11" t="n">
        <x:v>4387.64</x:v>
      </x:c>
      <x:c r="I4381" s="2" t="n">
        <x:v>4</x:v>
      </x:c>
      <x:c r="J4381" s="2" t="n">
        <x:v>3</x:v>
      </x:c>
      <x:c r="K4381" s="2" t="n">
        <x:v>5</x:v>
      </x:c>
      <x:c r="L4381" s="2" t="str">
        <x:v>Loyal</x:v>
      </x:c>
    </x:row>
    <x:row r="4382" ht="22" customHeight="1">
      <x:c r="A4382" s="2"/>
      <x:c r="B4382" s="2" t="str">
        <x:v>16733</x:v>
      </x:c>
      <x:c r="C4382" s="2" t="str">
        <x:v>United Kingdom</x:v>
      </x:c>
      <x:c r="D4382" s="25" t="n">
        <x:v>40357.21666666667</x:v>
      </x:c>
      <x:c r="E4382" s="25" t="n">
        <x:v>40357.21666666667</x:v>
      </x:c>
      <x:c r="F4382" s="2" t="n">
        <x:v>530</x:v>
      </x:c>
      <x:c r="G4382" s="2" t="n">
        <x:v>1</x:v>
      </x:c>
      <x:c r="H4382" s="11" t="n">
        <x:v>259.68</x:v>
      </x:c>
      <x:c r="I4382" s="2" t="n">
        <x:v>1</x:v>
      </x:c>
      <x:c r="J4382" s="2" t="n">
        <x:v>1</x:v>
      </x:c>
      <x:c r="K4382" s="2" t="n">
        <x:v>1</x:v>
      </x:c>
      <x:c r="L4382" s="2" t="str">
        <x:v>Hibernating</x:v>
      </x:c>
    </x:row>
    <x:row r="4383" ht="22" customHeight="1">
      <x:c r="A4383" s="2"/>
      <x:c r="B4383" s="2" t="str">
        <x:v>16734</x:v>
      </x:c>
      <x:c r="C4383" s="2" t="str">
        <x:v>United Kingdom</x:v>
      </x:c>
      <x:c r="D4383" s="25" t="n">
        <x:v>40772.416666666664</x:v>
      </x:c>
      <x:c r="E4383" s="25" t="n">
        <x:v>40834.36388888889</x:v>
      </x:c>
      <x:c r="F4383" s="2" t="n">
        <x:v>53</x:v>
      </x:c>
      <x:c r="G4383" s="2" t="n">
        <x:v>3</x:v>
      </x:c>
      <x:c r="H4383" s="11" t="n">
        <x:v>650.51</x:v>
      </x:c>
      <x:c r="I4383" s="2" t="n">
        <x:v>4</x:v>
      </x:c>
      <x:c r="J4383" s="2" t="n">
        <x:v>3</x:v>
      </x:c>
      <x:c r="K4383" s="2" t="n">
        <x:v>3</x:v>
      </x:c>
      <x:c r="L4383" s="2" t="str">
        <x:v>Loyal</x:v>
      </x:c>
    </x:row>
    <x:row r="4384" ht="22" customHeight="1">
      <x:c r="A4384" s="2"/>
      <x:c r="B4384" s="2" t="str">
        <x:v>16735</x:v>
      </x:c>
      <x:c r="C4384" s="2" t="str">
        <x:v>United Kingdom</x:v>
      </x:c>
      <x:c r="D4384" s="25" t="n">
        <x:v>40155.183333333334</x:v>
      </x:c>
      <x:c r="E4384" s="25" t="n">
        <x:v>40808.28402777778</x:v>
      </x:c>
      <x:c r="F4384" s="2" t="n">
        <x:v>79</x:v>
      </x:c>
      <x:c r="G4384" s="2" t="n">
        <x:v>14</x:v>
      </x:c>
      <x:c r="H4384" s="11" t="n">
        <x:v>6270.56</x:v>
      </x:c>
      <x:c r="I4384" s="2" t="n">
        <x:v>3</x:v>
      </x:c>
      <x:c r="J4384" s="2" t="n">
        <x:v>5</x:v>
      </x:c>
      <x:c r="K4384" s="2" t="n">
        <x:v>5</x:v>
      </x:c>
      <x:c r="L4384" s="2" t="str">
        <x:v>Loyal</x:v>
      </x:c>
    </x:row>
    <x:row r="4385" ht="22" customHeight="1">
      <x:c r="A4385" s="2"/>
      <x:c r="B4385" s="2" t="str">
        <x:v>16736</x:v>
      </x:c>
      <x:c r="C4385" s="2" t="str">
        <x:v>United Kingdom</x:v>
      </x:c>
      <x:c r="D4385" s="25" t="n">
        <x:v>40150.46666666667</x:v>
      </x:c>
      <x:c r="E4385" s="25" t="n">
        <x:v>40381.214583333334</x:v>
      </x:c>
      <x:c r="F4385" s="2" t="n">
        <x:v>506</x:v>
      </x:c>
      <x:c r="G4385" s="2" t="n">
        <x:v>5</x:v>
      </x:c>
      <x:c r="H4385" s="11" t="n">
        <x:v>2956.56</x:v>
      </x:c>
      <x:c r="I4385" s="2" t="n">
        <x:v>1</x:v>
      </x:c>
      <x:c r="J4385" s="2" t="n">
        <x:v>4</x:v>
      </x:c>
      <x:c r="K4385" s="2" t="n">
        <x:v>5</x:v>
      </x:c>
      <x:c r="L4385" s="2" t="str">
        <x:v>At risk</x:v>
      </x:c>
    </x:row>
    <x:row r="4386" ht="22" customHeight="1">
      <x:c r="A4386" s="2"/>
      <x:c r="B4386" s="2" t="str">
        <x:v>16737</x:v>
      </x:c>
      <x:c r="C4386" s="2" t="str">
        <x:v>United Kingdom</x:v>
      </x:c>
      <x:c r="D4386" s="25" t="n">
        <x:v>40309.20347222222</x:v>
      </x:c>
      <x:c r="E4386" s="25" t="n">
        <x:v>40833.33541666667</x:v>
      </x:c>
      <x:c r="F4386" s="2" t="n">
        <x:v>54</x:v>
      </x:c>
      <x:c r="G4386" s="2" t="n">
        <x:v>2</x:v>
      </x:c>
      <x:c r="H4386" s="11" t="n">
        <x:v>835.2</x:v>
      </x:c>
      <x:c r="I4386" s="2" t="n">
        <x:v>4</x:v>
      </x:c>
      <x:c r="J4386" s="2" t="n">
        <x:v>2</x:v>
      </x:c>
      <x:c r="K4386" s="2" t="n">
        <x:v>3</x:v>
      </x:c>
      <x:c r="L4386" s="2" t="str">
        <x:v>Recent light buyers</x:v>
      </x:c>
    </x:row>
    <x:row r="4387" ht="22" customHeight="1">
      <x:c r="A4387" s="2"/>
      <x:c r="B4387" s="2" t="str">
        <x:v>16738</x:v>
      </x:c>
      <x:c r="C4387" s="2" t="str">
        <x:v>United Kingdom</x:v>
      </x:c>
      <x:c r="D4387" s="25" t="n">
        <x:v>40589.19861111111</x:v>
      </x:c>
      <x:c r="E4387" s="25" t="n">
        <x:v>40589.19861111111</x:v>
      </x:c>
      <x:c r="F4387" s="2" t="n">
        <x:v>298</x:v>
      </x:c>
      <x:c r="G4387" s="2" t="n">
        <x:v>1</x:v>
      </x:c>
      <x:c r="H4387" s="11" t="n">
        <x:v>3.75</x:v>
      </x:c>
      <x:c r="I4387" s="2" t="n">
        <x:v>2</x:v>
      </x:c>
      <x:c r="J4387" s="2" t="n">
        <x:v>1</x:v>
      </x:c>
      <x:c r="K4387" s="2" t="n">
        <x:v>1</x:v>
      </x:c>
      <x:c r="L4387" s="2" t="str">
        <x:v>Hibernating</x:v>
      </x:c>
    </x:row>
    <x:row r="4388" ht="22" customHeight="1">
      <x:c r="A4388" s="2"/>
      <x:c r="B4388" s="2" t="str">
        <x:v>16739</x:v>
      </x:c>
      <x:c r="C4388" s="2" t="str">
        <x:v>United Kingdom</x:v>
      </x:c>
      <x:c r="D4388" s="25" t="n">
        <x:v>40350.19305555556</x:v>
      </x:c>
      <x:c r="E4388" s="25" t="n">
        <x:v>40710.17847222222</x:v>
      </x:c>
      <x:c r="F4388" s="2" t="n">
        <x:v>177</x:v>
      </x:c>
      <x:c r="G4388" s="2" t="n">
        <x:v>2</x:v>
      </x:c>
      <x:c r="H4388" s="11" t="n">
        <x:v>786.43</x:v>
      </x:c>
      <x:c r="I4388" s="2" t="n">
        <x:v>3</x:v>
      </x:c>
      <x:c r="J4388" s="2" t="n">
        <x:v>2</x:v>
      </x:c>
      <x:c r="K4388" s="2" t="n">
        <x:v>3</x:v>
      </x:c>
      <x:c r="L4388" s="2" t="str">
        <x:v>Developing</x:v>
      </x:c>
    </x:row>
    <x:row r="4389" ht="22" customHeight="1">
      <x:c r="A4389" s="2"/>
      <x:c r="B4389" s="2" t="str">
        <x:v>16740</x:v>
      </x:c>
      <x:c r="C4389" s="2" t="str">
        <x:v>United Kingdom</x:v>
      </x:c>
      <x:c r="D4389" s="25" t="n">
        <x:v>40491.356944444444</x:v>
      </x:c>
      <x:c r="E4389" s="25" t="n">
        <x:v>40491.356944444444</x:v>
      </x:c>
      <x:c r="F4389" s="2" t="n">
        <x:v>396</x:v>
      </x:c>
      <x:c r="G4389" s="2" t="n">
        <x:v>1</x:v>
      </x:c>
      <x:c r="H4389" s="11" t="n">
        <x:v>236.81</x:v>
      </x:c>
      <x:c r="I4389" s="2" t="n">
        <x:v>2</x:v>
      </x:c>
      <x:c r="J4389" s="2" t="n">
        <x:v>1</x:v>
      </x:c>
      <x:c r="K4389" s="2" t="n">
        <x:v>1</x:v>
      </x:c>
      <x:c r="L4389" s="2" t="str">
        <x:v>Hibernating</x:v>
      </x:c>
    </x:row>
    <x:row r="4390" ht="22" customHeight="1">
      <x:c r="A4390" s="2"/>
      <x:c r="B4390" s="2" t="str">
        <x:v>16741</x:v>
      </x:c>
      <x:c r="C4390" s="2" t="str">
        <x:v>United Kingdom</x:v>
      </x:c>
      <x:c r="D4390" s="25" t="n">
        <x:v>40261.427083333336</x:v>
      </x:c>
      <x:c r="E4390" s="25" t="n">
        <x:v>40261.427083333336</x:v>
      </x:c>
      <x:c r="F4390" s="2" t="n">
        <x:v>626</x:v>
      </x:c>
      <x:c r="G4390" s="2" t="n">
        <x:v>1</x:v>
      </x:c>
      <x:c r="H4390" s="11" t="n">
        <x:v>173.06</x:v>
      </x:c>
      <x:c r="I4390" s="2" t="n">
        <x:v>1</x:v>
      </x:c>
      <x:c r="J4390" s="2" t="n">
        <x:v>1</x:v>
      </x:c>
      <x:c r="K4390" s="2" t="n">
        <x:v>1</x:v>
      </x:c>
      <x:c r="L4390" s="2" t="str">
        <x:v>Hibernating</x:v>
      </x:c>
    </x:row>
    <x:row r="4391" ht="22" customHeight="1">
      <x:c r="A4391" s="2"/>
      <x:c r="B4391" s="2" t="str">
        <x:v>16742</x:v>
      </x:c>
      <x:c r="C4391" s="2" t="str">
        <x:v>United Kingdom</x:v>
      </x:c>
      <x:c r="D4391" s="25" t="n">
        <x:v>40163.51527777778</x:v>
      </x:c>
      <x:c r="E4391" s="25" t="n">
        <x:v>40840.29305555556</x:v>
      </x:c>
      <x:c r="F4391" s="2" t="n">
        <x:v>47</x:v>
      </x:c>
      <x:c r="G4391" s="2" t="n">
        <x:v>14</x:v>
      </x:c>
      <x:c r="H4391" s="11" t="n">
        <x:v>2852.61</x:v>
      </x:c>
      <x:c r="I4391" s="2" t="n">
        <x:v>4</x:v>
      </x:c>
      <x:c r="J4391" s="2" t="n">
        <x:v>5</x:v>
      </x:c>
      <x:c r="K4391" s="2" t="n">
        <x:v>4</x:v>
      </x:c>
      <x:c r="L4391" s="2" t="str">
        <x:v>Champions</x:v>
      </x:c>
    </x:row>
    <x:row r="4392" ht="22" customHeight="1">
      <x:c r="A4392" s="2"/>
      <x:c r="B4392" s="2" t="str">
        <x:v>16743</x:v>
      </x:c>
      <x:c r="C4392" s="2" t="str">
        <x:v>United Kingdom</x:v>
      </x:c>
      <x:c r="D4392" s="25" t="n">
        <x:v>40290.347916666666</x:v>
      </x:c>
      <x:c r="E4392" s="25" t="n">
        <x:v>40857.342361111114</x:v>
      </x:c>
      <x:c r="F4392" s="2" t="n">
        <x:v>30</x:v>
      </x:c>
      <x:c r="G4392" s="2" t="n">
        <x:v>14</x:v>
      </x:c>
      <x:c r="H4392" s="11" t="n">
        <x:v>4253.26</x:v>
      </x:c>
      <x:c r="I4392" s="2" t="n">
        <x:v>4</x:v>
      </x:c>
      <x:c r="J4392" s="2" t="n">
        <x:v>5</x:v>
      </x:c>
      <x:c r="K4392" s="2" t="n">
        <x:v>5</x:v>
      </x:c>
      <x:c r="L4392" s="2" t="str">
        <x:v>Champions</x:v>
      </x:c>
    </x:row>
    <x:row r="4393" ht="22" customHeight="1">
      <x:c r="A4393" s="2"/>
      <x:c r="B4393" s="2" t="str">
        <x:v>16744</x:v>
      </x:c>
      <x:c r="C4393" s="2" t="str">
        <x:v>United Kingdom</x:v>
      </x:c>
      <x:c r="D4393" s="25" t="n">
        <x:v>40713.42569444444</x:v>
      </x:c>
      <x:c r="E4393" s="25" t="n">
        <x:v>40875.3375</x:v>
      </x:c>
      <x:c r="F4393" s="2" t="n">
        <x:v>12</x:v>
      </x:c>
      <x:c r="G4393" s="2" t="n">
        <x:v>7</x:v>
      </x:c>
      <x:c r="H4393" s="11" t="n">
        <x:v>1304.76</x:v>
      </x:c>
      <x:c r="I4393" s="2" t="n">
        <x:v>5</x:v>
      </x:c>
      <x:c r="J4393" s="2" t="n">
        <x:v>4</x:v>
      </x:c>
      <x:c r="K4393" s="2" t="n">
        <x:v>4</x:v>
      </x:c>
      <x:c r="L4393" s="2" t="str">
        <x:v>Champions</x:v>
      </x:c>
    </x:row>
    <x:row r="4394" ht="22" customHeight="1">
      <x:c r="A4394" s="2"/>
      <x:c r="B4394" s="2" t="str">
        <x:v>16745</x:v>
      </x:c>
      <x:c r="C4394" s="2" t="str">
        <x:v>United Kingdom</x:v>
      </x:c>
      <x:c r="D4394" s="25" t="n">
        <x:v>40575.271527777775</x:v>
      </x:c>
      <x:c r="E4394" s="25" t="n">
        <x:v>40800.29027777778</x:v>
      </x:c>
      <x:c r="F4394" s="2" t="n">
        <x:v>87</x:v>
      </x:c>
      <x:c r="G4394" s="2" t="n">
        <x:v>17</x:v>
      </x:c>
      <x:c r="H4394" s="11" t="n">
        <x:v>7194.3</x:v>
      </x:c>
      <x:c r="I4394" s="2" t="n">
        <x:v>3</x:v>
      </x:c>
      <x:c r="J4394" s="2" t="n">
        <x:v>5</x:v>
      </x:c>
      <x:c r="K4394" s="2" t="n">
        <x:v>5</x:v>
      </x:c>
      <x:c r="L4394" s="2" t="str">
        <x:v>Loyal</x:v>
      </x:c>
    </x:row>
    <x:row r="4395" ht="22" customHeight="1">
      <x:c r="A4395" s="2"/>
      <x:c r="B4395" s="2" t="str">
        <x:v>16746</x:v>
      </x:c>
      <x:c r="C4395" s="2" t="str">
        <x:v>United Kingdom</x:v>
      </x:c>
      <x:c r="D4395" s="25" t="n">
        <x:v>40151.333333333336</x:v>
      </x:c>
      <x:c r="E4395" s="25" t="n">
        <x:v>40882.31458333333</x:v>
      </x:c>
      <x:c r="F4395" s="2" t="n">
        <x:v>5</x:v>
      </x:c>
      <x:c r="G4395" s="2" t="n">
        <x:v>42</x:v>
      </x:c>
      <x:c r="H4395" s="11" t="n">
        <x:v>18066.4</x:v>
      </x:c>
      <x:c r="I4395" s="2" t="n">
        <x:v>5</x:v>
      </x:c>
      <x:c r="J4395" s="2" t="n">
        <x:v>5</x:v>
      </x:c>
      <x:c r="K4395" s="2" t="n">
        <x:v>5</x:v>
      </x:c>
      <x:c r="L4395" s="2" t="str">
        <x:v>Champions</x:v>
      </x:c>
    </x:row>
    <x:row r="4396" ht="22" customHeight="1">
      <x:c r="A4396" s="2"/>
      <x:c r="B4396" s="2" t="str">
        <x:v>16747</x:v>
      </x:c>
      <x:c r="C4396" s="2" t="str">
        <x:v>United Kingdom</x:v>
      </x:c>
      <x:c r="D4396" s="25" t="n">
        <x:v>40819.22083333333</x:v>
      </x:c>
      <x:c r="E4396" s="25" t="n">
        <x:v>40849.27569444444</x:v>
      </x:c>
      <x:c r="F4396" s="2" t="n">
        <x:v>38</x:v>
      </x:c>
      <x:c r="G4396" s="2" t="n">
        <x:v>2</x:v>
      </x:c>
      <x:c r="H4396" s="11" t="n">
        <x:v>836.06</x:v>
      </x:c>
      <x:c r="I4396" s="2" t="n">
        <x:v>4</x:v>
      </x:c>
      <x:c r="J4396" s="2" t="n">
        <x:v>2</x:v>
      </x:c>
      <x:c r="K4396" s="2" t="n">
        <x:v>3</x:v>
      </x:c>
      <x:c r="L4396" s="2" t="str">
        <x:v>Recent light buyers</x:v>
      </x:c>
    </x:row>
    <x:row r="4397" ht="22" customHeight="1">
      <x:c r="A4397" s="2"/>
      <x:c r="B4397" s="2" t="str">
        <x:v>16748</x:v>
      </x:c>
      <x:c r="C4397" s="2" t="str">
        <x:v>United Kingdom</x:v>
      </x:c>
      <x:c r="D4397" s="25" t="n">
        <x:v>40157.311111111114</x:v>
      </x:c>
      <x:c r="E4397" s="25" t="n">
        <x:v>40869.220138888886</x:v>
      </x:c>
      <x:c r="F4397" s="2" t="n">
        <x:v>18</x:v>
      </x:c>
      <x:c r="G4397" s="2" t="n">
        <x:v>14</x:v>
      </x:c>
      <x:c r="H4397" s="11" t="n">
        <x:v>3637.33</x:v>
      </x:c>
      <x:c r="I4397" s="2" t="n">
        <x:v>5</x:v>
      </x:c>
      <x:c r="J4397" s="2" t="n">
        <x:v>5</x:v>
      </x:c>
      <x:c r="K4397" s="2" t="n">
        <x:v>5</x:v>
      </x:c>
      <x:c r="L4397" s="2" t="str">
        <x:v>Champions</x:v>
      </x:c>
    </x:row>
    <x:row r="4398" ht="22" customHeight="1">
      <x:c r="A4398" s="2"/>
      <x:c r="B4398" s="2" t="str">
        <x:v>16749</x:v>
      </x:c>
      <x:c r="C4398" s="2" t="str">
        <x:v>United Kingdom</x:v>
      </x:c>
      <x:c r="D4398" s="25" t="n">
        <x:v>40162.37847222222</x:v>
      </x:c>
      <x:c r="E4398" s="25" t="n">
        <x:v>40295.3375</x:v>
      </x:c>
      <x:c r="F4398" s="2" t="n">
        <x:v>592</x:v>
      </x:c>
      <x:c r="G4398" s="2" t="n">
        <x:v>2</x:v>
      </x:c>
      <x:c r="H4398" s="11" t="n">
        <x:v>4387.08</x:v>
      </x:c>
      <x:c r="I4398" s="2" t="n">
        <x:v>1</x:v>
      </x:c>
      <x:c r="J4398" s="2" t="n">
        <x:v>2</x:v>
      </x:c>
      <x:c r="K4398" s="2" t="n">
        <x:v>5</x:v>
      </x:c>
      <x:c r="L4398" s="2" t="str">
        <x:v>Hibernating</x:v>
      </x:c>
    </x:row>
    <x:row r="4399" ht="22" customHeight="1">
      <x:c r="A4399" s="2"/>
      <x:c r="B4399" s="2" t="str">
        <x:v>16750</x:v>
      </x:c>
      <x:c r="C4399" s="2" t="str">
        <x:v>United Kingdom</x:v>
      </x:c>
      <x:c r="D4399" s="25" t="n">
        <x:v>40654.49513888889</x:v>
      </x:c>
      <x:c r="E4399" s="25" t="n">
        <x:v>40842.325</x:v>
      </x:c>
      <x:c r="F4399" s="2" t="n">
        <x:v>45</x:v>
      </x:c>
      <x:c r="G4399" s="2" t="n">
        <x:v>5</x:v>
      </x:c>
      <x:c r="H4399" s="11" t="n">
        <x:v>623.93</x:v>
      </x:c>
      <x:c r="I4399" s="2" t="n">
        <x:v>4</x:v>
      </x:c>
      <x:c r="J4399" s="2" t="n">
        <x:v>4</x:v>
      </x:c>
      <x:c r="K4399" s="2" t="n">
        <x:v>3</x:v>
      </x:c>
      <x:c r="L4399" s="2" t="str">
        <x:v>Loyal</x:v>
      </x:c>
    </x:row>
    <x:row r="4400" ht="22" customHeight="1">
      <x:c r="A4400" s="2"/>
      <x:c r="B4400" s="2" t="str">
        <x:v>16751</x:v>
      </x:c>
      <x:c r="C4400" s="2" t="str">
        <x:v>United Kingdom</x:v>
      </x:c>
      <x:c r="D4400" s="25" t="n">
        <x:v>40856.24166666667</x:v>
      </x:c>
      <x:c r="E4400" s="25" t="n">
        <x:v>40856.24166666667</x:v>
      </x:c>
      <x:c r="F4400" s="2" t="n">
        <x:v>31</x:v>
      </x:c>
      <x:c r="G4400" s="2" t="n">
        <x:v>1</x:v>
      </x:c>
      <x:c r="H4400" s="11" t="n">
        <x:v>1764.72</x:v>
      </x:c>
      <x:c r="I4400" s="2" t="n">
        <x:v>4</x:v>
      </x:c>
      <x:c r="J4400" s="2" t="n">
        <x:v>1</x:v>
      </x:c>
      <x:c r="K4400" s="2" t="n">
        <x:v>4</x:v>
      </x:c>
      <x:c r="L4400" s="2" t="str">
        <x:v>Recent light buyers</x:v>
      </x:c>
    </x:row>
    <x:row r="4401" ht="22" customHeight="1">
      <x:c r="A4401" s="2"/>
      <x:c r="B4401" s="2" t="str">
        <x:v>16752</x:v>
      </x:c>
      <x:c r="C4401" s="2" t="str">
        <x:v>United Kingdom</x:v>
      </x:c>
      <x:c r="D4401" s="25" t="n">
        <x:v>40514.30416666667</x:v>
      </x:c>
      <x:c r="E4401" s="25" t="n">
        <x:v>40514.30416666667</x:v>
      </x:c>
      <x:c r="F4401" s="2" t="n">
        <x:v>373</x:v>
      </x:c>
      <x:c r="G4401" s="2" t="n">
        <x:v>1</x:v>
      </x:c>
      <x:c r="H4401" s="11" t="n">
        <x:v>207.5</x:v>
      </x:c>
      <x:c r="I4401" s="2" t="n">
        <x:v>2</x:v>
      </x:c>
      <x:c r="J4401" s="2" t="n">
        <x:v>1</x:v>
      </x:c>
      <x:c r="K4401" s="2" t="n">
        <x:v>1</x:v>
      </x:c>
      <x:c r="L4401" s="2" t="str">
        <x:v>Hibernating</x:v>
      </x:c>
    </x:row>
    <x:row r="4402" ht="22" customHeight="1">
      <x:c r="A4402" s="2"/>
      <x:c r="B4402" s="2" t="str">
        <x:v>16753</x:v>
      </x:c>
      <x:c r="C4402" s="2" t="str">
        <x:v>United Kingdom</x:v>
      </x:c>
      <x:c r="D4402" s="25" t="n">
        <x:v>40828.34305555555</x:v>
      </x:c>
      <x:c r="E4402" s="25" t="n">
        <x:v>40828.34305555555</x:v>
      </x:c>
      <x:c r="F4402" s="2" t="n">
        <x:v>59</x:v>
      </x:c>
      <x:c r="G4402" s="2" t="n">
        <x:v>1</x:v>
      </x:c>
      <x:c r="H4402" s="11" t="n">
        <x:v>223.92</x:v>
      </x:c>
      <x:c r="I4402" s="2" t="n">
        <x:v>4</x:v>
      </x:c>
      <x:c r="J4402" s="2" t="n">
        <x:v>1</x:v>
      </x:c>
      <x:c r="K4402" s="2" t="n">
        <x:v>1</x:v>
      </x:c>
      <x:c r="L4402" s="2" t="str">
        <x:v>Recent light buyers</x:v>
      </x:c>
    </x:row>
    <x:row r="4403" ht="22" customHeight="1">
      <x:c r="A4403" s="2"/>
      <x:c r="B4403" s="2" t="str">
        <x:v>16754</x:v>
      </x:c>
      <x:c r="C4403" s="2" t="str">
        <x:v>United Kingdom</x:v>
      </x:c>
      <x:c r="D4403" s="25" t="n">
        <x:v>40245.27222222222</x:v>
      </x:c>
      <x:c r="E4403" s="25" t="n">
        <x:v>40514.52638888889</x:v>
      </x:c>
      <x:c r="F4403" s="2" t="n">
        <x:v>373</x:v>
      </x:c>
      <x:c r="G4403" s="2" t="n">
        <x:v>29</x:v>
      </x:c>
      <x:c r="H4403" s="11" t="n">
        <x:v>65500.07</x:v>
      </x:c>
      <x:c r="I4403" s="2" t="n">
        <x:v>2</x:v>
      </x:c>
      <x:c r="J4403" s="2" t="n">
        <x:v>5</x:v>
      </x:c>
      <x:c r="K4403" s="2" t="n">
        <x:v>5</x:v>
      </x:c>
      <x:c r="L4403" s="2" t="str">
        <x:v>At risk</x:v>
      </x:c>
    </x:row>
    <x:row r="4404" ht="22" customHeight="1">
      <x:c r="A4404" s="2"/>
      <x:c r="B4404" s="2" t="str">
        <x:v>16755</x:v>
      </x:c>
      <x:c r="C4404" s="2" t="str">
        <x:v>United Kingdom</x:v>
      </x:c>
      <x:c r="D4404" s="25" t="n">
        <x:v>40156.39236111111</x:v>
      </x:c>
      <x:c r="E4404" s="25" t="n">
        <x:v>40772.347916666666</x:v>
      </x:c>
      <x:c r="F4404" s="2" t="n">
        <x:v>115</x:v>
      </x:c>
      <x:c r="G4404" s="2" t="n">
        <x:v>7</x:v>
      </x:c>
      <x:c r="H4404" s="11" t="n">
        <x:v>2900.58</x:v>
      </x:c>
      <x:c r="I4404" s="2" t="n">
        <x:v>3</x:v>
      </x:c>
      <x:c r="J4404" s="2" t="n">
        <x:v>4</x:v>
      </x:c>
      <x:c r="K4404" s="2" t="n">
        <x:v>4</x:v>
      </x:c>
      <x:c r="L4404" s="2" t="str">
        <x:v>Loyal</x:v>
      </x:c>
    </x:row>
    <x:row r="4405" ht="22" customHeight="1">
      <x:c r="A4405" s="2"/>
      <x:c r="B4405" s="2" t="str">
        <x:v>16756</x:v>
      </x:c>
      <x:c r="C4405" s="2" t="str">
        <x:v>United Kingdom</x:v>
      </x:c>
      <x:c r="D4405" s="25" t="n">
        <x:v>40246.455555555556</x:v>
      </x:c>
      <x:c r="E4405" s="25" t="n">
        <x:v>40672.18958333333</x:v>
      </x:c>
      <x:c r="F4405" s="2" t="n">
        <x:v>215</x:v>
      </x:c>
      <x:c r="G4405" s="2" t="n">
        <x:v>7</x:v>
      </x:c>
      <x:c r="H4405" s="11" t="n">
        <x:v>1312.37</x:v>
      </x:c>
      <x:c r="I4405" s="2" t="n">
        <x:v>2</x:v>
      </x:c>
      <x:c r="J4405" s="2" t="n">
        <x:v>4</x:v>
      </x:c>
      <x:c r="K4405" s="2" t="n">
        <x:v>4</x:v>
      </x:c>
      <x:c r="L4405" s="2" t="str">
        <x:v>At risk</x:v>
      </x:c>
    </x:row>
    <x:row r="4406" ht="22" customHeight="1">
      <x:c r="A4406" s="2"/>
      <x:c r="B4406" s="2" t="str">
        <x:v>16757</x:v>
      </x:c>
      <x:c r="C4406" s="2" t="str">
        <x:v>United Kingdom</x:v>
      </x:c>
      <x:c r="D4406" s="25" t="n">
        <x:v>40477.42291666667</x:v>
      </x:c>
      <x:c r="E4406" s="25" t="n">
        <x:v>40568.290972222225</x:v>
      </x:c>
      <x:c r="F4406" s="2" t="n">
        <x:v>319</x:v>
      </x:c>
      <x:c r="G4406" s="2" t="n">
        <x:v>2</x:v>
      </x:c>
      <x:c r="H4406" s="11" t="n">
        <x:v>270.48</x:v>
      </x:c>
      <x:c r="I4406" s="2" t="n">
        <x:v>2</x:v>
      </x:c>
      <x:c r="J4406" s="2" t="n">
        <x:v>2</x:v>
      </x:c>
      <x:c r="K4406" s="2" t="n">
        <x:v>1</x:v>
      </x:c>
      <x:c r="L4406" s="2" t="str">
        <x:v>Hibernating</x:v>
      </x:c>
    </x:row>
    <x:row r="4407" ht="22" customHeight="1">
      <x:c r="A4407" s="2"/>
      <x:c r="B4407" s="2" t="str">
        <x:v>16758</x:v>
      </x:c>
      <x:c r="C4407" s="2" t="str">
        <x:v>United Kingdom</x:v>
      </x:c>
      <x:c r="D4407" s="25" t="n">
        <x:v>40821.407638888886</x:v>
      </x:c>
      <x:c r="E4407" s="25" t="n">
        <x:v>40821.407638888886</x:v>
      </x:c>
      <x:c r="F4407" s="2" t="n">
        <x:v>66</x:v>
      </x:c>
      <x:c r="G4407" s="2" t="n">
        <x:v>1</x:v>
      </x:c>
      <x:c r="H4407" s="11" t="n">
        <x:v>369.34</x:v>
      </x:c>
      <x:c r="I4407" s="2" t="n">
        <x:v>3</x:v>
      </x:c>
      <x:c r="J4407" s="2" t="n">
        <x:v>1</x:v>
      </x:c>
      <x:c r="K4407" s="2" t="n">
        <x:v>2</x:v>
      </x:c>
      <x:c r="L4407" s="2" t="str">
        <x:v>Developing</x:v>
      </x:c>
    </x:row>
    <x:row r="4408" ht="22" customHeight="1">
      <x:c r="A4408" s="2"/>
      <x:c r="B4408" s="2" t="str">
        <x:v>16759</x:v>
      </x:c>
      <x:c r="C4408" s="2" t="str">
        <x:v>United Kingdom</x:v>
      </x:c>
      <x:c r="D4408" s="25" t="n">
        <x:v>40856.17083333333</x:v>
      </x:c>
      <x:c r="E4408" s="25" t="n">
        <x:v>40879.32083333333</x:v>
      </x:c>
      <x:c r="F4408" s="2" t="n">
        <x:v>8</x:v>
      </x:c>
      <x:c r="G4408" s="2" t="n">
        <x:v>3</x:v>
      </x:c>
      <x:c r="H4408" s="11" t="n">
        <x:v>789.79</x:v>
      </x:c>
      <x:c r="I4408" s="2" t="n">
        <x:v>5</x:v>
      </x:c>
      <x:c r="J4408" s="2" t="n">
        <x:v>3</x:v>
      </x:c>
      <x:c r="K4408" s="2" t="n">
        <x:v>3</x:v>
      </x:c>
      <x:c r="L4408" s="2" t="str">
        <x:v>Loyal</x:v>
      </x:c>
    </x:row>
    <x:row r="4409" ht="22" customHeight="1">
      <x:c r="A4409" s="2"/>
      <x:c r="B4409" s="2" t="str">
        <x:v>16760</x:v>
      </x:c>
      <x:c r="C4409" s="2" t="str">
        <x:v>United Kingdom</x:v>
      </x:c>
      <x:c r="D4409" s="25" t="n">
        <x:v>40456.45486111111</x:v>
      </x:c>
      <x:c r="E4409" s="25" t="n">
        <x:v>40456.45486111111</x:v>
      </x:c>
      <x:c r="F4409" s="2" t="n">
        <x:v>431</x:v>
      </x:c>
      <x:c r="G4409" s="2" t="n">
        <x:v>1</x:v>
      </x:c>
      <x:c r="H4409" s="11" t="n">
        <x:v>228</x:v>
      </x:c>
      <x:c r="I4409" s="2" t="n">
        <x:v>1</x:v>
      </x:c>
      <x:c r="J4409" s="2" t="n">
        <x:v>1</x:v>
      </x:c>
      <x:c r="K4409" s="2" t="n">
        <x:v>1</x:v>
      </x:c>
      <x:c r="L4409" s="2" t="str">
        <x:v>Hibernating</x:v>
      </x:c>
    </x:row>
    <x:row r="4410" ht="22" customHeight="1">
      <x:c r="A4410" s="2"/>
      <x:c r="B4410" s="2" t="str">
        <x:v>16761</x:v>
      </x:c>
      <x:c r="C4410" s="2" t="str">
        <x:v>United Kingdom</x:v>
      </x:c>
      <x:c r="D4410" s="25" t="n">
        <x:v>40790.260416666664</x:v>
      </x:c>
      <x:c r="E4410" s="25" t="n">
        <x:v>40790.260416666664</x:v>
      </x:c>
      <x:c r="F4410" s="2" t="n">
        <x:v>97</x:v>
      </x:c>
      <x:c r="G4410" s="2" t="n">
        <x:v>1</x:v>
      </x:c>
      <x:c r="H4410" s="11" t="n">
        <x:v>316.62</x:v>
      </x:c>
      <x:c r="I4410" s="2" t="n">
        <x:v>3</x:v>
      </x:c>
      <x:c r="J4410" s="2" t="n">
        <x:v>1</x:v>
      </x:c>
      <x:c r="K4410" s="2" t="n">
        <x:v>2</x:v>
      </x:c>
      <x:c r="L4410" s="2" t="str">
        <x:v>Developing</x:v>
      </x:c>
    </x:row>
    <x:row r="4411" ht="22" customHeight="1">
      <x:c r="A4411" s="2"/>
      <x:c r="B4411" s="2" t="str">
        <x:v>16762</x:v>
      </x:c>
      <x:c r="C4411" s="2" t="str">
        <x:v>United Kingdom</x:v>
      </x:c>
      <x:c r="D4411" s="25" t="n">
        <x:v>40742.32777777778</x:v>
      </x:c>
      <x:c r="E4411" s="25" t="n">
        <x:v>40867.279861111114</x:v>
      </x:c>
      <x:c r="F4411" s="2" t="n">
        <x:v>20</x:v>
      </x:c>
      <x:c r="G4411" s="2" t="n">
        <x:v>3</x:v>
      </x:c>
      <x:c r="H4411" s="11" t="n">
        <x:v>1501.38</x:v>
      </x:c>
      <x:c r="I4411" s="2" t="n">
        <x:v>5</x:v>
      </x:c>
      <x:c r="J4411" s="2" t="n">
        <x:v>3</x:v>
      </x:c>
      <x:c r="K4411" s="2" t="n">
        <x:v>4</x:v>
      </x:c>
      <x:c r="L4411" s="2" t="str">
        <x:v>Loyal</x:v>
      </x:c>
    </x:row>
    <x:row r="4412" ht="22" customHeight="1">
      <x:c r="A4412" s="2"/>
      <x:c r="B4412" s="2" t="str">
        <x:v>16763</x:v>
      </x:c>
      <x:c r="C4412" s="2" t="str">
        <x:v>United Kingdom</x:v>
      </x:c>
      <x:c r="D4412" s="25" t="n">
        <x:v>40148.43472222222</x:v>
      </x:c>
      <x:c r="E4412" s="25" t="n">
        <x:v>40688.28611111111</x:v>
      </x:c>
      <x:c r="F4412" s="2" t="n">
        <x:v>199</x:v>
      </x:c>
      <x:c r="G4412" s="2" t="n">
        <x:v>2</x:v>
      </x:c>
      <x:c r="H4412" s="11" t="n">
        <x:v>964.7</x:v>
      </x:c>
      <x:c r="I4412" s="2" t="n">
        <x:v>2</x:v>
      </x:c>
      <x:c r="J4412" s="2" t="n">
        <x:v>2</x:v>
      </x:c>
      <x:c r="K4412" s="2" t="n">
        <x:v>3</x:v>
      </x:c>
      <x:c r="L4412" s="2" t="str">
        <x:v>Hibernating</x:v>
      </x:c>
    </x:row>
    <x:row r="4413" ht="22" customHeight="1">
      <x:c r="A4413" s="2"/>
      <x:c r="B4413" s="2" t="str">
        <x:v>16764</x:v>
      </x:c>
      <x:c r="C4413" s="2" t="str">
        <x:v>United Kingdom</x:v>
      </x:c>
      <x:c r="D4413" s="25" t="n">
        <x:v>40743.51180555556</x:v>
      </x:c>
      <x:c r="E4413" s="25" t="n">
        <x:v>40883.27847222222</x:v>
      </x:c>
      <x:c r="F4413" s="2" t="n">
        <x:v>4</x:v>
      </x:c>
      <x:c r="G4413" s="2" t="n">
        <x:v>13</x:v>
      </x:c>
      <x:c r="H4413" s="11" t="n">
        <x:v>2799.25</x:v>
      </x:c>
      <x:c r="I4413" s="2" t="n">
        <x:v>5</x:v>
      </x:c>
      <x:c r="J4413" s="2" t="n">
        <x:v>5</x:v>
      </x:c>
      <x:c r="K4413" s="2" t="n">
        <x:v>4</x:v>
      </x:c>
      <x:c r="L4413" s="2" t="str">
        <x:v>Champions</x:v>
      </x:c>
    </x:row>
    <x:row r="4414" ht="22" customHeight="1">
      <x:c r="A4414" s="2"/>
      <x:c r="B4414" s="2" t="str">
        <x:v>16765</x:v>
      </x:c>
      <x:c r="C4414" s="2" t="str">
        <x:v>United Kingdom</x:v>
      </x:c>
      <x:c r="D4414" s="25" t="n">
        <x:v>40504.3625</x:v>
      </x:c>
      <x:c r="E4414" s="25" t="n">
        <x:v>40592.44513888889</x:v>
      </x:c>
      <x:c r="F4414" s="2" t="n">
        <x:v>295</x:v>
      </x:c>
      <x:c r="G4414" s="2" t="n">
        <x:v>2</x:v>
      </x:c>
      <x:c r="H4414" s="11" t="n">
        <x:v>454.75</x:v>
      </x:c>
      <x:c r="I4414" s="2" t="n">
        <x:v>2</x:v>
      </x:c>
      <x:c r="J4414" s="2" t="n">
        <x:v>2</x:v>
      </x:c>
      <x:c r="K4414" s="2" t="n">
        <x:v>2</x:v>
      </x:c>
      <x:c r="L4414" s="2" t="str">
        <x:v>Hibernating</x:v>
      </x:c>
    </x:row>
    <x:row r="4415" ht="22" customHeight="1">
      <x:c r="A4415" s="2"/>
      <x:c r="B4415" s="2" t="str">
        <x:v>16766</x:v>
      </x:c>
      <x:c r="C4415" s="2" t="str">
        <x:v>United Kingdom</x:v>
      </x:c>
      <x:c r="D4415" s="25" t="n">
        <x:v>40613.356944444444</x:v>
      </x:c>
      <x:c r="E4415" s="25" t="n">
        <x:v>40613.43194444444</x:v>
      </x:c>
      <x:c r="F4415" s="2" t="n">
        <x:v>274</x:v>
      </x:c>
      <x:c r="G4415" s="2" t="n">
        <x:v>2</x:v>
      </x:c>
      <x:c r="H4415" s="11" t="n">
        <x:v>1145.6</x:v>
      </x:c>
      <x:c r="I4415" s="2" t="n">
        <x:v>2</x:v>
      </x:c>
      <x:c r="J4415" s="2" t="n">
        <x:v>2</x:v>
      </x:c>
      <x:c r="K4415" s="2" t="n">
        <x:v>3</x:v>
      </x:c>
      <x:c r="L4415" s="2" t="str">
        <x:v>Hibernating</x:v>
      </x:c>
    </x:row>
    <x:row r="4416" ht="22" customHeight="1">
      <x:c r="A4416" s="2"/>
      <x:c r="B4416" s="2" t="str">
        <x:v>16767</x:v>
      </x:c>
      <x:c r="C4416" s="2" t="str">
        <x:v>United Kingdom</x:v>
      </x:c>
      <x:c r="D4416" s="25" t="n">
        <x:v>40296.49236111111</x:v>
      </x:c>
      <x:c r="E4416" s="25" t="n">
        <x:v>40856.19583333333</x:v>
      </x:c>
      <x:c r="F4416" s="2" t="n">
        <x:v>31</x:v>
      </x:c>
      <x:c r="G4416" s="2" t="n">
        <x:v>15</x:v>
      </x:c>
      <x:c r="H4416" s="11" t="n">
        <x:v>8073.8</x:v>
      </x:c>
      <x:c r="I4416" s="2" t="n">
        <x:v>4</x:v>
      </x:c>
      <x:c r="J4416" s="2" t="n">
        <x:v>5</x:v>
      </x:c>
      <x:c r="K4416" s="2" t="n">
        <x:v>5</x:v>
      </x:c>
      <x:c r="L4416" s="2" t="str">
        <x:v>Champions</x:v>
      </x:c>
    </x:row>
    <x:row r="4417" ht="22" customHeight="1">
      <x:c r="A4417" s="2"/>
      <x:c r="B4417" s="2" t="str">
        <x:v>16768</x:v>
      </x:c>
      <x:c r="C4417" s="2" t="str">
        <x:v>United Kingdom</x:v>
      </x:c>
      <x:c r="D4417" s="25" t="n">
        <x:v>40154.282638888886</x:v>
      </x:c>
      <x:c r="E4417" s="25" t="n">
        <x:v>40839.23472222222</x:v>
      </x:c>
      <x:c r="F4417" s="2" t="n">
        <x:v>48</x:v>
      </x:c>
      <x:c r="G4417" s="2" t="n">
        <x:v>9</x:v>
      </x:c>
      <x:c r="H4417" s="11" t="n">
        <x:v>1708.12</x:v>
      </x:c>
      <x:c r="I4417" s="2" t="n">
        <x:v>4</x:v>
      </x:c>
      <x:c r="J4417" s="2" t="n">
        <x:v>5</x:v>
      </x:c>
      <x:c r="K4417" s="2" t="n">
        <x:v>4</x:v>
      </x:c>
      <x:c r="L4417" s="2" t="str">
        <x:v>Champions</x:v>
      </x:c>
    </x:row>
    <x:row r="4418" ht="22" customHeight="1">
      <x:c r="A4418" s="2"/>
      <x:c r="B4418" s="2" t="str">
        <x:v>16769</x:v>
      </x:c>
      <x:c r="C4418" s="2" t="str">
        <x:v>United Kingdom</x:v>
      </x:c>
      <x:c r="D4418" s="25" t="n">
        <x:v>40161.256944444445</x:v>
      </x:c>
      <x:c r="E4418" s="25" t="n">
        <x:v>40626.361805555556</x:v>
      </x:c>
      <x:c r="F4418" s="2" t="n">
        <x:v>261</x:v>
      </x:c>
      <x:c r="G4418" s="2" t="n">
        <x:v>4</x:v>
      </x:c>
      <x:c r="H4418" s="11" t="n">
        <x:v>1141.75</x:v>
      </x:c>
      <x:c r="I4418" s="2" t="n">
        <x:v>2</x:v>
      </x:c>
      <x:c r="J4418" s="2" t="n">
        <x:v>3</x:v>
      </x:c>
      <x:c r="K4418" s="2" t="n">
        <x:v>3</x:v>
      </x:c>
      <x:c r="L4418" s="2" t="str">
        <x:v>At risk</x:v>
      </x:c>
    </x:row>
    <x:row r="4419" ht="22" customHeight="1">
      <x:c r="A4419" s="2"/>
      <x:c r="B4419" s="2" t="str">
        <x:v>16770</x:v>
      </x:c>
      <x:c r="C4419" s="2" t="str">
        <x:v>United Kingdom</x:v>
      </x:c>
      <x:c r="D4419" s="25" t="n">
        <x:v>40412.46388888889</x:v>
      </x:c>
      <x:c r="E4419" s="25" t="n">
        <x:v>40829.30625</x:v>
      </x:c>
      <x:c r="F4419" s="2" t="n">
        <x:v>58</x:v>
      </x:c>
      <x:c r="G4419" s="2" t="n">
        <x:v>9</x:v>
      </x:c>
      <x:c r="H4419" s="11" t="n">
        <x:v>1801.33</x:v>
      </x:c>
      <x:c r="I4419" s="2" t="n">
        <x:v>4</x:v>
      </x:c>
      <x:c r="J4419" s="2" t="n">
        <x:v>5</x:v>
      </x:c>
      <x:c r="K4419" s="2" t="n">
        <x:v>4</x:v>
      </x:c>
      <x:c r="L4419" s="2" t="str">
        <x:v>Champions</x:v>
      </x:c>
    </x:row>
    <x:row r="4420" ht="22" customHeight="1">
      <x:c r="A4420" s="2"/>
      <x:c r="B4420" s="2" t="str">
        <x:v>16771</x:v>
      </x:c>
      <x:c r="C4420" s="2" t="str">
        <x:v>United Kingdom</x:v>
      </x:c>
      <x:c r="D4420" s="25" t="n">
        <x:v>40156.28611111111</x:v>
      </x:c>
      <x:c r="E4420" s="25" t="n">
        <x:v>40853.35277777778</x:v>
      </x:c>
      <x:c r="F4420" s="2" t="n">
        <x:v>34</x:v>
      </x:c>
      <x:c r="G4420" s="2" t="n">
        <x:v>10</x:v>
      </x:c>
      <x:c r="H4420" s="11" t="n">
        <x:v>3967.6</x:v>
      </x:c>
      <x:c r="I4420" s="2" t="n">
        <x:v>4</x:v>
      </x:c>
      <x:c r="J4420" s="2" t="n">
        <x:v>5</x:v>
      </x:c>
      <x:c r="K4420" s="2" t="n">
        <x:v>5</x:v>
      </x:c>
      <x:c r="L4420" s="2" t="str">
        <x:v>Champions</x:v>
      </x:c>
    </x:row>
    <x:row r="4421" ht="22" customHeight="1">
      <x:c r="A4421" s="2"/>
      <x:c r="B4421" s="2" t="str">
        <x:v>16772</x:v>
      </x:c>
      <x:c r="C4421" s="2" t="str">
        <x:v>United Kingdom</x:v>
      </x:c>
      <x:c r="D4421" s="25" t="n">
        <x:v>40165.243055555555</x:v>
      </x:c>
      <x:c r="E4421" s="25" t="n">
        <x:v>40463.34652777778</x:v>
      </x:c>
      <x:c r="F4421" s="2" t="n">
        <x:v>424</x:v>
      </x:c>
      <x:c r="G4421" s="2" t="n">
        <x:v>3</x:v>
      </x:c>
      <x:c r="H4421" s="11" t="n">
        <x:v>3723.55</x:v>
      </x:c>
      <x:c r="I4421" s="2" t="n">
        <x:v>1</x:v>
      </x:c>
      <x:c r="J4421" s="2" t="n">
        <x:v>3</x:v>
      </x:c>
      <x:c r="K4421" s="2" t="n">
        <x:v>5</x:v>
      </x:c>
      <x:c r="L4421" s="2" t="str">
        <x:v>At risk</x:v>
      </x:c>
    </x:row>
    <x:row r="4422" ht="22" customHeight="1">
      <x:c r="A4422" s="2"/>
      <x:c r="B4422" s="2" t="str">
        <x:v>16773</x:v>
      </x:c>
      <x:c r="C4422" s="2" t="str">
        <x:v>United Kingdom</x:v>
      </x:c>
      <x:c r="D4422" s="25" t="n">
        <x:v>40153.41736111111</x:v>
      </x:c>
      <x:c r="E4422" s="25" t="n">
        <x:v>40829.40069444444</x:v>
      </x:c>
      <x:c r="F4422" s="2" t="n">
        <x:v>58</x:v>
      </x:c>
      <x:c r="G4422" s="2" t="n">
        <x:v>3</x:v>
      </x:c>
      <x:c r="H4422" s="11" t="n">
        <x:v>421.24</x:v>
      </x:c>
      <x:c r="I4422" s="2" t="n">
        <x:v>4</x:v>
      </x:c>
      <x:c r="J4422" s="2" t="n">
        <x:v>3</x:v>
      </x:c>
      <x:c r="K4422" s="2" t="n">
        <x:v>2</x:v>
      </x:c>
      <x:c r="L4422" s="2" t="str">
        <x:v>Loyal</x:v>
      </x:c>
    </x:row>
    <x:row r="4423" ht="22" customHeight="1">
      <x:c r="A4423" s="2"/>
      <x:c r="B4423" s="2" t="str">
        <x:v>16774</x:v>
      </x:c>
      <x:c r="C4423" s="2" t="str">
        <x:v>United Kingdom</x:v>
      </x:c>
      <x:c r="D4423" s="25" t="n">
        <x:v>40225.49513888889</x:v>
      </x:c>
      <x:c r="E4423" s="25" t="n">
        <x:v>40819.32013888889</x:v>
      </x:c>
      <x:c r="F4423" s="2" t="n">
        <x:v>68</x:v>
      </x:c>
      <x:c r="G4423" s="2" t="n">
        <x:v>8</x:v>
      </x:c>
      <x:c r="H4423" s="11" t="n">
        <x:v>1594.45</x:v>
      </x:c>
      <x:c r="I4423" s="2" t="n">
        <x:v>3</x:v>
      </x:c>
      <x:c r="J4423" s="2" t="n">
        <x:v>4</x:v>
      </x:c>
      <x:c r="K4423" s="2" t="n">
        <x:v>4</x:v>
      </x:c>
      <x:c r="L4423" s="2" t="str">
        <x:v>Loyal</x:v>
      </x:c>
    </x:row>
    <x:row r="4424" ht="22" customHeight="1">
      <x:c r="A4424" s="2"/>
      <x:c r="B4424" s="2" t="str">
        <x:v>16775</x:v>
      </x:c>
      <x:c r="C4424" s="2" t="str">
        <x:v>United Kingdom</x:v>
      </x:c>
      <x:c r="D4424" s="25" t="n">
        <x:v>40444.52361111111</x:v>
      </x:c>
      <x:c r="E4424" s="25" t="n">
        <x:v>40876.43194444444</x:v>
      </x:c>
      <x:c r="F4424" s="2" t="n">
        <x:v>11</x:v>
      </x:c>
      <x:c r="G4424" s="2" t="n">
        <x:v>16</x:v>
      </x:c>
      <x:c r="H4424" s="11" t="n">
        <x:v>2824.99</x:v>
      </x:c>
      <x:c r="I4424" s="2" t="n">
        <x:v>5</x:v>
      </x:c>
      <x:c r="J4424" s="2" t="n">
        <x:v>5</x:v>
      </x:c>
      <x:c r="K4424" s="2" t="n">
        <x:v>4</x:v>
      </x:c>
      <x:c r="L4424" s="2" t="str">
        <x:v>Champions</x:v>
      </x:c>
    </x:row>
    <x:row r="4425" ht="22" customHeight="1">
      <x:c r="A4425" s="2"/>
      <x:c r="B4425" s="2" t="str">
        <x:v>16776</x:v>
      </x:c>
      <x:c r="C4425" s="2" t="str">
        <x:v>United Kingdom</x:v>
      </x:c>
      <x:c r="D4425" s="25" t="n">
        <x:v>40471.30069444444</x:v>
      </x:c>
      <x:c r="E4425" s="25" t="n">
        <x:v>40826.33611111111</x:v>
      </x:c>
      <x:c r="F4425" s="2" t="n">
        <x:v>61</x:v>
      </x:c>
      <x:c r="G4425" s="2" t="n">
        <x:v>2</x:v>
      </x:c>
      <x:c r="H4425" s="11" t="n">
        <x:v>619.85</x:v>
      </x:c>
      <x:c r="I4425" s="2" t="n">
        <x:v>3</x:v>
      </x:c>
      <x:c r="J4425" s="2" t="n">
        <x:v>2</x:v>
      </x:c>
      <x:c r="K4425" s="2" t="n">
        <x:v>3</x:v>
      </x:c>
      <x:c r="L4425" s="2" t="str">
        <x:v>Developing</x:v>
      </x:c>
    </x:row>
    <x:row r="4426" ht="22" customHeight="1">
      <x:c r="A4426" s="2"/>
      <x:c r="B4426" s="2" t="str">
        <x:v>16777</x:v>
      </x:c>
      <x:c r="C4426" s="2" t="str">
        <x:v>United Kingdom</x:v>
      </x:c>
      <x:c r="D4426" s="25" t="n">
        <x:v>40254.32083333333</x:v>
      </x:c>
      <x:c r="E4426" s="25" t="n">
        <x:v>40806.361805555556</x:v>
      </x:c>
      <x:c r="F4426" s="2" t="n">
        <x:v>81</x:v>
      </x:c>
      <x:c r="G4426" s="2" t="n">
        <x:v>5</x:v>
      </x:c>
      <x:c r="H4426" s="11" t="n">
        <x:v>1307.76</x:v>
      </x:c>
      <x:c r="I4426" s="2" t="n">
        <x:v>3</x:v>
      </x:c>
      <x:c r="J4426" s="2" t="n">
        <x:v>4</x:v>
      </x:c>
      <x:c r="K4426" s="2" t="n">
        <x:v>4</x:v>
      </x:c>
      <x:c r="L4426" s="2" t="str">
        <x:v>Loyal</x:v>
      </x:c>
    </x:row>
    <x:row r="4427" ht="22" customHeight="1">
      <x:c r="A4427" s="2"/>
      <x:c r="B4427" s="2" t="str">
        <x:v>16778</x:v>
      </x:c>
      <x:c r="C4427" s="2" t="str">
        <x:v>United Kingdom</x:v>
      </x:c>
      <x:c r="D4427" s="25" t="n">
        <x:v>40612.43125</x:v>
      </x:c>
      <x:c r="E4427" s="25" t="n">
        <x:v>40812.36666666667</x:v>
      </x:c>
      <x:c r="F4427" s="2" t="n">
        <x:v>75</x:v>
      </x:c>
      <x:c r="G4427" s="2" t="n">
        <x:v>2</x:v>
      </x:c>
      <x:c r="H4427" s="11" t="n">
        <x:v>245.94</x:v>
      </x:c>
      <x:c r="I4427" s="2" t="n">
        <x:v>3</x:v>
      </x:c>
      <x:c r="J4427" s="2" t="n">
        <x:v>2</x:v>
      </x:c>
      <x:c r="K4427" s="2" t="n">
        <x:v>1</x:v>
      </x:c>
      <x:c r="L4427" s="2" t="str">
        <x:v>Developing</x:v>
      </x:c>
    </x:row>
    <x:row r="4428" ht="22" customHeight="1">
      <x:c r="A4428" s="2"/>
      <x:c r="B4428" s="2" t="str">
        <x:v>16779</x:v>
      </x:c>
      <x:c r="C4428" s="2" t="str">
        <x:v>United Kingdom</x:v>
      </x:c>
      <x:c r="D4428" s="25" t="n">
        <x:v>40150.33541666667</x:v>
      </x:c>
      <x:c r="E4428" s="25" t="n">
        <x:v>40884.4125</x:v>
      </x:c>
      <x:c r="F4428" s="2" t="n">
        <x:v>3</x:v>
      </x:c>
      <x:c r="G4428" s="2" t="n">
        <x:v>53</x:v>
      </x:c>
      <x:c r="H4428" s="11" t="n">
        <x:v>32911.33</x:v>
      </x:c>
      <x:c r="I4428" s="2" t="n">
        <x:v>5</x:v>
      </x:c>
      <x:c r="J4428" s="2" t="n">
        <x:v>5</x:v>
      </x:c>
      <x:c r="K4428" s="2" t="n">
        <x:v>5</x:v>
      </x:c>
      <x:c r="L4428" s="2" t="str">
        <x:v>Champions</x:v>
      </x:c>
    </x:row>
    <x:row r="4429" ht="22" customHeight="1">
      <x:c r="A4429" s="2"/>
      <x:c r="B4429" s="2" t="str">
        <x:v>16780</x:v>
      </x:c>
      <x:c r="C4429" s="2" t="str">
        <x:v>United Kingdom</x:v>
      </x:c>
      <x:c r="D4429" s="25" t="n">
        <x:v>40479.611805555556</x:v>
      </x:c>
      <x:c r="E4429" s="25" t="n">
        <x:v>40786.464583333334</x:v>
      </x:c>
      <x:c r="F4429" s="2" t="n">
        <x:v>101</x:v>
      </x:c>
      <x:c r="G4429" s="2" t="n">
        <x:v>3</x:v>
      </x:c>
      <x:c r="H4429" s="11" t="n">
        <x:v>605.55</x:v>
      </x:c>
      <x:c r="I4429" s="2" t="n">
        <x:v>3</x:v>
      </x:c>
      <x:c r="J4429" s="2" t="n">
        <x:v>3</x:v>
      </x:c>
      <x:c r="K4429" s="2" t="n">
        <x:v>2</x:v>
      </x:c>
      <x:c r="L4429" s="2" t="str">
        <x:v>Loyal</x:v>
      </x:c>
    </x:row>
    <x:row r="4430" ht="22" customHeight="1">
      <x:c r="A4430" s="2"/>
      <x:c r="B4430" s="2" t="str">
        <x:v>16781</x:v>
      </x:c>
      <x:c r="C4430" s="2" t="str">
        <x:v>United Kingdom</x:v>
      </x:c>
      <x:c r="D4430" s="25" t="n">
        <x:v>40217.37222222222</x:v>
      </x:c>
      <x:c r="E4430" s="25" t="n">
        <x:v>40514.393055555556</x:v>
      </x:c>
      <x:c r="F4430" s="2" t="n">
        <x:v>373</x:v>
      </x:c>
      <x:c r="G4430" s="2" t="n">
        <x:v>2</x:v>
      </x:c>
      <x:c r="H4430" s="11" t="n">
        <x:v>623</x:v>
      </x:c>
      <x:c r="I4430" s="2" t="n">
        <x:v>2</x:v>
      </x:c>
      <x:c r="J4430" s="2" t="n">
        <x:v>2</x:v>
      </x:c>
      <x:c r="K4430" s="2" t="n">
        <x:v>3</x:v>
      </x:c>
      <x:c r="L4430" s="2" t="str">
        <x:v>Hibernating</x:v>
      </x:c>
    </x:row>
    <x:row r="4431" ht="22" customHeight="1">
      <x:c r="A4431" s="2"/>
      <x:c r="B4431" s="2" t="str">
        <x:v>16782</x:v>
      </x:c>
      <x:c r="C4431" s="2" t="str">
        <x:v>United Kingdom</x:v>
      </x:c>
      <x:c r="D4431" s="25" t="n">
        <x:v>40156.29027777778</x:v>
      </x:c>
      <x:c r="E4431" s="25" t="n">
        <x:v>40876.34722222222</x:v>
      </x:c>
      <x:c r="F4431" s="2" t="n">
        <x:v>11</x:v>
      </x:c>
      <x:c r="G4431" s="2" t="n">
        <x:v>38</x:v>
      </x:c>
      <x:c r="H4431" s="11" t="n">
        <x:v>10066.71</x:v>
      </x:c>
      <x:c r="I4431" s="2" t="n">
        <x:v>5</x:v>
      </x:c>
      <x:c r="J4431" s="2" t="n">
        <x:v>5</x:v>
      </x:c>
      <x:c r="K4431" s="2" t="n">
        <x:v>5</x:v>
      </x:c>
      <x:c r="L4431" s="2" t="str">
        <x:v>Champions</x:v>
      </x:c>
    </x:row>
    <x:row r="4432" ht="22" customHeight="1">
      <x:c r="A4432" s="2"/>
      <x:c r="B4432" s="2" t="str">
        <x:v>16783</x:v>
      </x:c>
      <x:c r="C4432" s="2" t="str">
        <x:v>United Kingdom</x:v>
      </x:c>
      <x:c r="D4432" s="25" t="n">
        <x:v>40450.28680555556</x:v>
      </x:c>
      <x:c r="E4432" s="25" t="n">
        <x:v>40450.28680555556</x:v>
      </x:c>
      <x:c r="F4432" s="2" t="n">
        <x:v>437</x:v>
      </x:c>
      <x:c r="G4432" s="2" t="n">
        <x:v>1</x:v>
      </x:c>
      <x:c r="H4432" s="11" t="n">
        <x:v>391.95</x:v>
      </x:c>
      <x:c r="I4432" s="2" t="n">
        <x:v>1</x:v>
      </x:c>
      <x:c r="J4432" s="2" t="n">
        <x:v>1</x:v>
      </x:c>
      <x:c r="K4432" s="2" t="n">
        <x:v>2</x:v>
      </x:c>
      <x:c r="L4432" s="2" t="str">
        <x:v>Hibernating</x:v>
      </x:c>
    </x:row>
    <x:row r="4433" ht="22" customHeight="1">
      <x:c r="A4433" s="2"/>
      <x:c r="B4433" s="2" t="str">
        <x:v>16784</x:v>
      </x:c>
      <x:c r="C4433" s="2" t="str">
        <x:v>United Kingdom</x:v>
      </x:c>
      <x:c r="D4433" s="25" t="n">
        <x:v>40265.32986111111</x:v>
      </x:c>
      <x:c r="E4433" s="25" t="n">
        <x:v>40867.305555555555</x:v>
      </x:c>
      <x:c r="F4433" s="2" t="n">
        <x:v>20</x:v>
      </x:c>
      <x:c r="G4433" s="2" t="n">
        <x:v>5</x:v>
      </x:c>
      <x:c r="H4433" s="11" t="n">
        <x:v>896.53</x:v>
      </x:c>
      <x:c r="I4433" s="2" t="n">
        <x:v>5</x:v>
      </x:c>
      <x:c r="J4433" s="2" t="n">
        <x:v>4</x:v>
      </x:c>
      <x:c r="K4433" s="2" t="n">
        <x:v>3</x:v>
      </x:c>
      <x:c r="L4433" s="2" t="str">
        <x:v>Loyal</x:v>
      </x:c>
    </x:row>
    <x:row r="4434" ht="22" customHeight="1">
      <x:c r="A4434" s="2"/>
      <x:c r="B4434" s="2" t="str">
        <x:v>16785</x:v>
      </x:c>
      <x:c r="C4434" s="2" t="str">
        <x:v>United Kingdom</x:v>
      </x:c>
      <x:c r="D4434" s="25" t="n">
        <x:v>40477.23333333333</x:v>
      </x:c>
      <x:c r="E4434" s="25" t="n">
        <x:v>40477.23333333333</x:v>
      </x:c>
      <x:c r="F4434" s="2" t="n">
        <x:v>410</x:v>
      </x:c>
      <x:c r="G4434" s="2" t="n">
        <x:v>1</x:v>
      </x:c>
      <x:c r="H4434" s="11" t="n">
        <x:v>533.78</x:v>
      </x:c>
      <x:c r="I4434" s="2" t="n">
        <x:v>2</x:v>
      </x:c>
      <x:c r="J4434" s="2" t="n">
        <x:v>1</x:v>
      </x:c>
      <x:c r="K4434" s="2" t="n">
        <x:v>2</x:v>
      </x:c>
      <x:c r="L4434" s="2" t="str">
        <x:v>Hibernating</x:v>
      </x:c>
    </x:row>
    <x:row r="4435" ht="22" customHeight="1">
      <x:c r="A4435" s="2"/>
      <x:c r="B4435" s="2" t="str">
        <x:v>16786</x:v>
      </x:c>
      <x:c r="C4435" s="2" t="str">
        <x:v>United Kingdom</x:v>
      </x:c>
      <x:c r="D4435" s="25" t="n">
        <x:v>40493.14236111111</x:v>
      </x:c>
      <x:c r="E4435" s="25" t="n">
        <x:v>40493.14236111111</x:v>
      </x:c>
      <x:c r="F4435" s="2" t="n">
        <x:v>394</x:v>
      </x:c>
      <x:c r="G4435" s="2" t="n">
        <x:v>1</x:v>
      </x:c>
      <x:c r="H4435" s="11" t="n">
        <x:v>51.84</x:v>
      </x:c>
      <x:c r="I4435" s="2" t="n">
        <x:v>2</x:v>
      </x:c>
      <x:c r="J4435" s="2" t="n">
        <x:v>1</x:v>
      </x:c>
      <x:c r="K4435" s="2" t="n">
        <x:v>1</x:v>
      </x:c>
      <x:c r="L4435" s="2" t="str">
        <x:v>Hibernating</x:v>
      </x:c>
    </x:row>
    <x:row r="4436" ht="22" customHeight="1">
      <x:c r="A4436" s="2"/>
      <x:c r="B4436" s="2" t="str">
        <x:v>16787</x:v>
      </x:c>
      <x:c r="C4436" s="2" t="str">
        <x:v>United Kingdom</x:v>
      </x:c>
      <x:c r="D4436" s="25" t="n">
        <x:v>40188.25833333333</x:v>
      </x:c>
      <x:c r="E4436" s="25" t="n">
        <x:v>40489.25069444445</x:v>
      </x:c>
      <x:c r="F4436" s="2" t="n">
        <x:v>398</x:v>
      </x:c>
      <x:c r="G4436" s="2" t="n">
        <x:v>4</x:v>
      </x:c>
      <x:c r="H4436" s="11" t="n">
        <x:v>1035.43</x:v>
      </x:c>
      <x:c r="I4436" s="2" t="n">
        <x:v>2</x:v>
      </x:c>
      <x:c r="J4436" s="2" t="n">
        <x:v>3</x:v>
      </x:c>
      <x:c r="K4436" s="2" t="n">
        <x:v>3</x:v>
      </x:c>
      <x:c r="L4436" s="2" t="str">
        <x:v>At risk</x:v>
      </x:c>
    </x:row>
    <x:row r="4437" ht="22" customHeight="1">
      <x:c r="A4437" s="2"/>
      <x:c r="B4437" s="2" t="str">
        <x:v>16788</x:v>
      </x:c>
      <x:c r="C4437" s="2" t="str">
        <x:v>United Kingdom</x:v>
      </x:c>
      <x:c r="D4437" s="25" t="n">
        <x:v>40216.319444444445</x:v>
      </x:c>
      <x:c r="E4437" s="25" t="n">
        <x:v>40763.41180555556</x:v>
      </x:c>
      <x:c r="F4437" s="2" t="n">
        <x:v>124</x:v>
      </x:c>
      <x:c r="G4437" s="2" t="n">
        <x:v>5</x:v>
      </x:c>
      <x:c r="H4437" s="11" t="n">
        <x:v>1950.3</x:v>
      </x:c>
      <x:c r="I4437" s="2" t="n">
        <x:v>3</x:v>
      </x:c>
      <x:c r="J4437" s="2" t="n">
        <x:v>4</x:v>
      </x:c>
      <x:c r="K4437" s="2" t="n">
        <x:v>4</x:v>
      </x:c>
      <x:c r="L4437" s="2" t="str">
        <x:v>Loyal</x:v>
      </x:c>
    </x:row>
    <x:row r="4438" ht="22" customHeight="1">
      <x:c r="A4438" s="2"/>
      <x:c r="B4438" s="2" t="str">
        <x:v>16789</x:v>
      </x:c>
      <x:c r="C4438" s="2" t="str">
        <x:v>United Kingdom</x:v>
      </x:c>
      <x:c r="D4438" s="25" t="n">
        <x:v>40878.425</x:v>
      </x:c>
      <x:c r="E4438" s="25" t="n">
        <x:v>40878.425</x:v>
      </x:c>
      <x:c r="F4438" s="2" t="n">
        <x:v>9</x:v>
      </x:c>
      <x:c r="G4438" s="2" t="n">
        <x:v>1</x:v>
      </x:c>
      <x:c r="H4438" s="11" t="n">
        <x:v>80.8</x:v>
      </x:c>
      <x:c r="I4438" s="2" t="n">
        <x:v>5</x:v>
      </x:c>
      <x:c r="J4438" s="2" t="n">
        <x:v>1</x:v>
      </x:c>
      <x:c r="K4438" s="2" t="n">
        <x:v>1</x:v>
      </x:c>
      <x:c r="L4438" s="2" t="str">
        <x:v>Recent light buyers</x:v>
      </x:c>
    </x:row>
    <x:row r="4439" ht="22" customHeight="1">
      <x:c r="A4439" s="2"/>
      <x:c r="B4439" s="2" t="str">
        <x:v>16790</x:v>
      </x:c>
      <x:c r="C4439" s="2" t="str">
        <x:v>United Kingdom</x:v>
      </x:c>
      <x:c r="D4439" s="25" t="n">
        <x:v>40849.26597222222</x:v>
      </x:c>
      <x:c r="E4439" s="25" t="n">
        <x:v>40883.28680555556</x:v>
      </x:c>
      <x:c r="F4439" s="2" t="n">
        <x:v>4</x:v>
      </x:c>
      <x:c r="G4439" s="2" t="n">
        <x:v>6</x:v>
      </x:c>
      <x:c r="H4439" s="11" t="n">
        <x:v>1545.62</x:v>
      </x:c>
      <x:c r="I4439" s="2" t="n">
        <x:v>5</x:v>
      </x:c>
      <x:c r="J4439" s="2" t="n">
        <x:v>4</x:v>
      </x:c>
      <x:c r="K4439" s="2" t="n">
        <x:v>4</x:v>
      </x:c>
      <x:c r="L4439" s="2" t="str">
        <x:v>Champions</x:v>
      </x:c>
    </x:row>
    <x:row r="4440" ht="22" customHeight="1">
      <x:c r="A4440" s="2"/>
      <x:c r="B4440" s="2" t="str">
        <x:v>16791</x:v>
      </x:c>
      <x:c r="C4440" s="2" t="str">
        <x:v>United Kingdom</x:v>
      </x:c>
      <x:c r="D4440" s="25" t="n">
        <x:v>40150.54722222222</x:v>
      </x:c>
      <x:c r="E4440" s="25" t="n">
        <x:v>40857.59166666667</x:v>
      </x:c>
      <x:c r="F4440" s="2" t="n">
        <x:v>30</x:v>
      </x:c>
      <x:c r="G4440" s="2" t="n">
        <x:v>15</x:v>
      </x:c>
      <x:c r="H4440" s="11" t="n">
        <x:v>4038.69</x:v>
      </x:c>
      <x:c r="I4440" s="2" t="n">
        <x:v>4</x:v>
      </x:c>
      <x:c r="J4440" s="2" t="n">
        <x:v>5</x:v>
      </x:c>
      <x:c r="K4440" s="2" t="n">
        <x:v>5</x:v>
      </x:c>
      <x:c r="L4440" s="2" t="str">
        <x:v>Champions</x:v>
      </x:c>
    </x:row>
    <x:row r="4441" ht="22" customHeight="1">
      <x:c r="A4441" s="2"/>
      <x:c r="B4441" s="2" t="str">
        <x:v>16792</x:v>
      </x:c>
      <x:c r="C4441" s="2" t="str">
        <x:v>United Kingdom</x:v>
      </x:c>
      <x:c r="D4441" s="25" t="n">
        <x:v>40182.36597222222</x:v>
      </x:c>
      <x:c r="E4441" s="25" t="n">
        <x:v>40604.40347222222</x:v>
      </x:c>
      <x:c r="F4441" s="2" t="n">
        <x:v>283</x:v>
      </x:c>
      <x:c r="G4441" s="2" t="n">
        <x:v>5</x:v>
      </x:c>
      <x:c r="H4441" s="11" t="n">
        <x:v>623.46</x:v>
      </x:c>
      <x:c r="I4441" s="2" t="n">
        <x:v>2</x:v>
      </x:c>
      <x:c r="J4441" s="2" t="n">
        <x:v>4</x:v>
      </x:c>
      <x:c r="K4441" s="2" t="n">
        <x:v>3</x:v>
      </x:c>
      <x:c r="L4441" s="2" t="str">
        <x:v>At risk</x:v>
      </x:c>
    </x:row>
    <x:row r="4442" ht="22" customHeight="1">
      <x:c r="A4442" s="2"/>
      <x:c r="B4442" s="2" t="str">
        <x:v>16793</x:v>
      </x:c>
      <x:c r="C4442" s="2" t="str">
        <x:v>United Kingdom</x:v>
      </x:c>
      <x:c r="D4442" s="25" t="n">
        <x:v>40829.42222222222</x:v>
      </x:c>
      <x:c r="E4442" s="25" t="n">
        <x:v>40829.42222222222</x:v>
      </x:c>
      <x:c r="F4442" s="2" t="n">
        <x:v>58</x:v>
      </x:c>
      <x:c r="G4442" s="2" t="n">
        <x:v>1</x:v>
      </x:c>
      <x:c r="H4442" s="11" t="n">
        <x:v>243.84</x:v>
      </x:c>
      <x:c r="I4442" s="2" t="n">
        <x:v>4</x:v>
      </x:c>
      <x:c r="J4442" s="2" t="n">
        <x:v>1</x:v>
      </x:c>
      <x:c r="K4442" s="2" t="n">
        <x:v>1</x:v>
      </x:c>
      <x:c r="L4442" s="2" t="str">
        <x:v>Recent light buyers</x:v>
      </x:c>
    </x:row>
    <x:row r="4443" ht="22" customHeight="1">
      <x:c r="A4443" s="2"/>
      <x:c r="B4443" s="2" t="str">
        <x:v>16794</x:v>
      </x:c>
      <x:c r="C4443" s="2" t="str">
        <x:v>United Kingdom</x:v>
      </x:c>
      <x:c r="D4443" s="25" t="n">
        <x:v>40262.42847222222</x:v>
      </x:c>
      <x:c r="E4443" s="25" t="n">
        <x:v>40885.5375</x:v>
      </x:c>
      <x:c r="F4443" s="2" t="n">
        <x:v>2</x:v>
      </x:c>
      <x:c r="G4443" s="2" t="n">
        <x:v>15</x:v>
      </x:c>
      <x:c r="H4443" s="11" t="n">
        <x:v>2090.91</x:v>
      </x:c>
      <x:c r="I4443" s="2" t="n">
        <x:v>5</x:v>
      </x:c>
      <x:c r="J4443" s="2" t="n">
        <x:v>5</x:v>
      </x:c>
      <x:c r="K4443" s="2" t="n">
        <x:v>4</x:v>
      </x:c>
      <x:c r="L4443" s="2" t="str">
        <x:v>Champions</x:v>
      </x:c>
    </x:row>
    <x:row r="4444" ht="22" customHeight="1">
      <x:c r="A4444" s="2"/>
      <x:c r="B4444" s="2" t="str">
        <x:v>16795</x:v>
      </x:c>
      <x:c r="C4444" s="2" t="str">
        <x:v>United Kingdom</x:v>
      </x:c>
      <x:c r="D4444" s="25" t="n">
        <x:v>40203.34305555555</x:v>
      </x:c>
      <x:c r="E4444" s="25" t="n">
        <x:v>40521.38055555556</x:v>
      </x:c>
      <x:c r="F4444" s="2" t="n">
        <x:v>366</x:v>
      </x:c>
      <x:c r="G4444" s="2" t="n">
        <x:v>3</x:v>
      </x:c>
      <x:c r="H4444" s="11" t="n">
        <x:v>2077.51</x:v>
      </x:c>
      <x:c r="I4444" s="2" t="n">
        <x:v>2</x:v>
      </x:c>
      <x:c r="J4444" s="2" t="n">
        <x:v>3</x:v>
      </x:c>
      <x:c r="K4444" s="2" t="n">
        <x:v>4</x:v>
      </x:c>
      <x:c r="L4444" s="2" t="str">
        <x:v>At risk</x:v>
      </x:c>
    </x:row>
    <x:row r="4445" ht="22" customHeight="1">
      <x:c r="A4445" s="2"/>
      <x:c r="B4445" s="2" t="str">
        <x:v>16796</x:v>
      </x:c>
      <x:c r="C4445" s="2" t="str">
        <x:v>United Kingdom</x:v>
      </x:c>
      <x:c r="D4445" s="25" t="n">
        <x:v>40797.37569444445</x:v>
      </x:c>
      <x:c r="E4445" s="25" t="n">
        <x:v>40797.37569444445</x:v>
      </x:c>
      <x:c r="F4445" s="2" t="n">
        <x:v>90</x:v>
      </x:c>
      <x:c r="G4445" s="2" t="n">
        <x:v>1</x:v>
      </x:c>
      <x:c r="H4445" s="11" t="n">
        <x:v>305.62</x:v>
      </x:c>
      <x:c r="I4445" s="2" t="n">
        <x:v>3</x:v>
      </x:c>
      <x:c r="J4445" s="2" t="n">
        <x:v>1</x:v>
      </x:c>
      <x:c r="K4445" s="2" t="n">
        <x:v>2</x:v>
      </x:c>
      <x:c r="L4445" s="2" t="str">
        <x:v>Developing</x:v>
      </x:c>
    </x:row>
    <x:row r="4446" ht="22" customHeight="1">
      <x:c r="A4446" s="2"/>
      <x:c r="B4446" s="2" t="str">
        <x:v>16797</x:v>
      </x:c>
      <x:c r="C4446" s="2" t="str">
        <x:v>United Kingdom</x:v>
      </x:c>
      <x:c r="D4446" s="25" t="n">
        <x:v>40149.35625</x:v>
      </x:c>
      <x:c r="E4446" s="25" t="n">
        <x:v>40493.59305555555</x:v>
      </x:c>
      <x:c r="F4446" s="2" t="n">
        <x:v>394</x:v>
      </x:c>
      <x:c r="G4446" s="2" t="n">
        <x:v>5</x:v>
      </x:c>
      <x:c r="H4446" s="11" t="n">
        <x:v>1827.77</x:v>
      </x:c>
      <x:c r="I4446" s="2" t="n">
        <x:v>2</x:v>
      </x:c>
      <x:c r="J4446" s="2" t="n">
        <x:v>4</x:v>
      </x:c>
      <x:c r="K4446" s="2" t="n">
        <x:v>4</x:v>
      </x:c>
      <x:c r="L4446" s="2" t="str">
        <x:v>At risk</x:v>
      </x:c>
    </x:row>
    <x:row r="4447" ht="22" customHeight="1">
      <x:c r="A4447" s="2"/>
      <x:c r="B4447" s="2" t="str">
        <x:v>16798</x:v>
      </x:c>
      <x:c r="C4447" s="2" t="str">
        <x:v>United Kingdom</x:v>
      </x:c>
      <x:c r="D4447" s="25" t="n">
        <x:v>40157.60763888889</x:v>
      </x:c>
      <x:c r="E4447" s="25" t="n">
        <x:v>40332.584027777775</x:v>
      </x:c>
      <x:c r="F4447" s="2" t="n">
        <x:v>555</x:v>
      </x:c>
      <x:c r="G4447" s="2" t="n">
        <x:v>3</x:v>
      </x:c>
      <x:c r="H4447" s="11" t="n">
        <x:v>848.71</x:v>
      </x:c>
      <x:c r="I4447" s="2" t="n">
        <x:v>1</x:v>
      </x:c>
      <x:c r="J4447" s="2" t="n">
        <x:v>3</x:v>
      </x:c>
      <x:c r="K4447" s="2" t="n">
        <x:v>3</x:v>
      </x:c>
      <x:c r="L4447" s="2" t="str">
        <x:v>At risk</x:v>
      </x:c>
    </x:row>
    <x:row r="4448" ht="22" customHeight="1">
      <x:c r="A4448" s="2"/>
      <x:c r="B4448" s="2" t="str">
        <x:v>16799</x:v>
      </x:c>
      <x:c r="C4448" s="2" t="str">
        <x:v>United Kingdom</x:v>
      </x:c>
      <x:c r="D4448" s="25" t="n">
        <x:v>40433.32361111111</x:v>
      </x:c>
      <x:c r="E4448" s="25" t="n">
        <x:v>40454.39444444444</x:v>
      </x:c>
      <x:c r="F4448" s="2" t="n">
        <x:v>433</x:v>
      </x:c>
      <x:c r="G4448" s="2" t="n">
        <x:v>2</x:v>
      </x:c>
      <x:c r="H4448" s="11" t="n">
        <x:v>495.98</x:v>
      </x:c>
      <x:c r="I4448" s="2" t="n">
        <x:v>1</x:v>
      </x:c>
      <x:c r="J4448" s="2" t="n">
        <x:v>2</x:v>
      </x:c>
      <x:c r="K4448" s="2" t="n">
        <x:v>2</x:v>
      </x:c>
      <x:c r="L4448" s="2" t="str">
        <x:v>Hibernating</x:v>
      </x:c>
    </x:row>
    <x:row r="4449" ht="22" customHeight="1">
      <x:c r="A4449" s="2"/>
      <x:c r="B4449" s="2" t="str">
        <x:v>16800</x:v>
      </x:c>
      <x:c r="C4449" s="2" t="str">
        <x:v>United Kingdom</x:v>
      </x:c>
      <x:c r="D4449" s="25" t="n">
        <x:v>40875.379166666666</x:v>
      </x:c>
      <x:c r="E4449" s="25" t="n">
        <x:v>40875.379166666666</x:v>
      </x:c>
      <x:c r="F4449" s="2" t="n">
        <x:v>12</x:v>
      </x:c>
      <x:c r="G4449" s="2" t="n">
        <x:v>1</x:v>
      </x:c>
      <x:c r="H4449" s="11" t="n">
        <x:v>1201.49</x:v>
      </x:c>
      <x:c r="I4449" s="2" t="n">
        <x:v>5</x:v>
      </x:c>
      <x:c r="J4449" s="2" t="n">
        <x:v>1</x:v>
      </x:c>
      <x:c r="K4449" s="2" t="n">
        <x:v>3</x:v>
      </x:c>
      <x:c r="L4449" s="2" t="str">
        <x:v>Recent light buyers</x:v>
      </x:c>
    </x:row>
    <x:row r="4450" ht="22" customHeight="1">
      <x:c r="A4450" s="2"/>
      <x:c r="B4450" s="2" t="str">
        <x:v>16801</x:v>
      </x:c>
      <x:c r="C4450" s="2" t="str">
        <x:v>United Kingdom</x:v>
      </x:c>
      <x:c r="D4450" s="25" t="n">
        <x:v>40613.37222222222</x:v>
      </x:c>
      <x:c r="E4450" s="25" t="n">
        <x:v>40723.43958333333</x:v>
      </x:c>
      <x:c r="F4450" s="2" t="n">
        <x:v>164</x:v>
      </x:c>
      <x:c r="G4450" s="2" t="n">
        <x:v>4</x:v>
      </x:c>
      <x:c r="H4450" s="11" t="n">
        <x:v>1619.73</x:v>
      </x:c>
      <x:c r="I4450" s="2" t="n">
        <x:v>3</x:v>
      </x:c>
      <x:c r="J4450" s="2" t="n">
        <x:v>3</x:v>
      </x:c>
      <x:c r="K4450" s="2" t="n">
        <x:v>4</x:v>
      </x:c>
      <x:c r="L4450" s="2" t="str">
        <x:v>Loyal</x:v>
      </x:c>
    </x:row>
    <x:row r="4451" ht="22" customHeight="1">
      <x:c r="A4451" s="2"/>
      <x:c r="B4451" s="2" t="str">
        <x:v>16802</x:v>
      </x:c>
      <x:c r="C4451" s="2" t="str">
        <x:v>United Kingdom</x:v>
      </x:c>
      <x:c r="D4451" s="25" t="n">
        <x:v>40156.333333333336</x:v>
      </x:c>
      <x:c r="E4451" s="25" t="n">
        <x:v>40207.36388888889</x:v>
      </x:c>
      <x:c r="F4451" s="2" t="n">
        <x:v>680</x:v>
      </x:c>
      <x:c r="G4451" s="2" t="n">
        <x:v>2</x:v>
      </x:c>
      <x:c r="H4451" s="11" t="n">
        <x:v>582.61</x:v>
      </x:c>
      <x:c r="I4451" s="2" t="n">
        <x:v>1</x:v>
      </x:c>
      <x:c r="J4451" s="2" t="n">
        <x:v>2</x:v>
      </x:c>
      <x:c r="K4451" s="2" t="n">
        <x:v>2</x:v>
      </x:c>
      <x:c r="L4451" s="2" t="str">
        <x:v>Hibernating</x:v>
      </x:c>
    </x:row>
    <x:row r="4452" ht="22" customHeight="1">
      <x:c r="A4452" s="2"/>
      <x:c r="B4452" s="2" t="str">
        <x:v>16803</x:v>
      </x:c>
      <x:c r="C4452" s="2" t="str">
        <x:v>United Kingdom</x:v>
      </x:c>
      <x:c r="D4452" s="25" t="n">
        <x:v>40821.39444444444</x:v>
      </x:c>
      <x:c r="E4452" s="25" t="n">
        <x:v>40821.39444444444</x:v>
      </x:c>
      <x:c r="F4452" s="2" t="n">
        <x:v>66</x:v>
      </x:c>
      <x:c r="G4452" s="2" t="n">
        <x:v>1</x:v>
      </x:c>
      <x:c r="H4452" s="11" t="n">
        <x:v>332.3</x:v>
      </x:c>
      <x:c r="I4452" s="2" t="n">
        <x:v>3</x:v>
      </x:c>
      <x:c r="J4452" s="2" t="n">
        <x:v>1</x:v>
      </x:c>
      <x:c r="K4452" s="2" t="n">
        <x:v>2</x:v>
      </x:c>
      <x:c r="L4452" s="2" t="str">
        <x:v>Developing</x:v>
      </x:c>
    </x:row>
    <x:row r="4453" ht="22" customHeight="1">
      <x:c r="A4453" s="2"/>
      <x:c r="B4453" s="2" t="str">
        <x:v>16804</x:v>
      </x:c>
      <x:c r="C4453" s="2" t="str">
        <x:v>United Kingdom</x:v>
      </x:c>
      <x:c r="D4453" s="25" t="n">
        <x:v>40616.45</x:v>
      </x:c>
      <x:c r="E4453" s="25" t="n">
        <x:v>40863.48819444444</x:v>
      </x:c>
      <x:c r="F4453" s="2" t="n">
        <x:v>24</x:v>
      </x:c>
      <x:c r="G4453" s="2" t="n">
        <x:v>3</x:v>
      </x:c>
      <x:c r="H4453" s="11" t="n">
        <x:v>536.99</x:v>
      </x:c>
      <x:c r="I4453" s="2" t="n">
        <x:v>4</x:v>
      </x:c>
      <x:c r="J4453" s="2" t="n">
        <x:v>3</x:v>
      </x:c>
      <x:c r="K4453" s="2" t="n">
        <x:v>2</x:v>
      </x:c>
      <x:c r="L4453" s="2" t="str">
        <x:v>Loyal</x:v>
      </x:c>
    </x:row>
    <x:row r="4454" ht="22" customHeight="1">
      <x:c r="A4454" s="2"/>
      <x:c r="B4454" s="2" t="str">
        <x:v>16805</x:v>
      </x:c>
      <x:c r="C4454" s="2" t="str">
        <x:v>United Kingdom</x:v>
      </x:c>
      <x:c r="D4454" s="25" t="n">
        <x:v>40155.39513888889</x:v>
      </x:c>
      <x:c r="E4454" s="25" t="n">
        <x:v>40713.26597222222</x:v>
      </x:c>
      <x:c r="F4454" s="2" t="n">
        <x:v>174</x:v>
      </x:c>
      <x:c r="G4454" s="2" t="n">
        <x:v>5</x:v>
      </x:c>
      <x:c r="H4454" s="11" t="n">
        <x:v>1097.24</x:v>
      </x:c>
      <x:c r="I4454" s="2" t="n">
        <x:v>3</x:v>
      </x:c>
      <x:c r="J4454" s="2" t="n">
        <x:v>4</x:v>
      </x:c>
      <x:c r="K4454" s="2" t="n">
        <x:v>3</x:v>
      </x:c>
      <x:c r="L4454" s="2" t="str">
        <x:v>Loyal</x:v>
      </x:c>
    </x:row>
    <x:row r="4455" ht="22" customHeight="1">
      <x:c r="A4455" s="2"/>
      <x:c r="B4455" s="2" t="str">
        <x:v>16806</x:v>
      </x:c>
      <x:c r="C4455" s="2" t="str">
        <x:v>United Kingdom</x:v>
      </x:c>
      <x:c r="D4455" s="25" t="n">
        <x:v>40647.62430555555</x:v>
      </x:c>
      <x:c r="E4455" s="25" t="n">
        <x:v>40783.43541666667</x:v>
      </x:c>
      <x:c r="F4455" s="2" t="n">
        <x:v>104</x:v>
      </x:c>
      <x:c r="G4455" s="2" t="n">
        <x:v>4</x:v>
      </x:c>
      <x:c r="H4455" s="11" t="n">
        <x:v>801.49</x:v>
      </x:c>
      <x:c r="I4455" s="2" t="n">
        <x:v>3</x:v>
      </x:c>
      <x:c r="J4455" s="2" t="n">
        <x:v>3</x:v>
      </x:c>
      <x:c r="K4455" s="2" t="n">
        <x:v>3</x:v>
      </x:c>
      <x:c r="L4455" s="2" t="str">
        <x:v>Loyal</x:v>
      </x:c>
    </x:row>
    <x:row r="4456" ht="22" customHeight="1">
      <x:c r="A4456" s="2"/>
      <x:c r="B4456" s="2" t="str">
        <x:v>16807</x:v>
      </x:c>
      <x:c r="C4456" s="2" t="str">
        <x:v>United Kingdom</x:v>
      </x:c>
      <x:c r="D4456" s="25" t="n">
        <x:v>40263.40138888889</x:v>
      </x:c>
      <x:c r="E4456" s="25" t="n">
        <x:v>40744.291666666664</x:v>
      </x:c>
      <x:c r="F4456" s="2" t="n">
        <x:v>143</x:v>
      </x:c>
      <x:c r="G4456" s="2" t="n">
        <x:v>6</x:v>
      </x:c>
      <x:c r="H4456" s="11" t="n">
        <x:v>2123.88</x:v>
      </x:c>
      <x:c r="I4456" s="2" t="n">
        <x:v>3</x:v>
      </x:c>
      <x:c r="J4456" s="2" t="n">
        <x:v>4</x:v>
      </x:c>
      <x:c r="K4456" s="2" t="n">
        <x:v>4</x:v>
      </x:c>
      <x:c r="L4456" s="2" t="str">
        <x:v>Loyal</x:v>
      </x:c>
    </x:row>
    <x:row r="4457" ht="22" customHeight="1">
      <x:c r="A4457" s="2"/>
      <x:c r="B4457" s="2" t="str">
        <x:v>16808</x:v>
      </x:c>
      <x:c r="C4457" s="2" t="str">
        <x:v>United Kingdom</x:v>
      </x:c>
      <x:c r="D4457" s="25" t="n">
        <x:v>40612.586805555555</x:v>
      </x:c>
      <x:c r="E4457" s="25" t="n">
        <x:v>40787.606944444444</x:v>
      </x:c>
      <x:c r="F4457" s="2" t="n">
        <x:v>100</x:v>
      </x:c>
      <x:c r="G4457" s="2" t="n">
        <x:v>2</x:v>
      </x:c>
      <x:c r="H4457" s="11" t="n">
        <x:v>288.42</x:v>
      </x:c>
      <x:c r="I4457" s="2" t="n">
        <x:v>3</x:v>
      </x:c>
      <x:c r="J4457" s="2" t="n">
        <x:v>2</x:v>
      </x:c>
      <x:c r="K4457" s="2" t="n">
        <x:v>2</x:v>
      </x:c>
      <x:c r="L4457" s="2" t="str">
        <x:v>Developing</x:v>
      </x:c>
    </x:row>
    <x:row r="4458" ht="22" customHeight="1">
      <x:c r="A4458" s="2"/>
      <x:c r="B4458" s="2" t="str">
        <x:v>16809</x:v>
      </x:c>
      <x:c r="C4458" s="2" t="str">
        <x:v>United Kingdom</x:v>
      </x:c>
      <x:c r="D4458" s="25" t="n">
        <x:v>40281.44027777778</x:v>
      </x:c>
      <x:c r="E4458" s="25" t="n">
        <x:v>40863.447916666664</x:v>
      </x:c>
      <x:c r="F4458" s="2" t="n">
        <x:v>24</x:v>
      </x:c>
      <x:c r="G4458" s="2" t="n">
        <x:v>9</x:v>
      </x:c>
      <x:c r="H4458" s="11" t="n">
        <x:v>1727.43</x:v>
      </x:c>
      <x:c r="I4458" s="2" t="n">
        <x:v>4</x:v>
      </x:c>
      <x:c r="J4458" s="2" t="n">
        <x:v>5</x:v>
      </x:c>
      <x:c r="K4458" s="2" t="n">
        <x:v>4</x:v>
      </x:c>
      <x:c r="L4458" s="2" t="str">
        <x:v>Champions</x:v>
      </x:c>
    </x:row>
    <x:row r="4459" ht="22" customHeight="1">
      <x:c r="A4459" s="2"/>
      <x:c r="B4459" s="2" t="str">
        <x:v>16810</x:v>
      </x:c>
      <x:c r="C4459" s="2" t="str">
        <x:v>United Kingdom</x:v>
      </x:c>
      <x:c r="D4459" s="25" t="n">
        <x:v>40466.438888888886</x:v>
      </x:c>
      <x:c r="E4459" s="25" t="n">
        <x:v>40694.438888888886</x:v>
      </x:c>
      <x:c r="F4459" s="2" t="n">
        <x:v>193</x:v>
      </x:c>
      <x:c r="G4459" s="2" t="n">
        <x:v>2</x:v>
      </x:c>
      <x:c r="H4459" s="11" t="n">
        <x:v>842.04</x:v>
      </x:c>
      <x:c r="I4459" s="2" t="n">
        <x:v>2</x:v>
      </x:c>
      <x:c r="J4459" s="2" t="n">
        <x:v>2</x:v>
      </x:c>
      <x:c r="K4459" s="2" t="n">
        <x:v>3</x:v>
      </x:c>
      <x:c r="L4459" s="2" t="str">
        <x:v>Hibernating</x:v>
      </x:c>
    </x:row>
    <x:row r="4460" ht="22" customHeight="1">
      <x:c r="A4460" s="2"/>
      <x:c r="B4460" s="2" t="str">
        <x:v>16811</x:v>
      </x:c>
      <x:c r="C4460" s="2" t="str">
        <x:v>United Kingdom</x:v>
      </x:c>
      <x:c r="D4460" s="25" t="n">
        <x:v>40869.513194444444</x:v>
      </x:c>
      <x:c r="E4460" s="25" t="n">
        <x:v>40882.277083333334</x:v>
      </x:c>
      <x:c r="F4460" s="2" t="n">
        <x:v>5</x:v>
      </x:c>
      <x:c r="G4460" s="2" t="n">
        <x:v>2</x:v>
      </x:c>
      <x:c r="H4460" s="11" t="n">
        <x:v>547.07</x:v>
      </x:c>
      <x:c r="I4460" s="2" t="n">
        <x:v>5</x:v>
      </x:c>
      <x:c r="J4460" s="2" t="n">
        <x:v>2</x:v>
      </x:c>
      <x:c r="K4460" s="2" t="n">
        <x:v>2</x:v>
      </x:c>
      <x:c r="L4460" s="2" t="str">
        <x:v>Recent light buyers</x:v>
      </x:c>
    </x:row>
    <x:row r="4461" ht="22" customHeight="1">
      <x:c r="A4461" s="2"/>
      <x:c r="B4461" s="2" t="str">
        <x:v>16812</x:v>
      </x:c>
      <x:c r="C4461" s="2" t="str">
        <x:v>United Kingdom</x:v>
      </x:c>
      <x:c r="D4461" s="25" t="n">
        <x:v>40504.4</x:v>
      </x:c>
      <x:c r="E4461" s="25" t="n">
        <x:v>40526.31597222222</x:v>
      </x:c>
      <x:c r="F4461" s="2" t="n">
        <x:v>361</x:v>
      </x:c>
      <x:c r="G4461" s="2" t="n">
        <x:v>4</x:v>
      </x:c>
      <x:c r="H4461" s="11" t="n">
        <x:v>2392</x:v>
      </x:c>
      <x:c r="I4461" s="2" t="n">
        <x:v>2</x:v>
      </x:c>
      <x:c r="J4461" s="2" t="n">
        <x:v>3</x:v>
      </x:c>
      <x:c r="K4461" s="2" t="n">
        <x:v>4</x:v>
      </x:c>
      <x:c r="L4461" s="2" t="str">
        <x:v>At risk</x:v>
      </x:c>
    </x:row>
    <x:row r="4462" ht="22" customHeight="1">
      <x:c r="A4462" s="2"/>
      <x:c r="B4462" s="2" t="str">
        <x:v>16813</x:v>
      </x:c>
      <x:c r="C4462" s="2" t="str">
        <x:v>United Kingdom</x:v>
      </x:c>
      <x:c r="D4462" s="25" t="n">
        <x:v>40682.35277777778</x:v>
      </x:c>
      <x:c r="E4462" s="25" t="n">
        <x:v>40878.37708333333</x:v>
      </x:c>
      <x:c r="F4462" s="2" t="n">
        <x:v>9</x:v>
      </x:c>
      <x:c r="G4462" s="2" t="n">
        <x:v>10</x:v>
      </x:c>
      <x:c r="H4462" s="11" t="n">
        <x:v>1692.98</x:v>
      </x:c>
      <x:c r="I4462" s="2" t="n">
        <x:v>5</x:v>
      </x:c>
      <x:c r="J4462" s="2" t="n">
        <x:v>5</x:v>
      </x:c>
      <x:c r="K4462" s="2" t="n">
        <x:v>4</x:v>
      </x:c>
      <x:c r="L4462" s="2" t="str">
        <x:v>Champions</x:v>
      </x:c>
    </x:row>
    <x:row r="4463" ht="22" customHeight="1">
      <x:c r="A4463" s="2"/>
      <x:c r="B4463" s="2" t="str">
        <x:v>16814</x:v>
      </x:c>
      <x:c r="C4463" s="2" t="str">
        <x:v>United Kingdom</x:v>
      </x:c>
      <x:c r="D4463" s="25" t="n">
        <x:v>40279.322916666664</x:v>
      </x:c>
      <x:c r="E4463" s="25" t="n">
        <x:v>40872.35208333333</x:v>
      </x:c>
      <x:c r="F4463" s="2" t="n">
        <x:v>15</x:v>
      </x:c>
      <x:c r="G4463" s="2" t="n">
        <x:v>36</x:v>
      </x:c>
      <x:c r="H4463" s="11" t="n">
        <x:v>12226.42</x:v>
      </x:c>
      <x:c r="I4463" s="2" t="n">
        <x:v>5</x:v>
      </x:c>
      <x:c r="J4463" s="2" t="n">
        <x:v>5</x:v>
      </x:c>
      <x:c r="K4463" s="2" t="n">
        <x:v>5</x:v>
      </x:c>
      <x:c r="L4463" s="2" t="str">
        <x:v>Champions</x:v>
      </x:c>
    </x:row>
    <x:row r="4464" ht="22" customHeight="1">
      <x:c r="A4464" s="2"/>
      <x:c r="B4464" s="2" t="str">
        <x:v>16815</x:v>
      </x:c>
      <x:c r="C4464" s="2" t="str">
        <x:v>United Kingdom</x:v>
      </x:c>
      <x:c r="D4464" s="25" t="n">
        <x:v>40350.29513888889</x:v>
      </x:c>
      <x:c r="E4464" s="25" t="n">
        <x:v>40433.24930555555</x:v>
      </x:c>
      <x:c r="F4464" s="2" t="n">
        <x:v>454</x:v>
      </x:c>
      <x:c r="G4464" s="2" t="n">
        <x:v>2</x:v>
      </x:c>
      <x:c r="H4464" s="11" t="n">
        <x:v>410.97</x:v>
      </x:c>
      <x:c r="I4464" s="2" t="n">
        <x:v>1</x:v>
      </x:c>
      <x:c r="J4464" s="2" t="n">
        <x:v>2</x:v>
      </x:c>
      <x:c r="K4464" s="2" t="n">
        <x:v>2</x:v>
      </x:c>
      <x:c r="L4464" s="2" t="str">
        <x:v>Hibernating</x:v>
      </x:c>
    </x:row>
    <x:row r="4465" ht="22" customHeight="1">
      <x:c r="A4465" s="2"/>
      <x:c r="B4465" s="2" t="str">
        <x:v>16816</x:v>
      </x:c>
      <x:c r="C4465" s="2" t="str">
        <x:v>United Kingdom</x:v>
      </x:c>
      <x:c r="D4465" s="25" t="n">
        <x:v>40528.50069444445</x:v>
      </x:c>
      <x:c r="E4465" s="25" t="n">
        <x:v>40783.38611111111</x:v>
      </x:c>
      <x:c r="F4465" s="2" t="n">
        <x:v>104</x:v>
      </x:c>
      <x:c r="G4465" s="2" t="n">
        <x:v>4</x:v>
      </x:c>
      <x:c r="H4465" s="11" t="n">
        <x:v>417.06</x:v>
      </x:c>
      <x:c r="I4465" s="2" t="n">
        <x:v>3</x:v>
      </x:c>
      <x:c r="J4465" s="2" t="n">
        <x:v>3</x:v>
      </x:c>
      <x:c r="K4465" s="2" t="n">
        <x:v>2</x:v>
      </x:c>
      <x:c r="L4465" s="2" t="str">
        <x:v>Loyal</x:v>
      </x:c>
    </x:row>
    <x:row r="4466" ht="22" customHeight="1">
      <x:c r="A4466" s="2"/>
      <x:c r="B4466" s="2" t="str">
        <x:v>16817</x:v>
      </x:c>
      <x:c r="C4466" s="2" t="str">
        <x:v>United Kingdom</x:v>
      </x:c>
      <x:c r="D4466" s="25" t="n">
        <x:v>40455.17083333333</x:v>
      </x:c>
      <x:c r="E4466" s="25" t="n">
        <x:v>40884.25208333333</x:v>
      </x:c>
      <x:c r="F4466" s="2" t="n">
        <x:v>3</x:v>
      </x:c>
      <x:c r="G4466" s="2" t="n">
        <x:v>13</x:v>
      </x:c>
      <x:c r="H4466" s="11" t="n">
        <x:v>2560.7</x:v>
      </x:c>
      <x:c r="I4466" s="2" t="n">
        <x:v>5</x:v>
      </x:c>
      <x:c r="J4466" s="2" t="n">
        <x:v>5</x:v>
      </x:c>
      <x:c r="K4466" s="2" t="n">
        <x:v>4</x:v>
      </x:c>
      <x:c r="L4466" s="2" t="str">
        <x:v>Champions</x:v>
      </x:c>
    </x:row>
    <x:row r="4467" ht="22" customHeight="1">
      <x:c r="A4467" s="2"/>
      <x:c r="B4467" s="2" t="str">
        <x:v>16818</x:v>
      </x:c>
      <x:c r="C4467" s="2" t="str">
        <x:v>United Kingdom</x:v>
      </x:c>
      <x:c r="D4467" s="25" t="n">
        <x:v>40681.27916666667</x:v>
      </x:c>
      <x:c r="E4467" s="25" t="n">
        <x:v>40876.236805555556</x:v>
      </x:c>
      <x:c r="F4467" s="2" t="n">
        <x:v>11</x:v>
      </x:c>
      <x:c r="G4467" s="2" t="n">
        <x:v>11</x:v>
      </x:c>
      <x:c r="H4467" s="11" t="n">
        <x:v>3349.57</x:v>
      </x:c>
      <x:c r="I4467" s="2" t="n">
        <x:v>5</x:v>
      </x:c>
      <x:c r="J4467" s="2" t="n">
        <x:v>5</x:v>
      </x:c>
      <x:c r="K4467" s="2" t="n">
        <x:v>5</x:v>
      </x:c>
      <x:c r="L4467" s="2" t="str">
        <x:v>Champions</x:v>
      </x:c>
    </x:row>
    <x:row r="4468" ht="22" customHeight="1">
      <x:c r="A4468" s="2"/>
      <x:c r="B4468" s="2" t="str">
        <x:v>16819</x:v>
      </x:c>
      <x:c r="C4468" s="2" t="str">
        <x:v>United Kingdom</x:v>
      </x:c>
      <x:c r="D4468" s="25" t="n">
        <x:v>40421.521527777775</x:v>
      </x:c>
      <x:c r="E4468" s="25" t="n">
        <x:v>40421.52569444444</x:v>
      </x:c>
      <x:c r="F4468" s="2" t="n">
        <x:v>466</x:v>
      </x:c>
      <x:c r="G4468" s="2" t="n">
        <x:v>2</x:v>
      </x:c>
      <x:c r="H4468" s="11" t="n">
        <x:v>182.59</x:v>
      </x:c>
      <x:c r="I4468" s="2" t="n">
        <x:v>1</x:v>
      </x:c>
      <x:c r="J4468" s="2" t="n">
        <x:v>2</x:v>
      </x:c>
      <x:c r="K4468" s="2" t="n">
        <x:v>1</x:v>
      </x:c>
      <x:c r="L4468" s="2" t="str">
        <x:v>Hibernating</x:v>
      </x:c>
    </x:row>
    <x:row r="4469" ht="22" customHeight="1">
      <x:c r="A4469" s="2"/>
      <x:c r="B4469" s="2" t="str">
        <x:v>16820</x:v>
      </x:c>
      <x:c r="C4469" s="2" t="str">
        <x:v>United Kingdom</x:v>
      </x:c>
      <x:c r="D4469" s="25" t="n">
        <x:v>40791.29583333333</x:v>
      </x:c>
      <x:c r="E4469" s="25" t="n">
        <x:v>40791.29583333333</x:v>
      </x:c>
      <x:c r="F4469" s="2" t="n">
        <x:v>96</x:v>
      </x:c>
      <x:c r="G4469" s="2" t="n">
        <x:v>1</x:v>
      </x:c>
      <x:c r="H4469" s="11" t="n">
        <x:v>497.61</x:v>
      </x:c>
      <x:c r="I4469" s="2" t="n">
        <x:v>3</x:v>
      </x:c>
      <x:c r="J4469" s="2" t="n">
        <x:v>1</x:v>
      </x:c>
      <x:c r="K4469" s="2" t="n">
        <x:v>2</x:v>
      </x:c>
      <x:c r="L4469" s="2" t="str">
        <x:v>Developing</x:v>
      </x:c>
    </x:row>
    <x:row r="4470" ht="22" customHeight="1">
      <x:c r="A4470" s="2"/>
      <x:c r="B4470" s="2" t="str">
        <x:v>16821</x:v>
      </x:c>
      <x:c r="C4470" s="2" t="str">
        <x:v>United Kingdom</x:v>
      </x:c>
      <x:c r="D4470" s="25" t="n">
        <x:v>40505.21111111111</x:v>
      </x:c>
      <x:c r="E4470" s="25" t="n">
        <x:v>40505.21111111111</x:v>
      </x:c>
      <x:c r="F4470" s="2" t="n">
        <x:v>382</x:v>
      </x:c>
      <x:c r="G4470" s="2" t="n">
        <x:v>1</x:v>
      </x:c>
      <x:c r="H4470" s="11" t="n">
        <x:v>113.35</x:v>
      </x:c>
      <x:c r="I4470" s="2" t="n">
        <x:v>2</x:v>
      </x:c>
      <x:c r="J4470" s="2" t="n">
        <x:v>1</x:v>
      </x:c>
      <x:c r="K4470" s="2" t="n">
        <x:v>1</x:v>
      </x:c>
      <x:c r="L4470" s="2" t="str">
        <x:v>Hibernating</x:v>
      </x:c>
    </x:row>
    <x:row r="4471" ht="22" customHeight="1">
      <x:c r="A4471" s="2"/>
      <x:c r="B4471" s="2" t="str">
        <x:v>16822</x:v>
      </x:c>
      <x:c r="C4471" s="2" t="str">
        <x:v>United Kingdom</x:v>
      </x:c>
      <x:c r="D4471" s="25" t="n">
        <x:v>40200.39027777778</x:v>
      </x:c>
      <x:c r="E4471" s="25" t="n">
        <x:v>40200.39027777778</x:v>
      </x:c>
      <x:c r="F4471" s="2" t="n">
        <x:v>687</x:v>
      </x:c>
      <x:c r="G4471" s="2" t="n">
        <x:v>1</x:v>
      </x:c>
      <x:c r="H4471" s="11" t="n">
        <x:v>181.39</x:v>
      </x:c>
      <x:c r="I4471" s="2" t="n">
        <x:v>1</x:v>
      </x:c>
      <x:c r="J4471" s="2" t="n">
        <x:v>1</x:v>
      </x:c>
      <x:c r="K4471" s="2" t="n">
        <x:v>1</x:v>
      </x:c>
      <x:c r="L4471" s="2" t="str">
        <x:v>Hibernating</x:v>
      </x:c>
    </x:row>
    <x:row r="4472" ht="22" customHeight="1">
      <x:c r="A4472" s="2"/>
      <x:c r="B4472" s="2" t="str">
        <x:v>16823</x:v>
      </x:c>
      <x:c r="C4472" s="2" t="str">
        <x:v>United Kingdom</x:v>
      </x:c>
      <x:c r="D4472" s="25" t="n">
        <x:v>40149.20625</x:v>
      </x:c>
      <x:c r="E4472" s="25" t="n">
        <x:v>40659.416666666664</x:v>
      </x:c>
      <x:c r="F4472" s="2" t="n">
        <x:v>228</x:v>
      </x:c>
      <x:c r="G4472" s="2" t="n">
        <x:v>7</x:v>
      </x:c>
      <x:c r="H4472" s="11" t="n">
        <x:v>2260.09</x:v>
      </x:c>
      <x:c r="I4472" s="2" t="n">
        <x:v>2</x:v>
      </x:c>
      <x:c r="J4472" s="2" t="n">
        <x:v>4</x:v>
      </x:c>
      <x:c r="K4472" s="2" t="n">
        <x:v>4</x:v>
      </x:c>
      <x:c r="L4472" s="2" t="str">
        <x:v>At risk</x:v>
      </x:c>
    </x:row>
    <x:row r="4473" ht="22" customHeight="1">
      <x:c r="A4473" s="2"/>
      <x:c r="B4473" s="2" t="str">
        <x:v>16824</x:v>
      </x:c>
      <x:c r="C4473" s="2" t="str">
        <x:v>United Kingdom</x:v>
      </x:c>
      <x:c r="D4473" s="25" t="n">
        <x:v>40493.30625</x:v>
      </x:c>
      <x:c r="E4473" s="25" t="n">
        <x:v>40871.31805555556</x:v>
      </x:c>
      <x:c r="F4473" s="2" t="n">
        <x:v>16</x:v>
      </x:c>
      <x:c r="G4473" s="2" t="n">
        <x:v>3</x:v>
      </x:c>
      <x:c r="H4473" s="11" t="n">
        <x:v>686.24</x:v>
      </x:c>
      <x:c r="I4473" s="2" t="n">
        <x:v>5</x:v>
      </x:c>
      <x:c r="J4473" s="2" t="n">
        <x:v>3</x:v>
      </x:c>
      <x:c r="K4473" s="2" t="n">
        <x:v>3</x:v>
      </x:c>
      <x:c r="L4473" s="2" t="str">
        <x:v>Loyal</x:v>
      </x:c>
    </x:row>
    <x:row r="4474" ht="22" customHeight="1">
      <x:c r="A4474" s="2"/>
      <x:c r="B4474" s="2" t="str">
        <x:v>16825</x:v>
      </x:c>
      <x:c r="C4474" s="2" t="str">
        <x:v>United Kingdom</x:v>
      </x:c>
      <x:c r="D4474" s="25" t="n">
        <x:v>40352.34305555555</x:v>
      </x:c>
      <x:c r="E4474" s="25" t="n">
        <x:v>40848.285416666666</x:v>
      </x:c>
      <x:c r="F4474" s="2" t="n">
        <x:v>39</x:v>
      </x:c>
      <x:c r="G4474" s="2" t="n">
        <x:v>5</x:v>
      </x:c>
      <x:c r="H4474" s="11" t="n">
        <x:v>1826.89</x:v>
      </x:c>
      <x:c r="I4474" s="2" t="n">
        <x:v>4</x:v>
      </x:c>
      <x:c r="J4474" s="2" t="n">
        <x:v>4</x:v>
      </x:c>
      <x:c r="K4474" s="2" t="n">
        <x:v>4</x:v>
      </x:c>
      <x:c r="L4474" s="2" t="str">
        <x:v>Champions</x:v>
      </x:c>
    </x:row>
    <x:row r="4475" ht="22" customHeight="1">
      <x:c r="A4475" s="2"/>
      <x:c r="B4475" s="2" t="str">
        <x:v>16826</x:v>
      </x:c>
      <x:c r="C4475" s="2" t="str">
        <x:v>United Kingdom</x:v>
      </x:c>
      <x:c r="D4475" s="25" t="n">
        <x:v>40835.37847222222</x:v>
      </x:c>
      <x:c r="E4475" s="25" t="n">
        <x:v>40835.37847222222</x:v>
      </x:c>
      <x:c r="F4475" s="2" t="n">
        <x:v>52</x:v>
      </x:c>
      <x:c r="G4475" s="2" t="n">
        <x:v>1</x:v>
      </x:c>
      <x:c r="H4475" s="11" t="n">
        <x:v>341.7</x:v>
      </x:c>
      <x:c r="I4475" s="2" t="n">
        <x:v>4</x:v>
      </x:c>
      <x:c r="J4475" s="2" t="n">
        <x:v>1</x:v>
      </x:c>
      <x:c r="K4475" s="2" t="n">
        <x:v>2</x:v>
      </x:c>
      <x:c r="L4475" s="2" t="str">
        <x:v>Recent light buyers</x:v>
      </x:c>
    </x:row>
    <x:row r="4476" ht="22" customHeight="1">
      <x:c r="A4476" s="2"/>
      <x:c r="B4476" s="2" t="str">
        <x:v>16827</x:v>
      </x:c>
      <x:c r="C4476" s="2" t="str">
        <x:v>United Kingdom</x:v>
      </x:c>
      <x:c r="D4476" s="25" t="n">
        <x:v>40297.58819444444</x:v>
      </x:c>
      <x:c r="E4476" s="25" t="n">
        <x:v>40493.37777777778</x:v>
      </x:c>
      <x:c r="F4476" s="2" t="n">
        <x:v>394</x:v>
      </x:c>
      <x:c r="G4476" s="2" t="n">
        <x:v>5</x:v>
      </x:c>
      <x:c r="H4476" s="11" t="n">
        <x:v>392.13</x:v>
      </x:c>
      <x:c r="I4476" s="2" t="n">
        <x:v>2</x:v>
      </x:c>
      <x:c r="J4476" s="2" t="n">
        <x:v>4</x:v>
      </x:c>
      <x:c r="K4476" s="2" t="n">
        <x:v>2</x:v>
      </x:c>
      <x:c r="L4476" s="2" t="str">
        <x:v>At risk</x:v>
      </x:c>
    </x:row>
    <x:row r="4477" ht="22" customHeight="1">
      <x:c r="A4477" s="2"/>
      <x:c r="B4477" s="2" t="str">
        <x:v>16828</x:v>
      </x:c>
      <x:c r="C4477" s="2" t="str">
        <x:v>United Kingdom</x:v>
      </x:c>
      <x:c r="D4477" s="25" t="n">
        <x:v>40774.35</x:v>
      </x:c>
      <x:c r="E4477" s="25" t="n">
        <x:v>40793.42361111111</x:v>
      </x:c>
      <x:c r="F4477" s="2" t="n">
        <x:v>94</x:v>
      </x:c>
      <x:c r="G4477" s="2" t="n">
        <x:v>2</x:v>
      </x:c>
      <x:c r="H4477" s="11" t="n">
        <x:v>128.5</x:v>
      </x:c>
      <x:c r="I4477" s="2" t="n">
        <x:v>3</x:v>
      </x:c>
      <x:c r="J4477" s="2" t="n">
        <x:v>2</x:v>
      </x:c>
      <x:c r="K4477" s="2" t="n">
        <x:v>1</x:v>
      </x:c>
      <x:c r="L4477" s="2" t="str">
        <x:v>Developing</x:v>
      </x:c>
    </x:row>
    <x:row r="4478" ht="22" customHeight="1">
      <x:c r="A4478" s="2"/>
      <x:c r="B4478" s="2" t="str">
        <x:v>16829</x:v>
      </x:c>
      <x:c r="C4478" s="2" t="str">
        <x:v>United Kingdom</x:v>
      </x:c>
      <x:c r="D4478" s="25" t="n">
        <x:v>40498.549305555556</x:v>
      </x:c>
      <x:c r="E4478" s="25" t="n">
        <x:v>40730.24166666667</x:v>
      </x:c>
      <x:c r="F4478" s="2" t="n">
        <x:v>157</x:v>
      </x:c>
      <x:c r="G4478" s="2" t="n">
        <x:v>2</x:v>
      </x:c>
      <x:c r="H4478" s="11" t="n">
        <x:v>513.32</x:v>
      </x:c>
      <x:c r="I4478" s="2" t="n">
        <x:v>3</x:v>
      </x:c>
      <x:c r="J4478" s="2" t="n">
        <x:v>2</x:v>
      </x:c>
      <x:c r="K4478" s="2" t="n">
        <x:v>2</x:v>
      </x:c>
      <x:c r="L4478" s="2" t="str">
        <x:v>Developing</x:v>
      </x:c>
    </x:row>
    <x:row r="4479" ht="22" customHeight="1">
      <x:c r="A4479" s="2"/>
      <x:c r="B4479" s="2" t="str">
        <x:v>16830</x:v>
      </x:c>
      <x:c r="C4479" s="2" t="str">
        <x:v>United Kingdom</x:v>
      </x:c>
      <x:c r="D4479" s="25" t="n">
        <x:v>40160.299305555556</x:v>
      </x:c>
      <x:c r="E4479" s="25" t="n">
        <x:v>40848.274305555555</x:v>
      </x:c>
      <x:c r="F4479" s="2" t="n">
        <x:v>39</x:v>
      </x:c>
      <x:c r="G4479" s="2" t="n">
        <x:v>4</x:v>
      </x:c>
      <x:c r="H4479" s="11" t="n">
        <x:v>1207.5</x:v>
      </x:c>
      <x:c r="I4479" s="2" t="n">
        <x:v>4</x:v>
      </x:c>
      <x:c r="J4479" s="2" t="n">
        <x:v>3</x:v>
      </x:c>
      <x:c r="K4479" s="2" t="n">
        <x:v>3</x:v>
      </x:c>
      <x:c r="L4479" s="2" t="str">
        <x:v>Loyal</x:v>
      </x:c>
    </x:row>
    <x:row r="4480" ht="22" customHeight="1">
      <x:c r="A4480" s="2"/>
      <x:c r="B4480" s="2" t="str">
        <x:v>16831</x:v>
      </x:c>
      <x:c r="C4480" s="2" t="str">
        <x:v>United Kingdom</x:v>
      </x:c>
      <x:c r="D4480" s="25" t="n">
        <x:v>40322.17222222222</x:v>
      </x:c>
      <x:c r="E4480" s="25" t="n">
        <x:v>40322.17222222222</x:v>
      </x:c>
      <x:c r="F4480" s="2" t="n">
        <x:v>565</x:v>
      </x:c>
      <x:c r="G4480" s="2" t="n">
        <x:v>1</x:v>
      </x:c>
      <x:c r="H4480" s="11" t="n">
        <x:v>91.8</x:v>
      </x:c>
      <x:c r="I4480" s="2" t="n">
        <x:v>1</x:v>
      </x:c>
      <x:c r="J4480" s="2" t="n">
        <x:v>1</x:v>
      </x:c>
      <x:c r="K4480" s="2" t="n">
        <x:v>1</x:v>
      </x:c>
      <x:c r="L4480" s="2" t="str">
        <x:v>Hibernating</x:v>
      </x:c>
    </x:row>
    <x:row r="4481" ht="22" customHeight="1">
      <x:c r="A4481" s="2"/>
      <x:c r="B4481" s="2" t="str">
        <x:v>16832</x:v>
      </x:c>
      <x:c r="C4481" s="2" t="str">
        <x:v>United Kingdom</x:v>
      </x:c>
      <x:c r="D4481" s="25" t="n">
        <x:v>40428.31597222222</x:v>
      </x:c>
      <x:c r="E4481" s="25" t="n">
        <x:v>40702.441666666666</x:v>
      </x:c>
      <x:c r="F4481" s="2" t="n">
        <x:v>185</x:v>
      </x:c>
      <x:c r="G4481" s="2" t="n">
        <x:v>5</x:v>
      </x:c>
      <x:c r="H4481" s="11" t="n">
        <x:v>417.61</x:v>
      </x:c>
      <x:c r="I4481" s="2" t="n">
        <x:v>3</x:v>
      </x:c>
      <x:c r="J4481" s="2" t="n">
        <x:v>4</x:v>
      </x:c>
      <x:c r="K4481" s="2" t="n">
        <x:v>2</x:v>
      </x:c>
      <x:c r="L4481" s="2" t="str">
        <x:v>Loyal</x:v>
      </x:c>
    </x:row>
    <x:row r="4482" ht="22" customHeight="1">
      <x:c r="A4482" s="2"/>
      <x:c r="B4482" s="2" t="str">
        <x:v>16833</x:v>
      </x:c>
      <x:c r="C4482" s="2" t="str">
        <x:v>United Kingdom</x:v>
      </x:c>
      <x:c r="D4482" s="25" t="n">
        <x:v>40263.43819444445</x:v>
      </x:c>
      <x:c r="E4482" s="25" t="n">
        <x:v>40885.402083333334</x:v>
      </x:c>
      <x:c r="F4482" s="2" t="n">
        <x:v>2</x:v>
      </x:c>
      <x:c r="G4482" s="2" t="n">
        <x:v>6</x:v>
      </x:c>
      <x:c r="H4482" s="11" t="n">
        <x:v>2409.04</x:v>
      </x:c>
      <x:c r="I4482" s="2" t="n">
        <x:v>5</x:v>
      </x:c>
      <x:c r="J4482" s="2" t="n">
        <x:v>4</x:v>
      </x:c>
      <x:c r="K4482" s="2" t="n">
        <x:v>4</x:v>
      </x:c>
      <x:c r="L4482" s="2" t="str">
        <x:v>Champions</x:v>
      </x:c>
    </x:row>
    <x:row r="4483" ht="22" customHeight="1">
      <x:c r="A4483" s="2"/>
      <x:c r="B4483" s="2" t="str">
        <x:v>16834</x:v>
      </x:c>
      <x:c r="C4483" s="2" t="str">
        <x:v>United Kingdom</x:v>
      </x:c>
      <x:c r="D4483" s="25" t="n">
        <x:v>40212.39166666667</x:v>
      </x:c>
      <x:c r="E4483" s="25" t="n">
        <x:v>40659.19236111111</x:v>
      </x:c>
      <x:c r="F4483" s="2" t="n">
        <x:v>228</x:v>
      </x:c>
      <x:c r="G4483" s="2" t="n">
        <x:v>2</x:v>
      </x:c>
      <x:c r="H4483" s="11" t="n">
        <x:v>898.96</x:v>
      </x:c>
      <x:c r="I4483" s="2" t="n">
        <x:v>2</x:v>
      </x:c>
      <x:c r="J4483" s="2" t="n">
        <x:v>2</x:v>
      </x:c>
      <x:c r="K4483" s="2" t="n">
        <x:v>3</x:v>
      </x:c>
      <x:c r="L4483" s="2" t="str">
        <x:v>Hibernating</x:v>
      </x:c>
    </x:row>
    <x:row r="4484" ht="22" customHeight="1">
      <x:c r="A4484" s="2"/>
      <x:c r="B4484" s="2" t="str">
        <x:v>16835</x:v>
      </x:c>
      <x:c r="C4484" s="2" t="str">
        <x:v>United Kingdom</x:v>
      </x:c>
      <x:c r="D4484" s="25" t="n">
        <x:v>40317.15347222222</x:v>
      </x:c>
      <x:c r="E4484" s="25" t="n">
        <x:v>40758.368055555555</x:v>
      </x:c>
      <x:c r="F4484" s="2" t="n">
        <x:v>129</x:v>
      </x:c>
      <x:c r="G4484" s="2" t="n">
        <x:v>6</x:v>
      </x:c>
      <x:c r="H4484" s="11" t="n">
        <x:v>1456.66</x:v>
      </x:c>
      <x:c r="I4484" s="2" t="n">
        <x:v>3</x:v>
      </x:c>
      <x:c r="J4484" s="2" t="n">
        <x:v>4</x:v>
      </x:c>
      <x:c r="K4484" s="2" t="n">
        <x:v>4</x:v>
      </x:c>
      <x:c r="L4484" s="2" t="str">
        <x:v>Loyal</x:v>
      </x:c>
    </x:row>
    <x:row r="4485" ht="22" customHeight="1">
      <x:c r="A4485" s="2"/>
      <x:c r="B4485" s="2" t="str">
        <x:v>16836</x:v>
      </x:c>
      <x:c r="C4485" s="2" t="str">
        <x:v>United Kingdom</x:v>
      </x:c>
      <x:c r="D4485" s="25" t="n">
        <x:v>40312.32777777778</x:v>
      </x:c>
      <x:c r="E4485" s="25" t="n">
        <x:v>40847.211805555555</x:v>
      </x:c>
      <x:c r="F4485" s="2" t="n">
        <x:v>40</x:v>
      </x:c>
      <x:c r="G4485" s="2" t="n">
        <x:v>4</x:v>
      </x:c>
      <x:c r="H4485" s="11" t="n">
        <x:v>782.37</x:v>
      </x:c>
      <x:c r="I4485" s="2" t="n">
        <x:v>4</x:v>
      </x:c>
      <x:c r="J4485" s="2" t="n">
        <x:v>3</x:v>
      </x:c>
      <x:c r="K4485" s="2" t="n">
        <x:v>3</x:v>
      </x:c>
      <x:c r="L4485" s="2" t="str">
        <x:v>Loyal</x:v>
      </x:c>
    </x:row>
    <x:row r="4486" ht="22" customHeight="1">
      <x:c r="A4486" s="2"/>
      <x:c r="B4486" s="2" t="str">
        <x:v>16837</x:v>
      </x:c>
      <x:c r="C4486" s="2" t="str">
        <x:v>United Kingdom</x:v>
      </x:c>
      <x:c r="D4486" s="25" t="n">
        <x:v>40641.15833333333</x:v>
      </x:c>
      <x:c r="E4486" s="25" t="n">
        <x:v>40855.39375</x:v>
      </x:c>
      <x:c r="F4486" s="2" t="n">
        <x:v>32</x:v>
      </x:c>
      <x:c r="G4486" s="2" t="n">
        <x:v>11</x:v>
      </x:c>
      <x:c r="H4486" s="11" t="n">
        <x:v>3170.98</x:v>
      </x:c>
      <x:c r="I4486" s="2" t="n">
        <x:v>4</x:v>
      </x:c>
      <x:c r="J4486" s="2" t="n">
        <x:v>5</x:v>
      </x:c>
      <x:c r="K4486" s="2" t="n">
        <x:v>5</x:v>
      </x:c>
      <x:c r="L4486" s="2" t="str">
        <x:v>Champions</x:v>
      </x:c>
    </x:row>
    <x:row r="4487" ht="22" customHeight="1">
      <x:c r="A4487" s="2"/>
      <x:c r="B4487" s="2" t="str">
        <x:v>16838</x:v>
      </x:c>
      <x:c r="C4487" s="2" t="str">
        <x:v>United Kingdom</x:v>
      </x:c>
      <x:c r="D4487" s="25" t="n">
        <x:v>40223.43541666667</x:v>
      </x:c>
      <x:c r="E4487" s="25" t="n">
        <x:v>40689.342361111114</x:v>
      </x:c>
      <x:c r="F4487" s="2" t="n">
        <x:v>198</x:v>
      </x:c>
      <x:c r="G4487" s="2" t="n">
        <x:v>4</x:v>
      </x:c>
      <x:c r="H4487" s="11" t="n">
        <x:v>1159.61</x:v>
      </x:c>
      <x:c r="I4487" s="2" t="n">
        <x:v>2</x:v>
      </x:c>
      <x:c r="J4487" s="2" t="n">
        <x:v>3</x:v>
      </x:c>
      <x:c r="K4487" s="2" t="n">
        <x:v>3</x:v>
      </x:c>
      <x:c r="L4487" s="2" t="str">
        <x:v>At risk</x:v>
      </x:c>
    </x:row>
    <x:row r="4488" ht="22" customHeight="1">
      <x:c r="A4488" s="2"/>
      <x:c r="B4488" s="2" t="str">
        <x:v>16839</x:v>
      </x:c>
      <x:c r="C4488" s="2" t="str">
        <x:v>United Kingdom</x:v>
      </x:c>
      <x:c r="D4488" s="25" t="n">
        <x:v>40220.41805555556</x:v>
      </x:c>
      <x:c r="E4488" s="25" t="n">
        <x:v>40878.16875</x:v>
      </x:c>
      <x:c r="F4488" s="2" t="n">
        <x:v>9</x:v>
      </x:c>
      <x:c r="G4488" s="2" t="n">
        <x:v>44</x:v>
      </x:c>
      <x:c r="H4488" s="11" t="n">
        <x:v>21758.25</x:v>
      </x:c>
      <x:c r="I4488" s="2" t="n">
        <x:v>5</x:v>
      </x:c>
      <x:c r="J4488" s="2" t="n">
        <x:v>5</x:v>
      </x:c>
      <x:c r="K4488" s="2" t="n">
        <x:v>5</x:v>
      </x:c>
      <x:c r="L4488" s="2" t="str">
        <x:v>Champions</x:v>
      </x:c>
    </x:row>
    <x:row r="4489" ht="22" customHeight="1">
      <x:c r="A4489" s="2"/>
      <x:c r="B4489" s="2" t="str">
        <x:v>16840</x:v>
      </x:c>
      <x:c r="C4489" s="2" t="str">
        <x:v>United Kingdom</x:v>
      </x:c>
      <x:c r="D4489" s="25" t="n">
        <x:v>40212.32083333333</x:v>
      </x:c>
      <x:c r="E4489" s="25" t="n">
        <x:v>40283.45</x:v>
      </x:c>
      <x:c r="F4489" s="2" t="n">
        <x:v>604</x:v>
      </x:c>
      <x:c r="G4489" s="2" t="n">
        <x:v>2</x:v>
      </x:c>
      <x:c r="H4489" s="11" t="n">
        <x:v>139.85</x:v>
      </x:c>
      <x:c r="I4489" s="2" t="n">
        <x:v>1</x:v>
      </x:c>
      <x:c r="J4489" s="2" t="n">
        <x:v>2</x:v>
      </x:c>
      <x:c r="K4489" s="2" t="n">
        <x:v>1</x:v>
      </x:c>
      <x:c r="L4489" s="2" t="str">
        <x:v>Hibernating</x:v>
      </x:c>
    </x:row>
    <x:row r="4490" ht="22" customHeight="1">
      <x:c r="A4490" s="2"/>
      <x:c r="B4490" s="2" t="str">
        <x:v>16841</x:v>
      </x:c>
      <x:c r="C4490" s="2" t="str">
        <x:v>United Kingdom</x:v>
      </x:c>
      <x:c r="D4490" s="25" t="n">
        <x:v>40190.27222222222</x:v>
      </x:c>
      <x:c r="E4490" s="25" t="n">
        <x:v>40850.285416666666</x:v>
      </x:c>
      <x:c r="F4490" s="2" t="n">
        <x:v>37</x:v>
      </x:c>
      <x:c r="G4490" s="2" t="n">
        <x:v>12</x:v>
      </x:c>
      <x:c r="H4490" s="11" t="n">
        <x:v>4006.06</x:v>
      </x:c>
      <x:c r="I4490" s="2" t="n">
        <x:v>4</x:v>
      </x:c>
      <x:c r="J4490" s="2" t="n">
        <x:v>5</x:v>
      </x:c>
      <x:c r="K4490" s="2" t="n">
        <x:v>5</x:v>
      </x:c>
      <x:c r="L4490" s="2" t="str">
        <x:v>Champions</x:v>
      </x:c>
    </x:row>
    <x:row r="4491" ht="22" customHeight="1">
      <x:c r="A4491" s="2"/>
      <x:c r="B4491" s="2" t="str">
        <x:v>16842</x:v>
      </x:c>
      <x:c r="C4491" s="2" t="str">
        <x:v>United Kingdom</x:v>
      </x:c>
      <x:c r="D4491" s="25" t="n">
        <x:v>40584.410416666666</x:v>
      </x:c>
      <x:c r="E4491" s="25" t="n">
        <x:v>40786.2375</x:v>
      </x:c>
      <x:c r="F4491" s="2" t="n">
        <x:v>101</x:v>
      </x:c>
      <x:c r="G4491" s="2" t="n">
        <x:v>3</x:v>
      </x:c>
      <x:c r="H4491" s="11" t="n">
        <x:v>1264.19</x:v>
      </x:c>
      <x:c r="I4491" s="2" t="n">
        <x:v>3</x:v>
      </x:c>
      <x:c r="J4491" s="2" t="n">
        <x:v>3</x:v>
      </x:c>
      <x:c r="K4491" s="2" t="n">
        <x:v>4</x:v>
      </x:c>
      <x:c r="L4491" s="2" t="str">
        <x:v>Loyal</x:v>
      </x:c>
    </x:row>
    <x:row r="4492" ht="22" customHeight="1">
      <x:c r="A4492" s="2"/>
      <x:c r="B4492" s="2" t="str">
        <x:v>16843</x:v>
      </x:c>
      <x:c r="C4492" s="2" t="str">
        <x:v>United Kingdom</x:v>
      </x:c>
      <x:c r="D4492" s="25" t="n">
        <x:v>40157.27777777778</x:v>
      </x:c>
      <x:c r="E4492" s="25" t="n">
        <x:v>40844.17083333333</x:v>
      </x:c>
      <x:c r="F4492" s="2" t="n">
        <x:v>43</x:v>
      </x:c>
      <x:c r="G4492" s="2" t="n">
        <x:v>35</x:v>
      </x:c>
      <x:c r="H4492" s="11" t="n">
        <x:v>19571.43</x:v>
      </x:c>
      <x:c r="I4492" s="2" t="n">
        <x:v>4</x:v>
      </x:c>
      <x:c r="J4492" s="2" t="n">
        <x:v>5</x:v>
      </x:c>
      <x:c r="K4492" s="2" t="n">
        <x:v>5</x:v>
      </x:c>
      <x:c r="L4492" s="2" t="str">
        <x:v>Champions</x:v>
      </x:c>
    </x:row>
    <x:row r="4493" ht="22" customHeight="1">
      <x:c r="A4493" s="2"/>
      <x:c r="B4493" s="2" t="str">
        <x:v>16844</x:v>
      </x:c>
      <x:c r="C4493" s="2" t="str">
        <x:v>United Kingdom</x:v>
      </x:c>
      <x:c r="D4493" s="25" t="n">
        <x:v>40304.177777777775</x:v>
      </x:c>
      <x:c r="E4493" s="25" t="n">
        <x:v>40324.228472222225</x:v>
      </x:c>
      <x:c r="F4493" s="2" t="n">
        <x:v>563</x:v>
      </x:c>
      <x:c r="G4493" s="2" t="n">
        <x:v>2</x:v>
      </x:c>
      <x:c r="H4493" s="11" t="n">
        <x:v>614.34</x:v>
      </x:c>
      <x:c r="I4493" s="2" t="n">
        <x:v>1</x:v>
      </x:c>
      <x:c r="J4493" s="2" t="n">
        <x:v>2</x:v>
      </x:c>
      <x:c r="K4493" s="2" t="n">
        <x:v>3</x:v>
      </x:c>
      <x:c r="L4493" s="2" t="str">
        <x:v>Hibernating</x:v>
      </x:c>
    </x:row>
    <x:row r="4494" ht="22" customHeight="1">
      <x:c r="A4494" s="2"/>
      <x:c r="B4494" s="2" t="str">
        <x:v>16845</x:v>
      </x:c>
      <x:c r="C4494" s="2" t="str">
        <x:v>United Kingdom</x:v>
      </x:c>
      <x:c r="D4494" s="25" t="n">
        <x:v>40268.339583333334</x:v>
      </x:c>
      <x:c r="E4494" s="25" t="n">
        <x:v>40268.339583333334</x:v>
      </x:c>
      <x:c r="F4494" s="2" t="n">
        <x:v>619</x:v>
      </x:c>
      <x:c r="G4494" s="2" t="n">
        <x:v>1</x:v>
      </x:c>
      <x:c r="H4494" s="11" t="n">
        <x:v>253.88</x:v>
      </x:c>
      <x:c r="I4494" s="2" t="n">
        <x:v>1</x:v>
      </x:c>
      <x:c r="J4494" s="2" t="n">
        <x:v>1</x:v>
      </x:c>
      <x:c r="K4494" s="2" t="n">
        <x:v>1</x:v>
      </x:c>
      <x:c r="L4494" s="2" t="str">
        <x:v>Hibernating</x:v>
      </x:c>
    </x:row>
    <x:row r="4495" ht="22" customHeight="1">
      <x:c r="A4495" s="2"/>
      <x:c r="B4495" s="2" t="str">
        <x:v>16846</x:v>
      </x:c>
      <x:c r="C4495" s="2" t="str">
        <x:v>United Kingdom</x:v>
      </x:c>
      <x:c r="D4495" s="25" t="n">
        <x:v>40247.29375</x:v>
      </x:c>
      <x:c r="E4495" s="25" t="n">
        <x:v>40836.37152777778</x:v>
      </x:c>
      <x:c r="F4495" s="2" t="n">
        <x:v>51</x:v>
      </x:c>
      <x:c r="G4495" s="2" t="n">
        <x:v>3</x:v>
      </x:c>
      <x:c r="H4495" s="11" t="n">
        <x:v>842.41</x:v>
      </x:c>
      <x:c r="I4495" s="2" t="n">
        <x:v>4</x:v>
      </x:c>
      <x:c r="J4495" s="2" t="n">
        <x:v>3</x:v>
      </x:c>
      <x:c r="K4495" s="2" t="n">
        <x:v>3</x:v>
      </x:c>
      <x:c r="L4495" s="2" t="str">
        <x:v>Loyal</x:v>
      </x:c>
    </x:row>
    <x:row r="4496" ht="22" customHeight="1">
      <x:c r="A4496" s="2"/>
      <x:c r="B4496" s="2" t="str">
        <x:v>16847</x:v>
      </x:c>
      <x:c r="C4496" s="2" t="str">
        <x:v>United Kingdom</x:v>
      </x:c>
      <x:c r="D4496" s="25" t="n">
        <x:v>40268.35555555556</x:v>
      </x:c>
      <x:c r="E4496" s="25" t="n">
        <x:v>40843.353472222225</x:v>
      </x:c>
      <x:c r="F4496" s="2" t="n">
        <x:v>44</x:v>
      </x:c>
      <x:c r="G4496" s="2" t="n">
        <x:v>2</x:v>
      </x:c>
      <x:c r="H4496" s="11" t="n">
        <x:v>614.89</x:v>
      </x:c>
      <x:c r="I4496" s="2" t="n">
        <x:v>4</x:v>
      </x:c>
      <x:c r="J4496" s="2" t="n">
        <x:v>2</x:v>
      </x:c>
      <x:c r="K4496" s="2" t="n">
        <x:v>3</x:v>
      </x:c>
      <x:c r="L4496" s="2" t="str">
        <x:v>Recent light buyers</x:v>
      </x:c>
    </x:row>
    <x:row r="4497" ht="22" customHeight="1">
      <x:c r="A4497" s="2"/>
      <x:c r="B4497" s="2" t="str">
        <x:v>16848</x:v>
      </x:c>
      <x:c r="C4497" s="2" t="str">
        <x:v>United Kingdom</x:v>
      </x:c>
      <x:c r="D4497" s="25" t="n">
        <x:v>40454.25069444445</x:v>
      </x:c>
      <x:c r="E4497" s="25" t="n">
        <x:v>40834.15416666667</x:v>
      </x:c>
      <x:c r="F4497" s="2" t="n">
        <x:v>53</x:v>
      </x:c>
      <x:c r="G4497" s="2" t="n">
        <x:v>4</x:v>
      </x:c>
      <x:c r="H4497" s="11" t="n">
        <x:v>1411.62</x:v>
      </x:c>
      <x:c r="I4497" s="2" t="n">
        <x:v>4</x:v>
      </x:c>
      <x:c r="J4497" s="2" t="n">
        <x:v>3</x:v>
      </x:c>
      <x:c r="K4497" s="2" t="n">
        <x:v>4</x:v>
      </x:c>
      <x:c r="L4497" s="2" t="str">
        <x:v>Loyal</x:v>
      </x:c>
    </x:row>
    <x:row r="4498" ht="22" customHeight="1">
      <x:c r="A4498" s="2"/>
      <x:c r="B4498" s="2" t="str">
        <x:v>16849</x:v>
      </x:c>
      <x:c r="C4498" s="2" t="str">
        <x:v>United Kingdom</x:v>
      </x:c>
      <x:c r="D4498" s="25" t="n">
        <x:v>40700.177777777775</x:v>
      </x:c>
      <x:c r="E4498" s="25" t="n">
        <x:v>40700.177777777775</x:v>
      </x:c>
      <x:c r="F4498" s="2" t="n">
        <x:v>187</x:v>
      </x:c>
      <x:c r="G4498" s="2" t="n">
        <x:v>1</x:v>
      </x:c>
      <x:c r="H4498" s="11" t="n">
        <x:v>124.57</x:v>
      </x:c>
      <x:c r="I4498" s="2" t="n">
        <x:v>3</x:v>
      </x:c>
      <x:c r="J4498" s="2" t="n">
        <x:v>1</x:v>
      </x:c>
      <x:c r="K4498" s="2" t="n">
        <x:v>1</x:v>
      </x:c>
      <x:c r="L4498" s="2" t="str">
        <x:v>Developing</x:v>
      </x:c>
    </x:row>
    <x:row r="4499" ht="22" customHeight="1">
      <x:c r="A4499" s="2"/>
      <x:c r="B4499" s="2" t="str">
        <x:v>16850</x:v>
      </x:c>
      <x:c r="C4499" s="2" t="str">
        <x:v>United Kingdom</x:v>
      </x:c>
      <x:c r="D4499" s="25" t="n">
        <x:v>40553.25625</x:v>
      </x:c>
      <x:c r="E4499" s="25" t="n">
        <x:v>40553.25625</x:v>
      </x:c>
      <x:c r="F4499" s="2" t="n">
        <x:v>334</x:v>
      </x:c>
      <x:c r="G4499" s="2" t="n">
        <x:v>1</x:v>
      </x:c>
      <x:c r="H4499" s="11" t="n">
        <x:v>332.41</x:v>
      </x:c>
      <x:c r="I4499" s="2" t="n">
        <x:v>2</x:v>
      </x:c>
      <x:c r="J4499" s="2" t="n">
        <x:v>1</x:v>
      </x:c>
      <x:c r="K4499" s="2" t="n">
        <x:v>2</x:v>
      </x:c>
      <x:c r="L4499" s="2" t="str">
        <x:v>Hibernating</x:v>
      </x:c>
    </x:row>
    <x:row r="4500" ht="22" customHeight="1">
      <x:c r="A4500" s="2"/>
      <x:c r="B4500" s="2" t="str">
        <x:v>16851</x:v>
      </x:c>
      <x:c r="C4500" s="2" t="str">
        <x:v>United Kingdom</x:v>
      </x:c>
      <x:c r="D4500" s="25" t="n">
        <x:v>40835.2</x:v>
      </x:c>
      <x:c r="E4500" s="25" t="n">
        <x:v>40882.35555555556</x:v>
      </x:c>
      <x:c r="F4500" s="2" t="n">
        <x:v>5</x:v>
      </x:c>
      <x:c r="G4500" s="2" t="n">
        <x:v>3</x:v>
      </x:c>
      <x:c r="H4500" s="11" t="n">
        <x:v>342.45</x:v>
      </x:c>
      <x:c r="I4500" s="2" t="n">
        <x:v>5</x:v>
      </x:c>
      <x:c r="J4500" s="2" t="n">
        <x:v>3</x:v>
      </x:c>
      <x:c r="K4500" s="2" t="n">
        <x:v>2</x:v>
      </x:c>
      <x:c r="L4500" s="2" t="str">
        <x:v>Loyal</x:v>
      </x:c>
    </x:row>
    <x:row r="4501" ht="22" customHeight="1">
      <x:c r="A4501" s="2"/>
      <x:c r="B4501" s="2" t="str">
        <x:v>16852</x:v>
      </x:c>
      <x:c r="C4501" s="2" t="str">
        <x:v>United Kingdom</x:v>
      </x:c>
      <x:c r="D4501" s="25" t="n">
        <x:v>40710.450694444444</x:v>
      </x:c>
      <x:c r="E4501" s="25" t="n">
        <x:v>40876.34861111111</x:v>
      </x:c>
      <x:c r="F4501" s="2" t="n">
        <x:v>11</x:v>
      </x:c>
      <x:c r="G4501" s="2" t="n">
        <x:v>2</x:v>
      </x:c>
      <x:c r="H4501" s="11" t="n">
        <x:v>144.91</x:v>
      </x:c>
      <x:c r="I4501" s="2" t="n">
        <x:v>5</x:v>
      </x:c>
      <x:c r="J4501" s="2" t="n">
        <x:v>2</x:v>
      </x:c>
      <x:c r="K4501" s="2" t="n">
        <x:v>1</x:v>
      </x:c>
      <x:c r="L4501" s="2" t="str">
        <x:v>Recent light buyers</x:v>
      </x:c>
    </x:row>
    <x:row r="4502" ht="22" customHeight="1">
      <x:c r="A4502" s="2"/>
      <x:c r="B4502" s="2" t="str">
        <x:v>16854</x:v>
      </x:c>
      <x:c r="C4502" s="2" t="str">
        <x:v>United Kingdom</x:v>
      </x:c>
      <x:c r="D4502" s="25" t="n">
        <x:v>40246.39722222222</x:v>
      </x:c>
      <x:c r="E4502" s="25" t="n">
        <x:v>40469.47986111111</x:v>
      </x:c>
      <x:c r="F4502" s="2" t="n">
        <x:v>418</x:v>
      </x:c>
      <x:c r="G4502" s="2" t="n">
        <x:v>2</x:v>
      </x:c>
      <x:c r="H4502" s="11" t="n">
        <x:v>1408.96</x:v>
      </x:c>
      <x:c r="I4502" s="2" t="n">
        <x:v>1</x:v>
      </x:c>
      <x:c r="J4502" s="2" t="n">
        <x:v>2</x:v>
      </x:c>
      <x:c r="K4502" s="2" t="n">
        <x:v>4</x:v>
      </x:c>
      <x:c r="L4502" s="2" t="str">
        <x:v>Hibernating</x:v>
      </x:c>
    </x:row>
    <x:row r="4503" ht="22" customHeight="1">
      <x:c r="A4503" s="2"/>
      <x:c r="B4503" s="2" t="str">
        <x:v>16855</x:v>
      </x:c>
      <x:c r="C4503" s="2" t="str">
        <x:v>United Kingdom</x:v>
      </x:c>
      <x:c r="D4503" s="25" t="n">
        <x:v>40843.47986111111</x:v>
      </x:c>
      <x:c r="E4503" s="25" t="n">
        <x:v>40863.29375</x:v>
      </x:c>
      <x:c r="F4503" s="2" t="n">
        <x:v>24</x:v>
      </x:c>
      <x:c r="G4503" s="2" t="n">
        <x:v>2</x:v>
      </x:c>
      <x:c r="H4503" s="11" t="n">
        <x:v>328.4</x:v>
      </x:c>
      <x:c r="I4503" s="2" t="n">
        <x:v>4</x:v>
      </x:c>
      <x:c r="J4503" s="2" t="n">
        <x:v>2</x:v>
      </x:c>
      <x:c r="K4503" s="2" t="n">
        <x:v>2</x:v>
      </x:c>
      <x:c r="L4503" s="2" t="str">
        <x:v>Recent light buyers</x:v>
      </x:c>
    </x:row>
    <x:row r="4504" ht="22" customHeight="1">
      <x:c r="A4504" s="2"/>
      <x:c r="B4504" s="2" t="str">
        <x:v>16856</x:v>
      </x:c>
      <x:c r="C4504" s="2" t="str">
        <x:v>United Kingdom</x:v>
      </x:c>
      <x:c r="D4504" s="25" t="n">
        <x:v>40444.34097222222</x:v>
      </x:c>
      <x:c r="E4504" s="25" t="n">
        <x:v>40872.165972222225</x:v>
      </x:c>
      <x:c r="F4504" s="2" t="n">
        <x:v>15</x:v>
      </x:c>
      <x:c r="G4504" s="2" t="n">
        <x:v>3</x:v>
      </x:c>
      <x:c r="H4504" s="11" t="n">
        <x:v>358.49</x:v>
      </x:c>
      <x:c r="I4504" s="2" t="n">
        <x:v>5</x:v>
      </x:c>
      <x:c r="J4504" s="2" t="n">
        <x:v>3</x:v>
      </x:c>
      <x:c r="K4504" s="2" t="n">
        <x:v>2</x:v>
      </x:c>
      <x:c r="L4504" s="2" t="str">
        <x:v>Loyal</x:v>
      </x:c>
    </x:row>
    <x:row r="4505" ht="22" customHeight="1">
      <x:c r="A4505" s="2"/>
      <x:c r="B4505" s="2" t="str">
        <x:v>16857</x:v>
      </x:c>
      <x:c r="C4505" s="2" t="str">
        <x:v>United Kingdom</x:v>
      </x:c>
      <x:c r="D4505" s="25" t="n">
        <x:v>40444.24236111111</x:v>
      </x:c>
      <x:c r="E4505" s="25" t="n">
        <x:v>40444.24236111111</x:v>
      </x:c>
      <x:c r="F4505" s="2" t="n">
        <x:v>443</x:v>
      </x:c>
      <x:c r="G4505" s="2" t="n">
        <x:v>1</x:v>
      </x:c>
      <x:c r="H4505" s="11" t="n">
        <x:v>352.8</x:v>
      </x:c>
      <x:c r="I4505" s="2" t="n">
        <x:v>1</x:v>
      </x:c>
      <x:c r="J4505" s="2" t="n">
        <x:v>1</x:v>
      </x:c>
      <x:c r="K4505" s="2" t="n">
        <x:v>2</x:v>
      </x:c>
      <x:c r="L4505" s="2" t="str">
        <x:v>Hibernating</x:v>
      </x:c>
    </x:row>
    <x:row r="4506" ht="22" customHeight="1">
      <x:c r="A4506" s="2"/>
      <x:c r="B4506" s="2" t="str">
        <x:v>16858</x:v>
      </x:c>
      <x:c r="C4506" s="2" t="str">
        <x:v>United Kingdom</x:v>
      </x:c>
      <x:c r="D4506" s="25" t="n">
        <x:v>40162.25625</x:v>
      </x:c>
      <x:c r="E4506" s="25" t="n">
        <x:v>40518.20277777778</x:v>
      </x:c>
      <x:c r="F4506" s="2" t="n">
        <x:v>369</x:v>
      </x:c>
      <x:c r="G4506" s="2" t="n">
        <x:v>10</x:v>
      </x:c>
      <x:c r="H4506" s="11" t="n">
        <x:v>4292.59</x:v>
      </x:c>
      <x:c r="I4506" s="2" t="n">
        <x:v>2</x:v>
      </x:c>
      <x:c r="J4506" s="2" t="n">
        <x:v>5</x:v>
      </x:c>
      <x:c r="K4506" s="2" t="n">
        <x:v>5</x:v>
      </x:c>
      <x:c r="L4506" s="2" t="str">
        <x:v>At risk</x:v>
      </x:c>
    </x:row>
    <x:row r="4507" ht="22" customHeight="1">
      <x:c r="A4507" s="2"/>
      <x:c r="B4507" s="2" t="str">
        <x:v>16859</x:v>
      </x:c>
      <x:c r="C4507" s="2" t="str">
        <x:v>United Kingdom</x:v>
      </x:c>
      <x:c r="D4507" s="25" t="n">
        <x:v>40241.31736111111</x:v>
      </x:c>
      <x:c r="E4507" s="25" t="n">
        <x:v>40742.30486111111</x:v>
      </x:c>
      <x:c r="F4507" s="2" t="n">
        <x:v>145</x:v>
      </x:c>
      <x:c r="G4507" s="2" t="n">
        <x:v>7</x:v>
      </x:c>
      <x:c r="H4507" s="11" t="n">
        <x:v>1932.41</x:v>
      </x:c>
      <x:c r="I4507" s="2" t="n">
        <x:v>3</x:v>
      </x:c>
      <x:c r="J4507" s="2" t="n">
        <x:v>4</x:v>
      </x:c>
      <x:c r="K4507" s="2" t="n">
        <x:v>4</x:v>
      </x:c>
      <x:c r="L4507" s="2" t="str">
        <x:v>Loyal</x:v>
      </x:c>
    </x:row>
    <x:row r="4508" ht="22" customHeight="1">
      <x:c r="A4508" s="2"/>
      <x:c r="B4508" s="2" t="str">
        <x:v>16860</x:v>
      </x:c>
      <x:c r="C4508" s="2" t="str">
        <x:v>United Kingdom</x:v>
      </x:c>
      <x:c r="D4508" s="25" t="n">
        <x:v>40224.365277777775</x:v>
      </x:c>
      <x:c r="E4508" s="25" t="n">
        <x:v>40434.211805555555</x:v>
      </x:c>
      <x:c r="F4508" s="2" t="n">
        <x:v>453</x:v>
      </x:c>
      <x:c r="G4508" s="2" t="n">
        <x:v>3</x:v>
      </x:c>
      <x:c r="H4508" s="11" t="n">
        <x:v>1610.62</x:v>
      </x:c>
      <x:c r="I4508" s="2" t="n">
        <x:v>1</x:v>
      </x:c>
      <x:c r="J4508" s="2" t="n">
        <x:v>3</x:v>
      </x:c>
      <x:c r="K4508" s="2" t="n">
        <x:v>4</x:v>
      </x:c>
      <x:c r="L4508" s="2" t="str">
        <x:v>At risk</x:v>
      </x:c>
    </x:row>
    <x:row r="4509" ht="22" customHeight="1">
      <x:c r="A4509" s="2"/>
      <x:c r="B4509" s="2" t="str">
        <x:v>16861</x:v>
      </x:c>
      <x:c r="C4509" s="2" t="str">
        <x:v>United Kingdom</x:v>
      </x:c>
      <x:c r="D4509" s="25" t="n">
        <x:v>40378.28055555555</x:v>
      </x:c>
      <x:c r="E4509" s="25" t="n">
        <x:v>40827.17013888889</x:v>
      </x:c>
      <x:c r="F4509" s="2" t="n">
        <x:v>60</x:v>
      </x:c>
      <x:c r="G4509" s="2" t="n">
        <x:v>5</x:v>
      </x:c>
      <x:c r="H4509" s="11" t="n">
        <x:v>946.59</x:v>
      </x:c>
      <x:c r="I4509" s="2" t="n">
        <x:v>3</x:v>
      </x:c>
      <x:c r="J4509" s="2" t="n">
        <x:v>4</x:v>
      </x:c>
      <x:c r="K4509" s="2" t="n">
        <x:v>3</x:v>
      </x:c>
      <x:c r="L4509" s="2" t="str">
        <x:v>Loyal</x:v>
      </x:c>
    </x:row>
    <x:row r="4510" ht="22" customHeight="1">
      <x:c r="A4510" s="2"/>
      <x:c r="B4510" s="2" t="str">
        <x:v>16862</x:v>
      </x:c>
      <x:c r="C4510" s="2" t="str">
        <x:v>United Kingdom</x:v>
      </x:c>
      <x:c r="D4510" s="25" t="n">
        <x:v>40185.33125</x:v>
      </x:c>
      <x:c r="E4510" s="25" t="n">
        <x:v>40339.336805555555</x:v>
      </x:c>
      <x:c r="F4510" s="2" t="n">
        <x:v>548</x:v>
      </x:c>
      <x:c r="G4510" s="2" t="n">
        <x:v>4</x:v>
      </x:c>
      <x:c r="H4510" s="11" t="n">
        <x:v>662.33</x:v>
      </x:c>
      <x:c r="I4510" s="2" t="n">
        <x:v>1</x:v>
      </x:c>
      <x:c r="J4510" s="2" t="n">
        <x:v>3</x:v>
      </x:c>
      <x:c r="K4510" s="2" t="n">
        <x:v>3</x:v>
      </x:c>
      <x:c r="L4510" s="2" t="str">
        <x:v>At risk</x:v>
      </x:c>
    </x:row>
    <x:row r="4511" ht="22" customHeight="1">
      <x:c r="A4511" s="2"/>
      <x:c r="B4511" s="2" t="str">
        <x:v>16863</x:v>
      </x:c>
      <x:c r="C4511" s="2" t="str">
        <x:v>United Kingdom</x:v>
      </x:c>
      <x:c r="D4511" s="25" t="n">
        <x:v>40477.21041666667</x:v>
      </x:c>
      <x:c r="E4511" s="25" t="n">
        <x:v>40855.43472222222</x:v>
      </x:c>
      <x:c r="F4511" s="2" t="n">
        <x:v>32</x:v>
      </x:c>
      <x:c r="G4511" s="2" t="n">
        <x:v>3</x:v>
      </x:c>
      <x:c r="H4511" s="11" t="n">
        <x:v>834.27</x:v>
      </x:c>
      <x:c r="I4511" s="2" t="n">
        <x:v>4</x:v>
      </x:c>
      <x:c r="J4511" s="2" t="n">
        <x:v>3</x:v>
      </x:c>
      <x:c r="K4511" s="2" t="n">
        <x:v>3</x:v>
      </x:c>
      <x:c r="L4511" s="2" t="str">
        <x:v>Loyal</x:v>
      </x:c>
    </x:row>
    <x:row r="4512" ht="22" customHeight="1">
      <x:c r="A4512" s="2"/>
      <x:c r="B4512" s="2" t="str">
        <x:v>16864</x:v>
      </x:c>
      <x:c r="C4512" s="2" t="str">
        <x:v>United Kingdom</x:v>
      </x:c>
      <x:c r="D4512" s="25" t="n">
        <x:v>40288.28888888889</x:v>
      </x:c>
      <x:c r="E4512" s="25" t="n">
        <x:v>40452.46944444445</x:v>
      </x:c>
      <x:c r="F4512" s="2" t="n">
        <x:v>435</x:v>
      </x:c>
      <x:c r="G4512" s="2" t="n">
        <x:v>2</x:v>
      </x:c>
      <x:c r="H4512" s="11" t="n">
        <x:v>409.25</x:v>
      </x:c>
      <x:c r="I4512" s="2" t="n">
        <x:v>1</x:v>
      </x:c>
      <x:c r="J4512" s="2" t="n">
        <x:v>2</x:v>
      </x:c>
      <x:c r="K4512" s="2" t="n">
        <x:v>2</x:v>
      </x:c>
      <x:c r="L4512" s="2" t="str">
        <x:v>Hibernating</x:v>
      </x:c>
    </x:row>
    <x:row r="4513" ht="22" customHeight="1">
      <x:c r="A4513" s="2"/>
      <x:c r="B4513" s="2" t="str">
        <x:v>16865</x:v>
      </x:c>
      <x:c r="C4513" s="2" t="str">
        <x:v>United Kingdom</x:v>
      </x:c>
      <x:c r="D4513" s="25" t="n">
        <x:v>40485.27361111111</x:v>
      </x:c>
      <x:c r="E4513" s="25" t="n">
        <x:v>40485.27361111111</x:v>
      </x:c>
      <x:c r="F4513" s="2" t="n">
        <x:v>402</x:v>
      </x:c>
      <x:c r="G4513" s="2" t="n">
        <x:v>1</x:v>
      </x:c>
      <x:c r="H4513" s="11" t="n">
        <x:v>130.95</x:v>
      </x:c>
      <x:c r="I4513" s="2" t="n">
        <x:v>2</x:v>
      </x:c>
      <x:c r="J4513" s="2" t="n">
        <x:v>1</x:v>
      </x:c>
      <x:c r="K4513" s="2" t="n">
        <x:v>1</x:v>
      </x:c>
      <x:c r="L4513" s="2" t="str">
        <x:v>Hibernating</x:v>
      </x:c>
    </x:row>
    <x:row r="4514" ht="22" customHeight="1">
      <x:c r="A4514" s="2"/>
      <x:c r="B4514" s="2" t="str">
        <x:v>16866</x:v>
      </x:c>
      <x:c r="C4514" s="2" t="str">
        <x:v>United Kingdom</x:v>
      </x:c>
      <x:c r="D4514" s="25" t="n">
        <x:v>40725.31527777778</x:v>
      </x:c>
      <x:c r="E4514" s="25" t="n">
        <x:v>40746.2125</x:v>
      </x:c>
      <x:c r="F4514" s="2" t="n">
        <x:v>141</x:v>
      </x:c>
      <x:c r="G4514" s="2" t="n">
        <x:v>3</x:v>
      </x:c>
      <x:c r="H4514" s="11" t="n">
        <x:v>207.74</x:v>
      </x:c>
      <x:c r="I4514" s="2" t="n">
        <x:v>3</x:v>
      </x:c>
      <x:c r="J4514" s="2" t="n">
        <x:v>3</x:v>
      </x:c>
      <x:c r="K4514" s="2" t="n">
        <x:v>1</x:v>
      </x:c>
      <x:c r="L4514" s="2" t="str">
        <x:v>Loyal</x:v>
      </x:c>
    </x:row>
    <x:row r="4515" ht="22" customHeight="1">
      <x:c r="A4515" s="2"/>
      <x:c r="B4515" s="2" t="str">
        <x:v>16867</x:v>
      </x:c>
      <x:c r="C4515" s="2" t="str">
        <x:v>United Kingdom</x:v>
      </x:c>
      <x:c r="D4515" s="25" t="n">
        <x:v>40197.174305555556</x:v>
      </x:c>
      <x:c r="E4515" s="25" t="n">
        <x:v>40197.174305555556</x:v>
      </x:c>
      <x:c r="F4515" s="2" t="n">
        <x:v>690</x:v>
      </x:c>
      <x:c r="G4515" s="2" t="n">
        <x:v>1</x:v>
      </x:c>
      <x:c r="H4515" s="11" t="n">
        <x:v>76.74</x:v>
      </x:c>
      <x:c r="I4515" s="2" t="n">
        <x:v>1</x:v>
      </x:c>
      <x:c r="J4515" s="2" t="n">
        <x:v>1</x:v>
      </x:c>
      <x:c r="K4515" s="2" t="n">
        <x:v>1</x:v>
      </x:c>
      <x:c r="L4515" s="2" t="str">
        <x:v>Hibernating</x:v>
      </x:c>
    </x:row>
    <x:row r="4516" ht="22" customHeight="1">
      <x:c r="A4516" s="2"/>
      <x:c r="B4516" s="2" t="str">
        <x:v>16868</x:v>
      </x:c>
      <x:c r="C4516" s="2" t="str">
        <x:v>United Kingdom</x:v>
      </x:c>
      <x:c r="D4516" s="25" t="n">
        <x:v>40293.271527777775</x:v>
      </x:c>
      <x:c r="E4516" s="25" t="n">
        <x:v>40492.345138888886</x:v>
      </x:c>
      <x:c r="F4516" s="2" t="n">
        <x:v>395</x:v>
      </x:c>
      <x:c r="G4516" s="2" t="n">
        <x:v>3</x:v>
      </x:c>
      <x:c r="H4516" s="11" t="n">
        <x:v>393.39</x:v>
      </x:c>
      <x:c r="I4516" s="2" t="n">
        <x:v>2</x:v>
      </x:c>
      <x:c r="J4516" s="2" t="n">
        <x:v>3</x:v>
      </x:c>
      <x:c r="K4516" s="2" t="n">
        <x:v>2</x:v>
      </x:c>
      <x:c r="L4516" s="2" t="str">
        <x:v>At risk</x:v>
      </x:c>
    </x:row>
    <x:row r="4517" ht="22" customHeight="1">
      <x:c r="A4517" s="2"/>
      <x:c r="B4517" s="2" t="str">
        <x:v>16869</x:v>
      </x:c>
      <x:c r="C4517" s="2" t="str">
        <x:v>United Kingdom</x:v>
      </x:c>
      <x:c r="D4517" s="25" t="n">
        <x:v>40711.334027777775</x:v>
      </x:c>
      <x:c r="E4517" s="25" t="n">
        <x:v>40864.29305555556</x:v>
      </x:c>
      <x:c r="F4517" s="2" t="n">
        <x:v>23</x:v>
      </x:c>
      <x:c r="G4517" s="2" t="n">
        <x:v>4</x:v>
      </x:c>
      <x:c r="H4517" s="11" t="n">
        <x:v>825.42</x:v>
      </x:c>
      <x:c r="I4517" s="2" t="n">
        <x:v>4</x:v>
      </x:c>
      <x:c r="J4517" s="2" t="n">
        <x:v>3</x:v>
      </x:c>
      <x:c r="K4517" s="2" t="n">
        <x:v>3</x:v>
      </x:c>
      <x:c r="L4517" s="2" t="str">
        <x:v>Loyal</x:v>
      </x:c>
    </x:row>
    <x:row r="4518" ht="22" customHeight="1">
      <x:c r="A4518" s="2"/>
      <x:c r="B4518" s="2" t="str">
        <x:v>16870</x:v>
      </x:c>
      <x:c r="C4518" s="2" t="str">
        <x:v>United Kingdom</x:v>
      </x:c>
      <x:c r="D4518" s="25" t="n">
        <x:v>40417.37013888889</x:v>
      </x:c>
      <x:c r="E4518" s="25" t="n">
        <x:v>40417.37013888889</x:v>
      </x:c>
      <x:c r="F4518" s="2" t="n">
        <x:v>470</x:v>
      </x:c>
      <x:c r="G4518" s="2" t="n">
        <x:v>1</x:v>
      </x:c>
      <x:c r="H4518" s="11" t="n">
        <x:v>450.16</x:v>
      </x:c>
      <x:c r="I4518" s="2" t="n">
        <x:v>1</x:v>
      </x:c>
      <x:c r="J4518" s="2" t="n">
        <x:v>1</x:v>
      </x:c>
      <x:c r="K4518" s="2" t="n">
        <x:v>2</x:v>
      </x:c>
      <x:c r="L4518" s="2" t="str">
        <x:v>Hibernating</x:v>
      </x:c>
    </x:row>
    <x:row r="4519" ht="22" customHeight="1">
      <x:c r="A4519" s="2"/>
      <x:c r="B4519" s="2" t="str">
        <x:v>16871</x:v>
      </x:c>
      <x:c r="C4519" s="2" t="str">
        <x:v>United Kingdom</x:v>
      </x:c>
      <x:c r="D4519" s="25" t="n">
        <x:v>40616.22986111111</x:v>
      </x:c>
      <x:c r="E4519" s="25" t="n">
        <x:v>40864.60208333333</x:v>
      </x:c>
      <x:c r="F4519" s="2" t="n">
        <x:v>23</x:v>
      </x:c>
      <x:c r="G4519" s="2" t="n">
        <x:v>6</x:v>
      </x:c>
      <x:c r="H4519" s="11" t="n">
        <x:v>2812.34</x:v>
      </x:c>
      <x:c r="I4519" s="2" t="n">
        <x:v>4</x:v>
      </x:c>
      <x:c r="J4519" s="2" t="n">
        <x:v>4</x:v>
      </x:c>
      <x:c r="K4519" s="2" t="n">
        <x:v>4</x:v>
      </x:c>
      <x:c r="L4519" s="2" t="str">
        <x:v>Champions</x:v>
      </x:c>
    </x:row>
    <x:row r="4520" ht="22" customHeight="1">
      <x:c r="A4520" s="2"/>
      <x:c r="B4520" s="2" t="str">
        <x:v>16872</x:v>
      </x:c>
      <x:c r="C4520" s="2" t="str">
        <x:v>United Kingdom</x:v>
      </x:c>
      <x:c r="D4520" s="25" t="n">
        <x:v>40423.525</x:v>
      </x:c>
      <x:c r="E4520" s="25" t="n">
        <x:v>40809.461805555555</x:v>
      </x:c>
      <x:c r="F4520" s="2" t="n">
        <x:v>78</x:v>
      </x:c>
      <x:c r="G4520" s="2" t="n">
        <x:v>6</x:v>
      </x:c>
      <x:c r="H4520" s="11" t="n">
        <x:v>1213.13</x:v>
      </x:c>
      <x:c r="I4520" s="2" t="n">
        <x:v>3</x:v>
      </x:c>
      <x:c r="J4520" s="2" t="n">
        <x:v>4</x:v>
      </x:c>
      <x:c r="K4520" s="2" t="n">
        <x:v>3</x:v>
      </x:c>
      <x:c r="L4520" s="2" t="str">
        <x:v>Loyal</x:v>
      </x:c>
    </x:row>
    <x:row r="4521" ht="22" customHeight="1">
      <x:c r="A4521" s="2"/>
      <x:c r="B4521" s="2" t="str">
        <x:v>16873</x:v>
      </x:c>
      <x:c r="C4521" s="2" t="str">
        <x:v>United Kingdom</x:v>
      </x:c>
      <x:c r="D4521" s="25" t="n">
        <x:v>40218.38680555556</x:v>
      </x:c>
      <x:c r="E4521" s="25" t="n">
        <x:v>40882.29513888889</x:v>
      </x:c>
      <x:c r="F4521" s="2" t="n">
        <x:v>5</x:v>
      </x:c>
      <x:c r="G4521" s="2" t="n">
        <x:v>12</x:v>
      </x:c>
      <x:c r="H4521" s="11" t="n">
        <x:v>14617.39</x:v>
      </x:c>
      <x:c r="I4521" s="2" t="n">
        <x:v>5</x:v>
      </x:c>
      <x:c r="J4521" s="2" t="n">
        <x:v>5</x:v>
      </x:c>
      <x:c r="K4521" s="2" t="n">
        <x:v>5</x:v>
      </x:c>
      <x:c r="L4521" s="2" t="str">
        <x:v>Champions</x:v>
      </x:c>
    </x:row>
    <x:row r="4522" ht="22" customHeight="1">
      <x:c r="A4522" s="2"/>
      <x:c r="B4522" s="2" t="str">
        <x:v>16874</x:v>
      </x:c>
      <x:c r="C4522" s="2" t="str">
        <x:v>United Kingdom</x:v>
      </x:c>
      <x:c r="D4522" s="25" t="n">
        <x:v>40507.33888888889</x:v>
      </x:c>
      <x:c r="E4522" s="25" t="n">
        <x:v>40507.33888888889</x:v>
      </x:c>
      <x:c r="F4522" s="2" t="n">
        <x:v>380</x:v>
      </x:c>
      <x:c r="G4522" s="2" t="n">
        <x:v>1</x:v>
      </x:c>
      <x:c r="H4522" s="11" t="n">
        <x:v>217.74</x:v>
      </x:c>
      <x:c r="I4522" s="2" t="n">
        <x:v>2</x:v>
      </x:c>
      <x:c r="J4522" s="2" t="n">
        <x:v>1</x:v>
      </x:c>
      <x:c r="K4522" s="2" t="n">
        <x:v>1</x:v>
      </x:c>
      <x:c r="L4522" s="2" t="str">
        <x:v>Hibernating</x:v>
      </x:c>
    </x:row>
    <x:row r="4523" ht="22" customHeight="1">
      <x:c r="A4523" s="2"/>
      <x:c r="B4523" s="2" t="str">
        <x:v>16875</x:v>
      </x:c>
      <x:c r="C4523" s="2" t="str">
        <x:v>United Kingdom</x:v>
      </x:c>
      <x:c r="D4523" s="25" t="n">
        <x:v>40183.177777777775</x:v>
      </x:c>
      <x:c r="E4523" s="25" t="n">
        <x:v>40819.36041666667</x:v>
      </x:c>
      <x:c r="F4523" s="2" t="n">
        <x:v>68</x:v>
      </x:c>
      <x:c r="G4523" s="2" t="n">
        <x:v>11</x:v>
      </x:c>
      <x:c r="H4523" s="11" t="n">
        <x:v>4234.53</x:v>
      </x:c>
      <x:c r="I4523" s="2" t="n">
        <x:v>3</x:v>
      </x:c>
      <x:c r="J4523" s="2" t="n">
        <x:v>5</x:v>
      </x:c>
      <x:c r="K4523" s="2" t="n">
        <x:v>5</x:v>
      </x:c>
      <x:c r="L4523" s="2" t="str">
        <x:v>Loyal</x:v>
      </x:c>
    </x:row>
    <x:row r="4524" ht="22" customHeight="1">
      <x:c r="A4524" s="2"/>
      <x:c r="B4524" s="2" t="str">
        <x:v>16876</x:v>
      </x:c>
      <x:c r="C4524" s="2" t="str">
        <x:v>United Kingdom</x:v>
      </x:c>
      <x:c r="D4524" s="25" t="n">
        <x:v>40483.290972222225</x:v>
      </x:c>
      <x:c r="E4524" s="25" t="n">
        <x:v>40483.290972222225</x:v>
      </x:c>
      <x:c r="F4524" s="2" t="n">
        <x:v>404</x:v>
      </x:c>
      <x:c r="G4524" s="2" t="n">
        <x:v>1</x:v>
      </x:c>
      <x:c r="H4524" s="11" t="n">
        <x:v>136.01</x:v>
      </x:c>
      <x:c r="I4524" s="2" t="n">
        <x:v>2</x:v>
      </x:c>
      <x:c r="J4524" s="2" t="n">
        <x:v>1</x:v>
      </x:c>
      <x:c r="K4524" s="2" t="n">
        <x:v>1</x:v>
      </x:c>
      <x:c r="L4524" s="2" t="str">
        <x:v>Hibernating</x:v>
      </x:c>
    </x:row>
    <x:row r="4525" ht="22" customHeight="1">
      <x:c r="A4525" s="2"/>
      <x:c r="B4525" s="2" t="str">
        <x:v>16877</x:v>
      </x:c>
      <x:c r="C4525" s="2" t="str">
        <x:v>United Kingdom</x:v>
      </x:c>
      <x:c r="D4525" s="25" t="n">
        <x:v>40678.467361111114</x:v>
      </x:c>
      <x:c r="E4525" s="25" t="n">
        <x:v>40874.36597222222</x:v>
      </x:c>
      <x:c r="F4525" s="2" t="n">
        <x:v>13</x:v>
      </x:c>
      <x:c r="G4525" s="2" t="n">
        <x:v>6</x:v>
      </x:c>
      <x:c r="H4525" s="11" t="n">
        <x:v>853.72</x:v>
      </x:c>
      <x:c r="I4525" s="2" t="n">
        <x:v>5</x:v>
      </x:c>
      <x:c r="J4525" s="2" t="n">
        <x:v>4</x:v>
      </x:c>
      <x:c r="K4525" s="2" t="n">
        <x:v>3</x:v>
      </x:c>
      <x:c r="L4525" s="2" t="str">
        <x:v>Loyal</x:v>
      </x:c>
    </x:row>
    <x:row r="4526" ht="22" customHeight="1">
      <x:c r="A4526" s="2"/>
      <x:c r="B4526" s="2" t="str">
        <x:v>16878</x:v>
      </x:c>
      <x:c r="C4526" s="2" t="str">
        <x:v>United Kingdom</x:v>
      </x:c>
      <x:c r="D4526" s="25" t="n">
        <x:v>40802.527083333334</x:v>
      </x:c>
      <x:c r="E4526" s="25" t="n">
        <x:v>40802.527083333334</x:v>
      </x:c>
      <x:c r="F4526" s="2" t="n">
        <x:v>85</x:v>
      </x:c>
      <x:c r="G4526" s="2" t="n">
        <x:v>1</x:v>
      </x:c>
      <x:c r="H4526" s="11" t="n">
        <x:v>13.3</x:v>
      </x:c>
      <x:c r="I4526" s="2" t="n">
        <x:v>3</x:v>
      </x:c>
      <x:c r="J4526" s="2" t="n">
        <x:v>1</x:v>
      </x:c>
      <x:c r="K4526" s="2" t="n">
        <x:v>1</x:v>
      </x:c>
      <x:c r="L4526" s="2" t="str">
        <x:v>Developing</x:v>
      </x:c>
    </x:row>
    <x:row r="4527" ht="22" customHeight="1">
      <x:c r="A4527" s="2"/>
      <x:c r="B4527" s="2" t="str">
        <x:v>16880</x:v>
      </x:c>
      <x:c r="C4527" s="2" t="str">
        <x:v>United Kingdom</x:v>
      </x:c>
      <x:c r="D4527" s="25" t="n">
        <x:v>40393.370833333334</x:v>
      </x:c>
      <x:c r="E4527" s="25" t="n">
        <x:v>40856.27291666667</x:v>
      </x:c>
      <x:c r="F4527" s="2" t="n">
        <x:v>31</x:v>
      </x:c>
      <x:c r="G4527" s="2" t="n">
        <x:v>8</x:v>
      </x:c>
      <x:c r="H4527" s="11" t="n">
        <x:v>1840.86</x:v>
      </x:c>
      <x:c r="I4527" s="2" t="n">
        <x:v>4</x:v>
      </x:c>
      <x:c r="J4527" s="2" t="n">
        <x:v>4</x:v>
      </x:c>
      <x:c r="K4527" s="2" t="n">
        <x:v>4</x:v>
      </x:c>
      <x:c r="L4527" s="2" t="str">
        <x:v>Champions</x:v>
      </x:c>
    </x:row>
    <x:row r="4528" ht="22" customHeight="1">
      <x:c r="A4528" s="2"/>
      <x:c r="B4528" s="2" t="str">
        <x:v>16881</x:v>
      </x:c>
      <x:c r="C4528" s="2" t="str">
        <x:v>United Kingdom</x:v>
      </x:c>
      <x:c r="D4528" s="25" t="n">
        <x:v>40820.23125</x:v>
      </x:c>
      <x:c r="E4528" s="25" t="n">
        <x:v>40820.23125</x:v>
      </x:c>
      <x:c r="F4528" s="2" t="n">
        <x:v>67</x:v>
      </x:c>
      <x:c r="G4528" s="2" t="n">
        <x:v>1</x:v>
      </x:c>
      <x:c r="H4528" s="11" t="n">
        <x:v>432</x:v>
      </x:c>
      <x:c r="I4528" s="2" t="n">
        <x:v>3</x:v>
      </x:c>
      <x:c r="J4528" s="2" t="n">
        <x:v>1</x:v>
      </x:c>
      <x:c r="K4528" s="2" t="n">
        <x:v>2</x:v>
      </x:c>
      <x:c r="L4528" s="2" t="str">
        <x:v>Developing</x:v>
      </x:c>
    </x:row>
    <x:row r="4529" ht="22" customHeight="1">
      <x:c r="A4529" s="2"/>
      <x:c r="B4529" s="2" t="str">
        <x:v>16882</x:v>
      </x:c>
      <x:c r="C4529" s="2" t="str">
        <x:v>United Kingdom</x:v>
      </x:c>
      <x:c r="D4529" s="25" t="n">
        <x:v>40569.529861111114</x:v>
      </x:c>
      <x:c r="E4529" s="25" t="n">
        <x:v>40820.2375</x:v>
      </x:c>
      <x:c r="F4529" s="2" t="n">
        <x:v>67</x:v>
      </x:c>
      <x:c r="G4529" s="2" t="n">
        <x:v>3</x:v>
      </x:c>
      <x:c r="H4529" s="11" t="n">
        <x:v>705.12</x:v>
      </x:c>
      <x:c r="I4529" s="2" t="n">
        <x:v>3</x:v>
      </x:c>
      <x:c r="J4529" s="2" t="n">
        <x:v>3</x:v>
      </x:c>
      <x:c r="K4529" s="2" t="n">
        <x:v>3</x:v>
      </x:c>
      <x:c r="L4529" s="2" t="str">
        <x:v>Loyal</x:v>
      </x:c>
    </x:row>
    <x:row r="4530" ht="22" customHeight="1">
      <x:c r="A4530" s="2"/>
      <x:c r="B4530" s="2" t="str">
        <x:v>16883</x:v>
      </x:c>
      <x:c r="C4530" s="2" t="str">
        <x:v>United Kingdom</x:v>
      </x:c>
      <x:c r="D4530" s="25" t="n">
        <x:v>40151.29652777778</x:v>
      </x:c>
      <x:c r="E4530" s="25" t="n">
        <x:v>40699.32708333333</x:v>
      </x:c>
      <x:c r="F4530" s="2" t="n">
        <x:v>188</x:v>
      </x:c>
      <x:c r="G4530" s="2" t="n">
        <x:v>19</x:v>
      </x:c>
      <x:c r="H4530" s="11" t="n">
        <x:v>2268.56</x:v>
      </x:c>
      <x:c r="I4530" s="2" t="n">
        <x:v>3</x:v>
      </x:c>
      <x:c r="J4530" s="2" t="n">
        <x:v>5</x:v>
      </x:c>
      <x:c r="K4530" s="2" t="n">
        <x:v>4</x:v>
      </x:c>
      <x:c r="L4530" s="2" t="str">
        <x:v>Loyal</x:v>
      </x:c>
    </x:row>
    <x:row r="4531" ht="22" customHeight="1">
      <x:c r="A4531" s="2"/>
      <x:c r="B4531" s="2" t="str">
        <x:v>16884</x:v>
      </x:c>
      <x:c r="C4531" s="2" t="str">
        <x:v>United Kingdom</x:v>
      </x:c>
      <x:c r="D4531" s="25" t="n">
        <x:v>40316.291666666664</x:v>
      </x:c>
      <x:c r="E4531" s="25" t="n">
        <x:v>40849.28611111111</x:v>
      </x:c>
      <x:c r="F4531" s="2" t="n">
        <x:v>38</x:v>
      </x:c>
      <x:c r="G4531" s="2" t="n">
        <x:v>4</x:v>
      </x:c>
      <x:c r="H4531" s="11" t="n">
        <x:v>1073.92</x:v>
      </x:c>
      <x:c r="I4531" s="2" t="n">
        <x:v>4</x:v>
      </x:c>
      <x:c r="J4531" s="2" t="n">
        <x:v>3</x:v>
      </x:c>
      <x:c r="K4531" s="2" t="n">
        <x:v>3</x:v>
      </x:c>
      <x:c r="L4531" s="2" t="str">
        <x:v>Loyal</x:v>
      </x:c>
    </x:row>
    <x:row r="4532" ht="22" customHeight="1">
      <x:c r="A4532" s="2"/>
      <x:c r="B4532" s="2" t="str">
        <x:v>16885</x:v>
      </x:c>
      <x:c r="C4532" s="2" t="str">
        <x:v>United Kingdom</x:v>
      </x:c>
      <x:c r="D4532" s="25" t="n">
        <x:v>40501.32708333333</x:v>
      </x:c>
      <x:c r="E4532" s="25" t="n">
        <x:v>40871.36111111111</x:v>
      </x:c>
      <x:c r="F4532" s="2" t="n">
        <x:v>16</x:v>
      </x:c>
      <x:c r="G4532" s="2" t="n">
        <x:v>4</x:v>
      </x:c>
      <x:c r="H4532" s="11" t="n">
        <x:v>710.74</x:v>
      </x:c>
      <x:c r="I4532" s="2" t="n">
        <x:v>5</x:v>
      </x:c>
      <x:c r="J4532" s="2" t="n">
        <x:v>3</x:v>
      </x:c>
      <x:c r="K4532" s="2" t="n">
        <x:v>3</x:v>
      </x:c>
      <x:c r="L4532" s="2" t="str">
        <x:v>Loyal</x:v>
      </x:c>
    </x:row>
    <x:row r="4533" ht="22" customHeight="1">
      <x:c r="A4533" s="2"/>
      <x:c r="B4533" s="2" t="str">
        <x:v>16886</x:v>
      </x:c>
      <x:c r="C4533" s="2" t="str">
        <x:v>United Kingdom</x:v>
      </x:c>
      <x:c r="D4533" s="25" t="n">
        <x:v>40430.42222222222</x:v>
      </x:c>
      <x:c r="E4533" s="25" t="n">
        <x:v>40430.42222222222</x:v>
      </x:c>
      <x:c r="F4533" s="2" t="n">
        <x:v>457</x:v>
      </x:c>
      <x:c r="G4533" s="2" t="n">
        <x:v>1</x:v>
      </x:c>
      <x:c r="H4533" s="11" t="n">
        <x:v>134</x:v>
      </x:c>
      <x:c r="I4533" s="2" t="n">
        <x:v>1</x:v>
      </x:c>
      <x:c r="J4533" s="2" t="n">
        <x:v>1</x:v>
      </x:c>
      <x:c r="K4533" s="2" t="n">
        <x:v>1</x:v>
      </x:c>
      <x:c r="L4533" s="2" t="str">
        <x:v>Hibernating</x:v>
      </x:c>
    </x:row>
    <x:row r="4534" ht="22" customHeight="1">
      <x:c r="A4534" s="2"/>
      <x:c r="B4534" s="2" t="str">
        <x:v>16887</x:v>
      </x:c>
      <x:c r="C4534" s="2" t="str">
        <x:v>United Kingdom</x:v>
      </x:c>
      <x:c r="D4534" s="25" t="n">
        <x:v>40148.361805555556</x:v>
      </x:c>
      <x:c r="E4534" s="25" t="n">
        <x:v>40851.37986111111</x:v>
      </x:c>
      <x:c r="F4534" s="2" t="n">
        <x:v>36</x:v>
      </x:c>
      <x:c r="G4534" s="2" t="n">
        <x:v>3</x:v>
      </x:c>
      <x:c r="H4534" s="11" t="n">
        <x:v>660.72</x:v>
      </x:c>
      <x:c r="I4534" s="2" t="n">
        <x:v>4</x:v>
      </x:c>
      <x:c r="J4534" s="2" t="n">
        <x:v>3</x:v>
      </x:c>
      <x:c r="K4534" s="2" t="n">
        <x:v>3</x:v>
      </x:c>
      <x:c r="L4534" s="2" t="str">
        <x:v>Loyal</x:v>
      </x:c>
    </x:row>
    <x:row r="4535" ht="22" customHeight="1">
      <x:c r="A4535" s="2"/>
      <x:c r="B4535" s="2" t="str">
        <x:v>16888</x:v>
      </x:c>
      <x:c r="C4535" s="2" t="str">
        <x:v>United Kingdom</x:v>
      </x:c>
      <x:c r="D4535" s="25" t="n">
        <x:v>40185.33819444444</x:v>
      </x:c>
      <x:c r="E4535" s="25" t="n">
        <x:v>40486.31875</x:v>
      </x:c>
      <x:c r="F4535" s="2" t="n">
        <x:v>401</x:v>
      </x:c>
      <x:c r="G4535" s="2" t="n">
        <x:v>3</x:v>
      </x:c>
      <x:c r="H4535" s="11" t="n">
        <x:v>437.15</x:v>
      </x:c>
      <x:c r="I4535" s="2" t="n">
        <x:v>2</x:v>
      </x:c>
      <x:c r="J4535" s="2" t="n">
        <x:v>3</x:v>
      </x:c>
      <x:c r="K4535" s="2" t="n">
        <x:v>2</x:v>
      </x:c>
      <x:c r="L4535" s="2" t="str">
        <x:v>At risk</x:v>
      </x:c>
    </x:row>
    <x:row r="4536" ht="22" customHeight="1">
      <x:c r="A4536" s="2"/>
      <x:c r="B4536" s="2" t="str">
        <x:v>16889</x:v>
      </x:c>
      <x:c r="C4536" s="2" t="str">
        <x:v>United Kingdom</x:v>
      </x:c>
      <x:c r="D4536" s="25" t="n">
        <x:v>40321.240277777775</x:v>
      </x:c>
      <x:c r="E4536" s="25" t="n">
        <x:v>40692.25347222222</x:v>
      </x:c>
      <x:c r="F4536" s="2" t="n">
        <x:v>195</x:v>
      </x:c>
      <x:c r="G4536" s="2" t="n">
        <x:v>6</x:v>
      </x:c>
      <x:c r="H4536" s="11" t="n">
        <x:v>2530.9</x:v>
      </x:c>
      <x:c r="I4536" s="2" t="n">
        <x:v>2</x:v>
      </x:c>
      <x:c r="J4536" s="2" t="n">
        <x:v>4</x:v>
      </x:c>
      <x:c r="K4536" s="2" t="n">
        <x:v>4</x:v>
      </x:c>
      <x:c r="L4536" s="2" t="str">
        <x:v>At risk</x:v>
      </x:c>
    </x:row>
    <x:row r="4537" ht="22" customHeight="1">
      <x:c r="A4537" s="2"/>
      <x:c r="B4537" s="2" t="str">
        <x:v>16890</x:v>
      </x:c>
      <x:c r="C4537" s="2" t="str">
        <x:v>United Kingdom</x:v>
      </x:c>
      <x:c r="D4537" s="25" t="n">
        <x:v>40304.47708333333</x:v>
      </x:c>
      <x:c r="E4537" s="25" t="n">
        <x:v>40410.26597222222</x:v>
      </x:c>
      <x:c r="F4537" s="2" t="n">
        <x:v>477</x:v>
      </x:c>
      <x:c r="G4537" s="2" t="n">
        <x:v>3</x:v>
      </x:c>
      <x:c r="H4537" s="11" t="n">
        <x:v>285.41</x:v>
      </x:c>
      <x:c r="I4537" s="2" t="n">
        <x:v>1</x:v>
      </x:c>
      <x:c r="J4537" s="2" t="n">
        <x:v>3</x:v>
      </x:c>
      <x:c r="K4537" s="2" t="n">
        <x:v>1</x:v>
      </x:c>
      <x:c r="L4537" s="2" t="str">
        <x:v>At risk</x:v>
      </x:c>
    </x:row>
    <x:row r="4538" ht="22" customHeight="1">
      <x:c r="A4538" s="2"/>
      <x:c r="B4538" s="2" t="str">
        <x:v>16891</x:v>
      </x:c>
      <x:c r="C4538" s="2" t="str">
        <x:v>United Kingdom</x:v>
      </x:c>
      <x:c r="D4538" s="25" t="n">
        <x:v>40151.31736111111</x:v>
      </x:c>
      <x:c r="E4538" s="25" t="n">
        <x:v>40885.260416666664</x:v>
      </x:c>
      <x:c r="F4538" s="2" t="n">
        <x:v>2</x:v>
      </x:c>
      <x:c r="G4538" s="2" t="n">
        <x:v>11</x:v>
      </x:c>
      <x:c r="H4538" s="11" t="n">
        <x:v>1824.56</x:v>
      </x:c>
      <x:c r="I4538" s="2" t="n">
        <x:v>5</x:v>
      </x:c>
      <x:c r="J4538" s="2" t="n">
        <x:v>5</x:v>
      </x:c>
      <x:c r="K4538" s="2" t="n">
        <x:v>4</x:v>
      </x:c>
      <x:c r="L4538" s="2" t="str">
        <x:v>Champions</x:v>
      </x:c>
    </x:row>
    <x:row r="4539" ht="22" customHeight="1">
      <x:c r="A4539" s="2"/>
      <x:c r="B4539" s="2" t="str">
        <x:v>16892</x:v>
      </x:c>
      <x:c r="C4539" s="2" t="str">
        <x:v>United Kingdom</x:v>
      </x:c>
      <x:c r="D4539" s="25" t="n">
        <x:v>40155.38888888889</x:v>
      </x:c>
      <x:c r="E4539" s="25" t="n">
        <x:v>40885.34583333333</x:v>
      </x:c>
      <x:c r="F4539" s="2" t="n">
        <x:v>2</x:v>
      </x:c>
      <x:c r="G4539" s="2" t="n">
        <x:v>7</x:v>
      </x:c>
      <x:c r="H4539" s="11" t="n">
        <x:v>762.1</x:v>
      </x:c>
      <x:c r="I4539" s="2" t="n">
        <x:v>5</x:v>
      </x:c>
      <x:c r="J4539" s="2" t="n">
        <x:v>4</x:v>
      </x:c>
      <x:c r="K4539" s="2" t="n">
        <x:v>3</x:v>
      </x:c>
      <x:c r="L4539" s="2" t="str">
        <x:v>Loyal</x:v>
      </x:c>
    </x:row>
    <x:row r="4540" ht="22" customHeight="1">
      <x:c r="A4540" s="2"/>
      <x:c r="B4540" s="2" t="str">
        <x:v>16893</x:v>
      </x:c>
      <x:c r="C4540" s="2" t="str">
        <x:v>United Kingdom</x:v>
      </x:c>
      <x:c r="D4540" s="25" t="n">
        <x:v>40510.42638888889</x:v>
      </x:c>
      <x:c r="E4540" s="25" t="n">
        <x:v>40520.29583333333</x:v>
      </x:c>
      <x:c r="F4540" s="2" t="n">
        <x:v>367</x:v>
      </x:c>
      <x:c r="G4540" s="2" t="n">
        <x:v>2</x:v>
      </x:c>
      <x:c r="H4540" s="11" t="n">
        <x:v>255.84</x:v>
      </x:c>
      <x:c r="I4540" s="2" t="n">
        <x:v>2</x:v>
      </x:c>
      <x:c r="J4540" s="2" t="n">
        <x:v>2</x:v>
      </x:c>
      <x:c r="K4540" s="2" t="n">
        <x:v>1</x:v>
      </x:c>
      <x:c r="L4540" s="2" t="str">
        <x:v>Hibernating</x:v>
      </x:c>
    </x:row>
    <x:row r="4541" ht="22" customHeight="1">
      <x:c r="A4541" s="2"/>
      <x:c r="B4541" s="2" t="str">
        <x:v>16894</x:v>
      </x:c>
      <x:c r="C4541" s="2" t="str">
        <x:v>United Kingdom</x:v>
      </x:c>
      <x:c r="D4541" s="25" t="n">
        <x:v>40351.38958333333</x:v>
      </x:c>
      <x:c r="E4541" s="25" t="n">
        <x:v>40384.44652777778</x:v>
      </x:c>
      <x:c r="F4541" s="2" t="n">
        <x:v>503</x:v>
      </x:c>
      <x:c r="G4541" s="2" t="n">
        <x:v>3</x:v>
      </x:c>
      <x:c r="H4541" s="11" t="n">
        <x:v>1324.06</x:v>
      </x:c>
      <x:c r="I4541" s="2" t="n">
        <x:v>1</x:v>
      </x:c>
      <x:c r="J4541" s="2" t="n">
        <x:v>3</x:v>
      </x:c>
      <x:c r="K4541" s="2" t="n">
        <x:v>4</x:v>
      </x:c>
      <x:c r="L4541" s="2" t="str">
        <x:v>At risk</x:v>
      </x:c>
    </x:row>
    <x:row r="4542" ht="22" customHeight="1">
      <x:c r="A4542" s="2"/>
      <x:c r="B4542" s="2" t="str">
        <x:v>16895</x:v>
      </x:c>
      <x:c r="C4542" s="2" t="str">
        <x:v>United Kingdom</x:v>
      </x:c>
      <x:c r="D4542" s="25" t="n">
        <x:v>40221.25486111111</x:v>
      </x:c>
      <x:c r="E4542" s="25" t="n">
        <x:v>40822.302083333336</x:v>
      </x:c>
      <x:c r="F4542" s="2" t="n">
        <x:v>65</x:v>
      </x:c>
      <x:c r="G4542" s="2" t="n">
        <x:v>5</x:v>
      </x:c>
      <x:c r="H4542" s="11" t="n">
        <x:v>1121.42</x:v>
      </x:c>
      <x:c r="I4542" s="2" t="n">
        <x:v>3</x:v>
      </x:c>
      <x:c r="J4542" s="2" t="n">
        <x:v>4</x:v>
      </x:c>
      <x:c r="K4542" s="2" t="n">
        <x:v>3</x:v>
      </x:c>
      <x:c r="L4542" s="2" t="str">
        <x:v>Loyal</x:v>
      </x:c>
    </x:row>
    <x:row r="4543" ht="22" customHeight="1">
      <x:c r="A4543" s="2"/>
      <x:c r="B4543" s="2" t="str">
        <x:v>16896</x:v>
      </x:c>
      <x:c r="C4543" s="2" t="str">
        <x:v>United Kingdom</x:v>
      </x:c>
      <x:c r="D4543" s="25" t="n">
        <x:v>40331.444444444445</x:v>
      </x:c>
      <x:c r="E4543" s="25" t="n">
        <x:v>40331.444444444445</x:v>
      </x:c>
      <x:c r="F4543" s="2" t="n">
        <x:v>556</x:v>
      </x:c>
      <x:c r="G4543" s="2" t="n">
        <x:v>1</x:v>
      </x:c>
      <x:c r="H4543" s="11" t="n">
        <x:v>103.95</x:v>
      </x:c>
      <x:c r="I4543" s="2" t="n">
        <x:v>1</x:v>
      </x:c>
      <x:c r="J4543" s="2" t="n">
        <x:v>1</x:v>
      </x:c>
      <x:c r="K4543" s="2" t="n">
        <x:v>1</x:v>
      </x:c>
      <x:c r="L4543" s="2" t="str">
        <x:v>Hibernating</x:v>
      </x:c>
    </x:row>
    <x:row r="4544" ht="22" customHeight="1">
      <x:c r="A4544" s="2"/>
      <x:c r="B4544" s="2" t="str">
        <x:v>16897</x:v>
      </x:c>
      <x:c r="C4544" s="2" t="str">
        <x:v>United Kingdom</x:v>
      </x:c>
      <x:c r="D4544" s="25" t="n">
        <x:v>40573.28611111111</x:v>
      </x:c>
      <x:c r="E4544" s="25" t="n">
        <x:v>40587.41805555556</x:v>
      </x:c>
      <x:c r="F4544" s="2" t="n">
        <x:v>300</x:v>
      </x:c>
      <x:c r="G4544" s="2" t="n">
        <x:v>2</x:v>
      </x:c>
      <x:c r="H4544" s="11" t="n">
        <x:v>289.78</x:v>
      </x:c>
      <x:c r="I4544" s="2" t="n">
        <x:v>2</x:v>
      </x:c>
      <x:c r="J4544" s="2" t="n">
        <x:v>2</x:v>
      </x:c>
      <x:c r="K4544" s="2" t="n">
        <x:v>2</x:v>
      </x:c>
      <x:c r="L4544" s="2" t="str">
        <x:v>Hibernating</x:v>
      </x:c>
    </x:row>
    <x:row r="4545" ht="22" customHeight="1">
      <x:c r="A4545" s="2"/>
      <x:c r="B4545" s="2" t="str">
        <x:v>16898</x:v>
      </x:c>
      <x:c r="C4545" s="2" t="str">
        <x:v>United Kingdom</x:v>
      </x:c>
      <x:c r="D4545" s="25" t="n">
        <x:v>40310.30416666667</x:v>
      </x:c>
      <x:c r="E4545" s="25" t="n">
        <x:v>40860.447222222225</x:v>
      </x:c>
      <x:c r="F4545" s="2" t="n">
        <x:v>27</x:v>
      </x:c>
      <x:c r="G4545" s="2" t="n">
        <x:v>5</x:v>
      </x:c>
      <x:c r="H4545" s="11" t="n">
        <x:v>900.29</x:v>
      </x:c>
      <x:c r="I4545" s="2" t="n">
        <x:v>4</x:v>
      </x:c>
      <x:c r="J4545" s="2" t="n">
        <x:v>4</x:v>
      </x:c>
      <x:c r="K4545" s="2" t="n">
        <x:v>3</x:v>
      </x:c>
      <x:c r="L4545" s="2" t="str">
        <x:v>Loyal</x:v>
      </x:c>
    </x:row>
    <x:row r="4546" ht="22" customHeight="1">
      <x:c r="A4546" s="2"/>
      <x:c r="B4546" s="2" t="str">
        <x:v>16899</x:v>
      </x:c>
      <x:c r="C4546" s="2" t="str">
        <x:v>United Kingdom</x:v>
      </x:c>
      <x:c r="D4546" s="25" t="n">
        <x:v>40489.416666666664</x:v>
      </x:c>
      <x:c r="E4546" s="25" t="n">
        <x:v>40879.29375</x:v>
      </x:c>
      <x:c r="F4546" s="2" t="n">
        <x:v>8</x:v>
      </x:c>
      <x:c r="G4546" s="2" t="n">
        <x:v>8</x:v>
      </x:c>
      <x:c r="H4546" s="11" t="n">
        <x:v>1721.02</x:v>
      </x:c>
      <x:c r="I4546" s="2" t="n">
        <x:v>5</x:v>
      </x:c>
      <x:c r="J4546" s="2" t="n">
        <x:v>4</x:v>
      </x:c>
      <x:c r="K4546" s="2" t="n">
        <x:v>4</x:v>
      </x:c>
      <x:c r="L4546" s="2" t="str">
        <x:v>Champions</x:v>
      </x:c>
    </x:row>
    <x:row r="4547" ht="22" customHeight="1">
      <x:c r="A4547" s="2"/>
      <x:c r="B4547" s="2" t="str">
        <x:v>16900</x:v>
      </x:c>
      <x:c r="C4547" s="2" t="str">
        <x:v>United Kingdom</x:v>
      </x:c>
      <x:c r="D4547" s="25" t="n">
        <x:v>40823.345138888886</x:v>
      </x:c>
      <x:c r="E4547" s="25" t="n">
        <x:v>40870.23055555556</x:v>
      </x:c>
      <x:c r="F4547" s="2" t="n">
        <x:v>17</x:v>
      </x:c>
      <x:c r="G4547" s="2" t="n">
        <x:v>3</x:v>
      </x:c>
      <x:c r="H4547" s="11" t="n">
        <x:v>887.11</x:v>
      </x:c>
      <x:c r="I4547" s="2" t="n">
        <x:v>5</x:v>
      </x:c>
      <x:c r="J4547" s="2" t="n">
        <x:v>3</x:v>
      </x:c>
      <x:c r="K4547" s="2" t="n">
        <x:v>3</x:v>
      </x:c>
      <x:c r="L4547" s="2" t="str">
        <x:v>Loyal</x:v>
      </x:c>
    </x:row>
    <x:row r="4548" ht="22" customHeight="1">
      <x:c r="A4548" s="2"/>
      <x:c r="B4548" s="2" t="str">
        <x:v>16901</x:v>
      </x:c>
      <x:c r="C4548" s="2" t="str">
        <x:v>United Kingdom</x:v>
      </x:c>
      <x:c r="D4548" s="25" t="n">
        <x:v>40157.479166666664</x:v>
      </x:c>
      <x:c r="E4548" s="25" t="n">
        <x:v>40157.479166666664</x:v>
      </x:c>
      <x:c r="F4548" s="2" t="n">
        <x:v>730</x:v>
      </x:c>
      <x:c r="G4548" s="2" t="n">
        <x:v>1</x:v>
      </x:c>
      <x:c r="H4548" s="11" t="n">
        <x:v>204.26</x:v>
      </x:c>
      <x:c r="I4548" s="2" t="n">
        <x:v>1</x:v>
      </x:c>
      <x:c r="J4548" s="2" t="n">
        <x:v>1</x:v>
      </x:c>
      <x:c r="K4548" s="2" t="n">
        <x:v>1</x:v>
      </x:c>
      <x:c r="L4548" s="2" t="str">
        <x:v>Hibernating</x:v>
      </x:c>
    </x:row>
    <x:row r="4549" ht="22" customHeight="1">
      <x:c r="A4549" s="2"/>
      <x:c r="B4549" s="2" t="str">
        <x:v>16902</x:v>
      </x:c>
      <x:c r="C4549" s="2" t="str">
        <x:v>United Kingdom</x:v>
      </x:c>
      <x:c r="D4549" s="25" t="n">
        <x:v>40770.38680555556</x:v>
      </x:c>
      <x:c r="E4549" s="25" t="n">
        <x:v>40770.38680555556</x:v>
      </x:c>
      <x:c r="F4549" s="2" t="n">
        <x:v>117</x:v>
      </x:c>
      <x:c r="G4549" s="2" t="n">
        <x:v>1</x:v>
      </x:c>
      <x:c r="H4549" s="11" t="n">
        <x:v>1706.88</x:v>
      </x:c>
      <x:c r="I4549" s="2" t="n">
        <x:v>3</x:v>
      </x:c>
      <x:c r="J4549" s="2" t="n">
        <x:v>1</x:v>
      </x:c>
      <x:c r="K4549" s="2" t="n">
        <x:v>4</x:v>
      </x:c>
      <x:c r="L4549" s="2" t="str">
        <x:v>Developing</x:v>
      </x:c>
    </x:row>
    <x:row r="4550" ht="22" customHeight="1">
      <x:c r="A4550" s="2"/>
      <x:c r="B4550" s="2" t="str">
        <x:v>16903</x:v>
      </x:c>
      <x:c r="C4550" s="2" t="str">
        <x:v>United Kingdom</x:v>
      </x:c>
      <x:c r="D4550" s="25" t="n">
        <x:v>40471.40416666667</x:v>
      </x:c>
      <x:c r="E4550" s="25" t="n">
        <x:v>40857.438888888886</x:v>
      </x:c>
      <x:c r="F4550" s="2" t="n">
        <x:v>30</x:v>
      </x:c>
      <x:c r="G4550" s="2" t="n">
        <x:v>3</x:v>
      </x:c>
      <x:c r="H4550" s="11" t="n">
        <x:v>1062.28</x:v>
      </x:c>
      <x:c r="I4550" s="2" t="n">
        <x:v>4</x:v>
      </x:c>
      <x:c r="J4550" s="2" t="n">
        <x:v>3</x:v>
      </x:c>
      <x:c r="K4550" s="2" t="n">
        <x:v>3</x:v>
      </x:c>
      <x:c r="L4550" s="2" t="str">
        <x:v>Loyal</x:v>
      </x:c>
    </x:row>
    <x:row r="4551" ht="22" customHeight="1">
      <x:c r="A4551" s="2"/>
      <x:c r="B4551" s="2" t="str">
        <x:v>16904</x:v>
      </x:c>
      <x:c r="C4551" s="2" t="str">
        <x:v>United Kingdom</x:v>
      </x:c>
      <x:c r="D4551" s="25" t="n">
        <x:v>40475.46041666667</x:v>
      </x:c>
      <x:c r="E4551" s="25" t="n">
        <x:v>40882.34027777778</x:v>
      </x:c>
      <x:c r="F4551" s="2" t="n">
        <x:v>5</x:v>
      </x:c>
      <x:c r="G4551" s="2" t="n">
        <x:v>21</x:v>
      </x:c>
      <x:c r="H4551" s="11" t="n">
        <x:v>4793.67</x:v>
      </x:c>
      <x:c r="I4551" s="2" t="n">
        <x:v>5</x:v>
      </x:c>
      <x:c r="J4551" s="2" t="n">
        <x:v>5</x:v>
      </x:c>
      <x:c r="K4551" s="2" t="n">
        <x:v>5</x:v>
      </x:c>
      <x:c r="L4551" s="2" t="str">
        <x:v>Champions</x:v>
      </x:c>
    </x:row>
    <x:row r="4552" ht="22" customHeight="1">
      <x:c r="A4552" s="2"/>
      <x:c r="B4552" s="2" t="str">
        <x:v>16905</x:v>
      </x:c>
      <x:c r="C4552" s="2" t="str">
        <x:v>United Kingdom</x:v>
      </x:c>
      <x:c r="D4552" s="25" t="n">
        <x:v>40157.62777777778</x:v>
      </x:c>
      <x:c r="E4552" s="25" t="n">
        <x:v>40881.37569444445</x:v>
      </x:c>
      <x:c r="F4552" s="2" t="n">
        <x:v>6</x:v>
      </x:c>
      <x:c r="G4552" s="2" t="n">
        <x:v>17</x:v>
      </x:c>
      <x:c r="H4552" s="11" t="n">
        <x:v>4779.75</x:v>
      </x:c>
      <x:c r="I4552" s="2" t="n">
        <x:v>5</x:v>
      </x:c>
      <x:c r="J4552" s="2" t="n">
        <x:v>5</x:v>
      </x:c>
      <x:c r="K4552" s="2" t="n">
        <x:v>5</x:v>
      </x:c>
      <x:c r="L4552" s="2" t="str">
        <x:v>Champions</x:v>
      </x:c>
    </x:row>
    <x:row r="4553" ht="22" customHeight="1">
      <x:c r="A4553" s="2"/>
      <x:c r="B4553" s="2" t="str">
        <x:v>16906</x:v>
      </x:c>
      <x:c r="C4553" s="2" t="str">
        <x:v>United Kingdom</x:v>
      </x:c>
      <x:c r="D4553" s="25" t="n">
        <x:v>40311.34930555556</x:v>
      </x:c>
      <x:c r="E4553" s="25" t="n">
        <x:v>40805.28402777778</x:v>
      </x:c>
      <x:c r="F4553" s="2" t="n">
        <x:v>82</x:v>
      </x:c>
      <x:c r="G4553" s="2" t="n">
        <x:v>7</x:v>
      </x:c>
      <x:c r="H4553" s="11" t="n">
        <x:v>1448.8</x:v>
      </x:c>
      <x:c r="I4553" s="2" t="n">
        <x:v>3</x:v>
      </x:c>
      <x:c r="J4553" s="2" t="n">
        <x:v>4</x:v>
      </x:c>
      <x:c r="K4553" s="2" t="n">
        <x:v>4</x:v>
      </x:c>
      <x:c r="L4553" s="2" t="str">
        <x:v>Loyal</x:v>
      </x:c>
    </x:row>
    <x:row r="4554" ht="22" customHeight="1">
      <x:c r="A4554" s="2"/>
      <x:c r="B4554" s="2" t="str">
        <x:v>16907</x:v>
      </x:c>
      <x:c r="C4554" s="2" t="str">
        <x:v>United Kingdom</x:v>
      </x:c>
      <x:c r="D4554" s="25" t="n">
        <x:v>40360.520833333336</x:v>
      </x:c>
      <x:c r="E4554" s="25" t="n">
        <x:v>40857.544444444444</x:v>
      </x:c>
      <x:c r="F4554" s="2" t="n">
        <x:v>30</x:v>
      </x:c>
      <x:c r="G4554" s="2" t="n">
        <x:v>9</x:v>
      </x:c>
      <x:c r="H4554" s="11" t="n">
        <x:v>1525.88</x:v>
      </x:c>
      <x:c r="I4554" s="2" t="n">
        <x:v>4</x:v>
      </x:c>
      <x:c r="J4554" s="2" t="n">
        <x:v>5</x:v>
      </x:c>
      <x:c r="K4554" s="2" t="n">
        <x:v>4</x:v>
      </x:c>
      <x:c r="L4554" s="2" t="str">
        <x:v>Champions</x:v>
      </x:c>
    </x:row>
    <x:row r="4555" ht="22" customHeight="1">
      <x:c r="A4555" s="2"/>
      <x:c r="B4555" s="2" t="str">
        <x:v>16908</x:v>
      </x:c>
      <x:c r="C4555" s="2" t="str">
        <x:v>United Kingdom</x:v>
      </x:c>
      <x:c r="D4555" s="25" t="n">
        <x:v>40164.35763888889</x:v>
      </x:c>
      <x:c r="E4555" s="25" t="n">
        <x:v>40164.35763888889</x:v>
      </x:c>
      <x:c r="F4555" s="2" t="n">
        <x:v>723</x:v>
      </x:c>
      <x:c r="G4555" s="2" t="n">
        <x:v>1</x:v>
      </x:c>
      <x:c r="H4555" s="11" t="n">
        <x:v>252.59</x:v>
      </x:c>
      <x:c r="I4555" s="2" t="n">
        <x:v>1</x:v>
      </x:c>
      <x:c r="J4555" s="2" t="n">
        <x:v>1</x:v>
      </x:c>
      <x:c r="K4555" s="2" t="n">
        <x:v>1</x:v>
      </x:c>
      <x:c r="L4555" s="2" t="str">
        <x:v>Hibernating</x:v>
      </x:c>
    </x:row>
    <x:row r="4556" ht="22" customHeight="1">
      <x:c r="A4556" s="2"/>
      <x:c r="B4556" s="2" t="str">
        <x:v>16909</x:v>
      </x:c>
      <x:c r="C4556" s="2" t="str">
        <x:v>United Kingdom</x:v>
      </x:c>
      <x:c r="D4556" s="25" t="n">
        <x:v>40814.489583333336</x:v>
      </x:c>
      <x:c r="E4556" s="25" t="n">
        <x:v>40814.489583333336</x:v>
      </x:c>
      <x:c r="F4556" s="2" t="n">
        <x:v>73</x:v>
      </x:c>
      <x:c r="G4556" s="2" t="n">
        <x:v>1</x:v>
      </x:c>
      <x:c r="H4556" s="11" t="n">
        <x:v>379.14</x:v>
      </x:c>
      <x:c r="I4556" s="2" t="n">
        <x:v>3</x:v>
      </x:c>
      <x:c r="J4556" s="2" t="n">
        <x:v>1</x:v>
      </x:c>
      <x:c r="K4556" s="2" t="n">
        <x:v>2</x:v>
      </x:c>
      <x:c r="L4556" s="2" t="str">
        <x:v>Developing</x:v>
      </x:c>
    </x:row>
    <x:row r="4557" ht="22" customHeight="1">
      <x:c r="A4557" s="2"/>
      <x:c r="B4557" s="2" t="str">
        <x:v>16910</x:v>
      </x:c>
      <x:c r="C4557" s="2" t="str">
        <x:v>United Kingdom</x:v>
      </x:c>
      <x:c r="D4557" s="25" t="n">
        <x:v>40795.384722222225</x:v>
      </x:c>
      <x:c r="E4557" s="25" t="n">
        <x:v>40882.32708333333</x:v>
      </x:c>
      <x:c r="F4557" s="2" t="n">
        <x:v>5</x:v>
      </x:c>
      <x:c r="G4557" s="2" t="n">
        <x:v>8</x:v>
      </x:c>
      <x:c r="H4557" s="11" t="n">
        <x:v>1510.06</x:v>
      </x:c>
      <x:c r="I4557" s="2" t="n">
        <x:v>5</x:v>
      </x:c>
      <x:c r="J4557" s="2" t="n">
        <x:v>4</x:v>
      </x:c>
      <x:c r="K4557" s="2" t="n">
        <x:v>4</x:v>
      </x:c>
      <x:c r="L4557" s="2" t="str">
        <x:v>Champions</x:v>
      </x:c>
    </x:row>
    <x:row r="4558" ht="22" customHeight="1">
      <x:c r="A4558" s="2"/>
      <x:c r="B4558" s="2" t="str">
        <x:v>16911</x:v>
      </x:c>
      <x:c r="C4558" s="2" t="str">
        <x:v>United Kingdom</x:v>
      </x:c>
      <x:c r="D4558" s="25" t="n">
        <x:v>40225.46666666667</x:v>
      </x:c>
      <x:c r="E4558" s="25" t="n">
        <x:v>40251.30416666667</x:v>
      </x:c>
      <x:c r="F4558" s="2" t="n">
        <x:v>636</x:v>
      </x:c>
      <x:c r="G4558" s="2" t="n">
        <x:v>2</x:v>
      </x:c>
      <x:c r="H4558" s="11" t="n">
        <x:v>255.25</x:v>
      </x:c>
      <x:c r="I4558" s="2" t="n">
        <x:v>1</x:v>
      </x:c>
      <x:c r="J4558" s="2" t="n">
        <x:v>2</x:v>
      </x:c>
      <x:c r="K4558" s="2" t="n">
        <x:v>1</x:v>
      </x:c>
      <x:c r="L4558" s="2" t="str">
        <x:v>Hibernating</x:v>
      </x:c>
    </x:row>
    <x:row r="4559" ht="22" customHeight="1">
      <x:c r="A4559" s="2"/>
      <x:c r="B4559" s="2" t="str">
        <x:v>16912</x:v>
      </x:c>
      <x:c r="C4559" s="2" t="str">
        <x:v>United Kingdom</x:v>
      </x:c>
      <x:c r="D4559" s="25" t="n">
        <x:v>40156.313888888886</x:v>
      </x:c>
      <x:c r="E4559" s="25" t="n">
        <x:v>40858.30416666667</x:v>
      </x:c>
      <x:c r="F4559" s="2" t="n">
        <x:v>29</x:v>
      </x:c>
      <x:c r="G4559" s="2" t="n">
        <x:v>15</x:v>
      </x:c>
      <x:c r="H4559" s="11" t="n">
        <x:v>4480.31</x:v>
      </x:c>
      <x:c r="I4559" s="2" t="n">
        <x:v>4</x:v>
      </x:c>
      <x:c r="J4559" s="2" t="n">
        <x:v>5</x:v>
      </x:c>
      <x:c r="K4559" s="2" t="n">
        <x:v>5</x:v>
      </x:c>
      <x:c r="L4559" s="2" t="str">
        <x:v>Champions</x:v>
      </x:c>
    </x:row>
    <x:row r="4560" ht="22" customHeight="1">
      <x:c r="A4560" s="2"/>
      <x:c r="B4560" s="2" t="str">
        <x:v>16913</x:v>
      </x:c>
      <x:c r="C4560" s="2" t="str">
        <x:v>United Kingdom</x:v>
      </x:c>
      <x:c r="D4560" s="25" t="n">
        <x:v>40235.29583333333</x:v>
      </x:c>
      <x:c r="E4560" s="25" t="n">
        <x:v>40596.330555555556</x:v>
      </x:c>
      <x:c r="F4560" s="2" t="n">
        <x:v>291</x:v>
      </x:c>
      <x:c r="G4560" s="2" t="n">
        <x:v>3</x:v>
      </x:c>
      <x:c r="H4560" s="11" t="n">
        <x:v>423.91</x:v>
      </x:c>
      <x:c r="I4560" s="2" t="n">
        <x:v>2</x:v>
      </x:c>
      <x:c r="J4560" s="2" t="n">
        <x:v>3</x:v>
      </x:c>
      <x:c r="K4560" s="2" t="n">
        <x:v>2</x:v>
      </x:c>
      <x:c r="L4560" s="2" t="str">
        <x:v>At risk</x:v>
      </x:c>
    </x:row>
    <x:row r="4561" ht="22" customHeight="1">
      <x:c r="A4561" s="2"/>
      <x:c r="B4561" s="2" t="str">
        <x:v>16914</x:v>
      </x:c>
      <x:c r="C4561" s="2" t="str">
        <x:v>United Kingdom</x:v>
      </x:c>
      <x:c r="D4561" s="25" t="n">
        <x:v>40850.43541666667</x:v>
      </x:c>
      <x:c r="E4561" s="25" t="n">
        <x:v>40850.43541666667</x:v>
      </x:c>
      <x:c r="F4561" s="2" t="n">
        <x:v>37</x:v>
      </x:c>
      <x:c r="G4561" s="2" t="n">
        <x:v>1</x:v>
      </x:c>
      <x:c r="H4561" s="11" t="n">
        <x:v>208.46</x:v>
      </x:c>
      <x:c r="I4561" s="2" t="n">
        <x:v>4</x:v>
      </x:c>
      <x:c r="J4561" s="2" t="n">
        <x:v>1</x:v>
      </x:c>
      <x:c r="K4561" s="2" t="n">
        <x:v>1</x:v>
      </x:c>
      <x:c r="L4561" s="2" t="str">
        <x:v>Recent light buyers</x:v>
      </x:c>
    </x:row>
    <x:row r="4562" ht="22" customHeight="1">
      <x:c r="A4562" s="2"/>
      <x:c r="B4562" s="2" t="str">
        <x:v>16915</x:v>
      </x:c>
      <x:c r="C4562" s="2" t="str">
        <x:v>United Kingdom</x:v>
      </x:c>
      <x:c r="D4562" s="25" t="n">
        <x:v>40317.35555555556</x:v>
      </x:c>
      <x:c r="E4562" s="25" t="n">
        <x:v>40877.48541666667</x:v>
      </x:c>
      <x:c r="F4562" s="2" t="n">
        <x:v>10</x:v>
      </x:c>
      <x:c r="G4562" s="2" t="n">
        <x:v>11</x:v>
      </x:c>
      <x:c r="H4562" s="11" t="n">
        <x:v>1543.18</x:v>
      </x:c>
      <x:c r="I4562" s="2" t="n">
        <x:v>5</x:v>
      </x:c>
      <x:c r="J4562" s="2" t="n">
        <x:v>5</x:v>
      </x:c>
      <x:c r="K4562" s="2" t="n">
        <x:v>4</x:v>
      </x:c>
      <x:c r="L4562" s="2" t="str">
        <x:v>Champions</x:v>
      </x:c>
    </x:row>
    <x:row r="4563" ht="22" customHeight="1">
      <x:c r="A4563" s="2"/>
      <x:c r="B4563" s="2" t="str">
        <x:v>16916</x:v>
      </x:c>
      <x:c r="C4563" s="2" t="str">
        <x:v>United Kingdom</x:v>
      </x:c>
      <x:c r="D4563" s="25" t="n">
        <x:v>40471.330555555556</x:v>
      </x:c>
      <x:c r="E4563" s="25" t="n">
        <x:v>40863.29722222222</x:v>
      </x:c>
      <x:c r="F4563" s="2" t="n">
        <x:v>24</x:v>
      </x:c>
      <x:c r="G4563" s="2" t="n">
        <x:v>4</x:v>
      </x:c>
      <x:c r="H4563" s="11" t="n">
        <x:v>925.32</x:v>
      </x:c>
      <x:c r="I4563" s="2" t="n">
        <x:v>4</x:v>
      </x:c>
      <x:c r="J4563" s="2" t="n">
        <x:v>3</x:v>
      </x:c>
      <x:c r="K4563" s="2" t="n">
        <x:v>3</x:v>
      </x:c>
      <x:c r="L4563" s="2" t="str">
        <x:v>Loyal</x:v>
      </x:c>
    </x:row>
    <x:row r="4564" ht="22" customHeight="1">
      <x:c r="A4564" s="2"/>
      <x:c r="B4564" s="2" t="str">
        <x:v>16917</x:v>
      </x:c>
      <x:c r="C4564" s="2" t="str">
        <x:v>United Kingdom</x:v>
      </x:c>
      <x:c r="D4564" s="25" t="n">
        <x:v>40254.433333333334</x:v>
      </x:c>
      <x:c r="E4564" s="25" t="n">
        <x:v>40610.288194444445</x:v>
      </x:c>
      <x:c r="F4564" s="2" t="n">
        <x:v>277</x:v>
      </x:c>
      <x:c r="G4564" s="2" t="n">
        <x:v>2</x:v>
      </x:c>
      <x:c r="H4564" s="11" t="n">
        <x:v>1857.83</x:v>
      </x:c>
      <x:c r="I4564" s="2" t="n">
        <x:v>2</x:v>
      </x:c>
      <x:c r="J4564" s="2" t="n">
        <x:v>2</x:v>
      </x:c>
      <x:c r="K4564" s="2" t="n">
        <x:v>4</x:v>
      </x:c>
      <x:c r="L4564" s="2" t="str">
        <x:v>Hibernating</x:v>
      </x:c>
    </x:row>
    <x:row r="4565" ht="22" customHeight="1">
      <x:c r="A4565" s="2"/>
      <x:c r="B4565" s="2" t="str">
        <x:v>16918</x:v>
      </x:c>
      <x:c r="C4565" s="2" t="str">
        <x:v>United Kingdom</x:v>
      </x:c>
      <x:c r="D4565" s="25" t="n">
        <x:v>40150.31041666667</x:v>
      </x:c>
      <x:c r="E4565" s="25" t="n">
        <x:v>40837.32638888889</x:v>
      </x:c>
      <x:c r="F4565" s="2" t="n">
        <x:v>50</x:v>
      </x:c>
      <x:c r="G4565" s="2" t="n">
        <x:v>16</x:v>
      </x:c>
      <x:c r="H4565" s="11" t="n">
        <x:v>3213.29</x:v>
      </x:c>
      <x:c r="I4565" s="2" t="n">
        <x:v>4</x:v>
      </x:c>
      <x:c r="J4565" s="2" t="n">
        <x:v>5</x:v>
      </x:c>
      <x:c r="K4565" s="2" t="n">
        <x:v>5</x:v>
      </x:c>
      <x:c r="L4565" s="2" t="str">
        <x:v>Champions</x:v>
      </x:c>
    </x:row>
    <x:row r="4566" ht="22" customHeight="1">
      <x:c r="A4566" s="2"/>
      <x:c r="B4566" s="2" t="str">
        <x:v>16919</x:v>
      </x:c>
      <x:c r="C4566" s="2" t="str">
        <x:v>United Kingdom</x:v>
      </x:c>
      <x:c r="D4566" s="25" t="n">
        <x:v>40409.436111111114</x:v>
      </x:c>
      <x:c r="E4566" s="25" t="n">
        <x:v>40730.35763888889</x:v>
      </x:c>
      <x:c r="F4566" s="2" t="n">
        <x:v>157</x:v>
      </x:c>
      <x:c r="G4566" s="2" t="n">
        <x:v>24</x:v>
      </x:c>
      <x:c r="H4566" s="11" t="n">
        <x:v>4927.56</x:v>
      </x:c>
      <x:c r="I4566" s="2" t="n">
        <x:v>3</x:v>
      </x:c>
      <x:c r="J4566" s="2" t="n">
        <x:v>5</x:v>
      </x:c>
      <x:c r="K4566" s="2" t="n">
        <x:v>5</x:v>
      </x:c>
      <x:c r="L4566" s="2" t="str">
        <x:v>Loyal</x:v>
      </x:c>
    </x:row>
    <x:row r="4567" ht="22" customHeight="1">
      <x:c r="A4567" s="2"/>
      <x:c r="B4567" s="2" t="str">
        <x:v>16920</x:v>
      </x:c>
      <x:c r="C4567" s="2" t="str">
        <x:v>United Kingdom</x:v>
      </x:c>
      <x:c r="D4567" s="25" t="n">
        <x:v>40475.37986111111</x:v>
      </x:c>
      <x:c r="E4567" s="25" t="n">
        <x:v>40475.37986111111</x:v>
      </x:c>
      <x:c r="F4567" s="2" t="n">
        <x:v>412</x:v>
      </x:c>
      <x:c r="G4567" s="2" t="n">
        <x:v>1</x:v>
      </x:c>
      <x:c r="H4567" s="11" t="n">
        <x:v>355.45</x:v>
      </x:c>
      <x:c r="I4567" s="2" t="n">
        <x:v>1</x:v>
      </x:c>
      <x:c r="J4567" s="2" t="n">
        <x:v>1</x:v>
      </x:c>
      <x:c r="K4567" s="2" t="n">
        <x:v>2</x:v>
      </x:c>
      <x:c r="L4567" s="2" t="str">
        <x:v>Hibernating</x:v>
      </x:c>
    </x:row>
    <x:row r="4568" ht="22" customHeight="1">
      <x:c r="A4568" s="2"/>
      <x:c r="B4568" s="2" t="str">
        <x:v>16921</x:v>
      </x:c>
      <x:c r="C4568" s="2" t="str">
        <x:v>United Kingdom</x:v>
      </x:c>
      <x:c r="D4568" s="25" t="n">
        <x:v>40286.44027777778</x:v>
      </x:c>
      <x:c r="E4568" s="25" t="n">
        <x:v>40825.47361111111</x:v>
      </x:c>
      <x:c r="F4568" s="2" t="n">
        <x:v>62</x:v>
      </x:c>
      <x:c r="G4568" s="2" t="n">
        <x:v>3</x:v>
      </x:c>
      <x:c r="H4568" s="11" t="n">
        <x:v>446.67</x:v>
      </x:c>
      <x:c r="I4568" s="2" t="n">
        <x:v>3</x:v>
      </x:c>
      <x:c r="J4568" s="2" t="n">
        <x:v>3</x:v>
      </x:c>
      <x:c r="K4568" s="2" t="n">
        <x:v>2</x:v>
      </x:c>
      <x:c r="L4568" s="2" t="str">
        <x:v>Loyal</x:v>
      </x:c>
    </x:row>
    <x:row r="4569" ht="22" customHeight="1">
      <x:c r="A4569" s="2"/>
      <x:c r="B4569" s="2" t="str">
        <x:v>16922</x:v>
      </x:c>
      <x:c r="C4569" s="2" t="str">
        <x:v>United Kingdom</x:v>
      </x:c>
      <x:c r="D4569" s="25" t="n">
        <x:v>40314.26666666667</x:v>
      </x:c>
      <x:c r="E4569" s="25" t="n">
        <x:v>40314.26666666667</x:v>
      </x:c>
      <x:c r="F4569" s="2" t="n">
        <x:v>573</x:v>
      </x:c>
      <x:c r="G4569" s="2" t="n">
        <x:v>1</x:v>
      </x:c>
      <x:c r="H4569" s="11" t="n">
        <x:v>611.08</x:v>
      </x:c>
      <x:c r="I4569" s="2" t="n">
        <x:v>1</x:v>
      </x:c>
      <x:c r="J4569" s="2" t="n">
        <x:v>1</x:v>
      </x:c>
      <x:c r="K4569" s="2" t="n">
        <x:v>2</x:v>
      </x:c>
      <x:c r="L4569" s="2" t="str">
        <x:v>Hibernating</x:v>
      </x:c>
    </x:row>
    <x:row r="4570" ht="22" customHeight="1">
      <x:c r="A4570" s="2"/>
      <x:c r="B4570" s="2" t="str">
        <x:v>16923</x:v>
      </x:c>
      <x:c r="C4570" s="2" t="str">
        <x:v>United Kingdom</x:v>
      </x:c>
      <x:c r="D4570" s="25" t="n">
        <x:v>40209.259722222225</x:v>
      </x:c>
      <x:c r="E4570" s="25" t="n">
        <x:v>40874.333333333336</x:v>
      </x:c>
      <x:c r="F4570" s="2" t="n">
        <x:v>13</x:v>
      </x:c>
      <x:c r="G4570" s="2" t="n">
        <x:v>32</x:v>
      </x:c>
      <x:c r="H4570" s="11" t="n">
        <x:v>13378.36</x:v>
      </x:c>
      <x:c r="I4570" s="2" t="n">
        <x:v>5</x:v>
      </x:c>
      <x:c r="J4570" s="2" t="n">
        <x:v>5</x:v>
      </x:c>
      <x:c r="K4570" s="2" t="n">
        <x:v>5</x:v>
      </x:c>
      <x:c r="L4570" s="2" t="str">
        <x:v>Champions</x:v>
      </x:c>
    </x:row>
    <x:row r="4571" ht="22" customHeight="1">
      <x:c r="A4571" s="2"/>
      <x:c r="B4571" s="2" t="str">
        <x:v>16924</x:v>
      </x:c>
      <x:c r="C4571" s="2" t="str">
        <x:v>United Kingdom</x:v>
      </x:c>
      <x:c r="D4571" s="25" t="n">
        <x:v>40802.32916666667</x:v>
      </x:c>
      <x:c r="E4571" s="25" t="n">
        <x:v>40865.32847222222</x:v>
      </x:c>
      <x:c r="F4571" s="2" t="n">
        <x:v>22</x:v>
      </x:c>
      <x:c r="G4571" s="2" t="n">
        <x:v>3</x:v>
      </x:c>
      <x:c r="H4571" s="11" t="n">
        <x:v>846.75</x:v>
      </x:c>
      <x:c r="I4571" s="2" t="n">
        <x:v>4</x:v>
      </x:c>
      <x:c r="J4571" s="2" t="n">
        <x:v>3</x:v>
      </x:c>
      <x:c r="K4571" s="2" t="n">
        <x:v>3</x:v>
      </x:c>
      <x:c r="L4571" s="2" t="str">
        <x:v>Loyal</x:v>
      </x:c>
    </x:row>
    <x:row r="4572" ht="22" customHeight="1">
      <x:c r="A4572" s="2"/>
      <x:c r="B4572" s="2" t="str">
        <x:v>16925</x:v>
      </x:c>
      <x:c r="C4572" s="2" t="str">
        <x:v>United Kingdom</x:v>
      </x:c>
      <x:c r="D4572" s="25" t="n">
        <x:v>40346.41875</x:v>
      </x:c>
      <x:c r="E4572" s="25" t="n">
        <x:v>40346.41875</x:v>
      </x:c>
      <x:c r="F4572" s="2" t="n">
        <x:v>541</x:v>
      </x:c>
      <x:c r="G4572" s="2" t="n">
        <x:v>1</x:v>
      </x:c>
      <x:c r="H4572" s="11" t="n">
        <x:v>125.65</x:v>
      </x:c>
      <x:c r="I4572" s="2" t="n">
        <x:v>1</x:v>
      </x:c>
      <x:c r="J4572" s="2" t="n">
        <x:v>1</x:v>
      </x:c>
      <x:c r="K4572" s="2" t="n">
        <x:v>1</x:v>
      </x:c>
      <x:c r="L4572" s="2" t="str">
        <x:v>Hibernating</x:v>
      </x:c>
    </x:row>
    <x:row r="4573" ht="22" customHeight="1">
      <x:c r="A4573" s="2"/>
      <x:c r="B4573" s="2" t="str">
        <x:v>16926</x:v>
      </x:c>
      <x:c r="C4573" s="2" t="str">
        <x:v>United Kingdom</x:v>
      </x:c>
      <x:c r="D4573" s="25" t="n">
        <x:v>40360.33125</x:v>
      </x:c>
      <x:c r="E4573" s="25" t="n">
        <x:v>40515.3625</x:v>
      </x:c>
      <x:c r="F4573" s="2" t="n">
        <x:v>372</x:v>
      </x:c>
      <x:c r="G4573" s="2" t="n">
        <x:v>5</x:v>
      </x:c>
      <x:c r="H4573" s="11" t="n">
        <x:v>1191.1</x:v>
      </x:c>
      <x:c r="I4573" s="2" t="n">
        <x:v>2</x:v>
      </x:c>
      <x:c r="J4573" s="2" t="n">
        <x:v>4</x:v>
      </x:c>
      <x:c r="K4573" s="2" t="n">
        <x:v>3</x:v>
      </x:c>
      <x:c r="L4573" s="2" t="str">
        <x:v>At risk</x:v>
      </x:c>
    </x:row>
    <x:row r="4574" ht="22" customHeight="1">
      <x:c r="A4574" s="2"/>
      <x:c r="B4574" s="2" t="str">
        <x:v>16927</x:v>
      </x:c>
      <x:c r="C4574" s="2" t="str">
        <x:v>United Kingdom</x:v>
      </x:c>
      <x:c r="D4574" s="25" t="n">
        <x:v>40525.28958333333</x:v>
      </x:c>
      <x:c r="E4574" s="25" t="n">
        <x:v>40771.256944444445</x:v>
      </x:c>
      <x:c r="F4574" s="2" t="n">
        <x:v>116</x:v>
      </x:c>
      <x:c r="G4574" s="2" t="n">
        <x:v>3</x:v>
      </x:c>
      <x:c r="H4574" s="11" t="n">
        <x:v>543.05</x:v>
      </x:c>
      <x:c r="I4574" s="2" t="n">
        <x:v>3</x:v>
      </x:c>
      <x:c r="J4574" s="2" t="n">
        <x:v>3</x:v>
      </x:c>
      <x:c r="K4574" s="2" t="n">
        <x:v>2</x:v>
      </x:c>
      <x:c r="L4574" s="2" t="str">
        <x:v>Loyal</x:v>
      </x:c>
    </x:row>
    <x:row r="4575" ht="22" customHeight="1">
      <x:c r="A4575" s="2"/>
      <x:c r="B4575" s="2" t="str">
        <x:v>16928</x:v>
      </x:c>
      <x:c r="C4575" s="2" t="str">
        <x:v>United Kingdom</x:v>
      </x:c>
      <x:c r="D4575" s="25" t="n">
        <x:v>40212.3125</x:v>
      </x:c>
      <x:c r="E4575" s="25" t="n">
        <x:v>40806.42361111111</x:v>
      </x:c>
      <x:c r="F4575" s="2" t="n">
        <x:v>81</x:v>
      </x:c>
      <x:c r="G4575" s="2" t="n">
        <x:v>29</x:v>
      </x:c>
      <x:c r="H4575" s="11" t="n">
        <x:v>3996.98</x:v>
      </x:c>
      <x:c r="I4575" s="2" t="n">
        <x:v>3</x:v>
      </x:c>
      <x:c r="J4575" s="2" t="n">
        <x:v>5</x:v>
      </x:c>
      <x:c r="K4575" s="2" t="n">
        <x:v>5</x:v>
      </x:c>
      <x:c r="L4575" s="2" t="str">
        <x:v>Loyal</x:v>
      </x:c>
    </x:row>
    <x:row r="4576" ht="22" customHeight="1">
      <x:c r="A4576" s="2"/>
      <x:c r="B4576" s="2" t="str">
        <x:v>16929</x:v>
      </x:c>
      <x:c r="C4576" s="2" t="str">
        <x:v>United Kingdom</x:v>
      </x:c>
      <x:c r="D4576" s="25" t="n">
        <x:v>40731.31875</x:v>
      </x:c>
      <x:c r="E4576" s="25" t="n">
        <x:v>40883.15069444444</x:v>
      </x:c>
      <x:c r="F4576" s="2" t="n">
        <x:v>4</x:v>
      </x:c>
      <x:c r="G4576" s="2" t="n">
        <x:v>7</x:v>
      </x:c>
      <x:c r="H4576" s="11" t="n">
        <x:v>1295.39</x:v>
      </x:c>
      <x:c r="I4576" s="2" t="n">
        <x:v>5</x:v>
      </x:c>
      <x:c r="J4576" s="2" t="n">
        <x:v>4</x:v>
      </x:c>
      <x:c r="K4576" s="2" t="n">
        <x:v>4</x:v>
      </x:c>
      <x:c r="L4576" s="2" t="str">
        <x:v>Champions</x:v>
      </x:c>
    </x:row>
    <x:row r="4577" ht="22" customHeight="1">
      <x:c r="A4577" s="2"/>
      <x:c r="B4577" s="2" t="str">
        <x:v>16930</x:v>
      </x:c>
      <x:c r="C4577" s="2" t="str">
        <x:v>United Kingdom</x:v>
      </x:c>
      <x:c r="D4577" s="25" t="n">
        <x:v>40818.39236111111</x:v>
      </x:c>
      <x:c r="E4577" s="25" t="n">
        <x:v>40860.467361111114</x:v>
      </x:c>
      <x:c r="F4577" s="2" t="n">
        <x:v>27</x:v>
      </x:c>
      <x:c r="G4577" s="2" t="n">
        <x:v>3</x:v>
      </x:c>
      <x:c r="H4577" s="11" t="n">
        <x:v>380.55</x:v>
      </x:c>
      <x:c r="I4577" s="2" t="n">
        <x:v>4</x:v>
      </x:c>
      <x:c r="J4577" s="2" t="n">
        <x:v>3</x:v>
      </x:c>
      <x:c r="K4577" s="2" t="n">
        <x:v>2</x:v>
      </x:c>
      <x:c r="L4577" s="2" t="str">
        <x:v>Loyal</x:v>
      </x:c>
    </x:row>
    <x:row r="4578" ht="22" customHeight="1">
      <x:c r="A4578" s="2"/>
      <x:c r="B4578" s="2" t="str">
        <x:v>16931</x:v>
      </x:c>
      <x:c r="C4578" s="2" t="str">
        <x:v>United Kingdom</x:v>
      </x:c>
      <x:c r="D4578" s="25" t="n">
        <x:v>40489.35</x:v>
      </x:c>
      <x:c r="E4578" s="25" t="n">
        <x:v>40881.34375</x:v>
      </x:c>
      <x:c r="F4578" s="2" t="n">
        <x:v>6</x:v>
      </x:c>
      <x:c r="G4578" s="2" t="n">
        <x:v>23</x:v>
      </x:c>
      <x:c r="H4578" s="11" t="n">
        <x:v>5081.57</x:v>
      </x:c>
      <x:c r="I4578" s="2" t="n">
        <x:v>5</x:v>
      </x:c>
      <x:c r="J4578" s="2" t="n">
        <x:v>5</x:v>
      </x:c>
      <x:c r="K4578" s="2" t="n">
        <x:v>5</x:v>
      </x:c>
      <x:c r="L4578" s="2" t="str">
        <x:v>Champions</x:v>
      </x:c>
    </x:row>
    <x:row r="4579" ht="22" customHeight="1">
      <x:c r="A4579" s="2"/>
      <x:c r="B4579" s="2" t="str">
        <x:v>16932</x:v>
      </x:c>
      <x:c r="C4579" s="2" t="str">
        <x:v>United Kingdom</x:v>
      </x:c>
      <x:c r="D4579" s="25" t="n">
        <x:v>40315.385416666664</x:v>
      </x:c>
      <x:c r="E4579" s="25" t="n">
        <x:v>40833.38333333333</x:v>
      </x:c>
      <x:c r="F4579" s="2" t="n">
        <x:v>54</x:v>
      </x:c>
      <x:c r="G4579" s="2" t="n">
        <x:v>3</x:v>
      </x:c>
      <x:c r="H4579" s="11" t="n">
        <x:v>440.71</x:v>
      </x:c>
      <x:c r="I4579" s="2" t="n">
        <x:v>4</x:v>
      </x:c>
      <x:c r="J4579" s="2" t="n">
        <x:v>3</x:v>
      </x:c>
      <x:c r="K4579" s="2" t="n">
        <x:v>2</x:v>
      </x:c>
      <x:c r="L4579" s="2" t="str">
        <x:v>Loyal</x:v>
      </x:c>
    </x:row>
    <x:row r="4580" ht="22" customHeight="1">
      <x:c r="A4580" s="2"/>
      <x:c r="B4580" s="2" t="str">
        <x:v>16933</x:v>
      </x:c>
      <x:c r="C4580" s="2" t="str">
        <x:v>United Kingdom</x:v>
      </x:c>
      <x:c r="D4580" s="25" t="n">
        <x:v>40156.41875</x:v>
      </x:c>
      <x:c r="E4580" s="25" t="n">
        <x:v>40885.32916666667</x:v>
      </x:c>
      <x:c r="F4580" s="2" t="n">
        <x:v>2</x:v>
      </x:c>
      <x:c r="G4580" s="2" t="n">
        <x:v>9</x:v>
      </x:c>
      <x:c r="H4580" s="11" t="n">
        <x:v>3181.25</x:v>
      </x:c>
      <x:c r="I4580" s="2" t="n">
        <x:v>5</x:v>
      </x:c>
      <x:c r="J4580" s="2" t="n">
        <x:v>5</x:v>
      </x:c>
      <x:c r="K4580" s="2" t="n">
        <x:v>5</x:v>
      </x:c>
      <x:c r="L4580" s="2" t="str">
        <x:v>Champions</x:v>
      </x:c>
    </x:row>
    <x:row r="4581" ht="22" customHeight="1">
      <x:c r="A4581" s="2"/>
      <x:c r="B4581" s="2" t="str">
        <x:v>16934</x:v>
      </x:c>
      <x:c r="C4581" s="2" t="str">
        <x:v>United Kingdom</x:v>
      </x:c>
      <x:c r="D4581" s="25" t="n">
        <x:v>40265.32152777778</x:v>
      </x:c>
      <x:c r="E4581" s="25" t="n">
        <x:v>40832.319444444445</x:v>
      </x:c>
      <x:c r="F4581" s="2" t="n">
        <x:v>55</x:v>
      </x:c>
      <x:c r="G4581" s="2" t="n">
        <x:v>6</x:v>
      </x:c>
      <x:c r="H4581" s="11" t="n">
        <x:v>2110.99</x:v>
      </x:c>
      <x:c r="I4581" s="2" t="n">
        <x:v>4</x:v>
      </x:c>
      <x:c r="J4581" s="2" t="n">
        <x:v>4</x:v>
      </x:c>
      <x:c r="K4581" s="2" t="n">
        <x:v>4</x:v>
      </x:c>
      <x:c r="L4581" s="2" t="str">
        <x:v>Champions</x:v>
      </x:c>
    </x:row>
    <x:row r="4582" ht="22" customHeight="1">
      <x:c r="A4582" s="2"/>
      <x:c r="B4582" s="2" t="str">
        <x:v>16935</x:v>
      </x:c>
      <x:c r="C4582" s="2" t="str">
        <x:v>United Kingdom</x:v>
      </x:c>
      <x:c r="D4582" s="25" t="n">
        <x:v>40465.339583333334</x:v>
      </x:c>
      <x:c r="E4582" s="25" t="n">
        <x:v>40505.177777777775</x:v>
      </x:c>
      <x:c r="F4582" s="2" t="n">
        <x:v>382</x:v>
      </x:c>
      <x:c r="G4582" s="2" t="n">
        <x:v>3</x:v>
      </x:c>
      <x:c r="H4582" s="11" t="n">
        <x:v>535.1</x:v>
      </x:c>
      <x:c r="I4582" s="2" t="n">
        <x:v>2</x:v>
      </x:c>
      <x:c r="J4582" s="2" t="n">
        <x:v>3</x:v>
      </x:c>
      <x:c r="K4582" s="2" t="n">
        <x:v>2</x:v>
      </x:c>
      <x:c r="L4582" s="2" t="str">
        <x:v>At risk</x:v>
      </x:c>
    </x:row>
    <x:row r="4583" ht="22" customHeight="1">
      <x:c r="A4583" s="2"/>
      <x:c r="B4583" s="2" t="str">
        <x:v>16936</x:v>
      </x:c>
      <x:c r="C4583" s="2" t="str">
        <x:v>United Kingdom</x:v>
      </x:c>
      <x:c r="D4583" s="25" t="n">
        <x:v>40501.2875</x:v>
      </x:c>
      <x:c r="E4583" s="25" t="n">
        <x:v>40861.25277777778</x:v>
      </x:c>
      <x:c r="F4583" s="2" t="n">
        <x:v>26</x:v>
      </x:c>
      <x:c r="G4583" s="2" t="n">
        <x:v>2</x:v>
      </x:c>
      <x:c r="H4583" s="11" t="n">
        <x:v>551.17</x:v>
      </x:c>
      <x:c r="I4583" s="2" t="n">
        <x:v>4</x:v>
      </x:c>
      <x:c r="J4583" s="2" t="n">
        <x:v>2</x:v>
      </x:c>
      <x:c r="K4583" s="2" t="n">
        <x:v>2</x:v>
      </x:c>
      <x:c r="L4583" s="2" t="str">
        <x:v>Recent light buyers</x:v>
      </x:c>
    </x:row>
    <x:row r="4584" ht="22" customHeight="1">
      <x:c r="A4584" s="2"/>
      <x:c r="B4584" s="2" t="str">
        <x:v>16937</x:v>
      </x:c>
      <x:c r="C4584" s="2" t="str">
        <x:v>United Kingdom</x:v>
      </x:c>
      <x:c r="D4584" s="25" t="n">
        <x:v>40387.53888888889</x:v>
      </x:c>
      <x:c r="E4584" s="25" t="n">
        <x:v>40387.53888888889</x:v>
      </x:c>
      <x:c r="F4584" s="2" t="n">
        <x:v>500</x:v>
      </x:c>
      <x:c r="G4584" s="2" t="n">
        <x:v>1</x:v>
      </x:c>
      <x:c r="H4584" s="11" t="n">
        <x:v>202.1</x:v>
      </x:c>
      <x:c r="I4584" s="2" t="n">
        <x:v>1</x:v>
      </x:c>
      <x:c r="J4584" s="2" t="n">
        <x:v>1</x:v>
      </x:c>
      <x:c r="K4584" s="2" t="n">
        <x:v>1</x:v>
      </x:c>
      <x:c r="L4584" s="2" t="str">
        <x:v>Hibernating</x:v>
      </x:c>
    </x:row>
    <x:row r="4585" ht="22" customHeight="1">
      <x:c r="A4585" s="2"/>
      <x:c r="B4585" s="2" t="str">
        <x:v>16938</x:v>
      </x:c>
      <x:c r="C4585" s="2" t="str">
        <x:v>United Kingdom</x:v>
      </x:c>
      <x:c r="D4585" s="25" t="n">
        <x:v>40226.407638888886</x:v>
      </x:c>
      <x:c r="E4585" s="25" t="n">
        <x:v>40878.22222222222</x:v>
      </x:c>
      <x:c r="F4585" s="2" t="n">
        <x:v>9</x:v>
      </x:c>
      <x:c r="G4585" s="2" t="n">
        <x:v>9</x:v>
      </x:c>
      <x:c r="H4585" s="11" t="n">
        <x:v>7043.18</x:v>
      </x:c>
      <x:c r="I4585" s="2" t="n">
        <x:v>5</x:v>
      </x:c>
      <x:c r="J4585" s="2" t="n">
        <x:v>5</x:v>
      </x:c>
      <x:c r="K4585" s="2" t="n">
        <x:v>5</x:v>
      </x:c>
      <x:c r="L4585" s="2" t="str">
        <x:v>Champions</x:v>
      </x:c>
    </x:row>
    <x:row r="4586" ht="22" customHeight="1">
      <x:c r="A4586" s="2"/>
      <x:c r="B4586" s="2" t="str">
        <x:v>16939</x:v>
      </x:c>
      <x:c r="C4586" s="2" t="str">
        <x:v>United Kingdom</x:v>
      </x:c>
      <x:c r="D4586" s="25" t="n">
        <x:v>40237.35625</x:v>
      </x:c>
      <x:c r="E4586" s="25" t="n">
        <x:v>40398.308333333334</x:v>
      </x:c>
      <x:c r="F4586" s="2" t="n">
        <x:v>489</x:v>
      </x:c>
      <x:c r="G4586" s="2" t="n">
        <x:v>3</x:v>
      </x:c>
      <x:c r="H4586" s="11" t="n">
        <x:v>449</x:v>
      </x:c>
      <x:c r="I4586" s="2" t="n">
        <x:v>1</x:v>
      </x:c>
      <x:c r="J4586" s="2" t="n">
        <x:v>3</x:v>
      </x:c>
      <x:c r="K4586" s="2" t="n">
        <x:v>2</x:v>
      </x:c>
      <x:c r="L4586" s="2" t="str">
        <x:v>At risk</x:v>
      </x:c>
    </x:row>
    <x:row r="4587" ht="22" customHeight="1">
      <x:c r="A4587" s="2"/>
      <x:c r="B4587" s="2" t="str">
        <x:v>16940</x:v>
      </x:c>
      <x:c r="C4587" s="2" t="str">
        <x:v>United Kingdom</x:v>
      </x:c>
      <x:c r="D4587" s="25" t="n">
        <x:v>40155.33888888889</x:v>
      </x:c>
      <x:c r="E4587" s="25" t="n">
        <x:v>40834.34375</x:v>
      </x:c>
      <x:c r="F4587" s="2" t="n">
        <x:v>53</x:v>
      </x:c>
      <x:c r="G4587" s="2" t="n">
        <x:v>8</x:v>
      </x:c>
      <x:c r="H4587" s="11" t="n">
        <x:v>6427.66</x:v>
      </x:c>
      <x:c r="I4587" s="2" t="n">
        <x:v>4</x:v>
      </x:c>
      <x:c r="J4587" s="2" t="n">
        <x:v>4</x:v>
      </x:c>
      <x:c r="K4587" s="2" t="n">
        <x:v>5</x:v>
      </x:c>
      <x:c r="L4587" s="2" t="str">
        <x:v>Champions</x:v>
      </x:c>
    </x:row>
    <x:row r="4588" ht="22" customHeight="1">
      <x:c r="A4588" s="2"/>
      <x:c r="B4588" s="2" t="str">
        <x:v>16941</x:v>
      </x:c>
      <x:c r="C4588" s="2" t="str">
        <x:v>United Kingdom</x:v>
      </x:c>
      <x:c r="D4588" s="25" t="n">
        <x:v>40275.25902777778</x:v>
      </x:c>
      <x:c r="E4588" s="25" t="n">
        <x:v>40275.25902777778</x:v>
      </x:c>
      <x:c r="F4588" s="2" t="n">
        <x:v>612</x:v>
      </x:c>
      <x:c r="G4588" s="2" t="n">
        <x:v>1</x:v>
      </x:c>
      <x:c r="H4588" s="11" t="n">
        <x:v>33</x:v>
      </x:c>
      <x:c r="I4588" s="2" t="n">
        <x:v>1</x:v>
      </x:c>
      <x:c r="J4588" s="2" t="n">
        <x:v>1</x:v>
      </x:c>
      <x:c r="K4588" s="2" t="n">
        <x:v>1</x:v>
      </x:c>
      <x:c r="L4588" s="2" t="str">
        <x:v>Hibernating</x:v>
      </x:c>
    </x:row>
    <x:row r="4589" ht="22" customHeight="1">
      <x:c r="A4589" s="2"/>
      <x:c r="B4589" s="2" t="str">
        <x:v>16942</x:v>
      </x:c>
      <x:c r="C4589" s="2" t="str">
        <x:v>United Kingdom</x:v>
      </x:c>
      <x:c r="D4589" s="25" t="n">
        <x:v>40659.290972222225</x:v>
      </x:c>
      <x:c r="E4589" s="25" t="n">
        <x:v>40874.319444444445</x:v>
      </x:c>
      <x:c r="F4589" s="2" t="n">
        <x:v>13</x:v>
      </x:c>
      <x:c r="G4589" s="2" t="n">
        <x:v>9</x:v>
      </x:c>
      <x:c r="H4589" s="11" t="n">
        <x:v>1920.59</x:v>
      </x:c>
      <x:c r="I4589" s="2" t="n">
        <x:v>5</x:v>
      </x:c>
      <x:c r="J4589" s="2" t="n">
        <x:v>5</x:v>
      </x:c>
      <x:c r="K4589" s="2" t="n">
        <x:v>4</x:v>
      </x:c>
      <x:c r="L4589" s="2" t="str">
        <x:v>Champions</x:v>
      </x:c>
    </x:row>
    <x:row r="4590" ht="22" customHeight="1">
      <x:c r="A4590" s="2"/>
      <x:c r="B4590" s="2" t="str">
        <x:v>16943</x:v>
      </x:c>
      <x:c r="C4590" s="2" t="str">
        <x:v>United Kingdom</x:v>
      </x:c>
      <x:c r="D4590" s="25" t="n">
        <x:v>40262.356944444444</x:v>
      </x:c>
      <x:c r="E4590" s="25" t="n">
        <x:v>40675.28958333333</x:v>
      </x:c>
      <x:c r="F4590" s="2" t="n">
        <x:v>212</x:v>
      </x:c>
      <x:c r="G4590" s="2" t="n">
        <x:v>5</x:v>
      </x:c>
      <x:c r="H4590" s="11" t="n">
        <x:v>1299.49</x:v>
      </x:c>
      <x:c r="I4590" s="2" t="n">
        <x:v>2</x:v>
      </x:c>
      <x:c r="J4590" s="2" t="n">
        <x:v>4</x:v>
      </x:c>
      <x:c r="K4590" s="2" t="n">
        <x:v>4</x:v>
      </x:c>
      <x:c r="L4590" s="2" t="str">
        <x:v>At risk</x:v>
      </x:c>
    </x:row>
    <x:row r="4591" ht="22" customHeight="1">
      <x:c r="A4591" s="2"/>
      <x:c r="B4591" s="2" t="str">
        <x:v>16944</x:v>
      </x:c>
      <x:c r="C4591" s="2" t="str">
        <x:v>United Kingdom</x:v>
      </x:c>
      <x:c r="D4591" s="25" t="n">
        <x:v>40277.25208333333</x:v>
      </x:c>
      <x:c r="E4591" s="25" t="n">
        <x:v>40277.25208333333</x:v>
      </x:c>
      <x:c r="F4591" s="2" t="n">
        <x:v>610</x:v>
      </x:c>
      <x:c r="G4591" s="2" t="n">
        <x:v>1</x:v>
      </x:c>
      <x:c r="H4591" s="11" t="n">
        <x:v>101.36</x:v>
      </x:c>
      <x:c r="I4591" s="2" t="n">
        <x:v>1</x:v>
      </x:c>
      <x:c r="J4591" s="2" t="n">
        <x:v>1</x:v>
      </x:c>
      <x:c r="K4591" s="2" t="n">
        <x:v>1</x:v>
      </x:c>
      <x:c r="L4591" s="2" t="str">
        <x:v>Hibernating</x:v>
      </x:c>
    </x:row>
    <x:row r="4592" ht="22" customHeight="1">
      <x:c r="A4592" s="2"/>
      <x:c r="B4592" s="2" t="str">
        <x:v>16945</x:v>
      </x:c>
      <x:c r="C4592" s="2" t="str">
        <x:v>United Kingdom</x:v>
      </x:c>
      <x:c r="D4592" s="25" t="n">
        <x:v>40156.27291666667</x:v>
      </x:c>
      <x:c r="E4592" s="25" t="n">
        <x:v>40865.277083333334</x:v>
      </x:c>
      <x:c r="F4592" s="2" t="n">
        <x:v>22</x:v>
      </x:c>
      <x:c r="G4592" s="2" t="n">
        <x:v>33</x:v>
      </x:c>
      <x:c r="H4592" s="11" t="n">
        <x:v>8548.16</x:v>
      </x:c>
      <x:c r="I4592" s="2" t="n">
        <x:v>4</x:v>
      </x:c>
      <x:c r="J4592" s="2" t="n">
        <x:v>5</x:v>
      </x:c>
      <x:c r="K4592" s="2" t="n">
        <x:v>5</x:v>
      </x:c>
      <x:c r="L4592" s="2" t="str">
        <x:v>Champions</x:v>
      </x:c>
    </x:row>
    <x:row r="4593" ht="22" customHeight="1">
      <x:c r="A4593" s="2"/>
      <x:c r="B4593" s="2" t="str">
        <x:v>16946</x:v>
      </x:c>
      <x:c r="C4593" s="2" t="str">
        <x:v>United Kingdom</x:v>
      </x:c>
      <x:c r="D4593" s="25" t="n">
        <x:v>40239.24236111111</x:v>
      </x:c>
      <x:c r="E4593" s="25" t="n">
        <x:v>40503.379166666666</x:v>
      </x:c>
      <x:c r="F4593" s="2" t="n">
        <x:v>384</x:v>
      </x:c>
      <x:c r="G4593" s="2" t="n">
        <x:v>5</x:v>
      </x:c>
      <x:c r="H4593" s="11" t="n">
        <x:v>1222.04</x:v>
      </x:c>
      <x:c r="I4593" s="2" t="n">
        <x:v>2</x:v>
      </x:c>
      <x:c r="J4593" s="2" t="n">
        <x:v>4</x:v>
      </x:c>
      <x:c r="K4593" s="2" t="n">
        <x:v>3</x:v>
      </x:c>
      <x:c r="L4593" s="2" t="str">
        <x:v>At risk</x:v>
      </x:c>
    </x:row>
    <x:row r="4594" ht="22" customHeight="1">
      <x:c r="A4594" s="2"/>
      <x:c r="B4594" s="2" t="str">
        <x:v>16947</x:v>
      </x:c>
      <x:c r="C4594" s="2" t="str">
        <x:v>United Kingdom</x:v>
      </x:c>
      <x:c r="D4594" s="25" t="n">
        <x:v>40240.245833333334</x:v>
      </x:c>
      <x:c r="E4594" s="25" t="n">
        <x:v>40651.19305555556</x:v>
      </x:c>
      <x:c r="F4594" s="2" t="n">
        <x:v>236</x:v>
      </x:c>
      <x:c r="G4594" s="2" t="n">
        <x:v>5</x:v>
      </x:c>
      <x:c r="H4594" s="11" t="n">
        <x:v>955.21</x:v>
      </x:c>
      <x:c r="I4594" s="2" t="n">
        <x:v>2</x:v>
      </x:c>
      <x:c r="J4594" s="2" t="n">
        <x:v>4</x:v>
      </x:c>
      <x:c r="K4594" s="2" t="n">
        <x:v>3</x:v>
      </x:c>
      <x:c r="L4594" s="2" t="str">
        <x:v>At risk</x:v>
      </x:c>
    </x:row>
    <x:row r="4595" ht="22" customHeight="1">
      <x:c r="A4595" s="2"/>
      <x:c r="B4595" s="2" t="str">
        <x:v>16948</x:v>
      </x:c>
      <x:c r="C4595" s="2" t="str">
        <x:v>United Kingdom</x:v>
      </x:c>
      <x:c r="D4595" s="25" t="n">
        <x:v>40230.36666666667</x:v>
      </x:c>
      <x:c r="E4595" s="25" t="n">
        <x:v>40748.32361111111</x:v>
      </x:c>
      <x:c r="F4595" s="2" t="n">
        <x:v>139</x:v>
      </x:c>
      <x:c r="G4595" s="2" t="n">
        <x:v>7</x:v>
      </x:c>
      <x:c r="H4595" s="11" t="n">
        <x:v>868.77</x:v>
      </x:c>
      <x:c r="I4595" s="2" t="n">
        <x:v>3</x:v>
      </x:c>
      <x:c r="J4595" s="2" t="n">
        <x:v>4</x:v>
      </x:c>
      <x:c r="K4595" s="2" t="n">
        <x:v>3</x:v>
      </x:c>
      <x:c r="L4595" s="2" t="str">
        <x:v>Loyal</x:v>
      </x:c>
    </x:row>
    <x:row r="4596" ht="22" customHeight="1">
      <x:c r="A4596" s="2"/>
      <x:c r="B4596" s="2" t="str">
        <x:v>16949</x:v>
      </x:c>
      <x:c r="C4596" s="2" t="str">
        <x:v>United Kingdom</x:v>
      </x:c>
      <x:c r="D4596" s="25" t="n">
        <x:v>40570.299305555556</x:v>
      </x:c>
      <x:c r="E4596" s="25" t="n">
        <x:v>40883.25486111111</x:v>
      </x:c>
      <x:c r="F4596" s="2" t="n">
        <x:v>4</x:v>
      </x:c>
      <x:c r="G4596" s="2" t="n">
        <x:v>6</x:v>
      </x:c>
      <x:c r="H4596" s="11" t="n">
        <x:v>1286.27</x:v>
      </x:c>
      <x:c r="I4596" s="2" t="n">
        <x:v>5</x:v>
      </x:c>
      <x:c r="J4596" s="2" t="n">
        <x:v>4</x:v>
      </x:c>
      <x:c r="K4596" s="2" t="n">
        <x:v>4</x:v>
      </x:c>
      <x:c r="L4596" s="2" t="str">
        <x:v>Champions</x:v>
      </x:c>
    </x:row>
    <x:row r="4597" ht="22" customHeight="1">
      <x:c r="A4597" s="2"/>
      <x:c r="B4597" s="2" t="str">
        <x:v>16950</x:v>
      </x:c>
      <x:c r="C4597" s="2" t="str">
        <x:v>United Kingdom</x:v>
      </x:c>
      <x:c r="D4597" s="25" t="n">
        <x:v>40202.268055555556</x:v>
      </x:c>
      <x:c r="E4597" s="25" t="n">
        <x:v>40830.17083333333</x:v>
      </x:c>
      <x:c r="F4597" s="2" t="n">
        <x:v>57</x:v>
      </x:c>
      <x:c r="G4597" s="2" t="n">
        <x:v>10</x:v>
      </x:c>
      <x:c r="H4597" s="11" t="n">
        <x:v>3612.37</x:v>
      </x:c>
      <x:c r="I4597" s="2" t="n">
        <x:v>4</x:v>
      </x:c>
      <x:c r="J4597" s="2" t="n">
        <x:v>5</x:v>
      </x:c>
      <x:c r="K4597" s="2" t="n">
        <x:v>5</x:v>
      </x:c>
      <x:c r="L4597" s="2" t="str">
        <x:v>Champions</x:v>
      </x:c>
    </x:row>
    <x:row r="4598" ht="22" customHeight="1">
      <x:c r="A4598" s="2"/>
      <x:c r="B4598" s="2" t="str">
        <x:v>16951</x:v>
      </x:c>
      <x:c r="C4598" s="2" t="str">
        <x:v>United Kingdom</x:v>
      </x:c>
      <x:c r="D4598" s="25" t="n">
        <x:v>40582.41527777778</x:v>
      </x:c>
      <x:c r="E4598" s="25" t="n">
        <x:v>40752.29513888889</x:v>
      </x:c>
      <x:c r="F4598" s="2" t="n">
        <x:v>135</x:v>
      </x:c>
      <x:c r="G4598" s="2" t="n">
        <x:v>3</x:v>
      </x:c>
      <x:c r="H4598" s="11" t="n">
        <x:v>1277.75</x:v>
      </x:c>
      <x:c r="I4598" s="2" t="n">
        <x:v>3</x:v>
      </x:c>
      <x:c r="J4598" s="2" t="n">
        <x:v>3</x:v>
      </x:c>
      <x:c r="K4598" s="2" t="n">
        <x:v>4</x:v>
      </x:c>
      <x:c r="L4598" s="2" t="str">
        <x:v>Loyal</x:v>
      </x:c>
    </x:row>
    <x:row r="4599" ht="22" customHeight="1">
      <x:c r="A4599" s="2"/>
      <x:c r="B4599" s="2" t="str">
        <x:v>16952</x:v>
      </x:c>
      <x:c r="C4599" s="2" t="str">
        <x:v>United Kingdom</x:v>
      </x:c>
      <x:c r="D4599" s="25" t="n">
        <x:v>40158.36944444444</x:v>
      </x:c>
      <x:c r="E4599" s="25" t="n">
        <x:v>40777.33541666667</x:v>
      </x:c>
      <x:c r="F4599" s="2" t="n">
        <x:v>110</x:v>
      </x:c>
      <x:c r="G4599" s="2" t="n">
        <x:v>5</x:v>
      </x:c>
      <x:c r="H4599" s="11" t="n">
        <x:v>798.78</x:v>
      </x:c>
      <x:c r="I4599" s="2" t="n">
        <x:v>3</x:v>
      </x:c>
      <x:c r="J4599" s="2" t="n">
        <x:v>4</x:v>
      </x:c>
      <x:c r="K4599" s="2" t="n">
        <x:v>3</x:v>
      </x:c>
      <x:c r="L4599" s="2" t="str">
        <x:v>Loyal</x:v>
      </x:c>
    </x:row>
    <x:row r="4600" ht="22" customHeight="1">
      <x:c r="A4600" s="2"/>
      <x:c r="B4600" s="2" t="str">
        <x:v>16953</x:v>
      </x:c>
      <x:c r="C4600" s="2" t="str">
        <x:v>United Kingdom</x:v>
      </x:c>
      <x:c r="D4600" s="25" t="n">
        <x:v>40856.45416666667</x:v>
      </x:c>
      <x:c r="E4600" s="25" t="n">
        <x:v>40856.45416666667</x:v>
      </x:c>
      <x:c r="F4600" s="2" t="n">
        <x:v>31</x:v>
      </x:c>
      <x:c r="G4600" s="2" t="n">
        <x:v>1</x:v>
      </x:c>
      <x:c r="H4600" s="11" t="n">
        <x:v>20.8</x:v>
      </x:c>
      <x:c r="I4600" s="2" t="n">
        <x:v>4</x:v>
      </x:c>
      <x:c r="J4600" s="2" t="n">
        <x:v>1</x:v>
      </x:c>
      <x:c r="K4600" s="2" t="n">
        <x:v>1</x:v>
      </x:c>
      <x:c r="L4600" s="2" t="str">
        <x:v>Recent light buyers</x:v>
      </x:c>
    </x:row>
    <x:row r="4601" ht="22" customHeight="1">
      <x:c r="A4601" s="2"/>
      <x:c r="B4601" s="2" t="str">
        <x:v>16954</x:v>
      </x:c>
      <x:c r="C4601" s="2" t="str">
        <x:v>United Kingdom</x:v>
      </x:c>
      <x:c r="D4601" s="25" t="n">
        <x:v>40196.40902777778</x:v>
      </x:c>
      <x:c r="E4601" s="25" t="n">
        <x:v>40886.19861111111</x:v>
      </x:c>
      <x:c r="F4601" s="2" t="n">
        <x:v>1</x:v>
      </x:c>
      <x:c r="G4601" s="2" t="n">
        <x:v>20</x:v>
      </x:c>
      <x:c r="H4601" s="11" t="n">
        <x:v>6081.88</x:v>
      </x:c>
      <x:c r="I4601" s="2" t="n">
        <x:v>5</x:v>
      </x:c>
      <x:c r="J4601" s="2" t="n">
        <x:v>5</x:v>
      </x:c>
      <x:c r="K4601" s="2" t="n">
        <x:v>5</x:v>
      </x:c>
      <x:c r="L4601" s="2" t="str">
        <x:v>Champions</x:v>
      </x:c>
    </x:row>
    <x:row r="4602" ht="22" customHeight="1">
      <x:c r="A4602" s="2"/>
      <x:c r="B4602" s="2" t="str">
        <x:v>16955</x:v>
      </x:c>
      <x:c r="C4602" s="2" t="str">
        <x:v>United Kingdom</x:v>
      </x:c>
      <x:c r="D4602" s="25" t="n">
        <x:v>40209.27638888889</x:v>
      </x:c>
      <x:c r="E4602" s="25" t="n">
        <x:v>40702.23333333333</x:v>
      </x:c>
      <x:c r="F4602" s="2" t="n">
        <x:v>185</x:v>
      </x:c>
      <x:c r="G4602" s="2" t="n">
        <x:v>6</x:v>
      </x:c>
      <x:c r="H4602" s="11" t="n">
        <x:v>1120.31</x:v>
      </x:c>
      <x:c r="I4602" s="2" t="n">
        <x:v>3</x:v>
      </x:c>
      <x:c r="J4602" s="2" t="n">
        <x:v>4</x:v>
      </x:c>
      <x:c r="K4602" s="2" t="n">
        <x:v>3</x:v>
      </x:c>
      <x:c r="L4602" s="2" t="str">
        <x:v>Loyal</x:v>
      </x:c>
    </x:row>
    <x:row r="4603" ht="22" customHeight="1">
      <x:c r="A4603" s="2"/>
      <x:c r="B4603" s="2" t="str">
        <x:v>16956</x:v>
      </x:c>
      <x:c r="C4603" s="2" t="str">
        <x:v>United Kingdom</x:v>
      </x:c>
      <x:c r="D4603" s="25" t="n">
        <x:v>40869.16388888889</x:v>
      </x:c>
      <x:c r="E4603" s="25" t="n">
        <x:v>40869.16388888889</x:v>
      </x:c>
      <x:c r="F4603" s="2" t="n">
        <x:v>18</x:v>
      </x:c>
      <x:c r="G4603" s="2" t="n">
        <x:v>1</x:v>
      </x:c>
      <x:c r="H4603" s="11" t="n">
        <x:v>308.74</x:v>
      </x:c>
      <x:c r="I4603" s="2" t="n">
        <x:v>5</x:v>
      </x:c>
      <x:c r="J4603" s="2" t="n">
        <x:v>1</x:v>
      </x:c>
      <x:c r="K4603" s="2" t="n">
        <x:v>2</x:v>
      </x:c>
      <x:c r="L4603" s="2" t="str">
        <x:v>Recent light buyers</x:v>
      </x:c>
    </x:row>
    <x:row r="4604" ht="22" customHeight="1">
      <x:c r="A4604" s="2"/>
      <x:c r="B4604" s="2" t="str">
        <x:v>16957</x:v>
      </x:c>
      <x:c r="C4604" s="2" t="str">
        <x:v>United Kingdom</x:v>
      </x:c>
      <x:c r="D4604" s="25" t="n">
        <x:v>40605.18402777778</x:v>
      </x:c>
      <x:c r="E4604" s="25" t="n">
        <x:v>40647.37222222222</x:v>
      </x:c>
      <x:c r="F4604" s="2" t="n">
        <x:v>240</x:v>
      </x:c>
      <x:c r="G4604" s="2" t="n">
        <x:v>2</x:v>
      </x:c>
      <x:c r="H4604" s="11" t="n">
        <x:v>416.64</x:v>
      </x:c>
      <x:c r="I4604" s="2" t="n">
        <x:v>2</x:v>
      </x:c>
      <x:c r="J4604" s="2" t="n">
        <x:v>2</x:v>
      </x:c>
      <x:c r="K4604" s="2" t="n">
        <x:v>2</x:v>
      </x:c>
      <x:c r="L4604" s="2" t="str">
        <x:v>Hibernating</x:v>
      </x:c>
    </x:row>
    <x:row r="4605" ht="22" customHeight="1">
      <x:c r="A4605" s="2"/>
      <x:c r="B4605" s="2" t="str">
        <x:v>16958</x:v>
      </x:c>
      <x:c r="C4605" s="2" t="str">
        <x:v>United Kingdom</x:v>
      </x:c>
      <x:c r="D4605" s="25" t="n">
        <x:v>40451.39236111111</x:v>
      </x:c>
      <x:c r="E4605" s="25" t="n">
        <x:v>40451.39236111111</x:v>
      </x:c>
      <x:c r="F4605" s="2" t="n">
        <x:v>436</x:v>
      </x:c>
      <x:c r="G4605" s="2" t="n">
        <x:v>1</x:v>
      </x:c>
      <x:c r="H4605" s="11" t="n">
        <x:v>809.44</x:v>
      </x:c>
      <x:c r="I4605" s="2" t="n">
        <x:v>1</x:v>
      </x:c>
      <x:c r="J4605" s="2" t="n">
        <x:v>1</x:v>
      </x:c>
      <x:c r="K4605" s="2" t="n">
        <x:v>3</x:v>
      </x:c>
      <x:c r="L4605" s="2" t="str">
        <x:v>Hibernating</x:v>
      </x:c>
    </x:row>
    <x:row r="4606" ht="22" customHeight="1">
      <x:c r="A4606" s="2"/>
      <x:c r="B4606" s="2" t="str">
        <x:v>16959</x:v>
      </x:c>
      <x:c r="C4606" s="2" t="str">
        <x:v>United Kingdom</x:v>
      </x:c>
      <x:c r="D4606" s="25" t="n">
        <x:v>40799.41875</x:v>
      </x:c>
      <x:c r="E4606" s="25" t="n">
        <x:v>40799.41875</x:v>
      </x:c>
      <x:c r="F4606" s="2" t="n">
        <x:v>88</x:v>
      </x:c>
      <x:c r="G4606" s="2" t="n">
        <x:v>1</x:v>
      </x:c>
      <x:c r="H4606" s="11" t="n">
        <x:v>117.35</x:v>
      </x:c>
      <x:c r="I4606" s="2" t="n">
        <x:v>3</x:v>
      </x:c>
      <x:c r="J4606" s="2" t="n">
        <x:v>1</x:v>
      </x:c>
      <x:c r="K4606" s="2" t="n">
        <x:v>1</x:v>
      </x:c>
      <x:c r="L4606" s="2" t="str">
        <x:v>Developing</x:v>
      </x:c>
    </x:row>
    <x:row r="4607" ht="22" customHeight="1">
      <x:c r="A4607" s="2"/>
      <x:c r="B4607" s="2" t="str">
        <x:v>16960</x:v>
      </x:c>
      <x:c r="C4607" s="2" t="str">
        <x:v>United Kingdom</x:v>
      </x:c>
      <x:c r="D4607" s="25" t="n">
        <x:v>40239.35833333333</x:v>
      </x:c>
      <x:c r="E4607" s="25" t="n">
        <x:v>40848.274305555555</x:v>
      </x:c>
      <x:c r="F4607" s="2" t="n">
        <x:v>39</x:v>
      </x:c>
      <x:c r="G4607" s="2" t="n">
        <x:v>8</x:v>
      </x:c>
      <x:c r="H4607" s="11" t="n">
        <x:v>2043.43</x:v>
      </x:c>
      <x:c r="I4607" s="2" t="n">
        <x:v>4</x:v>
      </x:c>
      <x:c r="J4607" s="2" t="n">
        <x:v>4</x:v>
      </x:c>
      <x:c r="K4607" s="2" t="n">
        <x:v>4</x:v>
      </x:c>
      <x:c r="L4607" s="2" t="str">
        <x:v>Champions</x:v>
      </x:c>
    </x:row>
    <x:row r="4608" ht="22" customHeight="1">
      <x:c r="A4608" s="2"/>
      <x:c r="B4608" s="2" t="str">
        <x:v>16961</x:v>
      </x:c>
      <x:c r="C4608" s="2" t="str">
        <x:v>United Kingdom</x:v>
      </x:c>
      <x:c r="D4608" s="25" t="n">
        <x:v>40354.4</x:v>
      </x:c>
      <x:c r="E4608" s="25" t="n">
        <x:v>40770.365277777775</x:v>
      </x:c>
      <x:c r="F4608" s="2" t="n">
        <x:v>117</x:v>
      </x:c>
      <x:c r="G4608" s="2" t="n">
        <x:v>3</x:v>
      </x:c>
      <x:c r="H4608" s="11" t="n">
        <x:v>794.56</x:v>
      </x:c>
      <x:c r="I4608" s="2" t="n">
        <x:v>3</x:v>
      </x:c>
      <x:c r="J4608" s="2" t="n">
        <x:v>3</x:v>
      </x:c>
      <x:c r="K4608" s="2" t="n">
        <x:v>3</x:v>
      </x:c>
      <x:c r="L4608" s="2" t="str">
        <x:v>Loyal</x:v>
      </x:c>
    </x:row>
    <x:row r="4609" ht="22" customHeight="1">
      <x:c r="A4609" s="2"/>
      <x:c r="B4609" s="2" t="str">
        <x:v>16962</x:v>
      </x:c>
      <x:c r="C4609" s="2" t="str">
        <x:v>United Kingdom</x:v>
      </x:c>
      <x:c r="D4609" s="25" t="n">
        <x:v>40477.275</x:v>
      </x:c>
      <x:c r="E4609" s="25" t="n">
        <x:v>40477.275</x:v>
      </x:c>
      <x:c r="F4609" s="2" t="n">
        <x:v>410</x:v>
      </x:c>
      <x:c r="G4609" s="2" t="n">
        <x:v>1</x:v>
      </x:c>
      <x:c r="H4609" s="11" t="n">
        <x:v>251.04</x:v>
      </x:c>
      <x:c r="I4609" s="2" t="n">
        <x:v>2</x:v>
      </x:c>
      <x:c r="J4609" s="2" t="n">
        <x:v>1</x:v>
      </x:c>
      <x:c r="K4609" s="2" t="n">
        <x:v>1</x:v>
      </x:c>
      <x:c r="L4609" s="2" t="str">
        <x:v>Hibernating</x:v>
      </x:c>
    </x:row>
    <x:row r="4610" ht="22" customHeight="1">
      <x:c r="A4610" s="2"/>
      <x:c r="B4610" s="2" t="str">
        <x:v>16963</x:v>
      </x:c>
      <x:c r="C4610" s="2" t="str">
        <x:v>United Kingdom</x:v>
      </x:c>
      <x:c r="D4610" s="25" t="n">
        <x:v>40699.36666666667</x:v>
      </x:c>
      <x:c r="E4610" s="25" t="n">
        <x:v>40699.36666666667</x:v>
      </x:c>
      <x:c r="F4610" s="2" t="n">
        <x:v>188</x:v>
      </x:c>
      <x:c r="G4610" s="2" t="n">
        <x:v>1</x:v>
      </x:c>
      <x:c r="H4610" s="11" t="n">
        <x:v>110.55</x:v>
      </x:c>
      <x:c r="I4610" s="2" t="n">
        <x:v>3</x:v>
      </x:c>
      <x:c r="J4610" s="2" t="n">
        <x:v>1</x:v>
      </x:c>
      <x:c r="K4610" s="2" t="n">
        <x:v>1</x:v>
      </x:c>
      <x:c r="L4610" s="2" t="str">
        <x:v>Developing</x:v>
      </x:c>
    </x:row>
    <x:row r="4611" ht="22" customHeight="1">
      <x:c r="A4611" s="2"/>
      <x:c r="B4611" s="2" t="str">
        <x:v>16964</x:v>
      </x:c>
      <x:c r="C4611" s="2" t="str">
        <x:v>United Kingdom</x:v>
      </x:c>
      <x:c r="D4611" s="25" t="n">
        <x:v>40153.32708333333</x:v>
      </x:c>
      <x:c r="E4611" s="25" t="n">
        <x:v>40153.32847222222</x:v>
      </x:c>
      <x:c r="F4611" s="2" t="n">
        <x:v>734</x:v>
      </x:c>
      <x:c r="G4611" s="2" t="n">
        <x:v>2</x:v>
      </x:c>
      <x:c r="H4611" s="11" t="n">
        <x:v>207.85</x:v>
      </x:c>
      <x:c r="I4611" s="2" t="n">
        <x:v>1</x:v>
      </x:c>
      <x:c r="J4611" s="2" t="n">
        <x:v>2</x:v>
      </x:c>
      <x:c r="K4611" s="2" t="n">
        <x:v>1</x:v>
      </x:c>
      <x:c r="L4611" s="2" t="str">
        <x:v>Hibernating</x:v>
      </x:c>
    </x:row>
    <x:row r="4612" ht="22" customHeight="1">
      <x:c r="A4612" s="2"/>
      <x:c r="B4612" s="2" t="str">
        <x:v>16965</x:v>
      </x:c>
      <x:c r="C4612" s="2" t="str">
        <x:v>United Kingdom</x:v>
      </x:c>
      <x:c r="D4612" s="25" t="n">
        <x:v>40660.29722222222</x:v>
      </x:c>
      <x:c r="E4612" s="25" t="n">
        <x:v>40660.29722222222</x:v>
      </x:c>
      <x:c r="F4612" s="2" t="n">
        <x:v>227</x:v>
      </x:c>
      <x:c r="G4612" s="2" t="n">
        <x:v>1</x:v>
      </x:c>
      <x:c r="H4612" s="11" t="n">
        <x:v>201.19</x:v>
      </x:c>
      <x:c r="I4612" s="2" t="n">
        <x:v>2</x:v>
      </x:c>
      <x:c r="J4612" s="2" t="n">
        <x:v>1</x:v>
      </x:c>
      <x:c r="K4612" s="2" t="n">
        <x:v>1</x:v>
      </x:c>
      <x:c r="L4612" s="2" t="str">
        <x:v>Hibernating</x:v>
      </x:c>
    </x:row>
    <x:row r="4613" ht="22" customHeight="1">
      <x:c r="A4613" s="2"/>
      <x:c r="B4613" s="2" t="str">
        <x:v>16966</x:v>
      </x:c>
      <x:c r="C4613" s="2" t="str">
        <x:v>United Kingdom</x:v>
      </x:c>
      <x:c r="D4613" s="25" t="n">
        <x:v>40646.38680555556</x:v>
      </x:c>
      <x:c r="E4613" s="25" t="n">
        <x:v>40878.36111111111</x:v>
      </x:c>
      <x:c r="F4613" s="2" t="n">
        <x:v>9</x:v>
      </x:c>
      <x:c r="G4613" s="2" t="n">
        <x:v>7</x:v>
      </x:c>
      <x:c r="H4613" s="11" t="n">
        <x:v>2154.97</x:v>
      </x:c>
      <x:c r="I4613" s="2" t="n">
        <x:v>5</x:v>
      </x:c>
      <x:c r="J4613" s="2" t="n">
        <x:v>4</x:v>
      </x:c>
      <x:c r="K4613" s="2" t="n">
        <x:v>4</x:v>
      </x:c>
      <x:c r="L4613" s="2" t="str">
        <x:v>Champions</x:v>
      </x:c>
    </x:row>
    <x:row r="4614" ht="22" customHeight="1">
      <x:c r="A4614" s="2"/>
      <x:c r="B4614" s="2" t="str">
        <x:v>16967</x:v>
      </x:c>
      <x:c r="C4614" s="2" t="str">
        <x:v>United Kingdom</x:v>
      </x:c>
      <x:c r="D4614" s="25" t="n">
        <x:v>40697.39166666667</x:v>
      </x:c>
      <x:c r="E4614" s="25" t="n">
        <x:v>40697.39166666667</x:v>
      </x:c>
      <x:c r="F4614" s="2" t="n">
        <x:v>190</x:v>
      </x:c>
      <x:c r="G4614" s="2" t="n">
        <x:v>1</x:v>
      </x:c>
      <x:c r="H4614" s="11" t="n">
        <x:v>319.02</x:v>
      </x:c>
      <x:c r="I4614" s="2" t="n">
        <x:v>3</x:v>
      </x:c>
      <x:c r="J4614" s="2" t="n">
        <x:v>1</x:v>
      </x:c>
      <x:c r="K4614" s="2" t="n">
        <x:v>2</x:v>
      </x:c>
      <x:c r="L4614" s="2" t="str">
        <x:v>Developing</x:v>
      </x:c>
    </x:row>
    <x:row r="4615" ht="22" customHeight="1">
      <x:c r="A4615" s="2"/>
      <x:c r="B4615" s="2" t="str">
        <x:v>16968</x:v>
      </x:c>
      <x:c r="C4615" s="2" t="str">
        <x:v>United Kingdom</x:v>
      </x:c>
      <x:c r="D4615" s="25" t="n">
        <x:v>40779.24375</x:v>
      </x:c>
      <x:c r="E4615" s="25" t="n">
        <x:v>40882.41805555556</x:v>
      </x:c>
      <x:c r="F4615" s="2" t="n">
        <x:v>5</x:v>
      </x:c>
      <x:c r="G4615" s="2" t="n">
        <x:v>2</x:v>
      </x:c>
      <x:c r="H4615" s="11" t="n">
        <x:v>439.43</x:v>
      </x:c>
      <x:c r="I4615" s="2" t="n">
        <x:v>5</x:v>
      </x:c>
      <x:c r="J4615" s="2" t="n">
        <x:v>2</x:v>
      </x:c>
      <x:c r="K4615" s="2" t="n">
        <x:v>2</x:v>
      </x:c>
      <x:c r="L4615" s="2" t="str">
        <x:v>Recent light buyers</x:v>
      </x:c>
    </x:row>
    <x:row r="4616" ht="22" customHeight="1">
      <x:c r="A4616" s="2"/>
      <x:c r="B4616" s="2" t="str">
        <x:v>16969</x:v>
      </x:c>
      <x:c r="C4616" s="2" t="str">
        <x:v>United Kingdom</x:v>
      </x:c>
      <x:c r="D4616" s="25" t="n">
        <x:v>40695.29861111111</x:v>
      </x:c>
      <x:c r="E4616" s="25" t="n">
        <x:v>40847.34166666667</x:v>
      </x:c>
      <x:c r="F4616" s="2" t="n">
        <x:v>40</x:v>
      </x:c>
      <x:c r="G4616" s="2" t="n">
        <x:v>3</x:v>
      </x:c>
      <x:c r="H4616" s="11" t="n">
        <x:v>650.41</x:v>
      </x:c>
      <x:c r="I4616" s="2" t="n">
        <x:v>4</x:v>
      </x:c>
      <x:c r="J4616" s="2" t="n">
        <x:v>3</x:v>
      </x:c>
      <x:c r="K4616" s="2" t="n">
        <x:v>3</x:v>
      </x:c>
      <x:c r="L4616" s="2" t="str">
        <x:v>Loyal</x:v>
      </x:c>
    </x:row>
    <x:row r="4617" ht="22" customHeight="1">
      <x:c r="A4617" s="2"/>
      <x:c r="B4617" s="2" t="str">
        <x:v>16970</x:v>
      </x:c>
      <x:c r="C4617" s="2" t="str">
        <x:v>United Kingdom</x:v>
      </x:c>
      <x:c r="D4617" s="25" t="n">
        <x:v>40260.368055555555</x:v>
      </x:c>
      <x:c r="E4617" s="25" t="n">
        <x:v>40260.368055555555</x:v>
      </x:c>
      <x:c r="F4617" s="2" t="n">
        <x:v>627</x:v>
      </x:c>
      <x:c r="G4617" s="2" t="n">
        <x:v>1</x:v>
      </x:c>
      <x:c r="H4617" s="11" t="n">
        <x:v>71.4</x:v>
      </x:c>
      <x:c r="I4617" s="2" t="n">
        <x:v>1</x:v>
      </x:c>
      <x:c r="J4617" s="2" t="n">
        <x:v>1</x:v>
      </x:c>
      <x:c r="K4617" s="2" t="n">
        <x:v>1</x:v>
      </x:c>
      <x:c r="L4617" s="2" t="str">
        <x:v>Hibernating</x:v>
      </x:c>
    </x:row>
    <x:row r="4618" ht="22" customHeight="1">
      <x:c r="A4618" s="2"/>
      <x:c r="B4618" s="2" t="str">
        <x:v>16971</x:v>
      </x:c>
      <x:c r="C4618" s="2" t="str">
        <x:v>United Kingdom</x:v>
      </x:c>
      <x:c r="D4618" s="25" t="n">
        <x:v>40848.42083333333</x:v>
      </x:c>
      <x:c r="E4618" s="25" t="n">
        <x:v>40848.42083333333</x:v>
      </x:c>
      <x:c r="F4618" s="2" t="n">
        <x:v>39</x:v>
      </x:c>
      <x:c r="G4618" s="2" t="n">
        <x:v>1</x:v>
      </x:c>
      <x:c r="H4618" s="11" t="n">
        <x:v>357.21</x:v>
      </x:c>
      <x:c r="I4618" s="2" t="n">
        <x:v>4</x:v>
      </x:c>
      <x:c r="J4618" s="2" t="n">
        <x:v>1</x:v>
      </x:c>
      <x:c r="K4618" s="2" t="n">
        <x:v>2</x:v>
      </x:c>
      <x:c r="L4618" s="2" t="str">
        <x:v>Recent light buyers</x:v>
      </x:c>
    </x:row>
    <x:row r="4619" ht="22" customHeight="1">
      <x:c r="A4619" s="2"/>
      <x:c r="B4619" s="2" t="str">
        <x:v>16972</x:v>
      </x:c>
      <x:c r="C4619" s="2" t="str">
        <x:v>United Kingdom</x:v>
      </x:c>
      <x:c r="D4619" s="25" t="n">
        <x:v>40430.26388888889</x:v>
      </x:c>
      <x:c r="E4619" s="25" t="n">
        <x:v>40504.24930555555</x:v>
      </x:c>
      <x:c r="F4619" s="2" t="n">
        <x:v>383</x:v>
      </x:c>
      <x:c r="G4619" s="2" t="n">
        <x:v>2</x:v>
      </x:c>
      <x:c r="H4619" s="11" t="n">
        <x:v>786.25</x:v>
      </x:c>
      <x:c r="I4619" s="2" t="n">
        <x:v>2</x:v>
      </x:c>
      <x:c r="J4619" s="2" t="n">
        <x:v>2</x:v>
      </x:c>
      <x:c r="K4619" s="2" t="n">
        <x:v>3</x:v>
      </x:c>
      <x:c r="L4619" s="2" t="str">
        <x:v>Hibernating</x:v>
      </x:c>
    </x:row>
    <x:row r="4620" ht="22" customHeight="1">
      <x:c r="A4620" s="2"/>
      <x:c r="B4620" s="2" t="str">
        <x:v>16973</x:v>
      </x:c>
      <x:c r="C4620" s="2" t="str">
        <x:v>United Kingdom</x:v>
      </x:c>
      <x:c r="D4620" s="25" t="n">
        <x:v>40500.37222222222</x:v>
      </x:c>
      <x:c r="E4620" s="25" t="n">
        <x:v>40500.37222222222</x:v>
      </x:c>
      <x:c r="F4620" s="2" t="n">
        <x:v>387</x:v>
      </x:c>
      <x:c r="G4620" s="2" t="n">
        <x:v>1</x:v>
      </x:c>
      <x:c r="H4620" s="11" t="n">
        <x:v>127</x:v>
      </x:c>
      <x:c r="I4620" s="2" t="n">
        <x:v>2</x:v>
      </x:c>
      <x:c r="J4620" s="2" t="n">
        <x:v>1</x:v>
      </x:c>
      <x:c r="K4620" s="2" t="n">
        <x:v>1</x:v>
      </x:c>
      <x:c r="L4620" s="2" t="str">
        <x:v>Hibernating</x:v>
      </x:c>
    </x:row>
    <x:row r="4621" ht="22" customHeight="1">
      <x:c r="A4621" s="2"/>
      <x:c r="B4621" s="2" t="str">
        <x:v>16974</x:v>
      </x:c>
      <x:c r="C4621" s="2" t="str">
        <x:v>United Kingdom</x:v>
      </x:c>
      <x:c r="D4621" s="25" t="n">
        <x:v>40322.23819444444</x:v>
      </x:c>
      <x:c r="E4621" s="25" t="n">
        <x:v>40364.22083333333</x:v>
      </x:c>
      <x:c r="F4621" s="2" t="n">
        <x:v>523</x:v>
      </x:c>
      <x:c r="G4621" s="2" t="n">
        <x:v>2</x:v>
      </x:c>
      <x:c r="H4621" s="11" t="n">
        <x:v>365.5</x:v>
      </x:c>
      <x:c r="I4621" s="2" t="n">
        <x:v>1</x:v>
      </x:c>
      <x:c r="J4621" s="2" t="n">
        <x:v>2</x:v>
      </x:c>
      <x:c r="K4621" s="2" t="n">
        <x:v>2</x:v>
      </x:c>
      <x:c r="L4621" s="2" t="str">
        <x:v>Hibernating</x:v>
      </x:c>
    </x:row>
    <x:row r="4622" ht="22" customHeight="1">
      <x:c r="A4622" s="2"/>
      <x:c r="B4622" s="2" t="str">
        <x:v>16975</x:v>
      </x:c>
      <x:c r="C4622" s="2" t="str">
        <x:v>United Kingdom</x:v>
      </x:c>
      <x:c r="D4622" s="25" t="n">
        <x:v>40381.27638888889</x:v>
      </x:c>
      <x:c r="E4622" s="25" t="n">
        <x:v>40463.53680555556</x:v>
      </x:c>
      <x:c r="F4622" s="2" t="n">
        <x:v>424</x:v>
      </x:c>
      <x:c r="G4622" s="2" t="n">
        <x:v>3</x:v>
      </x:c>
      <x:c r="H4622" s="11" t="n">
        <x:v>926.12</x:v>
      </x:c>
      <x:c r="I4622" s="2" t="n">
        <x:v>1</x:v>
      </x:c>
      <x:c r="J4622" s="2" t="n">
        <x:v>3</x:v>
      </x:c>
      <x:c r="K4622" s="2" t="n">
        <x:v>3</x:v>
      </x:c>
      <x:c r="L4622" s="2" t="str">
        <x:v>At risk</x:v>
      </x:c>
    </x:row>
    <x:row r="4623" ht="22" customHeight="1">
      <x:c r="A4623" s="2"/>
      <x:c r="B4623" s="2" t="str">
        <x:v>16976</x:v>
      </x:c>
      <x:c r="C4623" s="2" t="str">
        <x:v>United Kingdom</x:v>
      </x:c>
      <x:c r="D4623" s="25" t="n">
        <x:v>40619.48125</x:v>
      </x:c>
      <x:c r="E4623" s="25" t="n">
        <x:v>40619.48125</x:v>
      </x:c>
      <x:c r="F4623" s="2" t="n">
        <x:v>268</x:v>
      </x:c>
      <x:c r="G4623" s="2" t="n">
        <x:v>1</x:v>
      </x:c>
      <x:c r="H4623" s="11" t="n">
        <x:v>251.52</x:v>
      </x:c>
      <x:c r="I4623" s="2" t="n">
        <x:v>2</x:v>
      </x:c>
      <x:c r="J4623" s="2" t="n">
        <x:v>1</x:v>
      </x:c>
      <x:c r="K4623" s="2" t="n">
        <x:v>1</x:v>
      </x:c>
      <x:c r="L4623" s="2" t="str">
        <x:v>Hibernating</x:v>
      </x:c>
    </x:row>
    <x:row r="4624" ht="22" customHeight="1">
      <x:c r="A4624" s="2"/>
      <x:c r="B4624" s="2" t="str">
        <x:v>16977</x:v>
      </x:c>
      <x:c r="C4624" s="2" t="str">
        <x:v>United Kingdom</x:v>
      </x:c>
      <x:c r="D4624" s="25" t="n">
        <x:v>40255.254166666666</x:v>
      </x:c>
      <x:c r="E4624" s="25" t="n">
        <x:v>40491.345138888886</x:v>
      </x:c>
      <x:c r="F4624" s="2" t="n">
        <x:v>396</x:v>
      </x:c>
      <x:c r="G4624" s="2" t="n">
        <x:v>4</x:v>
      </x:c>
      <x:c r="H4624" s="11" t="n">
        <x:v>496</x:v>
      </x:c>
      <x:c r="I4624" s="2" t="n">
        <x:v>2</x:v>
      </x:c>
      <x:c r="J4624" s="2" t="n">
        <x:v>3</x:v>
      </x:c>
      <x:c r="K4624" s="2" t="n">
        <x:v>2</x:v>
      </x:c>
      <x:c r="L4624" s="2" t="str">
        <x:v>At risk</x:v>
      </x:c>
    </x:row>
    <x:row r="4625" ht="22" customHeight="1">
      <x:c r="A4625" s="2"/>
      <x:c r="B4625" s="2" t="str">
        <x:v>16978</x:v>
      </x:c>
      <x:c r="C4625" s="2" t="str">
        <x:v>United Kingdom</x:v>
      </x:c>
      <x:c r="D4625" s="25" t="n">
        <x:v>40220.47708333333</x:v>
      </x:c>
      <x:c r="E4625" s="25" t="n">
        <x:v>40809.32638888889</x:v>
      </x:c>
      <x:c r="F4625" s="2" t="n">
        <x:v>78</x:v>
      </x:c>
      <x:c r="G4625" s="2" t="n">
        <x:v>3</x:v>
      </x:c>
      <x:c r="H4625" s="11" t="n">
        <x:v>768.88</x:v>
      </x:c>
      <x:c r="I4625" s="2" t="n">
        <x:v>3</x:v>
      </x:c>
      <x:c r="J4625" s="2" t="n">
        <x:v>3</x:v>
      </x:c>
      <x:c r="K4625" s="2" t="n">
        <x:v>3</x:v>
      </x:c>
      <x:c r="L4625" s="2" t="str">
        <x:v>Loyal</x:v>
      </x:c>
    </x:row>
    <x:row r="4626" ht="22" customHeight="1">
      <x:c r="A4626" s="2"/>
      <x:c r="B4626" s="2" t="str">
        <x:v>16979</x:v>
      </x:c>
      <x:c r="C4626" s="2" t="str">
        <x:v>United Kingdom</x:v>
      </x:c>
      <x:c r="D4626" s="25" t="n">
        <x:v>40436.395833333336</x:v>
      </x:c>
      <x:c r="E4626" s="25" t="n">
        <x:v>40883.30625</x:v>
      </x:c>
      <x:c r="F4626" s="2" t="n">
        <x:v>4</x:v>
      </x:c>
      <x:c r="G4626" s="2" t="n">
        <x:v>9</x:v>
      </x:c>
      <x:c r="H4626" s="11" t="n">
        <x:v>2859.74</x:v>
      </x:c>
      <x:c r="I4626" s="2" t="n">
        <x:v>5</x:v>
      </x:c>
      <x:c r="J4626" s="2" t="n">
        <x:v>5</x:v>
      </x:c>
      <x:c r="K4626" s="2" t="n">
        <x:v>4</x:v>
      </x:c>
      <x:c r="L4626" s="2" t="str">
        <x:v>Champions</x:v>
      </x:c>
    </x:row>
    <x:row r="4627" ht="22" customHeight="1">
      <x:c r="A4627" s="2"/>
      <x:c r="B4627" s="2" t="str">
        <x:v>16980</x:v>
      </x:c>
      <x:c r="C4627" s="2" t="str">
        <x:v>United Kingdom</x:v>
      </x:c>
      <x:c r="D4627" s="25" t="n">
        <x:v>40458.37847222222</x:v>
      </x:c>
      <x:c r="E4627" s="25" t="n">
        <x:v>40631.48333333333</x:v>
      </x:c>
      <x:c r="F4627" s="2" t="n">
        <x:v>256</x:v>
      </x:c>
      <x:c r="G4627" s="2" t="n">
        <x:v>3</x:v>
      </x:c>
      <x:c r="H4627" s="11" t="n">
        <x:v>1473.33</x:v>
      </x:c>
      <x:c r="I4627" s="2" t="n">
        <x:v>2</x:v>
      </x:c>
      <x:c r="J4627" s="2" t="n">
        <x:v>3</x:v>
      </x:c>
      <x:c r="K4627" s="2" t="n">
        <x:v>4</x:v>
      </x:c>
      <x:c r="L4627" s="2" t="str">
        <x:v>At risk</x:v>
      </x:c>
    </x:row>
    <x:row r="4628" ht="22" customHeight="1">
      <x:c r="A4628" s="2"/>
      <x:c r="B4628" s="2" t="str">
        <x:v>16982</x:v>
      </x:c>
      <x:c r="C4628" s="2" t="str">
        <x:v>United Kingdom</x:v>
      </x:c>
      <x:c r="D4628" s="25" t="n">
        <x:v>40826.311111111114</x:v>
      </x:c>
      <x:c r="E4628" s="25" t="n">
        <x:v>40826.311111111114</x:v>
      </x:c>
      <x:c r="F4628" s="2" t="n">
        <x:v>61</x:v>
      </x:c>
      <x:c r="G4628" s="2" t="n">
        <x:v>1</x:v>
      </x:c>
      <x:c r="H4628" s="11" t="n">
        <x:v>384.06</x:v>
      </x:c>
      <x:c r="I4628" s="2" t="n">
        <x:v>3</x:v>
      </x:c>
      <x:c r="J4628" s="2" t="n">
        <x:v>1</x:v>
      </x:c>
      <x:c r="K4628" s="2" t="n">
        <x:v>2</x:v>
      </x:c>
      <x:c r="L4628" s="2" t="str">
        <x:v>Developing</x:v>
      </x:c>
    </x:row>
    <x:row r="4629" ht="22" customHeight="1">
      <x:c r="A4629" s="2"/>
      <x:c r="B4629" s="2" t="str">
        <x:v>16983</x:v>
      </x:c>
      <x:c r="C4629" s="2" t="str">
        <x:v>United Kingdom</x:v>
      </x:c>
      <x:c r="D4629" s="25" t="n">
        <x:v>40440.31805555556</x:v>
      </x:c>
      <x:c r="E4629" s="25" t="n">
        <x:v>40874.29861111111</x:v>
      </x:c>
      <x:c r="F4629" s="2" t="n">
        <x:v>13</x:v>
      </x:c>
      <x:c r="G4629" s="2" t="n">
        <x:v>11</x:v>
      </x:c>
      <x:c r="H4629" s="11" t="n">
        <x:v>3546.73</x:v>
      </x:c>
      <x:c r="I4629" s="2" t="n">
        <x:v>5</x:v>
      </x:c>
      <x:c r="J4629" s="2" t="n">
        <x:v>5</x:v>
      </x:c>
      <x:c r="K4629" s="2" t="n">
        <x:v>5</x:v>
      </x:c>
      <x:c r="L4629" s="2" t="str">
        <x:v>Champions</x:v>
      </x:c>
    </x:row>
    <x:row r="4630" ht="22" customHeight="1">
      <x:c r="A4630" s="2"/>
      <x:c r="B4630" s="2" t="str">
        <x:v>16984</x:v>
      </x:c>
      <x:c r="C4630" s="2" t="str">
        <x:v>United Kingdom</x:v>
      </x:c>
      <x:c r="D4630" s="25" t="n">
        <x:v>40244.44027777778</x:v>
      </x:c>
      <x:c r="E4630" s="25" t="n">
        <x:v>40798.36319444444</x:v>
      </x:c>
      <x:c r="F4630" s="2" t="n">
        <x:v>89</x:v>
      </x:c>
      <x:c r="G4630" s="2" t="n">
        <x:v>9</x:v>
      </x:c>
      <x:c r="H4630" s="11" t="n">
        <x:v>10754.8</x:v>
      </x:c>
      <x:c r="I4630" s="2" t="n">
        <x:v>3</x:v>
      </x:c>
      <x:c r="J4630" s="2" t="n">
        <x:v>5</x:v>
      </x:c>
      <x:c r="K4630" s="2" t="n">
        <x:v>5</x:v>
      </x:c>
      <x:c r="L4630" s="2" t="str">
        <x:v>Loyal</x:v>
      </x:c>
    </x:row>
    <x:row r="4631" ht="22" customHeight="1">
      <x:c r="A4631" s="2"/>
      <x:c r="B4631" s="2" t="str">
        <x:v>16985</x:v>
      </x:c>
      <x:c r="C4631" s="2" t="str">
        <x:v>United Kingdom</x:v>
      </x:c>
      <x:c r="D4631" s="25" t="n">
        <x:v>40157.356944444444</x:v>
      </x:c>
      <x:c r="E4631" s="25" t="n">
        <x:v>40869.35625</x:v>
      </x:c>
      <x:c r="F4631" s="2" t="n">
        <x:v>18</x:v>
      </x:c>
      <x:c r="G4631" s="2" t="n">
        <x:v>23</x:v>
      </x:c>
      <x:c r="H4631" s="11" t="n">
        <x:v>10923.16</x:v>
      </x:c>
      <x:c r="I4631" s="2" t="n">
        <x:v>5</x:v>
      </x:c>
      <x:c r="J4631" s="2" t="n">
        <x:v>5</x:v>
      </x:c>
      <x:c r="K4631" s="2" t="n">
        <x:v>5</x:v>
      </x:c>
      <x:c r="L4631" s="2" t="str">
        <x:v>Champions</x:v>
      </x:c>
    </x:row>
    <x:row r="4632" ht="22" customHeight="1">
      <x:c r="A4632" s="2"/>
      <x:c r="B4632" s="2" t="str">
        <x:v>16986</x:v>
      </x:c>
      <x:c r="C4632" s="2" t="str">
        <x:v>United Kingdom</x:v>
      </x:c>
      <x:c r="D4632" s="25" t="n">
        <x:v>40213.40694444445</x:v>
      </x:c>
      <x:c r="E4632" s="25" t="n">
        <x:v>40857.288194444445</x:v>
      </x:c>
      <x:c r="F4632" s="2" t="n">
        <x:v>30</x:v>
      </x:c>
      <x:c r="G4632" s="2" t="n">
        <x:v>11</x:v>
      </x:c>
      <x:c r="H4632" s="11" t="n">
        <x:v>4888.75</x:v>
      </x:c>
      <x:c r="I4632" s="2" t="n">
        <x:v>4</x:v>
      </x:c>
      <x:c r="J4632" s="2" t="n">
        <x:v>5</x:v>
      </x:c>
      <x:c r="K4632" s="2" t="n">
        <x:v>5</x:v>
      </x:c>
      <x:c r="L4632" s="2" t="str">
        <x:v>Champions</x:v>
      </x:c>
    </x:row>
    <x:row r="4633" ht="22" customHeight="1">
      <x:c r="A4633" s="2"/>
      <x:c r="B4633" s="2" t="str">
        <x:v>16987</x:v>
      </x:c>
      <x:c r="C4633" s="2" t="str">
        <x:v>United Kingdom</x:v>
      </x:c>
      <x:c r="D4633" s="25" t="n">
        <x:v>40149.39861111111</x:v>
      </x:c>
      <x:c r="E4633" s="25" t="n">
        <x:v>40883.518055555556</x:v>
      </x:c>
      <x:c r="F4633" s="2" t="n">
        <x:v>4</x:v>
      </x:c>
      <x:c r="G4633" s="2" t="n">
        <x:v>11</x:v>
      </x:c>
      <x:c r="H4633" s="11" t="n">
        <x:v>2535.9</x:v>
      </x:c>
      <x:c r="I4633" s="2" t="n">
        <x:v>5</x:v>
      </x:c>
      <x:c r="J4633" s="2" t="n">
        <x:v>5</x:v>
      </x:c>
      <x:c r="K4633" s="2" t="n">
        <x:v>4</x:v>
      </x:c>
      <x:c r="L4633" s="2" t="str">
        <x:v>Champions</x:v>
      </x:c>
    </x:row>
    <x:row r="4634" ht="22" customHeight="1">
      <x:c r="A4634" s="2"/>
      <x:c r="B4634" s="2" t="str">
        <x:v>16988</x:v>
      </x:c>
      <x:c r="C4634" s="2" t="str">
        <x:v>United Kingdom</x:v>
      </x:c>
      <x:c r="D4634" s="25" t="n">
        <x:v>40507.18194444444</x:v>
      </x:c>
      <x:c r="E4634" s="25" t="n">
        <x:v>40881.45972222222</x:v>
      </x:c>
      <x:c r="F4634" s="2" t="n">
        <x:v>6</x:v>
      </x:c>
      <x:c r="G4634" s="2" t="n">
        <x:v>2</x:v>
      </x:c>
      <x:c r="H4634" s="11" t="n">
        <x:v>382.67</x:v>
      </x:c>
      <x:c r="I4634" s="2" t="n">
        <x:v>5</x:v>
      </x:c>
      <x:c r="J4634" s="2" t="n">
        <x:v>2</x:v>
      </x:c>
      <x:c r="K4634" s="2" t="n">
        <x:v>2</x:v>
      </x:c>
      <x:c r="L4634" s="2" t="str">
        <x:v>Recent light buyers</x:v>
      </x:c>
    </x:row>
    <x:row r="4635" ht="22" customHeight="1">
      <x:c r="A4635" s="2"/>
      <x:c r="B4635" s="2" t="str">
        <x:v>16989</x:v>
      </x:c>
      <x:c r="C4635" s="2" t="str">
        <x:v>United Kingdom</x:v>
      </x:c>
      <x:c r="D4635" s="25" t="n">
        <x:v>40736.174305555556</x:v>
      </x:c>
      <x:c r="E4635" s="25" t="n">
        <x:v>40879.48541666667</x:v>
      </x:c>
      <x:c r="F4635" s="2" t="n">
        <x:v>8</x:v>
      </x:c>
      <x:c r="G4635" s="2" t="n">
        <x:v>6</x:v>
      </x:c>
      <x:c r="H4635" s="11" t="n">
        <x:v>1133.25</x:v>
      </x:c>
      <x:c r="I4635" s="2" t="n">
        <x:v>5</x:v>
      </x:c>
      <x:c r="J4635" s="2" t="n">
        <x:v>4</x:v>
      </x:c>
      <x:c r="K4635" s="2" t="n">
        <x:v>3</x:v>
      </x:c>
      <x:c r="L4635" s="2" t="str">
        <x:v>Loyal</x:v>
      </x:c>
    </x:row>
    <x:row r="4636" ht="22" customHeight="1">
      <x:c r="A4636" s="2"/>
      <x:c r="B4636" s="2" t="str">
        <x:v>16990</x:v>
      </x:c>
      <x:c r="C4636" s="2" t="str">
        <x:v>United Kingdom</x:v>
      </x:c>
      <x:c r="D4636" s="25" t="n">
        <x:v>40464.27916666667</x:v>
      </x:c>
      <x:c r="E4636" s="25" t="n">
        <x:v>40668.145833333336</x:v>
      </x:c>
      <x:c r="F4636" s="2" t="n">
        <x:v>219</x:v>
      </x:c>
      <x:c r="G4636" s="2" t="n">
        <x:v>2</x:v>
      </x:c>
      <x:c r="H4636" s="11" t="n">
        <x:v>344</x:v>
      </x:c>
      <x:c r="I4636" s="2" t="n">
        <x:v>2</x:v>
      </x:c>
      <x:c r="J4636" s="2" t="n">
        <x:v>2</x:v>
      </x:c>
      <x:c r="K4636" s="2" t="n">
        <x:v>2</x:v>
      </x:c>
      <x:c r="L4636" s="2" t="str">
        <x:v>Hibernating</x:v>
      </x:c>
    </x:row>
    <x:row r="4637" ht="22" customHeight="1">
      <x:c r="A4637" s="2"/>
      <x:c r="B4637" s="2" t="str">
        <x:v>16991</x:v>
      </x:c>
      <x:c r="C4637" s="2" t="str">
        <x:v>United Kingdom</x:v>
      </x:c>
      <x:c r="D4637" s="25" t="n">
        <x:v>40465.38055555556</x:v>
      </x:c>
      <x:c r="E4637" s="25" t="n">
        <x:v>40465.38055555556</x:v>
      </x:c>
      <x:c r="F4637" s="2" t="n">
        <x:v>422</x:v>
      </x:c>
      <x:c r="G4637" s="2" t="n">
        <x:v>1</x:v>
      </x:c>
      <x:c r="H4637" s="11" t="n">
        <x:v>1041.21</x:v>
      </x:c>
      <x:c r="I4637" s="2" t="n">
        <x:v>1</x:v>
      </x:c>
      <x:c r="J4637" s="2" t="n">
        <x:v>1</x:v>
      </x:c>
      <x:c r="K4637" s="2" t="n">
        <x:v>3</x:v>
      </x:c>
      <x:c r="L4637" s="2" t="str">
        <x:v>Hibernating</x:v>
      </x:c>
    </x:row>
    <x:row r="4638" ht="22" customHeight="1">
      <x:c r="A4638" s="2"/>
      <x:c r="B4638" s="2" t="str">
        <x:v>16992</x:v>
      </x:c>
      <x:c r="C4638" s="2" t="str">
        <x:v>United Kingdom</x:v>
      </x:c>
      <x:c r="D4638" s="25" t="n">
        <x:v>40220.316666666666</x:v>
      </x:c>
      <x:c r="E4638" s="25" t="n">
        <x:v>40876.28472222222</x:v>
      </x:c>
      <x:c r="F4638" s="2" t="n">
        <x:v>11</x:v>
      </x:c>
      <x:c r="G4638" s="2" t="n">
        <x:v>13</x:v>
      </x:c>
      <x:c r="H4638" s="11" t="n">
        <x:v>5476.5</x:v>
      </x:c>
      <x:c r="I4638" s="2" t="n">
        <x:v>5</x:v>
      </x:c>
      <x:c r="J4638" s="2" t="n">
        <x:v>5</x:v>
      </x:c>
      <x:c r="K4638" s="2" t="n">
        <x:v>5</x:v>
      </x:c>
      <x:c r="L4638" s="2" t="str">
        <x:v>Champions</x:v>
      </x:c>
    </x:row>
    <x:row r="4639" ht="22" customHeight="1">
      <x:c r="A4639" s="2"/>
      <x:c r="B4639" s="2" t="str">
        <x:v>16993</x:v>
      </x:c>
      <x:c r="C4639" s="2" t="str">
        <x:v>United Kingdom</x:v>
      </x:c>
      <x:c r="D4639" s="25" t="n">
        <x:v>40310.37152777778</x:v>
      </x:c>
      <x:c r="E4639" s="25" t="n">
        <x:v>40423.302777777775</x:v>
      </x:c>
      <x:c r="F4639" s="2" t="n">
        <x:v>464</x:v>
      </x:c>
      <x:c r="G4639" s="2" t="n">
        <x:v>2</x:v>
      </x:c>
      <x:c r="H4639" s="11" t="n">
        <x:v>1950.95</x:v>
      </x:c>
      <x:c r="I4639" s="2" t="n">
        <x:v>1</x:v>
      </x:c>
      <x:c r="J4639" s="2" t="n">
        <x:v>2</x:v>
      </x:c>
      <x:c r="K4639" s="2" t="n">
        <x:v>4</x:v>
      </x:c>
      <x:c r="L4639" s="2" t="str">
        <x:v>Hibernating</x:v>
      </x:c>
    </x:row>
    <x:row r="4640" ht="22" customHeight="1">
      <x:c r="A4640" s="2"/>
      <x:c r="B4640" s="2" t="str">
        <x:v>16996</x:v>
      </x:c>
      <x:c r="C4640" s="2" t="str">
        <x:v>United Kingdom</x:v>
      </x:c>
      <x:c r="D4640" s="25" t="n">
        <x:v>40469.308333333334</x:v>
      </x:c>
      <x:c r="E4640" s="25" t="n">
        <x:v>40856.48819444444</x:v>
      </x:c>
      <x:c r="F4640" s="2" t="n">
        <x:v>31</x:v>
      </x:c>
      <x:c r="G4640" s="2" t="n">
        <x:v>9</x:v>
      </x:c>
      <x:c r="H4640" s="11" t="n">
        <x:v>2123.61</x:v>
      </x:c>
      <x:c r="I4640" s="2" t="n">
        <x:v>4</x:v>
      </x:c>
      <x:c r="J4640" s="2" t="n">
        <x:v>5</x:v>
      </x:c>
      <x:c r="K4640" s="2" t="n">
        <x:v>4</x:v>
      </x:c>
      <x:c r="L4640" s="2" t="str">
        <x:v>Champions</x:v>
      </x:c>
    </x:row>
    <x:row r="4641" ht="22" customHeight="1">
      <x:c r="A4641" s="2"/>
      <x:c r="B4641" s="2" t="str">
        <x:v>16997</x:v>
      </x:c>
      <x:c r="C4641" s="2" t="str">
        <x:v>United Kingdom</x:v>
      </x:c>
      <x:c r="D4641" s="25" t="n">
        <x:v>40561.285416666666</x:v>
      </x:c>
      <x:c r="E4641" s="25" t="n">
        <x:v>40598.51944444444</x:v>
      </x:c>
      <x:c r="F4641" s="2" t="n">
        <x:v>289</x:v>
      </x:c>
      <x:c r="G4641" s="2" t="n">
        <x:v>3</x:v>
      </x:c>
      <x:c r="H4641" s="11" t="n">
        <x:v>702</x:v>
      </x:c>
      <x:c r="I4641" s="2" t="n">
        <x:v>2</x:v>
      </x:c>
      <x:c r="J4641" s="2" t="n">
        <x:v>3</x:v>
      </x:c>
      <x:c r="K4641" s="2" t="n">
        <x:v>3</x:v>
      </x:c>
      <x:c r="L4641" s="2" t="str">
        <x:v>At risk</x:v>
      </x:c>
    </x:row>
    <x:row r="4642" ht="22" customHeight="1">
      <x:c r="A4642" s="2"/>
      <x:c r="B4642" s="2" t="str">
        <x:v>16998</x:v>
      </x:c>
      <x:c r="C4642" s="2" t="str">
        <x:v>United Kingdom</x:v>
      </x:c>
      <x:c r="D4642" s="25" t="n">
        <x:v>40442.402083333334</x:v>
      </x:c>
      <x:c r="E4642" s="25" t="n">
        <x:v>40737.197222222225</x:v>
      </x:c>
      <x:c r="F4642" s="2" t="n">
        <x:v>150</x:v>
      </x:c>
      <x:c r="G4642" s="2" t="n">
        <x:v>5</x:v>
      </x:c>
      <x:c r="H4642" s="11" t="n">
        <x:v>402</x:v>
      </x:c>
      <x:c r="I4642" s="2" t="n">
        <x:v>3</x:v>
      </x:c>
      <x:c r="J4642" s="2" t="n">
        <x:v>4</x:v>
      </x:c>
      <x:c r="K4642" s="2" t="n">
        <x:v>2</x:v>
      </x:c>
      <x:c r="L4642" s="2" t="str">
        <x:v>Loyal</x:v>
      </x:c>
    </x:row>
    <x:row r="4643" ht="22" customHeight="1">
      <x:c r="A4643" s="2"/>
      <x:c r="B4643" s="2" t="str">
        <x:v>16999</x:v>
      </x:c>
      <x:c r="C4643" s="2" t="str">
        <x:v>United Kingdom</x:v>
      </x:c>
      <x:c r="D4643" s="25" t="n">
        <x:v>40812.44652777778</x:v>
      </x:c>
      <x:c r="E4643" s="25" t="n">
        <x:v>40863.37013888889</x:v>
      </x:c>
      <x:c r="F4643" s="2" t="n">
        <x:v>24</x:v>
      </x:c>
      <x:c r="G4643" s="2" t="n">
        <x:v>2</x:v>
      </x:c>
      <x:c r="H4643" s="11" t="n">
        <x:v>484.82</x:v>
      </x:c>
      <x:c r="I4643" s="2" t="n">
        <x:v>4</x:v>
      </x:c>
      <x:c r="J4643" s="2" t="n">
        <x:v>2</x:v>
      </x:c>
      <x:c r="K4643" s="2" t="n">
        <x:v>2</x:v>
      </x:c>
      <x:c r="L4643" s="2" t="str">
        <x:v>Recent light buyers</x:v>
      </x:c>
    </x:row>
    <x:row r="4644" ht="22" customHeight="1">
      <x:c r="A4644" s="2"/>
      <x:c r="B4644" s="2" t="str">
        <x:v>17000</x:v>
      </x:c>
      <x:c r="C4644" s="2" t="str">
        <x:v>United Kingdom</x:v>
      </x:c>
      <x:c r="D4644" s="25" t="n">
        <x:v>40478.38611111111</x:v>
      </x:c>
      <x:c r="E4644" s="25" t="n">
        <x:v>40490.35763888889</x:v>
      </x:c>
      <x:c r="F4644" s="2" t="n">
        <x:v>397</x:v>
      </x:c>
      <x:c r="G4644" s="2" t="n">
        <x:v>2</x:v>
      </x:c>
      <x:c r="H4644" s="11" t="n">
        <x:v>406.3</x:v>
      </x:c>
      <x:c r="I4644" s="2" t="n">
        <x:v>2</x:v>
      </x:c>
      <x:c r="J4644" s="2" t="n">
        <x:v>2</x:v>
      </x:c>
      <x:c r="K4644" s="2" t="n">
        <x:v>2</x:v>
      </x:c>
      <x:c r="L4644" s="2" t="str">
        <x:v>Hibernating</x:v>
      </x:c>
    </x:row>
    <x:row r="4645" ht="22" customHeight="1">
      <x:c r="A4645" s="2"/>
      <x:c r="B4645" s="2" t="str">
        <x:v>17001</x:v>
      </x:c>
      <x:c r="C4645" s="2" t="str">
        <x:v>United Kingdom</x:v>
      </x:c>
      <x:c r="D4645" s="25" t="n">
        <x:v>40262.32013888889</x:v>
      </x:c>
      <x:c r="E4645" s="25" t="n">
        <x:v>40886.19305555556</x:v>
      </x:c>
      <x:c r="F4645" s="2" t="n">
        <x:v>1</x:v>
      </x:c>
      <x:c r="G4645" s="2" t="n">
        <x:v>19</x:v>
      </x:c>
      <x:c r="H4645" s="11" t="n">
        <x:v>6640.8</x:v>
      </x:c>
      <x:c r="I4645" s="2" t="n">
        <x:v>5</x:v>
      </x:c>
      <x:c r="J4645" s="2" t="n">
        <x:v>5</x:v>
      </x:c>
      <x:c r="K4645" s="2" t="n">
        <x:v>5</x:v>
      </x:c>
      <x:c r="L4645" s="2" t="str">
        <x:v>Champions</x:v>
      </x:c>
    </x:row>
    <x:row r="4646" ht="22" customHeight="1">
      <x:c r="A4646" s="2"/>
      <x:c r="B4646" s="2" t="str">
        <x:v>17002</x:v>
      </x:c>
      <x:c r="C4646" s="2" t="str">
        <x:v>United Kingdom</x:v>
      </x:c>
      <x:c r="D4646" s="25" t="n">
        <x:v>40245.44861111111</x:v>
      </x:c>
      <x:c r="E4646" s="25" t="n">
        <x:v>40801.319444444445</x:v>
      </x:c>
      <x:c r="F4646" s="2" t="n">
        <x:v>86</x:v>
      </x:c>
      <x:c r="G4646" s="2" t="n">
        <x:v>7</x:v>
      </x:c>
      <x:c r="H4646" s="11" t="n">
        <x:v>2571.55</x:v>
      </x:c>
      <x:c r="I4646" s="2" t="n">
        <x:v>3</x:v>
      </x:c>
      <x:c r="J4646" s="2" t="n">
        <x:v>4</x:v>
      </x:c>
      <x:c r="K4646" s="2" t="n">
        <x:v>4</x:v>
      </x:c>
      <x:c r="L4646" s="2" t="str">
        <x:v>Loyal</x:v>
      </x:c>
    </x:row>
    <x:row r="4647" ht="22" customHeight="1">
      <x:c r="A4647" s="2"/>
      <x:c r="B4647" s="2" t="str">
        <x:v>17003</x:v>
      </x:c>
      <x:c r="C4647" s="2" t="str">
        <x:v>United Kingdom</x:v>
      </x:c>
      <x:c r="D4647" s="25" t="n">
        <x:v>40308.26388888889</x:v>
      </x:c>
      <x:c r="E4647" s="25" t="n">
        <x:v>40484.34375</x:v>
      </x:c>
      <x:c r="F4647" s="2" t="n">
        <x:v>403</x:v>
      </x:c>
      <x:c r="G4647" s="2" t="n">
        <x:v>4</x:v>
      </x:c>
      <x:c r="H4647" s="11" t="n">
        <x:v>830.16</x:v>
      </x:c>
      <x:c r="I4647" s="2" t="n">
        <x:v>2</x:v>
      </x:c>
      <x:c r="J4647" s="2" t="n">
        <x:v>3</x:v>
      </x:c>
      <x:c r="K4647" s="2" t="n">
        <x:v>3</x:v>
      </x:c>
      <x:c r="L4647" s="2" t="str">
        <x:v>At risk</x:v>
      </x:c>
    </x:row>
    <x:row r="4648" ht="22" customHeight="1">
      <x:c r="A4648" s="2"/>
      <x:c r="B4648" s="2" t="str">
        <x:v>17004</x:v>
      </x:c>
      <x:c r="C4648" s="2" t="str">
        <x:v>United Kingdom</x:v>
      </x:c>
      <x:c r="D4648" s="25" t="n">
        <x:v>40462.44652777778</x:v>
      </x:c>
      <x:c r="E4648" s="25" t="n">
        <x:v>40840.39236111111</x:v>
      </x:c>
      <x:c r="F4648" s="2" t="n">
        <x:v>47</x:v>
      </x:c>
      <x:c r="G4648" s="2" t="n">
        <x:v>4</x:v>
      </x:c>
      <x:c r="H4648" s="11" t="n">
        <x:v>2425.16</x:v>
      </x:c>
      <x:c r="I4648" s="2" t="n">
        <x:v>4</x:v>
      </x:c>
      <x:c r="J4648" s="2" t="n">
        <x:v>3</x:v>
      </x:c>
      <x:c r="K4648" s="2" t="n">
        <x:v>4</x:v>
      </x:c>
      <x:c r="L4648" s="2" t="str">
        <x:v>Loyal</x:v>
      </x:c>
    </x:row>
    <x:row r="4649" ht="22" customHeight="1">
      <x:c r="A4649" s="2"/>
      <x:c r="B4649" s="2" t="str">
        <x:v>17005</x:v>
      </x:c>
      <x:c r="C4649" s="2" t="str">
        <x:v>United Kingdom</x:v>
      </x:c>
      <x:c r="D4649" s="25" t="n">
        <x:v>40298.24652777778</x:v>
      </x:c>
      <x:c r="E4649" s="25" t="n">
        <x:v>40416.24791666667</x:v>
      </x:c>
      <x:c r="F4649" s="2" t="n">
        <x:v>471</x:v>
      </x:c>
      <x:c r="G4649" s="2" t="n">
        <x:v>2</x:v>
      </x:c>
      <x:c r="H4649" s="11" t="n">
        <x:v>742.36</x:v>
      </x:c>
      <x:c r="I4649" s="2" t="n">
        <x:v>1</x:v>
      </x:c>
      <x:c r="J4649" s="2" t="n">
        <x:v>2</x:v>
      </x:c>
      <x:c r="K4649" s="2" t="n">
        <x:v>3</x:v>
      </x:c>
      <x:c r="L4649" s="2" t="str">
        <x:v>Hibernating</x:v>
      </x:c>
    </x:row>
    <x:row r="4650" ht="22" customHeight="1">
      <x:c r="A4650" s="2"/>
      <x:c r="B4650" s="2" t="str">
        <x:v>17006</x:v>
      </x:c>
      <x:c r="C4650" s="2" t="str">
        <x:v>United Kingdom</x:v>
      </x:c>
      <x:c r="D4650" s="25" t="n">
        <x:v>40242.35625</x:v>
      </x:c>
      <x:c r="E4650" s="25" t="n">
        <x:v>40882.29791666667</x:v>
      </x:c>
      <x:c r="F4650" s="2" t="n">
        <x:v>5</x:v>
      </x:c>
      <x:c r="G4650" s="2" t="n">
        <x:v>8</x:v>
      </x:c>
      <x:c r="H4650" s="11" t="n">
        <x:v>1636.32</x:v>
      </x:c>
      <x:c r="I4650" s="2" t="n">
        <x:v>5</x:v>
      </x:c>
      <x:c r="J4650" s="2" t="n">
        <x:v>4</x:v>
      </x:c>
      <x:c r="K4650" s="2" t="n">
        <x:v>4</x:v>
      </x:c>
      <x:c r="L4650" s="2" t="str">
        <x:v>Champions</x:v>
      </x:c>
    </x:row>
    <x:row r="4651" ht="22" customHeight="1">
      <x:c r="A4651" s="2"/>
      <x:c r="B4651" s="2" t="str">
        <x:v>17007</x:v>
      </x:c>
      <x:c r="C4651" s="2" t="str">
        <x:v>United Kingdom</x:v>
      </x:c>
      <x:c r="D4651" s="25" t="n">
        <x:v>40449.36875</x:v>
      </x:c>
      <x:c r="E4651" s="25" t="n">
        <x:v>40836.24097222222</x:v>
      </x:c>
      <x:c r="F4651" s="2" t="n">
        <x:v>51</x:v>
      </x:c>
      <x:c r="G4651" s="2" t="n">
        <x:v>7</x:v>
      </x:c>
      <x:c r="H4651" s="11" t="n">
        <x:v>1120.1</x:v>
      </x:c>
      <x:c r="I4651" s="2" t="n">
        <x:v>4</x:v>
      </x:c>
      <x:c r="J4651" s="2" t="n">
        <x:v>4</x:v>
      </x:c>
      <x:c r="K4651" s="2" t="n">
        <x:v>3</x:v>
      </x:c>
      <x:c r="L4651" s="2" t="str">
        <x:v>Loyal</x:v>
      </x:c>
    </x:row>
    <x:row r="4652" ht="22" customHeight="1">
      <x:c r="A4652" s="2"/>
      <x:c r="B4652" s="2" t="str">
        <x:v>17008</x:v>
      </x:c>
      <x:c r="C4652" s="2" t="str">
        <x:v>United Kingdom</x:v>
      </x:c>
      <x:c r="D4652" s="25" t="n">
        <x:v>40457.42986111111</x:v>
      </x:c>
      <x:c r="E4652" s="25" t="n">
        <x:v>40457.42986111111</x:v>
      </x:c>
      <x:c r="F4652" s="2" t="n">
        <x:v>430</x:v>
      </x:c>
      <x:c r="G4652" s="2" t="n">
        <x:v>1</x:v>
      </x:c>
      <x:c r="H4652" s="11" t="n">
        <x:v>81.36</x:v>
      </x:c>
      <x:c r="I4652" s="2" t="n">
        <x:v>1</x:v>
      </x:c>
      <x:c r="J4652" s="2" t="n">
        <x:v>1</x:v>
      </x:c>
      <x:c r="K4652" s="2" t="n">
        <x:v>1</x:v>
      </x:c>
      <x:c r="L4652" s="2" t="str">
        <x:v>Hibernating</x:v>
      </x:c>
    </x:row>
    <x:row r="4653" ht="22" customHeight="1">
      <x:c r="A4653" s="2"/>
      <x:c r="B4653" s="2" t="str">
        <x:v>17009</x:v>
      </x:c>
      <x:c r="C4653" s="2" t="str">
        <x:v>United Kingdom</x:v>
      </x:c>
      <x:c r="D4653" s="25" t="n">
        <x:v>40335.459027777775</x:v>
      </x:c>
      <x:c r="E4653" s="25" t="n">
        <x:v>40335.459027777775</x:v>
      </x:c>
      <x:c r="F4653" s="2" t="n">
        <x:v>552</x:v>
      </x:c>
      <x:c r="G4653" s="2" t="n">
        <x:v>1</x:v>
      </x:c>
      <x:c r="H4653" s="11" t="n">
        <x:v>242.06</x:v>
      </x:c>
      <x:c r="I4653" s="2" t="n">
        <x:v>1</x:v>
      </x:c>
      <x:c r="J4653" s="2" t="n">
        <x:v>1</x:v>
      </x:c>
      <x:c r="K4653" s="2" t="n">
        <x:v>1</x:v>
      </x:c>
      <x:c r="L4653" s="2" t="str">
        <x:v>Hibernating</x:v>
      </x:c>
    </x:row>
    <x:row r="4654" ht="22" customHeight="1">
      <x:c r="A4654" s="2"/>
      <x:c r="B4654" s="2" t="str">
        <x:v>17010</x:v>
      </x:c>
      <x:c r="C4654" s="2" t="str">
        <x:v>United Kingdom</x:v>
      </x:c>
      <x:c r="D4654" s="25" t="n">
        <x:v>40868.40902777778</x:v>
      </x:c>
      <x:c r="E4654" s="25" t="n">
        <x:v>40868.40902777778</x:v>
      </x:c>
      <x:c r="F4654" s="2" t="n">
        <x:v>19</x:v>
      </x:c>
      <x:c r="G4654" s="2" t="n">
        <x:v>1</x:v>
      </x:c>
      <x:c r="H4654" s="11" t="n">
        <x:v>195.36</x:v>
      </x:c>
      <x:c r="I4654" s="2" t="n">
        <x:v>5</x:v>
      </x:c>
      <x:c r="J4654" s="2" t="n">
        <x:v>1</x:v>
      </x:c>
      <x:c r="K4654" s="2" t="n">
        <x:v>1</x:v>
      </x:c>
      <x:c r="L4654" s="2" t="str">
        <x:v>Recent light buyers</x:v>
      </x:c>
    </x:row>
    <x:row r="4655" ht="22" customHeight="1">
      <x:c r="A4655" s="2"/>
      <x:c r="B4655" s="2" t="str">
        <x:v>17011</x:v>
      </x:c>
      <x:c r="C4655" s="2" t="str">
        <x:v>United Kingdom</x:v>
      </x:c>
      <x:c r="D4655" s="25" t="n">
        <x:v>40235.19930555556</x:v>
      </x:c>
      <x:c r="E4655" s="25" t="n">
        <x:v>40856.354166666664</x:v>
      </x:c>
      <x:c r="F4655" s="2" t="n">
        <x:v>31</x:v>
      </x:c>
      <x:c r="G4655" s="2" t="n">
        <x:v>3</x:v>
      </x:c>
      <x:c r="H4655" s="11" t="n">
        <x:v>671.7</x:v>
      </x:c>
      <x:c r="I4655" s="2" t="n">
        <x:v>4</x:v>
      </x:c>
      <x:c r="J4655" s="2" t="n">
        <x:v>3</x:v>
      </x:c>
      <x:c r="K4655" s="2" t="n">
        <x:v>3</x:v>
      </x:c>
      <x:c r="L4655" s="2" t="str">
        <x:v>Loyal</x:v>
      </x:c>
    </x:row>
    <x:row r="4656" ht="22" customHeight="1">
      <x:c r="A4656" s="2"/>
      <x:c r="B4656" s="2" t="str">
        <x:v>17012</x:v>
      </x:c>
      <x:c r="C4656" s="2" t="str">
        <x:v>United Kingdom</x:v>
      </x:c>
      <x:c r="D4656" s="25" t="n">
        <x:v>40161.52361111111</x:v>
      </x:c>
      <x:c r="E4656" s="25" t="n">
        <x:v>40161.52361111111</x:v>
      </x:c>
      <x:c r="F4656" s="2" t="n">
        <x:v>726</x:v>
      </x:c>
      <x:c r="G4656" s="2" t="n">
        <x:v>1</x:v>
      </x:c>
      <x:c r="H4656" s="11" t="n">
        <x:v>384.16</x:v>
      </x:c>
      <x:c r="I4656" s="2" t="n">
        <x:v>1</x:v>
      </x:c>
      <x:c r="J4656" s="2" t="n">
        <x:v>1</x:v>
      </x:c>
      <x:c r="K4656" s="2" t="n">
        <x:v>2</x:v>
      </x:c>
      <x:c r="L4656" s="2" t="str">
        <x:v>Hibernating</x:v>
      </x:c>
    </x:row>
    <x:row r="4657" ht="22" customHeight="1">
      <x:c r="A4657" s="2"/>
      <x:c r="B4657" s="2" t="str">
        <x:v>17014</x:v>
      </x:c>
      <x:c r="C4657" s="2" t="str">
        <x:v>United Kingdom</x:v>
      </x:c>
      <x:c r="D4657" s="25" t="n">
        <x:v>40820.275</x:v>
      </x:c>
      <x:c r="E4657" s="25" t="n">
        <x:v>40878.38125</x:v>
      </x:c>
      <x:c r="F4657" s="2" t="n">
        <x:v>9</x:v>
      </x:c>
      <x:c r="G4657" s="2" t="n">
        <x:v>3</x:v>
      </x:c>
      <x:c r="H4657" s="11" t="n">
        <x:v>586.33</x:v>
      </x:c>
      <x:c r="I4657" s="2" t="n">
        <x:v>5</x:v>
      </x:c>
      <x:c r="J4657" s="2" t="n">
        <x:v>3</x:v>
      </x:c>
      <x:c r="K4657" s="2" t="n">
        <x:v>2</x:v>
      </x:c>
      <x:c r="L4657" s="2" t="str">
        <x:v>Loyal</x:v>
      </x:c>
    </x:row>
    <x:row r="4658" ht="22" customHeight="1">
      <x:c r="A4658" s="2"/>
      <x:c r="B4658" s="2" t="str">
        <x:v>17015</x:v>
      </x:c>
      <x:c r="C4658" s="2" t="str">
        <x:v>United Kingdom</x:v>
      </x:c>
      <x:c r="D4658" s="25" t="n">
        <x:v>40701.34652777778</x:v>
      </x:c>
      <x:c r="E4658" s="25" t="n">
        <x:v>40858.239583333336</x:v>
      </x:c>
      <x:c r="F4658" s="2" t="n">
        <x:v>29</x:v>
      </x:c>
      <x:c r="G4658" s="2" t="n">
        <x:v>3</x:v>
      </x:c>
      <x:c r="H4658" s="11" t="n">
        <x:v>1842.56</x:v>
      </x:c>
      <x:c r="I4658" s="2" t="n">
        <x:v>4</x:v>
      </x:c>
      <x:c r="J4658" s="2" t="n">
        <x:v>3</x:v>
      </x:c>
      <x:c r="K4658" s="2" t="n">
        <x:v>4</x:v>
      </x:c>
      <x:c r="L4658" s="2" t="str">
        <x:v>Loyal</x:v>
      </x:c>
    </x:row>
    <x:row r="4659" ht="22" customHeight="1">
      <x:c r="A4659" s="2"/>
      <x:c r="B4659" s="2" t="str">
        <x:v>17016</x:v>
      </x:c>
      <x:c r="C4659" s="2" t="str">
        <x:v>United Kingdom</x:v>
      </x:c>
      <x:c r="D4659" s="25" t="n">
        <x:v>40310.313888888886</x:v>
      </x:c>
      <x:c r="E4659" s="25" t="n">
        <x:v>40310.313888888886</x:v>
      </x:c>
      <x:c r="F4659" s="2" t="n">
        <x:v>577</x:v>
      </x:c>
      <x:c r="G4659" s="2" t="n">
        <x:v>1</x:v>
      </x:c>
      <x:c r="H4659" s="11" t="n">
        <x:v>552.4</x:v>
      </x:c>
      <x:c r="I4659" s="2" t="n">
        <x:v>1</x:v>
      </x:c>
      <x:c r="J4659" s="2" t="n">
        <x:v>1</x:v>
      </x:c>
      <x:c r="K4659" s="2" t="n">
        <x:v>2</x:v>
      </x:c>
      <x:c r="L4659" s="2" t="str">
        <x:v>Hibernating</x:v>
      </x:c>
    </x:row>
    <x:row r="4660" ht="22" customHeight="1">
      <x:c r="A4660" s="2"/>
      <x:c r="B4660" s="2" t="str">
        <x:v>17017</x:v>
      </x:c>
      <x:c r="C4660" s="2" t="str">
        <x:v>United Kingdom</x:v>
      </x:c>
      <x:c r="D4660" s="25" t="n">
        <x:v>40150.34861111111</x:v>
      </x:c>
      <x:c r="E4660" s="25" t="n">
        <x:v>40884.188888888886</x:v>
      </x:c>
      <x:c r="F4660" s="2" t="n">
        <x:v>3</x:v>
      </x:c>
      <x:c r="G4660" s="2" t="n">
        <x:v>29</x:v>
      </x:c>
      <x:c r="H4660" s="11" t="n">
        <x:v>12576.99</x:v>
      </x:c>
      <x:c r="I4660" s="2" t="n">
        <x:v>5</x:v>
      </x:c>
      <x:c r="J4660" s="2" t="n">
        <x:v>5</x:v>
      </x:c>
      <x:c r="K4660" s="2" t="n">
        <x:v>5</x:v>
      </x:c>
      <x:c r="L4660" s="2" t="str">
        <x:v>Champions</x:v>
      </x:c>
    </x:row>
    <x:row r="4661" ht="22" customHeight="1">
      <x:c r="A4661" s="2"/>
      <x:c r="B4661" s="2" t="str">
        <x:v>17018</x:v>
      </x:c>
      <x:c r="C4661" s="2" t="str">
        <x:v>United Kingdom</x:v>
      </x:c>
      <x:c r="D4661" s="25" t="n">
        <x:v>40152.22708333333</x:v>
      </x:c>
      <x:c r="E4661" s="25" t="n">
        <x:v>40846.27916666667</x:v>
      </x:c>
      <x:c r="F4661" s="2" t="n">
        <x:v>41</x:v>
      </x:c>
      <x:c r="G4661" s="2" t="n">
        <x:v>6</x:v>
      </x:c>
      <x:c r="H4661" s="11" t="n">
        <x:v>2287.7</x:v>
      </x:c>
      <x:c r="I4661" s="2" t="n">
        <x:v>4</x:v>
      </x:c>
      <x:c r="J4661" s="2" t="n">
        <x:v>4</x:v>
      </x:c>
      <x:c r="K4661" s="2" t="n">
        <x:v>4</x:v>
      </x:c>
      <x:c r="L4661" s="2" t="str">
        <x:v>Champions</x:v>
      </x:c>
    </x:row>
    <x:row r="4662" ht="22" customHeight="1">
      <x:c r="A4662" s="2"/>
      <x:c r="B4662" s="2" t="str">
        <x:v>17019</x:v>
      </x:c>
      <x:c r="C4662" s="2" t="str">
        <x:v>United Kingdom</x:v>
      </x:c>
      <x:c r="D4662" s="25" t="n">
        <x:v>40149.28611111111</x:v>
      </x:c>
      <x:c r="E4662" s="25" t="n">
        <x:v>40875.3375</x:v>
      </x:c>
      <x:c r="F4662" s="2" t="n">
        <x:v>12</x:v>
      </x:c>
      <x:c r="G4662" s="2" t="n">
        <x:v>11</x:v>
      </x:c>
      <x:c r="H4662" s="11" t="n">
        <x:v>3653.38</x:v>
      </x:c>
      <x:c r="I4662" s="2" t="n">
        <x:v>5</x:v>
      </x:c>
      <x:c r="J4662" s="2" t="n">
        <x:v>5</x:v>
      </x:c>
      <x:c r="K4662" s="2" t="n">
        <x:v>5</x:v>
      </x:c>
      <x:c r="L4662" s="2" t="str">
        <x:v>Champions</x:v>
      </x:c>
    </x:row>
    <x:row r="4663" ht="22" customHeight="1">
      <x:c r="A4663" s="2"/>
      <x:c r="B4663" s="2" t="str">
        <x:v>17020</x:v>
      </x:c>
      <x:c r="C4663" s="2" t="str">
        <x:v>United Kingdom</x:v>
      </x:c>
      <x:c r="D4663" s="25" t="n">
        <x:v>40240.31041666667</x:v>
      </x:c>
      <x:c r="E4663" s="25" t="n">
        <x:v>40344.3375</x:v>
      </x:c>
      <x:c r="F4663" s="2" t="n">
        <x:v>543</x:v>
      </x:c>
      <x:c r="G4663" s="2" t="n">
        <x:v>2</x:v>
      </x:c>
      <x:c r="H4663" s="11" t="n">
        <x:v>935.62</x:v>
      </x:c>
      <x:c r="I4663" s="2" t="n">
        <x:v>1</x:v>
      </x:c>
      <x:c r="J4663" s="2" t="n">
        <x:v>2</x:v>
      </x:c>
      <x:c r="K4663" s="2" t="n">
        <x:v>3</x:v>
      </x:c>
      <x:c r="L4663" s="2" t="str">
        <x:v>Hibernating</x:v>
      </x:c>
    </x:row>
    <x:row r="4664" ht="22" customHeight="1">
      <x:c r="A4664" s="2"/>
      <x:c r="B4664" s="2" t="str">
        <x:v>17021</x:v>
      </x:c>
      <x:c r="C4664" s="2" t="str">
        <x:v>United Kingdom</x:v>
      </x:c>
      <x:c r="D4664" s="25" t="n">
        <x:v>40297.62847222222</x:v>
      </x:c>
      <x:c r="E4664" s="25" t="n">
        <x:v>40444.62569444445</x:v>
      </x:c>
      <x:c r="F4664" s="2" t="n">
        <x:v>443</x:v>
      </x:c>
      <x:c r="G4664" s="2" t="n">
        <x:v>6</x:v>
      </x:c>
      <x:c r="H4664" s="11" t="n">
        <x:v>1182.22</x:v>
      </x:c>
      <x:c r="I4664" s="2" t="n">
        <x:v>1</x:v>
      </x:c>
      <x:c r="J4664" s="2" t="n">
        <x:v>4</x:v>
      </x:c>
      <x:c r="K4664" s="2" t="n">
        <x:v>3</x:v>
      </x:c>
      <x:c r="L4664" s="2" t="str">
        <x:v>At risk</x:v>
      </x:c>
    </x:row>
    <x:row r="4665" ht="22" customHeight="1">
      <x:c r="A4665" s="2"/>
      <x:c r="B4665" s="2" t="str">
        <x:v>17022</x:v>
      </x:c>
      <x:c r="C4665" s="2" t="str">
        <x:v>United Kingdom</x:v>
      </x:c>
      <x:c r="D4665" s="25" t="n">
        <x:v>40454.22708333333</x:v>
      </x:c>
      <x:c r="E4665" s="25" t="n">
        <x:v>40855.50625</x:v>
      </x:c>
      <x:c r="F4665" s="2" t="n">
        <x:v>32</x:v>
      </x:c>
      <x:c r="G4665" s="2" t="n">
        <x:v>2</x:v>
      </x:c>
      <x:c r="H4665" s="11" t="n">
        <x:v>260</x:v>
      </x:c>
      <x:c r="I4665" s="2" t="n">
        <x:v>4</x:v>
      </x:c>
      <x:c r="J4665" s="2" t="n">
        <x:v>2</x:v>
      </x:c>
      <x:c r="K4665" s="2" t="n">
        <x:v>1</x:v>
      </x:c>
      <x:c r="L4665" s="2" t="str">
        <x:v>Recent light buyers</x:v>
      </x:c>
    </x:row>
    <x:row r="4666" ht="22" customHeight="1">
      <x:c r="A4666" s="2"/>
      <x:c r="B4666" s="2" t="str">
        <x:v>17023</x:v>
      </x:c>
      <x:c r="C4666" s="2" t="str">
        <x:v>United Kingdom</x:v>
      </x:c>
      <x:c r="D4666" s="25" t="n">
        <x:v>40189.42291666667</x:v>
      </x:c>
      <x:c r="E4666" s="25" t="n">
        <x:v>40469.44236111111</x:v>
      </x:c>
      <x:c r="F4666" s="2" t="n">
        <x:v>418</x:v>
      </x:c>
      <x:c r="G4666" s="2" t="n">
        <x:v>3</x:v>
      </x:c>
      <x:c r="H4666" s="11" t="n">
        <x:v>800.18</x:v>
      </x:c>
      <x:c r="I4666" s="2" t="n">
        <x:v>1</x:v>
      </x:c>
      <x:c r="J4666" s="2" t="n">
        <x:v>3</x:v>
      </x:c>
      <x:c r="K4666" s="2" t="n">
        <x:v>3</x:v>
      </x:c>
      <x:c r="L4666" s="2" t="str">
        <x:v>At risk</x:v>
      </x:c>
    </x:row>
    <x:row r="4667" ht="22" customHeight="1">
      <x:c r="A4667" s="2"/>
      <x:c r="B4667" s="2" t="str">
        <x:v>17024</x:v>
      </x:c>
      <x:c r="C4667" s="2" t="str">
        <x:v>United Kingdom</x:v>
      </x:c>
      <x:c r="D4667" s="25" t="n">
        <x:v>40729.18819444445</x:v>
      </x:c>
      <x:c r="E4667" s="25" t="n">
        <x:v>40841.36597222222</x:v>
      </x:c>
      <x:c r="F4667" s="2" t="n">
        <x:v>46</x:v>
      </x:c>
      <x:c r="G4667" s="2" t="n">
        <x:v>3</x:v>
      </x:c>
      <x:c r="H4667" s="11" t="n">
        <x:v>95.85</x:v>
      </x:c>
      <x:c r="I4667" s="2" t="n">
        <x:v>4</x:v>
      </x:c>
      <x:c r="J4667" s="2" t="n">
        <x:v>3</x:v>
      </x:c>
      <x:c r="K4667" s="2" t="n">
        <x:v>1</x:v>
      </x:c>
      <x:c r="L4667" s="2" t="str">
        <x:v>Loyal</x:v>
      </x:c>
    </x:row>
    <x:row r="4668" ht="22" customHeight="1">
      <x:c r="A4668" s="2"/>
      <x:c r="B4668" s="2" t="str">
        <x:v>17025</x:v>
      </x:c>
      <x:c r="C4668" s="2" t="str">
        <x:v>United Kingdom</x:v>
      </x:c>
      <x:c r="D4668" s="25" t="n">
        <x:v>40245.35902777778</x:v>
      </x:c>
      <x:c r="E4668" s="25" t="n">
        <x:v>40826.17083333333</x:v>
      </x:c>
      <x:c r="F4668" s="2" t="n">
        <x:v>61</x:v>
      </x:c>
      <x:c r="G4668" s="2" t="n">
        <x:v>5</x:v>
      </x:c>
      <x:c r="H4668" s="11" t="n">
        <x:v>1349.67</x:v>
      </x:c>
      <x:c r="I4668" s="2" t="n">
        <x:v>3</x:v>
      </x:c>
      <x:c r="J4668" s="2" t="n">
        <x:v>4</x:v>
      </x:c>
      <x:c r="K4668" s="2" t="n">
        <x:v>4</x:v>
      </x:c>
      <x:c r="L4668" s="2" t="str">
        <x:v>Loyal</x:v>
      </x:c>
    </x:row>
    <x:row r="4669" ht="22" customHeight="1">
      <x:c r="A4669" s="2"/>
      <x:c r="B4669" s="2" t="str">
        <x:v>17026</x:v>
      </x:c>
      <x:c r="C4669" s="2" t="str">
        <x:v>United Kingdom</x:v>
      </x:c>
      <x:c r="D4669" s="25" t="n">
        <x:v>40469.43194444444</x:v>
      </x:c>
      <x:c r="E4669" s="25" t="n">
        <x:v>40701.39444444444</x:v>
      </x:c>
      <x:c r="F4669" s="2" t="n">
        <x:v>186</x:v>
      </x:c>
      <x:c r="G4669" s="2" t="n">
        <x:v>3</x:v>
      </x:c>
      <x:c r="H4669" s="11" t="n">
        <x:v>175.83</x:v>
      </x:c>
      <x:c r="I4669" s="2" t="n">
        <x:v>3</x:v>
      </x:c>
      <x:c r="J4669" s="2" t="n">
        <x:v>3</x:v>
      </x:c>
      <x:c r="K4669" s="2" t="n">
        <x:v>1</x:v>
      </x:c>
      <x:c r="L4669" s="2" t="str">
        <x:v>Loyal</x:v>
      </x:c>
    </x:row>
    <x:row r="4670" ht="22" customHeight="1">
      <x:c r="A4670" s="2"/>
      <x:c r="B4670" s="2" t="str">
        <x:v>17027</x:v>
      </x:c>
      <x:c r="C4670" s="2" t="str">
        <x:v>United Kingdom</x:v>
      </x:c>
      <x:c r="D4670" s="25" t="n">
        <x:v>40157.29861111111</x:v>
      </x:c>
      <x:c r="E4670" s="25" t="n">
        <x:v>40808.308333333334</x:v>
      </x:c>
      <x:c r="F4670" s="2" t="n">
        <x:v>79</x:v>
      </x:c>
      <x:c r="G4670" s="2" t="n">
        <x:v>9</x:v>
      </x:c>
      <x:c r="H4670" s="11" t="n">
        <x:v>1327.11</x:v>
      </x:c>
      <x:c r="I4670" s="2" t="n">
        <x:v>3</x:v>
      </x:c>
      <x:c r="J4670" s="2" t="n">
        <x:v>5</x:v>
      </x:c>
      <x:c r="K4670" s="2" t="n">
        <x:v>4</x:v>
      </x:c>
      <x:c r="L4670" s="2" t="str">
        <x:v>Loyal</x:v>
      </x:c>
    </x:row>
    <x:row r="4671" ht="22" customHeight="1">
      <x:c r="A4671" s="2"/>
      <x:c r="B4671" s="2" t="str">
        <x:v>17028</x:v>
      </x:c>
      <x:c r="C4671" s="2" t="str">
        <x:v>United Kingdom</x:v>
      </x:c>
      <x:c r="D4671" s="25" t="n">
        <x:v>40165.39444444444</x:v>
      </x:c>
      <x:c r="E4671" s="25" t="n">
        <x:v>40305.43958333333</x:v>
      </x:c>
      <x:c r="F4671" s="2" t="n">
        <x:v>582</x:v>
      </x:c>
      <x:c r="G4671" s="2" t="n">
        <x:v>3</x:v>
      </x:c>
      <x:c r="H4671" s="11" t="n">
        <x:v>1593.83</x:v>
      </x:c>
      <x:c r="I4671" s="2" t="n">
        <x:v>1</x:v>
      </x:c>
      <x:c r="J4671" s="2" t="n">
        <x:v>3</x:v>
      </x:c>
      <x:c r="K4671" s="2" t="n">
        <x:v>4</x:v>
      </x:c>
      <x:c r="L4671" s="2" t="str">
        <x:v>At risk</x:v>
      </x:c>
    </x:row>
    <x:row r="4672" ht="22" customHeight="1">
      <x:c r="A4672" s="2"/>
      <x:c r="B4672" s="2" t="str">
        <x:v>17029</x:v>
      </x:c>
      <x:c r="C4672" s="2" t="str">
        <x:v>United Kingdom</x:v>
      </x:c>
      <x:c r="D4672" s="25" t="n">
        <x:v>40223.22152777778</x:v>
      </x:c>
      <x:c r="E4672" s="25" t="n">
        <x:v>40776.254166666666</x:v>
      </x:c>
      <x:c r="F4672" s="2" t="n">
        <x:v>111</x:v>
      </x:c>
      <x:c r="G4672" s="2" t="n">
        <x:v>7</x:v>
      </x:c>
      <x:c r="H4672" s="11" t="n">
        <x:v>2137.3</x:v>
      </x:c>
      <x:c r="I4672" s="2" t="n">
        <x:v>3</x:v>
      </x:c>
      <x:c r="J4672" s="2" t="n">
        <x:v>4</x:v>
      </x:c>
      <x:c r="K4672" s="2" t="n">
        <x:v>4</x:v>
      </x:c>
      <x:c r="L4672" s="2" t="str">
        <x:v>Loyal</x:v>
      </x:c>
    </x:row>
    <x:row r="4673" ht="22" customHeight="1">
      <x:c r="A4673" s="2"/>
      <x:c r="B4673" s="2" t="str">
        <x:v>17030</x:v>
      </x:c>
      <x:c r="C4673" s="2" t="str">
        <x:v>United Kingdom</x:v>
      </x:c>
      <x:c r="D4673" s="25" t="n">
        <x:v>40823.15902777778</x:v>
      </x:c>
      <x:c r="E4673" s="25" t="n">
        <x:v>40823.15902777778</x:v>
      </x:c>
      <x:c r="F4673" s="2" t="n">
        <x:v>64</x:v>
      </x:c>
      <x:c r="G4673" s="2" t="n">
        <x:v>1</x:v>
      </x:c>
      <x:c r="H4673" s="11" t="n">
        <x:v>146.87</x:v>
      </x:c>
      <x:c r="I4673" s="2" t="n">
        <x:v>3</x:v>
      </x:c>
      <x:c r="J4673" s="2" t="n">
        <x:v>1</x:v>
      </x:c>
      <x:c r="K4673" s="2" t="n">
        <x:v>1</x:v>
      </x:c>
      <x:c r="L4673" s="2" t="str">
        <x:v>Developing</x:v>
      </x:c>
    </x:row>
    <x:row r="4674" ht="22" customHeight="1">
      <x:c r="A4674" s="2"/>
      <x:c r="B4674" s="2" t="str">
        <x:v>17031</x:v>
      </x:c>
      <x:c r="C4674" s="2" t="str">
        <x:v>United Kingdom</x:v>
      </x:c>
      <x:c r="D4674" s="25" t="n">
        <x:v>40305.41111111111</x:v>
      </x:c>
      <x:c r="E4674" s="25" t="n">
        <x:v>40875.22430555556</x:v>
      </x:c>
      <x:c r="F4674" s="2" t="n">
        <x:v>12</x:v>
      </x:c>
      <x:c r="G4674" s="2" t="n">
        <x:v>6</x:v>
      </x:c>
      <x:c r="H4674" s="11" t="n">
        <x:v>2773.85</x:v>
      </x:c>
      <x:c r="I4674" s="2" t="n">
        <x:v>5</x:v>
      </x:c>
      <x:c r="J4674" s="2" t="n">
        <x:v>4</x:v>
      </x:c>
      <x:c r="K4674" s="2" t="n">
        <x:v>4</x:v>
      </x:c>
      <x:c r="L4674" s="2" t="str">
        <x:v>Champions</x:v>
      </x:c>
    </x:row>
    <x:row r="4675" ht="22" customHeight="1">
      <x:c r="A4675" s="2"/>
      <x:c r="B4675" s="2" t="str">
        <x:v>17032</x:v>
      </x:c>
      <x:c r="C4675" s="2" t="str">
        <x:v>United Kingdom</x:v>
      </x:c>
      <x:c r="D4675" s="25" t="n">
        <x:v>40157.441666666666</x:v>
      </x:c>
      <x:c r="E4675" s="25" t="n">
        <x:v>40339.302777777775</x:v>
      </x:c>
      <x:c r="F4675" s="2" t="n">
        <x:v>548</x:v>
      </x:c>
      <x:c r="G4675" s="2" t="n">
        <x:v>8</x:v>
      </x:c>
      <x:c r="H4675" s="11" t="n">
        <x:v>3004.6</x:v>
      </x:c>
      <x:c r="I4675" s="2" t="n">
        <x:v>1</x:v>
      </x:c>
      <x:c r="J4675" s="2" t="n">
        <x:v>4</x:v>
      </x:c>
      <x:c r="K4675" s="2" t="n">
        <x:v>5</x:v>
      </x:c>
      <x:c r="L4675" s="2" t="str">
        <x:v>At risk</x:v>
      </x:c>
    </x:row>
    <x:row r="4676" ht="22" customHeight="1">
      <x:c r="A4676" s="2"/>
      <x:c r="B4676" s="2" t="str">
        <x:v>17033</x:v>
      </x:c>
      <x:c r="C4676" s="2" t="str">
        <x:v>United Kingdom</x:v>
      </x:c>
      <x:c r="D4676" s="25" t="n">
        <x:v>40489.32986111111</x:v>
      </x:c>
      <x:c r="E4676" s="25" t="n">
        <x:v>40800.39861111111</x:v>
      </x:c>
      <x:c r="F4676" s="2" t="n">
        <x:v>87</x:v>
      </x:c>
      <x:c r="G4676" s="2" t="n">
        <x:v>4</x:v>
      </x:c>
      <x:c r="H4676" s="11" t="n">
        <x:v>1332.79</x:v>
      </x:c>
      <x:c r="I4676" s="2" t="n">
        <x:v>3</x:v>
      </x:c>
      <x:c r="J4676" s="2" t="n">
        <x:v>3</x:v>
      </x:c>
      <x:c r="K4676" s="2" t="n">
        <x:v>4</x:v>
      </x:c>
      <x:c r="L4676" s="2" t="str">
        <x:v>Loyal</x:v>
      </x:c>
    </x:row>
    <x:row r="4677" ht="22" customHeight="1">
      <x:c r="A4677" s="2"/>
      <x:c r="B4677" s="2" t="str">
        <x:v>17034</x:v>
      </x:c>
      <x:c r="C4677" s="2" t="str">
        <x:v>United Kingdom</x:v>
      </x:c>
      <x:c r="D4677" s="25" t="n">
        <x:v>40373.32986111111</x:v>
      </x:c>
      <x:c r="E4677" s="25" t="n">
        <x:v>40870.42638888889</x:v>
      </x:c>
      <x:c r="F4677" s="2" t="n">
        <x:v>17</x:v>
      </x:c>
      <x:c r="G4677" s="2" t="n">
        <x:v>5</x:v>
      </x:c>
      <x:c r="H4677" s="11" t="n">
        <x:v>1283.92</x:v>
      </x:c>
      <x:c r="I4677" s="2" t="n">
        <x:v>5</x:v>
      </x:c>
      <x:c r="J4677" s="2" t="n">
        <x:v>4</x:v>
      </x:c>
      <x:c r="K4677" s="2" t="n">
        <x:v>4</x:v>
      </x:c>
      <x:c r="L4677" s="2" t="str">
        <x:v>Champions</x:v>
      </x:c>
    </x:row>
    <x:row r="4678" ht="22" customHeight="1">
      <x:c r="A4678" s="2"/>
      <x:c r="B4678" s="2" t="str">
        <x:v>17035</x:v>
      </x:c>
      <x:c r="C4678" s="2" t="str">
        <x:v>United Kingdom</x:v>
      </x:c>
      <x:c r="D4678" s="25" t="n">
        <x:v>40150.23402777778</x:v>
      </x:c>
      <x:c r="E4678" s="25" t="n">
        <x:v>40641.26597222222</x:v>
      </x:c>
      <x:c r="F4678" s="2" t="n">
        <x:v>246</x:v>
      </x:c>
      <x:c r="G4678" s="2" t="n">
        <x:v>4</x:v>
      </x:c>
      <x:c r="H4678" s="11" t="n">
        <x:v>613.59</x:v>
      </x:c>
      <x:c r="I4678" s="2" t="n">
        <x:v>2</x:v>
      </x:c>
      <x:c r="J4678" s="2" t="n">
        <x:v>3</x:v>
      </x:c>
      <x:c r="K4678" s="2" t="n">
        <x:v>3</x:v>
      </x:c>
      <x:c r="L4678" s="2" t="str">
        <x:v>At risk</x:v>
      </x:c>
    </x:row>
    <x:row r="4679" ht="22" customHeight="1">
      <x:c r="A4679" s="2"/>
      <x:c r="B4679" s="2" t="str">
        <x:v>17036</x:v>
      </x:c>
      <x:c r="C4679" s="2" t="str">
        <x:v>United Kingdom</x:v>
      </x:c>
      <x:c r="D4679" s="25" t="n">
        <x:v>40503.393055555556</x:v>
      </x:c>
      <x:c r="E4679" s="25" t="n">
        <x:v>40503.393055555556</x:v>
      </x:c>
      <x:c r="F4679" s="2" t="n">
        <x:v>384</x:v>
      </x:c>
      <x:c r="G4679" s="2" t="n">
        <x:v>1</x:v>
      </x:c>
      <x:c r="H4679" s="11" t="n">
        <x:v>176.9</x:v>
      </x:c>
      <x:c r="I4679" s="2" t="n">
        <x:v>2</x:v>
      </x:c>
      <x:c r="J4679" s="2" t="n">
        <x:v>1</x:v>
      </x:c>
      <x:c r="K4679" s="2" t="n">
        <x:v>1</x:v>
      </x:c>
      <x:c r="L4679" s="2" t="str">
        <x:v>Hibernating</x:v>
      </x:c>
    </x:row>
    <x:row r="4680" ht="22" customHeight="1">
      <x:c r="A4680" s="2"/>
      <x:c r="B4680" s="2" t="str">
        <x:v>17037</x:v>
      </x:c>
      <x:c r="C4680" s="2" t="str">
        <x:v>United Kingdom</x:v>
      </x:c>
      <x:c r="D4680" s="25" t="n">
        <x:v>40799.325694444444</x:v>
      </x:c>
      <x:c r="E4680" s="25" t="n">
        <x:v>40799.325694444444</x:v>
      </x:c>
      <x:c r="F4680" s="2" t="n">
        <x:v>88</x:v>
      </x:c>
      <x:c r="G4680" s="2" t="n">
        <x:v>1</x:v>
      </x:c>
      <x:c r="H4680" s="11" t="n">
        <x:v>1267.32</x:v>
      </x:c>
      <x:c r="I4680" s="2" t="n">
        <x:v>3</x:v>
      </x:c>
      <x:c r="J4680" s="2" t="n">
        <x:v>1</x:v>
      </x:c>
      <x:c r="K4680" s="2" t="n">
        <x:v>4</x:v>
      </x:c>
      <x:c r="L4680" s="2" t="str">
        <x:v>Developing</x:v>
      </x:c>
    </x:row>
    <x:row r="4681" ht="22" customHeight="1">
      <x:c r="A4681" s="2"/>
      <x:c r="B4681" s="2" t="str">
        <x:v>17038</x:v>
      </x:c>
      <x:c r="C4681" s="2" t="str">
        <x:v>United Kingdom</x:v>
      </x:c>
      <x:c r="D4681" s="25" t="n">
        <x:v>40471.46111111111</x:v>
      </x:c>
      <x:c r="E4681" s="25" t="n">
        <x:v>40856.368055555555</x:v>
      </x:c>
      <x:c r="F4681" s="2" t="n">
        <x:v>31</x:v>
      </x:c>
      <x:c r="G4681" s="2" t="n">
        <x:v>2</x:v>
      </x:c>
      <x:c r="H4681" s="11" t="n">
        <x:v>743.17</x:v>
      </x:c>
      <x:c r="I4681" s="2" t="n">
        <x:v>4</x:v>
      </x:c>
      <x:c r="J4681" s="2" t="n">
        <x:v>2</x:v>
      </x:c>
      <x:c r="K4681" s="2" t="n">
        <x:v>3</x:v>
      </x:c>
      <x:c r="L4681" s="2" t="str">
        <x:v>Recent light buyers</x:v>
      </x:c>
    </x:row>
    <x:row r="4682" ht="22" customHeight="1">
      <x:c r="A4682" s="2"/>
      <x:c r="B4682" s="2" t="str">
        <x:v>17039</x:v>
      </x:c>
      <x:c r="C4682" s="2" t="str">
        <x:v>United Kingdom</x:v>
      </x:c>
      <x:c r="D4682" s="25" t="n">
        <x:v>40282.330555555556</x:v>
      </x:c>
      <x:c r="E4682" s="25" t="n">
        <x:v>40282.330555555556</x:v>
      </x:c>
      <x:c r="F4682" s="2" t="n">
        <x:v>605</x:v>
      </x:c>
      <x:c r="G4682" s="2" t="n">
        <x:v>1</x:v>
      </x:c>
      <x:c r="H4682" s="11" t="n">
        <x:v>1954.99</x:v>
      </x:c>
      <x:c r="I4682" s="2" t="n">
        <x:v>1</x:v>
      </x:c>
      <x:c r="J4682" s="2" t="n">
        <x:v>1</x:v>
      </x:c>
      <x:c r="K4682" s="2" t="n">
        <x:v>4</x:v>
      </x:c>
      <x:c r="L4682" s="2" t="str">
        <x:v>Hibernating</x:v>
      </x:c>
    </x:row>
    <x:row r="4683" ht="22" customHeight="1">
      <x:c r="A4683" s="2"/>
      <x:c r="B4683" s="2" t="str">
        <x:v>17040</x:v>
      </x:c>
      <x:c r="C4683" s="2" t="str">
        <x:v>United Kingdom</x:v>
      </x:c>
      <x:c r="D4683" s="25" t="n">
        <x:v>40336.42222222222</x:v>
      </x:c>
      <x:c r="E4683" s="25" t="n">
        <x:v>40749.22152777778</x:v>
      </x:c>
      <x:c r="F4683" s="2" t="n">
        <x:v>138</x:v>
      </x:c>
      <x:c r="G4683" s="2" t="n">
        <x:v>2</x:v>
      </x:c>
      <x:c r="H4683" s="11" t="n">
        <x:v>463.25</x:v>
      </x:c>
      <x:c r="I4683" s="2" t="n">
        <x:v>3</x:v>
      </x:c>
      <x:c r="J4683" s="2" t="n">
        <x:v>2</x:v>
      </x:c>
      <x:c r="K4683" s="2" t="n">
        <x:v>2</x:v>
      </x:c>
      <x:c r="L4683" s="2" t="str">
        <x:v>Developing</x:v>
      </x:c>
    </x:row>
    <x:row r="4684" ht="22" customHeight="1">
      <x:c r="A4684" s="2"/>
      <x:c r="B4684" s="2" t="str">
        <x:v>17041</x:v>
      </x:c>
      <x:c r="C4684" s="2" t="str">
        <x:v>United Kingdom</x:v>
      </x:c>
      <x:c r="D4684" s="25" t="n">
        <x:v>40286.39236111111</x:v>
      </x:c>
      <x:c r="E4684" s="25" t="n">
        <x:v>40860.26458333333</x:v>
      </x:c>
      <x:c r="F4684" s="2" t="n">
        <x:v>27</x:v>
      </x:c>
      <x:c r="G4684" s="2" t="n">
        <x:v>6</x:v>
      </x:c>
      <x:c r="H4684" s="11" t="n">
        <x:v>1686.28</x:v>
      </x:c>
      <x:c r="I4684" s="2" t="n">
        <x:v>4</x:v>
      </x:c>
      <x:c r="J4684" s="2" t="n">
        <x:v>4</x:v>
      </x:c>
      <x:c r="K4684" s="2" t="n">
        <x:v>4</x:v>
      </x:c>
      <x:c r="L4684" s="2" t="str">
        <x:v>Champions</x:v>
      </x:c>
    </x:row>
    <x:row r="4685" ht="22" customHeight="1">
      <x:c r="A4685" s="2"/>
      <x:c r="B4685" s="2" t="str">
        <x:v>17042</x:v>
      </x:c>
      <x:c r="C4685" s="2" t="str">
        <x:v>United Kingdom</x:v>
      </x:c>
      <x:c r="D4685" s="25" t="n">
        <x:v>40639.41180555556</x:v>
      </x:c>
      <x:c r="E4685" s="25" t="n">
        <x:v>40884.30972222222</x:v>
      </x:c>
      <x:c r="F4685" s="2" t="n">
        <x:v>3</x:v>
      </x:c>
      <x:c r="G4685" s="2" t="n">
        <x:v>5</x:v>
      </x:c>
      <x:c r="H4685" s="11" t="n">
        <x:v>1044.38</x:v>
      </x:c>
      <x:c r="I4685" s="2" t="n">
        <x:v>5</x:v>
      </x:c>
      <x:c r="J4685" s="2" t="n">
        <x:v>4</x:v>
      </x:c>
      <x:c r="K4685" s="2" t="n">
        <x:v>3</x:v>
      </x:c>
      <x:c r="L4685" s="2" t="str">
        <x:v>Loyal</x:v>
      </x:c>
    </x:row>
    <x:row r="4686" ht="22" customHeight="1">
      <x:c r="A4686" s="2"/>
      <x:c r="B4686" s="2" t="str">
        <x:v>17043</x:v>
      </x:c>
      <x:c r="C4686" s="2" t="str">
        <x:v>United Kingdom</x:v>
      </x:c>
      <x:c r="D4686" s="25" t="n">
        <x:v>40156.430555555555</x:v>
      </x:c>
      <x:c r="E4686" s="25" t="n">
        <x:v>40854.43958333333</x:v>
      </x:c>
      <x:c r="F4686" s="2" t="n">
        <x:v>33</x:v>
      </x:c>
      <x:c r="G4686" s="2" t="n">
        <x:v>8</x:v>
      </x:c>
      <x:c r="H4686" s="11" t="n">
        <x:v>2616.55</x:v>
      </x:c>
      <x:c r="I4686" s="2" t="n">
        <x:v>4</x:v>
      </x:c>
      <x:c r="J4686" s="2" t="n">
        <x:v>4</x:v>
      </x:c>
      <x:c r="K4686" s="2" t="n">
        <x:v>4</x:v>
      </x:c>
      <x:c r="L4686" s="2" t="str">
        <x:v>Champions</x:v>
      </x:c>
    </x:row>
    <x:row r="4687" ht="22" customHeight="1">
      <x:c r="A4687" s="2"/>
      <x:c r="B4687" s="2" t="str">
        <x:v>17044</x:v>
      </x:c>
      <x:c r="C4687" s="2" t="str">
        <x:v>United Kingdom</x:v>
      </x:c>
      <x:c r="D4687" s="25" t="n">
        <x:v>40154.30902777778</x:v>
      </x:c>
      <x:c r="E4687" s="25" t="n">
        <x:v>40861.39444444444</x:v>
      </x:c>
      <x:c r="F4687" s="2" t="n">
        <x:v>26</x:v>
      </x:c>
      <x:c r="G4687" s="2" t="n">
        <x:v>12</x:v>
      </x:c>
      <x:c r="H4687" s="11" t="n">
        <x:v>11962.3</x:v>
      </x:c>
      <x:c r="I4687" s="2" t="n">
        <x:v>4</x:v>
      </x:c>
      <x:c r="J4687" s="2" t="n">
        <x:v>5</x:v>
      </x:c>
      <x:c r="K4687" s="2" t="n">
        <x:v>5</x:v>
      </x:c>
      <x:c r="L4687" s="2" t="str">
        <x:v>Champions</x:v>
      </x:c>
    </x:row>
    <x:row r="4688" ht="22" customHeight="1">
      <x:c r="A4688" s="2"/>
      <x:c r="B4688" s="2" t="str">
        <x:v>17045</x:v>
      </x:c>
      <x:c r="C4688" s="2" t="str">
        <x:v>United Kingdom</x:v>
      </x:c>
      <x:c r="D4688" s="25" t="n">
        <x:v>40457.41111111111</x:v>
      </x:c>
      <x:c r="E4688" s="25" t="n">
        <x:v>40773.50625</x:v>
      </x:c>
      <x:c r="F4688" s="2" t="n">
        <x:v>114</x:v>
      </x:c>
      <x:c r="G4688" s="2" t="n">
        <x:v>5</x:v>
      </x:c>
      <x:c r="H4688" s="11" t="n">
        <x:v>827.68</x:v>
      </x:c>
      <x:c r="I4688" s="2" t="n">
        <x:v>3</x:v>
      </x:c>
      <x:c r="J4688" s="2" t="n">
        <x:v>4</x:v>
      </x:c>
      <x:c r="K4688" s="2" t="n">
        <x:v>3</x:v>
      </x:c>
      <x:c r="L4688" s="2" t="str">
        <x:v>Loyal</x:v>
      </x:c>
    </x:row>
    <x:row r="4689" ht="22" customHeight="1">
      <x:c r="A4689" s="2"/>
      <x:c r="B4689" s="2" t="str">
        <x:v>17046</x:v>
      </x:c>
      <x:c r="C4689" s="2" t="str">
        <x:v>United Kingdom</x:v>
      </x:c>
      <x:c r="D4689" s="25" t="n">
        <x:v>40266.365277777775</x:v>
      </x:c>
      <x:c r="E4689" s="25" t="n">
        <x:v>40729.39166666667</x:v>
      </x:c>
      <x:c r="F4689" s="2" t="n">
        <x:v>158</x:v>
      </x:c>
      <x:c r="G4689" s="2" t="n">
        <x:v>5</x:v>
      </x:c>
      <x:c r="H4689" s="11" t="n">
        <x:v>1906.07</x:v>
      </x:c>
      <x:c r="I4689" s="2" t="n">
        <x:v>3</x:v>
      </x:c>
      <x:c r="J4689" s="2" t="n">
        <x:v>4</x:v>
      </x:c>
      <x:c r="K4689" s="2" t="n">
        <x:v>4</x:v>
      </x:c>
      <x:c r="L4689" s="2" t="str">
        <x:v>Loyal</x:v>
      </x:c>
    </x:row>
    <x:row r="4690" ht="22" customHeight="1">
      <x:c r="A4690" s="2"/>
      <x:c r="B4690" s="2" t="str">
        <x:v>17047</x:v>
      </x:c>
      <x:c r="C4690" s="2" t="str">
        <x:v>United Kingdom</x:v>
      </x:c>
      <x:c r="D4690" s="25" t="n">
        <x:v>40155.15833333333</x:v>
      </x:c>
      <x:c r="E4690" s="25" t="n">
        <x:v>40801.35208333333</x:v>
      </x:c>
      <x:c r="F4690" s="2" t="n">
        <x:v>86</x:v>
      </x:c>
      <x:c r="G4690" s="2" t="n">
        <x:v>6</x:v>
      </x:c>
      <x:c r="H4690" s="11" t="n">
        <x:v>2289.23</x:v>
      </x:c>
      <x:c r="I4690" s="2" t="n">
        <x:v>3</x:v>
      </x:c>
      <x:c r="J4690" s="2" t="n">
        <x:v>4</x:v>
      </x:c>
      <x:c r="K4690" s="2" t="n">
        <x:v>4</x:v>
      </x:c>
      <x:c r="L4690" s="2" t="str">
        <x:v>Loyal</x:v>
      </x:c>
    </x:row>
    <x:row r="4691" ht="22" customHeight="1">
      <x:c r="A4691" s="2"/>
      <x:c r="B4691" s="2" t="str">
        <x:v>17048</x:v>
      </x:c>
      <x:c r="C4691" s="2" t="str">
        <x:v>United Kingdom</x:v>
      </x:c>
      <x:c r="D4691" s="25" t="n">
        <x:v>40196.37152777778</x:v>
      </x:c>
      <x:c r="E4691" s="25" t="n">
        <x:v>40769.28402777778</x:v>
      </x:c>
      <x:c r="F4691" s="2" t="n">
        <x:v>118</x:v>
      </x:c>
      <x:c r="G4691" s="2" t="n">
        <x:v>7</x:v>
      </x:c>
      <x:c r="H4691" s="11" t="n">
        <x:v>2071.68</x:v>
      </x:c>
      <x:c r="I4691" s="2" t="n">
        <x:v>3</x:v>
      </x:c>
      <x:c r="J4691" s="2" t="n">
        <x:v>4</x:v>
      </x:c>
      <x:c r="K4691" s="2" t="n">
        <x:v>4</x:v>
      </x:c>
      <x:c r="L4691" s="2" t="str">
        <x:v>Loyal</x:v>
      </x:c>
    </x:row>
    <x:row r="4692" ht="22" customHeight="1">
      <x:c r="A4692" s="2"/>
      <x:c r="B4692" s="2" t="str">
        <x:v>17049</x:v>
      </x:c>
      <x:c r="C4692" s="2" t="str">
        <x:v>United Kingdom</x:v>
      </x:c>
      <x:c r="D4692" s="25" t="n">
        <x:v>40241.22430555556</x:v>
      </x:c>
      <x:c r="E4692" s="25" t="n">
        <x:v>40884.24166666667</x:v>
      </x:c>
      <x:c r="F4692" s="2" t="n">
        <x:v>3</x:v>
      </x:c>
      <x:c r="G4692" s="2" t="n">
        <x:v>19</x:v>
      </x:c>
      <x:c r="H4692" s="11" t="n">
        <x:v>9947.48</x:v>
      </x:c>
      <x:c r="I4692" s="2" t="n">
        <x:v>5</x:v>
      </x:c>
      <x:c r="J4692" s="2" t="n">
        <x:v>5</x:v>
      </x:c>
      <x:c r="K4692" s="2" t="n">
        <x:v>5</x:v>
      </x:c>
      <x:c r="L4692" s="2" t="str">
        <x:v>Champions</x:v>
      </x:c>
    </x:row>
    <x:row r="4693" ht="22" customHeight="1">
      <x:c r="A4693" s="2"/>
      <x:c r="B4693" s="2" t="str">
        <x:v>17050</x:v>
      </x:c>
      <x:c r="C4693" s="2" t="str">
        <x:v>United Kingdom</x:v>
      </x:c>
      <x:c r="D4693" s="25" t="n">
        <x:v>40204.4125</x:v>
      </x:c>
      <x:c r="E4693" s="25" t="n">
        <x:v>40790.36666666667</x:v>
      </x:c>
      <x:c r="F4693" s="2" t="n">
        <x:v>97</x:v>
      </x:c>
      <x:c r="G4693" s="2" t="n">
        <x:v>11</x:v>
      </x:c>
      <x:c r="H4693" s="11" t="n">
        <x:v>4691.79</x:v>
      </x:c>
      <x:c r="I4693" s="2" t="n">
        <x:v>3</x:v>
      </x:c>
      <x:c r="J4693" s="2" t="n">
        <x:v>5</x:v>
      </x:c>
      <x:c r="K4693" s="2" t="n">
        <x:v>5</x:v>
      </x:c>
      <x:c r="L4693" s="2" t="str">
        <x:v>Loyal</x:v>
      </x:c>
    </x:row>
    <x:row r="4694" ht="22" customHeight="1">
      <x:c r="A4694" s="2"/>
      <x:c r="B4694" s="2" t="str">
        <x:v>17051</x:v>
      </x:c>
      <x:c r="C4694" s="2" t="str">
        <x:v>United Kingdom</x:v>
      </x:c>
      <x:c r="D4694" s="25" t="n">
        <x:v>40258.413194444445</x:v>
      </x:c>
      <x:c r="E4694" s="25" t="n">
        <x:v>40692.38402777778</x:v>
      </x:c>
      <x:c r="F4694" s="2" t="n">
        <x:v>195</x:v>
      </x:c>
      <x:c r="G4694" s="2" t="n">
        <x:v>4</x:v>
      </x:c>
      <x:c r="H4694" s="11" t="n">
        <x:v>714.39</x:v>
      </x:c>
      <x:c r="I4694" s="2" t="n">
        <x:v>2</x:v>
      </x:c>
      <x:c r="J4694" s="2" t="n">
        <x:v>3</x:v>
      </x:c>
      <x:c r="K4694" s="2" t="n">
        <x:v>3</x:v>
      </x:c>
      <x:c r="L4694" s="2" t="str">
        <x:v>At risk</x:v>
      </x:c>
    </x:row>
    <x:row r="4695" ht="22" customHeight="1">
      <x:c r="A4695" s="2"/>
      <x:c r="B4695" s="2" t="str">
        <x:v>17052</x:v>
      </x:c>
      <x:c r="C4695" s="2" t="str">
        <x:v>United Kingdom</x:v>
      </x:c>
      <x:c r="D4695" s="25" t="n">
        <x:v>40858.40972222222</x:v>
      </x:c>
      <x:c r="E4695" s="25" t="n">
        <x:v>40858.40972222222</x:v>
      </x:c>
      <x:c r="F4695" s="2" t="n">
        <x:v>29</x:v>
      </x:c>
      <x:c r="G4695" s="2" t="n">
        <x:v>1</x:v>
      </x:c>
      <x:c r="H4695" s="11" t="n">
        <x:v>413.75</x:v>
      </x:c>
      <x:c r="I4695" s="2" t="n">
        <x:v>4</x:v>
      </x:c>
      <x:c r="J4695" s="2" t="n">
        <x:v>1</x:v>
      </x:c>
      <x:c r="K4695" s="2" t="n">
        <x:v>2</x:v>
      </x:c>
      <x:c r="L4695" s="2" t="str">
        <x:v>Recent light buyers</x:v>
      </x:c>
    </x:row>
    <x:row r="4696" ht="22" customHeight="1">
      <x:c r="A4696" s="2"/>
      <x:c r="B4696" s="2" t="str">
        <x:v>17053</x:v>
      </x:c>
      <x:c r="C4696" s="2" t="str">
        <x:v>United Kingdom</x:v>
      </x:c>
      <x:c r="D4696" s="25" t="n">
        <x:v>40756.22430555556</x:v>
      </x:c>
      <x:c r="E4696" s="25" t="n">
        <x:v>40756.22430555556</x:v>
      </x:c>
      <x:c r="F4696" s="2" t="n">
        <x:v>131</x:v>
      </x:c>
      <x:c r="G4696" s="2" t="n">
        <x:v>1</x:v>
      </x:c>
      <x:c r="H4696" s="11" t="n">
        <x:v>498.48</x:v>
      </x:c>
      <x:c r="I4696" s="2" t="n">
        <x:v>3</x:v>
      </x:c>
      <x:c r="J4696" s="2" t="n">
        <x:v>1</x:v>
      </x:c>
      <x:c r="K4696" s="2" t="n">
        <x:v>2</x:v>
      </x:c>
      <x:c r="L4696" s="2" t="str">
        <x:v>Developing</x:v>
      </x:c>
    </x:row>
    <x:row r="4697" ht="22" customHeight="1">
      <x:c r="A4697" s="2"/>
      <x:c r="B4697" s="2" t="str">
        <x:v>17054</x:v>
      </x:c>
      <x:c r="C4697" s="2" t="str">
        <x:v>United Kingdom</x:v>
      </x:c>
      <x:c r="D4697" s="25" t="n">
        <x:v>40641.34305555555</x:v>
      </x:c>
      <x:c r="E4697" s="25" t="n">
        <x:v>40858.330555555556</x:v>
      </x:c>
      <x:c r="F4697" s="2" t="n">
        <x:v>29</x:v>
      </x:c>
      <x:c r="G4697" s="2" t="n">
        <x:v>5</x:v>
      </x:c>
      <x:c r="H4697" s="11" t="n">
        <x:v>1356.33</x:v>
      </x:c>
      <x:c r="I4697" s="2" t="n">
        <x:v>4</x:v>
      </x:c>
      <x:c r="J4697" s="2" t="n">
        <x:v>4</x:v>
      </x:c>
      <x:c r="K4697" s="2" t="n">
        <x:v>4</x:v>
      </x:c>
      <x:c r="L4697" s="2" t="str">
        <x:v>Champions</x:v>
      </x:c>
    </x:row>
    <x:row r="4698" ht="22" customHeight="1">
      <x:c r="A4698" s="2"/>
      <x:c r="B4698" s="2" t="str">
        <x:v>17055</x:v>
      </x:c>
      <x:c r="C4698" s="2" t="str">
        <x:v>United Kingdom</x:v>
      </x:c>
      <x:c r="D4698" s="25" t="n">
        <x:v>40441.30625</x:v>
      </x:c>
      <x:c r="E4698" s="25" t="n">
        <x:v>40441.30625</x:v>
      </x:c>
      <x:c r="F4698" s="2" t="n">
        <x:v>446</x:v>
      </x:c>
      <x:c r="G4698" s="2" t="n">
        <x:v>1</x:v>
      </x:c>
      <x:c r="H4698" s="11" t="n">
        <x:v>239.55</x:v>
      </x:c>
      <x:c r="I4698" s="2" t="n">
        <x:v>1</x:v>
      </x:c>
      <x:c r="J4698" s="2" t="n">
        <x:v>1</x:v>
      </x:c>
      <x:c r="K4698" s="2" t="n">
        <x:v>1</x:v>
      </x:c>
      <x:c r="L4698" s="2" t="str">
        <x:v>Hibernating</x:v>
      </x:c>
    </x:row>
    <x:row r="4699" ht="22" customHeight="1">
      <x:c r="A4699" s="2"/>
      <x:c r="B4699" s="2" t="str">
        <x:v>17056</x:v>
      </x:c>
      <x:c r="C4699" s="2" t="str">
        <x:v>United Kingdom</x:v>
      </x:c>
      <x:c r="D4699" s="25" t="n">
        <x:v>40148.32986111111</x:v>
      </x:c>
      <x:c r="E4699" s="25" t="n">
        <x:v>40148.32986111111</x:v>
      </x:c>
      <x:c r="F4699" s="2" t="n">
        <x:v>739</x:v>
      </x:c>
      <x:c r="G4699" s="2" t="n">
        <x:v>1</x:v>
      </x:c>
      <x:c r="H4699" s="11" t="n">
        <x:v>128.6</x:v>
      </x:c>
      <x:c r="I4699" s="2" t="n">
        <x:v>1</x:v>
      </x:c>
      <x:c r="J4699" s="2" t="n">
        <x:v>1</x:v>
      </x:c>
      <x:c r="K4699" s="2" t="n">
        <x:v>1</x:v>
      </x:c>
      <x:c r="L4699" s="2" t="str">
        <x:v>Hibernating</x:v>
      </x:c>
    </x:row>
    <x:row r="4700" ht="22" customHeight="1">
      <x:c r="A4700" s="2"/>
      <x:c r="B4700" s="2" t="str">
        <x:v>17057</x:v>
      </x:c>
      <x:c r="C4700" s="2" t="str">
        <x:v>United Kingdom</x:v>
      </x:c>
      <x:c r="D4700" s="25" t="n">
        <x:v>40290.597916666666</x:v>
      </x:c>
      <x:c r="E4700" s="25" t="n">
        <x:v>40290.597916666666</x:v>
      </x:c>
      <x:c r="F4700" s="2" t="n">
        <x:v>597</x:v>
      </x:c>
      <x:c r="G4700" s="2" t="n">
        <x:v>1</x:v>
      </x:c>
      <x:c r="H4700" s="11" t="n">
        <x:v>294.74</x:v>
      </x:c>
      <x:c r="I4700" s="2" t="n">
        <x:v>1</x:v>
      </x:c>
      <x:c r="J4700" s="2" t="n">
        <x:v>1</x:v>
      </x:c>
      <x:c r="K4700" s="2" t="n">
        <x:v>2</x:v>
      </x:c>
      <x:c r="L4700" s="2" t="str">
        <x:v>Hibernating</x:v>
      </x:c>
    </x:row>
    <x:row r="4701" ht="22" customHeight="1">
      <x:c r="A4701" s="2"/>
      <x:c r="B4701" s="2" t="str">
        <x:v>17058</x:v>
      </x:c>
      <x:c r="C4701" s="2" t="str">
        <x:v>United Kingdom</x:v>
      </x:c>
      <x:c r="D4701" s="25" t="n">
        <x:v>40647.17916666667</x:v>
      </x:c>
      <x:c r="E4701" s="25" t="n">
        <x:v>40805.217361111114</x:v>
      </x:c>
      <x:c r="F4701" s="2" t="n">
        <x:v>82</x:v>
      </x:c>
      <x:c r="G4701" s="2" t="n">
        <x:v>3</x:v>
      </x:c>
      <x:c r="H4701" s="11" t="n">
        <x:v>1179.89</x:v>
      </x:c>
      <x:c r="I4701" s="2" t="n">
        <x:v>3</x:v>
      </x:c>
      <x:c r="J4701" s="2" t="n">
        <x:v>3</x:v>
      </x:c>
      <x:c r="K4701" s="2" t="n">
        <x:v>3</x:v>
      </x:c>
      <x:c r="L4701" s="2" t="str">
        <x:v>Loyal</x:v>
      </x:c>
    </x:row>
    <x:row r="4702" ht="22" customHeight="1">
      <x:c r="A4702" s="2"/>
      <x:c r="B4702" s="2" t="str">
        <x:v>17059</x:v>
      </x:c>
      <x:c r="C4702" s="2" t="str">
        <x:v>United Kingdom</x:v>
      </x:c>
      <x:c r="D4702" s="25" t="n">
        <x:v>40204.404861111114</x:v>
      </x:c>
      <x:c r="E4702" s="25" t="n">
        <x:v>40857.31041666667</x:v>
      </x:c>
      <x:c r="F4702" s="2" t="n">
        <x:v>30</x:v>
      </x:c>
      <x:c r="G4702" s="2" t="n">
        <x:v>9</x:v>
      </x:c>
      <x:c r="H4702" s="11" t="n">
        <x:v>4880.17</x:v>
      </x:c>
      <x:c r="I4702" s="2" t="n">
        <x:v>4</x:v>
      </x:c>
      <x:c r="J4702" s="2" t="n">
        <x:v>5</x:v>
      </x:c>
      <x:c r="K4702" s="2" t="n">
        <x:v>5</x:v>
      </x:c>
      <x:c r="L4702" s="2" t="str">
        <x:v>Champions</x:v>
      </x:c>
    </x:row>
    <x:row r="4703" ht="22" customHeight="1">
      <x:c r="A4703" s="2"/>
      <x:c r="B4703" s="2" t="str">
        <x:v>17060</x:v>
      </x:c>
      <x:c r="C4703" s="2" t="str">
        <x:v>United Kingdom</x:v>
      </x:c>
      <x:c r="D4703" s="25" t="n">
        <x:v>40620.35208333333</x:v>
      </x:c>
      <x:c r="E4703" s="25" t="n">
        <x:v>40620.35208333333</x:v>
      </x:c>
      <x:c r="F4703" s="2" t="n">
        <x:v>267</x:v>
      </x:c>
      <x:c r="G4703" s="2" t="n">
        <x:v>1</x:v>
      </x:c>
      <x:c r="H4703" s="11" t="n">
        <x:v>234.24</x:v>
      </x:c>
      <x:c r="I4703" s="2" t="n">
        <x:v>2</x:v>
      </x:c>
      <x:c r="J4703" s="2" t="n">
        <x:v>1</x:v>
      </x:c>
      <x:c r="K4703" s="2" t="n">
        <x:v>1</x:v>
      </x:c>
      <x:c r="L4703" s="2" t="str">
        <x:v>Hibernating</x:v>
      </x:c>
    </x:row>
    <x:row r="4704" ht="22" customHeight="1">
      <x:c r="A4704" s="2"/>
      <x:c r="B4704" s="2" t="str">
        <x:v>17061</x:v>
      </x:c>
      <x:c r="C4704" s="2" t="str">
        <x:v>United Kingdom</x:v>
      </x:c>
      <x:c r="D4704" s="25" t="n">
        <x:v>40654.353472222225</x:v>
      </x:c>
      <x:c r="E4704" s="25" t="n">
        <x:v>40813.26666666667</x:v>
      </x:c>
      <x:c r="F4704" s="2" t="n">
        <x:v>74</x:v>
      </x:c>
      <x:c r="G4704" s="2" t="n">
        <x:v>11</x:v>
      </x:c>
      <x:c r="H4704" s="11" t="n">
        <x:v>5232.23</x:v>
      </x:c>
      <x:c r="I4704" s="2" t="n">
        <x:v>3</x:v>
      </x:c>
      <x:c r="J4704" s="2" t="n">
        <x:v>5</x:v>
      </x:c>
      <x:c r="K4704" s="2" t="n">
        <x:v>5</x:v>
      </x:c>
      <x:c r="L4704" s="2" t="str">
        <x:v>Loyal</x:v>
      </x:c>
    </x:row>
    <x:row r="4705" ht="22" customHeight="1">
      <x:c r="A4705" s="2"/>
      <x:c r="B4705" s="2" t="str">
        <x:v>17062</x:v>
      </x:c>
      <x:c r="C4705" s="2" t="str">
        <x:v>United Kingdom</x:v>
      </x:c>
      <x:c r="D4705" s="25" t="n">
        <x:v>40447.28958333333</x:v>
      </x:c>
      <x:c r="E4705" s="25" t="n">
        <x:v>40573.25069444445</x:v>
      </x:c>
      <x:c r="F4705" s="2" t="n">
        <x:v>314</x:v>
      </x:c>
      <x:c r="G4705" s="2" t="n">
        <x:v>6</x:v>
      </x:c>
      <x:c r="H4705" s="11" t="n">
        <x:v>913.79</x:v>
      </x:c>
      <x:c r="I4705" s="2" t="n">
        <x:v>2</x:v>
      </x:c>
      <x:c r="J4705" s="2" t="n">
        <x:v>4</x:v>
      </x:c>
      <x:c r="K4705" s="2" t="n">
        <x:v>3</x:v>
      </x:c>
      <x:c r="L4705" s="2" t="str">
        <x:v>At risk</x:v>
      </x:c>
    </x:row>
    <x:row r="4706" ht="22" customHeight="1">
      <x:c r="A4706" s="2"/>
      <x:c r="B4706" s="2" t="str">
        <x:v>17063</x:v>
      </x:c>
      <x:c r="C4706" s="2" t="str">
        <x:v>United Kingdom</x:v>
      </x:c>
      <x:c r="D4706" s="25" t="n">
        <x:v>40148.316666666666</x:v>
      </x:c>
      <x:c r="E4706" s="25" t="n">
        <x:v>40865.47152777778</x:v>
      </x:c>
      <x:c r="F4706" s="2" t="n">
        <x:v>22</x:v>
      </x:c>
      <x:c r="G4706" s="2" t="n">
        <x:v>13</x:v>
      </x:c>
      <x:c r="H4706" s="11" t="n">
        <x:v>3638.53</x:v>
      </x:c>
      <x:c r="I4706" s="2" t="n">
        <x:v>4</x:v>
      </x:c>
      <x:c r="J4706" s="2" t="n">
        <x:v>5</x:v>
      </x:c>
      <x:c r="K4706" s="2" t="n">
        <x:v>5</x:v>
      </x:c>
      <x:c r="L4706" s="2" t="str">
        <x:v>Champions</x:v>
      </x:c>
    </x:row>
    <x:row r="4707" ht="22" customHeight="1">
      <x:c r="A4707" s="2"/>
      <x:c r="B4707" s="2" t="str">
        <x:v>17064</x:v>
      </x:c>
      <x:c r="C4707" s="2" t="str">
        <x:v>United Kingdom</x:v>
      </x:c>
      <x:c r="D4707" s="25" t="n">
        <x:v>40559.46527777778</x:v>
      </x:c>
      <x:c r="E4707" s="25" t="n">
        <x:v>40828.22083333333</x:v>
      </x:c>
      <x:c r="F4707" s="2" t="n">
        <x:v>59</x:v>
      </x:c>
      <x:c r="G4707" s="2" t="n">
        <x:v>3</x:v>
      </x:c>
      <x:c r="H4707" s="11" t="n">
        <x:v>859.35</x:v>
      </x:c>
      <x:c r="I4707" s="2" t="n">
        <x:v>4</x:v>
      </x:c>
      <x:c r="J4707" s="2" t="n">
        <x:v>3</x:v>
      </x:c>
      <x:c r="K4707" s="2" t="n">
        <x:v>3</x:v>
      </x:c>
      <x:c r="L4707" s="2" t="str">
        <x:v>Loyal</x:v>
      </x:c>
    </x:row>
    <x:row r="4708" ht="22" customHeight="1">
      <x:c r="A4708" s="2"/>
      <x:c r="B4708" s="2" t="str">
        <x:v>17065</x:v>
      </x:c>
      <x:c r="C4708" s="2" t="str">
        <x:v>United Kingdom</x:v>
      </x:c>
      <x:c r="D4708" s="25" t="n">
        <x:v>40249.27777777778</x:v>
      </x:c>
      <x:c r="E4708" s="25" t="n">
        <x:v>40249.27847222222</x:v>
      </x:c>
      <x:c r="F4708" s="2" t="n">
        <x:v>638</x:v>
      </x:c>
      <x:c r="G4708" s="2" t="n">
        <x:v>2</x:v>
      </x:c>
      <x:c r="H4708" s="11" t="n">
        <x:v>194.7</x:v>
      </x:c>
      <x:c r="I4708" s="2" t="n">
        <x:v>1</x:v>
      </x:c>
      <x:c r="J4708" s="2" t="n">
        <x:v>2</x:v>
      </x:c>
      <x:c r="K4708" s="2" t="n">
        <x:v>1</x:v>
      </x:c>
      <x:c r="L4708" s="2" t="str">
        <x:v>Hibernating</x:v>
      </x:c>
    </x:row>
    <x:row r="4709" ht="22" customHeight="1">
      <x:c r="A4709" s="2"/>
      <x:c r="B4709" s="2" t="str">
        <x:v>17066</x:v>
      </x:c>
      <x:c r="C4709" s="2" t="str">
        <x:v>United Kingdom</x:v>
      </x:c>
      <x:c r="D4709" s="25" t="n">
        <x:v>40160.35</x:v>
      </x:c>
      <x:c r="E4709" s="25" t="n">
        <x:v>40160.35</x:v>
      </x:c>
      <x:c r="F4709" s="2" t="n">
        <x:v>727</x:v>
      </x:c>
      <x:c r="G4709" s="2" t="n">
        <x:v>1</x:v>
      </x:c>
      <x:c r="H4709" s="11" t="n">
        <x:v>228.34</x:v>
      </x:c>
      <x:c r="I4709" s="2" t="n">
        <x:v>1</x:v>
      </x:c>
      <x:c r="J4709" s="2" t="n">
        <x:v>1</x:v>
      </x:c>
      <x:c r="K4709" s="2" t="n">
        <x:v>1</x:v>
      </x:c>
      <x:c r="L4709" s="2" t="str">
        <x:v>Hibernating</x:v>
      </x:c>
    </x:row>
    <x:row r="4710" ht="22" customHeight="1">
      <x:c r="A4710" s="2"/>
      <x:c r="B4710" s="2" t="str">
        <x:v>17067</x:v>
      </x:c>
      <x:c r="C4710" s="2" t="str">
        <x:v>United Kingdom</x:v>
      </x:c>
      <x:c r="D4710" s="25" t="n">
        <x:v>40155.29375</x:v>
      </x:c>
      <x:c r="E4710" s="25" t="n">
        <x:v>40162.152083333334</x:v>
      </x:c>
      <x:c r="F4710" s="2" t="n">
        <x:v>725</x:v>
      </x:c>
      <x:c r="G4710" s="2" t="n">
        <x:v>3</x:v>
      </x:c>
      <x:c r="H4710" s="11" t="n">
        <x:v>454.54</x:v>
      </x:c>
      <x:c r="I4710" s="2" t="n">
        <x:v>1</x:v>
      </x:c>
      <x:c r="J4710" s="2" t="n">
        <x:v>3</x:v>
      </x:c>
      <x:c r="K4710" s="2" t="n">
        <x:v>2</x:v>
      </x:c>
      <x:c r="L4710" s="2" t="str">
        <x:v>At risk</x:v>
      </x:c>
    </x:row>
    <x:row r="4711" ht="22" customHeight="1">
      <x:c r="A4711" s="2"/>
      <x:c r="B4711" s="2" t="str">
        <x:v>17068</x:v>
      </x:c>
      <x:c r="C4711" s="2" t="str">
        <x:v>United Kingdom</x:v>
      </x:c>
      <x:c r="D4711" s="25" t="n">
        <x:v>40265.393055555556</x:v>
      </x:c>
      <x:c r="E4711" s="25" t="n">
        <x:v>40874.34305555555</x:v>
      </x:c>
      <x:c r="F4711" s="2" t="n">
        <x:v>13</x:v>
      </x:c>
      <x:c r="G4711" s="2" t="n">
        <x:v>47</x:v>
      </x:c>
      <x:c r="H4711" s="11" t="n">
        <x:v>8994.93</x:v>
      </x:c>
      <x:c r="I4711" s="2" t="n">
        <x:v>5</x:v>
      </x:c>
      <x:c r="J4711" s="2" t="n">
        <x:v>5</x:v>
      </x:c>
      <x:c r="K4711" s="2" t="n">
        <x:v>5</x:v>
      </x:c>
      <x:c r="L4711" s="2" t="str">
        <x:v>Champions</x:v>
      </x:c>
    </x:row>
    <x:row r="4712" ht="22" customHeight="1">
      <x:c r="A4712" s="2"/>
      <x:c r="B4712" s="2" t="str">
        <x:v>17069</x:v>
      </x:c>
      <x:c r="C4712" s="2" t="str">
        <x:v>United Kingdom</x:v>
      </x:c>
      <x:c r="D4712" s="25" t="n">
        <x:v>40150.31041666667</x:v>
      </x:c>
      <x:c r="E4712" s="25" t="n">
        <x:v>40858.50902777778</x:v>
      </x:c>
      <x:c r="F4712" s="2" t="n">
        <x:v>29</x:v>
      </x:c>
      <x:c r="G4712" s="2" t="n">
        <x:v>14</x:v>
      </x:c>
      <x:c r="H4712" s="11" t="n">
        <x:v>5517.23</x:v>
      </x:c>
      <x:c r="I4712" s="2" t="n">
        <x:v>4</x:v>
      </x:c>
      <x:c r="J4712" s="2" t="n">
        <x:v>5</x:v>
      </x:c>
      <x:c r="K4712" s="2" t="n">
        <x:v>5</x:v>
      </x:c>
      <x:c r="L4712" s="2" t="str">
        <x:v>Champions</x:v>
      </x:c>
    </x:row>
    <x:row r="4713" ht="22" customHeight="1">
      <x:c r="A4713" s="2"/>
      <x:c r="B4713" s="2" t="str">
        <x:v>17070</x:v>
      </x:c>
      <x:c r="C4713" s="2" t="str">
        <x:v>United Kingdom</x:v>
      </x:c>
      <x:c r="D4713" s="25" t="n">
        <x:v>40476.45625</x:v>
      </x:c>
      <x:c r="E4713" s="25" t="n">
        <x:v>40772.50069444445</x:v>
      </x:c>
      <x:c r="F4713" s="2" t="n">
        <x:v>115</x:v>
      </x:c>
      <x:c r="G4713" s="2" t="n">
        <x:v>2</x:v>
      </x:c>
      <x:c r="H4713" s="11" t="n">
        <x:v>445.32</x:v>
      </x:c>
      <x:c r="I4713" s="2" t="n">
        <x:v>3</x:v>
      </x:c>
      <x:c r="J4713" s="2" t="n">
        <x:v>2</x:v>
      </x:c>
      <x:c r="K4713" s="2" t="n">
        <x:v>2</x:v>
      </x:c>
      <x:c r="L4713" s="2" t="str">
        <x:v>Developing</x:v>
      </x:c>
    </x:row>
    <x:row r="4714" ht="22" customHeight="1">
      <x:c r="A4714" s="2"/>
      <x:c r="B4714" s="2" t="str">
        <x:v>17071</x:v>
      </x:c>
      <x:c r="C4714" s="2" t="str">
        <x:v>United Kingdom</x:v>
      </x:c>
      <x:c r="D4714" s="25" t="n">
        <x:v>40202.336805555555</x:v>
      </x:c>
      <x:c r="E4714" s="25" t="n">
        <x:v>40858.47986111111</x:v>
      </x:c>
      <x:c r="F4714" s="2" t="n">
        <x:v>29</x:v>
      </x:c>
      <x:c r="G4714" s="2" t="n">
        <x:v>13</x:v>
      </x:c>
      <x:c r="H4714" s="11" t="n">
        <x:v>3801.2</x:v>
      </x:c>
      <x:c r="I4714" s="2" t="n">
        <x:v>4</x:v>
      </x:c>
      <x:c r="J4714" s="2" t="n">
        <x:v>5</x:v>
      </x:c>
      <x:c r="K4714" s="2" t="n">
        <x:v>5</x:v>
      </x:c>
      <x:c r="L4714" s="2" t="str">
        <x:v>Champions</x:v>
      </x:c>
    </x:row>
    <x:row r="4715" ht="22" customHeight="1">
      <x:c r="A4715" s="2"/>
      <x:c r="B4715" s="2" t="str">
        <x:v>17072</x:v>
      </x:c>
      <x:c r="C4715" s="2" t="str">
        <x:v>United Kingdom</x:v>
      </x:c>
      <x:c r="D4715" s="25" t="n">
        <x:v>40261.48125</x:v>
      </x:c>
      <x:c r="E4715" s="25" t="n">
        <x:v>40261.48125</x:v>
      </x:c>
      <x:c r="F4715" s="2" t="n">
        <x:v>626</x:v>
      </x:c>
      <x:c r="G4715" s="2" t="n">
        <x:v>1</x:v>
      </x:c>
      <x:c r="H4715" s="11" t="n">
        <x:v>282.05</x:v>
      </x:c>
      <x:c r="I4715" s="2" t="n">
        <x:v>1</x:v>
      </x:c>
      <x:c r="J4715" s="2" t="n">
        <x:v>1</x:v>
      </x:c>
      <x:c r="K4715" s="2" t="n">
        <x:v>1</x:v>
      </x:c>
      <x:c r="L4715" s="2" t="str">
        <x:v>Hibernating</x:v>
      </x:c>
    </x:row>
    <x:row r="4716" ht="22" customHeight="1">
      <x:c r="A4716" s="2"/>
      <x:c r="B4716" s="2" t="str">
        <x:v>17073</x:v>
      </x:c>
      <x:c r="C4716" s="2" t="str">
        <x:v>United Kingdom</x:v>
      </x:c>
      <x:c r="D4716" s="25" t="n">
        <x:v>40777.40069444444</x:v>
      </x:c>
      <x:c r="E4716" s="25" t="n">
        <x:v>40869.282638888886</x:v>
      </x:c>
      <x:c r="F4716" s="2" t="n">
        <x:v>18</x:v>
      </x:c>
      <x:c r="G4716" s="2" t="n">
        <x:v>4</x:v>
      </x:c>
      <x:c r="H4716" s="11" t="n">
        <x:v>1446.09</x:v>
      </x:c>
      <x:c r="I4716" s="2" t="n">
        <x:v>5</x:v>
      </x:c>
      <x:c r="J4716" s="2" t="n">
        <x:v>3</x:v>
      </x:c>
      <x:c r="K4716" s="2" t="n">
        <x:v>4</x:v>
      </x:c>
      <x:c r="L4716" s="2" t="str">
        <x:v>Loyal</x:v>
      </x:c>
    </x:row>
    <x:row r="4717" ht="22" customHeight="1">
      <x:c r="A4717" s="2"/>
      <x:c r="B4717" s="2" t="str">
        <x:v>17074</x:v>
      </x:c>
      <x:c r="C4717" s="2" t="str">
        <x:v>United Kingdom</x:v>
      </x:c>
      <x:c r="D4717" s="25" t="n">
        <x:v>40324.294444444444</x:v>
      </x:c>
      <x:c r="E4717" s="25" t="n">
        <x:v>40324.294444444444</x:v>
      </x:c>
      <x:c r="F4717" s="2" t="n">
        <x:v>563</x:v>
      </x:c>
      <x:c r="G4717" s="2" t="n">
        <x:v>1</x:v>
      </x:c>
      <x:c r="H4717" s="11" t="n">
        <x:v>203.05</x:v>
      </x:c>
      <x:c r="I4717" s="2" t="n">
        <x:v>1</x:v>
      </x:c>
      <x:c r="J4717" s="2" t="n">
        <x:v>1</x:v>
      </x:c>
      <x:c r="K4717" s="2" t="n">
        <x:v>1</x:v>
      </x:c>
      <x:c r="L4717" s="2" t="str">
        <x:v>Hibernating</x:v>
      </x:c>
    </x:row>
    <x:row r="4718" ht="22" customHeight="1">
      <x:c r="A4718" s="2"/>
      <x:c r="B4718" s="2" t="str">
        <x:v>17075</x:v>
      </x:c>
      <x:c r="C4718" s="2" t="str">
        <x:v>United Kingdom</x:v>
      </x:c>
      <x:c r="D4718" s="25" t="n">
        <x:v>40161.26666666667</x:v>
      </x:c>
      <x:c r="E4718" s="25" t="n">
        <x:v>40869.29027777778</x:v>
      </x:c>
      <x:c r="F4718" s="2" t="n">
        <x:v>18</x:v>
      </x:c>
      <x:c r="G4718" s="2" t="n">
        <x:v>10</x:v>
      </x:c>
      <x:c r="H4718" s="11" t="n">
        <x:v>2241.73</x:v>
      </x:c>
      <x:c r="I4718" s="2" t="n">
        <x:v>5</x:v>
      </x:c>
      <x:c r="J4718" s="2" t="n">
        <x:v>5</x:v>
      </x:c>
      <x:c r="K4718" s="2" t="n">
        <x:v>4</x:v>
      </x:c>
      <x:c r="L4718" s="2" t="str">
        <x:v>Champions</x:v>
      </x:c>
    </x:row>
    <x:row r="4719" ht="22" customHeight="1">
      <x:c r="A4719" s="2"/>
      <x:c r="B4719" s="2" t="str">
        <x:v>17076</x:v>
      </x:c>
      <x:c r="C4719" s="2" t="str">
        <x:v>United Kingdom</x:v>
      </x:c>
      <x:c r="D4719" s="25" t="n">
        <x:v>40151.3</x:v>
      </x:c>
      <x:c r="E4719" s="25" t="n">
        <x:v>40850.53680555556</x:v>
      </x:c>
      <x:c r="F4719" s="2" t="n">
        <x:v>37</x:v>
      </x:c>
      <x:c r="G4719" s="2" t="n">
        <x:v>6</x:v>
      </x:c>
      <x:c r="H4719" s="11" t="n">
        <x:v>1242.75</x:v>
      </x:c>
      <x:c r="I4719" s="2" t="n">
        <x:v>4</x:v>
      </x:c>
      <x:c r="J4719" s="2" t="n">
        <x:v>4</x:v>
      </x:c>
      <x:c r="K4719" s="2" t="n">
        <x:v>4</x:v>
      </x:c>
      <x:c r="L4719" s="2" t="str">
        <x:v>Champions</x:v>
      </x:c>
    </x:row>
    <x:row r="4720" ht="22" customHeight="1">
      <x:c r="A4720" s="2"/>
      <x:c r="B4720" s="2" t="str">
        <x:v>17077</x:v>
      </x:c>
      <x:c r="C4720" s="2" t="str">
        <x:v>United Kingdom</x:v>
      </x:c>
      <x:c r="D4720" s="25" t="n">
        <x:v>40308.48333333333</x:v>
      </x:c>
      <x:c r="E4720" s="25" t="n">
        <x:v>40308.48333333333</x:v>
      </x:c>
      <x:c r="F4720" s="2" t="n">
        <x:v>579</x:v>
      </x:c>
      <x:c r="G4720" s="2" t="n">
        <x:v>1</x:v>
      </x:c>
      <x:c r="H4720" s="11" t="n">
        <x:v>306</x:v>
      </x:c>
      <x:c r="I4720" s="2" t="n">
        <x:v>1</x:v>
      </x:c>
      <x:c r="J4720" s="2" t="n">
        <x:v>1</x:v>
      </x:c>
      <x:c r="K4720" s="2" t="n">
        <x:v>2</x:v>
      </x:c>
      <x:c r="L4720" s="2" t="str">
        <x:v>Hibernating</x:v>
      </x:c>
    </x:row>
    <x:row r="4721" ht="22" customHeight="1">
      <x:c r="A4721" s="2"/>
      <x:c r="B4721" s="2" t="str">
        <x:v>17078</x:v>
      </x:c>
      <x:c r="C4721" s="2" t="str">
        <x:v>United Kingdom</x:v>
      </x:c>
      <x:c r="D4721" s="25" t="n">
        <x:v>40850.575694444444</x:v>
      </x:c>
      <x:c r="E4721" s="25" t="n">
        <x:v>40850.595138888886</x:v>
      </x:c>
      <x:c r="F4721" s="2" t="n">
        <x:v>37</x:v>
      </x:c>
      <x:c r="G4721" s="2" t="n">
        <x:v>2</x:v>
      </x:c>
      <x:c r="H4721" s="11" t="n">
        <x:v>378.2</x:v>
      </x:c>
      <x:c r="I4721" s="2" t="n">
        <x:v>4</x:v>
      </x:c>
      <x:c r="J4721" s="2" t="n">
        <x:v>2</x:v>
      </x:c>
      <x:c r="K4721" s="2" t="n">
        <x:v>2</x:v>
      </x:c>
      <x:c r="L4721" s="2" t="str">
        <x:v>Recent light buyers</x:v>
      </x:c>
    </x:row>
    <x:row r="4722" ht="22" customHeight="1">
      <x:c r="A4722" s="2"/>
      <x:c r="B4722" s="2" t="str">
        <x:v>17079</x:v>
      </x:c>
      <x:c r="C4722" s="2" t="str">
        <x:v>United Kingdom</x:v>
      </x:c>
      <x:c r="D4722" s="25" t="n">
        <x:v>40808.44027777778</x:v>
      </x:c>
      <x:c r="E4722" s="25" t="n">
        <x:v>40808.44027777778</x:v>
      </x:c>
      <x:c r="F4722" s="2" t="n">
        <x:v>79</x:v>
      </x:c>
      <x:c r="G4722" s="2" t="n">
        <x:v>1</x:v>
      </x:c>
      <x:c r="H4722" s="11" t="n">
        <x:v>118.8</x:v>
      </x:c>
      <x:c r="I4722" s="2" t="n">
        <x:v>3</x:v>
      </x:c>
      <x:c r="J4722" s="2" t="n">
        <x:v>1</x:v>
      </x:c>
      <x:c r="K4722" s="2" t="n">
        <x:v>1</x:v>
      </x:c>
      <x:c r="L4722" s="2" t="str">
        <x:v>Developing</x:v>
      </x:c>
    </x:row>
    <x:row r="4723" ht="22" customHeight="1">
      <x:c r="A4723" s="2"/>
      <x:c r="B4723" s="2" t="str">
        <x:v>17080</x:v>
      </x:c>
      <x:c r="C4723" s="2" t="str">
        <x:v>United Kingdom</x:v>
      </x:c>
      <x:c r="D4723" s="25" t="n">
        <x:v>40360.46041666667</x:v>
      </x:c>
      <x:c r="E4723" s="25" t="n">
        <x:v>40864.33263888889</x:v>
      </x:c>
      <x:c r="F4723" s="2" t="n">
        <x:v>23</x:v>
      </x:c>
      <x:c r="G4723" s="2" t="n">
        <x:v>7</x:v>
      </x:c>
      <x:c r="H4723" s="11" t="n">
        <x:v>957.53</x:v>
      </x:c>
      <x:c r="I4723" s="2" t="n">
        <x:v>4</x:v>
      </x:c>
      <x:c r="J4723" s="2" t="n">
        <x:v>4</x:v>
      </x:c>
      <x:c r="K4723" s="2" t="n">
        <x:v>3</x:v>
      </x:c>
      <x:c r="L4723" s="2" t="str">
        <x:v>Loyal</x:v>
      </x:c>
    </x:row>
    <x:row r="4724" ht="22" customHeight="1">
      <x:c r="A4724" s="2"/>
      <x:c r="B4724" s="2" t="str">
        <x:v>17081</x:v>
      </x:c>
      <x:c r="C4724" s="2" t="str">
        <x:v>United Kingdom</x:v>
      </x:c>
      <x:c r="D4724" s="25" t="n">
        <x:v>40231.34652777778</x:v>
      </x:c>
      <x:c r="E4724" s="25" t="n">
        <x:v>40861.330555555556</x:v>
      </x:c>
      <x:c r="F4724" s="2" t="n">
        <x:v>26</x:v>
      </x:c>
      <x:c r="G4724" s="2" t="n">
        <x:v>6</x:v>
      </x:c>
      <x:c r="H4724" s="11" t="n">
        <x:v>964.39</x:v>
      </x:c>
      <x:c r="I4724" s="2" t="n">
        <x:v>4</x:v>
      </x:c>
      <x:c r="J4724" s="2" t="n">
        <x:v>4</x:v>
      </x:c>
      <x:c r="K4724" s="2" t="n">
        <x:v>3</x:v>
      </x:c>
      <x:c r="L4724" s="2" t="str">
        <x:v>Loyal</x:v>
      </x:c>
    </x:row>
    <x:row r="4725" ht="22" customHeight="1">
      <x:c r="A4725" s="2"/>
      <x:c r="B4725" s="2" t="str">
        <x:v>17082</x:v>
      </x:c>
      <x:c r="C4725" s="2" t="str">
        <x:v>United Kingdom</x:v>
      </x:c>
      <x:c r="D4725" s="25" t="n">
        <x:v>40162.26736111111</x:v>
      </x:c>
      <x:c r="E4725" s="25" t="n">
        <x:v>40853.42847222222</x:v>
      </x:c>
      <x:c r="F4725" s="2" t="n">
        <x:v>34</x:v>
      </x:c>
      <x:c r="G4725" s="2" t="n">
        <x:v>6</x:v>
      </x:c>
      <x:c r="H4725" s="11" t="n">
        <x:v>4732.03</x:v>
      </x:c>
      <x:c r="I4725" s="2" t="n">
        <x:v>4</x:v>
      </x:c>
      <x:c r="J4725" s="2" t="n">
        <x:v>4</x:v>
      </x:c>
      <x:c r="K4725" s="2" t="n">
        <x:v>5</x:v>
      </x:c>
      <x:c r="L4725" s="2" t="str">
        <x:v>Champions</x:v>
      </x:c>
    </x:row>
    <x:row r="4726" ht="22" customHeight="1">
      <x:c r="A4726" s="2"/>
      <x:c r="B4726" s="2" t="str">
        <x:v>17083</x:v>
      </x:c>
      <x:c r="C4726" s="2" t="str">
        <x:v>United Kingdom</x:v>
      </x:c>
      <x:c r="D4726" s="25" t="n">
        <x:v>40218.28194444445</x:v>
      </x:c>
      <x:c r="E4726" s="25" t="n">
        <x:v>40777.44652777778</x:v>
      </x:c>
      <x:c r="F4726" s="2" t="n">
        <x:v>110</x:v>
      </x:c>
      <x:c r="G4726" s="2" t="n">
        <x:v>9</x:v>
      </x:c>
      <x:c r="H4726" s="11" t="n">
        <x:v>4049.79</x:v>
      </x:c>
      <x:c r="I4726" s="2" t="n">
        <x:v>3</x:v>
      </x:c>
      <x:c r="J4726" s="2" t="n">
        <x:v>5</x:v>
      </x:c>
      <x:c r="K4726" s="2" t="n">
        <x:v>5</x:v>
      </x:c>
      <x:c r="L4726" s="2" t="str">
        <x:v>Loyal</x:v>
      </x:c>
    </x:row>
    <x:row r="4727" ht="22" customHeight="1">
      <x:c r="A4727" s="2"/>
      <x:c r="B4727" s="2" t="str">
        <x:v>17084</x:v>
      </x:c>
      <x:c r="C4727" s="2" t="str">
        <x:v>United Kingdom</x:v>
      </x:c>
      <x:c r="D4727" s="25" t="n">
        <x:v>40490.38888888889</x:v>
      </x:c>
      <x:c r="E4727" s="25" t="n">
        <x:v>40851.4125</x:v>
      </x:c>
      <x:c r="F4727" s="2" t="n">
        <x:v>36</x:v>
      </x:c>
      <x:c r="G4727" s="2" t="n">
        <x:v>3</x:v>
      </x:c>
      <x:c r="H4727" s="11" t="n">
        <x:v>5202.97</x:v>
      </x:c>
      <x:c r="I4727" s="2" t="n">
        <x:v>4</x:v>
      </x:c>
      <x:c r="J4727" s="2" t="n">
        <x:v>3</x:v>
      </x:c>
      <x:c r="K4727" s="2" t="n">
        <x:v>5</x:v>
      </x:c>
      <x:c r="L4727" s="2" t="str">
        <x:v>Loyal</x:v>
      </x:c>
    </x:row>
    <x:row r="4728" ht="22" customHeight="1">
      <x:c r="A4728" s="2"/>
      <x:c r="B4728" s="2" t="str">
        <x:v>17085</x:v>
      </x:c>
      <x:c r="C4728" s="2" t="str">
        <x:v>United Kingdom</x:v>
      </x:c>
      <x:c r="D4728" s="25" t="n">
        <x:v>40153.302777777775</x:v>
      </x:c>
      <x:c r="E4728" s="25" t="n">
        <x:v>40763.385416666664</x:v>
      </x:c>
      <x:c r="F4728" s="2" t="n">
        <x:v>124</x:v>
      </x:c>
      <x:c r="G4728" s="2" t="n">
        <x:v>28</x:v>
      </x:c>
      <x:c r="H4728" s="11" t="n">
        <x:v>7891.41</x:v>
      </x:c>
      <x:c r="I4728" s="2" t="n">
        <x:v>3</x:v>
      </x:c>
      <x:c r="J4728" s="2" t="n">
        <x:v>5</x:v>
      </x:c>
      <x:c r="K4728" s="2" t="n">
        <x:v>5</x:v>
      </x:c>
      <x:c r="L4728" s="2" t="str">
        <x:v>Loyal</x:v>
      </x:c>
    </x:row>
    <x:row r="4729" ht="22" customHeight="1">
      <x:c r="A4729" s="2"/>
      <x:c r="B4729" s="2" t="str">
        <x:v>17086</x:v>
      </x:c>
      <x:c r="C4729" s="2" t="str">
        <x:v>United Kingdom</x:v>
      </x:c>
      <x:c r="D4729" s="25" t="n">
        <x:v>40823.26527777778</x:v>
      </x:c>
      <x:c r="E4729" s="25" t="n">
        <x:v>40879.370833333334</x:v>
      </x:c>
      <x:c r="F4729" s="2" t="n">
        <x:v>8</x:v>
      </x:c>
      <x:c r="G4729" s="2" t="n">
        <x:v>6</x:v>
      </x:c>
      <x:c r="H4729" s="11" t="n">
        <x:v>2050.08</x:v>
      </x:c>
      <x:c r="I4729" s="2" t="n">
        <x:v>5</x:v>
      </x:c>
      <x:c r="J4729" s="2" t="n">
        <x:v>4</x:v>
      </x:c>
      <x:c r="K4729" s="2" t="n">
        <x:v>4</x:v>
      </x:c>
      <x:c r="L4729" s="2" t="str">
        <x:v>Champions</x:v>
      </x:c>
    </x:row>
    <x:row r="4730" ht="22" customHeight="1">
      <x:c r="A4730" s="2"/>
      <x:c r="B4730" s="2" t="str">
        <x:v>17087</x:v>
      </x:c>
      <x:c r="C4730" s="2" t="str">
        <x:v>United Kingdom</x:v>
      </x:c>
      <x:c r="D4730" s="25" t="n">
        <x:v>40149.236805555556</x:v>
      </x:c>
      <x:c r="E4730" s="25" t="n">
        <x:v>40149.236805555556</x:v>
      </x:c>
      <x:c r="F4730" s="2" t="n">
        <x:v>738</x:v>
      </x:c>
      <x:c r="G4730" s="2" t="n">
        <x:v>1</x:v>
      </x:c>
      <x:c r="H4730" s="11" t="n">
        <x:v>221.53</x:v>
      </x:c>
      <x:c r="I4730" s="2" t="n">
        <x:v>1</x:v>
      </x:c>
      <x:c r="J4730" s="2" t="n">
        <x:v>1</x:v>
      </x:c>
      <x:c r="K4730" s="2" t="n">
        <x:v>1</x:v>
      </x:c>
      <x:c r="L4730" s="2" t="str">
        <x:v>Hibernating</x:v>
      </x:c>
    </x:row>
    <x:row r="4731" ht="22" customHeight="1">
      <x:c r="A4731" s="2"/>
      <x:c r="B4731" s="2" t="str">
        <x:v>17088</x:v>
      </x:c>
      <x:c r="C4731" s="2" t="str">
        <x:v>United Kingdom</x:v>
      </x:c>
      <x:c r="D4731" s="25" t="n">
        <x:v>40633.2</x:v>
      </x:c>
      <x:c r="E4731" s="25" t="n">
        <x:v>40858.39097222222</x:v>
      </x:c>
      <x:c r="F4731" s="2" t="n">
        <x:v>29</x:v>
      </x:c>
      <x:c r="G4731" s="2" t="n">
        <x:v>4</x:v>
      </x:c>
      <x:c r="H4731" s="11" t="n">
        <x:v>1991.01</x:v>
      </x:c>
      <x:c r="I4731" s="2" t="n">
        <x:v>4</x:v>
      </x:c>
      <x:c r="J4731" s="2" t="n">
        <x:v>3</x:v>
      </x:c>
      <x:c r="K4731" s="2" t="n">
        <x:v>4</x:v>
      </x:c>
      <x:c r="L4731" s="2" t="str">
        <x:v>Loyal</x:v>
      </x:c>
    </x:row>
    <x:row r="4732" ht="22" customHeight="1">
      <x:c r="A4732" s="2"/>
      <x:c r="B4732" s="2" t="str">
        <x:v>17089</x:v>
      </x:c>
      <x:c r="C4732" s="2" t="str">
        <x:v>United Kingdom</x:v>
      </x:c>
      <x:c r="D4732" s="25" t="n">
        <x:v>40500.43958333333</x:v>
      </x:c>
      <x:c r="E4732" s="25" t="n">
        <x:v>40500.43958333333</x:v>
      </x:c>
      <x:c r="F4732" s="2" t="n">
        <x:v>387</x:v>
      </x:c>
      <x:c r="G4732" s="2" t="n">
        <x:v>1</x:v>
      </x:c>
      <x:c r="H4732" s="11" t="n">
        <x:v>128.45</x:v>
      </x:c>
      <x:c r="I4732" s="2" t="n">
        <x:v>2</x:v>
      </x:c>
      <x:c r="J4732" s="2" t="n">
        <x:v>1</x:v>
      </x:c>
      <x:c r="K4732" s="2" t="n">
        <x:v>1</x:v>
      </x:c>
      <x:c r="L4732" s="2" t="str">
        <x:v>Hibernating</x:v>
      </x:c>
    </x:row>
    <x:row r="4733" ht="22" customHeight="1">
      <x:c r="A4733" s="2"/>
      <x:c r="B4733" s="2" t="str">
        <x:v>17090</x:v>
      </x:c>
      <x:c r="C4733" s="2" t="str">
        <x:v>United Kingdom</x:v>
      </x:c>
      <x:c r="D4733" s="25" t="n">
        <x:v>40378.45972222222</x:v>
      </x:c>
      <x:c r="E4733" s="25" t="n">
        <x:v>40882.36388888889</x:v>
      </x:c>
      <x:c r="F4733" s="2" t="n">
        <x:v>5</x:v>
      </x:c>
      <x:c r="G4733" s="2" t="n">
        <x:v>13</x:v>
      </x:c>
      <x:c r="H4733" s="11" t="n">
        <x:v>3149.48</x:v>
      </x:c>
      <x:c r="I4733" s="2" t="n">
        <x:v>5</x:v>
      </x:c>
      <x:c r="J4733" s="2" t="n">
        <x:v>5</x:v>
      </x:c>
      <x:c r="K4733" s="2" t="n">
        <x:v>5</x:v>
      </x:c>
      <x:c r="L4733" s="2" t="str">
        <x:v>Champions</x:v>
      </x:c>
    </x:row>
    <x:row r="4734" ht="22" customHeight="1">
      <x:c r="A4734" s="2"/>
      <x:c r="B4734" s="2" t="str">
        <x:v>17091</x:v>
      </x:c>
      <x:c r="C4734" s="2" t="str">
        <x:v>United Kingdom</x:v>
      </x:c>
      <x:c r="D4734" s="25" t="n">
        <x:v>40163.447916666664</x:v>
      </x:c>
      <x:c r="E4734" s="25" t="n">
        <x:v>40884.23819444444</x:v>
      </x:c>
      <x:c r="F4734" s="2" t="n">
        <x:v>3</x:v>
      </x:c>
      <x:c r="G4734" s="2" t="n">
        <x:v>19</x:v>
      </x:c>
      <x:c r="H4734" s="11" t="n">
        <x:v>7517.65</x:v>
      </x:c>
      <x:c r="I4734" s="2" t="n">
        <x:v>5</x:v>
      </x:c>
      <x:c r="J4734" s="2" t="n">
        <x:v>5</x:v>
      </x:c>
      <x:c r="K4734" s="2" t="n">
        <x:v>5</x:v>
      </x:c>
      <x:c r="L4734" s="2" t="str">
        <x:v>Champions</x:v>
      </x:c>
    </x:row>
    <x:row r="4735" ht="22" customHeight="1">
      <x:c r="A4735" s="2"/>
      <x:c r="B4735" s="2" t="str">
        <x:v>17092</x:v>
      </x:c>
      <x:c r="C4735" s="2" t="str">
        <x:v>United Kingdom</x:v>
      </x:c>
      <x:c r="D4735" s="25" t="n">
        <x:v>40211.4875</x:v>
      </x:c>
      <x:c r="E4735" s="25" t="n">
        <x:v>40836.61875</x:v>
      </x:c>
      <x:c r="F4735" s="2" t="n">
        <x:v>51</x:v>
      </x:c>
      <x:c r="G4735" s="2" t="n">
        <x:v>11</x:v>
      </x:c>
      <x:c r="H4735" s="11" t="n">
        <x:v>5594.96</x:v>
      </x:c>
      <x:c r="I4735" s="2" t="n">
        <x:v>4</x:v>
      </x:c>
      <x:c r="J4735" s="2" t="n">
        <x:v>5</x:v>
      </x:c>
      <x:c r="K4735" s="2" t="n">
        <x:v>5</x:v>
      </x:c>
      <x:c r="L4735" s="2" t="str">
        <x:v>Champions</x:v>
      </x:c>
    </x:row>
    <x:row r="4736" ht="22" customHeight="1">
      <x:c r="A4736" s="2"/>
      <x:c r="B4736" s="2" t="str">
        <x:v>17093</x:v>
      </x:c>
      <x:c r="C4736" s="2" t="str">
        <x:v>United Kingdom</x:v>
      </x:c>
      <x:c r="D4736" s="25" t="n">
        <x:v>40294.22361111111</x:v>
      </x:c>
      <x:c r="E4736" s="25" t="n">
        <x:v>40294.22361111111</x:v>
      </x:c>
      <x:c r="F4736" s="2" t="n">
        <x:v>593</x:v>
      </x:c>
      <x:c r="G4736" s="2" t="n">
        <x:v>1</x:v>
      </x:c>
      <x:c r="H4736" s="11" t="n">
        <x:v>235.88</x:v>
      </x:c>
      <x:c r="I4736" s="2" t="n">
        <x:v>1</x:v>
      </x:c>
      <x:c r="J4736" s="2" t="n">
        <x:v>1</x:v>
      </x:c>
      <x:c r="K4736" s="2" t="n">
        <x:v>1</x:v>
      </x:c>
      <x:c r="L4736" s="2" t="str">
        <x:v>Hibernating</x:v>
      </x:c>
    </x:row>
    <x:row r="4737" ht="22" customHeight="1">
      <x:c r="A4737" s="2"/>
      <x:c r="B4737" s="2" t="str">
        <x:v>17094</x:v>
      </x:c>
      <x:c r="C4737" s="2" t="str">
        <x:v>United Kingdom</x:v>
      </x:c>
      <x:c r="D4737" s="25" t="n">
        <x:v>40463.24166666667</x:v>
      </x:c>
      <x:c r="E4737" s="25" t="n">
        <x:v>40564.339583333334</x:v>
      </x:c>
      <x:c r="F4737" s="2" t="n">
        <x:v>323</x:v>
      </x:c>
      <x:c r="G4737" s="2" t="n">
        <x:v>2</x:v>
      </x:c>
      <x:c r="H4737" s="11" t="n">
        <x:v>402.2</x:v>
      </x:c>
      <x:c r="I4737" s="2" t="n">
        <x:v>2</x:v>
      </x:c>
      <x:c r="J4737" s="2" t="n">
        <x:v>2</x:v>
      </x:c>
      <x:c r="K4737" s="2" t="n">
        <x:v>2</x:v>
      </x:c>
      <x:c r="L4737" s="2" t="str">
        <x:v>Hibernating</x:v>
      </x:c>
    </x:row>
    <x:row r="4738" ht="22" customHeight="1">
      <x:c r="A4738" s="2"/>
      <x:c r="B4738" s="2" t="str">
        <x:v>17095</x:v>
      </x:c>
      <x:c r="C4738" s="2" t="str">
        <x:v>United Kingdom</x:v>
      </x:c>
      <x:c r="D4738" s="25" t="n">
        <x:v>40162.313888888886</x:v>
      </x:c>
      <x:c r="E4738" s="25" t="n">
        <x:v>40864.30625</x:v>
      </x:c>
      <x:c r="F4738" s="2" t="n">
        <x:v>23</x:v>
      </x:c>
      <x:c r="G4738" s="2" t="n">
        <x:v>7</x:v>
      </x:c>
      <x:c r="H4738" s="11" t="n">
        <x:v>2572.25</x:v>
      </x:c>
      <x:c r="I4738" s="2" t="n">
        <x:v>4</x:v>
      </x:c>
      <x:c r="J4738" s="2" t="n">
        <x:v>4</x:v>
      </x:c>
      <x:c r="K4738" s="2" t="n">
        <x:v>4</x:v>
      </x:c>
      <x:c r="L4738" s="2" t="str">
        <x:v>Champions</x:v>
      </x:c>
    </x:row>
    <x:row r="4739" ht="22" customHeight="1">
      <x:c r="A4739" s="2"/>
      <x:c r="B4739" s="2" t="str">
        <x:v>17096</x:v>
      </x:c>
      <x:c r="C4739" s="2" t="str">
        <x:v>United Kingdom</x:v>
      </x:c>
      <x:c r="D4739" s="25" t="n">
        <x:v>40331.40833333333</x:v>
      </x:c>
      <x:c r="E4739" s="25" t="n">
        <x:v>40871.41736111111</x:v>
      </x:c>
      <x:c r="F4739" s="2" t="n">
        <x:v>16</x:v>
      </x:c>
      <x:c r="G4739" s="2" t="n">
        <x:v>11</x:v>
      </x:c>
      <x:c r="H4739" s="11" t="n">
        <x:v>3759.18</x:v>
      </x:c>
      <x:c r="I4739" s="2" t="n">
        <x:v>5</x:v>
      </x:c>
      <x:c r="J4739" s="2" t="n">
        <x:v>5</x:v>
      </x:c>
      <x:c r="K4739" s="2" t="n">
        <x:v>5</x:v>
      </x:c>
      <x:c r="L4739" s="2" t="str">
        <x:v>Champions</x:v>
      </x:c>
    </x:row>
    <x:row r="4740" ht="22" customHeight="1">
      <x:c r="A4740" s="2"/>
      <x:c r="B4740" s="2" t="str">
        <x:v>17097</x:v>
      </x:c>
      <x:c r="C4740" s="2" t="str">
        <x:v>Spain</x:v>
      </x:c>
      <x:c r="D4740" s="25" t="n">
        <x:v>40456.38125</x:v>
      </x:c>
      <x:c r="E4740" s="25" t="n">
        <x:v>40884.50347222222</x:v>
      </x:c>
      <x:c r="F4740" s="2" t="n">
        <x:v>3</x:v>
      </x:c>
      <x:c r="G4740" s="2" t="n">
        <x:v>9</x:v>
      </x:c>
      <x:c r="H4740" s="11" t="n">
        <x:v>1165.73</x:v>
      </x:c>
      <x:c r="I4740" s="2" t="n">
        <x:v>5</x:v>
      </x:c>
      <x:c r="J4740" s="2" t="n">
        <x:v>5</x:v>
      </x:c>
      <x:c r="K4740" s="2" t="n">
        <x:v>3</x:v>
      </x:c>
      <x:c r="L4740" s="2" t="str">
        <x:v>Loyal</x:v>
      </x:c>
    </x:row>
    <x:row r="4741" ht="22" customHeight="1">
      <x:c r="A4741" s="2"/>
      <x:c r="B4741" s="2" t="str">
        <x:v>17098</x:v>
      </x:c>
      <x:c r="C4741" s="2" t="str">
        <x:v>United Kingdom</x:v>
      </x:c>
      <x:c r="D4741" s="25" t="n">
        <x:v>40346.229166666664</x:v>
      </x:c>
      <x:c r="E4741" s="25" t="n">
        <x:v>40505.30069444444</x:v>
      </x:c>
      <x:c r="F4741" s="2" t="n">
        <x:v>382</x:v>
      </x:c>
      <x:c r="G4741" s="2" t="n">
        <x:v>3</x:v>
      </x:c>
      <x:c r="H4741" s="11" t="n">
        <x:v>591.07</x:v>
      </x:c>
      <x:c r="I4741" s="2" t="n">
        <x:v>2</x:v>
      </x:c>
      <x:c r="J4741" s="2" t="n">
        <x:v>3</x:v>
      </x:c>
      <x:c r="K4741" s="2" t="n">
        <x:v>2</x:v>
      </x:c>
      <x:c r="L4741" s="2" t="str">
        <x:v>At risk</x:v>
      </x:c>
    </x:row>
    <x:row r="4742" ht="22" customHeight="1">
      <x:c r="A4742" s="2"/>
      <x:c r="B4742" s="2" t="str">
        <x:v>17099</x:v>
      </x:c>
      <x:c r="C4742" s="2" t="str">
        <x:v>United Kingdom</x:v>
      </x:c>
      <x:c r="D4742" s="25" t="n">
        <x:v>40353.475694444445</x:v>
      </x:c>
      <x:c r="E4742" s="25" t="n">
        <x:v>40353.475694444445</x:v>
      </x:c>
      <x:c r="F4742" s="2" t="n">
        <x:v>534</x:v>
      </x:c>
      <x:c r="G4742" s="2" t="n">
        <x:v>1</x:v>
      </x:c>
      <x:c r="H4742" s="11" t="n">
        <x:v>582.17</x:v>
      </x:c>
      <x:c r="I4742" s="2" t="n">
        <x:v>1</x:v>
      </x:c>
      <x:c r="J4742" s="2" t="n">
        <x:v>1</x:v>
      </x:c>
      <x:c r="K4742" s="2" t="n">
        <x:v>2</x:v>
      </x:c>
      <x:c r="L4742" s="2" t="str">
        <x:v>Hibernating</x:v>
      </x:c>
    </x:row>
    <x:row r="4743" ht="22" customHeight="1">
      <x:c r="A4743" s="2"/>
      <x:c r="B4743" s="2" t="str">
        <x:v>17100</x:v>
      </x:c>
      <x:c r="C4743" s="2" t="str">
        <x:v>United Kingdom</x:v>
      </x:c>
      <x:c r="D4743" s="25" t="n">
        <x:v>40868.48333333333</x:v>
      </x:c>
      <x:c r="E4743" s="25" t="n">
        <x:v>40868.48333333333</x:v>
      </x:c>
      <x:c r="F4743" s="2" t="n">
        <x:v>19</x:v>
      </x:c>
      <x:c r="G4743" s="2" t="n">
        <x:v>2</x:v>
      </x:c>
      <x:c r="H4743" s="11" t="n">
        <x:v>971.74</x:v>
      </x:c>
      <x:c r="I4743" s="2" t="n">
        <x:v>5</x:v>
      </x:c>
      <x:c r="J4743" s="2" t="n">
        <x:v>2</x:v>
      </x:c>
      <x:c r="K4743" s="2" t="n">
        <x:v>3</x:v>
      </x:c>
      <x:c r="L4743" s="2" t="str">
        <x:v>Recent light buyers</x:v>
      </x:c>
    </x:row>
    <x:row r="4744" ht="22" customHeight="1">
      <x:c r="A4744" s="2"/>
      <x:c r="B4744" s="2" t="str">
        <x:v>17101</x:v>
      </x:c>
      <x:c r="C4744" s="2" t="str">
        <x:v>United Kingdom</x:v>
      </x:c>
      <x:c r="D4744" s="25" t="n">
        <x:v>40336.425</x:v>
      </x:c>
      <x:c r="E4744" s="25" t="n">
        <x:v>40876.37291666667</x:v>
      </x:c>
      <x:c r="F4744" s="2" t="n">
        <x:v>11</x:v>
      </x:c>
      <x:c r="G4744" s="2" t="n">
        <x:v>7</x:v>
      </x:c>
      <x:c r="H4744" s="11" t="n">
        <x:v>2507.05</x:v>
      </x:c>
      <x:c r="I4744" s="2" t="n">
        <x:v>5</x:v>
      </x:c>
      <x:c r="J4744" s="2" t="n">
        <x:v>4</x:v>
      </x:c>
      <x:c r="K4744" s="2" t="n">
        <x:v>4</x:v>
      </x:c>
      <x:c r="L4744" s="2" t="str">
        <x:v>Champions</x:v>
      </x:c>
    </x:row>
    <x:row r="4745" ht="22" customHeight="1">
      <x:c r="A4745" s="2"/>
      <x:c r="B4745" s="2" t="str">
        <x:v>17102</x:v>
      </x:c>
      <x:c r="C4745" s="2" t="str">
        <x:v>United Kingdom</x:v>
      </x:c>
      <x:c r="D4745" s="25" t="n">
        <x:v>40625.21388888889</x:v>
      </x:c>
      <x:c r="E4745" s="25" t="n">
        <x:v>40625.21388888889</x:v>
      </x:c>
      <x:c r="F4745" s="2" t="n">
        <x:v>262</x:v>
      </x:c>
      <x:c r="G4745" s="2" t="n">
        <x:v>1</x:v>
      </x:c>
      <x:c r="H4745" s="11" t="n">
        <x:v>25.5</x:v>
      </x:c>
      <x:c r="I4745" s="2" t="n">
        <x:v>2</x:v>
      </x:c>
      <x:c r="J4745" s="2" t="n">
        <x:v>1</x:v>
      </x:c>
      <x:c r="K4745" s="2" t="n">
        <x:v>1</x:v>
      </x:c>
      <x:c r="L4745" s="2" t="str">
        <x:v>Hibernating</x:v>
      </x:c>
    </x:row>
    <x:row r="4746" ht="22" customHeight="1">
      <x:c r="A4746" s="2"/>
      <x:c r="B4746" s="2" t="str">
        <x:v>17103</x:v>
      </x:c>
      <x:c r="C4746" s="2" t="str">
        <x:v>United Kingdom</x:v>
      </x:c>
      <x:c r="D4746" s="25" t="n">
        <x:v>40164.38055555556</x:v>
      </x:c>
      <x:c r="E4746" s="25" t="n">
        <x:v>40164.38055555556</x:v>
      </x:c>
      <x:c r="F4746" s="2" t="n">
        <x:v>723</x:v>
      </x:c>
      <x:c r="G4746" s="2" t="n">
        <x:v>1</x:v>
      </x:c>
      <x:c r="H4746" s="11" t="n">
        <x:v>424.3</x:v>
      </x:c>
      <x:c r="I4746" s="2" t="n">
        <x:v>1</x:v>
      </x:c>
      <x:c r="J4746" s="2" t="n">
        <x:v>1</x:v>
      </x:c>
      <x:c r="K4746" s="2" t="n">
        <x:v>2</x:v>
      </x:c>
      <x:c r="L4746" s="2" t="str">
        <x:v>Hibernating</x:v>
      </x:c>
    </x:row>
    <x:row r="4747" ht="22" customHeight="1">
      <x:c r="A4747" s="2"/>
      <x:c r="B4747" s="2" t="str">
        <x:v>17104</x:v>
      </x:c>
      <x:c r="C4747" s="2" t="str">
        <x:v>United Kingdom</x:v>
      </x:c>
      <x:c r="D4747" s="25" t="n">
        <x:v>40463.30625</x:v>
      </x:c>
      <x:c r="E4747" s="25" t="n">
        <x:v>40463.30625</x:v>
      </x:c>
      <x:c r="F4747" s="2" t="n">
        <x:v>424</x:v>
      </x:c>
      <x:c r="G4747" s="2" t="n">
        <x:v>1</x:v>
      </x:c>
      <x:c r="H4747" s="11" t="n">
        <x:v>474.03</x:v>
      </x:c>
      <x:c r="I4747" s="2" t="n">
        <x:v>1</x:v>
      </x:c>
      <x:c r="J4747" s="2" t="n">
        <x:v>1</x:v>
      </x:c>
      <x:c r="K4747" s="2" t="n">
        <x:v>2</x:v>
      </x:c>
      <x:c r="L4747" s="2" t="str">
        <x:v>Hibernating</x:v>
      </x:c>
    </x:row>
    <x:row r="4748" ht="22" customHeight="1">
      <x:c r="A4748" s="2"/>
      <x:c r="B4748" s="2" t="str">
        <x:v>17105</x:v>
      </x:c>
      <x:c r="C4748" s="2" t="str">
        <x:v>United Kingdom</x:v>
      </x:c>
      <x:c r="D4748" s="25" t="n">
        <x:v>40580.40694444445</x:v>
      </x:c>
      <x:c r="E4748" s="25" t="n">
        <x:v>40727.45347222222</x:v>
      </x:c>
      <x:c r="F4748" s="2" t="n">
        <x:v>160</x:v>
      </x:c>
      <x:c r="G4748" s="2" t="n">
        <x:v>2</x:v>
      </x:c>
      <x:c r="H4748" s="11" t="n">
        <x:v>665.78</x:v>
      </x:c>
      <x:c r="I4748" s="2" t="n">
        <x:v>3</x:v>
      </x:c>
      <x:c r="J4748" s="2" t="n">
        <x:v>2</x:v>
      </x:c>
      <x:c r="K4748" s="2" t="n">
        <x:v>3</x:v>
      </x:c>
      <x:c r="L4748" s="2" t="str">
        <x:v>Developing</x:v>
      </x:c>
    </x:row>
    <x:row r="4749" ht="22" customHeight="1">
      <x:c r="A4749" s="2"/>
      <x:c r="B4749" s="2" t="str">
        <x:v>17106</x:v>
      </x:c>
      <x:c r="C4749" s="2" t="str">
        <x:v>United Kingdom</x:v>
      </x:c>
      <x:c r="D4749" s="25" t="n">
        <x:v>40497.38263888889</x:v>
      </x:c>
      <x:c r="E4749" s="25" t="n">
        <x:v>40497.38263888889</x:v>
      </x:c>
      <x:c r="F4749" s="2" t="n">
        <x:v>390</x:v>
      </x:c>
      <x:c r="G4749" s="2" t="n">
        <x:v>1</x:v>
      </x:c>
      <x:c r="H4749" s="11" t="n">
        <x:v>491.23</x:v>
      </x:c>
      <x:c r="I4749" s="2" t="n">
        <x:v>2</x:v>
      </x:c>
      <x:c r="J4749" s="2" t="n">
        <x:v>1</x:v>
      </x:c>
      <x:c r="K4749" s="2" t="n">
        <x:v>2</x:v>
      </x:c>
      <x:c r="L4749" s="2" t="str">
        <x:v>Hibernating</x:v>
      </x:c>
    </x:row>
    <x:row r="4750" ht="22" customHeight="1">
      <x:c r="A4750" s="2"/>
      <x:c r="B4750" s="2" t="str">
        <x:v>17107</x:v>
      </x:c>
      <x:c r="C4750" s="2" t="str">
        <x:v>United Kingdom</x:v>
      </x:c>
      <x:c r="D4750" s="25" t="n">
        <x:v>40209.44930555556</x:v>
      </x:c>
      <x:c r="E4750" s="25" t="n">
        <x:v>40853.384722222225</x:v>
      </x:c>
      <x:c r="F4750" s="2" t="n">
        <x:v>34</x:v>
      </x:c>
      <x:c r="G4750" s="2" t="n">
        <x:v>10</x:v>
      </x:c>
      <x:c r="H4750" s="11" t="n">
        <x:v>16075.42</x:v>
      </x:c>
      <x:c r="I4750" s="2" t="n">
        <x:v>4</x:v>
      </x:c>
      <x:c r="J4750" s="2" t="n">
        <x:v>5</x:v>
      </x:c>
      <x:c r="K4750" s="2" t="n">
        <x:v>5</x:v>
      </x:c>
      <x:c r="L4750" s="2" t="str">
        <x:v>Champions</x:v>
      </x:c>
    </x:row>
    <x:row r="4751" ht="22" customHeight="1">
      <x:c r="A4751" s="2"/>
      <x:c r="B4751" s="2" t="str">
        <x:v>17108</x:v>
      </x:c>
      <x:c r="C4751" s="2" t="str">
        <x:v>United Kingdom</x:v>
      </x:c>
      <x:c r="D4751" s="25" t="n">
        <x:v>40223.30694444444</x:v>
      </x:c>
      <x:c r="E4751" s="25" t="n">
        <x:v>40223.30694444444</x:v>
      </x:c>
      <x:c r="F4751" s="2" t="n">
        <x:v>664</x:v>
      </x:c>
      <x:c r="G4751" s="2" t="n">
        <x:v>1</x:v>
      </x:c>
      <x:c r="H4751" s="11" t="n">
        <x:v>174.95</x:v>
      </x:c>
      <x:c r="I4751" s="2" t="n">
        <x:v>1</x:v>
      </x:c>
      <x:c r="J4751" s="2" t="n">
        <x:v>1</x:v>
      </x:c>
      <x:c r="K4751" s="2" t="n">
        <x:v>1</x:v>
      </x:c>
      <x:c r="L4751" s="2" t="str">
        <x:v>Hibernating</x:v>
      </x:c>
    </x:row>
    <x:row r="4752" ht="22" customHeight="1">
      <x:c r="A4752" s="2"/>
      <x:c r="B4752" s="2" t="str">
        <x:v>17109</x:v>
      </x:c>
      <x:c r="C4752" s="2" t="str">
        <x:v>United Kingdom</x:v>
      </x:c>
      <x:c r="D4752" s="25" t="n">
        <x:v>40389.32083333333</x:v>
      </x:c>
      <x:c r="E4752" s="25" t="n">
        <x:v>40857.49930555555</x:v>
      </x:c>
      <x:c r="F4752" s="2" t="n">
        <x:v>30</x:v>
      </x:c>
      <x:c r="G4752" s="2" t="n">
        <x:v>8</x:v>
      </x:c>
      <x:c r="H4752" s="11" t="n">
        <x:v>1295.46</x:v>
      </x:c>
      <x:c r="I4752" s="2" t="n">
        <x:v>4</x:v>
      </x:c>
      <x:c r="J4752" s="2" t="n">
        <x:v>4</x:v>
      </x:c>
      <x:c r="K4752" s="2" t="n">
        <x:v>4</x:v>
      </x:c>
      <x:c r="L4752" s="2" t="str">
        <x:v>Champions</x:v>
      </x:c>
    </x:row>
    <x:row r="4753" ht="22" customHeight="1">
      <x:c r="A4753" s="2"/>
      <x:c r="B4753" s="2" t="str">
        <x:v>17110</x:v>
      </x:c>
      <x:c r="C4753" s="2" t="str">
        <x:v>United Kingdom</x:v>
      </x:c>
      <x:c r="D4753" s="25" t="n">
        <x:v>40276.35555555556</x:v>
      </x:c>
      <x:c r="E4753" s="25" t="n">
        <x:v>40721.33194444444</x:v>
      </x:c>
      <x:c r="F4753" s="2" t="n">
        <x:v>166</x:v>
      </x:c>
      <x:c r="G4753" s="2" t="n">
        <x:v>3</x:v>
      </x:c>
      <x:c r="H4753" s="11" t="n">
        <x:v>510.7</x:v>
      </x:c>
      <x:c r="I4753" s="2" t="n">
        <x:v>3</x:v>
      </x:c>
      <x:c r="J4753" s="2" t="n">
        <x:v>3</x:v>
      </x:c>
      <x:c r="K4753" s="2" t="n">
        <x:v>2</x:v>
      </x:c>
      <x:c r="L4753" s="2" t="str">
        <x:v>Loyal</x:v>
      </x:c>
    </x:row>
    <x:row r="4754" ht="22" customHeight="1">
      <x:c r="A4754" s="2"/>
      <x:c r="B4754" s="2" t="str">
        <x:v>17111</x:v>
      </x:c>
      <x:c r="C4754" s="2" t="str">
        <x:v>United Kingdom</x:v>
      </x:c>
      <x:c r="D4754" s="25" t="n">
        <x:v>40461.43125</x:v>
      </x:c>
      <x:c r="E4754" s="25" t="n">
        <x:v>40839.45763888889</x:v>
      </x:c>
      <x:c r="F4754" s="2" t="n">
        <x:v>48</x:v>
      </x:c>
      <x:c r="G4754" s="2" t="n">
        <x:v>2</x:v>
      </x:c>
      <x:c r="H4754" s="11" t="n">
        <x:v>476.58</x:v>
      </x:c>
      <x:c r="I4754" s="2" t="n">
        <x:v>4</x:v>
      </x:c>
      <x:c r="J4754" s="2" t="n">
        <x:v>2</x:v>
      </x:c>
      <x:c r="K4754" s="2" t="n">
        <x:v>2</x:v>
      </x:c>
      <x:c r="L4754" s="2" t="str">
        <x:v>Recent light buyers</x:v>
      </x:c>
    </x:row>
    <x:row r="4755" ht="22" customHeight="1">
      <x:c r="A4755" s="2"/>
      <x:c r="B4755" s="2" t="str">
        <x:v>17112</x:v>
      </x:c>
      <x:c r="C4755" s="2" t="str">
        <x:v>United Kingdom</x:v>
      </x:c>
      <x:c r="D4755" s="25" t="n">
        <x:v>40384.259722222225</x:v>
      </x:c>
      <x:c r="E4755" s="25" t="n">
        <x:v>40384.259722222225</x:v>
      </x:c>
      <x:c r="F4755" s="2" t="n">
        <x:v>503</x:v>
      </x:c>
      <x:c r="G4755" s="2" t="n">
        <x:v>1</x:v>
      </x:c>
      <x:c r="H4755" s="11" t="n">
        <x:v>205.17</x:v>
      </x:c>
      <x:c r="I4755" s="2" t="n">
        <x:v>1</x:v>
      </x:c>
      <x:c r="J4755" s="2" t="n">
        <x:v>1</x:v>
      </x:c>
      <x:c r="K4755" s="2" t="n">
        <x:v>1</x:v>
      </x:c>
      <x:c r="L4755" s="2" t="str">
        <x:v>Hibernating</x:v>
      </x:c>
    </x:row>
    <x:row r="4756" ht="22" customHeight="1">
      <x:c r="A4756" s="2"/>
      <x:c r="B4756" s="2" t="str">
        <x:v>17113</x:v>
      </x:c>
      <x:c r="C4756" s="2" t="str">
        <x:v>United Kingdom</x:v>
      </x:c>
      <x:c r="D4756" s="25" t="n">
        <x:v>40189.21805555555</x:v>
      </x:c>
      <x:c r="E4756" s="25" t="n">
        <x:v>40312.37430555555</x:v>
      </x:c>
      <x:c r="F4756" s="2" t="n">
        <x:v>575</x:v>
      </x:c>
      <x:c r="G4756" s="2" t="n">
        <x:v>6</x:v>
      </x:c>
      <x:c r="H4756" s="11" t="n">
        <x:v>2322.59</x:v>
      </x:c>
      <x:c r="I4756" s="2" t="n">
        <x:v>1</x:v>
      </x:c>
      <x:c r="J4756" s="2" t="n">
        <x:v>4</x:v>
      </x:c>
      <x:c r="K4756" s="2" t="n">
        <x:v>4</x:v>
      </x:c>
      <x:c r="L4756" s="2" t="str">
        <x:v>At risk</x:v>
      </x:c>
    </x:row>
    <x:row r="4757" ht="22" customHeight="1">
      <x:c r="A4757" s="2"/>
      <x:c r="B4757" s="2" t="str">
        <x:v>17114</x:v>
      </x:c>
      <x:c r="C4757" s="2" t="str">
        <x:v>United Kingdom</x:v>
      </x:c>
      <x:c r="D4757" s="25" t="n">
        <x:v>40552.277083333334</x:v>
      </x:c>
      <x:c r="E4757" s="25" t="n">
        <x:v>40881.30347222222</x:v>
      </x:c>
      <x:c r="F4757" s="2" t="n">
        <x:v>6</x:v>
      </x:c>
      <x:c r="G4757" s="2" t="n">
        <x:v>8</x:v>
      </x:c>
      <x:c r="H4757" s="11" t="n">
        <x:v>808.62</x:v>
      </x:c>
      <x:c r="I4757" s="2" t="n">
        <x:v>5</x:v>
      </x:c>
      <x:c r="J4757" s="2" t="n">
        <x:v>4</x:v>
      </x:c>
      <x:c r="K4757" s="2" t="n">
        <x:v>3</x:v>
      </x:c>
      <x:c r="L4757" s="2" t="str">
        <x:v>Loyal</x:v>
      </x:c>
    </x:row>
    <x:row r="4758" ht="22" customHeight="1">
      <x:c r="A4758" s="2"/>
      <x:c r="B4758" s="2" t="str">
        <x:v>17115</x:v>
      </x:c>
      <x:c r="C4758" s="2" t="str">
        <x:v>United Kingdom</x:v>
      </x:c>
      <x:c r="D4758" s="25" t="n">
        <x:v>40152.30069444444</x:v>
      </x:c>
      <x:c r="E4758" s="25" t="n">
        <x:v>40878.395833333336</x:v>
      </x:c>
      <x:c r="F4758" s="2" t="n">
        <x:v>9</x:v>
      </x:c>
      <x:c r="G4758" s="2" t="n">
        <x:v>7</x:v>
      </x:c>
      <x:c r="H4758" s="11" t="n">
        <x:v>2761.49</x:v>
      </x:c>
      <x:c r="I4758" s="2" t="n">
        <x:v>5</x:v>
      </x:c>
      <x:c r="J4758" s="2" t="n">
        <x:v>4</x:v>
      </x:c>
      <x:c r="K4758" s="2" t="n">
        <x:v>4</x:v>
      </x:c>
      <x:c r="L4758" s="2" t="str">
        <x:v>Champions</x:v>
      </x:c>
    </x:row>
    <x:row r="4759" ht="22" customHeight="1">
      <x:c r="A4759" s="2"/>
      <x:c r="B4759" s="2" t="str">
        <x:v>17116</x:v>
      </x:c>
      <x:c r="C4759" s="2" t="str">
        <x:v>United Kingdom</x:v>
      </x:c>
      <x:c r="D4759" s="25" t="n">
        <x:v>40238.478472222225</x:v>
      </x:c>
      <x:c r="E4759" s="25" t="n">
        <x:v>40238.478472222225</x:v>
      </x:c>
      <x:c r="F4759" s="2" t="n">
        <x:v>649</x:v>
      </x:c>
      <x:c r="G4759" s="2" t="n">
        <x:v>1</x:v>
      </x:c>
      <x:c r="H4759" s="11" t="n">
        <x:v>389.78</x:v>
      </x:c>
      <x:c r="I4759" s="2" t="n">
        <x:v>1</x:v>
      </x:c>
      <x:c r="J4759" s="2" t="n">
        <x:v>1</x:v>
      </x:c>
      <x:c r="K4759" s="2" t="n">
        <x:v>2</x:v>
      </x:c>
      <x:c r="L4759" s="2" t="str">
        <x:v>Hibernating</x:v>
      </x:c>
    </x:row>
    <x:row r="4760" ht="22" customHeight="1">
      <x:c r="A4760" s="2"/>
      <x:c r="B4760" s="2" t="str">
        <x:v>17117</x:v>
      </x:c>
      <x:c r="C4760" s="2" t="str">
        <x:v>United Kingdom</x:v>
      </x:c>
      <x:c r="D4760" s="25" t="n">
        <x:v>40598.370833333334</x:v>
      </x:c>
      <x:c r="E4760" s="25" t="n">
        <x:v>40598.370833333334</x:v>
      </x:c>
      <x:c r="F4760" s="2" t="n">
        <x:v>289</x:v>
      </x:c>
      <x:c r="G4760" s="2" t="n">
        <x:v>1</x:v>
      </x:c>
      <x:c r="H4760" s="11" t="n">
        <x:v>116.2</x:v>
      </x:c>
      <x:c r="I4760" s="2" t="n">
        <x:v>2</x:v>
      </x:c>
      <x:c r="J4760" s="2" t="n">
        <x:v>1</x:v>
      </x:c>
      <x:c r="K4760" s="2" t="n">
        <x:v>1</x:v>
      </x:c>
      <x:c r="L4760" s="2" t="str">
        <x:v>Hibernating</x:v>
      </x:c>
    </x:row>
    <x:row r="4761" ht="22" customHeight="1">
      <x:c r="A4761" s="2"/>
      <x:c r="B4761" s="2" t="str">
        <x:v>17118</x:v>
      </x:c>
      <x:c r="C4761" s="2" t="str">
        <x:v>United Kingdom</x:v>
      </x:c>
      <x:c r="D4761" s="25" t="n">
        <x:v>40569.30486111111</x:v>
      </x:c>
      <x:c r="E4761" s="25" t="n">
        <x:v>40569.30486111111</x:v>
      </x:c>
      <x:c r="F4761" s="2" t="n">
        <x:v>318</x:v>
      </x:c>
      <x:c r="G4761" s="2" t="n">
        <x:v>1</x:v>
      </x:c>
      <x:c r="H4761" s="11" t="n">
        <x:v>157.02</x:v>
      </x:c>
      <x:c r="I4761" s="2" t="n">
        <x:v>2</x:v>
      </x:c>
      <x:c r="J4761" s="2" t="n">
        <x:v>1</x:v>
      </x:c>
      <x:c r="K4761" s="2" t="n">
        <x:v>1</x:v>
      </x:c>
      <x:c r="L4761" s="2" t="str">
        <x:v>Hibernating</x:v>
      </x:c>
    </x:row>
    <x:row r="4762" ht="22" customHeight="1">
      <x:c r="A4762" s="2"/>
      <x:c r="B4762" s="2" t="str">
        <x:v>17119</x:v>
      </x:c>
      <x:c r="C4762" s="2" t="str">
        <x:v>United Kingdom</x:v>
      </x:c>
      <x:c r="D4762" s="25" t="n">
        <x:v>40827.25208333333</x:v>
      </x:c>
      <x:c r="E4762" s="25" t="n">
        <x:v>40883.40277777778</x:v>
      </x:c>
      <x:c r="F4762" s="2" t="n">
        <x:v>4</x:v>
      </x:c>
      <x:c r="G4762" s="2" t="n">
        <x:v>2</x:v>
      </x:c>
      <x:c r="H4762" s="11" t="n">
        <x:v>606.91</x:v>
      </x:c>
      <x:c r="I4762" s="2" t="n">
        <x:v>5</x:v>
      </x:c>
      <x:c r="J4762" s="2" t="n">
        <x:v>2</x:v>
      </x:c>
      <x:c r="K4762" s="2" t="n">
        <x:v>2</x:v>
      </x:c>
      <x:c r="L4762" s="2" t="str">
        <x:v>Recent light buyers</x:v>
      </x:c>
    </x:row>
    <x:row r="4763" ht="22" customHeight="1">
      <x:c r="A4763" s="2"/>
      <x:c r="B4763" s="2" t="str">
        <x:v>17120</x:v>
      </x:c>
      <x:c r="C4763" s="2" t="str">
        <x:v>United Kingdom</x:v>
      </x:c>
      <x:c r="D4763" s="25" t="n">
        <x:v>40653.43125</x:v>
      </x:c>
      <x:c r="E4763" s="25" t="n">
        <x:v>40653.43125</x:v>
      </x:c>
      <x:c r="F4763" s="2" t="n">
        <x:v>234</x:v>
      </x:c>
      <x:c r="G4763" s="2" t="n">
        <x:v>1</x:v>
      </x:c>
      <x:c r="H4763" s="11" t="n">
        <x:v>307.46</x:v>
      </x:c>
      <x:c r="I4763" s="2" t="n">
        <x:v>2</x:v>
      </x:c>
      <x:c r="J4763" s="2" t="n">
        <x:v>1</x:v>
      </x:c>
      <x:c r="K4763" s="2" t="n">
        <x:v>2</x:v>
      </x:c>
      <x:c r="L4763" s="2" t="str">
        <x:v>Hibernating</x:v>
      </x:c>
    </x:row>
    <x:row r="4764" ht="22" customHeight="1">
      <x:c r="A4764" s="2"/>
      <x:c r="B4764" s="2" t="str">
        <x:v>17121</x:v>
      </x:c>
      <x:c r="C4764" s="2" t="str">
        <x:v>United Kingdom</x:v>
      </x:c>
      <x:c r="D4764" s="25" t="n">
        <x:v>40484.282638888886</x:v>
      </x:c>
      <x:c r="E4764" s="25" t="n">
        <x:v>40484.282638888886</x:v>
      </x:c>
      <x:c r="F4764" s="2" t="n">
        <x:v>403</x:v>
      </x:c>
      <x:c r="G4764" s="2" t="n">
        <x:v>1</x:v>
      </x:c>
      <x:c r="H4764" s="11" t="n">
        <x:v>314.74</x:v>
      </x:c>
      <x:c r="I4764" s="2" t="n">
        <x:v>2</x:v>
      </x:c>
      <x:c r="J4764" s="2" t="n">
        <x:v>1</x:v>
      </x:c>
      <x:c r="K4764" s="2" t="n">
        <x:v>2</x:v>
      </x:c>
      <x:c r="L4764" s="2" t="str">
        <x:v>Hibernating</x:v>
      </x:c>
    </x:row>
    <x:row r="4765" ht="22" customHeight="1">
      <x:c r="A4765" s="2"/>
      <x:c r="B4765" s="2" t="str">
        <x:v>17122</x:v>
      </x:c>
      <x:c r="C4765" s="2" t="str">
        <x:v>United Kingdom</x:v>
      </x:c>
      <x:c r="D4765" s="25" t="n">
        <x:v>40387.19027777778</x:v>
      </x:c>
      <x:c r="E4765" s="25" t="n">
        <x:v>40767.39791666667</x:v>
      </x:c>
      <x:c r="F4765" s="2" t="n">
        <x:v>120</x:v>
      </x:c>
      <x:c r="G4765" s="2" t="n">
        <x:v>4</x:v>
      </x:c>
      <x:c r="H4765" s="11" t="n">
        <x:v>570.5</x:v>
      </x:c>
      <x:c r="I4765" s="2" t="n">
        <x:v>3</x:v>
      </x:c>
      <x:c r="J4765" s="2" t="n">
        <x:v>3</x:v>
      </x:c>
      <x:c r="K4765" s="2" t="n">
        <x:v>2</x:v>
      </x:c>
      <x:c r="L4765" s="2" t="str">
        <x:v>Loyal</x:v>
      </x:c>
    </x:row>
    <x:row r="4766" ht="22" customHeight="1">
      <x:c r="A4766" s="2"/>
      <x:c r="B4766" s="2" t="str">
        <x:v>17123</x:v>
      </x:c>
      <x:c r="C4766" s="2" t="str">
        <x:v>United Kingdom</x:v>
      </x:c>
      <x:c r="D4766" s="25" t="n">
        <x:v>40314.28611111111</x:v>
      </x:c>
      <x:c r="E4766" s="25" t="n">
        <x:v>40725.24097222222</x:v>
      </x:c>
      <x:c r="F4766" s="2" t="n">
        <x:v>162</x:v>
      </x:c>
      <x:c r="G4766" s="2" t="n">
        <x:v>3</x:v>
      </x:c>
      <x:c r="H4766" s="11" t="n">
        <x:v>977.17</x:v>
      </x:c>
      <x:c r="I4766" s="2" t="n">
        <x:v>3</x:v>
      </x:c>
      <x:c r="J4766" s="2" t="n">
        <x:v>3</x:v>
      </x:c>
      <x:c r="K4766" s="2" t="n">
        <x:v>3</x:v>
      </x:c>
      <x:c r="L4766" s="2" t="str">
        <x:v>Loyal</x:v>
      </x:c>
    </x:row>
    <x:row r="4767" ht="22" customHeight="1">
      <x:c r="A4767" s="2"/>
      <x:c r="B4767" s="2" t="str">
        <x:v>17124</x:v>
      </x:c>
      <x:c r="C4767" s="2" t="str">
        <x:v>United Kingdom</x:v>
      </x:c>
      <x:c r="D4767" s="25" t="n">
        <x:v>40701.376388888886</x:v>
      </x:c>
      <x:c r="E4767" s="25" t="n">
        <x:v>40701.376388888886</x:v>
      </x:c>
      <x:c r="F4767" s="2" t="n">
        <x:v>186</x:v>
      </x:c>
      <x:c r="G4767" s="2" t="n">
        <x:v>1</x:v>
      </x:c>
      <x:c r="H4767" s="11" t="n">
        <x:v>298.89</x:v>
      </x:c>
      <x:c r="I4767" s="2" t="n">
        <x:v>3</x:v>
      </x:c>
      <x:c r="J4767" s="2" t="n">
        <x:v>1</x:v>
      </x:c>
      <x:c r="K4767" s="2" t="n">
        <x:v>2</x:v>
      </x:c>
      <x:c r="L4767" s="2" t="str">
        <x:v>Developing</x:v>
      </x:c>
    </x:row>
    <x:row r="4768" ht="22" customHeight="1">
      <x:c r="A4768" s="2"/>
      <x:c r="B4768" s="2" t="str">
        <x:v>17125</x:v>
      </x:c>
      <x:c r="C4768" s="2" t="str">
        <x:v>United Kingdom</x:v>
      </x:c>
      <x:c r="D4768" s="25" t="n">
        <x:v>40836.40347222222</x:v>
      </x:c>
      <x:c r="E4768" s="25" t="n">
        <x:v>40836.40347222222</x:v>
      </x:c>
      <x:c r="F4768" s="2" t="n">
        <x:v>51</x:v>
      </x:c>
      <x:c r="G4768" s="2" t="n">
        <x:v>1</x:v>
      </x:c>
      <x:c r="H4768" s="11" t="n">
        <x:v>259.35</x:v>
      </x:c>
      <x:c r="I4768" s="2" t="n">
        <x:v>4</x:v>
      </x:c>
      <x:c r="J4768" s="2" t="n">
        <x:v>1</x:v>
      </x:c>
      <x:c r="K4768" s="2" t="n">
        <x:v>1</x:v>
      </x:c>
      <x:c r="L4768" s="2" t="str">
        <x:v>Recent light buyers</x:v>
      </x:c>
    </x:row>
    <x:row r="4769" ht="22" customHeight="1">
      <x:c r="A4769" s="2"/>
      <x:c r="B4769" s="2" t="str">
        <x:v>17126</x:v>
      </x:c>
      <x:c r="C4769" s="2" t="str">
        <x:v>United Kingdom</x:v>
      </x:c>
      <x:c r="D4769" s="25" t="n">
        <x:v>40421.361805555556</x:v>
      </x:c>
      <x:c r="E4769" s="25" t="n">
        <x:v>40734.36944444444</x:v>
      </x:c>
      <x:c r="F4769" s="2" t="n">
        <x:v>153</x:v>
      </x:c>
      <x:c r="G4769" s="2" t="n">
        <x:v>9</x:v>
      </x:c>
      <x:c r="H4769" s="11" t="n">
        <x:v>2070.44</x:v>
      </x:c>
      <x:c r="I4769" s="2" t="n">
        <x:v>3</x:v>
      </x:c>
      <x:c r="J4769" s="2" t="n">
        <x:v>5</x:v>
      </x:c>
      <x:c r="K4769" s="2" t="n">
        <x:v>4</x:v>
      </x:c>
      <x:c r="L4769" s="2" t="str">
        <x:v>Loyal</x:v>
      </x:c>
    </x:row>
    <x:row r="4770" ht="22" customHeight="1">
      <x:c r="A4770" s="2"/>
      <x:c r="B4770" s="2" t="str">
        <x:v>17127</x:v>
      </x:c>
      <x:c r="C4770" s="2" t="str">
        <x:v>United Kingdom</x:v>
      </x:c>
      <x:c r="D4770" s="25" t="n">
        <x:v>40151.42916666667</x:v>
      </x:c>
      <x:c r="E4770" s="25" t="n">
        <x:v>40458.20416666667</x:v>
      </x:c>
      <x:c r="F4770" s="2" t="n">
        <x:v>429</x:v>
      </x:c>
      <x:c r="G4770" s="2" t="n">
        <x:v>5</x:v>
      </x:c>
      <x:c r="H4770" s="11" t="n">
        <x:v>1155.03</x:v>
      </x:c>
      <x:c r="I4770" s="2" t="n">
        <x:v>1</x:v>
      </x:c>
      <x:c r="J4770" s="2" t="n">
        <x:v>4</x:v>
      </x:c>
      <x:c r="K4770" s="2" t="n">
        <x:v>3</x:v>
      </x:c>
      <x:c r="L4770" s="2" t="str">
        <x:v>At risk</x:v>
      </x:c>
    </x:row>
    <x:row r="4771" ht="22" customHeight="1">
      <x:c r="A4771" s="2"/>
      <x:c r="B4771" s="2" t="str">
        <x:v>17128</x:v>
      </x:c>
      <x:c r="C4771" s="2" t="str">
        <x:v>United Kingdom</x:v>
      </x:c>
      <x:c r="D4771" s="25" t="n">
        <x:v>40552.29305555556</x:v>
      </x:c>
      <x:c r="E4771" s="25" t="n">
        <x:v>40552.29305555556</x:v>
      </x:c>
      <x:c r="F4771" s="2" t="n">
        <x:v>335</x:v>
      </x:c>
      <x:c r="G4771" s="2" t="n">
        <x:v>1</x:v>
      </x:c>
      <x:c r="H4771" s="11" t="n">
        <x:v>157.09</x:v>
      </x:c>
      <x:c r="I4771" s="2" t="n">
        <x:v>2</x:v>
      </x:c>
      <x:c r="J4771" s="2" t="n">
        <x:v>1</x:v>
      </x:c>
      <x:c r="K4771" s="2" t="n">
        <x:v>1</x:v>
      </x:c>
      <x:c r="L4771" s="2" t="str">
        <x:v>Hibernating</x:v>
      </x:c>
    </x:row>
    <x:row r="4772" ht="22" customHeight="1">
      <x:c r="A4772" s="2"/>
      <x:c r="B4772" s="2" t="str">
        <x:v>17129</x:v>
      </x:c>
      <x:c r="C4772" s="2" t="str">
        <x:v>United Kingdom</x:v>
      </x:c>
      <x:c r="D4772" s="25" t="n">
        <x:v>40366.365277777775</x:v>
      </x:c>
      <x:c r="E4772" s="25" t="n">
        <x:v>40366.365277777775</x:v>
      </x:c>
      <x:c r="F4772" s="2" t="n">
        <x:v>521</x:v>
      </x:c>
      <x:c r="G4772" s="2" t="n">
        <x:v>1</x:v>
      </x:c>
      <x:c r="H4772" s="11" t="n">
        <x:v>31.85</x:v>
      </x:c>
      <x:c r="I4772" s="2" t="n">
        <x:v>1</x:v>
      </x:c>
      <x:c r="J4772" s="2" t="n">
        <x:v>1</x:v>
      </x:c>
      <x:c r="K4772" s="2" t="n">
        <x:v>1</x:v>
      </x:c>
      <x:c r="L4772" s="2" t="str">
        <x:v>Hibernating</x:v>
      </x:c>
    </x:row>
    <x:row r="4773" ht="22" customHeight="1">
      <x:c r="A4773" s="2"/>
      <x:c r="B4773" s="2" t="str">
        <x:v>17131</x:v>
      </x:c>
      <x:c r="C4773" s="2" t="str">
        <x:v>United Kingdom</x:v>
      </x:c>
      <x:c r="D4773" s="25" t="n">
        <x:v>40811.32083333333</x:v>
      </x:c>
      <x:c r="E4773" s="25" t="n">
        <x:v>40881.32777777778</x:v>
      </x:c>
      <x:c r="F4773" s="2" t="n">
        <x:v>6</x:v>
      </x:c>
      <x:c r="G4773" s="2" t="n">
        <x:v>5</x:v>
      </x:c>
      <x:c r="H4773" s="11" t="n">
        <x:v>2463.17</x:v>
      </x:c>
      <x:c r="I4773" s="2" t="n">
        <x:v>5</x:v>
      </x:c>
      <x:c r="J4773" s="2" t="n">
        <x:v>4</x:v>
      </x:c>
      <x:c r="K4773" s="2" t="n">
        <x:v>4</x:v>
      </x:c>
      <x:c r="L4773" s="2" t="str">
        <x:v>Champions</x:v>
      </x:c>
    </x:row>
    <x:row r="4774" ht="22" customHeight="1">
      <x:c r="A4774" s="2"/>
      <x:c r="B4774" s="2" t="str">
        <x:v>17132</x:v>
      </x:c>
      <x:c r="C4774" s="2" t="str">
        <x:v>United Kingdom</x:v>
      </x:c>
      <x:c r="D4774" s="25" t="n">
        <x:v>40398.36736111111</x:v>
      </x:c>
      <x:c r="E4774" s="25" t="n">
        <x:v>40434.47986111111</x:v>
      </x:c>
      <x:c r="F4774" s="2" t="n">
        <x:v>453</x:v>
      </x:c>
      <x:c r="G4774" s="2" t="n">
        <x:v>2</x:v>
      </x:c>
      <x:c r="H4774" s="11" t="n">
        <x:v>1272.8</x:v>
      </x:c>
      <x:c r="I4774" s="2" t="n">
        <x:v>1</x:v>
      </x:c>
      <x:c r="J4774" s="2" t="n">
        <x:v>2</x:v>
      </x:c>
      <x:c r="K4774" s="2" t="n">
        <x:v>4</x:v>
      </x:c>
      <x:c r="L4774" s="2" t="str">
        <x:v>Hibernating</x:v>
      </x:c>
    </x:row>
    <x:row r="4775" ht="22" customHeight="1">
      <x:c r="A4775" s="2"/>
      <x:c r="B4775" s="2" t="str">
        <x:v>17133</x:v>
      </x:c>
      <x:c r="C4775" s="2" t="str">
        <x:v>United Kingdom</x:v>
      </x:c>
      <x:c r="D4775" s="25" t="n">
        <x:v>40258.31319444445</x:v>
      </x:c>
      <x:c r="E4775" s="25" t="n">
        <x:v>40871.31041666667</x:v>
      </x:c>
      <x:c r="F4775" s="2" t="n">
        <x:v>16</x:v>
      </x:c>
      <x:c r="G4775" s="2" t="n">
        <x:v>12</x:v>
      </x:c>
      <x:c r="H4775" s="11" t="n">
        <x:v>14622.33</x:v>
      </x:c>
      <x:c r="I4775" s="2" t="n">
        <x:v>5</x:v>
      </x:c>
      <x:c r="J4775" s="2" t="n">
        <x:v>5</x:v>
      </x:c>
      <x:c r="K4775" s="2" t="n">
        <x:v>5</x:v>
      </x:c>
      <x:c r="L4775" s="2" t="str">
        <x:v>Champions</x:v>
      </x:c>
    </x:row>
    <x:row r="4776" ht="22" customHeight="1">
      <x:c r="A4776" s="2"/>
      <x:c r="B4776" s="2" t="str">
        <x:v>17134</x:v>
      </x:c>
      <x:c r="C4776" s="2" t="str">
        <x:v>United Kingdom</x:v>
      </x:c>
      <x:c r="D4776" s="25" t="n">
        <x:v>40444.563888888886</x:v>
      </x:c>
      <x:c r="E4776" s="25" t="n">
        <x:v>40780.20347222222</x:v>
      </x:c>
      <x:c r="F4776" s="2" t="n">
        <x:v>107</x:v>
      </x:c>
      <x:c r="G4776" s="2" t="n">
        <x:v>3</x:v>
      </x:c>
      <x:c r="H4776" s="11" t="n">
        <x:v>637.1</x:v>
      </x:c>
      <x:c r="I4776" s="2" t="n">
        <x:v>3</x:v>
      </x:c>
      <x:c r="J4776" s="2" t="n">
        <x:v>3</x:v>
      </x:c>
      <x:c r="K4776" s="2" t="n">
        <x:v>3</x:v>
      </x:c>
      <x:c r="L4776" s="2" t="str">
        <x:v>Loyal</x:v>
      </x:c>
    </x:row>
    <x:row r="4777" ht="22" customHeight="1">
      <x:c r="A4777" s="2"/>
      <x:c r="B4777" s="2" t="str">
        <x:v>17135</x:v>
      </x:c>
      <x:c r="C4777" s="2" t="str">
        <x:v>United Kingdom</x:v>
      </x:c>
      <x:c r="D4777" s="25" t="n">
        <x:v>40307.46041666667</x:v>
      </x:c>
      <x:c r="E4777" s="25" t="n">
        <x:v>40870.49166666667</x:v>
      </x:c>
      <x:c r="F4777" s="2" t="n">
        <x:v>17</x:v>
      </x:c>
      <x:c r="G4777" s="2" t="n">
        <x:v>10</x:v>
      </x:c>
      <x:c r="H4777" s="11" t="n">
        <x:v>1738.58</x:v>
      </x:c>
      <x:c r="I4777" s="2" t="n">
        <x:v>5</x:v>
      </x:c>
      <x:c r="J4777" s="2" t="n">
        <x:v>5</x:v>
      </x:c>
      <x:c r="K4777" s="2" t="n">
        <x:v>4</x:v>
      </x:c>
      <x:c r="L4777" s="2" t="str">
        <x:v>Champions</x:v>
      </x:c>
    </x:row>
    <x:row r="4778" ht="22" customHeight="1">
      <x:c r="A4778" s="2"/>
      <x:c r="B4778" s="2" t="str">
        <x:v>17136</x:v>
      </x:c>
      <x:c r="C4778" s="2" t="str">
        <x:v>United Kingdom</x:v>
      </x:c>
      <x:c r="D4778" s="25" t="n">
        <x:v>40224.342361111114</x:v>
      </x:c>
      <x:c r="E4778" s="25" t="n">
        <x:v>40224.342361111114</x:v>
      </x:c>
      <x:c r="F4778" s="2" t="n">
        <x:v>663</x:v>
      </x:c>
      <x:c r="G4778" s="2" t="n">
        <x:v>1</x:v>
      </x:c>
      <x:c r="H4778" s="11" t="n">
        <x:v>231.68</x:v>
      </x:c>
      <x:c r="I4778" s="2" t="n">
        <x:v>1</x:v>
      </x:c>
      <x:c r="J4778" s="2" t="n">
        <x:v>1</x:v>
      </x:c>
      <x:c r="K4778" s="2" t="n">
        <x:v>1</x:v>
      </x:c>
      <x:c r="L4778" s="2" t="str">
        <x:v>Hibernating</x:v>
      </x:c>
    </x:row>
    <x:row r="4779" ht="22" customHeight="1">
      <x:c r="A4779" s="2"/>
      <x:c r="B4779" s="2" t="str">
        <x:v>17137</x:v>
      </x:c>
      <x:c r="C4779" s="2" t="str">
        <x:v>United Kingdom</x:v>
      </x:c>
      <x:c r="D4779" s="25" t="n">
        <x:v>40209.31041666667</x:v>
      </x:c>
      <x:c r="E4779" s="25" t="n">
        <x:v>40470.410416666666</x:v>
      </x:c>
      <x:c r="F4779" s="2" t="n">
        <x:v>417</x:v>
      </x:c>
      <x:c r="G4779" s="2" t="n">
        <x:v>6</x:v>
      </x:c>
      <x:c r="H4779" s="11" t="n">
        <x:v>1133.63</x:v>
      </x:c>
      <x:c r="I4779" s="2" t="n">
        <x:v>1</x:v>
      </x:c>
      <x:c r="J4779" s="2" t="n">
        <x:v>4</x:v>
      </x:c>
      <x:c r="K4779" s="2" t="n">
        <x:v>3</x:v>
      </x:c>
      <x:c r="L4779" s="2" t="str">
        <x:v>At risk</x:v>
      </x:c>
    </x:row>
    <x:row r="4780" ht="22" customHeight="1">
      <x:c r="A4780" s="2"/>
      <x:c r="B4780" s="2" t="str">
        <x:v>17138</x:v>
      </x:c>
      <x:c r="C4780" s="2" t="str">
        <x:v>United Kingdom</x:v>
      </x:c>
      <x:c r="D4780" s="25" t="n">
        <x:v>40213.388194444444</x:v>
      </x:c>
      <x:c r="E4780" s="25" t="n">
        <x:v>40611.2875</x:v>
      </x:c>
      <x:c r="F4780" s="2" t="n">
        <x:v>276</x:v>
      </x:c>
      <x:c r="G4780" s="2" t="n">
        <x:v>7</x:v>
      </x:c>
      <x:c r="H4780" s="11" t="n">
        <x:v>4417.27</x:v>
      </x:c>
      <x:c r="I4780" s="2" t="n">
        <x:v>2</x:v>
      </x:c>
      <x:c r="J4780" s="2" t="n">
        <x:v>4</x:v>
      </x:c>
      <x:c r="K4780" s="2" t="n">
        <x:v>5</x:v>
      </x:c>
      <x:c r="L4780" s="2" t="str">
        <x:v>At risk</x:v>
      </x:c>
    </x:row>
    <x:row r="4781" ht="22" customHeight="1">
      <x:c r="A4781" s="2"/>
      <x:c r="B4781" s="2" t="str">
        <x:v>17139</x:v>
      </x:c>
      <x:c r="C4781" s="2" t="str">
        <x:v>United Kingdom</x:v>
      </x:c>
      <x:c r="D4781" s="25" t="n">
        <x:v>40189.271527777775</x:v>
      </x:c>
      <x:c r="E4781" s="25" t="n">
        <x:v>40871.21666666667</x:v>
      </x:c>
      <x:c r="F4781" s="2" t="n">
        <x:v>16</x:v>
      </x:c>
      <x:c r="G4781" s="2" t="n">
        <x:v>25</x:v>
      </x:c>
      <x:c r="H4781" s="11" t="n">
        <x:v>19584.46</x:v>
      </x:c>
      <x:c r="I4781" s="2" t="n">
        <x:v>5</x:v>
      </x:c>
      <x:c r="J4781" s="2" t="n">
        <x:v>5</x:v>
      </x:c>
      <x:c r="K4781" s="2" t="n">
        <x:v>5</x:v>
      </x:c>
      <x:c r="L4781" s="2" t="str">
        <x:v>Champions</x:v>
      </x:c>
    </x:row>
    <x:row r="4782" ht="22" customHeight="1">
      <x:c r="A4782" s="2"/>
      <x:c r="B4782" s="2" t="str">
        <x:v>17140</x:v>
      </x:c>
      <x:c r="C4782" s="2" t="str">
        <x:v>United Kingdom</x:v>
      </x:c>
      <x:c r="D4782" s="25" t="n">
        <x:v>40639.35625</x:v>
      </x:c>
      <x:c r="E4782" s="25" t="n">
        <x:v>40639.35625</x:v>
      </x:c>
      <x:c r="F4782" s="2" t="n">
        <x:v>248</x:v>
      </x:c>
      <x:c r="G4782" s="2" t="n">
        <x:v>1</x:v>
      </x:c>
      <x:c r="H4782" s="11" t="n">
        <x:v>465.32</x:v>
      </x:c>
      <x:c r="I4782" s="2" t="n">
        <x:v>2</x:v>
      </x:c>
      <x:c r="J4782" s="2" t="n">
        <x:v>1</x:v>
      </x:c>
      <x:c r="K4782" s="2" t="n">
        <x:v>2</x:v>
      </x:c>
      <x:c r="L4782" s="2" t="str">
        <x:v>Hibernating</x:v>
      </x:c>
    </x:row>
    <x:row r="4783" ht="22" customHeight="1">
      <x:c r="A4783" s="2"/>
      <x:c r="B4783" s="2" t="str">
        <x:v>17141</x:v>
      </x:c>
      <x:c r="C4783" s="2" t="str">
        <x:v>United Kingdom</x:v>
      </x:c>
      <x:c r="D4783" s="25" t="n">
        <x:v>40202.388194444444</x:v>
      </x:c>
      <x:c r="E4783" s="25" t="n">
        <x:v>40468.4125</x:v>
      </x:c>
      <x:c r="F4783" s="2" t="n">
        <x:v>419</x:v>
      </x:c>
      <x:c r="G4783" s="2" t="n">
        <x:v>4</x:v>
      </x:c>
      <x:c r="H4783" s="11" t="n">
        <x:v>754.33</x:v>
      </x:c>
      <x:c r="I4783" s="2" t="n">
        <x:v>1</x:v>
      </x:c>
      <x:c r="J4783" s="2" t="n">
        <x:v>3</x:v>
      </x:c>
      <x:c r="K4783" s="2" t="n">
        <x:v>3</x:v>
      </x:c>
      <x:c r="L4783" s="2" t="str">
        <x:v>At risk</x:v>
      </x:c>
    </x:row>
    <x:row r="4784" ht="22" customHeight="1">
      <x:c r="A4784" s="2"/>
      <x:c r="B4784" s="2" t="str">
        <x:v>17142</x:v>
      </x:c>
      <x:c r="C4784" s="2" t="str">
        <x:v>United Kingdom</x:v>
      </x:c>
      <x:c r="D4784" s="25" t="n">
        <x:v>40202.43263888889</x:v>
      </x:c>
      <x:c r="E4784" s="25" t="n">
        <x:v>40647.55694444444</x:v>
      </x:c>
      <x:c r="F4784" s="2" t="n">
        <x:v>240</x:v>
      </x:c>
      <x:c r="G4784" s="2" t="n">
        <x:v>4</x:v>
      </x:c>
      <x:c r="H4784" s="11" t="n">
        <x:v>1283.75</x:v>
      </x:c>
      <x:c r="I4784" s="2" t="n">
        <x:v>2</x:v>
      </x:c>
      <x:c r="J4784" s="2" t="n">
        <x:v>3</x:v>
      </x:c>
      <x:c r="K4784" s="2" t="n">
        <x:v>4</x:v>
      </x:c>
      <x:c r="L4784" s="2" t="str">
        <x:v>At risk</x:v>
      </x:c>
    </x:row>
    <x:row r="4785" ht="22" customHeight="1">
      <x:c r="A4785" s="2"/>
      <x:c r="B4785" s="2" t="str">
        <x:v>17143</x:v>
      </x:c>
      <x:c r="C4785" s="2" t="str">
        <x:v>United Kingdom</x:v>
      </x:c>
      <x:c r="D4785" s="25" t="n">
        <x:v>40371.35138888889</x:v>
      </x:c>
      <x:c r="E4785" s="25" t="n">
        <x:v>40469.43541666667</x:v>
      </x:c>
      <x:c r="F4785" s="2" t="n">
        <x:v>418</x:v>
      </x:c>
      <x:c r="G4785" s="2" t="n">
        <x:v>2</x:v>
      </x:c>
      <x:c r="H4785" s="11" t="n">
        <x:v>924.11</x:v>
      </x:c>
      <x:c r="I4785" s="2" t="n">
        <x:v>1</x:v>
      </x:c>
      <x:c r="J4785" s="2" t="n">
        <x:v>2</x:v>
      </x:c>
      <x:c r="K4785" s="2" t="n">
        <x:v>3</x:v>
      </x:c>
      <x:c r="L4785" s="2" t="str">
        <x:v>Hibernating</x:v>
      </x:c>
    </x:row>
    <x:row r="4786" ht="22" customHeight="1">
      <x:c r="A4786" s="2"/>
      <x:c r="B4786" s="2" t="str">
        <x:v>17144</x:v>
      </x:c>
      <x:c r="C4786" s="2" t="str">
        <x:v>United Kingdom</x:v>
      </x:c>
      <x:c r="D4786" s="25" t="n">
        <x:v>40802.32638888889</x:v>
      </x:c>
      <x:c r="E4786" s="25" t="n">
        <x:v>40885.53958333333</x:v>
      </x:c>
      <x:c r="F4786" s="2" t="n">
        <x:v>2</x:v>
      </x:c>
      <x:c r="G4786" s="2" t="n">
        <x:v>2</x:v>
      </x:c>
      <x:c r="H4786" s="11" t="n">
        <x:v>984.57</x:v>
      </x:c>
      <x:c r="I4786" s="2" t="n">
        <x:v>5</x:v>
      </x:c>
      <x:c r="J4786" s="2" t="n">
        <x:v>2</x:v>
      </x:c>
      <x:c r="K4786" s="2" t="n">
        <x:v>3</x:v>
      </x:c>
      <x:c r="L4786" s="2" t="str">
        <x:v>Recent light buyers</x:v>
      </x:c>
    </x:row>
    <x:row r="4787" ht="22" customHeight="1">
      <x:c r="A4787" s="2"/>
      <x:c r="B4787" s="2" t="str">
        <x:v>17145</x:v>
      </x:c>
      <x:c r="C4787" s="2" t="str">
        <x:v>United Kingdom</x:v>
      </x:c>
      <x:c r="D4787" s="25" t="n">
        <x:v>40228.29652777778</x:v>
      </x:c>
      <x:c r="E4787" s="25" t="n">
        <x:v>40374.16805555556</x:v>
      </x:c>
      <x:c r="F4787" s="2" t="n">
        <x:v>513</x:v>
      </x:c>
      <x:c r="G4787" s="2" t="n">
        <x:v>4</x:v>
      </x:c>
      <x:c r="H4787" s="11" t="n">
        <x:v>3120.91</x:v>
      </x:c>
      <x:c r="I4787" s="2" t="n">
        <x:v>1</x:v>
      </x:c>
      <x:c r="J4787" s="2" t="n">
        <x:v>3</x:v>
      </x:c>
      <x:c r="K4787" s="2" t="n">
        <x:v>5</x:v>
      </x:c>
      <x:c r="L4787" s="2" t="str">
        <x:v>At risk</x:v>
      </x:c>
    </x:row>
    <x:row r="4788" ht="22" customHeight="1">
      <x:c r="A4788" s="2"/>
      <x:c r="B4788" s="2" t="str">
        <x:v>17146</x:v>
      </x:c>
      <x:c r="C4788" s="2" t="str">
        <x:v>United Kingdom</x:v>
      </x:c>
      <x:c r="D4788" s="25" t="n">
        <x:v>40211.19375</x:v>
      </x:c>
      <x:c r="E4788" s="25" t="n">
        <x:v>40781.322222222225</x:v>
      </x:c>
      <x:c r="F4788" s="2" t="n">
        <x:v>106</x:v>
      </x:c>
      <x:c r="G4788" s="2" t="n">
        <x:v>13</x:v>
      </x:c>
      <x:c r="H4788" s="11" t="n">
        <x:v>5860.24</x:v>
      </x:c>
      <x:c r="I4788" s="2" t="n">
        <x:v>3</x:v>
      </x:c>
      <x:c r="J4788" s="2" t="n">
        <x:v>5</x:v>
      </x:c>
      <x:c r="K4788" s="2" t="n">
        <x:v>5</x:v>
      </x:c>
      <x:c r="L4788" s="2" t="str">
        <x:v>Loyal</x:v>
      </x:c>
    </x:row>
    <x:row r="4789" ht="22" customHeight="1">
      <x:c r="A4789" s="2"/>
      <x:c r="B4789" s="2" t="str">
        <x:v>17147</x:v>
      </x:c>
      <x:c r="C4789" s="2" t="str">
        <x:v>United Kingdom</x:v>
      </x:c>
      <x:c r="D4789" s="25" t="n">
        <x:v>40189.19305555556</x:v>
      </x:c>
      <x:c r="E4789" s="25" t="n">
        <x:v>40864.313888888886</x:v>
      </x:c>
      <x:c r="F4789" s="2" t="n">
        <x:v>23</x:v>
      </x:c>
      <x:c r="G4789" s="2" t="n">
        <x:v>9</x:v>
      </x:c>
      <x:c r="H4789" s="11" t="n">
        <x:v>3199.95</x:v>
      </x:c>
      <x:c r="I4789" s="2" t="n">
        <x:v>4</x:v>
      </x:c>
      <x:c r="J4789" s="2" t="n">
        <x:v>5</x:v>
      </x:c>
      <x:c r="K4789" s="2" t="n">
        <x:v>5</x:v>
      </x:c>
      <x:c r="L4789" s="2" t="str">
        <x:v>Champions</x:v>
      </x:c>
    </x:row>
    <x:row r="4790" ht="22" customHeight="1">
      <x:c r="A4790" s="2"/>
      <x:c r="B4790" s="2" t="str">
        <x:v>17148</x:v>
      </x:c>
      <x:c r="C4790" s="2" t="str">
        <x:v>United Kingdom</x:v>
      </x:c>
      <x:c r="D4790" s="25" t="n">
        <x:v>40835.20763888889</x:v>
      </x:c>
      <x:c r="E4790" s="25" t="n">
        <x:v>40835.20763888889</x:v>
      </x:c>
      <x:c r="F4790" s="2" t="n">
        <x:v>52</x:v>
      </x:c>
      <x:c r="G4790" s="2" t="n">
        <x:v>1</x:v>
      </x:c>
      <x:c r="H4790" s="11" t="n">
        <x:v>124.88</x:v>
      </x:c>
      <x:c r="I4790" s="2" t="n">
        <x:v>4</x:v>
      </x:c>
      <x:c r="J4790" s="2" t="n">
        <x:v>1</x:v>
      </x:c>
      <x:c r="K4790" s="2" t="n">
        <x:v>1</x:v>
      </x:c>
      <x:c r="L4790" s="2" t="str">
        <x:v>Recent light buyers</x:v>
      </x:c>
    </x:row>
    <x:row r="4791" ht="22" customHeight="1">
      <x:c r="A4791" s="2"/>
      <x:c r="B4791" s="2" t="str">
        <x:v>17149</x:v>
      </x:c>
      <x:c r="C4791" s="2" t="str">
        <x:v>United Kingdom</x:v>
      </x:c>
      <x:c r="D4791" s="25" t="n">
        <x:v>40435.41388888889</x:v>
      </x:c>
      <x:c r="E4791" s="25" t="n">
        <x:v>40435.41388888889</x:v>
      </x:c>
      <x:c r="F4791" s="2" t="n">
        <x:v>452</x:v>
      </x:c>
      <x:c r="G4791" s="2" t="n">
        <x:v>1</x:v>
      </x:c>
      <x:c r="H4791" s="11" t="n">
        <x:v>143.1</x:v>
      </x:c>
      <x:c r="I4791" s="2" t="n">
        <x:v>1</x:v>
      </x:c>
      <x:c r="J4791" s="2" t="n">
        <x:v>1</x:v>
      </x:c>
      <x:c r="K4791" s="2" t="n">
        <x:v>1</x:v>
      </x:c>
      <x:c r="L4791" s="2" t="str">
        <x:v>Hibernating</x:v>
      </x:c>
    </x:row>
    <x:row r="4792" ht="22" customHeight="1">
      <x:c r="A4792" s="2"/>
      <x:c r="B4792" s="2" t="str">
        <x:v>17150</x:v>
      </x:c>
      <x:c r="C4792" s="2" t="str">
        <x:v>United Kingdom</x:v>
      </x:c>
      <x:c r="D4792" s="25" t="n">
        <x:v>40153.24375</x:v>
      </x:c>
      <x:c r="E4792" s="25" t="n">
        <x:v>40510.26875</x:v>
      </x:c>
      <x:c r="F4792" s="2" t="n">
        <x:v>377</x:v>
      </x:c>
      <x:c r="G4792" s="2" t="n">
        <x:v>6</x:v>
      </x:c>
      <x:c r="H4792" s="11" t="n">
        <x:v>1375.65</x:v>
      </x:c>
      <x:c r="I4792" s="2" t="n">
        <x:v>2</x:v>
      </x:c>
      <x:c r="J4792" s="2" t="n">
        <x:v>4</x:v>
      </x:c>
      <x:c r="K4792" s="2" t="n">
        <x:v>4</x:v>
      </x:c>
      <x:c r="L4792" s="2" t="str">
        <x:v>At risk</x:v>
      </x:c>
    </x:row>
    <x:row r="4793" ht="22" customHeight="1">
      <x:c r="A4793" s="2"/>
      <x:c r="B4793" s="2" t="str">
        <x:v>17151</x:v>
      </x:c>
      <x:c r="C4793" s="2" t="str">
        <x:v>United Kingdom</x:v>
      </x:c>
      <x:c r="D4793" s="25" t="n">
        <x:v>40151.41388888889</x:v>
      </x:c>
      <x:c r="E4793" s="25" t="n">
        <x:v>40151.41388888889</x:v>
      </x:c>
      <x:c r="F4793" s="2" t="n">
        <x:v>736</x:v>
      </x:c>
      <x:c r="G4793" s="2" t="n">
        <x:v>1</x:v>
      </x:c>
      <x:c r="H4793" s="11" t="n">
        <x:v>231.9</x:v>
      </x:c>
      <x:c r="I4793" s="2" t="n">
        <x:v>1</x:v>
      </x:c>
      <x:c r="J4793" s="2" t="n">
        <x:v>1</x:v>
      </x:c>
      <x:c r="K4793" s="2" t="n">
        <x:v>1</x:v>
      </x:c>
      <x:c r="L4793" s="2" t="str">
        <x:v>Hibernating</x:v>
      </x:c>
    </x:row>
    <x:row r="4794" ht="22" customHeight="1">
      <x:c r="A4794" s="2"/>
      <x:c r="B4794" s="2" t="str">
        <x:v>17152</x:v>
      </x:c>
      <x:c r="C4794" s="2" t="str">
        <x:v>United Kingdom</x:v>
      </x:c>
      <x:c r="D4794" s="25" t="n">
        <x:v>40461.319444444445</x:v>
      </x:c>
      <x:c r="E4794" s="25" t="n">
        <x:v>40692.30486111111</x:v>
      </x:c>
      <x:c r="F4794" s="2" t="n">
        <x:v>195</x:v>
      </x:c>
      <x:c r="G4794" s="2" t="n">
        <x:v>4</x:v>
      </x:c>
      <x:c r="H4794" s="11" t="n">
        <x:v>2016.5</x:v>
      </x:c>
      <x:c r="I4794" s="2" t="n">
        <x:v>2</x:v>
      </x:c>
      <x:c r="J4794" s="2" t="n">
        <x:v>3</x:v>
      </x:c>
      <x:c r="K4794" s="2" t="n">
        <x:v>4</x:v>
      </x:c>
      <x:c r="L4794" s="2" t="str">
        <x:v>At risk</x:v>
      </x:c>
    </x:row>
    <x:row r="4795" ht="22" customHeight="1">
      <x:c r="A4795" s="2"/>
      <x:c r="B4795" s="2" t="str">
        <x:v>17153</x:v>
      </x:c>
      <x:c r="C4795" s="2" t="str">
        <x:v>United Kingdom</x:v>
      </x:c>
      <x:c r="D4795" s="25" t="n">
        <x:v>40862.3625</x:v>
      </x:c>
      <x:c r="E4795" s="25" t="n">
        <x:v>40862.3625</x:v>
      </x:c>
      <x:c r="F4795" s="2" t="n">
        <x:v>25</x:v>
      </x:c>
      <x:c r="G4795" s="2" t="n">
        <x:v>1</x:v>
      </x:c>
      <x:c r="H4795" s="11" t="n">
        <x:v>213.78</x:v>
      </x:c>
      <x:c r="I4795" s="2" t="n">
        <x:v>4</x:v>
      </x:c>
      <x:c r="J4795" s="2" t="n">
        <x:v>1</x:v>
      </x:c>
      <x:c r="K4795" s="2" t="n">
        <x:v>1</x:v>
      </x:c>
      <x:c r="L4795" s="2" t="str">
        <x:v>Recent light buyers</x:v>
      </x:c>
    </x:row>
    <x:row r="4796" ht="22" customHeight="1">
      <x:c r="A4796" s="2"/>
      <x:c r="B4796" s="2" t="str">
        <x:v>17154</x:v>
      </x:c>
      <x:c r="C4796" s="2" t="str">
        <x:v>United Kingdom</x:v>
      </x:c>
      <x:c r="D4796" s="25" t="n">
        <x:v>40811.3625</x:v>
      </x:c>
      <x:c r="E4796" s="25" t="n">
        <x:v>40811.3625</x:v>
      </x:c>
      <x:c r="F4796" s="2" t="n">
        <x:v>76</x:v>
      </x:c>
      <x:c r="G4796" s="2" t="n">
        <x:v>1</x:v>
      </x:c>
      <x:c r="H4796" s="11" t="n">
        <x:v>329.34</x:v>
      </x:c>
      <x:c r="I4796" s="2" t="n">
        <x:v>3</x:v>
      </x:c>
      <x:c r="J4796" s="2" t="n">
        <x:v>1</x:v>
      </x:c>
      <x:c r="K4796" s="2" t="n">
        <x:v>2</x:v>
      </x:c>
      <x:c r="L4796" s="2" t="str">
        <x:v>Developing</x:v>
      </x:c>
    </x:row>
    <x:row r="4797" ht="22" customHeight="1">
      <x:c r="A4797" s="2"/>
      <x:c r="B4797" s="2" t="str">
        <x:v>17155</x:v>
      </x:c>
      <x:c r="C4797" s="2" t="str">
        <x:v>United Kingdom</x:v>
      </x:c>
      <x:c r="D4797" s="25" t="n">
        <x:v>40150.27361111111</x:v>
      </x:c>
      <x:c r="E4797" s="25" t="n">
        <x:v>40869.31805555556</x:v>
      </x:c>
      <x:c r="F4797" s="2" t="n">
        <x:v>18</x:v>
      </x:c>
      <x:c r="G4797" s="2" t="n">
        <x:v>7</x:v>
      </x:c>
      <x:c r="H4797" s="11" t="n">
        <x:v>892.46</x:v>
      </x:c>
      <x:c r="I4797" s="2" t="n">
        <x:v>5</x:v>
      </x:c>
      <x:c r="J4797" s="2" t="n">
        <x:v>4</x:v>
      </x:c>
      <x:c r="K4797" s="2" t="n">
        <x:v>3</x:v>
      </x:c>
      <x:c r="L4797" s="2" t="str">
        <x:v>Loyal</x:v>
      </x:c>
    </x:row>
    <x:row r="4798" ht="22" customHeight="1">
      <x:c r="A4798" s="2"/>
      <x:c r="B4798" s="2" t="str">
        <x:v>17156</x:v>
      </x:c>
      <x:c r="C4798" s="2" t="str">
        <x:v>United Kingdom</x:v>
      </x:c>
      <x:c r="D4798" s="25" t="n">
        <x:v>40395.270833333336</x:v>
      </x:c>
      <x:c r="E4798" s="25" t="n">
        <x:v>40395.270833333336</x:v>
      </x:c>
      <x:c r="F4798" s="2" t="n">
        <x:v>492</x:v>
      </x:c>
      <x:c r="G4798" s="2" t="n">
        <x:v>1</x:v>
      </x:c>
      <x:c r="H4798" s="11" t="n">
        <x:v>591.87</x:v>
      </x:c>
      <x:c r="I4798" s="2" t="n">
        <x:v>1</x:v>
      </x:c>
      <x:c r="J4798" s="2" t="n">
        <x:v>1</x:v>
      </x:c>
      <x:c r="K4798" s="2" t="n">
        <x:v>2</x:v>
      </x:c>
      <x:c r="L4798" s="2" t="str">
        <x:v>Hibernating</x:v>
      </x:c>
    </x:row>
    <x:row r="4799" ht="22" customHeight="1">
      <x:c r="A4799" s="2"/>
      <x:c r="B4799" s="2" t="str">
        <x:v>17157</x:v>
      </x:c>
      <x:c r="C4799" s="2" t="str">
        <x:v>United Kingdom</x:v>
      </x:c>
      <x:c r="D4799" s="25" t="n">
        <x:v>40151.333333333336</x:v>
      </x:c>
      <x:c r="E4799" s="25" t="n">
        <x:v>40879.17361111111</x:v>
      </x:c>
      <x:c r="F4799" s="2" t="n">
        <x:v>8</x:v>
      </x:c>
      <x:c r="G4799" s="2" t="n">
        <x:v>19</x:v>
      </x:c>
      <x:c r="H4799" s="11" t="n">
        <x:v>5151.9</x:v>
      </x:c>
      <x:c r="I4799" s="2" t="n">
        <x:v>5</x:v>
      </x:c>
      <x:c r="J4799" s="2" t="n">
        <x:v>5</x:v>
      </x:c>
      <x:c r="K4799" s="2" t="n">
        <x:v>5</x:v>
      </x:c>
      <x:c r="L4799" s="2" t="str">
        <x:v>Champions</x:v>
      </x:c>
    </x:row>
    <x:row r="4800" ht="22" customHeight="1">
      <x:c r="A4800" s="2"/>
      <x:c r="B4800" s="2" t="str">
        <x:v>17158</x:v>
      </x:c>
      <x:c r="C4800" s="2" t="str">
        <x:v>United Kingdom</x:v>
      </x:c>
      <x:c r="D4800" s="25" t="n">
        <x:v>40244.45138888889</x:v>
      </x:c>
      <x:c r="E4800" s="25" t="n">
        <x:v>40854.427083333336</x:v>
      </x:c>
      <x:c r="F4800" s="2" t="n">
        <x:v>33</x:v>
      </x:c>
      <x:c r="G4800" s="2" t="n">
        <x:v>5</x:v>
      </x:c>
      <x:c r="H4800" s="11" t="n">
        <x:v>1980</x:v>
      </x:c>
      <x:c r="I4800" s="2" t="n">
        <x:v>4</x:v>
      </x:c>
      <x:c r="J4800" s="2" t="n">
        <x:v>4</x:v>
      </x:c>
      <x:c r="K4800" s="2" t="n">
        <x:v>4</x:v>
      </x:c>
      <x:c r="L4800" s="2" t="str">
        <x:v>Champions</x:v>
      </x:c>
    </x:row>
    <x:row r="4801" ht="22" customHeight="1">
      <x:c r="A4801" s="2"/>
      <x:c r="B4801" s="2" t="str">
        <x:v>17159</x:v>
      </x:c>
      <x:c r="C4801" s="2" t="str">
        <x:v>United Kingdom</x:v>
      </x:c>
      <x:c r="D4801" s="25" t="n">
        <x:v>40241.41180555556</x:v>
      </x:c>
      <x:c r="E4801" s="25" t="n">
        <x:v>40865.24444444444</x:v>
      </x:c>
      <x:c r="F4801" s="2" t="n">
        <x:v>22</x:v>
      </x:c>
      <x:c r="G4801" s="2" t="n">
        <x:v>5</x:v>
      </x:c>
      <x:c r="H4801" s="11" t="n">
        <x:v>2099.59</x:v>
      </x:c>
      <x:c r="I4801" s="2" t="n">
        <x:v>4</x:v>
      </x:c>
      <x:c r="J4801" s="2" t="n">
        <x:v>4</x:v>
      </x:c>
      <x:c r="K4801" s="2" t="n">
        <x:v>4</x:v>
      </x:c>
      <x:c r="L4801" s="2" t="str">
        <x:v>Champions</x:v>
      </x:c>
    </x:row>
    <x:row r="4802" ht="22" customHeight="1">
      <x:c r="A4802" s="2"/>
      <x:c r="B4802" s="2" t="str">
        <x:v>17160</x:v>
      </x:c>
      <x:c r="C4802" s="2" t="str">
        <x:v>United Kingdom</x:v>
      </x:c>
      <x:c r="D4802" s="25" t="n">
        <x:v>40151.24791666667</x:v>
      </x:c>
      <x:c r="E4802" s="25" t="n">
        <x:v>40855.37847222222</x:v>
      </x:c>
      <x:c r="F4802" s="2" t="n">
        <x:v>32</x:v>
      </x:c>
      <x:c r="G4802" s="2" t="n">
        <x:v>17</x:v>
      </x:c>
      <x:c r="H4802" s="11" t="n">
        <x:v>10209.16</x:v>
      </x:c>
      <x:c r="I4802" s="2" t="n">
        <x:v>4</x:v>
      </x:c>
      <x:c r="J4802" s="2" t="n">
        <x:v>5</x:v>
      </x:c>
      <x:c r="K4802" s="2" t="n">
        <x:v>5</x:v>
      </x:c>
      <x:c r="L4802" s="2" t="str">
        <x:v>Champions</x:v>
      </x:c>
    </x:row>
    <x:row r="4803" ht="22" customHeight="1">
      <x:c r="A4803" s="2"/>
      <x:c r="B4803" s="2" t="str">
        <x:v>17161</x:v>
      </x:c>
      <x:c r="C4803" s="2" t="str">
        <x:v>United Kingdom</x:v>
      </x:c>
      <x:c r="D4803" s="25" t="n">
        <x:v>40442.48888888889</x:v>
      </x:c>
      <x:c r="E4803" s="25" t="n">
        <x:v>40442.48888888889</x:v>
      </x:c>
      <x:c r="F4803" s="2" t="n">
        <x:v>445</x:v>
      </x:c>
      <x:c r="G4803" s="2" t="n">
        <x:v>1</x:v>
      </x:c>
      <x:c r="H4803" s="11" t="n">
        <x:v>856.01</x:v>
      </x:c>
      <x:c r="I4803" s="2" t="n">
        <x:v>1</x:v>
      </x:c>
      <x:c r="J4803" s="2" t="n">
        <x:v>1</x:v>
      </x:c>
      <x:c r="K4803" s="2" t="n">
        <x:v>3</x:v>
      </x:c>
      <x:c r="L4803" s="2" t="str">
        <x:v>Hibernating</x:v>
      </x:c>
    </x:row>
    <x:row r="4804" ht="22" customHeight="1">
      <x:c r="A4804" s="2"/>
      <x:c r="B4804" s="2" t="str">
        <x:v>17162</x:v>
      </x:c>
      <x:c r="C4804" s="2" t="str">
        <x:v>United Kingdom</x:v>
      </x:c>
      <x:c r="D4804" s="25" t="n">
        <x:v>40581.31041666667</x:v>
      </x:c>
      <x:c r="E4804" s="25" t="n">
        <x:v>40858.27361111111</x:v>
      </x:c>
      <x:c r="F4804" s="2" t="n">
        <x:v>29</x:v>
      </x:c>
      <x:c r="G4804" s="2" t="n">
        <x:v>10</x:v>
      </x:c>
      <x:c r="H4804" s="11" t="n">
        <x:v>1715.46</x:v>
      </x:c>
      <x:c r="I4804" s="2" t="n">
        <x:v>4</x:v>
      </x:c>
      <x:c r="J4804" s="2" t="n">
        <x:v>5</x:v>
      </x:c>
      <x:c r="K4804" s="2" t="n">
        <x:v>4</x:v>
      </x:c>
      <x:c r="L4804" s="2" t="str">
        <x:v>Champions</x:v>
      </x:c>
    </x:row>
    <x:row r="4805" ht="22" customHeight="1">
      <x:c r="A4805" s="2"/>
      <x:c r="B4805" s="2" t="str">
        <x:v>17163</x:v>
      </x:c>
      <x:c r="C4805" s="2" t="str">
        <x:v>United Kingdom</x:v>
      </x:c>
      <x:c r="D4805" s="25" t="n">
        <x:v>40211.23541666667</x:v>
      </x:c>
      <x:c r="E4805" s="25" t="n">
        <x:v>40865.16458333333</x:v>
      </x:c>
      <x:c r="F4805" s="2" t="n">
        <x:v>22</x:v>
      </x:c>
      <x:c r="G4805" s="2" t="n">
        <x:v>4</x:v>
      </x:c>
      <x:c r="H4805" s="11" t="n">
        <x:v>699.78</x:v>
      </x:c>
      <x:c r="I4805" s="2" t="n">
        <x:v>4</x:v>
      </x:c>
      <x:c r="J4805" s="2" t="n">
        <x:v>3</x:v>
      </x:c>
      <x:c r="K4805" s="2" t="n">
        <x:v>3</x:v>
      </x:c>
      <x:c r="L4805" s="2" t="str">
        <x:v>Loyal</x:v>
      </x:c>
    </x:row>
    <x:row r="4806" ht="22" customHeight="1">
      <x:c r="A4806" s="2"/>
      <x:c r="B4806" s="2" t="str">
        <x:v>17164</x:v>
      </x:c>
      <x:c r="C4806" s="2" t="str">
        <x:v>United Kingdom</x:v>
      </x:c>
      <x:c r="D4806" s="25" t="n">
        <x:v>40613.393055555556</x:v>
      </x:c>
      <x:c r="E4806" s="25" t="n">
        <x:v>40854.17638888889</x:v>
      </x:c>
      <x:c r="F4806" s="2" t="n">
        <x:v>33</x:v>
      </x:c>
      <x:c r="G4806" s="2" t="n">
        <x:v>7</x:v>
      </x:c>
      <x:c r="H4806" s="11" t="n">
        <x:v>2467.35</x:v>
      </x:c>
      <x:c r="I4806" s="2" t="n">
        <x:v>4</x:v>
      </x:c>
      <x:c r="J4806" s="2" t="n">
        <x:v>4</x:v>
      </x:c>
      <x:c r="K4806" s="2" t="n">
        <x:v>4</x:v>
      </x:c>
      <x:c r="L4806" s="2" t="str">
        <x:v>Champions</x:v>
      </x:c>
    </x:row>
    <x:row r="4807" ht="22" customHeight="1">
      <x:c r="A4807" s="2"/>
      <x:c r="B4807" s="2" t="str">
        <x:v>17165</x:v>
      </x:c>
      <x:c r="C4807" s="2" t="str">
        <x:v>United Kingdom</x:v>
      </x:c>
      <x:c r="D4807" s="25" t="n">
        <x:v>40158.17916666667</x:v>
      </x:c>
      <x:c r="E4807" s="25" t="n">
        <x:v>40602.48541666667</x:v>
      </x:c>
      <x:c r="F4807" s="2" t="n">
        <x:v>285</x:v>
      </x:c>
      <x:c r="G4807" s="2" t="n">
        <x:v>6</x:v>
      </x:c>
      <x:c r="H4807" s="11" t="n">
        <x:v>1794.32</x:v>
      </x:c>
      <x:c r="I4807" s="2" t="n">
        <x:v>2</x:v>
      </x:c>
      <x:c r="J4807" s="2" t="n">
        <x:v>4</x:v>
      </x:c>
      <x:c r="K4807" s="2" t="n">
        <x:v>4</x:v>
      </x:c>
      <x:c r="L4807" s="2" t="str">
        <x:v>At risk</x:v>
      </x:c>
    </x:row>
    <x:row r="4808" ht="22" customHeight="1">
      <x:c r="A4808" s="2"/>
      <x:c r="B4808" s="2" t="str">
        <x:v>17166</x:v>
      </x:c>
      <x:c r="C4808" s="2" t="str">
        <x:v>United Kingdom</x:v>
      </x:c>
      <x:c r="D4808" s="25" t="n">
        <x:v>40683.1375</x:v>
      </x:c>
      <x:c r="E4808" s="25" t="n">
        <x:v>40848.19861111111</x:v>
      </x:c>
      <x:c r="F4808" s="2" t="n">
        <x:v>39</x:v>
      </x:c>
      <x:c r="G4808" s="2" t="n">
        <x:v>2</x:v>
      </x:c>
      <x:c r="H4808" s="11" t="n">
        <x:v>206.34</x:v>
      </x:c>
      <x:c r="I4808" s="2" t="n">
        <x:v>4</x:v>
      </x:c>
      <x:c r="J4808" s="2" t="n">
        <x:v>2</x:v>
      </x:c>
      <x:c r="K4808" s="2" t="n">
        <x:v>1</x:v>
      </x:c>
      <x:c r="L4808" s="2" t="str">
        <x:v>Recent light buyers</x:v>
      </x:c>
    </x:row>
    <x:row r="4809" ht="22" customHeight="1">
      <x:c r="A4809" s="2"/>
      <x:c r="B4809" s="2" t="str">
        <x:v>17167</x:v>
      </x:c>
      <x:c r="C4809" s="2" t="str">
        <x:v>United Kingdom</x:v>
      </x:c>
      <x:c r="D4809" s="25" t="n">
        <x:v>40441.376388888886</x:v>
      </x:c>
      <x:c r="E4809" s="25" t="n">
        <x:v>40507.211805555555</x:v>
      </x:c>
      <x:c r="F4809" s="2" t="n">
        <x:v>380</x:v>
      </x:c>
      <x:c r="G4809" s="2" t="n">
        <x:v>3</x:v>
      </x:c>
      <x:c r="H4809" s="11" t="n">
        <x:v>867.11</x:v>
      </x:c>
      <x:c r="I4809" s="2" t="n">
        <x:v>2</x:v>
      </x:c>
      <x:c r="J4809" s="2" t="n">
        <x:v>3</x:v>
      </x:c>
      <x:c r="K4809" s="2" t="n">
        <x:v>3</x:v>
      </x:c>
      <x:c r="L4809" s="2" t="str">
        <x:v>At risk</x:v>
      </x:c>
    </x:row>
    <x:row r="4810" ht="22" customHeight="1">
      <x:c r="A4810" s="2"/>
      <x:c r="B4810" s="2" t="str">
        <x:v>17168</x:v>
      </x:c>
      <x:c r="C4810" s="2" t="str">
        <x:v>United Kingdom</x:v>
      </x:c>
      <x:c r="D4810" s="25" t="n">
        <x:v>40388.31458333333</x:v>
      </x:c>
      <x:c r="E4810" s="25" t="n">
        <x:v>40388.31458333333</x:v>
      </x:c>
      <x:c r="F4810" s="2" t="n">
        <x:v>499</x:v>
      </x:c>
      <x:c r="G4810" s="2" t="n">
        <x:v>1</x:v>
      </x:c>
      <x:c r="H4810" s="11" t="n">
        <x:v>400.2</x:v>
      </x:c>
      <x:c r="I4810" s="2" t="n">
        <x:v>1</x:v>
      </x:c>
      <x:c r="J4810" s="2" t="n">
        <x:v>1</x:v>
      </x:c>
      <x:c r="K4810" s="2" t="n">
        <x:v>2</x:v>
      </x:c>
      <x:c r="L4810" s="2" t="str">
        <x:v>Hibernating</x:v>
      </x:c>
    </x:row>
    <x:row r="4811" ht="22" customHeight="1">
      <x:c r="A4811" s="2"/>
      <x:c r="B4811" s="2" t="str">
        <x:v>17169</x:v>
      </x:c>
      <x:c r="C4811" s="2" t="str">
        <x:v>United Kingdom</x:v>
      </x:c>
      <x:c r="D4811" s="25" t="n">
        <x:v>40308.333333333336</x:v>
      </x:c>
      <x:c r="E4811" s="25" t="n">
        <x:v>40829.225694444445</x:v>
      </x:c>
      <x:c r="F4811" s="2" t="n">
        <x:v>58</x:v>
      </x:c>
      <x:c r="G4811" s="2" t="n">
        <x:v>3</x:v>
      </x:c>
      <x:c r="H4811" s="11" t="n">
        <x:v>1156.73</x:v>
      </x:c>
      <x:c r="I4811" s="2" t="n">
        <x:v>4</x:v>
      </x:c>
      <x:c r="J4811" s="2" t="n">
        <x:v>3</x:v>
      </x:c>
      <x:c r="K4811" s="2" t="n">
        <x:v>3</x:v>
      </x:c>
      <x:c r="L4811" s="2" t="str">
        <x:v>Loyal</x:v>
      </x:c>
    </x:row>
    <x:row r="4812" ht="22" customHeight="1">
      <x:c r="A4812" s="2"/>
      <x:c r="B4812" s="2" t="str">
        <x:v>17170</x:v>
      </x:c>
      <x:c r="C4812" s="2" t="str">
        <x:v>United Kingdom</x:v>
      </x:c>
      <x:c r="D4812" s="25" t="n">
        <x:v>40497.47430555556</x:v>
      </x:c>
      <x:c r="E4812" s="25" t="n">
        <x:v>40512.45486111111</x:v>
      </x:c>
      <x:c r="F4812" s="2" t="n">
        <x:v>375</x:v>
      </x:c>
      <x:c r="G4812" s="2" t="n">
        <x:v>2</x:v>
      </x:c>
      <x:c r="H4812" s="11" t="n">
        <x:v>178.68</x:v>
      </x:c>
      <x:c r="I4812" s="2" t="n">
        <x:v>2</x:v>
      </x:c>
      <x:c r="J4812" s="2" t="n">
        <x:v>2</x:v>
      </x:c>
      <x:c r="K4812" s="2" t="n">
        <x:v>1</x:v>
      </x:c>
      <x:c r="L4812" s="2" t="str">
        <x:v>Hibernating</x:v>
      </x:c>
    </x:row>
    <x:row r="4813" ht="22" customHeight="1">
      <x:c r="A4813" s="2"/>
      <x:c r="B4813" s="2" t="str">
        <x:v>17171</x:v>
      </x:c>
      <x:c r="C4813" s="2" t="str">
        <x:v>United Kingdom</x:v>
      </x:c>
      <x:c r="D4813" s="25" t="n">
        <x:v>40225.29305555556</x:v>
      </x:c>
      <x:c r="E4813" s="25" t="n">
        <x:v>40597.48402777778</x:v>
      </x:c>
      <x:c r="F4813" s="2" t="n">
        <x:v>290</x:v>
      </x:c>
      <x:c r="G4813" s="2" t="n">
        <x:v>2</x:v>
      </x:c>
      <x:c r="H4813" s="11" t="n">
        <x:v>384.59</x:v>
      </x:c>
      <x:c r="I4813" s="2" t="n">
        <x:v>2</x:v>
      </x:c>
      <x:c r="J4813" s="2" t="n">
        <x:v>2</x:v>
      </x:c>
      <x:c r="K4813" s="2" t="n">
        <x:v>2</x:v>
      </x:c>
      <x:c r="L4813" s="2" t="str">
        <x:v>Hibernating</x:v>
      </x:c>
    </x:row>
    <x:row r="4814" ht="22" customHeight="1">
      <x:c r="A4814" s="2"/>
      <x:c r="B4814" s="2" t="str">
        <x:v>17172</x:v>
      </x:c>
      <x:c r="C4814" s="2" t="str">
        <x:v>United Kingdom</x:v>
      </x:c>
      <x:c r="D4814" s="25" t="n">
        <x:v>40160.28194444445</x:v>
      </x:c>
      <x:c r="E4814" s="25" t="n">
        <x:v>40808.191666666666</x:v>
      </x:c>
      <x:c r="F4814" s="2" t="n">
        <x:v>79</x:v>
      </x:c>
      <x:c r="G4814" s="2" t="n">
        <x:v>3</x:v>
      </x:c>
      <x:c r="H4814" s="11" t="n">
        <x:v>956.57</x:v>
      </x:c>
      <x:c r="I4814" s="2" t="n">
        <x:v>3</x:v>
      </x:c>
      <x:c r="J4814" s="2" t="n">
        <x:v>3</x:v>
      </x:c>
      <x:c r="K4814" s="2" t="n">
        <x:v>3</x:v>
      </x:c>
      <x:c r="L4814" s="2" t="str">
        <x:v>Loyal</x:v>
      </x:c>
    </x:row>
    <x:row r="4815" ht="22" customHeight="1">
      <x:c r="A4815" s="2"/>
      <x:c r="B4815" s="2" t="str">
        <x:v>17173</x:v>
      </x:c>
      <x:c r="C4815" s="2" t="str">
        <x:v>United Kingdom</x:v>
      </x:c>
      <x:c r="D4815" s="25" t="n">
        <x:v>40755.43472222222</x:v>
      </x:c>
      <x:c r="E4815" s="25" t="n">
        <x:v>40881.40277777778</x:v>
      </x:c>
      <x:c r="F4815" s="2" t="n">
        <x:v>6</x:v>
      </x:c>
      <x:c r="G4815" s="2" t="n">
        <x:v>8</x:v>
      </x:c>
      <x:c r="H4815" s="11" t="n">
        <x:v>3766.6</x:v>
      </x:c>
      <x:c r="I4815" s="2" t="n">
        <x:v>5</x:v>
      </x:c>
      <x:c r="J4815" s="2" t="n">
        <x:v>4</x:v>
      </x:c>
      <x:c r="K4815" s="2" t="n">
        <x:v>5</x:v>
      </x:c>
      <x:c r="L4815" s="2" t="str">
        <x:v>Champions</x:v>
      </x:c>
    </x:row>
    <x:row r="4816" ht="22" customHeight="1">
      <x:c r="A4816" s="2"/>
      <x:c r="B4816" s="2" t="str">
        <x:v>17174</x:v>
      </x:c>
      <x:c r="C4816" s="2" t="str">
        <x:v>United Kingdom</x:v>
      </x:c>
      <x:c r="D4816" s="25" t="n">
        <x:v>40669.282638888886</x:v>
      </x:c>
      <x:c r="E4816" s="25" t="n">
        <x:v>40669.282638888886</x:v>
      </x:c>
      <x:c r="F4816" s="2" t="n">
        <x:v>218</x:v>
      </x:c>
      <x:c r="G4816" s="2" t="n">
        <x:v>1</x:v>
      </x:c>
      <x:c r="H4816" s="11" t="n">
        <x:v>59.9</x:v>
      </x:c>
      <x:c r="I4816" s="2" t="n">
        <x:v>2</x:v>
      </x:c>
      <x:c r="J4816" s="2" t="n">
        <x:v>1</x:v>
      </x:c>
      <x:c r="K4816" s="2" t="n">
        <x:v>1</x:v>
      </x:c>
      <x:c r="L4816" s="2" t="str">
        <x:v>Hibernating</x:v>
      </x:c>
    </x:row>
    <x:row r="4817" ht="22" customHeight="1">
      <x:c r="A4817" s="2"/>
      <x:c r="B4817" s="2" t="str">
        <x:v>17175</x:v>
      </x:c>
      <x:c r="C4817" s="2" t="str">
        <x:v>United Kingdom</x:v>
      </x:c>
      <x:c r="D4817" s="25" t="n">
        <x:v>40590.41388888889</x:v>
      </x:c>
      <x:c r="E4817" s="25" t="n">
        <x:v>40842.43819444445</x:v>
      </x:c>
      <x:c r="F4817" s="2" t="n">
        <x:v>45</x:v>
      </x:c>
      <x:c r="G4817" s="2" t="n">
        <x:v>4</x:v>
      </x:c>
      <x:c r="H4817" s="11" t="n">
        <x:v>1443.69</x:v>
      </x:c>
      <x:c r="I4817" s="2" t="n">
        <x:v>4</x:v>
      </x:c>
      <x:c r="J4817" s="2" t="n">
        <x:v>3</x:v>
      </x:c>
      <x:c r="K4817" s="2" t="n">
        <x:v>4</x:v>
      </x:c>
      <x:c r="L4817" s="2" t="str">
        <x:v>Loyal</x:v>
      </x:c>
    </x:row>
    <x:row r="4818" ht="22" customHeight="1">
      <x:c r="A4818" s="2"/>
      <x:c r="B4818" s="2" t="str">
        <x:v>17176</x:v>
      </x:c>
      <x:c r="C4818" s="2" t="str">
        <x:v>United Kingdom</x:v>
      </x:c>
      <x:c r="D4818" s="25" t="n">
        <x:v>40209.450694444444</x:v>
      </x:c>
      <x:c r="E4818" s="25" t="n">
        <x:v>40685.32013888889</x:v>
      </x:c>
      <x:c r="F4818" s="2" t="n">
        <x:v>202</x:v>
      </x:c>
      <x:c r="G4818" s="2" t="n">
        <x:v>3</x:v>
      </x:c>
      <x:c r="H4818" s="11" t="n">
        <x:v>902.32</x:v>
      </x:c>
      <x:c r="I4818" s="2" t="n">
        <x:v>2</x:v>
      </x:c>
      <x:c r="J4818" s="2" t="n">
        <x:v>3</x:v>
      </x:c>
      <x:c r="K4818" s="2" t="n">
        <x:v>3</x:v>
      </x:c>
      <x:c r="L4818" s="2" t="str">
        <x:v>At risk</x:v>
      </x:c>
    </x:row>
    <x:row r="4819" ht="22" customHeight="1">
      <x:c r="A4819" s="2"/>
      <x:c r="B4819" s="2" t="str">
        <x:v>17177</x:v>
      </x:c>
      <x:c r="C4819" s="2" t="str">
        <x:v>United Kingdom</x:v>
      </x:c>
      <x:c r="D4819" s="25" t="n">
        <x:v>40381.41180555556</x:v>
      </x:c>
      <x:c r="E4819" s="25" t="n">
        <x:v>40381.41180555556</x:v>
      </x:c>
      <x:c r="F4819" s="2" t="n">
        <x:v>506</x:v>
      </x:c>
      <x:c r="G4819" s="2" t="n">
        <x:v>1</x:v>
      </x:c>
      <x:c r="H4819" s="11" t="n">
        <x:v>119.5</x:v>
      </x:c>
      <x:c r="I4819" s="2" t="n">
        <x:v>1</x:v>
      </x:c>
      <x:c r="J4819" s="2" t="n">
        <x:v>1</x:v>
      </x:c>
      <x:c r="K4819" s="2" t="n">
        <x:v>1</x:v>
      </x:c>
      <x:c r="L4819" s="2" t="str">
        <x:v>Hibernating</x:v>
      </x:c>
    </x:row>
    <x:row r="4820" ht="22" customHeight="1">
      <x:c r="A4820" s="2"/>
      <x:c r="B4820" s="2" t="str">
        <x:v>17178</x:v>
      </x:c>
      <x:c r="C4820" s="2" t="str">
        <x:v>United Kingdom</x:v>
      </x:c>
      <x:c r="D4820" s="25" t="n">
        <x:v>40155.47222222222</x:v>
      </x:c>
      <x:c r="E4820" s="25" t="n">
        <x:v>40155.47222222222</x:v>
      </x:c>
      <x:c r="F4820" s="2" t="n">
        <x:v>732</x:v>
      </x:c>
      <x:c r="G4820" s="2" t="n">
        <x:v>1</x:v>
      </x:c>
      <x:c r="H4820" s="11" t="n">
        <x:v>436.71</x:v>
      </x:c>
      <x:c r="I4820" s="2" t="n">
        <x:v>1</x:v>
      </x:c>
      <x:c r="J4820" s="2" t="n">
        <x:v>1</x:v>
      </x:c>
      <x:c r="K4820" s="2" t="n">
        <x:v>2</x:v>
      </x:c>
      <x:c r="L4820" s="2" t="str">
        <x:v>Hibernating</x:v>
      </x:c>
    </x:row>
    <x:row r="4821" ht="22" customHeight="1">
      <x:c r="A4821" s="2"/>
      <x:c r="B4821" s="2" t="str">
        <x:v>17179</x:v>
      </x:c>
      <x:c r="C4821" s="2" t="str">
        <x:v>United Kingdom</x:v>
      </x:c>
      <x:c r="D4821" s="25" t="n">
        <x:v>40324.26527777778</x:v>
      </x:c>
      <x:c r="E4821" s="25" t="n">
        <x:v>40708.49166666667</x:v>
      </x:c>
      <x:c r="F4821" s="2" t="n">
        <x:v>179</x:v>
      </x:c>
      <x:c r="G4821" s="2" t="n">
        <x:v>6</x:v>
      </x:c>
      <x:c r="H4821" s="11" t="n">
        <x:v>1507.26</x:v>
      </x:c>
      <x:c r="I4821" s="2" t="n">
        <x:v>3</x:v>
      </x:c>
      <x:c r="J4821" s="2" t="n">
        <x:v>4</x:v>
      </x:c>
      <x:c r="K4821" s="2" t="n">
        <x:v>4</x:v>
      </x:c>
      <x:c r="L4821" s="2" t="str">
        <x:v>Loyal</x:v>
      </x:c>
    </x:row>
    <x:row r="4822" ht="22" customHeight="1">
      <x:c r="A4822" s="2"/>
      <x:c r="B4822" s="2" t="str">
        <x:v>17180</x:v>
      </x:c>
      <x:c r="C4822" s="2" t="str">
        <x:v>United Kingdom</x:v>
      </x:c>
      <x:c r="D4822" s="25" t="n">
        <x:v>40199.529861111114</x:v>
      </x:c>
      <x:c r="E4822" s="25" t="n">
        <x:v>40830.44861111111</x:v>
      </x:c>
      <x:c r="F4822" s="2" t="n">
        <x:v>57</x:v>
      </x:c>
      <x:c r="G4822" s="2" t="n">
        <x:v>11</x:v>
      </x:c>
      <x:c r="H4822" s="11" t="n">
        <x:v>2256.98</x:v>
      </x:c>
      <x:c r="I4822" s="2" t="n">
        <x:v>4</x:v>
      </x:c>
      <x:c r="J4822" s="2" t="n">
        <x:v>5</x:v>
      </x:c>
      <x:c r="K4822" s="2" t="n">
        <x:v>4</x:v>
      </x:c>
      <x:c r="L4822" s="2" t="str">
        <x:v>Champions</x:v>
      </x:c>
    </x:row>
    <x:row r="4823" ht="22" customHeight="1">
      <x:c r="A4823" s="2"/>
      <x:c r="B4823" s="2" t="str">
        <x:v>17181</x:v>
      </x:c>
      <x:c r="C4823" s="2" t="str">
        <x:v>United Kingdom</x:v>
      </x:c>
      <x:c r="D4823" s="25" t="n">
        <x:v>40291.26458333333</x:v>
      </x:c>
      <x:c r="E4823" s="25" t="n">
        <x:v>40829.40833333333</x:v>
      </x:c>
      <x:c r="F4823" s="2" t="n">
        <x:v>58</x:v>
      </x:c>
      <x:c r="G4823" s="2" t="n">
        <x:v>3</x:v>
      </x:c>
      <x:c r="H4823" s="11" t="n">
        <x:v>309.85</x:v>
      </x:c>
      <x:c r="I4823" s="2" t="n">
        <x:v>4</x:v>
      </x:c>
      <x:c r="J4823" s="2" t="n">
        <x:v>3</x:v>
      </x:c>
      <x:c r="K4823" s="2" t="n">
        <x:v>2</x:v>
      </x:c>
      <x:c r="L4823" s="2" t="str">
        <x:v>Loyal</x:v>
      </x:c>
    </x:row>
    <x:row r="4824" ht="22" customHeight="1">
      <x:c r="A4824" s="2"/>
      <x:c r="B4824" s="2" t="str">
        <x:v>17182</x:v>
      </x:c>
      <x:c r="C4824" s="2" t="str">
        <x:v>United Kingdom</x:v>
      </x:c>
      <x:c r="D4824" s="25" t="n">
        <x:v>40168.43194444444</x:v>
      </x:c>
      <x:c r="E4824" s="25" t="n">
        <x:v>40464.214583333334</x:v>
      </x:c>
      <x:c r="F4824" s="2" t="n">
        <x:v>423</x:v>
      </x:c>
      <x:c r="G4824" s="2" t="n">
        <x:v>2</x:v>
      </x:c>
      <x:c r="H4824" s="11" t="n">
        <x:v>321.3</x:v>
      </x:c>
      <x:c r="I4824" s="2" t="n">
        <x:v>1</x:v>
      </x:c>
      <x:c r="J4824" s="2" t="n">
        <x:v>2</x:v>
      </x:c>
      <x:c r="K4824" s="2" t="n">
        <x:v>2</x:v>
      </x:c>
      <x:c r="L4824" s="2" t="str">
        <x:v>Hibernating</x:v>
      </x:c>
    </x:row>
    <x:row r="4825" ht="22" customHeight="1">
      <x:c r="A4825" s="2"/>
      <x:c r="B4825" s="2" t="str">
        <x:v>17183</x:v>
      </x:c>
      <x:c r="C4825" s="2" t="str">
        <x:v>United Kingdom</x:v>
      </x:c>
      <x:c r="D4825" s="25" t="n">
        <x:v>40781.43402777778</x:v>
      </x:c>
      <x:c r="E4825" s="25" t="n">
        <x:v>40879.21319444444</x:v>
      </x:c>
      <x:c r="F4825" s="2" t="n">
        <x:v>8</x:v>
      </x:c>
      <x:c r="G4825" s="2" t="n">
        <x:v>6</x:v>
      </x:c>
      <x:c r="H4825" s="11" t="n">
        <x:v>3347.31</x:v>
      </x:c>
      <x:c r="I4825" s="2" t="n">
        <x:v>5</x:v>
      </x:c>
      <x:c r="J4825" s="2" t="n">
        <x:v>4</x:v>
      </x:c>
      <x:c r="K4825" s="2" t="n">
        <x:v>5</x:v>
      </x:c>
      <x:c r="L4825" s="2" t="str">
        <x:v>Champions</x:v>
      </x:c>
    </x:row>
    <x:row r="4826" ht="22" customHeight="1">
      <x:c r="A4826" s="2"/>
      <x:c r="B4826" s="2" t="str">
        <x:v>17184</x:v>
      </x:c>
      <x:c r="C4826" s="2" t="str">
        <x:v>United Kingdom</x:v>
      </x:c>
      <x:c r="D4826" s="25" t="n">
        <x:v>40156.38680555556</x:v>
      </x:c>
      <x:c r="E4826" s="25" t="n">
        <x:v>40317.39166666667</x:v>
      </x:c>
      <x:c r="F4826" s="2" t="n">
        <x:v>570</x:v>
      </x:c>
      <x:c r="G4826" s="2" t="n">
        <x:v>2</x:v>
      </x:c>
      <x:c r="H4826" s="11" t="n">
        <x:v>198.41</x:v>
      </x:c>
      <x:c r="I4826" s="2" t="n">
        <x:v>1</x:v>
      </x:c>
      <x:c r="J4826" s="2" t="n">
        <x:v>2</x:v>
      </x:c>
      <x:c r="K4826" s="2" t="n">
        <x:v>1</x:v>
      </x:c>
      <x:c r="L4826" s="2" t="str">
        <x:v>Hibernating</x:v>
      </x:c>
    </x:row>
    <x:row r="4827" ht="22" customHeight="1">
      <x:c r="A4827" s="2"/>
      <x:c r="B4827" s="2" t="str">
        <x:v>17185</x:v>
      </x:c>
      <x:c r="C4827" s="2" t="str">
        <x:v>United Kingdom</x:v>
      </x:c>
      <x:c r="D4827" s="25" t="n">
        <x:v>40288.36736111111</x:v>
      </x:c>
      <x:c r="E4827" s="25" t="n">
        <x:v>40295.302083333336</x:v>
      </x:c>
      <x:c r="F4827" s="2" t="n">
        <x:v>592</x:v>
      </x:c>
      <x:c r="G4827" s="2" t="n">
        <x:v>3</x:v>
      </x:c>
      <x:c r="H4827" s="11" t="n">
        <x:v>229.46</x:v>
      </x:c>
      <x:c r="I4827" s="2" t="n">
        <x:v>1</x:v>
      </x:c>
      <x:c r="J4827" s="2" t="n">
        <x:v>3</x:v>
      </x:c>
      <x:c r="K4827" s="2" t="n">
        <x:v>1</x:v>
      </x:c>
      <x:c r="L4827" s="2" t="str">
        <x:v>At risk</x:v>
      </x:c>
    </x:row>
    <x:row r="4828" ht="22" customHeight="1">
      <x:c r="A4828" s="2"/>
      <x:c r="B4828" s="2" t="str">
        <x:v>17186</x:v>
      </x:c>
      <x:c r="C4828" s="2" t="str">
        <x:v>United Kingdom</x:v>
      </x:c>
      <x:c r="D4828" s="25" t="n">
        <x:v>40826.32777777778</x:v>
      </x:c>
      <x:c r="E4828" s="25" t="n">
        <x:v>40840.22222222222</x:v>
      </x:c>
      <x:c r="F4828" s="2" t="n">
        <x:v>47</x:v>
      </x:c>
      <x:c r="G4828" s="2" t="n">
        <x:v>2</x:v>
      </x:c>
      <x:c r="H4828" s="11" t="n">
        <x:v>144</x:v>
      </x:c>
      <x:c r="I4828" s="2" t="n">
        <x:v>4</x:v>
      </x:c>
      <x:c r="J4828" s="2" t="n">
        <x:v>2</x:v>
      </x:c>
      <x:c r="K4828" s="2" t="n">
        <x:v>1</x:v>
      </x:c>
      <x:c r="L4828" s="2" t="str">
        <x:v>Recent light buyers</x:v>
      </x:c>
    </x:row>
    <x:row r="4829" ht="22" customHeight="1">
      <x:c r="A4829" s="2"/>
      <x:c r="B4829" s="2" t="str">
        <x:v>17187</x:v>
      </x:c>
      <x:c r="C4829" s="2" t="str">
        <x:v>United Kingdom</x:v>
      </x:c>
      <x:c r="D4829" s="25" t="n">
        <x:v>40360.40138888889</x:v>
      </x:c>
      <x:c r="E4829" s="25" t="n">
        <x:v>40660.31875</x:v>
      </x:c>
      <x:c r="F4829" s="2" t="n">
        <x:v>227</x:v>
      </x:c>
      <x:c r="G4829" s="2" t="n">
        <x:v>2</x:v>
      </x:c>
      <x:c r="H4829" s="11" t="n">
        <x:v>467.71</x:v>
      </x:c>
      <x:c r="I4829" s="2" t="n">
        <x:v>2</x:v>
      </x:c>
      <x:c r="J4829" s="2" t="n">
        <x:v>2</x:v>
      </x:c>
      <x:c r="K4829" s="2" t="n">
        <x:v>2</x:v>
      </x:c>
      <x:c r="L4829" s="2" t="str">
        <x:v>Hibernating</x:v>
      </x:c>
    </x:row>
    <x:row r="4830" ht="22" customHeight="1">
      <x:c r="A4830" s="2"/>
      <x:c r="B4830" s="2" t="str">
        <x:v>17188</x:v>
      </x:c>
      <x:c r="C4830" s="2" t="str">
        <x:v>United Kingdom</x:v>
      </x:c>
      <x:c r="D4830" s="25" t="n">
        <x:v>40155.59444444445</x:v>
      </x:c>
      <x:c r="E4830" s="25" t="n">
        <x:v>40875.37013888889</x:v>
      </x:c>
      <x:c r="F4830" s="2" t="n">
        <x:v>12</x:v>
      </x:c>
      <x:c r="G4830" s="2" t="n">
        <x:v>13</x:v>
      </x:c>
      <x:c r="H4830" s="11" t="n">
        <x:v>4592.93</x:v>
      </x:c>
      <x:c r="I4830" s="2" t="n">
        <x:v>5</x:v>
      </x:c>
      <x:c r="J4830" s="2" t="n">
        <x:v>5</x:v>
      </x:c>
      <x:c r="K4830" s="2" t="n">
        <x:v>5</x:v>
      </x:c>
      <x:c r="L4830" s="2" t="str">
        <x:v>Champions</x:v>
      </x:c>
    </x:row>
    <x:row r="4831" ht="22" customHeight="1">
      <x:c r="A4831" s="2"/>
      <x:c r="B4831" s="2" t="str">
        <x:v>17189</x:v>
      </x:c>
      <x:c r="C4831" s="2" t="str">
        <x:v>United Kingdom</x:v>
      </x:c>
      <x:c r="D4831" s="25" t="n">
        <x:v>40149.28125</x:v>
      </x:c>
      <x:c r="E4831" s="25" t="n">
        <x:v>40780.61041666667</x:v>
      </x:c>
      <x:c r="F4831" s="2" t="n">
        <x:v>107</x:v>
      </x:c>
      <x:c r="G4831" s="2" t="n">
        <x:v>5</x:v>
      </x:c>
      <x:c r="H4831" s="11" t="n">
        <x:v>957.63</x:v>
      </x:c>
      <x:c r="I4831" s="2" t="n">
        <x:v>3</x:v>
      </x:c>
      <x:c r="J4831" s="2" t="n">
        <x:v>4</x:v>
      </x:c>
      <x:c r="K4831" s="2" t="n">
        <x:v>3</x:v>
      </x:c>
      <x:c r="L4831" s="2" t="str">
        <x:v>Loyal</x:v>
      </x:c>
    </x:row>
    <x:row r="4832" ht="22" customHeight="1">
      <x:c r="A4832" s="2"/>
      <x:c r="B4832" s="2" t="str">
        <x:v>17190</x:v>
      </x:c>
      <x:c r="C4832" s="2" t="str">
        <x:v>United Kingdom</x:v>
      </x:c>
      <x:c r="D4832" s="25" t="n">
        <x:v>40242.347916666666</x:v>
      </x:c>
      <x:c r="E4832" s="25" t="n">
        <x:v>40828.27291666667</x:v>
      </x:c>
      <x:c r="F4832" s="2" t="n">
        <x:v>59</x:v>
      </x:c>
      <x:c r="G4832" s="2" t="n">
        <x:v>7</x:v>
      </x:c>
      <x:c r="H4832" s="11" t="n">
        <x:v>1743.04</x:v>
      </x:c>
      <x:c r="I4832" s="2" t="n">
        <x:v>4</x:v>
      </x:c>
      <x:c r="J4832" s="2" t="n">
        <x:v>4</x:v>
      </x:c>
      <x:c r="K4832" s="2" t="n">
        <x:v>4</x:v>
      </x:c>
      <x:c r="L4832" s="2" t="str">
        <x:v>Champions</x:v>
      </x:c>
    </x:row>
    <x:row r="4833" ht="22" customHeight="1">
      <x:c r="A4833" s="2"/>
      <x:c r="B4833" s="2" t="str">
        <x:v>17191</x:v>
      </x:c>
      <x:c r="C4833" s="2" t="str">
        <x:v>United Kingdom</x:v>
      </x:c>
      <x:c r="D4833" s="25" t="n">
        <x:v>40148.481944444444</x:v>
      </x:c>
      <x:c r="E4833" s="25" t="n">
        <x:v>40858.498611111114</x:v>
      </x:c>
      <x:c r="F4833" s="2" t="n">
        <x:v>29</x:v>
      </x:c>
      <x:c r="G4833" s="2" t="n">
        <x:v>15</x:v>
      </x:c>
      <x:c r="H4833" s="11" t="n">
        <x:v>4325.94</x:v>
      </x:c>
      <x:c r="I4833" s="2" t="n">
        <x:v>4</x:v>
      </x:c>
      <x:c r="J4833" s="2" t="n">
        <x:v>5</x:v>
      </x:c>
      <x:c r="K4833" s="2" t="n">
        <x:v>5</x:v>
      </x:c>
      <x:c r="L4833" s="2" t="str">
        <x:v>Champions</x:v>
      </x:c>
    </x:row>
    <x:row r="4834" ht="22" customHeight="1">
      <x:c r="A4834" s="2"/>
      <x:c r="B4834" s="2" t="str">
        <x:v>17192</x:v>
      </x:c>
      <x:c r="C4834" s="2" t="str">
        <x:v>United Kingdom</x:v>
      </x:c>
      <x:c r="D4834" s="25" t="n">
        <x:v>40350.46319444444</x:v>
      </x:c>
      <x:c r="E4834" s="25" t="n">
        <x:v>40350.46319444444</x:v>
      </x:c>
      <x:c r="F4834" s="2" t="n">
        <x:v>537</x:v>
      </x:c>
      <x:c r="G4834" s="2" t="n">
        <x:v>1</x:v>
      </x:c>
      <x:c r="H4834" s="11" t="n">
        <x:v>77.83</x:v>
      </x:c>
      <x:c r="I4834" s="2" t="n">
        <x:v>1</x:v>
      </x:c>
      <x:c r="J4834" s="2" t="n">
        <x:v>1</x:v>
      </x:c>
      <x:c r="K4834" s="2" t="n">
        <x:v>1</x:v>
      </x:c>
      <x:c r="L4834" s="2" t="str">
        <x:v>Hibernating</x:v>
      </x:c>
    </x:row>
    <x:row r="4835" ht="22" customHeight="1">
      <x:c r="A4835" s="2"/>
      <x:c r="B4835" s="2" t="str">
        <x:v>17193</x:v>
      </x:c>
      <x:c r="C4835" s="2" t="str">
        <x:v>United Kingdom</x:v>
      </x:c>
      <x:c r="D4835" s="25" t="n">
        <x:v>40149.20972222222</x:v>
      </x:c>
      <x:c r="E4835" s="25" t="n">
        <x:v>40851.32430555556</x:v>
      </x:c>
      <x:c r="F4835" s="2" t="n">
        <x:v>36</x:v>
      </x:c>
      <x:c r="G4835" s="2" t="n">
        <x:v>9</x:v>
      </x:c>
      <x:c r="H4835" s="11" t="n">
        <x:v>2310.04</x:v>
      </x:c>
      <x:c r="I4835" s="2" t="n">
        <x:v>4</x:v>
      </x:c>
      <x:c r="J4835" s="2" t="n">
        <x:v>5</x:v>
      </x:c>
      <x:c r="K4835" s="2" t="n">
        <x:v>4</x:v>
      </x:c>
      <x:c r="L4835" s="2" t="str">
        <x:v>Champions</x:v>
      </x:c>
    </x:row>
    <x:row r="4836" ht="22" customHeight="1">
      <x:c r="A4836" s="2"/>
      <x:c r="B4836" s="2" t="str">
        <x:v>17194</x:v>
      </x:c>
      <x:c r="C4836" s="2" t="str">
        <x:v>United Kingdom</x:v>
      </x:c>
      <x:c r="D4836" s="25" t="n">
        <x:v>40356.34444444445</x:v>
      </x:c>
      <x:c r="E4836" s="25" t="n">
        <x:v>40613.29513888889</x:v>
      </x:c>
      <x:c r="F4836" s="2" t="n">
        <x:v>274</x:v>
      </x:c>
      <x:c r="G4836" s="2" t="n">
        <x:v>3</x:v>
      </x:c>
      <x:c r="H4836" s="11" t="n">
        <x:v>812.5</x:v>
      </x:c>
      <x:c r="I4836" s="2" t="n">
        <x:v>2</x:v>
      </x:c>
      <x:c r="J4836" s="2" t="n">
        <x:v>3</x:v>
      </x:c>
      <x:c r="K4836" s="2" t="n">
        <x:v>3</x:v>
      </x:c>
      <x:c r="L4836" s="2" t="str">
        <x:v>At risk</x:v>
      </x:c>
    </x:row>
    <x:row r="4837" ht="22" customHeight="1">
      <x:c r="A4837" s="2"/>
      <x:c r="B4837" s="2" t="str">
        <x:v>17195</x:v>
      </x:c>
      <x:c r="C4837" s="2" t="str">
        <x:v>United Kingdom</x:v>
      </x:c>
      <x:c r="D4837" s="25" t="n">
        <x:v>40231.336805555555</x:v>
      </x:c>
      <x:c r="E4837" s="25" t="n">
        <x:v>40231.336805555555</x:v>
      </x:c>
      <x:c r="F4837" s="2" t="n">
        <x:v>656</x:v>
      </x:c>
      <x:c r="G4837" s="2" t="n">
        <x:v>1</x:v>
      </x:c>
      <x:c r="H4837" s="11" t="n">
        <x:v>562.98</x:v>
      </x:c>
      <x:c r="I4837" s="2" t="n">
        <x:v>1</x:v>
      </x:c>
      <x:c r="J4837" s="2" t="n">
        <x:v>1</x:v>
      </x:c>
      <x:c r="K4837" s="2" t="n">
        <x:v>2</x:v>
      </x:c>
      <x:c r="L4837" s="2" t="str">
        <x:v>Hibernating</x:v>
      </x:c>
    </x:row>
    <x:row r="4838" ht="22" customHeight="1">
      <x:c r="A4838" s="2"/>
      <x:c r="B4838" s="2" t="str">
        <x:v>17196</x:v>
      </x:c>
      <x:c r="C4838" s="2" t="str">
        <x:v>United Kingdom</x:v>
      </x:c>
      <x:c r="D4838" s="25" t="n">
        <x:v>40459.271527777775</x:v>
      </x:c>
      <x:c r="E4838" s="25" t="n">
        <x:v>40459.271527777775</x:v>
      </x:c>
      <x:c r="F4838" s="2" t="n">
        <x:v>428</x:v>
      </x:c>
      <x:c r="G4838" s="2" t="n">
        <x:v>1</x:v>
      </x:c>
      <x:c r="H4838" s="11" t="n">
        <x:v>352.9</x:v>
      </x:c>
      <x:c r="I4838" s="2" t="n">
        <x:v>1</x:v>
      </x:c>
      <x:c r="J4838" s="2" t="n">
        <x:v>1</x:v>
      </x:c>
      <x:c r="K4838" s="2" t="n">
        <x:v>2</x:v>
      </x:c>
      <x:c r="L4838" s="2" t="str">
        <x:v>Hibernating</x:v>
      </x:c>
    </x:row>
    <x:row r="4839" ht="22" customHeight="1">
      <x:c r="A4839" s="2"/>
      <x:c r="B4839" s="2" t="str">
        <x:v>17197</x:v>
      </x:c>
      <x:c r="C4839" s="2" t="str">
        <x:v>United Kingdom</x:v>
      </x:c>
      <x:c r="D4839" s="25" t="n">
        <x:v>40857.23055555556</x:v>
      </x:c>
      <x:c r="E4839" s="25" t="n">
        <x:v>40857.23055555556</x:v>
      </x:c>
      <x:c r="F4839" s="2" t="n">
        <x:v>30</x:v>
      </x:c>
      <x:c r="G4839" s="2" t="n">
        <x:v>1</x:v>
      </x:c>
      <x:c r="H4839" s="11" t="n">
        <x:v>1013.01</x:v>
      </x:c>
      <x:c r="I4839" s="2" t="n">
        <x:v>4</x:v>
      </x:c>
      <x:c r="J4839" s="2" t="n">
        <x:v>1</x:v>
      </x:c>
      <x:c r="K4839" s="2" t="n">
        <x:v>3</x:v>
      </x:c>
      <x:c r="L4839" s="2" t="str">
        <x:v>Recent light buyers</x:v>
      </x:c>
    </x:row>
    <x:row r="4840" ht="22" customHeight="1">
      <x:c r="A4840" s="2"/>
      <x:c r="B4840" s="2" t="str">
        <x:v>17198</x:v>
      </x:c>
      <x:c r="C4840" s="2" t="str">
        <x:v>United Kingdom</x:v>
      </x:c>
      <x:c r="D4840" s="25" t="n">
        <x:v>40515.4125</x:v>
      </x:c>
      <x:c r="E4840" s="25" t="n">
        <x:v>40863.23541666667</x:v>
      </x:c>
      <x:c r="F4840" s="2" t="n">
        <x:v>24</x:v>
      </x:c>
      <x:c r="G4840" s="2" t="n">
        <x:v>3</x:v>
      </x:c>
      <x:c r="H4840" s="11" t="n">
        <x:v>692.22</x:v>
      </x:c>
      <x:c r="I4840" s="2" t="n">
        <x:v>4</x:v>
      </x:c>
      <x:c r="J4840" s="2" t="n">
        <x:v>3</x:v>
      </x:c>
      <x:c r="K4840" s="2" t="n">
        <x:v>3</x:v>
      </x:c>
      <x:c r="L4840" s="2" t="str">
        <x:v>Loyal</x:v>
      </x:c>
    </x:row>
    <x:row r="4841" ht="22" customHeight="1">
      <x:c r="A4841" s="2"/>
      <x:c r="B4841" s="2" t="str">
        <x:v>17199</x:v>
      </x:c>
      <x:c r="C4841" s="2" t="str">
        <x:v>United Kingdom</x:v>
      </x:c>
      <x:c r="D4841" s="25" t="n">
        <x:v>40304.37013888889</x:v>
      </x:c>
      <x:c r="E4841" s="25" t="n">
        <x:v>40304.37013888889</x:v>
      </x:c>
      <x:c r="F4841" s="2" t="n">
        <x:v>583</x:v>
      </x:c>
      <x:c r="G4841" s="2" t="n">
        <x:v>1</x:v>
      </x:c>
      <x:c r="H4841" s="11" t="n">
        <x:v>145.12</x:v>
      </x:c>
      <x:c r="I4841" s="2" t="n">
        <x:v>1</x:v>
      </x:c>
      <x:c r="J4841" s="2" t="n">
        <x:v>1</x:v>
      </x:c>
      <x:c r="K4841" s="2" t="n">
        <x:v>1</x:v>
      </x:c>
      <x:c r="L4841" s="2" t="str">
        <x:v>Hibernating</x:v>
      </x:c>
    </x:row>
    <x:row r="4842" ht="22" customHeight="1">
      <x:c r="A4842" s="2"/>
      <x:c r="B4842" s="2" t="str">
        <x:v>17200</x:v>
      </x:c>
      <x:c r="C4842" s="2" t="str">
        <x:v>United Kingdom</x:v>
      </x:c>
      <x:c r="D4842" s="25" t="n">
        <x:v>40234.34930555556</x:v>
      </x:c>
      <x:c r="E4842" s="25" t="n">
        <x:v>40499.33611111111</x:v>
      </x:c>
      <x:c r="F4842" s="2" t="n">
        <x:v>388</x:v>
      </x:c>
      <x:c r="G4842" s="2" t="n">
        <x:v>4</x:v>
      </x:c>
      <x:c r="H4842" s="11" t="n">
        <x:v>356.71</x:v>
      </x:c>
      <x:c r="I4842" s="2" t="n">
        <x:v>2</x:v>
      </x:c>
      <x:c r="J4842" s="2" t="n">
        <x:v>3</x:v>
      </x:c>
      <x:c r="K4842" s="2" t="n">
        <x:v>2</x:v>
      </x:c>
      <x:c r="L4842" s="2" t="str">
        <x:v>At risk</x:v>
      </x:c>
    </x:row>
    <x:row r="4843" ht="22" customHeight="1">
      <x:c r="A4843" s="2"/>
      <x:c r="B4843" s="2" t="str">
        <x:v>17201</x:v>
      </x:c>
      <x:c r="C4843" s="2" t="str">
        <x:v>United Kingdom</x:v>
      </x:c>
      <x:c r="D4843" s="25" t="n">
        <x:v>40219.30972222222</x:v>
      </x:c>
      <x:c r="E4843" s="25" t="n">
        <x:v>40833.288194444445</x:v>
      </x:c>
      <x:c r="F4843" s="2" t="n">
        <x:v>54</x:v>
      </x:c>
      <x:c r="G4843" s="2" t="n">
        <x:v>4</x:v>
      </x:c>
      <x:c r="H4843" s="11" t="n">
        <x:v>1242.04</x:v>
      </x:c>
      <x:c r="I4843" s="2" t="n">
        <x:v>4</x:v>
      </x:c>
      <x:c r="J4843" s="2" t="n">
        <x:v>3</x:v>
      </x:c>
      <x:c r="K4843" s="2" t="n">
        <x:v>4</x:v>
      </x:c>
      <x:c r="L4843" s="2" t="str">
        <x:v>Loyal</x:v>
      </x:c>
    </x:row>
    <x:row r="4844" ht="22" customHeight="1">
      <x:c r="A4844" s="2"/>
      <x:c r="B4844" s="2" t="str">
        <x:v>17202</x:v>
      </x:c>
      <x:c r="C4844" s="2" t="str">
        <x:v>United Kingdom</x:v>
      </x:c>
      <x:c r="D4844" s="25" t="n">
        <x:v>40466.26736111111</x:v>
      </x:c>
      <x:c r="E4844" s="25" t="n">
        <x:v>40466.26736111111</x:v>
      </x:c>
      <x:c r="F4844" s="2" t="n">
        <x:v>421</x:v>
      </x:c>
      <x:c r="G4844" s="2" t="n">
        <x:v>1</x:v>
      </x:c>
      <x:c r="H4844" s="11" t="n">
        <x:v>160.65</x:v>
      </x:c>
      <x:c r="I4844" s="2" t="n">
        <x:v>1</x:v>
      </x:c>
      <x:c r="J4844" s="2" t="n">
        <x:v>1</x:v>
      </x:c>
      <x:c r="K4844" s="2" t="n">
        <x:v>1</x:v>
      </x:c>
      <x:c r="L4844" s="2" t="str">
        <x:v>Hibernating</x:v>
      </x:c>
    </x:row>
    <x:row r="4845" ht="22" customHeight="1">
      <x:c r="A4845" s="2"/>
      <x:c r="B4845" s="2" t="str">
        <x:v>17203</x:v>
      </x:c>
      <x:c r="C4845" s="2" t="str">
        <x:v>United Kingdom</x:v>
      </x:c>
      <x:c r="D4845" s="25" t="n">
        <x:v>40498.32777777778</x:v>
      </x:c>
      <x:c r="E4845" s="25" t="n">
        <x:v>40851.31041666667</x:v>
      </x:c>
      <x:c r="F4845" s="2" t="n">
        <x:v>36</x:v>
      </x:c>
      <x:c r="G4845" s="2" t="n">
        <x:v>10</x:v>
      </x:c>
      <x:c r="H4845" s="11" t="n">
        <x:v>5575.88</x:v>
      </x:c>
      <x:c r="I4845" s="2" t="n">
        <x:v>4</x:v>
      </x:c>
      <x:c r="J4845" s="2" t="n">
        <x:v>5</x:v>
      </x:c>
      <x:c r="K4845" s="2" t="n">
        <x:v>5</x:v>
      </x:c>
      <x:c r="L4845" s="2" t="str">
        <x:v>Champions</x:v>
      </x:c>
    </x:row>
    <x:row r="4846" ht="22" customHeight="1">
      <x:c r="A4846" s="2"/>
      <x:c r="B4846" s="2" t="str">
        <x:v>17204</x:v>
      </x:c>
      <x:c r="C4846" s="2" t="str">
        <x:v>United Kingdom</x:v>
      </x:c>
      <x:c r="D4846" s="25" t="n">
        <x:v>40339.27569444444</x:v>
      </x:c>
      <x:c r="E4846" s="25" t="n">
        <x:v>40711.40694444445</x:v>
      </x:c>
      <x:c r="F4846" s="2" t="n">
        <x:v>176</x:v>
      </x:c>
      <x:c r="G4846" s="2" t="n">
        <x:v>9</x:v>
      </x:c>
      <x:c r="H4846" s="11" t="n">
        <x:v>5504.69</x:v>
      </x:c>
      <x:c r="I4846" s="2" t="n">
        <x:v>3</x:v>
      </x:c>
      <x:c r="J4846" s="2" t="n">
        <x:v>5</x:v>
      </x:c>
      <x:c r="K4846" s="2" t="n">
        <x:v>5</x:v>
      </x:c>
      <x:c r="L4846" s="2" t="str">
        <x:v>Loyal</x:v>
      </x:c>
    </x:row>
    <x:row r="4847" ht="22" customHeight="1">
      <x:c r="A4847" s="2"/>
      <x:c r="B4847" s="2" t="str">
        <x:v>17205</x:v>
      </x:c>
      <x:c r="C4847" s="2" t="str">
        <x:v>United Kingdom</x:v>
      </x:c>
      <x:c r="D4847" s="25" t="n">
        <x:v>40322.441666666666</x:v>
      </x:c>
      <x:c r="E4847" s="25" t="n">
        <x:v>40833.32361111111</x:v>
      </x:c>
      <x:c r="F4847" s="2" t="n">
        <x:v>54</x:v>
      </x:c>
      <x:c r="G4847" s="2" t="n">
        <x:v>3</x:v>
      </x:c>
      <x:c r="H4847" s="11" t="n">
        <x:v>999.35</x:v>
      </x:c>
      <x:c r="I4847" s="2" t="n">
        <x:v>4</x:v>
      </x:c>
      <x:c r="J4847" s="2" t="n">
        <x:v>3</x:v>
      </x:c>
      <x:c r="K4847" s="2" t="n">
        <x:v>3</x:v>
      </x:c>
      <x:c r="L4847" s="2" t="str">
        <x:v>Loyal</x:v>
      </x:c>
    </x:row>
    <x:row r="4848" ht="22" customHeight="1">
      <x:c r="A4848" s="2"/>
      <x:c r="B4848" s="2" t="str">
        <x:v>17206</x:v>
      </x:c>
      <x:c r="C4848" s="2" t="str">
        <x:v>United Kingdom</x:v>
      </x:c>
      <x:c r="D4848" s="25" t="n">
        <x:v>40833.350694444445</x:v>
      </x:c>
      <x:c r="E4848" s="25" t="n">
        <x:v>40833.350694444445</x:v>
      </x:c>
      <x:c r="F4848" s="2" t="n">
        <x:v>54</x:v>
      </x:c>
      <x:c r="G4848" s="2" t="n">
        <x:v>1</x:v>
      </x:c>
      <x:c r="H4848" s="11" t="n">
        <x:v>204.24</x:v>
      </x:c>
      <x:c r="I4848" s="2" t="n">
        <x:v>4</x:v>
      </x:c>
      <x:c r="J4848" s="2" t="n">
        <x:v>1</x:v>
      </x:c>
      <x:c r="K4848" s="2" t="n">
        <x:v>1</x:v>
      </x:c>
      <x:c r="L4848" s="2" t="str">
        <x:v>Recent light buyers</x:v>
      </x:c>
    </x:row>
    <x:row r="4849" ht="22" customHeight="1">
      <x:c r="A4849" s="2"/>
      <x:c r="B4849" s="2" t="str">
        <x:v>17207</x:v>
      </x:c>
      <x:c r="C4849" s="2" t="str">
        <x:v>United Kingdom</x:v>
      </x:c>
      <x:c r="D4849" s="25" t="n">
        <x:v>40234.58888888889</x:v>
      </x:c>
      <x:c r="E4849" s="25" t="n">
        <x:v>40234.58888888889</x:v>
      </x:c>
      <x:c r="F4849" s="2" t="n">
        <x:v>653</x:v>
      </x:c>
      <x:c r="G4849" s="2" t="n">
        <x:v>1</x:v>
      </x:c>
      <x:c r="H4849" s="11" t="n">
        <x:v>303.22</x:v>
      </x:c>
      <x:c r="I4849" s="2" t="n">
        <x:v>1</x:v>
      </x:c>
      <x:c r="J4849" s="2" t="n">
        <x:v>1</x:v>
      </x:c>
      <x:c r="K4849" s="2" t="n">
        <x:v>2</x:v>
      </x:c>
      <x:c r="L4849" s="2" t="str">
        <x:v>Hibernating</x:v>
      </x:c>
    </x:row>
    <x:row r="4850" ht="22" customHeight="1">
      <x:c r="A4850" s="2"/>
      <x:c r="B4850" s="2" t="str">
        <x:v>17208</x:v>
      </x:c>
      <x:c r="C4850" s="2" t="str">
        <x:v>United Kingdom</x:v>
      </x:c>
      <x:c r="D4850" s="25" t="n">
        <x:v>40491.32638888889</x:v>
      </x:c>
      <x:c r="E4850" s="25" t="n">
        <x:v>40491.32638888889</x:v>
      </x:c>
      <x:c r="F4850" s="2" t="n">
        <x:v>396</x:v>
      </x:c>
      <x:c r="G4850" s="2" t="n">
        <x:v>1</x:v>
      </x:c>
      <x:c r="H4850" s="11" t="n">
        <x:v>115.35</x:v>
      </x:c>
      <x:c r="I4850" s="2" t="n">
        <x:v>2</x:v>
      </x:c>
      <x:c r="J4850" s="2" t="n">
        <x:v>1</x:v>
      </x:c>
      <x:c r="K4850" s="2" t="n">
        <x:v>1</x:v>
      </x:c>
      <x:c r="L4850" s="2" t="str">
        <x:v>Hibernating</x:v>
      </x:c>
    </x:row>
    <x:row r="4851" ht="22" customHeight="1">
      <x:c r="A4851" s="2"/>
      <x:c r="B4851" s="2" t="str">
        <x:v>17209</x:v>
      </x:c>
      <x:c r="C4851" s="2" t="str">
        <x:v>United Kingdom</x:v>
      </x:c>
      <x:c r="D4851" s="25" t="n">
        <x:v>40150.256944444445</x:v>
      </x:c>
      <x:c r="E4851" s="25" t="n">
        <x:v>40237.459027777775</x:v>
      </x:c>
      <x:c r="F4851" s="2" t="n">
        <x:v>650</x:v>
      </x:c>
      <x:c r="G4851" s="2" t="n">
        <x:v>3</x:v>
      </x:c>
      <x:c r="H4851" s="11" t="n">
        <x:v>611.6</x:v>
      </x:c>
      <x:c r="I4851" s="2" t="n">
        <x:v>1</x:v>
      </x:c>
      <x:c r="J4851" s="2" t="n">
        <x:v>3</x:v>
      </x:c>
      <x:c r="K4851" s="2" t="n">
        <x:v>2</x:v>
      </x:c>
      <x:c r="L4851" s="2" t="str">
        <x:v>At risk</x:v>
      </x:c>
    </x:row>
    <x:row r="4852" ht="22" customHeight="1">
      <x:c r="A4852" s="2"/>
      <x:c r="B4852" s="2" t="str">
        <x:v>17210</x:v>
      </x:c>
      <x:c r="C4852" s="2" t="str">
        <x:v>United Kingdom</x:v>
      </x:c>
      <x:c r="D4852" s="25" t="n">
        <x:v>40494.302083333336</x:v>
      </x:c>
      <x:c r="E4852" s="25" t="n">
        <x:v>40494.302083333336</x:v>
      </x:c>
      <x:c r="F4852" s="2" t="n">
        <x:v>393</x:v>
      </x:c>
      <x:c r="G4852" s="2" t="n">
        <x:v>1</x:v>
      </x:c>
      <x:c r="H4852" s="11" t="n">
        <x:v>253.37</x:v>
      </x:c>
      <x:c r="I4852" s="2" t="n">
        <x:v>2</x:v>
      </x:c>
      <x:c r="J4852" s="2" t="n">
        <x:v>1</x:v>
      </x:c>
      <x:c r="K4852" s="2" t="n">
        <x:v>1</x:v>
      </x:c>
      <x:c r="L4852" s="2" t="str">
        <x:v>Hibernating</x:v>
      </x:c>
    </x:row>
    <x:row r="4853" ht="22" customHeight="1">
      <x:c r="A4853" s="2"/>
      <x:c r="B4853" s="2" t="str">
        <x:v>17211</x:v>
      </x:c>
      <x:c r="C4853" s="2" t="str">
        <x:v>United Kingdom</x:v>
      </x:c>
      <x:c r="D4853" s="25" t="n">
        <x:v>40160.345138888886</x:v>
      </x:c>
      <x:c r="E4853" s="25" t="n">
        <x:v>40860.29375</x:v>
      </x:c>
      <x:c r="F4853" s="2" t="n">
        <x:v>27</x:v>
      </x:c>
      <x:c r="G4853" s="2" t="n">
        <x:v>13</x:v>
      </x:c>
      <x:c r="H4853" s="11" t="n">
        <x:v>3773.35</x:v>
      </x:c>
      <x:c r="I4853" s="2" t="n">
        <x:v>4</x:v>
      </x:c>
      <x:c r="J4853" s="2" t="n">
        <x:v>5</x:v>
      </x:c>
      <x:c r="K4853" s="2" t="n">
        <x:v>5</x:v>
      </x:c>
      <x:c r="L4853" s="2" t="str">
        <x:v>Champions</x:v>
      </x:c>
    </x:row>
    <x:row r="4854" ht="22" customHeight="1">
      <x:c r="A4854" s="2"/>
      <x:c r="B4854" s="2" t="str">
        <x:v>17212</x:v>
      </x:c>
      <x:c r="C4854" s="2" t="str">
        <x:v>United Kingdom</x:v>
      </x:c>
      <x:c r="D4854" s="25" t="n">
        <x:v>40400.18194444444</x:v>
      </x:c>
      <x:c r="E4854" s="25" t="n">
        <x:v>40633.6125</x:v>
      </x:c>
      <x:c r="F4854" s="2" t="n">
        <x:v>254</x:v>
      </x:c>
      <x:c r="G4854" s="2" t="n">
        <x:v>3</x:v>
      </x:c>
      <x:c r="H4854" s="11" t="n">
        <x:v>794.41</x:v>
      </x:c>
      <x:c r="I4854" s="2" t="n">
        <x:v>2</x:v>
      </x:c>
      <x:c r="J4854" s="2" t="n">
        <x:v>3</x:v>
      </x:c>
      <x:c r="K4854" s="2" t="n">
        <x:v>3</x:v>
      </x:c>
      <x:c r="L4854" s="2" t="str">
        <x:v>At risk</x:v>
      </x:c>
    </x:row>
    <x:row r="4855" ht="22" customHeight="1">
      <x:c r="A4855" s="2"/>
      <x:c r="B4855" s="2" t="str">
        <x:v>17213</x:v>
      </x:c>
      <x:c r="C4855" s="2" t="str">
        <x:v>United Kingdom</x:v>
      </x:c>
      <x:c r="D4855" s="25" t="n">
        <x:v>40162.22777777778</x:v>
      </x:c>
      <x:c r="E4855" s="25" t="n">
        <x:v>40846.41180555556</x:v>
      </x:c>
      <x:c r="F4855" s="2" t="n">
        <x:v>41</x:v>
      </x:c>
      <x:c r="G4855" s="2" t="n">
        <x:v>13</x:v>
      </x:c>
      <x:c r="H4855" s="11" t="n">
        <x:v>4869.4</x:v>
      </x:c>
      <x:c r="I4855" s="2" t="n">
        <x:v>4</x:v>
      </x:c>
      <x:c r="J4855" s="2" t="n">
        <x:v>5</x:v>
      </x:c>
      <x:c r="K4855" s="2" t="n">
        <x:v>5</x:v>
      </x:c>
      <x:c r="L4855" s="2" t="str">
        <x:v>Champions</x:v>
      </x:c>
    </x:row>
    <x:row r="4856" ht="22" customHeight="1">
      <x:c r="A4856" s="2"/>
      <x:c r="B4856" s="2" t="str">
        <x:v>17214</x:v>
      </x:c>
      <x:c r="C4856" s="2" t="str">
        <x:v>United Kingdom</x:v>
      </x:c>
      <x:c r="D4856" s="25" t="n">
        <x:v>40527.42638888889</x:v>
      </x:c>
      <x:c r="E4856" s="25" t="n">
        <x:v>40826.345138888886</x:v>
      </x:c>
      <x:c r="F4856" s="2" t="n">
        <x:v>61</x:v>
      </x:c>
      <x:c r="G4856" s="2" t="n">
        <x:v>6</x:v>
      </x:c>
      <x:c r="H4856" s="11" t="n">
        <x:v>1069.12</x:v>
      </x:c>
      <x:c r="I4856" s="2" t="n">
        <x:v>3</x:v>
      </x:c>
      <x:c r="J4856" s="2" t="n">
        <x:v>4</x:v>
      </x:c>
      <x:c r="K4856" s="2" t="n">
        <x:v>3</x:v>
      </x:c>
      <x:c r="L4856" s="2" t="str">
        <x:v>Loyal</x:v>
      </x:c>
    </x:row>
    <x:row r="4857" ht="22" customHeight="1">
      <x:c r="A4857" s="2"/>
      <x:c r="B4857" s="2" t="str">
        <x:v>17215</x:v>
      </x:c>
      <x:c r="C4857" s="2" t="str">
        <x:v>United Kingdom</x:v>
      </x:c>
      <x:c r="D4857" s="25" t="n">
        <x:v>40422.36041666667</x:v>
      </x:c>
      <x:c r="E4857" s="25" t="n">
        <x:v>40422.36041666667</x:v>
      </x:c>
      <x:c r="F4857" s="2" t="n">
        <x:v>465</x:v>
      </x:c>
      <x:c r="G4857" s="2" t="n">
        <x:v>1</x:v>
      </x:c>
      <x:c r="H4857" s="11" t="n">
        <x:v>186.15</x:v>
      </x:c>
      <x:c r="I4857" s="2" t="n">
        <x:v>1</x:v>
      </x:c>
      <x:c r="J4857" s="2" t="n">
        <x:v>1</x:v>
      </x:c>
      <x:c r="K4857" s="2" t="n">
        <x:v>1</x:v>
      </x:c>
      <x:c r="L4857" s="2" t="str">
        <x:v>Hibernating</x:v>
      </x:c>
    </x:row>
    <x:row r="4858" ht="22" customHeight="1">
      <x:c r="A4858" s="2"/>
      <x:c r="B4858" s="2" t="str">
        <x:v>17216</x:v>
      </x:c>
      <x:c r="C4858" s="2" t="str">
        <x:v>United Kingdom</x:v>
      </x:c>
      <x:c r="D4858" s="25" t="n">
        <x:v>40332.33541666667</x:v>
      </x:c>
      <x:c r="E4858" s="25" t="n">
        <x:v>40332.33541666667</x:v>
      </x:c>
      <x:c r="F4858" s="2" t="n">
        <x:v>555</x:v>
      </x:c>
      <x:c r="G4858" s="2" t="n">
        <x:v>1</x:v>
      </x:c>
      <x:c r="H4858" s="11" t="n">
        <x:v>65.05</x:v>
      </x:c>
      <x:c r="I4858" s="2" t="n">
        <x:v>1</x:v>
      </x:c>
      <x:c r="J4858" s="2" t="n">
        <x:v>1</x:v>
      </x:c>
      <x:c r="K4858" s="2" t="n">
        <x:v>1</x:v>
      </x:c>
      <x:c r="L4858" s="2" t="str">
        <x:v>Hibernating</x:v>
      </x:c>
    </x:row>
    <x:row r="4859" ht="22" customHeight="1">
      <x:c r="A4859" s="2"/>
      <x:c r="B4859" s="2" t="str">
        <x:v>17217</x:v>
      </x:c>
      <x:c r="C4859" s="2" t="str">
        <x:v>United Kingdom</x:v>
      </x:c>
      <x:c r="D4859" s="25" t="n">
        <x:v>40267.35763888889</x:v>
      </x:c>
      <x:c r="E4859" s="25" t="n">
        <x:v>40652.513194444444</x:v>
      </x:c>
      <x:c r="F4859" s="2" t="n">
        <x:v>235</x:v>
      </x:c>
      <x:c r="G4859" s="2" t="n">
        <x:v>2</x:v>
      </x:c>
      <x:c r="H4859" s="11" t="n">
        <x:v>218</x:v>
      </x:c>
      <x:c r="I4859" s="2" t="n">
        <x:v>2</x:v>
      </x:c>
      <x:c r="J4859" s="2" t="n">
        <x:v>2</x:v>
      </x:c>
      <x:c r="K4859" s="2" t="n">
        <x:v>1</x:v>
      </x:c>
      <x:c r="L4859" s="2" t="str">
        <x:v>Hibernating</x:v>
      </x:c>
    </x:row>
    <x:row r="4860" ht="22" customHeight="1">
      <x:c r="A4860" s="2"/>
      <x:c r="B4860" s="2" t="str">
        <x:v>17218</x:v>
      </x:c>
      <x:c r="C4860" s="2" t="str">
        <x:v>United Kingdom</x:v>
      </x:c>
      <x:c r="D4860" s="25" t="n">
        <x:v>40203.46666666667</x:v>
      </x:c>
      <x:c r="E4860" s="25" t="n">
        <x:v>40882.36944444444</x:v>
      </x:c>
      <x:c r="F4860" s="2" t="n">
        <x:v>5</x:v>
      </x:c>
      <x:c r="G4860" s="2" t="n">
        <x:v>18</x:v>
      </x:c>
      <x:c r="H4860" s="11" t="n">
        <x:v>3900.14</x:v>
      </x:c>
      <x:c r="I4860" s="2" t="n">
        <x:v>5</x:v>
      </x:c>
      <x:c r="J4860" s="2" t="n">
        <x:v>5</x:v>
      </x:c>
      <x:c r="K4860" s="2" t="n">
        <x:v>5</x:v>
      </x:c>
      <x:c r="L4860" s="2" t="str">
        <x:v>Champions</x:v>
      </x:c>
    </x:row>
    <x:row r="4861" ht="22" customHeight="1">
      <x:c r="A4861" s="2"/>
      <x:c r="B4861" s="2" t="str">
        <x:v>17219</x:v>
      </x:c>
      <x:c r="C4861" s="2" t="str">
        <x:v>United Kingdom</x:v>
      </x:c>
      <x:c r="D4861" s="25" t="n">
        <x:v>40470.27013888889</x:v>
      </x:c>
      <x:c r="E4861" s="25" t="n">
        <x:v>40855.26736111111</x:v>
      </x:c>
      <x:c r="F4861" s="2" t="n">
        <x:v>32</x:v>
      </x:c>
      <x:c r="G4861" s="2" t="n">
        <x:v>2</x:v>
      </x:c>
      <x:c r="H4861" s="11" t="n">
        <x:v>259.13</x:v>
      </x:c>
      <x:c r="I4861" s="2" t="n">
        <x:v>4</x:v>
      </x:c>
      <x:c r="J4861" s="2" t="n">
        <x:v>2</x:v>
      </x:c>
      <x:c r="K4861" s="2" t="n">
        <x:v>1</x:v>
      </x:c>
      <x:c r="L4861" s="2" t="str">
        <x:v>Recent light buyers</x:v>
      </x:c>
    </x:row>
    <x:row r="4862" ht="22" customHeight="1">
      <x:c r="A4862" s="2"/>
      <x:c r="B4862" s="2" t="str">
        <x:v>17220</x:v>
      </x:c>
      <x:c r="C4862" s="2" t="str">
        <x:v>United Kingdom</x:v>
      </x:c>
      <x:c r="D4862" s="25" t="n">
        <x:v>40198.28958333333</x:v>
      </x:c>
      <x:c r="E4862" s="25" t="n">
        <x:v>40862.36597222222</x:v>
      </x:c>
      <x:c r="F4862" s="2" t="n">
        <x:v>25</x:v>
      </x:c>
      <x:c r="G4862" s="2" t="n">
        <x:v>21</x:v>
      </x:c>
      <x:c r="H4862" s="11" t="n">
        <x:v>4481.75</x:v>
      </x:c>
      <x:c r="I4862" s="2" t="n">
        <x:v>4</x:v>
      </x:c>
      <x:c r="J4862" s="2" t="n">
        <x:v>5</x:v>
      </x:c>
      <x:c r="K4862" s="2" t="n">
        <x:v>5</x:v>
      </x:c>
      <x:c r="L4862" s="2" t="str">
        <x:v>Champions</x:v>
      </x:c>
    </x:row>
    <x:row r="4863" ht="22" customHeight="1">
      <x:c r="A4863" s="2"/>
      <x:c r="B4863" s="2" t="str">
        <x:v>17221</x:v>
      </x:c>
      <x:c r="C4863" s="2" t="str">
        <x:v>United Kingdom</x:v>
      </x:c>
      <x:c r="D4863" s="25" t="n">
        <x:v>40279.44027777778</x:v>
      </x:c>
      <x:c r="E4863" s="25" t="n">
        <x:v>40879.35763888889</x:v>
      </x:c>
      <x:c r="F4863" s="2" t="n">
        <x:v>8</x:v>
      </x:c>
      <x:c r="G4863" s="2" t="n">
        <x:v>5</x:v>
      </x:c>
      <x:c r="H4863" s="11" t="n">
        <x:v>978.52</x:v>
      </x:c>
      <x:c r="I4863" s="2" t="n">
        <x:v>5</x:v>
      </x:c>
      <x:c r="J4863" s="2" t="n">
        <x:v>4</x:v>
      </x:c>
      <x:c r="K4863" s="2" t="n">
        <x:v>3</x:v>
      </x:c>
      <x:c r="L4863" s="2" t="str">
        <x:v>Loyal</x:v>
      </x:c>
    </x:row>
    <x:row r="4864" ht="22" customHeight="1">
      <x:c r="A4864" s="2"/>
      <x:c r="B4864" s="2" t="str">
        <x:v>17222</x:v>
      </x:c>
      <x:c r="C4864" s="2" t="str">
        <x:v>United Kingdom</x:v>
      </x:c>
      <x:c r="D4864" s="25" t="n">
        <x:v>40188.433333333334</x:v>
      </x:c>
      <x:c r="E4864" s="25" t="n">
        <x:v>40821.373611111114</x:v>
      </x:c>
      <x:c r="F4864" s="2" t="n">
        <x:v>66</x:v>
      </x:c>
      <x:c r="G4864" s="2" t="n">
        <x:v>6</x:v>
      </x:c>
      <x:c r="H4864" s="11" t="n">
        <x:v>1605.01</x:v>
      </x:c>
      <x:c r="I4864" s="2" t="n">
        <x:v>3</x:v>
      </x:c>
      <x:c r="J4864" s="2" t="n">
        <x:v>4</x:v>
      </x:c>
      <x:c r="K4864" s="2" t="n">
        <x:v>4</x:v>
      </x:c>
      <x:c r="L4864" s="2" t="str">
        <x:v>Loyal</x:v>
      </x:c>
    </x:row>
    <x:row r="4865" ht="22" customHeight="1">
      <x:c r="A4865" s="2"/>
      <x:c r="B4865" s="2" t="str">
        <x:v>17223</x:v>
      </x:c>
      <x:c r="C4865" s="2" t="str">
        <x:v>United Kingdom</x:v>
      </x:c>
      <x:c r="D4865" s="25" t="n">
        <x:v>40511.513194444444</x:v>
      </x:c>
      <x:c r="E4865" s="25" t="n">
        <x:v>40576.45625</x:v>
      </x:c>
      <x:c r="F4865" s="2" t="n">
        <x:v>311</x:v>
      </x:c>
      <x:c r="G4865" s="2" t="n">
        <x:v>3</x:v>
      </x:c>
      <x:c r="H4865" s="11" t="n">
        <x:v>580.69</x:v>
      </x:c>
      <x:c r="I4865" s="2" t="n">
        <x:v>2</x:v>
      </x:c>
      <x:c r="J4865" s="2" t="n">
        <x:v>3</x:v>
      </x:c>
      <x:c r="K4865" s="2" t="n">
        <x:v>2</x:v>
      </x:c>
      <x:c r="L4865" s="2" t="str">
        <x:v>At risk</x:v>
      </x:c>
    </x:row>
    <x:row r="4866" ht="22" customHeight="1">
      <x:c r="A4866" s="2"/>
      <x:c r="B4866" s="2" t="str">
        <x:v>17224</x:v>
      </x:c>
      <x:c r="C4866" s="2" t="str">
        <x:v>United Kingdom</x:v>
      </x:c>
      <x:c r="D4866" s="25" t="n">
        <x:v>40385.354166666664</x:v>
      </x:c>
      <x:c r="E4866" s="25" t="n">
        <x:v>40385.354166666664</x:v>
      </x:c>
      <x:c r="F4866" s="2" t="n">
        <x:v>502</x:v>
      </x:c>
      <x:c r="G4866" s="2" t="n">
        <x:v>1</x:v>
      </x:c>
      <x:c r="H4866" s="11" t="n">
        <x:v>100.86</x:v>
      </x:c>
      <x:c r="I4866" s="2" t="n">
        <x:v>1</x:v>
      </x:c>
      <x:c r="J4866" s="2" t="n">
        <x:v>1</x:v>
      </x:c>
      <x:c r="K4866" s="2" t="n">
        <x:v>1</x:v>
      </x:c>
      <x:c r="L4866" s="2" t="str">
        <x:v>Hibernating</x:v>
      </x:c>
    </x:row>
    <x:row r="4867" ht="22" customHeight="1">
      <x:c r="A4867" s="2"/>
      <x:c r="B4867" s="2" t="str">
        <x:v>17225</x:v>
      </x:c>
      <x:c r="C4867" s="2" t="str">
        <x:v>United Kingdom</x:v>
      </x:c>
      <x:c r="D4867" s="25" t="n">
        <x:v>40305.27638888889</x:v>
      </x:c>
      <x:c r="E4867" s="25" t="n">
        <x:v>40305.27638888889</x:v>
      </x:c>
      <x:c r="F4867" s="2" t="n">
        <x:v>582</x:v>
      </x:c>
      <x:c r="G4867" s="2" t="n">
        <x:v>1</x:v>
      </x:c>
      <x:c r="H4867" s="11" t="n">
        <x:v>131.15</x:v>
      </x:c>
      <x:c r="I4867" s="2" t="n">
        <x:v>1</x:v>
      </x:c>
      <x:c r="J4867" s="2" t="n">
        <x:v>1</x:v>
      </x:c>
      <x:c r="K4867" s="2" t="n">
        <x:v>1</x:v>
      </x:c>
      <x:c r="L4867" s="2" t="str">
        <x:v>Hibernating</x:v>
      </x:c>
    </x:row>
    <x:row r="4868" ht="22" customHeight="1">
      <x:c r="A4868" s="2"/>
      <x:c r="B4868" s="2" t="str">
        <x:v>17226</x:v>
      </x:c>
      <x:c r="C4868" s="2" t="str">
        <x:v>United Kingdom</x:v>
      </x:c>
      <x:c r="D4868" s="25" t="n">
        <x:v>40221.396527777775</x:v>
      </x:c>
      <x:c r="E4868" s="25" t="n">
        <x:v>40578.28611111111</x:v>
      </x:c>
      <x:c r="F4868" s="2" t="n">
        <x:v>309</x:v>
      </x:c>
      <x:c r="G4868" s="2" t="n">
        <x:v>3</x:v>
      </x:c>
      <x:c r="H4868" s="11" t="n">
        <x:v>900.12</x:v>
      </x:c>
      <x:c r="I4868" s="2" t="n">
        <x:v>2</x:v>
      </x:c>
      <x:c r="J4868" s="2" t="n">
        <x:v>3</x:v>
      </x:c>
      <x:c r="K4868" s="2" t="n">
        <x:v>3</x:v>
      </x:c>
      <x:c r="L4868" s="2" t="str">
        <x:v>At risk</x:v>
      </x:c>
    </x:row>
    <x:row r="4869" ht="22" customHeight="1">
      <x:c r="A4869" s="2"/>
      <x:c r="B4869" s="2" t="str">
        <x:v>17227</x:v>
      </x:c>
      <x:c r="C4869" s="2" t="str">
        <x:v>United Kingdom</x:v>
      </x:c>
      <x:c r="D4869" s="25" t="n">
        <x:v>40193.42013888889</x:v>
      </x:c>
      <x:c r="E4869" s="25" t="n">
        <x:v>40868.24375</x:v>
      </x:c>
      <x:c r="F4869" s="2" t="n">
        <x:v>19</x:v>
      </x:c>
      <x:c r="G4869" s="2" t="n">
        <x:v>12</x:v>
      </x:c>
      <x:c r="H4869" s="11" t="n">
        <x:v>1879.78</x:v>
      </x:c>
      <x:c r="I4869" s="2" t="n">
        <x:v>5</x:v>
      </x:c>
      <x:c r="J4869" s="2" t="n">
        <x:v>5</x:v>
      </x:c>
      <x:c r="K4869" s="2" t="n">
        <x:v>4</x:v>
      </x:c>
      <x:c r="L4869" s="2" t="str">
        <x:v>Champions</x:v>
      </x:c>
    </x:row>
    <x:row r="4870" ht="22" customHeight="1">
      <x:c r="A4870" s="2"/>
      <x:c r="B4870" s="2" t="str">
        <x:v>17228</x:v>
      </x:c>
      <x:c r="C4870" s="2" t="str">
        <x:v>United Kingdom</x:v>
      </x:c>
      <x:c r="D4870" s="25" t="n">
        <x:v>40249.2875</x:v>
      </x:c>
      <x:c r="E4870" s="25" t="n">
        <x:v>40871.225</x:v>
      </x:c>
      <x:c r="F4870" s="2" t="n">
        <x:v>16</x:v>
      </x:c>
      <x:c r="G4870" s="2" t="n">
        <x:v>13</x:v>
      </x:c>
      <x:c r="H4870" s="11" t="n">
        <x:v>2821.29</x:v>
      </x:c>
      <x:c r="I4870" s="2" t="n">
        <x:v>5</x:v>
      </x:c>
      <x:c r="J4870" s="2" t="n">
        <x:v>5</x:v>
      </x:c>
      <x:c r="K4870" s="2" t="n">
        <x:v>4</x:v>
      </x:c>
      <x:c r="L4870" s="2" t="str">
        <x:v>Champions</x:v>
      </x:c>
    </x:row>
    <x:row r="4871" ht="22" customHeight="1">
      <x:c r="A4871" s="2"/>
      <x:c r="B4871" s="2" t="str">
        <x:v>17229</x:v>
      </x:c>
      <x:c r="C4871" s="2" t="str">
        <x:v>United Kingdom</x:v>
      </x:c>
      <x:c r="D4871" s="25" t="n">
        <x:v>40744.31805555556</x:v>
      </x:c>
      <x:c r="E4871" s="25" t="n">
        <x:v>40790.37222222222</x:v>
      </x:c>
      <x:c r="F4871" s="2" t="n">
        <x:v>97</x:v>
      </x:c>
      <x:c r="G4871" s="2" t="n">
        <x:v>2</x:v>
      </x:c>
      <x:c r="H4871" s="11" t="n">
        <x:v>318.76</x:v>
      </x:c>
      <x:c r="I4871" s="2" t="n">
        <x:v>3</x:v>
      </x:c>
      <x:c r="J4871" s="2" t="n">
        <x:v>2</x:v>
      </x:c>
      <x:c r="K4871" s="2" t="n">
        <x:v>2</x:v>
      </x:c>
      <x:c r="L4871" s="2" t="str">
        <x:v>Developing</x:v>
      </x:c>
    </x:row>
    <x:row r="4872" ht="22" customHeight="1">
      <x:c r="A4872" s="2"/>
      <x:c r="B4872" s="2" t="str">
        <x:v>17230</x:v>
      </x:c>
      <x:c r="C4872" s="2" t="str">
        <x:v>United Kingdom</x:v>
      </x:c>
      <x:c r="D4872" s="25" t="n">
        <x:v>40155.361805555556</x:v>
      </x:c>
      <x:c r="E4872" s="25" t="n">
        <x:v>40622.46666666667</x:v>
      </x:c>
      <x:c r="F4872" s="2" t="n">
        <x:v>265</x:v>
      </x:c>
      <x:c r="G4872" s="2" t="n">
        <x:v>18</x:v>
      </x:c>
      <x:c r="H4872" s="11" t="n">
        <x:v>9924.95</x:v>
      </x:c>
      <x:c r="I4872" s="2" t="n">
        <x:v>2</x:v>
      </x:c>
      <x:c r="J4872" s="2" t="n">
        <x:v>5</x:v>
      </x:c>
      <x:c r="K4872" s="2" t="n">
        <x:v>5</x:v>
      </x:c>
      <x:c r="L4872" s="2" t="str">
        <x:v>At risk</x:v>
      </x:c>
    </x:row>
    <x:row r="4873" ht="22" customHeight="1">
      <x:c r="A4873" s="2"/>
      <x:c r="B4873" s="2" t="str">
        <x:v>17231</x:v>
      </x:c>
      <x:c r="C4873" s="2" t="str">
        <x:v>United Kingdom</x:v>
      </x:c>
      <x:c r="D4873" s="25" t="n">
        <x:v>40154.48472222222</x:v>
      </x:c>
      <x:c r="E4873" s="25" t="n">
        <x:v>40874.42916666667</x:v>
      </x:c>
      <x:c r="F4873" s="2" t="n">
        <x:v>13</x:v>
      </x:c>
      <x:c r="G4873" s="2" t="n">
        <x:v>25</x:v>
      </x:c>
      <x:c r="H4873" s="11" t="n">
        <x:v>7197.04</x:v>
      </x:c>
      <x:c r="I4873" s="2" t="n">
        <x:v>5</x:v>
      </x:c>
      <x:c r="J4873" s="2" t="n">
        <x:v>5</x:v>
      </x:c>
      <x:c r="K4873" s="2" t="n">
        <x:v>5</x:v>
      </x:c>
      <x:c r="L4873" s="2" t="str">
        <x:v>Champions</x:v>
      </x:c>
    </x:row>
    <x:row r="4874" ht="22" customHeight="1">
      <x:c r="A4874" s="2"/>
      <x:c r="B4874" s="2" t="str">
        <x:v>17232</x:v>
      </x:c>
      <x:c r="C4874" s="2" t="str">
        <x:v>United Kingdom</x:v>
      </x:c>
      <x:c r="D4874" s="25" t="n">
        <x:v>40872.308333333334</x:v>
      </x:c>
      <x:c r="E4874" s="25" t="n">
        <x:v>40884.30625</x:v>
      </x:c>
      <x:c r="F4874" s="2" t="n">
        <x:v>3</x:v>
      </x:c>
      <x:c r="G4874" s="2" t="n">
        <x:v>2</x:v>
      </x:c>
      <x:c r="H4874" s="11" t="n">
        <x:v>421.52</x:v>
      </x:c>
      <x:c r="I4874" s="2" t="n">
        <x:v>5</x:v>
      </x:c>
      <x:c r="J4874" s="2" t="n">
        <x:v>2</x:v>
      </x:c>
      <x:c r="K4874" s="2" t="n">
        <x:v>2</x:v>
      </x:c>
      <x:c r="L4874" s="2" t="str">
        <x:v>Recent light buyers</x:v>
      </x:c>
    </x:row>
    <x:row r="4875" ht="22" customHeight="1">
      <x:c r="A4875" s="2"/>
      <x:c r="B4875" s="2" t="str">
        <x:v>17233</x:v>
      </x:c>
      <x:c r="C4875" s="2" t="str">
        <x:v>United Kingdom</x:v>
      </x:c>
      <x:c r="D4875" s="25" t="n">
        <x:v>40162.29375</x:v>
      </x:c>
      <x:c r="E4875" s="25" t="n">
        <x:v>40851.379166666666</x:v>
      </x:c>
      <x:c r="F4875" s="2" t="n">
        <x:v>36</x:v>
      </x:c>
      <x:c r="G4875" s="2" t="n">
        <x:v>3</x:v>
      </x:c>
      <x:c r="H4875" s="11" t="n">
        <x:v>560.86</x:v>
      </x:c>
      <x:c r="I4875" s="2" t="n">
        <x:v>4</x:v>
      </x:c>
      <x:c r="J4875" s="2" t="n">
        <x:v>3</x:v>
      </x:c>
      <x:c r="K4875" s="2" t="n">
        <x:v>2</x:v>
      </x:c>
      <x:c r="L4875" s="2" t="str">
        <x:v>Loyal</x:v>
      </x:c>
    </x:row>
    <x:row r="4876" ht="22" customHeight="1">
      <x:c r="A4876" s="2"/>
      <x:c r="B4876" s="2" t="str">
        <x:v>17234</x:v>
      </x:c>
      <x:c r="C4876" s="2" t="str">
        <x:v>United Kingdom</x:v>
      </x:c>
      <x:c r="D4876" s="25" t="n">
        <x:v>40704.26388888889</x:v>
      </x:c>
      <x:c r="E4876" s="25" t="n">
        <x:v>40704.26388888889</x:v>
      </x:c>
      <x:c r="F4876" s="2" t="n">
        <x:v>183</x:v>
      </x:c>
      <x:c r="G4876" s="2" t="n">
        <x:v>1</x:v>
      </x:c>
      <x:c r="H4876" s="11" t="n">
        <x:v>149.89</x:v>
      </x:c>
      <x:c r="I4876" s="2" t="n">
        <x:v>3</x:v>
      </x:c>
      <x:c r="J4876" s="2" t="n">
        <x:v>1</x:v>
      </x:c>
      <x:c r="K4876" s="2" t="n">
        <x:v>1</x:v>
      </x:c>
      <x:c r="L4876" s="2" t="str">
        <x:v>Developing</x:v>
      </x:c>
    </x:row>
    <x:row r="4877" ht="22" customHeight="1">
      <x:c r="A4877" s="2"/>
      <x:c r="B4877" s="2" t="str">
        <x:v>17235</x:v>
      </x:c>
      <x:c r="C4877" s="2" t="str">
        <x:v>United Kingdom</x:v>
      </x:c>
      <x:c r="D4877" s="25" t="n">
        <x:v>40333.50069444445</x:v>
      </x:c>
      <x:c r="E4877" s="25" t="n">
        <x:v>40861.45208333333</x:v>
      </x:c>
      <x:c r="F4877" s="2" t="n">
        <x:v>26</x:v>
      </x:c>
      <x:c r="G4877" s="2" t="n">
        <x:v>8</x:v>
      </x:c>
      <x:c r="H4877" s="11" t="n">
        <x:v>1562.98</x:v>
      </x:c>
      <x:c r="I4877" s="2" t="n">
        <x:v>4</x:v>
      </x:c>
      <x:c r="J4877" s="2" t="n">
        <x:v>4</x:v>
      </x:c>
      <x:c r="K4877" s="2" t="n">
        <x:v>4</x:v>
      </x:c>
      <x:c r="L4877" s="2" t="str">
        <x:v>Champions</x:v>
      </x:c>
    </x:row>
    <x:row r="4878" ht="22" customHeight="1">
      <x:c r="A4878" s="2"/>
      <x:c r="B4878" s="2" t="str">
        <x:v>17236</x:v>
      </x:c>
      <x:c r="C4878" s="2" t="str">
        <x:v>United Kingdom</x:v>
      </x:c>
      <x:c r="D4878" s="25" t="n">
        <x:v>40244.333333333336</x:v>
      </x:c>
      <x:c r="E4878" s="25" t="n">
        <x:v>40874.291666666664</x:v>
      </x:c>
      <x:c r="F4878" s="2" t="n">
        <x:v>13</x:v>
      </x:c>
      <x:c r="G4878" s="2" t="n">
        <x:v>12</x:v>
      </x:c>
      <x:c r="H4878" s="11" t="n">
        <x:v>1929.26</x:v>
      </x:c>
      <x:c r="I4878" s="2" t="n">
        <x:v>5</x:v>
      </x:c>
      <x:c r="J4878" s="2" t="n">
        <x:v>5</x:v>
      </x:c>
      <x:c r="K4878" s="2" t="n">
        <x:v>4</x:v>
      </x:c>
      <x:c r="L4878" s="2" t="str">
        <x:v>Champions</x:v>
      </x:c>
    </x:row>
    <x:row r="4879" ht="22" customHeight="1">
      <x:c r="A4879" s="2"/>
      <x:c r="B4879" s="2" t="str">
        <x:v>17237</x:v>
      </x:c>
      <x:c r="C4879" s="2" t="str">
        <x:v>United Kingdom</x:v>
      </x:c>
      <x:c r="D4879" s="25" t="n">
        <x:v>40505.28125</x:v>
      </x:c>
      <x:c r="E4879" s="25" t="n">
        <x:v>40875.41805555556</x:v>
      </x:c>
      <x:c r="F4879" s="2" t="n">
        <x:v>12</x:v>
      </x:c>
      <x:c r="G4879" s="2" t="n">
        <x:v>4</x:v>
      </x:c>
      <x:c r="H4879" s="11" t="n">
        <x:v>1002.08</x:v>
      </x:c>
      <x:c r="I4879" s="2" t="n">
        <x:v>5</x:v>
      </x:c>
      <x:c r="J4879" s="2" t="n">
        <x:v>3</x:v>
      </x:c>
      <x:c r="K4879" s="2" t="n">
        <x:v>3</x:v>
      </x:c>
      <x:c r="L4879" s="2" t="str">
        <x:v>Loyal</x:v>
      </x:c>
    </x:row>
    <x:row r="4880" ht="22" customHeight="1">
      <x:c r="A4880" s="2"/>
      <x:c r="B4880" s="2" t="str">
        <x:v>17238</x:v>
      </x:c>
      <x:c r="C4880" s="2" t="str">
        <x:v>United Kingdom</x:v>
      </x:c>
      <x:c r="D4880" s="25" t="n">
        <x:v>40148.24930555555</x:v>
      </x:c>
      <x:c r="E4880" s="25" t="n">
        <x:v>40884.274305555555</x:v>
      </x:c>
      <x:c r="F4880" s="2" t="n">
        <x:v>3</x:v>
      </x:c>
      <x:c r="G4880" s="2" t="n">
        <x:v>32</x:v>
      </x:c>
      <x:c r="H4880" s="11" t="n">
        <x:v>7413.01</x:v>
      </x:c>
      <x:c r="I4880" s="2" t="n">
        <x:v>5</x:v>
      </x:c>
      <x:c r="J4880" s="2" t="n">
        <x:v>5</x:v>
      </x:c>
      <x:c r="K4880" s="2" t="n">
        <x:v>5</x:v>
      </x:c>
      <x:c r="L4880" s="2" t="str">
        <x:v>Champions</x:v>
      </x:c>
    </x:row>
    <x:row r="4881" ht="22" customHeight="1">
      <x:c r="A4881" s="2"/>
      <x:c r="B4881" s="2" t="str">
        <x:v>17239</x:v>
      </x:c>
      <x:c r="C4881" s="2" t="str">
        <x:v>United Kingdom</x:v>
      </x:c>
      <x:c r="D4881" s="25" t="n">
        <x:v>40360.24513888889</x:v>
      </x:c>
      <x:c r="E4881" s="25" t="n">
        <x:v>40574.19513888889</x:v>
      </x:c>
      <x:c r="F4881" s="2" t="n">
        <x:v>313</x:v>
      </x:c>
      <x:c r="G4881" s="2" t="n">
        <x:v>4</x:v>
      </x:c>
      <x:c r="H4881" s="11" t="n">
        <x:v>1189.45</x:v>
      </x:c>
      <x:c r="I4881" s="2" t="n">
        <x:v>2</x:v>
      </x:c>
      <x:c r="J4881" s="2" t="n">
        <x:v>3</x:v>
      </x:c>
      <x:c r="K4881" s="2" t="n">
        <x:v>3</x:v>
      </x:c>
      <x:c r="L4881" s="2" t="str">
        <x:v>At risk</x:v>
      </x:c>
    </x:row>
    <x:row r="4882" ht="22" customHeight="1">
      <x:c r="A4882" s="2"/>
      <x:c r="B4882" s="2" t="str">
        <x:v>17240</x:v>
      </x:c>
      <x:c r="C4882" s="2" t="str">
        <x:v>United Kingdom</x:v>
      </x:c>
      <x:c r="D4882" s="25" t="n">
        <x:v>40290.447222222225</x:v>
      </x:c>
      <x:c r="E4882" s="25" t="n">
        <x:v>40290.447222222225</x:v>
      </x:c>
      <x:c r="F4882" s="2" t="n">
        <x:v>597</x:v>
      </x:c>
      <x:c r="G4882" s="2" t="n">
        <x:v>1</x:v>
      </x:c>
      <x:c r="H4882" s="11" t="n">
        <x:v>130.6</x:v>
      </x:c>
      <x:c r="I4882" s="2" t="n">
        <x:v>1</x:v>
      </x:c>
      <x:c r="J4882" s="2" t="n">
        <x:v>1</x:v>
      </x:c>
      <x:c r="K4882" s="2" t="n">
        <x:v>1</x:v>
      </x:c>
      <x:c r="L4882" s="2" t="str">
        <x:v>Hibernating</x:v>
      </x:c>
    </x:row>
    <x:row r="4883" ht="22" customHeight="1">
      <x:c r="A4883" s="2"/>
      <x:c r="B4883" s="2" t="str">
        <x:v>17241</x:v>
      </x:c>
      <x:c r="C4883" s="2" t="str">
        <x:v>United Kingdom</x:v>
      </x:c>
      <x:c r="D4883" s="25" t="n">
        <x:v>40224.407638888886</x:v>
      </x:c>
      <x:c r="E4883" s="25" t="n">
        <x:v>40501.334027777775</x:v>
      </x:c>
      <x:c r="F4883" s="2" t="n">
        <x:v>386</x:v>
      </x:c>
      <x:c r="G4883" s="2" t="n">
        <x:v>12</x:v>
      </x:c>
      <x:c r="H4883" s="11" t="n">
        <x:v>2744.14</x:v>
      </x:c>
      <x:c r="I4883" s="2" t="n">
        <x:v>2</x:v>
      </x:c>
      <x:c r="J4883" s="2" t="n">
        <x:v>5</x:v>
      </x:c>
      <x:c r="K4883" s="2" t="n">
        <x:v>4</x:v>
      </x:c>
      <x:c r="L4883" s="2" t="str">
        <x:v>At risk</x:v>
      </x:c>
    </x:row>
    <x:row r="4884" ht="22" customHeight="1">
      <x:c r="A4884" s="2"/>
      <x:c r="B4884" s="2" t="str">
        <x:v>17242</x:v>
      </x:c>
      <x:c r="C4884" s="2" t="str">
        <x:v>United Kingdom</x:v>
      </x:c>
      <x:c r="D4884" s="25" t="n">
        <x:v>40202.22708333333</x:v>
      </x:c>
      <x:c r="E4884" s="25" t="n">
        <x:v>40778.413194444445</x:v>
      </x:c>
      <x:c r="F4884" s="2" t="n">
        <x:v>109</x:v>
      </x:c>
      <x:c r="G4884" s="2" t="n">
        <x:v>5</x:v>
      </x:c>
      <x:c r="H4884" s="11" t="n">
        <x:v>2889.28</x:v>
      </x:c>
      <x:c r="I4884" s="2" t="n">
        <x:v>3</x:v>
      </x:c>
      <x:c r="J4884" s="2" t="n">
        <x:v>4</x:v>
      </x:c>
      <x:c r="K4884" s="2" t="n">
        <x:v>4</x:v>
      </x:c>
      <x:c r="L4884" s="2" t="str">
        <x:v>Loyal</x:v>
      </x:c>
    </x:row>
    <x:row r="4885" ht="22" customHeight="1">
      <x:c r="A4885" s="2"/>
      <x:c r="B4885" s="2" t="str">
        <x:v>17243</x:v>
      </x:c>
      <x:c r="C4885" s="2" t="str">
        <x:v>United Kingdom</x:v>
      </x:c>
      <x:c r="D4885" s="25" t="n">
        <x:v>40148.441666666666</x:v>
      </x:c>
      <x:c r="E4885" s="25" t="n">
        <x:v>40885.35138888889</x:v>
      </x:c>
      <x:c r="F4885" s="2" t="n">
        <x:v>2</x:v>
      </x:c>
      <x:c r="G4885" s="2" t="n">
        <x:v>69</x:v>
      </x:c>
      <x:c r="H4885" s="11" t="n">
        <x:v>20632.96</x:v>
      </x:c>
      <x:c r="I4885" s="2" t="n">
        <x:v>5</x:v>
      </x:c>
      <x:c r="J4885" s="2" t="n">
        <x:v>5</x:v>
      </x:c>
      <x:c r="K4885" s="2" t="n">
        <x:v>5</x:v>
      </x:c>
      <x:c r="L4885" s="2" t="str">
        <x:v>Champions</x:v>
      </x:c>
    </x:row>
    <x:row r="4886" ht="22" customHeight="1">
      <x:c r="A4886" s="2"/>
      <x:c r="B4886" s="2" t="str">
        <x:v>17244</x:v>
      </x:c>
      <x:c r="C4886" s="2" t="str">
        <x:v>United Kingdom</x:v>
      </x:c>
      <x:c r="D4886" s="25" t="n">
        <x:v>40153.26875</x:v>
      </x:c>
      <x:c r="E4886" s="25" t="n">
        <x:v>40833.42986111111</x:v>
      </x:c>
      <x:c r="F4886" s="2" t="n">
        <x:v>54</x:v>
      </x:c>
      <x:c r="G4886" s="2" t="n">
        <x:v>5</x:v>
      </x:c>
      <x:c r="H4886" s="11" t="n">
        <x:v>1826.04</x:v>
      </x:c>
      <x:c r="I4886" s="2" t="n">
        <x:v>4</x:v>
      </x:c>
      <x:c r="J4886" s="2" t="n">
        <x:v>4</x:v>
      </x:c>
      <x:c r="K4886" s="2" t="n">
        <x:v>4</x:v>
      </x:c>
      <x:c r="L4886" s="2" t="str">
        <x:v>Champions</x:v>
      </x:c>
    </x:row>
    <x:row r="4887" ht="22" customHeight="1">
      <x:c r="A4887" s="2"/>
      <x:c r="B4887" s="2" t="str">
        <x:v>17245</x:v>
      </x:c>
      <x:c r="C4887" s="2" t="str">
        <x:v>United Kingdom</x:v>
      </x:c>
      <x:c r="D4887" s="25" t="n">
        <x:v>40197.44375</x:v>
      </x:c>
      <x:c r="E4887" s="25" t="n">
        <x:v>40682.23819444444</x:v>
      </x:c>
      <x:c r="F4887" s="2" t="n">
        <x:v>205</x:v>
      </x:c>
      <x:c r="G4887" s="2" t="n">
        <x:v>2</x:v>
      </x:c>
      <x:c r="H4887" s="11" t="n">
        <x:v>371.63</x:v>
      </x:c>
      <x:c r="I4887" s="2" t="n">
        <x:v>2</x:v>
      </x:c>
      <x:c r="J4887" s="2" t="n">
        <x:v>2</x:v>
      </x:c>
      <x:c r="K4887" s="2" t="n">
        <x:v>2</x:v>
      </x:c>
      <x:c r="L4887" s="2" t="str">
        <x:v>Hibernating</x:v>
      </x:c>
    </x:row>
    <x:row r="4888" ht="22" customHeight="1">
      <x:c r="A4888" s="2"/>
      <x:c r="B4888" s="2" t="str">
        <x:v>17246</x:v>
      </x:c>
      <x:c r="C4888" s="2" t="str">
        <x:v>United Kingdom</x:v>
      </x:c>
      <x:c r="D4888" s="25" t="n">
        <x:v>40148.53125</x:v>
      </x:c>
      <x:c r="E4888" s="25" t="n">
        <x:v>40340.316666666666</x:v>
      </x:c>
      <x:c r="F4888" s="2" t="n">
        <x:v>547</x:v>
      </x:c>
      <x:c r="G4888" s="2" t="n">
        <x:v>2</x:v>
      </x:c>
      <x:c r="H4888" s="11" t="n">
        <x:v>38.92</x:v>
      </x:c>
      <x:c r="I4888" s="2" t="n">
        <x:v>1</x:v>
      </x:c>
      <x:c r="J4888" s="2" t="n">
        <x:v>2</x:v>
      </x:c>
      <x:c r="K4888" s="2" t="n">
        <x:v>1</x:v>
      </x:c>
      <x:c r="L4888" s="2" t="str">
        <x:v>Hibernating</x:v>
      </x:c>
    </x:row>
    <x:row r="4889" ht="22" customHeight="1">
      <x:c r="A4889" s="2"/>
      <x:c r="B4889" s="2" t="str">
        <x:v>17247</x:v>
      </x:c>
      <x:c r="C4889" s="2" t="str">
        <x:v>United Kingdom</x:v>
      </x:c>
      <x:c r="D4889" s="25" t="n">
        <x:v>40871.43125</x:v>
      </x:c>
      <x:c r="E4889" s="25" t="n">
        <x:v>40871.43125</x:v>
      </x:c>
      <x:c r="F4889" s="2" t="n">
        <x:v>16</x:v>
      </x:c>
      <x:c r="G4889" s="2" t="n">
        <x:v>1</x:v>
      </x:c>
      <x:c r="H4889" s="11" t="n">
        <x:v>282.19</x:v>
      </x:c>
      <x:c r="I4889" s="2" t="n">
        <x:v>5</x:v>
      </x:c>
      <x:c r="J4889" s="2" t="n">
        <x:v>1</x:v>
      </x:c>
      <x:c r="K4889" s="2" t="n">
        <x:v>1</x:v>
      </x:c>
      <x:c r="L4889" s="2" t="str">
        <x:v>Recent light buyers</x:v>
      </x:c>
    </x:row>
    <x:row r="4890" ht="22" customHeight="1">
      <x:c r="A4890" s="2"/>
      <x:c r="B4890" s="2" t="str">
        <x:v>17248</x:v>
      </x:c>
      <x:c r="C4890" s="2" t="str">
        <x:v>United Kingdom</x:v>
      </x:c>
      <x:c r="D4890" s="25" t="n">
        <x:v>40405.288194444445</x:v>
      </x:c>
      <x:c r="E4890" s="25" t="n">
        <x:v>40766.356944444444</x:v>
      </x:c>
      <x:c r="F4890" s="2" t="n">
        <x:v>121</x:v>
      </x:c>
      <x:c r="G4890" s="2" t="n">
        <x:v>2</x:v>
      </x:c>
      <x:c r="H4890" s="11" t="n">
        <x:v>546.16</x:v>
      </x:c>
      <x:c r="I4890" s="2" t="n">
        <x:v>3</x:v>
      </x:c>
      <x:c r="J4890" s="2" t="n">
        <x:v>2</x:v>
      </x:c>
      <x:c r="K4890" s="2" t="n">
        <x:v>2</x:v>
      </x:c>
      <x:c r="L4890" s="2" t="str">
        <x:v>Developing</x:v>
      </x:c>
    </x:row>
    <x:row r="4891" ht="22" customHeight="1">
      <x:c r="A4891" s="2"/>
      <x:c r="B4891" s="2" t="str">
        <x:v>17249</x:v>
      </x:c>
      <x:c r="C4891" s="2" t="str">
        <x:v>United Kingdom</x:v>
      </x:c>
      <x:c r="D4891" s="25" t="n">
        <x:v>40458.27291666667</x:v>
      </x:c>
      <x:c r="E4891" s="25" t="n">
        <x:v>40458.27291666667</x:v>
      </x:c>
      <x:c r="F4891" s="2" t="n">
        <x:v>429</x:v>
      </x:c>
      <x:c r="G4891" s="2" t="n">
        <x:v>1</x:v>
      </x:c>
      <x:c r="H4891" s="11" t="n">
        <x:v>68.03</x:v>
      </x:c>
      <x:c r="I4891" s="2" t="n">
        <x:v>1</x:v>
      </x:c>
      <x:c r="J4891" s="2" t="n">
        <x:v>1</x:v>
      </x:c>
      <x:c r="K4891" s="2" t="n">
        <x:v>1</x:v>
      </x:c>
      <x:c r="L4891" s="2" t="str">
        <x:v>Hibernating</x:v>
      </x:c>
    </x:row>
    <x:row r="4892" ht="22" customHeight="1">
      <x:c r="A4892" s="2"/>
      <x:c r="B4892" s="2" t="str">
        <x:v>17250</x:v>
      </x:c>
      <x:c r="C4892" s="2" t="str">
        <x:v>United Kingdom</x:v>
      </x:c>
      <x:c r="D4892" s="25" t="n">
        <x:v>40625.489583333336</x:v>
      </x:c>
      <x:c r="E4892" s="25" t="n">
        <x:v>40883.302083333336</x:v>
      </x:c>
      <x:c r="F4892" s="2" t="n">
        <x:v>4</x:v>
      </x:c>
      <x:c r="G4892" s="2" t="n">
        <x:v>2</x:v>
      </x:c>
      <x:c r="H4892" s="11" t="n">
        <x:v>384.52</x:v>
      </x:c>
      <x:c r="I4892" s="2" t="n">
        <x:v>5</x:v>
      </x:c>
      <x:c r="J4892" s="2" t="n">
        <x:v>2</x:v>
      </x:c>
      <x:c r="K4892" s="2" t="n">
        <x:v>2</x:v>
      </x:c>
      <x:c r="L4892" s="2" t="str">
        <x:v>Recent light buyers</x:v>
      </x:c>
    </x:row>
    <x:row r="4893" ht="22" customHeight="1">
      <x:c r="A4893" s="2"/>
      <x:c r="B4893" s="2" t="str">
        <x:v>17251</x:v>
      </x:c>
      <x:c r="C4893" s="2" t="str">
        <x:v>United Kingdom</x:v>
      </x:c>
      <x:c r="D4893" s="25" t="n">
        <x:v>40162.23333333333</x:v>
      </x:c>
      <x:c r="E4893" s="25" t="n">
        <x:v>40524.254166666666</x:v>
      </x:c>
      <x:c r="F4893" s="2" t="n">
        <x:v>363</x:v>
      </x:c>
      <x:c r="G4893" s="2" t="n">
        <x:v>3</x:v>
      </x:c>
      <x:c r="H4893" s="11" t="n">
        <x:v>812.43</x:v>
      </x:c>
      <x:c r="I4893" s="2" t="n">
        <x:v>2</x:v>
      </x:c>
      <x:c r="J4893" s="2" t="n">
        <x:v>3</x:v>
      </x:c>
      <x:c r="K4893" s="2" t="n">
        <x:v>3</x:v>
      </x:c>
      <x:c r="L4893" s="2" t="str">
        <x:v>At risk</x:v>
      </x:c>
    </x:row>
    <x:row r="4894" ht="22" customHeight="1">
      <x:c r="A4894" s="2"/>
      <x:c r="B4894" s="2" t="str">
        <x:v>17252</x:v>
      </x:c>
      <x:c r="C4894" s="2" t="str">
        <x:v>United Kingdom</x:v>
      </x:c>
      <x:c r="D4894" s="25" t="n">
        <x:v>40700.486805555556</x:v>
      </x:c>
      <x:c r="E4894" s="25" t="n">
        <x:v>40770.197916666664</x:v>
      </x:c>
      <x:c r="F4894" s="2" t="n">
        <x:v>117</x:v>
      </x:c>
      <x:c r="G4894" s="2" t="n">
        <x:v>2</x:v>
      </x:c>
      <x:c r="H4894" s="11" t="n">
        <x:v>353.86</x:v>
      </x:c>
      <x:c r="I4894" s="2" t="n">
        <x:v>3</x:v>
      </x:c>
      <x:c r="J4894" s="2" t="n">
        <x:v>2</x:v>
      </x:c>
      <x:c r="K4894" s="2" t="n">
        <x:v>2</x:v>
      </x:c>
      <x:c r="L4894" s="2" t="str">
        <x:v>Developing</x:v>
      </x:c>
    </x:row>
    <x:row r="4895" ht="22" customHeight="1">
      <x:c r="A4895" s="2"/>
      <x:c r="B4895" s="2" t="str">
        <x:v>17253</x:v>
      </x:c>
      <x:c r="C4895" s="2" t="str">
        <x:v>United Kingdom</x:v>
      </x:c>
      <x:c r="D4895" s="25" t="n">
        <x:v>40868.33263888889</x:v>
      </x:c>
      <x:c r="E4895" s="25" t="n">
        <x:v>40868.33263888889</x:v>
      </x:c>
      <x:c r="F4895" s="2" t="n">
        <x:v>19</x:v>
      </x:c>
      <x:c r="G4895" s="2" t="n">
        <x:v>1</x:v>
      </x:c>
      <x:c r="H4895" s="11" t="n">
        <x:v>178.26</x:v>
      </x:c>
      <x:c r="I4895" s="2" t="n">
        <x:v>5</x:v>
      </x:c>
      <x:c r="J4895" s="2" t="n">
        <x:v>1</x:v>
      </x:c>
      <x:c r="K4895" s="2" t="n">
        <x:v>1</x:v>
      </x:c>
      <x:c r="L4895" s="2" t="str">
        <x:v>Recent light buyers</x:v>
      </x:c>
    </x:row>
    <x:row r="4896" ht="22" customHeight="1">
      <x:c r="A4896" s="2"/>
      <x:c r="B4896" s="2" t="str">
        <x:v>17254</x:v>
      </x:c>
      <x:c r="C4896" s="2" t="str">
        <x:v>United Kingdom</x:v>
      </x:c>
      <x:c r="D4896" s="25" t="n">
        <x:v>40485.375</x:v>
      </x:c>
      <x:c r="E4896" s="25" t="n">
        <x:v>40882.32361111111</x:v>
      </x:c>
      <x:c r="F4896" s="2" t="n">
        <x:v>5</x:v>
      </x:c>
      <x:c r="G4896" s="2" t="n">
        <x:v>3</x:v>
      </x:c>
      <x:c r="H4896" s="11" t="n">
        <x:v>470.73</x:v>
      </x:c>
      <x:c r="I4896" s="2" t="n">
        <x:v>5</x:v>
      </x:c>
      <x:c r="J4896" s="2" t="n">
        <x:v>3</x:v>
      </x:c>
      <x:c r="K4896" s="2" t="n">
        <x:v>2</x:v>
      </x:c>
      <x:c r="L4896" s="2" t="str">
        <x:v>Loyal</x:v>
      </x:c>
    </x:row>
    <x:row r="4897" ht="22" customHeight="1">
      <x:c r="A4897" s="2"/>
      <x:c r="B4897" s="2" t="str">
        <x:v>17255</x:v>
      </x:c>
      <x:c r="C4897" s="2" t="str">
        <x:v>United Kingdom</x:v>
      </x:c>
      <x:c r="D4897" s="25" t="n">
        <x:v>40440.45347222222</x:v>
      </x:c>
      <x:c r="E4897" s="25" t="n">
        <x:v>40846.30416666667</x:v>
      </x:c>
      <x:c r="F4897" s="2" t="n">
        <x:v>41</x:v>
      </x:c>
      <x:c r="G4897" s="2" t="n">
        <x:v>4</x:v>
      </x:c>
      <x:c r="H4897" s="11" t="n">
        <x:v>799.13</x:v>
      </x:c>
      <x:c r="I4897" s="2" t="n">
        <x:v>4</x:v>
      </x:c>
      <x:c r="J4897" s="2" t="n">
        <x:v>3</x:v>
      </x:c>
      <x:c r="K4897" s="2" t="n">
        <x:v>3</x:v>
      </x:c>
      <x:c r="L4897" s="2" t="str">
        <x:v>Loyal</x:v>
      </x:c>
    </x:row>
    <x:row r="4898" ht="22" customHeight="1">
      <x:c r="A4898" s="2"/>
      <x:c r="B4898" s="2" t="str">
        <x:v>17256</x:v>
      </x:c>
      <x:c r="C4898" s="2" t="str">
        <x:v>United Kingdom</x:v>
      </x:c>
      <x:c r="D4898" s="25" t="n">
        <x:v>40286.36111111111</x:v>
      </x:c>
      <x:c r="E4898" s="25" t="n">
        <x:v>40779.354166666664</x:v>
      </x:c>
      <x:c r="F4898" s="2" t="n">
        <x:v>108</x:v>
      </x:c>
      <x:c r="G4898" s="2" t="n">
        <x:v>5</x:v>
      </x:c>
      <x:c r="H4898" s="11" t="n">
        <x:v>498.93</x:v>
      </x:c>
      <x:c r="I4898" s="2" t="n">
        <x:v>3</x:v>
      </x:c>
      <x:c r="J4898" s="2" t="n">
        <x:v>4</x:v>
      </x:c>
      <x:c r="K4898" s="2" t="n">
        <x:v>2</x:v>
      </x:c>
      <x:c r="L4898" s="2" t="str">
        <x:v>Loyal</x:v>
      </x:c>
    </x:row>
    <x:row r="4899" ht="22" customHeight="1">
      <x:c r="A4899" s="2"/>
      <x:c r="B4899" s="2" t="str">
        <x:v>17257</x:v>
      </x:c>
      <x:c r="C4899" s="2" t="str">
        <x:v>United Kingdom</x:v>
      </x:c>
      <x:c r="D4899" s="25" t="n">
        <x:v>40450.325694444444</x:v>
      </x:c>
      <x:c r="E4899" s="25" t="n">
        <x:v>40450.32708333333</x:v>
      </x:c>
      <x:c r="F4899" s="2" t="n">
        <x:v>437</x:v>
      </x:c>
      <x:c r="G4899" s="2" t="n">
        <x:v>2</x:v>
      </x:c>
      <x:c r="H4899" s="11" t="n">
        <x:v>192.73</x:v>
      </x:c>
      <x:c r="I4899" s="2" t="n">
        <x:v>1</x:v>
      </x:c>
      <x:c r="J4899" s="2" t="n">
        <x:v>2</x:v>
      </x:c>
      <x:c r="K4899" s="2" t="n">
        <x:v>1</x:v>
      </x:c>
      <x:c r="L4899" s="2" t="str">
        <x:v>Hibernating</x:v>
      </x:c>
    </x:row>
    <x:row r="4900" ht="22" customHeight="1">
      <x:c r="A4900" s="2"/>
      <x:c r="B4900" s="2" t="str">
        <x:v>17258</x:v>
      </x:c>
      <x:c r="C4900" s="2" t="str">
        <x:v>United Kingdom</x:v>
      </x:c>
      <x:c r="D4900" s="25" t="n">
        <x:v>40221.45208333333</x:v>
      </x:c>
      <x:c r="E4900" s="25" t="n">
        <x:v>40490.31736111111</x:v>
      </x:c>
      <x:c r="F4900" s="2" t="n">
        <x:v>397</x:v>
      </x:c>
      <x:c r="G4900" s="2" t="n">
        <x:v>2</x:v>
      </x:c>
      <x:c r="H4900" s="11" t="n">
        <x:v>417.3</x:v>
      </x:c>
      <x:c r="I4900" s="2" t="n">
        <x:v>2</x:v>
      </x:c>
      <x:c r="J4900" s="2" t="n">
        <x:v>2</x:v>
      </x:c>
      <x:c r="K4900" s="2" t="n">
        <x:v>2</x:v>
      </x:c>
      <x:c r="L4900" s="2" t="str">
        <x:v>Hibernating</x:v>
      </x:c>
    </x:row>
    <x:row r="4901" ht="22" customHeight="1">
      <x:c r="A4901" s="2"/>
      <x:c r="B4901" s="2" t="str">
        <x:v>17259</x:v>
      </x:c>
      <x:c r="C4901" s="2" t="str">
        <x:v>United Kingdom</x:v>
      </x:c>
      <x:c r="D4901" s="25" t="n">
        <x:v>40231.35972222222</x:v>
      </x:c>
      <x:c r="E4901" s="25" t="n">
        <x:v>40738.41736111111</x:v>
      </x:c>
      <x:c r="F4901" s="2" t="n">
        <x:v>149</x:v>
      </x:c>
      <x:c r="G4901" s="2" t="n">
        <x:v>6</x:v>
      </x:c>
      <x:c r="H4901" s="11" t="n">
        <x:v>1507.7</x:v>
      </x:c>
      <x:c r="I4901" s="2" t="n">
        <x:v>3</x:v>
      </x:c>
      <x:c r="J4901" s="2" t="n">
        <x:v>4</x:v>
      </x:c>
      <x:c r="K4901" s="2" t="n">
        <x:v>4</x:v>
      </x:c>
      <x:c r="L4901" s="2" t="str">
        <x:v>Loyal</x:v>
      </x:c>
    </x:row>
    <x:row r="4902" ht="22" customHeight="1">
      <x:c r="A4902" s="2"/>
      <x:c r="B4902" s="2" t="str">
        <x:v>17260</x:v>
      </x:c>
      <x:c r="C4902" s="2" t="str">
        <x:v>United Kingdom</x:v>
      </x:c>
      <x:c r="D4902" s="25" t="n">
        <x:v>40475.347916666666</x:v>
      </x:c>
      <x:c r="E4902" s="25" t="n">
        <x:v>40475.347916666666</x:v>
      </x:c>
      <x:c r="F4902" s="2" t="n">
        <x:v>412</x:v>
      </x:c>
      <x:c r="G4902" s="2" t="n">
        <x:v>1</x:v>
      </x:c>
      <x:c r="H4902" s="11" t="n">
        <x:v>120.95</x:v>
      </x:c>
      <x:c r="I4902" s="2" t="n">
        <x:v>1</x:v>
      </x:c>
      <x:c r="J4902" s="2" t="n">
        <x:v>1</x:v>
      </x:c>
      <x:c r="K4902" s="2" t="n">
        <x:v>1</x:v>
      </x:c>
      <x:c r="L4902" s="2" t="str">
        <x:v>Hibernating</x:v>
      </x:c>
    </x:row>
    <x:row r="4903" ht="22" customHeight="1">
      <x:c r="A4903" s="2"/>
      <x:c r="B4903" s="2" t="str">
        <x:v>17261</x:v>
      </x:c>
      <x:c r="C4903" s="2" t="str">
        <x:v>United Kingdom</x:v>
      </x:c>
      <x:c r="D4903" s="25" t="n">
        <x:v>40377.28402777778</x:v>
      </x:c>
      <x:c r="E4903" s="25" t="n">
        <x:v>40377.28402777778</x:v>
      </x:c>
      <x:c r="F4903" s="2" t="n">
        <x:v>510</x:v>
      </x:c>
      <x:c r="G4903" s="2" t="n">
        <x:v>1</x:v>
      </x:c>
      <x:c r="H4903" s="11" t="n">
        <x:v>230.44</x:v>
      </x:c>
      <x:c r="I4903" s="2" t="n">
        <x:v>1</x:v>
      </x:c>
      <x:c r="J4903" s="2" t="n">
        <x:v>1</x:v>
      </x:c>
      <x:c r="K4903" s="2" t="n">
        <x:v>1</x:v>
      </x:c>
      <x:c r="L4903" s="2" t="str">
        <x:v>Hibernating</x:v>
      </x:c>
    </x:row>
    <x:row r="4904" ht="22" customHeight="1">
      <x:c r="A4904" s="2"/>
      <x:c r="B4904" s="2" t="str">
        <x:v>17262</x:v>
      </x:c>
      <x:c r="C4904" s="2" t="str">
        <x:v>United Kingdom</x:v>
      </x:c>
      <x:c r="D4904" s="25" t="n">
        <x:v>40162.268055555556</x:v>
      </x:c>
      <x:c r="E4904" s="25" t="n">
        <x:v>40834.330555555556</x:v>
      </x:c>
      <x:c r="F4904" s="2" t="n">
        <x:v>53</x:v>
      </x:c>
      <x:c r="G4904" s="2" t="n">
        <x:v>11</x:v>
      </x:c>
      <x:c r="H4904" s="11" t="n">
        <x:v>2488.76</x:v>
      </x:c>
      <x:c r="I4904" s="2" t="n">
        <x:v>4</x:v>
      </x:c>
      <x:c r="J4904" s="2" t="n">
        <x:v>5</x:v>
      </x:c>
      <x:c r="K4904" s="2" t="n">
        <x:v>4</x:v>
      </x:c>
      <x:c r="L4904" s="2" t="str">
        <x:v>Champions</x:v>
      </x:c>
    </x:row>
    <x:row r="4905" ht="22" customHeight="1">
      <x:c r="A4905" s="2"/>
      <x:c r="B4905" s="2" t="str">
        <x:v>17263</x:v>
      </x:c>
      <x:c r="C4905" s="2" t="str">
        <x:v>United Kingdom</x:v>
      </x:c>
      <x:c r="D4905" s="25" t="n">
        <x:v>40678.39722222222</x:v>
      </x:c>
      <x:c r="E4905" s="25" t="n">
        <x:v>40678.39722222222</x:v>
      </x:c>
      <x:c r="F4905" s="2" t="n">
        <x:v>209</x:v>
      </x:c>
      <x:c r="G4905" s="2" t="n">
        <x:v>1</x:v>
      </x:c>
      <x:c r="H4905" s="11" t="n">
        <x:v>63.44</x:v>
      </x:c>
      <x:c r="I4905" s="2" t="n">
        <x:v>2</x:v>
      </x:c>
      <x:c r="J4905" s="2" t="n">
        <x:v>1</x:v>
      </x:c>
      <x:c r="K4905" s="2" t="n">
        <x:v>1</x:v>
      </x:c>
      <x:c r="L4905" s="2" t="str">
        <x:v>Hibernating</x:v>
      </x:c>
    </x:row>
    <x:row r="4906" ht="22" customHeight="1">
      <x:c r="A4906" s="2"/>
      <x:c r="B4906" s="2" t="str">
        <x:v>17264</x:v>
      </x:c>
      <x:c r="C4906" s="2" t="str">
        <x:v>United Kingdom</x:v>
      </x:c>
      <x:c r="D4906" s="25" t="n">
        <x:v>40462.32777777778</x:v>
      </x:c>
      <x:c r="E4906" s="25" t="n">
        <x:v>40462.32777777778</x:v>
      </x:c>
      <x:c r="F4906" s="2" t="n">
        <x:v>425</x:v>
      </x:c>
      <x:c r="G4906" s="2" t="n">
        <x:v>1</x:v>
      </x:c>
      <x:c r="H4906" s="11" t="n">
        <x:v>279.59</x:v>
      </x:c>
      <x:c r="I4906" s="2" t="n">
        <x:v>1</x:v>
      </x:c>
      <x:c r="J4906" s="2" t="n">
        <x:v>1</x:v>
      </x:c>
      <x:c r="K4906" s="2" t="n">
        <x:v>1</x:v>
      </x:c>
      <x:c r="L4906" s="2" t="str">
        <x:v>Hibernating</x:v>
      </x:c>
    </x:row>
    <x:row r="4907" ht="22" customHeight="1">
      <x:c r="A4907" s="2"/>
      <x:c r="B4907" s="2" t="str">
        <x:v>17265</x:v>
      </x:c>
      <x:c r="C4907" s="2" t="str">
        <x:v>United Kingdom</x:v>
      </x:c>
      <x:c r="D4907" s="25" t="n">
        <x:v>40706.291666666664</x:v>
      </x:c>
      <x:c r="E4907" s="25" t="n">
        <x:v>40748.24236111111</x:v>
      </x:c>
      <x:c r="F4907" s="2" t="n">
        <x:v>139</x:v>
      </x:c>
      <x:c r="G4907" s="2" t="n">
        <x:v>2</x:v>
      </x:c>
      <x:c r="H4907" s="11" t="n">
        <x:v>562.9</x:v>
      </x:c>
      <x:c r="I4907" s="2" t="n">
        <x:v>3</x:v>
      </x:c>
      <x:c r="J4907" s="2" t="n">
        <x:v>2</x:v>
      </x:c>
      <x:c r="K4907" s="2" t="n">
        <x:v>2</x:v>
      </x:c>
      <x:c r="L4907" s="2" t="str">
        <x:v>Developing</x:v>
      </x:c>
    </x:row>
    <x:row r="4908" ht="22" customHeight="1">
      <x:c r="A4908" s="2"/>
      <x:c r="B4908" s="2" t="str">
        <x:v>17266</x:v>
      </x:c>
      <x:c r="C4908" s="2" t="str">
        <x:v>United Kingdom</x:v>
      </x:c>
      <x:c r="D4908" s="25" t="n">
        <x:v>40246.2375</x:v>
      </x:c>
      <x:c r="E4908" s="25" t="n">
        <x:v>40884.38333333333</x:v>
      </x:c>
      <x:c r="F4908" s="2" t="n">
        <x:v>3</x:v>
      </x:c>
      <x:c r="G4908" s="2" t="n">
        <x:v>5</x:v>
      </x:c>
      <x:c r="H4908" s="11" t="n">
        <x:v>517.73</x:v>
      </x:c>
      <x:c r="I4908" s="2" t="n">
        <x:v>5</x:v>
      </x:c>
      <x:c r="J4908" s="2" t="n">
        <x:v>4</x:v>
      </x:c>
      <x:c r="K4908" s="2" t="n">
        <x:v>2</x:v>
      </x:c>
      <x:c r="L4908" s="2" t="str">
        <x:v>Loyal</x:v>
      </x:c>
    </x:row>
    <x:row r="4909" ht="22" customHeight="1">
      <x:c r="A4909" s="2"/>
      <x:c r="B4909" s="2" t="str">
        <x:v>17267</x:v>
      </x:c>
      <x:c r="C4909" s="2" t="str">
        <x:v>United Kingdom</x:v>
      </x:c>
      <x:c r="D4909" s="25" t="n">
        <x:v>40759.513194444444</x:v>
      </x:c>
      <x:c r="E4909" s="25" t="n">
        <x:v>40759.51527777778</x:v>
      </x:c>
      <x:c r="F4909" s="2" t="n">
        <x:v>128</x:v>
      </x:c>
      <x:c r="G4909" s="2" t="n">
        <x:v>2</x:v>
      </x:c>
      <x:c r="H4909" s="11" t="n">
        <x:v>317.62</x:v>
      </x:c>
      <x:c r="I4909" s="2" t="n">
        <x:v>3</x:v>
      </x:c>
      <x:c r="J4909" s="2" t="n">
        <x:v>2</x:v>
      </x:c>
      <x:c r="K4909" s="2" t="n">
        <x:v>2</x:v>
      </x:c>
      <x:c r="L4909" s="2" t="str">
        <x:v>Developing</x:v>
      </x:c>
    </x:row>
    <x:row r="4910" ht="22" customHeight="1">
      <x:c r="A4910" s="2"/>
      <x:c r="B4910" s="2" t="str">
        <x:v>17268</x:v>
      </x:c>
      <x:c r="C4910" s="2" t="str">
        <x:v>United Kingdom</x:v>
      </x:c>
      <x:c r="D4910" s="25" t="n">
        <x:v>40155.28194444445</x:v>
      </x:c>
      <x:c r="E4910" s="25" t="n">
        <x:v>40779.2125</x:v>
      </x:c>
      <x:c r="F4910" s="2" t="n">
        <x:v>108</x:v>
      </x:c>
      <x:c r="G4910" s="2" t="n">
        <x:v>11</x:v>
      </x:c>
      <x:c r="H4910" s="11" t="n">
        <x:v>1733.89</x:v>
      </x:c>
      <x:c r="I4910" s="2" t="n">
        <x:v>3</x:v>
      </x:c>
      <x:c r="J4910" s="2" t="n">
        <x:v>5</x:v>
      </x:c>
      <x:c r="K4910" s="2" t="n">
        <x:v>4</x:v>
      </x:c>
      <x:c r="L4910" s="2" t="str">
        <x:v>Loyal</x:v>
      </x:c>
    </x:row>
    <x:row r="4911" ht="22" customHeight="1">
      <x:c r="A4911" s="2"/>
      <x:c r="B4911" s="2" t="str">
        <x:v>17269</x:v>
      </x:c>
      <x:c r="C4911" s="2" t="str">
        <x:v>United Kingdom</x:v>
      </x:c>
      <x:c r="D4911" s="25" t="n">
        <x:v>40501.25833333333</x:v>
      </x:c>
      <x:c r="E4911" s="25" t="n">
        <x:v>40501.25833333333</x:v>
      </x:c>
      <x:c r="F4911" s="2" t="n">
        <x:v>386</x:v>
      </x:c>
      <x:c r="G4911" s="2" t="n">
        <x:v>1</x:v>
      </x:c>
      <x:c r="H4911" s="11" t="n">
        <x:v>537.46</x:v>
      </x:c>
      <x:c r="I4911" s="2" t="n">
        <x:v>2</x:v>
      </x:c>
      <x:c r="J4911" s="2" t="n">
        <x:v>1</x:v>
      </x:c>
      <x:c r="K4911" s="2" t="n">
        <x:v>2</x:v>
      </x:c>
      <x:c r="L4911" s="2" t="str">
        <x:v>Hibernating</x:v>
      </x:c>
    </x:row>
    <x:row r="4912" ht="22" customHeight="1">
      <x:c r="A4912" s="2"/>
      <x:c r="B4912" s="2" t="str">
        <x:v>17270</x:v>
      </x:c>
      <x:c r="C4912" s="2" t="str">
        <x:v>United Kingdom</x:v>
      </x:c>
      <x:c r="D4912" s="25" t="n">
        <x:v>40154.5125</x:v>
      </x:c>
      <x:c r="E4912" s="25" t="n">
        <x:v>40417.38125</x:v>
      </x:c>
      <x:c r="F4912" s="2" t="n">
        <x:v>470</x:v>
      </x:c>
      <x:c r="G4912" s="2" t="n">
        <x:v>2</x:v>
      </x:c>
      <x:c r="H4912" s="11" t="n">
        <x:v>604.4</x:v>
      </x:c>
      <x:c r="I4912" s="2" t="n">
        <x:v>1</x:v>
      </x:c>
      <x:c r="J4912" s="2" t="n">
        <x:v>2</x:v>
      </x:c>
      <x:c r="K4912" s="2" t="n">
        <x:v>2</x:v>
      </x:c>
      <x:c r="L4912" s="2" t="str">
        <x:v>Hibernating</x:v>
      </x:c>
    </x:row>
    <x:row r="4913" ht="22" customHeight="1">
      <x:c r="A4913" s="2"/>
      <x:c r="B4913" s="2" t="str">
        <x:v>17271</x:v>
      </x:c>
      <x:c r="C4913" s="2" t="str">
        <x:v>United Kingdom</x:v>
      </x:c>
      <x:c r="D4913" s="25" t="n">
        <x:v>40150.36736111111</x:v>
      </x:c>
      <x:c r="E4913" s="25" t="n">
        <x:v>40150.36736111111</x:v>
      </x:c>
      <x:c r="F4913" s="2" t="n">
        <x:v>737</x:v>
      </x:c>
      <x:c r="G4913" s="2" t="n">
        <x:v>1</x:v>
      </x:c>
      <x:c r="H4913" s="11" t="n">
        <x:v>210.39</x:v>
      </x:c>
      <x:c r="I4913" s="2" t="n">
        <x:v>1</x:v>
      </x:c>
      <x:c r="J4913" s="2" t="n">
        <x:v>1</x:v>
      </x:c>
      <x:c r="K4913" s="2" t="n">
        <x:v>1</x:v>
      </x:c>
      <x:c r="L4913" s="2" t="str">
        <x:v>Hibernating</x:v>
      </x:c>
    </x:row>
    <x:row r="4914" ht="22" customHeight="1">
      <x:c r="A4914" s="2"/>
      <x:c r="B4914" s="2" t="str">
        <x:v>17272</x:v>
      </x:c>
      <x:c r="C4914" s="2" t="str">
        <x:v>United Kingdom</x:v>
      </x:c>
      <x:c r="D4914" s="25" t="n">
        <x:v>40624.29513888889</x:v>
      </x:c>
      <x:c r="E4914" s="25" t="n">
        <x:v>40844.48402777778</x:v>
      </x:c>
      <x:c r="F4914" s="2" t="n">
        <x:v>43</x:v>
      </x:c>
      <x:c r="G4914" s="2" t="n">
        <x:v>4</x:v>
      </x:c>
      <x:c r="H4914" s="11" t="n">
        <x:v>2148.63</x:v>
      </x:c>
      <x:c r="I4914" s="2" t="n">
        <x:v>4</x:v>
      </x:c>
      <x:c r="J4914" s="2" t="n">
        <x:v>3</x:v>
      </x:c>
      <x:c r="K4914" s="2" t="n">
        <x:v>4</x:v>
      </x:c>
      <x:c r="L4914" s="2" t="str">
        <x:v>Loyal</x:v>
      </x:c>
    </x:row>
    <x:row r="4915" ht="22" customHeight="1">
      <x:c r="A4915" s="2"/>
      <x:c r="B4915" s="2" t="str">
        <x:v>17273</x:v>
      </x:c>
      <x:c r="C4915" s="2" t="str">
        <x:v>United Kingdom</x:v>
      </x:c>
      <x:c r="D4915" s="25" t="n">
        <x:v>40462.45625</x:v>
      </x:c>
      <x:c r="E4915" s="25" t="n">
        <x:v>40462.45625</x:v>
      </x:c>
      <x:c r="F4915" s="2" t="n">
        <x:v>425</x:v>
      </x:c>
      <x:c r="G4915" s="2" t="n">
        <x:v>1</x:v>
      </x:c>
      <x:c r="H4915" s="11" t="n">
        <x:v>141.12</x:v>
      </x:c>
      <x:c r="I4915" s="2" t="n">
        <x:v>1</x:v>
      </x:c>
      <x:c r="J4915" s="2" t="n">
        <x:v>1</x:v>
      </x:c>
      <x:c r="K4915" s="2" t="n">
        <x:v>1</x:v>
      </x:c>
      <x:c r="L4915" s="2" t="str">
        <x:v>Hibernating</x:v>
      </x:c>
    </x:row>
    <x:row r="4916" ht="22" customHeight="1">
      <x:c r="A4916" s="2"/>
      <x:c r="B4916" s="2" t="str">
        <x:v>17274</x:v>
      </x:c>
      <x:c r="C4916" s="2" t="str">
        <x:v>United Kingdom</x:v>
      </x:c>
      <x:c r="D4916" s="25" t="n">
        <x:v>40491.29583333333</x:v>
      </x:c>
      <x:c r="E4916" s="25" t="n">
        <x:v>40851.34444444445</x:v>
      </x:c>
      <x:c r="F4916" s="2" t="n">
        <x:v>36</x:v>
      </x:c>
      <x:c r="G4916" s="2" t="n">
        <x:v>2</x:v>
      </x:c>
      <x:c r="H4916" s="11" t="n">
        <x:v>577.38</x:v>
      </x:c>
      <x:c r="I4916" s="2" t="n">
        <x:v>4</x:v>
      </x:c>
      <x:c r="J4916" s="2" t="n">
        <x:v>2</x:v>
      </x:c>
      <x:c r="K4916" s="2" t="n">
        <x:v>2</x:v>
      </x:c>
      <x:c r="L4916" s="2" t="str">
        <x:v>Recent light buyers</x:v>
      </x:c>
    </x:row>
    <x:row r="4917" ht="22" customHeight="1">
      <x:c r="A4917" s="2"/>
      <x:c r="B4917" s="2" t="str">
        <x:v>17275</x:v>
      </x:c>
      <x:c r="C4917" s="2" t="str">
        <x:v>United Kingdom</x:v>
      </x:c>
      <x:c r="D4917" s="25" t="n">
        <x:v>40503.35138888889</x:v>
      </x:c>
      <x:c r="E4917" s="25" t="n">
        <x:v>40503.35138888889</x:v>
      </x:c>
      <x:c r="F4917" s="2" t="n">
        <x:v>384</x:v>
      </x:c>
      <x:c r="G4917" s="2" t="n">
        <x:v>1</x:v>
      </x:c>
      <x:c r="H4917" s="11" t="n">
        <x:v>114.52</x:v>
      </x:c>
      <x:c r="I4917" s="2" t="n">
        <x:v>2</x:v>
      </x:c>
      <x:c r="J4917" s="2" t="n">
        <x:v>1</x:v>
      </x:c>
      <x:c r="K4917" s="2" t="n">
        <x:v>1</x:v>
      </x:c>
      <x:c r="L4917" s="2" t="str">
        <x:v>Hibernating</x:v>
      </x:c>
    </x:row>
    <x:row r="4918" ht="22" customHeight="1">
      <x:c r="A4918" s="2"/>
      <x:c r="B4918" s="2" t="str">
        <x:v>17276</x:v>
      </x:c>
      <x:c r="C4918" s="2" t="str">
        <x:v>United Kingdom</x:v>
      </x:c>
      <x:c r="D4918" s="25" t="n">
        <x:v>40484.47222222222</x:v>
      </x:c>
      <x:c r="E4918" s="25" t="n">
        <x:v>40484.47222222222</x:v>
      </x:c>
      <x:c r="F4918" s="2" t="n">
        <x:v>403</x:v>
      </x:c>
      <x:c r="G4918" s="2" t="n">
        <x:v>1</x:v>
      </x:c>
      <x:c r="H4918" s="11" t="n">
        <x:v>508.39</x:v>
      </x:c>
      <x:c r="I4918" s="2" t="n">
        <x:v>2</x:v>
      </x:c>
      <x:c r="J4918" s="2" t="n">
        <x:v>1</x:v>
      </x:c>
      <x:c r="K4918" s="2" t="n">
        <x:v>2</x:v>
      </x:c>
      <x:c r="L4918" s="2" t="str">
        <x:v>Hibernating</x:v>
      </x:c>
    </x:row>
    <x:row r="4919" ht="22" customHeight="1">
      <x:c r="A4919" s="2"/>
      <x:c r="B4919" s="2" t="str">
        <x:v>17277</x:v>
      </x:c>
      <x:c r="C4919" s="2" t="str">
        <x:v>United Kingdom</x:v>
      </x:c>
      <x:c r="D4919" s="25" t="n">
        <x:v>40564.31736111111</x:v>
      </x:c>
      <x:c r="E4919" s="25" t="n">
        <x:v>40659.32430555556</x:v>
      </x:c>
      <x:c r="F4919" s="2" t="n">
        <x:v>228</x:v>
      </x:c>
      <x:c r="G4919" s="2" t="n">
        <x:v>2</x:v>
      </x:c>
      <x:c r="H4919" s="11" t="n">
        <x:v>1065.35</x:v>
      </x:c>
      <x:c r="I4919" s="2" t="n">
        <x:v>2</x:v>
      </x:c>
      <x:c r="J4919" s="2" t="n">
        <x:v>2</x:v>
      </x:c>
      <x:c r="K4919" s="2" t="n">
        <x:v>3</x:v>
      </x:c>
      <x:c r="L4919" s="2" t="str">
        <x:v>Hibernating</x:v>
      </x:c>
    </x:row>
    <x:row r="4920" ht="22" customHeight="1">
      <x:c r="A4920" s="2"/>
      <x:c r="B4920" s="2" t="str">
        <x:v>17278</x:v>
      </x:c>
      <x:c r="C4920" s="2" t="str">
        <x:v>United Kingdom</x:v>
      </x:c>
      <x:c r="D4920" s="25" t="n">
        <x:v>40321.36736111111</x:v>
      </x:c>
      <x:c r="E4920" s="25" t="n">
        <x:v>40645.34027777778</x:v>
      </x:c>
      <x:c r="F4920" s="2" t="n">
        <x:v>242</x:v>
      </x:c>
      <x:c r="G4920" s="2" t="n">
        <x:v>2</x:v>
      </x:c>
      <x:c r="H4920" s="11" t="n">
        <x:v>271.24</x:v>
      </x:c>
      <x:c r="I4920" s="2" t="n">
        <x:v>2</x:v>
      </x:c>
      <x:c r="J4920" s="2" t="n">
        <x:v>2</x:v>
      </x:c>
      <x:c r="K4920" s="2" t="n">
        <x:v>1</x:v>
      </x:c>
      <x:c r="L4920" s="2" t="str">
        <x:v>Hibernating</x:v>
      </x:c>
    </x:row>
    <x:row r="4921" ht="22" customHeight="1">
      <x:c r="A4921" s="2"/>
      <x:c r="B4921" s="2" t="str">
        <x:v>17279</x:v>
      </x:c>
      <x:c r="C4921" s="2" t="str">
        <x:v>United Kingdom</x:v>
      </x:c>
      <x:c r="D4921" s="25" t="n">
        <x:v>40829.29027777778</x:v>
      </x:c>
      <x:c r="E4921" s="25" t="n">
        <x:v>40829.29027777778</x:v>
      </x:c>
      <x:c r="F4921" s="2" t="n">
        <x:v>58</x:v>
      </x:c>
      <x:c r="G4921" s="2" t="n">
        <x:v>1</x:v>
      </x:c>
      <x:c r="H4921" s="11" t="n">
        <x:v>187.83</x:v>
      </x:c>
      <x:c r="I4921" s="2" t="n">
        <x:v>4</x:v>
      </x:c>
      <x:c r="J4921" s="2" t="n">
        <x:v>1</x:v>
      </x:c>
      <x:c r="K4921" s="2" t="n">
        <x:v>1</x:v>
      </x:c>
      <x:c r="L4921" s="2" t="str">
        <x:v>Recent light buyers</x:v>
      </x:c>
    </x:row>
    <x:row r="4922" ht="22" customHeight="1">
      <x:c r="A4922" s="2"/>
      <x:c r="B4922" s="2" t="str">
        <x:v>17280</x:v>
      </x:c>
      <x:c r="C4922" s="2" t="str">
        <x:v>United Kingdom</x:v>
      </x:c>
      <x:c r="D4922" s="25" t="n">
        <x:v>40448.490277777775</x:v>
      </x:c>
      <x:c r="E4922" s="25" t="n">
        <x:v>40448.490277777775</x:v>
      </x:c>
      <x:c r="F4922" s="2" t="n">
        <x:v>439</x:v>
      </x:c>
      <x:c r="G4922" s="2" t="n">
        <x:v>1</x:v>
      </x:c>
      <x:c r="H4922" s="11" t="n">
        <x:v>118.86</x:v>
      </x:c>
      <x:c r="I4922" s="2" t="n">
        <x:v>1</x:v>
      </x:c>
      <x:c r="J4922" s="2" t="n">
        <x:v>1</x:v>
      </x:c>
      <x:c r="K4922" s="2" t="n">
        <x:v>1</x:v>
      </x:c>
      <x:c r="L4922" s="2" t="str">
        <x:v>Hibernating</x:v>
      </x:c>
    </x:row>
    <x:row r="4923" ht="22" customHeight="1">
      <x:c r="A4923" s="2"/>
      <x:c r="B4923" s="2" t="str">
        <x:v>17281</x:v>
      </x:c>
      <x:c r="C4923" s="2" t="str">
        <x:v>United Kingdom</x:v>
      </x:c>
      <x:c r="D4923" s="25" t="n">
        <x:v>40213.333333333336</x:v>
      </x:c>
      <x:c r="E4923" s="25" t="n">
        <x:v>40512.54513888889</x:v>
      </x:c>
      <x:c r="F4923" s="2" t="n">
        <x:v>375</x:v>
      </x:c>
      <x:c r="G4923" s="2" t="n">
        <x:v>6</x:v>
      </x:c>
      <x:c r="H4923" s="11" t="n">
        <x:v>797.85</x:v>
      </x:c>
      <x:c r="I4923" s="2" t="n">
        <x:v>2</x:v>
      </x:c>
      <x:c r="J4923" s="2" t="n">
        <x:v>4</x:v>
      </x:c>
      <x:c r="K4923" s="2" t="n">
        <x:v>3</x:v>
      </x:c>
      <x:c r="L4923" s="2" t="str">
        <x:v>At risk</x:v>
      </x:c>
    </x:row>
    <x:row r="4924" ht="22" customHeight="1">
      <x:c r="A4924" s="2"/>
      <x:c r="B4924" s="2" t="str">
        <x:v>17282</x:v>
      </x:c>
      <x:c r="C4924" s="2" t="str">
        <x:v>United Kingdom</x:v>
      </x:c>
      <x:c r="D4924" s="25" t="n">
        <x:v>40338.29652777778</x:v>
      </x:c>
      <x:c r="E4924" s="25" t="n">
        <x:v>40756.39513888889</x:v>
      </x:c>
      <x:c r="F4924" s="2" t="n">
        <x:v>131</x:v>
      </x:c>
      <x:c r="G4924" s="2" t="n">
        <x:v>5</x:v>
      </x:c>
      <x:c r="H4924" s="11" t="n">
        <x:v>2339.66</x:v>
      </x:c>
      <x:c r="I4924" s="2" t="n">
        <x:v>3</x:v>
      </x:c>
      <x:c r="J4924" s="2" t="n">
        <x:v>4</x:v>
      </x:c>
      <x:c r="K4924" s="2" t="n">
        <x:v>4</x:v>
      </x:c>
      <x:c r="L4924" s="2" t="str">
        <x:v>Loyal</x:v>
      </x:c>
    </x:row>
    <x:row r="4925" ht="22" customHeight="1">
      <x:c r="A4925" s="2"/>
      <x:c r="B4925" s="2" t="str">
        <x:v>17283</x:v>
      </x:c>
      <x:c r="C4925" s="2" t="str">
        <x:v>United Kingdom</x:v>
      </x:c>
      <x:c r="D4925" s="25" t="n">
        <x:v>40508.28680555556</x:v>
      </x:c>
      <x:c r="E4925" s="25" t="n">
        <x:v>40508.28680555556</x:v>
      </x:c>
      <x:c r="F4925" s="2" t="n">
        <x:v>379</x:v>
      </x:c>
      <x:c r="G4925" s="2" t="n">
        <x:v>1</x:v>
      </x:c>
      <x:c r="H4925" s="11" t="n">
        <x:v>188.46</x:v>
      </x:c>
      <x:c r="I4925" s="2" t="n">
        <x:v>2</x:v>
      </x:c>
      <x:c r="J4925" s="2" t="n">
        <x:v>1</x:v>
      </x:c>
      <x:c r="K4925" s="2" t="n">
        <x:v>1</x:v>
      </x:c>
      <x:c r="L4925" s="2" t="str">
        <x:v>Hibernating</x:v>
      </x:c>
    </x:row>
    <x:row r="4926" ht="22" customHeight="1">
      <x:c r="A4926" s="2"/>
      <x:c r="B4926" s="2" t="str">
        <x:v>17284</x:v>
      </x:c>
      <x:c r="C4926" s="2" t="str">
        <x:v>United Kingdom</x:v>
      </x:c>
      <x:c r="D4926" s="25" t="n">
        <x:v>40441.47083333333</x:v>
      </x:c>
      <x:c r="E4926" s="25" t="n">
        <x:v>40826.40138888889</x:v>
      </x:c>
      <x:c r="F4926" s="2" t="n">
        <x:v>61</x:v>
      </x:c>
      <x:c r="G4926" s="2" t="n">
        <x:v>8</x:v>
      </x:c>
      <x:c r="H4926" s="11" t="n">
        <x:v>2793.16</x:v>
      </x:c>
      <x:c r="I4926" s="2" t="n">
        <x:v>3</x:v>
      </x:c>
      <x:c r="J4926" s="2" t="n">
        <x:v>4</x:v>
      </x:c>
      <x:c r="K4926" s="2" t="n">
        <x:v>4</x:v>
      </x:c>
      <x:c r="L4926" s="2" t="str">
        <x:v>Loyal</x:v>
      </x:c>
    </x:row>
    <x:row r="4927" ht="22" customHeight="1">
      <x:c r="A4927" s="2"/>
      <x:c r="B4927" s="2" t="str">
        <x:v>17285</x:v>
      </x:c>
      <x:c r="C4927" s="2" t="str">
        <x:v>United Kingdom</x:v>
      </x:c>
      <x:c r="D4927" s="25" t="n">
        <x:v>40223.381944444445</x:v>
      </x:c>
      <x:c r="E4927" s="25" t="n">
        <x:v>40258.35972222222</x:v>
      </x:c>
      <x:c r="F4927" s="2" t="n">
        <x:v>629</x:v>
      </x:c>
      <x:c r="G4927" s="2" t="n">
        <x:v>2</x:v>
      </x:c>
      <x:c r="H4927" s="11" t="n">
        <x:v>428.34</x:v>
      </x:c>
      <x:c r="I4927" s="2" t="n">
        <x:v>1</x:v>
      </x:c>
      <x:c r="J4927" s="2" t="n">
        <x:v>2</x:v>
      </x:c>
      <x:c r="K4927" s="2" t="n">
        <x:v>2</x:v>
      </x:c>
      <x:c r="L4927" s="2" t="str">
        <x:v>Hibernating</x:v>
      </x:c>
    </x:row>
    <x:row r="4928" ht="22" customHeight="1">
      <x:c r="A4928" s="2"/>
      <x:c r="B4928" s="2" t="str">
        <x:v>17286</x:v>
      </x:c>
      <x:c r="C4928" s="2" t="str">
        <x:v>United Kingdom</x:v>
      </x:c>
      <x:c r="D4928" s="25" t="n">
        <x:v>40486.36319444444</x:v>
      </x:c>
      <x:c r="E4928" s="25" t="n">
        <x:v>40865.32430555556</x:v>
      </x:c>
      <x:c r="F4928" s="2" t="n">
        <x:v>22</x:v>
      </x:c>
      <x:c r="G4928" s="2" t="n">
        <x:v>3</x:v>
      </x:c>
      <x:c r="H4928" s="11" t="n">
        <x:v>395.48</x:v>
      </x:c>
      <x:c r="I4928" s="2" t="n">
        <x:v>4</x:v>
      </x:c>
      <x:c r="J4928" s="2" t="n">
        <x:v>3</x:v>
      </x:c>
      <x:c r="K4928" s="2" t="n">
        <x:v>2</x:v>
      </x:c>
      <x:c r="L4928" s="2" t="str">
        <x:v>Loyal</x:v>
      </x:c>
    </x:row>
    <x:row r="4929" ht="22" customHeight="1">
      <x:c r="A4929" s="2"/>
      <x:c r="B4929" s="2" t="str">
        <x:v>17287</x:v>
      </x:c>
      <x:c r="C4929" s="2" t="str">
        <x:v>United Kingdom</x:v>
      </x:c>
      <x:c r="D4929" s="25" t="n">
        <x:v>40150.322916666664</x:v>
      </x:c>
      <x:c r="E4929" s="25" t="n">
        <x:v>40860.35208333333</x:v>
      </x:c>
      <x:c r="F4929" s="2" t="n">
        <x:v>27</x:v>
      </x:c>
      <x:c r="G4929" s="2" t="n">
        <x:v>21</x:v>
      </x:c>
      <x:c r="H4929" s="11" t="n">
        <x:v>3889.26</x:v>
      </x:c>
      <x:c r="I4929" s="2" t="n">
        <x:v>4</x:v>
      </x:c>
      <x:c r="J4929" s="2" t="n">
        <x:v>5</x:v>
      </x:c>
      <x:c r="K4929" s="2" t="n">
        <x:v>5</x:v>
      </x:c>
      <x:c r="L4929" s="2" t="str">
        <x:v>Champions</x:v>
      </x:c>
    </x:row>
    <x:row r="4930" ht="22" customHeight="1">
      <x:c r="A4930" s="2"/>
      <x:c r="B4930" s="2" t="str">
        <x:v>17288</x:v>
      </x:c>
      <x:c r="C4930" s="2" t="str">
        <x:v>United Kingdom</x:v>
      </x:c>
      <x:c r="D4930" s="25" t="n">
        <x:v>40492.40555555555</x:v>
      </x:c>
      <x:c r="E4930" s="25" t="n">
        <x:v>40877.464583333334</x:v>
      </x:c>
      <x:c r="F4930" s="2" t="n">
        <x:v>10</x:v>
      </x:c>
      <x:c r="G4930" s="2" t="n">
        <x:v>11</x:v>
      </x:c>
      <x:c r="H4930" s="11" t="n">
        <x:v>2499.98</x:v>
      </x:c>
      <x:c r="I4930" s="2" t="n">
        <x:v>5</x:v>
      </x:c>
      <x:c r="J4930" s="2" t="n">
        <x:v>5</x:v>
      </x:c>
      <x:c r="K4930" s="2" t="n">
        <x:v>4</x:v>
      </x:c>
      <x:c r="L4930" s="2" t="str">
        <x:v>Champions</x:v>
      </x:c>
    </x:row>
    <x:row r="4931" ht="22" customHeight="1">
      <x:c r="A4931" s="2"/>
      <x:c r="B4931" s="2" t="str">
        <x:v>17289</x:v>
      </x:c>
      <x:c r="C4931" s="2" t="str">
        <x:v>United Kingdom</x:v>
      </x:c>
      <x:c r="D4931" s="25" t="n">
        <x:v>40245.32777777778</x:v>
      </x:c>
      <x:c r="E4931" s="25" t="n">
        <x:v>40855.29236111111</x:v>
      </x:c>
      <x:c r="F4931" s="2" t="n">
        <x:v>32</x:v>
      </x:c>
      <x:c r="G4931" s="2" t="n">
        <x:v>9</x:v>
      </x:c>
      <x:c r="H4931" s="11" t="n">
        <x:v>2079.39</x:v>
      </x:c>
      <x:c r="I4931" s="2" t="n">
        <x:v>4</x:v>
      </x:c>
      <x:c r="J4931" s="2" t="n">
        <x:v>5</x:v>
      </x:c>
      <x:c r="K4931" s="2" t="n">
        <x:v>4</x:v>
      </x:c>
      <x:c r="L4931" s="2" t="str">
        <x:v>Champions</x:v>
      </x:c>
    </x:row>
    <x:row r="4932" ht="22" customHeight="1">
      <x:c r="A4932" s="2"/>
      <x:c r="B4932" s="2" t="str">
        <x:v>17290</x:v>
      </x:c>
      <x:c r="C4932" s="2" t="str">
        <x:v>United Kingdom</x:v>
      </x:c>
      <x:c r="D4932" s="25" t="n">
        <x:v>40160.35277777778</x:v>
      </x:c>
      <x:c r="E4932" s="25" t="n">
        <x:v>40883.31805555556</x:v>
      </x:c>
      <x:c r="F4932" s="2" t="n">
        <x:v>4</x:v>
      </x:c>
      <x:c r="G4932" s="2" t="n">
        <x:v>8</x:v>
      </x:c>
      <x:c r="H4932" s="11" t="n">
        <x:v>1501.44</x:v>
      </x:c>
      <x:c r="I4932" s="2" t="n">
        <x:v>5</x:v>
      </x:c>
      <x:c r="J4932" s="2" t="n">
        <x:v>4</x:v>
      </x:c>
      <x:c r="K4932" s="2" t="n">
        <x:v>4</x:v>
      </x:c>
      <x:c r="L4932" s="2" t="str">
        <x:v>Champions</x:v>
      </x:c>
    </x:row>
    <x:row r="4933" ht="22" customHeight="1">
      <x:c r="A4933" s="2"/>
      <x:c r="B4933" s="2" t="str">
        <x:v>17291</x:v>
      </x:c>
      <x:c r="C4933" s="2" t="str">
        <x:v>United Kingdom</x:v>
      </x:c>
      <x:c r="D4933" s="25" t="n">
        <x:v>40578.33611111111</x:v>
      </x:c>
      <x:c r="E4933" s="25" t="n">
        <x:v>40578.33611111111</x:v>
      </x:c>
      <x:c r="F4933" s="2" t="n">
        <x:v>309</x:v>
      </x:c>
      <x:c r="G4933" s="2" t="n">
        <x:v>1</x:v>
      </x:c>
      <x:c r="H4933" s="11" t="n">
        <x:v>550.8</x:v>
      </x:c>
      <x:c r="I4933" s="2" t="n">
        <x:v>2</x:v>
      </x:c>
      <x:c r="J4933" s="2" t="n">
        <x:v>1</x:v>
      </x:c>
      <x:c r="K4933" s="2" t="n">
        <x:v>2</x:v>
      </x:c>
      <x:c r="L4933" s="2" t="str">
        <x:v>Hibernating</x:v>
      </x:c>
    </x:row>
    <x:row r="4934" ht="22" customHeight="1">
      <x:c r="A4934" s="2"/>
      <x:c r="B4934" s="2" t="str">
        <x:v>17292</x:v>
      </x:c>
      <x:c r="C4934" s="2" t="str">
        <x:v>United Kingdom</x:v>
      </x:c>
      <x:c r="D4934" s="25" t="n">
        <x:v>40307.41111111111</x:v>
      </x:c>
      <x:c r="E4934" s="25" t="n">
        <x:v>40414.509722222225</x:v>
      </x:c>
      <x:c r="F4934" s="2" t="n">
        <x:v>473</x:v>
      </x:c>
      <x:c r="G4934" s="2" t="n">
        <x:v>2</x:v>
      </x:c>
      <x:c r="H4934" s="11" t="n">
        <x:v>271.75</x:v>
      </x:c>
      <x:c r="I4934" s="2" t="n">
        <x:v>1</x:v>
      </x:c>
      <x:c r="J4934" s="2" t="n">
        <x:v>2</x:v>
      </x:c>
      <x:c r="K4934" s="2" t="n">
        <x:v>1</x:v>
      </x:c>
      <x:c r="L4934" s="2" t="str">
        <x:v>Hibernating</x:v>
      </x:c>
    </x:row>
    <x:row r="4935" ht="22" customHeight="1">
      <x:c r="A4935" s="2"/>
      <x:c r="B4935" s="2" t="str">
        <x:v>17293</x:v>
      </x:c>
      <x:c r="C4935" s="2" t="str">
        <x:v>United Kingdom</x:v>
      </x:c>
      <x:c r="D4935" s="25" t="n">
        <x:v>40150.42291666667</x:v>
      </x:c>
      <x:c r="E4935" s="25" t="n">
        <x:v>40878.40069444444</x:v>
      </x:c>
      <x:c r="F4935" s="2" t="n">
        <x:v>9</x:v>
      </x:c>
      <x:c r="G4935" s="2" t="n">
        <x:v>17</x:v>
      </x:c>
      <x:c r="H4935" s="11" t="n">
        <x:v>3774.23</x:v>
      </x:c>
      <x:c r="I4935" s="2" t="n">
        <x:v>5</x:v>
      </x:c>
      <x:c r="J4935" s="2" t="n">
        <x:v>5</x:v>
      </x:c>
      <x:c r="K4935" s="2" t="n">
        <x:v>5</x:v>
      </x:c>
      <x:c r="L4935" s="2" t="str">
        <x:v>Champions</x:v>
      </x:c>
    </x:row>
    <x:row r="4936" ht="22" customHeight="1">
      <x:c r="A4936" s="2"/>
      <x:c r="B4936" s="2" t="str">
        <x:v>17294</x:v>
      </x:c>
      <x:c r="C4936" s="2" t="str">
        <x:v>United Kingdom</x:v>
      </x:c>
      <x:c r="D4936" s="25" t="n">
        <x:v>40217.38958333333</x:v>
      </x:c>
      <x:c r="E4936" s="25" t="n">
        <x:v>40217.46666666667</x:v>
      </x:c>
      <x:c r="F4936" s="2" t="n">
        <x:v>670</x:v>
      </x:c>
      <x:c r="G4936" s="2" t="n">
        <x:v>2</x:v>
      </x:c>
      <x:c r="H4936" s="11" t="n">
        <x:v>467.79</x:v>
      </x:c>
      <x:c r="I4936" s="2" t="n">
        <x:v>1</x:v>
      </x:c>
      <x:c r="J4936" s="2" t="n">
        <x:v>2</x:v>
      </x:c>
      <x:c r="K4936" s="2" t="n">
        <x:v>2</x:v>
      </x:c>
      <x:c r="L4936" s="2" t="str">
        <x:v>Hibernating</x:v>
      </x:c>
    </x:row>
    <x:row r="4937" ht="22" customHeight="1">
      <x:c r="A4937" s="2"/>
      <x:c r="B4937" s="2" t="str">
        <x:v>17295</x:v>
      </x:c>
      <x:c r="C4937" s="2" t="str">
        <x:v>United Kingdom</x:v>
      </x:c>
      <x:c r="D4937" s="25" t="n">
        <x:v>40822.30694444444</x:v>
      </x:c>
      <x:c r="E4937" s="25" t="n">
        <x:v>40858.24236111111</x:v>
      </x:c>
      <x:c r="F4937" s="2" t="n">
        <x:v>29</x:v>
      </x:c>
      <x:c r="G4937" s="2" t="n">
        <x:v>3</x:v>
      </x:c>
      <x:c r="H4937" s="11" t="n">
        <x:v>556.95</x:v>
      </x:c>
      <x:c r="I4937" s="2" t="n">
        <x:v>4</x:v>
      </x:c>
      <x:c r="J4937" s="2" t="n">
        <x:v>3</x:v>
      </x:c>
      <x:c r="K4937" s="2" t="n">
        <x:v>2</x:v>
      </x:c>
      <x:c r="L4937" s="2" t="str">
        <x:v>Loyal</x:v>
      </x:c>
    </x:row>
    <x:row r="4938" ht="22" customHeight="1">
      <x:c r="A4938" s="2"/>
      <x:c r="B4938" s="2" t="str">
        <x:v>17296</x:v>
      </x:c>
      <x:c r="C4938" s="2" t="str">
        <x:v>United Kingdom</x:v>
      </x:c>
      <x:c r="D4938" s="25" t="n">
        <x:v>40156.37569444445</x:v>
      </x:c>
      <x:c r="E4938" s="25" t="n">
        <x:v>40156.37569444445</x:v>
      </x:c>
      <x:c r="F4938" s="2" t="n">
        <x:v>731</x:v>
      </x:c>
      <x:c r="G4938" s="2" t="n">
        <x:v>1</x:v>
      </x:c>
      <x:c r="H4938" s="11" t="n">
        <x:v>338.13</x:v>
      </x:c>
      <x:c r="I4938" s="2" t="n">
        <x:v>1</x:v>
      </x:c>
      <x:c r="J4938" s="2" t="n">
        <x:v>1</x:v>
      </x:c>
      <x:c r="K4938" s="2" t="n">
        <x:v>2</x:v>
      </x:c>
      <x:c r="L4938" s="2" t="str">
        <x:v>Hibernating</x:v>
      </x:c>
    </x:row>
    <x:row r="4939" ht="22" customHeight="1">
      <x:c r="A4939" s="2"/>
      <x:c r="B4939" s="2" t="str">
        <x:v>17297</x:v>
      </x:c>
      <x:c r="C4939" s="2" t="str">
        <x:v>United Kingdom</x:v>
      </x:c>
      <x:c r="D4939" s="25" t="n">
        <x:v>40869.404861111114</x:v>
      </x:c>
      <x:c r="E4939" s="25" t="n">
        <x:v>40869.404861111114</x:v>
      </x:c>
      <x:c r="F4939" s="2" t="n">
        <x:v>18</x:v>
      </x:c>
      <x:c r="G4939" s="2" t="n">
        <x:v>1</x:v>
      </x:c>
      <x:c r="H4939" s="11" t="n">
        <x:v>131.78</x:v>
      </x:c>
      <x:c r="I4939" s="2" t="n">
        <x:v>5</x:v>
      </x:c>
      <x:c r="J4939" s="2" t="n">
        <x:v>1</x:v>
      </x:c>
      <x:c r="K4939" s="2" t="n">
        <x:v>1</x:v>
      </x:c>
      <x:c r="L4939" s="2" t="str">
        <x:v>Recent light buyers</x:v>
      </x:c>
    </x:row>
    <x:row r="4940" ht="22" customHeight="1">
      <x:c r="A4940" s="2"/>
      <x:c r="B4940" s="2" t="str">
        <x:v>17298</x:v>
      </x:c>
      <x:c r="C4940" s="2" t="str">
        <x:v>United Kingdom</x:v>
      </x:c>
      <x:c r="D4940" s="25" t="n">
        <x:v>40245.16388888889</x:v>
      </x:c>
      <x:c r="E4940" s="25" t="n">
        <x:v>40785.48819444444</x:v>
      </x:c>
      <x:c r="F4940" s="2" t="n">
        <x:v>102</x:v>
      </x:c>
      <x:c r="G4940" s="2" t="n">
        <x:v>5</x:v>
      </x:c>
      <x:c r="H4940" s="11" t="n">
        <x:v>957.56</x:v>
      </x:c>
      <x:c r="I4940" s="2" t="n">
        <x:v>3</x:v>
      </x:c>
      <x:c r="J4940" s="2" t="n">
        <x:v>4</x:v>
      </x:c>
      <x:c r="K4940" s="2" t="n">
        <x:v>3</x:v>
      </x:c>
      <x:c r="L4940" s="2" t="str">
        <x:v>Loyal</x:v>
      </x:c>
    </x:row>
    <x:row r="4941" ht="22" customHeight="1">
      <x:c r="A4941" s="2"/>
      <x:c r="B4941" s="2" t="str">
        <x:v>17299</x:v>
      </x:c>
      <x:c r="C4941" s="2" t="str">
        <x:v>United Kingdom</x:v>
      </x:c>
      <x:c r="D4941" s="25" t="n">
        <x:v>40405.458333333336</x:v>
      </x:c>
      <x:c r="E4941" s="25" t="n">
        <x:v>40875.29236111111</x:v>
      </x:c>
      <x:c r="F4941" s="2" t="n">
        <x:v>12</x:v>
      </x:c>
      <x:c r="G4941" s="2" t="n">
        <x:v>6</x:v>
      </x:c>
      <x:c r="H4941" s="11" t="n">
        <x:v>1016.08</x:v>
      </x:c>
      <x:c r="I4941" s="2" t="n">
        <x:v>5</x:v>
      </x:c>
      <x:c r="J4941" s="2" t="n">
        <x:v>4</x:v>
      </x:c>
      <x:c r="K4941" s="2" t="n">
        <x:v>3</x:v>
      </x:c>
      <x:c r="L4941" s="2" t="str">
        <x:v>Loyal</x:v>
      </x:c>
    </x:row>
    <x:row r="4942" ht="22" customHeight="1">
      <x:c r="A4942" s="2"/>
      <x:c r="B4942" s="2" t="str">
        <x:v>17300</x:v>
      </x:c>
      <x:c r="C4942" s="2" t="str">
        <x:v>United Kingdom</x:v>
      </x:c>
      <x:c r="D4942" s="25" t="n">
        <x:v>40405.251388888886</x:v>
      </x:c>
      <x:c r="E4942" s="25" t="n">
        <x:v>40496.24722222222</x:v>
      </x:c>
      <x:c r="F4942" s="2" t="n">
        <x:v>391</x:v>
      </x:c>
      <x:c r="G4942" s="2" t="n">
        <x:v>2</x:v>
      </x:c>
      <x:c r="H4942" s="11" t="n">
        <x:v>393.64</x:v>
      </x:c>
      <x:c r="I4942" s="2" t="n">
        <x:v>2</x:v>
      </x:c>
      <x:c r="J4942" s="2" t="n">
        <x:v>2</x:v>
      </x:c>
      <x:c r="K4942" s="2" t="n">
        <x:v>2</x:v>
      </x:c>
      <x:c r="L4942" s="2" t="str">
        <x:v>Hibernating</x:v>
      </x:c>
    </x:row>
    <x:row r="4943" ht="22" customHeight="1">
      <x:c r="A4943" s="2"/>
      <x:c r="B4943" s="2" t="str">
        <x:v>17301</x:v>
      </x:c>
      <x:c r="C4943" s="2" t="str">
        <x:v>United Kingdom</x:v>
      </x:c>
      <x:c r="D4943" s="25" t="n">
        <x:v>40262.34444444445</x:v>
      </x:c>
      <x:c r="E4943" s="25" t="n">
        <x:v>40865.36319444444</x:v>
      </x:c>
      <x:c r="F4943" s="2" t="n">
        <x:v>22</x:v>
      </x:c>
      <x:c r="G4943" s="2" t="n">
        <x:v>2</x:v>
      </x:c>
      <x:c r="H4943" s="11" t="n">
        <x:v>330.43</x:v>
      </x:c>
      <x:c r="I4943" s="2" t="n">
        <x:v>4</x:v>
      </x:c>
      <x:c r="J4943" s="2" t="n">
        <x:v>2</x:v>
      </x:c>
      <x:c r="K4943" s="2" t="n">
        <x:v>2</x:v>
      </x:c>
      <x:c r="L4943" s="2" t="str">
        <x:v>Recent light buyers</x:v>
      </x:c>
    </x:row>
    <x:row r="4944" ht="22" customHeight="1">
      <x:c r="A4944" s="2"/>
      <x:c r="B4944" s="2" t="str">
        <x:v>17302</x:v>
      </x:c>
      <x:c r="C4944" s="2" t="str">
        <x:v>United Kingdom</x:v>
      </x:c>
      <x:c r="D4944" s="25" t="n">
        <x:v>40581.21805555555</x:v>
      </x:c>
      <x:c r="E4944" s="25" t="n">
        <x:v>40872.191666666666</x:v>
      </x:c>
      <x:c r="F4944" s="2" t="n">
        <x:v>15</x:v>
      </x:c>
      <x:c r="G4944" s="2" t="n">
        <x:v>5</x:v>
      </x:c>
      <x:c r="H4944" s="11" t="n">
        <x:v>1135.63</x:v>
      </x:c>
      <x:c r="I4944" s="2" t="n">
        <x:v>5</x:v>
      </x:c>
      <x:c r="J4944" s="2" t="n">
        <x:v>4</x:v>
      </x:c>
      <x:c r="K4944" s="2" t="n">
        <x:v>3</x:v>
      </x:c>
      <x:c r="L4944" s="2" t="str">
        <x:v>Loyal</x:v>
      </x:c>
    </x:row>
    <x:row r="4945" ht="22" customHeight="1">
      <x:c r="A4945" s="2"/>
      <x:c r="B4945" s="2" t="str">
        <x:v>17303</x:v>
      </x:c>
      <x:c r="C4945" s="2" t="str">
        <x:v>United Kingdom</x:v>
      </x:c>
      <x:c r="D4945" s="25" t="n">
        <x:v>40525.35555555556</x:v>
      </x:c>
      <x:c r="E4945" s="25" t="n">
        <x:v>40525.35555555556</x:v>
      </x:c>
      <x:c r="F4945" s="2" t="n">
        <x:v>362</x:v>
      </x:c>
      <x:c r="G4945" s="2" t="n">
        <x:v>1</x:v>
      </x:c>
      <x:c r="H4945" s="11" t="n">
        <x:v>250.04</x:v>
      </x:c>
      <x:c r="I4945" s="2" t="n">
        <x:v>2</x:v>
      </x:c>
      <x:c r="J4945" s="2" t="n">
        <x:v>1</x:v>
      </x:c>
      <x:c r="K4945" s="2" t="n">
        <x:v>1</x:v>
      </x:c>
      <x:c r="L4945" s="2" t="str">
        <x:v>Hibernating</x:v>
      </x:c>
    </x:row>
    <x:row r="4946" ht="22" customHeight="1">
      <x:c r="A4946" s="2"/>
      <x:c r="B4946" s="2" t="str">
        <x:v>17304</x:v>
      </x:c>
      <x:c r="C4946" s="2" t="str">
        <x:v>United Kingdom</x:v>
      </x:c>
      <x:c r="D4946" s="25" t="n">
        <x:v>40352.47430555556</x:v>
      </x:c>
      <x:c r="E4946" s="25" t="n">
        <x:v>40352.47430555556</x:v>
      </x:c>
      <x:c r="F4946" s="2" t="n">
        <x:v>535</x:v>
      </x:c>
      <x:c r="G4946" s="2" t="n">
        <x:v>1</x:v>
      </x:c>
      <x:c r="H4946" s="11" t="n">
        <x:v>111.5</x:v>
      </x:c>
      <x:c r="I4946" s="2" t="n">
        <x:v>1</x:v>
      </x:c>
      <x:c r="J4946" s="2" t="n">
        <x:v>1</x:v>
      </x:c>
      <x:c r="K4946" s="2" t="n">
        <x:v>1</x:v>
      </x:c>
      <x:c r="L4946" s="2" t="str">
        <x:v>Hibernating</x:v>
      </x:c>
    </x:row>
    <x:row r="4947" ht="22" customHeight="1">
      <x:c r="A4947" s="2"/>
      <x:c r="B4947" s="2" t="str">
        <x:v>17305</x:v>
      </x:c>
      <x:c r="C4947" s="2" t="str">
        <x:v>United Kingdom</x:v>
      </x:c>
      <x:c r="D4947" s="25" t="n">
        <x:v>40238.32430555556</x:v>
      </x:c>
      <x:c r="E4947" s="25" t="n">
        <x:v>40238.32430555556</x:v>
      </x:c>
      <x:c r="F4947" s="2" t="n">
        <x:v>649</x:v>
      </x:c>
      <x:c r="G4947" s="2" t="n">
        <x:v>1</x:v>
      </x:c>
      <x:c r="H4947" s="11" t="n">
        <x:v>2135.46</x:v>
      </x:c>
      <x:c r="I4947" s="2" t="n">
        <x:v>1</x:v>
      </x:c>
      <x:c r="J4947" s="2" t="n">
        <x:v>1</x:v>
      </x:c>
      <x:c r="K4947" s="2" t="n">
        <x:v>4</x:v>
      </x:c>
      <x:c r="L4947" s="2" t="str">
        <x:v>Hibernating</x:v>
      </x:c>
    </x:row>
    <x:row r="4948" ht="22" customHeight="1">
      <x:c r="A4948" s="2"/>
      <x:c r="B4948" s="2" t="str">
        <x:v>17306</x:v>
      </x:c>
      <x:c r="C4948" s="2" t="str">
        <x:v>United Kingdom</x:v>
      </x:c>
      <x:c r="D4948" s="25" t="n">
        <x:v>40483.27638888889</x:v>
      </x:c>
      <x:c r="E4948" s="25" t="n">
        <x:v>40876.30138888889</x:v>
      </x:c>
      <x:c r="F4948" s="2" t="n">
        <x:v>11</x:v>
      </x:c>
      <x:c r="G4948" s="2" t="n">
        <x:v>21</x:v>
      </x:c>
      <x:c r="H4948" s="11" t="n">
        <x:v>9782.35</x:v>
      </x:c>
      <x:c r="I4948" s="2" t="n">
        <x:v>5</x:v>
      </x:c>
      <x:c r="J4948" s="2" t="n">
        <x:v>5</x:v>
      </x:c>
      <x:c r="K4948" s="2" t="n">
        <x:v>5</x:v>
      </x:c>
      <x:c r="L4948" s="2" t="str">
        <x:v>Champions</x:v>
      </x:c>
    </x:row>
    <x:row r="4949" ht="22" customHeight="1">
      <x:c r="A4949" s="2"/>
      <x:c r="B4949" s="2" t="str">
        <x:v>17307</x:v>
      </x:c>
      <x:c r="C4949" s="2" t="str">
        <x:v>United Kingdom</x:v>
      </x:c>
      <x:c r="D4949" s="25" t="n">
        <x:v>40197.48472222222</x:v>
      </x:c>
      <x:c r="E4949" s="25" t="n">
        <x:v>40491.36111111111</x:v>
      </x:c>
      <x:c r="F4949" s="2" t="n">
        <x:v>396</x:v>
      </x:c>
      <x:c r="G4949" s="2" t="n">
        <x:v>11</x:v>
      </x:c>
      <x:c r="H4949" s="11" t="n">
        <x:v>3999.89</x:v>
      </x:c>
      <x:c r="I4949" s="2" t="n">
        <x:v>2</x:v>
      </x:c>
      <x:c r="J4949" s="2" t="n">
        <x:v>5</x:v>
      </x:c>
      <x:c r="K4949" s="2" t="n">
        <x:v>5</x:v>
      </x:c>
      <x:c r="L4949" s="2" t="str">
        <x:v>At risk</x:v>
      </x:c>
    </x:row>
    <x:row r="4950" ht="22" customHeight="1">
      <x:c r="A4950" s="2"/>
      <x:c r="B4950" s="2" t="str">
        <x:v>17308</x:v>
      </x:c>
      <x:c r="C4950" s="2" t="str">
        <x:v>United Kingdom</x:v>
      </x:c>
      <x:c r="D4950" s="25" t="n">
        <x:v>40434.19097222222</x:v>
      </x:c>
      <x:c r="E4950" s="25" t="n">
        <x:v>40493.34652777778</x:v>
      </x:c>
      <x:c r="F4950" s="2" t="n">
        <x:v>394</x:v>
      </x:c>
      <x:c r="G4950" s="2" t="n">
        <x:v>2</x:v>
      </x:c>
      <x:c r="H4950" s="11" t="n">
        <x:v>4511.76</x:v>
      </x:c>
      <x:c r="I4950" s="2" t="n">
        <x:v>2</x:v>
      </x:c>
      <x:c r="J4950" s="2" t="n">
        <x:v>2</x:v>
      </x:c>
      <x:c r="K4950" s="2" t="n">
        <x:v>5</x:v>
      </x:c>
      <x:c r="L4950" s="2" t="str">
        <x:v>Hibernating</x:v>
      </x:c>
    </x:row>
    <x:row r="4951" ht="22" customHeight="1">
      <x:c r="A4951" s="2"/>
      <x:c r="B4951" s="2" t="str">
        <x:v>17309</x:v>
      </x:c>
      <x:c r="C4951" s="2" t="str">
        <x:v>United Kingdom</x:v>
      </x:c>
      <x:c r="D4951" s="25" t="n">
        <x:v>40213.450694444444</x:v>
      </x:c>
      <x:c r="E4951" s="25" t="n">
        <x:v>40791.430555555555</x:v>
      </x:c>
      <x:c r="F4951" s="2" t="n">
        <x:v>96</x:v>
      </x:c>
      <x:c r="G4951" s="2" t="n">
        <x:v>3</x:v>
      </x:c>
      <x:c r="H4951" s="11" t="n">
        <x:v>330.59</x:v>
      </x:c>
      <x:c r="I4951" s="2" t="n">
        <x:v>3</x:v>
      </x:c>
      <x:c r="J4951" s="2" t="n">
        <x:v>3</x:v>
      </x:c>
      <x:c r="K4951" s="2" t="n">
        <x:v>2</x:v>
      </x:c>
      <x:c r="L4951" s="2" t="str">
        <x:v>Loyal</x:v>
      </x:c>
    </x:row>
    <x:row r="4952" ht="22" customHeight="1">
      <x:c r="A4952" s="2"/>
      <x:c r="B4952" s="2" t="str">
        <x:v>17310</x:v>
      </x:c>
      <x:c r="C4952" s="2" t="str">
        <x:v>United Kingdom</x:v>
      </x:c>
      <x:c r="D4952" s="25" t="n">
        <x:v>40352.27638888889</x:v>
      </x:c>
      <x:c r="E4952" s="25" t="n">
        <x:v>40499.458333333336</x:v>
      </x:c>
      <x:c r="F4952" s="2" t="n">
        <x:v>388</x:v>
      </x:c>
      <x:c r="G4952" s="2" t="n">
        <x:v>2</x:v>
      </x:c>
      <x:c r="H4952" s="11" t="n">
        <x:v>1025.1</x:v>
      </x:c>
      <x:c r="I4952" s="2" t="n">
        <x:v>2</x:v>
      </x:c>
      <x:c r="J4952" s="2" t="n">
        <x:v>2</x:v>
      </x:c>
      <x:c r="K4952" s="2" t="n">
        <x:v>3</x:v>
      </x:c>
      <x:c r="L4952" s="2" t="str">
        <x:v>Hibernating</x:v>
      </x:c>
    </x:row>
    <x:row r="4953" ht="22" customHeight="1">
      <x:c r="A4953" s="2"/>
      <x:c r="B4953" s="2" t="str">
        <x:v>17311</x:v>
      </x:c>
      <x:c r="C4953" s="2" t="str">
        <x:v>United Kingdom</x:v>
      </x:c>
      <x:c r="D4953" s="25" t="n">
        <x:v>40212.31805555556</x:v>
      </x:c>
      <x:c r="E4953" s="25" t="n">
        <x:v>40808.38263888889</x:v>
      </x:c>
      <x:c r="F4953" s="2" t="n">
        <x:v>79</x:v>
      </x:c>
      <x:c r="G4953" s="2" t="n">
        <x:v>6</x:v>
      </x:c>
      <x:c r="H4953" s="11" t="n">
        <x:v>3566.56</x:v>
      </x:c>
      <x:c r="I4953" s="2" t="n">
        <x:v>3</x:v>
      </x:c>
      <x:c r="J4953" s="2" t="n">
        <x:v>4</x:v>
      </x:c>
      <x:c r="K4953" s="2" t="n">
        <x:v>5</x:v>
      </x:c>
      <x:c r="L4953" s="2" t="str">
        <x:v>Loyal</x:v>
      </x:c>
    </x:row>
    <x:row r="4954" ht="22" customHeight="1">
      <x:c r="A4954" s="2"/>
      <x:c r="B4954" s="2" t="str">
        <x:v>17312</x:v>
      </x:c>
      <x:c r="C4954" s="2" t="str">
        <x:v>United Kingdom</x:v>
      </x:c>
      <x:c r="D4954" s="25" t="n">
        <x:v>40727.34166666667</x:v>
      </x:c>
      <x:c r="E4954" s="25" t="n">
        <x:v>40748.28611111111</x:v>
      </x:c>
      <x:c r="F4954" s="2" t="n">
        <x:v>139</x:v>
      </x:c>
      <x:c r="G4954" s="2" t="n">
        <x:v>3</x:v>
      </x:c>
      <x:c r="H4954" s="11" t="n">
        <x:v>644.3</x:v>
      </x:c>
      <x:c r="I4954" s="2" t="n">
        <x:v>3</x:v>
      </x:c>
      <x:c r="J4954" s="2" t="n">
        <x:v>3</x:v>
      </x:c>
      <x:c r="K4954" s="2" t="n">
        <x:v>3</x:v>
      </x:c>
      <x:c r="L4954" s="2" t="str">
        <x:v>Loyal</x:v>
      </x:c>
    </x:row>
    <x:row r="4955" ht="22" customHeight="1">
      <x:c r="A4955" s="2"/>
      <x:c r="B4955" s="2" t="str">
        <x:v>17313</x:v>
      </x:c>
      <x:c r="C4955" s="2" t="str">
        <x:v>United Kingdom</x:v>
      </x:c>
      <x:c r="D4955" s="25" t="n">
        <x:v>40855.447916666664</x:v>
      </x:c>
      <x:c r="E4955" s="25" t="n">
        <x:v>40855.447916666664</x:v>
      </x:c>
      <x:c r="F4955" s="2" t="n">
        <x:v>32</x:v>
      </x:c>
      <x:c r="G4955" s="2" t="n">
        <x:v>1</x:v>
      </x:c>
      <x:c r="H4955" s="11" t="n">
        <x:v>2328.84</x:v>
      </x:c>
      <x:c r="I4955" s="2" t="n">
        <x:v>4</x:v>
      </x:c>
      <x:c r="J4955" s="2" t="n">
        <x:v>1</x:v>
      </x:c>
      <x:c r="K4955" s="2" t="n">
        <x:v>4</x:v>
      </x:c>
      <x:c r="L4955" s="2" t="str">
        <x:v>Recent light buyers</x:v>
      </x:c>
    </x:row>
    <x:row r="4956" ht="22" customHeight="1">
      <x:c r="A4956" s="2"/>
      <x:c r="B4956" s="2" t="str">
        <x:v>17314</x:v>
      </x:c>
      <x:c r="C4956" s="2" t="str">
        <x:v>United Kingdom</x:v>
      </x:c>
      <x:c r="D4956" s="25" t="n">
        <x:v>40150.26736111111</x:v>
      </x:c>
      <x:c r="E4956" s="25" t="n">
        <x:v>40862.19513888889</x:v>
      </x:c>
      <x:c r="F4956" s="2" t="n">
        <x:v>25</x:v>
      </x:c>
      <x:c r="G4956" s="2" t="n">
        <x:v>17</x:v>
      </x:c>
      <x:c r="H4956" s="11" t="n">
        <x:v>4904.43</x:v>
      </x:c>
      <x:c r="I4956" s="2" t="n">
        <x:v>4</x:v>
      </x:c>
      <x:c r="J4956" s="2" t="n">
        <x:v>5</x:v>
      </x:c>
      <x:c r="K4956" s="2" t="n">
        <x:v>5</x:v>
      </x:c>
      <x:c r="L4956" s="2" t="str">
        <x:v>Champions</x:v>
      </x:c>
    </x:row>
    <x:row r="4957" ht="22" customHeight="1">
      <x:c r="A4957" s="2"/>
      <x:c r="B4957" s="2" t="str">
        <x:v>17315</x:v>
      </x:c>
      <x:c r="C4957" s="2" t="str">
        <x:v>United Kingdom</x:v>
      </x:c>
      <x:c r="D4957" s="25" t="n">
        <x:v>40448.322916666664</x:v>
      </x:c>
      <x:c r="E4957" s="25" t="n">
        <x:v>40885.302083333336</x:v>
      </x:c>
      <x:c r="F4957" s="2" t="n">
        <x:v>2</x:v>
      </x:c>
      <x:c r="G4957" s="2" t="n">
        <x:v>43</x:v>
      </x:c>
      <x:c r="H4957" s="11" t="n">
        <x:v>9650.6</x:v>
      </x:c>
      <x:c r="I4957" s="2" t="n">
        <x:v>5</x:v>
      </x:c>
      <x:c r="J4957" s="2" t="n">
        <x:v>5</x:v>
      </x:c>
      <x:c r="K4957" s="2" t="n">
        <x:v>5</x:v>
      </x:c>
      <x:c r="L4957" s="2" t="str">
        <x:v>Champions</x:v>
      </x:c>
    </x:row>
    <x:row r="4958" ht="22" customHeight="1">
      <x:c r="A4958" s="2"/>
      <x:c r="B4958" s="2" t="str">
        <x:v>17316</x:v>
      </x:c>
      <x:c r="C4958" s="2" t="str">
        <x:v>United Kingdom</x:v>
      </x:c>
      <x:c r="D4958" s="25" t="n">
        <x:v>40466.399305555555</x:v>
      </x:c>
      <x:c r="E4958" s="25" t="n">
        <x:v>40466.399305555555</x:v>
      </x:c>
      <x:c r="F4958" s="2" t="n">
        <x:v>421</x:v>
      </x:c>
      <x:c r="G4958" s="2" t="n">
        <x:v>1</x:v>
      </x:c>
      <x:c r="H4958" s="11" t="n">
        <x:v>124.45</x:v>
      </x:c>
      <x:c r="I4958" s="2" t="n">
        <x:v>1</x:v>
      </x:c>
      <x:c r="J4958" s="2" t="n">
        <x:v>1</x:v>
      </x:c>
      <x:c r="K4958" s="2" t="n">
        <x:v>1</x:v>
      </x:c>
      <x:c r="L4958" s="2" t="str">
        <x:v>Hibernating</x:v>
      </x:c>
    </x:row>
    <x:row r="4959" ht="22" customHeight="1">
      <x:c r="A4959" s="2"/>
      <x:c r="B4959" s="2" t="str">
        <x:v>17317</x:v>
      </x:c>
      <x:c r="C4959" s="2" t="str">
        <x:v>United Kingdom</x:v>
      </x:c>
      <x:c r="D4959" s="25" t="n">
        <x:v>40797.322916666664</x:v>
      </x:c>
      <x:c r="E4959" s="25" t="n">
        <x:v>40840.513194444444</x:v>
      </x:c>
      <x:c r="F4959" s="2" t="n">
        <x:v>47</x:v>
      </x:c>
      <x:c r="G4959" s="2" t="n">
        <x:v>3</x:v>
      </x:c>
      <x:c r="H4959" s="11" t="n">
        <x:v>2600.34</x:v>
      </x:c>
      <x:c r="I4959" s="2" t="n">
        <x:v>4</x:v>
      </x:c>
      <x:c r="J4959" s="2" t="n">
        <x:v>3</x:v>
      </x:c>
      <x:c r="K4959" s="2" t="n">
        <x:v>4</x:v>
      </x:c>
      <x:c r="L4959" s="2" t="str">
        <x:v>Loyal</x:v>
      </x:c>
    </x:row>
    <x:row r="4960" ht="22" customHeight="1">
      <x:c r="A4960" s="2"/>
      <x:c r="B4960" s="2" t="str">
        <x:v>17318</x:v>
      </x:c>
      <x:c r="C4960" s="2" t="str">
        <x:v>United Kingdom</x:v>
      </x:c>
      <x:c r="D4960" s="25" t="n">
        <x:v>40161.34097222222</x:v>
      </x:c>
      <x:c r="E4960" s="25" t="n">
        <x:v>40161.34097222222</x:v>
      </x:c>
      <x:c r="F4960" s="2" t="n">
        <x:v>726</x:v>
      </x:c>
      <x:c r="G4960" s="2" t="n">
        <x:v>1</x:v>
      </x:c>
      <x:c r="H4960" s="11" t="n">
        <x:v>164.28</x:v>
      </x:c>
      <x:c r="I4960" s="2" t="n">
        <x:v>1</x:v>
      </x:c>
      <x:c r="J4960" s="2" t="n">
        <x:v>1</x:v>
      </x:c>
      <x:c r="K4960" s="2" t="n">
        <x:v>1</x:v>
      </x:c>
      <x:c r="L4960" s="2" t="str">
        <x:v>Hibernating</x:v>
      </x:c>
    </x:row>
    <x:row r="4961" ht="22" customHeight="1">
      <x:c r="A4961" s="2"/>
      <x:c r="B4961" s="2" t="str">
        <x:v>17319</x:v>
      </x:c>
      <x:c r="C4961" s="2" t="str">
        <x:v>United Kingdom</x:v>
      </x:c>
      <x:c r="D4961" s="25" t="n">
        <x:v>40217.44930555556</x:v>
      </x:c>
      <x:c r="E4961" s="25" t="n">
        <x:v>40217.44930555556</x:v>
      </x:c>
      <x:c r="F4961" s="2" t="n">
        <x:v>670</x:v>
      </x:c>
      <x:c r="G4961" s="2" t="n">
        <x:v>1</x:v>
      </x:c>
      <x:c r="H4961" s="11" t="n">
        <x:v>29.1</x:v>
      </x:c>
      <x:c r="I4961" s="2" t="n">
        <x:v>1</x:v>
      </x:c>
      <x:c r="J4961" s="2" t="n">
        <x:v>1</x:v>
      </x:c>
      <x:c r="K4961" s="2" t="n">
        <x:v>1</x:v>
      </x:c>
      <x:c r="L4961" s="2" t="str">
        <x:v>Hibernating</x:v>
      </x:c>
    </x:row>
    <x:row r="4962" ht="22" customHeight="1">
      <x:c r="A4962" s="2"/>
      <x:c r="B4962" s="2" t="str">
        <x:v>17320</x:v>
      </x:c>
      <x:c r="C4962" s="2" t="str">
        <x:v>United Kingdom</x:v>
      </x:c>
      <x:c r="D4962" s="25" t="n">
        <x:v>40199.478472222225</x:v>
      </x:c>
      <x:c r="E4962" s="25" t="n">
        <x:v>40786.35486111111</x:v>
      </x:c>
      <x:c r="F4962" s="2" t="n">
        <x:v>101</x:v>
      </x:c>
      <x:c r="G4962" s="2" t="n">
        <x:v>6</x:v>
      </x:c>
      <x:c r="H4962" s="11" t="n">
        <x:v>2444.85</x:v>
      </x:c>
      <x:c r="I4962" s="2" t="n">
        <x:v>3</x:v>
      </x:c>
      <x:c r="J4962" s="2" t="n">
        <x:v>4</x:v>
      </x:c>
      <x:c r="K4962" s="2" t="n">
        <x:v>4</x:v>
      </x:c>
      <x:c r="L4962" s="2" t="str">
        <x:v>Loyal</x:v>
      </x:c>
    </x:row>
    <x:row r="4963" ht="22" customHeight="1">
      <x:c r="A4963" s="2"/>
      <x:c r="B4963" s="2" t="str">
        <x:v>17321</x:v>
      </x:c>
      <x:c r="C4963" s="2" t="str">
        <x:v>United Kingdom</x:v>
      </x:c>
      <x:c r="D4963" s="25" t="n">
        <x:v>40309.29861111111</x:v>
      </x:c>
      <x:c r="E4963" s="25" t="n">
        <x:v>40878.361805555556</x:v>
      </x:c>
      <x:c r="F4963" s="2" t="n">
        <x:v>9</x:v>
      </x:c>
      <x:c r="G4963" s="2" t="n">
        <x:v>6</x:v>
      </x:c>
      <x:c r="H4963" s="11" t="n">
        <x:v>1741.18</x:v>
      </x:c>
      <x:c r="I4963" s="2" t="n">
        <x:v>5</x:v>
      </x:c>
      <x:c r="J4963" s="2" t="n">
        <x:v>4</x:v>
      </x:c>
      <x:c r="K4963" s="2" t="n">
        <x:v>4</x:v>
      </x:c>
      <x:c r="L4963" s="2" t="str">
        <x:v>Champions</x:v>
      </x:c>
    </x:row>
    <x:row r="4964" ht="22" customHeight="1">
      <x:c r="A4964" s="2"/>
      <x:c r="B4964" s="2" t="str">
        <x:v>17322</x:v>
      </x:c>
      <x:c r="C4964" s="2" t="str">
        <x:v>United Kingdom</x:v>
      </x:c>
      <x:c r="D4964" s="25" t="n">
        <x:v>40150.28194444445</x:v>
      </x:c>
      <x:c r="E4964" s="25" t="n">
        <x:v>40510.40347222222</x:v>
      </x:c>
      <x:c r="F4964" s="2" t="n">
        <x:v>377</x:v>
      </x:c>
      <x:c r="G4964" s="2" t="n">
        <x:v>5</x:v>
      </x:c>
      <x:c r="H4964" s="11" t="n">
        <x:v>922.59</x:v>
      </x:c>
      <x:c r="I4964" s="2" t="n">
        <x:v>2</x:v>
      </x:c>
      <x:c r="J4964" s="2" t="n">
        <x:v>4</x:v>
      </x:c>
      <x:c r="K4964" s="2" t="n">
        <x:v>3</x:v>
      </x:c>
      <x:c r="L4964" s="2" t="str">
        <x:v>At risk</x:v>
      </x:c>
    </x:row>
    <x:row r="4965" ht="22" customHeight="1">
      <x:c r="A4965" s="2"/>
      <x:c r="B4965" s="2" t="str">
        <x:v>17323</x:v>
      </x:c>
      <x:c r="C4965" s="2" t="str">
        <x:v>United Kingdom</x:v>
      </x:c>
      <x:c r="D4965" s="25" t="n">
        <x:v>40188.29027777778</x:v>
      </x:c>
      <x:c r="E4965" s="25" t="n">
        <x:v>40871.52013888889</x:v>
      </x:c>
      <x:c r="F4965" s="2" t="n">
        <x:v>16</x:v>
      </x:c>
      <x:c r="G4965" s="2" t="n">
        <x:v>12</x:v>
      </x:c>
      <x:c r="H4965" s="11" t="n">
        <x:v>1565.59</x:v>
      </x:c>
      <x:c r="I4965" s="2" t="n">
        <x:v>5</x:v>
      </x:c>
      <x:c r="J4965" s="2" t="n">
        <x:v>5</x:v>
      </x:c>
      <x:c r="K4965" s="2" t="n">
        <x:v>4</x:v>
      </x:c>
      <x:c r="L4965" s="2" t="str">
        <x:v>Champions</x:v>
      </x:c>
    </x:row>
    <x:row r="4966" ht="22" customHeight="1">
      <x:c r="A4966" s="2"/>
      <x:c r="B4966" s="2" t="str">
        <x:v>17324</x:v>
      </x:c>
      <x:c r="C4966" s="2" t="str">
        <x:v>United Kingdom</x:v>
      </x:c>
      <x:c r="D4966" s="25" t="n">
        <x:v>40165.43680555555</x:v>
      </x:c>
      <x:c r="E4966" s="25" t="n">
        <x:v>40869.231944444444</x:v>
      </x:c>
      <x:c r="F4966" s="2" t="n">
        <x:v>18</x:v>
      </x:c>
      <x:c r="G4966" s="2" t="n">
        <x:v>12</x:v>
      </x:c>
      <x:c r="H4966" s="11" t="n">
        <x:v>2174.82</x:v>
      </x:c>
      <x:c r="I4966" s="2" t="n">
        <x:v>5</x:v>
      </x:c>
      <x:c r="J4966" s="2" t="n">
        <x:v>5</x:v>
      </x:c>
      <x:c r="K4966" s="2" t="n">
        <x:v>4</x:v>
      </x:c>
      <x:c r="L4966" s="2" t="str">
        <x:v>Champions</x:v>
      </x:c>
    </x:row>
    <x:row r="4967" ht="22" customHeight="1">
      <x:c r="A4967" s="2"/>
      <x:c r="B4967" s="2" t="str">
        <x:v>17325</x:v>
      </x:c>
      <x:c r="C4967" s="2" t="str">
        <x:v>United Kingdom</x:v>
      </x:c>
      <x:c r="D4967" s="25" t="n">
        <x:v>40245.271527777775</x:v>
      </x:c>
      <x:c r="E4967" s="25" t="n">
        <x:v>40606.339583333334</x:v>
      </x:c>
      <x:c r="F4967" s="2" t="n">
        <x:v>281</x:v>
      </x:c>
      <x:c r="G4967" s="2" t="n">
        <x:v>3</x:v>
      </x:c>
      <x:c r="H4967" s="11" t="n">
        <x:v>609.57</x:v>
      </x:c>
      <x:c r="I4967" s="2" t="n">
        <x:v>2</x:v>
      </x:c>
      <x:c r="J4967" s="2" t="n">
        <x:v>3</x:v>
      </x:c>
      <x:c r="K4967" s="2" t="n">
        <x:v>2</x:v>
      </x:c>
      <x:c r="L4967" s="2" t="str">
        <x:v>At risk</x:v>
      </x:c>
    </x:row>
    <x:row r="4968" ht="22" customHeight="1">
      <x:c r="A4968" s="2"/>
      <x:c r="B4968" s="2" t="str">
        <x:v>17326</x:v>
      </x:c>
      <x:c r="C4968" s="2" t="str">
        <x:v>United Kingdom</x:v>
      </x:c>
      <x:c r="D4968" s="25" t="n">
        <x:v>40357.37847222222</x:v>
      </x:c>
      <x:c r="E4968" s="25" t="n">
        <x:v>40478.44305555556</x:v>
      </x:c>
      <x:c r="F4968" s="2" t="n">
        <x:v>409</x:v>
      </x:c>
      <x:c r="G4968" s="2" t="n">
        <x:v>2</x:v>
      </x:c>
      <x:c r="H4968" s="11" t="n">
        <x:v>321.95</x:v>
      </x:c>
      <x:c r="I4968" s="2" t="n">
        <x:v>2</x:v>
      </x:c>
      <x:c r="J4968" s="2" t="n">
        <x:v>2</x:v>
      </x:c>
      <x:c r="K4968" s="2" t="n">
        <x:v>2</x:v>
      </x:c>
      <x:c r="L4968" s="2" t="str">
        <x:v>Hibernating</x:v>
      </x:c>
    </x:row>
    <x:row r="4969" ht="22" customHeight="1">
      <x:c r="A4969" s="2"/>
      <x:c r="B4969" s="2" t="str">
        <x:v>17327</x:v>
      </x:c>
      <x:c r="C4969" s="2" t="str">
        <x:v>United Kingdom</x:v>
      </x:c>
      <x:c r="D4969" s="25" t="n">
        <x:v>40324.26388888889</x:v>
      </x:c>
      <x:c r="E4969" s="25" t="n">
        <x:v>40477.20416666667</x:v>
      </x:c>
      <x:c r="F4969" s="2" t="n">
        <x:v>410</x:v>
      </x:c>
      <x:c r="G4969" s="2" t="n">
        <x:v>2</x:v>
      </x:c>
      <x:c r="H4969" s="11" t="n">
        <x:v>152.35</x:v>
      </x:c>
      <x:c r="I4969" s="2" t="n">
        <x:v>2</x:v>
      </x:c>
      <x:c r="J4969" s="2" t="n">
        <x:v>2</x:v>
      </x:c>
      <x:c r="K4969" s="2" t="n">
        <x:v>1</x:v>
      </x:c>
      <x:c r="L4969" s="2" t="str">
        <x:v>Hibernating</x:v>
      </x:c>
    </x:row>
    <x:row r="4970" ht="22" customHeight="1">
      <x:c r="A4970" s="2"/>
      <x:c r="B4970" s="2" t="str">
        <x:v>17328</x:v>
      </x:c>
      <x:c r="C4970" s="2" t="str">
        <x:v>United Kingdom</x:v>
      </x:c>
      <x:c r="D4970" s="25" t="n">
        <x:v>40213.50763888889</x:v>
      </x:c>
      <x:c r="E4970" s="25" t="n">
        <x:v>40213.50763888889</x:v>
      </x:c>
      <x:c r="F4970" s="2" t="n">
        <x:v>674</x:v>
      </x:c>
      <x:c r="G4970" s="2" t="n">
        <x:v>1</x:v>
      </x:c>
      <x:c r="H4970" s="11" t="n">
        <x:v>104.7</x:v>
      </x:c>
      <x:c r="I4970" s="2" t="n">
        <x:v>1</x:v>
      </x:c>
      <x:c r="J4970" s="2" t="n">
        <x:v>1</x:v>
      </x:c>
      <x:c r="K4970" s="2" t="n">
        <x:v>1</x:v>
      </x:c>
      <x:c r="L4970" s="2" t="str">
        <x:v>Hibernating</x:v>
      </x:c>
    </x:row>
    <x:row r="4971" ht="22" customHeight="1">
      <x:c r="A4971" s="2"/>
      <x:c r="B4971" s="2" t="str">
        <x:v>17329</x:v>
      </x:c>
      <x:c r="C4971" s="2" t="str">
        <x:v>United Kingdom</x:v>
      </x:c>
      <x:c r="D4971" s="25" t="n">
        <x:v>40150.464583333334</x:v>
      </x:c>
      <x:c r="E4971" s="25" t="n">
        <x:v>40872.39166666667</x:v>
      </x:c>
      <x:c r="F4971" s="2" t="n">
        <x:v>15</x:v>
      </x:c>
      <x:c r="G4971" s="2" t="n">
        <x:v>5</x:v>
      </x:c>
      <x:c r="H4971" s="11" t="n">
        <x:v>1004.43</x:v>
      </x:c>
      <x:c r="I4971" s="2" t="n">
        <x:v>5</x:v>
      </x:c>
      <x:c r="J4971" s="2" t="n">
        <x:v>4</x:v>
      </x:c>
      <x:c r="K4971" s="2" t="n">
        <x:v>3</x:v>
      </x:c>
      <x:c r="L4971" s="2" t="str">
        <x:v>Loyal</x:v>
      </x:c>
    </x:row>
    <x:row r="4972" ht="22" customHeight="1">
      <x:c r="A4972" s="2"/>
      <x:c r="B4972" s="2" t="str">
        <x:v>17330</x:v>
      </x:c>
      <x:c r="C4972" s="2" t="str">
        <x:v>United Kingdom</x:v>
      </x:c>
      <x:c r="D4972" s="25" t="n">
        <x:v>40239.180555555555</x:v>
      </x:c>
      <x:c r="E4972" s="25" t="n">
        <x:v>40864.16388888889</x:v>
      </x:c>
      <x:c r="F4972" s="2" t="n">
        <x:v>23</x:v>
      </x:c>
      <x:c r="G4972" s="2" t="n">
        <x:v>4</x:v>
      </x:c>
      <x:c r="H4972" s="11" t="n">
        <x:v>423.8</x:v>
      </x:c>
      <x:c r="I4972" s="2" t="n">
        <x:v>4</x:v>
      </x:c>
      <x:c r="J4972" s="2" t="n">
        <x:v>3</x:v>
      </x:c>
      <x:c r="K4972" s="2" t="n">
        <x:v>2</x:v>
      </x:c>
      <x:c r="L4972" s="2" t="str">
        <x:v>Loyal</x:v>
      </x:c>
    </x:row>
    <x:row r="4973" ht="22" customHeight="1">
      <x:c r="A4973" s="2"/>
      <x:c r="B4973" s="2" t="str">
        <x:v>17331</x:v>
      </x:c>
      <x:c r="C4973" s="2" t="str">
        <x:v>United Kingdom</x:v>
      </x:c>
      <x:c r="D4973" s="25" t="n">
        <x:v>40763.288194444445</x:v>
      </x:c>
      <x:c r="E4973" s="25" t="n">
        <x:v>40763.288194444445</x:v>
      </x:c>
      <x:c r="F4973" s="2" t="n">
        <x:v>124</x:v>
      </x:c>
      <x:c r="G4973" s="2" t="n">
        <x:v>1</x:v>
      </x:c>
      <x:c r="H4973" s="11" t="n">
        <x:v>175.2</x:v>
      </x:c>
      <x:c r="I4973" s="2" t="n">
        <x:v>3</x:v>
      </x:c>
      <x:c r="J4973" s="2" t="n">
        <x:v>1</x:v>
      </x:c>
      <x:c r="K4973" s="2" t="n">
        <x:v>1</x:v>
      </x:c>
      <x:c r="L4973" s="2" t="str">
        <x:v>Developing</x:v>
      </x:c>
    </x:row>
    <x:row r="4974" ht="22" customHeight="1">
      <x:c r="A4974" s="2"/>
      <x:c r="B4974" s="2" t="str">
        <x:v>17332</x:v>
      </x:c>
      <x:c r="C4974" s="2" t="str">
        <x:v>United Kingdom</x:v>
      </x:c>
      <x:c r="D4974" s="25" t="n">
        <x:v>40230.40347222222</x:v>
      </x:c>
      <x:c r="E4974" s="25" t="n">
        <x:v>40358.46527777778</x:v>
      </x:c>
      <x:c r="F4974" s="2" t="n">
        <x:v>529</x:v>
      </x:c>
      <x:c r="G4974" s="2" t="n">
        <x:v>5</x:v>
      </x:c>
      <x:c r="H4974" s="11" t="n">
        <x:v>838.27</x:v>
      </x:c>
      <x:c r="I4974" s="2" t="n">
        <x:v>1</x:v>
      </x:c>
      <x:c r="J4974" s="2" t="n">
        <x:v>4</x:v>
      </x:c>
      <x:c r="K4974" s="2" t="n">
        <x:v>3</x:v>
      </x:c>
      <x:c r="L4974" s="2" t="str">
        <x:v>At risk</x:v>
      </x:c>
    </x:row>
    <x:row r="4975" ht="22" customHeight="1">
      <x:c r="A4975" s="2"/>
      <x:c r="B4975" s="2" t="str">
        <x:v>17333</x:v>
      </x:c>
      <x:c r="C4975" s="2" t="str">
        <x:v>United Kingdom</x:v>
      </x:c>
      <x:c r="D4975" s="25" t="n">
        <x:v>40801.21597222222</x:v>
      </x:c>
      <x:c r="E4975" s="25" t="n">
        <x:v>40801.21597222222</x:v>
      </x:c>
      <x:c r="F4975" s="2" t="n">
        <x:v>86</x:v>
      </x:c>
      <x:c r="G4975" s="2" t="n">
        <x:v>1</x:v>
      </x:c>
      <x:c r="H4975" s="11" t="n">
        <x:v>494.25</x:v>
      </x:c>
      <x:c r="I4975" s="2" t="n">
        <x:v>3</x:v>
      </x:c>
      <x:c r="J4975" s="2" t="n">
        <x:v>1</x:v>
      </x:c>
      <x:c r="K4975" s="2" t="n">
        <x:v>2</x:v>
      </x:c>
      <x:c r="L4975" s="2" t="str">
        <x:v>Developing</x:v>
      </x:c>
    </x:row>
    <x:row r="4976" ht="22" customHeight="1">
      <x:c r="A4976" s="2"/>
      <x:c r="B4976" s="2" t="str">
        <x:v>17334</x:v>
      </x:c>
      <x:c r="C4976" s="2" t="str">
        <x:v>United Kingdom</x:v>
      </x:c>
      <x:c r="D4976" s="25" t="n">
        <x:v>40480.302777777775</x:v>
      </x:c>
      <x:c r="E4976" s="25" t="n">
        <x:v>40584.415972222225</x:v>
      </x:c>
      <x:c r="F4976" s="2" t="n">
        <x:v>303</x:v>
      </x:c>
      <x:c r="G4976" s="2" t="n">
        <x:v>3</x:v>
      </x:c>
      <x:c r="H4976" s="11" t="n">
        <x:v>635.15</x:v>
      </x:c>
      <x:c r="I4976" s="2" t="n">
        <x:v>2</x:v>
      </x:c>
      <x:c r="J4976" s="2" t="n">
        <x:v>3</x:v>
      </x:c>
      <x:c r="K4976" s="2" t="n">
        <x:v>3</x:v>
      </x:c>
      <x:c r="L4976" s="2" t="str">
        <x:v>At risk</x:v>
      </x:c>
    </x:row>
    <x:row r="4977" ht="22" customHeight="1">
      <x:c r="A4977" s="2"/>
      <x:c r="B4977" s="2" t="str">
        <x:v>17335</x:v>
      </x:c>
      <x:c r="C4977" s="2" t="str">
        <x:v>United Kingdom</x:v>
      </x:c>
      <x:c r="D4977" s="25" t="n">
        <x:v>40202.260416666664</x:v>
      </x:c>
      <x:c r="E4977" s="25" t="n">
        <x:v>40503.220138888886</x:v>
      </x:c>
      <x:c r="F4977" s="2" t="n">
        <x:v>384</x:v>
      </x:c>
      <x:c r="G4977" s="2" t="n">
        <x:v>2</x:v>
      </x:c>
      <x:c r="H4977" s="11" t="n">
        <x:v>508</x:v>
      </x:c>
      <x:c r="I4977" s="2" t="n">
        <x:v>2</x:v>
      </x:c>
      <x:c r="J4977" s="2" t="n">
        <x:v>2</x:v>
      </x:c>
      <x:c r="K4977" s="2" t="n">
        <x:v>2</x:v>
      </x:c>
      <x:c r="L4977" s="2" t="str">
        <x:v>Hibernating</x:v>
      </x:c>
    </x:row>
    <x:row r="4978" ht="22" customHeight="1">
      <x:c r="A4978" s="2"/>
      <x:c r="B4978" s="2" t="str">
        <x:v>17336</x:v>
      </x:c>
      <x:c r="C4978" s="2" t="str">
        <x:v>United Kingdom</x:v>
      </x:c>
      <x:c r="D4978" s="25" t="n">
        <x:v>40414.44236111111</x:v>
      </x:c>
      <x:c r="E4978" s="25" t="n">
        <x:v>40414.44236111111</x:v>
      </x:c>
      <x:c r="F4978" s="2" t="n">
        <x:v>473</x:v>
      </x:c>
      <x:c r="G4978" s="2" t="n">
        <x:v>1</x:v>
      </x:c>
      <x:c r="H4978" s="11" t="n">
        <x:v>81.12</x:v>
      </x:c>
      <x:c r="I4978" s="2" t="n">
        <x:v>1</x:v>
      </x:c>
      <x:c r="J4978" s="2" t="n">
        <x:v>1</x:v>
      </x:c>
      <x:c r="K4978" s="2" t="n">
        <x:v>1</x:v>
      </x:c>
      <x:c r="L4978" s="2" t="str">
        <x:v>Hibernating</x:v>
      </x:c>
    </x:row>
    <x:row r="4979" ht="22" customHeight="1">
      <x:c r="A4979" s="2"/>
      <x:c r="B4979" s="2" t="str">
        <x:v>17337</x:v>
      </x:c>
      <x:c r="C4979" s="2" t="str">
        <x:v>United Kingdom</x:v>
      </x:c>
      <x:c r="D4979" s="25" t="n">
        <x:v>40576.504166666666</x:v>
      </x:c>
      <x:c r="E4979" s="25" t="n">
        <x:v>40735.413194444445</x:v>
      </x:c>
      <x:c r="F4979" s="2" t="n">
        <x:v>152</x:v>
      </x:c>
      <x:c r="G4979" s="2" t="n">
        <x:v>4</x:v>
      </x:c>
      <x:c r="H4979" s="11" t="n">
        <x:v>2027.87</x:v>
      </x:c>
      <x:c r="I4979" s="2" t="n">
        <x:v>3</x:v>
      </x:c>
      <x:c r="J4979" s="2" t="n">
        <x:v>3</x:v>
      </x:c>
      <x:c r="K4979" s="2" t="n">
        <x:v>4</x:v>
      </x:c>
      <x:c r="L4979" s="2" t="str">
        <x:v>Loyal</x:v>
      </x:c>
    </x:row>
    <x:row r="4980" ht="22" customHeight="1">
      <x:c r="A4980" s="2"/>
      <x:c r="B4980" s="2" t="str">
        <x:v>17338</x:v>
      </x:c>
      <x:c r="C4980" s="2" t="str">
        <x:v>United Kingdom</x:v>
      </x:c>
      <x:c r="D4980" s="25" t="n">
        <x:v>40247.464583333334</x:v>
      </x:c>
      <x:c r="E4980" s="25" t="n">
        <x:v>40869.39097222222</x:v>
      </x:c>
      <x:c r="F4980" s="2" t="n">
        <x:v>18</x:v>
      </x:c>
      <x:c r="G4980" s="2" t="n">
        <x:v>17</x:v>
      </x:c>
      <x:c r="H4980" s="11" t="n">
        <x:v>12142.57</x:v>
      </x:c>
      <x:c r="I4980" s="2" t="n">
        <x:v>5</x:v>
      </x:c>
      <x:c r="J4980" s="2" t="n">
        <x:v>5</x:v>
      </x:c>
      <x:c r="K4980" s="2" t="n">
        <x:v>5</x:v>
      </x:c>
      <x:c r="L4980" s="2" t="str">
        <x:v>Champions</x:v>
      </x:c>
    </x:row>
    <x:row r="4981" ht="22" customHeight="1">
      <x:c r="A4981" s="2"/>
      <x:c r="B4981" s="2" t="str">
        <x:v>17339</x:v>
      </x:c>
      <x:c r="C4981" s="2" t="str">
        <x:v>United Kingdom</x:v>
      </x:c>
      <x:c r="D4981" s="25" t="n">
        <x:v>40377.33888888889</x:v>
      </x:c>
      <x:c r="E4981" s="25" t="n">
        <x:v>40792.353472222225</x:v>
      </x:c>
      <x:c r="F4981" s="2" t="n">
        <x:v>95</x:v>
      </x:c>
      <x:c r="G4981" s="2" t="n">
        <x:v>3</x:v>
      </x:c>
      <x:c r="H4981" s="11" t="n">
        <x:v>302.36</x:v>
      </x:c>
      <x:c r="I4981" s="2" t="n">
        <x:v>3</x:v>
      </x:c>
      <x:c r="J4981" s="2" t="n">
        <x:v>3</x:v>
      </x:c>
      <x:c r="K4981" s="2" t="n">
        <x:v>2</x:v>
      </x:c>
      <x:c r="L4981" s="2" t="str">
        <x:v>Loyal</x:v>
      </x:c>
    </x:row>
    <x:row r="4982" ht="22" customHeight="1">
      <x:c r="A4982" s="2"/>
      <x:c r="B4982" s="2" t="str">
        <x:v>17340</x:v>
      </x:c>
      <x:c r="C4982" s="2" t="str">
        <x:v>United Kingdom</x:v>
      </x:c>
      <x:c r="D4982" s="25" t="n">
        <x:v>40223.4125</x:v>
      </x:c>
      <x:c r="E4982" s="25" t="n">
        <x:v>40857.239583333336</x:v>
      </x:c>
      <x:c r="F4982" s="2" t="n">
        <x:v>30</x:v>
      </x:c>
      <x:c r="G4982" s="2" t="n">
        <x:v>18</x:v>
      </x:c>
      <x:c r="H4982" s="11" t="n">
        <x:v>19733.55</x:v>
      </x:c>
      <x:c r="I4982" s="2" t="n">
        <x:v>4</x:v>
      </x:c>
      <x:c r="J4982" s="2" t="n">
        <x:v>5</x:v>
      </x:c>
      <x:c r="K4982" s="2" t="n">
        <x:v>5</x:v>
      </x:c>
      <x:c r="L4982" s="2" t="str">
        <x:v>Champions</x:v>
      </x:c>
    </x:row>
    <x:row r="4983" ht="22" customHeight="1">
      <x:c r="A4983" s="2"/>
      <x:c r="B4983" s="2" t="str">
        <x:v>17341</x:v>
      </x:c>
      <x:c r="C4983" s="2" t="str">
        <x:v>United Kingdom</x:v>
      </x:c>
      <x:c r="D4983" s="25" t="n">
        <x:v>40346.55347222222</x:v>
      </x:c>
      <x:c r="E4983" s="25" t="n">
        <x:v>40730.31458333333</x:v>
      </x:c>
      <x:c r="F4983" s="2" t="n">
        <x:v>157</x:v>
      </x:c>
      <x:c r="G4983" s="2" t="n">
        <x:v>5</x:v>
      </x:c>
      <x:c r="H4983" s="11" t="n">
        <x:v>1376.23</x:v>
      </x:c>
      <x:c r="I4983" s="2" t="n">
        <x:v>3</x:v>
      </x:c>
      <x:c r="J4983" s="2" t="n">
        <x:v>4</x:v>
      </x:c>
      <x:c r="K4983" s="2" t="n">
        <x:v>4</x:v>
      </x:c>
      <x:c r="L4983" s="2" t="str">
        <x:v>Loyal</x:v>
      </x:c>
    </x:row>
    <x:row r="4984" ht="22" customHeight="1">
      <x:c r="A4984" s="2"/>
      <x:c r="B4984" s="2" t="str">
        <x:v>17342</x:v>
      </x:c>
      <x:c r="C4984" s="2" t="str">
        <x:v>United Kingdom</x:v>
      </x:c>
      <x:c r="D4984" s="25" t="n">
        <x:v>40217.177777777775</x:v>
      </x:c>
      <x:c r="E4984" s="25" t="n">
        <x:v>40507.25486111111</x:v>
      </x:c>
      <x:c r="F4984" s="2" t="n">
        <x:v>380</x:v>
      </x:c>
      <x:c r="G4984" s="2" t="n">
        <x:v>4</x:v>
      </x:c>
      <x:c r="H4984" s="11" t="n">
        <x:v>1227.54</x:v>
      </x:c>
      <x:c r="I4984" s="2" t="n">
        <x:v>2</x:v>
      </x:c>
      <x:c r="J4984" s="2" t="n">
        <x:v>3</x:v>
      </x:c>
      <x:c r="K4984" s="2" t="n">
        <x:v>3</x:v>
      </x:c>
      <x:c r="L4984" s="2" t="str">
        <x:v>At risk</x:v>
      </x:c>
    </x:row>
    <x:row r="4985" ht="22" customHeight="1">
      <x:c r="A4985" s="2"/>
      <x:c r="B4985" s="2" t="str">
        <x:v>17343</x:v>
      </x:c>
      <x:c r="C4985" s="2" t="str">
        <x:v>United Kingdom</x:v>
      </x:c>
      <x:c r="D4985" s="25" t="n">
        <x:v>40150.5625</x:v>
      </x:c>
      <x:c r="E4985" s="25" t="n">
        <x:v>40531.42152777778</x:v>
      </x:c>
      <x:c r="F4985" s="2" t="n">
        <x:v>356</x:v>
      </x:c>
      <x:c r="G4985" s="2" t="n">
        <x:v>6</x:v>
      </x:c>
      <x:c r="H4985" s="11" t="n">
        <x:v>1259.94</x:v>
      </x:c>
      <x:c r="I4985" s="2" t="n">
        <x:v>2</x:v>
      </x:c>
      <x:c r="J4985" s="2" t="n">
        <x:v>4</x:v>
      </x:c>
      <x:c r="K4985" s="2" t="n">
        <x:v>4</x:v>
      </x:c>
      <x:c r="L4985" s="2" t="str">
        <x:v>At risk</x:v>
      </x:c>
    </x:row>
    <x:row r="4986" ht="22" customHeight="1">
      <x:c r="A4986" s="2"/>
      <x:c r="B4986" s="2" t="str">
        <x:v>17344</x:v>
      </x:c>
      <x:c r="C4986" s="2" t="str">
        <x:v>United Kingdom</x:v>
      </x:c>
      <x:c r="D4986" s="25" t="n">
        <x:v>40158.31319444445</x:v>
      </x:c>
      <x:c r="E4986" s="25" t="n">
        <x:v>40840.330555555556</x:v>
      </x:c>
      <x:c r="F4986" s="2" t="n">
        <x:v>47</x:v>
      </x:c>
      <x:c r="G4986" s="2" t="n">
        <x:v>2</x:v>
      </x:c>
      <x:c r="H4986" s="11" t="n">
        <x:v>468.11</x:v>
      </x:c>
      <x:c r="I4986" s="2" t="n">
        <x:v>4</x:v>
      </x:c>
      <x:c r="J4986" s="2" t="n">
        <x:v>2</x:v>
      </x:c>
      <x:c r="K4986" s="2" t="n">
        <x:v>2</x:v>
      </x:c>
      <x:c r="L4986" s="2" t="str">
        <x:v>Recent light buyers</x:v>
      </x:c>
    </x:row>
    <x:row r="4987" ht="22" customHeight="1">
      <x:c r="A4987" s="2"/>
      <x:c r="B4987" s="2" t="str">
        <x:v>17345</x:v>
      </x:c>
      <x:c r="C4987" s="2" t="str">
        <x:v>United Kingdom</x:v>
      </x:c>
      <x:c r="D4987" s="25" t="n">
        <x:v>40148.470138888886</x:v>
      </x:c>
      <x:c r="E4987" s="25" t="n">
        <x:v>40871.41875</x:v>
      </x:c>
      <x:c r="F4987" s="2" t="n">
        <x:v>16</x:v>
      </x:c>
      <x:c r="G4987" s="2" t="n">
        <x:v>10</x:v>
      </x:c>
      <x:c r="H4987" s="11" t="n">
        <x:v>1604.68</x:v>
      </x:c>
      <x:c r="I4987" s="2" t="n">
        <x:v>5</x:v>
      </x:c>
      <x:c r="J4987" s="2" t="n">
        <x:v>5</x:v>
      </x:c>
      <x:c r="K4987" s="2" t="n">
        <x:v>4</x:v>
      </x:c>
      <x:c r="L4987" s="2" t="str">
        <x:v>Champions</x:v>
      </x:c>
    </x:row>
    <x:row r="4988" ht="22" customHeight="1">
      <x:c r="A4988" s="2"/>
      <x:c r="B4988" s="2" t="str">
        <x:v>17346</x:v>
      </x:c>
      <x:c r="C4988" s="2" t="str">
        <x:v>United Kingdom</x:v>
      </x:c>
      <x:c r="D4988" s="25" t="n">
        <x:v>40286.30416666667</x:v>
      </x:c>
      <x:c r="E4988" s="25" t="n">
        <x:v>40883.30416666667</x:v>
      </x:c>
      <x:c r="F4988" s="2" t="n">
        <x:v>4</x:v>
      </x:c>
      <x:c r="G4988" s="2" t="n">
        <x:v>26</x:v>
      </x:c>
      <x:c r="H4988" s="11" t="n">
        <x:v>5176.39</x:v>
      </x:c>
      <x:c r="I4988" s="2" t="n">
        <x:v>5</x:v>
      </x:c>
      <x:c r="J4988" s="2" t="n">
        <x:v>5</x:v>
      </x:c>
      <x:c r="K4988" s="2" t="n">
        <x:v>5</x:v>
      </x:c>
      <x:c r="L4988" s="2" t="str">
        <x:v>Champions</x:v>
      </x:c>
    </x:row>
    <x:row r="4989" ht="22" customHeight="1">
      <x:c r="A4989" s="2"/>
      <x:c r="B4989" s="2" t="str">
        <x:v>17347</x:v>
      </x:c>
      <x:c r="C4989" s="2" t="str">
        <x:v>United Kingdom</x:v>
      </x:c>
      <x:c r="D4989" s="25" t="n">
        <x:v>40800.34166666667</x:v>
      </x:c>
      <x:c r="E4989" s="25" t="n">
        <x:v>40800.34166666667</x:v>
      </x:c>
      <x:c r="F4989" s="2" t="n">
        <x:v>87</x:v>
      </x:c>
      <x:c r="G4989" s="2" t="n">
        <x:v>1</x:v>
      </x:c>
      <x:c r="H4989" s="11" t="n">
        <x:v>228.96</x:v>
      </x:c>
      <x:c r="I4989" s="2" t="n">
        <x:v>3</x:v>
      </x:c>
      <x:c r="J4989" s="2" t="n">
        <x:v>1</x:v>
      </x:c>
      <x:c r="K4989" s="2" t="n">
        <x:v>1</x:v>
      </x:c>
      <x:c r="L4989" s="2" t="str">
        <x:v>Developing</x:v>
      </x:c>
    </x:row>
    <x:row r="4990" ht="22" customHeight="1">
      <x:c r="A4990" s="2"/>
      <x:c r="B4990" s="2" t="str">
        <x:v>17348</x:v>
      </x:c>
      <x:c r="C4990" s="2" t="str">
        <x:v>United Kingdom</x:v>
      </x:c>
      <x:c r="D4990" s="25" t="n">
        <x:v>40247.30069444444</x:v>
      </x:c>
      <x:c r="E4990" s="25" t="n">
        <x:v>40872.26736111111</x:v>
      </x:c>
      <x:c r="F4990" s="2" t="n">
        <x:v>15</x:v>
      </x:c>
      <x:c r="G4990" s="2" t="n">
        <x:v>9</x:v>
      </x:c>
      <x:c r="H4990" s="11" t="n">
        <x:v>2476.41</x:v>
      </x:c>
      <x:c r="I4990" s="2" t="n">
        <x:v>5</x:v>
      </x:c>
      <x:c r="J4990" s="2" t="n">
        <x:v>5</x:v>
      </x:c>
      <x:c r="K4990" s="2" t="n">
        <x:v>4</x:v>
      </x:c>
      <x:c r="L4990" s="2" t="str">
        <x:v>Champions</x:v>
      </x:c>
    </x:row>
    <x:row r="4991" ht="22" customHeight="1">
      <x:c r="A4991" s="2"/>
      <x:c r="B4991" s="2" t="str">
        <x:v>17349</x:v>
      </x:c>
      <x:c r="C4991" s="2" t="str">
        <x:v>United Kingdom</x:v>
      </x:c>
      <x:c r="D4991" s="25" t="n">
        <x:v>40255.393055555556</x:v>
      </x:c>
      <x:c r="E4991" s="25" t="n">
        <x:v>40707.39513888889</x:v>
      </x:c>
      <x:c r="F4991" s="2" t="n">
        <x:v>180</x:v>
      </x:c>
      <x:c r="G4991" s="2" t="n">
        <x:v>5</x:v>
      </x:c>
      <x:c r="H4991" s="11" t="n">
        <x:v>852.25</x:v>
      </x:c>
      <x:c r="I4991" s="2" t="n">
        <x:v>3</x:v>
      </x:c>
      <x:c r="J4991" s="2" t="n">
        <x:v>4</x:v>
      </x:c>
      <x:c r="K4991" s="2" t="n">
        <x:v>3</x:v>
      </x:c>
      <x:c r="L4991" s="2" t="str">
        <x:v>Loyal</x:v>
      </x:c>
    </x:row>
    <x:row r="4992" ht="22" customHeight="1">
      <x:c r="A4992" s="2"/>
      <x:c r="B4992" s="2" t="str">
        <x:v>17350</x:v>
      </x:c>
      <x:c r="C4992" s="2" t="str">
        <x:v>United Kingdom</x:v>
      </x:c>
      <x:c r="D4992" s="25" t="n">
        <x:v>40210.44305555556</x:v>
      </x:c>
      <x:c r="E4992" s="25" t="n">
        <x:v>40878.44930555556</x:v>
      </x:c>
      <x:c r="F4992" s="2" t="n">
        <x:v>9</x:v>
      </x:c>
      <x:c r="G4992" s="2" t="n">
        <x:v>7</x:v>
      </x:c>
      <x:c r="H4992" s="11" t="n">
        <x:v>1906.041</x:v>
      </x:c>
      <x:c r="I4992" s="2" t="n">
        <x:v>5</x:v>
      </x:c>
      <x:c r="J4992" s="2" t="n">
        <x:v>4</x:v>
      </x:c>
      <x:c r="K4992" s="2" t="n">
        <x:v>4</x:v>
      </x:c>
      <x:c r="L4992" s="2" t="str">
        <x:v>Champions</x:v>
      </x:c>
    </x:row>
    <x:row r="4993" ht="22" customHeight="1">
      <x:c r="A4993" s="2"/>
      <x:c r="B4993" s="2" t="str">
        <x:v>17351</x:v>
      </x:c>
      <x:c r="C4993" s="2" t="str">
        <x:v>United Kingdom</x:v>
      </x:c>
      <x:c r="D4993" s="25" t="n">
        <x:v>40157.57152777778</x:v>
      </x:c>
      <x:c r="E4993" s="25" t="n">
        <x:v>40850.572916666664</x:v>
      </x:c>
      <x:c r="F4993" s="2" t="n">
        <x:v>37</x:v>
      </x:c>
      <x:c r="G4993" s="2" t="n">
        <x:v>12</x:v>
      </x:c>
      <x:c r="H4993" s="11" t="n">
        <x:v>1988.23</x:v>
      </x:c>
      <x:c r="I4993" s="2" t="n">
        <x:v>4</x:v>
      </x:c>
      <x:c r="J4993" s="2" t="n">
        <x:v>5</x:v>
      </x:c>
      <x:c r="K4993" s="2" t="n">
        <x:v>4</x:v>
      </x:c>
      <x:c r="L4993" s="2" t="str">
        <x:v>Champions</x:v>
      </x:c>
    </x:row>
    <x:row r="4994" ht="22" customHeight="1">
      <x:c r="A4994" s="2"/>
      <x:c r="B4994" s="2" t="str">
        <x:v>17352</x:v>
      </x:c>
      <x:c r="C4994" s="2" t="str">
        <x:v>United Kingdom</x:v>
      </x:c>
      <x:c r="D4994" s="25" t="n">
        <x:v>40190.467361111114</x:v>
      </x:c>
      <x:c r="E4994" s="25" t="n">
        <x:v>40190.467361111114</x:v>
      </x:c>
      <x:c r="F4994" s="2" t="n">
        <x:v>697</x:v>
      </x:c>
      <x:c r="G4994" s="2" t="n">
        <x:v>1</x:v>
      </x:c>
      <x:c r="H4994" s="11" t="n">
        <x:v>36.25</x:v>
      </x:c>
      <x:c r="I4994" s="2" t="n">
        <x:v>1</x:v>
      </x:c>
      <x:c r="J4994" s="2" t="n">
        <x:v>1</x:v>
      </x:c>
      <x:c r="K4994" s="2" t="n">
        <x:v>1</x:v>
      </x:c>
      <x:c r="L4994" s="2" t="str">
        <x:v>Hibernating</x:v>
      </x:c>
    </x:row>
    <x:row r="4995" ht="22" customHeight="1">
      <x:c r="A4995" s="2"/>
      <x:c r="B4995" s="2" t="str">
        <x:v>17353</x:v>
      </x:c>
      <x:c r="C4995" s="2" t="str">
        <x:v>United Kingdom</x:v>
      </x:c>
      <x:c r="D4995" s="25" t="n">
        <x:v>40262.32777777778</x:v>
      </x:c>
      <x:c r="E4995" s="25" t="n">
        <x:v>40757.513194444444</x:v>
      </x:c>
      <x:c r="F4995" s="2" t="n">
        <x:v>130</x:v>
      </x:c>
      <x:c r="G4995" s="2" t="n">
        <x:v>4</x:v>
      </x:c>
      <x:c r="H4995" s="11" t="n">
        <x:v>3242</x:v>
      </x:c>
      <x:c r="I4995" s="2" t="n">
        <x:v>3</x:v>
      </x:c>
      <x:c r="J4995" s="2" t="n">
        <x:v>3</x:v>
      </x:c>
      <x:c r="K4995" s="2" t="n">
        <x:v>5</x:v>
      </x:c>
      <x:c r="L4995" s="2" t="str">
        <x:v>Loyal</x:v>
      </x:c>
    </x:row>
    <x:row r="4996" ht="22" customHeight="1">
      <x:c r="A4996" s="2"/>
      <x:c r="B4996" s="2" t="str">
        <x:v>17354</x:v>
      </x:c>
      <x:c r="C4996" s="2" t="str">
        <x:v>United Kingdom</x:v>
      </x:c>
      <x:c r="D4996" s="25" t="n">
        <x:v>40458.34861111111</x:v>
      </x:c>
      <x:c r="E4996" s="25" t="n">
        <x:v>40836.231944444444</x:v>
      </x:c>
      <x:c r="F4996" s="2" t="n">
        <x:v>51</x:v>
      </x:c>
      <x:c r="G4996" s="2" t="n">
        <x:v>4</x:v>
      </x:c>
      <x:c r="H4996" s="11" t="n">
        <x:v>3143.46</x:v>
      </x:c>
      <x:c r="I4996" s="2" t="n">
        <x:v>4</x:v>
      </x:c>
      <x:c r="J4996" s="2" t="n">
        <x:v>3</x:v>
      </x:c>
      <x:c r="K4996" s="2" t="n">
        <x:v>5</x:v>
      </x:c>
      <x:c r="L4996" s="2" t="str">
        <x:v>Loyal</x:v>
      </x:c>
    </x:row>
    <x:row r="4997" ht="22" customHeight="1">
      <x:c r="A4997" s="2"/>
      <x:c r="B4997" s="2" t="str">
        <x:v>17355</x:v>
      </x:c>
      <x:c r="C4997" s="2" t="str">
        <x:v>United Kingdom</x:v>
      </x:c>
      <x:c r="D4997" s="25" t="n">
        <x:v>40500.34583333333</x:v>
      </x:c>
      <x:c r="E4997" s="25" t="n">
        <x:v>40500.34583333333</x:v>
      </x:c>
      <x:c r="F4997" s="2" t="n">
        <x:v>387</x:v>
      </x:c>
      <x:c r="G4997" s="2" t="n">
        <x:v>1</x:v>
      </x:c>
      <x:c r="H4997" s="11" t="n">
        <x:v>285.11</x:v>
      </x:c>
      <x:c r="I4997" s="2" t="n">
        <x:v>2</x:v>
      </x:c>
      <x:c r="J4997" s="2" t="n">
        <x:v>1</x:v>
      </x:c>
      <x:c r="K4997" s="2" t="n">
        <x:v>1</x:v>
      </x:c>
      <x:c r="L4997" s="2" t="str">
        <x:v>Hibernating</x:v>
      </x:c>
    </x:row>
    <x:row r="4998" ht="22" customHeight="1">
      <x:c r="A4998" s="2"/>
      <x:c r="B4998" s="2" t="str">
        <x:v>17356</x:v>
      </x:c>
      <x:c r="C4998" s="2" t="str">
        <x:v>United Kingdom</x:v>
      </x:c>
      <x:c r="D4998" s="25" t="n">
        <x:v>40198.30138888889</x:v>
      </x:c>
      <x:c r="E4998" s="25" t="n">
        <x:v>40575.25486111111</x:v>
      </x:c>
      <x:c r="F4998" s="2" t="n">
        <x:v>312</x:v>
      </x:c>
      <x:c r="G4998" s="2" t="n">
        <x:v>5</x:v>
      </x:c>
      <x:c r="H4998" s="11" t="n">
        <x:v>946.47</x:v>
      </x:c>
      <x:c r="I4998" s="2" t="n">
        <x:v>2</x:v>
      </x:c>
      <x:c r="J4998" s="2" t="n">
        <x:v>4</x:v>
      </x:c>
      <x:c r="K4998" s="2" t="n">
        <x:v>3</x:v>
      </x:c>
      <x:c r="L4998" s="2" t="str">
        <x:v>At risk</x:v>
      </x:c>
    </x:row>
    <x:row r="4999" ht="22" customHeight="1">
      <x:c r="A4999" s="2"/>
      <x:c r="B4999" s="2" t="str">
        <x:v>17357</x:v>
      </x:c>
      <x:c r="C4999" s="2" t="str">
        <x:v>United Kingdom</x:v>
      </x:c>
      <x:c r="D4999" s="25" t="n">
        <x:v>40862.478472222225</x:v>
      </x:c>
      <x:c r="E4999" s="25" t="n">
        <x:v>40862.479166666664</x:v>
      </x:c>
      <x:c r="F4999" s="2" t="n">
        <x:v>25</x:v>
      </x:c>
      <x:c r="G4999" s="2" t="n">
        <x:v>2</x:v>
      </x:c>
      <x:c r="H4999" s="11" t="n">
        <x:v>388.14</x:v>
      </x:c>
      <x:c r="I4999" s="2" t="n">
        <x:v>4</x:v>
      </x:c>
      <x:c r="J4999" s="2" t="n">
        <x:v>2</x:v>
      </x:c>
      <x:c r="K4999" s="2" t="n">
        <x:v>2</x:v>
      </x:c>
      <x:c r="L4999" s="2" t="str">
        <x:v>Recent light buyers</x:v>
      </x:c>
    </x:row>
    <x:row r="5000" ht="22" customHeight="1">
      <x:c r="A5000" s="2"/>
      <x:c r="B5000" s="2" t="str">
        <x:v>17358</x:v>
      </x:c>
      <x:c r="C5000" s="2" t="str">
        <x:v>United Kingdom</x:v>
      </x:c>
      <x:c r="D5000" s="25" t="n">
        <x:v>40233.4875</x:v>
      </x:c>
      <x:c r="E5000" s="25" t="n">
        <x:v>40583.49791666667</x:v>
      </x:c>
      <x:c r="F5000" s="2" t="n">
        <x:v>304</x:v>
      </x:c>
      <x:c r="G5000" s="2" t="n">
        <x:v>5</x:v>
      </x:c>
      <x:c r="H5000" s="11" t="n">
        <x:v>866.05</x:v>
      </x:c>
      <x:c r="I5000" s="2" t="n">
        <x:v>2</x:v>
      </x:c>
      <x:c r="J5000" s="2" t="n">
        <x:v>4</x:v>
      </x:c>
      <x:c r="K5000" s="2" t="n">
        <x:v>3</x:v>
      </x:c>
      <x:c r="L5000" s="2" t="str">
        <x:v>At risk</x:v>
      </x:c>
    </x:row>
    <x:row r="5001" ht="22" customHeight="1">
      <x:c r="A5001" s="2"/>
      <x:c r="B5001" s="2" t="str">
        <x:v>17359</x:v>
      </x:c>
      <x:c r="C5001" s="2" t="str">
        <x:v>United Kingdom</x:v>
      </x:c>
      <x:c r="D5001" s="25" t="n">
        <x:v>40238.40833333333</x:v>
      </x:c>
      <x:c r="E5001" s="25" t="n">
        <x:v>40875.40069444444</x:v>
      </x:c>
      <x:c r="F5001" s="2" t="n">
        <x:v>12</x:v>
      </x:c>
      <x:c r="G5001" s="2" t="n">
        <x:v>2</x:v>
      </x:c>
      <x:c r="H5001" s="11" t="n">
        <x:v>284.46</x:v>
      </x:c>
      <x:c r="I5001" s="2" t="n">
        <x:v>5</x:v>
      </x:c>
      <x:c r="J5001" s="2" t="n">
        <x:v>2</x:v>
      </x:c>
      <x:c r="K5001" s="2" t="n">
        <x:v>1</x:v>
      </x:c>
      <x:c r="L5001" s="2" t="str">
        <x:v>Recent light buyers</x:v>
      </x:c>
    </x:row>
    <x:row r="5002" ht="22" customHeight="1">
      <x:c r="A5002" s="2"/>
      <x:c r="B5002" s="2" t="str">
        <x:v>17360</x:v>
      </x:c>
      <x:c r="C5002" s="2" t="str">
        <x:v>United Kingdom</x:v>
      </x:c>
      <x:c r="D5002" s="25" t="n">
        <x:v>40452.29652777778</x:v>
      </x:c>
      <x:c r="E5002" s="25" t="n">
        <x:v>40869.34097222222</x:v>
      </x:c>
      <x:c r="F5002" s="2" t="n">
        <x:v>18</x:v>
      </x:c>
      <x:c r="G5002" s="2" t="n">
        <x:v>6</x:v>
      </x:c>
      <x:c r="H5002" s="11" t="n">
        <x:v>1231.38</x:v>
      </x:c>
      <x:c r="I5002" s="2" t="n">
        <x:v>5</x:v>
      </x:c>
      <x:c r="J5002" s="2" t="n">
        <x:v>4</x:v>
      </x:c>
      <x:c r="K5002" s="2" t="n">
        <x:v>3</x:v>
      </x:c>
      <x:c r="L5002" s="2" t="str">
        <x:v>Loyal</x:v>
      </x:c>
    </x:row>
    <x:row r="5003" ht="22" customHeight="1">
      <x:c r="A5003" s="2"/>
      <x:c r="B5003" s="2" t="str">
        <x:v>17361</x:v>
      </x:c>
      <x:c r="C5003" s="2" t="str">
        <x:v>United Kingdom</x:v>
      </x:c>
      <x:c r="D5003" s="25" t="n">
        <x:v>40210.395833333336</x:v>
      </x:c>
      <x:c r="E5003" s="25" t="n">
        <x:v>40837.44652777778</x:v>
      </x:c>
      <x:c r="F5003" s="2" t="n">
        <x:v>50</x:v>
      </x:c>
      <x:c r="G5003" s="2" t="n">
        <x:v>5</x:v>
      </x:c>
      <x:c r="H5003" s="11" t="n">
        <x:v>880.64</x:v>
      </x:c>
      <x:c r="I5003" s="2" t="n">
        <x:v>4</x:v>
      </x:c>
      <x:c r="J5003" s="2" t="n">
        <x:v>4</x:v>
      </x:c>
      <x:c r="K5003" s="2" t="n">
        <x:v>3</x:v>
      </x:c>
      <x:c r="L5003" s="2" t="str">
        <x:v>Loyal</x:v>
      </x:c>
    </x:row>
    <x:row r="5004" ht="22" customHeight="1">
      <x:c r="A5004" s="2"/>
      <x:c r="B5004" s="2" t="str">
        <x:v>17362</x:v>
      </x:c>
      <x:c r="C5004" s="2" t="str">
        <x:v>United Kingdom</x:v>
      </x:c>
      <x:c r="D5004" s="25" t="n">
        <x:v>40184.24513888889</x:v>
      </x:c>
      <x:c r="E5004" s="25" t="n">
        <x:v>40647.404861111114</x:v>
      </x:c>
      <x:c r="F5004" s="2" t="n">
        <x:v>240</x:v>
      </x:c>
      <x:c r="G5004" s="2" t="n">
        <x:v>7</x:v>
      </x:c>
      <x:c r="H5004" s="11" t="n">
        <x:v>1024.04</x:v>
      </x:c>
      <x:c r="I5004" s="2" t="n">
        <x:v>2</x:v>
      </x:c>
      <x:c r="J5004" s="2" t="n">
        <x:v>4</x:v>
      </x:c>
      <x:c r="K5004" s="2" t="n">
        <x:v>3</x:v>
      </x:c>
      <x:c r="L5004" s="2" t="str">
        <x:v>At risk</x:v>
      </x:c>
    </x:row>
    <x:row r="5005" ht="22" customHeight="1">
      <x:c r="A5005" s="2"/>
      <x:c r="B5005" s="2" t="str">
        <x:v>17363</x:v>
      </x:c>
      <x:c r="C5005" s="2" t="str">
        <x:v>United Kingdom</x:v>
      </x:c>
      <x:c r="D5005" s="25" t="n">
        <x:v>40484.51736111111</x:v>
      </x:c>
      <x:c r="E5005" s="25" t="n">
        <x:v>40491.50763888889</x:v>
      </x:c>
      <x:c r="F5005" s="2" t="n">
        <x:v>396</x:v>
      </x:c>
      <x:c r="G5005" s="2" t="n">
        <x:v>3</x:v>
      </x:c>
      <x:c r="H5005" s="11" t="n">
        <x:v>940.86</x:v>
      </x:c>
      <x:c r="I5005" s="2" t="n">
        <x:v>2</x:v>
      </x:c>
      <x:c r="J5005" s="2" t="n">
        <x:v>3</x:v>
      </x:c>
      <x:c r="K5005" s="2" t="n">
        <x:v>3</x:v>
      </x:c>
      <x:c r="L5005" s="2" t="str">
        <x:v>At risk</x:v>
      </x:c>
    </x:row>
    <x:row r="5006" ht="22" customHeight="1">
      <x:c r="A5006" s="2"/>
      <x:c r="B5006" s="2" t="str">
        <x:v>17364</x:v>
      </x:c>
      <x:c r="C5006" s="2" t="str">
        <x:v>United Kingdom</x:v>
      </x:c>
      <x:c r="D5006" s="25" t="n">
        <x:v>40154.436111111114</x:v>
      </x:c>
      <x:c r="E5006" s="25" t="n">
        <x:v>40886.166666666664</x:v>
      </x:c>
      <x:c r="F5006" s="2" t="n">
        <x:v>1</x:v>
      </x:c>
      <x:c r="G5006" s="2" t="n">
        <x:v>28</x:v>
      </x:c>
      <x:c r="H5006" s="11" t="n">
        <x:v>12070.42</x:v>
      </x:c>
      <x:c r="I5006" s="2" t="n">
        <x:v>5</x:v>
      </x:c>
      <x:c r="J5006" s="2" t="n">
        <x:v>5</x:v>
      </x:c>
      <x:c r="K5006" s="2" t="n">
        <x:v>5</x:v>
      </x:c>
      <x:c r="L5006" s="2" t="str">
        <x:v>Champions</x:v>
      </x:c>
    </x:row>
    <x:row r="5007" ht="22" customHeight="1">
      <x:c r="A5007" s="2"/>
      <x:c r="B5007" s="2" t="str">
        <x:v>17365</x:v>
      </x:c>
      <x:c r="C5007" s="2" t="str">
        <x:v>United Kingdom</x:v>
      </x:c>
      <x:c r="D5007" s="25" t="n">
        <x:v>40210.28888888889</x:v>
      </x:c>
      <x:c r="E5007" s="25" t="n">
        <x:v>40874.30069444444</x:v>
      </x:c>
      <x:c r="F5007" s="2" t="n">
        <x:v>13</x:v>
      </x:c>
      <x:c r="G5007" s="2" t="n">
        <x:v>15</x:v>
      </x:c>
      <x:c r="H5007" s="11" t="n">
        <x:v>8224.98</x:v>
      </x:c>
      <x:c r="I5007" s="2" t="n">
        <x:v>5</x:v>
      </x:c>
      <x:c r="J5007" s="2" t="n">
        <x:v>5</x:v>
      </x:c>
      <x:c r="K5007" s="2" t="n">
        <x:v>5</x:v>
      </x:c>
      <x:c r="L5007" s="2" t="str">
        <x:v>Champions</x:v>
      </x:c>
    </x:row>
    <x:row r="5008" ht="22" customHeight="1">
      <x:c r="A5008" s="2"/>
      <x:c r="B5008" s="2" t="str">
        <x:v>17366</x:v>
      </x:c>
      <x:c r="C5008" s="2" t="str">
        <x:v>United Kingdom</x:v>
      </x:c>
      <x:c r="D5008" s="25" t="n">
        <x:v>40430.615277777775</x:v>
      </x:c>
      <x:c r="E5008" s="25" t="n">
        <x:v>40454.46111111111</x:v>
      </x:c>
      <x:c r="F5008" s="2" t="n">
        <x:v>433</x:v>
      </x:c>
      <x:c r="G5008" s="2" t="n">
        <x:v>2</x:v>
      </x:c>
      <x:c r="H5008" s="11" t="n">
        <x:v>1096.24</x:v>
      </x:c>
      <x:c r="I5008" s="2" t="n">
        <x:v>1</x:v>
      </x:c>
      <x:c r="J5008" s="2" t="n">
        <x:v>2</x:v>
      </x:c>
      <x:c r="K5008" s="2" t="n">
        <x:v>3</x:v>
      </x:c>
      <x:c r="L5008" s="2" t="str">
        <x:v>Hibernating</x:v>
      </x:c>
    </x:row>
    <x:row r="5009" ht="22" customHeight="1">
      <x:c r="A5009" s="2"/>
      <x:c r="B5009" s="2" t="str">
        <x:v>17367</x:v>
      </x:c>
      <x:c r="C5009" s="2" t="str">
        <x:v>United Kingdom</x:v>
      </x:c>
      <x:c r="D5009" s="25" t="n">
        <x:v>40648.38958333333</x:v>
      </x:c>
      <x:c r="E5009" s="25" t="n">
        <x:v>40648.38958333333</x:v>
      </x:c>
      <x:c r="F5009" s="2" t="n">
        <x:v>239</x:v>
      </x:c>
      <x:c r="G5009" s="2" t="n">
        <x:v>1</x:v>
      </x:c>
      <x:c r="H5009" s="11" t="n">
        <x:v>168.4</x:v>
      </x:c>
      <x:c r="I5009" s="2" t="n">
        <x:v>2</x:v>
      </x:c>
      <x:c r="J5009" s="2" t="n">
        <x:v>1</x:v>
      </x:c>
      <x:c r="K5009" s="2" t="n">
        <x:v>1</x:v>
      </x:c>
      <x:c r="L5009" s="2" t="str">
        <x:v>Hibernating</x:v>
      </x:c>
    </x:row>
    <x:row r="5010" ht="22" customHeight="1">
      <x:c r="A5010" s="2"/>
      <x:c r="B5010" s="2" t="str">
        <x:v>17368</x:v>
      </x:c>
      <x:c r="C5010" s="2" t="str">
        <x:v>United Kingdom</x:v>
      </x:c>
      <x:c r="D5010" s="25" t="n">
        <x:v>40162.53125</x:v>
      </x:c>
      <x:c r="E5010" s="25" t="n">
        <x:v>40863.43472222222</x:v>
      </x:c>
      <x:c r="F5010" s="2" t="n">
        <x:v>24</x:v>
      </x:c>
      <x:c r="G5010" s="2" t="n">
        <x:v>14</x:v>
      </x:c>
      <x:c r="H5010" s="11" t="n">
        <x:v>2826.14</x:v>
      </x:c>
      <x:c r="I5010" s="2" t="n">
        <x:v>4</x:v>
      </x:c>
      <x:c r="J5010" s="2" t="n">
        <x:v>5</x:v>
      </x:c>
      <x:c r="K5010" s="2" t="n">
        <x:v>4</x:v>
      </x:c>
      <x:c r="L5010" s="2" t="str">
        <x:v>Champions</x:v>
      </x:c>
    </x:row>
    <x:row r="5011" ht="22" customHeight="1">
      <x:c r="A5011" s="2"/>
      <x:c r="B5011" s="2" t="str">
        <x:v>17369</x:v>
      </x:c>
      <x:c r="C5011" s="2" t="str">
        <x:v>United Kingdom</x:v>
      </x:c>
      <x:c r="D5011" s="25" t="n">
        <x:v>40431.200694444444</x:v>
      </x:c>
      <x:c r="E5011" s="25" t="n">
        <x:v>40431.200694444444</x:v>
      </x:c>
      <x:c r="F5011" s="2" t="n">
        <x:v>456</x:v>
      </x:c>
      <x:c r="G5011" s="2" t="n">
        <x:v>1</x:v>
      </x:c>
      <x:c r="H5011" s="11" t="n">
        <x:v>979.2</x:v>
      </x:c>
      <x:c r="I5011" s="2" t="n">
        <x:v>1</x:v>
      </x:c>
      <x:c r="J5011" s="2" t="n">
        <x:v>1</x:v>
      </x:c>
      <x:c r="K5011" s="2" t="n">
        <x:v>3</x:v>
      </x:c>
      <x:c r="L5011" s="2" t="str">
        <x:v>Hibernating</x:v>
      </x:c>
    </x:row>
    <x:row r="5012" ht="22" customHeight="1">
      <x:c r="A5012" s="2"/>
      <x:c r="B5012" s="2" t="str">
        <x:v>17370</x:v>
      </x:c>
      <x:c r="C5012" s="2" t="str">
        <x:v>United Kingdom</x:v>
      </x:c>
      <x:c r="D5012" s="25" t="n">
        <x:v>40717.28472222222</x:v>
      </x:c>
      <x:c r="E5012" s="25" t="n">
        <x:v>40814.21805555555</x:v>
      </x:c>
      <x:c r="F5012" s="2" t="n">
        <x:v>73</x:v>
      </x:c>
      <x:c r="G5012" s="2" t="n">
        <x:v>4</x:v>
      </x:c>
      <x:c r="H5012" s="11" t="n">
        <x:v>446.18</x:v>
      </x:c>
      <x:c r="I5012" s="2" t="n">
        <x:v>3</x:v>
      </x:c>
      <x:c r="J5012" s="2" t="n">
        <x:v>3</x:v>
      </x:c>
      <x:c r="K5012" s="2" t="n">
        <x:v>2</x:v>
      </x:c>
      <x:c r="L5012" s="2" t="str">
        <x:v>Loyal</x:v>
      </x:c>
    </x:row>
    <x:row r="5013" ht="22" customHeight="1">
      <x:c r="A5013" s="2"/>
      <x:c r="B5013" s="2" t="str">
        <x:v>17371</x:v>
      </x:c>
      <x:c r="C5013" s="2" t="str">
        <x:v>United Kingdom</x:v>
      </x:c>
      <x:c r="D5013" s="25" t="n">
        <x:v>40155.30902777778</x:v>
      </x:c>
      <x:c r="E5013" s="25" t="n">
        <x:v>40869.354166666664</x:v>
      </x:c>
      <x:c r="F5013" s="2" t="n">
        <x:v>18</x:v>
      </x:c>
      <x:c r="G5013" s="2" t="n">
        <x:v>6</x:v>
      </x:c>
      <x:c r="H5013" s="11" t="n">
        <x:v>662.55</x:v>
      </x:c>
      <x:c r="I5013" s="2" t="n">
        <x:v>5</x:v>
      </x:c>
      <x:c r="J5013" s="2" t="n">
        <x:v>4</x:v>
      </x:c>
      <x:c r="K5013" s="2" t="n">
        <x:v>3</x:v>
      </x:c>
      <x:c r="L5013" s="2" t="str">
        <x:v>Loyal</x:v>
      </x:c>
    </x:row>
    <x:row r="5014" ht="22" customHeight="1">
      <x:c r="A5014" s="2"/>
      <x:c r="B5014" s="2" t="str">
        <x:v>17372</x:v>
      </x:c>
      <x:c r="C5014" s="2" t="str">
        <x:v>United Kingdom</x:v>
      </x:c>
      <x:c r="D5014" s="25" t="n">
        <x:v>40150.57013888889</x:v>
      </x:c>
      <x:c r="E5014" s="25" t="n">
        <x:v>40846.27569444444</x:v>
      </x:c>
      <x:c r="F5014" s="2" t="n">
        <x:v>41</x:v>
      </x:c>
      <x:c r="G5014" s="2" t="n">
        <x:v>28</x:v>
      </x:c>
      <x:c r="H5014" s="11" t="n">
        <x:v>4377.56</x:v>
      </x:c>
      <x:c r="I5014" s="2" t="n">
        <x:v>4</x:v>
      </x:c>
      <x:c r="J5014" s="2" t="n">
        <x:v>5</x:v>
      </x:c>
      <x:c r="K5014" s="2" t="n">
        <x:v>5</x:v>
      </x:c>
      <x:c r="L5014" s="2" t="str">
        <x:v>Champions</x:v>
      </x:c>
    </x:row>
    <x:row r="5015" ht="22" customHeight="1">
      <x:c r="A5015" s="2"/>
      <x:c r="B5015" s="2" t="str">
        <x:v>17373</x:v>
      </x:c>
      <x:c r="C5015" s="2" t="str">
        <x:v>United Kingdom</x:v>
      </x:c>
      <x:c r="D5015" s="25" t="n">
        <x:v>40237.38680555556</x:v>
      </x:c>
      <x:c r="E5015" s="25" t="n">
        <x:v>40846.436111111114</x:v>
      </x:c>
      <x:c r="F5015" s="2" t="n">
        <x:v>41</x:v>
      </x:c>
      <x:c r="G5015" s="2" t="n">
        <x:v>7</x:v>
      </x:c>
      <x:c r="H5015" s="11" t="n">
        <x:v>1167.5</x:v>
      </x:c>
      <x:c r="I5015" s="2" t="n">
        <x:v>4</x:v>
      </x:c>
      <x:c r="J5015" s="2" t="n">
        <x:v>4</x:v>
      </x:c>
      <x:c r="K5015" s="2" t="n">
        <x:v>3</x:v>
      </x:c>
      <x:c r="L5015" s="2" t="str">
        <x:v>Loyal</x:v>
      </x:c>
    </x:row>
    <x:row r="5016" ht="22" customHeight="1">
      <x:c r="A5016" s="2"/>
      <x:c r="B5016" s="2" t="str">
        <x:v>17374</x:v>
      </x:c>
      <x:c r="C5016" s="2" t="str">
        <x:v>United Kingdom</x:v>
      </x:c>
      <x:c r="D5016" s="25" t="n">
        <x:v>40491.509722222225</x:v>
      </x:c>
      <x:c r="E5016" s="25" t="n">
        <x:v>40668.17013888889</x:v>
      </x:c>
      <x:c r="F5016" s="2" t="n">
        <x:v>219</x:v>
      </x:c>
      <x:c r="G5016" s="2" t="n">
        <x:v>3</x:v>
      </x:c>
      <x:c r="H5016" s="11" t="n">
        <x:v>727.11</x:v>
      </x:c>
      <x:c r="I5016" s="2" t="n">
        <x:v>2</x:v>
      </x:c>
      <x:c r="J5016" s="2" t="n">
        <x:v>3</x:v>
      </x:c>
      <x:c r="K5016" s="2" t="n">
        <x:v>3</x:v>
      </x:c>
      <x:c r="L5016" s="2" t="str">
        <x:v>At risk</x:v>
      </x:c>
    </x:row>
    <x:row r="5017" ht="22" customHeight="1">
      <x:c r="A5017" s="2"/>
      <x:c r="B5017" s="2" t="str">
        <x:v>17375</x:v>
      </x:c>
      <x:c r="C5017" s="2" t="str">
        <x:v>United Kingdom</x:v>
      </x:c>
      <x:c r="D5017" s="25" t="n">
        <x:v>40455.17638888889</x:v>
      </x:c>
      <x:c r="E5017" s="25" t="n">
        <x:v>40687.447916666664</x:v>
      </x:c>
      <x:c r="F5017" s="2" t="n">
        <x:v>200</x:v>
      </x:c>
      <x:c r="G5017" s="2" t="n">
        <x:v>4</x:v>
      </x:c>
      <x:c r="H5017" s="11" t="n">
        <x:v>660.55</x:v>
      </x:c>
      <x:c r="I5017" s="2" t="n">
        <x:v>2</x:v>
      </x:c>
      <x:c r="J5017" s="2" t="n">
        <x:v>3</x:v>
      </x:c>
      <x:c r="K5017" s="2" t="n">
        <x:v>3</x:v>
      </x:c>
      <x:c r="L5017" s="2" t="str">
        <x:v>At risk</x:v>
      </x:c>
    </x:row>
    <x:row r="5018" ht="22" customHeight="1">
      <x:c r="A5018" s="2"/>
      <x:c r="B5018" s="2" t="str">
        <x:v>17376</x:v>
      </x:c>
      <x:c r="C5018" s="2" t="str">
        <x:v>United Kingdom</x:v>
      </x:c>
      <x:c r="D5018" s="25" t="n">
        <x:v>40364.25763888889</x:v>
      </x:c>
      <x:c r="E5018" s="25" t="n">
        <x:v>40816.316666666666</x:v>
      </x:c>
      <x:c r="F5018" s="2" t="n">
        <x:v>71</x:v>
      </x:c>
      <x:c r="G5018" s="2" t="n">
        <x:v>4</x:v>
      </x:c>
      <x:c r="H5018" s="11" t="n">
        <x:v>453.64</x:v>
      </x:c>
      <x:c r="I5018" s="2" t="n">
        <x:v>3</x:v>
      </x:c>
      <x:c r="J5018" s="2" t="n">
        <x:v>3</x:v>
      </x:c>
      <x:c r="K5018" s="2" t="n">
        <x:v>2</x:v>
      </x:c>
      <x:c r="L5018" s="2" t="str">
        <x:v>Loyal</x:v>
      </x:c>
    </x:row>
    <x:row r="5019" ht="22" customHeight="1">
      <x:c r="A5019" s="2"/>
      <x:c r="B5019" s="2" t="str">
        <x:v>17377</x:v>
      </x:c>
      <x:c r="C5019" s="2" t="str">
        <x:v>United Kingdom</x:v>
      </x:c>
      <x:c r="D5019" s="25" t="n">
        <x:v>40149.31875</x:v>
      </x:c>
      <x:c r="E5019" s="25" t="n">
        <x:v>40863.26180555556</x:v>
      </x:c>
      <x:c r="F5019" s="2" t="n">
        <x:v>24</x:v>
      </x:c>
      <x:c r="G5019" s="2" t="n">
        <x:v>78</x:v>
      </x:c>
      <x:c r="H5019" s="11" t="n">
        <x:v>17731.11</x:v>
      </x:c>
      <x:c r="I5019" s="2" t="n">
        <x:v>4</x:v>
      </x:c>
      <x:c r="J5019" s="2" t="n">
        <x:v>5</x:v>
      </x:c>
      <x:c r="K5019" s="2" t="n">
        <x:v>5</x:v>
      </x:c>
      <x:c r="L5019" s="2" t="str">
        <x:v>Champions</x:v>
      </x:c>
    </x:row>
    <x:row r="5020" ht="22" customHeight="1">
      <x:c r="A5020" s="2"/>
      <x:c r="B5020" s="2" t="str">
        <x:v>17378</x:v>
      </x:c>
      <x:c r="C5020" s="2" t="str">
        <x:v>United Kingdom</x:v>
      </x:c>
      <x:c r="D5020" s="25" t="n">
        <x:v>40512.57361111111</x:v>
      </x:c>
      <x:c r="E5020" s="25" t="n">
        <x:v>40512.57361111111</x:v>
      </x:c>
      <x:c r="F5020" s="2" t="n">
        <x:v>375</x:v>
      </x:c>
      <x:c r="G5020" s="2" t="n">
        <x:v>1</x:v>
      </x:c>
      <x:c r="H5020" s="11" t="n">
        <x:v>10.95</x:v>
      </x:c>
      <x:c r="I5020" s="2" t="n">
        <x:v>2</x:v>
      </x:c>
      <x:c r="J5020" s="2" t="n">
        <x:v>1</x:v>
      </x:c>
      <x:c r="K5020" s="2" t="n">
        <x:v>1</x:v>
      </x:c>
      <x:c r="L5020" s="2" t="str">
        <x:v>Hibernating</x:v>
      </x:c>
    </x:row>
    <x:row r="5021" ht="22" customHeight="1">
      <x:c r="A5021" s="2"/>
      <x:c r="B5021" s="2" t="str">
        <x:v>17379</x:v>
      </x:c>
      <x:c r="C5021" s="2" t="str">
        <x:v>United Kingdom</x:v>
      </x:c>
      <x:c r="D5021" s="25" t="n">
        <x:v>40875.37222222222</x:v>
      </x:c>
      <x:c r="E5021" s="25" t="n">
        <x:v>40875.37222222222</x:v>
      </x:c>
      <x:c r="F5021" s="2" t="n">
        <x:v>12</x:v>
      </x:c>
      <x:c r="G5021" s="2" t="n">
        <x:v>1</x:v>
      </x:c>
      <x:c r="H5021" s="11" t="n">
        <x:v>404.66</x:v>
      </x:c>
      <x:c r="I5021" s="2" t="n">
        <x:v>5</x:v>
      </x:c>
      <x:c r="J5021" s="2" t="n">
        <x:v>1</x:v>
      </x:c>
      <x:c r="K5021" s="2" t="n">
        <x:v>2</x:v>
      </x:c>
      <x:c r="L5021" s="2" t="str">
        <x:v>Recent light buyers</x:v>
      </x:c>
    </x:row>
    <x:row r="5022" ht="22" customHeight="1">
      <x:c r="A5022" s="2"/>
      <x:c r="B5022" s="2" t="str">
        <x:v>17380</x:v>
      </x:c>
      <x:c r="C5022" s="2" t="str">
        <x:v>United Kingdom</x:v>
      </x:c>
      <x:c r="D5022" s="25" t="n">
        <x:v>40352.26666666667</x:v>
      </x:c>
      <x:c r="E5022" s="25" t="n">
        <x:v>40452.4875</x:v>
      </x:c>
      <x:c r="F5022" s="2" t="n">
        <x:v>435</x:v>
      </x:c>
      <x:c r="G5022" s="2" t="n">
        <x:v>3</x:v>
      </x:c>
      <x:c r="H5022" s="11" t="n">
        <x:v>645</x:v>
      </x:c>
      <x:c r="I5022" s="2" t="n">
        <x:v>1</x:v>
      </x:c>
      <x:c r="J5022" s="2" t="n">
        <x:v>3</x:v>
      </x:c>
      <x:c r="K5022" s="2" t="n">
        <x:v>3</x:v>
      </x:c>
      <x:c r="L5022" s="2" t="str">
        <x:v>At risk</x:v>
      </x:c>
    </x:row>
    <x:row r="5023" ht="22" customHeight="1">
      <x:c r="A5023" s="2"/>
      <x:c r="B5023" s="2" t="str">
        <x:v>17381</x:v>
      </x:c>
      <x:c r="C5023" s="2" t="str">
        <x:v>United Kingdom</x:v>
      </x:c>
      <x:c r="D5023" s="25" t="n">
        <x:v>40338.32986111111</x:v>
      </x:c>
      <x:c r="E5023" s="25" t="n">
        <x:v>40878.290972222225</x:v>
      </x:c>
      <x:c r="F5023" s="2" t="n">
        <x:v>9</x:v>
      </x:c>
      <x:c r="G5023" s="2" t="n">
        <x:v>38</x:v>
      </x:c>
      <x:c r="H5023" s="11" t="n">
        <x:v>36398.65</x:v>
      </x:c>
      <x:c r="I5023" s="2" t="n">
        <x:v>5</x:v>
      </x:c>
      <x:c r="J5023" s="2" t="n">
        <x:v>5</x:v>
      </x:c>
      <x:c r="K5023" s="2" t="n">
        <x:v>5</x:v>
      </x:c>
      <x:c r="L5023" s="2" t="str">
        <x:v>Champions</x:v>
      </x:c>
    </x:row>
    <x:row r="5024" ht="22" customHeight="1">
      <x:c r="A5024" s="2"/>
      <x:c r="B5024" s="2" t="str">
        <x:v>17382</x:v>
      </x:c>
      <x:c r="C5024" s="2" t="str">
        <x:v>United Kingdom</x:v>
      </x:c>
      <x:c r="D5024" s="25" t="n">
        <x:v>40317.27291666667</x:v>
      </x:c>
      <x:c r="E5024" s="25" t="n">
        <x:v>40821.336805555555</x:v>
      </x:c>
      <x:c r="F5024" s="2" t="n">
        <x:v>66</x:v>
      </x:c>
      <x:c r="G5024" s="2" t="n">
        <x:v>8</x:v>
      </x:c>
      <x:c r="H5024" s="11" t="n">
        <x:v>902.28</x:v>
      </x:c>
      <x:c r="I5024" s="2" t="n">
        <x:v>3</x:v>
      </x:c>
      <x:c r="J5024" s="2" t="n">
        <x:v>4</x:v>
      </x:c>
      <x:c r="K5024" s="2" t="n">
        <x:v>3</x:v>
      </x:c>
      <x:c r="L5024" s="2" t="str">
        <x:v>Loyal</x:v>
      </x:c>
    </x:row>
    <x:row r="5025" ht="22" customHeight="1">
      <x:c r="A5025" s="2"/>
      <x:c r="B5025" s="2" t="str">
        <x:v>17383</x:v>
      </x:c>
      <x:c r="C5025" s="2" t="str">
        <x:v>United Kingdom</x:v>
      </x:c>
      <x:c r="D5025" s="25" t="n">
        <x:v>40433.4125</x:v>
      </x:c>
      <x:c r="E5025" s="25" t="n">
        <x:v>40882.525</x:v>
      </x:c>
      <x:c r="F5025" s="2" t="n">
        <x:v>5</x:v>
      </x:c>
      <x:c r="G5025" s="2" t="n">
        <x:v>2</x:v>
      </x:c>
      <x:c r="H5025" s="11" t="n">
        <x:v>309.99</x:v>
      </x:c>
      <x:c r="I5025" s="2" t="n">
        <x:v>5</x:v>
      </x:c>
      <x:c r="J5025" s="2" t="n">
        <x:v>2</x:v>
      </x:c>
      <x:c r="K5025" s="2" t="n">
        <x:v>2</x:v>
      </x:c>
      <x:c r="L5025" s="2" t="str">
        <x:v>Recent light buyers</x:v>
      </x:c>
    </x:row>
    <x:row r="5026" ht="22" customHeight="1">
      <x:c r="A5026" s="2"/>
      <x:c r="B5026" s="2" t="str">
        <x:v>17384</x:v>
      </x:c>
      <x:c r="C5026" s="2" t="str">
        <x:v>United Kingdom</x:v>
      </x:c>
      <x:c r="D5026" s="25" t="n">
        <x:v>40419.459027777775</x:v>
      </x:c>
      <x:c r="E5026" s="25" t="n">
        <x:v>40867.45</x:v>
      </x:c>
      <x:c r="F5026" s="2" t="n">
        <x:v>20</x:v>
      </x:c>
      <x:c r="G5026" s="2" t="n">
        <x:v>3</x:v>
      </x:c>
      <x:c r="H5026" s="11" t="n">
        <x:v>507.55</x:v>
      </x:c>
      <x:c r="I5026" s="2" t="n">
        <x:v>5</x:v>
      </x:c>
      <x:c r="J5026" s="2" t="n">
        <x:v>3</x:v>
      </x:c>
      <x:c r="K5026" s="2" t="n">
        <x:v>2</x:v>
      </x:c>
      <x:c r="L5026" s="2" t="str">
        <x:v>Loyal</x:v>
      </x:c>
    </x:row>
    <x:row r="5027" ht="22" customHeight="1">
      <x:c r="A5027" s="2"/>
      <x:c r="B5027" s="2" t="str">
        <x:v>17385</x:v>
      </x:c>
      <x:c r="C5027" s="2" t="str">
        <x:v>United Kingdom</x:v>
      </x:c>
      <x:c r="D5027" s="25" t="n">
        <x:v>40872.251388888886</x:v>
      </x:c>
      <x:c r="E5027" s="25" t="n">
        <x:v>40872.251388888886</x:v>
      </x:c>
      <x:c r="F5027" s="2" t="n">
        <x:v>15</x:v>
      </x:c>
      <x:c r="G5027" s="2" t="n">
        <x:v>1</x:v>
      </x:c>
      <x:c r="H5027" s="11" t="n">
        <x:v>261.11</x:v>
      </x:c>
      <x:c r="I5027" s="2" t="n">
        <x:v>5</x:v>
      </x:c>
      <x:c r="J5027" s="2" t="n">
        <x:v>1</x:v>
      </x:c>
      <x:c r="K5027" s="2" t="n">
        <x:v>1</x:v>
      </x:c>
      <x:c r="L5027" s="2" t="str">
        <x:v>Recent light buyers</x:v>
      </x:c>
    </x:row>
    <x:row r="5028" ht="22" customHeight="1">
      <x:c r="A5028" s="2"/>
      <x:c r="B5028" s="2" t="str">
        <x:v>17386</x:v>
      </x:c>
      <x:c r="C5028" s="2" t="str">
        <x:v>United Kingdom</x:v>
      </x:c>
      <x:c r="D5028" s="25" t="n">
        <x:v>40501.36111111111</x:v>
      </x:c>
      <x:c r="E5028" s="25" t="n">
        <x:v>40879.26944444444</x:v>
      </x:c>
      <x:c r="F5028" s="2" t="n">
        <x:v>8</x:v>
      </x:c>
      <x:c r="G5028" s="2" t="n">
        <x:v>7</x:v>
      </x:c>
      <x:c r="H5028" s="11" t="n">
        <x:v>2812.77</x:v>
      </x:c>
      <x:c r="I5028" s="2" t="n">
        <x:v>5</x:v>
      </x:c>
      <x:c r="J5028" s="2" t="n">
        <x:v>4</x:v>
      </x:c>
      <x:c r="K5028" s="2" t="n">
        <x:v>4</x:v>
      </x:c>
      <x:c r="L5028" s="2" t="str">
        <x:v>Champions</x:v>
      </x:c>
    </x:row>
    <x:row r="5029" ht="22" customHeight="1">
      <x:c r="A5029" s="2"/>
      <x:c r="B5029" s="2" t="str">
        <x:v>17387</x:v>
      </x:c>
      <x:c r="C5029" s="2" t="str">
        <x:v>United Kingdom</x:v>
      </x:c>
      <x:c r="D5029" s="25" t="n">
        <x:v>40853.26736111111</x:v>
      </x:c>
      <x:c r="E5029" s="25" t="n">
        <x:v>40867.25</x:v>
      </x:c>
      <x:c r="F5029" s="2" t="n">
        <x:v>20</x:v>
      </x:c>
      <x:c r="G5029" s="2" t="n">
        <x:v>2</x:v>
      </x:c>
      <x:c r="H5029" s="11" t="n">
        <x:v>784.11</x:v>
      </x:c>
      <x:c r="I5029" s="2" t="n">
        <x:v>5</x:v>
      </x:c>
      <x:c r="J5029" s="2" t="n">
        <x:v>2</x:v>
      </x:c>
      <x:c r="K5029" s="2" t="n">
        <x:v>3</x:v>
      </x:c>
      <x:c r="L5029" s="2" t="str">
        <x:v>Recent light buyers</x:v>
      </x:c>
    </x:row>
    <x:row r="5030" ht="22" customHeight="1">
      <x:c r="A5030" s="2"/>
      <x:c r="B5030" s="2" t="str">
        <x:v>17388</x:v>
      </x:c>
      <x:c r="C5030" s="2" t="str">
        <x:v>United Kingdom</x:v>
      </x:c>
      <x:c r="D5030" s="25" t="n">
        <x:v>40157.28125</x:v>
      </x:c>
      <x:c r="E5030" s="25" t="n">
        <x:v>40809.22986111111</x:v>
      </x:c>
      <x:c r="F5030" s="2" t="n">
        <x:v>78</x:v>
      </x:c>
      <x:c r="G5030" s="2" t="n">
        <x:v>11</x:v>
      </x:c>
      <x:c r="H5030" s="11" t="n">
        <x:v>2691.57</x:v>
      </x:c>
      <x:c r="I5030" s="2" t="n">
        <x:v>3</x:v>
      </x:c>
      <x:c r="J5030" s="2" t="n">
        <x:v>5</x:v>
      </x:c>
      <x:c r="K5030" s="2" t="n">
        <x:v>4</x:v>
      </x:c>
      <x:c r="L5030" s="2" t="str">
        <x:v>Loyal</x:v>
      </x:c>
    </x:row>
    <x:row r="5031" ht="22" customHeight="1">
      <x:c r="A5031" s="2"/>
      <x:c r="B5031" s="2" t="str">
        <x:v>17389</x:v>
      </x:c>
      <x:c r="C5031" s="2" t="str">
        <x:v>United Kingdom</x:v>
      </x:c>
      <x:c r="D5031" s="25" t="n">
        <x:v>40151.29583333333</x:v>
      </x:c>
      <x:c r="E5031" s="25" t="n">
        <x:v>40886.19305555556</x:v>
      </x:c>
      <x:c r="F5031" s="2" t="n">
        <x:v>1</x:v>
      </x:c>
      <x:c r="G5031" s="2" t="n">
        <x:v>61</x:v>
      </x:c>
      <x:c r="H5031" s="11" t="n">
        <x:v>57224.68</x:v>
      </x:c>
      <x:c r="I5031" s="2" t="n">
        <x:v>5</x:v>
      </x:c>
      <x:c r="J5031" s="2" t="n">
        <x:v>5</x:v>
      </x:c>
      <x:c r="K5031" s="2" t="n">
        <x:v>5</x:v>
      </x:c>
      <x:c r="L5031" s="2" t="str">
        <x:v>Champions</x:v>
      </x:c>
    </x:row>
    <x:row r="5032" ht="22" customHeight="1">
      <x:c r="A5032" s="2"/>
      <x:c r="B5032" s="2" t="str">
        <x:v>17390</x:v>
      </x:c>
      <x:c r="C5032" s="2" t="str">
        <x:v>United Kingdom</x:v>
      </x:c>
      <x:c r="D5032" s="25" t="n">
        <x:v>40466.27013888889</x:v>
      </x:c>
      <x:c r="E5032" s="25" t="n">
        <x:v>40466.27013888889</x:v>
      </x:c>
      <x:c r="F5032" s="2" t="n">
        <x:v>421</x:v>
      </x:c>
      <x:c r="G5032" s="2" t="n">
        <x:v>1</x:v>
      </x:c>
      <x:c r="H5032" s="11" t="n">
        <x:v>149.3</x:v>
      </x:c>
      <x:c r="I5032" s="2" t="n">
        <x:v>1</x:v>
      </x:c>
      <x:c r="J5032" s="2" t="n">
        <x:v>1</x:v>
      </x:c>
      <x:c r="K5032" s="2" t="n">
        <x:v>1</x:v>
      </x:c>
      <x:c r="L5032" s="2" t="str">
        <x:v>Hibernating</x:v>
      </x:c>
    </x:row>
    <x:row r="5033" ht="22" customHeight="1">
      <x:c r="A5033" s="2"/>
      <x:c r="B5033" s="2" t="str">
        <x:v>17391</x:v>
      </x:c>
      <x:c r="C5033" s="2" t="str">
        <x:v>United Kingdom</x:v>
      </x:c>
      <x:c r="D5033" s="25" t="n">
        <x:v>40722.30625</x:v>
      </x:c>
      <x:c r="E5033" s="25" t="n">
        <x:v>40723.20694444444</x:v>
      </x:c>
      <x:c r="F5033" s="2" t="n">
        <x:v>164</x:v>
      </x:c>
      <x:c r="G5033" s="2" t="n">
        <x:v>2</x:v>
      </x:c>
      <x:c r="H5033" s="11" t="n">
        <x:v>508.8</x:v>
      </x:c>
      <x:c r="I5033" s="2" t="n">
        <x:v>3</x:v>
      </x:c>
      <x:c r="J5033" s="2" t="n">
        <x:v>2</x:v>
      </x:c>
      <x:c r="K5033" s="2" t="n">
        <x:v>2</x:v>
      </x:c>
      <x:c r="L5033" s="2" t="str">
        <x:v>Developing</x:v>
      </x:c>
    </x:row>
    <x:row r="5034" ht="22" customHeight="1">
      <x:c r="A5034" s="2"/>
      <x:c r="B5034" s="2" t="str">
        <x:v>17392</x:v>
      </x:c>
      <x:c r="C5034" s="2" t="str">
        <x:v>United Kingdom</x:v>
      </x:c>
      <x:c r="D5034" s="25" t="n">
        <x:v>40436.470138888886</x:v>
      </x:c>
      <x:c r="E5034" s="25" t="n">
        <x:v>40580.325</x:v>
      </x:c>
      <x:c r="F5034" s="2" t="n">
        <x:v>307</x:v>
      </x:c>
      <x:c r="G5034" s="2" t="n">
        <x:v>3</x:v>
      </x:c>
      <x:c r="H5034" s="11" t="n">
        <x:v>626.56</x:v>
      </x:c>
      <x:c r="I5034" s="2" t="n">
        <x:v>2</x:v>
      </x:c>
      <x:c r="J5034" s="2" t="n">
        <x:v>3</x:v>
      </x:c>
      <x:c r="K5034" s="2" t="n">
        <x:v>3</x:v>
      </x:c>
      <x:c r="L5034" s="2" t="str">
        <x:v>At risk</x:v>
      </x:c>
    </x:row>
    <x:row r="5035" ht="22" customHeight="1">
      <x:c r="A5035" s="2"/>
      <x:c r="B5035" s="2" t="str">
        <x:v>17393</x:v>
      </x:c>
      <x:c r="C5035" s="2" t="str">
        <x:v>United Kingdom</x:v>
      </x:c>
      <x:c r="D5035" s="25" t="n">
        <x:v>40398.45347222222</x:v>
      </x:c>
      <x:c r="E5035" s="25" t="n">
        <x:v>40476.256944444445</x:v>
      </x:c>
      <x:c r="F5035" s="2" t="n">
        <x:v>411</x:v>
      </x:c>
      <x:c r="G5035" s="2" t="n">
        <x:v>2</x:v>
      </x:c>
      <x:c r="H5035" s="11" t="n">
        <x:v>381.15</x:v>
      </x:c>
      <x:c r="I5035" s="2" t="n">
        <x:v>2</x:v>
      </x:c>
      <x:c r="J5035" s="2" t="n">
        <x:v>2</x:v>
      </x:c>
      <x:c r="K5035" s="2" t="n">
        <x:v>2</x:v>
      </x:c>
      <x:c r="L5035" s="2" t="str">
        <x:v>Hibernating</x:v>
      </x:c>
    </x:row>
    <x:row r="5036" ht="22" customHeight="1">
      <x:c r="A5036" s="2"/>
      <x:c r="B5036" s="2" t="str">
        <x:v>17394</x:v>
      </x:c>
      <x:c r="C5036" s="2" t="str">
        <x:v>United Kingdom</x:v>
      </x:c>
      <x:c r="D5036" s="25" t="n">
        <x:v>40667.34861111111</x:v>
      </x:c>
      <x:c r="E5036" s="25" t="n">
        <x:v>40667.34861111111</x:v>
      </x:c>
      <x:c r="F5036" s="2" t="n">
        <x:v>220</x:v>
      </x:c>
      <x:c r="G5036" s="2" t="n">
        <x:v>1</x:v>
      </x:c>
      <x:c r="H5036" s="11" t="n">
        <x:v>203.87</x:v>
      </x:c>
      <x:c r="I5036" s="2" t="n">
        <x:v>2</x:v>
      </x:c>
      <x:c r="J5036" s="2" t="n">
        <x:v>1</x:v>
      </x:c>
      <x:c r="K5036" s="2" t="n">
        <x:v>1</x:v>
      </x:c>
      <x:c r="L5036" s="2" t="str">
        <x:v>Hibernating</x:v>
      </x:c>
    </x:row>
    <x:row r="5037" ht="22" customHeight="1">
      <x:c r="A5037" s="2"/>
      <x:c r="B5037" s="2" t="str">
        <x:v>17395</x:v>
      </x:c>
      <x:c r="C5037" s="2" t="str">
        <x:v>United Kingdom</x:v>
      </x:c>
      <x:c r="D5037" s="25" t="n">
        <x:v>40378.44027777778</x:v>
      </x:c>
      <x:c r="E5037" s="25" t="n">
        <x:v>40378.44027777778</x:v>
      </x:c>
      <x:c r="F5037" s="2" t="n">
        <x:v>509</x:v>
      </x:c>
      <x:c r="G5037" s="2" t="n">
        <x:v>1</x:v>
      </x:c>
      <x:c r="H5037" s="11" t="n">
        <x:v>97.5</x:v>
      </x:c>
      <x:c r="I5037" s="2" t="n">
        <x:v>1</x:v>
      </x:c>
      <x:c r="J5037" s="2" t="n">
        <x:v>1</x:v>
      </x:c>
      <x:c r="K5037" s="2" t="n">
        <x:v>1</x:v>
      </x:c>
      <x:c r="L5037" s="2" t="str">
        <x:v>Hibernating</x:v>
      </x:c>
    </x:row>
    <x:row r="5038" ht="22" customHeight="1">
      <x:c r="A5038" s="2"/>
      <x:c r="B5038" s="2" t="str">
        <x:v>17396</x:v>
      </x:c>
      <x:c r="C5038" s="2" t="str">
        <x:v>United Kingdom</x:v>
      </x:c>
      <x:c r="D5038" s="25" t="n">
        <x:v>40445.33611111111</x:v>
      </x:c>
      <x:c r="E5038" s="25" t="n">
        <x:v>40847.38333333333</x:v>
      </x:c>
      <x:c r="F5038" s="2" t="n">
        <x:v>40</x:v>
      </x:c>
      <x:c r="G5038" s="2" t="n">
        <x:v>14</x:v>
      </x:c>
      <x:c r="H5038" s="11" t="n">
        <x:v>8409.6</x:v>
      </x:c>
      <x:c r="I5038" s="2" t="n">
        <x:v>4</x:v>
      </x:c>
      <x:c r="J5038" s="2" t="n">
        <x:v>5</x:v>
      </x:c>
      <x:c r="K5038" s="2" t="n">
        <x:v>5</x:v>
      </x:c>
      <x:c r="L5038" s="2" t="str">
        <x:v>Champions</x:v>
      </x:c>
    </x:row>
    <x:row r="5039" ht="22" customHeight="1">
      <x:c r="A5039" s="2"/>
      <x:c r="B5039" s="2" t="str">
        <x:v>17397</x:v>
      </x:c>
      <x:c r="C5039" s="2" t="str">
        <x:v>United Kingdom</x:v>
      </x:c>
      <x:c r="D5039" s="25" t="n">
        <x:v>40470.34722222222</x:v>
      </x:c>
      <x:c r="E5039" s="25" t="n">
        <x:v>40864.38055555556</x:v>
      </x:c>
      <x:c r="F5039" s="2" t="n">
        <x:v>23</x:v>
      </x:c>
      <x:c r="G5039" s="2" t="n">
        <x:v>3</x:v>
      </x:c>
      <x:c r="H5039" s="11" t="n">
        <x:v>1233.18</x:v>
      </x:c>
      <x:c r="I5039" s="2" t="n">
        <x:v>4</x:v>
      </x:c>
      <x:c r="J5039" s="2" t="n">
        <x:v>3</x:v>
      </x:c>
      <x:c r="K5039" s="2" t="n">
        <x:v>4</x:v>
      </x:c>
      <x:c r="L5039" s="2" t="str">
        <x:v>Loyal</x:v>
      </x:c>
    </x:row>
    <x:row r="5040" ht="22" customHeight="1">
      <x:c r="A5040" s="2"/>
      <x:c r="B5040" s="2" t="str">
        <x:v>17398</x:v>
      </x:c>
      <x:c r="C5040" s="2" t="str">
        <x:v>United Kingdom</x:v>
      </x:c>
      <x:c r="D5040" s="25" t="n">
        <x:v>40631.33611111111</x:v>
      </x:c>
      <x:c r="E5040" s="25" t="n">
        <x:v>40772.2</x:v>
      </x:c>
      <x:c r="F5040" s="2" t="n">
        <x:v>115</x:v>
      </x:c>
      <x:c r="G5040" s="2" t="n">
        <x:v>3</x:v>
      </x:c>
      <x:c r="H5040" s="11" t="n">
        <x:v>653.38</x:v>
      </x:c>
      <x:c r="I5040" s="2" t="n">
        <x:v>3</x:v>
      </x:c>
      <x:c r="J5040" s="2" t="n">
        <x:v>3</x:v>
      </x:c>
      <x:c r="K5040" s="2" t="n">
        <x:v>3</x:v>
      </x:c>
      <x:c r="L5040" s="2" t="str">
        <x:v>Loyal</x:v>
      </x:c>
    </x:row>
    <x:row r="5041" ht="22" customHeight="1">
      <x:c r="A5041" s="2"/>
      <x:c r="B5041" s="2" t="str">
        <x:v>17400</x:v>
      </x:c>
      <x:c r="C5041" s="2" t="str">
        <x:v>United Kingdom</x:v>
      </x:c>
      <x:c r="D5041" s="25" t="n">
        <x:v>40164.44513888889</x:v>
      </x:c>
      <x:c r="E5041" s="25" t="n">
        <x:v>40760.44305555556</x:v>
      </x:c>
      <x:c r="F5041" s="2" t="n">
        <x:v>127</x:v>
      </x:c>
      <x:c r="G5041" s="2" t="n">
        <x:v>8</x:v>
      </x:c>
      <x:c r="H5041" s="11" t="n">
        <x:v>4677.05</x:v>
      </x:c>
      <x:c r="I5041" s="2" t="n">
        <x:v>3</x:v>
      </x:c>
      <x:c r="J5041" s="2" t="n">
        <x:v>4</x:v>
      </x:c>
      <x:c r="K5041" s="2" t="n">
        <x:v>5</x:v>
      </x:c>
      <x:c r="L5041" s="2" t="str">
        <x:v>Loyal</x:v>
      </x:c>
    </x:row>
    <x:row r="5042" ht="22" customHeight="1">
      <x:c r="A5042" s="2"/>
      <x:c r="B5042" s="2" t="str">
        <x:v>17401</x:v>
      </x:c>
      <x:c r="C5042" s="2" t="str">
        <x:v>United Kingdom</x:v>
      </x:c>
      <x:c r="D5042" s="25" t="n">
        <x:v>40345.495833333334</x:v>
      </x:c>
      <x:c r="E5042" s="25" t="n">
        <x:v>40345.495833333334</x:v>
      </x:c>
      <x:c r="F5042" s="2" t="n">
        <x:v>542</x:v>
      </x:c>
      <x:c r="G5042" s="2" t="n">
        <x:v>1</x:v>
      </x:c>
      <x:c r="H5042" s="11" t="n">
        <x:v>114.85</x:v>
      </x:c>
      <x:c r="I5042" s="2" t="n">
        <x:v>1</x:v>
      </x:c>
      <x:c r="J5042" s="2" t="n">
        <x:v>1</x:v>
      </x:c>
      <x:c r="K5042" s="2" t="n">
        <x:v>1</x:v>
      </x:c>
      <x:c r="L5042" s="2" t="str">
        <x:v>Hibernating</x:v>
      </x:c>
    </x:row>
    <x:row r="5043" ht="22" customHeight="1">
      <x:c r="A5043" s="2"/>
      <x:c r="B5043" s="2" t="str">
        <x:v>17402</x:v>
      </x:c>
      <x:c r="C5043" s="2" t="str">
        <x:v>United Kingdom</x:v>
      </x:c>
      <x:c r="D5043" s="25" t="n">
        <x:v>40163.52777777778</x:v>
      </x:c>
      <x:c r="E5043" s="25" t="n">
        <x:v>40882.21875</x:v>
      </x:c>
      <x:c r="F5043" s="2" t="n">
        <x:v>5</x:v>
      </x:c>
      <x:c r="G5043" s="2" t="n">
        <x:v>23</x:v>
      </x:c>
      <x:c r="H5043" s="11" t="n">
        <x:v>4636.21</x:v>
      </x:c>
      <x:c r="I5043" s="2" t="n">
        <x:v>5</x:v>
      </x:c>
      <x:c r="J5043" s="2" t="n">
        <x:v>5</x:v>
      </x:c>
      <x:c r="K5043" s="2" t="n">
        <x:v>5</x:v>
      </x:c>
      <x:c r="L5043" s="2" t="str">
        <x:v>Champions</x:v>
      </x:c>
    </x:row>
    <x:row r="5044" ht="22" customHeight="1">
      <x:c r="A5044" s="2"/>
      <x:c r="B5044" s="2" t="str">
        <x:v>17403</x:v>
      </x:c>
      <x:c r="C5044" s="2" t="str">
        <x:v>United Kingdom</x:v>
      </x:c>
      <x:c r="D5044" s="25" t="n">
        <x:v>40436.31180555555</x:v>
      </x:c>
      <x:c r="E5044" s="25" t="n">
        <x:v>40850.42916666667</x:v>
      </x:c>
      <x:c r="F5044" s="2" t="n">
        <x:v>37</x:v>
      </x:c>
      <x:c r="G5044" s="2" t="n">
        <x:v>2</x:v>
      </x:c>
      <x:c r="H5044" s="11" t="n">
        <x:v>400.57</x:v>
      </x:c>
      <x:c r="I5044" s="2" t="n">
        <x:v>4</x:v>
      </x:c>
      <x:c r="J5044" s="2" t="n">
        <x:v>2</x:v>
      </x:c>
      <x:c r="K5044" s="2" t="n">
        <x:v>2</x:v>
      </x:c>
      <x:c r="L5044" s="2" t="str">
        <x:v>Recent light buyers</x:v>
      </x:c>
    </x:row>
    <x:row r="5045" ht="22" customHeight="1">
      <x:c r="A5045" s="2"/>
      <x:c r="B5045" s="2" t="str">
        <x:v>17404</x:v>
      </x:c>
      <x:c r="C5045" s="2" t="str">
        <x:v>Sweden</x:v>
      </x:c>
      <x:c r="D5045" s="25" t="n">
        <x:v>40185.271527777775</x:v>
      </x:c>
      <x:c r="E5045" s="25" t="n">
        <x:v>40882.47638888889</x:v>
      </x:c>
      <x:c r="F5045" s="2" t="n">
        <x:v>5</x:v>
      </x:c>
      <x:c r="G5045" s="2" t="n">
        <x:v>23</x:v>
      </x:c>
      <x:c r="H5045" s="11" t="n">
        <x:v>47781.12</x:v>
      </x:c>
      <x:c r="I5045" s="2" t="n">
        <x:v>5</x:v>
      </x:c>
      <x:c r="J5045" s="2" t="n">
        <x:v>5</x:v>
      </x:c>
      <x:c r="K5045" s="2" t="n">
        <x:v>5</x:v>
      </x:c>
      <x:c r="L5045" s="2" t="str">
        <x:v>Champions</x:v>
      </x:c>
    </x:row>
    <x:row r="5046" ht="22" customHeight="1">
      <x:c r="A5046" s="2"/>
      <x:c r="B5046" s="2" t="str">
        <x:v>17405</x:v>
      </x:c>
      <x:c r="C5046" s="2" t="str">
        <x:v>United Kingdom</x:v>
      </x:c>
      <x:c r="D5046" s="25" t="n">
        <x:v>40736.38680555556</x:v>
      </x:c>
      <x:c r="E5046" s="25" t="n">
        <x:v>40885.50833333333</x:v>
      </x:c>
      <x:c r="F5046" s="2" t="n">
        <x:v>2</x:v>
      </x:c>
      <x:c r="G5046" s="2" t="n">
        <x:v>3</x:v>
      </x:c>
      <x:c r="H5046" s="11" t="n">
        <x:v>1031.41</x:v>
      </x:c>
      <x:c r="I5046" s="2" t="n">
        <x:v>5</x:v>
      </x:c>
      <x:c r="J5046" s="2" t="n">
        <x:v>3</x:v>
      </x:c>
      <x:c r="K5046" s="2" t="n">
        <x:v>3</x:v>
      </x:c>
      <x:c r="L5046" s="2" t="str">
        <x:v>Loyal</x:v>
      </x:c>
    </x:row>
    <x:row r="5047" ht="22" customHeight="1">
      <x:c r="A5047" s="2"/>
      <x:c r="B5047" s="2" t="str">
        <x:v>17406</x:v>
      </x:c>
      <x:c r="C5047" s="2" t="str">
        <x:v>United Kingdom</x:v>
      </x:c>
      <x:c r="D5047" s="25" t="n">
        <x:v>40153.364583333336</x:v>
      </x:c>
      <x:c r="E5047" s="25" t="n">
        <x:v>40553.42152777778</x:v>
      </x:c>
      <x:c r="F5047" s="2" t="n">
        <x:v>334</x:v>
      </x:c>
      <x:c r="G5047" s="2" t="n">
        <x:v>13</x:v>
      </x:c>
      <x:c r="H5047" s="11" t="n">
        <x:v>4202.95</x:v>
      </x:c>
      <x:c r="I5047" s="2" t="n">
        <x:v>2</x:v>
      </x:c>
      <x:c r="J5047" s="2" t="n">
        <x:v>5</x:v>
      </x:c>
      <x:c r="K5047" s="2" t="n">
        <x:v>5</x:v>
      </x:c>
      <x:c r="L5047" s="2" t="str">
        <x:v>At risk</x:v>
      </x:c>
    </x:row>
    <x:row r="5048" ht="22" customHeight="1">
      <x:c r="A5048" s="2"/>
      <x:c r="B5048" s="2" t="str">
        <x:v>17407</x:v>
      </x:c>
      <x:c r="C5048" s="2" t="str">
        <x:v>United Kingdom</x:v>
      </x:c>
      <x:c r="D5048" s="25" t="n">
        <x:v>40475.28958333333</x:v>
      </x:c>
      <x:c r="E5048" s="25" t="n">
        <x:v>40475.28958333333</x:v>
      </x:c>
      <x:c r="F5048" s="2" t="n">
        <x:v>412</x:v>
      </x:c>
      <x:c r="G5048" s="2" t="n">
        <x:v>1</x:v>
      </x:c>
      <x:c r="H5048" s="11" t="n">
        <x:v>552.9</x:v>
      </x:c>
      <x:c r="I5048" s="2" t="n">
        <x:v>1</x:v>
      </x:c>
      <x:c r="J5048" s="2" t="n">
        <x:v>1</x:v>
      </x:c>
      <x:c r="K5048" s="2" t="n">
        <x:v>2</x:v>
      </x:c>
      <x:c r="L5048" s="2" t="str">
        <x:v>Hibernating</x:v>
      </x:c>
    </x:row>
    <x:row r="5049" ht="22" customHeight="1">
      <x:c r="A5049" s="2"/>
      <x:c r="B5049" s="2" t="str">
        <x:v>17408</x:v>
      </x:c>
      <x:c r="C5049" s="2" t="str">
        <x:v>United Kingdom</x:v>
      </x:c>
      <x:c r="D5049" s="25" t="n">
        <x:v>40372.376388888886</x:v>
      </x:c>
      <x:c r="E5049" s="25" t="n">
        <x:v>40723.32847222222</x:v>
      </x:c>
      <x:c r="F5049" s="2" t="n">
        <x:v>164</x:v>
      </x:c>
      <x:c r="G5049" s="2" t="n">
        <x:v>3</x:v>
      </x:c>
      <x:c r="H5049" s="11" t="n">
        <x:v>316.09</x:v>
      </x:c>
      <x:c r="I5049" s="2" t="n">
        <x:v>3</x:v>
      </x:c>
      <x:c r="J5049" s="2" t="n">
        <x:v>3</x:v>
      </x:c>
      <x:c r="K5049" s="2" t="n">
        <x:v>2</x:v>
      </x:c>
      <x:c r="L5049" s="2" t="str">
        <x:v>Loyal</x:v>
      </x:c>
    </x:row>
    <x:row r="5050" ht="22" customHeight="1">
      <x:c r="A5050" s="2"/>
      <x:c r="B5050" s="2" t="str">
        <x:v>17409</x:v>
      </x:c>
      <x:c r="C5050" s="2" t="str">
        <x:v>United Kingdom</x:v>
      </x:c>
      <x:c r="D5050" s="25" t="n">
        <x:v>40158.30347222222</x:v>
      </x:c>
      <x:c r="E5050" s="25" t="n">
        <x:v>40702.23333333333</x:v>
      </x:c>
      <x:c r="F5050" s="2" t="n">
        <x:v>185</x:v>
      </x:c>
      <x:c r="G5050" s="2" t="n">
        <x:v>10</x:v>
      </x:c>
      <x:c r="H5050" s="11" t="n">
        <x:v>7793.51</x:v>
      </x:c>
      <x:c r="I5050" s="2" t="n">
        <x:v>3</x:v>
      </x:c>
      <x:c r="J5050" s="2" t="n">
        <x:v>5</x:v>
      </x:c>
      <x:c r="K5050" s="2" t="n">
        <x:v>5</x:v>
      </x:c>
      <x:c r="L5050" s="2" t="str">
        <x:v>Loyal</x:v>
      </x:c>
    </x:row>
    <x:row r="5051" ht="22" customHeight="1">
      <x:c r="A5051" s="2"/>
      <x:c r="B5051" s="2" t="str">
        <x:v>17410</x:v>
      </x:c>
      <x:c r="C5051" s="2" t="str">
        <x:v>United Kingdom</x:v>
      </x:c>
      <x:c r="D5051" s="25" t="n">
        <x:v>40671.43125</x:v>
      </x:c>
      <x:c r="E5051" s="25" t="n">
        <x:v>40870.44861111111</x:v>
      </x:c>
      <x:c r="F5051" s="2" t="n">
        <x:v>17</x:v>
      </x:c>
      <x:c r="G5051" s="2" t="n">
        <x:v>5</x:v>
      </x:c>
      <x:c r="H5051" s="11" t="n">
        <x:v>1214.72</x:v>
      </x:c>
      <x:c r="I5051" s="2" t="n">
        <x:v>5</x:v>
      </x:c>
      <x:c r="J5051" s="2" t="n">
        <x:v>4</x:v>
      </x:c>
      <x:c r="K5051" s="2" t="n">
        <x:v>3</x:v>
      </x:c>
      <x:c r="L5051" s="2" t="str">
        <x:v>Loyal</x:v>
      </x:c>
    </x:row>
    <x:row r="5052" ht="22" customHeight="1">
      <x:c r="A5052" s="2"/>
      <x:c r="B5052" s="2" t="str">
        <x:v>17411</x:v>
      </x:c>
      <x:c r="C5052" s="2" t="str">
        <x:v>United Kingdom</x:v>
      </x:c>
      <x:c r="D5052" s="25" t="n">
        <x:v>40150.29305555556</x:v>
      </x:c>
      <x:c r="E5052" s="25" t="n">
        <x:v>40874.39236111111</x:v>
      </x:c>
      <x:c r="F5052" s="2" t="n">
        <x:v>13</x:v>
      </x:c>
      <x:c r="G5052" s="2" t="n">
        <x:v>5</x:v>
      </x:c>
      <x:c r="H5052" s="11" t="n">
        <x:v>1425.38</x:v>
      </x:c>
      <x:c r="I5052" s="2" t="n">
        <x:v>5</x:v>
      </x:c>
      <x:c r="J5052" s="2" t="n">
        <x:v>4</x:v>
      </x:c>
      <x:c r="K5052" s="2" t="n">
        <x:v>4</x:v>
      </x:c>
      <x:c r="L5052" s="2" t="str">
        <x:v>Champions</x:v>
      </x:c>
    </x:row>
    <x:row r="5053" ht="22" customHeight="1">
      <x:c r="A5053" s="2"/>
      <x:c r="B5053" s="2" t="str">
        <x:v>17412</x:v>
      </x:c>
      <x:c r="C5053" s="2" t="str">
        <x:v>United Kingdom</x:v>
      </x:c>
      <x:c r="D5053" s="25" t="n">
        <x:v>40149.36875</x:v>
      </x:c>
      <x:c r="E5053" s="25" t="n">
        <x:v>40884.275</x:v>
      </x:c>
      <x:c r="F5053" s="2" t="n">
        <x:v>3</x:v>
      </x:c>
      <x:c r="G5053" s="2" t="n">
        <x:v>16</x:v>
      </x:c>
      <x:c r="H5053" s="11" t="n">
        <x:v>4220.22</x:v>
      </x:c>
      <x:c r="I5053" s="2" t="n">
        <x:v>5</x:v>
      </x:c>
      <x:c r="J5053" s="2" t="n">
        <x:v>5</x:v>
      </x:c>
      <x:c r="K5053" s="2" t="n">
        <x:v>5</x:v>
      </x:c>
      <x:c r="L5053" s="2" t="str">
        <x:v>Champions</x:v>
      </x:c>
    </x:row>
    <x:row r="5054" ht="22" customHeight="1">
      <x:c r="A5054" s="2"/>
      <x:c r="B5054" s="2" t="str">
        <x:v>17413</x:v>
      </x:c>
      <x:c r="C5054" s="2" t="str">
        <x:v>United Kingdom</x:v>
      </x:c>
      <x:c r="D5054" s="25" t="n">
        <x:v>40317.25763888889</x:v>
      </x:c>
      <x:c r="E5054" s="25" t="n">
        <x:v>40482.31458333333</x:v>
      </x:c>
      <x:c r="F5054" s="2" t="n">
        <x:v>405</x:v>
      </x:c>
      <x:c r="G5054" s="2" t="n">
        <x:v>2</x:v>
      </x:c>
      <x:c r="H5054" s="11" t="n">
        <x:v>560.14</x:v>
      </x:c>
      <x:c r="I5054" s="2" t="n">
        <x:v>2</x:v>
      </x:c>
      <x:c r="J5054" s="2" t="n">
        <x:v>2</x:v>
      </x:c>
      <x:c r="K5054" s="2" t="n">
        <x:v>2</x:v>
      </x:c>
      <x:c r="L5054" s="2" t="str">
        <x:v>Hibernating</x:v>
      </x:c>
    </x:row>
    <x:row r="5055" ht="22" customHeight="1">
      <x:c r="A5055" s="2"/>
      <x:c r="B5055" s="2" t="str">
        <x:v>17414</x:v>
      </x:c>
      <x:c r="C5055" s="2" t="str">
        <x:v>United Kingdom</x:v>
      </x:c>
      <x:c r="D5055" s="25" t="n">
        <x:v>40150.49236111111</x:v>
      </x:c>
      <x:c r="E5055" s="25" t="n">
        <x:v>40843.30069444444</x:v>
      </x:c>
      <x:c r="F5055" s="2" t="n">
        <x:v>44</x:v>
      </x:c>
      <x:c r="G5055" s="2" t="n">
        <x:v>6</x:v>
      </x:c>
      <x:c r="H5055" s="11" t="n">
        <x:v>2249.52</x:v>
      </x:c>
      <x:c r="I5055" s="2" t="n">
        <x:v>4</x:v>
      </x:c>
      <x:c r="J5055" s="2" t="n">
        <x:v>4</x:v>
      </x:c>
      <x:c r="K5055" s="2" t="n">
        <x:v>4</x:v>
      </x:c>
      <x:c r="L5055" s="2" t="str">
        <x:v>Champions</x:v>
      </x:c>
    </x:row>
    <x:row r="5056" ht="22" customHeight="1">
      <x:c r="A5056" s="2"/>
      <x:c r="B5056" s="2" t="str">
        <x:v>17415</x:v>
      </x:c>
      <x:c r="C5056" s="2" t="str">
        <x:v>United Kingdom</x:v>
      </x:c>
      <x:c r="D5056" s="25" t="n">
        <x:v>40807.32638888889</x:v>
      </x:c>
      <x:c r="E5056" s="25" t="n">
        <x:v>40807.32638888889</x:v>
      </x:c>
      <x:c r="F5056" s="2" t="n">
        <x:v>80</x:v>
      </x:c>
      <x:c r="G5056" s="2" t="n">
        <x:v>1</x:v>
      </x:c>
      <x:c r="H5056" s="11" t="n">
        <x:v>507.84</x:v>
      </x:c>
      <x:c r="I5056" s="2" t="n">
        <x:v>3</x:v>
      </x:c>
      <x:c r="J5056" s="2" t="n">
        <x:v>1</x:v>
      </x:c>
      <x:c r="K5056" s="2" t="n">
        <x:v>2</x:v>
      </x:c>
      <x:c r="L5056" s="2" t="str">
        <x:v>Developing</x:v>
      </x:c>
    </x:row>
    <x:row r="5057" ht="22" customHeight="1">
      <x:c r="A5057" s="2"/>
      <x:c r="B5057" s="2" t="str">
        <x:v>17416</x:v>
      </x:c>
      <x:c r="C5057" s="2" t="str">
        <x:v>United Kingdom</x:v>
      </x:c>
      <x:c r="D5057" s="25" t="n">
        <x:v>40161.478472222225</x:v>
      </x:c>
      <x:c r="E5057" s="25" t="n">
        <x:v>40857.32430555556</x:v>
      </x:c>
      <x:c r="F5057" s="2" t="n">
        <x:v>30</x:v>
      </x:c>
      <x:c r="G5057" s="2" t="n">
        <x:v>22</x:v>
      </x:c>
      <x:c r="H5057" s="11" t="n">
        <x:v>17298.45</x:v>
      </x:c>
      <x:c r="I5057" s="2" t="n">
        <x:v>4</x:v>
      </x:c>
      <x:c r="J5057" s="2" t="n">
        <x:v>5</x:v>
      </x:c>
      <x:c r="K5057" s="2" t="n">
        <x:v>5</x:v>
      </x:c>
      <x:c r="L5057" s="2" t="str">
        <x:v>Champions</x:v>
      </x:c>
    </x:row>
    <x:row r="5058" ht="22" customHeight="1">
      <x:c r="A5058" s="2"/>
      <x:c r="B5058" s="2" t="str">
        <x:v>17417</x:v>
      </x:c>
      <x:c r="C5058" s="2" t="str">
        <x:v>United Kingdom</x:v>
      </x:c>
      <x:c r="D5058" s="25" t="n">
        <x:v>40338.208333333336</x:v>
      </x:c>
      <x:c r="E5058" s="25" t="n">
        <x:v>40338.208333333336</x:v>
      </x:c>
      <x:c r="F5058" s="2" t="n">
        <x:v>549</x:v>
      </x:c>
      <x:c r="G5058" s="2" t="n">
        <x:v>1</x:v>
      </x:c>
      <x:c r="H5058" s="11" t="n">
        <x:v>164.18</x:v>
      </x:c>
      <x:c r="I5058" s="2" t="n">
        <x:v>1</x:v>
      </x:c>
      <x:c r="J5058" s="2" t="n">
        <x:v>1</x:v>
      </x:c>
      <x:c r="K5058" s="2" t="n">
        <x:v>1</x:v>
      </x:c>
      <x:c r="L5058" s="2" t="str">
        <x:v>Hibernating</x:v>
      </x:c>
    </x:row>
    <x:row r="5059" ht="22" customHeight="1">
      <x:c r="A5059" s="2"/>
      <x:c r="B5059" s="2" t="str">
        <x:v>17418</x:v>
      </x:c>
      <x:c r="C5059" s="2" t="str">
        <x:v>United Kingdom</x:v>
      </x:c>
      <x:c r="D5059" s="25" t="n">
        <x:v>40499.3625</x:v>
      </x:c>
      <x:c r="E5059" s="25" t="n">
        <x:v>40844.333333333336</x:v>
      </x:c>
      <x:c r="F5059" s="2" t="n">
        <x:v>43</x:v>
      </x:c>
      <x:c r="G5059" s="2" t="n">
        <x:v>3</x:v>
      </x:c>
      <x:c r="H5059" s="11" t="n">
        <x:v>670.06</x:v>
      </x:c>
      <x:c r="I5059" s="2" t="n">
        <x:v>4</x:v>
      </x:c>
      <x:c r="J5059" s="2" t="n">
        <x:v>3</x:v>
      </x:c>
      <x:c r="K5059" s="2" t="n">
        <x:v>3</x:v>
      </x:c>
      <x:c r="L5059" s="2" t="str">
        <x:v>Loyal</x:v>
      </x:c>
    </x:row>
    <x:row r="5060" ht="22" customHeight="1">
      <x:c r="A5060" s="2"/>
      <x:c r="B5060" s="2" t="str">
        <x:v>17419</x:v>
      </x:c>
      <x:c r="C5060" s="2" t="str">
        <x:v>United Kingdom</x:v>
      </x:c>
      <x:c r="D5060" s="25" t="n">
        <x:v>40203.34652777778</x:v>
      </x:c>
      <x:c r="E5060" s="25" t="n">
        <x:v>40875.36597222222</x:v>
      </x:c>
      <x:c r="F5060" s="2" t="n">
        <x:v>12</x:v>
      </x:c>
      <x:c r="G5060" s="2" t="n">
        <x:v>18</x:v>
      </x:c>
      <x:c r="H5060" s="11" t="n">
        <x:v>6126.25</x:v>
      </x:c>
      <x:c r="I5060" s="2" t="n">
        <x:v>5</x:v>
      </x:c>
      <x:c r="J5060" s="2" t="n">
        <x:v>5</x:v>
      </x:c>
      <x:c r="K5060" s="2" t="n">
        <x:v>5</x:v>
      </x:c>
      <x:c r="L5060" s="2" t="str">
        <x:v>Champions</x:v>
      </x:c>
    </x:row>
    <x:row r="5061" ht="22" customHeight="1">
      <x:c r="A5061" s="2"/>
      <x:c r="B5061" s="2" t="str">
        <x:v>17420</x:v>
      </x:c>
      <x:c r="C5061" s="2" t="str">
        <x:v>United Kingdom</x:v>
      </x:c>
      <x:c r="D5061" s="25" t="n">
        <x:v>40485.339583333334</x:v>
      </x:c>
      <x:c r="E5061" s="25" t="n">
        <x:v>40836.41111111111</x:v>
      </x:c>
      <x:c r="F5061" s="2" t="n">
        <x:v>51</x:v>
      </x:c>
      <x:c r="G5061" s="2" t="n">
        <x:v>6</x:v>
      </x:c>
      <x:c r="H5061" s="11" t="n">
        <x:v>953.58</x:v>
      </x:c>
      <x:c r="I5061" s="2" t="n">
        <x:v>4</x:v>
      </x:c>
      <x:c r="J5061" s="2" t="n">
        <x:v>4</x:v>
      </x:c>
      <x:c r="K5061" s="2" t="n">
        <x:v>3</x:v>
      </x:c>
      <x:c r="L5061" s="2" t="str">
        <x:v>Loyal</x:v>
      </x:c>
    </x:row>
    <x:row r="5062" ht="22" customHeight="1">
      <x:c r="A5062" s="2"/>
      <x:c r="B5062" s="2" t="str">
        <x:v>17421</x:v>
      </x:c>
      <x:c r="C5062" s="2" t="str">
        <x:v>United Kingdom</x:v>
      </x:c>
      <x:c r="D5062" s="25" t="n">
        <x:v>40151.44652777778</x:v>
      </x:c>
      <x:c r="E5062" s="25" t="n">
        <x:v>40500.49791666667</x:v>
      </x:c>
      <x:c r="F5062" s="2" t="n">
        <x:v>387</x:v>
      </x:c>
      <x:c r="G5062" s="2" t="n">
        <x:v>3</x:v>
      </x:c>
      <x:c r="H5062" s="11" t="n">
        <x:v>1059.41</x:v>
      </x:c>
      <x:c r="I5062" s="2" t="n">
        <x:v>2</x:v>
      </x:c>
      <x:c r="J5062" s="2" t="n">
        <x:v>3</x:v>
      </x:c>
      <x:c r="K5062" s="2" t="n">
        <x:v>3</x:v>
      </x:c>
      <x:c r="L5062" s="2" t="str">
        <x:v>At risk</x:v>
      </x:c>
    </x:row>
    <x:row r="5063" ht="22" customHeight="1">
      <x:c r="A5063" s="2"/>
      <x:c r="B5063" s="2" t="str">
        <x:v>17422</x:v>
      </x:c>
      <x:c r="C5063" s="2" t="str">
        <x:v>United Kingdom</x:v>
      </x:c>
      <x:c r="D5063" s="25" t="n">
        <x:v>40352.22152777778</x:v>
      </x:c>
      <x:c r="E5063" s="25" t="n">
        <x:v>40870.35208333333</x:v>
      </x:c>
      <x:c r="F5063" s="2" t="n">
        <x:v>17</x:v>
      </x:c>
      <x:c r="G5063" s="2" t="n">
        <x:v>11</x:v>
      </x:c>
      <x:c r="H5063" s="11" t="n">
        <x:v>3594.76</x:v>
      </x:c>
      <x:c r="I5063" s="2" t="n">
        <x:v>5</x:v>
      </x:c>
      <x:c r="J5063" s="2" t="n">
        <x:v>5</x:v>
      </x:c>
      <x:c r="K5063" s="2" t="n">
        <x:v>5</x:v>
      </x:c>
      <x:c r="L5063" s="2" t="str">
        <x:v>Champions</x:v>
      </x:c>
    </x:row>
    <x:row r="5064" ht="22" customHeight="1">
      <x:c r="A5064" s="2"/>
      <x:c r="B5064" s="2" t="str">
        <x:v>17423</x:v>
      </x:c>
      <x:c r="C5064" s="2" t="str">
        <x:v>United Kingdom</x:v>
      </x:c>
      <x:c r="D5064" s="25" t="n">
        <x:v>40493.30972222222</x:v>
      </x:c>
      <x:c r="E5064" s="25" t="n">
        <x:v>40840.35833333333</x:v>
      </x:c>
      <x:c r="F5064" s="2" t="n">
        <x:v>47</x:v>
      </x:c>
      <x:c r="G5064" s="2" t="n">
        <x:v>3</x:v>
      </x:c>
      <x:c r="H5064" s="11" t="n">
        <x:v>1118.95</x:v>
      </x:c>
      <x:c r="I5064" s="2" t="n">
        <x:v>4</x:v>
      </x:c>
      <x:c r="J5064" s="2" t="n">
        <x:v>3</x:v>
      </x:c>
      <x:c r="K5064" s="2" t="n">
        <x:v>3</x:v>
      </x:c>
      <x:c r="L5064" s="2" t="str">
        <x:v>Loyal</x:v>
      </x:c>
    </x:row>
    <x:row r="5065" ht="22" customHeight="1">
      <x:c r="A5065" s="2"/>
      <x:c r="B5065" s="2" t="str">
        <x:v>17425</x:v>
      </x:c>
      <x:c r="C5065" s="2" t="str">
        <x:v>United Kingdom</x:v>
      </x:c>
      <x:c r="D5065" s="25" t="n">
        <x:v>40826.27569444444</x:v>
      </x:c>
      <x:c r="E5065" s="25" t="n">
        <x:v>40867.4375</x:v>
      </x:c>
      <x:c r="F5065" s="2" t="n">
        <x:v>20</x:v>
      </x:c>
      <x:c r="G5065" s="2" t="n">
        <x:v>2</x:v>
      </x:c>
      <x:c r="H5065" s="11" t="n">
        <x:v>759.17</x:v>
      </x:c>
      <x:c r="I5065" s="2" t="n">
        <x:v>5</x:v>
      </x:c>
      <x:c r="J5065" s="2" t="n">
        <x:v>2</x:v>
      </x:c>
      <x:c r="K5065" s="2" t="n">
        <x:v>3</x:v>
      </x:c>
      <x:c r="L5065" s="2" t="str">
        <x:v>Recent light buyers</x:v>
      </x:c>
    </x:row>
    <x:row r="5066" ht="22" customHeight="1">
      <x:c r="A5066" s="2"/>
      <x:c r="B5066" s="2" t="str">
        <x:v>17426</x:v>
      </x:c>
      <x:c r="C5066" s="2" t="str">
        <x:v>United Kingdom</x:v>
      </x:c>
      <x:c r="D5066" s="25" t="n">
        <x:v>40226.36041666667</x:v>
      </x:c>
      <x:c r="E5066" s="25" t="n">
        <x:v>40878.54652777778</x:v>
      </x:c>
      <x:c r="F5066" s="2" t="n">
        <x:v>9</x:v>
      </x:c>
      <x:c r="G5066" s="2" t="n">
        <x:v>13</x:v>
      </x:c>
      <x:c r="H5066" s="11" t="n">
        <x:v>8077.77</x:v>
      </x:c>
      <x:c r="I5066" s="2" t="n">
        <x:v>5</x:v>
      </x:c>
      <x:c r="J5066" s="2" t="n">
        <x:v>5</x:v>
      </x:c>
      <x:c r="K5066" s="2" t="n">
        <x:v>5</x:v>
      </x:c>
      <x:c r="L5066" s="2" t="str">
        <x:v>Champions</x:v>
      </x:c>
    </x:row>
    <x:row r="5067" ht="22" customHeight="1">
      <x:c r="A5067" s="2"/>
      <x:c r="B5067" s="2" t="str">
        <x:v>17427</x:v>
      </x:c>
      <x:c r="C5067" s="2" t="str">
        <x:v>United Kingdom</x:v>
      </x:c>
      <x:c r="D5067" s="25" t="n">
        <x:v>40815.27013888889</x:v>
      </x:c>
      <x:c r="E5067" s="25" t="n">
        <x:v>40815.27013888889</x:v>
      </x:c>
      <x:c r="F5067" s="2" t="n">
        <x:v>72</x:v>
      </x:c>
      <x:c r="G5067" s="2" t="n">
        <x:v>1</x:v>
      </x:c>
      <x:c r="H5067" s="11" t="n">
        <x:v>100.8</x:v>
      </x:c>
      <x:c r="I5067" s="2" t="n">
        <x:v>3</x:v>
      </x:c>
      <x:c r="J5067" s="2" t="n">
        <x:v>1</x:v>
      </x:c>
      <x:c r="K5067" s="2" t="n">
        <x:v>1</x:v>
      </x:c>
      <x:c r="L5067" s="2" t="str">
        <x:v>Developing</x:v>
      </x:c>
    </x:row>
    <x:row r="5068" ht="22" customHeight="1">
      <x:c r="A5068" s="2"/>
      <x:c r="B5068" s="2" t="str">
        <x:v>17428</x:v>
      </x:c>
      <x:c r="C5068" s="2" t="str">
        <x:v>United Kingdom</x:v>
      </x:c>
      <x:c r="D5068" s="25" t="n">
        <x:v>40148.51944444444</x:v>
      </x:c>
      <x:c r="E5068" s="25" t="n">
        <x:v>40886.197916666664</x:v>
      </x:c>
      <x:c r="F5068" s="2" t="n">
        <x:v>1</x:v>
      </x:c>
      <x:c r="G5068" s="2" t="n">
        <x:v>45</x:v>
      </x:c>
      <x:c r="H5068" s="11" t="n">
        <x:v>31466.76</x:v>
      </x:c>
      <x:c r="I5068" s="2" t="n">
        <x:v>5</x:v>
      </x:c>
      <x:c r="J5068" s="2" t="n">
        <x:v>5</x:v>
      </x:c>
      <x:c r="K5068" s="2" t="n">
        <x:v>5</x:v>
      </x:c>
      <x:c r="L5068" s="2" t="str">
        <x:v>Champions</x:v>
      </x:c>
    </x:row>
    <x:row r="5069" ht="22" customHeight="1">
      <x:c r="A5069" s="2"/>
      <x:c r="B5069" s="2" t="str">
        <x:v>17429</x:v>
      </x:c>
      <x:c r="C5069" s="2" t="str">
        <x:v>United Kingdom</x:v>
      </x:c>
      <x:c r="D5069" s="25" t="n">
        <x:v>40457.3125</x:v>
      </x:c>
      <x:c r="E5069" s="25" t="n">
        <x:v>40758.34861111111</x:v>
      </x:c>
      <x:c r="F5069" s="2" t="n">
        <x:v>129</x:v>
      </x:c>
      <x:c r="G5069" s="2" t="n">
        <x:v>5</x:v>
      </x:c>
      <x:c r="H5069" s="11" t="n">
        <x:v>1357.46</x:v>
      </x:c>
      <x:c r="I5069" s="2" t="n">
        <x:v>3</x:v>
      </x:c>
      <x:c r="J5069" s="2" t="n">
        <x:v>4</x:v>
      </x:c>
      <x:c r="K5069" s="2" t="n">
        <x:v>4</x:v>
      </x:c>
      <x:c r="L5069" s="2" t="str">
        <x:v>Loyal</x:v>
      </x:c>
    </x:row>
    <x:row r="5070" ht="22" customHeight="1">
      <x:c r="A5070" s="2"/>
      <x:c r="B5070" s="2" t="str">
        <x:v>17430</x:v>
      </x:c>
      <x:c r="C5070" s="2" t="str">
        <x:v>United Kingdom</x:v>
      </x:c>
      <x:c r="D5070" s="25" t="n">
        <x:v>40407.28611111111</x:v>
      </x:c>
      <x:c r="E5070" s="25" t="n">
        <x:v>40854.183333333334</x:v>
      </x:c>
      <x:c r="F5070" s="2" t="n">
        <x:v>33</x:v>
      </x:c>
      <x:c r="G5070" s="2" t="n">
        <x:v>4</x:v>
      </x:c>
      <x:c r="H5070" s="11" t="n">
        <x:v>622.57</x:v>
      </x:c>
      <x:c r="I5070" s="2" t="n">
        <x:v>4</x:v>
      </x:c>
      <x:c r="J5070" s="2" t="n">
        <x:v>3</x:v>
      </x:c>
      <x:c r="K5070" s="2" t="n">
        <x:v>3</x:v>
      </x:c>
      <x:c r="L5070" s="2" t="str">
        <x:v>Loyal</x:v>
      </x:c>
    </x:row>
    <x:row r="5071" ht="22" customHeight="1">
      <x:c r="A5071" s="2"/>
      <x:c r="B5071" s="2" t="str">
        <x:v>17431</x:v>
      </x:c>
      <x:c r="C5071" s="2" t="str">
        <x:v>United Kingdom</x:v>
      </x:c>
      <x:c r="D5071" s="25" t="n">
        <x:v>40573.4</x:v>
      </x:c>
      <x:c r="E5071" s="25" t="n">
        <x:v>40573.4</x:v>
      </x:c>
      <x:c r="F5071" s="2" t="n">
        <x:v>314</x:v>
      </x:c>
      <x:c r="G5071" s="2" t="n">
        <x:v>1</x:v>
      </x:c>
      <x:c r="H5071" s="11" t="n">
        <x:v>403.3</x:v>
      </x:c>
      <x:c r="I5071" s="2" t="n">
        <x:v>2</x:v>
      </x:c>
      <x:c r="J5071" s="2" t="n">
        <x:v>1</x:v>
      </x:c>
      <x:c r="K5071" s="2" t="n">
        <x:v>2</x:v>
      </x:c>
      <x:c r="L5071" s="2" t="str">
        <x:v>Hibernating</x:v>
      </x:c>
    </x:row>
    <x:row r="5072" ht="22" customHeight="1">
      <x:c r="A5072" s="2"/>
      <x:c r="B5072" s="2" t="str">
        <x:v>17432</x:v>
      </x:c>
      <x:c r="C5072" s="2" t="str">
        <x:v>United Kingdom</x:v>
      </x:c>
      <x:c r="D5072" s="25" t="n">
        <x:v>40150.592361111114</x:v>
      </x:c>
      <x:c r="E5072" s="25" t="n">
        <x:v>40868.52291666667</x:v>
      </x:c>
      <x:c r="F5072" s="2" t="n">
        <x:v>19</x:v>
      </x:c>
      <x:c r="G5072" s="2" t="n">
        <x:v>9</x:v>
      </x:c>
      <x:c r="H5072" s="11" t="n">
        <x:v>1751.39</x:v>
      </x:c>
      <x:c r="I5072" s="2" t="n">
        <x:v>5</x:v>
      </x:c>
      <x:c r="J5072" s="2" t="n">
        <x:v>5</x:v>
      </x:c>
      <x:c r="K5072" s="2" t="n">
        <x:v>4</x:v>
      </x:c>
      <x:c r="L5072" s="2" t="str">
        <x:v>Champions</x:v>
      </x:c>
    </x:row>
    <x:row r="5073" ht="22" customHeight="1">
      <x:c r="A5073" s="2"/>
      <x:c r="B5073" s="2" t="str">
        <x:v>17433</x:v>
      </x:c>
      <x:c r="C5073" s="2" t="str">
        <x:v>United Kingdom</x:v>
      </x:c>
      <x:c r="D5073" s="25" t="n">
        <x:v>40501.35902777778</x:v>
      </x:c>
      <x:c r="E5073" s="25" t="n">
        <x:v>40798.39166666667</x:v>
      </x:c>
      <x:c r="F5073" s="2" t="n">
        <x:v>89</x:v>
      </x:c>
      <x:c r="G5073" s="2" t="n">
        <x:v>2</x:v>
      </x:c>
      <x:c r="H5073" s="11" t="n">
        <x:v>569.96</x:v>
      </x:c>
      <x:c r="I5073" s="2" t="n">
        <x:v>3</x:v>
      </x:c>
      <x:c r="J5073" s="2" t="n">
        <x:v>2</x:v>
      </x:c>
      <x:c r="K5073" s="2" t="n">
        <x:v>2</x:v>
      </x:c>
      <x:c r="L5073" s="2" t="str">
        <x:v>Developing</x:v>
      </x:c>
    </x:row>
    <x:row r="5074" ht="22" customHeight="1">
      <x:c r="A5074" s="2"/>
      <x:c r="B5074" s="2" t="str">
        <x:v>17434</x:v>
      </x:c>
      <x:c r="C5074" s="2" t="str">
        <x:v>United Kingdom</x:v>
      </x:c>
      <x:c r="D5074" s="25" t="n">
        <x:v>40801.370833333334</x:v>
      </x:c>
      <x:c r="E5074" s="25" t="n">
        <x:v>40884.34444444445</x:v>
      </x:c>
      <x:c r="F5074" s="2" t="n">
        <x:v>3</x:v>
      </x:c>
      <x:c r="G5074" s="2" t="n">
        <x:v>7</x:v>
      </x:c>
      <x:c r="H5074" s="11" t="n">
        <x:v>2373.82</x:v>
      </x:c>
      <x:c r="I5074" s="2" t="n">
        <x:v>5</x:v>
      </x:c>
      <x:c r="J5074" s="2" t="n">
        <x:v>4</x:v>
      </x:c>
      <x:c r="K5074" s="2" t="n">
        <x:v>4</x:v>
      </x:c>
      <x:c r="L5074" s="2" t="str">
        <x:v>Champions</x:v>
      </x:c>
    </x:row>
    <x:row r="5075" ht="22" customHeight="1">
      <x:c r="A5075" s="2"/>
      <x:c r="B5075" s="2" t="str">
        <x:v>17435</x:v>
      </x:c>
      <x:c r="C5075" s="2" t="str">
        <x:v>United Kingdom</x:v>
      </x:c>
      <x:c r="D5075" s="25" t="n">
        <x:v>40475.37152777778</x:v>
      </x:c>
      <x:c r="E5075" s="25" t="n">
        <x:v>40475.37152777778</x:v>
      </x:c>
      <x:c r="F5075" s="2" t="n">
        <x:v>412</x:v>
      </x:c>
      <x:c r="G5075" s="2" t="n">
        <x:v>1</x:v>
      </x:c>
      <x:c r="H5075" s="11" t="n">
        <x:v>331.35</x:v>
      </x:c>
      <x:c r="I5075" s="2" t="n">
        <x:v>1</x:v>
      </x:c>
      <x:c r="J5075" s="2" t="n">
        <x:v>1</x:v>
      </x:c>
      <x:c r="K5075" s="2" t="n">
        <x:v>2</x:v>
      </x:c>
      <x:c r="L5075" s="2" t="str">
        <x:v>Hibernating</x:v>
      </x:c>
    </x:row>
    <x:row r="5076" ht="22" customHeight="1">
      <x:c r="A5076" s="2"/>
      <x:c r="B5076" s="2" t="str">
        <x:v>17436</x:v>
      </x:c>
      <x:c r="C5076" s="2" t="str">
        <x:v>United Kingdom</x:v>
      </x:c>
      <x:c r="D5076" s="25" t="n">
        <x:v>40154.31319444445</x:v>
      </x:c>
      <x:c r="E5076" s="25" t="n">
        <x:v>40885.3125</x:v>
      </x:c>
      <x:c r="F5076" s="2" t="n">
        <x:v>2</x:v>
      </x:c>
      <x:c r="G5076" s="2" t="n">
        <x:v>5</x:v>
      </x:c>
      <x:c r="H5076" s="11" t="n">
        <x:v>534.06</x:v>
      </x:c>
      <x:c r="I5076" s="2" t="n">
        <x:v>5</x:v>
      </x:c>
      <x:c r="J5076" s="2" t="n">
        <x:v>4</x:v>
      </x:c>
      <x:c r="K5076" s="2" t="n">
        <x:v>2</x:v>
      </x:c>
      <x:c r="L5076" s="2" t="str">
        <x:v>Loyal</x:v>
      </x:c>
    </x:row>
    <x:row r="5077" ht="22" customHeight="1">
      <x:c r="A5077" s="2"/>
      <x:c r="B5077" s="2" t="str">
        <x:v>17437</x:v>
      </x:c>
      <x:c r="C5077" s="2" t="str">
        <x:v>United Kingdom</x:v>
      </x:c>
      <x:c r="D5077" s="25" t="n">
        <x:v>40357.25763888889</x:v>
      </x:c>
      <x:c r="E5077" s="25" t="n">
        <x:v>40357.25763888889</x:v>
      </x:c>
      <x:c r="F5077" s="2" t="n">
        <x:v>530</x:v>
      </x:c>
      <x:c r="G5077" s="2" t="n">
        <x:v>1</x:v>
      </x:c>
      <x:c r="H5077" s="11" t="n">
        <x:v>373.17</x:v>
      </x:c>
      <x:c r="I5077" s="2" t="n">
        <x:v>1</x:v>
      </x:c>
      <x:c r="J5077" s="2" t="n">
        <x:v>1</x:v>
      </x:c>
      <x:c r="K5077" s="2" t="n">
        <x:v>2</x:v>
      </x:c>
      <x:c r="L5077" s="2" t="str">
        <x:v>Hibernating</x:v>
      </x:c>
    </x:row>
    <x:row r="5078" ht="22" customHeight="1">
      <x:c r="A5078" s="2"/>
      <x:c r="B5078" s="2" t="str">
        <x:v>17438</x:v>
      </x:c>
      <x:c r="C5078" s="2" t="str">
        <x:v>United Kingdom</x:v>
      </x:c>
      <x:c r="D5078" s="25" t="n">
        <x:v>40245.49513888889</x:v>
      </x:c>
      <x:c r="E5078" s="25" t="n">
        <x:v>40633.22638888889</x:v>
      </x:c>
      <x:c r="F5078" s="2" t="n">
        <x:v>254</x:v>
      </x:c>
      <x:c r="G5078" s="2" t="n">
        <x:v>5</x:v>
      </x:c>
      <x:c r="H5078" s="11" t="n">
        <x:v>1422.77</x:v>
      </x:c>
      <x:c r="I5078" s="2" t="n">
        <x:v>2</x:v>
      </x:c>
      <x:c r="J5078" s="2" t="n">
        <x:v>4</x:v>
      </x:c>
      <x:c r="K5078" s="2" t="n">
        <x:v>4</x:v>
      </x:c>
      <x:c r="L5078" s="2" t="str">
        <x:v>At risk</x:v>
      </x:c>
    </x:row>
    <x:row r="5079" ht="22" customHeight="1">
      <x:c r="A5079" s="2"/>
      <x:c r="B5079" s="2" t="str">
        <x:v>17439</x:v>
      </x:c>
      <x:c r="C5079" s="2" t="str">
        <x:v>United Kingdom</x:v>
      </x:c>
      <x:c r="D5079" s="25" t="n">
        <x:v>40231.325</x:v>
      </x:c>
      <x:c r="E5079" s="25" t="n">
        <x:v>40231.325</x:v>
      </x:c>
      <x:c r="F5079" s="2" t="n">
        <x:v>656</x:v>
      </x:c>
      <x:c r="G5079" s="2" t="n">
        <x:v>1</x:v>
      </x:c>
      <x:c r="H5079" s="11" t="n">
        <x:v>325.74</x:v>
      </x:c>
      <x:c r="I5079" s="2" t="n">
        <x:v>1</x:v>
      </x:c>
      <x:c r="J5079" s="2" t="n">
        <x:v>1</x:v>
      </x:c>
      <x:c r="K5079" s="2" t="n">
        <x:v>2</x:v>
      </x:c>
      <x:c r="L5079" s="2" t="str">
        <x:v>Hibernating</x:v>
      </x:c>
    </x:row>
    <x:row r="5080" ht="22" customHeight="1">
      <x:c r="A5080" s="2"/>
      <x:c r="B5080" s="2" t="str">
        <x:v>17440</x:v>
      </x:c>
      <x:c r="C5080" s="2" t="str">
        <x:v>United Kingdom</x:v>
      </x:c>
      <x:c r="D5080" s="25" t="n">
        <x:v>40337.40277777778</x:v>
      </x:c>
      <x:c r="E5080" s="25" t="n">
        <x:v>40730.2875</x:v>
      </x:c>
      <x:c r="F5080" s="2" t="n">
        <x:v>157</x:v>
      </x:c>
      <x:c r="G5080" s="2" t="n">
        <x:v>4</x:v>
      </x:c>
      <x:c r="H5080" s="11" t="n">
        <x:v>323.58</x:v>
      </x:c>
      <x:c r="I5080" s="2" t="n">
        <x:v>3</x:v>
      </x:c>
      <x:c r="J5080" s="2" t="n">
        <x:v>3</x:v>
      </x:c>
      <x:c r="K5080" s="2" t="n">
        <x:v>2</x:v>
      </x:c>
      <x:c r="L5080" s="2" t="str">
        <x:v>Loyal</x:v>
      </x:c>
    </x:row>
    <x:row r="5081" ht="22" customHeight="1">
      <x:c r="A5081" s="2"/>
      <x:c r="B5081" s="2" t="str">
        <x:v>17441</x:v>
      </x:c>
      <x:c r="C5081" s="2" t="str">
        <x:v>United Kingdom</x:v>
      </x:c>
      <x:c r="D5081" s="25" t="n">
        <x:v>40154.35555555556</x:v>
      </x:c>
      <x:c r="E5081" s="25" t="n">
        <x:v>40154.35555555556</x:v>
      </x:c>
      <x:c r="F5081" s="2" t="n">
        <x:v>733</x:v>
      </x:c>
      <x:c r="G5081" s="2" t="n">
        <x:v>1</x:v>
      </x:c>
      <x:c r="H5081" s="11" t="n">
        <x:v>293.35</x:v>
      </x:c>
      <x:c r="I5081" s="2" t="n">
        <x:v>1</x:v>
      </x:c>
      <x:c r="J5081" s="2" t="n">
        <x:v>1</x:v>
      </x:c>
      <x:c r="K5081" s="2" t="n">
        <x:v>2</x:v>
      </x:c>
      <x:c r="L5081" s="2" t="str">
        <x:v>Hibernating</x:v>
      </x:c>
    </x:row>
    <x:row r="5082" ht="22" customHeight="1">
      <x:c r="A5082" s="2"/>
      <x:c r="B5082" s="2" t="str">
        <x:v>17442</x:v>
      </x:c>
      <x:c r="C5082" s="2" t="str">
        <x:v>United Kingdom</x:v>
      </x:c>
      <x:c r="D5082" s="25" t="n">
        <x:v>40224.45416666667</x:v>
      </x:c>
      <x:c r="E5082" s="25" t="n">
        <x:v>40850.17847222222</x:v>
      </x:c>
      <x:c r="F5082" s="2" t="n">
        <x:v>37</x:v>
      </x:c>
      <x:c r="G5082" s="2" t="n">
        <x:v>15</x:v>
      </x:c>
      <x:c r="H5082" s="11" t="n">
        <x:v>4620.3</x:v>
      </x:c>
      <x:c r="I5082" s="2" t="n">
        <x:v>4</x:v>
      </x:c>
      <x:c r="J5082" s="2" t="n">
        <x:v>5</x:v>
      </x:c>
      <x:c r="K5082" s="2" t="n">
        <x:v>5</x:v>
      </x:c>
      <x:c r="L5082" s="2" t="str">
        <x:v>Champions</x:v>
      </x:c>
    </x:row>
    <x:row r="5083" ht="22" customHeight="1">
      <x:c r="A5083" s="2"/>
      <x:c r="B5083" s="2" t="str">
        <x:v>17443</x:v>
      </x:c>
      <x:c r="C5083" s="2" t="str">
        <x:v>Canada</x:v>
      </x:c>
      <x:c r="D5083" s="25" t="n">
        <x:v>40667.24097222222</x:v>
      </x:c>
      <x:c r="E5083" s="25" t="n">
        <x:v>40667.24097222222</x:v>
      </x:c>
      <x:c r="F5083" s="2" t="n">
        <x:v>220</x:v>
      </x:c>
      <x:c r="G5083" s="2" t="n">
        <x:v>1</x:v>
      </x:c>
      <x:c r="H5083" s="11" t="n">
        <x:v>534.24</x:v>
      </x:c>
      <x:c r="I5083" s="2" t="n">
        <x:v>2</x:v>
      </x:c>
      <x:c r="J5083" s="2" t="n">
        <x:v>1</x:v>
      </x:c>
      <x:c r="K5083" s="2" t="n">
        <x:v>2</x:v>
      </x:c>
      <x:c r="L5083" s="2" t="str">
        <x:v>Hibernating</x:v>
      </x:c>
    </x:row>
    <x:row r="5084" ht="22" customHeight="1">
      <x:c r="A5084" s="2"/>
      <x:c r="B5084" s="2" t="str">
        <x:v>17444</x:v>
      </x:c>
      <x:c r="C5084" s="2" t="str">
        <x:v>Canada</x:v>
      </x:c>
      <x:c r="D5084" s="25" t="n">
        <x:v>40714.169444444444</x:v>
      </x:c>
      <x:c r="E5084" s="25" t="n">
        <x:v>40739.29513888889</x:v>
      </x:c>
      <x:c r="F5084" s="2" t="n">
        <x:v>148</x:v>
      </x:c>
      <x:c r="G5084" s="2" t="n">
        <x:v>3</x:v>
      </x:c>
      <x:c r="H5084" s="11" t="n">
        <x:v>2940.04</x:v>
      </x:c>
      <x:c r="I5084" s="2" t="n">
        <x:v>3</x:v>
      </x:c>
      <x:c r="J5084" s="2" t="n">
        <x:v>3</x:v>
      </x:c>
      <x:c r="K5084" s="2" t="n">
        <x:v>5</x:v>
      </x:c>
      <x:c r="L5084" s="2" t="str">
        <x:v>Loyal</x:v>
      </x:c>
    </x:row>
    <x:row r="5085" ht="22" customHeight="1">
      <x:c r="A5085" s="2"/>
      <x:c r="B5085" s="2" t="str">
        <x:v>17446</x:v>
      </x:c>
      <x:c r="C5085" s="2" t="str">
        <x:v>United Kingdom</x:v>
      </x:c>
      <x:c r="D5085" s="25" t="n">
        <x:v>40576.40277777778</x:v>
      </x:c>
      <x:c r="E5085" s="25" t="n">
        <x:v>40710.2375</x:v>
      </x:c>
      <x:c r="F5085" s="2" t="n">
        <x:v>177</x:v>
      </x:c>
      <x:c r="G5085" s="2" t="n">
        <x:v>2</x:v>
      </x:c>
      <x:c r="H5085" s="11" t="n">
        <x:v>120.9</x:v>
      </x:c>
      <x:c r="I5085" s="2" t="n">
        <x:v>3</x:v>
      </x:c>
      <x:c r="J5085" s="2" t="n">
        <x:v>2</x:v>
      </x:c>
      <x:c r="K5085" s="2" t="n">
        <x:v>1</x:v>
      </x:c>
      <x:c r="L5085" s="2" t="str">
        <x:v>Developing</x:v>
      </x:c>
    </x:row>
    <x:row r="5086" ht="22" customHeight="1">
      <x:c r="A5086" s="2"/>
      <x:c r="B5086" s="2" t="str">
        <x:v>17447</x:v>
      </x:c>
      <x:c r="C5086" s="2" t="str">
        <x:v>United Kingdom</x:v>
      </x:c>
      <x:c r="D5086" s="25" t="n">
        <x:v>40815.21527777778</x:v>
      </x:c>
      <x:c r="E5086" s="25" t="n">
        <x:v>40846.3875</x:v>
      </x:c>
      <x:c r="F5086" s="2" t="n">
        <x:v>41</x:v>
      </x:c>
      <x:c r="G5086" s="2" t="n">
        <x:v>2</x:v>
      </x:c>
      <x:c r="H5086" s="11" t="n">
        <x:v>541.53</x:v>
      </x:c>
      <x:c r="I5086" s="2" t="n">
        <x:v>4</x:v>
      </x:c>
      <x:c r="J5086" s="2" t="n">
        <x:v>2</x:v>
      </x:c>
      <x:c r="K5086" s="2" t="n">
        <x:v>2</x:v>
      </x:c>
      <x:c r="L5086" s="2" t="str">
        <x:v>Recent light buyers</x:v>
      </x:c>
    </x:row>
    <x:row r="5087" ht="22" customHeight="1">
      <x:c r="A5087" s="2"/>
      <x:c r="B5087" s="2" t="str">
        <x:v>17448</x:v>
      </x:c>
      <x:c r="C5087" s="2" t="str">
        <x:v>United Kingdom</x:v>
      </x:c>
      <x:c r="D5087" s="25" t="n">
        <x:v>40241.52013888889</x:v>
      </x:c>
      <x:c r="E5087" s="25" t="n">
        <x:v>40389.37986111111</x:v>
      </x:c>
      <x:c r="F5087" s="2" t="n">
        <x:v>498</x:v>
      </x:c>
      <x:c r="G5087" s="2" t="n">
        <x:v>46</x:v>
      </x:c>
      <x:c r="H5087" s="11" t="n">
        <x:v>14556.97</x:v>
      </x:c>
      <x:c r="I5087" s="2" t="n">
        <x:v>1</x:v>
      </x:c>
      <x:c r="J5087" s="2" t="n">
        <x:v>5</x:v>
      </x:c>
      <x:c r="K5087" s="2" t="n">
        <x:v>5</x:v>
      </x:c>
      <x:c r="L5087" s="2" t="str">
        <x:v>At risk</x:v>
      </x:c>
    </x:row>
    <x:row r="5088" ht="22" customHeight="1">
      <x:c r="A5088" s="2"/>
      <x:c r="B5088" s="2" t="str">
        <x:v>17449</x:v>
      </x:c>
      <x:c r="C5088" s="2" t="str">
        <x:v>United Kingdom</x:v>
      </x:c>
      <x:c r="D5088" s="25" t="n">
        <x:v>40156.38611111111</x:v>
      </x:c>
      <x:c r="E5088" s="25" t="n">
        <x:v>40884.49722222222</x:v>
      </x:c>
      <x:c r="F5088" s="2" t="n">
        <x:v>3</x:v>
      </x:c>
      <x:c r="G5088" s="2" t="n">
        <x:v>13</x:v>
      </x:c>
      <x:c r="H5088" s="11" t="n">
        <x:v>4951.15</x:v>
      </x:c>
      <x:c r="I5088" s="2" t="n">
        <x:v>5</x:v>
      </x:c>
      <x:c r="J5088" s="2" t="n">
        <x:v>5</x:v>
      </x:c>
      <x:c r="K5088" s="2" t="n">
        <x:v>5</x:v>
      </x:c>
      <x:c r="L5088" s="2" t="str">
        <x:v>Champions</x:v>
      </x:c>
    </x:row>
    <x:row r="5089" ht="22" customHeight="1">
      <x:c r="A5089" s="2"/>
      <x:c r="B5089" s="2" t="str">
        <x:v>17450</x:v>
      </x:c>
      <x:c r="C5089" s="2" t="str">
        <x:v>United Kingdom</x:v>
      </x:c>
      <x:c r="D5089" s="25" t="n">
        <x:v>40448.49930555555</x:v>
      </x:c>
      <x:c r="E5089" s="25" t="n">
        <x:v>40878.353472222225</x:v>
      </x:c>
      <x:c r="F5089" s="2" t="n">
        <x:v>9</x:v>
      </x:c>
      <x:c r="G5089" s="2" t="n">
        <x:v>51</x:v>
      </x:c>
      <x:c r="H5089" s="11" t="n">
        <x:v>244944.25</x:v>
      </x:c>
      <x:c r="I5089" s="2" t="n">
        <x:v>5</x:v>
      </x:c>
      <x:c r="J5089" s="2" t="n">
        <x:v>5</x:v>
      </x:c>
      <x:c r="K5089" s="2" t="n">
        <x:v>5</x:v>
      </x:c>
      <x:c r="L5089" s="2" t="str">
        <x:v>Champions</x:v>
      </x:c>
    </x:row>
    <x:row r="5090" ht="22" customHeight="1">
      <x:c r="A5090" s="2"/>
      <x:c r="B5090" s="2" t="str">
        <x:v>17451</x:v>
      </x:c>
      <x:c r="C5090" s="2" t="str">
        <x:v>United Kingdom</x:v>
      </x:c>
      <x:c r="D5090" s="25" t="n">
        <x:v>40781.2875</x:v>
      </x:c>
      <x:c r="E5090" s="25" t="n">
        <x:v>40885.41805555556</x:v>
      </x:c>
      <x:c r="F5090" s="2" t="n">
        <x:v>2</x:v>
      </x:c>
      <x:c r="G5090" s="2" t="n">
        <x:v>7</x:v>
      </x:c>
      <x:c r="H5090" s="11" t="n">
        <x:v>1721.4</x:v>
      </x:c>
      <x:c r="I5090" s="2" t="n">
        <x:v>5</x:v>
      </x:c>
      <x:c r="J5090" s="2" t="n">
        <x:v>4</x:v>
      </x:c>
      <x:c r="K5090" s="2" t="n">
        <x:v>4</x:v>
      </x:c>
      <x:c r="L5090" s="2" t="str">
        <x:v>Champions</x:v>
      </x:c>
    </x:row>
    <x:row r="5091" ht="22" customHeight="1">
      <x:c r="A5091" s="2"/>
      <x:c r="B5091" s="2" t="str">
        <x:v>17453</x:v>
      </x:c>
      <x:c r="C5091" s="2" t="str">
        <x:v>United Kingdom</x:v>
      </x:c>
      <x:c r="D5091" s="25" t="n">
        <x:v>40822.501388888886</x:v>
      </x:c>
      <x:c r="E5091" s="25" t="n">
        <x:v>40869.19583333333</x:v>
      </x:c>
      <x:c r="F5091" s="2" t="n">
        <x:v>18</x:v>
      </x:c>
      <x:c r="G5091" s="2" t="n">
        <x:v>2</x:v>
      </x:c>
      <x:c r="H5091" s="11" t="n">
        <x:v>486.72</x:v>
      </x:c>
      <x:c r="I5091" s="2" t="n">
        <x:v>5</x:v>
      </x:c>
      <x:c r="J5091" s="2" t="n">
        <x:v>2</x:v>
      </x:c>
      <x:c r="K5091" s="2" t="n">
        <x:v>2</x:v>
      </x:c>
      <x:c r="L5091" s="2" t="str">
        <x:v>Recent light buyers</x:v>
      </x:c>
    </x:row>
    <x:row r="5092" ht="22" customHeight="1">
      <x:c r="A5092" s="2"/>
      <x:c r="B5092" s="2" t="str">
        <x:v>17454</x:v>
      </x:c>
      <x:c r="C5092" s="2" t="str">
        <x:v>United Kingdom</x:v>
      </x:c>
      <x:c r="D5092" s="25" t="n">
        <x:v>40193.444444444445</x:v>
      </x:c>
      <x:c r="E5092" s="25" t="n">
        <x:v>40694.373611111114</x:v>
      </x:c>
      <x:c r="F5092" s="2" t="n">
        <x:v>193</x:v>
      </x:c>
      <x:c r="G5092" s="2" t="n">
        <x:v>10</x:v>
      </x:c>
      <x:c r="H5092" s="11" t="n">
        <x:v>1547.94</x:v>
      </x:c>
      <x:c r="I5092" s="2" t="n">
        <x:v>2</x:v>
      </x:c>
      <x:c r="J5092" s="2" t="n">
        <x:v>5</x:v>
      </x:c>
      <x:c r="K5092" s="2" t="n">
        <x:v>4</x:v>
      </x:c>
      <x:c r="L5092" s="2" t="str">
        <x:v>At risk</x:v>
      </x:c>
    </x:row>
    <x:row r="5093" ht="22" customHeight="1">
      <x:c r="A5093" s="2"/>
      <x:c r="B5093" s="2" t="str">
        <x:v>17455</x:v>
      </x:c>
      <x:c r="C5093" s="2" t="str">
        <x:v>United Kingdom</x:v>
      </x:c>
      <x:c r="D5093" s="25" t="n">
        <x:v>40683.31319444445</x:v>
      </x:c>
      <x:c r="E5093" s="25" t="n">
        <x:v>40683.31319444445</x:v>
      </x:c>
      <x:c r="F5093" s="2" t="n">
        <x:v>204</x:v>
      </x:c>
      <x:c r="G5093" s="2" t="n">
        <x:v>1</x:v>
      </x:c>
      <x:c r="H5093" s="11" t="n">
        <x:v>131.7</x:v>
      </x:c>
      <x:c r="I5093" s="2" t="n">
        <x:v>2</x:v>
      </x:c>
      <x:c r="J5093" s="2" t="n">
        <x:v>1</x:v>
      </x:c>
      <x:c r="K5093" s="2" t="n">
        <x:v>1</x:v>
      </x:c>
      <x:c r="L5093" s="2" t="str">
        <x:v>Hibernating</x:v>
      </x:c>
    </x:row>
    <x:row r="5094" ht="22" customHeight="1">
      <x:c r="A5094" s="2"/>
      <x:c r="B5094" s="2" t="str">
        <x:v>17456</x:v>
      </x:c>
      <x:c r="C5094" s="2" t="str">
        <x:v>United Kingdom</x:v>
      </x:c>
      <x:c r="D5094" s="25" t="n">
        <x:v>40430.436111111114</x:v>
      </x:c>
      <x:c r="E5094" s="25" t="n">
        <x:v>40521.43263888889</x:v>
      </x:c>
      <x:c r="F5094" s="2" t="n">
        <x:v>366</x:v>
      </x:c>
      <x:c r="G5094" s="2" t="n">
        <x:v>2</x:v>
      </x:c>
      <x:c r="H5094" s="11" t="n">
        <x:v>975.56</x:v>
      </x:c>
      <x:c r="I5094" s="2" t="n">
        <x:v>2</x:v>
      </x:c>
      <x:c r="J5094" s="2" t="n">
        <x:v>2</x:v>
      </x:c>
      <x:c r="K5094" s="2" t="n">
        <x:v>3</x:v>
      </x:c>
      <x:c r="L5094" s="2" t="str">
        <x:v>Hibernating</x:v>
      </x:c>
    </x:row>
    <x:row r="5095" ht="22" customHeight="1">
      <x:c r="A5095" s="2"/>
      <x:c r="B5095" s="2" t="str">
        <x:v>17457</x:v>
      </x:c>
      <x:c r="C5095" s="2" t="str">
        <x:v>United Kingdom</x:v>
      </x:c>
      <x:c r="D5095" s="25" t="n">
        <x:v>40154.41111111111</x:v>
      </x:c>
      <x:c r="E5095" s="25" t="n">
        <x:v>40760.325</x:v>
      </x:c>
      <x:c r="F5095" s="2" t="n">
        <x:v>127</x:v>
      </x:c>
      <x:c r="G5095" s="2" t="n">
        <x:v>14</x:v>
      </x:c>
      <x:c r="H5095" s="11" t="n">
        <x:v>5984.81</x:v>
      </x:c>
      <x:c r="I5095" s="2" t="n">
        <x:v>3</x:v>
      </x:c>
      <x:c r="J5095" s="2" t="n">
        <x:v>5</x:v>
      </x:c>
      <x:c r="K5095" s="2" t="n">
        <x:v>5</x:v>
      </x:c>
      <x:c r="L5095" s="2" t="str">
        <x:v>Loyal</x:v>
      </x:c>
    </x:row>
    <x:row r="5096" ht="22" customHeight="1">
      <x:c r="A5096" s="2"/>
      <x:c r="B5096" s="2" t="str">
        <x:v>17458</x:v>
      </x:c>
      <x:c r="C5096" s="2" t="str">
        <x:v>United Kingdom</x:v>
      </x:c>
      <x:c r="D5096" s="25" t="n">
        <x:v>40505.279861111114</x:v>
      </x:c>
      <x:c r="E5096" s="25" t="n">
        <x:v>40871.334027777775</x:v>
      </x:c>
      <x:c r="F5096" s="2" t="n">
        <x:v>16</x:v>
      </x:c>
      <x:c r="G5096" s="2" t="n">
        <x:v>2</x:v>
      </x:c>
      <x:c r="H5096" s="11" t="n">
        <x:v>529.58</x:v>
      </x:c>
      <x:c r="I5096" s="2" t="n">
        <x:v>5</x:v>
      </x:c>
      <x:c r="J5096" s="2" t="n">
        <x:v>2</x:v>
      </x:c>
      <x:c r="K5096" s="2" t="n">
        <x:v>2</x:v>
      </x:c>
      <x:c r="L5096" s="2" t="str">
        <x:v>Recent light buyers</x:v>
      </x:c>
    </x:row>
    <x:row r="5097" ht="22" customHeight="1">
      <x:c r="A5097" s="2"/>
      <x:c r="B5097" s="2" t="str">
        <x:v>17459</x:v>
      </x:c>
      <x:c r="C5097" s="2" t="str">
        <x:v>United Kingdom</x:v>
      </x:c>
      <x:c r="D5097" s="25" t="n">
        <x:v>40826.5</x:v>
      </x:c>
      <x:c r="E5097" s="25" t="n">
        <x:v>40843.350694444445</x:v>
      </x:c>
      <x:c r="F5097" s="2" t="n">
        <x:v>44</x:v>
      </x:c>
      <x:c r="G5097" s="2" t="n">
        <x:v>2</x:v>
      </x:c>
      <x:c r="H5097" s="11" t="n">
        <x:v>657.3</x:v>
      </x:c>
      <x:c r="I5097" s="2" t="n">
        <x:v>4</x:v>
      </x:c>
      <x:c r="J5097" s="2" t="n">
        <x:v>2</x:v>
      </x:c>
      <x:c r="K5097" s="2" t="n">
        <x:v>3</x:v>
      </x:c>
      <x:c r="L5097" s="2" t="str">
        <x:v>Recent light buyers</x:v>
      </x:c>
    </x:row>
    <x:row r="5098" ht="22" customHeight="1">
      <x:c r="A5098" s="2"/>
      <x:c r="B5098" s="2" t="str">
        <x:v>17460</x:v>
      </x:c>
      <x:c r="C5098" s="2" t="str">
        <x:v>United Kingdom</x:v>
      </x:c>
      <x:c r="D5098" s="25" t="n">
        <x:v>40200.350694444445</x:v>
      </x:c>
      <x:c r="E5098" s="25" t="n">
        <x:v>40792.419444444444</x:v>
      </x:c>
      <x:c r="F5098" s="2" t="n">
        <x:v>95</x:v>
      </x:c>
      <x:c r="G5098" s="2" t="n">
        <x:v>16</x:v>
      </x:c>
      <x:c r="H5098" s="11" t="n">
        <x:v>2157.97</x:v>
      </x:c>
      <x:c r="I5098" s="2" t="n">
        <x:v>3</x:v>
      </x:c>
      <x:c r="J5098" s="2" t="n">
        <x:v>5</x:v>
      </x:c>
      <x:c r="K5098" s="2" t="n">
        <x:v>4</x:v>
      </x:c>
      <x:c r="L5098" s="2" t="str">
        <x:v>Loyal</x:v>
      </x:c>
    </x:row>
    <x:row r="5099" ht="22" customHeight="1">
      <x:c r="A5099" s="2"/>
      <x:c r="B5099" s="2" t="str">
        <x:v>17461</x:v>
      </x:c>
      <x:c r="C5099" s="2" t="str">
        <x:v>United Kingdom</x:v>
      </x:c>
      <x:c r="D5099" s="25" t="n">
        <x:v>40857.29236111111</x:v>
      </x:c>
      <x:c r="E5099" s="25" t="n">
        <x:v>40864.222916666666</x:v>
      </x:c>
      <x:c r="F5099" s="2" t="n">
        <x:v>23</x:v>
      </x:c>
      <x:c r="G5099" s="2" t="n">
        <x:v>3</x:v>
      </x:c>
      <x:c r="H5099" s="11" t="n">
        <x:v>757.46</x:v>
      </x:c>
      <x:c r="I5099" s="2" t="n">
        <x:v>4</x:v>
      </x:c>
      <x:c r="J5099" s="2" t="n">
        <x:v>3</x:v>
      </x:c>
      <x:c r="K5099" s="2" t="n">
        <x:v>3</x:v>
      </x:c>
      <x:c r="L5099" s="2" t="str">
        <x:v>Loyal</x:v>
      </x:c>
    </x:row>
    <x:row r="5100" ht="22" customHeight="1">
      <x:c r="A5100" s="2"/>
      <x:c r="B5100" s="2" t="str">
        <x:v>17462</x:v>
      </x:c>
      <x:c r="C5100" s="2" t="str">
        <x:v>United Kingdom</x:v>
      </x:c>
      <x:c r="D5100" s="25" t="n">
        <x:v>40602.50069444445</x:v>
      </x:c>
      <x:c r="E5100" s="25" t="n">
        <x:v>40826.37222222222</x:v>
      </x:c>
      <x:c r="F5100" s="2" t="n">
        <x:v>61</x:v>
      </x:c>
      <x:c r="G5100" s="2" t="n">
        <x:v>2</x:v>
      </x:c>
      <x:c r="H5100" s="11" t="n">
        <x:v>675.69</x:v>
      </x:c>
      <x:c r="I5100" s="2" t="n">
        <x:v>3</x:v>
      </x:c>
      <x:c r="J5100" s="2" t="n">
        <x:v>2</x:v>
      </x:c>
      <x:c r="K5100" s="2" t="n">
        <x:v>3</x:v>
      </x:c>
      <x:c r="L5100" s="2" t="str">
        <x:v>Developing</x:v>
      </x:c>
    </x:row>
    <x:row r="5101" ht="22" customHeight="1">
      <x:c r="A5101" s="2"/>
      <x:c r="B5101" s="2" t="str">
        <x:v>17463</x:v>
      </x:c>
      <x:c r="C5101" s="2" t="str">
        <x:v>United Kingdom</x:v>
      </x:c>
      <x:c r="D5101" s="25" t="n">
        <x:v>40297.53958333333</x:v>
      </x:c>
      <x:c r="E5101" s="25" t="n">
        <x:v>40870.36111111111</x:v>
      </x:c>
      <x:c r="F5101" s="2" t="n">
        <x:v>17</x:v>
      </x:c>
      <x:c r="G5101" s="2" t="n">
        <x:v>7</x:v>
      </x:c>
      <x:c r="H5101" s="11" t="n">
        <x:v>2557.91</x:v>
      </x:c>
      <x:c r="I5101" s="2" t="n">
        <x:v>5</x:v>
      </x:c>
      <x:c r="J5101" s="2" t="n">
        <x:v>4</x:v>
      </x:c>
      <x:c r="K5101" s="2" t="n">
        <x:v>4</x:v>
      </x:c>
      <x:c r="L5101" s="2" t="str">
        <x:v>Champions</x:v>
      </x:c>
    </x:row>
    <x:row r="5102" ht="22" customHeight="1">
      <x:c r="A5102" s="2"/>
      <x:c r="B5102" s="2" t="str">
        <x:v>17464</x:v>
      </x:c>
      <x:c r="C5102" s="2" t="str">
        <x:v>United Kingdom</x:v>
      </x:c>
      <x:c r="D5102" s="25" t="n">
        <x:v>40267.34375</x:v>
      </x:c>
      <x:c r="E5102" s="25" t="n">
        <x:v>40728.34652777778</x:v>
      </x:c>
      <x:c r="F5102" s="2" t="n">
        <x:v>159</x:v>
      </x:c>
      <x:c r="G5102" s="2" t="n">
        <x:v>3</x:v>
      </x:c>
      <x:c r="H5102" s="11" t="n">
        <x:v>1000.94</x:v>
      </x:c>
      <x:c r="I5102" s="2" t="n">
        <x:v>3</x:v>
      </x:c>
      <x:c r="J5102" s="2" t="n">
        <x:v>3</x:v>
      </x:c>
      <x:c r="K5102" s="2" t="n">
        <x:v>3</x:v>
      </x:c>
      <x:c r="L5102" s="2" t="str">
        <x:v>Loyal</x:v>
      </x:c>
    </x:row>
    <x:row r="5103" ht="22" customHeight="1">
      <x:c r="A5103" s="2"/>
      <x:c r="B5103" s="2" t="str">
        <x:v>17465</x:v>
      </x:c>
      <x:c r="C5103" s="2" t="str">
        <x:v>United Kingdom</x:v>
      </x:c>
      <x:c r="D5103" s="25" t="n">
        <x:v>40150.350694444445</x:v>
      </x:c>
      <x:c r="E5103" s="25" t="n">
        <x:v>40461.28888888889</x:v>
      </x:c>
      <x:c r="F5103" s="2" t="n">
        <x:v>426</x:v>
      </x:c>
      <x:c r="G5103" s="2" t="n">
        <x:v>7</x:v>
      </x:c>
      <x:c r="H5103" s="11" t="n">
        <x:v>2542.79</x:v>
      </x:c>
      <x:c r="I5103" s="2" t="n">
        <x:v>1</x:v>
      </x:c>
      <x:c r="J5103" s="2" t="n">
        <x:v>4</x:v>
      </x:c>
      <x:c r="K5103" s="2" t="n">
        <x:v>4</x:v>
      </x:c>
      <x:c r="L5103" s="2" t="str">
        <x:v>At risk</x:v>
      </x:c>
    </x:row>
    <x:row r="5104" ht="22" customHeight="1">
      <x:c r="A5104" s="2"/>
      <x:c r="B5104" s="2" t="str">
        <x:v>17466</x:v>
      </x:c>
      <x:c r="C5104" s="2" t="str">
        <x:v>United Kingdom</x:v>
      </x:c>
      <x:c r="D5104" s="25" t="n">
        <x:v>40808.177777777775</x:v>
      </x:c>
      <x:c r="E5104" s="25" t="n">
        <x:v>40876.34375</x:v>
      </x:c>
      <x:c r="F5104" s="2" t="n">
        <x:v>11</x:v>
      </x:c>
      <x:c r="G5104" s="2" t="n">
        <x:v>2</x:v>
      </x:c>
      <x:c r="H5104" s="11" t="n">
        <x:v>763.28</x:v>
      </x:c>
      <x:c r="I5104" s="2" t="n">
        <x:v>5</x:v>
      </x:c>
      <x:c r="J5104" s="2" t="n">
        <x:v>2</x:v>
      </x:c>
      <x:c r="K5104" s="2" t="n">
        <x:v>3</x:v>
      </x:c>
      <x:c r="L5104" s="2" t="str">
        <x:v>Recent light buyers</x:v>
      </x:c>
    </x:row>
    <x:row r="5105" ht="22" customHeight="1">
      <x:c r="A5105" s="2"/>
      <x:c r="B5105" s="2" t="str">
        <x:v>17467</x:v>
      </x:c>
      <x:c r="C5105" s="2" t="str">
        <x:v>United Kingdom</x:v>
      </x:c>
      <x:c r="D5105" s="25" t="n">
        <x:v>40491.33194444444</x:v>
      </x:c>
      <x:c r="E5105" s="25" t="n">
        <x:v>40491.33194444444</x:v>
      </x:c>
      <x:c r="F5105" s="2" t="n">
        <x:v>396</x:v>
      </x:c>
      <x:c r="G5105" s="2" t="n">
        <x:v>1</x:v>
      </x:c>
      <x:c r="H5105" s="11" t="n">
        <x:v>102.6</x:v>
      </x:c>
      <x:c r="I5105" s="2" t="n">
        <x:v>2</x:v>
      </x:c>
      <x:c r="J5105" s="2" t="n">
        <x:v>1</x:v>
      </x:c>
      <x:c r="K5105" s="2" t="n">
        <x:v>1</x:v>
      </x:c>
      <x:c r="L5105" s="2" t="str">
        <x:v>Hibernating</x:v>
      </x:c>
    </x:row>
    <x:row r="5106" ht="22" customHeight="1">
      <x:c r="A5106" s="2"/>
      <x:c r="B5106" s="2" t="str">
        <x:v>17468</x:v>
      </x:c>
      <x:c r="C5106" s="2" t="str">
        <x:v>United Kingdom</x:v>
      </x:c>
      <x:c r="D5106" s="25" t="n">
        <x:v>40511.51736111111</x:v>
      </x:c>
      <x:c r="E5106" s="25" t="n">
        <x:v>40876.43958333333</x:v>
      </x:c>
      <x:c r="F5106" s="2" t="n">
        <x:v>11</x:v>
      </x:c>
      <x:c r="G5106" s="2" t="n">
        <x:v>3</x:v>
      </x:c>
      <x:c r="H5106" s="11" t="n">
        <x:v>194.8</x:v>
      </x:c>
      <x:c r="I5106" s="2" t="n">
        <x:v>5</x:v>
      </x:c>
      <x:c r="J5106" s="2" t="n">
        <x:v>3</x:v>
      </x:c>
      <x:c r="K5106" s="2" t="n">
        <x:v>1</x:v>
      </x:c>
      <x:c r="L5106" s="2" t="str">
        <x:v>Loyal</x:v>
      </x:c>
    </x:row>
    <x:row r="5107" ht="22" customHeight="1">
      <x:c r="A5107" s="2"/>
      <x:c r="B5107" s="2" t="str">
        <x:v>17469</x:v>
      </x:c>
      <x:c r="C5107" s="2" t="str">
        <x:v>United Kingdom</x:v>
      </x:c>
      <x:c r="D5107" s="25" t="n">
        <x:v>40163.42083333333</x:v>
      </x:c>
      <x:c r="E5107" s="25" t="n">
        <x:v>40870.34375</x:v>
      </x:c>
      <x:c r="F5107" s="2" t="n">
        <x:v>17</x:v>
      </x:c>
      <x:c r="G5107" s="2" t="n">
        <x:v>17</x:v>
      </x:c>
      <x:c r="H5107" s="11" t="n">
        <x:v>5051.25</x:v>
      </x:c>
      <x:c r="I5107" s="2" t="n">
        <x:v>5</x:v>
      </x:c>
      <x:c r="J5107" s="2" t="n">
        <x:v>5</x:v>
      </x:c>
      <x:c r="K5107" s="2" t="n">
        <x:v>5</x:v>
      </x:c>
      <x:c r="L5107" s="2" t="str">
        <x:v>Champions</x:v>
      </x:c>
    </x:row>
    <x:row r="5108" ht="22" customHeight="1">
      <x:c r="A5108" s="2"/>
      <x:c r="B5108" s="2" t="str">
        <x:v>17470</x:v>
      </x:c>
      <x:c r="C5108" s="2" t="str">
        <x:v>United Kingdom</x:v>
      </x:c>
      <x:c r="D5108" s="25" t="n">
        <x:v>40378.46944444445</x:v>
      </x:c>
      <x:c r="E5108" s="25" t="n">
        <x:v>40842.32083333333</x:v>
      </x:c>
      <x:c r="F5108" s="2" t="n">
        <x:v>45</x:v>
      </x:c>
      <x:c r="G5108" s="2" t="n">
        <x:v>11</x:v>
      </x:c>
      <x:c r="H5108" s="11" t="n">
        <x:v>2626.47</x:v>
      </x:c>
      <x:c r="I5108" s="2" t="n">
        <x:v>4</x:v>
      </x:c>
      <x:c r="J5108" s="2" t="n">
        <x:v>5</x:v>
      </x:c>
      <x:c r="K5108" s="2" t="n">
        <x:v>4</x:v>
      </x:c>
      <x:c r="L5108" s="2" t="str">
        <x:v>Champions</x:v>
      </x:c>
    </x:row>
    <x:row r="5109" ht="22" customHeight="1">
      <x:c r="A5109" s="2"/>
      <x:c r="B5109" s="2" t="str">
        <x:v>17471</x:v>
      </x:c>
      <x:c r="C5109" s="2" t="str">
        <x:v>United Kingdom</x:v>
      </x:c>
      <x:c r="D5109" s="25" t="n">
        <x:v>40412.28680555556</x:v>
      </x:c>
      <x:c r="E5109" s="25" t="n">
        <x:v>40412.28680555556</x:v>
      </x:c>
      <x:c r="F5109" s="2" t="n">
        <x:v>475</x:v>
      </x:c>
      <x:c r="G5109" s="2" t="n">
        <x:v>1</x:v>
      </x:c>
      <x:c r="H5109" s="11" t="n">
        <x:v>321.65</x:v>
      </x:c>
      <x:c r="I5109" s="2" t="n">
        <x:v>1</x:v>
      </x:c>
      <x:c r="J5109" s="2" t="n">
        <x:v>1</x:v>
      </x:c>
      <x:c r="K5109" s="2" t="n">
        <x:v>2</x:v>
      </x:c>
      <x:c r="L5109" s="2" t="str">
        <x:v>Hibernating</x:v>
      </x:c>
    </x:row>
    <x:row r="5110" ht="22" customHeight="1">
      <x:c r="A5110" s="2"/>
      <x:c r="B5110" s="2" t="str">
        <x:v>17472</x:v>
      </x:c>
      <x:c r="C5110" s="2" t="str">
        <x:v>United Kingdom</x:v>
      </x:c>
      <x:c r="D5110" s="25" t="n">
        <x:v>40258.35208333333</x:v>
      </x:c>
      <x:c r="E5110" s="25" t="n">
        <x:v>40695.41458333333</x:v>
      </x:c>
      <x:c r="F5110" s="2" t="n">
        <x:v>192</x:v>
      </x:c>
      <x:c r="G5110" s="2" t="n">
        <x:v>4</x:v>
      </x:c>
      <x:c r="H5110" s="11" t="n">
        <x:v>935.1</x:v>
      </x:c>
      <x:c r="I5110" s="2" t="n">
        <x:v>2</x:v>
      </x:c>
      <x:c r="J5110" s="2" t="n">
        <x:v>3</x:v>
      </x:c>
      <x:c r="K5110" s="2" t="n">
        <x:v>3</x:v>
      </x:c>
      <x:c r="L5110" s="2" t="str">
        <x:v>At risk</x:v>
      </x:c>
    </x:row>
    <x:row r="5111" ht="22" customHeight="1">
      <x:c r="A5111" s="2"/>
      <x:c r="B5111" s="2" t="str">
        <x:v>17473</x:v>
      </x:c>
      <x:c r="C5111" s="2" t="str">
        <x:v>United Kingdom</x:v>
      </x:c>
      <x:c r="D5111" s="25" t="n">
        <x:v>40430.58541666667</x:v>
      </x:c>
      <x:c r="E5111" s="25" t="n">
        <x:v>40478.28125</x:v>
      </x:c>
      <x:c r="F5111" s="2" t="n">
        <x:v>409</x:v>
      </x:c>
      <x:c r="G5111" s="2" t="n">
        <x:v>2</x:v>
      </x:c>
      <x:c r="H5111" s="11" t="n">
        <x:v>607</x:v>
      </x:c>
      <x:c r="I5111" s="2" t="n">
        <x:v>2</x:v>
      </x:c>
      <x:c r="J5111" s="2" t="n">
        <x:v>2</x:v>
      </x:c>
      <x:c r="K5111" s="2" t="n">
        <x:v>2</x:v>
      </x:c>
      <x:c r="L5111" s="2" t="str">
        <x:v>Hibernating</x:v>
      </x:c>
    </x:row>
    <x:row r="5112" ht="22" customHeight="1">
      <x:c r="A5112" s="2"/>
      <x:c r="B5112" s="2" t="str">
        <x:v>17474</x:v>
      </x:c>
      <x:c r="C5112" s="2" t="str">
        <x:v>United Kingdom</x:v>
      </x:c>
      <x:c r="D5112" s="25" t="n">
        <x:v>40287.23819444444</x:v>
      </x:c>
      <x:c r="E5112" s="25" t="n">
        <x:v>40287.23819444444</x:v>
      </x:c>
      <x:c r="F5112" s="2" t="n">
        <x:v>600</x:v>
      </x:c>
      <x:c r="G5112" s="2" t="n">
        <x:v>1</x:v>
      </x:c>
      <x:c r="H5112" s="11" t="n">
        <x:v>1047</x:v>
      </x:c>
      <x:c r="I5112" s="2" t="n">
        <x:v>1</x:v>
      </x:c>
      <x:c r="J5112" s="2" t="n">
        <x:v>1</x:v>
      </x:c>
      <x:c r="K5112" s="2" t="n">
        <x:v>3</x:v>
      </x:c>
      <x:c r="L5112" s="2" t="str">
        <x:v>Hibernating</x:v>
      </x:c>
    </x:row>
    <x:row r="5113" ht="22" customHeight="1">
      <x:c r="A5113" s="2"/>
      <x:c r="B5113" s="2" t="str">
        <x:v>17475</x:v>
      </x:c>
      <x:c r="C5113" s="2" t="str">
        <x:v>United Kingdom</x:v>
      </x:c>
      <x:c r="D5113" s="25" t="n">
        <x:v>40807.413194444445</x:v>
      </x:c>
      <x:c r="E5113" s="25" t="n">
        <x:v>40807.413194444445</x:v>
      </x:c>
      <x:c r="F5113" s="2" t="n">
        <x:v>80</x:v>
      </x:c>
      <x:c r="G5113" s="2" t="n">
        <x:v>1</x:v>
      </x:c>
      <x:c r="H5113" s="11" t="n">
        <x:v>194.37</x:v>
      </x:c>
      <x:c r="I5113" s="2" t="n">
        <x:v>3</x:v>
      </x:c>
      <x:c r="J5113" s="2" t="n">
        <x:v>1</x:v>
      </x:c>
      <x:c r="K5113" s="2" t="n">
        <x:v>1</x:v>
      </x:c>
      <x:c r="L5113" s="2" t="str">
        <x:v>Developing</x:v>
      </x:c>
    </x:row>
    <x:row r="5114" ht="22" customHeight="1">
      <x:c r="A5114" s="2"/>
      <x:c r="B5114" s="2" t="str">
        <x:v>17476</x:v>
      </x:c>
      <x:c r="C5114" s="2" t="str">
        <x:v>United Kingdom</x:v>
      </x:c>
      <x:c r="D5114" s="25" t="n">
        <x:v>40149.29791666667</x:v>
      </x:c>
      <x:c r="E5114" s="25" t="n">
        <x:v>40491.222916666666</x:v>
      </x:c>
      <x:c r="F5114" s="2" t="n">
        <x:v>396</x:v>
      </x:c>
      <x:c r="G5114" s="2" t="n">
        <x:v>2</x:v>
      </x:c>
      <x:c r="H5114" s="11" t="n">
        <x:v>489.86</x:v>
      </x:c>
      <x:c r="I5114" s="2" t="n">
        <x:v>2</x:v>
      </x:c>
      <x:c r="J5114" s="2" t="n">
        <x:v>2</x:v>
      </x:c>
      <x:c r="K5114" s="2" t="n">
        <x:v>2</x:v>
      </x:c>
      <x:c r="L5114" s="2" t="str">
        <x:v>Hibernating</x:v>
      </x:c>
    </x:row>
    <x:row r="5115" ht="22" customHeight="1">
      <x:c r="A5115" s="2"/>
      <x:c r="B5115" s="2" t="str">
        <x:v>17477</x:v>
      </x:c>
      <x:c r="C5115" s="2" t="str">
        <x:v>United Kingdom</x:v>
      </x:c>
      <x:c r="D5115" s="25" t="n">
        <x:v>40239.28680555556</x:v>
      </x:c>
      <x:c r="E5115" s="25" t="n">
        <x:v>40274.2125</x:v>
      </x:c>
      <x:c r="F5115" s="2" t="n">
        <x:v>613</x:v>
      </x:c>
      <x:c r="G5115" s="2" t="n">
        <x:v>2</x:v>
      </x:c>
      <x:c r="H5115" s="11" t="n">
        <x:v>1144.3</x:v>
      </x:c>
      <x:c r="I5115" s="2" t="n">
        <x:v>1</x:v>
      </x:c>
      <x:c r="J5115" s="2" t="n">
        <x:v>2</x:v>
      </x:c>
      <x:c r="K5115" s="2" t="n">
        <x:v>3</x:v>
      </x:c>
      <x:c r="L5115" s="2" t="str">
        <x:v>Hibernating</x:v>
      </x:c>
    </x:row>
    <x:row r="5116" ht="22" customHeight="1">
      <x:c r="A5116" s="2"/>
      <x:c r="B5116" s="2" t="str">
        <x:v>17478</x:v>
      </x:c>
      <x:c r="C5116" s="2" t="str">
        <x:v>United Kingdom</x:v>
      </x:c>
      <x:c r="D5116" s="25" t="n">
        <x:v>40253.388194444444</x:v>
      </x:c>
      <x:c r="E5116" s="25" t="n">
        <x:v>40478.41736111111</x:v>
      </x:c>
      <x:c r="F5116" s="2" t="n">
        <x:v>409</x:v>
      </x:c>
      <x:c r="G5116" s="2" t="n">
        <x:v>2</x:v>
      </x:c>
      <x:c r="H5116" s="11" t="n">
        <x:v>1272.8</x:v>
      </x:c>
      <x:c r="I5116" s="2" t="n">
        <x:v>2</x:v>
      </x:c>
      <x:c r="J5116" s="2" t="n">
        <x:v>2</x:v>
      </x:c>
      <x:c r="K5116" s="2" t="n">
        <x:v>4</x:v>
      </x:c>
      <x:c r="L5116" s="2" t="str">
        <x:v>Hibernating</x:v>
      </x:c>
    </x:row>
    <x:row r="5117" ht="22" customHeight="1">
      <x:c r="A5117" s="2"/>
      <x:c r="B5117" s="2" t="str">
        <x:v>17479</x:v>
      </x:c>
      <x:c r="C5117" s="2" t="str">
        <x:v>United Kingdom</x:v>
      </x:c>
      <x:c r="D5117" s="25" t="n">
        <x:v>40254.18472222222</x:v>
      </x:c>
      <x:c r="E5117" s="25" t="n">
        <x:v>40254.18472222222</x:v>
      </x:c>
      <x:c r="F5117" s="2" t="n">
        <x:v>633</x:v>
      </x:c>
      <x:c r="G5117" s="2" t="n">
        <x:v>1</x:v>
      </x:c>
      <x:c r="H5117" s="11" t="n">
        <x:v>389.26</x:v>
      </x:c>
      <x:c r="I5117" s="2" t="n">
        <x:v>1</x:v>
      </x:c>
      <x:c r="J5117" s="2" t="n">
        <x:v>1</x:v>
      </x:c>
      <x:c r="K5117" s="2" t="n">
        <x:v>2</x:v>
      </x:c>
      <x:c r="L5117" s="2" t="str">
        <x:v>Hibernating</x:v>
      </x:c>
    </x:row>
    <x:row r="5118" ht="22" customHeight="1">
      <x:c r="A5118" s="2"/>
      <x:c r="B5118" s="2" t="str">
        <x:v>17480</x:v>
      </x:c>
      <x:c r="C5118" s="2" t="str">
        <x:v>United Kingdom</x:v>
      </x:c>
      <x:c r="D5118" s="25" t="n">
        <x:v>40442.31319444445</x:v>
      </x:c>
      <x:c r="E5118" s="25" t="n">
        <x:v>40809.277083333334</x:v>
      </x:c>
      <x:c r="F5118" s="2" t="n">
        <x:v>78</x:v>
      </x:c>
      <x:c r="G5118" s="2" t="n">
        <x:v>2</x:v>
      </x:c>
      <x:c r="H5118" s="11" t="n">
        <x:v>902.03</x:v>
      </x:c>
      <x:c r="I5118" s="2" t="n">
        <x:v>3</x:v>
      </x:c>
      <x:c r="J5118" s="2" t="n">
        <x:v>2</x:v>
      </x:c>
      <x:c r="K5118" s="2" t="n">
        <x:v>3</x:v>
      </x:c>
      <x:c r="L5118" s="2" t="str">
        <x:v>Developing</x:v>
      </x:c>
    </x:row>
    <x:row r="5119" ht="22" customHeight="1">
      <x:c r="A5119" s="2"/>
      <x:c r="B5119" s="2" t="str">
        <x:v>17481</x:v>
      </x:c>
      <x:c r="C5119" s="2" t="str">
        <x:v>United Kingdom</x:v>
      </x:c>
      <x:c r="D5119" s="25" t="n">
        <x:v>40793.20625</x:v>
      </x:c>
      <x:c r="E5119" s="25" t="n">
        <x:v>40883.311111111114</x:v>
      </x:c>
      <x:c r="F5119" s="2" t="n">
        <x:v>4</x:v>
      </x:c>
      <x:c r="G5119" s="2" t="n">
        <x:v>4</x:v>
      </x:c>
      <x:c r="H5119" s="11" t="n">
        <x:v>1255.59</x:v>
      </x:c>
      <x:c r="I5119" s="2" t="n">
        <x:v>5</x:v>
      </x:c>
      <x:c r="J5119" s="2" t="n">
        <x:v>3</x:v>
      </x:c>
      <x:c r="K5119" s="2" t="n">
        <x:v>4</x:v>
      </x:c>
      <x:c r="L5119" s="2" t="str">
        <x:v>Loyal</x:v>
      </x:c>
    </x:row>
    <x:row r="5120" ht="22" customHeight="1">
      <x:c r="A5120" s="2"/>
      <x:c r="B5120" s="2" t="str">
        <x:v>17482</x:v>
      </x:c>
      <x:c r="C5120" s="2" t="str">
        <x:v>United Kingdom</x:v>
      </x:c>
      <x:c r="D5120" s="25" t="n">
        <x:v>40308.381944444445</x:v>
      </x:c>
      <x:c r="E5120" s="25" t="n">
        <x:v>40399.43958333333</x:v>
      </x:c>
      <x:c r="F5120" s="2" t="n">
        <x:v>488</x:v>
      </x:c>
      <x:c r="G5120" s="2" t="n">
        <x:v>2</x:v>
      </x:c>
      <x:c r="H5120" s="11" t="n">
        <x:v>778.19</x:v>
      </x:c>
      <x:c r="I5120" s="2" t="n">
        <x:v>1</x:v>
      </x:c>
      <x:c r="J5120" s="2" t="n">
        <x:v>2</x:v>
      </x:c>
      <x:c r="K5120" s="2" t="n">
        <x:v>3</x:v>
      </x:c>
      <x:c r="L5120" s="2" t="str">
        <x:v>Hibernating</x:v>
      </x:c>
    </x:row>
    <x:row r="5121" ht="22" customHeight="1">
      <x:c r="A5121" s="2"/>
      <x:c r="B5121" s="2" t="str">
        <x:v>17483</x:v>
      </x:c>
      <x:c r="C5121" s="2" t="str">
        <x:v>United Kingdom</x:v>
      </x:c>
      <x:c r="D5121" s="25" t="n">
        <x:v>40472.32152777778</x:v>
      </x:c>
      <x:c r="E5121" s="25" t="n">
        <x:v>40821.34027777778</x:v>
      </x:c>
      <x:c r="F5121" s="2" t="n">
        <x:v>66</x:v>
      </x:c>
      <x:c r="G5121" s="2" t="n">
        <x:v>4</x:v>
      </x:c>
      <x:c r="H5121" s="11" t="n">
        <x:v>591.73</x:v>
      </x:c>
      <x:c r="I5121" s="2" t="n">
        <x:v>3</x:v>
      </x:c>
      <x:c r="J5121" s="2" t="n">
        <x:v>3</x:v>
      </x:c>
      <x:c r="K5121" s="2" t="n">
        <x:v>2</x:v>
      </x:c>
      <x:c r="L5121" s="2" t="str">
        <x:v>Loyal</x:v>
      </x:c>
    </x:row>
    <x:row r="5122" ht="22" customHeight="1">
      <x:c r="A5122" s="2"/>
      <x:c r="B5122" s="2" t="str">
        <x:v>17484</x:v>
      </x:c>
      <x:c r="C5122" s="2" t="str">
        <x:v>United Kingdom</x:v>
      </x:c>
      <x:c r="D5122" s="25" t="n">
        <x:v>40262.470138888886</x:v>
      </x:c>
      <x:c r="E5122" s="25" t="n">
        <x:v>40310.44513888889</x:v>
      </x:c>
      <x:c r="F5122" s="2" t="n">
        <x:v>577</x:v>
      </x:c>
      <x:c r="G5122" s="2" t="n">
        <x:v>2</x:v>
      </x:c>
      <x:c r="H5122" s="11" t="n">
        <x:v>209.57</x:v>
      </x:c>
      <x:c r="I5122" s="2" t="n">
        <x:v>1</x:v>
      </x:c>
      <x:c r="J5122" s="2" t="n">
        <x:v>2</x:v>
      </x:c>
      <x:c r="K5122" s="2" t="n">
        <x:v>1</x:v>
      </x:c>
      <x:c r="L5122" s="2" t="str">
        <x:v>Hibernating</x:v>
      </x:c>
    </x:row>
    <x:row r="5123" ht="22" customHeight="1">
      <x:c r="A5123" s="2"/>
      <x:c r="B5123" s="2" t="str">
        <x:v>17486</x:v>
      </x:c>
      <x:c r="C5123" s="2" t="str">
        <x:v>United Kingdom</x:v>
      </x:c>
      <x:c r="D5123" s="25" t="n">
        <x:v>40625.375</x:v>
      </x:c>
      <x:c r="E5123" s="25" t="n">
        <x:v>40625.375</x:v>
      </x:c>
      <x:c r="F5123" s="2" t="n">
        <x:v>262</x:v>
      </x:c>
      <x:c r="G5123" s="2" t="n">
        <x:v>1</x:v>
      </x:c>
      <x:c r="H5123" s="11" t="n">
        <x:v>396.87</x:v>
      </x:c>
      <x:c r="I5123" s="2" t="n">
        <x:v>2</x:v>
      </x:c>
      <x:c r="J5123" s="2" t="n">
        <x:v>1</x:v>
      </x:c>
      <x:c r="K5123" s="2" t="n">
        <x:v>2</x:v>
      </x:c>
      <x:c r="L5123" s="2" t="str">
        <x:v>Hibernating</x:v>
      </x:c>
    </x:row>
    <x:row r="5124" ht="22" customHeight="1">
      <x:c r="A5124" s="2"/>
      <x:c r="B5124" s="2" t="str">
        <x:v>17487</x:v>
      </x:c>
      <x:c r="C5124" s="2" t="str">
        <x:v>United Kingdom</x:v>
      </x:c>
      <x:c r="D5124" s="25" t="n">
        <x:v>40158.42083333333</x:v>
      </x:c>
      <x:c r="E5124" s="25" t="n">
        <x:v>40158.42083333333</x:v>
      </x:c>
      <x:c r="F5124" s="2" t="n">
        <x:v>729</x:v>
      </x:c>
      <x:c r="G5124" s="2" t="n">
        <x:v>1</x:v>
      </x:c>
      <x:c r="H5124" s="11" t="n">
        <x:v>160.55</x:v>
      </x:c>
      <x:c r="I5124" s="2" t="n">
        <x:v>1</x:v>
      </x:c>
      <x:c r="J5124" s="2" t="n">
        <x:v>1</x:v>
      </x:c>
      <x:c r="K5124" s="2" t="n">
        <x:v>1</x:v>
      </x:c>
      <x:c r="L5124" s="2" t="str">
        <x:v>Hibernating</x:v>
      </x:c>
    </x:row>
    <x:row r="5125" ht="22" customHeight="1">
      <x:c r="A5125" s="2"/>
      <x:c r="B5125" s="2" t="str">
        <x:v>17488</x:v>
      </x:c>
      <x:c r="C5125" s="2" t="str">
        <x:v>United Kingdom</x:v>
      </x:c>
      <x:c r="D5125" s="25" t="n">
        <x:v>40245.37986111111</x:v>
      </x:c>
      <x:c r="E5125" s="25" t="n">
        <x:v>40245.37986111111</x:v>
      </x:c>
      <x:c r="F5125" s="2" t="n">
        <x:v>642</x:v>
      </x:c>
      <x:c r="G5125" s="2" t="n">
        <x:v>1</x:v>
      </x:c>
      <x:c r="H5125" s="11" t="n">
        <x:v>336.5</x:v>
      </x:c>
      <x:c r="I5125" s="2" t="n">
        <x:v>1</x:v>
      </x:c>
      <x:c r="J5125" s="2" t="n">
        <x:v>1</x:v>
      </x:c>
      <x:c r="K5125" s="2" t="n">
        <x:v>2</x:v>
      </x:c>
      <x:c r="L5125" s="2" t="str">
        <x:v>Hibernating</x:v>
      </x:c>
    </x:row>
    <x:row r="5126" ht="22" customHeight="1">
      <x:c r="A5126" s="2"/>
      <x:c r="B5126" s="2" t="str">
        <x:v>17489</x:v>
      </x:c>
      <x:c r="C5126" s="2" t="str">
        <x:v>United Kingdom</x:v>
      </x:c>
      <x:c r="D5126" s="25" t="n">
        <x:v>40674.27361111111</x:v>
      </x:c>
      <x:c r="E5126" s="25" t="n">
        <x:v>40828.16388888889</x:v>
      </x:c>
      <x:c r="F5126" s="2" t="n">
        <x:v>59</x:v>
      </x:c>
      <x:c r="G5126" s="2" t="n">
        <x:v>2</x:v>
      </x:c>
      <x:c r="H5126" s="11" t="n">
        <x:v>376.64</x:v>
      </x:c>
      <x:c r="I5126" s="2" t="n">
        <x:v>4</x:v>
      </x:c>
      <x:c r="J5126" s="2" t="n">
        <x:v>2</x:v>
      </x:c>
      <x:c r="K5126" s="2" t="n">
        <x:v>2</x:v>
      </x:c>
      <x:c r="L5126" s="2" t="str">
        <x:v>Recent light buyers</x:v>
      </x:c>
    </x:row>
    <x:row r="5127" ht="22" customHeight="1">
      <x:c r="A5127" s="2"/>
      <x:c r="B5127" s="2" t="str">
        <x:v>17490</x:v>
      </x:c>
      <x:c r="C5127" s="2" t="str">
        <x:v>United Kingdom</x:v>
      </x:c>
      <x:c r="D5127" s="25" t="n">
        <x:v>40317.319444444445</x:v>
      </x:c>
      <x:c r="E5127" s="25" t="n">
        <x:v>40886.17222222222</x:v>
      </x:c>
      <x:c r="F5127" s="2" t="n">
        <x:v>1</x:v>
      </x:c>
      <x:c r="G5127" s="2" t="n">
        <x:v>9</x:v>
      </x:c>
      <x:c r="H5127" s="11" t="n">
        <x:v>2750.5</x:v>
      </x:c>
      <x:c r="I5127" s="2" t="n">
        <x:v>5</x:v>
      </x:c>
      <x:c r="J5127" s="2" t="n">
        <x:v>5</x:v>
      </x:c>
      <x:c r="K5127" s="2" t="n">
        <x:v>4</x:v>
      </x:c>
      <x:c r="L5127" s="2" t="str">
        <x:v>Champions</x:v>
      </x:c>
    </x:row>
    <x:row r="5128" ht="22" customHeight="1">
      <x:c r="A5128" s="2"/>
      <x:c r="B5128" s="2" t="str">
        <x:v>17491</x:v>
      </x:c>
      <x:c r="C5128" s="2" t="str">
        <x:v>United Kingdom</x:v>
      </x:c>
      <x:c r="D5128" s="25" t="n">
        <x:v>40296.28958333333</x:v>
      </x:c>
      <x:c r="E5128" s="25" t="n">
        <x:v>40885.47083333333</x:v>
      </x:c>
      <x:c r="F5128" s="2" t="n">
        <x:v>2</x:v>
      </x:c>
      <x:c r="G5128" s="2" t="n">
        <x:v>17</x:v>
      </x:c>
      <x:c r="H5128" s="11" t="n">
        <x:v>5653.67</x:v>
      </x:c>
      <x:c r="I5128" s="2" t="n">
        <x:v>5</x:v>
      </x:c>
      <x:c r="J5128" s="2" t="n">
        <x:v>5</x:v>
      </x:c>
      <x:c r="K5128" s="2" t="n">
        <x:v>5</x:v>
      </x:c>
      <x:c r="L5128" s="2" t="str">
        <x:v>Champions</x:v>
      </x:c>
    </x:row>
    <x:row r="5129" ht="22" customHeight="1">
      <x:c r="A5129" s="2"/>
      <x:c r="B5129" s="2" t="str">
        <x:v>17492</x:v>
      </x:c>
      <x:c r="C5129" s="2" t="str">
        <x:v>United Kingdom</x:v>
      </x:c>
      <x:c r="D5129" s="25" t="n">
        <x:v>40368.35208333333</x:v>
      </x:c>
      <x:c r="E5129" s="25" t="n">
        <x:v>40638.43125</x:v>
      </x:c>
      <x:c r="F5129" s="2" t="n">
        <x:v>249</x:v>
      </x:c>
      <x:c r="G5129" s="2" t="n">
        <x:v>3</x:v>
      </x:c>
      <x:c r="H5129" s="11" t="n">
        <x:v>1122.42</x:v>
      </x:c>
      <x:c r="I5129" s="2" t="n">
        <x:v>2</x:v>
      </x:c>
      <x:c r="J5129" s="2" t="n">
        <x:v>3</x:v>
      </x:c>
      <x:c r="K5129" s="2" t="n">
        <x:v>3</x:v>
      </x:c>
      <x:c r="L5129" s="2" t="str">
        <x:v>At risk</x:v>
      </x:c>
    </x:row>
    <x:row r="5130" ht="22" customHeight="1">
      <x:c r="A5130" s="2"/>
      <x:c r="B5130" s="2" t="str">
        <x:v>17493</x:v>
      </x:c>
      <x:c r="C5130" s="2" t="str">
        <x:v>United Kingdom</x:v>
      </x:c>
      <x:c r="D5130" s="25" t="n">
        <x:v>40501.49791666667</x:v>
      </x:c>
      <x:c r="E5130" s="25" t="n">
        <x:v>40501.49791666667</x:v>
      </x:c>
      <x:c r="F5130" s="2" t="n">
        <x:v>386</x:v>
      </x:c>
      <x:c r="G5130" s="2" t="n">
        <x:v>1</x:v>
      </x:c>
      <x:c r="H5130" s="11" t="n">
        <x:v>100.91</x:v>
      </x:c>
      <x:c r="I5130" s="2" t="n">
        <x:v>2</x:v>
      </x:c>
      <x:c r="J5130" s="2" t="n">
        <x:v>1</x:v>
      </x:c>
      <x:c r="K5130" s="2" t="n">
        <x:v>1</x:v>
      </x:c>
      <x:c r="L5130" s="2" t="str">
        <x:v>Hibernating</x:v>
      </x:c>
    </x:row>
    <x:row r="5131" ht="22" customHeight="1">
      <x:c r="A5131" s="2"/>
      <x:c r="B5131" s="2" t="str">
        <x:v>17494</x:v>
      </x:c>
      <x:c r="C5131" s="2" t="str">
        <x:v>United Kingdom</x:v>
      </x:c>
      <x:c r="D5131" s="25" t="n">
        <x:v>40385.2125</x:v>
      </x:c>
      <x:c r="E5131" s="25" t="n">
        <x:v>40385.2125</x:v>
      </x:c>
      <x:c r="F5131" s="2" t="n">
        <x:v>502</x:v>
      </x:c>
      <x:c r="G5131" s="2" t="n">
        <x:v>1</x:v>
      </x:c>
      <x:c r="H5131" s="11" t="n">
        <x:v>54.7</x:v>
      </x:c>
      <x:c r="I5131" s="2" t="n">
        <x:v>1</x:v>
      </x:c>
      <x:c r="J5131" s="2" t="n">
        <x:v>1</x:v>
      </x:c>
      <x:c r="K5131" s="2" t="n">
        <x:v>1</x:v>
      </x:c>
      <x:c r="L5131" s="2" t="str">
        <x:v>Hibernating</x:v>
      </x:c>
    </x:row>
    <x:row r="5132" ht="22" customHeight="1">
      <x:c r="A5132" s="2"/>
      <x:c r="B5132" s="2" t="str">
        <x:v>17495</x:v>
      </x:c>
      <x:c r="C5132" s="2" t="str">
        <x:v>United Kingdom</x:v>
      </x:c>
      <x:c r="D5132" s="25" t="n">
        <x:v>40496.28472222222</x:v>
      </x:c>
      <x:c r="E5132" s="25" t="n">
        <x:v>40879.29722222222</x:v>
      </x:c>
      <x:c r="F5132" s="2" t="n">
        <x:v>8</x:v>
      </x:c>
      <x:c r="G5132" s="2" t="n">
        <x:v>3</x:v>
      </x:c>
      <x:c r="H5132" s="11" t="n">
        <x:v>806.72</x:v>
      </x:c>
      <x:c r="I5132" s="2" t="n">
        <x:v>5</x:v>
      </x:c>
      <x:c r="J5132" s="2" t="n">
        <x:v>3</x:v>
      </x:c>
      <x:c r="K5132" s="2" t="n">
        <x:v>3</x:v>
      </x:c>
      <x:c r="L5132" s="2" t="str">
        <x:v>Loyal</x:v>
      </x:c>
    </x:row>
    <x:row r="5133" ht="22" customHeight="1">
      <x:c r="A5133" s="2"/>
      <x:c r="B5133" s="2" t="str">
        <x:v>17496</x:v>
      </x:c>
      <x:c r="C5133" s="2" t="str">
        <x:v>United Kingdom</x:v>
      </x:c>
      <x:c r="D5133" s="25" t="n">
        <x:v>40192.35833333333</x:v>
      </x:c>
      <x:c r="E5133" s="25" t="n">
        <x:v>40528.152083333334</x:v>
      </x:c>
      <x:c r="F5133" s="2" t="n">
        <x:v>359</x:v>
      </x:c>
      <x:c r="G5133" s="2" t="n">
        <x:v>4</x:v>
      </x:c>
      <x:c r="H5133" s="11" t="n">
        <x:v>1412.89</x:v>
      </x:c>
      <x:c r="I5133" s="2" t="n">
        <x:v>2</x:v>
      </x:c>
      <x:c r="J5133" s="2" t="n">
        <x:v>3</x:v>
      </x:c>
      <x:c r="K5133" s="2" t="n">
        <x:v>4</x:v>
      </x:c>
      <x:c r="L5133" s="2" t="str">
        <x:v>At risk</x:v>
      </x:c>
    </x:row>
    <x:row r="5134" ht="22" customHeight="1">
      <x:c r="A5134" s="2"/>
      <x:c r="B5134" s="2" t="str">
        <x:v>17497</x:v>
      </x:c>
      <x:c r="C5134" s="2" t="str">
        <x:v>United Kingdom</x:v>
      </x:c>
      <x:c r="D5134" s="25" t="n">
        <x:v>40276.12569444445</x:v>
      </x:c>
      <x:c r="E5134" s="25" t="n">
        <x:v>40496.38680555556</x:v>
      </x:c>
      <x:c r="F5134" s="2" t="n">
        <x:v>391</x:v>
      </x:c>
      <x:c r="G5134" s="2" t="n">
        <x:v>2</x:v>
      </x:c>
      <x:c r="H5134" s="11" t="n">
        <x:v>287.25</x:v>
      </x:c>
      <x:c r="I5134" s="2" t="n">
        <x:v>2</x:v>
      </x:c>
      <x:c r="J5134" s="2" t="n">
        <x:v>2</x:v>
      </x:c>
      <x:c r="K5134" s="2" t="n">
        <x:v>1</x:v>
      </x:c>
      <x:c r="L5134" s="2" t="str">
        <x:v>Hibernating</x:v>
      </x:c>
    </x:row>
    <x:row r="5135" ht="22" customHeight="1">
      <x:c r="A5135" s="2"/>
      <x:c r="B5135" s="2" t="str">
        <x:v>17498</x:v>
      </x:c>
      <x:c r="C5135" s="2" t="str">
        <x:v>United Kingdom</x:v>
      </x:c>
      <x:c r="D5135" s="25" t="n">
        <x:v>40811.30902777778</x:v>
      </x:c>
      <x:c r="E5135" s="25" t="n">
        <x:v>40811.30902777778</x:v>
      </x:c>
      <x:c r="F5135" s="2" t="n">
        <x:v>76</x:v>
      </x:c>
      <x:c r="G5135" s="2" t="n">
        <x:v>1</x:v>
      </x:c>
      <x:c r="H5135" s="11" t="n">
        <x:v>272.22</x:v>
      </x:c>
      <x:c r="I5135" s="2" t="n">
        <x:v>3</x:v>
      </x:c>
      <x:c r="J5135" s="2" t="n">
        <x:v>1</x:v>
      </x:c>
      <x:c r="K5135" s="2" t="n">
        <x:v>1</x:v>
      </x:c>
      <x:c r="L5135" s="2" t="str">
        <x:v>Developing</x:v>
      </x:c>
    </x:row>
    <x:row r="5136" ht="22" customHeight="1">
      <x:c r="A5136" s="2"/>
      <x:c r="B5136" s="2" t="str">
        <x:v>17499</x:v>
      </x:c>
      <x:c r="C5136" s="2" t="str">
        <x:v>United Kingdom</x:v>
      </x:c>
      <x:c r="D5136" s="25" t="n">
        <x:v>40325.20763888889</x:v>
      </x:c>
      <x:c r="E5136" s="25" t="n">
        <x:v>40597.17638888889</x:v>
      </x:c>
      <x:c r="F5136" s="2" t="n">
        <x:v>290</x:v>
      </x:c>
      <x:c r="G5136" s="2" t="n">
        <x:v>2</x:v>
      </x:c>
      <x:c r="H5136" s="11" t="n">
        <x:v>1341.39</x:v>
      </x:c>
      <x:c r="I5136" s="2" t="n">
        <x:v>2</x:v>
      </x:c>
      <x:c r="J5136" s="2" t="n">
        <x:v>2</x:v>
      </x:c>
      <x:c r="K5136" s="2" t="n">
        <x:v>4</x:v>
      </x:c>
      <x:c r="L5136" s="2" t="str">
        <x:v>Hibernating</x:v>
      </x:c>
    </x:row>
    <x:row r="5137" ht="22" customHeight="1">
      <x:c r="A5137" s="2"/>
      <x:c r="B5137" s="2" t="str">
        <x:v>17500</x:v>
      </x:c>
      <x:c r="C5137" s="2" t="str">
        <x:v>United Kingdom</x:v>
      </x:c>
      <x:c r="D5137" s="25" t="n">
        <x:v>40857.17222222222</x:v>
      </x:c>
      <x:c r="E5137" s="25" t="n">
        <x:v>40869.39236111111</x:v>
      </x:c>
      <x:c r="F5137" s="2" t="n">
        <x:v>18</x:v>
      </x:c>
      <x:c r="G5137" s="2" t="n">
        <x:v>3</x:v>
      </x:c>
      <x:c r="H5137" s="11" t="n">
        <x:v>1138</x:v>
      </x:c>
      <x:c r="I5137" s="2" t="n">
        <x:v>5</x:v>
      </x:c>
      <x:c r="J5137" s="2" t="n">
        <x:v>3</x:v>
      </x:c>
      <x:c r="K5137" s="2" t="n">
        <x:v>3</x:v>
      </x:c>
      <x:c r="L5137" s="2" t="str">
        <x:v>Loyal</x:v>
      </x:c>
    </x:row>
    <x:row r="5138" ht="22" customHeight="1">
      <x:c r="A5138" s="2"/>
      <x:c r="B5138" s="2" t="str">
        <x:v>17501</x:v>
      </x:c>
      <x:c r="C5138" s="2" t="str">
        <x:v>United Kingdom</x:v>
      </x:c>
      <x:c r="D5138" s="25" t="n">
        <x:v>40666.19861111111</x:v>
      </x:c>
      <x:c r="E5138" s="25" t="n">
        <x:v>40666.19930555556</x:v>
      </x:c>
      <x:c r="F5138" s="2" t="n">
        <x:v>221</x:v>
      </x:c>
      <x:c r="G5138" s="2" t="n">
        <x:v>2</x:v>
      </x:c>
      <x:c r="H5138" s="11" t="n">
        <x:v>288.6</x:v>
      </x:c>
      <x:c r="I5138" s="2" t="n">
        <x:v>2</x:v>
      </x:c>
      <x:c r="J5138" s="2" t="n">
        <x:v>2</x:v>
      </x:c>
      <x:c r="K5138" s="2" t="n">
        <x:v>2</x:v>
      </x:c>
      <x:c r="L5138" s="2" t="str">
        <x:v>Hibernating</x:v>
      </x:c>
    </x:row>
    <x:row r="5139" ht="22" customHeight="1">
      <x:c r="A5139" s="2"/>
      <x:c r="B5139" s="2" t="str">
        <x:v>17502</x:v>
      </x:c>
      <x:c r="C5139" s="2" t="str">
        <x:v>United Kingdom</x:v>
      </x:c>
      <x:c r="D5139" s="25" t="n">
        <x:v>40857.48541666667</x:v>
      </x:c>
      <x:c r="E5139" s="25" t="n">
        <x:v>40877.342361111114</x:v>
      </x:c>
      <x:c r="F5139" s="2" t="n">
        <x:v>10</x:v>
      </x:c>
      <x:c r="G5139" s="2" t="n">
        <x:v>4</x:v>
      </x:c>
      <x:c r="H5139" s="11" t="n">
        <x:v>689.1</x:v>
      </x:c>
      <x:c r="I5139" s="2" t="n">
        <x:v>5</x:v>
      </x:c>
      <x:c r="J5139" s="2" t="n">
        <x:v>3</x:v>
      </x:c>
      <x:c r="K5139" s="2" t="n">
        <x:v>3</x:v>
      </x:c>
      <x:c r="L5139" s="2" t="str">
        <x:v>Loyal</x:v>
      </x:c>
    </x:row>
    <x:row r="5140" ht="22" customHeight="1">
      <x:c r="A5140" s="2"/>
      <x:c r="B5140" s="2" t="str">
        <x:v>17503</x:v>
      </x:c>
      <x:c r="C5140" s="2" t="str">
        <x:v>United Kingdom</x:v>
      </x:c>
      <x:c r="D5140" s="25" t="n">
        <x:v>40848.25833333333</x:v>
      </x:c>
      <x:c r="E5140" s="25" t="n">
        <x:v>40884.17916666667</x:v>
      </x:c>
      <x:c r="F5140" s="2" t="n">
        <x:v>3</x:v>
      </x:c>
      <x:c r="G5140" s="2" t="n">
        <x:v>2</x:v>
      </x:c>
      <x:c r="H5140" s="11" t="n">
        <x:v>558.96</x:v>
      </x:c>
      <x:c r="I5140" s="2" t="n">
        <x:v>5</x:v>
      </x:c>
      <x:c r="J5140" s="2" t="n">
        <x:v>2</x:v>
      </x:c>
      <x:c r="K5140" s="2" t="n">
        <x:v>2</x:v>
      </x:c>
      <x:c r="L5140" s="2" t="str">
        <x:v>Recent light buyers</x:v>
      </x:c>
    </x:row>
    <x:row r="5141" ht="22" customHeight="1">
      <x:c r="A5141" s="2"/>
      <x:c r="B5141" s="2" t="str">
        <x:v>17504</x:v>
      </x:c>
      <x:c r="C5141" s="2" t="str">
        <x:v>United Kingdom</x:v>
      </x:c>
      <x:c r="D5141" s="25" t="n">
        <x:v>40217.18194444444</x:v>
      </x:c>
      <x:c r="E5141" s="25" t="n">
        <x:v>40680.33263888889</x:v>
      </x:c>
      <x:c r="F5141" s="2" t="n">
        <x:v>207</x:v>
      </x:c>
      <x:c r="G5141" s="2" t="n">
        <x:v>18</x:v>
      </x:c>
      <x:c r="H5141" s="11" t="n">
        <x:v>9565.12</x:v>
      </x:c>
      <x:c r="I5141" s="2" t="n">
        <x:v>2</x:v>
      </x:c>
      <x:c r="J5141" s="2" t="n">
        <x:v>5</x:v>
      </x:c>
      <x:c r="K5141" s="2" t="n">
        <x:v>5</x:v>
      </x:c>
      <x:c r="L5141" s="2" t="str">
        <x:v>At risk</x:v>
      </x:c>
    </x:row>
    <x:row r="5142" ht="22" customHeight="1">
      <x:c r="A5142" s="2"/>
      <x:c r="B5142" s="2" t="str">
        <x:v>17505</x:v>
      </x:c>
      <x:c r="C5142" s="2" t="str">
        <x:v>United Kingdom</x:v>
      </x:c>
      <x:c r="D5142" s="25" t="n">
        <x:v>40281.48125</x:v>
      </x:c>
      <x:c r="E5142" s="25" t="n">
        <x:v>40725.32638888889</x:v>
      </x:c>
      <x:c r="F5142" s="2" t="n">
        <x:v>162</x:v>
      </x:c>
      <x:c r="G5142" s="2" t="n">
        <x:v>5</x:v>
      </x:c>
      <x:c r="H5142" s="11" t="n">
        <x:v>2435.48</x:v>
      </x:c>
      <x:c r="I5142" s="2" t="n">
        <x:v>3</x:v>
      </x:c>
      <x:c r="J5142" s="2" t="n">
        <x:v>4</x:v>
      </x:c>
      <x:c r="K5142" s="2" t="n">
        <x:v>4</x:v>
      </x:c>
      <x:c r="L5142" s="2" t="str">
        <x:v>Loyal</x:v>
      </x:c>
    </x:row>
    <x:row r="5143" ht="22" customHeight="1">
      <x:c r="A5143" s="2"/>
      <x:c r="B5143" s="2" t="str">
        <x:v>17506</x:v>
      </x:c>
      <x:c r="C5143" s="2" t="str">
        <x:v>United Kingdom</x:v>
      </x:c>
      <x:c r="D5143" s="25" t="n">
        <x:v>40811.277083333334</x:v>
      </x:c>
      <x:c r="E5143" s="25" t="n">
        <x:v>40811.277083333334</x:v>
      </x:c>
      <x:c r="F5143" s="2" t="n">
        <x:v>76</x:v>
      </x:c>
      <x:c r="G5143" s="2" t="n">
        <x:v>1</x:v>
      </x:c>
      <x:c r="H5143" s="11" t="n">
        <x:v>302.2</x:v>
      </x:c>
      <x:c r="I5143" s="2" t="n">
        <x:v>3</x:v>
      </x:c>
      <x:c r="J5143" s="2" t="n">
        <x:v>1</x:v>
      </x:c>
      <x:c r="K5143" s="2" t="n">
        <x:v>2</x:v>
      </x:c>
      <x:c r="L5143" s="2" t="str">
        <x:v>Developing</x:v>
      </x:c>
    </x:row>
    <x:row r="5144" ht="22" customHeight="1">
      <x:c r="A5144" s="2"/>
      <x:c r="B5144" s="2" t="str">
        <x:v>17507</x:v>
      </x:c>
      <x:c r="C5144" s="2" t="str">
        <x:v>United Kingdom</x:v>
      </x:c>
      <x:c r="D5144" s="25" t="n">
        <x:v>40577.54722222222</x:v>
      </x:c>
      <x:c r="E5144" s="25" t="n">
        <x:v>40625.28333333333</x:v>
      </x:c>
      <x:c r="F5144" s="2" t="n">
        <x:v>262</x:v>
      </x:c>
      <x:c r="G5144" s="2" t="n">
        <x:v>2</x:v>
      </x:c>
      <x:c r="H5144" s="11" t="n">
        <x:v>605.58</x:v>
      </x:c>
      <x:c r="I5144" s="2" t="n">
        <x:v>2</x:v>
      </x:c>
      <x:c r="J5144" s="2" t="n">
        <x:v>2</x:v>
      </x:c>
      <x:c r="K5144" s="2" t="n">
        <x:v>2</x:v>
      </x:c>
      <x:c r="L5144" s="2" t="str">
        <x:v>Hibernating</x:v>
      </x:c>
    </x:row>
    <x:row r="5145" ht="22" customHeight="1">
      <x:c r="A5145" s="2"/>
      <x:c r="B5145" s="2" t="str">
        <x:v>17508</x:v>
      </x:c>
      <x:c r="C5145" s="2" t="str">
        <x:v>Greece</x:v>
      </x:c>
      <x:c r="D5145" s="25" t="n">
        <x:v>40154.28194444445</x:v>
      </x:c>
      <x:c r="E5145" s="25" t="n">
        <x:v>40606.131944444445</x:v>
      </x:c>
      <x:c r="F5145" s="2" t="n">
        <x:v>281</x:v>
      </x:c>
      <x:c r="G5145" s="2" t="n">
        <x:v>8</x:v>
      </x:c>
      <x:c r="H5145" s="11" t="n">
        <x:v>4579.23</x:v>
      </x:c>
      <x:c r="I5145" s="2" t="n">
        <x:v>2</x:v>
      </x:c>
      <x:c r="J5145" s="2" t="n">
        <x:v>4</x:v>
      </x:c>
      <x:c r="K5145" s="2" t="n">
        <x:v>5</x:v>
      </x:c>
      <x:c r="L5145" s="2" t="str">
        <x:v>At risk</x:v>
      </x:c>
    </x:row>
    <x:row r="5146" ht="22" customHeight="1">
      <x:c r="A5146" s="2"/>
      <x:c r="B5146" s="2" t="str">
        <x:v>17509</x:v>
      </x:c>
      <x:c r="C5146" s="2" t="str">
        <x:v>United Kingdom</x:v>
      </x:c>
      <x:c r="D5146" s="25" t="n">
        <x:v>40823.34305555555</x:v>
      </x:c>
      <x:c r="E5146" s="25" t="n">
        <x:v>40829.22638888889</x:v>
      </x:c>
      <x:c r="F5146" s="2" t="n">
        <x:v>58</x:v>
      </x:c>
      <x:c r="G5146" s="2" t="n">
        <x:v>8</x:v>
      </x:c>
      <x:c r="H5146" s="11" t="n">
        <x:v>6115.14</x:v>
      </x:c>
      <x:c r="I5146" s="2" t="n">
        <x:v>4</x:v>
      </x:c>
      <x:c r="J5146" s="2" t="n">
        <x:v>4</x:v>
      </x:c>
      <x:c r="K5146" s="2" t="n">
        <x:v>5</x:v>
      </x:c>
      <x:c r="L5146" s="2" t="str">
        <x:v>Champions</x:v>
      </x:c>
    </x:row>
    <x:row r="5147" ht="22" customHeight="1">
      <x:c r="A5147" s="2"/>
      <x:c r="B5147" s="2" t="str">
        <x:v>17510</x:v>
      </x:c>
      <x:c r="C5147" s="2" t="str">
        <x:v>United Kingdom</x:v>
      </x:c>
      <x:c r="D5147" s="25" t="n">
        <x:v>40466.22222222222</x:v>
      </x:c>
      <x:c r="E5147" s="25" t="n">
        <x:v>40862.208333333336</x:v>
      </x:c>
      <x:c r="F5147" s="2" t="n">
        <x:v>25</x:v>
      </x:c>
      <x:c r="G5147" s="2" t="n">
        <x:v>2</x:v>
      </x:c>
      <x:c r="H5147" s="11" t="n">
        <x:v>514.56</x:v>
      </x:c>
      <x:c r="I5147" s="2" t="n">
        <x:v>4</x:v>
      </x:c>
      <x:c r="J5147" s="2" t="n">
        <x:v>2</x:v>
      </x:c>
      <x:c r="K5147" s="2" t="n">
        <x:v>2</x:v>
      </x:c>
      <x:c r="L5147" s="2" t="str">
        <x:v>Recent light buyers</x:v>
      </x:c>
    </x:row>
    <x:row r="5148" ht="22" customHeight="1">
      <x:c r="A5148" s="2"/>
      <x:c r="B5148" s="2" t="str">
        <x:v>17511</x:v>
      </x:c>
      <x:c r="C5148" s="2" t="str">
        <x:v>United Kingdom</x:v>
      </x:c>
      <x:c r="D5148" s="25" t="n">
        <x:v>40149.24444444444</x:v>
      </x:c>
      <x:c r="E5148" s="25" t="n">
        <x:v>40884.21666666667</x:v>
      </x:c>
      <x:c r="F5148" s="2" t="n">
        <x:v>3</x:v>
      </x:c>
      <x:c r="G5148" s="2" t="n">
        <x:v>60</x:v>
      </x:c>
      <x:c r="H5148" s="11" t="n">
        <x:v>172132.87</x:v>
      </x:c>
      <x:c r="I5148" s="2" t="n">
        <x:v>5</x:v>
      </x:c>
      <x:c r="J5148" s="2" t="n">
        <x:v>5</x:v>
      </x:c>
      <x:c r="K5148" s="2" t="n">
        <x:v>5</x:v>
      </x:c>
      <x:c r="L5148" s="2" t="str">
        <x:v>Champions</x:v>
      </x:c>
    </x:row>
    <x:row r="5149" ht="22" customHeight="1">
      <x:c r="A5149" s="2"/>
      <x:c r="B5149" s="2" t="str">
        <x:v>17512</x:v>
      </x:c>
      <x:c r="C5149" s="2" t="str">
        <x:v>United Kingdom</x:v>
      </x:c>
      <x:c r="D5149" s="25" t="n">
        <x:v>40157.60763888889</x:v>
      </x:c>
      <x:c r="E5149" s="25" t="n">
        <x:v>40858.299305555556</x:v>
      </x:c>
      <x:c r="F5149" s="2" t="n">
        <x:v>29</x:v>
      </x:c>
      <x:c r="G5149" s="2" t="n">
        <x:v>18</x:v>
      </x:c>
      <x:c r="H5149" s="11" t="n">
        <x:v>5467.82</x:v>
      </x:c>
      <x:c r="I5149" s="2" t="n">
        <x:v>4</x:v>
      </x:c>
      <x:c r="J5149" s="2" t="n">
        <x:v>5</x:v>
      </x:c>
      <x:c r="K5149" s="2" t="n">
        <x:v>5</x:v>
      </x:c>
      <x:c r="L5149" s="2" t="str">
        <x:v>Champions</x:v>
      </x:c>
    </x:row>
    <x:row r="5150" ht="22" customHeight="1">
      <x:c r="A5150" s="2"/>
      <x:c r="B5150" s="2" t="str">
        <x:v>17513</x:v>
      </x:c>
      <x:c r="C5150" s="2" t="str">
        <x:v>United Kingdom</x:v>
      </x:c>
      <x:c r="D5150" s="25" t="n">
        <x:v>40407.42222222222</x:v>
      </x:c>
      <x:c r="E5150" s="25" t="n">
        <x:v>40814.4875</x:v>
      </x:c>
      <x:c r="F5150" s="2" t="n">
        <x:v>73</x:v>
      </x:c>
      <x:c r="G5150" s="2" t="n">
        <x:v>3</x:v>
      </x:c>
      <x:c r="H5150" s="11" t="n">
        <x:v>1158.8</x:v>
      </x:c>
      <x:c r="I5150" s="2" t="n">
        <x:v>3</x:v>
      </x:c>
      <x:c r="J5150" s="2" t="n">
        <x:v>3</x:v>
      </x:c>
      <x:c r="K5150" s="2" t="n">
        <x:v>3</x:v>
      </x:c>
      <x:c r="L5150" s="2" t="str">
        <x:v>Loyal</x:v>
      </x:c>
    </x:row>
    <x:row r="5151" ht="22" customHeight="1">
      <x:c r="A5151" s="2"/>
      <x:c r="B5151" s="2" t="str">
        <x:v>17514</x:v>
      </x:c>
      <x:c r="C5151" s="2" t="str">
        <x:v>United Kingdom</x:v>
      </x:c>
      <x:c r="D5151" s="25" t="n">
        <x:v>40217.375</x:v>
      </x:c>
      <x:c r="E5151" s="25" t="n">
        <x:v>40758.447916666664</x:v>
      </x:c>
      <x:c r="F5151" s="2" t="n">
        <x:v>129</x:v>
      </x:c>
      <x:c r="G5151" s="2" t="n">
        <x:v>2</x:v>
      </x:c>
      <x:c r="H5151" s="11" t="n">
        <x:v>542.83</x:v>
      </x:c>
      <x:c r="I5151" s="2" t="n">
        <x:v>3</x:v>
      </x:c>
      <x:c r="J5151" s="2" t="n">
        <x:v>2</x:v>
      </x:c>
      <x:c r="K5151" s="2" t="n">
        <x:v>2</x:v>
      </x:c>
      <x:c r="L5151" s="2" t="str">
        <x:v>Developing</x:v>
      </x:c>
    </x:row>
    <x:row r="5152" ht="22" customHeight="1">
      <x:c r="A5152" s="2"/>
      <x:c r="B5152" s="2" t="str">
        <x:v>17515</x:v>
      </x:c>
      <x:c r="C5152" s="2" t="str">
        <x:v>United Kingdom</x:v>
      </x:c>
      <x:c r="D5152" s="25" t="n">
        <x:v>40336.353472222225</x:v>
      </x:c>
      <x:c r="E5152" s="25" t="n">
        <x:v>40855.37777777778</x:v>
      </x:c>
      <x:c r="F5152" s="2" t="n">
        <x:v>32</x:v>
      </x:c>
      <x:c r="G5152" s="2" t="n">
        <x:v>9</x:v>
      </x:c>
      <x:c r="H5152" s="11" t="n">
        <x:v>1617.46</x:v>
      </x:c>
      <x:c r="I5152" s="2" t="n">
        <x:v>4</x:v>
      </x:c>
      <x:c r="J5152" s="2" t="n">
        <x:v>5</x:v>
      </x:c>
      <x:c r="K5152" s="2" t="n">
        <x:v>4</x:v>
      </x:c>
      <x:c r="L5152" s="2" t="str">
        <x:v>Champions</x:v>
      </x:c>
    </x:row>
    <x:row r="5153" ht="22" customHeight="1">
      <x:c r="A5153" s="2"/>
      <x:c r="B5153" s="2" t="str">
        <x:v>17516</x:v>
      </x:c>
      <x:c r="C5153" s="2" t="str">
        <x:v>United Kingdom</x:v>
      </x:c>
      <x:c r="D5153" s="25" t="n">
        <x:v>40508.32638888889</x:v>
      </x:c>
      <x:c r="E5153" s="25" t="n">
        <x:v>40871.49375</x:v>
      </x:c>
      <x:c r="F5153" s="2" t="n">
        <x:v>16</x:v>
      </x:c>
      <x:c r="G5153" s="2" t="n">
        <x:v>6</x:v>
      </x:c>
      <x:c r="H5153" s="11" t="n">
        <x:v>957.55</x:v>
      </x:c>
      <x:c r="I5153" s="2" t="n">
        <x:v>5</x:v>
      </x:c>
      <x:c r="J5153" s="2" t="n">
        <x:v>4</x:v>
      </x:c>
      <x:c r="K5153" s="2" t="n">
        <x:v>3</x:v>
      </x:c>
      <x:c r="L5153" s="2" t="str">
        <x:v>Loyal</x:v>
      </x:c>
    </x:row>
    <x:row r="5154" ht="22" customHeight="1">
      <x:c r="A5154" s="2"/>
      <x:c r="B5154" s="2" t="str">
        <x:v>17517</x:v>
      </x:c>
      <x:c r="C5154" s="2" t="str">
        <x:v>United Kingdom</x:v>
      </x:c>
      <x:c r="D5154" s="25" t="n">
        <x:v>40578.28333333333</x:v>
      </x:c>
      <x:c r="E5154" s="25" t="n">
        <x:v>40578.28333333333</x:v>
      </x:c>
      <x:c r="F5154" s="2" t="n">
        <x:v>309</x:v>
      </x:c>
      <x:c r="G5154" s="2" t="n">
        <x:v>1</x:v>
      </x:c>
      <x:c r="H5154" s="11" t="n">
        <x:v>153.94</x:v>
      </x:c>
      <x:c r="I5154" s="2" t="n">
        <x:v>2</x:v>
      </x:c>
      <x:c r="J5154" s="2" t="n">
        <x:v>1</x:v>
      </x:c>
      <x:c r="K5154" s="2" t="n">
        <x:v>1</x:v>
      </x:c>
      <x:c r="L5154" s="2" t="str">
        <x:v>Hibernating</x:v>
      </x:c>
    </x:row>
    <x:row r="5155" ht="22" customHeight="1">
      <x:c r="A5155" s="2"/>
      <x:c r="B5155" s="2" t="str">
        <x:v>17518</x:v>
      </x:c>
      <x:c r="C5155" s="2" t="str">
        <x:v>United Kingdom</x:v>
      </x:c>
      <x:c r="D5155" s="25" t="n">
        <x:v>40265.35486111111</x:v>
      </x:c>
      <x:c r="E5155" s="25" t="n">
        <x:v>40461.319444444445</x:v>
      </x:c>
      <x:c r="F5155" s="2" t="n">
        <x:v>426</x:v>
      </x:c>
      <x:c r="G5155" s="2" t="n">
        <x:v>2</x:v>
      </x:c>
      <x:c r="H5155" s="11" t="n">
        <x:v>329.42</x:v>
      </x:c>
      <x:c r="I5155" s="2" t="n">
        <x:v>1</x:v>
      </x:c>
      <x:c r="J5155" s="2" t="n">
        <x:v>2</x:v>
      </x:c>
      <x:c r="K5155" s="2" t="n">
        <x:v>2</x:v>
      </x:c>
      <x:c r="L5155" s="2" t="str">
        <x:v>Hibernating</x:v>
      </x:c>
    </x:row>
    <x:row r="5156" ht="22" customHeight="1">
      <x:c r="A5156" s="2"/>
      <x:c r="B5156" s="2" t="str">
        <x:v>17519</x:v>
      </x:c>
      <x:c r="C5156" s="2" t="str">
        <x:v>United Kingdom</x:v>
      </x:c>
      <x:c r="D5156" s="25" t="n">
        <x:v>40148.20625</x:v>
      </x:c>
      <x:c r="E5156" s="25" t="n">
        <x:v>40869.48819444444</x:v>
      </x:c>
      <x:c r="F5156" s="2" t="n">
        <x:v>18</x:v>
      </x:c>
      <x:c r="G5156" s="2" t="n">
        <x:v>15</x:v>
      </x:c>
      <x:c r="H5156" s="11" t="n">
        <x:v>4774.17</x:v>
      </x:c>
      <x:c r="I5156" s="2" t="n">
        <x:v>5</x:v>
      </x:c>
      <x:c r="J5156" s="2" t="n">
        <x:v>5</x:v>
      </x:c>
      <x:c r="K5156" s="2" t="n">
        <x:v>5</x:v>
      </x:c>
      <x:c r="L5156" s="2" t="str">
        <x:v>Champions</x:v>
      </x:c>
    </x:row>
    <x:row r="5157" ht="22" customHeight="1">
      <x:c r="A5157" s="2"/>
      <x:c r="B5157" s="2" t="str">
        <x:v>17520</x:v>
      </x:c>
      <x:c r="C5157" s="2" t="str">
        <x:v>United Kingdom</x:v>
      </x:c>
      <x:c r="D5157" s="25" t="n">
        <x:v>40833.294444444444</x:v>
      </x:c>
      <x:c r="E5157" s="25" t="n">
        <x:v>40833.294444444444</x:v>
      </x:c>
      <x:c r="F5157" s="2" t="n">
        <x:v>54</x:v>
      </x:c>
      <x:c r="G5157" s="2" t="n">
        <x:v>1</x:v>
      </x:c>
      <x:c r="H5157" s="11" t="n">
        <x:v>546.81</x:v>
      </x:c>
      <x:c r="I5157" s="2" t="n">
        <x:v>4</x:v>
      </x:c>
      <x:c r="J5157" s="2" t="n">
        <x:v>1</x:v>
      </x:c>
      <x:c r="K5157" s="2" t="n">
        <x:v>2</x:v>
      </x:c>
      <x:c r="L5157" s="2" t="str">
        <x:v>Recent light buyers</x:v>
      </x:c>
    </x:row>
    <x:row r="5158" ht="22" customHeight="1">
      <x:c r="A5158" s="2"/>
      <x:c r="B5158" s="2" t="str">
        <x:v>17521</x:v>
      </x:c>
      <x:c r="C5158" s="2" t="str">
        <x:v>United Kingdom</x:v>
      </x:c>
      <x:c r="D5158" s="25" t="n">
        <x:v>40452.28402777778</x:v>
      </x:c>
      <x:c r="E5158" s="25" t="n">
        <x:v>40857.26527777778</x:v>
      </x:c>
      <x:c r="F5158" s="2" t="n">
        <x:v>30</x:v>
      </x:c>
      <x:c r="G5158" s="2" t="n">
        <x:v>5</x:v>
      </x:c>
      <x:c r="H5158" s="11" t="n">
        <x:v>1278.06</x:v>
      </x:c>
      <x:c r="I5158" s="2" t="n">
        <x:v>4</x:v>
      </x:c>
      <x:c r="J5158" s="2" t="n">
        <x:v>4</x:v>
      </x:c>
      <x:c r="K5158" s="2" t="n">
        <x:v>4</x:v>
      </x:c>
      <x:c r="L5158" s="2" t="str">
        <x:v>Champions</x:v>
      </x:c>
    </x:row>
    <x:row r="5159" ht="22" customHeight="1">
      <x:c r="A5159" s="2"/>
      <x:c r="B5159" s="2" t="str">
        <x:v>17522</x:v>
      </x:c>
      <x:c r="C5159" s="2" t="str">
        <x:v>United Kingdom</x:v>
      </x:c>
      <x:c r="D5159" s="25" t="n">
        <x:v>40668.47986111111</x:v>
      </x:c>
      <x:c r="E5159" s="25" t="n">
        <x:v>40885.31319444445</x:v>
      </x:c>
      <x:c r="F5159" s="2" t="n">
        <x:v>2</x:v>
      </x:c>
      <x:c r="G5159" s="2" t="n">
        <x:v>5</x:v>
      </x:c>
      <x:c r="H5159" s="11" t="n">
        <x:v>1070.71</x:v>
      </x:c>
      <x:c r="I5159" s="2" t="n">
        <x:v>5</x:v>
      </x:c>
      <x:c r="J5159" s="2" t="n">
        <x:v>4</x:v>
      </x:c>
      <x:c r="K5159" s="2" t="n">
        <x:v>3</x:v>
      </x:c>
      <x:c r="L5159" s="2" t="str">
        <x:v>Loyal</x:v>
      </x:c>
    </x:row>
    <x:row r="5160" ht="22" customHeight="1">
      <x:c r="A5160" s="2"/>
      <x:c r="B5160" s="2" t="str">
        <x:v>17523</x:v>
      </x:c>
      <x:c r="C5160" s="2" t="str">
        <x:v>United Kingdom</x:v>
      </x:c>
      <x:c r="D5160" s="25" t="n">
        <x:v>40867.36111111111</x:v>
      </x:c>
      <x:c r="E5160" s="25" t="n">
        <x:v>40875.34722222222</x:v>
      </x:c>
      <x:c r="F5160" s="2" t="n">
        <x:v>12</x:v>
      </x:c>
      <x:c r="G5160" s="2" t="n">
        <x:v>4</x:v>
      </x:c>
      <x:c r="H5160" s="11" t="n">
        <x:v>652.74</x:v>
      </x:c>
      <x:c r="I5160" s="2" t="n">
        <x:v>5</x:v>
      </x:c>
      <x:c r="J5160" s="2" t="n">
        <x:v>3</x:v>
      </x:c>
      <x:c r="K5160" s="2" t="n">
        <x:v>3</x:v>
      </x:c>
      <x:c r="L5160" s="2" t="str">
        <x:v>Loyal</x:v>
      </x:c>
    </x:row>
    <x:row r="5161" ht="22" customHeight="1">
      <x:c r="A5161" s="2"/>
      <x:c r="B5161" s="2" t="str">
        <x:v>17524</x:v>
      </x:c>
      <x:c r="C5161" s="2" t="str">
        <x:v>United Kingdom</x:v>
      </x:c>
      <x:c r="D5161" s="25" t="n">
        <x:v>40448.47222222222</x:v>
      </x:c>
      <x:c r="E5161" s="25" t="n">
        <x:v>40525.39722222222</x:v>
      </x:c>
      <x:c r="F5161" s="2" t="n">
        <x:v>362</x:v>
      </x:c>
      <x:c r="G5161" s="2" t="n">
        <x:v>3</x:v>
      </x:c>
      <x:c r="H5161" s="11" t="n">
        <x:v>539.14</x:v>
      </x:c>
      <x:c r="I5161" s="2" t="n">
        <x:v>2</x:v>
      </x:c>
      <x:c r="J5161" s="2" t="n">
        <x:v>3</x:v>
      </x:c>
      <x:c r="K5161" s="2" t="n">
        <x:v>2</x:v>
      </x:c>
      <x:c r="L5161" s="2" t="str">
        <x:v>At risk</x:v>
      </x:c>
    </x:row>
    <x:row r="5162" ht="22" customHeight="1">
      <x:c r="A5162" s="2"/>
      <x:c r="B5162" s="2" t="str">
        <x:v>17525</x:v>
      </x:c>
      <x:c r="C5162" s="2" t="str">
        <x:v>United Kingdom</x:v>
      </x:c>
      <x:c r="D5162" s="25" t="n">
        <x:v>40458.175</x:v>
      </x:c>
      <x:c r="E5162" s="25" t="n">
        <x:v>40527.29513888889</x:v>
      </x:c>
      <x:c r="F5162" s="2" t="n">
        <x:v>360</x:v>
      </x:c>
      <x:c r="G5162" s="2" t="n">
        <x:v>3</x:v>
      </x:c>
      <x:c r="H5162" s="11" t="n">
        <x:v>1161.9</x:v>
      </x:c>
      <x:c r="I5162" s="2" t="n">
        <x:v>2</x:v>
      </x:c>
      <x:c r="J5162" s="2" t="n">
        <x:v>3</x:v>
      </x:c>
      <x:c r="K5162" s="2" t="n">
        <x:v>3</x:v>
      </x:c>
      <x:c r="L5162" s="2" t="str">
        <x:v>At risk</x:v>
      </x:c>
    </x:row>
    <x:row r="5163" ht="22" customHeight="1">
      <x:c r="A5163" s="2"/>
      <x:c r="B5163" s="2" t="str">
        <x:v>17526</x:v>
      </x:c>
      <x:c r="C5163" s="2" t="str">
        <x:v>United Kingdom</x:v>
      </x:c>
      <x:c r="D5163" s="25" t="n">
        <x:v>40164.47083333333</x:v>
      </x:c>
      <x:c r="E5163" s="25" t="n">
        <x:v>40882.25347222222</x:v>
      </x:c>
      <x:c r="F5163" s="2" t="n">
        <x:v>5</x:v>
      </x:c>
      <x:c r="G5163" s="2" t="n">
        <x:v>12</x:v>
      </x:c>
      <x:c r="H5163" s="11" t="n">
        <x:v>3939.24</x:v>
      </x:c>
      <x:c r="I5163" s="2" t="n">
        <x:v>5</x:v>
      </x:c>
      <x:c r="J5163" s="2" t="n">
        <x:v>5</x:v>
      </x:c>
      <x:c r="K5163" s="2" t="n">
        <x:v>5</x:v>
      </x:c>
      <x:c r="L5163" s="2" t="str">
        <x:v>Champions</x:v>
      </x:c>
    </x:row>
    <x:row r="5164" ht="22" customHeight="1">
      <x:c r="A5164" s="2"/>
      <x:c r="B5164" s="2" t="str">
        <x:v>17527</x:v>
      </x:c>
      <x:c r="C5164" s="2" t="str">
        <x:v>United Kingdom</x:v>
      </x:c>
      <x:c r="D5164" s="25" t="n">
        <x:v>40668.36319444444</x:v>
      </x:c>
      <x:c r="E5164" s="25" t="n">
        <x:v>40833.313888888886</x:v>
      </x:c>
      <x:c r="F5164" s="2" t="n">
        <x:v>54</x:v>
      </x:c>
      <x:c r="G5164" s="2" t="n">
        <x:v>4</x:v>
      </x:c>
      <x:c r="H5164" s="11" t="n">
        <x:v>939.37</x:v>
      </x:c>
      <x:c r="I5164" s="2" t="n">
        <x:v>4</x:v>
      </x:c>
      <x:c r="J5164" s="2" t="n">
        <x:v>3</x:v>
      </x:c>
      <x:c r="K5164" s="2" t="n">
        <x:v>3</x:v>
      </x:c>
      <x:c r="L5164" s="2" t="str">
        <x:v>Loyal</x:v>
      </x:c>
    </x:row>
    <x:row r="5165" ht="22" customHeight="1">
      <x:c r="A5165" s="2"/>
      <x:c r="B5165" s="2" t="str">
        <x:v>17528</x:v>
      </x:c>
      <x:c r="C5165" s="2" t="str">
        <x:v>United Kingdom</x:v>
      </x:c>
      <x:c r="D5165" s="25" t="n">
        <x:v>40815.33611111111</x:v>
      </x:c>
      <x:c r="E5165" s="25" t="n">
        <x:v>40885.35208333333</x:v>
      </x:c>
      <x:c r="F5165" s="2" t="n">
        <x:v>2</x:v>
      </x:c>
      <x:c r="G5165" s="2" t="n">
        <x:v>8</x:v>
      </x:c>
      <x:c r="H5165" s="11" t="n">
        <x:v>3628.5</x:v>
      </x:c>
      <x:c r="I5165" s="2" t="n">
        <x:v>5</x:v>
      </x:c>
      <x:c r="J5165" s="2" t="n">
        <x:v>4</x:v>
      </x:c>
      <x:c r="K5165" s="2" t="n">
        <x:v>5</x:v>
      </x:c>
      <x:c r="L5165" s="2" t="str">
        <x:v>Champions</x:v>
      </x:c>
    </x:row>
    <x:row r="5166" ht="22" customHeight="1">
      <x:c r="A5166" s="2"/>
      <x:c r="B5166" s="2" t="str">
        <x:v>17529</x:v>
      </x:c>
      <x:c r="C5166" s="2" t="str">
        <x:v>United Kingdom</x:v>
      </x:c>
      <x:c r="D5166" s="25" t="n">
        <x:v>40189.31180555555</x:v>
      </x:c>
      <x:c r="E5166" s="25" t="n">
        <x:v>40276.535416666666</x:v>
      </x:c>
      <x:c r="F5166" s="2" t="n">
        <x:v>611</x:v>
      </x:c>
      <x:c r="G5166" s="2" t="n">
        <x:v>2</x:v>
      </x:c>
      <x:c r="H5166" s="11" t="n">
        <x:v>1240.25</x:v>
      </x:c>
      <x:c r="I5166" s="2" t="n">
        <x:v>1</x:v>
      </x:c>
      <x:c r="J5166" s="2" t="n">
        <x:v>2</x:v>
      </x:c>
      <x:c r="K5166" s="2" t="n">
        <x:v>4</x:v>
      </x:c>
      <x:c r="L5166" s="2" t="str">
        <x:v>Hibernating</x:v>
      </x:c>
    </x:row>
    <x:row r="5167" ht="22" customHeight="1">
      <x:c r="A5167" s="2"/>
      <x:c r="B5167" s="2" t="str">
        <x:v>17530</x:v>
      </x:c>
      <x:c r="C5167" s="2" t="str">
        <x:v>United Kingdom</x:v>
      </x:c>
      <x:c r="D5167" s="25" t="n">
        <x:v>40153.470138888886</x:v>
      </x:c>
      <x:c r="E5167" s="25" t="n">
        <x:v>40885.57083333333</x:v>
      </x:c>
      <x:c r="F5167" s="2" t="n">
        <x:v>2</x:v>
      </x:c>
      <x:c r="G5167" s="2" t="n">
        <x:v>12</x:v>
      </x:c>
      <x:c r="H5167" s="11" t="n">
        <x:v>2840.87</x:v>
      </x:c>
      <x:c r="I5167" s="2" t="n">
        <x:v>5</x:v>
      </x:c>
      <x:c r="J5167" s="2" t="n">
        <x:v>5</x:v>
      </x:c>
      <x:c r="K5167" s="2" t="n">
        <x:v>4</x:v>
      </x:c>
      <x:c r="L5167" s="2" t="str">
        <x:v>Champions</x:v>
      </x:c>
    </x:row>
    <x:row r="5168" ht="22" customHeight="1">
      <x:c r="A5168" s="2"/>
      <x:c r="B5168" s="2" t="str">
        <x:v>17531</x:v>
      </x:c>
      <x:c r="C5168" s="2" t="str">
        <x:v>United Kingdom</x:v>
      </x:c>
      <x:c r="D5168" s="25" t="n">
        <x:v>40268.33125</x:v>
      </x:c>
      <x:c r="E5168" s="25" t="n">
        <x:v>40696.595138888886</x:v>
      </x:c>
      <x:c r="F5168" s="2" t="n">
        <x:v>191</x:v>
      </x:c>
      <x:c r="G5168" s="2" t="n">
        <x:v>3</x:v>
      </x:c>
      <x:c r="H5168" s="11" t="n">
        <x:v>1266.82</x:v>
      </x:c>
      <x:c r="I5168" s="2" t="n">
        <x:v>2</x:v>
      </x:c>
      <x:c r="J5168" s="2" t="n">
        <x:v>3</x:v>
      </x:c>
      <x:c r="K5168" s="2" t="n">
        <x:v>4</x:v>
      </x:c>
      <x:c r="L5168" s="2" t="str">
        <x:v>At risk</x:v>
      </x:c>
    </x:row>
    <x:row r="5169" ht="22" customHeight="1">
      <x:c r="A5169" s="2"/>
      <x:c r="B5169" s="2" t="str">
        <x:v>17532</x:v>
      </x:c>
      <x:c r="C5169" s="2" t="str">
        <x:v>United Kingdom</x:v>
      </x:c>
      <x:c r="D5169" s="25" t="n">
        <x:v>40501.13402777778</x:v>
      </x:c>
      <x:c r="E5169" s="25" t="n">
        <x:v>40501.13402777778</x:v>
      </x:c>
      <x:c r="F5169" s="2" t="n">
        <x:v>386</x:v>
      </x:c>
      <x:c r="G5169" s="2" t="n">
        <x:v>1</x:v>
      </x:c>
      <x:c r="H5169" s="11" t="n">
        <x:v>65.34</x:v>
      </x:c>
      <x:c r="I5169" s="2" t="n">
        <x:v>2</x:v>
      </x:c>
      <x:c r="J5169" s="2" t="n">
        <x:v>1</x:v>
      </x:c>
      <x:c r="K5169" s="2" t="n">
        <x:v>1</x:v>
      </x:c>
      <x:c r="L5169" s="2" t="str">
        <x:v>Hibernating</x:v>
      </x:c>
    </x:row>
    <x:row r="5170" ht="22" customHeight="1">
      <x:c r="A5170" s="2"/>
      <x:c r="B5170" s="2" t="str">
        <x:v>17533</x:v>
      </x:c>
      <x:c r="C5170" s="2" t="str">
        <x:v>United Kingdom</x:v>
      </x:c>
      <x:c r="D5170" s="25" t="n">
        <x:v>40452.17638888889</x:v>
      </x:c>
      <x:c r="E5170" s="25" t="n">
        <x:v>40452.17638888889</x:v>
      </x:c>
      <x:c r="F5170" s="2" t="n">
        <x:v>435</x:v>
      </x:c>
      <x:c r="G5170" s="2" t="n">
        <x:v>1</x:v>
      </x:c>
      <x:c r="H5170" s="11" t="n">
        <x:v>34.8</x:v>
      </x:c>
      <x:c r="I5170" s="2" t="n">
        <x:v>1</x:v>
      </x:c>
      <x:c r="J5170" s="2" t="n">
        <x:v>1</x:v>
      </x:c>
      <x:c r="K5170" s="2" t="n">
        <x:v>1</x:v>
      </x:c>
      <x:c r="L5170" s="2" t="str">
        <x:v>Hibernating</x:v>
      </x:c>
    </x:row>
    <x:row r="5171" ht="22" customHeight="1">
      <x:c r="A5171" s="2"/>
      <x:c r="B5171" s="2" t="str">
        <x:v>17534</x:v>
      </x:c>
      <x:c r="C5171" s="2" t="str">
        <x:v>United Kingdom</x:v>
      </x:c>
      <x:c r="D5171" s="25" t="n">
        <x:v>40234.49652777778</x:v>
      </x:c>
      <x:c r="E5171" s="25" t="n">
        <x:v>40833.32430555556</x:v>
      </x:c>
      <x:c r="F5171" s="2" t="n">
        <x:v>54</x:v>
      </x:c>
      <x:c r="G5171" s="2" t="n">
        <x:v>5</x:v>
      </x:c>
      <x:c r="H5171" s="11" t="n">
        <x:v>1668.83</x:v>
      </x:c>
      <x:c r="I5171" s="2" t="n">
        <x:v>4</x:v>
      </x:c>
      <x:c r="J5171" s="2" t="n">
        <x:v>4</x:v>
      </x:c>
      <x:c r="K5171" s="2" t="n">
        <x:v>4</x:v>
      </x:c>
      <x:c r="L5171" s="2" t="str">
        <x:v>Champions</x:v>
      </x:c>
    </x:row>
    <x:row r="5172" ht="22" customHeight="1">
      <x:c r="A5172" s="2"/>
      <x:c r="B5172" s="2" t="str">
        <x:v>17535</x:v>
      </x:c>
      <x:c r="C5172" s="2" t="str">
        <x:v>United Kingdom</x:v>
      </x:c>
      <x:c r="D5172" s="25" t="n">
        <x:v>40606.430555555555</x:v>
      </x:c>
      <x:c r="E5172" s="25" t="n">
        <x:v>40606.430555555555</x:v>
      </x:c>
      <x:c r="F5172" s="2" t="n">
        <x:v>281</x:v>
      </x:c>
      <x:c r="G5172" s="2" t="n">
        <x:v>1</x:v>
      </x:c>
      <x:c r="H5172" s="11" t="n">
        <x:v>164.4</x:v>
      </x:c>
      <x:c r="I5172" s="2" t="n">
        <x:v>2</x:v>
      </x:c>
      <x:c r="J5172" s="2" t="n">
        <x:v>1</x:v>
      </x:c>
      <x:c r="K5172" s="2" t="n">
        <x:v>1</x:v>
      </x:c>
      <x:c r="L5172" s="2" t="str">
        <x:v>Hibernating</x:v>
      </x:c>
    </x:row>
    <x:row r="5173" ht="22" customHeight="1">
      <x:c r="A5173" s="2"/>
      <x:c r="B5173" s="2" t="str">
        <x:v>17536</x:v>
      </x:c>
      <x:c r="C5173" s="2" t="str">
        <x:v>United Kingdom</x:v>
      </x:c>
      <x:c r="D5173" s="25" t="n">
        <x:v>40204.291666666664</x:v>
      </x:c>
      <x:c r="E5173" s="25" t="n">
        <x:v>40709.34930555556</x:v>
      </x:c>
      <x:c r="F5173" s="2" t="n">
        <x:v>178</x:v>
      </x:c>
      <x:c r="G5173" s="2" t="n">
        <x:v>3</x:v>
      </x:c>
      <x:c r="H5173" s="11" t="n">
        <x:v>364.83</x:v>
      </x:c>
      <x:c r="I5173" s="2" t="n">
        <x:v>3</x:v>
      </x:c>
      <x:c r="J5173" s="2" t="n">
        <x:v>3</x:v>
      </x:c>
      <x:c r="K5173" s="2" t="n">
        <x:v>2</x:v>
      </x:c>
      <x:c r="L5173" s="2" t="str">
        <x:v>Loyal</x:v>
      </x:c>
    </x:row>
    <x:row r="5174" ht="22" customHeight="1">
      <x:c r="A5174" s="2"/>
      <x:c r="B5174" s="2" t="str">
        <x:v>17537</x:v>
      </x:c>
      <x:c r="C5174" s="2" t="str">
        <x:v>United Kingdom</x:v>
      </x:c>
      <x:c r="D5174" s="25" t="n">
        <x:v>40583.35902777778</x:v>
      </x:c>
      <x:c r="E5174" s="25" t="n">
        <x:v>40857.24722222222</x:v>
      </x:c>
      <x:c r="F5174" s="2" t="n">
        <x:v>30</x:v>
      </x:c>
      <x:c r="G5174" s="2" t="n">
        <x:v>2</x:v>
      </x:c>
      <x:c r="H5174" s="11" t="n">
        <x:v>897.62</x:v>
      </x:c>
      <x:c r="I5174" s="2" t="n">
        <x:v>4</x:v>
      </x:c>
      <x:c r="J5174" s="2" t="n">
        <x:v>2</x:v>
      </x:c>
      <x:c r="K5174" s="2" t="n">
        <x:v>3</x:v>
      </x:c>
      <x:c r="L5174" s="2" t="str">
        <x:v>Recent light buyers</x:v>
      </x:c>
    </x:row>
    <x:row r="5175" ht="22" customHeight="1">
      <x:c r="A5175" s="2"/>
      <x:c r="B5175" s="2" t="str">
        <x:v>17538</x:v>
      </x:c>
      <x:c r="C5175" s="2" t="str">
        <x:v>United Kingdom</x:v>
      </x:c>
      <x:c r="D5175" s="25" t="n">
        <x:v>40861.3</x:v>
      </x:c>
      <x:c r="E5175" s="25" t="n">
        <x:v>40861.3</x:v>
      </x:c>
      <x:c r="F5175" s="2" t="n">
        <x:v>26</x:v>
      </x:c>
      <x:c r="G5175" s="2" t="n">
        <x:v>1</x:v>
      </x:c>
      <x:c r="H5175" s="11" t="n">
        <x:v>98.42</x:v>
      </x:c>
      <x:c r="I5175" s="2" t="n">
        <x:v>4</x:v>
      </x:c>
      <x:c r="J5175" s="2" t="n">
        <x:v>1</x:v>
      </x:c>
      <x:c r="K5175" s="2" t="n">
        <x:v>1</x:v>
      </x:c>
      <x:c r="L5175" s="2" t="str">
        <x:v>Recent light buyers</x:v>
      </x:c>
    </x:row>
    <x:row r="5176" ht="22" customHeight="1">
      <x:c r="A5176" s="2"/>
      <x:c r="B5176" s="2" t="str">
        <x:v>17539</x:v>
      </x:c>
      <x:c r="C5176" s="2" t="str">
        <x:v>United Kingdom</x:v>
      </x:c>
      <x:c r="D5176" s="25" t="n">
        <x:v>40160.316666666666</x:v>
      </x:c>
      <x:c r="E5176" s="25" t="n">
        <x:v>40269.29652777778</x:v>
      </x:c>
      <x:c r="F5176" s="2" t="n">
        <x:v>618</x:v>
      </x:c>
      <x:c r="G5176" s="2" t="n">
        <x:v>4</x:v>
      </x:c>
      <x:c r="H5176" s="11" t="n">
        <x:v>1226.57</x:v>
      </x:c>
      <x:c r="I5176" s="2" t="n">
        <x:v>1</x:v>
      </x:c>
      <x:c r="J5176" s="2" t="n">
        <x:v>3</x:v>
      </x:c>
      <x:c r="K5176" s="2" t="n">
        <x:v>3</x:v>
      </x:c>
      <x:c r="L5176" s="2" t="str">
        <x:v>At risk</x:v>
      </x:c>
    </x:row>
    <x:row r="5177" ht="22" customHeight="1">
      <x:c r="A5177" s="2"/>
      <x:c r="B5177" s="2" t="str">
        <x:v>17540</x:v>
      </x:c>
      <x:c r="C5177" s="2" t="str">
        <x:v>United Kingdom</x:v>
      </x:c>
      <x:c r="D5177" s="25" t="n">
        <x:v>40287.19930555556</x:v>
      </x:c>
      <x:c r="E5177" s="25" t="n">
        <x:v>40862.28888888889</x:v>
      </x:c>
      <x:c r="F5177" s="2" t="n">
        <x:v>25</x:v>
      </x:c>
      <x:c r="G5177" s="2" t="n">
        <x:v>6</x:v>
      </x:c>
      <x:c r="H5177" s="11" t="n">
        <x:v>1590.6</x:v>
      </x:c>
      <x:c r="I5177" s="2" t="n">
        <x:v>4</x:v>
      </x:c>
      <x:c r="J5177" s="2" t="n">
        <x:v>4</x:v>
      </x:c>
      <x:c r="K5177" s="2" t="n">
        <x:v>4</x:v>
      </x:c>
      <x:c r="L5177" s="2" t="str">
        <x:v>Champions</x:v>
      </x:c>
    </x:row>
    <x:row r="5178" ht="22" customHeight="1">
      <x:c r="A5178" s="2"/>
      <x:c r="B5178" s="2" t="str">
        <x:v>17541</x:v>
      </x:c>
      <x:c r="C5178" s="2" t="str">
        <x:v>United Kingdom</x:v>
      </x:c>
      <x:c r="D5178" s="25" t="n">
        <x:v>40377.275</x:v>
      </x:c>
      <x:c r="E5178" s="25" t="n">
        <x:v>40377.275</x:v>
      </x:c>
      <x:c r="F5178" s="2" t="n">
        <x:v>510</x:v>
      </x:c>
      <x:c r="G5178" s="2" t="n">
        <x:v>1</x:v>
      </x:c>
      <x:c r="H5178" s="11" t="n">
        <x:v>124.46</x:v>
      </x:c>
      <x:c r="I5178" s="2" t="n">
        <x:v>1</x:v>
      </x:c>
      <x:c r="J5178" s="2" t="n">
        <x:v>1</x:v>
      </x:c>
      <x:c r="K5178" s="2" t="n">
        <x:v>1</x:v>
      </x:c>
      <x:c r="L5178" s="2" t="str">
        <x:v>Hibernating</x:v>
      </x:c>
    </x:row>
    <x:row r="5179" ht="22" customHeight="1">
      <x:c r="A5179" s="2"/>
      <x:c r="B5179" s="2" t="str">
        <x:v>17542</x:v>
      </x:c>
      <x:c r="C5179" s="2" t="str">
        <x:v>United Kingdom</x:v>
      </x:c>
      <x:c r="D5179" s="25" t="n">
        <x:v>40245.29722222222</x:v>
      </x:c>
      <x:c r="E5179" s="25" t="n">
        <x:v>40617.28125</x:v>
      </x:c>
      <x:c r="F5179" s="2" t="n">
        <x:v>270</x:v>
      </x:c>
      <x:c r="G5179" s="2" t="n">
        <x:v>3</x:v>
      </x:c>
      <x:c r="H5179" s="11" t="n">
        <x:v>341.7</x:v>
      </x:c>
      <x:c r="I5179" s="2" t="n">
        <x:v>2</x:v>
      </x:c>
      <x:c r="J5179" s="2" t="n">
        <x:v>3</x:v>
      </x:c>
      <x:c r="K5179" s="2" t="n">
        <x:v>2</x:v>
      </x:c>
      <x:c r="L5179" s="2" t="str">
        <x:v>At risk</x:v>
      </x:c>
    </x:row>
    <x:row r="5180" ht="22" customHeight="1">
      <x:c r="A5180" s="2"/>
      <x:c r="B5180" s="2" t="str">
        <x:v>17543</x:v>
      </x:c>
      <x:c r="C5180" s="2" t="str">
        <x:v>United Kingdom</x:v>
      </x:c>
      <x:c r="D5180" s="25" t="n">
        <x:v>40337.32013888889</x:v>
      </x:c>
      <x:c r="E5180" s="25" t="n">
        <x:v>40337.32013888889</x:v>
      </x:c>
      <x:c r="F5180" s="2" t="n">
        <x:v>550</x:v>
      </x:c>
      <x:c r="G5180" s="2" t="n">
        <x:v>1</x:v>
      </x:c>
      <x:c r="H5180" s="11" t="n">
        <x:v>120.05</x:v>
      </x:c>
      <x:c r="I5180" s="2" t="n">
        <x:v>1</x:v>
      </x:c>
      <x:c r="J5180" s="2" t="n">
        <x:v>1</x:v>
      </x:c>
      <x:c r="K5180" s="2" t="n">
        <x:v>1</x:v>
      </x:c>
      <x:c r="L5180" s="2" t="str">
        <x:v>Hibernating</x:v>
      </x:c>
    </x:row>
    <x:row r="5181" ht="22" customHeight="1">
      <x:c r="A5181" s="2"/>
      <x:c r="B5181" s="2" t="str">
        <x:v>17544</x:v>
      </x:c>
      <x:c r="C5181" s="2" t="str">
        <x:v>United Kingdom</x:v>
      </x:c>
      <x:c r="D5181" s="25" t="n">
        <x:v>40496.407638888886</x:v>
      </x:c>
      <x:c r="E5181" s="25" t="n">
        <x:v>40496.42222222222</x:v>
      </x:c>
      <x:c r="F5181" s="2" t="n">
        <x:v>391</x:v>
      </x:c>
      <x:c r="G5181" s="2" t="n">
        <x:v>3</x:v>
      </x:c>
      <x:c r="H5181" s="11" t="n">
        <x:v>960.69</x:v>
      </x:c>
      <x:c r="I5181" s="2" t="n">
        <x:v>2</x:v>
      </x:c>
      <x:c r="J5181" s="2" t="n">
        <x:v>3</x:v>
      </x:c>
      <x:c r="K5181" s="2" t="n">
        <x:v>3</x:v>
      </x:c>
      <x:c r="L5181" s="2" t="str">
        <x:v>At risk</x:v>
      </x:c>
    </x:row>
    <x:row r="5182" ht="22" customHeight="1">
      <x:c r="A5182" s="2"/>
      <x:c r="B5182" s="2" t="str">
        <x:v>17545</x:v>
      </x:c>
      <x:c r="C5182" s="2" t="str">
        <x:v>United Kingdom</x:v>
      </x:c>
      <x:c r="D5182" s="25" t="n">
        <x:v>40309.21111111111</x:v>
      </x:c>
      <x:c r="E5182" s="25" t="n">
        <x:v>40843.37777777778</x:v>
      </x:c>
      <x:c r="F5182" s="2" t="n">
        <x:v>44</x:v>
      </x:c>
      <x:c r="G5182" s="2" t="n">
        <x:v>6</x:v>
      </x:c>
      <x:c r="H5182" s="11" t="n">
        <x:v>1448.54</x:v>
      </x:c>
      <x:c r="I5182" s="2" t="n">
        <x:v>4</x:v>
      </x:c>
      <x:c r="J5182" s="2" t="n">
        <x:v>4</x:v>
      </x:c>
      <x:c r="K5182" s="2" t="n">
        <x:v>4</x:v>
      </x:c>
      <x:c r="L5182" s="2" t="str">
        <x:v>Champions</x:v>
      </x:c>
    </x:row>
    <x:row r="5183" ht="22" customHeight="1">
      <x:c r="A5183" s="2"/>
      <x:c r="B5183" s="2" t="str">
        <x:v>17547</x:v>
      </x:c>
      <x:c r="C5183" s="2" t="str">
        <x:v>United Kingdom</x:v>
      </x:c>
      <x:c r="D5183" s="25" t="n">
        <x:v>40221.39861111111</x:v>
      </x:c>
      <x:c r="E5183" s="25" t="n">
        <x:v>40511.19513888889</x:v>
      </x:c>
      <x:c r="F5183" s="2" t="n">
        <x:v>376</x:v>
      </x:c>
      <x:c r="G5183" s="2" t="n">
        <x:v>2</x:v>
      </x:c>
      <x:c r="H5183" s="11" t="n">
        <x:v>727.85</x:v>
      </x:c>
      <x:c r="I5183" s="2" t="n">
        <x:v>2</x:v>
      </x:c>
      <x:c r="J5183" s="2" t="n">
        <x:v>2</x:v>
      </x:c>
      <x:c r="K5183" s="2" t="n">
        <x:v>3</x:v>
      </x:c>
      <x:c r="L5183" s="2" t="str">
        <x:v>Hibernating</x:v>
      </x:c>
    </x:row>
    <x:row r="5184" ht="22" customHeight="1">
      <x:c r="A5184" s="2"/>
      <x:c r="B5184" s="2" t="str">
        <x:v>17548</x:v>
      </x:c>
      <x:c r="C5184" s="2" t="str">
        <x:v>United Kingdom</x:v>
      </x:c>
      <x:c r="D5184" s="25" t="n">
        <x:v>40490.47152777778</x:v>
      </x:c>
      <x:c r="E5184" s="25" t="n">
        <x:v>40653.29236111111</x:v>
      </x:c>
      <x:c r="F5184" s="2" t="n">
        <x:v>234</x:v>
      </x:c>
      <x:c r="G5184" s="2" t="n">
        <x:v>4</x:v>
      </x:c>
      <x:c r="H5184" s="11" t="n">
        <x:v>731.26</x:v>
      </x:c>
      <x:c r="I5184" s="2" t="n">
        <x:v>2</x:v>
      </x:c>
      <x:c r="J5184" s="2" t="n">
        <x:v>3</x:v>
      </x:c>
      <x:c r="K5184" s="2" t="n">
        <x:v>3</x:v>
      </x:c>
      <x:c r="L5184" s="2" t="str">
        <x:v>At risk</x:v>
      </x:c>
    </x:row>
    <x:row r="5185" ht="22" customHeight="1">
      <x:c r="A5185" s="2"/>
      <x:c r="B5185" s="2" t="str">
        <x:v>17549</x:v>
      </x:c>
      <x:c r="C5185" s="2" t="str">
        <x:v>United Kingdom</x:v>
      </x:c>
      <x:c r="D5185" s="25" t="n">
        <x:v>40835.211805555555</x:v>
      </x:c>
      <x:c r="E5185" s="25" t="n">
        <x:v>40863.20763888889</x:v>
      </x:c>
      <x:c r="F5185" s="2" t="n">
        <x:v>24</x:v>
      </x:c>
      <x:c r="G5185" s="2" t="n">
        <x:v>2</x:v>
      </x:c>
      <x:c r="H5185" s="11" t="n">
        <x:v>148.86</x:v>
      </x:c>
      <x:c r="I5185" s="2" t="n">
        <x:v>4</x:v>
      </x:c>
      <x:c r="J5185" s="2" t="n">
        <x:v>2</x:v>
      </x:c>
      <x:c r="K5185" s="2" t="n">
        <x:v>1</x:v>
      </x:c>
      <x:c r="L5185" s="2" t="str">
        <x:v>Recent light buyers</x:v>
      </x:c>
    </x:row>
    <x:row r="5186" ht="22" customHeight="1">
      <x:c r="A5186" s="2"/>
      <x:c r="B5186" s="2" t="str">
        <x:v>17550</x:v>
      </x:c>
      <x:c r="C5186" s="2" t="str">
        <x:v>United Kingdom</x:v>
      </x:c>
      <x:c r="D5186" s="25" t="n">
        <x:v>40216.42152777778</x:v>
      </x:c>
      <x:c r="E5186" s="25" t="n">
        <x:v>40689.38125</x:v>
      </x:c>
      <x:c r="F5186" s="2" t="n">
        <x:v>198</x:v>
      </x:c>
      <x:c r="G5186" s="2" t="n">
        <x:v>9</x:v>
      </x:c>
      <x:c r="H5186" s="11" t="n">
        <x:v>2547.64</x:v>
      </x:c>
      <x:c r="I5186" s="2" t="n">
        <x:v>2</x:v>
      </x:c>
      <x:c r="J5186" s="2" t="n">
        <x:v>5</x:v>
      </x:c>
      <x:c r="K5186" s="2" t="n">
        <x:v>4</x:v>
      </x:c>
      <x:c r="L5186" s="2" t="str">
        <x:v>At risk</x:v>
      </x:c>
    </x:row>
    <x:row r="5187" ht="22" customHeight="1">
      <x:c r="A5187" s="2"/>
      <x:c r="B5187" s="2" t="str">
        <x:v>17551</x:v>
      </x:c>
      <x:c r="C5187" s="2" t="str">
        <x:v>United Kingdom</x:v>
      </x:c>
      <x:c r="D5187" s="25" t="n">
        <x:v>40527.38333333333</x:v>
      </x:c>
      <x:c r="E5187" s="25" t="n">
        <x:v>40527.38333333333</x:v>
      </x:c>
      <x:c r="F5187" s="2" t="n">
        <x:v>360</x:v>
      </x:c>
      <x:c r="G5187" s="2" t="n">
        <x:v>1</x:v>
      </x:c>
      <x:c r="H5187" s="11" t="n">
        <x:v>306.84</x:v>
      </x:c>
      <x:c r="I5187" s="2" t="n">
        <x:v>2</x:v>
      </x:c>
      <x:c r="J5187" s="2" t="n">
        <x:v>1</x:v>
      </x:c>
      <x:c r="K5187" s="2" t="n">
        <x:v>2</x:v>
      </x:c>
      <x:c r="L5187" s="2" t="str">
        <x:v>Hibernating</x:v>
      </x:c>
    </x:row>
    <x:row r="5188" ht="22" customHeight="1">
      <x:c r="A5188" s="2"/>
      <x:c r="B5188" s="2" t="str">
        <x:v>17552</x:v>
      </x:c>
      <x:c r="C5188" s="2" t="str">
        <x:v>United Kingdom</x:v>
      </x:c>
      <x:c r="D5188" s="25" t="n">
        <x:v>40259.17986111111</x:v>
      </x:c>
      <x:c r="E5188" s="25" t="n">
        <x:v>40826.5</x:v>
      </x:c>
      <x:c r="F5188" s="2" t="n">
        <x:v>61</x:v>
      </x:c>
      <x:c r="G5188" s="2" t="n">
        <x:v>12</x:v>
      </x:c>
      <x:c r="H5188" s="11" t="n">
        <x:v>2786.77</x:v>
      </x:c>
      <x:c r="I5188" s="2" t="n">
        <x:v>3</x:v>
      </x:c>
      <x:c r="J5188" s="2" t="n">
        <x:v>5</x:v>
      </x:c>
      <x:c r="K5188" s="2" t="n">
        <x:v>4</x:v>
      </x:c>
      <x:c r="L5188" s="2" t="str">
        <x:v>Loyal</x:v>
      </x:c>
    </x:row>
    <x:row r="5189" ht="22" customHeight="1">
      <x:c r="A5189" s="2"/>
      <x:c r="B5189" s="2" t="str">
        <x:v>17553</x:v>
      </x:c>
      <x:c r="C5189" s="2" t="str">
        <x:v>United Kingdom</x:v>
      </x:c>
      <x:c r="D5189" s="25" t="n">
        <x:v>40276.197222222225</x:v>
      </x:c>
      <x:c r="E5189" s="25" t="n">
        <x:v>40757.208333333336</x:v>
      </x:c>
      <x:c r="F5189" s="2" t="n">
        <x:v>130</x:v>
      </x:c>
      <x:c r="G5189" s="2" t="n">
        <x:v>4</x:v>
      </x:c>
      <x:c r="H5189" s="11" t="n">
        <x:v>3757.6</x:v>
      </x:c>
      <x:c r="I5189" s="2" t="n">
        <x:v>3</x:v>
      </x:c>
      <x:c r="J5189" s="2" t="n">
        <x:v>3</x:v>
      </x:c>
      <x:c r="K5189" s="2" t="n">
        <x:v>5</x:v>
      </x:c>
      <x:c r="L5189" s="2" t="str">
        <x:v>Loyal</x:v>
      </x:c>
    </x:row>
    <x:row r="5190" ht="22" customHeight="1">
      <x:c r="A5190" s="2"/>
      <x:c r="B5190" s="2" t="str">
        <x:v>17554</x:v>
      </x:c>
      <x:c r="C5190" s="2" t="str">
        <x:v>United Kingdom</x:v>
      </x:c>
      <x:c r="D5190" s="25" t="n">
        <x:v>40738.62569444445</x:v>
      </x:c>
      <x:c r="E5190" s="25" t="n">
        <x:v>40885.385416666664</x:v>
      </x:c>
      <x:c r="F5190" s="2" t="n">
        <x:v>2</x:v>
      </x:c>
      <x:c r="G5190" s="2" t="n">
        <x:v>5</x:v>
      </x:c>
      <x:c r="H5190" s="11" t="n">
        <x:v>1952.45</x:v>
      </x:c>
      <x:c r="I5190" s="2" t="n">
        <x:v>5</x:v>
      </x:c>
      <x:c r="J5190" s="2" t="n">
        <x:v>4</x:v>
      </x:c>
      <x:c r="K5190" s="2" t="n">
        <x:v>4</x:v>
      </x:c>
      <x:c r="L5190" s="2" t="str">
        <x:v>Champions</x:v>
      </x:c>
    </x:row>
    <x:row r="5191" ht="22" customHeight="1">
      <x:c r="A5191" s="2"/>
      <x:c r="B5191" s="2" t="str">
        <x:v>17555</x:v>
      </x:c>
      <x:c r="C5191" s="2" t="str">
        <x:v>United Kingdom</x:v>
      </x:c>
      <x:c r="D5191" s="25" t="n">
        <x:v>40300.45972222222</x:v>
      </x:c>
      <x:c r="E5191" s="25" t="n">
        <x:v>40867.30694444444</x:v>
      </x:c>
      <x:c r="F5191" s="2" t="n">
        <x:v>20</x:v>
      </x:c>
      <x:c r="G5191" s="2" t="n">
        <x:v>5</x:v>
      </x:c>
      <x:c r="H5191" s="11" t="n">
        <x:v>1057.74</x:v>
      </x:c>
      <x:c r="I5191" s="2" t="n">
        <x:v>5</x:v>
      </x:c>
      <x:c r="J5191" s="2" t="n">
        <x:v>4</x:v>
      </x:c>
      <x:c r="K5191" s="2" t="n">
        <x:v>3</x:v>
      </x:c>
      <x:c r="L5191" s="2" t="str">
        <x:v>Loyal</x:v>
      </x:c>
    </x:row>
    <x:row r="5192" ht="22" customHeight="1">
      <x:c r="A5192" s="2"/>
      <x:c r="B5192" s="2" t="str">
        <x:v>17556</x:v>
      </x:c>
      <x:c r="C5192" s="2" t="str">
        <x:v>United Kingdom</x:v>
      </x:c>
      <x:c r="D5192" s="25" t="n">
        <x:v>40507.5</x:v>
      </x:c>
      <x:c r="E5192" s="25" t="n">
        <x:v>40681.24166666667</x:v>
      </x:c>
      <x:c r="F5192" s="2" t="n">
        <x:v>206</x:v>
      </x:c>
      <x:c r="G5192" s="2" t="n">
        <x:v>2</x:v>
      </x:c>
      <x:c r="H5192" s="11" t="n">
        <x:v>300.67</x:v>
      </x:c>
      <x:c r="I5192" s="2" t="n">
        <x:v>2</x:v>
      </x:c>
      <x:c r="J5192" s="2" t="n">
        <x:v>2</x:v>
      </x:c>
      <x:c r="K5192" s="2" t="n">
        <x:v>2</x:v>
      </x:c>
      <x:c r="L5192" s="2" t="str">
        <x:v>Hibernating</x:v>
      </x:c>
    </x:row>
    <x:row r="5193" ht="22" customHeight="1">
      <x:c r="A5193" s="2"/>
      <x:c r="B5193" s="2" t="str">
        <x:v>17557</x:v>
      </x:c>
      <x:c r="C5193" s="2" t="str">
        <x:v>United Kingdom</x:v>
      </x:c>
      <x:c r="D5193" s="25" t="n">
        <x:v>40154.21875</x:v>
      </x:c>
      <x:c r="E5193" s="25" t="n">
        <x:v>40872.33125</x:v>
      </x:c>
      <x:c r="F5193" s="2" t="n">
        <x:v>15</x:v>
      </x:c>
      <x:c r="G5193" s="2" t="n">
        <x:v>4</x:v>
      </x:c>
      <x:c r="H5193" s="11" t="n">
        <x:v>575.46</x:v>
      </x:c>
      <x:c r="I5193" s="2" t="n">
        <x:v>5</x:v>
      </x:c>
      <x:c r="J5193" s="2" t="n">
        <x:v>3</x:v>
      </x:c>
      <x:c r="K5193" s="2" t="n">
        <x:v>2</x:v>
      </x:c>
      <x:c r="L5193" s="2" t="str">
        <x:v>Loyal</x:v>
      </x:c>
    </x:row>
    <x:row r="5194" ht="22" customHeight="1">
      <x:c r="A5194" s="2"/>
      <x:c r="B5194" s="2" t="str">
        <x:v>17558</x:v>
      </x:c>
      <x:c r="C5194" s="2" t="str">
        <x:v>United Kingdom</x:v>
      </x:c>
      <x:c r="D5194" s="25" t="n">
        <x:v>40493.4</x:v>
      </x:c>
      <x:c r="E5194" s="25" t="n">
        <x:v>40493.4</x:v>
      </x:c>
      <x:c r="F5194" s="2" t="n">
        <x:v>394</x:v>
      </x:c>
      <x:c r="G5194" s="2" t="n">
        <x:v>1</x:v>
      </x:c>
      <x:c r="H5194" s="11" t="n">
        <x:v>259.17</x:v>
      </x:c>
      <x:c r="I5194" s="2" t="n">
        <x:v>2</x:v>
      </x:c>
      <x:c r="J5194" s="2" t="n">
        <x:v>1</x:v>
      </x:c>
      <x:c r="K5194" s="2" t="n">
        <x:v>1</x:v>
      </x:c>
      <x:c r="L5194" s="2" t="str">
        <x:v>Hibernating</x:v>
      </x:c>
    </x:row>
    <x:row r="5195" ht="22" customHeight="1">
      <x:c r="A5195" s="2"/>
      <x:c r="B5195" s="2" t="str">
        <x:v>17559</x:v>
      </x:c>
      <x:c r="C5195" s="2" t="str">
        <x:v>United Kingdom</x:v>
      </x:c>
      <x:c r="D5195" s="25" t="n">
        <x:v>40374.29305555556</x:v>
      </x:c>
      <x:c r="E5195" s="25" t="n">
        <x:v>40374.29305555556</x:v>
      </x:c>
      <x:c r="F5195" s="2" t="n">
        <x:v>513</x:v>
      </x:c>
      <x:c r="G5195" s="2" t="n">
        <x:v>1</x:v>
      </x:c>
      <x:c r="H5195" s="11" t="n">
        <x:v>167.62</x:v>
      </x:c>
      <x:c r="I5195" s="2" t="n">
        <x:v>1</x:v>
      </x:c>
      <x:c r="J5195" s="2" t="n">
        <x:v>1</x:v>
      </x:c>
      <x:c r="K5195" s="2" t="n">
        <x:v>1</x:v>
      </x:c>
      <x:c r="L5195" s="2" t="str">
        <x:v>Hibernating</x:v>
      </x:c>
    </x:row>
    <x:row r="5196" ht="22" customHeight="1">
      <x:c r="A5196" s="2"/>
      <x:c r="B5196" s="2" t="str">
        <x:v>17560</x:v>
      </x:c>
      <x:c r="C5196" s="2" t="str">
        <x:v>United Kingdom</x:v>
      </x:c>
      <x:c r="D5196" s="25" t="n">
        <x:v>40226.299305555556</x:v>
      </x:c>
      <x:c r="E5196" s="25" t="n">
        <x:v>40792.17916666667</x:v>
      </x:c>
      <x:c r="F5196" s="2" t="n">
        <x:v>95</x:v>
      </x:c>
      <x:c r="G5196" s="2" t="n">
        <x:v>8</x:v>
      </x:c>
      <x:c r="H5196" s="11" t="n">
        <x:v>1895.8</x:v>
      </x:c>
      <x:c r="I5196" s="2" t="n">
        <x:v>3</x:v>
      </x:c>
      <x:c r="J5196" s="2" t="n">
        <x:v>4</x:v>
      </x:c>
      <x:c r="K5196" s="2" t="n">
        <x:v>4</x:v>
      </x:c>
      <x:c r="L5196" s="2" t="str">
        <x:v>Loyal</x:v>
      </x:c>
    </x:row>
    <x:row r="5197" ht="22" customHeight="1">
      <x:c r="A5197" s="2"/>
      <x:c r="B5197" s="2" t="str">
        <x:v>17561</x:v>
      </x:c>
      <x:c r="C5197" s="2" t="str">
        <x:v>United Kingdom</x:v>
      </x:c>
      <x:c r="D5197" s="25" t="n">
        <x:v>40153.353472222225</x:v>
      </x:c>
      <x:c r="E5197" s="25" t="n">
        <x:v>40867.32847222222</x:v>
      </x:c>
      <x:c r="F5197" s="2" t="n">
        <x:v>20</x:v>
      </x:c>
      <x:c r="G5197" s="2" t="n">
        <x:v>4</x:v>
      </x:c>
      <x:c r="H5197" s="11" t="n">
        <x:v>722.34</x:v>
      </x:c>
      <x:c r="I5197" s="2" t="n">
        <x:v>5</x:v>
      </x:c>
      <x:c r="J5197" s="2" t="n">
        <x:v>3</x:v>
      </x:c>
      <x:c r="K5197" s="2" t="n">
        <x:v>3</x:v>
      </x:c>
      <x:c r="L5197" s="2" t="str">
        <x:v>Loyal</x:v>
      </x:c>
    </x:row>
    <x:row r="5198" ht="22" customHeight="1">
      <x:c r="A5198" s="2"/>
      <x:c r="B5198" s="2" t="str">
        <x:v>17562</x:v>
      </x:c>
      <x:c r="C5198" s="2" t="str">
        <x:v>United Kingdom</x:v>
      </x:c>
      <x:c r="D5198" s="25" t="n">
        <x:v>40713.3375</x:v>
      </x:c>
      <x:c r="E5198" s="25" t="n">
        <x:v>40872.38958333333</x:v>
      </x:c>
      <x:c r="F5198" s="2" t="n">
        <x:v>15</x:v>
      </x:c>
      <x:c r="G5198" s="2" t="n">
        <x:v>7</x:v>
      </x:c>
      <x:c r="H5198" s="11" t="n">
        <x:v>1122.38</x:v>
      </x:c>
      <x:c r="I5198" s="2" t="n">
        <x:v>5</x:v>
      </x:c>
      <x:c r="J5198" s="2" t="n">
        <x:v>4</x:v>
      </x:c>
      <x:c r="K5198" s="2" t="n">
        <x:v>3</x:v>
      </x:c>
      <x:c r="L5198" s="2" t="str">
        <x:v>Loyal</x:v>
      </x:c>
    </x:row>
    <x:row r="5199" ht="22" customHeight="1">
      <x:c r="A5199" s="2"/>
      <x:c r="B5199" s="2" t="str">
        <x:v>17563</x:v>
      </x:c>
      <x:c r="C5199" s="2" t="str">
        <x:v>United Kingdom</x:v>
      </x:c>
      <x:c r="D5199" s="25" t="n">
        <x:v>40275.20972222222</x:v>
      </x:c>
      <x:c r="E5199" s="25" t="n">
        <x:v>40308.4125</x:v>
      </x:c>
      <x:c r="F5199" s="2" t="n">
        <x:v>579</x:v>
      </x:c>
      <x:c r="G5199" s="2" t="n">
        <x:v>2</x:v>
      </x:c>
      <x:c r="H5199" s="11" t="n">
        <x:v>392.38</x:v>
      </x:c>
      <x:c r="I5199" s="2" t="n">
        <x:v>1</x:v>
      </x:c>
      <x:c r="J5199" s="2" t="n">
        <x:v>2</x:v>
      </x:c>
      <x:c r="K5199" s="2" t="n">
        <x:v>2</x:v>
      </x:c>
      <x:c r="L5199" s="2" t="str">
        <x:v>Hibernating</x:v>
      </x:c>
    </x:row>
    <x:row r="5200" ht="22" customHeight="1">
      <x:c r="A5200" s="2"/>
      <x:c r="B5200" s="2" t="str">
        <x:v>17564</x:v>
      </x:c>
      <x:c r="C5200" s="2" t="str">
        <x:v>United Kingdom</x:v>
      </x:c>
      <x:c r="D5200" s="25" t="n">
        <x:v>40806.375</x:v>
      </x:c>
      <x:c r="E5200" s="25" t="n">
        <x:v>40862.35208333333</x:v>
      </x:c>
      <x:c r="F5200" s="2" t="n">
        <x:v>25</x:v>
      </x:c>
      <x:c r="G5200" s="2" t="n">
        <x:v>3</x:v>
      </x:c>
      <x:c r="H5200" s="11" t="n">
        <x:v>454.01</x:v>
      </x:c>
      <x:c r="I5200" s="2" t="n">
        <x:v>4</x:v>
      </x:c>
      <x:c r="J5200" s="2" t="n">
        <x:v>3</x:v>
      </x:c>
      <x:c r="K5200" s="2" t="n">
        <x:v>2</x:v>
      </x:c>
      <x:c r="L5200" s="2" t="str">
        <x:v>Loyal</x:v>
      </x:c>
    </x:row>
    <x:row r="5201" ht="22" customHeight="1">
      <x:c r="A5201" s="2"/>
      <x:c r="B5201" s="2" t="str">
        <x:v>17565</x:v>
      </x:c>
      <x:c r="C5201" s="2" t="str">
        <x:v>United Kingdom</x:v>
      </x:c>
      <x:c r="D5201" s="25" t="n">
        <x:v>40300.2875</x:v>
      </x:c>
      <x:c r="E5201" s="25" t="n">
        <x:v>40300.2875</x:v>
      </x:c>
      <x:c r="F5201" s="2" t="n">
        <x:v>587</x:v>
      </x:c>
      <x:c r="G5201" s="2" t="n">
        <x:v>1</x:v>
      </x:c>
      <x:c r="H5201" s="11" t="n">
        <x:v>131.83</x:v>
      </x:c>
      <x:c r="I5201" s="2" t="n">
        <x:v>1</x:v>
      </x:c>
      <x:c r="J5201" s="2" t="n">
        <x:v>1</x:v>
      </x:c>
      <x:c r="K5201" s="2" t="n">
        <x:v>1</x:v>
      </x:c>
      <x:c r="L5201" s="2" t="str">
        <x:v>Hibernating</x:v>
      </x:c>
    </x:row>
    <x:row r="5202" ht="22" customHeight="1">
      <x:c r="A5202" s="2"/>
      <x:c r="B5202" s="2" t="str">
        <x:v>17566</x:v>
      </x:c>
      <x:c r="C5202" s="2" t="str">
        <x:v>United Kingdom</x:v>
      </x:c>
      <x:c r="D5202" s="25" t="n">
        <x:v>40861.3625</x:v>
      </x:c>
      <x:c r="E5202" s="25" t="n">
        <x:v>40878.620833333334</x:v>
      </x:c>
      <x:c r="F5202" s="2" t="n">
        <x:v>9</x:v>
      </x:c>
      <x:c r="G5202" s="2" t="n">
        <x:v>2</x:v>
      </x:c>
      <x:c r="H5202" s="11" t="n">
        <x:v>901.21</x:v>
      </x:c>
      <x:c r="I5202" s="2" t="n">
        <x:v>5</x:v>
      </x:c>
      <x:c r="J5202" s="2" t="n">
        <x:v>2</x:v>
      </x:c>
      <x:c r="K5202" s="2" t="n">
        <x:v>3</x:v>
      </x:c>
      <x:c r="L5202" s="2" t="str">
        <x:v>Recent light buyers</x:v>
      </x:c>
    </x:row>
    <x:row r="5203" ht="22" customHeight="1">
      <x:c r="A5203" s="2"/>
      <x:c r="B5203" s="2" t="str">
        <x:v>17567</x:v>
      </x:c>
      <x:c r="C5203" s="2" t="str">
        <x:v>United Kingdom</x:v>
      </x:c>
      <x:c r="D5203" s="25" t="n">
        <x:v>40445.24166666667</x:v>
      </x:c>
      <x:c r="E5203" s="25" t="n">
        <x:v>40879.45</x:v>
      </x:c>
      <x:c r="F5203" s="2" t="n">
        <x:v>8</x:v>
      </x:c>
      <x:c r="G5203" s="2" t="n">
        <x:v>9</x:v>
      </x:c>
      <x:c r="H5203" s="11" t="n">
        <x:v>4838.08</x:v>
      </x:c>
      <x:c r="I5203" s="2" t="n">
        <x:v>5</x:v>
      </x:c>
      <x:c r="J5203" s="2" t="n">
        <x:v>5</x:v>
      </x:c>
      <x:c r="K5203" s="2" t="n">
        <x:v>5</x:v>
      </x:c>
      <x:c r="L5203" s="2" t="str">
        <x:v>Champions</x:v>
      </x:c>
    </x:row>
    <x:row r="5204" ht="22" customHeight="1">
      <x:c r="A5204" s="2"/>
      <x:c r="B5204" s="2" t="str">
        <x:v>17568</x:v>
      </x:c>
      <x:c r="C5204" s="2" t="str">
        <x:v>United Kingdom</x:v>
      </x:c>
      <x:c r="D5204" s="25" t="n">
        <x:v>40253.489583333336</x:v>
      </x:c>
      <x:c r="E5204" s="25" t="n">
        <x:v>40253.489583333336</x:v>
      </x:c>
      <x:c r="F5204" s="2" t="n">
        <x:v>634</x:v>
      </x:c>
      <x:c r="G5204" s="2" t="n">
        <x:v>1</x:v>
      </x:c>
      <x:c r="H5204" s="11" t="n">
        <x:v>382.79</x:v>
      </x:c>
      <x:c r="I5204" s="2" t="n">
        <x:v>1</x:v>
      </x:c>
      <x:c r="J5204" s="2" t="n">
        <x:v>1</x:v>
      </x:c>
      <x:c r="K5204" s="2" t="n">
        <x:v>2</x:v>
      </x:c>
      <x:c r="L5204" s="2" t="str">
        <x:v>Hibernating</x:v>
      </x:c>
    </x:row>
    <x:row r="5205" ht="22" customHeight="1">
      <x:c r="A5205" s="2"/>
      <x:c r="B5205" s="2" t="str">
        <x:v>17569</x:v>
      </x:c>
      <x:c r="C5205" s="2" t="str">
        <x:v>United Kingdom</x:v>
      </x:c>
      <x:c r="D5205" s="25" t="n">
        <x:v>40554.385416666664</x:v>
      </x:c>
      <x:c r="E5205" s="25" t="n">
        <x:v>40554.385416666664</x:v>
      </x:c>
      <x:c r="F5205" s="2" t="n">
        <x:v>333</x:v>
      </x:c>
      <x:c r="G5205" s="2" t="n">
        <x:v>1</x:v>
      </x:c>
      <x:c r="H5205" s="11" t="n">
        <x:v>344.14</x:v>
      </x:c>
      <x:c r="I5205" s="2" t="n">
        <x:v>2</x:v>
      </x:c>
      <x:c r="J5205" s="2" t="n">
        <x:v>1</x:v>
      </x:c>
      <x:c r="K5205" s="2" t="n">
        <x:v>2</x:v>
      </x:c>
      <x:c r="L5205" s="2" t="str">
        <x:v>Hibernating</x:v>
      </x:c>
    </x:row>
    <x:row r="5206" ht="22" customHeight="1">
      <x:c r="A5206" s="2"/>
      <x:c r="B5206" s="2" t="str">
        <x:v>17570</x:v>
      </x:c>
      <x:c r="C5206" s="2" t="str">
        <x:v>United Kingdom</x:v>
      </x:c>
      <x:c r="D5206" s="25" t="n">
        <x:v>40505.28888888889</x:v>
      </x:c>
      <x:c r="E5206" s="25" t="n">
        <x:v>40505.28888888889</x:v>
      </x:c>
      <x:c r="F5206" s="2" t="n">
        <x:v>382</x:v>
      </x:c>
      <x:c r="G5206" s="2" t="n">
        <x:v>1</x:v>
      </x:c>
      <x:c r="H5206" s="11" t="n">
        <x:v>100</x:v>
      </x:c>
      <x:c r="I5206" s="2" t="n">
        <x:v>2</x:v>
      </x:c>
      <x:c r="J5206" s="2" t="n">
        <x:v>1</x:v>
      </x:c>
      <x:c r="K5206" s="2" t="n">
        <x:v>1</x:v>
      </x:c>
      <x:c r="L5206" s="2" t="str">
        <x:v>Hibernating</x:v>
      </x:c>
    </x:row>
    <x:row r="5207" ht="22" customHeight="1">
      <x:c r="A5207" s="2"/>
      <x:c r="B5207" s="2" t="str">
        <x:v>17571</x:v>
      </x:c>
      <x:c r="C5207" s="2" t="str">
        <x:v>United Kingdom</x:v>
      </x:c>
      <x:c r="D5207" s="25" t="n">
        <x:v>40344.32638888889</x:v>
      </x:c>
      <x:c r="E5207" s="25" t="n">
        <x:v>40836.45625</x:v>
      </x:c>
      <x:c r="F5207" s="2" t="n">
        <x:v>51</x:v>
      </x:c>
      <x:c r="G5207" s="2" t="n">
        <x:v>5</x:v>
      </x:c>
      <x:c r="H5207" s="11" t="n">
        <x:v>1703.75</x:v>
      </x:c>
      <x:c r="I5207" s="2" t="n">
        <x:v>4</x:v>
      </x:c>
      <x:c r="J5207" s="2" t="n">
        <x:v>4</x:v>
      </x:c>
      <x:c r="K5207" s="2" t="n">
        <x:v>4</x:v>
      </x:c>
      <x:c r="L5207" s="2" t="str">
        <x:v>Champions</x:v>
      </x:c>
    </x:row>
    <x:row r="5208" ht="22" customHeight="1">
      <x:c r="A5208" s="2"/>
      <x:c r="B5208" s="2" t="str">
        <x:v>17572</x:v>
      </x:c>
      <x:c r="C5208" s="2" t="str">
        <x:v>United Kingdom</x:v>
      </x:c>
      <x:c r="D5208" s="25" t="n">
        <x:v>40162.208333333336</x:v>
      </x:c>
      <x:c r="E5208" s="25" t="n">
        <x:v>40815.53680555556</x:v>
      </x:c>
      <x:c r="F5208" s="2" t="n">
        <x:v>72</x:v>
      </x:c>
      <x:c r="G5208" s="2" t="n">
        <x:v>10</x:v>
      </x:c>
      <x:c r="H5208" s="11" t="n">
        <x:v>652.21</x:v>
      </x:c>
      <x:c r="I5208" s="2" t="n">
        <x:v>3</x:v>
      </x:c>
      <x:c r="J5208" s="2" t="n">
        <x:v>5</x:v>
      </x:c>
      <x:c r="K5208" s="2" t="n">
        <x:v>3</x:v>
      </x:c>
      <x:c r="L5208" s="2" t="str">
        <x:v>Loyal</x:v>
      </x:c>
    </x:row>
    <x:row r="5209" ht="22" customHeight="1">
      <x:c r="A5209" s="2"/>
      <x:c r="B5209" s="2" t="str">
        <x:v>17573</x:v>
      </x:c>
      <x:c r="C5209" s="2" t="str">
        <x:v>United Kingdom</x:v>
      </x:c>
      <x:c r="D5209" s="25" t="n">
        <x:v>40793.23333333333</x:v>
      </x:c>
      <x:c r="E5209" s="25" t="n">
        <x:v>40857.334027777775</x:v>
      </x:c>
      <x:c r="F5209" s="2" t="n">
        <x:v>30</x:v>
      </x:c>
      <x:c r="G5209" s="2" t="n">
        <x:v>3</x:v>
      </x:c>
      <x:c r="H5209" s="11" t="n">
        <x:v>380.6</x:v>
      </x:c>
      <x:c r="I5209" s="2" t="n">
        <x:v>4</x:v>
      </x:c>
      <x:c r="J5209" s="2" t="n">
        <x:v>3</x:v>
      </x:c>
      <x:c r="K5209" s="2" t="n">
        <x:v>2</x:v>
      </x:c>
      <x:c r="L5209" s="2" t="str">
        <x:v>Loyal</x:v>
      </x:c>
    </x:row>
    <x:row r="5210" ht="22" customHeight="1">
      <x:c r="A5210" s="2"/>
      <x:c r="B5210" s="2" t="str">
        <x:v>17574</x:v>
      </x:c>
      <x:c r="C5210" s="2" t="str">
        <x:v>United Kingdom</x:v>
      </x:c>
      <x:c r="D5210" s="25" t="n">
        <x:v>40644.19930555556</x:v>
      </x:c>
      <x:c r="E5210" s="25" t="n">
        <x:v>40644.19930555556</x:v>
      </x:c>
      <x:c r="F5210" s="2" t="n">
        <x:v>243</x:v>
      </x:c>
      <x:c r="G5210" s="2" t="n">
        <x:v>1</x:v>
      </x:c>
      <x:c r="H5210" s="11" t="n">
        <x:v>185.65</x:v>
      </x:c>
      <x:c r="I5210" s="2" t="n">
        <x:v>2</x:v>
      </x:c>
      <x:c r="J5210" s="2" t="n">
        <x:v>1</x:v>
      </x:c>
      <x:c r="K5210" s="2" t="n">
        <x:v>1</x:v>
      </x:c>
      <x:c r="L5210" s="2" t="str">
        <x:v>Hibernating</x:v>
      </x:c>
    </x:row>
    <x:row r="5211" ht="22" customHeight="1">
      <x:c r="A5211" s="2"/>
      <x:c r="B5211" s="2" t="str">
        <x:v>17575</x:v>
      </x:c>
      <x:c r="C5211" s="2" t="str">
        <x:v>United Kingdom</x:v>
      </x:c>
      <x:c r="D5211" s="25" t="n">
        <x:v>40219.36666666667</x:v>
      </x:c>
      <x:c r="E5211" s="25" t="n">
        <x:v>40219.36666666667</x:v>
      </x:c>
      <x:c r="F5211" s="2" t="n">
        <x:v>668</x:v>
      </x:c>
      <x:c r="G5211" s="2" t="n">
        <x:v>1</x:v>
      </x:c>
      <x:c r="H5211" s="11" t="n">
        <x:v>171.7</x:v>
      </x:c>
      <x:c r="I5211" s="2" t="n">
        <x:v>1</x:v>
      </x:c>
      <x:c r="J5211" s="2" t="n">
        <x:v>1</x:v>
      </x:c>
      <x:c r="K5211" s="2" t="n">
        <x:v>1</x:v>
      </x:c>
      <x:c r="L5211" s="2" t="str">
        <x:v>Hibernating</x:v>
      </x:c>
    </x:row>
    <x:row r="5212" ht="22" customHeight="1">
      <x:c r="A5212" s="2"/>
      <x:c r="B5212" s="2" t="str">
        <x:v>17576</x:v>
      </x:c>
      <x:c r="C5212" s="2" t="str">
        <x:v>United Kingdom</x:v>
      </x:c>
      <x:c r="D5212" s="25" t="n">
        <x:v>40150.495833333334</x:v>
      </x:c>
      <x:c r="E5212" s="25" t="n">
        <x:v>40878.53888888889</x:v>
      </x:c>
      <x:c r="F5212" s="2" t="n">
        <x:v>9</x:v>
      </x:c>
      <x:c r="G5212" s="2" t="n">
        <x:v>41</x:v>
      </x:c>
      <x:c r="H5212" s="11" t="n">
        <x:v>8937.16</x:v>
      </x:c>
      <x:c r="I5212" s="2" t="n">
        <x:v>5</x:v>
      </x:c>
      <x:c r="J5212" s="2" t="n">
        <x:v>5</x:v>
      </x:c>
      <x:c r="K5212" s="2" t="n">
        <x:v>5</x:v>
      </x:c>
      <x:c r="L5212" s="2" t="str">
        <x:v>Champions</x:v>
      </x:c>
    </x:row>
    <x:row r="5213" ht="22" customHeight="1">
      <x:c r="A5213" s="2"/>
      <x:c r="B5213" s="2" t="str">
        <x:v>17577</x:v>
      </x:c>
      <x:c r="C5213" s="2" t="str">
        <x:v>United Kingdom</x:v>
      </x:c>
      <x:c r="D5213" s="25" t="n">
        <x:v>40218.21527777778</x:v>
      </x:c>
      <x:c r="E5213" s="25" t="n">
        <x:v>40241.334027777775</x:v>
      </x:c>
      <x:c r="F5213" s="2" t="n">
        <x:v>646</x:v>
      </x:c>
      <x:c r="G5213" s="2" t="n">
        <x:v>2</x:v>
      </x:c>
      <x:c r="H5213" s="11" t="n">
        <x:v>348.75</x:v>
      </x:c>
      <x:c r="I5213" s="2" t="n">
        <x:v>1</x:v>
      </x:c>
      <x:c r="J5213" s="2" t="n">
        <x:v>2</x:v>
      </x:c>
      <x:c r="K5213" s="2" t="n">
        <x:v>2</x:v>
      </x:c>
      <x:c r="L5213" s="2" t="str">
        <x:v>Hibernating</x:v>
      </x:c>
    </x:row>
    <x:row r="5214" ht="22" customHeight="1">
      <x:c r="A5214" s="2"/>
      <x:c r="B5214" s="2" t="str">
        <x:v>17578</x:v>
      </x:c>
      <x:c r="C5214" s="2" t="str">
        <x:v>United Kingdom</x:v>
      </x:c>
      <x:c r="D5214" s="25" t="n">
        <x:v>40357.288194444445</x:v>
      </x:c>
      <x:c r="E5214" s="25" t="n">
        <x:v>40668.56805555556</x:v>
      </x:c>
      <x:c r="F5214" s="2" t="n">
        <x:v>219</x:v>
      </x:c>
      <x:c r="G5214" s="2" t="n">
        <x:v>7</x:v>
      </x:c>
      <x:c r="H5214" s="11" t="n">
        <x:v>1047.33</x:v>
      </x:c>
      <x:c r="I5214" s="2" t="n">
        <x:v>2</x:v>
      </x:c>
      <x:c r="J5214" s="2" t="n">
        <x:v>4</x:v>
      </x:c>
      <x:c r="K5214" s="2" t="n">
        <x:v>3</x:v>
      </x:c>
      <x:c r="L5214" s="2" t="str">
        <x:v>At risk</x:v>
      </x:c>
    </x:row>
    <x:row r="5215" ht="22" customHeight="1">
      <x:c r="A5215" s="2"/>
      <x:c r="B5215" s="2" t="str">
        <x:v>17579</x:v>
      </x:c>
      <x:c r="C5215" s="2" t="str">
        <x:v>United Kingdom</x:v>
      </x:c>
      <x:c r="D5215" s="25" t="n">
        <x:v>40308.39444444444</x:v>
      </x:c>
      <x:c r="E5215" s="25" t="n">
        <x:v>40882.311111111114</x:v>
      </x:c>
      <x:c r="F5215" s="2" t="n">
        <x:v>5</x:v>
      </x:c>
      <x:c r="G5215" s="2" t="n">
        <x:v>4</x:v>
      </x:c>
      <x:c r="H5215" s="11" t="n">
        <x:v>753.28</x:v>
      </x:c>
      <x:c r="I5215" s="2" t="n">
        <x:v>5</x:v>
      </x:c>
      <x:c r="J5215" s="2" t="n">
        <x:v>3</x:v>
      </x:c>
      <x:c r="K5215" s="2" t="n">
        <x:v>3</x:v>
      </x:c>
      <x:c r="L5215" s="2" t="str">
        <x:v>Loyal</x:v>
      </x:c>
    </x:row>
    <x:row r="5216" ht="22" customHeight="1">
      <x:c r="A5216" s="2"/>
      <x:c r="B5216" s="2" t="str">
        <x:v>17580</x:v>
      </x:c>
      <x:c r="C5216" s="2" t="str">
        <x:v>United Kingdom</x:v>
      </x:c>
      <x:c r="D5216" s="25" t="n">
        <x:v>40464.39444444444</x:v>
      </x:c>
      <x:c r="E5216" s="25" t="n">
        <x:v>40634.32013888889</x:v>
      </x:c>
      <x:c r="F5216" s="2" t="n">
        <x:v>253</x:v>
      </x:c>
      <x:c r="G5216" s="2" t="n">
        <x:v>5</x:v>
      </x:c>
      <x:c r="H5216" s="11" t="n">
        <x:v>545.27</x:v>
      </x:c>
      <x:c r="I5216" s="2" t="n">
        <x:v>2</x:v>
      </x:c>
      <x:c r="J5216" s="2" t="n">
        <x:v>4</x:v>
      </x:c>
      <x:c r="K5216" s="2" t="n">
        <x:v>2</x:v>
      </x:c>
      <x:c r="L5216" s="2" t="str">
        <x:v>At risk</x:v>
      </x:c>
    </x:row>
    <x:row r="5217" ht="22" customHeight="1">
      <x:c r="A5217" s="2"/>
      <x:c r="B5217" s="2" t="str">
        <x:v>17581</x:v>
      </x:c>
      <x:c r="C5217" s="2" t="str">
        <x:v>United Kingdom</x:v>
      </x:c>
      <x:c r="D5217" s="25" t="n">
        <x:v>40150.31527777778</x:v>
      </x:c>
      <x:c r="E5217" s="25" t="n">
        <x:v>40886.30625</x:v>
      </x:c>
      <x:c r="F5217" s="2" t="n">
        <x:v>1</x:v>
      </x:c>
      <x:c r="G5217" s="2" t="n">
        <x:v>43</x:v>
      </x:c>
      <x:c r="H5217" s="11" t="n">
        <x:v>17970.97</x:v>
      </x:c>
      <x:c r="I5217" s="2" t="n">
        <x:v>5</x:v>
      </x:c>
      <x:c r="J5217" s="2" t="n">
        <x:v>5</x:v>
      </x:c>
      <x:c r="K5217" s="2" t="n">
        <x:v>5</x:v>
      </x:c>
      <x:c r="L5217" s="2" t="str">
        <x:v>Champions</x:v>
      </x:c>
    </x:row>
    <x:row r="5218" ht="22" customHeight="1">
      <x:c r="A5218" s="2"/>
      <x:c r="B5218" s="2" t="str">
        <x:v>17582</x:v>
      </x:c>
      <x:c r="C5218" s="2" t="str">
        <x:v>United Kingdom</x:v>
      </x:c>
      <x:c r="D5218" s="25" t="n">
        <x:v>40263.30763888889</x:v>
      </x:c>
      <x:c r="E5218" s="25" t="n">
        <x:v>40650.34583333333</x:v>
      </x:c>
      <x:c r="F5218" s="2" t="n">
        <x:v>237</x:v>
      </x:c>
      <x:c r="G5218" s="2" t="n">
        <x:v>5</x:v>
      </x:c>
      <x:c r="H5218" s="11" t="n">
        <x:v>1450.7</x:v>
      </x:c>
      <x:c r="I5218" s="2" t="n">
        <x:v>2</x:v>
      </x:c>
      <x:c r="J5218" s="2" t="n">
        <x:v>4</x:v>
      </x:c>
      <x:c r="K5218" s="2" t="n">
        <x:v>4</x:v>
      </x:c>
      <x:c r="L5218" s="2" t="str">
        <x:v>At risk</x:v>
      </x:c>
    </x:row>
    <x:row r="5219" ht="22" customHeight="1">
      <x:c r="A5219" s="2"/>
      <x:c r="B5219" s="2" t="str">
        <x:v>17583</x:v>
      </x:c>
      <x:c r="C5219" s="2" t="str">
        <x:v>United Kingdom</x:v>
      </x:c>
      <x:c r="D5219" s="25" t="n">
        <x:v>40326.39166666667</x:v>
      </x:c>
      <x:c r="E5219" s="25" t="n">
        <x:v>40326.39166666667</x:v>
      </x:c>
      <x:c r="F5219" s="2" t="n">
        <x:v>561</x:v>
      </x:c>
      <x:c r="G5219" s="2" t="n">
        <x:v>1</x:v>
      </x:c>
      <x:c r="H5219" s="11" t="n">
        <x:v>135.95</x:v>
      </x:c>
      <x:c r="I5219" s="2" t="n">
        <x:v>1</x:v>
      </x:c>
      <x:c r="J5219" s="2" t="n">
        <x:v>1</x:v>
      </x:c>
      <x:c r="K5219" s="2" t="n">
        <x:v>1</x:v>
      </x:c>
      <x:c r="L5219" s="2" t="str">
        <x:v>Hibernating</x:v>
      </x:c>
    </x:row>
    <x:row r="5220" ht="22" customHeight="1">
      <x:c r="A5220" s="2"/>
      <x:c r="B5220" s="2" t="str">
        <x:v>17584</x:v>
      </x:c>
      <x:c r="C5220" s="2" t="str">
        <x:v>United Kingdom</x:v>
      </x:c>
      <x:c r="D5220" s="25" t="n">
        <x:v>40203.13680555556</x:v>
      </x:c>
      <x:c r="E5220" s="25" t="n">
        <x:v>40879.50833333333</x:v>
      </x:c>
      <x:c r="F5220" s="2" t="n">
        <x:v>8</x:v>
      </x:c>
      <x:c r="G5220" s="2" t="n">
        <x:v>6</x:v>
      </x:c>
      <x:c r="H5220" s="11" t="n">
        <x:v>5309.42</x:v>
      </x:c>
      <x:c r="I5220" s="2" t="n">
        <x:v>5</x:v>
      </x:c>
      <x:c r="J5220" s="2" t="n">
        <x:v>4</x:v>
      </x:c>
      <x:c r="K5220" s="2" t="n">
        <x:v>5</x:v>
      </x:c>
      <x:c r="L5220" s="2" t="str">
        <x:v>Champions</x:v>
      </x:c>
    </x:row>
    <x:row r="5221" ht="22" customHeight="1">
      <x:c r="A5221" s="2"/>
      <x:c r="B5221" s="2" t="str">
        <x:v>17585</x:v>
      </x:c>
      <x:c r="C5221" s="2" t="str">
        <x:v>United Kingdom</x:v>
      </x:c>
      <x:c r="D5221" s="25" t="n">
        <x:v>40408.48541666667</x:v>
      </x:c>
      <x:c r="E5221" s="25" t="n">
        <x:v>40777.354166666664</x:v>
      </x:c>
      <x:c r="F5221" s="2" t="n">
        <x:v>110</x:v>
      </x:c>
      <x:c r="G5221" s="2" t="n">
        <x:v>7</x:v>
      </x:c>
      <x:c r="H5221" s="11" t="n">
        <x:v>2093.3</x:v>
      </x:c>
      <x:c r="I5221" s="2" t="n">
        <x:v>3</x:v>
      </x:c>
      <x:c r="J5221" s="2" t="n">
        <x:v>4</x:v>
      </x:c>
      <x:c r="K5221" s="2" t="n">
        <x:v>4</x:v>
      </x:c>
      <x:c r="L5221" s="2" t="str">
        <x:v>Loyal</x:v>
      </x:c>
    </x:row>
    <x:row r="5222" ht="22" customHeight="1">
      <x:c r="A5222" s="2"/>
      <x:c r="B5222" s="2" t="str">
        <x:v>17586</x:v>
      </x:c>
      <x:c r="C5222" s="2" t="str">
        <x:v>United Kingdom</x:v>
      </x:c>
      <x:c r="D5222" s="25" t="n">
        <x:v>40267.34166666667</x:v>
      </x:c>
      <x:c r="E5222" s="25" t="n">
        <x:v>40267.34166666667</x:v>
      </x:c>
      <x:c r="F5222" s="2" t="n">
        <x:v>620</x:v>
      </x:c>
      <x:c r="G5222" s="2" t="n">
        <x:v>1</x:v>
      </x:c>
      <x:c r="H5222" s="11" t="n">
        <x:v>167.4</x:v>
      </x:c>
      <x:c r="I5222" s="2" t="n">
        <x:v>1</x:v>
      </x:c>
      <x:c r="J5222" s="2" t="n">
        <x:v>1</x:v>
      </x:c>
      <x:c r="K5222" s="2" t="n">
        <x:v>1</x:v>
      </x:c>
      <x:c r="L5222" s="2" t="str">
        <x:v>Hibernating</x:v>
      </x:c>
    </x:row>
    <x:row r="5223" ht="22" customHeight="1">
      <x:c r="A5223" s="2"/>
      <x:c r="B5223" s="2" t="str">
        <x:v>17587</x:v>
      </x:c>
      <x:c r="C5223" s="2" t="str">
        <x:v>United Kingdom</x:v>
      </x:c>
      <x:c r="D5223" s="25" t="n">
        <x:v>40258.38611111111</x:v>
      </x:c>
      <x:c r="E5223" s="25" t="n">
        <x:v>40258.38611111111</x:v>
      </x:c>
      <x:c r="F5223" s="2" t="n">
        <x:v>629</x:v>
      </x:c>
      <x:c r="G5223" s="2" t="n">
        <x:v>1</x:v>
      </x:c>
      <x:c r="H5223" s="11" t="n">
        <x:v>181.66</x:v>
      </x:c>
      <x:c r="I5223" s="2" t="n">
        <x:v>1</x:v>
      </x:c>
      <x:c r="J5223" s="2" t="n">
        <x:v>1</x:v>
      </x:c>
      <x:c r="K5223" s="2" t="n">
        <x:v>1</x:v>
      </x:c>
      <x:c r="L5223" s="2" t="str">
        <x:v>Hibernating</x:v>
      </x:c>
    </x:row>
    <x:row r="5224" ht="22" customHeight="1">
      <x:c r="A5224" s="2"/>
      <x:c r="B5224" s="2" t="str">
        <x:v>17588</x:v>
      </x:c>
      <x:c r="C5224" s="2" t="str">
        <x:v>United Kingdom</x:v>
      </x:c>
      <x:c r="D5224" s="25" t="n">
        <x:v>40249.31527777778</x:v>
      </x:c>
      <x:c r="E5224" s="25" t="n">
        <x:v>40786.35902777778</x:v>
      </x:c>
      <x:c r="F5224" s="2" t="n">
        <x:v>101</x:v>
      </x:c>
      <x:c r="G5224" s="2" t="n">
        <x:v>7</x:v>
      </x:c>
      <x:c r="H5224" s="11" t="n">
        <x:v>2939.55</x:v>
      </x:c>
      <x:c r="I5224" s="2" t="n">
        <x:v>3</x:v>
      </x:c>
      <x:c r="J5224" s="2" t="n">
        <x:v>4</x:v>
      </x:c>
      <x:c r="K5224" s="2" t="n">
        <x:v>5</x:v>
      </x:c>
      <x:c r="L5224" s="2" t="str">
        <x:v>Loyal</x:v>
      </x:c>
    </x:row>
    <x:row r="5225" ht="22" customHeight="1">
      <x:c r="A5225" s="2"/>
      <x:c r="B5225" s="2" t="str">
        <x:v>17589</x:v>
      </x:c>
      <x:c r="C5225" s="2" t="str">
        <x:v>United Kingdom</x:v>
      </x:c>
      <x:c r="D5225" s="25" t="n">
        <x:v>40244.36666666667</x:v>
      </x:c>
      <x:c r="E5225" s="25" t="n">
        <x:v>40826.498611111114</x:v>
      </x:c>
      <x:c r="F5225" s="2" t="n">
        <x:v>61</x:v>
      </x:c>
      <x:c r="G5225" s="2" t="n">
        <x:v>18</x:v>
      </x:c>
      <x:c r="H5225" s="11" t="n">
        <x:v>14049.87</x:v>
      </x:c>
      <x:c r="I5225" s="2" t="n">
        <x:v>3</x:v>
      </x:c>
      <x:c r="J5225" s="2" t="n">
        <x:v>5</x:v>
      </x:c>
      <x:c r="K5225" s="2" t="n">
        <x:v>5</x:v>
      </x:c>
      <x:c r="L5225" s="2" t="str">
        <x:v>Loyal</x:v>
      </x:c>
    </x:row>
    <x:row r="5226" ht="22" customHeight="1">
      <x:c r="A5226" s="2"/>
      <x:c r="B5226" s="2" t="str">
        <x:v>17590</x:v>
      </x:c>
      <x:c r="C5226" s="2" t="str">
        <x:v>United Kingdom</x:v>
      </x:c>
      <x:c r="D5226" s="25" t="n">
        <x:v>40846.37847222222</x:v>
      </x:c>
      <x:c r="E5226" s="25" t="n">
        <x:v>40884.32986111111</x:v>
      </x:c>
      <x:c r="F5226" s="2" t="n">
        <x:v>3</x:v>
      </x:c>
      <x:c r="G5226" s="2" t="n">
        <x:v>3</x:v>
      </x:c>
      <x:c r="H5226" s="11" t="n">
        <x:v>1479.22</x:v>
      </x:c>
      <x:c r="I5226" s="2" t="n">
        <x:v>5</x:v>
      </x:c>
      <x:c r="J5226" s="2" t="n">
        <x:v>3</x:v>
      </x:c>
      <x:c r="K5226" s="2" t="n">
        <x:v>4</x:v>
      </x:c>
      <x:c r="L5226" s="2" t="str">
        <x:v>Loyal</x:v>
      </x:c>
    </x:row>
    <x:row r="5227" ht="22" customHeight="1">
      <x:c r="A5227" s="2"/>
      <x:c r="B5227" s="2" t="str">
        <x:v>17591</x:v>
      </x:c>
      <x:c r="C5227" s="2" t="str">
        <x:v>United Kingdom</x:v>
      </x:c>
      <x:c r="D5227" s="25" t="n">
        <x:v>40195.464583333334</x:v>
      </x:c>
      <x:c r="E5227" s="25" t="n">
        <x:v>40813.3625</x:v>
      </x:c>
      <x:c r="F5227" s="2" t="n">
        <x:v>74</x:v>
      </x:c>
      <x:c r="G5227" s="2" t="n">
        <x:v>8</x:v>
      </x:c>
      <x:c r="H5227" s="11" t="n">
        <x:v>2370.07</x:v>
      </x:c>
      <x:c r="I5227" s="2" t="n">
        <x:v>3</x:v>
      </x:c>
      <x:c r="J5227" s="2" t="n">
        <x:v>4</x:v>
      </x:c>
      <x:c r="K5227" s="2" t="n">
        <x:v>4</x:v>
      </x:c>
      <x:c r="L5227" s="2" t="str">
        <x:v>Loyal</x:v>
      </x:c>
    </x:row>
    <x:row r="5228" ht="22" customHeight="1">
      <x:c r="A5228" s="2"/>
      <x:c r="B5228" s="2" t="str">
        <x:v>17592</x:v>
      </x:c>
      <x:c r="C5228" s="2" t="str">
        <x:v>United Kingdom</x:v>
      </x:c>
      <x:c r="D5228" s="25" t="n">
        <x:v>40148.24236111111</x:v>
      </x:c>
      <x:c r="E5228" s="25" t="n">
        <x:v>40148.24236111111</x:v>
      </x:c>
      <x:c r="F5228" s="2" t="n">
        <x:v>739</x:v>
      </x:c>
      <x:c r="G5228" s="2" t="n">
        <x:v>1</x:v>
      </x:c>
      <x:c r="H5228" s="11" t="n">
        <x:v>148.3</x:v>
      </x:c>
      <x:c r="I5228" s="2" t="n">
        <x:v>1</x:v>
      </x:c>
      <x:c r="J5228" s="2" t="n">
        <x:v>1</x:v>
      </x:c>
      <x:c r="K5228" s="2" t="n">
        <x:v>1</x:v>
      </x:c>
      <x:c r="L5228" s="2" t="str">
        <x:v>Hibernating</x:v>
      </x:c>
    </x:row>
    <x:row r="5229" ht="22" customHeight="1">
      <x:c r="A5229" s="2"/>
      <x:c r="B5229" s="2" t="str">
        <x:v>17593</x:v>
      </x:c>
      <x:c r="C5229" s="2" t="str">
        <x:v>United Kingdom</x:v>
      </x:c>
      <x:c r="D5229" s="25" t="n">
        <x:v>40151.399305555555</x:v>
      </x:c>
      <x:c r="E5229" s="25" t="n">
        <x:v>40883.229166666664</x:v>
      </x:c>
      <x:c r="F5229" s="2" t="n">
        <x:v>4</x:v>
      </x:c>
      <x:c r="G5229" s="2" t="n">
        <x:v>11</x:v>
      </x:c>
      <x:c r="H5229" s="11" t="n">
        <x:v>8095.8</x:v>
      </x:c>
      <x:c r="I5229" s="2" t="n">
        <x:v>5</x:v>
      </x:c>
      <x:c r="J5229" s="2" t="n">
        <x:v>5</x:v>
      </x:c>
      <x:c r="K5229" s="2" t="n">
        <x:v>5</x:v>
      </x:c>
      <x:c r="L5229" s="2" t="str">
        <x:v>Champions</x:v>
      </x:c>
    </x:row>
    <x:row r="5230" ht="22" customHeight="1">
      <x:c r="A5230" s="2"/>
      <x:c r="B5230" s="2" t="str">
        <x:v>17594</x:v>
      </x:c>
      <x:c r="C5230" s="2" t="str">
        <x:v>United Kingdom</x:v>
      </x:c>
      <x:c r="D5230" s="25" t="n">
        <x:v>40282.16180555556</x:v>
      </x:c>
      <x:c r="E5230" s="25" t="n">
        <x:v>40801.481944444444</x:v>
      </x:c>
      <x:c r="F5230" s="2" t="n">
        <x:v>86</x:v>
      </x:c>
      <x:c r="G5230" s="2" t="n">
        <x:v>4</x:v>
      </x:c>
      <x:c r="H5230" s="11" t="n">
        <x:v>2497.88</x:v>
      </x:c>
      <x:c r="I5230" s="2" t="n">
        <x:v>3</x:v>
      </x:c>
      <x:c r="J5230" s="2" t="n">
        <x:v>3</x:v>
      </x:c>
      <x:c r="K5230" s="2" t="n">
        <x:v>4</x:v>
      </x:c>
      <x:c r="L5230" s="2" t="str">
        <x:v>Loyal</x:v>
      </x:c>
    </x:row>
    <x:row r="5231" ht="22" customHeight="1">
      <x:c r="A5231" s="2"/>
      <x:c r="B5231" s="2" t="str">
        <x:v>17595</x:v>
      </x:c>
      <x:c r="C5231" s="2" t="str">
        <x:v>United Kingdom</x:v>
      </x:c>
      <x:c r="D5231" s="25" t="n">
        <x:v>40849.47152777778</x:v>
      </x:c>
      <x:c r="E5231" s="25" t="n">
        <x:v>40874.46388888889</x:v>
      </x:c>
      <x:c r="F5231" s="2" t="n">
        <x:v>13</x:v>
      </x:c>
      <x:c r="G5231" s="2" t="n">
        <x:v>2</x:v>
      </x:c>
      <x:c r="H5231" s="11" t="n">
        <x:v>388.79</x:v>
      </x:c>
      <x:c r="I5231" s="2" t="n">
        <x:v>5</x:v>
      </x:c>
      <x:c r="J5231" s="2" t="n">
        <x:v>2</x:v>
      </x:c>
      <x:c r="K5231" s="2" t="n">
        <x:v>2</x:v>
      </x:c>
      <x:c r="L5231" s="2" t="str">
        <x:v>Recent light buyers</x:v>
      </x:c>
    </x:row>
    <x:row r="5232" ht="22" customHeight="1">
      <x:c r="A5232" s="2"/>
      <x:c r="B5232" s="2" t="str">
        <x:v>17596</x:v>
      </x:c>
      <x:c r="C5232" s="2" t="str">
        <x:v>United Kingdom</x:v>
      </x:c>
      <x:c r="D5232" s="25" t="n">
        <x:v>40162.347916666666</x:v>
      </x:c>
      <x:c r="E5232" s="25" t="n">
        <x:v>40863.38263888889</x:v>
      </x:c>
      <x:c r="F5232" s="2" t="n">
        <x:v>24</x:v>
      </x:c>
      <x:c r="G5232" s="2" t="n">
        <x:v>13</x:v>
      </x:c>
      <x:c r="H5232" s="11" t="n">
        <x:v>4528.05</x:v>
      </x:c>
      <x:c r="I5232" s="2" t="n">
        <x:v>4</x:v>
      </x:c>
      <x:c r="J5232" s="2" t="n">
        <x:v>5</x:v>
      </x:c>
      <x:c r="K5232" s="2" t="n">
        <x:v>5</x:v>
      </x:c>
      <x:c r="L5232" s="2" t="str">
        <x:v>Champions</x:v>
      </x:c>
    </x:row>
    <x:row r="5233" ht="22" customHeight="1">
      <x:c r="A5233" s="2"/>
      <x:c r="B5233" s="2" t="str">
        <x:v>17597</x:v>
      </x:c>
      <x:c r="C5233" s="2" t="str">
        <x:v>United Kingdom</x:v>
      </x:c>
      <x:c r="D5233" s="25" t="n">
        <x:v>40303.43958333333</x:v>
      </x:c>
      <x:c r="E5233" s="25" t="n">
        <x:v>40673.2875</x:v>
      </x:c>
      <x:c r="F5233" s="2" t="n">
        <x:v>214</x:v>
      </x:c>
      <x:c r="G5233" s="2" t="n">
        <x:v>5</x:v>
      </x:c>
      <x:c r="H5233" s="11" t="n">
        <x:v>3484.09</x:v>
      </x:c>
      <x:c r="I5233" s="2" t="n">
        <x:v>2</x:v>
      </x:c>
      <x:c r="J5233" s="2" t="n">
        <x:v>4</x:v>
      </x:c>
      <x:c r="K5233" s="2" t="n">
        <x:v>5</x:v>
      </x:c>
      <x:c r="L5233" s="2" t="str">
        <x:v>At risk</x:v>
      </x:c>
    </x:row>
    <x:row r="5234" ht="22" customHeight="1">
      <x:c r="A5234" s="2"/>
      <x:c r="B5234" s="2" t="str">
        <x:v>17598</x:v>
      </x:c>
      <x:c r="C5234" s="2" t="str">
        <x:v>United Kingdom</x:v>
      </x:c>
      <x:c r="D5234" s="25" t="n">
        <x:v>40505.529861111114</x:v>
      </x:c>
      <x:c r="E5234" s="25" t="n">
        <x:v>40505.529861111114</x:v>
      </x:c>
      <x:c r="F5234" s="2" t="n">
        <x:v>382</x:v>
      </x:c>
      <x:c r="G5234" s="2" t="n">
        <x:v>1</x:v>
      </x:c>
      <x:c r="H5234" s="11" t="n">
        <x:v>409.98</x:v>
      </x:c>
      <x:c r="I5234" s="2" t="n">
        <x:v>2</x:v>
      </x:c>
      <x:c r="J5234" s="2" t="n">
        <x:v>1</x:v>
      </x:c>
      <x:c r="K5234" s="2" t="n">
        <x:v>2</x:v>
      </x:c>
      <x:c r="L5234" s="2" t="str">
        <x:v>Hibernating</x:v>
      </x:c>
    </x:row>
    <x:row r="5235" ht="22" customHeight="1">
      <x:c r="A5235" s="2"/>
      <x:c r="B5235" s="2" t="str">
        <x:v>17599</x:v>
      </x:c>
      <x:c r="C5235" s="2" t="str">
        <x:v>United Kingdom</x:v>
      </x:c>
      <x:c r="D5235" s="25" t="n">
        <x:v>40409.32638888889</x:v>
      </x:c>
      <x:c r="E5235" s="25" t="n">
        <x:v>40409.32638888889</x:v>
      </x:c>
      <x:c r="F5235" s="2" t="n">
        <x:v>478</x:v>
      </x:c>
      <x:c r="G5235" s="2" t="n">
        <x:v>1</x:v>
      </x:c>
      <x:c r="H5235" s="11" t="n">
        <x:v>52.05</x:v>
      </x:c>
      <x:c r="I5235" s="2" t="n">
        <x:v>1</x:v>
      </x:c>
      <x:c r="J5235" s="2" t="n">
        <x:v>1</x:v>
      </x:c>
      <x:c r="K5235" s="2" t="n">
        <x:v>1</x:v>
      </x:c>
      <x:c r="L5235" s="2" t="str">
        <x:v>Hibernating</x:v>
      </x:c>
    </x:row>
    <x:row r="5236" ht="22" customHeight="1">
      <x:c r="A5236" s="2"/>
      <x:c r="B5236" s="2" t="str">
        <x:v>17600</x:v>
      </x:c>
      <x:c r="C5236" s="2" t="str">
        <x:v>United Kingdom</x:v>
      </x:c>
      <x:c r="D5236" s="25" t="n">
        <x:v>40869.19652777778</x:v>
      </x:c>
      <x:c r="E5236" s="25" t="n">
        <x:v>40869.19652777778</x:v>
      </x:c>
      <x:c r="F5236" s="2" t="n">
        <x:v>18</x:v>
      </x:c>
      <x:c r="G5236" s="2" t="n">
        <x:v>1</x:v>
      </x:c>
      <x:c r="H5236" s="11" t="n">
        <x:v>161.67</x:v>
      </x:c>
      <x:c r="I5236" s="2" t="n">
        <x:v>5</x:v>
      </x:c>
      <x:c r="J5236" s="2" t="n">
        <x:v>1</x:v>
      </x:c>
      <x:c r="K5236" s="2" t="n">
        <x:v>1</x:v>
      </x:c>
      <x:c r="L5236" s="2" t="str">
        <x:v>Recent light buyers</x:v>
      </x:c>
    </x:row>
    <x:row r="5237" ht="22" customHeight="1">
      <x:c r="A5237" s="2"/>
      <x:c r="B5237" s="2" t="str">
        <x:v>17601</x:v>
      </x:c>
      <x:c r="C5237" s="2" t="str">
        <x:v>United Kingdom</x:v>
      </x:c>
      <x:c r="D5237" s="25" t="n">
        <x:v>40506.39513888889</x:v>
      </x:c>
      <x:c r="E5237" s="25" t="n">
        <x:v>40647.54305555556</x:v>
      </x:c>
      <x:c r="F5237" s="2" t="n">
        <x:v>240</x:v>
      </x:c>
      <x:c r="G5237" s="2" t="n">
        <x:v>2</x:v>
      </x:c>
      <x:c r="H5237" s="11" t="n">
        <x:v>421.48</x:v>
      </x:c>
      <x:c r="I5237" s="2" t="n">
        <x:v>2</x:v>
      </x:c>
      <x:c r="J5237" s="2" t="n">
        <x:v>2</x:v>
      </x:c>
      <x:c r="K5237" s="2" t="n">
        <x:v>2</x:v>
      </x:c>
      <x:c r="L5237" s="2" t="str">
        <x:v>Hibernating</x:v>
      </x:c>
    </x:row>
    <x:row r="5238" ht="22" customHeight="1">
      <x:c r="A5238" s="2"/>
      <x:c r="B5238" s="2" t="str">
        <x:v>17602</x:v>
      </x:c>
      <x:c r="C5238" s="2" t="str">
        <x:v>United Kingdom</x:v>
      </x:c>
      <x:c r="D5238" s="25" t="n">
        <x:v>40267.51736111111</x:v>
      </x:c>
      <x:c r="E5238" s="25" t="n">
        <x:v>40884.37013888889</x:v>
      </x:c>
      <x:c r="F5238" s="2" t="n">
        <x:v>3</x:v>
      </x:c>
      <x:c r="G5238" s="2" t="n">
        <x:v>14</x:v>
      </x:c>
      <x:c r="H5238" s="11" t="n">
        <x:v>7451.13</x:v>
      </x:c>
      <x:c r="I5238" s="2" t="n">
        <x:v>5</x:v>
      </x:c>
      <x:c r="J5238" s="2" t="n">
        <x:v>5</x:v>
      </x:c>
      <x:c r="K5238" s="2" t="n">
        <x:v>5</x:v>
      </x:c>
      <x:c r="L5238" s="2" t="str">
        <x:v>Champions</x:v>
      </x:c>
    </x:row>
    <x:row r="5239" ht="22" customHeight="1">
      <x:c r="A5239" s="2"/>
      <x:c r="B5239" s="2" t="str">
        <x:v>17603</x:v>
      </x:c>
      <x:c r="C5239" s="2" t="str">
        <x:v>United Kingdom</x:v>
      </x:c>
      <x:c r="D5239" s="25" t="n">
        <x:v>40157.197222222225</x:v>
      </x:c>
      <x:c r="E5239" s="25" t="n">
        <x:v>40808.3875</x:v>
      </x:c>
      <x:c r="F5239" s="2" t="n">
        <x:v>79</x:v>
      </x:c>
      <x:c r="G5239" s="2" t="n">
        <x:v>4</x:v>
      </x:c>
      <x:c r="H5239" s="11" t="n">
        <x:v>1793.48</x:v>
      </x:c>
      <x:c r="I5239" s="2" t="n">
        <x:v>3</x:v>
      </x:c>
      <x:c r="J5239" s="2" t="n">
        <x:v>3</x:v>
      </x:c>
      <x:c r="K5239" s="2" t="n">
        <x:v>4</x:v>
      </x:c>
      <x:c r="L5239" s="2" t="str">
        <x:v>Loyal</x:v>
      </x:c>
    </x:row>
    <x:row r="5240" ht="22" customHeight="1">
      <x:c r="A5240" s="2"/>
      <x:c r="B5240" s="2" t="str">
        <x:v>17604</x:v>
      </x:c>
      <x:c r="C5240" s="2" t="str">
        <x:v>United Kingdom</x:v>
      </x:c>
      <x:c r="D5240" s="25" t="n">
        <x:v>40205.30486111111</x:v>
      </x:c>
      <x:c r="E5240" s="25" t="n">
        <x:v>40669.36319444444</x:v>
      </x:c>
      <x:c r="F5240" s="2" t="n">
        <x:v>218</x:v>
      </x:c>
      <x:c r="G5240" s="2" t="n">
        <x:v>6</x:v>
      </x:c>
      <x:c r="H5240" s="11" t="n">
        <x:v>945.93</x:v>
      </x:c>
      <x:c r="I5240" s="2" t="n">
        <x:v>2</x:v>
      </x:c>
      <x:c r="J5240" s="2" t="n">
        <x:v>4</x:v>
      </x:c>
      <x:c r="K5240" s="2" t="n">
        <x:v>3</x:v>
      </x:c>
      <x:c r="L5240" s="2" t="str">
        <x:v>At risk</x:v>
      </x:c>
    </x:row>
    <x:row r="5241" ht="22" customHeight="1">
      <x:c r="A5241" s="2"/>
      <x:c r="B5241" s="2" t="str">
        <x:v>17605</x:v>
      </x:c>
      <x:c r="C5241" s="2" t="str">
        <x:v>United Kingdom</x:v>
      </x:c>
      <x:c r="D5241" s="25" t="n">
        <x:v>40296.40625</x:v>
      </x:c>
      <x:c r="E5241" s="25" t="n">
        <x:v>40296.40625</x:v>
      </x:c>
      <x:c r="F5241" s="2" t="n">
        <x:v>591</x:v>
      </x:c>
      <x:c r="G5241" s="2" t="n">
        <x:v>1</x:v>
      </x:c>
      <x:c r="H5241" s="11" t="n">
        <x:v>160.75</x:v>
      </x:c>
      <x:c r="I5241" s="2" t="n">
        <x:v>1</x:v>
      </x:c>
      <x:c r="J5241" s="2" t="n">
        <x:v>1</x:v>
      </x:c>
      <x:c r="K5241" s="2" t="n">
        <x:v>1</x:v>
      </x:c>
      <x:c r="L5241" s="2" t="str">
        <x:v>Hibernating</x:v>
      </x:c>
    </x:row>
    <x:row r="5242" ht="22" customHeight="1">
      <x:c r="A5242" s="2"/>
      <x:c r="B5242" s="2" t="str">
        <x:v>17606</x:v>
      </x:c>
      <x:c r="C5242" s="2" t="str">
        <x:v>United Kingdom</x:v>
      </x:c>
      <x:c r="D5242" s="25" t="n">
        <x:v>40149.35555555556</x:v>
      </x:c>
      <x:c r="E5242" s="25" t="n">
        <x:v>40149.35555555556</x:v>
      </x:c>
      <x:c r="F5242" s="2" t="n">
        <x:v>738</x:v>
      </x:c>
      <x:c r="G5242" s="2" t="n">
        <x:v>1</x:v>
      </x:c>
      <x:c r="H5242" s="11" t="n">
        <x:v>87.3</x:v>
      </x:c>
      <x:c r="I5242" s="2" t="n">
        <x:v>1</x:v>
      </x:c>
      <x:c r="J5242" s="2" t="n">
        <x:v>1</x:v>
      </x:c>
      <x:c r="K5242" s="2" t="n">
        <x:v>1</x:v>
      </x:c>
      <x:c r="L5242" s="2" t="str">
        <x:v>Hibernating</x:v>
      </x:c>
    </x:row>
    <x:row r="5243" ht="22" customHeight="1">
      <x:c r="A5243" s="2"/>
      <x:c r="B5243" s="2" t="str">
        <x:v>17607</x:v>
      </x:c>
      <x:c r="C5243" s="2" t="str">
        <x:v>United Kingdom</x:v>
      </x:c>
      <x:c r="D5243" s="25" t="n">
        <x:v>40510.34097222222</x:v>
      </x:c>
      <x:c r="E5243" s="25" t="n">
        <x:v>40510.34097222222</x:v>
      </x:c>
      <x:c r="F5243" s="2" t="n">
        <x:v>377</x:v>
      </x:c>
      <x:c r="G5243" s="2" t="n">
        <x:v>1</x:v>
      </x:c>
      <x:c r="H5243" s="11" t="n">
        <x:v>333.81</x:v>
      </x:c>
      <x:c r="I5243" s="2" t="n">
        <x:v>2</x:v>
      </x:c>
      <x:c r="J5243" s="2" t="n">
        <x:v>1</x:v>
      </x:c>
      <x:c r="K5243" s="2" t="n">
        <x:v>2</x:v>
      </x:c>
      <x:c r="L5243" s="2" t="str">
        <x:v>Hibernating</x:v>
      </x:c>
    </x:row>
    <x:row r="5244" ht="22" customHeight="1">
      <x:c r="A5244" s="2"/>
      <x:c r="B5244" s="2" t="str">
        <x:v>17608</x:v>
      </x:c>
      <x:c r="C5244" s="2" t="str">
        <x:v>United Kingdom</x:v>
      </x:c>
      <x:c r="D5244" s="25" t="n">
        <x:v>40279.35902777778</x:v>
      </x:c>
      <x:c r="E5244" s="25" t="n">
        <x:v>40853.3375</x:v>
      </x:c>
      <x:c r="F5244" s="2" t="n">
        <x:v>34</x:v>
      </x:c>
      <x:c r="G5244" s="2" t="n">
        <x:v>4</x:v>
      </x:c>
      <x:c r="H5244" s="11" t="n">
        <x:v>498.53</x:v>
      </x:c>
      <x:c r="I5244" s="2" t="n">
        <x:v>4</x:v>
      </x:c>
      <x:c r="J5244" s="2" t="n">
        <x:v>3</x:v>
      </x:c>
      <x:c r="K5244" s="2" t="n">
        <x:v>2</x:v>
      </x:c>
      <x:c r="L5244" s="2" t="str">
        <x:v>Loyal</x:v>
      </x:c>
    </x:row>
    <x:row r="5245" ht="22" customHeight="1">
      <x:c r="A5245" s="2"/>
      <x:c r="B5245" s="2" t="str">
        <x:v>17609</x:v>
      </x:c>
      <x:c r="C5245" s="2" t="str">
        <x:v>United Kingdom</x:v>
      </x:c>
      <x:c r="D5245" s="25" t="n">
        <x:v>40277.495833333334</x:v>
      </x:c>
      <x:c r="E5245" s="25" t="n">
        <x:v>40846.311111111114</x:v>
      </x:c>
      <x:c r="F5245" s="2" t="n">
        <x:v>41</x:v>
      </x:c>
      <x:c r="G5245" s="2" t="n">
        <x:v>11</x:v>
      </x:c>
      <x:c r="H5245" s="11" t="n">
        <x:v>1894.34</x:v>
      </x:c>
      <x:c r="I5245" s="2" t="n">
        <x:v>4</x:v>
      </x:c>
      <x:c r="J5245" s="2" t="n">
        <x:v>5</x:v>
      </x:c>
      <x:c r="K5245" s="2" t="n">
        <x:v>4</x:v>
      </x:c>
      <x:c r="L5245" s="2" t="str">
        <x:v>Champions</x:v>
      </x:c>
    </x:row>
    <x:row r="5246" ht="22" customHeight="1">
      <x:c r="A5246" s="2"/>
      <x:c r="B5246" s="2" t="str">
        <x:v>17610</x:v>
      </x:c>
      <x:c r="C5246" s="2" t="str">
        <x:v>United Kingdom</x:v>
      </x:c>
      <x:c r="D5246" s="25" t="n">
        <x:v>40153.46319444444</x:v>
      </x:c>
      <x:c r="E5246" s="25" t="n">
        <x:v>40346.481944444444</x:v>
      </x:c>
      <x:c r="F5246" s="2" t="n">
        <x:v>541</x:v>
      </x:c>
      <x:c r="G5246" s="2" t="n">
        <x:v>5</x:v>
      </x:c>
      <x:c r="H5246" s="11" t="n">
        <x:v>1529.49</x:v>
      </x:c>
      <x:c r="I5246" s="2" t="n">
        <x:v>1</x:v>
      </x:c>
      <x:c r="J5246" s="2" t="n">
        <x:v>4</x:v>
      </x:c>
      <x:c r="K5246" s="2" t="n">
        <x:v>4</x:v>
      </x:c>
      <x:c r="L5246" s="2" t="str">
        <x:v>At risk</x:v>
      </x:c>
    </x:row>
    <x:row r="5247" ht="22" customHeight="1">
      <x:c r="A5247" s="2"/>
      <x:c r="B5247" s="2" t="str">
        <x:v>17611</x:v>
      </x:c>
      <x:c r="C5247" s="2" t="str">
        <x:v>United Kingdom</x:v>
      </x:c>
      <x:c r="D5247" s="25" t="n">
        <x:v>40148.353472222225</x:v>
      </x:c>
      <x:c r="E5247" s="25" t="n">
        <x:v>40879.353472222225</x:v>
      </x:c>
      <x:c r="F5247" s="2" t="n">
        <x:v>8</x:v>
      </x:c>
      <x:c r="G5247" s="2" t="n">
        <x:v>28</x:v>
      </x:c>
      <x:c r="H5247" s="11" t="n">
        <x:v>8371.98</x:v>
      </x:c>
      <x:c r="I5247" s="2" t="n">
        <x:v>5</x:v>
      </x:c>
      <x:c r="J5247" s="2" t="n">
        <x:v>5</x:v>
      </x:c>
      <x:c r="K5247" s="2" t="n">
        <x:v>5</x:v>
      </x:c>
      <x:c r="L5247" s="2" t="str">
        <x:v>Champions</x:v>
      </x:c>
    </x:row>
    <x:row r="5248" ht="22" customHeight="1">
      <x:c r="A5248" s="2"/>
      <x:c r="B5248" s="2" t="str">
        <x:v>17612</x:v>
      </x:c>
      <x:c r="C5248" s="2" t="str">
        <x:v>United Kingdom</x:v>
      </x:c>
      <x:c r="D5248" s="25" t="n">
        <x:v>40164.290972222225</x:v>
      </x:c>
      <x:c r="E5248" s="25" t="n">
        <x:v>40833.415972222225</x:v>
      </x:c>
      <x:c r="F5248" s="2" t="n">
        <x:v>54</x:v>
      </x:c>
      <x:c r="G5248" s="2" t="n">
        <x:v>18</x:v>
      </x:c>
      <x:c r="H5248" s="11" t="n">
        <x:v>5394.86</x:v>
      </x:c>
      <x:c r="I5248" s="2" t="n">
        <x:v>4</x:v>
      </x:c>
      <x:c r="J5248" s="2" t="n">
        <x:v>5</x:v>
      </x:c>
      <x:c r="K5248" s="2" t="n">
        <x:v>5</x:v>
      </x:c>
      <x:c r="L5248" s="2" t="str">
        <x:v>Champions</x:v>
      </x:c>
    </x:row>
    <x:row r="5249" ht="22" customHeight="1">
      <x:c r="A5249" s="2"/>
      <x:c r="B5249" s="2" t="str">
        <x:v>17613</x:v>
      </x:c>
      <x:c r="C5249" s="2" t="str">
        <x:v>United Kingdom</x:v>
      </x:c>
      <x:c r="D5249" s="25" t="n">
        <x:v>40581.26388888889</x:v>
      </x:c>
      <x:c r="E5249" s="25" t="n">
        <x:v>40864.24375</x:v>
      </x:c>
      <x:c r="F5249" s="2" t="n">
        <x:v>23</x:v>
      </x:c>
      <x:c r="G5249" s="2" t="n">
        <x:v>14</x:v>
      </x:c>
      <x:c r="H5249" s="11" t="n">
        <x:v>4559.15</x:v>
      </x:c>
      <x:c r="I5249" s="2" t="n">
        <x:v>4</x:v>
      </x:c>
      <x:c r="J5249" s="2" t="n">
        <x:v>5</x:v>
      </x:c>
      <x:c r="K5249" s="2" t="n">
        <x:v>5</x:v>
      </x:c>
      <x:c r="L5249" s="2" t="str">
        <x:v>Champions</x:v>
      </x:c>
    </x:row>
    <x:row r="5250" ht="22" customHeight="1">
      <x:c r="A5250" s="2"/>
      <x:c r="B5250" s="2" t="str">
        <x:v>17614</x:v>
      </x:c>
      <x:c r="C5250" s="2" t="str">
        <x:v>United Kingdom</x:v>
      </x:c>
      <x:c r="D5250" s="25" t="n">
        <x:v>40829.459027777775</x:v>
      </x:c>
      <x:c r="E5250" s="25" t="n">
        <x:v>40829.459027777775</x:v>
      </x:c>
      <x:c r="F5250" s="2" t="n">
        <x:v>58</x:v>
      </x:c>
      <x:c r="G5250" s="2" t="n">
        <x:v>1</x:v>
      </x:c>
      <x:c r="H5250" s="11" t="n">
        <x:v>390.07</x:v>
      </x:c>
      <x:c r="I5250" s="2" t="n">
        <x:v>4</x:v>
      </x:c>
      <x:c r="J5250" s="2" t="n">
        <x:v>1</x:v>
      </x:c>
      <x:c r="K5250" s="2" t="n">
        <x:v>2</x:v>
      </x:c>
      <x:c r="L5250" s="2" t="str">
        <x:v>Recent light buyers</x:v>
      </x:c>
    </x:row>
    <x:row r="5251" ht="22" customHeight="1">
      <x:c r="A5251" s="2"/>
      <x:c r="B5251" s="2" t="str">
        <x:v>17615</x:v>
      </x:c>
      <x:c r="C5251" s="2" t="str">
        <x:v>United Kingdom</x:v>
      </x:c>
      <x:c r="D5251" s="25" t="n">
        <x:v>40401.32916666667</x:v>
      </x:c>
      <x:c r="E5251" s="25" t="n">
        <x:v>40756.379166666666</x:v>
      </x:c>
      <x:c r="F5251" s="2" t="n">
        <x:v>131</x:v>
      </x:c>
      <x:c r="G5251" s="2" t="n">
        <x:v>6</x:v>
      </x:c>
      <x:c r="H5251" s="11" t="n">
        <x:v>733.2</x:v>
      </x:c>
      <x:c r="I5251" s="2" t="n">
        <x:v>3</x:v>
      </x:c>
      <x:c r="J5251" s="2" t="n">
        <x:v>4</x:v>
      </x:c>
      <x:c r="K5251" s="2" t="n">
        <x:v>3</x:v>
      </x:c>
      <x:c r="L5251" s="2" t="str">
        <x:v>Loyal</x:v>
      </x:c>
    </x:row>
    <x:row r="5252" ht="22" customHeight="1">
      <x:c r="A5252" s="2"/>
      <x:c r="B5252" s="2" t="str">
        <x:v>17616</x:v>
      </x:c>
      <x:c r="C5252" s="2" t="str">
        <x:v>United Kingdom</x:v>
      </x:c>
      <x:c r="D5252" s="25" t="n">
        <x:v>40435.23819444444</x:v>
      </x:c>
      <x:c r="E5252" s="25" t="n">
        <x:v>40713.21597222222</x:v>
      </x:c>
      <x:c r="F5252" s="2" t="n">
        <x:v>174</x:v>
      </x:c>
      <x:c r="G5252" s="2" t="n">
        <x:v>4</x:v>
      </x:c>
      <x:c r="H5252" s="11" t="n">
        <x:v>734.4</x:v>
      </x:c>
      <x:c r="I5252" s="2" t="n">
        <x:v>3</x:v>
      </x:c>
      <x:c r="J5252" s="2" t="n">
        <x:v>3</x:v>
      </x:c>
      <x:c r="K5252" s="2" t="n">
        <x:v>3</x:v>
      </x:c>
      <x:c r="L5252" s="2" t="str">
        <x:v>Loyal</x:v>
      </x:c>
    </x:row>
    <x:row r="5253" ht="22" customHeight="1">
      <x:c r="A5253" s="2"/>
      <x:c r="B5253" s="2" t="str">
        <x:v>17617</x:v>
      </x:c>
      <x:c r="C5253" s="2" t="str">
        <x:v>United Kingdom</x:v>
      </x:c>
      <x:c r="D5253" s="25" t="n">
        <x:v>40328.325</x:v>
      </x:c>
      <x:c r="E5253" s="25" t="n">
        <x:v>40328.325</x:v>
      </x:c>
      <x:c r="F5253" s="2" t="n">
        <x:v>559</x:v>
      </x:c>
      <x:c r="G5253" s="2" t="n">
        <x:v>1</x:v>
      </x:c>
      <x:c r="H5253" s="11" t="n">
        <x:v>395.33</x:v>
      </x:c>
      <x:c r="I5253" s="2" t="n">
        <x:v>1</x:v>
      </x:c>
      <x:c r="J5253" s="2" t="n">
        <x:v>1</x:v>
      </x:c>
      <x:c r="K5253" s="2" t="n">
        <x:v>2</x:v>
      </x:c>
      <x:c r="L5253" s="2" t="str">
        <x:v>Hibernating</x:v>
      </x:c>
    </x:row>
    <x:row r="5254" ht="22" customHeight="1">
      <x:c r="A5254" s="2"/>
      <x:c r="B5254" s="2" t="str">
        <x:v>17618</x:v>
      </x:c>
      <x:c r="C5254" s="2" t="str">
        <x:v>United Kingdom</x:v>
      </x:c>
      <x:c r="D5254" s="25" t="n">
        <x:v>40202.25208333333</x:v>
      </x:c>
      <x:c r="E5254" s="25" t="n">
        <x:v>40881.28472222222</x:v>
      </x:c>
      <x:c r="F5254" s="2" t="n">
        <x:v>6</x:v>
      </x:c>
      <x:c r="G5254" s="2" t="n">
        <x:v>11</x:v>
      </x:c>
      <x:c r="H5254" s="11" t="n">
        <x:v>4073.24</x:v>
      </x:c>
      <x:c r="I5254" s="2" t="n">
        <x:v>5</x:v>
      </x:c>
      <x:c r="J5254" s="2" t="n">
        <x:v>5</x:v>
      </x:c>
      <x:c r="K5254" s="2" t="n">
        <x:v>5</x:v>
      </x:c>
      <x:c r="L5254" s="2" t="str">
        <x:v>Champions</x:v>
      </x:c>
    </x:row>
    <x:row r="5255" ht="22" customHeight="1">
      <x:c r="A5255" s="2"/>
      <x:c r="B5255" s="2" t="str">
        <x:v>17619</x:v>
      </x:c>
      <x:c r="C5255" s="2" t="str">
        <x:v>United Kingdom</x:v>
      </x:c>
      <x:c r="D5255" s="25" t="n">
        <x:v>40574.3875</x:v>
      </x:c>
      <x:c r="E5255" s="25" t="n">
        <x:v>40574.3875</x:v>
      </x:c>
      <x:c r="F5255" s="2" t="n">
        <x:v>313</x:v>
      </x:c>
      <x:c r="G5255" s="2" t="n">
        <x:v>1</x:v>
      </x:c>
      <x:c r="H5255" s="11" t="n">
        <x:v>218.52</x:v>
      </x:c>
      <x:c r="I5255" s="2" t="n">
        <x:v>2</x:v>
      </x:c>
      <x:c r="J5255" s="2" t="n">
        <x:v>1</x:v>
      </x:c>
      <x:c r="K5255" s="2" t="n">
        <x:v>1</x:v>
      </x:c>
      <x:c r="L5255" s="2" t="str">
        <x:v>Hibernating</x:v>
      </x:c>
    </x:row>
    <x:row r="5256" ht="22" customHeight="1">
      <x:c r="A5256" s="2"/>
      <x:c r="B5256" s="2" t="str">
        <x:v>17620</x:v>
      </x:c>
      <x:c r="C5256" s="2" t="str">
        <x:v>United Kingdom</x:v>
      </x:c>
      <x:c r="D5256" s="25" t="n">
        <x:v>40827.29722222222</x:v>
      </x:c>
      <x:c r="E5256" s="25" t="n">
        <x:v>40827.29722222222</x:v>
      </x:c>
      <x:c r="F5256" s="2" t="n">
        <x:v>60</x:v>
      </x:c>
      <x:c r="G5256" s="2" t="n">
        <x:v>1</x:v>
      </x:c>
      <x:c r="H5256" s="11" t="n">
        <x:v>81.44</x:v>
      </x:c>
      <x:c r="I5256" s="2" t="n">
        <x:v>3</x:v>
      </x:c>
      <x:c r="J5256" s="2" t="n">
        <x:v>1</x:v>
      </x:c>
      <x:c r="K5256" s="2" t="n">
        <x:v>1</x:v>
      </x:c>
      <x:c r="L5256" s="2" t="str">
        <x:v>Developing</x:v>
      </x:c>
    </x:row>
    <x:row r="5257" ht="22" customHeight="1">
      <x:c r="A5257" s="2"/>
      <x:c r="B5257" s="2" t="str">
        <x:v>17621</x:v>
      </x:c>
      <x:c r="C5257" s="2" t="str">
        <x:v>United Kingdom</x:v>
      </x:c>
      <x:c r="D5257" s="25" t="n">
        <x:v>40455.19236111111</x:v>
      </x:c>
      <x:c r="E5257" s="25" t="n">
        <x:v>40865.50763888889</x:v>
      </x:c>
      <x:c r="F5257" s="2" t="n">
        <x:v>22</x:v>
      </x:c>
      <x:c r="G5257" s="2" t="n">
        <x:v>6</x:v>
      </x:c>
      <x:c r="H5257" s="11" t="n">
        <x:v>3175.12</x:v>
      </x:c>
      <x:c r="I5257" s="2" t="n">
        <x:v>4</x:v>
      </x:c>
      <x:c r="J5257" s="2" t="n">
        <x:v>4</x:v>
      </x:c>
      <x:c r="K5257" s="2" t="n">
        <x:v>5</x:v>
      </x:c>
      <x:c r="L5257" s="2" t="str">
        <x:v>Champions</x:v>
      </x:c>
    </x:row>
    <x:row r="5258" ht="22" customHeight="1">
      <x:c r="A5258" s="2"/>
      <x:c r="B5258" s="2" t="str">
        <x:v>17622</x:v>
      </x:c>
      <x:c r="C5258" s="2" t="str">
        <x:v>United Kingdom</x:v>
      </x:c>
      <x:c r="D5258" s="25" t="n">
        <x:v>40288.35972222222</x:v>
      </x:c>
      <x:c r="E5258" s="25" t="n">
        <x:v>40289.316666666666</x:v>
      </x:c>
      <x:c r="F5258" s="2" t="n">
        <x:v>598</x:v>
      </x:c>
      <x:c r="G5258" s="2" t="n">
        <x:v>2</x:v>
      </x:c>
      <x:c r="H5258" s="11" t="n">
        <x:v>1130.21</x:v>
      </x:c>
      <x:c r="I5258" s="2" t="n">
        <x:v>1</x:v>
      </x:c>
      <x:c r="J5258" s="2" t="n">
        <x:v>2</x:v>
      </x:c>
      <x:c r="K5258" s="2" t="n">
        <x:v>3</x:v>
      </x:c>
      <x:c r="L5258" s="2" t="str">
        <x:v>Hibernating</x:v>
      </x:c>
    </x:row>
    <x:row r="5259" ht="22" customHeight="1">
      <x:c r="A5259" s="2"/>
      <x:c r="B5259" s="2" t="str">
        <x:v>17623</x:v>
      </x:c>
      <x:c r="C5259" s="2" t="str">
        <x:v>United Kingdom</x:v>
      </x:c>
      <x:c r="D5259" s="25" t="n">
        <x:v>40161.4</x:v>
      </x:c>
      <x:c r="E5259" s="25" t="n">
        <x:v>40854.27222222222</x:v>
      </x:c>
      <x:c r="F5259" s="2" t="n">
        <x:v>33</x:v>
      </x:c>
      <x:c r="G5259" s="2" t="n">
        <x:v>7</x:v>
      </x:c>
      <x:c r="H5259" s="11" t="n">
        <x:v>2383.67</x:v>
      </x:c>
      <x:c r="I5259" s="2" t="n">
        <x:v>4</x:v>
      </x:c>
      <x:c r="J5259" s="2" t="n">
        <x:v>4</x:v>
      </x:c>
      <x:c r="K5259" s="2" t="n">
        <x:v>4</x:v>
      </x:c>
      <x:c r="L5259" s="2" t="str">
        <x:v>Champions</x:v>
      </x:c>
    </x:row>
    <x:row r="5260" ht="22" customHeight="1">
      <x:c r="A5260" s="2"/>
      <x:c r="B5260" s="2" t="str">
        <x:v>17624</x:v>
      </x:c>
      <x:c r="C5260" s="2" t="str">
        <x:v>United Kingdom</x:v>
      </x:c>
      <x:c r="D5260" s="25" t="n">
        <x:v>40167.31597222222</x:v>
      </x:c>
      <x:c r="E5260" s="25" t="n">
        <x:v>40872.24444444444</x:v>
      </x:c>
      <x:c r="F5260" s="2" t="n">
        <x:v>15</x:v>
      </x:c>
      <x:c r="G5260" s="2" t="n">
        <x:v>4</x:v>
      </x:c>
      <x:c r="H5260" s="11" t="n">
        <x:v>1568.63</x:v>
      </x:c>
      <x:c r="I5260" s="2" t="n">
        <x:v>5</x:v>
      </x:c>
      <x:c r="J5260" s="2" t="n">
        <x:v>3</x:v>
      </x:c>
      <x:c r="K5260" s="2" t="n">
        <x:v>4</x:v>
      </x:c>
      <x:c r="L5260" s="2" t="str">
        <x:v>Loyal</x:v>
      </x:c>
    </x:row>
    <x:row r="5261" ht="22" customHeight="1">
      <x:c r="A5261" s="2"/>
      <x:c r="B5261" s="2" t="str">
        <x:v>17625</x:v>
      </x:c>
      <x:c r="C5261" s="2" t="str">
        <x:v>United Kingdom</x:v>
      </x:c>
      <x:c r="D5261" s="25" t="n">
        <x:v>40162.28402777778</x:v>
      </x:c>
      <x:c r="E5261" s="25" t="n">
        <x:v>40868.35833333333</x:v>
      </x:c>
      <x:c r="F5261" s="2" t="n">
        <x:v>19</x:v>
      </x:c>
      <x:c r="G5261" s="2" t="n">
        <x:v>8</x:v>
      </x:c>
      <x:c r="H5261" s="11" t="n">
        <x:v>6067.8</x:v>
      </x:c>
      <x:c r="I5261" s="2" t="n">
        <x:v>5</x:v>
      </x:c>
      <x:c r="J5261" s="2" t="n">
        <x:v>4</x:v>
      </x:c>
      <x:c r="K5261" s="2" t="n">
        <x:v>5</x:v>
      </x:c>
      <x:c r="L5261" s="2" t="str">
        <x:v>Champions</x:v>
      </x:c>
    </x:row>
    <x:row r="5262" ht="22" customHeight="1">
      <x:c r="A5262" s="2"/>
      <x:c r="B5262" s="2" t="str">
        <x:v>17626</x:v>
      </x:c>
      <x:c r="C5262" s="2" t="str">
        <x:v>United Kingdom</x:v>
      </x:c>
      <x:c r="D5262" s="25" t="n">
        <x:v>40284.302083333336</x:v>
      </x:c>
      <x:c r="E5262" s="25" t="n">
        <x:v>40284.302083333336</x:v>
      </x:c>
      <x:c r="F5262" s="2" t="n">
        <x:v>603</x:v>
      </x:c>
      <x:c r="G5262" s="2" t="n">
        <x:v>1</x:v>
      </x:c>
      <x:c r="H5262" s="11" t="n">
        <x:v>254</x:v>
      </x:c>
      <x:c r="I5262" s="2" t="n">
        <x:v>1</x:v>
      </x:c>
      <x:c r="J5262" s="2" t="n">
        <x:v>1</x:v>
      </x:c>
      <x:c r="K5262" s="2" t="n">
        <x:v>1</x:v>
      </x:c>
      <x:c r="L5262" s="2" t="str">
        <x:v>Hibernating</x:v>
      </x:c>
    </x:row>
    <x:row r="5263" ht="22" customHeight="1">
      <x:c r="A5263" s="2"/>
      <x:c r="B5263" s="2" t="str">
        <x:v>17627</x:v>
      </x:c>
      <x:c r="C5263" s="2" t="str">
        <x:v>United Kingdom</x:v>
      </x:c>
      <x:c r="D5263" s="25" t="n">
        <x:v>40408.26875</x:v>
      </x:c>
      <x:c r="E5263" s="25" t="n">
        <x:v>40408.26875</x:v>
      </x:c>
      <x:c r="F5263" s="2" t="n">
        <x:v>479</x:v>
      </x:c>
      <x:c r="G5263" s="2" t="n">
        <x:v>1</x:v>
      </x:c>
      <x:c r="H5263" s="11" t="n">
        <x:v>296.36</x:v>
      </x:c>
      <x:c r="I5263" s="2" t="n">
        <x:v>1</x:v>
      </x:c>
      <x:c r="J5263" s="2" t="n">
        <x:v>1</x:v>
      </x:c>
      <x:c r="K5263" s="2" t="n">
        <x:v>2</x:v>
      </x:c>
      <x:c r="L5263" s="2" t="str">
        <x:v>Hibernating</x:v>
      </x:c>
    </x:row>
    <x:row r="5264" ht="22" customHeight="1">
      <x:c r="A5264" s="2"/>
      <x:c r="B5264" s="2" t="str">
        <x:v>17628</x:v>
      </x:c>
      <x:c r="C5264" s="2" t="str">
        <x:v>United Kingdom</x:v>
      </x:c>
      <x:c r="D5264" s="25" t="n">
        <x:v>40805.43125</x:v>
      </x:c>
      <x:c r="E5264" s="25" t="n">
        <x:v>40805.43125</x:v>
      </x:c>
      <x:c r="F5264" s="2" t="n">
        <x:v>82</x:v>
      </x:c>
      <x:c r="G5264" s="2" t="n">
        <x:v>1</x:v>
      </x:c>
      <x:c r="H5264" s="11" t="n">
        <x:v>75.75</x:v>
      </x:c>
      <x:c r="I5264" s="2" t="n">
        <x:v>3</x:v>
      </x:c>
      <x:c r="J5264" s="2" t="n">
        <x:v>1</x:v>
      </x:c>
      <x:c r="K5264" s="2" t="n">
        <x:v>1</x:v>
      </x:c>
      <x:c r="L5264" s="2" t="str">
        <x:v>Developing</x:v>
      </x:c>
    </x:row>
    <x:row r="5265" ht="22" customHeight="1">
      <x:c r="A5265" s="2"/>
      <x:c r="B5265" s="2" t="str">
        <x:v>17629</x:v>
      </x:c>
      <x:c r="C5265" s="2" t="str">
        <x:v>United Kingdom</x:v>
      </x:c>
      <x:c r="D5265" s="25" t="n">
        <x:v>40465.35763888889</x:v>
      </x:c>
      <x:c r="E5265" s="25" t="n">
        <x:v>40881.24722222222</x:v>
      </x:c>
      <x:c r="F5265" s="2" t="n">
        <x:v>6</x:v>
      </x:c>
      <x:c r="G5265" s="2" t="n">
        <x:v>10</x:v>
      </x:c>
      <x:c r="H5265" s="11" t="n">
        <x:v>2455.52</x:v>
      </x:c>
      <x:c r="I5265" s="2" t="n">
        <x:v>5</x:v>
      </x:c>
      <x:c r="J5265" s="2" t="n">
        <x:v>5</x:v>
      </x:c>
      <x:c r="K5265" s="2" t="n">
        <x:v>4</x:v>
      </x:c>
      <x:c r="L5265" s="2" t="str">
        <x:v>Champions</x:v>
      </x:c>
    </x:row>
    <x:row r="5266" ht="22" customHeight="1">
      <x:c r="A5266" s="2"/>
      <x:c r="B5266" s="2" t="str">
        <x:v>17630</x:v>
      </x:c>
      <x:c r="C5266" s="2" t="str">
        <x:v>United Kingdom</x:v>
      </x:c>
      <x:c r="D5266" s="25" t="n">
        <x:v>40654.37708333333</x:v>
      </x:c>
      <x:c r="E5266" s="25" t="n">
        <x:v>40717.29027777778</x:v>
      </x:c>
      <x:c r="F5266" s="2" t="n">
        <x:v>170</x:v>
      </x:c>
      <x:c r="G5266" s="2" t="n">
        <x:v>2</x:v>
      </x:c>
      <x:c r="H5266" s="11" t="n">
        <x:v>503.6</x:v>
      </x:c>
      <x:c r="I5266" s="2" t="n">
        <x:v>3</x:v>
      </x:c>
      <x:c r="J5266" s="2" t="n">
        <x:v>2</x:v>
      </x:c>
      <x:c r="K5266" s="2" t="n">
        <x:v>2</x:v>
      </x:c>
      <x:c r="L5266" s="2" t="str">
        <x:v>Developing</x:v>
      </x:c>
    </x:row>
    <x:row r="5267" ht="22" customHeight="1">
      <x:c r="A5267" s="2"/>
      <x:c r="B5267" s="2" t="str">
        <x:v>17631</x:v>
      </x:c>
      <x:c r="C5267" s="2" t="str">
        <x:v>United Kingdom</x:v>
      </x:c>
      <x:c r="D5267" s="25" t="n">
        <x:v>40156.385416666664</x:v>
      </x:c>
      <x:c r="E5267" s="25" t="n">
        <x:v>40885.19930555556</x:v>
      </x:c>
      <x:c r="F5267" s="2" t="n">
        <x:v>2</x:v>
      </x:c>
      <x:c r="G5267" s="2" t="n">
        <x:v>7</x:v>
      </x:c>
      <x:c r="H5267" s="11" t="n">
        <x:v>998.49</x:v>
      </x:c>
      <x:c r="I5267" s="2" t="n">
        <x:v>5</x:v>
      </x:c>
      <x:c r="J5267" s="2" t="n">
        <x:v>4</x:v>
      </x:c>
      <x:c r="K5267" s="2" t="n">
        <x:v>3</x:v>
      </x:c>
      <x:c r="L5267" s="2" t="str">
        <x:v>Loyal</x:v>
      </x:c>
    </x:row>
    <x:row r="5268" ht="22" customHeight="1">
      <x:c r="A5268" s="2"/>
      <x:c r="B5268" s="2" t="str">
        <x:v>17633</x:v>
      </x:c>
      <x:c r="C5268" s="2" t="str">
        <x:v>United Kingdom</x:v>
      </x:c>
      <x:c r="D5268" s="25" t="n">
        <x:v>40497.413194444445</x:v>
      </x:c>
      <x:c r="E5268" s="25" t="n">
        <x:v>40855.350694444445</x:v>
      </x:c>
      <x:c r="F5268" s="2" t="n">
        <x:v>32</x:v>
      </x:c>
      <x:c r="G5268" s="2" t="n">
        <x:v>7</x:v>
      </x:c>
      <x:c r="H5268" s="11" t="n">
        <x:v>2057.39</x:v>
      </x:c>
      <x:c r="I5268" s="2" t="n">
        <x:v>4</x:v>
      </x:c>
      <x:c r="J5268" s="2" t="n">
        <x:v>4</x:v>
      </x:c>
      <x:c r="K5268" s="2" t="n">
        <x:v>4</x:v>
      </x:c>
      <x:c r="L5268" s="2" t="str">
        <x:v>Champions</x:v>
      </x:c>
    </x:row>
    <x:row r="5269" ht="22" customHeight="1">
      <x:c r="A5269" s="2"/>
      <x:c r="B5269" s="2" t="str">
        <x:v>17634</x:v>
      </x:c>
      <x:c r="C5269" s="2" t="str">
        <x:v>United Kingdom</x:v>
      </x:c>
      <x:c r="D5269" s="25" t="n">
        <x:v>40549.322916666664</x:v>
      </x:c>
      <x:c r="E5269" s="25" t="n">
        <x:v>40850.339583333334</x:v>
      </x:c>
      <x:c r="F5269" s="2" t="n">
        <x:v>37</x:v>
      </x:c>
      <x:c r="G5269" s="2" t="n">
        <x:v>9</x:v>
      </x:c>
      <x:c r="H5269" s="11" t="n">
        <x:v>2361.97</x:v>
      </x:c>
      <x:c r="I5269" s="2" t="n">
        <x:v>4</x:v>
      </x:c>
      <x:c r="J5269" s="2" t="n">
        <x:v>5</x:v>
      </x:c>
      <x:c r="K5269" s="2" t="n">
        <x:v>4</x:v>
      </x:c>
      <x:c r="L5269" s="2" t="str">
        <x:v>Champions</x:v>
      </x:c>
    </x:row>
    <x:row r="5270" ht="22" customHeight="1">
      <x:c r="A5270" s="2"/>
      <x:c r="B5270" s="2" t="str">
        <x:v>17635</x:v>
      </x:c>
      <x:c r="C5270" s="2" t="str">
        <x:v>United Kingdom</x:v>
      </x:c>
      <x:c r="D5270" s="25" t="n">
        <x:v>40296.24375</x:v>
      </x:c>
      <x:c r="E5270" s="25" t="n">
        <x:v>40462.425</x:v>
      </x:c>
      <x:c r="F5270" s="2" t="n">
        <x:v>425</x:v>
      </x:c>
      <x:c r="G5270" s="2" t="n">
        <x:v>3</x:v>
      </x:c>
      <x:c r="H5270" s="11" t="n">
        <x:v>1265.58</x:v>
      </x:c>
      <x:c r="I5270" s="2" t="n">
        <x:v>1</x:v>
      </x:c>
      <x:c r="J5270" s="2" t="n">
        <x:v>3</x:v>
      </x:c>
      <x:c r="K5270" s="2" t="n">
        <x:v>4</x:v>
      </x:c>
      <x:c r="L5270" s="2" t="str">
        <x:v>At risk</x:v>
      </x:c>
    </x:row>
    <x:row r="5271" ht="22" customHeight="1">
      <x:c r="A5271" s="2"/>
      <x:c r="B5271" s="2" t="str">
        <x:v>17636</x:v>
      </x:c>
      <x:c r="C5271" s="2" t="str">
        <x:v>United Kingdom</x:v>
      </x:c>
      <x:c r="D5271" s="25" t="n">
        <x:v>40867.40277777778</x:v>
      </x:c>
      <x:c r="E5271" s="25" t="n">
        <x:v>40867.40277777778</x:v>
      </x:c>
      <x:c r="F5271" s="2" t="n">
        <x:v>20</x:v>
      </x:c>
      <x:c r="G5271" s="2" t="n">
        <x:v>1</x:v>
      </x:c>
      <x:c r="H5271" s="11" t="n">
        <x:v>285.56</x:v>
      </x:c>
      <x:c r="I5271" s="2" t="n">
        <x:v>5</x:v>
      </x:c>
      <x:c r="J5271" s="2" t="n">
        <x:v>1</x:v>
      </x:c>
      <x:c r="K5271" s="2" t="n">
        <x:v>1</x:v>
      </x:c>
      <x:c r="L5271" s="2" t="str">
        <x:v>Recent light buyers</x:v>
      </x:c>
    </x:row>
    <x:row r="5272" ht="22" customHeight="1">
      <x:c r="A5272" s="2"/>
      <x:c r="B5272" s="2" t="str">
        <x:v>17637</x:v>
      </x:c>
      <x:c r="C5272" s="2" t="str">
        <x:v>United Kingdom</x:v>
      </x:c>
      <x:c r="D5272" s="25" t="n">
        <x:v>40771.350694444445</x:v>
      </x:c>
      <x:c r="E5272" s="25" t="n">
        <x:v>40855.32708333333</x:v>
      </x:c>
      <x:c r="F5272" s="2" t="n">
        <x:v>32</x:v>
      </x:c>
      <x:c r="G5272" s="2" t="n">
        <x:v>2</x:v>
      </x:c>
      <x:c r="H5272" s="11" t="n">
        <x:v>547.06</x:v>
      </x:c>
      <x:c r="I5272" s="2" t="n">
        <x:v>4</x:v>
      </x:c>
      <x:c r="J5272" s="2" t="n">
        <x:v>2</x:v>
      </x:c>
      <x:c r="K5272" s="2" t="n">
        <x:v>2</x:v>
      </x:c>
      <x:c r="L5272" s="2" t="str">
        <x:v>Recent light buyers</x:v>
      </x:c>
    </x:row>
    <x:row r="5273" ht="22" customHeight="1">
      <x:c r="A5273" s="2"/>
      <x:c r="B5273" s="2" t="str">
        <x:v>17638</x:v>
      </x:c>
      <x:c r="C5273" s="2" t="str">
        <x:v>United Kingdom</x:v>
      </x:c>
      <x:c r="D5273" s="25" t="n">
        <x:v>40165.20694444444</x:v>
      </x:c>
      <x:c r="E5273" s="25" t="n">
        <x:v>40239.39722222222</x:v>
      </x:c>
      <x:c r="F5273" s="2" t="n">
        <x:v>648</x:v>
      </x:c>
      <x:c r="G5273" s="2" t="n">
        <x:v>2</x:v>
      </x:c>
      <x:c r="H5273" s="11" t="n">
        <x:v>842.4</x:v>
      </x:c>
      <x:c r="I5273" s="2" t="n">
        <x:v>1</x:v>
      </x:c>
      <x:c r="J5273" s="2" t="n">
        <x:v>2</x:v>
      </x:c>
      <x:c r="K5273" s="2" t="n">
        <x:v>3</x:v>
      </x:c>
      <x:c r="L5273" s="2" t="str">
        <x:v>Hibernating</x:v>
      </x:c>
    </x:row>
    <x:row r="5274" ht="22" customHeight="1">
      <x:c r="A5274" s="2"/>
      <x:c r="B5274" s="2" t="str">
        <x:v>17639</x:v>
      </x:c>
      <x:c r="C5274" s="2" t="str">
        <x:v>United Kingdom</x:v>
      </x:c>
      <x:c r="D5274" s="25" t="n">
        <x:v>40403.290972222225</x:v>
      </x:c>
      <x:c r="E5274" s="25" t="n">
        <x:v>40610.43194444444</x:v>
      </x:c>
      <x:c r="F5274" s="2" t="n">
        <x:v>277</x:v>
      </x:c>
      <x:c r="G5274" s="2" t="n">
        <x:v>6</x:v>
      </x:c>
      <x:c r="H5274" s="11" t="n">
        <x:v>615.17</x:v>
      </x:c>
      <x:c r="I5274" s="2" t="n">
        <x:v>2</x:v>
      </x:c>
      <x:c r="J5274" s="2" t="n">
        <x:v>4</x:v>
      </x:c>
      <x:c r="K5274" s="2" t="n">
        <x:v>3</x:v>
      </x:c>
      <x:c r="L5274" s="2" t="str">
        <x:v>At risk</x:v>
      </x:c>
    </x:row>
    <x:row r="5275" ht="22" customHeight="1">
      <x:c r="A5275" s="2"/>
      <x:c r="B5275" s="2" t="str">
        <x:v>17640</x:v>
      </x:c>
      <x:c r="C5275" s="2" t="str">
        <x:v>United Kingdom</x:v>
      </x:c>
      <x:c r="D5275" s="25" t="n">
        <x:v>40260.177083333336</x:v>
      </x:c>
      <x:c r="E5275" s="25" t="n">
        <x:v>40800.17569444444</x:v>
      </x:c>
      <x:c r="F5275" s="2" t="n">
        <x:v>87</x:v>
      </x:c>
      <x:c r="G5275" s="2" t="n">
        <x:v>6</x:v>
      </x:c>
      <x:c r="H5275" s="11" t="n">
        <x:v>3168.94</x:v>
      </x:c>
      <x:c r="I5275" s="2" t="n">
        <x:v>3</x:v>
      </x:c>
      <x:c r="J5275" s="2" t="n">
        <x:v>4</x:v>
      </x:c>
      <x:c r="K5275" s="2" t="n">
        <x:v>5</x:v>
      </x:c>
      <x:c r="L5275" s="2" t="str">
        <x:v>Loyal</x:v>
      </x:c>
    </x:row>
    <x:row r="5276" ht="22" customHeight="1">
      <x:c r="A5276" s="2"/>
      <x:c r="B5276" s="2" t="str">
        <x:v>17642</x:v>
      </x:c>
      <x:c r="C5276" s="2" t="str">
        <x:v>United Kingdom</x:v>
      </x:c>
      <x:c r="D5276" s="25" t="n">
        <x:v>40152.459027777775</x:v>
      </x:c>
      <x:c r="E5276" s="25" t="n">
        <x:v>40767.174305555556</x:v>
      </x:c>
      <x:c r="F5276" s="2" t="n">
        <x:v>120</x:v>
      </x:c>
      <x:c r="G5276" s="2" t="n">
        <x:v>5</x:v>
      </x:c>
      <x:c r="H5276" s="11" t="n">
        <x:v>1824.49</x:v>
      </x:c>
      <x:c r="I5276" s="2" t="n">
        <x:v>3</x:v>
      </x:c>
      <x:c r="J5276" s="2" t="n">
        <x:v>4</x:v>
      </x:c>
      <x:c r="K5276" s="2" t="n">
        <x:v>4</x:v>
      </x:c>
      <x:c r="L5276" s="2" t="str">
        <x:v>Loyal</x:v>
      </x:c>
    </x:row>
    <x:row r="5277" ht="22" customHeight="1">
      <x:c r="A5277" s="2"/>
      <x:c r="B5277" s="2" t="str">
        <x:v>17643</x:v>
      </x:c>
      <x:c r="C5277" s="2" t="str">
        <x:v>United Kingdom</x:v>
      </x:c>
      <x:c r="D5277" s="25" t="n">
        <x:v>40381.33819444444</x:v>
      </x:c>
      <x:c r="E5277" s="25" t="n">
        <x:v>40513.40138888889</x:v>
      </x:c>
      <x:c r="F5277" s="2" t="n">
        <x:v>374</x:v>
      </x:c>
      <x:c r="G5277" s="2" t="n">
        <x:v>2</x:v>
      </x:c>
      <x:c r="H5277" s="11" t="n">
        <x:v>439.7</x:v>
      </x:c>
      <x:c r="I5277" s="2" t="n">
        <x:v>2</x:v>
      </x:c>
      <x:c r="J5277" s="2" t="n">
        <x:v>2</x:v>
      </x:c>
      <x:c r="K5277" s="2" t="n">
        <x:v>2</x:v>
      </x:c>
      <x:c r="L5277" s="2" t="str">
        <x:v>Hibernating</x:v>
      </x:c>
    </x:row>
    <x:row r="5278" ht="22" customHeight="1">
      <x:c r="A5278" s="2"/>
      <x:c r="B5278" s="2" t="str">
        <x:v>17644</x:v>
      </x:c>
      <x:c r="C5278" s="2" t="str">
        <x:v>United Kingdom</x:v>
      </x:c>
      <x:c r="D5278" s="25" t="n">
        <x:v>40225.15555555555</x:v>
      </x:c>
      <x:c r="E5278" s="25" t="n">
        <x:v>40885.36319444444</x:v>
      </x:c>
      <x:c r="F5278" s="2" t="n">
        <x:v>2</x:v>
      </x:c>
      <x:c r="G5278" s="2" t="n">
        <x:v>20</x:v>
      </x:c>
      <x:c r="H5278" s="11" t="n">
        <x:v>6028.6</x:v>
      </x:c>
      <x:c r="I5278" s="2" t="n">
        <x:v>5</x:v>
      </x:c>
      <x:c r="J5278" s="2" t="n">
        <x:v>5</x:v>
      </x:c>
      <x:c r="K5278" s="2" t="n">
        <x:v>5</x:v>
      </x:c>
      <x:c r="L5278" s="2" t="str">
        <x:v>Champions</x:v>
      </x:c>
    </x:row>
    <x:row r="5279" ht="22" customHeight="1">
      <x:c r="A5279" s="2"/>
      <x:c r="B5279" s="2" t="str">
        <x:v>17646</x:v>
      </x:c>
      <x:c r="C5279" s="2" t="str">
        <x:v>United Kingdom</x:v>
      </x:c>
      <x:c r="D5279" s="25" t="n">
        <x:v>40163.19236111111</x:v>
      </x:c>
      <x:c r="E5279" s="25" t="n">
        <x:v>40667.345138888886</x:v>
      </x:c>
      <x:c r="F5279" s="2" t="n">
        <x:v>220</x:v>
      </x:c>
      <x:c r="G5279" s="2" t="n">
        <x:v>12</x:v>
      </x:c>
      <x:c r="H5279" s="11" t="n">
        <x:v>3898.79</x:v>
      </x:c>
      <x:c r="I5279" s="2" t="n">
        <x:v>2</x:v>
      </x:c>
      <x:c r="J5279" s="2" t="n">
        <x:v>5</x:v>
      </x:c>
      <x:c r="K5279" s="2" t="n">
        <x:v>5</x:v>
      </x:c>
      <x:c r="L5279" s="2" t="str">
        <x:v>At risk</x:v>
      </x:c>
    </x:row>
    <x:row r="5280" ht="22" customHeight="1">
      <x:c r="A5280" s="2"/>
      <x:c r="B5280" s="2" t="str">
        <x:v>17647</x:v>
      </x:c>
      <x:c r="C5280" s="2" t="str">
        <x:v>United Kingdom</x:v>
      </x:c>
      <x:c r="D5280" s="25" t="n">
        <x:v>40217.402083333334</x:v>
      </x:c>
      <x:c r="E5280" s="25" t="n">
        <x:v>40821.44305555556</x:v>
      </x:c>
      <x:c r="F5280" s="2" t="n">
        <x:v>66</x:v>
      </x:c>
      <x:c r="G5280" s="2" t="n">
        <x:v>3</x:v>
      </x:c>
      <x:c r="H5280" s="11" t="n">
        <x:v>331.66</x:v>
      </x:c>
      <x:c r="I5280" s="2" t="n">
        <x:v>3</x:v>
      </x:c>
      <x:c r="J5280" s="2" t="n">
        <x:v>3</x:v>
      </x:c>
      <x:c r="K5280" s="2" t="n">
        <x:v>2</x:v>
      </x:c>
      <x:c r="L5280" s="2" t="str">
        <x:v>Loyal</x:v>
      </x:c>
    </x:row>
    <x:row r="5281" ht="22" customHeight="1">
      <x:c r="A5281" s="2"/>
      <x:c r="B5281" s="2" t="str">
        <x:v>17648</x:v>
      </x:c>
      <x:c r="C5281" s="2" t="str">
        <x:v>United Kingdom</x:v>
      </x:c>
      <x:c r="D5281" s="25" t="n">
        <x:v>40501.486805555556</x:v>
      </x:c>
      <x:c r="E5281" s="25" t="n">
        <x:v>40826.19513888889</x:v>
      </x:c>
      <x:c r="F5281" s="2" t="n">
        <x:v>61</x:v>
      </x:c>
      <x:c r="G5281" s="2" t="n">
        <x:v>5</x:v>
      </x:c>
      <x:c r="H5281" s="11" t="n">
        <x:v>2216.37</x:v>
      </x:c>
      <x:c r="I5281" s="2" t="n">
        <x:v>3</x:v>
      </x:c>
      <x:c r="J5281" s="2" t="n">
        <x:v>4</x:v>
      </x:c>
      <x:c r="K5281" s="2" t="n">
        <x:v>4</x:v>
      </x:c>
      <x:c r="L5281" s="2" t="str">
        <x:v>Loyal</x:v>
      </x:c>
    </x:row>
    <x:row r="5282" ht="22" customHeight="1">
      <x:c r="A5282" s="2"/>
      <x:c r="B5282" s="2" t="str">
        <x:v>17649</x:v>
      </x:c>
      <x:c r="C5282" s="2" t="str">
        <x:v>United Kingdom</x:v>
      </x:c>
      <x:c r="D5282" s="25" t="n">
        <x:v>40414.334027777775</x:v>
      </x:c>
      <x:c r="E5282" s="25" t="n">
        <x:v>40748.45347222222</x:v>
      </x:c>
      <x:c r="F5282" s="2" t="n">
        <x:v>139</x:v>
      </x:c>
      <x:c r="G5282" s="2" t="n">
        <x:v>3</x:v>
      </x:c>
      <x:c r="H5282" s="11" t="n">
        <x:v>1578.89</x:v>
      </x:c>
      <x:c r="I5282" s="2" t="n">
        <x:v>3</x:v>
      </x:c>
      <x:c r="J5282" s="2" t="n">
        <x:v>3</x:v>
      </x:c>
      <x:c r="K5282" s="2" t="n">
        <x:v>4</x:v>
      </x:c>
      <x:c r="L5282" s="2" t="str">
        <x:v>Loyal</x:v>
      </x:c>
    </x:row>
    <x:row r="5283" ht="22" customHeight="1">
      <x:c r="A5283" s="2"/>
      <x:c r="B5283" s="2" t="str">
        <x:v>17650</x:v>
      </x:c>
      <x:c r="C5283" s="2" t="str">
        <x:v>United Kingdom</x:v>
      </x:c>
      <x:c r="D5283" s="25" t="n">
        <x:v>40865.41111111111</x:v>
      </x:c>
      <x:c r="E5283" s="25" t="n">
        <x:v>40865.41111111111</x:v>
      </x:c>
      <x:c r="F5283" s="2" t="n">
        <x:v>22</x:v>
      </x:c>
      <x:c r="G5283" s="2" t="n">
        <x:v>1</x:v>
      </x:c>
      <x:c r="H5283" s="11" t="n">
        <x:v>166.08</x:v>
      </x:c>
      <x:c r="I5283" s="2" t="n">
        <x:v>4</x:v>
      </x:c>
      <x:c r="J5283" s="2" t="n">
        <x:v>1</x:v>
      </x:c>
      <x:c r="K5283" s="2" t="n">
        <x:v>1</x:v>
      </x:c>
      <x:c r="L5283" s="2" t="str">
        <x:v>Recent light buyers</x:v>
      </x:c>
    </x:row>
    <x:row r="5284" ht="22" customHeight="1">
      <x:c r="A5284" s="2"/>
      <x:c r="B5284" s="2" t="str">
        <x:v>17651</x:v>
      </x:c>
      <x:c r="C5284" s="2" t="str">
        <x:v>United Kingdom</x:v>
      </x:c>
      <x:c r="D5284" s="25" t="n">
        <x:v>40360.30347222222</x:v>
      </x:c>
      <x:c r="E5284" s="25" t="n">
        <x:v>40875.228472222225</x:v>
      </x:c>
      <x:c r="F5284" s="2" t="n">
        <x:v>12</x:v>
      </x:c>
      <x:c r="G5284" s="2" t="n">
        <x:v>16</x:v>
      </x:c>
      <x:c r="H5284" s="11" t="n">
        <x:v>5703.52</x:v>
      </x:c>
      <x:c r="I5284" s="2" t="n">
        <x:v>5</x:v>
      </x:c>
      <x:c r="J5284" s="2" t="n">
        <x:v>5</x:v>
      </x:c>
      <x:c r="K5284" s="2" t="n">
        <x:v>5</x:v>
      </x:c>
      <x:c r="L5284" s="2" t="str">
        <x:v>Champions</x:v>
      </x:c>
    </x:row>
    <x:row r="5285" ht="22" customHeight="1">
      <x:c r="A5285" s="2"/>
      <x:c r="B5285" s="2" t="str">
        <x:v>17652</x:v>
      </x:c>
      <x:c r="C5285" s="2" t="str">
        <x:v>United Kingdom</x:v>
      </x:c>
      <x:c r="D5285" s="25" t="n">
        <x:v>40605.37847222222</x:v>
      </x:c>
      <x:c r="E5285" s="25" t="n">
        <x:v>40861.32986111111</x:v>
      </x:c>
      <x:c r="F5285" s="2" t="n">
        <x:v>26</x:v>
      </x:c>
      <x:c r="G5285" s="2" t="n">
        <x:v>12</x:v>
      </x:c>
      <x:c r="H5285" s="11" t="n">
        <x:v>4867.72</x:v>
      </x:c>
      <x:c r="I5285" s="2" t="n">
        <x:v>4</x:v>
      </x:c>
      <x:c r="J5285" s="2" t="n">
        <x:v>5</x:v>
      </x:c>
      <x:c r="K5285" s="2" t="n">
        <x:v>5</x:v>
      </x:c>
      <x:c r="L5285" s="2" t="str">
        <x:v>Champions</x:v>
      </x:c>
    </x:row>
    <x:row r="5286" ht="22" customHeight="1">
      <x:c r="A5286" s="2"/>
      <x:c r="B5286" s="2" t="str">
        <x:v>17653</x:v>
      </x:c>
      <x:c r="C5286" s="2" t="str">
        <x:v>United Kingdom</x:v>
      </x:c>
      <x:c r="D5286" s="25" t="n">
        <x:v>40766.433333333334</x:v>
      </x:c>
      <x:c r="E5286" s="25" t="n">
        <x:v>40850.32361111111</x:v>
      </x:c>
      <x:c r="F5286" s="2" t="n">
        <x:v>37</x:v>
      </x:c>
      <x:c r="G5286" s="2" t="n">
        <x:v>4</x:v>
      </x:c>
      <x:c r="H5286" s="11" t="n">
        <x:v>1207.56</x:v>
      </x:c>
      <x:c r="I5286" s="2" t="n">
        <x:v>4</x:v>
      </x:c>
      <x:c r="J5286" s="2" t="n">
        <x:v>3</x:v>
      </x:c>
      <x:c r="K5286" s="2" t="n">
        <x:v>3</x:v>
      </x:c>
      <x:c r="L5286" s="2" t="str">
        <x:v>Loyal</x:v>
      </x:c>
    </x:row>
    <x:row r="5287" ht="22" customHeight="1">
      <x:c r="A5287" s="2"/>
      <x:c r="B5287" s="2" t="str">
        <x:v>17654</x:v>
      </x:c>
      <x:c r="C5287" s="2" t="str">
        <x:v>United Kingdom</x:v>
      </x:c>
      <x:c r="D5287" s="25" t="n">
        <x:v>40609.345138888886</x:v>
      </x:c>
      <x:c r="E5287" s="25" t="n">
        <x:v>40609.345138888886</x:v>
      </x:c>
      <x:c r="F5287" s="2" t="n">
        <x:v>278</x:v>
      </x:c>
      <x:c r="G5287" s="2" t="n">
        <x:v>1</x:v>
      </x:c>
      <x:c r="H5287" s="11" t="n">
        <x:v>117.55</x:v>
      </x:c>
      <x:c r="I5287" s="2" t="n">
        <x:v>2</x:v>
      </x:c>
      <x:c r="J5287" s="2" t="n">
        <x:v>1</x:v>
      </x:c>
      <x:c r="K5287" s="2" t="n">
        <x:v>1</x:v>
      </x:c>
      <x:c r="L5287" s="2" t="str">
        <x:v>Hibernating</x:v>
      </x:c>
    </x:row>
    <x:row r="5288" ht="22" customHeight="1">
      <x:c r="A5288" s="2"/>
      <x:c r="B5288" s="2" t="str">
        <x:v>17655</x:v>
      </x:c>
      <x:c r="C5288" s="2" t="str">
        <x:v>United Kingdom</x:v>
      </x:c>
      <x:c r="D5288" s="25" t="n">
        <x:v>40470.22222222222</x:v>
      </x:c>
      <x:c r="E5288" s="25" t="n">
        <x:v>40876.27361111111</x:v>
      </x:c>
      <x:c r="F5288" s="2" t="n">
        <x:v>11</x:v>
      </x:c>
      <x:c r="G5288" s="2" t="n">
        <x:v>9</x:v>
      </x:c>
      <x:c r="H5288" s="11" t="n">
        <x:v>2976.38</x:v>
      </x:c>
      <x:c r="I5288" s="2" t="n">
        <x:v>5</x:v>
      </x:c>
      <x:c r="J5288" s="2" t="n">
        <x:v>5</x:v>
      </x:c>
      <x:c r="K5288" s="2" t="n">
        <x:v>5</x:v>
      </x:c>
      <x:c r="L5288" s="2" t="str">
        <x:v>Champions</x:v>
      </x:c>
    </x:row>
    <x:row r="5289" ht="22" customHeight="1">
      <x:c r="A5289" s="2"/>
      <x:c r="B5289" s="2" t="str">
        <x:v>17656</x:v>
      </x:c>
      <x:c r="C5289" s="2" t="str">
        <x:v>United Kingdom</x:v>
      </x:c>
      <x:c r="D5289" s="25" t="n">
        <x:v>40758.239583333336</x:v>
      </x:c>
      <x:c r="E5289" s="25" t="n">
        <x:v>40813.33611111111</x:v>
      </x:c>
      <x:c r="F5289" s="2" t="n">
        <x:v>74</x:v>
      </x:c>
      <x:c r="G5289" s="2" t="n">
        <x:v>5</x:v>
      </x:c>
      <x:c r="H5289" s="11" t="n">
        <x:v>1674.69</x:v>
      </x:c>
      <x:c r="I5289" s="2" t="n">
        <x:v>3</x:v>
      </x:c>
      <x:c r="J5289" s="2" t="n">
        <x:v>4</x:v>
      </x:c>
      <x:c r="K5289" s="2" t="n">
        <x:v>4</x:v>
      </x:c>
      <x:c r="L5289" s="2" t="str">
        <x:v>Loyal</x:v>
      </x:c>
    </x:row>
    <x:row r="5290" ht="22" customHeight="1">
      <x:c r="A5290" s="2"/>
      <x:c r="B5290" s="2" t="str">
        <x:v>17657</x:v>
      </x:c>
      <x:c r="C5290" s="2" t="str">
        <x:v>United Kingdom</x:v>
      </x:c>
      <x:c r="D5290" s="25" t="n">
        <x:v>40456.41111111111</x:v>
      </x:c>
      <x:c r="E5290" s="25" t="n">
        <x:v>40456.41111111111</x:v>
      </x:c>
      <x:c r="F5290" s="2" t="n">
        <x:v>431</x:v>
      </x:c>
      <x:c r="G5290" s="2" t="n">
        <x:v>1</x:v>
      </x:c>
      <x:c r="H5290" s="11" t="n">
        <x:v>126</x:v>
      </x:c>
      <x:c r="I5290" s="2" t="n">
        <x:v>1</x:v>
      </x:c>
      <x:c r="J5290" s="2" t="n">
        <x:v>1</x:v>
      </x:c>
      <x:c r="K5290" s="2" t="n">
        <x:v>1</x:v>
      </x:c>
      <x:c r="L5290" s="2" t="str">
        <x:v>Hibernating</x:v>
      </x:c>
    </x:row>
    <x:row r="5291" ht="22" customHeight="1">
      <x:c r="A5291" s="2"/>
      <x:c r="B5291" s="2" t="str">
        <x:v>17658</x:v>
      </x:c>
      <x:c r="C5291" s="2" t="str">
        <x:v>United Kingdom</x:v>
      </x:c>
      <x:c r="D5291" s="25" t="n">
        <x:v>40675.43263888889</x:v>
      </x:c>
      <x:c r="E5291" s="25" t="n">
        <x:v>40861.29652777778</x:v>
      </x:c>
      <x:c r="F5291" s="2" t="n">
        <x:v>26</x:v>
      </x:c>
      <x:c r="G5291" s="2" t="n">
        <x:v>2</x:v>
      </x:c>
      <x:c r="H5291" s="11" t="n">
        <x:v>595.42</x:v>
      </x:c>
      <x:c r="I5291" s="2" t="n">
        <x:v>4</x:v>
      </x:c>
      <x:c r="J5291" s="2" t="n">
        <x:v>2</x:v>
      </x:c>
      <x:c r="K5291" s="2" t="n">
        <x:v>2</x:v>
      </x:c>
      <x:c r="L5291" s="2" t="str">
        <x:v>Recent light buyers</x:v>
      </x:c>
    </x:row>
    <x:row r="5292" ht="22" customHeight="1">
      <x:c r="A5292" s="2"/>
      <x:c r="B5292" s="2" t="str">
        <x:v>17659</x:v>
      </x:c>
      <x:c r="C5292" s="2" t="str">
        <x:v>United Kingdom</x:v>
      </x:c>
      <x:c r="D5292" s="25" t="n">
        <x:v>40500.38888888889</x:v>
      </x:c>
      <x:c r="E5292" s="25" t="n">
        <x:v>40869.353472222225</x:v>
      </x:c>
      <x:c r="F5292" s="2" t="n">
        <x:v>18</x:v>
      </x:c>
      <x:c r="G5292" s="2" t="n">
        <x:v>14</x:v>
      </x:c>
      <x:c r="H5292" s="11" t="n">
        <x:v>3586.99</x:v>
      </x:c>
      <x:c r="I5292" s="2" t="n">
        <x:v>5</x:v>
      </x:c>
      <x:c r="J5292" s="2" t="n">
        <x:v>5</x:v>
      </x:c>
      <x:c r="K5292" s="2" t="n">
        <x:v>5</x:v>
      </x:c>
      <x:c r="L5292" s="2" t="str">
        <x:v>Champions</x:v>
      </x:c>
    </x:row>
    <x:row r="5293" ht="22" customHeight="1">
      <x:c r="A5293" s="2"/>
      <x:c r="B5293" s="2" t="str">
        <x:v>17660</x:v>
      </x:c>
      <x:c r="C5293" s="2" t="str">
        <x:v>United Kingdom</x:v>
      </x:c>
      <x:c r="D5293" s="25" t="n">
        <x:v>40149.45972222222</x:v>
      </x:c>
      <x:c r="E5293" s="25" t="n">
        <x:v>40745.35902777778</x:v>
      </x:c>
      <x:c r="F5293" s="2" t="n">
        <x:v>142</x:v>
      </x:c>
      <x:c r="G5293" s="2" t="n">
        <x:v>2</x:v>
      </x:c>
      <x:c r="H5293" s="11" t="n">
        <x:v>359.47</x:v>
      </x:c>
      <x:c r="I5293" s="2" t="n">
        <x:v>3</x:v>
      </x:c>
      <x:c r="J5293" s="2" t="n">
        <x:v>2</x:v>
      </x:c>
      <x:c r="K5293" s="2" t="n">
        <x:v>2</x:v>
      </x:c>
      <x:c r="L5293" s="2" t="str">
        <x:v>Developing</x:v>
      </x:c>
    </x:row>
    <x:row r="5294" ht="22" customHeight="1">
      <x:c r="A5294" s="2"/>
      <x:c r="B5294" s="2" t="str">
        <x:v>17662</x:v>
      </x:c>
      <x:c r="C5294" s="2" t="str">
        <x:v>United Kingdom</x:v>
      </x:c>
      <x:c r="D5294" s="25" t="n">
        <x:v>40164.20416666667</x:v>
      </x:c>
      <x:c r="E5294" s="25" t="n">
        <x:v>40225.19305555556</x:v>
      </x:c>
      <x:c r="F5294" s="2" t="n">
        <x:v>662</x:v>
      </x:c>
      <x:c r="G5294" s="2" t="n">
        <x:v>2</x:v>
      </x:c>
      <x:c r="H5294" s="11" t="n">
        <x:v>412.92</x:v>
      </x:c>
      <x:c r="I5294" s="2" t="n">
        <x:v>1</x:v>
      </x:c>
      <x:c r="J5294" s="2" t="n">
        <x:v>2</x:v>
      </x:c>
      <x:c r="K5294" s="2" t="n">
        <x:v>2</x:v>
      </x:c>
      <x:c r="L5294" s="2" t="str">
        <x:v>Hibernating</x:v>
      </x:c>
    </x:row>
    <x:row r="5295" ht="22" customHeight="1">
      <x:c r="A5295" s="2"/>
      <x:c r="B5295" s="2" t="str">
        <x:v>17663</x:v>
      </x:c>
      <x:c r="C5295" s="2" t="str">
        <x:v>United Kingdom</x:v>
      </x:c>
      <x:c r="D5295" s="25" t="n">
        <x:v>40241.27916666667</x:v>
      </x:c>
      <x:c r="E5295" s="25" t="n">
        <x:v>40861.16388888889</x:v>
      </x:c>
      <x:c r="F5295" s="2" t="n">
        <x:v>26</x:v>
      </x:c>
      <x:c r="G5295" s="2" t="n">
        <x:v>17</x:v>
      </x:c>
      <x:c r="H5295" s="11" t="n">
        <x:v>5175.83</x:v>
      </x:c>
      <x:c r="I5295" s="2" t="n">
        <x:v>4</x:v>
      </x:c>
      <x:c r="J5295" s="2" t="n">
        <x:v>5</x:v>
      </x:c>
      <x:c r="K5295" s="2" t="n">
        <x:v>5</x:v>
      </x:c>
      <x:c r="L5295" s="2" t="str">
        <x:v>Champions</x:v>
      </x:c>
    </x:row>
    <x:row r="5296" ht="22" customHeight="1">
      <x:c r="A5296" s="2"/>
      <x:c r="B5296" s="2" t="str">
        <x:v>17664</x:v>
      </x:c>
      <x:c r="C5296" s="2" t="str">
        <x:v>United Kingdom</x:v>
      </x:c>
      <x:c r="D5296" s="25" t="n">
        <x:v>40266.51180555556</x:v>
      </x:c>
      <x:c r="E5296" s="25" t="n">
        <x:v>40868.27013888889</x:v>
      </x:c>
      <x:c r="F5296" s="2" t="n">
        <x:v>19</x:v>
      </x:c>
      <x:c r="G5296" s="2" t="n">
        <x:v>4</x:v>
      </x:c>
      <x:c r="H5296" s="11" t="n">
        <x:v>1166.23</x:v>
      </x:c>
      <x:c r="I5296" s="2" t="n">
        <x:v>5</x:v>
      </x:c>
      <x:c r="J5296" s="2" t="n">
        <x:v>3</x:v>
      </x:c>
      <x:c r="K5296" s="2" t="n">
        <x:v>3</x:v>
      </x:c>
      <x:c r="L5296" s="2" t="str">
        <x:v>Loyal</x:v>
      </x:c>
    </x:row>
    <x:row r="5297" ht="22" customHeight="1">
      <x:c r="A5297" s="2"/>
      <x:c r="B5297" s="2" t="str">
        <x:v>17665</x:v>
      </x:c>
      <x:c r="C5297" s="2" t="str">
        <x:v>United Kingdom</x:v>
      </x:c>
      <x:c r="D5297" s="25" t="n">
        <x:v>40393.34166666667</x:v>
      </x:c>
      <x:c r="E5297" s="25" t="n">
        <x:v>40393.34166666667</x:v>
      </x:c>
      <x:c r="F5297" s="2" t="n">
        <x:v>494</x:v>
      </x:c>
      <x:c r="G5297" s="2" t="n">
        <x:v>1</x:v>
      </x:c>
      <x:c r="H5297" s="11" t="n">
        <x:v>563.1</x:v>
      </x:c>
      <x:c r="I5297" s="2" t="n">
        <x:v>1</x:v>
      </x:c>
      <x:c r="J5297" s="2" t="n">
        <x:v>1</x:v>
      </x:c>
      <x:c r="K5297" s="2" t="n">
        <x:v>2</x:v>
      </x:c>
      <x:c r="L5297" s="2" t="str">
        <x:v>Hibernating</x:v>
      </x:c>
    </x:row>
    <x:row r="5298" ht="22" customHeight="1">
      <x:c r="A5298" s="2"/>
      <x:c r="B5298" s="2" t="str">
        <x:v>17666</x:v>
      </x:c>
      <x:c r="C5298" s="2" t="str">
        <x:v>United Kingdom</x:v>
      </x:c>
      <x:c r="D5298" s="25" t="n">
        <x:v>40359.29375</x:v>
      </x:c>
      <x:c r="E5298" s="25" t="n">
        <x:v>40883.17083333333</x:v>
      </x:c>
      <x:c r="F5298" s="2" t="n">
        <x:v>4</x:v>
      </x:c>
      <x:c r="G5298" s="2" t="n">
        <x:v>5</x:v>
      </x:c>
      <x:c r="H5298" s="11" t="n">
        <x:v>2047.8</x:v>
      </x:c>
      <x:c r="I5298" s="2" t="n">
        <x:v>5</x:v>
      </x:c>
      <x:c r="J5298" s="2" t="n">
        <x:v>4</x:v>
      </x:c>
      <x:c r="K5298" s="2" t="n">
        <x:v>4</x:v>
      </x:c>
      <x:c r="L5298" s="2" t="str">
        <x:v>Champions</x:v>
      </x:c>
    </x:row>
    <x:row r="5299" ht="22" customHeight="1">
      <x:c r="A5299" s="2"/>
      <x:c r="B5299" s="2" t="str">
        <x:v>17667</x:v>
      </x:c>
      <x:c r="C5299" s="2" t="str">
        <x:v>United Kingdom</x:v>
      </x:c>
      <x:c r="D5299" s="25" t="n">
        <x:v>40232.20625</x:v>
      </x:c>
      <x:c r="E5299" s="25" t="n">
        <x:v>40820.39722222222</x:v>
      </x:c>
      <x:c r="F5299" s="2" t="n">
        <x:v>67</x:v>
      </x:c>
      <x:c r="G5299" s="2" t="n">
        <x:v>9</x:v>
      </x:c>
      <x:c r="H5299" s="11" t="n">
        <x:v>3950.7</x:v>
      </x:c>
      <x:c r="I5299" s="2" t="n">
        <x:v>3</x:v>
      </x:c>
      <x:c r="J5299" s="2" t="n">
        <x:v>5</x:v>
      </x:c>
      <x:c r="K5299" s="2" t="n">
        <x:v>5</x:v>
      </x:c>
      <x:c r="L5299" s="2" t="str">
        <x:v>Loyal</x:v>
      </x:c>
    </x:row>
    <x:row r="5300" ht="22" customHeight="1">
      <x:c r="A5300" s="2"/>
      <x:c r="B5300" s="2" t="str">
        <x:v>17668</x:v>
      </x:c>
      <x:c r="C5300" s="2" t="str">
        <x:v>United Kingdom</x:v>
      </x:c>
      <x:c r="D5300" s="25" t="n">
        <x:v>40848.40625</x:v>
      </x:c>
      <x:c r="E5300" s="25" t="n">
        <x:v>40885.350694444445</x:v>
      </x:c>
      <x:c r="F5300" s="2" t="n">
        <x:v>2</x:v>
      </x:c>
      <x:c r="G5300" s="2" t="n">
        <x:v>2</x:v>
      </x:c>
      <x:c r="H5300" s="11" t="n">
        <x:v>347.75</x:v>
      </x:c>
      <x:c r="I5300" s="2" t="n">
        <x:v>5</x:v>
      </x:c>
      <x:c r="J5300" s="2" t="n">
        <x:v>2</x:v>
      </x:c>
      <x:c r="K5300" s="2" t="n">
        <x:v>2</x:v>
      </x:c>
      <x:c r="L5300" s="2" t="str">
        <x:v>Recent light buyers</x:v>
      </x:c>
    </x:row>
    <x:row r="5301" ht="22" customHeight="1">
      <x:c r="A5301" s="2"/>
      <x:c r="B5301" s="2" t="str">
        <x:v>17669</x:v>
      </x:c>
      <x:c r="C5301" s="2" t="str">
        <x:v>United Kingdom</x:v>
      </x:c>
      <x:c r="D5301" s="25" t="n">
        <x:v>40269.575</x:v>
      </x:c>
      <x:c r="E5301" s="25" t="n">
        <x:v>40844.16180555556</x:v>
      </x:c>
      <x:c r="F5301" s="2" t="n">
        <x:v>43</x:v>
      </x:c>
      <x:c r="G5301" s="2" t="n">
        <x:v>10</x:v>
      </x:c>
      <x:c r="H5301" s="11" t="n">
        <x:v>6142.35</x:v>
      </x:c>
      <x:c r="I5301" s="2" t="n">
        <x:v>4</x:v>
      </x:c>
      <x:c r="J5301" s="2" t="n">
        <x:v>5</x:v>
      </x:c>
      <x:c r="K5301" s="2" t="n">
        <x:v>5</x:v>
      </x:c>
      <x:c r="L5301" s="2" t="str">
        <x:v>Champions</x:v>
      </x:c>
    </x:row>
    <x:row r="5302" ht="22" customHeight="1">
      <x:c r="A5302" s="2"/>
      <x:c r="B5302" s="2" t="str">
        <x:v>17670</x:v>
      </x:c>
      <x:c r="C5302" s="2" t="str">
        <x:v>United Kingdom</x:v>
      </x:c>
      <x:c r="D5302" s="25" t="n">
        <x:v>40659.175</x:v>
      </x:c>
      <x:c r="E5302" s="25" t="n">
        <x:v>40659.175</x:v>
      </x:c>
      <x:c r="F5302" s="2" t="n">
        <x:v>228</x:v>
      </x:c>
      <x:c r="G5302" s="2" t="n">
        <x:v>1</x:v>
      </x:c>
      <x:c r="H5302" s="11" t="n">
        <x:v>205.7</x:v>
      </x:c>
      <x:c r="I5302" s="2" t="n">
        <x:v>2</x:v>
      </x:c>
      <x:c r="J5302" s="2" t="n">
        <x:v>1</x:v>
      </x:c>
      <x:c r="K5302" s="2" t="n">
        <x:v>1</x:v>
      </x:c>
      <x:c r="L5302" s="2" t="str">
        <x:v>Hibernating</x:v>
      </x:c>
    </x:row>
    <x:row r="5303" ht="22" customHeight="1">
      <x:c r="A5303" s="2"/>
      <x:c r="B5303" s="2" t="str">
        <x:v>17671</x:v>
      </x:c>
      <x:c r="C5303" s="2" t="str">
        <x:v>United Kingdom</x:v>
      </x:c>
      <x:c r="D5303" s="25" t="n">
        <x:v>40511.28680555556</x:v>
      </x:c>
      <x:c r="E5303" s="25" t="n">
        <x:v>40871.30625</x:v>
      </x:c>
      <x:c r="F5303" s="2" t="n">
        <x:v>16</x:v>
      </x:c>
      <x:c r="G5303" s="2" t="n">
        <x:v>5</x:v>
      </x:c>
      <x:c r="H5303" s="11" t="n">
        <x:v>2009.16</x:v>
      </x:c>
      <x:c r="I5303" s="2" t="n">
        <x:v>5</x:v>
      </x:c>
      <x:c r="J5303" s="2" t="n">
        <x:v>4</x:v>
      </x:c>
      <x:c r="K5303" s="2" t="n">
        <x:v>4</x:v>
      </x:c>
      <x:c r="L5303" s="2" t="str">
        <x:v>Champions</x:v>
      </x:c>
    </x:row>
    <x:row r="5304" ht="22" customHeight="1">
      <x:c r="A5304" s="2"/>
      <x:c r="B5304" s="2" t="str">
        <x:v>17672</x:v>
      </x:c>
      <x:c r="C5304" s="2" t="str">
        <x:v>United Kingdom</x:v>
      </x:c>
      <x:c r="D5304" s="25" t="n">
        <x:v>40204.51388888889</x:v>
      </x:c>
      <x:c r="E5304" s="25" t="n">
        <x:v>40836.3875</x:v>
      </x:c>
      <x:c r="F5304" s="2" t="n">
        <x:v>51</x:v>
      </x:c>
      <x:c r="G5304" s="2" t="n">
        <x:v>7</x:v>
      </x:c>
      <x:c r="H5304" s="11" t="n">
        <x:v>5778.63</x:v>
      </x:c>
      <x:c r="I5304" s="2" t="n">
        <x:v>4</x:v>
      </x:c>
      <x:c r="J5304" s="2" t="n">
        <x:v>4</x:v>
      </x:c>
      <x:c r="K5304" s="2" t="n">
        <x:v>5</x:v>
      </x:c>
      <x:c r="L5304" s="2" t="str">
        <x:v>Champions</x:v>
      </x:c>
    </x:row>
    <x:row r="5305" ht="22" customHeight="1">
      <x:c r="A5305" s="2"/>
      <x:c r="B5305" s="2" t="str">
        <x:v>17673</x:v>
      </x:c>
      <x:c r="C5305" s="2" t="str">
        <x:v>United Kingdom</x:v>
      </x:c>
      <x:c r="D5305" s="25" t="n">
        <x:v>40256.376388888886</x:v>
      </x:c>
      <x:c r="E5305" s="25" t="n">
        <x:v>40885.32638888889</x:v>
      </x:c>
      <x:c r="F5305" s="2" t="n">
        <x:v>2</x:v>
      </x:c>
      <x:c r="G5305" s="2" t="n">
        <x:v>13</x:v>
      </x:c>
      <x:c r="H5305" s="11" t="n">
        <x:v>4233.58</x:v>
      </x:c>
      <x:c r="I5305" s="2" t="n">
        <x:v>5</x:v>
      </x:c>
      <x:c r="J5305" s="2" t="n">
        <x:v>5</x:v>
      </x:c>
      <x:c r="K5305" s="2" t="n">
        <x:v>5</x:v>
      </x:c>
      <x:c r="L5305" s="2" t="str">
        <x:v>Champions</x:v>
      </x:c>
    </x:row>
    <x:row r="5306" ht="22" customHeight="1">
      <x:c r="A5306" s="2"/>
      <x:c r="B5306" s="2" t="str">
        <x:v>17674</x:v>
      </x:c>
      <x:c r="C5306" s="2" t="str">
        <x:v>United Kingdom</x:v>
      </x:c>
      <x:c r="D5306" s="25" t="n">
        <x:v>40518.22222222222</x:v>
      </x:c>
      <x:c r="E5306" s="25" t="n">
        <x:v>40812.35763888889</x:v>
      </x:c>
      <x:c r="F5306" s="2" t="n">
        <x:v>75</x:v>
      </x:c>
      <x:c r="G5306" s="2" t="n">
        <x:v>2</x:v>
      </x:c>
      <x:c r="H5306" s="11" t="n">
        <x:v>551.04</x:v>
      </x:c>
      <x:c r="I5306" s="2" t="n">
        <x:v>3</x:v>
      </x:c>
      <x:c r="J5306" s="2" t="n">
        <x:v>2</x:v>
      </x:c>
      <x:c r="K5306" s="2" t="n">
        <x:v>2</x:v>
      </x:c>
      <x:c r="L5306" s="2" t="str">
        <x:v>Developing</x:v>
      </x:c>
    </x:row>
    <x:row r="5307" ht="22" customHeight="1">
      <x:c r="A5307" s="2"/>
      <x:c r="B5307" s="2" t="str">
        <x:v>17675</x:v>
      </x:c>
      <x:c r="C5307" s="2" t="str">
        <x:v>United Kingdom</x:v>
      </x:c>
      <x:c r="D5307" s="25" t="n">
        <x:v>40157.46527777778</x:v>
      </x:c>
      <x:c r="E5307" s="25" t="n">
        <x:v>40885.54375</x:v>
      </x:c>
      <x:c r="F5307" s="2" t="n">
        <x:v>2</x:v>
      </x:c>
      <x:c r="G5307" s="2" t="n">
        <x:v>70</x:v>
      </x:c>
      <x:c r="H5307" s="11" t="n">
        <x:v>37642.48</x:v>
      </x:c>
      <x:c r="I5307" s="2" t="n">
        <x:v>5</x:v>
      </x:c>
      <x:c r="J5307" s="2" t="n">
        <x:v>5</x:v>
      </x:c>
      <x:c r="K5307" s="2" t="n">
        <x:v>5</x:v>
      </x:c>
      <x:c r="L5307" s="2" t="str">
        <x:v>Champions</x:v>
      </x:c>
    </x:row>
    <x:row r="5308" ht="22" customHeight="1">
      <x:c r="A5308" s="2"/>
      <x:c r="B5308" s="2" t="str">
        <x:v>17676</x:v>
      </x:c>
      <x:c r="C5308" s="2" t="str">
        <x:v>United Kingdom</x:v>
      </x:c>
      <x:c r="D5308" s="25" t="n">
        <x:v>40267.24236111111</x:v>
      </x:c>
      <x:c r="E5308" s="25" t="n">
        <x:v>40882.427777777775</x:v>
      </x:c>
      <x:c r="F5308" s="2" t="n">
        <x:v>5</x:v>
      </x:c>
      <x:c r="G5308" s="2" t="n">
        <x:v>10</x:v>
      </x:c>
      <x:c r="H5308" s="11" t="n">
        <x:v>2465.14</x:v>
      </x:c>
      <x:c r="I5308" s="2" t="n">
        <x:v>5</x:v>
      </x:c>
      <x:c r="J5308" s="2" t="n">
        <x:v>5</x:v>
      </x:c>
      <x:c r="K5308" s="2" t="n">
        <x:v>4</x:v>
      </x:c>
      <x:c r="L5308" s="2" t="str">
        <x:v>Champions</x:v>
      </x:c>
    </x:row>
    <x:row r="5309" ht="22" customHeight="1">
      <x:c r="A5309" s="2"/>
      <x:c r="B5309" s="2" t="str">
        <x:v>17677</x:v>
      </x:c>
      <x:c r="C5309" s="2" t="str">
        <x:v>United Kingdom</x:v>
      </x:c>
      <x:c r="D5309" s="25" t="n">
        <x:v>40163.26597222222</x:v>
      </x:c>
      <x:c r="E5309" s="25" t="n">
        <x:v>40885.205555555556</x:v>
      </x:c>
      <x:c r="F5309" s="2" t="n">
        <x:v>2</x:v>
      </x:c>
      <x:c r="G5309" s="2" t="n">
        <x:v>54</x:v>
      </x:c>
      <x:c r="H5309" s="11" t="n">
        <x:v>35076.31</x:v>
      </x:c>
      <x:c r="I5309" s="2" t="n">
        <x:v>5</x:v>
      </x:c>
      <x:c r="J5309" s="2" t="n">
        <x:v>5</x:v>
      </x:c>
      <x:c r="K5309" s="2" t="n">
        <x:v>5</x:v>
      </x:c>
      <x:c r="L5309" s="2" t="str">
        <x:v>Champions</x:v>
      </x:c>
    </x:row>
    <x:row r="5310" ht="22" customHeight="1">
      <x:c r="A5310" s="2"/>
      <x:c r="B5310" s="2" t="str">
        <x:v>17678</x:v>
      </x:c>
      <x:c r="C5310" s="2" t="str">
        <x:v>United Kingdom</x:v>
      </x:c>
      <x:c r="D5310" s="25" t="n">
        <x:v>40283.370833333334</x:v>
      </x:c>
      <x:c r="E5310" s="25" t="n">
        <x:v>40623.28611111111</x:v>
      </x:c>
      <x:c r="F5310" s="2" t="n">
        <x:v>264</x:v>
      </x:c>
      <x:c r="G5310" s="2" t="n">
        <x:v>2</x:v>
      </x:c>
      <x:c r="H5310" s="11" t="n">
        <x:v>599.76</x:v>
      </x:c>
      <x:c r="I5310" s="2" t="n">
        <x:v>2</x:v>
      </x:c>
      <x:c r="J5310" s="2" t="n">
        <x:v>2</x:v>
      </x:c>
      <x:c r="K5310" s="2" t="n">
        <x:v>2</x:v>
      </x:c>
      <x:c r="L5310" s="2" t="str">
        <x:v>Hibernating</x:v>
      </x:c>
    </x:row>
    <x:row r="5311" ht="22" customHeight="1">
      <x:c r="A5311" s="2"/>
      <x:c r="B5311" s="2" t="str">
        <x:v>17679</x:v>
      </x:c>
      <x:c r="C5311" s="2" t="str">
        <x:v>United Kingdom</x:v>
      </x:c>
      <x:c r="D5311" s="25" t="n">
        <x:v>40150.52222222222</x:v>
      </x:c>
      <x:c r="E5311" s="25" t="n">
        <x:v>40834.11319444444</x:v>
      </x:c>
      <x:c r="F5311" s="2" t="n">
        <x:v>53</x:v>
      </x:c>
      <x:c r="G5311" s="2" t="n">
        <x:v>7</x:v>
      </x:c>
      <x:c r="H5311" s="11" t="n">
        <x:v>3577.61</x:v>
      </x:c>
      <x:c r="I5311" s="2" t="n">
        <x:v>4</x:v>
      </x:c>
      <x:c r="J5311" s="2" t="n">
        <x:v>4</x:v>
      </x:c>
      <x:c r="K5311" s="2" t="n">
        <x:v>5</x:v>
      </x:c>
      <x:c r="L5311" s="2" t="str">
        <x:v>Champions</x:v>
      </x:c>
    </x:row>
    <x:row r="5312" ht="22" customHeight="1">
      <x:c r="A5312" s="2"/>
      <x:c r="B5312" s="2" t="str">
        <x:v>17680</x:v>
      </x:c>
      <x:c r="C5312" s="2" t="str">
        <x:v>United Kingdom</x:v>
      </x:c>
      <x:c r="D5312" s="25" t="n">
        <x:v>40375.46319444444</x:v>
      </x:c>
      <x:c r="E5312" s="25" t="n">
        <x:v>40863.32083333333</x:v>
      </x:c>
      <x:c r="F5312" s="2" t="n">
        <x:v>24</x:v>
      </x:c>
      <x:c r="G5312" s="2" t="n">
        <x:v>3</x:v>
      </x:c>
      <x:c r="H5312" s="11" t="n">
        <x:v>497.45</x:v>
      </x:c>
      <x:c r="I5312" s="2" t="n">
        <x:v>4</x:v>
      </x:c>
      <x:c r="J5312" s="2" t="n">
        <x:v>3</x:v>
      </x:c>
      <x:c r="K5312" s="2" t="n">
        <x:v>2</x:v>
      </x:c>
      <x:c r="L5312" s="2" t="str">
        <x:v>Loyal</x:v>
      </x:c>
    </x:row>
    <x:row r="5313" ht="22" customHeight="1">
      <x:c r="A5313" s="2"/>
      <x:c r="B5313" s="2" t="str">
        <x:v>17681</x:v>
      </x:c>
      <x:c r="C5313" s="2" t="str">
        <x:v>United Kingdom</x:v>
      </x:c>
      <x:c r="D5313" s="25" t="n">
        <x:v>40193.28680555556</x:v>
      </x:c>
      <x:c r="E5313" s="25" t="n">
        <x:v>40289.51527777778</x:v>
      </x:c>
      <x:c r="F5313" s="2" t="n">
        <x:v>598</x:v>
      </x:c>
      <x:c r="G5313" s="2" t="n">
        <x:v>5</x:v>
      </x:c>
      <x:c r="H5313" s="11" t="n">
        <x:v>731.2</x:v>
      </x:c>
      <x:c r="I5313" s="2" t="n">
        <x:v>1</x:v>
      </x:c>
      <x:c r="J5313" s="2" t="n">
        <x:v>4</x:v>
      </x:c>
      <x:c r="K5313" s="2" t="n">
        <x:v>3</x:v>
      </x:c>
      <x:c r="L5313" s="2" t="str">
        <x:v>At risk</x:v>
      </x:c>
    </x:row>
    <x:row r="5314" ht="22" customHeight="1">
      <x:c r="A5314" s="2"/>
      <x:c r="B5314" s="2" t="str">
        <x:v>17682</x:v>
      </x:c>
      <x:c r="C5314" s="2" t="str">
        <x:v>United Kingdom</x:v>
      </x:c>
      <x:c r="D5314" s="25" t="n">
        <x:v>40245.200694444444</x:v>
      </x:c>
      <x:c r="E5314" s="25" t="n">
        <x:v>40876.45763888889</x:v>
      </x:c>
      <x:c r="F5314" s="2" t="n">
        <x:v>11</x:v>
      </x:c>
      <x:c r="G5314" s="2" t="n">
        <x:v>11</x:v>
      </x:c>
      <x:c r="H5314" s="11" t="n">
        <x:v>4065.28</x:v>
      </x:c>
      <x:c r="I5314" s="2" t="n">
        <x:v>5</x:v>
      </x:c>
      <x:c r="J5314" s="2" t="n">
        <x:v>5</x:v>
      </x:c>
      <x:c r="K5314" s="2" t="n">
        <x:v>5</x:v>
      </x:c>
      <x:c r="L5314" s="2" t="str">
        <x:v>Champions</x:v>
      </x:c>
    </x:row>
    <x:row r="5315" ht="22" customHeight="1">
      <x:c r="A5315" s="2"/>
      <x:c r="B5315" s="2" t="str">
        <x:v>17683</x:v>
      </x:c>
      <x:c r="C5315" s="2" t="str">
        <x:v>United Kingdom</x:v>
      </x:c>
      <x:c r="D5315" s="25" t="n">
        <x:v>40332.510416666664</x:v>
      </x:c>
      <x:c r="E5315" s="25" t="n">
        <x:v>40501.21597222222</x:v>
      </x:c>
      <x:c r="F5315" s="2" t="n">
        <x:v>386</x:v>
      </x:c>
      <x:c r="G5315" s="2" t="n">
        <x:v>3</x:v>
      </x:c>
      <x:c r="H5315" s="11" t="n">
        <x:v>819.01</x:v>
      </x:c>
      <x:c r="I5315" s="2" t="n">
        <x:v>2</x:v>
      </x:c>
      <x:c r="J5315" s="2" t="n">
        <x:v>3</x:v>
      </x:c>
      <x:c r="K5315" s="2" t="n">
        <x:v>3</x:v>
      </x:c>
      <x:c r="L5315" s="2" t="str">
        <x:v>At risk</x:v>
      </x:c>
    </x:row>
    <x:row r="5316" ht="22" customHeight="1">
      <x:c r="A5316" s="2"/>
      <x:c r="B5316" s="2" t="str">
        <x:v>17684</x:v>
      </x:c>
      <x:c r="C5316" s="2" t="str">
        <x:v>United Kingdom</x:v>
      </x:c>
      <x:c r="D5316" s="25" t="n">
        <x:v>40843.256944444445</x:v>
      </x:c>
      <x:c r="E5316" s="25" t="n">
        <x:v>40843.256944444445</x:v>
      </x:c>
      <x:c r="F5316" s="2" t="n">
        <x:v>44</x:v>
      </x:c>
      <x:c r="G5316" s="2" t="n">
        <x:v>1</x:v>
      </x:c>
      <x:c r="H5316" s="11" t="n">
        <x:v>239.41</x:v>
      </x:c>
      <x:c r="I5316" s="2" t="n">
        <x:v>4</x:v>
      </x:c>
      <x:c r="J5316" s="2" t="n">
        <x:v>1</x:v>
      </x:c>
      <x:c r="K5316" s="2" t="n">
        <x:v>1</x:v>
      </x:c>
      <x:c r="L5316" s="2" t="str">
        <x:v>Recent light buyers</x:v>
      </x:c>
    </x:row>
    <x:row r="5317" ht="22" customHeight="1">
      <x:c r="A5317" s="2"/>
      <x:c r="B5317" s="2" t="str">
        <x:v>17685</x:v>
      </x:c>
      <x:c r="C5317" s="2" t="str">
        <x:v>United Kingdom</x:v>
      </x:c>
      <x:c r="D5317" s="25" t="n">
        <x:v>40220.36388888889</x:v>
      </x:c>
      <x:c r="E5317" s="25" t="n">
        <x:v>40870.275</x:v>
      </x:c>
      <x:c r="F5317" s="2" t="n">
        <x:v>17</x:v>
      </x:c>
      <x:c r="G5317" s="2" t="n">
        <x:v>12</x:v>
      </x:c>
      <x:c r="H5317" s="11" t="n">
        <x:v>5490.65</x:v>
      </x:c>
      <x:c r="I5317" s="2" t="n">
        <x:v>5</x:v>
      </x:c>
      <x:c r="J5317" s="2" t="n">
        <x:v>5</x:v>
      </x:c>
      <x:c r="K5317" s="2" t="n">
        <x:v>5</x:v>
      </x:c>
      <x:c r="L5317" s="2" t="str">
        <x:v>Champions</x:v>
      </x:c>
    </x:row>
    <x:row r="5318" ht="22" customHeight="1">
      <x:c r="A5318" s="2"/>
      <x:c r="B5318" s="2" t="str">
        <x:v>17686</x:v>
      </x:c>
      <x:c r="C5318" s="2" t="str">
        <x:v>United Kingdom</x:v>
      </x:c>
      <x:c r="D5318" s="25" t="n">
        <x:v>40353.200694444444</x:v>
      </x:c>
      <x:c r="E5318" s="25" t="n">
        <x:v>40879.44375</x:v>
      </x:c>
      <x:c r="F5318" s="2" t="n">
        <x:v>8</x:v>
      </x:c>
      <x:c r="G5318" s="2" t="n">
        <x:v>9</x:v>
      </x:c>
      <x:c r="H5318" s="11" t="n">
        <x:v>8296.81</x:v>
      </x:c>
      <x:c r="I5318" s="2" t="n">
        <x:v>5</x:v>
      </x:c>
      <x:c r="J5318" s="2" t="n">
        <x:v>5</x:v>
      </x:c>
      <x:c r="K5318" s="2" t="n">
        <x:v>5</x:v>
      </x:c>
      <x:c r="L5318" s="2" t="str">
        <x:v>Champions</x:v>
      </x:c>
    </x:row>
    <x:row r="5319" ht="22" customHeight="1">
      <x:c r="A5319" s="2"/>
      <x:c r="B5319" s="2" t="str">
        <x:v>17687</x:v>
      </x:c>
      <x:c r="C5319" s="2" t="str">
        <x:v>United Kingdom</x:v>
      </x:c>
      <x:c r="D5319" s="25" t="n">
        <x:v>40466.3125</x:v>
      </x:c>
      <x:c r="E5319" s="25" t="n">
        <x:v>40466.3125</x:v>
      </x:c>
      <x:c r="F5319" s="2" t="n">
        <x:v>421</x:v>
      </x:c>
      <x:c r="G5319" s="2" t="n">
        <x:v>1</x:v>
      </x:c>
      <x:c r="H5319" s="11" t="n">
        <x:v>432.68</x:v>
      </x:c>
      <x:c r="I5319" s="2" t="n">
        <x:v>1</x:v>
      </x:c>
      <x:c r="J5319" s="2" t="n">
        <x:v>1</x:v>
      </x:c>
      <x:c r="K5319" s="2" t="n">
        <x:v>2</x:v>
      </x:c>
      <x:c r="L5319" s="2" t="str">
        <x:v>Hibernating</x:v>
      </x:c>
    </x:row>
    <x:row r="5320" ht="22" customHeight="1">
      <x:c r="A5320" s="2"/>
      <x:c r="B5320" s="2" t="str">
        <x:v>17688</x:v>
      </x:c>
      <x:c r="C5320" s="2" t="str">
        <x:v>United Kingdom</x:v>
      </x:c>
      <x:c r="D5320" s="25" t="n">
        <x:v>40493.236805555556</x:v>
      </x:c>
      <x:c r="E5320" s="25" t="n">
        <x:v>40493.236805555556</x:v>
      </x:c>
      <x:c r="F5320" s="2" t="n">
        <x:v>394</x:v>
      </x:c>
      <x:c r="G5320" s="2" t="n">
        <x:v>1</x:v>
      </x:c>
      <x:c r="H5320" s="11" t="n">
        <x:v>304.2</x:v>
      </x:c>
      <x:c r="I5320" s="2" t="n">
        <x:v>2</x:v>
      </x:c>
      <x:c r="J5320" s="2" t="n">
        <x:v>1</x:v>
      </x:c>
      <x:c r="K5320" s="2" t="n">
        <x:v>2</x:v>
      </x:c>
      <x:c r="L5320" s="2" t="str">
        <x:v>Hibernating</x:v>
      </x:c>
    </x:row>
    <x:row r="5321" ht="22" customHeight="1">
      <x:c r="A5321" s="2"/>
      <x:c r="B5321" s="2" t="str">
        <x:v>17689</x:v>
      </x:c>
      <x:c r="C5321" s="2" t="str">
        <x:v>United Kingdom</x:v>
      </x:c>
      <x:c r="D5321" s="25" t="n">
        <x:v>40412.370833333334</x:v>
      </x:c>
      <x:c r="E5321" s="25" t="n">
        <x:v>40498.34861111111</x:v>
      </x:c>
      <x:c r="F5321" s="2" t="n">
        <x:v>389</x:v>
      </x:c>
      <x:c r="G5321" s="2" t="n">
        <x:v>2</x:v>
      </x:c>
      <x:c r="H5321" s="11" t="n">
        <x:v>317.08</x:v>
      </x:c>
      <x:c r="I5321" s="2" t="n">
        <x:v>2</x:v>
      </x:c>
      <x:c r="J5321" s="2" t="n">
        <x:v>2</x:v>
      </x:c>
      <x:c r="K5321" s="2" t="n">
        <x:v>2</x:v>
      </x:c>
      <x:c r="L5321" s="2" t="str">
        <x:v>Hibernating</x:v>
      </x:c>
    </x:row>
    <x:row r="5322" ht="22" customHeight="1">
      <x:c r="A5322" s="2"/>
      <x:c r="B5322" s="2" t="str">
        <x:v>17690</x:v>
      </x:c>
      <x:c r="C5322" s="2" t="str">
        <x:v>United Kingdom</x:v>
      </x:c>
      <x:c r="D5322" s="25" t="n">
        <x:v>40212.393055555556</x:v>
      </x:c>
      <x:c r="E5322" s="25" t="n">
        <x:v>40856.42847222222</x:v>
      </x:c>
      <x:c r="F5322" s="2" t="n">
        <x:v>31</x:v>
      </x:c>
      <x:c r="G5322" s="2" t="n">
        <x:v>20</x:v>
      </x:c>
      <x:c r="H5322" s="11" t="n">
        <x:v>6999.9</x:v>
      </x:c>
      <x:c r="I5322" s="2" t="n">
        <x:v>4</x:v>
      </x:c>
      <x:c r="J5322" s="2" t="n">
        <x:v>5</x:v>
      </x:c>
      <x:c r="K5322" s="2" t="n">
        <x:v>5</x:v>
      </x:c>
      <x:c r="L5322" s="2" t="str">
        <x:v>Champions</x:v>
      </x:c>
    </x:row>
    <x:row r="5323" ht="22" customHeight="1">
      <x:c r="A5323" s="2"/>
      <x:c r="B5323" s="2" t="str">
        <x:v>17691</x:v>
      </x:c>
      <x:c r="C5323" s="2" t="str">
        <x:v>United Kingdom</x:v>
      </x:c>
      <x:c r="D5323" s="25" t="n">
        <x:v>40340.28472222222</x:v>
      </x:c>
      <x:c r="E5323" s="25" t="n">
        <x:v>40528.51388888889</x:v>
      </x:c>
      <x:c r="F5323" s="2" t="n">
        <x:v>359</x:v>
      </x:c>
      <x:c r="G5323" s="2" t="n">
        <x:v>4</x:v>
      </x:c>
      <x:c r="H5323" s="11" t="n">
        <x:v>637.55</x:v>
      </x:c>
      <x:c r="I5323" s="2" t="n">
        <x:v>2</x:v>
      </x:c>
      <x:c r="J5323" s="2" t="n">
        <x:v>3</x:v>
      </x:c>
      <x:c r="K5323" s="2" t="n">
        <x:v>3</x:v>
      </x:c>
      <x:c r="L5323" s="2" t="str">
        <x:v>At risk</x:v>
      </x:c>
    </x:row>
    <x:row r="5324" ht="22" customHeight="1">
      <x:c r="A5324" s="2"/>
      <x:c r="B5324" s="2" t="str">
        <x:v>17692</x:v>
      </x:c>
      <x:c r="C5324" s="2" t="str">
        <x:v>United Kingdom</x:v>
      </x:c>
      <x:c r="D5324" s="25" t="n">
        <x:v>40346.259722222225</x:v>
      </x:c>
      <x:c r="E5324" s="25" t="n">
        <x:v>40759.37569444445</x:v>
      </x:c>
      <x:c r="F5324" s="2" t="n">
        <x:v>128</x:v>
      </x:c>
      <x:c r="G5324" s="2" t="n">
        <x:v>12</x:v>
      </x:c>
      <x:c r="H5324" s="11" t="n">
        <x:v>2975.8</x:v>
      </x:c>
      <x:c r="I5324" s="2" t="n">
        <x:v>3</x:v>
      </x:c>
      <x:c r="J5324" s="2" t="n">
        <x:v>5</x:v>
      </x:c>
      <x:c r="K5324" s="2" t="n">
        <x:v>5</x:v>
      </x:c>
      <x:c r="L5324" s="2" t="str">
        <x:v>Loyal</x:v>
      </x:c>
    </x:row>
    <x:row r="5325" ht="22" customHeight="1">
      <x:c r="A5325" s="2"/>
      <x:c r="B5325" s="2" t="str">
        <x:v>17693</x:v>
      </x:c>
      <x:c r="C5325" s="2" t="str">
        <x:v>United Kingdom</x:v>
      </x:c>
      <x:c r="D5325" s="25" t="n">
        <x:v>40749.45</x:v>
      </x:c>
      <x:c r="E5325" s="25" t="n">
        <x:v>40749.45</x:v>
      </x:c>
      <x:c r="F5325" s="2" t="n">
        <x:v>138</x:v>
      </x:c>
      <x:c r="G5325" s="2" t="n">
        <x:v>1</x:v>
      </x:c>
      <x:c r="H5325" s="11" t="n">
        <x:v>200.47</x:v>
      </x:c>
      <x:c r="I5325" s="2" t="n">
        <x:v>3</x:v>
      </x:c>
      <x:c r="J5325" s="2" t="n">
        <x:v>1</x:v>
      </x:c>
      <x:c r="K5325" s="2" t="n">
        <x:v>1</x:v>
      </x:c>
      <x:c r="L5325" s="2" t="str">
        <x:v>Developing</x:v>
      </x:c>
    </x:row>
    <x:row r="5326" ht="22" customHeight="1">
      <x:c r="A5326" s="2"/>
      <x:c r="B5326" s="2" t="str">
        <x:v>17694</x:v>
      </x:c>
      <x:c r="C5326" s="2" t="str">
        <x:v>United Kingdom</x:v>
      </x:c>
      <x:c r="D5326" s="25" t="n">
        <x:v>40324.14375</x:v>
      </x:c>
      <x:c r="E5326" s="25" t="n">
        <x:v>40745.291666666664</x:v>
      </x:c>
      <x:c r="F5326" s="2" t="n">
        <x:v>142</x:v>
      </x:c>
      <x:c r="G5326" s="2" t="n">
        <x:v>3</x:v>
      </x:c>
      <x:c r="H5326" s="11" t="n">
        <x:v>1695.97</x:v>
      </x:c>
      <x:c r="I5326" s="2" t="n">
        <x:v>3</x:v>
      </x:c>
      <x:c r="J5326" s="2" t="n">
        <x:v>3</x:v>
      </x:c>
      <x:c r="K5326" s="2" t="n">
        <x:v>4</x:v>
      </x:c>
      <x:c r="L5326" s="2" t="str">
        <x:v>Loyal</x:v>
      </x:c>
    </x:row>
    <x:row r="5327" ht="22" customHeight="1">
      <x:c r="A5327" s="2"/>
      <x:c r="B5327" s="2" t="str">
        <x:v>17695</x:v>
      </x:c>
      <x:c r="C5327" s="2" t="str">
        <x:v>United Kingdom</x:v>
      </x:c>
      <x:c r="D5327" s="25" t="n">
        <x:v>40206.18541666667</x:v>
      </x:c>
      <x:c r="E5327" s="25" t="n">
        <x:v>40755.23611111111</x:v>
      </x:c>
      <x:c r="F5327" s="2" t="n">
        <x:v>132</x:v>
      </x:c>
      <x:c r="G5327" s="2" t="n">
        <x:v>5</x:v>
      </x:c>
      <x:c r="H5327" s="11" t="n">
        <x:v>1746.04</x:v>
      </x:c>
      <x:c r="I5327" s="2" t="n">
        <x:v>3</x:v>
      </x:c>
      <x:c r="J5327" s="2" t="n">
        <x:v>4</x:v>
      </x:c>
      <x:c r="K5327" s="2" t="n">
        <x:v>4</x:v>
      </x:c>
      <x:c r="L5327" s="2" t="str">
        <x:v>Loyal</x:v>
      </x:c>
    </x:row>
    <x:row r="5328" ht="22" customHeight="1">
      <x:c r="A5328" s="2"/>
      <x:c r="B5328" s="2" t="str">
        <x:v>17696</x:v>
      </x:c>
      <x:c r="C5328" s="2" t="str">
        <x:v>United Kingdom</x:v>
      </x:c>
      <x:c r="D5328" s="25" t="n">
        <x:v>40157.50625</x:v>
      </x:c>
      <x:c r="E5328" s="25" t="n">
        <x:v>40848.36319444444</x:v>
      </x:c>
      <x:c r="F5328" s="2" t="n">
        <x:v>39</x:v>
      </x:c>
      <x:c r="G5328" s="2" t="n">
        <x:v>27</x:v>
      </x:c>
      <x:c r="H5328" s="11" t="n">
        <x:v>7679.59</x:v>
      </x:c>
      <x:c r="I5328" s="2" t="n">
        <x:v>4</x:v>
      </x:c>
      <x:c r="J5328" s="2" t="n">
        <x:v>5</x:v>
      </x:c>
      <x:c r="K5328" s="2" t="n">
        <x:v>5</x:v>
      </x:c>
      <x:c r="L5328" s="2" t="str">
        <x:v>Champions</x:v>
      </x:c>
    </x:row>
    <x:row r="5329" ht="22" customHeight="1">
      <x:c r="A5329" s="2"/>
      <x:c r="B5329" s="2" t="str">
        <x:v>17697</x:v>
      </x:c>
      <x:c r="C5329" s="2" t="str">
        <x:v>United Kingdom</x:v>
      </x:c>
      <x:c r="D5329" s="25" t="n">
        <x:v>40650.444444444445</x:v>
      </x:c>
      <x:c r="E5329" s="25" t="n">
        <x:v>40650.444444444445</x:v>
      </x:c>
      <x:c r="F5329" s="2" t="n">
        <x:v>237</x:v>
      </x:c>
      <x:c r="G5329" s="2" t="n">
        <x:v>1</x:v>
      </x:c>
      <x:c r="H5329" s="11" t="n">
        <x:v>338.95</x:v>
      </x:c>
      <x:c r="I5329" s="2" t="n">
        <x:v>2</x:v>
      </x:c>
      <x:c r="J5329" s="2" t="n">
        <x:v>1</x:v>
      </x:c>
      <x:c r="K5329" s="2" t="n">
        <x:v>2</x:v>
      </x:c>
      <x:c r="L5329" s="2" t="str">
        <x:v>Hibernating</x:v>
      </x:c>
    </x:row>
    <x:row r="5330" ht="22" customHeight="1">
      <x:c r="A5330" s="2"/>
      <x:c r="B5330" s="2" t="str">
        <x:v>17698</x:v>
      </x:c>
      <x:c r="C5330" s="2" t="str">
        <x:v>United Kingdom</x:v>
      </x:c>
      <x:c r="D5330" s="25" t="n">
        <x:v>40626.27361111111</x:v>
      </x:c>
      <x:c r="E5330" s="25" t="n">
        <x:v>40626.27361111111</x:v>
      </x:c>
      <x:c r="F5330" s="2" t="n">
        <x:v>261</x:v>
      </x:c>
      <x:c r="G5330" s="2" t="n">
        <x:v>1</x:v>
      </x:c>
      <x:c r="H5330" s="11" t="n">
        <x:v>154.95</x:v>
      </x:c>
      <x:c r="I5330" s="2" t="n">
        <x:v>2</x:v>
      </x:c>
      <x:c r="J5330" s="2" t="n">
        <x:v>1</x:v>
      </x:c>
      <x:c r="K5330" s="2" t="n">
        <x:v>1</x:v>
      </x:c>
      <x:c r="L5330" s="2" t="str">
        <x:v>Hibernating</x:v>
      </x:c>
    </x:row>
    <x:row r="5331" ht="22" customHeight="1">
      <x:c r="A5331" s="2"/>
      <x:c r="B5331" s="2" t="str">
        <x:v>17699</x:v>
      </x:c>
      <x:c r="C5331" s="2" t="str">
        <x:v>United Kingdom</x:v>
      </x:c>
      <x:c r="D5331" s="25" t="n">
        <x:v>40325.28680555556</x:v>
      </x:c>
      <x:c r="E5331" s="25" t="n">
        <x:v>40410.19375</x:v>
      </x:c>
      <x:c r="F5331" s="2" t="n">
        <x:v>477</x:v>
      </x:c>
      <x:c r="G5331" s="2" t="n">
        <x:v>2</x:v>
      </x:c>
      <x:c r="H5331" s="11" t="n">
        <x:v>442</x:v>
      </x:c>
      <x:c r="I5331" s="2" t="n">
        <x:v>1</x:v>
      </x:c>
      <x:c r="J5331" s="2" t="n">
        <x:v>2</x:v>
      </x:c>
      <x:c r="K5331" s="2" t="n">
        <x:v>2</x:v>
      </x:c>
      <x:c r="L5331" s="2" t="str">
        <x:v>Hibernating</x:v>
      </x:c>
    </x:row>
    <x:row r="5332" ht="22" customHeight="1">
      <x:c r="A5332" s="2"/>
      <x:c r="B5332" s="2" t="str">
        <x:v>17700</x:v>
      </x:c>
      <x:c r="C5332" s="2" t="str">
        <x:v>United Kingdom</x:v>
      </x:c>
      <x:c r="D5332" s="25" t="n">
        <x:v>40148.27569444444</x:v>
      </x:c>
      <x:c r="E5332" s="25" t="n">
        <x:v>40870.285416666666</x:v>
      </x:c>
      <x:c r="F5332" s="2" t="n">
        <x:v>17</x:v>
      </x:c>
      <x:c r="G5332" s="2" t="n">
        <x:v>14</x:v>
      </x:c>
      <x:c r="H5332" s="11" t="n">
        <x:v>6679.97</x:v>
      </x:c>
      <x:c r="I5332" s="2" t="n">
        <x:v>5</x:v>
      </x:c>
      <x:c r="J5332" s="2" t="n">
        <x:v>5</x:v>
      </x:c>
      <x:c r="K5332" s="2" t="n">
        <x:v>5</x:v>
      </x:c>
      <x:c r="L5332" s="2" t="str">
        <x:v>Champions</x:v>
      </x:c>
    </x:row>
    <x:row r="5333" ht="22" customHeight="1">
      <x:c r="A5333" s="2"/>
      <x:c r="B5333" s="2" t="str">
        <x:v>17701</x:v>
      </x:c>
      <x:c r="C5333" s="2" t="str">
        <x:v>United Kingdom</x:v>
      </x:c>
      <x:c r="D5333" s="25" t="n">
        <x:v>40634.30902777778</x:v>
      </x:c>
      <x:c r="E5333" s="25" t="n">
        <x:v>40634.30902777778</x:v>
      </x:c>
      <x:c r="F5333" s="2" t="n">
        <x:v>253</x:v>
      </x:c>
      <x:c r="G5333" s="2" t="n">
        <x:v>1</x:v>
      </x:c>
      <x:c r="H5333" s="11" t="n">
        <x:v>417.95</x:v>
      </x:c>
      <x:c r="I5333" s="2" t="n">
        <x:v>2</x:v>
      </x:c>
      <x:c r="J5333" s="2" t="n">
        <x:v>1</x:v>
      </x:c>
      <x:c r="K5333" s="2" t="n">
        <x:v>2</x:v>
      </x:c>
      <x:c r="L5333" s="2" t="str">
        <x:v>Hibernating</x:v>
      </x:c>
    </x:row>
    <x:row r="5334" ht="22" customHeight="1">
      <x:c r="A5334" s="2"/>
      <x:c r="B5334" s="2" t="str">
        <x:v>17702</x:v>
      </x:c>
      <x:c r="C5334" s="2" t="str">
        <x:v>United Kingdom</x:v>
      </x:c>
      <x:c r="D5334" s="25" t="n">
        <x:v>40486.29791666667</x:v>
      </x:c>
      <x:c r="E5334" s="25" t="n">
        <x:v>40856.46041666667</x:v>
      </x:c>
      <x:c r="F5334" s="2" t="n">
        <x:v>31</x:v>
      </x:c>
      <x:c r="G5334" s="2" t="n">
        <x:v>6</x:v>
      </x:c>
      <x:c r="H5334" s="11" t="n">
        <x:v>3144.04</x:v>
      </x:c>
      <x:c r="I5334" s="2" t="n">
        <x:v>4</x:v>
      </x:c>
      <x:c r="J5334" s="2" t="n">
        <x:v>4</x:v>
      </x:c>
      <x:c r="K5334" s="2" t="n">
        <x:v>5</x:v>
      </x:c>
      <x:c r="L5334" s="2" t="str">
        <x:v>Champions</x:v>
      </x:c>
    </x:row>
    <x:row r="5335" ht="22" customHeight="1">
      <x:c r="A5335" s="2"/>
      <x:c r="B5335" s="2" t="str">
        <x:v>17703</x:v>
      </x:c>
      <x:c r="C5335" s="2" t="str">
        <x:v>United Kingdom</x:v>
      </x:c>
      <x:c r="D5335" s="25" t="n">
        <x:v>40468.46944444445</x:v>
      </x:c>
      <x:c r="E5335" s="25" t="n">
        <x:v>40851.45208333333</x:v>
      </x:c>
      <x:c r="F5335" s="2" t="n">
        <x:v>36</x:v>
      </x:c>
      <x:c r="G5335" s="2" t="n">
        <x:v>4</x:v>
      </x:c>
      <x:c r="H5335" s="11" t="n">
        <x:v>1094.84</x:v>
      </x:c>
      <x:c r="I5335" s="2" t="n">
        <x:v>4</x:v>
      </x:c>
      <x:c r="J5335" s="2" t="n">
        <x:v>3</x:v>
      </x:c>
      <x:c r="K5335" s="2" t="n">
        <x:v>3</x:v>
      </x:c>
      <x:c r="L5335" s="2" t="str">
        <x:v>Loyal</x:v>
      </x:c>
    </x:row>
    <x:row r="5336" ht="22" customHeight="1">
      <x:c r="A5336" s="2"/>
      <x:c r="B5336" s="2" t="str">
        <x:v>17704</x:v>
      </x:c>
      <x:c r="C5336" s="2" t="str">
        <x:v>United Kingdom</x:v>
      </x:c>
      <x:c r="D5336" s="25" t="n">
        <x:v>40647.186111111114</x:v>
      </x:c>
      <x:c r="E5336" s="25" t="n">
        <x:v>40718.194444444445</x:v>
      </x:c>
      <x:c r="F5336" s="2" t="n">
        <x:v>169</x:v>
      </x:c>
      <x:c r="G5336" s="2" t="n">
        <x:v>2</x:v>
      </x:c>
      <x:c r="H5336" s="11" t="n">
        <x:v>885.19</x:v>
      </x:c>
      <x:c r="I5336" s="2" t="n">
        <x:v>3</x:v>
      </x:c>
      <x:c r="J5336" s="2" t="n">
        <x:v>2</x:v>
      </x:c>
      <x:c r="K5336" s="2" t="n">
        <x:v>3</x:v>
      </x:c>
      <x:c r="L5336" s="2" t="str">
        <x:v>Developing</x:v>
      </x:c>
    </x:row>
    <x:row r="5337" ht="22" customHeight="1">
      <x:c r="A5337" s="2"/>
      <x:c r="B5337" s="2" t="str">
        <x:v>17705</x:v>
      </x:c>
      <x:c r="C5337" s="2" t="str">
        <x:v>United Kingdom</x:v>
      </x:c>
      <x:c r="D5337" s="25" t="n">
        <x:v>40310.19930555556</x:v>
      </x:c>
      <x:c r="E5337" s="25" t="n">
        <x:v>40883.364583333336</x:v>
      </x:c>
      <x:c r="F5337" s="2" t="n">
        <x:v>4</x:v>
      </x:c>
      <x:c r="G5337" s="2" t="n">
        <x:v>11</x:v>
      </x:c>
      <x:c r="H5337" s="11" t="n">
        <x:v>2083.9</x:v>
      </x:c>
      <x:c r="I5337" s="2" t="n">
        <x:v>5</x:v>
      </x:c>
      <x:c r="J5337" s="2" t="n">
        <x:v>5</x:v>
      </x:c>
      <x:c r="K5337" s="2" t="n">
        <x:v>4</x:v>
      </x:c>
      <x:c r="L5337" s="2" t="str">
        <x:v>Champions</x:v>
      </x:c>
    </x:row>
    <x:row r="5338" ht="22" customHeight="1">
      <x:c r="A5338" s="2"/>
      <x:c r="B5338" s="2" t="str">
        <x:v>17706</x:v>
      </x:c>
      <x:c r="C5338" s="2" t="str">
        <x:v>United Kingdom</x:v>
      </x:c>
      <x:c r="D5338" s="25" t="n">
        <x:v>40197.30069444444</x:v>
      </x:c>
      <x:c r="E5338" s="25" t="n">
        <x:v>40882.356944444444</x:v>
      </x:c>
      <x:c r="F5338" s="2" t="n">
        <x:v>5</x:v>
      </x:c>
      <x:c r="G5338" s="2" t="n">
        <x:v>31</x:v>
      </x:c>
      <x:c r="H5338" s="11" t="n">
        <x:v>20272.15</x:v>
      </x:c>
      <x:c r="I5338" s="2" t="n">
        <x:v>5</x:v>
      </x:c>
      <x:c r="J5338" s="2" t="n">
        <x:v>5</x:v>
      </x:c>
      <x:c r="K5338" s="2" t="n">
        <x:v>5</x:v>
      </x:c>
      <x:c r="L5338" s="2" t="str">
        <x:v>Champions</x:v>
      </x:c>
    </x:row>
    <x:row r="5339" ht="22" customHeight="1">
      <x:c r="A5339" s="2"/>
      <x:c r="B5339" s="2" t="str">
        <x:v>17707</x:v>
      </x:c>
      <x:c r="C5339" s="2" t="str">
        <x:v>United Kingdom</x:v>
      </x:c>
      <x:c r="D5339" s="25" t="n">
        <x:v>40154.30486111111</x:v>
      </x:c>
      <x:c r="E5339" s="25" t="n">
        <x:v>40701.41875</x:v>
      </x:c>
      <x:c r="F5339" s="2" t="n">
        <x:v>186</x:v>
      </x:c>
      <x:c r="G5339" s="2" t="n">
        <x:v>8</x:v>
      </x:c>
      <x:c r="H5339" s="11" t="n">
        <x:v>609.3</x:v>
      </x:c>
      <x:c r="I5339" s="2" t="n">
        <x:v>3</x:v>
      </x:c>
      <x:c r="J5339" s="2" t="n">
        <x:v>4</x:v>
      </x:c>
      <x:c r="K5339" s="2" t="n">
        <x:v>2</x:v>
      </x:c>
      <x:c r="L5339" s="2" t="str">
        <x:v>Loyal</x:v>
      </x:c>
    </x:row>
    <x:row r="5340" ht="22" customHeight="1">
      <x:c r="A5340" s="2"/>
      <x:c r="B5340" s="2" t="str">
        <x:v>17708</x:v>
      </x:c>
      <x:c r="C5340" s="2" t="str">
        <x:v>United Kingdom</x:v>
      </x:c>
      <x:c r="D5340" s="25" t="n">
        <x:v>40463.30069444444</x:v>
      </x:c>
      <x:c r="E5340" s="25" t="n">
        <x:v>40699.21666666667</x:v>
      </x:c>
      <x:c r="F5340" s="2" t="n">
        <x:v>188</x:v>
      </x:c>
      <x:c r="G5340" s="2" t="n">
        <x:v>4</x:v>
      </x:c>
      <x:c r="H5340" s="11" t="n">
        <x:v>887.93</x:v>
      </x:c>
      <x:c r="I5340" s="2" t="n">
        <x:v>3</x:v>
      </x:c>
      <x:c r="J5340" s="2" t="n">
        <x:v>3</x:v>
      </x:c>
      <x:c r="K5340" s="2" t="n">
        <x:v>3</x:v>
      </x:c>
      <x:c r="L5340" s="2" t="str">
        <x:v>Loyal</x:v>
      </x:c>
    </x:row>
    <x:row r="5341" ht="22" customHeight="1">
      <x:c r="A5341" s="2"/>
      <x:c r="B5341" s="2" t="str">
        <x:v>17709</x:v>
      </x:c>
      <x:c r="C5341" s="2" t="str">
        <x:v>United Kingdom</x:v>
      </x:c>
      <x:c r="D5341" s="25" t="n">
        <x:v>40283.40833333333</x:v>
      </x:c>
      <x:c r="E5341" s="25" t="n">
        <x:v>40717.288194444445</x:v>
      </x:c>
      <x:c r="F5341" s="2" t="n">
        <x:v>170</x:v>
      </x:c>
      <x:c r="G5341" s="2" t="n">
        <x:v>5</x:v>
      </x:c>
      <x:c r="H5341" s="11" t="n">
        <x:v>671.01</x:v>
      </x:c>
      <x:c r="I5341" s="2" t="n">
        <x:v>3</x:v>
      </x:c>
      <x:c r="J5341" s="2" t="n">
        <x:v>4</x:v>
      </x:c>
      <x:c r="K5341" s="2" t="n">
        <x:v>3</x:v>
      </x:c>
      <x:c r="L5341" s="2" t="str">
        <x:v>Loyal</x:v>
      </x:c>
    </x:row>
    <x:row r="5342" ht="22" customHeight="1">
      <x:c r="A5342" s="2"/>
      <x:c r="B5342" s="2" t="str">
        <x:v>17710</x:v>
      </x:c>
      <x:c r="C5342" s="2" t="str">
        <x:v>United Kingdom</x:v>
      </x:c>
      <x:c r="D5342" s="25" t="n">
        <x:v>40463.11736111111</x:v>
      </x:c>
      <x:c r="E5342" s="25" t="n">
        <x:v>40463.11736111111</x:v>
      </x:c>
      <x:c r="F5342" s="2" t="n">
        <x:v>424</x:v>
      </x:c>
      <x:c r="G5342" s="2" t="n">
        <x:v>1</x:v>
      </x:c>
      <x:c r="H5342" s="11" t="n">
        <x:v>293.5</x:v>
      </x:c>
      <x:c r="I5342" s="2" t="n">
        <x:v>1</x:v>
      </x:c>
      <x:c r="J5342" s="2" t="n">
        <x:v>1</x:v>
      </x:c>
      <x:c r="K5342" s="2" t="n">
        <x:v>2</x:v>
      </x:c>
      <x:c r="L5342" s="2" t="str">
        <x:v>Hibernating</x:v>
      </x:c>
    </x:row>
    <x:row r="5343" ht="22" customHeight="1">
      <x:c r="A5343" s="2"/>
      <x:c r="B5343" s="2" t="str">
        <x:v>17711</x:v>
      </x:c>
      <x:c r="C5343" s="2" t="str">
        <x:v>United Kingdom</x:v>
      </x:c>
      <x:c r="D5343" s="25" t="n">
        <x:v>40597.27222222222</x:v>
      </x:c>
      <x:c r="E5343" s="25" t="n">
        <x:v>40876.27777777778</x:v>
      </x:c>
      <x:c r="F5343" s="2" t="n">
        <x:v>11</x:v>
      </x:c>
      <x:c r="G5343" s="2" t="n">
        <x:v>2</x:v>
      </x:c>
      <x:c r="H5343" s="11" t="n">
        <x:v>385.1</x:v>
      </x:c>
      <x:c r="I5343" s="2" t="n">
        <x:v>5</x:v>
      </x:c>
      <x:c r="J5343" s="2" t="n">
        <x:v>2</x:v>
      </x:c>
      <x:c r="K5343" s="2" t="n">
        <x:v>2</x:v>
      </x:c>
      <x:c r="L5343" s="2" t="str">
        <x:v>Recent light buyers</x:v>
      </x:c>
    </x:row>
    <x:row r="5344" ht="22" customHeight="1">
      <x:c r="A5344" s="2"/>
      <x:c r="B5344" s="2" t="str">
        <x:v>17712</x:v>
      </x:c>
      <x:c r="C5344" s="2" t="str">
        <x:v>United Kingdom</x:v>
      </x:c>
      <x:c r="D5344" s="25" t="n">
        <x:v>40842.311111111114</x:v>
      </x:c>
      <x:c r="E5344" s="25" t="n">
        <x:v>40842.311111111114</x:v>
      </x:c>
      <x:c r="F5344" s="2" t="n">
        <x:v>45</x:v>
      </x:c>
      <x:c r="G5344" s="2" t="n">
        <x:v>1</x:v>
      </x:c>
      <x:c r="H5344" s="11" t="n">
        <x:v>522.91</x:v>
      </x:c>
      <x:c r="I5344" s="2" t="n">
        <x:v>4</x:v>
      </x:c>
      <x:c r="J5344" s="2" t="n">
        <x:v>1</x:v>
      </x:c>
      <x:c r="K5344" s="2" t="n">
        <x:v>2</x:v>
      </x:c>
      <x:c r="L5344" s="2" t="str">
        <x:v>Recent light buyers</x:v>
      </x:c>
    </x:row>
    <x:row r="5345" ht="22" customHeight="1">
      <x:c r="A5345" s="2"/>
      <x:c r="B5345" s="2" t="str">
        <x:v>17713</x:v>
      </x:c>
      <x:c r="C5345" s="2" t="str">
        <x:v>United Kingdom</x:v>
      </x:c>
      <x:c r="D5345" s="25" t="n">
        <x:v>40338.18958333333</x:v>
      </x:c>
      <x:c r="E5345" s="25" t="n">
        <x:v>40504.493055555555</x:v>
      </x:c>
      <x:c r="F5345" s="2" t="n">
        <x:v>383</x:v>
      </x:c>
      <x:c r="G5345" s="2" t="n">
        <x:v>4</x:v>
      </x:c>
      <x:c r="H5345" s="11" t="n">
        <x:v>1198.09</x:v>
      </x:c>
      <x:c r="I5345" s="2" t="n">
        <x:v>2</x:v>
      </x:c>
      <x:c r="J5345" s="2" t="n">
        <x:v>3</x:v>
      </x:c>
      <x:c r="K5345" s="2" t="n">
        <x:v>3</x:v>
      </x:c>
      <x:c r="L5345" s="2" t="str">
        <x:v>At risk</x:v>
      </x:c>
    </x:row>
    <x:row r="5346" ht="22" customHeight="1">
      <x:c r="A5346" s="2"/>
      <x:c r="B5346" s="2" t="str">
        <x:v>17714</x:v>
      </x:c>
      <x:c r="C5346" s="2" t="str">
        <x:v>United Kingdom</x:v>
      </x:c>
      <x:c r="D5346" s="25" t="n">
        <x:v>40373.236805555556</x:v>
      </x:c>
      <x:c r="E5346" s="25" t="n">
        <x:v>40566.23055555556</x:v>
      </x:c>
      <x:c r="F5346" s="2" t="n">
        <x:v>321</x:v>
      </x:c>
      <x:c r="G5346" s="2" t="n">
        <x:v>5</x:v>
      </x:c>
      <x:c r="H5346" s="11" t="n">
        <x:v>1410.18</x:v>
      </x:c>
      <x:c r="I5346" s="2" t="n">
        <x:v>2</x:v>
      </x:c>
      <x:c r="J5346" s="2" t="n">
        <x:v>4</x:v>
      </x:c>
      <x:c r="K5346" s="2" t="n">
        <x:v>4</x:v>
      </x:c>
      <x:c r="L5346" s="2" t="str">
        <x:v>At risk</x:v>
      </x:c>
    </x:row>
    <x:row r="5347" ht="22" customHeight="1">
      <x:c r="A5347" s="2"/>
      <x:c r="B5347" s="2" t="str">
        <x:v>17715</x:v>
      </x:c>
      <x:c r="C5347" s="2" t="str">
        <x:v>United Kingdom</x:v>
      </x:c>
      <x:c r="D5347" s="25" t="n">
        <x:v>40294.30347222222</x:v>
      </x:c>
      <x:c r="E5347" s="25" t="n">
        <x:v>40686.313888888886</x:v>
      </x:c>
      <x:c r="F5347" s="2" t="n">
        <x:v>201</x:v>
      </x:c>
      <x:c r="G5347" s="2" t="n">
        <x:v>2</x:v>
      </x:c>
      <x:c r="H5347" s="11" t="n">
        <x:v>489.6</x:v>
      </x:c>
      <x:c r="I5347" s="2" t="n">
        <x:v>2</x:v>
      </x:c>
      <x:c r="J5347" s="2" t="n">
        <x:v>2</x:v>
      </x:c>
      <x:c r="K5347" s="2" t="n">
        <x:v>2</x:v>
      </x:c>
      <x:c r="L5347" s="2" t="str">
        <x:v>Hibernating</x:v>
      </x:c>
    </x:row>
    <x:row r="5348" ht="22" customHeight="1">
      <x:c r="A5348" s="2"/>
      <x:c r="B5348" s="2" t="str">
        <x:v>17716</x:v>
      </x:c>
      <x:c r="C5348" s="2" t="str">
        <x:v>United Kingdom</x:v>
      </x:c>
      <x:c r="D5348" s="25" t="n">
        <x:v>40149.5125</x:v>
      </x:c>
      <x:c r="E5348" s="25" t="n">
        <x:v>40864.291666666664</x:v>
      </x:c>
      <x:c r="F5348" s="2" t="n">
        <x:v>23</x:v>
      </x:c>
      <x:c r="G5348" s="2" t="n">
        <x:v>24</x:v>
      </x:c>
      <x:c r="H5348" s="11" t="n">
        <x:v>15956.97</x:v>
      </x:c>
      <x:c r="I5348" s="2" t="n">
        <x:v>4</x:v>
      </x:c>
      <x:c r="J5348" s="2" t="n">
        <x:v>5</x:v>
      </x:c>
      <x:c r="K5348" s="2" t="n">
        <x:v>5</x:v>
      </x:c>
      <x:c r="L5348" s="2" t="str">
        <x:v>Champions</x:v>
      </x:c>
    </x:row>
    <x:row r="5349" ht="22" customHeight="1">
      <x:c r="A5349" s="2"/>
      <x:c r="B5349" s="2" t="str">
        <x:v>17717</x:v>
      </x:c>
      <x:c r="C5349" s="2" t="str">
        <x:v>United Kingdom</x:v>
      </x:c>
      <x:c r="D5349" s="25" t="n">
        <x:v>40465.32916666667</x:v>
      </x:c>
      <x:c r="E5349" s="25" t="n">
        <x:v>40465.32916666667</x:v>
      </x:c>
      <x:c r="F5349" s="2" t="n">
        <x:v>422</x:v>
      </x:c>
      <x:c r="G5349" s="2" t="n">
        <x:v>1</x:v>
      </x:c>
      <x:c r="H5349" s="11" t="n">
        <x:v>376.92</x:v>
      </x:c>
      <x:c r="I5349" s="2" t="n">
        <x:v>1</x:v>
      </x:c>
      <x:c r="J5349" s="2" t="n">
        <x:v>1</x:v>
      </x:c>
      <x:c r="K5349" s="2" t="n">
        <x:v>2</x:v>
      </x:c>
      <x:c r="L5349" s="2" t="str">
        <x:v>Hibernating</x:v>
      </x:c>
    </x:row>
    <x:row r="5350" ht="22" customHeight="1">
      <x:c r="A5350" s="2"/>
      <x:c r="B5350" s="2" t="str">
        <x:v>17718</x:v>
      </x:c>
      <x:c r="C5350" s="2" t="str">
        <x:v>United Kingdom</x:v>
      </x:c>
      <x:c r="D5350" s="25" t="n">
        <x:v>40242.12569444445</x:v>
      </x:c>
      <x:c r="E5350" s="25" t="n">
        <x:v>40654.36041666667</x:v>
      </x:c>
      <x:c r="F5350" s="2" t="n">
        <x:v>233</x:v>
      </x:c>
      <x:c r="G5350" s="2" t="n">
        <x:v>2</x:v>
      </x:c>
      <x:c r="H5350" s="11" t="n">
        <x:v>439.18</x:v>
      </x:c>
      <x:c r="I5350" s="2" t="n">
        <x:v>2</x:v>
      </x:c>
      <x:c r="J5350" s="2" t="n">
        <x:v>2</x:v>
      </x:c>
      <x:c r="K5350" s="2" t="n">
        <x:v>2</x:v>
      </x:c>
      <x:c r="L5350" s="2" t="str">
        <x:v>Hibernating</x:v>
      </x:c>
    </x:row>
    <x:row r="5351" ht="22" customHeight="1">
      <x:c r="A5351" s="2"/>
      <x:c r="B5351" s="2" t="str">
        <x:v>17719</x:v>
      </x:c>
      <x:c r="C5351" s="2" t="str">
        <x:v>United Kingdom</x:v>
      </x:c>
      <x:c r="D5351" s="25" t="n">
        <x:v>40631.27013888889</x:v>
      </x:c>
      <x:c r="E5351" s="25" t="n">
        <x:v>40849.23333333333</x:v>
      </x:c>
      <x:c r="F5351" s="2" t="n">
        <x:v>38</x:v>
      </x:c>
      <x:c r="G5351" s="2" t="n">
        <x:v>15</x:v>
      </x:c>
      <x:c r="H5351" s="11" t="n">
        <x:v>5396.04</x:v>
      </x:c>
      <x:c r="I5351" s="2" t="n">
        <x:v>4</x:v>
      </x:c>
      <x:c r="J5351" s="2" t="n">
        <x:v>5</x:v>
      </x:c>
      <x:c r="K5351" s="2" t="n">
        <x:v>5</x:v>
      </x:c>
      <x:c r="L5351" s="2" t="str">
        <x:v>Champions</x:v>
      </x:c>
    </x:row>
    <x:row r="5352" ht="22" customHeight="1">
      <x:c r="A5352" s="2"/>
      <x:c r="B5352" s="2" t="str">
        <x:v>17720</x:v>
      </x:c>
      <x:c r="C5352" s="2" t="str">
        <x:v>United Kingdom</x:v>
      </x:c>
      <x:c r="D5352" s="25" t="n">
        <x:v>40308.20694444444</x:v>
      </x:c>
      <x:c r="E5352" s="25" t="n">
        <x:v>40860.419444444444</x:v>
      </x:c>
      <x:c r="F5352" s="2" t="n">
        <x:v>27</x:v>
      </x:c>
      <x:c r="G5352" s="2" t="n">
        <x:v>10</x:v>
      </x:c>
      <x:c r="H5352" s="11" t="n">
        <x:v>2666.91</x:v>
      </x:c>
      <x:c r="I5352" s="2" t="n">
        <x:v>4</x:v>
      </x:c>
      <x:c r="J5352" s="2" t="n">
        <x:v>5</x:v>
      </x:c>
      <x:c r="K5352" s="2" t="n">
        <x:v>4</x:v>
      </x:c>
      <x:c r="L5352" s="2" t="str">
        <x:v>Champions</x:v>
      </x:c>
    </x:row>
    <x:row r="5353" ht="22" customHeight="1">
      <x:c r="A5353" s="2"/>
      <x:c r="B5353" s="2" t="str">
        <x:v>17721</x:v>
      </x:c>
      <x:c r="C5353" s="2" t="str">
        <x:v>United Kingdom</x:v>
      </x:c>
      <x:c r="D5353" s="25" t="n">
        <x:v>40227.42916666667</x:v>
      </x:c>
      <x:c r="E5353" s="25" t="n">
        <x:v>40227.42916666667</x:v>
      </x:c>
      <x:c r="F5353" s="2" t="n">
        <x:v>660</x:v>
      </x:c>
      <x:c r="G5353" s="2" t="n">
        <x:v>1</x:v>
      </x:c>
      <x:c r="H5353" s="11" t="n">
        <x:v>307.21</x:v>
      </x:c>
      <x:c r="I5353" s="2" t="n">
        <x:v>1</x:v>
      </x:c>
      <x:c r="J5353" s="2" t="n">
        <x:v>1</x:v>
      </x:c>
      <x:c r="K5353" s="2" t="n">
        <x:v>2</x:v>
      </x:c>
      <x:c r="L5353" s="2" t="str">
        <x:v>Hibernating</x:v>
      </x:c>
    </x:row>
    <x:row r="5354" ht="22" customHeight="1">
      <x:c r="A5354" s="2"/>
      <x:c r="B5354" s="2" t="str">
        <x:v>17722</x:v>
      </x:c>
      <x:c r="C5354" s="2" t="str">
        <x:v>United Kingdom</x:v>
      </x:c>
      <x:c r="D5354" s="25" t="n">
        <x:v>40511.197222222225</x:v>
      </x:c>
      <x:c r="E5354" s="25" t="n">
        <x:v>40790.43194444444</x:v>
      </x:c>
      <x:c r="F5354" s="2" t="n">
        <x:v>97</x:v>
      </x:c>
      <x:c r="G5354" s="2" t="n">
        <x:v>5</x:v>
      </x:c>
      <x:c r="H5354" s="11" t="n">
        <x:v>3520.22</x:v>
      </x:c>
      <x:c r="I5354" s="2" t="n">
        <x:v>3</x:v>
      </x:c>
      <x:c r="J5354" s="2" t="n">
        <x:v>4</x:v>
      </x:c>
      <x:c r="K5354" s="2" t="n">
        <x:v>5</x:v>
      </x:c>
      <x:c r="L5354" s="2" t="str">
        <x:v>Loyal</x:v>
      </x:c>
    </x:row>
    <x:row r="5355" ht="22" customHeight="1">
      <x:c r="A5355" s="2"/>
      <x:c r="B5355" s="2" t="str">
        <x:v>17723</x:v>
      </x:c>
      <x:c r="C5355" s="2" t="str">
        <x:v>United Kingdom</x:v>
      </x:c>
      <x:c r="D5355" s="25" t="n">
        <x:v>40511.23263888889</x:v>
      </x:c>
      <x:c r="E5355" s="25" t="n">
        <x:v>40759.56736111111</x:v>
      </x:c>
      <x:c r="F5355" s="2" t="n">
        <x:v>128</x:v>
      </x:c>
      <x:c r="G5355" s="2" t="n">
        <x:v>7</x:v>
      </x:c>
      <x:c r="H5355" s="11" t="n">
        <x:v>3378.4</x:v>
      </x:c>
      <x:c r="I5355" s="2" t="n">
        <x:v>3</x:v>
      </x:c>
      <x:c r="J5355" s="2" t="n">
        <x:v>4</x:v>
      </x:c>
      <x:c r="K5355" s="2" t="n">
        <x:v>5</x:v>
      </x:c>
      <x:c r="L5355" s="2" t="str">
        <x:v>Loyal</x:v>
      </x:c>
    </x:row>
    <x:row r="5356" ht="22" customHeight="1">
      <x:c r="A5356" s="2"/>
      <x:c r="B5356" s="2" t="str">
        <x:v>17724</x:v>
      </x:c>
      <x:c r="C5356" s="2" t="str">
        <x:v>United Kingdom</x:v>
      </x:c>
      <x:c r="D5356" s="25" t="n">
        <x:v>40748.35138888889</x:v>
      </x:c>
      <x:c r="E5356" s="25" t="n">
        <x:v>40815.43472222222</x:v>
      </x:c>
      <x:c r="F5356" s="2" t="n">
        <x:v>72</x:v>
      </x:c>
      <x:c r="G5356" s="2" t="n">
        <x:v>3</x:v>
      </x:c>
      <x:c r="H5356" s="11" t="n">
        <x:v>1033</x:v>
      </x:c>
      <x:c r="I5356" s="2" t="n">
        <x:v>3</x:v>
      </x:c>
      <x:c r="J5356" s="2" t="n">
        <x:v>3</x:v>
      </x:c>
      <x:c r="K5356" s="2" t="n">
        <x:v>3</x:v>
      </x:c>
      <x:c r="L5356" s="2" t="str">
        <x:v>Loyal</x:v>
      </x:c>
    </x:row>
    <x:row r="5357" ht="22" customHeight="1">
      <x:c r="A5357" s="2"/>
      <x:c r="B5357" s="2" t="str">
        <x:v>17725</x:v>
      </x:c>
      <x:c r="C5357" s="2" t="str">
        <x:v>United Kingdom</x:v>
      </x:c>
      <x:c r="D5357" s="25" t="n">
        <x:v>40619.61597222222</x:v>
      </x:c>
      <x:c r="E5357" s="25" t="n">
        <x:v>40870.481944444444</x:v>
      </x:c>
      <x:c r="F5357" s="2" t="n">
        <x:v>17</x:v>
      </x:c>
      <x:c r="G5357" s="2" t="n">
        <x:v>11</x:v>
      </x:c>
      <x:c r="H5357" s="11" t="n">
        <x:v>3439.08</x:v>
      </x:c>
      <x:c r="I5357" s="2" t="n">
        <x:v>5</x:v>
      </x:c>
      <x:c r="J5357" s="2" t="n">
        <x:v>5</x:v>
      </x:c>
      <x:c r="K5357" s="2" t="n">
        <x:v>5</x:v>
      </x:c>
      <x:c r="L5357" s="2" t="str">
        <x:v>Champions</x:v>
      </x:c>
    </x:row>
    <x:row r="5358" ht="22" customHeight="1">
      <x:c r="A5358" s="2"/>
      <x:c r="B5358" s="2" t="str">
        <x:v>17726</x:v>
      </x:c>
      <x:c r="C5358" s="2" t="str">
        <x:v>United Kingdom</x:v>
      </x:c>
      <x:c r="D5358" s="25" t="n">
        <x:v>40204.41527777778</x:v>
      </x:c>
      <x:c r="E5358" s="25" t="n">
        <x:v>40491.35902777778</x:v>
      </x:c>
      <x:c r="F5358" s="2" t="n">
        <x:v>396</x:v>
      </x:c>
      <x:c r="G5358" s="2" t="n">
        <x:v>7</x:v>
      </x:c>
      <x:c r="H5358" s="11" t="n">
        <x:v>1092.06</x:v>
      </x:c>
      <x:c r="I5358" s="2" t="n">
        <x:v>2</x:v>
      </x:c>
      <x:c r="J5358" s="2" t="n">
        <x:v>4</x:v>
      </x:c>
      <x:c r="K5358" s="2" t="n">
        <x:v>3</x:v>
      </x:c>
      <x:c r="L5358" s="2" t="str">
        <x:v>At risk</x:v>
      </x:c>
    </x:row>
    <x:row r="5359" ht="22" customHeight="1">
      <x:c r="A5359" s="2"/>
      <x:c r="B5359" s="2" t="str">
        <x:v>17727</x:v>
      </x:c>
      <x:c r="C5359" s="2" t="str">
        <x:v>United Kingdom</x:v>
      </x:c>
      <x:c r="D5359" s="25" t="n">
        <x:v>40871.504166666666</x:v>
      </x:c>
      <x:c r="E5359" s="25" t="n">
        <x:v>40871.504166666666</x:v>
      </x:c>
      <x:c r="F5359" s="2" t="n">
        <x:v>16</x:v>
      </x:c>
      <x:c r="G5359" s="2" t="n">
        <x:v>1</x:v>
      </x:c>
      <x:c r="H5359" s="11" t="n">
        <x:v>1060.25</x:v>
      </x:c>
      <x:c r="I5359" s="2" t="n">
        <x:v>5</x:v>
      </x:c>
      <x:c r="J5359" s="2" t="n">
        <x:v>1</x:v>
      </x:c>
      <x:c r="K5359" s="2" t="n">
        <x:v>3</x:v>
      </x:c>
      <x:c r="L5359" s="2" t="str">
        <x:v>Recent light buyers</x:v>
      </x:c>
    </x:row>
    <x:row r="5360" ht="22" customHeight="1">
      <x:c r="A5360" s="2"/>
      <x:c r="B5360" s="2" t="str">
        <x:v>17728</x:v>
      </x:c>
      <x:c r="C5360" s="2" t="str">
        <x:v>United Kingdom</x:v>
      </x:c>
      <x:c r="D5360" s="25" t="n">
        <x:v>40433.41527777778</x:v>
      </x:c>
      <x:c r="E5360" s="25" t="n">
        <x:v>40883.16111111111</x:v>
      </x:c>
      <x:c r="F5360" s="2" t="n">
        <x:v>4</x:v>
      </x:c>
      <x:c r="G5360" s="2" t="n">
        <x:v>5</x:v>
      </x:c>
      <x:c r="H5360" s="11" t="n">
        <x:v>4238.76</x:v>
      </x:c>
      <x:c r="I5360" s="2" t="n">
        <x:v>5</x:v>
      </x:c>
      <x:c r="J5360" s="2" t="n">
        <x:v>4</x:v>
      </x:c>
      <x:c r="K5360" s="2" t="n">
        <x:v>5</x:v>
      </x:c>
      <x:c r="L5360" s="2" t="str">
        <x:v>Champions</x:v>
      </x:c>
    </x:row>
    <x:row r="5361" ht="22" customHeight="1">
      <x:c r="A5361" s="2"/>
      <x:c r="B5361" s="2" t="str">
        <x:v>17729</x:v>
      </x:c>
      <x:c r="C5361" s="2" t="str">
        <x:v>United Kingdom</x:v>
      </x:c>
      <x:c r="D5361" s="25" t="n">
        <x:v>40290.41875</x:v>
      </x:c>
      <x:c r="E5361" s="25" t="n">
        <x:v>40290.41875</x:v>
      </x:c>
      <x:c r="F5361" s="2" t="n">
        <x:v>597</x:v>
      </x:c>
      <x:c r="G5361" s="2" t="n">
        <x:v>1</x:v>
      </x:c>
      <x:c r="H5361" s="11" t="n">
        <x:v>438.65</x:v>
      </x:c>
      <x:c r="I5361" s="2" t="n">
        <x:v>1</x:v>
      </x:c>
      <x:c r="J5361" s="2" t="n">
        <x:v>1</x:v>
      </x:c>
      <x:c r="K5361" s="2" t="n">
        <x:v>2</x:v>
      </x:c>
      <x:c r="L5361" s="2" t="str">
        <x:v>Hibernating</x:v>
      </x:c>
    </x:row>
    <x:row r="5362" ht="22" customHeight="1">
      <x:c r="A5362" s="2"/>
      <x:c r="B5362" s="2" t="str">
        <x:v>17730</x:v>
      </x:c>
      <x:c r="C5362" s="2" t="str">
        <x:v>United Kingdom</x:v>
      </x:c>
      <x:c r="D5362" s="25" t="n">
        <x:v>40297.28333333333</x:v>
      </x:c>
      <x:c r="E5362" s="25" t="n">
        <x:v>40883.44652777778</x:v>
      </x:c>
      <x:c r="F5362" s="2" t="n">
        <x:v>4</x:v>
      </x:c>
      <x:c r="G5362" s="2" t="n">
        <x:v>20</x:v>
      </x:c>
      <x:c r="H5362" s="11" t="n">
        <x:v>7773.8</x:v>
      </x:c>
      <x:c r="I5362" s="2" t="n">
        <x:v>5</x:v>
      </x:c>
      <x:c r="J5362" s="2" t="n">
        <x:v>5</x:v>
      </x:c>
      <x:c r="K5362" s="2" t="n">
        <x:v>5</x:v>
      </x:c>
      <x:c r="L5362" s="2" t="str">
        <x:v>Champions</x:v>
      </x:c>
    </x:row>
    <x:row r="5363" ht="22" customHeight="1">
      <x:c r="A5363" s="2"/>
      <x:c r="B5363" s="2" t="str">
        <x:v>17731</x:v>
      </x:c>
      <x:c r="C5363" s="2" t="str">
        <x:v>United Kingdom</x:v>
      </x:c>
      <x:c r="D5363" s="25" t="n">
        <x:v>40218.31736111111</x:v>
      </x:c>
      <x:c r="E5363" s="25" t="n">
        <x:v>40807.41805555556</x:v>
      </x:c>
      <x:c r="F5363" s="2" t="n">
        <x:v>80</x:v>
      </x:c>
      <x:c r="G5363" s="2" t="n">
        <x:v>6</x:v>
      </x:c>
      <x:c r="H5363" s="11" t="n">
        <x:v>1708.99</x:v>
      </x:c>
      <x:c r="I5363" s="2" t="n">
        <x:v>3</x:v>
      </x:c>
      <x:c r="J5363" s="2" t="n">
        <x:v>4</x:v>
      </x:c>
      <x:c r="K5363" s="2" t="n">
        <x:v>4</x:v>
      </x:c>
      <x:c r="L5363" s="2" t="str">
        <x:v>Loyal</x:v>
      </x:c>
    </x:row>
    <x:row r="5364" ht="22" customHeight="1">
      <x:c r="A5364" s="2"/>
      <x:c r="B5364" s="2" t="str">
        <x:v>17732</x:v>
      </x:c>
      <x:c r="C5364" s="2" t="str">
        <x:v>United Kingdom</x:v>
      </x:c>
      <x:c r="D5364" s="25" t="n">
        <x:v>40399.15347222222</x:v>
      </x:c>
      <x:c r="E5364" s="25" t="n">
        <x:v>40514.18680555555</x:v>
      </x:c>
      <x:c r="F5364" s="2" t="n">
        <x:v>373</x:v>
      </x:c>
      <x:c r="G5364" s="2" t="n">
        <x:v>8</x:v>
      </x:c>
      <x:c r="H5364" s="11" t="n">
        <x:v>2166.42</x:v>
      </x:c>
      <x:c r="I5364" s="2" t="n">
        <x:v>2</x:v>
      </x:c>
      <x:c r="J5364" s="2" t="n">
        <x:v>4</x:v>
      </x:c>
      <x:c r="K5364" s="2" t="n">
        <x:v>4</x:v>
      </x:c>
      <x:c r="L5364" s="2" t="str">
        <x:v>At risk</x:v>
      </x:c>
    </x:row>
    <x:row r="5365" ht="22" customHeight="1">
      <x:c r="A5365" s="2"/>
      <x:c r="B5365" s="2" t="str">
        <x:v>17733</x:v>
      </x:c>
      <x:c r="C5365" s="2" t="str">
        <x:v>United Kingdom</x:v>
      </x:c>
      <x:c r="D5365" s="25" t="n">
        <x:v>40625.20416666667</x:v>
      </x:c>
      <x:c r="E5365" s="25" t="n">
        <x:v>40848.13611111111</x:v>
      </x:c>
      <x:c r="F5365" s="2" t="n">
        <x:v>39</x:v>
      </x:c>
      <x:c r="G5365" s="2" t="n">
        <x:v>2</x:v>
      </x:c>
      <x:c r="H5365" s="11" t="n">
        <x:v>692.19</x:v>
      </x:c>
      <x:c r="I5365" s="2" t="n">
        <x:v>4</x:v>
      </x:c>
      <x:c r="J5365" s="2" t="n">
        <x:v>2</x:v>
      </x:c>
      <x:c r="K5365" s="2" t="n">
        <x:v>3</x:v>
      </x:c>
      <x:c r="L5365" s="2" t="str">
        <x:v>Recent light buyers</x:v>
      </x:c>
    </x:row>
    <x:row r="5366" ht="22" customHeight="1">
      <x:c r="A5366" s="2"/>
      <x:c r="B5366" s="2" t="str">
        <x:v>17734</x:v>
      </x:c>
      <x:c r="C5366" s="2" t="str">
        <x:v>United Kingdom</x:v>
      </x:c>
      <x:c r="D5366" s="25" t="n">
        <x:v>40244.37152777778</x:v>
      </x:c>
      <x:c r="E5366" s="25" t="n">
        <x:v>40833.31458333333</x:v>
      </x:c>
      <x:c r="F5366" s="2" t="n">
        <x:v>54</x:v>
      </x:c>
      <x:c r="G5366" s="2" t="n">
        <x:v>6</x:v>
      </x:c>
      <x:c r="H5366" s="11" t="n">
        <x:v>1442.32</x:v>
      </x:c>
      <x:c r="I5366" s="2" t="n">
        <x:v>4</x:v>
      </x:c>
      <x:c r="J5366" s="2" t="n">
        <x:v>4</x:v>
      </x:c>
      <x:c r="K5366" s="2" t="n">
        <x:v>4</x:v>
      </x:c>
      <x:c r="L5366" s="2" t="str">
        <x:v>Champions</x:v>
      </x:c>
    </x:row>
    <x:row r="5367" ht="22" customHeight="1">
      <x:c r="A5367" s="2"/>
      <x:c r="B5367" s="2" t="str">
        <x:v>17735</x:v>
      </x:c>
      <x:c r="C5367" s="2" t="str">
        <x:v>United Kingdom</x:v>
      </x:c>
      <x:c r="D5367" s="25" t="n">
        <x:v>40389.350694444445</x:v>
      </x:c>
      <x:c r="E5367" s="25" t="n">
        <x:v>40884.49097222222</x:v>
      </x:c>
      <x:c r="F5367" s="2" t="n">
        <x:v>3</x:v>
      </x:c>
      <x:c r="G5367" s="2" t="n">
        <x:v>26</x:v>
      </x:c>
      <x:c r="H5367" s="11" t="n">
        <x:v>16790.33</x:v>
      </x:c>
      <x:c r="I5367" s="2" t="n">
        <x:v>5</x:v>
      </x:c>
      <x:c r="J5367" s="2" t="n">
        <x:v>5</x:v>
      </x:c>
      <x:c r="K5367" s="2" t="n">
        <x:v>5</x:v>
      </x:c>
      <x:c r="L5367" s="2" t="str">
        <x:v>Champions</x:v>
      </x:c>
    </x:row>
    <x:row r="5368" ht="22" customHeight="1">
      <x:c r="A5368" s="2"/>
      <x:c r="B5368" s="2" t="str">
        <x:v>17736</x:v>
      </x:c>
      <x:c r="C5368" s="2" t="str">
        <x:v>United Kingdom</x:v>
      </x:c>
      <x:c r="D5368" s="25" t="n">
        <x:v>40773.39791666667</x:v>
      </x:c>
      <x:c r="E5368" s="25" t="n">
        <x:v>40877.441666666666</x:v>
      </x:c>
      <x:c r="F5368" s="2" t="n">
        <x:v>10</x:v>
      </x:c>
      <x:c r="G5368" s="2" t="n">
        <x:v>3</x:v>
      </x:c>
      <x:c r="H5368" s="11" t="n">
        <x:v>377.44</x:v>
      </x:c>
      <x:c r="I5368" s="2" t="n">
        <x:v>5</x:v>
      </x:c>
      <x:c r="J5368" s="2" t="n">
        <x:v>3</x:v>
      </x:c>
      <x:c r="K5368" s="2" t="n">
        <x:v>2</x:v>
      </x:c>
      <x:c r="L5368" s="2" t="str">
        <x:v>Loyal</x:v>
      </x:c>
    </x:row>
    <x:row r="5369" ht="22" customHeight="1">
      <x:c r="A5369" s="2"/>
      <x:c r="B5369" s="2" t="str">
        <x:v>17737</x:v>
      </x:c>
      <x:c r="C5369" s="2" t="str">
        <x:v>United Kingdom</x:v>
      </x:c>
      <x:c r="D5369" s="25" t="n">
        <x:v>40828.40416666667</x:v>
      </x:c>
      <x:c r="E5369" s="25" t="n">
        <x:v>40877.427777777775</x:v>
      </x:c>
      <x:c r="F5369" s="2" t="n">
        <x:v>10</x:v>
      </x:c>
      <x:c r="G5369" s="2" t="n">
        <x:v>2</x:v>
      </x:c>
      <x:c r="H5369" s="11" t="n">
        <x:v>168.24</x:v>
      </x:c>
      <x:c r="I5369" s="2" t="n">
        <x:v>5</x:v>
      </x:c>
      <x:c r="J5369" s="2" t="n">
        <x:v>2</x:v>
      </x:c>
      <x:c r="K5369" s="2" t="n">
        <x:v>1</x:v>
      </x:c>
      <x:c r="L5369" s="2" t="str">
        <x:v>Recent light buyers</x:v>
      </x:c>
    </x:row>
    <x:row r="5370" ht="22" customHeight="1">
      <x:c r="A5370" s="2"/>
      <x:c r="B5370" s="2" t="str">
        <x:v>17738</x:v>
      </x:c>
      <x:c r="C5370" s="2" t="str">
        <x:v>United Kingdom</x:v>
      </x:c>
      <x:c r="D5370" s="25" t="n">
        <x:v>40256.21319444444</x:v>
      </x:c>
      <x:c r="E5370" s="25" t="n">
        <x:v>40867.42013888889</x:v>
      </x:c>
      <x:c r="F5370" s="2" t="n">
        <x:v>20</x:v>
      </x:c>
      <x:c r="G5370" s="2" t="n">
        <x:v>13</x:v>
      </x:c>
      <x:c r="H5370" s="11" t="n">
        <x:v>4183.56</x:v>
      </x:c>
      <x:c r="I5370" s="2" t="n">
        <x:v>5</x:v>
      </x:c>
      <x:c r="J5370" s="2" t="n">
        <x:v>5</x:v>
      </x:c>
      <x:c r="K5370" s="2" t="n">
        <x:v>5</x:v>
      </x:c>
      <x:c r="L5370" s="2" t="str">
        <x:v>Champions</x:v>
      </x:c>
    </x:row>
    <x:row r="5371" ht="22" customHeight="1">
      <x:c r="A5371" s="2"/>
      <x:c r="B5371" s="2" t="str">
        <x:v>17739</x:v>
      </x:c>
      <x:c r="C5371" s="2" t="str">
        <x:v>United Kingdom</x:v>
      </x:c>
      <x:c r="D5371" s="25" t="n">
        <x:v>40154.24166666667</x:v>
      </x:c>
      <x:c r="E5371" s="25" t="n">
        <x:v>40875.175</x:v>
      </x:c>
      <x:c r="F5371" s="2" t="n">
        <x:v>12</x:v>
      </x:c>
      <x:c r="G5371" s="2" t="n">
        <x:v>18</x:v>
      </x:c>
      <x:c r="H5371" s="11" t="n">
        <x:v>7730.59</x:v>
      </x:c>
      <x:c r="I5371" s="2" t="n">
        <x:v>5</x:v>
      </x:c>
      <x:c r="J5371" s="2" t="n">
        <x:v>5</x:v>
      </x:c>
      <x:c r="K5371" s="2" t="n">
        <x:v>5</x:v>
      </x:c>
      <x:c r="L5371" s="2" t="str">
        <x:v>Champions</x:v>
      </x:c>
    </x:row>
    <x:row r="5372" ht="22" customHeight="1">
      <x:c r="A5372" s="2"/>
      <x:c r="B5372" s="2" t="str">
        <x:v>17740</x:v>
      </x:c>
      <x:c r="C5372" s="2" t="str">
        <x:v>United Kingdom</x:v>
      </x:c>
      <x:c r="D5372" s="25" t="n">
        <x:v>40189.34097222222</x:v>
      </x:c>
      <x:c r="E5372" s="25" t="n">
        <x:v>40497.48125</x:v>
      </x:c>
      <x:c r="F5372" s="2" t="n">
        <x:v>390</x:v>
      </x:c>
      <x:c r="G5372" s="2" t="n">
        <x:v>6</x:v>
      </x:c>
      <x:c r="H5372" s="11" t="n">
        <x:v>426.9</x:v>
      </x:c>
      <x:c r="I5372" s="2" t="n">
        <x:v>2</x:v>
      </x:c>
      <x:c r="J5372" s="2" t="n">
        <x:v>4</x:v>
      </x:c>
      <x:c r="K5372" s="2" t="n">
        <x:v>2</x:v>
      </x:c>
      <x:c r="L5372" s="2" t="str">
        <x:v>At risk</x:v>
      </x:c>
    </x:row>
    <x:row r="5373" ht="22" customHeight="1">
      <x:c r="A5373" s="2"/>
      <x:c r="B5373" s="2" t="str">
        <x:v>17741</x:v>
      </x:c>
      <x:c r="C5373" s="2" t="str">
        <x:v>United Kingdom</x:v>
      </x:c>
      <x:c r="D5373" s="25" t="n">
        <x:v>40326.299305555556</x:v>
      </x:c>
      <x:c r="E5373" s="25" t="n">
        <x:v>40480.290972222225</x:v>
      </x:c>
      <x:c r="F5373" s="2" t="n">
        <x:v>407</x:v>
      </x:c>
      <x:c r="G5373" s="2" t="n">
        <x:v>2</x:v>
      </x:c>
      <x:c r="H5373" s="11" t="n">
        <x:v>101.1</x:v>
      </x:c>
      <x:c r="I5373" s="2" t="n">
        <x:v>2</x:v>
      </x:c>
      <x:c r="J5373" s="2" t="n">
        <x:v>2</x:v>
      </x:c>
      <x:c r="K5373" s="2" t="n">
        <x:v>1</x:v>
      </x:c>
      <x:c r="L5373" s="2" t="str">
        <x:v>Hibernating</x:v>
      </x:c>
    </x:row>
    <x:row r="5374" ht="22" customHeight="1">
      <x:c r="A5374" s="2"/>
      <x:c r="B5374" s="2" t="str">
        <x:v>17742</x:v>
      </x:c>
      <x:c r="C5374" s="2" t="str">
        <x:v>United Kingdom</x:v>
      </x:c>
      <x:c r="D5374" s="25" t="n">
        <x:v>40148.34444444445</x:v>
      </x:c>
      <x:c r="E5374" s="25" t="n">
        <x:v>40773.436111111114</x:v>
      </x:c>
      <x:c r="F5374" s="2" t="n">
        <x:v>114</x:v>
      </x:c>
      <x:c r="G5374" s="2" t="n">
        <x:v>11</x:v>
      </x:c>
      <x:c r="H5374" s="11" t="n">
        <x:v>2098.48</x:v>
      </x:c>
      <x:c r="I5374" s="2" t="n">
        <x:v>3</x:v>
      </x:c>
      <x:c r="J5374" s="2" t="n">
        <x:v>5</x:v>
      </x:c>
      <x:c r="K5374" s="2" t="n">
        <x:v>4</x:v>
      </x:c>
      <x:c r="L5374" s="2" t="str">
        <x:v>Loyal</x:v>
      </x:c>
    </x:row>
    <x:row r="5375" ht="22" customHeight="1">
      <x:c r="A5375" s="2"/>
      <x:c r="B5375" s="2" t="str">
        <x:v>17743</x:v>
      </x:c>
      <x:c r="C5375" s="2" t="str">
        <x:v>United Kingdom</x:v>
      </x:c>
      <x:c r="D5375" s="25" t="n">
        <x:v>40438.4125</x:v>
      </x:c>
      <x:c r="E5375" s="25" t="n">
        <x:v>40438.4125</x:v>
      </x:c>
      <x:c r="F5375" s="2" t="n">
        <x:v>449</x:v>
      </x:c>
      <x:c r="G5375" s="2" t="n">
        <x:v>1</x:v>
      </x:c>
      <x:c r="H5375" s="11" t="n">
        <x:v>229.2</x:v>
      </x:c>
      <x:c r="I5375" s="2" t="n">
        <x:v>1</x:v>
      </x:c>
      <x:c r="J5375" s="2" t="n">
        <x:v>1</x:v>
      </x:c>
      <x:c r="K5375" s="2" t="n">
        <x:v>1</x:v>
      </x:c>
      <x:c r="L5375" s="2" t="str">
        <x:v>Hibernating</x:v>
      </x:c>
    </x:row>
    <x:row r="5376" ht="22" customHeight="1">
      <x:c r="A5376" s="2"/>
      <x:c r="B5376" s="2" t="str">
        <x:v>17744</x:v>
      </x:c>
      <x:c r="C5376" s="2" t="str">
        <x:v>United Kingdom</x:v>
      </x:c>
      <x:c r="D5376" s="25" t="n">
        <x:v>40506.19027777778</x:v>
      </x:c>
      <x:c r="E5376" s="25" t="n">
        <x:v>40883.299305555556</x:v>
      </x:c>
      <x:c r="F5376" s="2" t="n">
        <x:v>4</x:v>
      </x:c>
      <x:c r="G5376" s="2" t="n">
        <x:v>7</x:v>
      </x:c>
      <x:c r="H5376" s="11" t="n">
        <x:v>2649.14</x:v>
      </x:c>
      <x:c r="I5376" s="2" t="n">
        <x:v>5</x:v>
      </x:c>
      <x:c r="J5376" s="2" t="n">
        <x:v>4</x:v>
      </x:c>
      <x:c r="K5376" s="2" t="n">
        <x:v>4</x:v>
      </x:c>
      <x:c r="L5376" s="2" t="str">
        <x:v>Champions</x:v>
      </x:c>
    </x:row>
    <x:row r="5377" ht="22" customHeight="1">
      <x:c r="A5377" s="2"/>
      <x:c r="B5377" s="2" t="str">
        <x:v>17745</x:v>
      </x:c>
      <x:c r="C5377" s="2" t="str">
        <x:v>United Kingdom</x:v>
      </x:c>
      <x:c r="D5377" s="25" t="n">
        <x:v>40331.16875</x:v>
      </x:c>
      <x:c r="E5377" s="25" t="n">
        <x:v>40409.3125</x:v>
      </x:c>
      <x:c r="F5377" s="2" t="n">
        <x:v>478</x:v>
      </x:c>
      <x:c r="G5377" s="2" t="n">
        <x:v>2</x:v>
      </x:c>
      <x:c r="H5377" s="11" t="n">
        <x:v>600.34</x:v>
      </x:c>
      <x:c r="I5377" s="2" t="n">
        <x:v>1</x:v>
      </x:c>
      <x:c r="J5377" s="2" t="n">
        <x:v>2</x:v>
      </x:c>
      <x:c r="K5377" s="2" t="n">
        <x:v>2</x:v>
      </x:c>
      <x:c r="L5377" s="2" t="str">
        <x:v>Hibernating</x:v>
      </x:c>
    </x:row>
    <x:row r="5378" ht="22" customHeight="1">
      <x:c r="A5378" s="2"/>
      <x:c r="B5378" s="2" t="str">
        <x:v>17746</x:v>
      </x:c>
      <x:c r="C5378" s="2" t="str">
        <x:v>United Kingdom</x:v>
      </x:c>
      <x:c r="D5378" s="25" t="n">
        <x:v>40276.32916666667</x:v>
      </x:c>
      <x:c r="E5378" s="25" t="n">
        <x:v>40646.396527777775</x:v>
      </x:c>
      <x:c r="F5378" s="2" t="n">
        <x:v>241</x:v>
      </x:c>
      <x:c r="G5378" s="2" t="n">
        <x:v>4</x:v>
      </x:c>
      <x:c r="H5378" s="11" t="n">
        <x:v>904.18</x:v>
      </x:c>
      <x:c r="I5378" s="2" t="n">
        <x:v>2</x:v>
      </x:c>
      <x:c r="J5378" s="2" t="n">
        <x:v>3</x:v>
      </x:c>
      <x:c r="K5378" s="2" t="n">
        <x:v>3</x:v>
      </x:c>
      <x:c r="L5378" s="2" t="str">
        <x:v>At risk</x:v>
      </x:c>
    </x:row>
    <x:row r="5379" ht="22" customHeight="1">
      <x:c r="A5379" s="2"/>
      <x:c r="B5379" s="2" t="str">
        <x:v>17747</x:v>
      </x:c>
      <x:c r="C5379" s="2" t="str">
        <x:v>United Kingdom</x:v>
      </x:c>
      <x:c r="D5379" s="25" t="n">
        <x:v>40774.13402777778</x:v>
      </x:c>
      <x:c r="E5379" s="25" t="n">
        <x:v>40774.13402777778</x:v>
      </x:c>
      <x:c r="F5379" s="2" t="n">
        <x:v>113</x:v>
      </x:c>
      <x:c r="G5379" s="2" t="n">
        <x:v>1</x:v>
      </x:c>
      <x:c r="H5379" s="11" t="n">
        <x:v>71.4</x:v>
      </x:c>
      <x:c r="I5379" s="2" t="n">
        <x:v>3</x:v>
      </x:c>
      <x:c r="J5379" s="2" t="n">
        <x:v>1</x:v>
      </x:c>
      <x:c r="K5379" s="2" t="n">
        <x:v>1</x:v>
      </x:c>
      <x:c r="L5379" s="2" t="str">
        <x:v>Developing</x:v>
      </x:c>
    </x:row>
    <x:row r="5380" ht="22" customHeight="1">
      <x:c r="A5380" s="2"/>
      <x:c r="B5380" s="2" t="str">
        <x:v>17748</x:v>
      </x:c>
      <x:c r="C5380" s="2" t="str">
        <x:v>United Kingdom</x:v>
      </x:c>
      <x:c r="D5380" s="25" t="n">
        <x:v>40359.36736111111</x:v>
      </x:c>
      <x:c r="E5380" s="25" t="n">
        <x:v>40359.36736111111</x:v>
      </x:c>
      <x:c r="F5380" s="2" t="n">
        <x:v>528</x:v>
      </x:c>
      <x:c r="G5380" s="2" t="n">
        <x:v>1</x:v>
      </x:c>
      <x:c r="H5380" s="11" t="n">
        <x:v>358.15</x:v>
      </x:c>
      <x:c r="I5380" s="2" t="n">
        <x:v>1</x:v>
      </x:c>
      <x:c r="J5380" s="2" t="n">
        <x:v>1</x:v>
      </x:c>
      <x:c r="K5380" s="2" t="n">
        <x:v>2</x:v>
      </x:c>
      <x:c r="L5380" s="2" t="str">
        <x:v>Hibernating</x:v>
      </x:c>
    </x:row>
    <x:row r="5381" ht="22" customHeight="1">
      <x:c r="A5381" s="2"/>
      <x:c r="B5381" s="2" t="str">
        <x:v>17749</x:v>
      </x:c>
      <x:c r="C5381" s="2" t="str">
        <x:v>United Kingdom</x:v>
      </x:c>
      <x:c r="D5381" s="25" t="n">
        <x:v>40340.41388888889</x:v>
      </x:c>
      <x:c r="E5381" s="25" t="n">
        <x:v>40708.447916666664</x:v>
      </x:c>
      <x:c r="F5381" s="2" t="n">
        <x:v>179</x:v>
      </x:c>
      <x:c r="G5381" s="2" t="n">
        <x:v>3</x:v>
      </x:c>
      <x:c r="H5381" s="11" t="n">
        <x:v>1026.18</x:v>
      </x:c>
      <x:c r="I5381" s="2" t="n">
        <x:v>3</x:v>
      </x:c>
      <x:c r="J5381" s="2" t="n">
        <x:v>3</x:v>
      </x:c>
      <x:c r="K5381" s="2" t="n">
        <x:v>3</x:v>
      </x:c>
      <x:c r="L5381" s="2" t="str">
        <x:v>Loyal</x:v>
      </x:c>
    </x:row>
    <x:row r="5382" ht="22" customHeight="1">
      <x:c r="A5382" s="2"/>
      <x:c r="B5382" s="2" t="str">
        <x:v>17750</x:v>
      </x:c>
      <x:c r="C5382" s="2" t="str">
        <x:v>United Kingdom</x:v>
      </x:c>
      <x:c r="D5382" s="25" t="n">
        <x:v>40722.447222222225</x:v>
      </x:c>
      <x:c r="E5382" s="25" t="n">
        <x:v>40881.38125</x:v>
      </x:c>
      <x:c r="F5382" s="2" t="n">
        <x:v>6</x:v>
      </x:c>
      <x:c r="G5382" s="2" t="n">
        <x:v>9</x:v>
      </x:c>
      <x:c r="H5382" s="11" t="n">
        <x:v>1797.57</x:v>
      </x:c>
      <x:c r="I5382" s="2" t="n">
        <x:v>5</x:v>
      </x:c>
      <x:c r="J5382" s="2" t="n">
        <x:v>5</x:v>
      </x:c>
      <x:c r="K5382" s="2" t="n">
        <x:v>4</x:v>
      </x:c>
      <x:c r="L5382" s="2" t="str">
        <x:v>Champions</x:v>
      </x:c>
    </x:row>
    <x:row r="5383" ht="22" customHeight="1">
      <x:c r="A5383" s="2"/>
      <x:c r="B5383" s="2" t="str">
        <x:v>17751</x:v>
      </x:c>
      <x:c r="C5383" s="2" t="str">
        <x:v>United Kingdom</x:v>
      </x:c>
      <x:c r="D5383" s="25" t="n">
        <x:v>40465.37291666667</x:v>
      </x:c>
      <x:c r="E5383" s="25" t="n">
        <x:v>40465.37291666667</x:v>
      </x:c>
      <x:c r="F5383" s="2" t="n">
        <x:v>422</x:v>
      </x:c>
      <x:c r="G5383" s="2" t="n">
        <x:v>1</x:v>
      </x:c>
      <x:c r="H5383" s="11" t="n">
        <x:v>157.86</x:v>
      </x:c>
      <x:c r="I5383" s="2" t="n">
        <x:v>1</x:v>
      </x:c>
      <x:c r="J5383" s="2" t="n">
        <x:v>1</x:v>
      </x:c>
      <x:c r="K5383" s="2" t="n">
        <x:v>1</x:v>
      </x:c>
      <x:c r="L5383" s="2" t="str">
        <x:v>Hibernating</x:v>
      </x:c>
    </x:row>
    <x:row r="5384" ht="22" customHeight="1">
      <x:c r="A5384" s="2"/>
      <x:c r="B5384" s="2" t="str">
        <x:v>17752</x:v>
      </x:c>
      <x:c r="C5384" s="2" t="str">
        <x:v>United Kingdom</x:v>
      </x:c>
      <x:c r="D5384" s="25" t="n">
        <x:v>40527.47152777778</x:v>
      </x:c>
      <x:c r="E5384" s="25" t="n">
        <x:v>40527.47152777778</x:v>
      </x:c>
      <x:c r="F5384" s="2" t="n">
        <x:v>360</x:v>
      </x:c>
      <x:c r="G5384" s="2" t="n">
        <x:v>1</x:v>
      </x:c>
      <x:c r="H5384" s="11" t="n">
        <x:v>80.64</x:v>
      </x:c>
      <x:c r="I5384" s="2" t="n">
        <x:v>2</x:v>
      </x:c>
      <x:c r="J5384" s="2" t="n">
        <x:v>1</x:v>
      </x:c>
      <x:c r="K5384" s="2" t="n">
        <x:v>1</x:v>
      </x:c>
      <x:c r="L5384" s="2" t="str">
        <x:v>Hibernating</x:v>
      </x:c>
    </x:row>
    <x:row r="5385" ht="22" customHeight="1">
      <x:c r="A5385" s="2"/>
      <x:c r="B5385" s="2" t="str">
        <x:v>17753</x:v>
      </x:c>
      <x:c r="C5385" s="2" t="str">
        <x:v>United Kingdom</x:v>
      </x:c>
      <x:c r="D5385" s="25" t="n">
        <x:v>40184.38888888889</x:v>
      </x:c>
      <x:c r="E5385" s="25" t="n">
        <x:v>40422.450694444444</x:v>
      </x:c>
      <x:c r="F5385" s="2" t="n">
        <x:v>465</x:v>
      </x:c>
      <x:c r="G5385" s="2" t="n">
        <x:v>4</x:v>
      </x:c>
      <x:c r="H5385" s="11" t="n">
        <x:v>390.56</x:v>
      </x:c>
      <x:c r="I5385" s="2" t="n">
        <x:v>1</x:v>
      </x:c>
      <x:c r="J5385" s="2" t="n">
        <x:v>3</x:v>
      </x:c>
      <x:c r="K5385" s="2" t="n">
        <x:v>2</x:v>
      </x:c>
      <x:c r="L5385" s="2" t="str">
        <x:v>At risk</x:v>
      </x:c>
    </x:row>
    <x:row r="5386" ht="22" customHeight="1">
      <x:c r="A5386" s="2"/>
      <x:c r="B5386" s="2" t="str">
        <x:v>17754</x:v>
      </x:c>
      <x:c r="C5386" s="2" t="str">
        <x:v>United Kingdom</x:v>
      </x:c>
      <x:c r="D5386" s="25" t="n">
        <x:v>40158.45277777778</x:v>
      </x:c>
      <x:c r="E5386" s="25" t="n">
        <x:v>40886.26388888889</x:v>
      </x:c>
      <x:c r="F5386" s="2" t="n">
        <x:v>1</x:v>
      </x:c>
      <x:c r="G5386" s="2" t="n">
        <x:v>13</x:v>
      </x:c>
      <x:c r="H5386" s="11" t="n">
        <x:v>4577.53</x:v>
      </x:c>
      <x:c r="I5386" s="2" t="n">
        <x:v>5</x:v>
      </x:c>
      <x:c r="J5386" s="2" t="n">
        <x:v>5</x:v>
      </x:c>
      <x:c r="K5386" s="2" t="n">
        <x:v>5</x:v>
      </x:c>
      <x:c r="L5386" s="2" t="str">
        <x:v>Champions</x:v>
      </x:c>
    </x:row>
    <x:row r="5387" ht="22" customHeight="1">
      <x:c r="A5387" s="2"/>
      <x:c r="B5387" s="2" t="str">
        <x:v>17756</x:v>
      </x:c>
      <x:c r="C5387" s="2" t="str">
        <x:v>United Kingdom</x:v>
      </x:c>
      <x:c r="D5387" s="25" t="n">
        <x:v>40492.32916666667</x:v>
      </x:c>
      <x:c r="E5387" s="25" t="n">
        <x:v>40511.305555555555</x:v>
      </x:c>
      <x:c r="F5387" s="2" t="n">
        <x:v>376</x:v>
      </x:c>
      <x:c r="G5387" s="2" t="n">
        <x:v>3</x:v>
      </x:c>
      <x:c r="H5387" s="11" t="n">
        <x:v>733.7</x:v>
      </x:c>
      <x:c r="I5387" s="2" t="n">
        <x:v>2</x:v>
      </x:c>
      <x:c r="J5387" s="2" t="n">
        <x:v>3</x:v>
      </x:c>
      <x:c r="K5387" s="2" t="n">
        <x:v>3</x:v>
      </x:c>
      <x:c r="L5387" s="2" t="str">
        <x:v>At risk</x:v>
      </x:c>
    </x:row>
    <x:row r="5388" ht="22" customHeight="1">
      <x:c r="A5388" s="2"/>
      <x:c r="B5388" s="2" t="str">
        <x:v>17757</x:v>
      </x:c>
      <x:c r="C5388" s="2" t="str">
        <x:v>United Kingdom</x:v>
      </x:c>
      <x:c r="D5388" s="25" t="n">
        <x:v>40191.455555555556</x:v>
      </x:c>
      <x:c r="E5388" s="25" t="n">
        <x:v>40885.43819444445</x:v>
      </x:c>
      <x:c r="F5388" s="2" t="n">
        <x:v>2</x:v>
      </x:c>
      <x:c r="G5388" s="2" t="n">
        <x:v>56</x:v>
      </x:c>
      <x:c r="H5388" s="11" t="n">
        <x:v>9130</x:v>
      </x:c>
      <x:c r="I5388" s="2" t="n">
        <x:v>5</x:v>
      </x:c>
      <x:c r="J5388" s="2" t="n">
        <x:v>5</x:v>
      </x:c>
      <x:c r="K5388" s="2" t="n">
        <x:v>5</x:v>
      </x:c>
      <x:c r="L5388" s="2" t="str">
        <x:v>Champions</x:v>
      </x:c>
    </x:row>
    <x:row r="5389" ht="22" customHeight="1">
      <x:c r="A5389" s="2"/>
      <x:c r="B5389" s="2" t="str">
        <x:v>17758</x:v>
      </x:c>
      <x:c r="C5389" s="2" t="str">
        <x:v>United Kingdom</x:v>
      </x:c>
      <x:c r="D5389" s="25" t="n">
        <x:v>40318.34583333333</x:v>
      </x:c>
      <x:c r="E5389" s="25" t="n">
        <x:v>40867.40625</x:v>
      </x:c>
      <x:c r="F5389" s="2" t="n">
        <x:v>20</x:v>
      </x:c>
      <x:c r="G5389" s="2" t="n">
        <x:v>12</x:v>
      </x:c>
      <x:c r="H5389" s="11" t="n">
        <x:v>5012.53</x:v>
      </x:c>
      <x:c r="I5389" s="2" t="n">
        <x:v>5</x:v>
      </x:c>
      <x:c r="J5389" s="2" t="n">
        <x:v>5</x:v>
      </x:c>
      <x:c r="K5389" s="2" t="n">
        <x:v>5</x:v>
      </x:c>
      <x:c r="L5389" s="2" t="str">
        <x:v>Champions</x:v>
      </x:c>
    </x:row>
    <x:row r="5390" ht="22" customHeight="1">
      <x:c r="A5390" s="2"/>
      <x:c r="B5390" s="2" t="str">
        <x:v>17759</x:v>
      </x:c>
      <x:c r="C5390" s="2" t="str">
        <x:v>United Kingdom</x:v>
      </x:c>
      <x:c r="D5390" s="25" t="n">
        <x:v>40303.27777777778</x:v>
      </x:c>
      <x:c r="E5390" s="25" t="n">
        <x:v>40869.45972222222</x:v>
      </x:c>
      <x:c r="F5390" s="2" t="n">
        <x:v>18</x:v>
      </x:c>
      <x:c r="G5390" s="2" t="n">
        <x:v>5</x:v>
      </x:c>
      <x:c r="H5390" s="11" t="n">
        <x:v>1276.91</x:v>
      </x:c>
      <x:c r="I5390" s="2" t="n">
        <x:v>5</x:v>
      </x:c>
      <x:c r="J5390" s="2" t="n">
        <x:v>4</x:v>
      </x:c>
      <x:c r="K5390" s="2" t="n">
        <x:v>4</x:v>
      </x:c>
      <x:c r="L5390" s="2" t="str">
        <x:v>Champions</x:v>
      </x:c>
    </x:row>
    <x:row r="5391" ht="22" customHeight="1">
      <x:c r="A5391" s="2"/>
      <x:c r="B5391" s="2" t="str">
        <x:v>17760</x:v>
      </x:c>
      <x:c r="C5391" s="2" t="str">
        <x:v>United Kingdom</x:v>
      </x:c>
      <x:c r="D5391" s="25" t="n">
        <x:v>40237.302083333336</x:v>
      </x:c>
      <x:c r="E5391" s="25" t="n">
        <x:v>40865.24722222222</x:v>
      </x:c>
      <x:c r="F5391" s="2" t="n">
        <x:v>22</x:v>
      </x:c>
      <x:c r="G5391" s="2" t="n">
        <x:v>6</x:v>
      </x:c>
      <x:c r="H5391" s="11" t="n">
        <x:v>746.39</x:v>
      </x:c>
      <x:c r="I5391" s="2" t="n">
        <x:v>4</x:v>
      </x:c>
      <x:c r="J5391" s="2" t="n">
        <x:v>4</x:v>
      </x:c>
      <x:c r="K5391" s="2" t="n">
        <x:v>3</x:v>
      </x:c>
      <x:c r="L5391" s="2" t="str">
        <x:v>Loyal</x:v>
      </x:c>
    </x:row>
    <x:row r="5392" ht="22" customHeight="1">
      <x:c r="A5392" s="2"/>
      <x:c r="B5392" s="2" t="str">
        <x:v>17761</x:v>
      </x:c>
      <x:c r="C5392" s="2" t="str">
        <x:v>United Kingdom</x:v>
      </x:c>
      <x:c r="D5392" s="25" t="n">
        <x:v>40854.22430555556</x:v>
      </x:c>
      <x:c r="E5392" s="25" t="n">
        <x:v>40854.22430555556</x:v>
      </x:c>
      <x:c r="F5392" s="2" t="n">
        <x:v>33</x:v>
      </x:c>
      <x:c r="G5392" s="2" t="n">
        <x:v>1</x:v>
      </x:c>
      <x:c r="H5392" s="11" t="n">
        <x:v>712.78</x:v>
      </x:c>
      <x:c r="I5392" s="2" t="n">
        <x:v>4</x:v>
      </x:c>
      <x:c r="J5392" s="2" t="n">
        <x:v>1</x:v>
      </x:c>
      <x:c r="K5392" s="2" t="n">
        <x:v>3</x:v>
      </x:c>
      <x:c r="L5392" s="2" t="str">
        <x:v>Recent light buyers</x:v>
      </x:c>
    </x:row>
    <x:row r="5393" ht="22" customHeight="1">
      <x:c r="A5393" s="2"/>
      <x:c r="B5393" s="2" t="str">
        <x:v>17762</x:v>
      </x:c>
      <x:c r="C5393" s="2" t="str">
        <x:v>United Kingdom</x:v>
      </x:c>
      <x:c r="D5393" s="25" t="n">
        <x:v>40430.52777777778</x:v>
      </x:c>
      <x:c r="E5393" s="25" t="n">
        <x:v>40430.52777777778</x:v>
      </x:c>
      <x:c r="F5393" s="2" t="n">
        <x:v>457</x:v>
      </x:c>
      <x:c r="G5393" s="2" t="n">
        <x:v>1</x:v>
      </x:c>
      <x:c r="H5393" s="11" t="n">
        <x:v>129.75</x:v>
      </x:c>
      <x:c r="I5393" s="2" t="n">
        <x:v>1</x:v>
      </x:c>
      <x:c r="J5393" s="2" t="n">
        <x:v>1</x:v>
      </x:c>
      <x:c r="K5393" s="2" t="n">
        <x:v>1</x:v>
      </x:c>
      <x:c r="L5393" s="2" t="str">
        <x:v>Hibernating</x:v>
      </x:c>
    </x:row>
    <x:row r="5394" ht="22" customHeight="1">
      <x:c r="A5394" s="2"/>
      <x:c r="B5394" s="2" t="str">
        <x:v>17763</x:v>
      </x:c>
      <x:c r="C5394" s="2" t="str">
        <x:v>United Kingdom</x:v>
      </x:c>
      <x:c r="D5394" s="25" t="n">
        <x:v>40227.39722222222</x:v>
      </x:c>
      <x:c r="E5394" s="25" t="n">
        <x:v>40623.39236111111</x:v>
      </x:c>
      <x:c r="F5394" s="2" t="n">
        <x:v>264</x:v>
      </x:c>
      <x:c r="G5394" s="2" t="n">
        <x:v>4</x:v>
      </x:c>
      <x:c r="H5394" s="11" t="n">
        <x:v>86.15</x:v>
      </x:c>
      <x:c r="I5394" s="2" t="n">
        <x:v>2</x:v>
      </x:c>
      <x:c r="J5394" s="2" t="n">
        <x:v>3</x:v>
      </x:c>
      <x:c r="K5394" s="2" t="n">
        <x:v>1</x:v>
      </x:c>
      <x:c r="L5394" s="2" t="str">
        <x:v>At risk</x:v>
      </x:c>
    </x:row>
    <x:row r="5395" ht="22" customHeight="1">
      <x:c r="A5395" s="2"/>
      <x:c r="B5395" s="2" t="str">
        <x:v>17764</x:v>
      </x:c>
      <x:c r="C5395" s="2" t="str">
        <x:v>United Kingdom</x:v>
      </x:c>
      <x:c r="D5395" s="25" t="n">
        <x:v>40150.39444444444</x:v>
      </x:c>
      <x:c r="E5395" s="25" t="n">
        <x:v>40836.25208333333</x:v>
      </x:c>
      <x:c r="F5395" s="2" t="n">
        <x:v>51</x:v>
      </x:c>
      <x:c r="G5395" s="2" t="n">
        <x:v>5</x:v>
      </x:c>
      <x:c r="H5395" s="11" t="n">
        <x:v>1623.64</x:v>
      </x:c>
      <x:c r="I5395" s="2" t="n">
        <x:v>4</x:v>
      </x:c>
      <x:c r="J5395" s="2" t="n">
        <x:v>4</x:v>
      </x:c>
      <x:c r="K5395" s="2" t="n">
        <x:v>4</x:v>
      </x:c>
      <x:c r="L5395" s="2" t="str">
        <x:v>Champions</x:v>
      </x:c>
    </x:row>
    <x:row r="5396" ht="22" customHeight="1">
      <x:c r="A5396" s="2"/>
      <x:c r="B5396" s="2" t="str">
        <x:v>17765</x:v>
      </x:c>
      <x:c r="C5396" s="2" t="str">
        <x:v>United Kingdom</x:v>
      </x:c>
      <x:c r="D5396" s="25" t="n">
        <x:v>40438.322916666664</x:v>
      </x:c>
      <x:c r="E5396" s="25" t="n">
        <x:v>40728.32013888889</x:v>
      </x:c>
      <x:c r="F5396" s="2" t="n">
        <x:v>159</x:v>
      </x:c>
      <x:c r="G5396" s="2" t="n">
        <x:v>4</x:v>
      </x:c>
      <x:c r="H5396" s="11" t="n">
        <x:v>530.8</x:v>
      </x:c>
      <x:c r="I5396" s="2" t="n">
        <x:v>3</x:v>
      </x:c>
      <x:c r="J5396" s="2" t="n">
        <x:v>3</x:v>
      </x:c>
      <x:c r="K5396" s="2" t="n">
        <x:v>2</x:v>
      </x:c>
      <x:c r="L5396" s="2" t="str">
        <x:v>Loyal</x:v>
      </x:c>
    </x:row>
    <x:row r="5397" ht="22" customHeight="1">
      <x:c r="A5397" s="2"/>
      <x:c r="B5397" s="2" t="str">
        <x:v>17766</x:v>
      </x:c>
      <x:c r="C5397" s="2" t="str">
        <x:v>United Kingdom</x:v>
      </x:c>
      <x:c r="D5397" s="25" t="n">
        <x:v>40505.38680555556</x:v>
      </x:c>
      <x:c r="E5397" s="25" t="n">
        <x:v>40505.39513888889</x:v>
      </x:c>
      <x:c r="F5397" s="2" t="n">
        <x:v>382</x:v>
      </x:c>
      <x:c r="G5397" s="2" t="n">
        <x:v>2</x:v>
      </x:c>
      <x:c r="H5397" s="11" t="n">
        <x:v>299.61</x:v>
      </x:c>
      <x:c r="I5397" s="2" t="n">
        <x:v>2</x:v>
      </x:c>
      <x:c r="J5397" s="2" t="n">
        <x:v>2</x:v>
      </x:c>
      <x:c r="K5397" s="2" t="n">
        <x:v>2</x:v>
      </x:c>
      <x:c r="L5397" s="2" t="str">
        <x:v>Hibernating</x:v>
      </x:c>
    </x:row>
    <x:row r="5398" ht="22" customHeight="1">
      <x:c r="A5398" s="2"/>
      <x:c r="B5398" s="2" t="str">
        <x:v>17767</x:v>
      </x:c>
      <x:c r="C5398" s="2" t="str">
        <x:v>United Kingdom</x:v>
      </x:c>
      <x:c r="D5398" s="25" t="n">
        <x:v>40476.47361111111</x:v>
      </x:c>
      <x:c r="E5398" s="25" t="n">
        <x:v>40871.40416666667</x:v>
      </x:c>
      <x:c r="F5398" s="2" t="n">
        <x:v>16</x:v>
      </x:c>
      <x:c r="G5398" s="2" t="n">
        <x:v>2</x:v>
      </x:c>
      <x:c r="H5398" s="11" t="n">
        <x:v>413.05</x:v>
      </x:c>
      <x:c r="I5398" s="2" t="n">
        <x:v>5</x:v>
      </x:c>
      <x:c r="J5398" s="2" t="n">
        <x:v>2</x:v>
      </x:c>
      <x:c r="K5398" s="2" t="n">
        <x:v>2</x:v>
      </x:c>
      <x:c r="L5398" s="2" t="str">
        <x:v>Recent light buyers</x:v>
      </x:c>
    </x:row>
    <x:row r="5399" ht="22" customHeight="1">
      <x:c r="A5399" s="2"/>
      <x:c r="B5399" s="2" t="str">
        <x:v>17768</x:v>
      </x:c>
      <x:c r="C5399" s="2" t="str">
        <x:v>United Kingdom</x:v>
      </x:c>
      <x:c r="D5399" s="25" t="n">
        <x:v>40149.30972222222</x:v>
      </x:c>
      <x:c r="E5399" s="25" t="n">
        <x:v>40878.34861111111</x:v>
      </x:c>
      <x:c r="F5399" s="2" t="n">
        <x:v>9</x:v>
      </x:c>
      <x:c r="G5399" s="2" t="n">
        <x:v>7</x:v>
      </x:c>
      <x:c r="H5399" s="11" t="n">
        <x:v>3509.51</x:v>
      </x:c>
      <x:c r="I5399" s="2" t="n">
        <x:v>5</x:v>
      </x:c>
      <x:c r="J5399" s="2" t="n">
        <x:v>4</x:v>
      </x:c>
      <x:c r="K5399" s="2" t="n">
        <x:v>5</x:v>
      </x:c>
      <x:c r="L5399" s="2" t="str">
        <x:v>Champions</x:v>
      </x:c>
    </x:row>
    <x:row r="5400" ht="22" customHeight="1">
      <x:c r="A5400" s="2"/>
      <x:c r="B5400" s="2" t="str">
        <x:v>17769</x:v>
      </x:c>
      <x:c r="C5400" s="2" t="str">
        <x:v>United Kingdom</x:v>
      </x:c>
      <x:c r="D5400" s="25" t="n">
        <x:v>40197.27291666667</x:v>
      </x:c>
      <x:c r="E5400" s="25" t="n">
        <x:v>40874.2625</x:v>
      </x:c>
      <x:c r="F5400" s="2" t="n">
        <x:v>13</x:v>
      </x:c>
      <x:c r="G5400" s="2" t="n">
        <x:v>17</x:v>
      </x:c>
      <x:c r="H5400" s="11" t="n">
        <x:v>7103.08</x:v>
      </x:c>
      <x:c r="I5400" s="2" t="n">
        <x:v>5</x:v>
      </x:c>
      <x:c r="J5400" s="2" t="n">
        <x:v>5</x:v>
      </x:c>
      <x:c r="K5400" s="2" t="n">
        <x:v>5</x:v>
      </x:c>
      <x:c r="L5400" s="2" t="str">
        <x:v>Champions</x:v>
      </x:c>
    </x:row>
    <x:row r="5401" ht="22" customHeight="1">
      <x:c r="A5401" s="2"/>
      <x:c r="B5401" s="2" t="str">
        <x:v>17770</x:v>
      </x:c>
      <x:c r="C5401" s="2" t="str">
        <x:v>United Kingdom</x:v>
      </x:c>
      <x:c r="D5401" s="25" t="n">
        <x:v>40604.35763888889</x:v>
      </x:c>
      <x:c r="E5401" s="25" t="n">
        <x:v>40688.31527777778</x:v>
      </x:c>
      <x:c r="F5401" s="2" t="n">
        <x:v>199</x:v>
      </x:c>
      <x:c r="G5401" s="2" t="n">
        <x:v>5</x:v>
      </x:c>
      <x:c r="H5401" s="11" t="n">
        <x:v>1143.27</x:v>
      </x:c>
      <x:c r="I5401" s="2" t="n">
        <x:v>2</x:v>
      </x:c>
      <x:c r="J5401" s="2" t="n">
        <x:v>4</x:v>
      </x:c>
      <x:c r="K5401" s="2" t="n">
        <x:v>3</x:v>
      </x:c>
      <x:c r="L5401" s="2" t="str">
        <x:v>At risk</x:v>
      </x:c>
    </x:row>
    <x:row r="5402" ht="22" customHeight="1">
      <x:c r="A5402" s="2"/>
      <x:c r="B5402" s="2" t="str">
        <x:v>17771</x:v>
      </x:c>
      <x:c r="C5402" s="2" t="str">
        <x:v>United Kingdom</x:v>
      </x:c>
      <x:c r="D5402" s="25" t="n">
        <x:v>40297.347916666666</x:v>
      </x:c>
      <x:c r="E5402" s="25" t="n">
        <x:v>40830.279861111114</x:v>
      </x:c>
      <x:c r="F5402" s="2" t="n">
        <x:v>57</x:v>
      </x:c>
      <x:c r="G5402" s="2" t="n">
        <x:v>4</x:v>
      </x:c>
      <x:c r="H5402" s="11" t="n">
        <x:v>387.41</x:v>
      </x:c>
      <x:c r="I5402" s="2" t="n">
        <x:v>4</x:v>
      </x:c>
      <x:c r="J5402" s="2" t="n">
        <x:v>3</x:v>
      </x:c>
      <x:c r="K5402" s="2" t="n">
        <x:v>2</x:v>
      </x:c>
      <x:c r="L5402" s="2" t="str">
        <x:v>Loyal</x:v>
      </x:c>
    </x:row>
    <x:row r="5403" ht="22" customHeight="1">
      <x:c r="A5403" s="2"/>
      <x:c r="B5403" s="2" t="str">
        <x:v>17772</x:v>
      </x:c>
      <x:c r="C5403" s="2" t="str">
        <x:v>United Kingdom</x:v>
      </x:c>
      <x:c r="D5403" s="25" t="n">
        <x:v>40494.271527777775</x:v>
      </x:c>
      <x:c r="E5403" s="25" t="n">
        <x:v>40876.25347222222</x:v>
      </x:c>
      <x:c r="F5403" s="2" t="n">
        <x:v>11</x:v>
      </x:c>
      <x:c r="G5403" s="2" t="n">
        <x:v>3</x:v>
      </x:c>
      <x:c r="H5403" s="11" t="n">
        <x:v>384.77</x:v>
      </x:c>
      <x:c r="I5403" s="2" t="n">
        <x:v>5</x:v>
      </x:c>
      <x:c r="J5403" s="2" t="n">
        <x:v>3</x:v>
      </x:c>
      <x:c r="K5403" s="2" t="n">
        <x:v>2</x:v>
      </x:c>
      <x:c r="L5403" s="2" t="str">
        <x:v>Loyal</x:v>
      </x:c>
    </x:row>
    <x:row r="5404" ht="22" customHeight="1">
      <x:c r="A5404" s="2"/>
      <x:c r="B5404" s="2" t="str">
        <x:v>17773</x:v>
      </x:c>
      <x:c r="C5404" s="2" t="str">
        <x:v>United Kingdom</x:v>
      </x:c>
      <x:c r="D5404" s="25" t="n">
        <x:v>40196.39722222222</x:v>
      </x:c>
      <x:c r="E5404" s="25" t="n">
        <x:v>40372.37986111111</x:v>
      </x:c>
      <x:c r="F5404" s="2" t="n">
        <x:v>515</x:v>
      </x:c>
      <x:c r="G5404" s="2" t="n">
        <x:v>2</x:v>
      </x:c>
      <x:c r="H5404" s="11" t="n">
        <x:v>585.27</x:v>
      </x:c>
      <x:c r="I5404" s="2" t="n">
        <x:v>1</x:v>
      </x:c>
      <x:c r="J5404" s="2" t="n">
        <x:v>2</x:v>
      </x:c>
      <x:c r="K5404" s="2" t="n">
        <x:v>2</x:v>
      </x:c>
      <x:c r="L5404" s="2" t="str">
        <x:v>Hibernating</x:v>
      </x:c>
    </x:row>
    <x:row r="5405" ht="22" customHeight="1">
      <x:c r="A5405" s="2"/>
      <x:c r="B5405" s="2" t="str">
        <x:v>17774</x:v>
      </x:c>
      <x:c r="C5405" s="2" t="str">
        <x:v>United Kingdom</x:v>
      </x:c>
      <x:c r="D5405" s="25" t="n">
        <x:v>40217.4625</x:v>
      </x:c>
      <x:c r="E5405" s="25" t="n">
        <x:v>40790.325694444444</x:v>
      </x:c>
      <x:c r="F5405" s="2" t="n">
        <x:v>97</x:v>
      </x:c>
      <x:c r="G5405" s="2" t="n">
        <x:v>9</x:v>
      </x:c>
      <x:c r="H5405" s="11" t="n">
        <x:v>3328.05</x:v>
      </x:c>
      <x:c r="I5405" s="2" t="n">
        <x:v>3</x:v>
      </x:c>
      <x:c r="J5405" s="2" t="n">
        <x:v>5</x:v>
      </x:c>
      <x:c r="K5405" s="2" t="n">
        <x:v>5</x:v>
      </x:c>
      <x:c r="L5405" s="2" t="str">
        <x:v>Loyal</x:v>
      </x:c>
    </x:row>
    <x:row r="5406" ht="22" customHeight="1">
      <x:c r="A5406" s="2"/>
      <x:c r="B5406" s="2" t="str">
        <x:v>17775</x:v>
      </x:c>
      <x:c r="C5406" s="2" t="str">
        <x:v>United Kingdom</x:v>
      </x:c>
      <x:c r="D5406" s="25" t="n">
        <x:v>40632.243055555555</x:v>
      </x:c>
      <x:c r="E5406" s="25" t="n">
        <x:v>40632.243055555555</x:v>
      </x:c>
      <x:c r="F5406" s="2" t="n">
        <x:v>255</x:v>
      </x:c>
      <x:c r="G5406" s="2" t="n">
        <x:v>1</x:v>
      </x:c>
      <x:c r="H5406" s="11" t="n">
        <x:v>56.4</x:v>
      </x:c>
      <x:c r="I5406" s="2" t="n">
        <x:v>2</x:v>
      </x:c>
      <x:c r="J5406" s="2" t="n">
        <x:v>1</x:v>
      </x:c>
      <x:c r="K5406" s="2" t="n">
        <x:v>1</x:v>
      </x:c>
      <x:c r="L5406" s="2" t="str">
        <x:v>Hibernating</x:v>
      </x:c>
    </x:row>
    <x:row r="5407" ht="22" customHeight="1">
      <x:c r="A5407" s="2"/>
      <x:c r="B5407" s="2" t="str">
        <x:v>17776</x:v>
      </x:c>
      <x:c r="C5407" s="2" t="str">
        <x:v>United Kingdom</x:v>
      </x:c>
      <x:c r="D5407" s="25" t="n">
        <x:v>40163.415972222225</x:v>
      </x:c>
      <x:c r="E5407" s="25" t="n">
        <x:v>40500.30138888889</x:v>
      </x:c>
      <x:c r="F5407" s="2" t="n">
        <x:v>387</x:v>
      </x:c>
      <x:c r="G5407" s="2" t="n">
        <x:v>2</x:v>
      </x:c>
      <x:c r="H5407" s="11" t="n">
        <x:v>338.56</x:v>
      </x:c>
      <x:c r="I5407" s="2" t="n">
        <x:v>2</x:v>
      </x:c>
      <x:c r="J5407" s="2" t="n">
        <x:v>2</x:v>
      </x:c>
      <x:c r="K5407" s="2" t="n">
        <x:v>2</x:v>
      </x:c>
      <x:c r="L5407" s="2" t="str">
        <x:v>Hibernating</x:v>
      </x:c>
    </x:row>
    <x:row r="5408" ht="22" customHeight="1">
      <x:c r="A5408" s="2"/>
      <x:c r="B5408" s="2" t="str">
        <x:v>17777</x:v>
      </x:c>
      <x:c r="C5408" s="2" t="str">
        <x:v>United Kingdom</x:v>
      </x:c>
      <x:c r="D5408" s="25" t="n">
        <x:v>40786.399305555555</x:v>
      </x:c>
      <x:c r="E5408" s="25" t="n">
        <x:v>40862.29305555556</x:v>
      </x:c>
      <x:c r="F5408" s="2" t="n">
        <x:v>25</x:v>
      </x:c>
      <x:c r="G5408" s="2" t="n">
        <x:v>3</x:v>
      </x:c>
      <x:c r="H5408" s="11" t="n">
        <x:v>665.86</x:v>
      </x:c>
      <x:c r="I5408" s="2" t="n">
        <x:v>4</x:v>
      </x:c>
      <x:c r="J5408" s="2" t="n">
        <x:v>3</x:v>
      </x:c>
      <x:c r="K5408" s="2" t="n">
        <x:v>3</x:v>
      </x:c>
      <x:c r="L5408" s="2" t="str">
        <x:v>Loyal</x:v>
      </x:c>
    </x:row>
    <x:row r="5409" ht="22" customHeight="1">
      <x:c r="A5409" s="2"/>
      <x:c r="B5409" s="2" t="str">
        <x:v>17778</x:v>
      </x:c>
      <x:c r="C5409" s="2" t="str">
        <x:v>United Kingdom</x:v>
      </x:c>
      <x:c r="D5409" s="25" t="n">
        <x:v>40225.322222222225</x:v>
      </x:c>
      <x:c r="E5409" s="25" t="n">
        <x:v>40225.322222222225</x:v>
      </x:c>
      <x:c r="F5409" s="2" t="n">
        <x:v>662</x:v>
      </x:c>
      <x:c r="G5409" s="2" t="n">
        <x:v>1</x:v>
      </x:c>
      <x:c r="H5409" s="11" t="n">
        <x:v>197.7</x:v>
      </x:c>
      <x:c r="I5409" s="2" t="n">
        <x:v>1</x:v>
      </x:c>
      <x:c r="J5409" s="2" t="n">
        <x:v>1</x:v>
      </x:c>
      <x:c r="K5409" s="2" t="n">
        <x:v>1</x:v>
      </x:c>
      <x:c r="L5409" s="2" t="str">
        <x:v>Hibernating</x:v>
      </x:c>
    </x:row>
    <x:row r="5410" ht="22" customHeight="1">
      <x:c r="A5410" s="2"/>
      <x:c r="B5410" s="2" t="str">
        <x:v>17779</x:v>
      </x:c>
      <x:c r="C5410" s="2" t="str">
        <x:v>United Kingdom</x:v>
      </x:c>
      <x:c r="D5410" s="25" t="n">
        <x:v>40743.30486111111</x:v>
      </x:c>
      <x:c r="E5410" s="25" t="n">
        <x:v>40865.385416666664</x:v>
      </x:c>
      <x:c r="F5410" s="2" t="n">
        <x:v>22</x:v>
      </x:c>
      <x:c r="G5410" s="2" t="n">
        <x:v>3</x:v>
      </x:c>
      <x:c r="H5410" s="11" t="n">
        <x:v>658.57</x:v>
      </x:c>
      <x:c r="I5410" s="2" t="n">
        <x:v>4</x:v>
      </x:c>
      <x:c r="J5410" s="2" t="n">
        <x:v>3</x:v>
      </x:c>
      <x:c r="K5410" s="2" t="n">
        <x:v>3</x:v>
      </x:c>
      <x:c r="L5410" s="2" t="str">
        <x:v>Loyal</x:v>
      </x:c>
    </x:row>
    <x:row r="5411" ht="22" customHeight="1">
      <x:c r="A5411" s="2"/>
      <x:c r="B5411" s="2" t="str">
        <x:v>17780</x:v>
      </x:c>
      <x:c r="C5411" s="2" t="str">
        <x:v>United Kingdom</x:v>
      </x:c>
      <x:c r="D5411" s="25" t="n">
        <x:v>40202.26458333333</x:v>
      </x:c>
      <x:c r="E5411" s="25" t="n">
        <x:v>40219.36319444444</x:v>
      </x:c>
      <x:c r="F5411" s="2" t="n">
        <x:v>668</x:v>
      </x:c>
      <x:c r="G5411" s="2" t="n">
        <x:v>3</x:v>
      </x:c>
      <x:c r="H5411" s="11" t="n">
        <x:v>352.91</x:v>
      </x:c>
      <x:c r="I5411" s="2" t="n">
        <x:v>1</x:v>
      </x:c>
      <x:c r="J5411" s="2" t="n">
        <x:v>3</x:v>
      </x:c>
      <x:c r="K5411" s="2" t="n">
        <x:v>2</x:v>
      </x:c>
      <x:c r="L5411" s="2" t="str">
        <x:v>At risk</x:v>
      </x:c>
    </x:row>
    <x:row r="5412" ht="22" customHeight="1">
      <x:c r="A5412" s="2"/>
      <x:c r="B5412" s="2" t="str">
        <x:v>17781</x:v>
      </x:c>
      <x:c r="C5412" s="2" t="str">
        <x:v>United Kingdom</x:v>
      </x:c>
      <x:c r="D5412" s="25" t="n">
        <x:v>40633.620833333334</x:v>
      </x:c>
      <x:c r="E5412" s="25" t="n">
        <x:v>40727.458333333336</x:v>
      </x:c>
      <x:c r="F5412" s="2" t="n">
        <x:v>160</x:v>
      </x:c>
      <x:c r="G5412" s="2" t="n">
        <x:v>2</x:v>
      </x:c>
      <x:c r="H5412" s="11" t="n">
        <x:v>188.02</x:v>
      </x:c>
      <x:c r="I5412" s="2" t="n">
        <x:v>3</x:v>
      </x:c>
      <x:c r="J5412" s="2" t="n">
        <x:v>2</x:v>
      </x:c>
      <x:c r="K5412" s="2" t="n">
        <x:v>1</x:v>
      </x:c>
      <x:c r="L5412" s="2" t="str">
        <x:v>Developing</x:v>
      </x:c>
    </x:row>
    <x:row r="5413" ht="22" customHeight="1">
      <x:c r="A5413" s="2"/>
      <x:c r="B5413" s="2" t="str">
        <x:v>17782</x:v>
      </x:c>
      <x:c r="C5413" s="2" t="str">
        <x:v>United Kingdom</x:v>
      </x:c>
      <x:c r="D5413" s="25" t="n">
        <x:v>40504.21041666667</x:v>
      </x:c>
      <x:c r="E5413" s="25" t="n">
        <x:v>40504.260416666664</x:v>
      </x:c>
      <x:c r="F5413" s="2" t="n">
        <x:v>383</x:v>
      </x:c>
      <x:c r="G5413" s="2" t="n">
        <x:v>2</x:v>
      </x:c>
      <x:c r="H5413" s="11" t="n">
        <x:v>679.02</x:v>
      </x:c>
      <x:c r="I5413" s="2" t="n">
        <x:v>2</x:v>
      </x:c>
      <x:c r="J5413" s="2" t="n">
        <x:v>2</x:v>
      </x:c>
      <x:c r="K5413" s="2" t="n">
        <x:v>3</x:v>
      </x:c>
      <x:c r="L5413" s="2" t="str">
        <x:v>Hibernating</x:v>
      </x:c>
    </x:row>
    <x:row r="5414" ht="22" customHeight="1">
      <x:c r="A5414" s="2"/>
      <x:c r="B5414" s="2" t="str">
        <x:v>17783</x:v>
      </x:c>
      <x:c r="C5414" s="2" t="str">
        <x:v>United Kingdom</x:v>
      </x:c>
      <x:c r="D5414" s="25" t="n">
        <x:v>40374.32638888889</x:v>
      </x:c>
      <x:c r="E5414" s="25" t="n">
        <x:v>40814.46319444444</x:v>
      </x:c>
      <x:c r="F5414" s="2" t="n">
        <x:v>73</x:v>
      </x:c>
      <x:c r="G5414" s="2" t="n">
        <x:v>3</x:v>
      </x:c>
      <x:c r="H5414" s="11" t="n">
        <x:v>379.91</x:v>
      </x:c>
      <x:c r="I5414" s="2" t="n">
        <x:v>3</x:v>
      </x:c>
      <x:c r="J5414" s="2" t="n">
        <x:v>3</x:v>
      </x:c>
      <x:c r="K5414" s="2" t="n">
        <x:v>2</x:v>
      </x:c>
      <x:c r="L5414" s="2" t="str">
        <x:v>Loyal</x:v>
      </x:c>
    </x:row>
    <x:row r="5415" ht="22" customHeight="1">
      <x:c r="A5415" s="2"/>
      <x:c r="B5415" s="2" t="str">
        <x:v>17784</x:v>
      </x:c>
      <x:c r="C5415" s="2" t="str">
        <x:v>United Kingdom</x:v>
      </x:c>
      <x:c r="D5415" s="25" t="n">
        <x:v>40336.46388888889</x:v>
      </x:c>
      <x:c r="E5415" s="25" t="n">
        <x:v>40336.46388888889</x:v>
      </x:c>
      <x:c r="F5415" s="2" t="n">
        <x:v>551</x:v>
      </x:c>
      <x:c r="G5415" s="2" t="n">
        <x:v>1</x:v>
      </x:c>
      <x:c r="H5415" s="11" t="n">
        <x:v>112.86</x:v>
      </x:c>
      <x:c r="I5415" s="2" t="n">
        <x:v>1</x:v>
      </x:c>
      <x:c r="J5415" s="2" t="n">
        <x:v>1</x:v>
      </x:c>
      <x:c r="K5415" s="2" t="n">
        <x:v>1</x:v>
      </x:c>
      <x:c r="L5415" s="2" t="str">
        <x:v>Hibernating</x:v>
      </x:c>
    </x:row>
    <x:row r="5416" ht="22" customHeight="1">
      <x:c r="A5416" s="2"/>
      <x:c r="B5416" s="2" t="str">
        <x:v>17785</x:v>
      </x:c>
      <x:c r="C5416" s="2" t="str">
        <x:v>United Kingdom</x:v>
      </x:c>
      <x:c r="D5416" s="25" t="n">
        <x:v>40321.334027777775</x:v>
      </x:c>
      <x:c r="E5416" s="25" t="n">
        <x:v>40833.36319444444</x:v>
      </x:c>
      <x:c r="F5416" s="2" t="n">
        <x:v>54</x:v>
      </x:c>
      <x:c r="G5416" s="2" t="n">
        <x:v>3</x:v>
      </x:c>
      <x:c r="H5416" s="11" t="n">
        <x:v>403.38</x:v>
      </x:c>
      <x:c r="I5416" s="2" t="n">
        <x:v>4</x:v>
      </x:c>
      <x:c r="J5416" s="2" t="n">
        <x:v>3</x:v>
      </x:c>
      <x:c r="K5416" s="2" t="n">
        <x:v>2</x:v>
      </x:c>
      <x:c r="L5416" s="2" t="str">
        <x:v>Loyal</x:v>
      </x:c>
    </x:row>
    <x:row r="5417" ht="22" customHeight="1">
      <x:c r="A5417" s="2"/>
      <x:c r="B5417" s="2" t="str">
        <x:v>17786</x:v>
      </x:c>
      <x:c r="C5417" s="2" t="str">
        <x:v>United Kingdom</x:v>
      </x:c>
      <x:c r="D5417" s="25" t="n">
        <x:v>40569.399305555555</x:v>
      </x:c>
      <x:c r="E5417" s="25" t="n">
        <x:v>40801.32708333333</x:v>
      </x:c>
      <x:c r="F5417" s="2" t="n">
        <x:v>86</x:v>
      </x:c>
      <x:c r="G5417" s="2" t="n">
        <x:v>2</x:v>
      </x:c>
      <x:c r="H5417" s="11" t="n">
        <x:v>278.74</x:v>
      </x:c>
      <x:c r="I5417" s="2" t="n">
        <x:v>3</x:v>
      </x:c>
      <x:c r="J5417" s="2" t="n">
        <x:v>2</x:v>
      </x:c>
      <x:c r="K5417" s="2" t="n">
        <x:v>1</x:v>
      </x:c>
      <x:c r="L5417" s="2" t="str">
        <x:v>Developing</x:v>
      </x:c>
    </x:row>
    <x:row r="5418" ht="22" customHeight="1">
      <x:c r="A5418" s="2"/>
      <x:c r="B5418" s="2" t="str">
        <x:v>17787</x:v>
      </x:c>
      <x:c r="C5418" s="2" t="str">
        <x:v>United Kingdom</x:v>
      </x:c>
      <x:c r="D5418" s="25" t="n">
        <x:v>40515.36319444444</x:v>
      </x:c>
      <x:c r="E5418" s="25" t="n">
        <x:v>40734.26666666667</x:v>
      </x:c>
      <x:c r="F5418" s="2" t="n">
        <x:v>153</x:v>
      </x:c>
      <x:c r="G5418" s="2" t="n">
        <x:v>4</x:v>
      </x:c>
      <x:c r="H5418" s="11" t="n">
        <x:v>1865.19</x:v>
      </x:c>
      <x:c r="I5418" s="2" t="n">
        <x:v>3</x:v>
      </x:c>
      <x:c r="J5418" s="2" t="n">
        <x:v>3</x:v>
      </x:c>
      <x:c r="K5418" s="2" t="n">
        <x:v>4</x:v>
      </x:c>
      <x:c r="L5418" s="2" t="str">
        <x:v>Loyal</x:v>
      </x:c>
    </x:row>
    <x:row r="5419" ht="22" customHeight="1">
      <x:c r="A5419" s="2"/>
      <x:c r="B5419" s="2" t="str">
        <x:v>17788</x:v>
      </x:c>
      <x:c r="C5419" s="2" t="str">
        <x:v>United Kingdom</x:v>
      </x:c>
      <x:c r="D5419" s="25" t="n">
        <x:v>40757.23472222222</x:v>
      </x:c>
      <x:c r="E5419" s="25" t="n">
        <x:v>40813.214583333334</x:v>
      </x:c>
      <x:c r="F5419" s="2" t="n">
        <x:v>74</x:v>
      </x:c>
      <x:c r="G5419" s="2" t="n">
        <x:v>2</x:v>
      </x:c>
      <x:c r="H5419" s="11" t="n">
        <x:v>1117.9</x:v>
      </x:c>
      <x:c r="I5419" s="2" t="n">
        <x:v>3</x:v>
      </x:c>
      <x:c r="J5419" s="2" t="n">
        <x:v>2</x:v>
      </x:c>
      <x:c r="K5419" s="2" t="n">
        <x:v>3</x:v>
      </x:c>
      <x:c r="L5419" s="2" t="str">
        <x:v>Developing</x:v>
      </x:c>
    </x:row>
    <x:row r="5420" ht="22" customHeight="1">
      <x:c r="A5420" s="2"/>
      <x:c r="B5420" s="2" t="str">
        <x:v>17789</x:v>
      </x:c>
      <x:c r="C5420" s="2" t="str">
        <x:v>United Kingdom</x:v>
      </x:c>
      <x:c r="D5420" s="25" t="n">
        <x:v>40225.34444444445</x:v>
      </x:c>
      <x:c r="E5420" s="25" t="n">
        <x:v>40605.34305555555</x:v>
      </x:c>
      <x:c r="F5420" s="2" t="n">
        <x:v>282</x:v>
      </x:c>
      <x:c r="G5420" s="2" t="n">
        <x:v>2</x:v>
      </x:c>
      <x:c r="H5420" s="11" t="n">
        <x:v>397.15</x:v>
      </x:c>
      <x:c r="I5420" s="2" t="n">
        <x:v>2</x:v>
      </x:c>
      <x:c r="J5420" s="2" t="n">
        <x:v>2</x:v>
      </x:c>
      <x:c r="K5420" s="2" t="n">
        <x:v>2</x:v>
      </x:c>
      <x:c r="L5420" s="2" t="str">
        <x:v>Hibernating</x:v>
      </x:c>
    </x:row>
    <x:row r="5421" ht="22" customHeight="1">
      <x:c r="A5421" s="2"/>
      <x:c r="B5421" s="2" t="str">
        <x:v>17790</x:v>
      </x:c>
      <x:c r="C5421" s="2" t="str">
        <x:v>United Kingdom</x:v>
      </x:c>
      <x:c r="D5421" s="25" t="n">
        <x:v>40342.354166666664</x:v>
      </x:c>
      <x:c r="E5421" s="25" t="n">
        <x:v>40860.270833333336</x:v>
      </x:c>
      <x:c r="F5421" s="2" t="n">
        <x:v>27</x:v>
      </x:c>
      <x:c r="G5421" s="2" t="n">
        <x:v>20</x:v>
      </x:c>
      <x:c r="H5421" s="11" t="n">
        <x:v>2783.61</x:v>
      </x:c>
      <x:c r="I5421" s="2" t="n">
        <x:v>4</x:v>
      </x:c>
      <x:c r="J5421" s="2" t="n">
        <x:v>5</x:v>
      </x:c>
      <x:c r="K5421" s="2" t="n">
        <x:v>4</x:v>
      </x:c>
      <x:c r="L5421" s="2" t="str">
        <x:v>Champions</x:v>
      </x:c>
    </x:row>
    <x:row r="5422" ht="22" customHeight="1">
      <x:c r="A5422" s="2"/>
      <x:c r="B5422" s="2" t="str">
        <x:v>17791</x:v>
      </x:c>
      <x:c r="C5422" s="2" t="str">
        <x:v>United Kingdom</x:v>
      </x:c>
      <x:c r="D5422" s="25" t="n">
        <x:v>40857.29791666667</x:v>
      </x:c>
      <x:c r="E5422" s="25" t="n">
        <x:v>40857.29791666667</x:v>
      </x:c>
      <x:c r="F5422" s="2" t="n">
        <x:v>30</x:v>
      </x:c>
      <x:c r="G5422" s="2" t="n">
        <x:v>1</x:v>
      </x:c>
      <x:c r="H5422" s="11" t="n">
        <x:v>106.1</x:v>
      </x:c>
      <x:c r="I5422" s="2" t="n">
        <x:v>4</x:v>
      </x:c>
      <x:c r="J5422" s="2" t="n">
        <x:v>1</x:v>
      </x:c>
      <x:c r="K5422" s="2" t="n">
        <x:v>1</x:v>
      </x:c>
      <x:c r="L5422" s="2" t="str">
        <x:v>Recent light buyers</x:v>
      </x:c>
    </x:row>
    <x:row r="5423" ht="22" customHeight="1">
      <x:c r="A5423" s="2"/>
      <x:c r="B5423" s="2" t="str">
        <x:v>17792</x:v>
      </x:c>
      <x:c r="C5423" s="2" t="str">
        <x:v>United Kingdom</x:v>
      </x:c>
      <x:c r="D5423" s="25" t="n">
        <x:v>40408.33888888889</x:v>
      </x:c>
      <x:c r="E5423" s="25" t="n">
        <x:v>40419.395833333336</x:v>
      </x:c>
      <x:c r="F5423" s="2" t="n">
        <x:v>468</x:v>
      </x:c>
      <x:c r="G5423" s="2" t="n">
        <x:v>2</x:v>
      </x:c>
      <x:c r="H5423" s="11" t="n">
        <x:v>370.05</x:v>
      </x:c>
      <x:c r="I5423" s="2" t="n">
        <x:v>1</x:v>
      </x:c>
      <x:c r="J5423" s="2" t="n">
        <x:v>2</x:v>
      </x:c>
      <x:c r="K5423" s="2" t="n">
        <x:v>2</x:v>
      </x:c>
      <x:c r="L5423" s="2" t="str">
        <x:v>Hibernating</x:v>
      </x:c>
    </x:row>
    <x:row r="5424" ht="22" customHeight="1">
      <x:c r="A5424" s="2"/>
      <x:c r="B5424" s="2" t="str">
        <x:v>17793</x:v>
      </x:c>
      <x:c r="C5424" s="2" t="str">
        <x:v>United Kingdom</x:v>
      </x:c>
      <x:c r="D5424" s="25" t="n">
        <x:v>40861.39166666667</x:v>
      </x:c>
      <x:c r="E5424" s="25" t="n">
        <x:v>40861.39166666667</x:v>
      </x:c>
      <x:c r="F5424" s="2" t="n">
        <x:v>26</x:v>
      </x:c>
      <x:c r="G5424" s="2" t="n">
        <x:v>1</x:v>
      </x:c>
      <x:c r="H5424" s="11" t="n">
        <x:v>323.04</x:v>
      </x:c>
      <x:c r="I5424" s="2" t="n">
        <x:v>4</x:v>
      </x:c>
      <x:c r="J5424" s="2" t="n">
        <x:v>1</x:v>
      </x:c>
      <x:c r="K5424" s="2" t="n">
        <x:v>2</x:v>
      </x:c>
      <x:c r="L5424" s="2" t="str">
        <x:v>Recent light buyers</x:v>
      </x:c>
    </x:row>
    <x:row r="5425" ht="22" customHeight="1">
      <x:c r="A5425" s="2"/>
      <x:c r="B5425" s="2" t="str">
        <x:v>17794</x:v>
      </x:c>
      <x:c r="C5425" s="2" t="str">
        <x:v>United Kingdom</x:v>
      </x:c>
      <x:c r="D5425" s="25" t="n">
        <x:v>40198.30347222222</x:v>
      </x:c>
      <x:c r="E5425" s="25" t="n">
        <x:v>40200.22083333333</x:v>
      </x:c>
      <x:c r="F5425" s="2" t="n">
        <x:v>687</x:v>
      </x:c>
      <x:c r="G5425" s="2" t="n">
        <x:v>2</x:v>
      </x:c>
      <x:c r="H5425" s="11" t="n">
        <x:v>147.3</x:v>
      </x:c>
      <x:c r="I5425" s="2" t="n">
        <x:v>1</x:v>
      </x:c>
      <x:c r="J5425" s="2" t="n">
        <x:v>2</x:v>
      </x:c>
      <x:c r="K5425" s="2" t="n">
        <x:v>1</x:v>
      </x:c>
      <x:c r="L5425" s="2" t="str">
        <x:v>Hibernating</x:v>
      </x:c>
    </x:row>
    <x:row r="5426" ht="22" customHeight="1">
      <x:c r="A5426" s="2"/>
      <x:c r="B5426" s="2" t="str">
        <x:v>17795</x:v>
      </x:c>
      <x:c r="C5426" s="2" t="str">
        <x:v>United Kingdom</x:v>
      </x:c>
      <x:c r="D5426" s="25" t="n">
        <x:v>40622.29305555556</x:v>
      </x:c>
      <x:c r="E5426" s="25" t="n">
        <x:v>40707.316666666666</x:v>
      </x:c>
      <x:c r="F5426" s="2" t="n">
        <x:v>180</x:v>
      </x:c>
      <x:c r="G5426" s="2" t="n">
        <x:v>2</x:v>
      </x:c>
      <x:c r="H5426" s="11" t="n">
        <x:v>350.39</x:v>
      </x:c>
      <x:c r="I5426" s="2" t="n">
        <x:v>3</x:v>
      </x:c>
      <x:c r="J5426" s="2" t="n">
        <x:v>2</x:v>
      </x:c>
      <x:c r="K5426" s="2" t="n">
        <x:v>2</x:v>
      </x:c>
      <x:c r="L5426" s="2" t="str">
        <x:v>Developing</x:v>
      </x:c>
    </x:row>
    <x:row r="5427" ht="22" customHeight="1">
      <x:c r="A5427" s="2"/>
      <x:c r="B5427" s="2" t="str">
        <x:v>17796</x:v>
      </x:c>
      <x:c r="C5427" s="2" t="str">
        <x:v>United Kingdom</x:v>
      </x:c>
      <x:c r="D5427" s="25" t="n">
        <x:v>40465.35902777778</x:v>
      </x:c>
      <x:c r="E5427" s="25" t="n">
        <x:v>40846.44305555556</x:v>
      </x:c>
      <x:c r="F5427" s="2" t="n">
        <x:v>41</x:v>
      </x:c>
      <x:c r="G5427" s="2" t="n">
        <x:v>7</x:v>
      </x:c>
      <x:c r="H5427" s="11" t="n">
        <x:v>1247.34</x:v>
      </x:c>
      <x:c r="I5427" s="2" t="n">
        <x:v>4</x:v>
      </x:c>
      <x:c r="J5427" s="2" t="n">
        <x:v>4</x:v>
      </x:c>
      <x:c r="K5427" s="2" t="n">
        <x:v>4</x:v>
      </x:c>
      <x:c r="L5427" s="2" t="str">
        <x:v>Champions</x:v>
      </x:c>
    </x:row>
    <x:row r="5428" ht="22" customHeight="1">
      <x:c r="A5428" s="2"/>
      <x:c r="B5428" s="2" t="str">
        <x:v>17797</x:v>
      </x:c>
      <x:c r="C5428" s="2" t="str">
        <x:v>United Kingdom</x:v>
      </x:c>
      <x:c r="D5428" s="25" t="n">
        <x:v>40162.395833333336</x:v>
      </x:c>
      <x:c r="E5428" s="25" t="n">
        <x:v>40864.347916666666</x:v>
      </x:c>
      <x:c r="F5428" s="2" t="n">
        <x:v>23</x:v>
      </x:c>
      <x:c r="G5428" s="2" t="n">
        <x:v>8</x:v>
      </x:c>
      <x:c r="H5428" s="11" t="n">
        <x:v>1985.87</x:v>
      </x:c>
      <x:c r="I5428" s="2" t="n">
        <x:v>4</x:v>
      </x:c>
      <x:c r="J5428" s="2" t="n">
        <x:v>4</x:v>
      </x:c>
      <x:c r="K5428" s="2" t="n">
        <x:v>4</x:v>
      </x:c>
      <x:c r="L5428" s="2" t="str">
        <x:v>Champions</x:v>
      </x:c>
    </x:row>
    <x:row r="5429" ht="22" customHeight="1">
      <x:c r="A5429" s="2"/>
      <x:c r="B5429" s="2" t="str">
        <x:v>17798</x:v>
      </x:c>
      <x:c r="C5429" s="2" t="str">
        <x:v>United Kingdom</x:v>
      </x:c>
      <x:c r="D5429" s="25" t="n">
        <x:v>40305.27916666667</x:v>
      </x:c>
      <x:c r="E5429" s="25" t="n">
        <x:v>40305.27916666667</x:v>
      </x:c>
      <x:c r="F5429" s="2" t="n">
        <x:v>582</x:v>
      </x:c>
      <x:c r="G5429" s="2" t="n">
        <x:v>1</x:v>
      </x:c>
      <x:c r="H5429" s="11" t="n">
        <x:v>183.09</x:v>
      </x:c>
      <x:c r="I5429" s="2" t="n">
        <x:v>1</x:v>
      </x:c>
      <x:c r="J5429" s="2" t="n">
        <x:v>1</x:v>
      </x:c>
      <x:c r="K5429" s="2" t="n">
        <x:v>1</x:v>
      </x:c>
      <x:c r="L5429" s="2" t="str">
        <x:v>Hibernating</x:v>
      </x:c>
    </x:row>
    <x:row r="5430" ht="22" customHeight="1">
      <x:c r="A5430" s="2"/>
      <x:c r="B5430" s="2" t="str">
        <x:v>17799</x:v>
      </x:c>
      <x:c r="C5430" s="2" t="str">
        <x:v>United Kingdom</x:v>
      </x:c>
      <x:c r="D5430" s="25" t="n">
        <x:v>40160.46041666667</x:v>
      </x:c>
      <x:c r="E5430" s="25" t="n">
        <x:v>40864.427777777775</x:v>
      </x:c>
      <x:c r="F5430" s="2" t="n">
        <x:v>23</x:v>
      </x:c>
      <x:c r="G5430" s="2" t="n">
        <x:v>20</x:v>
      </x:c>
      <x:c r="H5430" s="11" t="n">
        <x:v>6341.89</x:v>
      </x:c>
      <x:c r="I5430" s="2" t="n">
        <x:v>4</x:v>
      </x:c>
      <x:c r="J5430" s="2" t="n">
        <x:v>5</x:v>
      </x:c>
      <x:c r="K5430" s="2" t="n">
        <x:v>5</x:v>
      </x:c>
      <x:c r="L5430" s="2" t="str">
        <x:v>Champions</x:v>
      </x:c>
    </x:row>
    <x:row r="5431" ht="22" customHeight="1">
      <x:c r="A5431" s="2"/>
      <x:c r="B5431" s="2" t="str">
        <x:v>17800</x:v>
      </x:c>
      <x:c r="C5431" s="2" t="str">
        <x:v>United Kingdom</x:v>
      </x:c>
      <x:c r="D5431" s="25" t="n">
        <x:v>40552.368055555555</x:v>
      </x:c>
      <x:c r="E5431" s="25" t="n">
        <x:v>40849.33125</x:v>
      </x:c>
      <x:c r="F5431" s="2" t="n">
        <x:v>38</x:v>
      </x:c>
      <x:c r="G5431" s="2" t="n">
        <x:v>9</x:v>
      </x:c>
      <x:c r="H5431" s="11" t="n">
        <x:v>1199.01</x:v>
      </x:c>
      <x:c r="I5431" s="2" t="n">
        <x:v>4</x:v>
      </x:c>
      <x:c r="J5431" s="2" t="n">
        <x:v>5</x:v>
      </x:c>
      <x:c r="K5431" s="2" t="n">
        <x:v>3</x:v>
      </x:c>
      <x:c r="L5431" s="2" t="str">
        <x:v>Loyal</x:v>
      </x:c>
    </x:row>
    <x:row r="5432" ht="22" customHeight="1">
      <x:c r="A5432" s="2"/>
      <x:c r="B5432" s="2" t="str">
        <x:v>17801</x:v>
      </x:c>
      <x:c r="C5432" s="2" t="str">
        <x:v>United Kingdom</x:v>
      </x:c>
      <x:c r="D5432" s="25" t="n">
        <x:v>40195.271527777775</x:v>
      </x:c>
      <x:c r="E5432" s="25" t="n">
        <x:v>40435.39722222222</x:v>
      </x:c>
      <x:c r="F5432" s="2" t="n">
        <x:v>452</x:v>
      </x:c>
      <x:c r="G5432" s="2" t="n">
        <x:v>3</x:v>
      </x:c>
      <x:c r="H5432" s="11" t="n">
        <x:v>798.33</x:v>
      </x:c>
      <x:c r="I5432" s="2" t="n">
        <x:v>1</x:v>
      </x:c>
      <x:c r="J5432" s="2" t="n">
        <x:v>3</x:v>
      </x:c>
      <x:c r="K5432" s="2" t="n">
        <x:v>3</x:v>
      </x:c>
      <x:c r="L5432" s="2" t="str">
        <x:v>At risk</x:v>
      </x:c>
    </x:row>
    <x:row r="5433" ht="22" customHeight="1">
      <x:c r="A5433" s="2"/>
      <x:c r="B5433" s="2" t="str">
        <x:v>17802</x:v>
      </x:c>
      <x:c r="C5433" s="2" t="str">
        <x:v>United Kingdom</x:v>
      </x:c>
      <x:c r="D5433" s="25" t="n">
        <x:v>40160.36041666667</x:v>
      </x:c>
      <x:c r="E5433" s="25" t="n">
        <x:v>40804.41388888889</x:v>
      </x:c>
      <x:c r="F5433" s="2" t="n">
        <x:v>83</x:v>
      </x:c>
      <x:c r="G5433" s="2" t="n">
        <x:v>10</x:v>
      </x:c>
      <x:c r="H5433" s="11" t="n">
        <x:v>4952.92</x:v>
      </x:c>
      <x:c r="I5433" s="2" t="n">
        <x:v>3</x:v>
      </x:c>
      <x:c r="J5433" s="2" t="n">
        <x:v>5</x:v>
      </x:c>
      <x:c r="K5433" s="2" t="n">
        <x:v>5</x:v>
      </x:c>
      <x:c r="L5433" s="2" t="str">
        <x:v>Loyal</x:v>
      </x:c>
    </x:row>
    <x:row r="5434" ht="22" customHeight="1">
      <x:c r="A5434" s="2"/>
      <x:c r="B5434" s="2" t="str">
        <x:v>17803</x:v>
      </x:c>
      <x:c r="C5434" s="2" t="str">
        <x:v>United Kingdom</x:v>
      </x:c>
      <x:c r="D5434" s="25" t="n">
        <x:v>40494.37013888889</x:v>
      </x:c>
      <x:c r="E5434" s="25" t="n">
        <x:v>40494.37013888889</x:v>
      </x:c>
      <x:c r="F5434" s="2" t="n">
        <x:v>393</x:v>
      </x:c>
      <x:c r="G5434" s="2" t="n">
        <x:v>1</x:v>
      </x:c>
      <x:c r="H5434" s="11" t="n">
        <x:v>184.66</x:v>
      </x:c>
      <x:c r="I5434" s="2" t="n">
        <x:v>2</x:v>
      </x:c>
      <x:c r="J5434" s="2" t="n">
        <x:v>1</x:v>
      </x:c>
      <x:c r="K5434" s="2" t="n">
        <x:v>1</x:v>
      </x:c>
      <x:c r="L5434" s="2" t="str">
        <x:v>Hibernating</x:v>
      </x:c>
    </x:row>
    <x:row r="5435" ht="22" customHeight="1">
      <x:c r="A5435" s="2"/>
      <x:c r="B5435" s="2" t="str">
        <x:v>17804</x:v>
      </x:c>
      <x:c r="C5435" s="2" t="str">
        <x:v>United Kingdom</x:v>
      </x:c>
      <x:c r="D5435" s="25" t="n">
        <x:v>40148.30694444444</x:v>
      </x:c>
      <x:c r="E5435" s="25" t="n">
        <x:v>40510.37569444445</x:v>
      </x:c>
      <x:c r="F5435" s="2" t="n">
        <x:v>377</x:v>
      </x:c>
      <x:c r="G5435" s="2" t="n">
        <x:v>3</x:v>
      </x:c>
      <x:c r="H5435" s="11" t="n">
        <x:v>385.23</x:v>
      </x:c>
      <x:c r="I5435" s="2" t="n">
        <x:v>2</x:v>
      </x:c>
      <x:c r="J5435" s="2" t="n">
        <x:v>3</x:v>
      </x:c>
      <x:c r="K5435" s="2" t="n">
        <x:v>2</x:v>
      </x:c>
      <x:c r="L5435" s="2" t="str">
        <x:v>At risk</x:v>
      </x:c>
    </x:row>
    <x:row r="5436" ht="22" customHeight="1">
      <x:c r="A5436" s="2"/>
      <x:c r="B5436" s="2" t="str">
        <x:v>17805</x:v>
      </x:c>
      <x:c r="C5436" s="2" t="str">
        <x:v>United Kingdom</x:v>
      </x:c>
      <x:c r="D5436" s="25" t="n">
        <x:v>40276.4</x:v>
      </x:c>
      <x:c r="E5436" s="25" t="n">
        <x:v>40813.28402777778</x:v>
      </x:c>
      <x:c r="F5436" s="2" t="n">
        <x:v>74</x:v>
      </x:c>
      <x:c r="G5436" s="2" t="n">
        <x:v>2</x:v>
      </x:c>
      <x:c r="H5436" s="11" t="n">
        <x:v>927.03</x:v>
      </x:c>
      <x:c r="I5436" s="2" t="n">
        <x:v>3</x:v>
      </x:c>
      <x:c r="J5436" s="2" t="n">
        <x:v>2</x:v>
      </x:c>
      <x:c r="K5436" s="2" t="n">
        <x:v>3</x:v>
      </x:c>
      <x:c r="L5436" s="2" t="str">
        <x:v>Developing</x:v>
      </x:c>
    </x:row>
    <x:row r="5437" ht="22" customHeight="1">
      <x:c r="A5437" s="2"/>
      <x:c r="B5437" s="2" t="str">
        <x:v>17806</x:v>
      </x:c>
      <x:c r="C5437" s="2" t="str">
        <x:v>United Kingdom</x:v>
      </x:c>
      <x:c r="D5437" s="25" t="n">
        <x:v>40875.38333333333</x:v>
      </x:c>
      <x:c r="E5437" s="25" t="n">
        <x:v>40875.38333333333</x:v>
      </x:c>
      <x:c r="F5437" s="2" t="n">
        <x:v>12</x:v>
      </x:c>
      <x:c r="G5437" s="2" t="n">
        <x:v>1</x:v>
      </x:c>
      <x:c r="H5437" s="11" t="n">
        <x:v>546.04</x:v>
      </x:c>
      <x:c r="I5437" s="2" t="n">
        <x:v>5</x:v>
      </x:c>
      <x:c r="J5437" s="2" t="n">
        <x:v>1</x:v>
      </x:c>
      <x:c r="K5437" s="2" t="n">
        <x:v>2</x:v>
      </x:c>
      <x:c r="L5437" s="2" t="str">
        <x:v>Recent light buyers</x:v>
      </x:c>
    </x:row>
    <x:row r="5438" ht="22" customHeight="1">
      <x:c r="A5438" s="2"/>
      <x:c r="B5438" s="2" t="str">
        <x:v>17807</x:v>
      </x:c>
      <x:c r="C5438" s="2" t="str">
        <x:v>United Kingdom</x:v>
      </x:c>
      <x:c r="D5438" s="25" t="n">
        <x:v>40182.375</x:v>
      </x:c>
      <x:c r="E5438" s="25" t="n">
        <x:v>40491.472916666666</x:v>
      </x:c>
      <x:c r="F5438" s="2" t="n">
        <x:v>396</x:v>
      </x:c>
      <x:c r="G5438" s="2" t="n">
        <x:v>3</x:v>
      </x:c>
      <x:c r="H5438" s="11" t="n">
        <x:v>437.87</x:v>
      </x:c>
      <x:c r="I5438" s="2" t="n">
        <x:v>2</x:v>
      </x:c>
      <x:c r="J5438" s="2" t="n">
        <x:v>3</x:v>
      </x:c>
      <x:c r="K5438" s="2" t="n">
        <x:v>2</x:v>
      </x:c>
      <x:c r="L5438" s="2" t="str">
        <x:v>At risk</x:v>
      </x:c>
    </x:row>
    <x:row r="5439" ht="22" customHeight="1">
      <x:c r="A5439" s="2"/>
      <x:c r="B5439" s="2" t="str">
        <x:v>17808</x:v>
      </x:c>
      <x:c r="C5439" s="2" t="str">
        <x:v>United Kingdom</x:v>
      </x:c>
      <x:c r="D5439" s="25" t="n">
        <x:v>40305.47638888889</x:v>
      </x:c>
      <x:c r="E5439" s="25" t="n">
        <x:v>40338.23888888889</x:v>
      </x:c>
      <x:c r="F5439" s="2" t="n">
        <x:v>549</x:v>
      </x:c>
      <x:c r="G5439" s="2" t="n">
        <x:v>4</x:v>
      </x:c>
      <x:c r="H5439" s="11" t="n">
        <x:v>262.64</x:v>
      </x:c>
      <x:c r="I5439" s="2" t="n">
        <x:v>1</x:v>
      </x:c>
      <x:c r="J5439" s="2" t="n">
        <x:v>3</x:v>
      </x:c>
      <x:c r="K5439" s="2" t="n">
        <x:v>1</x:v>
      </x:c>
      <x:c r="L5439" s="2" t="str">
        <x:v>At risk</x:v>
      </x:c>
    </x:row>
    <x:row r="5440" ht="22" customHeight="1">
      <x:c r="A5440" s="2"/>
      <x:c r="B5440" s="2" t="str">
        <x:v>17809</x:v>
      </x:c>
      <x:c r="C5440" s="2" t="str">
        <x:v>United Kingdom</x:v>
      </x:c>
      <x:c r="D5440" s="25" t="n">
        <x:v>40149.41111111111</x:v>
      </x:c>
      <x:c r="E5440" s="25" t="n">
        <x:v>40870.33263888889</x:v>
      </x:c>
      <x:c r="F5440" s="2" t="n">
        <x:v>17</x:v>
      </x:c>
      <x:c r="G5440" s="2" t="n">
        <x:v>20</x:v>
      </x:c>
      <x:c r="H5440" s="11" t="n">
        <x:v>10085.89</x:v>
      </x:c>
      <x:c r="I5440" s="2" t="n">
        <x:v>5</x:v>
      </x:c>
      <x:c r="J5440" s="2" t="n">
        <x:v>5</x:v>
      </x:c>
      <x:c r="K5440" s="2" t="n">
        <x:v>5</x:v>
      </x:c>
      <x:c r="L5440" s="2" t="str">
        <x:v>Champions</x:v>
      </x:c>
    </x:row>
    <x:row r="5441" ht="22" customHeight="1">
      <x:c r="A5441" s="2"/>
      <x:c r="B5441" s="2" t="str">
        <x:v>17810</x:v>
      </x:c>
      <x:c r="C5441" s="2" t="str">
        <x:v>United Kingdom</x:v>
      </x:c>
      <x:c r="D5441" s="25" t="n">
        <x:v>40203.22638888889</x:v>
      </x:c>
      <x:c r="E5441" s="25" t="n">
        <x:v>40218.24097222222</x:v>
      </x:c>
      <x:c r="F5441" s="2" t="n">
        <x:v>669</x:v>
      </x:c>
      <x:c r="G5441" s="2" t="n">
        <x:v>2</x:v>
      </x:c>
      <x:c r="H5441" s="11" t="n">
        <x:v>374.81</x:v>
      </x:c>
      <x:c r="I5441" s="2" t="n">
        <x:v>1</x:v>
      </x:c>
      <x:c r="J5441" s="2" t="n">
        <x:v>2</x:v>
      </x:c>
      <x:c r="K5441" s="2" t="n">
        <x:v>2</x:v>
      </x:c>
      <x:c r="L5441" s="2" t="str">
        <x:v>Hibernating</x:v>
      </x:c>
    </x:row>
    <x:row r="5442" ht="22" customHeight="1">
      <x:c r="A5442" s="2"/>
      <x:c r="B5442" s="2" t="str">
        <x:v>17811</x:v>
      </x:c>
      <x:c r="C5442" s="2" t="str">
        <x:v>United Kingdom</x:v>
      </x:c>
      <x:c r="D5442" s="25" t="n">
        <x:v>40441.26666666667</x:v>
      </x:c>
      <x:c r="E5442" s="25" t="n">
        <x:v>40882.365277777775</x:v>
      </x:c>
      <x:c r="F5442" s="2" t="n">
        <x:v>5</x:v>
      </x:c>
      <x:c r="G5442" s="2" t="n">
        <x:v>47</x:v>
      </x:c>
      <x:c r="H5442" s="11" t="n">
        <x:v>9609.8</x:v>
      </x:c>
      <x:c r="I5442" s="2" t="n">
        <x:v>5</x:v>
      </x:c>
      <x:c r="J5442" s="2" t="n">
        <x:v>5</x:v>
      </x:c>
      <x:c r="K5442" s="2" t="n">
        <x:v>5</x:v>
      </x:c>
      <x:c r="L5442" s="2" t="str">
        <x:v>Champions</x:v>
      </x:c>
    </x:row>
    <x:row r="5443" ht="22" customHeight="1">
      <x:c r="A5443" s="2"/>
      <x:c r="B5443" s="2" t="str">
        <x:v>17812</x:v>
      </x:c>
      <x:c r="C5443" s="2" t="str">
        <x:v>United Kingdom</x:v>
      </x:c>
      <x:c r="D5443" s="25" t="n">
        <x:v>40356.356944444444</x:v>
      </x:c>
      <x:c r="E5443" s="25" t="n">
        <x:v>40874.282638888886</x:v>
      </x:c>
      <x:c r="F5443" s="2" t="n">
        <x:v>13</x:v>
      </x:c>
      <x:c r="G5443" s="2" t="n">
        <x:v>7</x:v>
      </x:c>
      <x:c r="H5443" s="11" t="n">
        <x:v>948.34</x:v>
      </x:c>
      <x:c r="I5443" s="2" t="n">
        <x:v>5</x:v>
      </x:c>
      <x:c r="J5443" s="2" t="n">
        <x:v>4</x:v>
      </x:c>
      <x:c r="K5443" s="2" t="n">
        <x:v>3</x:v>
      </x:c>
      <x:c r="L5443" s="2" t="str">
        <x:v>Loyal</x:v>
      </x:c>
    </x:row>
    <x:row r="5444" ht="22" customHeight="1">
      <x:c r="A5444" s="2"/>
      <x:c r="B5444" s="2" t="str">
        <x:v>17813</x:v>
      </x:c>
      <x:c r="C5444" s="2" t="str">
        <x:v>United Kingdom</x:v>
      </x:c>
      <x:c r="D5444" s="25" t="n">
        <x:v>40815.45625</x:v>
      </x:c>
      <x:c r="E5444" s="25" t="n">
        <x:v>40872.467361111114</x:v>
      </x:c>
      <x:c r="F5444" s="2" t="n">
        <x:v>15</x:v>
      </x:c>
      <x:c r="G5444" s="2" t="n">
        <x:v>5</x:v>
      </x:c>
      <x:c r="H5444" s="11" t="n">
        <x:v>1770.88</x:v>
      </x:c>
      <x:c r="I5444" s="2" t="n">
        <x:v>5</x:v>
      </x:c>
      <x:c r="J5444" s="2" t="n">
        <x:v>4</x:v>
      </x:c>
      <x:c r="K5444" s="2" t="n">
        <x:v>4</x:v>
      </x:c>
      <x:c r="L5444" s="2" t="str">
        <x:v>Champions</x:v>
      </x:c>
    </x:row>
    <x:row r="5445" ht="22" customHeight="1">
      <x:c r="A5445" s="2"/>
      <x:c r="B5445" s="2" t="str">
        <x:v>17814</x:v>
      </x:c>
      <x:c r="C5445" s="2" t="str">
        <x:v>United Kingdom</x:v>
      </x:c>
      <x:c r="D5445" s="25" t="n">
        <x:v>40464.37708333333</x:v>
      </x:c>
      <x:c r="E5445" s="25" t="n">
        <x:v>40511.38958333333</x:v>
      </x:c>
      <x:c r="F5445" s="2" t="n">
        <x:v>376</x:v>
      </x:c>
      <x:c r="G5445" s="2" t="n">
        <x:v>2</x:v>
      </x:c>
      <x:c r="H5445" s="11" t="n">
        <x:v>1617.32</x:v>
      </x:c>
      <x:c r="I5445" s="2" t="n">
        <x:v>2</x:v>
      </x:c>
      <x:c r="J5445" s="2" t="n">
        <x:v>2</x:v>
      </x:c>
      <x:c r="K5445" s="2" t="n">
        <x:v>4</x:v>
      </x:c>
      <x:c r="L5445" s="2" t="str">
        <x:v>Hibernating</x:v>
      </x:c>
    </x:row>
    <x:row r="5446" ht="22" customHeight="1">
      <x:c r="A5446" s="2"/>
      <x:c r="B5446" s="2" t="str">
        <x:v>17815</x:v>
      </x:c>
      <x:c r="C5446" s="2" t="str">
        <x:v>United Kingdom</x:v>
      </x:c>
      <x:c r="D5446" s="25" t="n">
        <x:v>40493.402083333334</x:v>
      </x:c>
      <x:c r="E5446" s="25" t="n">
        <x:v>40493.402083333334</x:v>
      </x:c>
      <x:c r="F5446" s="2" t="n">
        <x:v>394</x:v>
      </x:c>
      <x:c r="G5446" s="2" t="n">
        <x:v>1</x:v>
      </x:c>
      <x:c r="H5446" s="11" t="n">
        <x:v>591.96</x:v>
      </x:c>
      <x:c r="I5446" s="2" t="n">
        <x:v>2</x:v>
      </x:c>
      <x:c r="J5446" s="2" t="n">
        <x:v>1</x:v>
      </x:c>
      <x:c r="K5446" s="2" t="n">
        <x:v>2</x:v>
      </x:c>
      <x:c r="L5446" s="2" t="str">
        <x:v>Hibernating</x:v>
      </x:c>
    </x:row>
    <x:row r="5447" ht="22" customHeight="1">
      <x:c r="A5447" s="2"/>
      <x:c r="B5447" s="2" t="str">
        <x:v>17816</x:v>
      </x:c>
      <x:c r="C5447" s="2" t="str">
        <x:v>United Kingdom</x:v>
      </x:c>
      <x:c r="D5447" s="25" t="n">
        <x:v>40162.43541666667</x:v>
      </x:c>
      <x:c r="E5447" s="25" t="n">
        <x:v>40850.27361111111</x:v>
      </x:c>
      <x:c r="F5447" s="2" t="n">
        <x:v>37</x:v>
      </x:c>
      <x:c r="G5447" s="2" t="n">
        <x:v>6</x:v>
      </x:c>
      <x:c r="H5447" s="11" t="n">
        <x:v>96.11</x:v>
      </x:c>
      <x:c r="I5447" s="2" t="n">
        <x:v>4</x:v>
      </x:c>
      <x:c r="J5447" s="2" t="n">
        <x:v>4</x:v>
      </x:c>
      <x:c r="K5447" s="2" t="n">
        <x:v>1</x:v>
      </x:c>
      <x:c r="L5447" s="2" t="str">
        <x:v>Loyal</x:v>
      </x:c>
    </x:row>
    <x:row r="5448" ht="22" customHeight="1">
      <x:c r="A5448" s="2"/>
      <x:c r="B5448" s="2" t="str">
        <x:v>17817</x:v>
      </x:c>
      <x:c r="C5448" s="2" t="str">
        <x:v>United Kingdom</x:v>
      </x:c>
      <x:c r="D5448" s="25" t="n">
        <x:v>40464.42152777778</x:v>
      </x:c>
      <x:c r="E5448" s="25" t="n">
        <x:v>40882.402083333334</x:v>
      </x:c>
      <x:c r="F5448" s="2" t="n">
        <x:v>5</x:v>
      </x:c>
      <x:c r="G5448" s="2" t="n">
        <x:v>6</x:v>
      </x:c>
      <x:c r="H5448" s="11" t="n">
        <x:v>807.85</x:v>
      </x:c>
      <x:c r="I5448" s="2" t="n">
        <x:v>5</x:v>
      </x:c>
      <x:c r="J5448" s="2" t="n">
        <x:v>4</x:v>
      </x:c>
      <x:c r="K5448" s="2" t="n">
        <x:v>3</x:v>
      </x:c>
      <x:c r="L5448" s="2" t="str">
        <x:v>Loyal</x:v>
      </x:c>
    </x:row>
    <x:row r="5449" ht="22" customHeight="1">
      <x:c r="A5449" s="2"/>
      <x:c r="B5449" s="2" t="str">
        <x:v>17818</x:v>
      </x:c>
      <x:c r="C5449" s="2" t="str">
        <x:v>United Kingdom</x:v>
      </x:c>
      <x:c r="D5449" s="25" t="n">
        <x:v>40149.27361111111</x:v>
      </x:c>
      <x:c r="E5449" s="25" t="n">
        <x:v>40149.27361111111</x:v>
      </x:c>
      <x:c r="F5449" s="2" t="n">
        <x:v>738</x:v>
      </x:c>
      <x:c r="G5449" s="2" t="n">
        <x:v>1</x:v>
      </x:c>
      <x:c r="H5449" s="11" t="n">
        <x:v>130.18</x:v>
      </x:c>
      <x:c r="I5449" s="2" t="n">
        <x:v>1</x:v>
      </x:c>
      <x:c r="J5449" s="2" t="n">
        <x:v>1</x:v>
      </x:c>
      <x:c r="K5449" s="2" t="n">
        <x:v>1</x:v>
      </x:c>
      <x:c r="L5449" s="2" t="str">
        <x:v>Hibernating</x:v>
      </x:c>
    </x:row>
    <x:row r="5450" ht="22" customHeight="1">
      <x:c r="A5450" s="2"/>
      <x:c r="B5450" s="2" t="str">
        <x:v>17819</x:v>
      </x:c>
      <x:c r="C5450" s="2" t="str">
        <x:v>United Kingdom</x:v>
      </x:c>
      <x:c r="D5450" s="25" t="n">
        <x:v>40160.433333333334</x:v>
      </x:c>
      <x:c r="E5450" s="25" t="n">
        <x:v>40815.24444444444</x:v>
      </x:c>
      <x:c r="F5450" s="2" t="n">
        <x:v>72</x:v>
      </x:c>
      <x:c r="G5450" s="2" t="n">
        <x:v>12</x:v>
      </x:c>
      <x:c r="H5450" s="11" t="n">
        <x:v>6021.05</x:v>
      </x:c>
      <x:c r="I5450" s="2" t="n">
        <x:v>3</x:v>
      </x:c>
      <x:c r="J5450" s="2" t="n">
        <x:v>5</x:v>
      </x:c>
      <x:c r="K5450" s="2" t="n">
        <x:v>5</x:v>
      </x:c>
      <x:c r="L5450" s="2" t="str">
        <x:v>Loyal</x:v>
      </x:c>
    </x:row>
    <x:row r="5451" ht="22" customHeight="1">
      <x:c r="A5451" s="2"/>
      <x:c r="B5451" s="2" t="str">
        <x:v>17820</x:v>
      </x:c>
      <x:c r="C5451" s="2" t="str">
        <x:v>United Kingdom</x:v>
      </x:c>
      <x:c r="D5451" s="25" t="n">
        <x:v>40512.529861111114</x:v>
      </x:c>
      <x:c r="E5451" s="25" t="n">
        <x:v>40512.529861111114</x:v>
      </x:c>
      <x:c r="F5451" s="2" t="n">
        <x:v>375</x:v>
      </x:c>
      <x:c r="G5451" s="2" t="n">
        <x:v>1</x:v>
      </x:c>
      <x:c r="H5451" s="11" t="n">
        <x:v>183.56</x:v>
      </x:c>
      <x:c r="I5451" s="2" t="n">
        <x:v>2</x:v>
      </x:c>
      <x:c r="J5451" s="2" t="n">
        <x:v>1</x:v>
      </x:c>
      <x:c r="K5451" s="2" t="n">
        <x:v>1</x:v>
      </x:c>
      <x:c r="L5451" s="2" t="str">
        <x:v>Hibernating</x:v>
      </x:c>
    </x:row>
    <x:row r="5452" ht="22" customHeight="1">
      <x:c r="A5452" s="2"/>
      <x:c r="B5452" s="2" t="str">
        <x:v>17821</x:v>
      </x:c>
      <x:c r="C5452" s="2" t="str">
        <x:v>United Kingdom</x:v>
      </x:c>
      <x:c r="D5452" s="25" t="n">
        <x:v>40480.34722222222</x:v>
      </x:c>
      <x:c r="E5452" s="25" t="n">
        <x:v>40480.34722222222</x:v>
      </x:c>
      <x:c r="F5452" s="2" t="n">
        <x:v>407</x:v>
      </x:c>
      <x:c r="G5452" s="2" t="n">
        <x:v>1</x:v>
      </x:c>
      <x:c r="H5452" s="11" t="n">
        <x:v>334.62</x:v>
      </x:c>
      <x:c r="I5452" s="2" t="n">
        <x:v>2</x:v>
      </x:c>
      <x:c r="J5452" s="2" t="n">
        <x:v>1</x:v>
      </x:c>
      <x:c r="K5452" s="2" t="n">
        <x:v>2</x:v>
      </x:c>
      <x:c r="L5452" s="2" t="str">
        <x:v>Hibernating</x:v>
      </x:c>
    </x:row>
    <x:row r="5453" ht="22" customHeight="1">
      <x:c r="A5453" s="2"/>
      <x:c r="B5453" s="2" t="str">
        <x:v>17822</x:v>
      </x:c>
      <x:c r="C5453" s="2" t="str">
        <x:v>United Kingdom</x:v>
      </x:c>
      <x:c r="D5453" s="25" t="n">
        <x:v>40326.302083333336</x:v>
      </x:c>
      <x:c r="E5453" s="25" t="n">
        <x:v>40466.36597222222</x:v>
      </x:c>
      <x:c r="F5453" s="2" t="n">
        <x:v>421</x:v>
      </x:c>
      <x:c r="G5453" s="2" t="n">
        <x:v>5</x:v>
      </x:c>
      <x:c r="H5453" s="11" t="n">
        <x:v>2188.5</x:v>
      </x:c>
      <x:c r="I5453" s="2" t="n">
        <x:v>1</x:v>
      </x:c>
      <x:c r="J5453" s="2" t="n">
        <x:v>4</x:v>
      </x:c>
      <x:c r="K5453" s="2" t="n">
        <x:v>4</x:v>
      </x:c>
      <x:c r="L5453" s="2" t="str">
        <x:v>At risk</x:v>
      </x:c>
    </x:row>
    <x:row r="5454" ht="22" customHeight="1">
      <x:c r="A5454" s="2"/>
      <x:c r="B5454" s="2" t="str">
        <x:v>17823</x:v>
      </x:c>
      <x:c r="C5454" s="2" t="str">
        <x:v>United Kingdom</x:v>
      </x:c>
      <x:c r="D5454" s="25" t="n">
        <x:v>40465.46805555555</x:v>
      </x:c>
      <x:c r="E5454" s="25" t="n">
        <x:v>40465.475</x:v>
      </x:c>
      <x:c r="F5454" s="2" t="n">
        <x:v>422</x:v>
      </x:c>
      <x:c r="G5454" s="2" t="n">
        <x:v>2</x:v>
      </x:c>
      <x:c r="H5454" s="11" t="n">
        <x:v>494.25</x:v>
      </x:c>
      <x:c r="I5454" s="2" t="n">
        <x:v>1</x:v>
      </x:c>
      <x:c r="J5454" s="2" t="n">
        <x:v>2</x:v>
      </x:c>
      <x:c r="K5454" s="2" t="n">
        <x:v>2</x:v>
      </x:c>
      <x:c r="L5454" s="2" t="str">
        <x:v>Hibernating</x:v>
      </x:c>
    </x:row>
    <x:row r="5455" ht="22" customHeight="1">
      <x:c r="A5455" s="2"/>
      <x:c r="B5455" s="2" t="str">
        <x:v>17824</x:v>
      </x:c>
      <x:c r="C5455" s="2" t="str">
        <x:v>United Kingdom</x:v>
      </x:c>
      <x:c r="D5455" s="25" t="n">
        <x:v>40835.384722222225</x:v>
      </x:c>
      <x:c r="E5455" s="25" t="n">
        <x:v>40835.384722222225</x:v>
      </x:c>
      <x:c r="F5455" s="2" t="n">
        <x:v>52</x:v>
      </x:c>
      <x:c r="G5455" s="2" t="n">
        <x:v>1</x:v>
      </x:c>
      <x:c r="H5455" s="11" t="n">
        <x:v>298.4</x:v>
      </x:c>
      <x:c r="I5455" s="2" t="n">
        <x:v>4</x:v>
      </x:c>
      <x:c r="J5455" s="2" t="n">
        <x:v>1</x:v>
      </x:c>
      <x:c r="K5455" s="2" t="n">
        <x:v>2</x:v>
      </x:c>
      <x:c r="L5455" s="2" t="str">
        <x:v>Recent light buyers</x:v>
      </x:c>
    </x:row>
    <x:row r="5456" ht="22" customHeight="1">
      <x:c r="A5456" s="2"/>
      <x:c r="B5456" s="2" t="str">
        <x:v>17825</x:v>
      </x:c>
      <x:c r="C5456" s="2" t="str">
        <x:v>United Kingdom</x:v>
      </x:c>
      <x:c r="D5456" s="25" t="n">
        <x:v>40161.29791666667</x:v>
      </x:c>
      <x:c r="E5456" s="25" t="n">
        <x:v>40288.29236111111</x:v>
      </x:c>
      <x:c r="F5456" s="2" t="n">
        <x:v>599</x:v>
      </x:c>
      <x:c r="G5456" s="2" t="n">
        <x:v>4</x:v>
      </x:c>
      <x:c r="H5456" s="11" t="n">
        <x:v>731.96</x:v>
      </x:c>
      <x:c r="I5456" s="2" t="n">
        <x:v>1</x:v>
      </x:c>
      <x:c r="J5456" s="2" t="n">
        <x:v>3</x:v>
      </x:c>
      <x:c r="K5456" s="2" t="n">
        <x:v>3</x:v>
      </x:c>
      <x:c r="L5456" s="2" t="str">
        <x:v>At risk</x:v>
      </x:c>
    </x:row>
    <x:row r="5457" ht="22" customHeight="1">
      <x:c r="A5457" s="2"/>
      <x:c r="B5457" s="2" t="str">
        <x:v>17826</x:v>
      </x:c>
      <x:c r="C5457" s="2" t="str">
        <x:v>United Kingdom</x:v>
      </x:c>
      <x:c r="D5457" s="25" t="n">
        <x:v>40512.34930555556</x:v>
      </x:c>
      <x:c r="E5457" s="25" t="n">
        <x:v>40512.34930555556</x:v>
      </x:c>
      <x:c r="F5457" s="2" t="n">
        <x:v>375</x:v>
      </x:c>
      <x:c r="G5457" s="2" t="n">
        <x:v>1</x:v>
      </x:c>
      <x:c r="H5457" s="11" t="n">
        <x:v>134.59</x:v>
      </x:c>
      <x:c r="I5457" s="2" t="n">
        <x:v>2</x:v>
      </x:c>
      <x:c r="J5457" s="2" t="n">
        <x:v>1</x:v>
      </x:c>
      <x:c r="K5457" s="2" t="n">
        <x:v>1</x:v>
      </x:c>
      <x:c r="L5457" s="2" t="str">
        <x:v>Hibernating</x:v>
      </x:c>
    </x:row>
    <x:row r="5458" ht="22" customHeight="1">
      <x:c r="A5458" s="2"/>
      <x:c r="B5458" s="2" t="str">
        <x:v>17827</x:v>
      </x:c>
      <x:c r="C5458" s="2" t="str">
        <x:v>United Kingdom</x:v>
      </x:c>
      <x:c r="D5458" s="25" t="n">
        <x:v>40265.305555555555</x:v>
      </x:c>
      <x:c r="E5458" s="25" t="n">
        <x:v>40881.416666666664</x:v>
      </x:c>
      <x:c r="F5458" s="2" t="n">
        <x:v>6</x:v>
      </x:c>
      <x:c r="G5458" s="2" t="n">
        <x:v>6</x:v>
      </x:c>
      <x:c r="H5458" s="11" t="n">
        <x:v>2388.05</x:v>
      </x:c>
      <x:c r="I5458" s="2" t="n">
        <x:v>5</x:v>
      </x:c>
      <x:c r="J5458" s="2" t="n">
        <x:v>4</x:v>
      </x:c>
      <x:c r="K5458" s="2" t="n">
        <x:v>4</x:v>
      </x:c>
      <x:c r="L5458" s="2" t="str">
        <x:v>Champions</x:v>
      </x:c>
    </x:row>
    <x:row r="5459" ht="22" customHeight="1">
      <x:c r="A5459" s="2"/>
      <x:c r="B5459" s="2" t="str">
        <x:v>17828</x:v>
      </x:c>
      <x:c r="C5459" s="2" t="str">
        <x:v>Malta</x:v>
      </x:c>
      <x:c r="D5459" s="25" t="n">
        <x:v>40702.146527777775</x:v>
      </x:c>
      <x:c r="E5459" s="25" t="n">
        <x:v>40864.15347222222</x:v>
      </x:c>
      <x:c r="F5459" s="2" t="n">
        <x:v>23</x:v>
      </x:c>
      <x:c r="G5459" s="2" t="n">
        <x:v>4</x:v>
      </x:c>
      <x:c r="H5459" s="11" t="n">
        <x:v>1820.09</x:v>
      </x:c>
      <x:c r="I5459" s="2" t="n">
        <x:v>4</x:v>
      </x:c>
      <x:c r="J5459" s="2" t="n">
        <x:v>3</x:v>
      </x:c>
      <x:c r="K5459" s="2" t="n">
        <x:v>4</x:v>
      </x:c>
      <x:c r="L5459" s="2" t="str">
        <x:v>Loyal</x:v>
      </x:c>
    </x:row>
    <x:row r="5460" ht="22" customHeight="1">
      <x:c r="A5460" s="2"/>
      <x:c r="B5460" s="2" t="str">
        <x:v>17829</x:v>
      </x:c>
      <x:c r="C5460" s="2" t="str">
        <x:v>United Arab Emirates</x:v>
      </x:c>
      <x:c r="D5460" s="25" t="n">
        <x:v>40231.44375</x:v>
      </x:c>
      <x:c r="E5460" s="25" t="n">
        <x:v>40588.32361111111</x:v>
      </x:c>
      <x:c r="F5460" s="2" t="n">
        <x:v>299</x:v>
      </x:c>
      <x:c r="G5460" s="2" t="n">
        <x:v>5</x:v>
      </x:c>
      <x:c r="H5460" s="11" t="n">
        <x:v>4756.74</x:v>
      </x:c>
      <x:c r="I5460" s="2" t="n">
        <x:v>2</x:v>
      </x:c>
      <x:c r="J5460" s="2" t="n">
        <x:v>4</x:v>
      </x:c>
      <x:c r="K5460" s="2" t="n">
        <x:v>5</x:v>
      </x:c>
      <x:c r="L5460" s="2" t="str">
        <x:v>At risk</x:v>
      </x:c>
    </x:row>
    <x:row r="5461" ht="22" customHeight="1">
      <x:c r="A5461" s="2"/>
      <x:c r="B5461" s="2" t="str">
        <x:v>17830</x:v>
      </x:c>
      <x:c r="C5461" s="2" t="str">
        <x:v>United Kingdom</x:v>
      </x:c>
      <x:c r="D5461" s="25" t="n">
        <x:v>40598.21875</x:v>
      </x:c>
      <x:c r="E5461" s="25" t="n">
        <x:v>40885.311111111114</x:v>
      </x:c>
      <x:c r="F5461" s="2" t="n">
        <x:v>2</x:v>
      </x:c>
      <x:c r="G5461" s="2" t="n">
        <x:v>3</x:v>
      </x:c>
      <x:c r="H5461" s="11" t="n">
        <x:v>398.7</x:v>
      </x:c>
      <x:c r="I5461" s="2" t="n">
        <x:v>5</x:v>
      </x:c>
      <x:c r="J5461" s="2" t="n">
        <x:v>3</x:v>
      </x:c>
      <x:c r="K5461" s="2" t="n">
        <x:v>2</x:v>
      </x:c>
      <x:c r="L5461" s="2" t="str">
        <x:v>Loyal</x:v>
      </x:c>
    </x:row>
    <x:row r="5462" ht="22" customHeight="1">
      <x:c r="A5462" s="2"/>
      <x:c r="B5462" s="2" t="str">
        <x:v>17831</x:v>
      </x:c>
      <x:c r="C5462" s="2" t="str">
        <x:v>United Kingdom</x:v>
      </x:c>
      <x:c r="D5462" s="25" t="n">
        <x:v>40853.42291666667</x:v>
      </x:c>
      <x:c r="E5462" s="25" t="n">
        <x:v>40853.42291666667</x:v>
      </x:c>
      <x:c r="F5462" s="2" t="n">
        <x:v>34</x:v>
      </x:c>
      <x:c r="G5462" s="2" t="n">
        <x:v>1</x:v>
      </x:c>
      <x:c r="H5462" s="11" t="n">
        <x:v>35.4</x:v>
      </x:c>
      <x:c r="I5462" s="2" t="n">
        <x:v>4</x:v>
      </x:c>
      <x:c r="J5462" s="2" t="n">
        <x:v>1</x:v>
      </x:c>
      <x:c r="K5462" s="2" t="n">
        <x:v>1</x:v>
      </x:c>
      <x:c r="L5462" s="2" t="str">
        <x:v>Recent light buyers</x:v>
      </x:c>
    </x:row>
    <x:row r="5463" ht="22" customHeight="1">
      <x:c r="A5463" s="2"/>
      <x:c r="B5463" s="2" t="str">
        <x:v>17832</x:v>
      </x:c>
      <x:c r="C5463" s="2" t="str">
        <x:v>United Kingdom</x:v>
      </x:c>
      <x:c r="D5463" s="25" t="n">
        <x:v>40837.279861111114</x:v>
      </x:c>
      <x:c r="E5463" s="25" t="n">
        <x:v>40837.279861111114</x:v>
      </x:c>
      <x:c r="F5463" s="2" t="n">
        <x:v>50</x:v>
      </x:c>
      <x:c r="G5463" s="2" t="n">
        <x:v>1</x:v>
      </x:c>
      <x:c r="H5463" s="11" t="n">
        <x:v>155.37</x:v>
      </x:c>
      <x:c r="I5463" s="2" t="n">
        <x:v>4</x:v>
      </x:c>
      <x:c r="J5463" s="2" t="n">
        <x:v>1</x:v>
      </x:c>
      <x:c r="K5463" s="2" t="n">
        <x:v>1</x:v>
      </x:c>
      <x:c r="L5463" s="2" t="str">
        <x:v>Recent light buyers</x:v>
      </x:c>
    </x:row>
    <x:row r="5464" ht="22" customHeight="1">
      <x:c r="A5464" s="2"/>
      <x:c r="B5464" s="2" t="str">
        <x:v>17833</x:v>
      </x:c>
      <x:c r="C5464" s="2" t="str">
        <x:v>United Kingdom</x:v>
      </x:c>
      <x:c r="D5464" s="25" t="n">
        <x:v>40163.36111111111</x:v>
      </x:c>
      <x:c r="E5464" s="25" t="n">
        <x:v>40163.36111111111</x:v>
      </x:c>
      <x:c r="F5464" s="2" t="n">
        <x:v>724</x:v>
      </x:c>
      <x:c r="G5464" s="2" t="n">
        <x:v>1</x:v>
      </x:c>
      <x:c r="H5464" s="11" t="n">
        <x:v>342.36</x:v>
      </x:c>
      <x:c r="I5464" s="2" t="n">
        <x:v>1</x:v>
      </x:c>
      <x:c r="J5464" s="2" t="n">
        <x:v>1</x:v>
      </x:c>
      <x:c r="K5464" s="2" t="n">
        <x:v>2</x:v>
      </x:c>
      <x:c r="L5464" s="2" t="str">
        <x:v>Hibernating</x:v>
      </x:c>
    </x:row>
    <x:row r="5465" ht="22" customHeight="1">
      <x:c r="A5465" s="2"/>
      <x:c r="B5465" s="2" t="str">
        <x:v>17834</x:v>
      </x:c>
      <x:c r="C5465" s="2" t="str">
        <x:v>United Kingdom</x:v>
      </x:c>
      <x:c r="D5465" s="25" t="n">
        <x:v>40441.438888888886</x:v>
      </x:c>
      <x:c r="E5465" s="25" t="n">
        <x:v>40472.29791666667</x:v>
      </x:c>
      <x:c r="F5465" s="2" t="n">
        <x:v>415</x:v>
      </x:c>
      <x:c r="G5465" s="2" t="n">
        <x:v>2</x:v>
      </x:c>
      <x:c r="H5465" s="11" t="n">
        <x:v>730.47</x:v>
      </x:c>
      <x:c r="I5465" s="2" t="n">
        <x:v>1</x:v>
      </x:c>
      <x:c r="J5465" s="2" t="n">
        <x:v>2</x:v>
      </x:c>
      <x:c r="K5465" s="2" t="n">
        <x:v>3</x:v>
      </x:c>
      <x:c r="L5465" s="2" t="str">
        <x:v>Hibernating</x:v>
      </x:c>
    </x:row>
    <x:row r="5466" ht="22" customHeight="1">
      <x:c r="A5466" s="2"/>
      <x:c r="B5466" s="2" t="str">
        <x:v>17835</x:v>
      </x:c>
      <x:c r="C5466" s="2" t="str">
        <x:v>United Kingdom</x:v>
      </x:c>
      <x:c r="D5466" s="25" t="n">
        <x:v>40863.479166666664</x:v>
      </x:c>
      <x:c r="E5466" s="25" t="n">
        <x:v>40884.28333333333</x:v>
      </x:c>
      <x:c r="F5466" s="2" t="n">
        <x:v>3</x:v>
      </x:c>
      <x:c r="G5466" s="2" t="n">
        <x:v>3</x:v>
      </x:c>
      <x:c r="H5466" s="11" t="n">
        <x:v>350.64</x:v>
      </x:c>
      <x:c r="I5466" s="2" t="n">
        <x:v>5</x:v>
      </x:c>
      <x:c r="J5466" s="2" t="n">
        <x:v>3</x:v>
      </x:c>
      <x:c r="K5466" s="2" t="n">
        <x:v>2</x:v>
      </x:c>
      <x:c r="L5466" s="2" t="str">
        <x:v>Loyal</x:v>
      </x:c>
    </x:row>
    <x:row r="5467" ht="22" customHeight="1">
      <x:c r="A5467" s="2"/>
      <x:c r="B5467" s="2" t="str">
        <x:v>17836</x:v>
      </x:c>
      <x:c r="C5467" s="2" t="str">
        <x:v>United Kingdom</x:v>
      </x:c>
      <x:c r="D5467" s="25" t="n">
        <x:v>40839.467361111114</x:v>
      </x:c>
      <x:c r="E5467" s="25" t="n">
        <x:v>40839.467361111114</x:v>
      </x:c>
      <x:c r="F5467" s="2" t="n">
        <x:v>48</x:v>
      </x:c>
      <x:c r="G5467" s="2" t="n">
        <x:v>1</x:v>
      </x:c>
      <x:c r="H5467" s="11" t="n">
        <x:v>110.21</x:v>
      </x:c>
      <x:c r="I5467" s="2" t="n">
        <x:v>4</x:v>
      </x:c>
      <x:c r="J5467" s="2" t="n">
        <x:v>1</x:v>
      </x:c>
      <x:c r="K5467" s="2" t="n">
        <x:v>1</x:v>
      </x:c>
      <x:c r="L5467" s="2" t="str">
        <x:v>Recent light buyers</x:v>
      </x:c>
    </x:row>
    <x:row r="5468" ht="22" customHeight="1">
      <x:c r="A5468" s="2"/>
      <x:c r="B5468" s="2" t="str">
        <x:v>17837</x:v>
      </x:c>
      <x:c r="C5468" s="2" t="str">
        <x:v>United Kingdom</x:v>
      </x:c>
      <x:c r="D5468" s="25" t="n">
        <x:v>40723.48888888889</x:v>
      </x:c>
      <x:c r="E5468" s="25" t="n">
        <x:v>40844.467361111114</x:v>
      </x:c>
      <x:c r="F5468" s="2" t="n">
        <x:v>43</x:v>
      </x:c>
      <x:c r="G5468" s="2" t="n">
        <x:v>8</x:v>
      </x:c>
      <x:c r="H5468" s="11" t="n">
        <x:v>1593.38</x:v>
      </x:c>
      <x:c r="I5468" s="2" t="n">
        <x:v>4</x:v>
      </x:c>
      <x:c r="J5468" s="2" t="n">
        <x:v>4</x:v>
      </x:c>
      <x:c r="K5468" s="2" t="n">
        <x:v>4</x:v>
      </x:c>
      <x:c r="L5468" s="2" t="str">
        <x:v>Champions</x:v>
      </x:c>
    </x:row>
    <x:row r="5469" ht="22" customHeight="1">
      <x:c r="A5469" s="2"/>
      <x:c r="B5469" s="2" t="str">
        <x:v>17838</x:v>
      </x:c>
      <x:c r="C5469" s="2" t="str">
        <x:v>United Kingdom</x:v>
      </x:c>
      <x:c r="D5469" s="25" t="n">
        <x:v>40256.20347222222</x:v>
      </x:c>
      <x:c r="E5469" s="25" t="n">
        <x:v>40860.26388888889</x:v>
      </x:c>
      <x:c r="F5469" s="2" t="n">
        <x:v>27</x:v>
      </x:c>
      <x:c r="G5469" s="2" t="n">
        <x:v>13</x:v>
      </x:c>
      <x:c r="H5469" s="11" t="n">
        <x:v>5787.34</x:v>
      </x:c>
      <x:c r="I5469" s="2" t="n">
        <x:v>4</x:v>
      </x:c>
      <x:c r="J5469" s="2" t="n">
        <x:v>5</x:v>
      </x:c>
      <x:c r="K5469" s="2" t="n">
        <x:v>5</x:v>
      </x:c>
      <x:c r="L5469" s="2" t="str">
        <x:v>Champions</x:v>
      </x:c>
    </x:row>
    <x:row r="5470" ht="22" customHeight="1">
      <x:c r="A5470" s="2"/>
      <x:c r="B5470" s="2" t="str">
        <x:v>17839</x:v>
      </x:c>
      <x:c r="C5470" s="2" t="str">
        <x:v>United Kingdom</x:v>
      </x:c>
      <x:c r="D5470" s="25" t="n">
        <x:v>40844.51875</x:v>
      </x:c>
      <x:c r="E5470" s="25" t="n">
        <x:v>40844.51875</x:v>
      </x:c>
      <x:c r="F5470" s="2" t="n">
        <x:v>43</x:v>
      </x:c>
      <x:c r="G5470" s="2" t="n">
        <x:v>1</x:v>
      </x:c>
      <x:c r="H5470" s="11" t="n">
        <x:v>338.8</x:v>
      </x:c>
      <x:c r="I5470" s="2" t="n">
        <x:v>4</x:v>
      </x:c>
      <x:c r="J5470" s="2" t="n">
        <x:v>1</x:v>
      </x:c>
      <x:c r="K5470" s="2" t="n">
        <x:v>2</x:v>
      </x:c>
      <x:c r="L5470" s="2" t="str">
        <x:v>Recent light buyers</x:v>
      </x:c>
    </x:row>
    <x:row r="5471" ht="22" customHeight="1">
      <x:c r="A5471" s="2"/>
      <x:c r="B5471" s="2" t="str">
        <x:v>17840</x:v>
      </x:c>
      <x:c r="C5471" s="2" t="str">
        <x:v>United Kingdom</x:v>
      </x:c>
      <x:c r="D5471" s="25" t="n">
        <x:v>40443.308333333334</x:v>
      </x:c>
      <x:c r="E5471" s="25" t="n">
        <x:v>40443.308333333334</x:v>
      </x:c>
      <x:c r="F5471" s="2" t="n">
        <x:v>444</x:v>
      </x:c>
      <x:c r="G5471" s="2" t="n">
        <x:v>1</x:v>
      </x:c>
      <x:c r="H5471" s="11" t="n">
        <x:v>185.72</x:v>
      </x:c>
      <x:c r="I5471" s="2" t="n">
        <x:v>1</x:v>
      </x:c>
      <x:c r="J5471" s="2" t="n">
        <x:v>1</x:v>
      </x:c>
      <x:c r="K5471" s="2" t="n">
        <x:v>1</x:v>
      </x:c>
      <x:c r="L5471" s="2" t="str">
        <x:v>Hibernating</x:v>
      </x:c>
    </x:row>
    <x:row r="5472" ht="22" customHeight="1">
      <x:c r="A5472" s="2"/>
      <x:c r="B5472" s="2" t="str">
        <x:v>17841</x:v>
      </x:c>
      <x:c r="C5472" s="2" t="str">
        <x:v>United Kingdom</x:v>
      </x:c>
      <x:c r="D5472" s="25" t="n">
        <x:v>40149.44513888889</x:v>
      </x:c>
      <x:c r="E5472" s="25" t="n">
        <x:v>40885.29652777778</x:v>
      </x:c>
      <x:c r="F5472" s="2" t="n">
        <x:v>2</x:v>
      </x:c>
      <x:c r="G5472" s="2" t="n">
        <x:v>211</x:v>
      </x:c>
      <x:c r="H5472" s="11" t="n">
        <x:v>69342.51</x:v>
      </x:c>
      <x:c r="I5472" s="2" t="n">
        <x:v>5</x:v>
      </x:c>
      <x:c r="J5472" s="2" t="n">
        <x:v>5</x:v>
      </x:c>
      <x:c r="K5472" s="2" t="n">
        <x:v>5</x:v>
      </x:c>
      <x:c r="L5472" s="2" t="str">
        <x:v>Champions</x:v>
      </x:c>
    </x:row>
    <x:row r="5473" ht="22" customHeight="1">
      <x:c r="A5473" s="2"/>
      <x:c r="B5473" s="2" t="str">
        <x:v>17842</x:v>
      </x:c>
      <x:c r="C5473" s="2" t="str">
        <x:v>United Kingdom</x:v>
      </x:c>
      <x:c r="D5473" s="25" t="n">
        <x:v>40284.39097222222</x:v>
      </x:c>
      <x:c r="E5473" s="25" t="n">
        <x:v>40284.39097222222</x:v>
      </x:c>
      <x:c r="F5473" s="2" t="n">
        <x:v>603</x:v>
      </x:c>
      <x:c r="G5473" s="2" t="n">
        <x:v>1</x:v>
      </x:c>
      <x:c r="H5473" s="11" t="n">
        <x:v>430.69</x:v>
      </x:c>
      <x:c r="I5473" s="2" t="n">
        <x:v>1</x:v>
      </x:c>
      <x:c r="J5473" s="2" t="n">
        <x:v>1</x:v>
      </x:c>
      <x:c r="K5473" s="2" t="n">
        <x:v>2</x:v>
      </x:c>
      <x:c r="L5473" s="2" t="str">
        <x:v>Hibernating</x:v>
      </x:c>
    </x:row>
    <x:row r="5474" ht="22" customHeight="1">
      <x:c r="A5474" s="2"/>
      <x:c r="B5474" s="2" t="str">
        <x:v>17843</x:v>
      </x:c>
      <x:c r="C5474" s="2" t="str">
        <x:v>United Kingdom</x:v>
      </x:c>
      <x:c r="D5474" s="25" t="n">
        <x:v>40475.24722222222</x:v>
      </x:c>
      <x:c r="E5474" s="25" t="n">
        <x:v>40583.43958333333</x:v>
      </x:c>
      <x:c r="F5474" s="2" t="n">
        <x:v>304</x:v>
      </x:c>
      <x:c r="G5474" s="2" t="n">
        <x:v>2</x:v>
      </x:c>
      <x:c r="H5474" s="11" t="n">
        <x:v>326.23</x:v>
      </x:c>
      <x:c r="I5474" s="2" t="n">
        <x:v>2</x:v>
      </x:c>
      <x:c r="J5474" s="2" t="n">
        <x:v>2</x:v>
      </x:c>
      <x:c r="K5474" s="2" t="n">
        <x:v>2</x:v>
      </x:c>
      <x:c r="L5474" s="2" t="str">
        <x:v>Hibernating</x:v>
      </x:c>
    </x:row>
    <x:row r="5475" ht="22" customHeight="1">
      <x:c r="A5475" s="2"/>
      <x:c r="B5475" s="2" t="str">
        <x:v>17844</x:v>
      </x:c>
      <x:c r="C5475" s="2" t="str">
        <x:v>Canada</x:v>
      </x:c>
      <x:c r="D5475" s="25" t="n">
        <x:v>40780.26875</x:v>
      </x:c>
      <x:c r="E5475" s="25" t="n">
        <x:v>40780.26875</x:v>
      </x:c>
      <x:c r="F5475" s="2" t="n">
        <x:v>107</x:v>
      </x:c>
      <x:c r="G5475" s="2" t="n">
        <x:v>1</x:v>
      </x:c>
      <x:c r="H5475" s="11" t="n">
        <x:v>51.56</x:v>
      </x:c>
      <x:c r="I5475" s="2" t="n">
        <x:v>3</x:v>
      </x:c>
      <x:c r="J5475" s="2" t="n">
        <x:v>1</x:v>
      </x:c>
      <x:c r="K5475" s="2" t="n">
        <x:v>1</x:v>
      </x:c>
      <x:c r="L5475" s="2" t="str">
        <x:v>Developing</x:v>
      </x:c>
    </x:row>
    <x:row r="5476" ht="22" customHeight="1">
      <x:c r="A5476" s="2"/>
      <x:c r="B5476" s="2" t="str">
        <x:v>17845</x:v>
      </x:c>
      <x:c r="C5476" s="2" t="str">
        <x:v>United Kingdom</x:v>
      </x:c>
      <x:c r="D5476" s="25" t="n">
        <x:v>40310.33611111111</x:v>
      </x:c>
      <x:c r="E5476" s="25" t="n">
        <x:v>40331.430555555555</x:v>
      </x:c>
      <x:c r="F5476" s="2" t="n">
        <x:v>556</x:v>
      </x:c>
      <x:c r="G5476" s="2" t="n">
        <x:v>4</x:v>
      </x:c>
      <x:c r="H5476" s="11" t="n">
        <x:v>598.19</x:v>
      </x:c>
      <x:c r="I5476" s="2" t="n">
        <x:v>1</x:v>
      </x:c>
      <x:c r="J5476" s="2" t="n">
        <x:v>3</x:v>
      </x:c>
      <x:c r="K5476" s="2" t="n">
        <x:v>2</x:v>
      </x:c>
      <x:c r="L5476" s="2" t="str">
        <x:v>At risk</x:v>
      </x:c>
    </x:row>
    <x:row r="5477" ht="22" customHeight="1">
      <x:c r="A5477" s="2"/>
      <x:c r="B5477" s="2" t="str">
        <x:v>17846</x:v>
      </x:c>
      <x:c r="C5477" s="2" t="str">
        <x:v>United Kingdom</x:v>
      </x:c>
      <x:c r="D5477" s="25" t="n">
        <x:v>40801.430555555555</x:v>
      </x:c>
      <x:c r="E5477" s="25" t="n">
        <x:v>40801.430555555555</x:v>
      </x:c>
      <x:c r="F5477" s="2" t="n">
        <x:v>86</x:v>
      </x:c>
      <x:c r="G5477" s="2" t="n">
        <x:v>1</x:v>
      </x:c>
      <x:c r="H5477" s="11" t="n">
        <x:v>2033.1</x:v>
      </x:c>
      <x:c r="I5477" s="2" t="n">
        <x:v>3</x:v>
      </x:c>
      <x:c r="J5477" s="2" t="n">
        <x:v>1</x:v>
      </x:c>
      <x:c r="K5477" s="2" t="n">
        <x:v>4</x:v>
      </x:c>
      <x:c r="L5477" s="2" t="str">
        <x:v>Developing</x:v>
      </x:c>
    </x:row>
    <x:row r="5478" ht="22" customHeight="1">
      <x:c r="A5478" s="2"/>
      <x:c r="B5478" s="2" t="str">
        <x:v>17847</x:v>
      </x:c>
      <x:c r="C5478" s="2" t="str">
        <x:v>United Kingdom</x:v>
      </x:c>
      <x:c r="D5478" s="25" t="n">
        <x:v>40241.33125</x:v>
      </x:c>
      <x:c r="E5478" s="25" t="n">
        <x:v>40371.208333333336</x:v>
      </x:c>
      <x:c r="F5478" s="2" t="n">
        <x:v>516</x:v>
      </x:c>
      <x:c r="G5478" s="2" t="n">
        <x:v>2</x:v>
      </x:c>
      <x:c r="H5478" s="11" t="n">
        <x:v>129.69</x:v>
      </x:c>
      <x:c r="I5478" s="2" t="n">
        <x:v>1</x:v>
      </x:c>
      <x:c r="J5478" s="2" t="n">
        <x:v>2</x:v>
      </x:c>
      <x:c r="K5478" s="2" t="n">
        <x:v>1</x:v>
      </x:c>
      <x:c r="L5478" s="2" t="str">
        <x:v>Hibernating</x:v>
      </x:c>
    </x:row>
    <x:row r="5479" ht="22" customHeight="1">
      <x:c r="A5479" s="2"/>
      <x:c r="B5479" s="2" t="str">
        <x:v>17848</x:v>
      </x:c>
      <x:c r="C5479" s="2" t="str">
        <x:v>United Kingdom</x:v>
      </x:c>
      <x:c r="D5479" s="25" t="n">
        <x:v>40153.34652777778</x:v>
      </x:c>
      <x:c r="E5479" s="25" t="n">
        <x:v>40805.49236111111</x:v>
      </x:c>
      <x:c r="F5479" s="2" t="n">
        <x:v>82</x:v>
      </x:c>
      <x:c r="G5479" s="2" t="n">
        <x:v>30</x:v>
      </x:c>
      <x:c r="H5479" s="11" t="n">
        <x:v>3650.9</x:v>
      </x:c>
      <x:c r="I5479" s="2" t="n">
        <x:v>3</x:v>
      </x:c>
      <x:c r="J5479" s="2" t="n">
        <x:v>5</x:v>
      </x:c>
      <x:c r="K5479" s="2" t="n">
        <x:v>5</x:v>
      </x:c>
      <x:c r="L5479" s="2" t="str">
        <x:v>Loyal</x:v>
      </x:c>
    </x:row>
    <x:row r="5480" ht="22" customHeight="1">
      <x:c r="A5480" s="2"/>
      <x:c r="B5480" s="2" t="str">
        <x:v>17849</x:v>
      </x:c>
      <x:c r="C5480" s="2" t="str">
        <x:v>United Kingdom</x:v>
      </x:c>
      <x:c r="D5480" s="25" t="n">
        <x:v>40251.42847222222</x:v>
      </x:c>
      <x:c r="E5480" s="25" t="n">
        <x:v>40668.365277777775</x:v>
      </x:c>
      <x:c r="F5480" s="2" t="n">
        <x:v>219</x:v>
      </x:c>
      <x:c r="G5480" s="2" t="n">
        <x:v>8</x:v>
      </x:c>
      <x:c r="H5480" s="11" t="n">
        <x:v>1063.76</x:v>
      </x:c>
      <x:c r="I5480" s="2" t="n">
        <x:v>2</x:v>
      </x:c>
      <x:c r="J5480" s="2" t="n">
        <x:v>4</x:v>
      </x:c>
      <x:c r="K5480" s="2" t="n">
        <x:v>3</x:v>
      </x:c>
      <x:c r="L5480" s="2" t="str">
        <x:v>At risk</x:v>
      </x:c>
    </x:row>
    <x:row r="5481" ht="22" customHeight="1">
      <x:c r="A5481" s="2"/>
      <x:c r="B5481" s="2" t="str">
        <x:v>17850</x:v>
      </x:c>
      <x:c r="C5481" s="2" t="str">
        <x:v>United Kingdom</x:v>
      </x:c>
      <x:c r="D5481" s="25" t="n">
        <x:v>40152.311111111114</x:v>
      </x:c>
      <x:c r="E5481" s="25" t="n">
        <x:v>40514.43541666667</x:v>
      </x:c>
      <x:c r="F5481" s="2" t="n">
        <x:v>373</x:v>
      </x:c>
      <x:c r="G5481" s="2" t="n">
        <x:v>155</x:v>
      </x:c>
      <x:c r="H5481" s="11" t="n">
        <x:v>51208.87</x:v>
      </x:c>
      <x:c r="I5481" s="2" t="n">
        <x:v>2</x:v>
      </x:c>
      <x:c r="J5481" s="2" t="n">
        <x:v>5</x:v>
      </x:c>
      <x:c r="K5481" s="2" t="n">
        <x:v>5</x:v>
      </x:c>
      <x:c r="L5481" s="2" t="str">
        <x:v>At risk</x:v>
      </x:c>
    </x:row>
    <x:row r="5482" ht="22" customHeight="1">
      <x:c r="A5482" s="2"/>
      <x:c r="B5482" s="2" t="str">
        <x:v>17851</x:v>
      </x:c>
      <x:c r="C5482" s="2" t="str">
        <x:v>United Kingdom</x:v>
      </x:c>
      <x:c r="D5482" s="25" t="n">
        <x:v>40150.53194444445</x:v>
      </x:c>
      <x:c r="E5482" s="25" t="n">
        <x:v>40464.42569444444</x:v>
      </x:c>
      <x:c r="F5482" s="2" t="n">
        <x:v>423</x:v>
      </x:c>
      <x:c r="G5482" s="2" t="n">
        <x:v>6</x:v>
      </x:c>
      <x:c r="H5482" s="11" t="n">
        <x:v>1563.34</x:v>
      </x:c>
      <x:c r="I5482" s="2" t="n">
        <x:v>1</x:v>
      </x:c>
      <x:c r="J5482" s="2" t="n">
        <x:v>4</x:v>
      </x:c>
      <x:c r="K5482" s="2" t="n">
        <x:v>4</x:v>
      </x:c>
      <x:c r="L5482" s="2" t="str">
        <x:v>At risk</x:v>
      </x:c>
    </x:row>
    <x:row r="5483" ht="22" customHeight="1">
      <x:c r="A5483" s="2"/>
      <x:c r="B5483" s="2" t="str">
        <x:v>17852</x:v>
      </x:c>
      <x:c r="C5483" s="2" t="str">
        <x:v>United Kingdom</x:v>
      </x:c>
      <x:c r="D5483" s="25" t="n">
        <x:v>40155.32708333333</x:v>
      </x:c>
      <x:c r="E5483" s="25" t="n">
        <x:v>40875.316666666666</x:v>
      </x:c>
      <x:c r="F5483" s="2" t="n">
        <x:v>12</x:v>
      </x:c>
      <x:c r="G5483" s="2" t="n">
        <x:v>5</x:v>
      </x:c>
      <x:c r="H5483" s="11" t="n">
        <x:v>663.21</x:v>
      </x:c>
      <x:c r="I5483" s="2" t="n">
        <x:v>5</x:v>
      </x:c>
      <x:c r="J5483" s="2" t="n">
        <x:v>4</x:v>
      </x:c>
      <x:c r="K5483" s="2" t="n">
        <x:v>3</x:v>
      </x:c>
      <x:c r="L5483" s="2" t="str">
        <x:v>Loyal</x:v>
      </x:c>
    </x:row>
    <x:row r="5484" ht="22" customHeight="1">
      <x:c r="A5484" s="2"/>
      <x:c r="B5484" s="2" t="str">
        <x:v>17853</x:v>
      </x:c>
      <x:c r="C5484" s="2" t="str">
        <x:v>United Kingdom</x:v>
      </x:c>
      <x:c r="D5484" s="25" t="n">
        <x:v>40150.42291666667</x:v>
      </x:c>
      <x:c r="E5484" s="25" t="n">
        <x:v>40479.43680555555</x:v>
      </x:c>
      <x:c r="F5484" s="2" t="n">
        <x:v>408</x:v>
      </x:c>
      <x:c r="G5484" s="2" t="n">
        <x:v>3</x:v>
      </x:c>
      <x:c r="H5484" s="11" t="n">
        <x:v>1608.19</x:v>
      </x:c>
      <x:c r="I5484" s="2" t="n">
        <x:v>2</x:v>
      </x:c>
      <x:c r="J5484" s="2" t="n">
        <x:v>3</x:v>
      </x:c>
      <x:c r="K5484" s="2" t="n">
        <x:v>4</x:v>
      </x:c>
      <x:c r="L5484" s="2" t="str">
        <x:v>At risk</x:v>
      </x:c>
    </x:row>
    <x:row r="5485" ht="22" customHeight="1">
      <x:c r="A5485" s="2"/>
      <x:c r="B5485" s="2" t="str">
        <x:v>17854</x:v>
      </x:c>
      <x:c r="C5485" s="2" t="str">
        <x:v>United Kingdom</x:v>
      </x:c>
      <x:c r="D5485" s="25" t="n">
        <x:v>40155.25902777778</x:v>
      </x:c>
      <x:c r="E5485" s="25" t="n">
        <x:v>40701.472916666666</x:v>
      </x:c>
      <x:c r="F5485" s="2" t="n">
        <x:v>186</x:v>
      </x:c>
      <x:c r="G5485" s="2" t="n">
        <x:v>6</x:v>
      </x:c>
      <x:c r="H5485" s="11" t="n">
        <x:v>1071.45</x:v>
      </x:c>
      <x:c r="I5485" s="2" t="n">
        <x:v>3</x:v>
      </x:c>
      <x:c r="J5485" s="2" t="n">
        <x:v>4</x:v>
      </x:c>
      <x:c r="K5485" s="2" t="n">
        <x:v>3</x:v>
      </x:c>
      <x:c r="L5485" s="2" t="str">
        <x:v>Loyal</x:v>
      </x:c>
    </x:row>
    <x:row r="5486" ht="22" customHeight="1">
      <x:c r="A5486" s="2"/>
      <x:c r="B5486" s="2" t="str">
        <x:v>17855</x:v>
      </x:c>
      <x:c r="C5486" s="2" t="str">
        <x:v>United Kingdom</x:v>
      </x:c>
      <x:c r="D5486" s="25" t="n">
        <x:v>40514.197222222225</x:v>
      </x:c>
      <x:c r="E5486" s="25" t="n">
        <x:v>40514.197222222225</x:v>
      </x:c>
      <x:c r="F5486" s="2" t="n">
        <x:v>373</x:v>
      </x:c>
      <x:c r="G5486" s="2" t="n">
        <x:v>1</x:v>
      </x:c>
      <x:c r="H5486" s="11" t="n">
        <x:v>208.97</x:v>
      </x:c>
      <x:c r="I5486" s="2" t="n">
        <x:v>2</x:v>
      </x:c>
      <x:c r="J5486" s="2" t="n">
        <x:v>1</x:v>
      </x:c>
      <x:c r="K5486" s="2" t="n">
        <x:v>1</x:v>
      </x:c>
      <x:c r="L5486" s="2" t="str">
        <x:v>Hibernating</x:v>
      </x:c>
    </x:row>
    <x:row r="5487" ht="22" customHeight="1">
      <x:c r="A5487" s="2"/>
      <x:c r="B5487" s="2" t="str">
        <x:v>17856</x:v>
      </x:c>
      <x:c r="C5487" s="2" t="str">
        <x:v>United Kingdom</x:v>
      </x:c>
      <x:c r="D5487" s="25" t="n">
        <x:v>40605.27777777778</x:v>
      </x:c>
      <x:c r="E5487" s="25" t="n">
        <x:v>40885.194444444445</x:v>
      </x:c>
      <x:c r="F5487" s="2" t="n">
        <x:v>2</x:v>
      </x:c>
      <x:c r="G5487" s="2" t="n">
        <x:v>4</x:v>
      </x:c>
      <x:c r="H5487" s="11" t="n">
        <x:v>1418.03</x:v>
      </x:c>
      <x:c r="I5487" s="2" t="n">
        <x:v>5</x:v>
      </x:c>
      <x:c r="J5487" s="2" t="n">
        <x:v>3</x:v>
      </x:c>
      <x:c r="K5487" s="2" t="n">
        <x:v>4</x:v>
      </x:c>
      <x:c r="L5487" s="2" t="str">
        <x:v>Loyal</x:v>
      </x:c>
    </x:row>
    <x:row r="5488" ht="22" customHeight="1">
      <x:c r="A5488" s="2"/>
      <x:c r="B5488" s="2" t="str">
        <x:v>17857</x:v>
      </x:c>
      <x:c r="C5488" s="2" t="str">
        <x:v>United Kingdom</x:v>
      </x:c>
      <x:c r="D5488" s="25" t="n">
        <x:v>40245.29791666667</x:v>
      </x:c>
      <x:c r="E5488" s="25" t="n">
        <x:v>40882.342361111114</x:v>
      </x:c>
      <x:c r="F5488" s="2" t="n">
        <x:v>5</x:v>
      </x:c>
      <x:c r="G5488" s="2" t="n">
        <x:v>24</x:v>
      </x:c>
      <x:c r="H5488" s="11" t="n">
        <x:v>27347.04</x:v>
      </x:c>
      <x:c r="I5488" s="2" t="n">
        <x:v>5</x:v>
      </x:c>
      <x:c r="J5488" s="2" t="n">
        <x:v>5</x:v>
      </x:c>
      <x:c r="K5488" s="2" t="n">
        <x:v>5</x:v>
      </x:c>
      <x:c r="L5488" s="2" t="str">
        <x:v>Champions</x:v>
      </x:c>
    </x:row>
    <x:row r="5489" ht="22" customHeight="1">
      <x:c r="A5489" s="2"/>
      <x:c r="B5489" s="2" t="str">
        <x:v>17858</x:v>
      </x:c>
      <x:c r="C5489" s="2" t="str">
        <x:v>United Kingdom</x:v>
      </x:c>
      <x:c r="D5489" s="25" t="n">
        <x:v>40153.44513888889</x:v>
      </x:c>
      <x:c r="E5489" s="25" t="n">
        <x:v>40881.28888888889</x:v>
      </x:c>
      <x:c r="F5489" s="2" t="n">
        <x:v>6</x:v>
      </x:c>
      <x:c r="G5489" s="2" t="n">
        <x:v>30</x:v>
      </x:c>
      <x:c r="H5489" s="11" t="n">
        <x:v>12546.4</x:v>
      </x:c>
      <x:c r="I5489" s="2" t="n">
        <x:v>5</x:v>
      </x:c>
      <x:c r="J5489" s="2" t="n">
        <x:v>5</x:v>
      </x:c>
      <x:c r="K5489" s="2" t="n">
        <x:v>5</x:v>
      </x:c>
      <x:c r="L5489" s="2" t="str">
        <x:v>Champions</x:v>
      </x:c>
    </x:row>
    <x:row r="5490" ht="22" customHeight="1">
      <x:c r="A5490" s="2"/>
      <x:c r="B5490" s="2" t="str">
        <x:v>17859</x:v>
      </x:c>
      <x:c r="C5490" s="2" t="str">
        <x:v>United Kingdom</x:v>
      </x:c>
      <x:c r="D5490" s="25" t="n">
        <x:v>40582.23055555556</x:v>
      </x:c>
      <x:c r="E5490" s="25" t="n">
        <x:v>40582.23055555556</x:v>
      </x:c>
      <x:c r="F5490" s="2" t="n">
        <x:v>305</x:v>
      </x:c>
      <x:c r="G5490" s="2" t="n">
        <x:v>1</x:v>
      </x:c>
      <x:c r="H5490" s="11" t="n">
        <x:v>148.21</x:v>
      </x:c>
      <x:c r="I5490" s="2" t="n">
        <x:v>2</x:v>
      </x:c>
      <x:c r="J5490" s="2" t="n">
        <x:v>1</x:v>
      </x:c>
      <x:c r="K5490" s="2" t="n">
        <x:v>1</x:v>
      </x:c>
      <x:c r="L5490" s="2" t="str">
        <x:v>Hibernating</x:v>
      </x:c>
    </x:row>
    <x:row r="5491" ht="22" customHeight="1">
      <x:c r="A5491" s="2"/>
      <x:c r="B5491" s="2" t="str">
        <x:v>17860</x:v>
      </x:c>
      <x:c r="C5491" s="2" t="str">
        <x:v>United Kingdom</x:v>
      </x:c>
      <x:c r="D5491" s="25" t="n">
        <x:v>40158.49166666667</x:v>
      </x:c>
      <x:c r="E5491" s="25" t="n">
        <x:v>40518.32013888889</x:v>
      </x:c>
      <x:c r="F5491" s="2" t="n">
        <x:v>369</x:v>
      </x:c>
      <x:c r="G5491" s="2" t="n">
        <x:v>4</x:v>
      </x:c>
      <x:c r="H5491" s="11" t="n">
        <x:v>762.74</x:v>
      </x:c>
      <x:c r="I5491" s="2" t="n">
        <x:v>2</x:v>
      </x:c>
      <x:c r="J5491" s="2" t="n">
        <x:v>3</x:v>
      </x:c>
      <x:c r="K5491" s="2" t="n">
        <x:v>3</x:v>
      </x:c>
      <x:c r="L5491" s="2" t="str">
        <x:v>At risk</x:v>
      </x:c>
    </x:row>
    <x:row r="5492" ht="22" customHeight="1">
      <x:c r="A5492" s="2"/>
      <x:c r="B5492" s="2" t="str">
        <x:v>17861</x:v>
      </x:c>
      <x:c r="C5492" s="2" t="str">
        <x:v>United Kingdom</x:v>
      </x:c>
      <x:c r="D5492" s="25" t="n">
        <x:v>40157.26875</x:v>
      </x:c>
      <x:c r="E5492" s="25" t="n">
        <x:v>40883.472916666666</x:v>
      </x:c>
      <x:c r="F5492" s="2" t="n">
        <x:v>4</x:v>
      </x:c>
      <x:c r="G5492" s="2" t="n">
        <x:v>18</x:v>
      </x:c>
      <x:c r="H5492" s="11" t="n">
        <x:v>5127.69</x:v>
      </x:c>
      <x:c r="I5492" s="2" t="n">
        <x:v>5</x:v>
      </x:c>
      <x:c r="J5492" s="2" t="n">
        <x:v>5</x:v>
      </x:c>
      <x:c r="K5492" s="2" t="n">
        <x:v>5</x:v>
      </x:c>
      <x:c r="L5492" s="2" t="str">
        <x:v>Champions</x:v>
      </x:c>
    </x:row>
    <x:row r="5493" ht="22" customHeight="1">
      <x:c r="A5493" s="2"/>
      <x:c r="B5493" s="2" t="str">
        <x:v>17862</x:v>
      </x:c>
      <x:c r="C5493" s="2" t="str">
        <x:v>United Kingdom</x:v>
      </x:c>
      <x:c r="D5493" s="25" t="n">
        <x:v>40323.51527777778</x:v>
      </x:c>
      <x:c r="E5493" s="25" t="n">
        <x:v>40563.30763888889</x:v>
      </x:c>
      <x:c r="F5493" s="2" t="n">
        <x:v>324</x:v>
      </x:c>
      <x:c r="G5493" s="2" t="n">
        <x:v>4</x:v>
      </x:c>
      <x:c r="H5493" s="11" t="n">
        <x:v>1279.09</x:v>
      </x:c>
      <x:c r="I5493" s="2" t="n">
        <x:v>2</x:v>
      </x:c>
      <x:c r="J5493" s="2" t="n">
        <x:v>3</x:v>
      </x:c>
      <x:c r="K5493" s="2" t="n">
        <x:v>4</x:v>
      </x:c>
      <x:c r="L5493" s="2" t="str">
        <x:v>At risk</x:v>
      </x:c>
    </x:row>
    <x:row r="5494" ht="22" customHeight="1">
      <x:c r="A5494" s="2"/>
      <x:c r="B5494" s="2" t="str">
        <x:v>17863</x:v>
      </x:c>
      <x:c r="C5494" s="2" t="str">
        <x:v>United Kingdom</x:v>
      </x:c>
      <x:c r="D5494" s="25" t="n">
        <x:v>40234.29236111111</x:v>
      </x:c>
      <x:c r="E5494" s="25" t="n">
        <x:v>40827.364583333336</x:v>
      </x:c>
      <x:c r="F5494" s="2" t="n">
        <x:v>60</x:v>
      </x:c>
      <x:c r="G5494" s="2" t="n">
        <x:v>12</x:v>
      </x:c>
      <x:c r="H5494" s="11" t="n">
        <x:v>5360.48</x:v>
      </x:c>
      <x:c r="I5494" s="2" t="n">
        <x:v>3</x:v>
      </x:c>
      <x:c r="J5494" s="2" t="n">
        <x:v>5</x:v>
      </x:c>
      <x:c r="K5494" s="2" t="n">
        <x:v>5</x:v>
      </x:c>
      <x:c r="L5494" s="2" t="str">
        <x:v>Loyal</x:v>
      </x:c>
    </x:row>
    <x:row r="5495" ht="22" customHeight="1">
      <x:c r="A5495" s="2"/>
      <x:c r="B5495" s="2" t="str">
        <x:v>17864</x:v>
      </x:c>
      <x:c r="C5495" s="2" t="str">
        <x:v>United Kingdom</x:v>
      </x:c>
      <x:c r="D5495" s="25" t="n">
        <x:v>40459.28402777778</x:v>
      </x:c>
      <x:c r="E5495" s="25" t="n">
        <x:v>40874.260416666664</x:v>
      </x:c>
      <x:c r="F5495" s="2" t="n">
        <x:v>13</x:v>
      </x:c>
      <x:c r="G5495" s="2" t="n">
        <x:v>5</x:v>
      </x:c>
      <x:c r="H5495" s="11" t="n">
        <x:v>924.32</x:v>
      </x:c>
      <x:c r="I5495" s="2" t="n">
        <x:v>5</x:v>
      </x:c>
      <x:c r="J5495" s="2" t="n">
        <x:v>4</x:v>
      </x:c>
      <x:c r="K5495" s="2" t="n">
        <x:v>3</x:v>
      </x:c>
      <x:c r="L5495" s="2" t="str">
        <x:v>Loyal</x:v>
      </x:c>
    </x:row>
    <x:row r="5496" ht="22" customHeight="1">
      <x:c r="A5496" s="2"/>
      <x:c r="B5496" s="2" t="str">
        <x:v>17865</x:v>
      </x:c>
      <x:c r="C5496" s="2" t="str">
        <x:v>United Kingdom</x:v>
      </x:c>
      <x:c r="D5496" s="25" t="n">
        <x:v>40148.24236111111</x:v>
      </x:c>
      <x:c r="E5496" s="25" t="n">
        <x:v>40856.29722222222</x:v>
      </x:c>
      <x:c r="F5496" s="2" t="n">
        <x:v>31</x:v>
      </x:c>
      <x:c r="G5496" s="2" t="n">
        <x:v>46</x:v>
      </x:c>
      <x:c r="H5496" s="11" t="n">
        <x:v>26374.39</x:v>
      </x:c>
      <x:c r="I5496" s="2" t="n">
        <x:v>4</x:v>
      </x:c>
      <x:c r="J5496" s="2" t="n">
        <x:v>5</x:v>
      </x:c>
      <x:c r="K5496" s="2" t="n">
        <x:v>5</x:v>
      </x:c>
      <x:c r="L5496" s="2" t="str">
        <x:v>Champions</x:v>
      </x:c>
    </x:row>
    <x:row r="5497" ht="22" customHeight="1">
      <x:c r="A5497" s="2"/>
      <x:c r="B5497" s="2" t="str">
        <x:v>17866</x:v>
      </x:c>
      <x:c r="C5497" s="2" t="str">
        <x:v>United Kingdom</x:v>
      </x:c>
      <x:c r="D5497" s="25" t="n">
        <x:v>40161.459027777775</x:v>
      </x:c>
      <x:c r="E5497" s="25" t="n">
        <x:v>40744.25486111111</x:v>
      </x:c>
      <x:c r="F5497" s="2" t="n">
        <x:v>143</x:v>
      </x:c>
      <x:c r="G5497" s="2" t="n">
        <x:v>3</x:v>
      </x:c>
      <x:c r="H5497" s="11" t="n">
        <x:v>1134.95</x:v>
      </x:c>
      <x:c r="I5497" s="2" t="n">
        <x:v>3</x:v>
      </x:c>
      <x:c r="J5497" s="2" t="n">
        <x:v>3</x:v>
      </x:c>
      <x:c r="K5497" s="2" t="n">
        <x:v>3</x:v>
      </x:c>
      <x:c r="L5497" s="2" t="str">
        <x:v>Loyal</x:v>
      </x:c>
    </x:row>
    <x:row r="5498" ht="22" customHeight="1">
      <x:c r="A5498" s="2"/>
      <x:c r="B5498" s="2" t="str">
        <x:v>17867</x:v>
      </x:c>
      <x:c r="C5498" s="2" t="str">
        <x:v>United Kingdom</x:v>
      </x:c>
      <x:c r="D5498" s="25" t="n">
        <x:v>40149.36041666667</x:v>
      </x:c>
      <x:c r="E5498" s="25" t="n">
        <x:v>40856.385416666664</x:v>
      </x:c>
      <x:c r="F5498" s="2" t="n">
        <x:v>31</x:v>
      </x:c>
      <x:c r="G5498" s="2" t="n">
        <x:v>15</x:v>
      </x:c>
      <x:c r="H5498" s="11" t="n">
        <x:v>1621.28</x:v>
      </x:c>
      <x:c r="I5498" s="2" t="n">
        <x:v>4</x:v>
      </x:c>
      <x:c r="J5498" s="2" t="n">
        <x:v>5</x:v>
      </x:c>
      <x:c r="K5498" s="2" t="n">
        <x:v>4</x:v>
      </x:c>
      <x:c r="L5498" s="2" t="str">
        <x:v>Champions</x:v>
      </x:c>
    </x:row>
    <x:row r="5499" ht="22" customHeight="1">
      <x:c r="A5499" s="2"/>
      <x:c r="B5499" s="2" t="str">
        <x:v>17868</x:v>
      </x:c>
      <x:c r="C5499" s="2" t="str">
        <x:v>United Kingdom</x:v>
      </x:c>
      <x:c r="D5499" s="25" t="n">
        <x:v>40500.57986111111</x:v>
      </x:c>
      <x:c r="E5499" s="25" t="n">
        <x:v>40500.57986111111</x:v>
      </x:c>
      <x:c r="F5499" s="2" t="n">
        <x:v>387</x:v>
      </x:c>
      <x:c r="G5499" s="2" t="n">
        <x:v>1</x:v>
      </x:c>
      <x:c r="H5499" s="11" t="n">
        <x:v>234.65</x:v>
      </x:c>
      <x:c r="I5499" s="2" t="n">
        <x:v>2</x:v>
      </x:c>
      <x:c r="J5499" s="2" t="n">
        <x:v>1</x:v>
      </x:c>
      <x:c r="K5499" s="2" t="n">
        <x:v>1</x:v>
      </x:c>
      <x:c r="L5499" s="2" t="str">
        <x:v>Hibernating</x:v>
      </x:c>
    </x:row>
    <x:row r="5500" ht="22" customHeight="1">
      <x:c r="A5500" s="2"/>
      <x:c r="B5500" s="2" t="str">
        <x:v>17869</x:v>
      </x:c>
      <x:c r="C5500" s="2" t="str">
        <x:v>United Kingdom</x:v>
      </x:c>
      <x:c r="D5500" s="25" t="n">
        <x:v>40339.36597222222</x:v>
      </x:c>
      <x:c r="E5500" s="25" t="n">
        <x:v>40779.46944444445</x:v>
      </x:c>
      <x:c r="F5500" s="2" t="n">
        <x:v>108</x:v>
      </x:c>
      <x:c r="G5500" s="2" t="n">
        <x:v>7</x:v>
      </x:c>
      <x:c r="H5500" s="11" t="n">
        <x:v>821.84</x:v>
      </x:c>
      <x:c r="I5500" s="2" t="n">
        <x:v>3</x:v>
      </x:c>
      <x:c r="J5500" s="2" t="n">
        <x:v>4</x:v>
      </x:c>
      <x:c r="K5500" s="2" t="n">
        <x:v>3</x:v>
      </x:c>
      <x:c r="L5500" s="2" t="str">
        <x:v>Loyal</x:v>
      </x:c>
    </x:row>
    <x:row r="5501" ht="22" customHeight="1">
      <x:c r="A5501" s="2"/>
      <x:c r="B5501" s="2" t="str">
        <x:v>17870</x:v>
      </x:c>
      <x:c r="C5501" s="2" t="str">
        <x:v>United Kingdom</x:v>
      </x:c>
      <x:c r="D5501" s="25" t="n">
        <x:v>40505.277083333334</x:v>
      </x:c>
      <x:c r="E5501" s="25" t="n">
        <x:v>40884.42152777778</x:v>
      </x:c>
      <x:c r="F5501" s="2" t="n">
        <x:v>3</x:v>
      </x:c>
      <x:c r="G5501" s="2" t="n">
        <x:v>13</x:v>
      </x:c>
      <x:c r="H5501" s="11" t="n">
        <x:v>2781.75</x:v>
      </x:c>
      <x:c r="I5501" s="2" t="n">
        <x:v>5</x:v>
      </x:c>
      <x:c r="J5501" s="2" t="n">
        <x:v>5</x:v>
      </x:c>
      <x:c r="K5501" s="2" t="n">
        <x:v>4</x:v>
      </x:c>
      <x:c r="L5501" s="2" t="str">
        <x:v>Champions</x:v>
      </x:c>
    </x:row>
    <x:row r="5502" ht="22" customHeight="1">
      <x:c r="A5502" s="2"/>
      <x:c r="B5502" s="2" t="str">
        <x:v>17871</x:v>
      </x:c>
      <x:c r="C5502" s="2" t="str">
        <x:v>United Kingdom</x:v>
      </x:c>
      <x:c r="D5502" s="25" t="n">
        <x:v>40193.40833333333</x:v>
      </x:c>
      <x:c r="E5502" s="25" t="n">
        <x:v>40682.27222222222</x:v>
      </x:c>
      <x:c r="F5502" s="2" t="n">
        <x:v>205</x:v>
      </x:c>
      <x:c r="G5502" s="2" t="n">
        <x:v>5</x:v>
      </x:c>
      <x:c r="H5502" s="11" t="n">
        <x:v>1118.99</x:v>
      </x:c>
      <x:c r="I5502" s="2" t="n">
        <x:v>2</x:v>
      </x:c>
      <x:c r="J5502" s="2" t="n">
        <x:v>4</x:v>
      </x:c>
      <x:c r="K5502" s="2" t="n">
        <x:v>3</x:v>
      </x:c>
      <x:c r="L5502" s="2" t="str">
        <x:v>At risk</x:v>
      </x:c>
    </x:row>
    <x:row r="5503" ht="22" customHeight="1">
      <x:c r="A5503" s="2"/>
      <x:c r="B5503" s="2" t="str">
        <x:v>17872</x:v>
      </x:c>
      <x:c r="C5503" s="2" t="str">
        <x:v>United Kingdom</x:v>
      </x:c>
      <x:c r="D5503" s="25" t="n">
        <x:v>40505.29305555556</x:v>
      </x:c>
      <x:c r="E5503" s="25" t="n">
        <x:v>40505.29305555556</x:v>
      </x:c>
      <x:c r="F5503" s="2" t="n">
        <x:v>382</x:v>
      </x:c>
      <x:c r="G5503" s="2" t="n">
        <x:v>1</x:v>
      </x:c>
      <x:c r="H5503" s="11" t="n">
        <x:v>235.87</x:v>
      </x:c>
      <x:c r="I5503" s="2" t="n">
        <x:v>2</x:v>
      </x:c>
      <x:c r="J5503" s="2" t="n">
        <x:v>1</x:v>
      </x:c>
      <x:c r="K5503" s="2" t="n">
        <x:v>1</x:v>
      </x:c>
      <x:c r="L5503" s="2" t="str">
        <x:v>Hibernating</x:v>
      </x:c>
    </x:row>
    <x:row r="5504" ht="22" customHeight="1">
      <x:c r="A5504" s="2"/>
      <x:c r="B5504" s="2" t="str">
        <x:v>17873</x:v>
      </x:c>
      <x:c r="C5504" s="2" t="str">
        <x:v>United Kingdom</x:v>
      </x:c>
      <x:c r="D5504" s="25" t="n">
        <x:v>40163.424305555556</x:v>
      </x:c>
      <x:c r="E5504" s="25" t="n">
        <x:v>40806.486805555556</x:v>
      </x:c>
      <x:c r="F5504" s="2" t="n">
        <x:v>81</x:v>
      </x:c>
      <x:c r="G5504" s="2" t="n">
        <x:v>18</x:v>
      </x:c>
      <x:c r="H5504" s="11" t="n">
        <x:v>6300.73</x:v>
      </x:c>
      <x:c r="I5504" s="2" t="n">
        <x:v>3</x:v>
      </x:c>
      <x:c r="J5504" s="2" t="n">
        <x:v>5</x:v>
      </x:c>
      <x:c r="K5504" s="2" t="n">
        <x:v>5</x:v>
      </x:c>
      <x:c r="L5504" s="2" t="str">
        <x:v>Loyal</x:v>
      </x:c>
    </x:row>
    <x:row r="5505" ht="22" customHeight="1">
      <x:c r="A5505" s="2"/>
      <x:c r="B5505" s="2" t="str">
        <x:v>17874</x:v>
      </x:c>
      <x:c r="C5505" s="2" t="str">
        <x:v>United Kingdom</x:v>
      </x:c>
      <x:c r="D5505" s="25" t="n">
        <x:v>40631.26736111111</x:v>
      </x:c>
      <x:c r="E5505" s="25" t="n">
        <x:v>40701.32916666667</x:v>
      </x:c>
      <x:c r="F5505" s="2" t="n">
        <x:v>186</x:v>
      </x:c>
      <x:c r="G5505" s="2" t="n">
        <x:v>6</x:v>
      </x:c>
      <x:c r="H5505" s="11" t="n">
        <x:v>683.46</x:v>
      </x:c>
      <x:c r="I5505" s="2" t="n">
        <x:v>3</x:v>
      </x:c>
      <x:c r="J5505" s="2" t="n">
        <x:v>4</x:v>
      </x:c>
      <x:c r="K5505" s="2" t="n">
        <x:v>3</x:v>
      </x:c>
      <x:c r="L5505" s="2" t="str">
        <x:v>Loyal</x:v>
      </x:c>
    </x:row>
    <x:row r="5506" ht="22" customHeight="1">
      <x:c r="A5506" s="2"/>
      <x:c r="B5506" s="2" t="str">
        <x:v>17875</x:v>
      </x:c>
      <x:c r="C5506" s="2" t="str">
        <x:v>United Kingdom</x:v>
      </x:c>
      <x:c r="D5506" s="25" t="n">
        <x:v>40198.4375</x:v>
      </x:c>
      <x:c r="E5506" s="25" t="n">
        <x:v>40198.4375</x:v>
      </x:c>
      <x:c r="F5506" s="2" t="n">
        <x:v>689</x:v>
      </x:c>
      <x:c r="G5506" s="2" t="n">
        <x:v>1</x:v>
      </x:c>
      <x:c r="H5506" s="11" t="n">
        <x:v>167.1</x:v>
      </x:c>
      <x:c r="I5506" s="2" t="n">
        <x:v>1</x:v>
      </x:c>
      <x:c r="J5506" s="2" t="n">
        <x:v>1</x:v>
      </x:c>
      <x:c r="K5506" s="2" t="n">
        <x:v>1</x:v>
      </x:c>
      <x:c r="L5506" s="2" t="str">
        <x:v>Hibernating</x:v>
      </x:c>
    </x:row>
    <x:row r="5507" ht="22" customHeight="1">
      <x:c r="A5507" s="2"/>
      <x:c r="B5507" s="2" t="str">
        <x:v>17876</x:v>
      </x:c>
      <x:c r="C5507" s="2" t="str">
        <x:v>United Kingdom</x:v>
      </x:c>
      <x:c r="D5507" s="25" t="n">
        <x:v>40211.333333333336</x:v>
      </x:c>
      <x:c r="E5507" s="25" t="n">
        <x:v>40487.24444444444</x:v>
      </x:c>
      <x:c r="F5507" s="2" t="n">
        <x:v>400</x:v>
      </x:c>
      <x:c r="G5507" s="2" t="n">
        <x:v>3</x:v>
      </x:c>
      <x:c r="H5507" s="11" t="n">
        <x:v>3424.02</x:v>
      </x:c>
      <x:c r="I5507" s="2" t="n">
        <x:v>2</x:v>
      </x:c>
      <x:c r="J5507" s="2" t="n">
        <x:v>3</x:v>
      </x:c>
      <x:c r="K5507" s="2" t="n">
        <x:v>5</x:v>
      </x:c>
      <x:c r="L5507" s="2" t="str">
        <x:v>At risk</x:v>
      </x:c>
    </x:row>
    <x:row r="5508" ht="22" customHeight="1">
      <x:c r="A5508" s="2"/>
      <x:c r="B5508" s="2" t="str">
        <x:v>17877</x:v>
      </x:c>
      <x:c r="C5508" s="2" t="str">
        <x:v>United Kingdom</x:v>
      </x:c>
      <x:c r="D5508" s="25" t="n">
        <x:v>40716.333333333336</x:v>
      </x:c>
      <x:c r="E5508" s="25" t="n">
        <x:v>40716.333333333336</x:v>
      </x:c>
      <x:c r="F5508" s="2" t="n">
        <x:v>171</x:v>
      </x:c>
      <x:c r="G5508" s="2" t="n">
        <x:v>1</x:v>
      </x:c>
      <x:c r="H5508" s="11" t="n">
        <x:v>237.61</x:v>
      </x:c>
      <x:c r="I5508" s="2" t="n">
        <x:v>3</x:v>
      </x:c>
      <x:c r="J5508" s="2" t="n">
        <x:v>1</x:v>
      </x:c>
      <x:c r="K5508" s="2" t="n">
        <x:v>1</x:v>
      </x:c>
      <x:c r="L5508" s="2" t="str">
        <x:v>Developing</x:v>
      </x:c>
    </x:row>
    <x:row r="5509" ht="22" customHeight="1">
      <x:c r="A5509" s="2"/>
      <x:c r="B5509" s="2" t="str">
        <x:v>17878</x:v>
      </x:c>
      <x:c r="C5509" s="2" t="str">
        <x:v>United Kingdom</x:v>
      </x:c>
      <x:c r="D5509" s="25" t="n">
        <x:v>40491.368055555555</x:v>
      </x:c>
      <x:c r="E5509" s="25" t="n">
        <x:v>40843.26666666667</x:v>
      </x:c>
      <x:c r="F5509" s="2" t="n">
        <x:v>44</x:v>
      </x:c>
      <x:c r="G5509" s="2" t="n">
        <x:v>3</x:v>
      </x:c>
      <x:c r="H5509" s="11" t="n">
        <x:v>1412.33</x:v>
      </x:c>
      <x:c r="I5509" s="2" t="n">
        <x:v>4</x:v>
      </x:c>
      <x:c r="J5509" s="2" t="n">
        <x:v>3</x:v>
      </x:c>
      <x:c r="K5509" s="2" t="n">
        <x:v>4</x:v>
      </x:c>
      <x:c r="L5509" s="2" t="str">
        <x:v>Loyal</x:v>
      </x:c>
    </x:row>
    <x:row r="5510" ht="22" customHeight="1">
      <x:c r="A5510" s="2"/>
      <x:c r="B5510" s="2" t="str">
        <x:v>17879</x:v>
      </x:c>
      <x:c r="C5510" s="2" t="str">
        <x:v>United Kingdom</x:v>
      </x:c>
      <x:c r="D5510" s="25" t="n">
        <x:v>40713.316666666666</x:v>
      </x:c>
      <x:c r="E5510" s="25" t="n">
        <x:v>40713.316666666666</x:v>
      </x:c>
      <x:c r="F5510" s="2" t="n">
        <x:v>174</x:v>
      </x:c>
      <x:c r="G5510" s="2" t="n">
        <x:v>1</x:v>
      </x:c>
      <x:c r="H5510" s="11" t="n">
        <x:v>178.52</x:v>
      </x:c>
      <x:c r="I5510" s="2" t="n">
        <x:v>3</x:v>
      </x:c>
      <x:c r="J5510" s="2" t="n">
        <x:v>1</x:v>
      </x:c>
      <x:c r="K5510" s="2" t="n">
        <x:v>1</x:v>
      </x:c>
      <x:c r="L5510" s="2" t="str">
        <x:v>Developing</x:v>
      </x:c>
    </x:row>
    <x:row r="5511" ht="22" customHeight="1">
      <x:c r="A5511" s="2"/>
      <x:c r="B5511" s="2" t="str">
        <x:v>17880</x:v>
      </x:c>
      <x:c r="C5511" s="2" t="str">
        <x:v>United Kingdom</x:v>
      </x:c>
      <x:c r="D5511" s="25" t="n">
        <x:v>40156.467361111114</x:v>
      </x:c>
      <x:c r="E5511" s="25" t="n">
        <x:v>40522.222916666666</x:v>
      </x:c>
      <x:c r="F5511" s="2" t="n">
        <x:v>365</x:v>
      </x:c>
      <x:c r="G5511" s="2" t="n">
        <x:v>3</x:v>
      </x:c>
      <x:c r="H5511" s="11" t="n">
        <x:v>824.92</x:v>
      </x:c>
      <x:c r="I5511" s="2" t="n">
        <x:v>2</x:v>
      </x:c>
      <x:c r="J5511" s="2" t="n">
        <x:v>3</x:v>
      </x:c>
      <x:c r="K5511" s="2" t="n">
        <x:v>3</x:v>
      </x:c>
      <x:c r="L5511" s="2" t="str">
        <x:v>At risk</x:v>
      </x:c>
    </x:row>
    <x:row r="5512" ht="22" customHeight="1">
      <x:c r="A5512" s="2"/>
      <x:c r="B5512" s="2" t="str">
        <x:v>17881</x:v>
      </x:c>
      <x:c r="C5512" s="2" t="str">
        <x:v>United Kingdom</x:v>
      </x:c>
      <x:c r="D5512" s="25" t="n">
        <x:v>40582.51111111111</x:v>
      </x:c>
      <x:c r="E5512" s="25" t="n">
        <x:v>40582.51111111111</x:v>
      </x:c>
      <x:c r="F5512" s="2" t="n">
        <x:v>305</x:v>
      </x:c>
      <x:c r="G5512" s="2" t="n">
        <x:v>1</x:v>
      </x:c>
      <x:c r="H5512" s="11" t="n">
        <x:v>133.35</x:v>
      </x:c>
      <x:c r="I5512" s="2" t="n">
        <x:v>2</x:v>
      </x:c>
      <x:c r="J5512" s="2" t="n">
        <x:v>1</x:v>
      </x:c>
      <x:c r="K5512" s="2" t="n">
        <x:v>1</x:v>
      </x:c>
      <x:c r="L5512" s="2" t="str">
        <x:v>Hibernating</x:v>
      </x:c>
    </x:row>
    <x:row r="5513" ht="22" customHeight="1">
      <x:c r="A5513" s="2"/>
      <x:c r="B5513" s="2" t="str">
        <x:v>17882</x:v>
      </x:c>
      <x:c r="C5513" s="2" t="str">
        <x:v>United Kingdom</x:v>
      </x:c>
      <x:c r="D5513" s="25" t="n">
        <x:v>40507.399305555555</x:v>
      </x:c>
      <x:c r="E5513" s="25" t="n">
        <x:v>40507.40277777778</x:v>
      </x:c>
      <x:c r="F5513" s="2" t="n">
        <x:v>380</x:v>
      </x:c>
      <x:c r="G5513" s="2" t="n">
        <x:v>2</x:v>
      </x:c>
      <x:c r="H5513" s="11" t="n">
        <x:v>313.46</x:v>
      </x:c>
      <x:c r="I5513" s="2" t="n">
        <x:v>2</x:v>
      </x:c>
      <x:c r="J5513" s="2" t="n">
        <x:v>2</x:v>
      </x:c>
      <x:c r="K5513" s="2" t="n">
        <x:v>2</x:v>
      </x:c>
      <x:c r="L5513" s="2" t="str">
        <x:v>Hibernating</x:v>
      </x:c>
    </x:row>
    <x:row r="5514" ht="22" customHeight="1">
      <x:c r="A5514" s="2"/>
      <x:c r="B5514" s="2" t="str">
        <x:v>17883</x:v>
      </x:c>
      <x:c r="C5514" s="2" t="str">
        <x:v>United Kingdom</x:v>
      </x:c>
      <x:c r="D5514" s="25" t="n">
        <x:v>40234.62986111111</x:v>
      </x:c>
      <x:c r="E5514" s="25" t="n">
        <x:v>40883.53402777778</x:v>
      </x:c>
      <x:c r="F5514" s="2" t="n">
        <x:v>4</x:v>
      </x:c>
      <x:c r="G5514" s="2" t="n">
        <x:v>7</x:v>
      </x:c>
      <x:c r="H5514" s="11" t="n">
        <x:v>995.85</x:v>
      </x:c>
      <x:c r="I5514" s="2" t="n">
        <x:v>5</x:v>
      </x:c>
      <x:c r="J5514" s="2" t="n">
        <x:v>4</x:v>
      </x:c>
      <x:c r="K5514" s="2" t="n">
        <x:v>3</x:v>
      </x:c>
      <x:c r="L5514" s="2" t="str">
        <x:v>Loyal</x:v>
      </x:c>
    </x:row>
    <x:row r="5515" ht="22" customHeight="1">
      <x:c r="A5515" s="2"/>
      <x:c r="B5515" s="2" t="str">
        <x:v>17884</x:v>
      </x:c>
      <x:c r="C5515" s="2" t="str">
        <x:v>United Kingdom</x:v>
      </x:c>
      <x:c r="D5515" s="25" t="n">
        <x:v>40151.47430555556</x:v>
      </x:c>
      <x:c r="E5515" s="25" t="n">
        <x:v>40883.27291666667</x:v>
      </x:c>
      <x:c r="F5515" s="2" t="n">
        <x:v>4</x:v>
      </x:c>
      <x:c r="G5515" s="2" t="n">
        <x:v>20</x:v>
      </x:c>
      <x:c r="H5515" s="11" t="n">
        <x:v>2748.27</x:v>
      </x:c>
      <x:c r="I5515" s="2" t="n">
        <x:v>5</x:v>
      </x:c>
      <x:c r="J5515" s="2" t="n">
        <x:v>5</x:v>
      </x:c>
      <x:c r="K5515" s="2" t="n">
        <x:v>4</x:v>
      </x:c>
      <x:c r="L5515" s="2" t="str">
        <x:v>Champions</x:v>
      </x:c>
    </x:row>
    <x:row r="5516" ht="22" customHeight="1">
      <x:c r="A5516" s="2"/>
      <x:c r="B5516" s="2" t="str">
        <x:v>17885</x:v>
      </x:c>
      <x:c r="C5516" s="2" t="str">
        <x:v>United Kingdom</x:v>
      </x:c>
      <x:c r="D5516" s="25" t="n">
        <x:v>40874.40277777778</x:v>
      </x:c>
      <x:c r="E5516" s="25" t="n">
        <x:v>40874.40277777778</x:v>
      </x:c>
      <x:c r="F5516" s="2" t="n">
        <x:v>13</x:v>
      </x:c>
      <x:c r="G5516" s="2" t="n">
        <x:v>1</x:v>
      </x:c>
      <x:c r="H5516" s="11" t="n">
        <x:v>190.19</x:v>
      </x:c>
      <x:c r="I5516" s="2" t="n">
        <x:v>5</x:v>
      </x:c>
      <x:c r="J5516" s="2" t="n">
        <x:v>1</x:v>
      </x:c>
      <x:c r="K5516" s="2" t="n">
        <x:v>1</x:v>
      </x:c>
      <x:c r="L5516" s="2" t="str">
        <x:v>Recent light buyers</x:v>
      </x:c>
    </x:row>
    <x:row r="5517" ht="22" customHeight="1">
      <x:c r="A5517" s="2"/>
      <x:c r="B5517" s="2" t="str">
        <x:v>17886</x:v>
      </x:c>
      <x:c r="C5517" s="2" t="str">
        <x:v>United Kingdom</x:v>
      </x:c>
      <x:c r="D5517" s="25" t="n">
        <x:v>40297.256944444445</x:v>
      </x:c>
      <x:c r="E5517" s="25" t="n">
        <x:v>40855.214583333334</x:v>
      </x:c>
      <x:c r="F5517" s="2" t="n">
        <x:v>32</x:v>
      </x:c>
      <x:c r="G5517" s="2" t="n">
        <x:v>6</x:v>
      </x:c>
      <x:c r="H5517" s="11" t="n">
        <x:v>1608.38</x:v>
      </x:c>
      <x:c r="I5517" s="2" t="n">
        <x:v>4</x:v>
      </x:c>
      <x:c r="J5517" s="2" t="n">
        <x:v>4</x:v>
      </x:c>
      <x:c r="K5517" s="2" t="n">
        <x:v>4</x:v>
      </x:c>
      <x:c r="L5517" s="2" t="str">
        <x:v>Champions</x:v>
      </x:c>
    </x:row>
    <x:row r="5518" ht="22" customHeight="1">
      <x:c r="A5518" s="2"/>
      <x:c r="B5518" s="2" t="str">
        <x:v>17887</x:v>
      </x:c>
      <x:c r="C5518" s="2" t="str">
        <x:v>United Kingdom</x:v>
      </x:c>
      <x:c r="D5518" s="25" t="n">
        <x:v>40757.52013888889</x:v>
      </x:c>
      <x:c r="E5518" s="25" t="n">
        <x:v>40757.52013888889</x:v>
      </x:c>
      <x:c r="F5518" s="2" t="n">
        <x:v>130</x:v>
      </x:c>
      <x:c r="G5518" s="2" t="n">
        <x:v>1</x:v>
      </x:c>
      <x:c r="H5518" s="11" t="n">
        <x:v>111.35</x:v>
      </x:c>
      <x:c r="I5518" s="2" t="n">
        <x:v>3</x:v>
      </x:c>
      <x:c r="J5518" s="2" t="n">
        <x:v>1</x:v>
      </x:c>
      <x:c r="K5518" s="2" t="n">
        <x:v>1</x:v>
      </x:c>
      <x:c r="L5518" s="2" t="str">
        <x:v>Developing</x:v>
      </x:c>
    </x:row>
    <x:row r="5519" ht="22" customHeight="1">
      <x:c r="A5519" s="2"/>
      <x:c r="B5519" s="2" t="str">
        <x:v>17888</x:v>
      </x:c>
      <x:c r="C5519" s="2" t="str">
        <x:v>United Kingdom</x:v>
      </x:c>
      <x:c r="D5519" s="25" t="n">
        <x:v>40168.481944444444</x:v>
      </x:c>
      <x:c r="E5519" s="25" t="n">
        <x:v>40865.364583333336</x:v>
      </x:c>
      <x:c r="F5519" s="2" t="n">
        <x:v>22</x:v>
      </x:c>
      <x:c r="G5519" s="2" t="n">
        <x:v>25</x:v>
      </x:c>
      <x:c r="H5519" s="11" t="n">
        <x:v>1820.44</x:v>
      </x:c>
      <x:c r="I5519" s="2" t="n">
        <x:v>4</x:v>
      </x:c>
      <x:c r="J5519" s="2" t="n">
        <x:v>5</x:v>
      </x:c>
      <x:c r="K5519" s="2" t="n">
        <x:v>4</x:v>
      </x:c>
      <x:c r="L5519" s="2" t="str">
        <x:v>Champions</x:v>
      </x:c>
    </x:row>
    <x:row r="5520" ht="22" customHeight="1">
      <x:c r="A5520" s="2"/>
      <x:c r="B5520" s="2" t="str">
        <x:v>17889</x:v>
      </x:c>
      <x:c r="C5520" s="2" t="str">
        <x:v>United Kingdom</x:v>
      </x:c>
      <x:c r="D5520" s="25" t="n">
        <x:v>40268.245833333334</x:v>
      </x:c>
      <x:c r="E5520" s="25" t="n">
        <x:v>40674.47638888889</x:v>
      </x:c>
      <x:c r="F5520" s="2" t="n">
        <x:v>213</x:v>
      </x:c>
      <x:c r="G5520" s="2" t="n">
        <x:v>7</x:v>
      </x:c>
      <x:c r="H5520" s="11" t="n">
        <x:v>774.87</x:v>
      </x:c>
      <x:c r="I5520" s="2" t="n">
        <x:v>2</x:v>
      </x:c>
      <x:c r="J5520" s="2" t="n">
        <x:v>4</x:v>
      </x:c>
      <x:c r="K5520" s="2" t="n">
        <x:v>3</x:v>
      </x:c>
      <x:c r="L5520" s="2" t="str">
        <x:v>At risk</x:v>
      </x:c>
    </x:row>
    <x:row r="5521" ht="22" customHeight="1">
      <x:c r="A5521" s="2"/>
      <x:c r="B5521" s="2" t="str">
        <x:v>17890</x:v>
      </x:c>
      <x:c r="C5521" s="2" t="str">
        <x:v>United Kingdom</x:v>
      </x:c>
      <x:c r="D5521" s="25" t="n">
        <x:v>40525.425</x:v>
      </x:c>
      <x:c r="E5521" s="25" t="n">
        <x:v>40564.263194444444</x:v>
      </x:c>
      <x:c r="F5521" s="2" t="n">
        <x:v>323</x:v>
      </x:c>
      <x:c r="G5521" s="2" t="n">
        <x:v>2</x:v>
      </x:c>
      <x:c r="H5521" s="11" t="n">
        <x:v>602.09</x:v>
      </x:c>
      <x:c r="I5521" s="2" t="n">
        <x:v>2</x:v>
      </x:c>
      <x:c r="J5521" s="2" t="n">
        <x:v>2</x:v>
      </x:c>
      <x:c r="K5521" s="2" t="n">
        <x:v>2</x:v>
      </x:c>
      <x:c r="L5521" s="2" t="str">
        <x:v>Hibernating</x:v>
      </x:c>
    </x:row>
    <x:row r="5522" ht="22" customHeight="1">
      <x:c r="A5522" s="2"/>
      <x:c r="B5522" s="2" t="str">
        <x:v>17891</x:v>
      </x:c>
      <x:c r="C5522" s="2" t="str">
        <x:v>United Kingdom</x:v>
      </x:c>
      <x:c r="D5522" s="25" t="n">
        <x:v>40724.63055555556</x:v>
      </x:c>
      <x:c r="E5522" s="25" t="n">
        <x:v>40724.63055555556</x:v>
      </x:c>
      <x:c r="F5522" s="2" t="n">
        <x:v>163</x:v>
      </x:c>
      <x:c r="G5522" s="2" t="n">
        <x:v>1</x:v>
      </x:c>
      <x:c r="H5522" s="11" t="n">
        <x:v>203.86</x:v>
      </x:c>
      <x:c r="I5522" s="2" t="n">
        <x:v>3</x:v>
      </x:c>
      <x:c r="J5522" s="2" t="n">
        <x:v>1</x:v>
      </x:c>
      <x:c r="K5522" s="2" t="n">
        <x:v>1</x:v>
      </x:c>
      <x:c r="L5522" s="2" t="str">
        <x:v>Developing</x:v>
      </x:c>
    </x:row>
    <x:row r="5523" ht="22" customHeight="1">
      <x:c r="A5523" s="2"/>
      <x:c r="B5523" s="2" t="str">
        <x:v>17892</x:v>
      </x:c>
      <x:c r="C5523" s="2" t="str">
        <x:v>United Kingdom</x:v>
      </x:c>
      <x:c r="D5523" s="25" t="n">
        <x:v>40731.330555555556</x:v>
      </x:c>
      <x:c r="E5523" s="25" t="n">
        <x:v>40830.49236111111</x:v>
      </x:c>
      <x:c r="F5523" s="2" t="n">
        <x:v>57</x:v>
      </x:c>
      <x:c r="G5523" s="2" t="n">
        <x:v>3</x:v>
      </x:c>
      <x:c r="H5523" s="11" t="n">
        <x:v>244.1</x:v>
      </x:c>
      <x:c r="I5523" s="2" t="n">
        <x:v>4</x:v>
      </x:c>
      <x:c r="J5523" s="2" t="n">
        <x:v>3</x:v>
      </x:c>
      <x:c r="K5523" s="2" t="n">
        <x:v>1</x:v>
      </x:c>
      <x:c r="L5523" s="2" t="str">
        <x:v>Loyal</x:v>
      </x:c>
    </x:row>
    <x:row r="5524" ht="22" customHeight="1">
      <x:c r="A5524" s="2"/>
      <x:c r="B5524" s="2" t="str">
        <x:v>17893</x:v>
      </x:c>
      <x:c r="C5524" s="2" t="str">
        <x:v>United Kingdom</x:v>
      </x:c>
      <x:c r="D5524" s="25" t="n">
        <x:v>40661.368055555555</x:v>
      </x:c>
      <x:c r="E5524" s="25" t="n">
        <x:v>40661.368055555555</x:v>
      </x:c>
      <x:c r="F5524" s="2" t="n">
        <x:v>226</x:v>
      </x:c>
      <x:c r="G5524" s="2" t="n">
        <x:v>1</x:v>
      </x:c>
      <x:c r="H5524" s="11" t="n">
        <x:v>112.25</x:v>
      </x:c>
      <x:c r="I5524" s="2" t="n">
        <x:v>2</x:v>
      </x:c>
      <x:c r="J5524" s="2" t="n">
        <x:v>1</x:v>
      </x:c>
      <x:c r="K5524" s="2" t="n">
        <x:v>1</x:v>
      </x:c>
      <x:c r="L5524" s="2" t="str">
        <x:v>Hibernating</x:v>
      </x:c>
    </x:row>
    <x:row r="5525" ht="22" customHeight="1">
      <x:c r="A5525" s="2"/>
      <x:c r="B5525" s="2" t="str">
        <x:v>17894</x:v>
      </x:c>
      <x:c r="C5525" s="2" t="str">
        <x:v>United Kingdom</x:v>
      </x:c>
      <x:c r="D5525" s="25" t="n">
        <x:v>40417.38402777778</x:v>
      </x:c>
      <x:c r="E5525" s="25" t="n">
        <x:v>40815.18263888889</x:v>
      </x:c>
      <x:c r="F5525" s="2" t="n">
        <x:v>72</x:v>
      </x:c>
      <x:c r="G5525" s="2" t="n">
        <x:v>18</x:v>
      </x:c>
      <x:c r="H5525" s="11" t="n">
        <x:v>2346.61</x:v>
      </x:c>
      <x:c r="I5525" s="2" t="n">
        <x:v>3</x:v>
      </x:c>
      <x:c r="J5525" s="2" t="n">
        <x:v>5</x:v>
      </x:c>
      <x:c r="K5525" s="2" t="n">
        <x:v>4</x:v>
      </x:c>
      <x:c r="L5525" s="2" t="str">
        <x:v>Loyal</x:v>
      </x:c>
    </x:row>
    <x:row r="5526" ht="22" customHeight="1">
      <x:c r="A5526" s="2"/>
      <x:c r="B5526" s="2" t="str">
        <x:v>17895</x:v>
      </x:c>
      <x:c r="C5526" s="2" t="str">
        <x:v>United Kingdom</x:v>
      </x:c>
      <x:c r="D5526" s="25" t="n">
        <x:v>40842.5</x:v>
      </x:c>
      <x:c r="E5526" s="25" t="n">
        <x:v>40842.5</x:v>
      </x:c>
      <x:c r="F5526" s="2" t="n">
        <x:v>45</x:v>
      </x:c>
      <x:c r="G5526" s="2" t="n">
        <x:v>1</x:v>
      </x:c>
      <x:c r="H5526" s="11" t="n">
        <x:v>98</x:v>
      </x:c>
      <x:c r="I5526" s="2" t="n">
        <x:v>4</x:v>
      </x:c>
      <x:c r="J5526" s="2" t="n">
        <x:v>1</x:v>
      </x:c>
      <x:c r="K5526" s="2" t="n">
        <x:v>1</x:v>
      </x:c>
      <x:c r="L5526" s="2" t="str">
        <x:v>Recent light buyers</x:v>
      </x:c>
    </x:row>
    <x:row r="5527" ht="22" customHeight="1">
      <x:c r="A5527" s="2"/>
      <x:c r="B5527" s="2" t="str">
        <x:v>17896</x:v>
      </x:c>
      <x:c r="C5527" s="2" t="str">
        <x:v>United Kingdom</x:v>
      </x:c>
      <x:c r="D5527" s="25" t="n">
        <x:v>40863.37430555555</x:v>
      </x:c>
      <x:c r="E5527" s="25" t="n">
        <x:v>40863.37430555555</x:v>
      </x:c>
      <x:c r="F5527" s="2" t="n">
        <x:v>24</x:v>
      </x:c>
      <x:c r="G5527" s="2" t="n">
        <x:v>1</x:v>
      </x:c>
      <x:c r="H5527" s="11" t="n">
        <x:v>256.32</x:v>
      </x:c>
      <x:c r="I5527" s="2" t="n">
        <x:v>4</x:v>
      </x:c>
      <x:c r="J5527" s="2" t="n">
        <x:v>1</x:v>
      </x:c>
      <x:c r="K5527" s="2" t="n">
        <x:v>1</x:v>
      </x:c>
      <x:c r="L5527" s="2" t="str">
        <x:v>Recent light buyers</x:v>
      </x:c>
    </x:row>
    <x:row r="5528" ht="22" customHeight="1">
      <x:c r="A5528" s="2"/>
      <x:c r="B5528" s="2" t="str">
        <x:v>17897</x:v>
      </x:c>
      <x:c r="C5528" s="2" t="str">
        <x:v>United Kingdom</x:v>
      </x:c>
      <x:c r="D5528" s="25" t="n">
        <x:v>40310.46041666667</x:v>
      </x:c>
      <x:c r="E5528" s="25" t="n">
        <x:v>40714.26597222222</x:v>
      </x:c>
      <x:c r="F5528" s="2" t="n">
        <x:v>173</x:v>
      </x:c>
      <x:c r="G5528" s="2" t="n">
        <x:v>9</x:v>
      </x:c>
      <x:c r="H5528" s="11" t="n">
        <x:v>2150.38</x:v>
      </x:c>
      <x:c r="I5528" s="2" t="n">
        <x:v>3</x:v>
      </x:c>
      <x:c r="J5528" s="2" t="n">
        <x:v>5</x:v>
      </x:c>
      <x:c r="K5528" s="2" t="n">
        <x:v>4</x:v>
      </x:c>
      <x:c r="L5528" s="2" t="str">
        <x:v>Loyal</x:v>
      </x:c>
    </x:row>
    <x:row r="5529" ht="22" customHeight="1">
      <x:c r="A5529" s="2"/>
      <x:c r="B5529" s="2" t="str">
        <x:v>17898</x:v>
      </x:c>
      <x:c r="C5529" s="2" t="str">
        <x:v>United Kingdom</x:v>
      </x:c>
      <x:c r="D5529" s="25" t="n">
        <x:v>40319.51527777778</x:v>
      </x:c>
      <x:c r="E5529" s="25" t="n">
        <x:v>40801.41388888889</x:v>
      </x:c>
      <x:c r="F5529" s="2" t="n">
        <x:v>86</x:v>
      </x:c>
      <x:c r="G5529" s="2" t="n">
        <x:v>4</x:v>
      </x:c>
      <x:c r="H5529" s="11" t="n">
        <x:v>299.18</x:v>
      </x:c>
      <x:c r="I5529" s="2" t="n">
        <x:v>3</x:v>
      </x:c>
      <x:c r="J5529" s="2" t="n">
        <x:v>3</x:v>
      </x:c>
      <x:c r="K5529" s="2" t="n">
        <x:v>2</x:v>
      </x:c>
      <x:c r="L5529" s="2" t="str">
        <x:v>Loyal</x:v>
      </x:c>
    </x:row>
    <x:row r="5530" ht="22" customHeight="1">
      <x:c r="A5530" s="2"/>
      <x:c r="B5530" s="2" t="str">
        <x:v>17899</x:v>
      </x:c>
      <x:c r="C5530" s="2" t="str">
        <x:v>United Kingdom</x:v>
      </x:c>
      <x:c r="D5530" s="25" t="n">
        <x:v>40727.41527777778</x:v>
      </x:c>
      <x:c r="E5530" s="25" t="n">
        <x:v>40727.41527777778</x:v>
      </x:c>
      <x:c r="F5530" s="2" t="n">
        <x:v>160</x:v>
      </x:c>
      <x:c r="G5530" s="2" t="n">
        <x:v>1</x:v>
      </x:c>
      <x:c r="H5530" s="11" t="n">
        <x:v>155.8</x:v>
      </x:c>
      <x:c r="I5530" s="2" t="n">
        <x:v>3</x:v>
      </x:c>
      <x:c r="J5530" s="2" t="n">
        <x:v>1</x:v>
      </x:c>
      <x:c r="K5530" s="2" t="n">
        <x:v>1</x:v>
      </x:c>
      <x:c r="L5530" s="2" t="str">
        <x:v>Developing</x:v>
      </x:c>
    </x:row>
    <x:row r="5531" ht="22" customHeight="1">
      <x:c r="A5531" s="2"/>
      <x:c r="B5531" s="2" t="str">
        <x:v>17900</x:v>
      </x:c>
      <x:c r="C5531" s="2" t="str">
        <x:v>United Kingdom</x:v>
      </x:c>
      <x:c r="D5531" s="25" t="n">
        <x:v>40696.39444444444</x:v>
      </x:c>
      <x:c r="E5531" s="25" t="n">
        <x:v>40696.40138888889</x:v>
      </x:c>
      <x:c r="F5531" s="2" t="n">
        <x:v>191</x:v>
      </x:c>
      <x:c r="G5531" s="2" t="n">
        <x:v>2</x:v>
      </x:c>
      <x:c r="H5531" s="11" t="n">
        <x:v>112.2</x:v>
      </x:c>
      <x:c r="I5531" s="2" t="n">
        <x:v>2</x:v>
      </x:c>
      <x:c r="J5531" s="2" t="n">
        <x:v>2</x:v>
      </x:c>
      <x:c r="K5531" s="2" t="n">
        <x:v>1</x:v>
      </x:c>
      <x:c r="L5531" s="2" t="str">
        <x:v>Hibernating</x:v>
      </x:c>
    </x:row>
    <x:row r="5532" ht="22" customHeight="1">
      <x:c r="A5532" s="2"/>
      <x:c r="B5532" s="2" t="str">
        <x:v>17901</x:v>
      </x:c>
      <x:c r="C5532" s="2" t="str">
        <x:v>United Kingdom</x:v>
      </x:c>
      <x:c r="D5532" s="25" t="n">
        <x:v>40365.245833333334</x:v>
      </x:c>
      <x:c r="E5532" s="25" t="n">
        <x:v>40857.52013888889</x:v>
      </x:c>
      <x:c r="F5532" s="2" t="n">
        <x:v>30</x:v>
      </x:c>
      <x:c r="G5532" s="2" t="n">
        <x:v>3</x:v>
      </x:c>
      <x:c r="H5532" s="11" t="n">
        <x:v>260.08</x:v>
      </x:c>
      <x:c r="I5532" s="2" t="n">
        <x:v>4</x:v>
      </x:c>
      <x:c r="J5532" s="2" t="n">
        <x:v>3</x:v>
      </x:c>
      <x:c r="K5532" s="2" t="n">
        <x:v>1</x:v>
      </x:c>
      <x:c r="L5532" s="2" t="str">
        <x:v>Loyal</x:v>
      </x:c>
    </x:row>
    <x:row r="5533" ht="22" customHeight="1">
      <x:c r="A5533" s="2"/>
      <x:c r="B5533" s="2" t="str">
        <x:v>17902</x:v>
      </x:c>
      <x:c r="C5533" s="2" t="str">
        <x:v>United Kingdom</x:v>
      </x:c>
      <x:c r="D5533" s="25" t="n">
        <x:v>40340.30902777778</x:v>
      </x:c>
      <x:c r="E5533" s="25" t="n">
        <x:v>40340.30902777778</x:v>
      </x:c>
      <x:c r="F5533" s="2" t="n">
        <x:v>547</x:v>
      </x:c>
      <x:c r="G5533" s="2" t="n">
        <x:v>1</x:v>
      </x:c>
      <x:c r="H5533" s="11" t="n">
        <x:v>216.4</x:v>
      </x:c>
      <x:c r="I5533" s="2" t="n">
        <x:v>1</x:v>
      </x:c>
      <x:c r="J5533" s="2" t="n">
        <x:v>1</x:v>
      </x:c>
      <x:c r="K5533" s="2" t="n">
        <x:v>1</x:v>
      </x:c>
      <x:c r="L5533" s="2" t="str">
        <x:v>Hibernating</x:v>
      </x:c>
    </x:row>
    <x:row r="5534" ht="22" customHeight="1">
      <x:c r="A5534" s="2"/>
      <x:c r="B5534" s="2" t="str">
        <x:v>17903</x:v>
      </x:c>
      <x:c r="C5534" s="2" t="str">
        <x:v>United Kingdom</x:v>
      </x:c>
      <x:c r="D5534" s="25" t="n">
        <x:v>40492.44375</x:v>
      </x:c>
      <x:c r="E5534" s="25" t="n">
        <x:v>40492.44375</x:v>
      </x:c>
      <x:c r="F5534" s="2" t="n">
        <x:v>395</x:v>
      </x:c>
      <x:c r="G5534" s="2" t="n">
        <x:v>1</x:v>
      </x:c>
      <x:c r="H5534" s="11" t="n">
        <x:v>381.09</x:v>
      </x:c>
      <x:c r="I5534" s="2" t="n">
        <x:v>2</x:v>
      </x:c>
      <x:c r="J5534" s="2" t="n">
        <x:v>1</x:v>
      </x:c>
      <x:c r="K5534" s="2" t="n">
        <x:v>2</x:v>
      </x:c>
      <x:c r="L5534" s="2" t="str">
        <x:v>Hibernating</x:v>
      </x:c>
    </x:row>
    <x:row r="5535" ht="22" customHeight="1">
      <x:c r="A5535" s="2"/>
      <x:c r="B5535" s="2" t="str">
        <x:v>17904</x:v>
      </x:c>
      <x:c r="C5535" s="2" t="str">
        <x:v>United Kingdom</x:v>
      </x:c>
      <x:c r="D5535" s="25" t="n">
        <x:v>40865.33125</x:v>
      </x:c>
      <x:c r="E5535" s="25" t="n">
        <x:v>40865.33125</x:v>
      </x:c>
      <x:c r="F5535" s="2" t="n">
        <x:v>22</x:v>
      </x:c>
      <x:c r="G5535" s="2" t="n">
        <x:v>1</x:v>
      </x:c>
      <x:c r="H5535" s="11" t="n">
        <x:v>191.67</x:v>
      </x:c>
      <x:c r="I5535" s="2" t="n">
        <x:v>4</x:v>
      </x:c>
      <x:c r="J5535" s="2" t="n">
        <x:v>1</x:v>
      </x:c>
      <x:c r="K5535" s="2" t="n">
        <x:v>1</x:v>
      </x:c>
      <x:c r="L5535" s="2" t="str">
        <x:v>Recent light buyers</x:v>
      </x:c>
    </x:row>
    <x:row r="5536" ht="22" customHeight="1">
      <x:c r="A5536" s="2"/>
      <x:c r="B5536" s="2" t="str">
        <x:v>17905</x:v>
      </x:c>
      <x:c r="C5536" s="2" t="str">
        <x:v>United Kingdom</x:v>
      </x:c>
      <x:c r="D5536" s="25" t="n">
        <x:v>40206.5375</x:v>
      </x:c>
      <x:c r="E5536" s="25" t="n">
        <x:v>40815.52291666667</x:v>
      </x:c>
      <x:c r="F5536" s="2" t="n">
        <x:v>72</x:v>
      </x:c>
      <x:c r="G5536" s="2" t="n">
        <x:v>13</x:v>
      </x:c>
      <x:c r="H5536" s="11" t="n">
        <x:v>2181.77</x:v>
      </x:c>
      <x:c r="I5536" s="2" t="n">
        <x:v>3</x:v>
      </x:c>
      <x:c r="J5536" s="2" t="n">
        <x:v>5</x:v>
      </x:c>
      <x:c r="K5536" s="2" t="n">
        <x:v>4</x:v>
      </x:c>
      <x:c r="L5536" s="2" t="str">
        <x:v>Loyal</x:v>
      </x:c>
    </x:row>
    <x:row r="5537" ht="22" customHeight="1">
      <x:c r="A5537" s="2"/>
      <x:c r="B5537" s="2" t="str">
        <x:v>17906</x:v>
      </x:c>
      <x:c r="C5537" s="2" t="str">
        <x:v>United Kingdom</x:v>
      </x:c>
      <x:c r="D5537" s="25" t="n">
        <x:v>40639.51736111111</x:v>
      </x:c>
      <x:c r="E5537" s="25" t="n">
        <x:v>40639.51736111111</x:v>
      </x:c>
      <x:c r="F5537" s="2" t="n">
        <x:v>248</x:v>
      </x:c>
      <x:c r="G5537" s="2" t="n">
        <x:v>1</x:v>
      </x:c>
      <x:c r="H5537" s="11" t="n">
        <x:v>72.9</x:v>
      </x:c>
      <x:c r="I5537" s="2" t="n">
        <x:v>2</x:v>
      </x:c>
      <x:c r="J5537" s="2" t="n">
        <x:v>1</x:v>
      </x:c>
      <x:c r="K5537" s="2" t="n">
        <x:v>1</x:v>
      </x:c>
      <x:c r="L5537" s="2" t="str">
        <x:v>Hibernating</x:v>
      </x:c>
    </x:row>
    <x:row r="5538" ht="22" customHeight="1">
      <x:c r="A5538" s="2"/>
      <x:c r="B5538" s="2" t="str">
        <x:v>17907</x:v>
      </x:c>
      <x:c r="C5538" s="2" t="str">
        <x:v>United Kingdom</x:v>
      </x:c>
      <x:c r="D5538" s="25" t="n">
        <x:v>40246.31458333333</x:v>
      </x:c>
      <x:c r="E5538" s="25" t="n">
        <x:v>40246.31458333333</x:v>
      </x:c>
      <x:c r="F5538" s="2" t="n">
        <x:v>641</x:v>
      </x:c>
      <x:c r="G5538" s="2" t="n">
        <x:v>1</x:v>
      </x:c>
      <x:c r="H5538" s="11" t="n">
        <x:v>291.76</x:v>
      </x:c>
      <x:c r="I5538" s="2" t="n">
        <x:v>1</x:v>
      </x:c>
      <x:c r="J5538" s="2" t="n">
        <x:v>1</x:v>
      </x:c>
      <x:c r="K5538" s="2" t="n">
        <x:v>2</x:v>
      </x:c>
      <x:c r="L5538" s="2" t="str">
        <x:v>Hibernating</x:v>
      </x:c>
    </x:row>
    <x:row r="5539" ht="22" customHeight="1">
      <x:c r="A5539" s="2"/>
      <x:c r="B5539" s="2" t="str">
        <x:v>17908</x:v>
      </x:c>
      <x:c r="C5539" s="2" t="str">
        <x:v>United Kingdom</x:v>
      </x:c>
      <x:c r="D5539" s="25" t="n">
        <x:v>40161.308333333334</x:v>
      </x:c>
      <x:c r="E5539" s="25" t="n">
        <x:v>40513.28125</x:v>
      </x:c>
      <x:c r="F5539" s="2" t="n">
        <x:v>374</x:v>
      </x:c>
      <x:c r="G5539" s="2" t="n">
        <x:v>5</x:v>
      </x:c>
      <x:c r="H5539" s="11" t="n">
        <x:v>1168.26</x:v>
      </x:c>
      <x:c r="I5539" s="2" t="n">
        <x:v>2</x:v>
      </x:c>
      <x:c r="J5539" s="2" t="n">
        <x:v>4</x:v>
      </x:c>
      <x:c r="K5539" s="2" t="n">
        <x:v>3</x:v>
      </x:c>
      <x:c r="L5539" s="2" t="str">
        <x:v>At risk</x:v>
      </x:c>
    </x:row>
    <x:row r="5540" ht="22" customHeight="1">
      <x:c r="A5540" s="2"/>
      <x:c r="B5540" s="2" t="str">
        <x:v>17909</x:v>
      </x:c>
      <x:c r="C5540" s="2" t="str">
        <x:v>United Kingdom</x:v>
      </x:c>
      <x:c r="D5540" s="25" t="n">
        <x:v>40149.34027777778</x:v>
      </x:c>
      <x:c r="E5540" s="25" t="n">
        <x:v>40149.34027777778</x:v>
      </x:c>
      <x:c r="F5540" s="2" t="n">
        <x:v>738</x:v>
      </x:c>
      <x:c r="G5540" s="2" t="n">
        <x:v>1</x:v>
      </x:c>
      <x:c r="H5540" s="11" t="n">
        <x:v>132.55</x:v>
      </x:c>
      <x:c r="I5540" s="2" t="n">
        <x:v>1</x:v>
      </x:c>
      <x:c r="J5540" s="2" t="n">
        <x:v>1</x:v>
      </x:c>
      <x:c r="K5540" s="2" t="n">
        <x:v>1</x:v>
      </x:c>
      <x:c r="L5540" s="2" t="str">
        <x:v>Hibernating</x:v>
      </x:c>
    </x:row>
    <x:row r="5541" ht="22" customHeight="1">
      <x:c r="A5541" s="2"/>
      <x:c r="B5541" s="2" t="str">
        <x:v>17910</x:v>
      </x:c>
      <x:c r="C5541" s="2" t="str">
        <x:v>United Kingdom</x:v>
      </x:c>
      <x:c r="D5541" s="25" t="n">
        <x:v>40160.46111111111</x:v>
      </x:c>
      <x:c r="E5541" s="25" t="n">
        <x:v>40160.46111111111</x:v>
      </x:c>
      <x:c r="F5541" s="2" t="n">
        <x:v>727</x:v>
      </x:c>
      <x:c r="G5541" s="2" t="n">
        <x:v>1</x:v>
      </x:c>
      <x:c r="H5541" s="11" t="n">
        <x:v>261.7</x:v>
      </x:c>
      <x:c r="I5541" s="2" t="n">
        <x:v>1</x:v>
      </x:c>
      <x:c r="J5541" s="2" t="n">
        <x:v>1</x:v>
      </x:c>
      <x:c r="K5541" s="2" t="n">
        <x:v>1</x:v>
      </x:c>
      <x:c r="L5541" s="2" t="str">
        <x:v>Hibernating</x:v>
      </x:c>
    </x:row>
    <x:row r="5542" ht="22" customHeight="1">
      <x:c r="A5542" s="2"/>
      <x:c r="B5542" s="2" t="str">
        <x:v>17911</x:v>
      </x:c>
      <x:c r="C5542" s="2" t="str">
        <x:v>United Kingdom</x:v>
      </x:c>
      <x:c r="D5542" s="25" t="n">
        <x:v>40877.41111111111</x:v>
      </x:c>
      <x:c r="E5542" s="25" t="n">
        <x:v>40877.41111111111</x:v>
      </x:c>
      <x:c r="F5542" s="2" t="n">
        <x:v>10</x:v>
      </x:c>
      <x:c r="G5542" s="2" t="n">
        <x:v>1</x:v>
      </x:c>
      <x:c r="H5542" s="11" t="n">
        <x:v>366.23</x:v>
      </x:c>
      <x:c r="I5542" s="2" t="n">
        <x:v>5</x:v>
      </x:c>
      <x:c r="J5542" s="2" t="n">
        <x:v>1</x:v>
      </x:c>
      <x:c r="K5542" s="2" t="n">
        <x:v>2</x:v>
      </x:c>
      <x:c r="L5542" s="2" t="str">
        <x:v>Recent light buyers</x:v>
      </x:c>
    </x:row>
    <x:row r="5543" ht="22" customHeight="1">
      <x:c r="A5543" s="2"/>
      <x:c r="B5543" s="2" t="str">
        <x:v>17912</x:v>
      </x:c>
      <x:c r="C5543" s="2" t="str">
        <x:v>United Kingdom</x:v>
      </x:c>
      <x:c r="D5543" s="25" t="n">
        <x:v>40511.37013888889</x:v>
      </x:c>
      <x:c r="E5543" s="25" t="n">
        <x:v>40576.39236111111</x:v>
      </x:c>
      <x:c r="F5543" s="2" t="n">
        <x:v>311</x:v>
      </x:c>
      <x:c r="G5543" s="2" t="n">
        <x:v>6</x:v>
      </x:c>
      <x:c r="H5543" s="11" t="n">
        <x:v>375.5</x:v>
      </x:c>
      <x:c r="I5543" s="2" t="n">
        <x:v>2</x:v>
      </x:c>
      <x:c r="J5543" s="2" t="n">
        <x:v>4</x:v>
      </x:c>
      <x:c r="K5543" s="2" t="n">
        <x:v>2</x:v>
      </x:c>
      <x:c r="L5543" s="2" t="str">
        <x:v>At risk</x:v>
      </x:c>
    </x:row>
    <x:row r="5544" ht="22" customHeight="1">
      <x:c r="A5544" s="2"/>
      <x:c r="B5544" s="2" t="str">
        <x:v>17913</x:v>
      </x:c>
      <x:c r="C5544" s="2" t="str">
        <x:v>United Kingdom</x:v>
      </x:c>
      <x:c r="D5544" s="25" t="n">
        <x:v>40150.33472222222</x:v>
      </x:c>
      <x:c r="E5544" s="25" t="n">
        <x:v>40828.239583333336</x:v>
      </x:c>
      <x:c r="F5544" s="2" t="n">
        <x:v>59</x:v>
      </x:c>
      <x:c r="G5544" s="2" t="n">
        <x:v>14</x:v>
      </x:c>
      <x:c r="H5544" s="11" t="n">
        <x:v>3479.64</x:v>
      </x:c>
      <x:c r="I5544" s="2" t="n">
        <x:v>4</x:v>
      </x:c>
      <x:c r="J5544" s="2" t="n">
        <x:v>5</x:v>
      </x:c>
      <x:c r="K5544" s="2" t="n">
        <x:v>5</x:v>
      </x:c>
      <x:c r="L5544" s="2" t="str">
        <x:v>Champions</x:v>
      </x:c>
    </x:row>
    <x:row r="5545" ht="22" customHeight="1">
      <x:c r="A5545" s="2"/>
      <x:c r="B5545" s="2" t="str">
        <x:v>17914</x:v>
      </x:c>
      <x:c r="C5545" s="2" t="str">
        <x:v>United Kingdom</x:v>
      </x:c>
      <x:c r="D5545" s="25" t="n">
        <x:v>40883.29027777778</x:v>
      </x:c>
      <x:c r="E5545" s="25" t="n">
        <x:v>40883.29027777778</x:v>
      </x:c>
      <x:c r="F5545" s="2" t="n">
        <x:v>4</x:v>
      </x:c>
      <x:c r="G5545" s="2" t="n">
        <x:v>1</x:v>
      </x:c>
      <x:c r="H5545" s="11" t="n">
        <x:v>336.43</x:v>
      </x:c>
      <x:c r="I5545" s="2" t="n">
        <x:v>5</x:v>
      </x:c>
      <x:c r="J5545" s="2" t="n">
        <x:v>1</x:v>
      </x:c>
      <x:c r="K5545" s="2" t="n">
        <x:v>2</x:v>
      </x:c>
      <x:c r="L5545" s="2" t="str">
        <x:v>Recent light buyers</x:v>
      </x:c>
    </x:row>
    <x:row r="5546" ht="22" customHeight="1">
      <x:c r="A5546" s="2"/>
      <x:c r="B5546" s="2" t="str">
        <x:v>17915</x:v>
      </x:c>
      <x:c r="C5546" s="2" t="str">
        <x:v>United Kingdom</x:v>
      </x:c>
      <x:c r="D5546" s="25" t="n">
        <x:v>40335.34861111111</x:v>
      </x:c>
      <x:c r="E5546" s="25" t="n">
        <x:v>40335.34861111111</x:v>
      </x:c>
      <x:c r="F5546" s="2" t="n">
        <x:v>552</x:v>
      </x:c>
      <x:c r="G5546" s="2" t="n">
        <x:v>1</x:v>
      </x:c>
      <x:c r="H5546" s="11" t="n">
        <x:v>242.13</x:v>
      </x:c>
      <x:c r="I5546" s="2" t="n">
        <x:v>1</x:v>
      </x:c>
      <x:c r="J5546" s="2" t="n">
        <x:v>1</x:v>
      </x:c>
      <x:c r="K5546" s="2" t="n">
        <x:v>1</x:v>
      </x:c>
      <x:c r="L5546" s="2" t="str">
        <x:v>Hibernating</x:v>
      </x:c>
    </x:row>
    <x:row r="5547" ht="22" customHeight="1">
      <x:c r="A5547" s="2"/>
      <x:c r="B5547" s="2" t="str">
        <x:v>17916</x:v>
      </x:c>
      <x:c r="C5547" s="2" t="str">
        <x:v>United Kingdom</x:v>
      </x:c>
      <x:c r="D5547" s="25" t="n">
        <x:v>40153.381944444445</x:v>
      </x:c>
      <x:c r="E5547" s="25" t="n">
        <x:v>40258.30972222222</x:v>
      </x:c>
      <x:c r="F5547" s="2" t="n">
        <x:v>629</x:v>
      </x:c>
      <x:c r="G5547" s="2" t="n">
        <x:v>2</x:v>
      </x:c>
      <x:c r="H5547" s="11" t="n">
        <x:v>43.87</x:v>
      </x:c>
      <x:c r="I5547" s="2" t="n">
        <x:v>1</x:v>
      </x:c>
      <x:c r="J5547" s="2" t="n">
        <x:v>2</x:v>
      </x:c>
      <x:c r="K5547" s="2" t="n">
        <x:v>1</x:v>
      </x:c>
      <x:c r="L5547" s="2" t="str">
        <x:v>Hibernating</x:v>
      </x:c>
    </x:row>
    <x:row r="5548" ht="22" customHeight="1">
      <x:c r="A5548" s="2"/>
      <x:c r="B5548" s="2" t="str">
        <x:v>17917</x:v>
      </x:c>
      <x:c r="C5548" s="2" t="str">
        <x:v>United Kingdom</x:v>
      </x:c>
      <x:c r="D5548" s="25" t="n">
        <x:v>40524.29722222222</x:v>
      </x:c>
      <x:c r="E5548" s="25" t="n">
        <x:v>40841.34722222222</x:v>
      </x:c>
      <x:c r="F5548" s="2" t="n">
        <x:v>46</x:v>
      </x:c>
      <x:c r="G5548" s="2" t="n">
        <x:v>3</x:v>
      </x:c>
      <x:c r="H5548" s="11" t="n">
        <x:v>341.28</x:v>
      </x:c>
      <x:c r="I5548" s="2" t="n">
        <x:v>4</x:v>
      </x:c>
      <x:c r="J5548" s="2" t="n">
        <x:v>3</x:v>
      </x:c>
      <x:c r="K5548" s="2" t="n">
        <x:v>2</x:v>
      </x:c>
      <x:c r="L5548" s="2" t="str">
        <x:v>Loyal</x:v>
      </x:c>
    </x:row>
    <x:row r="5549" ht="22" customHeight="1">
      <x:c r="A5549" s="2"/>
      <x:c r="B5549" s="2" t="str">
        <x:v>17918</x:v>
      </x:c>
      <x:c r="C5549" s="2" t="str">
        <x:v>United Kingdom</x:v>
      </x:c>
      <x:c r="D5549" s="25" t="n">
        <x:v>40381.38888888889</x:v>
      </x:c>
      <x:c r="E5549" s="25" t="n">
        <x:v>40386.285416666666</x:v>
      </x:c>
      <x:c r="F5549" s="2" t="n">
        <x:v>501</x:v>
      </x:c>
      <x:c r="G5549" s="2" t="n">
        <x:v>3</x:v>
      </x:c>
      <x:c r="H5549" s="11" t="n">
        <x:v>396.39</x:v>
      </x:c>
      <x:c r="I5549" s="2" t="n">
        <x:v>1</x:v>
      </x:c>
      <x:c r="J5549" s="2" t="n">
        <x:v>3</x:v>
      </x:c>
      <x:c r="K5549" s="2" t="n">
        <x:v>2</x:v>
      </x:c>
      <x:c r="L5549" s="2" t="str">
        <x:v>At risk</x:v>
      </x:c>
    </x:row>
    <x:row r="5550" ht="22" customHeight="1">
      <x:c r="A5550" s="2"/>
      <x:c r="B5550" s="2" t="str">
        <x:v>17919</x:v>
      </x:c>
      <x:c r="C5550" s="2" t="str">
        <x:v>United Kingdom</x:v>
      </x:c>
      <x:c r="D5550" s="25" t="n">
        <x:v>40448.23611111111</x:v>
      </x:c>
      <x:c r="E5550" s="25" t="n">
        <x:v>40798.361805555556</x:v>
      </x:c>
      <x:c r="F5550" s="2" t="n">
        <x:v>89</x:v>
      </x:c>
      <x:c r="G5550" s="2" t="n">
        <x:v>2</x:v>
      </x:c>
      <x:c r="H5550" s="11" t="n">
        <x:v>1840.32</x:v>
      </x:c>
      <x:c r="I5550" s="2" t="n">
        <x:v>3</x:v>
      </x:c>
      <x:c r="J5550" s="2" t="n">
        <x:v>2</x:v>
      </x:c>
      <x:c r="K5550" s="2" t="n">
        <x:v>4</x:v>
      </x:c>
      <x:c r="L5550" s="2" t="str">
        <x:v>Developing</x:v>
      </x:c>
    </x:row>
    <x:row r="5551" ht="22" customHeight="1">
      <x:c r="A5551" s="2"/>
      <x:c r="B5551" s="2" t="str">
        <x:v>17920</x:v>
      </x:c>
      <x:c r="C5551" s="2" t="str">
        <x:v>United Kingdom</x:v>
      </x:c>
      <x:c r="D5551" s="25" t="n">
        <x:v>40153.23402777778</x:v>
      </x:c>
      <x:c r="E5551" s="25" t="n">
        <x:v>40882.39513888889</x:v>
      </x:c>
      <x:c r="F5551" s="2" t="n">
        <x:v>5</x:v>
      </x:c>
      <x:c r="G5551" s="2" t="n">
        <x:v>54</x:v>
      </x:c>
      <x:c r="H5551" s="11" t="n">
        <x:v>23780.55</x:v>
      </x:c>
      <x:c r="I5551" s="2" t="n">
        <x:v>5</x:v>
      </x:c>
      <x:c r="J5551" s="2" t="n">
        <x:v>5</x:v>
      </x:c>
      <x:c r="K5551" s="2" t="n">
        <x:v>5</x:v>
      </x:c>
      <x:c r="L5551" s="2" t="str">
        <x:v>Champions</x:v>
      </x:c>
    </x:row>
    <x:row r="5552" ht="22" customHeight="1">
      <x:c r="A5552" s="2"/>
      <x:c r="B5552" s="2" t="str">
        <x:v>17921</x:v>
      </x:c>
      <x:c r="C5552" s="2" t="str">
        <x:v>United Kingdom</x:v>
      </x:c>
      <x:c r="D5552" s="25" t="n">
        <x:v>40374.62847222222</x:v>
      </x:c>
      <x:c r="E5552" s="25" t="n">
        <x:v>40822.580555555556</x:v>
      </x:c>
      <x:c r="F5552" s="2" t="n">
        <x:v>65</x:v>
      </x:c>
      <x:c r="G5552" s="2" t="n">
        <x:v>10</x:v>
      </x:c>
      <x:c r="H5552" s="11" t="n">
        <x:v>2423.5</x:v>
      </x:c>
      <x:c r="I5552" s="2" t="n">
        <x:v>3</x:v>
      </x:c>
      <x:c r="J5552" s="2" t="n">
        <x:v>5</x:v>
      </x:c>
      <x:c r="K5552" s="2" t="n">
        <x:v>4</x:v>
      </x:c>
      <x:c r="L5552" s="2" t="str">
        <x:v>Loyal</x:v>
      </x:c>
    </x:row>
    <x:row r="5553" ht="22" customHeight="1">
      <x:c r="A5553" s="2"/>
      <x:c r="B5553" s="2" t="str">
        <x:v>17922</x:v>
      </x:c>
      <x:c r="C5553" s="2" t="str">
        <x:v>United Kingdom</x:v>
      </x:c>
      <x:c r="D5553" s="25" t="n">
        <x:v>40343.48055555556</x:v>
      </x:c>
      <x:c r="E5553" s="25" t="n">
        <x:v>40343.48055555556</x:v>
      </x:c>
      <x:c r="F5553" s="2" t="n">
        <x:v>544</x:v>
      </x:c>
      <x:c r="G5553" s="2" t="n">
        <x:v>1</x:v>
      </x:c>
      <x:c r="H5553" s="11" t="n">
        <x:v>170.4</x:v>
      </x:c>
      <x:c r="I5553" s="2" t="n">
        <x:v>1</x:v>
      </x:c>
      <x:c r="J5553" s="2" t="n">
        <x:v>1</x:v>
      </x:c>
      <x:c r="K5553" s="2" t="n">
        <x:v>1</x:v>
      </x:c>
      <x:c r="L5553" s="2" t="str">
        <x:v>Hibernating</x:v>
      </x:c>
    </x:row>
    <x:row r="5554" ht="22" customHeight="1">
      <x:c r="A5554" s="2"/>
      <x:c r="B5554" s="2" t="str">
        <x:v>17923</x:v>
      </x:c>
      <x:c r="C5554" s="2" t="str">
        <x:v>United Kingdom</x:v>
      </x:c>
      <x:c r="D5554" s="25" t="n">
        <x:v>40342.373611111114</x:v>
      </x:c>
      <x:c r="E5554" s="25" t="n">
        <x:v>40604.427083333336</x:v>
      </x:c>
      <x:c r="F5554" s="2" t="n">
        <x:v>283</x:v>
      </x:c>
      <x:c r="G5554" s="2" t="n">
        <x:v>3</x:v>
      </x:c>
      <x:c r="H5554" s="11" t="n">
        <x:v>497</x:v>
      </x:c>
      <x:c r="I5554" s="2" t="n">
        <x:v>2</x:v>
      </x:c>
      <x:c r="J5554" s="2" t="n">
        <x:v>3</x:v>
      </x:c>
      <x:c r="K5554" s="2" t="n">
        <x:v>2</x:v>
      </x:c>
      <x:c r="L5554" s="2" t="str">
        <x:v>At risk</x:v>
      </x:c>
    </x:row>
    <x:row r="5555" ht="22" customHeight="1">
      <x:c r="A5555" s="2"/>
      <x:c r="B5555" s="2" t="str">
        <x:v>17924</x:v>
      </x:c>
      <x:c r="C5555" s="2" t="str">
        <x:v>United Kingdom</x:v>
      </x:c>
      <x:c r="D5555" s="25" t="n">
        <x:v>40472.30347222222</x:v>
      </x:c>
      <x:c r="E5555" s="25" t="n">
        <x:v>40875.174305555556</x:v>
      </x:c>
      <x:c r="F5555" s="2" t="n">
        <x:v>12</x:v>
      </x:c>
      <x:c r="G5555" s="2" t="n">
        <x:v>8</x:v>
      </x:c>
      <x:c r="H5555" s="11" t="n">
        <x:v>3257.7</x:v>
      </x:c>
      <x:c r="I5555" s="2" t="n">
        <x:v>5</x:v>
      </x:c>
      <x:c r="J5555" s="2" t="n">
        <x:v>4</x:v>
      </x:c>
      <x:c r="K5555" s="2" t="n">
        <x:v>5</x:v>
      </x:c>
      <x:c r="L5555" s="2" t="str">
        <x:v>Champions</x:v>
      </x:c>
    </x:row>
    <x:row r="5556" ht="22" customHeight="1">
      <x:c r="A5556" s="2"/>
      <x:c r="B5556" s="2" t="str">
        <x:v>17925</x:v>
      </x:c>
      <x:c r="C5556" s="2" t="str">
        <x:v>United Kingdom</x:v>
      </x:c>
      <x:c r="D5556" s="25" t="n">
        <x:v>40514.21527777778</x:v>
      </x:c>
      <x:c r="E5556" s="25" t="n">
        <x:v>40514.21527777778</x:v>
      </x:c>
      <x:c r="F5556" s="2" t="n">
        <x:v>373</x:v>
      </x:c>
      <x:c r="G5556" s="2" t="n">
        <x:v>1</x:v>
      </x:c>
      <x:c r="H5556" s="11" t="n">
        <x:v>244.08</x:v>
      </x:c>
      <x:c r="I5556" s="2" t="n">
        <x:v>2</x:v>
      </x:c>
      <x:c r="J5556" s="2" t="n">
        <x:v>1</x:v>
      </x:c>
      <x:c r="K5556" s="2" t="n">
        <x:v>1</x:v>
      </x:c>
      <x:c r="L5556" s="2" t="str">
        <x:v>Hibernating</x:v>
      </x:c>
    </x:row>
    <x:row r="5557" ht="22" customHeight="1">
      <x:c r="A5557" s="2"/>
      <x:c r="B5557" s="2" t="str">
        <x:v>17926</x:v>
      </x:c>
      <x:c r="C5557" s="2" t="str">
        <x:v>United Kingdom</x:v>
      </x:c>
      <x:c r="D5557" s="25" t="n">
        <x:v>40307.37986111111</x:v>
      </x:c>
      <x:c r="E5557" s="25" t="n">
        <x:v>40753.402083333334</x:v>
      </x:c>
      <x:c r="F5557" s="2" t="n">
        <x:v>134</x:v>
      </x:c>
      <x:c r="G5557" s="2" t="n">
        <x:v>5</x:v>
      </x:c>
      <x:c r="H5557" s="11" t="n">
        <x:v>1035.49</x:v>
      </x:c>
      <x:c r="I5557" s="2" t="n">
        <x:v>3</x:v>
      </x:c>
      <x:c r="J5557" s="2" t="n">
        <x:v>4</x:v>
      </x:c>
      <x:c r="K5557" s="2" t="n">
        <x:v>3</x:v>
      </x:c>
      <x:c r="L5557" s="2" t="str">
        <x:v>Loyal</x:v>
      </x:c>
    </x:row>
    <x:row r="5558" ht="22" customHeight="1">
      <x:c r="A5558" s="2"/>
      <x:c r="B5558" s="2" t="str">
        <x:v>17927</x:v>
      </x:c>
      <x:c r="C5558" s="2" t="str">
        <x:v>United Kingdom</x:v>
      </x:c>
      <x:c r="D5558" s="25" t="n">
        <x:v>40165.25208333333</x:v>
      </x:c>
      <x:c r="E5558" s="25" t="n">
        <x:v>40165.25208333333</x:v>
      </x:c>
      <x:c r="F5558" s="2" t="n">
        <x:v>722</x:v>
      </x:c>
      <x:c r="G5558" s="2" t="n">
        <x:v>1</x:v>
      </x:c>
      <x:c r="H5558" s="11" t="n">
        <x:v>294</x:v>
      </x:c>
      <x:c r="I5558" s="2" t="n">
        <x:v>1</x:v>
      </x:c>
      <x:c r="J5558" s="2" t="n">
        <x:v>1</x:v>
      </x:c>
      <x:c r="K5558" s="2" t="n">
        <x:v>2</x:v>
      </x:c>
      <x:c r="L5558" s="2" t="str">
        <x:v>Hibernating</x:v>
      </x:c>
    </x:row>
    <x:row r="5559" ht="22" customHeight="1">
      <x:c r="A5559" s="2"/>
      <x:c r="B5559" s="2" t="str">
        <x:v>17928</x:v>
      </x:c>
      <x:c r="C5559" s="2" t="str">
        <x:v>United Kingdom</x:v>
      </x:c>
      <x:c r="D5559" s="25" t="n">
        <x:v>40315.4375</x:v>
      </x:c>
      <x:c r="E5559" s="25" t="n">
        <x:v>40841.36944444444</x:v>
      </x:c>
      <x:c r="F5559" s="2" t="n">
        <x:v>46</x:v>
      </x:c>
      <x:c r="G5559" s="2" t="n">
        <x:v>3</x:v>
      </x:c>
      <x:c r="H5559" s="11" t="n">
        <x:v>341.24</x:v>
      </x:c>
      <x:c r="I5559" s="2" t="n">
        <x:v>4</x:v>
      </x:c>
      <x:c r="J5559" s="2" t="n">
        <x:v>3</x:v>
      </x:c>
      <x:c r="K5559" s="2" t="n">
        <x:v>2</x:v>
      </x:c>
      <x:c r="L5559" s="2" t="str">
        <x:v>Loyal</x:v>
      </x:c>
    </x:row>
    <x:row r="5560" ht="22" customHeight="1">
      <x:c r="A5560" s="2"/>
      <x:c r="B5560" s="2" t="str">
        <x:v>17929</x:v>
      </x:c>
      <x:c r="C5560" s="2" t="str">
        <x:v>United Kingdom</x:v>
      </x:c>
      <x:c r="D5560" s="25" t="n">
        <x:v>40156.27777777778</x:v>
      </x:c>
      <x:c r="E5560" s="25" t="n">
        <x:v>40875.459027777775</x:v>
      </x:c>
      <x:c r="F5560" s="2" t="n">
        <x:v>12</x:v>
      </x:c>
      <x:c r="G5560" s="2" t="n">
        <x:v>12</x:v>
      </x:c>
      <x:c r="H5560" s="11" t="n">
        <x:v>3082.1</x:v>
      </x:c>
      <x:c r="I5560" s="2" t="n">
        <x:v>5</x:v>
      </x:c>
      <x:c r="J5560" s="2" t="n">
        <x:v>5</x:v>
      </x:c>
      <x:c r="K5560" s="2" t="n">
        <x:v>5</x:v>
      </x:c>
      <x:c r="L5560" s="2" t="str">
        <x:v>Champions</x:v>
      </x:c>
    </x:row>
    <x:row r="5561" ht="22" customHeight="1">
      <x:c r="A5561" s="2"/>
      <x:c r="B5561" s="2" t="str">
        <x:v>17930</x:v>
      </x:c>
      <x:c r="C5561" s="2" t="str">
        <x:v>United Kingdom</x:v>
      </x:c>
      <x:c r="D5561" s="25" t="n">
        <x:v>40241.236805555556</x:v>
      </x:c>
      <x:c r="E5561" s="25" t="n">
        <x:v>40851.22430555556</x:v>
      </x:c>
      <x:c r="F5561" s="2" t="n">
        <x:v>36</x:v>
      </x:c>
      <x:c r="G5561" s="2" t="n">
        <x:v>13</x:v>
      </x:c>
      <x:c r="H5561" s="11" t="n">
        <x:v>4275.22</x:v>
      </x:c>
      <x:c r="I5561" s="2" t="n">
        <x:v>4</x:v>
      </x:c>
      <x:c r="J5561" s="2" t="n">
        <x:v>5</x:v>
      </x:c>
      <x:c r="K5561" s="2" t="n">
        <x:v>5</x:v>
      </x:c>
      <x:c r="L5561" s="2" t="str">
        <x:v>Champions</x:v>
      </x:c>
    </x:row>
    <x:row r="5562" ht="22" customHeight="1">
      <x:c r="A5562" s="2"/>
      <x:c r="B5562" s="2" t="str">
        <x:v>17931</x:v>
      </x:c>
      <x:c r="C5562" s="2" t="str">
        <x:v>United Kingdom</x:v>
      </x:c>
      <x:c r="D5562" s="25" t="n">
        <x:v>40225.44930555556</x:v>
      </x:c>
      <x:c r="E5562" s="25" t="n">
        <x:v>40752.56458333333</x:v>
      </x:c>
      <x:c r="F5562" s="2" t="n">
        <x:v>135</x:v>
      </x:c>
      <x:c r="G5562" s="2" t="n">
        <x:v>14</x:v>
      </x:c>
      <x:c r="H5562" s="11" t="n">
        <x:v>3437.29</x:v>
      </x:c>
      <x:c r="I5562" s="2" t="n">
        <x:v>3</x:v>
      </x:c>
      <x:c r="J5562" s="2" t="n">
        <x:v>5</x:v>
      </x:c>
      <x:c r="K5562" s="2" t="n">
        <x:v>5</x:v>
      </x:c>
      <x:c r="L5562" s="2" t="str">
        <x:v>Loyal</x:v>
      </x:c>
    </x:row>
    <x:row r="5563" ht="22" customHeight="1">
      <x:c r="A5563" s="2"/>
      <x:c r="B5563" s="2" t="str">
        <x:v>17932</x:v>
      </x:c>
      <x:c r="C5563" s="2" t="str">
        <x:v>United Kingdom</x:v>
      </x:c>
      <x:c r="D5563" s="25" t="n">
        <x:v>40675.373611111114</x:v>
      </x:c>
      <x:c r="E5563" s="25" t="n">
        <x:v>40857.61736111111</x:v>
      </x:c>
      <x:c r="F5563" s="2" t="n">
        <x:v>30</x:v>
      </x:c>
      <x:c r="G5563" s="2" t="n">
        <x:v>3</x:v>
      </x:c>
      <x:c r="H5563" s="11" t="n">
        <x:v>1331.57</x:v>
      </x:c>
      <x:c r="I5563" s="2" t="n">
        <x:v>4</x:v>
      </x:c>
      <x:c r="J5563" s="2" t="n">
        <x:v>3</x:v>
      </x:c>
      <x:c r="K5563" s="2" t="n">
        <x:v>4</x:v>
      </x:c>
      <x:c r="L5563" s="2" t="str">
        <x:v>Loyal</x:v>
      </x:c>
    </x:row>
    <x:row r="5564" ht="22" customHeight="1">
      <x:c r="A5564" s="2"/>
      <x:c r="B5564" s="2" t="str">
        <x:v>17933</x:v>
      </x:c>
      <x:c r="C5564" s="2" t="str">
        <x:v>United Kingdom</x:v>
      </x:c>
      <x:c r="D5564" s="25" t="n">
        <x:v>40254.424305555556</x:v>
      </x:c>
      <x:c r="E5564" s="25" t="n">
        <x:v>40254.424305555556</x:v>
      </x:c>
      <x:c r="F5564" s="2" t="n">
        <x:v>633</x:v>
      </x:c>
      <x:c r="G5564" s="2" t="n">
        <x:v>1</x:v>
      </x:c>
      <x:c r="H5564" s="11" t="n">
        <x:v>114.69</x:v>
      </x:c>
      <x:c r="I5564" s="2" t="n">
        <x:v>1</x:v>
      </x:c>
      <x:c r="J5564" s="2" t="n">
        <x:v>1</x:v>
      </x:c>
      <x:c r="K5564" s="2" t="n">
        <x:v>1</x:v>
      </x:c>
      <x:c r="L5564" s="2" t="str">
        <x:v>Hibernating</x:v>
      </x:c>
    </x:row>
    <x:row r="5565" ht="22" customHeight="1">
      <x:c r="A5565" s="2"/>
      <x:c r="B5565" s="2" t="str">
        <x:v>17934</x:v>
      </x:c>
      <x:c r="C5565" s="2" t="str">
        <x:v>United Kingdom</x:v>
      </x:c>
      <x:c r="D5565" s="25" t="n">
        <x:v>40480.30763888889</x:v>
      </x:c>
      <x:c r="E5565" s="25" t="n">
        <x:v>40835.26111111111</x:v>
      </x:c>
      <x:c r="F5565" s="2" t="n">
        <x:v>52</x:v>
      </x:c>
      <x:c r="G5565" s="2" t="n">
        <x:v>3</x:v>
      </x:c>
      <x:c r="H5565" s="11" t="n">
        <x:v>1049.15</x:v>
      </x:c>
      <x:c r="I5565" s="2" t="n">
        <x:v>4</x:v>
      </x:c>
      <x:c r="J5565" s="2" t="n">
        <x:v>3</x:v>
      </x:c>
      <x:c r="K5565" s="2" t="n">
        <x:v>3</x:v>
      </x:c>
      <x:c r="L5565" s="2" t="str">
        <x:v>Loyal</x:v>
      </x:c>
    </x:row>
    <x:row r="5566" ht="22" customHeight="1">
      <x:c r="A5566" s="2"/>
      <x:c r="B5566" s="2" t="str">
        <x:v>17935</x:v>
      </x:c>
      <x:c r="C5566" s="2" t="str">
        <x:v>United Kingdom</x:v>
      </x:c>
      <x:c r="D5566" s="25" t="n">
        <x:v>40151.39791666667</x:v>
      </x:c>
      <x:c r="E5566" s="25" t="n">
        <x:v>40748.34583333333</x:v>
      </x:c>
      <x:c r="F5566" s="2" t="n">
        <x:v>139</x:v>
      </x:c>
      <x:c r="G5566" s="2" t="n">
        <x:v>7</x:v>
      </x:c>
      <x:c r="H5566" s="11" t="n">
        <x:v>686.14</x:v>
      </x:c>
      <x:c r="I5566" s="2" t="n">
        <x:v>3</x:v>
      </x:c>
      <x:c r="J5566" s="2" t="n">
        <x:v>4</x:v>
      </x:c>
      <x:c r="K5566" s="2" t="n">
        <x:v>3</x:v>
      </x:c>
      <x:c r="L5566" s="2" t="str">
        <x:v>Loyal</x:v>
      </x:c>
    </x:row>
    <x:row r="5567" ht="22" customHeight="1">
      <x:c r="A5567" s="2"/>
      <x:c r="B5567" s="2" t="str">
        <x:v>17936</x:v>
      </x:c>
      <x:c r="C5567" s="2" t="str">
        <x:v>United Kingdom</x:v>
      </x:c>
      <x:c r="D5567" s="25" t="n">
        <x:v>40881.35555555556</x:v>
      </x:c>
      <x:c r="E5567" s="25" t="n">
        <x:v>40881.35555555556</x:v>
      </x:c>
      <x:c r="F5567" s="2" t="n">
        <x:v>6</x:v>
      </x:c>
      <x:c r="G5567" s="2" t="n">
        <x:v>1</x:v>
      </x:c>
      <x:c r="H5567" s="11" t="n">
        <x:v>389.84</x:v>
      </x:c>
      <x:c r="I5567" s="2" t="n">
        <x:v>5</x:v>
      </x:c>
      <x:c r="J5567" s="2" t="n">
        <x:v>1</x:v>
      </x:c>
      <x:c r="K5567" s="2" t="n">
        <x:v>2</x:v>
      </x:c>
      <x:c r="L5567" s="2" t="str">
        <x:v>Recent light buyers</x:v>
      </x:c>
    </x:row>
    <x:row r="5568" ht="22" customHeight="1">
      <x:c r="A5568" s="2"/>
      <x:c r="B5568" s="2" t="str">
        <x:v>17937</x:v>
      </x:c>
      <x:c r="C5568" s="2" t="str">
        <x:v>United Kingdom</x:v>
      </x:c>
      <x:c r="D5568" s="25" t="n">
        <x:v>40524.404861111114</x:v>
      </x:c>
      <x:c r="E5568" s="25" t="n">
        <x:v>40878.28125</x:v>
      </x:c>
      <x:c r="F5568" s="2" t="n">
        <x:v>9</x:v>
      </x:c>
      <x:c r="G5568" s="2" t="n">
        <x:v>7</x:v>
      </x:c>
      <x:c r="H5568" s="11" t="n">
        <x:v>4301.22</x:v>
      </x:c>
      <x:c r="I5568" s="2" t="n">
        <x:v>5</x:v>
      </x:c>
      <x:c r="J5568" s="2" t="n">
        <x:v>4</x:v>
      </x:c>
      <x:c r="K5568" s="2" t="n">
        <x:v>5</x:v>
      </x:c>
      <x:c r="L5568" s="2" t="str">
        <x:v>Champions</x:v>
      </x:c>
    </x:row>
    <x:row r="5569" ht="22" customHeight="1">
      <x:c r="A5569" s="2"/>
      <x:c r="B5569" s="2" t="str">
        <x:v>17938</x:v>
      </x:c>
      <x:c r="C5569" s="2" t="str">
        <x:v>United Kingdom</x:v>
      </x:c>
      <x:c r="D5569" s="25" t="n">
        <x:v>40466.39375</x:v>
      </x:c>
      <x:c r="E5569" s="25" t="n">
        <x:v>40466.39375</x:v>
      </x:c>
      <x:c r="F5569" s="2" t="n">
        <x:v>421</x:v>
      </x:c>
      <x:c r="G5569" s="2" t="n">
        <x:v>1</x:v>
      </x:c>
      <x:c r="H5569" s="11" t="n">
        <x:v>144.29</x:v>
      </x:c>
      <x:c r="I5569" s="2" t="n">
        <x:v>1</x:v>
      </x:c>
      <x:c r="J5569" s="2" t="n">
        <x:v>1</x:v>
      </x:c>
      <x:c r="K5569" s="2" t="n">
        <x:v>1</x:v>
      </x:c>
      <x:c r="L5569" s="2" t="str">
        <x:v>Hibernating</x:v>
      </x:c>
    </x:row>
    <x:row r="5570" ht="22" customHeight="1">
      <x:c r="A5570" s="2"/>
      <x:c r="B5570" s="2" t="str">
        <x:v>17939</x:v>
      </x:c>
      <x:c r="C5570" s="2" t="str">
        <x:v>United Kingdom</x:v>
      </x:c>
      <x:c r="D5570" s="25" t="n">
        <x:v>40727.31041666667</x:v>
      </x:c>
      <x:c r="E5570" s="25" t="n">
        <x:v>40727.31041666667</x:v>
      </x:c>
      <x:c r="F5570" s="2" t="n">
        <x:v>160</x:v>
      </x:c>
      <x:c r="G5570" s="2" t="n">
        <x:v>1</x:v>
      </x:c>
      <x:c r="H5570" s="11" t="n">
        <x:v>99.14</x:v>
      </x:c>
      <x:c r="I5570" s="2" t="n">
        <x:v>3</x:v>
      </x:c>
      <x:c r="J5570" s="2" t="n">
        <x:v>1</x:v>
      </x:c>
      <x:c r="K5570" s="2" t="n">
        <x:v>1</x:v>
      </x:c>
      <x:c r="L5570" s="2" t="str">
        <x:v>Developing</x:v>
      </x:c>
    </x:row>
    <x:row r="5571" ht="22" customHeight="1">
      <x:c r="A5571" s="2"/>
      <x:c r="B5571" s="2" t="str">
        <x:v>17940</x:v>
      </x:c>
      <x:c r="C5571" s="2" t="str">
        <x:v>United Kingdom</x:v>
      </x:c>
      <x:c r="D5571" s="25" t="n">
        <x:v>40150.31319444445</x:v>
      </x:c>
      <x:c r="E5571" s="25" t="n">
        <x:v>40837.35208333333</x:v>
      </x:c>
      <x:c r="F5571" s="2" t="n">
        <x:v>50</x:v>
      </x:c>
      <x:c r="G5571" s="2" t="n">
        <x:v>16</x:v>
      </x:c>
      <x:c r="H5571" s="11" t="n">
        <x:v>30393.19</x:v>
      </x:c>
      <x:c r="I5571" s="2" t="n">
        <x:v>4</x:v>
      </x:c>
      <x:c r="J5571" s="2" t="n">
        <x:v>5</x:v>
      </x:c>
      <x:c r="K5571" s="2" t="n">
        <x:v>5</x:v>
      </x:c>
      <x:c r="L5571" s="2" t="str">
        <x:v>Champions</x:v>
      </x:c>
    </x:row>
    <x:row r="5572" ht="22" customHeight="1">
      <x:c r="A5572" s="2"/>
      <x:c r="B5572" s="2" t="str">
        <x:v>17941</x:v>
      </x:c>
      <x:c r="C5572" s="2" t="str">
        <x:v>United Kingdom</x:v>
      </x:c>
      <x:c r="D5572" s="25" t="n">
        <x:v>40184.44236111111</x:v>
      </x:c>
      <x:c r="E5572" s="25" t="n">
        <x:v>40756.145833333336</x:v>
      </x:c>
      <x:c r="F5572" s="2" t="n">
        <x:v>131</x:v>
      </x:c>
      <x:c r="G5572" s="2" t="n">
        <x:v>4</x:v>
      </x:c>
      <x:c r="H5572" s="11" t="n">
        <x:v>1433.28</x:v>
      </x:c>
      <x:c r="I5572" s="2" t="n">
        <x:v>3</x:v>
      </x:c>
      <x:c r="J5572" s="2" t="n">
        <x:v>3</x:v>
      </x:c>
      <x:c r="K5572" s="2" t="n">
        <x:v>4</x:v>
      </x:c>
      <x:c r="L5572" s="2" t="str">
        <x:v>Loyal</x:v>
      </x:c>
    </x:row>
    <x:row r="5573" ht="22" customHeight="1">
      <x:c r="A5573" s="2"/>
      <x:c r="B5573" s="2" t="str">
        <x:v>17942</x:v>
      </x:c>
      <x:c r="C5573" s="2" t="str">
        <x:v>United Kingdom</x:v>
      </x:c>
      <x:c r="D5573" s="25" t="n">
        <x:v>40879.239583333336</x:v>
      </x:c>
      <x:c r="E5573" s="25" t="n">
        <x:v>40879.239583333336</x:v>
      </x:c>
      <x:c r="F5573" s="2" t="n">
        <x:v>8</x:v>
      </x:c>
      <x:c r="G5573" s="2" t="n">
        <x:v>1</x:v>
      </x:c>
      <x:c r="H5573" s="11" t="n">
        <x:v>77.5</x:v>
      </x:c>
      <x:c r="I5573" s="2" t="n">
        <x:v>5</x:v>
      </x:c>
      <x:c r="J5573" s="2" t="n">
        <x:v>1</x:v>
      </x:c>
      <x:c r="K5573" s="2" t="n">
        <x:v>1</x:v>
      </x:c>
      <x:c r="L5573" s="2" t="str">
        <x:v>Recent light buyers</x:v>
      </x:c>
    </x:row>
    <x:row r="5574" ht="22" customHeight="1">
      <x:c r="A5574" s="2"/>
      <x:c r="B5574" s="2" t="str">
        <x:v>17944</x:v>
      </x:c>
      <x:c r="C5574" s="2" t="str">
        <x:v>United Kingdom</x:v>
      </x:c>
      <x:c r="D5574" s="25" t="n">
        <x:v>40463.475694444445</x:v>
      </x:c>
      <x:c r="E5574" s="25" t="n">
        <x:v>40463.475694444445</x:v>
      </x:c>
      <x:c r="F5574" s="2" t="n">
        <x:v>424</x:v>
      </x:c>
      <x:c r="G5574" s="2" t="n">
        <x:v>1</x:v>
      </x:c>
      <x:c r="H5574" s="11" t="n">
        <x:v>75.41</x:v>
      </x:c>
      <x:c r="I5574" s="2" t="n">
        <x:v>1</x:v>
      </x:c>
      <x:c r="J5574" s="2" t="n">
        <x:v>1</x:v>
      </x:c>
      <x:c r="K5574" s="2" t="n">
        <x:v>1</x:v>
      </x:c>
      <x:c r="L5574" s="2" t="str">
        <x:v>Hibernating</x:v>
      </x:c>
    </x:row>
    <x:row r="5575" ht="22" customHeight="1">
      <x:c r="A5575" s="2"/>
      <x:c r="B5575" s="2" t="str">
        <x:v>17945</x:v>
      </x:c>
      <x:c r="C5575" s="2" t="str">
        <x:v>United Kingdom</x:v>
      </x:c>
      <x:c r="D5575" s="25" t="n">
        <x:v>40190.27291666667</x:v>
      </x:c>
      <x:c r="E5575" s="25" t="n">
        <x:v>40190.27777777778</x:v>
      </x:c>
      <x:c r="F5575" s="2" t="n">
        <x:v>697</x:v>
      </x:c>
      <x:c r="G5575" s="2" t="n">
        <x:v>3</x:v>
      </x:c>
      <x:c r="H5575" s="11" t="n">
        <x:v>360.35</x:v>
      </x:c>
      <x:c r="I5575" s="2" t="n">
        <x:v>1</x:v>
      </x:c>
      <x:c r="J5575" s="2" t="n">
        <x:v>3</x:v>
      </x:c>
      <x:c r="K5575" s="2" t="n">
        <x:v>2</x:v>
      </x:c>
      <x:c r="L5575" s="2" t="str">
        <x:v>At risk</x:v>
      </x:c>
    </x:row>
    <x:row r="5576" ht="22" customHeight="1">
      <x:c r="A5576" s="2"/>
      <x:c r="B5576" s="2" t="str">
        <x:v>17946</x:v>
      </x:c>
      <x:c r="C5576" s="2" t="str">
        <x:v>United Kingdom</x:v>
      </x:c>
      <x:c r="D5576" s="25" t="n">
        <x:v>40627.39861111111</x:v>
      </x:c>
      <x:c r="E5576" s="25" t="n">
        <x:v>40653.5</x:v>
      </x:c>
      <x:c r="F5576" s="2" t="n">
        <x:v>234</x:v>
      </x:c>
      <x:c r="G5576" s="2" t="n">
        <x:v>2</x:v>
      </x:c>
      <x:c r="H5576" s="11" t="n">
        <x:v>149.58</x:v>
      </x:c>
      <x:c r="I5576" s="2" t="n">
        <x:v>2</x:v>
      </x:c>
      <x:c r="J5576" s="2" t="n">
        <x:v>2</x:v>
      </x:c>
      <x:c r="K5576" s="2" t="n">
        <x:v>1</x:v>
      </x:c>
      <x:c r="L5576" s="2" t="str">
        <x:v>Hibernating</x:v>
      </x:c>
    </x:row>
    <x:row r="5577" ht="22" customHeight="1">
      <x:c r="A5577" s="2"/>
      <x:c r="B5577" s="2" t="str">
        <x:v>17947</x:v>
      </x:c>
      <x:c r="C5577" s="2" t="str">
        <x:v>United Kingdom</x:v>
      </x:c>
      <x:c r="D5577" s="25" t="n">
        <x:v>40849.336805555555</x:v>
      </x:c>
      <x:c r="E5577" s="25" t="n">
        <x:v>40849.336805555555</x:v>
      </x:c>
      <x:c r="F5577" s="2" t="n">
        <x:v>38</x:v>
      </x:c>
      <x:c r="G5577" s="2" t="n">
        <x:v>1</x:v>
      </x:c>
      <x:c r="H5577" s="11" t="n">
        <x:v>176.68</x:v>
      </x:c>
      <x:c r="I5577" s="2" t="n">
        <x:v>4</x:v>
      </x:c>
      <x:c r="J5577" s="2" t="n">
        <x:v>1</x:v>
      </x:c>
      <x:c r="K5577" s="2" t="n">
        <x:v>1</x:v>
      </x:c>
      <x:c r="L5577" s="2" t="str">
        <x:v>Recent light buyers</x:v>
      </x:c>
    </x:row>
    <x:row r="5578" ht="22" customHeight="1">
      <x:c r="A5578" s="2"/>
      <x:c r="B5578" s="2" t="str">
        <x:v>17948</x:v>
      </x:c>
      <x:c r="C5578" s="2" t="str">
        <x:v>United Kingdom</x:v>
      </x:c>
      <x:c r="D5578" s="25" t="n">
        <x:v>40739.33194444444</x:v>
      </x:c>
      <x:c r="E5578" s="25" t="n">
        <x:v>40739.33194444444</x:v>
      </x:c>
      <x:c r="F5578" s="2" t="n">
        <x:v>148</x:v>
      </x:c>
      <x:c r="G5578" s="2" t="n">
        <x:v>1</x:v>
      </x:c>
      <x:c r="H5578" s="11" t="n">
        <x:v>358.56</x:v>
      </x:c>
      <x:c r="I5578" s="2" t="n">
        <x:v>3</x:v>
      </x:c>
      <x:c r="J5578" s="2" t="n">
        <x:v>1</x:v>
      </x:c>
      <x:c r="K5578" s="2" t="n">
        <x:v>2</x:v>
      </x:c>
      <x:c r="L5578" s="2" t="str">
        <x:v>Developing</x:v>
      </x:c>
    </x:row>
    <x:row r="5579" ht="22" customHeight="1">
      <x:c r="A5579" s="2"/>
      <x:c r="B5579" s="2" t="str">
        <x:v>17949</x:v>
      </x:c>
      <x:c r="C5579" s="2" t="str">
        <x:v>United Kingdom</x:v>
      </x:c>
      <x:c r="D5579" s="25" t="n">
        <x:v>40149.25486111111</x:v>
      </x:c>
      <x:c r="E5579" s="25" t="n">
        <x:v>40885.57361111111</x:v>
      </x:c>
      <x:c r="F5579" s="2" t="n">
        <x:v>2</x:v>
      </x:c>
      <x:c r="G5579" s="2" t="n">
        <x:v>118</x:v>
      </x:c>
      <x:c r="H5579" s="11" t="n">
        <x:v>117314.08</x:v>
      </x:c>
      <x:c r="I5579" s="2" t="n">
        <x:v>5</x:v>
      </x:c>
      <x:c r="J5579" s="2" t="n">
        <x:v>5</x:v>
      </x:c>
      <x:c r="K5579" s="2" t="n">
        <x:v>5</x:v>
      </x:c>
      <x:c r="L5579" s="2" t="str">
        <x:v>Champions</x:v>
      </x:c>
    </x:row>
    <x:row r="5580" ht="22" customHeight="1">
      <x:c r="A5580" s="2"/>
      <x:c r="B5580" s="2" t="str">
        <x:v>17950</x:v>
      </x:c>
      <x:c r="C5580" s="2" t="str">
        <x:v>United Kingdom</x:v>
      </x:c>
      <x:c r="D5580" s="25" t="n">
        <x:v>40182.527083333334</x:v>
      </x:c>
      <x:c r="E5580" s="25" t="n">
        <x:v>40814.42916666667</x:v>
      </x:c>
      <x:c r="F5580" s="2" t="n">
        <x:v>73</x:v>
      </x:c>
      <x:c r="G5580" s="2" t="n">
        <x:v>7</x:v>
      </x:c>
      <x:c r="H5580" s="11" t="n">
        <x:v>1169.64</x:v>
      </x:c>
      <x:c r="I5580" s="2" t="n">
        <x:v>3</x:v>
      </x:c>
      <x:c r="J5580" s="2" t="n">
        <x:v>4</x:v>
      </x:c>
      <x:c r="K5580" s="2" t="n">
        <x:v>3</x:v>
      </x:c>
      <x:c r="L5580" s="2" t="str">
        <x:v>Loyal</x:v>
      </x:c>
    </x:row>
    <x:row r="5581" ht="22" customHeight="1">
      <x:c r="A5581" s="2"/>
      <x:c r="B5581" s="2" t="str">
        <x:v>17951</x:v>
      </x:c>
      <x:c r="C5581" s="2" t="str">
        <x:v>United Kingdom</x:v>
      </x:c>
      <x:c r="D5581" s="25" t="n">
        <x:v>40482.427083333336</x:v>
      </x:c>
      <x:c r="E5581" s="25" t="n">
        <x:v>40847.3125</x:v>
      </x:c>
      <x:c r="F5581" s="2" t="n">
        <x:v>40</x:v>
      </x:c>
      <x:c r="G5581" s="2" t="n">
        <x:v>4</x:v>
      </x:c>
      <x:c r="H5581" s="11" t="n">
        <x:v>1340.58</x:v>
      </x:c>
      <x:c r="I5581" s="2" t="n">
        <x:v>4</x:v>
      </x:c>
      <x:c r="J5581" s="2" t="n">
        <x:v>3</x:v>
      </x:c>
      <x:c r="K5581" s="2" t="n">
        <x:v>4</x:v>
      </x:c>
      <x:c r="L5581" s="2" t="str">
        <x:v>Loyal</x:v>
      </x:c>
    </x:row>
    <x:row r="5582" ht="22" customHeight="1">
      <x:c r="A5582" s="2"/>
      <x:c r="B5582" s="2" t="str">
        <x:v>17952</x:v>
      </x:c>
      <x:c r="C5582" s="2" t="str">
        <x:v>United Kingdom</x:v>
      </x:c>
      <x:c r="D5582" s="25" t="n">
        <x:v>40345.2875</x:v>
      </x:c>
      <x:c r="E5582" s="25" t="n">
        <x:v>40508.370833333334</x:v>
      </x:c>
      <x:c r="F5582" s="2" t="n">
        <x:v>379</x:v>
      </x:c>
      <x:c r="G5582" s="2" t="n">
        <x:v>4</x:v>
      </x:c>
      <x:c r="H5582" s="11" t="n">
        <x:v>819.61</x:v>
      </x:c>
      <x:c r="I5582" s="2" t="n">
        <x:v>2</x:v>
      </x:c>
      <x:c r="J5582" s="2" t="n">
        <x:v>3</x:v>
      </x:c>
      <x:c r="K5582" s="2" t="n">
        <x:v>3</x:v>
      </x:c>
      <x:c r="L5582" s="2" t="str">
        <x:v>At risk</x:v>
      </x:c>
    </x:row>
    <x:row r="5583" ht="22" customHeight="1">
      <x:c r="A5583" s="2"/>
      <x:c r="B5583" s="2" t="str">
        <x:v>17953</x:v>
      </x:c>
      <x:c r="C5583" s="2" t="str">
        <x:v>United Kingdom</x:v>
      </x:c>
      <x:c r="D5583" s="25" t="n">
        <x:v>40346.42222222222</x:v>
      </x:c>
      <x:c r="E5583" s="25" t="n">
        <x:v>40346.42222222222</x:v>
      </x:c>
      <x:c r="F5583" s="2" t="n">
        <x:v>541</x:v>
      </x:c>
      <x:c r="G5583" s="2" t="n">
        <x:v>1</x:v>
      </x:c>
      <x:c r="H5583" s="11" t="n">
        <x:v>160.82</x:v>
      </x:c>
      <x:c r="I5583" s="2" t="n">
        <x:v>1</x:v>
      </x:c>
      <x:c r="J5583" s="2" t="n">
        <x:v>1</x:v>
      </x:c>
      <x:c r="K5583" s="2" t="n">
        <x:v>1</x:v>
      </x:c>
      <x:c r="L5583" s="2" t="str">
        <x:v>Hibernating</x:v>
      </x:c>
    </x:row>
    <x:row r="5584" ht="22" customHeight="1">
      <x:c r="A5584" s="2"/>
      <x:c r="B5584" s="2" t="str">
        <x:v>17954</x:v>
      </x:c>
      <x:c r="C5584" s="2" t="str">
        <x:v>United Kingdom</x:v>
      </x:c>
      <x:c r="D5584" s="25" t="n">
        <x:v>40156.34861111111</x:v>
      </x:c>
      <x:c r="E5584" s="25" t="n">
        <x:v>40881.385416666664</x:v>
      </x:c>
      <x:c r="F5584" s="2" t="n">
        <x:v>6</x:v>
      </x:c>
      <x:c r="G5584" s="2" t="n">
        <x:v>19</x:v>
      </x:c>
      <x:c r="H5584" s="11" t="n">
        <x:v>3837.37</x:v>
      </x:c>
      <x:c r="I5584" s="2" t="n">
        <x:v>5</x:v>
      </x:c>
      <x:c r="J5584" s="2" t="n">
        <x:v>5</x:v>
      </x:c>
      <x:c r="K5584" s="2" t="n">
        <x:v>5</x:v>
      </x:c>
      <x:c r="L5584" s="2" t="str">
        <x:v>Champions</x:v>
      </x:c>
    </x:row>
    <x:row r="5585" ht="22" customHeight="1">
      <x:c r="A5585" s="2"/>
      <x:c r="B5585" s="2" t="str">
        <x:v>17955</x:v>
      </x:c>
      <x:c r="C5585" s="2" t="str">
        <x:v>United Kingdom</x:v>
      </x:c>
      <x:c r="D5585" s="25" t="n">
        <x:v>40221.47708333333</x:v>
      </x:c>
      <x:c r="E5585" s="25" t="n">
        <x:v>40688.291666666664</x:v>
      </x:c>
      <x:c r="F5585" s="2" t="n">
        <x:v>199</x:v>
      </x:c>
      <x:c r="G5585" s="2" t="n">
        <x:v>6</x:v>
      </x:c>
      <x:c r="H5585" s="11" t="n">
        <x:v>949.9</x:v>
      </x:c>
      <x:c r="I5585" s="2" t="n">
        <x:v>2</x:v>
      </x:c>
      <x:c r="J5585" s="2" t="n">
        <x:v>4</x:v>
      </x:c>
      <x:c r="K5585" s="2" t="n">
        <x:v>3</x:v>
      </x:c>
      <x:c r="L5585" s="2" t="str">
        <x:v>At risk</x:v>
      </x:c>
    </x:row>
    <x:row r="5586" ht="22" customHeight="1">
      <x:c r="A5586" s="2"/>
      <x:c r="B5586" s="2" t="str">
        <x:v>17956</x:v>
      </x:c>
      <x:c r="C5586" s="2" t="str">
        <x:v>United Kingdom</x:v>
      </x:c>
      <x:c r="D5586" s="25" t="n">
        <x:v>40637.36597222222</x:v>
      </x:c>
      <x:c r="E5586" s="25" t="n">
        <x:v>40637.36597222222</x:v>
      </x:c>
      <x:c r="F5586" s="2" t="n">
        <x:v>250</x:v>
      </x:c>
      <x:c r="G5586" s="2" t="n">
        <x:v>1</x:v>
      </x:c>
      <x:c r="H5586" s="11" t="n">
        <x:v>12.75</x:v>
      </x:c>
      <x:c r="I5586" s="2" t="n">
        <x:v>2</x:v>
      </x:c>
      <x:c r="J5586" s="2" t="n">
        <x:v>1</x:v>
      </x:c>
      <x:c r="K5586" s="2" t="n">
        <x:v>1</x:v>
      </x:c>
      <x:c r="L5586" s="2" t="str">
        <x:v>Hibernating</x:v>
      </x:c>
    </x:row>
    <x:row r="5587" ht="22" customHeight="1">
      <x:c r="A5587" s="2"/>
      <x:c r="B5587" s="2" t="str">
        <x:v>17957</x:v>
      </x:c>
      <x:c r="C5587" s="2" t="str">
        <x:v>United Kingdom</x:v>
      </x:c>
      <x:c r="D5587" s="25" t="n">
        <x:v>40820.41527777778</x:v>
      </x:c>
      <x:c r="E5587" s="25" t="n">
        <x:v>40820.41527777778</x:v>
      </x:c>
      <x:c r="F5587" s="2" t="n">
        <x:v>67</x:v>
      </x:c>
      <x:c r="G5587" s="2" t="n">
        <x:v>1</x:v>
      </x:c>
      <x:c r="H5587" s="11" t="n">
        <x:v>111.68</x:v>
      </x:c>
      <x:c r="I5587" s="2" t="n">
        <x:v>3</x:v>
      </x:c>
      <x:c r="J5587" s="2" t="n">
        <x:v>1</x:v>
      </x:c>
      <x:c r="K5587" s="2" t="n">
        <x:v>1</x:v>
      </x:c>
      <x:c r="L5587" s="2" t="str">
        <x:v>Developing</x:v>
      </x:c>
    </x:row>
    <x:row r="5588" ht="22" customHeight="1">
      <x:c r="A5588" s="2"/>
      <x:c r="B5588" s="2" t="str">
        <x:v>17958</x:v>
      </x:c>
      <x:c r="C5588" s="2" t="str">
        <x:v>United Kingdom</x:v>
      </x:c>
      <x:c r="D5588" s="25" t="n">
        <x:v>40158.44236111111</x:v>
      </x:c>
      <x:c r="E5588" s="25" t="n">
        <x:v>40770.30486111111</x:v>
      </x:c>
      <x:c r="F5588" s="2" t="n">
        <x:v>117</x:v>
      </x:c>
      <x:c r="G5588" s="2" t="n">
        <x:v>2</x:v>
      </x:c>
      <x:c r="H5588" s="11" t="n">
        <x:v>973.88</x:v>
      </x:c>
      <x:c r="I5588" s="2" t="n">
        <x:v>3</x:v>
      </x:c>
      <x:c r="J5588" s="2" t="n">
        <x:v>2</x:v>
      </x:c>
      <x:c r="K5588" s="2" t="n">
        <x:v>3</x:v>
      </x:c>
      <x:c r="L5588" s="2" t="str">
        <x:v>Developing</x:v>
      </x:c>
    </x:row>
    <x:row r="5589" ht="22" customHeight="1">
      <x:c r="A5589" s="2"/>
      <x:c r="B5589" s="2" t="str">
        <x:v>17959</x:v>
      </x:c>
      <x:c r="C5589" s="2" t="str">
        <x:v>United Kingdom</x:v>
      </x:c>
      <x:c r="D5589" s="25" t="n">
        <x:v>40294.38333333333</x:v>
      </x:c>
      <x:c r="E5589" s="25" t="n">
        <x:v>40294.38333333333</x:v>
      </x:c>
      <x:c r="F5589" s="2" t="n">
        <x:v>593</x:v>
      </x:c>
      <x:c r="G5589" s="2" t="n">
        <x:v>1</x:v>
      </x:c>
      <x:c r="H5589" s="11" t="n">
        <x:v>140.75</x:v>
      </x:c>
      <x:c r="I5589" s="2" t="n">
        <x:v>1</x:v>
      </x:c>
      <x:c r="J5589" s="2" t="n">
        <x:v>1</x:v>
      </x:c>
      <x:c r="K5589" s="2" t="n">
        <x:v>1</x:v>
      </x:c>
      <x:c r="L5589" s="2" t="str">
        <x:v>Hibernating</x:v>
      </x:c>
    </x:row>
    <x:row r="5590" ht="22" customHeight="1">
      <x:c r="A5590" s="2"/>
      <x:c r="B5590" s="2" t="str">
        <x:v>17960</x:v>
      </x:c>
      <x:c r="C5590" s="2" t="str">
        <x:v>United Kingdom</x:v>
      </x:c>
      <x:c r="D5590" s="25" t="n">
        <x:v>40245.30694444444</x:v>
      </x:c>
      <x:c r="E5590" s="25" t="n">
        <x:v>40715.385416666664</x:v>
      </x:c>
      <x:c r="F5590" s="2" t="n">
        <x:v>172</x:v>
      </x:c>
      <x:c r="G5590" s="2" t="n">
        <x:v>3</x:v>
      </x:c>
      <x:c r="H5590" s="11" t="n">
        <x:v>135.08</x:v>
      </x:c>
      <x:c r="I5590" s="2" t="n">
        <x:v>3</x:v>
      </x:c>
      <x:c r="J5590" s="2" t="n">
        <x:v>3</x:v>
      </x:c>
      <x:c r="K5590" s="2" t="n">
        <x:v>1</x:v>
      </x:c>
      <x:c r="L5590" s="2" t="str">
        <x:v>Loyal</x:v>
      </x:c>
    </x:row>
    <x:row r="5591" ht="22" customHeight="1">
      <x:c r="A5591" s="2"/>
      <x:c r="B5591" s="2" t="str">
        <x:v>17961</x:v>
      </x:c>
      <x:c r="C5591" s="2" t="str">
        <x:v>United Kingdom</x:v>
      </x:c>
      <x:c r="D5591" s="25" t="n">
        <x:v>40148.40833333333</x:v>
      </x:c>
      <x:c r="E5591" s="25" t="n">
        <x:v>40865.49652777778</x:v>
      </x:c>
      <x:c r="F5591" s="2" t="n">
        <x:v>22</x:v>
      </x:c>
      <x:c r="G5591" s="2" t="n">
        <x:v>100</x:v>
      </x:c>
      <x:c r="H5591" s="11" t="n">
        <x:v>2867.99</x:v>
      </x:c>
      <x:c r="I5591" s="2" t="n">
        <x:v>4</x:v>
      </x:c>
      <x:c r="J5591" s="2" t="n">
        <x:v>5</x:v>
      </x:c>
      <x:c r="K5591" s="2" t="n">
        <x:v>4</x:v>
      </x:c>
      <x:c r="L5591" s="2" t="str">
        <x:v>Champions</x:v>
      </x:c>
    </x:row>
    <x:row r="5592" ht="22" customHeight="1">
      <x:c r="A5592" s="2"/>
      <x:c r="B5592" s="2" t="str">
        <x:v>17962</x:v>
      </x:c>
      <x:c r="C5592" s="2" t="str">
        <x:v>United Kingdom</x:v>
      </x:c>
      <x:c r="D5592" s="25" t="n">
        <x:v>40191.433333333334</x:v>
      </x:c>
      <x:c r="E5592" s="25" t="n">
        <x:v>40744.38611111111</x:v>
      </x:c>
      <x:c r="F5592" s="2" t="n">
        <x:v>143</x:v>
      </x:c>
      <x:c r="G5592" s="2" t="n">
        <x:v>4</x:v>
      </x:c>
      <x:c r="H5592" s="11" t="n">
        <x:v>687.42</x:v>
      </x:c>
      <x:c r="I5592" s="2" t="n">
        <x:v>3</x:v>
      </x:c>
      <x:c r="J5592" s="2" t="n">
        <x:v>3</x:v>
      </x:c>
      <x:c r="K5592" s="2" t="n">
        <x:v>3</x:v>
      </x:c>
      <x:c r="L5592" s="2" t="str">
        <x:v>Loyal</x:v>
      </x:c>
    </x:row>
    <x:row r="5593" ht="22" customHeight="1">
      <x:c r="A5593" s="2"/>
      <x:c r="B5593" s="2" t="str">
        <x:v>17963</x:v>
      </x:c>
      <x:c r="C5593" s="2" t="str">
        <x:v>United Kingdom</x:v>
      </x:c>
      <x:c r="D5593" s="25" t="n">
        <x:v>40197.51736111111</x:v>
      </x:c>
      <x:c r="E5593" s="25" t="n">
        <x:v>40415.45694444444</x:v>
      </x:c>
      <x:c r="F5593" s="2" t="n">
        <x:v>472</x:v>
      </x:c>
      <x:c r="G5593" s="2" t="n">
        <x:v>4</x:v>
      </x:c>
      <x:c r="H5593" s="11" t="n">
        <x:v>651.51</x:v>
      </x:c>
      <x:c r="I5593" s="2" t="n">
        <x:v>1</x:v>
      </x:c>
      <x:c r="J5593" s="2" t="n">
        <x:v>3</x:v>
      </x:c>
      <x:c r="K5593" s="2" t="n">
        <x:v>3</x:v>
      </x:c>
      <x:c r="L5593" s="2" t="str">
        <x:v>At risk</x:v>
      </x:c>
    </x:row>
    <x:row r="5594" ht="22" customHeight="1">
      <x:c r="A5594" s="2"/>
      <x:c r="B5594" s="2" t="str">
        <x:v>17964</x:v>
      </x:c>
      <x:c r="C5594" s="2" t="str">
        <x:v>United Kingdom</x:v>
      </x:c>
      <x:c r="D5594" s="25" t="n">
        <x:v>40514.35555555556</x:v>
      </x:c>
      <x:c r="E5594" s="25" t="n">
        <x:v>40855.23888888889</x:v>
      </x:c>
      <x:c r="F5594" s="2" t="n">
        <x:v>32</x:v>
      </x:c>
      <x:c r="G5594" s="2" t="n">
        <x:v>2</x:v>
      </x:c>
      <x:c r="H5594" s="11" t="n">
        <x:v>471.7</x:v>
      </x:c>
      <x:c r="I5594" s="2" t="n">
        <x:v>4</x:v>
      </x:c>
      <x:c r="J5594" s="2" t="n">
        <x:v>2</x:v>
      </x:c>
      <x:c r="K5594" s="2" t="n">
        <x:v>2</x:v>
      </x:c>
      <x:c r="L5594" s="2" t="str">
        <x:v>Recent light buyers</x:v>
      </x:c>
    </x:row>
    <x:row r="5595" ht="22" customHeight="1">
      <x:c r="A5595" s="2"/>
      <x:c r="B5595" s="2" t="str">
        <x:v>17965</x:v>
      </x:c>
      <x:c r="C5595" s="2" t="str">
        <x:v>United Kingdom</x:v>
      </x:c>
      <x:c r="D5595" s="25" t="n">
        <x:v>40161.34652777778</x:v>
      </x:c>
      <x:c r="E5595" s="25" t="n">
        <x:v>40849.18819444445</x:v>
      </x:c>
      <x:c r="F5595" s="2" t="n">
        <x:v>38</x:v>
      </x:c>
      <x:c r="G5595" s="2" t="n">
        <x:v>29</x:v>
      </x:c>
      <x:c r="H5595" s="11" t="n">
        <x:v>7084.18</x:v>
      </x:c>
      <x:c r="I5595" s="2" t="n">
        <x:v>4</x:v>
      </x:c>
      <x:c r="J5595" s="2" t="n">
        <x:v>5</x:v>
      </x:c>
      <x:c r="K5595" s="2" t="n">
        <x:v>5</x:v>
      </x:c>
      <x:c r="L5595" s="2" t="str">
        <x:v>Champions</x:v>
      </x:c>
    </x:row>
    <x:row r="5596" ht="22" customHeight="1">
      <x:c r="A5596" s="2"/>
      <x:c r="B5596" s="2" t="str">
        <x:v>17966</x:v>
      </x:c>
      <x:c r="C5596" s="2" t="str">
        <x:v>United Kingdom</x:v>
      </x:c>
      <x:c r="D5596" s="25" t="n">
        <x:v>40196.35</x:v>
      </x:c>
      <x:c r="E5596" s="25" t="n">
        <x:v>40849.22638888889</x:v>
      </x:c>
      <x:c r="F5596" s="2" t="n">
        <x:v>38</x:v>
      </x:c>
      <x:c r="G5596" s="2" t="n">
        <x:v>10</x:v>
      </x:c>
      <x:c r="H5596" s="11" t="n">
        <x:v>1974.42</x:v>
      </x:c>
      <x:c r="I5596" s="2" t="n">
        <x:v>4</x:v>
      </x:c>
      <x:c r="J5596" s="2" t="n">
        <x:v>5</x:v>
      </x:c>
      <x:c r="K5596" s="2" t="n">
        <x:v>4</x:v>
      </x:c>
      <x:c r="L5596" s="2" t="str">
        <x:v>Champions</x:v>
      </x:c>
    </x:row>
    <x:row r="5597" ht="22" customHeight="1">
      <x:c r="A5597" s="2"/>
      <x:c r="B5597" s="2" t="str">
        <x:v>17967</x:v>
      </x:c>
      <x:c r="C5597" s="2" t="str">
        <x:v>United Kingdom</x:v>
      </x:c>
      <x:c r="D5597" s="25" t="n">
        <x:v>40470.34652777778</x:v>
      </x:c>
      <x:c r="E5597" s="25" t="n">
        <x:v>40515.263194444444</x:v>
      </x:c>
      <x:c r="F5597" s="2" t="n">
        <x:v>372</x:v>
      </x:c>
      <x:c r="G5597" s="2" t="n">
        <x:v>2</x:v>
      </x:c>
      <x:c r="H5597" s="11" t="n">
        <x:v>234.22</x:v>
      </x:c>
      <x:c r="I5597" s="2" t="n">
        <x:v>2</x:v>
      </x:c>
      <x:c r="J5597" s="2" t="n">
        <x:v>2</x:v>
      </x:c>
      <x:c r="K5597" s="2" t="n">
        <x:v>1</x:v>
      </x:c>
      <x:c r="L5597" s="2" t="str">
        <x:v>Hibernating</x:v>
      </x:c>
    </x:row>
    <x:row r="5598" ht="22" customHeight="1">
      <x:c r="A5598" s="2"/>
      <x:c r="B5598" s="2" t="str">
        <x:v>17968</x:v>
      </x:c>
      <x:c r="C5598" s="2" t="str">
        <x:v>United Kingdom</x:v>
      </x:c>
      <x:c r="D5598" s="25" t="n">
        <x:v>40374.41736111111</x:v>
      </x:c>
      <x:c r="E5598" s="25" t="n">
        <x:v>40513.30763888889</x:v>
      </x:c>
      <x:c r="F5598" s="2" t="n">
        <x:v>374</x:v>
      </x:c>
      <x:c r="G5598" s="2" t="n">
        <x:v>4</x:v>
      </x:c>
      <x:c r="H5598" s="11" t="n">
        <x:v>610.69</x:v>
      </x:c>
      <x:c r="I5598" s="2" t="n">
        <x:v>2</x:v>
      </x:c>
      <x:c r="J5598" s="2" t="n">
        <x:v>3</x:v>
      </x:c>
      <x:c r="K5598" s="2" t="n">
        <x:v>2</x:v>
      </x:c>
      <x:c r="L5598" s="2" t="str">
        <x:v>At risk</x:v>
      </x:c>
    </x:row>
    <x:row r="5599" ht="22" customHeight="1">
      <x:c r="A5599" s="2"/>
      <x:c r="B5599" s="2" t="str">
        <x:v>17969</x:v>
      </x:c>
      <x:c r="C5599" s="2" t="str">
        <x:v>United Kingdom</x:v>
      </x:c>
      <x:c r="D5599" s="25" t="n">
        <x:v>40153.37013888889</x:v>
      </x:c>
      <x:c r="E5599" s="25" t="n">
        <x:v>40720.333333333336</x:v>
      </x:c>
      <x:c r="F5599" s="2" t="n">
        <x:v>167</x:v>
      </x:c>
      <x:c r="G5599" s="2" t="n">
        <x:v>20</x:v>
      </x:c>
      <x:c r="H5599" s="11" t="n">
        <x:v>2369.94</x:v>
      </x:c>
      <x:c r="I5599" s="2" t="n">
        <x:v>3</x:v>
      </x:c>
      <x:c r="J5599" s="2" t="n">
        <x:v>5</x:v>
      </x:c>
      <x:c r="K5599" s="2" t="n">
        <x:v>4</x:v>
      </x:c>
      <x:c r="L5599" s="2" t="str">
        <x:v>Loyal</x:v>
      </x:c>
    </x:row>
    <x:row r="5600" ht="22" customHeight="1">
      <x:c r="A5600" s="2"/>
      <x:c r="B5600" s="2" t="str">
        <x:v>17970</x:v>
      </x:c>
      <x:c r="C5600" s="2" t="str">
        <x:v>United Kingdom</x:v>
      </x:c>
      <x:c r="D5600" s="25" t="n">
        <x:v>40675.62708333333</x:v>
      </x:c>
      <x:c r="E5600" s="25" t="n">
        <x:v>40675.62708333333</x:v>
      </x:c>
      <x:c r="F5600" s="2" t="n">
        <x:v>212</x:v>
      </x:c>
      <x:c r="G5600" s="2" t="n">
        <x:v>1</x:v>
      </x:c>
      <x:c r="H5600" s="11" t="n">
        <x:v>582.59</x:v>
      </x:c>
      <x:c r="I5600" s="2" t="n">
        <x:v>2</x:v>
      </x:c>
      <x:c r="J5600" s="2" t="n">
        <x:v>1</x:v>
      </x:c>
      <x:c r="K5600" s="2" t="n">
        <x:v>2</x:v>
      </x:c>
      <x:c r="L5600" s="2" t="str">
        <x:v>Hibernating</x:v>
      </x:c>
    </x:row>
    <x:row r="5601" ht="22" customHeight="1">
      <x:c r="A5601" s="2"/>
      <x:c r="B5601" s="2" t="str">
        <x:v>17971</x:v>
      </x:c>
      <x:c r="C5601" s="2" t="str">
        <x:v>United Kingdom</x:v>
      </x:c>
      <x:c r="D5601" s="25" t="n">
        <x:v>40338.37777777778</x:v>
      </x:c>
      <x:c r="E5601" s="25" t="n">
        <x:v>40338.37777777778</x:v>
      </x:c>
      <x:c r="F5601" s="2" t="n">
        <x:v>549</x:v>
      </x:c>
      <x:c r="G5601" s="2" t="n">
        <x:v>1</x:v>
      </x:c>
      <x:c r="H5601" s="11" t="n">
        <x:v>161.94</x:v>
      </x:c>
      <x:c r="I5601" s="2" t="n">
        <x:v>1</x:v>
      </x:c>
      <x:c r="J5601" s="2" t="n">
        <x:v>1</x:v>
      </x:c>
      <x:c r="K5601" s="2" t="n">
        <x:v>1</x:v>
      </x:c>
      <x:c r="L5601" s="2" t="str">
        <x:v>Hibernating</x:v>
      </x:c>
    </x:row>
    <x:row r="5602" ht="22" customHeight="1">
      <x:c r="A5602" s="2"/>
      <x:c r="B5602" s="2" t="str">
        <x:v>17972</x:v>
      </x:c>
      <x:c r="C5602" s="2" t="str">
        <x:v>United Kingdom</x:v>
      </x:c>
      <x:c r="D5602" s="25" t="n">
        <x:v>40645.302777777775</x:v>
      </x:c>
      <x:c r="E5602" s="25" t="n">
        <x:v>40645.302777777775</x:v>
      </x:c>
      <x:c r="F5602" s="2" t="n">
        <x:v>242</x:v>
      </x:c>
      <x:c r="G5602" s="2" t="n">
        <x:v>1</x:v>
      </x:c>
      <x:c r="H5602" s="11" t="n">
        <x:v>136.04</x:v>
      </x:c>
      <x:c r="I5602" s="2" t="n">
        <x:v>2</x:v>
      </x:c>
      <x:c r="J5602" s="2" t="n">
        <x:v>1</x:v>
      </x:c>
      <x:c r="K5602" s="2" t="n">
        <x:v>1</x:v>
      </x:c>
      <x:c r="L5602" s="2" t="str">
        <x:v>Hibernating</x:v>
      </x:c>
    </x:row>
    <x:row r="5603" ht="22" customHeight="1">
      <x:c r="A5603" s="2"/>
      <x:c r="B5603" s="2" t="str">
        <x:v>17973</x:v>
      </x:c>
      <x:c r="C5603" s="2" t="str">
        <x:v>United Kingdom</x:v>
      </x:c>
      <x:c r="D5603" s="25" t="n">
        <x:v>40835.231944444444</x:v>
      </x:c>
      <x:c r="E5603" s="25" t="n">
        <x:v>40835.231944444444</x:v>
      </x:c>
      <x:c r="F5603" s="2" t="n">
        <x:v>52</x:v>
      </x:c>
      <x:c r="G5603" s="2" t="n">
        <x:v>1</x:v>
      </x:c>
      <x:c r="H5603" s="11" t="n">
        <x:v>337.04</x:v>
      </x:c>
      <x:c r="I5603" s="2" t="n">
        <x:v>4</x:v>
      </x:c>
      <x:c r="J5603" s="2" t="n">
        <x:v>1</x:v>
      </x:c>
      <x:c r="K5603" s="2" t="n">
        <x:v>2</x:v>
      </x:c>
      <x:c r="L5603" s="2" t="str">
        <x:v>Recent light buyers</x:v>
      </x:c>
    </x:row>
    <x:row r="5604" ht="22" customHeight="1">
      <x:c r="A5604" s="2"/>
      <x:c r="B5604" s="2" t="str">
        <x:v>17974</x:v>
      </x:c>
      <x:c r="C5604" s="2" t="str">
        <x:v>United Kingdom</x:v>
      </x:c>
      <x:c r="D5604" s="25" t="n">
        <x:v>40479.62708333333</x:v>
      </x:c>
      <x:c r="E5604" s="25" t="n">
        <x:v>40862.27569444444</x:v>
      </x:c>
      <x:c r="F5604" s="2" t="n">
        <x:v>25</x:v>
      </x:c>
      <x:c r="G5604" s="2" t="n">
        <x:v>6</x:v>
      </x:c>
      <x:c r="H5604" s="11" t="n">
        <x:v>1858.06</x:v>
      </x:c>
      <x:c r="I5604" s="2" t="n">
        <x:v>4</x:v>
      </x:c>
      <x:c r="J5604" s="2" t="n">
        <x:v>4</x:v>
      </x:c>
      <x:c r="K5604" s="2" t="n">
        <x:v>4</x:v>
      </x:c>
      <x:c r="L5604" s="2" t="str">
        <x:v>Champions</x:v>
      </x:c>
    </x:row>
    <x:row r="5605" ht="22" customHeight="1">
      <x:c r="A5605" s="2"/>
      <x:c r="B5605" s="2" t="str">
        <x:v>17975</x:v>
      </x:c>
      <x:c r="C5605" s="2" t="str">
        <x:v>United Kingdom</x:v>
      </x:c>
      <x:c r="D5605" s="25" t="n">
        <x:v>40396.26666666667</x:v>
      </x:c>
      <x:c r="E5605" s="25" t="n">
        <x:v>40871.35208333333</x:v>
      </x:c>
      <x:c r="F5605" s="2" t="n">
        <x:v>16</x:v>
      </x:c>
      <x:c r="G5605" s="2" t="n">
        <x:v>24</x:v>
      </x:c>
      <x:c r="H5605" s="11" t="n">
        <x:v>6714.73</x:v>
      </x:c>
      <x:c r="I5605" s="2" t="n">
        <x:v>5</x:v>
      </x:c>
      <x:c r="J5605" s="2" t="n">
        <x:v>5</x:v>
      </x:c>
      <x:c r="K5605" s="2" t="n">
        <x:v>5</x:v>
      </x:c>
      <x:c r="L5605" s="2" t="str">
        <x:v>Champions</x:v>
      </x:c>
    </x:row>
    <x:row r="5606" ht="22" customHeight="1">
      <x:c r="A5606" s="2"/>
      <x:c r="B5606" s="2" t="str">
        <x:v>17976</x:v>
      </x:c>
      <x:c r="C5606" s="2" t="str">
        <x:v>United Kingdom</x:v>
      </x:c>
      <x:c r="D5606" s="25" t="n">
        <x:v>40514.36736111111</x:v>
      </x:c>
      <x:c r="E5606" s="25" t="n">
        <x:v>40514.36736111111</x:v>
      </x:c>
      <x:c r="F5606" s="2" t="n">
        <x:v>373</x:v>
      </x:c>
      <x:c r="G5606" s="2" t="n">
        <x:v>1</x:v>
      </x:c>
      <x:c r="H5606" s="11" t="n">
        <x:v>353.19</x:v>
      </x:c>
      <x:c r="I5606" s="2" t="n">
        <x:v>2</x:v>
      </x:c>
      <x:c r="J5606" s="2" t="n">
        <x:v>1</x:v>
      </x:c>
      <x:c r="K5606" s="2" t="n">
        <x:v>2</x:v>
      </x:c>
      <x:c r="L5606" s="2" t="str">
        <x:v>Hibernating</x:v>
      </x:c>
    </x:row>
    <x:row r="5607" ht="22" customHeight="1">
      <x:c r="A5607" s="2"/>
      <x:c r="B5607" s="2" t="str">
        <x:v>17977</x:v>
      </x:c>
      <x:c r="C5607" s="2" t="str">
        <x:v>United Kingdom</x:v>
      </x:c>
      <x:c r="D5607" s="25" t="n">
        <x:v>40486.393055555556</x:v>
      </x:c>
      <x:c r="E5607" s="25" t="n">
        <x:v>40857.35277777778</x:v>
      </x:c>
      <x:c r="F5607" s="2" t="n">
        <x:v>30</x:v>
      </x:c>
      <x:c r="G5607" s="2" t="n">
        <x:v>2</x:v>
      </x:c>
      <x:c r="H5607" s="11" t="n">
        <x:v>1565.63</x:v>
      </x:c>
      <x:c r="I5607" s="2" t="n">
        <x:v>4</x:v>
      </x:c>
      <x:c r="J5607" s="2" t="n">
        <x:v>2</x:v>
      </x:c>
      <x:c r="K5607" s="2" t="n">
        <x:v>4</x:v>
      </x:c>
      <x:c r="L5607" s="2" t="str">
        <x:v>Recent light buyers</x:v>
      </x:c>
    </x:row>
    <x:row r="5608" ht="22" customHeight="1">
      <x:c r="A5608" s="2"/>
      <x:c r="B5608" s="2" t="str">
        <x:v>17978</x:v>
      </x:c>
      <x:c r="C5608" s="2" t="str">
        <x:v>United Kingdom</x:v>
      </x:c>
      <x:c r="D5608" s="25" t="n">
        <x:v>40155.35208333333</x:v>
      </x:c>
      <x:c r="E5608" s="25" t="n">
        <x:v>40521.37847222222</x:v>
      </x:c>
      <x:c r="F5608" s="2" t="n">
        <x:v>366</x:v>
      </x:c>
      <x:c r="G5608" s="2" t="n">
        <x:v>4</x:v>
      </x:c>
      <x:c r="H5608" s="11" t="n">
        <x:v>1160.84</x:v>
      </x:c>
      <x:c r="I5608" s="2" t="n">
        <x:v>2</x:v>
      </x:c>
      <x:c r="J5608" s="2" t="n">
        <x:v>3</x:v>
      </x:c>
      <x:c r="K5608" s="2" t="n">
        <x:v>3</x:v>
      </x:c>
      <x:c r="L5608" s="2" t="str">
        <x:v>At risk</x:v>
      </x:c>
    </x:row>
    <x:row r="5609" ht="22" customHeight="1">
      <x:c r="A5609" s="2"/>
      <x:c r="B5609" s="2" t="str">
        <x:v>17979</x:v>
      </x:c>
      <x:c r="C5609" s="2" t="str">
        <x:v>United Kingdom</x:v>
      </x:c>
      <x:c r="D5609" s="25" t="n">
        <x:v>40627.27361111111</x:v>
      </x:c>
      <x:c r="E5609" s="25" t="n">
        <x:v>40851.29513888889</x:v>
      </x:c>
      <x:c r="F5609" s="2" t="n">
        <x:v>36</x:v>
      </x:c>
      <x:c r="G5609" s="2" t="n">
        <x:v>4</x:v>
      </x:c>
      <x:c r="H5609" s="11" t="n">
        <x:v>757.71</x:v>
      </x:c>
      <x:c r="I5609" s="2" t="n">
        <x:v>4</x:v>
      </x:c>
      <x:c r="J5609" s="2" t="n">
        <x:v>3</x:v>
      </x:c>
      <x:c r="K5609" s="2" t="n">
        <x:v>3</x:v>
      </x:c>
      <x:c r="L5609" s="2" t="str">
        <x:v>Loyal</x:v>
      </x:c>
    </x:row>
    <x:row r="5610" ht="22" customHeight="1">
      <x:c r="A5610" s="2"/>
      <x:c r="B5610" s="2" t="str">
        <x:v>17980</x:v>
      </x:c>
      <x:c r="C5610" s="2" t="str">
        <x:v>United Kingdom</x:v>
      </x:c>
      <x:c r="D5610" s="25" t="n">
        <x:v>40493.40416666667</x:v>
      </x:c>
      <x:c r="E5610" s="25" t="n">
        <x:v>40721.29236111111</x:v>
      </x:c>
      <x:c r="F5610" s="2" t="n">
        <x:v>166</x:v>
      </x:c>
      <x:c r="G5610" s="2" t="n">
        <x:v>4</x:v>
      </x:c>
      <x:c r="H5610" s="11" t="n">
        <x:v>1033.42</x:v>
      </x:c>
      <x:c r="I5610" s="2" t="n">
        <x:v>3</x:v>
      </x:c>
      <x:c r="J5610" s="2" t="n">
        <x:v>3</x:v>
      </x:c>
      <x:c r="K5610" s="2" t="n">
        <x:v>3</x:v>
      </x:c>
      <x:c r="L5610" s="2" t="str">
        <x:v>Loyal</x:v>
      </x:c>
    </x:row>
    <x:row r="5611" ht="22" customHeight="1">
      <x:c r="A5611" s="2"/>
      <x:c r="B5611" s="2" t="str">
        <x:v>17981</x:v>
      </x:c>
      <x:c r="C5611" s="2" t="str">
        <x:v>United Kingdom</x:v>
      </x:c>
      <x:c r="D5611" s="25" t="n">
        <x:v>40476.23611111111</x:v>
      </x:c>
      <x:c r="E5611" s="25" t="n">
        <x:v>40476.23611111111</x:v>
      </x:c>
      <x:c r="F5611" s="2" t="n">
        <x:v>411</x:v>
      </x:c>
      <x:c r="G5611" s="2" t="n">
        <x:v>1</x:v>
      </x:c>
      <x:c r="H5611" s="11" t="n">
        <x:v>239.12</x:v>
      </x:c>
      <x:c r="I5611" s="2" t="n">
        <x:v>2</x:v>
      </x:c>
      <x:c r="J5611" s="2" t="n">
        <x:v>1</x:v>
      </x:c>
      <x:c r="K5611" s="2" t="n">
        <x:v>1</x:v>
      </x:c>
      <x:c r="L5611" s="2" t="str">
        <x:v>Hibernating</x:v>
      </x:c>
    </x:row>
    <x:row r="5612" ht="22" customHeight="1">
      <x:c r="A5612" s="2"/>
      <x:c r="B5612" s="2" t="str">
        <x:v>17982</x:v>
      </x:c>
      <x:c r="C5612" s="2" t="str">
        <x:v>United Kingdom</x:v>
      </x:c>
      <x:c r="D5612" s="25" t="n">
        <x:v>40206.19305555556</x:v>
      </x:c>
      <x:c r="E5612" s="25" t="n">
        <x:v>40206.19305555556</x:v>
      </x:c>
      <x:c r="F5612" s="2" t="n">
        <x:v>681</x:v>
      </x:c>
      <x:c r="G5612" s="2" t="n">
        <x:v>1</x:v>
      </x:c>
      <x:c r="H5612" s="11" t="n">
        <x:v>138.18</x:v>
      </x:c>
      <x:c r="I5612" s="2" t="n">
        <x:v>1</x:v>
      </x:c>
      <x:c r="J5612" s="2" t="n">
        <x:v>1</x:v>
      </x:c>
      <x:c r="K5612" s="2" t="n">
        <x:v>1</x:v>
      </x:c>
      <x:c r="L5612" s="2" t="str">
        <x:v>Hibernating</x:v>
      </x:c>
    </x:row>
    <x:row r="5613" ht="22" customHeight="1">
      <x:c r="A5613" s="2"/>
      <x:c r="B5613" s="2" t="str">
        <x:v>17983</x:v>
      </x:c>
      <x:c r="C5613" s="2" t="str">
        <x:v>United Kingdom</x:v>
      </x:c>
      <x:c r="D5613" s="25" t="n">
        <x:v>40491.34930555556</x:v>
      </x:c>
      <x:c r="E5613" s="25" t="n">
        <x:v>40491.35</x:v>
      </x:c>
      <x:c r="F5613" s="2" t="n">
        <x:v>396</x:v>
      </x:c>
      <x:c r="G5613" s="2" t="n">
        <x:v>1</x:v>
      </x:c>
      <x:c r="H5613" s="11" t="n">
        <x:v>171.71</x:v>
      </x:c>
      <x:c r="I5613" s="2" t="n">
        <x:v>2</x:v>
      </x:c>
      <x:c r="J5613" s="2" t="n">
        <x:v>1</x:v>
      </x:c>
      <x:c r="K5613" s="2" t="n">
        <x:v>1</x:v>
      </x:c>
      <x:c r="L5613" s="2" t="str">
        <x:v>Hibernating</x:v>
      </x:c>
    </x:row>
    <x:row r="5614" ht="22" customHeight="1">
      <x:c r="A5614" s="2"/>
      <x:c r="B5614" s="2" t="str">
        <x:v>17984</x:v>
      </x:c>
      <x:c r="C5614" s="2" t="str">
        <x:v>United Kingdom</x:v>
      </x:c>
      <x:c r="D5614" s="25" t="n">
        <x:v>40148.285416666666</x:v>
      </x:c>
      <x:c r="E5614" s="25" t="n">
        <x:v>40741.45763888889</x:v>
      </x:c>
      <x:c r="F5614" s="2" t="n">
        <x:v>146</x:v>
      </x:c>
      <x:c r="G5614" s="2" t="n">
        <x:v>5</x:v>
      </x:c>
      <x:c r="H5614" s="11" t="n">
        <x:v>1191.27</x:v>
      </x:c>
      <x:c r="I5614" s="2" t="n">
        <x:v>3</x:v>
      </x:c>
      <x:c r="J5614" s="2" t="n">
        <x:v>4</x:v>
      </x:c>
      <x:c r="K5614" s="2" t="n">
        <x:v>3</x:v>
      </x:c>
      <x:c r="L5614" s="2" t="str">
        <x:v>Loyal</x:v>
      </x:c>
    </x:row>
    <x:row r="5615" ht="22" customHeight="1">
      <x:c r="A5615" s="2"/>
      <x:c r="B5615" s="2" t="str">
        <x:v>17985</x:v>
      </x:c>
      <x:c r="C5615" s="2" t="str">
        <x:v>United Kingdom</x:v>
      </x:c>
      <x:c r="D5615" s="25" t="n">
        <x:v>40864.39166666667</x:v>
      </x:c>
      <x:c r="E5615" s="25" t="n">
        <x:v>40864.39166666667</x:v>
      </x:c>
      <x:c r="F5615" s="2" t="n">
        <x:v>23</x:v>
      </x:c>
      <x:c r="G5615" s="2" t="n">
        <x:v>1</x:v>
      </x:c>
      <x:c r="H5615" s="11" t="n">
        <x:v>634.95</x:v>
      </x:c>
      <x:c r="I5615" s="2" t="n">
        <x:v>4</x:v>
      </x:c>
      <x:c r="J5615" s="2" t="n">
        <x:v>1</x:v>
      </x:c>
      <x:c r="K5615" s="2" t="n">
        <x:v>3</x:v>
      </x:c>
      <x:c r="L5615" s="2" t="str">
        <x:v>Recent light buyers</x:v>
      </x:c>
    </x:row>
    <x:row r="5616" ht="22" customHeight="1">
      <x:c r="A5616" s="2"/>
      <x:c r="B5616" s="2" t="str">
        <x:v>17986</x:v>
      </x:c>
      <x:c r="C5616" s="2" t="str">
        <x:v>United Kingdom</x:v>
      </x:c>
      <x:c r="D5616" s="25" t="n">
        <x:v>40830.39027777778</x:v>
      </x:c>
      <x:c r="E5616" s="25" t="n">
        <x:v>40830.39027777778</x:v>
      </x:c>
      <x:c r="F5616" s="2" t="n">
        <x:v>57</x:v>
      </x:c>
      <x:c r="G5616" s="2" t="n">
        <x:v>1</x:v>
      </x:c>
      <x:c r="H5616" s="11" t="n">
        <x:v>20.8</x:v>
      </x:c>
      <x:c r="I5616" s="2" t="n">
        <x:v>4</x:v>
      </x:c>
      <x:c r="J5616" s="2" t="n">
        <x:v>1</x:v>
      </x:c>
      <x:c r="K5616" s="2" t="n">
        <x:v>1</x:v>
      </x:c>
      <x:c r="L5616" s="2" t="str">
        <x:v>Recent light buyers</x:v>
      </x:c>
    </x:row>
    <x:row r="5617" ht="22" customHeight="1">
      <x:c r="A5617" s="2"/>
      <x:c r="B5617" s="2" t="str">
        <x:v>17987</x:v>
      </x:c>
      <x:c r="C5617" s="2" t="str">
        <x:v>United Kingdom</x:v>
      </x:c>
      <x:c r="D5617" s="25" t="n">
        <x:v>40336.26597222222</x:v>
      </x:c>
      <x:c r="E5617" s="25" t="n">
        <x:v>40701.39027777778</x:v>
      </x:c>
      <x:c r="F5617" s="2" t="n">
        <x:v>186</x:v>
      </x:c>
      <x:c r="G5617" s="2" t="n">
        <x:v>5</x:v>
      </x:c>
      <x:c r="H5617" s="11" t="n">
        <x:v>1003.64</x:v>
      </x:c>
      <x:c r="I5617" s="2" t="n">
        <x:v>3</x:v>
      </x:c>
      <x:c r="J5617" s="2" t="n">
        <x:v>4</x:v>
      </x:c>
      <x:c r="K5617" s="2" t="n">
        <x:v>3</x:v>
      </x:c>
      <x:c r="L5617" s="2" t="str">
        <x:v>Loyal</x:v>
      </x:c>
    </x:row>
    <x:row r="5618" ht="22" customHeight="1">
      <x:c r="A5618" s="2"/>
      <x:c r="B5618" s="2" t="str">
        <x:v>17988</x:v>
      </x:c>
      <x:c r="C5618" s="2" t="str">
        <x:v>United Kingdom</x:v>
      </x:c>
      <x:c r="D5618" s="25" t="n">
        <x:v>40154.35763888889</x:v>
      </x:c>
      <x:c r="E5618" s="25" t="n">
        <x:v>40875.25</x:v>
      </x:c>
      <x:c r="F5618" s="2" t="n">
        <x:v>12</x:v>
      </x:c>
      <x:c r="G5618" s="2" t="n">
        <x:v>14</x:v>
      </x:c>
      <x:c r="H5618" s="11" t="n">
        <x:v>489.54</x:v>
      </x:c>
      <x:c r="I5618" s="2" t="n">
        <x:v>5</x:v>
      </x:c>
      <x:c r="J5618" s="2" t="n">
        <x:v>5</x:v>
      </x:c>
      <x:c r="K5618" s="2" t="n">
        <x:v>2</x:v>
      </x:c>
      <x:c r="L5618" s="2" t="str">
        <x:v>Loyal</x:v>
      </x:c>
    </x:row>
    <x:row r="5619" ht="22" customHeight="1">
      <x:c r="A5619" s="2"/>
      <x:c r="B5619" s="2" t="str">
        <x:v>17989</x:v>
      </x:c>
      <x:c r="C5619" s="2" t="str">
        <x:v>United Kingdom</x:v>
      </x:c>
      <x:c r="D5619" s="25" t="n">
        <x:v>40507.36736111111</x:v>
      </x:c>
      <x:c r="E5619" s="25" t="n">
        <x:v>40507.36736111111</x:v>
      </x:c>
      <x:c r="F5619" s="2" t="n">
        <x:v>380</x:v>
      </x:c>
      <x:c r="G5619" s="2" t="n">
        <x:v>1</x:v>
      </x:c>
      <x:c r="H5619" s="11" t="n">
        <x:v>228.83</x:v>
      </x:c>
      <x:c r="I5619" s="2" t="n">
        <x:v>2</x:v>
      </x:c>
      <x:c r="J5619" s="2" t="n">
        <x:v>1</x:v>
      </x:c>
      <x:c r="K5619" s="2" t="n">
        <x:v>1</x:v>
      </x:c>
      <x:c r="L5619" s="2" t="str">
        <x:v>Hibernating</x:v>
      </x:c>
    </x:row>
    <x:row r="5620" ht="22" customHeight="1">
      <x:c r="A5620" s="2"/>
      <x:c r="B5620" s="2" t="str">
        <x:v>17990</x:v>
      </x:c>
      <x:c r="C5620" s="2" t="str">
        <x:v>United Kingdom</x:v>
      </x:c>
      <x:c r="D5620" s="25" t="n">
        <x:v>40154.42986111111</x:v>
      </x:c>
      <x:c r="E5620" s="25" t="n">
        <x:v>40650.28055555555</x:v>
      </x:c>
      <x:c r="F5620" s="2" t="n">
        <x:v>237</x:v>
      </x:c>
      <x:c r="G5620" s="2" t="n">
        <x:v>6</x:v>
      </x:c>
      <x:c r="H5620" s="11" t="n">
        <x:v>1527.61</x:v>
      </x:c>
      <x:c r="I5620" s="2" t="n">
        <x:v>2</x:v>
      </x:c>
      <x:c r="J5620" s="2" t="n">
        <x:v>4</x:v>
      </x:c>
      <x:c r="K5620" s="2" t="n">
        <x:v>4</x:v>
      </x:c>
      <x:c r="L5620" s="2" t="str">
        <x:v>At risk</x:v>
      </x:c>
    </x:row>
    <x:row r="5621" ht="22" customHeight="1">
      <x:c r="A5621" s="2"/>
      <x:c r="B5621" s="2" t="str">
        <x:v>17991</x:v>
      </x:c>
      <x:c r="C5621" s="2" t="str">
        <x:v>United Kingdom</x:v>
      </x:c>
      <x:c r="D5621" s="25" t="n">
        <x:v>40295.32361111111</x:v>
      </x:c>
      <x:c r="E5621" s="25" t="n">
        <x:v>40661.45694444444</x:v>
      </x:c>
      <x:c r="F5621" s="2" t="n">
        <x:v>226</x:v>
      </x:c>
      <x:c r="G5621" s="2" t="n">
        <x:v>3</x:v>
      </x:c>
      <x:c r="H5621" s="11" t="n">
        <x:v>320.55</x:v>
      </x:c>
      <x:c r="I5621" s="2" t="n">
        <x:v>2</x:v>
      </x:c>
      <x:c r="J5621" s="2" t="n">
        <x:v>3</x:v>
      </x:c>
      <x:c r="K5621" s="2" t="n">
        <x:v>2</x:v>
      </x:c>
      <x:c r="L5621" s="2" t="str">
        <x:v>At risk</x:v>
      </x:c>
    </x:row>
    <x:row r="5622" ht="22" customHeight="1">
      <x:c r="A5622" s="2"/>
      <x:c r="B5622" s="2" t="str">
        <x:v>17992</x:v>
      </x:c>
      <x:c r="C5622" s="2" t="str">
        <x:v>United Kingdom</x:v>
      </x:c>
      <x:c r="D5622" s="25" t="n">
        <x:v>40497.33611111111</x:v>
      </x:c>
      <x:c r="E5622" s="25" t="n">
        <x:v>40497.33611111111</x:v>
      </x:c>
      <x:c r="F5622" s="2" t="n">
        <x:v>390</x:v>
      </x:c>
      <x:c r="G5622" s="2" t="n">
        <x:v>1</x:v>
      </x:c>
      <x:c r="H5622" s="11" t="n">
        <x:v>254.13</x:v>
      </x:c>
      <x:c r="I5622" s="2" t="n">
        <x:v>2</x:v>
      </x:c>
      <x:c r="J5622" s="2" t="n">
        <x:v>1</x:v>
      </x:c>
      <x:c r="K5622" s="2" t="n">
        <x:v>1</x:v>
      </x:c>
      <x:c r="L5622" s="2" t="str">
        <x:v>Hibernating</x:v>
      </x:c>
    </x:row>
    <x:row r="5623" ht="22" customHeight="1">
      <x:c r="A5623" s="2"/>
      <x:c r="B5623" s="2" t="str">
        <x:v>17993</x:v>
      </x:c>
      <x:c r="C5623" s="2" t="str">
        <x:v>United Kingdom</x:v>
      </x:c>
      <x:c r="D5623" s="25" t="n">
        <x:v>40269.39097222222</x:v>
      </x:c>
      <x:c r="E5623" s="25" t="n">
        <x:v>40269.39097222222</x:v>
      </x:c>
      <x:c r="F5623" s="2" t="n">
        <x:v>618</x:v>
      </x:c>
      <x:c r="G5623" s="2" t="n">
        <x:v>1</x:v>
      </x:c>
      <x:c r="H5623" s="11" t="n">
        <x:v>235.19</x:v>
      </x:c>
      <x:c r="I5623" s="2" t="n">
        <x:v>1</x:v>
      </x:c>
      <x:c r="J5623" s="2" t="n">
        <x:v>1</x:v>
      </x:c>
      <x:c r="K5623" s="2" t="n">
        <x:v>1</x:v>
      </x:c>
      <x:c r="L5623" s="2" t="str">
        <x:v>Hibernating</x:v>
      </x:c>
    </x:row>
    <x:row r="5624" ht="22" customHeight="1">
      <x:c r="A5624" s="2"/>
      <x:c r="B5624" s="2" t="str">
        <x:v>17994</x:v>
      </x:c>
      <x:c r="C5624" s="2" t="str">
        <x:v>United Kingdom</x:v>
      </x:c>
      <x:c r="D5624" s="25" t="n">
        <x:v>40266.23402777778</x:v>
      </x:c>
      <x:c r="E5624" s="25" t="n">
        <x:v>40765.27847222222</x:v>
      </x:c>
      <x:c r="F5624" s="2" t="n">
        <x:v>122</x:v>
      </x:c>
      <x:c r="G5624" s="2" t="n">
        <x:v>11</x:v>
      </x:c>
      <x:c r="H5624" s="11" t="n">
        <x:v>2313.32</x:v>
      </x:c>
      <x:c r="I5624" s="2" t="n">
        <x:v>3</x:v>
      </x:c>
      <x:c r="J5624" s="2" t="n">
        <x:v>5</x:v>
      </x:c>
      <x:c r="K5624" s="2" t="n">
        <x:v>4</x:v>
      </x:c>
      <x:c r="L5624" s="2" t="str">
        <x:v>Loyal</x:v>
      </x:c>
    </x:row>
    <x:row r="5625" ht="22" customHeight="1">
      <x:c r="A5625" s="2"/>
      <x:c r="B5625" s="2" t="str">
        <x:v>17995</x:v>
      </x:c>
      <x:c r="C5625" s="2" t="str">
        <x:v>United Kingdom</x:v>
      </x:c>
      <x:c r="D5625" s="25" t="n">
        <x:v>40499.50069444445</x:v>
      </x:c>
      <x:c r="E5625" s="25" t="n">
        <x:v>40605.3125</x:v>
      </x:c>
      <x:c r="F5625" s="2" t="n">
        <x:v>282</x:v>
      </x:c>
      <x:c r="G5625" s="2" t="n">
        <x:v>3</x:v>
      </x:c>
      <x:c r="H5625" s="11" t="n">
        <x:v>495.48</x:v>
      </x:c>
      <x:c r="I5625" s="2" t="n">
        <x:v>2</x:v>
      </x:c>
      <x:c r="J5625" s="2" t="n">
        <x:v>3</x:v>
      </x:c>
      <x:c r="K5625" s="2" t="n">
        <x:v>2</x:v>
      </x:c>
      <x:c r="L5625" s="2" t="str">
        <x:v>At risk</x:v>
      </x:c>
    </x:row>
    <x:row r="5626" ht="22" customHeight="1">
      <x:c r="A5626" s="2"/>
      <x:c r="B5626" s="2" t="str">
        <x:v>17996</x:v>
      </x:c>
      <x:c r="C5626" s="2" t="str">
        <x:v>United Kingdom</x:v>
      </x:c>
      <x:c r="D5626" s="25" t="n">
        <x:v>40340.28333333333</x:v>
      </x:c>
      <x:c r="E5626" s="25" t="n">
        <x:v>40507.25</x:v>
      </x:c>
      <x:c r="F5626" s="2" t="n">
        <x:v>380</x:v>
      </x:c>
      <x:c r="G5626" s="2" t="n">
        <x:v>3</x:v>
      </x:c>
      <x:c r="H5626" s="11" t="n">
        <x:v>482.33</x:v>
      </x:c>
      <x:c r="I5626" s="2" t="n">
        <x:v>2</x:v>
      </x:c>
      <x:c r="J5626" s="2" t="n">
        <x:v>3</x:v>
      </x:c>
      <x:c r="K5626" s="2" t="n">
        <x:v>2</x:v>
      </x:c>
      <x:c r="L5626" s="2" t="str">
        <x:v>At risk</x:v>
      </x:c>
    </x:row>
    <x:row r="5627" ht="22" customHeight="1">
      <x:c r="A5627" s="2"/>
      <x:c r="B5627" s="2" t="str">
        <x:v>17997</x:v>
      </x:c>
      <x:c r="C5627" s="2" t="str">
        <x:v>United Kingdom</x:v>
      </x:c>
      <x:c r="D5627" s="25" t="n">
        <x:v>40722.51944444444</x:v>
      </x:c>
      <x:c r="E5627" s="25" t="n">
        <x:v>40812.467361111114</x:v>
      </x:c>
      <x:c r="F5627" s="2" t="n">
        <x:v>75</x:v>
      </x:c>
      <x:c r="G5627" s="2" t="n">
        <x:v>8</x:v>
      </x:c>
      <x:c r="H5627" s="11" t="n">
        <x:v>1970.67</x:v>
      </x:c>
      <x:c r="I5627" s="2" t="n">
        <x:v>3</x:v>
      </x:c>
      <x:c r="J5627" s="2" t="n">
        <x:v>4</x:v>
      </x:c>
      <x:c r="K5627" s="2" t="n">
        <x:v>4</x:v>
      </x:c>
      <x:c r="L5627" s="2" t="str">
        <x:v>Loyal</x:v>
      </x:c>
    </x:row>
    <x:row r="5628" ht="22" customHeight="1">
      <x:c r="A5628" s="2"/>
      <x:c r="B5628" s="2" t="str">
        <x:v>17998</x:v>
      </x:c>
      <x:c r="C5628" s="2" t="str">
        <x:v>United Kingdom</x:v>
      </x:c>
      <x:c r="D5628" s="25" t="n">
        <x:v>40148.33819444444</x:v>
      </x:c>
      <x:c r="E5628" s="25" t="n">
        <x:v>40506.43819444445</x:v>
      </x:c>
      <x:c r="F5628" s="2" t="n">
        <x:v>381</x:v>
      </x:c>
      <x:c r="G5628" s="2" t="n">
        <x:v>3</x:v>
      </x:c>
      <x:c r="H5628" s="11" t="n">
        <x:v>639.24</x:v>
      </x:c>
      <x:c r="I5628" s="2" t="n">
        <x:v>2</x:v>
      </x:c>
      <x:c r="J5628" s="2" t="n">
        <x:v>3</x:v>
      </x:c>
      <x:c r="K5628" s="2" t="n">
        <x:v>3</x:v>
      </x:c>
      <x:c r="L5628" s="2" t="str">
        <x:v>At risk</x:v>
      </x:c>
    </x:row>
    <x:row r="5629" ht="22" customHeight="1">
      <x:c r="A5629" s="2"/>
      <x:c r="B5629" s="2" t="str">
        <x:v>17999</x:v>
      </x:c>
      <x:c r="C5629" s="2" t="str">
        <x:v>United Kingdom</x:v>
      </x:c>
      <x:c r="D5629" s="25" t="n">
        <x:v>40508.34444444445</x:v>
      </x:c>
      <x:c r="E5629" s="25" t="n">
        <x:v>40849.455555555556</x:v>
      </x:c>
      <x:c r="F5629" s="2" t="n">
        <x:v>38</x:v>
      </x:c>
      <x:c r="G5629" s="2" t="n">
        <x:v>3</x:v>
      </x:c>
      <x:c r="H5629" s="11" t="n">
        <x:v>540.56</x:v>
      </x:c>
      <x:c r="I5629" s="2" t="n">
        <x:v>4</x:v>
      </x:c>
      <x:c r="J5629" s="2" t="n">
        <x:v>3</x:v>
      </x:c>
      <x:c r="K5629" s="2" t="n">
        <x:v>2</x:v>
      </x:c>
      <x:c r="L5629" s="2" t="str">
        <x:v>Loyal</x:v>
      </x:c>
    </x:row>
    <x:row r="5630" ht="22" customHeight="1">
      <x:c r="A5630" s="2"/>
      <x:c r="B5630" s="2" t="str">
        <x:v>18000</x:v>
      </x:c>
      <x:c r="C5630" s="2" t="str">
        <x:v>United Kingdom</x:v>
      </x:c>
      <x:c r="D5630" s="25" t="n">
        <x:v>40322.52361111111</x:v>
      </x:c>
      <x:c r="E5630" s="25" t="n">
        <x:v>40322.52361111111</x:v>
      </x:c>
      <x:c r="F5630" s="2" t="n">
        <x:v>565</x:v>
      </x:c>
      <x:c r="G5630" s="2" t="n">
        <x:v>1</x:v>
      </x:c>
      <x:c r="H5630" s="11" t="n">
        <x:v>124.25</x:v>
      </x:c>
      <x:c r="I5630" s="2" t="n">
        <x:v>1</x:v>
      </x:c>
      <x:c r="J5630" s="2" t="n">
        <x:v>1</x:v>
      </x:c>
      <x:c r="K5630" s="2" t="n">
        <x:v>1</x:v>
      </x:c>
      <x:c r="L5630" s="2" t="str">
        <x:v>Hibernating</x:v>
      </x:c>
    </x:row>
    <x:row r="5631" ht="22" customHeight="1">
      <x:c r="A5631" s="2"/>
      <x:c r="B5631" s="2" t="str">
        <x:v>18001</x:v>
      </x:c>
      <x:c r="C5631" s="2" t="str">
        <x:v>United Kingdom</x:v>
      </x:c>
      <x:c r="D5631" s="25" t="n">
        <x:v>40149.44305555556</x:v>
      </x:c>
      <x:c r="E5631" s="25" t="n">
        <x:v>40874.45972222222</x:v>
      </x:c>
      <x:c r="F5631" s="2" t="n">
        <x:v>13</x:v>
      </x:c>
      <x:c r="G5631" s="2" t="n">
        <x:v>6</x:v>
      </x:c>
      <x:c r="H5631" s="11" t="n">
        <x:v>953.84</x:v>
      </x:c>
      <x:c r="I5631" s="2" t="n">
        <x:v>5</x:v>
      </x:c>
      <x:c r="J5631" s="2" t="n">
        <x:v>4</x:v>
      </x:c>
      <x:c r="K5631" s="2" t="n">
        <x:v>3</x:v>
      </x:c>
      <x:c r="L5631" s="2" t="str">
        <x:v>Loyal</x:v>
      </x:c>
    </x:row>
    <x:row r="5632" ht="22" customHeight="1">
      <x:c r="A5632" s="2"/>
      <x:c r="B5632" s="2" t="str">
        <x:v>18002</x:v>
      </x:c>
      <x:c r="C5632" s="2" t="str">
        <x:v>United Kingdom</x:v>
      </x:c>
      <x:c r="D5632" s="25" t="n">
        <x:v>40155.25486111111</x:v>
      </x:c>
      <x:c r="E5632" s="25" t="n">
        <x:v>40511.24791666667</x:v>
      </x:c>
      <x:c r="F5632" s="2" t="n">
        <x:v>376</x:v>
      </x:c>
      <x:c r="G5632" s="2" t="n">
        <x:v>4</x:v>
      </x:c>
      <x:c r="H5632" s="11" t="n">
        <x:v>249.92</x:v>
      </x:c>
      <x:c r="I5632" s="2" t="n">
        <x:v>2</x:v>
      </x:c>
      <x:c r="J5632" s="2" t="n">
        <x:v>3</x:v>
      </x:c>
      <x:c r="K5632" s="2" t="n">
        <x:v>1</x:v>
      </x:c>
      <x:c r="L5632" s="2" t="str">
        <x:v>At risk</x:v>
      </x:c>
    </x:row>
    <x:row r="5633" ht="22" customHeight="1">
      <x:c r="A5633" s="2"/>
      <x:c r="B5633" s="2" t="str">
        <x:v>18003</x:v>
      </x:c>
      <x:c r="C5633" s="2" t="str">
        <x:v>United Kingdom</x:v>
      </x:c>
      <x:c r="D5633" s="25" t="n">
        <x:v>40510.42291666667</x:v>
      </x:c>
      <x:c r="E5633" s="25" t="n">
        <x:v>40510.42291666667</x:v>
      </x:c>
      <x:c r="F5633" s="2" t="n">
        <x:v>377</x:v>
      </x:c>
      <x:c r="G5633" s="2" t="n">
        <x:v>1</x:v>
      </x:c>
      <x:c r="H5633" s="11" t="n">
        <x:v>358.61</x:v>
      </x:c>
      <x:c r="I5633" s="2" t="n">
        <x:v>2</x:v>
      </x:c>
      <x:c r="J5633" s="2" t="n">
        <x:v>1</x:v>
      </x:c>
      <x:c r="K5633" s="2" t="n">
        <x:v>2</x:v>
      </x:c>
      <x:c r="L5633" s="2" t="str">
        <x:v>Hibernating</x:v>
      </x:c>
    </x:row>
    <x:row r="5634" ht="22" customHeight="1">
      <x:c r="A5634" s="2"/>
      <x:c r="B5634" s="2" t="str">
        <x:v>18004</x:v>
      </x:c>
      <x:c r="C5634" s="2" t="str">
        <x:v>United Kingdom</x:v>
      </x:c>
      <x:c r="D5634" s="25" t="n">
        <x:v>40524.36597222222</x:v>
      </x:c>
      <x:c r="E5634" s="25" t="n">
        <x:v>40524.36597222222</x:v>
      </x:c>
      <x:c r="F5634" s="2" t="n">
        <x:v>363</x:v>
      </x:c>
      <x:c r="G5634" s="2" t="n">
        <x:v>1</x:v>
      </x:c>
      <x:c r="H5634" s="11" t="n">
        <x:v>169.47</x:v>
      </x:c>
      <x:c r="I5634" s="2" t="n">
        <x:v>2</x:v>
      </x:c>
      <x:c r="J5634" s="2" t="n">
        <x:v>1</x:v>
      </x:c>
      <x:c r="K5634" s="2" t="n">
        <x:v>1</x:v>
      </x:c>
      <x:c r="L5634" s="2" t="str">
        <x:v>Hibernating</x:v>
      </x:c>
    </x:row>
    <x:row r="5635" ht="22" customHeight="1">
      <x:c r="A5635" s="2"/>
      <x:c r="B5635" s="2" t="str">
        <x:v>18005</x:v>
      </x:c>
      <x:c r="C5635" s="2" t="str">
        <x:v>United Kingdom</x:v>
      </x:c>
      <x:c r="D5635" s="25" t="n">
        <x:v>40839.40277777778</x:v>
      </x:c>
      <x:c r="E5635" s="25" t="n">
        <x:v>40883.285416666666</x:v>
      </x:c>
      <x:c r="F5635" s="2" t="n">
        <x:v>4</x:v>
      </x:c>
      <x:c r="G5635" s="2" t="n">
        <x:v>2</x:v>
      </x:c>
      <x:c r="H5635" s="11" t="n">
        <x:v>249.72</x:v>
      </x:c>
      <x:c r="I5635" s="2" t="n">
        <x:v>5</x:v>
      </x:c>
      <x:c r="J5635" s="2" t="n">
        <x:v>2</x:v>
      </x:c>
      <x:c r="K5635" s="2" t="n">
        <x:v>1</x:v>
      </x:c>
      <x:c r="L5635" s="2" t="str">
        <x:v>Recent light buyers</x:v>
      </x:c>
    </x:row>
    <x:row r="5636" ht="22" customHeight="1">
      <x:c r="A5636" s="2"/>
      <x:c r="B5636" s="2" t="str">
        <x:v>18006</x:v>
      </x:c>
      <x:c r="C5636" s="2" t="str">
        <x:v>United Kingdom</x:v>
      </x:c>
      <x:c r="D5636" s="25" t="n">
        <x:v>40164.31041666667</x:v>
      </x:c>
      <x:c r="E5636" s="25" t="n">
        <x:v>40863.49444444444</x:v>
      </x:c>
      <x:c r="F5636" s="2" t="n">
        <x:v>24</x:v>
      </x:c>
      <x:c r="G5636" s="2" t="n">
        <x:v>4</x:v>
      </x:c>
      <x:c r="H5636" s="11" t="n">
        <x:v>997.86</x:v>
      </x:c>
      <x:c r="I5636" s="2" t="n">
        <x:v>4</x:v>
      </x:c>
      <x:c r="J5636" s="2" t="n">
        <x:v>3</x:v>
      </x:c>
      <x:c r="K5636" s="2" t="n">
        <x:v>3</x:v>
      </x:c>
      <x:c r="L5636" s="2" t="str">
        <x:v>Loyal</x:v>
      </x:c>
    </x:row>
    <x:row r="5637" ht="22" customHeight="1">
      <x:c r="A5637" s="2"/>
      <x:c r="B5637" s="2" t="str">
        <x:v>18007</x:v>
      </x:c>
      <x:c r="C5637" s="2" t="str">
        <x:v>United Kingdom</x:v>
      </x:c>
      <x:c r="D5637" s="25" t="n">
        <x:v>40494.25555555556</x:v>
      </x:c>
      <x:c r="E5637" s="25" t="n">
        <x:v>40494.25555555556</x:v>
      </x:c>
      <x:c r="F5637" s="2" t="n">
        <x:v>393</x:v>
      </x:c>
      <x:c r="G5637" s="2" t="n">
        <x:v>1</x:v>
      </x:c>
      <x:c r="H5637" s="11" t="n">
        <x:v>220.32</x:v>
      </x:c>
      <x:c r="I5637" s="2" t="n">
        <x:v>2</x:v>
      </x:c>
      <x:c r="J5637" s="2" t="n">
        <x:v>1</x:v>
      </x:c>
      <x:c r="K5637" s="2" t="n">
        <x:v>1</x:v>
      </x:c>
      <x:c r="L5637" s="2" t="str">
        <x:v>Hibernating</x:v>
      </x:c>
    </x:row>
    <x:row r="5638" ht="22" customHeight="1">
      <x:c r="A5638" s="2"/>
      <x:c r="B5638" s="2" t="str">
        <x:v>18008</x:v>
      </x:c>
      <x:c r="C5638" s="2" t="str">
        <x:v>United Kingdom</x:v>
      </x:c>
      <x:c r="D5638" s="25" t="n">
        <x:v>40184.31597222222</x:v>
      </x:c>
      <x:c r="E5638" s="25" t="n">
        <x:v>40816.42847222222</x:v>
      </x:c>
      <x:c r="F5638" s="2" t="n">
        <x:v>71</x:v>
      </x:c>
      <x:c r="G5638" s="2" t="n">
        <x:v>23</x:v>
      </x:c>
      <x:c r="H5638" s="11" t="n">
        <x:v>19787.13</x:v>
      </x:c>
      <x:c r="I5638" s="2" t="n">
        <x:v>3</x:v>
      </x:c>
      <x:c r="J5638" s="2" t="n">
        <x:v>5</x:v>
      </x:c>
      <x:c r="K5638" s="2" t="n">
        <x:v>5</x:v>
      </x:c>
      <x:c r="L5638" s="2" t="str">
        <x:v>Loyal</x:v>
      </x:c>
    </x:row>
    <x:row r="5639" ht="22" customHeight="1">
      <x:c r="A5639" s="2"/>
      <x:c r="B5639" s="2" t="str">
        <x:v>18009</x:v>
      </x:c>
      <x:c r="C5639" s="2" t="str">
        <x:v>United Kingdom</x:v>
      </x:c>
      <x:c r="D5639" s="25" t="n">
        <x:v>40234.28402777778</x:v>
      </x:c>
      <x:c r="E5639" s="25" t="n">
        <x:v>40651.35833333333</x:v>
      </x:c>
      <x:c r="F5639" s="2" t="n">
        <x:v>236</x:v>
      </x:c>
      <x:c r="G5639" s="2" t="n">
        <x:v>8</x:v>
      </x:c>
      <x:c r="H5639" s="11" t="n">
        <x:v>2155.83</x:v>
      </x:c>
      <x:c r="I5639" s="2" t="n">
        <x:v>2</x:v>
      </x:c>
      <x:c r="J5639" s="2" t="n">
        <x:v>4</x:v>
      </x:c>
      <x:c r="K5639" s="2" t="n">
        <x:v>4</x:v>
      </x:c>
      <x:c r="L5639" s="2" t="str">
        <x:v>At risk</x:v>
      </x:c>
    </x:row>
    <x:row r="5640" ht="22" customHeight="1">
      <x:c r="A5640" s="2"/>
      <x:c r="B5640" s="2" t="str">
        <x:v>18010</x:v>
      </x:c>
      <x:c r="C5640" s="2" t="str">
        <x:v>United Kingdom</x:v>
      </x:c>
      <x:c r="D5640" s="25" t="n">
        <x:v>40630.31041666667</x:v>
      </x:c>
      <x:c r="E5640" s="25" t="n">
        <x:v>40630.31041666667</x:v>
      </x:c>
      <x:c r="F5640" s="2" t="n">
        <x:v>257</x:v>
      </x:c>
      <x:c r="G5640" s="2" t="n">
        <x:v>1</x:v>
      </x:c>
      <x:c r="H5640" s="11" t="n">
        <x:v>174.8</x:v>
      </x:c>
      <x:c r="I5640" s="2" t="n">
        <x:v>2</x:v>
      </x:c>
      <x:c r="J5640" s="2" t="n">
        <x:v>1</x:v>
      </x:c>
      <x:c r="K5640" s="2" t="n">
        <x:v>1</x:v>
      </x:c>
      <x:c r="L5640" s="2" t="str">
        <x:v>Hibernating</x:v>
      </x:c>
    </x:row>
    <x:row r="5641" ht="22" customHeight="1">
      <x:c r="A5641" s="2"/>
      <x:c r="B5641" s="2" t="str">
        <x:v>18011</x:v>
      </x:c>
      <x:c r="C5641" s="2" t="str">
        <x:v>United Kingdom</x:v>
      </x:c>
      <x:c r="D5641" s="25" t="n">
        <x:v>40319.35277777778</x:v>
      </x:c>
      <x:c r="E5641" s="25" t="n">
        <x:v>40513.524305555555</x:v>
      </x:c>
      <x:c r="F5641" s="2" t="n">
        <x:v>374</x:v>
      </x:c>
      <x:c r="G5641" s="2" t="n">
        <x:v>2</x:v>
      </x:c>
      <x:c r="H5641" s="11" t="n">
        <x:v>424.24</x:v>
      </x:c>
      <x:c r="I5641" s="2" t="n">
        <x:v>2</x:v>
      </x:c>
      <x:c r="J5641" s="2" t="n">
        <x:v>2</x:v>
      </x:c>
      <x:c r="K5641" s="2" t="n">
        <x:v>2</x:v>
      </x:c>
      <x:c r="L5641" s="2" t="str">
        <x:v>Hibernating</x:v>
      </x:c>
    </x:row>
    <x:row r="5642" ht="22" customHeight="1">
      <x:c r="A5642" s="2"/>
      <x:c r="B5642" s="2" t="str">
        <x:v>18012</x:v>
      </x:c>
      <x:c r="C5642" s="2" t="str">
        <x:v>United Kingdom</x:v>
      </x:c>
      <x:c r="D5642" s="25" t="n">
        <x:v>40163.34444444445</x:v>
      </x:c>
      <x:c r="E5642" s="25" t="n">
        <x:v>40163.34444444445</x:v>
      </x:c>
      <x:c r="F5642" s="2" t="n">
        <x:v>724</x:v>
      </x:c>
      <x:c r="G5642" s="2" t="n">
        <x:v>1</x:v>
      </x:c>
      <x:c r="H5642" s="11" t="n">
        <x:v>115.3</x:v>
      </x:c>
      <x:c r="I5642" s="2" t="n">
        <x:v>1</x:v>
      </x:c>
      <x:c r="J5642" s="2" t="n">
        <x:v>1</x:v>
      </x:c>
      <x:c r="K5642" s="2" t="n">
        <x:v>1</x:v>
      </x:c>
      <x:c r="L5642" s="2" t="str">
        <x:v>Hibernating</x:v>
      </x:c>
    </x:row>
    <x:row r="5643" ht="22" customHeight="1">
      <x:c r="A5643" s="2"/>
      <x:c r="B5643" s="2" t="str">
        <x:v>18013</x:v>
      </x:c>
      <x:c r="C5643" s="2" t="str">
        <x:v>United Kingdom</x:v>
      </x:c>
      <x:c r="D5643" s="25" t="n">
        <x:v>40731.38055555556</x:v>
      </x:c>
      <x:c r="E5643" s="25" t="n">
        <x:v>40731.38263888889</x:v>
      </x:c>
      <x:c r="F5643" s="2" t="n">
        <x:v>156</x:v>
      </x:c>
      <x:c r="G5643" s="2" t="n">
        <x:v>2</x:v>
      </x:c>
      <x:c r="H5643" s="11" t="n">
        <x:v>187.29</x:v>
      </x:c>
      <x:c r="I5643" s="2" t="n">
        <x:v>3</x:v>
      </x:c>
      <x:c r="J5643" s="2" t="n">
        <x:v>2</x:v>
      </x:c>
      <x:c r="K5643" s="2" t="n">
        <x:v>1</x:v>
      </x:c>
      <x:c r="L5643" s="2" t="str">
        <x:v>Developing</x:v>
      </x:c>
    </x:row>
    <x:row r="5644" ht="22" customHeight="1">
      <x:c r="A5644" s="2"/>
      <x:c r="B5644" s="2" t="str">
        <x:v>18014</x:v>
      </x:c>
      <x:c r="C5644" s="2" t="str">
        <x:v>United Kingdom</x:v>
      </x:c>
      <x:c r="D5644" s="25" t="n">
        <x:v>40858.436111111114</x:v>
      </x:c>
      <x:c r="E5644" s="25" t="n">
        <x:v>40858.436111111114</x:v>
      </x:c>
      <x:c r="F5644" s="2" t="n">
        <x:v>29</x:v>
      </x:c>
      <x:c r="G5644" s="2" t="n">
        <x:v>1</x:v>
      </x:c>
      <x:c r="H5644" s="11" t="n">
        <x:v>166.42</x:v>
      </x:c>
      <x:c r="I5644" s="2" t="n">
        <x:v>4</x:v>
      </x:c>
      <x:c r="J5644" s="2" t="n">
        <x:v>1</x:v>
      </x:c>
      <x:c r="K5644" s="2" t="n">
        <x:v>1</x:v>
      </x:c>
      <x:c r="L5644" s="2" t="str">
        <x:v>Recent light buyers</x:v>
      </x:c>
    </x:row>
    <x:row r="5645" ht="22" customHeight="1">
      <x:c r="A5645" s="2"/>
      <x:c r="B5645" s="2" t="str">
        <x:v>18015</x:v>
      </x:c>
      <x:c r="C5645" s="2" t="str">
        <x:v>United Kingdom</x:v>
      </x:c>
      <x:c r="D5645" s="25" t="n">
        <x:v>40882.40902777778</x:v>
      </x:c>
      <x:c r="E5645" s="25" t="n">
        <x:v>40882.40902777778</x:v>
      </x:c>
      <x:c r="F5645" s="2" t="n">
        <x:v>5</x:v>
      </x:c>
      <x:c r="G5645" s="2" t="n">
        <x:v>1</x:v>
      </x:c>
      <x:c r="H5645" s="11" t="n">
        <x:v>120.03</x:v>
      </x:c>
      <x:c r="I5645" s="2" t="n">
        <x:v>5</x:v>
      </x:c>
      <x:c r="J5645" s="2" t="n">
        <x:v>1</x:v>
      </x:c>
      <x:c r="K5645" s="2" t="n">
        <x:v>1</x:v>
      </x:c>
      <x:c r="L5645" s="2" t="str">
        <x:v>Recent light buyers</x:v>
      </x:c>
    </x:row>
    <x:row r="5646" ht="22" customHeight="1">
      <x:c r="A5646" s="2"/>
      <x:c r="B5646" s="2" t="str">
        <x:v>18016</x:v>
      </x:c>
      <x:c r="C5646" s="2" t="str">
        <x:v>United Kingdom</x:v>
      </x:c>
      <x:c r="D5646" s="25" t="n">
        <x:v>40205.458333333336</x:v>
      </x:c>
      <x:c r="E5646" s="25" t="n">
        <x:v>40854.350694444445</x:v>
      </x:c>
      <x:c r="F5646" s="2" t="n">
        <x:v>33</x:v>
      </x:c>
      <x:c r="G5646" s="2" t="n">
        <x:v>7</x:v>
      </x:c>
      <x:c r="H5646" s="11" t="n">
        <x:v>1960.46</x:v>
      </x:c>
      <x:c r="I5646" s="2" t="n">
        <x:v>4</x:v>
      </x:c>
      <x:c r="J5646" s="2" t="n">
        <x:v>4</x:v>
      </x:c>
      <x:c r="K5646" s="2" t="n">
        <x:v>4</x:v>
      </x:c>
      <x:c r="L5646" s="2" t="str">
        <x:v>Champions</x:v>
      </x:c>
    </x:row>
    <x:row r="5647" ht="22" customHeight="1">
      <x:c r="A5647" s="2"/>
      <x:c r="B5647" s="2" t="str">
        <x:v>18017</x:v>
      </x:c>
      <x:c r="C5647" s="2" t="str">
        <x:v>United Kingdom</x:v>
      </x:c>
      <x:c r="D5647" s="25" t="n">
        <x:v>40455.424305555556</x:v>
      </x:c>
      <x:c r="E5647" s="25" t="n">
        <x:v>40805.46875</x:v>
      </x:c>
      <x:c r="F5647" s="2" t="n">
        <x:v>82</x:v>
      </x:c>
      <x:c r="G5647" s="2" t="n">
        <x:v>4</x:v>
      </x:c>
      <x:c r="H5647" s="11" t="n">
        <x:v>688</x:v>
      </x:c>
      <x:c r="I5647" s="2" t="n">
        <x:v>3</x:v>
      </x:c>
      <x:c r="J5647" s="2" t="n">
        <x:v>3</x:v>
      </x:c>
      <x:c r="K5647" s="2" t="n">
        <x:v>3</x:v>
      </x:c>
      <x:c r="L5647" s="2" t="str">
        <x:v>Loyal</x:v>
      </x:c>
    </x:row>
    <x:row r="5648" ht="22" customHeight="1">
      <x:c r="A5648" s="2"/>
      <x:c r="B5648" s="2" t="str">
        <x:v>18018</x:v>
      </x:c>
      <x:c r="C5648" s="2" t="str">
        <x:v>United Kingdom</x:v>
      </x:c>
      <x:c r="D5648" s="25" t="n">
        <x:v>40466.25347222222</x:v>
      </x:c>
      <x:c r="E5648" s="25" t="n">
        <x:v>40778.52569444444</x:v>
      </x:c>
      <x:c r="F5648" s="2" t="n">
        <x:v>109</x:v>
      </x:c>
      <x:c r="G5648" s="2" t="n">
        <x:v>4</x:v>
      </x:c>
      <x:c r="H5648" s="11" t="n">
        <x:v>297.99</x:v>
      </x:c>
      <x:c r="I5648" s="2" t="n">
        <x:v>3</x:v>
      </x:c>
      <x:c r="J5648" s="2" t="n">
        <x:v>3</x:v>
      </x:c>
      <x:c r="K5648" s="2" t="n">
        <x:v>2</x:v>
      </x:c>
      <x:c r="L5648" s="2" t="str">
        <x:v>Loyal</x:v>
      </x:c>
    </x:row>
    <x:row r="5649" ht="22" customHeight="1">
      <x:c r="A5649" s="2"/>
      <x:c r="B5649" s="2" t="str">
        <x:v>18019</x:v>
      </x:c>
      <x:c r="C5649" s="2" t="str">
        <x:v>United Kingdom</x:v>
      </x:c>
      <x:c r="D5649" s="25" t="n">
        <x:v>40835.29861111111</x:v>
      </x:c>
      <x:c r="E5649" s="25" t="n">
        <x:v>40835.29861111111</x:v>
      </x:c>
      <x:c r="F5649" s="2" t="n">
        <x:v>52</x:v>
      </x:c>
      <x:c r="G5649" s="2" t="n">
        <x:v>1</x:v>
      </x:c>
      <x:c r="H5649" s="11" t="n">
        <x:v>38.45</x:v>
      </x:c>
      <x:c r="I5649" s="2" t="n">
        <x:v>4</x:v>
      </x:c>
      <x:c r="J5649" s="2" t="n">
        <x:v>1</x:v>
      </x:c>
      <x:c r="K5649" s="2" t="n">
        <x:v>1</x:v>
      </x:c>
      <x:c r="L5649" s="2" t="str">
        <x:v>Recent light buyers</x:v>
      </x:c>
    </x:row>
    <x:row r="5650" ht="22" customHeight="1">
      <x:c r="A5650" s="2"/>
      <x:c r="B5650" s="2" t="str">
        <x:v>18020</x:v>
      </x:c>
      <x:c r="C5650" s="2" t="str">
        <x:v>United Kingdom</x:v>
      </x:c>
      <x:c r="D5650" s="25" t="n">
        <x:v>40343.31319444445</x:v>
      </x:c>
      <x:c r="E5650" s="25" t="n">
        <x:v>40343.31319444445</x:v>
      </x:c>
      <x:c r="F5650" s="2" t="n">
        <x:v>544</x:v>
      </x:c>
      <x:c r="G5650" s="2" t="n">
        <x:v>1</x:v>
      </x:c>
      <x:c r="H5650" s="11" t="n">
        <x:v>190.48</x:v>
      </x:c>
      <x:c r="I5650" s="2" t="n">
        <x:v>1</x:v>
      </x:c>
      <x:c r="J5650" s="2" t="n">
        <x:v>1</x:v>
      </x:c>
      <x:c r="K5650" s="2" t="n">
        <x:v>1</x:v>
      </x:c>
      <x:c r="L5650" s="2" t="str">
        <x:v>Hibernating</x:v>
      </x:c>
    </x:row>
    <x:row r="5651" ht="22" customHeight="1">
      <x:c r="A5651" s="2"/>
      <x:c r="B5651" s="2" t="str">
        <x:v>18021</x:v>
      </x:c>
      <x:c r="C5651" s="2" t="str">
        <x:v>United Kingdom</x:v>
      </x:c>
      <x:c r="D5651" s="25" t="n">
        <x:v>40374.57430555556</x:v>
      </x:c>
      <x:c r="E5651" s="25" t="n">
        <x:v>40377.24444444444</x:v>
      </x:c>
      <x:c r="F5651" s="2" t="n">
        <x:v>510</x:v>
      </x:c>
      <x:c r="G5651" s="2" t="n">
        <x:v>2</x:v>
      </x:c>
      <x:c r="H5651" s="11" t="n">
        <x:v>227.06</x:v>
      </x:c>
      <x:c r="I5651" s="2" t="n">
        <x:v>1</x:v>
      </x:c>
      <x:c r="J5651" s="2" t="n">
        <x:v>2</x:v>
      </x:c>
      <x:c r="K5651" s="2" t="n">
        <x:v>1</x:v>
      </x:c>
      <x:c r="L5651" s="2" t="str">
        <x:v>Hibernating</x:v>
      </x:c>
    </x:row>
    <x:row r="5652" ht="22" customHeight="1">
      <x:c r="A5652" s="2"/>
      <x:c r="B5652" s="2" t="str">
        <x:v>18022</x:v>
      </x:c>
      <x:c r="C5652" s="2" t="str">
        <x:v>United Kingdom</x:v>
      </x:c>
      <x:c r="D5652" s="25" t="n">
        <x:v>40340.37430555555</x:v>
      </x:c>
      <x:c r="E5652" s="25" t="n">
        <x:v>40851.322916666664</x:v>
      </x:c>
      <x:c r="F5652" s="2" t="n">
        <x:v>36</x:v>
      </x:c>
      <x:c r="G5652" s="2" t="n">
        <x:v>5</x:v>
      </x:c>
      <x:c r="H5652" s="11" t="n">
        <x:v>1651.79</x:v>
      </x:c>
      <x:c r="I5652" s="2" t="n">
        <x:v>4</x:v>
      </x:c>
      <x:c r="J5652" s="2" t="n">
        <x:v>4</x:v>
      </x:c>
      <x:c r="K5652" s="2" t="n">
        <x:v>4</x:v>
      </x:c>
      <x:c r="L5652" s="2" t="str">
        <x:v>Champions</x:v>
      </x:c>
    </x:row>
    <x:row r="5653" ht="22" customHeight="1">
      <x:c r="A5653" s="2"/>
      <x:c r="B5653" s="2" t="str">
        <x:v>18024</x:v>
      </x:c>
      <x:c r="C5653" s="2" t="str">
        <x:v>United Kingdom</x:v>
      </x:c>
      <x:c r="D5653" s="25" t="n">
        <x:v>40734.311111111114</x:v>
      </x:c>
      <x:c r="E5653" s="25" t="n">
        <x:v>40734.319444444445</x:v>
      </x:c>
      <x:c r="F5653" s="2" t="n">
        <x:v>153</x:v>
      </x:c>
      <x:c r="G5653" s="2" t="n">
        <x:v>2</x:v>
      </x:c>
      <x:c r="H5653" s="11" t="n">
        <x:v>389.78</x:v>
      </x:c>
      <x:c r="I5653" s="2" t="n">
        <x:v>3</x:v>
      </x:c>
      <x:c r="J5653" s="2" t="n">
        <x:v>2</x:v>
      </x:c>
      <x:c r="K5653" s="2" t="n">
        <x:v>2</x:v>
      </x:c>
      <x:c r="L5653" s="2" t="str">
        <x:v>Developing</x:v>
      </x:c>
    </x:row>
    <x:row r="5654" ht="22" customHeight="1">
      <x:c r="A5654" s="2"/>
      <x:c r="B5654" s="2" t="str">
        <x:v>18025</x:v>
      </x:c>
      <x:c r="C5654" s="2" t="str">
        <x:v>United Kingdom</x:v>
      </x:c>
      <x:c r="D5654" s="25" t="n">
        <x:v>40267.52291666667</x:v>
      </x:c>
      <x:c r="E5654" s="25" t="n">
        <x:v>40507.31736111111</x:v>
      </x:c>
      <x:c r="F5654" s="2" t="n">
        <x:v>380</x:v>
      </x:c>
      <x:c r="G5654" s="2" t="n">
        <x:v>6</x:v>
      </x:c>
      <x:c r="H5654" s="11" t="n">
        <x:v>1177.72</x:v>
      </x:c>
      <x:c r="I5654" s="2" t="n">
        <x:v>2</x:v>
      </x:c>
      <x:c r="J5654" s="2" t="n">
        <x:v>4</x:v>
      </x:c>
      <x:c r="K5654" s="2" t="n">
        <x:v>3</x:v>
      </x:c>
      <x:c r="L5654" s="2" t="str">
        <x:v>At risk</x:v>
      </x:c>
    </x:row>
    <x:row r="5655" ht="22" customHeight="1">
      <x:c r="A5655" s="2"/>
      <x:c r="B5655" s="2" t="str">
        <x:v>18026</x:v>
      </x:c>
      <x:c r="C5655" s="2" t="str">
        <x:v>United Kingdom</x:v>
      </x:c>
      <x:c r="D5655" s="25" t="n">
        <x:v>40381.472916666666</x:v>
      </x:c>
      <x:c r="E5655" s="25" t="n">
        <x:v>40386.23402777778</x:v>
      </x:c>
      <x:c r="F5655" s="2" t="n">
        <x:v>501</x:v>
      </x:c>
      <x:c r="G5655" s="2" t="n">
        <x:v>2</x:v>
      </x:c>
      <x:c r="H5655" s="11" t="n">
        <x:v>2074.07</x:v>
      </x:c>
      <x:c r="I5655" s="2" t="n">
        <x:v>1</x:v>
      </x:c>
      <x:c r="J5655" s="2" t="n">
        <x:v>2</x:v>
      </x:c>
      <x:c r="K5655" s="2" t="n">
        <x:v>4</x:v>
      </x:c>
      <x:c r="L5655" s="2" t="str">
        <x:v>Hibernating</x:v>
      </x:c>
    </x:row>
    <x:row r="5656" ht="22" customHeight="1">
      <x:c r="A5656" s="2"/>
      <x:c r="B5656" s="2" t="str">
        <x:v>18027</x:v>
      </x:c>
      <x:c r="C5656" s="2" t="str">
        <x:v>United Kingdom</x:v>
      </x:c>
      <x:c r="D5656" s="25" t="n">
        <x:v>40788.23472222222</x:v>
      </x:c>
      <x:c r="E5656" s="25" t="n">
        <x:v>40788.23472222222</x:v>
      </x:c>
      <x:c r="F5656" s="2" t="n">
        <x:v>99</x:v>
      </x:c>
      <x:c r="G5656" s="2" t="n">
        <x:v>1</x:v>
      </x:c>
      <x:c r="H5656" s="11" t="n">
        <x:v>115.31</x:v>
      </x:c>
      <x:c r="I5656" s="2" t="n">
        <x:v>3</x:v>
      </x:c>
      <x:c r="J5656" s="2" t="n">
        <x:v>1</x:v>
      </x:c>
      <x:c r="K5656" s="2" t="n">
        <x:v>1</x:v>
      </x:c>
      <x:c r="L5656" s="2" t="str">
        <x:v>Developing</x:v>
      </x:c>
    </x:row>
    <x:row r="5657" ht="22" customHeight="1">
      <x:c r="A5657" s="2"/>
      <x:c r="B5657" s="2" t="str">
        <x:v>18028</x:v>
      </x:c>
      <x:c r="C5657" s="2" t="str">
        <x:v>United Kingdom</x:v>
      </x:c>
      <x:c r="D5657" s="25" t="n">
        <x:v>40303.35277777778</x:v>
      </x:c>
      <x:c r="E5657" s="25" t="n">
        <x:v>40303.35277777778</x:v>
      </x:c>
      <x:c r="F5657" s="2" t="n">
        <x:v>584</x:v>
      </x:c>
      <x:c r="G5657" s="2" t="n">
        <x:v>1</x:v>
      </x:c>
      <x:c r="H5657" s="11" t="n">
        <x:v>192.05</x:v>
      </x:c>
      <x:c r="I5657" s="2" t="n">
        <x:v>1</x:v>
      </x:c>
      <x:c r="J5657" s="2" t="n">
        <x:v>1</x:v>
      </x:c>
      <x:c r="K5657" s="2" t="n">
        <x:v>1</x:v>
      </x:c>
      <x:c r="L5657" s="2" t="str">
        <x:v>Hibernating</x:v>
      </x:c>
    </x:row>
    <x:row r="5658" ht="22" customHeight="1">
      <x:c r="A5658" s="2"/>
      <x:c r="B5658" s="2" t="str">
        <x:v>18029</x:v>
      </x:c>
      <x:c r="C5658" s="2" t="str">
        <x:v>United Kingdom</x:v>
      </x:c>
      <x:c r="D5658" s="25" t="n">
        <x:v>40244.4375</x:v>
      </x:c>
      <x:c r="E5658" s="25" t="n">
        <x:v>40244.4375</x:v>
      </x:c>
      <x:c r="F5658" s="2" t="n">
        <x:v>643</x:v>
      </x:c>
      <x:c r="G5658" s="2" t="n">
        <x:v>1</x:v>
      </x:c>
      <x:c r="H5658" s="11" t="n">
        <x:v>433.77</x:v>
      </x:c>
      <x:c r="I5658" s="2" t="n">
        <x:v>1</x:v>
      </x:c>
      <x:c r="J5658" s="2" t="n">
        <x:v>1</x:v>
      </x:c>
      <x:c r="K5658" s="2" t="n">
        <x:v>2</x:v>
      </x:c>
      <x:c r="L5658" s="2" t="str">
        <x:v>Hibernating</x:v>
      </x:c>
    </x:row>
    <x:row r="5659" ht="22" customHeight="1">
      <x:c r="A5659" s="2"/>
      <x:c r="B5659" s="2" t="str">
        <x:v>18030</x:v>
      </x:c>
      <x:c r="C5659" s="2" t="str">
        <x:v>United Kingdom</x:v>
      </x:c>
      <x:c r="D5659" s="25" t="n">
        <x:v>40844.37152777778</x:v>
      </x:c>
      <x:c r="E5659" s="25" t="n">
        <x:v>40882.48402777778</x:v>
      </x:c>
      <x:c r="F5659" s="2" t="n">
        <x:v>5</x:v>
      </x:c>
      <x:c r="G5659" s="2" t="n">
        <x:v>2</x:v>
      </x:c>
      <x:c r="H5659" s="11" t="n">
        <x:v>230.65</x:v>
      </x:c>
      <x:c r="I5659" s="2" t="n">
        <x:v>5</x:v>
      </x:c>
      <x:c r="J5659" s="2" t="n">
        <x:v>2</x:v>
      </x:c>
      <x:c r="K5659" s="2" t="n">
        <x:v>1</x:v>
      </x:c>
      <x:c r="L5659" s="2" t="str">
        <x:v>Recent light buyers</x:v>
      </x:c>
    </x:row>
    <x:row r="5660" ht="22" customHeight="1">
      <x:c r="A5660" s="2"/>
      <x:c r="B5660" s="2" t="str">
        <x:v>18031</x:v>
      </x:c>
      <x:c r="C5660" s="2" t="str">
        <x:v>United Kingdom</x:v>
      </x:c>
      <x:c r="D5660" s="25" t="n">
        <x:v>40508.25</x:v>
      </x:c>
      <x:c r="E5660" s="25" t="n">
        <x:v>40508.25</x:v>
      </x:c>
      <x:c r="F5660" s="2" t="n">
        <x:v>379</x:v>
      </x:c>
      <x:c r="G5660" s="2" t="n">
        <x:v>1</x:v>
      </x:c>
      <x:c r="H5660" s="11" t="n">
        <x:v>462.1</x:v>
      </x:c>
      <x:c r="I5660" s="2" t="n">
        <x:v>2</x:v>
      </x:c>
      <x:c r="J5660" s="2" t="n">
        <x:v>1</x:v>
      </x:c>
      <x:c r="K5660" s="2" t="n">
        <x:v>2</x:v>
      </x:c>
      <x:c r="L5660" s="2" t="str">
        <x:v>Hibernating</x:v>
      </x:c>
    </x:row>
    <x:row r="5661" ht="22" customHeight="1">
      <x:c r="A5661" s="2"/>
      <x:c r="B5661" s="2" t="str">
        <x:v>18032</x:v>
      </x:c>
      <x:c r="C5661" s="2" t="str">
        <x:v>United Kingdom</x:v>
      </x:c>
      <x:c r="D5661" s="25" t="n">
        <x:v>40552.438888888886</x:v>
      </x:c>
      <x:c r="E5661" s="25" t="n">
        <x:v>40552.438888888886</x:v>
      </x:c>
      <x:c r="F5661" s="2" t="n">
        <x:v>335</x:v>
      </x:c>
      <x:c r="G5661" s="2" t="n">
        <x:v>1</x:v>
      </x:c>
      <x:c r="H5661" s="11" t="n">
        <x:v>73.5</x:v>
      </x:c>
      <x:c r="I5661" s="2" t="n">
        <x:v>2</x:v>
      </x:c>
      <x:c r="J5661" s="2" t="n">
        <x:v>1</x:v>
      </x:c>
      <x:c r="K5661" s="2" t="n">
        <x:v>1</x:v>
      </x:c>
      <x:c r="L5661" s="2" t="str">
        <x:v>Hibernating</x:v>
      </x:c>
    </x:row>
    <x:row r="5662" ht="22" customHeight="1">
      <x:c r="A5662" s="2"/>
      <x:c r="B5662" s="2" t="str">
        <x:v>18033</x:v>
      </x:c>
      <x:c r="C5662" s="2" t="str">
        <x:v>United Kingdom</x:v>
      </x:c>
      <x:c r="D5662" s="25" t="n">
        <x:v>40821.51944444444</x:v>
      </x:c>
      <x:c r="E5662" s="25" t="n">
        <x:v>40821.51944444444</x:v>
      </x:c>
      <x:c r="F5662" s="2" t="n">
        <x:v>66</x:v>
      </x:c>
      <x:c r="G5662" s="2" t="n">
        <x:v>1</x:v>
      </x:c>
      <x:c r="H5662" s="11" t="n">
        <x:v>97.97</x:v>
      </x:c>
      <x:c r="I5662" s="2" t="n">
        <x:v>3</x:v>
      </x:c>
      <x:c r="J5662" s="2" t="n">
        <x:v>1</x:v>
      </x:c>
      <x:c r="K5662" s="2" t="n">
        <x:v>1</x:v>
      </x:c>
      <x:c r="L5662" s="2" t="str">
        <x:v>Developing</x:v>
      </x:c>
    </x:row>
    <x:row r="5663" ht="22" customHeight="1">
      <x:c r="A5663" s="2"/>
      <x:c r="B5663" s="2" t="str">
        <x:v>18034</x:v>
      </x:c>
      <x:c r="C5663" s="2" t="str">
        <x:v>United Kingdom</x:v>
      </x:c>
      <x:c r="D5663" s="25" t="n">
        <x:v>40511.316666666666</x:v>
      </x:c>
      <x:c r="E5663" s="25" t="n">
        <x:v>40865.30694444444</x:v>
      </x:c>
      <x:c r="F5663" s="2" t="n">
        <x:v>22</x:v>
      </x:c>
      <x:c r="G5663" s="2" t="n">
        <x:v>3</x:v>
      </x:c>
      <x:c r="H5663" s="11" t="n">
        <x:v>793.7</x:v>
      </x:c>
      <x:c r="I5663" s="2" t="n">
        <x:v>4</x:v>
      </x:c>
      <x:c r="J5663" s="2" t="n">
        <x:v>3</x:v>
      </x:c>
      <x:c r="K5663" s="2" t="n">
        <x:v>3</x:v>
      </x:c>
      <x:c r="L5663" s="2" t="str">
        <x:v>Loyal</x:v>
      </x:c>
    </x:row>
    <x:row r="5664" ht="22" customHeight="1">
      <x:c r="A5664" s="2"/>
      <x:c r="B5664" s="2" t="str">
        <x:v>18035</x:v>
      </x:c>
      <x:c r="C5664" s="2" t="str">
        <x:v>United Kingdom</x:v>
      </x:c>
      <x:c r="D5664" s="25" t="n">
        <x:v>40501.3625</x:v>
      </x:c>
      <x:c r="E5664" s="25" t="n">
        <x:v>40851.31875</x:v>
      </x:c>
      <x:c r="F5664" s="2" t="n">
        <x:v>36</x:v>
      </x:c>
      <x:c r="G5664" s="2" t="n">
        <x:v>5</x:v>
      </x:c>
      <x:c r="H5664" s="11" t="n">
        <x:v>1276.74</x:v>
      </x:c>
      <x:c r="I5664" s="2" t="n">
        <x:v>4</x:v>
      </x:c>
      <x:c r="J5664" s="2" t="n">
        <x:v>4</x:v>
      </x:c>
      <x:c r="K5664" s="2" t="n">
        <x:v>4</x:v>
      </x:c>
      <x:c r="L5664" s="2" t="str">
        <x:v>Champions</x:v>
      </x:c>
    </x:row>
    <x:row r="5665" ht="22" customHeight="1">
      <x:c r="A5665" s="2"/>
      <x:c r="B5665" s="2" t="str">
        <x:v>18036</x:v>
      </x:c>
      <x:c r="C5665" s="2" t="str">
        <x:v>United Kingdom</x:v>
      </x:c>
      <x:c r="D5665" s="25" t="n">
        <x:v>40165.294444444444</x:v>
      </x:c>
      <x:c r="E5665" s="25" t="n">
        <x:v>40854.40277777778</x:v>
      </x:c>
      <x:c r="F5665" s="2" t="n">
        <x:v>33</x:v>
      </x:c>
      <x:c r="G5665" s="2" t="n">
        <x:v>11</x:v>
      </x:c>
      <x:c r="H5665" s="11" t="n">
        <x:v>1563.64</x:v>
      </x:c>
      <x:c r="I5665" s="2" t="n">
        <x:v>4</x:v>
      </x:c>
      <x:c r="J5665" s="2" t="n">
        <x:v>5</x:v>
      </x:c>
      <x:c r="K5665" s="2" t="n">
        <x:v>4</x:v>
      </x:c>
      <x:c r="L5665" s="2" t="str">
        <x:v>Champions</x:v>
      </x:c>
    </x:row>
    <x:row r="5666" ht="22" customHeight="1">
      <x:c r="A5666" s="2"/>
      <x:c r="B5666" s="2" t="str">
        <x:v>18037</x:v>
      </x:c>
      <x:c r="C5666" s="2" t="str">
        <x:v>United Kingdom</x:v>
      </x:c>
      <x:c r="D5666" s="25" t="n">
        <x:v>40148.36666666667</x:v>
      </x:c>
      <x:c r="E5666" s="25" t="n">
        <x:v>40732.36041666667</x:v>
      </x:c>
      <x:c r="F5666" s="2" t="n">
        <x:v>155</x:v>
      </x:c>
      <x:c r="G5666" s="2" t="n">
        <x:v>15</x:v>
      </x:c>
      <x:c r="H5666" s="11" t="n">
        <x:v>167.42</x:v>
      </x:c>
      <x:c r="I5666" s="2" t="n">
        <x:v>3</x:v>
      </x:c>
      <x:c r="J5666" s="2" t="n">
        <x:v>5</x:v>
      </x:c>
      <x:c r="K5666" s="2" t="n">
        <x:v>1</x:v>
      </x:c>
      <x:c r="L5666" s="2" t="str">
        <x:v>Loyal</x:v>
      </x:c>
    </x:row>
    <x:row r="5667" ht="22" customHeight="1">
      <x:c r="A5667" s="2"/>
      <x:c r="B5667" s="2" t="str">
        <x:v>18038</x:v>
      </x:c>
      <x:c r="C5667" s="2" t="str">
        <x:v>United Kingdom</x:v>
      </x:c>
      <x:c r="D5667" s="25" t="n">
        <x:v>40330.45763888889</x:v>
      </x:c>
      <x:c r="E5667" s="25" t="n">
        <x:v>40330.45763888889</x:v>
      </x:c>
      <x:c r="F5667" s="2" t="n">
        <x:v>557</x:v>
      </x:c>
      <x:c r="G5667" s="2" t="n">
        <x:v>1</x:v>
      </x:c>
      <x:c r="H5667" s="11" t="n">
        <x:v>149.41</x:v>
      </x:c>
      <x:c r="I5667" s="2" t="n">
        <x:v>1</x:v>
      </x:c>
      <x:c r="J5667" s="2" t="n">
        <x:v>1</x:v>
      </x:c>
      <x:c r="K5667" s="2" t="n">
        <x:v>1</x:v>
      </x:c>
      <x:c r="L5667" s="2" t="str">
        <x:v>Hibernating</x:v>
      </x:c>
    </x:row>
    <x:row r="5668" ht="22" customHeight="1">
      <x:c r="A5668" s="2"/>
      <x:c r="B5668" s="2" t="str">
        <x:v>18039</x:v>
      </x:c>
      <x:c r="C5668" s="2" t="str">
        <x:v>United Kingdom</x:v>
      </x:c>
      <x:c r="D5668" s="25" t="n">
        <x:v>40246.263194444444</x:v>
      </x:c>
      <x:c r="E5668" s="25" t="n">
        <x:v>40512.33819444444</x:v>
      </x:c>
      <x:c r="F5668" s="2" t="n">
        <x:v>375</x:v>
      </x:c>
      <x:c r="G5668" s="2" t="n">
        <x:v>4</x:v>
      </x:c>
      <x:c r="H5668" s="11" t="n">
        <x:v>579.17</x:v>
      </x:c>
      <x:c r="I5668" s="2" t="n">
        <x:v>2</x:v>
      </x:c>
      <x:c r="J5668" s="2" t="n">
        <x:v>3</x:v>
      </x:c>
      <x:c r="K5668" s="2" t="n">
        <x:v>2</x:v>
      </x:c>
      <x:c r="L5668" s="2" t="str">
        <x:v>At risk</x:v>
      </x:c>
    </x:row>
    <x:row r="5669" ht="22" customHeight="1">
      <x:c r="A5669" s="2"/>
      <x:c r="B5669" s="2" t="str">
        <x:v>18040</x:v>
      </x:c>
      <x:c r="C5669" s="2" t="str">
        <x:v>United Kingdom</x:v>
      </x:c>
      <x:c r="D5669" s="25" t="n">
        <x:v>40641.14375</x:v>
      </x:c>
      <x:c r="E5669" s="25" t="n">
        <x:v>40867.38888888889</x:v>
      </x:c>
      <x:c r="F5669" s="2" t="n">
        <x:v>20</x:v>
      </x:c>
      <x:c r="G5669" s="2" t="n">
        <x:v>2</x:v>
      </x:c>
      <x:c r="H5669" s="11" t="n">
        <x:v>357.2</x:v>
      </x:c>
      <x:c r="I5669" s="2" t="n">
        <x:v>5</x:v>
      </x:c>
      <x:c r="J5669" s="2" t="n">
        <x:v>2</x:v>
      </x:c>
      <x:c r="K5669" s="2" t="n">
        <x:v>2</x:v>
      </x:c>
      <x:c r="L5669" s="2" t="str">
        <x:v>Recent light buyers</x:v>
      </x:c>
    </x:row>
    <x:row r="5670" ht="22" customHeight="1">
      <x:c r="A5670" s="2"/>
      <x:c r="B5670" s="2" t="str">
        <x:v>18041</x:v>
      </x:c>
      <x:c r="C5670" s="2" t="str">
        <x:v>United Kingdom</x:v>
      </x:c>
      <x:c r="D5670" s="25" t="n">
        <x:v>40192.21111111111</x:v>
      </x:c>
      <x:c r="E5670" s="25" t="n">
        <x:v>40875.277083333334</x:v>
      </x:c>
      <x:c r="F5670" s="2" t="n">
        <x:v>12</x:v>
      </x:c>
      <x:c r="G5670" s="2" t="n">
        <x:v>38</x:v>
      </x:c>
      <x:c r="H5670" s="11" t="n">
        <x:v>8118.09</x:v>
      </x:c>
      <x:c r="I5670" s="2" t="n">
        <x:v>5</x:v>
      </x:c>
      <x:c r="J5670" s="2" t="n">
        <x:v>5</x:v>
      </x:c>
      <x:c r="K5670" s="2" t="n">
        <x:v>5</x:v>
      </x:c>
      <x:c r="L5670" s="2" t="str">
        <x:v>Champions</x:v>
      </x:c>
    </x:row>
    <x:row r="5671" ht="22" customHeight="1">
      <x:c r="A5671" s="2"/>
      <x:c r="B5671" s="2" t="str">
        <x:v>18042</x:v>
      </x:c>
      <x:c r="C5671" s="2" t="str">
        <x:v>United Kingdom</x:v>
      </x:c>
      <x:c r="D5671" s="25" t="n">
        <x:v>40345.24513888889</x:v>
      </x:c>
      <x:c r="E5671" s="25" t="n">
        <x:v>40833.28402777778</x:v>
      </x:c>
      <x:c r="F5671" s="2" t="n">
        <x:v>54</x:v>
      </x:c>
      <x:c r="G5671" s="2" t="n">
        <x:v>2</x:v>
      </x:c>
      <x:c r="H5671" s="11" t="n">
        <x:v>281.15</x:v>
      </x:c>
      <x:c r="I5671" s="2" t="n">
        <x:v>4</x:v>
      </x:c>
      <x:c r="J5671" s="2" t="n">
        <x:v>2</x:v>
      </x:c>
      <x:c r="K5671" s="2" t="n">
        <x:v>1</x:v>
      </x:c>
      <x:c r="L5671" s="2" t="str">
        <x:v>Recent light buyers</x:v>
      </x:c>
    </x:row>
    <x:row r="5672" ht="22" customHeight="1">
      <x:c r="A5672" s="2"/>
      <x:c r="B5672" s="2" t="str">
        <x:v>18043</x:v>
      </x:c>
      <x:c r="C5672" s="2" t="str">
        <x:v>United Kingdom</x:v>
      </x:c>
      <x:c r="D5672" s="25" t="n">
        <x:v>40520.31597222222</x:v>
      </x:c>
      <x:c r="E5672" s="25" t="n">
        <x:v>40862.325</x:v>
      </x:c>
      <x:c r="F5672" s="2" t="n">
        <x:v>25</x:v>
      </x:c>
      <x:c r="G5672" s="2" t="n">
        <x:v>3</x:v>
      </x:c>
      <x:c r="H5672" s="11" t="n">
        <x:v>559.51</x:v>
      </x:c>
      <x:c r="I5672" s="2" t="n">
        <x:v>4</x:v>
      </x:c>
      <x:c r="J5672" s="2" t="n">
        <x:v>3</x:v>
      </x:c>
      <x:c r="K5672" s="2" t="n">
        <x:v>2</x:v>
      </x:c>
      <x:c r="L5672" s="2" t="str">
        <x:v>Loyal</x:v>
      </x:c>
    </x:row>
    <x:row r="5673" ht="22" customHeight="1">
      <x:c r="A5673" s="2"/>
      <x:c r="B5673" s="2" t="str">
        <x:v>18044</x:v>
      </x:c>
      <x:c r="C5673" s="2" t="str">
        <x:v>United Kingdom</x:v>
      </x:c>
      <x:c r="D5673" s="25" t="n">
        <x:v>40326.43819444445</x:v>
      </x:c>
      <x:c r="E5673" s="25" t="n">
        <x:v>40882.393055555556</x:v>
      </x:c>
      <x:c r="F5673" s="2" t="n">
        <x:v>5</x:v>
      </x:c>
      <x:c r="G5673" s="2" t="n">
        <x:v>18</x:v>
      </x:c>
      <x:c r="H5673" s="11" t="n">
        <x:v>3505.61</x:v>
      </x:c>
      <x:c r="I5673" s="2" t="n">
        <x:v>5</x:v>
      </x:c>
      <x:c r="J5673" s="2" t="n">
        <x:v>5</x:v>
      </x:c>
      <x:c r="K5673" s="2" t="n">
        <x:v>5</x:v>
      </x:c>
      <x:c r="L5673" s="2" t="str">
        <x:v>Champions</x:v>
      </x:c>
    </x:row>
    <x:row r="5674" ht="22" customHeight="1">
      <x:c r="A5674" s="2"/>
      <x:c r="B5674" s="2" t="str">
        <x:v>18045</x:v>
      </x:c>
      <x:c r="C5674" s="2" t="str">
        <x:v>United Kingdom</x:v>
      </x:c>
      <x:c r="D5674" s="25" t="n">
        <x:v>40841.33819444444</x:v>
      </x:c>
      <x:c r="E5674" s="25" t="n">
        <x:v>40841.33819444444</x:v>
      </x:c>
      <x:c r="F5674" s="2" t="n">
        <x:v>46</x:v>
      </x:c>
      <x:c r="G5674" s="2" t="n">
        <x:v>1</x:v>
      </x:c>
      <x:c r="H5674" s="11" t="n">
        <x:v>189.4</x:v>
      </x:c>
      <x:c r="I5674" s="2" t="n">
        <x:v>4</x:v>
      </x:c>
      <x:c r="J5674" s="2" t="n">
        <x:v>1</x:v>
      </x:c>
      <x:c r="K5674" s="2" t="n">
        <x:v>1</x:v>
      </x:c>
      <x:c r="L5674" s="2" t="str">
        <x:v>Recent light buyers</x:v>
      </x:c>
    </x:row>
    <x:row r="5675" ht="22" customHeight="1">
      <x:c r="A5675" s="2"/>
      <x:c r="B5675" s="2" t="str">
        <x:v>18046</x:v>
      </x:c>
      <x:c r="C5675" s="2" t="str">
        <x:v>United Kingdom</x:v>
      </x:c>
      <x:c r="D5675" s="25" t="n">
        <x:v>40237.275</x:v>
      </x:c>
      <x:c r="E5675" s="25" t="n">
        <x:v>40237.275</x:v>
      </x:c>
      <x:c r="F5675" s="2" t="n">
        <x:v>650</x:v>
      </x:c>
      <x:c r="G5675" s="2" t="n">
        <x:v>1</x:v>
      </x:c>
      <x:c r="H5675" s="11" t="n">
        <x:v>189.63</x:v>
      </x:c>
      <x:c r="I5675" s="2" t="n">
        <x:v>1</x:v>
      </x:c>
      <x:c r="J5675" s="2" t="n">
        <x:v>1</x:v>
      </x:c>
      <x:c r="K5675" s="2" t="n">
        <x:v>1</x:v>
      </x:c>
      <x:c r="L5675" s="2" t="str">
        <x:v>Hibernating</x:v>
      </x:c>
    </x:row>
    <x:row r="5676" ht="22" customHeight="1">
      <x:c r="A5676" s="2"/>
      <x:c r="B5676" s="2" t="str">
        <x:v>18047</x:v>
      </x:c>
      <x:c r="C5676" s="2" t="str">
        <x:v>United Kingdom</x:v>
      </x:c>
      <x:c r="D5676" s="25" t="n">
        <x:v>40505.33125</x:v>
      </x:c>
      <x:c r="E5676" s="25" t="n">
        <x:v>40505.34097222222</x:v>
      </x:c>
      <x:c r="F5676" s="2" t="n">
        <x:v>382</x:v>
      </x:c>
      <x:c r="G5676" s="2" t="n">
        <x:v>2</x:v>
      </x:c>
      <x:c r="H5676" s="11" t="n">
        <x:v>342.69</x:v>
      </x:c>
      <x:c r="I5676" s="2" t="n">
        <x:v>2</x:v>
      </x:c>
      <x:c r="J5676" s="2" t="n">
        <x:v>2</x:v>
      </x:c>
      <x:c r="K5676" s="2" t="n">
        <x:v>2</x:v>
      </x:c>
      <x:c r="L5676" s="2" t="str">
        <x:v>Hibernating</x:v>
      </x:c>
    </x:row>
    <x:row r="5677" ht="22" customHeight="1">
      <x:c r="A5677" s="2"/>
      <x:c r="B5677" s="2" t="str">
        <x:v>18048</x:v>
      </x:c>
      <x:c r="C5677" s="2" t="str">
        <x:v>United Kingdom</x:v>
      </x:c>
      <x:c r="D5677" s="25" t="n">
        <x:v>40393.33541666667</x:v>
      </x:c>
      <x:c r="E5677" s="25" t="n">
        <x:v>40683.41527777778</x:v>
      </x:c>
      <x:c r="F5677" s="2" t="n">
        <x:v>204</x:v>
      </x:c>
      <x:c r="G5677" s="2" t="n">
        <x:v>3</x:v>
      </x:c>
      <x:c r="H5677" s="11" t="n">
        <x:v>401.73</x:v>
      </x:c>
      <x:c r="I5677" s="2" t="n">
        <x:v>2</x:v>
      </x:c>
      <x:c r="J5677" s="2" t="n">
        <x:v>3</x:v>
      </x:c>
      <x:c r="K5677" s="2" t="n">
        <x:v>2</x:v>
      </x:c>
      <x:c r="L5677" s="2" t="str">
        <x:v>At risk</x:v>
      </x:c>
    </x:row>
    <x:row r="5678" ht="22" customHeight="1">
      <x:c r="A5678" s="2"/>
      <x:c r="B5678" s="2" t="str">
        <x:v>18049</x:v>
      </x:c>
      <x:c r="C5678" s="2" t="str">
        <x:v>United Kingdom</x:v>
      </x:c>
      <x:c r="D5678" s="25" t="n">
        <x:v>40296.35</x:v>
      </x:c>
      <x:c r="E5678" s="25" t="n">
        <x:v>40449.393055555556</x:v>
      </x:c>
      <x:c r="F5678" s="2" t="n">
        <x:v>438</x:v>
      </x:c>
      <x:c r="G5678" s="2" t="n">
        <x:v>2</x:v>
      </x:c>
      <x:c r="H5678" s="11" t="n">
        <x:v>556.52</x:v>
      </x:c>
      <x:c r="I5678" s="2" t="n">
        <x:v>1</x:v>
      </x:c>
      <x:c r="J5678" s="2" t="n">
        <x:v>2</x:v>
      </x:c>
      <x:c r="K5678" s="2" t="n">
        <x:v>2</x:v>
      </x:c>
      <x:c r="L5678" s="2" t="str">
        <x:v>Hibernating</x:v>
      </x:c>
    </x:row>
    <x:row r="5679" ht="22" customHeight="1">
      <x:c r="A5679" s="2"/>
      <x:c r="B5679" s="2" t="str">
        <x:v>18050</x:v>
      </x:c>
      <x:c r="C5679" s="2" t="str">
        <x:v>United Kingdom</x:v>
      </x:c>
      <x:c r="D5679" s="25" t="n">
        <x:v>40493.45208333333</x:v>
      </x:c>
      <x:c r="E5679" s="25" t="n">
        <x:v>40527.39236111111</x:v>
      </x:c>
      <x:c r="F5679" s="2" t="n">
        <x:v>360</x:v>
      </x:c>
      <x:c r="G5679" s="2" t="n">
        <x:v>2</x:v>
      </x:c>
      <x:c r="H5679" s="11" t="n">
        <x:v>412.06</x:v>
      </x:c>
      <x:c r="I5679" s="2" t="n">
        <x:v>2</x:v>
      </x:c>
      <x:c r="J5679" s="2" t="n">
        <x:v>2</x:v>
      </x:c>
      <x:c r="K5679" s="2" t="n">
        <x:v>2</x:v>
      </x:c>
      <x:c r="L5679" s="2" t="str">
        <x:v>Hibernating</x:v>
      </x:c>
    </x:row>
    <x:row r="5680" ht="22" customHeight="1">
      <x:c r="A5680" s="2"/>
      <x:c r="B5680" s="2" t="str">
        <x:v>18051</x:v>
      </x:c>
      <x:c r="C5680" s="2" t="str">
        <x:v>United Kingdom</x:v>
      </x:c>
      <x:c r="D5680" s="25" t="n">
        <x:v>40156.30347222222</x:v>
      </x:c>
      <x:c r="E5680" s="25" t="n">
        <x:v>40252.373611111114</x:v>
      </x:c>
      <x:c r="F5680" s="2" t="n">
        <x:v>635</x:v>
      </x:c>
      <x:c r="G5680" s="2" t="n">
        <x:v>7</x:v>
      </x:c>
      <x:c r="H5680" s="11" t="n">
        <x:v>2282.28</x:v>
      </x:c>
      <x:c r="I5680" s="2" t="n">
        <x:v>1</x:v>
      </x:c>
      <x:c r="J5680" s="2" t="n">
        <x:v>4</x:v>
      </x:c>
      <x:c r="K5680" s="2" t="n">
        <x:v>4</x:v>
      </x:c>
      <x:c r="L5680" s="2" t="str">
        <x:v>At risk</x:v>
      </x:c>
    </x:row>
    <x:row r="5681" ht="22" customHeight="1">
      <x:c r="A5681" s="2"/>
      <x:c r="B5681" s="2" t="str">
        <x:v>18052</x:v>
      </x:c>
      <x:c r="C5681" s="2" t="str">
        <x:v>United Kingdom</x:v>
      </x:c>
      <x:c r="D5681" s="25" t="n">
        <x:v>40322.25763888889</x:v>
      </x:c>
      <x:c r="E5681" s="25" t="n">
        <x:v>40322.25763888889</x:v>
      </x:c>
      <x:c r="F5681" s="2" t="n">
        <x:v>565</x:v>
      </x:c>
      <x:c r="G5681" s="2" t="n">
        <x:v>1</x:v>
      </x:c>
      <x:c r="H5681" s="11" t="n">
        <x:v>10877.18</x:v>
      </x:c>
      <x:c r="I5681" s="2" t="n">
        <x:v>1</x:v>
      </x:c>
      <x:c r="J5681" s="2" t="n">
        <x:v>1</x:v>
      </x:c>
      <x:c r="K5681" s="2" t="n">
        <x:v>5</x:v>
      </x:c>
      <x:c r="L5681" s="2" t="str">
        <x:v>Hibernating</x:v>
      </x:c>
    </x:row>
    <x:row r="5682" ht="22" customHeight="1">
      <x:c r="A5682" s="2"/>
      <x:c r="B5682" s="2" t="str">
        <x:v>18053</x:v>
      </x:c>
      <x:c r="C5682" s="2" t="str">
        <x:v>United Kingdom</x:v>
      </x:c>
      <x:c r="D5682" s="25" t="n">
        <x:v>40359.316666666666</x:v>
      </x:c>
      <x:c r="E5682" s="25" t="n">
        <x:v>40816.17013888889</x:v>
      </x:c>
      <x:c r="F5682" s="2" t="n">
        <x:v>71</x:v>
      </x:c>
      <x:c r="G5682" s="2" t="n">
        <x:v>3</x:v>
      </x:c>
      <x:c r="H5682" s="11" t="n">
        <x:v>571.07</x:v>
      </x:c>
      <x:c r="I5682" s="2" t="n">
        <x:v>3</x:v>
      </x:c>
      <x:c r="J5682" s="2" t="n">
        <x:v>3</x:v>
      </x:c>
      <x:c r="K5682" s="2" t="n">
        <x:v>2</x:v>
      </x:c>
      <x:c r="L5682" s="2" t="str">
        <x:v>Loyal</x:v>
      </x:c>
    </x:row>
    <x:row r="5683" ht="22" customHeight="1">
      <x:c r="A5683" s="2"/>
      <x:c r="B5683" s="2" t="str">
        <x:v>18054</x:v>
      </x:c>
      <x:c r="C5683" s="2" t="str">
        <x:v>United Kingdom</x:v>
      </x:c>
      <x:c r="D5683" s="25" t="n">
        <x:v>40494.1375</x:v>
      </x:c>
      <x:c r="E5683" s="25" t="n">
        <x:v>40494.1375</x:v>
      </x:c>
      <x:c r="F5683" s="2" t="n">
        <x:v>393</x:v>
      </x:c>
      <x:c r="G5683" s="2" t="n">
        <x:v>1</x:v>
      </x:c>
      <x:c r="H5683" s="11" t="n">
        <x:v>176.5</x:v>
      </x:c>
      <x:c r="I5683" s="2" t="n">
        <x:v>2</x:v>
      </x:c>
      <x:c r="J5683" s="2" t="n">
        <x:v>1</x:v>
      </x:c>
      <x:c r="K5683" s="2" t="n">
        <x:v>1</x:v>
      </x:c>
      <x:c r="L5683" s="2" t="str">
        <x:v>Hibernating</x:v>
      </x:c>
    </x:row>
    <x:row r="5684" ht="22" customHeight="1">
      <x:c r="A5684" s="2"/>
      <x:c r="B5684" s="2" t="str">
        <x:v>18055</x:v>
      </x:c>
      <x:c r="C5684" s="2" t="str">
        <x:v>United Kingdom</x:v>
      </x:c>
      <x:c r="D5684" s="25" t="n">
        <x:v>40473.35208333333</x:v>
      </x:c>
      <x:c r="E5684" s="25" t="n">
        <x:v>40879.39236111111</x:v>
      </x:c>
      <x:c r="F5684" s="2" t="n">
        <x:v>8</x:v>
      </x:c>
      <x:c r="G5684" s="2" t="n">
        <x:v>14</x:v>
      </x:c>
      <x:c r="H5684" s="11" t="n">
        <x:v>10195.09</x:v>
      </x:c>
      <x:c r="I5684" s="2" t="n">
        <x:v>5</x:v>
      </x:c>
      <x:c r="J5684" s="2" t="n">
        <x:v>5</x:v>
      </x:c>
      <x:c r="K5684" s="2" t="n">
        <x:v>5</x:v>
      </x:c>
      <x:c r="L5684" s="2" t="str">
        <x:v>Champions</x:v>
      </x:c>
    </x:row>
    <x:row r="5685" ht="22" customHeight="1">
      <x:c r="A5685" s="2"/>
      <x:c r="B5685" s="2" t="str">
        <x:v>18056</x:v>
      </x:c>
      <x:c r="C5685" s="2" t="str">
        <x:v>United Kingdom</x:v>
      </x:c>
      <x:c r="D5685" s="25" t="n">
        <x:v>40268.31180555555</x:v>
      </x:c>
      <x:c r="E5685" s="25" t="n">
        <x:v>40598.39375</x:v>
      </x:c>
      <x:c r="F5685" s="2" t="n">
        <x:v>289</x:v>
      </x:c>
      <x:c r="G5685" s="2" t="n">
        <x:v>2</x:v>
      </x:c>
      <x:c r="H5685" s="11" t="n">
        <x:v>554.6</x:v>
      </x:c>
      <x:c r="I5685" s="2" t="n">
        <x:v>2</x:v>
      </x:c>
      <x:c r="J5685" s="2" t="n">
        <x:v>2</x:v>
      </x:c>
      <x:c r="K5685" s="2" t="n">
        <x:v>2</x:v>
      </x:c>
      <x:c r="L5685" s="2" t="str">
        <x:v>Hibernating</x:v>
      </x:c>
    </x:row>
    <x:row r="5686" ht="22" customHeight="1">
      <x:c r="A5686" s="2"/>
      <x:c r="B5686" s="2" t="str">
        <x:v>18057</x:v>
      </x:c>
      <x:c r="C5686" s="2" t="str">
        <x:v>United Kingdom</x:v>
      </x:c>
      <x:c r="D5686" s="25" t="n">
        <x:v>40196.32083333333</x:v>
      </x:c>
      <x:c r="E5686" s="25" t="n">
        <x:v>40493.49652777778</x:v>
      </x:c>
      <x:c r="F5686" s="2" t="n">
        <x:v>394</x:v>
      </x:c>
      <x:c r="G5686" s="2" t="n">
        <x:v>3</x:v>
      </x:c>
      <x:c r="H5686" s="11" t="n">
        <x:v>1203.56</x:v>
      </x:c>
      <x:c r="I5686" s="2" t="n">
        <x:v>2</x:v>
      </x:c>
      <x:c r="J5686" s="2" t="n">
        <x:v>3</x:v>
      </x:c>
      <x:c r="K5686" s="2" t="n">
        <x:v>3</x:v>
      </x:c>
      <x:c r="L5686" s="2" t="str">
        <x:v>At risk</x:v>
      </x:c>
    </x:row>
    <x:row r="5687" ht="22" customHeight="1">
      <x:c r="A5687" s="2"/>
      <x:c r="B5687" s="2" t="str">
        <x:v>18058</x:v>
      </x:c>
      <x:c r="C5687" s="2" t="str">
        <x:v>United Kingdom</x:v>
      </x:c>
      <x:c r="D5687" s="25" t="n">
        <x:v>40219.19305555556</x:v>
      </x:c>
      <x:c r="E5687" s="25" t="n">
        <x:v>40877.15138888889</x:v>
      </x:c>
      <x:c r="F5687" s="2" t="n">
        <x:v>10</x:v>
      </x:c>
      <x:c r="G5687" s="2" t="n">
        <x:v>3</x:v>
      </x:c>
      <x:c r="H5687" s="11" t="n">
        <x:v>774.06</x:v>
      </x:c>
      <x:c r="I5687" s="2" t="n">
        <x:v>5</x:v>
      </x:c>
      <x:c r="J5687" s="2" t="n">
        <x:v>3</x:v>
      </x:c>
      <x:c r="K5687" s="2" t="n">
        <x:v>3</x:v>
      </x:c>
      <x:c r="L5687" s="2" t="str">
        <x:v>Loyal</x:v>
      </x:c>
    </x:row>
    <x:row r="5688" ht="22" customHeight="1">
      <x:c r="A5688" s="2"/>
      <x:c r="B5688" s="2" t="str">
        <x:v>18059</x:v>
      </x:c>
      <x:c r="C5688" s="2" t="str">
        <x:v>United Kingdom</x:v>
      </x:c>
      <x:c r="D5688" s="25" t="n">
        <x:v>40819.1875</x:v>
      </x:c>
      <x:c r="E5688" s="25" t="n">
        <x:v>40863.49236111111</x:v>
      </x:c>
      <x:c r="F5688" s="2" t="n">
        <x:v>24</x:v>
      </x:c>
      <x:c r="G5688" s="2" t="n">
        <x:v>3</x:v>
      </x:c>
      <x:c r="H5688" s="11" t="n">
        <x:v>306.46</x:v>
      </x:c>
      <x:c r="I5688" s="2" t="n">
        <x:v>4</x:v>
      </x:c>
      <x:c r="J5688" s="2" t="n">
        <x:v>3</x:v>
      </x:c>
      <x:c r="K5688" s="2" t="n">
        <x:v>2</x:v>
      </x:c>
      <x:c r="L5688" s="2" t="str">
        <x:v>Loyal</x:v>
      </x:c>
    </x:row>
    <x:row r="5689" ht="22" customHeight="1">
      <x:c r="A5689" s="2"/>
      <x:c r="B5689" s="2" t="str">
        <x:v>18060</x:v>
      </x:c>
      <x:c r="C5689" s="2" t="str">
        <x:v>United Kingdom</x:v>
      </x:c>
      <x:c r="D5689" s="25" t="n">
        <x:v>40322.14861111111</x:v>
      </x:c>
      <x:c r="E5689" s="25" t="n">
        <x:v>40478.486805555556</x:v>
      </x:c>
      <x:c r="F5689" s="2" t="n">
        <x:v>409</x:v>
      </x:c>
      <x:c r="G5689" s="2" t="n">
        <x:v>2</x:v>
      </x:c>
      <x:c r="H5689" s="11" t="n">
        <x:v>1185.46</x:v>
      </x:c>
      <x:c r="I5689" s="2" t="n">
        <x:v>2</x:v>
      </x:c>
      <x:c r="J5689" s="2" t="n">
        <x:v>2</x:v>
      </x:c>
      <x:c r="K5689" s="2" t="n">
        <x:v>3</x:v>
      </x:c>
      <x:c r="L5689" s="2" t="str">
        <x:v>Hibernating</x:v>
      </x:c>
    </x:row>
    <x:row r="5690" ht="22" customHeight="1">
      <x:c r="A5690" s="2"/>
      <x:c r="B5690" s="2" t="str">
        <x:v>18061</x:v>
      </x:c>
      <x:c r="C5690" s="2" t="str">
        <x:v>United Kingdom</x:v>
      </x:c>
      <x:c r="D5690" s="25" t="n">
        <x:v>40151.275</x:v>
      </x:c>
      <x:c r="E5690" s="25" t="n">
        <x:v>40865.26388888889</x:v>
      </x:c>
      <x:c r="F5690" s="2" t="n">
        <x:v>22</x:v>
      </x:c>
      <x:c r="G5690" s="2" t="n">
        <x:v>28</x:v>
      </x:c>
      <x:c r="H5690" s="11" t="n">
        <x:v>6083.81</x:v>
      </x:c>
      <x:c r="I5690" s="2" t="n">
        <x:v>4</x:v>
      </x:c>
      <x:c r="J5690" s="2" t="n">
        <x:v>5</x:v>
      </x:c>
      <x:c r="K5690" s="2" t="n">
        <x:v>5</x:v>
      </x:c>
      <x:c r="L5690" s="2" t="str">
        <x:v>Champions</x:v>
      </x:c>
    </x:row>
    <x:row r="5691" ht="22" customHeight="1">
      <x:c r="A5691" s="2"/>
      <x:c r="B5691" s="2" t="str">
        <x:v>18062</x:v>
      </x:c>
      <x:c r="C5691" s="2" t="str">
        <x:v>United Kingdom</x:v>
      </x:c>
      <x:c r="D5691" s="25" t="n">
        <x:v>40289.163194444445</x:v>
      </x:c>
      <x:c r="E5691" s="25" t="n">
        <x:v>40713.407638888886</x:v>
      </x:c>
      <x:c r="F5691" s="2" t="n">
        <x:v>174</x:v>
      </x:c>
      <x:c r="G5691" s="2" t="n">
        <x:v>6</x:v>
      </x:c>
      <x:c r="H5691" s="11" t="n">
        <x:v>1632.67</x:v>
      </x:c>
      <x:c r="I5691" s="2" t="n">
        <x:v>3</x:v>
      </x:c>
      <x:c r="J5691" s="2" t="n">
        <x:v>4</x:v>
      </x:c>
      <x:c r="K5691" s="2" t="n">
        <x:v>4</x:v>
      </x:c>
      <x:c r="L5691" s="2" t="str">
        <x:v>Loyal</x:v>
      </x:c>
    </x:row>
    <x:row r="5692" ht="22" customHeight="1">
      <x:c r="A5692" s="2"/>
      <x:c r="B5692" s="2" t="str">
        <x:v>18063</x:v>
      </x:c>
      <x:c r="C5692" s="2" t="str">
        <x:v>United Kingdom</x:v>
      </x:c>
      <x:c r="D5692" s="25" t="n">
        <x:v>40253.336805555555</x:v>
      </x:c>
      <x:c r="E5692" s="25" t="n">
        <x:v>40496.240277777775</x:v>
      </x:c>
      <x:c r="F5692" s="2" t="n">
        <x:v>391</x:v>
      </x:c>
      <x:c r="G5692" s="2" t="n">
        <x:v>2</x:v>
      </x:c>
      <x:c r="H5692" s="11" t="n">
        <x:v>186.6</x:v>
      </x:c>
      <x:c r="I5692" s="2" t="n">
        <x:v>2</x:v>
      </x:c>
      <x:c r="J5692" s="2" t="n">
        <x:v>2</x:v>
      </x:c>
      <x:c r="K5692" s="2" t="n">
        <x:v>1</x:v>
      </x:c>
      <x:c r="L5692" s="2" t="str">
        <x:v>Hibernating</x:v>
      </x:c>
    </x:row>
    <x:row r="5693" ht="22" customHeight="1">
      <x:c r="A5693" s="2"/>
      <x:c r="B5693" s="2" t="str">
        <x:v>18064</x:v>
      </x:c>
      <x:c r="C5693" s="2" t="str">
        <x:v>United Kingdom</x:v>
      </x:c>
      <x:c r="D5693" s="25" t="n">
        <x:v>40210.41736111111</x:v>
      </x:c>
      <x:c r="E5693" s="25" t="n">
        <x:v>40753.48541666667</x:v>
      </x:c>
      <x:c r="F5693" s="2" t="n">
        <x:v>134</x:v>
      </x:c>
      <x:c r="G5693" s="2" t="n">
        <x:v>11</x:v>
      </x:c>
      <x:c r="H5693" s="11" t="n">
        <x:v>4495.03</x:v>
      </x:c>
      <x:c r="I5693" s="2" t="n">
        <x:v>3</x:v>
      </x:c>
      <x:c r="J5693" s="2" t="n">
        <x:v>5</x:v>
      </x:c>
      <x:c r="K5693" s="2" t="n">
        <x:v>5</x:v>
      </x:c>
      <x:c r="L5693" s="2" t="str">
        <x:v>Loyal</x:v>
      </x:c>
    </x:row>
    <x:row r="5694" ht="22" customHeight="1">
      <x:c r="A5694" s="2"/>
      <x:c r="B5694" s="2" t="str">
        <x:v>18065</x:v>
      </x:c>
      <x:c r="C5694" s="2" t="str">
        <x:v>United Kingdom</x:v>
      </x:c>
      <x:c r="D5694" s="25" t="n">
        <x:v>40156.458333333336</x:v>
      </x:c>
      <x:c r="E5694" s="25" t="n">
        <x:v>40881.229166666664</x:v>
      </x:c>
      <x:c r="F5694" s="2" t="n">
        <x:v>6</x:v>
      </x:c>
      <x:c r="G5694" s="2" t="n">
        <x:v>29</x:v>
      </x:c>
      <x:c r="H5694" s="11" t="n">
        <x:v>5866.63</x:v>
      </x:c>
      <x:c r="I5694" s="2" t="n">
        <x:v>5</x:v>
      </x:c>
      <x:c r="J5694" s="2" t="n">
        <x:v>5</x:v>
      </x:c>
      <x:c r="K5694" s="2" t="n">
        <x:v>5</x:v>
      </x:c>
      <x:c r="L5694" s="2" t="str">
        <x:v>Champions</x:v>
      </x:c>
    </x:row>
    <x:row r="5695" ht="22" customHeight="1">
      <x:c r="A5695" s="2"/>
      <x:c r="B5695" s="2" t="str">
        <x:v>18066</x:v>
      </x:c>
      <x:c r="C5695" s="2" t="str">
        <x:v>United Kingdom</x:v>
      </x:c>
      <x:c r="D5695" s="25" t="n">
        <x:v>40471.27916666667</x:v>
      </x:c>
      <x:c r="E5695" s="25" t="n">
        <x:v>40811.4375</x:v>
      </x:c>
      <x:c r="F5695" s="2" t="n">
        <x:v>76</x:v>
      </x:c>
      <x:c r="G5695" s="2" t="n">
        <x:v>3</x:v>
      </x:c>
      <x:c r="H5695" s="11" t="n">
        <x:v>1440.4</x:v>
      </x:c>
      <x:c r="I5695" s="2" t="n">
        <x:v>3</x:v>
      </x:c>
      <x:c r="J5695" s="2" t="n">
        <x:v>3</x:v>
      </x:c>
      <x:c r="K5695" s="2" t="n">
        <x:v>4</x:v>
      </x:c>
      <x:c r="L5695" s="2" t="str">
        <x:v>Loyal</x:v>
      </x:c>
    </x:row>
    <x:row r="5696" ht="22" customHeight="1">
      <x:c r="A5696" s="2"/>
      <x:c r="B5696" s="2" t="str">
        <x:v>18067</x:v>
      </x:c>
      <x:c r="C5696" s="2" t="str">
        <x:v>United Kingdom</x:v>
      </x:c>
      <x:c r="D5696" s="25" t="n">
        <x:v>40846.45694444444</x:v>
      </x:c>
      <x:c r="E5696" s="25" t="n">
        <x:v>40846.45694444444</x:v>
      </x:c>
      <x:c r="F5696" s="2" t="n">
        <x:v>41</x:v>
      </x:c>
      <x:c r="G5696" s="2" t="n">
        <x:v>1</x:v>
      </x:c>
      <x:c r="H5696" s="11" t="n">
        <x:v>396.33</x:v>
      </x:c>
      <x:c r="I5696" s="2" t="n">
        <x:v>4</x:v>
      </x:c>
      <x:c r="J5696" s="2" t="n">
        <x:v>1</x:v>
      </x:c>
      <x:c r="K5696" s="2" t="n">
        <x:v>2</x:v>
      </x:c>
      <x:c r="L5696" s="2" t="str">
        <x:v>Recent light buyers</x:v>
      </x:c>
    </x:row>
    <x:row r="5697" ht="22" customHeight="1">
      <x:c r="A5697" s="2"/>
      <x:c r="B5697" s="2" t="str">
        <x:v>18068</x:v>
      </x:c>
      <x:c r="C5697" s="2" t="str">
        <x:v>United Kingdom</x:v>
      </x:c>
      <x:c r="D5697" s="25" t="n">
        <x:v>40597.40972222222</x:v>
      </x:c>
      <x:c r="E5697" s="25" t="n">
        <x:v>40597.40972222222</x:v>
      </x:c>
      <x:c r="F5697" s="2" t="n">
        <x:v>290</x:v>
      </x:c>
      <x:c r="G5697" s="2" t="n">
        <x:v>1</x:v>
      </x:c>
      <x:c r="H5697" s="11" t="n">
        <x:v>101.7</x:v>
      </x:c>
      <x:c r="I5697" s="2" t="n">
        <x:v>2</x:v>
      </x:c>
      <x:c r="J5697" s="2" t="n">
        <x:v>1</x:v>
      </x:c>
      <x:c r="K5697" s="2" t="n">
        <x:v>1</x:v>
      </x:c>
      <x:c r="L5697" s="2" t="str">
        <x:v>Hibernating</x:v>
      </x:c>
    </x:row>
    <x:row r="5698" ht="22" customHeight="1">
      <x:c r="A5698" s="2"/>
      <x:c r="B5698" s="2" t="str">
        <x:v>18069</x:v>
      </x:c>
      <x:c r="C5698" s="2" t="str">
        <x:v>United Kingdom</x:v>
      </x:c>
      <x:c r="D5698" s="25" t="n">
        <x:v>40237.46805555555</x:v>
      </x:c>
      <x:c r="E5698" s="25" t="n">
        <x:v>40860.46041666667</x:v>
      </x:c>
      <x:c r="F5698" s="2" t="n">
        <x:v>27</x:v>
      </x:c>
      <x:c r="G5698" s="2" t="n">
        <x:v>11</x:v>
      </x:c>
      <x:c r="H5698" s="11" t="n">
        <x:v>4540.56</x:v>
      </x:c>
      <x:c r="I5698" s="2" t="n">
        <x:v>4</x:v>
      </x:c>
      <x:c r="J5698" s="2" t="n">
        <x:v>5</x:v>
      </x:c>
      <x:c r="K5698" s="2" t="n">
        <x:v>5</x:v>
      </x:c>
      <x:c r="L5698" s="2" t="str">
        <x:v>Champions</x:v>
      </x:c>
    </x:row>
    <x:row r="5699" ht="22" customHeight="1">
      <x:c r="A5699" s="2"/>
      <x:c r="B5699" s="2" t="str">
        <x:v>18070</x:v>
      </x:c>
      <x:c r="C5699" s="2" t="str">
        <x:v>United Kingdom</x:v>
      </x:c>
      <x:c r="D5699" s="25" t="n">
        <x:v>40217.35277777778</x:v>
      </x:c>
      <x:c r="E5699" s="25" t="n">
        <x:v>40217.35277777778</x:v>
      </x:c>
      <x:c r="F5699" s="2" t="n">
        <x:v>670</x:v>
      </x:c>
      <x:c r="G5699" s="2" t="n">
        <x:v>1</x:v>
      </x:c>
      <x:c r="H5699" s="11" t="n">
        <x:v>314.1</x:v>
      </x:c>
      <x:c r="I5699" s="2" t="n">
        <x:v>1</x:v>
      </x:c>
      <x:c r="J5699" s="2" t="n">
        <x:v>1</x:v>
      </x:c>
      <x:c r="K5699" s="2" t="n">
        <x:v>2</x:v>
      </x:c>
      <x:c r="L5699" s="2" t="str">
        <x:v>Hibernating</x:v>
      </x:c>
    </x:row>
    <x:row r="5700" ht="22" customHeight="1">
      <x:c r="A5700" s="2"/>
      <x:c r="B5700" s="2" t="str">
        <x:v>18071</x:v>
      </x:c>
      <x:c r="C5700" s="2" t="str">
        <x:v>United Kingdom</x:v>
      </x:c>
      <x:c r="D5700" s="25" t="n">
        <x:v>40152.22986111111</x:v>
      </x:c>
      <x:c r="E5700" s="25" t="n">
        <x:v>40629.290972222225</x:v>
      </x:c>
      <x:c r="F5700" s="2" t="n">
        <x:v>258</x:v>
      </x:c>
      <x:c r="G5700" s="2" t="n">
        <x:v>6</x:v>
      </x:c>
      <x:c r="H5700" s="11" t="n">
        <x:v>1169.68</x:v>
      </x:c>
      <x:c r="I5700" s="2" t="n">
        <x:v>2</x:v>
      </x:c>
      <x:c r="J5700" s="2" t="n">
        <x:v>4</x:v>
      </x:c>
      <x:c r="K5700" s="2" t="n">
        <x:v>3</x:v>
      </x:c>
      <x:c r="L5700" s="2" t="str">
        <x:v>At risk</x:v>
      </x:c>
    </x:row>
    <x:row r="5701" ht="22" customHeight="1">
      <x:c r="A5701" s="2"/>
      <x:c r="B5701" s="2" t="str">
        <x:v>18072</x:v>
      </x:c>
      <x:c r="C5701" s="2" t="str">
        <x:v>United Kingdom</x:v>
      </x:c>
      <x:c r="D5701" s="25" t="n">
        <x:v>40701.23888888889</x:v>
      </x:c>
      <x:c r="E5701" s="25" t="n">
        <x:v>40701.23888888889</x:v>
      </x:c>
      <x:c r="F5701" s="2" t="n">
        <x:v>186</x:v>
      </x:c>
      <x:c r="G5701" s="2" t="n">
        <x:v>1</x:v>
      </x:c>
      <x:c r="H5701" s="11" t="n">
        <x:v>247.44</x:v>
      </x:c>
      <x:c r="I5701" s="2" t="n">
        <x:v>3</x:v>
      </x:c>
      <x:c r="J5701" s="2" t="n">
        <x:v>1</x:v>
      </x:c>
      <x:c r="K5701" s="2" t="n">
        <x:v>1</x:v>
      </x:c>
      <x:c r="L5701" s="2" t="str">
        <x:v>Developing</x:v>
      </x:c>
    </x:row>
    <x:row r="5702" ht="22" customHeight="1">
      <x:c r="A5702" s="2"/>
      <x:c r="B5702" s="2" t="str">
        <x:v>18073</x:v>
      </x:c>
      <x:c r="C5702" s="2" t="str">
        <x:v>United Kingdom</x:v>
      </x:c>
      <x:c r="D5702" s="25" t="n">
        <x:v>40689.60972222222</x:v>
      </x:c>
      <x:c r="E5702" s="25" t="n">
        <x:v>40772.376388888886</x:v>
      </x:c>
      <x:c r="F5702" s="2" t="n">
        <x:v>115</x:v>
      </x:c>
      <x:c r="G5702" s="2" t="n">
        <x:v>12</x:v>
      </x:c>
      <x:c r="H5702" s="11" t="n">
        <x:v>3877.52</x:v>
      </x:c>
      <x:c r="I5702" s="2" t="n">
        <x:v>3</x:v>
      </x:c>
      <x:c r="J5702" s="2" t="n">
        <x:v>5</x:v>
      </x:c>
      <x:c r="K5702" s="2" t="n">
        <x:v>5</x:v>
      </x:c>
      <x:c r="L5702" s="2" t="str">
        <x:v>Loyal</x:v>
      </x:c>
    </x:row>
    <x:row r="5703" ht="22" customHeight="1">
      <x:c r="A5703" s="2"/>
      <x:c r="B5703" s="2" t="str">
        <x:v>18074</x:v>
      </x:c>
      <x:c r="C5703" s="2" t="str">
        <x:v>United Kingdom</x:v>
      </x:c>
      <x:c r="D5703" s="25" t="n">
        <x:v>40381.22986111111</x:v>
      </x:c>
      <x:c r="E5703" s="25" t="n">
        <x:v>40513.20347222222</x:v>
      </x:c>
      <x:c r="F5703" s="2" t="n">
        <x:v>374</x:v>
      </x:c>
      <x:c r="G5703" s="2" t="n">
        <x:v>2</x:v>
      </x:c>
      <x:c r="H5703" s="11" t="n">
        <x:v>1019.44</x:v>
      </x:c>
      <x:c r="I5703" s="2" t="n">
        <x:v>2</x:v>
      </x:c>
      <x:c r="J5703" s="2" t="n">
        <x:v>2</x:v>
      </x:c>
      <x:c r="K5703" s="2" t="n">
        <x:v>3</x:v>
      </x:c>
      <x:c r="L5703" s="2" t="str">
        <x:v>Hibernating</x:v>
      </x:c>
    </x:row>
    <x:row r="5704" ht="22" customHeight="1">
      <x:c r="A5704" s="2"/>
      <x:c r="B5704" s="2" t="str">
        <x:v>18075</x:v>
      </x:c>
      <x:c r="C5704" s="2" t="str">
        <x:v>United Kingdom</x:v>
      </x:c>
      <x:c r="D5704" s="25" t="n">
        <x:v>40388.282638888886</x:v>
      </x:c>
      <x:c r="E5704" s="25" t="n">
        <x:v>40863.43125</x:v>
      </x:c>
      <x:c r="F5704" s="2" t="n">
        <x:v>24</x:v>
      </x:c>
      <x:c r="G5704" s="2" t="n">
        <x:v>20</x:v>
      </x:c>
      <x:c r="H5704" s="11" t="n">
        <x:v>5783.29</x:v>
      </x:c>
      <x:c r="I5704" s="2" t="n">
        <x:v>4</x:v>
      </x:c>
      <x:c r="J5704" s="2" t="n">
        <x:v>5</x:v>
      </x:c>
      <x:c r="K5704" s="2" t="n">
        <x:v>5</x:v>
      </x:c>
      <x:c r="L5704" s="2" t="str">
        <x:v>Champions</x:v>
      </x:c>
    </x:row>
    <x:row r="5705" ht="22" customHeight="1">
      <x:c r="A5705" s="2"/>
      <x:c r="B5705" s="2" t="str">
        <x:v>18076</x:v>
      </x:c>
      <x:c r="C5705" s="2" t="str">
        <x:v>United Kingdom</x:v>
      </x:c>
      <x:c r="D5705" s="25" t="n">
        <x:v>40506.376388888886</x:v>
      </x:c>
      <x:c r="E5705" s="25" t="n">
        <x:v>40506.376388888886</x:v>
      </x:c>
      <x:c r="F5705" s="2" t="n">
        <x:v>381</x:v>
      </x:c>
      <x:c r="G5705" s="2" t="n">
        <x:v>1</x:v>
      </x:c>
      <x:c r="H5705" s="11" t="n">
        <x:v>151.49</x:v>
      </x:c>
      <x:c r="I5705" s="2" t="n">
        <x:v>2</x:v>
      </x:c>
      <x:c r="J5705" s="2" t="n">
        <x:v>1</x:v>
      </x:c>
      <x:c r="K5705" s="2" t="n">
        <x:v>1</x:v>
      </x:c>
      <x:c r="L5705" s="2" t="str">
        <x:v>Hibernating</x:v>
      </x:c>
    </x:row>
    <x:row r="5706" ht="22" customHeight="1">
      <x:c r="A5706" s="2"/>
      <x:c r="B5706" s="2" t="str">
        <x:v>18077</x:v>
      </x:c>
      <x:c r="C5706" s="2" t="str">
        <x:v>United Kingdom</x:v>
      </x:c>
      <x:c r="D5706" s="25" t="n">
        <x:v>40154.27777777778</x:v>
      </x:c>
      <x:c r="E5706" s="25" t="n">
        <x:v>40878.35555555556</x:v>
      </x:c>
      <x:c r="F5706" s="2" t="n">
        <x:v>9</x:v>
      </x:c>
      <x:c r="G5706" s="2" t="n">
        <x:v>18</x:v>
      </x:c>
      <x:c r="H5706" s="11" t="n">
        <x:v>4133.69</x:v>
      </x:c>
      <x:c r="I5706" s="2" t="n">
        <x:v>5</x:v>
      </x:c>
      <x:c r="J5706" s="2" t="n">
        <x:v>5</x:v>
      </x:c>
      <x:c r="K5706" s="2" t="n">
        <x:v>5</x:v>
      </x:c>
      <x:c r="L5706" s="2" t="str">
        <x:v>Champions</x:v>
      </x:c>
    </x:row>
    <x:row r="5707" ht="22" customHeight="1">
      <x:c r="A5707" s="2"/>
      <x:c r="B5707" s="2" t="str">
        <x:v>18078</x:v>
      </x:c>
      <x:c r="C5707" s="2" t="str">
        <x:v>United Kingdom</x:v>
      </x:c>
      <x:c r="D5707" s="25" t="n">
        <x:v>40258.45138888889</x:v>
      </x:c>
      <x:c r="E5707" s="25" t="n">
        <x:v>40669.39722222222</x:v>
      </x:c>
      <x:c r="F5707" s="2" t="n">
        <x:v>218</x:v>
      </x:c>
      <x:c r="G5707" s="2" t="n">
        <x:v>4</x:v>
      </x:c>
      <x:c r="H5707" s="11" t="n">
        <x:v>844.6</x:v>
      </x:c>
      <x:c r="I5707" s="2" t="n">
        <x:v>2</x:v>
      </x:c>
      <x:c r="J5707" s="2" t="n">
        <x:v>3</x:v>
      </x:c>
      <x:c r="K5707" s="2" t="n">
        <x:v>3</x:v>
      </x:c>
      <x:c r="L5707" s="2" t="str">
        <x:v>At risk</x:v>
      </x:c>
    </x:row>
    <x:row r="5708" ht="22" customHeight="1">
      <x:c r="A5708" s="2"/>
      <x:c r="B5708" s="2" t="str">
        <x:v>18079</x:v>
      </x:c>
      <x:c r="C5708" s="2" t="str">
        <x:v>United Kingdom</x:v>
      </x:c>
      <x:c r="D5708" s="25" t="n">
        <x:v>40395.30486111111</x:v>
      </x:c>
      <x:c r="E5708" s="25" t="n">
        <x:v>40841.43541666667</x:v>
      </x:c>
      <x:c r="F5708" s="2" t="n">
        <x:v>46</x:v>
      </x:c>
      <x:c r="G5708" s="2" t="n">
        <x:v>5</x:v>
      </x:c>
      <x:c r="H5708" s="11" t="n">
        <x:v>4242.75</x:v>
      </x:c>
      <x:c r="I5708" s="2" t="n">
        <x:v>4</x:v>
      </x:c>
      <x:c r="J5708" s="2" t="n">
        <x:v>4</x:v>
      </x:c>
      <x:c r="K5708" s="2" t="n">
        <x:v>5</x:v>
      </x:c>
      <x:c r="L5708" s="2" t="str">
        <x:v>Champions</x:v>
      </x:c>
    </x:row>
    <x:row r="5709" ht="22" customHeight="1">
      <x:c r="A5709" s="2"/>
      <x:c r="B5709" s="2" t="str">
        <x:v>18080</x:v>
      </x:c>
      <x:c r="C5709" s="2" t="str">
        <x:v>United Kingdom</x:v>
      </x:c>
      <x:c r="D5709" s="25" t="n">
        <x:v>40644.21527777778</x:v>
      </x:c>
      <x:c r="E5709" s="25" t="n">
        <x:v>40868.126388888886</x:v>
      </x:c>
      <x:c r="F5709" s="2" t="n">
        <x:v>19</x:v>
      </x:c>
      <x:c r="G5709" s="2" t="n">
        <x:v>2</x:v>
      </x:c>
      <x:c r="H5709" s="11" t="n">
        <x:v>1231.5</x:v>
      </x:c>
      <x:c r="I5709" s="2" t="n">
        <x:v>5</x:v>
      </x:c>
      <x:c r="J5709" s="2" t="n">
        <x:v>2</x:v>
      </x:c>
      <x:c r="K5709" s="2" t="n">
        <x:v>3</x:v>
      </x:c>
      <x:c r="L5709" s="2" t="str">
        <x:v>Recent light buyers</x:v>
      </x:c>
    </x:row>
    <x:row r="5710" ht="22" customHeight="1">
      <x:c r="A5710" s="2"/>
      <x:c r="B5710" s="2" t="str">
        <x:v>18081</x:v>
      </x:c>
      <x:c r="C5710" s="2" t="str">
        <x:v>United Kingdom</x:v>
      </x:c>
      <x:c r="D5710" s="25" t="n">
        <x:v>40753.28888888889</x:v>
      </x:c>
      <x:c r="E5710" s="25" t="n">
        <x:v>40850.479166666664</x:v>
      </x:c>
      <x:c r="F5710" s="2" t="n">
        <x:v>37</x:v>
      </x:c>
      <x:c r="G5710" s="2" t="n">
        <x:v>3</x:v>
      </x:c>
      <x:c r="H5710" s="11" t="n">
        <x:v>343.45</x:v>
      </x:c>
      <x:c r="I5710" s="2" t="n">
        <x:v>4</x:v>
      </x:c>
      <x:c r="J5710" s="2" t="n">
        <x:v>3</x:v>
      </x:c>
      <x:c r="K5710" s="2" t="n">
        <x:v>2</x:v>
      </x:c>
      <x:c r="L5710" s="2" t="str">
        <x:v>Loyal</x:v>
      </x:c>
    </x:row>
    <x:row r="5711" ht="22" customHeight="1">
      <x:c r="A5711" s="2"/>
      <x:c r="B5711" s="2" t="str">
        <x:v>18082</x:v>
      </x:c>
      <x:c r="C5711" s="2" t="str">
        <x:v>United Kingdom</x:v>
      </x:c>
      <x:c r="D5711" s="25" t="n">
        <x:v>40861.322916666664</x:v>
      </x:c>
      <x:c r="E5711" s="25" t="n">
        <x:v>40861.322916666664</x:v>
      </x:c>
      <x:c r="F5711" s="2" t="n">
        <x:v>26</x:v>
      </x:c>
      <x:c r="G5711" s="2" t="n">
        <x:v>1</x:v>
      </x:c>
      <x:c r="H5711" s="11" t="n">
        <x:v>703.37</x:v>
      </x:c>
      <x:c r="I5711" s="2" t="n">
        <x:v>4</x:v>
      </x:c>
      <x:c r="J5711" s="2" t="n">
        <x:v>1</x:v>
      </x:c>
      <x:c r="K5711" s="2" t="n">
        <x:v>3</x:v>
      </x:c>
      <x:c r="L5711" s="2" t="str">
        <x:v>Recent light buyers</x:v>
      </x:c>
    </x:row>
    <x:row r="5712" ht="22" customHeight="1">
      <x:c r="A5712" s="2"/>
      <x:c r="B5712" s="2" t="str">
        <x:v>18083</x:v>
      </x:c>
      <x:c r="C5712" s="2" t="str">
        <x:v>United Kingdom</x:v>
      </x:c>
      <x:c r="D5712" s="25" t="n">
        <x:v>40489.28055555555</x:v>
      </x:c>
      <x:c r="E5712" s="25" t="n">
        <x:v>40489.28055555555</x:v>
      </x:c>
      <x:c r="F5712" s="2" t="n">
        <x:v>398</x:v>
      </x:c>
      <x:c r="G5712" s="2" t="n">
        <x:v>1</x:v>
      </x:c>
      <x:c r="H5712" s="11" t="n">
        <x:v>470.73</x:v>
      </x:c>
      <x:c r="I5712" s="2" t="n">
        <x:v>2</x:v>
      </x:c>
      <x:c r="J5712" s="2" t="n">
        <x:v>1</x:v>
      </x:c>
      <x:c r="K5712" s="2" t="n">
        <x:v>2</x:v>
      </x:c>
      <x:c r="L5712" s="2" t="str">
        <x:v>Hibernating</x:v>
      </x:c>
    </x:row>
    <x:row r="5713" ht="22" customHeight="1">
      <x:c r="A5713" s="2"/>
      <x:c r="B5713" s="2" t="str">
        <x:v>18084</x:v>
      </x:c>
      <x:c r="C5713" s="2" t="str">
        <x:v>United Kingdom</x:v>
      </x:c>
      <x:c r="D5713" s="25" t="n">
        <x:v>40498.13125</x:v>
      </x:c>
      <x:c r="E5713" s="25" t="n">
        <x:v>40870.37291666667</x:v>
      </x:c>
      <x:c r="F5713" s="2" t="n">
        <x:v>17</x:v>
      </x:c>
      <x:c r="G5713" s="2" t="n">
        <x:v>3</x:v>
      </x:c>
      <x:c r="H5713" s="11" t="n">
        <x:v>812.93</x:v>
      </x:c>
      <x:c r="I5713" s="2" t="n">
        <x:v>5</x:v>
      </x:c>
      <x:c r="J5713" s="2" t="n">
        <x:v>3</x:v>
      </x:c>
      <x:c r="K5713" s="2" t="n">
        <x:v>3</x:v>
      </x:c>
      <x:c r="L5713" s="2" t="str">
        <x:v>Loyal</x:v>
      </x:c>
    </x:row>
    <x:row r="5714" ht="22" customHeight="1">
      <x:c r="A5714" s="2"/>
      <x:c r="B5714" s="2" t="str">
        <x:v>18085</x:v>
      </x:c>
      <x:c r="C5714" s="2" t="str">
        <x:v>United Kingdom</x:v>
      </x:c>
      <x:c r="D5714" s="25" t="n">
        <x:v>40258.28958333333</x:v>
      </x:c>
      <x:c r="E5714" s="25" t="n">
        <x:v>40556.42847222222</x:v>
      </x:c>
      <x:c r="F5714" s="2" t="n">
        <x:v>331</x:v>
      </x:c>
      <x:c r="G5714" s="2" t="n">
        <x:v>4</x:v>
      </x:c>
      <x:c r="H5714" s="11" t="n">
        <x:v>1341.85</x:v>
      </x:c>
      <x:c r="I5714" s="2" t="n">
        <x:v>2</x:v>
      </x:c>
      <x:c r="J5714" s="2" t="n">
        <x:v>3</x:v>
      </x:c>
      <x:c r="K5714" s="2" t="n">
        <x:v>4</x:v>
      </x:c>
      <x:c r="L5714" s="2" t="str">
        <x:v>At risk</x:v>
      </x:c>
    </x:row>
    <x:row r="5715" ht="22" customHeight="1">
      <x:c r="A5715" s="2"/>
      <x:c r="B5715" s="2" t="str">
        <x:v>18086</x:v>
      </x:c>
      <x:c r="C5715" s="2" t="str">
        <x:v>United Kingdom</x:v>
      </x:c>
      <x:c r="D5715" s="25" t="n">
        <x:v>40612.356944444444</x:v>
      </x:c>
      <x:c r="E5715" s="25" t="n">
        <x:v>40612.356944444444</x:v>
      </x:c>
      <x:c r="F5715" s="2" t="n">
        <x:v>275</x:v>
      </x:c>
      <x:c r="G5715" s="2" t="n">
        <x:v>1</x:v>
      </x:c>
      <x:c r="H5715" s="11" t="n">
        <x:v>101.34</x:v>
      </x:c>
      <x:c r="I5715" s="2" t="n">
        <x:v>2</x:v>
      </x:c>
      <x:c r="J5715" s="2" t="n">
        <x:v>1</x:v>
      </x:c>
      <x:c r="K5715" s="2" t="n">
        <x:v>1</x:v>
      </x:c>
      <x:c r="L5715" s="2" t="str">
        <x:v>Hibernating</x:v>
      </x:c>
    </x:row>
    <x:row r="5716" ht="22" customHeight="1">
      <x:c r="A5716" s="2"/>
      <x:c r="B5716" s="2" t="str">
        <x:v>18087</x:v>
      </x:c>
      <x:c r="C5716" s="2" t="str">
        <x:v>United Kingdom</x:v>
      </x:c>
      <x:c r="D5716" s="25" t="n">
        <x:v>40148.19652777778</x:v>
      </x:c>
      <x:c r="E5716" s="25" t="n">
        <x:v>40788.425</x:v>
      </x:c>
      <x:c r="F5716" s="2" t="n">
        <x:v>99</x:v>
      </x:c>
      <x:c r="G5716" s="2" t="n">
        <x:v>17</x:v>
      </x:c>
      <x:c r="H5716" s="11" t="n">
        <x:v>14761.52</x:v>
      </x:c>
      <x:c r="I5716" s="2" t="n">
        <x:v>3</x:v>
      </x:c>
      <x:c r="J5716" s="2" t="n">
        <x:v>5</x:v>
      </x:c>
      <x:c r="K5716" s="2" t="n">
        <x:v>5</x:v>
      </x:c>
      <x:c r="L5716" s="2" t="str">
        <x:v>Loyal</x:v>
      </x:c>
    </x:row>
    <x:row r="5717" ht="22" customHeight="1">
      <x:c r="A5717" s="2"/>
      <x:c r="B5717" s="2" t="str">
        <x:v>18088</x:v>
      </x:c>
      <x:c r="C5717" s="2" t="str">
        <x:v>United Kingdom</x:v>
      </x:c>
      <x:c r="D5717" s="25" t="n">
        <x:v>40825.361805555556</x:v>
      </x:c>
      <x:c r="E5717" s="25" t="n">
        <x:v>40825.361805555556</x:v>
      </x:c>
      <x:c r="F5717" s="2" t="n">
        <x:v>62</x:v>
      </x:c>
      <x:c r="G5717" s="2" t="n">
        <x:v>1</x:v>
      </x:c>
      <x:c r="H5717" s="11" t="n">
        <x:v>167.67</x:v>
      </x:c>
      <x:c r="I5717" s="2" t="n">
        <x:v>3</x:v>
      </x:c>
      <x:c r="J5717" s="2" t="n">
        <x:v>1</x:v>
      </x:c>
      <x:c r="K5717" s="2" t="n">
        <x:v>1</x:v>
      </x:c>
      <x:c r="L5717" s="2" t="str">
        <x:v>Developing</x:v>
      </x:c>
    </x:row>
    <x:row r="5718" ht="22" customHeight="1">
      <x:c r="A5718" s="2"/>
      <x:c r="B5718" s="2" t="str">
        <x:v>18089</x:v>
      </x:c>
      <x:c r="C5718" s="2" t="str">
        <x:v>United Kingdom</x:v>
      </x:c>
      <x:c r="D5718" s="25" t="n">
        <x:v>40440.28958333333</x:v>
      </x:c>
      <x:c r="E5718" s="25" t="n">
        <x:v>40440.28958333333</x:v>
      </x:c>
      <x:c r="F5718" s="2" t="n">
        <x:v>447</x:v>
      </x:c>
      <x:c r="G5718" s="2" t="n">
        <x:v>1</x:v>
      </x:c>
      <x:c r="H5718" s="11" t="n">
        <x:v>428.45</x:v>
      </x:c>
      <x:c r="I5718" s="2" t="n">
        <x:v>1</x:v>
      </x:c>
      <x:c r="J5718" s="2" t="n">
        <x:v>1</x:v>
      </x:c>
      <x:c r="K5718" s="2" t="n">
        <x:v>2</x:v>
      </x:c>
      <x:c r="L5718" s="2" t="str">
        <x:v>Hibernating</x:v>
      </x:c>
    </x:row>
    <x:row r="5719" ht="22" customHeight="1">
      <x:c r="A5719" s="2"/>
      <x:c r="B5719" s="2" t="str">
        <x:v>18090</x:v>
      </x:c>
      <x:c r="C5719" s="2" t="str">
        <x:v>United Kingdom</x:v>
      </x:c>
      <x:c r="D5719" s="25" t="n">
        <x:v>40465.313888888886</x:v>
      </x:c>
      <x:c r="E5719" s="25" t="n">
        <x:v>40465.313888888886</x:v>
      </x:c>
      <x:c r="F5719" s="2" t="n">
        <x:v>422</x:v>
      </x:c>
      <x:c r="G5719" s="2" t="n">
        <x:v>1</x:v>
      </x:c>
      <x:c r="H5719" s="11" t="n">
        <x:v>349.4</x:v>
      </x:c>
      <x:c r="I5719" s="2" t="n">
        <x:v>1</x:v>
      </x:c>
      <x:c r="J5719" s="2" t="n">
        <x:v>1</x:v>
      </x:c>
      <x:c r="K5719" s="2" t="n">
        <x:v>2</x:v>
      </x:c>
      <x:c r="L5719" s="2" t="str">
        <x:v>Hibernating</x:v>
      </x:c>
    </x:row>
    <x:row r="5720" ht="22" customHeight="1">
      <x:c r="A5720" s="2"/>
      <x:c r="B5720" s="2" t="str">
        <x:v>18091</x:v>
      </x:c>
      <x:c r="C5720" s="2" t="str">
        <x:v>United Kingdom</x:v>
      </x:c>
      <x:c r="D5720" s="25" t="n">
        <x:v>40293.34583333333</x:v>
      </x:c>
      <x:c r="E5720" s="25" t="n">
        <x:v>40293.34583333333</x:v>
      </x:c>
      <x:c r="F5720" s="2" t="n">
        <x:v>594</x:v>
      </x:c>
      <x:c r="G5720" s="2" t="n">
        <x:v>1</x:v>
      </x:c>
      <x:c r="H5720" s="11" t="n">
        <x:v>360.85</x:v>
      </x:c>
      <x:c r="I5720" s="2" t="n">
        <x:v>1</x:v>
      </x:c>
      <x:c r="J5720" s="2" t="n">
        <x:v>1</x:v>
      </x:c>
      <x:c r="K5720" s="2" t="n">
        <x:v>2</x:v>
      </x:c>
      <x:c r="L5720" s="2" t="str">
        <x:v>Hibernating</x:v>
      </x:c>
    </x:row>
    <x:row r="5721" ht="22" customHeight="1">
      <x:c r="A5721" s="2"/>
      <x:c r="B5721" s="2" t="str">
        <x:v>18092</x:v>
      </x:c>
      <x:c r="C5721" s="2" t="str">
        <x:v>United Kingdom</x:v>
      </x:c>
      <x:c r="D5721" s="25" t="n">
        <x:v>40151.31736111111</x:v>
      </x:c>
      <x:c r="E5721" s="25" t="n">
        <x:v>40884.34305555555</x:v>
      </x:c>
      <x:c r="F5721" s="2" t="n">
        <x:v>3</x:v>
      </x:c>
      <x:c r="G5721" s="2" t="n">
        <x:v>18</x:v>
      </x:c>
      <x:c r="H5721" s="11" t="n">
        <x:v>14693.72</x:v>
      </x:c>
      <x:c r="I5721" s="2" t="n">
        <x:v>5</x:v>
      </x:c>
      <x:c r="J5721" s="2" t="n">
        <x:v>5</x:v>
      </x:c>
      <x:c r="K5721" s="2" t="n">
        <x:v>5</x:v>
      </x:c>
      <x:c r="L5721" s="2" t="str">
        <x:v>Champions</x:v>
      </x:c>
    </x:row>
    <x:row r="5722" ht="22" customHeight="1">
      <x:c r="A5722" s="2"/>
      <x:c r="B5722" s="2" t="str">
        <x:v>18093</x:v>
      </x:c>
      <x:c r="C5722" s="2" t="str">
        <x:v>United Kingdom</x:v>
      </x:c>
      <x:c r="D5722" s="25" t="n">
        <x:v>40268.22708333333</x:v>
      </x:c>
      <x:c r="E5722" s="25" t="n">
        <x:v>40793.44652777778</x:v>
      </x:c>
      <x:c r="F5722" s="2" t="n">
        <x:v>94</x:v>
      </x:c>
      <x:c r="G5722" s="2" t="n">
        <x:v>8</x:v>
      </x:c>
      <x:c r="H5722" s="11" t="n">
        <x:v>4452.71</x:v>
      </x:c>
      <x:c r="I5722" s="2" t="n">
        <x:v>3</x:v>
      </x:c>
      <x:c r="J5722" s="2" t="n">
        <x:v>4</x:v>
      </x:c>
      <x:c r="K5722" s="2" t="n">
        <x:v>5</x:v>
      </x:c>
      <x:c r="L5722" s="2" t="str">
        <x:v>Loyal</x:v>
      </x:c>
    </x:row>
    <x:row r="5723" ht="22" customHeight="1">
      <x:c r="A5723" s="2"/>
      <x:c r="B5723" s="2" t="str">
        <x:v>18094</x:v>
      </x:c>
      <x:c r="C5723" s="2" t="str">
        <x:v>United Kingdom</x:v>
      </x:c>
      <x:c r="D5723" s="25" t="n">
        <x:v>40185.26111111111</x:v>
      </x:c>
      <x:c r="E5723" s="25" t="n">
        <x:v>40805.186111111114</x:v>
      </x:c>
      <x:c r="F5723" s="2" t="n">
        <x:v>82</x:v>
      </x:c>
      <x:c r="G5723" s="2" t="n">
        <x:v>13</x:v>
      </x:c>
      <x:c r="H5723" s="11" t="n">
        <x:v>6391.52</x:v>
      </x:c>
      <x:c r="I5723" s="2" t="n">
        <x:v>3</x:v>
      </x:c>
      <x:c r="J5723" s="2" t="n">
        <x:v>5</x:v>
      </x:c>
      <x:c r="K5723" s="2" t="n">
        <x:v>5</x:v>
      </x:c>
      <x:c r="L5723" s="2" t="str">
        <x:v>Loyal</x:v>
      </x:c>
    </x:row>
    <x:row r="5724" ht="22" customHeight="1">
      <x:c r="A5724" s="2"/>
      <x:c r="B5724" s="2" t="str">
        <x:v>18095</x:v>
      </x:c>
      <x:c r="C5724" s="2" t="str">
        <x:v>United Kingdom</x:v>
      </x:c>
      <x:c r="D5724" s="25" t="n">
        <x:v>40287.38125</x:v>
      </x:c>
      <x:c r="E5724" s="25" t="n">
        <x:v>40574.32638888889</x:v>
      </x:c>
      <x:c r="F5724" s="2" t="n">
        <x:v>313</x:v>
      </x:c>
      <x:c r="G5724" s="2" t="n">
        <x:v>5</x:v>
      </x:c>
      <x:c r="H5724" s="11" t="n">
        <x:v>2303.09</x:v>
      </x:c>
      <x:c r="I5724" s="2" t="n">
        <x:v>2</x:v>
      </x:c>
      <x:c r="J5724" s="2" t="n">
        <x:v>4</x:v>
      </x:c>
      <x:c r="K5724" s="2" t="n">
        <x:v>4</x:v>
      </x:c>
      <x:c r="L5724" s="2" t="str">
        <x:v>At risk</x:v>
      </x:c>
    </x:row>
    <x:row r="5725" ht="22" customHeight="1">
      <x:c r="A5725" s="2"/>
      <x:c r="B5725" s="2" t="str">
        <x:v>18096</x:v>
      </x:c>
      <x:c r="C5725" s="2" t="str">
        <x:v>United Kingdom</x:v>
      </x:c>
      <x:c r="D5725" s="25" t="n">
        <x:v>40373.395833333336</x:v>
      </x:c>
      <x:c r="E5725" s="25" t="n">
        <x:v>40875.322222222225</x:v>
      </x:c>
      <x:c r="F5725" s="2" t="n">
        <x:v>12</x:v>
      </x:c>
      <x:c r="G5725" s="2" t="n">
        <x:v>6</x:v>
      </x:c>
      <x:c r="H5725" s="11" t="n">
        <x:v>1805.28</x:v>
      </x:c>
      <x:c r="I5725" s="2" t="n">
        <x:v>5</x:v>
      </x:c>
      <x:c r="J5725" s="2" t="n">
        <x:v>4</x:v>
      </x:c>
      <x:c r="K5725" s="2" t="n">
        <x:v>4</x:v>
      </x:c>
      <x:c r="L5725" s="2" t="str">
        <x:v>Champions</x:v>
      </x:c>
    </x:row>
    <x:row r="5726" ht="22" customHeight="1">
      <x:c r="A5726" s="2"/>
      <x:c r="B5726" s="2" t="str">
        <x:v>18097</x:v>
      </x:c>
      <x:c r="C5726" s="2" t="str">
        <x:v>United Kingdom</x:v>
      </x:c>
      <x:c r="D5726" s="25" t="n">
        <x:v>40164.254166666666</x:v>
      </x:c>
      <x:c r="E5726" s="25" t="n">
        <x:v>40879.26111111111</x:v>
      </x:c>
      <x:c r="F5726" s="2" t="n">
        <x:v>8</x:v>
      </x:c>
      <x:c r="G5726" s="2" t="n">
        <x:v>11</x:v>
      </x:c>
      <x:c r="H5726" s="11" t="n">
        <x:v>4663.32</x:v>
      </x:c>
      <x:c r="I5726" s="2" t="n">
        <x:v>5</x:v>
      </x:c>
      <x:c r="J5726" s="2" t="n">
        <x:v>5</x:v>
      </x:c>
      <x:c r="K5726" s="2" t="n">
        <x:v>5</x:v>
      </x:c>
      <x:c r="L5726" s="2" t="str">
        <x:v>Champions</x:v>
      </x:c>
    </x:row>
    <x:row r="5727" ht="22" customHeight="1">
      <x:c r="A5727" s="2"/>
      <x:c r="B5727" s="2" t="str">
        <x:v>18098</x:v>
      </x:c>
      <x:c r="C5727" s="2" t="str">
        <x:v>United Kingdom</x:v>
      </x:c>
      <x:c r="D5727" s="25" t="n">
        <x:v>40490.47986111111</x:v>
      </x:c>
      <x:c r="E5727" s="25" t="n">
        <x:v>40490.47986111111</x:v>
      </x:c>
      <x:c r="F5727" s="2" t="n">
        <x:v>397</x:v>
      </x:c>
      <x:c r="G5727" s="2" t="n">
        <x:v>1</x:v>
      </x:c>
      <x:c r="H5727" s="11" t="n">
        <x:v>550.84</x:v>
      </x:c>
      <x:c r="I5727" s="2" t="n">
        <x:v>2</x:v>
      </x:c>
      <x:c r="J5727" s="2" t="n">
        <x:v>1</x:v>
      </x:c>
      <x:c r="K5727" s="2" t="n">
        <x:v>2</x:v>
      </x:c>
      <x:c r="L5727" s="2" t="str">
        <x:v>Hibernating</x:v>
      </x:c>
    </x:row>
    <x:row r="5728" ht="22" customHeight="1">
      <x:c r="A5728" s="2"/>
      <x:c r="B5728" s="2" t="str">
        <x:v>18099</x:v>
      </x:c>
      <x:c r="C5728" s="2" t="str">
        <x:v>United Kingdom</x:v>
      </x:c>
      <x:c r="D5728" s="25" t="n">
        <x:v>40759.45277777778</x:v>
      </x:c>
      <x:c r="E5728" s="25" t="n">
        <x:v>40759.45277777778</x:v>
      </x:c>
      <x:c r="F5728" s="2" t="n">
        <x:v>128</x:v>
      </x:c>
      <x:c r="G5728" s="2" t="n">
        <x:v>1</x:v>
      </x:c>
      <x:c r="H5728" s="11" t="n">
        <x:v>168.31</x:v>
      </x:c>
      <x:c r="I5728" s="2" t="n">
        <x:v>3</x:v>
      </x:c>
      <x:c r="J5728" s="2" t="n">
        <x:v>1</x:v>
      </x:c>
      <x:c r="K5728" s="2" t="n">
        <x:v>1</x:v>
      </x:c>
      <x:c r="L5728" s="2" t="str">
        <x:v>Developing</x:v>
      </x:c>
    </x:row>
    <x:row r="5729" ht="22" customHeight="1">
      <x:c r="A5729" s="2"/>
      <x:c r="B5729" s="2" t="str">
        <x:v>18100</x:v>
      </x:c>
      <x:c r="C5729" s="2" t="str">
        <x:v>United Kingdom</x:v>
      </x:c>
      <x:c r="D5729" s="25" t="n">
        <x:v>40336.388194444444</x:v>
      </x:c>
      <x:c r="E5729" s="25" t="n">
        <x:v>40336.388194444444</x:v>
      </x:c>
      <x:c r="F5729" s="2" t="n">
        <x:v>551</x:v>
      </x:c>
      <x:c r="G5729" s="2" t="n">
        <x:v>1</x:v>
      </x:c>
      <x:c r="H5729" s="11" t="n">
        <x:v>451.56</x:v>
      </x:c>
      <x:c r="I5729" s="2" t="n">
        <x:v>1</x:v>
      </x:c>
      <x:c r="J5729" s="2" t="n">
        <x:v>1</x:v>
      </x:c>
      <x:c r="K5729" s="2" t="n">
        <x:v>2</x:v>
      </x:c>
      <x:c r="L5729" s="2" t="str">
        <x:v>Hibernating</x:v>
      </x:c>
    </x:row>
    <x:row r="5730" ht="22" customHeight="1">
      <x:c r="A5730" s="2"/>
      <x:c r="B5730" s="2" t="str">
        <x:v>18101</x:v>
      </x:c>
      <x:c r="C5730" s="2" t="str">
        <x:v>United Kingdom</x:v>
      </x:c>
      <x:c r="D5730" s="25" t="n">
        <x:v>40212.36944444444</x:v>
      </x:c>
      <x:c r="E5730" s="25" t="n">
        <x:v>40875.35902777778</x:v>
      </x:c>
      <x:c r="F5730" s="2" t="n">
        <x:v>12</x:v>
      </x:c>
      <x:c r="G5730" s="2" t="n">
        <x:v>5</x:v>
      </x:c>
      <x:c r="H5730" s="11" t="n">
        <x:v>629.16</x:v>
      </x:c>
      <x:c r="I5730" s="2" t="n">
        <x:v>5</x:v>
      </x:c>
      <x:c r="J5730" s="2" t="n">
        <x:v>4</x:v>
      </x:c>
      <x:c r="K5730" s="2" t="n">
        <x:v>3</x:v>
      </x:c>
      <x:c r="L5730" s="2" t="str">
        <x:v>Loyal</x:v>
      </x:c>
    </x:row>
    <x:row r="5731" ht="22" customHeight="1">
      <x:c r="A5731" s="2"/>
      <x:c r="B5731" s="2" t="str">
        <x:v>18102</x:v>
      </x:c>
      <x:c r="C5731" s="2" t="str">
        <x:v>United Kingdom</x:v>
      </x:c>
      <x:c r="D5731" s="25" t="n">
        <x:v>40148.183333333334</x:v>
      </x:c>
      <x:c r="E5731" s="25" t="n">
        <x:v>40886.28472222222</x:v>
      </x:c>
      <x:c r="F5731" s="2" t="n">
        <x:v>1</x:v>
      </x:c>
      <x:c r="G5731" s="2" t="n">
        <x:v>145</x:v>
      </x:c>
      <x:c r="H5731" s="11" t="n">
        <x:v>580987.04</x:v>
      </x:c>
      <x:c r="I5731" s="2" t="n">
        <x:v>5</x:v>
      </x:c>
      <x:c r="J5731" s="2" t="n">
        <x:v>5</x:v>
      </x:c>
      <x:c r="K5731" s="2" t="n">
        <x:v>5</x:v>
      </x:c>
      <x:c r="L5731" s="2" t="str">
        <x:v>Champions</x:v>
      </x:c>
    </x:row>
    <x:row r="5732" ht="22" customHeight="1">
      <x:c r="A5732" s="2"/>
      <x:c r="B5732" s="2" t="str">
        <x:v>18103</x:v>
      </x:c>
      <x:c r="C5732" s="2" t="str">
        <x:v>United Kingdom</x:v>
      </x:c>
      <x:c r="D5732" s="25" t="n">
        <x:v>40337.35833333333</x:v>
      </x:c>
      <x:c r="E5732" s="25" t="n">
        <x:v>40337.35833333333</x:v>
      </x:c>
      <x:c r="F5732" s="2" t="n">
        <x:v>550</x:v>
      </x:c>
      <x:c r="G5732" s="2" t="n">
        <x:v>1</x:v>
      </x:c>
      <x:c r="H5732" s="11" t="n">
        <x:v>105.8</x:v>
      </x:c>
      <x:c r="I5732" s="2" t="n">
        <x:v>1</x:v>
      </x:c>
      <x:c r="J5732" s="2" t="n">
        <x:v>1</x:v>
      </x:c>
      <x:c r="K5732" s="2" t="n">
        <x:v>1</x:v>
      </x:c>
      <x:c r="L5732" s="2" t="str">
        <x:v>Hibernating</x:v>
      </x:c>
    </x:row>
    <x:row r="5733" ht="22" customHeight="1">
      <x:c r="A5733" s="2"/>
      <x:c r="B5733" s="2" t="str">
        <x:v>18104</x:v>
      </x:c>
      <x:c r="C5733" s="2" t="str">
        <x:v>United Kingdom</x:v>
      </x:c>
      <x:c r="D5733" s="25" t="n">
        <x:v>40849.37986111111</x:v>
      </x:c>
      <x:c r="E5733" s="25" t="n">
        <x:v>40849.37986111111</x:v>
      </x:c>
      <x:c r="F5733" s="2" t="n">
        <x:v>38</x:v>
      </x:c>
      <x:c r="G5733" s="2" t="n">
        <x:v>1</x:v>
      </x:c>
      <x:c r="H5733" s="11" t="n">
        <x:v>754.64</x:v>
      </x:c>
      <x:c r="I5733" s="2" t="n">
        <x:v>4</x:v>
      </x:c>
      <x:c r="J5733" s="2" t="n">
        <x:v>1</x:v>
      </x:c>
      <x:c r="K5733" s="2" t="n">
        <x:v>3</x:v>
      </x:c>
      <x:c r="L5733" s="2" t="str">
        <x:v>Recent light buyers</x:v>
      </x:c>
    </x:row>
    <x:row r="5734" ht="22" customHeight="1">
      <x:c r="A5734" s="2"/>
      <x:c r="B5734" s="2" t="str">
        <x:v>18105</x:v>
      </x:c>
      <x:c r="C5734" s="2" t="str">
        <x:v>United Kingdom</x:v>
      </x:c>
      <x:c r="D5734" s="25" t="n">
        <x:v>40849.294444444444</x:v>
      </x:c>
      <x:c r="E5734" s="25" t="n">
        <x:v>40849.294444444444</x:v>
      </x:c>
      <x:c r="F5734" s="2" t="n">
        <x:v>38</x:v>
      </x:c>
      <x:c r="G5734" s="2" t="n">
        <x:v>1</x:v>
      </x:c>
      <x:c r="H5734" s="11" t="n">
        <x:v>113.48</x:v>
      </x:c>
      <x:c r="I5734" s="2" t="n">
        <x:v>4</x:v>
      </x:c>
      <x:c r="J5734" s="2" t="n">
        <x:v>1</x:v>
      </x:c>
      <x:c r="K5734" s="2" t="n">
        <x:v>1</x:v>
      </x:c>
      <x:c r="L5734" s="2" t="str">
        <x:v>Recent light buyers</x:v>
      </x:c>
    </x:row>
    <x:row r="5735" ht="22" customHeight="1">
      <x:c r="A5735" s="2"/>
      <x:c r="B5735" s="2" t="str">
        <x:v>18106</x:v>
      </x:c>
      <x:c r="C5735" s="2" t="str">
        <x:v>United Kingdom</x:v>
      </x:c>
      <x:c r="D5735" s="25" t="n">
        <x:v>40193.275</x:v>
      </x:c>
      <x:c r="E5735" s="25" t="n">
        <x:v>40557.30763888889</x:v>
      </x:c>
      <x:c r="F5735" s="2" t="n">
        <x:v>330</x:v>
      </x:c>
      <x:c r="G5735" s="2" t="n">
        <x:v>6</x:v>
      </x:c>
      <x:c r="H5735" s="11" t="n">
        <x:v>1461.46</x:v>
      </x:c>
      <x:c r="I5735" s="2" t="n">
        <x:v>2</x:v>
      </x:c>
      <x:c r="J5735" s="2" t="n">
        <x:v>4</x:v>
      </x:c>
      <x:c r="K5735" s="2" t="n">
        <x:v>4</x:v>
      </x:c>
      <x:c r="L5735" s="2" t="str">
        <x:v>At risk</x:v>
      </x:c>
    </x:row>
    <x:row r="5736" ht="22" customHeight="1">
      <x:c r="A5736" s="2"/>
      <x:c r="B5736" s="2" t="str">
        <x:v>18107</x:v>
      </x:c>
      <x:c r="C5736" s="2" t="str">
        <x:v>United Kingdom</x:v>
      </x:c>
      <x:c r="D5736" s="25" t="n">
        <x:v>40444.33541666667</x:v>
      </x:c>
      <x:c r="E5736" s="25" t="n">
        <x:v>40444.33541666667</x:v>
      </x:c>
      <x:c r="F5736" s="2" t="n">
        <x:v>443</x:v>
      </x:c>
      <x:c r="G5736" s="2" t="n">
        <x:v>1</x:v>
      </x:c>
      <x:c r="H5736" s="11" t="n">
        <x:v>167.13</x:v>
      </x:c>
      <x:c r="I5736" s="2" t="n">
        <x:v>1</x:v>
      </x:c>
      <x:c r="J5736" s="2" t="n">
        <x:v>1</x:v>
      </x:c>
      <x:c r="K5736" s="2" t="n">
        <x:v>1</x:v>
      </x:c>
      <x:c r="L5736" s="2" t="str">
        <x:v>Hibernating</x:v>
      </x:c>
    </x:row>
    <x:row r="5737" ht="22" customHeight="1">
      <x:c r="A5737" s="2"/>
      <x:c r="B5737" s="2" t="str">
        <x:v>18108</x:v>
      </x:c>
      <x:c r="C5737" s="2" t="str">
        <x:v>United Kingdom</x:v>
      </x:c>
      <x:c r="D5737" s="25" t="n">
        <x:v>40149.32430555556</x:v>
      </x:c>
      <x:c r="E5737" s="25" t="n">
        <x:v>40632.37222222222</x:v>
      </x:c>
      <x:c r="F5737" s="2" t="n">
        <x:v>255</x:v>
      </x:c>
      <x:c r="G5737" s="2" t="n">
        <x:v>3</x:v>
      </x:c>
      <x:c r="H5737" s="11" t="n">
        <x:v>848.81</x:v>
      </x:c>
      <x:c r="I5737" s="2" t="n">
        <x:v>2</x:v>
      </x:c>
      <x:c r="J5737" s="2" t="n">
        <x:v>3</x:v>
      </x:c>
      <x:c r="K5737" s="2" t="n">
        <x:v>3</x:v>
      </x:c>
      <x:c r="L5737" s="2" t="str">
        <x:v>At risk</x:v>
      </x:c>
    </x:row>
    <x:row r="5738" ht="22" customHeight="1">
      <x:c r="A5738" s="2"/>
      <x:c r="B5738" s="2" t="str">
        <x:v>18109</x:v>
      </x:c>
      <x:c r="C5738" s="2" t="str">
        <x:v>United Kingdom</x:v>
      </x:c>
      <x:c r="D5738" s="25" t="n">
        <x:v>40360.30069444444</x:v>
      </x:c>
      <x:c r="E5738" s="25" t="n">
        <x:v>40885.275</x:v>
      </x:c>
      <x:c r="F5738" s="2" t="n">
        <x:v>2</x:v>
      </x:c>
      <x:c r="G5738" s="2" t="n">
        <x:v>38</x:v>
      </x:c>
      <x:c r="H5738" s="11" t="n">
        <x:v>9616.51</x:v>
      </x:c>
      <x:c r="I5738" s="2" t="n">
        <x:v>5</x:v>
      </x:c>
      <x:c r="J5738" s="2" t="n">
        <x:v>5</x:v>
      </x:c>
      <x:c r="K5738" s="2" t="n">
        <x:v>5</x:v>
      </x:c>
      <x:c r="L5738" s="2" t="str">
        <x:v>Champions</x:v>
      </x:c>
    </x:row>
    <x:row r="5739" ht="22" customHeight="1">
      <x:c r="A5739" s="2"/>
      <x:c r="B5739" s="2" t="str">
        <x:v>18110</x:v>
      </x:c>
      <x:c r="C5739" s="2" t="str">
        <x:v>United Kingdom</x:v>
      </x:c>
      <x:c r="D5739" s="25" t="n">
        <x:v>40475.38958333333</x:v>
      </x:c>
      <x:c r="E5739" s="25" t="n">
        <x:v>40867.31527777778</x:v>
      </x:c>
      <x:c r="F5739" s="2" t="n">
        <x:v>20</x:v>
      </x:c>
      <x:c r="G5739" s="2" t="n">
        <x:v>2</x:v>
      </x:c>
      <x:c r="H5739" s="11" t="n">
        <x:v>435.43</x:v>
      </x:c>
      <x:c r="I5739" s="2" t="n">
        <x:v>5</x:v>
      </x:c>
      <x:c r="J5739" s="2" t="n">
        <x:v>2</x:v>
      </x:c>
      <x:c r="K5739" s="2" t="n">
        <x:v>2</x:v>
      </x:c>
      <x:c r="L5739" s="2" t="str">
        <x:v>Recent light buyers</x:v>
      </x:c>
    </x:row>
    <x:row r="5740" ht="22" customHeight="1">
      <x:c r="A5740" s="2"/>
      <x:c r="B5740" s="2" t="str">
        <x:v>18111</x:v>
      </x:c>
      <x:c r="C5740" s="2" t="str">
        <x:v>United Kingdom</x:v>
      </x:c>
      <x:c r="D5740" s="25" t="n">
        <x:v>40297.33194444444</x:v>
      </x:c>
      <x:c r="E5740" s="25" t="n">
        <x:v>40297.33194444444</x:v>
      </x:c>
      <x:c r="F5740" s="2" t="n">
        <x:v>590</x:v>
      </x:c>
      <x:c r="G5740" s="2" t="n">
        <x:v>1</x:v>
      </x:c>
      <x:c r="H5740" s="11" t="n">
        <x:v>405.85</x:v>
      </x:c>
      <x:c r="I5740" s="2" t="n">
        <x:v>1</x:v>
      </x:c>
      <x:c r="J5740" s="2" t="n">
        <x:v>1</x:v>
      </x:c>
      <x:c r="K5740" s="2" t="n">
        <x:v>2</x:v>
      </x:c>
      <x:c r="L5740" s="2" t="str">
        <x:v>Hibernating</x:v>
      </x:c>
    </x:row>
    <x:row r="5741" ht="22" customHeight="1">
      <x:c r="A5741" s="2"/>
      <x:c r="B5741" s="2" t="str">
        <x:v>18112</x:v>
      </x:c>
      <x:c r="C5741" s="2" t="str">
        <x:v>United Kingdom</x:v>
      </x:c>
      <x:c r="D5741" s="25" t="n">
        <x:v>40335.319444444445</x:v>
      </x:c>
      <x:c r="E5741" s="25" t="n">
        <x:v>40874.404861111114</x:v>
      </x:c>
      <x:c r="F5741" s="2" t="n">
        <x:v>13</x:v>
      </x:c>
      <x:c r="G5741" s="2" t="n">
        <x:v>4</x:v>
      </x:c>
      <x:c r="H5741" s="11" t="n">
        <x:v>775.96</x:v>
      </x:c>
      <x:c r="I5741" s="2" t="n">
        <x:v>5</x:v>
      </x:c>
      <x:c r="J5741" s="2" t="n">
        <x:v>3</x:v>
      </x:c>
      <x:c r="K5741" s="2" t="n">
        <x:v>3</x:v>
      </x:c>
      <x:c r="L5741" s="2" t="str">
        <x:v>Loyal</x:v>
      </x:c>
    </x:row>
    <x:row r="5742" ht="22" customHeight="1">
      <x:c r="A5742" s="2"/>
      <x:c r="B5742" s="2" t="str">
        <x:v>18113</x:v>
      </x:c>
      <x:c r="C5742" s="2" t="str">
        <x:v>United Kingdom</x:v>
      </x:c>
      <x:c r="D5742" s="25" t="n">
        <x:v>40518.31319444445</x:v>
      </x:c>
      <x:c r="E5742" s="25" t="n">
        <x:v>40518.31319444445</x:v>
      </x:c>
      <x:c r="F5742" s="2" t="n">
        <x:v>369</x:v>
      </x:c>
      <x:c r="G5742" s="2" t="n">
        <x:v>1</x:v>
      </x:c>
      <x:c r="H5742" s="11" t="n">
        <x:v>76.32</x:v>
      </x:c>
      <x:c r="I5742" s="2" t="n">
        <x:v>2</x:v>
      </x:c>
      <x:c r="J5742" s="2" t="n">
        <x:v>1</x:v>
      </x:c>
      <x:c r="K5742" s="2" t="n">
        <x:v>1</x:v>
      </x:c>
      <x:c r="L5742" s="2" t="str">
        <x:v>Hibernating</x:v>
      </x:c>
    </x:row>
    <x:row r="5743" ht="22" customHeight="1">
      <x:c r="A5743" s="2"/>
      <x:c r="B5743" s="2" t="str">
        <x:v>18114</x:v>
      </x:c>
      <x:c r="C5743" s="2" t="str">
        <x:v>United Kingdom</x:v>
      </x:c>
      <x:c r="D5743" s="25" t="n">
        <x:v>40596.34722222222</x:v>
      </x:c>
      <x:c r="E5743" s="25" t="n">
        <x:v>40596.34722222222</x:v>
      </x:c>
      <x:c r="F5743" s="2" t="n">
        <x:v>291</x:v>
      </x:c>
      <x:c r="G5743" s="2" t="n">
        <x:v>1</x:v>
      </x:c>
      <x:c r="H5743" s="11" t="n">
        <x:v>220.1</x:v>
      </x:c>
      <x:c r="I5743" s="2" t="n">
        <x:v>2</x:v>
      </x:c>
      <x:c r="J5743" s="2" t="n">
        <x:v>1</x:v>
      </x:c>
      <x:c r="K5743" s="2" t="n">
        <x:v>1</x:v>
      </x:c>
      <x:c r="L5743" s="2" t="str">
        <x:v>Hibernating</x:v>
      </x:c>
    </x:row>
    <x:row r="5744" ht="22" customHeight="1">
      <x:c r="A5744" s="2"/>
      <x:c r="B5744" s="2" t="str">
        <x:v>18115</x:v>
      </x:c>
      <x:c r="C5744" s="2" t="str">
        <x:v>United Kingdom</x:v>
      </x:c>
      <x:c r="D5744" s="25" t="n">
        <x:v>40189.28958333333</x:v>
      </x:c>
      <x:c r="E5744" s="25" t="n">
        <x:v>40189.28958333333</x:v>
      </x:c>
      <x:c r="F5744" s="2" t="n">
        <x:v>698</x:v>
      </x:c>
      <x:c r="G5744" s="2" t="n">
        <x:v>1</x:v>
      </x:c>
      <x:c r="H5744" s="11" t="n">
        <x:v>9.7</x:v>
      </x:c>
      <x:c r="I5744" s="2" t="n">
        <x:v>1</x:v>
      </x:c>
      <x:c r="J5744" s="2" t="n">
        <x:v>1</x:v>
      </x:c>
      <x:c r="K5744" s="2" t="n">
        <x:v>1</x:v>
      </x:c>
      <x:c r="L5744" s="2" t="str">
        <x:v>Hibernating</x:v>
      </x:c>
    </x:row>
    <x:row r="5745" ht="22" customHeight="1">
      <x:c r="A5745" s="2"/>
      <x:c r="B5745" s="2" t="str">
        <x:v>18116</x:v>
      </x:c>
      <x:c r="C5745" s="2" t="str">
        <x:v>United Kingdom</x:v>
      </x:c>
      <x:c r="D5745" s="25" t="n">
        <x:v>40475.43680555555</x:v>
      </x:c>
      <x:c r="E5745" s="25" t="n">
        <x:v>40819.25</x:v>
      </x:c>
      <x:c r="F5745" s="2" t="n">
        <x:v>68</x:v>
      </x:c>
      <x:c r="G5745" s="2" t="n">
        <x:v>13</x:v>
      </x:c>
      <x:c r="H5745" s="11" t="n">
        <x:v>2154.3</x:v>
      </x:c>
      <x:c r="I5745" s="2" t="n">
        <x:v>3</x:v>
      </x:c>
      <x:c r="J5745" s="2" t="n">
        <x:v>5</x:v>
      </x:c>
      <x:c r="K5745" s="2" t="n">
        <x:v>4</x:v>
      </x:c>
      <x:c r="L5745" s="2" t="str">
        <x:v>Loyal</x:v>
      </x:c>
    </x:row>
    <x:row r="5746" ht="22" customHeight="1">
      <x:c r="A5746" s="2"/>
      <x:c r="B5746" s="2" t="str">
        <x:v>18117</x:v>
      </x:c>
      <x:c r="C5746" s="2" t="str">
        <x:v>United Kingdom</x:v>
      </x:c>
      <x:c r="D5746" s="25" t="n">
        <x:v>40861.32430555556</x:v>
      </x:c>
      <x:c r="E5746" s="25" t="n">
        <x:v>40861.32430555556</x:v>
      </x:c>
      <x:c r="F5746" s="2" t="n">
        <x:v>26</x:v>
      </x:c>
      <x:c r="G5746" s="2" t="n">
        <x:v>1</x:v>
      </x:c>
      <x:c r="H5746" s="11" t="n">
        <x:v>320.72</x:v>
      </x:c>
      <x:c r="I5746" s="2" t="n">
        <x:v>4</x:v>
      </x:c>
      <x:c r="J5746" s="2" t="n">
        <x:v>1</x:v>
      </x:c>
      <x:c r="K5746" s="2" t="n">
        <x:v>2</x:v>
      </x:c>
      <x:c r="L5746" s="2" t="str">
        <x:v>Recent light buyers</x:v>
      </x:c>
    </x:row>
    <x:row r="5747" ht="22" customHeight="1">
      <x:c r="A5747" s="2"/>
      <x:c r="B5747" s="2" t="str">
        <x:v>18118</x:v>
      </x:c>
      <x:c r="C5747" s="2" t="str">
        <x:v>United Kingdom</x:v>
      </x:c>
      <x:c r="D5747" s="25" t="n">
        <x:v>40505.35833333333</x:v>
      </x:c>
      <x:c r="E5747" s="25" t="n">
        <x:v>40876.27222222222</x:v>
      </x:c>
      <x:c r="F5747" s="2" t="n">
        <x:v>11</x:v>
      </x:c>
      <x:c r="G5747" s="2" t="n">
        <x:v>29</x:v>
      </x:c>
      <x:c r="H5747" s="11" t="n">
        <x:v>6257.36</x:v>
      </x:c>
      <x:c r="I5747" s="2" t="n">
        <x:v>5</x:v>
      </x:c>
      <x:c r="J5747" s="2" t="n">
        <x:v>5</x:v>
      </x:c>
      <x:c r="K5747" s="2" t="n">
        <x:v>5</x:v>
      </x:c>
      <x:c r="L5747" s="2" t="str">
        <x:v>Champions</x:v>
      </x:c>
    </x:row>
    <x:row r="5748" ht="22" customHeight="1">
      <x:c r="A5748" s="2"/>
      <x:c r="B5748" s="2" t="str">
        <x:v>18119</x:v>
      </x:c>
      <x:c r="C5748" s="2" t="str">
        <x:v>United Kingdom</x:v>
      </x:c>
      <x:c r="D5748" s="25" t="n">
        <x:v>40519.290972222225</x:v>
      </x:c>
      <x:c r="E5748" s="25" t="n">
        <x:v>40519.290972222225</x:v>
      </x:c>
      <x:c r="F5748" s="2" t="n">
        <x:v>368</x:v>
      </x:c>
      <x:c r="G5748" s="2" t="n">
        <x:v>1</x:v>
      </x:c>
      <x:c r="H5748" s="11" t="n">
        <x:v>181.12</x:v>
      </x:c>
      <x:c r="I5748" s="2" t="n">
        <x:v>2</x:v>
      </x:c>
      <x:c r="J5748" s="2" t="n">
        <x:v>1</x:v>
      </x:c>
      <x:c r="K5748" s="2" t="n">
        <x:v>1</x:v>
      </x:c>
      <x:c r="L5748" s="2" t="str">
        <x:v>Hibernating</x:v>
      </x:c>
    </x:row>
    <x:row r="5749" ht="22" customHeight="1">
      <x:c r="A5749" s="2"/>
      <x:c r="B5749" s="2" t="str">
        <x:v>18120</x:v>
      </x:c>
      <x:c r="C5749" s="2" t="str">
        <x:v>United Kingdom</x:v>
      </x:c>
      <x:c r="D5749" s="25" t="n">
        <x:v>40672.364583333336</x:v>
      </x:c>
      <x:c r="E5749" s="25" t="n">
        <x:v>40672.364583333336</x:v>
      </x:c>
      <x:c r="F5749" s="2" t="n">
        <x:v>215</x:v>
      </x:c>
      <x:c r="G5749" s="2" t="n">
        <x:v>1</x:v>
      </x:c>
      <x:c r="H5749" s="11" t="n">
        <x:v>111.15</x:v>
      </x:c>
      <x:c r="I5749" s="2" t="n">
        <x:v>2</x:v>
      </x:c>
      <x:c r="J5749" s="2" t="n">
        <x:v>1</x:v>
      </x:c>
      <x:c r="K5749" s="2" t="n">
        <x:v>1</x:v>
      </x:c>
      <x:c r="L5749" s="2" t="str">
        <x:v>Hibernating</x:v>
      </x:c>
    </x:row>
    <x:row r="5750" ht="22" customHeight="1">
      <x:c r="A5750" s="2"/>
      <x:c r="B5750" s="2" t="str">
        <x:v>18121</x:v>
      </x:c>
      <x:c r="C5750" s="2" t="str">
        <x:v>United Kingdom</x:v>
      </x:c>
      <x:c r="D5750" s="25" t="n">
        <x:v>40732.30138888889</x:v>
      </x:c>
      <x:c r="E5750" s="25" t="n">
        <x:v>40737.32847222222</x:v>
      </x:c>
      <x:c r="F5750" s="2" t="n">
        <x:v>150</x:v>
      </x:c>
      <x:c r="G5750" s="2" t="n">
        <x:v>2</x:v>
      </x:c>
      <x:c r="H5750" s="11" t="n">
        <x:v>673.1</x:v>
      </x:c>
      <x:c r="I5750" s="2" t="n">
        <x:v>3</x:v>
      </x:c>
      <x:c r="J5750" s="2" t="n">
        <x:v>2</x:v>
      </x:c>
      <x:c r="K5750" s="2" t="n">
        <x:v>3</x:v>
      </x:c>
      <x:c r="L5750" s="2" t="str">
        <x:v>Developing</x:v>
      </x:c>
    </x:row>
    <x:row r="5751" ht="22" customHeight="1">
      <x:c r="A5751" s="2"/>
      <x:c r="B5751" s="2" t="str">
        <x:v>18122</x:v>
      </x:c>
      <x:c r="C5751" s="2" t="str">
        <x:v>United Kingdom</x:v>
      </x:c>
      <x:c r="D5751" s="25" t="n">
        <x:v>40736.27569444444</x:v>
      </x:c>
      <x:c r="E5751" s="25" t="n">
        <x:v>40878.33888888889</x:v>
      </x:c>
      <x:c r="F5751" s="2" t="n">
        <x:v>9</x:v>
      </x:c>
      <x:c r="G5751" s="2" t="n">
        <x:v>6</x:v>
      </x:c>
      <x:c r="H5751" s="11" t="n">
        <x:v>1826.21</x:v>
      </x:c>
      <x:c r="I5751" s="2" t="n">
        <x:v>5</x:v>
      </x:c>
      <x:c r="J5751" s="2" t="n">
        <x:v>4</x:v>
      </x:c>
      <x:c r="K5751" s="2" t="n">
        <x:v>4</x:v>
      </x:c>
      <x:c r="L5751" s="2" t="str">
        <x:v>Champions</x:v>
      </x:c>
    </x:row>
    <x:row r="5752" ht="22" customHeight="1">
      <x:c r="A5752" s="2"/>
      <x:c r="B5752" s="2" t="str">
        <x:v>18123</x:v>
      </x:c>
      <x:c r="C5752" s="2" t="str">
        <x:v>United Kingdom</x:v>
      </x:c>
      <x:c r="D5752" s="25" t="n">
        <x:v>40373.32430555556</x:v>
      </x:c>
      <x:c r="E5752" s="25" t="n">
        <x:v>40862.39097222222</x:v>
      </x:c>
      <x:c r="F5752" s="2" t="n">
        <x:v>25</x:v>
      </x:c>
      <x:c r="G5752" s="2" t="n">
        <x:v>3</x:v>
      </x:c>
      <x:c r="H5752" s="11" t="n">
        <x:v>684.59</x:v>
      </x:c>
      <x:c r="I5752" s="2" t="n">
        <x:v>4</x:v>
      </x:c>
      <x:c r="J5752" s="2" t="n">
        <x:v>3</x:v>
      </x:c>
      <x:c r="K5752" s="2" t="n">
        <x:v>3</x:v>
      </x:c>
      <x:c r="L5752" s="2" t="str">
        <x:v>Loyal</x:v>
      </x:c>
    </x:row>
    <x:row r="5753" ht="22" customHeight="1">
      <x:c r="A5753" s="2"/>
      <x:c r="B5753" s="2" t="str">
        <x:v>18124</x:v>
      </x:c>
      <x:c r="C5753" s="2" t="str">
        <x:v>United Kingdom</x:v>
      </x:c>
      <x:c r="D5753" s="25" t="n">
        <x:v>40414.51458333333</x:v>
      </x:c>
      <x:c r="E5753" s="25" t="n">
        <x:v>40414.51458333333</x:v>
      </x:c>
      <x:c r="F5753" s="2" t="n">
        <x:v>473</x:v>
      </x:c>
      <x:c r="G5753" s="2" t="n">
        <x:v>1</x:v>
      </x:c>
      <x:c r="H5753" s="11" t="n">
        <x:v>111.53</x:v>
      </x:c>
      <x:c r="I5753" s="2" t="n">
        <x:v>1</x:v>
      </x:c>
      <x:c r="J5753" s="2" t="n">
        <x:v>1</x:v>
      </x:c>
      <x:c r="K5753" s="2" t="n">
        <x:v>1</x:v>
      </x:c>
      <x:c r="L5753" s="2" t="str">
        <x:v>Hibernating</x:v>
      </x:c>
    </x:row>
    <x:row r="5754" ht="22" customHeight="1">
      <x:c r="A5754" s="2"/>
      <x:c r="B5754" s="2" t="str">
        <x:v>18125</x:v>
      </x:c>
      <x:c r="C5754" s="2" t="str">
        <x:v>United Kingdom</x:v>
      </x:c>
      <x:c r="D5754" s="25" t="n">
        <x:v>40570.41805555556</x:v>
      </x:c>
      <x:c r="E5754" s="25" t="n">
        <x:v>40857.31180555555</x:v>
      </x:c>
      <x:c r="F5754" s="2" t="n">
        <x:v>30</x:v>
      </x:c>
      <x:c r="G5754" s="2" t="n">
        <x:v>4</x:v>
      </x:c>
      <x:c r="H5754" s="11" t="n">
        <x:v>1142.99</x:v>
      </x:c>
      <x:c r="I5754" s="2" t="n">
        <x:v>4</x:v>
      </x:c>
      <x:c r="J5754" s="2" t="n">
        <x:v>3</x:v>
      </x:c>
      <x:c r="K5754" s="2" t="n">
        <x:v>3</x:v>
      </x:c>
      <x:c r="L5754" s="2" t="str">
        <x:v>Loyal</x:v>
      </x:c>
    </x:row>
    <x:row r="5755" ht="22" customHeight="1">
      <x:c r="A5755" s="2"/>
      <x:c r="B5755" s="2" t="str">
        <x:v>18126</x:v>
      </x:c>
      <x:c r="C5755" s="2" t="str">
        <x:v>United Kingdom</x:v>
      </x:c>
      <x:c r="D5755" s="25" t="n">
        <x:v>40826.30486111111</x:v>
      </x:c>
      <x:c r="E5755" s="25" t="n">
        <x:v>40826.30486111111</x:v>
      </x:c>
      <x:c r="F5755" s="2" t="n">
        <x:v>61</x:v>
      </x:c>
      <x:c r="G5755" s="2" t="n">
        <x:v>1</x:v>
      </x:c>
      <x:c r="H5755" s="11" t="n">
        <x:v>206.83</x:v>
      </x:c>
      <x:c r="I5755" s="2" t="n">
        <x:v>3</x:v>
      </x:c>
      <x:c r="J5755" s="2" t="n">
        <x:v>1</x:v>
      </x:c>
      <x:c r="K5755" s="2" t="n">
        <x:v>1</x:v>
      </x:c>
      <x:c r="L5755" s="2" t="str">
        <x:v>Developing</x:v>
      </x:c>
    </x:row>
    <x:row r="5756" ht="22" customHeight="1">
      <x:c r="A5756" s="2"/>
      <x:c r="B5756" s="2" t="str">
        <x:v>18127</x:v>
      </x:c>
      <x:c r="C5756" s="2" t="str">
        <x:v>United Kingdom</x:v>
      </x:c>
      <x:c r="D5756" s="25" t="n">
        <x:v>40483.37222222222</x:v>
      </x:c>
      <x:c r="E5756" s="25" t="n">
        <x:v>40867.37847222222</x:v>
      </x:c>
      <x:c r="F5756" s="2" t="n">
        <x:v>20</x:v>
      </x:c>
      <x:c r="G5756" s="2" t="n">
        <x:v>4</x:v>
      </x:c>
      <x:c r="H5756" s="11" t="n">
        <x:v>561.53</x:v>
      </x:c>
      <x:c r="I5756" s="2" t="n">
        <x:v>5</x:v>
      </x:c>
      <x:c r="J5756" s="2" t="n">
        <x:v>3</x:v>
      </x:c>
      <x:c r="K5756" s="2" t="n">
        <x:v>2</x:v>
      </x:c>
      <x:c r="L5756" s="2" t="str">
        <x:v>Loyal</x:v>
      </x:c>
    </x:row>
    <x:row r="5757" ht="22" customHeight="1">
      <x:c r="A5757" s="2"/>
      <x:c r="B5757" s="2" t="str">
        <x:v>18128</x:v>
      </x:c>
      <x:c r="C5757" s="2" t="str">
        <x:v>United Kingdom</x:v>
      </x:c>
      <x:c r="D5757" s="25" t="n">
        <x:v>40349.34652777778</x:v>
      </x:c>
      <x:c r="E5757" s="25" t="n">
        <x:v>40349.34652777778</x:v>
      </x:c>
      <x:c r="F5757" s="2" t="n">
        <x:v>538</x:v>
      </x:c>
      <x:c r="G5757" s="2" t="n">
        <x:v>1</x:v>
      </x:c>
      <x:c r="H5757" s="11" t="n">
        <x:v>420.04</x:v>
      </x:c>
      <x:c r="I5757" s="2" t="n">
        <x:v>1</x:v>
      </x:c>
      <x:c r="J5757" s="2" t="n">
        <x:v>1</x:v>
      </x:c>
      <x:c r="K5757" s="2" t="n">
        <x:v>2</x:v>
      </x:c>
      <x:c r="L5757" s="2" t="str">
        <x:v>Hibernating</x:v>
      </x:c>
    </x:row>
    <x:row r="5758" ht="22" customHeight="1">
      <x:c r="A5758" s="2"/>
      <x:c r="B5758" s="2" t="str">
        <x:v>18129</x:v>
      </x:c>
      <x:c r="C5758" s="2" t="str">
        <x:v>United Kingdom</x:v>
      </x:c>
      <x:c r="D5758" s="25" t="n">
        <x:v>40643.38611111111</x:v>
      </x:c>
      <x:c r="E5758" s="25" t="n">
        <x:v>40643.38611111111</x:v>
      </x:c>
      <x:c r="F5758" s="2" t="n">
        <x:v>244</x:v>
      </x:c>
      <x:c r="G5758" s="2" t="n">
        <x:v>1</x:v>
      </x:c>
      <x:c r="H5758" s="11" t="n">
        <x:v>112.55</x:v>
      </x:c>
      <x:c r="I5758" s="2" t="n">
        <x:v>2</x:v>
      </x:c>
      <x:c r="J5758" s="2" t="n">
        <x:v>1</x:v>
      </x:c>
      <x:c r="K5758" s="2" t="n">
        <x:v>1</x:v>
      </x:c>
      <x:c r="L5758" s="2" t="str">
        <x:v>Hibernating</x:v>
      </x:c>
    </x:row>
    <x:row r="5759" ht="22" customHeight="1">
      <x:c r="A5759" s="2"/>
      <x:c r="B5759" s="2" t="str">
        <x:v>18130</x:v>
      </x:c>
      <x:c r="C5759" s="2" t="str">
        <x:v>United Kingdom</x:v>
      </x:c>
      <x:c r="D5759" s="25" t="n">
        <x:v>40829.45694444444</x:v>
      </x:c>
      <x:c r="E5759" s="25" t="n">
        <x:v>40871.40277777778</x:v>
      </x:c>
      <x:c r="F5759" s="2" t="n">
        <x:v>16</x:v>
      </x:c>
      <x:c r="G5759" s="2" t="n">
        <x:v>3</x:v>
      </x:c>
      <x:c r="H5759" s="11" t="n">
        <x:v>1059.39</x:v>
      </x:c>
      <x:c r="I5759" s="2" t="n">
        <x:v>5</x:v>
      </x:c>
      <x:c r="J5759" s="2" t="n">
        <x:v>3</x:v>
      </x:c>
      <x:c r="K5759" s="2" t="n">
        <x:v>3</x:v>
      </x:c>
      <x:c r="L5759" s="2" t="str">
        <x:v>Loyal</x:v>
      </x:c>
    </x:row>
    <x:row r="5760" ht="22" customHeight="1">
      <x:c r="A5760" s="2"/>
      <x:c r="B5760" s="2" t="str">
        <x:v>18131</x:v>
      </x:c>
      <x:c r="C5760" s="2" t="str">
        <x:v>United Kingdom</x:v>
      </x:c>
      <x:c r="D5760" s="25" t="n">
        <x:v>40255.15833333333</x:v>
      </x:c>
      <x:c r="E5760" s="25" t="n">
        <x:v>40255.15833333333</x:v>
      </x:c>
      <x:c r="F5760" s="2" t="n">
        <x:v>632</x:v>
      </x:c>
      <x:c r="G5760" s="2" t="n">
        <x:v>1</x:v>
      </x:c>
      <x:c r="H5760" s="11" t="n">
        <x:v>222.96</x:v>
      </x:c>
      <x:c r="I5760" s="2" t="n">
        <x:v>1</x:v>
      </x:c>
      <x:c r="J5760" s="2" t="n">
        <x:v>1</x:v>
      </x:c>
      <x:c r="K5760" s="2" t="n">
        <x:v>1</x:v>
      </x:c>
      <x:c r="L5760" s="2" t="str">
        <x:v>Hibernating</x:v>
      </x:c>
    </x:row>
    <x:row r="5761" ht="22" customHeight="1">
      <x:c r="A5761" s="2"/>
      <x:c r="B5761" s="2" t="str">
        <x:v>18132</x:v>
      </x:c>
      <x:c r="C5761" s="2" t="str">
        <x:v>United Kingdom</x:v>
      </x:c>
      <x:c r="D5761" s="25" t="n">
        <x:v>40382.495833333334</x:v>
      </x:c>
      <x:c r="E5761" s="25" t="n">
        <x:v>40382.495833333334</x:v>
      </x:c>
      <x:c r="F5761" s="2" t="n">
        <x:v>505</x:v>
      </x:c>
      <x:c r="G5761" s="2" t="n">
        <x:v>1</x:v>
      </x:c>
      <x:c r="H5761" s="11" t="n">
        <x:v>226.9</x:v>
      </x:c>
      <x:c r="I5761" s="2" t="n">
        <x:v>1</x:v>
      </x:c>
      <x:c r="J5761" s="2" t="n">
        <x:v>1</x:v>
      </x:c>
      <x:c r="K5761" s="2" t="n">
        <x:v>1</x:v>
      </x:c>
      <x:c r="L5761" s="2" t="str">
        <x:v>Hibernating</x:v>
      </x:c>
    </x:row>
    <x:row r="5762" ht="22" customHeight="1">
      <x:c r="A5762" s="2"/>
      <x:c r="B5762" s="2" t="str">
        <x:v>18133</x:v>
      </x:c>
      <x:c r="C5762" s="2" t="str">
        <x:v>United Kingdom</x:v>
      </x:c>
      <x:c r="D5762" s="25" t="n">
        <x:v>40674.384722222225</x:v>
      </x:c>
      <x:c r="E5762" s="25" t="n">
        <x:v>40674.384722222225</x:v>
      </x:c>
      <x:c r="F5762" s="2" t="n">
        <x:v>213</x:v>
      </x:c>
      <x:c r="G5762" s="2" t="n">
        <x:v>1</x:v>
      </x:c>
      <x:c r="H5762" s="11" t="n">
        <x:v>931.5</x:v>
      </x:c>
      <x:c r="I5762" s="2" t="n">
        <x:v>2</x:v>
      </x:c>
      <x:c r="J5762" s="2" t="n">
        <x:v>1</x:v>
      </x:c>
      <x:c r="K5762" s="2" t="n">
        <x:v>3</x:v>
      </x:c>
      <x:c r="L5762" s="2" t="str">
        <x:v>Hibernating</x:v>
      </x:c>
    </x:row>
    <x:row r="5763" ht="22" customHeight="1">
      <x:c r="A5763" s="2"/>
      <x:c r="B5763" s="2" t="str">
        <x:v>18134</x:v>
      </x:c>
      <x:c r="C5763" s="2" t="str">
        <x:v>United Kingdom</x:v>
      </x:c>
      <x:c r="D5763" s="25" t="n">
        <x:v>40192.290972222225</x:v>
      </x:c>
      <x:c r="E5763" s="25" t="n">
        <x:v>40288.376388888886</x:v>
      </x:c>
      <x:c r="F5763" s="2" t="n">
        <x:v>599</x:v>
      </x:c>
      <x:c r="G5763" s="2" t="n">
        <x:v>2</x:v>
      </x:c>
      <x:c r="H5763" s="11" t="n">
        <x:v>445</x:v>
      </x:c>
      <x:c r="I5763" s="2" t="n">
        <x:v>1</x:v>
      </x:c>
      <x:c r="J5763" s="2" t="n">
        <x:v>2</x:v>
      </x:c>
      <x:c r="K5763" s="2" t="n">
        <x:v>2</x:v>
      </x:c>
      <x:c r="L5763" s="2" t="str">
        <x:v>Hibernating</x:v>
      </x:c>
    </x:row>
    <x:row r="5764" ht="22" customHeight="1">
      <x:c r="A5764" s="2"/>
      <x:c r="B5764" s="2" t="str">
        <x:v>18135</x:v>
      </x:c>
      <x:c r="C5764" s="2" t="str">
        <x:v>United Kingdom</x:v>
      </x:c>
      <x:c r="D5764" s="25" t="n">
        <x:v>40252.37152777778</x:v>
      </x:c>
      <x:c r="E5764" s="25" t="n">
        <x:v>40857.60555555556</x:v>
      </x:c>
      <x:c r="F5764" s="2" t="n">
        <x:v>30</x:v>
      </x:c>
      <x:c r="G5764" s="2" t="n">
        <x:v>10</x:v>
      </x:c>
      <x:c r="H5764" s="11" t="n">
        <x:v>1249.62</x:v>
      </x:c>
      <x:c r="I5764" s="2" t="n">
        <x:v>4</x:v>
      </x:c>
      <x:c r="J5764" s="2" t="n">
        <x:v>5</x:v>
      </x:c>
      <x:c r="K5764" s="2" t="n">
        <x:v>4</x:v>
      </x:c>
      <x:c r="L5764" s="2" t="str">
        <x:v>Champions</x:v>
      </x:c>
    </x:row>
    <x:row r="5765" ht="22" customHeight="1">
      <x:c r="A5765" s="2"/>
      <x:c r="B5765" s="2" t="str">
        <x:v>18136</x:v>
      </x:c>
      <x:c r="C5765" s="2" t="str">
        <x:v>United Kingdom</x:v>
      </x:c>
      <x:c r="D5765" s="25" t="n">
        <x:v>40435.45138888889</x:v>
      </x:c>
      <x:c r="E5765" s="25" t="n">
        <x:v>40823.444444444445</x:v>
      </x:c>
      <x:c r="F5765" s="2" t="n">
        <x:v>64</x:v>
      </x:c>
      <x:c r="G5765" s="2" t="n">
        <x:v>5</x:v>
      </x:c>
      <x:c r="H5765" s="11" t="n">
        <x:v>1631.36</x:v>
      </x:c>
      <x:c r="I5765" s="2" t="n">
        <x:v>3</x:v>
      </x:c>
      <x:c r="J5765" s="2" t="n">
        <x:v>4</x:v>
      </x:c>
      <x:c r="K5765" s="2" t="n">
        <x:v>4</x:v>
      </x:c>
      <x:c r="L5765" s="2" t="str">
        <x:v>Loyal</x:v>
      </x:c>
    </x:row>
    <x:row r="5766" ht="22" customHeight="1">
      <x:c r="A5766" s="2"/>
      <x:c r="B5766" s="2" t="str">
        <x:v>18137</x:v>
      </x:c>
      <x:c r="C5766" s="2" t="str">
        <x:v>United Kingdom</x:v>
      </x:c>
      <x:c r="D5766" s="25" t="n">
        <x:v>40335.364583333336</x:v>
      </x:c>
      <x:c r="E5766" s="25" t="n">
        <x:v>40335.3875</x:v>
      </x:c>
      <x:c r="F5766" s="2" t="n">
        <x:v>552</x:v>
      </x:c>
      <x:c r="G5766" s="2" t="n">
        <x:v>2</x:v>
      </x:c>
      <x:c r="H5766" s="11" t="n">
        <x:v>145.99</x:v>
      </x:c>
      <x:c r="I5766" s="2" t="n">
        <x:v>1</x:v>
      </x:c>
      <x:c r="J5766" s="2" t="n">
        <x:v>2</x:v>
      </x:c>
      <x:c r="K5766" s="2" t="n">
        <x:v>1</x:v>
      </x:c>
      <x:c r="L5766" s="2" t="str">
        <x:v>Hibernating</x:v>
      </x:c>
    </x:row>
    <x:row r="5767" ht="22" customHeight="1">
      <x:c r="A5767" s="2"/>
      <x:c r="B5767" s="2" t="str">
        <x:v>18138</x:v>
      </x:c>
      <x:c r="C5767" s="2" t="str">
        <x:v>United Kingdom</x:v>
      </x:c>
      <x:c r="D5767" s="25" t="n">
        <x:v>40591.410416666666</x:v>
      </x:c>
      <x:c r="E5767" s="25" t="n">
        <x:v>40591.410416666666</x:v>
      </x:c>
      <x:c r="F5767" s="2" t="n">
        <x:v>296</x:v>
      </x:c>
      <x:c r="G5767" s="2" t="n">
        <x:v>1</x:v>
      </x:c>
      <x:c r="H5767" s="11" t="n">
        <x:v>152.65</x:v>
      </x:c>
      <x:c r="I5767" s="2" t="n">
        <x:v>2</x:v>
      </x:c>
      <x:c r="J5767" s="2" t="n">
        <x:v>1</x:v>
      </x:c>
      <x:c r="K5767" s="2" t="n">
        <x:v>1</x:v>
      </x:c>
      <x:c r="L5767" s="2" t="str">
        <x:v>Hibernating</x:v>
      </x:c>
    </x:row>
    <x:row r="5768" ht="22" customHeight="1">
      <x:c r="A5768" s="2"/>
      <x:c r="B5768" s="2" t="str">
        <x:v>18139</x:v>
      </x:c>
      <x:c r="C5768" s="2" t="str">
        <x:v>United Kingdom</x:v>
      </x:c>
      <x:c r="D5768" s="25" t="n">
        <x:v>40868.379166666666</x:v>
      </x:c>
      <x:c r="E5768" s="25" t="n">
        <x:v>40869.23888888889</x:v>
      </x:c>
      <x:c r="F5768" s="2" t="n">
        <x:v>18</x:v>
      </x:c>
      <x:c r="G5768" s="2" t="n">
        <x:v>6</x:v>
      </x:c>
      <x:c r="H5768" s="11" t="n">
        <x:v>8438.34</x:v>
      </x:c>
      <x:c r="I5768" s="2" t="n">
        <x:v>5</x:v>
      </x:c>
      <x:c r="J5768" s="2" t="n">
        <x:v>4</x:v>
      </x:c>
      <x:c r="K5768" s="2" t="n">
        <x:v>5</x:v>
      </x:c>
      <x:c r="L5768" s="2" t="str">
        <x:v>Champions</x:v>
      </x:c>
    </x:row>
    <x:row r="5769" ht="22" customHeight="1">
      <x:c r="A5769" s="2"/>
      <x:c r="B5769" s="2" t="str">
        <x:v>18140</x:v>
      </x:c>
      <x:c r="C5769" s="2" t="str">
        <x:v>West Indies</x:v>
      </x:c>
      <x:c r="D5769" s="25" t="n">
        <x:v>40413.29027777778</x:v>
      </x:c>
      <x:c r="E5769" s="25" t="n">
        <x:v>40413.29027777778</x:v>
      </x:c>
      <x:c r="F5769" s="2" t="n">
        <x:v>474</x:v>
      </x:c>
      <x:c r="G5769" s="2" t="n">
        <x:v>1</x:v>
      </x:c>
      <x:c r="H5769" s="11" t="n">
        <x:v>536.41</x:v>
      </x:c>
      <x:c r="I5769" s="2" t="n">
        <x:v>1</x:v>
      </x:c>
      <x:c r="J5769" s="2" t="n">
        <x:v>1</x:v>
      </x:c>
      <x:c r="K5769" s="2" t="n">
        <x:v>2</x:v>
      </x:c>
      <x:c r="L5769" s="2" t="str">
        <x:v>Hibernating</x:v>
      </x:c>
    </x:row>
    <x:row r="5770" ht="22" customHeight="1">
      <x:c r="A5770" s="2"/>
      <x:c r="B5770" s="2" t="str">
        <x:v>18141</x:v>
      </x:c>
      <x:c r="C5770" s="2" t="str">
        <x:v>United Kingdom</x:v>
      </x:c>
      <x:c r="D5770" s="25" t="n">
        <x:v>40297.438888888886</x:v>
      </x:c>
      <x:c r="E5770" s="25" t="n">
        <x:v>40485.28055555555</x:v>
      </x:c>
      <x:c r="F5770" s="2" t="n">
        <x:v>402</x:v>
      </x:c>
      <x:c r="G5770" s="2" t="n">
        <x:v>2</x:v>
      </x:c>
      <x:c r="H5770" s="11" t="n">
        <x:v>882.47</x:v>
      </x:c>
      <x:c r="I5770" s="2" t="n">
        <x:v>2</x:v>
      </x:c>
      <x:c r="J5770" s="2" t="n">
        <x:v>2</x:v>
      </x:c>
      <x:c r="K5770" s="2" t="n">
        <x:v>3</x:v>
      </x:c>
      <x:c r="L5770" s="2" t="str">
        <x:v>Hibernating</x:v>
      </x:c>
    </x:row>
    <x:row r="5771" ht="22" customHeight="1">
      <x:c r="A5771" s="2"/>
      <x:c r="B5771" s="2" t="str">
        <x:v>18142</x:v>
      </x:c>
      <x:c r="C5771" s="2" t="str">
        <x:v>United Kingdom</x:v>
      </x:c>
      <x:c r="D5771" s="25" t="n">
        <x:v>40671.31319444445</x:v>
      </x:c>
      <x:c r="E5771" s="25" t="n">
        <x:v>40729.34652777778</x:v>
      </x:c>
      <x:c r="F5771" s="2" t="n">
        <x:v>158</x:v>
      </x:c>
      <x:c r="G5771" s="2" t="n">
        <x:v>2</x:v>
      </x:c>
      <x:c r="H5771" s="11" t="n">
        <x:v>1019.52</x:v>
      </x:c>
      <x:c r="I5771" s="2" t="n">
        <x:v>3</x:v>
      </x:c>
      <x:c r="J5771" s="2" t="n">
        <x:v>2</x:v>
      </x:c>
      <x:c r="K5771" s="2" t="n">
        <x:v>3</x:v>
      </x:c>
      <x:c r="L5771" s="2" t="str">
        <x:v>Developing</x:v>
      </x:c>
    </x:row>
    <x:row r="5772" ht="22" customHeight="1">
      <x:c r="A5772" s="2"/>
      <x:c r="B5772" s="2" t="str">
        <x:v>18143</x:v>
      </x:c>
      <x:c r="C5772" s="2" t="str">
        <x:v>United Kingdom</x:v>
      </x:c>
      <x:c r="D5772" s="25" t="n">
        <x:v>40745.23888888889</x:v>
      </x:c>
      <x:c r="E5772" s="25" t="n">
        <x:v>40770.29652777778</x:v>
      </x:c>
      <x:c r="F5772" s="2" t="n">
        <x:v>117</x:v>
      </x:c>
      <x:c r="G5772" s="2" t="n">
        <x:v>2</x:v>
      </x:c>
      <x:c r="H5772" s="11" t="n">
        <x:v>1000.16</x:v>
      </x:c>
      <x:c r="I5772" s="2" t="n">
        <x:v>3</x:v>
      </x:c>
      <x:c r="J5772" s="2" t="n">
        <x:v>2</x:v>
      </x:c>
      <x:c r="K5772" s="2" t="n">
        <x:v>3</x:v>
      </x:c>
      <x:c r="L5772" s="2" t="str">
        <x:v>Developing</x:v>
      </x:c>
    </x:row>
    <x:row r="5773" ht="22" customHeight="1">
      <x:c r="A5773" s="2"/>
      <x:c r="B5773" s="2" t="str">
        <x:v>18144</x:v>
      </x:c>
      <x:c r="C5773" s="2" t="str">
        <x:v>United Kingdom</x:v>
      </x:c>
      <x:c r="D5773" s="25" t="n">
        <x:v>40163.45625</x:v>
      </x:c>
      <x:c r="E5773" s="25" t="n">
        <x:v>40879.32361111111</x:v>
      </x:c>
      <x:c r="F5773" s="2" t="n">
        <x:v>8</x:v>
      </x:c>
      <x:c r="G5773" s="2" t="n">
        <x:v>19</x:v>
      </x:c>
      <x:c r="H5773" s="11" t="n">
        <x:v>4892.95</x:v>
      </x:c>
      <x:c r="I5773" s="2" t="n">
        <x:v>5</x:v>
      </x:c>
      <x:c r="J5773" s="2" t="n">
        <x:v>5</x:v>
      </x:c>
      <x:c r="K5773" s="2" t="n">
        <x:v>5</x:v>
      </x:c>
      <x:c r="L5773" s="2" t="str">
        <x:v>Champions</x:v>
      </x:c>
    </x:row>
    <x:row r="5774" ht="22" customHeight="1">
      <x:c r="A5774" s="2"/>
      <x:c r="B5774" s="2" t="str">
        <x:v>18145</x:v>
      </x:c>
      <x:c r="C5774" s="2" t="str">
        <x:v>United Kingdom</x:v>
      </x:c>
      <x:c r="D5774" s="25" t="n">
        <x:v>40155.3125</x:v>
      </x:c>
      <x:c r="E5774" s="25" t="n">
        <x:v>40874.26527777778</x:v>
      </x:c>
      <x:c r="F5774" s="2" t="n">
        <x:v>13</x:v>
      </x:c>
      <x:c r="G5774" s="2" t="n">
        <x:v>11</x:v>
      </x:c>
      <x:c r="H5774" s="11" t="n">
        <x:v>5617.79</x:v>
      </x:c>
      <x:c r="I5774" s="2" t="n">
        <x:v>5</x:v>
      </x:c>
      <x:c r="J5774" s="2" t="n">
        <x:v>5</x:v>
      </x:c>
      <x:c r="K5774" s="2" t="n">
        <x:v>5</x:v>
      </x:c>
      <x:c r="L5774" s="2" t="str">
        <x:v>Champions</x:v>
      </x:c>
    </x:row>
    <x:row r="5775" ht="22" customHeight="1">
      <x:c r="A5775" s="2"/>
      <x:c r="B5775" s="2" t="str">
        <x:v>18146</x:v>
      </x:c>
      <x:c r="C5775" s="2" t="str">
        <x:v>United Kingdom</x:v>
      </x:c>
      <x:c r="D5775" s="25" t="n">
        <x:v>40666.48263888889</x:v>
      </x:c>
      <x:c r="E5775" s="25" t="n">
        <x:v>40746.29722222222</x:v>
      </x:c>
      <x:c r="F5775" s="2" t="n">
        <x:v>141</x:v>
      </x:c>
      <x:c r="G5775" s="2" t="n">
        <x:v>2</x:v>
      </x:c>
      <x:c r="H5775" s="11" t="n">
        <x:v>160.35</x:v>
      </x:c>
      <x:c r="I5775" s="2" t="n">
        <x:v>3</x:v>
      </x:c>
      <x:c r="J5775" s="2" t="n">
        <x:v>2</x:v>
      </x:c>
      <x:c r="K5775" s="2" t="n">
        <x:v>1</x:v>
      </x:c>
      <x:c r="L5775" s="2" t="str">
        <x:v>Developing</x:v>
      </x:c>
    </x:row>
    <x:row r="5776" ht="22" customHeight="1">
      <x:c r="A5776" s="2"/>
      <x:c r="B5776" s="2" t="str">
        <x:v>18147</x:v>
      </x:c>
      <x:c r="C5776" s="2" t="str">
        <x:v>United Kingdom</x:v>
      </x:c>
      <x:c r="D5776" s="25" t="n">
        <x:v>40778.30694444444</x:v>
      </x:c>
      <x:c r="E5776" s="25" t="n">
        <x:v>40841.28194444445</x:v>
      </x:c>
      <x:c r="F5776" s="2" t="n">
        <x:v>46</x:v>
      </x:c>
      <x:c r="G5776" s="2" t="n">
        <x:v>2</x:v>
      </x:c>
      <x:c r="H5776" s="11" t="n">
        <x:v>179.34</x:v>
      </x:c>
      <x:c r="I5776" s="2" t="n">
        <x:v>4</x:v>
      </x:c>
      <x:c r="J5776" s="2" t="n">
        <x:v>2</x:v>
      </x:c>
      <x:c r="K5776" s="2" t="n">
        <x:v>1</x:v>
      </x:c>
      <x:c r="L5776" s="2" t="str">
        <x:v>Recent light buyers</x:v>
      </x:c>
    </x:row>
    <x:row r="5777" ht="22" customHeight="1">
      <x:c r="A5777" s="2"/>
      <x:c r="B5777" s="2" t="str">
        <x:v>18148</x:v>
      </x:c>
      <x:c r="C5777" s="2" t="str">
        <x:v>United Kingdom</x:v>
      </x:c>
      <x:c r="D5777" s="25" t="n">
        <x:v>40240.27777777778</x:v>
      </x:c>
      <x:c r="E5777" s="25" t="n">
        <x:v>40240.27777777778</x:v>
      </x:c>
      <x:c r="F5777" s="2" t="n">
        <x:v>647</x:v>
      </x:c>
      <x:c r="G5777" s="2" t="n">
        <x:v>1</x:v>
      </x:c>
      <x:c r="H5777" s="11" t="n">
        <x:v>114.1</x:v>
      </x:c>
      <x:c r="I5777" s="2" t="n">
        <x:v>1</x:v>
      </x:c>
      <x:c r="J5777" s="2" t="n">
        <x:v>1</x:v>
      </x:c>
      <x:c r="K5777" s="2" t="n">
        <x:v>1</x:v>
      </x:c>
      <x:c r="L5777" s="2" t="str">
        <x:v>Hibernating</x:v>
      </x:c>
    </x:row>
    <x:row r="5778" ht="22" customHeight="1">
      <x:c r="A5778" s="2"/>
      <x:c r="B5778" s="2" t="str">
        <x:v>18149</x:v>
      </x:c>
      <x:c r="C5778" s="2" t="str">
        <x:v>United Kingdom</x:v>
      </x:c>
      <x:c r="D5778" s="25" t="n">
        <x:v>40251.32013888889</x:v>
      </x:c>
      <x:c r="E5778" s="25" t="n">
        <x:v>40836.294444444444</x:v>
      </x:c>
      <x:c r="F5778" s="2" t="n">
        <x:v>51</x:v>
      </x:c>
      <x:c r="G5778" s="2" t="n">
        <x:v>7</x:v>
      </x:c>
      <x:c r="H5778" s="11" t="n">
        <x:v>1624.71</x:v>
      </x:c>
      <x:c r="I5778" s="2" t="n">
        <x:v>4</x:v>
      </x:c>
      <x:c r="J5778" s="2" t="n">
        <x:v>4</x:v>
      </x:c>
      <x:c r="K5778" s="2" t="n">
        <x:v>4</x:v>
      </x:c>
      <x:c r="L5778" s="2" t="str">
        <x:v>Champions</x:v>
      </x:c>
    </x:row>
    <x:row r="5779" ht="22" customHeight="1">
      <x:c r="A5779" s="2"/>
      <x:c r="B5779" s="2" t="str">
        <x:v>18150</x:v>
      </x:c>
      <x:c r="C5779" s="2" t="str">
        <x:v>United Kingdom</x:v>
      </x:c>
      <x:c r="D5779" s="25" t="n">
        <x:v>40685.24097222222</x:v>
      </x:c>
      <x:c r="E5779" s="25" t="n">
        <x:v>40854.49236111111</x:v>
      </x:c>
      <x:c r="F5779" s="2" t="n">
        <x:v>33</x:v>
      </x:c>
      <x:c r="G5779" s="2" t="n">
        <x:v>3</x:v>
      </x:c>
      <x:c r="H5779" s="11" t="n">
        <x:v>566.58</x:v>
      </x:c>
      <x:c r="I5779" s="2" t="n">
        <x:v>4</x:v>
      </x:c>
      <x:c r="J5779" s="2" t="n">
        <x:v>3</x:v>
      </x:c>
      <x:c r="K5779" s="2" t="n">
        <x:v>2</x:v>
      </x:c>
      <x:c r="L5779" s="2" t="str">
        <x:v>Loyal</x:v>
      </x:c>
    </x:row>
    <x:row r="5780" ht="22" customHeight="1">
      <x:c r="A5780" s="2"/>
      <x:c r="B5780" s="2" t="str">
        <x:v>18151</x:v>
      </x:c>
      <x:c r="C5780" s="2" t="str">
        <x:v>United Kingdom</x:v>
      </x:c>
      <x:c r="D5780" s="25" t="n">
        <x:v>40241.24097222222</x:v>
      </x:c>
      <x:c r="E5780" s="25" t="n">
        <x:v>40752.274305555555</x:v>
      </x:c>
      <x:c r="F5780" s="2" t="n">
        <x:v>135</x:v>
      </x:c>
      <x:c r="G5780" s="2" t="n">
        <x:v>6</x:v>
      </x:c>
      <x:c r="H5780" s="11" t="n">
        <x:v>1879.44</x:v>
      </x:c>
      <x:c r="I5780" s="2" t="n">
        <x:v>3</x:v>
      </x:c>
      <x:c r="J5780" s="2" t="n">
        <x:v>4</x:v>
      </x:c>
      <x:c r="K5780" s="2" t="n">
        <x:v>4</x:v>
      </x:c>
      <x:c r="L5780" s="2" t="str">
        <x:v>Loyal</x:v>
      </x:c>
    </x:row>
    <x:row r="5781" ht="22" customHeight="1">
      <x:c r="A5781" s="2"/>
      <x:c r="B5781" s="2" t="str">
        <x:v>18152</x:v>
      </x:c>
      <x:c r="C5781" s="2" t="str">
        <x:v>United Kingdom</x:v>
      </x:c>
      <x:c r="D5781" s="25" t="n">
        <x:v>40240.43472222222</x:v>
      </x:c>
      <x:c r="E5781" s="25" t="n">
        <x:v>40240.43472222222</x:v>
      </x:c>
      <x:c r="F5781" s="2" t="n">
        <x:v>647</x:v>
      </x:c>
      <x:c r="G5781" s="2" t="n">
        <x:v>1</x:v>
      </x:c>
      <x:c r="H5781" s="11" t="n">
        <x:v>426.69</x:v>
      </x:c>
      <x:c r="I5781" s="2" t="n">
        <x:v>1</x:v>
      </x:c>
      <x:c r="J5781" s="2" t="n">
        <x:v>1</x:v>
      </x:c>
      <x:c r="K5781" s="2" t="n">
        <x:v>2</x:v>
      </x:c>
      <x:c r="L5781" s="2" t="str">
        <x:v>Hibernating</x:v>
      </x:c>
    </x:row>
    <x:row r="5782" ht="22" customHeight="1">
      <x:c r="A5782" s="2"/>
      <x:c r="B5782" s="2" t="str">
        <x:v>18153</x:v>
      </x:c>
      <x:c r="C5782" s="2" t="str">
        <x:v>United Kingdom</x:v>
      </x:c>
      <x:c r="D5782" s="25" t="n">
        <x:v>40227.45138888889</x:v>
      </x:c>
      <x:c r="E5782" s="25" t="n">
        <x:v>40227.45138888889</x:v>
      </x:c>
      <x:c r="F5782" s="2" t="n">
        <x:v>660</x:v>
      </x:c>
      <x:c r="G5782" s="2" t="n">
        <x:v>1</x:v>
      </x:c>
      <x:c r="H5782" s="11" t="n">
        <x:v>246.22</x:v>
      </x:c>
      <x:c r="I5782" s="2" t="n">
        <x:v>1</x:v>
      </x:c>
      <x:c r="J5782" s="2" t="n">
        <x:v>1</x:v>
      </x:c>
      <x:c r="K5782" s="2" t="n">
        <x:v>1</x:v>
      </x:c>
      <x:c r="L5782" s="2" t="str">
        <x:v>Hibernating</x:v>
      </x:c>
    </x:row>
    <x:row r="5783" ht="22" customHeight="1">
      <x:c r="A5783" s="2"/>
      <x:c r="B5783" s="2" t="str">
        <x:v>18154</x:v>
      </x:c>
      <x:c r="C5783" s="2" t="str">
        <x:v>United Kingdom</x:v>
      </x:c>
      <x:c r="D5783" s="25" t="n">
        <x:v>40396.17916666667</x:v>
      </x:c>
      <x:c r="E5783" s="25" t="n">
        <x:v>40883.486805555556</x:v>
      </x:c>
      <x:c r="F5783" s="2" t="n">
        <x:v>4</x:v>
      </x:c>
      <x:c r="G5783" s="2" t="n">
        <x:v>5</x:v>
      </x:c>
      <x:c r="H5783" s="11" t="n">
        <x:v>932.6</x:v>
      </x:c>
      <x:c r="I5783" s="2" t="n">
        <x:v>5</x:v>
      </x:c>
      <x:c r="J5783" s="2" t="n">
        <x:v>4</x:v>
      </x:c>
      <x:c r="K5783" s="2" t="n">
        <x:v>3</x:v>
      </x:c>
      <x:c r="L5783" s="2" t="str">
        <x:v>Loyal</x:v>
      </x:c>
    </x:row>
    <x:row r="5784" ht="22" customHeight="1">
      <x:c r="A5784" s="2"/>
      <x:c r="B5784" s="2" t="str">
        <x:v>18155</x:v>
      </x:c>
      <x:c r="C5784" s="2" t="str">
        <x:v>United Kingdom</x:v>
      </x:c>
      <x:c r="D5784" s="25" t="n">
        <x:v>40595.23333333333</x:v>
      </x:c>
      <x:c r="E5784" s="25" t="n">
        <x:v>40811.35555555556</x:v>
      </x:c>
      <x:c r="F5784" s="2" t="n">
        <x:v>76</x:v>
      </x:c>
      <x:c r="G5784" s="2" t="n">
        <x:v>3</x:v>
      </x:c>
      <x:c r="H5784" s="11" t="n">
        <x:v>371.62</x:v>
      </x:c>
      <x:c r="I5784" s="2" t="n">
        <x:v>3</x:v>
      </x:c>
      <x:c r="J5784" s="2" t="n">
        <x:v>3</x:v>
      </x:c>
      <x:c r="K5784" s="2" t="n">
        <x:v>2</x:v>
      </x:c>
      <x:c r="L5784" s="2" t="str">
        <x:v>Loyal</x:v>
      </x:c>
    </x:row>
    <x:row r="5785" ht="22" customHeight="1">
      <x:c r="A5785" s="2"/>
      <x:c r="B5785" s="2" t="str">
        <x:v>18156</x:v>
      </x:c>
      <x:c r="C5785" s="2" t="str">
        <x:v>United Kingdom</x:v>
      </x:c>
      <x:c r="D5785" s="25" t="n">
        <x:v>40517.31180555555</x:v>
      </x:c>
      <x:c r="E5785" s="25" t="n">
        <x:v>40874.308333333334</x:v>
      </x:c>
      <x:c r="F5785" s="2" t="n">
        <x:v>13</x:v>
      </x:c>
      <x:c r="G5785" s="2" t="n">
        <x:v>2</x:v>
      </x:c>
      <x:c r="H5785" s="11" t="n">
        <x:v>734.94</x:v>
      </x:c>
      <x:c r="I5785" s="2" t="n">
        <x:v>5</x:v>
      </x:c>
      <x:c r="J5785" s="2" t="n">
        <x:v>2</x:v>
      </x:c>
      <x:c r="K5785" s="2" t="n">
        <x:v>3</x:v>
      </x:c>
      <x:c r="L5785" s="2" t="str">
        <x:v>Recent light buyers</x:v>
      </x:c>
    </x:row>
    <x:row r="5786" ht="22" customHeight="1">
      <x:c r="A5786" s="2"/>
      <x:c r="B5786" s="2" t="str">
        <x:v>18157</x:v>
      </x:c>
      <x:c r="C5786" s="2" t="str">
        <x:v>United Kingdom</x:v>
      </x:c>
      <x:c r="D5786" s="25" t="n">
        <x:v>40315.38125</x:v>
      </x:c>
      <x:c r="E5786" s="25" t="n">
        <x:v>40315.38125</x:v>
      </x:c>
      <x:c r="F5786" s="2" t="n">
        <x:v>572</x:v>
      </x:c>
      <x:c r="G5786" s="2" t="n">
        <x:v>1</x:v>
      </x:c>
      <x:c r="H5786" s="11" t="n">
        <x:v>215.35</x:v>
      </x:c>
      <x:c r="I5786" s="2" t="n">
        <x:v>1</x:v>
      </x:c>
      <x:c r="J5786" s="2" t="n">
        <x:v>1</x:v>
      </x:c>
      <x:c r="K5786" s="2" t="n">
        <x:v>1</x:v>
      </x:c>
      <x:c r="L5786" s="2" t="str">
        <x:v>Hibernating</x:v>
      </x:c>
    </x:row>
    <x:row r="5787" ht="22" customHeight="1">
      <x:c r="A5787" s="2"/>
      <x:c r="B5787" s="2" t="str">
        <x:v>18158</x:v>
      </x:c>
      <x:c r="C5787" s="2" t="str">
        <x:v>United Kingdom</x:v>
      </x:c>
      <x:c r="D5787" s="25" t="n">
        <x:v>40798.16875</x:v>
      </x:c>
      <x:c r="E5787" s="25" t="n">
        <x:v>40877.47152777778</x:v>
      </x:c>
      <x:c r="F5787" s="2" t="n">
        <x:v>10</x:v>
      </x:c>
      <x:c r="G5787" s="2" t="n">
        <x:v>2</x:v>
      </x:c>
      <x:c r="H5787" s="11" t="n">
        <x:v>453.4</x:v>
      </x:c>
      <x:c r="I5787" s="2" t="n">
        <x:v>5</x:v>
      </x:c>
      <x:c r="J5787" s="2" t="n">
        <x:v>2</x:v>
      </x:c>
      <x:c r="K5787" s="2" t="n">
        <x:v>2</x:v>
      </x:c>
      <x:c r="L5787" s="2" t="str">
        <x:v>Recent light buyers</x:v>
      </x:c>
    </x:row>
    <x:row r="5788" ht="22" customHeight="1">
      <x:c r="A5788" s="2"/>
      <x:c r="B5788" s="2" t="str">
        <x:v>18159</x:v>
      </x:c>
      <x:c r="C5788" s="2" t="str">
        <x:v>United Kingdom</x:v>
      </x:c>
      <x:c r="D5788" s="25" t="n">
        <x:v>40585.393055555556</x:v>
      </x:c>
      <x:c r="E5788" s="25" t="n">
        <x:v>40585.393055555556</x:v>
      </x:c>
      <x:c r="F5788" s="2" t="n">
        <x:v>302</x:v>
      </x:c>
      <x:c r="G5788" s="2" t="n">
        <x:v>1</x:v>
      </x:c>
      <x:c r="H5788" s="11" t="n">
        <x:v>530.15</x:v>
      </x:c>
      <x:c r="I5788" s="2" t="n">
        <x:v>2</x:v>
      </x:c>
      <x:c r="J5788" s="2" t="n">
        <x:v>1</x:v>
      </x:c>
      <x:c r="K5788" s="2" t="n">
        <x:v>2</x:v>
      </x:c>
      <x:c r="L5788" s="2" t="str">
        <x:v>Hibernating</x:v>
      </x:c>
    </x:row>
    <x:row r="5789" ht="22" customHeight="1">
      <x:c r="A5789" s="2"/>
      <x:c r="B5789" s="2" t="str">
        <x:v>18160</x:v>
      </x:c>
      <x:c r="C5789" s="2" t="str">
        <x:v>United Kingdom</x:v>
      </x:c>
      <x:c r="D5789" s="25" t="n">
        <x:v>40500.48125</x:v>
      </x:c>
      <x:c r="E5789" s="25" t="n">
        <x:v>40829.45138888889</x:v>
      </x:c>
      <x:c r="F5789" s="2" t="n">
        <x:v>58</x:v>
      </x:c>
      <x:c r="G5789" s="2" t="n">
        <x:v>3</x:v>
      </x:c>
      <x:c r="H5789" s="11" t="n">
        <x:v>1003.88</x:v>
      </x:c>
      <x:c r="I5789" s="2" t="n">
        <x:v>4</x:v>
      </x:c>
      <x:c r="J5789" s="2" t="n">
        <x:v>3</x:v>
      </x:c>
      <x:c r="K5789" s="2" t="n">
        <x:v>3</x:v>
      </x:c>
      <x:c r="L5789" s="2" t="str">
        <x:v>Loyal</x:v>
      </x:c>
    </x:row>
    <x:row r="5790" ht="22" customHeight="1">
      <x:c r="A5790" s="2"/>
      <x:c r="B5790" s="2" t="str">
        <x:v>18161</x:v>
      </x:c>
      <x:c r="C5790" s="2" t="str">
        <x:v>United Kingdom</x:v>
      </x:c>
      <x:c r="D5790" s="25" t="n">
        <x:v>40507.45486111111</x:v>
      </x:c>
      <x:c r="E5790" s="25" t="n">
        <x:v>40871.48611111111</x:v>
      </x:c>
      <x:c r="F5790" s="2" t="n">
        <x:v>16</x:v>
      </x:c>
      <x:c r="G5790" s="2" t="n">
        <x:v>6</x:v>
      </x:c>
      <x:c r="H5790" s="11" t="n">
        <x:v>1803.1</x:v>
      </x:c>
      <x:c r="I5790" s="2" t="n">
        <x:v>5</x:v>
      </x:c>
      <x:c r="J5790" s="2" t="n">
        <x:v>4</x:v>
      </x:c>
      <x:c r="K5790" s="2" t="n">
        <x:v>4</x:v>
      </x:c>
      <x:c r="L5790" s="2" t="str">
        <x:v>Champions</x:v>
      </x:c>
    </x:row>
    <x:row r="5791" ht="22" customHeight="1">
      <x:c r="A5791" s="2"/>
      <x:c r="B5791" s="2" t="str">
        <x:v>18162</x:v>
      </x:c>
      <x:c r="C5791" s="2" t="str">
        <x:v>United Kingdom</x:v>
      </x:c>
      <x:c r="D5791" s="25" t="n">
        <x:v>40154.35</x:v>
      </x:c>
      <x:c r="E5791" s="25" t="n">
        <x:v>40154.35</x:v>
      </x:c>
      <x:c r="F5791" s="2" t="n">
        <x:v>733</x:v>
      </x:c>
      <x:c r="G5791" s="2" t="n">
        <x:v>1</x:v>
      </x:c>
      <x:c r="H5791" s="11" t="n">
        <x:v>379.16</x:v>
      </x:c>
      <x:c r="I5791" s="2" t="n">
        <x:v>1</x:v>
      </x:c>
      <x:c r="J5791" s="2" t="n">
        <x:v>1</x:v>
      </x:c>
      <x:c r="K5791" s="2" t="n">
        <x:v>2</x:v>
      </x:c>
      <x:c r="L5791" s="2" t="str">
        <x:v>Hibernating</x:v>
      </x:c>
    </x:row>
    <x:row r="5792" ht="22" customHeight="1">
      <x:c r="A5792" s="2"/>
      <x:c r="B5792" s="2" t="str">
        <x:v>18163</x:v>
      </x:c>
      <x:c r="C5792" s="2" t="str">
        <x:v>United Kingdom</x:v>
      </x:c>
      <x:c r="D5792" s="25" t="n">
        <x:v>40302.410416666666</x:v>
      </x:c>
      <x:c r="E5792" s="25" t="n">
        <x:v>40302.410416666666</x:v>
      </x:c>
      <x:c r="F5792" s="2" t="n">
        <x:v>585</x:v>
      </x:c>
      <x:c r="G5792" s="2" t="n">
        <x:v>1</x:v>
      </x:c>
      <x:c r="H5792" s="11" t="n">
        <x:v>728.84</x:v>
      </x:c>
      <x:c r="I5792" s="2" t="n">
        <x:v>1</x:v>
      </x:c>
      <x:c r="J5792" s="2" t="n">
        <x:v>1</x:v>
      </x:c>
      <x:c r="K5792" s="2" t="n">
        <x:v>3</x:v>
      </x:c>
      <x:c r="L5792" s="2" t="str">
        <x:v>Hibernating</x:v>
      </x:c>
    </x:row>
    <x:row r="5793" ht="22" customHeight="1">
      <x:c r="A5793" s="2"/>
      <x:c r="B5793" s="2" t="str">
        <x:v>18164</x:v>
      </x:c>
      <x:c r="C5793" s="2" t="str">
        <x:v>United Kingdom</x:v>
      </x:c>
      <x:c r="D5793" s="25" t="n">
        <x:v>40849.330555555556</x:v>
      </x:c>
      <x:c r="E5793" s="25" t="n">
        <x:v>40849.330555555556</x:v>
      </x:c>
      <x:c r="F5793" s="2" t="n">
        <x:v>38</x:v>
      </x:c>
      <x:c r="G5793" s="2" t="n">
        <x:v>1</x:v>
      </x:c>
      <x:c r="H5793" s="11" t="n">
        <x:v>399.65</x:v>
      </x:c>
      <x:c r="I5793" s="2" t="n">
        <x:v>4</x:v>
      </x:c>
      <x:c r="J5793" s="2" t="n">
        <x:v>1</x:v>
      </x:c>
      <x:c r="K5793" s="2" t="n">
        <x:v>2</x:v>
      </x:c>
      <x:c r="L5793" s="2" t="str">
        <x:v>Recent light buyers</x:v>
      </x:c>
    </x:row>
    <x:row r="5794" ht="22" customHeight="1">
      <x:c r="A5794" s="2"/>
      <x:c r="B5794" s="2" t="str">
        <x:v>18165</x:v>
      </x:c>
      <x:c r="C5794" s="2" t="str">
        <x:v>United Kingdom</x:v>
      </x:c>
      <x:c r="D5794" s="25" t="n">
        <x:v>40709.34930555556</x:v>
      </x:c>
      <x:c r="E5794" s="25" t="n">
        <x:v>40709.34930555556</x:v>
      </x:c>
      <x:c r="F5794" s="2" t="n">
        <x:v>178</x:v>
      </x:c>
      <x:c r="G5794" s="2" t="n">
        <x:v>1</x:v>
      </x:c>
      <x:c r="H5794" s="11" t="n">
        <x:v>302.46</x:v>
      </x:c>
      <x:c r="I5794" s="2" t="n">
        <x:v>3</x:v>
      </x:c>
      <x:c r="J5794" s="2" t="n">
        <x:v>1</x:v>
      </x:c>
      <x:c r="K5794" s="2" t="n">
        <x:v>2</x:v>
      </x:c>
      <x:c r="L5794" s="2" t="str">
        <x:v>Developing</x:v>
      </x:c>
    </x:row>
    <x:row r="5795" ht="22" customHeight="1">
      <x:c r="A5795" s="2"/>
      <x:c r="B5795" s="2" t="str">
        <x:v>18166</x:v>
      </x:c>
      <x:c r="C5795" s="2" t="str">
        <x:v>United Kingdom</x:v>
      </x:c>
      <x:c r="D5795" s="25" t="n">
        <x:v>40263.30972222222</x:v>
      </x:c>
      <x:c r="E5795" s="25" t="n">
        <x:v>40263.30972222222</x:v>
      </x:c>
      <x:c r="F5795" s="2" t="n">
        <x:v>624</x:v>
      </x:c>
      <x:c r="G5795" s="2" t="n">
        <x:v>1</x:v>
      </x:c>
      <x:c r="H5795" s="11" t="n">
        <x:v>175.5</x:v>
      </x:c>
      <x:c r="I5795" s="2" t="n">
        <x:v>1</x:v>
      </x:c>
      <x:c r="J5795" s="2" t="n">
        <x:v>1</x:v>
      </x:c>
      <x:c r="K5795" s="2" t="n">
        <x:v>1</x:v>
      </x:c>
      <x:c r="L5795" s="2" t="str">
        <x:v>Hibernating</x:v>
      </x:c>
    </x:row>
    <x:row r="5796" ht="22" customHeight="1">
      <x:c r="A5796" s="2"/>
      <x:c r="B5796" s="2" t="str">
        <x:v>18167</x:v>
      </x:c>
      <x:c r="C5796" s="2" t="str">
        <x:v>United Kingdom</x:v>
      </x:c>
      <x:c r="D5796" s="25" t="n">
        <x:v>40781.27777777778</x:v>
      </x:c>
      <x:c r="E5796" s="25" t="n">
        <x:v>40863.455555555556</x:v>
      </x:c>
      <x:c r="F5796" s="2" t="n">
        <x:v>24</x:v>
      </x:c>
      <x:c r="G5796" s="2" t="n">
        <x:v>3</x:v>
      </x:c>
      <x:c r="H5796" s="11" t="n">
        <x:v>1384.86</x:v>
      </x:c>
      <x:c r="I5796" s="2" t="n">
        <x:v>4</x:v>
      </x:c>
      <x:c r="J5796" s="2" t="n">
        <x:v>3</x:v>
      </x:c>
      <x:c r="K5796" s="2" t="n">
        <x:v>4</x:v>
      </x:c>
      <x:c r="L5796" s="2" t="str">
        <x:v>Loyal</x:v>
      </x:c>
    </x:row>
    <x:row r="5797" ht="22" customHeight="1">
      <x:c r="A5797" s="2"/>
      <x:c r="B5797" s="2" t="str">
        <x:v>18168</x:v>
      </x:c>
      <x:c r="C5797" s="2" t="str">
        <x:v>United Kingdom</x:v>
      </x:c>
      <x:c r="D5797" s="25" t="n">
        <x:v>40150.52013888889</x:v>
      </x:c>
      <x:c r="E5797" s="25" t="n">
        <x:v>40710.597916666666</x:v>
      </x:c>
      <x:c r="F5797" s="2" t="n">
        <x:v>177</x:v>
      </x:c>
      <x:c r="G5797" s="2" t="n">
        <x:v>16</x:v>
      </x:c>
      <x:c r="H5797" s="11" t="n">
        <x:v>3506.97</x:v>
      </x:c>
      <x:c r="I5797" s="2" t="n">
        <x:v>3</x:v>
      </x:c>
      <x:c r="J5797" s="2" t="n">
        <x:v>5</x:v>
      </x:c>
      <x:c r="K5797" s="2" t="n">
        <x:v>5</x:v>
      </x:c>
      <x:c r="L5797" s="2" t="str">
        <x:v>Loyal</x:v>
      </x:c>
    </x:row>
    <x:row r="5798" ht="22" customHeight="1">
      <x:c r="A5798" s="2"/>
      <x:c r="B5798" s="2" t="str">
        <x:v>18169</x:v>
      </x:c>
      <x:c r="C5798" s="2" t="str">
        <x:v>United Kingdom</x:v>
      </x:c>
      <x:c r="D5798" s="25" t="n">
        <x:v>40826.30416666667</x:v>
      </x:c>
      <x:c r="E5798" s="25" t="n">
        <x:v>40826.30416666667</x:v>
      </x:c>
      <x:c r="F5798" s="2" t="n">
        <x:v>61</x:v>
      </x:c>
      <x:c r="G5798" s="2" t="n">
        <x:v>1</x:v>
      </x:c>
      <x:c r="H5798" s="11" t="n">
        <x:v>202.65</x:v>
      </x:c>
      <x:c r="I5798" s="2" t="n">
        <x:v>3</x:v>
      </x:c>
      <x:c r="J5798" s="2" t="n">
        <x:v>1</x:v>
      </x:c>
      <x:c r="K5798" s="2" t="n">
        <x:v>1</x:v>
      </x:c>
      <x:c r="L5798" s="2" t="str">
        <x:v>Developing</x:v>
      </x:c>
    </x:row>
    <x:row r="5799" ht="22" customHeight="1">
      <x:c r="A5799" s="2"/>
      <x:c r="B5799" s="2" t="str">
        <x:v>18170</x:v>
      </x:c>
      <x:c r="C5799" s="2" t="str">
        <x:v>United Kingdom</x:v>
      </x:c>
      <x:c r="D5799" s="25" t="n">
        <x:v>40186.381944444445</x:v>
      </x:c>
      <x:c r="E5799" s="25" t="n">
        <x:v>40853.399305555555</x:v>
      </x:c>
      <x:c r="F5799" s="2" t="n">
        <x:v>34</x:v>
      </x:c>
      <x:c r="G5799" s="2" t="n">
        <x:v>9</x:v>
      </x:c>
      <x:c r="H5799" s="11" t="n">
        <x:v>2878</x:v>
      </x:c>
      <x:c r="I5799" s="2" t="n">
        <x:v>4</x:v>
      </x:c>
      <x:c r="J5799" s="2" t="n">
        <x:v>5</x:v>
      </x:c>
      <x:c r="K5799" s="2" t="n">
        <x:v>4</x:v>
      </x:c>
      <x:c r="L5799" s="2" t="str">
        <x:v>Champions</x:v>
      </x:c>
    </x:row>
    <x:row r="5800" ht="22" customHeight="1">
      <x:c r="A5800" s="2"/>
      <x:c r="B5800" s="2" t="str">
        <x:v>18171</x:v>
      </x:c>
      <x:c r="C5800" s="2" t="str">
        <x:v>United Kingdom</x:v>
      </x:c>
      <x:c r="D5800" s="25" t="n">
        <x:v>40183.240277777775</x:v>
      </x:c>
      <x:c r="E5800" s="25" t="n">
        <x:v>40828.17569444444</x:v>
      </x:c>
      <x:c r="F5800" s="2" t="n">
        <x:v>59</x:v>
      </x:c>
      <x:c r="G5800" s="2" t="n">
        <x:v>9</x:v>
      </x:c>
      <x:c r="H5800" s="11" t="n">
        <x:v>2437.31</x:v>
      </x:c>
      <x:c r="I5800" s="2" t="n">
        <x:v>4</x:v>
      </x:c>
      <x:c r="J5800" s="2" t="n">
        <x:v>5</x:v>
      </x:c>
      <x:c r="K5800" s="2" t="n">
        <x:v>4</x:v>
      </x:c>
      <x:c r="L5800" s="2" t="str">
        <x:v>Champions</x:v>
      </x:c>
    </x:row>
    <x:row r="5801" ht="22" customHeight="1">
      <x:c r="A5801" s="2"/>
      <x:c r="B5801" s="2" t="str">
        <x:v>18172</x:v>
      </x:c>
      <x:c r="C5801" s="2" t="str">
        <x:v>United Kingdom</x:v>
      </x:c>
      <x:c r="D5801" s="25" t="n">
        <x:v>40158.20694444444</x:v>
      </x:c>
      <x:c r="E5801" s="25" t="n">
        <x:v>40872.25833333333</x:v>
      </x:c>
      <x:c r="F5801" s="2" t="n">
        <x:v>15</x:v>
      </x:c>
      <x:c r="G5801" s="2" t="n">
        <x:v>52</x:v>
      </x:c>
      <x:c r="H5801" s="11" t="n">
        <x:v>17479.84</x:v>
      </x:c>
      <x:c r="I5801" s="2" t="n">
        <x:v>5</x:v>
      </x:c>
      <x:c r="J5801" s="2" t="n">
        <x:v>5</x:v>
      </x:c>
      <x:c r="K5801" s="2" t="n">
        <x:v>5</x:v>
      </x:c>
      <x:c r="L5801" s="2" t="str">
        <x:v>Champions</x:v>
      </x:c>
    </x:row>
    <x:row r="5802" ht="22" customHeight="1">
      <x:c r="A5802" s="2"/>
      <x:c r="B5802" s="2" t="str">
        <x:v>18173</x:v>
      </x:c>
      <x:c r="C5802" s="2" t="str">
        <x:v>United Kingdom</x:v>
      </x:c>
      <x:c r="D5802" s="25" t="n">
        <x:v>40274.23819444444</x:v>
      </x:c>
      <x:c r="E5802" s="25" t="n">
        <x:v>40800.268055555556</x:v>
      </x:c>
      <x:c r="F5802" s="2" t="n">
        <x:v>87</x:v>
      </x:c>
      <x:c r="G5802" s="2" t="n">
        <x:v>5</x:v>
      </x:c>
      <x:c r="H5802" s="11" t="n">
        <x:v>2696.36</x:v>
      </x:c>
      <x:c r="I5802" s="2" t="n">
        <x:v>3</x:v>
      </x:c>
      <x:c r="J5802" s="2" t="n">
        <x:v>4</x:v>
      </x:c>
      <x:c r="K5802" s="2" t="n">
        <x:v>4</x:v>
      </x:c>
      <x:c r="L5802" s="2" t="str">
        <x:v>Loyal</x:v>
      </x:c>
    </x:row>
    <x:row r="5803" ht="22" customHeight="1">
      <x:c r="A5803" s="2"/>
      <x:c r="B5803" s="2" t="str">
        <x:v>18174</x:v>
      </x:c>
      <x:c r="C5803" s="2" t="str">
        <x:v>United Kingdom</x:v>
      </x:c>
      <x:c r="D5803" s="25" t="n">
        <x:v>40283.30347222222</x:v>
      </x:c>
      <x:c r="E5803" s="25" t="n">
        <x:v>40879.49722222222</x:v>
      </x:c>
      <x:c r="F5803" s="2" t="n">
        <x:v>8</x:v>
      </x:c>
      <x:c r="G5803" s="2" t="n">
        <x:v>2</x:v>
      </x:c>
      <x:c r="H5803" s="11" t="n">
        <x:v>162.5</x:v>
      </x:c>
      <x:c r="I5803" s="2" t="n">
        <x:v>5</x:v>
      </x:c>
      <x:c r="J5803" s="2" t="n">
        <x:v>2</x:v>
      </x:c>
      <x:c r="K5803" s="2" t="n">
        <x:v>1</x:v>
      </x:c>
      <x:c r="L5803" s="2" t="str">
        <x:v>Recent light buyers</x:v>
      </x:c>
    </x:row>
    <x:row r="5804" ht="22" customHeight="1">
      <x:c r="A5804" s="2"/>
      <x:c r="B5804" s="2" t="str">
        <x:v>18175</x:v>
      </x:c>
      <x:c r="C5804" s="2" t="str">
        <x:v>United Kingdom</x:v>
      </x:c>
      <x:c r="D5804" s="25" t="n">
        <x:v>40211.225694444445</x:v>
      </x:c>
      <x:c r="E5804" s="25" t="n">
        <x:v>40211.225694444445</x:v>
      </x:c>
      <x:c r="F5804" s="2" t="n">
        <x:v>676</x:v>
      </x:c>
      <x:c r="G5804" s="2" t="n">
        <x:v>1</x:v>
      </x:c>
      <x:c r="H5804" s="11" t="n">
        <x:v>176.1</x:v>
      </x:c>
      <x:c r="I5804" s="2" t="n">
        <x:v>1</x:v>
      </x:c>
      <x:c r="J5804" s="2" t="n">
        <x:v>1</x:v>
      </x:c>
      <x:c r="K5804" s="2" t="n">
        <x:v>1</x:v>
      </x:c>
      <x:c r="L5804" s="2" t="str">
        <x:v>Hibernating</x:v>
      </x:c>
    </x:row>
    <x:row r="5805" ht="22" customHeight="1">
      <x:c r="A5805" s="2"/>
      <x:c r="B5805" s="2" t="str">
        <x:v>18176</x:v>
      </x:c>
      <x:c r="C5805" s="2" t="str">
        <x:v>United Kingdom</x:v>
      </x:c>
      <x:c r="D5805" s="25" t="n">
        <x:v>40528.447916666664</x:v>
      </x:c>
      <x:c r="E5805" s="25" t="n">
        <x:v>40528.447916666664</x:v>
      </x:c>
      <x:c r="F5805" s="2" t="n">
        <x:v>359</x:v>
      </x:c>
      <x:c r="G5805" s="2" t="n">
        <x:v>1</x:v>
      </x:c>
      <x:c r="H5805" s="11" t="n">
        <x:v>476.35</x:v>
      </x:c>
      <x:c r="I5805" s="2" t="n">
        <x:v>2</x:v>
      </x:c>
      <x:c r="J5805" s="2" t="n">
        <x:v>1</x:v>
      </x:c>
      <x:c r="K5805" s="2" t="n">
        <x:v>2</x:v>
      </x:c>
      <x:c r="L5805" s="2" t="str">
        <x:v>Hibernating</x:v>
      </x:c>
    </x:row>
    <x:row r="5806" ht="22" customHeight="1">
      <x:c r="A5806" s="2"/>
      <x:c r="B5806" s="2" t="str">
        <x:v>18177</x:v>
      </x:c>
      <x:c r="C5806" s="2" t="str">
        <x:v>United Kingdom</x:v>
      </x:c>
      <x:c r="D5806" s="25" t="n">
        <x:v>40162.58125</x:v>
      </x:c>
      <x:c r="E5806" s="25" t="n">
        <x:v>40855.40555555555</x:v>
      </x:c>
      <x:c r="F5806" s="2" t="n">
        <x:v>32</x:v>
      </x:c>
      <x:c r="G5806" s="2" t="n">
        <x:v>9</x:v>
      </x:c>
      <x:c r="H5806" s="11" t="n">
        <x:v>2216.87</x:v>
      </x:c>
      <x:c r="I5806" s="2" t="n">
        <x:v>4</x:v>
      </x:c>
      <x:c r="J5806" s="2" t="n">
        <x:v>5</x:v>
      </x:c>
      <x:c r="K5806" s="2" t="n">
        <x:v>4</x:v>
      </x:c>
      <x:c r="L5806" s="2" t="str">
        <x:v>Champions</x:v>
      </x:c>
    </x:row>
    <x:row r="5807" ht="22" customHeight="1">
      <x:c r="A5807" s="2"/>
      <x:c r="B5807" s="2" t="str">
        <x:v>18178</x:v>
      </x:c>
      <x:c r="C5807" s="2" t="str">
        <x:v>United Kingdom</x:v>
      </x:c>
      <x:c r="D5807" s="25" t="n">
        <x:v>40227.39236111111</x:v>
      </x:c>
      <x:c r="E5807" s="25" t="n">
        <x:v>40758.1875</x:v>
      </x:c>
      <x:c r="F5807" s="2" t="n">
        <x:v>129</x:v>
      </x:c>
      <x:c r="G5807" s="2" t="n">
        <x:v>11</x:v>
      </x:c>
      <x:c r="H5807" s="11" t="n">
        <x:v>6103.74</x:v>
      </x:c>
      <x:c r="I5807" s="2" t="n">
        <x:v>3</x:v>
      </x:c>
      <x:c r="J5807" s="2" t="n">
        <x:v>5</x:v>
      </x:c>
      <x:c r="K5807" s="2" t="n">
        <x:v>5</x:v>
      </x:c>
      <x:c r="L5807" s="2" t="str">
        <x:v>Loyal</x:v>
      </x:c>
    </x:row>
    <x:row r="5808" ht="22" customHeight="1">
      <x:c r="A5808" s="2"/>
      <x:c r="B5808" s="2" t="str">
        <x:v>18179</x:v>
      </x:c>
      <x:c r="C5808" s="2" t="str">
        <x:v>United Kingdom</x:v>
      </x:c>
      <x:c r="D5808" s="25" t="n">
        <x:v>40223.45208333333</x:v>
      </x:c>
      <x:c r="E5808" s="25" t="n">
        <x:v>40877.47430555556</x:v>
      </x:c>
      <x:c r="F5808" s="2" t="n">
        <x:v>10</x:v>
      </x:c>
      <x:c r="G5808" s="2" t="n">
        <x:v>8</x:v>
      </x:c>
      <x:c r="H5808" s="11" t="n">
        <x:v>2547.55</x:v>
      </x:c>
      <x:c r="I5808" s="2" t="n">
        <x:v>5</x:v>
      </x:c>
      <x:c r="J5808" s="2" t="n">
        <x:v>4</x:v>
      </x:c>
      <x:c r="K5808" s="2" t="n">
        <x:v>4</x:v>
      </x:c>
      <x:c r="L5808" s="2" t="str">
        <x:v>Champions</x:v>
      </x:c>
    </x:row>
    <x:row r="5809" ht="22" customHeight="1">
      <x:c r="A5809" s="2"/>
      <x:c r="B5809" s="2" t="str">
        <x:v>18180</x:v>
      </x:c>
      <x:c r="C5809" s="2" t="str">
        <x:v>United Kingdom</x:v>
      </x:c>
      <x:c r="D5809" s="25" t="n">
        <x:v>40744.165972222225</x:v>
      </x:c>
      <x:c r="E5809" s="25" t="n">
        <x:v>40882.152083333334</x:v>
      </x:c>
      <x:c r="F5809" s="2" t="n">
        <x:v>5</x:v>
      </x:c>
      <x:c r="G5809" s="2" t="n">
        <x:v>6</x:v>
      </x:c>
      <x:c r="H5809" s="11" t="n">
        <x:v>1843.75</x:v>
      </x:c>
      <x:c r="I5809" s="2" t="n">
        <x:v>5</x:v>
      </x:c>
      <x:c r="J5809" s="2" t="n">
        <x:v>4</x:v>
      </x:c>
      <x:c r="K5809" s="2" t="n">
        <x:v>4</x:v>
      </x:c>
      <x:c r="L5809" s="2" t="str">
        <x:v>Champions</x:v>
      </x:c>
    </x:row>
    <x:row r="5810" ht="22" customHeight="1">
      <x:c r="A5810" s="2"/>
      <x:c r="B5810" s="2" t="str">
        <x:v>18181</x:v>
      </x:c>
      <x:c r="C5810" s="2" t="str">
        <x:v>United Kingdom</x:v>
      </x:c>
      <x:c r="D5810" s="25" t="n">
        <x:v>40151.4375</x:v>
      </x:c>
      <x:c r="E5810" s="25" t="n">
        <x:v>40862.42222222222</x:v>
      </x:c>
      <x:c r="F5810" s="2" t="n">
        <x:v>25</x:v>
      </x:c>
      <x:c r="G5810" s="2" t="n">
        <x:v>5</x:v>
      </x:c>
      <x:c r="H5810" s="11" t="n">
        <x:v>1205.94</x:v>
      </x:c>
      <x:c r="I5810" s="2" t="n">
        <x:v>4</x:v>
      </x:c>
      <x:c r="J5810" s="2" t="n">
        <x:v>4</x:v>
      </x:c>
      <x:c r="K5810" s="2" t="n">
        <x:v>3</x:v>
      </x:c>
      <x:c r="L5810" s="2" t="str">
        <x:v>Loyal</x:v>
      </x:c>
    </x:row>
    <x:row r="5811" ht="22" customHeight="1">
      <x:c r="A5811" s="2"/>
      <x:c r="B5811" s="2" t="str">
        <x:v>18182</x:v>
      </x:c>
      <x:c r="C5811" s="2" t="str">
        <x:v>United Kingdom</x:v>
      </x:c>
      <x:c r="D5811" s="25" t="n">
        <x:v>40423.39236111111</x:v>
      </x:c>
      <x:c r="E5811" s="25" t="n">
        <x:v>40423.39236111111</x:v>
      </x:c>
      <x:c r="F5811" s="2" t="n">
        <x:v>464</x:v>
      </x:c>
      <x:c r="G5811" s="2" t="n">
        <x:v>1</x:v>
      </x:c>
      <x:c r="H5811" s="11" t="n">
        <x:v>291.13</x:v>
      </x:c>
      <x:c r="I5811" s="2" t="n">
        <x:v>1</x:v>
      </x:c>
      <x:c r="J5811" s="2" t="n">
        <x:v>1</x:v>
      </x:c>
      <x:c r="K5811" s="2" t="n">
        <x:v>2</x:v>
      </x:c>
      <x:c r="L5811" s="2" t="str">
        <x:v>Hibernating</x:v>
      </x:c>
    </x:row>
    <x:row r="5812" ht="22" customHeight="1">
      <x:c r="A5812" s="2"/>
      <x:c r="B5812" s="2" t="str">
        <x:v>18183</x:v>
      </x:c>
      <x:c r="C5812" s="2" t="str">
        <x:v>United Kingdom</x:v>
      </x:c>
      <x:c r="D5812" s="25" t="n">
        <x:v>40612.21388888889</x:v>
      </x:c>
      <x:c r="E5812" s="25" t="n">
        <x:v>40659.43472222222</x:v>
      </x:c>
      <x:c r="F5812" s="2" t="n">
        <x:v>228</x:v>
      </x:c>
      <x:c r="G5812" s="2" t="n">
        <x:v>2</x:v>
      </x:c>
      <x:c r="H5812" s="11" t="n">
        <x:v>632.07</x:v>
      </x:c>
      <x:c r="I5812" s="2" t="n">
        <x:v>2</x:v>
      </x:c>
      <x:c r="J5812" s="2" t="n">
        <x:v>2</x:v>
      </x:c>
      <x:c r="K5812" s="2" t="n">
        <x:v>3</x:v>
      </x:c>
      <x:c r="L5812" s="2" t="str">
        <x:v>Hibernating</x:v>
      </x:c>
    </x:row>
    <x:row r="5813" ht="22" customHeight="1">
      <x:c r="A5813" s="2"/>
      <x:c r="B5813" s="2" t="str">
        <x:v>18184</x:v>
      </x:c>
      <x:c r="C5813" s="2" t="str">
        <x:v>United Kingdom</x:v>
      </x:c>
      <x:c r="D5813" s="25" t="n">
        <x:v>40871.436111111114</x:v>
      </x:c>
      <x:c r="E5813" s="25" t="n">
        <x:v>40871.436111111114</x:v>
      </x:c>
      <x:c r="F5813" s="2" t="n">
        <x:v>16</x:v>
      </x:c>
      <x:c r="G5813" s="2" t="n">
        <x:v>1</x:v>
      </x:c>
      <x:c r="H5813" s="11" t="n">
        <x:v>49.8</x:v>
      </x:c>
      <x:c r="I5813" s="2" t="n">
        <x:v>5</x:v>
      </x:c>
      <x:c r="J5813" s="2" t="n">
        <x:v>1</x:v>
      </x:c>
      <x:c r="K5813" s="2" t="n">
        <x:v>1</x:v>
      </x:c>
      <x:c r="L5813" s="2" t="str">
        <x:v>Recent light buyers</x:v>
      </x:c>
    </x:row>
    <x:row r="5814" ht="22" customHeight="1">
      <x:c r="A5814" s="2"/>
      <x:c r="B5814" s="2" t="str">
        <x:v>18185</x:v>
      </x:c>
      <x:c r="C5814" s="2" t="str">
        <x:v>United Kingdom</x:v>
      </x:c>
      <x:c r="D5814" s="25" t="n">
        <x:v>40637.3625</x:v>
      </x:c>
      <x:c r="E5814" s="25" t="n">
        <x:v>40637.3625</x:v>
      </x:c>
      <x:c r="F5814" s="2" t="n">
        <x:v>250</x:v>
      </x:c>
      <x:c r="G5814" s="2" t="n">
        <x:v>1</x:v>
      </x:c>
      <x:c r="H5814" s="11" t="n">
        <x:v>304.25</x:v>
      </x:c>
      <x:c r="I5814" s="2" t="n">
        <x:v>2</x:v>
      </x:c>
      <x:c r="J5814" s="2" t="n">
        <x:v>1</x:v>
      </x:c>
      <x:c r="K5814" s="2" t="n">
        <x:v>2</x:v>
      </x:c>
      <x:c r="L5814" s="2" t="str">
        <x:v>Hibernating</x:v>
      </x:c>
    </x:row>
    <x:row r="5815" ht="22" customHeight="1">
      <x:c r="A5815" s="2"/>
      <x:c r="B5815" s="2" t="str">
        <x:v>18186</x:v>
      </x:c>
      <x:c r="C5815" s="2" t="str">
        <x:v>United Kingdom</x:v>
      </x:c>
      <x:c r="D5815" s="25" t="n">
        <x:v>40164.22361111111</x:v>
      </x:c>
      <x:c r="E5815" s="25" t="n">
        <x:v>40164.22361111111</x:v>
      </x:c>
      <x:c r="F5815" s="2" t="n">
        <x:v>723</x:v>
      </x:c>
      <x:c r="G5815" s="2" t="n">
        <x:v>1</x:v>
      </x:c>
      <x:c r="H5815" s="11" t="n">
        <x:v>329.58</x:v>
      </x:c>
      <x:c r="I5815" s="2" t="n">
        <x:v>1</x:v>
      </x:c>
      <x:c r="J5815" s="2" t="n">
        <x:v>1</x:v>
      </x:c>
      <x:c r="K5815" s="2" t="n">
        <x:v>2</x:v>
      </x:c>
      <x:c r="L5815" s="2" t="str">
        <x:v>Hibernating</x:v>
      </x:c>
    </x:row>
    <x:row r="5816" ht="22" customHeight="1">
      <x:c r="A5816" s="2"/>
      <x:c r="B5816" s="2" t="str">
        <x:v>18187</x:v>
      </x:c>
      <x:c r="C5816" s="2" t="str">
        <x:v>United Kingdom</x:v>
      </x:c>
      <x:c r="D5816" s="25" t="n">
        <x:v>40255.200694444444</x:v>
      </x:c>
      <x:c r="E5816" s="25" t="n">
        <x:v>40255.200694444444</x:v>
      </x:c>
      <x:c r="F5816" s="2" t="n">
        <x:v>632</x:v>
      </x:c>
      <x:c r="G5816" s="2" t="n">
        <x:v>1</x:v>
      </x:c>
      <x:c r="H5816" s="11" t="n">
        <x:v>724.89</x:v>
      </x:c>
      <x:c r="I5816" s="2" t="n">
        <x:v>1</x:v>
      </x:c>
      <x:c r="J5816" s="2" t="n">
        <x:v>1</x:v>
      </x:c>
      <x:c r="K5816" s="2" t="n">
        <x:v>3</x:v>
      </x:c>
      <x:c r="L5816" s="2" t="str">
        <x:v>Hibernating</x:v>
      </x:c>
    </x:row>
    <x:row r="5817" ht="22" customHeight="1">
      <x:c r="A5817" s="2"/>
      <x:c r="B5817" s="2" t="str">
        <x:v>18188</x:v>
      </x:c>
      <x:c r="C5817" s="2" t="str">
        <x:v>United Kingdom</x:v>
      </x:c>
      <x:c r="D5817" s="25" t="n">
        <x:v>40263.27569444444</x:v>
      </x:c>
      <x:c r="E5817" s="25" t="n">
        <x:v>40871.490277777775</x:v>
      </x:c>
      <x:c r="F5817" s="2" t="n">
        <x:v>16</x:v>
      </x:c>
      <x:c r="G5817" s="2" t="n">
        <x:v>6</x:v>
      </x:c>
      <x:c r="H5817" s="11" t="n">
        <x:v>3280.59</x:v>
      </x:c>
      <x:c r="I5817" s="2" t="n">
        <x:v>5</x:v>
      </x:c>
      <x:c r="J5817" s="2" t="n">
        <x:v>4</x:v>
      </x:c>
      <x:c r="K5817" s="2" t="n">
        <x:v>5</x:v>
      </x:c>
      <x:c r="L5817" s="2" t="str">
        <x:v>Champions</x:v>
      </x:c>
    </x:row>
    <x:row r="5818" ht="22" customHeight="1">
      <x:c r="A5818" s="2"/>
      <x:c r="B5818" s="2" t="str">
        <x:v>18189</x:v>
      </x:c>
      <x:c r="C5818" s="2" t="str">
        <x:v>United Kingdom</x:v>
      </x:c>
      <x:c r="D5818" s="25" t="n">
        <x:v>40261.20625</x:v>
      </x:c>
      <x:c r="E5818" s="25" t="n">
        <x:v>40809.319444444445</x:v>
      </x:c>
      <x:c r="F5818" s="2" t="n">
        <x:v>78</x:v>
      </x:c>
      <x:c r="G5818" s="2" t="n">
        <x:v>3</x:v>
      </x:c>
      <x:c r="H5818" s="11" t="n">
        <x:v>1403.73</x:v>
      </x:c>
      <x:c r="I5818" s="2" t="n">
        <x:v>3</x:v>
      </x:c>
      <x:c r="J5818" s="2" t="n">
        <x:v>3</x:v>
      </x:c>
      <x:c r="K5818" s="2" t="n">
        <x:v>4</x:v>
      </x:c>
      <x:c r="L5818" s="2" t="str">
        <x:v>Loyal</x:v>
      </x:c>
    </x:row>
    <x:row r="5819" ht="22" customHeight="1">
      <x:c r="A5819" s="2"/>
      <x:c r="B5819" s="2" t="str">
        <x:v>18190</x:v>
      </x:c>
      <x:c r="C5819" s="2" t="str">
        <x:v>United Kingdom</x:v>
      </x:c>
      <x:c r="D5819" s="25" t="n">
        <x:v>40169.29513888889</x:v>
      </x:c>
      <x:c r="E5819" s="25" t="n">
        <x:v>40694.40833333333</x:v>
      </x:c>
      <x:c r="F5819" s="2" t="n">
        <x:v>193</x:v>
      </x:c>
      <x:c r="G5819" s="2" t="n">
        <x:v>5</x:v>
      </x:c>
      <x:c r="H5819" s="11" t="n">
        <x:v>745.62</x:v>
      </x:c>
      <x:c r="I5819" s="2" t="n">
        <x:v>2</x:v>
      </x:c>
      <x:c r="J5819" s="2" t="n">
        <x:v>4</x:v>
      </x:c>
      <x:c r="K5819" s="2" t="n">
        <x:v>3</x:v>
      </x:c>
      <x:c r="L5819" s="2" t="str">
        <x:v>At risk</x:v>
      </x:c>
    </x:row>
    <x:row r="5820" ht="22" customHeight="1">
      <x:c r="A5820" s="2"/>
      <x:c r="B5820" s="2" t="str">
        <x:v>18191</x:v>
      </x:c>
      <x:c r="C5820" s="2" t="str">
        <x:v>United Kingdom</x:v>
      </x:c>
      <x:c r="D5820" s="25" t="n">
        <x:v>40409.52916666667</x:v>
      </x:c>
      <x:c r="E5820" s="25" t="n">
        <x:v>40625.29722222222</x:v>
      </x:c>
      <x:c r="F5820" s="2" t="n">
        <x:v>262</x:v>
      </x:c>
      <x:c r="G5820" s="2" t="n">
        <x:v>2</x:v>
      </x:c>
      <x:c r="H5820" s="11" t="n">
        <x:v>529.4</x:v>
      </x:c>
      <x:c r="I5820" s="2" t="n">
        <x:v>2</x:v>
      </x:c>
      <x:c r="J5820" s="2" t="n">
        <x:v>2</x:v>
      </x:c>
      <x:c r="K5820" s="2" t="n">
        <x:v>2</x:v>
      </x:c>
      <x:c r="L5820" s="2" t="str">
        <x:v>Hibernating</x:v>
      </x:c>
    </x:row>
    <x:row r="5821" ht="22" customHeight="1">
      <x:c r="A5821" s="2"/>
      <x:c r="B5821" s="2" t="str">
        <x:v>18192</x:v>
      </x:c>
      <x:c r="C5821" s="2" t="str">
        <x:v>United Kingdom</x:v>
      </x:c>
      <x:c r="D5821" s="25" t="n">
        <x:v>40815.20347222222</x:v>
      </x:c>
      <x:c r="E5821" s="25" t="n">
        <x:v>40815.20347222222</x:v>
      </x:c>
      <x:c r="F5821" s="2" t="n">
        <x:v>72</x:v>
      </x:c>
      <x:c r="G5821" s="2" t="n">
        <x:v>1</x:v>
      </x:c>
      <x:c r="H5821" s="11" t="n">
        <x:v>957.97</x:v>
      </x:c>
      <x:c r="I5821" s="2" t="n">
        <x:v>3</x:v>
      </x:c>
      <x:c r="J5821" s="2" t="n">
        <x:v>1</x:v>
      </x:c>
      <x:c r="K5821" s="2" t="n">
        <x:v>3</x:v>
      </x:c>
      <x:c r="L5821" s="2" t="str">
        <x:v>Developing</x:v>
      </x:c>
    </x:row>
    <x:row r="5822" ht="22" customHeight="1">
      <x:c r="A5822" s="2"/>
      <x:c r="B5822" s="2" t="str">
        <x:v>18193</x:v>
      </x:c>
      <x:c r="C5822" s="2" t="str">
        <x:v>United Kingdom</x:v>
      </x:c>
      <x:c r="D5822" s="25" t="n">
        <x:v>40444.35625</x:v>
      </x:c>
      <x:c r="E5822" s="25" t="n">
        <x:v>40721.373611111114</x:v>
      </x:c>
      <x:c r="F5822" s="2" t="n">
        <x:v>166</x:v>
      </x:c>
      <x:c r="G5822" s="2" t="n">
        <x:v>3</x:v>
      </x:c>
      <x:c r="H5822" s="11" t="n">
        <x:v>1207.35</x:v>
      </x:c>
      <x:c r="I5822" s="2" t="n">
        <x:v>3</x:v>
      </x:c>
      <x:c r="J5822" s="2" t="n">
        <x:v>3</x:v>
      </x:c>
      <x:c r="K5822" s="2" t="n">
        <x:v>3</x:v>
      </x:c>
      <x:c r="L5822" s="2" t="str">
        <x:v>Loyal</x:v>
      </x:c>
    </x:row>
    <x:row r="5823" ht="22" customHeight="1">
      <x:c r="A5823" s="2"/>
      <x:c r="B5823" s="2" t="str">
        <x:v>18194</x:v>
      </x:c>
      <x:c r="C5823" s="2" t="str">
        <x:v>United Kingdom</x:v>
      </x:c>
      <x:c r="D5823" s="25" t="n">
        <x:v>40206.4375</x:v>
      </x:c>
      <x:c r="E5823" s="25" t="n">
        <x:v>40804.353472222225</x:v>
      </x:c>
      <x:c r="F5823" s="2" t="n">
        <x:v>83</x:v>
      </x:c>
      <x:c r="G5823" s="2" t="n">
        <x:v>6</x:v>
      </x:c>
      <x:c r="H5823" s="11" t="n">
        <x:v>4162.04</x:v>
      </x:c>
      <x:c r="I5823" s="2" t="n">
        <x:v>3</x:v>
      </x:c>
      <x:c r="J5823" s="2" t="n">
        <x:v>4</x:v>
      </x:c>
      <x:c r="K5823" s="2" t="n">
        <x:v>5</x:v>
      </x:c>
      <x:c r="L5823" s="2" t="str">
        <x:v>Loyal</x:v>
      </x:c>
    </x:row>
    <x:row r="5824" ht="22" customHeight="1">
      <x:c r="A5824" s="2"/>
      <x:c r="B5824" s="2" t="str">
        <x:v>18195</x:v>
      </x:c>
      <x:c r="C5824" s="2" t="str">
        <x:v>United Kingdom</x:v>
      </x:c>
      <x:c r="D5824" s="25" t="n">
        <x:v>40499.41875</x:v>
      </x:c>
      <x:c r="E5824" s="25" t="n">
        <x:v>40499.41875</x:v>
      </x:c>
      <x:c r="F5824" s="2" t="n">
        <x:v>388</x:v>
      </x:c>
      <x:c r="G5824" s="2" t="n">
        <x:v>1</x:v>
      </x:c>
      <x:c r="H5824" s="11" t="n">
        <x:v>101.16</x:v>
      </x:c>
      <x:c r="I5824" s="2" t="n">
        <x:v>2</x:v>
      </x:c>
      <x:c r="J5824" s="2" t="n">
        <x:v>1</x:v>
      </x:c>
      <x:c r="K5824" s="2" t="n">
        <x:v>1</x:v>
      </x:c>
      <x:c r="L5824" s="2" t="str">
        <x:v>Hibernating</x:v>
      </x:c>
    </x:row>
    <x:row r="5825" ht="22" customHeight="1">
      <x:c r="A5825" s="2"/>
      <x:c r="B5825" s="2" t="str">
        <x:v>18196</x:v>
      </x:c>
      <x:c r="C5825" s="2" t="str">
        <x:v>United Kingdom</x:v>
      </x:c>
      <x:c r="D5825" s="25" t="n">
        <x:v>40254.413194444445</x:v>
      </x:c>
      <x:c r="E5825" s="25" t="n">
        <x:v>40791.47361111111</x:v>
      </x:c>
      <x:c r="F5825" s="2" t="n">
        <x:v>96</x:v>
      </x:c>
      <x:c r="G5825" s="2" t="n">
        <x:v>4</x:v>
      </x:c>
      <x:c r="H5825" s="11" t="n">
        <x:v>1464.31</x:v>
      </x:c>
      <x:c r="I5825" s="2" t="n">
        <x:v>3</x:v>
      </x:c>
      <x:c r="J5825" s="2" t="n">
        <x:v>3</x:v>
      </x:c>
      <x:c r="K5825" s="2" t="n">
        <x:v>4</x:v>
      </x:c>
      <x:c r="L5825" s="2" t="str">
        <x:v>Loyal</x:v>
      </x:c>
    </x:row>
    <x:row r="5826" ht="22" customHeight="1">
      <x:c r="A5826" s="2"/>
      <x:c r="B5826" s="2" t="str">
        <x:v>18197</x:v>
      </x:c>
      <x:c r="C5826" s="2" t="str">
        <x:v>United Kingdom</x:v>
      </x:c>
      <x:c r="D5826" s="25" t="n">
        <x:v>40311.240277777775</x:v>
      </x:c>
      <x:c r="E5826" s="25" t="n">
        <x:v>40311.240277777775</x:v>
      </x:c>
      <x:c r="F5826" s="2" t="n">
        <x:v>576</x:v>
      </x:c>
      <x:c r="G5826" s="2" t="n">
        <x:v>1</x:v>
      </x:c>
      <x:c r="H5826" s="11" t="n">
        <x:v>230.1</x:v>
      </x:c>
      <x:c r="I5826" s="2" t="n">
        <x:v>1</x:v>
      </x:c>
      <x:c r="J5826" s="2" t="n">
        <x:v>1</x:v>
      </x:c>
      <x:c r="K5826" s="2" t="n">
        <x:v>1</x:v>
      </x:c>
      <x:c r="L5826" s="2" t="str">
        <x:v>Hibernating</x:v>
      </x:c>
    </x:row>
    <x:row r="5827" ht="22" customHeight="1">
      <x:c r="A5827" s="2"/>
      <x:c r="B5827" s="2" t="str">
        <x:v>18198</x:v>
      </x:c>
      <x:c r="C5827" s="2" t="str">
        <x:v>United Kingdom</x:v>
      </x:c>
      <x:c r="D5827" s="25" t="n">
        <x:v>40550.36041666667</x:v>
      </x:c>
      <x:c r="E5827" s="25" t="n">
        <x:v>40882.40902777778</x:v>
      </x:c>
      <x:c r="F5827" s="2" t="n">
        <x:v>5</x:v>
      </x:c>
      <x:c r="G5827" s="2" t="n">
        <x:v>17</x:v>
      </x:c>
      <x:c r="H5827" s="11" t="n">
        <x:v>5425.56</x:v>
      </x:c>
      <x:c r="I5827" s="2" t="n">
        <x:v>5</x:v>
      </x:c>
      <x:c r="J5827" s="2" t="n">
        <x:v>5</x:v>
      </x:c>
      <x:c r="K5827" s="2" t="n">
        <x:v>5</x:v>
      </x:c>
      <x:c r="L5827" s="2" t="str">
        <x:v>Champions</x:v>
      </x:c>
    </x:row>
    <x:row r="5828" ht="22" customHeight="1">
      <x:c r="A5828" s="2"/>
      <x:c r="B5828" s="2" t="str">
        <x:v>18199</x:v>
      </x:c>
      <x:c r="C5828" s="2" t="str">
        <x:v>United Kingdom</x:v>
      </x:c>
      <x:c r="D5828" s="25" t="n">
        <x:v>40203.27222222222</x:v>
      </x:c>
      <x:c r="E5828" s="25" t="n">
        <x:v>40203.27222222222</x:v>
      </x:c>
      <x:c r="F5828" s="2" t="n">
        <x:v>684</x:v>
      </x:c>
      <x:c r="G5828" s="2" t="n">
        <x:v>1</x:v>
      </x:c>
      <x:c r="H5828" s="11" t="n">
        <x:v>344.75</x:v>
      </x:c>
      <x:c r="I5828" s="2" t="n">
        <x:v>1</x:v>
      </x:c>
      <x:c r="J5828" s="2" t="n">
        <x:v>1</x:v>
      </x:c>
      <x:c r="K5828" s="2" t="n">
        <x:v>2</x:v>
      </x:c>
      <x:c r="L5828" s="2" t="str">
        <x:v>Hibernating</x:v>
      </x:c>
    </x:row>
    <x:row r="5829" ht="22" customHeight="1">
      <x:c r="A5829" s="2"/>
      <x:c r="B5829" s="2" t="str">
        <x:v>18200</x:v>
      </x:c>
      <x:c r="C5829" s="2" t="str">
        <x:v>United Kingdom</x:v>
      </x:c>
      <x:c r="D5829" s="25" t="n">
        <x:v>40780.572916666664</x:v>
      </x:c>
      <x:c r="E5829" s="25" t="n">
        <x:v>40780.572916666664</x:v>
      </x:c>
      <x:c r="F5829" s="2" t="n">
        <x:v>107</x:v>
      </x:c>
      <x:c r="G5829" s="2" t="n">
        <x:v>1</x:v>
      </x:c>
      <x:c r="H5829" s="11" t="n">
        <x:v>163.8</x:v>
      </x:c>
      <x:c r="I5829" s="2" t="n">
        <x:v>3</x:v>
      </x:c>
      <x:c r="J5829" s="2" t="n">
        <x:v>1</x:v>
      </x:c>
      <x:c r="K5829" s="2" t="n">
        <x:v>1</x:v>
      </x:c>
      <x:c r="L5829" s="2" t="str">
        <x:v>Developing</x:v>
      </x:c>
    </x:row>
    <x:row r="5830" ht="22" customHeight="1">
      <x:c r="A5830" s="2"/>
      <x:c r="B5830" s="2" t="str">
        <x:v>18201</x:v>
      </x:c>
      <x:c r="C5830" s="2" t="str">
        <x:v>United Kingdom</x:v>
      </x:c>
      <x:c r="D5830" s="25" t="n">
        <x:v>40164.163194444445</x:v>
      </x:c>
      <x:c r="E5830" s="25" t="n">
        <x:v>40164.163194444445</x:v>
      </x:c>
      <x:c r="F5830" s="2" t="n">
        <x:v>723</x:v>
      </x:c>
      <x:c r="G5830" s="2" t="n">
        <x:v>1</x:v>
      </x:c>
      <x:c r="H5830" s="11" t="n">
        <x:v>447.53</x:v>
      </x:c>
      <x:c r="I5830" s="2" t="n">
        <x:v>1</x:v>
      </x:c>
      <x:c r="J5830" s="2" t="n">
        <x:v>1</x:v>
      </x:c>
      <x:c r="K5830" s="2" t="n">
        <x:v>2</x:v>
      </x:c>
      <x:c r="L5830" s="2" t="str">
        <x:v>Hibernating</x:v>
      </x:c>
    </x:row>
    <x:row r="5831" ht="22" customHeight="1">
      <x:c r="A5831" s="2"/>
      <x:c r="B5831" s="2" t="str">
        <x:v>18202</x:v>
      </x:c>
      <x:c r="C5831" s="2" t="str">
        <x:v>United Kingdom</x:v>
      </x:c>
      <x:c r="D5831" s="25" t="n">
        <x:v>40575.35833333333</x:v>
      </x:c>
      <x:c r="E5831" s="25" t="n">
        <x:v>40687.3</x:v>
      </x:c>
      <x:c r="F5831" s="2" t="n">
        <x:v>200</x:v>
      </x:c>
      <x:c r="G5831" s="2" t="n">
        <x:v>3</x:v>
      </x:c>
      <x:c r="H5831" s="11" t="n">
        <x:v>1396.99</x:v>
      </x:c>
      <x:c r="I5831" s="2" t="n">
        <x:v>2</x:v>
      </x:c>
      <x:c r="J5831" s="2" t="n">
        <x:v>3</x:v>
      </x:c>
      <x:c r="K5831" s="2" t="n">
        <x:v>4</x:v>
      </x:c>
      <x:c r="L5831" s="2" t="str">
        <x:v>At risk</x:v>
      </x:c>
    </x:row>
    <x:row r="5832" ht="22" customHeight="1">
      <x:c r="A5832" s="2"/>
      <x:c r="B5832" s="2" t="str">
        <x:v>18203</x:v>
      </x:c>
      <x:c r="C5832" s="2" t="str">
        <x:v>United Kingdom</x:v>
      </x:c>
      <x:c r="D5832" s="25" t="n">
        <x:v>40155.34652777778</x:v>
      </x:c>
      <x:c r="E5832" s="25" t="n">
        <x:v>40729.33819444444</x:v>
      </x:c>
      <x:c r="F5832" s="2" t="n">
        <x:v>158</x:v>
      </x:c>
      <x:c r="G5832" s="2" t="n">
        <x:v>4</x:v>
      </x:c>
      <x:c r="H5832" s="11" t="n">
        <x:v>504.42</x:v>
      </x:c>
      <x:c r="I5832" s="2" t="n">
        <x:v>3</x:v>
      </x:c>
      <x:c r="J5832" s="2" t="n">
        <x:v>3</x:v>
      </x:c>
      <x:c r="K5832" s="2" t="n">
        <x:v>2</x:v>
      </x:c>
      <x:c r="L5832" s="2" t="str">
        <x:v>Loyal</x:v>
      </x:c>
    </x:row>
    <x:row r="5833" ht="22" customHeight="1">
      <x:c r="A5833" s="2"/>
      <x:c r="B5833" s="2" t="str">
        <x:v>18204</x:v>
      </x:c>
      <x:c r="C5833" s="2" t="str">
        <x:v>United Kingdom</x:v>
      </x:c>
      <x:c r="D5833" s="25" t="n">
        <x:v>40694.43472222222</x:v>
      </x:c>
      <x:c r="E5833" s="25" t="n">
        <x:v>40815.48888888889</x:v>
      </x:c>
      <x:c r="F5833" s="2" t="n">
        <x:v>72</x:v>
      </x:c>
      <x:c r="G5833" s="2" t="n">
        <x:v>3</x:v>
      </x:c>
      <x:c r="H5833" s="11" t="n">
        <x:v>1993.7</x:v>
      </x:c>
      <x:c r="I5833" s="2" t="n">
        <x:v>3</x:v>
      </x:c>
      <x:c r="J5833" s="2" t="n">
        <x:v>3</x:v>
      </x:c>
      <x:c r="K5833" s="2" t="n">
        <x:v>4</x:v>
      </x:c>
      <x:c r="L5833" s="2" t="str">
        <x:v>Loyal</x:v>
      </x:c>
    </x:row>
    <x:row r="5834" ht="22" customHeight="1">
      <x:c r="A5834" s="2"/>
      <x:c r="B5834" s="2" t="str">
        <x:v>18205</x:v>
      </x:c>
      <x:c r="C5834" s="2" t="str">
        <x:v>United Kingdom</x:v>
      </x:c>
      <x:c r="D5834" s="25" t="n">
        <x:v>40812.29305555556</x:v>
      </x:c>
      <x:c r="E5834" s="25" t="n">
        <x:v>40850.34861111111</x:v>
      </x:c>
      <x:c r="F5834" s="2" t="n">
        <x:v>37</x:v>
      </x:c>
      <x:c r="G5834" s="2" t="n">
        <x:v>2</x:v>
      </x:c>
      <x:c r="H5834" s="11" t="n">
        <x:v>517.36</x:v>
      </x:c>
      <x:c r="I5834" s="2" t="n">
        <x:v>4</x:v>
      </x:c>
      <x:c r="J5834" s="2" t="n">
        <x:v>2</x:v>
      </x:c>
      <x:c r="K5834" s="2" t="n">
        <x:v>2</x:v>
      </x:c>
      <x:c r="L5834" s="2" t="str">
        <x:v>Recent light buyers</x:v>
      </x:c>
    </x:row>
    <x:row r="5835" ht="22" customHeight="1">
      <x:c r="A5835" s="2"/>
      <x:c r="B5835" s="2" t="str">
        <x:v>18206</x:v>
      </x:c>
      <x:c r="C5835" s="2" t="str">
        <x:v>United Kingdom</x:v>
      </x:c>
      <x:c r="D5835" s="25" t="n">
        <x:v>40333.36597222222</x:v>
      </x:c>
      <x:c r="E5835" s="25" t="n">
        <x:v>40333.36597222222</x:v>
      </x:c>
      <x:c r="F5835" s="2" t="n">
        <x:v>554</x:v>
      </x:c>
      <x:c r="G5835" s="2" t="n">
        <x:v>1</x:v>
      </x:c>
      <x:c r="H5835" s="11" t="n">
        <x:v>314.66</x:v>
      </x:c>
      <x:c r="I5835" s="2" t="n">
        <x:v>1</x:v>
      </x:c>
      <x:c r="J5835" s="2" t="n">
        <x:v>1</x:v>
      </x:c>
      <x:c r="K5835" s="2" t="n">
        <x:v>2</x:v>
      </x:c>
      <x:c r="L5835" s="2" t="str">
        <x:v>Hibernating</x:v>
      </x:c>
    </x:row>
    <x:row r="5836" ht="22" customHeight="1">
      <x:c r="A5836" s="2"/>
      <x:c r="B5836" s="2" t="str">
        <x:v>18207</x:v>
      </x:c>
      <x:c r="C5836" s="2" t="str">
        <x:v>United Kingdom</x:v>
      </x:c>
      <x:c r="D5836" s="25" t="n">
        <x:v>40387.393055555556</x:v>
      </x:c>
      <x:c r="E5836" s="25" t="n">
        <x:v>40387.393055555556</x:v>
      </x:c>
      <x:c r="F5836" s="2" t="n">
        <x:v>500</x:v>
      </x:c>
      <x:c r="G5836" s="2" t="n">
        <x:v>1</x:v>
      </x:c>
      <x:c r="H5836" s="11" t="n">
        <x:v>544.47</x:v>
      </x:c>
      <x:c r="I5836" s="2" t="n">
        <x:v>1</x:v>
      </x:c>
      <x:c r="J5836" s="2" t="n">
        <x:v>1</x:v>
      </x:c>
      <x:c r="K5836" s="2" t="n">
        <x:v>2</x:v>
      </x:c>
      <x:c r="L5836" s="2" t="str">
        <x:v>Hibernating</x:v>
      </x:c>
    </x:row>
    <x:row r="5837" ht="22" customHeight="1">
      <x:c r="A5837" s="2"/>
      <x:c r="B5837" s="2" t="str">
        <x:v>18208</x:v>
      </x:c>
      <x:c r="C5837" s="2" t="str">
        <x:v>United Kingdom</x:v>
      </x:c>
      <x:c r="D5837" s="25" t="n">
        <x:v>40321.2875</x:v>
      </x:c>
      <x:c r="E5837" s="25" t="n">
        <x:v>40321.2875</x:v>
      </x:c>
      <x:c r="F5837" s="2" t="n">
        <x:v>566</x:v>
      </x:c>
      <x:c r="G5837" s="2" t="n">
        <x:v>1</x:v>
      </x:c>
      <x:c r="H5837" s="11" t="n">
        <x:v>360.08</x:v>
      </x:c>
      <x:c r="I5837" s="2" t="n">
        <x:v>1</x:v>
      </x:c>
      <x:c r="J5837" s="2" t="n">
        <x:v>1</x:v>
      </x:c>
      <x:c r="K5837" s="2" t="n">
        <x:v>2</x:v>
      </x:c>
      <x:c r="L5837" s="2" t="str">
        <x:v>Hibernating</x:v>
      </x:c>
    </x:row>
    <x:row r="5838" ht="22" customHeight="1">
      <x:c r="A5838" s="2"/>
      <x:c r="B5838" s="2" t="str">
        <x:v>18209</x:v>
      </x:c>
      <x:c r="C5838" s="2" t="str">
        <x:v>United Kingdom</x:v>
      </x:c>
      <x:c r="D5838" s="25" t="n">
        <x:v>40858.29652777778</x:v>
      </x:c>
      <x:c r="E5838" s="25" t="n">
        <x:v>40858.29652777778</x:v>
      </x:c>
      <x:c r="F5838" s="2" t="n">
        <x:v>29</x:v>
      </x:c>
      <x:c r="G5838" s="2" t="n">
        <x:v>1</x:v>
      </x:c>
      <x:c r="H5838" s="11" t="n">
        <x:v>139.1</x:v>
      </x:c>
      <x:c r="I5838" s="2" t="n">
        <x:v>4</x:v>
      </x:c>
      <x:c r="J5838" s="2" t="n">
        <x:v>1</x:v>
      </x:c>
      <x:c r="K5838" s="2" t="n">
        <x:v>1</x:v>
      </x:c>
      <x:c r="L5838" s="2" t="str">
        <x:v>Recent light buyers</x:v>
      </x:c>
    </x:row>
    <x:row r="5839" ht="22" customHeight="1">
      <x:c r="A5839" s="2"/>
      <x:c r="B5839" s="2" t="str">
        <x:v>18210</x:v>
      </x:c>
      <x:c r="C5839" s="2" t="str">
        <x:v>United Kingdom</x:v>
      </x:c>
      <x:c r="D5839" s="25" t="n">
        <x:v>40504.19375</x:v>
      </x:c>
      <x:c r="E5839" s="25" t="n">
        <x:v>40885.251388888886</x:v>
      </x:c>
      <x:c r="F5839" s="2" t="n">
        <x:v>2</x:v>
      </x:c>
      <x:c r="G5839" s="2" t="n">
        <x:v>7</x:v>
      </x:c>
      <x:c r="H5839" s="11" t="n">
        <x:v>2768.83</x:v>
      </x:c>
      <x:c r="I5839" s="2" t="n">
        <x:v>5</x:v>
      </x:c>
      <x:c r="J5839" s="2" t="n">
        <x:v>4</x:v>
      </x:c>
      <x:c r="K5839" s="2" t="n">
        <x:v>4</x:v>
      </x:c>
      <x:c r="L5839" s="2" t="str">
        <x:v>Champions</x:v>
      </x:c>
    </x:row>
    <x:row r="5840" ht="22" customHeight="1">
      <x:c r="A5840" s="2"/>
      <x:c r="B5840" s="2" t="str">
        <x:v>18211</x:v>
      </x:c>
      <x:c r="C5840" s="2" t="str">
        <x:v>United Kingdom</x:v>
      </x:c>
      <x:c r="D5840" s="25" t="n">
        <x:v>40608.29791666667</x:v>
      </x:c>
      <x:c r="E5840" s="25" t="n">
        <x:v>40861.131944444445</x:v>
      </x:c>
      <x:c r="F5840" s="2" t="n">
        <x:v>26</x:v>
      </x:c>
      <x:c r="G5840" s="2" t="n">
        <x:v>5</x:v>
      </x:c>
      <x:c r="H5840" s="11" t="n">
        <x:v>600.07</x:v>
      </x:c>
      <x:c r="I5840" s="2" t="n">
        <x:v>4</x:v>
      </x:c>
      <x:c r="J5840" s="2" t="n">
        <x:v>4</x:v>
      </x:c>
      <x:c r="K5840" s="2" t="n">
        <x:v>2</x:v>
      </x:c>
      <x:c r="L5840" s="2" t="str">
        <x:v>Loyal</x:v>
      </x:c>
    </x:row>
    <x:row r="5841" ht="22" customHeight="1">
      <x:c r="A5841" s="2"/>
      <x:c r="B5841" s="2" t="str">
        <x:v>18212</x:v>
      </x:c>
      <x:c r="C5841" s="2" t="str">
        <x:v>United Kingdom</x:v>
      </x:c>
      <x:c r="D5841" s="25" t="n">
        <x:v>40209.40416666667</x:v>
      </x:c>
      <x:c r="E5841" s="25" t="n">
        <x:v>40560.46805555555</x:v>
      </x:c>
      <x:c r="F5841" s="2" t="n">
        <x:v>327</x:v>
      </x:c>
      <x:c r="G5841" s="2" t="n">
        <x:v>2</x:v>
      </x:c>
      <x:c r="H5841" s="11" t="n">
        <x:v>546.72</x:v>
      </x:c>
      <x:c r="I5841" s="2" t="n">
        <x:v>2</x:v>
      </x:c>
      <x:c r="J5841" s="2" t="n">
        <x:v>2</x:v>
      </x:c>
      <x:c r="K5841" s="2" t="n">
        <x:v>2</x:v>
      </x:c>
      <x:c r="L5841" s="2" t="str">
        <x:v>Hibernating</x:v>
      </x:c>
    </x:row>
    <x:row r="5842" ht="22" customHeight="1">
      <x:c r="A5842" s="2"/>
      <x:c r="B5842" s="2" t="str">
        <x:v>18213</x:v>
      </x:c>
      <x:c r="C5842" s="2" t="str">
        <x:v>United Kingdom</x:v>
      </x:c>
      <x:c r="D5842" s="25" t="n">
        <x:v>40650.222916666666</x:v>
      </x:c>
      <x:c r="E5842" s="25" t="n">
        <x:v>40650.222916666666</x:v>
      </x:c>
      <x:c r="F5842" s="2" t="n">
        <x:v>237</x:v>
      </x:c>
      <x:c r="G5842" s="2" t="n">
        <x:v>1</x:v>
      </x:c>
      <x:c r="H5842" s="11" t="n">
        <x:v>232.48</x:v>
      </x:c>
      <x:c r="I5842" s="2" t="n">
        <x:v>2</x:v>
      </x:c>
      <x:c r="J5842" s="2" t="n">
        <x:v>1</x:v>
      </x:c>
      <x:c r="K5842" s="2" t="n">
        <x:v>1</x:v>
      </x:c>
      <x:c r="L5842" s="2" t="str">
        <x:v>Hibernating</x:v>
      </x:c>
    </x:row>
    <x:row r="5843" ht="22" customHeight="1">
      <x:c r="A5843" s="2"/>
      <x:c r="B5843" s="2" t="str">
        <x:v>18214</x:v>
      </x:c>
      <x:c r="C5843" s="2" t="str">
        <x:v>United Kingdom</x:v>
      </x:c>
      <x:c r="D5843" s="25" t="n">
        <x:v>40332.61597222222</x:v>
      </x:c>
      <x:c r="E5843" s="25" t="n">
        <x:v>40356.26458333333</x:v>
      </x:c>
      <x:c r="F5843" s="2" t="n">
        <x:v>531</x:v>
      </x:c>
      <x:c r="G5843" s="2" t="n">
        <x:v>4</x:v>
      </x:c>
      <x:c r="H5843" s="11" t="n">
        <x:v>1780.34</x:v>
      </x:c>
      <x:c r="I5843" s="2" t="n">
        <x:v>1</x:v>
      </x:c>
      <x:c r="J5843" s="2" t="n">
        <x:v>3</x:v>
      </x:c>
      <x:c r="K5843" s="2" t="n">
        <x:v>4</x:v>
      </x:c>
      <x:c r="L5843" s="2" t="str">
        <x:v>At risk</x:v>
      </x:c>
    </x:row>
    <x:row r="5844" ht="22" customHeight="1">
      <x:c r="A5844" s="2"/>
      <x:c r="B5844" s="2" t="str">
        <x:v>18215</x:v>
      </x:c>
      <x:c r="C5844" s="2" t="str">
        <x:v>United Kingdom</x:v>
      </x:c>
      <x:c r="D5844" s="25" t="n">
        <x:v>40263.33541666667</x:v>
      </x:c>
      <x:c r="E5844" s="25" t="n">
        <x:v>40797.461805555555</x:v>
      </x:c>
      <x:c r="F5844" s="2" t="n">
        <x:v>90</x:v>
      </x:c>
      <x:c r="G5844" s="2" t="n">
        <x:v>5</x:v>
      </x:c>
      <x:c r="H5844" s="11" t="n">
        <x:v>2247.49</x:v>
      </x:c>
      <x:c r="I5844" s="2" t="n">
        <x:v>3</x:v>
      </x:c>
      <x:c r="J5844" s="2" t="n">
        <x:v>4</x:v>
      </x:c>
      <x:c r="K5844" s="2" t="n">
        <x:v>4</x:v>
      </x:c>
      <x:c r="L5844" s="2" t="str">
        <x:v>Loyal</x:v>
      </x:c>
    </x:row>
    <x:row r="5845" ht="22" customHeight="1">
      <x:c r="A5845" s="2"/>
      <x:c r="B5845" s="2" t="str">
        <x:v>18216</x:v>
      </x:c>
      <x:c r="C5845" s="2" t="str">
        <x:v>United Kingdom</x:v>
      </x:c>
      <x:c r="D5845" s="25" t="n">
        <x:v>40855.49652777778</x:v>
      </x:c>
      <x:c r="E5845" s="25" t="n">
        <x:v>40855.49652777778</x:v>
      </x:c>
      <x:c r="F5845" s="2" t="n">
        <x:v>32</x:v>
      </x:c>
      <x:c r="G5845" s="2" t="n">
        <x:v>1</x:v>
      </x:c>
      <x:c r="H5845" s="11" t="n">
        <x:v>481.75</x:v>
      </x:c>
      <x:c r="I5845" s="2" t="n">
        <x:v>4</x:v>
      </x:c>
      <x:c r="J5845" s="2" t="n">
        <x:v>1</x:v>
      </x:c>
      <x:c r="K5845" s="2" t="n">
        <x:v>2</x:v>
      </x:c>
      <x:c r="L5845" s="2" t="str">
        <x:v>Recent light buyers</x:v>
      </x:c>
    </x:row>
    <x:row r="5846" ht="22" customHeight="1">
      <x:c r="A5846" s="2"/>
      <x:c r="B5846" s="2" t="str">
        <x:v>18217</x:v>
      </x:c>
      <x:c r="C5846" s="2" t="str">
        <x:v>United Kingdom</x:v>
      </x:c>
      <x:c r="D5846" s="25" t="n">
        <x:v>40360.44375</x:v>
      </x:c>
      <x:c r="E5846" s="25" t="n">
        <x:v>40857.34583333333</x:v>
      </x:c>
      <x:c r="F5846" s="2" t="n">
        <x:v>30</x:v>
      </x:c>
      <x:c r="G5846" s="2" t="n">
        <x:v>4</x:v>
      </x:c>
      <x:c r="H5846" s="11" t="n">
        <x:v>945.04</x:v>
      </x:c>
      <x:c r="I5846" s="2" t="n">
        <x:v>4</x:v>
      </x:c>
      <x:c r="J5846" s="2" t="n">
        <x:v>3</x:v>
      </x:c>
      <x:c r="K5846" s="2" t="n">
        <x:v>3</x:v>
      </x:c>
      <x:c r="L5846" s="2" t="str">
        <x:v>Loyal</x:v>
      </x:c>
    </x:row>
    <x:row r="5847" ht="22" customHeight="1">
      <x:c r="A5847" s="2"/>
      <x:c r="B5847" s="2" t="str">
        <x:v>18218</x:v>
      </x:c>
      <x:c r="C5847" s="2" t="str">
        <x:v>United Kingdom</x:v>
      </x:c>
      <x:c r="D5847" s="25" t="n">
        <x:v>40226.424305555556</x:v>
      </x:c>
      <x:c r="E5847" s="25" t="n">
        <x:v>40675.32847222222</x:v>
      </x:c>
      <x:c r="F5847" s="2" t="n">
        <x:v>212</x:v>
      </x:c>
      <x:c r="G5847" s="2" t="n">
        <x:v>4</x:v>
      </x:c>
      <x:c r="H5847" s="11" t="n">
        <x:v>1142</x:v>
      </x:c>
      <x:c r="I5847" s="2" t="n">
        <x:v>2</x:v>
      </x:c>
      <x:c r="J5847" s="2" t="n">
        <x:v>3</x:v>
      </x:c>
      <x:c r="K5847" s="2" t="n">
        <x:v>3</x:v>
      </x:c>
      <x:c r="L5847" s="2" t="str">
        <x:v>At risk</x:v>
      </x:c>
    </x:row>
    <x:row r="5848" ht="22" customHeight="1">
      <x:c r="A5848" s="2"/>
      <x:c r="B5848" s="2" t="str">
        <x:v>18219</x:v>
      </x:c>
      <x:c r="C5848" s="2" t="str">
        <x:v>United Kingdom</x:v>
      </x:c>
      <x:c r="D5848" s="25" t="n">
        <x:v>40154.345138888886</x:v>
      </x:c>
      <x:c r="E5848" s="25" t="n">
        <x:v>40884.279861111114</x:v>
      </x:c>
      <x:c r="F5848" s="2" t="n">
        <x:v>3</x:v>
      </x:c>
      <x:c r="G5848" s="2" t="n">
        <x:v>17</x:v>
      </x:c>
      <x:c r="H5848" s="11" t="n">
        <x:v>3352.7</x:v>
      </x:c>
      <x:c r="I5848" s="2" t="n">
        <x:v>5</x:v>
      </x:c>
      <x:c r="J5848" s="2" t="n">
        <x:v>5</x:v>
      </x:c>
      <x:c r="K5848" s="2" t="n">
        <x:v>5</x:v>
      </x:c>
      <x:c r="L5848" s="2" t="str">
        <x:v>Champions</x:v>
      </x:c>
    </x:row>
    <x:row r="5849" ht="22" customHeight="1">
      <x:c r="A5849" s="2"/>
      <x:c r="B5849" s="2" t="str">
        <x:v>18220</x:v>
      </x:c>
      <x:c r="C5849" s="2" t="str">
        <x:v>United Kingdom</x:v>
      </x:c>
      <x:c r="D5849" s="25" t="n">
        <x:v>40162.27916666667</x:v>
      </x:c>
      <x:c r="E5849" s="25" t="n">
        <x:v>40660.16875</x:v>
      </x:c>
      <x:c r="F5849" s="2" t="n">
        <x:v>227</x:v>
      </x:c>
      <x:c r="G5849" s="2" t="n">
        <x:v>6</x:v>
      </x:c>
      <x:c r="H5849" s="11" t="n">
        <x:v>1921.76</x:v>
      </x:c>
      <x:c r="I5849" s="2" t="n">
        <x:v>2</x:v>
      </x:c>
      <x:c r="J5849" s="2" t="n">
        <x:v>4</x:v>
      </x:c>
      <x:c r="K5849" s="2" t="n">
        <x:v>4</x:v>
      </x:c>
      <x:c r="L5849" s="2" t="str">
        <x:v>At risk</x:v>
      </x:c>
    </x:row>
    <x:row r="5850" ht="22" customHeight="1">
      <x:c r="A5850" s="2"/>
      <x:c r="B5850" s="2" t="str">
        <x:v>18221</x:v>
      </x:c>
      <x:c r="C5850" s="2" t="str">
        <x:v>United Kingdom</x:v>
      </x:c>
      <x:c r="D5850" s="25" t="n">
        <x:v>40496.44861111111</x:v>
      </x:c>
      <x:c r="E5850" s="25" t="n">
        <x:v>40864.40277777778</x:v>
      </x:c>
      <x:c r="F5850" s="2" t="n">
        <x:v>23</x:v>
      </x:c>
      <x:c r="G5850" s="2" t="n">
        <x:v>6</x:v>
      </x:c>
      <x:c r="H5850" s="11" t="n">
        <x:v>1424.94</x:v>
      </x:c>
      <x:c r="I5850" s="2" t="n">
        <x:v>4</x:v>
      </x:c>
      <x:c r="J5850" s="2" t="n">
        <x:v>4</x:v>
      </x:c>
      <x:c r="K5850" s="2" t="n">
        <x:v>4</x:v>
      </x:c>
      <x:c r="L5850" s="2" t="str">
        <x:v>Champions</x:v>
      </x:c>
    </x:row>
    <x:row r="5851" ht="22" customHeight="1">
      <x:c r="A5851" s="2"/>
      <x:c r="B5851" s="2" t="str">
        <x:v>18222</x:v>
      </x:c>
      <x:c r="C5851" s="2" t="str">
        <x:v>United Kingdom</x:v>
      </x:c>
      <x:c r="D5851" s="25" t="n">
        <x:v>40794.239583333336</x:v>
      </x:c>
      <x:c r="E5851" s="25" t="n">
        <x:v>40794.239583333336</x:v>
      </x:c>
      <x:c r="F5851" s="2" t="n">
        <x:v>93</x:v>
      </x:c>
      <x:c r="G5851" s="2" t="n">
        <x:v>1</x:v>
      </x:c>
      <x:c r="H5851" s="11" t="n">
        <x:v>443</x:v>
      </x:c>
      <x:c r="I5851" s="2" t="n">
        <x:v>3</x:v>
      </x:c>
      <x:c r="J5851" s="2" t="n">
        <x:v>1</x:v>
      </x:c>
      <x:c r="K5851" s="2" t="n">
        <x:v>2</x:v>
      </x:c>
      <x:c r="L5851" s="2" t="str">
        <x:v>Developing</x:v>
      </x:c>
    </x:row>
    <x:row r="5852" ht="22" customHeight="1">
      <x:c r="A5852" s="2"/>
      <x:c r="B5852" s="2" t="str">
        <x:v>18223</x:v>
      </x:c>
      <x:c r="C5852" s="2" t="str">
        <x:v>United Kingdom</x:v>
      </x:c>
      <x:c r="D5852" s="25" t="n">
        <x:v>40151.305555555555</x:v>
      </x:c>
      <x:c r="E5852" s="25" t="n">
        <x:v>40882.174305555556</x:v>
      </x:c>
      <x:c r="F5852" s="2" t="n">
        <x:v>5</x:v>
      </x:c>
      <x:c r="G5852" s="2" t="n">
        <x:v>26</x:v>
      </x:c>
      <x:c r="H5852" s="11" t="n">
        <x:v>14000.85</x:v>
      </x:c>
      <x:c r="I5852" s="2" t="n">
        <x:v>5</x:v>
      </x:c>
      <x:c r="J5852" s="2" t="n">
        <x:v>5</x:v>
      </x:c>
      <x:c r="K5852" s="2" t="n">
        <x:v>5</x:v>
      </x:c>
      <x:c r="L5852" s="2" t="str">
        <x:v>Champions</x:v>
      </x:c>
    </x:row>
    <x:row r="5853" ht="22" customHeight="1">
      <x:c r="A5853" s="2"/>
      <x:c r="B5853" s="2" t="str">
        <x:v>18224</x:v>
      </x:c>
      <x:c r="C5853" s="2" t="str">
        <x:v>United Kingdom</x:v>
      </x:c>
      <x:c r="D5853" s="25" t="n">
        <x:v>40623.229166666664</x:v>
      </x:c>
      <x:c r="E5853" s="25" t="n">
        <x:v>40623.229166666664</x:v>
      </x:c>
      <x:c r="F5853" s="2" t="n">
        <x:v>264</x:v>
      </x:c>
      <x:c r="G5853" s="2" t="n">
        <x:v>1</x:v>
      </x:c>
      <x:c r="H5853" s="11" t="n">
        <x:v>158.95</x:v>
      </x:c>
      <x:c r="I5853" s="2" t="n">
        <x:v>2</x:v>
      </x:c>
      <x:c r="J5853" s="2" t="n">
        <x:v>1</x:v>
      </x:c>
      <x:c r="K5853" s="2" t="n">
        <x:v>1</x:v>
      </x:c>
      <x:c r="L5853" s="2" t="str">
        <x:v>Hibernating</x:v>
      </x:c>
    </x:row>
    <x:row r="5854" ht="22" customHeight="1">
      <x:c r="A5854" s="2"/>
      <x:c r="B5854" s="2" t="str">
        <x:v>18225</x:v>
      </x:c>
      <x:c r="C5854" s="2" t="str">
        <x:v>United Kingdom</x:v>
      </x:c>
      <x:c r="D5854" s="25" t="n">
        <x:v>40151.49444444444</x:v>
      </x:c>
      <x:c r="E5854" s="25" t="n">
        <x:v>40883.35208333333</x:v>
      </x:c>
      <x:c r="F5854" s="2" t="n">
        <x:v>4</x:v>
      </x:c>
      <x:c r="G5854" s="2" t="n">
        <x:v>26</x:v>
      </x:c>
      <x:c r="H5854" s="11" t="n">
        <x:v>13024.26</x:v>
      </x:c>
      <x:c r="I5854" s="2" t="n">
        <x:v>5</x:v>
      </x:c>
      <x:c r="J5854" s="2" t="n">
        <x:v>5</x:v>
      </x:c>
      <x:c r="K5854" s="2" t="n">
        <x:v>5</x:v>
      </x:c>
      <x:c r="L5854" s="2" t="str">
        <x:v>Champions</x:v>
      </x:c>
    </x:row>
    <x:row r="5855" ht="22" customHeight="1">
      <x:c r="A5855" s="2"/>
      <x:c r="B5855" s="2" t="str">
        <x:v>18226</x:v>
      </x:c>
      <x:c r="C5855" s="2" t="str">
        <x:v>United Kingdom</x:v>
      </x:c>
      <x:c r="D5855" s="25" t="n">
        <x:v>40242.211805555555</x:v>
      </x:c>
      <x:c r="E5855" s="25" t="n">
        <x:v>40842.35833333333</x:v>
      </x:c>
      <x:c r="F5855" s="2" t="n">
        <x:v>45</x:v>
      </x:c>
      <x:c r="G5855" s="2" t="n">
        <x:v>26</x:v>
      </x:c>
      <x:c r="H5855" s="11" t="n">
        <x:v>11878.88</x:v>
      </x:c>
      <x:c r="I5855" s="2" t="n">
        <x:v>4</x:v>
      </x:c>
      <x:c r="J5855" s="2" t="n">
        <x:v>5</x:v>
      </x:c>
      <x:c r="K5855" s="2" t="n">
        <x:v>5</x:v>
      </x:c>
      <x:c r="L5855" s="2" t="str">
        <x:v>Champions</x:v>
      </x:c>
    </x:row>
    <x:row r="5856" ht="22" customHeight="1">
      <x:c r="A5856" s="2"/>
      <x:c r="B5856" s="2" t="str">
        <x:v>18227</x:v>
      </x:c>
      <x:c r="C5856" s="2" t="str">
        <x:v>United Kingdom</x:v>
      </x:c>
      <x:c r="D5856" s="25" t="n">
        <x:v>40402.489583333336</x:v>
      </x:c>
      <x:c r="E5856" s="25" t="n">
        <x:v>40669.30763888889</x:v>
      </x:c>
      <x:c r="F5856" s="2" t="n">
        <x:v>218</x:v>
      </x:c>
      <x:c r="G5856" s="2" t="n">
        <x:v>2</x:v>
      </x:c>
      <x:c r="H5856" s="11" t="n">
        <x:v>388.75</x:v>
      </x:c>
      <x:c r="I5856" s="2" t="n">
        <x:v>2</x:v>
      </x:c>
      <x:c r="J5856" s="2" t="n">
        <x:v>2</x:v>
      </x:c>
      <x:c r="K5856" s="2" t="n">
        <x:v>2</x:v>
      </x:c>
      <x:c r="L5856" s="2" t="str">
        <x:v>Hibernating</x:v>
      </x:c>
    </x:row>
    <x:row r="5857" ht="22" customHeight="1">
      <x:c r="A5857" s="2"/>
      <x:c r="B5857" s="2" t="str">
        <x:v>18228</x:v>
      </x:c>
      <x:c r="C5857" s="2" t="str">
        <x:v>United Kingdom</x:v>
      </x:c>
      <x:c r="D5857" s="25" t="n">
        <x:v>40807.24166666667</x:v>
      </x:c>
      <x:c r="E5857" s="25" t="n">
        <x:v>40830.18125</x:v>
      </x:c>
      <x:c r="F5857" s="2" t="n">
        <x:v>57</x:v>
      </x:c>
      <x:c r="G5857" s="2" t="n">
        <x:v>2</x:v>
      </x:c>
      <x:c r="H5857" s="11" t="n">
        <x:v>779.9</x:v>
      </x:c>
      <x:c r="I5857" s="2" t="n">
        <x:v>4</x:v>
      </x:c>
      <x:c r="J5857" s="2" t="n">
        <x:v>2</x:v>
      </x:c>
      <x:c r="K5857" s="2" t="n">
        <x:v>3</x:v>
      </x:c>
      <x:c r="L5857" s="2" t="str">
        <x:v>Recent light buyers</x:v>
      </x:c>
    </x:row>
    <x:row r="5858" ht="22" customHeight="1">
      <x:c r="A5858" s="2"/>
      <x:c r="B5858" s="2" t="str">
        <x:v>18229</x:v>
      </x:c>
      <x:c r="C5858" s="2" t="str">
        <x:v>United Kingdom</x:v>
      </x:c>
      <x:c r="D5858" s="25" t="n">
        <x:v>40150.40416666667</x:v>
      </x:c>
      <x:c r="E5858" s="25" t="n">
        <x:v>40875.2</x:v>
      </x:c>
      <x:c r="F5858" s="2" t="n">
        <x:v>12</x:v>
      </x:c>
      <x:c r="G5858" s="2" t="n">
        <x:v>28</x:v>
      </x:c>
      <x:c r="H5858" s="11" t="n">
        <x:v>10150.51</x:v>
      </x:c>
      <x:c r="I5858" s="2" t="n">
        <x:v>5</x:v>
      </x:c>
      <x:c r="J5858" s="2" t="n">
        <x:v>5</x:v>
      </x:c>
      <x:c r="K5858" s="2" t="n">
        <x:v>5</x:v>
      </x:c>
      <x:c r="L5858" s="2" t="str">
        <x:v>Champions</x:v>
      </x:c>
    </x:row>
    <x:row r="5859" ht="22" customHeight="1">
      <x:c r="A5859" s="2"/>
      <x:c r="B5859" s="2" t="str">
        <x:v>18230</x:v>
      </x:c>
      <x:c r="C5859" s="2" t="str">
        <x:v>United Kingdom</x:v>
      </x:c>
      <x:c r="D5859" s="25" t="n">
        <x:v>40361.209027777775</x:v>
      </x:c>
      <x:c r="E5859" s="25" t="n">
        <x:v>40877.34861111111</x:v>
      </x:c>
      <x:c r="F5859" s="2" t="n">
        <x:v>10</x:v>
      </x:c>
      <x:c r="G5859" s="2" t="n">
        <x:v>9</x:v>
      </x:c>
      <x:c r="H5859" s="11" t="n">
        <x:v>4291.06</x:v>
      </x:c>
      <x:c r="I5859" s="2" t="n">
        <x:v>5</x:v>
      </x:c>
      <x:c r="J5859" s="2" t="n">
        <x:v>5</x:v>
      </x:c>
      <x:c r="K5859" s="2" t="n">
        <x:v>5</x:v>
      </x:c>
      <x:c r="L5859" s="2" t="str">
        <x:v>Champions</x:v>
      </x:c>
    </x:row>
    <x:row r="5860" ht="22" customHeight="1">
      <x:c r="A5860" s="2"/>
      <x:c r="B5860" s="2" t="str">
        <x:v>18231</x:v>
      </x:c>
      <x:c r="C5860" s="2" t="str">
        <x:v>United Kingdom</x:v>
      </x:c>
      <x:c r="D5860" s="25" t="n">
        <x:v>40188.30069444444</x:v>
      </x:c>
      <x:c r="E5860" s="25" t="n">
        <x:v>40694.3875</x:v>
      </x:c>
      <x:c r="F5860" s="2" t="n">
        <x:v>193</x:v>
      </x:c>
      <x:c r="G5860" s="2" t="n">
        <x:v>28</x:v>
      </x:c>
      <x:c r="H5860" s="11" t="n">
        <x:v>6880.97</x:v>
      </x:c>
      <x:c r="I5860" s="2" t="n">
        <x:v>2</x:v>
      </x:c>
      <x:c r="J5860" s="2" t="n">
        <x:v>5</x:v>
      </x:c>
      <x:c r="K5860" s="2" t="n">
        <x:v>5</x:v>
      </x:c>
      <x:c r="L5860" s="2" t="str">
        <x:v>At risk</x:v>
      </x:c>
    </x:row>
    <x:row r="5861" ht="22" customHeight="1">
      <x:c r="A5861" s="2"/>
      <x:c r="B5861" s="2" t="str">
        <x:v>18232</x:v>
      </x:c>
      <x:c r="C5861" s="2" t="str">
        <x:v>United Kingdom</x:v>
      </x:c>
      <x:c r="D5861" s="25" t="n">
        <x:v>40689.479166666664</x:v>
      </x:c>
      <x:c r="E5861" s="25" t="n">
        <x:v>40805.28402777778</x:v>
      </x:c>
      <x:c r="F5861" s="2" t="n">
        <x:v>82</x:v>
      </x:c>
      <x:c r="G5861" s="2" t="n">
        <x:v>4</x:v>
      </x:c>
      <x:c r="H5861" s="11" t="n">
        <x:v>592.97</x:v>
      </x:c>
      <x:c r="I5861" s="2" t="n">
        <x:v>3</x:v>
      </x:c>
      <x:c r="J5861" s="2" t="n">
        <x:v>3</x:v>
      </x:c>
      <x:c r="K5861" s="2" t="n">
        <x:v>2</x:v>
      </x:c>
      <x:c r="L5861" s="2" t="str">
        <x:v>Loyal</x:v>
      </x:c>
    </x:row>
    <x:row r="5862" ht="22" customHeight="1">
      <x:c r="A5862" s="2"/>
      <x:c r="B5862" s="2" t="str">
        <x:v>18233</x:v>
      </x:c>
      <x:c r="C5862" s="2" t="str">
        <x:v>United Kingdom</x:v>
      </x:c>
      <x:c r="D5862" s="25" t="n">
        <x:v>40561.15555555555</x:v>
      </x:c>
      <x:c r="E5862" s="25" t="n">
        <x:v>40561.15555555555</x:v>
      </x:c>
      <x:c r="F5862" s="2" t="n">
        <x:v>326</x:v>
      </x:c>
      <x:c r="G5862" s="2" t="n">
        <x:v>1</x:v>
      </x:c>
      <x:c r="H5862" s="11" t="n">
        <x:v>440</x:v>
      </x:c>
      <x:c r="I5862" s="2" t="n">
        <x:v>2</x:v>
      </x:c>
      <x:c r="J5862" s="2" t="n">
        <x:v>1</x:v>
      </x:c>
      <x:c r="K5862" s="2" t="n">
        <x:v>2</x:v>
      </x:c>
      <x:c r="L5862" s="2" t="str">
        <x:v>Hibernating</x:v>
      </x:c>
    </x:row>
    <x:row r="5863" ht="22" customHeight="1">
      <x:c r="A5863" s="2"/>
      <x:c r="B5863" s="2" t="str">
        <x:v>18234</x:v>
      </x:c>
      <x:c r="C5863" s="2" t="str">
        <x:v>United Kingdom</x:v>
      </x:c>
      <x:c r="D5863" s="25" t="n">
        <x:v>40335.26527777778</x:v>
      </x:c>
      <x:c r="E5863" s="25" t="n">
        <x:v>40335.26527777778</x:v>
      </x:c>
      <x:c r="F5863" s="2" t="n">
        <x:v>552</x:v>
      </x:c>
      <x:c r="G5863" s="2" t="n">
        <x:v>1</x:v>
      </x:c>
      <x:c r="H5863" s="11" t="n">
        <x:v>179.6</x:v>
      </x:c>
      <x:c r="I5863" s="2" t="n">
        <x:v>1</x:v>
      </x:c>
      <x:c r="J5863" s="2" t="n">
        <x:v>1</x:v>
      </x:c>
      <x:c r="K5863" s="2" t="n">
        <x:v>1</x:v>
      </x:c>
      <x:c r="L5863" s="2" t="str">
        <x:v>Hibernating</x:v>
      </x:c>
    </x:row>
    <x:row r="5864" ht="22" customHeight="1">
      <x:c r="A5864" s="2"/>
      <x:c r="B5864" s="2" t="str">
        <x:v>18235</x:v>
      </x:c>
      <x:c r="C5864" s="2" t="str">
        <x:v>United Kingdom</x:v>
      </x:c>
      <x:c r="D5864" s="25" t="n">
        <x:v>40669.35763888889</x:v>
      </x:c>
      <x:c r="E5864" s="25" t="n">
        <x:v>40815.14375</x:v>
      </x:c>
      <x:c r="F5864" s="2" t="n">
        <x:v>72</x:v>
      </x:c>
      <x:c r="G5864" s="2" t="n">
        <x:v>3</x:v>
      </x:c>
      <x:c r="H5864" s="11" t="n">
        <x:v>1796.48</x:v>
      </x:c>
      <x:c r="I5864" s="2" t="n">
        <x:v>3</x:v>
      </x:c>
      <x:c r="J5864" s="2" t="n">
        <x:v>3</x:v>
      </x:c>
      <x:c r="K5864" s="2" t="n">
        <x:v>4</x:v>
      </x:c>
      <x:c r="L5864" s="2" t="str">
        <x:v>Loyal</x:v>
      </x:c>
    </x:row>
    <x:row r="5865" ht="22" customHeight="1">
      <x:c r="A5865" s="2"/>
      <x:c r="B5865" s="2" t="str">
        <x:v>18236</x:v>
      </x:c>
      <x:c r="C5865" s="2" t="str">
        <x:v>United Kingdom</x:v>
      </x:c>
      <x:c r="D5865" s="25" t="n">
        <x:v>40283.36041666667</x:v>
      </x:c>
      <x:c r="E5865" s="25" t="n">
        <x:v>40857.129166666666</x:v>
      </x:c>
      <x:c r="F5865" s="2" t="n">
        <x:v>30</x:v>
      </x:c>
      <x:c r="G5865" s="2" t="n">
        <x:v>12</x:v>
      </x:c>
      <x:c r="H5865" s="11" t="n">
        <x:v>1795.35</x:v>
      </x:c>
      <x:c r="I5865" s="2" t="n">
        <x:v>4</x:v>
      </x:c>
      <x:c r="J5865" s="2" t="n">
        <x:v>5</x:v>
      </x:c>
      <x:c r="K5865" s="2" t="n">
        <x:v>4</x:v>
      </x:c>
      <x:c r="L5865" s="2" t="str">
        <x:v>Champions</x:v>
      </x:c>
    </x:row>
    <x:row r="5866" ht="22" customHeight="1">
      <x:c r="A5866" s="2"/>
      <x:c r="B5866" s="2" t="str">
        <x:v>18237</x:v>
      </x:c>
      <x:c r="C5866" s="2" t="str">
        <x:v>United Kingdom</x:v>
      </x:c>
      <x:c r="D5866" s="25" t="n">
        <x:v>40752.336805555555</x:v>
      </x:c>
      <x:c r="E5866" s="25" t="n">
        <x:v>40884.325694444444</x:v>
      </x:c>
      <x:c r="F5866" s="2" t="n">
        <x:v>3</x:v>
      </x:c>
      <x:c r="G5866" s="2" t="n">
        <x:v>5</x:v>
      </x:c>
      <x:c r="H5866" s="11" t="n">
        <x:v>987.1</x:v>
      </x:c>
      <x:c r="I5866" s="2" t="n">
        <x:v>5</x:v>
      </x:c>
      <x:c r="J5866" s="2" t="n">
        <x:v>4</x:v>
      </x:c>
      <x:c r="K5866" s="2" t="n">
        <x:v>3</x:v>
      </x:c>
      <x:c r="L5866" s="2" t="str">
        <x:v>Loyal</x:v>
      </x:c>
    </x:row>
    <x:row r="5867" ht="22" customHeight="1">
      <x:c r="A5867" s="2"/>
      <x:c r="B5867" s="2" t="str">
        <x:v>18238</x:v>
      </x:c>
      <x:c r="C5867" s="2" t="str">
        <x:v>United Kingdom</x:v>
      </x:c>
      <x:c r="D5867" s="25" t="n">
        <x:v>40371.32708333333</x:v>
      </x:c>
      <x:c r="E5867" s="25" t="n">
        <x:v>40371.32708333333</x:v>
      </x:c>
      <x:c r="F5867" s="2" t="n">
        <x:v>516</x:v>
      </x:c>
      <x:c r="G5867" s="2" t="n">
        <x:v>1</x:v>
      </x:c>
      <x:c r="H5867" s="11" t="n">
        <x:v>270.92</x:v>
      </x:c>
      <x:c r="I5867" s="2" t="n">
        <x:v>1</x:v>
      </x:c>
      <x:c r="J5867" s="2" t="n">
        <x:v>1</x:v>
      </x:c>
      <x:c r="K5867" s="2" t="n">
        <x:v>1</x:v>
      </x:c>
      <x:c r="L5867" s="2" t="str">
        <x:v>Hibernating</x:v>
      </x:c>
    </x:row>
    <x:row r="5868" ht="22" customHeight="1">
      <x:c r="A5868" s="2"/>
      <x:c r="B5868" s="2" t="str">
        <x:v>18239</x:v>
      </x:c>
      <x:c r="C5868" s="2" t="str">
        <x:v>United Kingdom</x:v>
      </x:c>
      <x:c r="D5868" s="25" t="n">
        <x:v>40464.21597222222</x:v>
      </x:c>
      <x:c r="E5868" s="25" t="n">
        <x:v>40668.31805555556</x:v>
      </x:c>
      <x:c r="F5868" s="2" t="n">
        <x:v>219</x:v>
      </x:c>
      <x:c r="G5868" s="2" t="n">
        <x:v>6</x:v>
      </x:c>
      <x:c r="H5868" s="11" t="n">
        <x:v>1712.26</x:v>
      </x:c>
      <x:c r="I5868" s="2" t="n">
        <x:v>2</x:v>
      </x:c>
      <x:c r="J5868" s="2" t="n">
        <x:v>4</x:v>
      </x:c>
      <x:c r="K5868" s="2" t="n">
        <x:v>4</x:v>
      </x:c>
      <x:c r="L5868" s="2" t="str">
        <x:v>At risk</x:v>
      </x:c>
    </x:row>
    <x:row r="5869" ht="22" customHeight="1">
      <x:c r="A5869" s="2"/>
      <x:c r="B5869" s="2" t="str">
        <x:v>18240</x:v>
      </x:c>
      <x:c r="C5869" s="2" t="str">
        <x:v>United Kingdom</x:v>
      </x:c>
      <x:c r="D5869" s="25" t="n">
        <x:v>40840.3375</x:v>
      </x:c>
      <x:c r="E5869" s="25" t="n">
        <x:v>40840.3375</x:v>
      </x:c>
      <x:c r="F5869" s="2" t="n">
        <x:v>47</x:v>
      </x:c>
      <x:c r="G5869" s="2" t="n">
        <x:v>1</x:v>
      </x:c>
      <x:c r="H5869" s="11" t="n">
        <x:v>422.58</x:v>
      </x:c>
      <x:c r="I5869" s="2" t="n">
        <x:v>4</x:v>
      </x:c>
      <x:c r="J5869" s="2" t="n">
        <x:v>1</x:v>
      </x:c>
      <x:c r="K5869" s="2" t="n">
        <x:v>2</x:v>
      </x:c>
      <x:c r="L5869" s="2" t="str">
        <x:v>Recent light buyers</x:v>
      </x:c>
    </x:row>
    <x:row r="5870" ht="22" customHeight="1">
      <x:c r="A5870" s="2"/>
      <x:c r="B5870" s="2" t="str">
        <x:v>18241</x:v>
      </x:c>
      <x:c r="C5870" s="2" t="str">
        <x:v>United Kingdom</x:v>
      </x:c>
      <x:c r="D5870" s="25" t="n">
        <x:v>40269.288194444445</x:v>
      </x:c>
      <x:c r="E5870" s="25" t="n">
        <x:v>40877.29861111111</x:v>
      </x:c>
      <x:c r="F5870" s="2" t="n">
        <x:v>10</x:v>
      </x:c>
      <x:c r="G5870" s="2" t="n">
        <x:v>21</x:v>
      </x:c>
      <x:c r="H5870" s="11" t="n">
        <x:v>2986.99</x:v>
      </x:c>
      <x:c r="I5870" s="2" t="n">
        <x:v>5</x:v>
      </x:c>
      <x:c r="J5870" s="2" t="n">
        <x:v>5</x:v>
      </x:c>
      <x:c r="K5870" s="2" t="n">
        <x:v>5</x:v>
      </x:c>
      <x:c r="L5870" s="2" t="str">
        <x:v>Champions</x:v>
      </x:c>
    </x:row>
    <x:row r="5871" ht="22" customHeight="1">
      <x:c r="A5871" s="2"/>
      <x:c r="B5871" s="2" t="str">
        <x:v>18242</x:v>
      </x:c>
      <x:c r="C5871" s="2" t="str">
        <x:v>United Kingdom</x:v>
      </x:c>
      <x:c r="D5871" s="25" t="n">
        <x:v>40189.15902777778</x:v>
      </x:c>
      <x:c r="E5871" s="25" t="n">
        <x:v>40814.36319444444</x:v>
      </x:c>
      <x:c r="F5871" s="2" t="n">
        <x:v>73</x:v>
      </x:c>
      <x:c r="G5871" s="2" t="n">
        <x:v>8</x:v>
      </x:c>
      <x:c r="H5871" s="11" t="n">
        <x:v>3605.21</x:v>
      </x:c>
      <x:c r="I5871" s="2" t="n">
        <x:v>3</x:v>
      </x:c>
      <x:c r="J5871" s="2" t="n">
        <x:v>4</x:v>
      </x:c>
      <x:c r="K5871" s="2" t="n">
        <x:v>5</x:v>
      </x:c>
      <x:c r="L5871" s="2" t="str">
        <x:v>Loyal</x:v>
      </x:c>
    </x:row>
    <x:row r="5872" ht="22" customHeight="1">
      <x:c r="A5872" s="2"/>
      <x:c r="B5872" s="2" t="str">
        <x:v>18243</x:v>
      </x:c>
      <x:c r="C5872" s="2" t="str">
        <x:v>United Kingdom</x:v>
      </x:c>
      <x:c r="D5872" s="25" t="n">
        <x:v>40472.39513888889</x:v>
      </x:c>
      <x:c r="E5872" s="25" t="n">
        <x:v>40472.39513888889</x:v>
      </x:c>
      <x:c r="F5872" s="2" t="n">
        <x:v>415</x:v>
      </x:c>
      <x:c r="G5872" s="2" t="n">
        <x:v>1</x:v>
      </x:c>
      <x:c r="H5872" s="11" t="n">
        <x:v>515.78</x:v>
      </x:c>
      <x:c r="I5872" s="2" t="n">
        <x:v>1</x:v>
      </x:c>
      <x:c r="J5872" s="2" t="n">
        <x:v>1</x:v>
      </x:c>
      <x:c r="K5872" s="2" t="n">
        <x:v>2</x:v>
      </x:c>
      <x:c r="L5872" s="2" t="str">
        <x:v>Hibernating</x:v>
      </x:c>
    </x:row>
    <x:row r="5873" ht="22" customHeight="1">
      <x:c r="A5873" s="2"/>
      <x:c r="B5873" s="2" t="str">
        <x:v>18244</x:v>
      </x:c>
      <x:c r="C5873" s="2" t="str">
        <x:v>United Kingdom</x:v>
      </x:c>
      <x:c r="D5873" s="25" t="n">
        <x:v>40384.229166666664</x:v>
      </x:c>
      <x:c r="E5873" s="25" t="n">
        <x:v>40456.260416666664</x:v>
      </x:c>
      <x:c r="F5873" s="2" t="n">
        <x:v>431</x:v>
      </x:c>
      <x:c r="G5873" s="2" t="n">
        <x:v>2</x:v>
      </x:c>
      <x:c r="H5873" s="11" t="n">
        <x:v>568.64</x:v>
      </x:c>
      <x:c r="I5873" s="2" t="n">
        <x:v>1</x:v>
      </x:c>
      <x:c r="J5873" s="2" t="n">
        <x:v>2</x:v>
      </x:c>
      <x:c r="K5873" s="2" t="n">
        <x:v>2</x:v>
      </x:c>
      <x:c r="L5873" s="2" t="str">
        <x:v>Hibernating</x:v>
      </x:c>
    </x:row>
    <x:row r="5874" ht="22" customHeight="1">
      <x:c r="A5874" s="2"/>
      <x:c r="B5874" s="2" t="str">
        <x:v>18245</x:v>
      </x:c>
      <x:c r="C5874" s="2" t="str">
        <x:v>United Kingdom</x:v>
      </x:c>
      <x:c r="D5874" s="25" t="n">
        <x:v>40245.43472222222</x:v>
      </x:c>
      <x:c r="E5874" s="25" t="n">
        <x:v>40879.40833333333</x:v>
      </x:c>
      <x:c r="F5874" s="2" t="n">
        <x:v>8</x:v>
      </x:c>
      <x:c r="G5874" s="2" t="n">
        <x:v>20</x:v>
      </x:c>
      <x:c r="H5874" s="11" t="n">
        <x:v>6324.98</x:v>
      </x:c>
      <x:c r="I5874" s="2" t="n">
        <x:v>5</x:v>
      </x:c>
      <x:c r="J5874" s="2" t="n">
        <x:v>5</x:v>
      </x:c>
      <x:c r="K5874" s="2" t="n">
        <x:v>5</x:v>
      </x:c>
      <x:c r="L5874" s="2" t="str">
        <x:v>Champions</x:v>
      </x:c>
    </x:row>
    <x:row r="5875" ht="22" customHeight="1">
      <x:c r="A5875" s="2"/>
      <x:c r="B5875" s="2" t="str">
        <x:v>18246</x:v>
      </x:c>
      <x:c r="C5875" s="2" t="str">
        <x:v>United Kingdom</x:v>
      </x:c>
      <x:c r="D5875" s="25" t="n">
        <x:v>40277.22152777778</x:v>
      </x:c>
      <x:c r="E5875" s="25" t="n">
        <x:v>40863.28402777778</x:v>
      </x:c>
      <x:c r="F5875" s="2" t="n">
        <x:v>24</x:v>
      </x:c>
      <x:c r="G5875" s="2" t="n">
        <x:v>3</x:v>
      </x:c>
      <x:c r="H5875" s="11" t="n">
        <x:v>758.82</x:v>
      </x:c>
      <x:c r="I5875" s="2" t="n">
        <x:v>4</x:v>
      </x:c>
      <x:c r="J5875" s="2" t="n">
        <x:v>3</x:v>
      </x:c>
      <x:c r="K5875" s="2" t="n">
        <x:v>3</x:v>
      </x:c>
      <x:c r="L5875" s="2" t="str">
        <x:v>Loyal</x:v>
      </x:c>
    </x:row>
    <x:row r="5876" ht="22" customHeight="1">
      <x:c r="A5876" s="2"/>
      <x:c r="B5876" s="2" t="str">
        <x:v>18247</x:v>
      </x:c>
      <x:c r="C5876" s="2" t="str">
        <x:v>United Kingdom</x:v>
      </x:c>
      <x:c r="D5876" s="25" t="n">
        <x:v>40255.45277777778</x:v>
      </x:c>
      <x:c r="E5876" s="25" t="n">
        <x:v>40472.200694444444</x:v>
      </x:c>
      <x:c r="F5876" s="2" t="n">
        <x:v>415</x:v>
      </x:c>
      <x:c r="G5876" s="2" t="n">
        <x:v>3</x:v>
      </x:c>
      <x:c r="H5876" s="11" t="n">
        <x:v>839.73</x:v>
      </x:c>
      <x:c r="I5876" s="2" t="n">
        <x:v>1</x:v>
      </x:c>
      <x:c r="J5876" s="2" t="n">
        <x:v>3</x:v>
      </x:c>
      <x:c r="K5876" s="2" t="n">
        <x:v>3</x:v>
      </x:c>
      <x:c r="L5876" s="2" t="str">
        <x:v>At risk</x:v>
      </x:c>
    </x:row>
    <x:row r="5877" ht="22" customHeight="1">
      <x:c r="A5877" s="2"/>
      <x:c r="B5877" s="2" t="str">
        <x:v>18248</x:v>
      </x:c>
      <x:c r="C5877" s="2" t="str">
        <x:v>United Kingdom</x:v>
      </x:c>
      <x:c r="D5877" s="25" t="n">
        <x:v>40700.34583333333</x:v>
      </x:c>
      <x:c r="E5877" s="25" t="n">
        <x:v>40764.22152777778</x:v>
      </x:c>
      <x:c r="F5877" s="2" t="n">
        <x:v>123</x:v>
      </x:c>
      <x:c r="G5877" s="2" t="n">
        <x:v>2</x:v>
      </x:c>
      <x:c r="H5877" s="11" t="n">
        <x:v>804.02</x:v>
      </x:c>
      <x:c r="I5877" s="2" t="n">
        <x:v>3</x:v>
      </x:c>
      <x:c r="J5877" s="2" t="n">
        <x:v>2</x:v>
      </x:c>
      <x:c r="K5877" s="2" t="n">
        <x:v>3</x:v>
      </x:c>
      <x:c r="L5877" s="2" t="str">
        <x:v>Developing</x:v>
      </x:c>
    </x:row>
    <x:row r="5878" ht="22" customHeight="1">
      <x:c r="A5878" s="2"/>
      <x:c r="B5878" s="2" t="str">
        <x:v>18249</x:v>
      </x:c>
      <x:c r="C5878" s="2" t="str">
        <x:v>United Kingdom</x:v>
      </x:c>
      <x:c r="D5878" s="25" t="n">
        <x:v>40869.42152777778</x:v>
      </x:c>
      <x:c r="E5878" s="25" t="n">
        <x:v>40869.42152777778</x:v>
      </x:c>
      <x:c r="F5878" s="2" t="n">
        <x:v>18</x:v>
      </x:c>
      <x:c r="G5878" s="2" t="n">
        <x:v>1</x:v>
      </x:c>
      <x:c r="H5878" s="11" t="n">
        <x:v>95.34</x:v>
      </x:c>
      <x:c r="I5878" s="2" t="n">
        <x:v>5</x:v>
      </x:c>
      <x:c r="J5878" s="2" t="n">
        <x:v>1</x:v>
      </x:c>
      <x:c r="K5878" s="2" t="n">
        <x:v>1</x:v>
      </x:c>
      <x:c r="L5878" s="2" t="str">
        <x:v>Recent light buyers</x:v>
      </x:c>
    </x:row>
    <x:row r="5879" ht="22" customHeight="1">
      <x:c r="A5879" s="2"/>
      <x:c r="B5879" s="2" t="str">
        <x:v>18250</x:v>
      </x:c>
      <x:c r="C5879" s="2" t="str">
        <x:v>United Kingdom</x:v>
      </x:c>
      <x:c r="D5879" s="25" t="n">
        <x:v>40576.34444444445</x:v>
      </x:c>
      <x:c r="E5879" s="25" t="n">
        <x:v>40576.34444444445</x:v>
      </x:c>
      <x:c r="F5879" s="2" t="n">
        <x:v>311</x:v>
      </x:c>
      <x:c r="G5879" s="2" t="n">
        <x:v>1</x:v>
      </x:c>
      <x:c r="H5879" s="11" t="n">
        <x:v>349.27</x:v>
      </x:c>
      <x:c r="I5879" s="2" t="n">
        <x:v>2</x:v>
      </x:c>
      <x:c r="J5879" s="2" t="n">
        <x:v>1</x:v>
      </x:c>
      <x:c r="K5879" s="2" t="n">
        <x:v>2</x:v>
      </x:c>
      <x:c r="L5879" s="2" t="str">
        <x:v>Hibernating</x:v>
      </x:c>
    </x:row>
    <x:row r="5880" ht="22" customHeight="1">
      <x:c r="A5880" s="2"/>
      <x:c r="B5880" s="2" t="str">
        <x:v>18251</x:v>
      </x:c>
      <x:c r="C5880" s="2" t="str">
        <x:v>United Kingdom</x:v>
      </x:c>
      <x:c r="D5880" s="25" t="n">
        <x:v>40169.29236111111</x:v>
      </x:c>
      <x:c r="E5880" s="25" t="n">
        <x:v>40799.41875</x:v>
      </x:c>
      <x:c r="F5880" s="2" t="n">
        <x:v>88</x:v>
      </x:c>
      <x:c r="G5880" s="2" t="n">
        <x:v>9</x:v>
      </x:c>
      <x:c r="H5880" s="11" t="n">
        <x:v>26278.86</x:v>
      </x:c>
      <x:c r="I5880" s="2" t="n">
        <x:v>3</x:v>
      </x:c>
      <x:c r="J5880" s="2" t="n">
        <x:v>5</x:v>
      </x:c>
      <x:c r="K5880" s="2" t="n">
        <x:v>5</x:v>
      </x:c>
      <x:c r="L5880" s="2" t="str">
        <x:v>Loyal</x:v>
      </x:c>
    </x:row>
    <x:row r="5881" ht="22" customHeight="1">
      <x:c r="A5881" s="2"/>
      <x:c r="B5881" s="2" t="str">
        <x:v>18252</x:v>
      </x:c>
      <x:c r="C5881" s="2" t="str">
        <x:v>United Kingdom</x:v>
      </x:c>
      <x:c r="D5881" s="25" t="n">
        <x:v>40165.467361111114</x:v>
      </x:c>
      <x:c r="E5881" s="25" t="n">
        <x:v>40836.32152777778</x:v>
      </x:c>
      <x:c r="F5881" s="2" t="n">
        <x:v>51</x:v>
      </x:c>
      <x:c r="G5881" s="2" t="n">
        <x:v>7</x:v>
      </x:c>
      <x:c r="H5881" s="11" t="n">
        <x:v>1542.09</x:v>
      </x:c>
      <x:c r="I5881" s="2" t="n">
        <x:v>4</x:v>
      </x:c>
      <x:c r="J5881" s="2" t="n">
        <x:v>4</x:v>
      </x:c>
      <x:c r="K5881" s="2" t="n">
        <x:v>4</x:v>
      </x:c>
      <x:c r="L5881" s="2" t="str">
        <x:v>Champions</x:v>
      </x:c>
    </x:row>
    <x:row r="5882" ht="22" customHeight="1">
      <x:c r="A5882" s="2"/>
      <x:c r="B5882" s="2" t="str">
        <x:v>18253</x:v>
      </x:c>
      <x:c r="C5882" s="2" t="str">
        <x:v>United Kingdom</x:v>
      </x:c>
      <x:c r="D5882" s="25" t="n">
        <x:v>40244.31805555556</x:v>
      </x:c>
      <x:c r="E5882" s="25" t="n">
        <x:v>40244.31805555556</x:v>
      </x:c>
      <x:c r="F5882" s="2" t="n">
        <x:v>643</x:v>
      </x:c>
      <x:c r="G5882" s="2" t="n">
        <x:v>1</x:v>
      </x:c>
      <x:c r="H5882" s="11" t="n">
        <x:v>317.88</x:v>
      </x:c>
      <x:c r="I5882" s="2" t="n">
        <x:v>1</x:v>
      </x:c>
      <x:c r="J5882" s="2" t="n">
        <x:v>1</x:v>
      </x:c>
      <x:c r="K5882" s="2" t="n">
        <x:v>2</x:v>
      </x:c>
      <x:c r="L5882" s="2" t="str">
        <x:v>Hibernating</x:v>
      </x:c>
    </x:row>
    <x:row r="5883" ht="22" customHeight="1">
      <x:c r="A5883" s="2"/>
      <x:c r="B5883" s="2" t="str">
        <x:v>18254</x:v>
      </x:c>
      <x:c r="C5883" s="2" t="str">
        <x:v>United Kingdom</x:v>
      </x:c>
      <x:c r="D5883" s="25" t="n">
        <x:v>40305.40069444444</x:v>
      </x:c>
      <x:c r="E5883" s="25" t="n">
        <x:v>40305.40069444444</x:v>
      </x:c>
      <x:c r="F5883" s="2" t="n">
        <x:v>582</x:v>
      </x:c>
      <x:c r="G5883" s="2" t="n">
        <x:v>1</x:v>
      </x:c>
      <x:c r="H5883" s="11" t="n">
        <x:v>267.9</x:v>
      </x:c>
      <x:c r="I5883" s="2" t="n">
        <x:v>1</x:v>
      </x:c>
      <x:c r="J5883" s="2" t="n">
        <x:v>1</x:v>
      </x:c>
      <x:c r="K5883" s="2" t="n">
        <x:v>1</x:v>
      </x:c>
      <x:c r="L5883" s="2" t="str">
        <x:v>Hibernating</x:v>
      </x:c>
    </x:row>
    <x:row r="5884" ht="22" customHeight="1">
      <x:c r="A5884" s="2"/>
      <x:c r="B5884" s="2" t="str">
        <x:v>18255</x:v>
      </x:c>
      <x:c r="C5884" s="2" t="str">
        <x:v>United Kingdom</x:v>
      </x:c>
      <x:c r="D5884" s="25" t="n">
        <x:v>40430.47986111111</x:v>
      </x:c>
      <x:c r="E5884" s="25" t="n">
        <x:v>40797.34444444445</x:v>
      </x:c>
      <x:c r="F5884" s="2" t="n">
        <x:v>90</x:v>
      </x:c>
      <x:c r="G5884" s="2" t="n">
        <x:v>2</x:v>
      </x:c>
      <x:c r="H5884" s="11" t="n">
        <x:v>303.15</x:v>
      </x:c>
      <x:c r="I5884" s="2" t="n">
        <x:v>3</x:v>
      </x:c>
      <x:c r="J5884" s="2" t="n">
        <x:v>2</x:v>
      </x:c>
      <x:c r="K5884" s="2" t="n">
        <x:v>2</x:v>
      </x:c>
      <x:c r="L5884" s="2" t="str">
        <x:v>Developing</x:v>
      </x:c>
    </x:row>
    <x:row r="5885" ht="22" customHeight="1">
      <x:c r="A5885" s="2"/>
      <x:c r="B5885" s="2" t="str">
        <x:v>18256</x:v>
      </x:c>
      <x:c r="C5885" s="2" t="str">
        <x:v>United Kingdom</x:v>
      </x:c>
      <x:c r="D5885" s="25" t="n">
        <x:v>40499.16180555556</x:v>
      </x:c>
      <x:c r="E5885" s="25" t="n">
        <x:v>40499.16180555556</x:v>
      </x:c>
      <x:c r="F5885" s="2" t="n">
        <x:v>388</x:v>
      </x:c>
      <x:c r="G5885" s="2" t="n">
        <x:v>1</x:v>
      </x:c>
      <x:c r="H5885" s="11" t="n">
        <x:v>110.7</x:v>
      </x:c>
      <x:c r="I5885" s="2" t="n">
        <x:v>2</x:v>
      </x:c>
      <x:c r="J5885" s="2" t="n">
        <x:v>1</x:v>
      </x:c>
      <x:c r="K5885" s="2" t="n">
        <x:v>1</x:v>
      </x:c>
      <x:c r="L5885" s="2" t="str">
        <x:v>Hibernating</x:v>
      </x:c>
    </x:row>
    <x:row r="5886" ht="22" customHeight="1">
      <x:c r="A5886" s="2"/>
      <x:c r="B5886" s="2" t="str">
        <x:v>18257</x:v>
      </x:c>
      <x:c r="C5886" s="2" t="str">
        <x:v>United Kingdom</x:v>
      </x:c>
      <x:c r="D5886" s="25" t="n">
        <x:v>40227.47222222222</x:v>
      </x:c>
      <x:c r="E5886" s="25" t="n">
        <x:v>40847.40833333333</x:v>
      </x:c>
      <x:c r="F5886" s="2" t="n">
        <x:v>40</x:v>
      </x:c>
      <x:c r="G5886" s="2" t="n">
        <x:v>12</x:v>
      </x:c>
      <x:c r="H5886" s="11" t="n">
        <x:v>4600.15</x:v>
      </x:c>
      <x:c r="I5886" s="2" t="n">
        <x:v>4</x:v>
      </x:c>
      <x:c r="J5886" s="2" t="n">
        <x:v>5</x:v>
      </x:c>
      <x:c r="K5886" s="2" t="n">
        <x:v>5</x:v>
      </x:c>
      <x:c r="L5886" s="2" t="str">
        <x:v>Champions</x:v>
      </x:c>
    </x:row>
    <x:row r="5887" ht="22" customHeight="1">
      <x:c r="A5887" s="2"/>
      <x:c r="B5887" s="2" t="str">
        <x:v>18258</x:v>
      </x:c>
      <x:c r="C5887" s="2" t="str">
        <x:v>United Kingdom</x:v>
      </x:c>
      <x:c r="D5887" s="25" t="n">
        <x:v>40314.274305555555</x:v>
      </x:c>
      <x:c r="E5887" s="25" t="n">
        <x:v>40422.38888888889</x:v>
      </x:c>
      <x:c r="F5887" s="2" t="n">
        <x:v>465</x:v>
      </x:c>
      <x:c r="G5887" s="2" t="n">
        <x:v>6</x:v>
      </x:c>
      <x:c r="H5887" s="11" t="n">
        <x:v>2059.67</x:v>
      </x:c>
      <x:c r="I5887" s="2" t="n">
        <x:v>1</x:v>
      </x:c>
      <x:c r="J5887" s="2" t="n">
        <x:v>4</x:v>
      </x:c>
      <x:c r="K5887" s="2" t="n">
        <x:v>4</x:v>
      </x:c>
      <x:c r="L5887" s="2" t="str">
        <x:v>At risk</x:v>
      </x:c>
    </x:row>
    <x:row r="5888" ht="22" customHeight="1">
      <x:c r="A5888" s="2"/>
      <x:c r="B5888" s="2" t="str">
        <x:v>18259</x:v>
      </x:c>
      <x:c r="C5888" s="2" t="str">
        <x:v>United Kingdom</x:v>
      </x:c>
      <x:c r="D5888" s="25" t="n">
        <x:v>40155.15138888889</x:v>
      </x:c>
      <x:c r="E5888" s="25" t="n">
        <x:v>40862.31527777778</x:v>
      </x:c>
      <x:c r="F5888" s="2" t="n">
        <x:v>25</x:v>
      </x:c>
      <x:c r="G5888" s="2" t="n">
        <x:v>7</x:v>
      </x:c>
      <x:c r="H5888" s="11" t="n">
        <x:v>3941.9</x:v>
      </x:c>
      <x:c r="I5888" s="2" t="n">
        <x:v>4</x:v>
      </x:c>
      <x:c r="J5888" s="2" t="n">
        <x:v>4</x:v>
      </x:c>
      <x:c r="K5888" s="2" t="n">
        <x:v>5</x:v>
      </x:c>
      <x:c r="L5888" s="2" t="str">
        <x:v>Champions</x:v>
      </x:c>
    </x:row>
    <x:row r="5889" ht="22" customHeight="1">
      <x:c r="A5889" s="2"/>
      <x:c r="B5889" s="2" t="str">
        <x:v>18260</x:v>
      </x:c>
      <x:c r="C5889" s="2" t="str">
        <x:v>United Kingdom</x:v>
      </x:c>
      <x:c r="D5889" s="25" t="n">
        <x:v>40162.368055555555</x:v>
      </x:c>
      <x:c r="E5889" s="25" t="n">
        <x:v>40714.31736111111</x:v>
      </x:c>
      <x:c r="F5889" s="2" t="n">
        <x:v>173</x:v>
      </x:c>
      <x:c r="G5889" s="2" t="n">
        <x:v>23</x:v>
      </x:c>
      <x:c r="H5889" s="11" t="n">
        <x:v>9962.11</x:v>
      </x:c>
      <x:c r="I5889" s="2" t="n">
        <x:v>3</x:v>
      </x:c>
      <x:c r="J5889" s="2" t="n">
        <x:v>5</x:v>
      </x:c>
      <x:c r="K5889" s="2" t="n">
        <x:v>5</x:v>
      </x:c>
      <x:c r="L5889" s="2" t="str">
        <x:v>Loyal</x:v>
      </x:c>
    </x:row>
    <x:row r="5890" ht="22" customHeight="1">
      <x:c r="A5890" s="2"/>
      <x:c r="B5890" s="2" t="str">
        <x:v>18261</x:v>
      </x:c>
      <x:c r="C5890" s="2" t="str">
        <x:v>United Kingdom</x:v>
      </x:c>
      <x:c r="D5890" s="25" t="n">
        <x:v>40791.19027777778</x:v>
      </x:c>
      <x:c r="E5890" s="25" t="n">
        <x:v>40843.441666666666</x:v>
      </x:c>
      <x:c r="F5890" s="2" t="n">
        <x:v>44</x:v>
      </x:c>
      <x:c r="G5890" s="2" t="n">
        <x:v>2</x:v>
      </x:c>
      <x:c r="H5890" s="11" t="n">
        <x:v>324.24</x:v>
      </x:c>
      <x:c r="I5890" s="2" t="n">
        <x:v>4</x:v>
      </x:c>
      <x:c r="J5890" s="2" t="n">
        <x:v>2</x:v>
      </x:c>
      <x:c r="K5890" s="2" t="n">
        <x:v>2</x:v>
      </x:c>
      <x:c r="L5890" s="2" t="str">
        <x:v>Recent light buyers</x:v>
      </x:c>
    </x:row>
    <x:row r="5891" ht="22" customHeight="1">
      <x:c r="A5891" s="2"/>
      <x:c r="B5891" s="2" t="str">
        <x:v>18262</x:v>
      </x:c>
      <x:c r="C5891" s="2" t="str">
        <x:v>United Kingdom</x:v>
      </x:c>
      <x:c r="D5891" s="25" t="n">
        <x:v>40284.17013888889</x:v>
      </x:c>
      <x:c r="E5891" s="25" t="n">
        <x:v>40746.46111111111</x:v>
      </x:c>
      <x:c r="F5891" s="2" t="n">
        <x:v>141</x:v>
      </x:c>
      <x:c r="G5891" s="2" t="n">
        <x:v>3</x:v>
      </x:c>
      <x:c r="H5891" s="11" t="n">
        <x:v>577.54</x:v>
      </x:c>
      <x:c r="I5891" s="2" t="n">
        <x:v>3</x:v>
      </x:c>
      <x:c r="J5891" s="2" t="n">
        <x:v>3</x:v>
      </x:c>
      <x:c r="K5891" s="2" t="n">
        <x:v>2</x:v>
      </x:c>
      <x:c r="L5891" s="2" t="str">
        <x:v>Loyal</x:v>
      </x:c>
    </x:row>
    <x:row r="5892" ht="22" customHeight="1">
      <x:c r="A5892" s="2"/>
      <x:c r="B5892" s="2" t="str">
        <x:v>18263</x:v>
      </x:c>
      <x:c r="C5892" s="2" t="str">
        <x:v>United Kingdom</x:v>
      </x:c>
      <x:c r="D5892" s="25" t="n">
        <x:v>40634.28333333333</x:v>
      </x:c>
      <x:c r="E5892" s="25" t="n">
        <x:v>40861.166666666664</x:v>
      </x:c>
      <x:c r="F5892" s="2" t="n">
        <x:v>26</x:v>
      </x:c>
      <x:c r="G5892" s="2" t="n">
        <x:v>3</x:v>
      </x:c>
      <x:c r="H5892" s="11" t="n">
        <x:v>1213.16</x:v>
      </x:c>
      <x:c r="I5892" s="2" t="n">
        <x:v>4</x:v>
      </x:c>
      <x:c r="J5892" s="2" t="n">
        <x:v>3</x:v>
      </x:c>
      <x:c r="K5892" s="2" t="n">
        <x:v>3</x:v>
      </x:c>
      <x:c r="L5892" s="2" t="str">
        <x:v>Loyal</x:v>
      </x:c>
    </x:row>
    <x:row r="5893" ht="22" customHeight="1">
      <x:c r="A5893" s="2"/>
      <x:c r="B5893" s="2" t="str">
        <x:v>18264</x:v>
      </x:c>
      <x:c r="C5893" s="2" t="str">
        <x:v>United Kingdom</x:v>
      </x:c>
      <x:c r="D5893" s="25" t="n">
        <x:v>40388.20972222222</x:v>
      </x:c>
      <x:c r="E5893" s="25" t="n">
        <x:v>40388.20972222222</x:v>
      </x:c>
      <x:c r="F5893" s="2" t="n">
        <x:v>499</x:v>
      </x:c>
      <x:c r="G5893" s="2" t="n">
        <x:v>1</x:v>
      </x:c>
      <x:c r="H5893" s="11" t="n">
        <x:v>603.25</x:v>
      </x:c>
      <x:c r="I5893" s="2" t="n">
        <x:v>1</x:v>
      </x:c>
      <x:c r="J5893" s="2" t="n">
        <x:v>1</x:v>
      </x:c>
      <x:c r="K5893" s="2" t="n">
        <x:v>2</x:v>
      </x:c>
      <x:c r="L5893" s="2" t="str">
        <x:v>Hibernating</x:v>
      </x:c>
    </x:row>
    <x:row r="5894" ht="22" customHeight="1">
      <x:c r="A5894" s="2"/>
      <x:c r="B5894" s="2" t="str">
        <x:v>18265</x:v>
      </x:c>
      <x:c r="C5894" s="2" t="str">
        <x:v>United Kingdom</x:v>
      </x:c>
      <x:c r="D5894" s="25" t="n">
        <x:v>40728.43472222222</x:v>
      </x:c>
      <x:c r="E5894" s="25" t="n">
        <x:v>40814.381944444445</x:v>
      </x:c>
      <x:c r="F5894" s="2" t="n">
        <x:v>73</x:v>
      </x:c>
      <x:c r="G5894" s="2" t="n">
        <x:v>2</x:v>
      </x:c>
      <x:c r="H5894" s="11" t="n">
        <x:v>801.51</x:v>
      </x:c>
      <x:c r="I5894" s="2" t="n">
        <x:v>3</x:v>
      </x:c>
      <x:c r="J5894" s="2" t="n">
        <x:v>2</x:v>
      </x:c>
      <x:c r="K5894" s="2" t="n">
        <x:v>3</x:v>
      </x:c>
      <x:c r="L5894" s="2" t="str">
        <x:v>Developing</x:v>
      </x:c>
    </x:row>
    <x:row r="5895" ht="22" customHeight="1">
      <x:c r="A5895" s="2"/>
      <x:c r="B5895" s="2" t="str">
        <x:v>18266</x:v>
      </x:c>
      <x:c r="C5895" s="2" t="str">
        <x:v>United Kingdom</x:v>
      </x:c>
      <x:c r="D5895" s="25" t="n">
        <x:v>40452.43958333333</x:v>
      </x:c>
      <x:c r="E5895" s="25" t="n">
        <x:v>40452.43958333333</x:v>
      </x:c>
      <x:c r="F5895" s="2" t="n">
        <x:v>435</x:v>
      </x:c>
      <x:c r="G5895" s="2" t="n">
        <x:v>1</x:v>
      </x:c>
      <x:c r="H5895" s="11" t="n">
        <x:v>251.1</x:v>
      </x:c>
      <x:c r="I5895" s="2" t="n">
        <x:v>1</x:v>
      </x:c>
      <x:c r="J5895" s="2" t="n">
        <x:v>1</x:v>
      </x:c>
      <x:c r="K5895" s="2" t="n">
        <x:v>1</x:v>
      </x:c>
      <x:c r="L5895" s="2" t="str">
        <x:v>Hibernating</x:v>
      </x:c>
    </x:row>
    <x:row r="5896" ht="22" customHeight="1">
      <x:c r="A5896" s="2"/>
      <x:c r="B5896" s="2" t="str">
        <x:v>18267</x:v>
      </x:c>
      <x:c r="C5896" s="2" t="str">
        <x:v>United Kingdom</x:v>
      </x:c>
      <x:c r="D5896" s="25" t="n">
        <x:v>40214.154861111114</x:v>
      </x:c>
      <x:c r="E5896" s="25" t="n">
        <x:v>40214.154861111114</x:v>
      </x:c>
      <x:c r="F5896" s="2" t="n">
        <x:v>673</x:v>
      </x:c>
      <x:c r="G5896" s="2" t="n">
        <x:v>1</x:v>
      </x:c>
      <x:c r="H5896" s="11" t="n">
        <x:v>269.37</x:v>
      </x:c>
      <x:c r="I5896" s="2" t="n">
        <x:v>1</x:v>
      </x:c>
      <x:c r="J5896" s="2" t="n">
        <x:v>1</x:v>
      </x:c>
      <x:c r="K5896" s="2" t="n">
        <x:v>1</x:v>
      </x:c>
      <x:c r="L5896" s="2" t="str">
        <x:v>Hibernating</x:v>
      </x:c>
    </x:row>
    <x:row r="5897" ht="22" customHeight="1">
      <x:c r="A5897" s="2"/>
      <x:c r="B5897" s="2" t="str">
        <x:v>18268</x:v>
      </x:c>
      <x:c r="C5897" s="2" t="str">
        <x:v>United Kingdom</x:v>
      </x:c>
      <x:c r="D5897" s="25" t="n">
        <x:v>40158.22708333333</x:v>
      </x:c>
      <x:c r="E5897" s="25" t="n">
        <x:v>40752.592361111114</x:v>
      </x:c>
      <x:c r="F5897" s="2" t="n">
        <x:v>135</x:v>
      </x:c>
      <x:c r="G5897" s="2" t="n">
        <x:v>6</x:v>
      </x:c>
      <x:c r="H5897" s="11" t="n">
        <x:v>1490.23</x:v>
      </x:c>
      <x:c r="I5897" s="2" t="n">
        <x:v>3</x:v>
      </x:c>
      <x:c r="J5897" s="2" t="n">
        <x:v>4</x:v>
      </x:c>
      <x:c r="K5897" s="2" t="n">
        <x:v>4</x:v>
      </x:c>
      <x:c r="L5897" s="2" t="str">
        <x:v>Loyal</x:v>
      </x:c>
    </x:row>
    <x:row r="5898" ht="22" customHeight="1">
      <x:c r="A5898" s="2"/>
      <x:c r="B5898" s="2" t="str">
        <x:v>18269</x:v>
      </x:c>
      <x:c r="C5898" s="2" t="str">
        <x:v>United Kingdom</x:v>
      </x:c>
      <x:c r="D5898" s="25" t="n">
        <x:v>40520.37013888889</x:v>
      </x:c>
      <x:c r="E5898" s="25" t="n">
        <x:v>40520.37013888889</x:v>
      </x:c>
      <x:c r="F5898" s="2" t="n">
        <x:v>367</x:v>
      </x:c>
      <x:c r="G5898" s="2" t="n">
        <x:v>1</x:v>
      </x:c>
      <x:c r="H5898" s="11" t="n">
        <x:v>168.6</x:v>
      </x:c>
      <x:c r="I5898" s="2" t="n">
        <x:v>2</x:v>
      </x:c>
      <x:c r="J5898" s="2" t="n">
        <x:v>1</x:v>
      </x:c>
      <x:c r="K5898" s="2" t="n">
        <x:v>1</x:v>
      </x:c>
      <x:c r="L5898" s="2" t="str">
        <x:v>Hibernating</x:v>
      </x:c>
    </x:row>
    <x:row r="5899" ht="22" customHeight="1">
      <x:c r="A5899" s="2"/>
      <x:c r="B5899" s="2" t="str">
        <x:v>18270</x:v>
      </x:c>
      <x:c r="C5899" s="2" t="str">
        <x:v>United Kingdom</x:v>
      </x:c>
      <x:c r="D5899" s="25" t="n">
        <x:v>40454.24236111111</x:v>
      </x:c>
      <x:c r="E5899" s="25" t="n">
        <x:v>40848.37291666667</x:v>
      </x:c>
      <x:c r="F5899" s="2" t="n">
        <x:v>39</x:v>
      </x:c>
      <x:c r="G5899" s="2" t="n">
        <x:v>3</x:v>
      </x:c>
      <x:c r="H5899" s="11" t="n">
        <x:v>444.55</x:v>
      </x:c>
      <x:c r="I5899" s="2" t="n">
        <x:v>4</x:v>
      </x:c>
      <x:c r="J5899" s="2" t="n">
        <x:v>3</x:v>
      </x:c>
      <x:c r="K5899" s="2" t="n">
        <x:v>2</x:v>
      </x:c>
      <x:c r="L5899" s="2" t="str">
        <x:v>Loyal</x:v>
      </x:c>
    </x:row>
    <x:row r="5900" ht="22" customHeight="1">
      <x:c r="A5900" s="2"/>
      <x:c r="B5900" s="2" t="str">
        <x:v>18271</x:v>
      </x:c>
      <x:c r="C5900" s="2" t="str">
        <x:v>United Kingdom</x:v>
      </x:c>
      <x:c r="D5900" s="25" t="n">
        <x:v>40155.26875</x:v>
      </x:c>
      <x:c r="E5900" s="25" t="n">
        <x:v>40277.18472222222</x:v>
      </x:c>
      <x:c r="F5900" s="2" t="n">
        <x:v>610</x:v>
      </x:c>
      <x:c r="G5900" s="2" t="n">
        <x:v>2</x:v>
      </x:c>
      <x:c r="H5900" s="11" t="n">
        <x:v>680.85</x:v>
      </x:c>
      <x:c r="I5900" s="2" t="n">
        <x:v>1</x:v>
      </x:c>
      <x:c r="J5900" s="2" t="n">
        <x:v>2</x:v>
      </x:c>
      <x:c r="K5900" s="2" t="n">
        <x:v>3</x:v>
      </x:c>
      <x:c r="L5900" s="2" t="str">
        <x:v>Hibernating</x:v>
      </x:c>
    </x:row>
    <x:row r="5901" ht="22" customHeight="1">
      <x:c r="A5901" s="2"/>
      <x:c r="B5901" s="2" t="str">
        <x:v>18272</x:v>
      </x:c>
      <x:c r="C5901" s="2" t="str">
        <x:v>United Kingdom</x:v>
      </x:c>
      <x:c r="D5901" s="25" t="n">
        <x:v>40241.32847222222</x:v>
      </x:c>
      <x:c r="E5901" s="25" t="n">
        <x:v>40884.32152777778</x:v>
      </x:c>
      <x:c r="F5901" s="2" t="n">
        <x:v>3</x:v>
      </x:c>
      <x:c r="G5901" s="2" t="n">
        <x:v>9</x:v>
      </x:c>
      <x:c r="H5901" s="11" t="n">
        <x:v>4385.98</x:v>
      </x:c>
      <x:c r="I5901" s="2" t="n">
        <x:v>5</x:v>
      </x:c>
      <x:c r="J5901" s="2" t="n">
        <x:v>5</x:v>
      </x:c>
      <x:c r="K5901" s="2" t="n">
        <x:v>5</x:v>
      </x:c>
      <x:c r="L5901" s="2" t="str">
        <x:v>Champions</x:v>
      </x:c>
    </x:row>
    <x:row r="5902" ht="22" customHeight="1">
      <x:c r="A5902" s="2"/>
      <x:c r="B5902" s="2" t="str">
        <x:v>18273</x:v>
      </x:c>
      <x:c r="C5902" s="2" t="str">
        <x:v>United Kingdom</x:v>
      </x:c>
      <x:c r="D5902" s="25" t="n">
        <x:v>40296.308333333334</x:v>
      </x:c>
      <x:c r="E5902" s="25" t="n">
        <x:v>40884.34444444445</x:v>
      </x:c>
      <x:c r="F5902" s="2" t="n">
        <x:v>3</x:v>
      </x:c>
      <x:c r="G5902" s="2" t="n">
        <x:v>4</x:v>
      </x:c>
      <x:c r="H5902" s="11" t="n">
        <x:v>357</x:v>
      </x:c>
      <x:c r="I5902" s="2" t="n">
        <x:v>5</x:v>
      </x:c>
      <x:c r="J5902" s="2" t="n">
        <x:v>3</x:v>
      </x:c>
      <x:c r="K5902" s="2" t="n">
        <x:v>2</x:v>
      </x:c>
      <x:c r="L5902" s="2" t="str">
        <x:v>Loyal</x:v>
      </x:c>
    </x:row>
    <x:row r="5903" ht="22" customHeight="1">
      <x:c r="A5903" s="2"/>
      <x:c r="B5903" s="2" t="str">
        <x:v>18274</x:v>
      </x:c>
      <x:c r="C5903" s="2" t="str">
        <x:v>United Kingdom</x:v>
      </x:c>
      <x:c r="D5903" s="25" t="n">
        <x:v>40856.50208333333</x:v>
      </x:c>
      <x:c r="E5903" s="25" t="n">
        <x:v>40856.50208333333</x:v>
      </x:c>
      <x:c r="F5903" s="2" t="n">
        <x:v>31</x:v>
      </x:c>
      <x:c r="G5903" s="2" t="n">
        <x:v>1</x:v>
      </x:c>
      <x:c r="H5903" s="11" t="n">
        <x:v>175.92</x:v>
      </x:c>
      <x:c r="I5903" s="2" t="n">
        <x:v>4</x:v>
      </x:c>
      <x:c r="J5903" s="2" t="n">
        <x:v>1</x:v>
      </x:c>
      <x:c r="K5903" s="2" t="n">
        <x:v>1</x:v>
      </x:c>
      <x:c r="L5903" s="2" t="str">
        <x:v>Recent light buyers</x:v>
      </x:c>
    </x:row>
    <x:row r="5904" ht="22" customHeight="1">
      <x:c r="A5904" s="2"/>
      <x:c r="B5904" s="2" t="str">
        <x:v>18275</x:v>
      </x:c>
      <x:c r="C5904" s="2" t="str">
        <x:v>United Kingdom</x:v>
      </x:c>
      <x:c r="D5904" s="25" t="n">
        <x:v>40155.47430555556</x:v>
      </x:c>
      <x:c r="E5904" s="25" t="n">
        <x:v>40308.44861111111</x:v>
      </x:c>
      <x:c r="F5904" s="2" t="n">
        <x:v>579</x:v>
      </x:c>
      <x:c r="G5904" s="2" t="n">
        <x:v>2</x:v>
      </x:c>
      <x:c r="H5904" s="11" t="n">
        <x:v>741.85</x:v>
      </x:c>
      <x:c r="I5904" s="2" t="n">
        <x:v>1</x:v>
      </x:c>
      <x:c r="J5904" s="2" t="n">
        <x:v>2</x:v>
      </x:c>
      <x:c r="K5904" s="2" t="n">
        <x:v>3</x:v>
      </x:c>
      <x:c r="L5904" s="2" t="str">
        <x:v>Hibernating</x:v>
      </x:c>
    </x:row>
    <x:row r="5905" ht="22" customHeight="1">
      <x:c r="A5905" s="2"/>
      <x:c r="B5905" s="2" t="str">
        <x:v>18276</x:v>
      </x:c>
      <x:c r="C5905" s="2" t="str">
        <x:v>United Kingdom</x:v>
      </x:c>
      <x:c r="D5905" s="25" t="n">
        <x:v>40157.509722222225</x:v>
      </x:c>
      <x:c r="E5905" s="25" t="n">
        <x:v>40843.245833333334</x:v>
      </x:c>
      <x:c r="F5905" s="2" t="n">
        <x:v>44</x:v>
      </x:c>
      <x:c r="G5905" s="2" t="n">
        <x:v>6</x:v>
      </x:c>
      <x:c r="H5905" s="11" t="n">
        <x:v>1656.52</x:v>
      </x:c>
      <x:c r="I5905" s="2" t="n">
        <x:v>4</x:v>
      </x:c>
      <x:c r="J5905" s="2" t="n">
        <x:v>4</x:v>
      </x:c>
      <x:c r="K5905" s="2" t="n">
        <x:v>4</x:v>
      </x:c>
      <x:c r="L5905" s="2" t="str">
        <x:v>Champions</x:v>
      </x:c>
    </x:row>
    <x:row r="5906" ht="22" customHeight="1">
      <x:c r="A5906" s="2"/>
      <x:c r="B5906" s="2" t="str">
        <x:v>18277</x:v>
      </x:c>
      <x:c r="C5906" s="2" t="str">
        <x:v>United Kingdom</x:v>
      </x:c>
      <x:c r="D5906" s="25" t="n">
        <x:v>40392.22638888889</x:v>
      </x:c>
      <x:c r="E5906" s="25" t="n">
        <x:v>40828.43194444444</x:v>
      </x:c>
      <x:c r="F5906" s="2" t="n">
        <x:v>59</x:v>
      </x:c>
      <x:c r="G5906" s="2" t="n">
        <x:v>5</x:v>
      </x:c>
      <x:c r="H5906" s="11" t="n">
        <x:v>1180.05</x:v>
      </x:c>
      <x:c r="I5906" s="2" t="n">
        <x:v>4</x:v>
      </x:c>
      <x:c r="J5906" s="2" t="n">
        <x:v>4</x:v>
      </x:c>
      <x:c r="K5906" s="2" t="n">
        <x:v>3</x:v>
      </x:c>
      <x:c r="L5906" s="2" t="str">
        <x:v>Loyal</x:v>
      </x:c>
    </x:row>
    <x:row r="5907" ht="22" customHeight="1">
      <x:c r="A5907" s="2"/>
      <x:c r="B5907" s="2" t="str">
        <x:v>18278</x:v>
      </x:c>
      <x:c r="C5907" s="2" t="str">
        <x:v>United Kingdom</x:v>
      </x:c>
      <x:c r="D5907" s="25" t="n">
        <x:v>40482.30069444444</x:v>
      </x:c>
      <x:c r="E5907" s="25" t="n">
        <x:v>40813.29027777778</x:v>
      </x:c>
      <x:c r="F5907" s="2" t="n">
        <x:v>74</x:v>
      </x:c>
      <x:c r="G5907" s="2" t="n">
        <x:v>2</x:v>
      </x:c>
      <x:c r="H5907" s="11" t="n">
        <x:v>414.2</x:v>
      </x:c>
      <x:c r="I5907" s="2" t="n">
        <x:v>3</x:v>
      </x:c>
      <x:c r="J5907" s="2" t="n">
        <x:v>2</x:v>
      </x:c>
      <x:c r="K5907" s="2" t="n">
        <x:v>2</x:v>
      </x:c>
      <x:c r="L5907" s="2" t="str">
        <x:v>Developing</x:v>
      </x:c>
    </x:row>
    <x:row r="5908" ht="22" customHeight="1">
      <x:c r="A5908" s="2"/>
      <x:c r="B5908" s="2" t="str">
        <x:v>18279</x:v>
      </x:c>
      <x:c r="C5908" s="2" t="str">
        <x:v>United Kingdom</x:v>
      </x:c>
      <x:c r="D5908" s="25" t="n">
        <x:v>40367.40833333333</x:v>
      </x:c>
      <x:c r="E5908" s="25" t="n">
        <x:v>40367.40833333333</x:v>
      </x:c>
      <x:c r="F5908" s="2" t="n">
        <x:v>520</x:v>
      </x:c>
      <x:c r="G5908" s="2" t="n">
        <x:v>1</x:v>
      </x:c>
      <x:c r="H5908" s="11" t="n">
        <x:v>231.34</x:v>
      </x:c>
      <x:c r="I5908" s="2" t="n">
        <x:v>1</x:v>
      </x:c>
      <x:c r="J5908" s="2" t="n">
        <x:v>1</x:v>
      </x:c>
      <x:c r="K5908" s="2" t="n">
        <x:v>1</x:v>
      </x:c>
      <x:c r="L5908" s="2" t="str">
        <x:v>Hibernating</x:v>
      </x:c>
    </x:row>
    <x:row r="5909" ht="22" customHeight="1">
      <x:c r="A5909" s="2"/>
      <x:c r="B5909" s="2" t="str">
        <x:v>18280</x:v>
      </x:c>
      <x:c r="C5909" s="2" t="str">
        <x:v>United Kingdom</x:v>
      </x:c>
      <x:c r="D5909" s="25" t="n">
        <x:v>40492.45208333333</x:v>
      </x:c>
      <x:c r="E5909" s="25" t="n">
        <x:v>40609.20277777778</x:v>
      </x:c>
      <x:c r="F5909" s="2" t="n">
        <x:v>278</x:v>
      </x:c>
      <x:c r="G5909" s="2" t="n">
        <x:v>2</x:v>
      </x:c>
      <x:c r="H5909" s="11" t="n">
        <x:v>488.15</x:v>
      </x:c>
      <x:c r="I5909" s="2" t="n">
        <x:v>2</x:v>
      </x:c>
      <x:c r="J5909" s="2" t="n">
        <x:v>2</x:v>
      </x:c>
      <x:c r="K5909" s="2" t="n">
        <x:v>2</x:v>
      </x:c>
      <x:c r="L5909" s="2" t="str">
        <x:v>Hibernating</x:v>
      </x:c>
    </x:row>
    <x:row r="5910" ht="22" customHeight="1">
      <x:c r="A5910" s="2"/>
      <x:c r="B5910" s="2" t="str">
        <x:v>18281</x:v>
      </x:c>
      <x:c r="C5910" s="2" t="str">
        <x:v>United Kingdom</x:v>
      </x:c>
      <x:c r="D5910" s="25" t="n">
        <x:v>40309.24236111111</x:v>
      </x:c>
      <x:c r="E5910" s="25" t="n">
        <x:v>40706.24513888889</x:v>
      </x:c>
      <x:c r="F5910" s="2" t="n">
        <x:v>181</x:v>
      </x:c>
      <x:c r="G5910" s="2" t="n">
        <x:v>2</x:v>
      </x:c>
      <x:c r="H5910" s="11" t="n">
        <x:v>201.14</x:v>
      </x:c>
      <x:c r="I5910" s="2" t="n">
        <x:v>3</x:v>
      </x:c>
      <x:c r="J5910" s="2" t="n">
        <x:v>2</x:v>
      </x:c>
      <x:c r="K5910" s="2" t="n">
        <x:v>1</x:v>
      </x:c>
      <x:c r="L5910" s="2" t="str">
        <x:v>Developing</x:v>
      </x:c>
    </x:row>
    <x:row r="5911" ht="22" customHeight="1">
      <x:c r="A5911" s="2"/>
      <x:c r="B5911" s="2" t="str">
        <x:v>18282</x:v>
      </x:c>
      <x:c r="C5911" s="2" t="str">
        <x:v>United Kingdom</x:v>
      </x:c>
      <x:c r="D5911" s="25" t="n">
        <x:v>40760.35763888889</x:v>
      </x:c>
      <x:c r="E5911" s="25" t="n">
        <x:v>40879.279861111114</x:v>
      </x:c>
      <x:c r="F5911" s="2" t="n">
        <x:v>8</x:v>
      </x:c>
      <x:c r="G5911" s="2" t="n">
        <x:v>2</x:v>
      </x:c>
      <x:c r="H5911" s="11" t="n">
        <x:v>178.05</x:v>
      </x:c>
      <x:c r="I5911" s="2" t="n">
        <x:v>5</x:v>
      </x:c>
      <x:c r="J5911" s="2" t="n">
        <x:v>2</x:v>
      </x:c>
      <x:c r="K5911" s="2" t="n">
        <x:v>1</x:v>
      </x:c>
      <x:c r="L5911" s="2" t="str">
        <x:v>Recent light buyers</x:v>
      </x:c>
    </x:row>
    <x:row r="5912" ht="22" customHeight="1">
      <x:c r="A5912" s="2"/>
      <x:c r="B5912" s="2" t="str">
        <x:v>18283</x:v>
      </x:c>
      <x:c r="C5912" s="2" t="str">
        <x:v>United Kingdom</x:v>
      </x:c>
      <x:c r="D5912" s="25" t="n">
        <x:v>40228.51111111111</x:v>
      </x:c>
      <x:c r="E5912" s="25" t="n">
        <x:v>40883.29305555556</x:v>
      </x:c>
      <x:c r="F5912" s="2" t="n">
        <x:v>4</x:v>
      </x:c>
      <x:c r="G5912" s="2" t="n">
        <x:v>22</x:v>
      </x:c>
      <x:c r="H5912" s="11" t="n">
        <x:v>2736.65</x:v>
      </x:c>
      <x:c r="I5912" s="2" t="n">
        <x:v>5</x:v>
      </x:c>
      <x:c r="J5912" s="2" t="n">
        <x:v>5</x:v>
      </x:c>
      <x:c r="K5912" s="2" t="n">
        <x:v>4</x:v>
      </x:c>
      <x:c r="L5912" s="2" t="str">
        <x:v>Champions</x:v>
      </x:c>
    </x:row>
    <x:row r="5913" ht="22" customHeight="1">
      <x:c r="A5913" s="2"/>
      <x:c r="B5913" s="2" t="str">
        <x:v>18284</x:v>
      </x:c>
      <x:c r="C5913" s="2" t="str">
        <x:v>United Kingdom</x:v>
      </x:c>
      <x:c r="D5913" s="25" t="n">
        <x:v>40455.27291666667</x:v>
      </x:c>
      <x:c r="E5913" s="25" t="n">
        <x:v>40455.27291666667</x:v>
      </x:c>
      <x:c r="F5913" s="2" t="n">
        <x:v>432</x:v>
      </x:c>
      <x:c r="G5913" s="2" t="n">
        <x:v>1</x:v>
      </x:c>
      <x:c r="H5913" s="11" t="n">
        <x:v>461.68</x:v>
      </x:c>
      <x:c r="I5913" s="2" t="n">
        <x:v>1</x:v>
      </x:c>
      <x:c r="J5913" s="2" t="n">
        <x:v>1</x:v>
      </x:c>
      <x:c r="K5913" s="2" t="n">
        <x:v>2</x:v>
      </x:c>
      <x:c r="L5913" s="2" t="str">
        <x:v>Hibernating</x:v>
      </x:c>
    </x:row>
    <x:row r="5914" ht="22" customHeight="1">
      <x:c r="A5914" s="2"/>
      <x:c r="B5914" s="2" t="str">
        <x:v>18285</x:v>
      </x:c>
      <x:c r="C5914" s="2" t="str">
        <x:v>United Kingdom</x:v>
      </x:c>
      <x:c r="D5914" s="25" t="n">
        <x:v>40226.225</x:v>
      </x:c>
      <x:c r="E5914" s="25" t="n">
        <x:v>40226.225</x:v>
      </x:c>
      <x:c r="F5914" s="2" t="n">
        <x:v>661</x:v>
      </x:c>
      <x:c r="G5914" s="2" t="n">
        <x:v>1</x:v>
      </x:c>
      <x:c r="H5914" s="11" t="n">
        <x:v>427</x:v>
      </x:c>
      <x:c r="I5914" s="2" t="n">
        <x:v>1</x:v>
      </x:c>
      <x:c r="J5914" s="2" t="n">
        <x:v>1</x:v>
      </x:c>
      <x:c r="K5914" s="2" t="n">
        <x:v>2</x:v>
      </x:c>
      <x:c r="L5914" s="2" t="str">
        <x:v>Hibernating</x:v>
      </x:c>
    </x:row>
    <x:row r="5915" ht="22" customHeight="1">
      <x:c r="A5915" s="2"/>
      <x:c r="B5915" s="2" t="str">
        <x:v>18286</x:v>
      </x:c>
      <x:c r="C5915" s="2" t="str">
        <x:v>United Kingdom</x:v>
      </x:c>
      <x:c r="D5915" s="25" t="n">
        <x:v>40163.239583333336</x:v>
      </x:c>
      <x:c r="E5915" s="25" t="n">
        <x:v>40410.28958333333</x:v>
      </x:c>
      <x:c r="F5915" s="2" t="n">
        <x:v>477</x:v>
      </x:c>
      <x:c r="G5915" s="2" t="n">
        <x:v>2</x:v>
      </x:c>
      <x:c r="H5915" s="11" t="n">
        <x:v>1296.43</x:v>
      </x:c>
      <x:c r="I5915" s="2" t="n">
        <x:v>1</x:v>
      </x:c>
      <x:c r="J5915" s="2" t="n">
        <x:v>2</x:v>
      </x:c>
      <x:c r="K5915" s="2" t="n">
        <x:v>4</x:v>
      </x:c>
      <x:c r="L5915" s="2" t="str">
        <x:v>Hibernating</x:v>
      </x:c>
    </x:row>
    <x:row r="5916" ht="22" customHeight="1">
      <x:c r="A5916" s="2"/>
      <x:c r="B5916" s="2" t="str">
        <x:v>18287</x:v>
      </x:c>
      <x:c r="C5916" s="2" t="str">
        <x:v>United Kingdom</x:v>
      </x:c>
      <x:c r="D5916" s="25" t="n">
        <x:v>40315.288194444445</x:v>
      </x:c>
      <x:c r="E5916" s="25" t="n">
        <x:v>40844.18680555555</x:v>
      </x:c>
      <x:c r="F5916" s="2" t="n">
        <x:v>43</x:v>
      </x:c>
      <x:c r="G5916" s="2" t="n">
        <x:v>7</x:v>
      </x:c>
      <x:c r="H5916" s="11" t="n">
        <x:v>4182.99</x:v>
      </x:c>
      <x:c r="I5916" s="2" t="n">
        <x:v>4</x:v>
      </x:c>
      <x:c r="J5916" s="2" t="n">
        <x:v>4</x:v>
      </x:c>
      <x:c r="K5916" s="2" t="n">
        <x:v>5</x:v>
      </x:c>
      <x:c r="L5916" s="2" t="str">
        <x:v>Champions</x:v>
      </x:c>
    </x:row>
    <x:row r="5917" ht="23" customHeight="1">
      <x:c r="A5917" s="2"/>
      <x:c r="B5917" s="2"/>
      <x:c r="C5917" s="2"/>
      <x:c r="D5917" s="2"/>
      <x:c r="E5917" s="2"/>
      <x:c r="F5917" s="2"/>
      <x:c r="G5917" s="2"/>
      <x:c r="H5917" s="2"/>
      <x:c r="I5917" s="2"/>
      <x:c r="J5917" s="2"/>
      <x:c r="K5917" s="2"/>
      <x:c r="L5917" s="2"/>
    </x:row>
  </x:sheetData>
  <x:mergeCells>
    <x:mergeCell ref="B2:L3"/>
    <x:mergeCell ref="B4:L4"/>
    <x:mergeCell ref="B19:D19"/>
    <x:mergeCell ref="B20:D21"/>
    <x:mergeCell ref="B22:D22"/>
    <x:mergeCell ref="B23:D24"/>
    <x:mergeCell ref="G22:I22"/>
    <x:mergeCell ref="G23:I24"/>
    <x:mergeCell ref="B25:L27"/>
    <x:mergeCell ref="B28:L30"/>
    <x:mergeCell ref="B31:L35"/>
  </x:mergeCells>
  <x:dataValidations count="1">
    <x:dataValidation type="list" sqref="B17">
      <x:formula1>"At risk,Champions,Developing,Hibernating,Loyal,Recent light buyers"</x:formula1>
    </x:dataValidation>
  </x:dataValidations>
  <x:pageMargins left="0.7" right="0.7" top="0.75" bottom="0.75" header="0.3" footer="0.3"/>
  <x:drawing xmlns:r="http://schemas.openxmlformats.org/officeDocument/2006/relationships" r:id="Read071233c784962"/>
  <x:tableParts count="2">
    <x:tablePart xmlns:r="http://schemas.openxmlformats.org/officeDocument/2006/relationships" r:id="Rfaa86807e68d43da"/>
    <x:tablePart xmlns:r="http://schemas.openxmlformats.org/officeDocument/2006/relationships" r:id="Rfc5f3d7df3974b97"/>
  </x:tableParts>
</x:worksheet>
</file>

<file path=xl/worksheets/sheet5.xml><?xml version="1.0" encoding="utf-8"?>
<x:worksheet xmlns:x="http://schemas.openxmlformats.org/spreadsheetml/2006/main">
  <x:sheetPr>
    <x:tabColor rgb="FF20364D"/>
  </x:sheetPr>
  <x:sheetViews>
    <x:sheetView showGridLines="0" workbookViewId="0">
      <x:pane xSplit="3" ySplit="10" topLeftCell="D11" activePane="bottomRight" state="frozen"/>
    </x:sheetView>
  </x:sheetViews>
  <x:sheetFormatPr defaultRowHeight="15"/>
  <x:cols>
    <x:col min="1" max="1" width="3" hidden="0" customWidth="1"/>
    <x:col min="2" max="2" width="17" hidden="0" customWidth="1"/>
    <x:col min="3" max="3" width="13" hidden="0" customWidth="1"/>
    <x:col min="4" max="4" width="9" hidden="0" customWidth="1"/>
    <x:col min="5" max="5" width="9" hidden="0" customWidth="1"/>
    <x:col min="6" max="6" width="9"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 min="27" max="27" width="9" hidden="0" customWidth="1"/>
    <x:col min="28" max="28" width="9" hidden="0" customWidth="1"/>
  </x:cols>
  <x:sheetData>
    <x:row r="1" ht="23"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row>
    <x:row r="2" ht="23" customHeight="1">
      <x:c r="A2" s="2"/>
      <x:c r="B2" s="4" t="str">
        <x:v>Customer cohort retention</x:v>
      </x:c>
      <x:c r="C2" s="4" t="str">
        <x:v>Customer cohort retention</x:v>
      </x:c>
      <x:c r="D2" s="4" t="str">
        <x:v>Customer cohort retention</x:v>
      </x:c>
      <x:c r="E2" s="4" t="str">
        <x:v>Customer cohort retention</x:v>
      </x:c>
      <x:c r="F2" s="4" t="str">
        <x:v>Customer cohort retention</x:v>
      </x:c>
      <x:c r="G2" s="4" t="str">
        <x:v>Customer cohort retention</x:v>
      </x:c>
      <x:c r="H2" s="4" t="str">
        <x:v>Customer cohort retention</x:v>
      </x:c>
      <x:c r="I2" s="4" t="str">
        <x:v>Customer cohort retention</x:v>
      </x:c>
      <x:c r="J2" s="4" t="str">
        <x:v>Customer cohort retention</x:v>
      </x:c>
      <x:c r="K2" s="4" t="str">
        <x:v>Customer cohort retention</x:v>
      </x:c>
      <x:c r="L2" s="4" t="str">
        <x:v>Customer cohort retention</x:v>
      </x:c>
      <x:c r="M2" s="4" t="str">
        <x:v>Customer cohort retention</x:v>
      </x:c>
      <x:c r="N2" s="4" t="str">
        <x:v>Customer cohort retention</x:v>
      </x:c>
      <x:c r="O2" s="4" t="str">
        <x:v>Customer cohort retention</x:v>
      </x:c>
      <x:c r="P2" s="4" t="str">
        <x:v>Customer cohort retention</x:v>
      </x:c>
      <x:c r="Q2" s="4" t="str">
        <x:v>Customer cohort retention</x:v>
      </x:c>
      <x:c r="R2" s="4" t="str">
        <x:v>Customer cohort retention</x:v>
      </x:c>
      <x:c r="S2" s="4" t="str">
        <x:v>Customer cohort retention</x:v>
      </x:c>
      <x:c r="T2" s="4" t="str">
        <x:v>Customer cohort retention</x:v>
      </x:c>
      <x:c r="U2" s="4" t="str">
        <x:v>Customer cohort retention</x:v>
      </x:c>
      <x:c r="V2" s="4" t="str">
        <x:v>Customer cohort retention</x:v>
      </x:c>
      <x:c r="W2" s="4" t="str">
        <x:v>Customer cohort retention</x:v>
      </x:c>
      <x:c r="X2" s="4" t="str">
        <x:v>Customer cohort retention</x:v>
      </x:c>
      <x:c r="Y2" s="4" t="str">
        <x:v>Customer cohort retention</x:v>
      </x:c>
      <x:c r="Z2" s="4" t="str">
        <x:v>Customer cohort retention</x:v>
      </x:c>
      <x:c r="AA2" s="4" t="str">
        <x:v>Customer cohort retention</x:v>
      </x:c>
      <x:c r="AB2" s="4" t="str">
        <x:v>Customer cohort retention</x:v>
      </x:c>
    </x:row>
    <x:row r="3" ht="23" customHeight="1">
      <x:c r="A3" s="2"/>
      <x:c r="B3" s="5" t="str">
        <x:v>Customer cohort retention</x:v>
      </x:c>
      <x:c r="C3" s="5" t="str">
        <x:v>Customer cohort retention</x:v>
      </x:c>
      <x:c r="D3" s="5" t="str">
        <x:v>Customer cohort retention</x:v>
      </x:c>
      <x:c r="E3" s="5" t="str">
        <x:v>Customer cohort retention</x:v>
      </x:c>
      <x:c r="F3" s="5" t="str">
        <x:v>Customer cohort retention</x:v>
      </x:c>
      <x:c r="G3" s="5" t="str">
        <x:v>Customer cohort retention</x:v>
      </x:c>
      <x:c r="H3" s="5" t="str">
        <x:v>Customer cohort retention</x:v>
      </x:c>
      <x:c r="I3" s="5" t="str">
        <x:v>Customer cohort retention</x:v>
      </x:c>
      <x:c r="J3" s="5" t="str">
        <x:v>Customer cohort retention</x:v>
      </x:c>
      <x:c r="K3" s="5" t="str">
        <x:v>Customer cohort retention</x:v>
      </x:c>
      <x:c r="L3" s="5" t="str">
        <x:v>Customer cohort retention</x:v>
      </x:c>
      <x:c r="M3" s="5" t="str">
        <x:v>Customer cohort retention</x:v>
      </x:c>
      <x:c r="N3" s="5" t="str">
        <x:v>Customer cohort retention</x:v>
      </x:c>
      <x:c r="O3" s="5" t="str">
        <x:v>Customer cohort retention</x:v>
      </x:c>
      <x:c r="P3" s="5" t="str">
        <x:v>Customer cohort retention</x:v>
      </x:c>
      <x:c r="Q3" s="5" t="str">
        <x:v>Customer cohort retention</x:v>
      </x:c>
      <x:c r="R3" s="5" t="str">
        <x:v>Customer cohort retention</x:v>
      </x:c>
      <x:c r="S3" s="5" t="str">
        <x:v>Customer cohort retention</x:v>
      </x:c>
      <x:c r="T3" s="5" t="str">
        <x:v>Customer cohort retention</x:v>
      </x:c>
      <x:c r="U3" s="5" t="str">
        <x:v>Customer cohort retention</x:v>
      </x:c>
      <x:c r="V3" s="5" t="str">
        <x:v>Customer cohort retention</x:v>
      </x:c>
      <x:c r="W3" s="5" t="str">
        <x:v>Customer cohort retention</x:v>
      </x:c>
      <x:c r="X3" s="5" t="str">
        <x:v>Customer cohort retention</x:v>
      </x:c>
      <x:c r="Y3" s="5" t="str">
        <x:v>Customer cohort retention</x:v>
      </x:c>
      <x:c r="Z3" s="5" t="str">
        <x:v>Customer cohort retention</x:v>
      </x:c>
      <x:c r="AA3" s="5" t="str">
        <x:v>Customer cohort retention</x:v>
      </x:c>
      <x:c r="AB3" s="5" t="str">
        <x:v>Customer cohort retention</x:v>
      </x:c>
    </x:row>
    <x:row r="4" ht="23" customHeight="1">
      <x:c r="A4" s="2"/>
      <x:c r="B4" s="7" t="str">
        <x:v>Cohorts use the first observed positive purchase month, not verified customer acquisition.</x:v>
      </x:c>
      <x:c r="C4" s="7" t="str">
        <x:v>Cohorts use the first observed positive purchase month, not verified customer acquisition.</x:v>
      </x:c>
      <x:c r="D4" s="7" t="str">
        <x:v>Cohorts use the first observed positive purchase month, not verified customer acquisition.</x:v>
      </x:c>
      <x:c r="E4" s="7" t="str">
        <x:v>Cohorts use the first observed positive purchase month, not verified customer acquisition.</x:v>
      </x:c>
      <x:c r="F4" s="7" t="str">
        <x:v>Cohorts use the first observed positive purchase month, not verified customer acquisition.</x:v>
      </x:c>
      <x:c r="G4" s="7" t="str">
        <x:v>Cohorts use the first observed positive purchase month, not verified customer acquisition.</x:v>
      </x:c>
      <x:c r="H4" s="7" t="str">
        <x:v>Cohorts use the first observed positive purchase month, not verified customer acquisition.</x:v>
      </x:c>
      <x:c r="I4" s="7" t="str">
        <x:v>Cohorts use the first observed positive purchase month, not verified customer acquisition.</x:v>
      </x:c>
      <x:c r="J4" s="7" t="str">
        <x:v>Cohorts use the first observed positive purchase month, not verified customer acquisition.</x:v>
      </x:c>
      <x:c r="K4" s="7" t="str">
        <x:v>Cohorts use the first observed positive purchase month, not verified customer acquisition.</x:v>
      </x:c>
      <x:c r="L4" s="7" t="str">
        <x:v>Cohorts use the first observed positive purchase month, not verified customer acquisition.</x:v>
      </x:c>
      <x:c r="M4" s="7" t="str">
        <x:v>Cohorts use the first observed positive purchase month, not verified customer acquisition.</x:v>
      </x:c>
      <x:c r="N4" s="7" t="str">
        <x:v>Cohorts use the first observed positive purchase month, not verified customer acquisition.</x:v>
      </x:c>
      <x:c r="O4" s="7" t="str">
        <x:v>Cohorts use the first observed positive purchase month, not verified customer acquisition.</x:v>
      </x:c>
      <x:c r="P4" s="7" t="str">
        <x:v>Cohorts use the first observed positive purchase month, not verified customer acquisition.</x:v>
      </x:c>
      <x:c r="Q4" s="7" t="str">
        <x:v>Cohorts use the first observed positive purchase month, not verified customer acquisition.</x:v>
      </x:c>
      <x:c r="R4" s="7" t="str">
        <x:v>Cohorts use the first observed positive purchase month, not verified customer acquisition.</x:v>
      </x:c>
      <x:c r="S4" s="7" t="str">
        <x:v>Cohorts use the first observed positive purchase month, not verified customer acquisition.</x:v>
      </x:c>
      <x:c r="T4" s="7" t="str">
        <x:v>Cohorts use the first observed positive purchase month, not verified customer acquisition.</x:v>
      </x:c>
      <x:c r="U4" s="7" t="str">
        <x:v>Cohorts use the first observed positive purchase month, not verified customer acquisition.</x:v>
      </x:c>
      <x:c r="V4" s="7" t="str">
        <x:v>Cohorts use the first observed positive purchase month, not verified customer acquisition.</x:v>
      </x:c>
      <x:c r="W4" s="7" t="str">
        <x:v>Cohorts use the first observed positive purchase month, not verified customer acquisition.</x:v>
      </x:c>
      <x:c r="X4" s="7" t="str">
        <x:v>Cohorts use the first observed positive purchase month, not verified customer acquisition.</x:v>
      </x:c>
      <x:c r="Y4" s="7" t="str">
        <x:v>Cohorts use the first observed positive purchase month, not verified customer acquisition.</x:v>
      </x:c>
      <x:c r="Z4" s="7" t="str">
        <x:v>Cohorts use the first observed positive purchase month, not verified customer acquisition.</x:v>
      </x:c>
      <x:c r="AA4" s="7" t="str">
        <x:v>Cohorts use the first observed positive purchase month, not verified customer acquisition.</x:v>
      </x:c>
      <x:c r="AB4" s="7" t="str">
        <x:v>Cohorts use the first observed positive purchase month, not verified customer acquisition.</x:v>
      </x:c>
    </x:row>
    <x:row r="5" ht="23" customHeight="1">
      <x:c r="A5" s="2"/>
      <x:c r="B5" s="2"/>
      <x:c r="C5" s="2"/>
      <x:c r="D5" s="2"/>
      <x:c r="E5" s="2"/>
      <x:c r="F5" s="2"/>
      <x:c r="G5" s="2"/>
      <x:c r="H5" s="2"/>
      <x:c r="I5" s="2"/>
      <x:c r="J5" s="2"/>
      <x:c r="K5" s="2"/>
      <x:c r="L5" s="2"/>
      <x:c r="M5" s="2"/>
      <x:c r="N5" s="2"/>
      <x:c r="O5" s="2"/>
      <x:c r="P5" s="2"/>
      <x:c r="Q5" s="2"/>
      <x:c r="R5" s="2"/>
      <x:c r="S5" s="2"/>
      <x:c r="T5" s="2"/>
      <x:c r="U5" s="2"/>
      <x:c r="V5" s="2"/>
      <x:c r="W5" s="2"/>
      <x:c r="X5" s="2"/>
      <x:c r="Y5" s="2"/>
      <x:c r="Z5" s="2"/>
      <x:c r="AA5" s="2"/>
      <x:c r="AB5" s="2"/>
    </x:row>
    <x:row r="6" ht="23" customHeight="1">
      <x:c r="A6" s="2"/>
      <x:c r="B6" s="17" t="str">
        <x:v>Each rate is distinct cohort customers purchasing at that age ÷ the original cohort size. Blank = not yet observable. Month 0 is 100%. The final observed calendar month, December 2011, is incomplete and is highlighted amber.</x:v>
      </x:c>
      <x:c r="C6" s="17" t="str">
        <x:v>Each rate is distinct cohort customers purchasing at that age ÷ the original cohort size. Blank = not yet observable. Month 0 is 100%. The final observed calendar month, December 2011, is incomplete and is highlighted amber.</x:v>
      </x:c>
      <x:c r="D6" s="17" t="str">
        <x:v>Each rate is distinct cohort customers purchasing at that age ÷ the original cohort size. Blank = not yet observable. Month 0 is 100%. The final observed calendar month, December 2011, is incomplete and is highlighted amber.</x:v>
      </x:c>
      <x:c r="E6" s="17" t="str">
        <x:v>Each rate is distinct cohort customers purchasing at that age ÷ the original cohort size. Blank = not yet observable. Month 0 is 100%. The final observed calendar month, December 2011, is incomplete and is highlighted amber.</x:v>
      </x:c>
      <x:c r="F6" s="17" t="str">
        <x:v>Each rate is distinct cohort customers purchasing at that age ÷ the original cohort size. Blank = not yet observable. Month 0 is 100%. The final observed calendar month, December 2011, is incomplete and is highlighted amber.</x:v>
      </x:c>
      <x:c r="G6" s="17" t="str">
        <x:v>Each rate is distinct cohort customers purchasing at that age ÷ the original cohort size. Blank = not yet observable. Month 0 is 100%. The final observed calendar month, December 2011, is incomplete and is highlighted amber.</x:v>
      </x:c>
      <x:c r="H6" s="17" t="str">
        <x:v>Each rate is distinct cohort customers purchasing at that age ÷ the original cohort size. Blank = not yet observable. Month 0 is 100%. The final observed calendar month, December 2011, is incomplete and is highlighted amber.</x:v>
      </x:c>
      <x:c r="I6" s="17" t="str">
        <x:v>Each rate is distinct cohort customers purchasing at that age ÷ the original cohort size. Blank = not yet observable. Month 0 is 100%. The final observed calendar month, December 2011, is incomplete and is highlighted amber.</x:v>
      </x:c>
      <x:c r="J6" s="17" t="str">
        <x:v>Each rate is distinct cohort customers purchasing at that age ÷ the original cohort size. Blank = not yet observable. Month 0 is 100%. The final observed calendar month, December 2011, is incomplete and is highlighted amber.</x:v>
      </x:c>
      <x:c r="K6" s="17" t="str">
        <x:v>Each rate is distinct cohort customers purchasing at that age ÷ the original cohort size. Blank = not yet observable. Month 0 is 100%. The final observed calendar month, December 2011, is incomplete and is highlighted amber.</x:v>
      </x:c>
      <x:c r="L6" s="17" t="str">
        <x:v>Each rate is distinct cohort customers purchasing at that age ÷ the original cohort size. Blank = not yet observable. Month 0 is 100%. The final observed calendar month, December 2011, is incomplete and is highlighted amber.</x:v>
      </x:c>
      <x:c r="M6" s="17" t="str">
        <x:v>Each rate is distinct cohort customers purchasing at that age ÷ the original cohort size. Blank = not yet observable. Month 0 is 100%. The final observed calendar month, December 2011, is incomplete and is highlighted amber.</x:v>
      </x:c>
      <x:c r="N6" s="17" t="str">
        <x:v>Each rate is distinct cohort customers purchasing at that age ÷ the original cohort size. Blank = not yet observable. Month 0 is 100%. The final observed calendar month, December 2011, is incomplete and is highlighted amber.</x:v>
      </x:c>
      <x:c r="O6" s="17" t="str">
        <x:v>Each rate is distinct cohort customers purchasing at that age ÷ the original cohort size. Blank = not yet observable. Month 0 is 100%. The final observed calendar month, December 2011, is incomplete and is highlighted amber.</x:v>
      </x:c>
      <x:c r="P6" s="17" t="str">
        <x:v>Each rate is distinct cohort customers purchasing at that age ÷ the original cohort size. Blank = not yet observable. Month 0 is 100%. The final observed calendar month, December 2011, is incomplete and is highlighted amber.</x:v>
      </x:c>
      <x:c r="Q6" s="17" t="str">
        <x:v>Each rate is distinct cohort customers purchasing at that age ÷ the original cohort size. Blank = not yet observable. Month 0 is 100%. The final observed calendar month, December 2011, is incomplete and is highlighted amber.</x:v>
      </x:c>
      <x:c r="R6" s="17" t="str">
        <x:v>Each rate is distinct cohort customers purchasing at that age ÷ the original cohort size. Blank = not yet observable. Month 0 is 100%. The final observed calendar month, December 2011, is incomplete and is highlighted amber.</x:v>
      </x:c>
      <x:c r="S6" s="17" t="str">
        <x:v>Each rate is distinct cohort customers purchasing at that age ÷ the original cohort size. Blank = not yet observable. Month 0 is 100%. The final observed calendar month, December 2011, is incomplete and is highlighted amber.</x:v>
      </x:c>
      <x:c r="T6" s="17" t="str">
        <x:v>Each rate is distinct cohort customers purchasing at that age ÷ the original cohort size. Blank = not yet observable. Month 0 is 100%. The final observed calendar month, December 2011, is incomplete and is highlighted amber.</x:v>
      </x:c>
      <x:c r="U6" s="17" t="str">
        <x:v>Each rate is distinct cohort customers purchasing at that age ÷ the original cohort size. Blank = not yet observable. Month 0 is 100%. The final observed calendar month, December 2011, is incomplete and is highlighted amber.</x:v>
      </x:c>
      <x:c r="V6" s="17" t="str">
        <x:v>Each rate is distinct cohort customers purchasing at that age ÷ the original cohort size. Blank = not yet observable. Month 0 is 100%. The final observed calendar month, December 2011, is incomplete and is highlighted amber.</x:v>
      </x:c>
      <x:c r="W6" s="17" t="str">
        <x:v>Each rate is distinct cohort customers purchasing at that age ÷ the original cohort size. Blank = not yet observable. Month 0 is 100%. The final observed calendar month, December 2011, is incomplete and is highlighted amber.</x:v>
      </x:c>
      <x:c r="X6" s="17" t="str">
        <x:v>Each rate is distinct cohort customers purchasing at that age ÷ the original cohort size. Blank = not yet observable. Month 0 is 100%. The final observed calendar month, December 2011, is incomplete and is highlighted amber.</x:v>
      </x:c>
      <x:c r="Y6" s="17" t="str">
        <x:v>Each rate is distinct cohort customers purchasing at that age ÷ the original cohort size. Blank = not yet observable. Month 0 is 100%. The final observed calendar month, December 2011, is incomplete and is highlighted amber.</x:v>
      </x:c>
      <x:c r="Z6" s="17" t="str">
        <x:v>Each rate is distinct cohort customers purchasing at that age ÷ the original cohort size. Blank = not yet observable. Month 0 is 100%. The final observed calendar month, December 2011, is incomplete and is highlighted amber.</x:v>
      </x:c>
      <x:c r="AA6" s="17" t="str">
        <x:v>Each rate is distinct cohort customers purchasing at that age ÷ the original cohort size. Blank = not yet observable. Month 0 is 100%. The final observed calendar month, December 2011, is incomplete and is highlighted amber.</x:v>
      </x:c>
      <x:c r="AB6" s="17" t="str">
        <x:v>Each rate is distinct cohort customers purchasing at that age ÷ the original cohort size. Blank = not yet observable. Month 0 is 100%. The final observed calendar month, December 2011, is incomplete and is highlighted amber.</x:v>
      </x:c>
    </x:row>
    <x:row r="7" ht="23" customHeight="1">
      <x:c r="A7" s="2"/>
      <x:c r="B7" s="17" t="str">
        <x:v>Each rate is distinct cohort customers purchasing at that age ÷ the original cohort size. Blank = not yet observable. Month 0 is 100%. The final observed calendar month, December 2011, is incomplete and is highlighted amber.</x:v>
      </x:c>
      <x:c r="C7" s="17" t="str">
        <x:v>Each rate is distinct cohort customers purchasing at that age ÷ the original cohort size. Blank = not yet observable. Month 0 is 100%. The final observed calendar month, December 2011, is incomplete and is highlighted amber.</x:v>
      </x:c>
      <x:c r="D7" s="17" t="str">
        <x:v>Each rate is distinct cohort customers purchasing at that age ÷ the original cohort size. Blank = not yet observable. Month 0 is 100%. The final observed calendar month, December 2011, is incomplete and is highlighted amber.</x:v>
      </x:c>
      <x:c r="E7" s="17" t="str">
        <x:v>Each rate is distinct cohort customers purchasing at that age ÷ the original cohort size. Blank = not yet observable. Month 0 is 100%. The final observed calendar month, December 2011, is incomplete and is highlighted amber.</x:v>
      </x:c>
      <x:c r="F7" s="17" t="str">
        <x:v>Each rate is distinct cohort customers purchasing at that age ÷ the original cohort size. Blank = not yet observable. Month 0 is 100%. The final observed calendar month, December 2011, is incomplete and is highlighted amber.</x:v>
      </x:c>
      <x:c r="G7" s="17" t="str">
        <x:v>Each rate is distinct cohort customers purchasing at that age ÷ the original cohort size. Blank = not yet observable. Month 0 is 100%. The final observed calendar month, December 2011, is incomplete and is highlighted amber.</x:v>
      </x:c>
      <x:c r="H7" s="17" t="str">
        <x:v>Each rate is distinct cohort customers purchasing at that age ÷ the original cohort size. Blank = not yet observable. Month 0 is 100%. The final observed calendar month, December 2011, is incomplete and is highlighted amber.</x:v>
      </x:c>
      <x:c r="I7" s="17" t="str">
        <x:v>Each rate is distinct cohort customers purchasing at that age ÷ the original cohort size. Blank = not yet observable. Month 0 is 100%. The final observed calendar month, December 2011, is incomplete and is highlighted amber.</x:v>
      </x:c>
      <x:c r="J7" s="17" t="str">
        <x:v>Each rate is distinct cohort customers purchasing at that age ÷ the original cohort size. Blank = not yet observable. Month 0 is 100%. The final observed calendar month, December 2011, is incomplete and is highlighted amber.</x:v>
      </x:c>
      <x:c r="K7" s="17" t="str">
        <x:v>Each rate is distinct cohort customers purchasing at that age ÷ the original cohort size. Blank = not yet observable. Month 0 is 100%. The final observed calendar month, December 2011, is incomplete and is highlighted amber.</x:v>
      </x:c>
      <x:c r="L7" s="17" t="str">
        <x:v>Each rate is distinct cohort customers purchasing at that age ÷ the original cohort size. Blank = not yet observable. Month 0 is 100%. The final observed calendar month, December 2011, is incomplete and is highlighted amber.</x:v>
      </x:c>
      <x:c r="M7" s="17" t="str">
        <x:v>Each rate is distinct cohort customers purchasing at that age ÷ the original cohort size. Blank = not yet observable. Month 0 is 100%. The final observed calendar month, December 2011, is incomplete and is highlighted amber.</x:v>
      </x:c>
      <x:c r="N7" s="17" t="str">
        <x:v>Each rate is distinct cohort customers purchasing at that age ÷ the original cohort size. Blank = not yet observable. Month 0 is 100%. The final observed calendar month, December 2011, is incomplete and is highlighted amber.</x:v>
      </x:c>
      <x:c r="O7" s="17" t="str">
        <x:v>Each rate is distinct cohort customers purchasing at that age ÷ the original cohort size. Blank = not yet observable. Month 0 is 100%. The final observed calendar month, December 2011, is incomplete and is highlighted amber.</x:v>
      </x:c>
      <x:c r="P7" s="17" t="str">
        <x:v>Each rate is distinct cohort customers purchasing at that age ÷ the original cohort size. Blank = not yet observable. Month 0 is 100%. The final observed calendar month, December 2011, is incomplete and is highlighted amber.</x:v>
      </x:c>
      <x:c r="Q7" s="17" t="str">
        <x:v>Each rate is distinct cohort customers purchasing at that age ÷ the original cohort size. Blank = not yet observable. Month 0 is 100%. The final observed calendar month, December 2011, is incomplete and is highlighted amber.</x:v>
      </x:c>
      <x:c r="R7" s="17" t="str">
        <x:v>Each rate is distinct cohort customers purchasing at that age ÷ the original cohort size. Blank = not yet observable. Month 0 is 100%. The final observed calendar month, December 2011, is incomplete and is highlighted amber.</x:v>
      </x:c>
      <x:c r="S7" s="17" t="str">
        <x:v>Each rate is distinct cohort customers purchasing at that age ÷ the original cohort size. Blank = not yet observable. Month 0 is 100%. The final observed calendar month, December 2011, is incomplete and is highlighted amber.</x:v>
      </x:c>
      <x:c r="T7" s="17" t="str">
        <x:v>Each rate is distinct cohort customers purchasing at that age ÷ the original cohort size. Blank = not yet observable. Month 0 is 100%. The final observed calendar month, December 2011, is incomplete and is highlighted amber.</x:v>
      </x:c>
      <x:c r="U7" s="17" t="str">
        <x:v>Each rate is distinct cohort customers purchasing at that age ÷ the original cohort size. Blank = not yet observable. Month 0 is 100%. The final observed calendar month, December 2011, is incomplete and is highlighted amber.</x:v>
      </x:c>
      <x:c r="V7" s="17" t="str">
        <x:v>Each rate is distinct cohort customers purchasing at that age ÷ the original cohort size. Blank = not yet observable. Month 0 is 100%. The final observed calendar month, December 2011, is incomplete and is highlighted amber.</x:v>
      </x:c>
      <x:c r="W7" s="17" t="str">
        <x:v>Each rate is distinct cohort customers purchasing at that age ÷ the original cohort size. Blank = not yet observable. Month 0 is 100%. The final observed calendar month, December 2011, is incomplete and is highlighted amber.</x:v>
      </x:c>
      <x:c r="X7" s="17" t="str">
        <x:v>Each rate is distinct cohort customers purchasing at that age ÷ the original cohort size. Blank = not yet observable. Month 0 is 100%. The final observed calendar month, December 2011, is incomplete and is highlighted amber.</x:v>
      </x:c>
      <x:c r="Y7" s="17" t="str">
        <x:v>Each rate is distinct cohort customers purchasing at that age ÷ the original cohort size. Blank = not yet observable. Month 0 is 100%. The final observed calendar month, December 2011, is incomplete and is highlighted amber.</x:v>
      </x:c>
      <x:c r="Z7" s="17" t="str">
        <x:v>Each rate is distinct cohort customers purchasing at that age ÷ the original cohort size. Blank = not yet observable. Month 0 is 100%. The final observed calendar month, December 2011, is incomplete and is highlighted amber.</x:v>
      </x:c>
      <x:c r="AA7" s="17" t="str">
        <x:v>Each rate is distinct cohort customers purchasing at that age ÷ the original cohort size. Blank = not yet observable. Month 0 is 100%. The final observed calendar month, December 2011, is incomplete and is highlighted amber.</x:v>
      </x:c>
      <x:c r="AB7" s="17" t="str">
        <x:v>Each rate is distinct cohort customers purchasing at that age ÷ the original cohort size. Blank = not yet observable. Month 0 is 100%. The final observed calendar month, December 2011, is incomplete and is highlighted amber.</x:v>
      </x:c>
    </x:row>
    <x:row r="8" ht="23" customHeight="1">
      <x:c r="A8" s="2"/>
      <x:c r="B8" s="17" t="str">
        <x:v>Each rate is distinct cohort customers purchasing at that age ÷ the original cohort size. Blank = not yet observable. Month 0 is 100%. The final observed calendar month, December 2011, is incomplete and is highlighted amber.</x:v>
      </x:c>
      <x:c r="C8" s="17" t="str">
        <x:v>Each rate is distinct cohort customers purchasing at that age ÷ the original cohort size. Blank = not yet observable. Month 0 is 100%. The final observed calendar month, December 2011, is incomplete and is highlighted amber.</x:v>
      </x:c>
      <x:c r="D8" s="17" t="str">
        <x:v>Each rate is distinct cohort customers purchasing at that age ÷ the original cohort size. Blank = not yet observable. Month 0 is 100%. The final observed calendar month, December 2011, is incomplete and is highlighted amber.</x:v>
      </x:c>
      <x:c r="E8" s="17" t="str">
        <x:v>Each rate is distinct cohort customers purchasing at that age ÷ the original cohort size. Blank = not yet observable. Month 0 is 100%. The final observed calendar month, December 2011, is incomplete and is highlighted amber.</x:v>
      </x:c>
      <x:c r="F8" s="17" t="str">
        <x:v>Each rate is distinct cohort customers purchasing at that age ÷ the original cohort size. Blank = not yet observable. Month 0 is 100%. The final observed calendar month, December 2011, is incomplete and is highlighted amber.</x:v>
      </x:c>
      <x:c r="G8" s="17" t="str">
        <x:v>Each rate is distinct cohort customers purchasing at that age ÷ the original cohort size. Blank = not yet observable. Month 0 is 100%. The final observed calendar month, December 2011, is incomplete and is highlighted amber.</x:v>
      </x:c>
      <x:c r="H8" s="17" t="str">
        <x:v>Each rate is distinct cohort customers purchasing at that age ÷ the original cohort size. Blank = not yet observable. Month 0 is 100%. The final observed calendar month, December 2011, is incomplete and is highlighted amber.</x:v>
      </x:c>
      <x:c r="I8" s="17" t="str">
        <x:v>Each rate is distinct cohort customers purchasing at that age ÷ the original cohort size. Blank = not yet observable. Month 0 is 100%. The final observed calendar month, December 2011, is incomplete and is highlighted amber.</x:v>
      </x:c>
      <x:c r="J8" s="17" t="str">
        <x:v>Each rate is distinct cohort customers purchasing at that age ÷ the original cohort size. Blank = not yet observable. Month 0 is 100%. The final observed calendar month, December 2011, is incomplete and is highlighted amber.</x:v>
      </x:c>
      <x:c r="K8" s="17" t="str">
        <x:v>Each rate is distinct cohort customers purchasing at that age ÷ the original cohort size. Blank = not yet observable. Month 0 is 100%. The final observed calendar month, December 2011, is incomplete and is highlighted amber.</x:v>
      </x:c>
      <x:c r="L8" s="17" t="str">
        <x:v>Each rate is distinct cohort customers purchasing at that age ÷ the original cohort size. Blank = not yet observable. Month 0 is 100%. The final observed calendar month, December 2011, is incomplete and is highlighted amber.</x:v>
      </x:c>
      <x:c r="M8" s="17" t="str">
        <x:v>Each rate is distinct cohort customers purchasing at that age ÷ the original cohort size. Blank = not yet observable. Month 0 is 100%. The final observed calendar month, December 2011, is incomplete and is highlighted amber.</x:v>
      </x:c>
      <x:c r="N8" s="17" t="str">
        <x:v>Each rate is distinct cohort customers purchasing at that age ÷ the original cohort size. Blank = not yet observable. Month 0 is 100%. The final observed calendar month, December 2011, is incomplete and is highlighted amber.</x:v>
      </x:c>
      <x:c r="O8" s="17" t="str">
        <x:v>Each rate is distinct cohort customers purchasing at that age ÷ the original cohort size. Blank = not yet observable. Month 0 is 100%. The final observed calendar month, December 2011, is incomplete and is highlighted amber.</x:v>
      </x:c>
      <x:c r="P8" s="17" t="str">
        <x:v>Each rate is distinct cohort customers purchasing at that age ÷ the original cohort size. Blank = not yet observable. Month 0 is 100%. The final observed calendar month, December 2011, is incomplete and is highlighted amber.</x:v>
      </x:c>
      <x:c r="Q8" s="17" t="str">
        <x:v>Each rate is distinct cohort customers purchasing at that age ÷ the original cohort size. Blank = not yet observable. Month 0 is 100%. The final observed calendar month, December 2011, is incomplete and is highlighted amber.</x:v>
      </x:c>
      <x:c r="R8" s="17" t="str">
        <x:v>Each rate is distinct cohort customers purchasing at that age ÷ the original cohort size. Blank = not yet observable. Month 0 is 100%. The final observed calendar month, December 2011, is incomplete and is highlighted amber.</x:v>
      </x:c>
      <x:c r="S8" s="17" t="str">
        <x:v>Each rate is distinct cohort customers purchasing at that age ÷ the original cohort size. Blank = not yet observable. Month 0 is 100%. The final observed calendar month, December 2011, is incomplete and is highlighted amber.</x:v>
      </x:c>
      <x:c r="T8" s="17" t="str">
        <x:v>Each rate is distinct cohort customers purchasing at that age ÷ the original cohort size. Blank = not yet observable. Month 0 is 100%. The final observed calendar month, December 2011, is incomplete and is highlighted amber.</x:v>
      </x:c>
      <x:c r="U8" s="17" t="str">
        <x:v>Each rate is distinct cohort customers purchasing at that age ÷ the original cohort size. Blank = not yet observable. Month 0 is 100%. The final observed calendar month, December 2011, is incomplete and is highlighted amber.</x:v>
      </x:c>
      <x:c r="V8" s="17" t="str">
        <x:v>Each rate is distinct cohort customers purchasing at that age ÷ the original cohort size. Blank = not yet observable. Month 0 is 100%. The final observed calendar month, December 2011, is incomplete and is highlighted amber.</x:v>
      </x:c>
      <x:c r="W8" s="17" t="str">
        <x:v>Each rate is distinct cohort customers purchasing at that age ÷ the original cohort size. Blank = not yet observable. Month 0 is 100%. The final observed calendar month, December 2011, is incomplete and is highlighted amber.</x:v>
      </x:c>
      <x:c r="X8" s="17" t="str">
        <x:v>Each rate is distinct cohort customers purchasing at that age ÷ the original cohort size. Blank = not yet observable. Month 0 is 100%. The final observed calendar month, December 2011, is incomplete and is highlighted amber.</x:v>
      </x:c>
      <x:c r="Y8" s="17" t="str">
        <x:v>Each rate is distinct cohort customers purchasing at that age ÷ the original cohort size. Blank = not yet observable. Month 0 is 100%. The final observed calendar month, December 2011, is incomplete and is highlighted amber.</x:v>
      </x:c>
      <x:c r="Z8" s="17" t="str">
        <x:v>Each rate is distinct cohort customers purchasing at that age ÷ the original cohort size. Blank = not yet observable. Month 0 is 100%. The final observed calendar month, December 2011, is incomplete and is highlighted amber.</x:v>
      </x:c>
      <x:c r="AA8" s="17" t="str">
        <x:v>Each rate is distinct cohort customers purchasing at that age ÷ the original cohort size. Blank = not yet observable. Month 0 is 100%. The final observed calendar month, December 2011, is incomplete and is highlighted amber.</x:v>
      </x:c>
      <x:c r="AB8" s="17" t="str">
        <x:v>Each rate is distinct cohort customers purchasing at that age ÷ the original cohort size. Blank = not yet observable. Month 0 is 100%. The final observed calendar month, December 2011, is incomplete and is highlighted amber.</x:v>
      </x:c>
    </x:row>
    <x:row r="9" ht="23" customHeight="1">
      <x:c r="A9" s="2"/>
      <x:c r="B9" s="2"/>
      <x:c r="C9" s="2"/>
      <x:c r="D9" s="2"/>
      <x:c r="E9" s="2"/>
      <x:c r="F9" s="2"/>
      <x:c r="G9" s="2"/>
      <x:c r="H9" s="2"/>
      <x:c r="I9" s="2"/>
      <x:c r="J9" s="2"/>
      <x:c r="K9" s="2"/>
      <x:c r="L9" s="2"/>
      <x:c r="M9" s="2"/>
      <x:c r="N9" s="2"/>
      <x:c r="O9" s="2"/>
      <x:c r="P9" s="2"/>
      <x:c r="Q9" s="2"/>
      <x:c r="R9" s="2"/>
      <x:c r="S9" s="2"/>
      <x:c r="T9" s="2"/>
      <x:c r="U9" s="2"/>
      <x:c r="V9" s="2"/>
      <x:c r="W9" s="2"/>
      <x:c r="X9" s="2"/>
      <x:c r="Y9" s="2"/>
      <x:c r="Z9" s="2"/>
      <x:c r="AA9" s="2"/>
      <x:c r="AB9" s="2"/>
    </x:row>
    <x:row r="10" ht="34" customHeight="1">
      <x:c r="A10" s="2"/>
      <x:c r="B10" s="10" t="str">
        <x:v>Cohort</x:v>
      </x:c>
      <x:c r="C10" s="10" t="str">
        <x:v>Customers</x:v>
      </x:c>
      <x:c r="D10" s="10" t="str">
        <x:v>M0</x:v>
      </x:c>
      <x:c r="E10" s="10" t="str">
        <x:v>M1</x:v>
      </x:c>
      <x:c r="F10" s="10" t="str">
        <x:v>M2</x:v>
      </x:c>
      <x:c r="G10" s="10" t="str">
        <x:v>M3</x:v>
      </x:c>
      <x:c r="H10" s="10" t="str">
        <x:v>M4</x:v>
      </x:c>
      <x:c r="I10" s="10" t="str">
        <x:v>M5</x:v>
      </x:c>
      <x:c r="J10" s="10" t="str">
        <x:v>M6</x:v>
      </x:c>
      <x:c r="K10" s="10" t="str">
        <x:v>M7</x:v>
      </x:c>
      <x:c r="L10" s="10" t="str">
        <x:v>M8</x:v>
      </x:c>
      <x:c r="M10" s="10" t="str">
        <x:v>M9</x:v>
      </x:c>
      <x:c r="N10" s="10" t="str">
        <x:v>M10</x:v>
      </x:c>
      <x:c r="O10" s="10" t="str">
        <x:v>M11</x:v>
      </x:c>
      <x:c r="P10" s="10" t="str">
        <x:v>M12</x:v>
      </x:c>
      <x:c r="Q10" s="10" t="str">
        <x:v>M13</x:v>
      </x:c>
      <x:c r="R10" s="10" t="str">
        <x:v>M14</x:v>
      </x:c>
      <x:c r="S10" s="10" t="str">
        <x:v>M15</x:v>
      </x:c>
      <x:c r="T10" s="10" t="str">
        <x:v>M16</x:v>
      </x:c>
      <x:c r="U10" s="10" t="str">
        <x:v>M17</x:v>
      </x:c>
      <x:c r="V10" s="10" t="str">
        <x:v>M18</x:v>
      </x:c>
      <x:c r="W10" s="10" t="str">
        <x:v>M19</x:v>
      </x:c>
      <x:c r="X10" s="10" t="str">
        <x:v>M20</x:v>
      </x:c>
      <x:c r="Y10" s="10" t="str">
        <x:v>M21</x:v>
      </x:c>
      <x:c r="Z10" s="10" t="str">
        <x:v>M22</x:v>
      </x:c>
      <x:c r="AA10" s="10" t="str">
        <x:v>M23</x:v>
      </x:c>
      <x:c r="AB10" s="10" t="str">
        <x:v>M24</x:v>
      </x:c>
    </x:row>
    <x:row r="11" ht="22" customHeight="1">
      <x:c r="A11" s="2"/>
      <x:c r="B11" s="2" t="str">
        <x:v>2009-12</x:v>
      </x:c>
      <x:c r="C11" s="2" t="n">
        <x:v>955</x:v>
      </x:c>
      <x:c r="D11" s="27" t="n">
        <x:f>D42/$C11</x:f>
        <x:v>1</x:v>
      </x:c>
      <x:c r="E11" s="27" t="n">
        <x:f>E42/$C11</x:f>
        <x:v>0.35287958115183243</x:v>
      </x:c>
      <x:c r="F11" s="27" t="n">
        <x:f>F42/$C11</x:f>
        <x:v>0.33403141361256544</x:v>
      </x:c>
      <x:c r="G11" s="27" t="n">
        <x:f>G42/$C11</x:f>
        <x:v>0.42513089005235605</x:v>
      </x:c>
      <x:c r="H11" s="27" t="n">
        <x:f>H42/$C11</x:f>
        <x:v>0.38010471204188484</x:v>
      </x:c>
      <x:c r="I11" s="27" t="n">
        <x:f>I42/$C11</x:f>
        <x:v>0.35916230366492147</x:v>
      </x:c>
      <x:c r="J11" s="27" t="n">
        <x:f>J42/$C11</x:f>
        <x:v>0.3769633507853403</x:v>
      </x:c>
      <x:c r="K11" s="27" t="n">
        <x:f>K42/$C11</x:f>
        <x:v>0.3424083769633508</x:v>
      </x:c>
      <x:c r="L11" s="27" t="n">
        <x:f>L42/$C11</x:f>
        <x:v>0.33612565445026177</x:v>
      </x:c>
      <x:c r="M11" s="27" t="n">
        <x:f>M42/$C11</x:f>
        <x:v>0.362303664921466</x:v>
      </x:c>
      <x:c r="N11" s="27" t="n">
        <x:f>N42/$C11</x:f>
        <x:v>0.42198952879581153</x:v>
      </x:c>
      <x:c r="O11" s="27" t="n">
        <x:f>O42/$C11</x:f>
        <x:v>0.4952879581151832</x:v>
      </x:c>
      <x:c r="P11" s="27" t="n">
        <x:f>P42/$C11</x:f>
        <x:v>0.37591623036649213</x:v>
      </x:c>
      <x:c r="Q11" s="27" t="n">
        <x:f>Q42/$C11</x:f>
        <x:v>0.28272251308900526</x:v>
      </x:c>
      <x:c r="R11" s="27" t="n">
        <x:f>R42/$C11</x:f>
        <x:v>0.24397905759162303</x:v>
      </x:c>
      <x:c r="S11" s="27" t="n">
        <x:f>S42/$C11</x:f>
        <x:v>0.30261780104712044</x:v>
      </x:c>
      <x:c r="T11" s="27" t="n">
        <x:f>T42/$C11</x:f>
        <x:v>0.2628272251308901</x:v>
      </x:c>
      <x:c r="U11" s="27" t="n">
        <x:f>U42/$C11</x:f>
        <x:v>0.30261780104712044</x:v>
      </x:c>
      <x:c r="V11" s="27" t="n">
        <x:f>V42/$C11</x:f>
        <x:v>0.28272251308900526</x:v>
      </x:c>
      <x:c r="W11" s="27" t="n">
        <x:f>W42/$C11</x:f>
        <x:v>0.25968586387434556</x:v>
      </x:c>
      <x:c r="X11" s="27" t="n">
        <x:f>X42/$C11</x:f>
        <x:v>0.2554973821989529</x:v>
      </x:c>
      <x:c r="Y11" s="27" t="n">
        <x:f>Y42/$C11</x:f>
        <x:v>0.31518324607329845</x:v>
      </x:c>
      <x:c r="Z11" s="27" t="n">
        <x:f>Z42/$C11</x:f>
        <x:v>0.30471204188481676</x:v>
      </x:c>
      <x:c r="AA11" s="27" t="n">
        <x:f>AA42/$C11</x:f>
        <x:v>0.4073298429319372</x:v>
      </x:c>
      <x:c r="AB11" s="28" t="n">
        <x:f>AB42/$C11</x:f>
        <x:v>0.1968586387434555</x:v>
      </x:c>
    </x:row>
    <x:row r="12" ht="22" customHeight="1">
      <x:c r="A12" s="2"/>
      <x:c r="B12" s="2" t="str">
        <x:v>2010-01</x:v>
      </x:c>
      <x:c r="C12" s="2" t="n">
        <x:v>383</x:v>
      </x:c>
      <x:c r="D12" s="27" t="n">
        <x:f>D43/$C12</x:f>
        <x:v>1</x:v>
      </x:c>
      <x:c r="E12" s="27" t="n">
        <x:f>E43/$C12</x:f>
        <x:v>0.206266318537859</x:v>
      </x:c>
      <x:c r="F12" s="27" t="n">
        <x:f>F43/$C12</x:f>
        <x:v>0.31070496083550914</x:v>
      </x:c>
      <x:c r="G12" s="27" t="n">
        <x:f>G43/$C12</x:f>
        <x:v>0.30548302872062666</x:v>
      </x:c>
      <x:c r="H12" s="27" t="n">
        <x:f>H43/$C12</x:f>
        <x:v>0.26370757180156656</x:v>
      </x:c>
      <x:c r="I12" s="27" t="n">
        <x:f>I43/$C12</x:f>
        <x:v>0.3002610966057441</x:v>
      </x:c>
      <x:c r="J12" s="27" t="n">
        <x:f>J43/$C12</x:f>
        <x:v>0.2584856396866841</x:v>
      </x:c>
      <x:c r="K12" s="27" t="n">
        <x:f>K43/$C12</x:f>
        <x:v>0.2297650130548303</x:v>
      </x:c>
      <x:c r="L12" s="27" t="n">
        <x:f>L43/$C12</x:f>
        <x:v>0.2793733681462141</x:v>
      </x:c>
      <x:c r="M12" s="27" t="n">
        <x:f>M43/$C12</x:f>
        <x:v>0.3185378590078329</x:v>
      </x:c>
      <x:c r="N12" s="27" t="n">
        <x:f>N43/$C12</x:f>
        <x:v>0.3028720626631854</x:v>
      </x:c>
      <x:c r="O12" s="27" t="n">
        <x:f>O43/$C12</x:f>
        <x:v>0.17232375979112272</x:v>
      </x:c>
      <x:c r="P12" s="27" t="n">
        <x:f>P43/$C12</x:f>
        <x:v>0.22193211488250653</x:v>
      </x:c>
      <x:c r="Q12" s="27" t="n">
        <x:f>Q43/$C12</x:f>
        <x:v>0.17754569190600522</x:v>
      </x:c>
      <x:c r="R12" s="27" t="n">
        <x:f>R43/$C12</x:f>
        <x:v>0.18798955613577023</x:v>
      </x:c>
      <x:c r="S12" s="27" t="n">
        <x:f>S43/$C12</x:f>
        <x:v>0.1514360313315927</x:v>
      </x:c>
      <x:c r="T12" s="27" t="n">
        <x:f>T43/$C12</x:f>
        <x:v>0.2349869451697128</x:v>
      </x:c>
      <x:c r="U12" s="27" t="n">
        <x:f>U43/$C12</x:f>
        <x:v>0.19843342036553524</x:v>
      </x:c>
      <x:c r="V12" s="27" t="n">
        <x:f>V43/$C12</x:f>
        <x:v>0.185378590078329</x:v>
      </x:c>
      <x:c r="W12" s="27" t="n">
        <x:f>W43/$C12</x:f>
        <x:v>0.195822454308094</x:v>
      </x:c>
      <x:c r="X12" s="27" t="n">
        <x:f>X43/$C12</x:f>
        <x:v>0.24281984334203655</x:v>
      </x:c>
      <x:c r="Y12" s="27" t="n">
        <x:f>Y43/$C12</x:f>
        <x:v>0.19321148825065274</x:v>
      </x:c>
      <x:c r="Z12" s="27" t="n">
        <x:f>Z43/$C12</x:f>
        <x:v>0.2454308093994778</x:v>
      </x:c>
      <x:c r="AA12" s="28" t="n">
        <x:f>AA43/$C12</x:f>
        <x:v>0.057441253263707574</x:v>
      </x:c>
      <x:c r="AB12" s="27"/>
    </x:row>
    <x:row r="13" ht="22" customHeight="1">
      <x:c r="A13" s="2"/>
      <x:c r="B13" s="2" t="str">
        <x:v>2010-02</x:v>
      </x:c>
      <x:c r="C13" s="2" t="n">
        <x:v>374</x:v>
      </x:c>
      <x:c r="D13" s="27" t="n">
        <x:f>D44/$C13</x:f>
        <x:v>1</x:v>
      </x:c>
      <x:c r="E13" s="27" t="n">
        <x:f>E44/$C13</x:f>
        <x:v>0.23796791443850268</x:v>
      </x:c>
      <x:c r="F13" s="27" t="n">
        <x:f>F44/$C13</x:f>
        <x:v>0.22459893048128343</x:v>
      </x:c>
      <x:c r="G13" s="27" t="n">
        <x:f>G44/$C13</x:f>
        <x:v>0.2914438502673797</x:v>
      </x:c>
      <x:c r="H13" s="27" t="n">
        <x:f>H44/$C13</x:f>
        <x:v>0.24598930481283424</x:v>
      </x:c>
      <x:c r="I13" s="27" t="n">
        <x:f>I44/$C13</x:f>
        <x:v>0.20053475935828877</x:v>
      </x:c>
      <x:c r="J13" s="27" t="n">
        <x:f>J44/$C13</x:f>
        <x:v>0.1925133689839572</x:v>
      </x:c>
      <x:c r="K13" s="27" t="n">
        <x:f>K44/$C13</x:f>
        <x:v>0.28609625668449196</x:v>
      </x:c>
      <x:c r="L13" s="27" t="n">
        <x:f>L44/$C13</x:f>
        <x:v>0.2540106951871658</x:v>
      </x:c>
      <x:c r="M13" s="27" t="n">
        <x:f>M44/$C13</x:f>
        <x:v>0.27540106951871657</x:v>
      </x:c>
      <x:c r="N13" s="27" t="n">
        <x:f>N44/$C13</x:f>
        <x:v>0.11497326203208556</x:v>
      </x:c>
      <x:c r="O13" s="27" t="n">
        <x:f>O44/$C13</x:f>
        <x:v>0.12566844919786097</x:v>
      </x:c>
      <x:c r="P13" s="27" t="n">
        <x:f>P44/$C13</x:f>
        <x:v>0.15240641711229946</x:v>
      </x:c>
      <x:c r="Q13" s="27" t="n">
        <x:f>Q44/$C13</x:f>
        <x:v>0.17379679144385027</x:v>
      </x:c>
      <x:c r="R13" s="27" t="n">
        <x:f>R44/$C13</x:f>
        <x:v>0.12299465240641712</x:v>
      </x:c>
      <x:c r="S13" s="27" t="n">
        <x:f>S44/$C13</x:f>
        <x:v>0.20053475935828877</x:v>
      </x:c>
      <x:c r="T13" s="27" t="n">
        <x:f>T44/$C13</x:f>
        <x:v>0.16042780748663102</x:v>
      </x:c>
      <x:c r="U13" s="27" t="n">
        <x:f>U44/$C13</x:f>
        <x:v>0.16310160427807488</x:v>
      </x:c>
      <x:c r="V13" s="27" t="n">
        <x:f>V44/$C13</x:f>
        <x:v>0.1443850267379679</x:v>
      </x:c>
      <x:c r="W13" s="27" t="n">
        <x:f>W44/$C13</x:f>
        <x:v>0.22994652406417113</x:v>
      </x:c>
      <x:c r="X13" s="27" t="n">
        <x:f>X44/$C13</x:f>
        <x:v>0.22994652406417113</x:v>
      </x:c>
      <x:c r="Y13" s="27" t="n">
        <x:f>Y44/$C13</x:f>
        <x:v>0.16310160427807488</x:v>
      </x:c>
      <x:c r="Z13" s="28" t="n">
        <x:f>Z44/$C13</x:f>
        <x:v>0.058823529411764705</x:v>
      </x:c>
      <x:c r="AA13" s="27"/>
      <x:c r="AB13" s="27"/>
    </x:row>
    <x:row r="14" ht="22" customHeight="1">
      <x:c r="A14" s="2"/>
      <x:c r="B14" s="2" t="str">
        <x:v>2010-03</x:v>
      </x:c>
      <x:c r="C14" s="2" t="n">
        <x:v>443</x:v>
      </x:c>
      <x:c r="D14" s="27" t="n">
        <x:f>D45/$C14</x:f>
        <x:v>1</x:v>
      </x:c>
      <x:c r="E14" s="27" t="n">
        <x:f>E45/$C14</x:f>
        <x:v>0.18961625282167044</x:v>
      </x:c>
      <x:c r="F14" s="27" t="n">
        <x:f>F45/$C14</x:f>
        <x:v>0.23024830699774265</x:v>
      </x:c>
      <x:c r="G14" s="27" t="n">
        <x:f>G45/$C14</x:f>
        <x:v>0.24153498871331827</x:v>
      </x:c>
      <x:c r="H14" s="27" t="n">
        <x:f>H45/$C14</x:f>
        <x:v>0.2325056433408578</x:v>
      </x:c>
      <x:c r="I14" s="27" t="n">
        <x:f>I45/$C14</x:f>
        <x:v>0.20316027088036118</x:v>
      </x:c>
      <x:c r="J14" s="27" t="n">
        <x:f>J45/$C14</x:f>
        <x:v>0.24604966139954854</x:v>
      </x:c>
      <x:c r="K14" s="27" t="n">
        <x:f>K45/$C14</x:f>
        <x:v>0.30248306997742663</x:v>
      </x:c>
      <x:c r="L14" s="27" t="n">
        <x:f>L45/$C14</x:f>
        <x:v>0.27539503386004516</x:v>
      </x:c>
      <x:c r="M14" s="27" t="n">
        <x:f>M45/$C14</x:f>
        <x:v>0.10835214446952596</x:v>
      </x:c>
      <x:c r="N14" s="27" t="n">
        <x:f>N45/$C14</x:f>
        <x:v>0.11512415349887133</x:v>
      </x:c>
      <x:c r="O14" s="27" t="n">
        <x:f>O45/$C14</x:f>
        <x:v>0.14221218961625282</x:v>
      </x:c>
      <x:c r="P14" s="27" t="n">
        <x:f>P45/$C14</x:f>
        <x:v>0.20090293453724606</x:v>
      </x:c>
      <x:c r="Q14" s="27" t="n">
        <x:f>Q45/$C14</x:f>
        <x:v>0.16252821670428894</x:v>
      </x:c>
      <x:c r="R14" s="27" t="n">
        <x:f>R45/$C14</x:f>
        <x:v>0.20090293453724606</x:v>
      </x:c>
      <x:c r="S14" s="27" t="n">
        <x:f>S45/$C14</x:f>
        <x:v>0.16930022573363432</x:v>
      </x:c>
      <x:c r="T14" s="27" t="n">
        <x:f>T45/$C14</x:f>
        <x:v>0.17381489841986456</x:v>
      </x:c>
      <x:c r="U14" s="27" t="n">
        <x:f>U45/$C14</x:f>
        <x:v>0.15575620767494355</x:v>
      </x:c>
      <x:c r="V14" s="27" t="n">
        <x:f>V45/$C14</x:f>
        <x:v>0.17607223476297967</x:v>
      </x:c>
      <x:c r="W14" s="27" t="n">
        <x:f>W45/$C14</x:f>
        <x:v>0.20090293453724606</x:v>
      </x:c>
      <x:c r="X14" s="27" t="n">
        <x:f>X45/$C14</x:f>
        <x:v>0.21218961625282168</x:v>
      </x:c>
      <x:c r="Y14" s="28" t="n">
        <x:f>Y45/$C14</x:f>
        <x:v>0.07900677200902935</x:v>
      </x:c>
      <x:c r="Z14" s="27"/>
      <x:c r="AA14" s="27"/>
      <x:c r="AB14" s="27"/>
    </x:row>
    <x:row r="15" ht="22" customHeight="1">
      <x:c r="A15" s="2"/>
      <x:c r="B15" s="2" t="str">
        <x:v>2010-04</x:v>
      </x:c>
      <x:c r="C15" s="2" t="n">
        <x:v>294</x:v>
      </x:c>
      <x:c r="D15" s="27" t="n">
        <x:f>D46/$C15</x:f>
        <x:v>1</x:v>
      </x:c>
      <x:c r="E15" s="27" t="n">
        <x:f>E46/$C15</x:f>
        <x:v>0.19387755102040816</x:v>
      </x:c>
      <x:c r="F15" s="27" t="n">
        <x:f>F46/$C15</x:f>
        <x:v>0.19387755102040816</x:v>
      </x:c>
      <x:c r="G15" s="27" t="n">
        <x:f>G46/$C15</x:f>
        <x:v>0.16326530612244897</x:v>
      </x:c>
      <x:c r="H15" s="27" t="n">
        <x:f>H46/$C15</x:f>
        <x:v>0.1836734693877551</x:v>
      </x:c>
      <x:c r="I15" s="27" t="n">
        <x:f>I46/$C15</x:f>
        <x:v>0.22448979591836735</x:v>
      </x:c>
      <x:c r="J15" s="27" t="n">
        <x:f>J46/$C15</x:f>
        <x:v>0.2755102040816326</x:v>
      </x:c>
      <x:c r="K15" s="27" t="n">
        <x:f>K46/$C15</x:f>
        <x:v>0.2619047619047619</x:v>
      </x:c>
      <x:c r="L15" s="27" t="n">
        <x:f>L46/$C15</x:f>
        <x:v>0.1054421768707483</x:v>
      </x:c>
      <x:c r="M15" s="27" t="n">
        <x:f>M46/$C15</x:f>
        <x:v>0.10884353741496598</x:v>
      </x:c>
      <x:c r="N15" s="27" t="n">
        <x:f>N46/$C15</x:f>
        <x:v>0.07482993197278912</x:v>
      </x:c>
      <x:c r="O15" s="27" t="n">
        <x:f>O46/$C15</x:f>
        <x:v>0.13945578231292516</x:v>
      </x:c>
      <x:c r="P15" s="27" t="n">
        <x:f>P46/$C15</x:f>
        <x:v>0.13945578231292516</x:v>
      </x:c>
      <x:c r="Q15" s="27" t="n">
        <x:f>Q46/$C15</x:f>
        <x:v>0.1564625850340136</x:v>
      </x:c>
      <x:c r="R15" s="27" t="n">
        <x:f>R46/$C15</x:f>
        <x:v>0.1564625850340136</x:v>
      </x:c>
      <x:c r="S15" s="27" t="n">
        <x:f>S46/$C15</x:f>
        <x:v>0.1564625850340136</x:v>
      </x:c>
      <x:c r="T15" s="27" t="n">
        <x:f>T46/$C15</x:f>
        <x:v>0.13945578231292516</x:v>
      </x:c>
      <x:c r="U15" s="27" t="n">
        <x:f>U46/$C15</x:f>
        <x:v>0.14965986394557823</x:v>
      </x:c>
      <x:c r="V15" s="27" t="n">
        <x:f>V46/$C15</x:f>
        <x:v>0.18027210884353742</x:v>
      </x:c>
      <x:c r="W15" s="27" t="n">
        <x:f>W46/$C15</x:f>
        <x:v>0.22448979591836735</x:v>
      </x:c>
      <x:c r="X15" s="28" t="n">
        <x:f>X46/$C15</x:f>
        <x:v>0.05782312925170068</x:v>
      </x:c>
      <x:c r="Y15" s="27"/>
      <x:c r="Z15" s="27"/>
      <x:c r="AA15" s="27"/>
      <x:c r="AB15" s="27"/>
    </x:row>
    <x:row r="16" ht="22" customHeight="1">
      <x:c r="A16" s="2"/>
      <x:c r="B16" s="2" t="str">
        <x:v>2010-05</x:v>
      </x:c>
      <x:c r="C16" s="2" t="n">
        <x:v>254</x:v>
      </x:c>
      <x:c r="D16" s="27" t="n">
        <x:f>D47/$C16</x:f>
        <x:v>1</x:v>
      </x:c>
      <x:c r="E16" s="27" t="n">
        <x:f>E47/$C16</x:f>
        <x:v>0.15748031496062992</x:v>
      </x:c>
      <x:c r="F16" s="27" t="n">
        <x:f>F47/$C16</x:f>
        <x:v>0.16929133858267717</x:v>
      </x:c>
      <x:c r="G16" s="27" t="n">
        <x:f>G47/$C16</x:f>
        <x:v>0.1732283464566929</x:v>
      </x:c>
      <x:c r="H16" s="27" t="n">
        <x:f>H47/$C16</x:f>
        <x:v>0.17716535433070865</x:v>
      </x:c>
      <x:c r="I16" s="27" t="n">
        <x:f>I47/$C16</x:f>
        <x:v>0.2559055118110236</x:v>
      </x:c>
      <x:c r="J16" s="27" t="n">
        <x:f>J47/$C16</x:f>
        <x:v>0.2125984251968504</x:v>
      </x:c>
      <x:c r="K16" s="27" t="n">
        <x:f>K47/$C16</x:f>
        <x:v>0.12598425196850394</x:v>
      </x:c>
      <x:c r="L16" s="27" t="n">
        <x:f>L47/$C16</x:f>
        <x:v>0.05905511811023622</x:v>
      </x:c>
      <x:c r="M16" s="27" t="n">
        <x:f>M47/$C16</x:f>
        <x:v>0.08267716535433071</x:v>
      </x:c>
      <x:c r="N16" s="27" t="n">
        <x:f>N47/$C16</x:f>
        <x:v>0.1141732283464567</x:v>
      </x:c>
      <x:c r="O16" s="27" t="n">
        <x:f>O47/$C16</x:f>
        <x:v>0.13385826771653545</x:v>
      </x:c>
      <x:c r="P16" s="27" t="n">
        <x:f>P47/$C16</x:f>
        <x:v>0.15354330708661418</x:v>
      </x:c>
      <x:c r="Q16" s="27" t="n">
        <x:f>Q47/$C16</x:f>
        <x:v>0.15354330708661418</x:v>
      </x:c>
      <x:c r="R16" s="27" t="n">
        <x:f>R47/$C16</x:f>
        <x:v>0.0984251968503937</x:v>
      </x:c>
      <x:c r="S16" s="27" t="n">
        <x:f>S47/$C16</x:f>
        <x:v>0.12598425196850394</x:v>
      </x:c>
      <x:c r="T16" s="27" t="n">
        <x:f>T47/$C16</x:f>
        <x:v>0.1377952755905512</x:v>
      </x:c>
      <x:c r="U16" s="27" t="n">
        <x:f>U47/$C16</x:f>
        <x:v>0.16535433070866143</x:v>
      </x:c>
      <x:c r="V16" s="27" t="n">
        <x:f>V47/$C16</x:f>
        <x:v>0.15354330708661418</x:v>
      </x:c>
      <x:c r="W16" s="28" t="n">
        <x:f>W47/$C16</x:f>
        <x:v>0.047244094488188976</x:v>
      </x:c>
      <x:c r="X16" s="27"/>
      <x:c r="Y16" s="27"/>
      <x:c r="Z16" s="27"/>
      <x:c r="AA16" s="27"/>
      <x:c r="AB16" s="27"/>
    </x:row>
    <x:row r="17" ht="22" customHeight="1">
      <x:c r="A17" s="2"/>
      <x:c r="B17" s="2" t="str">
        <x:v>2010-06</x:v>
      </x:c>
      <x:c r="C17" s="2" t="n">
        <x:v>270</x:v>
      </x:c>
      <x:c r="D17" s="27" t="n">
        <x:f>D48/$C17</x:f>
        <x:v>1</x:v>
      </x:c>
      <x:c r="E17" s="27" t="n">
        <x:f>E48/$C17</x:f>
        <x:v>0.17407407407407408</x:v>
      </x:c>
      <x:c r="F17" s="27" t="n">
        <x:f>F48/$C17</x:f>
        <x:v>0.18888888888888888</x:v>
      </x:c>
      <x:c r="G17" s="27" t="n">
        <x:f>G48/$C17</x:f>
        <x:v>0.2037037037037037</x:v>
      </x:c>
      <x:c r="H17" s="27" t="n">
        <x:f>H48/$C17</x:f>
        <x:v>0.22962962962962963</x:v>
      </x:c>
      <x:c r="I17" s="27" t="n">
        <x:f>I48/$C17</x:f>
        <x:v>0.2851851851851852</x:v>
      </x:c>
      <x:c r="J17" s="27" t="n">
        <x:f>J48/$C17</x:f>
        <x:v>0.1259259259259259</x:v>
      </x:c>
      <x:c r="K17" s="27" t="n">
        <x:f>K48/$C17</x:f>
        <x:v>0.08888888888888889</x:v>
      </x:c>
      <x:c r="L17" s="27" t="n">
        <x:f>L48/$C17</x:f>
        <x:v>0.08148148148148149</x:v>
      </x:c>
      <x:c r="M17" s="27" t="n">
        <x:f>M48/$C17</x:f>
        <x:v>0.11851851851851852</x:v>
      </x:c>
      <x:c r="N17" s="27" t="n">
        <x:f>N48/$C17</x:f>
        <x:v>0.10740740740740741</x:v>
      </x:c>
      <x:c r="O17" s="27" t="n">
        <x:f>O48/$C17</x:f>
        <x:v>0.13703703703703704</x:v>
      </x:c>
      <x:c r="P17" s="27" t="n">
        <x:f>P48/$C17</x:f>
        <x:v>0.14814814814814814</x:v>
      </x:c>
      <x:c r="Q17" s="27" t="n">
        <x:f>Q48/$C17</x:f>
        <x:v>0.12222222222222222</x:v>
      </x:c>
      <x:c r="R17" s="27" t="n">
        <x:f>R48/$C17</x:f>
        <x:v>0.1111111111111111</x:v>
      </x:c>
      <x:c r="S17" s="27" t="n">
        <x:f>S48/$C17</x:f>
        <x:v>0.12222222222222222</x:v>
      </x:c>
      <x:c r="T17" s="27" t="n">
        <x:f>T48/$C17</x:f>
        <x:v>0.13333333333333333</x:v>
      </x:c>
      <x:c r="U17" s="27" t="n">
        <x:f>U48/$C17</x:f>
        <x:v>0.2037037037037037</x:v>
      </x:c>
      <x:c r="V17" s="28" t="n">
        <x:f>V48/$C17</x:f>
        <x:v>0.05185185185185185</x:v>
      </x:c>
      <x:c r="W17" s="27"/>
      <x:c r="X17" s="27"/>
      <x:c r="Y17" s="27"/>
      <x:c r="Z17" s="27"/>
      <x:c r="AA17" s="27"/>
      <x:c r="AB17" s="27"/>
    </x:row>
    <x:row r="18" ht="22" customHeight="1">
      <x:c r="A18" s="2"/>
      <x:c r="B18" s="2" t="str">
        <x:v>2010-07</x:v>
      </x:c>
      <x:c r="C18" s="2" t="n">
        <x:v>186</x:v>
      </x:c>
      <x:c r="D18" s="27" t="n">
        <x:f>D49/$C18</x:f>
        <x:v>1</x:v>
      </x:c>
      <x:c r="E18" s="27" t="n">
        <x:f>E49/$C18</x:f>
        <x:v>0.15591397849462366</x:v>
      </x:c>
      <x:c r="F18" s="27" t="n">
        <x:f>F49/$C18</x:f>
        <x:v>0.1827956989247312</x:v>
      </x:c>
      <x:c r="G18" s="27" t="n">
        <x:f>G49/$C18</x:f>
        <x:v>0.2956989247311828</x:v>
      </x:c>
      <x:c r="H18" s="27" t="n">
        <x:f>H49/$C18</x:f>
        <x:v>0.2903225806451613</x:v>
      </x:c>
      <x:c r="I18" s="27" t="n">
        <x:f>I49/$C18</x:f>
        <x:v>0.13978494623655913</x:v>
      </x:c>
      <x:c r="J18" s="27" t="n">
        <x:f>J49/$C18</x:f>
        <x:v>0.11290322580645161</x:v>
      </x:c>
      <x:c r="K18" s="27" t="n">
        <x:f>K49/$C18</x:f>
        <x:v>0.14516129032258066</x:v>
      </x:c>
      <x:c r="L18" s="27" t="n">
        <x:f>L49/$C18</x:f>
        <x:v>0.14516129032258066</x:v>
      </x:c>
      <x:c r="M18" s="27" t="n">
        <x:f>M49/$C18</x:f>
        <x:v>0.11290322580645161</x:v>
      </x:c>
      <x:c r="N18" s="27" t="n">
        <x:f>N49/$C18</x:f>
        <x:v>0.13440860215053763</x:v>
      </x:c>
      <x:c r="O18" s="27" t="n">
        <x:f>O49/$C18</x:f>
        <x:v>0.14516129032258066</x:v>
      </x:c>
      <x:c r="P18" s="27" t="n">
        <x:f>P49/$C18</x:f>
        <x:v>0.13440860215053763</x:v>
      </x:c>
      <x:c r="Q18" s="27" t="n">
        <x:f>Q49/$C18</x:f>
        <x:v>0.13440860215053763</x:v>
      </x:c>
      <x:c r="R18" s="27" t="n">
        <x:f>R49/$C18</x:f>
        <x:v>0.1935483870967742</x:v>
      </x:c>
      <x:c r="S18" s="27" t="n">
        <x:f>S49/$C18</x:f>
        <x:v>0.17204301075268819</x:v>
      </x:c>
      <x:c r="T18" s="27" t="n">
        <x:f>T49/$C18</x:f>
        <x:v>0.23655913978494625</x:v>
      </x:c>
      <x:c r="U18" s="28" t="n">
        <x:f>U49/$C18</x:f>
        <x:v>0.08064516129032258</x:v>
      </x:c>
      <x:c r="V18" s="27"/>
      <x:c r="W18" s="27"/>
      <x:c r="X18" s="27"/>
      <x:c r="Y18" s="27"/>
      <x:c r="Z18" s="27"/>
      <x:c r="AA18" s="27"/>
      <x:c r="AB18" s="27"/>
    </x:row>
    <x:row r="19" ht="22" customHeight="1">
      <x:c r="A19" s="2"/>
      <x:c r="B19" s="2" t="str">
        <x:v>2010-08</x:v>
      </x:c>
      <x:c r="C19" s="2" t="n">
        <x:v>162</x:v>
      </x:c>
      <x:c r="D19" s="27" t="n">
        <x:f>D50/$C19</x:f>
        <x:v>1</x:v>
      </x:c>
      <x:c r="E19" s="27" t="n">
        <x:f>E50/$C19</x:f>
        <x:v>0.2037037037037037</x:v>
      </x:c>
      <x:c r="F19" s="27" t="n">
        <x:f>F50/$C19</x:f>
        <x:v>0.2962962962962963</x:v>
      </x:c>
      <x:c r="G19" s="27" t="n">
        <x:f>G50/$C19</x:f>
        <x:v>0.32098765432098764</x:v>
      </x:c>
      <x:c r="H19" s="27" t="n">
        <x:f>H50/$C19</x:f>
        <x:v>0.1728395061728395</x:v>
      </x:c>
      <x:c r="I19" s="27" t="n">
        <x:f>I50/$C19</x:f>
        <x:v>0.11728395061728394</x:v>
      </x:c>
      <x:c r="J19" s="27" t="n">
        <x:f>J50/$C19</x:f>
        <x:v>0.09876543209876543</x:v>
      </x:c>
      <x:c r="K19" s="27" t="n">
        <x:f>K50/$C19</x:f>
        <x:v>0.12345679012345678</x:v>
      </x:c>
      <x:c r="L19" s="27" t="n">
        <x:f>L50/$C19</x:f>
        <x:v>0.13580246913580246</x:v>
      </x:c>
      <x:c r="M19" s="27" t="n">
        <x:f>M50/$C19</x:f>
        <x:v>0.12962962962962962</x:v>
      </x:c>
      <x:c r="N19" s="27" t="n">
        <x:f>N50/$C19</x:f>
        <x:v>0.12962962962962962</x:v>
      </x:c>
      <x:c r="O19" s="27" t="n">
        <x:f>O50/$C19</x:f>
        <x:v>0.12345679012345678</x:v>
      </x:c>
      <x:c r="P19" s="27" t="n">
        <x:f>P50/$C19</x:f>
        <x:v>0.15432098765432098</x:v>
      </x:c>
      <x:c r="Q19" s="27" t="n">
        <x:f>Q50/$C19</x:f>
        <x:v>0.18518518518518517</x:v>
      </x:c>
      <x:c r="R19" s="27" t="n">
        <x:f>R50/$C19</x:f>
        <x:v>0.17901234567901234</x:v>
      </x:c>
      <x:c r="S19" s="27" t="n">
        <x:f>S50/$C19</x:f>
        <x:v>0.19753086419753085</x:v>
      </x:c>
      <x:c r="T19" s="28" t="n">
        <x:f>T50/$C19</x:f>
        <x:v>0.06790123456790123</x:v>
      </x:c>
      <x:c r="U19" s="27"/>
      <x:c r="V19" s="27"/>
      <x:c r="W19" s="27"/>
      <x:c r="X19" s="27"/>
      <x:c r="Y19" s="27"/>
      <x:c r="Z19" s="27"/>
      <x:c r="AA19" s="27"/>
      <x:c r="AB19" s="27"/>
    </x:row>
    <x:row r="20" ht="22" customHeight="1">
      <x:c r="A20" s="2"/>
      <x:c r="B20" s="2" t="str">
        <x:v>2010-09</x:v>
      </x:c>
      <x:c r="C20" s="2" t="n">
        <x:v>243</x:v>
      </x:c>
      <x:c r="D20" s="27" t="n">
        <x:f>D51/$C20</x:f>
        <x:v>1</x:v>
      </x:c>
      <x:c r="E20" s="27" t="n">
        <x:f>E51/$C20</x:f>
        <x:v>0.22633744855967078</x:v>
      </x:c>
      <x:c r="F20" s="27" t="n">
        <x:f>F51/$C20</x:f>
        <x:v>0.2345679012345679</x:v>
      </x:c>
      <x:c r="G20" s="27" t="n">
        <x:f>G51/$C20</x:f>
        <x:v>0.12345679012345678</x:v>
      </x:c>
      <x:c r="H20" s="27" t="n">
        <x:f>H51/$C20</x:f>
        <x:v>0.09053497942386832</x:v>
      </x:c>
      <x:c r="I20" s="27" t="n">
        <x:f>I51/$C20</x:f>
        <x:v>0.102880658436214</x:v>
      </x:c>
      <x:c r="J20" s="27" t="n">
        <x:f>J51/$C20</x:f>
        <x:v>0.13580246913580246</x:v>
      </x:c>
      <x:c r="K20" s="27" t="n">
        <x:f>K51/$C20</x:f>
        <x:v>0.09876543209876543</x:v>
      </x:c>
      <x:c r="L20" s="27" t="n">
        <x:f>L51/$C20</x:f>
        <x:v>0.12757201646090535</x:v>
      </x:c>
      <x:c r="M20" s="27" t="n">
        <x:f>M51/$C20</x:f>
        <x:v>0.13168724279835392</x:v>
      </x:c>
      <x:c r="N20" s="27" t="n">
        <x:f>N51/$C20</x:f>
        <x:v>0.11522633744855967</x:v>
      </x:c>
      <x:c r="O20" s="27" t="n">
        <x:f>O51/$C20</x:f>
        <x:v>0.09876543209876543</x:v>
      </x:c>
      <x:c r="P20" s="27" t="n">
        <x:f>P51/$C20</x:f>
        <x:v>0.21810699588477367</x:v>
      </x:c>
      <x:c r="Q20" s="27" t="n">
        <x:f>Q51/$C20</x:f>
        <x:v>0.1646090534979424</x:v>
      </x:c>
      <x:c r="R20" s="27" t="n">
        <x:f>R51/$C20</x:f>
        <x:v>0.16049382716049382</x:v>
      </x:c>
      <x:c r="S20" s="28" t="n">
        <x:f>S51/$C20</x:f>
        <x:v>0.053497942386831275</x:v>
      </x:c>
      <x:c r="T20" s="27"/>
      <x:c r="U20" s="27"/>
      <x:c r="V20" s="27"/>
      <x:c r="W20" s="27"/>
      <x:c r="X20" s="27"/>
      <x:c r="Y20" s="27"/>
      <x:c r="Z20" s="27"/>
      <x:c r="AA20" s="27"/>
      <x:c r="AB20" s="27"/>
    </x:row>
    <x:row r="21" ht="22" customHeight="1">
      <x:c r="A21" s="2"/>
      <x:c r="B21" s="2" t="str">
        <x:v>2010-10</x:v>
      </x:c>
      <x:c r="C21" s="2" t="n">
        <x:v>377</x:v>
      </x:c>
      <x:c r="D21" s="27" t="n">
        <x:f>D52/$C21</x:f>
        <x:v>1</x:v>
      </x:c>
      <x:c r="E21" s="27" t="n">
        <x:f>E52/$C21</x:f>
        <x:v>0.2572944297082228</x:v>
      </x:c>
      <x:c r="F21" s="27" t="n">
        <x:f>F52/$C21</x:f>
        <x:v>0.14588859416445624</x:v>
      </x:c>
      <x:c r="G21" s="27" t="n">
        <x:f>G52/$C21</x:f>
        <x:v>0.1246684350132626</x:v>
      </x:c>
      <x:c r="H21" s="27" t="n">
        <x:f>H52/$C21</x:f>
        <x:v>0.08753315649867374</x:v>
      </x:c>
      <x:c r="I21" s="27" t="n">
        <x:f>I52/$C21</x:f>
        <x:v>0.08222811671087533</x:v>
      </x:c>
      <x:c r="J21" s="27" t="n">
        <x:f>J52/$C21</x:f>
        <x:v>0.129973474801061</x:v>
      </x:c>
      <x:c r="K21" s="27" t="n">
        <x:f>K52/$C21</x:f>
        <x:v>0.13793103448275862</x:v>
      </x:c>
      <x:c r="L21" s="27" t="n">
        <x:f>L52/$C21</x:f>
        <x:v>0.10610079575596817</x:v>
      </x:c>
      <x:c r="M21" s="27" t="n">
        <x:f>M52/$C21</x:f>
        <x:v>0.09283819628647215</x:v>
      </x:c>
      <x:c r="N21" s="27" t="n">
        <x:f>N52/$C21</x:f>
        <x:v>0.10610079575596817</x:v>
      </x:c>
      <x:c r="O21" s="27" t="n">
        <x:f>O52/$C21</x:f>
        <x:v>0.129973474801061</x:v>
      </x:c>
      <x:c r="P21" s="27" t="n">
        <x:f>P52/$C21</x:f>
        <x:v>0.1909814323607427</x:v>
      </x:c>
      <x:c r="Q21" s="27" t="n">
        <x:f>Q52/$C21</x:f>
        <x:v>0.23076923076923078</x:v>
      </x:c>
      <x:c r="R21" s="28" t="n">
        <x:f>R52/$C21</x:f>
        <x:v>0.06896551724137931</x:v>
      </x:c>
      <x:c r="S21" s="27"/>
      <x:c r="T21" s="27"/>
      <x:c r="U21" s="27"/>
      <x:c r="V21" s="27"/>
      <x:c r="W21" s="27"/>
      <x:c r="X21" s="27"/>
      <x:c r="Y21" s="27"/>
      <x:c r="Z21" s="27"/>
      <x:c r="AA21" s="27"/>
      <x:c r="AB21" s="27"/>
    </x:row>
    <x:row r="22" ht="22" customHeight="1">
      <x:c r="A22" s="2"/>
      <x:c r="B22" s="2" t="str">
        <x:v>2010-11</x:v>
      </x:c>
      <x:c r="C22" s="2" t="n">
        <x:v>325</x:v>
      </x:c>
      <x:c r="D22" s="27" t="n">
        <x:f>D53/$C22</x:f>
        <x:v>1</x:v>
      </x:c>
      <x:c r="E22" s="27" t="n">
        <x:f>E53/$C22</x:f>
        <x:v>0.1753846153846154</x:v>
      </x:c>
      <x:c r="F22" s="27" t="n">
        <x:f>F53/$C22</x:f>
        <x:v>0.09230769230769231</x:v>
      </x:c>
      <x:c r="G22" s="27" t="n">
        <x:f>G53/$C22</x:f>
        <x:v>0.09538461538461539</x:v>
      </x:c>
      <x:c r="H22" s="27" t="n">
        <x:f>H53/$C22</x:f>
        <x:v>0.07692307692307693</x:v>
      </x:c>
      <x:c r="I22" s="27" t="n">
        <x:f>I53/$C22</x:f>
        <x:v>0.08615384615384615</x:v>
      </x:c>
      <x:c r="J22" s="27" t="n">
        <x:f>J53/$C22</x:f>
        <x:v>0.12923076923076923</x:v>
      </x:c>
      <x:c r="K22" s="27" t="n">
        <x:f>K53/$C22</x:f>
        <x:v>0.09846153846153846</x:v>
      </x:c>
      <x:c r="L22" s="27" t="n">
        <x:f>L53/$C22</x:f>
        <x:v>0.08615384615384615</x:v>
      </x:c>
      <x:c r="M22" s="27" t="n">
        <x:f>M53/$C22</x:f>
        <x:v>0.08923076923076922</x:v>
      </x:c>
      <x:c r="N22" s="27" t="n">
        <x:f>N53/$C22</x:f>
        <x:v>0.11076923076923077</x:v>
      </x:c>
      <x:c r="O22" s="27" t="n">
        <x:f>O53/$C22</x:f>
        <x:v>0.14461538461538462</x:v>
      </x:c>
      <x:c r="P22" s="27" t="n">
        <x:f>P53/$C22</x:f>
        <x:v>0.2553846153846154</x:v>
      </x:c>
      <x:c r="Q22" s="28" t="n">
        <x:f>Q53/$C22</x:f>
        <x:v>0.06153846153846154</x:v>
      </x:c>
      <x:c r="R22" s="27"/>
      <x:c r="S22" s="27"/>
      <x:c r="T22" s="27"/>
      <x:c r="U22" s="27"/>
      <x:c r="V22" s="27"/>
      <x:c r="W22" s="27"/>
      <x:c r="X22" s="27"/>
      <x:c r="Y22" s="27"/>
      <x:c r="Z22" s="27"/>
      <x:c r="AA22" s="27"/>
      <x:c r="AB22" s="27"/>
    </x:row>
    <x:row r="23" ht="22" customHeight="1">
      <x:c r="A23" s="2"/>
      <x:c r="B23" s="2" t="str">
        <x:v>2010-12</x:v>
      </x:c>
      <x:c r="C23" s="2" t="n">
        <x:v>76</x:v>
      </x:c>
      <x:c r="D23" s="27" t="n">
        <x:f>D54/$C23</x:f>
        <x:v>1</x:v>
      </x:c>
      <x:c r="E23" s="27" t="n">
        <x:f>E54/$C23</x:f>
        <x:v>0.09210526315789473</x:v>
      </x:c>
      <x:c r="F23" s="27" t="n">
        <x:f>F54/$C23</x:f>
        <x:v>0.05263157894736842</x:v>
      </x:c>
      <x:c r="G23" s="27" t="n">
        <x:f>G54/$C23</x:f>
        <x:v>0.09210526315789473</x:v>
      </x:c>
      <x:c r="H23" s="27" t="n">
        <x:f>H54/$C23</x:f>
        <x:v>0.11842105263157894</x:v>
      </x:c>
      <x:c r="I23" s="27" t="n">
        <x:f>I54/$C23</x:f>
        <x:v>0.06578947368421052</x:v>
      </x:c>
      <x:c r="J23" s="27" t="n">
        <x:f>J54/$C23</x:f>
        <x:v>0.05263157894736842</x:v>
      </x:c>
      <x:c r="K23" s="27" t="n">
        <x:f>K54/$C23</x:f>
        <x:v>0.09210526315789473</x:v>
      </x:c>
      <x:c r="L23" s="27" t="n">
        <x:f>L54/$C23</x:f>
        <x:v>0.05263157894736842</x:v>
      </x:c>
      <x:c r="M23" s="27" t="n">
        <x:f>M54/$C23</x:f>
        <x:v>0.02631578947368421</x:v>
      </x:c>
      <x:c r="N23" s="27" t="n">
        <x:f>N54/$C23</x:f>
        <x:v>0.09210526315789473</x:v>
      </x:c>
      <x:c r="O23" s="27" t="n">
        <x:f>O54/$C23</x:f>
        <x:v>0.19736842105263158</x:v>
      </x:c>
      <x:c r="P23" s="28" t="n">
        <x:f>P54/$C23</x:f>
        <x:v>0.02631578947368421</x:v>
      </x:c>
      <x:c r="Q23" s="27"/>
      <x:c r="R23" s="27"/>
      <x:c r="S23" s="27"/>
      <x:c r="T23" s="27"/>
      <x:c r="U23" s="27"/>
      <x:c r="V23" s="27"/>
      <x:c r="W23" s="27"/>
      <x:c r="X23" s="27"/>
      <x:c r="Y23" s="27"/>
      <x:c r="Z23" s="27"/>
      <x:c r="AA23" s="27"/>
      <x:c r="AB23" s="27"/>
    </x:row>
    <x:row r="24" ht="22" customHeight="1">
      <x:c r="A24" s="2"/>
      <x:c r="B24" s="2" t="str">
        <x:v>2011-01</x:v>
      </x:c>
      <x:c r="C24" s="2" t="n">
        <x:v>71</x:v>
      </x:c>
      <x:c r="D24" s="27" t="n">
        <x:f>D55/$C24</x:f>
        <x:v>1</x:v>
      </x:c>
      <x:c r="E24" s="27" t="n">
        <x:f>E55/$C24</x:f>
        <x:v>0.16901408450704225</x:v>
      </x:c>
      <x:c r="F24" s="27" t="n">
        <x:f>F55/$C24</x:f>
        <x:v>0.2112676056338028</x:v>
      </x:c>
      <x:c r="G24" s="27" t="n">
        <x:f>G55/$C24</x:f>
        <x:v>0.19718309859154928</x:v>
      </x:c>
      <x:c r="H24" s="27" t="n">
        <x:f>H55/$C24</x:f>
        <x:v>0.2112676056338028</x:v>
      </x:c>
      <x:c r="I24" s="27" t="n">
        <x:f>I55/$C24</x:f>
        <x:v>0.15492957746478872</x:v>
      </x:c>
      <x:c r="J24" s="27" t="n">
        <x:f>J55/$C24</x:f>
        <x:v>0.15492957746478872</x:v>
      </x:c>
      <x:c r="K24" s="27" t="n">
        <x:f>K55/$C24</x:f>
        <x:v>0.1267605633802817</x:v>
      </x:c>
      <x:c r="L24" s="27" t="n">
        <x:f>L55/$C24</x:f>
        <x:v>0.11267605633802817</x:v>
      </x:c>
      <x:c r="M24" s="27" t="n">
        <x:f>M55/$C24</x:f>
        <x:v>0.2112676056338028</x:v>
      </x:c>
      <x:c r="N24" s="27" t="n">
        <x:f>N55/$C24</x:f>
        <x:v>0.2535211267605634</x:v>
      </x:c>
      <x:c r="O24" s="28" t="n">
        <x:f>O55/$C24</x:f>
        <x:v>0.11267605633802817</x:v>
      </x:c>
      <x:c r="P24" s="27"/>
      <x:c r="Q24" s="27"/>
      <x:c r="R24" s="27"/>
      <x:c r="S24" s="27"/>
      <x:c r="T24" s="27"/>
      <x:c r="U24" s="27"/>
      <x:c r="V24" s="27"/>
      <x:c r="W24" s="27"/>
      <x:c r="X24" s="27"/>
      <x:c r="Y24" s="27"/>
      <x:c r="Z24" s="27"/>
      <x:c r="AA24" s="27"/>
      <x:c r="AB24" s="27"/>
    </x:row>
    <x:row r="25" ht="22" customHeight="1">
      <x:c r="A25" s="2"/>
      <x:c r="B25" s="2" t="str">
        <x:v>2011-02</x:v>
      </x:c>
      <x:c r="C25" s="2" t="n">
        <x:v>124</x:v>
      </x:c>
      <x:c r="D25" s="27" t="n">
        <x:f>D56/$C25</x:f>
        <x:v>1</x:v>
      </x:c>
      <x:c r="E25" s="27" t="n">
        <x:f>E56/$C25</x:f>
        <x:v>0.16129032258064516</x:v>
      </x:c>
      <x:c r="F25" s="27" t="n">
        <x:f>F56/$C25</x:f>
        <x:v>0.1532258064516129</x:v>
      </x:c>
      <x:c r="G25" s="27" t="n">
        <x:f>G56/$C25</x:f>
        <x:v>0.18548387096774194</x:v>
      </x:c>
      <x:c r="H25" s="27" t="n">
        <x:f>H56/$C25</x:f>
        <x:v>0.21774193548387097</x:v>
      </x:c>
      <x:c r="I25" s="27" t="n">
        <x:f>I56/$C25</x:f>
        <x:v>0.1532258064516129</x:v>
      </x:c>
      <x:c r="J25" s="27" t="n">
        <x:f>J56/$C25</x:f>
        <x:v>0.1532258064516129</x:v>
      </x:c>
      <x:c r="K25" s="27" t="n">
        <x:f>K56/$C25</x:f>
        <x:v>0.14516129032258066</x:v>
      </x:c>
      <x:c r="L25" s="27" t="n">
        <x:f>L56/$C25</x:f>
        <x:v>0.14516129032258066</x:v>
      </x:c>
      <x:c r="M25" s="27" t="n">
        <x:f>M56/$C25</x:f>
        <x:v>0.1774193548387097</x:v>
      </x:c>
      <x:c r="N25" s="28" t="n">
        <x:f>N56/$C25</x:f>
        <x:v>0.056451612903225805</x:v>
      </x:c>
      <x:c r="O25" s="27"/>
      <x:c r="P25" s="27"/>
      <x:c r="Q25" s="27"/>
      <x:c r="R25" s="27"/>
      <x:c r="S25" s="27"/>
      <x:c r="T25" s="27"/>
      <x:c r="U25" s="27"/>
      <x:c r="V25" s="27"/>
      <x:c r="W25" s="27"/>
      <x:c r="X25" s="27"/>
      <x:c r="Y25" s="27"/>
      <x:c r="Z25" s="27"/>
      <x:c r="AA25" s="27"/>
      <x:c r="AB25" s="27"/>
    </x:row>
    <x:row r="26" ht="22" customHeight="1">
      <x:c r="A26" s="2"/>
      <x:c r="B26" s="2" t="str">
        <x:v>2011-03</x:v>
      </x:c>
      <x:c r="C26" s="2" t="n">
        <x:v>179</x:v>
      </x:c>
      <x:c r="D26" s="27" t="n">
        <x:f>D57/$C26</x:f>
        <x:v>1</x:v>
      </x:c>
      <x:c r="E26" s="27" t="n">
        <x:f>E57/$C26</x:f>
        <x:v>0.18435754189944134</x:v>
      </x:c>
      <x:c r="F26" s="27" t="n">
        <x:f>F57/$C26</x:f>
        <x:v>0.21787709497206703</x:v>
      </x:c>
      <x:c r="G26" s="27" t="n">
        <x:f>G57/$C26</x:f>
        <x:v>0.2011173184357542</x:v>
      </x:c>
      <x:c r="H26" s="27" t="n">
        <x:f>H57/$C26</x:f>
        <x:v>0.22346368715083798</x:v>
      </x:c>
      <x:c r="I26" s="27" t="n">
        <x:f>I57/$C26</x:f>
        <x:v>0.15083798882681565</x:v>
      </x:c>
      <x:c r="J26" s="27" t="n">
        <x:f>J57/$C26</x:f>
        <x:v>0.20670391061452514</x:v>
      </x:c>
      <x:c r="K26" s="27" t="n">
        <x:f>K57/$C26</x:f>
        <x:v>0.2011173184357542</x:v>
      </x:c>
      <x:c r="L26" s="27" t="n">
        <x:f>L57/$C26</x:f>
        <x:v>0.24022346368715083</x:v>
      </x:c>
      <x:c r="M26" s="28" t="n">
        <x:f>M57/$C26</x:f>
        <x:v>0.09497206703910614</x:v>
      </x:c>
      <x:c r="N26" s="27"/>
      <x:c r="O26" s="27"/>
      <x:c r="P26" s="27"/>
      <x:c r="Q26" s="27"/>
      <x:c r="R26" s="27"/>
      <x:c r="S26" s="27"/>
      <x:c r="T26" s="27"/>
      <x:c r="U26" s="27"/>
      <x:c r="V26" s="27"/>
      <x:c r="W26" s="27"/>
      <x:c r="X26" s="27"/>
      <x:c r="Y26" s="27"/>
      <x:c r="Z26" s="27"/>
      <x:c r="AA26" s="27"/>
      <x:c r="AB26" s="27"/>
    </x:row>
    <x:row r="27" ht="22" customHeight="1">
      <x:c r="A27" s="2"/>
      <x:c r="B27" s="2" t="str">
        <x:v>2011-04</x:v>
      </x:c>
      <x:c r="C27" s="2" t="n">
        <x:v>106</x:v>
      </x:c>
      <x:c r="D27" s="27" t="n">
        <x:f>D58/$C27</x:f>
        <x:v>1</x:v>
      </x:c>
      <x:c r="E27" s="27" t="n">
        <x:f>E58/$C27</x:f>
        <x:v>0.25471698113207547</x:v>
      </x:c>
      <x:c r="F27" s="27" t="n">
        <x:f>F58/$C27</x:f>
        <x:v>0.19811320754716982</x:v>
      </x:c>
      <x:c r="G27" s="27" t="n">
        <x:f>G58/$C27</x:f>
        <x:v>0.19811320754716982</x:v>
      </x:c>
      <x:c r="H27" s="27" t="n">
        <x:f>H58/$C27</x:f>
        <x:v>0.1792452830188679</x:v>
      </x:c>
      <x:c r="I27" s="27" t="n">
        <x:f>I58/$C27</x:f>
        <x:v>0.2358490566037736</x:v>
      </x:c>
      <x:c r="J27" s="27" t="n">
        <x:f>J58/$C27</x:f>
        <x:v>0.1792452830188679</x:v>
      </x:c>
      <x:c r="K27" s="27" t="n">
        <x:f>K58/$C27</x:f>
        <x:v>0.25471698113207547</x:v>
      </x:c>
      <x:c r="L27" s="28" t="n">
        <x:f>L58/$C27</x:f>
        <x:v>0.11320754716981132</x:v>
      </x:c>
      <x:c r="M27" s="27"/>
      <x:c r="N27" s="27"/>
      <x:c r="O27" s="27"/>
      <x:c r="P27" s="27"/>
      <x:c r="Q27" s="27"/>
      <x:c r="R27" s="27"/>
      <x:c r="S27" s="27"/>
      <x:c r="T27" s="27"/>
      <x:c r="U27" s="27"/>
      <x:c r="V27" s="27"/>
      <x:c r="W27" s="27"/>
      <x:c r="X27" s="27"/>
      <x:c r="Y27" s="27"/>
      <x:c r="Z27" s="27"/>
      <x:c r="AA27" s="27"/>
      <x:c r="AB27" s="27"/>
    </x:row>
    <x:row r="28" ht="22" customHeight="1">
      <x:c r="A28" s="2"/>
      <x:c r="B28" s="2" t="str">
        <x:v>2011-05</x:v>
      </x:c>
      <x:c r="C28" s="2" t="n">
        <x:v>111</x:v>
      </x:c>
      <x:c r="D28" s="27" t="n">
        <x:f>D59/$C28</x:f>
        <x:v>1</x:v>
      </x:c>
      <x:c r="E28" s="27" t="n">
        <x:f>E59/$C28</x:f>
        <x:v>0.23423423423423423</x:v>
      </x:c>
      <x:c r="F28" s="27" t="n">
        <x:f>F59/$C28</x:f>
        <x:v>0.24324324324324326</x:v>
      </x:c>
      <x:c r="G28" s="27" t="n">
        <x:f>G59/$C28</x:f>
        <x:v>0.16216216216216217</x:v>
      </x:c>
      <x:c r="H28" s="27" t="n">
        <x:f>H59/$C28</x:f>
        <x:v>0.21621621621621623</x:v>
      </x:c>
      <x:c r="I28" s="27" t="n">
        <x:f>I59/$C28</x:f>
        <x:v>0.2072072072072072</x:v>
      </x:c>
      <x:c r="J28" s="27" t="n">
        <x:f>J59/$C28</x:f>
        <x:v>0.26126126126126126</x:v>
      </x:c>
      <x:c r="K28" s="28" t="n">
        <x:f>K59/$C28</x:f>
        <x:v>0.11711711711711711</x:v>
      </x:c>
      <x:c r="L28" s="27"/>
      <x:c r="M28" s="27"/>
      <x:c r="N28" s="27"/>
      <x:c r="O28" s="27"/>
      <x:c r="P28" s="27"/>
      <x:c r="Q28" s="27"/>
      <x:c r="R28" s="27"/>
      <x:c r="S28" s="27"/>
      <x:c r="T28" s="27"/>
      <x:c r="U28" s="27"/>
      <x:c r="V28" s="27"/>
      <x:c r="W28" s="27"/>
      <x:c r="X28" s="27"/>
      <x:c r="Y28" s="27"/>
      <x:c r="Z28" s="27"/>
      <x:c r="AA28" s="27"/>
      <x:c r="AB28" s="27"/>
    </x:row>
    <x:row r="29" ht="22" customHeight="1">
      <x:c r="A29" s="2"/>
      <x:c r="B29" s="2" t="str">
        <x:v>2011-06</x:v>
      </x:c>
      <x:c r="C29" s="2" t="n">
        <x:v>108</x:v>
      </x:c>
      <x:c r="D29" s="27" t="n">
        <x:f>D60/$C29</x:f>
        <x:v>1</x:v>
      </x:c>
      <x:c r="E29" s="27" t="n">
        <x:f>E60/$C29</x:f>
        <x:v>0.23148148148148148</x:v>
      </x:c>
      <x:c r="F29" s="27" t="n">
        <x:f>F60/$C29</x:f>
        <x:v>0.21296296296296297</x:v>
      </x:c>
      <x:c r="G29" s="27" t="n">
        <x:f>G60/$C29</x:f>
        <x:v>0.26851851851851855</x:v>
      </x:c>
      <x:c r="H29" s="27" t="n">
        <x:f>H60/$C29</x:f>
        <x:v>0.2037037037037037</x:v>
      </x:c>
      <x:c r="I29" s="27" t="n">
        <x:f>I60/$C29</x:f>
        <x:v>0.28703703703703703</x:v>
      </x:c>
      <x:c r="J29" s="28" t="n">
        <x:f>J60/$C29</x:f>
        <x:v>0.08333333333333333</x:v>
      </x:c>
      <x:c r="K29" s="27"/>
      <x:c r="L29" s="27"/>
      <x:c r="M29" s="27"/>
      <x:c r="N29" s="27"/>
      <x:c r="O29" s="27"/>
      <x:c r="P29" s="27"/>
      <x:c r="Q29" s="27"/>
      <x:c r="R29" s="27"/>
      <x:c r="S29" s="27"/>
      <x:c r="T29" s="27"/>
      <x:c r="U29" s="27"/>
      <x:c r="V29" s="27"/>
      <x:c r="W29" s="27"/>
      <x:c r="X29" s="27"/>
      <x:c r="Y29" s="27"/>
      <x:c r="Z29" s="27"/>
      <x:c r="AA29" s="27"/>
      <x:c r="AB29" s="27"/>
    </x:row>
    <x:row r="30" ht="22" customHeight="1">
      <x:c r="A30" s="2"/>
      <x:c r="B30" s="2" t="str">
        <x:v>2011-07</x:v>
      </x:c>
      <x:c r="C30" s="2" t="n">
        <x:v>102</x:v>
      </x:c>
      <x:c r="D30" s="27" t="n">
        <x:f>D61/$C30</x:f>
        <x:v>1</x:v>
      </x:c>
      <x:c r="E30" s="27" t="n">
        <x:f>E61/$C30</x:f>
        <x:v>0.21568627450980393</x:v>
      </x:c>
      <x:c r="F30" s="27" t="n">
        <x:f>F61/$C30</x:f>
        <x:v>0.30392156862745096</x:v>
      </x:c>
      <x:c r="G30" s="27" t="n">
        <x:f>G61/$C30</x:f>
        <x:v>0.27450980392156865</x:v>
      </x:c>
      <x:c r="H30" s="27" t="n">
        <x:f>H61/$C30</x:f>
        <x:v>0.3431372549019608</x:v>
      </x:c>
      <x:c r="I30" s="28" t="n">
        <x:f>I61/$C30</x:f>
        <x:v>0.1568627450980392</x:v>
      </x:c>
      <x:c r="J30" s="27"/>
      <x:c r="K30" s="27"/>
      <x:c r="L30" s="27"/>
      <x:c r="M30" s="27"/>
      <x:c r="N30" s="27"/>
      <x:c r="O30" s="27"/>
      <x:c r="P30" s="27"/>
      <x:c r="Q30" s="27"/>
      <x:c r="R30" s="27"/>
      <x:c r="S30" s="27"/>
      <x:c r="T30" s="27"/>
      <x:c r="U30" s="27"/>
      <x:c r="V30" s="27"/>
      <x:c r="W30" s="27"/>
      <x:c r="X30" s="27"/>
      <x:c r="Y30" s="27"/>
      <x:c r="Z30" s="27"/>
      <x:c r="AA30" s="27"/>
      <x:c r="AB30" s="27"/>
    </x:row>
    <x:row r="31" ht="22" customHeight="1">
      <x:c r="A31" s="2"/>
      <x:c r="B31" s="2" t="str">
        <x:v>2011-08</x:v>
      </x:c>
      <x:c r="C31" s="2" t="n">
        <x:v>106</x:v>
      </x:c>
      <x:c r="D31" s="27" t="n">
        <x:f>D62/$C31</x:f>
        <x:v>1</x:v>
      </x:c>
      <x:c r="E31" s="27" t="n">
        <x:f>E62/$C31</x:f>
        <x:v>0.27358490566037735</x:v>
      </x:c>
      <x:c r="F31" s="27" t="n">
        <x:f>F62/$C31</x:f>
        <x:v>0.3113207547169811</x:v>
      </x:c>
      <x:c r="G31" s="27" t="n">
        <x:f>G62/$C31</x:f>
        <x:v>0.2641509433962264</x:v>
      </x:c>
      <x:c r="H31" s="28" t="n">
        <x:f>H62/$C31</x:f>
        <x:v>0.16981132075471697</x:v>
      </x:c>
      <x:c r="I31" s="27"/>
      <x:c r="J31" s="27"/>
      <x:c r="K31" s="27"/>
      <x:c r="L31" s="27"/>
      <x:c r="M31" s="27"/>
      <x:c r="N31" s="27"/>
      <x:c r="O31" s="27"/>
      <x:c r="P31" s="27"/>
      <x:c r="Q31" s="27"/>
      <x:c r="R31" s="27"/>
      <x:c r="S31" s="27"/>
      <x:c r="T31" s="27"/>
      <x:c r="U31" s="27"/>
      <x:c r="V31" s="27"/>
      <x:c r="W31" s="27"/>
      <x:c r="X31" s="27"/>
      <x:c r="Y31" s="27"/>
      <x:c r="Z31" s="27"/>
      <x:c r="AA31" s="27"/>
      <x:c r="AB31" s="27"/>
    </x:row>
    <x:row r="32" ht="22" customHeight="1">
      <x:c r="A32" s="2"/>
      <x:c r="B32" s="2" t="str">
        <x:v>2011-09</x:v>
      </x:c>
      <x:c r="C32" s="2" t="n">
        <x:v>189</x:v>
      </x:c>
      <x:c r="D32" s="27" t="n">
        <x:f>D63/$C32</x:f>
        <x:v>1</x:v>
      </x:c>
      <x:c r="E32" s="27" t="n">
        <x:f>E63/$C32</x:f>
        <x:v>0.2698412698412698</x:v>
      </x:c>
      <x:c r="F32" s="27" t="n">
        <x:f>F63/$C32</x:f>
        <x:v>0.37566137566137564</x:v>
      </x:c>
      <x:c r="G32" s="28" t="n">
        <x:f>G63/$C32</x:f>
        <x:v>0.14814814814814814</x:v>
      </x:c>
      <x:c r="H32" s="27"/>
      <x:c r="I32" s="27"/>
      <x:c r="J32" s="27"/>
      <x:c r="K32" s="27"/>
      <x:c r="L32" s="27"/>
      <x:c r="M32" s="27"/>
      <x:c r="N32" s="27"/>
      <x:c r="O32" s="27"/>
      <x:c r="P32" s="27"/>
      <x:c r="Q32" s="27"/>
      <x:c r="R32" s="27"/>
      <x:c r="S32" s="27"/>
      <x:c r="T32" s="27"/>
      <x:c r="U32" s="27"/>
      <x:c r="V32" s="27"/>
      <x:c r="W32" s="27"/>
      <x:c r="X32" s="27"/>
      <x:c r="Y32" s="27"/>
      <x:c r="Z32" s="27"/>
      <x:c r="AA32" s="27"/>
      <x:c r="AB32" s="27"/>
    </x:row>
    <x:row r="33" ht="22" customHeight="1">
      <x:c r="A33" s="2"/>
      <x:c r="B33" s="2" t="str">
        <x:v>2011-10</x:v>
      </x:c>
      <x:c r="C33" s="2" t="n">
        <x:v>221</x:v>
      </x:c>
      <x:c r="D33" s="27" t="n">
        <x:f>D64/$C33</x:f>
        <x:v>1</x:v>
      </x:c>
      <x:c r="E33" s="27" t="n">
        <x:f>E64/$C33</x:f>
        <x:v>0.3212669683257919</x:v>
      </x:c>
      <x:c r="F33" s="28" t="n">
        <x:f>F64/$C33</x:f>
        <x:v>0.1583710407239819</x:v>
      </x:c>
      <x:c r="G33" s="27"/>
      <x:c r="H33" s="27"/>
      <x:c r="I33" s="27"/>
      <x:c r="J33" s="27"/>
      <x:c r="K33" s="27"/>
      <x:c r="L33" s="27"/>
      <x:c r="M33" s="27"/>
      <x:c r="N33" s="27"/>
      <x:c r="O33" s="27"/>
      <x:c r="P33" s="27"/>
      <x:c r="Q33" s="27"/>
      <x:c r="R33" s="27"/>
      <x:c r="S33" s="27"/>
      <x:c r="T33" s="27"/>
      <x:c r="U33" s="27"/>
      <x:c r="V33" s="27"/>
      <x:c r="W33" s="27"/>
      <x:c r="X33" s="27"/>
      <x:c r="Y33" s="27"/>
      <x:c r="Z33" s="27"/>
      <x:c r="AA33" s="27"/>
      <x:c r="AB33" s="27"/>
    </x:row>
    <x:row r="34" ht="22" customHeight="1">
      <x:c r="A34" s="2"/>
      <x:c r="B34" s="2" t="str">
        <x:v>2011-11</x:v>
      </x:c>
      <x:c r="C34" s="2" t="n">
        <x:v>191</x:v>
      </x:c>
      <x:c r="D34" s="27" t="n">
        <x:f>D65/$C34</x:f>
        <x:v>1</x:v>
      </x:c>
      <x:c r="E34" s="28" t="n">
        <x:f>E65/$C34</x:f>
        <x:v>0.14136125654450263</x:v>
      </x:c>
      <x:c r="F34" s="27"/>
      <x:c r="G34" s="27"/>
      <x:c r="H34" s="27"/>
      <x:c r="I34" s="27"/>
      <x:c r="J34" s="27"/>
      <x:c r="K34" s="27"/>
      <x:c r="L34" s="27"/>
      <x:c r="M34" s="27"/>
      <x:c r="N34" s="27"/>
      <x:c r="O34" s="27"/>
      <x:c r="P34" s="27"/>
      <x:c r="Q34" s="27"/>
      <x:c r="R34" s="27"/>
      <x:c r="S34" s="27"/>
      <x:c r="T34" s="27"/>
      <x:c r="U34" s="27"/>
      <x:c r="V34" s="27"/>
      <x:c r="W34" s="27"/>
      <x:c r="X34" s="27"/>
      <x:c r="Y34" s="27"/>
      <x:c r="Z34" s="27"/>
      <x:c r="AA34" s="27"/>
      <x:c r="AB34" s="27"/>
    </x:row>
    <x:row r="35" ht="22" customHeight="1">
      <x:c r="A35" s="2"/>
      <x:c r="B35" s="2" t="str">
        <x:v>2011-12</x:v>
      </x:c>
      <x:c r="C35" s="2" t="n">
        <x:v>28</x:v>
      </x:c>
      <x:c r="D35" s="28" t="n">
        <x:f>D66/$C35</x:f>
        <x:v>1</x:v>
      </x:c>
      <x:c r="E35" s="27"/>
      <x:c r="F35" s="27"/>
      <x:c r="G35" s="27"/>
      <x:c r="H35" s="27"/>
      <x:c r="I35" s="27"/>
      <x:c r="J35" s="27"/>
      <x:c r="K35" s="27"/>
      <x:c r="L35" s="27"/>
      <x:c r="M35" s="27"/>
      <x:c r="N35" s="27"/>
      <x:c r="O35" s="27"/>
      <x:c r="P35" s="27"/>
      <x:c r="Q35" s="27"/>
      <x:c r="R35" s="27"/>
      <x:c r="S35" s="27"/>
      <x:c r="T35" s="27"/>
      <x:c r="U35" s="27"/>
      <x:c r="V35" s="27"/>
      <x:c r="W35" s="27"/>
      <x:c r="X35" s="27"/>
      <x:c r="Y35" s="27"/>
      <x:c r="Z35" s="27"/>
      <x:c r="AA35" s="27"/>
      <x:c r="AB35" s="27"/>
    </x:row>
    <x:row r="36" ht="23" customHeight="1">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c r="AA36" s="2"/>
      <x:c r="AB36" s="2"/>
    </x:row>
    <x:row r="37" ht="23" customHeight="1">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c r="AA37" s="2"/>
      <x:c r="AB37" s="2"/>
    </x:row>
    <x:row r="38" ht="23" customHeight="1">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c r="AA38" s="2"/>
      <x:c r="AB38" s="2"/>
    </x:row>
    <x:row r="39" ht="23" customHeight="1">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c r="AA39" s="2"/>
      <x:c r="AB39" s="2"/>
    </x:row>
    <x:row r="40" ht="23" customHeight="1">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c r="AA40" s="2"/>
      <x:c r="AB40" s="2"/>
    </x:row>
    <x:row r="41" ht="34" customHeight="1">
      <x:c r="A41" s="2"/>
      <x:c r="B41" s="10" t="str">
        <x:v>Cohort</x:v>
      </x:c>
      <x:c r="C41" s="10" t="str">
        <x:v>Customers</x:v>
      </x:c>
      <x:c r="D41" s="10" t="str">
        <x:v>M0</x:v>
      </x:c>
      <x:c r="E41" s="10" t="str">
        <x:v>M1</x:v>
      </x:c>
      <x:c r="F41" s="10" t="str">
        <x:v>M2</x:v>
      </x:c>
      <x:c r="G41" s="10" t="str">
        <x:v>M3</x:v>
      </x:c>
      <x:c r="H41" s="10" t="str">
        <x:v>M4</x:v>
      </x:c>
      <x:c r="I41" s="10" t="str">
        <x:v>M5</x:v>
      </x:c>
      <x:c r="J41" s="10" t="str">
        <x:v>M6</x:v>
      </x:c>
      <x:c r="K41" s="10" t="str">
        <x:v>M7</x:v>
      </x:c>
      <x:c r="L41" s="10" t="str">
        <x:v>M8</x:v>
      </x:c>
      <x:c r="M41" s="10" t="str">
        <x:v>M9</x:v>
      </x:c>
      <x:c r="N41" s="10" t="str">
        <x:v>M10</x:v>
      </x:c>
      <x:c r="O41" s="10" t="str">
        <x:v>M11</x:v>
      </x:c>
      <x:c r="P41" s="10" t="str">
        <x:v>M12</x:v>
      </x:c>
      <x:c r="Q41" s="10" t="str">
        <x:v>M13</x:v>
      </x:c>
      <x:c r="R41" s="10" t="str">
        <x:v>M14</x:v>
      </x:c>
      <x:c r="S41" s="10" t="str">
        <x:v>M15</x:v>
      </x:c>
      <x:c r="T41" s="10" t="str">
        <x:v>M16</x:v>
      </x:c>
      <x:c r="U41" s="10" t="str">
        <x:v>M17</x:v>
      </x:c>
      <x:c r="V41" s="10" t="str">
        <x:v>M18</x:v>
      </x:c>
      <x:c r="W41" s="10" t="str">
        <x:v>M19</x:v>
      </x:c>
      <x:c r="X41" s="10" t="str">
        <x:v>M20</x:v>
      </x:c>
      <x:c r="Y41" s="10" t="str">
        <x:v>M21</x:v>
      </x:c>
      <x:c r="Z41" s="10" t="str">
        <x:v>M22</x:v>
      </x:c>
      <x:c r="AA41" s="10" t="str">
        <x:v>M23</x:v>
      </x:c>
      <x:c r="AB41" s="10" t="str">
        <x:v>M24</x:v>
      </x:c>
    </x:row>
    <x:row r="42" ht="22" customHeight="1">
      <x:c r="A42" s="2"/>
      <x:c r="B42" s="2" t="str">
        <x:v>2009-12</x:v>
      </x:c>
      <x:c r="C42" s="2" t="n">
        <x:v>955</x:v>
      </x:c>
      <x:c r="D42" s="2" t="n">
        <x:v>955</x:v>
      </x:c>
      <x:c r="E42" s="2" t="n">
        <x:v>337</x:v>
      </x:c>
      <x:c r="F42" s="2" t="n">
        <x:v>319</x:v>
      </x:c>
      <x:c r="G42" s="2" t="n">
        <x:v>406</x:v>
      </x:c>
      <x:c r="H42" s="2" t="n">
        <x:v>363</x:v>
      </x:c>
      <x:c r="I42" s="2" t="n">
        <x:v>343</x:v>
      </x:c>
      <x:c r="J42" s="2" t="n">
        <x:v>360</x:v>
      </x:c>
      <x:c r="K42" s="2" t="n">
        <x:v>327</x:v>
      </x:c>
      <x:c r="L42" s="2" t="n">
        <x:v>321</x:v>
      </x:c>
      <x:c r="M42" s="2" t="n">
        <x:v>346</x:v>
      </x:c>
      <x:c r="N42" s="2" t="n">
        <x:v>403</x:v>
      </x:c>
      <x:c r="O42" s="2" t="n">
        <x:v>473</x:v>
      </x:c>
      <x:c r="P42" s="2" t="n">
        <x:v>359</x:v>
      </x:c>
      <x:c r="Q42" s="2" t="n">
        <x:v>270</x:v>
      </x:c>
      <x:c r="R42" s="2" t="n">
        <x:v>233</x:v>
      </x:c>
      <x:c r="S42" s="2" t="n">
        <x:v>289</x:v>
      </x:c>
      <x:c r="T42" s="2" t="n">
        <x:v>251</x:v>
      </x:c>
      <x:c r="U42" s="2" t="n">
        <x:v>289</x:v>
      </x:c>
      <x:c r="V42" s="2" t="n">
        <x:v>270</x:v>
      </x:c>
      <x:c r="W42" s="2" t="n">
        <x:v>248</x:v>
      </x:c>
      <x:c r="X42" s="2" t="n">
        <x:v>244</x:v>
      </x:c>
      <x:c r="Y42" s="2" t="n">
        <x:v>301</x:v>
      </x:c>
      <x:c r="Z42" s="2" t="n">
        <x:v>291</x:v>
      </x:c>
      <x:c r="AA42" s="2" t="n">
        <x:v>389</x:v>
      </x:c>
      <x:c r="AB42" s="2" t="n">
        <x:v>188</x:v>
      </x:c>
    </x:row>
    <x:row r="43" ht="22" customHeight="1">
      <x:c r="A43" s="2"/>
      <x:c r="B43" s="2" t="str">
        <x:v>2010-01</x:v>
      </x:c>
      <x:c r="C43" s="2" t="n">
        <x:v>383</x:v>
      </x:c>
      <x:c r="D43" s="2" t="n">
        <x:v>383</x:v>
      </x:c>
      <x:c r="E43" s="2" t="n">
        <x:v>79</x:v>
      </x:c>
      <x:c r="F43" s="2" t="n">
        <x:v>119</x:v>
      </x:c>
      <x:c r="G43" s="2" t="n">
        <x:v>117</x:v>
      </x:c>
      <x:c r="H43" s="2" t="n">
        <x:v>101</x:v>
      </x:c>
      <x:c r="I43" s="2" t="n">
        <x:v>115</x:v>
      </x:c>
      <x:c r="J43" s="2" t="n">
        <x:v>99</x:v>
      </x:c>
      <x:c r="K43" s="2" t="n">
        <x:v>88</x:v>
      </x:c>
      <x:c r="L43" s="2" t="n">
        <x:v>107</x:v>
      </x:c>
      <x:c r="M43" s="2" t="n">
        <x:v>122</x:v>
      </x:c>
      <x:c r="N43" s="2" t="n">
        <x:v>116</x:v>
      </x:c>
      <x:c r="O43" s="2" t="n">
        <x:v>66</x:v>
      </x:c>
      <x:c r="P43" s="2" t="n">
        <x:v>85</x:v>
      </x:c>
      <x:c r="Q43" s="2" t="n">
        <x:v>68</x:v>
      </x:c>
      <x:c r="R43" s="2" t="n">
        <x:v>72</x:v>
      </x:c>
      <x:c r="S43" s="2" t="n">
        <x:v>58</x:v>
      </x:c>
      <x:c r="T43" s="2" t="n">
        <x:v>90</x:v>
      </x:c>
      <x:c r="U43" s="2" t="n">
        <x:v>76</x:v>
      </x:c>
      <x:c r="V43" s="2" t="n">
        <x:v>71</x:v>
      </x:c>
      <x:c r="W43" s="2" t="n">
        <x:v>75</x:v>
      </x:c>
      <x:c r="X43" s="2" t="n">
        <x:v>93</x:v>
      </x:c>
      <x:c r="Y43" s="2" t="n">
        <x:v>74</x:v>
      </x:c>
      <x:c r="Z43" s="2" t="n">
        <x:v>94</x:v>
      </x:c>
      <x:c r="AA43" s="2" t="n">
        <x:v>22</x:v>
      </x:c>
      <x:c r="AB43" s="2"/>
    </x:row>
    <x:row r="44" ht="22" customHeight="1">
      <x:c r="A44" s="2"/>
      <x:c r="B44" s="2" t="str">
        <x:v>2010-02</x:v>
      </x:c>
      <x:c r="C44" s="2" t="n">
        <x:v>374</x:v>
      </x:c>
      <x:c r="D44" s="2" t="n">
        <x:v>374</x:v>
      </x:c>
      <x:c r="E44" s="2" t="n">
        <x:v>89</x:v>
      </x:c>
      <x:c r="F44" s="2" t="n">
        <x:v>84</x:v>
      </x:c>
      <x:c r="G44" s="2" t="n">
        <x:v>109</x:v>
      </x:c>
      <x:c r="H44" s="2" t="n">
        <x:v>92</x:v>
      </x:c>
      <x:c r="I44" s="2" t="n">
        <x:v>75</x:v>
      </x:c>
      <x:c r="J44" s="2" t="n">
        <x:v>72</x:v>
      </x:c>
      <x:c r="K44" s="2" t="n">
        <x:v>107</x:v>
      </x:c>
      <x:c r="L44" s="2" t="n">
        <x:v>95</x:v>
      </x:c>
      <x:c r="M44" s="2" t="n">
        <x:v>103</x:v>
      </x:c>
      <x:c r="N44" s="2" t="n">
        <x:v>43</x:v>
      </x:c>
      <x:c r="O44" s="2" t="n">
        <x:v>47</x:v>
      </x:c>
      <x:c r="P44" s="2" t="n">
        <x:v>57</x:v>
      </x:c>
      <x:c r="Q44" s="2" t="n">
        <x:v>65</x:v>
      </x:c>
      <x:c r="R44" s="2" t="n">
        <x:v>46</x:v>
      </x:c>
      <x:c r="S44" s="2" t="n">
        <x:v>75</x:v>
      </x:c>
      <x:c r="T44" s="2" t="n">
        <x:v>60</x:v>
      </x:c>
      <x:c r="U44" s="2" t="n">
        <x:v>61</x:v>
      </x:c>
      <x:c r="V44" s="2" t="n">
        <x:v>54</x:v>
      </x:c>
      <x:c r="W44" s="2" t="n">
        <x:v>86</x:v>
      </x:c>
      <x:c r="X44" s="2" t="n">
        <x:v>86</x:v>
      </x:c>
      <x:c r="Y44" s="2" t="n">
        <x:v>61</x:v>
      </x:c>
      <x:c r="Z44" s="2" t="n">
        <x:v>22</x:v>
      </x:c>
      <x:c r="AA44" s="2"/>
      <x:c r="AB44" s="2"/>
    </x:row>
    <x:row r="45" ht="22" customHeight="1">
      <x:c r="A45" s="2"/>
      <x:c r="B45" s="2" t="str">
        <x:v>2010-03</x:v>
      </x:c>
      <x:c r="C45" s="2" t="n">
        <x:v>443</x:v>
      </x:c>
      <x:c r="D45" s="2" t="n">
        <x:v>443</x:v>
      </x:c>
      <x:c r="E45" s="2" t="n">
        <x:v>84</x:v>
      </x:c>
      <x:c r="F45" s="2" t="n">
        <x:v>102</x:v>
      </x:c>
      <x:c r="G45" s="2" t="n">
        <x:v>107</x:v>
      </x:c>
      <x:c r="H45" s="2" t="n">
        <x:v>103</x:v>
      </x:c>
      <x:c r="I45" s="2" t="n">
        <x:v>90</x:v>
      </x:c>
      <x:c r="J45" s="2" t="n">
        <x:v>109</x:v>
      </x:c>
      <x:c r="K45" s="2" t="n">
        <x:v>134</x:v>
      </x:c>
      <x:c r="L45" s="2" t="n">
        <x:v>122</x:v>
      </x:c>
      <x:c r="M45" s="2" t="n">
        <x:v>48</x:v>
      </x:c>
      <x:c r="N45" s="2" t="n">
        <x:v>51</x:v>
      </x:c>
      <x:c r="O45" s="2" t="n">
        <x:v>63</x:v>
      </x:c>
      <x:c r="P45" s="2" t="n">
        <x:v>89</x:v>
      </x:c>
      <x:c r="Q45" s="2" t="n">
        <x:v>72</x:v>
      </x:c>
      <x:c r="R45" s="2" t="n">
        <x:v>89</x:v>
      </x:c>
      <x:c r="S45" s="2" t="n">
        <x:v>75</x:v>
      </x:c>
      <x:c r="T45" s="2" t="n">
        <x:v>77</x:v>
      </x:c>
      <x:c r="U45" s="2" t="n">
        <x:v>69</x:v>
      </x:c>
      <x:c r="V45" s="2" t="n">
        <x:v>78</x:v>
      </x:c>
      <x:c r="W45" s="2" t="n">
        <x:v>89</x:v>
      </x:c>
      <x:c r="X45" s="2" t="n">
        <x:v>94</x:v>
      </x:c>
      <x:c r="Y45" s="2" t="n">
        <x:v>35</x:v>
      </x:c>
      <x:c r="Z45" s="2"/>
      <x:c r="AA45" s="2"/>
      <x:c r="AB45" s="2"/>
    </x:row>
    <x:row r="46" ht="22" customHeight="1">
      <x:c r="A46" s="2"/>
      <x:c r="B46" s="2" t="str">
        <x:v>2010-04</x:v>
      </x:c>
      <x:c r="C46" s="2" t="n">
        <x:v>294</x:v>
      </x:c>
      <x:c r="D46" s="2" t="n">
        <x:v>294</x:v>
      </x:c>
      <x:c r="E46" s="2" t="n">
        <x:v>57</x:v>
      </x:c>
      <x:c r="F46" s="2" t="n">
        <x:v>57</x:v>
      </x:c>
      <x:c r="G46" s="2" t="n">
        <x:v>48</x:v>
      </x:c>
      <x:c r="H46" s="2" t="n">
        <x:v>54</x:v>
      </x:c>
      <x:c r="I46" s="2" t="n">
        <x:v>66</x:v>
      </x:c>
      <x:c r="J46" s="2" t="n">
        <x:v>81</x:v>
      </x:c>
      <x:c r="K46" s="2" t="n">
        <x:v>77</x:v>
      </x:c>
      <x:c r="L46" s="2" t="n">
        <x:v>31</x:v>
      </x:c>
      <x:c r="M46" s="2" t="n">
        <x:v>32</x:v>
      </x:c>
      <x:c r="N46" s="2" t="n">
        <x:v>22</x:v>
      </x:c>
      <x:c r="O46" s="2" t="n">
        <x:v>41</x:v>
      </x:c>
      <x:c r="P46" s="2" t="n">
        <x:v>41</x:v>
      </x:c>
      <x:c r="Q46" s="2" t="n">
        <x:v>46</x:v>
      </x:c>
      <x:c r="R46" s="2" t="n">
        <x:v>46</x:v>
      </x:c>
      <x:c r="S46" s="2" t="n">
        <x:v>46</x:v>
      </x:c>
      <x:c r="T46" s="2" t="n">
        <x:v>41</x:v>
      </x:c>
      <x:c r="U46" s="2" t="n">
        <x:v>44</x:v>
      </x:c>
      <x:c r="V46" s="2" t="n">
        <x:v>53</x:v>
      </x:c>
      <x:c r="W46" s="2" t="n">
        <x:v>66</x:v>
      </x:c>
      <x:c r="X46" s="2" t="n">
        <x:v>17</x:v>
      </x:c>
      <x:c r="Y46" s="2"/>
      <x:c r="Z46" s="2"/>
      <x:c r="AA46" s="2"/>
      <x:c r="AB46" s="2"/>
    </x:row>
    <x:row r="47" ht="22" customHeight="1">
      <x:c r="A47" s="2"/>
      <x:c r="B47" s="2" t="str">
        <x:v>2010-05</x:v>
      </x:c>
      <x:c r="C47" s="2" t="n">
        <x:v>254</x:v>
      </x:c>
      <x:c r="D47" s="2" t="n">
        <x:v>254</x:v>
      </x:c>
      <x:c r="E47" s="2" t="n">
        <x:v>40</x:v>
      </x:c>
      <x:c r="F47" s="2" t="n">
        <x:v>43</x:v>
      </x:c>
      <x:c r="G47" s="2" t="n">
        <x:v>44</x:v>
      </x:c>
      <x:c r="H47" s="2" t="n">
        <x:v>45</x:v>
      </x:c>
      <x:c r="I47" s="2" t="n">
        <x:v>65</x:v>
      </x:c>
      <x:c r="J47" s="2" t="n">
        <x:v>54</x:v>
      </x:c>
      <x:c r="K47" s="2" t="n">
        <x:v>32</x:v>
      </x:c>
      <x:c r="L47" s="2" t="n">
        <x:v>15</x:v>
      </x:c>
      <x:c r="M47" s="2" t="n">
        <x:v>21</x:v>
      </x:c>
      <x:c r="N47" s="2" t="n">
        <x:v>29</x:v>
      </x:c>
      <x:c r="O47" s="2" t="n">
        <x:v>34</x:v>
      </x:c>
      <x:c r="P47" s="2" t="n">
        <x:v>39</x:v>
      </x:c>
      <x:c r="Q47" s="2" t="n">
        <x:v>39</x:v>
      </x:c>
      <x:c r="R47" s="2" t="n">
        <x:v>25</x:v>
      </x:c>
      <x:c r="S47" s="2" t="n">
        <x:v>32</x:v>
      </x:c>
      <x:c r="T47" s="2" t="n">
        <x:v>35</x:v>
      </x:c>
      <x:c r="U47" s="2" t="n">
        <x:v>42</x:v>
      </x:c>
      <x:c r="V47" s="2" t="n">
        <x:v>39</x:v>
      </x:c>
      <x:c r="W47" s="2" t="n">
        <x:v>12</x:v>
      </x:c>
      <x:c r="X47" s="2"/>
      <x:c r="Y47" s="2"/>
      <x:c r="Z47" s="2"/>
      <x:c r="AA47" s="2"/>
      <x:c r="AB47" s="2"/>
    </x:row>
    <x:row r="48" ht="22" customHeight="1">
      <x:c r="A48" s="2"/>
      <x:c r="B48" s="2" t="str">
        <x:v>2010-06</x:v>
      </x:c>
      <x:c r="C48" s="2" t="n">
        <x:v>270</x:v>
      </x:c>
      <x:c r="D48" s="2" t="n">
        <x:v>270</x:v>
      </x:c>
      <x:c r="E48" s="2" t="n">
        <x:v>47</x:v>
      </x:c>
      <x:c r="F48" s="2" t="n">
        <x:v>51</x:v>
      </x:c>
      <x:c r="G48" s="2" t="n">
        <x:v>55</x:v>
      </x:c>
      <x:c r="H48" s="2" t="n">
        <x:v>62</x:v>
      </x:c>
      <x:c r="I48" s="2" t="n">
        <x:v>77</x:v>
      </x:c>
      <x:c r="J48" s="2" t="n">
        <x:v>34</x:v>
      </x:c>
      <x:c r="K48" s="2" t="n">
        <x:v>24</x:v>
      </x:c>
      <x:c r="L48" s="2" t="n">
        <x:v>22</x:v>
      </x:c>
      <x:c r="M48" s="2" t="n">
        <x:v>32</x:v>
      </x:c>
      <x:c r="N48" s="2" t="n">
        <x:v>29</x:v>
      </x:c>
      <x:c r="O48" s="2" t="n">
        <x:v>37</x:v>
      </x:c>
      <x:c r="P48" s="2" t="n">
        <x:v>40</x:v>
      </x:c>
      <x:c r="Q48" s="2" t="n">
        <x:v>33</x:v>
      </x:c>
      <x:c r="R48" s="2" t="n">
        <x:v>30</x:v>
      </x:c>
      <x:c r="S48" s="2" t="n">
        <x:v>33</x:v>
      </x:c>
      <x:c r="T48" s="2" t="n">
        <x:v>36</x:v>
      </x:c>
      <x:c r="U48" s="2" t="n">
        <x:v>55</x:v>
      </x:c>
      <x:c r="V48" s="2" t="n">
        <x:v>14</x:v>
      </x:c>
      <x:c r="W48" s="2"/>
      <x:c r="X48" s="2"/>
      <x:c r="Y48" s="2"/>
      <x:c r="Z48" s="2"/>
      <x:c r="AA48" s="2"/>
      <x:c r="AB48" s="2"/>
    </x:row>
    <x:row r="49" ht="22" customHeight="1">
      <x:c r="A49" s="2"/>
      <x:c r="B49" s="2" t="str">
        <x:v>2010-07</x:v>
      </x:c>
      <x:c r="C49" s="2" t="n">
        <x:v>186</x:v>
      </x:c>
      <x:c r="D49" s="2" t="n">
        <x:v>186</x:v>
      </x:c>
      <x:c r="E49" s="2" t="n">
        <x:v>29</x:v>
      </x:c>
      <x:c r="F49" s="2" t="n">
        <x:v>34</x:v>
      </x:c>
      <x:c r="G49" s="2" t="n">
        <x:v>55</x:v>
      </x:c>
      <x:c r="H49" s="2" t="n">
        <x:v>54</x:v>
      </x:c>
      <x:c r="I49" s="2" t="n">
        <x:v>26</x:v>
      </x:c>
      <x:c r="J49" s="2" t="n">
        <x:v>21</x:v>
      </x:c>
      <x:c r="K49" s="2" t="n">
        <x:v>27</x:v>
      </x:c>
      <x:c r="L49" s="2" t="n">
        <x:v>27</x:v>
      </x:c>
      <x:c r="M49" s="2" t="n">
        <x:v>21</x:v>
      </x:c>
      <x:c r="N49" s="2" t="n">
        <x:v>25</x:v>
      </x:c>
      <x:c r="O49" s="2" t="n">
        <x:v>27</x:v>
      </x:c>
      <x:c r="P49" s="2" t="n">
        <x:v>25</x:v>
      </x:c>
      <x:c r="Q49" s="2" t="n">
        <x:v>25</x:v>
      </x:c>
      <x:c r="R49" s="2" t="n">
        <x:v>36</x:v>
      </x:c>
      <x:c r="S49" s="2" t="n">
        <x:v>32</x:v>
      </x:c>
      <x:c r="T49" s="2" t="n">
        <x:v>44</x:v>
      </x:c>
      <x:c r="U49" s="2" t="n">
        <x:v>15</x:v>
      </x:c>
      <x:c r="V49" s="2"/>
      <x:c r="W49" s="2"/>
      <x:c r="X49" s="2"/>
      <x:c r="Y49" s="2"/>
      <x:c r="Z49" s="2"/>
      <x:c r="AA49" s="2"/>
      <x:c r="AB49" s="2"/>
    </x:row>
    <x:row r="50" ht="22" customHeight="1">
      <x:c r="A50" s="2"/>
      <x:c r="B50" s="2" t="str">
        <x:v>2010-08</x:v>
      </x:c>
      <x:c r="C50" s="2" t="n">
        <x:v>162</x:v>
      </x:c>
      <x:c r="D50" s="2" t="n">
        <x:v>162</x:v>
      </x:c>
      <x:c r="E50" s="2" t="n">
        <x:v>33</x:v>
      </x:c>
      <x:c r="F50" s="2" t="n">
        <x:v>48</x:v>
      </x:c>
      <x:c r="G50" s="2" t="n">
        <x:v>52</x:v>
      </x:c>
      <x:c r="H50" s="2" t="n">
        <x:v>28</x:v>
      </x:c>
      <x:c r="I50" s="2" t="n">
        <x:v>19</x:v>
      </x:c>
      <x:c r="J50" s="2" t="n">
        <x:v>16</x:v>
      </x:c>
      <x:c r="K50" s="2" t="n">
        <x:v>20</x:v>
      </x:c>
      <x:c r="L50" s="2" t="n">
        <x:v>22</x:v>
      </x:c>
      <x:c r="M50" s="2" t="n">
        <x:v>21</x:v>
      </x:c>
      <x:c r="N50" s="2" t="n">
        <x:v>21</x:v>
      </x:c>
      <x:c r="O50" s="2" t="n">
        <x:v>20</x:v>
      </x:c>
      <x:c r="P50" s="2" t="n">
        <x:v>25</x:v>
      </x:c>
      <x:c r="Q50" s="2" t="n">
        <x:v>30</x:v>
      </x:c>
      <x:c r="R50" s="2" t="n">
        <x:v>29</x:v>
      </x:c>
      <x:c r="S50" s="2" t="n">
        <x:v>32</x:v>
      </x:c>
      <x:c r="T50" s="2" t="n">
        <x:v>11</x:v>
      </x:c>
      <x:c r="U50" s="2"/>
      <x:c r="V50" s="2"/>
      <x:c r="W50" s="2"/>
      <x:c r="X50" s="2"/>
      <x:c r="Y50" s="2"/>
      <x:c r="Z50" s="2"/>
      <x:c r="AA50" s="2"/>
      <x:c r="AB50" s="2"/>
    </x:row>
    <x:row r="51" ht="22" customHeight="1">
      <x:c r="A51" s="2"/>
      <x:c r="B51" s="2" t="str">
        <x:v>2010-09</x:v>
      </x:c>
      <x:c r="C51" s="2" t="n">
        <x:v>243</x:v>
      </x:c>
      <x:c r="D51" s="2" t="n">
        <x:v>243</x:v>
      </x:c>
      <x:c r="E51" s="2" t="n">
        <x:v>55</x:v>
      </x:c>
      <x:c r="F51" s="2" t="n">
        <x:v>57</x:v>
      </x:c>
      <x:c r="G51" s="2" t="n">
        <x:v>30</x:v>
      </x:c>
      <x:c r="H51" s="2" t="n">
        <x:v>22</x:v>
      </x:c>
      <x:c r="I51" s="2" t="n">
        <x:v>25</x:v>
      </x:c>
      <x:c r="J51" s="2" t="n">
        <x:v>33</x:v>
      </x:c>
      <x:c r="K51" s="2" t="n">
        <x:v>24</x:v>
      </x:c>
      <x:c r="L51" s="2" t="n">
        <x:v>31</x:v>
      </x:c>
      <x:c r="M51" s="2" t="n">
        <x:v>32</x:v>
      </x:c>
      <x:c r="N51" s="2" t="n">
        <x:v>28</x:v>
      </x:c>
      <x:c r="O51" s="2" t="n">
        <x:v>24</x:v>
      </x:c>
      <x:c r="P51" s="2" t="n">
        <x:v>53</x:v>
      </x:c>
      <x:c r="Q51" s="2" t="n">
        <x:v>40</x:v>
      </x:c>
      <x:c r="R51" s="2" t="n">
        <x:v>39</x:v>
      </x:c>
      <x:c r="S51" s="2" t="n">
        <x:v>13</x:v>
      </x:c>
      <x:c r="T51" s="2"/>
      <x:c r="U51" s="2"/>
      <x:c r="V51" s="2"/>
      <x:c r="W51" s="2"/>
      <x:c r="X51" s="2"/>
      <x:c r="Y51" s="2"/>
      <x:c r="Z51" s="2"/>
      <x:c r="AA51" s="2"/>
      <x:c r="AB51" s="2"/>
    </x:row>
    <x:row r="52" ht="22" customHeight="1">
      <x:c r="A52" s="2"/>
      <x:c r="B52" s="2" t="str">
        <x:v>2010-10</x:v>
      </x:c>
      <x:c r="C52" s="2" t="n">
        <x:v>377</x:v>
      </x:c>
      <x:c r="D52" s="2" t="n">
        <x:v>377</x:v>
      </x:c>
      <x:c r="E52" s="2" t="n">
        <x:v>97</x:v>
      </x:c>
      <x:c r="F52" s="2" t="n">
        <x:v>55</x:v>
      </x:c>
      <x:c r="G52" s="2" t="n">
        <x:v>47</x:v>
      </x:c>
      <x:c r="H52" s="2" t="n">
        <x:v>33</x:v>
      </x:c>
      <x:c r="I52" s="2" t="n">
        <x:v>31</x:v>
      </x:c>
      <x:c r="J52" s="2" t="n">
        <x:v>49</x:v>
      </x:c>
      <x:c r="K52" s="2" t="n">
        <x:v>52</x:v>
      </x:c>
      <x:c r="L52" s="2" t="n">
        <x:v>40</x:v>
      </x:c>
      <x:c r="M52" s="2" t="n">
        <x:v>35</x:v>
      </x:c>
      <x:c r="N52" s="2" t="n">
        <x:v>40</x:v>
      </x:c>
      <x:c r="O52" s="2" t="n">
        <x:v>49</x:v>
      </x:c>
      <x:c r="P52" s="2" t="n">
        <x:v>72</x:v>
      </x:c>
      <x:c r="Q52" s="2" t="n">
        <x:v>87</x:v>
      </x:c>
      <x:c r="R52" s="2" t="n">
        <x:v>26</x:v>
      </x:c>
      <x:c r="S52" s="2"/>
      <x:c r="T52" s="2"/>
      <x:c r="U52" s="2"/>
      <x:c r="V52" s="2"/>
      <x:c r="W52" s="2"/>
      <x:c r="X52" s="2"/>
      <x:c r="Y52" s="2"/>
      <x:c r="Z52" s="2"/>
      <x:c r="AA52" s="2"/>
      <x:c r="AB52" s="2"/>
    </x:row>
    <x:row r="53" ht="22" customHeight="1">
      <x:c r="A53" s="2"/>
      <x:c r="B53" s="2" t="str">
        <x:v>2010-11</x:v>
      </x:c>
      <x:c r="C53" s="2" t="n">
        <x:v>325</x:v>
      </x:c>
      <x:c r="D53" s="2" t="n">
        <x:v>325</x:v>
      </x:c>
      <x:c r="E53" s="2" t="n">
        <x:v>57</x:v>
      </x:c>
      <x:c r="F53" s="2" t="n">
        <x:v>30</x:v>
      </x:c>
      <x:c r="G53" s="2" t="n">
        <x:v>31</x:v>
      </x:c>
      <x:c r="H53" s="2" t="n">
        <x:v>25</x:v>
      </x:c>
      <x:c r="I53" s="2" t="n">
        <x:v>28</x:v>
      </x:c>
      <x:c r="J53" s="2" t="n">
        <x:v>42</x:v>
      </x:c>
      <x:c r="K53" s="2" t="n">
        <x:v>32</x:v>
      </x:c>
      <x:c r="L53" s="2" t="n">
        <x:v>28</x:v>
      </x:c>
      <x:c r="M53" s="2" t="n">
        <x:v>29</x:v>
      </x:c>
      <x:c r="N53" s="2" t="n">
        <x:v>36</x:v>
      </x:c>
      <x:c r="O53" s="2" t="n">
        <x:v>47</x:v>
      </x:c>
      <x:c r="P53" s="2" t="n">
        <x:v>83</x:v>
      </x:c>
      <x:c r="Q53" s="2" t="n">
        <x:v>20</x:v>
      </x:c>
      <x:c r="R53" s="2"/>
      <x:c r="S53" s="2"/>
      <x:c r="T53" s="2"/>
      <x:c r="U53" s="2"/>
      <x:c r="V53" s="2"/>
      <x:c r="W53" s="2"/>
      <x:c r="X53" s="2"/>
      <x:c r="Y53" s="2"/>
      <x:c r="Z53" s="2"/>
      <x:c r="AA53" s="2"/>
      <x:c r="AB53" s="2"/>
    </x:row>
    <x:row r="54" ht="22" customHeight="1">
      <x:c r="A54" s="2"/>
      <x:c r="B54" s="2" t="str">
        <x:v>2010-12</x:v>
      </x:c>
      <x:c r="C54" s="2" t="n">
        <x:v>76</x:v>
      </x:c>
      <x:c r="D54" s="2" t="n">
        <x:v>76</x:v>
      </x:c>
      <x:c r="E54" s="2" t="n">
        <x:v>7</x:v>
      </x:c>
      <x:c r="F54" s="2" t="n">
        <x:v>4</x:v>
      </x:c>
      <x:c r="G54" s="2" t="n">
        <x:v>7</x:v>
      </x:c>
      <x:c r="H54" s="2" t="n">
        <x:v>9</x:v>
      </x:c>
      <x:c r="I54" s="2" t="n">
        <x:v>5</x:v>
      </x:c>
      <x:c r="J54" s="2" t="n">
        <x:v>4</x:v>
      </x:c>
      <x:c r="K54" s="2" t="n">
        <x:v>7</x:v>
      </x:c>
      <x:c r="L54" s="2" t="n">
        <x:v>4</x:v>
      </x:c>
      <x:c r="M54" s="2" t="n">
        <x:v>2</x:v>
      </x:c>
      <x:c r="N54" s="2" t="n">
        <x:v>7</x:v>
      </x:c>
      <x:c r="O54" s="2" t="n">
        <x:v>15</x:v>
      </x:c>
      <x:c r="P54" s="2" t="n">
        <x:v>2</x:v>
      </x:c>
      <x:c r="Q54" s="2"/>
      <x:c r="R54" s="2"/>
      <x:c r="S54" s="2"/>
      <x:c r="T54" s="2"/>
      <x:c r="U54" s="2"/>
      <x:c r="V54" s="2"/>
      <x:c r="W54" s="2"/>
      <x:c r="X54" s="2"/>
      <x:c r="Y54" s="2"/>
      <x:c r="Z54" s="2"/>
      <x:c r="AA54" s="2"/>
      <x:c r="AB54" s="2"/>
    </x:row>
    <x:row r="55" ht="22" customHeight="1">
      <x:c r="A55" s="2"/>
      <x:c r="B55" s="2" t="str">
        <x:v>2011-01</x:v>
      </x:c>
      <x:c r="C55" s="2" t="n">
        <x:v>71</x:v>
      </x:c>
      <x:c r="D55" s="2" t="n">
        <x:v>71</x:v>
      </x:c>
      <x:c r="E55" s="2" t="n">
        <x:v>12</x:v>
      </x:c>
      <x:c r="F55" s="2" t="n">
        <x:v>15</x:v>
      </x:c>
      <x:c r="G55" s="2" t="n">
        <x:v>14</x:v>
      </x:c>
      <x:c r="H55" s="2" t="n">
        <x:v>15</x:v>
      </x:c>
      <x:c r="I55" s="2" t="n">
        <x:v>11</x:v>
      </x:c>
      <x:c r="J55" s="2" t="n">
        <x:v>11</x:v>
      </x:c>
      <x:c r="K55" s="2" t="n">
        <x:v>9</x:v>
      </x:c>
      <x:c r="L55" s="2" t="n">
        <x:v>8</x:v>
      </x:c>
      <x:c r="M55" s="2" t="n">
        <x:v>15</x:v>
      </x:c>
      <x:c r="N55" s="2" t="n">
        <x:v>18</x:v>
      </x:c>
      <x:c r="O55" s="2" t="n">
        <x:v>8</x:v>
      </x:c>
      <x:c r="P55" s="2"/>
      <x:c r="Q55" s="2"/>
      <x:c r="R55" s="2"/>
      <x:c r="S55" s="2"/>
      <x:c r="T55" s="2"/>
      <x:c r="U55" s="2"/>
      <x:c r="V55" s="2"/>
      <x:c r="W55" s="2"/>
      <x:c r="X55" s="2"/>
      <x:c r="Y55" s="2"/>
      <x:c r="Z55" s="2"/>
      <x:c r="AA55" s="2"/>
      <x:c r="AB55" s="2"/>
    </x:row>
    <x:row r="56" ht="22" customHeight="1">
      <x:c r="A56" s="2"/>
      <x:c r="B56" s="2" t="str">
        <x:v>2011-02</x:v>
      </x:c>
      <x:c r="C56" s="2" t="n">
        <x:v>124</x:v>
      </x:c>
      <x:c r="D56" s="2" t="n">
        <x:v>124</x:v>
      </x:c>
      <x:c r="E56" s="2" t="n">
        <x:v>20</x:v>
      </x:c>
      <x:c r="F56" s="2" t="n">
        <x:v>19</x:v>
      </x:c>
      <x:c r="G56" s="2" t="n">
        <x:v>23</x:v>
      </x:c>
      <x:c r="H56" s="2" t="n">
        <x:v>27</x:v>
      </x:c>
      <x:c r="I56" s="2" t="n">
        <x:v>19</x:v>
      </x:c>
      <x:c r="J56" s="2" t="n">
        <x:v>19</x:v>
      </x:c>
      <x:c r="K56" s="2" t="n">
        <x:v>18</x:v>
      </x:c>
      <x:c r="L56" s="2" t="n">
        <x:v>18</x:v>
      </x:c>
      <x:c r="M56" s="2" t="n">
        <x:v>22</x:v>
      </x:c>
      <x:c r="N56" s="2" t="n">
        <x:v>7</x:v>
      </x:c>
      <x:c r="O56" s="2"/>
      <x:c r="P56" s="2"/>
      <x:c r="Q56" s="2"/>
      <x:c r="R56" s="2"/>
      <x:c r="S56" s="2"/>
      <x:c r="T56" s="2"/>
      <x:c r="U56" s="2"/>
      <x:c r="V56" s="2"/>
      <x:c r="W56" s="2"/>
      <x:c r="X56" s="2"/>
      <x:c r="Y56" s="2"/>
      <x:c r="Z56" s="2"/>
      <x:c r="AA56" s="2"/>
      <x:c r="AB56" s="2"/>
    </x:row>
    <x:row r="57" ht="22" customHeight="1">
      <x:c r="A57" s="2"/>
      <x:c r="B57" s="2" t="str">
        <x:v>2011-03</x:v>
      </x:c>
      <x:c r="C57" s="2" t="n">
        <x:v>179</x:v>
      </x:c>
      <x:c r="D57" s="2" t="n">
        <x:v>179</x:v>
      </x:c>
      <x:c r="E57" s="2" t="n">
        <x:v>33</x:v>
      </x:c>
      <x:c r="F57" s="2" t="n">
        <x:v>39</x:v>
      </x:c>
      <x:c r="G57" s="2" t="n">
        <x:v>36</x:v>
      </x:c>
      <x:c r="H57" s="2" t="n">
        <x:v>40</x:v>
      </x:c>
      <x:c r="I57" s="2" t="n">
        <x:v>27</x:v>
      </x:c>
      <x:c r="J57" s="2" t="n">
        <x:v>37</x:v>
      </x:c>
      <x:c r="K57" s="2" t="n">
        <x:v>36</x:v>
      </x:c>
      <x:c r="L57" s="2" t="n">
        <x:v>43</x:v>
      </x:c>
      <x:c r="M57" s="2" t="n">
        <x:v>17</x:v>
      </x:c>
      <x:c r="N57" s="2"/>
      <x:c r="O57" s="2"/>
      <x:c r="P57" s="2"/>
      <x:c r="Q57" s="2"/>
      <x:c r="R57" s="2"/>
      <x:c r="S57" s="2"/>
      <x:c r="T57" s="2"/>
      <x:c r="U57" s="2"/>
      <x:c r="V57" s="2"/>
      <x:c r="W57" s="2"/>
      <x:c r="X57" s="2"/>
      <x:c r="Y57" s="2"/>
      <x:c r="Z57" s="2"/>
      <x:c r="AA57" s="2"/>
      <x:c r="AB57" s="2"/>
    </x:row>
    <x:row r="58" ht="22" customHeight="1">
      <x:c r="A58" s="2"/>
      <x:c r="B58" s="2" t="str">
        <x:v>2011-04</x:v>
      </x:c>
      <x:c r="C58" s="2" t="n">
        <x:v>106</x:v>
      </x:c>
      <x:c r="D58" s="2" t="n">
        <x:v>106</x:v>
      </x:c>
      <x:c r="E58" s="2" t="n">
        <x:v>27</x:v>
      </x:c>
      <x:c r="F58" s="2" t="n">
        <x:v>21</x:v>
      </x:c>
      <x:c r="G58" s="2" t="n">
        <x:v>21</x:v>
      </x:c>
      <x:c r="H58" s="2" t="n">
        <x:v>19</x:v>
      </x:c>
      <x:c r="I58" s="2" t="n">
        <x:v>25</x:v>
      </x:c>
      <x:c r="J58" s="2" t="n">
        <x:v>19</x:v>
      </x:c>
      <x:c r="K58" s="2" t="n">
        <x:v>27</x:v>
      </x:c>
      <x:c r="L58" s="2" t="n">
        <x:v>12</x:v>
      </x:c>
      <x:c r="M58" s="2"/>
      <x:c r="N58" s="2"/>
      <x:c r="O58" s="2"/>
      <x:c r="P58" s="2"/>
      <x:c r="Q58" s="2"/>
      <x:c r="R58" s="2"/>
      <x:c r="S58" s="2"/>
      <x:c r="T58" s="2"/>
      <x:c r="U58" s="2"/>
      <x:c r="V58" s="2"/>
      <x:c r="W58" s="2"/>
      <x:c r="X58" s="2"/>
      <x:c r="Y58" s="2"/>
      <x:c r="Z58" s="2"/>
      <x:c r="AA58" s="2"/>
      <x:c r="AB58" s="2"/>
    </x:row>
    <x:row r="59" ht="22" customHeight="1">
      <x:c r="A59" s="2"/>
      <x:c r="B59" s="2" t="str">
        <x:v>2011-05</x:v>
      </x:c>
      <x:c r="C59" s="2" t="n">
        <x:v>111</x:v>
      </x:c>
      <x:c r="D59" s="2" t="n">
        <x:v>111</x:v>
      </x:c>
      <x:c r="E59" s="2" t="n">
        <x:v>26</x:v>
      </x:c>
      <x:c r="F59" s="2" t="n">
        <x:v>27</x:v>
      </x:c>
      <x:c r="G59" s="2" t="n">
        <x:v>18</x:v>
      </x:c>
      <x:c r="H59" s="2" t="n">
        <x:v>24</x:v>
      </x:c>
      <x:c r="I59" s="2" t="n">
        <x:v>23</x:v>
      </x:c>
      <x:c r="J59" s="2" t="n">
        <x:v>29</x:v>
      </x:c>
      <x:c r="K59" s="2" t="n">
        <x:v>13</x:v>
      </x:c>
      <x:c r="L59" s="2"/>
      <x:c r="M59" s="2"/>
      <x:c r="N59" s="2"/>
      <x:c r="O59" s="2"/>
      <x:c r="P59" s="2"/>
      <x:c r="Q59" s="2"/>
      <x:c r="R59" s="2"/>
      <x:c r="S59" s="2"/>
      <x:c r="T59" s="2"/>
      <x:c r="U59" s="2"/>
      <x:c r="V59" s="2"/>
      <x:c r="W59" s="2"/>
      <x:c r="X59" s="2"/>
      <x:c r="Y59" s="2"/>
      <x:c r="Z59" s="2"/>
      <x:c r="AA59" s="2"/>
      <x:c r="AB59" s="2"/>
    </x:row>
    <x:row r="60" ht="22" customHeight="1">
      <x:c r="A60" s="2"/>
      <x:c r="B60" s="2" t="str">
        <x:v>2011-06</x:v>
      </x:c>
      <x:c r="C60" s="2" t="n">
        <x:v>108</x:v>
      </x:c>
      <x:c r="D60" s="2" t="n">
        <x:v>108</x:v>
      </x:c>
      <x:c r="E60" s="2" t="n">
        <x:v>25</x:v>
      </x:c>
      <x:c r="F60" s="2" t="n">
        <x:v>23</x:v>
      </x:c>
      <x:c r="G60" s="2" t="n">
        <x:v>29</x:v>
      </x:c>
      <x:c r="H60" s="2" t="n">
        <x:v>22</x:v>
      </x:c>
      <x:c r="I60" s="2" t="n">
        <x:v>31</x:v>
      </x:c>
      <x:c r="J60" s="2" t="n">
        <x:v>9</x:v>
      </x:c>
      <x:c r="K60" s="2"/>
      <x:c r="L60" s="2"/>
      <x:c r="M60" s="2"/>
      <x:c r="N60" s="2"/>
      <x:c r="O60" s="2"/>
      <x:c r="P60" s="2"/>
      <x:c r="Q60" s="2"/>
      <x:c r="R60" s="2"/>
      <x:c r="S60" s="2"/>
      <x:c r="T60" s="2"/>
      <x:c r="U60" s="2"/>
      <x:c r="V60" s="2"/>
      <x:c r="W60" s="2"/>
      <x:c r="X60" s="2"/>
      <x:c r="Y60" s="2"/>
      <x:c r="Z60" s="2"/>
      <x:c r="AA60" s="2"/>
      <x:c r="AB60" s="2"/>
    </x:row>
    <x:row r="61" ht="22" customHeight="1">
      <x:c r="A61" s="2"/>
      <x:c r="B61" s="2" t="str">
        <x:v>2011-07</x:v>
      </x:c>
      <x:c r="C61" s="2" t="n">
        <x:v>102</x:v>
      </x:c>
      <x:c r="D61" s="2" t="n">
        <x:v>102</x:v>
      </x:c>
      <x:c r="E61" s="2" t="n">
        <x:v>22</x:v>
      </x:c>
      <x:c r="F61" s="2" t="n">
        <x:v>31</x:v>
      </x:c>
      <x:c r="G61" s="2" t="n">
        <x:v>28</x:v>
      </x:c>
      <x:c r="H61" s="2" t="n">
        <x:v>35</x:v>
      </x:c>
      <x:c r="I61" s="2" t="n">
        <x:v>16</x:v>
      </x:c>
      <x:c r="J61" s="2"/>
      <x:c r="K61" s="2"/>
      <x:c r="L61" s="2"/>
      <x:c r="M61" s="2"/>
      <x:c r="N61" s="2"/>
      <x:c r="O61" s="2"/>
      <x:c r="P61" s="2"/>
      <x:c r="Q61" s="2"/>
      <x:c r="R61" s="2"/>
      <x:c r="S61" s="2"/>
      <x:c r="T61" s="2"/>
      <x:c r="U61" s="2"/>
      <x:c r="V61" s="2"/>
      <x:c r="W61" s="2"/>
      <x:c r="X61" s="2"/>
      <x:c r="Y61" s="2"/>
      <x:c r="Z61" s="2"/>
      <x:c r="AA61" s="2"/>
      <x:c r="AB61" s="2"/>
    </x:row>
    <x:row r="62" ht="22" customHeight="1">
      <x:c r="A62" s="2"/>
      <x:c r="B62" s="2" t="str">
        <x:v>2011-08</x:v>
      </x:c>
      <x:c r="C62" s="2" t="n">
        <x:v>106</x:v>
      </x:c>
      <x:c r="D62" s="2" t="n">
        <x:v>106</x:v>
      </x:c>
      <x:c r="E62" s="2" t="n">
        <x:v>29</x:v>
      </x:c>
      <x:c r="F62" s="2" t="n">
        <x:v>33</x:v>
      </x:c>
      <x:c r="G62" s="2" t="n">
        <x:v>28</x:v>
      </x:c>
      <x:c r="H62" s="2" t="n">
        <x:v>18</x:v>
      </x:c>
      <x:c r="I62" s="2"/>
      <x:c r="J62" s="2"/>
      <x:c r="K62" s="2"/>
      <x:c r="L62" s="2"/>
      <x:c r="M62" s="2"/>
      <x:c r="N62" s="2"/>
      <x:c r="O62" s="2"/>
      <x:c r="P62" s="2"/>
      <x:c r="Q62" s="2"/>
      <x:c r="R62" s="2"/>
      <x:c r="S62" s="2"/>
      <x:c r="T62" s="2"/>
      <x:c r="U62" s="2"/>
      <x:c r="V62" s="2"/>
      <x:c r="W62" s="2"/>
      <x:c r="X62" s="2"/>
      <x:c r="Y62" s="2"/>
      <x:c r="Z62" s="2"/>
      <x:c r="AA62" s="2"/>
      <x:c r="AB62" s="2"/>
    </x:row>
    <x:row r="63" ht="22" customHeight="1">
      <x:c r="A63" s="2"/>
      <x:c r="B63" s="2" t="str">
        <x:v>2011-09</x:v>
      </x:c>
      <x:c r="C63" s="2" t="n">
        <x:v>189</x:v>
      </x:c>
      <x:c r="D63" s="2" t="n">
        <x:v>189</x:v>
      </x:c>
      <x:c r="E63" s="2" t="n">
        <x:v>51</x:v>
      </x:c>
      <x:c r="F63" s="2" t="n">
        <x:v>71</x:v>
      </x:c>
      <x:c r="G63" s="2" t="n">
        <x:v>28</x:v>
      </x:c>
      <x:c r="H63" s="2"/>
      <x:c r="I63" s="2"/>
      <x:c r="J63" s="2"/>
      <x:c r="K63" s="2"/>
      <x:c r="L63" s="2"/>
      <x:c r="M63" s="2"/>
      <x:c r="N63" s="2"/>
      <x:c r="O63" s="2"/>
      <x:c r="P63" s="2"/>
      <x:c r="Q63" s="2"/>
      <x:c r="R63" s="2"/>
      <x:c r="S63" s="2"/>
      <x:c r="T63" s="2"/>
      <x:c r="U63" s="2"/>
      <x:c r="V63" s="2"/>
      <x:c r="W63" s="2"/>
      <x:c r="X63" s="2"/>
      <x:c r="Y63" s="2"/>
      <x:c r="Z63" s="2"/>
      <x:c r="AA63" s="2"/>
      <x:c r="AB63" s="2"/>
    </x:row>
    <x:row r="64" ht="22" customHeight="1">
      <x:c r="A64" s="2"/>
      <x:c r="B64" s="2" t="str">
        <x:v>2011-10</x:v>
      </x:c>
      <x:c r="C64" s="2" t="n">
        <x:v>221</x:v>
      </x:c>
      <x:c r="D64" s="2" t="n">
        <x:v>221</x:v>
      </x:c>
      <x:c r="E64" s="2" t="n">
        <x:v>71</x:v>
      </x:c>
      <x:c r="F64" s="2" t="n">
        <x:v>35</x:v>
      </x:c>
      <x:c r="G64" s="2"/>
      <x:c r="H64" s="2"/>
      <x:c r="I64" s="2"/>
      <x:c r="J64" s="2"/>
      <x:c r="K64" s="2"/>
      <x:c r="L64" s="2"/>
      <x:c r="M64" s="2"/>
      <x:c r="N64" s="2"/>
      <x:c r="O64" s="2"/>
      <x:c r="P64" s="2"/>
      <x:c r="Q64" s="2"/>
      <x:c r="R64" s="2"/>
      <x:c r="S64" s="2"/>
      <x:c r="T64" s="2"/>
      <x:c r="U64" s="2"/>
      <x:c r="V64" s="2"/>
      <x:c r="W64" s="2"/>
      <x:c r="X64" s="2"/>
      <x:c r="Y64" s="2"/>
      <x:c r="Z64" s="2"/>
      <x:c r="AA64" s="2"/>
      <x:c r="AB64" s="2"/>
    </x:row>
    <x:row r="65" ht="22" customHeight="1">
      <x:c r="A65" s="2"/>
      <x:c r="B65" s="2" t="str">
        <x:v>2011-11</x:v>
      </x:c>
      <x:c r="C65" s="2" t="n">
        <x:v>191</x:v>
      </x:c>
      <x:c r="D65" s="2" t="n">
        <x:v>191</x:v>
      </x:c>
      <x:c r="E65" s="2" t="n">
        <x:v>27</x:v>
      </x:c>
      <x:c r="F65" s="2"/>
      <x:c r="G65" s="2"/>
      <x:c r="H65" s="2"/>
      <x:c r="I65" s="2"/>
      <x:c r="J65" s="2"/>
      <x:c r="K65" s="2"/>
      <x:c r="L65" s="2"/>
      <x:c r="M65" s="2"/>
      <x:c r="N65" s="2"/>
      <x:c r="O65" s="2"/>
      <x:c r="P65" s="2"/>
      <x:c r="Q65" s="2"/>
      <x:c r="R65" s="2"/>
      <x:c r="S65" s="2"/>
      <x:c r="T65" s="2"/>
      <x:c r="U65" s="2"/>
      <x:c r="V65" s="2"/>
      <x:c r="W65" s="2"/>
      <x:c r="X65" s="2"/>
      <x:c r="Y65" s="2"/>
      <x:c r="Z65" s="2"/>
      <x:c r="AA65" s="2"/>
      <x:c r="AB65" s="2"/>
    </x:row>
    <x:row r="66" ht="22" customHeight="1">
      <x:c r="A66" s="2"/>
      <x:c r="B66" s="2" t="str">
        <x:v>2011-12</x:v>
      </x:c>
      <x:c r="C66" s="2" t="n">
        <x:v>28</x:v>
      </x:c>
      <x:c r="D66" s="2" t="n">
        <x:v>28</x:v>
      </x:c>
      <x:c r="E66" s="2"/>
      <x:c r="F66" s="2"/>
      <x:c r="G66" s="2"/>
      <x:c r="H66" s="2"/>
      <x:c r="I66" s="2"/>
      <x:c r="J66" s="2"/>
      <x:c r="K66" s="2"/>
      <x:c r="L66" s="2"/>
      <x:c r="M66" s="2"/>
      <x:c r="N66" s="2"/>
      <x:c r="O66" s="2"/>
      <x:c r="P66" s="2"/>
      <x:c r="Q66" s="2"/>
      <x:c r="R66" s="2"/>
      <x:c r="S66" s="2"/>
      <x:c r="T66" s="2"/>
      <x:c r="U66" s="2"/>
      <x:c r="V66" s="2"/>
      <x:c r="W66" s="2"/>
      <x:c r="X66" s="2"/>
      <x:c r="Y66" s="2"/>
      <x:c r="Z66" s="2"/>
      <x:c r="AA66" s="2"/>
      <x:c r="AB66" s="2"/>
    </x:row>
    <x:row r="67" ht="23" customHeight="1">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c r="AA67" s="2"/>
      <x:c r="AB67" s="2"/>
    </x:row>
    <x:row r="68" ht="23" customHeight="1">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c r="AA68" s="2"/>
      <x:c r="AB68" s="2"/>
    </x:row>
    <x:row r="69" ht="23" customHeight="1">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c r="AA69" s="2"/>
      <x:c r="AB69" s="2"/>
    </x:row>
    <x:row r="70" ht="23" customHeight="1">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c r="AA70" s="2"/>
      <x:c r="AB70" s="2"/>
    </x:row>
  </x:sheetData>
  <x:mergeCells>
    <x:mergeCell ref="B2:AB3"/>
    <x:mergeCell ref="B4:AB4"/>
    <x:mergeCell ref="B6:AB8"/>
  </x:mergeCells>
  <x:conditionalFormatting sqref="D11:AB35">
    <x:cfRule type="colorScale" priority="1">
      <x:colorScale>
        <x:cfvo type="num" val="0"/>
        <x:cfvo type="num" val="0.5"/>
        <x:cfvo type="num" val="1"/>
        <x:color rgb="FFF2F6F8"/>
        <x:color rgb="FF98CDD0"/>
        <x:color rgb="FF197C85"/>
      </x:colorScale>
    </x:cfRule>
  </x:conditionalFormatting>
  <x:pageMargins left="0.7" right="0.7" top="0.75" bottom="0.75" header="0.3" footer="0.3"/>
  <x:tableParts count="2">
    <x:tablePart xmlns:r="http://schemas.openxmlformats.org/officeDocument/2006/relationships" r:id="R2ddd6c39692c4f72"/>
    <x:tablePart xmlns:r="http://schemas.openxmlformats.org/officeDocument/2006/relationships" r:id="Re5305c4f9ef949ea"/>
  </x:tableParts>
</x:worksheet>
</file>

<file path=xl/worksheets/sheet6.xml><?xml version="1.0" encoding="utf-8"?>
<x:worksheet xmlns:x="http://schemas.openxmlformats.org/spreadsheetml/2006/main">
  <x:sheetPr>
    <x:tabColor rgb="FF20364D"/>
  </x:sheetPr>
  <x:sheetViews>
    <x:sheetView showGridLines="0" workbookViewId="0"/>
  </x:sheetViews>
  <x:sheetFormatPr defaultRowHeight="15"/>
  <x:cols>
    <x:col min="1" max="1" width="3" hidden="0" customWidth="1"/>
    <x:col min="2" max="2" width="28" hidden="0" customWidth="1"/>
    <x:col min="3" max="3" width="19" hidden="0" customWidth="1"/>
    <x:col min="4" max="4" width="19" hidden="0" customWidth="1"/>
    <x:col min="5" max="5" width="19"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s>
  <x:sheetData>
    <x:row r="1" ht="23" customHeight="1">
      <x:c r="A1" s="2"/>
      <x:c r="B1" s="2"/>
      <x:c r="C1" s="2"/>
      <x:c r="D1" s="2"/>
      <x:c r="E1" s="2"/>
      <x:c r="F1" s="2"/>
      <x:c r="G1" s="2"/>
      <x:c r="H1" s="2"/>
      <x:c r="I1" s="2"/>
      <x:c r="J1" s="2"/>
      <x:c r="K1" s="2"/>
      <x:c r="L1" s="2"/>
    </x:row>
    <x:row r="2" ht="23" customHeight="1">
      <x:c r="A2" s="2"/>
      <x:c r="B2" s="4" t="str">
        <x:v>Country performance</x:v>
      </x:c>
      <x:c r="C2" s="4" t="str">
        <x:v>Country performance</x:v>
      </x:c>
      <x:c r="D2" s="4" t="str">
        <x:v>Country performance</x:v>
      </x:c>
      <x:c r="E2" s="4" t="str">
        <x:v>Country performance</x:v>
      </x:c>
      <x:c r="F2" s="4" t="str">
        <x:v>Country performance</x:v>
      </x:c>
      <x:c r="G2" s="4" t="str">
        <x:v>Country performance</x:v>
      </x:c>
      <x:c r="H2" s="4" t="str">
        <x:v>Country performance</x:v>
      </x:c>
      <x:c r="I2" s="4" t="str">
        <x:v>Country performance</x:v>
      </x:c>
      <x:c r="J2" s="4" t="str">
        <x:v>Country performance</x:v>
      </x:c>
      <x:c r="K2" s="4" t="str">
        <x:v>Country performance</x:v>
      </x:c>
      <x:c r="L2" s="4" t="str">
        <x:v>Country performance</x:v>
      </x:c>
    </x:row>
    <x:row r="3" ht="23" customHeight="1">
      <x:c r="A3" s="2"/>
      <x:c r="B3" s="5" t="str">
        <x:v>Country performance</x:v>
      </x:c>
      <x:c r="C3" s="5" t="str">
        <x:v>Country performance</x:v>
      </x:c>
      <x:c r="D3" s="5" t="str">
        <x:v>Country performance</x:v>
      </x:c>
      <x:c r="E3" s="5" t="str">
        <x:v>Country performance</x:v>
      </x:c>
      <x:c r="F3" s="5" t="str">
        <x:v>Country performance</x:v>
      </x:c>
      <x:c r="G3" s="5" t="str">
        <x:v>Country performance</x:v>
      </x:c>
      <x:c r="H3" s="5" t="str">
        <x:v>Country performance</x:v>
      </x:c>
      <x:c r="I3" s="5" t="str">
        <x:v>Country performance</x:v>
      </x:c>
      <x:c r="J3" s="5" t="str">
        <x:v>Country performance</x:v>
      </x:c>
      <x:c r="K3" s="5" t="str">
        <x:v>Country performance</x:v>
      </x:c>
      <x:c r="L3" s="5" t="str">
        <x:v>Country performance</x:v>
      </x:c>
    </x:row>
    <x:row r="4" ht="23" customHeight="1">
      <x:c r="A4" s="2"/>
      <x:c r="B4" s="7" t="str">
        <x:v>Customer residence countries. Full observed period; GBP.</x:v>
      </x:c>
      <x:c r="C4" s="7" t="str">
        <x:v>Customer residence countries. Full observed period; GBP.</x:v>
      </x:c>
      <x:c r="D4" s="7" t="str">
        <x:v>Customer residence countries. Full observed period; GBP.</x:v>
      </x:c>
      <x:c r="E4" s="7" t="str">
        <x:v>Customer residence countries. Full observed period; GBP.</x:v>
      </x:c>
      <x:c r="F4" s="7" t="str">
        <x:v>Customer residence countries. Full observed period; GBP.</x:v>
      </x:c>
      <x:c r="G4" s="7" t="str">
        <x:v>Customer residence countries. Full observed period; GBP.</x:v>
      </x:c>
      <x:c r="H4" s="7" t="str">
        <x:v>Customer residence countries. Full observed period; GBP.</x:v>
      </x:c>
      <x:c r="I4" s="7" t="str">
        <x:v>Customer residence countries. Full observed period; GBP.</x:v>
      </x:c>
      <x:c r="J4" s="7" t="str">
        <x:v>Customer residence countries. Full observed period; GBP.</x:v>
      </x:c>
      <x:c r="K4" s="7" t="str">
        <x:v>Customer residence countries. Full observed period; GBP.</x:v>
      </x:c>
      <x:c r="L4" s="7" t="str">
        <x:v>Customer residence countries. Full observed period; GBP.</x:v>
      </x:c>
    </x:row>
    <x:row r="5" ht="23" customHeight="1">
      <x:c r="A5" s="2"/>
      <x:c r="B5" s="2"/>
      <x:c r="C5" s="2"/>
      <x:c r="D5" s="2"/>
      <x:c r="E5" s="2"/>
      <x:c r="F5" s="2"/>
      <x:c r="G5" s="2"/>
      <x:c r="H5" s="2"/>
      <x:c r="I5" s="2"/>
      <x:c r="J5" s="2"/>
      <x:c r="K5" s="2"/>
      <x:c r="L5" s="2"/>
    </x:row>
    <x:row r="6" ht="23" customHeight="1">
      <x:c r="A6" s="2"/>
      <x:c r="B6" s="2"/>
      <x:c r="C6" s="2"/>
      <x:c r="D6" s="2"/>
      <x:c r="E6" s="2"/>
      <x:c r="F6" s="2"/>
      <x:c r="G6" s="2"/>
      <x:c r="H6" s="2"/>
      <x:c r="I6" s="2"/>
      <x:c r="J6" s="2"/>
      <x:c r="K6" s="2"/>
      <x:c r="L6" s="2"/>
    </x:row>
    <x:row r="7" ht="34" customHeight="1">
      <x:c r="A7" s="2"/>
      <x:c r="B7" s="10" t="str">
        <x:v>Country</x:v>
      </x:c>
      <x:c r="C7" s="10" t="str">
        <x:v>Net sales</x:v>
      </x:c>
      <x:c r="D7" s="2"/>
      <x:c r="E7" s="2"/>
      <x:c r="F7" s="2"/>
      <x:c r="G7" s="2"/>
      <x:c r="H7" s="2"/>
      <x:c r="I7" s="2"/>
      <x:c r="J7" s="2"/>
      <x:c r="K7" s="2"/>
      <x:c r="L7" s="2"/>
    </x:row>
    <x:row r="8" ht="22" customHeight="1">
      <x:c r="A8" s="2"/>
      <x:c r="B8" s="2" t="str">
        <x:v>EIRE</x:v>
      </x:c>
      <x:c r="C8" s="11" t="n">
        <x:v>610244.27</x:v>
      </x:c>
      <x:c r="D8" s="2"/>
      <x:c r="E8" s="2"/>
      <x:c r="F8" s="2"/>
      <x:c r="G8" s="2"/>
      <x:c r="H8" s="2"/>
      <x:c r="I8" s="2"/>
      <x:c r="J8" s="2"/>
      <x:c r="K8" s="2"/>
      <x:c r="L8" s="2"/>
    </x:row>
    <x:row r="9" ht="22" customHeight="1">
      <x:c r="A9" s="2"/>
      <x:c r="B9" s="2" t="str">
        <x:v>Netherlands</x:v>
      </x:c>
      <x:c r="C9" s="11" t="n">
        <x:v>548332.35</x:v>
      </x:c>
      <x:c r="D9" s="2"/>
      <x:c r="E9" s="2"/>
      <x:c r="F9" s="2"/>
      <x:c r="G9" s="2"/>
      <x:c r="H9" s="2"/>
      <x:c r="I9" s="2"/>
      <x:c r="J9" s="2"/>
      <x:c r="K9" s="2"/>
      <x:c r="L9" s="2"/>
    </x:row>
    <x:row r="10" ht="22" customHeight="1">
      <x:c r="A10" s="2"/>
      <x:c r="B10" s="2" t="str">
        <x:v>Germany</x:v>
      </x:c>
      <x:c r="C10" s="11" t="n">
        <x:v>412517.831</x:v>
      </x:c>
      <x:c r="D10" s="2"/>
      <x:c r="E10" s="2"/>
      <x:c r="F10" s="2"/>
      <x:c r="G10" s="2"/>
      <x:c r="H10" s="2"/>
      <x:c r="I10" s="2"/>
      <x:c r="J10" s="2"/>
      <x:c r="K10" s="2"/>
      <x:c r="L10" s="2"/>
    </x:row>
    <x:row r="11" ht="22" customHeight="1">
      <x:c r="A11" s="2"/>
      <x:c r="B11" s="2" t="str">
        <x:v>France</x:v>
      </x:c>
      <x:c r="C11" s="11" t="n">
        <x:v>321928.53</x:v>
      </x:c>
      <x:c r="D11" s="2"/>
      <x:c r="E11" s="2"/>
      <x:c r="F11" s="2"/>
      <x:c r="G11" s="2"/>
      <x:c r="H11" s="2"/>
      <x:c r="I11" s="2"/>
      <x:c r="J11" s="2"/>
      <x:c r="K11" s="2"/>
      <x:c r="L11" s="2"/>
    </x:row>
    <x:row r="12" ht="22" customHeight="1">
      <x:c r="A12" s="2"/>
      <x:c r="B12" s="2" t="str">
        <x:v>Australia</x:v>
      </x:c>
      <x:c r="C12" s="11" t="n">
        <x:v>166511.92</x:v>
      </x:c>
      <x:c r="D12" s="2"/>
      <x:c r="E12" s="2"/>
      <x:c r="F12" s="2"/>
      <x:c r="G12" s="2"/>
      <x:c r="H12" s="2"/>
      <x:c r="I12" s="2"/>
      <x:c r="J12" s="2"/>
      <x:c r="K12" s="2"/>
      <x:c r="L12" s="2"/>
    </x:row>
    <x:row r="13" ht="22" customHeight="1">
      <x:c r="A13" s="2"/>
      <x:c r="B13" s="2" t="str">
        <x:v>Switzerland</x:v>
      </x:c>
      <x:c r="C13" s="11" t="n">
        <x:v>99425.36</x:v>
      </x:c>
      <x:c r="D13" s="2"/>
      <x:c r="E13" s="2"/>
      <x:c r="F13" s="2"/>
      <x:c r="G13" s="2"/>
      <x:c r="H13" s="2"/>
      <x:c r="I13" s="2"/>
      <x:c r="J13" s="2"/>
      <x:c r="K13" s="2"/>
      <x:c r="L13" s="2"/>
    </x:row>
    <x:row r="14" ht="22" customHeight="1">
      <x:c r="A14" s="2"/>
      <x:c r="B14" s="2" t="str">
        <x:v>Spain</x:v>
      </x:c>
      <x:c r="C14" s="11" t="n">
        <x:v>91064.76</x:v>
      </x:c>
      <x:c r="D14" s="2"/>
      <x:c r="E14" s="2"/>
      <x:c r="F14" s="2"/>
      <x:c r="G14" s="2"/>
      <x:c r="H14" s="2"/>
      <x:c r="I14" s="2"/>
      <x:c r="J14" s="2"/>
      <x:c r="K14" s="2"/>
      <x:c r="L14" s="2"/>
    </x:row>
    <x:row r="15" ht="22" customHeight="1">
      <x:c r="A15" s="2"/>
      <x:c r="B15" s="2" t="str">
        <x:v>Sweden</x:v>
      </x:c>
      <x:c r="C15" s="11" t="n">
        <x:v>87809.42</x:v>
      </x:c>
      <x:c r="D15" s="2"/>
      <x:c r="E15" s="2"/>
      <x:c r="F15" s="2"/>
      <x:c r="G15" s="2"/>
      <x:c r="H15" s="2"/>
      <x:c r="I15" s="2"/>
      <x:c r="J15" s="2"/>
      <x:c r="K15" s="2"/>
      <x:c r="L15" s="2"/>
    </x:row>
    <x:row r="16" ht="23" customHeight="1">
      <x:c r="A16" s="2"/>
      <x:c r="B16" s="2"/>
      <x:c r="C16" s="2"/>
      <x:c r="D16" s="2"/>
      <x:c r="E16" s="2"/>
      <x:c r="F16" s="2"/>
      <x:c r="G16" s="2"/>
      <x:c r="H16" s="2"/>
      <x:c r="I16" s="2"/>
      <x:c r="J16" s="2"/>
      <x:c r="K16" s="2"/>
      <x:c r="L16" s="2"/>
    </x:row>
    <x:row r="17" ht="23" customHeight="1">
      <x:c r="A17" s="2"/>
      <x:c r="B17" s="2"/>
      <x:c r="C17" s="2"/>
      <x:c r="D17" s="2"/>
      <x:c r="E17" s="2"/>
      <x:c r="F17" s="2"/>
      <x:c r="G17" s="2"/>
      <x:c r="H17" s="2"/>
      <x:c r="I17" s="2"/>
      <x:c r="J17" s="2"/>
      <x:c r="K17" s="2"/>
      <x:c r="L17" s="2"/>
    </x:row>
    <x:row r="18" ht="23" customHeight="1">
      <x:c r="A18" s="2"/>
      <x:c r="B18" s="7" t="str">
        <x:v>UK share of net sales</x:v>
      </x:c>
      <x:c r="C18" s="7" t="str">
        <x:v>UK share of net sales</x:v>
      </x:c>
      <x:c r="D18" s="7" t="str">
        <x:v>UK share of net sales</x:v>
      </x:c>
      <x:c r="E18" s="2"/>
      <x:c r="F18" s="2"/>
      <x:c r="G18" s="2"/>
      <x:c r="H18" s="2"/>
      <x:c r="I18" s="2"/>
      <x:c r="J18" s="2"/>
      <x:c r="K18" s="2"/>
      <x:c r="L18" s="2"/>
    </x:row>
    <x:row r="19" ht="23" customHeight="1">
      <x:c r="A19" s="2"/>
      <x:c r="B19" s="24" t="n">
        <x:f>SUMIF(B33:B75,"United Kingdom",E33:E75)/SUM(E33:E75)</x:f>
        <x:v>0.8494227516466524</x:v>
      </x:c>
      <x:c r="C19" s="2"/>
      <x:c r="D19" s="2"/>
      <x:c r="E19" s="2"/>
      <x:c r="F19" s="2"/>
      <x:c r="G19" s="2"/>
      <x:c r="H19" s="2"/>
      <x:c r="I19" s="2"/>
      <x:c r="J19" s="2"/>
      <x:c r="K19" s="2"/>
      <x:c r="L19" s="2"/>
    </x:row>
    <x:row r="20" ht="23" customHeight="1">
      <x:c r="A20" s="2"/>
      <x:c r="B20" s="2"/>
      <x:c r="C20" s="2"/>
      <x:c r="D20" s="2"/>
      <x:c r="E20" s="2"/>
      <x:c r="F20" s="2"/>
      <x:c r="G20" s="2"/>
      <x:c r="H20" s="2"/>
      <x:c r="I20" s="2"/>
      <x:c r="J20" s="2"/>
      <x:c r="K20" s="2"/>
      <x:c r="L20" s="2"/>
    </x:row>
    <x:row r="21" ht="23" customHeight="1">
      <x:c r="A21" s="2"/>
      <x:c r="B21" s="2"/>
      <x:c r="C21" s="2"/>
      <x:c r="D21" s="2"/>
      <x:c r="E21" s="2"/>
      <x:c r="F21" s="2"/>
      <x:c r="G21" s="2"/>
      <x:c r="H21" s="2"/>
      <x:c r="I21" s="2"/>
      <x:c r="J21" s="2"/>
      <x:c r="K21" s="2"/>
      <x:c r="L21" s="2"/>
    </x:row>
    <x:row r="22" ht="23" customHeight="1">
      <x:c r="A22" s="2"/>
      <x:c r="B22" s="2"/>
      <x:c r="C22" s="2"/>
      <x:c r="D22" s="2"/>
      <x:c r="E22" s="2"/>
      <x:c r="F22" s="2"/>
      <x:c r="G22" s="2"/>
      <x:c r="H22" s="2"/>
      <x:c r="I22" s="2"/>
      <x:c r="J22" s="2"/>
      <x:c r="K22" s="2"/>
      <x:c r="L22" s="2"/>
    </x:row>
    <x:row r="23" ht="23" customHeight="1">
      <x:c r="A23" s="2"/>
      <x:c r="B23" s="2"/>
      <x:c r="C23" s="2"/>
      <x:c r="D23" s="2"/>
      <x:c r="E23" s="2"/>
      <x:c r="F23" s="2"/>
      <x:c r="G23" s="2"/>
      <x:c r="H23" s="2"/>
      <x:c r="I23" s="2"/>
      <x:c r="J23" s="2"/>
      <x:c r="K23" s="2"/>
      <x:c r="L23" s="2"/>
    </x:row>
    <x:row r="24" ht="23" customHeight="1">
      <x:c r="A24" s="2"/>
      <x:c r="B24" s="2"/>
      <x:c r="C24" s="2"/>
      <x:c r="D24" s="2"/>
      <x:c r="E24" s="2"/>
      <x:c r="F24" s="2"/>
      <x:c r="G24" s="2"/>
      <x:c r="H24" s="2"/>
      <x:c r="I24" s="2"/>
      <x:c r="J24" s="2"/>
      <x:c r="K24" s="2"/>
      <x:c r="L24" s="2"/>
    </x:row>
    <x:row r="25" ht="23" customHeight="1">
      <x:c r="A25" s="2"/>
      <x:c r="B25" s="15" t="str">
        <x:v>The UK is excluded from the chart so smaller markets remain legible; it is included in the full table and every total. Country-level customer counts are not additive because a customer can buy from multiple countries. Orders are positive purchase invoices.</x:v>
      </x:c>
      <x:c r="C25" s="15" t="str">
        <x:v>The UK is excluded from the chart so smaller markets remain legible; it is included in the full table and every total. Country-level customer counts are not additive because a customer can buy from multiple countries. Orders are positive purchase invoices.</x:v>
      </x:c>
      <x:c r="D25" s="15" t="str">
        <x:v>The UK is excluded from the chart so smaller markets remain legible; it is included in the full table and every total. Country-level customer counts are not additive because a customer can buy from multiple countries. Orders are positive purchase invoices.</x:v>
      </x:c>
      <x:c r="E25" s="15" t="str">
        <x:v>The UK is excluded from the chart so smaller markets remain legible; it is included in the full table and every total. Country-level customer counts are not additive because a customer can buy from multiple countries. Orders are positive purchase invoices.</x:v>
      </x:c>
      <x:c r="F25" s="15" t="str">
        <x:v>The UK is excluded from the chart so smaller markets remain legible; it is included in the full table and every total. Country-level customer counts are not additive because a customer can buy from multiple countries. Orders are positive purchase invoices.</x:v>
      </x:c>
      <x:c r="G25" s="15" t="str">
        <x:v>The UK is excluded from the chart so smaller markets remain legible; it is included in the full table and every total. Country-level customer counts are not additive because a customer can buy from multiple countries. Orders are positive purchase invoices.</x:v>
      </x:c>
      <x:c r="H25" s="15" t="str">
        <x:v>The UK is excluded from the chart so smaller markets remain legible; it is included in the full table and every total. Country-level customer counts are not additive because a customer can buy from multiple countries. Orders are positive purchase invoices.</x:v>
      </x:c>
      <x:c r="I25" s="15" t="str">
        <x:v>The UK is excluded from the chart so smaller markets remain legible; it is included in the full table and every total. Country-level customer counts are not additive because a customer can buy from multiple countries. Orders are positive purchase invoices.</x:v>
      </x:c>
      <x:c r="J25" s="15" t="str">
        <x:v>The UK is excluded from the chart so smaller markets remain legible; it is included in the full table and every total. Country-level customer counts are not additive because a customer can buy from multiple countries. Orders are positive purchase invoices.</x:v>
      </x:c>
      <x:c r="K25" s="15" t="str">
        <x:v>The UK is excluded from the chart so smaller markets remain legible; it is included in the full table and every total. Country-level customer counts are not additive because a customer can buy from multiple countries. Orders are positive purchase invoices.</x:v>
      </x:c>
      <x:c r="L25" s="15" t="str">
        <x:v>The UK is excluded from the chart so smaller markets remain legible; it is included in the full table and every total. Country-level customer counts are not additive because a customer can buy from multiple countries. Orders are positive purchase invoices.</x:v>
      </x:c>
    </x:row>
    <x:row r="26" ht="23" customHeight="1">
      <x:c r="A26" s="2"/>
      <x:c r="B26" s="15" t="str">
        <x:v>The UK is excluded from the chart so smaller markets remain legible; it is included in the full table and every total. Country-level customer counts are not additive because a customer can buy from multiple countries. Orders are positive purchase invoices.</x:v>
      </x:c>
      <x:c r="C26" s="15" t="str">
        <x:v>The UK is excluded from the chart so smaller markets remain legible; it is included in the full table and every total. Country-level customer counts are not additive because a customer can buy from multiple countries. Orders are positive purchase invoices.</x:v>
      </x:c>
      <x:c r="D26" s="15" t="str">
        <x:v>The UK is excluded from the chart so smaller markets remain legible; it is included in the full table and every total. Country-level customer counts are not additive because a customer can buy from multiple countries. Orders are positive purchase invoices.</x:v>
      </x:c>
      <x:c r="E26" s="15" t="str">
        <x:v>The UK is excluded from the chart so smaller markets remain legible; it is included in the full table and every total. Country-level customer counts are not additive because a customer can buy from multiple countries. Orders are positive purchase invoices.</x:v>
      </x:c>
      <x:c r="F26" s="15" t="str">
        <x:v>The UK is excluded from the chart so smaller markets remain legible; it is included in the full table and every total. Country-level customer counts are not additive because a customer can buy from multiple countries. Orders are positive purchase invoices.</x:v>
      </x:c>
      <x:c r="G26" s="15" t="str">
        <x:v>The UK is excluded from the chart so smaller markets remain legible; it is included in the full table and every total. Country-level customer counts are not additive because a customer can buy from multiple countries. Orders are positive purchase invoices.</x:v>
      </x:c>
      <x:c r="H26" s="15" t="str">
        <x:v>The UK is excluded from the chart so smaller markets remain legible; it is included in the full table and every total. Country-level customer counts are not additive because a customer can buy from multiple countries. Orders are positive purchase invoices.</x:v>
      </x:c>
      <x:c r="I26" s="15" t="str">
        <x:v>The UK is excluded from the chart so smaller markets remain legible; it is included in the full table and every total. Country-level customer counts are not additive because a customer can buy from multiple countries. Orders are positive purchase invoices.</x:v>
      </x:c>
      <x:c r="J26" s="15" t="str">
        <x:v>The UK is excluded from the chart so smaller markets remain legible; it is included in the full table and every total. Country-level customer counts are not additive because a customer can buy from multiple countries. Orders are positive purchase invoices.</x:v>
      </x:c>
      <x:c r="K26" s="15" t="str">
        <x:v>The UK is excluded from the chart so smaller markets remain legible; it is included in the full table and every total. Country-level customer counts are not additive because a customer can buy from multiple countries. Orders are positive purchase invoices.</x:v>
      </x:c>
      <x:c r="L26" s="15" t="str">
        <x:v>The UK is excluded from the chart so smaller markets remain legible; it is included in the full table and every total. Country-level customer counts are not additive because a customer can buy from multiple countries. Orders are positive purchase invoices.</x:v>
      </x:c>
    </x:row>
    <x:row r="27" ht="23" customHeight="1">
      <x:c r="A27" s="2"/>
      <x:c r="B27" s="15" t="str">
        <x:v>The UK is excluded from the chart so smaller markets remain legible; it is included in the full table and every total. Country-level customer counts are not additive because a customer can buy from multiple countries. Orders are positive purchase invoices.</x:v>
      </x:c>
      <x:c r="C27" s="15" t="str">
        <x:v>The UK is excluded from the chart so smaller markets remain legible; it is included in the full table and every total. Country-level customer counts are not additive because a customer can buy from multiple countries. Orders are positive purchase invoices.</x:v>
      </x:c>
      <x:c r="D27" s="15" t="str">
        <x:v>The UK is excluded from the chart so smaller markets remain legible; it is included in the full table and every total. Country-level customer counts are not additive because a customer can buy from multiple countries. Orders are positive purchase invoices.</x:v>
      </x:c>
      <x:c r="E27" s="15" t="str">
        <x:v>The UK is excluded from the chart so smaller markets remain legible; it is included in the full table and every total. Country-level customer counts are not additive because a customer can buy from multiple countries. Orders are positive purchase invoices.</x:v>
      </x:c>
      <x:c r="F27" s="15" t="str">
        <x:v>The UK is excluded from the chart so smaller markets remain legible; it is included in the full table and every total. Country-level customer counts are not additive because a customer can buy from multiple countries. Orders are positive purchase invoices.</x:v>
      </x:c>
      <x:c r="G27" s="15" t="str">
        <x:v>The UK is excluded from the chart so smaller markets remain legible; it is included in the full table and every total. Country-level customer counts are not additive because a customer can buy from multiple countries. Orders are positive purchase invoices.</x:v>
      </x:c>
      <x:c r="H27" s="15" t="str">
        <x:v>The UK is excluded from the chart so smaller markets remain legible; it is included in the full table and every total. Country-level customer counts are not additive because a customer can buy from multiple countries. Orders are positive purchase invoices.</x:v>
      </x:c>
      <x:c r="I27" s="15" t="str">
        <x:v>The UK is excluded from the chart so smaller markets remain legible; it is included in the full table and every total. Country-level customer counts are not additive because a customer can buy from multiple countries. Orders are positive purchase invoices.</x:v>
      </x:c>
      <x:c r="J27" s="15" t="str">
        <x:v>The UK is excluded from the chart so smaller markets remain legible; it is included in the full table and every total. Country-level customer counts are not additive because a customer can buy from multiple countries. Orders are positive purchase invoices.</x:v>
      </x:c>
      <x:c r="K27" s="15" t="str">
        <x:v>The UK is excluded from the chart so smaller markets remain legible; it is included in the full table and every total. Country-level customer counts are not additive because a customer can buy from multiple countries. Orders are positive purchase invoices.</x:v>
      </x:c>
      <x:c r="L27" s="15" t="str">
        <x:v>The UK is excluded from the chart so smaller markets remain legible; it is included in the full table and every total. Country-level customer counts are not additive because a customer can buy from multiple countries. Orders are positive purchase invoices.</x:v>
      </x:c>
    </x:row>
    <x:row r="28" ht="23" customHeight="1">
      <x:c r="A28" s="2"/>
      <x:c r="B28" s="15" t="str">
        <x:v>The UK is excluded from the chart so smaller markets remain legible; it is included in the full table and every total. Country-level customer counts are not additive because a customer can buy from multiple countries. Orders are positive purchase invoices.</x:v>
      </x:c>
      <x:c r="C28" s="15" t="str">
        <x:v>The UK is excluded from the chart so smaller markets remain legible; it is included in the full table and every total. Country-level customer counts are not additive because a customer can buy from multiple countries. Orders are positive purchase invoices.</x:v>
      </x:c>
      <x:c r="D28" s="15" t="str">
        <x:v>The UK is excluded from the chart so smaller markets remain legible; it is included in the full table and every total. Country-level customer counts are not additive because a customer can buy from multiple countries. Orders are positive purchase invoices.</x:v>
      </x:c>
      <x:c r="E28" s="15" t="str">
        <x:v>The UK is excluded from the chart so smaller markets remain legible; it is included in the full table and every total. Country-level customer counts are not additive because a customer can buy from multiple countries. Orders are positive purchase invoices.</x:v>
      </x:c>
      <x:c r="F28" s="15" t="str">
        <x:v>The UK is excluded from the chart so smaller markets remain legible; it is included in the full table and every total. Country-level customer counts are not additive because a customer can buy from multiple countries. Orders are positive purchase invoices.</x:v>
      </x:c>
      <x:c r="G28" s="15" t="str">
        <x:v>The UK is excluded from the chart so smaller markets remain legible; it is included in the full table and every total. Country-level customer counts are not additive because a customer can buy from multiple countries. Orders are positive purchase invoices.</x:v>
      </x:c>
      <x:c r="H28" s="15" t="str">
        <x:v>The UK is excluded from the chart so smaller markets remain legible; it is included in the full table and every total. Country-level customer counts are not additive because a customer can buy from multiple countries. Orders are positive purchase invoices.</x:v>
      </x:c>
      <x:c r="I28" s="15" t="str">
        <x:v>The UK is excluded from the chart so smaller markets remain legible; it is included in the full table and every total. Country-level customer counts are not additive because a customer can buy from multiple countries. Orders are positive purchase invoices.</x:v>
      </x:c>
      <x:c r="J28" s="15" t="str">
        <x:v>The UK is excluded from the chart so smaller markets remain legible; it is included in the full table and every total. Country-level customer counts are not additive because a customer can buy from multiple countries. Orders are positive purchase invoices.</x:v>
      </x:c>
      <x:c r="K28" s="15" t="str">
        <x:v>The UK is excluded from the chart so smaller markets remain legible; it is included in the full table and every total. Country-level customer counts are not additive because a customer can buy from multiple countries. Orders are positive purchase invoices.</x:v>
      </x:c>
      <x:c r="L28" s="15" t="str">
        <x:v>The UK is excluded from the chart so smaller markets remain legible; it is included in the full table and every total. Country-level customer counts are not additive because a customer can buy from multiple countries. Orders are positive purchase invoices.</x:v>
      </x:c>
    </x:row>
    <x:row r="29" ht="23" customHeight="1">
      <x:c r="A29" s="2"/>
      <x:c r="B29" s="2"/>
      <x:c r="C29" s="2"/>
      <x:c r="D29" s="2"/>
      <x:c r="E29" s="2"/>
      <x:c r="F29" s="2"/>
      <x:c r="G29" s="2"/>
      <x:c r="H29" s="2"/>
      <x:c r="I29" s="2"/>
      <x:c r="J29" s="2"/>
      <x:c r="K29" s="2"/>
      <x:c r="L29" s="2"/>
    </x:row>
    <x:row r="30" ht="23" customHeight="1">
      <x:c r="A30" s="2"/>
      <x:c r="B30" s="2"/>
      <x:c r="C30" s="2"/>
      <x:c r="D30" s="2"/>
      <x:c r="E30" s="2"/>
      <x:c r="F30" s="2"/>
      <x:c r="G30" s="2"/>
      <x:c r="H30" s="2"/>
      <x:c r="I30" s="2"/>
      <x:c r="J30" s="2"/>
      <x:c r="K30" s="2"/>
      <x:c r="L30" s="2"/>
    </x:row>
    <x:row r="31" ht="23" customHeight="1">
      <x:c r="A31" s="2"/>
      <x:c r="B31" s="2"/>
      <x:c r="C31" s="2"/>
      <x:c r="D31" s="2"/>
      <x:c r="E31" s="2"/>
      <x:c r="F31" s="2"/>
      <x:c r="G31" s="2"/>
      <x:c r="H31" s="2"/>
      <x:c r="I31" s="2"/>
      <x:c r="J31" s="2"/>
      <x:c r="K31" s="2"/>
      <x:c r="L31" s="2"/>
    </x:row>
    <x:row r="32" ht="34" customHeight="1">
      <x:c r="A32" s="2"/>
      <x:c r="B32" s="10" t="str">
        <x:v>Country</x:v>
      </x:c>
      <x:c r="C32" s="10" t="str">
        <x:v>Gross sales</x:v>
      </x:c>
      <x:c r="D32" s="10" t="str">
        <x:v>Returns</x:v>
      </x:c>
      <x:c r="E32" s="10" t="str">
        <x:v>Net sales</x:v>
      </x:c>
      <x:c r="F32" s="10" t="str">
        <x:v>Orders</x:v>
      </x:c>
      <x:c r="G32" s="10" t="str">
        <x:v>Customers</x:v>
      </x:c>
      <x:c r="H32" s="10" t="str">
        <x:v>Net share</x:v>
      </x:c>
      <x:c r="I32" s="2"/>
      <x:c r="J32" s="2"/>
      <x:c r="K32" s="2"/>
      <x:c r="L32" s="2"/>
    </x:row>
    <x:row r="33" ht="22" customHeight="1">
      <x:c r="A33" s="2"/>
      <x:c r="B33" s="2" t="str">
        <x:v>United Kingdom</x:v>
      </x:c>
      <x:c r="C33" s="11" t="n">
        <x:v>17465896.337</x:v>
      </x:c>
      <x:c r="D33" s="11" t="n">
        <x:v>1269365.68</x:v>
      </x:c>
      <x:c r="E33" s="11" t="n">
        <x:v>16196530.657</x:v>
      </x:c>
      <x:c r="F33" s="2" t="n">
        <x:v>36535</x:v>
      </x:c>
      <x:c r="G33" s="2" t="n">
        <x:v>5350</x:v>
      </x:c>
      <x:c r="H33" s="23" t="n">
        <x:v>0.8494227516466527</x:v>
      </x:c>
      <x:c r="I33" s="2"/>
      <x:c r="J33" s="2"/>
      <x:c r="K33" s="2"/>
      <x:c r="L33" s="2"/>
    </x:row>
    <x:row r="34" ht="22" customHeight="1">
      <x:c r="A34" s="2"/>
      <x:c r="B34" s="2" t="str">
        <x:v>EIRE</x:v>
      </x:c>
      <x:c r="C34" s="11" t="n">
        <x:v>659149</x:v>
      </x:c>
      <x:c r="D34" s="11" t="n">
        <x:v>48904.73</x:v>
      </x:c>
      <x:c r="E34" s="11" t="n">
        <x:v>610244.27</x:v>
      </x:c>
      <x:c r="F34" s="2" t="n">
        <x:v>626</x:v>
      </x:c>
      <x:c r="G34" s="2" t="n">
        <x:v>5</x:v>
      </x:c>
      <x:c r="H34" s="23" t="n">
        <x:v>0.032004098777535066</x:v>
      </x:c>
      <x:c r="I34" s="2"/>
      <x:c r="J34" s="2"/>
      <x:c r="K34" s="2"/>
      <x:c r="L34" s="2"/>
    </x:row>
    <x:row r="35" ht="22" customHeight="1">
      <x:c r="A35" s="2"/>
      <x:c r="B35" s="2" t="str">
        <x:v>Netherlands</x:v>
      </x:c>
      <x:c r="C35" s="11" t="n">
        <x:v>554039.74</x:v>
      </x:c>
      <x:c r="D35" s="11" t="n">
        <x:v>5707.39</x:v>
      </x:c>
      <x:c r="E35" s="11" t="n">
        <x:v>548332.35</x:v>
      </x:c>
      <x:c r="F35" s="2" t="n">
        <x:v>228</x:v>
      </x:c>
      <x:c r="G35" s="2" t="n">
        <x:v>22</x:v>
      </x:c>
      <x:c r="H35" s="23" t="n">
        <x:v>0.028757144564942702</x:v>
      </x:c>
      <x:c r="I35" s="2"/>
      <x:c r="J35" s="2"/>
      <x:c r="K35" s="2"/>
      <x:c r="L35" s="2"/>
    </x:row>
    <x:row r="36" ht="22" customHeight="1">
      <x:c r="A36" s="2"/>
      <x:c r="B36" s="2" t="str">
        <x:v>Germany</x:v>
      </x:c>
      <x:c r="C36" s="11" t="n">
        <x:v>425578.381</x:v>
      </x:c>
      <x:c r="D36" s="11" t="n">
        <x:v>13060.55</x:v>
      </x:c>
      <x:c r="E36" s="11" t="n">
        <x:v>412517.831</x:v>
      </x:c>
      <x:c r="F36" s="2" t="n">
        <x:v>789</x:v>
      </x:c>
      <x:c r="G36" s="2" t="n">
        <x:v>107</x:v>
      </x:c>
      <x:c r="H36" s="23" t="n">
        <x:v>0.021634388162003578</x:v>
      </x:c>
      <x:c r="I36" s="2"/>
      <x:c r="J36" s="2"/>
      <x:c r="K36" s="2"/>
      <x:c r="L36" s="2"/>
    </x:row>
    <x:row r="37" ht="22" customHeight="1">
      <x:c r="A37" s="2"/>
      <x:c r="B37" s="2" t="str">
        <x:v>France</x:v>
      </x:c>
      <x:c r="C37" s="11" t="n">
        <x:v>350654.18</x:v>
      </x:c>
      <x:c r="D37" s="11" t="n">
        <x:v>28725.65</x:v>
      </x:c>
      <x:c r="E37" s="11" t="n">
        <x:v>321928.53</x:v>
      </x:c>
      <x:c r="F37" s="2" t="n">
        <x:v>622</x:v>
      </x:c>
      <x:c r="G37" s="2" t="n">
        <x:v>95</x:v>
      </x:c>
      <x:c r="H37" s="23" t="n">
        <x:v>0.01688345631402104</x:v>
      </x:c>
      <x:c r="I37" s="2"/>
      <x:c r="J37" s="2"/>
      <x:c r="K37" s="2"/>
      <x:c r="L37" s="2"/>
    </x:row>
    <x:row r="38" ht="22" customHeight="1">
      <x:c r="A38" s="2"/>
      <x:c r="B38" s="2" t="str">
        <x:v>Australia</x:v>
      </x:c>
      <x:c r="C38" s="11" t="n">
        <x:v>169350.96</x:v>
      </x:c>
      <x:c r="D38" s="11" t="n">
        <x:v>2839.04</x:v>
      </x:c>
      <x:c r="E38" s="11" t="n">
        <x:v>166511.92</x:v>
      </x:c>
      <x:c r="F38" s="2" t="n">
        <x:v>95</x:v>
      </x:c>
      <x:c r="G38" s="2" t="n">
        <x:v>15</x:v>
      </x:c>
      <x:c r="H38" s="23" t="n">
        <x:v>0.008732673451103469</x:v>
      </x:c>
      <x:c r="I38" s="2"/>
      <x:c r="J38" s="2"/>
      <x:c r="K38" s="2"/>
      <x:c r="L38" s="2"/>
    </x:row>
    <x:row r="39" ht="22" customHeight="1">
      <x:c r="A39" s="2"/>
      <x:c r="B39" s="2" t="str">
        <x:v>Switzerland</x:v>
      </x:c>
      <x:c r="C39" s="11" t="n">
        <x:v>100707.89</x:v>
      </x:c>
      <x:c r="D39" s="11" t="n">
        <x:v>1282.53</x:v>
      </x:c>
      <x:c r="E39" s="11" t="n">
        <x:v>99425.36</x:v>
      </x:c>
      <x:c r="F39" s="2" t="n">
        <x:v>93</x:v>
      </x:c>
      <x:c r="G39" s="2" t="n">
        <x:v>22</x:v>
      </x:c>
      <x:c r="H39" s="23" t="n">
        <x:v>0.005214336617092666</x:v>
      </x:c>
      <x:c r="I39" s="2"/>
      <x:c r="J39" s="2"/>
      <x:c r="K39" s="2"/>
      <x:c r="L39" s="2"/>
    </x:row>
    <x:row r="40" ht="22" customHeight="1">
      <x:c r="A40" s="2"/>
      <x:c r="B40" s="2" t="str">
        <x:v>Spain</x:v>
      </x:c>
      <x:c r="C40" s="11" t="n">
        <x:v>108383.81</x:v>
      </x:c>
      <x:c r="D40" s="11" t="n">
        <x:v>17319.05</x:v>
      </x:c>
      <x:c r="E40" s="11" t="n">
        <x:v>91064.76</x:v>
      </x:c>
      <x:c r="F40" s="2" t="n">
        <x:v>154</x:v>
      </x:c>
      <x:c r="G40" s="2" t="n">
        <x:v>41</x:v>
      </x:c>
      <x:c r="H40" s="23" t="n">
        <x:v>0.004775867169047771</x:v>
      </x:c>
      <x:c r="I40" s="2"/>
      <x:c r="J40" s="2"/>
      <x:c r="K40" s="2"/>
      <x:c r="L40" s="2"/>
    </x:row>
    <x:row r="41" ht="22" customHeight="1">
      <x:c r="A41" s="2"/>
      <x:c r="B41" s="2" t="str">
        <x:v>Sweden</x:v>
      </x:c>
      <x:c r="C41" s="11" t="n">
        <x:v>91903.72</x:v>
      </x:c>
      <x:c r="D41" s="11" t="n">
        <x:v>4094.3</x:v>
      </x:c>
      <x:c r="E41" s="11" t="n">
        <x:v>87809.42</x:v>
      </x:c>
      <x:c r="F41" s="2" t="n">
        <x:v>105</x:v>
      </x:c>
      <x:c r="G41" s="2" t="n">
        <x:v>19</x:v>
      </x:c>
      <x:c r="H41" s="23" t="n">
        <x:v>0.004605141726735202</x:v>
      </x:c>
      <x:c r="I41" s="2"/>
      <x:c r="J41" s="2"/>
      <x:c r="K41" s="2"/>
      <x:c r="L41" s="2"/>
    </x:row>
    <x:row r="42" ht="22" customHeight="1">
      <x:c r="A42" s="2"/>
      <x:c r="B42" s="2" t="str">
        <x:v>Denmark</x:v>
      </x:c>
      <x:c r="C42" s="11" t="n">
        <x:v>68580.69</x:v>
      </x:c>
      <x:c r="D42" s="11" t="n">
        <x:v>4121.099999999999</x:v>
      </x:c>
      <x:c r="E42" s="11" t="n">
        <x:v>64459.590000000004</x:v>
      </x:c>
      <x:c r="F42" s="2" t="n">
        <x:v>43</x:v>
      </x:c>
      <x:c r="G42" s="2" t="n">
        <x:v>12</x:v>
      </x:c>
      <x:c r="H42" s="23" t="n">
        <x:v>0.0033805660895749362</x:v>
      </x:c>
      <x:c r="I42" s="2"/>
      <x:c r="J42" s="2"/>
      <x:c r="K42" s="2"/>
      <x:c r="L42" s="2"/>
    </x:row>
    <x:row r="43" ht="22" customHeight="1">
      <x:c r="A43" s="2"/>
      <x:c r="B43" s="2" t="str">
        <x:v>Belgium</x:v>
      </x:c>
      <x:c r="C43" s="11" t="n">
        <x:v>65407.32</x:v>
      </x:c>
      <x:c r="D43" s="11" t="n">
        <x:v>2178.9300000000003</x:v>
      </x:c>
      <x:c r="E43" s="11" t="n">
        <x:v>63228.39</x:v>
      </x:c>
      <x:c r="F43" s="2" t="n">
        <x:v>149</x:v>
      </x:c>
      <x:c r="G43" s="2" t="n">
        <x:v>29</x:v>
      </x:c>
      <x:c r="H43" s="23" t="n">
        <x:v>0.0033159961323430535</x:v>
      </x:c>
      <x:c r="I43" s="2"/>
      <x:c r="J43" s="2"/>
      <x:c r="K43" s="2"/>
      <x:c r="L43" s="2"/>
    </x:row>
    <x:row r="44" ht="22" customHeight="1">
      <x:c r="A44" s="2"/>
      <x:c r="B44" s="2" t="str">
        <x:v>Portugal</x:v>
      </x:c>
      <x:c r="C44" s="11" t="n">
        <x:v>56352.13</x:v>
      </x:c>
      <x:c r="D44" s="11" t="n">
        <x:v>4879.85</x:v>
      </x:c>
      <x:c r="E44" s="11" t="n">
        <x:v>51472.28</x:v>
      </x:c>
      <x:c r="F44" s="2" t="n">
        <x:v>95</x:v>
      </x:c>
      <x:c r="G44" s="2" t="n">
        <x:v>24</x:v>
      </x:c>
      <x:c r="H44" s="23" t="n">
        <x:v>0.002699450063537577</x:v>
      </x:c>
      <x:c r="I44" s="2"/>
      <x:c r="J44" s="2"/>
      <x:c r="K44" s="2"/>
      <x:c r="L44" s="2"/>
    </x:row>
    <x:row r="45" ht="22" customHeight="1">
      <x:c r="A45" s="2"/>
      <x:c r="B45" s="2" t="str">
        <x:v>Channel Islands</x:v>
      </x:c>
      <x:c r="C45" s="11" t="n">
        <x:v>44633.23</x:v>
      </x:c>
      <x:c r="D45" s="11" t="n">
        <x:v>3543.15</x:v>
      </x:c>
      <x:c r="E45" s="11" t="n">
        <x:v>41090.08</x:v>
      </x:c>
      <x:c r="F45" s="2" t="n">
        <x:v>55</x:v>
      </x:c>
      <x:c r="G45" s="2" t="n">
        <x:v>13</x:v>
      </x:c>
      <x:c r="H45" s="23" t="n">
        <x:v>0.002154958340037864</x:v>
      </x:c>
      <x:c r="I45" s="2"/>
      <x:c r="J45" s="2"/>
      <x:c r="K45" s="2"/>
      <x:c r="L45" s="2"/>
    </x:row>
    <x:row r="46" ht="22" customHeight="1">
      <x:c r="A46" s="2"/>
      <x:c r="B46" s="2" t="str">
        <x:v>Japan</x:v>
      </x:c>
      <x:c r="C46" s="11" t="n">
        <x:v>43023.909999999996</x:v>
      </x:c>
      <x:c r="D46" s="11" t="n">
        <x:v>3361.81</x:v>
      </x:c>
      <x:c r="E46" s="11" t="n">
        <x:v>39662.1</x:v>
      </x:c>
      <x:c r="F46" s="2" t="n">
        <x:v>33</x:v>
      </x:c>
      <x:c r="G46" s="2" t="n">
        <x:v>10</x:v>
      </x:c>
      <x:c r="H46" s="23" t="n">
        <x:v>0.0020800683079326143</x:v>
      </x:c>
      <x:c r="I46" s="2"/>
      <x:c r="J46" s="2"/>
      <x:c r="K46" s="2"/>
      <x:c r="L46" s="2"/>
    </x:row>
    <x:row r="47" ht="22" customHeight="1">
      <x:c r="A47" s="2"/>
      <x:c r="B47" s="2" t="str">
        <x:v>Norway</x:v>
      </x:c>
      <x:c r="C47" s="11" t="n">
        <x:v>56322.5</x:v>
      </x:c>
      <x:c r="D47" s="11" t="n">
        <x:v>20866.59</x:v>
      </x:c>
      <x:c r="E47" s="11" t="n">
        <x:v>35455.91</x:v>
      </x:c>
      <x:c r="F47" s="2" t="n">
        <x:v>45</x:v>
      </x:c>
      <x:c r="G47" s="2" t="n">
        <x:v>13</x:v>
      </x:c>
      <x:c r="H47" s="23" t="n">
        <x:v>0.0018594757897315338</x:v>
      </x:c>
      <x:c r="I47" s="2"/>
      <x:c r="J47" s="2"/>
      <x:c r="K47" s="2"/>
      <x:c r="L47" s="2"/>
    </x:row>
    <x:row r="48" ht="22" customHeight="1">
      <x:c r="A48" s="2"/>
      <x:c r="B48" s="2" t="str">
        <x:v>Italy</x:v>
      </x:c>
      <x:c r="C48" s="11" t="n">
        <x:v>32122.62</x:v>
      </x:c>
      <x:c r="D48" s="11" t="n">
        <x:v>1854.07</x:v>
      </x:c>
      <x:c r="E48" s="11" t="n">
        <x:v>30268.55</x:v>
      </x:c>
      <x:c r="F48" s="2" t="n">
        <x:v>65</x:v>
      </x:c>
      <x:c r="G48" s="2" t="n">
        <x:v>17</x:v>
      </x:c>
      <x:c r="H48" s="23" t="n">
        <x:v>0.0015874260712890576</x:v>
      </x:c>
      <x:c r="I48" s="2"/>
      <x:c r="J48" s="2"/>
      <x:c r="K48" s="2"/>
      <x:c r="L48" s="2"/>
    </x:row>
    <x:row r="49" ht="22" customHeight="1">
      <x:c r="A49" s="2"/>
      <x:c r="B49" s="2" t="str">
        <x:v>Finland</x:v>
      </x:c>
      <x:c r="C49" s="11" t="n">
        <x:v>29925.54</x:v>
      </x:c>
      <x:c r="D49" s="11" t="n">
        <x:v>411.09000000000003</x:v>
      </x:c>
      <x:c r="E49" s="11" t="n">
        <x:v>29514.45</x:v>
      </x:c>
      <x:c r="F49" s="2" t="n">
        <x:v>57</x:v>
      </x:c>
      <x:c r="G49" s="2" t="n">
        <x:v>14</x:v>
      </x:c>
      <x:c r="H49" s="23" t="n">
        <x:v>0.0015478774969318757</x:v>
      </x:c>
      <x:c r="I49" s="2"/>
      <x:c r="J49" s="2"/>
      <x:c r="K49" s="2"/>
      <x:c r="L49" s="2"/>
    </x:row>
    <x:row r="50" ht="22" customHeight="1">
      <x:c r="A50" s="2"/>
      <x:c r="B50" s="2" t="str">
        <x:v>Cyprus</x:v>
      </x:c>
      <x:c r="C50" s="11" t="n">
        <x:v>24980.13</x:v>
      </x:c>
      <x:c r="D50" s="11" t="n">
        <x:v>817.39</x:v>
      </x:c>
      <x:c r="E50" s="11" t="n">
        <x:v>24162.74</x:v>
      </x:c>
      <x:c r="F50" s="2" t="n">
        <x:v>37</x:v>
      </x:c>
      <x:c r="G50" s="2" t="n">
        <x:v>11</x:v>
      </x:c>
      <x:c r="H50" s="23" t="n">
        <x:v>0.0012672084863589094</x:v>
      </x:c>
      <x:c r="I50" s="2"/>
      <x:c r="J50" s="2"/>
      <x:c r="K50" s="2"/>
      <x:c r="L50" s="2"/>
    </x:row>
    <x:row r="51" ht="22" customHeight="1">
      <x:c r="A51" s="2"/>
      <x:c r="B51" s="2" t="str">
        <x:v>Austria</x:v>
      </x:c>
      <x:c r="C51" s="11" t="n">
        <x:v>23613.010000000002</x:v>
      </x:c>
      <x:c r="D51" s="11" t="n">
        <x:v>435.41</x:v>
      </x:c>
      <x:c r="E51" s="11" t="n">
        <x:v>23177.6</x:v>
      </x:c>
      <x:c r="F51" s="2" t="n">
        <x:v>45</x:v>
      </x:c>
      <x:c r="G51" s="2" t="n">
        <x:v>13</x:v>
      </x:c>
      <x:c r="H51" s="23" t="n">
        <x:v>0.0012155430805211767</x:v>
      </x:c>
      <x:c r="I51" s="2"/>
      <x:c r="J51" s="2"/>
      <x:c r="K51" s="2"/>
      <x:c r="L51" s="2"/>
    </x:row>
    <x:row r="52" ht="22" customHeight="1">
      <x:c r="A52" s="2"/>
      <x:c r="B52" s="2" t="str">
        <x:v>Greece</x:v>
      </x:c>
      <x:c r="C52" s="11" t="n">
        <x:v>19096.19</x:v>
      </x:c>
      <x:c r="D52" s="11" t="n">
        <x:v>100.7</x:v>
      </x:c>
      <x:c r="E52" s="11" t="n">
        <x:v>18995.49</x:v>
      </x:c>
      <x:c r="F52" s="2" t="n">
        <x:v>18</x:v>
      </x:c>
      <x:c r="G52" s="2" t="n">
        <x:v>5</x:v>
      </x:c>
      <x:c r="H52" s="23" t="n">
        <x:v>0.0009962134315291147</x:v>
      </x:c>
      <x:c r="I52" s="2"/>
      <x:c r="J52" s="2"/>
      <x:c r="K52" s="2"/>
      <x:c r="L52" s="2"/>
    </x:row>
    <x:row r="53" ht="22" customHeight="1">
      <x:c r="A53" s="2"/>
      <x:c r="B53" s="2" t="str">
        <x:v>Hong Kong</x:v>
      </x:c>
      <x:c r="C53" s="11" t="n">
        <x:v>23894.32</x:v>
      </x:c>
      <x:c r="D53" s="11" t="n">
        <x:v>9855.02</x:v>
      </x:c>
      <x:c r="E53" s="11" t="n">
        <x:v>14039.3</x:v>
      </x:c>
      <x:c r="F53" s="2" t="n">
        <x:v>15</x:v>
      </x:c>
      <x:c r="G53" s="2" t="n">
        <x:v>0</x:v>
      </x:c>
      <x:c r="H53" s="23" t="n">
        <x:v>0.0007362873623826865</x:v>
      </x:c>
      <x:c r="I53" s="2"/>
      <x:c r="J53" s="2"/>
      <x:c r="K53" s="2"/>
      <x:c r="L53" s="2"/>
    </x:row>
    <x:row r="54" ht="22" customHeight="1">
      <x:c r="A54" s="2"/>
      <x:c r="B54" s="2" t="str">
        <x:v>Singapore</x:v>
      </x:c>
      <x:c r="C54" s="11" t="n">
        <x:v>25317.06</x:v>
      </x:c>
      <x:c r="D54" s="11" t="n">
        <x:v>12158.9</x:v>
      </x:c>
      <x:c r="E54" s="11" t="n">
        <x:v>13158.16</x:v>
      </x:c>
      <x:c r="F54" s="2" t="n">
        <x:v>11</x:v>
      </x:c>
      <x:c r="G54" s="2" t="n">
        <x:v>1</x:v>
      </x:c>
      <x:c r="H54" s="23" t="n">
        <x:v>0.0006900762089427087</x:v>
      </x:c>
      <x:c r="I54" s="2"/>
      <x:c r="J54" s="2"/>
      <x:c r="K54" s="2"/>
      <x:c r="L54" s="2"/>
    </x:row>
    <x:row r="55" ht="22" customHeight="1">
      <x:c r="A55" s="2"/>
      <x:c r="B55" s="2" t="str">
        <x:v>Israel</x:v>
      </x:c>
      <x:c r="C55" s="11" t="n">
        <x:v>11334.66</x:v>
      </x:c>
      <x:c r="D55" s="11" t="n">
        <x:v>227.44</x:v>
      </x:c>
      <x:c r="E55" s="11" t="n">
        <x:v>11107.22</x:v>
      </x:c>
      <x:c r="F55" s="2" t="n">
        <x:v>10</x:v>
      </x:c>
      <x:c r="G55" s="2" t="n">
        <x:v>4</x:v>
      </x:c>
      <x:c r="H55" s="23" t="n">
        <x:v>0.0005825152049749078</x:v>
      </x:c>
      <x:c r="I55" s="2"/>
      <x:c r="J55" s="2"/>
      <x:c r="K55" s="2"/>
      <x:c r="L55" s="2"/>
    </x:row>
    <x:row r="56" ht="22" customHeight="1">
      <x:c r="A56" s="2"/>
      <x:c r="B56" s="2" t="str">
        <x:v>Poland</x:v>
      </x:c>
      <x:c r="C56" s="11" t="n">
        <x:v>10654.29</x:v>
      </x:c>
      <x:c r="D56" s="11" t="n">
        <x:v>374.36</x:v>
      </x:c>
      <x:c r="E56" s="11" t="n">
        <x:v>10279.93</x:v>
      </x:c>
      <x:c r="F56" s="2" t="n">
        <x:v>28</x:v>
      </x:c>
      <x:c r="G56" s="2" t="n">
        <x:v>6</x:v>
      </x:c>
      <x:c r="H56" s="23" t="n">
        <x:v>0.000539128200492806</x:v>
      </x:c>
      <x:c r="I56" s="2"/>
      <x:c r="J56" s="2"/>
      <x:c r="K56" s="2"/>
      <x:c r="L56" s="2"/>
    </x:row>
    <x:row r="57" ht="22" customHeight="1">
      <x:c r="A57" s="2"/>
      <x:c r="B57" s="2" t="str">
        <x:v>United Arab Emirates</x:v>
      </x:c>
      <x:c r="C57" s="11" t="n">
        <x:v>11097.63</x:v>
      </x:c>
      <x:c r="D57" s="11" t="n">
        <x:v>1148.98</x:v>
      </x:c>
      <x:c r="E57" s="11" t="n">
        <x:v>9948.65</x:v>
      </x:c>
      <x:c r="F57" s="2" t="n">
        <x:v>16</x:v>
      </x:c>
      <x:c r="G57" s="2" t="n">
        <x:v>4</x:v>
      </x:c>
      <x:c r="H57" s="23" t="n">
        <x:v>0.000521754308816573</x:v>
      </x:c>
      <x:c r="I57" s="2"/>
      <x:c r="J57" s="2"/>
      <x:c r="K57" s="2"/>
      <x:c r="L57" s="2"/>
    </x:row>
    <x:row r="58" ht="22" customHeight="1">
      <x:c r="A58" s="2"/>
      <x:c r="B58" s="2" t="str">
        <x:v>Unspecified</x:v>
      </x:c>
      <x:c r="C58" s="11" t="n">
        <x:v>10936.01</x:v>
      </x:c>
      <x:c r="D58" s="11" t="n">
        <x:v>1248.69</x:v>
      </x:c>
      <x:c r="E58" s="11" t="n">
        <x:v>9687.32</x:v>
      </x:c>
      <x:c r="F58" s="2" t="n">
        <x:v>24</x:v>
      </x:c>
      <x:c r="G58" s="2" t="n">
        <x:v>6</x:v>
      </x:c>
      <x:c r="H58" s="23" t="n">
        <x:v>0.0005080489263251763</x:v>
      </x:c>
      <x:c r="I58" s="2"/>
      <x:c r="J58" s="2"/>
      <x:c r="K58" s="2"/>
      <x:c r="L58" s="2"/>
    </x:row>
    <x:row r="59" ht="22" customHeight="1">
      <x:c r="A59" s="2"/>
      <x:c r="B59" s="2" t="str">
        <x:v>USA</x:v>
      </x:c>
      <x:c r="C59" s="11" t="n">
        <x:v>8366.86</x:v>
      </x:c>
      <x:c r="D59" s="11" t="n">
        <x:v>2080.32</x:v>
      </x:c>
      <x:c r="E59" s="11" t="n">
        <x:v>6286.54</x:v>
      </x:c>
      <x:c r="F59" s="2" t="n">
        <x:v>20</x:v>
      </x:c>
      <x:c r="G59" s="2" t="n">
        <x:v>9</x:v>
      </x:c>
      <x:c r="H59" s="23" t="n">
        <x:v>0.0003296959218132852</x:v>
      </x:c>
      <x:c r="I59" s="2"/>
      <x:c r="J59" s="2"/>
      <x:c r="K59" s="2"/>
      <x:c r="L59" s="2"/>
    </x:row>
    <x:row r="60" ht="22" customHeight="1">
      <x:c r="A60" s="2"/>
      <x:c r="B60" s="2" t="str">
        <x:v>Malta</x:v>
      </x:c>
      <x:c r="C60" s="11" t="n">
        <x:v>8099.09</x:v>
      </x:c>
      <x:c r="D60" s="11" t="n">
        <x:v>2906.87</x:v>
      </x:c>
      <x:c r="E60" s="11" t="n">
        <x:v>5192.22</x:v>
      </x:c>
      <x:c r="F60" s="2" t="n">
        <x:v>9</x:v>
      </x:c>
      <x:c r="G60" s="2" t="n">
        <x:v>2</x:v>
      </x:c>
      <x:c r="H60" s="23" t="n">
        <x:v>0.00027230459985260185</x:v>
      </x:c>
      <x:c r="I60" s="2"/>
      <x:c r="J60" s="2"/>
      <x:c r="K60" s="2"/>
      <x:c r="L60" s="2"/>
    </x:row>
    <x:row r="61" ht="22" customHeight="1">
      <x:c r="A61" s="2"/>
      <x:c r="B61" s="2" t="str">
        <x:v>Iceland</x:v>
      </x:c>
      <x:c r="C61" s="11" t="n">
        <x:v>4921.53</x:v>
      </x:c>
      <x:c r="D61" s="11" t="n">
        <x:v>0</x:v>
      </x:c>
      <x:c r="E61" s="11" t="n">
        <x:v>4921.53</x:v>
      </x:c>
      <x:c r="F61" s="2" t="n">
        <x:v>8</x:v>
      </x:c>
      <x:c r="G61" s="2" t="n">
        <x:v>1</x:v>
      </x:c>
      <x:c r="H61" s="23" t="n">
        <x:v>0.00025810833464540704</x:v>
      </x:c>
      <x:c r="I61" s="2"/>
      <x:c r="J61" s="2"/>
      <x:c r="K61" s="2"/>
      <x:c r="L61" s="2"/>
    </x:row>
    <x:row r="62" ht="22" customHeight="1">
      <x:c r="A62" s="2"/>
      <x:c r="B62" s="2" t="str">
        <x:v>Lithuania</x:v>
      </x:c>
      <x:c r="C62" s="11" t="n">
        <x:v>4892.68</x:v>
      </x:c>
      <x:c r="D62" s="11" t="n">
        <x:v>0</x:v>
      </x:c>
      <x:c r="E62" s="11" t="n">
        <x:v>4892.68</x:v>
      </x:c>
      <x:c r="F62" s="2" t="n">
        <x:v>6</x:v>
      </x:c>
      <x:c r="G62" s="2" t="n">
        <x:v>1</x:v>
      </x:c>
      <x:c r="H62" s="23" t="n">
        <x:v>0.00025659530405237603</x:v>
      </x:c>
      <x:c r="I62" s="2"/>
      <x:c r="J62" s="2"/>
      <x:c r="K62" s="2"/>
      <x:c r="L62" s="2"/>
    </x:row>
    <x:row r="63" ht="22" customHeight="1">
      <x:c r="A63" s="2"/>
      <x:c r="B63" s="2" t="str">
        <x:v>Canada</x:v>
      </x:c>
      <x:c r="C63" s="11" t="n">
        <x:v>4883.04</x:v>
      </x:c>
      <x:c r="D63" s="11" t="n">
        <x:v>0</x:v>
      </x:c>
      <x:c r="E63" s="11" t="n">
        <x:v>4883.04</x:v>
      </x:c>
      <x:c r="F63" s="2" t="n">
        <x:v>8</x:v>
      </x:c>
      <x:c r="G63" s="2" t="n">
        <x:v>5</x:v>
      </x:c>
      <x:c r="H63" s="23" t="n">
        <x:v>0.00025608973681089185</x:v>
      </x:c>
      <x:c r="I63" s="2"/>
      <x:c r="J63" s="2"/>
      <x:c r="K63" s="2"/>
      <x:c r="L63" s="2"/>
    </x:row>
    <x:row r="64" ht="22" customHeight="1">
      <x:c r="A64" s="2"/>
      <x:c r="B64" s="2" t="str">
        <x:v>RSA</x:v>
      </x:c>
      <x:c r="C64" s="11" t="n">
        <x:v>4804.32</x:v>
      </x:c>
      <x:c r="D64" s="11" t="n">
        <x:v>1435.29</x:v>
      </x:c>
      <x:c r="E64" s="11" t="n">
        <x:v>3369.03</x:v>
      </x:c>
      <x:c r="F64" s="2" t="n">
        <x:v>4</x:v>
      </x:c>
      <x:c r="G64" s="2" t="n">
        <x:v>2</x:v>
      </x:c>
      <x:c r="H64" s="23" t="n">
        <x:v>0.00017668788418853808</x:v>
      </x:c>
      <x:c r="I64" s="2"/>
      <x:c r="J64" s="2"/>
      <x:c r="K64" s="2"/>
      <x:c r="L64" s="2"/>
    </x:row>
    <x:row r="65" ht="22" customHeight="1">
      <x:c r="A65" s="2"/>
      <x:c r="B65" s="2" t="str">
        <x:v>Thailand</x:v>
      </x:c>
      <x:c r="C65" s="11" t="n">
        <x:v>3070.54</x:v>
      </x:c>
      <x:c r="D65" s="11" t="n">
        <x:v>0</x:v>
      </x:c>
      <x:c r="E65" s="11" t="n">
        <x:v>3070.54</x:v>
      </x:c>
      <x:c r="F65" s="2" t="n">
        <x:v>2</x:v>
      </x:c>
      <x:c r="G65" s="2" t="n">
        <x:v>1</x:v>
      </x:c>
      <x:c r="H65" s="23" t="n">
        <x:v>0.00016103365535963577</x:v>
      </x:c>
      <x:c r="I65" s="2"/>
      <x:c r="J65" s="2"/>
      <x:c r="K65" s="2"/>
      <x:c r="L65" s="2"/>
    </x:row>
    <x:row r="66" ht="22" customHeight="1">
      <x:c r="A66" s="2"/>
      <x:c r="B66" s="2" t="str">
        <x:v>Bahrain</x:v>
      </x:c>
      <x:c r="C66" s="11" t="n">
        <x:v>3109.79</x:v>
      </x:c>
      <x:c r="D66" s="11" t="n">
        <x:v>248.24</x:v>
      </x:c>
      <x:c r="E66" s="11" t="n">
        <x:v>2861.55</x:v>
      </x:c>
      <x:c r="F66" s="2" t="n">
        <x:v>10</x:v>
      </x:c>
      <x:c r="G66" s="2" t="n">
        <x:v>2</x:v>
      </x:c>
      <x:c r="H66" s="23" t="n">
        <x:v>0.00015007323027687824</x:v>
      </x:c>
      <x:c r="I66" s="2"/>
      <x:c r="J66" s="2"/>
      <x:c r="K66" s="2"/>
      <x:c r="L66" s="2"/>
    </x:row>
    <x:row r="67" ht="22" customHeight="1">
      <x:c r="A67" s="2"/>
      <x:c r="B67" s="2" t="str">
        <x:v>Lebanon</x:v>
      </x:c>
      <x:c r="C67" s="11" t="n">
        <x:v>1905.58</x:v>
      </x:c>
      <x:c r="D67" s="11" t="n">
        <x:v>39.67</x:v>
      </x:c>
      <x:c r="E67" s="11" t="n">
        <x:v>1865.91</x:v>
      </x:c>
      <x:c r="F67" s="2" t="n">
        <x:v>2</x:v>
      </x:c>
      <x:c r="G67" s="2" t="n">
        <x:v>1</x:v>
      </x:c>
      <x:c r="H67" s="23" t="n">
        <x:v>0.00009785715472591075</x:v>
      </x:c>
      <x:c r="I67" s="2"/>
      <x:c r="J67" s="2"/>
      <x:c r="K67" s="2"/>
      <x:c r="L67" s="2"/>
    </x:row>
    <x:row r="68" ht="22" customHeight="1">
      <x:c r="A68" s="2"/>
      <x:c r="B68" s="2" t="str">
        <x:v>Brazil</x:v>
      </x:c>
      <x:c r="C68" s="11" t="n">
        <x:v>1411.87</x:v>
      </x:c>
      <x:c r="D68" s="11" t="n">
        <x:v>0</x:v>
      </x:c>
      <x:c r="E68" s="11" t="n">
        <x:v>1411.87</x:v>
      </x:c>
      <x:c r="F68" s="2" t="n">
        <x:v>2</x:v>
      </x:c>
      <x:c r="G68" s="2" t="n">
        <x:v>2</x:v>
      </x:c>
      <x:c r="H68" s="23" t="n">
        <x:v>0.00007404514743094339</x:v>
      </x:c>
      <x:c r="I68" s="2"/>
      <x:c r="J68" s="2"/>
      <x:c r="K68" s="2"/>
      <x:c r="L68" s="2"/>
    </x:row>
    <x:row r="69" ht="22" customHeight="1">
      <x:c r="A69" s="2"/>
      <x:c r="B69" s="2" t="str">
        <x:v>European Community</x:v>
      </x:c>
      <x:c r="C69" s="11" t="n">
        <x:v>1300.25</x:v>
      </x:c>
      <x:c r="D69" s="11" t="n">
        <x:v>8.5</x:v>
      </x:c>
      <x:c r="E69" s="11" t="n">
        <x:v>1291.75</x:v>
      </x:c>
      <x:c r="F69" s="2" t="n">
        <x:v>4</x:v>
      </x:c>
      <x:c r="G69" s="2" t="n">
        <x:v>1</x:v>
      </x:c>
      <x:c r="H69" s="23" t="n">
        <x:v>0.00006774548591153656</x:v>
      </x:c>
      <x:c r="I69" s="2"/>
      <x:c r="J69" s="2"/>
      <x:c r="K69" s="2"/>
      <x:c r="L69" s="2"/>
    </x:row>
    <x:row r="70" ht="22" customHeight="1">
      <x:c r="A70" s="2"/>
      <x:c r="B70" s="2" t="str">
        <x:v>Bermuda</x:v>
      </x:c>
      <x:c r="C70" s="11" t="n">
        <x:v>1253.1399999999999</x:v>
      </x:c>
      <x:c r="D70" s="11" t="n">
        <x:v>0</x:v>
      </x:c>
      <x:c r="E70" s="11" t="n">
        <x:v>1253.1399999999999</x:v>
      </x:c>
      <x:c r="F70" s="2" t="n">
        <x:v>1</x:v>
      </x:c>
      <x:c r="G70" s="2" t="n">
        <x:v>0</x:v>
      </x:c>
      <x:c r="H70" s="23" t="n">
        <x:v>0.00006572059470887008</x:v>
      </x:c>
      <x:c r="I70" s="2"/>
      <x:c r="J70" s="2"/>
      <x:c r="K70" s="2"/>
      <x:c r="L70" s="2"/>
    </x:row>
    <x:row r="71" ht="22" customHeight="1">
      <x:c r="A71" s="2"/>
      <x:c r="B71" s="2" t="str">
        <x:v>Korea</x:v>
      </x:c>
      <x:c r="C71" s="11" t="n">
        <x:v>1118.51</x:v>
      </x:c>
      <x:c r="D71" s="11" t="n">
        <x:v>168.69000000000003</x:v>
      </x:c>
      <x:c r="E71" s="11" t="n">
        <x:v>949.82</x:v>
      </x:c>
      <x:c r="F71" s="2" t="n">
        <x:v>2</x:v>
      </x:c>
      <x:c r="G71" s="2" t="n">
        <x:v>2</x:v>
      </x:c>
      <x:c r="H71" s="23" t="n">
        <x:v>0.000049813057811879747</x:v>
      </x:c>
      <x:c r="I71" s="2"/>
      <x:c r="J71" s="2"/>
      <x:c r="K71" s="2"/>
      <x:c r="L71" s="2"/>
    </x:row>
    <x:row r="72" ht="22" customHeight="1">
      <x:c r="A72" s="2"/>
      <x:c r="B72" s="2" t="str">
        <x:v>Czech Republic</x:v>
      </x:c>
      <x:c r="C72" s="11" t="n">
        <x:v>826.74</x:v>
      </x:c>
      <x:c r="D72" s="11" t="n">
        <x:v>119.02</x:v>
      </x:c>
      <x:c r="E72" s="11" t="n">
        <x:v>707.72</x:v>
      </x:c>
      <x:c r="F72" s="2" t="n">
        <x:v>2</x:v>
      </x:c>
      <x:c r="G72" s="2" t="n">
        <x:v>1</x:v>
      </x:c>
      <x:c r="H72" s="23" t="n">
        <x:v>0.00003711618756672163</x:v>
      </x:c>
      <x:c r="I72" s="2"/>
      <x:c r="J72" s="2"/>
      <x:c r="K72" s="2"/>
      <x:c r="L72" s="2"/>
    </x:row>
    <x:row r="73" ht="22" customHeight="1">
      <x:c r="A73" s="2"/>
      <x:c r="B73" s="2" t="str">
        <x:v>West Indies</x:v>
      </x:c>
      <x:c r="C73" s="11" t="n">
        <x:v>536.41</x:v>
      </x:c>
      <x:c r="D73" s="11" t="n">
        <x:v>0</x:v>
      </x:c>
      <x:c r="E73" s="11" t="n">
        <x:v>536.41</x:v>
      </x:c>
      <x:c r="F73" s="2" t="n">
        <x:v>1</x:v>
      </x:c>
      <x:c r="G73" s="2" t="n">
        <x:v>1</x:v>
      </x:c>
      <x:c r="H73" s="23" t="n">
        <x:v>0.000028131880083458352</x:v>
      </x:c>
      <x:c r="I73" s="2"/>
      <x:c r="J73" s="2"/>
      <x:c r="K73" s="2"/>
      <x:c r="L73" s="2"/>
    </x:row>
    <x:row r="74" ht="22" customHeight="1">
      <x:c r="A74" s="2"/>
      <x:c r="B74" s="2" t="str">
        <x:v>Saudi Arabia</x:v>
      </x:c>
      <x:c r="C74" s="11" t="n">
        <x:v>145.92</x:v>
      </x:c>
      <x:c r="D74" s="11" t="n">
        <x:v>14.75</x:v>
      </x:c>
      <x:c r="E74" s="11" t="n">
        <x:v>131.17</x:v>
      </x:c>
      <x:c r="F74" s="2" t="n">
        <x:v>1</x:v>
      </x:c>
      <x:c r="G74" s="2" t="n">
        <x:v>1</x:v>
      </x:c>
      <x:c r="H74" s="23" t="n">
        <x:v>0.00000687917583666828</x:v>
      </x:c>
      <x:c r="I74" s="2"/>
      <x:c r="J74" s="2"/>
      <x:c r="K74" s="2"/>
      <x:c r="L74" s="2"/>
    </x:row>
    <x:row r="75" ht="22" customHeight="1">
      <x:c r="A75" s="2"/>
      <x:c r="B75" s="2" t="str">
        <x:v>Nigeria</x:v>
      </x:c>
      <x:c r="C75" s="11" t="n">
        <x:v>140.39000000000001</x:v>
      </x:c>
      <x:c r="D75" s="11" t="n">
        <x:v>147.05</x:v>
      </x:c>
      <x:c r="E75" s="11" t="n">
        <x:v>-6.659999999999996</x:v>
      </x:c>
      <x:c r="F75" s="2" t="n">
        <x:v>2</x:v>
      </x:c>
      <x:c r="G75" s="2" t="n">
        <x:v>1</x:v>
      </x:c>
      <x:c r="H75" s="23" t="n">
        <x:v>-3.4928193239468414e-7</x:v>
      </x:c>
      <x:c r="I75" s="2"/>
      <x:c r="J75" s="2"/>
      <x:c r="K75" s="2"/>
      <x:c r="L75" s="2"/>
    </x:row>
    <x:row r="76" ht="23" customHeight="1">
      <x:c r="A76" s="2"/>
      <x:c r="B76" s="2"/>
      <x:c r="C76" s="2"/>
      <x:c r="D76" s="2"/>
      <x:c r="E76" s="2"/>
      <x:c r="F76" s="2"/>
      <x:c r="G76" s="2"/>
      <x:c r="H76" s="2"/>
      <x:c r="I76" s="2"/>
      <x:c r="J76" s="2"/>
      <x:c r="K76" s="2"/>
      <x:c r="L76" s="2"/>
    </x:row>
    <x:row r="77" ht="23" customHeight="1">
      <x:c r="A77" s="2"/>
      <x:c r="B77" s="2"/>
      <x:c r="C77" s="2"/>
      <x:c r="D77" s="2"/>
      <x:c r="E77" s="2"/>
      <x:c r="F77" s="2"/>
      <x:c r="G77" s="2"/>
      <x:c r="H77" s="2"/>
      <x:c r="I77" s="2"/>
      <x:c r="J77" s="2"/>
      <x:c r="K77" s="2"/>
      <x:c r="L77" s="2"/>
    </x:row>
    <x:row r="78" ht="23" customHeight="1">
      <x:c r="A78" s="2"/>
      <x:c r="B78" s="2"/>
      <x:c r="C78" s="2"/>
      <x:c r="D78" s="2"/>
      <x:c r="E78" s="2"/>
      <x:c r="F78" s="2"/>
      <x:c r="G78" s="2"/>
      <x:c r="H78" s="2"/>
      <x:c r="I78" s="2"/>
      <x:c r="J78" s="2"/>
      <x:c r="K78" s="2"/>
      <x:c r="L78" s="2"/>
    </x:row>
    <x:row r="79" ht="23" customHeight="1">
      <x:c r="A79" s="2"/>
      <x:c r="B79" s="2"/>
      <x:c r="C79" s="2"/>
      <x:c r="D79" s="2"/>
      <x:c r="E79" s="2"/>
      <x:c r="F79" s="2"/>
      <x:c r="G79" s="2"/>
      <x:c r="H79" s="2"/>
      <x:c r="I79" s="2"/>
      <x:c r="J79" s="2"/>
      <x:c r="K79" s="2"/>
      <x:c r="L79" s="2"/>
    </x:row>
    <x:row r="80" ht="23" customHeight="1">
      <x:c r="A80" s="2"/>
      <x:c r="B80" s="2"/>
      <x:c r="C80" s="2"/>
      <x:c r="D80" s="2"/>
      <x:c r="E80" s="2"/>
      <x:c r="F80" s="2"/>
      <x:c r="G80" s="2"/>
      <x:c r="H80" s="2"/>
      <x:c r="I80" s="2"/>
      <x:c r="J80" s="2"/>
      <x:c r="K80" s="2"/>
      <x:c r="L80" s="2"/>
    </x:row>
    <x:row r="81" ht="23" customHeight="1">
      <x:c r="A81" s="2"/>
      <x:c r="B81" s="2"/>
      <x:c r="C81" s="2"/>
      <x:c r="D81" s="2"/>
      <x:c r="E81" s="2"/>
      <x:c r="F81" s="2"/>
      <x:c r="G81" s="2"/>
      <x:c r="H81" s="2"/>
      <x:c r="I81" s="2"/>
      <x:c r="J81" s="2"/>
      <x:c r="K81" s="2"/>
      <x:c r="L81" s="2"/>
    </x:row>
    <x:row r="82" ht="23" customHeight="1">
      <x:c r="A82" s="2"/>
      <x:c r="B82" s="2"/>
      <x:c r="C82" s="2"/>
      <x:c r="D82" s="2"/>
      <x:c r="E82" s="2"/>
      <x:c r="F82" s="2"/>
      <x:c r="G82" s="2"/>
      <x:c r="H82" s="2"/>
      <x:c r="I82" s="2"/>
      <x:c r="J82" s="2"/>
      <x:c r="K82" s="2"/>
      <x:c r="L82" s="2"/>
    </x:row>
  </x:sheetData>
  <x:mergeCells>
    <x:mergeCell ref="B2:L3"/>
    <x:mergeCell ref="B4:L4"/>
    <x:mergeCell ref="B18:D18"/>
    <x:mergeCell ref="B19:D20"/>
    <x:mergeCell ref="B25:L28"/>
  </x:mergeCells>
  <x:pageMargins left="0.7" right="0.7" top="0.75" bottom="0.75" header="0.3" footer="0.3"/>
  <x:drawing xmlns:r="http://schemas.openxmlformats.org/officeDocument/2006/relationships" r:id="R10b33ff5c79b4f9d"/>
  <x:tableParts count="2">
    <x:tablePart xmlns:r="http://schemas.openxmlformats.org/officeDocument/2006/relationships" r:id="R144ef5d8585a4176"/>
    <x:tablePart xmlns:r="http://schemas.openxmlformats.org/officeDocument/2006/relationships" r:id="R1ffa3a7064924356"/>
  </x:tableParts>
</x:worksheet>
</file>

<file path=xl/worksheets/sheet7.xml><?xml version="1.0" encoding="utf-8"?>
<x:worksheet xmlns:x="http://schemas.openxmlformats.org/spreadsheetml/2006/main">
  <x:sheetPr>
    <x:tabColor rgb="FF20364D"/>
  </x:sheetPr>
  <x:sheetViews>
    <x:sheetView showGridLines="0" workbookViewId="0"/>
  </x:sheetViews>
  <x:sheetFormatPr defaultRowHeight="15"/>
  <x:cols>
    <x:col min="1" max="1" width="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s>
  <x:sheetData>
    <x:row r="1" ht="23" customHeight="1">
      <x:c r="A1" s="2"/>
      <x:c r="B1" s="2"/>
      <x:c r="C1" s="2"/>
      <x:c r="D1" s="2"/>
      <x:c r="E1" s="2"/>
      <x:c r="F1" s="2"/>
      <x:c r="G1" s="2"/>
      <x:c r="H1" s="2"/>
      <x:c r="I1" s="2"/>
      <x:c r="J1" s="2"/>
      <x:c r="K1" s="2"/>
      <x:c r="L1" s="2"/>
    </x:row>
    <x:row r="2" ht="23" customHeight="1">
      <x:c r="A2" s="2"/>
      <x:c r="B2" s="4" t="str">
        <x:v>Findings and business implications</x:v>
      </x:c>
      <x:c r="C2" s="4" t="str">
        <x:v>Findings and business implications</x:v>
      </x:c>
      <x:c r="D2" s="4" t="str">
        <x:v>Findings and business implications</x:v>
      </x:c>
      <x:c r="E2" s="4" t="str">
        <x:v>Findings and business implications</x:v>
      </x:c>
      <x:c r="F2" s="4" t="str">
        <x:v>Findings and business implications</x:v>
      </x:c>
      <x:c r="G2" s="4" t="str">
        <x:v>Findings and business implications</x:v>
      </x:c>
      <x:c r="H2" s="4" t="str">
        <x:v>Findings and business implications</x:v>
      </x:c>
      <x:c r="I2" s="4" t="str">
        <x:v>Findings and business implications</x:v>
      </x:c>
      <x:c r="J2" s="4" t="str">
        <x:v>Findings and business implications</x:v>
      </x:c>
      <x:c r="K2" s="4" t="str">
        <x:v>Findings and business implications</x:v>
      </x:c>
      <x:c r="L2" s="4" t="str">
        <x:v>Findings and business implications</x:v>
      </x:c>
    </x:row>
    <x:row r="3" ht="23" customHeight="1">
      <x:c r="A3" s="2"/>
      <x:c r="B3" s="5" t="str">
        <x:v>Findings and business implications</x:v>
      </x:c>
      <x:c r="C3" s="5" t="str">
        <x:v>Findings and business implications</x:v>
      </x:c>
      <x:c r="D3" s="5" t="str">
        <x:v>Findings and business implications</x:v>
      </x:c>
      <x:c r="E3" s="5" t="str">
        <x:v>Findings and business implications</x:v>
      </x:c>
      <x:c r="F3" s="5" t="str">
        <x:v>Findings and business implications</x:v>
      </x:c>
      <x:c r="G3" s="5" t="str">
        <x:v>Findings and business implications</x:v>
      </x:c>
      <x:c r="H3" s="5" t="str">
        <x:v>Findings and business implications</x:v>
      </x:c>
      <x:c r="I3" s="5" t="str">
        <x:v>Findings and business implications</x:v>
      </x:c>
      <x:c r="J3" s="5" t="str">
        <x:v>Findings and business implications</x:v>
      </x:c>
      <x:c r="K3" s="5" t="str">
        <x:v>Findings and business implications</x:v>
      </x:c>
      <x:c r="L3" s="5" t="str">
        <x:v>Findings and business implications</x:v>
      </x:c>
    </x:row>
    <x:row r="4" ht="23" customHeight="1">
      <x:c r="A4" s="2"/>
      <x:c r="B4" s="7" t="str">
        <x:v>Descriptive findings from the historical dataset; recommendations are hypotheses to test.</x:v>
      </x:c>
      <x:c r="C4" s="7" t="str">
        <x:v>Descriptive findings from the historical dataset; recommendations are hypotheses to test.</x:v>
      </x:c>
      <x:c r="D4" s="7" t="str">
        <x:v>Descriptive findings from the historical dataset; recommendations are hypotheses to test.</x:v>
      </x:c>
      <x:c r="E4" s="7" t="str">
        <x:v>Descriptive findings from the historical dataset; recommendations are hypotheses to test.</x:v>
      </x:c>
      <x:c r="F4" s="7" t="str">
        <x:v>Descriptive findings from the historical dataset; recommendations are hypotheses to test.</x:v>
      </x:c>
      <x:c r="G4" s="7" t="str">
        <x:v>Descriptive findings from the historical dataset; recommendations are hypotheses to test.</x:v>
      </x:c>
      <x:c r="H4" s="7" t="str">
        <x:v>Descriptive findings from the historical dataset; recommendations are hypotheses to test.</x:v>
      </x:c>
      <x:c r="I4" s="7" t="str">
        <x:v>Descriptive findings from the historical dataset; recommendations are hypotheses to test.</x:v>
      </x:c>
      <x:c r="J4" s="7" t="str">
        <x:v>Descriptive findings from the historical dataset; recommendations are hypotheses to test.</x:v>
      </x:c>
      <x:c r="K4" s="7" t="str">
        <x:v>Descriptive findings from the historical dataset; recommendations are hypotheses to test.</x:v>
      </x:c>
      <x:c r="L4" s="7" t="str">
        <x:v>Descriptive findings from the historical dataset; recommendations are hypotheses to test.</x:v>
      </x:c>
    </x:row>
    <x:row r="5" ht="23" customHeight="1">
      <x:c r="A5" s="2"/>
      <x:c r="B5" s="2"/>
      <x:c r="C5" s="2"/>
      <x:c r="D5" s="2"/>
      <x:c r="E5" s="2"/>
      <x:c r="F5" s="2"/>
      <x:c r="G5" s="2"/>
      <x:c r="H5" s="2"/>
      <x:c r="I5" s="2"/>
      <x:c r="J5" s="2"/>
      <x:c r="K5" s="2"/>
      <x:c r="L5" s="2"/>
    </x:row>
    <x:row r="6" ht="23" customHeight="1">
      <x:c r="A6" s="2"/>
      <x:c r="B6" s="31" t="str">
        <x:v>1. Sales and returns</x:v>
      </x:c>
      <x:c r="C6" s="31" t="str">
        <x:v>1. Sales and returns</x:v>
      </x:c>
      <x:c r="D6" s="31" t="str">
        <x:v>1. Sales and returns</x:v>
      </x:c>
      <x:c r="E6" s="31" t="str">
        <x:v>1. Sales and returns</x:v>
      </x:c>
      <x:c r="F6" s="31" t="str">
        <x:v>1. Sales and returns</x:v>
      </x:c>
      <x:c r="G6" s="31" t="str">
        <x:v>1. Sales and returns</x:v>
      </x:c>
      <x:c r="H6" s="31" t="str">
        <x:v>1. Sales and returns</x:v>
      </x:c>
      <x:c r="I6" s="31" t="str">
        <x:v>1. Sales and returns</x:v>
      </x:c>
      <x:c r="J6" s="31" t="str">
        <x:v>1. Sales and returns</x:v>
      </x:c>
      <x:c r="K6" s="31" t="str">
        <x:v>1. Sales and returns</x:v>
      </x:c>
      <x:c r="L6" s="31" t="str">
        <x:v>1. Sales and returns</x:v>
      </x:c>
    </x:row>
    <x:row r="7" ht="23" customHeight="1">
      <x:c r="A7" s="2"/>
      <x:c r="B7" s="17" t="str">
        <x:v>Gross sales were £20.53m. Returns/adjustments were 7.14% of gross, leaving £19.07m net.</x:v>
      </x:c>
      <x:c r="C7" s="17" t="str">
        <x:v>Gross sales were £20.53m. Returns/adjustments were 7.14% of gross, leaving £19.07m net.</x:v>
      </x:c>
      <x:c r="D7" s="17" t="str">
        <x:v>Gross sales were £20.53m. Returns/adjustments were 7.14% of gross, leaving £19.07m net.</x:v>
      </x:c>
      <x:c r="E7" s="17" t="str">
        <x:v>Gross sales were £20.53m. Returns/adjustments were 7.14% of gross, leaving £19.07m net.</x:v>
      </x:c>
      <x:c r="F7" s="17" t="str">
        <x:v>Gross sales were £20.53m. Returns/adjustments were 7.14% of gross, leaving £19.07m net.</x:v>
      </x:c>
      <x:c r="G7" s="17" t="str">
        <x:v>Gross sales were £20.53m. Returns/adjustments were 7.14% of gross, leaving £19.07m net.</x:v>
      </x:c>
      <x:c r="H7" s="17" t="str">
        <x:v>Gross sales were £20.53m. Returns/adjustments were 7.14% of gross, leaving £19.07m net.</x:v>
      </x:c>
      <x:c r="I7" s="17" t="str">
        <x:v>Gross sales were £20.53m. Returns/adjustments were 7.14% of gross, leaving £19.07m net.</x:v>
      </x:c>
      <x:c r="J7" s="17" t="str">
        <x:v>Gross sales were £20.53m. Returns/adjustments were 7.14% of gross, leaving £19.07m net.</x:v>
      </x:c>
      <x:c r="K7" s="17" t="str">
        <x:v>Gross sales were £20.53m. Returns/adjustments were 7.14% of gross, leaving £19.07m net.</x:v>
      </x:c>
      <x:c r="L7" s="17" t="str">
        <x:v>Gross sales were £20.53m. Returns/adjustments were 7.14% of gross, leaving £19.07m net.</x:v>
      </x:c>
    </x:row>
    <x:row r="8" ht="23" customHeight="1">
      <x:c r="A8" s="2"/>
      <x:c r="B8" s="17" t="str">
        <x:v>Gross sales were £20.53m. Returns/adjustments were 7.14% of gross, leaving £19.07m net.</x:v>
      </x:c>
      <x:c r="C8" s="17" t="str">
        <x:v>Gross sales were £20.53m. Returns/adjustments were 7.14% of gross, leaving £19.07m net.</x:v>
      </x:c>
      <x:c r="D8" s="17" t="str">
        <x:v>Gross sales were £20.53m. Returns/adjustments were 7.14% of gross, leaving £19.07m net.</x:v>
      </x:c>
      <x:c r="E8" s="17" t="str">
        <x:v>Gross sales were £20.53m. Returns/adjustments were 7.14% of gross, leaving £19.07m net.</x:v>
      </x:c>
      <x:c r="F8" s="17" t="str">
        <x:v>Gross sales were £20.53m. Returns/adjustments were 7.14% of gross, leaving £19.07m net.</x:v>
      </x:c>
      <x:c r="G8" s="17" t="str">
        <x:v>Gross sales were £20.53m. Returns/adjustments were 7.14% of gross, leaving £19.07m net.</x:v>
      </x:c>
      <x:c r="H8" s="17" t="str">
        <x:v>Gross sales were £20.53m. Returns/adjustments were 7.14% of gross, leaving £19.07m net.</x:v>
      </x:c>
      <x:c r="I8" s="17" t="str">
        <x:v>Gross sales were £20.53m. Returns/adjustments were 7.14% of gross, leaving £19.07m net.</x:v>
      </x:c>
      <x:c r="J8" s="17" t="str">
        <x:v>Gross sales were £20.53m. Returns/adjustments were 7.14% of gross, leaving £19.07m net.</x:v>
      </x:c>
      <x:c r="K8" s="17" t="str">
        <x:v>Gross sales were £20.53m. Returns/adjustments were 7.14% of gross, leaving £19.07m net.</x:v>
      </x:c>
      <x:c r="L8" s="17" t="str">
        <x:v>Gross sales were £20.53m. Returns/adjustments were 7.14% of gross, leaving £19.07m net.</x:v>
      </x:c>
    </x:row>
    <x:row r="9" ht="23" customHeight="1">
      <x:c r="A9" s="2"/>
      <x:c r="B9" s="17" t="str">
        <x:v>Gross sales were £20.53m. Returns/adjustments were 7.14% of gross, leaving £19.07m net.</x:v>
      </x:c>
      <x:c r="C9" s="17" t="str">
        <x:v>Gross sales were £20.53m. Returns/adjustments were 7.14% of gross, leaving £19.07m net.</x:v>
      </x:c>
      <x:c r="D9" s="17" t="str">
        <x:v>Gross sales were £20.53m. Returns/adjustments were 7.14% of gross, leaving £19.07m net.</x:v>
      </x:c>
      <x:c r="E9" s="17" t="str">
        <x:v>Gross sales were £20.53m. Returns/adjustments were 7.14% of gross, leaving £19.07m net.</x:v>
      </x:c>
      <x:c r="F9" s="17" t="str">
        <x:v>Gross sales were £20.53m. Returns/adjustments were 7.14% of gross, leaving £19.07m net.</x:v>
      </x:c>
      <x:c r="G9" s="17" t="str">
        <x:v>Gross sales were £20.53m. Returns/adjustments were 7.14% of gross, leaving £19.07m net.</x:v>
      </x:c>
      <x:c r="H9" s="17" t="str">
        <x:v>Gross sales were £20.53m. Returns/adjustments were 7.14% of gross, leaving £19.07m net.</x:v>
      </x:c>
      <x:c r="I9" s="17" t="str">
        <x:v>Gross sales were £20.53m. Returns/adjustments were 7.14% of gross, leaving £19.07m net.</x:v>
      </x:c>
      <x:c r="J9" s="17" t="str">
        <x:v>Gross sales were £20.53m. Returns/adjustments were 7.14% of gross, leaving £19.07m net.</x:v>
      </x:c>
      <x:c r="K9" s="17" t="str">
        <x:v>Gross sales were £20.53m. Returns/adjustments were 7.14% of gross, leaving £19.07m net.</x:v>
      </x:c>
      <x:c r="L9" s="17" t="str">
        <x:v>Gross sales were £20.53m. Returns/adjustments were 7.14% of gross, leaving £19.07m net.</x:v>
      </x:c>
    </x:row>
    <x:row r="10" ht="23" customHeight="1">
      <x:c r="A10" s="2"/>
      <x:c r="B10" s="7" t="str">
        <x:v>Review high-value cancellation invoices before setting a return-reduction target. No refund reason or cost data is available.</x:v>
      </x:c>
      <x:c r="C10" s="7" t="str">
        <x:v>Review high-value cancellation invoices before setting a return-reduction target. No refund reason or cost data is available.</x:v>
      </x:c>
      <x:c r="D10" s="7" t="str">
        <x:v>Review high-value cancellation invoices before setting a return-reduction target. No refund reason or cost data is available.</x:v>
      </x:c>
      <x:c r="E10" s="7" t="str">
        <x:v>Review high-value cancellation invoices before setting a return-reduction target. No refund reason or cost data is available.</x:v>
      </x:c>
      <x:c r="F10" s="7" t="str">
        <x:v>Review high-value cancellation invoices before setting a return-reduction target. No refund reason or cost data is available.</x:v>
      </x:c>
      <x:c r="G10" s="7" t="str">
        <x:v>Review high-value cancellation invoices before setting a return-reduction target. No refund reason or cost data is available.</x:v>
      </x:c>
      <x:c r="H10" s="7" t="str">
        <x:v>Review high-value cancellation invoices before setting a return-reduction target. No refund reason or cost data is available.</x:v>
      </x:c>
      <x:c r="I10" s="7" t="str">
        <x:v>Review high-value cancellation invoices before setting a return-reduction target. No refund reason or cost data is available.</x:v>
      </x:c>
      <x:c r="J10" s="7" t="str">
        <x:v>Review high-value cancellation invoices before setting a return-reduction target. No refund reason or cost data is available.</x:v>
      </x:c>
      <x:c r="K10" s="7" t="str">
        <x:v>Review high-value cancellation invoices before setting a return-reduction target. No refund reason or cost data is available.</x:v>
      </x:c>
      <x:c r="L10" s="7" t="str">
        <x:v>Review high-value cancellation invoices before setting a return-reduction target. No refund reason or cost data is available.</x:v>
      </x:c>
    </x:row>
    <x:row r="11" ht="23" customHeight="1">
      <x:c r="A11" s="2"/>
      <x:c r="B11" s="7" t="str">
        <x:v>Review high-value cancellation invoices before setting a return-reduction target. No refund reason or cost data is available.</x:v>
      </x:c>
      <x:c r="C11" s="7" t="str">
        <x:v>Review high-value cancellation invoices before setting a return-reduction target. No refund reason or cost data is available.</x:v>
      </x:c>
      <x:c r="D11" s="7" t="str">
        <x:v>Review high-value cancellation invoices before setting a return-reduction target. No refund reason or cost data is available.</x:v>
      </x:c>
      <x:c r="E11" s="7" t="str">
        <x:v>Review high-value cancellation invoices before setting a return-reduction target. No refund reason or cost data is available.</x:v>
      </x:c>
      <x:c r="F11" s="7" t="str">
        <x:v>Review high-value cancellation invoices before setting a return-reduction target. No refund reason or cost data is available.</x:v>
      </x:c>
      <x:c r="G11" s="7" t="str">
        <x:v>Review high-value cancellation invoices before setting a return-reduction target. No refund reason or cost data is available.</x:v>
      </x:c>
      <x:c r="H11" s="7" t="str">
        <x:v>Review high-value cancellation invoices before setting a return-reduction target. No refund reason or cost data is available.</x:v>
      </x:c>
      <x:c r="I11" s="7" t="str">
        <x:v>Review high-value cancellation invoices before setting a return-reduction target. No refund reason or cost data is available.</x:v>
      </x:c>
      <x:c r="J11" s="7" t="str">
        <x:v>Review high-value cancellation invoices before setting a return-reduction target. No refund reason or cost data is available.</x:v>
      </x:c>
      <x:c r="K11" s="7" t="str">
        <x:v>Review high-value cancellation invoices before setting a return-reduction target. No refund reason or cost data is available.</x:v>
      </x:c>
      <x:c r="L11" s="7" t="str">
        <x:v>Review high-value cancellation invoices before setting a return-reduction target. No refund reason or cost data is available.</x:v>
      </x:c>
    </x:row>
    <x:row r="12" ht="23" customHeight="1">
      <x:c r="A12" s="2"/>
      <x:c r="B12" s="7" t="str">
        <x:v>Review high-value cancellation invoices before setting a return-reduction target. No refund reason or cost data is available.</x:v>
      </x:c>
      <x:c r="C12" s="7" t="str">
        <x:v>Review high-value cancellation invoices before setting a return-reduction target. No refund reason or cost data is available.</x:v>
      </x:c>
      <x:c r="D12" s="7" t="str">
        <x:v>Review high-value cancellation invoices before setting a return-reduction target. No refund reason or cost data is available.</x:v>
      </x:c>
      <x:c r="E12" s="7" t="str">
        <x:v>Review high-value cancellation invoices before setting a return-reduction target. No refund reason or cost data is available.</x:v>
      </x:c>
      <x:c r="F12" s="7" t="str">
        <x:v>Review high-value cancellation invoices before setting a return-reduction target. No refund reason or cost data is available.</x:v>
      </x:c>
      <x:c r="G12" s="7" t="str">
        <x:v>Review high-value cancellation invoices before setting a return-reduction target. No refund reason or cost data is available.</x:v>
      </x:c>
      <x:c r="H12" s="7" t="str">
        <x:v>Review high-value cancellation invoices before setting a return-reduction target. No refund reason or cost data is available.</x:v>
      </x:c>
      <x:c r="I12" s="7" t="str">
        <x:v>Review high-value cancellation invoices before setting a return-reduction target. No refund reason or cost data is available.</x:v>
      </x:c>
      <x:c r="J12" s="7" t="str">
        <x:v>Review high-value cancellation invoices before setting a return-reduction target. No refund reason or cost data is available.</x:v>
      </x:c>
      <x:c r="K12" s="7" t="str">
        <x:v>Review high-value cancellation invoices before setting a return-reduction target. No refund reason or cost data is available.</x:v>
      </x:c>
      <x:c r="L12" s="7" t="str">
        <x:v>Review high-value cancellation invoices before setting a return-reduction target. No refund reason or cost data is available.</x:v>
      </x:c>
    </x:row>
    <x:row r="13" ht="23" customHeight="1">
      <x:c r="A13" s="2"/>
      <x:c r="B13" s="2"/>
      <x:c r="C13" s="2"/>
      <x:c r="D13" s="2"/>
      <x:c r="E13" s="2"/>
      <x:c r="F13" s="2"/>
      <x:c r="G13" s="2"/>
      <x:c r="H13" s="2"/>
      <x:c r="I13" s="2"/>
      <x:c r="J13" s="2"/>
      <x:c r="K13" s="2"/>
      <x:c r="L13" s="2"/>
    </x:row>
    <x:row r="14" ht="23" customHeight="1">
      <x:c r="A14" s="2"/>
      <x:c r="B14" s="31" t="str">
        <x:v>2. Repeat purchasing</x:v>
      </x:c>
      <x:c r="C14" s="31" t="str">
        <x:v>2. Repeat purchasing</x:v>
      </x:c>
      <x:c r="D14" s="31" t="str">
        <x:v>2. Repeat purchasing</x:v>
      </x:c>
      <x:c r="E14" s="31" t="str">
        <x:v>2. Repeat purchasing</x:v>
      </x:c>
      <x:c r="F14" s="31" t="str">
        <x:v>2. Repeat purchasing</x:v>
      </x:c>
      <x:c r="G14" s="31" t="str">
        <x:v>2. Repeat purchasing</x:v>
      </x:c>
      <x:c r="H14" s="31" t="str">
        <x:v>2. Repeat purchasing</x:v>
      </x:c>
      <x:c r="I14" s="31" t="str">
        <x:v>2. Repeat purchasing</x:v>
      </x:c>
      <x:c r="J14" s="31" t="str">
        <x:v>2. Repeat purchasing</x:v>
      </x:c>
      <x:c r="K14" s="31" t="str">
        <x:v>2. Repeat purchasing</x:v>
      </x:c>
      <x:c r="L14" s="31" t="str">
        <x:v>2. Repeat purchasing</x:v>
      </x:c>
    </x:row>
    <x:row r="15" ht="23" customHeight="1">
      <x:c r="A15" s="2"/>
      <x:c r="B15" s="17" t="str">
        <x:v>4,255 of 5,878 identified purchasers (72.4%) placed at least two positive purchase invoices.</x:v>
      </x:c>
      <x:c r="C15" s="17" t="str">
        <x:v>4,255 of 5,878 identified purchasers (72.4%) placed at least two positive purchase invoices.</x:v>
      </x:c>
      <x:c r="D15" s="17" t="str">
        <x:v>4,255 of 5,878 identified purchasers (72.4%) placed at least two positive purchase invoices.</x:v>
      </x:c>
      <x:c r="E15" s="17" t="str">
        <x:v>4,255 of 5,878 identified purchasers (72.4%) placed at least two positive purchase invoices.</x:v>
      </x:c>
      <x:c r="F15" s="17" t="str">
        <x:v>4,255 of 5,878 identified purchasers (72.4%) placed at least two positive purchase invoices.</x:v>
      </x:c>
      <x:c r="G15" s="17" t="str">
        <x:v>4,255 of 5,878 identified purchasers (72.4%) placed at least two positive purchase invoices.</x:v>
      </x:c>
      <x:c r="H15" s="17" t="str">
        <x:v>4,255 of 5,878 identified purchasers (72.4%) placed at least two positive purchase invoices.</x:v>
      </x:c>
      <x:c r="I15" s="17" t="str">
        <x:v>4,255 of 5,878 identified purchasers (72.4%) placed at least two positive purchase invoices.</x:v>
      </x:c>
      <x:c r="J15" s="17" t="str">
        <x:v>4,255 of 5,878 identified purchasers (72.4%) placed at least two positive purchase invoices.</x:v>
      </x:c>
      <x:c r="K15" s="17" t="str">
        <x:v>4,255 of 5,878 identified purchasers (72.4%) placed at least two positive purchase invoices.</x:v>
      </x:c>
      <x:c r="L15" s="17" t="str">
        <x:v>4,255 of 5,878 identified purchasers (72.4%) placed at least two positive purchase invoices.</x:v>
      </x:c>
    </x:row>
    <x:row r="16" ht="23" customHeight="1">
      <x:c r="A16" s="2"/>
      <x:c r="B16" s="17" t="str">
        <x:v>4,255 of 5,878 identified purchasers (72.4%) placed at least two positive purchase invoices.</x:v>
      </x:c>
      <x:c r="C16" s="17" t="str">
        <x:v>4,255 of 5,878 identified purchasers (72.4%) placed at least two positive purchase invoices.</x:v>
      </x:c>
      <x:c r="D16" s="17" t="str">
        <x:v>4,255 of 5,878 identified purchasers (72.4%) placed at least two positive purchase invoices.</x:v>
      </x:c>
      <x:c r="E16" s="17" t="str">
        <x:v>4,255 of 5,878 identified purchasers (72.4%) placed at least two positive purchase invoices.</x:v>
      </x:c>
      <x:c r="F16" s="17" t="str">
        <x:v>4,255 of 5,878 identified purchasers (72.4%) placed at least two positive purchase invoices.</x:v>
      </x:c>
      <x:c r="G16" s="17" t="str">
        <x:v>4,255 of 5,878 identified purchasers (72.4%) placed at least two positive purchase invoices.</x:v>
      </x:c>
      <x:c r="H16" s="17" t="str">
        <x:v>4,255 of 5,878 identified purchasers (72.4%) placed at least two positive purchase invoices.</x:v>
      </x:c>
      <x:c r="I16" s="17" t="str">
        <x:v>4,255 of 5,878 identified purchasers (72.4%) placed at least two positive purchase invoices.</x:v>
      </x:c>
      <x:c r="J16" s="17" t="str">
        <x:v>4,255 of 5,878 identified purchasers (72.4%) placed at least two positive purchase invoices.</x:v>
      </x:c>
      <x:c r="K16" s="17" t="str">
        <x:v>4,255 of 5,878 identified purchasers (72.4%) placed at least two positive purchase invoices.</x:v>
      </x:c>
      <x:c r="L16" s="17" t="str">
        <x:v>4,255 of 5,878 identified purchasers (72.4%) placed at least two positive purchase invoices.</x:v>
      </x:c>
    </x:row>
    <x:row r="17" ht="23" customHeight="1">
      <x:c r="A17" s="2"/>
      <x:c r="B17" s="17" t="str">
        <x:v>4,255 of 5,878 identified purchasers (72.4%) placed at least two positive purchase invoices.</x:v>
      </x:c>
      <x:c r="C17" s="17" t="str">
        <x:v>4,255 of 5,878 identified purchasers (72.4%) placed at least two positive purchase invoices.</x:v>
      </x:c>
      <x:c r="D17" s="17" t="str">
        <x:v>4,255 of 5,878 identified purchasers (72.4%) placed at least two positive purchase invoices.</x:v>
      </x:c>
      <x:c r="E17" s="17" t="str">
        <x:v>4,255 of 5,878 identified purchasers (72.4%) placed at least two positive purchase invoices.</x:v>
      </x:c>
      <x:c r="F17" s="17" t="str">
        <x:v>4,255 of 5,878 identified purchasers (72.4%) placed at least two positive purchase invoices.</x:v>
      </x:c>
      <x:c r="G17" s="17" t="str">
        <x:v>4,255 of 5,878 identified purchasers (72.4%) placed at least two positive purchase invoices.</x:v>
      </x:c>
      <x:c r="H17" s="17" t="str">
        <x:v>4,255 of 5,878 identified purchasers (72.4%) placed at least two positive purchase invoices.</x:v>
      </x:c>
      <x:c r="I17" s="17" t="str">
        <x:v>4,255 of 5,878 identified purchasers (72.4%) placed at least two positive purchase invoices.</x:v>
      </x:c>
      <x:c r="J17" s="17" t="str">
        <x:v>4,255 of 5,878 identified purchasers (72.4%) placed at least two positive purchase invoices.</x:v>
      </x:c>
      <x:c r="K17" s="17" t="str">
        <x:v>4,255 of 5,878 identified purchasers (72.4%) placed at least two positive purchase invoices.</x:v>
      </x:c>
      <x:c r="L17" s="17" t="str">
        <x:v>4,255 of 5,878 identified purchasers (72.4%) placed at least two positive purchase invoices.</x:v>
      </x:c>
    </x:row>
    <x:row r="18" ht="23" customHeight="1">
      <x:c r="A18" s="2"/>
      <x:c r="B18" s="7" t="str">
        <x:v>Test retention campaigns with a holdout group. Anonymous purchases are excluded from this customer measure.</x:v>
      </x:c>
      <x:c r="C18" s="7" t="str">
        <x:v>Test retention campaigns with a holdout group. Anonymous purchases are excluded from this customer measure.</x:v>
      </x:c>
      <x:c r="D18" s="7" t="str">
        <x:v>Test retention campaigns with a holdout group. Anonymous purchases are excluded from this customer measure.</x:v>
      </x:c>
      <x:c r="E18" s="7" t="str">
        <x:v>Test retention campaigns with a holdout group. Anonymous purchases are excluded from this customer measure.</x:v>
      </x:c>
      <x:c r="F18" s="7" t="str">
        <x:v>Test retention campaigns with a holdout group. Anonymous purchases are excluded from this customer measure.</x:v>
      </x:c>
      <x:c r="G18" s="7" t="str">
        <x:v>Test retention campaigns with a holdout group. Anonymous purchases are excluded from this customer measure.</x:v>
      </x:c>
      <x:c r="H18" s="7" t="str">
        <x:v>Test retention campaigns with a holdout group. Anonymous purchases are excluded from this customer measure.</x:v>
      </x:c>
      <x:c r="I18" s="7" t="str">
        <x:v>Test retention campaigns with a holdout group. Anonymous purchases are excluded from this customer measure.</x:v>
      </x:c>
      <x:c r="J18" s="7" t="str">
        <x:v>Test retention campaigns with a holdout group. Anonymous purchases are excluded from this customer measure.</x:v>
      </x:c>
      <x:c r="K18" s="7" t="str">
        <x:v>Test retention campaigns with a holdout group. Anonymous purchases are excluded from this customer measure.</x:v>
      </x:c>
      <x:c r="L18" s="7" t="str">
        <x:v>Test retention campaigns with a holdout group. Anonymous purchases are excluded from this customer measure.</x:v>
      </x:c>
    </x:row>
    <x:row r="19" ht="23" customHeight="1">
      <x:c r="A19" s="2"/>
      <x:c r="B19" s="7" t="str">
        <x:v>Test retention campaigns with a holdout group. Anonymous purchases are excluded from this customer measure.</x:v>
      </x:c>
      <x:c r="C19" s="7" t="str">
        <x:v>Test retention campaigns with a holdout group. Anonymous purchases are excluded from this customer measure.</x:v>
      </x:c>
      <x:c r="D19" s="7" t="str">
        <x:v>Test retention campaigns with a holdout group. Anonymous purchases are excluded from this customer measure.</x:v>
      </x:c>
      <x:c r="E19" s="7" t="str">
        <x:v>Test retention campaigns with a holdout group. Anonymous purchases are excluded from this customer measure.</x:v>
      </x:c>
      <x:c r="F19" s="7" t="str">
        <x:v>Test retention campaigns with a holdout group. Anonymous purchases are excluded from this customer measure.</x:v>
      </x:c>
      <x:c r="G19" s="7" t="str">
        <x:v>Test retention campaigns with a holdout group. Anonymous purchases are excluded from this customer measure.</x:v>
      </x:c>
      <x:c r="H19" s="7" t="str">
        <x:v>Test retention campaigns with a holdout group. Anonymous purchases are excluded from this customer measure.</x:v>
      </x:c>
      <x:c r="I19" s="7" t="str">
        <x:v>Test retention campaigns with a holdout group. Anonymous purchases are excluded from this customer measure.</x:v>
      </x:c>
      <x:c r="J19" s="7" t="str">
        <x:v>Test retention campaigns with a holdout group. Anonymous purchases are excluded from this customer measure.</x:v>
      </x:c>
      <x:c r="K19" s="7" t="str">
        <x:v>Test retention campaigns with a holdout group. Anonymous purchases are excluded from this customer measure.</x:v>
      </x:c>
      <x:c r="L19" s="7" t="str">
        <x:v>Test retention campaigns with a holdout group. Anonymous purchases are excluded from this customer measure.</x:v>
      </x:c>
    </x:row>
    <x:row r="20" ht="23" customHeight="1">
      <x:c r="A20" s="2"/>
      <x:c r="B20" s="7" t="str">
        <x:v>Test retention campaigns with a holdout group. Anonymous purchases are excluded from this customer measure.</x:v>
      </x:c>
      <x:c r="C20" s="7" t="str">
        <x:v>Test retention campaigns with a holdout group. Anonymous purchases are excluded from this customer measure.</x:v>
      </x:c>
      <x:c r="D20" s="7" t="str">
        <x:v>Test retention campaigns with a holdout group. Anonymous purchases are excluded from this customer measure.</x:v>
      </x:c>
      <x:c r="E20" s="7" t="str">
        <x:v>Test retention campaigns with a holdout group. Anonymous purchases are excluded from this customer measure.</x:v>
      </x:c>
      <x:c r="F20" s="7" t="str">
        <x:v>Test retention campaigns with a holdout group. Anonymous purchases are excluded from this customer measure.</x:v>
      </x:c>
      <x:c r="G20" s="7" t="str">
        <x:v>Test retention campaigns with a holdout group. Anonymous purchases are excluded from this customer measure.</x:v>
      </x:c>
      <x:c r="H20" s="7" t="str">
        <x:v>Test retention campaigns with a holdout group. Anonymous purchases are excluded from this customer measure.</x:v>
      </x:c>
      <x:c r="I20" s="7" t="str">
        <x:v>Test retention campaigns with a holdout group. Anonymous purchases are excluded from this customer measure.</x:v>
      </x:c>
      <x:c r="J20" s="7" t="str">
        <x:v>Test retention campaigns with a holdout group. Anonymous purchases are excluded from this customer measure.</x:v>
      </x:c>
      <x:c r="K20" s="7" t="str">
        <x:v>Test retention campaigns with a holdout group. Anonymous purchases are excluded from this customer measure.</x:v>
      </x:c>
      <x:c r="L20" s="7" t="str">
        <x:v>Test retention campaigns with a holdout group. Anonymous purchases are excluded from this customer measure.</x:v>
      </x:c>
    </x:row>
    <x:row r="21" ht="23" customHeight="1">
      <x:c r="A21" s="2"/>
      <x:c r="B21" s="2"/>
      <x:c r="C21" s="2"/>
      <x:c r="D21" s="2"/>
      <x:c r="E21" s="2"/>
      <x:c r="F21" s="2"/>
      <x:c r="G21" s="2"/>
      <x:c r="H21" s="2"/>
      <x:c r="I21" s="2"/>
      <x:c r="J21" s="2"/>
      <x:c r="K21" s="2"/>
      <x:c r="L21" s="2"/>
    </x:row>
    <x:row r="22" ht="23" customHeight="1">
      <x:c r="A22" s="2"/>
      <x:c r="B22" s="31" t="str">
        <x:v>3. Revenue concentration</x:v>
      </x:c>
      <x:c r="C22" s="31" t="str">
        <x:v>3. Revenue concentration</x:v>
      </x:c>
      <x:c r="D22" s="31" t="str">
        <x:v>3. Revenue concentration</x:v>
      </x:c>
      <x:c r="E22" s="31" t="str">
        <x:v>3. Revenue concentration</x:v>
      </x:c>
      <x:c r="F22" s="31" t="str">
        <x:v>3. Revenue concentration</x:v>
      </x:c>
      <x:c r="G22" s="31" t="str">
        <x:v>3. Revenue concentration</x:v>
      </x:c>
      <x:c r="H22" s="31" t="str">
        <x:v>3. Revenue concentration</x:v>
      </x:c>
      <x:c r="I22" s="31" t="str">
        <x:v>3. Revenue concentration</x:v>
      </x:c>
      <x:c r="J22" s="31" t="str">
        <x:v>3. Revenue concentration</x:v>
      </x:c>
      <x:c r="K22" s="31" t="str">
        <x:v>3. Revenue concentration</x:v>
      </x:c>
      <x:c r="L22" s="31" t="str">
        <x:v>3. Revenue concentration</x:v>
      </x:c>
    </x:row>
    <x:row r="23" ht="23" customHeight="1">
      <x:c r="A23" s="2"/>
      <x:c r="B23" s="17" t="str">
        <x:v>1,010 of 4,916 positive-sales stock codes (20.5%) produced at least 80% of gross sales.</x:v>
      </x:c>
      <x:c r="C23" s="17" t="str">
        <x:v>1,010 of 4,916 positive-sales stock codes (20.5%) produced at least 80% of gross sales.</x:v>
      </x:c>
      <x:c r="D23" s="17" t="str">
        <x:v>1,010 of 4,916 positive-sales stock codes (20.5%) produced at least 80% of gross sales.</x:v>
      </x:c>
      <x:c r="E23" s="17" t="str">
        <x:v>1,010 of 4,916 positive-sales stock codes (20.5%) produced at least 80% of gross sales.</x:v>
      </x:c>
      <x:c r="F23" s="17" t="str">
        <x:v>1,010 of 4,916 positive-sales stock codes (20.5%) produced at least 80% of gross sales.</x:v>
      </x:c>
      <x:c r="G23" s="17" t="str">
        <x:v>1,010 of 4,916 positive-sales stock codes (20.5%) produced at least 80% of gross sales.</x:v>
      </x:c>
      <x:c r="H23" s="17" t="str">
        <x:v>1,010 of 4,916 positive-sales stock codes (20.5%) produced at least 80% of gross sales.</x:v>
      </x:c>
      <x:c r="I23" s="17" t="str">
        <x:v>1,010 of 4,916 positive-sales stock codes (20.5%) produced at least 80% of gross sales.</x:v>
      </x:c>
      <x:c r="J23" s="17" t="str">
        <x:v>1,010 of 4,916 positive-sales stock codes (20.5%) produced at least 80% of gross sales.</x:v>
      </x:c>
      <x:c r="K23" s="17" t="str">
        <x:v>1,010 of 4,916 positive-sales stock codes (20.5%) produced at least 80% of gross sales.</x:v>
      </x:c>
      <x:c r="L23" s="17" t="str">
        <x:v>1,010 of 4,916 positive-sales stock codes (20.5%) produced at least 80% of gross sales.</x:v>
      </x:c>
    </x:row>
    <x:row r="24" ht="23" customHeight="1">
      <x:c r="A24" s="2"/>
      <x:c r="B24" s="17" t="str">
        <x:v>1,010 of 4,916 positive-sales stock codes (20.5%) produced at least 80% of gross sales.</x:v>
      </x:c>
      <x:c r="C24" s="17" t="str">
        <x:v>1,010 of 4,916 positive-sales stock codes (20.5%) produced at least 80% of gross sales.</x:v>
      </x:c>
      <x:c r="D24" s="17" t="str">
        <x:v>1,010 of 4,916 positive-sales stock codes (20.5%) produced at least 80% of gross sales.</x:v>
      </x:c>
      <x:c r="E24" s="17" t="str">
        <x:v>1,010 of 4,916 positive-sales stock codes (20.5%) produced at least 80% of gross sales.</x:v>
      </x:c>
      <x:c r="F24" s="17" t="str">
        <x:v>1,010 of 4,916 positive-sales stock codes (20.5%) produced at least 80% of gross sales.</x:v>
      </x:c>
      <x:c r="G24" s="17" t="str">
        <x:v>1,010 of 4,916 positive-sales stock codes (20.5%) produced at least 80% of gross sales.</x:v>
      </x:c>
      <x:c r="H24" s="17" t="str">
        <x:v>1,010 of 4,916 positive-sales stock codes (20.5%) produced at least 80% of gross sales.</x:v>
      </x:c>
      <x:c r="I24" s="17" t="str">
        <x:v>1,010 of 4,916 positive-sales stock codes (20.5%) produced at least 80% of gross sales.</x:v>
      </x:c>
      <x:c r="J24" s="17" t="str">
        <x:v>1,010 of 4,916 positive-sales stock codes (20.5%) produced at least 80% of gross sales.</x:v>
      </x:c>
      <x:c r="K24" s="17" t="str">
        <x:v>1,010 of 4,916 positive-sales stock codes (20.5%) produced at least 80% of gross sales.</x:v>
      </x:c>
      <x:c r="L24" s="17" t="str">
        <x:v>1,010 of 4,916 positive-sales stock codes (20.5%) produced at least 80% of gross sales.</x:v>
      </x:c>
    </x:row>
    <x:row r="25" ht="23" customHeight="1">
      <x:c r="A25" s="2"/>
      <x:c r="B25" s="17" t="str">
        <x:v>1,010 of 4,916 positive-sales stock codes (20.5%) produced at least 80% of gross sales.</x:v>
      </x:c>
      <x:c r="C25" s="17" t="str">
        <x:v>1,010 of 4,916 positive-sales stock codes (20.5%) produced at least 80% of gross sales.</x:v>
      </x:c>
      <x:c r="D25" s="17" t="str">
        <x:v>1,010 of 4,916 positive-sales stock codes (20.5%) produced at least 80% of gross sales.</x:v>
      </x:c>
      <x:c r="E25" s="17" t="str">
        <x:v>1,010 of 4,916 positive-sales stock codes (20.5%) produced at least 80% of gross sales.</x:v>
      </x:c>
      <x:c r="F25" s="17" t="str">
        <x:v>1,010 of 4,916 positive-sales stock codes (20.5%) produced at least 80% of gross sales.</x:v>
      </x:c>
      <x:c r="G25" s="17" t="str">
        <x:v>1,010 of 4,916 positive-sales stock codes (20.5%) produced at least 80% of gross sales.</x:v>
      </x:c>
      <x:c r="H25" s="17" t="str">
        <x:v>1,010 of 4,916 positive-sales stock codes (20.5%) produced at least 80% of gross sales.</x:v>
      </x:c>
      <x:c r="I25" s="17" t="str">
        <x:v>1,010 of 4,916 positive-sales stock codes (20.5%) produced at least 80% of gross sales.</x:v>
      </x:c>
      <x:c r="J25" s="17" t="str">
        <x:v>1,010 of 4,916 positive-sales stock codes (20.5%) produced at least 80% of gross sales.</x:v>
      </x:c>
      <x:c r="K25" s="17" t="str">
        <x:v>1,010 of 4,916 positive-sales stock codes (20.5%) produced at least 80% of gross sales.</x:v>
      </x:c>
      <x:c r="L25" s="17" t="str">
        <x:v>1,010 of 4,916 positive-sales stock codes (20.5%) produced at least 80% of gross sales.</x:v>
      </x:c>
    </x:row>
    <x:row r="26" ht="23" customHeight="1">
      <x:c r="A26" s="2"/>
      <x:c r="B26" s="7" t="str">
        <x:v>Prioritize availability checks for leading codes after separating merchandise from service charges in a future enriched catalog.</x:v>
      </x:c>
      <x:c r="C26" s="7" t="str">
        <x:v>Prioritize availability checks for leading codes after separating merchandise from service charges in a future enriched catalog.</x:v>
      </x:c>
      <x:c r="D26" s="7" t="str">
        <x:v>Prioritize availability checks for leading codes after separating merchandise from service charges in a future enriched catalog.</x:v>
      </x:c>
      <x:c r="E26" s="7" t="str">
        <x:v>Prioritize availability checks for leading codes after separating merchandise from service charges in a future enriched catalog.</x:v>
      </x:c>
      <x:c r="F26" s="7" t="str">
        <x:v>Prioritize availability checks for leading codes after separating merchandise from service charges in a future enriched catalog.</x:v>
      </x:c>
      <x:c r="G26" s="7" t="str">
        <x:v>Prioritize availability checks for leading codes after separating merchandise from service charges in a future enriched catalog.</x:v>
      </x:c>
      <x:c r="H26" s="7" t="str">
        <x:v>Prioritize availability checks for leading codes after separating merchandise from service charges in a future enriched catalog.</x:v>
      </x:c>
      <x:c r="I26" s="7" t="str">
        <x:v>Prioritize availability checks for leading codes after separating merchandise from service charges in a future enriched catalog.</x:v>
      </x:c>
      <x:c r="J26" s="7" t="str">
        <x:v>Prioritize availability checks for leading codes after separating merchandise from service charges in a future enriched catalog.</x:v>
      </x:c>
      <x:c r="K26" s="7" t="str">
        <x:v>Prioritize availability checks for leading codes after separating merchandise from service charges in a future enriched catalog.</x:v>
      </x:c>
      <x:c r="L26" s="7" t="str">
        <x:v>Prioritize availability checks for leading codes after separating merchandise from service charges in a future enriched catalog.</x:v>
      </x:c>
    </x:row>
    <x:row r="27" ht="23" customHeight="1">
      <x:c r="A27" s="2"/>
      <x:c r="B27" s="7" t="str">
        <x:v>Prioritize availability checks for leading codes after separating merchandise from service charges in a future enriched catalog.</x:v>
      </x:c>
      <x:c r="C27" s="7" t="str">
        <x:v>Prioritize availability checks for leading codes after separating merchandise from service charges in a future enriched catalog.</x:v>
      </x:c>
      <x:c r="D27" s="7" t="str">
        <x:v>Prioritize availability checks for leading codes after separating merchandise from service charges in a future enriched catalog.</x:v>
      </x:c>
      <x:c r="E27" s="7" t="str">
        <x:v>Prioritize availability checks for leading codes after separating merchandise from service charges in a future enriched catalog.</x:v>
      </x:c>
      <x:c r="F27" s="7" t="str">
        <x:v>Prioritize availability checks for leading codes after separating merchandise from service charges in a future enriched catalog.</x:v>
      </x:c>
      <x:c r="G27" s="7" t="str">
        <x:v>Prioritize availability checks for leading codes after separating merchandise from service charges in a future enriched catalog.</x:v>
      </x:c>
      <x:c r="H27" s="7" t="str">
        <x:v>Prioritize availability checks for leading codes after separating merchandise from service charges in a future enriched catalog.</x:v>
      </x:c>
      <x:c r="I27" s="7" t="str">
        <x:v>Prioritize availability checks for leading codes after separating merchandise from service charges in a future enriched catalog.</x:v>
      </x:c>
      <x:c r="J27" s="7" t="str">
        <x:v>Prioritize availability checks for leading codes after separating merchandise from service charges in a future enriched catalog.</x:v>
      </x:c>
      <x:c r="K27" s="7" t="str">
        <x:v>Prioritize availability checks for leading codes after separating merchandise from service charges in a future enriched catalog.</x:v>
      </x:c>
      <x:c r="L27" s="7" t="str">
        <x:v>Prioritize availability checks for leading codes after separating merchandise from service charges in a future enriched catalog.</x:v>
      </x:c>
    </x:row>
    <x:row r="28" ht="23" customHeight="1">
      <x:c r="A28" s="2"/>
      <x:c r="B28" s="7" t="str">
        <x:v>Prioritize availability checks for leading codes after separating merchandise from service charges in a future enriched catalog.</x:v>
      </x:c>
      <x:c r="C28" s="7" t="str">
        <x:v>Prioritize availability checks for leading codes after separating merchandise from service charges in a future enriched catalog.</x:v>
      </x:c>
      <x:c r="D28" s="7" t="str">
        <x:v>Prioritize availability checks for leading codes after separating merchandise from service charges in a future enriched catalog.</x:v>
      </x:c>
      <x:c r="E28" s="7" t="str">
        <x:v>Prioritize availability checks for leading codes after separating merchandise from service charges in a future enriched catalog.</x:v>
      </x:c>
      <x:c r="F28" s="7" t="str">
        <x:v>Prioritize availability checks for leading codes after separating merchandise from service charges in a future enriched catalog.</x:v>
      </x:c>
      <x:c r="G28" s="7" t="str">
        <x:v>Prioritize availability checks for leading codes after separating merchandise from service charges in a future enriched catalog.</x:v>
      </x:c>
      <x:c r="H28" s="7" t="str">
        <x:v>Prioritize availability checks for leading codes after separating merchandise from service charges in a future enriched catalog.</x:v>
      </x:c>
      <x:c r="I28" s="7" t="str">
        <x:v>Prioritize availability checks for leading codes after separating merchandise from service charges in a future enriched catalog.</x:v>
      </x:c>
      <x:c r="J28" s="7" t="str">
        <x:v>Prioritize availability checks for leading codes after separating merchandise from service charges in a future enriched catalog.</x:v>
      </x:c>
      <x:c r="K28" s="7" t="str">
        <x:v>Prioritize availability checks for leading codes after separating merchandise from service charges in a future enriched catalog.</x:v>
      </x:c>
      <x:c r="L28" s="7" t="str">
        <x:v>Prioritize availability checks for leading codes after separating merchandise from service charges in a future enriched catalog.</x:v>
      </x:c>
    </x:row>
    <x:row r="29" ht="23" customHeight="1">
      <x:c r="A29" s="2"/>
      <x:c r="B29" s="2"/>
      <x:c r="C29" s="2"/>
      <x:c r="D29" s="2"/>
      <x:c r="E29" s="2"/>
      <x:c r="F29" s="2"/>
      <x:c r="G29" s="2"/>
      <x:c r="H29" s="2"/>
      <x:c r="I29" s="2"/>
      <x:c r="J29" s="2"/>
      <x:c r="K29" s="2"/>
      <x:c r="L29" s="2"/>
    </x:row>
    <x:row r="30" ht="23" customHeight="1">
      <x:c r="A30" s="2"/>
      <x:c r="B30" s="31" t="str">
        <x:v>4. Geographic concentration</x:v>
      </x:c>
      <x:c r="C30" s="31" t="str">
        <x:v>4. Geographic concentration</x:v>
      </x:c>
      <x:c r="D30" s="31" t="str">
        <x:v>4. Geographic concentration</x:v>
      </x:c>
      <x:c r="E30" s="31" t="str">
        <x:v>4. Geographic concentration</x:v>
      </x:c>
      <x:c r="F30" s="31" t="str">
        <x:v>4. Geographic concentration</x:v>
      </x:c>
      <x:c r="G30" s="31" t="str">
        <x:v>4. Geographic concentration</x:v>
      </x:c>
      <x:c r="H30" s="31" t="str">
        <x:v>4. Geographic concentration</x:v>
      </x:c>
      <x:c r="I30" s="31" t="str">
        <x:v>4. Geographic concentration</x:v>
      </x:c>
      <x:c r="J30" s="31" t="str">
        <x:v>4. Geographic concentration</x:v>
      </x:c>
      <x:c r="K30" s="31" t="str">
        <x:v>4. Geographic concentration</x:v>
      </x:c>
      <x:c r="L30" s="31" t="str">
        <x:v>4. Geographic concentration</x:v>
      </x:c>
    </x:row>
    <x:row r="31" ht="23" customHeight="1">
      <x:c r="A31" s="2"/>
      <x:c r="B31" s="17" t="str">
        <x:v>The United Kingdom contributed 84.9% of net sales.</x:v>
      </x:c>
      <x:c r="C31" s="17" t="str">
        <x:v>The United Kingdom contributed 84.9% of net sales.</x:v>
      </x:c>
      <x:c r="D31" s="17" t="str">
        <x:v>The United Kingdom contributed 84.9% of net sales.</x:v>
      </x:c>
      <x:c r="E31" s="17" t="str">
        <x:v>The United Kingdom contributed 84.9% of net sales.</x:v>
      </x:c>
      <x:c r="F31" s="17" t="str">
        <x:v>The United Kingdom contributed 84.9% of net sales.</x:v>
      </x:c>
      <x:c r="G31" s="17" t="str">
        <x:v>The United Kingdom contributed 84.9% of net sales.</x:v>
      </x:c>
      <x:c r="H31" s="17" t="str">
        <x:v>The United Kingdom contributed 84.9% of net sales.</x:v>
      </x:c>
      <x:c r="I31" s="17" t="str">
        <x:v>The United Kingdom contributed 84.9% of net sales.</x:v>
      </x:c>
      <x:c r="J31" s="17" t="str">
        <x:v>The United Kingdom contributed 84.9% of net sales.</x:v>
      </x:c>
      <x:c r="K31" s="17" t="str">
        <x:v>The United Kingdom contributed 84.9% of net sales.</x:v>
      </x:c>
      <x:c r="L31" s="17" t="str">
        <x:v>The United Kingdom contributed 84.9% of net sales.</x:v>
      </x:c>
    </x:row>
    <x:row r="32" ht="23" customHeight="1">
      <x:c r="A32" s="2"/>
      <x:c r="B32" s="17" t="str">
        <x:v>The United Kingdom contributed 84.9% of net sales.</x:v>
      </x:c>
      <x:c r="C32" s="17" t="str">
        <x:v>The United Kingdom contributed 84.9% of net sales.</x:v>
      </x:c>
      <x:c r="D32" s="17" t="str">
        <x:v>The United Kingdom contributed 84.9% of net sales.</x:v>
      </x:c>
      <x:c r="E32" s="17" t="str">
        <x:v>The United Kingdom contributed 84.9% of net sales.</x:v>
      </x:c>
      <x:c r="F32" s="17" t="str">
        <x:v>The United Kingdom contributed 84.9% of net sales.</x:v>
      </x:c>
      <x:c r="G32" s="17" t="str">
        <x:v>The United Kingdom contributed 84.9% of net sales.</x:v>
      </x:c>
      <x:c r="H32" s="17" t="str">
        <x:v>The United Kingdom contributed 84.9% of net sales.</x:v>
      </x:c>
      <x:c r="I32" s="17" t="str">
        <x:v>The United Kingdom contributed 84.9% of net sales.</x:v>
      </x:c>
      <x:c r="J32" s="17" t="str">
        <x:v>The United Kingdom contributed 84.9% of net sales.</x:v>
      </x:c>
      <x:c r="K32" s="17" t="str">
        <x:v>The United Kingdom contributed 84.9% of net sales.</x:v>
      </x:c>
      <x:c r="L32" s="17" t="str">
        <x:v>The United Kingdom contributed 84.9% of net sales.</x:v>
      </x:c>
    </x:row>
    <x:row r="33" ht="23" customHeight="1">
      <x:c r="A33" s="2"/>
      <x:c r="B33" s="17" t="str">
        <x:v>The United Kingdom contributed 84.9% of net sales.</x:v>
      </x:c>
      <x:c r="C33" s="17" t="str">
        <x:v>The United Kingdom contributed 84.9% of net sales.</x:v>
      </x:c>
      <x:c r="D33" s="17" t="str">
        <x:v>The United Kingdom contributed 84.9% of net sales.</x:v>
      </x:c>
      <x:c r="E33" s="17" t="str">
        <x:v>The United Kingdom contributed 84.9% of net sales.</x:v>
      </x:c>
      <x:c r="F33" s="17" t="str">
        <x:v>The United Kingdom contributed 84.9% of net sales.</x:v>
      </x:c>
      <x:c r="G33" s="17" t="str">
        <x:v>The United Kingdom contributed 84.9% of net sales.</x:v>
      </x:c>
      <x:c r="H33" s="17" t="str">
        <x:v>The United Kingdom contributed 84.9% of net sales.</x:v>
      </x:c>
      <x:c r="I33" s="17" t="str">
        <x:v>The United Kingdom contributed 84.9% of net sales.</x:v>
      </x:c>
      <x:c r="J33" s="17" t="str">
        <x:v>The United Kingdom contributed 84.9% of net sales.</x:v>
      </x:c>
      <x:c r="K33" s="17" t="str">
        <x:v>The United Kingdom contributed 84.9% of net sales.</x:v>
      </x:c>
      <x:c r="L33" s="17" t="str">
        <x:v>The United Kingdom contributed 84.9% of net sales.</x:v>
      </x:c>
    </x:row>
    <x:row r="34" ht="23" customHeight="1">
      <x:c r="A34" s="2"/>
      <x:c r="B34" s="7" t="str">
        <x:v>Evaluate the largest international markets separately. Sales alone do not establish profitability or acquisition efficiency.</x:v>
      </x:c>
      <x:c r="C34" s="7" t="str">
        <x:v>Evaluate the largest international markets separately. Sales alone do not establish profitability or acquisition efficiency.</x:v>
      </x:c>
      <x:c r="D34" s="7" t="str">
        <x:v>Evaluate the largest international markets separately. Sales alone do not establish profitability or acquisition efficiency.</x:v>
      </x:c>
      <x:c r="E34" s="7" t="str">
        <x:v>Evaluate the largest international markets separately. Sales alone do not establish profitability or acquisition efficiency.</x:v>
      </x:c>
      <x:c r="F34" s="7" t="str">
        <x:v>Evaluate the largest international markets separately. Sales alone do not establish profitability or acquisition efficiency.</x:v>
      </x:c>
      <x:c r="G34" s="7" t="str">
        <x:v>Evaluate the largest international markets separately. Sales alone do not establish profitability or acquisition efficiency.</x:v>
      </x:c>
      <x:c r="H34" s="7" t="str">
        <x:v>Evaluate the largest international markets separately. Sales alone do not establish profitability or acquisition efficiency.</x:v>
      </x:c>
      <x:c r="I34" s="7" t="str">
        <x:v>Evaluate the largest international markets separately. Sales alone do not establish profitability or acquisition efficiency.</x:v>
      </x:c>
      <x:c r="J34" s="7" t="str">
        <x:v>Evaluate the largest international markets separately. Sales alone do not establish profitability or acquisition efficiency.</x:v>
      </x:c>
      <x:c r="K34" s="7" t="str">
        <x:v>Evaluate the largest international markets separately. Sales alone do not establish profitability or acquisition efficiency.</x:v>
      </x:c>
      <x:c r="L34" s="7" t="str">
        <x:v>Evaluate the largest international markets separately. Sales alone do not establish profitability or acquisition efficiency.</x:v>
      </x:c>
    </x:row>
    <x:row r="35" ht="23" customHeight="1">
      <x:c r="A35" s="2"/>
      <x:c r="B35" s="7" t="str">
        <x:v>Evaluate the largest international markets separately. Sales alone do not establish profitability or acquisition efficiency.</x:v>
      </x:c>
      <x:c r="C35" s="7" t="str">
        <x:v>Evaluate the largest international markets separately. Sales alone do not establish profitability or acquisition efficiency.</x:v>
      </x:c>
      <x:c r="D35" s="7" t="str">
        <x:v>Evaluate the largest international markets separately. Sales alone do not establish profitability or acquisition efficiency.</x:v>
      </x:c>
      <x:c r="E35" s="7" t="str">
        <x:v>Evaluate the largest international markets separately. Sales alone do not establish profitability or acquisition efficiency.</x:v>
      </x:c>
      <x:c r="F35" s="7" t="str">
        <x:v>Evaluate the largest international markets separately. Sales alone do not establish profitability or acquisition efficiency.</x:v>
      </x:c>
      <x:c r="G35" s="7" t="str">
        <x:v>Evaluate the largest international markets separately. Sales alone do not establish profitability or acquisition efficiency.</x:v>
      </x:c>
      <x:c r="H35" s="7" t="str">
        <x:v>Evaluate the largest international markets separately. Sales alone do not establish profitability or acquisition efficiency.</x:v>
      </x:c>
      <x:c r="I35" s="7" t="str">
        <x:v>Evaluate the largest international markets separately. Sales alone do not establish profitability or acquisition efficiency.</x:v>
      </x:c>
      <x:c r="J35" s="7" t="str">
        <x:v>Evaluate the largest international markets separately. Sales alone do not establish profitability or acquisition efficiency.</x:v>
      </x:c>
      <x:c r="K35" s="7" t="str">
        <x:v>Evaluate the largest international markets separately. Sales alone do not establish profitability or acquisition efficiency.</x:v>
      </x:c>
      <x:c r="L35" s="7" t="str">
        <x:v>Evaluate the largest international markets separately. Sales alone do not establish profitability or acquisition efficiency.</x:v>
      </x:c>
    </x:row>
    <x:row r="36" ht="23" customHeight="1">
      <x:c r="A36" s="2"/>
      <x:c r="B36" s="7" t="str">
        <x:v>Evaluate the largest international markets separately. Sales alone do not establish profitability or acquisition efficiency.</x:v>
      </x:c>
      <x:c r="C36" s="7" t="str">
        <x:v>Evaluate the largest international markets separately. Sales alone do not establish profitability or acquisition efficiency.</x:v>
      </x:c>
      <x:c r="D36" s="7" t="str">
        <x:v>Evaluate the largest international markets separately. Sales alone do not establish profitability or acquisition efficiency.</x:v>
      </x:c>
      <x:c r="E36" s="7" t="str">
        <x:v>Evaluate the largest international markets separately. Sales alone do not establish profitability or acquisition efficiency.</x:v>
      </x:c>
      <x:c r="F36" s="7" t="str">
        <x:v>Evaluate the largest international markets separately. Sales alone do not establish profitability or acquisition efficiency.</x:v>
      </x:c>
      <x:c r="G36" s="7" t="str">
        <x:v>Evaluate the largest international markets separately. Sales alone do not establish profitability or acquisition efficiency.</x:v>
      </x:c>
      <x:c r="H36" s="7" t="str">
        <x:v>Evaluate the largest international markets separately. Sales alone do not establish profitability or acquisition efficiency.</x:v>
      </x:c>
      <x:c r="I36" s="7" t="str">
        <x:v>Evaluate the largest international markets separately. Sales alone do not establish profitability or acquisition efficiency.</x:v>
      </x:c>
      <x:c r="J36" s="7" t="str">
        <x:v>Evaluate the largest international markets separately. Sales alone do not establish profitability or acquisition efficiency.</x:v>
      </x:c>
      <x:c r="K36" s="7" t="str">
        <x:v>Evaluate the largest international markets separately. Sales alone do not establish profitability or acquisition efficiency.</x:v>
      </x:c>
      <x:c r="L36" s="7" t="str">
        <x:v>Evaluate the largest international markets separately. Sales alone do not establish profitability or acquisition efficiency.</x:v>
      </x:c>
    </x:row>
    <x:row r="37" ht="23" customHeight="1">
      <x:c r="A37" s="2"/>
      <x:c r="B37" s="2"/>
      <x:c r="C37" s="2"/>
      <x:c r="D37" s="2"/>
      <x:c r="E37" s="2"/>
      <x:c r="F37" s="2"/>
      <x:c r="G37" s="2"/>
      <x:c r="H37" s="2"/>
      <x:c r="I37" s="2"/>
      <x:c r="J37" s="2"/>
      <x:c r="K37" s="2"/>
      <x:c r="L37" s="2"/>
    </x:row>
    <x:row r="38" ht="23" customHeight="1">
      <x:c r="A38" s="2"/>
      <x:c r="B38" s="31" t="str">
        <x:v>5. Comparable growth</x:v>
      </x:c>
      <x:c r="C38" s="31" t="str">
        <x:v>5. Comparable growth</x:v>
      </x:c>
      <x:c r="D38" s="31" t="str">
        <x:v>5. Comparable growth</x:v>
      </x:c>
      <x:c r="E38" s="31" t="str">
        <x:v>5. Comparable growth</x:v>
      </x:c>
      <x:c r="F38" s="31" t="str">
        <x:v>5. Comparable growth</x:v>
      </x:c>
      <x:c r="G38" s="31" t="str">
        <x:v>5. Comparable growth</x:v>
      </x:c>
      <x:c r="H38" s="31" t="str">
        <x:v>5. Comparable growth</x:v>
      </x:c>
      <x:c r="I38" s="31" t="str">
        <x:v>5. Comparable growth</x:v>
      </x:c>
      <x:c r="J38" s="31" t="str">
        <x:v>5. Comparable growth</x:v>
      </x:c>
      <x:c r="K38" s="31" t="str">
        <x:v>5. Comparable growth</x:v>
      </x:c>
      <x:c r="L38" s="31" t="str">
        <x:v>5. Comparable growth</x:v>
      </x:c>
    </x:row>
    <x:row r="39" ht="23" customHeight="1">
      <x:c r="A39" s="2"/>
      <x:c r="B39" s="17" t="str">
        <x:v>Net sales rose 1.05% from Jan–Nov 2010 to Jan–Nov 2011.</x:v>
      </x:c>
      <x:c r="C39" s="17" t="str">
        <x:v>Net sales rose 1.05% from Jan–Nov 2010 to Jan–Nov 2011.</x:v>
      </x:c>
      <x:c r="D39" s="17" t="str">
        <x:v>Net sales rose 1.05% from Jan–Nov 2010 to Jan–Nov 2011.</x:v>
      </x:c>
      <x:c r="E39" s="17" t="str">
        <x:v>Net sales rose 1.05% from Jan–Nov 2010 to Jan–Nov 2011.</x:v>
      </x:c>
      <x:c r="F39" s="17" t="str">
        <x:v>Net sales rose 1.05% from Jan–Nov 2010 to Jan–Nov 2011.</x:v>
      </x:c>
      <x:c r="G39" s="17" t="str">
        <x:v>Net sales rose 1.05% from Jan–Nov 2010 to Jan–Nov 2011.</x:v>
      </x:c>
      <x:c r="H39" s="17" t="str">
        <x:v>Net sales rose 1.05% from Jan–Nov 2010 to Jan–Nov 2011.</x:v>
      </x:c>
      <x:c r="I39" s="17" t="str">
        <x:v>Net sales rose 1.05% from Jan–Nov 2010 to Jan–Nov 2011.</x:v>
      </x:c>
      <x:c r="J39" s="17" t="str">
        <x:v>Net sales rose 1.05% from Jan–Nov 2010 to Jan–Nov 2011.</x:v>
      </x:c>
      <x:c r="K39" s="17" t="str">
        <x:v>Net sales rose 1.05% from Jan–Nov 2010 to Jan–Nov 2011.</x:v>
      </x:c>
      <x:c r="L39" s="17" t="str">
        <x:v>Net sales rose 1.05% from Jan–Nov 2010 to Jan–Nov 2011.</x:v>
      </x:c>
    </x:row>
    <x:row r="40" ht="23" customHeight="1">
      <x:c r="A40" s="2"/>
      <x:c r="B40" s="17" t="str">
        <x:v>Net sales rose 1.05% from Jan–Nov 2010 to Jan–Nov 2011.</x:v>
      </x:c>
      <x:c r="C40" s="17" t="str">
        <x:v>Net sales rose 1.05% from Jan–Nov 2010 to Jan–Nov 2011.</x:v>
      </x:c>
      <x:c r="D40" s="17" t="str">
        <x:v>Net sales rose 1.05% from Jan–Nov 2010 to Jan–Nov 2011.</x:v>
      </x:c>
      <x:c r="E40" s="17" t="str">
        <x:v>Net sales rose 1.05% from Jan–Nov 2010 to Jan–Nov 2011.</x:v>
      </x:c>
      <x:c r="F40" s="17" t="str">
        <x:v>Net sales rose 1.05% from Jan–Nov 2010 to Jan–Nov 2011.</x:v>
      </x:c>
      <x:c r="G40" s="17" t="str">
        <x:v>Net sales rose 1.05% from Jan–Nov 2010 to Jan–Nov 2011.</x:v>
      </x:c>
      <x:c r="H40" s="17" t="str">
        <x:v>Net sales rose 1.05% from Jan–Nov 2010 to Jan–Nov 2011.</x:v>
      </x:c>
      <x:c r="I40" s="17" t="str">
        <x:v>Net sales rose 1.05% from Jan–Nov 2010 to Jan–Nov 2011.</x:v>
      </x:c>
      <x:c r="J40" s="17" t="str">
        <x:v>Net sales rose 1.05% from Jan–Nov 2010 to Jan–Nov 2011.</x:v>
      </x:c>
      <x:c r="K40" s="17" t="str">
        <x:v>Net sales rose 1.05% from Jan–Nov 2010 to Jan–Nov 2011.</x:v>
      </x:c>
      <x:c r="L40" s="17" t="str">
        <x:v>Net sales rose 1.05% from Jan–Nov 2010 to Jan–Nov 2011.</x:v>
      </x:c>
    </x:row>
    <x:row r="41" ht="23" customHeight="1">
      <x:c r="A41" s="2"/>
      <x:c r="B41" s="17" t="str">
        <x:v>Net sales rose 1.05% from Jan–Nov 2010 to Jan–Nov 2011.</x:v>
      </x:c>
      <x:c r="C41" s="17" t="str">
        <x:v>Net sales rose 1.05% from Jan–Nov 2010 to Jan–Nov 2011.</x:v>
      </x:c>
      <x:c r="D41" s="17" t="str">
        <x:v>Net sales rose 1.05% from Jan–Nov 2010 to Jan–Nov 2011.</x:v>
      </x:c>
      <x:c r="E41" s="17" t="str">
        <x:v>Net sales rose 1.05% from Jan–Nov 2010 to Jan–Nov 2011.</x:v>
      </x:c>
      <x:c r="F41" s="17" t="str">
        <x:v>Net sales rose 1.05% from Jan–Nov 2010 to Jan–Nov 2011.</x:v>
      </x:c>
      <x:c r="G41" s="17" t="str">
        <x:v>Net sales rose 1.05% from Jan–Nov 2010 to Jan–Nov 2011.</x:v>
      </x:c>
      <x:c r="H41" s="17" t="str">
        <x:v>Net sales rose 1.05% from Jan–Nov 2010 to Jan–Nov 2011.</x:v>
      </x:c>
      <x:c r="I41" s="17" t="str">
        <x:v>Net sales rose 1.05% from Jan–Nov 2010 to Jan–Nov 2011.</x:v>
      </x:c>
      <x:c r="J41" s="17" t="str">
        <x:v>Net sales rose 1.05% from Jan–Nov 2010 to Jan–Nov 2011.</x:v>
      </x:c>
      <x:c r="K41" s="17" t="str">
        <x:v>Net sales rose 1.05% from Jan–Nov 2010 to Jan–Nov 2011.</x:v>
      </x:c>
      <x:c r="L41" s="17" t="str">
        <x:v>Net sales rose 1.05% from Jan–Nov 2010 to Jan–Nov 2011.</x:v>
      </x:c>
    </x:row>
    <x:row r="42" ht="23" customHeight="1">
      <x:c r="A42" s="2"/>
      <x:c r="B42" s="7" t="str">
        <x:v>Compare matched complete months. December 2011 is partial and should not be compared with full December 2010.</x:v>
      </x:c>
      <x:c r="C42" s="7" t="str">
        <x:v>Compare matched complete months. December 2011 is partial and should not be compared with full December 2010.</x:v>
      </x:c>
      <x:c r="D42" s="7" t="str">
        <x:v>Compare matched complete months. December 2011 is partial and should not be compared with full December 2010.</x:v>
      </x:c>
      <x:c r="E42" s="7" t="str">
        <x:v>Compare matched complete months. December 2011 is partial and should not be compared with full December 2010.</x:v>
      </x:c>
      <x:c r="F42" s="7" t="str">
        <x:v>Compare matched complete months. December 2011 is partial and should not be compared with full December 2010.</x:v>
      </x:c>
      <x:c r="G42" s="7" t="str">
        <x:v>Compare matched complete months. December 2011 is partial and should not be compared with full December 2010.</x:v>
      </x:c>
      <x:c r="H42" s="7" t="str">
        <x:v>Compare matched complete months. December 2011 is partial and should not be compared with full December 2010.</x:v>
      </x:c>
      <x:c r="I42" s="7" t="str">
        <x:v>Compare matched complete months. December 2011 is partial and should not be compared with full December 2010.</x:v>
      </x:c>
      <x:c r="J42" s="7" t="str">
        <x:v>Compare matched complete months. December 2011 is partial and should not be compared with full December 2010.</x:v>
      </x:c>
      <x:c r="K42" s="7" t="str">
        <x:v>Compare matched complete months. December 2011 is partial and should not be compared with full December 2010.</x:v>
      </x:c>
      <x:c r="L42" s="7" t="str">
        <x:v>Compare matched complete months. December 2011 is partial and should not be compared with full December 2010.</x:v>
      </x:c>
    </x:row>
    <x:row r="43" ht="23" customHeight="1">
      <x:c r="A43" s="2"/>
      <x:c r="B43" s="7" t="str">
        <x:v>Compare matched complete months. December 2011 is partial and should not be compared with full December 2010.</x:v>
      </x:c>
      <x:c r="C43" s="7" t="str">
        <x:v>Compare matched complete months. December 2011 is partial and should not be compared with full December 2010.</x:v>
      </x:c>
      <x:c r="D43" s="7" t="str">
        <x:v>Compare matched complete months. December 2011 is partial and should not be compared with full December 2010.</x:v>
      </x:c>
      <x:c r="E43" s="7" t="str">
        <x:v>Compare matched complete months. December 2011 is partial and should not be compared with full December 2010.</x:v>
      </x:c>
      <x:c r="F43" s="7" t="str">
        <x:v>Compare matched complete months. December 2011 is partial and should not be compared with full December 2010.</x:v>
      </x:c>
      <x:c r="G43" s="7" t="str">
        <x:v>Compare matched complete months. December 2011 is partial and should not be compared with full December 2010.</x:v>
      </x:c>
      <x:c r="H43" s="7" t="str">
        <x:v>Compare matched complete months. December 2011 is partial and should not be compared with full December 2010.</x:v>
      </x:c>
      <x:c r="I43" s="7" t="str">
        <x:v>Compare matched complete months. December 2011 is partial and should not be compared with full December 2010.</x:v>
      </x:c>
      <x:c r="J43" s="7" t="str">
        <x:v>Compare matched complete months. December 2011 is partial and should not be compared with full December 2010.</x:v>
      </x:c>
      <x:c r="K43" s="7" t="str">
        <x:v>Compare matched complete months. December 2011 is partial and should not be compared with full December 2010.</x:v>
      </x:c>
      <x:c r="L43" s="7" t="str">
        <x:v>Compare matched complete months. December 2011 is partial and should not be compared with full December 2010.</x:v>
      </x:c>
    </x:row>
    <x:row r="44" ht="23" customHeight="1">
      <x:c r="A44" s="2"/>
      <x:c r="B44" s="7" t="str">
        <x:v>Compare matched complete months. December 2011 is partial and should not be compared with full December 2010.</x:v>
      </x:c>
      <x:c r="C44" s="7" t="str">
        <x:v>Compare matched complete months. December 2011 is partial and should not be compared with full December 2010.</x:v>
      </x:c>
      <x:c r="D44" s="7" t="str">
        <x:v>Compare matched complete months. December 2011 is partial and should not be compared with full December 2010.</x:v>
      </x:c>
      <x:c r="E44" s="7" t="str">
        <x:v>Compare matched complete months. December 2011 is partial and should not be compared with full December 2010.</x:v>
      </x:c>
      <x:c r="F44" s="7" t="str">
        <x:v>Compare matched complete months. December 2011 is partial and should not be compared with full December 2010.</x:v>
      </x:c>
      <x:c r="G44" s="7" t="str">
        <x:v>Compare matched complete months. December 2011 is partial and should not be compared with full December 2010.</x:v>
      </x:c>
      <x:c r="H44" s="7" t="str">
        <x:v>Compare matched complete months. December 2011 is partial and should not be compared with full December 2010.</x:v>
      </x:c>
      <x:c r="I44" s="7" t="str">
        <x:v>Compare matched complete months. December 2011 is partial and should not be compared with full December 2010.</x:v>
      </x:c>
      <x:c r="J44" s="7" t="str">
        <x:v>Compare matched complete months. December 2011 is partial and should not be compared with full December 2010.</x:v>
      </x:c>
      <x:c r="K44" s="7" t="str">
        <x:v>Compare matched complete months. December 2011 is partial and should not be compared with full December 2010.</x:v>
      </x:c>
      <x:c r="L44" s="7" t="str">
        <x:v>Compare matched complete months. December 2011 is partial and should not be compared with full December 2010.</x:v>
      </x:c>
    </x:row>
    <x:row r="45" ht="23" customHeight="1">
      <x:c r="A45" s="2"/>
      <x:c r="B45" s="2"/>
      <x:c r="C45" s="2"/>
      <x:c r="D45" s="2"/>
      <x:c r="E45" s="2"/>
      <x:c r="F45" s="2"/>
      <x:c r="G45" s="2"/>
      <x:c r="H45" s="2"/>
      <x:c r="I45" s="2"/>
      <x:c r="J45" s="2"/>
      <x:c r="K45" s="2"/>
      <x:c r="L45" s="2"/>
    </x:row>
    <x:row r="46" ht="23" customHeight="1">
      <x:c r="A46" s="2"/>
      <x:c r="B46" s="2"/>
      <x:c r="C46" s="2"/>
      <x:c r="D46" s="2"/>
      <x:c r="E46" s="2"/>
      <x:c r="F46" s="2"/>
      <x:c r="G46" s="2"/>
      <x:c r="H46" s="2"/>
      <x:c r="I46" s="2"/>
      <x:c r="J46" s="2"/>
      <x:c r="K46" s="2"/>
      <x:c r="L46" s="2"/>
    </x:row>
    <x:row r="47" ht="23" customHeight="1">
      <x:c r="A47" s="2"/>
      <x:c r="B47" s="2"/>
      <x:c r="C47" s="2"/>
      <x:c r="D47" s="2"/>
      <x:c r="E47" s="2"/>
      <x:c r="F47" s="2"/>
      <x:c r="G47" s="2"/>
      <x:c r="H47" s="2"/>
      <x:c r="I47" s="2"/>
      <x:c r="J47" s="2"/>
      <x:c r="K47" s="2"/>
      <x:c r="L47" s="2"/>
    </x:row>
    <x:row r="48" ht="23" customHeight="1">
      <x:c r="A48" s="2"/>
      <x:c r="B48" s="2"/>
      <x:c r="C48" s="2"/>
      <x:c r="D48" s="2"/>
      <x:c r="E48" s="2"/>
      <x:c r="F48" s="2"/>
      <x:c r="G48" s="2"/>
      <x:c r="H48" s="2"/>
      <x:c r="I48" s="2"/>
      <x:c r="J48" s="2"/>
      <x:c r="K48" s="2"/>
      <x:c r="L48" s="2"/>
    </x:row>
    <x:row r="49" ht="23" customHeight="1">
      <x:c r="A49" s="2"/>
      <x:c r="B49" s="2"/>
      <x:c r="C49" s="2"/>
      <x:c r="D49" s="2"/>
      <x:c r="E49" s="2"/>
      <x:c r="F49" s="2"/>
      <x:c r="G49" s="2"/>
      <x:c r="H49" s="2"/>
      <x:c r="I49" s="2"/>
      <x:c r="J49" s="2"/>
      <x:c r="K49" s="2"/>
      <x:c r="L49" s="2"/>
    </x:row>
  </x:sheetData>
  <x:mergeCells>
    <x:mergeCell ref="B2:L3"/>
    <x:mergeCell ref="B4:L4"/>
    <x:mergeCell ref="B6:L6"/>
    <x:mergeCell ref="B7:L9"/>
    <x:mergeCell ref="B10:L12"/>
    <x:mergeCell ref="B14:L14"/>
    <x:mergeCell ref="B15:L17"/>
    <x:mergeCell ref="B18:L20"/>
    <x:mergeCell ref="B22:L22"/>
    <x:mergeCell ref="B23:L25"/>
    <x:mergeCell ref="B26:L28"/>
    <x:mergeCell ref="B30:L30"/>
    <x:mergeCell ref="B31:L33"/>
    <x:mergeCell ref="B34:L36"/>
    <x:mergeCell ref="B38:L38"/>
    <x:mergeCell ref="B39:L41"/>
    <x:mergeCell ref="B42:L44"/>
  </x:mergeCells>
  <x:pageMargins left="0.7" right="0.7" top="0.75" bottom="0.75" header="0.3" footer="0.3"/>
</x:worksheet>
</file>

<file path=xl/worksheets/sheet8.xml><?xml version="1.0" encoding="utf-8"?>
<x:worksheet xmlns:x="http://schemas.openxmlformats.org/spreadsheetml/2006/main">
  <x:sheetPr>
    <x:tabColor rgb="FF627183"/>
  </x:sheetPr>
  <x:sheetViews>
    <x:sheetView showGridLines="0" workbookViewId="0"/>
  </x:sheetViews>
  <x:sheetFormatPr defaultRowHeight="15"/>
  <x:cols>
    <x:col min="1" max="1" width="3" hidden="0" customWidth="1"/>
    <x:col min="2" max="2" width="38" hidden="0" customWidth="1"/>
    <x:col min="3" max="3" width="17" hidden="0" customWidth="1"/>
    <x:col min="4" max="4" width="90" hidden="0" customWidth="1"/>
    <x:col min="5" max="5" width="13" hidden="0" customWidth="1"/>
  </x:cols>
  <x:sheetData>
    <x:row r="1" ht="23" customHeight="1">
      <x:c r="A1" s="2"/>
      <x:c r="B1" s="2"/>
      <x:c r="C1" s="2"/>
      <x:c r="D1" s="2"/>
      <x:c r="E1" s="2"/>
    </x:row>
    <x:row r="2" ht="23" customHeight="1">
      <x:c r="A2" s="2"/>
      <x:c r="B2" s="4" t="str">
        <x:v>Data quality and reconciliation</x:v>
      </x:c>
      <x:c r="C2" s="4" t="str">
        <x:v>Data quality and reconciliation</x:v>
      </x:c>
      <x:c r="D2" s="4" t="str">
        <x:v>Data quality and reconciliation</x:v>
      </x:c>
      <x:c r="E2" s="4" t="str">
        <x:v>Data quality and reconciliation</x:v>
      </x:c>
    </x:row>
    <x:row r="3" ht="23" customHeight="1">
      <x:c r="A3" s="2"/>
      <x:c r="B3" s="5" t="str">
        <x:v>Data quality and reconciliation</x:v>
      </x:c>
      <x:c r="C3" s="5" t="str">
        <x:v>Data quality and reconciliation</x:v>
      </x:c>
      <x:c r="D3" s="5" t="str">
        <x:v>Data quality and reconciliation</x:v>
      </x:c>
      <x:c r="E3" s="5" t="str">
        <x:v>Data quality and reconciliation</x:v>
      </x:c>
    </x:row>
    <x:row r="4" ht="23" customHeight="1">
      <x:c r="A4" s="2"/>
      <x:c r="B4" s="7" t="str">
        <x:v>Cross-sheet import overlap removed. Remaining repeated lines retained. Diagnostic counts may overlap.</x:v>
      </x:c>
      <x:c r="C4" s="7" t="str">
        <x:v>Cross-sheet import overlap removed. Remaining repeated lines retained. Diagnostic counts may overlap.</x:v>
      </x:c>
      <x:c r="D4" s="7" t="str">
        <x:v>Cross-sheet import overlap removed. Remaining repeated lines retained. Diagnostic counts may overlap.</x:v>
      </x:c>
      <x:c r="E4" s="7" t="str">
        <x:v>Cross-sheet import overlap removed. Remaining repeated lines retained. Diagnostic counts may overlap.</x:v>
      </x:c>
    </x:row>
    <x:row r="5" ht="23" customHeight="1">
      <x:c r="A5" s="2"/>
      <x:c r="B5" s="2"/>
      <x:c r="C5" s="2"/>
      <x:c r="D5" s="2"/>
      <x:c r="E5" s="2"/>
    </x:row>
    <x:row r="6" ht="34" customHeight="1">
      <x:c r="A6" s="2"/>
      <x:c r="B6" s="10" t="str">
        <x:v>Condition</x:v>
      </x:c>
      <x:c r="C6" s="10" t="str">
        <x:v>Rows</x:v>
      </x:c>
      <x:c r="D6" s="10" t="str">
        <x:v>Treatment</x:v>
      </x:c>
      <x:c r="E6" s="2"/>
    </x:row>
    <x:row r="7" ht="34" customHeight="1">
      <x:c r="A7" s="2"/>
      <x:c r="B7" s="2" t="str">
        <x:v>Original source rows</x:v>
      </x:c>
      <x:c r="C7" s="21" t="n">
        <x:v>1067371</x:v>
      </x:c>
      <x:c r="D7" s="29" t="str">
        <x:v>Every source row profiled; exact cross-sheet import overlap removed separately.</x:v>
      </x:c>
      <x:c r="E7" s="2"/>
    </x:row>
    <x:row r="8" ht="34" customHeight="1">
      <x:c r="A8" s="2"/>
      <x:c r="B8" s="2" t="str">
        <x:v>Missing customer ID</x:v>
      </x:c>
      <x:c r="C8" s="21" t="n">
        <x:v>235287</x:v>
      </x:c>
      <x:c r="D8" s="29" t="str">
        <x:v>Included in valid sales; excluded from customer, RFM and cohort calculations.</x:v>
      </x:c>
      <x:c r="E8" s="2"/>
    </x:row>
    <x:row r="9" ht="34" customHeight="1">
      <x:c r="A9" s="2"/>
      <x:c r="B9" s="2" t="str">
        <x:v>Missing description</x:v>
      </x:c>
      <x:c r="C9" s="21" t="n">
        <x:v>4275</x:v>
      </x:c>
      <x:c r="D9" s="29" t="str">
        <x:v>Keep product code; use an available description or an explicit unavailable label.</x:v>
      </x:c>
      <x:c r="E9" s="2"/>
    </x:row>
    <x:row r="10" ht="34" customHeight="1">
      <x:c r="A10" s="2"/>
      <x:c r="B10" s="2" t="str">
        <x:v>Within-population repeated lines</x:v>
      </x:c>
      <x:c r="C10" s="21" t="n">
        <x:v>11812</x:v>
      </x:c>
      <x:c r="D10" s="29" t="str">
        <x:v>Retained after removing cross-sheet overlap. No line identifier proves these are errors.</x:v>
      </x:c>
      <x:c r="E10" s="2"/>
    </x:row>
    <x:row r="11" ht="34" customHeight="1">
      <x:c r="A11" s="2"/>
      <x:c r="B11" s="2" t="str">
        <x:v>Cancellation prefix</x:v>
      </x:c>
      <x:c r="C11" s="21" t="n">
        <x:v>19165</x:v>
      </x:c>
      <x:c r="D11" s="29" t="str">
        <x:v>InvoiceNo starts C, case insensitive.</x:v>
      </x:c>
      <x:c r="E11" s="2"/>
    </x:row>
    <x:row r="12" ht="34" customHeight="1">
      <x:c r="A12" s="2"/>
      <x:c r="B12" s="2" t="str">
        <x:v>Negative quantity</x:v>
      </x:c>
      <x:c r="C12" s="21" t="n">
        <x:v>22557</x:v>
      </x:c>
      <x:c r="D12" s="29" t="str">
        <x:v>Return/adjustment candidate; requires positive unit price for monetary inclusion.</x:v>
      </x:c>
      <x:c r="E12" s="2"/>
    </x:row>
    <x:row r="13" ht="34" customHeight="1">
      <x:c r="A13" s="2"/>
      <x:c r="B13" s="2" t="str">
        <x:v>Zero unit price</x:v>
      </x:c>
      <x:c r="C13" s="21" t="n">
        <x:v>6024</x:v>
      </x:c>
      <x:c r="D13" s="29" t="str">
        <x:v>Excluded from monetary metrics; quantity not treated as paid demand.</x:v>
      </x:c>
      <x:c r="E13" s="2"/>
    </x:row>
    <x:row r="14" ht="34" customHeight="1">
      <x:c r="A14" s="2"/>
      <x:c r="B14" s="2" t="str">
        <x:v>Negative unit price</x:v>
      </x:c>
      <x:c r="C14" s="21" t="n">
        <x:v>5</x:v>
      </x:c>
      <x:c r="D14" s="29" t="str">
        <x:v>Excluded from monetary metrics.</x:v>
      </x:c>
      <x:c r="E14" s="2"/>
    </x:row>
    <x:row r="15" ht="34" customHeight="1">
      <x:c r="A15" s="2"/>
      <x:c r="B15" s="2" t="str">
        <x:v>Zero quantity</x:v>
      </x:c>
      <x:c r="C15" s="21" t="n">
        <x:v>0</x:v>
      </x:c>
      <x:c r="D15" s="29" t="str">
        <x:v>Excluded from sales and return populations.</x:v>
      </x:c>
      <x:c r="E15" s="2"/>
    </x:row>
    <x:row r="16" ht="34" customHeight="1">
      <x:c r="A16" s="2"/>
      <x:c r="B16" s="2" t="str">
        <x:v>Invalid date/invoice/country</x:v>
      </x:c>
      <x:c r="C16" s="21" t="n">
        <x:v>0</x:v>
      </x:c>
      <x:c r="D16" s="29" t="str">
        <x:v>Excluded from monetary and order populations.</x:v>
      </x:c>
      <x:c r="E16" s="2"/>
    </x:row>
    <x:row r="17" ht="34" customHeight="1">
      <x:c r="A17" s="2"/>
      <x:c r="B17" s="2" t="str">
        <x:v>Positive-quantity cancellations</x:v>
      </x:c>
      <x:c r="C17" s="21" t="n">
        <x:v>1</x:v>
      </x:c>
      <x:c r="D17" s="29" t="str">
        <x:v>If present, classified as returns at absolute line value.</x:v>
      </x:c>
      <x:c r="E17" s="2"/>
    </x:row>
    <x:row r="18" ht="34" customHeight="1">
      <x:c r="A18" s="2"/>
      <x:c r="B18" s="2" t="str">
        <x:v>Negative quantity without C prefix</x:v>
      </x:c>
      <x:c r="C18" s="21" t="n">
        <x:v>3393</x:v>
      </x:c>
      <x:c r="D18" s="29" t="str">
        <x:v>Treated as return/adjustment if price is positive; intent cannot be proven.</x:v>
      </x:c>
      <x:c r="E18" s="2"/>
    </x:row>
    <x:row r="19" ht="34" customHeight="1">
      <x:c r="A19" s="2"/>
      <x:c r="B19" s="2" t="str">
        <x:v>Included purchase lines</x:v>
      </x:c>
      <x:c r="C19" s="21" t="n">
        <x:v>1019654</x:v>
      </x:c>
      <x:c r="D19" s="29" t="str">
        <x:v>Positive quantity and price, valid keys, no cancellation prefix.</x:v>
      </x:c>
      <x:c r="E19" s="2"/>
    </x:row>
    <x:row r="20" ht="34" customHeight="1">
      <x:c r="A20" s="2"/>
      <x:c r="B20" s="2" t="str">
        <x:v>Included return/adjustment lines</x:v>
      </x:c>
      <x:c r="C20" s="21" t="n">
        <x:v>19165</x:v>
      </x:c>
      <x:c r="D20" s="29" t="str">
        <x:v>Positive price, nonzero quantity, valid keys, and negative quantity or C prefix.</x:v>
      </x:c>
      <x:c r="E20" s="2"/>
    </x:row>
    <x:row r="21" ht="34" customHeight="1">
      <x:c r="A21" s="2"/>
      <x:c r="B21" s="2" t="str">
        <x:v>Excluded monetary lines</x:v>
      </x:c>
      <x:c r="C21" s="21" t="n">
        <x:v>6029</x:v>
      </x:c>
      <x:c r="D21" s="29" t="str">
        <x:v>Reconciles included purchase + return + excluded lines to source.</x:v>
      </x:c>
      <x:c r="E21" s="2"/>
    </x:row>
    <x:row r="22" ht="34" customHeight="1">
      <x:c r="A22" s="2"/>
      <x:c r="B22" s="2" t="str">
        <x:v>Cross-sheet overlap removed</x:v>
      </x:c>
      <x:c r="C22" s="21" t="n">
        <x:v>22523</x:v>
      </x:c>
      <x:c r="D22" s="29" t="str">
        <x:v>Exact eight-field + occurrence matches imported again in the second sheet.</x:v>
      </x:c>
      <x:c r="E22" s="2"/>
    </x:row>
    <x:row r="23" ht="23" customHeight="1">
      <x:c r="A23" s="2"/>
      <x:c r="B23" s="2"/>
      <x:c r="C23" s="2"/>
      <x:c r="D23" s="2"/>
      <x:c r="E23" s="2"/>
    </x:row>
    <x:row r="24" ht="23" customHeight="1">
      <x:c r="A24" s="2"/>
      <x:c r="B24" s="2"/>
      <x:c r="C24" s="2"/>
      <x:c r="D24" s="2"/>
      <x:c r="E24" s="2"/>
    </x:row>
    <x:row r="25" ht="34" customHeight="1">
      <x:c r="A25" s="2"/>
      <x:c r="B25" s="10" t="str">
        <x:v>Check</x:v>
      </x:c>
      <x:c r="C25" s="10" t="str">
        <x:v>Actual</x:v>
      </x:c>
      <x:c r="D25" s="10" t="str">
        <x:v>Expected</x:v>
      </x:c>
      <x:c r="E25" s="10" t="str">
        <x:v>Difference</x:v>
      </x:c>
    </x:row>
    <x:row r="26" ht="22" customHeight="1">
      <x:c r="A26" s="2"/>
      <x:c r="B26" s="2" t="str">
        <x:v>Gross sales</x:v>
      </x:c>
      <x:c r="C26" s="13" t="n">
        <x:f>SUM('Monthly_Data'!D7:D600)</x:f>
        <x:v>20533741.918000035</x:v>
      </x:c>
      <x:c r="D26" s="13" t="n">
        <x:f>'Monthly_Data'!J7</x:f>
        <x:v>20533741.918</x:v>
      </x:c>
      <x:c r="E26" s="13" t="n">
        <x:f>ROUND(C26-D26,6)</x:f>
        <x:v>0</x:v>
      </x:c>
    </x:row>
    <x:row r="27" ht="22" customHeight="1">
      <x:c r="A27" s="2"/>
      <x:c r="B27" s="2" t="str">
        <x:v>Returns</x:v>
      </x:c>
      <x:c r="C27" s="13" t="n">
        <x:f>SUM('Monthly_Data'!E7:E600)</x:f>
        <x:v>1466050.8000000007</x:v>
      </x:c>
      <x:c r="D27" s="13" t="n">
        <x:f>'Monthly_Data'!J8</x:f>
        <x:v>1466050.8</x:v>
      </x:c>
      <x:c r="E27" s="13" t="n">
        <x:f>ROUND(C27-D27,6)</x:f>
        <x:v>0</x:v>
      </x:c>
    </x:row>
    <x:row r="28" ht="22" customHeight="1">
      <x:c r="A28" s="2"/>
      <x:c r="B28" s="2" t="str">
        <x:v>Product net</x:v>
      </x:c>
      <x:c r="C28" s="13" t="n">
        <x:f>SUM('Product_Analysis'!G34:G5337)</x:f>
        <x:v>19067691.11800006</x:v>
      </x:c>
      <x:c r="D28" s="13" t="n">
        <x:f>'Monthly_Data'!J9</x:f>
        <x:v>19067691.118</x:v>
      </x:c>
      <x:c r="E28" s="13" t="n">
        <x:f>ROUND(C28-D28,6)</x:f>
        <x:v>0</x:v>
      </x:c>
    </x:row>
    <x:row r="29" ht="22" customHeight="1">
      <x:c r="A29" s="2"/>
      <x:c r="B29" s="2" t="str">
        <x:v>Country net</x:v>
      </x:c>
      <x:c r="C29" s="13" t="n">
        <x:f>SUM('Regional_Analysis'!E33:E75)</x:f>
        <x:v>19067691.11800001</x:v>
      </x:c>
      <x:c r="D29" s="13" t="n">
        <x:f>'Monthly_Data'!J9</x:f>
        <x:v>19067691.118</x:v>
      </x:c>
      <x:c r="E29" s="13" t="n">
        <x:f>ROUND(C29-D29,6)</x:f>
        <x:v>0</x:v>
      </x:c>
    </x:row>
    <x:row r="30" ht="22" customHeight="1">
      <x:c r="A30" s="2"/>
      <x:c r="B30" s="2" t="str">
        <x:v>Orders</x:v>
      </x:c>
      <x:c r="C30" s="13" t="n">
        <x:f>SUM('Monthly_Data'!F7:F600)</x:f>
        <x:v>40077</x:v>
      </x:c>
      <x:c r="D30" s="13" t="n">
        <x:f>'Monthly_Data'!J10</x:f>
        <x:v>40077</x:v>
      </x:c>
      <x:c r="E30" s="13" t="n">
        <x:f>ROUND(C30-D30,6)</x:f>
        <x:v>0</x:v>
      </x:c>
    </x:row>
    <x:row r="31" ht="22" customHeight="1">
      <x:c r="A31" s="2"/>
      <x:c r="B31" s="2" t="str">
        <x:v>RFM customers</x:v>
      </x:c>
      <x:c r="C31" s="13" t="n">
        <x:f>COUNTA('Customer_RFM'!B39:B5916)</x:f>
        <x:v>5878</x:v>
      </x:c>
      <x:c r="D31" s="13" t="n">
        <x:f>'Monthly_Data'!J11</x:f>
        <x:v>5878</x:v>
      </x:c>
      <x:c r="E31" s="13" t="n">
        <x:f>ROUND(C31-D31,6)</x:f>
        <x:v>0</x:v>
      </x:c>
    </x:row>
    <x:row r="32" ht="22" customHeight="1">
      <x:c r="A32" s="2"/>
      <x:c r="B32" s="2" t="str">
        <x:v>Cohort customers</x:v>
      </x:c>
      <x:c r="C32" s="13" t="n">
        <x:f>SUM('Cohort_Retention'!C11:C35)</x:f>
        <x:v>5878</x:v>
      </x:c>
      <x:c r="D32" s="13" t="n">
        <x:f>'Monthly_Data'!J11</x:f>
        <x:v>5878</x:v>
      </x:c>
      <x:c r="E32" s="13" t="n">
        <x:f>ROUND(C32-D32,6)</x:f>
        <x:v>0</x:v>
      </x:c>
    </x:row>
    <x:row r="33" ht="22" customHeight="1">
      <x:c r="A33" s="2"/>
      <x:c r="B33" s="2" t="str">
        <x:v>Classified source rows</x:v>
      </x:c>
      <x:c r="C33" s="13" t="n">
        <x:f>C19+C20+C21+C22</x:f>
        <x:v>1067371</x:v>
      </x:c>
      <x:c r="D33" s="13" t="n">
        <x:f>'Monthly_Data'!J13</x:f>
        <x:v>1067371</x:v>
      </x:c>
      <x:c r="E33" s="13" t="n">
        <x:f>ROUND(C33-D33,6)</x:f>
        <x:v>0</x:v>
      </x:c>
    </x:row>
    <x:row r="34" ht="23" customHeight="1">
      <x:c r="A34" s="2"/>
      <x:c r="B34" s="2"/>
      <x:c r="C34" s="2"/>
      <x:c r="D34" s="2"/>
      <x:c r="E34" s="2"/>
    </x:row>
    <x:row r="35" ht="23" customHeight="1">
      <x:c r="A35" s="2"/>
      <x:c r="B35" s="2"/>
      <x:c r="C35" s="2"/>
      <x:c r="D35" s="2"/>
      <x:c r="E35" s="2"/>
    </x:row>
    <x:row r="36" ht="23" customHeight="1">
      <x:c r="A36" s="2"/>
      <x:c r="B36" s="17" t="str">
        <x:v>Removing the 11,812 repeated rows after their first occurrence would reduce net sales by £54,228.42. This is a sensitivity case, not an approved cleaning rule.</x:v>
      </x:c>
      <x:c r="C36" s="17" t="str">
        <x:v>Removing the 11,812 repeated rows after their first occurrence would reduce net sales by £54,228.42. This is a sensitivity case, not an approved cleaning rule.</x:v>
      </x:c>
      <x:c r="D36" s="17" t="str">
        <x:v>Removing the 11,812 repeated rows after their first occurrence would reduce net sales by £54,228.42. This is a sensitivity case, not an approved cleaning rule.</x:v>
      </x:c>
      <x:c r="E36" s="17" t="str">
        <x:v>Removing the 11,812 repeated rows after their first occurrence would reduce net sales by £54,228.42. This is a sensitivity case, not an approved cleaning rule.</x:v>
      </x:c>
    </x:row>
    <x:row r="37" ht="23" customHeight="1">
      <x:c r="A37" s="2"/>
      <x:c r="B37" s="17" t="str">
        <x:v>Removing the 11,812 repeated rows after their first occurrence would reduce net sales by £54,228.42. This is a sensitivity case, not an approved cleaning rule.</x:v>
      </x:c>
      <x:c r="C37" s="17" t="str">
        <x:v>Removing the 11,812 repeated rows after their first occurrence would reduce net sales by £54,228.42. This is a sensitivity case, not an approved cleaning rule.</x:v>
      </x:c>
      <x:c r="D37" s="17" t="str">
        <x:v>Removing the 11,812 repeated rows after their first occurrence would reduce net sales by £54,228.42. This is a sensitivity case, not an approved cleaning rule.</x:v>
      </x:c>
      <x:c r="E37" s="17" t="str">
        <x:v>Removing the 11,812 repeated rows after their first occurrence would reduce net sales by £54,228.42. This is a sensitivity case, not an approved cleaning rule.</x:v>
      </x:c>
    </x:row>
    <x:row r="38" ht="23" customHeight="1">
      <x:c r="A38" s="2"/>
      <x:c r="B38" s="17" t="str">
        <x:v>Removing the 11,812 repeated rows after their first occurrence would reduce net sales by £54,228.42. This is a sensitivity case, not an approved cleaning rule.</x:v>
      </x:c>
      <x:c r="C38" s="17" t="str">
        <x:v>Removing the 11,812 repeated rows after their first occurrence would reduce net sales by £54,228.42. This is a sensitivity case, not an approved cleaning rule.</x:v>
      </x:c>
      <x:c r="D38" s="17" t="str">
        <x:v>Removing the 11,812 repeated rows after their first occurrence would reduce net sales by £54,228.42. This is a sensitivity case, not an approved cleaning rule.</x:v>
      </x:c>
      <x:c r="E38" s="17" t="str">
        <x:v>Removing the 11,812 repeated rows after their first occurrence would reduce net sales by £54,228.42. This is a sensitivity case, not an approved cleaning rule.</x:v>
      </x:c>
    </x:row>
    <x:row r="39" ht="23" customHeight="1">
      <x:c r="A39" s="2"/>
      <x:c r="B39" s="2"/>
      <x:c r="C39" s="2"/>
      <x:c r="D39" s="2"/>
      <x:c r="E39" s="2"/>
    </x:row>
    <x:row r="40" ht="23" customHeight="1">
      <x:c r="A40" s="2"/>
      <x:c r="B40" s="17" t="str">
        <x:v>RFM scores are checked to stay within 1–5. Cohort customer counts cannot exceed their cohort size. Preparation also verifies that purchase invoices map to one month and one country. Automated results and export checks are recorded in docs/validation.json.</x:v>
      </x:c>
      <x:c r="C40" s="17" t="str">
        <x:v>RFM scores are checked to stay within 1–5. Cohort customer counts cannot exceed their cohort size. Preparation also verifies that purchase invoices map to one month and one country. Automated results and export checks are recorded in docs/validation.json.</x:v>
      </x:c>
      <x:c r="D40" s="17" t="str">
        <x:v>RFM scores are checked to stay within 1–5. Cohort customer counts cannot exceed their cohort size. Preparation also verifies that purchase invoices map to one month and one country. Automated results and export checks are recorded in docs/validation.json.</x:v>
      </x:c>
      <x:c r="E40" s="17" t="str">
        <x:v>RFM scores are checked to stay within 1–5. Cohort customer counts cannot exceed their cohort size. Preparation also verifies that purchase invoices map to one month and one country. Automated results and export checks are recorded in docs/validation.json.</x:v>
      </x:c>
    </x:row>
    <x:row r="41" ht="23" customHeight="1">
      <x:c r="A41" s="2"/>
      <x:c r="B41" s="17" t="str">
        <x:v>RFM scores are checked to stay within 1–5. Cohort customer counts cannot exceed their cohort size. Preparation also verifies that purchase invoices map to one month and one country. Automated results and export checks are recorded in docs/validation.json.</x:v>
      </x:c>
      <x:c r="C41" s="17" t="str">
        <x:v>RFM scores are checked to stay within 1–5. Cohort customer counts cannot exceed their cohort size. Preparation also verifies that purchase invoices map to one month and one country. Automated results and export checks are recorded in docs/validation.json.</x:v>
      </x:c>
      <x:c r="D41" s="17" t="str">
        <x:v>RFM scores are checked to stay within 1–5. Cohort customer counts cannot exceed their cohort size. Preparation also verifies that purchase invoices map to one month and one country. Automated results and export checks are recorded in docs/validation.json.</x:v>
      </x:c>
      <x:c r="E41" s="17" t="str">
        <x:v>RFM scores are checked to stay within 1–5. Cohort customer counts cannot exceed their cohort size. Preparation also verifies that purchase invoices map to one month and one country. Automated results and export checks are recorded in docs/validation.json.</x:v>
      </x:c>
    </x:row>
    <x:row r="42" ht="23" customHeight="1">
      <x:c r="A42" s="2"/>
      <x:c r="B42" s="17" t="str">
        <x:v>RFM scores are checked to stay within 1–5. Cohort customer counts cannot exceed their cohort size. Preparation also verifies that purchase invoices map to one month and one country. Automated results and export checks are recorded in docs/validation.json.</x:v>
      </x:c>
      <x:c r="C42" s="17" t="str">
        <x:v>RFM scores are checked to stay within 1–5. Cohort customer counts cannot exceed their cohort size. Preparation also verifies that purchase invoices map to one month and one country. Automated results and export checks are recorded in docs/validation.json.</x:v>
      </x:c>
      <x:c r="D42" s="17" t="str">
        <x:v>RFM scores are checked to stay within 1–5. Cohort customer counts cannot exceed their cohort size. Preparation also verifies that purchase invoices map to one month and one country. Automated results and export checks are recorded in docs/validation.json.</x:v>
      </x:c>
      <x:c r="E42" s="17" t="str">
        <x:v>RFM scores are checked to stay within 1–5. Cohort customer counts cannot exceed their cohort size. Preparation also verifies that purchase invoices map to one month and one country. Automated results and export checks are recorded in docs/validation.json.</x:v>
      </x:c>
    </x:row>
    <x:row r="43" ht="23" customHeight="1">
      <x:c r="A43" s="2"/>
      <x:c r="B43" s="17" t="str">
        <x:v>RFM scores are checked to stay within 1–5. Cohort customer counts cannot exceed their cohort size. Preparation also verifies that purchase invoices map to one month and one country. Automated results and export checks are recorded in docs/validation.json.</x:v>
      </x:c>
      <x:c r="C43" s="17" t="str">
        <x:v>RFM scores are checked to stay within 1–5. Cohort customer counts cannot exceed their cohort size. Preparation also verifies that purchase invoices map to one month and one country. Automated results and export checks are recorded in docs/validation.json.</x:v>
      </x:c>
      <x:c r="D43" s="17" t="str">
        <x:v>RFM scores are checked to stay within 1–5. Cohort customer counts cannot exceed their cohort size. Preparation also verifies that purchase invoices map to one month and one country. Automated results and export checks are recorded in docs/validation.json.</x:v>
      </x:c>
      <x:c r="E43" s="17" t="str">
        <x:v>RFM scores are checked to stay within 1–5. Cohort customer counts cannot exceed their cohort size. Preparation also verifies that purchase invoices map to one month and one country. Automated results and export checks are recorded in docs/validation.json.</x:v>
      </x:c>
    </x:row>
    <x:row r="44" ht="23" customHeight="1">
      <x:c r="A44" s="2"/>
      <x:c r="B44" s="2"/>
      <x:c r="C44" s="2"/>
      <x:c r="D44" s="2"/>
      <x:c r="E44" s="2"/>
    </x:row>
    <x:row r="45" ht="23" customHeight="1">
      <x:c r="A45" s="2"/>
      <x:c r="B45" s="17" t="str">
        <x:v>22,523 records repeated across the overlapping source sheets were removed from the second import. Matches use all eight source fields plus within-sheet occurrence number. 1,044,848 lines remain before monetary exclusions. The removed records are supplied as an audit CSV.</x:v>
      </x:c>
      <x:c r="C45" s="17" t="str">
        <x:v>22,523 records repeated across the overlapping source sheets were removed from the second import. Matches use all eight source fields plus within-sheet occurrence number. 1,044,848 lines remain before monetary exclusions. The removed records are supplied as an audit CSV.</x:v>
      </x:c>
      <x:c r="D45" s="17" t="str">
        <x:v>22,523 records repeated across the overlapping source sheets were removed from the second import. Matches use all eight source fields plus within-sheet occurrence number. 1,044,848 lines remain before monetary exclusions. The removed records are supplied as an audit CSV.</x:v>
      </x:c>
      <x:c r="E45" s="17" t="str">
        <x:v>22,523 records repeated across the overlapping source sheets were removed from the second import. Matches use all eight source fields plus within-sheet occurrence number. 1,044,848 lines remain before monetary exclusions. The removed records are supplied as an audit CSV.</x:v>
      </x:c>
    </x:row>
    <x:row r="46" ht="23" customHeight="1">
      <x:c r="A46" s="2"/>
      <x:c r="B46" s="17" t="str">
        <x:v>22,523 records repeated across the overlapping source sheets were removed from the second import. Matches use all eight source fields plus within-sheet occurrence number. 1,044,848 lines remain before monetary exclusions. The removed records are supplied as an audit CSV.</x:v>
      </x:c>
      <x:c r="C46" s="17" t="str">
        <x:v>22,523 records repeated across the overlapping source sheets were removed from the second import. Matches use all eight source fields plus within-sheet occurrence number. 1,044,848 lines remain before monetary exclusions. The removed records are supplied as an audit CSV.</x:v>
      </x:c>
      <x:c r="D46" s="17" t="str">
        <x:v>22,523 records repeated across the overlapping source sheets were removed from the second import. Matches use all eight source fields plus within-sheet occurrence number. 1,044,848 lines remain before monetary exclusions. The removed records are supplied as an audit CSV.</x:v>
      </x:c>
      <x:c r="E46" s="17" t="str">
        <x:v>22,523 records repeated across the overlapping source sheets were removed from the second import. Matches use all eight source fields plus within-sheet occurrence number. 1,044,848 lines remain before monetary exclusions. The removed records are supplied as an audit CSV.</x:v>
      </x:c>
    </x:row>
    <x:row r="47" ht="23" customHeight="1">
      <x:c r="A47" s="2"/>
      <x:c r="B47" s="17" t="str">
        <x:v>22,523 records repeated across the overlapping source sheets were removed from the second import. Matches use all eight source fields plus within-sheet occurrence number. 1,044,848 lines remain before monetary exclusions. The removed records are supplied as an audit CSV.</x:v>
      </x:c>
      <x:c r="C47" s="17" t="str">
        <x:v>22,523 records repeated across the overlapping source sheets were removed from the second import. Matches use all eight source fields plus within-sheet occurrence number. 1,044,848 lines remain before monetary exclusions. The removed records are supplied as an audit CSV.</x:v>
      </x:c>
      <x:c r="D47" s="17" t="str">
        <x:v>22,523 records repeated across the overlapping source sheets were removed from the second import. Matches use all eight source fields plus within-sheet occurrence number. 1,044,848 lines remain before monetary exclusions. The removed records are supplied as an audit CSV.</x:v>
      </x:c>
      <x:c r="E47" s="17" t="str">
        <x:v>22,523 records repeated across the overlapping source sheets were removed from the second import. Matches use all eight source fields plus within-sheet occurrence number. 1,044,848 lines remain before monetary exclusions. The removed records are supplied as an audit CSV.</x:v>
      </x:c>
    </x:row>
    <x:row r="48" ht="23" customHeight="1">
      <x:c r="A48" s="2"/>
      <x:c r="B48" s="17" t="str">
        <x:v>22,523 records repeated across the overlapping source sheets were removed from the second import. Matches use all eight source fields plus within-sheet occurrence number. 1,044,848 lines remain before monetary exclusions. The removed records are supplied as an audit CSV.</x:v>
      </x:c>
      <x:c r="C48" s="17" t="str">
        <x:v>22,523 records repeated across the overlapping source sheets were removed from the second import. Matches use all eight source fields plus within-sheet occurrence number. 1,044,848 lines remain before monetary exclusions. The removed records are supplied as an audit CSV.</x:v>
      </x:c>
      <x:c r="D48" s="17" t="str">
        <x:v>22,523 records repeated across the overlapping source sheets were removed from the second import. Matches use all eight source fields plus within-sheet occurrence number. 1,044,848 lines remain before monetary exclusions. The removed records are supplied as an audit CSV.</x:v>
      </x:c>
      <x:c r="E48" s="17" t="str">
        <x:v>22,523 records repeated across the overlapping source sheets were removed from the second import. Matches use all eight source fields plus within-sheet occurrence number. 1,044,848 lines remain before monetary exclusions. The removed records are supplied as an audit CSV.</x:v>
      </x:c>
    </x:row>
    <x:row r="49" ht="23" customHeight="1">
      <x:c r="A49" s="2"/>
      <x:c r="B49" s="2"/>
      <x:c r="C49" s="2"/>
      <x:c r="D49" s="2"/>
      <x:c r="E49" s="2"/>
    </x:row>
    <x:row r="50" ht="23" customHeight="1">
      <x:c r="A50" s="2"/>
      <x:c r="B50" s="2"/>
      <x:c r="C50" s="2"/>
      <x:c r="D50" s="2"/>
      <x:c r="E50" s="2"/>
    </x:row>
    <x:row r="51" ht="23" customHeight="1">
      <x:c r="A51" s="2"/>
      <x:c r="B51" s="2"/>
      <x:c r="C51" s="2"/>
      <x:c r="D51" s="2"/>
      <x:c r="E51" s="2"/>
    </x:row>
    <x:row r="52" ht="23" customHeight="1">
      <x:c r="A52" s="2"/>
      <x:c r="B52" s="2"/>
      <x:c r="C52" s="2"/>
      <x:c r="D52" s="2"/>
      <x:c r="E52" s="2"/>
    </x:row>
    <x:row r="53" ht="23" customHeight="1">
      <x:c r="A53" s="2"/>
      <x:c r="B53" s="2"/>
      <x:c r="C53" s="2"/>
      <x:c r="D53" s="2"/>
      <x:c r="E53" s="2"/>
    </x:row>
    <x:row r="54" ht="23" customHeight="1">
      <x:c r="A54" s="2"/>
      <x:c r="B54" s="2"/>
      <x:c r="C54" s="2"/>
      <x:c r="D54" s="2"/>
      <x:c r="E54" s="2"/>
    </x:row>
    <x:row r="55" ht="23" customHeight="1">
      <x:c r="A55" s="2"/>
      <x:c r="B55" s="2"/>
      <x:c r="C55" s="2"/>
      <x:c r="D55" s="2"/>
      <x:c r="E55" s="2"/>
    </x:row>
    <x:row r="56" ht="23" customHeight="1">
      <x:c r="A56" s="2"/>
      <x:c r="B56" s="2"/>
      <x:c r="C56" s="2"/>
      <x:c r="D56" s="2"/>
      <x:c r="E56" s="2"/>
    </x:row>
    <x:row r="57" ht="23" customHeight="1">
      <x:c r="A57" s="2"/>
      <x:c r="B57" s="2"/>
      <x:c r="C57" s="2"/>
      <x:c r="D57" s="2"/>
      <x:c r="E57" s="2"/>
    </x:row>
    <x:row r="58" ht="23" customHeight="1">
      <x:c r="A58" s="2"/>
      <x:c r="B58" s="2"/>
      <x:c r="C58" s="2"/>
      <x:c r="D58" s="2"/>
      <x:c r="E58" s="2"/>
    </x:row>
    <x:row r="59" ht="23" customHeight="1">
      <x:c r="A59" s="2"/>
      <x:c r="B59" s="2"/>
      <x:c r="C59" s="2"/>
      <x:c r="D59" s="2"/>
      <x:c r="E59" s="2"/>
    </x:row>
    <x:row r="60" ht="23" customHeight="1">
      <x:c r="A60" s="2"/>
      <x:c r="B60" s="2"/>
      <x:c r="C60" s="2"/>
      <x:c r="D60" s="2"/>
      <x:c r="E60" s="2"/>
    </x:row>
    <x:row r="61" ht="23" customHeight="1">
      <x:c r="A61" s="2"/>
      <x:c r="B61" s="2"/>
      <x:c r="C61" s="2"/>
      <x:c r="D61" s="2"/>
      <x:c r="E61" s="2"/>
    </x:row>
    <x:row r="62" ht="23" customHeight="1">
      <x:c r="A62" s="2"/>
      <x:c r="B62" s="2"/>
      <x:c r="C62" s="2"/>
      <x:c r="D62" s="2"/>
      <x:c r="E62" s="2"/>
    </x:row>
  </x:sheetData>
  <x:mergeCells>
    <x:mergeCell ref="B2:E3"/>
    <x:mergeCell ref="B4:E4"/>
    <x:mergeCell ref="B36:E38"/>
    <x:mergeCell ref="B40:E43"/>
    <x:mergeCell ref="B45:E48"/>
  </x:mergeCells>
  <x:conditionalFormatting sqref="E26:E33">
    <x:cfRule type="cellIs" dxfId="0" priority="1" operator="notEqual">
      <x:formula>0</x:formula>
    </x:cfRule>
  </x:conditionalFormatting>
  <x:pageMargins left="0.7" right="0.7" top="0.75" bottom="0.75" header="0.3" footer="0.3"/>
  <x:tableParts count="2">
    <x:tablePart xmlns:r="http://schemas.openxmlformats.org/officeDocument/2006/relationships" r:id="Ra3d0d26f0f12429b"/>
    <x:tablePart xmlns:r="http://schemas.openxmlformats.org/officeDocument/2006/relationships" r:id="Rf35e44318b714ac0"/>
  </x:tableParts>
</x:worksheet>
</file>

<file path=xl/worksheets/sheet9.xml><?xml version="1.0" encoding="utf-8"?>
<x:worksheet xmlns:x="http://schemas.openxmlformats.org/spreadsheetml/2006/main">
  <x:sheetPr>
    <x:tabColor rgb="FF627183"/>
  </x:sheetPr>
  <x:sheetViews>
    <x:sheetView showGridLines="0" workbookViewId="0"/>
  </x:sheetViews>
  <x:sheetFormatPr defaultRowHeight="15"/>
  <x:cols>
    <x:col min="1" max="1" width="3" hidden="0" customWidth="1"/>
    <x:col min="2" max="2" width="35" hidden="0" customWidth="1"/>
    <x:col min="3" max="3" width="25" hidden="0" customWidth="1"/>
    <x:col min="4" max="4" width="90" hidden="0" customWidth="1"/>
  </x:cols>
  <x:sheetData>
    <x:row r="1" ht="23" customHeight="1">
      <x:c r="A1" s="2"/>
      <x:c r="B1" s="2"/>
      <x:c r="C1" s="2"/>
      <x:c r="D1" s="2"/>
    </x:row>
    <x:row r="2" ht="23" customHeight="1">
      <x:c r="A2" s="2"/>
      <x:c r="B2" s="4" t="str">
        <x:v>Data dictionary and methodology</x:v>
      </x:c>
      <x:c r="C2" s="4" t="str">
        <x:v>Data dictionary and methodology</x:v>
      </x:c>
      <x:c r="D2" s="4" t="str">
        <x:v>Data dictionary and methodology</x:v>
      </x:c>
    </x:row>
    <x:row r="3" ht="23" customHeight="1">
      <x:c r="A3" s="2"/>
      <x:c r="B3" s="5" t="str">
        <x:v>Data dictionary and methodology</x:v>
      </x:c>
      <x:c r="C3" s="5" t="str">
        <x:v>Data dictionary and methodology</x:v>
      </x:c>
      <x:c r="D3" s="5" t="str">
        <x:v>Data dictionary and methodology</x:v>
      </x:c>
    </x:row>
    <x:row r="4" ht="23" customHeight="1">
      <x:c r="A4" s="2"/>
      <x:c r="B4" s="7" t="str">
        <x:v>Source: Chen, D. (2012), Online Retail II. UCI Machine Learning Repository.</x:v>
      </x:c>
      <x:c r="C4" s="7" t="str">
        <x:v>Source: Chen, D. (2012), Online Retail II. UCI Machine Learning Repository.</x:v>
      </x:c>
      <x:c r="D4" s="7" t="str">
        <x:v>Source: Chen, D. (2012), Online Retail II. UCI Machine Learning Repository.</x:v>
      </x:c>
    </x:row>
    <x:row r="5" ht="23" customHeight="1">
      <x:c r="A5" s="2"/>
      <x:c r="B5" s="2"/>
      <x:c r="C5" s="2"/>
      <x:c r="D5" s="2"/>
    </x:row>
    <x:row r="6" ht="23" customHeight="1">
      <x:c r="A6" s="2"/>
      <x:c r="B6" s="15" t="str">
        <x:v>Dataset: https://archive.ics.uci.edu/dataset/502/online+retail+ii
DOI: https://doi.org/10.24432/C5CG6D
License: CC BY 4.0. Downloaded 25 September 2026. Historical coverage: 1 December 2009–9 December 2011.</x:v>
      </x:c>
      <x:c r="C6" s="15" t="str">
        <x:v>Dataset: https://archive.ics.uci.edu/dataset/502/online+retail+ii
DOI: https://doi.org/10.24432/C5CG6D
License: CC BY 4.0. Downloaded 25 September 2026. Historical coverage: 1 December 2009–9 December 2011.</x:v>
      </x:c>
      <x:c r="D6" s="15" t="str">
        <x:v>Dataset: https://archive.ics.uci.edu/dataset/502/online+retail+ii
DOI: https://doi.org/10.24432/C5CG6D
License: CC BY 4.0. Downloaded 25 September 2026. Historical coverage: 1 December 2009–9 December 2011.</x:v>
      </x:c>
    </x:row>
    <x:row r="7" ht="23" customHeight="1">
      <x:c r="A7" s="2"/>
      <x:c r="B7" s="15" t="str">
        <x:v>Dataset: https://archive.ics.uci.edu/dataset/502/online+retail+ii
DOI: https://doi.org/10.24432/C5CG6D
License: CC BY 4.0. Downloaded 25 September 2026. Historical coverage: 1 December 2009–9 December 2011.</x:v>
      </x:c>
      <x:c r="C7" s="15" t="str">
        <x:v>Dataset: https://archive.ics.uci.edu/dataset/502/online+retail+ii
DOI: https://doi.org/10.24432/C5CG6D
License: CC BY 4.0. Downloaded 25 September 2026. Historical coverage: 1 December 2009–9 December 2011.</x:v>
      </x:c>
      <x:c r="D7" s="15" t="str">
        <x:v>Dataset: https://archive.ics.uci.edu/dataset/502/online+retail+ii
DOI: https://doi.org/10.24432/C5CG6D
License: CC BY 4.0. Downloaded 25 September 2026. Historical coverage: 1 December 2009–9 December 2011.</x:v>
      </x:c>
    </x:row>
    <x:row r="8" ht="23" customHeight="1">
      <x:c r="A8" s="2"/>
      <x:c r="B8" s="15" t="str">
        <x:v>Dataset: https://archive.ics.uci.edu/dataset/502/online+retail+ii
DOI: https://doi.org/10.24432/C5CG6D
License: CC BY 4.0. Downloaded 25 September 2026. Historical coverage: 1 December 2009–9 December 2011.</x:v>
      </x:c>
      <x:c r="C8" s="15" t="str">
        <x:v>Dataset: https://archive.ics.uci.edu/dataset/502/online+retail+ii
DOI: https://doi.org/10.24432/C5CG6D
License: CC BY 4.0. Downloaded 25 September 2026. Historical coverage: 1 December 2009–9 December 2011.</x:v>
      </x:c>
      <x:c r="D8" s="15" t="str">
        <x:v>Dataset: https://archive.ics.uci.edu/dataset/502/online+retail+ii
DOI: https://doi.org/10.24432/C5CG6D
License: CC BY 4.0. Downloaded 25 September 2026. Historical coverage: 1 December 2009–9 December 2011.</x:v>
      </x:c>
    </x:row>
    <x:row r="9" ht="23" customHeight="1">
      <x:c r="A9" s="2"/>
      <x:c r="B9" s="2"/>
      <x:c r="C9" s="2"/>
      <x:c r="D9" s="2"/>
    </x:row>
    <x:row r="10" ht="23" customHeight="1">
      <x:c r="A10" s="2"/>
      <x:c r="B10" s="2"/>
      <x:c r="C10" s="2"/>
      <x:c r="D10" s="2"/>
    </x:row>
    <x:row r="11" ht="34" customHeight="1">
      <x:c r="A11" s="2"/>
      <x:c r="B11" s="10" t="str">
        <x:v>Field or metric</x:v>
      </x:c>
      <x:c r="C11" s="10" t="str">
        <x:v>Unit / type</x:v>
      </x:c>
      <x:c r="D11" s="10" t="str">
        <x:v>Definition</x:v>
      </x:c>
    </x:row>
    <x:row r="12" ht="38" customHeight="1">
      <x:c r="A12" s="2"/>
      <x:c r="B12" s="2" t="str">
        <x:v>Invoice → InvoiceNo</x:v>
      </x:c>
      <x:c r="C12" s="2" t="str">
        <x:v>Text identifier</x:v>
      </x:c>
      <x:c r="D12" s="29" t="str">
        <x:v>Invoice reference; leading C indicates cancellation.</x:v>
      </x:c>
    </x:row>
    <x:row r="13" ht="38" customHeight="1">
      <x:c r="A13" s="2"/>
      <x:c r="B13" s="2" t="str">
        <x:v>StockCode</x:v>
      </x:c>
      <x:c r="C13" s="2" t="str">
        <x:v>Text identifier</x:v>
      </x:c>
      <x:c r="D13" s="29" t="str">
        <x:v>Product or service/adjustment code. No category or cost information.</x:v>
      </x:c>
    </x:row>
    <x:row r="14" ht="38" customHeight="1">
      <x:c r="A14" s="2"/>
      <x:c r="B14" s="2" t="str">
        <x:v>Description</x:v>
      </x:c>
      <x:c r="C14" s="2" t="str">
        <x:v>Text</x:v>
      </x:c>
      <x:c r="D14" s="29" t="str">
        <x:v>Item description. Display uses last available description per stock code.</x:v>
      </x:c>
    </x:row>
    <x:row r="15" ht="38" customHeight="1">
      <x:c r="A15" s="2"/>
      <x:c r="B15" s="2" t="str">
        <x:v>Quantity</x:v>
      </x:c>
      <x:c r="C15" s="2" t="str">
        <x:v>Numeric units</x:v>
      </x:c>
      <x:c r="D15" s="29" t="str">
        <x:v>Signed line quantity. Negative values are return/adjustment candidates.</x:v>
      </x:c>
    </x:row>
    <x:row r="16" ht="38" customHeight="1">
      <x:c r="A16" s="2"/>
      <x:c r="B16" s="2" t="str">
        <x:v>InvoiceDate</x:v>
      </x:c>
      <x:c r="C16" s="2" t="str">
        <x:v>Date/time</x:v>
      </x:c>
      <x:c r="D16" s="29" t="str">
        <x:v>Timestamp of the invoice line, as supplied; no timezone conversion.</x:v>
      </x:c>
    </x:row>
    <x:row r="17" ht="38" customHeight="1">
      <x:c r="A17" s="2"/>
      <x:c r="B17" s="2" t="str">
        <x:v>Price → UnitPrice</x:v>
      </x:c>
      <x:c r="C17" s="2" t="str">
        <x:v>GBP per unit</x:v>
      </x:c>
      <x:c r="D17" s="29" t="str">
        <x:v>Source price in pounds sterling. Positive prices required for monetary inclusion.</x:v>
      </x:c>
    </x:row>
    <x:row r="18" ht="38" customHeight="1">
      <x:c r="A18" s="2"/>
      <x:c r="B18" s="2" t="str">
        <x:v>Customer ID → CustomerID</x:v>
      </x:c>
      <x:c r="C18" s="2" t="str">
        <x:v>Text identifier</x:v>
      </x:c>
      <x:c r="D18" s="29" t="str">
        <x:v>Missing values excluded only from customer analyses.</x:v>
      </x:c>
    </x:row>
    <x:row r="19" ht="38" customHeight="1">
      <x:c r="A19" s="2"/>
      <x:c r="B19" s="2" t="str">
        <x:v>Country</x:v>
      </x:c>
      <x:c r="C19" s="2" t="str">
        <x:v>Text</x:v>
      </x:c>
      <x:c r="D19" s="29" t="str">
        <x:v>Customer country of residence as supplied.</x:v>
      </x:c>
    </x:row>
    <x:row r="20" ht="38" customHeight="1">
      <x:c r="A20" s="2"/>
      <x:c r="B20" s="2" t="str">
        <x:v>Gross sales</x:v>
      </x:c>
      <x:c r="C20" s="2" t="str">
        <x:v>GBP</x:v>
      </x:c>
      <x:c r="D20" s="29" t="str">
        <x:v>Quantity × UnitPrice for positive, non-cancelled paid purchase lines.</x:v>
      </x:c>
    </x:row>
    <x:row r="21" ht="38" customHeight="1">
      <x:c r="A21" s="2"/>
      <x:c r="B21" s="2" t="str">
        <x:v>Return value</x:v>
      </x:c>
      <x:c r="C21" s="2" t="str">
        <x:v>GBP, positive</x:v>
      </x:c>
      <x:c r="D21" s="29" t="str">
        <x:v>Absolute Quantity × UnitPrice for negative quantity or C-prefixed invoices with positive price.</x:v>
      </x:c>
    </x:row>
    <x:row r="22" ht="38" customHeight="1">
      <x:c r="A22" s="2"/>
      <x:c r="B22" s="2" t="str">
        <x:v>Net sales</x:v>
      </x:c>
      <x:c r="C22" s="2" t="str">
        <x:v>GBP</x:v>
      </x:c>
      <x:c r="D22" s="29" t="str">
        <x:v>Gross sales less return/adjustment value. Not profit.</x:v>
      </x:c>
    </x:row>
    <x:row r="23" ht="38" customHeight="1">
      <x:c r="A23" s="2"/>
      <x:c r="B23" s="2" t="str">
        <x:v>Orders</x:v>
      </x:c>
      <x:c r="C23" s="2" t="str">
        <x:v>Distinct invoices</x:v>
      </x:c>
      <x:c r="D23" s="29" t="str">
        <x:v>Positive purchase invoices; excludes return-only/cancellation invoices.</x:v>
      </x:c>
    </x:row>
    <x:row r="24" ht="38" customHeight="1">
      <x:c r="A24" s="2"/>
      <x:c r="B24" s="2" t="str">
        <x:v>Gross AOV</x:v>
      </x:c>
      <x:c r="C24" s="2" t="str">
        <x:v>GBP per order</x:v>
      </x:c>
      <x:c r="D24" s="29" t="str">
        <x:v>Gross sales divided by distinct positive purchase invoices.</x:v>
      </x:c>
    </x:row>
    <x:row r="25" ht="38" customHeight="1">
      <x:c r="A25" s="2"/>
      <x:c r="B25" s="2" t="str">
        <x:v>Recency / frequency / monetary</x:v>
      </x:c>
      <x:c r="C25" s="2" t="str">
        <x:v>Days / orders / GBP</x:v>
      </x:c>
      <x:c r="D25" s="29" t="str">
        <x:v>Days since latest positive purchase; distinct positive invoices; gross positive purchase spend.</x:v>
      </x:c>
    </x:row>
    <x:row r="26" ht="38" customHeight="1">
      <x:c r="A26" s="2"/>
      <x:c r="B26" s="2" t="str">
        <x:v>Repeat purchase rate</x:v>
      </x:c>
      <x:c r="C26" s="2" t="str">
        <x:v>Proportion</x:v>
      </x:c>
      <x:c r="D26" s="29" t="str">
        <x:v>Identified customers with ≥2 positive invoices ÷ identified positive purchasers.</x:v>
      </x:c>
    </x:row>
    <x:row r="27" ht="38" customHeight="1">
      <x:c r="A27" s="2"/>
      <x:c r="B27" s="2" t="str">
        <x:v>Cohort retention</x:v>
      </x:c>
      <x:c r="C27" s="2" t="str">
        <x:v>Proportion</x:v>
      </x:c>
      <x:c r="D27" s="29" t="str">
        <x:v>Distinct active cohort customers at month age ÷ original observed cohort customers.</x:v>
      </x:c>
    </x:row>
    <x:row r="28" ht="23" customHeight="1">
      <x:c r="A28" s="2"/>
      <x:c r="B28" s="2"/>
      <x:c r="C28" s="2"/>
      <x:c r="D28" s="2"/>
    </x:row>
    <x:row r="29" ht="23" customHeight="1">
      <x:c r="A29" s="2"/>
      <x:c r="B29" s="2"/>
      <x:c r="C29" s="2"/>
      <x:c r="D29" s="2"/>
    </x:row>
    <x:row r="30" ht="23" customHeight="1">
      <x:c r="A30" s="2"/>
      <x:c r="B30" s="2"/>
      <x:c r="C30" s="2"/>
      <x:c r="D30" s="2"/>
    </x:row>
    <x:row r="31" ht="23" customHeight="1">
      <x:c r="A31" s="2"/>
      <x:c r="B31" s="17" t="str">
        <x:v>Grains: source = observed invoice line; Monthly_Data = month × country; customer table = one identified purchaser; product table = one stock code; regional table = one country. No many-to-many transaction joins are used.</x:v>
      </x:c>
      <x:c r="C31" s="17" t="str">
        <x:v>Grains: source = observed invoice line; Monthly_Data = month × country; customer table = one identified purchaser; product table = one stock code; regional table = one country. No many-to-many transaction joins are used.</x:v>
      </x:c>
      <x:c r="D31" s="17" t="str">
        <x:v>Grains: source = observed invoice line; Monthly_Data = month × country; customer table = one identified purchaser; product table = one stock code; regional table = one country. No many-to-many transaction joins are used.</x:v>
      </x:c>
    </x:row>
    <x:row r="32" ht="23" customHeight="1">
      <x:c r="A32" s="2"/>
      <x:c r="B32" s="17" t="str">
        <x:v>Grains: source = observed invoice line; Monthly_Data = month × country; customer table = one identified purchaser; product table = one stock code; regional table = one country. No many-to-many transaction joins are used.</x:v>
      </x:c>
      <x:c r="C32" s="17" t="str">
        <x:v>Grains: source = observed invoice line; Monthly_Data = month × country; customer table = one identified purchaser; product table = one stock code; regional table = one country. No many-to-many transaction joins are used.</x:v>
      </x:c>
      <x:c r="D32" s="17" t="str">
        <x:v>Grains: source = observed invoice line; Monthly_Data = month × country; customer table = one identified purchaser; product table = one stock code; regional table = one country. No many-to-many transaction joins are used.</x:v>
      </x:c>
    </x:row>
    <x:row r="33" ht="23" customHeight="1">
      <x:c r="A33" s="2"/>
      <x:c r="B33" s="17" t="str">
        <x:v>Grains: source = observed invoice line; Monthly_Data = month × country; customer table = one identified purchaser; product table = one stock code; regional table = one country. No many-to-many transaction joins are used.</x:v>
      </x:c>
      <x:c r="C33" s="17" t="str">
        <x:v>Grains: source = observed invoice line; Monthly_Data = month × country; customer table = one identified purchaser; product table = one stock code; regional table = one country. No many-to-many transaction joins are used.</x:v>
      </x:c>
      <x:c r="D33" s="17" t="str">
        <x:v>Grains: source = observed invoice line; Monthly_Data = month × country; customer table = one identified purchaser; product table = one stock code; regional table = one country. No many-to-many transaction joins are used.</x:v>
      </x:c>
    </x:row>
    <x:row r="34" ht="23" customHeight="1">
      <x:c r="A34" s="2"/>
      <x:c r="B34" s="17" t="str">
        <x:v>Grains: source = observed invoice line; Monthly_Data = month × country; customer table = one identified purchaser; product table = one stock code; regional table = one country. No many-to-many transaction joins are used.</x:v>
      </x:c>
      <x:c r="C34" s="17" t="str">
        <x:v>Grains: source = observed invoice line; Monthly_Data = month × country; customer table = one identified purchaser; product table = one stock code; regional table = one country. No many-to-many transaction joins are used.</x:v>
      </x:c>
      <x:c r="D34" s="17" t="str">
        <x:v>Grains: source = observed invoice line; Monthly_Data = month × country; customer table = one identified purchaser; product table = one stock code; regional table = one country. No many-to-many transaction joins are used.</x:v>
      </x:c>
    </x:row>
    <x:row r="35" ht="23" customHeight="1">
      <x:c r="A35" s="2"/>
      <x:c r="B35" s="2"/>
      <x:c r="C35" s="2"/>
      <x:c r="D35" s="2"/>
    </x:row>
    <x:row r="36" ht="23" customHeight="1">
      <x:c r="A36" s="2"/>
      <x:c r="B36" s="17" t="str">
        <x:v>The complete source has 1,067,371 rows, exceeding one Excel worksheet. All rows are processed externally, and only clearly labeled aggregates and customer/product detail are embedded. No truncation. No Power Query, PivotTable, slicer, or Data Model is embedded in this version.</x:v>
      </x:c>
      <x:c r="C36" s="17" t="str">
        <x:v>The complete source has 1,067,371 rows, exceeding one Excel worksheet. All rows are processed externally, and only clearly labeled aggregates and customer/product detail are embedded. No truncation. No Power Query, PivotTable, slicer, or Data Model is embedded in this version.</x:v>
      </x:c>
      <x:c r="D36" s="17" t="str">
        <x:v>The complete source has 1,067,371 rows, exceeding one Excel worksheet. All rows are processed externally, and only clearly labeled aggregates and customer/product detail are embedded. No truncation. No Power Query, PivotTable, slicer, or Data Model is embedded in this version.</x:v>
      </x:c>
    </x:row>
    <x:row r="37" ht="23" customHeight="1">
      <x:c r="A37" s="2"/>
      <x:c r="B37" s="17" t="str">
        <x:v>The complete source has 1,067,371 rows, exceeding one Excel worksheet. All rows are processed externally, and only clearly labeled aggregates and customer/product detail are embedded. No truncation. No Power Query, PivotTable, slicer, or Data Model is embedded in this version.</x:v>
      </x:c>
      <x:c r="C37" s="17" t="str">
        <x:v>The complete source has 1,067,371 rows, exceeding one Excel worksheet. All rows are processed externally, and only clearly labeled aggregates and customer/product detail are embedded. No truncation. No Power Query, PivotTable, slicer, or Data Model is embedded in this version.</x:v>
      </x:c>
      <x:c r="D37" s="17" t="str">
        <x:v>The complete source has 1,067,371 rows, exceeding one Excel worksheet. All rows are processed externally, and only clearly labeled aggregates and customer/product detail are embedded. No truncation. No Power Query, PivotTable, slicer, or Data Model is embedded in this version.</x:v>
      </x:c>
    </x:row>
    <x:row r="38" ht="23" customHeight="1">
      <x:c r="A38" s="2"/>
      <x:c r="B38" s="17" t="str">
        <x:v>The complete source has 1,067,371 rows, exceeding one Excel worksheet. All rows are processed externally, and only clearly labeled aggregates and customer/product detail are embedded. No truncation. No Power Query, PivotTable, slicer, or Data Model is embedded in this version.</x:v>
      </x:c>
      <x:c r="C38" s="17" t="str">
        <x:v>The complete source has 1,067,371 rows, exceeding one Excel worksheet. All rows are processed externally, and only clearly labeled aggregates and customer/product detail are embedded. No truncation. No Power Query, PivotTable, slicer, or Data Model is embedded in this version.</x:v>
      </x:c>
      <x:c r="D38" s="17" t="str">
        <x:v>The complete source has 1,067,371 rows, exceeding one Excel worksheet. All rows are processed externally, and only clearly labeled aggregates and customer/product detail are embedded. No truncation. No Power Query, PivotTable, slicer, or Data Model is embedded in this version.</x:v>
      </x:c>
    </x:row>
    <x:row r="39" ht="23" customHeight="1">
      <x:c r="A39" s="2"/>
      <x:c r="B39" s="17" t="str">
        <x:v>The complete source has 1,067,371 rows, exceeding one Excel worksheet. All rows are processed externally, and only clearly labeled aggregates and customer/product detail are embedded. No truncation. No Power Query, PivotTable, slicer, or Data Model is embedded in this version.</x:v>
      </x:c>
      <x:c r="C39" s="17" t="str">
        <x:v>The complete source has 1,067,371 rows, exceeding one Excel worksheet. All rows are processed externally, and only clearly labeled aggregates and customer/product detail are embedded. No truncation. No Power Query, PivotTable, slicer, or Data Model is embedded in this version.</x:v>
      </x:c>
      <x:c r="D39" s="17" t="str">
        <x:v>The complete source has 1,067,371 rows, exceeding one Excel worksheet. All rows are processed externally, and only clearly labeled aggregates and customer/product detail are embedded. No truncation. No Power Query, PivotTable, slicer, or Data Model is embedded in this version.</x:v>
      </x:c>
    </x:row>
    <x:row r="40" ht="23" customHeight="1">
      <x:c r="A40" s="2"/>
      <x:c r="B40" s="17" t="str">
        <x:v>The complete source has 1,067,371 rows, exceeding one Excel worksheet. All rows are processed externally, and only clearly labeled aggregates and customer/product detail are embedded. No truncation. No Power Query, PivotTable, slicer, or Data Model is embedded in this version.</x:v>
      </x:c>
      <x:c r="C40" s="17" t="str">
        <x:v>The complete source has 1,067,371 rows, exceeding one Excel worksheet. All rows are processed externally, and only clearly labeled aggregates and customer/product detail are embedded. No truncation. No Power Query, PivotTable, slicer, or Data Model is embedded in this version.</x:v>
      </x:c>
      <x:c r="D40" s="17" t="str">
        <x:v>The complete source has 1,067,371 rows, exceeding one Excel worksheet. All rows are processed externally, and only clearly labeled aggregates and customer/product detail are embedded. No truncation. No Power Query, PivotTable, slicer, or Data Model is embedded in this version.</x:v>
      </x:c>
    </x:row>
    <x:row r="41" ht="23" customHeight="1">
      <x:c r="A41" s="2"/>
      <x:c r="B41" s="2"/>
      <x:c r="C41" s="2"/>
      <x:c r="D41" s="2"/>
    </x:row>
    <x:row r="42" ht="23" customHeight="1">
      <x:c r="A42" s="2"/>
      <x:c r="B42" s="17" t="str">
        <x:v>Amounts retain source precision, including prices with three decimal places. Displayed GBP values round to two decimals. Forecasting is omitted: limited history, a partial final month, and no evaluated holdout model make a forecast unsuitable for this delivery.</x:v>
      </x:c>
      <x:c r="C42" s="17" t="str">
        <x:v>Amounts retain source precision, including prices with three decimal places. Displayed GBP values round to two decimals. Forecasting is omitted: limited history, a partial final month, and no evaluated holdout model make a forecast unsuitable for this delivery.</x:v>
      </x:c>
      <x:c r="D42" s="17" t="str">
        <x:v>Amounts retain source precision, including prices with three decimal places. Displayed GBP values round to two decimals. Forecasting is omitted: limited history, a partial final month, and no evaluated holdout model make a forecast unsuitable for this delivery.</x:v>
      </x:c>
    </x:row>
    <x:row r="43" ht="23" customHeight="1">
      <x:c r="A43" s="2"/>
      <x:c r="B43" s="17" t="str">
        <x:v>Amounts retain source precision, including prices with three decimal places. Displayed GBP values round to two decimals. Forecasting is omitted: limited history, a partial final month, and no evaluated holdout model make a forecast unsuitable for this delivery.</x:v>
      </x:c>
      <x:c r="C43" s="17" t="str">
        <x:v>Amounts retain source precision, including prices with three decimal places. Displayed GBP values round to two decimals. Forecasting is omitted: limited history, a partial final month, and no evaluated holdout model make a forecast unsuitable for this delivery.</x:v>
      </x:c>
      <x:c r="D43" s="17" t="str">
        <x:v>Amounts retain source precision, including prices with three decimal places. Displayed GBP values round to two decimals. Forecasting is omitted: limited history, a partial final month, and no evaluated holdout model make a forecast unsuitable for this delivery.</x:v>
      </x:c>
    </x:row>
    <x:row r="44" ht="23" customHeight="1">
      <x:c r="A44" s="2"/>
      <x:c r="B44" s="17" t="str">
        <x:v>Amounts retain source precision, including prices with three decimal places. Displayed GBP values round to two decimals. Forecasting is omitted: limited history, a partial final month, and no evaluated holdout model make a forecast unsuitable for this delivery.</x:v>
      </x:c>
      <x:c r="C44" s="17" t="str">
        <x:v>Amounts retain source precision, including prices with three decimal places. Displayed GBP values round to two decimals. Forecasting is omitted: limited history, a partial final month, and no evaluated holdout model make a forecast unsuitable for this delivery.</x:v>
      </x:c>
      <x:c r="D44" s="17" t="str">
        <x:v>Amounts retain source precision, including prices with three decimal places. Displayed GBP values round to two decimals. Forecasting is omitted: limited history, a partial final month, and no evaluated holdout model make a forecast unsuitable for this delivery.</x:v>
      </x:c>
    </x:row>
    <x:row r="45" ht="23" customHeight="1">
      <x:c r="A45" s="2"/>
      <x:c r="B45" s="17" t="str">
        <x:v>Amounts retain source precision, including prices with three decimal places. Displayed GBP values round to two decimals. Forecasting is omitted: limited history, a partial final month, and no evaluated holdout model make a forecast unsuitable for this delivery.</x:v>
      </x:c>
      <x:c r="C45" s="17" t="str">
        <x:v>Amounts retain source precision, including prices with three decimal places. Displayed GBP values round to two decimals. Forecasting is omitted: limited history, a partial final month, and no evaluated holdout model make a forecast unsuitable for this delivery.</x:v>
      </x:c>
      <x:c r="D45" s="17" t="str">
        <x:v>Amounts retain source precision, including prices with three decimal places. Displayed GBP values round to two decimals. Forecasting is omitted: limited history, a partial final month, and no evaluated holdout model make a forecast unsuitable for this delivery.</x:v>
      </x:c>
    </x:row>
    <x:row r="46" ht="23" customHeight="1">
      <x:c r="A46" s="2"/>
      <x:c r="B46" s="2"/>
      <x:c r="C46" s="2"/>
      <x:c r="D46" s="2"/>
    </x:row>
    <x:row r="47" ht="23" customHeight="1">
      <x:c r="A47" s="2"/>
      <x:c r="B47" s="2"/>
      <x:c r="C47" s="2"/>
      <x:c r="D47" s="2"/>
    </x:row>
    <x:row r="48" ht="23" customHeight="1">
      <x:c r="A48" s="2"/>
      <x:c r="B48" s="2"/>
      <x:c r="C48" s="2"/>
      <x:c r="D48" s="2"/>
    </x:row>
    <x:row r="49" ht="23" customHeight="1">
      <x:c r="A49" s="2"/>
      <x:c r="B49" s="2"/>
      <x:c r="C49" s="2"/>
      <x:c r="D49" s="2"/>
    </x:row>
    <x:row r="50" ht="23" customHeight="1">
      <x:c r="A50" s="2"/>
      <x:c r="B50" s="2"/>
      <x:c r="C50" s="2"/>
      <x:c r="D50" s="2"/>
    </x:row>
    <x:row r="51" ht="23" customHeight="1">
      <x:c r="A51" s="2"/>
      <x:c r="B51" s="2"/>
      <x:c r="C51" s="2"/>
      <x:c r="D51" s="2"/>
    </x:row>
    <x:row r="52" ht="23" customHeight="1">
      <x:c r="A52" s="2"/>
      <x:c r="B52" s="2"/>
      <x:c r="C52" s="2"/>
      <x:c r="D52" s="2"/>
    </x:row>
    <x:row r="53" ht="23" customHeight="1">
      <x:c r="A53" s="2"/>
      <x:c r="B53" s="2"/>
      <x:c r="C53" s="2"/>
      <x:c r="D53" s="2"/>
    </x:row>
    <x:row r="54" ht="23" customHeight="1">
      <x:c r="A54" s="2"/>
      <x:c r="B54" s="2"/>
      <x:c r="C54" s="2"/>
      <x:c r="D54" s="2"/>
    </x:row>
    <x:row r="55" ht="23" customHeight="1">
      <x:c r="A55" s="2"/>
      <x:c r="B55" s="2"/>
      <x:c r="C55" s="2"/>
      <x:c r="D55" s="2"/>
    </x:row>
    <x:row r="56" ht="23" customHeight="1">
      <x:c r="A56" s="2"/>
      <x:c r="B56" s="2"/>
      <x:c r="C56" s="2"/>
      <x:c r="D56" s="2"/>
    </x:row>
    <x:row r="57" ht="23" customHeight="1">
      <x:c r="A57" s="2"/>
      <x:c r="B57" s="2"/>
      <x:c r="C57" s="2"/>
      <x:c r="D57" s="2"/>
    </x:row>
    <x:row r="58" ht="23" customHeight="1">
      <x:c r="A58" s="2"/>
      <x:c r="B58" s="2"/>
      <x:c r="C58" s="2"/>
      <x:c r="D58" s="2"/>
    </x:row>
    <x:row r="59" ht="23" customHeight="1">
      <x:c r="A59" s="2"/>
      <x:c r="B59" s="2"/>
      <x:c r="C59" s="2"/>
      <x:c r="D59" s="2"/>
    </x:row>
    <x:row r="60" ht="23" customHeight="1">
      <x:c r="A60" s="2"/>
      <x:c r="B60" s="2"/>
      <x:c r="C60" s="2"/>
      <x:c r="D60" s="2"/>
    </x:row>
    <x:row r="61" ht="23" customHeight="1">
      <x:c r="A61" s="2"/>
      <x:c r="B61" s="2"/>
      <x:c r="C61" s="2"/>
      <x:c r="D61" s="2"/>
    </x:row>
    <x:row r="62" ht="23" customHeight="1">
      <x:c r="A62" s="2"/>
      <x:c r="B62" s="2"/>
      <x:c r="C62" s="2"/>
      <x:c r="D62" s="2"/>
    </x:row>
  </x:sheetData>
  <x:mergeCells>
    <x:mergeCell ref="B2:D3"/>
    <x:mergeCell ref="B4:D4"/>
    <x:mergeCell ref="B6:D8"/>
    <x:mergeCell ref="B31:D34"/>
    <x:mergeCell ref="B36:D40"/>
    <x:mergeCell ref="B42:D45"/>
  </x:mergeCells>
  <x:pageMargins left="0.7" right="0.7" top="0.75" bottom="0.75" header="0.3" footer="0.3"/>
  <x:tableParts count="1">
    <x:tablePart xmlns:r="http://schemas.openxmlformats.org/officeDocument/2006/relationships" r:id="R3fd53d82e0df4e09"/>
  </x:tableParts>
</x:worksheet>
</file>

<file path=xl/worksheets/sheet10.xml><?xml version="1.0" encoding="utf-8"?>
<x:worksheet xmlns:x="http://schemas.openxmlformats.org/spreadsheetml/2006/main">
  <x:sheetPr>
    <x:tabColor rgb="FF627183"/>
  </x:sheetPr>
  <x:sheetViews>
    <x:sheetView showGridLines="0" workbookViewId="0">
      <x:pane ySplit="6" topLeftCell="A7" activePane="bottomLeft" state="frozen"/>
    </x:sheetView>
  </x:sheetViews>
  <x:sheetFormatPr defaultRowHeight="15"/>
  <x:cols>
    <x:col min="1" max="1" width="16" hidden="0" customWidth="1"/>
    <x:col min="2" max="2" width="16" hidden="0" customWidth="1"/>
    <x:col min="3" max="3" width="26" hidden="0" customWidth="1"/>
    <x:col min="4" max="4" width="18" hidden="0" customWidth="1"/>
    <x:col min="5" max="5" width="18" hidden="0" customWidth="1"/>
    <x:col min="6" max="6" width="13" hidden="0" customWidth="1"/>
    <x:col min="7" max="7" width="13" hidden="0" customWidth="1"/>
    <x:col min="8" max="8" width="13" hidden="0" customWidth="1"/>
    <x:col min="9" max="9" width="30" hidden="0" customWidth="1"/>
    <x:col min="10" max="10" width="22" hidden="0" customWidth="1"/>
    <x:col min="11" max="11" width="13" hidden="0" customWidth="1"/>
    <x:col min="12" max="12" width="27" hidden="0" customWidth="1"/>
    <x:col min="13" max="13" width="13" hidden="0" customWidth="1"/>
    <x:col min="14" max="14" width="13" hidden="0" customWidth="1"/>
    <x:col min="15" max="15" width="13" hidden="0" customWidth="1"/>
    <x:col min="16" max="16" width="13" hidden="0" customWidth="1"/>
  </x:cols>
  <x:sheetData>
    <x:row r="1" ht="23" customHeight="1">
      <x:c r="A1" s="2"/>
      <x:c r="B1" s="2"/>
      <x:c r="C1" s="2"/>
      <x:c r="D1" s="2"/>
      <x:c r="E1" s="2"/>
      <x:c r="F1" s="2"/>
      <x:c r="G1" s="2"/>
      <x:c r="H1" s="2"/>
      <x:c r="I1" s="2"/>
      <x:c r="J1" s="2"/>
      <x:c r="K1" s="2"/>
      <x:c r="L1" s="2"/>
      <x:c r="M1" s="2"/>
      <x:c r="N1" s="2"/>
      <x:c r="O1" s="2"/>
      <x:c r="P1" s="2"/>
    </x:row>
    <x:row r="2" ht="23" customHeight="1">
      <x:c r="A2" s="2"/>
      <x:c r="B2" s="4" t="str">
        <x:v>Monthly source aggregates</x:v>
      </x:c>
      <x:c r="C2" s="4" t="str">
        <x:v>Monthly source aggregates</x:v>
      </x:c>
      <x:c r="D2" s="4" t="str">
        <x:v>Monthly source aggregates</x:v>
      </x:c>
      <x:c r="E2" s="4" t="str">
        <x:v>Monthly source aggregates</x:v>
      </x:c>
      <x:c r="F2" s="4" t="str">
        <x:v>Monthly source aggregates</x:v>
      </x:c>
      <x:c r="G2" s="4" t="str">
        <x:v>Monthly source aggregates</x:v>
      </x:c>
      <x:c r="H2" s="4" t="str">
        <x:v>Monthly source aggregates</x:v>
      </x:c>
      <x:c r="I2" s="4" t="str">
        <x:v>Monthly source aggregates</x:v>
      </x:c>
      <x:c r="J2" s="4" t="str">
        <x:v>Monthly source aggregates</x:v>
      </x:c>
      <x:c r="K2" s="4" t="str">
        <x:v>Monthly source aggregates</x:v>
      </x:c>
      <x:c r="L2" s="4" t="str">
        <x:v>Monthly source aggregates</x:v>
      </x:c>
      <x:c r="M2" s="4" t="str">
        <x:v>Monthly source aggregates</x:v>
      </x:c>
      <x:c r="N2" s="4" t="str">
        <x:v>Monthly source aggregates</x:v>
      </x:c>
      <x:c r="O2" s="4" t="str">
        <x:v>Monthly source aggregates</x:v>
      </x:c>
      <x:c r="P2" s="4" t="str">
        <x:v>Monthly source aggregates</x:v>
      </x:c>
    </x:row>
    <x:row r="3" ht="23" customHeight="1">
      <x:c r="A3" s="2"/>
      <x:c r="B3" s="5" t="str">
        <x:v>Monthly source aggregates</x:v>
      </x:c>
      <x:c r="C3" s="5" t="str">
        <x:v>Monthly source aggregates</x:v>
      </x:c>
      <x:c r="D3" s="5" t="str">
        <x:v>Monthly source aggregates</x:v>
      </x:c>
      <x:c r="E3" s="5" t="str">
        <x:v>Monthly source aggregates</x:v>
      </x:c>
      <x:c r="F3" s="5" t="str">
        <x:v>Monthly source aggregates</x:v>
      </x:c>
      <x:c r="G3" s="5" t="str">
        <x:v>Monthly source aggregates</x:v>
      </x:c>
      <x:c r="H3" s="5" t="str">
        <x:v>Monthly source aggregates</x:v>
      </x:c>
      <x:c r="I3" s="5" t="str">
        <x:v>Monthly source aggregates</x:v>
      </x:c>
      <x:c r="J3" s="5" t="str">
        <x:v>Monthly source aggregates</x:v>
      </x:c>
      <x:c r="K3" s="5" t="str">
        <x:v>Monthly source aggregates</x:v>
      </x:c>
      <x:c r="L3" s="5" t="str">
        <x:v>Monthly source aggregates</x:v>
      </x:c>
      <x:c r="M3" s="5" t="str">
        <x:v>Monthly source aggregates</x:v>
      </x:c>
      <x:c r="N3" s="5" t="str">
        <x:v>Monthly source aggregates</x:v>
      </x:c>
      <x:c r="O3" s="5" t="str">
        <x:v>Monthly source aggregates</x:v>
      </x:c>
      <x:c r="P3" s="5" t="str">
        <x:v>Monthly source aggregates</x:v>
      </x:c>
    </x:row>
    <x:row r="4" ht="23" customHeight="1">
      <x:c r="A4" s="2"/>
      <x:c r="B4" s="7" t="str">
        <x:v>Prepared from every source row. One row per month and country; GBP.</x:v>
      </x:c>
      <x:c r="C4" s="7" t="str">
        <x:v>Prepared from every source row. One row per month and country; GBP.</x:v>
      </x:c>
      <x:c r="D4" s="7" t="str">
        <x:v>Prepared from every source row. One row per month and country; GBP.</x:v>
      </x:c>
      <x:c r="E4" s="7" t="str">
        <x:v>Prepared from every source row. One row per month and country; GBP.</x:v>
      </x:c>
      <x:c r="F4" s="7" t="str">
        <x:v>Prepared from every source row. One row per month and country; GBP.</x:v>
      </x:c>
      <x:c r="G4" s="7" t="str">
        <x:v>Prepared from every source row. One row per month and country; GBP.</x:v>
      </x:c>
      <x:c r="H4" s="7" t="str">
        <x:v>Prepared from every source row. One row per month and country; GBP.</x:v>
      </x:c>
      <x:c r="I4" s="7" t="str">
        <x:v>Prepared from every source row. One row per month and country; GBP.</x:v>
      </x:c>
      <x:c r="J4" s="7" t="str">
        <x:v>Prepared from every source row. One row per month and country; GBP.</x:v>
      </x:c>
      <x:c r="K4" s="7" t="str">
        <x:v>Prepared from every source row. One row per month and country; GBP.</x:v>
      </x:c>
      <x:c r="L4" s="7" t="str">
        <x:v>Prepared from every source row. One row per month and country; GBP.</x:v>
      </x:c>
      <x:c r="M4" s="7" t="str">
        <x:v>Prepared from every source row. One row per month and country; GBP.</x:v>
      </x:c>
      <x:c r="N4" s="7" t="str">
        <x:v>Prepared from every source row. One row per month and country; GBP.</x:v>
      </x:c>
      <x:c r="O4" s="7" t="str">
        <x:v>Prepared from every source row. One row per month and country; GBP.</x:v>
      </x:c>
      <x:c r="P4" s="7" t="str">
        <x:v>Prepared from every source row. One row per month and country; GBP.</x:v>
      </x:c>
    </x:row>
    <x:row r="5" ht="23" customHeight="1">
      <x:c r="A5" s="2"/>
      <x:c r="B5" s="2"/>
      <x:c r="C5" s="2"/>
      <x:c r="D5" s="2"/>
      <x:c r="E5" s="2"/>
      <x:c r="F5" s="2"/>
      <x:c r="G5" s="2"/>
      <x:c r="H5" s="2"/>
      <x:c r="I5" s="2"/>
      <x:c r="J5" s="2"/>
      <x:c r="K5" s="2"/>
      <x:c r="L5" s="2"/>
      <x:c r="M5" s="2"/>
      <x:c r="N5" s="2"/>
      <x:c r="O5" s="2"/>
      <x:c r="P5" s="2"/>
    </x:row>
    <x:row r="6" ht="34" customHeight="1">
      <x:c r="A6" s="10" t="str">
        <x:v>Month start</x:v>
      </x:c>
      <x:c r="B6" s="10" t="str">
        <x:v>Month label</x:v>
      </x:c>
      <x:c r="C6" s="10" t="str">
        <x:v>Country</x:v>
      </x:c>
      <x:c r="D6" s="10" t="str">
        <x:v>Gross sales</x:v>
      </x:c>
      <x:c r="E6" s="10" t="str">
        <x:v>Returns</x:v>
      </x:c>
      <x:c r="F6" s="10" t="str">
        <x:v>Orders</x:v>
      </x:c>
      <x:c r="G6" s="2"/>
      <x:c r="H6" s="2"/>
      <x:c r="I6" s="10" t="str">
        <x:v>Independent source control</x:v>
      </x:c>
      <x:c r="J6" s="10" t="str">
        <x:v>Value</x:v>
      </x:c>
      <x:c r="K6" s="2"/>
      <x:c r="L6" s="2" t="str">
        <x:v>Country choices</x:v>
      </x:c>
      <x:c r="M6" s="2"/>
      <x:c r="N6" s="2"/>
      <x:c r="O6" s="2" t="str">
        <x:v>Month choices</x:v>
      </x:c>
      <x:c r="P6" s="2"/>
    </x:row>
    <x:row r="7" ht="22" customHeight="1">
      <x:c r="A7" s="12" t="n">
        <x:v>40148</x:v>
      </x:c>
      <x:c r="B7" s="2" t="str">
        <x:v>2009-12</x:v>
      </x:c>
      <x:c r="C7" s="2" t="str">
        <x:v>Australia</x:v>
      </x:c>
      <x:c r="D7" s="11" t="n">
        <x:v>271.1</x:v>
      </x:c>
      <x:c r="E7" s="11" t="n">
        <x:v>220.85000000000002</x:v>
      </x:c>
      <x:c r="F7" s="2" t="n">
        <x:v>2</x:v>
      </x:c>
      <x:c r="G7" s="2"/>
      <x:c r="H7" s="2"/>
      <x:c r="I7" s="2" t="str">
        <x:v>Gross sales</x:v>
      </x:c>
      <x:c r="J7" s="13" t="n">
        <x:v>20533741.918</x:v>
      </x:c>
      <x:c r="K7" s="2"/>
      <x:c r="L7" s="2" t="str">
        <x:v>All countries</x:v>
      </x:c>
      <x:c r="M7" s="2"/>
      <x:c r="N7" s="2"/>
      <x:c r="O7" s="2" t="str">
        <x:v>2009-12</x:v>
      </x:c>
      <x:c r="P7" s="2"/>
    </x:row>
    <x:row r="8" ht="22" customHeight="1">
      <x:c r="A8" s="12" t="n">
        <x:v>40148</x:v>
      </x:c>
      <x:c r="B8" s="2" t="str">
        <x:v>2009-12</x:v>
      </x:c>
      <x:c r="C8" s="2" t="str">
        <x:v>Austria</x:v>
      </x:c>
      <x:c r="D8" s="11" t="n">
        <x:v>1998.3400000000001</x:v>
      </x:c>
      <x:c r="E8" s="11" t="n">
        <x:v>0</x:v>
      </x:c>
      <x:c r="F8" s="2" t="n">
        <x:v>2</x:v>
      </x:c>
      <x:c r="G8" s="2"/>
      <x:c r="H8" s="2"/>
      <x:c r="I8" s="2" t="str">
        <x:v>Returns</x:v>
      </x:c>
      <x:c r="J8" s="13" t="n">
        <x:v>1466050.8</x:v>
      </x:c>
      <x:c r="K8" s="2"/>
      <x:c r="L8" s="2" t="str">
        <x:v>Australia</x:v>
      </x:c>
      <x:c r="M8" s="2"/>
      <x:c r="N8" s="2"/>
      <x:c r="O8" s="2" t="str">
        <x:v>2010-01</x:v>
      </x:c>
      <x:c r="P8" s="2"/>
    </x:row>
    <x:row r="9" ht="22" customHeight="1">
      <x:c r="A9" s="12" t="n">
        <x:v>40148</x:v>
      </x:c>
      <x:c r="B9" s="2" t="str">
        <x:v>2009-12</x:v>
      </x:c>
      <x:c r="C9" s="2" t="str">
        <x:v>Belgium</x:v>
      </x:c>
      <x:c r="D9" s="11" t="n">
        <x:v>447.6</x:v>
      </x:c>
      <x:c r="E9" s="11" t="n">
        <x:v>0</x:v>
      </x:c>
      <x:c r="F9" s="2" t="n">
        <x:v>3</x:v>
      </x:c>
      <x:c r="G9" s="2"/>
      <x:c r="H9" s="2"/>
      <x:c r="I9" s="2" t="str">
        <x:v>Net sales</x:v>
      </x:c>
      <x:c r="J9" s="13" t="n">
        <x:v>19067691.118</x:v>
      </x:c>
      <x:c r="K9" s="2"/>
      <x:c r="L9" s="2" t="str">
        <x:v>Austria</x:v>
      </x:c>
      <x:c r="M9" s="2"/>
      <x:c r="N9" s="2"/>
      <x:c r="O9" s="2" t="str">
        <x:v>2010-02</x:v>
      </x:c>
      <x:c r="P9" s="2"/>
    </x:row>
    <x:row r="10" ht="22" customHeight="1">
      <x:c r="A10" s="12" t="n">
        <x:v>40148</x:v>
      </x:c>
      <x:c r="B10" s="2" t="str">
        <x:v>2009-12</x:v>
      </x:c>
      <x:c r="C10" s="2" t="str">
        <x:v>Channel Islands</x:v>
      </x:c>
      <x:c r="D10" s="11" t="n">
        <x:v>989.18</x:v>
      </x:c>
      <x:c r="E10" s="11" t="n">
        <x:v>43.8</x:v>
      </x:c>
      <x:c r="F10" s="2" t="n">
        <x:v>1</x:v>
      </x:c>
      <x:c r="G10" s="2"/>
      <x:c r="H10" s="2"/>
      <x:c r="I10" s="2" t="str">
        <x:v>Orders</x:v>
      </x:c>
      <x:c r="J10" s="13" t="n">
        <x:v>40077</x:v>
      </x:c>
      <x:c r="K10" s="2"/>
      <x:c r="L10" s="2" t="str">
        <x:v>Bahrain</x:v>
      </x:c>
      <x:c r="M10" s="2"/>
      <x:c r="N10" s="2"/>
      <x:c r="O10" s="2" t="str">
        <x:v>2010-03</x:v>
      </x:c>
      <x:c r="P10" s="2"/>
    </x:row>
    <x:row r="11" ht="22" customHeight="1">
      <x:c r="A11" s="12" t="n">
        <x:v>40148</x:v>
      </x:c>
      <x:c r="B11" s="2" t="str">
        <x:v>2009-12</x:v>
      </x:c>
      <x:c r="C11" s="2" t="str">
        <x:v>Cyprus</x:v>
      </x:c>
      <x:c r="D11" s="11" t="n">
        <x:v>3556.98</x:v>
      </x:c>
      <x:c r="E11" s="11" t="n">
        <x:v>131.9</x:v>
      </x:c>
      <x:c r="F11" s="2" t="n">
        <x:v>4</x:v>
      </x:c>
      <x:c r="G11" s="2"/>
      <x:c r="H11" s="2"/>
      <x:c r="I11" s="2" t="str">
        <x:v>Customers</x:v>
      </x:c>
      <x:c r="J11" s="13" t="n">
        <x:v>5878</x:v>
      </x:c>
      <x:c r="K11" s="2"/>
      <x:c r="L11" s="2" t="str">
        <x:v>Belgium</x:v>
      </x:c>
      <x:c r="M11" s="2"/>
      <x:c r="N11" s="2"/>
      <x:c r="O11" s="2" t="str">
        <x:v>2010-04</x:v>
      </x:c>
      <x:c r="P11" s="2"/>
    </x:row>
    <x:row r="12" ht="22" customHeight="1">
      <x:c r="A12" s="12" t="n">
        <x:v>40148</x:v>
      </x:c>
      <x:c r="B12" s="2" t="str">
        <x:v>2009-12</x:v>
      </x:c>
      <x:c r="C12" s="2" t="str">
        <x:v>Denmark</x:v>
      </x:c>
      <x:c r="D12" s="11" t="n">
        <x:v>1437.66</x:v>
      </x:c>
      <x:c r="E12" s="11" t="n">
        <x:v>53.2</x:v>
      </x:c>
      <x:c r="F12" s="2" t="n">
        <x:v>2</x:v>
      </x:c>
      <x:c r="G12" s="2"/>
      <x:c r="H12" s="2"/>
      <x:c r="I12" s="2" t="str">
        <x:v>Repeat customers</x:v>
      </x:c>
      <x:c r="J12" s="13" t="n">
        <x:v>4255</x:v>
      </x:c>
      <x:c r="K12" s="2"/>
      <x:c r="L12" s="2" t="str">
        <x:v>Bermuda</x:v>
      </x:c>
      <x:c r="M12" s="2"/>
      <x:c r="N12" s="2"/>
      <x:c r="O12" s="2" t="str">
        <x:v>2010-05</x:v>
      </x:c>
      <x:c r="P12" s="2"/>
    </x:row>
    <x:row r="13" ht="22" customHeight="1">
      <x:c r="A13" s="12" t="n">
        <x:v>40148</x:v>
      </x:c>
      <x:c r="B13" s="2" t="str">
        <x:v>2009-12</x:v>
      </x:c>
      <x:c r="C13" s="2" t="str">
        <x:v>EIRE</x:v>
      </x:c>
      <x:c r="D13" s="11" t="n">
        <x:v>20099.74</x:v>
      </x:c>
      <x:c r="E13" s="11" t="n">
        <x:v>971.8</x:v>
      </x:c>
      <x:c r="F13" s="2" t="n">
        <x:v>20</x:v>
      </x:c>
      <x:c r="G13" s="2"/>
      <x:c r="H13" s="2"/>
      <x:c r="I13" s="2" t="str">
        <x:v>Raw rows</x:v>
      </x:c>
      <x:c r="J13" s="13" t="n">
        <x:v>1067371</x:v>
      </x:c>
      <x:c r="K13" s="2"/>
      <x:c r="L13" s="2" t="str">
        <x:v>Brazil</x:v>
      </x:c>
      <x:c r="M13" s="2"/>
      <x:c r="N13" s="2"/>
      <x:c r="O13" s="2" t="str">
        <x:v>2010-06</x:v>
      </x:c>
      <x:c r="P13" s="2"/>
    </x:row>
    <x:row r="14" ht="22" customHeight="1">
      <x:c r="A14" s="12" t="n">
        <x:v>40148</x:v>
      </x:c>
      <x:c r="B14" s="2" t="str">
        <x:v>2009-12</x:v>
      </x:c>
      <x:c r="C14" s="2" t="str">
        <x:v>Finland</x:v>
      </x:c>
      <x:c r="D14" s="11" t="n">
        <x:v>549.08</x:v>
      </x:c>
      <x:c r="E14" s="11" t="n">
        <x:v>0</x:v>
      </x:c>
      <x:c r="F14" s="2" t="n">
        <x:v>1</x:v>
      </x:c>
      <x:c r="G14" s="2"/>
      <x:c r="H14" s="2"/>
      <x:c r="I14" s="2" t="str">
        <x:v>Jan-Nov 2010 net</x:v>
      </x:c>
      <x:c r="J14" s="13" t="n">
        <x:v>8497953.954</x:v>
      </x:c>
      <x:c r="K14" s="2"/>
      <x:c r="L14" s="2" t="str">
        <x:v>Canada</x:v>
      </x:c>
      <x:c r="M14" s="2"/>
      <x:c r="N14" s="2"/>
      <x:c r="O14" s="2" t="str">
        <x:v>2010-07</x:v>
      </x:c>
      <x:c r="P14" s="2"/>
    </x:row>
    <x:row r="15" ht="22" customHeight="1">
      <x:c r="A15" s="12" t="n">
        <x:v>40148</x:v>
      </x:c>
      <x:c r="B15" s="2" t="str">
        <x:v>2009-12</x:v>
      </x:c>
      <x:c r="C15" s="2" t="str">
        <x:v>France</x:v>
      </x:c>
      <x:c r="D15" s="11" t="n">
        <x:v>6521.69</x:v>
      </x:c>
      <x:c r="E15" s="11" t="n">
        <x:v>966.65</x:v>
      </x:c>
      <x:c r="F15" s="2" t="n">
        <x:v>13</x:v>
      </x:c>
      <x:c r="G15" s="2"/>
      <x:c r="H15" s="2"/>
      <x:c r="I15" s="2" t="str">
        <x:v>Jan-Nov 2011 net</x:v>
      </x:c>
      <x:c r="J15" s="13" t="n">
        <x:v>8587247.024</x:v>
      </x:c>
      <x:c r="K15" s="2"/>
      <x:c r="L15" s="2" t="str">
        <x:v>Channel Islands</x:v>
      </x:c>
      <x:c r="M15" s="2"/>
      <x:c r="N15" s="2"/>
      <x:c r="O15" s="2" t="str">
        <x:v>2010-08</x:v>
      </x:c>
      <x:c r="P15" s="2"/>
    </x:row>
    <x:row r="16" ht="22" customHeight="1">
      <x:c r="A16" s="12" t="n">
        <x:v>40148</x:v>
      </x:c>
      <x:c r="B16" s="2" t="str">
        <x:v>2009-12</x:v>
      </x:c>
      <x:c r="C16" s="2" t="str">
        <x:v>Germany</x:v>
      </x:c>
      <x:c r="D16" s="11" t="n">
        <x:v>10096.85</x:v>
      </x:c>
      <x:c r="E16" s="11" t="n">
        <x:v>314.23</x:v>
      </x:c>
      <x:c r="F16" s="2" t="n">
        <x:v>18</x:v>
      </x:c>
      <x:c r="G16" s="2"/>
      <x:c r="H16" s="2"/>
      <x:c r="I16" s="2" t="str">
        <x:v>Identified gross</x:v>
      </x:c>
      <x:c r="J16" s="13" t="n">
        <x:v>17431551.178000003</x:v>
      </x:c>
      <x:c r="K16" s="2"/>
      <x:c r="L16" s="2" t="str">
        <x:v>Cyprus</x:v>
      </x:c>
      <x:c r="M16" s="2"/>
      <x:c r="N16" s="2"/>
      <x:c r="O16" s="2" t="str">
        <x:v>2010-09</x:v>
      </x:c>
      <x:c r="P16" s="2"/>
    </x:row>
    <x:row r="17" ht="22" customHeight="1">
      <x:c r="A17" s="12" t="n">
        <x:v>40148</x:v>
      </x:c>
      <x:c r="B17" s="2" t="str">
        <x:v>2009-12</x:v>
      </x:c>
      <x:c r="C17" s="2" t="str">
        <x:v>Greece</x:v>
      </x:c>
      <x:c r="D17" s="11" t="n">
        <x:v>610.95</x:v>
      </x:c>
      <x:c r="E17" s="11" t="n">
        <x:v>0</x:v>
      </x:c>
      <x:c r="F17" s="2" t="n">
        <x:v>1</x:v>
      </x:c>
      <x:c r="G17" s="2"/>
      <x:c r="H17" s="2"/>
      <x:c r="I17" s="2" t="str">
        <x:v>Unidentified gross</x:v>
      </x:c>
      <x:c r="J17" s="13" t="n">
        <x:v>3102190.7399999998</x:v>
      </x:c>
      <x:c r="K17" s="2"/>
      <x:c r="L17" s="2" t="str">
        <x:v>Czech Republic</x:v>
      </x:c>
      <x:c r="M17" s="2"/>
      <x:c r="N17" s="2"/>
      <x:c r="O17" s="2" t="str">
        <x:v>2010-10</x:v>
      </x:c>
      <x:c r="P17" s="2"/>
    </x:row>
    <x:row r="18" ht="22" customHeight="1">
      <x:c r="A18" s="12" t="n">
        <x:v>40148</x:v>
      </x:c>
      <x:c r="B18" s="2" t="str">
        <x:v>2009-12</x:v>
      </x:c>
      <x:c r="C18" s="2" t="str">
        <x:v>Italy</x:v>
      </x:c>
      <x:c r="D18" s="11" t="n">
        <x:v>422.35</x:v>
      </x:c>
      <x:c r="E18" s="11" t="n">
        <x:v>24.15</x:v>
      </x:c>
      <x:c r="F18" s="2" t="n">
        <x:v>1</x:v>
      </x:c>
      <x:c r="G18" s="2"/>
      <x:c r="H18" s="2"/>
      <x:c r="I18" s="2" t="str">
        <x:v>Repeated-line net</x:v>
      </x:c>
      <x:c r="J18" s="13" t="n">
        <x:v>54228.42</x:v>
      </x:c>
      <x:c r="K18" s="2"/>
      <x:c r="L18" s="2" t="str">
        <x:v>Denmark</x:v>
      </x:c>
      <x:c r="M18" s="2"/>
      <x:c r="N18" s="2"/>
      <x:c r="O18" s="2" t="str">
        <x:v>2010-11</x:v>
      </x:c>
      <x:c r="P18" s="2"/>
    </x:row>
    <x:row r="19" ht="22" customHeight="1">
      <x:c r="A19" s="12" t="n">
        <x:v>40148</x:v>
      </x:c>
      <x:c r="B19" s="2" t="str">
        <x:v>2009-12</x:v>
      </x:c>
      <x:c r="C19" s="2" t="str">
        <x:v>Japan</x:v>
      </x:c>
      <x:c r="D19" s="11" t="n">
        <x:v>0</x:v>
      </x:c>
      <x:c r="E19" s="11" t="n">
        <x:v>208.75</x:v>
      </x:c>
      <x:c r="F19" s="2" t="n">
        <x:v>0</x:v>
      </x:c>
      <x:c r="G19" s="2"/>
      <x:c r="H19" s="2"/>
      <x:c r="I19" s="2" t="str">
        <x:v>Positive-sales codes</x:v>
      </x:c>
      <x:c r="J19" s="13" t="n">
        <x:v>4916</x:v>
      </x:c>
      <x:c r="K19" s="2"/>
      <x:c r="L19" s="2" t="str">
        <x:v>EIRE</x:v>
      </x:c>
      <x:c r="M19" s="2"/>
      <x:c r="N19" s="2"/>
      <x:c r="O19" s="2" t="str">
        <x:v>2010-12</x:v>
      </x:c>
      <x:c r="P19" s="2"/>
    </x:row>
    <x:row r="20" ht="22" customHeight="1">
      <x:c r="A20" s="12" t="n">
        <x:v>40148</x:v>
      </x:c>
      <x:c r="B20" s="2" t="str">
        <x:v>2009-12</x:v>
      </x:c>
      <x:c r="C20" s="2" t="str">
        <x:v>Netherlands</x:v>
      </x:c>
      <x:c r="D20" s="11" t="n">
        <x:v>15204.73</x:v>
      </x:c>
      <x:c r="E20" s="11" t="n">
        <x:v>0</x:v>
      </x:c>
      <x:c r="F20" s="2" t="n">
        <x:v>6</x:v>
      </x:c>
      <x:c r="G20" s="2"/>
      <x:c r="H20" s="2"/>
      <x:c r="I20" s="2" t="str">
        <x:v>Codes to reach 80%</x:v>
      </x:c>
      <x:c r="J20" s="13" t="n">
        <x:v>1010</x:v>
      </x:c>
      <x:c r="K20" s="2"/>
      <x:c r="L20" s="2" t="str">
        <x:v>European Community</x:v>
      </x:c>
      <x:c r="M20" s="2"/>
      <x:c r="N20" s="2"/>
      <x:c r="O20" s="2" t="str">
        <x:v>2011-01</x:v>
      </x:c>
      <x:c r="P20" s="2"/>
    </x:row>
    <x:row r="21" ht="22" customHeight="1">
      <x:c r="A21" s="12" t="n">
        <x:v>40148</x:v>
      </x:c>
      <x:c r="B21" s="2" t="str">
        <x:v>2009-12</x:v>
      </x:c>
      <x:c r="C21" s="2" t="str">
        <x:v>Nigeria</x:v>
      </x:c>
      <x:c r="D21" s="11" t="n">
        <x:v>0</x:v>
      </x:c>
      <x:c r="E21" s="11" t="n">
        <x:v>147.05</x:v>
      </x:c>
      <x:c r="F21" s="2" t="n">
        <x:v>0</x:v>
      </x:c>
      <x:c r="G21" s="2"/>
      <x:c r="H21" s="2"/>
      <x:c r="I21" s="2"/>
      <x:c r="J21" s="2"/>
      <x:c r="K21" s="2"/>
      <x:c r="L21" s="2" t="str">
        <x:v>Finland</x:v>
      </x:c>
      <x:c r="M21" s="2"/>
      <x:c r="N21" s="2"/>
      <x:c r="O21" s="2" t="str">
        <x:v>2011-02</x:v>
      </x:c>
      <x:c r="P21" s="2"/>
    </x:row>
    <x:row r="22" ht="22" customHeight="1">
      <x:c r="A22" s="12" t="n">
        <x:v>40148</x:v>
      </x:c>
      <x:c r="B22" s="2" t="str">
        <x:v>2009-12</x:v>
      </x:c>
      <x:c r="C22" s="2" t="str">
        <x:v>Norway</x:v>
      </x:c>
      <x:c r="D22" s="11" t="n">
        <x:v>485.31</x:v>
      </x:c>
      <x:c r="E22" s="11" t="n">
        <x:v>0</x:v>
      </x:c>
      <x:c r="F22" s="2" t="n">
        <x:v>1</x:v>
      </x:c>
      <x:c r="G22" s="2"/>
      <x:c r="H22" s="2"/>
      <x:c r="I22" s="2"/>
      <x:c r="J22" s="2"/>
      <x:c r="K22" s="2"/>
      <x:c r="L22" s="2" t="str">
        <x:v>France</x:v>
      </x:c>
      <x:c r="M22" s="2"/>
      <x:c r="N22" s="2"/>
      <x:c r="O22" s="2" t="str">
        <x:v>2011-03</x:v>
      </x:c>
      <x:c r="P22" s="2"/>
    </x:row>
    <x:row r="23" ht="22" customHeight="1">
      <x:c r="A23" s="12" t="n">
        <x:v>40148</x:v>
      </x:c>
      <x:c r="B23" s="2" t="str">
        <x:v>2009-12</x:v>
      </x:c>
      <x:c r="C23" s="2" t="str">
        <x:v>Poland</x:v>
      </x:c>
      <x:c r="D23" s="11" t="n">
        <x:v>371.82</x:v>
      </x:c>
      <x:c r="E23" s="11" t="n">
        <x:v>0</x:v>
      </x:c>
      <x:c r="F23" s="2" t="n">
        <x:v>1</x:v>
      </x:c>
      <x:c r="G23" s="2"/>
      <x:c r="H23" s="2"/>
      <x:c r="I23" s="15" t="str">
        <x:v>Controls calculated directly from transaction rows in prepare_data.py. They are independent reconciliation targets, not sums of the displayed analysis tables.</x:v>
      </x:c>
      <x:c r="J23" s="15" t="str">
        <x:v>Controls calculated directly from transaction rows in prepare_data.py. They are independent reconciliation targets, not sums of the displayed analysis tables.</x:v>
      </x:c>
      <x:c r="K23" s="15" t="str">
        <x:v>Controls calculated directly from transaction rows in prepare_data.py. They are independent reconciliation targets, not sums of the displayed analysis tables.</x:v>
      </x:c>
      <x:c r="L23" s="15" t="str">
        <x:v>Germany</x:v>
      </x:c>
      <x:c r="M23" s="15" t="str">
        <x:v>Controls calculated directly from transaction rows in prepare_data.py. They are independent reconciliation targets, not sums of the displayed analysis tables.</x:v>
      </x:c>
      <x:c r="N23" s="15" t="str">
        <x:v>Controls calculated directly from transaction rows in prepare_data.py. They are independent reconciliation targets, not sums of the displayed analysis tables.</x:v>
      </x:c>
      <x:c r="O23" s="15" t="str">
        <x:v>2011-04</x:v>
      </x:c>
      <x:c r="P23" s="15" t="str">
        <x:v>Controls calculated directly from transaction rows in prepare_data.py. They are independent reconciliation targets, not sums of the displayed analysis tables.</x:v>
      </x:c>
    </x:row>
    <x:row r="24" ht="22" customHeight="1">
      <x:c r="A24" s="12" t="n">
        <x:v>40148</x:v>
      </x:c>
      <x:c r="B24" s="2" t="str">
        <x:v>2009-12</x:v>
      </x:c>
      <x:c r="C24" s="2" t="str">
        <x:v>Portugal</x:v>
      </x:c>
      <x:c r="D24" s="11" t="n">
        <x:v>2821.58</x:v>
      </x:c>
      <x:c r="E24" s="11" t="n">
        <x:v>0</x:v>
      </x:c>
      <x:c r="F24" s="2" t="n">
        <x:v>2</x:v>
      </x:c>
      <x:c r="G24" s="2"/>
      <x:c r="H24" s="2"/>
      <x:c r="I24" s="15" t="str">
        <x:v>Controls calculated directly from transaction rows in prepare_data.py. They are independent reconciliation targets, not sums of the displayed analysis tables.</x:v>
      </x:c>
      <x:c r="J24" s="15" t="str">
        <x:v>Controls calculated directly from transaction rows in prepare_data.py. They are independent reconciliation targets, not sums of the displayed analysis tables.</x:v>
      </x:c>
      <x:c r="K24" s="15" t="str">
        <x:v>Controls calculated directly from transaction rows in prepare_data.py. They are independent reconciliation targets, not sums of the displayed analysis tables.</x:v>
      </x:c>
      <x:c r="L24" s="15" t="str">
        <x:v>Greece</x:v>
      </x:c>
      <x:c r="M24" s="15" t="str">
        <x:v>Controls calculated directly from transaction rows in prepare_data.py. They are independent reconciliation targets, not sums of the displayed analysis tables.</x:v>
      </x:c>
      <x:c r="N24" s="15" t="str">
        <x:v>Controls calculated directly from transaction rows in prepare_data.py. They are independent reconciliation targets, not sums of the displayed analysis tables.</x:v>
      </x:c>
      <x:c r="O24" s="15" t="str">
        <x:v>2011-05</x:v>
      </x:c>
      <x:c r="P24" s="15" t="str">
        <x:v>Controls calculated directly from transaction rows in prepare_data.py. They are independent reconciliation targets, not sums of the displayed analysis tables.</x:v>
      </x:c>
    </x:row>
    <x:row r="25" ht="22" customHeight="1">
      <x:c r="A25" s="12" t="n">
        <x:v>40148</x:v>
      </x:c>
      <x:c r="B25" s="2" t="str">
        <x:v>2009-12</x:v>
      </x:c>
      <x:c r="C25" s="2" t="str">
        <x:v>Spain</x:v>
      </x:c>
      <x:c r="D25" s="11" t="n">
        <x:v>7950.18</x:v>
      </x:c>
      <x:c r="E25" s="11" t="n">
        <x:v>31.35</x:v>
      </x:c>
      <x:c r="F25" s="2" t="n">
        <x:v>5</x:v>
      </x:c>
      <x:c r="G25" s="2"/>
      <x:c r="H25" s="2"/>
      <x:c r="I25" s="15" t="str">
        <x:v>Controls calculated directly from transaction rows in prepare_data.py. They are independent reconciliation targets, not sums of the displayed analysis tables.</x:v>
      </x:c>
      <x:c r="J25" s="15" t="str">
        <x:v>Controls calculated directly from transaction rows in prepare_data.py. They are independent reconciliation targets, not sums of the displayed analysis tables.</x:v>
      </x:c>
      <x:c r="K25" s="15" t="str">
        <x:v>Controls calculated directly from transaction rows in prepare_data.py. They are independent reconciliation targets, not sums of the displayed analysis tables.</x:v>
      </x:c>
      <x:c r="L25" s="15" t="str">
        <x:v>Hong Kong</x:v>
      </x:c>
      <x:c r="M25" s="15" t="str">
        <x:v>Controls calculated directly from transaction rows in prepare_data.py. They are independent reconciliation targets, not sums of the displayed analysis tables.</x:v>
      </x:c>
      <x:c r="N25" s="15" t="str">
        <x:v>Controls calculated directly from transaction rows in prepare_data.py. They are independent reconciliation targets, not sums of the displayed analysis tables.</x:v>
      </x:c>
      <x:c r="O25" s="15" t="str">
        <x:v>2011-06</x:v>
      </x:c>
      <x:c r="P25" s="15" t="str">
        <x:v>Controls calculated directly from transaction rows in prepare_data.py. They are independent reconciliation targets, not sums of the displayed analysis tables.</x:v>
      </x:c>
    </x:row>
    <x:row r="26" ht="22" customHeight="1">
      <x:c r="A26" s="12" t="n">
        <x:v>40148</x:v>
      </x:c>
      <x:c r="B26" s="2" t="str">
        <x:v>2009-12</x:v>
      </x:c>
      <x:c r="C26" s="2" t="str">
        <x:v>Sweden</x:v>
      </x:c>
      <x:c r="D26" s="11" t="n">
        <x:v>285.29999999999995</x:v>
      </x:c>
      <x:c r="E26" s="11" t="n">
        <x:v>25.5</x:v>
      </x:c>
      <x:c r="F26" s="2" t="n">
        <x:v>1</x:v>
      </x:c>
      <x:c r="G26" s="2"/>
      <x:c r="H26" s="2"/>
      <x:c r="I26" s="2"/>
      <x:c r="J26" s="2"/>
      <x:c r="K26" s="2"/>
      <x:c r="L26" s="2" t="str">
        <x:v>Iceland</x:v>
      </x:c>
      <x:c r="M26" s="2"/>
      <x:c r="N26" s="2"/>
      <x:c r="O26" s="2" t="str">
        <x:v>2011-07</x:v>
      </x:c>
      <x:c r="P26" s="2"/>
    </x:row>
    <x:row r="27" ht="22" customHeight="1">
      <x:c r="A27" s="12" t="n">
        <x:v>40148</x:v>
      </x:c>
      <x:c r="B27" s="2" t="str">
        <x:v>2009-12</x:v>
      </x:c>
      <x:c r="C27" s="2" t="str">
        <x:v>Switzerland</x:v>
      </x:c>
      <x:c r="D27" s="11" t="n">
        <x:v>589.4</x:v>
      </x:c>
      <x:c r="E27" s="11" t="n">
        <x:v>0</x:v>
      </x:c>
      <x:c r="F27" s="2" t="n">
        <x:v>1</x:v>
      </x:c>
      <x:c r="G27" s="2"/>
      <x:c r="H27" s="2"/>
      <x:c r="I27" s="2"/>
      <x:c r="J27" s="2"/>
      <x:c r="K27" s="2"/>
      <x:c r="L27" s="2" t="str">
        <x:v>Israel</x:v>
      </x:c>
      <x:c r="M27" s="2"/>
      <x:c r="N27" s="2"/>
      <x:c r="O27" s="2" t="str">
        <x:v>2011-08</x:v>
      </x:c>
      <x:c r="P27" s="2"/>
    </x:row>
    <x:row r="28" ht="22" customHeight="1">
      <x:c r="A28" s="12" t="n">
        <x:v>40148</x:v>
      </x:c>
      <x:c r="B28" s="2" t="str">
        <x:v>2009-12</x:v>
      </x:c>
      <x:c r="C28" s="2" t="str">
        <x:v>USA</x:v>
      </x:c>
      <x:c r="D28" s="11" t="n">
        <x:v>141</x:v>
      </x:c>
      <x:c r="E28" s="11" t="n">
        <x:v>0</x:v>
      </x:c>
      <x:c r="F28" s="2" t="n">
        <x:v>1</x:v>
      </x:c>
      <x:c r="G28" s="2"/>
      <x:c r="H28" s="2"/>
      <x:c r="I28" s="2"/>
      <x:c r="J28" s="2"/>
      <x:c r="K28" s="2"/>
      <x:c r="L28" s="2" t="str">
        <x:v>Italy</x:v>
      </x:c>
      <x:c r="M28" s="2"/>
      <x:c r="N28" s="2"/>
      <x:c r="O28" s="2" t="str">
        <x:v>2011-09</x:v>
      </x:c>
      <x:c r="P28" s="2"/>
    </x:row>
    <x:row r="29" ht="22" customHeight="1">
      <x:c r="A29" s="12" t="n">
        <x:v>40148</x:v>
      </x:c>
      <x:c r="B29" s="2" t="str">
        <x:v>2009-12</x:v>
      </x:c>
      <x:c r="C29" s="2" t="str">
        <x:v>United Arab Emirates</x:v>
      </x:c>
      <x:c r="D29" s="11" t="n">
        <x:v>517.7</x:v>
      </x:c>
      <x:c r="E29" s="11" t="n">
        <x:v>38.160000000000004</x:v>
      </x:c>
      <x:c r="F29" s="2" t="n">
        <x:v>1</x:v>
      </x:c>
      <x:c r="G29" s="2"/>
      <x:c r="H29" s="2"/>
      <x:c r="I29" s="2"/>
      <x:c r="J29" s="2"/>
      <x:c r="K29" s="2"/>
      <x:c r="L29" s="2" t="str">
        <x:v>Japan</x:v>
      </x:c>
      <x:c r="M29" s="2"/>
      <x:c r="N29" s="2"/>
      <x:c r="O29" s="2" t="str">
        <x:v>2011-10</x:v>
      </x:c>
      <x:c r="P29" s="2"/>
    </x:row>
    <x:row r="30" ht="22" customHeight="1">
      <x:c r="A30" s="12" t="n">
        <x:v>40148</x:v>
      </x:c>
      <x:c r="B30" s="2" t="str">
        <x:v>2009-12</x:v>
      </x:c>
      <x:c r="C30" s="2" t="str">
        <x:v>United Kingdom</x:v>
      </x:c>
      <x:c r="D30" s="11" t="n">
        <x:v>750317.22</x:v>
      </x:c>
      <x:c r="E30" s="11" t="n">
        <x:v>22661.26</x:v>
      </x:c>
      <x:c r="F30" s="2" t="n">
        <x:v>1595</x:v>
      </x:c>
      <x:c r="G30" s="2"/>
      <x:c r="H30" s="2"/>
      <x:c r="I30" s="2"/>
      <x:c r="J30" s="2"/>
      <x:c r="K30" s="2"/>
      <x:c r="L30" s="2" t="str">
        <x:v>Korea</x:v>
      </x:c>
      <x:c r="M30" s="2"/>
      <x:c r="N30" s="2"/>
      <x:c r="O30" s="2" t="str">
        <x:v>2011-11</x:v>
      </x:c>
      <x:c r="P30" s="2"/>
    </x:row>
    <x:row r="31" ht="22" customHeight="1">
      <x:c r="A31" s="12" t="n">
        <x:v>40179</x:v>
      </x:c>
      <x:c r="B31" s="2" t="str">
        <x:v>2010-01</x:v>
      </x:c>
      <x:c r="C31" s="2" t="str">
        <x:v>Belgium</x:v>
      </x:c>
      <x:c r="D31" s="11" t="n">
        <x:v>1634.02</x:v>
      </x:c>
      <x:c r="E31" s="11" t="n">
        <x:v>9.95</x:v>
      </x:c>
      <x:c r="F31" s="2" t="n">
        <x:v>4</x:v>
      </x:c>
      <x:c r="G31" s="2"/>
      <x:c r="H31" s="2"/>
      <x:c r="I31" s="2"/>
      <x:c r="J31" s="2"/>
      <x:c r="K31" s="2"/>
      <x:c r="L31" s="2" t="str">
        <x:v>Lebanon</x:v>
      </x:c>
      <x:c r="M31" s="2"/>
      <x:c r="N31" s="2"/>
      <x:c r="O31" s="2" t="str">
        <x:v>2011-12</x:v>
      </x:c>
      <x:c r="P31" s="2"/>
    </x:row>
    <x:row r="32" ht="22" customHeight="1">
      <x:c r="A32" s="12" t="n">
        <x:v>40179</x:v>
      </x:c>
      <x:c r="B32" s="2" t="str">
        <x:v>2010-01</x:v>
      </x:c>
      <x:c r="C32" s="2" t="str">
        <x:v>Channel Islands</x:v>
      </x:c>
      <x:c r="D32" s="11" t="n">
        <x:v>838.75</x:v>
      </x:c>
      <x:c r="E32" s="11" t="n">
        <x:v>15.9</x:v>
      </x:c>
      <x:c r="F32" s="2" t="n">
        <x:v>1</x:v>
      </x:c>
      <x:c r="G32" s="2"/>
      <x:c r="H32" s="2"/>
      <x:c r="I32" s="2"/>
      <x:c r="J32" s="2"/>
      <x:c r="K32" s="2"/>
      <x:c r="L32" s="2" t="str">
        <x:v>Lithuania</x:v>
      </x:c>
      <x:c r="M32" s="2"/>
      <x:c r="N32" s="2"/>
      <x:c r="O32" s="2"/>
      <x:c r="P32" s="2"/>
    </x:row>
    <x:row r="33" ht="22" customHeight="1">
      <x:c r="A33" s="12" t="n">
        <x:v>40179</x:v>
      </x:c>
      <x:c r="B33" s="2" t="str">
        <x:v>2010-01</x:v>
      </x:c>
      <x:c r="C33" s="2" t="str">
        <x:v>Cyprus</x:v>
      </x:c>
      <x:c r="D33" s="11" t="n">
        <x:v>76.52000000000001</x:v>
      </x:c>
      <x:c r="E33" s="11" t="n">
        <x:v>0</x:v>
      </x:c>
      <x:c r="F33" s="2" t="n">
        <x:v>1</x:v>
      </x:c>
      <x:c r="G33" s="2"/>
      <x:c r="H33" s="2"/>
      <x:c r="I33" s="2"/>
      <x:c r="J33" s="2"/>
      <x:c r="K33" s="2"/>
      <x:c r="L33" s="2" t="str">
        <x:v>Malta</x:v>
      </x:c>
      <x:c r="M33" s="2"/>
      <x:c r="N33" s="2"/>
      <x:c r="O33" s="2"/>
      <x:c r="P33" s="2"/>
    </x:row>
    <x:row r="34" ht="22" customHeight="1">
      <x:c r="A34" s="12" t="n">
        <x:v>40179</x:v>
      </x:c>
      <x:c r="B34" s="2" t="str">
        <x:v>2010-01</x:v>
      </x:c>
      <x:c r="C34" s="2" t="str">
        <x:v>Denmark</x:v>
      </x:c>
      <x:c r="D34" s="11" t="n">
        <x:v>7870.6</x:v>
      </x:c>
      <x:c r="E34" s="11" t="n">
        <x:v>0</x:v>
      </x:c>
      <x:c r="F34" s="2" t="n">
        <x:v>2</x:v>
      </x:c>
      <x:c r="G34" s="2"/>
      <x:c r="H34" s="2"/>
      <x:c r="I34" s="2"/>
      <x:c r="J34" s="2"/>
      <x:c r="K34" s="2"/>
      <x:c r="L34" s="2" t="str">
        <x:v>Netherlands</x:v>
      </x:c>
      <x:c r="M34" s="2"/>
      <x:c r="N34" s="2"/>
      <x:c r="O34" s="2"/>
      <x:c r="P34" s="2"/>
    </x:row>
    <x:row r="35" ht="22" customHeight="1">
      <x:c r="A35" s="12" t="n">
        <x:v>40179</x:v>
      </x:c>
      <x:c r="B35" s="2" t="str">
        <x:v>2010-01</x:v>
      </x:c>
      <x:c r="C35" s="2" t="str">
        <x:v>EIRE</x:v>
      </x:c>
      <x:c r="D35" s="11" t="n">
        <x:v>65258.43</x:v>
      </x:c>
      <x:c r="E35" s="11" t="n">
        <x:v>5495.13</x:v>
      </x:c>
      <x:c r="F35" s="2" t="n">
        <x:v>32</x:v>
      </x:c>
      <x:c r="G35" s="2"/>
      <x:c r="H35" s="2"/>
      <x:c r="I35" s="2"/>
      <x:c r="J35" s="2"/>
      <x:c r="K35" s="2"/>
      <x:c r="L35" s="2" t="str">
        <x:v>Nigeria</x:v>
      </x:c>
      <x:c r="M35" s="2"/>
      <x:c r="N35" s="2"/>
      <x:c r="O35" s="2"/>
      <x:c r="P35" s="2"/>
    </x:row>
    <x:row r="36" ht="22" customHeight="1">
      <x:c r="A36" s="12" t="n">
        <x:v>40179</x:v>
      </x:c>
      <x:c r="B36" s="2" t="str">
        <x:v>2010-01</x:v>
      </x:c>
      <x:c r="C36" s="2" t="str">
        <x:v>Finland</x:v>
      </x:c>
      <x:c r="D36" s="11" t="n">
        <x:v>801.42</x:v>
      </x:c>
      <x:c r="E36" s="11" t="n">
        <x:v>142.65</x:v>
      </x:c>
      <x:c r="F36" s="2" t="n">
        <x:v>2</x:v>
      </x:c>
      <x:c r="G36" s="2"/>
      <x:c r="H36" s="2"/>
      <x:c r="I36" s="2"/>
      <x:c r="J36" s="2"/>
      <x:c r="K36" s="2"/>
      <x:c r="L36" s="2" t="str">
        <x:v>Norway</x:v>
      </x:c>
      <x:c r="M36" s="2"/>
      <x:c r="N36" s="2"/>
      <x:c r="O36" s="2"/>
      <x:c r="P36" s="2"/>
    </x:row>
    <x:row r="37" ht="22" customHeight="1">
      <x:c r="A37" s="12" t="n">
        <x:v>40179</x:v>
      </x:c>
      <x:c r="B37" s="2" t="str">
        <x:v>2010-01</x:v>
      </x:c>
      <x:c r="C37" s="2" t="str">
        <x:v>France</x:v>
      </x:c>
      <x:c r="D37" s="11" t="n">
        <x:v>8465.63</x:v>
      </x:c>
      <x:c r="E37" s="11" t="n">
        <x:v>116.62</x:v>
      </x:c>
      <x:c r="F37" s="2" t="n">
        <x:v>12</x:v>
      </x:c>
      <x:c r="G37" s="2"/>
      <x:c r="H37" s="2"/>
      <x:c r="I37" s="2"/>
      <x:c r="J37" s="2"/>
      <x:c r="K37" s="2"/>
      <x:c r="L37" s="2" t="str">
        <x:v>Poland</x:v>
      </x:c>
      <x:c r="M37" s="2"/>
      <x:c r="N37" s="2"/>
      <x:c r="O37" s="2"/>
      <x:c r="P37" s="2"/>
    </x:row>
    <x:row r="38" ht="22" customHeight="1">
      <x:c r="A38" s="12" t="n">
        <x:v>40179</x:v>
      </x:c>
      <x:c r="B38" s="2" t="str">
        <x:v>2010-01</x:v>
      </x:c>
      <x:c r="C38" s="2" t="str">
        <x:v>Germany</x:v>
      </x:c>
      <x:c r="D38" s="11" t="n">
        <x:v>12562.11</x:v>
      </x:c>
      <x:c r="E38" s="11" t="n">
        <x:v>660.9</x:v>
      </x:c>
      <x:c r="F38" s="2" t="n">
        <x:v>21</x:v>
      </x:c>
      <x:c r="G38" s="2"/>
      <x:c r="H38" s="2"/>
      <x:c r="I38" s="2"/>
      <x:c r="J38" s="2"/>
      <x:c r="K38" s="2"/>
      <x:c r="L38" s="2" t="str">
        <x:v>Portugal</x:v>
      </x:c>
      <x:c r="M38" s="2"/>
      <x:c r="N38" s="2"/>
      <x:c r="O38" s="2"/>
      <x:c r="P38" s="2"/>
    </x:row>
    <x:row r="39" ht="22" customHeight="1">
      <x:c r="A39" s="12" t="n">
        <x:v>40179</x:v>
      </x:c>
      <x:c r="B39" s="2" t="str">
        <x:v>2010-01</x:v>
      </x:c>
      <x:c r="C39" s="2" t="str">
        <x:v>Greece</x:v>
      </x:c>
      <x:c r="D39" s="11" t="n">
        <x:v>4798.35</x:v>
      </x:c>
      <x:c r="E39" s="11" t="n">
        <x:v>0</x:v>
      </x:c>
      <x:c r="F39" s="2" t="n">
        <x:v>3</x:v>
      </x:c>
      <x:c r="G39" s="2"/>
      <x:c r="H39" s="2"/>
      <x:c r="I39" s="2"/>
      <x:c r="J39" s="2"/>
      <x:c r="K39" s="2"/>
      <x:c r="L39" s="2" t="str">
        <x:v>RSA</x:v>
      </x:c>
      <x:c r="M39" s="2"/>
      <x:c r="N39" s="2"/>
      <x:c r="O39" s="2"/>
      <x:c r="P39" s="2"/>
    </x:row>
    <x:row r="40" ht="22" customHeight="1">
      <x:c r="A40" s="12" t="n">
        <x:v>40179</x:v>
      </x:c>
      <x:c r="B40" s="2" t="str">
        <x:v>2010-01</x:v>
      </x:c>
      <x:c r="C40" s="2" t="str">
        <x:v>Italy</x:v>
      </x:c>
      <x:c r="D40" s="11" t="n">
        <x:v>39.67</x:v>
      </x:c>
      <x:c r="E40" s="11" t="n">
        <x:v>0</x:v>
      </x:c>
      <x:c r="F40" s="2" t="n">
        <x:v>1</x:v>
      </x:c>
      <x:c r="G40" s="2"/>
      <x:c r="H40" s="2"/>
      <x:c r="I40" s="2"/>
      <x:c r="J40" s="2"/>
      <x:c r="K40" s="2"/>
      <x:c r="L40" s="2" t="str">
        <x:v>Saudi Arabia</x:v>
      </x:c>
      <x:c r="M40" s="2"/>
      <x:c r="N40" s="2"/>
      <x:c r="O40" s="2"/>
      <x:c r="P40" s="2"/>
    </x:row>
    <x:row r="41" ht="22" customHeight="1">
      <x:c r="A41" s="12" t="n">
        <x:v>40179</x:v>
      </x:c>
      <x:c r="B41" s="2" t="str">
        <x:v>2010-01</x:v>
      </x:c>
      <x:c r="C41" s="2" t="str">
        <x:v>Japan</x:v>
      </x:c>
      <x:c r="D41" s="11" t="n">
        <x:v>2.95</x:v>
      </x:c>
      <x:c r="E41" s="11" t="n">
        <x:v>0</x:v>
      </x:c>
      <x:c r="F41" s="2" t="n">
        <x:v>1</x:v>
      </x:c>
      <x:c r="G41" s="2"/>
      <x:c r="H41" s="2"/>
      <x:c r="I41" s="2"/>
      <x:c r="J41" s="2"/>
      <x:c r="K41" s="2"/>
      <x:c r="L41" s="2" t="str">
        <x:v>Singapore</x:v>
      </x:c>
      <x:c r="M41" s="2"/>
      <x:c r="N41" s="2"/>
      <x:c r="O41" s="2"/>
      <x:c r="P41" s="2"/>
    </x:row>
    <x:row r="42" ht="22" customHeight="1">
      <x:c r="A42" s="12" t="n">
        <x:v>40179</x:v>
      </x:c>
      <x:c r="B42" s="2" t="str">
        <x:v>2010-01</x:v>
      </x:c>
      <x:c r="C42" s="2" t="str">
        <x:v>Netherlands</x:v>
      </x:c>
      <x:c r="D42" s="11" t="n">
        <x:v>29230.77</x:v>
      </x:c>
      <x:c r="E42" s="11" t="n">
        <x:v>18.38</x:v>
      </x:c>
      <x:c r="F42" s="2" t="n">
        <x:v>6</x:v>
      </x:c>
      <x:c r="G42" s="2"/>
      <x:c r="H42" s="2"/>
      <x:c r="I42" s="2"/>
      <x:c r="J42" s="2"/>
      <x:c r="K42" s="2"/>
      <x:c r="L42" s="2" t="str">
        <x:v>Spain</x:v>
      </x:c>
      <x:c r="M42" s="2"/>
      <x:c r="N42" s="2"/>
      <x:c r="O42" s="2"/>
      <x:c r="P42" s="2"/>
    </x:row>
    <x:row r="43" ht="22" customHeight="1">
      <x:c r="A43" s="12" t="n">
        <x:v>40179</x:v>
      </x:c>
      <x:c r="B43" s="2" t="str">
        <x:v>2010-01</x:v>
      </x:c>
      <x:c r="C43" s="2" t="str">
        <x:v>Nigeria</x:v>
      </x:c>
      <x:c r="D43" s="11" t="n">
        <x:v>27.82</x:v>
      </x:c>
      <x:c r="E43" s="11" t="n">
        <x:v>0</x:v>
      </x:c>
      <x:c r="F43" s="2" t="n">
        <x:v>1</x:v>
      </x:c>
      <x:c r="G43" s="2"/>
      <x:c r="H43" s="2"/>
      <x:c r="I43" s="2"/>
      <x:c r="J43" s="2"/>
      <x:c r="K43" s="2"/>
      <x:c r="L43" s="2" t="str">
        <x:v>Sweden</x:v>
      </x:c>
      <x:c r="M43" s="2"/>
      <x:c r="N43" s="2"/>
      <x:c r="O43" s="2"/>
      <x:c r="P43" s="2"/>
    </x:row>
    <x:row r="44" ht="22" customHeight="1">
      <x:c r="A44" s="12" t="n">
        <x:v>40179</x:v>
      </x:c>
      <x:c r="B44" s="2" t="str">
        <x:v>2010-01</x:v>
      </x:c>
      <x:c r="C44" s="2" t="str">
        <x:v>Portugal</x:v>
      </x:c>
      <x:c r="D44" s="11" t="n">
        <x:v>117.72</x:v>
      </x:c>
      <x:c r="E44" s="11" t="n">
        <x:v>13.13</x:v>
      </x:c>
      <x:c r="F44" s="2" t="n">
        <x:v>1</x:v>
      </x:c>
      <x:c r="G44" s="2"/>
      <x:c r="H44" s="2"/>
      <x:c r="I44" s="2"/>
      <x:c r="J44" s="2"/>
      <x:c r="K44" s="2"/>
      <x:c r="L44" s="2" t="str">
        <x:v>Switzerland</x:v>
      </x:c>
      <x:c r="M44" s="2"/>
      <x:c r="N44" s="2"/>
      <x:c r="O44" s="2"/>
      <x:c r="P44" s="2"/>
    </x:row>
    <x:row r="45" ht="22" customHeight="1">
      <x:c r="A45" s="12" t="n">
        <x:v>40179</x:v>
      </x:c>
      <x:c r="B45" s="2" t="str">
        <x:v>2010-01</x:v>
      </x:c>
      <x:c r="C45" s="2" t="str">
        <x:v>Spain</x:v>
      </x:c>
      <x:c r="D45" s="11" t="n">
        <x:v>4181.24</x:v>
      </x:c>
      <x:c r="E45" s="11" t="n">
        <x:v>1437.24</x:v>
      </x:c>
      <x:c r="F45" s="2" t="n">
        <x:v>9</x:v>
      </x:c>
      <x:c r="G45" s="2"/>
      <x:c r="H45" s="2"/>
      <x:c r="I45" s="2"/>
      <x:c r="J45" s="2"/>
      <x:c r="K45" s="2"/>
      <x:c r="L45" s="2" t="str">
        <x:v>Thailand</x:v>
      </x:c>
      <x:c r="M45" s="2"/>
      <x:c r="N45" s="2"/>
      <x:c r="O45" s="2"/>
      <x:c r="P45" s="2"/>
    </x:row>
    <x:row r="46" ht="22" customHeight="1">
      <x:c r="A46" s="12" t="n">
        <x:v>40179</x:v>
      </x:c>
      <x:c r="B46" s="2" t="str">
        <x:v>2010-01</x:v>
      </x:c>
      <x:c r="C46" s="2" t="str">
        <x:v>Sweden</x:v>
      </x:c>
      <x:c r="D46" s="11" t="n">
        <x:v>1680.15</x:v>
      </x:c>
      <x:c r="E46" s="11" t="n">
        <x:v>40</x:v>
      </x:c>
      <x:c r="F46" s="2" t="n">
        <x:v>3</x:v>
      </x:c>
      <x:c r="G46" s="2"/>
      <x:c r="H46" s="2"/>
      <x:c r="I46" s="2"/>
      <x:c r="J46" s="2"/>
      <x:c r="K46" s="2"/>
      <x:c r="L46" s="2" t="str">
        <x:v>United Arab Emirates</x:v>
      </x:c>
      <x:c r="M46" s="2"/>
      <x:c r="N46" s="2"/>
      <x:c r="O46" s="2"/>
      <x:c r="P46" s="2"/>
    </x:row>
    <x:row r="47" ht="22" customHeight="1">
      <x:c r="A47" s="12" t="n">
        <x:v>40179</x:v>
      </x:c>
      <x:c r="B47" s="2" t="str">
        <x:v>2010-01</x:v>
      </x:c>
      <x:c r="C47" s="2" t="str">
        <x:v>USA</x:v>
      </x:c>
      <x:c r="D47" s="11" t="n">
        <x:v>2289.59</x:v>
      </x:c>
      <x:c r="E47" s="11" t="n">
        <x:v>0</x:v>
      </x:c>
      <x:c r="F47" s="2" t="n">
        <x:v>5</x:v>
      </x:c>
      <x:c r="G47" s="2"/>
      <x:c r="H47" s="2"/>
      <x:c r="I47" s="2"/>
      <x:c r="J47" s="2"/>
      <x:c r="K47" s="2"/>
      <x:c r="L47" s="2" t="str">
        <x:v>United Kingdom</x:v>
      </x:c>
      <x:c r="M47" s="2"/>
      <x:c r="N47" s="2"/>
      <x:c r="O47" s="2"/>
      <x:c r="P47" s="2"/>
    </x:row>
    <x:row r="48" ht="22" customHeight="1">
      <x:c r="A48" s="12" t="n">
        <x:v>40179</x:v>
      </x:c>
      <x:c r="B48" s="2" t="str">
        <x:v>2010-01</x:v>
      </x:c>
      <x:c r="C48" s="2" t="str">
        <x:v>United Kingdom</x:v>
      </x:c>
      <x:c r="D48" s="11" t="n">
        <x:v>511797.662</x:v>
      </x:c>
      <x:c r="E48" s="11" t="n">
        <x:v>20688.96</x:v>
      </x:c>
      <x:c r="F48" s="2" t="n">
        <x:v>998</x:v>
      </x:c>
      <x:c r="G48" s="2"/>
      <x:c r="H48" s="2"/>
      <x:c r="I48" s="2"/>
      <x:c r="J48" s="2"/>
      <x:c r="K48" s="2"/>
      <x:c r="L48" s="2" t="str">
        <x:v>Unspecified</x:v>
      </x:c>
      <x:c r="M48" s="2"/>
      <x:c r="N48" s="2"/>
      <x:c r="O48" s="2"/>
      <x:c r="P48" s="2"/>
    </x:row>
    <x:row r="49" ht="22" customHeight="1">
      <x:c r="A49" s="12" t="n">
        <x:v>40179</x:v>
      </x:c>
      <x:c r="B49" s="2" t="str">
        <x:v>2010-01</x:v>
      </x:c>
      <x:c r="C49" s="2" t="str">
        <x:v>Unspecified</x:v>
      </x:c>
      <x:c r="D49" s="11" t="n">
        <x:v>1035.1</x:v>
      </x:c>
      <x:c r="E49" s="11" t="n">
        <x:v>36.75</x:v>
      </x:c>
      <x:c r="F49" s="2" t="n">
        <x:v>2</x:v>
      </x:c>
      <x:c r="G49" s="2"/>
      <x:c r="H49" s="2"/>
      <x:c r="I49" s="2"/>
      <x:c r="J49" s="2"/>
      <x:c r="K49" s="2"/>
      <x:c r="L49" s="2" t="str">
        <x:v>USA</x:v>
      </x:c>
      <x:c r="M49" s="2"/>
      <x:c r="N49" s="2"/>
      <x:c r="O49" s="2"/>
      <x:c r="P49" s="2"/>
    </x:row>
    <x:row r="50" ht="22" customHeight="1">
      <x:c r="A50" s="12" t="n">
        <x:v>40210</x:v>
      </x:c>
      <x:c r="B50" s="2" t="str">
        <x:v>2010-02</x:v>
      </x:c>
      <x:c r="C50" s="2" t="str">
        <x:v>Australia</x:v>
      </x:c>
      <x:c r="D50" s="11" t="n">
        <x:v>1029.66</x:v>
      </x:c>
      <x:c r="E50" s="11" t="n">
        <x:v>0</x:v>
      </x:c>
      <x:c r="F50" s="2" t="n">
        <x:v>3</x:v>
      </x:c>
      <x:c r="G50" s="2"/>
      <x:c r="H50" s="2"/>
      <x:c r="I50" s="2"/>
      <x:c r="J50" s="2"/>
      <x:c r="K50" s="2"/>
      <x:c r="L50" s="2" t="str">
        <x:v>West Indies</x:v>
      </x:c>
      <x:c r="M50" s="2"/>
      <x:c r="N50" s="2"/>
      <x:c r="O50" s="2"/>
      <x:c r="P50" s="2"/>
    </x:row>
    <x:row r="51" ht="22" customHeight="1">
      <x:c r="A51" s="12" t="n">
        <x:v>40210</x:v>
      </x:c>
      <x:c r="B51" s="2" t="str">
        <x:v>2010-02</x:v>
      </x:c>
      <x:c r="C51" s="2" t="str">
        <x:v>Austria</x:v>
      </x:c>
      <x:c r="D51" s="11" t="n">
        <x:v>1118.8600000000001</x:v>
      </x:c>
      <x:c r="E51" s="11" t="n">
        <x:v>0</x:v>
      </x:c>
      <x:c r="F51" s="2" t="n">
        <x:v>3</x:v>
      </x:c>
      <x:c r="G51" s="2"/>
      <x:c r="H51" s="2"/>
      <x:c r="I51" s="2"/>
      <x:c r="J51" s="2"/>
      <x:c r="K51" s="2"/>
      <x:c r="L51" s="2"/>
      <x:c r="M51" s="2"/>
      <x:c r="N51" s="2"/>
      <x:c r="O51" s="2"/>
      <x:c r="P51" s="2"/>
    </x:row>
    <x:row r="52" ht="22" customHeight="1">
      <x:c r="A52" s="12" t="n">
        <x:v>40210</x:v>
      </x:c>
      <x:c r="B52" s="2" t="str">
        <x:v>2010-02</x:v>
      </x:c>
      <x:c r="C52" s="2" t="str">
        <x:v>Bahrain</x:v>
      </x:c>
      <x:c r="D52" s="11" t="n">
        <x:v>439.85</x:v>
      </x:c>
      <x:c r="E52" s="11" t="n">
        <x:v>0</x:v>
      </x:c>
      <x:c r="F52" s="2" t="n">
        <x:v>1</x:v>
      </x:c>
      <x:c r="G52" s="2"/>
      <x:c r="H52" s="2"/>
      <x:c r="I52" s="2"/>
      <x:c r="J52" s="2"/>
      <x:c r="K52" s="2"/>
      <x:c r="L52" s="2"/>
      <x:c r="M52" s="2"/>
      <x:c r="N52" s="2"/>
      <x:c r="O52" s="2"/>
      <x:c r="P52" s="2"/>
    </x:row>
    <x:row r="53" ht="22" customHeight="1">
      <x:c r="A53" s="12" t="n">
        <x:v>40210</x:v>
      </x:c>
      <x:c r="B53" s="2" t="str">
        <x:v>2010-02</x:v>
      </x:c>
      <x:c r="C53" s="2" t="str">
        <x:v>Belgium</x:v>
      </x:c>
      <x:c r="D53" s="11" t="n">
        <x:v>3209</x:v>
      </x:c>
      <x:c r="E53" s="11" t="n">
        <x:v>1508.65</x:v>
      </x:c>
      <x:c r="F53" s="2" t="n">
        <x:v>3</x:v>
      </x:c>
      <x:c r="G53" s="2"/>
      <x:c r="H53" s="2"/>
      <x:c r="I53" s="2"/>
      <x:c r="J53" s="2"/>
      <x:c r="K53" s="2"/>
      <x:c r="L53" s="2"/>
      <x:c r="M53" s="2"/>
      <x:c r="N53" s="2"/>
      <x:c r="O53" s="2"/>
      <x:c r="P53" s="2"/>
    </x:row>
    <x:row r="54" ht="22" customHeight="1">
      <x:c r="A54" s="12" t="n">
        <x:v>40210</x:v>
      </x:c>
      <x:c r="B54" s="2" t="str">
        <x:v>2010-02</x:v>
      </x:c>
      <x:c r="C54" s="2" t="str">
        <x:v>Cyprus</x:v>
      </x:c>
      <x:c r="D54" s="11" t="n">
        <x:v>750.49</x:v>
      </x:c>
      <x:c r="E54" s="11" t="n">
        <x:v>0</x:v>
      </x:c>
      <x:c r="F54" s="2" t="n">
        <x:v>2</x:v>
      </x:c>
      <x:c r="G54" s="2"/>
      <x:c r="H54" s="2"/>
      <x:c r="I54" s="2"/>
      <x:c r="J54" s="2"/>
      <x:c r="K54" s="2"/>
      <x:c r="L54" s="2"/>
      <x:c r="M54" s="2"/>
      <x:c r="N54" s="2"/>
      <x:c r="O54" s="2"/>
      <x:c r="P54" s="2"/>
    </x:row>
    <x:row r="55" ht="22" customHeight="1">
      <x:c r="A55" s="12" t="n">
        <x:v>40210</x:v>
      </x:c>
      <x:c r="B55" s="2" t="str">
        <x:v>2010-02</x:v>
      </x:c>
      <x:c r="C55" s="2" t="str">
        <x:v>Denmark</x:v>
      </x:c>
      <x:c r="D55" s="11" t="n">
        <x:v>19809.899999999998</x:v>
      </x:c>
      <x:c r="E55" s="11" t="n">
        <x:v>3630.7999999999997</x:v>
      </x:c>
      <x:c r="F55" s="2" t="n">
        <x:v>2</x:v>
      </x:c>
      <x:c r="G55" s="2"/>
      <x:c r="H55" s="2"/>
      <x:c r="I55" s="2"/>
      <x:c r="J55" s="2"/>
      <x:c r="K55" s="2"/>
      <x:c r="L55" s="2"/>
      <x:c r="M55" s="2"/>
      <x:c r="N55" s="2"/>
      <x:c r="O55" s="2"/>
      <x:c r="P55" s="2"/>
    </x:row>
    <x:row r="56" ht="22" customHeight="1">
      <x:c r="A56" s="12" t="n">
        <x:v>40210</x:v>
      </x:c>
      <x:c r="B56" s="2" t="str">
        <x:v>2010-02</x:v>
      </x:c>
      <x:c r="C56" s="2" t="str">
        <x:v>EIRE</x:v>
      </x:c>
      <x:c r="D56" s="11" t="n">
        <x:v>21538.8</x:v>
      </x:c>
      <x:c r="E56" s="11" t="n">
        <x:v>1029.55</x:v>
      </x:c>
      <x:c r="F56" s="2" t="n">
        <x:v>18</x:v>
      </x:c>
      <x:c r="G56" s="2"/>
      <x:c r="H56" s="2"/>
      <x:c r="I56" s="2"/>
      <x:c r="J56" s="2"/>
      <x:c r="K56" s="2"/>
      <x:c r="L56" s="2"/>
      <x:c r="M56" s="2"/>
      <x:c r="N56" s="2"/>
      <x:c r="O56" s="2"/>
      <x:c r="P56" s="2"/>
    </x:row>
    <x:row r="57" ht="22" customHeight="1">
      <x:c r="A57" s="12" t="n">
        <x:v>40210</x:v>
      </x:c>
      <x:c r="B57" s="2" t="str">
        <x:v>2010-02</x:v>
      </x:c>
      <x:c r="C57" s="2" t="str">
        <x:v>France</x:v>
      </x:c>
      <x:c r="D57" s="11" t="n">
        <x:v>9024.16</x:v>
      </x:c>
      <x:c r="E57" s="11" t="n">
        <x:v>43.15</x:v>
      </x:c>
      <x:c r="F57" s="2" t="n">
        <x:v>17</x:v>
      </x:c>
      <x:c r="G57" s="2"/>
      <x:c r="H57" s="2"/>
      <x:c r="I57" s="2"/>
      <x:c r="J57" s="2"/>
      <x:c r="K57" s="2"/>
      <x:c r="L57" s="2"/>
      <x:c r="M57" s="2"/>
      <x:c r="N57" s="2"/>
      <x:c r="O57" s="2"/>
      <x:c r="P57" s="2"/>
    </x:row>
    <x:row r="58" ht="22" customHeight="1">
      <x:c r="A58" s="12" t="n">
        <x:v>40210</x:v>
      </x:c>
      <x:c r="B58" s="2" t="str">
        <x:v>2010-02</x:v>
      </x:c>
      <x:c r="C58" s="2" t="str">
        <x:v>Germany</x:v>
      </x:c>
      <x:c r="D58" s="11" t="n">
        <x:v>9124.25</x:v>
      </x:c>
      <x:c r="E58" s="11" t="n">
        <x:v>253</x:v>
      </x:c>
      <x:c r="F58" s="2" t="n">
        <x:v>27</x:v>
      </x:c>
      <x:c r="G58" s="2"/>
      <x:c r="H58" s="2"/>
      <x:c r="I58" s="2"/>
      <x:c r="J58" s="2"/>
      <x:c r="K58" s="2"/>
      <x:c r="L58" s="2"/>
      <x:c r="M58" s="2"/>
      <x:c r="N58" s="2"/>
      <x:c r="O58" s="2"/>
      <x:c r="P58" s="2"/>
    </x:row>
    <x:row r="59" ht="22" customHeight="1">
      <x:c r="A59" s="12" t="n">
        <x:v>40210</x:v>
      </x:c>
      <x:c r="B59" s="2" t="str">
        <x:v>2010-02</x:v>
      </x:c>
      <x:c r="C59" s="2" t="str">
        <x:v>Japan</x:v>
      </x:c>
      <x:c r="D59" s="11" t="n">
        <x:v>193.72</x:v>
      </x:c>
      <x:c r="E59" s="11" t="n">
        <x:v>37.01</x:v>
      </x:c>
      <x:c r="F59" s="2" t="n">
        <x:v>2</x:v>
      </x:c>
      <x:c r="G59" s="2"/>
      <x:c r="H59" s="2"/>
      <x:c r="I59" s="2"/>
      <x:c r="J59" s="2"/>
      <x:c r="K59" s="2"/>
      <x:c r="L59" s="2"/>
      <x:c r="M59" s="2"/>
      <x:c r="N59" s="2"/>
      <x:c r="O59" s="2"/>
      <x:c r="P59" s="2"/>
    </x:row>
    <x:row r="60" ht="22" customHeight="1">
      <x:c r="A60" s="12" t="n">
        <x:v>40210</x:v>
      </x:c>
      <x:c r="B60" s="2" t="str">
        <x:v>2010-02</x:v>
      </x:c>
      <x:c r="C60" s="2" t="str">
        <x:v>Malta</x:v>
      </x:c>
      <x:c r="D60" s="11" t="n">
        <x:v>1636.38</x:v>
      </x:c>
      <x:c r="E60" s="11" t="n">
        <x:v>818.19</x:v>
      </x:c>
      <x:c r="F60" s="2" t="n">
        <x:v>2</x:v>
      </x:c>
      <x:c r="G60" s="2"/>
      <x:c r="H60" s="2"/>
      <x:c r="I60" s="2"/>
      <x:c r="J60" s="2"/>
      <x:c r="K60" s="2"/>
      <x:c r="L60" s="2"/>
      <x:c r="M60" s="2"/>
      <x:c r="N60" s="2"/>
      <x:c r="O60" s="2"/>
      <x:c r="P60" s="2"/>
    </x:row>
    <x:row r="61" ht="22" customHeight="1">
      <x:c r="A61" s="12" t="n">
        <x:v>40210</x:v>
      </x:c>
      <x:c r="B61" s="2" t="str">
        <x:v>2010-02</x:v>
      </x:c>
      <x:c r="C61" s="2" t="str">
        <x:v>Netherlands</x:v>
      </x:c>
      <x:c r="D61" s="11" t="n">
        <x:v>17255.39</x:v>
      </x:c>
      <x:c r="E61" s="11" t="n">
        <x:v>1308.08</x:v>
      </x:c>
      <x:c r="F61" s="2" t="n">
        <x:v>8</x:v>
      </x:c>
      <x:c r="G61" s="2"/>
      <x:c r="H61" s="2"/>
      <x:c r="I61" s="2"/>
      <x:c r="J61" s="2"/>
      <x:c r="K61" s="2"/>
      <x:c r="L61" s="2"/>
      <x:c r="M61" s="2"/>
      <x:c r="N61" s="2"/>
      <x:c r="O61" s="2"/>
      <x:c r="P61" s="2"/>
    </x:row>
    <x:row r="62" ht="22" customHeight="1">
      <x:c r="A62" s="12" t="n">
        <x:v>40210</x:v>
      </x:c>
      <x:c r="B62" s="2" t="str">
        <x:v>2010-02</x:v>
      </x:c>
      <x:c r="C62" s="2" t="str">
        <x:v>Portugal</x:v>
      </x:c>
      <x:c r="D62" s="11" t="n">
        <x:v>458.83000000000004</x:v>
      </x:c>
      <x:c r="E62" s="11" t="n">
        <x:v>0</x:v>
      </x:c>
      <x:c r="F62" s="2" t="n">
        <x:v>3</x:v>
      </x:c>
      <x:c r="G62" s="2"/>
      <x:c r="H62" s="2"/>
      <x:c r="I62" s="2"/>
      <x:c r="J62" s="2"/>
      <x:c r="K62" s="2"/>
      <x:c r="L62" s="2"/>
      <x:c r="M62" s="2"/>
      <x:c r="N62" s="2"/>
      <x:c r="O62" s="2"/>
      <x:c r="P62" s="2"/>
    </x:row>
    <x:row r="63" ht="22" customHeight="1">
      <x:c r="A63" s="12" t="n">
        <x:v>40210</x:v>
      </x:c>
      <x:c r="B63" s="2" t="str">
        <x:v>2010-02</x:v>
      </x:c>
      <x:c r="C63" s="2" t="str">
        <x:v>RSA</x:v>
      </x:c>
      <x:c r="D63" s="11" t="n">
        <x:v>931.43</x:v>
      </x:c>
      <x:c r="E63" s="11" t="n">
        <x:v>0</x:v>
      </x:c>
      <x:c r="F63" s="2" t="n">
        <x:v>1</x:v>
      </x:c>
      <x:c r="G63" s="2"/>
      <x:c r="H63" s="2"/>
      <x:c r="I63" s="2"/>
      <x:c r="J63" s="2"/>
      <x:c r="K63" s="2"/>
      <x:c r="L63" s="2"/>
      <x:c r="M63" s="2"/>
      <x:c r="N63" s="2"/>
      <x:c r="O63" s="2"/>
      <x:c r="P63" s="2"/>
    </x:row>
    <x:row r="64" ht="22" customHeight="1">
      <x:c r="A64" s="12" t="n">
        <x:v>40210</x:v>
      </x:c>
      <x:c r="B64" s="2" t="str">
        <x:v>2010-02</x:v>
      </x:c>
      <x:c r="C64" s="2" t="str">
        <x:v>Spain</x:v>
      </x:c>
      <x:c r="D64" s="11" t="n">
        <x:v>554.04</x:v>
      </x:c>
      <x:c r="E64" s="11" t="n">
        <x:v>89</x:v>
      </x:c>
      <x:c r="F64" s="2" t="n">
        <x:v>4</x:v>
      </x:c>
      <x:c r="G64" s="2"/>
      <x:c r="H64" s="2"/>
      <x:c r="I64" s="2"/>
      <x:c r="J64" s="2"/>
      <x:c r="K64" s="2"/>
      <x:c r="L64" s="2"/>
      <x:c r="M64" s="2"/>
      <x:c r="N64" s="2"/>
      <x:c r="O64" s="2"/>
      <x:c r="P64" s="2"/>
    </x:row>
    <x:row r="65" ht="22" customHeight="1">
      <x:c r="A65" s="12" t="n">
        <x:v>40210</x:v>
      </x:c>
      <x:c r="B65" s="2" t="str">
        <x:v>2010-02</x:v>
      </x:c>
      <x:c r="C65" s="2" t="str">
        <x:v>Sweden</x:v>
      </x:c>
      <x:c r="D65" s="11" t="n">
        <x:v>8202.58</x:v>
      </x:c>
      <x:c r="E65" s="11" t="n">
        <x:v>0</x:v>
      </x:c>
      <x:c r="F65" s="2" t="n">
        <x:v>7</x:v>
      </x:c>
      <x:c r="G65" s="2"/>
      <x:c r="H65" s="2"/>
      <x:c r="I65" s="2"/>
      <x:c r="J65" s="2"/>
      <x:c r="K65" s="2"/>
      <x:c r="L65" s="2"/>
      <x:c r="M65" s="2"/>
      <x:c r="N65" s="2"/>
      <x:c r="O65" s="2"/>
      <x:c r="P65" s="2"/>
    </x:row>
    <x:row r="66" ht="22" customHeight="1">
      <x:c r="A66" s="12" t="n">
        <x:v>40210</x:v>
      </x:c>
      <x:c r="B66" s="2" t="str">
        <x:v>2010-02</x:v>
      </x:c>
      <x:c r="C66" s="2" t="str">
        <x:v>Switzerland</x:v>
      </x:c>
      <x:c r="D66" s="11" t="n">
        <x:v>477.68</x:v>
      </x:c>
      <x:c r="E66" s="11" t="n">
        <x:v>0</x:v>
      </x:c>
      <x:c r="F66" s="2" t="n">
        <x:v>1</x:v>
      </x:c>
      <x:c r="G66" s="2"/>
      <x:c r="H66" s="2"/>
      <x:c r="I66" s="2"/>
      <x:c r="J66" s="2"/>
      <x:c r="K66" s="2"/>
      <x:c r="L66" s="2"/>
      <x:c r="M66" s="2"/>
      <x:c r="N66" s="2"/>
      <x:c r="O66" s="2"/>
      <x:c r="P66" s="2"/>
    </x:row>
    <x:row r="67" ht="22" customHeight="1">
      <x:c r="A67" s="12" t="n">
        <x:v>40210</x:v>
      </x:c>
      <x:c r="B67" s="2" t="str">
        <x:v>2010-02</x:v>
      </x:c>
      <x:c r="C67" s="2" t="str">
        <x:v>United Arab Emirates</x:v>
      </x:c>
      <x:c r="D67" s="11" t="n">
        <x:v>2822</x:v>
      </x:c>
      <x:c r="E67" s="11" t="n">
        <x:v>1018</x:v>
      </x:c>
      <x:c r="F67" s="2" t="n">
        <x:v>4</x:v>
      </x:c>
      <x:c r="G67" s="2"/>
      <x:c r="H67" s="2"/>
      <x:c r="I67" s="2"/>
      <x:c r="J67" s="2"/>
      <x:c r="K67" s="2"/>
      <x:c r="L67" s="2"/>
      <x:c r="M67" s="2"/>
      <x:c r="N67" s="2"/>
      <x:c r="O67" s="2"/>
      <x:c r="P67" s="2"/>
    </x:row>
    <x:row r="68" ht="22" customHeight="1">
      <x:c r="A68" s="12" t="n">
        <x:v>40210</x:v>
      </x:c>
      <x:c r="B68" s="2" t="str">
        <x:v>2010-02</x:v>
      </x:c>
      <x:c r="C68" s="2" t="str">
        <x:v>United Kingdom</x:v>
      </x:c>
      <x:c r="D68" s="11" t="n">
        <x:v>454762.716</x:v>
      </x:c>
      <x:c r="E68" s="11" t="n">
        <x:v>11260.02</x:v>
      </x:c>
      <x:c r="F68" s="2" t="n">
        <x:v>1093</x:v>
      </x:c>
      <x:c r="G68" s="2"/>
      <x:c r="H68" s="2"/>
      <x:c r="I68" s="2"/>
      <x:c r="J68" s="2"/>
      <x:c r="K68" s="2"/>
      <x:c r="L68" s="2"/>
      <x:c r="M68" s="2"/>
      <x:c r="N68" s="2"/>
      <x:c r="O68" s="2"/>
      <x:c r="P68" s="2"/>
    </x:row>
    <x:row r="69" ht="22" customHeight="1">
      <x:c r="A69" s="12" t="n">
        <x:v>40238</x:v>
      </x:c>
      <x:c r="B69" s="2" t="str">
        <x:v>2010-03</x:v>
      </x:c>
      <x:c r="C69" s="2" t="str">
        <x:v>Australia</x:v>
      </x:c>
      <x:c r="D69" s="11" t="n">
        <x:v>429.39</x:v>
      </x:c>
      <x:c r="E69" s="11" t="n">
        <x:v>0</x:v>
      </x:c>
      <x:c r="F69" s="2" t="n">
        <x:v>2</x:v>
      </x:c>
      <x:c r="G69" s="2"/>
      <x:c r="H69" s="2"/>
      <x:c r="I69" s="2"/>
      <x:c r="J69" s="2"/>
      <x:c r="K69" s="2"/>
      <x:c r="L69" s="2"/>
      <x:c r="M69" s="2"/>
      <x:c r="N69" s="2"/>
      <x:c r="O69" s="2"/>
      <x:c r="P69" s="2"/>
    </x:row>
    <x:row r="70" ht="22" customHeight="1">
      <x:c r="A70" s="12" t="n">
        <x:v>40238</x:v>
      </x:c>
      <x:c r="B70" s="2" t="str">
        <x:v>2010-03</x:v>
      </x:c>
      <x:c r="C70" s="2" t="str">
        <x:v>Austria</x:v>
      </x:c>
      <x:c r="D70" s="11" t="n">
        <x:v>925.13</x:v>
      </x:c>
      <x:c r="E70" s="11" t="n">
        <x:v>0</x:v>
      </x:c>
      <x:c r="F70" s="2" t="n">
        <x:v>5</x:v>
      </x:c>
      <x:c r="G70" s="2"/>
      <x:c r="H70" s="2"/>
      <x:c r="I70" s="2"/>
      <x:c r="J70" s="2"/>
      <x:c r="K70" s="2"/>
      <x:c r="L70" s="2"/>
      <x:c r="M70" s="2"/>
      <x:c r="N70" s="2"/>
      <x:c r="O70" s="2"/>
      <x:c r="P70" s="2"/>
    </x:row>
    <x:row r="71" ht="22" customHeight="1">
      <x:c r="A71" s="12" t="n">
        <x:v>40238</x:v>
      </x:c>
      <x:c r="B71" s="2" t="str">
        <x:v>2010-03</x:v>
      </x:c>
      <x:c r="C71" s="2" t="str">
        <x:v>Bahrain</x:v>
      </x:c>
      <x:c r="D71" s="11" t="n">
        <x:v>548.8</x:v>
      </x:c>
      <x:c r="E71" s="11" t="n">
        <x:v>42.5</x:v>
      </x:c>
      <x:c r="F71" s="2" t="n">
        <x:v>2</x:v>
      </x:c>
      <x:c r="G71" s="2"/>
      <x:c r="H71" s="2"/>
      <x:c r="I71" s="2"/>
      <x:c r="J71" s="2"/>
      <x:c r="K71" s="2"/>
      <x:c r="L71" s="2"/>
      <x:c r="M71" s="2"/>
      <x:c r="N71" s="2"/>
      <x:c r="O71" s="2"/>
      <x:c r="P71" s="2"/>
    </x:row>
    <x:row r="72" ht="22" customHeight="1">
      <x:c r="A72" s="12" t="n">
        <x:v>40238</x:v>
      </x:c>
      <x:c r="B72" s="2" t="str">
        <x:v>2010-03</x:v>
      </x:c>
      <x:c r="C72" s="2" t="str">
        <x:v>Belgium</x:v>
      </x:c>
      <x:c r="D72" s="11" t="n">
        <x:v>904.02</x:v>
      </x:c>
      <x:c r="E72" s="11" t="n">
        <x:v>0</x:v>
      </x:c>
      <x:c r="F72" s="2" t="n">
        <x:v>3</x:v>
      </x:c>
      <x:c r="G72" s="2"/>
      <x:c r="H72" s="2"/>
      <x:c r="I72" s="2"/>
      <x:c r="J72" s="2"/>
      <x:c r="K72" s="2"/>
      <x:c r="L72" s="2"/>
      <x:c r="M72" s="2"/>
      <x:c r="N72" s="2"/>
      <x:c r="O72" s="2"/>
      <x:c r="P72" s="2"/>
    </x:row>
    <x:row r="73" ht="22" customHeight="1">
      <x:c r="A73" s="12" t="n">
        <x:v>40238</x:v>
      </x:c>
      <x:c r="B73" s="2" t="str">
        <x:v>2010-03</x:v>
      </x:c>
      <x:c r="C73" s="2" t="str">
        <x:v>Bermuda</x:v>
      </x:c>
      <x:c r="D73" s="11" t="n">
        <x:v>1253.1399999999999</x:v>
      </x:c>
      <x:c r="E73" s="11" t="n">
        <x:v>0</x:v>
      </x:c>
      <x:c r="F73" s="2" t="n">
        <x:v>1</x:v>
      </x:c>
      <x:c r="G73" s="2"/>
      <x:c r="H73" s="2"/>
      <x:c r="I73" s="2"/>
      <x:c r="J73" s="2"/>
      <x:c r="K73" s="2"/>
      <x:c r="L73" s="2"/>
      <x:c r="M73" s="2"/>
      <x:c r="N73" s="2"/>
      <x:c r="O73" s="2"/>
      <x:c r="P73" s="2"/>
    </x:row>
    <x:row r="74" ht="22" customHeight="1">
      <x:c r="A74" s="12" t="n">
        <x:v>40238</x:v>
      </x:c>
      <x:c r="B74" s="2" t="str">
        <x:v>2010-03</x:v>
      </x:c>
      <x:c r="C74" s="2" t="str">
        <x:v>Channel Islands</x:v>
      </x:c>
      <x:c r="D74" s="11" t="n">
        <x:v>1065.12</x:v>
      </x:c>
      <x:c r="E74" s="11" t="n">
        <x:v>934.66</x:v>
      </x:c>
      <x:c r="F74" s="2" t="n">
        <x:v>1</x:v>
      </x:c>
      <x:c r="G74" s="2"/>
      <x:c r="H74" s="2"/>
      <x:c r="I74" s="2"/>
      <x:c r="J74" s="2"/>
      <x:c r="K74" s="2"/>
      <x:c r="L74" s="2"/>
      <x:c r="M74" s="2"/>
      <x:c r="N74" s="2"/>
      <x:c r="O74" s="2"/>
      <x:c r="P74" s="2"/>
    </x:row>
    <x:row r="75" ht="22" customHeight="1">
      <x:c r="A75" s="12" t="n">
        <x:v>40238</x:v>
      </x:c>
      <x:c r="B75" s="2" t="str">
        <x:v>2010-03</x:v>
      </x:c>
      <x:c r="C75" s="2" t="str">
        <x:v>Cyprus</x:v>
      </x:c>
      <x:c r="D75" s="11" t="n">
        <x:v>2879.19</x:v>
      </x:c>
      <x:c r="E75" s="11" t="n">
        <x:v>25.6</x:v>
      </x:c>
      <x:c r="F75" s="2" t="n">
        <x:v>5</x:v>
      </x:c>
      <x:c r="G75" s="2"/>
      <x:c r="H75" s="2"/>
      <x:c r="I75" s="2"/>
      <x:c r="J75" s="2"/>
      <x:c r="K75" s="2"/>
      <x:c r="L75" s="2"/>
      <x:c r="M75" s="2"/>
      <x:c r="N75" s="2"/>
      <x:c r="O75" s="2"/>
      <x:c r="P75" s="2"/>
    </x:row>
    <x:row r="76" ht="22" customHeight="1">
      <x:c r="A76" s="12" t="n">
        <x:v>40238</x:v>
      </x:c>
      <x:c r="B76" s="2" t="str">
        <x:v>2010-03</x:v>
      </x:c>
      <x:c r="C76" s="2" t="str">
        <x:v>Denmark</x:v>
      </x:c>
      <x:c r="D76" s="11" t="n">
        <x:v>7595.18</x:v>
      </x:c>
      <x:c r="E76" s="11" t="n">
        <x:v>0</x:v>
      </x:c>
      <x:c r="F76" s="2" t="n">
        <x:v>2</x:v>
      </x:c>
      <x:c r="G76" s="2"/>
      <x:c r="H76" s="2"/>
      <x:c r="I76" s="2"/>
      <x:c r="J76" s="2"/>
      <x:c r="K76" s="2"/>
      <x:c r="L76" s="2"/>
      <x:c r="M76" s="2"/>
      <x:c r="N76" s="2"/>
      <x:c r="O76" s="2"/>
      <x:c r="P76" s="2"/>
    </x:row>
    <x:row r="77" ht="22" customHeight="1">
      <x:c r="A77" s="12" t="n">
        <x:v>40238</x:v>
      </x:c>
      <x:c r="B77" s="2" t="str">
        <x:v>2010-03</x:v>
      </x:c>
      <x:c r="C77" s="2" t="str">
        <x:v>EIRE</x:v>
      </x:c>
      <x:c r="D77" s="11" t="n">
        <x:v>22989.46</x:v>
      </x:c>
      <x:c r="E77" s="11" t="n">
        <x:v>1123.6799999999998</x:v>
      </x:c>
      <x:c r="F77" s="2" t="n">
        <x:v>27</x:v>
      </x:c>
      <x:c r="G77" s="2"/>
      <x:c r="H77" s="2"/>
      <x:c r="I77" s="2"/>
      <x:c r="J77" s="2"/>
      <x:c r="K77" s="2"/>
      <x:c r="L77" s="2"/>
      <x:c r="M77" s="2"/>
      <x:c r="N77" s="2"/>
      <x:c r="O77" s="2"/>
      <x:c r="P77" s="2"/>
    </x:row>
    <x:row r="78" ht="22" customHeight="1">
      <x:c r="A78" s="12" t="n">
        <x:v>40238</x:v>
      </x:c>
      <x:c r="B78" s="2" t="str">
        <x:v>2010-03</x:v>
      </x:c>
      <x:c r="C78" s="2" t="str">
        <x:v>France</x:v>
      </x:c>
      <x:c r="D78" s="11" t="n">
        <x:v>8657.59</x:v>
      </x:c>
      <x:c r="E78" s="11" t="n">
        <x:v>226.37</x:v>
      </x:c>
      <x:c r="F78" s="2" t="n">
        <x:v>16</x:v>
      </x:c>
      <x:c r="G78" s="2"/>
      <x:c r="H78" s="2"/>
      <x:c r="I78" s="2"/>
      <x:c r="J78" s="2"/>
      <x:c r="K78" s="2"/>
      <x:c r="L78" s="2"/>
      <x:c r="M78" s="2"/>
      <x:c r="N78" s="2"/>
      <x:c r="O78" s="2"/>
      <x:c r="P78" s="2"/>
    </x:row>
    <x:row r="79" ht="22" customHeight="1">
      <x:c r="A79" s="12" t="n">
        <x:v>40238</x:v>
      </x:c>
      <x:c r="B79" s="2" t="str">
        <x:v>2010-03</x:v>
      </x:c>
      <x:c r="C79" s="2" t="str">
        <x:v>Germany</x:v>
      </x:c>
      <x:c r="D79" s="11" t="n">
        <x:v>16698.08</x:v>
      </x:c>
      <x:c r="E79" s="11" t="n">
        <x:v>339.25</x:v>
      </x:c>
      <x:c r="F79" s="2" t="n">
        <x:v>28</x:v>
      </x:c>
      <x:c r="G79" s="2"/>
      <x:c r="H79" s="2"/>
      <x:c r="I79" s="2"/>
      <x:c r="J79" s="2"/>
      <x:c r="K79" s="2"/>
      <x:c r="L79" s="2"/>
      <x:c r="M79" s="2"/>
      <x:c r="N79" s="2"/>
      <x:c r="O79" s="2"/>
      <x:c r="P79" s="2"/>
    </x:row>
    <x:row r="80" ht="22" customHeight="1">
      <x:c r="A80" s="12" t="n">
        <x:v>40238</x:v>
      </x:c>
      <x:c r="B80" s="2" t="str">
        <x:v>2010-03</x:v>
      </x:c>
      <x:c r="C80" s="2" t="str">
        <x:v>Greece</x:v>
      </x:c>
      <x:c r="D80" s="11" t="n">
        <x:v>522.73</x:v>
      </x:c>
      <x:c r="E80" s="11" t="n">
        <x:v>32.45</x:v>
      </x:c>
      <x:c r="F80" s="2" t="n">
        <x:v>1</x:v>
      </x:c>
      <x:c r="G80" s="2"/>
      <x:c r="H80" s="2"/>
      <x:c r="I80" s="2"/>
      <x:c r="J80" s="2"/>
      <x:c r="K80" s="2"/>
      <x:c r="L80" s="2"/>
      <x:c r="M80" s="2"/>
      <x:c r="N80" s="2"/>
      <x:c r="O80" s="2"/>
      <x:c r="P80" s="2"/>
    </x:row>
    <x:row r="81" ht="22" customHeight="1">
      <x:c r="A81" s="12" t="n">
        <x:v>40238</x:v>
      </x:c>
      <x:c r="B81" s="2" t="str">
        <x:v>2010-03</x:v>
      </x:c>
      <x:c r="C81" s="2" t="str">
        <x:v>Italy</x:v>
      </x:c>
      <x:c r="D81" s="11" t="n">
        <x:v>734.22</x:v>
      </x:c>
      <x:c r="E81" s="11" t="n">
        <x:v>0</x:v>
      </x:c>
      <x:c r="F81" s="2" t="n">
        <x:v>2</x:v>
      </x:c>
      <x:c r="G81" s="2"/>
      <x:c r="H81" s="2"/>
      <x:c r="I81" s="2"/>
      <x:c r="J81" s="2"/>
      <x:c r="K81" s="2"/>
      <x:c r="L81" s="2"/>
      <x:c r="M81" s="2"/>
      <x:c r="N81" s="2"/>
      <x:c r="O81" s="2"/>
      <x:c r="P81" s="2"/>
    </x:row>
    <x:row r="82" ht="22" customHeight="1">
      <x:c r="A82" s="12" t="n">
        <x:v>40238</x:v>
      </x:c>
      <x:c r="B82" s="2" t="str">
        <x:v>2010-03</x:v>
      </x:c>
      <x:c r="C82" s="2" t="str">
        <x:v>Japan</x:v>
      </x:c>
      <x:c r="D82" s="11" t="n">
        <x:v>110.4</x:v>
      </x:c>
      <x:c r="E82" s="11" t="n">
        <x:v>110.4</x:v>
      </x:c>
      <x:c r="F82" s="2" t="n">
        <x:v>1</x:v>
      </x:c>
      <x:c r="G82" s="2"/>
      <x:c r="H82" s="2"/>
      <x:c r="I82" s="2"/>
      <x:c r="J82" s="2"/>
      <x:c r="K82" s="2"/>
      <x:c r="L82" s="2"/>
      <x:c r="M82" s="2"/>
      <x:c r="N82" s="2"/>
      <x:c r="O82" s="2"/>
      <x:c r="P82" s="2"/>
    </x:row>
    <x:row r="83" ht="22" customHeight="1">
      <x:c r="A83" s="12" t="n">
        <x:v>40238</x:v>
      </x:c>
      <x:c r="B83" s="2" t="str">
        <x:v>2010-03</x:v>
      </x:c>
      <x:c r="C83" s="2" t="str">
        <x:v>Netherlands</x:v>
      </x:c>
      <x:c r="D83" s="11" t="n">
        <x:v>24447.98</x:v>
      </x:c>
      <x:c r="E83" s="11" t="n">
        <x:v>488.36</x:v>
      </x:c>
      <x:c r="F83" s="2" t="n">
        <x:v>15</x:v>
      </x:c>
      <x:c r="G83" s="2"/>
      <x:c r="H83" s="2"/>
      <x:c r="I83" s="2"/>
      <x:c r="J83" s="2"/>
      <x:c r="K83" s="2"/>
      <x:c r="L83" s="2"/>
      <x:c r="M83" s="2"/>
      <x:c r="N83" s="2"/>
      <x:c r="O83" s="2"/>
      <x:c r="P83" s="2"/>
    </x:row>
    <x:row r="84" ht="22" customHeight="1">
      <x:c r="A84" s="12" t="n">
        <x:v>40238</x:v>
      </x:c>
      <x:c r="B84" s="2" t="str">
        <x:v>2010-03</x:v>
      </x:c>
      <x:c r="C84" s="2" t="str">
        <x:v>Norway</x:v>
      </x:c>
      <x:c r="D84" s="11" t="n">
        <x:v>13916.34</x:v>
      </x:c>
      <x:c r="E84" s="11" t="n">
        <x:v>19712.21</x:v>
      </x:c>
      <x:c r="F84" s="2" t="n">
        <x:v>2</x:v>
      </x:c>
      <x:c r="G84" s="2"/>
      <x:c r="H84" s="2"/>
      <x:c r="I84" s="2"/>
      <x:c r="J84" s="2"/>
      <x:c r="K84" s="2"/>
      <x:c r="L84" s="2"/>
      <x:c r="M84" s="2"/>
      <x:c r="N84" s="2"/>
      <x:c r="O84" s="2"/>
      <x:c r="P84" s="2"/>
    </x:row>
    <x:row r="85" ht="22" customHeight="1">
      <x:c r="A85" s="12" t="n">
        <x:v>40238</x:v>
      </x:c>
      <x:c r="B85" s="2" t="str">
        <x:v>2010-03</x:v>
      </x:c>
      <x:c r="C85" s="2" t="str">
        <x:v>Poland</x:v>
      </x:c>
      <x:c r="D85" s="11" t="n">
        <x:v>318.86</x:v>
      </x:c>
      <x:c r="E85" s="11" t="n">
        <x:v>0</x:v>
      </x:c>
      <x:c r="F85" s="2" t="n">
        <x:v>1</x:v>
      </x:c>
      <x:c r="G85" s="2"/>
      <x:c r="H85" s="2"/>
      <x:c r="I85" s="2"/>
      <x:c r="J85" s="2"/>
      <x:c r="K85" s="2"/>
      <x:c r="L85" s="2"/>
      <x:c r="M85" s="2"/>
      <x:c r="N85" s="2"/>
      <x:c r="O85" s="2"/>
      <x:c r="P85" s="2"/>
    </x:row>
    <x:row r="86" ht="22" customHeight="1">
      <x:c r="A86" s="12" t="n">
        <x:v>40238</x:v>
      </x:c>
      <x:c r="B86" s="2" t="str">
        <x:v>2010-03</x:v>
      </x:c>
      <x:c r="C86" s="2" t="str">
        <x:v>Portugal</x:v>
      </x:c>
      <x:c r="D86" s="11" t="n">
        <x:v>2519.05</x:v>
      </x:c>
      <x:c r="E86" s="11" t="n">
        <x:v>38.25</x:v>
      </x:c>
      <x:c r="F86" s="2" t="n">
        <x:v>2</x:v>
      </x:c>
      <x:c r="G86" s="2"/>
      <x:c r="H86" s="2"/>
      <x:c r="I86" s="2"/>
      <x:c r="J86" s="2"/>
      <x:c r="K86" s="2"/>
      <x:c r="L86" s="2"/>
      <x:c r="M86" s="2"/>
      <x:c r="N86" s="2"/>
      <x:c r="O86" s="2"/>
      <x:c r="P86" s="2"/>
    </x:row>
    <x:row r="87" ht="22" customHeight="1">
      <x:c r="A87" s="12" t="n">
        <x:v>40238</x:v>
      </x:c>
      <x:c r="B87" s="2" t="str">
        <x:v>2010-03</x:v>
      </x:c>
      <x:c r="C87" s="2" t="str">
        <x:v>Spain</x:v>
      </x:c>
      <x:c r="D87" s="11" t="n">
        <x:v>1680.52</x:v>
      </x:c>
      <x:c r="E87" s="11" t="n">
        <x:v>16.700000000000003</x:v>
      </x:c>
      <x:c r="F87" s="2" t="n">
        <x:v>6</x:v>
      </x:c>
      <x:c r="G87" s="2"/>
      <x:c r="H87" s="2"/>
      <x:c r="I87" s="2"/>
      <x:c r="J87" s="2"/>
      <x:c r="K87" s="2"/>
      <x:c r="L87" s="2"/>
      <x:c r="M87" s="2"/>
      <x:c r="N87" s="2"/>
      <x:c r="O87" s="2"/>
      <x:c r="P87" s="2"/>
    </x:row>
    <x:row r="88" ht="22" customHeight="1">
      <x:c r="A88" s="12" t="n">
        <x:v>40238</x:v>
      </x:c>
      <x:c r="B88" s="2" t="str">
        <x:v>2010-03</x:v>
      </x:c>
      <x:c r="C88" s="2" t="str">
        <x:v>Sweden</x:v>
      </x:c>
      <x:c r="D88" s="11" t="n">
        <x:v>1691.58</x:v>
      </x:c>
      <x:c r="E88" s="11" t="n">
        <x:v>57.4</x:v>
      </x:c>
      <x:c r="F88" s="2" t="n">
        <x:v>6</x:v>
      </x:c>
      <x:c r="G88" s="2"/>
      <x:c r="H88" s="2"/>
      <x:c r="I88" s="2"/>
      <x:c r="J88" s="2"/>
      <x:c r="K88" s="2"/>
      <x:c r="L88" s="2"/>
      <x:c r="M88" s="2"/>
      <x:c r="N88" s="2"/>
      <x:c r="O88" s="2"/>
      <x:c r="P88" s="2"/>
    </x:row>
    <x:row r="89" ht="22" customHeight="1">
      <x:c r="A89" s="12" t="n">
        <x:v>40238</x:v>
      </x:c>
      <x:c r="B89" s="2" t="str">
        <x:v>2010-03</x:v>
      </x:c>
      <x:c r="C89" s="2" t="str">
        <x:v>Switzerland</x:v>
      </x:c>
      <x:c r="D89" s="11" t="n">
        <x:v>951.62</x:v>
      </x:c>
      <x:c r="E89" s="11" t="n">
        <x:v>0</x:v>
      </x:c>
      <x:c r="F89" s="2" t="n">
        <x:v>3</x:v>
      </x:c>
      <x:c r="G89" s="2"/>
      <x:c r="H89" s="2"/>
      <x:c r="I89" s="2"/>
      <x:c r="J89" s="2"/>
      <x:c r="K89" s="2"/>
      <x:c r="L89" s="2"/>
      <x:c r="M89" s="2"/>
      <x:c r="N89" s="2"/>
      <x:c r="O89" s="2"/>
      <x:c r="P89" s="2"/>
    </x:row>
    <x:row r="90" ht="22" customHeight="1">
      <x:c r="A90" s="12" t="n">
        <x:v>40238</x:v>
      </x:c>
      <x:c r="B90" s="2" t="str">
        <x:v>2010-03</x:v>
      </x:c>
      <x:c r="C90" s="2" t="str">
        <x:v>United Arab Emirates</x:v>
      </x:c>
      <x:c r="D90" s="11" t="n">
        <x:v>1201.52</x:v>
      </x:c>
      <x:c r="E90" s="11" t="n">
        <x:v>0</x:v>
      </x:c>
      <x:c r="F90" s="2" t="n">
        <x:v>1</x:v>
      </x:c>
      <x:c r="G90" s="2"/>
      <x:c r="H90" s="2"/>
      <x:c r="I90" s="2"/>
      <x:c r="J90" s="2"/>
      <x:c r="K90" s="2"/>
      <x:c r="L90" s="2"/>
      <x:c r="M90" s="2"/>
      <x:c r="N90" s="2"/>
      <x:c r="O90" s="2"/>
      <x:c r="P90" s="2"/>
    </x:row>
    <x:row r="91" ht="22" customHeight="1">
      <x:c r="A91" s="12" t="n">
        <x:v>40238</x:v>
      </x:c>
      <x:c r="B91" s="2" t="str">
        <x:v>2010-03</x:v>
      </x:c>
      <x:c r="C91" s="2" t="str">
        <x:v>United Kingdom</x:v>
      </x:c>
      <x:c r="D91" s="11" t="n">
        <x:v>721530.211</x:v>
      </x:c>
      <x:c r="E91" s="11" t="n">
        <x:v>44573.54</x:v>
      </x:c>
      <x:c r="F91" s="2" t="n">
        <x:v>1549</x:v>
      </x:c>
      <x:c r="G91" s="2"/>
      <x:c r="H91" s="2"/>
      <x:c r="I91" s="2"/>
      <x:c r="J91" s="2"/>
      <x:c r="K91" s="2"/>
      <x:c r="L91" s="2"/>
      <x:c r="M91" s="2"/>
      <x:c r="N91" s="2"/>
      <x:c r="O91" s="2"/>
      <x:c r="P91" s="2"/>
    </x:row>
    <x:row r="92" ht="22" customHeight="1">
      <x:c r="A92" s="12" t="n">
        <x:v>40269</x:v>
      </x:c>
      <x:c r="B92" s="2" t="str">
        <x:v>2010-04</x:v>
      </x:c>
      <x:c r="C92" s="2" t="str">
        <x:v>Australia</x:v>
      </x:c>
      <x:c r="D92" s="11" t="n">
        <x:v>630.95</x:v>
      </x:c>
      <x:c r="E92" s="11" t="n">
        <x:v>0</x:v>
      </x:c>
      <x:c r="F92" s="2" t="n">
        <x:v>2</x:v>
      </x:c>
      <x:c r="G92" s="2"/>
      <x:c r="H92" s="2"/>
      <x:c r="I92" s="2"/>
      <x:c r="J92" s="2"/>
      <x:c r="K92" s="2"/>
      <x:c r="L92" s="2"/>
      <x:c r="M92" s="2"/>
      <x:c r="N92" s="2"/>
      <x:c r="O92" s="2"/>
      <x:c r="P92" s="2"/>
    </x:row>
    <x:row r="93" ht="22" customHeight="1">
      <x:c r="A93" s="12" t="n">
        <x:v>40269</x:v>
      </x:c>
      <x:c r="B93" s="2" t="str">
        <x:v>2010-04</x:v>
      </x:c>
      <x:c r="C93" s="2" t="str">
        <x:v>Austria</x:v>
      </x:c>
      <x:c r="D93" s="11" t="n">
        <x:v>1388.54</x:v>
      </x:c>
      <x:c r="E93" s="11" t="n">
        <x:v>0</x:v>
      </x:c>
      <x:c r="F93" s="2" t="n">
        <x:v>1</x:v>
      </x:c>
      <x:c r="G93" s="2"/>
      <x:c r="H93" s="2"/>
      <x:c r="I93" s="2"/>
      <x:c r="J93" s="2"/>
      <x:c r="K93" s="2"/>
      <x:c r="L93" s="2"/>
      <x:c r="M93" s="2"/>
      <x:c r="N93" s="2"/>
      <x:c r="O93" s="2"/>
      <x:c r="P93" s="2"/>
    </x:row>
    <x:row r="94" ht="22" customHeight="1">
      <x:c r="A94" s="12" t="n">
        <x:v>40269</x:v>
      </x:c>
      <x:c r="B94" s="2" t="str">
        <x:v>2010-04</x:v>
      </x:c>
      <x:c r="C94" s="2" t="str">
        <x:v>Belgium</x:v>
      </x:c>
      <x:c r="D94" s="11" t="n">
        <x:v>2570.39</x:v>
      </x:c>
      <x:c r="E94" s="11" t="n">
        <x:v>21.25</x:v>
      </x:c>
      <x:c r="F94" s="2" t="n">
        <x:v>4</x:v>
      </x:c>
      <x:c r="G94" s="2"/>
      <x:c r="H94" s="2"/>
      <x:c r="I94" s="2"/>
      <x:c r="J94" s="2"/>
      <x:c r="K94" s="2"/>
      <x:c r="L94" s="2"/>
      <x:c r="M94" s="2"/>
      <x:c r="N94" s="2"/>
      <x:c r="O94" s="2"/>
      <x:c r="P94" s="2"/>
    </x:row>
    <x:row r="95" ht="22" customHeight="1">
      <x:c r="A95" s="12" t="n">
        <x:v>40269</x:v>
      </x:c>
      <x:c r="B95" s="2" t="str">
        <x:v>2010-04</x:v>
      </x:c>
      <x:c r="C95" s="2" t="str">
        <x:v>Channel Islands</x:v>
      </x:c>
      <x:c r="D95" s="11" t="n">
        <x:v>926.82</x:v>
      </x:c>
      <x:c r="E95" s="11" t="n">
        <x:v>0</x:v>
      </x:c>
      <x:c r="F95" s="2" t="n">
        <x:v>1</x:v>
      </x:c>
      <x:c r="G95" s="2"/>
      <x:c r="H95" s="2"/>
      <x:c r="I95" s="2"/>
      <x:c r="J95" s="2"/>
      <x:c r="K95" s="2"/>
      <x:c r="L95" s="2"/>
      <x:c r="M95" s="2"/>
      <x:c r="N95" s="2"/>
      <x:c r="O95" s="2"/>
      <x:c r="P95" s="2"/>
    </x:row>
    <x:row r="96" ht="22" customHeight="1">
      <x:c r="A96" s="12" t="n">
        <x:v>40269</x:v>
      </x:c>
      <x:c r="B96" s="2" t="str">
        <x:v>2010-04</x:v>
      </x:c>
      <x:c r="C96" s="2" t="str">
        <x:v>Cyprus</x:v>
      </x:c>
      <x:c r="D96" s="11" t="n">
        <x:v>1151.7</x:v>
      </x:c>
      <x:c r="E96" s="11" t="n">
        <x:v>15.8</x:v>
      </x:c>
      <x:c r="F96" s="2" t="n">
        <x:v>2</x:v>
      </x:c>
      <x:c r="G96" s="2"/>
      <x:c r="H96" s="2"/>
      <x:c r="I96" s="2"/>
      <x:c r="J96" s="2"/>
      <x:c r="K96" s="2"/>
      <x:c r="L96" s="2"/>
      <x:c r="M96" s="2"/>
      <x:c r="N96" s="2"/>
      <x:c r="O96" s="2"/>
      <x:c r="P96" s="2"/>
    </x:row>
    <x:row r="97" ht="22" customHeight="1">
      <x:c r="A97" s="12" t="n">
        <x:v>40269</x:v>
      </x:c>
      <x:c r="B97" s="2" t="str">
        <x:v>2010-04</x:v>
      </x:c>
      <x:c r="C97" s="2" t="str">
        <x:v>Denmark</x:v>
      </x:c>
      <x:c r="D97" s="11" t="n">
        <x:v>748</x:v>
      </x:c>
      <x:c r="E97" s="11" t="n">
        <x:v>0</x:v>
      </x:c>
      <x:c r="F97" s="2" t="n">
        <x:v>1</x:v>
      </x:c>
      <x:c r="G97" s="2"/>
      <x:c r="H97" s="2"/>
      <x:c r="I97" s="2"/>
      <x:c r="J97" s="2"/>
      <x:c r="K97" s="2"/>
      <x:c r="L97" s="2"/>
      <x:c r="M97" s="2"/>
      <x:c r="N97" s="2"/>
      <x:c r="O97" s="2"/>
      <x:c r="P97" s="2"/>
    </x:row>
    <x:row r="98" ht="22" customHeight="1">
      <x:c r="A98" s="12" t="n">
        <x:v>40269</x:v>
      </x:c>
      <x:c r="B98" s="2" t="str">
        <x:v>2010-04</x:v>
      </x:c>
      <x:c r="C98" s="2" t="str">
        <x:v>EIRE</x:v>
      </x:c>
      <x:c r="D98" s="11" t="n">
        <x:v>23929.48</x:v>
      </x:c>
      <x:c r="E98" s="11" t="n">
        <x:v>610.63</x:v>
      </x:c>
      <x:c r="F98" s="2" t="n">
        <x:v>19</x:v>
      </x:c>
      <x:c r="G98" s="2"/>
      <x:c r="H98" s="2"/>
      <x:c r="I98" s="2"/>
      <x:c r="J98" s="2"/>
      <x:c r="K98" s="2"/>
      <x:c r="L98" s="2"/>
      <x:c r="M98" s="2"/>
      <x:c r="N98" s="2"/>
      <x:c r="O98" s="2"/>
      <x:c r="P98" s="2"/>
    </x:row>
    <x:row r="99" ht="22" customHeight="1">
      <x:c r="A99" s="12" t="n">
        <x:v>40269</x:v>
      </x:c>
      <x:c r="B99" s="2" t="str">
        <x:v>2010-04</x:v>
      </x:c>
      <x:c r="C99" s="2" t="str">
        <x:v>Finland</x:v>
      </x:c>
      <x:c r="D99" s="11" t="n">
        <x:v>1255.13</x:v>
      </x:c>
      <x:c r="E99" s="11" t="n">
        <x:v>0</x:v>
      </x:c>
      <x:c r="F99" s="2" t="n">
        <x:v>3</x:v>
      </x:c>
      <x:c r="G99" s="2"/>
      <x:c r="H99" s="2"/>
      <x:c r="I99" s="2"/>
      <x:c r="J99" s="2"/>
      <x:c r="K99" s="2"/>
      <x:c r="L99" s="2"/>
      <x:c r="M99" s="2"/>
      <x:c r="N99" s="2"/>
      <x:c r="O99" s="2"/>
      <x:c r="P99" s="2"/>
    </x:row>
    <x:row r="100" ht="22" customHeight="1">
      <x:c r="A100" s="12" t="n">
        <x:v>40269</x:v>
      </x:c>
      <x:c r="B100" s="2" t="str">
        <x:v>2010-04</x:v>
      </x:c>
      <x:c r="C100" s="2" t="str">
        <x:v>France</x:v>
      </x:c>
      <x:c r="D100" s="11" t="n">
        <x:v>7642.9800000000005</x:v>
      </x:c>
      <x:c r="E100" s="11" t="n">
        <x:v>40.07</x:v>
      </x:c>
      <x:c r="F100" s="2" t="n">
        <x:v>11</x:v>
      </x:c>
      <x:c r="G100" s="2"/>
      <x:c r="H100" s="2"/>
      <x:c r="I100" s="2"/>
      <x:c r="J100" s="2"/>
      <x:c r="K100" s="2"/>
      <x:c r="L100" s="2"/>
      <x:c r="M100" s="2"/>
      <x:c r="N100" s="2"/>
      <x:c r="O100" s="2"/>
      <x:c r="P100" s="2"/>
    </x:row>
    <x:row r="101" ht="22" customHeight="1">
      <x:c r="A101" s="12" t="n">
        <x:v>40269</x:v>
      </x:c>
      <x:c r="B101" s="2" t="str">
        <x:v>2010-04</x:v>
      </x:c>
      <x:c r="C101" s="2" t="str">
        <x:v>Germany</x:v>
      </x:c>
      <x:c r="D101" s="11" t="n">
        <x:v>23683.231</x:v>
      </x:c>
      <x:c r="E101" s="11" t="n">
        <x:v>182.74</x:v>
      </x:c>
      <x:c r="F101" s="2" t="n">
        <x:v>31</x:v>
      </x:c>
      <x:c r="G101" s="2"/>
      <x:c r="H101" s="2"/>
      <x:c r="I101" s="2"/>
      <x:c r="J101" s="2"/>
      <x:c r="K101" s="2"/>
      <x:c r="L101" s="2"/>
      <x:c r="M101" s="2"/>
      <x:c r="N101" s="2"/>
      <x:c r="O101" s="2"/>
      <x:c r="P101" s="2"/>
    </x:row>
    <x:row r="102" ht="22" customHeight="1">
      <x:c r="A102" s="12" t="n">
        <x:v>40269</x:v>
      </x:c>
      <x:c r="B102" s="2" t="str">
        <x:v>2010-04</x:v>
      </x:c>
      <x:c r="C102" s="2" t="str">
        <x:v>Greece</x:v>
      </x:c>
      <x:c r="D102" s="11" t="n">
        <x:v>277.93</x:v>
      </x:c>
      <x:c r="E102" s="11" t="n">
        <x:v>0</x:v>
      </x:c>
      <x:c r="F102" s="2" t="n">
        <x:v>1</x:v>
      </x:c>
      <x:c r="G102" s="2"/>
      <x:c r="H102" s="2"/>
      <x:c r="I102" s="2"/>
      <x:c r="J102" s="2"/>
      <x:c r="K102" s="2"/>
      <x:c r="L102" s="2"/>
      <x:c r="M102" s="2"/>
      <x:c r="N102" s="2"/>
      <x:c r="O102" s="2"/>
      <x:c r="P102" s="2"/>
    </x:row>
    <x:row r="103" ht="22" customHeight="1">
      <x:c r="A103" s="12" t="n">
        <x:v>40269</x:v>
      </x:c>
      <x:c r="B103" s="2" t="str">
        <x:v>2010-04</x:v>
      </x:c>
      <x:c r="C103" s="2" t="str">
        <x:v>Hong Kong</x:v>
      </x:c>
      <x:c r="D103" s="11" t="n">
        <x:v>2236.61</x:v>
      </x:c>
      <x:c r="E103" s="11" t="n">
        <x:v>0</x:v>
      </x:c>
      <x:c r="F103" s="2" t="n">
        <x:v>1</x:v>
      </x:c>
      <x:c r="G103" s="2"/>
      <x:c r="H103" s="2"/>
      <x:c r="I103" s="2"/>
      <x:c r="J103" s="2"/>
      <x:c r="K103" s="2"/>
      <x:c r="L103" s="2"/>
      <x:c r="M103" s="2"/>
      <x:c r="N103" s="2"/>
      <x:c r="O103" s="2"/>
      <x:c r="P103" s="2"/>
    </x:row>
    <x:row r="104" ht="22" customHeight="1">
      <x:c r="A104" s="12" t="n">
        <x:v>40269</x:v>
      </x:c>
      <x:c r="B104" s="2" t="str">
        <x:v>2010-04</x:v>
      </x:c>
      <x:c r="C104" s="2" t="str">
        <x:v>Italy</x:v>
      </x:c>
      <x:c r="D104" s="11" t="n">
        <x:v>1525.85</x:v>
      </x:c>
      <x:c r="E104" s="11" t="n">
        <x:v>660.86</x:v>
      </x:c>
      <x:c r="F104" s="2" t="n">
        <x:v>2</x:v>
      </x:c>
      <x:c r="G104" s="2"/>
      <x:c r="H104" s="2"/>
      <x:c r="I104" s="2"/>
      <x:c r="J104" s="2"/>
      <x:c r="K104" s="2"/>
      <x:c r="L104" s="2"/>
      <x:c r="M104" s="2"/>
      <x:c r="N104" s="2"/>
      <x:c r="O104" s="2"/>
      <x:c r="P104" s="2"/>
    </x:row>
    <x:row r="105" ht="22" customHeight="1">
      <x:c r="A105" s="12" t="n">
        <x:v>40269</x:v>
      </x:c>
      <x:c r="B105" s="2" t="str">
        <x:v>2010-04</x:v>
      </x:c>
      <x:c r="C105" s="2" t="str">
        <x:v>Japan</x:v>
      </x:c>
      <x:c r="D105" s="11" t="n">
        <x:v>0</x:v>
      </x:c>
      <x:c r="E105" s="11" t="n">
        <x:v>2.75</x:v>
      </x:c>
      <x:c r="F105" s="2" t="n">
        <x:v>0</x:v>
      </x:c>
      <x:c r="G105" s="2"/>
      <x:c r="H105" s="2"/>
      <x:c r="I105" s="2"/>
      <x:c r="J105" s="2"/>
      <x:c r="K105" s="2"/>
      <x:c r="L105" s="2"/>
      <x:c r="M105" s="2"/>
      <x:c r="N105" s="2"/>
      <x:c r="O105" s="2"/>
      <x:c r="P105" s="2"/>
    </x:row>
    <x:row r="106" ht="22" customHeight="1">
      <x:c r="A106" s="12" t="n">
        <x:v>40269</x:v>
      </x:c>
      <x:c r="B106" s="2" t="str">
        <x:v>2010-04</x:v>
      </x:c>
      <x:c r="C106" s="2" t="str">
        <x:v>Netherlands</x:v>
      </x:c>
      <x:c r="D106" s="11" t="n">
        <x:v>6888.78</x:v>
      </x:c>
      <x:c r="E106" s="11" t="n">
        <x:v>0</x:v>
      </x:c>
      <x:c r="F106" s="2" t="n">
        <x:v>10</x:v>
      </x:c>
      <x:c r="G106" s="2"/>
      <x:c r="H106" s="2"/>
      <x:c r="I106" s="2"/>
      <x:c r="J106" s="2"/>
      <x:c r="K106" s="2"/>
      <x:c r="L106" s="2"/>
      <x:c r="M106" s="2"/>
      <x:c r="N106" s="2"/>
      <x:c r="O106" s="2"/>
      <x:c r="P106" s="2"/>
    </x:row>
    <x:row r="107" ht="22" customHeight="1">
      <x:c r="A107" s="12" t="n">
        <x:v>40269</x:v>
      </x:c>
      <x:c r="B107" s="2" t="str">
        <x:v>2010-04</x:v>
      </x:c>
      <x:c r="C107" s="2" t="str">
        <x:v>Portugal</x:v>
      </x:c>
      <x:c r="D107" s="11" t="n">
        <x:v>85.53999999999999</x:v>
      </x:c>
      <x:c r="E107" s="11" t="n">
        <x:v>124.24</x:v>
      </x:c>
      <x:c r="F107" s="2" t="n">
        <x:v>1</x:v>
      </x:c>
      <x:c r="G107" s="2"/>
      <x:c r="H107" s="2"/>
      <x:c r="I107" s="2"/>
      <x:c r="J107" s="2"/>
      <x:c r="K107" s="2"/>
      <x:c r="L107" s="2"/>
      <x:c r="M107" s="2"/>
      <x:c r="N107" s="2"/>
      <x:c r="O107" s="2"/>
      <x:c r="P107" s="2"/>
    </x:row>
    <x:row r="108" ht="22" customHeight="1">
      <x:c r="A108" s="12" t="n">
        <x:v>40269</x:v>
      </x:c>
      <x:c r="B108" s="2" t="str">
        <x:v>2010-04</x:v>
      </x:c>
      <x:c r="C108" s="2" t="str">
        <x:v>Singapore</x:v>
      </x:c>
      <x:c r="D108" s="11" t="n">
        <x:v>1252.95</x:v>
      </x:c>
      <x:c r="E108" s="11" t="n">
        <x:v>0</x:v>
      </x:c>
      <x:c r="F108" s="2" t="n">
        <x:v>1</x:v>
      </x:c>
      <x:c r="G108" s="2"/>
      <x:c r="H108" s="2"/>
      <x:c r="I108" s="2"/>
      <x:c r="J108" s="2"/>
      <x:c r="K108" s="2"/>
      <x:c r="L108" s="2"/>
      <x:c r="M108" s="2"/>
      <x:c r="N108" s="2"/>
      <x:c r="O108" s="2"/>
      <x:c r="P108" s="2"/>
    </x:row>
    <x:row r="109" ht="22" customHeight="1">
      <x:c r="A109" s="12" t="n">
        <x:v>40269</x:v>
      </x:c>
      <x:c r="B109" s="2" t="str">
        <x:v>2010-04</x:v>
      </x:c>
      <x:c r="C109" s="2" t="str">
        <x:v>Spain</x:v>
      </x:c>
      <x:c r="D109" s="11" t="n">
        <x:v>833.98</x:v>
      </x:c>
      <x:c r="E109" s="11" t="n">
        <x:v>58.5</x:v>
      </x:c>
      <x:c r="F109" s="2" t="n">
        <x:v>2</x:v>
      </x:c>
      <x:c r="G109" s="2"/>
      <x:c r="H109" s="2"/>
      <x:c r="I109" s="2"/>
      <x:c r="J109" s="2"/>
      <x:c r="K109" s="2"/>
      <x:c r="L109" s="2"/>
      <x:c r="M109" s="2"/>
      <x:c r="N109" s="2"/>
      <x:c r="O109" s="2"/>
      <x:c r="P109" s="2"/>
    </x:row>
    <x:row r="110" ht="22" customHeight="1">
      <x:c r="A110" s="12" t="n">
        <x:v>40269</x:v>
      </x:c>
      <x:c r="B110" s="2" t="str">
        <x:v>2010-04</x:v>
      </x:c>
      <x:c r="C110" s="2" t="str">
        <x:v>Sweden</x:v>
      </x:c>
      <x:c r="D110" s="11" t="n">
        <x:v>17698.12</x:v>
      </x:c>
      <x:c r="E110" s="11" t="n">
        <x:v>1722.68</x:v>
      </x:c>
      <x:c r="F110" s="2" t="n">
        <x:v>16</x:v>
      </x:c>
      <x:c r="G110" s="2"/>
      <x:c r="H110" s="2"/>
      <x:c r="I110" s="2"/>
      <x:c r="J110" s="2"/>
      <x:c r="K110" s="2"/>
      <x:c r="L110" s="2"/>
      <x:c r="M110" s="2"/>
      <x:c r="N110" s="2"/>
      <x:c r="O110" s="2"/>
      <x:c r="P110" s="2"/>
    </x:row>
    <x:row r="111" ht="22" customHeight="1">
      <x:c r="A111" s="12" t="n">
        <x:v>40269</x:v>
      </x:c>
      <x:c r="B111" s="2" t="str">
        <x:v>2010-04</x:v>
      </x:c>
      <x:c r="C111" s="2" t="str">
        <x:v>Switzerland</x:v>
      </x:c>
      <x:c r="D111" s="11" t="n">
        <x:v>1939.76</x:v>
      </x:c>
      <x:c r="E111" s="11" t="n">
        <x:v>37</x:v>
      </x:c>
      <x:c r="F111" s="2" t="n">
        <x:v>2</x:v>
      </x:c>
      <x:c r="G111" s="2"/>
      <x:c r="H111" s="2"/>
      <x:c r="I111" s="2"/>
      <x:c r="J111" s="2"/>
      <x:c r="K111" s="2"/>
      <x:c r="L111" s="2"/>
      <x:c r="M111" s="2"/>
      <x:c r="N111" s="2"/>
      <x:c r="O111" s="2"/>
      <x:c r="P111" s="2"/>
    </x:row>
    <x:row r="112" ht="22" customHeight="1">
      <x:c r="A112" s="12" t="n">
        <x:v>40269</x:v>
      </x:c>
      <x:c r="B112" s="2" t="str">
        <x:v>2010-04</x:v>
      </x:c>
      <x:c r="C112" s="2" t="str">
        <x:v>United Arab Emirates</x:v>
      </x:c>
      <x:c r="D112" s="11" t="n">
        <x:v>0</x:v>
      </x:c>
      <x:c r="E112" s="11" t="n">
        <x:v>16.5</x:v>
      </x:c>
      <x:c r="F112" s="2" t="n">
        <x:v>0</x:v>
      </x:c>
      <x:c r="G112" s="2"/>
      <x:c r="H112" s="2"/>
      <x:c r="I112" s="2"/>
      <x:c r="J112" s="2"/>
      <x:c r="K112" s="2"/>
      <x:c r="L112" s="2"/>
      <x:c r="M112" s="2"/>
      <x:c r="N112" s="2"/>
      <x:c r="O112" s="2"/>
      <x:c r="P112" s="2"/>
    </x:row>
    <x:row r="113" ht="22" customHeight="1">
      <x:c r="A113" s="12" t="n">
        <x:v>40269</x:v>
      </x:c>
      <x:c r="B113" s="2" t="str">
        <x:v>2010-04</x:v>
      </x:c>
      <x:c r="C113" s="2" t="str">
        <x:v>United Kingdom</x:v>
      </x:c>
      <x:c r="D113" s="11" t="n">
        <x:v>584609.731</x:v>
      </x:c>
      <x:c r="E113" s="11" t="n">
        <x:v>33861.18</x:v>
      </x:c>
      <x:c r="F113" s="2" t="n">
        <x:v>1350</x:v>
      </x:c>
      <x:c r="G113" s="2"/>
      <x:c r="H113" s="2"/>
      <x:c r="I113" s="2"/>
      <x:c r="J113" s="2"/>
      <x:c r="K113" s="2"/>
      <x:c r="L113" s="2"/>
      <x:c r="M113" s="2"/>
      <x:c r="N113" s="2"/>
      <x:c r="O113" s="2"/>
      <x:c r="P113" s="2"/>
    </x:row>
    <x:row r="114" ht="22" customHeight="1">
      <x:c r="A114" s="12" t="n">
        <x:v>40269</x:v>
      </x:c>
      <x:c r="B114" s="2" t="str">
        <x:v>2010-04</x:v>
      </x:c>
      <x:c r="C114" s="2" t="str">
        <x:v>Unspecified</x:v>
      </x:c>
      <x:c r="D114" s="11" t="n">
        <x:v>252.51999999999998</x:v>
      </x:c>
      <x:c r="E114" s="11" t="n">
        <x:v>0</x:v>
      </x:c>
      <x:c r="F114" s="2" t="n">
        <x:v>1</x:v>
      </x:c>
      <x:c r="G114" s="2"/>
      <x:c r="H114" s="2"/>
      <x:c r="I114" s="2"/>
      <x:c r="J114" s="2"/>
      <x:c r="K114" s="2"/>
      <x:c r="L114" s="2"/>
      <x:c r="M114" s="2"/>
      <x:c r="N114" s="2"/>
      <x:c r="O114" s="2"/>
      <x:c r="P114" s="2"/>
    </x:row>
    <x:row r="115" ht="22" customHeight="1">
      <x:c r="A115" s="12" t="n">
        <x:v>40299</x:v>
      </x:c>
      <x:c r="B115" s="2" t="str">
        <x:v>2010-05</x:v>
      </x:c>
      <x:c r="C115" s="2" t="str">
        <x:v>Australia</x:v>
      </x:c>
      <x:c r="D115" s="11" t="n">
        <x:v>2371.15</x:v>
      </x:c>
      <x:c r="E115" s="11" t="n">
        <x:v>1058.45</x:v>
      </x:c>
      <x:c r="F115" s="2" t="n">
        <x:v>6</x:v>
      </x:c>
      <x:c r="G115" s="2"/>
      <x:c r="H115" s="2"/>
      <x:c r="I115" s="2"/>
      <x:c r="J115" s="2"/>
      <x:c r="K115" s="2"/>
      <x:c r="L115" s="2"/>
      <x:c r="M115" s="2"/>
      <x:c r="N115" s="2"/>
      <x:c r="O115" s="2"/>
      <x:c r="P115" s="2"/>
    </x:row>
    <x:row r="116" ht="22" customHeight="1">
      <x:c r="A116" s="12" t="n">
        <x:v>40299</x:v>
      </x:c>
      <x:c r="B116" s="2" t="str">
        <x:v>2010-05</x:v>
      </x:c>
      <x:c r="C116" s="2" t="str">
        <x:v>Austria</x:v>
      </x:c>
      <x:c r="D116" s="11" t="n">
        <x:v>622.04</x:v>
      </x:c>
      <x:c r="E116" s="11" t="n">
        <x:v>40</x:v>
      </x:c>
      <x:c r="F116" s="2" t="n">
        <x:v>1</x:v>
      </x:c>
      <x:c r="G116" s="2"/>
      <x:c r="H116" s="2"/>
      <x:c r="I116" s="2"/>
      <x:c r="J116" s="2"/>
      <x:c r="K116" s="2"/>
      <x:c r="L116" s="2"/>
      <x:c r="M116" s="2"/>
      <x:c r="N116" s="2"/>
      <x:c r="O116" s="2"/>
      <x:c r="P116" s="2"/>
    </x:row>
    <x:row r="117" ht="22" customHeight="1">
      <x:c r="A117" s="12" t="n">
        <x:v>40299</x:v>
      </x:c>
      <x:c r="B117" s="2" t="str">
        <x:v>2010-05</x:v>
      </x:c>
      <x:c r="C117" s="2" t="str">
        <x:v>Bahrain</x:v>
      </x:c>
      <x:c r="D117" s="11" t="n">
        <x:v>585.96</x:v>
      </x:c>
      <x:c r="E117" s="11" t="n">
        <x:v>0</x:v>
      </x:c>
      <x:c r="F117" s="2" t="n">
        <x:v>2</x:v>
      </x:c>
      <x:c r="G117" s="2"/>
      <x:c r="H117" s="2"/>
      <x:c r="I117" s="2"/>
      <x:c r="J117" s="2"/>
      <x:c r="K117" s="2"/>
      <x:c r="L117" s="2"/>
      <x:c r="M117" s="2"/>
      <x:c r="N117" s="2"/>
      <x:c r="O117" s="2"/>
      <x:c r="P117" s="2"/>
    </x:row>
    <x:row r="118" ht="22" customHeight="1">
      <x:c r="A118" s="12" t="n">
        <x:v>40299</x:v>
      </x:c>
      <x:c r="B118" s="2" t="str">
        <x:v>2010-05</x:v>
      </x:c>
      <x:c r="C118" s="2" t="str">
        <x:v>Belgium</x:v>
      </x:c>
      <x:c r="D118" s="11" t="n">
        <x:v>98.15</x:v>
      </x:c>
      <x:c r="E118" s="11" t="n">
        <x:v>13.2</x:v>
      </x:c>
      <x:c r="F118" s="2" t="n">
        <x:v>1</x:v>
      </x:c>
      <x:c r="G118" s="2"/>
      <x:c r="H118" s="2"/>
      <x:c r="I118" s="2"/>
      <x:c r="J118" s="2"/>
      <x:c r="K118" s="2"/>
      <x:c r="L118" s="2"/>
      <x:c r="M118" s="2"/>
      <x:c r="N118" s="2"/>
      <x:c r="O118" s="2"/>
      <x:c r="P118" s="2"/>
    </x:row>
    <x:row r="119" ht="22" customHeight="1">
      <x:c r="A119" s="12" t="n">
        <x:v>40299</x:v>
      </x:c>
      <x:c r="B119" s="2" t="str">
        <x:v>2010-05</x:v>
      </x:c>
      <x:c r="C119" s="2" t="str">
        <x:v>Channel Islands</x:v>
      </x:c>
      <x:c r="D119" s="11" t="n">
        <x:v>5378.52</x:v>
      </x:c>
      <x:c r="E119" s="11" t="n">
        <x:v>55.839999999999996</x:v>
      </x:c>
      <x:c r="F119" s="2" t="n">
        <x:v>6</x:v>
      </x:c>
      <x:c r="G119" s="2"/>
      <x:c r="H119" s="2"/>
      <x:c r="I119" s="2"/>
      <x:c r="J119" s="2"/>
      <x:c r="K119" s="2"/>
      <x:c r="L119" s="2"/>
      <x:c r="M119" s="2"/>
      <x:c r="N119" s="2"/>
      <x:c r="O119" s="2"/>
      <x:c r="P119" s="2"/>
    </x:row>
    <x:row r="120" ht="22" customHeight="1">
      <x:c r="A120" s="12" t="n">
        <x:v>40299</x:v>
      </x:c>
      <x:c r="B120" s="2" t="str">
        <x:v>2010-05</x:v>
      </x:c>
      <x:c r="C120" s="2" t="str">
        <x:v>Cyprus</x:v>
      </x:c>
      <x:c r="D120" s="11" t="n">
        <x:v>515.61</x:v>
      </x:c>
      <x:c r="E120" s="11" t="n">
        <x:v>0</x:v>
      </x:c>
      <x:c r="F120" s="2" t="n">
        <x:v>1</x:v>
      </x:c>
      <x:c r="G120" s="2"/>
      <x:c r="H120" s="2"/>
      <x:c r="I120" s="2"/>
      <x:c r="J120" s="2"/>
      <x:c r="K120" s="2"/>
      <x:c r="L120" s="2"/>
      <x:c r="M120" s="2"/>
      <x:c r="N120" s="2"/>
      <x:c r="O120" s="2"/>
      <x:c r="P120" s="2"/>
    </x:row>
    <x:row r="121" ht="22" customHeight="1">
      <x:c r="A121" s="12" t="n">
        <x:v>40299</x:v>
      </x:c>
      <x:c r="B121" s="2" t="str">
        <x:v>2010-05</x:v>
      </x:c>
      <x:c r="C121" s="2" t="str">
        <x:v>EIRE</x:v>
      </x:c>
      <x:c r="D121" s="11" t="n">
        <x:v>19121.93</x:v>
      </x:c>
      <x:c r="E121" s="11" t="n">
        <x:v>362.96</x:v>
      </x:c>
      <x:c r="F121" s="2" t="n">
        <x:v>19</x:v>
      </x:c>
      <x:c r="G121" s="2"/>
      <x:c r="H121" s="2"/>
      <x:c r="I121" s="2"/>
      <x:c r="J121" s="2"/>
      <x:c r="K121" s="2"/>
      <x:c r="L121" s="2"/>
      <x:c r="M121" s="2"/>
      <x:c r="N121" s="2"/>
      <x:c r="O121" s="2"/>
      <x:c r="P121" s="2"/>
    </x:row>
    <x:row r="122" ht="22" customHeight="1">
      <x:c r="A122" s="12" t="n">
        <x:v>40299</x:v>
      </x:c>
      <x:c r="B122" s="2" t="str">
        <x:v>2010-05</x:v>
      </x:c>
      <x:c r="C122" s="2" t="str">
        <x:v>Finland</x:v>
      </x:c>
      <x:c r="D122" s="11" t="n">
        <x:v>837.11</x:v>
      </x:c>
      <x:c r="E122" s="11" t="n">
        <x:v>19.8</x:v>
      </x:c>
      <x:c r="F122" s="2" t="n">
        <x:v>1</x:v>
      </x:c>
      <x:c r="G122" s="2"/>
      <x:c r="H122" s="2"/>
      <x:c r="I122" s="2"/>
      <x:c r="J122" s="2"/>
      <x:c r="K122" s="2"/>
      <x:c r="L122" s="2"/>
      <x:c r="M122" s="2"/>
      <x:c r="N122" s="2"/>
      <x:c r="O122" s="2"/>
      <x:c r="P122" s="2"/>
    </x:row>
    <x:row r="123" ht="22" customHeight="1">
      <x:c r="A123" s="12" t="n">
        <x:v>40299</x:v>
      </x:c>
      <x:c r="B123" s="2" t="str">
        <x:v>2010-05</x:v>
      </x:c>
      <x:c r="C123" s="2" t="str">
        <x:v>France</x:v>
      </x:c>
      <x:c r="D123" s="11" t="n">
        <x:v>13958.15</x:v>
      </x:c>
      <x:c r="E123" s="11" t="n">
        <x:v>511.65</x:v>
      </x:c>
      <x:c r="F123" s="2" t="n">
        <x:v>16</x:v>
      </x:c>
      <x:c r="G123" s="2"/>
      <x:c r="H123" s="2"/>
      <x:c r="I123" s="2"/>
      <x:c r="J123" s="2"/>
      <x:c r="K123" s="2"/>
      <x:c r="L123" s="2"/>
      <x:c r="M123" s="2"/>
      <x:c r="N123" s="2"/>
      <x:c r="O123" s="2"/>
      <x:c r="P123" s="2"/>
    </x:row>
    <x:row r="124" ht="22" customHeight="1">
      <x:c r="A124" s="12" t="n">
        <x:v>40299</x:v>
      </x:c>
      <x:c r="B124" s="2" t="str">
        <x:v>2010-05</x:v>
      </x:c>
      <x:c r="C124" s="2" t="str">
        <x:v>Germany</x:v>
      </x:c>
      <x:c r="D124" s="11" t="n">
        <x:v>9108.36</x:v>
      </x:c>
      <x:c r="E124" s="11" t="n">
        <x:v>405.45</x:v>
      </x:c>
      <x:c r="F124" s="2" t="n">
        <x:v>17</x:v>
      </x:c>
      <x:c r="G124" s="2"/>
      <x:c r="H124" s="2"/>
      <x:c r="I124" s="2"/>
      <x:c r="J124" s="2"/>
      <x:c r="K124" s="2"/>
      <x:c r="L124" s="2"/>
      <x:c r="M124" s="2"/>
      <x:c r="N124" s="2"/>
      <x:c r="O124" s="2"/>
      <x:c r="P124" s="2"/>
    </x:row>
    <x:row r="125" ht="22" customHeight="1">
      <x:c r="A125" s="12" t="n">
        <x:v>40299</x:v>
      </x:c>
      <x:c r="B125" s="2" t="str">
        <x:v>2010-05</x:v>
      </x:c>
      <x:c r="C125" s="2" t="str">
        <x:v>Greece</x:v>
      </x:c>
      <x:c r="D125" s="11" t="n">
        <x:v>2476.22</x:v>
      </x:c>
      <x:c r="E125" s="11" t="n">
        <x:v>0</x:v>
      </x:c>
      <x:c r="F125" s="2" t="n">
        <x:v>2</x:v>
      </x:c>
      <x:c r="G125" s="2"/>
      <x:c r="H125" s="2"/>
      <x:c r="I125" s="2"/>
      <x:c r="J125" s="2"/>
      <x:c r="K125" s="2"/>
      <x:c r="L125" s="2"/>
      <x:c r="M125" s="2"/>
      <x:c r="N125" s="2"/>
      <x:c r="O125" s="2"/>
      <x:c r="P125" s="2"/>
    </x:row>
    <x:row r="126" ht="22" customHeight="1">
      <x:c r="A126" s="12" t="n">
        <x:v>40299</x:v>
      </x:c>
      <x:c r="B126" s="2" t="str">
        <x:v>2010-05</x:v>
      </x:c>
      <x:c r="C126" s="2" t="str">
        <x:v>Hong Kong</x:v>
      </x:c>
      <x:c r="D126" s="11" t="n">
        <x:v>2396.61</x:v>
      </x:c>
      <x:c r="E126" s="11" t="n">
        <x:v>2396.61</x:v>
      </x:c>
      <x:c r="F126" s="2" t="n">
        <x:v>1</x:v>
      </x:c>
      <x:c r="G126" s="2"/>
      <x:c r="H126" s="2"/>
      <x:c r="I126" s="2"/>
      <x:c r="J126" s="2"/>
      <x:c r="K126" s="2"/>
      <x:c r="L126" s="2"/>
      <x:c r="M126" s="2"/>
      <x:c r="N126" s="2"/>
      <x:c r="O126" s="2"/>
      <x:c r="P126" s="2"/>
    </x:row>
    <x:row r="127" ht="22" customHeight="1">
      <x:c r="A127" s="12" t="n">
        <x:v>40299</x:v>
      </x:c>
      <x:c r="B127" s="2" t="str">
        <x:v>2010-05</x:v>
      </x:c>
      <x:c r="C127" s="2" t="str">
        <x:v>Italy</x:v>
      </x:c>
      <x:c r="D127" s="11" t="n">
        <x:v>2374.7</x:v>
      </x:c>
      <x:c r="E127" s="11" t="n">
        <x:v>23.7</x:v>
      </x:c>
      <x:c r="F127" s="2" t="n">
        <x:v>4</x:v>
      </x:c>
      <x:c r="G127" s="2"/>
      <x:c r="H127" s="2"/>
      <x:c r="I127" s="2"/>
      <x:c r="J127" s="2"/>
      <x:c r="K127" s="2"/>
      <x:c r="L127" s="2"/>
      <x:c r="M127" s="2"/>
      <x:c r="N127" s="2"/>
      <x:c r="O127" s="2"/>
      <x:c r="P127" s="2"/>
    </x:row>
    <x:row r="128" ht="22" customHeight="1">
      <x:c r="A128" s="12" t="n">
        <x:v>40299</x:v>
      </x:c>
      <x:c r="B128" s="2" t="str">
        <x:v>2010-05</x:v>
      </x:c>
      <x:c r="C128" s="2" t="str">
        <x:v>Netherlands</x:v>
      </x:c>
      <x:c r="D128" s="11" t="n">
        <x:v>22416.53</x:v>
      </x:c>
      <x:c r="E128" s="11" t="n">
        <x:v>0</x:v>
      </x:c>
      <x:c r="F128" s="2" t="n">
        <x:v>8</x:v>
      </x:c>
      <x:c r="G128" s="2"/>
      <x:c r="H128" s="2"/>
      <x:c r="I128" s="2"/>
      <x:c r="J128" s="2"/>
      <x:c r="K128" s="2"/>
      <x:c r="L128" s="2"/>
      <x:c r="M128" s="2"/>
      <x:c r="N128" s="2"/>
      <x:c r="O128" s="2"/>
      <x:c r="P128" s="2"/>
    </x:row>
    <x:row r="129" ht="22" customHeight="1">
      <x:c r="A129" s="12" t="n">
        <x:v>40299</x:v>
      </x:c>
      <x:c r="B129" s="2" t="str">
        <x:v>2010-05</x:v>
      </x:c>
      <x:c r="C129" s="2" t="str">
        <x:v>Portugal</x:v>
      </x:c>
      <x:c r="D129" s="11" t="n">
        <x:v>757.2</x:v>
      </x:c>
      <x:c r="E129" s="11" t="n">
        <x:v>124.25</x:v>
      </x:c>
      <x:c r="F129" s="2" t="n">
        <x:v>2</x:v>
      </x:c>
      <x:c r="G129" s="2"/>
      <x:c r="H129" s="2"/>
      <x:c r="I129" s="2"/>
      <x:c r="J129" s="2"/>
      <x:c r="K129" s="2"/>
      <x:c r="L129" s="2"/>
      <x:c r="M129" s="2"/>
      <x:c r="N129" s="2"/>
      <x:c r="O129" s="2"/>
      <x:c r="P129" s="2"/>
    </x:row>
    <x:row r="130" ht="22" customHeight="1">
      <x:c r="A130" s="12" t="n">
        <x:v>40299</x:v>
      </x:c>
      <x:c r="B130" s="2" t="str">
        <x:v>2010-05</x:v>
      </x:c>
      <x:c r="C130" s="2" t="str">
        <x:v>Spain</x:v>
      </x:c>
      <x:c r="D130" s="11" t="n">
        <x:v>2854.58</x:v>
      </x:c>
      <x:c r="E130" s="11" t="n">
        <x:v>0</x:v>
      </x:c>
      <x:c r="F130" s="2" t="n">
        <x:v>5</x:v>
      </x:c>
      <x:c r="G130" s="2"/>
      <x:c r="H130" s="2"/>
      <x:c r="I130" s="2"/>
      <x:c r="J130" s="2"/>
      <x:c r="K130" s="2"/>
      <x:c r="L130" s="2"/>
      <x:c r="M130" s="2"/>
      <x:c r="N130" s="2"/>
      <x:c r="O130" s="2"/>
      <x:c r="P130" s="2"/>
    </x:row>
    <x:row r="131" ht="22" customHeight="1">
      <x:c r="A131" s="12" t="n">
        <x:v>40299</x:v>
      </x:c>
      <x:c r="B131" s="2" t="str">
        <x:v>2010-05</x:v>
      </x:c>
      <x:c r="C131" s="2" t="str">
        <x:v>Sweden</x:v>
      </x:c>
      <x:c r="D131" s="11" t="n">
        <x:v>3556.7599999999998</x:v>
      </x:c>
      <x:c r="E131" s="11" t="n">
        <x:v>0</x:v>
      </x:c>
      <x:c r="F131" s="2" t="n">
        <x:v>10</x:v>
      </x:c>
      <x:c r="G131" s="2"/>
      <x:c r="H131" s="2"/>
      <x:c r="I131" s="2"/>
      <x:c r="J131" s="2"/>
      <x:c r="K131" s="2"/>
      <x:c r="L131" s="2"/>
      <x:c r="M131" s="2"/>
      <x:c r="N131" s="2"/>
      <x:c r="O131" s="2"/>
      <x:c r="P131" s="2"/>
    </x:row>
    <x:row r="132" ht="22" customHeight="1">
      <x:c r="A132" s="12" t="n">
        <x:v>40299</x:v>
      </x:c>
      <x:c r="B132" s="2" t="str">
        <x:v>2010-05</x:v>
      </x:c>
      <x:c r="C132" s="2" t="str">
        <x:v>Switzerland</x:v>
      </x:c>
      <x:c r="D132" s="11" t="n">
        <x:v>9825.16</x:v>
      </x:c>
      <x:c r="E132" s="11" t="n">
        <x:v>15</x:v>
      </x:c>
      <x:c r="F132" s="2" t="n">
        <x:v>6</x:v>
      </x:c>
      <x:c r="G132" s="2"/>
      <x:c r="H132" s="2"/>
      <x:c r="I132" s="2"/>
      <x:c r="J132" s="2"/>
      <x:c r="K132" s="2"/>
      <x:c r="L132" s="2"/>
      <x:c r="M132" s="2"/>
      <x:c r="N132" s="2"/>
      <x:c r="O132" s="2"/>
      <x:c r="P132" s="2"/>
    </x:row>
    <x:row r="133" ht="22" customHeight="1">
      <x:c r="A133" s="12" t="n">
        <x:v>40299</x:v>
      </x:c>
      <x:c r="B133" s="2" t="str">
        <x:v>2010-05</x:v>
      </x:c>
      <x:c r="C133" s="2" t="str">
        <x:v>USA</x:v>
      </x:c>
      <x:c r="D133" s="11" t="n">
        <x:v>416.31</x:v>
      </x:c>
      <x:c r="E133" s="11" t="n">
        <x:v>0</x:v>
      </x:c>
      <x:c r="F133" s="2" t="n">
        <x:v>2</x:v>
      </x:c>
      <x:c r="G133" s="2"/>
      <x:c r="H133" s="2"/>
      <x:c r="I133" s="2"/>
      <x:c r="J133" s="2"/>
      <x:c r="K133" s="2"/>
      <x:c r="L133" s="2"/>
      <x:c r="M133" s="2"/>
      <x:c r="N133" s="2"/>
      <x:c r="O133" s="2"/>
      <x:c r="P133" s="2"/>
    </x:row>
    <x:row r="134" ht="22" customHeight="1">
      <x:c r="A134" s="12" t="n">
        <x:v>40299</x:v>
      </x:c>
      <x:c r="B134" s="2" t="str">
        <x:v>2010-05</x:v>
      </x:c>
      <x:c r="C134" s="2" t="str">
        <x:v>United Kingdom</x:v>
      </x:c>
      <x:c r="D134" s="11" t="n">
        <x:v>560187.81</x:v>
      </x:c>
      <x:c r="E134" s="11" t="n">
        <x:v>39509.12</x:v>
      </x:c>
      <x:c r="F134" s="2" t="n">
        <x:v>1390</x:v>
      </x:c>
      <x:c r="G134" s="2"/>
      <x:c r="H134" s="2"/>
      <x:c r="I134" s="2"/>
      <x:c r="J134" s="2"/>
      <x:c r="K134" s="2"/>
      <x:c r="L134" s="2"/>
      <x:c r="M134" s="2"/>
      <x:c r="N134" s="2"/>
      <x:c r="O134" s="2"/>
      <x:c r="P134" s="2"/>
    </x:row>
    <x:row r="135" ht="22" customHeight="1">
      <x:c r="A135" s="12" t="n">
        <x:v>40330</x:v>
      </x:c>
      <x:c r="B135" s="2" t="str">
        <x:v>2010-06</x:v>
      </x:c>
      <x:c r="C135" s="2" t="str">
        <x:v>Australia</x:v>
      </x:c>
      <x:c r="D135" s="11" t="n">
        <x:v>3214.78</x:v>
      </x:c>
      <x:c r="E135" s="11" t="n">
        <x:v>25.5</x:v>
      </x:c>
      <x:c r="F135" s="2" t="n">
        <x:v>3</x:v>
      </x:c>
      <x:c r="G135" s="2"/>
      <x:c r="H135" s="2"/>
      <x:c r="I135" s="2"/>
      <x:c r="J135" s="2"/>
      <x:c r="K135" s="2"/>
      <x:c r="L135" s="2"/>
      <x:c r="M135" s="2"/>
      <x:c r="N135" s="2"/>
      <x:c r="O135" s="2"/>
      <x:c r="P135" s="2"/>
    </x:row>
    <x:row r="136" ht="22" customHeight="1">
      <x:c r="A136" s="12" t="n">
        <x:v>40330</x:v>
      </x:c>
      <x:c r="B136" s="2" t="str">
        <x:v>2010-06</x:v>
      </x:c>
      <x:c r="C136" s="2" t="str">
        <x:v>Austria</x:v>
      </x:c>
      <x:c r="D136" s="11" t="n">
        <x:v>268.1</x:v>
      </x:c>
      <x:c r="E136" s="11" t="n">
        <x:v>0</x:v>
      </x:c>
      <x:c r="F136" s="2" t="n">
        <x:v>1</x:v>
      </x:c>
      <x:c r="G136" s="2"/>
      <x:c r="H136" s="2"/>
      <x:c r="I136" s="2"/>
      <x:c r="J136" s="2"/>
      <x:c r="K136" s="2"/>
      <x:c r="L136" s="2"/>
      <x:c r="M136" s="2"/>
      <x:c r="N136" s="2"/>
      <x:c r="O136" s="2"/>
      <x:c r="P136" s="2"/>
    </x:row>
    <x:row r="137" ht="22" customHeight="1">
      <x:c r="A137" s="12" t="n">
        <x:v>40330</x:v>
      </x:c>
      <x:c r="B137" s="2" t="str">
        <x:v>2010-06</x:v>
      </x:c>
      <x:c r="C137" s="2" t="str">
        <x:v>Bahrain</x:v>
      </x:c>
      <x:c r="D137" s="11" t="n">
        <x:v>463.28</x:v>
      </x:c>
      <x:c r="E137" s="11" t="n">
        <x:v>0</x:v>
      </x:c>
      <x:c r="F137" s="2" t="n">
        <x:v>1</x:v>
      </x:c>
      <x:c r="G137" s="2"/>
      <x:c r="H137" s="2"/>
      <x:c r="I137" s="2"/>
      <x:c r="J137" s="2"/>
      <x:c r="K137" s="2"/>
      <x:c r="L137" s="2"/>
      <x:c r="M137" s="2"/>
      <x:c r="N137" s="2"/>
      <x:c r="O137" s="2"/>
      <x:c r="P137" s="2"/>
    </x:row>
    <x:row r="138" ht="22" customHeight="1">
      <x:c r="A138" s="12" t="n">
        <x:v>40330</x:v>
      </x:c>
      <x:c r="B138" s="2" t="str">
        <x:v>2010-06</x:v>
      </x:c>
      <x:c r="C138" s="2" t="str">
        <x:v>Belgium</x:v>
      </x:c>
      <x:c r="D138" s="11" t="n">
        <x:v>3800.34</x:v>
      </x:c>
      <x:c r="E138" s="11" t="n">
        <x:v>264.95</x:v>
      </x:c>
      <x:c r="F138" s="2" t="n">
        <x:v>6</x:v>
      </x:c>
      <x:c r="G138" s="2"/>
      <x:c r="H138" s="2"/>
      <x:c r="I138" s="2"/>
      <x:c r="J138" s="2"/>
      <x:c r="K138" s="2"/>
      <x:c r="L138" s="2"/>
      <x:c r="M138" s="2"/>
      <x:c r="N138" s="2"/>
      <x:c r="O138" s="2"/>
      <x:c r="P138" s="2"/>
    </x:row>
    <x:row r="139" ht="22" customHeight="1">
      <x:c r="A139" s="12" t="n">
        <x:v>40330</x:v>
      </x:c>
      <x:c r="B139" s="2" t="str">
        <x:v>2010-06</x:v>
      </x:c>
      <x:c r="C139" s="2" t="str">
        <x:v>Channel Islands</x:v>
      </x:c>
      <x:c r="D139" s="11" t="n">
        <x:v>845</x:v>
      </x:c>
      <x:c r="E139" s="11" t="n">
        <x:v>95.85000000000001</x:v>
      </x:c>
      <x:c r="F139" s="2" t="n">
        <x:v>1</x:v>
      </x:c>
      <x:c r="G139" s="2"/>
      <x:c r="H139" s="2"/>
      <x:c r="I139" s="2"/>
      <x:c r="J139" s="2"/>
      <x:c r="K139" s="2"/>
      <x:c r="L139" s="2"/>
      <x:c r="M139" s="2"/>
      <x:c r="N139" s="2"/>
      <x:c r="O139" s="2"/>
      <x:c r="P139" s="2"/>
    </x:row>
    <x:row r="140" ht="22" customHeight="1">
      <x:c r="A140" s="12" t="n">
        <x:v>40330</x:v>
      </x:c>
      <x:c r="B140" s="2" t="str">
        <x:v>2010-06</x:v>
      </x:c>
      <x:c r="C140" s="2" t="str">
        <x:v>Cyprus</x:v>
      </x:c>
      <x:c r="D140" s="11" t="n">
        <x:v>489.8</x:v>
      </x:c>
      <x:c r="E140" s="11" t="n">
        <x:v>0</x:v>
      </x:c>
      <x:c r="F140" s="2" t="n">
        <x:v>1</x:v>
      </x:c>
      <x:c r="G140" s="2"/>
      <x:c r="H140" s="2"/>
      <x:c r="I140" s="2"/>
      <x:c r="J140" s="2"/>
      <x:c r="K140" s="2"/>
      <x:c r="L140" s="2"/>
      <x:c r="M140" s="2"/>
      <x:c r="N140" s="2"/>
      <x:c r="O140" s="2"/>
      <x:c r="P140" s="2"/>
    </x:row>
    <x:row r="141" ht="22" customHeight="1">
      <x:c r="A141" s="12" t="n">
        <x:v>40330</x:v>
      </x:c>
      <x:c r="B141" s="2" t="str">
        <x:v>2010-06</x:v>
      </x:c>
      <x:c r="C141" s="2" t="str">
        <x:v>Denmark</x:v>
      </x:c>
      <x:c r="D141" s="11" t="n">
        <x:v>2695.5099999999998</x:v>
      </x:c>
      <x:c r="E141" s="11" t="n">
        <x:v>5.9</x:v>
      </x:c>
      <x:c r="F141" s="2" t="n">
        <x:v>4</x:v>
      </x:c>
      <x:c r="G141" s="2"/>
      <x:c r="H141" s="2"/>
      <x:c r="I141" s="2"/>
      <x:c r="J141" s="2"/>
      <x:c r="K141" s="2"/>
      <x:c r="L141" s="2"/>
      <x:c r="M141" s="2"/>
      <x:c r="N141" s="2"/>
      <x:c r="O141" s="2"/>
      <x:c r="P141" s="2"/>
    </x:row>
    <x:row r="142" ht="22" customHeight="1">
      <x:c r="A142" s="12" t="n">
        <x:v>40330</x:v>
      </x:c>
      <x:c r="B142" s="2" t="str">
        <x:v>2010-06</x:v>
      </x:c>
      <x:c r="C142" s="2" t="str">
        <x:v>EIRE</x:v>
      </x:c>
      <x:c r="D142" s="11" t="n">
        <x:v>22934.34</x:v>
      </x:c>
      <x:c r="E142" s="11" t="n">
        <x:v>371.58</x:v>
      </x:c>
      <x:c r="F142" s="2" t="n">
        <x:v>24</x:v>
      </x:c>
      <x:c r="G142" s="2"/>
      <x:c r="H142" s="2"/>
      <x:c r="I142" s="2"/>
      <x:c r="J142" s="2"/>
      <x:c r="K142" s="2"/>
      <x:c r="L142" s="2"/>
      <x:c r="M142" s="2"/>
      <x:c r="N142" s="2"/>
      <x:c r="O142" s="2"/>
      <x:c r="P142" s="2"/>
    </x:row>
    <x:row r="143" ht="22" customHeight="1">
      <x:c r="A143" s="12" t="n">
        <x:v>40330</x:v>
      </x:c>
      <x:c r="B143" s="2" t="str">
        <x:v>2010-06</x:v>
      </x:c>
      <x:c r="C143" s="2" t="str">
        <x:v>Finland</x:v>
      </x:c>
      <x:c r="D143" s="11" t="n">
        <x:v>534.14</x:v>
      </x:c>
      <x:c r="E143" s="11" t="n">
        <x:v>0</x:v>
      </x:c>
      <x:c r="F143" s="2" t="n">
        <x:v>1</x:v>
      </x:c>
      <x:c r="G143" s="2"/>
      <x:c r="H143" s="2"/>
      <x:c r="I143" s="2"/>
      <x:c r="J143" s="2"/>
      <x:c r="K143" s="2"/>
      <x:c r="L143" s="2"/>
      <x:c r="M143" s="2"/>
      <x:c r="N143" s="2"/>
      <x:c r="O143" s="2"/>
      <x:c r="P143" s="2"/>
    </x:row>
    <x:row r="144" ht="22" customHeight="1">
      <x:c r="A144" s="12" t="n">
        <x:v>40330</x:v>
      </x:c>
      <x:c r="B144" s="2" t="str">
        <x:v>2010-06</x:v>
      </x:c>
      <x:c r="C144" s="2" t="str">
        <x:v>France</x:v>
      </x:c>
      <x:c r="D144" s="11" t="n">
        <x:v>9172.54</x:v>
      </x:c>
      <x:c r="E144" s="11" t="n">
        <x:v>120</x:v>
      </x:c>
      <x:c r="F144" s="2" t="n">
        <x:v>23</x:v>
      </x:c>
      <x:c r="G144" s="2"/>
      <x:c r="H144" s="2"/>
      <x:c r="I144" s="2"/>
      <x:c r="J144" s="2"/>
      <x:c r="K144" s="2"/>
      <x:c r="L144" s="2"/>
      <x:c r="M144" s="2"/>
      <x:c r="N144" s="2"/>
      <x:c r="O144" s="2"/>
      <x:c r="P144" s="2"/>
    </x:row>
    <x:row r="145" ht="22" customHeight="1">
      <x:c r="A145" s="12" t="n">
        <x:v>40330</x:v>
      </x:c>
      <x:c r="B145" s="2" t="str">
        <x:v>2010-06</x:v>
      </x:c>
      <x:c r="C145" s="2" t="str">
        <x:v>Germany</x:v>
      </x:c>
      <x:c r="D145" s="11" t="n">
        <x:v>15678.630000000001</x:v>
      </x:c>
      <x:c r="E145" s="11" t="n">
        <x:v>432.44</x:v>
      </x:c>
      <x:c r="F145" s="2" t="n">
        <x:v>27</x:v>
      </x:c>
      <x:c r="G145" s="2"/>
      <x:c r="H145" s="2"/>
      <x:c r="I145" s="2"/>
      <x:c r="J145" s="2"/>
      <x:c r="K145" s="2"/>
      <x:c r="L145" s="2"/>
      <x:c r="M145" s="2"/>
      <x:c r="N145" s="2"/>
      <x:c r="O145" s="2"/>
      <x:c r="P145" s="2"/>
    </x:row>
    <x:row r="146" ht="22" customHeight="1">
      <x:c r="A146" s="12" t="n">
        <x:v>40330</x:v>
      </x:c>
      <x:c r="B146" s="2" t="str">
        <x:v>2010-06</x:v>
      </x:c>
      <x:c r="C146" s="2" t="str">
        <x:v>Greece</x:v>
      </x:c>
      <x:c r="D146" s="11" t="n">
        <x:v>302.4</x:v>
      </x:c>
      <x:c r="E146" s="11" t="n">
        <x:v>0</x:v>
      </x:c>
      <x:c r="F146" s="2" t="n">
        <x:v>1</x:v>
      </x:c>
      <x:c r="G146" s="2"/>
      <x:c r="H146" s="2"/>
      <x:c r="I146" s="2"/>
      <x:c r="J146" s="2"/>
      <x:c r="K146" s="2"/>
      <x:c r="L146" s="2"/>
      <x:c r="M146" s="2"/>
      <x:c r="N146" s="2"/>
      <x:c r="O146" s="2"/>
      <x:c r="P146" s="2"/>
    </x:row>
    <x:row r="147" ht="22" customHeight="1">
      <x:c r="A147" s="12" t="n">
        <x:v>40330</x:v>
      </x:c>
      <x:c r="B147" s="2" t="str">
        <x:v>2010-06</x:v>
      </x:c>
      <x:c r="C147" s="2" t="str">
        <x:v>Hong Kong</x:v>
      </x:c>
      <x:c r="D147" s="11" t="n">
        <x:v>1685.6499999999999</x:v>
      </x:c>
      <x:c r="E147" s="11" t="n">
        <x:v>0</x:v>
      </x:c>
      <x:c r="F147" s="2" t="n">
        <x:v>1</x:v>
      </x:c>
      <x:c r="G147" s="2"/>
      <x:c r="H147" s="2"/>
      <x:c r="I147" s="2"/>
      <x:c r="J147" s="2"/>
      <x:c r="K147" s="2"/>
      <x:c r="L147" s="2"/>
      <x:c r="M147" s="2"/>
      <x:c r="N147" s="2"/>
      <x:c r="O147" s="2"/>
      <x:c r="P147" s="2"/>
    </x:row>
    <x:row r="148" ht="22" customHeight="1">
      <x:c r="A148" s="12" t="n">
        <x:v>40330</x:v>
      </x:c>
      <x:c r="B148" s="2" t="str">
        <x:v>2010-06</x:v>
      </x:c>
      <x:c r="C148" s="2" t="str">
        <x:v>Italy</x:v>
      </x:c>
      <x:c r="D148" s="11" t="n">
        <x:v>267.45</x:v>
      </x:c>
      <x:c r="E148" s="11" t="n">
        <x:v>0</x:v>
      </x:c>
      <x:c r="F148" s="2" t="n">
        <x:v>2</x:v>
      </x:c>
      <x:c r="G148" s="2"/>
      <x:c r="H148" s="2"/>
      <x:c r="I148" s="2"/>
      <x:c r="J148" s="2"/>
      <x:c r="K148" s="2"/>
      <x:c r="L148" s="2"/>
      <x:c r="M148" s="2"/>
      <x:c r="N148" s="2"/>
      <x:c r="O148" s="2"/>
      <x:c r="P148" s="2"/>
    </x:row>
    <x:row r="149" ht="22" customHeight="1">
      <x:c r="A149" s="12" t="n">
        <x:v>40330</x:v>
      </x:c>
      <x:c r="B149" s="2" t="str">
        <x:v>2010-06</x:v>
      </x:c>
      <x:c r="C149" s="2" t="str">
        <x:v>Japan</x:v>
      </x:c>
      <x:c r="D149" s="11" t="n">
        <x:v>594.68</x:v>
      </x:c>
      <x:c r="E149" s="11" t="n">
        <x:v>60.5</x:v>
      </x:c>
      <x:c r="F149" s="2" t="n">
        <x:v>2</x:v>
      </x:c>
      <x:c r="G149" s="2"/>
      <x:c r="H149" s="2"/>
      <x:c r="I149" s="2"/>
      <x:c r="J149" s="2"/>
      <x:c r="K149" s="2"/>
      <x:c r="L149" s="2"/>
      <x:c r="M149" s="2"/>
      <x:c r="N149" s="2"/>
      <x:c r="O149" s="2"/>
      <x:c r="P149" s="2"/>
    </x:row>
    <x:row r="150" ht="22" customHeight="1">
      <x:c r="A150" s="12" t="n">
        <x:v>40330</x:v>
      </x:c>
      <x:c r="B150" s="2" t="str">
        <x:v>2010-06</x:v>
      </x:c>
      <x:c r="C150" s="2" t="str">
        <x:v>Netherlands</x:v>
      </x:c>
      <x:c r="D150" s="11" t="n">
        <x:v>24224.51</x:v>
      </x:c>
      <x:c r="E150" s="11" t="n">
        <x:v>122.5</x:v>
      </x:c>
      <x:c r="F150" s="2" t="n">
        <x:v>8</x:v>
      </x:c>
      <x:c r="G150" s="2"/>
      <x:c r="H150" s="2"/>
      <x:c r="I150" s="2"/>
      <x:c r="J150" s="2"/>
      <x:c r="K150" s="2"/>
      <x:c r="L150" s="2"/>
      <x:c r="M150" s="2"/>
      <x:c r="N150" s="2"/>
      <x:c r="O150" s="2"/>
      <x:c r="P150" s="2"/>
    </x:row>
    <x:row r="151" ht="22" customHeight="1">
      <x:c r="A151" s="12" t="n">
        <x:v>40330</x:v>
      </x:c>
      <x:c r="B151" s="2" t="str">
        <x:v>2010-06</x:v>
      </x:c>
      <x:c r="C151" s="2" t="str">
        <x:v>Poland</x:v>
      </x:c>
      <x:c r="D151" s="11" t="n">
        <x:v>556.16</x:v>
      </x:c>
      <x:c r="E151" s="11" t="n">
        <x:v>0</x:v>
      </x:c>
      <x:c r="F151" s="2" t="n">
        <x:v>1</x:v>
      </x:c>
      <x:c r="G151" s="2"/>
      <x:c r="H151" s="2"/>
      <x:c r="I151" s="2"/>
      <x:c r="J151" s="2"/>
      <x:c r="K151" s="2"/>
      <x:c r="L151" s="2"/>
      <x:c r="M151" s="2"/>
      <x:c r="N151" s="2"/>
      <x:c r="O151" s="2"/>
      <x:c r="P151" s="2"/>
    </x:row>
    <x:row r="152" ht="22" customHeight="1">
      <x:c r="A152" s="12" t="n">
        <x:v>40330</x:v>
      </x:c>
      <x:c r="B152" s="2" t="str">
        <x:v>2010-06</x:v>
      </x:c>
      <x:c r="C152" s="2" t="str">
        <x:v>Portugal</x:v>
      </x:c>
      <x:c r="D152" s="11" t="n">
        <x:v>3668.46</x:v>
      </x:c>
      <x:c r="E152" s="11" t="n">
        <x:v>22.25</x:v>
      </x:c>
      <x:c r="F152" s="2" t="n">
        <x:v>4</x:v>
      </x:c>
      <x:c r="G152" s="2"/>
      <x:c r="H152" s="2"/>
      <x:c r="I152" s="2"/>
      <x:c r="J152" s="2"/>
      <x:c r="K152" s="2"/>
      <x:c r="L152" s="2"/>
      <x:c r="M152" s="2"/>
      <x:c r="N152" s="2"/>
      <x:c r="O152" s="2"/>
      <x:c r="P152" s="2"/>
    </x:row>
    <x:row r="153" ht="22" customHeight="1">
      <x:c r="A153" s="12" t="n">
        <x:v>40330</x:v>
      </x:c>
      <x:c r="B153" s="2" t="str">
        <x:v>2010-06</x:v>
      </x:c>
      <x:c r="C153" s="2" t="str">
        <x:v>Spain</x:v>
      </x:c>
      <x:c r="D153" s="11" t="n">
        <x:v>2332.2</x:v>
      </x:c>
      <x:c r="E153" s="11" t="n">
        <x:v>0</x:v>
      </x:c>
      <x:c r="F153" s="2" t="n">
        <x:v>2</x:v>
      </x:c>
      <x:c r="G153" s="2"/>
      <x:c r="H153" s="2"/>
      <x:c r="I153" s="2"/>
      <x:c r="J153" s="2"/>
      <x:c r="K153" s="2"/>
      <x:c r="L153" s="2"/>
      <x:c r="M153" s="2"/>
      <x:c r="N153" s="2"/>
      <x:c r="O153" s="2"/>
      <x:c r="P153" s="2"/>
    </x:row>
    <x:row r="154" ht="22" customHeight="1">
      <x:c r="A154" s="12" t="n">
        <x:v>40330</x:v>
      </x:c>
      <x:c r="B154" s="2" t="str">
        <x:v>2010-06</x:v>
      </x:c>
      <x:c r="C154" s="2" t="str">
        <x:v>Sweden</x:v>
      </x:c>
      <x:c r="D154" s="11" t="n">
        <x:v>914.3000000000001</x:v>
      </x:c>
      <x:c r="E154" s="11" t="n">
        <x:v>0</x:v>
      </x:c>
      <x:c r="F154" s="2" t="n">
        <x:v>2</x:v>
      </x:c>
      <x:c r="G154" s="2"/>
      <x:c r="H154" s="2"/>
      <x:c r="I154" s="2"/>
      <x:c r="J154" s="2"/>
      <x:c r="K154" s="2"/>
      <x:c r="L154" s="2"/>
      <x:c r="M154" s="2"/>
      <x:c r="N154" s="2"/>
      <x:c r="O154" s="2"/>
      <x:c r="P154" s="2"/>
    </x:row>
    <x:row r="155" ht="22" customHeight="1">
      <x:c r="A155" s="12" t="n">
        <x:v>40330</x:v>
      </x:c>
      <x:c r="B155" s="2" t="str">
        <x:v>2010-06</x:v>
      </x:c>
      <x:c r="C155" s="2" t="str">
        <x:v>Switzerland</x:v>
      </x:c>
      <x:c r="D155" s="11" t="n">
        <x:v>2362.47</x:v>
      </x:c>
      <x:c r="E155" s="11" t="n">
        <x:v>211.2</x:v>
      </x:c>
      <x:c r="F155" s="2" t="n">
        <x:v>2</x:v>
      </x:c>
      <x:c r="G155" s="2"/>
      <x:c r="H155" s="2"/>
      <x:c r="I155" s="2"/>
      <x:c r="J155" s="2"/>
      <x:c r="K155" s="2"/>
      <x:c r="L155" s="2"/>
      <x:c r="M155" s="2"/>
      <x:c r="N155" s="2"/>
      <x:c r="O155" s="2"/>
      <x:c r="P155" s="2"/>
    </x:row>
    <x:row r="156" ht="22" customHeight="1">
      <x:c r="A156" s="12" t="n">
        <x:v>40330</x:v>
      </x:c>
      <x:c r="B156" s="2" t="str">
        <x:v>2010-06</x:v>
      </x:c>
      <x:c r="C156" s="2" t="str">
        <x:v>Thailand</x:v>
      </x:c>
      <x:c r="D156" s="11" t="n">
        <x:v>1956.84</x:v>
      </x:c>
      <x:c r="E156" s="11" t="n">
        <x:v>0</x:v>
      </x:c>
      <x:c r="F156" s="2" t="n">
        <x:v>1</x:v>
      </x:c>
      <x:c r="G156" s="2"/>
      <x:c r="H156" s="2"/>
      <x:c r="I156" s="2"/>
      <x:c r="J156" s="2"/>
      <x:c r="K156" s="2"/>
      <x:c r="L156" s="2"/>
      <x:c r="M156" s="2"/>
      <x:c r="N156" s="2"/>
      <x:c r="O156" s="2"/>
      <x:c r="P156" s="2"/>
    </x:row>
    <x:row r="157" ht="22" customHeight="1">
      <x:c r="A157" s="12" t="n">
        <x:v>40330</x:v>
      </x:c>
      <x:c r="B157" s="2" t="str">
        <x:v>2010-06</x:v>
      </x:c>
      <x:c r="C157" s="2" t="str">
        <x:v>USA</x:v>
      </x:c>
      <x:c r="D157" s="11" t="n">
        <x:v>896.0699999999999</x:v>
      </x:c>
      <x:c r="E157" s="11" t="n">
        <x:v>0</x:v>
      </x:c>
      <x:c r="F157" s="2" t="n">
        <x:v>4</x:v>
      </x:c>
      <x:c r="G157" s="2"/>
      <x:c r="H157" s="2"/>
      <x:c r="I157" s="2"/>
      <x:c r="J157" s="2"/>
      <x:c r="K157" s="2"/>
      <x:c r="L157" s="2"/>
      <x:c r="M157" s="2"/>
      <x:c r="N157" s="2"/>
      <x:c r="O157" s="2"/>
      <x:c r="P157" s="2"/>
    </x:row>
    <x:row r="158" ht="22" customHeight="1">
      <x:c r="A158" s="12" t="n">
        <x:v>40330</x:v>
      </x:c>
      <x:c r="B158" s="2" t="str">
        <x:v>2010-06</x:v>
      </x:c>
      <x:c r="C158" s="2" t="str">
        <x:v>United Kingdom</x:v>
      </x:c>
      <x:c r="D158" s="11" t="n">
        <x:v>652412.49</x:v>
      </x:c>
      <x:c r="E158" s="11" t="n">
        <x:v>70750.86</x:v>
      </x:c>
      <x:c r="F158" s="2" t="n">
        <x:v>1523</x:v>
      </x:c>
      <x:c r="G158" s="2"/>
      <x:c r="H158" s="2"/>
      <x:c r="I158" s="2"/>
      <x:c r="J158" s="2"/>
      <x:c r="K158" s="2"/>
      <x:c r="L158" s="2"/>
      <x:c r="M158" s="2"/>
      <x:c r="N158" s="2"/>
      <x:c r="O158" s="2"/>
      <x:c r="P158" s="2"/>
    </x:row>
    <x:row r="159" ht="22" customHeight="1">
      <x:c r="A159" s="12" t="n">
        <x:v>40360</x:v>
      </x:c>
      <x:c r="B159" s="2" t="str">
        <x:v>2010-07</x:v>
      </x:c>
      <x:c r="C159" s="2" t="str">
        <x:v>Australia</x:v>
      </x:c>
      <x:c r="D159" s="11" t="n">
        <x:v>686.12</x:v>
      </x:c>
      <x:c r="E159" s="11" t="n">
        <x:v>52.5</x:v>
      </x:c>
      <x:c r="F159" s="2" t="n">
        <x:v>3</x:v>
      </x:c>
      <x:c r="G159" s="2"/>
      <x:c r="H159" s="2"/>
      <x:c r="I159" s="2"/>
      <x:c r="J159" s="2"/>
      <x:c r="K159" s="2"/>
      <x:c r="L159" s="2"/>
      <x:c r="M159" s="2"/>
      <x:c r="N159" s="2"/>
      <x:c r="O159" s="2"/>
      <x:c r="P159" s="2"/>
    </x:row>
    <x:row r="160" ht="22" customHeight="1">
      <x:c r="A160" s="12" t="n">
        <x:v>40360</x:v>
      </x:c>
      <x:c r="B160" s="2" t="str">
        <x:v>2010-07</x:v>
      </x:c>
      <x:c r="C160" s="2" t="str">
        <x:v>Belgium</x:v>
      </x:c>
      <x:c r="D160" s="11" t="n">
        <x:v>1914.23</x:v>
      </x:c>
      <x:c r="E160" s="11" t="n">
        <x:v>0</x:v>
      </x:c>
      <x:c r="F160" s="2" t="n">
        <x:v>7</x:v>
      </x:c>
      <x:c r="G160" s="2"/>
      <x:c r="H160" s="2"/>
      <x:c r="I160" s="2"/>
      <x:c r="J160" s="2"/>
      <x:c r="K160" s="2"/>
      <x:c r="L160" s="2"/>
      <x:c r="M160" s="2"/>
      <x:c r="N160" s="2"/>
      <x:c r="O160" s="2"/>
      <x:c r="P160" s="2"/>
    </x:row>
    <x:row r="161" ht="22" customHeight="1">
      <x:c r="A161" s="12" t="n">
        <x:v>40360</x:v>
      </x:c>
      <x:c r="B161" s="2" t="str">
        <x:v>2010-07</x:v>
      </x:c>
      <x:c r="C161" s="2" t="str">
        <x:v>Channel Islands</x:v>
      </x:c>
      <x:c r="D161" s="11" t="n">
        <x:v>0</x:v>
      </x:c>
      <x:c r="E161" s="11" t="n">
        <x:v>33</x:v>
      </x:c>
      <x:c r="F161" s="2" t="n">
        <x:v>0</x:v>
      </x:c>
      <x:c r="G161" s="2"/>
      <x:c r="H161" s="2"/>
      <x:c r="I161" s="2"/>
      <x:c r="J161" s="2"/>
      <x:c r="K161" s="2"/>
      <x:c r="L161" s="2"/>
      <x:c r="M161" s="2"/>
      <x:c r="N161" s="2"/>
      <x:c r="O161" s="2"/>
      <x:c r="P161" s="2"/>
    </x:row>
    <x:row r="162" ht="22" customHeight="1">
      <x:c r="A162" s="12" t="n">
        <x:v>40360</x:v>
      </x:c>
      <x:c r="B162" s="2" t="str">
        <x:v>2010-07</x:v>
      </x:c>
      <x:c r="C162" s="2" t="str">
        <x:v>Denmark</x:v>
      </x:c>
      <x:c r="D162" s="11" t="n">
        <x:v>591.6600000000001</x:v>
      </x:c>
      <x:c r="E162" s="11" t="n">
        <x:v>0</x:v>
      </x:c>
      <x:c r="F162" s="2" t="n">
        <x:v>1</x:v>
      </x:c>
      <x:c r="G162" s="2"/>
      <x:c r="H162" s="2"/>
      <x:c r="I162" s="2"/>
      <x:c r="J162" s="2"/>
      <x:c r="K162" s="2"/>
      <x:c r="L162" s="2"/>
      <x:c r="M162" s="2"/>
      <x:c r="N162" s="2"/>
      <x:c r="O162" s="2"/>
      <x:c r="P162" s="2"/>
    </x:row>
    <x:row r="163" ht="22" customHeight="1">
      <x:c r="A163" s="12" t="n">
        <x:v>40360</x:v>
      </x:c>
      <x:c r="B163" s="2" t="str">
        <x:v>2010-07</x:v>
      </x:c>
      <x:c r="C163" s="2" t="str">
        <x:v>EIRE</x:v>
      </x:c>
      <x:c r="D163" s="11" t="n">
        <x:v>35722.32</x:v>
      </x:c>
      <x:c r="E163" s="11" t="n">
        <x:v>1826.8</x:v>
      </x:c>
      <x:c r="F163" s="2" t="n">
        <x:v>28</x:v>
      </x:c>
      <x:c r="G163" s="2"/>
      <x:c r="H163" s="2"/>
      <x:c r="I163" s="2"/>
      <x:c r="J163" s="2"/>
      <x:c r="K163" s="2"/>
      <x:c r="L163" s="2"/>
      <x:c r="M163" s="2"/>
      <x:c r="N163" s="2"/>
      <x:c r="O163" s="2"/>
      <x:c r="P163" s="2"/>
    </x:row>
    <x:row r="164" ht="22" customHeight="1">
      <x:c r="A164" s="12" t="n">
        <x:v>40360</x:v>
      </x:c>
      <x:c r="B164" s="2" t="str">
        <x:v>2010-07</x:v>
      </x:c>
      <x:c r="C164" s="2" t="str">
        <x:v>Finland</x:v>
      </x:c>
      <x:c r="D164" s="11" t="n">
        <x:v>956.23</x:v>
      </x:c>
      <x:c r="E164" s="11" t="n">
        <x:v>0</x:v>
      </x:c>
      <x:c r="F164" s="2" t="n">
        <x:v>2</x:v>
      </x:c>
      <x:c r="G164" s="2"/>
      <x:c r="H164" s="2"/>
      <x:c r="I164" s="2"/>
      <x:c r="J164" s="2"/>
      <x:c r="K164" s="2"/>
      <x:c r="L164" s="2"/>
      <x:c r="M164" s="2"/>
      <x:c r="N164" s="2"/>
      <x:c r="O164" s="2"/>
      <x:c r="P164" s="2"/>
    </x:row>
    <x:row r="165" ht="22" customHeight="1">
      <x:c r="A165" s="12" t="n">
        <x:v>40360</x:v>
      </x:c>
      <x:c r="B165" s="2" t="str">
        <x:v>2010-07</x:v>
      </x:c>
      <x:c r="C165" s="2" t="str">
        <x:v>France</x:v>
      </x:c>
      <x:c r="D165" s="11" t="n">
        <x:v>11546.64</x:v>
      </x:c>
      <x:c r="E165" s="11" t="n">
        <x:v>32.4</x:v>
      </x:c>
      <x:c r="F165" s="2" t="n">
        <x:v>18</x:v>
      </x:c>
      <x:c r="G165" s="2"/>
      <x:c r="H165" s="2"/>
      <x:c r="I165" s="2"/>
      <x:c r="J165" s="2"/>
      <x:c r="K165" s="2"/>
      <x:c r="L165" s="2"/>
      <x:c r="M165" s="2"/>
      <x:c r="N165" s="2"/>
      <x:c r="O165" s="2"/>
      <x:c r="P165" s="2"/>
    </x:row>
    <x:row r="166" ht="22" customHeight="1">
      <x:c r="A166" s="12" t="n">
        <x:v>40360</x:v>
      </x:c>
      <x:c r="B166" s="2" t="str">
        <x:v>2010-07</x:v>
      </x:c>
      <x:c r="C166" s="2" t="str">
        <x:v>Germany</x:v>
      </x:c>
      <x:c r="D166" s="11" t="n">
        <x:v>20274.29</x:v>
      </x:c>
      <x:c r="E166" s="11" t="n">
        <x:v>1689.1399999999999</x:v>
      </x:c>
      <x:c r="F166" s="2" t="n">
        <x:v>26</x:v>
      </x:c>
      <x:c r="G166" s="2"/>
      <x:c r="H166" s="2"/>
      <x:c r="I166" s="2"/>
      <x:c r="J166" s="2"/>
      <x:c r="K166" s="2"/>
      <x:c r="L166" s="2"/>
      <x:c r="M166" s="2"/>
      <x:c r="N166" s="2"/>
      <x:c r="O166" s="2"/>
      <x:c r="P166" s="2"/>
    </x:row>
    <x:row r="167" ht="22" customHeight="1">
      <x:c r="A167" s="12" t="n">
        <x:v>40360</x:v>
      </x:c>
      <x:c r="B167" s="2" t="str">
        <x:v>2010-07</x:v>
      </x:c>
      <x:c r="C167" s="2" t="str">
        <x:v>Israel</x:v>
      </x:c>
      <x:c r="D167" s="11" t="n">
        <x:v>1950.98</x:v>
      </x:c>
      <x:c r="E167" s="11" t="n">
        <x:v>0</x:v>
      </x:c>
      <x:c r="F167" s="2" t="n">
        <x:v>1</x:v>
      </x:c>
      <x:c r="G167" s="2"/>
      <x:c r="H167" s="2"/>
      <x:c r="I167" s="2"/>
      <x:c r="J167" s="2"/>
      <x:c r="K167" s="2"/>
      <x:c r="L167" s="2"/>
      <x:c r="M167" s="2"/>
      <x:c r="N167" s="2"/>
      <x:c r="O167" s="2"/>
      <x:c r="P167" s="2"/>
    </x:row>
    <x:row r="168" ht="22" customHeight="1">
      <x:c r="A168" s="12" t="n">
        <x:v>40360</x:v>
      </x:c>
      <x:c r="B168" s="2" t="str">
        <x:v>2010-07</x:v>
      </x:c>
      <x:c r="C168" s="2" t="str">
        <x:v>Japan</x:v>
      </x:c>
      <x:c r="D168" s="11" t="n">
        <x:v>1253.3</x:v>
      </x:c>
      <x:c r="E168" s="11" t="n">
        <x:v>635.8</x:v>
      </x:c>
      <x:c r="F168" s="2" t="n">
        <x:v>3</x:v>
      </x:c>
      <x:c r="G168" s="2"/>
      <x:c r="H168" s="2"/>
      <x:c r="I168" s="2"/>
      <x:c r="J168" s="2"/>
      <x:c r="K168" s="2"/>
      <x:c r="L168" s="2"/>
      <x:c r="M168" s="2"/>
      <x:c r="N168" s="2"/>
      <x:c r="O168" s="2"/>
      <x:c r="P168" s="2"/>
    </x:row>
    <x:row r="169" ht="22" customHeight="1">
      <x:c r="A169" s="12" t="n">
        <x:v>40360</x:v>
      </x:c>
      <x:c r="B169" s="2" t="str">
        <x:v>2010-07</x:v>
      </x:c>
      <x:c r="C169" s="2" t="str">
        <x:v>Lithuania</x:v>
      </x:c>
      <x:c r="D169" s="11" t="n">
        <x:v>1706.23</x:v>
      </x:c>
      <x:c r="E169" s="11" t="n">
        <x:v>0</x:v>
      </x:c>
      <x:c r="F169" s="2" t="n">
        <x:v>1</x:v>
      </x:c>
      <x:c r="G169" s="2"/>
      <x:c r="H169" s="2"/>
      <x:c r="I169" s="2"/>
      <x:c r="J169" s="2"/>
      <x:c r="K169" s="2"/>
      <x:c r="L169" s="2"/>
      <x:c r="M169" s="2"/>
      <x:c r="N169" s="2"/>
      <x:c r="O169" s="2"/>
      <x:c r="P169" s="2"/>
    </x:row>
    <x:row r="170" ht="22" customHeight="1">
      <x:c r="A170" s="12" t="n">
        <x:v>40360</x:v>
      </x:c>
      <x:c r="B170" s="2" t="str">
        <x:v>2010-07</x:v>
      </x:c>
      <x:c r="C170" s="2" t="str">
        <x:v>Netherlands</x:v>
      </x:c>
      <x:c r="D170" s="11" t="n">
        <x:v>5534.29</x:v>
      </x:c>
      <x:c r="E170" s="11" t="n">
        <x:v>0</x:v>
      </x:c>
      <x:c r="F170" s="2" t="n">
        <x:v>10</x:v>
      </x:c>
      <x:c r="G170" s="2"/>
      <x:c r="H170" s="2"/>
      <x:c r="I170" s="2"/>
      <x:c r="J170" s="2"/>
      <x:c r="K170" s="2"/>
      <x:c r="L170" s="2"/>
      <x:c r="M170" s="2"/>
      <x:c r="N170" s="2"/>
      <x:c r="O170" s="2"/>
      <x:c r="P170" s="2"/>
    </x:row>
    <x:row r="171" ht="22" customHeight="1">
      <x:c r="A171" s="12" t="n">
        <x:v>40360</x:v>
      </x:c>
      <x:c r="B171" s="2" t="str">
        <x:v>2010-07</x:v>
      </x:c>
      <x:c r="C171" s="2" t="str">
        <x:v>Poland</x:v>
      </x:c>
      <x:c r="D171" s="11" t="n">
        <x:v>374.75</x:v>
      </x:c>
      <x:c r="E171" s="11" t="n">
        <x:v>33.75</x:v>
      </x:c>
      <x:c r="F171" s="2" t="n">
        <x:v>1</x:v>
      </x:c>
      <x:c r="G171" s="2"/>
      <x:c r="H171" s="2"/>
      <x:c r="I171" s="2"/>
      <x:c r="J171" s="2"/>
      <x:c r="K171" s="2"/>
      <x:c r="L171" s="2"/>
      <x:c r="M171" s="2"/>
      <x:c r="N171" s="2"/>
      <x:c r="O171" s="2"/>
      <x:c r="P171" s="2"/>
    </x:row>
    <x:row r="172" ht="22" customHeight="1">
      <x:c r="A172" s="12" t="n">
        <x:v>40360</x:v>
      </x:c>
      <x:c r="B172" s="2" t="str">
        <x:v>2010-07</x:v>
      </x:c>
      <x:c r="C172" s="2" t="str">
        <x:v>Portugal</x:v>
      </x:c>
      <x:c r="D172" s="11" t="n">
        <x:v>288.1</x:v>
      </x:c>
      <x:c r="E172" s="11" t="n">
        <x:v>0</x:v>
      </x:c>
      <x:c r="F172" s="2" t="n">
        <x:v>1</x:v>
      </x:c>
      <x:c r="G172" s="2"/>
      <x:c r="H172" s="2"/>
      <x:c r="I172" s="2"/>
      <x:c r="J172" s="2"/>
      <x:c r="K172" s="2"/>
      <x:c r="L172" s="2"/>
      <x:c r="M172" s="2"/>
      <x:c r="N172" s="2"/>
      <x:c r="O172" s="2"/>
      <x:c r="P172" s="2"/>
    </x:row>
    <x:row r="173" ht="22" customHeight="1">
      <x:c r="A173" s="12" t="n">
        <x:v>40360</x:v>
      </x:c>
      <x:c r="B173" s="2" t="str">
        <x:v>2010-07</x:v>
      </x:c>
      <x:c r="C173" s="2" t="str">
        <x:v>Spain</x:v>
      </x:c>
      <x:c r="D173" s="11" t="n">
        <x:v>1134.81</x:v>
      </x:c>
      <x:c r="E173" s="11" t="n">
        <x:v>5</x:v>
      </x:c>
      <x:c r="F173" s="2" t="n">
        <x:v>3</x:v>
      </x:c>
      <x:c r="G173" s="2"/>
      <x:c r="H173" s="2"/>
      <x:c r="I173" s="2"/>
      <x:c r="J173" s="2"/>
      <x:c r="K173" s="2"/>
      <x:c r="L173" s="2"/>
      <x:c r="M173" s="2"/>
      <x:c r="N173" s="2"/>
      <x:c r="O173" s="2"/>
      <x:c r="P173" s="2"/>
    </x:row>
    <x:row r="174" ht="22" customHeight="1">
      <x:c r="A174" s="12" t="n">
        <x:v>40360</x:v>
      </x:c>
      <x:c r="B174" s="2" t="str">
        <x:v>2010-07</x:v>
      </x:c>
      <x:c r="C174" s="2" t="str">
        <x:v>Sweden</x:v>
      </x:c>
      <x:c r="D174" s="11" t="n">
        <x:v>2590.78</x:v>
      </x:c>
      <x:c r="E174" s="11" t="n">
        <x:v>100.8</x:v>
      </x:c>
      <x:c r="F174" s="2" t="n">
        <x:v>2</x:v>
      </x:c>
      <x:c r="G174" s="2"/>
      <x:c r="H174" s="2"/>
      <x:c r="I174" s="2"/>
      <x:c r="J174" s="2"/>
      <x:c r="K174" s="2"/>
      <x:c r="L174" s="2"/>
      <x:c r="M174" s="2"/>
      <x:c r="N174" s="2"/>
      <x:c r="O174" s="2"/>
      <x:c r="P174" s="2"/>
    </x:row>
    <x:row r="175" ht="22" customHeight="1">
      <x:c r="A175" s="12" t="n">
        <x:v>40360</x:v>
      </x:c>
      <x:c r="B175" s="2" t="str">
        <x:v>2010-07</x:v>
      </x:c>
      <x:c r="C175" s="2" t="str">
        <x:v>Switzerland</x:v>
      </x:c>
      <x:c r="D175" s="11" t="n">
        <x:v>743.99</x:v>
      </x:c>
      <x:c r="E175" s="11" t="n">
        <x:v>177.23</x:v>
      </x:c>
      <x:c r="F175" s="2" t="n">
        <x:v>5</x:v>
      </x:c>
      <x:c r="G175" s="2"/>
      <x:c r="H175" s="2"/>
      <x:c r="I175" s="2"/>
      <x:c r="J175" s="2"/>
      <x:c r="K175" s="2"/>
      <x:c r="L175" s="2"/>
      <x:c r="M175" s="2"/>
      <x:c r="N175" s="2"/>
      <x:c r="O175" s="2"/>
      <x:c r="P175" s="2"/>
    </x:row>
    <x:row r="176" ht="22" customHeight="1">
      <x:c r="A176" s="12" t="n">
        <x:v>40360</x:v>
      </x:c>
      <x:c r="B176" s="2" t="str">
        <x:v>2010-07</x:v>
      </x:c>
      <x:c r="C176" s="2" t="str">
        <x:v>Thailand</x:v>
      </x:c>
      <x:c r="D176" s="11" t="n">
        <x:v>1113.7</x:v>
      </x:c>
      <x:c r="E176" s="11" t="n">
        <x:v>0</x:v>
      </x:c>
      <x:c r="F176" s="2" t="n">
        <x:v>1</x:v>
      </x:c>
      <x:c r="G176" s="2"/>
      <x:c r="H176" s="2"/>
      <x:c r="I176" s="2"/>
      <x:c r="J176" s="2"/>
      <x:c r="K176" s="2"/>
      <x:c r="L176" s="2"/>
      <x:c r="M176" s="2"/>
      <x:c r="N176" s="2"/>
      <x:c r="O176" s="2"/>
      <x:c r="P176" s="2"/>
    </x:row>
    <x:row r="177" ht="22" customHeight="1">
      <x:c r="A177" s="12" t="n">
        <x:v>40360</x:v>
      </x:c>
      <x:c r="B177" s="2" t="str">
        <x:v>2010-07</x:v>
      </x:c>
      <x:c r="C177" s="2" t="str">
        <x:v>USA</x:v>
      </x:c>
      <x:c r="D177" s="11" t="n">
        <x:v>508.1</x:v>
      </x:c>
      <x:c r="E177" s="11" t="n">
        <x:v>23.85</x:v>
      </x:c>
      <x:c r="F177" s="2" t="n">
        <x:v>1</x:v>
      </x:c>
      <x:c r="G177" s="2"/>
      <x:c r="H177" s="2"/>
      <x:c r="I177" s="2"/>
      <x:c r="J177" s="2"/>
      <x:c r="K177" s="2"/>
      <x:c r="L177" s="2"/>
      <x:c r="M177" s="2"/>
      <x:c r="N177" s="2"/>
      <x:c r="O177" s="2"/>
      <x:c r="P177" s="2"/>
    </x:row>
    <x:row r="178" ht="22" customHeight="1">
      <x:c r="A178" s="12" t="n">
        <x:v>40360</x:v>
      </x:c>
      <x:c r="B178" s="2" t="str">
        <x:v>2010-07</x:v>
      </x:c>
      <x:c r="C178" s="2" t="str">
        <x:v>United Kingdom</x:v>
      </x:c>
      <x:c r="D178" s="11" t="n">
        <x:v>559442.54</x:v>
      </x:c>
      <x:c r="E178" s="11" t="n">
        <x:v>25644.58</x:v>
      </x:c>
      <x:c r="F178" s="2" t="n">
        <x:v>1413</x:v>
      </x:c>
      <x:c r="G178" s="2"/>
      <x:c r="H178" s="2"/>
      <x:c r="I178" s="2"/>
      <x:c r="J178" s="2"/>
      <x:c r="K178" s="2"/>
      <x:c r="L178" s="2"/>
      <x:c r="M178" s="2"/>
      <x:c r="N178" s="2"/>
      <x:c r="O178" s="2"/>
      <x:c r="P178" s="2"/>
    </x:row>
    <x:row r="179" ht="22" customHeight="1">
      <x:c r="A179" s="12" t="n">
        <x:v>40360</x:v>
      </x:c>
      <x:c r="B179" s="2" t="str">
        <x:v>2010-07</x:v>
      </x:c>
      <x:c r="C179" s="2" t="str">
        <x:v>Unspecified</x:v>
      </x:c>
      <x:c r="D179" s="11" t="n">
        <x:v>2379.88</x:v>
      </x:c>
      <x:c r="E179" s="11" t="n">
        <x:v>1189.94</x:v>
      </x:c>
      <x:c r="F179" s="2" t="n">
        <x:v>2</x:v>
      </x:c>
      <x:c r="G179" s="2"/>
      <x:c r="H179" s="2"/>
      <x:c r="I179" s="2"/>
      <x:c r="J179" s="2"/>
      <x:c r="K179" s="2"/>
      <x:c r="L179" s="2"/>
      <x:c r="M179" s="2"/>
      <x:c r="N179" s="2"/>
      <x:c r="O179" s="2"/>
      <x:c r="P179" s="2"/>
    </x:row>
    <x:row r="180" ht="22" customHeight="1">
      <x:c r="A180" s="12" t="n">
        <x:v>40391</x:v>
      </x:c>
      <x:c r="B180" s="2" t="str">
        <x:v>2010-08</x:v>
      </x:c>
      <x:c r="C180" s="2" t="str">
        <x:v>Australia</x:v>
      </x:c>
      <x:c r="D180" s="11" t="n">
        <x:v>176</x:v>
      </x:c>
      <x:c r="E180" s="11" t="n">
        <x:v>0</x:v>
      </x:c>
      <x:c r="F180" s="2" t="n">
        <x:v>1</x:v>
      </x:c>
      <x:c r="G180" s="2"/>
      <x:c r="H180" s="2"/>
      <x:c r="I180" s="2"/>
      <x:c r="J180" s="2"/>
      <x:c r="K180" s="2"/>
      <x:c r="L180" s="2"/>
      <x:c r="M180" s="2"/>
      <x:c r="N180" s="2"/>
      <x:c r="O180" s="2"/>
      <x:c r="P180" s="2"/>
    </x:row>
    <x:row r="181" ht="22" customHeight="1">
      <x:c r="A181" s="12" t="n">
        <x:v>40391</x:v>
      </x:c>
      <x:c r="B181" s="2" t="str">
        <x:v>2010-08</x:v>
      </x:c>
      <x:c r="C181" s="2" t="str">
        <x:v>Austria</x:v>
      </x:c>
      <x:c r="D181" s="11" t="n">
        <x:v>1043.15</x:v>
      </x:c>
      <x:c r="E181" s="11" t="n">
        <x:v>0</x:v>
      </x:c>
      <x:c r="F181" s="2" t="n">
        <x:v>1</x:v>
      </x:c>
      <x:c r="G181" s="2"/>
      <x:c r="H181" s="2"/>
      <x:c r="I181" s="2"/>
      <x:c r="J181" s="2"/>
      <x:c r="K181" s="2"/>
      <x:c r="L181" s="2"/>
      <x:c r="M181" s="2"/>
      <x:c r="N181" s="2"/>
      <x:c r="O181" s="2"/>
      <x:c r="P181" s="2"/>
    </x:row>
    <x:row r="182" ht="22" customHeight="1">
      <x:c r="A182" s="12" t="n">
        <x:v>40391</x:v>
      </x:c>
      <x:c r="B182" s="2" t="str">
        <x:v>2010-08</x:v>
      </x:c>
      <x:c r="C182" s="2" t="str">
        <x:v>Belgium</x:v>
      </x:c>
      <x:c r="D182" s="11" t="n">
        <x:v>1713.62</x:v>
      </x:c>
      <x:c r="E182" s="11" t="n">
        <x:v>0</x:v>
      </x:c>
      <x:c r="F182" s="2" t="n">
        <x:v>3</x:v>
      </x:c>
      <x:c r="G182" s="2"/>
      <x:c r="H182" s="2"/>
      <x:c r="I182" s="2"/>
      <x:c r="J182" s="2"/>
      <x:c r="K182" s="2"/>
      <x:c r="L182" s="2"/>
      <x:c r="M182" s="2"/>
      <x:c r="N182" s="2"/>
      <x:c r="O182" s="2"/>
      <x:c r="P182" s="2"/>
    </x:row>
    <x:row r="183" ht="22" customHeight="1">
      <x:c r="A183" s="12" t="n">
        <x:v>40391</x:v>
      </x:c>
      <x:c r="B183" s="2" t="str">
        <x:v>2010-08</x:v>
      </x:c>
      <x:c r="C183" s="2" t="str">
        <x:v>Channel Islands</x:v>
      </x:c>
      <x:c r="D183" s="11" t="n">
        <x:v>1363.14</x:v>
      </x:c>
      <x:c r="E183" s="11" t="n">
        <x:v>0</x:v>
      </x:c>
      <x:c r="F183" s="2" t="n">
        <x:v>2</x:v>
      </x:c>
      <x:c r="G183" s="2"/>
      <x:c r="H183" s="2"/>
      <x:c r="I183" s="2"/>
      <x:c r="J183" s="2"/>
      <x:c r="K183" s="2"/>
      <x:c r="L183" s="2"/>
      <x:c r="M183" s="2"/>
      <x:c r="N183" s="2"/>
      <x:c r="O183" s="2"/>
      <x:c r="P183" s="2"/>
    </x:row>
    <x:row r="184" ht="22" customHeight="1">
      <x:c r="A184" s="12" t="n">
        <x:v>40391</x:v>
      </x:c>
      <x:c r="B184" s="2" t="str">
        <x:v>2010-08</x:v>
      </x:c>
      <x:c r="C184" s="2" t="str">
        <x:v>Denmark</x:v>
      </x:c>
      <x:c r="D184" s="11" t="n">
        <x:v>2643.03</x:v>
      </x:c>
      <x:c r="E184" s="11" t="n">
        <x:v>10</x:v>
      </x:c>
      <x:c r="F184" s="2" t="n">
        <x:v>3</x:v>
      </x:c>
      <x:c r="G184" s="2"/>
      <x:c r="H184" s="2"/>
      <x:c r="I184" s="2"/>
      <x:c r="J184" s="2"/>
      <x:c r="K184" s="2"/>
      <x:c r="L184" s="2"/>
      <x:c r="M184" s="2"/>
      <x:c r="N184" s="2"/>
      <x:c r="O184" s="2"/>
      <x:c r="P184" s="2"/>
    </x:row>
    <x:row r="185" ht="22" customHeight="1">
      <x:c r="A185" s="12" t="n">
        <x:v>40391</x:v>
      </x:c>
      <x:c r="B185" s="2" t="str">
        <x:v>2010-08</x:v>
      </x:c>
      <x:c r="C185" s="2" t="str">
        <x:v>EIRE</x:v>
      </x:c>
      <x:c r="D185" s="11" t="n">
        <x:v>26005.71</x:v>
      </x:c>
      <x:c r="E185" s="11" t="n">
        <x:v>286.51</x:v>
      </x:c>
      <x:c r="F185" s="2" t="n">
        <x:v>27</x:v>
      </x:c>
      <x:c r="G185" s="2"/>
      <x:c r="H185" s="2"/>
      <x:c r="I185" s="2"/>
      <x:c r="J185" s="2"/>
      <x:c r="K185" s="2"/>
      <x:c r="L185" s="2"/>
      <x:c r="M185" s="2"/>
      <x:c r="N185" s="2"/>
      <x:c r="O185" s="2"/>
      <x:c r="P185" s="2"/>
    </x:row>
    <x:row r="186" ht="22" customHeight="1">
      <x:c r="A186" s="12" t="n">
        <x:v>40391</x:v>
      </x:c>
      <x:c r="B186" s="2" t="str">
        <x:v>2010-08</x:v>
      </x:c>
      <x:c r="C186" s="2" t="str">
        <x:v>France</x:v>
      </x:c>
      <x:c r="D186" s="11" t="n">
        <x:v>16570.32</x:v>
      </x:c>
      <x:c r="E186" s="11" t="n">
        <x:v>421.4</x:v>
      </x:c>
      <x:c r="F186" s="2" t="n">
        <x:v>10</x:v>
      </x:c>
      <x:c r="G186" s="2"/>
      <x:c r="H186" s="2"/>
      <x:c r="I186" s="2"/>
      <x:c r="J186" s="2"/>
      <x:c r="K186" s="2"/>
      <x:c r="L186" s="2"/>
      <x:c r="M186" s="2"/>
      <x:c r="N186" s="2"/>
      <x:c r="O186" s="2"/>
      <x:c r="P186" s="2"/>
    </x:row>
    <x:row r="187" ht="22" customHeight="1">
      <x:c r="A187" s="12" t="n">
        <x:v>40391</x:v>
      </x:c>
      <x:c r="B187" s="2" t="str">
        <x:v>2010-08</x:v>
      </x:c>
      <x:c r="C187" s="2" t="str">
        <x:v>Germany</x:v>
      </x:c>
      <x:c r="D187" s="11" t="n">
        <x:v>9943.119999999999</x:v>
      </x:c>
      <x:c r="E187" s="11" t="n">
        <x:v>171.05</x:v>
      </x:c>
      <x:c r="F187" s="2" t="n">
        <x:v>24</x:v>
      </x:c>
      <x:c r="G187" s="2"/>
      <x:c r="H187" s="2"/>
      <x:c r="I187" s="2"/>
      <x:c r="J187" s="2"/>
      <x:c r="K187" s="2"/>
      <x:c r="L187" s="2"/>
      <x:c r="M187" s="2"/>
      <x:c r="N187" s="2"/>
      <x:c r="O187" s="2"/>
      <x:c r="P187" s="2"/>
    </x:row>
    <x:row r="188" ht="22" customHeight="1">
      <x:c r="A188" s="12" t="n">
        <x:v>40391</x:v>
      </x:c>
      <x:c r="B188" s="2" t="str">
        <x:v>2010-08</x:v>
      </x:c>
      <x:c r="C188" s="2" t="str">
        <x:v>Greece</x:v>
      </x:c>
      <x:c r="D188" s="11" t="n">
        <x:v>721.7099999999999</x:v>
      </x:c>
      <x:c r="E188" s="11" t="n">
        <x:v>0</x:v>
      </x:c>
      <x:c r="F188" s="2" t="n">
        <x:v>1</x:v>
      </x:c>
      <x:c r="G188" s="2"/>
      <x:c r="H188" s="2"/>
      <x:c r="I188" s="2"/>
      <x:c r="J188" s="2"/>
      <x:c r="K188" s="2"/>
      <x:c r="L188" s="2"/>
      <x:c r="M188" s="2"/>
      <x:c r="N188" s="2"/>
      <x:c r="O188" s="2"/>
      <x:c r="P188" s="2"/>
    </x:row>
    <x:row r="189" ht="22" customHeight="1">
      <x:c r="A189" s="12" t="n">
        <x:v>40391</x:v>
      </x:c>
      <x:c r="B189" s="2" t="str">
        <x:v>2010-08</x:v>
      </x:c>
      <x:c r="C189" s="2" t="str">
        <x:v>Hong Kong</x:v>
      </x:c>
      <x:c r="D189" s="11" t="n">
        <x:v>1883.65</x:v>
      </x:c>
      <x:c r="E189" s="11" t="n">
        <x:v>1883.65</x:v>
      </x:c>
      <x:c r="F189" s="2" t="n">
        <x:v>1</x:v>
      </x:c>
      <x:c r="G189" s="2"/>
      <x:c r="H189" s="2"/>
      <x:c r="I189" s="2"/>
      <x:c r="J189" s="2"/>
      <x:c r="K189" s="2"/>
      <x:c r="L189" s="2"/>
      <x:c r="M189" s="2"/>
      <x:c r="N189" s="2"/>
      <x:c r="O189" s="2"/>
      <x:c r="P189" s="2"/>
    </x:row>
    <x:row r="190" ht="22" customHeight="1">
      <x:c r="A190" s="12" t="n">
        <x:v>40391</x:v>
      </x:c>
      <x:c r="B190" s="2" t="str">
        <x:v>2010-08</x:v>
      </x:c>
      <x:c r="C190" s="2" t="str">
        <x:v>Japan</x:v>
      </x:c>
      <x:c r="D190" s="11" t="n">
        <x:v>0</x:v>
      </x:c>
      <x:c r="E190" s="11" t="n">
        <x:v>3.25</x:v>
      </x:c>
      <x:c r="F190" s="2" t="n">
        <x:v>0</x:v>
      </x:c>
      <x:c r="G190" s="2"/>
      <x:c r="H190" s="2"/>
      <x:c r="I190" s="2"/>
      <x:c r="J190" s="2"/>
      <x:c r="K190" s="2"/>
      <x:c r="L190" s="2"/>
      <x:c r="M190" s="2"/>
      <x:c r="N190" s="2"/>
      <x:c r="O190" s="2"/>
      <x:c r="P190" s="2"/>
    </x:row>
    <x:row r="191" ht="22" customHeight="1">
      <x:c r="A191" s="12" t="n">
        <x:v>40391</x:v>
      </x:c>
      <x:c r="B191" s="2" t="str">
        <x:v>2010-08</x:v>
      </x:c>
      <x:c r="C191" s="2" t="str">
        <x:v>Malta</x:v>
      </x:c>
      <x:c r="D191" s="11" t="n">
        <x:v>3737.12</x:v>
      </x:c>
      <x:c r="E191" s="11" t="n">
        <x:v>1868.56</x:v>
      </x:c>
      <x:c r="F191" s="2" t="n">
        <x:v>2</x:v>
      </x:c>
      <x:c r="G191" s="2"/>
      <x:c r="H191" s="2"/>
      <x:c r="I191" s="2"/>
      <x:c r="J191" s="2"/>
      <x:c r="K191" s="2"/>
      <x:c r="L191" s="2"/>
      <x:c r="M191" s="2"/>
      <x:c r="N191" s="2"/>
      <x:c r="O191" s="2"/>
      <x:c r="P191" s="2"/>
    </x:row>
    <x:row r="192" ht="22" customHeight="1">
      <x:c r="A192" s="12" t="n">
        <x:v>40391</x:v>
      </x:c>
      <x:c r="B192" s="2" t="str">
        <x:v>2010-08</x:v>
      </x:c>
      <x:c r="C192" s="2" t="str">
        <x:v>Netherlands</x:v>
      </x:c>
      <x:c r="D192" s="11" t="n">
        <x:v>25028.69</x:v>
      </x:c>
      <x:c r="E192" s="11" t="n">
        <x:v>226.2</x:v>
      </x:c>
      <x:c r="F192" s="2" t="n">
        <x:v>10</x:v>
      </x:c>
      <x:c r="G192" s="2"/>
      <x:c r="H192" s="2"/>
      <x:c r="I192" s="2"/>
      <x:c r="J192" s="2"/>
      <x:c r="K192" s="2"/>
      <x:c r="L192" s="2"/>
      <x:c r="M192" s="2"/>
      <x:c r="N192" s="2"/>
      <x:c r="O192" s="2"/>
      <x:c r="P192" s="2"/>
    </x:row>
    <x:row r="193" ht="22" customHeight="1">
      <x:c r="A193" s="12" t="n">
        <x:v>40391</x:v>
      </x:c>
      <x:c r="B193" s="2" t="str">
        <x:v>2010-08</x:v>
      </x:c>
      <x:c r="C193" s="2" t="str">
        <x:v>Nigeria</x:v>
      </x:c>
      <x:c r="D193" s="11" t="n">
        <x:v>112.57000000000001</x:v>
      </x:c>
      <x:c r="E193" s="11" t="n">
        <x:v>0</x:v>
      </x:c>
      <x:c r="F193" s="2" t="n">
        <x:v>1</x:v>
      </x:c>
      <x:c r="G193" s="2"/>
      <x:c r="H193" s="2"/>
      <x:c r="I193" s="2"/>
      <x:c r="J193" s="2"/>
      <x:c r="K193" s="2"/>
      <x:c r="L193" s="2"/>
      <x:c r="M193" s="2"/>
      <x:c r="N193" s="2"/>
      <x:c r="O193" s="2"/>
      <x:c r="P193" s="2"/>
    </x:row>
    <x:row r="194" ht="22" customHeight="1">
      <x:c r="A194" s="12" t="n">
        <x:v>40391</x:v>
      </x:c>
      <x:c r="B194" s="2" t="str">
        <x:v>2010-08</x:v>
      </x:c>
      <x:c r="C194" s="2" t="str">
        <x:v>Norway</x:v>
      </x:c>
      <x:c r="D194" s="11" t="n">
        <x:v>152.4</x:v>
      </x:c>
      <x:c r="E194" s="11" t="n">
        <x:v>152.4</x:v>
      </x:c>
      <x:c r="F194" s="2" t="n">
        <x:v>1</x:v>
      </x:c>
      <x:c r="G194" s="2"/>
      <x:c r="H194" s="2"/>
      <x:c r="I194" s="2"/>
      <x:c r="J194" s="2"/>
      <x:c r="K194" s="2"/>
      <x:c r="L194" s="2"/>
      <x:c r="M194" s="2"/>
      <x:c r="N194" s="2"/>
      <x:c r="O194" s="2"/>
      <x:c r="P194" s="2"/>
    </x:row>
    <x:row r="195" ht="22" customHeight="1">
      <x:c r="A195" s="12" t="n">
        <x:v>40391</x:v>
      </x:c>
      <x:c r="B195" s="2" t="str">
        <x:v>2010-08</x:v>
      </x:c>
      <x:c r="C195" s="2" t="str">
        <x:v>Poland</x:v>
      </x:c>
      <x:c r="D195" s="11" t="n">
        <x:v>527.4399999999999</x:v>
      </x:c>
      <x:c r="E195" s="11" t="n">
        <x:v>0</x:v>
      </x:c>
      <x:c r="F195" s="2" t="n">
        <x:v>1</x:v>
      </x:c>
      <x:c r="G195" s="2"/>
      <x:c r="H195" s="2"/>
      <x:c r="I195" s="2"/>
      <x:c r="J195" s="2"/>
      <x:c r="K195" s="2"/>
      <x:c r="L195" s="2"/>
      <x:c r="M195" s="2"/>
      <x:c r="N195" s="2"/>
      <x:c r="O195" s="2"/>
      <x:c r="P195" s="2"/>
    </x:row>
    <x:row r="196" ht="22" customHeight="1">
      <x:c r="A196" s="12" t="n">
        <x:v>40391</x:v>
      </x:c>
      <x:c r="B196" s="2" t="str">
        <x:v>2010-08</x:v>
      </x:c>
      <x:c r="C196" s="2" t="str">
        <x:v>Portugal</x:v>
      </x:c>
      <x:c r="D196" s="11" t="n">
        <x:v>463.21999999999997</x:v>
      </x:c>
      <x:c r="E196" s="11" t="n">
        <x:v>0</x:v>
      </x:c>
      <x:c r="F196" s="2" t="n">
        <x:v>2</x:v>
      </x:c>
      <x:c r="G196" s="2"/>
      <x:c r="H196" s="2"/>
      <x:c r="I196" s="2"/>
      <x:c r="J196" s="2"/>
      <x:c r="K196" s="2"/>
      <x:c r="L196" s="2"/>
      <x:c r="M196" s="2"/>
      <x:c r="N196" s="2"/>
      <x:c r="O196" s="2"/>
      <x:c r="P196" s="2"/>
    </x:row>
    <x:row r="197" ht="22" customHeight="1">
      <x:c r="A197" s="12" t="n">
        <x:v>40391</x:v>
      </x:c>
      <x:c r="B197" s="2" t="str">
        <x:v>2010-08</x:v>
      </x:c>
      <x:c r="C197" s="2" t="str">
        <x:v>Spain</x:v>
      </x:c>
      <x:c r="D197" s="11" t="n">
        <x:v>1299.99</x:v>
      </x:c>
      <x:c r="E197" s="11" t="n">
        <x:v>16.5</x:v>
      </x:c>
      <x:c r="F197" s="2" t="n">
        <x:v>5</x:v>
      </x:c>
      <x:c r="G197" s="2"/>
      <x:c r="H197" s="2"/>
      <x:c r="I197" s="2"/>
      <x:c r="J197" s="2"/>
      <x:c r="K197" s="2"/>
      <x:c r="L197" s="2"/>
      <x:c r="M197" s="2"/>
      <x:c r="N197" s="2"/>
      <x:c r="O197" s="2"/>
      <x:c r="P197" s="2"/>
    </x:row>
    <x:row r="198" ht="22" customHeight="1">
      <x:c r="A198" s="12" t="n">
        <x:v>40391</x:v>
      </x:c>
      <x:c r="B198" s="2" t="str">
        <x:v>2010-08</x:v>
      </x:c>
      <x:c r="C198" s="2" t="str">
        <x:v>Sweden</x:v>
      </x:c>
      <x:c r="D198" s="11" t="n">
        <x:v>2702.94</x:v>
      </x:c>
      <x:c r="E198" s="11" t="n">
        <x:v>109.95</x:v>
      </x:c>
      <x:c r="F198" s="2" t="n">
        <x:v>5</x:v>
      </x:c>
      <x:c r="G198" s="2"/>
      <x:c r="H198" s="2"/>
      <x:c r="I198" s="2"/>
      <x:c r="J198" s="2"/>
      <x:c r="K198" s="2"/>
      <x:c r="L198" s="2"/>
      <x:c r="M198" s="2"/>
      <x:c r="N198" s="2"/>
      <x:c r="O198" s="2"/>
      <x:c r="P198" s="2"/>
    </x:row>
    <x:row r="199" ht="22" customHeight="1">
      <x:c r="A199" s="12" t="n">
        <x:v>40391</x:v>
      </x:c>
      <x:c r="B199" s="2" t="str">
        <x:v>2010-08</x:v>
      </x:c>
      <x:c r="C199" s="2" t="str">
        <x:v>Switzerland</x:v>
      </x:c>
      <x:c r="D199" s="11" t="n">
        <x:v>2053.05</x:v>
      </x:c>
      <x:c r="E199" s="11" t="n">
        <x:v>59.39999999999999</x:v>
      </x:c>
      <x:c r="F199" s="2" t="n">
        <x:v>3</x:v>
      </x:c>
      <x:c r="G199" s="2"/>
      <x:c r="H199" s="2"/>
      <x:c r="I199" s="2"/>
      <x:c r="J199" s="2"/>
      <x:c r="K199" s="2"/>
      <x:c r="L199" s="2"/>
      <x:c r="M199" s="2"/>
      <x:c r="N199" s="2"/>
      <x:c r="O199" s="2"/>
      <x:c r="P199" s="2"/>
    </x:row>
    <x:row r="200" ht="22" customHeight="1">
      <x:c r="A200" s="12" t="n">
        <x:v>40391</x:v>
      </x:c>
      <x:c r="B200" s="2" t="str">
        <x:v>2010-08</x:v>
      </x:c>
      <x:c r="C200" s="2" t="str">
        <x:v>United Arab Emirates</x:v>
      </x:c>
      <x:c r="D200" s="11" t="n">
        <x:v>2047.28</x:v>
      </x:c>
      <x:c r="E200" s="11" t="n">
        <x:v>0</x:v>
      </x:c>
      <x:c r="F200" s="2" t="n">
        <x:v>1</x:v>
      </x:c>
      <x:c r="G200" s="2"/>
      <x:c r="H200" s="2"/>
      <x:c r="I200" s="2"/>
      <x:c r="J200" s="2"/>
      <x:c r="K200" s="2"/>
      <x:c r="L200" s="2"/>
      <x:c r="M200" s="2"/>
      <x:c r="N200" s="2"/>
      <x:c r="O200" s="2"/>
      <x:c r="P200" s="2"/>
    </x:row>
    <x:row r="201" ht="22" customHeight="1">
      <x:c r="A201" s="12" t="n">
        <x:v>40391</x:v>
      </x:c>
      <x:c r="B201" s="2" t="str">
        <x:v>2010-08</x:v>
      </x:c>
      <x:c r="C201" s="2" t="str">
        <x:v>United Kingdom</x:v>
      </x:c>
      <x:c r="D201" s="11" t="n">
        <x:v>596550.35</x:v>
      </x:c>
      <x:c r="E201" s="11" t="n">
        <x:v>35289.7</x:v>
      </x:c>
      <x:c r="F201" s="2" t="n">
        <x:v>1320</x:v>
      </x:c>
      <x:c r="G201" s="2"/>
      <x:c r="H201" s="2"/>
      <x:c r="I201" s="2"/>
      <x:c r="J201" s="2"/>
      <x:c r="K201" s="2"/>
      <x:c r="L201" s="2"/>
      <x:c r="M201" s="2"/>
      <x:c r="N201" s="2"/>
      <x:c r="O201" s="2"/>
      <x:c r="P201" s="2"/>
    </x:row>
    <x:row r="202" ht="22" customHeight="1">
      <x:c r="A202" s="12" t="n">
        <x:v>40391</x:v>
      </x:c>
      <x:c r="B202" s="2" t="str">
        <x:v>2010-08</x:v>
      </x:c>
      <x:c r="C202" s="2" t="str">
        <x:v>West Indies</x:v>
      </x:c>
      <x:c r="D202" s="11" t="n">
        <x:v>536.41</x:v>
      </x:c>
      <x:c r="E202" s="11" t="n">
        <x:v>0</x:v>
      </x:c>
      <x:c r="F202" s="2" t="n">
        <x:v>1</x:v>
      </x:c>
      <x:c r="G202" s="2"/>
      <x:c r="H202" s="2"/>
      <x:c r="I202" s="2"/>
      <x:c r="J202" s="2"/>
      <x:c r="K202" s="2"/>
      <x:c r="L202" s="2"/>
      <x:c r="M202" s="2"/>
      <x:c r="N202" s="2"/>
      <x:c r="O202" s="2"/>
      <x:c r="P202" s="2"/>
    </x:row>
    <x:row r="203" ht="22" customHeight="1">
      <x:c r="A203" s="12" t="n">
        <x:v>40422</x:v>
      </x:c>
      <x:c r="B203" s="2" t="str">
        <x:v>2010-09</x:v>
      </x:c>
      <x:c r="C203" s="2" t="str">
        <x:v>Australia</x:v>
      </x:c>
      <x:c r="D203" s="11" t="n">
        <x:v>785.83</x:v>
      </x:c>
      <x:c r="E203" s="11" t="n">
        <x:v>0</x:v>
      </x:c>
      <x:c r="F203" s="2" t="n">
        <x:v>2</x:v>
      </x:c>
      <x:c r="G203" s="2"/>
      <x:c r="H203" s="2"/>
      <x:c r="I203" s="2"/>
      <x:c r="J203" s="2"/>
      <x:c r="K203" s="2"/>
      <x:c r="L203" s="2"/>
      <x:c r="M203" s="2"/>
      <x:c r="N203" s="2"/>
      <x:c r="O203" s="2"/>
      <x:c r="P203" s="2"/>
    </x:row>
    <x:row r="204" ht="22" customHeight="1">
      <x:c r="A204" s="12" t="n">
        <x:v>40422</x:v>
      </x:c>
      <x:c r="B204" s="2" t="str">
        <x:v>2010-09</x:v>
      </x:c>
      <x:c r="C204" s="2" t="str">
        <x:v>Austria</x:v>
      </x:c>
      <x:c r="D204" s="11" t="n">
        <x:v>1940.17</x:v>
      </x:c>
      <x:c r="E204" s="11" t="n">
        <x:v>351.05</x:v>
      </x:c>
      <x:c r="F204" s="2" t="n">
        <x:v>5</x:v>
      </x:c>
      <x:c r="G204" s="2"/>
      <x:c r="H204" s="2"/>
      <x:c r="I204" s="2"/>
      <x:c r="J204" s="2"/>
      <x:c r="K204" s="2"/>
      <x:c r="L204" s="2"/>
      <x:c r="M204" s="2"/>
      <x:c r="N204" s="2"/>
      <x:c r="O204" s="2"/>
      <x:c r="P204" s="2"/>
    </x:row>
    <x:row r="205" ht="22" customHeight="1">
      <x:c r="A205" s="12" t="n">
        <x:v>40422</x:v>
      </x:c>
      <x:c r="B205" s="2" t="str">
        <x:v>2010-09</x:v>
      </x:c>
      <x:c r="C205" s="2" t="str">
        <x:v>Belgium</x:v>
      </x:c>
      <x:c r="D205" s="11" t="n">
        <x:v>1190.91</x:v>
      </x:c>
      <x:c r="E205" s="11" t="n">
        <x:v>0.85</x:v>
      </x:c>
      <x:c r="F205" s="2" t="n">
        <x:v>5</x:v>
      </x:c>
      <x:c r="G205" s="2"/>
      <x:c r="H205" s="2"/>
      <x:c r="I205" s="2"/>
      <x:c r="J205" s="2"/>
      <x:c r="K205" s="2"/>
      <x:c r="L205" s="2"/>
      <x:c r="M205" s="2"/>
      <x:c r="N205" s="2"/>
      <x:c r="O205" s="2"/>
      <x:c r="P205" s="2"/>
    </x:row>
    <x:row r="206" ht="22" customHeight="1">
      <x:c r="A206" s="12" t="n">
        <x:v>40422</x:v>
      </x:c>
      <x:c r="B206" s="2" t="str">
        <x:v>2010-09</x:v>
      </x:c>
      <x:c r="C206" s="2" t="str">
        <x:v>Brazil</x:v>
      </x:c>
      <x:c r="D206" s="11" t="n">
        <x:v>268.27</x:v>
      </x:c>
      <x:c r="E206" s="11" t="n">
        <x:v>0</x:v>
      </x:c>
      <x:c r="F206" s="2" t="n">
        <x:v>1</x:v>
      </x:c>
      <x:c r="G206" s="2"/>
      <x:c r="H206" s="2"/>
      <x:c r="I206" s="2"/>
      <x:c r="J206" s="2"/>
      <x:c r="K206" s="2"/>
      <x:c r="L206" s="2"/>
      <x:c r="M206" s="2"/>
      <x:c r="N206" s="2"/>
      <x:c r="O206" s="2"/>
      <x:c r="P206" s="2"/>
    </x:row>
    <x:row r="207" ht="22" customHeight="1">
      <x:c r="A207" s="12" t="n">
        <x:v>40422</x:v>
      </x:c>
      <x:c r="B207" s="2" t="str">
        <x:v>2010-09</x:v>
      </x:c>
      <x:c r="C207" s="2" t="str">
        <x:v>Channel Islands</x:v>
      </x:c>
      <x:c r="D207" s="11" t="n">
        <x:v>6156.34</x:v>
      </x:c>
      <x:c r="E207" s="11" t="n">
        <x:v>885</x:v>
      </x:c>
      <x:c r="F207" s="2" t="n">
        <x:v>9</x:v>
      </x:c>
      <x:c r="G207" s="2"/>
      <x:c r="H207" s="2"/>
      <x:c r="I207" s="2"/>
      <x:c r="J207" s="2"/>
      <x:c r="K207" s="2"/>
      <x:c r="L207" s="2"/>
      <x:c r="M207" s="2"/>
      <x:c r="N207" s="2"/>
      <x:c r="O207" s="2"/>
      <x:c r="P207" s="2"/>
    </x:row>
    <x:row r="208" ht="22" customHeight="1">
      <x:c r="A208" s="12" t="n">
        <x:v>40422</x:v>
      </x:c>
      <x:c r="B208" s="2" t="str">
        <x:v>2010-09</x:v>
      </x:c>
      <x:c r="C208" s="2" t="str">
        <x:v>Cyprus</x:v>
      </x:c>
      <x:c r="D208" s="11" t="n">
        <x:v>1020.53</x:v>
      </x:c>
      <x:c r="E208" s="11" t="n">
        <x:v>0</x:v>
      </x:c>
      <x:c r="F208" s="2" t="n">
        <x:v>3</x:v>
      </x:c>
      <x:c r="G208" s="2"/>
      <x:c r="H208" s="2"/>
      <x:c r="I208" s="2"/>
      <x:c r="J208" s="2"/>
      <x:c r="K208" s="2"/>
      <x:c r="L208" s="2"/>
      <x:c r="M208" s="2"/>
      <x:c r="N208" s="2"/>
      <x:c r="O208" s="2"/>
      <x:c r="P208" s="2"/>
    </x:row>
    <x:row r="209" ht="22" customHeight="1">
      <x:c r="A209" s="12" t="n">
        <x:v>40422</x:v>
      </x:c>
      <x:c r="B209" s="2" t="str">
        <x:v>2010-09</x:v>
      </x:c>
      <x:c r="C209" s="2" t="str">
        <x:v>Denmark</x:v>
      </x:c>
      <x:c r="D209" s="11" t="n">
        <x:v>1725.25</x:v>
      </x:c>
      <x:c r="E209" s="11" t="n">
        <x:v>0</x:v>
      </x:c>
      <x:c r="F209" s="2" t="n">
        <x:v>3</x:v>
      </x:c>
      <x:c r="G209" s="2"/>
      <x:c r="H209" s="2"/>
      <x:c r="I209" s="2"/>
      <x:c r="J209" s="2"/>
      <x:c r="K209" s="2"/>
      <x:c r="L209" s="2"/>
      <x:c r="M209" s="2"/>
      <x:c r="N209" s="2"/>
      <x:c r="O209" s="2"/>
      <x:c r="P209" s="2"/>
    </x:row>
    <x:row r="210" ht="22" customHeight="1">
      <x:c r="A210" s="12" t="n">
        <x:v>40422</x:v>
      </x:c>
      <x:c r="B210" s="2" t="str">
        <x:v>2010-09</x:v>
      </x:c>
      <x:c r="C210" s="2" t="str">
        <x:v>EIRE</x:v>
      </x:c>
      <x:c r="D210" s="11" t="n">
        <x:v>36984.47</x:v>
      </x:c>
      <x:c r="E210" s="11" t="n">
        <x:v>8838.42</x:v>
      </x:c>
      <x:c r="F210" s="2" t="n">
        <x:v>35</x:v>
      </x:c>
      <x:c r="G210" s="2"/>
      <x:c r="H210" s="2"/>
      <x:c r="I210" s="2"/>
      <x:c r="J210" s="2"/>
      <x:c r="K210" s="2"/>
      <x:c r="L210" s="2"/>
      <x:c r="M210" s="2"/>
      <x:c r="N210" s="2"/>
      <x:c r="O210" s="2"/>
      <x:c r="P210" s="2"/>
    </x:row>
    <x:row r="211" ht="22" customHeight="1">
      <x:c r="A211" s="12" t="n">
        <x:v>40422</x:v>
      </x:c>
      <x:c r="B211" s="2" t="str">
        <x:v>2010-09</x:v>
      </x:c>
      <x:c r="C211" s="2" t="str">
        <x:v>Finland</x:v>
      </x:c>
      <x:c r="D211" s="11" t="n">
        <x:v>864.68</x:v>
      </x:c>
      <x:c r="E211" s="11" t="n">
        <x:v>0</x:v>
      </x:c>
      <x:c r="F211" s="2" t="n">
        <x:v>2</x:v>
      </x:c>
      <x:c r="G211" s="2"/>
      <x:c r="H211" s="2"/>
      <x:c r="I211" s="2"/>
      <x:c r="J211" s="2"/>
      <x:c r="K211" s="2"/>
      <x:c r="L211" s="2"/>
      <x:c r="M211" s="2"/>
      <x:c r="N211" s="2"/>
      <x:c r="O211" s="2"/>
      <x:c r="P211" s="2"/>
    </x:row>
    <x:row r="212" ht="22" customHeight="1">
      <x:c r="A212" s="12" t="n">
        <x:v>40422</x:v>
      </x:c>
      <x:c r="B212" s="2" t="str">
        <x:v>2010-09</x:v>
      </x:c>
      <x:c r="C212" s="2" t="str">
        <x:v>France</x:v>
      </x:c>
      <x:c r="D212" s="11" t="n">
        <x:v>14531.33</x:v>
      </x:c>
      <x:c r="E212" s="11" t="n">
        <x:v>13206.49</x:v>
      </x:c>
      <x:c r="F212" s="2" t="n">
        <x:v>26</x:v>
      </x:c>
      <x:c r="G212" s="2"/>
      <x:c r="H212" s="2"/>
      <x:c r="I212" s="2"/>
      <x:c r="J212" s="2"/>
      <x:c r="K212" s="2"/>
      <x:c r="L212" s="2"/>
      <x:c r="M212" s="2"/>
      <x:c r="N212" s="2"/>
      <x:c r="O212" s="2"/>
      <x:c r="P212" s="2"/>
    </x:row>
    <x:row r="213" ht="22" customHeight="1">
      <x:c r="A213" s="12" t="n">
        <x:v>40422</x:v>
      </x:c>
      <x:c r="B213" s="2" t="str">
        <x:v>2010-09</x:v>
      </x:c>
      <x:c r="C213" s="2" t="str">
        <x:v>Germany</x:v>
      </x:c>
      <x:c r="D213" s="11" t="n">
        <x:v>17740.18</x:v>
      </x:c>
      <x:c r="E213" s="11" t="n">
        <x:v>365.24</x:v>
      </x:c>
      <x:c r="F213" s="2" t="n">
        <x:v>32</x:v>
      </x:c>
      <x:c r="G213" s="2"/>
      <x:c r="H213" s="2"/>
      <x:c r="I213" s="2"/>
      <x:c r="J213" s="2"/>
      <x:c r="K213" s="2"/>
      <x:c r="L213" s="2"/>
      <x:c r="M213" s="2"/>
      <x:c r="N213" s="2"/>
      <x:c r="O213" s="2"/>
      <x:c r="P213" s="2"/>
    </x:row>
    <x:row r="214" ht="22" customHeight="1">
      <x:c r="A214" s="12" t="n">
        <x:v>40422</x:v>
      </x:c>
      <x:c r="B214" s="2" t="str">
        <x:v>2010-09</x:v>
      </x:c>
      <x:c r="C214" s="2" t="str">
        <x:v>Greece</x:v>
      </x:c>
      <x:c r="D214" s="11" t="n">
        <x:v>780.06</x:v>
      </x:c>
      <x:c r="E214" s="11" t="n">
        <x:v>0</x:v>
      </x:c>
      <x:c r="F214" s="2" t="n">
        <x:v>1</x:v>
      </x:c>
      <x:c r="G214" s="2"/>
      <x:c r="H214" s="2"/>
      <x:c r="I214" s="2"/>
      <x:c r="J214" s="2"/>
      <x:c r="K214" s="2"/>
      <x:c r="L214" s="2"/>
      <x:c r="M214" s="2"/>
      <x:c r="N214" s="2"/>
      <x:c r="O214" s="2"/>
      <x:c r="P214" s="2"/>
    </x:row>
    <x:row r="215" ht="22" customHeight="1">
      <x:c r="A215" s="12" t="n">
        <x:v>40422</x:v>
      </x:c>
      <x:c r="B215" s="2" t="str">
        <x:v>2010-09</x:v>
      </x:c>
      <x:c r="C215" s="2" t="str">
        <x:v>Italy</x:v>
      </x:c>
      <x:c r="D215" s="11" t="n">
        <x:v>1380.56</x:v>
      </x:c>
      <x:c r="E215" s="11" t="n">
        <x:v>0</x:v>
      </x:c>
      <x:c r="F215" s="2" t="n">
        <x:v>2</x:v>
      </x:c>
      <x:c r="G215" s="2"/>
      <x:c r="H215" s="2"/>
      <x:c r="I215" s="2"/>
      <x:c r="J215" s="2"/>
      <x:c r="K215" s="2"/>
      <x:c r="L215" s="2"/>
      <x:c r="M215" s="2"/>
      <x:c r="N215" s="2"/>
      <x:c r="O215" s="2"/>
      <x:c r="P215" s="2"/>
    </x:row>
    <x:row r="216" ht="22" customHeight="1">
      <x:c r="A216" s="12" t="n">
        <x:v>40422</x:v>
      </x:c>
      <x:c r="B216" s="2" t="str">
        <x:v>2010-09</x:v>
      </x:c>
      <x:c r="C216" s="2" t="str">
        <x:v>Japan</x:v>
      </x:c>
      <x:c r="D216" s="11" t="n">
        <x:v>1895</x:v>
      </x:c>
      <x:c r="E216" s="11" t="n">
        <x:v>0</x:v>
      </x:c>
      <x:c r="F216" s="2" t="n">
        <x:v>1</x:v>
      </x:c>
      <x:c r="G216" s="2"/>
      <x:c r="H216" s="2"/>
      <x:c r="I216" s="2"/>
      <x:c r="J216" s="2"/>
      <x:c r="K216" s="2"/>
      <x:c r="L216" s="2"/>
      <x:c r="M216" s="2"/>
      <x:c r="N216" s="2"/>
      <x:c r="O216" s="2"/>
      <x:c r="P216" s="2"/>
    </x:row>
    <x:row r="217" ht="22" customHeight="1">
      <x:c r="A217" s="12" t="n">
        <x:v>40422</x:v>
      </x:c>
      <x:c r="B217" s="2" t="str">
        <x:v>2010-09</x:v>
      </x:c>
      <x:c r="C217" s="2" t="str">
        <x:v>Korea</x:v>
      </x:c>
      <x:c r="D217" s="11" t="n">
        <x:v>168.69000000000003</x:v>
      </x:c>
      <x:c r="E217" s="11" t="n">
        <x:v>0</x:v>
      </x:c>
      <x:c r="F217" s="2" t="n">
        <x:v>1</x:v>
      </x:c>
      <x:c r="G217" s="2"/>
      <x:c r="H217" s="2"/>
      <x:c r="I217" s="2"/>
      <x:c r="J217" s="2"/>
      <x:c r="K217" s="2"/>
      <x:c r="L217" s="2"/>
      <x:c r="M217" s="2"/>
      <x:c r="N217" s="2"/>
      <x:c r="O217" s="2"/>
      <x:c r="P217" s="2"/>
    </x:row>
    <x:row r="218" ht="22" customHeight="1">
      <x:c r="A218" s="12" t="n">
        <x:v>40422</x:v>
      </x:c>
      <x:c r="B218" s="2" t="str">
        <x:v>2010-09</x:v>
      </x:c>
      <x:c r="C218" s="2" t="str">
        <x:v>Lebanon</x:v>
      </x:c>
      <x:c r="D218" s="11" t="n">
        <x:v>211.7</x:v>
      </x:c>
      <x:c r="E218" s="11" t="n">
        <x:v>0</x:v>
      </x:c>
      <x:c r="F218" s="2" t="n">
        <x:v>1</x:v>
      </x:c>
      <x:c r="G218" s="2"/>
      <x:c r="H218" s="2"/>
      <x:c r="I218" s="2"/>
      <x:c r="J218" s="2"/>
      <x:c r="K218" s="2"/>
      <x:c r="L218" s="2"/>
      <x:c r="M218" s="2"/>
      <x:c r="N218" s="2"/>
      <x:c r="O218" s="2"/>
      <x:c r="P218" s="2"/>
    </x:row>
    <x:row r="219" ht="22" customHeight="1">
      <x:c r="A219" s="12" t="n">
        <x:v>40422</x:v>
      </x:c>
      <x:c r="B219" s="2" t="str">
        <x:v>2010-09</x:v>
      </x:c>
      <x:c r="C219" s="2" t="str">
        <x:v>Netherlands</x:v>
      </x:c>
      <x:c r="D219" s="11" t="n">
        <x:v>45037.14</x:v>
      </x:c>
      <x:c r="E219" s="11" t="n">
        <x:v>51</x:v>
      </x:c>
      <x:c r="F219" s="2" t="n">
        <x:v>19</x:v>
      </x:c>
      <x:c r="G219" s="2"/>
      <x:c r="H219" s="2"/>
      <x:c r="I219" s="2"/>
      <x:c r="J219" s="2"/>
      <x:c r="K219" s="2"/>
      <x:c r="L219" s="2"/>
      <x:c r="M219" s="2"/>
      <x:c r="N219" s="2"/>
      <x:c r="O219" s="2"/>
      <x:c r="P219" s="2"/>
    </x:row>
    <x:row r="220" ht="22" customHeight="1">
      <x:c r="A220" s="12" t="n">
        <x:v>40422</x:v>
      </x:c>
      <x:c r="B220" s="2" t="str">
        <x:v>2010-09</x:v>
      </x:c>
      <x:c r="C220" s="2" t="str">
        <x:v>Norway</x:v>
      </x:c>
      <x:c r="D220" s="11" t="n">
        <x:v>973.69</x:v>
      </x:c>
      <x:c r="E220" s="11" t="n">
        <x:v>0</x:v>
      </x:c>
      <x:c r="F220" s="2" t="n">
        <x:v>1</x:v>
      </x:c>
      <x:c r="G220" s="2"/>
      <x:c r="H220" s="2"/>
      <x:c r="I220" s="2"/>
      <x:c r="J220" s="2"/>
      <x:c r="K220" s="2"/>
      <x:c r="L220" s="2"/>
      <x:c r="M220" s="2"/>
      <x:c r="N220" s="2"/>
      <x:c r="O220" s="2"/>
      <x:c r="P220" s="2"/>
    </x:row>
    <x:row r="221" ht="22" customHeight="1">
      <x:c r="A221" s="12" t="n">
        <x:v>40422</x:v>
      </x:c>
      <x:c r="B221" s="2" t="str">
        <x:v>2010-09</x:v>
      </x:c>
      <x:c r="C221" s="2" t="str">
        <x:v>Poland</x:v>
      </x:c>
      <x:c r="D221" s="11" t="n">
        <x:v>349.47</x:v>
      </x:c>
      <x:c r="E221" s="11" t="n">
        <x:v>204.1</x:v>
      </x:c>
      <x:c r="F221" s="2" t="n">
        <x:v>2</x:v>
      </x:c>
      <x:c r="G221" s="2"/>
      <x:c r="H221" s="2"/>
      <x:c r="I221" s="2"/>
      <x:c r="J221" s="2"/>
      <x:c r="K221" s="2"/>
      <x:c r="L221" s="2"/>
      <x:c r="M221" s="2"/>
      <x:c r="N221" s="2"/>
      <x:c r="O221" s="2"/>
      <x:c r="P221" s="2"/>
    </x:row>
    <x:row r="222" ht="22" customHeight="1">
      <x:c r="A222" s="12" t="n">
        <x:v>40422</x:v>
      </x:c>
      <x:c r="B222" s="2" t="str">
        <x:v>2010-09</x:v>
      </x:c>
      <x:c r="C222" s="2" t="str">
        <x:v>Portugal</x:v>
      </x:c>
      <x:c r="D222" s="11" t="n">
        <x:v>2964.58</x:v>
      </x:c>
      <x:c r="E222" s="11" t="n">
        <x:v>54.400000000000006</x:v>
      </x:c>
      <x:c r="F222" s="2" t="n">
        <x:v>6</x:v>
      </x:c>
      <x:c r="G222" s="2"/>
      <x:c r="H222" s="2"/>
      <x:c r="I222" s="2"/>
      <x:c r="J222" s="2"/>
      <x:c r="K222" s="2"/>
      <x:c r="L222" s="2"/>
      <x:c r="M222" s="2"/>
      <x:c r="N222" s="2"/>
      <x:c r="O222" s="2"/>
      <x:c r="P222" s="2"/>
    </x:row>
    <x:row r="223" ht="22" customHeight="1">
      <x:c r="A223" s="12" t="n">
        <x:v>40422</x:v>
      </x:c>
      <x:c r="B223" s="2" t="str">
        <x:v>2010-09</x:v>
      </x:c>
      <x:c r="C223" s="2" t="str">
        <x:v>Singapore</x:v>
      </x:c>
      <x:c r="D223" s="11" t="n">
        <x:v>2784.82</x:v>
      </x:c>
      <x:c r="E223" s="11" t="n">
        <x:v>0</x:v>
      </x:c>
      <x:c r="F223" s="2" t="n">
        <x:v>3</x:v>
      </x:c>
      <x:c r="G223" s="2"/>
      <x:c r="H223" s="2"/>
      <x:c r="I223" s="2"/>
      <x:c r="J223" s="2"/>
      <x:c r="K223" s="2"/>
      <x:c r="L223" s="2"/>
      <x:c r="M223" s="2"/>
      <x:c r="N223" s="2"/>
      <x:c r="O223" s="2"/>
      <x:c r="P223" s="2"/>
    </x:row>
    <x:row r="224" ht="22" customHeight="1">
      <x:c r="A224" s="12" t="n">
        <x:v>40422</x:v>
      </x:c>
      <x:c r="B224" s="2" t="str">
        <x:v>2010-09</x:v>
      </x:c>
      <x:c r="C224" s="2" t="str">
        <x:v>Spain</x:v>
      </x:c>
      <x:c r="D224" s="11" t="n">
        <x:v>3770.45</x:v>
      </x:c>
      <x:c r="E224" s="11" t="n">
        <x:v>21.25</x:v>
      </x:c>
      <x:c r="F224" s="2" t="n">
        <x:v>6</x:v>
      </x:c>
      <x:c r="G224" s="2"/>
      <x:c r="H224" s="2"/>
      <x:c r="I224" s="2"/>
      <x:c r="J224" s="2"/>
      <x:c r="K224" s="2"/>
      <x:c r="L224" s="2"/>
      <x:c r="M224" s="2"/>
      <x:c r="N224" s="2"/>
      <x:c r="O224" s="2"/>
      <x:c r="P224" s="2"/>
    </x:row>
    <x:row r="225" ht="22" customHeight="1">
      <x:c r="A225" s="12" t="n">
        <x:v>40422</x:v>
      </x:c>
      <x:c r="B225" s="2" t="str">
        <x:v>2010-09</x:v>
      </x:c>
      <x:c r="C225" s="2" t="str">
        <x:v>Sweden</x:v>
      </x:c>
      <x:c r="D225" s="11" t="n">
        <x:v>2899.56</x:v>
      </x:c>
      <x:c r="E225" s="11" t="n">
        <x:v>75.19</x:v>
      </x:c>
      <x:c r="F225" s="2" t="n">
        <x:v>4</x:v>
      </x:c>
      <x:c r="G225" s="2"/>
      <x:c r="H225" s="2"/>
      <x:c r="I225" s="2"/>
      <x:c r="J225" s="2"/>
      <x:c r="K225" s="2"/>
      <x:c r="L225" s="2"/>
      <x:c r="M225" s="2"/>
      <x:c r="N225" s="2"/>
      <x:c r="O225" s="2"/>
      <x:c r="P225" s="2"/>
    </x:row>
    <x:row r="226" ht="22" customHeight="1">
      <x:c r="A226" s="12" t="n">
        <x:v>40422</x:v>
      </x:c>
      <x:c r="B226" s="2" t="str">
        <x:v>2010-09</x:v>
      </x:c>
      <x:c r="C226" s="2" t="str">
        <x:v>Switzerland</x:v>
      </x:c>
      <x:c r="D226" s="11" t="n">
        <x:v>2474.44</x:v>
      </x:c>
      <x:c r="E226" s="11" t="n">
        <x:v>0</x:v>
      </x:c>
      <x:c r="F226" s="2" t="n">
        <x:v>4</x:v>
      </x:c>
      <x:c r="G226" s="2"/>
      <x:c r="H226" s="2"/>
      <x:c r="I226" s="2"/>
      <x:c r="J226" s="2"/>
      <x:c r="K226" s="2"/>
      <x:c r="L226" s="2"/>
      <x:c r="M226" s="2"/>
      <x:c r="N226" s="2"/>
      <x:c r="O226" s="2"/>
      <x:c r="P226" s="2"/>
    </x:row>
    <x:row r="227" ht="22" customHeight="1">
      <x:c r="A227" s="12" t="n">
        <x:v>40422</x:v>
      </x:c>
      <x:c r="B227" s="2" t="str">
        <x:v>2010-09</x:v>
      </x:c>
      <x:c r="C227" s="2" t="str">
        <x:v>USA</x:v>
      </x:c>
      <x:c r="D227" s="11" t="n">
        <x:v>0</x:v>
      </x:c>
      <x:c r="E227" s="11" t="n">
        <x:v>74.2</x:v>
      </x:c>
      <x:c r="F227" s="2" t="n">
        <x:v>0</x:v>
      </x:c>
      <x:c r="G227" s="2"/>
      <x:c r="H227" s="2"/>
      <x:c r="I227" s="2"/>
      <x:c r="J227" s="2"/>
      <x:c r="K227" s="2"/>
      <x:c r="L227" s="2"/>
      <x:c r="M227" s="2"/>
      <x:c r="N227" s="2"/>
      <x:c r="O227" s="2"/>
      <x:c r="P227" s="2"/>
    </x:row>
    <x:row r="228" ht="22" customHeight="1">
      <x:c r="A228" s="12" t="n">
        <x:v>40422</x:v>
      </x:c>
      <x:c r="B228" s="2" t="str">
        <x:v>2010-09</x:v>
      </x:c>
      <x:c r="C228" s="2" t="str">
        <x:v>United Arab Emirates</x:v>
      </x:c>
      <x:c r="D228" s="11" t="n">
        <x:v>383.24</x:v>
      </x:c>
      <x:c r="E228" s="11" t="n">
        <x:v>0</x:v>
      </x:c>
      <x:c r="F228" s="2" t="n">
        <x:v>2</x:v>
      </x:c>
      <x:c r="G228" s="2"/>
      <x:c r="H228" s="2"/>
      <x:c r="I228" s="2"/>
      <x:c r="J228" s="2"/>
      <x:c r="K228" s="2"/>
      <x:c r="L228" s="2"/>
      <x:c r="M228" s="2"/>
      <x:c r="N228" s="2"/>
      <x:c r="O228" s="2"/>
      <x:c r="P228" s="2"/>
    </x:row>
    <x:row r="229" ht="22" customHeight="1">
      <x:c r="A229" s="12" t="n">
        <x:v>40422</x:v>
      </x:c>
      <x:c r="B229" s="2" t="str">
        <x:v>2010-09</x:v>
      </x:c>
      <x:c r="C229" s="2" t="str">
        <x:v>United Kingdom</x:v>
      </x:c>
      <x:c r="D229" s="11" t="n">
        <x:v>773073.501</x:v>
      </x:c>
      <x:c r="E229" s="11" t="n">
        <x:v>46545.19</x:v>
      </x:c>
      <x:c r="F229" s="2" t="n">
        <x:v>1661</x:v>
      </x:c>
      <x:c r="G229" s="2"/>
      <x:c r="H229" s="2"/>
      <x:c r="I229" s="2"/>
      <x:c r="J229" s="2"/>
      <x:c r="K229" s="2"/>
      <x:c r="L229" s="2"/>
      <x:c r="M229" s="2"/>
      <x:c r="N229" s="2"/>
      <x:c r="O229" s="2"/>
      <x:c r="P229" s="2"/>
    </x:row>
    <x:row r="230" ht="22" customHeight="1">
      <x:c r="A230" s="12" t="n">
        <x:v>40422</x:v>
      </x:c>
      <x:c r="B230" s="2" t="str">
        <x:v>2010-09</x:v>
      </x:c>
      <x:c r="C230" s="2" t="str">
        <x:v>Unspecified</x:v>
      </x:c>
      <x:c r="D230" s="11" t="n">
        <x:v>1978.15</x:v>
      </x:c>
      <x:c r="E230" s="11" t="n">
        <x:v>10.2</x:v>
      </x:c>
      <x:c r="F230" s="2" t="n">
        <x:v>2</x:v>
      </x:c>
      <x:c r="G230" s="2"/>
      <x:c r="H230" s="2"/>
      <x:c r="I230" s="2"/>
      <x:c r="J230" s="2"/>
      <x:c r="K230" s="2"/>
      <x:c r="L230" s="2"/>
      <x:c r="M230" s="2"/>
      <x:c r="N230" s="2"/>
      <x:c r="O230" s="2"/>
      <x:c r="P230" s="2"/>
    </x:row>
    <x:row r="231" ht="22" customHeight="1">
      <x:c r="A231" s="12" t="n">
        <x:v>40452</x:v>
      </x:c>
      <x:c r="B231" s="2" t="str">
        <x:v>2010-10</x:v>
      </x:c>
      <x:c r="C231" s="2" t="str">
        <x:v>Australia</x:v>
      </x:c>
      <x:c r="D231" s="11" t="n">
        <x:v>2989.15</x:v>
      </x:c>
      <x:c r="E231" s="11" t="n">
        <x:v>0</x:v>
      </x:c>
      <x:c r="F231" s="2" t="n">
        <x:v>9</x:v>
      </x:c>
      <x:c r="G231" s="2"/>
      <x:c r="H231" s="2"/>
      <x:c r="I231" s="2"/>
      <x:c r="J231" s="2"/>
      <x:c r="K231" s="2"/>
      <x:c r="L231" s="2"/>
      <x:c r="M231" s="2"/>
      <x:c r="N231" s="2"/>
      <x:c r="O231" s="2"/>
      <x:c r="P231" s="2"/>
    </x:row>
    <x:row r="232" ht="22" customHeight="1">
      <x:c r="A232" s="12" t="n">
        <x:v>40452</x:v>
      </x:c>
      <x:c r="B232" s="2" t="str">
        <x:v>2010-10</x:v>
      </x:c>
      <x:c r="C232" s="2" t="str">
        <x:v>Austria</x:v>
      </x:c>
      <x:c r="D232" s="11" t="n">
        <x:v>1236.7</x:v>
      </x:c>
      <x:c r="E232" s="11" t="n">
        <x:v>0</x:v>
      </x:c>
      <x:c r="F232" s="2" t="n">
        <x:v>4</x:v>
      </x:c>
      <x:c r="G232" s="2"/>
      <x:c r="H232" s="2"/>
      <x:c r="I232" s="2"/>
      <x:c r="J232" s="2"/>
      <x:c r="K232" s="2"/>
      <x:c r="L232" s="2"/>
      <x:c r="M232" s="2"/>
      <x:c r="N232" s="2"/>
      <x:c r="O232" s="2"/>
      <x:c r="P232" s="2"/>
    </x:row>
    <x:row r="233" ht="22" customHeight="1">
      <x:c r="A233" s="12" t="n">
        <x:v>40452</x:v>
      </x:c>
      <x:c r="B233" s="2" t="str">
        <x:v>2010-10</x:v>
      </x:c>
      <x:c r="C233" s="2" t="str">
        <x:v>Bahrain</x:v>
      </x:c>
      <x:c r="D233" s="11" t="n">
        <x:v>317.76</x:v>
      </x:c>
      <x:c r="E233" s="11" t="n">
        <x:v>0</x:v>
      </x:c>
      <x:c r="F233" s="2" t="n">
        <x:v>1</x:v>
      </x:c>
      <x:c r="G233" s="2"/>
      <x:c r="H233" s="2"/>
      <x:c r="I233" s="2"/>
      <x:c r="J233" s="2"/>
      <x:c r="K233" s="2"/>
      <x:c r="L233" s="2"/>
      <x:c r="M233" s="2"/>
      <x:c r="N233" s="2"/>
      <x:c r="O233" s="2"/>
      <x:c r="P233" s="2"/>
    </x:row>
    <x:row r="234" ht="22" customHeight="1">
      <x:c r="A234" s="12" t="n">
        <x:v>40452</x:v>
      </x:c>
      <x:c r="B234" s="2" t="str">
        <x:v>2010-10</x:v>
      </x:c>
      <x:c r="C234" s="2" t="str">
        <x:v>Belgium</x:v>
      </x:c>
      <x:c r="D234" s="11" t="n">
        <x:v>1475.72</x:v>
      </x:c>
      <x:c r="E234" s="11" t="n">
        <x:v>0</x:v>
      </x:c>
      <x:c r="F234" s="2" t="n">
        <x:v>5</x:v>
      </x:c>
      <x:c r="G234" s="2"/>
      <x:c r="H234" s="2"/>
      <x:c r="I234" s="2"/>
      <x:c r="J234" s="2"/>
      <x:c r="K234" s="2"/>
      <x:c r="L234" s="2"/>
      <x:c r="M234" s="2"/>
      <x:c r="N234" s="2"/>
      <x:c r="O234" s="2"/>
      <x:c r="P234" s="2"/>
    </x:row>
    <x:row r="235" ht="22" customHeight="1">
      <x:c r="A235" s="12" t="n">
        <x:v>40452</x:v>
      </x:c>
      <x:c r="B235" s="2" t="str">
        <x:v>2010-10</x:v>
      </x:c>
      <x:c r="C235" s="2" t="str">
        <x:v>Canada</x:v>
      </x:c>
      <x:c r="D235" s="11" t="n">
        <x:v>834.89</x:v>
      </x:c>
      <x:c r="E235" s="11" t="n">
        <x:v>0</x:v>
      </x:c>
      <x:c r="F235" s="2" t="n">
        <x:v>1</x:v>
      </x:c>
      <x:c r="G235" s="2"/>
      <x:c r="H235" s="2"/>
      <x:c r="I235" s="2"/>
      <x:c r="J235" s="2"/>
      <x:c r="K235" s="2"/>
      <x:c r="L235" s="2"/>
      <x:c r="M235" s="2"/>
      <x:c r="N235" s="2"/>
      <x:c r="O235" s="2"/>
      <x:c r="P235" s="2"/>
    </x:row>
    <x:row r="236" ht="22" customHeight="1">
      <x:c r="A236" s="12" t="n">
        <x:v>40452</x:v>
      </x:c>
      <x:c r="B236" s="2" t="str">
        <x:v>2010-10</x:v>
      </x:c>
      <x:c r="C236" s="2" t="str">
        <x:v>Channel Islands</x:v>
      </x:c>
      <x:c r="D236" s="11" t="n">
        <x:v>4341.19</x:v>
      </x:c>
      <x:c r="E236" s="11" t="n">
        <x:v>57.65</x:v>
      </x:c>
      <x:c r="F236" s="2" t="n">
        <x:v>4</x:v>
      </x:c>
      <x:c r="G236" s="2"/>
      <x:c r="H236" s="2"/>
      <x:c r="I236" s="2"/>
      <x:c r="J236" s="2"/>
      <x:c r="K236" s="2"/>
      <x:c r="L236" s="2"/>
      <x:c r="M236" s="2"/>
      <x:c r="N236" s="2"/>
      <x:c r="O236" s="2"/>
      <x:c r="P236" s="2"/>
    </x:row>
    <x:row r="237" ht="22" customHeight="1">
      <x:c r="A237" s="12" t="n">
        <x:v>40452</x:v>
      </x:c>
      <x:c r="B237" s="2" t="str">
        <x:v>2010-10</x:v>
      </x:c>
      <x:c r="C237" s="2" t="str">
        <x:v>Cyprus</x:v>
      </x:c>
      <x:c r="D237" s="11" t="n">
        <x:v>551.33</x:v>
      </x:c>
      <x:c r="E237" s="11" t="n">
        <x:v>0</x:v>
      </x:c>
      <x:c r="F237" s="2" t="n">
        <x:v>1</x:v>
      </x:c>
      <x:c r="G237" s="2"/>
      <x:c r="H237" s="2"/>
      <x:c r="I237" s="2"/>
      <x:c r="J237" s="2"/>
      <x:c r="K237" s="2"/>
      <x:c r="L237" s="2"/>
      <x:c r="M237" s="2"/>
      <x:c r="N237" s="2"/>
      <x:c r="O237" s="2"/>
      <x:c r="P237" s="2"/>
    </x:row>
    <x:row r="238" ht="22" customHeight="1">
      <x:c r="A238" s="12" t="n">
        <x:v>40452</x:v>
      </x:c>
      <x:c r="B238" s="2" t="str">
        <x:v>2010-10</x:v>
      </x:c>
      <x:c r="C238" s="2" t="str">
        <x:v>Denmark</x:v>
      </x:c>
      <x:c r="D238" s="11" t="n">
        <x:v>448.6</x:v>
      </x:c>
      <x:c r="E238" s="11" t="n">
        <x:v>50.4</x:v>
      </x:c>
      <x:c r="F238" s="2" t="n">
        <x:v>2</x:v>
      </x:c>
      <x:c r="G238" s="2"/>
      <x:c r="H238" s="2"/>
      <x:c r="I238" s="2"/>
      <x:c r="J238" s="2"/>
      <x:c r="K238" s="2"/>
      <x:c r="L238" s="2"/>
      <x:c r="M238" s="2"/>
      <x:c r="N238" s="2"/>
      <x:c r="O238" s="2"/>
      <x:c r="P238" s="2"/>
    </x:row>
    <x:row r="239" ht="22" customHeight="1">
      <x:c r="A239" s="12" t="n">
        <x:v>40452</x:v>
      </x:c>
      <x:c r="B239" s="2" t="str">
        <x:v>2010-10</x:v>
      </x:c>
      <x:c r="C239" s="2" t="str">
        <x:v>EIRE</x:v>
      </x:c>
      <x:c r="D239" s="11" t="n">
        <x:v>50079.05</x:v>
      </x:c>
      <x:c r="E239" s="11" t="n">
        <x:v>7253.36</x:v>
      </x:c>
      <x:c r="F239" s="2" t="n">
        <x:v>47</x:v>
      </x:c>
      <x:c r="G239" s="2"/>
      <x:c r="H239" s="2"/>
      <x:c r="I239" s="2"/>
      <x:c r="J239" s="2"/>
      <x:c r="K239" s="2"/>
      <x:c r="L239" s="2"/>
      <x:c r="M239" s="2"/>
      <x:c r="N239" s="2"/>
      <x:c r="O239" s="2"/>
      <x:c r="P239" s="2"/>
    </x:row>
    <x:row r="240" ht="22" customHeight="1">
      <x:c r="A240" s="12" t="n">
        <x:v>40452</x:v>
      </x:c>
      <x:c r="B240" s="2" t="str">
        <x:v>2010-10</x:v>
      </x:c>
      <x:c r="C240" s="2" t="str">
        <x:v>Finland</x:v>
      </x:c>
      <x:c r="D240" s="11" t="n">
        <x:v>1166.69</x:v>
      </x:c>
      <x:c r="E240" s="11" t="n">
        <x:v>29.3</x:v>
      </x:c>
      <x:c r="F240" s="2" t="n">
        <x:v>2</x:v>
      </x:c>
      <x:c r="G240" s="2"/>
      <x:c r="H240" s="2"/>
      <x:c r="I240" s="2"/>
      <x:c r="J240" s="2"/>
      <x:c r="K240" s="2"/>
      <x:c r="L240" s="2"/>
      <x:c r="M240" s="2"/>
      <x:c r="N240" s="2"/>
      <x:c r="O240" s="2"/>
      <x:c r="P240" s="2"/>
    </x:row>
    <x:row r="241" ht="22" customHeight="1">
      <x:c r="A241" s="12" t="n">
        <x:v>40452</x:v>
      </x:c>
      <x:c r="B241" s="2" t="str">
        <x:v>2010-10</x:v>
      </x:c>
      <x:c r="C241" s="2" t="str">
        <x:v>France</x:v>
      </x:c>
      <x:c r="D241" s="11" t="n">
        <x:v>15211.77</x:v>
      </x:c>
      <x:c r="E241" s="11" t="n">
        <x:v>609.24</x:v>
      </x:c>
      <x:c r="F241" s="2" t="n">
        <x:v>28</x:v>
      </x:c>
      <x:c r="G241" s="2"/>
      <x:c r="H241" s="2"/>
      <x:c r="I241" s="2"/>
      <x:c r="J241" s="2"/>
      <x:c r="K241" s="2"/>
      <x:c r="L241" s="2"/>
      <x:c r="M241" s="2"/>
      <x:c r="N241" s="2"/>
      <x:c r="O241" s="2"/>
      <x:c r="P241" s="2"/>
    </x:row>
    <x:row r="242" ht="22" customHeight="1">
      <x:c r="A242" s="12" t="n">
        <x:v>40452</x:v>
      </x:c>
      <x:c r="B242" s="2" t="str">
        <x:v>2010-10</x:v>
      </x:c>
      <x:c r="C242" s="2" t="str">
        <x:v>Germany</x:v>
      </x:c>
      <x:c r="D242" s="11" t="n">
        <x:v>21561.63</x:v>
      </x:c>
      <x:c r="E242" s="11" t="n">
        <x:v>464.58</x:v>
      </x:c>
      <x:c r="F242" s="2" t="n">
        <x:v>38</x:v>
      </x:c>
      <x:c r="G242" s="2"/>
      <x:c r="H242" s="2"/>
      <x:c r="I242" s="2"/>
      <x:c r="J242" s="2"/>
      <x:c r="K242" s="2"/>
      <x:c r="L242" s="2"/>
      <x:c r="M242" s="2"/>
      <x:c r="N242" s="2"/>
      <x:c r="O242" s="2"/>
      <x:c r="P242" s="2"/>
    </x:row>
    <x:row r="243" ht="22" customHeight="1">
      <x:c r="A243" s="12" t="n">
        <x:v>40452</x:v>
      </x:c>
      <x:c r="B243" s="2" t="str">
        <x:v>2010-10</x:v>
      </x:c>
      <x:c r="C243" s="2" t="str">
        <x:v>Greece</x:v>
      </x:c>
      <x:c r="D243" s="11" t="n">
        <x:v>3084.02</x:v>
      </x:c>
      <x:c r="E243" s="11" t="n">
        <x:v>18.25</x:v>
      </x:c>
      <x:c r="F243" s="2" t="n">
        <x:v>1</x:v>
      </x:c>
      <x:c r="G243" s="2"/>
      <x:c r="H243" s="2"/>
      <x:c r="I243" s="2"/>
      <x:c r="J243" s="2"/>
      <x:c r="K243" s="2"/>
      <x:c r="L243" s="2"/>
      <x:c r="M243" s="2"/>
      <x:c r="N243" s="2"/>
      <x:c r="O243" s="2"/>
      <x:c r="P243" s="2"/>
    </x:row>
    <x:row r="244" ht="22" customHeight="1">
      <x:c r="A244" s="12" t="n">
        <x:v>40452</x:v>
      </x:c>
      <x:c r="B244" s="2" t="str">
        <x:v>2010-10</x:v>
      </x:c>
      <x:c r="C244" s="2" t="str">
        <x:v>Iceland</x:v>
      </x:c>
      <x:c r="D244" s="11" t="n">
        <x:v>611.53</x:v>
      </x:c>
      <x:c r="E244" s="11" t="n">
        <x:v>0</x:v>
      </x:c>
      <x:c r="F244" s="2" t="n">
        <x:v>1</x:v>
      </x:c>
      <x:c r="G244" s="2"/>
      <x:c r="H244" s="2"/>
      <x:c r="I244" s="2"/>
      <x:c r="J244" s="2"/>
      <x:c r="K244" s="2"/>
      <x:c r="L244" s="2"/>
      <x:c r="M244" s="2"/>
      <x:c r="N244" s="2"/>
      <x:c r="O244" s="2"/>
      <x:c r="P244" s="2"/>
    </x:row>
    <x:row r="245" ht="22" customHeight="1">
      <x:c r="A245" s="12" t="n">
        <x:v>40452</x:v>
      </x:c>
      <x:c r="B245" s="2" t="str">
        <x:v>2010-10</x:v>
      </x:c>
      <x:c r="C245" s="2" t="str">
        <x:v>Italy</x:v>
      </x:c>
      <x:c r="D245" s="11" t="n">
        <x:v>5221.42</x:v>
      </x:c>
      <x:c r="E245" s="11" t="n">
        <x:v>442.25</x:v>
      </x:c>
      <x:c r="F245" s="2" t="n">
        <x:v>7</x:v>
      </x:c>
      <x:c r="G245" s="2"/>
      <x:c r="H245" s="2"/>
      <x:c r="I245" s="2"/>
      <x:c r="J245" s="2"/>
      <x:c r="K245" s="2"/>
      <x:c r="L245" s="2"/>
      <x:c r="M245" s="2"/>
      <x:c r="N245" s="2"/>
      <x:c r="O245" s="2"/>
      <x:c r="P245" s="2"/>
    </x:row>
    <x:row r="246" ht="22" customHeight="1">
      <x:c r="A246" s="12" t="n">
        <x:v>40452</x:v>
      </x:c>
      <x:c r="B246" s="2" t="str">
        <x:v>2010-10</x:v>
      </x:c>
      <x:c r="C246" s="2" t="str">
        <x:v>Japan</x:v>
      </x:c>
      <x:c r="D246" s="11" t="n">
        <x:v>1533.8899999999999</x:v>
      </x:c>
      <x:c r="E246" s="11" t="n">
        <x:v>0</x:v>
      </x:c>
      <x:c r="F246" s="2" t="n">
        <x:v>1</x:v>
      </x:c>
      <x:c r="G246" s="2"/>
      <x:c r="H246" s="2"/>
      <x:c r="I246" s="2"/>
      <x:c r="J246" s="2"/>
      <x:c r="K246" s="2"/>
      <x:c r="L246" s="2"/>
      <x:c r="M246" s="2"/>
      <x:c r="N246" s="2"/>
      <x:c r="O246" s="2"/>
      <x:c r="P246" s="2"/>
    </x:row>
    <x:row r="247" ht="22" customHeight="1">
      <x:c r="A247" s="12" t="n">
        <x:v>40452</x:v>
      </x:c>
      <x:c r="B247" s="2" t="str">
        <x:v>2010-10</x:v>
      </x:c>
      <x:c r="C247" s="2" t="str">
        <x:v>Korea</x:v>
      </x:c>
      <x:c r="D247" s="11" t="n">
        <x:v>0</x:v>
      </x:c>
      <x:c r="E247" s="11" t="n">
        <x:v>168.69000000000003</x:v>
      </x:c>
      <x:c r="F247" s="2" t="n">
        <x:v>0</x:v>
      </x:c>
      <x:c r="G247" s="2"/>
      <x:c r="H247" s="2"/>
      <x:c r="I247" s="2"/>
      <x:c r="J247" s="2"/>
      <x:c r="K247" s="2"/>
      <x:c r="L247" s="2"/>
      <x:c r="M247" s="2"/>
      <x:c r="N247" s="2"/>
      <x:c r="O247" s="2"/>
      <x:c r="P247" s="2"/>
    </x:row>
    <x:row r="248" ht="22" customHeight="1">
      <x:c r="A248" s="12" t="n">
        <x:v>40452</x:v>
      </x:c>
      <x:c r="B248" s="2" t="str">
        <x:v>2010-10</x:v>
      </x:c>
      <x:c r="C248" s="2" t="str">
        <x:v>Lebanon</x:v>
      </x:c>
      <x:c r="D248" s="11" t="n">
        <x:v>0</x:v>
      </x:c>
      <x:c r="E248" s="11" t="n">
        <x:v>39.67</x:v>
      </x:c>
      <x:c r="F248" s="2" t="n">
        <x:v>0</x:v>
      </x:c>
      <x:c r="G248" s="2"/>
      <x:c r="H248" s="2"/>
      <x:c r="I248" s="2"/>
      <x:c r="J248" s="2"/>
      <x:c r="K248" s="2"/>
      <x:c r="L248" s="2"/>
      <x:c r="M248" s="2"/>
      <x:c r="N248" s="2"/>
      <x:c r="O248" s="2"/>
      <x:c r="P248" s="2"/>
    </x:row>
    <x:row r="249" ht="22" customHeight="1">
      <x:c r="A249" s="12" t="n">
        <x:v>40452</x:v>
      </x:c>
      <x:c r="B249" s="2" t="str">
        <x:v>2010-10</x:v>
      </x:c>
      <x:c r="C249" s="2" t="str">
        <x:v>Netherlands</x:v>
      </x:c>
      <x:c r="D249" s="11" t="n">
        <x:v>17265.85</x:v>
      </x:c>
      <x:c r="E249" s="11" t="n">
        <x:v>324.24</x:v>
      </x:c>
      <x:c r="F249" s="2" t="n">
        <x:v>12</x:v>
      </x:c>
      <x:c r="G249" s="2"/>
      <x:c r="H249" s="2"/>
      <x:c r="I249" s="2"/>
      <x:c r="J249" s="2"/>
      <x:c r="K249" s="2"/>
      <x:c r="L249" s="2"/>
      <x:c r="M249" s="2"/>
      <x:c r="N249" s="2"/>
      <x:c r="O249" s="2"/>
      <x:c r="P249" s="2"/>
    </x:row>
    <x:row r="250" ht="22" customHeight="1">
      <x:c r="A250" s="12" t="n">
        <x:v>40452</x:v>
      </x:c>
      <x:c r="B250" s="2" t="str">
        <x:v>2010-10</x:v>
      </x:c>
      <x:c r="C250" s="2" t="str">
        <x:v>Portugal</x:v>
      </x:c>
      <x:c r="D250" s="11" t="n">
        <x:v>2978.23</x:v>
      </x:c>
      <x:c r="E250" s="11" t="n">
        <x:v>75.45</x:v>
      </x:c>
      <x:c r="F250" s="2" t="n">
        <x:v>5</x:v>
      </x:c>
      <x:c r="G250" s="2"/>
      <x:c r="H250" s="2"/>
      <x:c r="I250" s="2"/>
      <x:c r="J250" s="2"/>
      <x:c r="K250" s="2"/>
      <x:c r="L250" s="2"/>
      <x:c r="M250" s="2"/>
      <x:c r="N250" s="2"/>
      <x:c r="O250" s="2"/>
      <x:c r="P250" s="2"/>
    </x:row>
    <x:row r="251" ht="22" customHeight="1">
      <x:c r="A251" s="12" t="n">
        <x:v>40452</x:v>
      </x:c>
      <x:c r="B251" s="2" t="str">
        <x:v>2010-10</x:v>
      </x:c>
      <x:c r="C251" s="2" t="str">
        <x:v>RSA</x:v>
      </x:c>
      <x:c r="D251" s="11" t="n">
        <x:v>1435.29</x:v>
      </x:c>
      <x:c r="E251" s="11" t="n">
        <x:v>0</x:v>
      </x:c>
      <x:c r="F251" s="2" t="n">
        <x:v>1</x:v>
      </x:c>
      <x:c r="G251" s="2"/>
      <x:c r="H251" s="2"/>
      <x:c r="I251" s="2"/>
      <x:c r="J251" s="2"/>
      <x:c r="K251" s="2"/>
      <x:c r="L251" s="2"/>
      <x:c r="M251" s="2"/>
      <x:c r="N251" s="2"/>
      <x:c r="O251" s="2"/>
      <x:c r="P251" s="2"/>
    </x:row>
    <x:row r="252" ht="22" customHeight="1">
      <x:c r="A252" s="12" t="n">
        <x:v>40452</x:v>
      </x:c>
      <x:c r="B252" s="2" t="str">
        <x:v>2010-10</x:v>
      </x:c>
      <x:c r="C252" s="2" t="str">
        <x:v>Spain</x:v>
      </x:c>
      <x:c r="D252" s="11" t="n">
        <x:v>14088.5</x:v>
      </x:c>
      <x:c r="E252" s="11" t="n">
        <x:v>4733.52</x:v>
      </x:c>
      <x:c r="F252" s="2" t="n">
        <x:v>10</x:v>
      </x:c>
      <x:c r="G252" s="2"/>
      <x:c r="H252" s="2"/>
      <x:c r="I252" s="2"/>
      <x:c r="J252" s="2"/>
      <x:c r="K252" s="2"/>
      <x:c r="L252" s="2"/>
      <x:c r="M252" s="2"/>
      <x:c r="N252" s="2"/>
      <x:c r="O252" s="2"/>
      <x:c r="P252" s="2"/>
    </x:row>
    <x:row r="253" ht="22" customHeight="1">
      <x:c r="A253" s="12" t="n">
        <x:v>40452</x:v>
      </x:c>
      <x:c r="B253" s="2" t="str">
        <x:v>2010-10</x:v>
      </x:c>
      <x:c r="C253" s="2" t="str">
        <x:v>Sweden</x:v>
      </x:c>
      <x:c r="D253" s="11" t="n">
        <x:v>9369.41</x:v>
      </x:c>
      <x:c r="E253" s="11" t="n">
        <x:v>52.46</x:v>
      </x:c>
      <x:c r="F253" s="2" t="n">
        <x:v>8</x:v>
      </x:c>
      <x:c r="G253" s="2"/>
      <x:c r="H253" s="2"/>
      <x:c r="I253" s="2"/>
      <x:c r="J253" s="2"/>
      <x:c r="K253" s="2"/>
      <x:c r="L253" s="2"/>
      <x:c r="M253" s="2"/>
      <x:c r="N253" s="2"/>
      <x:c r="O253" s="2"/>
      <x:c r="P253" s="2"/>
    </x:row>
    <x:row r="254" ht="22" customHeight="1">
      <x:c r="A254" s="12" t="n">
        <x:v>40452</x:v>
      </x:c>
      <x:c r="B254" s="2" t="str">
        <x:v>2010-10</x:v>
      </x:c>
      <x:c r="C254" s="2" t="str">
        <x:v>Switzerland</x:v>
      </x:c>
      <x:c r="D254" s="11" t="n">
        <x:v>8629.69</x:v>
      </x:c>
      <x:c r="E254" s="11" t="n">
        <x:v>78.14999999999999</x:v>
      </x:c>
      <x:c r="F254" s="2" t="n">
        <x:v>6</x:v>
      </x:c>
      <x:c r="G254" s="2"/>
      <x:c r="H254" s="2"/>
      <x:c r="I254" s="2"/>
      <x:c r="J254" s="2"/>
      <x:c r="K254" s="2"/>
      <x:c r="L254" s="2"/>
      <x:c r="M254" s="2"/>
      <x:c r="N254" s="2"/>
      <x:c r="O254" s="2"/>
      <x:c r="P254" s="2"/>
    </x:row>
    <x:row r="255" ht="22" customHeight="1">
      <x:c r="A255" s="12" t="n">
        <x:v>40452</x:v>
      </x:c>
      <x:c r="B255" s="2" t="str">
        <x:v>2010-10</x:v>
      </x:c>
      <x:c r="C255" s="2" t="str">
        <x:v>USA</x:v>
      </x:c>
      <x:c r="D255" s="11" t="n">
        <x:v>132.8</x:v>
      </x:c>
      <x:c r="E255" s="11" t="n">
        <x:v>0</x:v>
      </x:c>
      <x:c r="F255" s="2" t="n">
        <x:v>1</x:v>
      </x:c>
      <x:c r="G255" s="2"/>
      <x:c r="H255" s="2"/>
      <x:c r="I255" s="2"/>
      <x:c r="J255" s="2"/>
      <x:c r="K255" s="2"/>
      <x:c r="L255" s="2"/>
      <x:c r="M255" s="2"/>
      <x:c r="N255" s="2"/>
      <x:c r="O255" s="2"/>
      <x:c r="P255" s="2"/>
    </x:row>
    <x:row r="256" ht="22" customHeight="1">
      <x:c r="A256" s="12" t="n">
        <x:v>40452</x:v>
      </x:c>
      <x:c r="B256" s="2" t="str">
        <x:v>2010-10</x:v>
      </x:c>
      <x:c r="C256" s="2" t="str">
        <x:v>United Arab Emirates</x:v>
      </x:c>
      <x:c r="D256" s="11" t="n">
        <x:v>509.92</x:v>
      </x:c>
      <x:c r="E256" s="11" t="n">
        <x:v>76.32000000000001</x:v>
      </x:c>
      <x:c r="F256" s="2" t="n">
        <x:v>2</x:v>
      </x:c>
      <x:c r="G256" s="2"/>
      <x:c r="H256" s="2"/>
      <x:c r="I256" s="2"/>
      <x:c r="J256" s="2"/>
      <x:c r="K256" s="2"/>
      <x:c r="L256" s="2"/>
      <x:c r="M256" s="2"/>
      <x:c r="N256" s="2"/>
      <x:c r="O256" s="2"/>
      <x:c r="P256" s="2"/>
    </x:row>
    <x:row r="257" ht="22" customHeight="1">
      <x:c r="A257" s="12" t="n">
        <x:v>40452</x:v>
      </x:c>
      <x:c r="B257" s="2" t="str">
        <x:v>2010-10</x:v>
      </x:c>
      <x:c r="C257" s="2" t="str">
        <x:v>United Kingdom</x:v>
      </x:c>
      <x:c r="D257" s="11" t="n">
        <x:v>1000408.88</x:v>
      </x:c>
      <x:c r="E257" s="11" t="n">
        <x:v>66916.16</x:v>
      </x:c>
      <x:c r="F257" s="2" t="n">
        <x:v>2104</x:v>
      </x:c>
      <x:c r="G257" s="2"/>
      <x:c r="H257" s="2"/>
      <x:c r="I257" s="2"/>
      <x:c r="J257" s="2"/>
      <x:c r="K257" s="2"/>
      <x:c r="L257" s="2"/>
      <x:c r="M257" s="2"/>
      <x:c r="N257" s="2"/>
      <x:c r="O257" s="2"/>
      <x:c r="P257" s="2"/>
    </x:row>
    <x:row r="258" ht="22" customHeight="1">
      <x:c r="A258" s="12" t="n">
        <x:v>40483</x:v>
      </x:c>
      <x:c r="B258" s="2" t="str">
        <x:v>2010-11</x:v>
      </x:c>
      <x:c r="C258" s="2" t="str">
        <x:v>Australia</x:v>
      </x:c>
      <x:c r="D258" s="11" t="n">
        <x:v>18245.52</x:v>
      </x:c>
      <x:c r="E258" s="11" t="n">
        <x:v>37.7</x:v>
      </x:c>
      <x:c r="F258" s="2" t="n">
        <x:v>5</x:v>
      </x:c>
      <x:c r="G258" s="2"/>
      <x:c r="H258" s="2"/>
      <x:c r="I258" s="2"/>
      <x:c r="J258" s="2"/>
      <x:c r="K258" s="2"/>
      <x:c r="L258" s="2"/>
      <x:c r="M258" s="2"/>
      <x:c r="N258" s="2"/>
      <x:c r="O258" s="2"/>
      <x:c r="P258" s="2"/>
    </x:row>
    <x:row r="259" ht="22" customHeight="1">
      <x:c r="A259" s="12" t="n">
        <x:v>40483</x:v>
      </x:c>
      <x:c r="B259" s="2" t="str">
        <x:v>2010-11</x:v>
      </x:c>
      <x:c r="C259" s="2" t="str">
        <x:v>Austria</x:v>
      </x:c>
      <x:c r="D259" s="11" t="n">
        <x:v>2873.3</x:v>
      </x:c>
      <x:c r="E259" s="11" t="n">
        <x:v>0</x:v>
      </x:c>
      <x:c r="F259" s="2" t="n">
        <x:v>5</x:v>
      </x:c>
      <x:c r="G259" s="2"/>
      <x:c r="H259" s="2"/>
      <x:c r="I259" s="2"/>
      <x:c r="J259" s="2"/>
      <x:c r="K259" s="2"/>
      <x:c r="L259" s="2"/>
      <x:c r="M259" s="2"/>
      <x:c r="N259" s="2"/>
      <x:c r="O259" s="2"/>
      <x:c r="P259" s="2"/>
    </x:row>
    <x:row r="260" ht="22" customHeight="1">
      <x:c r="A260" s="12" t="n">
        <x:v>40483</x:v>
      </x:c>
      <x:c r="B260" s="2" t="str">
        <x:v>2010-11</x:v>
      </x:c>
      <x:c r="C260" s="2" t="str">
        <x:v>Belgium</x:v>
      </x:c>
      <x:c r="D260" s="11" t="n">
        <x:v>5252.9800000000005</x:v>
      </x:c>
      <x:c r="E260" s="11" t="n">
        <x:v>74.7</x:v>
      </x:c>
      <x:c r="F260" s="2" t="n">
        <x:v>7</x:v>
      </x:c>
      <x:c r="G260" s="2"/>
      <x:c r="H260" s="2"/>
      <x:c r="I260" s="2"/>
      <x:c r="J260" s="2"/>
      <x:c r="K260" s="2"/>
      <x:c r="L260" s="2"/>
      <x:c r="M260" s="2"/>
      <x:c r="N260" s="2"/>
      <x:c r="O260" s="2"/>
      <x:c r="P260" s="2"/>
    </x:row>
    <x:row r="261" ht="22" customHeight="1">
      <x:c r="A261" s="12" t="n">
        <x:v>40483</x:v>
      </x:c>
      <x:c r="B261" s="2" t="str">
        <x:v>2010-11</x:v>
      </x:c>
      <x:c r="C261" s="2" t="str">
        <x:v>Canada</x:v>
      </x:c>
      <x:c r="D261" s="11" t="n">
        <x:v>381.77000000000004</x:v>
      </x:c>
      <x:c r="E261" s="11" t="n">
        <x:v>0</x:v>
      </x:c>
      <x:c r="F261" s="2" t="n">
        <x:v>1</x:v>
      </x:c>
      <x:c r="G261" s="2"/>
      <x:c r="H261" s="2"/>
      <x:c r="I261" s="2"/>
      <x:c r="J261" s="2"/>
      <x:c r="K261" s="2"/>
      <x:c r="L261" s="2"/>
      <x:c r="M261" s="2"/>
      <x:c r="N261" s="2"/>
      <x:c r="O261" s="2"/>
      <x:c r="P261" s="2"/>
    </x:row>
    <x:row r="262" ht="22" customHeight="1">
      <x:c r="A262" s="12" t="n">
        <x:v>40483</x:v>
      </x:c>
      <x:c r="B262" s="2" t="str">
        <x:v>2010-11</x:v>
      </x:c>
      <x:c r="C262" s="2" t="str">
        <x:v>Channel Islands</x:v>
      </x:c>
      <x:c r="D262" s="11" t="n">
        <x:v>2278.73</x:v>
      </x:c>
      <x:c r="E262" s="11" t="n">
        <x:v>1057.3</x:v>
      </x:c>
      <x:c r="F262" s="2" t="n">
        <x:v>3</x:v>
      </x:c>
      <x:c r="G262" s="2"/>
      <x:c r="H262" s="2"/>
      <x:c r="I262" s="2"/>
      <x:c r="J262" s="2"/>
      <x:c r="K262" s="2"/>
      <x:c r="L262" s="2"/>
      <x:c r="M262" s="2"/>
      <x:c r="N262" s="2"/>
      <x:c r="O262" s="2"/>
      <x:c r="P262" s="2"/>
    </x:row>
    <x:row r="263" ht="22" customHeight="1">
      <x:c r="A263" s="12" t="n">
        <x:v>40483</x:v>
      </x:c>
      <x:c r="B263" s="2" t="str">
        <x:v>2010-11</x:v>
      </x:c>
      <x:c r="C263" s="2" t="str">
        <x:v>Cyprus</x:v>
      </x:c>
      <x:c r="D263" s="11" t="n">
        <x:v>397.59999999999997</x:v>
      </x:c>
      <x:c r="E263" s="11" t="n">
        <x:v>0</x:v>
      </x:c>
      <x:c r="F263" s="2" t="n">
        <x:v>1</x:v>
      </x:c>
      <x:c r="G263" s="2"/>
      <x:c r="H263" s="2"/>
      <x:c r="I263" s="2"/>
      <x:c r="J263" s="2"/>
      <x:c r="K263" s="2"/>
      <x:c r="L263" s="2"/>
      <x:c r="M263" s="2"/>
      <x:c r="N263" s="2"/>
      <x:c r="O263" s="2"/>
      <x:c r="P263" s="2"/>
    </x:row>
    <x:row r="264" ht="22" customHeight="1">
      <x:c r="A264" s="12" t="n">
        <x:v>40483</x:v>
      </x:c>
      <x:c r="B264" s="2" t="str">
        <x:v>2010-11</x:v>
      </x:c>
      <x:c r="C264" s="2" t="str">
        <x:v>Denmark</x:v>
      </x:c>
      <x:c r="D264" s="11" t="n">
        <x:v>4059.96</x:v>
      </x:c>
      <x:c r="E264" s="11" t="n">
        <x:v>183.60000000000002</x:v>
      </x:c>
      <x:c r="F264" s="2" t="n">
        <x:v>3</x:v>
      </x:c>
      <x:c r="G264" s="2"/>
      <x:c r="H264" s="2"/>
      <x:c r="I264" s="2"/>
      <x:c r="J264" s="2"/>
      <x:c r="K264" s="2"/>
      <x:c r="L264" s="2"/>
      <x:c r="M264" s="2"/>
      <x:c r="N264" s="2"/>
      <x:c r="O264" s="2"/>
      <x:c r="P264" s="2"/>
    </x:row>
    <x:row r="265" ht="22" customHeight="1">
      <x:c r="A265" s="12" t="n">
        <x:v>40483</x:v>
      </x:c>
      <x:c r="B265" s="2" t="str">
        <x:v>2010-11</x:v>
      </x:c>
      <x:c r="C265" s="2" t="str">
        <x:v>EIRE</x:v>
      </x:c>
      <x:c r="D265" s="11" t="n">
        <x:v>31031.31</x:v>
      </x:c>
      <x:c r="E265" s="11" t="n">
        <x:v>557.17</x:v>
      </x:c>
      <x:c r="F265" s="2" t="n">
        <x:v>42</x:v>
      </x:c>
      <x:c r="G265" s="2"/>
      <x:c r="H265" s="2"/>
      <x:c r="I265" s="2"/>
      <x:c r="J265" s="2"/>
      <x:c r="K265" s="2"/>
      <x:c r="L265" s="2"/>
      <x:c r="M265" s="2"/>
      <x:c r="N265" s="2"/>
      <x:c r="O265" s="2"/>
      <x:c r="P265" s="2"/>
    </x:row>
    <x:row r="266" ht="22" customHeight="1">
      <x:c r="A266" s="12" t="n">
        <x:v>40483</x:v>
      </x:c>
      <x:c r="B266" s="2" t="str">
        <x:v>2010-11</x:v>
      </x:c>
      <x:c r="C266" s="2" t="str">
        <x:v>Finland</x:v>
      </x:c>
      <x:c r="D266" s="11" t="n">
        <x:v>414.98</x:v>
      </x:c>
      <x:c r="E266" s="11" t="n">
        <x:v>0</x:v>
      </x:c>
      <x:c r="F266" s="2" t="n">
        <x:v>2</x:v>
      </x:c>
      <x:c r="G266" s="2"/>
      <x:c r="H266" s="2"/>
      <x:c r="I266" s="2"/>
      <x:c r="J266" s="2"/>
      <x:c r="K266" s="2"/>
      <x:c r="L266" s="2"/>
      <x:c r="M266" s="2"/>
      <x:c r="N266" s="2"/>
      <x:c r="O266" s="2"/>
      <x:c r="P266" s="2"/>
    </x:row>
    <x:row r="267" ht="22" customHeight="1">
      <x:c r="A267" s="12" t="n">
        <x:v>40483</x:v>
      </x:c>
      <x:c r="B267" s="2" t="str">
        <x:v>2010-11</x:v>
      </x:c>
      <x:c r="C267" s="2" t="str">
        <x:v>France</x:v>
      </x:c>
      <x:c r="D267" s="11" t="n">
        <x:v>19618.27</x:v>
      </x:c>
      <x:c r="E267" s="11" t="n">
        <x:v>120.39999999999999</x:v>
      </x:c>
      <x:c r="F267" s="2" t="n">
        <x:v>40</x:v>
      </x:c>
      <x:c r="G267" s="2"/>
      <x:c r="H267" s="2"/>
      <x:c r="I267" s="2"/>
      <x:c r="J267" s="2"/>
      <x:c r="K267" s="2"/>
      <x:c r="L267" s="2"/>
      <x:c r="M267" s="2"/>
      <x:c r="N267" s="2"/>
      <x:c r="O267" s="2"/>
      <x:c r="P267" s="2"/>
    </x:row>
    <x:row r="268" ht="22" customHeight="1">
      <x:c r="A268" s="12" t="n">
        <x:v>40483</x:v>
      </x:c>
      <x:c r="B268" s="2" t="str">
        <x:v>2010-11</x:v>
      </x:c>
      <x:c r="C268" s="2" t="str">
        <x:v>Germany</x:v>
      </x:c>
      <x:c r="D268" s="11" t="n">
        <x:v>30240.51</x:v>
      </x:c>
      <x:c r="E268" s="11" t="n">
        <x:v>613.6</x:v>
      </x:c>
      <x:c r="F268" s="2" t="n">
        <x:v>43</x:v>
      </x:c>
      <x:c r="G268" s="2"/>
      <x:c r="H268" s="2"/>
      <x:c r="I268" s="2"/>
      <x:c r="J268" s="2"/>
      <x:c r="K268" s="2"/>
      <x:c r="L268" s="2"/>
      <x:c r="M268" s="2"/>
      <x:c r="N268" s="2"/>
      <x:c r="O268" s="2"/>
      <x:c r="P268" s="2"/>
    </x:row>
    <x:row r="269" ht="22" customHeight="1">
      <x:c r="A269" s="12" t="n">
        <x:v>40483</x:v>
      </x:c>
      <x:c r="B269" s="2" t="str">
        <x:v>2010-11</x:v>
      </x:c>
      <x:c r="C269" s="2" t="str">
        <x:v>Greece</x:v>
      </x:c>
      <x:c r="D269" s="11" t="n">
        <x:v>761.3</x:v>
      </x:c>
      <x:c r="E269" s="11" t="n">
        <x:v>0</x:v>
      </x:c>
      <x:c r="F269" s="2" t="n">
        <x:v>1</x:v>
      </x:c>
      <x:c r="G269" s="2"/>
      <x:c r="H269" s="2"/>
      <x:c r="I269" s="2"/>
      <x:c r="J269" s="2"/>
      <x:c r="K269" s="2"/>
      <x:c r="L269" s="2"/>
      <x:c r="M269" s="2"/>
      <x:c r="N269" s="2"/>
      <x:c r="O269" s="2"/>
      <x:c r="P269" s="2"/>
    </x:row>
    <x:row r="270" ht="22" customHeight="1">
      <x:c r="A270" s="12" t="n">
        <x:v>40483</x:v>
      </x:c>
      <x:c r="B270" s="2" t="str">
        <x:v>2010-11</x:v>
      </x:c>
      <x:c r="C270" s="2" t="str">
        <x:v>Israel</x:v>
      </x:c>
      <x:c r="D270" s="11" t="n">
        <x:v>1248.42</x:v>
      </x:c>
      <x:c r="E270" s="11" t="n">
        <x:v>0</x:v>
      </x:c>
      <x:c r="F270" s="2" t="n">
        <x:v>1</x:v>
      </x:c>
      <x:c r="G270" s="2"/>
      <x:c r="H270" s="2"/>
      <x:c r="I270" s="2"/>
      <x:c r="J270" s="2"/>
      <x:c r="K270" s="2"/>
      <x:c r="L270" s="2"/>
      <x:c r="M270" s="2"/>
      <x:c r="N270" s="2"/>
      <x:c r="O270" s="2"/>
      <x:c r="P270" s="2"/>
    </x:row>
    <x:row r="271" ht="22" customHeight="1">
      <x:c r="A271" s="12" t="n">
        <x:v>40483</x:v>
      </x:c>
      <x:c r="B271" s="2" t="str">
        <x:v>2010-11</x:v>
      </x:c>
      <x:c r="C271" s="2" t="str">
        <x:v>Italy</x:v>
      </x:c>
      <x:c r="D271" s="11" t="n">
        <x:v>2673.16</x:v>
      </x:c>
      <x:c r="E271" s="11" t="n">
        <x:v>110.38</x:v>
      </x:c>
      <x:c r="F271" s="2" t="n">
        <x:v>6</x:v>
      </x:c>
      <x:c r="G271" s="2"/>
      <x:c r="H271" s="2"/>
      <x:c r="I271" s="2"/>
      <x:c r="J271" s="2"/>
      <x:c r="K271" s="2"/>
      <x:c r="L271" s="2"/>
      <x:c r="M271" s="2"/>
      <x:c r="N271" s="2"/>
      <x:c r="O271" s="2"/>
      <x:c r="P271" s="2"/>
    </x:row>
    <x:row r="272" ht="22" customHeight="1">
      <x:c r="A272" s="12" t="n">
        <x:v>40483</x:v>
      </x:c>
      <x:c r="B272" s="2" t="str">
        <x:v>2010-11</x:v>
      </x:c>
      <x:c r="C272" s="2" t="str">
        <x:v>Japan</x:v>
      </x:c>
      <x:c r="D272" s="11" t="n">
        <x:v>23.6</x:v>
      </x:c>
      <x:c r="E272" s="11" t="n">
        <x:v>227.6</x:v>
      </x:c>
      <x:c r="F272" s="2" t="n">
        <x:v>3</x:v>
      </x:c>
      <x:c r="G272" s="2"/>
      <x:c r="H272" s="2"/>
      <x:c r="I272" s="2"/>
      <x:c r="J272" s="2"/>
      <x:c r="K272" s="2"/>
      <x:c r="L272" s="2"/>
      <x:c r="M272" s="2"/>
      <x:c r="N272" s="2"/>
      <x:c r="O272" s="2"/>
      <x:c r="P272" s="2"/>
    </x:row>
    <x:row r="273" ht="22" customHeight="1">
      <x:c r="A273" s="12" t="n">
        <x:v>40483</x:v>
      </x:c>
      <x:c r="B273" s="2" t="str">
        <x:v>2010-11</x:v>
      </x:c>
      <x:c r="C273" s="2" t="str">
        <x:v>Korea</x:v>
      </x:c>
      <x:c r="D273" s="11" t="n">
        <x:v>949.82</x:v>
      </x:c>
      <x:c r="E273" s="11" t="n">
        <x:v>0</x:v>
      </x:c>
      <x:c r="F273" s="2" t="n">
        <x:v>1</x:v>
      </x:c>
      <x:c r="G273" s="2"/>
      <x:c r="H273" s="2"/>
      <x:c r="I273" s="2"/>
      <x:c r="J273" s="2"/>
      <x:c r="K273" s="2"/>
      <x:c r="L273" s="2"/>
      <x:c r="M273" s="2"/>
      <x:c r="N273" s="2"/>
      <x:c r="O273" s="2"/>
      <x:c r="P273" s="2"/>
    </x:row>
    <x:row r="274" ht="22" customHeight="1">
      <x:c r="A274" s="12" t="n">
        <x:v>40483</x:v>
      </x:c>
      <x:c r="B274" s="2" t="str">
        <x:v>2010-11</x:v>
      </x:c>
      <x:c r="C274" s="2" t="str">
        <x:v>Lithuania</x:v>
      </x:c>
      <x:c r="D274" s="11" t="n">
        <x:v>1525.39</x:v>
      </x:c>
      <x:c r="E274" s="11" t="n">
        <x:v>0</x:v>
      </x:c>
      <x:c r="F274" s="2" t="n">
        <x:v>1</x:v>
      </x:c>
      <x:c r="G274" s="2"/>
      <x:c r="H274" s="2"/>
      <x:c r="I274" s="2"/>
      <x:c r="J274" s="2"/>
      <x:c r="K274" s="2"/>
      <x:c r="L274" s="2"/>
      <x:c r="M274" s="2"/>
      <x:c r="N274" s="2"/>
      <x:c r="O274" s="2"/>
      <x:c r="P274" s="2"/>
    </x:row>
    <x:row r="275" ht="22" customHeight="1">
      <x:c r="A275" s="12" t="n">
        <x:v>40483</x:v>
      </x:c>
      <x:c r="B275" s="2" t="str">
        <x:v>2010-11</x:v>
      </x:c>
      <x:c r="C275" s="2" t="str">
        <x:v>Netherlands</x:v>
      </x:c>
      <x:c r="D275" s="11" t="n">
        <x:v>36058.74</x:v>
      </x:c>
      <x:c r="E275" s="11" t="n">
        <x:v>2383.83</x:v>
      </x:c>
      <x:c r="F275" s="2" t="n">
        <x:v>22</x:v>
      </x:c>
      <x:c r="G275" s="2"/>
      <x:c r="H275" s="2"/>
      <x:c r="I275" s="2"/>
      <x:c r="J275" s="2"/>
      <x:c r="K275" s="2"/>
      <x:c r="L275" s="2"/>
      <x:c r="M275" s="2"/>
      <x:c r="N275" s="2"/>
      <x:c r="O275" s="2"/>
      <x:c r="P275" s="2"/>
    </x:row>
    <x:row r="276" ht="22" customHeight="1">
      <x:c r="A276" s="12" t="n">
        <x:v>40483</x:v>
      </x:c>
      <x:c r="B276" s="2" t="str">
        <x:v>2010-11</x:v>
      </x:c>
      <x:c r="C276" s="2" t="str">
        <x:v>Norway</x:v>
      </x:c>
      <x:c r="D276" s="11" t="n">
        <x:v>4629.32</x:v>
      </x:c>
      <x:c r="E276" s="11" t="n">
        <x:v>0</x:v>
      </x:c>
      <x:c r="F276" s="2" t="n">
        <x:v>4</x:v>
      </x:c>
      <x:c r="G276" s="2"/>
      <x:c r="H276" s="2"/>
      <x:c r="I276" s="2"/>
      <x:c r="J276" s="2"/>
      <x:c r="K276" s="2"/>
      <x:c r="L276" s="2"/>
      <x:c r="M276" s="2"/>
      <x:c r="N276" s="2"/>
      <x:c r="O276" s="2"/>
      <x:c r="P276" s="2"/>
    </x:row>
    <x:row r="277" ht="22" customHeight="1">
      <x:c r="A277" s="12" t="n">
        <x:v>40483</x:v>
      </x:c>
      <x:c r="B277" s="2" t="str">
        <x:v>2010-11</x:v>
      </x:c>
      <x:c r="C277" s="2" t="str">
        <x:v>Poland</x:v>
      </x:c>
      <x:c r="D277" s="11" t="n">
        <x:v>821.14</x:v>
      </x:c>
      <x:c r="E277" s="11" t="n">
        <x:v>15</x:v>
      </x:c>
      <x:c r="F277" s="2" t="n">
        <x:v>2</x:v>
      </x:c>
      <x:c r="G277" s="2"/>
      <x:c r="H277" s="2"/>
      <x:c r="I277" s="2"/>
      <x:c r="J277" s="2"/>
      <x:c r="K277" s="2"/>
      <x:c r="L277" s="2"/>
      <x:c r="M277" s="2"/>
      <x:c r="N277" s="2"/>
      <x:c r="O277" s="2"/>
      <x:c r="P277" s="2"/>
    </x:row>
    <x:row r="278" ht="22" customHeight="1">
      <x:c r="A278" s="12" t="n">
        <x:v>40483</x:v>
      </x:c>
      <x:c r="B278" s="2" t="str">
        <x:v>2010-11</x:v>
      </x:c>
      <x:c r="C278" s="2" t="str">
        <x:v>Portugal</x:v>
      </x:c>
      <x:c r="D278" s="11" t="n">
        <x:v>5482.52</x:v>
      </x:c>
      <x:c r="E278" s="11" t="n">
        <x:v>47.8</x:v>
      </x:c>
      <x:c r="F278" s="2" t="n">
        <x:v>8</x:v>
      </x:c>
      <x:c r="G278" s="2"/>
      <x:c r="H278" s="2"/>
      <x:c r="I278" s="2"/>
      <x:c r="J278" s="2"/>
      <x:c r="K278" s="2"/>
      <x:c r="L278" s="2"/>
      <x:c r="M278" s="2"/>
      <x:c r="N278" s="2"/>
      <x:c r="O278" s="2"/>
      <x:c r="P278" s="2"/>
    </x:row>
    <x:row r="279" ht="22" customHeight="1">
      <x:c r="A279" s="12" t="n">
        <x:v>40483</x:v>
      </x:c>
      <x:c r="B279" s="2" t="str">
        <x:v>2010-11</x:v>
      </x:c>
      <x:c r="C279" s="2" t="str">
        <x:v>RSA</x:v>
      </x:c>
      <x:c r="D279" s="11" t="n">
        <x:v>1435.29</x:v>
      </x:c>
      <x:c r="E279" s="11" t="n">
        <x:v>1435.29</x:v>
      </x:c>
      <x:c r="F279" s="2" t="n">
        <x:v>1</x:v>
      </x:c>
      <x:c r="G279" s="2"/>
      <x:c r="H279" s="2"/>
      <x:c r="I279" s="2"/>
      <x:c r="J279" s="2"/>
      <x:c r="K279" s="2"/>
      <x:c r="L279" s="2"/>
      <x:c r="M279" s="2"/>
      <x:c r="N279" s="2"/>
      <x:c r="O279" s="2"/>
      <x:c r="P279" s="2"/>
    </x:row>
    <x:row r="280" ht="22" customHeight="1">
      <x:c r="A280" s="12" t="n">
        <x:v>40483</x:v>
      </x:c>
      <x:c r="B280" s="2" t="str">
        <x:v>2010-11</x:v>
      </x:c>
      <x:c r="C280" s="2" t="str">
        <x:v>Spain</x:v>
      </x:c>
      <x:c r="D280" s="11" t="n">
        <x:v>6126.21</x:v>
      </x:c>
      <x:c r="E280" s="11" t="n">
        <x:v>4107.46</x:v>
      </x:c>
      <x:c r="F280" s="2" t="n">
        <x:v>7</x:v>
      </x:c>
      <x:c r="G280" s="2"/>
      <x:c r="H280" s="2"/>
      <x:c r="I280" s="2"/>
      <x:c r="J280" s="2"/>
      <x:c r="K280" s="2"/>
      <x:c r="L280" s="2"/>
      <x:c r="M280" s="2"/>
      <x:c r="N280" s="2"/>
      <x:c r="O280" s="2"/>
      <x:c r="P280" s="2"/>
    </x:row>
    <x:row r="281" ht="22" customHeight="1">
      <x:c r="A281" s="12" t="n">
        <x:v>40483</x:v>
      </x:c>
      <x:c r="B281" s="2" t="str">
        <x:v>2010-11</x:v>
      </x:c>
      <x:c r="C281" s="2" t="str">
        <x:v>Sweden</x:v>
      </x:c>
      <x:c r="D281" s="11" t="n">
        <x:v>1933.91</x:v>
      </x:c>
      <x:c r="E281" s="11" t="n">
        <x:v>127.9</x:v>
      </x:c>
      <x:c r="F281" s="2" t="n">
        <x:v>5</x:v>
      </x:c>
      <x:c r="G281" s="2"/>
      <x:c r="H281" s="2"/>
      <x:c r="I281" s="2"/>
      <x:c r="J281" s="2"/>
      <x:c r="K281" s="2"/>
      <x:c r="L281" s="2"/>
      <x:c r="M281" s="2"/>
      <x:c r="N281" s="2"/>
      <x:c r="O281" s="2"/>
      <x:c r="P281" s="2"/>
    </x:row>
    <x:row r="282" ht="22" customHeight="1">
      <x:c r="A282" s="12" t="n">
        <x:v>40483</x:v>
      </x:c>
      <x:c r="B282" s="2" t="str">
        <x:v>2010-11</x:v>
      </x:c>
      <x:c r="C282" s="2" t="str">
        <x:v>Switzerland</x:v>
      </x:c>
      <x:c r="D282" s="11" t="n">
        <x:v>13570.73</x:v>
      </x:c>
      <x:c r="E282" s="11" t="n">
        <x:v>0</x:v>
      </x:c>
      <x:c r="F282" s="2" t="n">
        <x:v>6</x:v>
      </x:c>
      <x:c r="G282" s="2"/>
      <x:c r="H282" s="2"/>
      <x:c r="I282" s="2"/>
      <x:c r="J282" s="2"/>
      <x:c r="K282" s="2"/>
      <x:c r="L282" s="2"/>
      <x:c r="M282" s="2"/>
      <x:c r="N282" s="2"/>
      <x:c r="O282" s="2"/>
      <x:c r="P282" s="2"/>
    </x:row>
    <x:row r="283" ht="22" customHeight="1">
      <x:c r="A283" s="12" t="n">
        <x:v>40483</x:v>
      </x:c>
      <x:c r="B283" s="2" t="str">
        <x:v>2010-11</x:v>
      </x:c>
      <x:c r="C283" s="2" t="str">
        <x:v>USA</x:v>
      </x:c>
      <x:c r="D283" s="11" t="n">
        <x:v>402.59999999999997</x:v>
      </x:c>
      <x:c r="E283" s="11" t="n">
        <x:v>132.8</x:v>
      </x:c>
      <x:c r="F283" s="2" t="n">
        <x:v>1</x:v>
      </x:c>
      <x:c r="G283" s="2"/>
      <x:c r="H283" s="2"/>
      <x:c r="I283" s="2"/>
      <x:c r="J283" s="2"/>
      <x:c r="K283" s="2"/>
      <x:c r="L283" s="2"/>
      <x:c r="M283" s="2"/>
      <x:c r="N283" s="2"/>
      <x:c r="O283" s="2"/>
      <x:c r="P283" s="2"/>
    </x:row>
    <x:row r="284" ht="22" customHeight="1">
      <x:c r="A284" s="12" t="n">
        <x:v>40483</x:v>
      </x:c>
      <x:c r="B284" s="2" t="str">
        <x:v>2010-11</x:v>
      </x:c>
      <x:c r="C284" s="2" t="str">
        <x:v>United Arab Emirates</x:v>
      </x:c>
      <x:c r="D284" s="11" t="n">
        <x:v>1713.69</x:v>
      </x:c>
      <x:c r="E284" s="11" t="n">
        <x:v>0</x:v>
      </x:c>
      <x:c r="F284" s="2" t="n">
        <x:v>2</x:v>
      </x:c>
      <x:c r="G284" s="2"/>
      <x:c r="H284" s="2"/>
      <x:c r="I284" s="2"/>
      <x:c r="J284" s="2"/>
      <x:c r="K284" s="2"/>
      <x:c r="L284" s="2"/>
      <x:c r="M284" s="2"/>
      <x:c r="N284" s="2"/>
      <x:c r="O284" s="2"/>
      <x:c r="P284" s="2"/>
    </x:row>
    <x:row r="285" ht="22" customHeight="1">
      <x:c r="A285" s="12" t="n">
        <x:v>40483</x:v>
      </x:c>
      <x:c r="B285" s="2" t="str">
        <x:v>2010-11</x:v>
      </x:c>
      <x:c r="C285" s="2" t="str">
        <x:v>United Kingdom</x:v>
      </x:c>
      <x:c r="D285" s="11" t="n">
        <x:v>1275581.142</x:v>
      </x:c>
      <x:c r="E285" s="11" t="n">
        <x:v>36373.51</x:v>
      </x:c>
      <x:c r="F285" s="2" t="n">
        <x:v>2520</x:v>
      </x:c>
      <x:c r="G285" s="2"/>
      <x:c r="H285" s="2"/>
      <x:c r="I285" s="2"/>
      <x:c r="J285" s="2"/>
      <x:c r="K285" s="2"/>
      <x:c r="L285" s="2"/>
      <x:c r="M285" s="2"/>
      <x:c r="N285" s="2"/>
      <x:c r="O285" s="2"/>
      <x:c r="P285" s="2"/>
    </x:row>
    <x:row r="286" ht="22" customHeight="1">
      <x:c r="A286" s="12" t="n">
        <x:v>40483</x:v>
      </x:c>
      <x:c r="B286" s="2" t="str">
        <x:v>2010-11</x:v>
      </x:c>
      <x:c r="C286" s="2" t="str">
        <x:v>Unspecified</x:v>
      </x:c>
      <x:c r="D286" s="11" t="n">
        <x:v>540.57</x:v>
      </x:c>
      <x:c r="E286" s="11" t="n">
        <x:v>11.8</x:v>
      </x:c>
      <x:c r="F286" s="2" t="n">
        <x:v>4</x:v>
      </x:c>
      <x:c r="G286" s="2"/>
      <x:c r="H286" s="2"/>
      <x:c r="I286" s="2"/>
      <x:c r="J286" s="2"/>
      <x:c r="K286" s="2"/>
      <x:c r="L286" s="2"/>
      <x:c r="M286" s="2"/>
      <x:c r="N286" s="2"/>
      <x:c r="O286" s="2"/>
      <x:c r="P286" s="2"/>
    </x:row>
    <x:row r="287" ht="22" customHeight="1">
      <x:c r="A287" s="12" t="n">
        <x:v>40513</x:v>
      </x:c>
      <x:c r="B287" s="2" t="str">
        <x:v>2010-12</x:v>
      </x:c>
      <x:c r="C287" s="2" t="str">
        <x:v>Australia</x:v>
      </x:c>
      <x:c r="D287" s="11" t="n">
        <x:v>1032.85</x:v>
      </x:c>
      <x:c r="E287" s="11" t="n">
        <x:v>27.75</x:v>
      </x:c>
      <x:c r="F287" s="2" t="n">
        <x:v>3</x:v>
      </x:c>
      <x:c r="G287" s="2"/>
      <x:c r="H287" s="2"/>
      <x:c r="I287" s="2"/>
      <x:c r="J287" s="2"/>
      <x:c r="K287" s="2"/>
      <x:c r="L287" s="2"/>
      <x:c r="M287" s="2"/>
      <x:c r="N287" s="2"/>
      <x:c r="O287" s="2"/>
      <x:c r="P287" s="2"/>
    </x:row>
    <x:row r="288" ht="22" customHeight="1">
      <x:c r="A288" s="12" t="n">
        <x:v>40513</x:v>
      </x:c>
      <x:c r="B288" s="2" t="str">
        <x:v>2010-12</x:v>
      </x:c>
      <x:c r="C288" s="2" t="str">
        <x:v>Austria</x:v>
      </x:c>
      <x:c r="D288" s="11" t="n">
        <x:v>277.2</x:v>
      </x:c>
      <x:c r="E288" s="11" t="n">
        <x:v>20.16</x:v>
      </x:c>
      <x:c r="F288" s="2" t="n">
        <x:v>1</x:v>
      </x:c>
      <x:c r="G288" s="2"/>
      <x:c r="H288" s="2"/>
      <x:c r="I288" s="2"/>
      <x:c r="J288" s="2"/>
      <x:c r="K288" s="2"/>
      <x:c r="L288" s="2"/>
      <x:c r="M288" s="2"/>
      <x:c r="N288" s="2"/>
      <x:c r="O288" s="2"/>
      <x:c r="P288" s="2"/>
    </x:row>
    <x:row r="289" ht="22" customHeight="1">
      <x:c r="A289" s="12" t="n">
        <x:v>40513</x:v>
      </x:c>
      <x:c r="B289" s="2" t="str">
        <x:v>2010-12</x:v>
      </x:c>
      <x:c r="C289" s="2" t="str">
        <x:v>Bahrain</x:v>
      </x:c>
      <x:c r="D289" s="11" t="n">
        <x:v>205.74</x:v>
      </x:c>
      <x:c r="E289" s="11" t="n">
        <x:v>0</x:v>
      </x:c>
      <x:c r="F289" s="2" t="n">
        <x:v>1</x:v>
      </x:c>
      <x:c r="G289" s="2"/>
      <x:c r="H289" s="2"/>
      <x:c r="I289" s="2"/>
      <x:c r="J289" s="2"/>
      <x:c r="K289" s="2"/>
      <x:c r="L289" s="2"/>
      <x:c r="M289" s="2"/>
      <x:c r="N289" s="2"/>
      <x:c r="O289" s="2"/>
      <x:c r="P289" s="2"/>
    </x:row>
    <x:row r="290" ht="22" customHeight="1">
      <x:c r="A290" s="12" t="n">
        <x:v>40513</x:v>
      </x:c>
      <x:c r="B290" s="2" t="str">
        <x:v>2010-12</x:v>
      </x:c>
      <x:c r="C290" s="2" t="str">
        <x:v>Belgium</x:v>
      </x:c>
      <x:c r="D290" s="11" t="n">
        <x:v>1809.91</x:v>
      </x:c>
      <x:c r="E290" s="11" t="n">
        <x:v>0</x:v>
      </x:c>
      <x:c r="F290" s="2" t="n">
        <x:v>5</x:v>
      </x:c>
      <x:c r="G290" s="2"/>
      <x:c r="H290" s="2"/>
      <x:c r="I290" s="2"/>
      <x:c r="J290" s="2"/>
      <x:c r="K290" s="2"/>
      <x:c r="L290" s="2"/>
      <x:c r="M290" s="2"/>
      <x:c r="N290" s="2"/>
      <x:c r="O290" s="2"/>
      <x:c r="P290" s="2"/>
    </x:row>
    <x:row r="291" ht="22" customHeight="1">
      <x:c r="A291" s="12" t="n">
        <x:v>40513</x:v>
      </x:c>
      <x:c r="B291" s="2" t="str">
        <x:v>2010-12</x:v>
      </x:c>
      <x:c r="C291" s="2" t="str">
        <x:v>Channel Islands</x:v>
      </x:c>
      <x:c r="D291" s="11" t="n">
        <x:v>363.53</x:v>
      </x:c>
      <x:c r="E291" s="11" t="n">
        <x:v>0</x:v>
      </x:c>
      <x:c r="F291" s="2" t="n">
        <x:v>1</x:v>
      </x:c>
      <x:c r="G291" s="2"/>
      <x:c r="H291" s="2"/>
      <x:c r="I291" s="2"/>
      <x:c r="J291" s="2"/>
      <x:c r="K291" s="2"/>
      <x:c r="L291" s="2"/>
      <x:c r="M291" s="2"/>
      <x:c r="N291" s="2"/>
      <x:c r="O291" s="2"/>
      <x:c r="P291" s="2"/>
    </x:row>
    <x:row r="292" ht="22" customHeight="1">
      <x:c r="A292" s="12" t="n">
        <x:v>40513</x:v>
      </x:c>
      <x:c r="B292" s="2" t="str">
        <x:v>2010-12</x:v>
      </x:c>
      <x:c r="C292" s="2" t="str">
        <x:v>Cyprus</x:v>
      </x:c>
      <x:c r="D292" s="11" t="n">
        <x:v>1590.82</x:v>
      </x:c>
      <x:c r="E292" s="11" t="n">
        <x:v>0</x:v>
      </x:c>
      <x:c r="F292" s="2" t="n">
        <x:v>1</x:v>
      </x:c>
      <x:c r="G292" s="2"/>
      <x:c r="H292" s="2"/>
      <x:c r="I292" s="2"/>
      <x:c r="J292" s="2"/>
      <x:c r="K292" s="2"/>
      <x:c r="L292" s="2"/>
      <x:c r="M292" s="2"/>
      <x:c r="N292" s="2"/>
      <x:c r="O292" s="2"/>
      <x:c r="P292" s="2"/>
    </x:row>
    <x:row r="293" ht="22" customHeight="1">
      <x:c r="A293" s="12" t="n">
        <x:v>40513</x:v>
      </x:c>
      <x:c r="B293" s="2" t="str">
        <x:v>2010-12</x:v>
      </x:c>
      <x:c r="C293" s="2" t="str">
        <x:v>Denmark</x:v>
      </x:c>
      <x:c r="D293" s="11" t="n">
        <x:v>1281.5</x:v>
      </x:c>
      <x:c r="E293" s="11" t="n">
        <x:v>0</x:v>
      </x:c>
      <x:c r="F293" s="2" t="n">
        <x:v>1</x:v>
      </x:c>
      <x:c r="G293" s="2"/>
      <x:c r="H293" s="2"/>
      <x:c r="I293" s="2"/>
      <x:c r="J293" s="2"/>
      <x:c r="K293" s="2"/>
      <x:c r="L293" s="2"/>
      <x:c r="M293" s="2"/>
      <x:c r="N293" s="2"/>
      <x:c r="O293" s="2"/>
      <x:c r="P293" s="2"/>
    </x:row>
    <x:row r="294" ht="22" customHeight="1">
      <x:c r="A294" s="12" t="n">
        <x:v>40513</x:v>
      </x:c>
      <x:c r="B294" s="2" t="str">
        <x:v>2010-12</x:v>
      </x:c>
      <x:c r="C294" s="2" t="str">
        <x:v>EIRE</x:v>
      </x:c>
      <x:c r="D294" s="11" t="n">
        <x:v>10033.26</x:v>
      </x:c>
      <x:c r="E294" s="11" t="n">
        <x:v>1003.3100000000001</x:v>
      </x:c>
      <x:c r="F294" s="2" t="n">
        <x:v>17</x:v>
      </x:c>
      <x:c r="G294" s="2"/>
      <x:c r="H294" s="2"/>
      <x:c r="I294" s="2"/>
      <x:c r="J294" s="2"/>
      <x:c r="K294" s="2"/>
      <x:c r="L294" s="2"/>
      <x:c r="M294" s="2"/>
      <x:c r="N294" s="2"/>
      <x:c r="O294" s="2"/>
      <x:c r="P294" s="2"/>
    </x:row>
    <x:row r="295" ht="22" customHeight="1">
      <x:c r="A295" s="12" t="n">
        <x:v>40513</x:v>
      </x:c>
      <x:c r="B295" s="2" t="str">
        <x:v>2010-12</x:v>
      </x:c>
      <x:c r="C295" s="2" t="str">
        <x:v>Finland</x:v>
      </x:c>
      <x:c r="D295" s="11" t="n">
        <x:v>892.8</x:v>
      </x:c>
      <x:c r="E295" s="11" t="n">
        <x:v>0</x:v>
      </x:c>
      <x:c r="F295" s="2" t="n">
        <x:v>1</x:v>
      </x:c>
      <x:c r="G295" s="2"/>
      <x:c r="H295" s="2"/>
      <x:c r="I295" s="2"/>
      <x:c r="J295" s="2"/>
      <x:c r="K295" s="2"/>
      <x:c r="L295" s="2"/>
      <x:c r="M295" s="2"/>
      <x:c r="N295" s="2"/>
      <x:c r="O295" s="2"/>
      <x:c r="P295" s="2"/>
    </x:row>
    <x:row r="296" ht="22" customHeight="1">
      <x:c r="A296" s="12" t="n">
        <x:v>40513</x:v>
      </x:c>
      <x:c r="B296" s="2" t="str">
        <x:v>2010-12</x:v>
      </x:c>
      <x:c r="C296" s="2" t="str">
        <x:v>France</x:v>
      </x:c>
      <x:c r="D296" s="11" t="n">
        <x:v>9616.31</x:v>
      </x:c>
      <x:c r="E296" s="11" t="n">
        <x:v>40.95</x:v>
      </x:c>
      <x:c r="F296" s="2" t="n">
        <x:v>21</x:v>
      </x:c>
      <x:c r="G296" s="2"/>
      <x:c r="H296" s="2"/>
      <x:c r="I296" s="2"/>
      <x:c r="J296" s="2"/>
      <x:c r="K296" s="2"/>
      <x:c r="L296" s="2"/>
      <x:c r="M296" s="2"/>
      <x:c r="N296" s="2"/>
      <x:c r="O296" s="2"/>
      <x:c r="P296" s="2"/>
    </x:row>
    <x:row r="297" ht="22" customHeight="1">
      <x:c r="A297" s="12" t="n">
        <x:v>40513</x:v>
      </x:c>
      <x:c r="B297" s="2" t="str">
        <x:v>2010-12</x:v>
      </x:c>
      <x:c r="C297" s="2" t="str">
        <x:v>Germany</x:v>
      </x:c>
      <x:c r="D297" s="11" t="n">
        <x:v>15241.14</x:v>
      </x:c>
      <x:c r="E297" s="11" t="n">
        <x:v>678.3</x:v>
      </x:c>
      <x:c r="F297" s="2" t="n">
        <x:v>30</x:v>
      </x:c>
      <x:c r="G297" s="2"/>
      <x:c r="H297" s="2"/>
      <x:c r="I297" s="2"/>
      <x:c r="J297" s="2"/>
      <x:c r="K297" s="2"/>
      <x:c r="L297" s="2"/>
      <x:c r="M297" s="2"/>
      <x:c r="N297" s="2"/>
      <x:c r="O297" s="2"/>
      <x:c r="P297" s="2"/>
    </x:row>
    <x:row r="298" ht="22" customHeight="1">
      <x:c r="A298" s="12" t="n">
        <x:v>40513</x:v>
      </x:c>
      <x:c r="B298" s="2" t="str">
        <x:v>2010-12</x:v>
      </x:c>
      <x:c r="C298" s="2" t="str">
        <x:v>Iceland</x:v>
      </x:c>
      <x:c r="D298" s="11" t="n">
        <x:v>711.79</x:v>
      </x:c>
      <x:c r="E298" s="11" t="n">
        <x:v>0</x:v>
      </x:c>
      <x:c r="F298" s="2" t="n">
        <x:v>1</x:v>
      </x:c>
      <x:c r="G298" s="2"/>
      <x:c r="H298" s="2"/>
      <x:c r="I298" s="2"/>
      <x:c r="J298" s="2"/>
      <x:c r="K298" s="2"/>
      <x:c r="L298" s="2"/>
      <x:c r="M298" s="2"/>
      <x:c r="N298" s="2"/>
      <x:c r="O298" s="2"/>
      <x:c r="P298" s="2"/>
    </x:row>
    <x:row r="299" ht="22" customHeight="1">
      <x:c r="A299" s="12" t="n">
        <x:v>40513</x:v>
      </x:c>
      <x:c r="B299" s="2" t="str">
        <x:v>2010-12</x:v>
      </x:c>
      <x:c r="C299" s="2" t="str">
        <x:v>Israel</x:v>
      </x:c>
      <x:c r="D299" s="11" t="n">
        <x:v>0</x:v>
      </x:c>
      <x:c r="E299" s="11" t="n">
        <x:v>227.44</x:v>
      </x:c>
      <x:c r="F299" s="2" t="n">
        <x:v>0</x:v>
      </x:c>
      <x:c r="G299" s="2"/>
      <x:c r="H299" s="2"/>
      <x:c r="I299" s="2"/>
      <x:c r="J299" s="2"/>
      <x:c r="K299" s="2"/>
      <x:c r="L299" s="2"/>
      <x:c r="M299" s="2"/>
      <x:c r="N299" s="2"/>
      <x:c r="O299" s="2"/>
      <x:c r="P299" s="2"/>
    </x:row>
    <x:row r="300" ht="22" customHeight="1">
      <x:c r="A300" s="12" t="n">
        <x:v>40513</x:v>
      </x:c>
      <x:c r="B300" s="2" t="str">
        <x:v>2010-12</x:v>
      </x:c>
      <x:c r="C300" s="2" t="str">
        <x:v>Italy</x:v>
      </x:c>
      <x:c r="D300" s="11" t="n">
        <x:v>811.5</x:v>
      </x:c>
      <x:c r="E300" s="11" t="n">
        <x:v>17</x:v>
      </x:c>
      <x:c r="F300" s="2" t="n">
        <x:v>2</x:v>
      </x:c>
      <x:c r="G300" s="2"/>
      <x:c r="H300" s="2"/>
      <x:c r="I300" s="2"/>
      <x:c r="J300" s="2"/>
      <x:c r="K300" s="2"/>
      <x:c r="L300" s="2"/>
      <x:c r="M300" s="2"/>
      <x:c r="N300" s="2"/>
      <x:c r="O300" s="2"/>
      <x:c r="P300" s="2"/>
    </x:row>
    <x:row r="301" ht="22" customHeight="1">
      <x:c r="A301" s="12" t="n">
        <x:v>40513</x:v>
      </x:c>
      <x:c r="B301" s="2" t="str">
        <x:v>2010-12</x:v>
      </x:c>
      <x:c r="C301" s="2" t="str">
        <x:v>Japan</x:v>
      </x:c>
      <x:c r="D301" s="11" t="n">
        <x:v>7705.07</x:v>
      </x:c>
      <x:c r="E301" s="11" t="n">
        <x:v>0</x:v>
      </x:c>
      <x:c r="F301" s="2" t="n">
        <x:v>3</x:v>
      </x:c>
      <x:c r="G301" s="2"/>
      <x:c r="H301" s="2"/>
      <x:c r="I301" s="2"/>
      <x:c r="J301" s="2"/>
      <x:c r="K301" s="2"/>
      <x:c r="L301" s="2"/>
      <x:c r="M301" s="2"/>
      <x:c r="N301" s="2"/>
      <x:c r="O301" s="2"/>
      <x:c r="P301" s="2"/>
    </x:row>
    <x:row r="302" ht="22" customHeight="1">
      <x:c r="A302" s="12" t="n">
        <x:v>40513</x:v>
      </x:c>
      <x:c r="B302" s="2" t="str">
        <x:v>2010-12</x:v>
      </x:c>
      <x:c r="C302" s="2" t="str">
        <x:v>Lithuania</x:v>
      </x:c>
      <x:c r="D302" s="11" t="n">
        <x:v>1661.06</x:v>
      </x:c>
      <x:c r="E302" s="11" t="n">
        <x:v>0</x:v>
      </x:c>
      <x:c r="F302" s="2" t="n">
        <x:v>4</x:v>
      </x:c>
      <x:c r="G302" s="2"/>
      <x:c r="H302" s="2"/>
      <x:c r="I302" s="2"/>
      <x:c r="J302" s="2"/>
      <x:c r="K302" s="2"/>
      <x:c r="L302" s="2"/>
      <x:c r="M302" s="2"/>
      <x:c r="N302" s="2"/>
      <x:c r="O302" s="2"/>
      <x:c r="P302" s="2"/>
    </x:row>
    <x:row r="303" ht="22" customHeight="1">
      <x:c r="A303" s="12" t="n">
        <x:v>40513</x:v>
      </x:c>
      <x:c r="B303" s="2" t="str">
        <x:v>2010-12</x:v>
      </x:c>
      <x:c r="C303" s="2" t="str">
        <x:v>Netherlands</x:v>
      </x:c>
      <x:c r="D303" s="11" t="n">
        <x:v>8784.48</x:v>
      </x:c>
      <x:c r="E303" s="11" t="n">
        <x:v>0</x:v>
      </x:c>
      <x:c r="F303" s="2" t="n">
        <x:v>3</x:v>
      </x:c>
      <x:c r="G303" s="2"/>
      <x:c r="H303" s="2"/>
      <x:c r="I303" s="2"/>
      <x:c r="J303" s="2"/>
      <x:c r="K303" s="2"/>
      <x:c r="L303" s="2"/>
      <x:c r="M303" s="2"/>
      <x:c r="N303" s="2"/>
      <x:c r="O303" s="2"/>
      <x:c r="P303" s="2"/>
    </x:row>
    <x:row r="304" ht="22" customHeight="1">
      <x:c r="A304" s="12" t="n">
        <x:v>40513</x:v>
      </x:c>
      <x:c r="B304" s="2" t="str">
        <x:v>2010-12</x:v>
      </x:c>
      <x:c r="C304" s="2" t="str">
        <x:v>Norway</x:v>
      </x:c>
      <x:c r="D304" s="11" t="n">
        <x:v>3787.12</x:v>
      </x:c>
      <x:c r="E304" s="11" t="n">
        <x:v>0</x:v>
      </x:c>
      <x:c r="F304" s="2" t="n">
        <x:v>2</x:v>
      </x:c>
      <x:c r="G304" s="2"/>
      <x:c r="H304" s="2"/>
      <x:c r="I304" s="2"/>
      <x:c r="J304" s="2"/>
      <x:c r="K304" s="2"/>
      <x:c r="L304" s="2"/>
      <x:c r="M304" s="2"/>
      <x:c r="N304" s="2"/>
      <x:c r="O304" s="2"/>
      <x:c r="P304" s="2"/>
    </x:row>
    <x:row r="305" ht="22" customHeight="1">
      <x:c r="A305" s="12" t="n">
        <x:v>40513</x:v>
      </x:c>
      <x:c r="B305" s="2" t="str">
        <x:v>2010-12</x:v>
      </x:c>
      <x:c r="C305" s="2" t="str">
        <x:v>Poland</x:v>
      </x:c>
      <x:c r="D305" s="11" t="n">
        <x:v>248.16</x:v>
      </x:c>
      <x:c r="E305" s="11" t="n">
        <x:v>0</x:v>
      </x:c>
      <x:c r="F305" s="2" t="n">
        <x:v>1</x:v>
      </x:c>
      <x:c r="G305" s="2"/>
      <x:c r="H305" s="2"/>
      <x:c r="I305" s="2"/>
      <x:c r="J305" s="2"/>
      <x:c r="K305" s="2"/>
      <x:c r="L305" s="2"/>
      <x:c r="M305" s="2"/>
      <x:c r="N305" s="2"/>
      <x:c r="O305" s="2"/>
      <x:c r="P305" s="2"/>
    </x:row>
    <x:row r="306" ht="22" customHeight="1">
      <x:c r="A306" s="12" t="n">
        <x:v>40513</x:v>
      </x:c>
      <x:c r="B306" s="2" t="str">
        <x:v>2010-12</x:v>
      </x:c>
      <x:c r="C306" s="2" t="str">
        <x:v>Portugal</x:v>
      </x:c>
      <x:c r="D306" s="11" t="n">
        <x:v>2439.9700000000003</x:v>
      </x:c>
      <x:c r="E306" s="11" t="n">
        <x:v>59.85</x:v>
      </x:c>
      <x:c r="F306" s="2" t="n">
        <x:v>6</x:v>
      </x:c>
      <x:c r="G306" s="2"/>
      <x:c r="H306" s="2"/>
      <x:c r="I306" s="2"/>
      <x:c r="J306" s="2"/>
      <x:c r="K306" s="2"/>
      <x:c r="L306" s="2"/>
      <x:c r="M306" s="2"/>
      <x:c r="N306" s="2"/>
      <x:c r="O306" s="2"/>
      <x:c r="P306" s="2"/>
    </x:row>
    <x:row r="307" ht="22" customHeight="1">
      <x:c r="A307" s="12" t="n">
        <x:v>40513</x:v>
      </x:c>
      <x:c r="B307" s="2" t="str">
        <x:v>2010-12</x:v>
      </x:c>
      <x:c r="C307" s="2" t="str">
        <x:v>Spain</x:v>
      </x:c>
      <x:c r="D307" s="11" t="n">
        <x:v>1843.73</x:v>
      </x:c>
      <x:c r="E307" s="11" t="n">
        <x:v>0</x:v>
      </x:c>
      <x:c r="F307" s="2" t="n">
        <x:v>4</x:v>
      </x:c>
      <x:c r="G307" s="2"/>
      <x:c r="H307" s="2"/>
      <x:c r="I307" s="2"/>
      <x:c r="J307" s="2"/>
      <x:c r="K307" s="2"/>
      <x:c r="L307" s="2"/>
      <x:c r="M307" s="2"/>
      <x:c r="N307" s="2"/>
      <x:c r="O307" s="2"/>
      <x:c r="P307" s="2"/>
    </x:row>
    <x:row r="308" ht="22" customHeight="1">
      <x:c r="A308" s="12" t="n">
        <x:v>40513</x:v>
      </x:c>
      <x:c r="B308" s="2" t="str">
        <x:v>2010-12</x:v>
      </x:c>
      <x:c r="C308" s="2" t="str">
        <x:v>Sweden</x:v>
      </x:c>
      <x:c r="D308" s="11" t="n">
        <x:v>3834.2999999999997</x:v>
      </x:c>
      <x:c r="E308" s="11" t="n">
        <x:v>1188</x:v>
      </x:c>
      <x:c r="F308" s="2" t="n">
        <x:v>2</x:v>
      </x:c>
      <x:c r="G308" s="2"/>
      <x:c r="H308" s="2"/>
      <x:c r="I308" s="2"/>
      <x:c r="J308" s="2"/>
      <x:c r="K308" s="2"/>
      <x:c r="L308" s="2"/>
      <x:c r="M308" s="2"/>
      <x:c r="N308" s="2"/>
      <x:c r="O308" s="2"/>
      <x:c r="P308" s="2"/>
    </x:row>
    <x:row r="309" ht="22" customHeight="1">
      <x:c r="A309" s="12" t="n">
        <x:v>40513</x:v>
      </x:c>
      <x:c r="B309" s="2" t="str">
        <x:v>2010-12</x:v>
      </x:c>
      <x:c r="C309" s="2" t="str">
        <x:v>Switzerland</x:v>
      </x:c>
      <x:c r="D309" s="11" t="n">
        <x:v>1304.92</x:v>
      </x:c>
      <x:c r="E309" s="11" t="n">
        <x:v>0</x:v>
      </x:c>
      <x:c r="F309" s="2" t="n">
        <x:v>2</x:v>
      </x:c>
      <x:c r="G309" s="2"/>
      <x:c r="H309" s="2"/>
      <x:c r="I309" s="2"/>
      <x:c r="J309" s="2"/>
      <x:c r="K309" s="2"/>
      <x:c r="L309" s="2"/>
      <x:c r="M309" s="2"/>
      <x:c r="N309" s="2"/>
      <x:c r="O309" s="2"/>
      <x:c r="P309" s="2"/>
    </x:row>
    <x:row r="310" ht="22" customHeight="1">
      <x:c r="A310" s="12" t="n">
        <x:v>40513</x:v>
      </x:c>
      <x:c r="B310" s="2" t="str">
        <x:v>2010-12</x:v>
      </x:c>
      <x:c r="C310" s="2" t="str">
        <x:v>United Kingdom</x:v>
      </x:c>
      <x:c r="D310" s="11" t="n">
        <x:v>748268.98</x:v>
      </x:c>
      <x:c r="E310" s="11" t="n">
        <x:v>71526.36</x:v>
      </x:c>
      <x:c r="F310" s="2" t="n">
        <x:v>1447</x:v>
      </x:c>
      <x:c r="G310" s="2"/>
      <x:c r="H310" s="2"/>
      <x:c r="I310" s="2"/>
      <x:c r="J310" s="2"/>
      <x:c r="K310" s="2"/>
      <x:c r="L310" s="2"/>
      <x:c r="M310" s="2"/>
      <x:c r="N310" s="2"/>
      <x:c r="O310" s="2"/>
      <x:c r="P310" s="2"/>
    </x:row>
    <x:row r="311" ht="22" customHeight="1">
      <x:c r="A311" s="12" t="n">
        <x:v>40544</x:v>
      </x:c>
      <x:c r="B311" s="2" t="str">
        <x:v>2011-01</x:v>
      </x:c>
      <x:c r="C311" s="2" t="str">
        <x:v>Australia</x:v>
      </x:c>
      <x:c r="D311" s="11" t="n">
        <x:v>9017.710000000001</x:v>
      </x:c>
      <x:c r="E311" s="11" t="n">
        <x:v>0</x:v>
      </x:c>
      <x:c r="F311" s="2" t="n">
        <x:v>9</x:v>
      </x:c>
      <x:c r="G311" s="2"/>
      <x:c r="H311" s="2"/>
      <x:c r="I311" s="2"/>
      <x:c r="J311" s="2"/>
      <x:c r="K311" s="2"/>
      <x:c r="L311" s="2"/>
      <x:c r="M311" s="2"/>
      <x:c r="N311" s="2"/>
      <x:c r="O311" s="2"/>
      <x:c r="P311" s="2"/>
    </x:row>
    <x:row r="312" ht="22" customHeight="1">
      <x:c r="A312" s="12" t="n">
        <x:v>40544</x:v>
      </x:c>
      <x:c r="B312" s="2" t="str">
        <x:v>2011-01</x:v>
      </x:c>
      <x:c r="C312" s="2" t="str">
        <x:v>Bahrain</x:v>
      </x:c>
      <x:c r="D312" s="11" t="n">
        <x:v>0</x:v>
      </x:c>
      <x:c r="E312" s="11" t="n">
        <x:v>205.74</x:v>
      </x:c>
      <x:c r="F312" s="2" t="n">
        <x:v>0</x:v>
      </x:c>
      <x:c r="G312" s="2"/>
      <x:c r="H312" s="2"/>
      <x:c r="I312" s="2"/>
      <x:c r="J312" s="2"/>
      <x:c r="K312" s="2"/>
      <x:c r="L312" s="2"/>
      <x:c r="M312" s="2"/>
      <x:c r="N312" s="2"/>
      <x:c r="O312" s="2"/>
      <x:c r="P312" s="2"/>
    </x:row>
    <x:row r="313" ht="22" customHeight="1">
      <x:c r="A313" s="12" t="n">
        <x:v>40544</x:v>
      </x:c>
      <x:c r="B313" s="2" t="str">
        <x:v>2011-01</x:v>
      </x:c>
      <x:c r="C313" s="2" t="str">
        <x:v>Belgium</x:v>
      </x:c>
      <x:c r="D313" s="11" t="n">
        <x:v>1200.2</x:v>
      </x:c>
      <x:c r="E313" s="11" t="n">
        <x:v>46.14999999999999</x:v>
      </x:c>
      <x:c r="F313" s="2" t="n">
        <x:v>3</x:v>
      </x:c>
      <x:c r="G313" s="2"/>
      <x:c r="H313" s="2"/>
      <x:c r="I313" s="2"/>
      <x:c r="J313" s="2"/>
      <x:c r="K313" s="2"/>
      <x:c r="L313" s="2"/>
      <x:c r="M313" s="2"/>
      <x:c r="N313" s="2"/>
      <x:c r="O313" s="2"/>
      <x:c r="P313" s="2"/>
    </x:row>
    <x:row r="314" ht="22" customHeight="1">
      <x:c r="A314" s="12" t="n">
        <x:v>40544</x:v>
      </x:c>
      <x:c r="B314" s="2" t="str">
        <x:v>2011-01</x:v>
      </x:c>
      <x:c r="C314" s="2" t="str">
        <x:v>Channel Islands</x:v>
      </x:c>
      <x:c r="D314" s="11" t="n">
        <x:v>675.58</x:v>
      </x:c>
      <x:c r="E314" s="11" t="n">
        <x:v>30.5</x:v>
      </x:c>
      <x:c r="F314" s="2" t="n">
        <x:v>1</x:v>
      </x:c>
      <x:c r="G314" s="2"/>
      <x:c r="H314" s="2"/>
      <x:c r="I314" s="2"/>
      <x:c r="J314" s="2"/>
      <x:c r="K314" s="2"/>
      <x:c r="L314" s="2"/>
      <x:c r="M314" s="2"/>
      <x:c r="N314" s="2"/>
      <x:c r="O314" s="2"/>
      <x:c r="P314" s="2"/>
    </x:row>
    <x:row r="315" ht="22" customHeight="1">
      <x:c r="A315" s="12" t="n">
        <x:v>40544</x:v>
      </x:c>
      <x:c r="B315" s="2" t="str">
        <x:v>2011-01</x:v>
      </x:c>
      <x:c r="C315" s="2" t="str">
        <x:v>Cyprus</x:v>
      </x:c>
      <x:c r="D315" s="11" t="n">
        <x:v>547.5</x:v>
      </x:c>
      <x:c r="E315" s="11" t="n">
        <x:v>0</x:v>
      </x:c>
      <x:c r="F315" s="2" t="n">
        <x:v>1</x:v>
      </x:c>
      <x:c r="G315" s="2"/>
      <x:c r="H315" s="2"/>
      <x:c r="I315" s="2"/>
      <x:c r="J315" s="2"/>
      <x:c r="K315" s="2"/>
      <x:c r="L315" s="2"/>
      <x:c r="M315" s="2"/>
      <x:c r="N315" s="2"/>
      <x:c r="O315" s="2"/>
      <x:c r="P315" s="2"/>
    </x:row>
    <x:row r="316" ht="22" customHeight="1">
      <x:c r="A316" s="12" t="n">
        <x:v>40544</x:v>
      </x:c>
      <x:c r="B316" s="2" t="str">
        <x:v>2011-01</x:v>
      </x:c>
      <x:c r="C316" s="2" t="str">
        <x:v>EIRE</x:v>
      </x:c>
      <x:c r="D316" s="11" t="n">
        <x:v>21904.19</x:v>
      </x:c>
      <x:c r="E316" s="11" t="n">
        <x:v>247.67000000000002</x:v>
      </x:c>
      <x:c r="F316" s="2" t="n">
        <x:v>7</x:v>
      </x:c>
      <x:c r="G316" s="2"/>
      <x:c r="H316" s="2"/>
      <x:c r="I316" s="2"/>
      <x:c r="J316" s="2"/>
      <x:c r="K316" s="2"/>
      <x:c r="L316" s="2"/>
      <x:c r="M316" s="2"/>
      <x:c r="N316" s="2"/>
      <x:c r="O316" s="2"/>
      <x:c r="P316" s="2"/>
    </x:row>
    <x:row r="317" ht="22" customHeight="1">
      <x:c r="A317" s="12" t="n">
        <x:v>40544</x:v>
      </x:c>
      <x:c r="B317" s="2" t="str">
        <x:v>2011-01</x:v>
      </x:c>
      <x:c r="C317" s="2" t="str">
        <x:v>Finland</x:v>
      </x:c>
      <x:c r="D317" s="11" t="n">
        <x:v>889.02</x:v>
      </x:c>
      <x:c r="E317" s="11" t="n">
        <x:v>0</x:v>
      </x:c>
      <x:c r="F317" s="2" t="n">
        <x:v>2</x:v>
      </x:c>
      <x:c r="G317" s="2"/>
      <x:c r="H317" s="2"/>
      <x:c r="I317" s="2"/>
      <x:c r="J317" s="2"/>
      <x:c r="K317" s="2"/>
      <x:c r="L317" s="2"/>
      <x:c r="M317" s="2"/>
      <x:c r="N317" s="2"/>
      <x:c r="O317" s="2"/>
      <x:c r="P317" s="2"/>
    </x:row>
    <x:row r="318" ht="22" customHeight="1">
      <x:c r="A318" s="12" t="n">
        <x:v>40544</x:v>
      </x:c>
      <x:c r="B318" s="2" t="str">
        <x:v>2011-01</x:v>
      </x:c>
      <x:c r="C318" s="2" t="str">
        <x:v>France</x:v>
      </x:c>
      <x:c r="D318" s="11" t="n">
        <x:v>17740.12</x:v>
      </x:c>
      <x:c r="E318" s="11" t="n">
        <x:v>237.04999999999998</x:v>
      </x:c>
      <x:c r="F318" s="2" t="n">
        <x:v>29</x:v>
      </x:c>
      <x:c r="G318" s="2"/>
      <x:c r="H318" s="2"/>
      <x:c r="I318" s="2"/>
      <x:c r="J318" s="2"/>
      <x:c r="K318" s="2"/>
      <x:c r="L318" s="2"/>
      <x:c r="M318" s="2"/>
      <x:c r="N318" s="2"/>
      <x:c r="O318" s="2"/>
      <x:c r="P318" s="2"/>
    </x:row>
    <x:row r="319" ht="22" customHeight="1">
      <x:c r="A319" s="12" t="n">
        <x:v>40544</x:v>
      </x:c>
      <x:c r="B319" s="2" t="str">
        <x:v>2011-01</x:v>
      </x:c>
      <x:c r="C319" s="2" t="str">
        <x:v>Germany</x:v>
      </x:c>
      <x:c r="D319" s="11" t="n">
        <x:v>16910.84</x:v>
      </x:c>
      <x:c r="E319" s="11" t="n">
        <x:v>459.40999999999997</x:v>
      </x:c>
      <x:c r="F319" s="2" t="n">
        <x:v>31</x:v>
      </x:c>
      <x:c r="G319" s="2"/>
      <x:c r="H319" s="2"/>
      <x:c r="I319" s="2"/>
      <x:c r="J319" s="2"/>
      <x:c r="K319" s="2"/>
      <x:c r="L319" s="2"/>
      <x:c r="M319" s="2"/>
      <x:c r="N319" s="2"/>
      <x:c r="O319" s="2"/>
      <x:c r="P319" s="2"/>
    </x:row>
    <x:row r="320" ht="22" customHeight="1">
      <x:c r="A320" s="12" t="n">
        <x:v>40544</x:v>
      </x:c>
      <x:c r="B320" s="2" t="str">
        <x:v>2011-01</x:v>
      </x:c>
      <x:c r="C320" s="2" t="str">
        <x:v>Greece</x:v>
      </x:c>
      <x:c r="D320" s="11" t="n">
        <x:v>2661.24</x:v>
      </x:c>
      <x:c r="E320" s="11" t="n">
        <x:v>0</x:v>
      </x:c>
      <x:c r="F320" s="2" t="n">
        <x:v>1</x:v>
      </x:c>
      <x:c r="G320" s="2"/>
      <x:c r="H320" s="2"/>
      <x:c r="I320" s="2"/>
      <x:c r="J320" s="2"/>
      <x:c r="K320" s="2"/>
      <x:c r="L320" s="2"/>
      <x:c r="M320" s="2"/>
      <x:c r="N320" s="2"/>
      <x:c r="O320" s="2"/>
      <x:c r="P320" s="2"/>
    </x:row>
    <x:row r="321" ht="22" customHeight="1">
      <x:c r="A321" s="12" t="n">
        <x:v>40544</x:v>
      </x:c>
      <x:c r="B321" s="2" t="str">
        <x:v>2011-01</x:v>
      </x:c>
      <x:c r="C321" s="2" t="str">
        <x:v>Hong Kong</x:v>
      </x:c>
      <x:c r="D321" s="11" t="n">
        <x:v>2439.76</x:v>
      </x:c>
      <x:c r="E321" s="11" t="n">
        <x:v>0</x:v>
      </x:c>
      <x:c r="F321" s="2" t="n">
        <x:v>1</x:v>
      </x:c>
      <x:c r="G321" s="2"/>
      <x:c r="H321" s="2"/>
      <x:c r="I321" s="2"/>
      <x:c r="J321" s="2"/>
      <x:c r="K321" s="2"/>
      <x:c r="L321" s="2"/>
      <x:c r="M321" s="2"/>
      <x:c r="N321" s="2"/>
      <x:c r="O321" s="2"/>
      <x:c r="P321" s="2"/>
    </x:row>
    <x:row r="322" ht="22" customHeight="1">
      <x:c r="A322" s="12" t="n">
        <x:v>40544</x:v>
      </x:c>
      <x:c r="B322" s="2" t="str">
        <x:v>2011-01</x:v>
      </x:c>
      <x:c r="C322" s="2" t="str">
        <x:v>Iceland</x:v>
      </x:c>
      <x:c r="D322" s="11" t="n">
        <x:v>475.39</x:v>
      </x:c>
      <x:c r="E322" s="11" t="n">
        <x:v>0</x:v>
      </x:c>
      <x:c r="F322" s="2" t="n">
        <x:v>1</x:v>
      </x:c>
      <x:c r="G322" s="2"/>
      <x:c r="H322" s="2"/>
      <x:c r="I322" s="2"/>
      <x:c r="J322" s="2"/>
      <x:c r="K322" s="2"/>
      <x:c r="L322" s="2"/>
      <x:c r="M322" s="2"/>
      <x:c r="N322" s="2"/>
      <x:c r="O322" s="2"/>
      <x:c r="P322" s="2"/>
    </x:row>
    <x:row r="323" ht="22" customHeight="1">
      <x:c r="A323" s="12" t="n">
        <x:v>40544</x:v>
      </x:c>
      <x:c r="B323" s="2" t="str">
        <x:v>2011-01</x:v>
      </x:c>
      <x:c r="C323" s="2" t="str">
        <x:v>Israel</x:v>
      </x:c>
      <x:c r="D323" s="11" t="n">
        <x:v>379.84000000000003</x:v>
      </x:c>
      <x:c r="E323" s="11" t="n">
        <x:v>0</x:v>
      </x:c>
      <x:c r="F323" s="2" t="n">
        <x:v>1</x:v>
      </x:c>
      <x:c r="G323" s="2"/>
      <x:c r="H323" s="2"/>
      <x:c r="I323" s="2"/>
      <x:c r="J323" s="2"/>
      <x:c r="K323" s="2"/>
      <x:c r="L323" s="2"/>
      <x:c r="M323" s="2"/>
      <x:c r="N323" s="2"/>
      <x:c r="O323" s="2"/>
      <x:c r="P323" s="2"/>
    </x:row>
    <x:row r="324" ht="22" customHeight="1">
      <x:c r="A324" s="12" t="n">
        <x:v>40544</x:v>
      </x:c>
      <x:c r="B324" s="2" t="str">
        <x:v>2011-01</x:v>
      </x:c>
      <x:c r="C324" s="2" t="str">
        <x:v>Italy</x:v>
      </x:c>
      <x:c r="D324" s="11" t="n">
        <x:v>2402.51</x:v>
      </x:c>
      <x:c r="E324" s="11" t="n">
        <x:v>41.15</x:v>
      </x:c>
      <x:c r="F324" s="2" t="n">
        <x:v>3</x:v>
      </x:c>
      <x:c r="G324" s="2"/>
      <x:c r="H324" s="2"/>
      <x:c r="I324" s="2"/>
      <x:c r="J324" s="2"/>
      <x:c r="K324" s="2"/>
      <x:c r="L324" s="2"/>
      <x:c r="M324" s="2"/>
      <x:c r="N324" s="2"/>
      <x:c r="O324" s="2"/>
      <x:c r="P324" s="2"/>
    </x:row>
    <x:row r="325" ht="22" customHeight="1">
      <x:c r="A325" s="12" t="n">
        <x:v>40544</x:v>
      </x:c>
      <x:c r="B325" s="2" t="str">
        <x:v>2011-01</x:v>
      </x:c>
      <x:c r="C325" s="2" t="str">
        <x:v>Japan</x:v>
      </x:c>
      <x:c r="D325" s="11" t="n">
        <x:v>0</x:v>
      </x:c>
      <x:c r="E325" s="11" t="n">
        <x:v>109.8</x:v>
      </x:c>
      <x:c r="F325" s="2" t="n">
        <x:v>0</x:v>
      </x:c>
      <x:c r="G325" s="2"/>
      <x:c r="H325" s="2"/>
      <x:c r="I325" s="2"/>
      <x:c r="J325" s="2"/>
      <x:c r="K325" s="2"/>
      <x:c r="L325" s="2"/>
      <x:c r="M325" s="2"/>
      <x:c r="N325" s="2"/>
      <x:c r="O325" s="2"/>
      <x:c r="P325" s="2"/>
    </x:row>
    <x:row r="326" ht="22" customHeight="1">
      <x:c r="A326" s="12" t="n">
        <x:v>40544</x:v>
      </x:c>
      <x:c r="B326" s="2" t="str">
        <x:v>2011-01</x:v>
      </x:c>
      <x:c r="C326" s="2" t="str">
        <x:v>Lebanon</x:v>
      </x:c>
      <x:c r="D326" s="11" t="n">
        <x:v>1693.88</x:v>
      </x:c>
      <x:c r="E326" s="11" t="n">
        <x:v>0</x:v>
      </x:c>
      <x:c r="F326" s="2" t="n">
        <x:v>1</x:v>
      </x:c>
      <x:c r="G326" s="2"/>
      <x:c r="H326" s="2"/>
      <x:c r="I326" s="2"/>
      <x:c r="J326" s="2"/>
      <x:c r="K326" s="2"/>
      <x:c r="L326" s="2"/>
      <x:c r="M326" s="2"/>
      <x:c r="N326" s="2"/>
      <x:c r="O326" s="2"/>
      <x:c r="P326" s="2"/>
    </x:row>
    <x:row r="327" ht="22" customHeight="1">
      <x:c r="A327" s="12" t="n">
        <x:v>40544</x:v>
      </x:c>
      <x:c r="B327" s="2" t="str">
        <x:v>2011-01</x:v>
      </x:c>
      <x:c r="C327" s="2" t="str">
        <x:v>Netherlands</x:v>
      </x:c>
      <x:c r="D327" s="11" t="n">
        <x:v>26611.16</x:v>
      </x:c>
      <x:c r="E327" s="11" t="n">
        <x:v>0</x:v>
      </x:c>
      <x:c r="F327" s="2" t="n">
        <x:v>5</x:v>
      </x:c>
      <x:c r="G327" s="2"/>
      <x:c r="H327" s="2"/>
      <x:c r="I327" s="2"/>
      <x:c r="J327" s="2"/>
      <x:c r="K327" s="2"/>
      <x:c r="L327" s="2"/>
      <x:c r="M327" s="2"/>
      <x:c r="N327" s="2"/>
      <x:c r="O327" s="2"/>
      <x:c r="P327" s="2"/>
    </x:row>
    <x:row r="328" ht="22" customHeight="1">
      <x:c r="A328" s="12" t="n">
        <x:v>40544</x:v>
      </x:c>
      <x:c r="B328" s="2" t="str">
        <x:v>2011-01</x:v>
      </x:c>
      <x:c r="C328" s="2" t="str">
        <x:v>Poland</x:v>
      </x:c>
      <x:c r="D328" s="11" t="n">
        <x:v>613.22</x:v>
      </x:c>
      <x:c r="E328" s="11" t="n">
        <x:v>0</x:v>
      </x:c>
      <x:c r="F328" s="2" t="n">
        <x:v>1</x:v>
      </x:c>
      <x:c r="G328" s="2"/>
      <x:c r="H328" s="2"/>
      <x:c r="I328" s="2"/>
      <x:c r="J328" s="2"/>
      <x:c r="K328" s="2"/>
      <x:c r="L328" s="2"/>
      <x:c r="M328" s="2"/>
      <x:c r="N328" s="2"/>
      <x:c r="O328" s="2"/>
      <x:c r="P328" s="2"/>
    </x:row>
    <x:row r="329" ht="22" customHeight="1">
      <x:c r="A329" s="12" t="n">
        <x:v>40544</x:v>
      </x:c>
      <x:c r="B329" s="2" t="str">
        <x:v>2011-01</x:v>
      </x:c>
      <x:c r="C329" s="2" t="str">
        <x:v>Portugal</x:v>
      </x:c>
      <x:c r="D329" s="11" t="n">
        <x:v>4055.71</x:v>
      </x:c>
      <x:c r="E329" s="11" t="n">
        <x:v>57.6</x:v>
      </x:c>
      <x:c r="F329" s="2" t="n">
        <x:v>4</x:v>
      </x:c>
      <x:c r="G329" s="2"/>
      <x:c r="H329" s="2"/>
      <x:c r="I329" s="2"/>
      <x:c r="J329" s="2"/>
      <x:c r="K329" s="2"/>
      <x:c r="L329" s="2"/>
      <x:c r="M329" s="2"/>
      <x:c r="N329" s="2"/>
      <x:c r="O329" s="2"/>
      <x:c r="P329" s="2"/>
    </x:row>
    <x:row r="330" ht="22" customHeight="1">
      <x:c r="A330" s="12" t="n">
        <x:v>40544</x:v>
      </x:c>
      <x:c r="B330" s="2" t="str">
        <x:v>2011-01</x:v>
      </x:c>
      <x:c r="C330" s="2" t="str">
        <x:v>Singapore</x:v>
      </x:c>
      <x:c r="D330" s="11" t="n">
        <x:v>2053.07</x:v>
      </x:c>
      <x:c r="E330" s="11" t="n">
        <x:v>0</x:v>
      </x:c>
      <x:c r="F330" s="2" t="n">
        <x:v>1</x:v>
      </x:c>
      <x:c r="G330" s="2"/>
      <x:c r="H330" s="2"/>
      <x:c r="I330" s="2"/>
      <x:c r="J330" s="2"/>
      <x:c r="K330" s="2"/>
      <x:c r="L330" s="2"/>
      <x:c r="M330" s="2"/>
      <x:c r="N330" s="2"/>
      <x:c r="O330" s="2"/>
      <x:c r="P330" s="2"/>
    </x:row>
    <x:row r="331" ht="22" customHeight="1">
      <x:c r="A331" s="12" t="n">
        <x:v>40544</x:v>
      </x:c>
      <x:c r="B331" s="2" t="str">
        <x:v>2011-01</x:v>
      </x:c>
      <x:c r="C331" s="2" t="str">
        <x:v>Spain</x:v>
      </x:c>
      <x:c r="D331" s="11" t="n">
        <x:v>10086.09</x:v>
      </x:c>
      <x:c r="E331" s="11" t="n">
        <x:v>2907.55</x:v>
      </x:c>
      <x:c r="F331" s="2" t="n">
        <x:v>8</x:v>
      </x:c>
      <x:c r="G331" s="2"/>
      <x:c r="H331" s="2"/>
      <x:c r="I331" s="2"/>
      <x:c r="J331" s="2"/>
      <x:c r="K331" s="2"/>
      <x:c r="L331" s="2"/>
      <x:c r="M331" s="2"/>
      <x:c r="N331" s="2"/>
      <x:c r="O331" s="2"/>
      <x:c r="P331" s="2"/>
    </x:row>
    <x:row r="332" ht="22" customHeight="1">
      <x:c r="A332" s="12" t="n">
        <x:v>40544</x:v>
      </x:c>
      <x:c r="B332" s="2" t="str">
        <x:v>2011-01</x:v>
      </x:c>
      <x:c r="C332" s="2" t="str">
        <x:v>Sweden</x:v>
      </x:c>
      <x:c r="D332" s="11" t="n">
        <x:v>3486.32</x:v>
      </x:c>
      <x:c r="E332" s="11" t="n">
        <x:v>40</x:v>
      </x:c>
      <x:c r="F332" s="2" t="n">
        <x:v>2</x:v>
      </x:c>
      <x:c r="G332" s="2"/>
      <x:c r="H332" s="2"/>
      <x:c r="I332" s="2"/>
      <x:c r="J332" s="2"/>
      <x:c r="K332" s="2"/>
      <x:c r="L332" s="2"/>
      <x:c r="M332" s="2"/>
      <x:c r="N332" s="2"/>
      <x:c r="O332" s="2"/>
      <x:c r="P332" s="2"/>
    </x:row>
    <x:row r="333" ht="22" customHeight="1">
      <x:c r="A333" s="12" t="n">
        <x:v>40544</x:v>
      </x:c>
      <x:c r="B333" s="2" t="str">
        <x:v>2011-01</x:v>
      </x:c>
      <x:c r="C333" s="2" t="str">
        <x:v>Switzerland</x:v>
      </x:c>
      <x:c r="D333" s="11" t="n">
        <x:v>4231.23</x:v>
      </x:c>
      <x:c r="E333" s="11" t="n">
        <x:v>0</x:v>
      </x:c>
      <x:c r="F333" s="2" t="n">
        <x:v>3</x:v>
      </x:c>
      <x:c r="G333" s="2"/>
      <x:c r="H333" s="2"/>
      <x:c r="I333" s="2"/>
      <x:c r="J333" s="2"/>
      <x:c r="K333" s="2"/>
      <x:c r="L333" s="2"/>
      <x:c r="M333" s="2"/>
      <x:c r="N333" s="2"/>
      <x:c r="O333" s="2"/>
      <x:c r="P333" s="2"/>
    </x:row>
    <x:row r="334" ht="22" customHeight="1">
      <x:c r="A334" s="12" t="n">
        <x:v>40544</x:v>
      </x:c>
      <x:c r="B334" s="2" t="str">
        <x:v>2011-01</x:v>
      </x:c>
      <x:c r="C334" s="2" t="str">
        <x:v>United Kingdom</x:v>
      </x:c>
      <x:c r="D334" s="11" t="n">
        <x:v>561289.98</x:v>
      </x:c>
      <x:c r="E334" s="11" t="n">
        <x:v>126981.68000000001</x:v>
      </x:c>
      <x:c r="F334" s="2" t="n">
        <x:v>971</x:v>
      </x:c>
      <x:c r="G334" s="2"/>
      <x:c r="H334" s="2"/>
      <x:c r="I334" s="2"/>
      <x:c r="J334" s="2"/>
      <x:c r="K334" s="2"/>
      <x:c r="L334" s="2"/>
      <x:c r="M334" s="2"/>
      <x:c r="N334" s="2"/>
      <x:c r="O334" s="2"/>
      <x:c r="P334" s="2"/>
    </x:row>
    <x:row r="335" ht="22" customHeight="1">
      <x:c r="A335" s="12" t="n">
        <x:v>40575</x:v>
      </x:c>
      <x:c r="B335" s="2" t="str">
        <x:v>2011-02</x:v>
      </x:c>
      <x:c r="C335" s="2" t="str">
        <x:v>Australia</x:v>
      </x:c>
      <x:c r="D335" s="11" t="n">
        <x:v>14695.42</x:v>
      </x:c>
      <x:c r="E335" s="11" t="n">
        <x:v>67.95</x:v>
      </x:c>
      <x:c r="F335" s="2" t="n">
        <x:v>5</x:v>
      </x:c>
      <x:c r="G335" s="2"/>
      <x:c r="H335" s="2"/>
      <x:c r="I335" s="2"/>
      <x:c r="J335" s="2"/>
      <x:c r="K335" s="2"/>
      <x:c r="L335" s="2"/>
      <x:c r="M335" s="2"/>
      <x:c r="N335" s="2"/>
      <x:c r="O335" s="2"/>
      <x:c r="P335" s="2"/>
    </x:row>
    <x:row r="336" ht="22" customHeight="1">
      <x:c r="A336" s="12" t="n">
        <x:v>40575</x:v>
      </x:c>
      <x:c r="B336" s="2" t="str">
        <x:v>2011-02</x:v>
      </x:c>
      <x:c r="C336" s="2" t="str">
        <x:v>Austria</x:v>
      </x:c>
      <x:c r="D336" s="11" t="n">
        <x:v>518.36</x:v>
      </x:c>
      <x:c r="E336" s="11" t="n">
        <x:v>0</x:v>
      </x:c>
      <x:c r="F336" s="2" t="n">
        <x:v>2</x:v>
      </x:c>
      <x:c r="G336" s="2"/>
      <x:c r="H336" s="2"/>
      <x:c r="I336" s="2"/>
      <x:c r="J336" s="2"/>
      <x:c r="K336" s="2"/>
      <x:c r="L336" s="2"/>
      <x:c r="M336" s="2"/>
      <x:c r="N336" s="2"/>
      <x:c r="O336" s="2"/>
      <x:c r="P336" s="2"/>
    </x:row>
    <x:row r="337" ht="22" customHeight="1">
      <x:c r="A337" s="12" t="n">
        <x:v>40575</x:v>
      </x:c>
      <x:c r="B337" s="2" t="str">
        <x:v>2011-02</x:v>
      </x:c>
      <x:c r="C337" s="2" t="str">
        <x:v>Belgium</x:v>
      </x:c>
      <x:c r="D337" s="11" t="n">
        <x:v>2181.07</x:v>
      </x:c>
      <x:c r="E337" s="11" t="n">
        <x:v>19.75</x:v>
      </x:c>
      <x:c r="F337" s="2" t="n">
        <x:v>8</x:v>
      </x:c>
      <x:c r="G337" s="2"/>
      <x:c r="H337" s="2"/>
      <x:c r="I337" s="2"/>
      <x:c r="J337" s="2"/>
      <x:c r="K337" s="2"/>
      <x:c r="L337" s="2"/>
      <x:c r="M337" s="2"/>
      <x:c r="N337" s="2"/>
      <x:c r="O337" s="2"/>
      <x:c r="P337" s="2"/>
    </x:row>
    <x:row r="338" ht="22" customHeight="1">
      <x:c r="A338" s="12" t="n">
        <x:v>40575</x:v>
      </x:c>
      <x:c r="B338" s="2" t="str">
        <x:v>2011-02</x:v>
      </x:c>
      <x:c r="C338" s="2" t="str">
        <x:v>Channel Islands</x:v>
      </x:c>
      <x:c r="D338" s="11" t="n">
        <x:v>1784.71</x:v>
      </x:c>
      <x:c r="E338" s="11" t="n">
        <x:v>0</x:v>
      </x:c>
      <x:c r="F338" s="2" t="n">
        <x:v>1</x:v>
      </x:c>
      <x:c r="G338" s="2"/>
      <x:c r="H338" s="2"/>
      <x:c r="I338" s="2"/>
      <x:c r="J338" s="2"/>
      <x:c r="K338" s="2"/>
      <x:c r="L338" s="2"/>
      <x:c r="M338" s="2"/>
      <x:c r="N338" s="2"/>
      <x:c r="O338" s="2"/>
      <x:c r="P338" s="2"/>
    </x:row>
    <x:row r="339" ht="22" customHeight="1">
      <x:c r="A339" s="12" t="n">
        <x:v>40575</x:v>
      </x:c>
      <x:c r="B339" s="2" t="str">
        <x:v>2011-02</x:v>
      </x:c>
      <x:c r="C339" s="2" t="str">
        <x:v>Cyprus</x:v>
      </x:c>
      <x:c r="D339" s="11" t="n">
        <x:v>4334.24</x:v>
      </x:c>
      <x:c r="E339" s="11" t="n">
        <x:v>320.69</x:v>
      </x:c>
      <x:c r="F339" s="2" t="n">
        <x:v>6</x:v>
      </x:c>
      <x:c r="G339" s="2"/>
      <x:c r="H339" s="2"/>
      <x:c r="I339" s="2"/>
      <x:c r="J339" s="2"/>
      <x:c r="K339" s="2"/>
      <x:c r="L339" s="2"/>
      <x:c r="M339" s="2"/>
      <x:c r="N339" s="2"/>
      <x:c r="O339" s="2"/>
      <x:c r="P339" s="2"/>
    </x:row>
    <x:row r="340" ht="22" customHeight="1">
      <x:c r="A340" s="12" t="n">
        <x:v>40575</x:v>
      </x:c>
      <x:c r="B340" s="2" t="str">
        <x:v>2011-02</x:v>
      </x:c>
      <x:c r="C340" s="2" t="str">
        <x:v>Czech Republic</x:v>
      </x:c>
      <x:c r="D340" s="11" t="n">
        <x:v>549.26</x:v>
      </x:c>
      <x:c r="E340" s="11" t="n">
        <x:v>0</x:v>
      </x:c>
      <x:c r="F340" s="2" t="n">
        <x:v>1</x:v>
      </x:c>
      <x:c r="G340" s="2"/>
      <x:c r="H340" s="2"/>
      <x:c r="I340" s="2"/>
      <x:c r="J340" s="2"/>
      <x:c r="K340" s="2"/>
      <x:c r="L340" s="2"/>
      <x:c r="M340" s="2"/>
      <x:c r="N340" s="2"/>
      <x:c r="O340" s="2"/>
      <x:c r="P340" s="2"/>
    </x:row>
    <x:row r="341" ht="22" customHeight="1">
      <x:c r="A341" s="12" t="n">
        <x:v>40575</x:v>
      </x:c>
      <x:c r="B341" s="2" t="str">
        <x:v>2011-02</x:v>
      </x:c>
      <x:c r="C341" s="2" t="str">
        <x:v>Denmark</x:v>
      </x:c>
      <x:c r="D341" s="11" t="n">
        <x:v>399.22</x:v>
      </x:c>
      <x:c r="E341" s="11" t="n">
        <x:v>0</x:v>
      </x:c>
      <x:c r="F341" s="2" t="n">
        <x:v>1</x:v>
      </x:c>
      <x:c r="G341" s="2"/>
      <x:c r="H341" s="2"/>
      <x:c r="I341" s="2"/>
      <x:c r="J341" s="2"/>
      <x:c r="K341" s="2"/>
      <x:c r="L341" s="2"/>
      <x:c r="M341" s="2"/>
      <x:c r="N341" s="2"/>
      <x:c r="O341" s="2"/>
      <x:c r="P341" s="2"/>
    </x:row>
    <x:row r="342" ht="22" customHeight="1">
      <x:c r="A342" s="12" t="n">
        <x:v>40575</x:v>
      </x:c>
      <x:c r="B342" s="2" t="str">
        <x:v>2011-02</x:v>
      </x:c>
      <x:c r="C342" s="2" t="str">
        <x:v>EIRE</x:v>
      </x:c>
      <x:c r="D342" s="11" t="n">
        <x:v>12248.74</x:v>
      </x:c>
      <x:c r="E342" s="11" t="n">
        <x:v>2574.6</x:v>
      </x:c>
      <x:c r="F342" s="2" t="n">
        <x:v>13</x:v>
      </x:c>
      <x:c r="G342" s="2"/>
      <x:c r="H342" s="2"/>
      <x:c r="I342" s="2"/>
      <x:c r="J342" s="2"/>
      <x:c r="K342" s="2"/>
      <x:c r="L342" s="2"/>
      <x:c r="M342" s="2"/>
      <x:c r="N342" s="2"/>
      <x:c r="O342" s="2"/>
      <x:c r="P342" s="2"/>
    </x:row>
    <x:row r="343" ht="22" customHeight="1">
      <x:c r="A343" s="12" t="n">
        <x:v>40575</x:v>
      </x:c>
      <x:c r="B343" s="2" t="str">
        <x:v>2011-02</x:v>
      </x:c>
      <x:c r="C343" s="2" t="str">
        <x:v>Finland</x:v>
      </x:c>
      <x:c r="D343" s="11" t="n">
        <x:v>205.16</x:v>
      </x:c>
      <x:c r="E343" s="11" t="n">
        <x:v>0</x:v>
      </x:c>
      <x:c r="F343" s="2" t="n">
        <x:v>1</x:v>
      </x:c>
      <x:c r="G343" s="2"/>
      <x:c r="H343" s="2"/>
      <x:c r="I343" s="2"/>
      <x:c r="J343" s="2"/>
      <x:c r="K343" s="2"/>
      <x:c r="L343" s="2"/>
      <x:c r="M343" s="2"/>
      <x:c r="N343" s="2"/>
      <x:c r="O343" s="2"/>
      <x:c r="P343" s="2"/>
    </x:row>
    <x:row r="344" ht="22" customHeight="1">
      <x:c r="A344" s="12" t="n">
        <x:v>40575</x:v>
      </x:c>
      <x:c r="B344" s="2" t="str">
        <x:v>2011-02</x:v>
      </x:c>
      <x:c r="C344" s="2" t="str">
        <x:v>France</x:v>
      </x:c>
      <x:c r="D344" s="11" t="n">
        <x:v>8515.96</x:v>
      </x:c>
      <x:c r="E344" s="11" t="n">
        <x:v>77.05</x:v>
      </x:c>
      <x:c r="F344" s="2" t="n">
        <x:v>21</x:v>
      </x:c>
      <x:c r="G344" s="2"/>
      <x:c r="H344" s="2"/>
      <x:c r="I344" s="2"/>
      <x:c r="J344" s="2"/>
      <x:c r="K344" s="2"/>
      <x:c r="L344" s="2"/>
      <x:c r="M344" s="2"/>
      <x:c r="N344" s="2"/>
      <x:c r="O344" s="2"/>
      <x:c r="P344" s="2"/>
    </x:row>
    <x:row r="345" ht="22" customHeight="1">
      <x:c r="A345" s="12" t="n">
        <x:v>40575</x:v>
      </x:c>
      <x:c r="B345" s="2" t="str">
        <x:v>2011-02</x:v>
      </x:c>
      <x:c r="C345" s="2" t="str">
        <x:v>Germany</x:v>
      </x:c>
      <x:c r="D345" s="11" t="n">
        <x:v>9581.05</x:v>
      </x:c>
      <x:c r="E345" s="11" t="n">
        <x:v>611.81</x:v>
      </x:c>
      <x:c r="F345" s="2" t="n">
        <x:v>19</x:v>
      </x:c>
      <x:c r="G345" s="2"/>
      <x:c r="H345" s="2"/>
      <x:c r="I345" s="2"/>
      <x:c r="J345" s="2"/>
      <x:c r="K345" s="2"/>
      <x:c r="L345" s="2"/>
      <x:c r="M345" s="2"/>
      <x:c r="N345" s="2"/>
      <x:c r="O345" s="2"/>
      <x:c r="P345" s="2"/>
    </x:row>
    <x:row r="346" ht="22" customHeight="1">
      <x:c r="A346" s="12" t="n">
        <x:v>40575</x:v>
      </x:c>
      <x:c r="B346" s="2" t="str">
        <x:v>2011-02</x:v>
      </x:c>
      <x:c r="C346" s="2" t="str">
        <x:v>Israel</x:v>
      </x:c>
      <x:c r="D346" s="11" t="n">
        <x:v>779.1</x:v>
      </x:c>
      <x:c r="E346" s="11" t="n">
        <x:v>0</x:v>
      </x:c>
      <x:c r="F346" s="2" t="n">
        <x:v>1</x:v>
      </x:c>
      <x:c r="G346" s="2"/>
      <x:c r="H346" s="2"/>
      <x:c r="I346" s="2"/>
      <x:c r="J346" s="2"/>
      <x:c r="K346" s="2"/>
      <x:c r="L346" s="2"/>
      <x:c r="M346" s="2"/>
      <x:c r="N346" s="2"/>
      <x:c r="O346" s="2"/>
      <x:c r="P346" s="2"/>
    </x:row>
    <x:row r="347" ht="22" customHeight="1">
      <x:c r="A347" s="12" t="n">
        <x:v>40575</x:v>
      </x:c>
      <x:c r="B347" s="2" t="str">
        <x:v>2011-02</x:v>
      </x:c>
      <x:c r="C347" s="2" t="str">
        <x:v>Italy</x:v>
      </x:c>
      <x:c r="D347" s="11" t="n">
        <x:v>256</x:v>
      </x:c>
      <x:c r="E347" s="11" t="n">
        <x:v>4.5</x:v>
      </x:c>
      <x:c r="F347" s="2" t="n">
        <x:v>1</x:v>
      </x:c>
      <x:c r="G347" s="2"/>
      <x:c r="H347" s="2"/>
      <x:c r="I347" s="2"/>
      <x:c r="J347" s="2"/>
      <x:c r="K347" s="2"/>
      <x:c r="L347" s="2"/>
      <x:c r="M347" s="2"/>
      <x:c r="N347" s="2"/>
      <x:c r="O347" s="2"/>
      <x:c r="P347" s="2"/>
    </x:row>
    <x:row r="348" ht="22" customHeight="1">
      <x:c r="A348" s="12" t="n">
        <x:v>40575</x:v>
      </x:c>
      <x:c r="B348" s="2" t="str">
        <x:v>2011-02</x:v>
      </x:c>
      <x:c r="C348" s="2" t="str">
        <x:v>Japan</x:v>
      </x:c>
      <x:c r="D348" s="11" t="n">
        <x:v>5780.8099999999995</x:v>
      </x:c>
      <x:c r="E348" s="11" t="n">
        <x:v>0</x:v>
      </x:c>
      <x:c r="F348" s="2" t="n">
        <x:v>2</x:v>
      </x:c>
      <x:c r="G348" s="2"/>
      <x:c r="H348" s="2"/>
      <x:c r="I348" s="2"/>
      <x:c r="J348" s="2"/>
      <x:c r="K348" s="2"/>
      <x:c r="L348" s="2"/>
      <x:c r="M348" s="2"/>
      <x:c r="N348" s="2"/>
      <x:c r="O348" s="2"/>
      <x:c r="P348" s="2"/>
    </x:row>
    <x:row r="349" ht="22" customHeight="1">
      <x:c r="A349" s="12" t="n">
        <x:v>40575</x:v>
      </x:c>
      <x:c r="B349" s="2" t="str">
        <x:v>2011-02</x:v>
      </x:c>
      <x:c r="C349" s="2" t="str">
        <x:v>Netherlands</x:v>
      </x:c>
      <x:c r="D349" s="11" t="n">
        <x:v>23011.91</x:v>
      </x:c>
      <x:c r="E349" s="11" t="n">
        <x:v>79.8</x:v>
      </x:c>
      <x:c r="F349" s="2" t="n">
        <x:v>5</x:v>
      </x:c>
      <x:c r="G349" s="2"/>
      <x:c r="H349" s="2"/>
      <x:c r="I349" s="2"/>
      <x:c r="J349" s="2"/>
      <x:c r="K349" s="2"/>
      <x:c r="L349" s="2"/>
      <x:c r="M349" s="2"/>
      <x:c r="N349" s="2"/>
      <x:c r="O349" s="2"/>
      <x:c r="P349" s="2"/>
    </x:row>
    <x:row r="350" ht="22" customHeight="1">
      <x:c r="A350" s="12" t="n">
        <x:v>40575</x:v>
      </x:c>
      <x:c r="B350" s="2" t="str">
        <x:v>2011-02</x:v>
      </x:c>
      <x:c r="C350" s="2" t="str">
        <x:v>Norway</x:v>
      </x:c>
      <x:c r="D350" s="11" t="n">
        <x:v>630.9</x:v>
      </x:c>
      <x:c r="E350" s="11" t="n">
        <x:v>0</x:v>
      </x:c>
      <x:c r="F350" s="2" t="n">
        <x:v>2</x:v>
      </x:c>
      <x:c r="G350" s="2"/>
      <x:c r="H350" s="2"/>
      <x:c r="I350" s="2"/>
      <x:c r="J350" s="2"/>
      <x:c r="K350" s="2"/>
      <x:c r="L350" s="2"/>
      <x:c r="M350" s="2"/>
      <x:c r="N350" s="2"/>
      <x:c r="O350" s="2"/>
      <x:c r="P350" s="2"/>
    </x:row>
    <x:row r="351" ht="22" customHeight="1">
      <x:c r="A351" s="12" t="n">
        <x:v>40575</x:v>
      </x:c>
      <x:c r="B351" s="2" t="str">
        <x:v>2011-02</x:v>
      </x:c>
      <x:c r="C351" s="2" t="str">
        <x:v>Poland</x:v>
      </x:c>
      <x:c r="D351" s="11" t="n">
        <x:v>604.05</x:v>
      </x:c>
      <x:c r="E351" s="11" t="n">
        <x:v>0</x:v>
      </x:c>
      <x:c r="F351" s="2" t="n">
        <x:v>2</x:v>
      </x:c>
      <x:c r="G351" s="2"/>
      <x:c r="H351" s="2"/>
      <x:c r="I351" s="2"/>
      <x:c r="J351" s="2"/>
      <x:c r="K351" s="2"/>
      <x:c r="L351" s="2"/>
      <x:c r="M351" s="2"/>
      <x:c r="N351" s="2"/>
      <x:c r="O351" s="2"/>
      <x:c r="P351" s="2"/>
    </x:row>
    <x:row r="352" ht="22" customHeight="1">
      <x:c r="A352" s="12" t="n">
        <x:v>40575</x:v>
      </x:c>
      <x:c r="B352" s="2" t="str">
        <x:v>2011-02</x:v>
      </x:c>
      <x:c r="C352" s="2" t="str">
        <x:v>Portugal</x:v>
      </x:c>
      <x:c r="D352" s="11" t="n">
        <x:v>1213.9</x:v>
      </x:c>
      <x:c r="E352" s="11" t="n">
        <x:v>0</x:v>
      </x:c>
      <x:c r="F352" s="2" t="n">
        <x:v>2</x:v>
      </x:c>
      <x:c r="G352" s="2"/>
      <x:c r="H352" s="2"/>
      <x:c r="I352" s="2"/>
      <x:c r="J352" s="2"/>
      <x:c r="K352" s="2"/>
      <x:c r="L352" s="2"/>
      <x:c r="M352" s="2"/>
      <x:c r="N352" s="2"/>
      <x:c r="O352" s="2"/>
      <x:c r="P352" s="2"/>
    </x:row>
    <x:row r="353" ht="22" customHeight="1">
      <x:c r="A353" s="12" t="n">
        <x:v>40575</x:v>
      </x:c>
      <x:c r="B353" s="2" t="str">
        <x:v>2011-02</x:v>
      </x:c>
      <x:c r="C353" s="2" t="str">
        <x:v>Saudi Arabia</x:v>
      </x:c>
      <x:c r="D353" s="11" t="n">
        <x:v>145.92</x:v>
      </x:c>
      <x:c r="E353" s="11" t="n">
        <x:v>0</x:v>
      </x:c>
      <x:c r="F353" s="2" t="n">
        <x:v>1</x:v>
      </x:c>
      <x:c r="G353" s="2"/>
      <x:c r="H353" s="2"/>
      <x:c r="I353" s="2"/>
      <x:c r="J353" s="2"/>
      <x:c r="K353" s="2"/>
      <x:c r="L353" s="2"/>
      <x:c r="M353" s="2"/>
      <x:c r="N353" s="2"/>
      <x:c r="O353" s="2"/>
      <x:c r="P353" s="2"/>
    </x:row>
    <x:row r="354" ht="22" customHeight="1">
      <x:c r="A354" s="12" t="n">
        <x:v>40575</x:v>
      </x:c>
      <x:c r="B354" s="2" t="str">
        <x:v>2011-02</x:v>
      </x:c>
      <x:c r="C354" s="2" t="str">
        <x:v>Spain</x:v>
      </x:c>
      <x:c r="D354" s="11" t="n">
        <x:v>2114.5</x:v>
      </x:c>
      <x:c r="E354" s="11" t="n">
        <x:v>20.8</x:v>
      </x:c>
      <x:c r="F354" s="2" t="n">
        <x:v>4</x:v>
      </x:c>
      <x:c r="G354" s="2"/>
      <x:c r="H354" s="2"/>
      <x:c r="I354" s="2"/>
      <x:c r="J354" s="2"/>
      <x:c r="K354" s="2"/>
      <x:c r="L354" s="2"/>
      <x:c r="M354" s="2"/>
      <x:c r="N354" s="2"/>
      <x:c r="O354" s="2"/>
      <x:c r="P354" s="2"/>
    </x:row>
    <x:row r="355" ht="22" customHeight="1">
      <x:c r="A355" s="12" t="n">
        <x:v>40575</x:v>
      </x:c>
      <x:c r="B355" s="2" t="str">
        <x:v>2011-02</x:v>
      </x:c>
      <x:c r="C355" s="2" t="str">
        <x:v>Sweden</x:v>
      </x:c>
      <x:c r="D355" s="11" t="n">
        <x:v>509.5</x:v>
      </x:c>
      <x:c r="E355" s="11" t="n">
        <x:v>0</x:v>
      </x:c>
      <x:c r="F355" s="2" t="n">
        <x:v>1</x:v>
      </x:c>
      <x:c r="G355" s="2"/>
      <x:c r="H355" s="2"/>
      <x:c r="I355" s="2"/>
      <x:c r="J355" s="2"/>
      <x:c r="K355" s="2"/>
      <x:c r="L355" s="2"/>
      <x:c r="M355" s="2"/>
      <x:c r="N355" s="2"/>
      <x:c r="O355" s="2"/>
      <x:c r="P355" s="2"/>
    </x:row>
    <x:row r="356" ht="22" customHeight="1">
      <x:c r="A356" s="12" t="n">
        <x:v>40575</x:v>
      </x:c>
      <x:c r="B356" s="2" t="str">
        <x:v>2011-02</x:v>
      </x:c>
      <x:c r="C356" s="2" t="str">
        <x:v>Switzerland</x:v>
      </x:c>
      <x:c r="D356" s="11" t="n">
        <x:v>2654.92</x:v>
      </x:c>
      <x:c r="E356" s="11" t="n">
        <x:v>12.25</x:v>
      </x:c>
      <x:c r="F356" s="2" t="n">
        <x:v>5</x:v>
      </x:c>
      <x:c r="G356" s="2"/>
      <x:c r="H356" s="2"/>
      <x:c r="I356" s="2"/>
      <x:c r="J356" s="2"/>
      <x:c r="K356" s="2"/>
      <x:c r="L356" s="2"/>
      <x:c r="M356" s="2"/>
      <x:c r="N356" s="2"/>
      <x:c r="O356" s="2"/>
      <x:c r="P356" s="2"/>
    </x:row>
    <x:row r="357" ht="22" customHeight="1">
      <x:c r="A357" s="12" t="n">
        <x:v>40575</x:v>
      </x:c>
      <x:c r="B357" s="2" t="str">
        <x:v>2011-02</x:v>
      </x:c>
      <x:c r="C357" s="2" t="str">
        <x:v>United Arab Emirates</x:v>
      </x:c>
      <x:c r="D357" s="11" t="n">
        <x:v>889.24</x:v>
      </x:c>
      <x:c r="E357" s="11" t="n">
        <x:v>0</x:v>
      </x:c>
      <x:c r="F357" s="2" t="n">
        <x:v>1</x:v>
      </x:c>
      <x:c r="G357" s="2"/>
      <x:c r="H357" s="2"/>
      <x:c r="I357" s="2"/>
      <x:c r="J357" s="2"/>
      <x:c r="K357" s="2"/>
      <x:c r="L357" s="2"/>
      <x:c r="M357" s="2"/>
      <x:c r="N357" s="2"/>
      <x:c r="O357" s="2"/>
      <x:c r="P357" s="2"/>
    </x:row>
    <x:row r="358" ht="22" customHeight="1">
      <x:c r="A358" s="12" t="n">
        <x:v>40575</x:v>
      </x:c>
      <x:c r="B358" s="2" t="str">
        <x:v>2011-02</x:v>
      </x:c>
      <x:c r="C358" s="2" t="str">
        <x:v>United Kingdom</x:v>
      </x:c>
      <x:c r="D358" s="11" t="n">
        <x:v>430027.95</x:v>
      </x:c>
      <x:c r="E358" s="11" t="n">
        <x:v>21780.04</x:v>
      </x:c>
      <x:c r="F358" s="2" t="n">
        <x:v>995</x:v>
      </x:c>
      <x:c r="G358" s="2"/>
      <x:c r="H358" s="2"/>
      <x:c r="I358" s="2"/>
      <x:c r="J358" s="2"/>
      <x:c r="K358" s="2"/>
      <x:c r="L358" s="2"/>
      <x:c r="M358" s="2"/>
      <x:c r="N358" s="2"/>
      <x:c r="O358" s="2"/>
      <x:c r="P358" s="2"/>
    </x:row>
    <x:row r="359" ht="22" customHeight="1">
      <x:c r="A359" s="12" t="n">
        <x:v>40603</x:v>
      </x:c>
      <x:c r="B359" s="2" t="str">
        <x:v>2011-03</x:v>
      </x:c>
      <x:c r="C359" s="2" t="str">
        <x:v>Australia</x:v>
      </x:c>
      <x:c r="D359" s="11" t="n">
        <x:v>17223.99</x:v>
      </x:c>
      <x:c r="E359" s="11" t="n">
        <x:v>168.7</x:v>
      </x:c>
      <x:c r="F359" s="2" t="n">
        <x:v>3</x:v>
      </x:c>
      <x:c r="G359" s="2"/>
      <x:c r="H359" s="2"/>
      <x:c r="I359" s="2"/>
      <x:c r="J359" s="2"/>
      <x:c r="K359" s="2"/>
      <x:c r="L359" s="2"/>
      <x:c r="M359" s="2"/>
      <x:c r="N359" s="2"/>
      <x:c r="O359" s="2"/>
      <x:c r="P359" s="2"/>
    </x:row>
    <x:row r="360" ht="22" customHeight="1">
      <x:c r="A360" s="12" t="n">
        <x:v>40603</x:v>
      </x:c>
      <x:c r="B360" s="2" t="str">
        <x:v>2011-03</x:v>
      </x:c>
      <x:c r="C360" s="2" t="str">
        <x:v>Austria</x:v>
      </x:c>
      <x:c r="D360" s="11" t="n">
        <x:v>1708.12</x:v>
      </x:c>
      <x:c r="E360" s="11" t="n">
        <x:v>0</x:v>
      </x:c>
      <x:c r="F360" s="2" t="n">
        <x:v>2</x:v>
      </x:c>
      <x:c r="G360" s="2"/>
      <x:c r="H360" s="2"/>
      <x:c r="I360" s="2"/>
      <x:c r="J360" s="2"/>
      <x:c r="K360" s="2"/>
      <x:c r="L360" s="2"/>
      <x:c r="M360" s="2"/>
      <x:c r="N360" s="2"/>
      <x:c r="O360" s="2"/>
      <x:c r="P360" s="2"/>
    </x:row>
    <x:row r="361" ht="22" customHeight="1">
      <x:c r="A361" s="12" t="n">
        <x:v>40603</x:v>
      </x:c>
      <x:c r="B361" s="2" t="str">
        <x:v>2011-03</x:v>
      </x:c>
      <x:c r="C361" s="2" t="str">
        <x:v>Belgium</x:v>
      </x:c>
      <x:c r="D361" s="11" t="n">
        <x:v>3351.98</x:v>
      </x:c>
      <x:c r="E361" s="11" t="n">
        <x:v>18.4</x:v>
      </x:c>
      <x:c r="F361" s="2" t="n">
        <x:v>9</x:v>
      </x:c>
      <x:c r="G361" s="2"/>
      <x:c r="H361" s="2"/>
      <x:c r="I361" s="2"/>
      <x:c r="J361" s="2"/>
      <x:c r="K361" s="2"/>
      <x:c r="L361" s="2"/>
      <x:c r="M361" s="2"/>
      <x:c r="N361" s="2"/>
      <x:c r="O361" s="2"/>
      <x:c r="P361" s="2"/>
    </x:row>
    <x:row r="362" ht="22" customHeight="1">
      <x:c r="A362" s="12" t="n">
        <x:v>40603</x:v>
      </x:c>
      <x:c r="B362" s="2" t="str">
        <x:v>2011-03</x:v>
      </x:c>
      <x:c r="C362" s="2" t="str">
        <x:v>Canada</x:v>
      </x:c>
      <x:c r="D362" s="11" t="n">
        <x:v>140.54</x:v>
      </x:c>
      <x:c r="E362" s="11" t="n">
        <x:v>0</x:v>
      </x:c>
      <x:c r="F362" s="2" t="n">
        <x:v>1</x:v>
      </x:c>
      <x:c r="G362" s="2"/>
      <x:c r="H362" s="2"/>
      <x:c r="I362" s="2"/>
      <x:c r="J362" s="2"/>
      <x:c r="K362" s="2"/>
      <x:c r="L362" s="2"/>
      <x:c r="M362" s="2"/>
      <x:c r="N362" s="2"/>
      <x:c r="O362" s="2"/>
      <x:c r="P362" s="2"/>
    </x:row>
    <x:row r="363" ht="22" customHeight="1">
      <x:c r="A363" s="12" t="n">
        <x:v>40603</x:v>
      </x:c>
      <x:c r="B363" s="2" t="str">
        <x:v>2011-03</x:v>
      </x:c>
      <x:c r="C363" s="2" t="str">
        <x:v>Channel Islands</x:v>
      </x:c>
      <x:c r="D363" s="11" t="n">
        <x:v>3509.33</x:v>
      </x:c>
      <x:c r="E363" s="11" t="n">
        <x:v>0</x:v>
      </x:c>
      <x:c r="F363" s="2" t="n">
        <x:v>3</x:v>
      </x:c>
      <x:c r="G363" s="2"/>
      <x:c r="H363" s="2"/>
      <x:c r="I363" s="2"/>
      <x:c r="J363" s="2"/>
      <x:c r="K363" s="2"/>
      <x:c r="L363" s="2"/>
      <x:c r="M363" s="2"/>
      <x:c r="N363" s="2"/>
      <x:c r="O363" s="2"/>
      <x:c r="P363" s="2"/>
    </x:row>
    <x:row r="364" ht="22" customHeight="1">
      <x:c r="A364" s="12" t="n">
        <x:v>40603</x:v>
      </x:c>
      <x:c r="B364" s="2" t="str">
        <x:v>2011-03</x:v>
      </x:c>
      <x:c r="C364" s="2" t="str">
        <x:v>Cyprus</x:v>
      </x:c>
      <x:c r="D364" s="11" t="n">
        <x:v>938.39</x:v>
      </x:c>
      <x:c r="E364" s="11" t="n">
        <x:v>0</x:v>
      </x:c>
      <x:c r="F364" s="2" t="n">
        <x:v>1</x:v>
      </x:c>
      <x:c r="G364" s="2"/>
      <x:c r="H364" s="2"/>
      <x:c r="I364" s="2"/>
      <x:c r="J364" s="2"/>
      <x:c r="K364" s="2"/>
      <x:c r="L364" s="2"/>
      <x:c r="M364" s="2"/>
      <x:c r="N364" s="2"/>
      <x:c r="O364" s="2"/>
      <x:c r="P364" s="2"/>
    </x:row>
    <x:row r="365" ht="22" customHeight="1">
      <x:c r="A365" s="12" t="n">
        <x:v>40603</x:v>
      </x:c>
      <x:c r="B365" s="2" t="str">
        <x:v>2011-03</x:v>
      </x:c>
      <x:c r="C365" s="2" t="str">
        <x:v>Denmark</x:v>
      </x:c>
      <x:c r="D365" s="11" t="n">
        <x:v>3978.9900000000002</x:v>
      </x:c>
      <x:c r="E365" s="11" t="n">
        <x:v>0</x:v>
      </x:c>
      <x:c r="F365" s="2" t="n">
        <x:v>1</x:v>
      </x:c>
      <x:c r="G365" s="2"/>
      <x:c r="H365" s="2"/>
      <x:c r="I365" s="2"/>
      <x:c r="J365" s="2"/>
      <x:c r="K365" s="2"/>
      <x:c r="L365" s="2"/>
      <x:c r="M365" s="2"/>
      <x:c r="N365" s="2"/>
      <x:c r="O365" s="2"/>
      <x:c r="P365" s="2"/>
    </x:row>
    <x:row r="366" ht="22" customHeight="1">
      <x:c r="A366" s="12" t="n">
        <x:v>40603</x:v>
      </x:c>
      <x:c r="B366" s="2" t="str">
        <x:v>2011-03</x:v>
      </x:c>
      <x:c r="C366" s="2" t="str">
        <x:v>EIRE</x:v>
      </x:c>
      <x:c r="D366" s="11" t="n">
        <x:v>22197.51</x:v>
      </x:c>
      <x:c r="E366" s="11" t="n">
        <x:v>3414.28</x:v>
      </x:c>
      <x:c r="F366" s="2" t="n">
        <x:v>23</x:v>
      </x:c>
      <x:c r="G366" s="2"/>
      <x:c r="H366" s="2"/>
      <x:c r="I366" s="2"/>
      <x:c r="J366" s="2"/>
      <x:c r="K366" s="2"/>
      <x:c r="L366" s="2"/>
      <x:c r="M366" s="2"/>
      <x:c r="N366" s="2"/>
      <x:c r="O366" s="2"/>
      <x:c r="P366" s="2"/>
    </x:row>
    <x:row r="367" ht="22" customHeight="1">
      <x:c r="A367" s="12" t="n">
        <x:v>40603</x:v>
      </x:c>
      <x:c r="B367" s="2" t="str">
        <x:v>2011-03</x:v>
      </x:c>
      <x:c r="C367" s="2" t="str">
        <x:v>Finland</x:v>
      </x:c>
      <x:c r="D367" s="11" t="n">
        <x:v>5936.82</x:v>
      </x:c>
      <x:c r="E367" s="11" t="n">
        <x:v>12.2</x:v>
      </x:c>
      <x:c r="F367" s="2" t="n">
        <x:v>5</x:v>
      </x:c>
      <x:c r="G367" s="2"/>
      <x:c r="H367" s="2"/>
      <x:c r="I367" s="2"/>
      <x:c r="J367" s="2"/>
      <x:c r="K367" s="2"/>
      <x:c r="L367" s="2"/>
      <x:c r="M367" s="2"/>
      <x:c r="N367" s="2"/>
      <x:c r="O367" s="2"/>
      <x:c r="P367" s="2"/>
    </x:row>
    <x:row r="368" ht="22" customHeight="1">
      <x:c r="A368" s="12" t="n">
        <x:v>40603</x:v>
      </x:c>
      <x:c r="B368" s="2" t="str">
        <x:v>2011-03</x:v>
      </x:c>
      <x:c r="C368" s="2" t="str">
        <x:v>France</x:v>
      </x:c>
      <x:c r="D368" s="11" t="n">
        <x:v>14589.55</x:v>
      </x:c>
      <x:c r="E368" s="11" t="n">
        <x:v>72.64999999999999</x:v>
      </x:c>
      <x:c r="F368" s="2" t="n">
        <x:v>25</x:v>
      </x:c>
      <x:c r="G368" s="2"/>
      <x:c r="H368" s="2"/>
      <x:c r="I368" s="2"/>
      <x:c r="J368" s="2"/>
      <x:c r="K368" s="2"/>
      <x:c r="L368" s="2"/>
      <x:c r="M368" s="2"/>
      <x:c r="N368" s="2"/>
      <x:c r="O368" s="2"/>
      <x:c r="P368" s="2"/>
    </x:row>
    <x:row r="369" ht="22" customHeight="1">
      <x:c r="A369" s="12" t="n">
        <x:v>40603</x:v>
      </x:c>
      <x:c r="B369" s="2" t="str">
        <x:v>2011-03</x:v>
      </x:c>
      <x:c r="C369" s="2" t="str">
        <x:v>Germany</x:v>
      </x:c>
      <x:c r="D369" s="11" t="n">
        <x:v>14392.69</x:v>
      </x:c>
      <x:c r="E369" s="11" t="n">
        <x:v>222.67000000000002</x:v>
      </x:c>
      <x:c r="F369" s="2" t="n">
        <x:v>32</x:v>
      </x:c>
      <x:c r="G369" s="2"/>
      <x:c r="H369" s="2"/>
      <x:c r="I369" s="2"/>
      <x:c r="J369" s="2"/>
      <x:c r="K369" s="2"/>
      <x:c r="L369" s="2"/>
      <x:c r="M369" s="2"/>
      <x:c r="N369" s="2"/>
      <x:c r="O369" s="2"/>
      <x:c r="P369" s="2"/>
    </x:row>
    <x:row r="370" ht="22" customHeight="1">
      <x:c r="A370" s="12" t="n">
        <x:v>40603</x:v>
      </x:c>
      <x:c r="B370" s="2" t="str">
        <x:v>2011-03</x:v>
      </x:c>
      <x:c r="C370" s="2" t="str">
        <x:v>Greece</x:v>
      </x:c>
      <x:c r="D370" s="11" t="n">
        <x:v>387.31</x:v>
      </x:c>
      <x:c r="E370" s="11" t="n">
        <x:v>0</x:v>
      </x:c>
      <x:c r="F370" s="2" t="n">
        <x:v>1</x:v>
      </x:c>
      <x:c r="G370" s="2"/>
      <x:c r="H370" s="2"/>
      <x:c r="I370" s="2"/>
      <x:c r="J370" s="2"/>
      <x:c r="K370" s="2"/>
      <x:c r="L370" s="2"/>
      <x:c r="M370" s="2"/>
      <x:c r="N370" s="2"/>
      <x:c r="O370" s="2"/>
      <x:c r="P370" s="2"/>
    </x:row>
    <x:row r="371" ht="22" customHeight="1">
      <x:c r="A371" s="12" t="n">
        <x:v>40603</x:v>
      </x:c>
      <x:c r="B371" s="2" t="str">
        <x:v>2011-03</x:v>
      </x:c>
      <x:c r="C371" s="2" t="str">
        <x:v>Hong Kong</x:v>
      </x:c>
      <x:c r="D371" s="11" t="n">
        <x:v>2583.76</x:v>
      </x:c>
      <x:c r="E371" s="11" t="n">
        <x:v>2583.76</x:v>
      </x:c>
      <x:c r="F371" s="2" t="n">
        <x:v>1</x:v>
      </x:c>
      <x:c r="G371" s="2"/>
      <x:c r="H371" s="2"/>
      <x:c r="I371" s="2"/>
      <x:c r="J371" s="2"/>
      <x:c r="K371" s="2"/>
      <x:c r="L371" s="2"/>
      <x:c r="M371" s="2"/>
      <x:c r="N371" s="2"/>
      <x:c r="O371" s="2"/>
      <x:c r="P371" s="2"/>
    </x:row>
    <x:row r="372" ht="22" customHeight="1">
      <x:c r="A372" s="12" t="n">
        <x:v>40603</x:v>
      </x:c>
      <x:c r="B372" s="2" t="str">
        <x:v>2011-03</x:v>
      </x:c>
      <x:c r="C372" s="2" t="str">
        <x:v>Italy</x:v>
      </x:c>
      <x:c r="D372" s="11" t="n">
        <x:v>1806.81</x:v>
      </x:c>
      <x:c r="E372" s="11" t="n">
        <x:v>27.9</x:v>
      </x:c>
      <x:c r="F372" s="2" t="n">
        <x:v>4</x:v>
      </x:c>
      <x:c r="G372" s="2"/>
      <x:c r="H372" s="2"/>
      <x:c r="I372" s="2"/>
      <x:c r="J372" s="2"/>
      <x:c r="K372" s="2"/>
      <x:c r="L372" s="2"/>
      <x:c r="M372" s="2"/>
      <x:c r="N372" s="2"/>
      <x:c r="O372" s="2"/>
      <x:c r="P372" s="2"/>
    </x:row>
    <x:row r="373" ht="22" customHeight="1">
      <x:c r="A373" s="12" t="n">
        <x:v>40603</x:v>
      </x:c>
      <x:c r="B373" s="2" t="str">
        <x:v>2011-03</x:v>
      </x:c>
      <x:c r="C373" s="2" t="str">
        <x:v>Japan</x:v>
      </x:c>
      <x:c r="D373" s="11" t="n">
        <x:v>48.9</x:v>
      </x:c>
      <x:c r="E373" s="11" t="n">
        <x:v>122.56</x:v>
      </x:c>
      <x:c r="F373" s="2" t="n">
        <x:v>3</x:v>
      </x:c>
      <x:c r="G373" s="2"/>
      <x:c r="H373" s="2"/>
      <x:c r="I373" s="2"/>
      <x:c r="J373" s="2"/>
      <x:c r="K373" s="2"/>
      <x:c r="L373" s="2"/>
      <x:c r="M373" s="2"/>
      <x:c r="N373" s="2"/>
      <x:c r="O373" s="2"/>
      <x:c r="P373" s="2"/>
    </x:row>
    <x:row r="374" ht="22" customHeight="1">
      <x:c r="A374" s="12" t="n">
        <x:v>40603</x:v>
      </x:c>
      <x:c r="B374" s="2" t="str">
        <x:v>2011-03</x:v>
      </x:c>
      <x:c r="C374" s="2" t="str">
        <x:v>Netherlands</x:v>
      </x:c>
      <x:c r="D374" s="11" t="n">
        <x:v>22416.489999999998</x:v>
      </x:c>
      <x:c r="E374" s="11" t="n">
        <x:v>0</x:v>
      </x:c>
      <x:c r="F374" s="2" t="n">
        <x:v>8</x:v>
      </x:c>
      <x:c r="G374" s="2"/>
      <x:c r="H374" s="2"/>
      <x:c r="I374" s="2"/>
      <x:c r="J374" s="2"/>
      <x:c r="K374" s="2"/>
      <x:c r="L374" s="2"/>
      <x:c r="M374" s="2"/>
      <x:c r="N374" s="2"/>
      <x:c r="O374" s="2"/>
      <x:c r="P374" s="2"/>
    </x:row>
    <x:row r="375" ht="22" customHeight="1">
      <x:c r="A375" s="12" t="n">
        <x:v>40603</x:v>
      </x:c>
      <x:c r="B375" s="2" t="str">
        <x:v>2011-03</x:v>
      </x:c>
      <x:c r="C375" s="2" t="str">
        <x:v>Norway</x:v>
      </x:c>
      <x:c r="D375" s="11" t="n">
        <x:v>1265.31</x:v>
      </x:c>
      <x:c r="E375" s="11" t="n">
        <x:v>960.63</x:v>
      </x:c>
      <x:c r="F375" s="2" t="n">
        <x:v>4</x:v>
      </x:c>
      <x:c r="G375" s="2"/>
      <x:c r="H375" s="2"/>
      <x:c r="I375" s="2"/>
      <x:c r="J375" s="2"/>
      <x:c r="K375" s="2"/>
      <x:c r="L375" s="2"/>
      <x:c r="M375" s="2"/>
      <x:c r="N375" s="2"/>
      <x:c r="O375" s="2"/>
      <x:c r="P375" s="2"/>
    </x:row>
    <x:row r="376" ht="22" customHeight="1">
      <x:c r="A376" s="12" t="n">
        <x:v>40603</x:v>
      </x:c>
      <x:c r="B376" s="2" t="str">
        <x:v>2011-03</x:v>
      </x:c>
      <x:c r="C376" s="2" t="str">
        <x:v>Poland</x:v>
      </x:c>
      <x:c r="D376" s="11" t="n">
        <x:v>317.78</x:v>
      </x:c>
      <x:c r="E376" s="11" t="n">
        <x:v>14.39</x:v>
      </x:c>
      <x:c r="F376" s="2" t="n">
        <x:v>1</x:v>
      </x:c>
      <x:c r="G376" s="2"/>
      <x:c r="H376" s="2"/>
      <x:c r="I376" s="2"/>
      <x:c r="J376" s="2"/>
      <x:c r="K376" s="2"/>
      <x:c r="L376" s="2"/>
      <x:c r="M376" s="2"/>
      <x:c r="N376" s="2"/>
      <x:c r="O376" s="2"/>
      <x:c r="P376" s="2"/>
    </x:row>
    <x:row r="377" ht="22" customHeight="1">
      <x:c r="A377" s="12" t="n">
        <x:v>40603</x:v>
      </x:c>
      <x:c r="B377" s="2" t="str">
        <x:v>2011-03</x:v>
      </x:c>
      <x:c r="C377" s="2" t="str">
        <x:v>Portugal</x:v>
      </x:c>
      <x:c r="D377" s="11" t="n">
        <x:v>2660.85</x:v>
      </x:c>
      <x:c r="E377" s="11" t="n">
        <x:v>0</x:v>
      </x:c>
      <x:c r="F377" s="2" t="n">
        <x:v>5</x:v>
      </x:c>
      <x:c r="G377" s="2"/>
      <x:c r="H377" s="2"/>
      <x:c r="I377" s="2"/>
      <x:c r="J377" s="2"/>
      <x:c r="K377" s="2"/>
      <x:c r="L377" s="2"/>
      <x:c r="M377" s="2"/>
      <x:c r="N377" s="2"/>
      <x:c r="O377" s="2"/>
      <x:c r="P377" s="2"/>
    </x:row>
    <x:row r="378" ht="22" customHeight="1">
      <x:c r="A378" s="12" t="n">
        <x:v>40603</x:v>
      </x:c>
      <x:c r="B378" s="2" t="str">
        <x:v>2011-03</x:v>
      </x:c>
      <x:c r="C378" s="2" t="str">
        <x:v>Saudi Arabia</x:v>
      </x:c>
      <x:c r="D378" s="11" t="n">
        <x:v>0</x:v>
      </x:c>
      <x:c r="E378" s="11" t="n">
        <x:v>14.75</x:v>
      </x:c>
      <x:c r="F378" s="2" t="n">
        <x:v>0</x:v>
      </x:c>
      <x:c r="G378" s="2"/>
      <x:c r="H378" s="2"/>
      <x:c r="I378" s="2"/>
      <x:c r="J378" s="2"/>
      <x:c r="K378" s="2"/>
      <x:c r="L378" s="2"/>
      <x:c r="M378" s="2"/>
      <x:c r="N378" s="2"/>
      <x:c r="O378" s="2"/>
      <x:c r="P378" s="2"/>
    </x:row>
    <x:row r="379" ht="22" customHeight="1">
      <x:c r="A379" s="12" t="n">
        <x:v>40603</x:v>
      </x:c>
      <x:c r="B379" s="2" t="str">
        <x:v>2011-03</x:v>
      </x:c>
      <x:c r="C379" s="2" t="str">
        <x:v>Spain</x:v>
      </x:c>
      <x:c r="D379" s="11" t="n">
        <x:v>5363.15</x:v>
      </x:c>
      <x:c r="E379" s="11" t="n">
        <x:v>36.5</x:v>
      </x:c>
      <x:c r="F379" s="2" t="n">
        <x:v>8</x:v>
      </x:c>
      <x:c r="G379" s="2"/>
      <x:c r="H379" s="2"/>
      <x:c r="I379" s="2"/>
      <x:c r="J379" s="2"/>
      <x:c r="K379" s="2"/>
      <x:c r="L379" s="2"/>
      <x:c r="M379" s="2"/>
      <x:c r="N379" s="2"/>
      <x:c r="O379" s="2"/>
      <x:c r="P379" s="2"/>
    </x:row>
    <x:row r="380" ht="22" customHeight="1">
      <x:c r="A380" s="12" t="n">
        <x:v>40603</x:v>
      </x:c>
      <x:c r="B380" s="2" t="str">
        <x:v>2011-03</x:v>
      </x:c>
      <x:c r="C380" s="2" t="str">
        <x:v>Sweden</x:v>
      </x:c>
      <x:c r="D380" s="11" t="n">
        <x:v>4720.58</x:v>
      </x:c>
      <x:c r="E380" s="11" t="n">
        <x:v>180</x:v>
      </x:c>
      <x:c r="F380" s="2" t="n">
        <x:v>3</x:v>
      </x:c>
      <x:c r="G380" s="2"/>
      <x:c r="H380" s="2"/>
      <x:c r="I380" s="2"/>
      <x:c r="J380" s="2"/>
      <x:c r="K380" s="2"/>
      <x:c r="L380" s="2"/>
      <x:c r="M380" s="2"/>
      <x:c r="N380" s="2"/>
      <x:c r="O380" s="2"/>
      <x:c r="P380" s="2"/>
    </x:row>
    <x:row r="381" ht="22" customHeight="1">
      <x:c r="A381" s="12" t="n">
        <x:v>40603</x:v>
      </x:c>
      <x:c r="B381" s="2" t="str">
        <x:v>2011-03</x:v>
      </x:c>
      <x:c r="C381" s="2" t="str">
        <x:v>Switzerland</x:v>
      </x:c>
      <x:c r="D381" s="11" t="n">
        <x:v>1870.23</x:v>
      </x:c>
      <x:c r="E381" s="11" t="n">
        <x:v>0</x:v>
      </x:c>
      <x:c r="F381" s="2" t="n">
        <x:v>3</x:v>
      </x:c>
      <x:c r="G381" s="2"/>
      <x:c r="H381" s="2"/>
      <x:c r="I381" s="2"/>
      <x:c r="J381" s="2"/>
      <x:c r="K381" s="2"/>
      <x:c r="L381" s="2"/>
      <x:c r="M381" s="2"/>
      <x:c r="N381" s="2"/>
      <x:c r="O381" s="2"/>
      <x:c r="P381" s="2"/>
    </x:row>
    <x:row r="382" ht="22" customHeight="1">
      <x:c r="A382" s="12" t="n">
        <x:v>40603</x:v>
      </x:c>
      <x:c r="B382" s="2" t="str">
        <x:v>2011-03</x:v>
      </x:c>
      <x:c r="C382" s="2" t="str">
        <x:v>United Kingdom</x:v>
      </x:c>
      <x:c r="D382" s="11" t="n">
        <x:v>586230.28</x:v>
      </x:c>
      <x:c r="E382" s="11" t="n">
        <x:v>26522.89</x:v>
      </x:c>
      <x:c r="F382" s="2" t="n">
        <x:v>1308</x:v>
      </x:c>
      <x:c r="G382" s="2"/>
      <x:c r="H382" s="2"/>
      <x:c r="I382" s="2"/>
      <x:c r="J382" s="2"/>
      <x:c r="K382" s="2"/>
      <x:c r="L382" s="2"/>
      <x:c r="M382" s="2"/>
      <x:c r="N382" s="2"/>
      <x:c r="O382" s="2"/>
      <x:c r="P382" s="2"/>
    </x:row>
    <x:row r="383" ht="22" customHeight="1">
      <x:c r="A383" s="12" t="n">
        <x:v>40634</x:v>
      </x:c>
      <x:c r="B383" s="2" t="str">
        <x:v>2011-04</x:v>
      </x:c>
      <x:c r="C383" s="2" t="str">
        <x:v>Australia</x:v>
      </x:c>
      <x:c r="D383" s="11" t="n">
        <x:v>771.6</x:v>
      </x:c>
      <x:c r="E383" s="11" t="n">
        <x:v>438.2</x:v>
      </x:c>
      <x:c r="F383" s="2" t="n">
        <x:v>2</x:v>
      </x:c>
      <x:c r="G383" s="2"/>
      <x:c r="H383" s="2"/>
      <x:c r="I383" s="2"/>
      <x:c r="J383" s="2"/>
      <x:c r="K383" s="2"/>
      <x:c r="L383" s="2"/>
      <x:c r="M383" s="2"/>
      <x:c r="N383" s="2"/>
      <x:c r="O383" s="2"/>
      <x:c r="P383" s="2"/>
    </x:row>
    <x:row r="384" ht="22" customHeight="1">
      <x:c r="A384" s="12" t="n">
        <x:v>40634</x:v>
      </x:c>
      <x:c r="B384" s="2" t="str">
        <x:v>2011-04</x:v>
      </x:c>
      <x:c r="C384" s="2" t="str">
        <x:v>Austria</x:v>
      </x:c>
      <x:c r="D384" s="11" t="n">
        <x:v>680.78</x:v>
      </x:c>
      <x:c r="E384" s="11" t="n">
        <x:v>0</x:v>
      </x:c>
      <x:c r="F384" s="2" t="n">
        <x:v>2</x:v>
      </x:c>
      <x:c r="G384" s="2"/>
      <x:c r="H384" s="2"/>
      <x:c r="I384" s="2"/>
      <x:c r="J384" s="2"/>
      <x:c r="K384" s="2"/>
      <x:c r="L384" s="2"/>
      <x:c r="M384" s="2"/>
      <x:c r="N384" s="2"/>
      <x:c r="O384" s="2"/>
      <x:c r="P384" s="2"/>
    </x:row>
    <x:row r="385" ht="22" customHeight="1">
      <x:c r="A385" s="12" t="n">
        <x:v>40634</x:v>
      </x:c>
      <x:c r="B385" s="2" t="str">
        <x:v>2011-04</x:v>
      </x:c>
      <x:c r="C385" s="2" t="str">
        <x:v>Belgium</x:v>
      </x:c>
      <x:c r="D385" s="11" t="n">
        <x:v>1989.48</x:v>
      </x:c>
      <x:c r="E385" s="11" t="n">
        <x:v>35.33</x:v>
      </x:c>
      <x:c r="F385" s="2" t="n">
        <x:v>6</x:v>
      </x:c>
      <x:c r="G385" s="2"/>
      <x:c r="H385" s="2"/>
      <x:c r="I385" s="2"/>
      <x:c r="J385" s="2"/>
      <x:c r="K385" s="2"/>
      <x:c r="L385" s="2"/>
      <x:c r="M385" s="2"/>
      <x:c r="N385" s="2"/>
      <x:c r="O385" s="2"/>
      <x:c r="P385" s="2"/>
    </x:row>
    <x:row r="386" ht="22" customHeight="1">
      <x:c r="A386" s="12" t="n">
        <x:v>40634</x:v>
      </x:c>
      <x:c r="B386" s="2" t="str">
        <x:v>2011-04</x:v>
      </x:c>
      <x:c r="C386" s="2" t="str">
        <x:v>Brazil</x:v>
      </x:c>
      <x:c r="D386" s="11" t="n">
        <x:v>1143.6</x:v>
      </x:c>
      <x:c r="E386" s="11" t="n">
        <x:v>0</x:v>
      </x:c>
      <x:c r="F386" s="2" t="n">
        <x:v>1</x:v>
      </x:c>
      <x:c r="G386" s="2"/>
      <x:c r="H386" s="2"/>
      <x:c r="I386" s="2"/>
      <x:c r="J386" s="2"/>
      <x:c r="K386" s="2"/>
      <x:c r="L386" s="2"/>
      <x:c r="M386" s="2"/>
      <x:c r="N386" s="2"/>
      <x:c r="O386" s="2"/>
      <x:c r="P386" s="2"/>
    </x:row>
    <x:row r="387" ht="22" customHeight="1">
      <x:c r="A387" s="12" t="n">
        <x:v>40634</x:v>
      </x:c>
      <x:c r="B387" s="2" t="str">
        <x:v>2011-04</x:v>
      </x:c>
      <x:c r="C387" s="2" t="str">
        <x:v>Channel Islands</x:v>
      </x:c>
      <x:c r="D387" s="11" t="n">
        <x:v>293</x:v>
      </x:c>
      <x:c r="E387" s="11" t="n">
        <x:v>0</x:v>
      </x:c>
      <x:c r="F387" s="2" t="n">
        <x:v>1</x:v>
      </x:c>
      <x:c r="G387" s="2"/>
      <x:c r="H387" s="2"/>
      <x:c r="I387" s="2"/>
      <x:c r="J387" s="2"/>
      <x:c r="K387" s="2"/>
      <x:c r="L387" s="2"/>
      <x:c r="M387" s="2"/>
      <x:c r="N387" s="2"/>
      <x:c r="O387" s="2"/>
      <x:c r="P387" s="2"/>
    </x:row>
    <x:row r="388" ht="22" customHeight="1">
      <x:c r="A388" s="12" t="n">
        <x:v>40634</x:v>
      </x:c>
      <x:c r="B388" s="2" t="str">
        <x:v>2011-04</x:v>
      </x:c>
      <x:c r="C388" s="2" t="str">
        <x:v>Cyprus</x:v>
      </x:c>
      <x:c r="D388" s="11" t="n">
        <x:v>0</x:v>
      </x:c>
      <x:c r="E388" s="11" t="n">
        <x:v>35.8</x:v>
      </x:c>
      <x:c r="F388" s="2" t="n">
        <x:v>0</x:v>
      </x:c>
      <x:c r="G388" s="2"/>
      <x:c r="H388" s="2"/>
      <x:c r="I388" s="2"/>
      <x:c r="J388" s="2"/>
      <x:c r="K388" s="2"/>
      <x:c r="L388" s="2"/>
      <x:c r="M388" s="2"/>
      <x:c r="N388" s="2"/>
      <x:c r="O388" s="2"/>
      <x:c r="P388" s="2"/>
    </x:row>
    <x:row r="389" ht="22" customHeight="1">
      <x:c r="A389" s="12" t="n">
        <x:v>40634</x:v>
      </x:c>
      <x:c r="B389" s="2" t="str">
        <x:v>2011-04</x:v>
      </x:c>
      <x:c r="C389" s="2" t="str">
        <x:v>Czech Republic</x:v>
      </x:c>
      <x:c r="D389" s="11" t="n">
        <x:v>0</x:v>
      </x:c>
      <x:c r="E389" s="11" t="n">
        <x:v>57.51</x:v>
      </x:c>
      <x:c r="F389" s="2" t="n">
        <x:v>0</x:v>
      </x:c>
      <x:c r="G389" s="2"/>
      <x:c r="H389" s="2"/>
      <x:c r="I389" s="2"/>
      <x:c r="J389" s="2"/>
      <x:c r="K389" s="2"/>
      <x:c r="L389" s="2"/>
      <x:c r="M389" s="2"/>
      <x:c r="N389" s="2"/>
      <x:c r="O389" s="2"/>
      <x:c r="P389" s="2"/>
    </x:row>
    <x:row r="390" ht="22" customHeight="1">
      <x:c r="A390" s="12" t="n">
        <x:v>40634</x:v>
      </x:c>
      <x:c r="B390" s="2" t="str">
        <x:v>2011-04</x:v>
      </x:c>
      <x:c r="C390" s="2" t="str">
        <x:v>EIRE</x:v>
      </x:c>
      <x:c r="D390" s="11" t="n">
        <x:v>7570.5</x:v>
      </x:c>
      <x:c r="E390" s="11" t="n">
        <x:v>0</x:v>
      </x:c>
      <x:c r="F390" s="2" t="n">
        <x:v>11</x:v>
      </x:c>
      <x:c r="G390" s="2"/>
      <x:c r="H390" s="2"/>
      <x:c r="I390" s="2"/>
      <x:c r="J390" s="2"/>
      <x:c r="K390" s="2"/>
      <x:c r="L390" s="2"/>
      <x:c r="M390" s="2"/>
      <x:c r="N390" s="2"/>
      <x:c r="O390" s="2"/>
      <x:c r="P390" s="2"/>
    </x:row>
    <x:row r="391" ht="22" customHeight="1">
      <x:c r="A391" s="12" t="n">
        <x:v>40634</x:v>
      </x:c>
      <x:c r="B391" s="2" t="str">
        <x:v>2011-04</x:v>
      </x:c>
      <x:c r="C391" s="2" t="str">
        <x:v>European Community</x:v>
      </x:c>
      <x:c r="D391" s="11" t="n">
        <x:v>191.4</x:v>
      </x:c>
      <x:c r="E391" s="11" t="n">
        <x:v>0</x:v>
      </x:c>
      <x:c r="F391" s="2" t="n">
        <x:v>1</x:v>
      </x:c>
      <x:c r="G391" s="2"/>
      <x:c r="H391" s="2"/>
      <x:c r="I391" s="2"/>
      <x:c r="J391" s="2"/>
      <x:c r="K391" s="2"/>
      <x:c r="L391" s="2"/>
      <x:c r="M391" s="2"/>
      <x:c r="N391" s="2"/>
      <x:c r="O391" s="2"/>
      <x:c r="P391" s="2"/>
    </x:row>
    <x:row r="392" ht="22" customHeight="1">
      <x:c r="A392" s="12" t="n">
        <x:v>40634</x:v>
      </x:c>
      <x:c r="B392" s="2" t="str">
        <x:v>2011-04</x:v>
      </x:c>
      <x:c r="C392" s="2" t="str">
        <x:v>Finland</x:v>
      </x:c>
      <x:c r="D392" s="11" t="n">
        <x:v>1688.92</x:v>
      </x:c>
      <x:c r="E392" s="11" t="n">
        <x:v>62.11</x:v>
      </x:c>
      <x:c r="F392" s="2" t="n">
        <x:v>4</x:v>
      </x:c>
      <x:c r="G392" s="2"/>
      <x:c r="H392" s="2"/>
      <x:c r="I392" s="2"/>
      <x:c r="J392" s="2"/>
      <x:c r="K392" s="2"/>
      <x:c r="L392" s="2"/>
      <x:c r="M392" s="2"/>
      <x:c r="N392" s="2"/>
      <x:c r="O392" s="2"/>
      <x:c r="P392" s="2"/>
    </x:row>
    <x:row r="393" ht="22" customHeight="1">
      <x:c r="A393" s="12" t="n">
        <x:v>40634</x:v>
      </x:c>
      <x:c r="B393" s="2" t="str">
        <x:v>2011-04</x:v>
      </x:c>
      <x:c r="C393" s="2" t="str">
        <x:v>France</x:v>
      </x:c>
      <x:c r="D393" s="11" t="n">
        <x:v>5529.61</x:v>
      </x:c>
      <x:c r="E393" s="11" t="n">
        <x:v>1334.4</x:v>
      </x:c>
      <x:c r="F393" s="2" t="n">
        <x:v>14</x:v>
      </x:c>
      <x:c r="G393" s="2"/>
      <x:c r="H393" s="2"/>
      <x:c r="I393" s="2"/>
      <x:c r="J393" s="2"/>
      <x:c r="K393" s="2"/>
      <x:c r="L393" s="2"/>
      <x:c r="M393" s="2"/>
      <x:c r="N393" s="2"/>
      <x:c r="O393" s="2"/>
      <x:c r="P393" s="2"/>
    </x:row>
    <x:row r="394" ht="22" customHeight="1">
      <x:c r="A394" s="12" t="n">
        <x:v>40634</x:v>
      </x:c>
      <x:c r="B394" s="2" t="str">
        <x:v>2011-04</x:v>
      </x:c>
      <x:c r="C394" s="2" t="str">
        <x:v>Germany</x:v>
      </x:c>
      <x:c r="D394" s="11" t="n">
        <x:v>12315.54</x:v>
      </x:c>
      <x:c r="E394" s="11" t="n">
        <x:v>352.17</x:v>
      </x:c>
      <x:c r="F394" s="2" t="n">
        <x:v>23</x:v>
      </x:c>
      <x:c r="G394" s="2"/>
      <x:c r="H394" s="2"/>
      <x:c r="I394" s="2"/>
      <x:c r="J394" s="2"/>
      <x:c r="K394" s="2"/>
      <x:c r="L394" s="2"/>
      <x:c r="M394" s="2"/>
      <x:c r="N394" s="2"/>
      <x:c r="O394" s="2"/>
      <x:c r="P394" s="2"/>
    </x:row>
    <x:row r="395" ht="22" customHeight="1">
      <x:c r="A395" s="12" t="n">
        <x:v>40634</x:v>
      </x:c>
      <x:c r="B395" s="2" t="str">
        <x:v>2011-04</x:v>
      </x:c>
      <x:c r="C395" s="2" t="str">
        <x:v>Greece</x:v>
      </x:c>
      <x:c r="D395" s="11" t="n">
        <x:v>609.74</x:v>
      </x:c>
      <x:c r="E395" s="11" t="n">
        <x:v>0</x:v>
      </x:c>
      <x:c r="F395" s="2" t="n">
        <x:v>1</x:v>
      </x:c>
      <x:c r="G395" s="2"/>
      <x:c r="H395" s="2"/>
      <x:c r="I395" s="2"/>
      <x:c r="J395" s="2"/>
      <x:c r="K395" s="2"/>
      <x:c r="L395" s="2"/>
      <x:c r="M395" s="2"/>
      <x:c r="N395" s="2"/>
      <x:c r="O395" s="2"/>
      <x:c r="P395" s="2"/>
    </x:row>
    <x:row r="396" ht="22" customHeight="1">
      <x:c r="A396" s="12" t="n">
        <x:v>40634</x:v>
      </x:c>
      <x:c r="B396" s="2" t="str">
        <x:v>2011-04</x:v>
      </x:c>
      <x:c r="C396" s="2" t="str">
        <x:v>Hong Kong</x:v>
      </x:c>
      <x:c r="D396" s="11" t="n">
        <x:v>1539.64</x:v>
      </x:c>
      <x:c r="E396" s="11" t="n">
        <x:v>0</x:v>
      </x:c>
      <x:c r="F396" s="2" t="n">
        <x:v>1</x:v>
      </x:c>
      <x:c r="G396" s="2"/>
      <x:c r="H396" s="2"/>
      <x:c r="I396" s="2"/>
      <x:c r="J396" s="2"/>
      <x:c r="K396" s="2"/>
      <x:c r="L396" s="2"/>
      <x:c r="M396" s="2"/>
      <x:c r="N396" s="2"/>
      <x:c r="O396" s="2"/>
      <x:c r="P396" s="2"/>
    </x:row>
    <x:row r="397" ht="22" customHeight="1">
      <x:c r="A397" s="12" t="n">
        <x:v>40634</x:v>
      </x:c>
      <x:c r="B397" s="2" t="str">
        <x:v>2011-04</x:v>
      </x:c>
      <x:c r="C397" s="2" t="str">
        <x:v>Iceland</x:v>
      </x:c>
      <x:c r="D397" s="11" t="n">
        <x:v>636.25</x:v>
      </x:c>
      <x:c r="E397" s="11" t="n">
        <x:v>0</x:v>
      </x:c>
      <x:c r="F397" s="2" t="n">
        <x:v>1</x:v>
      </x:c>
      <x:c r="G397" s="2"/>
      <x:c r="H397" s="2"/>
      <x:c r="I397" s="2"/>
      <x:c r="J397" s="2"/>
      <x:c r="K397" s="2"/>
      <x:c r="L397" s="2"/>
      <x:c r="M397" s="2"/>
      <x:c r="N397" s="2"/>
      <x:c r="O397" s="2"/>
      <x:c r="P397" s="2"/>
    </x:row>
    <x:row r="398" ht="22" customHeight="1">
      <x:c r="A398" s="12" t="n">
        <x:v>40634</x:v>
      </x:c>
      <x:c r="B398" s="2" t="str">
        <x:v>2011-04</x:v>
      </x:c>
      <x:c r="C398" s="2" t="str">
        <x:v>Israel</x:v>
      </x:c>
      <x:c r="D398" s="11" t="n">
        <x:v>110</x:v>
      </x:c>
      <x:c r="E398" s="11" t="n">
        <x:v>0</x:v>
      </x:c>
      <x:c r="F398" s="2" t="n">
        <x:v>1</x:v>
      </x:c>
      <x:c r="G398" s="2"/>
      <x:c r="H398" s="2"/>
      <x:c r="I398" s="2"/>
      <x:c r="J398" s="2"/>
      <x:c r="K398" s="2"/>
      <x:c r="L398" s="2"/>
      <x:c r="M398" s="2"/>
      <x:c r="N398" s="2"/>
      <x:c r="O398" s="2"/>
      <x:c r="P398" s="2"/>
    </x:row>
    <x:row r="399" ht="22" customHeight="1">
      <x:c r="A399" s="12" t="n">
        <x:v>40634</x:v>
      </x:c>
      <x:c r="B399" s="2" t="str">
        <x:v>2011-04</x:v>
      </x:c>
      <x:c r="C399" s="2" t="str">
        <x:v>Italy</x:v>
      </x:c>
      <x:c r="D399" s="11" t="n">
        <x:v>737.8299999999999</x:v>
      </x:c>
      <x:c r="E399" s="11" t="n">
        <x:v>0</x:v>
      </x:c>
      <x:c r="F399" s="2" t="n">
        <x:v>2</x:v>
      </x:c>
      <x:c r="G399" s="2"/>
      <x:c r="H399" s="2"/>
      <x:c r="I399" s="2"/>
      <x:c r="J399" s="2"/>
      <x:c r="K399" s="2"/>
      <x:c r="L399" s="2"/>
      <x:c r="M399" s="2"/>
      <x:c r="N399" s="2"/>
      <x:c r="O399" s="2"/>
      <x:c r="P399" s="2"/>
    </x:row>
    <x:row r="400" ht="22" customHeight="1">
      <x:c r="A400" s="12" t="n">
        <x:v>40634</x:v>
      </x:c>
      <x:c r="B400" s="2" t="str">
        <x:v>2011-04</x:v>
      </x:c>
      <x:c r="C400" s="2" t="str">
        <x:v>Japan</x:v>
      </x:c>
      <x:c r="D400" s="11" t="n">
        <x:v>6548.5</x:v>
      </x:c>
      <x:c r="E400" s="11" t="n">
        <x:v>1676.6699999999998</x:v>
      </x:c>
      <x:c r="F400" s="2" t="n">
        <x:v>2</x:v>
      </x:c>
      <x:c r="G400" s="2"/>
      <x:c r="H400" s="2"/>
      <x:c r="I400" s="2"/>
      <x:c r="J400" s="2"/>
      <x:c r="K400" s="2"/>
      <x:c r="L400" s="2"/>
      <x:c r="M400" s="2"/>
      <x:c r="N400" s="2"/>
      <x:c r="O400" s="2"/>
      <x:c r="P400" s="2"/>
    </x:row>
    <x:row r="401" ht="22" customHeight="1">
      <x:c r="A401" s="12" t="n">
        <x:v>40634</x:v>
      </x:c>
      <x:c r="B401" s="2" t="str">
        <x:v>2011-04</x:v>
      </x:c>
      <x:c r="C401" s="2" t="str">
        <x:v>Netherlands</x:v>
      </x:c>
      <x:c r="D401" s="11" t="n">
        <x:v>2976.56</x:v>
      </x:c>
      <x:c r="E401" s="11" t="n">
        <x:v>0</x:v>
      </x:c>
      <x:c r="F401" s="2" t="n">
        <x:v>3</x:v>
      </x:c>
      <x:c r="G401" s="2"/>
      <x:c r="H401" s="2"/>
      <x:c r="I401" s="2"/>
      <x:c r="J401" s="2"/>
      <x:c r="K401" s="2"/>
      <x:c r="L401" s="2"/>
      <x:c r="M401" s="2"/>
      <x:c r="N401" s="2"/>
      <x:c r="O401" s="2"/>
      <x:c r="P401" s="2"/>
    </x:row>
    <x:row r="402" ht="22" customHeight="1">
      <x:c r="A402" s="12" t="n">
        <x:v>40634</x:v>
      </x:c>
      <x:c r="B402" s="2" t="str">
        <x:v>2011-04</x:v>
      </x:c>
      <x:c r="C402" s="2" t="str">
        <x:v>Poland</x:v>
      </x:c>
      <x:c r="D402" s="11" t="n">
        <x:v>705.8399999999999</x:v>
      </x:c>
      <x:c r="E402" s="11" t="n">
        <x:v>0</x:v>
      </x:c>
      <x:c r="F402" s="2" t="n">
        <x:v>1</x:v>
      </x:c>
      <x:c r="G402" s="2"/>
      <x:c r="H402" s="2"/>
      <x:c r="I402" s="2"/>
      <x:c r="J402" s="2"/>
      <x:c r="K402" s="2"/>
      <x:c r="L402" s="2"/>
      <x:c r="M402" s="2"/>
      <x:c r="N402" s="2"/>
      <x:c r="O402" s="2"/>
      <x:c r="P402" s="2"/>
    </x:row>
    <x:row r="403" ht="22" customHeight="1">
      <x:c r="A403" s="12" t="n">
        <x:v>40634</x:v>
      </x:c>
      <x:c r="B403" s="2" t="str">
        <x:v>2011-04</x:v>
      </x:c>
      <x:c r="C403" s="2" t="str">
        <x:v>Portugal</x:v>
      </x:c>
      <x:c r="D403" s="11" t="n">
        <x:v>1687.75</x:v>
      </x:c>
      <x:c r="E403" s="11" t="n">
        <x:v>0</x:v>
      </x:c>
      <x:c r="F403" s="2" t="n">
        <x:v>2</x:v>
      </x:c>
      <x:c r="G403" s="2"/>
      <x:c r="H403" s="2"/>
      <x:c r="I403" s="2"/>
      <x:c r="J403" s="2"/>
      <x:c r="K403" s="2"/>
      <x:c r="L403" s="2"/>
      <x:c r="M403" s="2"/>
      <x:c r="N403" s="2"/>
      <x:c r="O403" s="2"/>
      <x:c r="P403" s="2"/>
    </x:row>
    <x:row r="404" ht="22" customHeight="1">
      <x:c r="A404" s="12" t="n">
        <x:v>40634</x:v>
      </x:c>
      <x:c r="B404" s="2" t="str">
        <x:v>2011-04</x:v>
      </x:c>
      <x:c r="C404" s="2" t="str">
        <x:v>Singapore</x:v>
      </x:c>
      <x:c r="D404" s="11" t="n">
        <x:v>8209.58</x:v>
      </x:c>
      <x:c r="E404" s="11" t="n">
        <x:v>6090.84</x:v>
      </x:c>
      <x:c r="F404" s="2" t="n">
        <x:v>3</x:v>
      </x:c>
      <x:c r="G404" s="2"/>
      <x:c r="H404" s="2"/>
      <x:c r="I404" s="2"/>
      <x:c r="J404" s="2"/>
      <x:c r="K404" s="2"/>
      <x:c r="L404" s="2"/>
      <x:c r="M404" s="2"/>
      <x:c r="N404" s="2"/>
      <x:c r="O404" s="2"/>
      <x:c r="P404" s="2"/>
    </x:row>
    <x:row r="405" ht="22" customHeight="1">
      <x:c r="A405" s="12" t="n">
        <x:v>40634</x:v>
      </x:c>
      <x:c r="B405" s="2" t="str">
        <x:v>2011-04</x:v>
      </x:c>
      <x:c r="C405" s="2" t="str">
        <x:v>Spain</x:v>
      </x:c>
      <x:c r="D405" s="11" t="n">
        <x:v>1785.65</x:v>
      </x:c>
      <x:c r="E405" s="11" t="n">
        <x:v>0</x:v>
      </x:c>
      <x:c r="F405" s="2" t="n">
        <x:v>3</x:v>
      </x:c>
      <x:c r="G405" s="2"/>
      <x:c r="H405" s="2"/>
      <x:c r="I405" s="2"/>
      <x:c r="J405" s="2"/>
      <x:c r="K405" s="2"/>
      <x:c r="L405" s="2"/>
      <x:c r="M405" s="2"/>
      <x:c r="N405" s="2"/>
      <x:c r="O405" s="2"/>
      <x:c r="P405" s="2"/>
    </x:row>
    <x:row r="406" ht="22" customHeight="1">
      <x:c r="A406" s="12" t="n">
        <x:v>40634</x:v>
      </x:c>
      <x:c r="B406" s="2" t="str">
        <x:v>2011-04</x:v>
      </x:c>
      <x:c r="C406" s="2" t="str">
        <x:v>Sweden</x:v>
      </x:c>
      <x:c r="D406" s="11" t="n">
        <x:v>809.1</x:v>
      </x:c>
      <x:c r="E406" s="11" t="n">
        <x:v>0</x:v>
      </x:c>
      <x:c r="F406" s="2" t="n">
        <x:v>2</x:v>
      </x:c>
      <x:c r="G406" s="2"/>
      <x:c r="H406" s="2"/>
      <x:c r="I406" s="2"/>
      <x:c r="J406" s="2"/>
      <x:c r="K406" s="2"/>
      <x:c r="L406" s="2"/>
      <x:c r="M406" s="2"/>
      <x:c r="N406" s="2"/>
      <x:c r="O406" s="2"/>
      <x:c r="P406" s="2"/>
    </x:row>
    <x:row r="407" ht="22" customHeight="1">
      <x:c r="A407" s="12" t="n">
        <x:v>40634</x:v>
      </x:c>
      <x:c r="B407" s="2" t="str">
        <x:v>2011-04</x:v>
      </x:c>
      <x:c r="C407" s="2" t="str">
        <x:v>Switzerland</x:v>
      </x:c>
      <x:c r="D407" s="11" t="n">
        <x:v>2076.94</x:v>
      </x:c>
      <x:c r="E407" s="11" t="n">
        <x:v>254.75</x:v>
      </x:c>
      <x:c r="F407" s="2" t="n">
        <x:v>4</x:v>
      </x:c>
      <x:c r="G407" s="2"/>
      <x:c r="H407" s="2"/>
      <x:c r="I407" s="2"/>
      <x:c r="J407" s="2"/>
      <x:c r="K407" s="2"/>
      <x:c r="L407" s="2"/>
      <x:c r="M407" s="2"/>
      <x:c r="N407" s="2"/>
      <x:c r="O407" s="2"/>
      <x:c r="P407" s="2"/>
    </x:row>
    <x:row r="408" ht="22" customHeight="1">
      <x:c r="A408" s="12" t="n">
        <x:v>40634</x:v>
      </x:c>
      <x:c r="B408" s="2" t="str">
        <x:v>2011-04</x:v>
      </x:c>
      <x:c r="C408" s="2" t="str">
        <x:v>USA</x:v>
      </x:c>
      <x:c r="D408" s="11" t="n">
        <x:v>383.95</x:v>
      </x:c>
      <x:c r="E408" s="11" t="n">
        <x:v>0</x:v>
      </x:c>
      <x:c r="F408" s="2" t="n">
        <x:v>1</x:v>
      </x:c>
      <x:c r="G408" s="2"/>
      <x:c r="H408" s="2"/>
      <x:c r="I408" s="2"/>
      <x:c r="J408" s="2"/>
      <x:c r="K408" s="2"/>
      <x:c r="L408" s="2"/>
      <x:c r="M408" s="2"/>
      <x:c r="N408" s="2"/>
      <x:c r="O408" s="2"/>
      <x:c r="P408" s="2"/>
    </x:row>
    <x:row r="409" ht="22" customHeight="1">
      <x:c r="A409" s="12" t="n">
        <x:v>40634</x:v>
      </x:c>
      <x:c r="B409" s="2" t="str">
        <x:v>2011-04</x:v>
      </x:c>
      <x:c r="C409" s="2" t="str">
        <x:v>United Kingdom</x:v>
      </x:c>
      <x:c r="D409" s="11" t="n">
        <x:v>476517.761</x:v>
      </x:c>
      <x:c r="E409" s="11" t="n">
        <x:v>34263.72</x:v>
      </x:c>
      <x:c r="F409" s="2" t="n">
        <x:v>1153</x:v>
      </x:c>
      <x:c r="G409" s="2"/>
      <x:c r="H409" s="2"/>
      <x:c r="I409" s="2"/>
      <x:c r="J409" s="2"/>
      <x:c r="K409" s="2"/>
      <x:c r="L409" s="2"/>
      <x:c r="M409" s="2"/>
      <x:c r="N409" s="2"/>
      <x:c r="O409" s="2"/>
      <x:c r="P409" s="2"/>
    </x:row>
    <x:row r="410" ht="22" customHeight="1">
      <x:c r="A410" s="12" t="n">
        <x:v>40634</x:v>
      </x:c>
      <x:c r="B410" s="2" t="str">
        <x:v>2011-04</x:v>
      </x:c>
      <x:c r="C410" s="2" t="str">
        <x:v>Unspecified</x:v>
      </x:c>
      <x:c r="D410" s="11" t="n">
        <x:v>299.1</x:v>
      </x:c>
      <x:c r="E410" s="11" t="n">
        <x:v>0</x:v>
      </x:c>
      <x:c r="F410" s="2" t="n">
        <x:v>1</x:v>
      </x:c>
      <x:c r="G410" s="2"/>
      <x:c r="H410" s="2"/>
      <x:c r="I410" s="2"/>
      <x:c r="J410" s="2"/>
      <x:c r="K410" s="2"/>
      <x:c r="L410" s="2"/>
      <x:c r="M410" s="2"/>
      <x:c r="N410" s="2"/>
      <x:c r="O410" s="2"/>
      <x:c r="P410" s="2"/>
    </x:row>
    <x:row r="411" ht="22" customHeight="1">
      <x:c r="A411" s="12" t="n">
        <x:v>40664</x:v>
      </x:c>
      <x:c r="B411" s="2" t="str">
        <x:v>2011-05</x:v>
      </x:c>
      <x:c r="C411" s="2" t="str">
        <x:v>Australia</x:v>
      </x:c>
      <x:c r="D411" s="11" t="n">
        <x:v>13638.41</x:v>
      </x:c>
      <x:c r="E411" s="11" t="n">
        <x:v>9.899999999999999</x:v>
      </x:c>
      <x:c r="F411" s="2" t="n">
        <x:v>4</x:v>
      </x:c>
      <x:c r="G411" s="2"/>
      <x:c r="H411" s="2"/>
      <x:c r="I411" s="2"/>
      <x:c r="J411" s="2"/>
      <x:c r="K411" s="2"/>
      <x:c r="L411" s="2"/>
      <x:c r="M411" s="2"/>
      <x:c r="N411" s="2"/>
      <x:c r="O411" s="2"/>
      <x:c r="P411" s="2"/>
    </x:row>
    <x:row r="412" ht="22" customHeight="1">
      <x:c r="A412" s="12" t="n">
        <x:v>40664</x:v>
      </x:c>
      <x:c r="B412" s="2" t="str">
        <x:v>2011-05</x:v>
      </x:c>
      <x:c r="C412" s="2" t="str">
        <x:v>Austria</x:v>
      </x:c>
      <x:c r="D412" s="11" t="n">
        <x:v>1249.43</x:v>
      </x:c>
      <x:c r="E412" s="11" t="n">
        <x:v>0</x:v>
      </x:c>
      <x:c r="F412" s="2" t="n">
        <x:v>2</x:v>
      </x:c>
      <x:c r="G412" s="2"/>
      <x:c r="H412" s="2"/>
      <x:c r="I412" s="2"/>
      <x:c r="J412" s="2"/>
      <x:c r="K412" s="2"/>
      <x:c r="L412" s="2"/>
      <x:c r="M412" s="2"/>
      <x:c r="N412" s="2"/>
      <x:c r="O412" s="2"/>
      <x:c r="P412" s="2"/>
    </x:row>
    <x:row r="413" ht="22" customHeight="1">
      <x:c r="A413" s="12" t="n">
        <x:v>40664</x:v>
      </x:c>
      <x:c r="B413" s="2" t="str">
        <x:v>2011-05</x:v>
      </x:c>
      <x:c r="C413" s="2" t="str">
        <x:v>Bahrain</x:v>
      </x:c>
      <x:c r="D413" s="11" t="n">
        <x:v>548.4</x:v>
      </x:c>
      <x:c r="E413" s="11" t="n">
        <x:v>0</x:v>
      </x:c>
      <x:c r="F413" s="2" t="n">
        <x:v>2</x:v>
      </x:c>
      <x:c r="G413" s="2"/>
      <x:c r="H413" s="2"/>
      <x:c r="I413" s="2"/>
      <x:c r="J413" s="2"/>
      <x:c r="K413" s="2"/>
      <x:c r="L413" s="2"/>
      <x:c r="M413" s="2"/>
      <x:c r="N413" s="2"/>
      <x:c r="O413" s="2"/>
      <x:c r="P413" s="2"/>
    </x:row>
    <x:row r="414" ht="22" customHeight="1">
      <x:c r="A414" s="12" t="n">
        <x:v>40664</x:v>
      </x:c>
      <x:c r="B414" s="2" t="str">
        <x:v>2011-05</x:v>
      </x:c>
      <x:c r="C414" s="2" t="str">
        <x:v>Belgium</x:v>
      </x:c>
      <x:c r="D414" s="11" t="n">
        <x:v>2732.4</x:v>
      </x:c>
      <x:c r="E414" s="11" t="n">
        <x:v>5.4</x:v>
      </x:c>
      <x:c r="F414" s="2" t="n">
        <x:v>9</x:v>
      </x:c>
      <x:c r="G414" s="2"/>
      <x:c r="H414" s="2"/>
      <x:c r="I414" s="2"/>
      <x:c r="J414" s="2"/>
      <x:c r="K414" s="2"/>
      <x:c r="L414" s="2"/>
      <x:c r="M414" s="2"/>
      <x:c r="N414" s="2"/>
      <x:c r="O414" s="2"/>
      <x:c r="P414" s="2"/>
    </x:row>
    <x:row r="415" ht="22" customHeight="1">
      <x:c r="A415" s="12" t="n">
        <x:v>40664</x:v>
      </x:c>
      <x:c r="B415" s="2" t="str">
        <x:v>2011-05</x:v>
      </x:c>
      <x:c r="C415" s="2" t="str">
        <x:v>Canada</x:v>
      </x:c>
      <x:c r="D415" s="11" t="n">
        <x:v>534.24</x:v>
      </x:c>
      <x:c r="E415" s="11" t="n">
        <x:v>0</x:v>
      </x:c>
      <x:c r="F415" s="2" t="n">
        <x:v>1</x:v>
      </x:c>
      <x:c r="G415" s="2"/>
      <x:c r="H415" s="2"/>
      <x:c r="I415" s="2"/>
      <x:c r="J415" s="2"/>
      <x:c r="K415" s="2"/>
      <x:c r="L415" s="2"/>
      <x:c r="M415" s="2"/>
      <x:c r="N415" s="2"/>
      <x:c r="O415" s="2"/>
      <x:c r="P415" s="2"/>
    </x:row>
    <x:row r="416" ht="22" customHeight="1">
      <x:c r="A416" s="12" t="n">
        <x:v>40664</x:v>
      </x:c>
      <x:c r="B416" s="2" t="str">
        <x:v>2011-05</x:v>
      </x:c>
      <x:c r="C416" s="2" t="str">
        <x:v>Channel Islands</x:v>
      </x:c>
      <x:c r="D416" s="11" t="n">
        <x:v>1207.24</x:v>
      </x:c>
      <x:c r="E416" s="11" t="n">
        <x:v>303.45</x:v>
      </x:c>
      <x:c r="F416" s="2" t="n">
        <x:v>2</x:v>
      </x:c>
      <x:c r="G416" s="2"/>
      <x:c r="H416" s="2"/>
      <x:c r="I416" s="2"/>
      <x:c r="J416" s="2"/>
      <x:c r="K416" s="2"/>
      <x:c r="L416" s="2"/>
      <x:c r="M416" s="2"/>
      <x:c r="N416" s="2"/>
      <x:c r="O416" s="2"/>
      <x:c r="P416" s="2"/>
    </x:row>
    <x:row r="417" ht="22" customHeight="1">
      <x:c r="A417" s="12" t="n">
        <x:v>40664</x:v>
      </x:c>
      <x:c r="B417" s="2" t="str">
        <x:v>2011-05</x:v>
      </x:c>
      <x:c r="C417" s="2" t="str">
        <x:v>Denmark</x:v>
      </x:c>
      <x:c r="D417" s="11" t="n">
        <x:v>515.7</x:v>
      </x:c>
      <x:c r="E417" s="11" t="n">
        <x:v>0</x:v>
      </x:c>
      <x:c r="F417" s="2" t="n">
        <x:v>1</x:v>
      </x:c>
      <x:c r="G417" s="2"/>
      <x:c r="H417" s="2"/>
      <x:c r="I417" s="2"/>
      <x:c r="J417" s="2"/>
      <x:c r="K417" s="2"/>
      <x:c r="L417" s="2"/>
      <x:c r="M417" s="2"/>
      <x:c r="N417" s="2"/>
      <x:c r="O417" s="2"/>
      <x:c r="P417" s="2"/>
    </x:row>
    <x:row r="418" ht="22" customHeight="1">
      <x:c r="A418" s="12" t="n">
        <x:v>40664</x:v>
      </x:c>
      <x:c r="B418" s="2" t="str">
        <x:v>2011-05</x:v>
      </x:c>
      <x:c r="C418" s="2" t="str">
        <x:v>EIRE</x:v>
      </x:c>
      <x:c r="D418" s="11" t="n">
        <x:v>18008.760000000002</x:v>
      </x:c>
      <x:c r="E418" s="11" t="n">
        <x:v>87.41</x:v>
      </x:c>
      <x:c r="F418" s="2" t="n">
        <x:v>22</x:v>
      </x:c>
      <x:c r="G418" s="2"/>
      <x:c r="H418" s="2"/>
      <x:c r="I418" s="2"/>
      <x:c r="J418" s="2"/>
      <x:c r="K418" s="2"/>
      <x:c r="L418" s="2"/>
      <x:c r="M418" s="2"/>
      <x:c r="N418" s="2"/>
      <x:c r="O418" s="2"/>
      <x:c r="P418" s="2"/>
    </x:row>
    <x:row r="419" ht="22" customHeight="1">
      <x:c r="A419" s="12" t="n">
        <x:v>40664</x:v>
      </x:c>
      <x:c r="B419" s="2" t="str">
        <x:v>2011-05</x:v>
      </x:c>
      <x:c r="C419" s="2" t="str">
        <x:v>France</x:v>
      </x:c>
      <x:c r="D419" s="11" t="n">
        <x:v>17614.88</x:v>
      </x:c>
      <x:c r="E419" s="11" t="n">
        <x:v>87.8</x:v>
      </x:c>
      <x:c r="F419" s="2" t="n">
        <x:v>39</x:v>
      </x:c>
      <x:c r="G419" s="2"/>
      <x:c r="H419" s="2"/>
      <x:c r="I419" s="2"/>
      <x:c r="J419" s="2"/>
      <x:c r="K419" s="2"/>
      <x:c r="L419" s="2"/>
      <x:c r="M419" s="2"/>
      <x:c r="N419" s="2"/>
      <x:c r="O419" s="2"/>
      <x:c r="P419" s="2"/>
    </x:row>
    <x:row r="420" ht="22" customHeight="1">
      <x:c r="A420" s="12" t="n">
        <x:v>40664</x:v>
      </x:c>
      <x:c r="B420" s="2" t="str">
        <x:v>2011-05</x:v>
      </x:c>
      <x:c r="C420" s="2" t="str">
        <x:v>Germany</x:v>
      </x:c>
      <x:c r="D420" s="11" t="n">
        <x:v>25751.2</x:v>
      </x:c>
      <x:c r="E420" s="11" t="n">
        <x:v>179.85</x:v>
      </x:c>
      <x:c r="F420" s="2" t="n">
        <x:v>42</x:v>
      </x:c>
      <x:c r="G420" s="2"/>
      <x:c r="H420" s="2"/>
      <x:c r="I420" s="2"/>
      <x:c r="J420" s="2"/>
      <x:c r="K420" s="2"/>
      <x:c r="L420" s="2"/>
      <x:c r="M420" s="2"/>
      <x:c r="N420" s="2"/>
      <x:c r="O420" s="2"/>
      <x:c r="P420" s="2"/>
    </x:row>
    <x:row r="421" ht="22" customHeight="1">
      <x:c r="A421" s="12" t="n">
        <x:v>40664</x:v>
      </x:c>
      <x:c r="B421" s="2" t="str">
        <x:v>2011-05</x:v>
      </x:c>
      <x:c r="C421" s="2" t="str">
        <x:v>Hong Kong</x:v>
      </x:c>
      <x:c r="D421" s="11" t="n">
        <x:v>1966.16</x:v>
      </x:c>
      <x:c r="E421" s="11" t="n">
        <x:v>0</x:v>
      </x:c>
      <x:c r="F421" s="2" t="n">
        <x:v>1</x:v>
      </x:c>
      <x:c r="G421" s="2"/>
      <x:c r="H421" s="2"/>
      <x:c r="I421" s="2"/>
      <x:c r="J421" s="2"/>
      <x:c r="K421" s="2"/>
      <x:c r="L421" s="2"/>
      <x:c r="M421" s="2"/>
      <x:c r="N421" s="2"/>
      <x:c r="O421" s="2"/>
      <x:c r="P421" s="2"/>
    </x:row>
    <x:row r="422" ht="22" customHeight="1">
      <x:c r="A422" s="12" t="n">
        <x:v>40664</x:v>
      </x:c>
      <x:c r="B422" s="2" t="str">
        <x:v>2011-05</x:v>
      </x:c>
      <x:c r="C422" s="2" t="str">
        <x:v>Italy</x:v>
      </x:c>
      <x:c r="D422" s="11" t="n">
        <x:v>587.45</x:v>
      </x:c>
      <x:c r="E422" s="11" t="n">
        <x:v>0</x:v>
      </x:c>
      <x:c r="F422" s="2" t="n">
        <x:v>1</x:v>
      </x:c>
      <x:c r="G422" s="2"/>
      <x:c r="H422" s="2"/>
      <x:c r="I422" s="2"/>
      <x:c r="J422" s="2"/>
      <x:c r="K422" s="2"/>
      <x:c r="L422" s="2"/>
      <x:c r="M422" s="2"/>
      <x:c r="N422" s="2"/>
      <x:c r="O422" s="2"/>
      <x:c r="P422" s="2"/>
    </x:row>
    <x:row r="423" ht="22" customHeight="1">
      <x:c r="A423" s="12" t="n">
        <x:v>40664</x:v>
      </x:c>
      <x:c r="B423" s="2" t="str">
        <x:v>2011-05</x:v>
      </x:c>
      <x:c r="C423" s="2" t="str">
        <x:v>Japan</x:v>
      </x:c>
      <x:c r="D423" s="11" t="n">
        <x:v>1351.45</x:v>
      </x:c>
      <x:c r="E423" s="11" t="n">
        <x:v>0</x:v>
      </x:c>
      <x:c r="F423" s="2" t="n">
        <x:v>1</x:v>
      </x:c>
      <x:c r="G423" s="2"/>
      <x:c r="H423" s="2"/>
      <x:c r="I423" s="2"/>
      <x:c r="J423" s="2"/>
      <x:c r="K423" s="2"/>
      <x:c r="L423" s="2"/>
      <x:c r="M423" s="2"/>
      <x:c r="N423" s="2"/>
      <x:c r="O423" s="2"/>
      <x:c r="P423" s="2"/>
    </x:row>
    <x:row r="424" ht="22" customHeight="1">
      <x:c r="A424" s="12" t="n">
        <x:v>40664</x:v>
      </x:c>
      <x:c r="B424" s="2" t="str">
        <x:v>2011-05</x:v>
      </x:c>
      <x:c r="C424" s="2" t="str">
        <x:v>Netherlands</x:v>
      </x:c>
      <x:c r="D424" s="11" t="n">
        <x:v>29185.88</x:v>
      </x:c>
      <x:c r="E424" s="11" t="n">
        <x:v>0</x:v>
      </x:c>
      <x:c r="F424" s="2" t="n">
        <x:v>11</x:v>
      </x:c>
      <x:c r="G424" s="2"/>
      <x:c r="H424" s="2"/>
      <x:c r="I424" s="2"/>
      <x:c r="J424" s="2"/>
      <x:c r="K424" s="2"/>
      <x:c r="L424" s="2"/>
      <x:c r="M424" s="2"/>
      <x:c r="N424" s="2"/>
      <x:c r="O424" s="2"/>
      <x:c r="P424" s="2"/>
    </x:row>
    <x:row r="425" ht="22" customHeight="1">
      <x:c r="A425" s="12" t="n">
        <x:v>40664</x:v>
      </x:c>
      <x:c r="B425" s="2" t="str">
        <x:v>2011-05</x:v>
      </x:c>
      <x:c r="C425" s="2" t="str">
        <x:v>Poland</x:v>
      </x:c>
      <x:c r="D425" s="11" t="n">
        <x:v>1522.37</x:v>
      </x:c>
      <x:c r="E425" s="11" t="n">
        <x:v>0</x:v>
      </x:c>
      <x:c r="F425" s="2" t="n">
        <x:v>3</x:v>
      </x:c>
      <x:c r="G425" s="2"/>
      <x:c r="H425" s="2"/>
      <x:c r="I425" s="2"/>
      <x:c r="J425" s="2"/>
      <x:c r="K425" s="2"/>
      <x:c r="L425" s="2"/>
      <x:c r="M425" s="2"/>
      <x:c r="N425" s="2"/>
      <x:c r="O425" s="2"/>
      <x:c r="P425" s="2"/>
    </x:row>
    <x:row r="426" ht="22" customHeight="1">
      <x:c r="A426" s="12" t="n">
        <x:v>40664</x:v>
      </x:c>
      <x:c r="B426" s="2" t="str">
        <x:v>2011-05</x:v>
      </x:c>
      <x:c r="C426" s="2" t="str">
        <x:v>Portugal</x:v>
      </x:c>
      <x:c r="D426" s="11" t="n">
        <x:v>4202.2300000000005</x:v>
      </x:c>
      <x:c r="E426" s="11" t="n">
        <x:v>3614.4</x:v>
      </x:c>
      <x:c r="F426" s="2" t="n">
        <x:v>5</x:v>
      </x:c>
      <x:c r="G426" s="2"/>
      <x:c r="H426" s="2"/>
      <x:c r="I426" s="2"/>
      <x:c r="J426" s="2"/>
      <x:c r="K426" s="2"/>
      <x:c r="L426" s="2"/>
      <x:c r="M426" s="2"/>
      <x:c r="N426" s="2"/>
      <x:c r="O426" s="2"/>
      <x:c r="P426" s="2"/>
    </x:row>
    <x:row r="427" ht="22" customHeight="1">
      <x:c r="A427" s="12" t="n">
        <x:v>40664</x:v>
      </x:c>
      <x:c r="B427" s="2" t="str">
        <x:v>2011-05</x:v>
      </x:c>
      <x:c r="C427" s="2" t="str">
        <x:v>Spain</x:v>
      </x:c>
      <x:c r="D427" s="11" t="n">
        <x:v>3257.6</x:v>
      </x:c>
      <x:c r="E427" s="11" t="n">
        <x:v>0</x:v>
      </x:c>
      <x:c r="F427" s="2" t="n">
        <x:v>4</x:v>
      </x:c>
      <x:c r="G427" s="2"/>
      <x:c r="H427" s="2"/>
      <x:c r="I427" s="2"/>
      <x:c r="J427" s="2"/>
      <x:c r="K427" s="2"/>
      <x:c r="L427" s="2"/>
      <x:c r="M427" s="2"/>
      <x:c r="N427" s="2"/>
      <x:c r="O427" s="2"/>
      <x:c r="P427" s="2"/>
    </x:row>
    <x:row r="428" ht="22" customHeight="1">
      <x:c r="A428" s="12" t="n">
        <x:v>40664</x:v>
      </x:c>
      <x:c r="B428" s="2" t="str">
        <x:v>2011-05</x:v>
      </x:c>
      <x:c r="C428" s="2" t="str">
        <x:v>Sweden</x:v>
      </x:c>
      <x:c r="D428" s="11" t="n">
        <x:v>2681.98</x:v>
      </x:c>
      <x:c r="E428" s="11" t="n">
        <x:v>17</x:v>
      </x:c>
      <x:c r="F428" s="2" t="n">
        <x:v>3</x:v>
      </x:c>
      <x:c r="G428" s="2"/>
      <x:c r="H428" s="2"/>
      <x:c r="I428" s="2"/>
      <x:c r="J428" s="2"/>
      <x:c r="K428" s="2"/>
      <x:c r="L428" s="2"/>
      <x:c r="M428" s="2"/>
      <x:c r="N428" s="2"/>
      <x:c r="O428" s="2"/>
      <x:c r="P428" s="2"/>
    </x:row>
    <x:row r="429" ht="22" customHeight="1">
      <x:c r="A429" s="12" t="n">
        <x:v>40664</x:v>
      </x:c>
      <x:c r="B429" s="2" t="str">
        <x:v>2011-05</x:v>
      </x:c>
      <x:c r="C429" s="2" t="str">
        <x:v>Switzerland</x:v>
      </x:c>
      <x:c r="D429" s="11" t="n">
        <x:v>3610.0099999999998</x:v>
      </x:c>
      <x:c r="E429" s="11" t="n">
        <x:v>42.8</x:v>
      </x:c>
      <x:c r="F429" s="2" t="n">
        <x:v>3</x:v>
      </x:c>
      <x:c r="G429" s="2"/>
      <x:c r="H429" s="2"/>
      <x:c r="I429" s="2"/>
      <x:c r="J429" s="2"/>
      <x:c r="K429" s="2"/>
      <x:c r="L429" s="2"/>
      <x:c r="M429" s="2"/>
      <x:c r="N429" s="2"/>
      <x:c r="O429" s="2"/>
      <x:c r="P429" s="2"/>
    </x:row>
    <x:row r="430" ht="22" customHeight="1">
      <x:c r="A430" s="12" t="n">
        <x:v>40664</x:v>
      </x:c>
      <x:c r="B430" s="2" t="str">
        <x:v>2011-05</x:v>
      </x:c>
      <x:c r="C430" s="2" t="str">
        <x:v>United Kingdom</x:v>
      </x:c>
      <x:c r="D430" s="11" t="n">
        <x:v>639314.36</x:v>
      </x:c>
      <x:c r="E430" s="11" t="n">
        <x:v>42854.5</x:v>
      </x:c>
      <x:c r="F430" s="2" t="n">
        <x:v>1523</x:v>
      </x:c>
      <x:c r="G430" s="2"/>
      <x:c r="H430" s="2"/>
      <x:c r="I430" s="2"/>
      <x:c r="J430" s="2"/>
      <x:c r="K430" s="2"/>
      <x:c r="L430" s="2"/>
      <x:c r="M430" s="2"/>
      <x:c r="N430" s="2"/>
      <x:c r="O430" s="2"/>
      <x:c r="P430" s="2"/>
    </x:row>
    <x:row r="431" ht="22" customHeight="1">
      <x:c r="A431" s="12" t="n">
        <x:v>40664</x:v>
      </x:c>
      <x:c r="B431" s="2" t="str">
        <x:v>2011-05</x:v>
      </x:c>
      <x:c r="C431" s="2" t="str">
        <x:v>Unspecified</x:v>
      </x:c>
      <x:c r="D431" s="11" t="n">
        <x:v>1055.8700000000001</x:v>
      </x:c>
      <x:c r="E431" s="11" t="n">
        <x:v>0</x:v>
      </x:c>
      <x:c r="F431" s="2" t="n">
        <x:v>2</x:v>
      </x:c>
      <x:c r="G431" s="2"/>
      <x:c r="H431" s="2"/>
      <x:c r="I431" s="2"/>
      <x:c r="J431" s="2"/>
      <x:c r="K431" s="2"/>
      <x:c r="L431" s="2"/>
      <x:c r="M431" s="2"/>
      <x:c r="N431" s="2"/>
      <x:c r="O431" s="2"/>
      <x:c r="P431" s="2"/>
    </x:row>
    <x:row r="432" ht="22" customHeight="1">
      <x:c r="A432" s="12" t="n">
        <x:v>40695</x:v>
      </x:c>
      <x:c r="B432" s="2" t="str">
        <x:v>2011-06</x:v>
      </x:c>
      <x:c r="C432" s="2" t="str">
        <x:v>Australia</x:v>
      </x:c>
      <x:c r="D432" s="11" t="n">
        <x:v>25187.77</x:v>
      </x:c>
      <x:c r="E432" s="11" t="n">
        <x:v>23</x:v>
      </x:c>
      <x:c r="F432" s="2" t="n">
        <x:v>4</x:v>
      </x:c>
      <x:c r="G432" s="2"/>
      <x:c r="H432" s="2"/>
      <x:c r="I432" s="2"/>
      <x:c r="J432" s="2"/>
      <x:c r="K432" s="2"/>
      <x:c r="L432" s="2"/>
      <x:c r="M432" s="2"/>
      <x:c r="N432" s="2"/>
      <x:c r="O432" s="2"/>
      <x:c r="P432" s="2"/>
    </x:row>
    <x:row r="433" ht="22" customHeight="1">
      <x:c r="A433" s="12" t="n">
        <x:v>40695</x:v>
      </x:c>
      <x:c r="B433" s="2" t="str">
        <x:v>2011-06</x:v>
      </x:c>
      <x:c r="C433" s="2" t="str">
        <x:v>Austria</x:v>
      </x:c>
      <x:c r="D433" s="11" t="n">
        <x:v>0</x:v>
      </x:c>
      <x:c r="E433" s="11" t="n">
        <x:v>24.2</x:v>
      </x:c>
      <x:c r="F433" s="2" t="n">
        <x:v>0</x:v>
      </x:c>
      <x:c r="G433" s="2"/>
      <x:c r="H433" s="2"/>
      <x:c r="I433" s="2"/>
      <x:c r="J433" s="2"/>
      <x:c r="K433" s="2"/>
      <x:c r="L433" s="2"/>
      <x:c r="M433" s="2"/>
      <x:c r="N433" s="2"/>
      <x:c r="O433" s="2"/>
      <x:c r="P433" s="2"/>
    </x:row>
    <x:row r="434" ht="22" customHeight="1">
      <x:c r="A434" s="12" t="n">
        <x:v>40695</x:v>
      </x:c>
      <x:c r="B434" s="2" t="str">
        <x:v>2011-06</x:v>
      </x:c>
      <x:c r="C434" s="2" t="str">
        <x:v>Belgium</x:v>
      </x:c>
      <x:c r="D434" s="11" t="n">
        <x:v>4274.82</x:v>
      </x:c>
      <x:c r="E434" s="11" t="n">
        <x:v>1.65</x:v>
      </x:c>
      <x:c r="F434" s="2" t="n">
        <x:v>11</x:v>
      </x:c>
      <x:c r="G434" s="2"/>
      <x:c r="H434" s="2"/>
      <x:c r="I434" s="2"/>
      <x:c r="J434" s="2"/>
      <x:c r="K434" s="2"/>
      <x:c r="L434" s="2"/>
      <x:c r="M434" s="2"/>
      <x:c r="N434" s="2"/>
      <x:c r="O434" s="2"/>
      <x:c r="P434" s="2"/>
    </x:row>
    <x:row r="435" ht="22" customHeight="1">
      <x:c r="A435" s="12" t="n">
        <x:v>40695</x:v>
      </x:c>
      <x:c r="B435" s="2" t="str">
        <x:v>2011-06</x:v>
      </x:c>
      <x:c r="C435" s="2" t="str">
        <x:v>Canada</x:v>
      </x:c>
      <x:c r="D435" s="11" t="n">
        <x:v>1171.46</x:v>
      </x:c>
      <x:c r="E435" s="11" t="n">
        <x:v>0</x:v>
      </x:c>
      <x:c r="F435" s="2" t="n">
        <x:v>1</x:v>
      </x:c>
      <x:c r="G435" s="2"/>
      <x:c r="H435" s="2"/>
      <x:c r="I435" s="2"/>
      <x:c r="J435" s="2"/>
      <x:c r="K435" s="2"/>
      <x:c r="L435" s="2"/>
      <x:c r="M435" s="2"/>
      <x:c r="N435" s="2"/>
      <x:c r="O435" s="2"/>
      <x:c r="P435" s="2"/>
    </x:row>
    <x:row r="436" ht="22" customHeight="1">
      <x:c r="A436" s="12" t="n">
        <x:v>40695</x:v>
      </x:c>
      <x:c r="B436" s="2" t="str">
        <x:v>2011-06</x:v>
      </x:c>
      <x:c r="C436" s="2" t="str">
        <x:v>Channel Islands</x:v>
      </x:c>
      <x:c r="D436" s="11" t="n">
        <x:v>2060.0299999999997</x:v>
      </x:c>
      <x:c r="E436" s="11" t="n">
        <x:v>0</x:v>
      </x:c>
      <x:c r="F436" s="2" t="n">
        <x:v>1</x:v>
      </x:c>
      <x:c r="G436" s="2"/>
      <x:c r="H436" s="2"/>
      <x:c r="I436" s="2"/>
      <x:c r="J436" s="2"/>
      <x:c r="K436" s="2"/>
      <x:c r="L436" s="2"/>
      <x:c r="M436" s="2"/>
      <x:c r="N436" s="2"/>
      <x:c r="O436" s="2"/>
      <x:c r="P436" s="2"/>
    </x:row>
    <x:row r="437" ht="22" customHeight="1">
      <x:c r="A437" s="12" t="n">
        <x:v>40695</x:v>
      </x:c>
      <x:c r="B437" s="2" t="str">
        <x:v>2011-06</x:v>
      </x:c>
      <x:c r="C437" s="2" t="str">
        <x:v>Cyprus</x:v>
      </x:c>
      <x:c r="D437" s="11" t="n">
        <x:v>1109.32</x:v>
      </x:c>
      <x:c r="E437" s="11" t="n">
        <x:v>0</x:v>
      </x:c>
      <x:c r="F437" s="2" t="n">
        <x:v>1</x:v>
      </x:c>
      <x:c r="G437" s="2"/>
      <x:c r="H437" s="2"/>
      <x:c r="I437" s="2"/>
      <x:c r="J437" s="2"/>
      <x:c r="K437" s="2"/>
      <x:c r="L437" s="2"/>
      <x:c r="M437" s="2"/>
      <x:c r="N437" s="2"/>
      <x:c r="O437" s="2"/>
      <x:c r="P437" s="2"/>
    </x:row>
    <x:row r="438" ht="22" customHeight="1">
      <x:c r="A438" s="12" t="n">
        <x:v>40695</x:v>
      </x:c>
      <x:c r="B438" s="2" t="str">
        <x:v>2011-06</x:v>
      </x:c>
      <x:c r="C438" s="2" t="str">
        <x:v>Denmark</x:v>
      </x:c>
      <x:c r="D438" s="11" t="n">
        <x:v>3261.15</x:v>
      </x:c>
      <x:c r="E438" s="11" t="n">
        <x:v>0</x:v>
      </x:c>
      <x:c r="F438" s="2" t="n">
        <x:v>3</x:v>
      </x:c>
      <x:c r="G438" s="2"/>
      <x:c r="H438" s="2"/>
      <x:c r="I438" s="2"/>
      <x:c r="J438" s="2"/>
      <x:c r="K438" s="2"/>
      <x:c r="L438" s="2"/>
      <x:c r="M438" s="2"/>
      <x:c r="N438" s="2"/>
      <x:c r="O438" s="2"/>
      <x:c r="P438" s="2"/>
    </x:row>
    <x:row r="439" ht="22" customHeight="1">
      <x:c r="A439" s="12" t="n">
        <x:v>40695</x:v>
      </x:c>
      <x:c r="B439" s="2" t="str">
        <x:v>2011-06</x:v>
      </x:c>
      <x:c r="C439" s="2" t="str">
        <x:v>EIRE</x:v>
      </x:c>
      <x:c r="D439" s="11" t="n">
        <x:v>24863.61</x:v>
      </x:c>
      <x:c r="E439" s="11" t="n">
        <x:v>4803.36</x:v>
      </x:c>
      <x:c r="F439" s="2" t="n">
        <x:v>28</x:v>
      </x:c>
      <x:c r="G439" s="2"/>
      <x:c r="H439" s="2"/>
      <x:c r="I439" s="2"/>
      <x:c r="J439" s="2"/>
      <x:c r="K439" s="2"/>
      <x:c r="L439" s="2"/>
      <x:c r="M439" s="2"/>
      <x:c r="N439" s="2"/>
      <x:c r="O439" s="2"/>
      <x:c r="P439" s="2"/>
    </x:row>
    <x:row r="440" ht="22" customHeight="1">
      <x:c r="A440" s="12" t="n">
        <x:v>40695</x:v>
      </x:c>
      <x:c r="B440" s="2" t="str">
        <x:v>2011-06</x:v>
      </x:c>
      <x:c r="C440" s="2" t="str">
        <x:v>European Community</x:v>
      </x:c>
      <x:c r="D440" s="11" t="n">
        <x:v>432.05</x:v>
      </x:c>
      <x:c r="E440" s="11" t="n">
        <x:v>8.5</x:v>
      </x:c>
      <x:c r="F440" s="2" t="n">
        <x:v>2</x:v>
      </x:c>
      <x:c r="G440" s="2"/>
      <x:c r="H440" s="2"/>
      <x:c r="I440" s="2"/>
      <x:c r="J440" s="2"/>
      <x:c r="K440" s="2"/>
      <x:c r="L440" s="2"/>
      <x:c r="M440" s="2"/>
      <x:c r="N440" s="2"/>
      <x:c r="O440" s="2"/>
      <x:c r="P440" s="2"/>
    </x:row>
    <x:row r="441" ht="22" customHeight="1">
      <x:c r="A441" s="12" t="n">
        <x:v>40695</x:v>
      </x:c>
      <x:c r="B441" s="2" t="str">
        <x:v>2011-06</x:v>
      </x:c>
      <x:c r="C441" s="2" t="str">
        <x:v>Finland</x:v>
      </x:c>
      <x:c r="D441" s="11" t="n">
        <x:v>329.56</x:v>
      </x:c>
      <x:c r="E441" s="11" t="n">
        <x:v>0</x:v>
      </x:c>
      <x:c r="F441" s="2" t="n">
        <x:v>1</x:v>
      </x:c>
      <x:c r="G441" s="2"/>
      <x:c r="H441" s="2"/>
      <x:c r="I441" s="2"/>
      <x:c r="J441" s="2"/>
      <x:c r="K441" s="2"/>
      <x:c r="L441" s="2"/>
      <x:c r="M441" s="2"/>
      <x:c r="N441" s="2"/>
      <x:c r="O441" s="2"/>
      <x:c r="P441" s="2"/>
    </x:row>
    <x:row r="442" ht="22" customHeight="1">
      <x:c r="A442" s="12" t="n">
        <x:v>40695</x:v>
      </x:c>
      <x:c r="B442" s="2" t="str">
        <x:v>2011-06</x:v>
      </x:c>
      <x:c r="C442" s="2" t="str">
        <x:v>France</x:v>
      </x:c>
      <x:c r="D442" s="11" t="n">
        <x:v>16348.41</x:v>
      </x:c>
      <x:c r="E442" s="11" t="n">
        <x:v>356.54</x:v>
      </x:c>
      <x:c r="F442" s="2" t="n">
        <x:v>31</x:v>
      </x:c>
      <x:c r="G442" s="2"/>
      <x:c r="H442" s="2"/>
      <x:c r="I442" s="2"/>
      <x:c r="J442" s="2"/>
      <x:c r="K442" s="2"/>
      <x:c r="L442" s="2"/>
      <x:c r="M442" s="2"/>
      <x:c r="N442" s="2"/>
      <x:c r="O442" s="2"/>
      <x:c r="P442" s="2"/>
    </x:row>
    <x:row r="443" ht="22" customHeight="1">
      <x:c r="A443" s="12" t="n">
        <x:v>40695</x:v>
      </x:c>
      <x:c r="B443" s="2" t="str">
        <x:v>2011-06</x:v>
      </x:c>
      <x:c r="C443" s="2" t="str">
        <x:v>Germany</x:v>
      </x:c>
      <x:c r="D443" s="11" t="n">
        <x:v>13274.1</x:v>
      </x:c>
      <x:c r="E443" s="11" t="n">
        <x:v>193.08</x:v>
      </x:c>
      <x:c r="F443" s="2" t="n">
        <x:v>24</x:v>
      </x:c>
      <x:c r="G443" s="2"/>
      <x:c r="H443" s="2"/>
      <x:c r="I443" s="2"/>
      <x:c r="J443" s="2"/>
      <x:c r="K443" s="2"/>
      <x:c r="L443" s="2"/>
      <x:c r="M443" s="2"/>
      <x:c r="N443" s="2"/>
      <x:c r="O443" s="2"/>
      <x:c r="P443" s="2"/>
    </x:row>
    <x:row r="444" ht="22" customHeight="1">
      <x:c r="A444" s="12" t="n">
        <x:v>40695</x:v>
      </x:c>
      <x:c r="B444" s="2" t="str">
        <x:v>2011-06</x:v>
      </x:c>
      <x:c r="C444" s="2" t="str">
        <x:v>Hong Kong</x:v>
      </x:c>
      <x:c r="D444" s="11" t="n">
        <x:v>633.96</x:v>
      </x:c>
      <x:c r="E444" s="11" t="n">
        <x:v>0</x:v>
      </x:c>
      <x:c r="F444" s="2" t="n">
        <x:v>1</x:v>
      </x:c>
      <x:c r="G444" s="2"/>
      <x:c r="H444" s="2"/>
      <x:c r="I444" s="2"/>
      <x:c r="J444" s="2"/>
      <x:c r="K444" s="2"/>
      <x:c r="L444" s="2"/>
      <x:c r="M444" s="2"/>
      <x:c r="N444" s="2"/>
      <x:c r="O444" s="2"/>
      <x:c r="P444" s="2"/>
    </x:row>
    <x:row r="445" ht="22" customHeight="1">
      <x:c r="A445" s="12" t="n">
        <x:v>40695</x:v>
      </x:c>
      <x:c r="B445" s="2" t="str">
        <x:v>2011-06</x:v>
      </x:c>
      <x:c r="C445" s="2" t="str">
        <x:v>Iceland</x:v>
      </x:c>
      <x:c r="D445" s="11" t="n">
        <x:v>382.52</x:v>
      </x:c>
      <x:c r="E445" s="11" t="n">
        <x:v>0</x:v>
      </x:c>
      <x:c r="F445" s="2" t="n">
        <x:v>1</x:v>
      </x:c>
      <x:c r="G445" s="2"/>
      <x:c r="H445" s="2"/>
      <x:c r="I445" s="2"/>
      <x:c r="J445" s="2"/>
      <x:c r="K445" s="2"/>
      <x:c r="L445" s="2"/>
      <x:c r="M445" s="2"/>
      <x:c r="N445" s="2"/>
      <x:c r="O445" s="2"/>
      <x:c r="P445" s="2"/>
    </x:row>
    <x:row r="446" ht="22" customHeight="1">
      <x:c r="A446" s="12" t="n">
        <x:v>40695</x:v>
      </x:c>
      <x:c r="B446" s="2" t="str">
        <x:v>2011-06</x:v>
      </x:c>
      <x:c r="C446" s="2" t="str">
        <x:v>Italy</x:v>
      </x:c>
      <x:c r="D446" s="11" t="n">
        <x:v>202.07</x:v>
      </x:c>
      <x:c r="E446" s="11" t="n">
        <x:v>39.8</x:v>
      </x:c>
      <x:c r="F446" s="2" t="n">
        <x:v>2</x:v>
      </x:c>
      <x:c r="G446" s="2"/>
      <x:c r="H446" s="2"/>
      <x:c r="I446" s="2"/>
      <x:c r="J446" s="2"/>
      <x:c r="K446" s="2"/>
      <x:c r="L446" s="2"/>
      <x:c r="M446" s="2"/>
      <x:c r="N446" s="2"/>
      <x:c r="O446" s="2"/>
      <x:c r="P446" s="2"/>
    </x:row>
    <x:row r="447" ht="22" customHeight="1">
      <x:c r="A447" s="12" t="n">
        <x:v>40695</x:v>
      </x:c>
      <x:c r="B447" s="2" t="str">
        <x:v>2011-06</x:v>
      </x:c>
      <x:c r="C447" s="2" t="str">
        <x:v>Japan</x:v>
      </x:c>
      <x:c r="D447" s="11" t="n">
        <x:v>1607.04</x:v>
      </x:c>
      <x:c r="E447" s="11" t="n">
        <x:v>0</x:v>
      </x:c>
      <x:c r="F447" s="2" t="n">
        <x:v>1</x:v>
      </x:c>
      <x:c r="G447" s="2"/>
      <x:c r="H447" s="2"/>
      <x:c r="I447" s="2"/>
      <x:c r="J447" s="2"/>
      <x:c r="K447" s="2"/>
      <x:c r="L447" s="2"/>
      <x:c r="M447" s="2"/>
      <x:c r="N447" s="2"/>
      <x:c r="O447" s="2"/>
      <x:c r="P447" s="2"/>
    </x:row>
    <x:row r="448" ht="22" customHeight="1">
      <x:c r="A448" s="12" t="n">
        <x:v>40695</x:v>
      </x:c>
      <x:c r="B448" s="2" t="str">
        <x:v>2011-06</x:v>
      </x:c>
      <x:c r="C448" s="2" t="str">
        <x:v>Malta</x:v>
      </x:c>
      <x:c r="D448" s="11" t="n">
        <x:v>863.16</x:v>
      </x:c>
      <x:c r="E448" s="11" t="n">
        <x:v>12.75</x:v>
      </x:c>
      <x:c r="F448" s="2" t="n">
        <x:v>2</x:v>
      </x:c>
      <x:c r="G448" s="2"/>
      <x:c r="H448" s="2"/>
      <x:c r="I448" s="2"/>
      <x:c r="J448" s="2"/>
      <x:c r="K448" s="2"/>
      <x:c r="L448" s="2"/>
      <x:c r="M448" s="2"/>
      <x:c r="N448" s="2"/>
      <x:c r="O448" s="2"/>
      <x:c r="P448" s="2"/>
    </x:row>
    <x:row r="449" ht="22" customHeight="1">
      <x:c r="A449" s="12" t="n">
        <x:v>40695</x:v>
      </x:c>
      <x:c r="B449" s="2" t="str">
        <x:v>2011-06</x:v>
      </x:c>
      <x:c r="C449" s="2" t="str">
        <x:v>Netherlands</x:v>
      </x:c>
      <x:c r="D449" s="11" t="n">
        <x:v>26858.09</x:v>
      </x:c>
      <x:c r="E449" s="11" t="n">
        <x:v>15</x:v>
      </x:c>
      <x:c r="F449" s="2" t="n">
        <x:v>11</x:v>
      </x:c>
      <x:c r="G449" s="2"/>
      <x:c r="H449" s="2"/>
      <x:c r="I449" s="2"/>
      <x:c r="J449" s="2"/>
      <x:c r="K449" s="2"/>
      <x:c r="L449" s="2"/>
      <x:c r="M449" s="2"/>
      <x:c r="N449" s="2"/>
      <x:c r="O449" s="2"/>
      <x:c r="P449" s="2"/>
    </x:row>
    <x:row r="450" ht="22" customHeight="1">
      <x:c r="A450" s="12" t="n">
        <x:v>40695</x:v>
      </x:c>
      <x:c r="B450" s="2" t="str">
        <x:v>2011-06</x:v>
      </x:c>
      <x:c r="C450" s="2" t="str">
        <x:v>Norway</x:v>
      </x:c>
      <x:c r="D450" s="11" t="n">
        <x:v>5886.860000000001</x:v>
      </x:c>
      <x:c r="E450" s="11" t="n">
        <x:v>0</x:v>
      </x:c>
      <x:c r="F450" s="2" t="n">
        <x:v>4</x:v>
      </x:c>
      <x:c r="G450" s="2"/>
      <x:c r="H450" s="2"/>
      <x:c r="I450" s="2"/>
      <x:c r="J450" s="2"/>
      <x:c r="K450" s="2"/>
      <x:c r="L450" s="2"/>
      <x:c r="M450" s="2"/>
      <x:c r="N450" s="2"/>
      <x:c r="O450" s="2"/>
      <x:c r="P450" s="2"/>
    </x:row>
    <x:row r="451" ht="22" customHeight="1">
      <x:c r="A451" s="12" t="n">
        <x:v>40695</x:v>
      </x:c>
      <x:c r="B451" s="2" t="str">
        <x:v>2011-06</x:v>
      </x:c>
      <x:c r="C451" s="2" t="str">
        <x:v>Poland</x:v>
      </x:c>
      <x:c r="D451" s="11" t="n">
        <x:v>343.65000000000003</x:v>
      </x:c>
      <x:c r="E451" s="11" t="n">
        <x:v>78.91</x:v>
      </x:c>
      <x:c r="F451" s="2" t="n">
        <x:v>2</x:v>
      </x:c>
      <x:c r="G451" s="2"/>
      <x:c r="H451" s="2"/>
      <x:c r="I451" s="2"/>
      <x:c r="J451" s="2"/>
      <x:c r="K451" s="2"/>
      <x:c r="L451" s="2"/>
      <x:c r="M451" s="2"/>
      <x:c r="N451" s="2"/>
      <x:c r="O451" s="2"/>
      <x:c r="P451" s="2"/>
    </x:row>
    <x:row r="452" ht="22" customHeight="1">
      <x:c r="A452" s="12" t="n">
        <x:v>40695</x:v>
      </x:c>
      <x:c r="B452" s="2" t="str">
        <x:v>2011-06</x:v>
      </x:c>
      <x:c r="C452" s="2" t="str">
        <x:v>Portugal</x:v>
      </x:c>
      <x:c r="D452" s="11" t="n">
        <x:v>884.46</x:v>
      </x:c>
      <x:c r="E452" s="11" t="n">
        <x:v>4.95</x:v>
      </x:c>
      <x:c r="F452" s="2" t="n">
        <x:v>3</x:v>
      </x:c>
      <x:c r="G452" s="2"/>
      <x:c r="H452" s="2"/>
      <x:c r="I452" s="2"/>
      <x:c r="J452" s="2"/>
      <x:c r="K452" s="2"/>
      <x:c r="L452" s="2"/>
      <x:c r="M452" s="2"/>
      <x:c r="N452" s="2"/>
      <x:c r="O452" s="2"/>
      <x:c r="P452" s="2"/>
    </x:row>
    <x:row r="453" ht="22" customHeight="1">
      <x:c r="A453" s="12" t="n">
        <x:v>40695</x:v>
      </x:c>
      <x:c r="B453" s="2" t="str">
        <x:v>2011-06</x:v>
      </x:c>
      <x:c r="C453" s="2" t="str">
        <x:v>Spain</x:v>
      </x:c>
      <x:c r="D453" s="11" t="n">
        <x:v>3333.21</x:v>
      </x:c>
      <x:c r="E453" s="11" t="n">
        <x:v>0.77</x:v>
      </x:c>
      <x:c r="F453" s="2" t="n">
        <x:v>8</x:v>
      </x:c>
      <x:c r="G453" s="2"/>
      <x:c r="H453" s="2"/>
      <x:c r="I453" s="2"/>
      <x:c r="J453" s="2"/>
      <x:c r="K453" s="2"/>
      <x:c r="L453" s="2"/>
      <x:c r="M453" s="2"/>
      <x:c r="N453" s="2"/>
      <x:c r="O453" s="2"/>
      <x:c r="P453" s="2"/>
    </x:row>
    <x:row r="454" ht="22" customHeight="1">
      <x:c r="A454" s="12" t="n">
        <x:v>40695</x:v>
      </x:c>
      <x:c r="B454" s="2" t="str">
        <x:v>2011-06</x:v>
      </x:c>
      <x:c r="C454" s="2" t="str">
        <x:v>Sweden</x:v>
      </x:c>
      <x:c r="D454" s="11" t="n">
        <x:v>832</x:v>
      </x:c>
      <x:c r="E454" s="11" t="n">
        <x:v>0</x:v>
      </x:c>
      <x:c r="F454" s="2" t="n">
        <x:v>3</x:v>
      </x:c>
      <x:c r="G454" s="2"/>
      <x:c r="H454" s="2"/>
      <x:c r="I454" s="2"/>
      <x:c r="J454" s="2"/>
      <x:c r="K454" s="2"/>
      <x:c r="L454" s="2"/>
      <x:c r="M454" s="2"/>
      <x:c r="N454" s="2"/>
      <x:c r="O454" s="2"/>
      <x:c r="P454" s="2"/>
    </x:row>
    <x:row r="455" ht="22" customHeight="1">
      <x:c r="A455" s="12" t="n">
        <x:v>40695</x:v>
      </x:c>
      <x:c r="B455" s="2" t="str">
        <x:v>2011-06</x:v>
      </x:c>
      <x:c r="C455" s="2" t="str">
        <x:v>Switzerland</x:v>
      </x:c>
      <x:c r="D455" s="11" t="n">
        <x:v>7904.15</x:v>
      </x:c>
      <x:c r="E455" s="11" t="n">
        <x:v>21.95</x:v>
      </x:c>
      <x:c r="F455" s="2" t="n">
        <x:v>4</x:v>
      </x:c>
      <x:c r="G455" s="2"/>
      <x:c r="H455" s="2"/>
      <x:c r="I455" s="2"/>
      <x:c r="J455" s="2"/>
      <x:c r="K455" s="2"/>
      <x:c r="L455" s="2"/>
      <x:c r="M455" s="2"/>
      <x:c r="N455" s="2"/>
      <x:c r="O455" s="2"/>
      <x:c r="P455" s="2"/>
    </x:row>
    <x:row r="456" ht="22" customHeight="1">
      <x:c r="A456" s="12" t="n">
        <x:v>40695</x:v>
      </x:c>
      <x:c r="B456" s="2" t="str">
        <x:v>2011-06</x:v>
      </x:c>
      <x:c r="C456" s="2" t="str">
        <x:v>United Kingdom</x:v>
      </x:c>
      <x:c r="D456" s="11" t="n">
        <x:v>619510.67</x:v>
      </x:c>
      <x:c r="E456" s="11" t="n">
        <x:v>65032.32</x:v>
      </x:c>
      <x:c r="F456" s="2" t="n">
        <x:v>1383</x:v>
      </x:c>
      <x:c r="G456" s="2"/>
      <x:c r="H456" s="2"/>
      <x:c r="I456" s="2"/>
      <x:c r="J456" s="2"/>
      <x:c r="K456" s="2"/>
      <x:c r="L456" s="2"/>
      <x:c r="M456" s="2"/>
      <x:c r="N456" s="2"/>
      <x:c r="O456" s="2"/>
      <x:c r="P456" s="2"/>
    </x:row>
    <x:row r="457" ht="22" customHeight="1">
      <x:c r="A457" s="12" t="n">
        <x:v>40695</x:v>
      </x:c>
      <x:c r="B457" s="2" t="str">
        <x:v>2011-06</x:v>
      </x:c>
      <x:c r="C457" s="2" t="str">
        <x:v>Unspecified</x:v>
      </x:c>
      <x:c r="D457" s="11" t="n">
        <x:v>185.78</x:v>
      </x:c>
      <x:c r="E457" s="11" t="n">
        <x:v>0</x:v>
      </x:c>
      <x:c r="F457" s="2" t="n">
        <x:v>1</x:v>
      </x:c>
      <x:c r="G457" s="2"/>
      <x:c r="H457" s="2"/>
      <x:c r="I457" s="2"/>
      <x:c r="J457" s="2"/>
      <x:c r="K457" s="2"/>
      <x:c r="L457" s="2"/>
      <x:c r="M457" s="2"/>
      <x:c r="N457" s="2"/>
      <x:c r="O457" s="2"/>
      <x:c r="P457" s="2"/>
    </x:row>
    <x:row r="458" ht="22" customHeight="1">
      <x:c r="A458" s="12" t="n">
        <x:v>40725</x:v>
      </x:c>
      <x:c r="B458" s="2" t="str">
        <x:v>2011-07</x:v>
      </x:c>
      <x:c r="C458" s="2" t="str">
        <x:v>Australia</x:v>
      </x:c>
      <x:c r="D458" s="11" t="n">
        <x:v>4964.38</x:v>
      </x:c>
      <x:c r="E458" s="11" t="n">
        <x:v>196.81</x:v>
      </x:c>
      <x:c r="F458" s="2" t="n">
        <x:v>7</x:v>
      </x:c>
      <x:c r="G458" s="2"/>
      <x:c r="H458" s="2"/>
      <x:c r="I458" s="2"/>
      <x:c r="J458" s="2"/>
      <x:c r="K458" s="2"/>
      <x:c r="L458" s="2"/>
      <x:c r="M458" s="2"/>
      <x:c r="N458" s="2"/>
      <x:c r="O458" s="2"/>
      <x:c r="P458" s="2"/>
    </x:row>
    <x:row r="459" ht="22" customHeight="1">
      <x:c r="A459" s="12" t="n">
        <x:v>40725</x:v>
      </x:c>
      <x:c r="B459" s="2" t="str">
        <x:v>2011-07</x:v>
      </x:c>
      <x:c r="C459" s="2" t="str">
        <x:v>Austria</x:v>
      </x:c>
      <x:c r="D459" s="11" t="n">
        <x:v>1191.95</x:v>
      </x:c>
      <x:c r="E459" s="11" t="n">
        <x:v>0</x:v>
      </x:c>
      <x:c r="F459" s="2" t="n">
        <x:v>2</x:v>
      </x:c>
      <x:c r="G459" s="2"/>
      <x:c r="H459" s="2"/>
      <x:c r="I459" s="2"/>
      <x:c r="J459" s="2"/>
      <x:c r="K459" s="2"/>
      <x:c r="L459" s="2"/>
      <x:c r="M459" s="2"/>
      <x:c r="N459" s="2"/>
      <x:c r="O459" s="2"/>
      <x:c r="P459" s="2"/>
    </x:row>
    <x:row r="460" ht="22" customHeight="1">
      <x:c r="A460" s="12" t="n">
        <x:v>40725</x:v>
      </x:c>
      <x:c r="B460" s="2" t="str">
        <x:v>2011-07</x:v>
      </x:c>
      <x:c r="C460" s="2" t="str">
        <x:v>Belgium</x:v>
      </x:c>
      <x:c r="D460" s="11" t="n">
        <x:v>2475.57</x:v>
      </x:c>
      <x:c r="E460" s="11" t="n">
        <x:v>1.95</x:v>
      </x:c>
      <x:c r="F460" s="2" t="n">
        <x:v>5</x:v>
      </x:c>
      <x:c r="G460" s="2"/>
      <x:c r="H460" s="2"/>
      <x:c r="I460" s="2"/>
      <x:c r="J460" s="2"/>
      <x:c r="K460" s="2"/>
      <x:c r="L460" s="2"/>
      <x:c r="M460" s="2"/>
      <x:c r="N460" s="2"/>
      <x:c r="O460" s="2"/>
      <x:c r="P460" s="2"/>
    </x:row>
    <x:row r="461" ht="22" customHeight="1">
      <x:c r="A461" s="12" t="n">
        <x:v>40725</x:v>
      </x:c>
      <x:c r="B461" s="2" t="str">
        <x:v>2011-07</x:v>
      </x:c>
      <x:c r="C461" s="2" t="str">
        <x:v>Canada</x:v>
      </x:c>
      <x:c r="D461" s="11" t="n">
        <x:v>1768.58</x:v>
      </x:c>
      <x:c r="E461" s="11" t="n">
        <x:v>0</x:v>
      </x:c>
      <x:c r="F461" s="2" t="n">
        <x:v>2</x:v>
      </x:c>
      <x:c r="G461" s="2"/>
      <x:c r="H461" s="2"/>
      <x:c r="I461" s="2"/>
      <x:c r="J461" s="2"/>
      <x:c r="K461" s="2"/>
      <x:c r="L461" s="2"/>
      <x:c r="M461" s="2"/>
      <x:c r="N461" s="2"/>
      <x:c r="O461" s="2"/>
      <x:c r="P461" s="2"/>
    </x:row>
    <x:row r="462" ht="22" customHeight="1">
      <x:c r="A462" s="12" t="n">
        <x:v>40725</x:v>
      </x:c>
      <x:c r="B462" s="2" t="str">
        <x:v>2011-07</x:v>
      </x:c>
      <x:c r="C462" s="2" t="str">
        <x:v>Denmark</x:v>
      </x:c>
      <x:c r="D462" s="11" t="n">
        <x:v>376.24</x:v>
      </x:c>
      <x:c r="E462" s="11" t="n">
        <x:v>0</x:v>
      </x:c>
      <x:c r="F462" s="2" t="n">
        <x:v>1</x:v>
      </x:c>
      <x:c r="G462" s="2"/>
      <x:c r="H462" s="2"/>
      <x:c r="I462" s="2"/>
      <x:c r="J462" s="2"/>
      <x:c r="K462" s="2"/>
      <x:c r="L462" s="2"/>
      <x:c r="M462" s="2"/>
      <x:c r="N462" s="2"/>
      <x:c r="O462" s="2"/>
      <x:c r="P462" s="2"/>
    </x:row>
    <x:row r="463" ht="22" customHeight="1">
      <x:c r="A463" s="12" t="n">
        <x:v>40725</x:v>
      </x:c>
      <x:c r="B463" s="2" t="str">
        <x:v>2011-07</x:v>
      </x:c>
      <x:c r="C463" s="2" t="str">
        <x:v>EIRE</x:v>
      </x:c>
      <x:c r="D463" s="11" t="n">
        <x:v>42789.85</x:v>
      </x:c>
      <x:c r="E463" s="11" t="n">
        <x:v>49.2</x:v>
      </x:c>
      <x:c r="F463" s="2" t="n">
        <x:v>27</x:v>
      </x:c>
      <x:c r="G463" s="2"/>
      <x:c r="H463" s="2"/>
      <x:c r="I463" s="2"/>
      <x:c r="J463" s="2"/>
      <x:c r="K463" s="2"/>
      <x:c r="L463" s="2"/>
      <x:c r="M463" s="2"/>
      <x:c r="N463" s="2"/>
      <x:c r="O463" s="2"/>
      <x:c r="P463" s="2"/>
    </x:row>
    <x:row r="464" ht="22" customHeight="1">
      <x:c r="A464" s="12" t="n">
        <x:v>40725</x:v>
      </x:c>
      <x:c r="B464" s="2" t="str">
        <x:v>2011-07</x:v>
      </x:c>
      <x:c r="C464" s="2" t="str">
        <x:v>European Community</x:v>
      </x:c>
      <x:c r="D464" s="11" t="n">
        <x:v>676.8</x:v>
      </x:c>
      <x:c r="E464" s="11" t="n">
        <x:v>0</x:v>
      </x:c>
      <x:c r="F464" s="2" t="n">
        <x:v>1</x:v>
      </x:c>
      <x:c r="G464" s="2"/>
      <x:c r="H464" s="2"/>
      <x:c r="I464" s="2"/>
      <x:c r="J464" s="2"/>
      <x:c r="K464" s="2"/>
      <x:c r="L464" s="2"/>
      <x:c r="M464" s="2"/>
      <x:c r="N464" s="2"/>
      <x:c r="O464" s="2"/>
      <x:c r="P464" s="2"/>
    </x:row>
    <x:row r="465" ht="22" customHeight="1">
      <x:c r="A465" s="12" t="n">
        <x:v>40725</x:v>
      </x:c>
      <x:c r="B465" s="2" t="str">
        <x:v>2011-07</x:v>
      </x:c>
      <x:c r="C465" s="2" t="str">
        <x:v>Finland</x:v>
      </x:c>
      <x:c r="D465" s="11" t="n">
        <x:v>2996.73</x:v>
      </x:c>
      <x:c r="E465" s="11" t="n">
        <x:v>0</x:v>
      </x:c>
      <x:c r="F465" s="2" t="n">
        <x:v>3</x:v>
      </x:c>
      <x:c r="G465" s="2"/>
      <x:c r="H465" s="2"/>
      <x:c r="I465" s="2"/>
      <x:c r="J465" s="2"/>
      <x:c r="K465" s="2"/>
      <x:c r="L465" s="2"/>
      <x:c r="M465" s="2"/>
      <x:c r="N465" s="2"/>
      <x:c r="O465" s="2"/>
      <x:c r="P465" s="2"/>
    </x:row>
    <x:row r="466" ht="22" customHeight="1">
      <x:c r="A466" s="12" t="n">
        <x:v>40725</x:v>
      </x:c>
      <x:c r="B466" s="2" t="str">
        <x:v>2011-07</x:v>
      </x:c>
      <x:c r="C466" s="2" t="str">
        <x:v>France</x:v>
      </x:c>
      <x:c r="D466" s="11" t="n">
        <x:v>10000.19</x:v>
      </x:c>
      <x:c r="E466" s="11" t="n">
        <x:v>111.19999999999999</x:v>
      </x:c>
      <x:c r="F466" s="2" t="n">
        <x:v>22</x:v>
      </x:c>
      <x:c r="G466" s="2"/>
      <x:c r="H466" s="2"/>
      <x:c r="I466" s="2"/>
      <x:c r="J466" s="2"/>
      <x:c r="K466" s="2"/>
      <x:c r="L466" s="2"/>
      <x:c r="M466" s="2"/>
      <x:c r="N466" s="2"/>
      <x:c r="O466" s="2"/>
      <x:c r="P466" s="2"/>
    </x:row>
    <x:row r="467" ht="22" customHeight="1">
      <x:c r="A467" s="12" t="n">
        <x:v>40725</x:v>
      </x:c>
      <x:c r="B467" s="2" t="str">
        <x:v>2011-07</x:v>
      </x:c>
      <x:c r="C467" s="2" t="str">
        <x:v>Germany</x:v>
      </x:c>
      <x:c r="D467" s="11" t="n">
        <x:v>16440.98</x:v>
      </x:c>
      <x:c r="E467" s="11" t="n">
        <x:v>719.32</x:v>
      </x:c>
      <x:c r="F467" s="2" t="n">
        <x:v>33</x:v>
      </x:c>
      <x:c r="G467" s="2"/>
      <x:c r="H467" s="2"/>
      <x:c r="I467" s="2"/>
      <x:c r="J467" s="2"/>
      <x:c r="K467" s="2"/>
      <x:c r="L467" s="2"/>
      <x:c r="M467" s="2"/>
      <x:c r="N467" s="2"/>
      <x:c r="O467" s="2"/>
      <x:c r="P467" s="2"/>
    </x:row>
    <x:row r="468" ht="22" customHeight="1">
      <x:c r="A468" s="12" t="n">
        <x:v>40725</x:v>
      </x:c>
      <x:c r="B468" s="2" t="str">
        <x:v>2011-07</x:v>
      </x:c>
      <x:c r="C468" s="2" t="str">
        <x:v>Greece</x:v>
      </x:c>
      <x:c r="D468" s="11" t="n">
        <x:v>421.24</x:v>
      </x:c>
      <x:c r="E468" s="11" t="n">
        <x:v>50</x:v>
      </x:c>
      <x:c r="F468" s="2" t="n">
        <x:v>1</x:v>
      </x:c>
      <x:c r="G468" s="2"/>
      <x:c r="H468" s="2"/>
      <x:c r="I468" s="2"/>
      <x:c r="J468" s="2"/>
      <x:c r="K468" s="2"/>
      <x:c r="L468" s="2"/>
      <x:c r="M468" s="2"/>
      <x:c r="N468" s="2"/>
      <x:c r="O468" s="2"/>
      <x:c r="P468" s="2"/>
    </x:row>
    <x:row r="469" ht="22" customHeight="1">
      <x:c r="A469" s="12" t="n">
        <x:v>40725</x:v>
      </x:c>
      <x:c r="B469" s="2" t="str">
        <x:v>2011-07</x:v>
      </x:c>
      <x:c r="C469" s="2" t="str">
        <x:v>Israel</x:v>
      </x:c>
      <x:c r="D469" s="11" t="n">
        <x:v>1430.75</x:v>
      </x:c>
      <x:c r="E469" s="11" t="n">
        <x:v>0</x:v>
      </x:c>
      <x:c r="F469" s="2" t="n">
        <x:v>1</x:v>
      </x:c>
      <x:c r="G469" s="2"/>
      <x:c r="H469" s="2"/>
      <x:c r="I469" s="2"/>
      <x:c r="J469" s="2"/>
      <x:c r="K469" s="2"/>
      <x:c r="L469" s="2"/>
      <x:c r="M469" s="2"/>
      <x:c r="N469" s="2"/>
      <x:c r="O469" s="2"/>
      <x:c r="P469" s="2"/>
    </x:row>
    <x:row r="470" ht="22" customHeight="1">
      <x:c r="A470" s="12" t="n">
        <x:v>40725</x:v>
      </x:c>
      <x:c r="B470" s="2" t="str">
        <x:v>2011-07</x:v>
      </x:c>
      <x:c r="C470" s="2" t="str">
        <x:v>Italy</x:v>
      </x:c>
      <x:c r="D470" s="11" t="n">
        <x:v>147.1</x:v>
      </x:c>
      <x:c r="E470" s="11" t="n">
        <x:v>0</x:v>
      </x:c>
      <x:c r="F470" s="2" t="n">
        <x:v>1</x:v>
      </x:c>
      <x:c r="G470" s="2"/>
      <x:c r="H470" s="2"/>
      <x:c r="I470" s="2"/>
      <x:c r="J470" s="2"/>
      <x:c r="K470" s="2"/>
      <x:c r="L470" s="2"/>
      <x:c r="M470" s="2"/>
      <x:c r="N470" s="2"/>
      <x:c r="O470" s="2"/>
      <x:c r="P470" s="2"/>
    </x:row>
    <x:row r="471" ht="22" customHeight="1">
      <x:c r="A471" s="12" t="n">
        <x:v>40725</x:v>
      </x:c>
      <x:c r="B471" s="2" t="str">
        <x:v>2011-07</x:v>
      </x:c>
      <x:c r="C471" s="2" t="str">
        <x:v>Japan</x:v>
      </x:c>
      <x:c r="D471" s="11" t="n">
        <x:v>3854.4</x:v>
      </x:c>
      <x:c r="E471" s="11" t="n">
        <x:v>0</x:v>
      </x:c>
      <x:c r="F471" s="2" t="n">
        <x:v>2</x:v>
      </x:c>
      <x:c r="G471" s="2"/>
      <x:c r="H471" s="2"/>
      <x:c r="I471" s="2"/>
      <x:c r="J471" s="2"/>
      <x:c r="K471" s="2"/>
      <x:c r="L471" s="2"/>
      <x:c r="M471" s="2"/>
      <x:c r="N471" s="2"/>
      <x:c r="O471" s="2"/>
      <x:c r="P471" s="2"/>
    </x:row>
    <x:row r="472" ht="22" customHeight="1">
      <x:c r="A472" s="12" t="n">
        <x:v>40725</x:v>
      </x:c>
      <x:c r="B472" s="2" t="str">
        <x:v>2011-07</x:v>
      </x:c>
      <x:c r="C472" s="2" t="str">
        <x:v>Netherlands</x:v>
      </x:c>
      <x:c r="D472" s="11" t="n">
        <x:v>26.02</x:v>
      </x:c>
      <x:c r="E472" s="11" t="n">
        <x:v>0</x:v>
      </x:c>
      <x:c r="F472" s="2" t="n">
        <x:v>1</x:v>
      </x:c>
      <x:c r="G472" s="2"/>
      <x:c r="H472" s="2"/>
      <x:c r="I472" s="2"/>
      <x:c r="J472" s="2"/>
      <x:c r="K472" s="2"/>
      <x:c r="L472" s="2"/>
      <x:c r="M472" s="2"/>
      <x:c r="N472" s="2"/>
      <x:c r="O472" s="2"/>
      <x:c r="P472" s="2"/>
    </x:row>
    <x:row r="473" ht="22" customHeight="1">
      <x:c r="A473" s="12" t="n">
        <x:v>40725</x:v>
      </x:c>
      <x:c r="B473" s="2" t="str">
        <x:v>2011-07</x:v>
      </x:c>
      <x:c r="C473" s="2" t="str">
        <x:v>Norway</x:v>
      </x:c>
      <x:c r="D473" s="11" t="n">
        <x:v>890.0699999999999</x:v>
      </x:c>
      <x:c r="E473" s="11" t="n">
        <x:v>0</x:v>
      </x:c>
      <x:c r="F473" s="2" t="n">
        <x:v>1</x:v>
      </x:c>
      <x:c r="G473" s="2"/>
      <x:c r="H473" s="2"/>
      <x:c r="I473" s="2"/>
      <x:c r="J473" s="2"/>
      <x:c r="K473" s="2"/>
      <x:c r="L473" s="2"/>
      <x:c r="M473" s="2"/>
      <x:c r="N473" s="2"/>
      <x:c r="O473" s="2"/>
      <x:c r="P473" s="2"/>
    </x:row>
    <x:row r="474" ht="22" customHeight="1">
      <x:c r="A474" s="12" t="n">
        <x:v>40725</x:v>
      </x:c>
      <x:c r="B474" s="2" t="str">
        <x:v>2011-07</x:v>
      </x:c>
      <x:c r="C474" s="2" t="str">
        <x:v>Poland</x:v>
      </x:c>
      <x:c r="D474" s="11" t="n">
        <x:v>687.3</x:v>
      </x:c>
      <x:c r="E474" s="11" t="n">
        <x:v>8.850000000000001</x:v>
      </x:c>
      <x:c r="F474" s="2" t="n">
        <x:v>2</x:v>
      </x:c>
      <x:c r="G474" s="2"/>
      <x:c r="H474" s="2"/>
      <x:c r="I474" s="2"/>
      <x:c r="J474" s="2"/>
      <x:c r="K474" s="2"/>
      <x:c r="L474" s="2"/>
      <x:c r="M474" s="2"/>
      <x:c r="N474" s="2"/>
      <x:c r="O474" s="2"/>
      <x:c r="P474" s="2"/>
    </x:row>
    <x:row r="475" ht="22" customHeight="1">
      <x:c r="A475" s="12" t="n">
        <x:v>40725</x:v>
      </x:c>
      <x:c r="B475" s="2" t="str">
        <x:v>2011-07</x:v>
      </x:c>
      <x:c r="C475" s="2" t="str">
        <x:v>Portugal</x:v>
      </x:c>
      <x:c r="D475" s="11" t="n">
        <x:v>2287.85</x:v>
      </x:c>
      <x:c r="E475" s="11" t="n">
        <x:v>0</x:v>
      </x:c>
      <x:c r="F475" s="2" t="n">
        <x:v>3</x:v>
      </x:c>
      <x:c r="G475" s="2"/>
      <x:c r="H475" s="2"/>
      <x:c r="I475" s="2"/>
      <x:c r="J475" s="2"/>
      <x:c r="K475" s="2"/>
      <x:c r="L475" s="2"/>
      <x:c r="M475" s="2"/>
      <x:c r="N475" s="2"/>
      <x:c r="O475" s="2"/>
      <x:c r="P475" s="2"/>
    </x:row>
    <x:row r="476" ht="22" customHeight="1">
      <x:c r="A476" s="12" t="n">
        <x:v>40725</x:v>
      </x:c>
      <x:c r="B476" s="2" t="str">
        <x:v>2011-07</x:v>
      </x:c>
      <x:c r="C476" s="2" t="str">
        <x:v>Singapore</x:v>
      </x:c>
      <x:c r="D476" s="11" t="n">
        <x:v>3949.32</x:v>
      </x:c>
      <x:c r="E476" s="11" t="n">
        <x:v>0</x:v>
      </x:c>
      <x:c r="F476" s="2" t="n">
        <x:v>1</x:v>
      </x:c>
      <x:c r="G476" s="2"/>
      <x:c r="H476" s="2"/>
      <x:c r="I476" s="2"/>
      <x:c r="J476" s="2"/>
      <x:c r="K476" s="2"/>
      <x:c r="L476" s="2"/>
      <x:c r="M476" s="2"/>
      <x:c r="N476" s="2"/>
      <x:c r="O476" s="2"/>
      <x:c r="P476" s="2"/>
    </x:row>
    <x:row r="477" ht="22" customHeight="1">
      <x:c r="A477" s="12" t="n">
        <x:v>40725</x:v>
      </x:c>
      <x:c r="B477" s="2" t="str">
        <x:v>2011-07</x:v>
      </x:c>
      <x:c r="C477" s="2" t="str">
        <x:v>Spain</x:v>
      </x:c>
      <x:c r="D477" s="11" t="n">
        <x:v>7624.92</x:v>
      </x:c>
      <x:c r="E477" s="11" t="n">
        <x:v>46.75</x:v>
      </x:c>
      <x:c r="F477" s="2" t="n">
        <x:v>9</x:v>
      </x:c>
      <x:c r="G477" s="2"/>
      <x:c r="H477" s="2"/>
      <x:c r="I477" s="2"/>
      <x:c r="J477" s="2"/>
      <x:c r="K477" s="2"/>
      <x:c r="L477" s="2"/>
      <x:c r="M477" s="2"/>
      <x:c r="N477" s="2"/>
      <x:c r="O477" s="2"/>
      <x:c r="P477" s="2"/>
    </x:row>
    <x:row r="478" ht="22" customHeight="1">
      <x:c r="A478" s="12" t="n">
        <x:v>40725</x:v>
      </x:c>
      <x:c r="B478" s="2" t="str">
        <x:v>2011-07</x:v>
      </x:c>
      <x:c r="C478" s="2" t="str">
        <x:v>Sweden</x:v>
      </x:c>
      <x:c r="D478" s="11" t="n">
        <x:v>6802.09</x:v>
      </x:c>
      <x:c r="E478" s="11" t="n">
        <x:v>0</x:v>
      </x:c>
      <x:c r="F478" s="2" t="n">
        <x:v>3</x:v>
      </x:c>
      <x:c r="G478" s="2"/>
      <x:c r="H478" s="2"/>
      <x:c r="I478" s="2"/>
      <x:c r="J478" s="2"/>
      <x:c r="K478" s="2"/>
      <x:c r="L478" s="2"/>
      <x:c r="M478" s="2"/>
      <x:c r="N478" s="2"/>
      <x:c r="O478" s="2"/>
      <x:c r="P478" s="2"/>
    </x:row>
    <x:row r="479" ht="22" customHeight="1">
      <x:c r="A479" s="12" t="n">
        <x:v>40725</x:v>
      </x:c>
      <x:c r="B479" s="2" t="str">
        <x:v>2011-07</x:v>
      </x:c>
      <x:c r="C479" s="2" t="str">
        <x:v>Switzerland</x:v>
      </x:c>
      <x:c r="D479" s="11" t="n">
        <x:v>3998.61</x:v>
      </x:c>
      <x:c r="E479" s="11" t="n">
        <x:v>222</x:v>
      </x:c>
      <x:c r="F479" s="2" t="n">
        <x:v>6</x:v>
      </x:c>
      <x:c r="G479" s="2"/>
      <x:c r="H479" s="2"/>
      <x:c r="I479" s="2"/>
      <x:c r="J479" s="2"/>
      <x:c r="K479" s="2"/>
      <x:c r="L479" s="2"/>
      <x:c r="M479" s="2"/>
      <x:c r="N479" s="2"/>
      <x:c r="O479" s="2"/>
      <x:c r="P479" s="2"/>
    </x:row>
    <x:row r="480" ht="22" customHeight="1">
      <x:c r="A480" s="12" t="n">
        <x:v>40725</x:v>
      </x:c>
      <x:c r="B480" s="2" t="str">
        <x:v>2011-07</x:v>
      </x:c>
      <x:c r="C480" s="2" t="str">
        <x:v>United Kingdom</x:v>
      </x:c>
      <x:c r="D480" s="11" t="n">
        <x:v>601994.841</x:v>
      </x:c>
      <x:c r="E480" s="11" t="n">
        <x:v>36515</x:v>
      </x:c>
      <x:c r="F480" s="2" t="n">
        <x:v>1337</x:v>
      </x:c>
      <x:c r="G480" s="2"/>
      <x:c r="H480" s="2"/>
      <x:c r="I480" s="2"/>
      <x:c r="J480" s="2"/>
      <x:c r="K480" s="2"/>
      <x:c r="L480" s="2"/>
      <x:c r="M480" s="2"/>
      <x:c r="N480" s="2"/>
      <x:c r="O480" s="2"/>
      <x:c r="P480" s="2"/>
    </x:row>
    <x:row r="481" ht="22" customHeight="1">
      <x:c r="A481" s="12" t="n">
        <x:v>40725</x:v>
      </x:c>
      <x:c r="B481" s="2" t="str">
        <x:v>2011-07</x:v>
      </x:c>
      <x:c r="C481" s="2" t="str">
        <x:v>Unspecified</x:v>
      </x:c>
      <x:c r="D481" s="11" t="n">
        <x:v>1425.41</x:v>
      </x:c>
      <x:c r="E481" s="11" t="n">
        <x:v>0</x:v>
      </x:c>
      <x:c r="F481" s="2" t="n">
        <x:v>4</x:v>
      </x:c>
      <x:c r="G481" s="2"/>
      <x:c r="H481" s="2"/>
      <x:c r="I481" s="2"/>
      <x:c r="J481" s="2"/>
      <x:c r="K481" s="2"/>
      <x:c r="L481" s="2"/>
      <x:c r="M481" s="2"/>
      <x:c r="N481" s="2"/>
      <x:c r="O481" s="2"/>
      <x:c r="P481" s="2"/>
    </x:row>
    <x:row r="482" ht="22" customHeight="1">
      <x:c r="A482" s="12" t="n">
        <x:v>40756</x:v>
      </x:c>
      <x:c r="B482" s="2" t="str">
        <x:v>2011-08</x:v>
      </x:c>
      <x:c r="C482" s="2" t="str">
        <x:v>Australia</x:v>
      </x:c>
      <x:c r="D482" s="11" t="n">
        <x:v>22489.2</x:v>
      </x:c>
      <x:c r="E482" s="11" t="n">
        <x:v>0</x:v>
      </x:c>
      <x:c r="F482" s="2" t="n">
        <x:v>2</x:v>
      </x:c>
      <x:c r="G482" s="2"/>
      <x:c r="H482" s="2"/>
      <x:c r="I482" s="2"/>
      <x:c r="J482" s="2"/>
      <x:c r="K482" s="2"/>
      <x:c r="L482" s="2"/>
      <x:c r="M482" s="2"/>
      <x:c r="N482" s="2"/>
      <x:c r="O482" s="2"/>
      <x:c r="P482" s="2"/>
    </x:row>
    <x:row r="483" ht="22" customHeight="1">
      <x:c r="A483" s="12" t="n">
        <x:v>40756</x:v>
      </x:c>
      <x:c r="B483" s="2" t="str">
        <x:v>2011-08</x:v>
      </x:c>
      <x:c r="C483" s="2" t="str">
        <x:v>Austria</x:v>
      </x:c>
      <x:c r="D483" s="11" t="n">
        <x:v>1516.08</x:v>
      </x:c>
      <x:c r="E483" s="11" t="n">
        <x:v>0</x:v>
      </x:c>
      <x:c r="F483" s="2" t="n">
        <x:v>2</x:v>
      </x:c>
      <x:c r="G483" s="2"/>
      <x:c r="H483" s="2"/>
      <x:c r="I483" s="2"/>
      <x:c r="J483" s="2"/>
      <x:c r="K483" s="2"/>
      <x:c r="L483" s="2"/>
      <x:c r="M483" s="2"/>
      <x:c r="N483" s="2"/>
      <x:c r="O483" s="2"/>
      <x:c r="P483" s="2"/>
    </x:row>
    <x:row r="484" ht="22" customHeight="1">
      <x:c r="A484" s="12" t="n">
        <x:v>40756</x:v>
      </x:c>
      <x:c r="B484" s="2" t="str">
        <x:v>2011-08</x:v>
      </x:c>
      <x:c r="C484" s="2" t="str">
        <x:v>Belgium</x:v>
      </x:c>
      <x:c r="D484" s="11" t="n">
        <x:v>3554.02</x:v>
      </x:c>
      <x:c r="E484" s="11" t="n">
        <x:v>17.9</x:v>
      </x:c>
      <x:c r="F484" s="2" t="n">
        <x:v>9</x:v>
      </x:c>
      <x:c r="G484" s="2"/>
      <x:c r="H484" s="2"/>
      <x:c r="I484" s="2"/>
      <x:c r="J484" s="2"/>
      <x:c r="K484" s="2"/>
      <x:c r="L484" s="2"/>
      <x:c r="M484" s="2"/>
      <x:c r="N484" s="2"/>
      <x:c r="O484" s="2"/>
      <x:c r="P484" s="2"/>
    </x:row>
    <x:row r="485" ht="22" customHeight="1">
      <x:c r="A485" s="12" t="n">
        <x:v>40756</x:v>
      </x:c>
      <x:c r="B485" s="2" t="str">
        <x:v>2011-08</x:v>
      </x:c>
      <x:c r="C485" s="2" t="str">
        <x:v>Canada</x:v>
      </x:c>
      <x:c r="D485" s="11" t="n">
        <x:v>51.559999999999995</x:v>
      </x:c>
      <x:c r="E485" s="11" t="n">
        <x:v>0</x:v>
      </x:c>
      <x:c r="F485" s="2" t="n">
        <x:v>1</x:v>
      </x:c>
      <x:c r="G485" s="2"/>
      <x:c r="H485" s="2"/>
      <x:c r="I485" s="2"/>
      <x:c r="J485" s="2"/>
      <x:c r="K485" s="2"/>
      <x:c r="L485" s="2"/>
      <x:c r="M485" s="2"/>
      <x:c r="N485" s="2"/>
      <x:c r="O485" s="2"/>
      <x:c r="P485" s="2"/>
    </x:row>
    <x:row r="486" ht="22" customHeight="1">
      <x:c r="A486" s="12" t="n">
        <x:v>40756</x:v>
      </x:c>
      <x:c r="B486" s="2" t="str">
        <x:v>2011-08</x:v>
      </x:c>
      <x:c r="C486" s="2" t="str">
        <x:v>Channel Islands</x:v>
      </x:c>
      <x:c r="D486" s="11" t="n">
        <x:v>4896.78</x:v>
      </x:c>
      <x:c r="E486" s="11" t="n">
        <x:v>4.25</x:v>
      </x:c>
      <x:c r="F486" s="2" t="n">
        <x:v>5</x:v>
      </x:c>
      <x:c r="G486" s="2"/>
      <x:c r="H486" s="2"/>
      <x:c r="I486" s="2"/>
      <x:c r="J486" s="2"/>
      <x:c r="K486" s="2"/>
      <x:c r="L486" s="2"/>
      <x:c r="M486" s="2"/>
      <x:c r="N486" s="2"/>
      <x:c r="O486" s="2"/>
      <x:c r="P486" s="2"/>
    </x:row>
    <x:row r="487" ht="22" customHeight="1">
      <x:c r="A487" s="12" t="n">
        <x:v>40756</x:v>
      </x:c>
      <x:c r="B487" s="2" t="str">
        <x:v>2011-08</x:v>
      </x:c>
      <x:c r="C487" s="2" t="str">
        <x:v>Denmark</x:v>
      </x:c>
      <x:c r="D487" s="11" t="n">
        <x:v>213.15</x:v>
      </x:c>
      <x:c r="E487" s="11" t="n">
        <x:v>134.55</x:v>
      </x:c>
      <x:c r="F487" s="2" t="n">
        <x:v>1</x:v>
      </x:c>
      <x:c r="G487" s="2"/>
      <x:c r="H487" s="2"/>
      <x:c r="I487" s="2"/>
      <x:c r="J487" s="2"/>
      <x:c r="K487" s="2"/>
      <x:c r="L487" s="2"/>
      <x:c r="M487" s="2"/>
      <x:c r="N487" s="2"/>
      <x:c r="O487" s="2"/>
      <x:c r="P487" s="2"/>
    </x:row>
    <x:row r="488" ht="22" customHeight="1">
      <x:c r="A488" s="12" t="n">
        <x:v>40756</x:v>
      </x:c>
      <x:c r="B488" s="2" t="str">
        <x:v>2011-08</x:v>
      </x:c>
      <x:c r="C488" s="2" t="str">
        <x:v>EIRE</x:v>
      </x:c>
      <x:c r="D488" s="11" t="n">
        <x:v>18353.75</x:v>
      </x:c>
      <x:c r="E488" s="11" t="n">
        <x:v>6196.28</x:v>
      </x:c>
      <x:c r="F488" s="2" t="n">
        <x:v>19</x:v>
      </x:c>
      <x:c r="G488" s="2"/>
      <x:c r="H488" s="2"/>
      <x:c r="I488" s="2"/>
      <x:c r="J488" s="2"/>
      <x:c r="K488" s="2"/>
      <x:c r="L488" s="2"/>
      <x:c r="M488" s="2"/>
      <x:c r="N488" s="2"/>
      <x:c r="O488" s="2"/>
      <x:c r="P488" s="2"/>
    </x:row>
    <x:row r="489" ht="22" customHeight="1">
      <x:c r="A489" s="12" t="n">
        <x:v>40756</x:v>
      </x:c>
      <x:c r="B489" s="2" t="str">
        <x:v>2011-08</x:v>
      </x:c>
      <x:c r="C489" s="2" t="str">
        <x:v>Finland</x:v>
      </x:c>
      <x:c r="D489" s="11" t="n">
        <x:v>1376.5</x:v>
      </x:c>
      <x:c r="E489" s="11" t="n">
        <x:v>4.95</x:v>
      </x:c>
      <x:c r="F489" s="2" t="n">
        <x:v>3</x:v>
      </x:c>
      <x:c r="G489" s="2"/>
      <x:c r="H489" s="2"/>
      <x:c r="I489" s="2"/>
      <x:c r="J489" s="2"/>
      <x:c r="K489" s="2"/>
      <x:c r="L489" s="2"/>
      <x:c r="M489" s="2"/>
      <x:c r="N489" s="2"/>
      <x:c r="O489" s="2"/>
      <x:c r="P489" s="2"/>
    </x:row>
    <x:row r="490" ht="22" customHeight="1">
      <x:c r="A490" s="12" t="n">
        <x:v>40756</x:v>
      </x:c>
      <x:c r="B490" s="2" t="str">
        <x:v>2011-08</x:v>
      </x:c>
      <x:c r="C490" s="2" t="str">
        <x:v>France</x:v>
      </x:c>
      <x:c r="D490" s="11" t="n">
        <x:v>13810.96</x:v>
      </x:c>
      <x:c r="E490" s="11" t="n">
        <x:v>21.7</x:v>
      </x:c>
      <x:c r="F490" s="2" t="n">
        <x:v>28</x:v>
      </x:c>
      <x:c r="G490" s="2"/>
      <x:c r="H490" s="2"/>
      <x:c r="I490" s="2"/>
      <x:c r="J490" s="2"/>
      <x:c r="K490" s="2"/>
      <x:c r="L490" s="2"/>
      <x:c r="M490" s="2"/>
      <x:c r="N490" s="2"/>
      <x:c r="O490" s="2"/>
      <x:c r="P490" s="2"/>
    </x:row>
    <x:row r="491" ht="22" customHeight="1">
      <x:c r="A491" s="12" t="n">
        <x:v>40756</x:v>
      </x:c>
      <x:c r="B491" s="2" t="str">
        <x:v>2011-08</x:v>
      </x:c>
      <x:c r="C491" s="2" t="str">
        <x:v>Germany</x:v>
      </x:c>
      <x:c r="D491" s="11" t="n">
        <x:v>19220.77</x:v>
      </x:c>
      <x:c r="E491" s="11" t="n">
        <x:v>197.12</x:v>
      </x:c>
      <x:c r="F491" s="2" t="n">
        <x:v>39</x:v>
      </x:c>
      <x:c r="G491" s="2"/>
      <x:c r="H491" s="2"/>
      <x:c r="I491" s="2"/>
      <x:c r="J491" s="2"/>
      <x:c r="K491" s="2"/>
      <x:c r="L491" s="2"/>
      <x:c r="M491" s="2"/>
      <x:c r="N491" s="2"/>
      <x:c r="O491" s="2"/>
      <x:c r="P491" s="2"/>
    </x:row>
    <x:row r="492" ht="22" customHeight="1">
      <x:c r="A492" s="12" t="n">
        <x:v>40756</x:v>
      </x:c>
      <x:c r="B492" s="2" t="str">
        <x:v>2011-08</x:v>
      </x:c>
      <x:c r="C492" s="2" t="str">
        <x:v>Hong Kong</x:v>
      </x:c>
      <x:c r="D492" s="11" t="n">
        <x:v>2813.9500000000003</x:v>
      </x:c>
      <x:c r="E492" s="11" t="n">
        <x:v>0</x:v>
      </x:c>
      <x:c r="F492" s="2" t="n">
        <x:v>2</x:v>
      </x:c>
      <x:c r="G492" s="2"/>
      <x:c r="H492" s="2"/>
      <x:c r="I492" s="2"/>
      <x:c r="J492" s="2"/>
      <x:c r="K492" s="2"/>
      <x:c r="L492" s="2"/>
      <x:c r="M492" s="2"/>
      <x:c r="N492" s="2"/>
      <x:c r="O492" s="2"/>
      <x:c r="P492" s="2"/>
    </x:row>
    <x:row r="493" ht="22" customHeight="1">
      <x:c r="A493" s="12" t="n">
        <x:v>40756</x:v>
      </x:c>
      <x:c r="B493" s="2" t="str">
        <x:v>2011-08</x:v>
      </x:c>
      <x:c r="C493" s="2" t="str">
        <x:v>Iceland</x:v>
      </x:c>
      <x:c r="D493" s="11" t="n">
        <x:v>584.9100000000001</x:v>
      </x:c>
      <x:c r="E493" s="11" t="n">
        <x:v>0</x:v>
      </x:c>
      <x:c r="F493" s="2" t="n">
        <x:v>1</x:v>
      </x:c>
      <x:c r="G493" s="2"/>
      <x:c r="H493" s="2"/>
      <x:c r="I493" s="2"/>
      <x:c r="J493" s="2"/>
      <x:c r="K493" s="2"/>
      <x:c r="L493" s="2"/>
      <x:c r="M493" s="2"/>
      <x:c r="N493" s="2"/>
      <x:c r="O493" s="2"/>
      <x:c r="P493" s="2"/>
    </x:row>
    <x:row r="494" ht="22" customHeight="1">
      <x:c r="A494" s="12" t="n">
        <x:v>40756</x:v>
      </x:c>
      <x:c r="B494" s="2" t="str">
        <x:v>2011-08</x:v>
      </x:c>
      <x:c r="C494" s="2" t="str">
        <x:v>Israel</x:v>
      </x:c>
      <x:c r="D494" s="11" t="n">
        <x:v>4873.8099999999995</x:v>
      </x:c>
      <x:c r="E494" s="11" t="n">
        <x:v>0</x:v>
      </x:c>
      <x:c r="F494" s="2" t="n">
        <x:v>1</x:v>
      </x:c>
      <x:c r="G494" s="2"/>
      <x:c r="H494" s="2"/>
      <x:c r="I494" s="2"/>
      <x:c r="J494" s="2"/>
      <x:c r="K494" s="2"/>
      <x:c r="L494" s="2"/>
      <x:c r="M494" s="2"/>
      <x:c r="N494" s="2"/>
      <x:c r="O494" s="2"/>
      <x:c r="P494" s="2"/>
    </x:row>
    <x:row r="495" ht="22" customHeight="1">
      <x:c r="A495" s="12" t="n">
        <x:v>40756</x:v>
      </x:c>
      <x:c r="B495" s="2" t="str">
        <x:v>2011-08</x:v>
      </x:c>
      <x:c r="C495" s="2" t="str">
        <x:v>Italy</x:v>
      </x:c>
      <x:c r="D495" s="11" t="n">
        <x:v>1990.95</x:v>
      </x:c>
      <x:c r="E495" s="11" t="n">
        <x:v>56.15</x:v>
      </x:c>
      <x:c r="F495" s="2" t="n">
        <x:v>4</x:v>
      </x:c>
      <x:c r="G495" s="2"/>
      <x:c r="H495" s="2"/>
      <x:c r="I495" s="2"/>
      <x:c r="J495" s="2"/>
      <x:c r="K495" s="2"/>
      <x:c r="L495" s="2"/>
      <x:c r="M495" s="2"/>
      <x:c r="N495" s="2"/>
      <x:c r="O495" s="2"/>
      <x:c r="P495" s="2"/>
    </x:row>
    <x:row r="496" ht="22" customHeight="1">
      <x:c r="A496" s="12" t="n">
        <x:v>40756</x:v>
      </x:c>
      <x:c r="B496" s="2" t="str">
        <x:v>2011-08</x:v>
      </x:c>
      <x:c r="C496" s="2" t="str">
        <x:v>Japan</x:v>
      </x:c>
      <x:c r="D496" s="11" t="n">
        <x:v>0</x:v>
      </x:c>
      <x:c r="E496" s="11" t="n">
        <x:v>49.79</x:v>
      </x:c>
      <x:c r="F496" s="2" t="n">
        <x:v>0</x:v>
      </x:c>
      <x:c r="G496" s="2"/>
      <x:c r="H496" s="2"/>
      <x:c r="I496" s="2"/>
      <x:c r="J496" s="2"/>
      <x:c r="K496" s="2"/>
      <x:c r="L496" s="2"/>
      <x:c r="M496" s="2"/>
      <x:c r="N496" s="2"/>
      <x:c r="O496" s="2"/>
      <x:c r="P496" s="2"/>
    </x:row>
    <x:row r="497" ht="22" customHeight="1">
      <x:c r="A497" s="12" t="n">
        <x:v>40756</x:v>
      </x:c>
      <x:c r="B497" s="2" t="str">
        <x:v>2011-08</x:v>
      </x:c>
      <x:c r="C497" s="2" t="str">
        <x:v>Malta</x:v>
      </x:c>
      <x:c r="D497" s="11" t="n">
        <x:v>1119</x:v>
      </x:c>
      <x:c r="E497" s="11" t="n">
        <x:v>15.75</x:v>
      </x:c>
      <x:c r="F497" s="2" t="n">
        <x:v>2</x:v>
      </x:c>
      <x:c r="G497" s="2"/>
      <x:c r="H497" s="2"/>
      <x:c r="I497" s="2"/>
      <x:c r="J497" s="2"/>
      <x:c r="K497" s="2"/>
      <x:c r="L497" s="2"/>
      <x:c r="M497" s="2"/>
      <x:c r="N497" s="2"/>
      <x:c r="O497" s="2"/>
      <x:c r="P497" s="2"/>
    </x:row>
    <x:row r="498" ht="22" customHeight="1">
      <x:c r="A498" s="12" t="n">
        <x:v>40756</x:v>
      </x:c>
      <x:c r="B498" s="2" t="str">
        <x:v>2011-08</x:v>
      </x:c>
      <x:c r="C498" s="2" t="str">
        <x:v>Netherlands</x:v>
      </x:c>
      <x:c r="D498" s="11" t="n">
        <x:v>40327.81</x:v>
      </x:c>
      <x:c r="E498" s="11" t="n">
        <x:v>672</x:v>
      </x:c>
      <x:c r="F498" s="2" t="n">
        <x:v>7</x:v>
      </x:c>
      <x:c r="G498" s="2"/>
      <x:c r="H498" s="2"/>
      <x:c r="I498" s="2"/>
      <x:c r="J498" s="2"/>
      <x:c r="K498" s="2"/>
      <x:c r="L498" s="2"/>
      <x:c r="M498" s="2"/>
      <x:c r="N498" s="2"/>
      <x:c r="O498" s="2"/>
      <x:c r="P498" s="2"/>
    </x:row>
    <x:row r="499" ht="22" customHeight="1">
      <x:c r="A499" s="12" t="n">
        <x:v>40756</x:v>
      </x:c>
      <x:c r="B499" s="2" t="str">
        <x:v>2011-08</x:v>
      </x:c>
      <x:c r="C499" s="2" t="str">
        <x:v>Norway</x:v>
      </x:c>
      <x:c r="D499" s="11" t="n">
        <x:v>2025.81</x:v>
      </x:c>
      <x:c r="E499" s="11" t="n">
        <x:v>41.35</x:v>
      </x:c>
      <x:c r="F499" s="2" t="n">
        <x:v>2</x:v>
      </x:c>
      <x:c r="G499" s="2"/>
      <x:c r="H499" s="2"/>
      <x:c r="I499" s="2"/>
      <x:c r="J499" s="2"/>
      <x:c r="K499" s="2"/>
      <x:c r="L499" s="2"/>
      <x:c r="M499" s="2"/>
      <x:c r="N499" s="2"/>
      <x:c r="O499" s="2"/>
      <x:c r="P499" s="2"/>
    </x:row>
    <x:row r="500" ht="22" customHeight="1">
      <x:c r="A500" s="12" t="n">
        <x:v>40756</x:v>
      </x:c>
      <x:c r="B500" s="2" t="str">
        <x:v>2011-08</x:v>
      </x:c>
      <x:c r="C500" s="2" t="str">
        <x:v>Poland</x:v>
      </x:c>
      <x:c r="D500" s="11" t="n">
        <x:v>401.8</x:v>
      </x:c>
      <x:c r="E500" s="11" t="n">
        <x:v>0</x:v>
      </x:c>
      <x:c r="F500" s="2" t="n">
        <x:v>2</x:v>
      </x:c>
      <x:c r="G500" s="2"/>
      <x:c r="H500" s="2"/>
      <x:c r="I500" s="2"/>
      <x:c r="J500" s="2"/>
      <x:c r="K500" s="2"/>
      <x:c r="L500" s="2"/>
      <x:c r="M500" s="2"/>
      <x:c r="N500" s="2"/>
      <x:c r="O500" s="2"/>
      <x:c r="P500" s="2"/>
    </x:row>
    <x:row r="501" ht="22" customHeight="1">
      <x:c r="A501" s="12" t="n">
        <x:v>40756</x:v>
      </x:c>
      <x:c r="B501" s="2" t="str">
        <x:v>2011-08</x:v>
      </x:c>
      <x:c r="C501" s="2" t="str">
        <x:v>Portugal</x:v>
      </x:c>
      <x:c r="D501" s="11" t="n">
        <x:v>1221.4</x:v>
      </x:c>
      <x:c r="E501" s="11" t="n">
        <x:v>15</x:v>
      </x:c>
      <x:c r="F501" s="2" t="n">
        <x:v>1</x:v>
      </x:c>
      <x:c r="G501" s="2"/>
      <x:c r="H501" s="2"/>
      <x:c r="I501" s="2"/>
      <x:c r="J501" s="2"/>
      <x:c r="K501" s="2"/>
      <x:c r="L501" s="2"/>
      <x:c r="M501" s="2"/>
      <x:c r="N501" s="2"/>
      <x:c r="O501" s="2"/>
      <x:c r="P501" s="2"/>
    </x:row>
    <x:row r="502" ht="22" customHeight="1">
      <x:c r="A502" s="12" t="n">
        <x:v>40756</x:v>
      </x:c>
      <x:c r="B502" s="2" t="str">
        <x:v>2011-08</x:v>
      </x:c>
      <x:c r="C502" s="2" t="str">
        <x:v>Spain</x:v>
      </x:c>
      <x:c r="D502" s="11" t="n">
        <x:v>3346.91</x:v>
      </x:c>
      <x:c r="E502" s="11" t="n">
        <x:v>16.5</x:v>
      </x:c>
      <x:c r="F502" s="2" t="n">
        <x:v>10</x:v>
      </x:c>
      <x:c r="G502" s="2"/>
      <x:c r="H502" s="2"/>
      <x:c r="I502" s="2"/>
      <x:c r="J502" s="2"/>
      <x:c r="K502" s="2"/>
      <x:c r="L502" s="2"/>
      <x:c r="M502" s="2"/>
      <x:c r="N502" s="2"/>
      <x:c r="O502" s="2"/>
      <x:c r="P502" s="2"/>
    </x:row>
    <x:row r="503" ht="22" customHeight="1">
      <x:c r="A503" s="12" t="n">
        <x:v>40756</x:v>
      </x:c>
      <x:c r="B503" s="2" t="str">
        <x:v>2011-08</x:v>
      </x:c>
      <x:c r="C503" s="2" t="str">
        <x:v>Sweden</x:v>
      </x:c>
      <x:c r="D503" s="11" t="n">
        <x:v>1400.8600000000001</x:v>
      </x:c>
      <x:c r="E503" s="11" t="n">
        <x:v>9.899999999999999</x:v>
      </x:c>
      <x:c r="F503" s="2" t="n">
        <x:v>5</x:v>
      </x:c>
      <x:c r="G503" s="2"/>
      <x:c r="H503" s="2"/>
      <x:c r="I503" s="2"/>
      <x:c r="J503" s="2"/>
      <x:c r="K503" s="2"/>
      <x:c r="L503" s="2"/>
      <x:c r="M503" s="2"/>
      <x:c r="N503" s="2"/>
      <x:c r="O503" s="2"/>
      <x:c r="P503" s="2"/>
    </x:row>
    <x:row r="504" ht="22" customHeight="1">
      <x:c r="A504" s="12" t="n">
        <x:v>40756</x:v>
      </x:c>
      <x:c r="B504" s="2" t="str">
        <x:v>2011-08</x:v>
      </x:c>
      <x:c r="C504" s="2" t="str">
        <x:v>Switzerland</x:v>
      </x:c>
      <x:c r="D504" s="11" t="n">
        <x:v>4969.89</x:v>
      </x:c>
      <x:c r="E504" s="11" t="n">
        <x:v>87.7</x:v>
      </x:c>
      <x:c r="F504" s="2" t="n">
        <x:v>3</x:v>
      </x:c>
      <x:c r="G504" s="2"/>
      <x:c r="H504" s="2"/>
      <x:c r="I504" s="2"/>
      <x:c r="J504" s="2"/>
      <x:c r="K504" s="2"/>
      <x:c r="L504" s="2"/>
      <x:c r="M504" s="2"/>
      <x:c r="N504" s="2"/>
      <x:c r="O504" s="2"/>
      <x:c r="P504" s="2"/>
    </x:row>
    <x:row r="505" ht="22" customHeight="1">
      <x:c r="A505" s="12" t="n">
        <x:v>40756</x:v>
      </x:c>
      <x:c r="B505" s="2" t="str">
        <x:v>2011-08</x:v>
      </x:c>
      <x:c r="C505" s="2" t="str">
        <x:v>United Kingdom</x:v>
      </x:c>
      <x:c r="D505" s="11" t="n">
        <x:v>608047.48</x:v>
      </x:c>
      <x:c r="E505" s="11" t="n">
        <x:v>46792.86</x:v>
      </x:c>
      <x:c r="F505" s="2" t="n">
        <x:v>1210</x:v>
      </x:c>
      <x:c r="G505" s="2"/>
      <x:c r="H505" s="2"/>
      <x:c r="I505" s="2"/>
      <x:c r="J505" s="2"/>
      <x:c r="K505" s="2"/>
      <x:c r="L505" s="2"/>
      <x:c r="M505" s="2"/>
      <x:c r="N505" s="2"/>
      <x:c r="O505" s="2"/>
      <x:c r="P505" s="2"/>
    </x:row>
    <x:row r="506" ht="22" customHeight="1">
      <x:c r="A506" s="12" t="n">
        <x:v>40756</x:v>
      </x:c>
      <x:c r="B506" s="2" t="str">
        <x:v>2011-08</x:v>
      </x:c>
      <x:c r="C506" s="2" t="str">
        <x:v>Unspecified</x:v>
      </x:c>
      <x:c r="D506" s="11" t="n">
        <x:v>531.03</x:v>
      </x:c>
      <x:c r="E506" s="11" t="n">
        <x:v>0</x:v>
      </x:c>
      <x:c r="F506" s="2" t="n">
        <x:v>2</x:v>
      </x:c>
      <x:c r="G506" s="2"/>
      <x:c r="H506" s="2"/>
      <x:c r="I506" s="2"/>
      <x:c r="J506" s="2"/>
      <x:c r="K506" s="2"/>
      <x:c r="L506" s="2"/>
      <x:c r="M506" s="2"/>
      <x:c r="N506" s="2"/>
      <x:c r="O506" s="2"/>
      <x:c r="P506" s="2"/>
    </x:row>
    <x:row r="507" ht="22" customHeight="1">
      <x:c r="A507" s="12" t="n">
        <x:v>40787</x:v>
      </x:c>
      <x:c r="B507" s="2" t="str">
        <x:v>2011-09</x:v>
      </x:c>
      <x:c r="C507" s="2" t="str">
        <x:v>Australia</x:v>
      </x:c>
      <x:c r="D507" s="11" t="n">
        <x:v>5106.7300000000005</x:v>
      </x:c>
      <x:c r="E507" s="11" t="n">
        <x:v>75</x:v>
      </x:c>
      <x:c r="F507" s="2" t="n">
        <x:v>8</x:v>
      </x:c>
      <x:c r="G507" s="2"/>
      <x:c r="H507" s="2"/>
      <x:c r="I507" s="2"/>
      <x:c r="J507" s="2"/>
      <x:c r="K507" s="2"/>
      <x:c r="L507" s="2"/>
      <x:c r="M507" s="2"/>
      <x:c r="N507" s="2"/>
      <x:c r="O507" s="2"/>
      <x:c r="P507" s="2"/>
    </x:row>
    <x:row r="508" ht="22" customHeight="1">
      <x:c r="A508" s="12" t="n">
        <x:v>40787</x:v>
      </x:c>
      <x:c r="B508" s="2" t="str">
        <x:v>2011-09</x:v>
      </x:c>
      <x:c r="C508" s="2" t="str">
        <x:v>Belgium</x:v>
      </x:c>
      <x:c r="D508" s="11" t="n">
        <x:v>4208.02</x:v>
      </x:c>
      <x:c r="E508" s="11" t="n">
        <x:v>10.2</x:v>
      </x:c>
      <x:c r="F508" s="2" t="n">
        <x:v>7</x:v>
      </x:c>
      <x:c r="G508" s="2"/>
      <x:c r="H508" s="2"/>
      <x:c r="I508" s="2"/>
      <x:c r="J508" s="2"/>
      <x:c r="K508" s="2"/>
      <x:c r="L508" s="2"/>
      <x:c r="M508" s="2"/>
      <x:c r="N508" s="2"/>
      <x:c r="O508" s="2"/>
      <x:c r="P508" s="2"/>
    </x:row>
    <x:row r="509" ht="22" customHeight="1">
      <x:c r="A509" s="12" t="n">
        <x:v>40787</x:v>
      </x:c>
      <x:c r="B509" s="2" t="str">
        <x:v>2011-09</x:v>
      </x:c>
      <x:c r="C509" s="2" t="str">
        <x:v>Channel Islands</x:v>
      </x:c>
      <x:c r="D509" s="11" t="n">
        <x:v>1323.75</x:v>
      </x:c>
      <x:c r="E509" s="11" t="n">
        <x:v>2.1</x:v>
      </x:c>
      <x:c r="F509" s="2" t="n">
        <x:v>2</x:v>
      </x:c>
      <x:c r="G509" s="2"/>
      <x:c r="H509" s="2"/>
      <x:c r="I509" s="2"/>
      <x:c r="J509" s="2"/>
      <x:c r="K509" s="2"/>
      <x:c r="L509" s="2"/>
      <x:c r="M509" s="2"/>
      <x:c r="N509" s="2"/>
      <x:c r="O509" s="2"/>
      <x:c r="P509" s="2"/>
    </x:row>
    <x:row r="510" ht="22" customHeight="1">
      <x:c r="A510" s="12" t="n">
        <x:v>40787</x:v>
      </x:c>
      <x:c r="B510" s="2" t="str">
        <x:v>2011-09</x:v>
      </x:c>
      <x:c r="C510" s="2" t="str">
        <x:v>Cyprus</x:v>
      </x:c>
      <x:c r="D510" s="11" t="n">
        <x:v>196.35</x:v>
      </x:c>
      <x:c r="E510" s="11" t="n">
        <x:v>0</x:v>
      </x:c>
      <x:c r="F510" s="2" t="n">
        <x:v>1</x:v>
      </x:c>
      <x:c r="G510" s="2"/>
      <x:c r="H510" s="2"/>
      <x:c r="I510" s="2"/>
      <x:c r="J510" s="2"/>
      <x:c r="K510" s="2"/>
      <x:c r="L510" s="2"/>
      <x:c r="M510" s="2"/>
      <x:c r="N510" s="2"/>
      <x:c r="O510" s="2"/>
      <x:c r="P510" s="2"/>
    </x:row>
    <x:row r="511" ht="22" customHeight="1">
      <x:c r="A511" s="12" t="n">
        <x:v>40787</x:v>
      </x:c>
      <x:c r="B511" s="2" t="str">
        <x:v>2011-09</x:v>
      </x:c>
      <x:c r="C511" s="2" t="str">
        <x:v>Denmark</x:v>
      </x:c>
      <x:c r="D511" s="11" t="n">
        <x:v>4570.16</x:v>
      </x:c>
      <x:c r="E511" s="11" t="n">
        <x:v>0</x:v>
      </x:c>
      <x:c r="F511" s="2" t="n">
        <x:v>3</x:v>
      </x:c>
      <x:c r="G511" s="2"/>
      <x:c r="H511" s="2"/>
      <x:c r="I511" s="2"/>
      <x:c r="J511" s="2"/>
      <x:c r="K511" s="2"/>
      <x:c r="L511" s="2"/>
      <x:c r="M511" s="2"/>
      <x:c r="N511" s="2"/>
      <x:c r="O511" s="2"/>
      <x:c r="P511" s="2"/>
    </x:row>
    <x:row r="512" ht="22" customHeight="1">
      <x:c r="A512" s="12" t="n">
        <x:v>40787</x:v>
      </x:c>
      <x:c r="B512" s="2" t="str">
        <x:v>2011-09</x:v>
      </x:c>
      <x:c r="C512" s="2" t="str">
        <x:v>EIRE</x:v>
      </x:c>
      <x:c r="D512" s="11" t="n">
        <x:v>43086.55</x:v>
      </x:c>
      <x:c r="E512" s="11" t="n">
        <x:v>447.5</x:v>
      </x:c>
      <x:c r="F512" s="2" t="n">
        <x:v>38</x:v>
      </x:c>
      <x:c r="G512" s="2"/>
      <x:c r="H512" s="2"/>
      <x:c r="I512" s="2"/>
      <x:c r="J512" s="2"/>
      <x:c r="K512" s="2"/>
      <x:c r="L512" s="2"/>
      <x:c r="M512" s="2"/>
      <x:c r="N512" s="2"/>
      <x:c r="O512" s="2"/>
      <x:c r="P512" s="2"/>
    </x:row>
    <x:row r="513" ht="22" customHeight="1">
      <x:c r="A513" s="12" t="n">
        <x:v>40787</x:v>
      </x:c>
      <x:c r="B513" s="2" t="str">
        <x:v>2011-09</x:v>
      </x:c>
      <x:c r="C513" s="2" t="str">
        <x:v>Finland</x:v>
      </x:c>
      <x:c r="D513" s="11" t="n">
        <x:v>1105.45</x:v>
      </x:c>
      <x:c r="E513" s="11" t="n">
        <x:v>0</x:v>
      </x:c>
      <x:c r="F513" s="2" t="n">
        <x:v>4</x:v>
      </x:c>
      <x:c r="G513" s="2"/>
      <x:c r="H513" s="2"/>
      <x:c r="I513" s="2"/>
      <x:c r="J513" s="2"/>
      <x:c r="K513" s="2"/>
      <x:c r="L513" s="2"/>
      <x:c r="M513" s="2"/>
      <x:c r="N513" s="2"/>
      <x:c r="O513" s="2"/>
      <x:c r="P513" s="2"/>
    </x:row>
    <x:row r="514" ht="22" customHeight="1">
      <x:c r="A514" s="12" t="n">
        <x:v>40787</x:v>
      </x:c>
      <x:c r="B514" s="2" t="str">
        <x:v>2011-09</x:v>
      </x:c>
      <x:c r="C514" s="2" t="str">
        <x:v>France</x:v>
      </x:c>
      <x:c r="D514" s="11" t="n">
        <x:v>23428.04</x:v>
      </x:c>
      <x:c r="E514" s="11" t="n">
        <x:v>229.17</x:v>
      </x:c>
      <x:c r="F514" s="2" t="n">
        <x:v>45</x:v>
      </x:c>
      <x:c r="G514" s="2"/>
      <x:c r="H514" s="2"/>
      <x:c r="I514" s="2"/>
      <x:c r="J514" s="2"/>
      <x:c r="K514" s="2"/>
      <x:c r="L514" s="2"/>
      <x:c r="M514" s="2"/>
      <x:c r="N514" s="2"/>
      <x:c r="O514" s="2"/>
      <x:c r="P514" s="2"/>
    </x:row>
    <x:row r="515" ht="22" customHeight="1">
      <x:c r="A515" s="12" t="n">
        <x:v>40787</x:v>
      </x:c>
      <x:c r="B515" s="2" t="str">
        <x:v>2011-09</x:v>
      </x:c>
      <x:c r="C515" s="2" t="str">
        <x:v>Germany</x:v>
      </x:c>
      <x:c r="D515" s="11" t="n">
        <x:v>18091.22</x:v>
      </x:c>
      <x:c r="E515" s="11" t="n">
        <x:v>370.90999999999997</x:v>
      </x:c>
      <x:c r="F515" s="2" t="n">
        <x:v>41</x:v>
      </x:c>
      <x:c r="G515" s="2"/>
      <x:c r="H515" s="2"/>
      <x:c r="I515" s="2"/>
      <x:c r="J515" s="2"/>
      <x:c r="K515" s="2"/>
      <x:c r="L515" s="2"/>
      <x:c r="M515" s="2"/>
      <x:c r="N515" s="2"/>
      <x:c r="O515" s="2"/>
      <x:c r="P515" s="2"/>
    </x:row>
    <x:row r="516" ht="22" customHeight="1">
      <x:c r="A516" s="12" t="n">
        <x:v>40787</x:v>
      </x:c>
      <x:c r="B516" s="2" t="str">
        <x:v>2011-09</x:v>
      </x:c>
      <x:c r="C516" s="2" t="str">
        <x:v>Hong Kong</x:v>
      </x:c>
      <x:c r="D516" s="11" t="n">
        <x:v>2653.95</x:v>
      </x:c>
      <x:c r="E516" s="11" t="n">
        <x:v>2653.95</x:v>
      </x:c>
      <x:c r="F516" s="2" t="n">
        <x:v>1</x:v>
      </x:c>
      <x:c r="G516" s="2"/>
      <x:c r="H516" s="2"/>
      <x:c r="I516" s="2"/>
      <x:c r="J516" s="2"/>
      <x:c r="K516" s="2"/>
      <x:c r="L516" s="2"/>
      <x:c r="M516" s="2"/>
      <x:c r="N516" s="2"/>
      <x:c r="O516" s="2"/>
      <x:c r="P516" s="2"/>
    </x:row>
    <x:row r="517" ht="22" customHeight="1">
      <x:c r="A517" s="12" t="n">
        <x:v>40787</x:v>
      </x:c>
      <x:c r="B517" s="2" t="str">
        <x:v>2011-09</x:v>
      </x:c>
      <x:c r="C517" s="2" t="str">
        <x:v>Israel</x:v>
      </x:c>
      <x:c r="D517" s="11" t="n">
        <x:v>423.73</x:v>
      </x:c>
      <x:c r="E517" s="11" t="n">
        <x:v>0</x:v>
      </x:c>
      <x:c r="F517" s="2" t="n">
        <x:v>1</x:v>
      </x:c>
      <x:c r="G517" s="2"/>
      <x:c r="H517" s="2"/>
      <x:c r="I517" s="2"/>
      <x:c r="J517" s="2"/>
      <x:c r="K517" s="2"/>
      <x:c r="L517" s="2"/>
      <x:c r="M517" s="2"/>
      <x:c r="N517" s="2"/>
      <x:c r="O517" s="2"/>
      <x:c r="P517" s="2"/>
    </x:row>
    <x:row r="518" ht="22" customHeight="1">
      <x:c r="A518" s="12" t="n">
        <x:v>40787</x:v>
      </x:c>
      <x:c r="B518" s="2" t="str">
        <x:v>2011-09</x:v>
      </x:c>
      <x:c r="C518" s="2" t="str">
        <x:v>Italy</x:v>
      </x:c>
      <x:c r="D518" s="11" t="n">
        <x:v>279.8</x:v>
      </x:c>
      <x:c r="E518" s="11" t="n">
        <x:v>0</x:v>
      </x:c>
      <x:c r="F518" s="2" t="n">
        <x:v>1</x:v>
      </x:c>
      <x:c r="G518" s="2"/>
      <x:c r="H518" s="2"/>
      <x:c r="I518" s="2"/>
      <x:c r="J518" s="2"/>
      <x:c r="K518" s="2"/>
      <x:c r="L518" s="2"/>
      <x:c r="M518" s="2"/>
      <x:c r="N518" s="2"/>
      <x:c r="O518" s="2"/>
      <x:c r="P518" s="2"/>
    </x:row>
    <x:row r="519" ht="22" customHeight="1">
      <x:c r="A519" s="12" t="n">
        <x:v>40787</x:v>
      </x:c>
      <x:c r="B519" s="2" t="str">
        <x:v>2011-09</x:v>
      </x:c>
      <x:c r="C519" s="2" t="str">
        <x:v>Japan</x:v>
      </x:c>
      <x:c r="D519" s="11" t="n">
        <x:v>112.07999999999998</x:v>
      </x:c>
      <x:c r="E519" s="11" t="n">
        <x:v>0</x:v>
      </x:c>
      <x:c r="F519" s="2" t="n">
        <x:v>1</x:v>
      </x:c>
      <x:c r="G519" s="2"/>
      <x:c r="H519" s="2"/>
      <x:c r="I519" s="2"/>
      <x:c r="J519" s="2"/>
      <x:c r="K519" s="2"/>
      <x:c r="L519" s="2"/>
      <x:c r="M519" s="2"/>
      <x:c r="N519" s="2"/>
      <x:c r="O519" s="2"/>
      <x:c r="P519" s="2"/>
    </x:row>
    <x:row r="520" ht="22" customHeight="1">
      <x:c r="A520" s="12" t="n">
        <x:v>40787</x:v>
      </x:c>
      <x:c r="B520" s="2" t="str">
        <x:v>2011-09</x:v>
      </x:c>
      <x:c r="C520" s="2" t="str">
        <x:v>Netherlands</x:v>
      </x:c>
      <x:c r="D520" s="11" t="n">
        <x:v>26937.26</x:v>
      </x:c>
      <x:c r="E520" s="11" t="n">
        <x:v>0</x:v>
      </x:c>
      <x:c r="F520" s="2" t="n">
        <x:v>7</x:v>
      </x:c>
      <x:c r="G520" s="2"/>
      <x:c r="H520" s="2"/>
      <x:c r="I520" s="2"/>
      <x:c r="J520" s="2"/>
      <x:c r="K520" s="2"/>
      <x:c r="L520" s="2"/>
      <x:c r="M520" s="2"/>
      <x:c r="N520" s="2"/>
      <x:c r="O520" s="2"/>
      <x:c r="P520" s="2"/>
    </x:row>
    <x:row r="521" ht="22" customHeight="1">
      <x:c r="A521" s="12" t="n">
        <x:v>40787</x:v>
      </x:c>
      <x:c r="B521" s="2" t="str">
        <x:v>2011-09</x:v>
      </x:c>
      <x:c r="C521" s="2" t="str">
        <x:v>Norway</x:v>
      </x:c>
      <x:c r="D521" s="11" t="n">
        <x:v>8678.94</x:v>
      </x:c>
      <x:c r="E521" s="11" t="n">
        <x:v>0</x:v>
      </x:c>
      <x:c r="F521" s="2" t="n">
        <x:v>6</x:v>
      </x:c>
      <x:c r="G521" s="2"/>
      <x:c r="H521" s="2"/>
      <x:c r="I521" s="2"/>
      <x:c r="J521" s="2"/>
      <x:c r="K521" s="2"/>
      <x:c r="L521" s="2"/>
      <x:c r="M521" s="2"/>
      <x:c r="N521" s="2"/>
      <x:c r="O521" s="2"/>
      <x:c r="P521" s="2"/>
    </x:row>
    <x:row r="522" ht="22" customHeight="1">
      <x:c r="A522" s="12" t="n">
        <x:v>40787</x:v>
      </x:c>
      <x:c r="B522" s="2" t="str">
        <x:v>2011-09</x:v>
      </x:c>
      <x:c r="C522" s="2" t="str">
        <x:v>Poland</x:v>
      </x:c>
      <x:c r="D522" s="11" t="n">
        <x:v>529.25</x:v>
      </x:c>
      <x:c r="E522" s="11" t="n">
        <x:v>0</x:v>
      </x:c>
      <x:c r="F522" s="2" t="n">
        <x:v>2</x:v>
      </x:c>
      <x:c r="G522" s="2"/>
      <x:c r="H522" s="2"/>
      <x:c r="I522" s="2"/>
      <x:c r="J522" s="2"/>
      <x:c r="K522" s="2"/>
      <x:c r="L522" s="2"/>
      <x:c r="M522" s="2"/>
      <x:c r="N522" s="2"/>
      <x:c r="O522" s="2"/>
      <x:c r="P522" s="2"/>
    </x:row>
    <x:row r="523" ht="22" customHeight="1">
      <x:c r="A523" s="12" t="n">
        <x:v>40787</x:v>
      </x:c>
      <x:c r="B523" s="2" t="str">
        <x:v>2011-09</x:v>
      </x:c>
      <x:c r="C523" s="2" t="str">
        <x:v>Portugal</x:v>
      </x:c>
      <x:c r="D523" s="11" t="n">
        <x:v>1433.22</x:v>
      </x:c>
      <x:c r="E523" s="11" t="n">
        <x:v>0</x:v>
      </x:c>
      <x:c r="F523" s="2" t="n">
        <x:v>3</x:v>
      </x:c>
      <x:c r="G523" s="2"/>
      <x:c r="H523" s="2"/>
      <x:c r="I523" s="2"/>
      <x:c r="J523" s="2"/>
      <x:c r="K523" s="2"/>
      <x:c r="L523" s="2"/>
      <x:c r="M523" s="2"/>
      <x:c r="N523" s="2"/>
      <x:c r="O523" s="2"/>
      <x:c r="P523" s="2"/>
    </x:row>
    <x:row r="524" ht="22" customHeight="1">
      <x:c r="A524" s="12" t="n">
        <x:v>40787</x:v>
      </x:c>
      <x:c r="B524" s="2" t="str">
        <x:v>2011-09</x:v>
      </x:c>
      <x:c r="C524" s="2" t="str">
        <x:v>Spain</x:v>
      </x:c>
      <x:c r="D524" s="11" t="n">
        <x:v>5189.24</x:v>
      </x:c>
      <x:c r="E524" s="11" t="n">
        <x:v>25.5</x:v>
      </x:c>
      <x:c r="F524" s="2" t="n">
        <x:v>8</x:v>
      </x:c>
      <x:c r="G524" s="2"/>
      <x:c r="H524" s="2"/>
      <x:c r="I524" s="2"/>
      <x:c r="J524" s="2"/>
      <x:c r="K524" s="2"/>
      <x:c r="L524" s="2"/>
      <x:c r="M524" s="2"/>
      <x:c r="N524" s="2"/>
      <x:c r="O524" s="2"/>
      <x:c r="P524" s="2"/>
    </x:row>
    <x:row r="525" ht="22" customHeight="1">
      <x:c r="A525" s="12" t="n">
        <x:v>40787</x:v>
      </x:c>
      <x:c r="B525" s="2" t="str">
        <x:v>2011-09</x:v>
      </x:c>
      <x:c r="C525" s="2" t="str">
        <x:v>Sweden</x:v>
      </x:c>
      <x:c r="D525" s="11" t="n">
        <x:v>4575.21</x:v>
      </x:c>
      <x:c r="E525" s="11" t="n">
        <x:v>0</x:v>
      </x:c>
      <x:c r="F525" s="2" t="n">
        <x:v>3</x:v>
      </x:c>
      <x:c r="G525" s="2"/>
      <x:c r="H525" s="2"/>
      <x:c r="I525" s="2"/>
      <x:c r="J525" s="2"/>
      <x:c r="K525" s="2"/>
      <x:c r="L525" s="2"/>
      <x:c r="M525" s="2"/>
      <x:c r="N525" s="2"/>
      <x:c r="O525" s="2"/>
      <x:c r="P525" s="2"/>
    </x:row>
    <x:row r="526" ht="22" customHeight="1">
      <x:c r="A526" s="12" t="n">
        <x:v>40787</x:v>
      </x:c>
      <x:c r="B526" s="2" t="str">
        <x:v>2011-09</x:v>
      </x:c>
      <x:c r="C526" s="2" t="str">
        <x:v>Switzerland</x:v>
      </x:c>
      <x:c r="D526" s="11" t="n">
        <x:v>8284.86</x:v>
      </x:c>
      <x:c r="E526" s="11" t="n">
        <x:v>29.9</x:v>
      </x:c>
      <x:c r="F526" s="2" t="n">
        <x:v>7</x:v>
      </x:c>
      <x:c r="G526" s="2"/>
      <x:c r="H526" s="2"/>
      <x:c r="I526" s="2"/>
      <x:c r="J526" s="2"/>
      <x:c r="K526" s="2"/>
      <x:c r="L526" s="2"/>
      <x:c r="M526" s="2"/>
      <x:c r="N526" s="2"/>
      <x:c r="O526" s="2"/>
      <x:c r="P526" s="2"/>
    </x:row>
    <x:row r="527" ht="22" customHeight="1">
      <x:c r="A527" s="12" t="n">
        <x:v>40787</x:v>
      </x:c>
      <x:c r="B527" s="2" t="str">
        <x:v>2011-09</x:v>
      </x:c>
      <x:c r="C527" s="2" t="str">
        <x:v>United Arab Emirates</x:v>
      </x:c>
      <x:c r="D527" s="11" t="n">
        <x:v>1013.04</x:v>
      </x:c>
      <x:c r="E527" s="11" t="n">
        <x:v>0</x:v>
      </x:c>
      <x:c r="F527" s="2" t="n">
        <x:v>2</x:v>
      </x:c>
      <x:c r="G527" s="2"/>
      <x:c r="H527" s="2"/>
      <x:c r="I527" s="2"/>
      <x:c r="J527" s="2"/>
      <x:c r="K527" s="2"/>
      <x:c r="L527" s="2"/>
      <x:c r="M527" s="2"/>
      <x:c r="N527" s="2"/>
      <x:c r="O527" s="2"/>
      <x:c r="P527" s="2"/>
    </x:row>
    <x:row r="528" ht="22" customHeight="1">
      <x:c r="A528" s="12" t="n">
        <x:v>40787</x:v>
      </x:c>
      <x:c r="B528" s="2" t="str">
        <x:v>2011-09</x:v>
      </x:c>
      <x:c r="C528" s="2" t="str">
        <x:v>United Kingdom</x:v>
      </x:c>
      <x:c r="D528" s="11" t="n">
        <x:v>897076.472</x:v>
      </x:c>
      <x:c r="E528" s="11" t="n">
        <x:v>35058.32</x:v>
      </x:c>
      <x:c r="F528" s="2" t="n">
        <x:v>1645</x:v>
      </x:c>
      <x:c r="G528" s="2"/>
      <x:c r="H528" s="2"/>
      <x:c r="I528" s="2"/>
      <x:c r="J528" s="2"/>
      <x:c r="K528" s="2"/>
      <x:c r="L528" s="2"/>
      <x:c r="M528" s="2"/>
      <x:c r="N528" s="2"/>
      <x:c r="O528" s="2"/>
      <x:c r="P528" s="2"/>
    </x:row>
    <x:row r="529" ht="22" customHeight="1">
      <x:c r="A529" s="12" t="n">
        <x:v>40787</x:v>
      </x:c>
      <x:c r="B529" s="2" t="str">
        <x:v>2011-09</x:v>
      </x:c>
      <x:c r="C529" s="2" t="str">
        <x:v>Unspecified</x:v>
      </x:c>
      <x:c r="D529" s="11" t="n">
        <x:v>286.85</x:v>
      </x:c>
      <x:c r="E529" s="11" t="n">
        <x:v>0</x:v>
      </x:c>
      <x:c r="F529" s="2" t="n">
        <x:v>1</x:v>
      </x:c>
      <x:c r="G529" s="2"/>
      <x:c r="H529" s="2"/>
      <x:c r="I529" s="2"/>
      <x:c r="J529" s="2"/>
      <x:c r="K529" s="2"/>
      <x:c r="L529" s="2"/>
      <x:c r="M529" s="2"/>
      <x:c r="N529" s="2"/>
      <x:c r="O529" s="2"/>
      <x:c r="P529" s="2"/>
    </x:row>
    <x:row r="530" ht="22" customHeight="1">
      <x:c r="A530" s="12" t="n">
        <x:v>40817</x:v>
      </x:c>
      <x:c r="B530" s="2" t="str">
        <x:v>2011-10</x:v>
      </x:c>
      <x:c r="C530" s="2" t="str">
        <x:v>Australia</x:v>
      </x:c>
      <x:c r="D530" s="11" t="n">
        <x:v>17150.53</x:v>
      </x:c>
      <x:c r="E530" s="11" t="n">
        <x:v>0</x:v>
      </x:c>
      <x:c r="F530" s="2" t="n">
        <x:v>4</x:v>
      </x:c>
      <x:c r="G530" s="2"/>
      <x:c r="H530" s="2"/>
      <x:c r="I530" s="2"/>
      <x:c r="J530" s="2"/>
      <x:c r="K530" s="2"/>
      <x:c r="L530" s="2"/>
      <x:c r="M530" s="2"/>
      <x:c r="N530" s="2"/>
      <x:c r="O530" s="2"/>
      <x:c r="P530" s="2"/>
    </x:row>
    <x:row r="531" ht="22" customHeight="1">
      <x:c r="A531" s="12" t="n">
        <x:v>40817</x:v>
      </x:c>
      <x:c r="B531" s="2" t="str">
        <x:v>2011-10</x:v>
      </x:c>
      <x:c r="C531" s="2" t="str">
        <x:v>Austria</x:v>
      </x:c>
      <x:c r="D531" s="11" t="n">
        <x:v>1043.78</x:v>
      </x:c>
      <x:c r="E531" s="11" t="n">
        <x:v>0</x:v>
      </x:c>
      <x:c r="F531" s="2" t="n">
        <x:v>1</x:v>
      </x:c>
      <x:c r="G531" s="2"/>
      <x:c r="H531" s="2"/>
      <x:c r="I531" s="2"/>
      <x:c r="J531" s="2"/>
      <x:c r="K531" s="2"/>
      <x:c r="L531" s="2"/>
      <x:c r="M531" s="2"/>
      <x:c r="N531" s="2"/>
      <x:c r="O531" s="2"/>
      <x:c r="P531" s="2"/>
    </x:row>
    <x:row r="532" ht="22" customHeight="1">
      <x:c r="A532" s="12" t="n">
        <x:v>40817</x:v>
      </x:c>
      <x:c r="B532" s="2" t="str">
        <x:v>2011-10</x:v>
      </x:c>
      <x:c r="C532" s="2" t="str">
        <x:v>Belgium</x:v>
      </x:c>
      <x:c r="D532" s="11" t="n">
        <x:v>5685.38</x:v>
      </x:c>
      <x:c r="E532" s="11" t="n">
        <x:v>34</x:v>
      </x:c>
      <x:c r="F532" s="2" t="n">
        <x:v>11</x:v>
      </x:c>
      <x:c r="G532" s="2"/>
      <x:c r="H532" s="2"/>
      <x:c r="I532" s="2"/>
      <x:c r="J532" s="2"/>
      <x:c r="K532" s="2"/>
      <x:c r="L532" s="2"/>
      <x:c r="M532" s="2"/>
      <x:c r="N532" s="2"/>
      <x:c r="O532" s="2"/>
      <x:c r="P532" s="2"/>
    </x:row>
    <x:row r="533" ht="22" customHeight="1">
      <x:c r="A533" s="12" t="n">
        <x:v>40817</x:v>
      </x:c>
      <x:c r="B533" s="2" t="str">
        <x:v>2011-10</x:v>
      </x:c>
      <x:c r="C533" s="2" t="str">
        <x:v>Channel Islands</x:v>
      </x:c>
      <x:c r="D533" s="11" t="n">
        <x:v>2623.32</x:v>
      </x:c>
      <x:c r="E533" s="11" t="n">
        <x:v>0</x:v>
      </x:c>
      <x:c r="F533" s="2" t="n">
        <x:v>5</x:v>
      </x:c>
      <x:c r="G533" s="2"/>
      <x:c r="H533" s="2"/>
      <x:c r="I533" s="2"/>
      <x:c r="J533" s="2"/>
      <x:c r="K533" s="2"/>
      <x:c r="L533" s="2"/>
      <x:c r="M533" s="2"/>
      <x:c r="N533" s="2"/>
      <x:c r="O533" s="2"/>
      <x:c r="P533" s="2"/>
    </x:row>
    <x:row r="534" ht="22" customHeight="1">
      <x:c r="A534" s="12" t="n">
        <x:v>40817</x:v>
      </x:c>
      <x:c r="B534" s="2" t="str">
        <x:v>2011-10</x:v>
      </x:c>
      <x:c r="C534" s="2" t="str">
        <x:v>Cyprus</x:v>
      </x:c>
      <x:c r="D534" s="11" t="n">
        <x:v>4412.87</x:v>
      </x:c>
      <x:c r="E534" s="11" t="n">
        <x:v>196.35</x:v>
      </x:c>
      <x:c r="F534" s="2" t="n">
        <x:v>4</x:v>
      </x:c>
      <x:c r="G534" s="2"/>
      <x:c r="H534" s="2"/>
      <x:c r="I534" s="2"/>
      <x:c r="J534" s="2"/>
      <x:c r="K534" s="2"/>
      <x:c r="L534" s="2"/>
      <x:c r="M534" s="2"/>
      <x:c r="N534" s="2"/>
      <x:c r="O534" s="2"/>
      <x:c r="P534" s="2"/>
    </x:row>
    <x:row r="535" ht="22" customHeight="1">
      <x:c r="A535" s="12" t="n">
        <x:v>40817</x:v>
      </x:c>
      <x:c r="B535" s="2" t="str">
        <x:v>2011-10</x:v>
      </x:c>
      <x:c r="C535" s="2" t="str">
        <x:v>Czech Republic</x:v>
      </x:c>
      <x:c r="D535" s="11" t="n">
        <x:v>277.48</x:v>
      </x:c>
      <x:c r="E535" s="11" t="n">
        <x:v>0</x:v>
      </x:c>
      <x:c r="F535" s="2" t="n">
        <x:v>1</x:v>
      </x:c>
      <x:c r="G535" s="2"/>
      <x:c r="H535" s="2"/>
      <x:c r="I535" s="2"/>
      <x:c r="J535" s="2"/>
      <x:c r="K535" s="2"/>
      <x:c r="L535" s="2"/>
      <x:c r="M535" s="2"/>
      <x:c r="N535" s="2"/>
      <x:c r="O535" s="2"/>
      <x:c r="P535" s="2"/>
    </x:row>
    <x:row r="536" ht="22" customHeight="1">
      <x:c r="A536" s="12" t="n">
        <x:v>40817</x:v>
      </x:c>
      <x:c r="B536" s="2" t="str">
        <x:v>2011-10</x:v>
      </x:c>
      <x:c r="C536" s="2" t="str">
        <x:v>Denmark</x:v>
      </x:c>
      <x:c r="D536" s="11" t="n">
        <x:v>1490.76</x:v>
      </x:c>
      <x:c r="E536" s="11" t="n">
        <x:v>52.65</x:v>
      </x:c>
      <x:c r="F536" s="2" t="n">
        <x:v>3</x:v>
      </x:c>
      <x:c r="G536" s="2"/>
      <x:c r="H536" s="2"/>
      <x:c r="I536" s="2"/>
      <x:c r="J536" s="2"/>
      <x:c r="K536" s="2"/>
      <x:c r="L536" s="2"/>
      <x:c r="M536" s="2"/>
      <x:c r="N536" s="2"/>
      <x:c r="O536" s="2"/>
      <x:c r="P536" s="2"/>
    </x:row>
    <x:row r="537" ht="22" customHeight="1">
      <x:c r="A537" s="12" t="n">
        <x:v>40817</x:v>
      </x:c>
      <x:c r="B537" s="2" t="str">
        <x:v>2011-10</x:v>
      </x:c>
      <x:c r="C537" s="2" t="str">
        <x:v>EIRE</x:v>
      </x:c>
      <x:c r="D537" s="11" t="n">
        <x:v>24317.920000000002</x:v>
      </x:c>
      <x:c r="E537" s="11" t="n">
        <x:v>1010.3</x:v>
      </x:c>
      <x:c r="F537" s="2" t="n">
        <x:v>31</x:v>
      </x:c>
      <x:c r="G537" s="2"/>
      <x:c r="H537" s="2"/>
      <x:c r="I537" s="2"/>
      <x:c r="J537" s="2"/>
      <x:c r="K537" s="2"/>
      <x:c r="L537" s="2"/>
      <x:c r="M537" s="2"/>
      <x:c r="N537" s="2"/>
      <x:c r="O537" s="2"/>
      <x:c r="P537" s="2"/>
    </x:row>
    <x:row r="538" ht="22" customHeight="1">
      <x:c r="A538" s="12" t="n">
        <x:v>40817</x:v>
      </x:c>
      <x:c r="B538" s="2" t="str">
        <x:v>2011-10</x:v>
      </x:c>
      <x:c r="C538" s="2" t="str">
        <x:v>Finland</x:v>
      </x:c>
      <x:c r="D538" s="11" t="n">
        <x:v>2822.12</x:v>
      </x:c>
      <x:c r="E538" s="11" t="n">
        <x:v>18</x:v>
      </x:c>
      <x:c r="F538" s="2" t="n">
        <x:v>6</x:v>
      </x:c>
      <x:c r="G538" s="2"/>
      <x:c r="H538" s="2"/>
      <x:c r="I538" s="2"/>
      <x:c r="J538" s="2"/>
      <x:c r="K538" s="2"/>
      <x:c r="L538" s="2"/>
      <x:c r="M538" s="2"/>
      <x:c r="N538" s="2"/>
      <x:c r="O538" s="2"/>
      <x:c r="P538" s="2"/>
    </x:row>
    <x:row r="539" ht="22" customHeight="1">
      <x:c r="A539" s="12" t="n">
        <x:v>40817</x:v>
      </x:c>
      <x:c r="B539" s="2" t="str">
        <x:v>2011-10</x:v>
      </x:c>
      <x:c r="C539" s="2" t="str">
        <x:v>France</x:v>
      </x:c>
      <x:c r="D539" s="11" t="n">
        <x:v>33485.45</x:v>
      </x:c>
      <x:c r="E539" s="11" t="n">
        <x:v>8453.410000000002</x:v>
      </x:c>
      <x:c r="F539" s="2" t="n">
        <x:v>35</x:v>
      </x:c>
      <x:c r="G539" s="2"/>
      <x:c r="H539" s="2"/>
      <x:c r="I539" s="2"/>
      <x:c r="J539" s="2"/>
      <x:c r="K539" s="2"/>
      <x:c r="L539" s="2"/>
      <x:c r="M539" s="2"/>
      <x:c r="N539" s="2"/>
      <x:c r="O539" s="2"/>
      <x:c r="P539" s="2"/>
    </x:row>
    <x:row r="540" ht="22" customHeight="1">
      <x:c r="A540" s="12" t="n">
        <x:v>40817</x:v>
      </x:c>
      <x:c r="B540" s="2" t="str">
        <x:v>2011-10</x:v>
      </x:c>
      <x:c r="C540" s="2" t="str">
        <x:v>Germany</x:v>
      </x:c>
      <x:c r="D540" s="11" t="n">
        <x:v>31638.42</x:v>
      </x:c>
      <x:c r="E540" s="11" t="n">
        <x:v>1024.1499999999999</x:v>
      </x:c>
      <x:c r="F540" s="2" t="n">
        <x:v>58</x:v>
      </x:c>
      <x:c r="G540" s="2"/>
      <x:c r="H540" s="2"/>
      <x:c r="I540" s="2"/>
      <x:c r="J540" s="2"/>
      <x:c r="K540" s="2"/>
      <x:c r="L540" s="2"/>
      <x:c r="M540" s="2"/>
      <x:c r="N540" s="2"/>
      <x:c r="O540" s="2"/>
      <x:c r="P540" s="2"/>
    </x:row>
    <x:row r="541" ht="22" customHeight="1">
      <x:c r="A541" s="12" t="n">
        <x:v>40817</x:v>
      </x:c>
      <x:c r="B541" s="2" t="str">
        <x:v>2011-10</x:v>
      </x:c>
      <x:c r="C541" s="2" t="str">
        <x:v>Hong Kong</x:v>
      </x:c>
      <x:c r="D541" s="11" t="n">
        <x:v>734.52</x:v>
      </x:c>
      <x:c r="E541" s="11" t="n">
        <x:v>10.95</x:v>
      </x:c>
      <x:c r="F541" s="2" t="n">
        <x:v>2</x:v>
      </x:c>
      <x:c r="G541" s="2"/>
      <x:c r="H541" s="2"/>
      <x:c r="I541" s="2"/>
      <x:c r="J541" s="2"/>
      <x:c r="K541" s="2"/>
      <x:c r="L541" s="2"/>
      <x:c r="M541" s="2"/>
      <x:c r="N541" s="2"/>
      <x:c r="O541" s="2"/>
      <x:c r="P541" s="2"/>
    </x:row>
    <x:row r="542" ht="22" customHeight="1">
      <x:c r="A542" s="12" t="n">
        <x:v>40817</x:v>
      </x:c>
      <x:c r="B542" s="2" t="str">
        <x:v>2011-10</x:v>
      </x:c>
      <x:c r="C542" s="2" t="str">
        <x:v>Iceland</x:v>
      </x:c>
      <x:c r="D542" s="11" t="n">
        <x:v>1294.32</x:v>
      </x:c>
      <x:c r="E542" s="11" t="n">
        <x:v>0</x:v>
      </x:c>
      <x:c r="F542" s="2" t="n">
        <x:v>1</x:v>
      </x:c>
      <x:c r="G542" s="2"/>
      <x:c r="H542" s="2"/>
      <x:c r="I542" s="2"/>
      <x:c r="J542" s="2"/>
      <x:c r="K542" s="2"/>
      <x:c r="L542" s="2"/>
      <x:c r="M542" s="2"/>
      <x:c r="N542" s="2"/>
      <x:c r="O542" s="2"/>
      <x:c r="P542" s="2"/>
    </x:row>
    <x:row r="543" ht="22" customHeight="1">
      <x:c r="A543" s="12" t="n">
        <x:v>40817</x:v>
      </x:c>
      <x:c r="B543" s="2" t="str">
        <x:v>2011-10</x:v>
      </x:c>
      <x:c r="C543" s="2" t="str">
        <x:v>Israel</x:v>
      </x:c>
      <x:c r="D543" s="11" t="n">
        <x:v>138.03</x:v>
      </x:c>
      <x:c r="E543" s="11" t="n">
        <x:v>0</x:v>
      </x:c>
      <x:c r="F543" s="2" t="n">
        <x:v>2</x:v>
      </x:c>
      <x:c r="G543" s="2"/>
      <x:c r="H543" s="2"/>
      <x:c r="I543" s="2"/>
      <x:c r="J543" s="2"/>
      <x:c r="K543" s="2"/>
      <x:c r="L543" s="2"/>
      <x:c r="M543" s="2"/>
      <x:c r="N543" s="2"/>
      <x:c r="O543" s="2"/>
      <x:c r="P543" s="2"/>
    </x:row>
    <x:row r="544" ht="22" customHeight="1">
      <x:c r="A544" s="12" t="n">
        <x:v>40817</x:v>
      </x:c>
      <x:c r="B544" s="2" t="str">
        <x:v>2011-10</x:v>
      </x:c>
      <x:c r="C544" s="2" t="str">
        <x:v>Italy</x:v>
      </x:c>
      <x:c r="D544" s="11" t="n">
        <x:v>3489.69</x:v>
      </x:c>
      <x:c r="E544" s="11" t="n">
        <x:v>78.9</x:v>
      </x:c>
      <x:c r="F544" s="2" t="n">
        <x:v>7</x:v>
      </x:c>
      <x:c r="G544" s="2"/>
      <x:c r="H544" s="2"/>
      <x:c r="I544" s="2"/>
      <x:c r="J544" s="2"/>
      <x:c r="K544" s="2"/>
      <x:c r="L544" s="2"/>
      <x:c r="M544" s="2"/>
      <x:c r="N544" s="2"/>
      <x:c r="O544" s="2"/>
      <x:c r="P544" s="2"/>
    </x:row>
    <x:row r="545" ht="22" customHeight="1">
      <x:c r="A545" s="12" t="n">
        <x:v>40817</x:v>
      </x:c>
      <x:c r="B545" s="2" t="str">
        <x:v>2011-10</x:v>
      </x:c>
      <x:c r="C545" s="2" t="str">
        <x:v>Japan</x:v>
      </x:c>
      <x:c r="D545" s="11" t="n">
        <x:v>1948.0400000000002</x:v>
      </x:c>
      <x:c r="E545" s="11" t="n">
        <x:v>0</x:v>
      </x:c>
      <x:c r="F545" s="2" t="n">
        <x:v>2</x:v>
      </x:c>
      <x:c r="G545" s="2"/>
      <x:c r="H545" s="2"/>
      <x:c r="I545" s="2"/>
      <x:c r="J545" s="2"/>
      <x:c r="K545" s="2"/>
      <x:c r="L545" s="2"/>
      <x:c r="M545" s="2"/>
      <x:c r="N545" s="2"/>
      <x:c r="O545" s="2"/>
      <x:c r="P545" s="2"/>
    </x:row>
    <x:row r="546" ht="22" customHeight="1">
      <x:c r="A546" s="12" t="n">
        <x:v>40817</x:v>
      </x:c>
      <x:c r="B546" s="2" t="str">
        <x:v>2011-10</x:v>
      </x:c>
      <x:c r="C546" s="2" t="str">
        <x:v>Netherlands</x:v>
      </x:c>
      <x:c r="D546" s="11" t="n">
        <x:v>40708.65</x:v>
      </x:c>
      <x:c r="E546" s="11" t="n">
        <x:v>0</x:v>
      </x:c>
      <x:c r="F546" s="2" t="n">
        <x:v>15</x:v>
      </x:c>
      <x:c r="G546" s="2"/>
      <x:c r="H546" s="2"/>
      <x:c r="I546" s="2"/>
      <x:c r="J546" s="2"/>
      <x:c r="K546" s="2"/>
      <x:c r="L546" s="2"/>
      <x:c r="M546" s="2"/>
      <x:c r="N546" s="2"/>
      <x:c r="O546" s="2"/>
      <x:c r="P546" s="2"/>
    </x:row>
    <x:row r="547" ht="22" customHeight="1">
      <x:c r="A547" s="12" t="n">
        <x:v>40817</x:v>
      </x:c>
      <x:c r="B547" s="2" t="str">
        <x:v>2011-10</x:v>
      </x:c>
      <x:c r="C547" s="2" t="str">
        <x:v>Norway</x:v>
      </x:c>
      <x:c r="D547" s="11" t="n">
        <x:v>3687.23</x:v>
      </x:c>
      <x:c r="E547" s="11" t="n">
        <x:v>0</x:v>
      </x:c>
      <x:c r="F547" s="2" t="n">
        <x:v>7</x:v>
      </x:c>
      <x:c r="G547" s="2"/>
      <x:c r="H547" s="2"/>
      <x:c r="I547" s="2"/>
      <x:c r="J547" s="2"/>
      <x:c r="K547" s="2"/>
      <x:c r="L547" s="2"/>
      <x:c r="M547" s="2"/>
      <x:c r="N547" s="2"/>
      <x:c r="O547" s="2"/>
      <x:c r="P547" s="2"/>
    </x:row>
    <x:row r="548" ht="22" customHeight="1">
      <x:c r="A548" s="12" t="n">
        <x:v>40817</x:v>
      </x:c>
      <x:c r="B548" s="2" t="str">
        <x:v>2011-10</x:v>
      </x:c>
      <x:c r="C548" s="2" t="str">
        <x:v>Portugal</x:v>
      </x:c>
      <x:c r="D548" s="11" t="n">
        <x:v>6206.67</x:v>
      </x:c>
      <x:c r="E548" s="11" t="n">
        <x:v>622.04</x:v>
      </x:c>
      <x:c r="F548" s="2" t="n">
        <x:v>10</x:v>
      </x:c>
      <x:c r="G548" s="2"/>
      <x:c r="H548" s="2"/>
      <x:c r="I548" s="2"/>
      <x:c r="J548" s="2"/>
      <x:c r="K548" s="2"/>
      <x:c r="L548" s="2"/>
      <x:c r="M548" s="2"/>
      <x:c r="N548" s="2"/>
      <x:c r="O548" s="2"/>
      <x:c r="P548" s="2"/>
    </x:row>
    <x:row r="549" ht="22" customHeight="1">
      <x:c r="A549" s="12" t="n">
        <x:v>40817</x:v>
      </x:c>
      <x:c r="B549" s="2" t="str">
        <x:v>2011-10</x:v>
      </x:c>
      <x:c r="C549" s="2" t="str">
        <x:v>RSA</x:v>
      </x:c>
      <x:c r="D549" s="11" t="n">
        <x:v>1002.3100000000001</x:v>
      </x:c>
      <x:c r="E549" s="11" t="n">
        <x:v>0</x:v>
      </x:c>
      <x:c r="F549" s="2" t="n">
        <x:v>1</x:v>
      </x:c>
      <x:c r="G549" s="2"/>
      <x:c r="H549" s="2"/>
      <x:c r="I549" s="2"/>
      <x:c r="J549" s="2"/>
      <x:c r="K549" s="2"/>
      <x:c r="L549" s="2"/>
      <x:c r="M549" s="2"/>
      <x:c r="N549" s="2"/>
      <x:c r="O549" s="2"/>
      <x:c r="P549" s="2"/>
    </x:row>
    <x:row r="550" ht="22" customHeight="1">
      <x:c r="A550" s="12" t="n">
        <x:v>40817</x:v>
      </x:c>
      <x:c r="B550" s="2" t="str">
        <x:v>2011-10</x:v>
      </x:c>
      <x:c r="C550" s="2" t="str">
        <x:v>Singapore</x:v>
      </x:c>
      <x:c r="D550" s="11" t="n">
        <x:v>7067.32</x:v>
      </x:c>
      <x:c r="E550" s="11" t="n">
        <x:v>6068.0599999999995</x:v>
      </x:c>
      <x:c r="F550" s="2" t="n">
        <x:v>2</x:v>
      </x:c>
      <x:c r="G550" s="2"/>
      <x:c r="H550" s="2"/>
      <x:c r="I550" s="2"/>
      <x:c r="J550" s="2"/>
      <x:c r="K550" s="2"/>
      <x:c r="L550" s="2"/>
      <x:c r="M550" s="2"/>
      <x:c r="N550" s="2"/>
      <x:c r="O550" s="2"/>
      <x:c r="P550" s="2"/>
    </x:row>
    <x:row r="551" ht="22" customHeight="1">
      <x:c r="A551" s="12" t="n">
        <x:v>40817</x:v>
      </x:c>
      <x:c r="B551" s="2" t="str">
        <x:v>2011-10</x:v>
      </x:c>
      <x:c r="C551" s="2" t="str">
        <x:v>Spain</x:v>
      </x:c>
      <x:c r="D551" s="11" t="n">
        <x:v>8636.94</x:v>
      </x:c>
      <x:c r="E551" s="11" t="n">
        <x:v>3558.29</x:v>
      </x:c>
      <x:c r="F551" s="2" t="n">
        <x:v>8</x:v>
      </x:c>
      <x:c r="G551" s="2"/>
      <x:c r="H551" s="2"/>
      <x:c r="I551" s="2"/>
      <x:c r="J551" s="2"/>
      <x:c r="K551" s="2"/>
      <x:c r="L551" s="2"/>
      <x:c r="M551" s="2"/>
      <x:c r="N551" s="2"/>
      <x:c r="O551" s="2"/>
      <x:c r="P551" s="2"/>
    </x:row>
    <x:row r="552" ht="22" customHeight="1">
      <x:c r="A552" s="12" t="n">
        <x:v>40817</x:v>
      </x:c>
      <x:c r="B552" s="2" t="str">
        <x:v>2011-10</x:v>
      </x:c>
      <x:c r="C552" s="2" t="str">
        <x:v>Sweden</x:v>
      </x:c>
      <x:c r="D552" s="11" t="n">
        <x:v>5766.16</x:v>
      </x:c>
      <x:c r="E552" s="11" t="n">
        <x:v>0</x:v>
      </x:c>
      <x:c r="F552" s="2" t="n">
        <x:v>3</x:v>
      </x:c>
      <x:c r="G552" s="2"/>
      <x:c r="H552" s="2"/>
      <x:c r="I552" s="2"/>
      <x:c r="J552" s="2"/>
      <x:c r="K552" s="2"/>
      <x:c r="L552" s="2"/>
      <x:c r="M552" s="2"/>
      <x:c r="N552" s="2"/>
      <x:c r="O552" s="2"/>
      <x:c r="P552" s="2"/>
    </x:row>
    <x:row r="553" ht="22" customHeight="1">
      <x:c r="A553" s="12" t="n">
        <x:v>40817</x:v>
      </x:c>
      <x:c r="B553" s="2" t="str">
        <x:v>2011-10</x:v>
      </x:c>
      <x:c r="C553" s="2" t="str">
        <x:v>Switzerland</x:v>
      </x:c>
      <x:c r="D553" s="11" t="n">
        <x:v>8065.18</x:v>
      </x:c>
      <x:c r="E553" s="11" t="n">
        <x:v>31.200000000000003</x:v>
      </x:c>
      <x:c r="F553" s="2" t="n">
        <x:v>8</x:v>
      </x:c>
      <x:c r="G553" s="2"/>
      <x:c r="H553" s="2"/>
      <x:c r="I553" s="2"/>
      <x:c r="J553" s="2"/>
      <x:c r="K553" s="2"/>
      <x:c r="L553" s="2"/>
      <x:c r="M553" s="2"/>
      <x:c r="N553" s="2"/>
      <x:c r="O553" s="2"/>
      <x:c r="P553" s="2"/>
    </x:row>
    <x:row r="554" ht="22" customHeight="1">
      <x:c r="A554" s="12" t="n">
        <x:v>40817</x:v>
      </x:c>
      <x:c r="B554" s="2" t="str">
        <x:v>2011-10</x:v>
      </x:c>
      <x:c r="C554" s="2" t="str">
        <x:v>USA</x:v>
      </x:c>
      <x:c r="D554" s="11" t="n">
        <x:v>2311.2</x:v>
      </x:c>
      <x:c r="E554" s="11" t="n">
        <x:v>1579.51</x:v>
      </x:c>
      <x:c r="F554" s="2" t="n">
        <x:v>2</x:v>
      </x:c>
      <x:c r="G554" s="2"/>
      <x:c r="H554" s="2"/>
      <x:c r="I554" s="2"/>
      <x:c r="J554" s="2"/>
      <x:c r="K554" s="2"/>
      <x:c r="L554" s="2"/>
      <x:c r="M554" s="2"/>
      <x:c r="N554" s="2"/>
      <x:c r="O554" s="2"/>
      <x:c r="P554" s="2"/>
    </x:row>
    <x:row r="555" ht="22" customHeight="1">
      <x:c r="A555" s="12" t="n">
        <x:v>40817</x:v>
      </x:c>
      <x:c r="B555" s="2" t="str">
        <x:v>2011-10</x:v>
      </x:c>
      <x:c r="C555" s="2" t="str">
        <x:v>United Kingdom</x:v>
      </x:c>
      <x:c r="D555" s="11" t="n">
        <x:v>938975.01</x:v>
      </x:c>
      <x:c r="E555" s="11" t="n">
        <x:v>61536.82</x:v>
      </x:c>
      <x:c r="F555" s="2" t="n">
        <x:v>1811</x:v>
      </x:c>
      <x:c r="G555" s="2"/>
      <x:c r="H555" s="2"/>
      <x:c r="I555" s="2"/>
      <x:c r="J555" s="2"/>
      <x:c r="K555" s="2"/>
      <x:c r="L555" s="2"/>
      <x:c r="M555" s="2"/>
      <x:c r="N555" s="2"/>
      <x:c r="O555" s="2"/>
      <x:c r="P555" s="2"/>
    </x:row>
    <x:row r="556" ht="22" customHeight="1">
      <x:c r="A556" s="12" t="n">
        <x:v>40848</x:v>
      </x:c>
      <x:c r="B556" s="2" t="str">
        <x:v>2011-11</x:v>
      </x:c>
      <x:c r="C556" s="2" t="str">
        <x:v>Australia</x:v>
      </x:c>
      <x:c r="D556" s="11" t="n">
        <x:v>7242.72</x:v>
      </x:c>
      <x:c r="E556" s="11" t="n">
        <x:v>436.73</x:v>
      </x:c>
      <x:c r="F556" s="2" t="n">
        <x:v>6</x:v>
      </x:c>
      <x:c r="G556" s="2"/>
      <x:c r="H556" s="2"/>
      <x:c r="I556" s="2"/>
      <x:c r="J556" s="2"/>
      <x:c r="K556" s="2"/>
      <x:c r="L556" s="2"/>
      <x:c r="M556" s="2"/>
      <x:c r="N556" s="2"/>
      <x:c r="O556" s="2"/>
      <x:c r="P556" s="2"/>
    </x:row>
    <x:row r="557" ht="22" customHeight="1">
      <x:c r="A557" s="12" t="n">
        <x:v>40848</x:v>
      </x:c>
      <x:c r="B557" s="2" t="str">
        <x:v>2011-11</x:v>
      </x:c>
      <x:c r="C557" s="2" t="str">
        <x:v>Austria</x:v>
      </x:c>
      <x:c r="D557" s="11" t="n">
        <x:v>1329.78</x:v>
      </x:c>
      <x:c r="E557" s="11" t="n">
        <x:v>0</x:v>
      </x:c>
      <x:c r="F557" s="2" t="n">
        <x:v>2</x:v>
      </x:c>
      <x:c r="G557" s="2"/>
      <x:c r="H557" s="2"/>
      <x:c r="I557" s="2"/>
      <x:c r="J557" s="2"/>
      <x:c r="K557" s="2"/>
      <x:c r="L557" s="2"/>
      <x:c r="M557" s="2"/>
      <x:c r="N557" s="2"/>
      <x:c r="O557" s="2"/>
      <x:c r="P557" s="2"/>
    </x:row>
    <x:row r="558" ht="22" customHeight="1">
      <x:c r="A558" s="12" t="n">
        <x:v>40848</x:v>
      </x:c>
      <x:c r="B558" s="2" t="str">
        <x:v>2011-11</x:v>
      </x:c>
      <x:c r="C558" s="2" t="str">
        <x:v>Belgium</x:v>
      </x:c>
      <x:c r="D558" s="11" t="n">
        <x:v>6315.76</x:v>
      </x:c>
      <x:c r="E558" s="11" t="n">
        <x:v>86.35</x:v>
      </x:c>
      <x:c r="F558" s="2" t="n">
        <x:v>11</x:v>
      </x:c>
      <x:c r="G558" s="2"/>
      <x:c r="H558" s="2"/>
      <x:c r="I558" s="2"/>
      <x:c r="J558" s="2"/>
      <x:c r="K558" s="2"/>
      <x:c r="L558" s="2"/>
      <x:c r="M558" s="2"/>
      <x:c r="N558" s="2"/>
      <x:c r="O558" s="2"/>
      <x:c r="P558" s="2"/>
    </x:row>
    <x:row r="559" ht="22" customHeight="1">
      <x:c r="A559" s="12" t="n">
        <x:v>40848</x:v>
      </x:c>
      <x:c r="B559" s="2" t="str">
        <x:v>2011-11</x:v>
      </x:c>
      <x:c r="C559" s="2" t="str">
        <x:v>Channel Islands</x:v>
      </x:c>
      <x:c r="D559" s="11" t="n">
        <x:v>1514.77</x:v>
      </x:c>
      <x:c r="E559" s="11" t="n">
        <x:v>19.599999999999998</x:v>
      </x:c>
      <x:c r="F559" s="2" t="n">
        <x:v>3</x:v>
      </x:c>
      <x:c r="G559" s="2"/>
      <x:c r="H559" s="2"/>
      <x:c r="I559" s="2"/>
      <x:c r="J559" s="2"/>
      <x:c r="K559" s="2"/>
      <x:c r="L559" s="2"/>
      <x:c r="M559" s="2"/>
      <x:c r="N559" s="2"/>
      <x:c r="O559" s="2"/>
      <x:c r="P559" s="2"/>
    </x:row>
    <x:row r="560" ht="22" customHeight="1">
      <x:c r="A560" s="12" t="n">
        <x:v>40848</x:v>
      </x:c>
      <x:c r="B560" s="2" t="str">
        <x:v>2011-11</x:v>
      </x:c>
      <x:c r="C560" s="2" t="str">
        <x:v>Cyprus</x:v>
      </x:c>
      <x:c r="D560" s="11" t="n">
        <x:v>460.89</x:v>
      </x:c>
      <x:c r="E560" s="11" t="n">
        <x:v>0</x:v>
      </x:c>
      <x:c r="F560" s="2" t="n">
        <x:v>1</x:v>
      </x:c>
      <x:c r="G560" s="2"/>
      <x:c r="H560" s="2"/>
      <x:c r="I560" s="2"/>
      <x:c r="J560" s="2"/>
      <x:c r="K560" s="2"/>
      <x:c r="L560" s="2"/>
      <x:c r="M560" s="2"/>
      <x:c r="N560" s="2"/>
      <x:c r="O560" s="2"/>
      <x:c r="P560" s="2"/>
    </x:row>
    <x:row r="561" ht="22" customHeight="1">
      <x:c r="A561" s="12" t="n">
        <x:v>40848</x:v>
      </x:c>
      <x:c r="B561" s="2" t="str">
        <x:v>2011-11</x:v>
      </x:c>
      <x:c r="C561" s="2" t="str">
        <x:v>Czech Republic</x:v>
      </x:c>
      <x:c r="D561" s="11" t="n">
        <x:v>0</x:v>
      </x:c>
      <x:c r="E561" s="11" t="n">
        <x:v>61.51</x:v>
      </x:c>
      <x:c r="F561" s="2" t="n">
        <x:v>0</x:v>
      </x:c>
      <x:c r="G561" s="2"/>
      <x:c r="H561" s="2"/>
      <x:c r="I561" s="2"/>
      <x:c r="J561" s="2"/>
      <x:c r="K561" s="2"/>
      <x:c r="L561" s="2"/>
      <x:c r="M561" s="2"/>
      <x:c r="N561" s="2"/>
      <x:c r="O561" s="2"/>
      <x:c r="P561" s="2"/>
    </x:row>
    <x:row r="562" ht="22" customHeight="1">
      <x:c r="A562" s="12" t="n">
        <x:v>40848</x:v>
      </x:c>
      <x:c r="B562" s="2" t="str">
        <x:v>2011-11</x:v>
      </x:c>
      <x:c r="C562" s="2" t="str">
        <x:v>Denmark</x:v>
      </x:c>
      <x:c r="D562" s="11" t="n">
        <x:v>2699.57</x:v>
      </x:c>
      <x:c r="E562" s="11" t="n">
        <x:v>0</x:v>
      </x:c>
      <x:c r="F562" s="2" t="n">
        <x:v>2</x:v>
      </x:c>
      <x:c r="G562" s="2"/>
      <x:c r="H562" s="2"/>
      <x:c r="I562" s="2"/>
      <x:c r="J562" s="2"/>
      <x:c r="K562" s="2"/>
      <x:c r="L562" s="2"/>
      <x:c r="M562" s="2"/>
      <x:c r="N562" s="2"/>
      <x:c r="O562" s="2"/>
      <x:c r="P562" s="2"/>
    </x:row>
    <x:row r="563" ht="22" customHeight="1">
      <x:c r="A563" s="12" t="n">
        <x:v>40848</x:v>
      </x:c>
      <x:c r="B563" s="2" t="str">
        <x:v>2011-11</x:v>
      </x:c>
      <x:c r="C563" s="2" t="str">
        <x:v>EIRE</x:v>
      </x:c>
      <x:c r="D563" s="11" t="n">
        <x:v>30738.43</x:v>
      </x:c>
      <x:c r="E563" s="11" t="n">
        <x:v>325.38</x:v>
      </x:c>
      <x:c r="F563" s="2" t="n">
        <x:v>42</x:v>
      </x:c>
      <x:c r="G563" s="2"/>
      <x:c r="H563" s="2"/>
      <x:c r="I563" s="2"/>
      <x:c r="J563" s="2"/>
      <x:c r="K563" s="2"/>
      <x:c r="L563" s="2"/>
      <x:c r="M563" s="2"/>
      <x:c r="N563" s="2"/>
      <x:c r="O563" s="2"/>
      <x:c r="P563" s="2"/>
    </x:row>
    <x:row r="564" ht="22" customHeight="1">
      <x:c r="A564" s="12" t="n">
        <x:v>40848</x:v>
      </x:c>
      <x:c r="B564" s="2" t="str">
        <x:v>2011-11</x:v>
      </x:c>
      <x:c r="C564" s="2" t="str">
        <x:v>Finland</x:v>
      </x:c>
      <x:c r="D564" s="11" t="n">
        <x:v>3070.24</x:v>
      </x:c>
      <x:c r="E564" s="11" t="n">
        <x:v>120</x:v>
      </x:c>
      <x:c r="F564" s="2" t="n">
        <x:v>8</x:v>
      </x:c>
      <x:c r="G564" s="2"/>
      <x:c r="H564" s="2"/>
      <x:c r="I564" s="2"/>
      <x:c r="J564" s="2"/>
      <x:c r="K564" s="2"/>
      <x:c r="L564" s="2"/>
      <x:c r="M564" s="2"/>
      <x:c r="N564" s="2"/>
      <x:c r="O564" s="2"/>
      <x:c r="P564" s="2"/>
    </x:row>
    <x:row r="565" ht="22" customHeight="1">
      <x:c r="A565" s="12" t="n">
        <x:v>40848</x:v>
      </x:c>
      <x:c r="B565" s="2" t="str">
        <x:v>2011-11</x:v>
      </x:c>
      <x:c r="C565" s="2" t="str">
        <x:v>France</x:v>
      </x:c>
      <x:c r="D565" s="11" t="n">
        <x:v>31758.71</x:v>
      </x:c>
      <x:c r="E565" s="11" t="n">
        <x:v>1061.2</x:v>
      </x:c>
      <x:c r="F565" s="2" t="n">
        <x:v>64</x:v>
      </x:c>
      <x:c r="G565" s="2"/>
      <x:c r="H565" s="2"/>
      <x:c r="I565" s="2"/>
      <x:c r="J565" s="2"/>
      <x:c r="K565" s="2"/>
      <x:c r="L565" s="2"/>
      <x:c r="M565" s="2"/>
      <x:c r="N565" s="2"/>
      <x:c r="O565" s="2"/>
      <x:c r="P565" s="2"/>
    </x:row>
    <x:row r="566" ht="22" customHeight="1">
      <x:c r="A566" s="12" t="n">
        <x:v>40848</x:v>
      </x:c>
      <x:c r="B566" s="2" t="str">
        <x:v>2011-11</x:v>
      </x:c>
      <x:c r="C566" s="2" t="str">
        <x:v>Germany</x:v>
      </x:c>
      <x:c r="D566" s="11" t="n">
        <x:v>28025.02</x:v>
      </x:c>
      <x:c r="E566" s="11" t="n">
        <x:v>1980.67</x:v>
      </x:c>
      <x:c r="F566" s="2" t="n">
        <x:v>68</x:v>
      </x:c>
      <x:c r="G566" s="2"/>
      <x:c r="H566" s="2"/>
      <x:c r="I566" s="2"/>
      <x:c r="J566" s="2"/>
      <x:c r="K566" s="2"/>
      <x:c r="L566" s="2"/>
      <x:c r="M566" s="2"/>
      <x:c r="N566" s="2"/>
      <x:c r="O566" s="2"/>
      <x:c r="P566" s="2"/>
    </x:row>
    <x:row r="567" ht="22" customHeight="1">
      <x:c r="A567" s="12" t="n">
        <x:v>40848</x:v>
      </x:c>
      <x:c r="B567" s="2" t="str">
        <x:v>2011-11</x:v>
      </x:c>
      <x:c r="C567" s="2" t="str">
        <x:v>Hong Kong</x:v>
      </x:c>
      <x:c r="D567" s="11" t="n">
        <x:v>326.1</x:v>
      </x:c>
      <x:c r="E567" s="11" t="n">
        <x:v>326.1</x:v>
      </x:c>
      <x:c r="F567" s="2" t="n">
        <x:v>1</x:v>
      </x:c>
      <x:c r="G567" s="2"/>
      <x:c r="H567" s="2"/>
      <x:c r="I567" s="2"/>
      <x:c r="J567" s="2"/>
      <x:c r="K567" s="2"/>
      <x:c r="L567" s="2"/>
      <x:c r="M567" s="2"/>
      <x:c r="N567" s="2"/>
      <x:c r="O567" s="2"/>
      <x:c r="P567" s="2"/>
    </x:row>
    <x:row r="568" ht="22" customHeight="1">
      <x:c r="A568" s="12" t="n">
        <x:v>40848</x:v>
      </x:c>
      <x:c r="B568" s="2" t="str">
        <x:v>2011-11</x:v>
      </x:c>
      <x:c r="C568" s="2" t="str">
        <x:v>Italy</x:v>
      </x:c>
      <x:c r="D568" s="11" t="n">
        <x:v>4571.08</x:v>
      </x:c>
      <x:c r="E568" s="11" t="n">
        <x:v>327.33</x:v>
      </x:c>
      <x:c r="F568" s="2" t="n">
        <x:v>9</x:v>
      </x:c>
      <x:c r="G568" s="2"/>
      <x:c r="H568" s="2"/>
      <x:c r="I568" s="2"/>
      <x:c r="J568" s="2"/>
      <x:c r="K568" s="2"/>
      <x:c r="L568" s="2"/>
      <x:c r="M568" s="2"/>
      <x:c r="N568" s="2"/>
      <x:c r="O568" s="2"/>
      <x:c r="P568" s="2"/>
    </x:row>
    <x:row r="569" ht="22" customHeight="1">
      <x:c r="A569" s="12" t="n">
        <x:v>40848</x:v>
      </x:c>
      <x:c r="B569" s="2" t="str">
        <x:v>2011-11</x:v>
      </x:c>
      <x:c r="C569" s="2" t="str">
        <x:v>Japan</x:v>
      </x:c>
      <x:c r="D569" s="11" t="n">
        <x:v>8460.08</x:v>
      </x:c>
      <x:c r="E569" s="11" t="n">
        <x:v>0</x:v>
      </x:c>
      <x:c r="F569" s="2" t="n">
        <x:v>2</x:v>
      </x:c>
      <x:c r="G569" s="2"/>
      <x:c r="H569" s="2"/>
      <x:c r="I569" s="2"/>
      <x:c r="J569" s="2"/>
      <x:c r="K569" s="2"/>
      <x:c r="L569" s="2"/>
      <x:c r="M569" s="2"/>
      <x:c r="N569" s="2"/>
      <x:c r="O569" s="2"/>
      <x:c r="P569" s="2"/>
    </x:row>
    <x:row r="570" ht="22" customHeight="1">
      <x:c r="A570" s="12" t="n">
        <x:v>40848</x:v>
      </x:c>
      <x:c r="B570" s="2" t="str">
        <x:v>2011-11</x:v>
      </x:c>
      <x:c r="C570" s="2" t="str">
        <x:v>Malta</x:v>
      </x:c>
      <x:c r="D570" s="11" t="n">
        <x:v>743.43</x:v>
      </x:c>
      <x:c r="E570" s="11" t="n">
        <x:v>160.81</x:v>
      </x:c>
      <x:c r="F570" s="2" t="n">
        <x:v>1</x:v>
      </x:c>
      <x:c r="G570" s="2"/>
      <x:c r="H570" s="2"/>
      <x:c r="I570" s="2"/>
      <x:c r="J570" s="2"/>
      <x:c r="K570" s="2"/>
      <x:c r="L570" s="2"/>
      <x:c r="M570" s="2"/>
      <x:c r="N570" s="2"/>
      <x:c r="O570" s="2"/>
      <x:c r="P570" s="2"/>
    </x:row>
    <x:row r="571" ht="22" customHeight="1">
      <x:c r="A571" s="12" t="n">
        <x:v>40848</x:v>
      </x:c>
      <x:c r="B571" s="2" t="str">
        <x:v>2011-11</x:v>
      </x:c>
      <x:c r="C571" s="2" t="str">
        <x:v>Netherlands</x:v>
      </x:c>
      <x:c r="D571" s="11" t="n">
        <x:v>25874.01</x:v>
      </x:c>
      <x:c r="E571" s="11" t="n">
        <x:v>18</x:v>
      </x:c>
      <x:c r="F571" s="2" t="n">
        <x:v>15</x:v>
      </x:c>
      <x:c r="G571" s="2"/>
      <x:c r="H571" s="2"/>
      <x:c r="I571" s="2"/>
      <x:c r="J571" s="2"/>
      <x:c r="K571" s="2"/>
      <x:c r="L571" s="2"/>
      <x:c r="M571" s="2"/>
      <x:c r="N571" s="2"/>
      <x:c r="O571" s="2"/>
      <x:c r="P571" s="2"/>
    </x:row>
    <x:row r="572" ht="22" customHeight="1">
      <x:c r="A572" s="12" t="n">
        <x:v>40848</x:v>
      </x:c>
      <x:c r="B572" s="2" t="str">
        <x:v>2011-11</x:v>
      </x:c>
      <x:c r="C572" s="2" t="str">
        <x:v>Norway</x:v>
      </x:c>
      <x:c r="D572" s="11" t="n">
        <x:v>6527.5</x:v>
      </x:c>
      <x:c r="E572" s="11" t="n">
        <x:v>0</x:v>
      </x:c>
      <x:c r="F572" s="2" t="n">
        <x:v>5</x:v>
      </x:c>
      <x:c r="G572" s="2"/>
      <x:c r="H572" s="2"/>
      <x:c r="I572" s="2"/>
      <x:c r="J572" s="2"/>
      <x:c r="K572" s="2"/>
      <x:c r="L572" s="2"/>
      <x:c r="M572" s="2"/>
      <x:c r="N572" s="2"/>
      <x:c r="O572" s="2"/>
      <x:c r="P572" s="2"/>
    </x:row>
    <x:row r="573" ht="22" customHeight="1">
      <x:c r="A573" s="12" t="n">
        <x:v>40848</x:v>
      </x:c>
      <x:c r="B573" s="2" t="str">
        <x:v>2011-11</x:v>
      </x:c>
      <x:c r="C573" s="2" t="str">
        <x:v>Poland</x:v>
      </x:c>
      <x:c r="D573" s="11" t="n">
        <x:v>1361.23</x:v>
      </x:c>
      <x:c r="E573" s="11" t="n">
        <x:v>19.36</x:v>
      </x:c>
      <x:c r="F573" s="2" t="n">
        <x:v>2</x:v>
      </x:c>
      <x:c r="G573" s="2"/>
      <x:c r="H573" s="2"/>
      <x:c r="I573" s="2"/>
      <x:c r="J573" s="2"/>
      <x:c r="K573" s="2"/>
      <x:c r="L573" s="2"/>
      <x:c r="M573" s="2"/>
      <x:c r="N573" s="2"/>
      <x:c r="O573" s="2"/>
      <x:c r="P573" s="2"/>
    </x:row>
    <x:row r="574" ht="22" customHeight="1">
      <x:c r="A574" s="12" t="n">
        <x:v>40848</x:v>
      </x:c>
      <x:c r="B574" s="2" t="str">
        <x:v>2011-11</x:v>
      </x:c>
      <x:c r="C574" s="2" t="str">
        <x:v>Portugal</x:v>
      </x:c>
      <x:c r="D574" s="11" t="n">
        <x:v>2644.9</x:v>
      </x:c>
      <x:c r="E574" s="11" t="n">
        <x:v>0</x:v>
      </x:c>
      <x:c r="F574" s="2" t="n">
        <x:v>10</x:v>
      </x:c>
      <x:c r="G574" s="2"/>
      <x:c r="H574" s="2"/>
      <x:c r="I574" s="2"/>
      <x:c r="J574" s="2"/>
      <x:c r="K574" s="2"/>
      <x:c r="L574" s="2"/>
      <x:c r="M574" s="2"/>
      <x:c r="N574" s="2"/>
      <x:c r="O574" s="2"/>
      <x:c r="P574" s="2"/>
    </x:row>
    <x:row r="575" ht="22" customHeight="1">
      <x:c r="A575" s="12" t="n">
        <x:v>40848</x:v>
      </x:c>
      <x:c r="B575" s="2" t="str">
        <x:v>2011-11</x:v>
      </x:c>
      <x:c r="C575" s="2" t="str">
        <x:v>Spain</x:v>
      </x:c>
      <x:c r="D575" s="11" t="n">
        <x:v>8678.96</x:v>
      </x:c>
      <x:c r="E575" s="11" t="n">
        <x:v>145.09</x:v>
      </x:c>
      <x:c r="F575" s="2" t="n">
        <x:v>14</x:v>
      </x:c>
      <x:c r="G575" s="2"/>
      <x:c r="H575" s="2"/>
      <x:c r="I575" s="2"/>
      <x:c r="J575" s="2"/>
      <x:c r="K575" s="2"/>
      <x:c r="L575" s="2"/>
      <x:c r="M575" s="2"/>
      <x:c r="N575" s="2"/>
      <x:c r="O575" s="2"/>
      <x:c r="P575" s="2"/>
    </x:row>
    <x:row r="576" ht="22" customHeight="1">
      <x:c r="A576" s="12" t="n">
        <x:v>40848</x:v>
      </x:c>
      <x:c r="B576" s="2" t="str">
        <x:v>2011-11</x:v>
      </x:c>
      <x:c r="C576" s="2" t="str">
        <x:v>Sweden</x:v>
      </x:c>
      <x:c r="D576" s="11" t="n">
        <x:v>2722.23</x:v>
      </x:c>
      <x:c r="E576" s="11" t="n">
        <x:v>109.52</x:v>
      </x:c>
      <x:c r="F576" s="2" t="n">
        <x:v>5</x:v>
      </x:c>
      <x:c r="G576" s="2"/>
      <x:c r="H576" s="2"/>
      <x:c r="I576" s="2"/>
      <x:c r="J576" s="2"/>
      <x:c r="K576" s="2"/>
      <x:c r="L576" s="2"/>
      <x:c r="M576" s="2"/>
      <x:c r="N576" s="2"/>
      <x:c r="O576" s="2"/>
      <x:c r="P576" s="2"/>
    </x:row>
    <x:row r="577" ht="22" customHeight="1">
      <x:c r="A577" s="12" t="n">
        <x:v>40848</x:v>
      </x:c>
      <x:c r="B577" s="2" t="str">
        <x:v>2011-11</x:v>
      </x:c>
      <x:c r="C577" s="2" t="str">
        <x:v>Switzerland</x:v>
      </x:c>
      <x:c r="D577" s="11" t="n">
        <x:v>8118.96</x:v>
      </x:c>
      <x:c r="E577" s="11" t="n">
        <x:v>2</x:v>
      </x:c>
      <x:c r="F577" s="2" t="n">
        <x:v>6</x:v>
      </x:c>
      <x:c r="G577" s="2"/>
      <x:c r="H577" s="2"/>
      <x:c r="I577" s="2"/>
      <x:c r="J577" s="2"/>
      <x:c r="K577" s="2"/>
      <x:c r="L577" s="2"/>
      <x:c r="M577" s="2"/>
      <x:c r="N577" s="2"/>
      <x:c r="O577" s="2"/>
      <x:c r="P577" s="2"/>
    </x:row>
    <x:row r="578" ht="22" customHeight="1">
      <x:c r="A578" s="12" t="n">
        <x:v>40848</x:v>
      </x:c>
      <x:c r="B578" s="2" t="str">
        <x:v>2011-11</x:v>
      </x:c>
      <x:c r="C578" s="2" t="str">
        <x:v>United Kingdom</x:v>
      </x:c>
      <x:c r="D578" s="11" t="n">
        <x:v>1325346.21</x:v>
      </x:c>
      <x:c r="E578" s="11" t="n">
        <x:v>42540.43</x:v>
      </x:c>
      <x:c r="F578" s="2" t="n">
        <x:v>2490</x:v>
      </x:c>
      <x:c r="G578" s="2"/>
      <x:c r="H578" s="2"/>
      <x:c r="I578" s="2"/>
      <x:c r="J578" s="2"/>
      <x:c r="K578" s="2"/>
      <x:c r="L578" s="2"/>
      <x:c r="M578" s="2"/>
      <x:c r="N578" s="2"/>
      <x:c r="O578" s="2"/>
      <x:c r="P578" s="2"/>
    </x:row>
    <x:row r="579" ht="22" customHeight="1">
      <x:c r="A579" s="12" t="n">
        <x:v>40848</x:v>
      </x:c>
      <x:c r="B579" s="2" t="str">
        <x:v>2011-11</x:v>
      </x:c>
      <x:c r="C579" s="2" t="str">
        <x:v>Unspecified</x:v>
      </x:c>
      <x:c r="D579" s="11" t="n">
        <x:v>965.75</x:v>
      </x:c>
      <x:c r="E579" s="11" t="n">
        <x:v>0</x:v>
      </x:c>
      <x:c r="F579" s="2" t="n">
        <x:v>2</x:v>
      </x:c>
      <x:c r="G579" s="2"/>
      <x:c r="H579" s="2"/>
      <x:c r="I579" s="2"/>
      <x:c r="J579" s="2"/>
      <x:c r="K579" s="2"/>
      <x:c r="L579" s="2"/>
      <x:c r="M579" s="2"/>
      <x:c r="N579" s="2"/>
      <x:c r="O579" s="2"/>
      <x:c r="P579" s="2"/>
    </x:row>
    <x:row r="580" ht="22" customHeight="1">
      <x:c r="A580" s="12" t="n">
        <x:v>40878</x:v>
      </x:c>
      <x:c r="B580" s="2" t="str">
        <x:v>2011-12</x:v>
      </x:c>
      <x:c r="C580" s="2" t="str">
        <x:v>Austria</x:v>
      </x:c>
      <x:c r="D580" s="11" t="n">
        <x:v>683.2</x:v>
      </x:c>
      <x:c r="E580" s="11" t="n">
        <x:v>0</x:v>
      </x:c>
      <x:c r="F580" s="2" t="n">
        <x:v>1</x:v>
      </x:c>
      <x:c r="G580" s="2"/>
      <x:c r="H580" s="2"/>
      <x:c r="I580" s="2"/>
      <x:c r="J580" s="2"/>
      <x:c r="K580" s="2"/>
      <x:c r="L580" s="2"/>
      <x:c r="M580" s="2"/>
      <x:c r="N580" s="2"/>
      <x:c r="O580" s="2"/>
      <x:c r="P580" s="2"/>
    </x:row>
    <x:row r="581" ht="22" customHeight="1">
      <x:c r="A581" s="12" t="n">
        <x:v>40878</x:v>
      </x:c>
      <x:c r="B581" s="2" t="str">
        <x:v>2011-12</x:v>
      </x:c>
      <x:c r="C581" s="2" t="str">
        <x:v>Belgium</x:v>
      </x:c>
      <x:c r="D581" s="11" t="n">
        <x:v>1417.73</x:v>
      </x:c>
      <x:c r="E581" s="11" t="n">
        <x:v>8.3</x:v>
      </x:c>
      <x:c r="F581" s="2" t="n">
        <x:v>4</x:v>
      </x:c>
      <x:c r="G581" s="2"/>
      <x:c r="H581" s="2"/>
      <x:c r="I581" s="2"/>
      <x:c r="J581" s="2"/>
      <x:c r="K581" s="2"/>
      <x:c r="L581" s="2"/>
      <x:c r="M581" s="2"/>
      <x:c r="N581" s="2"/>
      <x:c r="O581" s="2"/>
      <x:c r="P581" s="2"/>
    </x:row>
    <x:row r="582" ht="22" customHeight="1">
      <x:c r="A582" s="12" t="n">
        <x:v>40878</x:v>
      </x:c>
      <x:c r="B582" s="2" t="str">
        <x:v>2011-12</x:v>
      </x:c>
      <x:c r="C582" s="2" t="str">
        <x:v>Channel Islands</x:v>
      </x:c>
      <x:c r="D582" s="11" t="n">
        <x:v>198.4</x:v>
      </x:c>
      <x:c r="E582" s="11" t="n">
        <x:v>4.25</x:v>
      </x:c>
      <x:c r="F582" s="2" t="n">
        <x:v>1</x:v>
      </x:c>
      <x:c r="G582" s="2"/>
      <x:c r="H582" s="2"/>
      <x:c r="I582" s="2"/>
      <x:c r="J582" s="2"/>
      <x:c r="K582" s="2"/>
      <x:c r="L582" s="2"/>
      <x:c r="M582" s="2"/>
      <x:c r="N582" s="2"/>
      <x:c r="O582" s="2"/>
      <x:c r="P582" s="2"/>
    </x:row>
    <x:row r="583" ht="22" customHeight="1">
      <x:c r="A583" s="12" t="n">
        <x:v>40878</x:v>
      </x:c>
      <x:c r="B583" s="2" t="str">
        <x:v>2011-12</x:v>
      </x:c>
      <x:c r="C583" s="2" t="str">
        <x:v>Cyprus</x:v>
      </x:c>
      <x:c r="D583" s="11" t="n">
        <x:v>0</x:v>
      </x:c>
      <x:c r="E583" s="11" t="n">
        <x:v>91.25</x:v>
      </x:c>
      <x:c r="F583" s="2" t="n">
        <x:v>0</x:v>
      </x:c>
      <x:c r="G583" s="2"/>
      <x:c r="H583" s="2"/>
      <x:c r="I583" s="2"/>
      <x:c r="J583" s="2"/>
      <x:c r="K583" s="2"/>
      <x:c r="L583" s="2"/>
      <x:c r="M583" s="2"/>
      <x:c r="N583" s="2"/>
      <x:c r="O583" s="2"/>
      <x:c r="P583" s="2"/>
    </x:row>
    <x:row r="584" ht="22" customHeight="1">
      <x:c r="A584" s="12" t="n">
        <x:v>40878</x:v>
      </x:c>
      <x:c r="B584" s="2" t="str">
        <x:v>2011-12</x:v>
      </x:c>
      <x:c r="C584" s="2" t="str">
        <x:v>Denmark</x:v>
      </x:c>
      <x:c r="D584" s="11" t="n">
        <x:v>168.9</x:v>
      </x:c>
      <x:c r="E584" s="11" t="n">
        <x:v>0</x:v>
      </x:c>
      <x:c r="F584" s="2" t="n">
        <x:v>1</x:v>
      </x:c>
      <x:c r="G584" s="2"/>
      <x:c r="H584" s="2"/>
      <x:c r="I584" s="2"/>
      <x:c r="J584" s="2"/>
      <x:c r="K584" s="2"/>
      <x:c r="L584" s="2"/>
      <x:c r="M584" s="2"/>
      <x:c r="N584" s="2"/>
      <x:c r="O584" s="2"/>
      <x:c r="P584" s="2"/>
    </x:row>
    <x:row r="585" ht="22" customHeight="1">
      <x:c r="A585" s="12" t="n">
        <x:v>40878</x:v>
      </x:c>
      <x:c r="B585" s="2" t="str">
        <x:v>2011-12</x:v>
      </x:c>
      <x:c r="C585" s="2" t="str">
        <x:v>EIRE</x:v>
      </x:c>
      <x:c r="D585" s="11" t="n">
        <x:v>7340.89</x:v>
      </x:c>
      <x:c r="E585" s="11" t="n">
        <x:v>17.85</x:v>
      </x:c>
      <x:c r="F585" s="2" t="n">
        <x:v>10</x:v>
      </x:c>
      <x:c r="G585" s="2"/>
      <x:c r="H585" s="2"/>
      <x:c r="I585" s="2"/>
      <x:c r="J585" s="2"/>
      <x:c r="K585" s="2"/>
      <x:c r="L585" s="2"/>
      <x:c r="M585" s="2"/>
      <x:c r="N585" s="2"/>
      <x:c r="O585" s="2"/>
      <x:c r="P585" s="2"/>
    </x:row>
    <x:row r="586" ht="22" customHeight="1">
      <x:c r="A586" s="12" t="n">
        <x:v>40878</x:v>
      </x:c>
      <x:c r="B586" s="2" t="str">
        <x:v>2011-12</x:v>
      </x:c>
      <x:c r="C586" s="2" t="str">
        <x:v>Finland</x:v>
      </x:c>
      <x:c r="D586" s="11" t="n">
        <x:v>1232.76</x:v>
      </x:c>
      <x:c r="E586" s="11" t="n">
        <x:v>2.08</x:v>
      </x:c>
      <x:c r="F586" s="2" t="n">
        <x:v>3</x:v>
      </x:c>
      <x:c r="G586" s="2"/>
      <x:c r="H586" s="2"/>
      <x:c r="I586" s="2"/>
      <x:c r="J586" s="2"/>
      <x:c r="K586" s="2"/>
      <x:c r="L586" s="2"/>
      <x:c r="M586" s="2"/>
      <x:c r="N586" s="2"/>
      <x:c r="O586" s="2"/>
      <x:c r="P586" s="2"/>
    </x:row>
    <x:row r="587" ht="22" customHeight="1">
      <x:c r="A587" s="12" t="n">
        <x:v>40878</x:v>
      </x:c>
      <x:c r="B587" s="2" t="str">
        <x:v>2011-12</x:v>
      </x:c>
      <x:c r="C587" s="2" t="str">
        <x:v>France</x:v>
      </x:c>
      <x:c r="D587" s="11" t="n">
        <x:v>7294.92</x:v>
      </x:c>
      <x:c r="E587" s="11" t="n">
        <x:v>228.09</x:v>
      </x:c>
      <x:c r="F587" s="2" t="n">
        <x:v>18</x:v>
      </x:c>
      <x:c r="G587" s="2"/>
      <x:c r="H587" s="2"/>
      <x:c r="I587" s="2"/>
      <x:c r="J587" s="2"/>
      <x:c r="K587" s="2"/>
      <x:c r="L587" s="2"/>
      <x:c r="M587" s="2"/>
      <x:c r="N587" s="2"/>
      <x:c r="O587" s="2"/>
      <x:c r="P587" s="2"/>
    </x:row>
    <x:row r="588" ht="22" customHeight="1">
      <x:c r="A588" s="12" t="n">
        <x:v>40878</x:v>
      </x:c>
      <x:c r="B588" s="2" t="str">
        <x:v>2011-12</x:v>
      </x:c>
      <x:c r="C588" s="2" t="str">
        <x:v>Germany</x:v>
      </x:c>
      <x:c r="D588" s="11" t="n">
        <x:v>7984.17</x:v>
      </x:c>
      <x:c r="E588" s="11" t="n">
        <x:v>179.47</x:v>
      </x:c>
      <x:c r="F588" s="2" t="n">
        <x:v>17</x:v>
      </x:c>
      <x:c r="G588" s="2"/>
      <x:c r="H588" s="2"/>
      <x:c r="I588" s="2"/>
      <x:c r="J588" s="2"/>
      <x:c r="K588" s="2"/>
      <x:c r="L588" s="2"/>
      <x:c r="M588" s="2"/>
      <x:c r="N588" s="2"/>
      <x:c r="O588" s="2"/>
      <x:c r="P588" s="2"/>
    </x:row>
    <x:row r="589" ht="22" customHeight="1">
      <x:c r="A589" s="12" t="n">
        <x:v>40878</x:v>
      </x:c>
      <x:c r="B589" s="2" t="str">
        <x:v>2011-12</x:v>
      </x:c>
      <x:c r="C589" s="2" t="str">
        <x:v>Greece</x:v>
      </x:c>
      <x:c r="D589" s="11" t="n">
        <x:v>680.99</x:v>
      </x:c>
      <x:c r="E589" s="11" t="n">
        <x:v>0</x:v>
      </x:c>
      <x:c r="F589" s="2" t="n">
        <x:v>1</x:v>
      </x:c>
      <x:c r="G589" s="2"/>
      <x:c r="H589" s="2"/>
      <x:c r="I589" s="2"/>
      <x:c r="J589" s="2"/>
      <x:c r="K589" s="2"/>
      <x:c r="L589" s="2"/>
      <x:c r="M589" s="2"/>
      <x:c r="N589" s="2"/>
      <x:c r="O589" s="2"/>
      <x:c r="P589" s="2"/>
    </x:row>
    <x:row r="590" ht="22" customHeight="1">
      <x:c r="A590" s="12" t="n">
        <x:v>40878</x:v>
      </x:c>
      <x:c r="B590" s="2" t="str">
        <x:v>2011-12</x:v>
      </x:c>
      <x:c r="C590" s="2" t="str">
        <x:v>Iceland</x:v>
      </x:c>
      <x:c r="D590" s="11" t="n">
        <x:v>224.82</x:v>
      </x:c>
      <x:c r="E590" s="11" t="n">
        <x:v>0</x:v>
      </x:c>
      <x:c r="F590" s="2" t="n">
        <x:v>1</x:v>
      </x:c>
      <x:c r="G590" s="2"/>
      <x:c r="H590" s="2"/>
      <x:c r="I590" s="2"/>
      <x:c r="J590" s="2"/>
      <x:c r="K590" s="2"/>
      <x:c r="L590" s="2"/>
      <x:c r="M590" s="2"/>
      <x:c r="N590" s="2"/>
      <x:c r="O590" s="2"/>
      <x:c r="P590" s="2"/>
    </x:row>
    <x:row r="591" ht="22" customHeight="1">
      <x:c r="A591" s="12" t="n">
        <x:v>40878</x:v>
      </x:c>
      <x:c r="B591" s="2" t="str">
        <x:v>2011-12</x:v>
      </x:c>
      <x:c r="C591" s="2" t="str">
        <x:v>Italy</x:v>
      </x:c>
      <x:c r="D591" s="11" t="n">
        <x:v>200.45000000000002</x:v>
      </x:c>
      <x:c r="E591" s="11" t="n">
        <x:v>0</x:v>
      </x:c>
      <x:c r="F591" s="2" t="n">
        <x:v>1</x:v>
      </x:c>
      <x:c r="G591" s="2"/>
      <x:c r="H591" s="2"/>
      <x:c r="I591" s="2"/>
      <x:c r="J591" s="2"/>
      <x:c r="K591" s="2"/>
      <x:c r="L591" s="2"/>
      <x:c r="M591" s="2"/>
      <x:c r="N591" s="2"/>
      <x:c r="O591" s="2"/>
      <x:c r="P591" s="2"/>
    </x:row>
    <x:row r="592" ht="22" customHeight="1">
      <x:c r="A592" s="12" t="n">
        <x:v>40878</x:v>
      </x:c>
      <x:c r="B592" s="2" t="str">
        <x:v>2011-12</x:v>
      </x:c>
      <x:c r="C592" s="2" t="str">
        <x:v>Japan</x:v>
      </x:c>
      <x:c r="D592" s="11" t="n">
        <x:v>0</x:v>
      </x:c>
      <x:c r="E592" s="11" t="n">
        <x:v>116.92999999999999</x:v>
      </x:c>
      <x:c r="F592" s="2" t="n">
        <x:v>0</x:v>
      </x:c>
      <x:c r="G592" s="2"/>
      <x:c r="H592" s="2"/>
      <x:c r="I592" s="2"/>
      <x:c r="J592" s="2"/>
      <x:c r="K592" s="2"/>
      <x:c r="L592" s="2"/>
      <x:c r="M592" s="2"/>
      <x:c r="N592" s="2"/>
      <x:c r="O592" s="2"/>
      <x:c r="P592" s="2"/>
    </x:row>
    <x:row r="593" ht="22" customHeight="1">
      <x:c r="A593" s="12" t="n">
        <x:v>40878</x:v>
      </x:c>
      <x:c r="B593" s="2" t="str">
        <x:v>2011-12</x:v>
      </x:c>
      <x:c r="C593" s="2" t="str">
        <x:v>Malta</x:v>
      </x:c>
      <x:c r="D593" s="11" t="n">
        <x:v>0</x:v>
      </x:c>
      <x:c r="E593" s="11" t="n">
        <x:v>30.81</x:v>
      </x:c>
      <x:c r="F593" s="2" t="n">
        <x:v>0</x:v>
      </x:c>
      <x:c r="G593" s="2"/>
      <x:c r="H593" s="2"/>
      <x:c r="I593" s="2"/>
      <x:c r="J593" s="2"/>
      <x:c r="K593" s="2"/>
      <x:c r="L593" s="2"/>
      <x:c r="M593" s="2"/>
      <x:c r="N593" s="2"/>
      <x:c r="O593" s="2"/>
      <x:c r="P593" s="2"/>
    </x:row>
    <x:row r="594" ht="22" customHeight="1">
      <x:c r="A594" s="12" t="n">
        <x:v>40878</x:v>
      </x:c>
      <x:c r="B594" s="2" t="str">
        <x:v>2011-12</x:v>
      </x:c>
      <x:c r="C594" s="2" t="str">
        <x:v>Netherlands</x:v>
      </x:c>
      <x:c r="D594" s="11" t="n">
        <x:v>11728.02</x:v>
      </x:c>
      <x:c r="E594" s="11" t="n">
        <x:v>0</x:v>
      </x:c>
      <x:c r="F594" s="2" t="n">
        <x:v>3</x:v>
      </x:c>
      <x:c r="G594" s="2"/>
      <x:c r="H594" s="2"/>
      <x:c r="I594" s="2"/>
      <x:c r="J594" s="2"/>
      <x:c r="K594" s="2"/>
      <x:c r="L594" s="2"/>
      <x:c r="M594" s="2"/>
      <x:c r="N594" s="2"/>
      <x:c r="O594" s="2"/>
      <x:c r="P594" s="2"/>
    </x:row>
    <x:row r="595" ht="22" customHeight="1">
      <x:c r="A595" s="12" t="n">
        <x:v>40878</x:v>
      </x:c>
      <x:c r="B595" s="2" t="str">
        <x:v>2011-12</x:v>
      </x:c>
      <x:c r="C595" s="2" t="str">
        <x:v>Norway</x:v>
      </x:c>
      <x:c r="D595" s="11" t="n">
        <x:v>2785.7000000000003</x:v>
      </x:c>
      <x:c r="E595" s="11" t="n">
        <x:v>0</x:v>
      </x:c>
      <x:c r="F595" s="2" t="n">
        <x:v>3</x:v>
      </x:c>
      <x:c r="G595" s="2"/>
      <x:c r="H595" s="2"/>
      <x:c r="I595" s="2"/>
      <x:c r="J595" s="2"/>
      <x:c r="K595" s="2"/>
      <x:c r="L595" s="2"/>
      <x:c r="M595" s="2"/>
      <x:c r="N595" s="2"/>
      <x:c r="O595" s="2"/>
      <x:c r="P595" s="2"/>
    </x:row>
    <x:row r="596" ht="22" customHeight="1">
      <x:c r="A596" s="12" t="n">
        <x:v>40878</x:v>
      </x:c>
      <x:c r="B596" s="2" t="str">
        <x:v>2011-12</x:v>
      </x:c>
      <x:c r="C596" s="2" t="str">
        <x:v>Portugal</x:v>
      </x:c>
      <x:c r="D596" s="11" t="n">
        <x:v>2808.19</x:v>
      </x:c>
      <x:c r="E596" s="11" t="n">
        <x:v>6.24</x:v>
      </x:c>
      <x:c r="F596" s="2" t="n">
        <x:v>4</x:v>
      </x:c>
      <x:c r="G596" s="2"/>
      <x:c r="H596" s="2"/>
      <x:c r="I596" s="2"/>
      <x:c r="J596" s="2"/>
      <x:c r="K596" s="2"/>
      <x:c r="L596" s="2"/>
      <x:c r="M596" s="2"/>
      <x:c r="N596" s="2"/>
      <x:c r="O596" s="2"/>
      <x:c r="P596" s="2"/>
    </x:row>
    <x:row r="597" ht="22" customHeight="1">
      <x:c r="A597" s="12" t="n">
        <x:v>40878</x:v>
      </x:c>
      <x:c r="B597" s="2" t="str">
        <x:v>2011-12</x:v>
      </x:c>
      <x:c r="C597" s="2" t="str">
        <x:v>Spain</x:v>
      </x:c>
      <x:c r="D597" s="11" t="n">
        <x:v>316.21</x:v>
      </x:c>
      <x:c r="E597" s="11" t="n">
        <x:v>44.78</x:v>
      </x:c>
      <x:c r="F597" s="2" t="n">
        <x:v>2</x:v>
      </x:c>
      <x:c r="G597" s="2"/>
      <x:c r="H597" s="2"/>
      <x:c r="I597" s="2"/>
      <x:c r="J597" s="2"/>
      <x:c r="K597" s="2"/>
      <x:c r="L597" s="2"/>
      <x:c r="M597" s="2"/>
      <x:c r="N597" s="2"/>
      <x:c r="O597" s="2"/>
      <x:c r="P597" s="2"/>
    </x:row>
    <x:row r="598" ht="22" customHeight="1">
      <x:c r="A598" s="12" t="n">
        <x:v>40878</x:v>
      </x:c>
      <x:c r="B598" s="2" t="str">
        <x:v>2011-12</x:v>
      </x:c>
      <x:c r="C598" s="2" t="str">
        <x:v>Sweden</x:v>
      </x:c>
      <x:c r="D598" s="11" t="n">
        <x:v>238</x:v>
      </x:c>
      <x:c r="E598" s="11" t="n">
        <x:v>238</x:v>
      </x:c>
      <x:c r="F598" s="2" t="n">
        <x:v>1</x:v>
      </x:c>
      <x:c r="G598" s="2"/>
      <x:c r="H598" s="2"/>
      <x:c r="I598" s="2"/>
      <x:c r="J598" s="2"/>
      <x:c r="K598" s="2"/>
      <x:c r="L598" s="2"/>
      <x:c r="M598" s="2"/>
      <x:c r="N598" s="2"/>
      <x:c r="O598" s="2"/>
      <x:c r="P598" s="2"/>
    </x:row>
    <x:row r="599" ht="22" customHeight="1">
      <x:c r="A599" s="12" t="n">
        <x:v>40878</x:v>
      </x:c>
      <x:c r="B599" s="2" t="str">
        <x:v>2011-12</x:v>
      </x:c>
      <x:c r="C599" s="2" t="str">
        <x:v>USA</x:v>
      </x:c>
      <x:c r="D599" s="11" t="n">
        <x:v>885.24</x:v>
      </x:c>
      <x:c r="E599" s="11" t="n">
        <x:v>269.96</x:v>
      </x:c>
      <x:c r="F599" s="2" t="n">
        <x:v>2</x:v>
      </x:c>
      <x:c r="G599" s="2"/>
      <x:c r="H599" s="2"/>
      <x:c r="I599" s="2"/>
      <x:c r="J599" s="2"/>
      <x:c r="K599" s="2"/>
      <x:c r="L599" s="2"/>
      <x:c r="M599" s="2"/>
      <x:c r="N599" s="2"/>
      <x:c r="O599" s="2"/>
      <x:c r="P599" s="2"/>
    </x:row>
    <x:row r="600" ht="22" customHeight="1">
      <x:c r="A600" s="12" t="n">
        <x:v>40878</x:v>
      </x:c>
      <x:c r="B600" s="2" t="str">
        <x:v>2011-12</x:v>
      </x:c>
      <x:c r="C600" s="2" t="str">
        <x:v>United Kingdom</x:v>
      </x:c>
      <x:c r="D600" s="11" t="n">
        <x:v>592622.09</x:v>
      </x:c>
      <x:c r="E600" s="11" t="n">
        <x:v>203886.66</x:v>
      </x:c>
      <x:c r="F600" s="2" t="n">
        <x:v>746</x:v>
      </x:c>
      <x:c r="G600" s="2"/>
      <x:c r="H600" s="2"/>
      <x:c r="I600" s="2"/>
      <x:c r="J600" s="2"/>
      <x:c r="K600" s="2"/>
      <x:c r="L600" s="2"/>
      <x:c r="M600" s="2"/>
      <x:c r="N600" s="2"/>
      <x:c r="O600" s="2"/>
      <x:c r="P600" s="2"/>
    </x:row>
    <x:row r="601" ht="23" customHeight="1">
      <x:c r="A601" s="2"/>
      <x:c r="B601" s="2"/>
      <x:c r="C601" s="2"/>
      <x:c r="D601" s="2"/>
      <x:c r="E601" s="2"/>
      <x:c r="F601" s="2"/>
      <x:c r="G601" s="2"/>
      <x:c r="H601" s="2"/>
      <x:c r="I601" s="2"/>
      <x:c r="J601" s="2"/>
      <x:c r="K601" s="2"/>
      <x:c r="L601" s="2"/>
      <x:c r="M601" s="2"/>
      <x:c r="N601" s="2"/>
      <x:c r="O601" s="2"/>
      <x:c r="P601" s="2"/>
    </x:row>
    <x:row r="602" ht="23" customHeight="1">
      <x:c r="A602" s="2"/>
      <x:c r="B602" s="2"/>
      <x:c r="C602" s="2"/>
      <x:c r="D602" s="2"/>
      <x:c r="E602" s="2"/>
      <x:c r="F602" s="2"/>
      <x:c r="G602" s="2"/>
      <x:c r="H602" s="2"/>
      <x:c r="I602" s="2"/>
      <x:c r="J602" s="2"/>
      <x:c r="K602" s="2"/>
      <x:c r="L602" s="2"/>
      <x:c r="M602" s="2"/>
      <x:c r="N602" s="2"/>
      <x:c r="O602" s="2"/>
      <x:c r="P602" s="2"/>
    </x:row>
  </x:sheetData>
  <x:mergeCells>
    <x:mergeCell ref="B2:P3"/>
    <x:mergeCell ref="B4:P4"/>
    <x:mergeCell ref="I23:P25"/>
  </x:mergeCells>
  <x:pageMargins left="0.7" right="0.7" top="0.75" bottom="0.75" header="0.3" footer="0.3"/>
  <x:tableParts count="2">
    <x:tablePart xmlns:r="http://schemas.openxmlformats.org/officeDocument/2006/relationships" r:id="R0c858c517b614406"/>
    <x:tablePart xmlns:r="http://schemas.openxmlformats.org/officeDocument/2006/relationships" r:id="Rb99b195eb5714926"/>
  </x:tableParts>
</x:worksheet>
</file>